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7010700-522D-4AE6-9C83-B7EFD9C40F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LETAS LOTES" sheetId="1" r:id="rId1"/>
    <sheet name="MOVIMIENTO" sheetId="2" r:id="rId2"/>
    <sheet name="borrad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8" i="2" l="1"/>
  <c r="B8" i="2"/>
  <c r="B1" i="2"/>
  <c r="B5" i="2"/>
  <c r="B2" i="2"/>
  <c r="C61" i="1"/>
  <c r="C1" i="1"/>
  <c r="C8" i="1"/>
  <c r="C2" i="1"/>
  <c r="C16" i="3"/>
  <c r="C15" i="3"/>
  <c r="C14" i="3"/>
  <c r="C13" i="3"/>
  <c r="C12" i="3"/>
  <c r="C11" i="3"/>
  <c r="C10" i="3"/>
  <c r="C9" i="3"/>
  <c r="C8" i="3"/>
  <c r="C7" i="3"/>
  <c r="C6" i="3"/>
  <c r="C5" i="3"/>
  <c r="U1982" i="2"/>
  <c r="R1982" i="2"/>
  <c r="Q1982" i="2"/>
  <c r="O1982" i="2"/>
  <c r="M1982" i="2"/>
  <c r="L1982" i="2"/>
  <c r="K1982" i="2"/>
  <c r="J1982" i="2"/>
  <c r="G1982" i="2"/>
  <c r="F1982" i="2"/>
  <c r="E1982" i="2"/>
  <c r="D1982" i="2"/>
  <c r="C1982" i="2"/>
  <c r="B1982" i="2"/>
  <c r="A1982" i="2"/>
  <c r="U1981" i="2"/>
  <c r="R1981" i="2"/>
  <c r="Q1981" i="2"/>
  <c r="P1981" i="2"/>
  <c r="O1981" i="2"/>
  <c r="M1981" i="2"/>
  <c r="L1981" i="2"/>
  <c r="K1981" i="2"/>
  <c r="J1981" i="2"/>
  <c r="I1981" i="2"/>
  <c r="H1981" i="2"/>
  <c r="G1981" i="2"/>
  <c r="F1981" i="2"/>
  <c r="E1981" i="2"/>
  <c r="D1981" i="2"/>
  <c r="C1981" i="2"/>
  <c r="B1981" i="2"/>
  <c r="A1981" i="2"/>
  <c r="R1980" i="2"/>
  <c r="Q1980" i="2"/>
  <c r="P1980" i="2"/>
  <c r="O1980" i="2"/>
  <c r="M1980" i="2"/>
  <c r="L1980" i="2"/>
  <c r="K1980" i="2"/>
  <c r="J1980" i="2"/>
  <c r="I1980" i="2"/>
  <c r="H1980" i="2"/>
  <c r="G1980" i="2"/>
  <c r="F1980" i="2"/>
  <c r="E1980" i="2"/>
  <c r="D1980" i="2"/>
  <c r="C1980" i="2"/>
  <c r="B1980" i="2"/>
  <c r="A1980" i="2"/>
  <c r="U1979" i="2"/>
  <c r="R1979" i="2"/>
  <c r="Q1979" i="2"/>
  <c r="O1979" i="2"/>
  <c r="M1979" i="2"/>
  <c r="L1979" i="2"/>
  <c r="K1979" i="2"/>
  <c r="J1979" i="2"/>
  <c r="G1979" i="2"/>
  <c r="F1979" i="2"/>
  <c r="E1979" i="2"/>
  <c r="D1979" i="2"/>
  <c r="C1979" i="2"/>
  <c r="B1979" i="2"/>
  <c r="A1979" i="2"/>
  <c r="U1978" i="2"/>
  <c r="R1978" i="2"/>
  <c r="Q1978" i="2"/>
  <c r="P1978" i="2"/>
  <c r="O1978" i="2"/>
  <c r="M1978" i="2"/>
  <c r="L1978" i="2"/>
  <c r="K1978" i="2"/>
  <c r="J1978" i="2"/>
  <c r="I1978" i="2"/>
  <c r="H1978" i="2"/>
  <c r="G1978" i="2"/>
  <c r="F1978" i="2"/>
  <c r="E1978" i="2"/>
  <c r="D1978" i="2"/>
  <c r="C1978" i="2"/>
  <c r="B1978" i="2"/>
  <c r="A1978" i="2"/>
  <c r="R1977" i="2"/>
  <c r="Q1977" i="2"/>
  <c r="P1977" i="2"/>
  <c r="O1977" i="2"/>
  <c r="N1977" i="2"/>
  <c r="M1977" i="2"/>
  <c r="L1977" i="2"/>
  <c r="K1977" i="2"/>
  <c r="J1977" i="2"/>
  <c r="I1977" i="2"/>
  <c r="H1977" i="2"/>
  <c r="G1977" i="2"/>
  <c r="F1977" i="2"/>
  <c r="E1977" i="2"/>
  <c r="D1977" i="2"/>
  <c r="C1977" i="2"/>
  <c r="B1977" i="2"/>
  <c r="A1977" i="2"/>
  <c r="R1976" i="2"/>
  <c r="Q1976" i="2"/>
  <c r="P1976" i="2"/>
  <c r="O1976" i="2"/>
  <c r="M1976" i="2"/>
  <c r="L1976" i="2"/>
  <c r="K1976" i="2"/>
  <c r="J1976" i="2"/>
  <c r="I1976" i="2"/>
  <c r="H1976" i="2"/>
  <c r="G1976" i="2"/>
  <c r="F1976" i="2"/>
  <c r="E1976" i="2"/>
  <c r="D1976" i="2"/>
  <c r="C1976" i="2"/>
  <c r="B1976" i="2"/>
  <c r="A1976" i="2"/>
  <c r="U1975" i="2"/>
  <c r="R1975" i="2"/>
  <c r="Q1975" i="2"/>
  <c r="P1975" i="2"/>
  <c r="O1975" i="2"/>
  <c r="M1975" i="2"/>
  <c r="L1975" i="2"/>
  <c r="K1975" i="2"/>
  <c r="J1975" i="2"/>
  <c r="I1975" i="2"/>
  <c r="H1975" i="2"/>
  <c r="G1975" i="2"/>
  <c r="F1975" i="2"/>
  <c r="E1975" i="2"/>
  <c r="D1975" i="2"/>
  <c r="C1975" i="2"/>
  <c r="B1975" i="2"/>
  <c r="A1975" i="2"/>
  <c r="U1974" i="2"/>
  <c r="R1974" i="2"/>
  <c r="Q1974" i="2"/>
  <c r="P1974" i="2"/>
  <c r="O1974" i="2"/>
  <c r="M1974" i="2"/>
  <c r="L1974" i="2"/>
  <c r="K1974" i="2"/>
  <c r="J1974" i="2"/>
  <c r="I1974" i="2"/>
  <c r="H1974" i="2"/>
  <c r="G1974" i="2"/>
  <c r="F1974" i="2"/>
  <c r="E1974" i="2"/>
  <c r="D1974" i="2"/>
  <c r="C1974" i="2"/>
  <c r="B1974" i="2"/>
  <c r="A1974" i="2"/>
  <c r="R1973" i="2"/>
  <c r="Q1973" i="2"/>
  <c r="P1973" i="2"/>
  <c r="O1973" i="2"/>
  <c r="N1973" i="2"/>
  <c r="M1973" i="2"/>
  <c r="L1973" i="2"/>
  <c r="K1973" i="2"/>
  <c r="J1973" i="2"/>
  <c r="I1973" i="2"/>
  <c r="H1973" i="2"/>
  <c r="G1973" i="2"/>
  <c r="F1973" i="2"/>
  <c r="E1973" i="2"/>
  <c r="D1973" i="2"/>
  <c r="C1973" i="2"/>
  <c r="B1973" i="2"/>
  <c r="A1973" i="2"/>
  <c r="U1972" i="2"/>
  <c r="R1972" i="2"/>
  <c r="Q1972" i="2"/>
  <c r="P1972" i="2"/>
  <c r="O1972" i="2"/>
  <c r="M1972" i="2"/>
  <c r="L1972" i="2"/>
  <c r="K1972" i="2"/>
  <c r="J1972" i="2"/>
  <c r="I1972" i="2"/>
  <c r="H1972" i="2"/>
  <c r="G1972" i="2"/>
  <c r="F1972" i="2"/>
  <c r="E1972" i="2"/>
  <c r="D1972" i="2"/>
  <c r="C1972" i="2"/>
  <c r="B1972" i="2"/>
  <c r="A1972" i="2"/>
  <c r="U1971" i="2"/>
  <c r="R1971" i="2"/>
  <c r="Q1971" i="2"/>
  <c r="P1971" i="2"/>
  <c r="O1971" i="2"/>
  <c r="M1971" i="2"/>
  <c r="L1971" i="2"/>
  <c r="K1971" i="2"/>
  <c r="J1971" i="2"/>
  <c r="I1971" i="2"/>
  <c r="H1971" i="2"/>
  <c r="G1971" i="2"/>
  <c r="F1971" i="2"/>
  <c r="E1971" i="2"/>
  <c r="D1971" i="2"/>
  <c r="C1971" i="2"/>
  <c r="B1971" i="2"/>
  <c r="A1971" i="2"/>
  <c r="U1970" i="2"/>
  <c r="R1970" i="2"/>
  <c r="Q1970" i="2"/>
  <c r="O1970" i="2"/>
  <c r="M1970" i="2"/>
  <c r="L1970" i="2"/>
  <c r="K1970" i="2"/>
  <c r="J1970" i="2"/>
  <c r="G1970" i="2"/>
  <c r="F1970" i="2"/>
  <c r="E1970" i="2"/>
  <c r="D1970" i="2"/>
  <c r="C1970" i="2"/>
  <c r="B1970" i="2"/>
  <c r="A1970" i="2"/>
  <c r="U1969" i="2"/>
  <c r="R1969" i="2"/>
  <c r="Q1969" i="2"/>
  <c r="O1969" i="2"/>
  <c r="M1969" i="2"/>
  <c r="L1969" i="2"/>
  <c r="K1969" i="2"/>
  <c r="J1969" i="2"/>
  <c r="G1969" i="2"/>
  <c r="F1969" i="2"/>
  <c r="E1969" i="2"/>
  <c r="D1969" i="2"/>
  <c r="C1969" i="2"/>
  <c r="B1969" i="2"/>
  <c r="A1969" i="2"/>
  <c r="U1968" i="2"/>
  <c r="R1968" i="2"/>
  <c r="Q1968" i="2"/>
  <c r="P1968" i="2"/>
  <c r="O1968" i="2"/>
  <c r="M1968" i="2"/>
  <c r="L1968" i="2"/>
  <c r="K1968" i="2"/>
  <c r="J1968" i="2"/>
  <c r="I1968" i="2"/>
  <c r="H1968" i="2"/>
  <c r="G1968" i="2"/>
  <c r="F1968" i="2"/>
  <c r="E1968" i="2"/>
  <c r="D1968" i="2"/>
  <c r="C1968" i="2"/>
  <c r="B1968" i="2"/>
  <c r="A1968" i="2"/>
  <c r="R1967" i="2"/>
  <c r="Q1967" i="2"/>
  <c r="P1967" i="2"/>
  <c r="O1967" i="2"/>
  <c r="N1967" i="2"/>
  <c r="M1967" i="2"/>
  <c r="L1967" i="2"/>
  <c r="K1967" i="2"/>
  <c r="J1967" i="2"/>
  <c r="I1967" i="2"/>
  <c r="H1967" i="2"/>
  <c r="G1967" i="2"/>
  <c r="F1967" i="2"/>
  <c r="E1967" i="2"/>
  <c r="D1967" i="2"/>
  <c r="C1967" i="2"/>
  <c r="B1967" i="2"/>
  <c r="A1967" i="2"/>
  <c r="R1966" i="2"/>
  <c r="Q1966" i="2"/>
  <c r="P1966" i="2"/>
  <c r="O1966" i="2"/>
  <c r="M1966" i="2"/>
  <c r="L1966" i="2"/>
  <c r="K1966" i="2"/>
  <c r="J1966" i="2"/>
  <c r="I1966" i="2"/>
  <c r="H1966" i="2"/>
  <c r="G1966" i="2"/>
  <c r="F1966" i="2"/>
  <c r="E1966" i="2"/>
  <c r="D1966" i="2"/>
  <c r="C1966" i="2"/>
  <c r="B1966" i="2"/>
  <c r="A1966" i="2"/>
  <c r="R1965" i="2"/>
  <c r="Q1965" i="2"/>
  <c r="O1965" i="2"/>
  <c r="M1965" i="2"/>
  <c r="L1965" i="2"/>
  <c r="K1965" i="2"/>
  <c r="J1965" i="2"/>
  <c r="G1965" i="2"/>
  <c r="F1965" i="2"/>
  <c r="E1965" i="2"/>
  <c r="D1965" i="2"/>
  <c r="C1965" i="2"/>
  <c r="B1965" i="2"/>
  <c r="A1965" i="2"/>
  <c r="U1964" i="2"/>
  <c r="R1964" i="2"/>
  <c r="Q1964" i="2"/>
  <c r="O1964" i="2"/>
  <c r="M1964" i="2"/>
  <c r="L1964" i="2"/>
  <c r="K1964" i="2"/>
  <c r="J1964" i="2"/>
  <c r="G1964" i="2"/>
  <c r="F1964" i="2"/>
  <c r="E1964" i="2"/>
  <c r="D1964" i="2"/>
  <c r="C1964" i="2"/>
  <c r="B1964" i="2"/>
  <c r="A1964" i="2"/>
  <c r="U1963" i="2"/>
  <c r="R1963" i="2"/>
  <c r="Q1963" i="2"/>
  <c r="O1963" i="2"/>
  <c r="M1963" i="2"/>
  <c r="L1963" i="2"/>
  <c r="K1963" i="2"/>
  <c r="F1963" i="2"/>
  <c r="E1963" i="2"/>
  <c r="D1963" i="2"/>
  <c r="C1963" i="2"/>
  <c r="B1963" i="2"/>
  <c r="A1963" i="2"/>
  <c r="U1962" i="2"/>
  <c r="R1962" i="2"/>
  <c r="Q1962" i="2"/>
  <c r="P1962" i="2"/>
  <c r="O1962" i="2"/>
  <c r="M1962" i="2"/>
  <c r="L1962" i="2"/>
  <c r="K1962" i="2"/>
  <c r="J1962" i="2"/>
  <c r="I1962" i="2"/>
  <c r="H1962" i="2"/>
  <c r="G1962" i="2"/>
  <c r="F1962" i="2"/>
  <c r="E1962" i="2"/>
  <c r="D1962" i="2"/>
  <c r="C1962" i="2"/>
  <c r="B1962" i="2"/>
  <c r="A1962" i="2"/>
  <c r="U1961" i="2"/>
  <c r="R1961" i="2"/>
  <c r="Q1961" i="2"/>
  <c r="O1961" i="2"/>
  <c r="M1961" i="2"/>
  <c r="L1961" i="2"/>
  <c r="K1961" i="2"/>
  <c r="J1961" i="2"/>
  <c r="G1961" i="2"/>
  <c r="F1961" i="2"/>
  <c r="E1961" i="2"/>
  <c r="D1961" i="2"/>
  <c r="C1961" i="2"/>
  <c r="B1961" i="2"/>
  <c r="A1961" i="2"/>
  <c r="U1960" i="2"/>
  <c r="R1960" i="2"/>
  <c r="Q1960" i="2"/>
  <c r="P1960" i="2"/>
  <c r="O1960" i="2"/>
  <c r="M1960" i="2"/>
  <c r="L1960" i="2"/>
  <c r="K1960" i="2"/>
  <c r="J1960" i="2"/>
  <c r="I1960" i="2"/>
  <c r="H1960" i="2"/>
  <c r="G1960" i="2"/>
  <c r="F1960" i="2"/>
  <c r="E1960" i="2"/>
  <c r="D1960" i="2"/>
  <c r="C1960" i="2"/>
  <c r="B1960" i="2"/>
  <c r="A1960" i="2"/>
  <c r="U1959" i="2"/>
  <c r="R1959" i="2"/>
  <c r="Q1959" i="2"/>
  <c r="P1959" i="2"/>
  <c r="O1959" i="2"/>
  <c r="M1959" i="2"/>
  <c r="L1959" i="2"/>
  <c r="K1959" i="2"/>
  <c r="J1959" i="2"/>
  <c r="I1959" i="2"/>
  <c r="H1959" i="2"/>
  <c r="G1959" i="2"/>
  <c r="F1959" i="2"/>
  <c r="E1959" i="2"/>
  <c r="D1959" i="2"/>
  <c r="C1959" i="2"/>
  <c r="B1959" i="2"/>
  <c r="A1959" i="2"/>
  <c r="U1958" i="2"/>
  <c r="R1958" i="2"/>
  <c r="Q1958" i="2"/>
  <c r="P1958" i="2"/>
  <c r="O1958" i="2"/>
  <c r="M1958" i="2"/>
  <c r="L1958" i="2"/>
  <c r="K1958" i="2"/>
  <c r="J1958" i="2"/>
  <c r="I1958" i="2"/>
  <c r="H1958" i="2"/>
  <c r="G1958" i="2"/>
  <c r="F1958" i="2"/>
  <c r="E1958" i="2"/>
  <c r="D1958" i="2"/>
  <c r="C1958" i="2"/>
  <c r="B1958" i="2"/>
  <c r="A1958" i="2"/>
  <c r="U1957" i="2"/>
  <c r="R1957" i="2"/>
  <c r="Q1957" i="2"/>
  <c r="O1957" i="2"/>
  <c r="M1957" i="2"/>
  <c r="L1957" i="2"/>
  <c r="K1957" i="2"/>
  <c r="J1957" i="2"/>
  <c r="G1957" i="2"/>
  <c r="F1957" i="2"/>
  <c r="E1957" i="2"/>
  <c r="D1957" i="2"/>
  <c r="C1957" i="2"/>
  <c r="B1957" i="2"/>
  <c r="A1957" i="2"/>
  <c r="U1956" i="2"/>
  <c r="R1956" i="2"/>
  <c r="Q1956" i="2"/>
  <c r="O1956" i="2"/>
  <c r="M1956" i="2"/>
  <c r="L1956" i="2"/>
  <c r="K1956" i="2"/>
  <c r="J1956" i="2"/>
  <c r="G1956" i="2"/>
  <c r="F1956" i="2"/>
  <c r="E1956" i="2"/>
  <c r="D1956" i="2"/>
  <c r="C1956" i="2"/>
  <c r="B1956" i="2"/>
  <c r="A1956" i="2"/>
  <c r="U1955" i="2"/>
  <c r="R1955" i="2"/>
  <c r="Q1955" i="2"/>
  <c r="O1955" i="2"/>
  <c r="M1955" i="2"/>
  <c r="L1955" i="2"/>
  <c r="K1955" i="2"/>
  <c r="F1955" i="2"/>
  <c r="E1955" i="2"/>
  <c r="D1955" i="2"/>
  <c r="C1955" i="2"/>
  <c r="B1955" i="2"/>
  <c r="A1955" i="2"/>
  <c r="U1954" i="2"/>
  <c r="R1954" i="2"/>
  <c r="Q1954" i="2"/>
  <c r="P1954" i="2"/>
  <c r="O1954" i="2"/>
  <c r="M1954" i="2"/>
  <c r="L1954" i="2"/>
  <c r="K1954" i="2"/>
  <c r="J1954" i="2"/>
  <c r="I1954" i="2"/>
  <c r="H1954" i="2"/>
  <c r="G1954" i="2"/>
  <c r="F1954" i="2"/>
  <c r="E1954" i="2"/>
  <c r="D1954" i="2"/>
  <c r="C1954" i="2"/>
  <c r="B1954" i="2"/>
  <c r="A1954" i="2"/>
  <c r="U1953" i="2"/>
  <c r="R1953" i="2"/>
  <c r="Q1953" i="2"/>
  <c r="P1953" i="2"/>
  <c r="O1953" i="2"/>
  <c r="M1953" i="2"/>
  <c r="L1953" i="2"/>
  <c r="K1953" i="2"/>
  <c r="J1953" i="2"/>
  <c r="I1953" i="2"/>
  <c r="H1953" i="2"/>
  <c r="G1953" i="2"/>
  <c r="F1953" i="2"/>
  <c r="E1953" i="2"/>
  <c r="D1953" i="2"/>
  <c r="C1953" i="2"/>
  <c r="B1953" i="2"/>
  <c r="A1953" i="2"/>
  <c r="U1952" i="2"/>
  <c r="R1952" i="2"/>
  <c r="Q1952" i="2"/>
  <c r="P1952" i="2"/>
  <c r="O1952" i="2"/>
  <c r="M1952" i="2"/>
  <c r="L1952" i="2"/>
  <c r="K1952" i="2"/>
  <c r="J1952" i="2"/>
  <c r="I1952" i="2"/>
  <c r="H1952" i="2"/>
  <c r="G1952" i="2"/>
  <c r="F1952" i="2"/>
  <c r="E1952" i="2"/>
  <c r="D1952" i="2"/>
  <c r="C1952" i="2"/>
  <c r="B1952" i="2"/>
  <c r="A1952" i="2"/>
  <c r="U1951" i="2"/>
  <c r="R1951" i="2"/>
  <c r="Q1951" i="2"/>
  <c r="P1951" i="2"/>
  <c r="O1951" i="2"/>
  <c r="M1951" i="2"/>
  <c r="L1951" i="2"/>
  <c r="K1951" i="2"/>
  <c r="J1951" i="2"/>
  <c r="I1951" i="2"/>
  <c r="H1951" i="2"/>
  <c r="G1951" i="2"/>
  <c r="F1951" i="2"/>
  <c r="E1951" i="2"/>
  <c r="D1951" i="2"/>
  <c r="C1951" i="2"/>
  <c r="B1951" i="2"/>
  <c r="A1951" i="2"/>
  <c r="U1950" i="2"/>
  <c r="R1950" i="2"/>
  <c r="Q1950" i="2"/>
  <c r="P1950" i="2"/>
  <c r="O1950" i="2"/>
  <c r="M1950" i="2"/>
  <c r="L1950" i="2"/>
  <c r="K1950" i="2"/>
  <c r="J1950" i="2"/>
  <c r="I1950" i="2"/>
  <c r="H1950" i="2"/>
  <c r="G1950" i="2"/>
  <c r="F1950" i="2"/>
  <c r="E1950" i="2"/>
  <c r="D1950" i="2"/>
  <c r="C1950" i="2"/>
  <c r="B1950" i="2"/>
  <c r="A1950" i="2"/>
  <c r="U1949" i="2"/>
  <c r="R1949" i="2"/>
  <c r="Q1949" i="2"/>
  <c r="O1949" i="2"/>
  <c r="M1949" i="2"/>
  <c r="L1949" i="2"/>
  <c r="K1949" i="2"/>
  <c r="J1949" i="2"/>
  <c r="G1949" i="2"/>
  <c r="F1949" i="2"/>
  <c r="E1949" i="2"/>
  <c r="D1949" i="2"/>
  <c r="C1949" i="2"/>
  <c r="B1949" i="2"/>
  <c r="A1949" i="2"/>
  <c r="U1948" i="2"/>
  <c r="R1948" i="2"/>
  <c r="Q1948" i="2"/>
  <c r="O1948" i="2"/>
  <c r="M1948" i="2"/>
  <c r="L1948" i="2"/>
  <c r="K1948" i="2"/>
  <c r="J1948" i="2"/>
  <c r="G1948" i="2"/>
  <c r="F1948" i="2"/>
  <c r="E1948" i="2"/>
  <c r="D1948" i="2"/>
  <c r="C1948" i="2"/>
  <c r="B1948" i="2"/>
  <c r="A1948" i="2"/>
  <c r="Q1947" i="2"/>
  <c r="P1947" i="2"/>
  <c r="O1947" i="2"/>
  <c r="L1947" i="2"/>
  <c r="K1947" i="2"/>
  <c r="F1947" i="2"/>
  <c r="E1947" i="2"/>
  <c r="D1947" i="2"/>
  <c r="C1947" i="2"/>
  <c r="B1947" i="2"/>
  <c r="A1947" i="2"/>
  <c r="U1946" i="2"/>
  <c r="R1946" i="2"/>
  <c r="Q1946" i="2"/>
  <c r="O1946" i="2"/>
  <c r="M1946" i="2"/>
  <c r="L1946" i="2"/>
  <c r="K1946" i="2"/>
  <c r="F1946" i="2"/>
  <c r="E1946" i="2"/>
  <c r="D1946" i="2"/>
  <c r="C1946" i="2"/>
  <c r="B1946" i="2"/>
  <c r="A1946" i="2"/>
  <c r="U1945" i="2"/>
  <c r="R1945" i="2"/>
  <c r="Q1945" i="2"/>
  <c r="O1945" i="2"/>
  <c r="M1945" i="2"/>
  <c r="L1945" i="2"/>
  <c r="K1945" i="2"/>
  <c r="F1945" i="2"/>
  <c r="E1945" i="2"/>
  <c r="D1945" i="2"/>
  <c r="C1945" i="2"/>
  <c r="B1945" i="2"/>
  <c r="A1945" i="2"/>
  <c r="U1944" i="2"/>
  <c r="R1944" i="2"/>
  <c r="Q1944" i="2"/>
  <c r="P1944" i="2"/>
  <c r="O1944" i="2"/>
  <c r="M1944" i="2"/>
  <c r="L1944" i="2"/>
  <c r="K1944" i="2"/>
  <c r="J1944" i="2"/>
  <c r="I1944" i="2"/>
  <c r="H1944" i="2"/>
  <c r="G1944" i="2"/>
  <c r="F1944" i="2"/>
  <c r="E1944" i="2"/>
  <c r="D1944" i="2"/>
  <c r="C1944" i="2"/>
  <c r="B1944" i="2"/>
  <c r="A1944" i="2"/>
  <c r="U1943" i="2"/>
  <c r="R1943" i="2"/>
  <c r="Q1943" i="2"/>
  <c r="P1943" i="2"/>
  <c r="O1943" i="2"/>
  <c r="M1943" i="2"/>
  <c r="L1943" i="2"/>
  <c r="K1943" i="2"/>
  <c r="J1943" i="2"/>
  <c r="I1943" i="2"/>
  <c r="H1943" i="2"/>
  <c r="G1943" i="2"/>
  <c r="F1943" i="2"/>
  <c r="E1943" i="2"/>
  <c r="D1943" i="2"/>
  <c r="C1943" i="2"/>
  <c r="B1943" i="2"/>
  <c r="A1943" i="2"/>
  <c r="R1942" i="2"/>
  <c r="Q1942" i="2"/>
  <c r="P1942" i="2"/>
  <c r="O1942" i="2"/>
  <c r="M1942" i="2"/>
  <c r="L1942" i="2"/>
  <c r="K1942" i="2"/>
  <c r="J1942" i="2"/>
  <c r="I1942" i="2"/>
  <c r="H1942" i="2"/>
  <c r="G1942" i="2"/>
  <c r="F1942" i="2"/>
  <c r="E1942" i="2"/>
  <c r="D1942" i="2"/>
  <c r="C1942" i="2"/>
  <c r="B1942" i="2"/>
  <c r="A1942" i="2"/>
  <c r="U1941" i="2"/>
  <c r="R1941" i="2"/>
  <c r="Q1941" i="2"/>
  <c r="O1941" i="2"/>
  <c r="M1941" i="2"/>
  <c r="L1941" i="2"/>
  <c r="K1941" i="2"/>
  <c r="J1941" i="2"/>
  <c r="G1941" i="2"/>
  <c r="F1941" i="2"/>
  <c r="E1941" i="2"/>
  <c r="D1941" i="2"/>
  <c r="C1941" i="2"/>
  <c r="B1941" i="2"/>
  <c r="A1941" i="2"/>
  <c r="U1940" i="2"/>
  <c r="R1940" i="2"/>
  <c r="Q1940" i="2"/>
  <c r="P1940" i="2"/>
  <c r="O1940" i="2"/>
  <c r="M1940" i="2"/>
  <c r="L1940" i="2"/>
  <c r="K1940" i="2"/>
  <c r="J1940" i="2"/>
  <c r="I1940" i="2"/>
  <c r="H1940" i="2"/>
  <c r="G1940" i="2"/>
  <c r="F1940" i="2"/>
  <c r="E1940" i="2"/>
  <c r="D1940" i="2"/>
  <c r="C1940" i="2"/>
  <c r="B1940" i="2"/>
  <c r="A1940" i="2"/>
  <c r="U1939" i="2"/>
  <c r="R1939" i="2"/>
  <c r="Q1939" i="2"/>
  <c r="P1939" i="2"/>
  <c r="O1939" i="2"/>
  <c r="M1939" i="2"/>
  <c r="L1939" i="2"/>
  <c r="K1939" i="2"/>
  <c r="J1939" i="2"/>
  <c r="I1939" i="2"/>
  <c r="H1939" i="2"/>
  <c r="G1939" i="2"/>
  <c r="F1939" i="2"/>
  <c r="E1939" i="2"/>
  <c r="D1939" i="2"/>
  <c r="C1939" i="2"/>
  <c r="B1939" i="2"/>
  <c r="A1939" i="2"/>
  <c r="U1938" i="2"/>
  <c r="R1938" i="2"/>
  <c r="Q1938" i="2"/>
  <c r="P1938" i="2"/>
  <c r="O1938" i="2"/>
  <c r="M1938" i="2"/>
  <c r="L1938" i="2"/>
  <c r="K1938" i="2"/>
  <c r="J1938" i="2"/>
  <c r="I1938" i="2"/>
  <c r="H1938" i="2"/>
  <c r="G1938" i="2"/>
  <c r="F1938" i="2"/>
  <c r="E1938" i="2"/>
  <c r="D1938" i="2"/>
  <c r="C1938" i="2"/>
  <c r="B1938" i="2"/>
  <c r="A1938" i="2"/>
  <c r="U1937" i="2"/>
  <c r="R1937" i="2"/>
  <c r="Q1937" i="2"/>
  <c r="P1937" i="2"/>
  <c r="O1937" i="2"/>
  <c r="M1937" i="2"/>
  <c r="L1937" i="2"/>
  <c r="K1937" i="2"/>
  <c r="J1937" i="2"/>
  <c r="I1937" i="2"/>
  <c r="H1937" i="2"/>
  <c r="G1937" i="2"/>
  <c r="F1937" i="2"/>
  <c r="E1937" i="2"/>
  <c r="D1937" i="2"/>
  <c r="C1937" i="2"/>
  <c r="B1937" i="2"/>
  <c r="A1937" i="2"/>
  <c r="U1936" i="2"/>
  <c r="R1936" i="2"/>
  <c r="Q1936" i="2"/>
  <c r="P1936" i="2"/>
  <c r="O1936" i="2"/>
  <c r="M1936" i="2"/>
  <c r="L1936" i="2"/>
  <c r="K1936" i="2"/>
  <c r="J1936" i="2"/>
  <c r="I1936" i="2"/>
  <c r="H1936" i="2"/>
  <c r="G1936" i="2"/>
  <c r="F1936" i="2"/>
  <c r="E1936" i="2"/>
  <c r="D1936" i="2"/>
  <c r="C1936" i="2"/>
  <c r="B1936" i="2"/>
  <c r="A1936" i="2"/>
  <c r="U1935" i="2"/>
  <c r="R1935" i="2"/>
  <c r="Q1935" i="2"/>
  <c r="P1935" i="2"/>
  <c r="O1935" i="2"/>
  <c r="M1935" i="2"/>
  <c r="L1935" i="2"/>
  <c r="K1935" i="2"/>
  <c r="J1935" i="2"/>
  <c r="I1935" i="2"/>
  <c r="H1935" i="2"/>
  <c r="G1935" i="2"/>
  <c r="F1935" i="2"/>
  <c r="E1935" i="2"/>
  <c r="D1935" i="2"/>
  <c r="C1935" i="2"/>
  <c r="B1935" i="2"/>
  <c r="A1935" i="2"/>
  <c r="U1934" i="2"/>
  <c r="R1934" i="2"/>
  <c r="Q1934" i="2"/>
  <c r="O1934" i="2"/>
  <c r="M1934" i="2"/>
  <c r="L1934" i="2"/>
  <c r="K1934" i="2"/>
  <c r="J1934" i="2"/>
  <c r="G1934" i="2"/>
  <c r="F1934" i="2"/>
  <c r="E1934" i="2"/>
  <c r="D1934" i="2"/>
  <c r="C1934" i="2"/>
  <c r="B1934" i="2"/>
  <c r="A1934" i="2"/>
  <c r="R1933" i="2"/>
  <c r="Q1933" i="2"/>
  <c r="P1933" i="2"/>
  <c r="O1933" i="2"/>
  <c r="M1933" i="2"/>
  <c r="L1933" i="2"/>
  <c r="K1933" i="2"/>
  <c r="J1933" i="2"/>
  <c r="I1933" i="2"/>
  <c r="H1933" i="2"/>
  <c r="G1933" i="2"/>
  <c r="F1933" i="2"/>
  <c r="E1933" i="2"/>
  <c r="D1933" i="2"/>
  <c r="C1933" i="2"/>
  <c r="B1933" i="2"/>
  <c r="A1933" i="2"/>
  <c r="R1932" i="2"/>
  <c r="Q1932" i="2"/>
  <c r="P1932" i="2"/>
  <c r="O1932" i="2"/>
  <c r="M1932" i="2"/>
  <c r="L1932" i="2"/>
  <c r="K1932" i="2"/>
  <c r="J1932" i="2"/>
  <c r="I1932" i="2"/>
  <c r="H1932" i="2"/>
  <c r="G1932" i="2"/>
  <c r="F1932" i="2"/>
  <c r="E1932" i="2"/>
  <c r="D1932" i="2"/>
  <c r="C1932" i="2"/>
  <c r="B1932" i="2"/>
  <c r="A1932" i="2"/>
  <c r="R1931" i="2"/>
  <c r="Q1931" i="2"/>
  <c r="P1931" i="2"/>
  <c r="O1931" i="2"/>
  <c r="M1931" i="2"/>
  <c r="L1931" i="2"/>
  <c r="K1931" i="2"/>
  <c r="J1931" i="2"/>
  <c r="I1931" i="2"/>
  <c r="H1931" i="2"/>
  <c r="G1931" i="2"/>
  <c r="F1931" i="2"/>
  <c r="E1931" i="2"/>
  <c r="D1931" i="2"/>
  <c r="C1931" i="2"/>
  <c r="B1931" i="2"/>
  <c r="A1931" i="2"/>
  <c r="R1930" i="2"/>
  <c r="Q1930" i="2"/>
  <c r="P1930" i="2"/>
  <c r="O1930" i="2"/>
  <c r="M1930" i="2"/>
  <c r="L1930" i="2"/>
  <c r="K1930" i="2"/>
  <c r="J1930" i="2"/>
  <c r="I1930" i="2"/>
  <c r="H1930" i="2"/>
  <c r="G1930" i="2"/>
  <c r="F1930" i="2"/>
  <c r="E1930" i="2"/>
  <c r="D1930" i="2"/>
  <c r="C1930" i="2"/>
  <c r="B1930" i="2"/>
  <c r="A1930" i="2"/>
  <c r="R1929" i="2"/>
  <c r="Q1929" i="2"/>
  <c r="P1929" i="2"/>
  <c r="O1929" i="2"/>
  <c r="M1929" i="2"/>
  <c r="L1929" i="2"/>
  <c r="K1929" i="2"/>
  <c r="J1929" i="2"/>
  <c r="I1929" i="2"/>
  <c r="H1929" i="2"/>
  <c r="G1929" i="2"/>
  <c r="F1929" i="2"/>
  <c r="E1929" i="2"/>
  <c r="D1929" i="2"/>
  <c r="C1929" i="2"/>
  <c r="B1929" i="2"/>
  <c r="A1929" i="2"/>
  <c r="U1928" i="2"/>
  <c r="R1928" i="2"/>
  <c r="Q1928" i="2"/>
  <c r="P1928" i="2"/>
  <c r="O1928" i="2"/>
  <c r="M1928" i="2"/>
  <c r="L1928" i="2"/>
  <c r="K1928" i="2"/>
  <c r="J1928" i="2"/>
  <c r="I1928" i="2"/>
  <c r="H1928" i="2"/>
  <c r="G1928" i="2"/>
  <c r="F1928" i="2"/>
  <c r="E1928" i="2"/>
  <c r="D1928" i="2"/>
  <c r="C1928" i="2"/>
  <c r="B1928" i="2"/>
  <c r="A1928" i="2"/>
  <c r="U1927" i="2"/>
  <c r="R1927" i="2"/>
  <c r="Q1927" i="2"/>
  <c r="O1927" i="2"/>
  <c r="M1927" i="2"/>
  <c r="L1927" i="2"/>
  <c r="K1927" i="2"/>
  <c r="J1927" i="2"/>
  <c r="G1927" i="2"/>
  <c r="F1927" i="2"/>
  <c r="E1927" i="2"/>
  <c r="D1927" i="2"/>
  <c r="C1927" i="2"/>
  <c r="B1927" i="2"/>
  <c r="A1927" i="2"/>
  <c r="U1926" i="2"/>
  <c r="R1926" i="2"/>
  <c r="Q1926" i="2"/>
  <c r="P1926" i="2"/>
  <c r="O1926" i="2"/>
  <c r="M1926" i="2"/>
  <c r="L1926" i="2"/>
  <c r="K1926" i="2"/>
  <c r="J1926" i="2"/>
  <c r="I1926" i="2"/>
  <c r="H1926" i="2"/>
  <c r="G1926" i="2"/>
  <c r="F1926" i="2"/>
  <c r="E1926" i="2"/>
  <c r="D1926" i="2"/>
  <c r="C1926" i="2"/>
  <c r="B1926" i="2"/>
  <c r="A1926" i="2"/>
  <c r="U1925" i="2"/>
  <c r="R1925" i="2"/>
  <c r="Q1925" i="2"/>
  <c r="O1925" i="2"/>
  <c r="M1925" i="2"/>
  <c r="L1925" i="2"/>
  <c r="K1925" i="2"/>
  <c r="J1925" i="2"/>
  <c r="G1925" i="2"/>
  <c r="F1925" i="2"/>
  <c r="E1925" i="2"/>
  <c r="D1925" i="2"/>
  <c r="C1925" i="2"/>
  <c r="B1925" i="2"/>
  <c r="A1925" i="2"/>
  <c r="U1924" i="2"/>
  <c r="R1924" i="2"/>
  <c r="Q1924" i="2"/>
  <c r="P1924" i="2"/>
  <c r="O1924" i="2"/>
  <c r="M1924" i="2"/>
  <c r="L1924" i="2"/>
  <c r="K1924" i="2"/>
  <c r="J1924" i="2"/>
  <c r="I1924" i="2"/>
  <c r="H1924" i="2"/>
  <c r="G1924" i="2"/>
  <c r="F1924" i="2"/>
  <c r="E1924" i="2"/>
  <c r="D1924" i="2"/>
  <c r="C1924" i="2"/>
  <c r="B1924" i="2"/>
  <c r="A1924" i="2"/>
  <c r="U1923" i="2"/>
  <c r="R1923" i="2"/>
  <c r="Q1923" i="2"/>
  <c r="O1923" i="2"/>
  <c r="M1923" i="2"/>
  <c r="L1923" i="2"/>
  <c r="K1923" i="2"/>
  <c r="J1923" i="2"/>
  <c r="G1923" i="2"/>
  <c r="F1923" i="2"/>
  <c r="E1923" i="2"/>
  <c r="D1923" i="2"/>
  <c r="C1923" i="2"/>
  <c r="B1923" i="2"/>
  <c r="A1923" i="2"/>
  <c r="U1922" i="2"/>
  <c r="R1922" i="2"/>
  <c r="Q1922" i="2"/>
  <c r="P1922" i="2"/>
  <c r="O1922" i="2"/>
  <c r="M1922" i="2"/>
  <c r="L1922" i="2"/>
  <c r="K1922" i="2"/>
  <c r="J1922" i="2"/>
  <c r="I1922" i="2"/>
  <c r="H1922" i="2"/>
  <c r="G1922" i="2"/>
  <c r="F1922" i="2"/>
  <c r="E1922" i="2"/>
  <c r="D1922" i="2"/>
  <c r="C1922" i="2"/>
  <c r="B1922" i="2"/>
  <c r="A1922" i="2"/>
  <c r="U1921" i="2"/>
  <c r="R1921" i="2"/>
  <c r="Q1921" i="2"/>
  <c r="O1921" i="2"/>
  <c r="M1921" i="2"/>
  <c r="L1921" i="2"/>
  <c r="K1921" i="2"/>
  <c r="J1921" i="2"/>
  <c r="G1921" i="2"/>
  <c r="F1921" i="2"/>
  <c r="E1921" i="2"/>
  <c r="D1921" i="2"/>
  <c r="C1921" i="2"/>
  <c r="B1921" i="2"/>
  <c r="A1921" i="2"/>
  <c r="U1920" i="2"/>
  <c r="R1920" i="2"/>
  <c r="Q1920" i="2"/>
  <c r="P1920" i="2"/>
  <c r="O1920" i="2"/>
  <c r="M1920" i="2"/>
  <c r="L1920" i="2"/>
  <c r="K1920" i="2"/>
  <c r="J1920" i="2"/>
  <c r="I1920" i="2"/>
  <c r="H1920" i="2"/>
  <c r="G1920" i="2"/>
  <c r="F1920" i="2"/>
  <c r="E1920" i="2"/>
  <c r="D1920" i="2"/>
  <c r="C1920" i="2"/>
  <c r="B1920" i="2"/>
  <c r="A1920" i="2"/>
  <c r="U1919" i="2"/>
  <c r="R1919" i="2"/>
  <c r="Q1919" i="2"/>
  <c r="O1919" i="2"/>
  <c r="M1919" i="2"/>
  <c r="L1919" i="2"/>
  <c r="K1919" i="2"/>
  <c r="J1919" i="2"/>
  <c r="G1919" i="2"/>
  <c r="F1919" i="2"/>
  <c r="E1919" i="2"/>
  <c r="D1919" i="2"/>
  <c r="C1919" i="2"/>
  <c r="B1919" i="2"/>
  <c r="A1919" i="2"/>
  <c r="U1918" i="2"/>
  <c r="R1918" i="2"/>
  <c r="Q1918" i="2"/>
  <c r="P1918" i="2"/>
  <c r="O1918" i="2"/>
  <c r="M1918" i="2"/>
  <c r="L1918" i="2"/>
  <c r="K1918" i="2"/>
  <c r="J1918" i="2"/>
  <c r="I1918" i="2"/>
  <c r="H1918" i="2"/>
  <c r="G1918" i="2"/>
  <c r="F1918" i="2"/>
  <c r="E1918" i="2"/>
  <c r="D1918" i="2"/>
  <c r="C1918" i="2"/>
  <c r="B1918" i="2"/>
  <c r="A1918" i="2"/>
  <c r="U1917" i="2"/>
  <c r="R1917" i="2"/>
  <c r="Q1917" i="2"/>
  <c r="P1917" i="2"/>
  <c r="O1917" i="2"/>
  <c r="M1917" i="2"/>
  <c r="L1917" i="2"/>
  <c r="K1917" i="2"/>
  <c r="J1917" i="2"/>
  <c r="I1917" i="2"/>
  <c r="H1917" i="2"/>
  <c r="G1917" i="2"/>
  <c r="F1917" i="2"/>
  <c r="E1917" i="2"/>
  <c r="D1917" i="2"/>
  <c r="C1917" i="2"/>
  <c r="B1917" i="2"/>
  <c r="A1917" i="2"/>
  <c r="U1916" i="2"/>
  <c r="R1916" i="2"/>
  <c r="Q1916" i="2"/>
  <c r="P1916" i="2"/>
  <c r="O1916" i="2"/>
  <c r="M1916" i="2"/>
  <c r="L1916" i="2"/>
  <c r="K1916" i="2"/>
  <c r="J1916" i="2"/>
  <c r="I1916" i="2"/>
  <c r="H1916" i="2"/>
  <c r="G1916" i="2"/>
  <c r="F1916" i="2"/>
  <c r="E1916" i="2"/>
  <c r="D1916" i="2"/>
  <c r="C1916" i="2"/>
  <c r="B1916" i="2"/>
  <c r="A1916" i="2"/>
  <c r="U1915" i="2"/>
  <c r="R1915" i="2"/>
  <c r="Q1915" i="2"/>
  <c r="O1915" i="2"/>
  <c r="M1915" i="2"/>
  <c r="L1915" i="2"/>
  <c r="K1915" i="2"/>
  <c r="J1915" i="2"/>
  <c r="G1915" i="2"/>
  <c r="F1915" i="2"/>
  <c r="E1915" i="2"/>
  <c r="D1915" i="2"/>
  <c r="C1915" i="2"/>
  <c r="B1915" i="2"/>
  <c r="A1915" i="2"/>
  <c r="U1914" i="2"/>
  <c r="R1914" i="2"/>
  <c r="Q1914" i="2"/>
  <c r="O1914" i="2"/>
  <c r="M1914" i="2"/>
  <c r="L1914" i="2"/>
  <c r="K1914" i="2"/>
  <c r="J1914" i="2"/>
  <c r="G1914" i="2"/>
  <c r="F1914" i="2"/>
  <c r="E1914" i="2"/>
  <c r="D1914" i="2"/>
  <c r="C1914" i="2"/>
  <c r="B1914" i="2"/>
  <c r="A1914" i="2"/>
  <c r="U1913" i="2"/>
  <c r="R1913" i="2"/>
  <c r="Q1913" i="2"/>
  <c r="P1913" i="2"/>
  <c r="O1913" i="2"/>
  <c r="M1913" i="2"/>
  <c r="L1913" i="2"/>
  <c r="K1913" i="2"/>
  <c r="J1913" i="2"/>
  <c r="I1913" i="2"/>
  <c r="H1913" i="2"/>
  <c r="G1913" i="2"/>
  <c r="F1913" i="2"/>
  <c r="E1913" i="2"/>
  <c r="D1913" i="2"/>
  <c r="C1913" i="2"/>
  <c r="B1913" i="2"/>
  <c r="A1913" i="2"/>
  <c r="U1912" i="2"/>
  <c r="R1912" i="2"/>
  <c r="Q1912" i="2"/>
  <c r="O1912" i="2"/>
  <c r="M1912" i="2"/>
  <c r="L1912" i="2"/>
  <c r="K1912" i="2"/>
  <c r="J1912" i="2"/>
  <c r="G1912" i="2"/>
  <c r="F1912" i="2"/>
  <c r="E1912" i="2"/>
  <c r="D1912" i="2"/>
  <c r="C1912" i="2"/>
  <c r="B1912" i="2"/>
  <c r="A1912" i="2"/>
  <c r="U1911" i="2"/>
  <c r="R1911" i="2"/>
  <c r="Q1911" i="2"/>
  <c r="O1911" i="2"/>
  <c r="M1911" i="2"/>
  <c r="L1911" i="2"/>
  <c r="K1911" i="2"/>
  <c r="J1911" i="2"/>
  <c r="G1911" i="2"/>
  <c r="F1911" i="2"/>
  <c r="E1911" i="2"/>
  <c r="D1911" i="2"/>
  <c r="C1911" i="2"/>
  <c r="B1911" i="2"/>
  <c r="A1911" i="2"/>
  <c r="U1910" i="2"/>
  <c r="R1910" i="2"/>
  <c r="Q1910" i="2"/>
  <c r="O1910" i="2"/>
  <c r="M1910" i="2"/>
  <c r="L1910" i="2"/>
  <c r="K1910" i="2"/>
  <c r="J1910" i="2"/>
  <c r="G1910" i="2"/>
  <c r="F1910" i="2"/>
  <c r="E1910" i="2"/>
  <c r="D1910" i="2"/>
  <c r="C1910" i="2"/>
  <c r="B1910" i="2"/>
  <c r="A1910" i="2"/>
  <c r="U1909" i="2"/>
  <c r="R1909" i="2"/>
  <c r="Q1909" i="2"/>
  <c r="O1909" i="2"/>
  <c r="M1909" i="2"/>
  <c r="L1909" i="2"/>
  <c r="K1909" i="2"/>
  <c r="J1909" i="2"/>
  <c r="G1909" i="2"/>
  <c r="F1909" i="2"/>
  <c r="E1909" i="2"/>
  <c r="D1909" i="2"/>
  <c r="C1909" i="2"/>
  <c r="B1909" i="2"/>
  <c r="A1909" i="2"/>
  <c r="U1908" i="2"/>
  <c r="R1908" i="2"/>
  <c r="Q1908" i="2"/>
  <c r="O1908" i="2"/>
  <c r="M1908" i="2"/>
  <c r="L1908" i="2"/>
  <c r="K1908" i="2"/>
  <c r="J1908" i="2"/>
  <c r="G1908" i="2"/>
  <c r="F1908" i="2"/>
  <c r="E1908" i="2"/>
  <c r="D1908" i="2"/>
  <c r="C1908" i="2"/>
  <c r="B1908" i="2"/>
  <c r="A1908" i="2"/>
  <c r="U1907" i="2"/>
  <c r="R1907" i="2"/>
  <c r="Q1907" i="2"/>
  <c r="P1907" i="2"/>
  <c r="O1907" i="2"/>
  <c r="M1907" i="2"/>
  <c r="L1907" i="2"/>
  <c r="K1907" i="2"/>
  <c r="J1907" i="2"/>
  <c r="I1907" i="2"/>
  <c r="H1907" i="2"/>
  <c r="G1907" i="2"/>
  <c r="F1907" i="2"/>
  <c r="E1907" i="2"/>
  <c r="D1907" i="2"/>
  <c r="C1907" i="2"/>
  <c r="B1907" i="2"/>
  <c r="A1907" i="2"/>
  <c r="U1906" i="2"/>
  <c r="R1906" i="2"/>
  <c r="Q1906" i="2"/>
  <c r="P1906" i="2"/>
  <c r="O1906" i="2"/>
  <c r="M1906" i="2"/>
  <c r="L1906" i="2"/>
  <c r="K1906" i="2"/>
  <c r="J1906" i="2"/>
  <c r="I1906" i="2"/>
  <c r="H1906" i="2"/>
  <c r="G1906" i="2"/>
  <c r="F1906" i="2"/>
  <c r="E1906" i="2"/>
  <c r="D1906" i="2"/>
  <c r="C1906" i="2"/>
  <c r="B1906" i="2"/>
  <c r="A1906" i="2"/>
  <c r="U1905" i="2"/>
  <c r="R1905" i="2"/>
  <c r="Q1905" i="2"/>
  <c r="P1905" i="2"/>
  <c r="O1905" i="2"/>
  <c r="M1905" i="2"/>
  <c r="L1905" i="2"/>
  <c r="K1905" i="2"/>
  <c r="J1905" i="2"/>
  <c r="I1905" i="2"/>
  <c r="H1905" i="2"/>
  <c r="G1905" i="2"/>
  <c r="F1905" i="2"/>
  <c r="E1905" i="2"/>
  <c r="D1905" i="2"/>
  <c r="C1905" i="2"/>
  <c r="B1905" i="2"/>
  <c r="A1905" i="2"/>
  <c r="U1904" i="2"/>
  <c r="R1904" i="2"/>
  <c r="Q1904" i="2"/>
  <c r="P1904" i="2"/>
  <c r="O1904" i="2"/>
  <c r="M1904" i="2"/>
  <c r="L1904" i="2"/>
  <c r="K1904" i="2"/>
  <c r="J1904" i="2"/>
  <c r="I1904" i="2"/>
  <c r="H1904" i="2"/>
  <c r="G1904" i="2"/>
  <c r="F1904" i="2"/>
  <c r="E1904" i="2"/>
  <c r="D1904" i="2"/>
  <c r="C1904" i="2"/>
  <c r="B1904" i="2"/>
  <c r="A1904" i="2"/>
  <c r="U1903" i="2"/>
  <c r="R1903" i="2"/>
  <c r="Q1903" i="2"/>
  <c r="P1903" i="2"/>
  <c r="O1903" i="2"/>
  <c r="M1903" i="2"/>
  <c r="L1903" i="2"/>
  <c r="K1903" i="2"/>
  <c r="J1903" i="2"/>
  <c r="I1903" i="2"/>
  <c r="H1903" i="2"/>
  <c r="G1903" i="2"/>
  <c r="F1903" i="2"/>
  <c r="E1903" i="2"/>
  <c r="D1903" i="2"/>
  <c r="C1903" i="2"/>
  <c r="B1903" i="2"/>
  <c r="A1903" i="2"/>
  <c r="U1902" i="2"/>
  <c r="R1902" i="2"/>
  <c r="Q1902" i="2"/>
  <c r="O1902" i="2"/>
  <c r="M1902" i="2"/>
  <c r="L1902" i="2"/>
  <c r="K1902" i="2"/>
  <c r="J1902" i="2"/>
  <c r="G1902" i="2"/>
  <c r="F1902" i="2"/>
  <c r="E1902" i="2"/>
  <c r="D1902" i="2"/>
  <c r="C1902" i="2"/>
  <c r="B1902" i="2"/>
  <c r="A1902" i="2"/>
  <c r="U1901" i="2"/>
  <c r="R1901" i="2"/>
  <c r="Q1901" i="2"/>
  <c r="O1901" i="2"/>
  <c r="M1901" i="2"/>
  <c r="L1901" i="2"/>
  <c r="K1901" i="2"/>
  <c r="J1901" i="2"/>
  <c r="G1901" i="2"/>
  <c r="F1901" i="2"/>
  <c r="E1901" i="2"/>
  <c r="D1901" i="2"/>
  <c r="C1901" i="2"/>
  <c r="B1901" i="2"/>
  <c r="A1901" i="2"/>
  <c r="Q1900" i="2"/>
  <c r="O1900" i="2"/>
  <c r="M1900" i="2"/>
  <c r="L1900" i="2"/>
  <c r="K1900" i="2"/>
  <c r="J1900" i="2"/>
  <c r="I1900" i="2"/>
  <c r="H1900" i="2"/>
  <c r="G1900" i="2"/>
  <c r="F1900" i="2"/>
  <c r="E1900" i="2"/>
  <c r="D1900" i="2"/>
  <c r="C1900" i="2"/>
  <c r="B1900" i="2"/>
  <c r="A1900" i="2"/>
  <c r="R1899" i="2"/>
  <c r="Q1899" i="2"/>
  <c r="P1899" i="2"/>
  <c r="O1899" i="2"/>
  <c r="M1899" i="2"/>
  <c r="L1899" i="2"/>
  <c r="K1899" i="2"/>
  <c r="J1899" i="2"/>
  <c r="I1899" i="2"/>
  <c r="H1899" i="2"/>
  <c r="G1899" i="2"/>
  <c r="F1899" i="2"/>
  <c r="E1899" i="2"/>
  <c r="D1899" i="2"/>
  <c r="C1899" i="2"/>
  <c r="B1899" i="2"/>
  <c r="A1899" i="2"/>
  <c r="R1898" i="2"/>
  <c r="Q1898" i="2"/>
  <c r="P1898" i="2"/>
  <c r="O1898" i="2"/>
  <c r="M1898" i="2"/>
  <c r="L1898" i="2"/>
  <c r="K1898" i="2"/>
  <c r="J1898" i="2"/>
  <c r="I1898" i="2"/>
  <c r="H1898" i="2"/>
  <c r="G1898" i="2"/>
  <c r="F1898" i="2"/>
  <c r="E1898" i="2"/>
  <c r="D1898" i="2"/>
  <c r="C1898" i="2"/>
  <c r="B1898" i="2"/>
  <c r="A1898" i="2"/>
  <c r="R1897" i="2"/>
  <c r="Q1897" i="2"/>
  <c r="O1897" i="2"/>
  <c r="M1897" i="2"/>
  <c r="L1897" i="2"/>
  <c r="K1897" i="2"/>
  <c r="J1897" i="2"/>
  <c r="G1897" i="2"/>
  <c r="F1897" i="2"/>
  <c r="E1897" i="2"/>
  <c r="D1897" i="2"/>
  <c r="C1897" i="2"/>
  <c r="B1897" i="2"/>
  <c r="A1897" i="2"/>
  <c r="R1896" i="2"/>
  <c r="Q1896" i="2"/>
  <c r="O1896" i="2"/>
  <c r="M1896" i="2"/>
  <c r="L1896" i="2"/>
  <c r="K1896" i="2"/>
  <c r="J1896" i="2"/>
  <c r="G1896" i="2"/>
  <c r="F1896" i="2"/>
  <c r="E1896" i="2"/>
  <c r="D1896" i="2"/>
  <c r="C1896" i="2"/>
  <c r="B1896" i="2"/>
  <c r="A1896" i="2"/>
  <c r="R1895" i="2"/>
  <c r="Q1895" i="2"/>
  <c r="O1895" i="2"/>
  <c r="M1895" i="2"/>
  <c r="L1895" i="2"/>
  <c r="K1895" i="2"/>
  <c r="J1895" i="2"/>
  <c r="G1895" i="2"/>
  <c r="F1895" i="2"/>
  <c r="E1895" i="2"/>
  <c r="D1895" i="2"/>
  <c r="C1895" i="2"/>
  <c r="B1895" i="2"/>
  <c r="A1895" i="2"/>
  <c r="R1894" i="2"/>
  <c r="Q1894" i="2"/>
  <c r="O1894" i="2"/>
  <c r="M1894" i="2"/>
  <c r="L1894" i="2"/>
  <c r="K1894" i="2"/>
  <c r="J1894" i="2"/>
  <c r="G1894" i="2"/>
  <c r="F1894" i="2"/>
  <c r="E1894" i="2"/>
  <c r="D1894" i="2"/>
  <c r="C1894" i="2"/>
  <c r="B1894" i="2"/>
  <c r="A1894" i="2"/>
  <c r="Q1893" i="2"/>
  <c r="O1893" i="2"/>
  <c r="M1893" i="2"/>
  <c r="L1893" i="2"/>
  <c r="K1893" i="2"/>
  <c r="J1893" i="2"/>
  <c r="I1893" i="2"/>
  <c r="H1893" i="2"/>
  <c r="G1893" i="2"/>
  <c r="F1893" i="2"/>
  <c r="E1893" i="2"/>
  <c r="D1893" i="2"/>
  <c r="C1893" i="2"/>
  <c r="B1893" i="2"/>
  <c r="A1893" i="2"/>
  <c r="U1892" i="2"/>
  <c r="R1892" i="2"/>
  <c r="Q1892" i="2"/>
  <c r="P1892" i="2"/>
  <c r="O1892" i="2"/>
  <c r="M1892" i="2"/>
  <c r="L1892" i="2"/>
  <c r="K1892" i="2"/>
  <c r="J1892" i="2"/>
  <c r="I1892" i="2"/>
  <c r="H1892" i="2"/>
  <c r="G1892" i="2"/>
  <c r="F1892" i="2"/>
  <c r="E1892" i="2"/>
  <c r="D1892" i="2"/>
  <c r="C1892" i="2"/>
  <c r="B1892" i="2"/>
  <c r="A1892" i="2"/>
  <c r="U1891" i="2"/>
  <c r="R1891" i="2"/>
  <c r="Q1891" i="2"/>
  <c r="P1891" i="2"/>
  <c r="O1891" i="2"/>
  <c r="M1891" i="2"/>
  <c r="L1891" i="2"/>
  <c r="K1891" i="2"/>
  <c r="J1891" i="2"/>
  <c r="I1891" i="2"/>
  <c r="H1891" i="2"/>
  <c r="G1891" i="2"/>
  <c r="F1891" i="2"/>
  <c r="E1891" i="2"/>
  <c r="D1891" i="2"/>
  <c r="C1891" i="2"/>
  <c r="B1891" i="2"/>
  <c r="A1891" i="2"/>
  <c r="U1890" i="2"/>
  <c r="R1890" i="2"/>
  <c r="Q1890" i="2"/>
  <c r="P1890" i="2"/>
  <c r="O1890" i="2"/>
  <c r="M1890" i="2"/>
  <c r="L1890" i="2"/>
  <c r="K1890" i="2"/>
  <c r="J1890" i="2"/>
  <c r="I1890" i="2"/>
  <c r="H1890" i="2"/>
  <c r="G1890" i="2"/>
  <c r="F1890" i="2"/>
  <c r="E1890" i="2"/>
  <c r="D1890" i="2"/>
  <c r="C1890" i="2"/>
  <c r="B1890" i="2"/>
  <c r="A1890" i="2"/>
  <c r="U1889" i="2"/>
  <c r="R1889" i="2"/>
  <c r="Q1889" i="2"/>
  <c r="P1889" i="2"/>
  <c r="O1889" i="2"/>
  <c r="M1889" i="2"/>
  <c r="L1889" i="2"/>
  <c r="K1889" i="2"/>
  <c r="J1889" i="2"/>
  <c r="I1889" i="2"/>
  <c r="H1889" i="2"/>
  <c r="G1889" i="2"/>
  <c r="F1889" i="2"/>
  <c r="E1889" i="2"/>
  <c r="D1889" i="2"/>
  <c r="C1889" i="2"/>
  <c r="B1889" i="2"/>
  <c r="A1889" i="2"/>
  <c r="U1888" i="2"/>
  <c r="R1888" i="2"/>
  <c r="Q1888" i="2"/>
  <c r="P1888" i="2"/>
  <c r="O1888" i="2"/>
  <c r="M1888" i="2"/>
  <c r="L1888" i="2"/>
  <c r="K1888" i="2"/>
  <c r="J1888" i="2"/>
  <c r="I1888" i="2"/>
  <c r="H1888" i="2"/>
  <c r="G1888" i="2"/>
  <c r="F1888" i="2"/>
  <c r="E1888" i="2"/>
  <c r="D1888" i="2"/>
  <c r="C1888" i="2"/>
  <c r="B1888" i="2"/>
  <c r="A1888" i="2"/>
  <c r="U1887" i="2"/>
  <c r="R1887" i="2"/>
  <c r="Q1887" i="2"/>
  <c r="P1887" i="2"/>
  <c r="O1887" i="2"/>
  <c r="M1887" i="2"/>
  <c r="L1887" i="2"/>
  <c r="K1887" i="2"/>
  <c r="J1887" i="2"/>
  <c r="I1887" i="2"/>
  <c r="H1887" i="2"/>
  <c r="G1887" i="2"/>
  <c r="F1887" i="2"/>
  <c r="E1887" i="2"/>
  <c r="D1887" i="2"/>
  <c r="C1887" i="2"/>
  <c r="B1887" i="2"/>
  <c r="A1887" i="2"/>
  <c r="U1886" i="2"/>
  <c r="R1886" i="2"/>
  <c r="Q1886" i="2"/>
  <c r="P1886" i="2"/>
  <c r="O1886" i="2"/>
  <c r="M1886" i="2"/>
  <c r="L1886" i="2"/>
  <c r="K1886" i="2"/>
  <c r="J1886" i="2"/>
  <c r="I1886" i="2"/>
  <c r="H1886" i="2"/>
  <c r="G1886" i="2"/>
  <c r="F1886" i="2"/>
  <c r="E1886" i="2"/>
  <c r="D1886" i="2"/>
  <c r="C1886" i="2"/>
  <c r="B1886" i="2"/>
  <c r="A1886" i="2"/>
  <c r="U1885" i="2"/>
  <c r="R1885" i="2"/>
  <c r="Q1885" i="2"/>
  <c r="P1885" i="2"/>
  <c r="O1885" i="2"/>
  <c r="M1885" i="2"/>
  <c r="L1885" i="2"/>
  <c r="K1885" i="2"/>
  <c r="J1885" i="2"/>
  <c r="I1885" i="2"/>
  <c r="H1885" i="2"/>
  <c r="G1885" i="2"/>
  <c r="F1885" i="2"/>
  <c r="E1885" i="2"/>
  <c r="D1885" i="2"/>
  <c r="C1885" i="2"/>
  <c r="B1885" i="2"/>
  <c r="A1885" i="2"/>
  <c r="U1884" i="2"/>
  <c r="R1884" i="2"/>
  <c r="Q1884" i="2"/>
  <c r="P1884" i="2"/>
  <c r="O1884" i="2"/>
  <c r="M1884" i="2"/>
  <c r="L1884" i="2"/>
  <c r="K1884" i="2"/>
  <c r="J1884" i="2"/>
  <c r="I1884" i="2"/>
  <c r="H1884" i="2"/>
  <c r="G1884" i="2"/>
  <c r="F1884" i="2"/>
  <c r="E1884" i="2"/>
  <c r="D1884" i="2"/>
  <c r="C1884" i="2"/>
  <c r="B1884" i="2"/>
  <c r="A1884" i="2"/>
  <c r="U1883" i="2"/>
  <c r="R1883" i="2"/>
  <c r="Q1883" i="2"/>
  <c r="P1883" i="2"/>
  <c r="O1883" i="2"/>
  <c r="M1883" i="2"/>
  <c r="L1883" i="2"/>
  <c r="K1883" i="2"/>
  <c r="J1883" i="2"/>
  <c r="I1883" i="2"/>
  <c r="H1883" i="2"/>
  <c r="G1883" i="2"/>
  <c r="F1883" i="2"/>
  <c r="E1883" i="2"/>
  <c r="D1883" i="2"/>
  <c r="C1883" i="2"/>
  <c r="B1883" i="2"/>
  <c r="A1883" i="2"/>
  <c r="U1882" i="2"/>
  <c r="R1882" i="2"/>
  <c r="Q1882" i="2"/>
  <c r="P1882" i="2"/>
  <c r="O1882" i="2"/>
  <c r="M1882" i="2"/>
  <c r="L1882" i="2"/>
  <c r="K1882" i="2"/>
  <c r="J1882" i="2"/>
  <c r="I1882" i="2"/>
  <c r="H1882" i="2"/>
  <c r="G1882" i="2"/>
  <c r="F1882" i="2"/>
  <c r="E1882" i="2"/>
  <c r="D1882" i="2"/>
  <c r="C1882" i="2"/>
  <c r="B1882" i="2"/>
  <c r="A1882" i="2"/>
  <c r="U1881" i="2"/>
  <c r="R1881" i="2"/>
  <c r="Q1881" i="2"/>
  <c r="P1881" i="2"/>
  <c r="O1881" i="2"/>
  <c r="M1881" i="2"/>
  <c r="L1881" i="2"/>
  <c r="K1881" i="2"/>
  <c r="J1881" i="2"/>
  <c r="I1881" i="2"/>
  <c r="H1881" i="2"/>
  <c r="G1881" i="2"/>
  <c r="F1881" i="2"/>
  <c r="E1881" i="2"/>
  <c r="D1881" i="2"/>
  <c r="C1881" i="2"/>
  <c r="B1881" i="2"/>
  <c r="A1881" i="2"/>
  <c r="U1880" i="2"/>
  <c r="R1880" i="2"/>
  <c r="Q1880" i="2"/>
  <c r="O1880" i="2"/>
  <c r="M1880" i="2"/>
  <c r="L1880" i="2"/>
  <c r="K1880" i="2"/>
  <c r="J1880" i="2"/>
  <c r="G1880" i="2"/>
  <c r="F1880" i="2"/>
  <c r="E1880" i="2"/>
  <c r="D1880" i="2"/>
  <c r="C1880" i="2"/>
  <c r="B1880" i="2"/>
  <c r="A1880" i="2"/>
  <c r="R1879" i="2"/>
  <c r="Q1879" i="2"/>
  <c r="P1879" i="2"/>
  <c r="O1879" i="2"/>
  <c r="M1879" i="2"/>
  <c r="L1879" i="2"/>
  <c r="K1879" i="2"/>
  <c r="J1879" i="2"/>
  <c r="I1879" i="2"/>
  <c r="H1879" i="2"/>
  <c r="G1879" i="2"/>
  <c r="F1879" i="2"/>
  <c r="E1879" i="2"/>
  <c r="D1879" i="2"/>
  <c r="C1879" i="2"/>
  <c r="B1879" i="2"/>
  <c r="A1879" i="2"/>
  <c r="R1878" i="2"/>
  <c r="Q1878" i="2"/>
  <c r="P1878" i="2"/>
  <c r="O1878" i="2"/>
  <c r="M1878" i="2"/>
  <c r="L1878" i="2"/>
  <c r="K1878" i="2"/>
  <c r="J1878" i="2"/>
  <c r="I1878" i="2"/>
  <c r="H1878" i="2"/>
  <c r="G1878" i="2"/>
  <c r="F1878" i="2"/>
  <c r="E1878" i="2"/>
  <c r="D1878" i="2"/>
  <c r="C1878" i="2"/>
  <c r="B1878" i="2"/>
  <c r="A1878" i="2"/>
  <c r="R1877" i="2"/>
  <c r="Q1877" i="2"/>
  <c r="O1877" i="2"/>
  <c r="M1877" i="2"/>
  <c r="L1877" i="2"/>
  <c r="K1877" i="2"/>
  <c r="J1877" i="2"/>
  <c r="G1877" i="2"/>
  <c r="F1877" i="2"/>
  <c r="E1877" i="2"/>
  <c r="D1877" i="2"/>
  <c r="C1877" i="2"/>
  <c r="B1877" i="2"/>
  <c r="A1877" i="2"/>
  <c r="U1876" i="2"/>
  <c r="R1876" i="2"/>
  <c r="Q1876" i="2"/>
  <c r="O1876" i="2"/>
  <c r="M1876" i="2"/>
  <c r="L1876" i="2"/>
  <c r="K1876" i="2"/>
  <c r="J1876" i="2"/>
  <c r="G1876" i="2"/>
  <c r="F1876" i="2"/>
  <c r="E1876" i="2"/>
  <c r="D1876" i="2"/>
  <c r="C1876" i="2"/>
  <c r="B1876" i="2"/>
  <c r="A1876" i="2"/>
  <c r="U1875" i="2"/>
  <c r="R1875" i="2"/>
  <c r="Q1875" i="2"/>
  <c r="P1875" i="2"/>
  <c r="O1875" i="2"/>
  <c r="M1875" i="2"/>
  <c r="L1875" i="2"/>
  <c r="K1875" i="2"/>
  <c r="J1875" i="2"/>
  <c r="I1875" i="2"/>
  <c r="H1875" i="2"/>
  <c r="G1875" i="2"/>
  <c r="F1875" i="2"/>
  <c r="E1875" i="2"/>
  <c r="D1875" i="2"/>
  <c r="C1875" i="2"/>
  <c r="B1875" i="2"/>
  <c r="A1875" i="2"/>
  <c r="U1874" i="2"/>
  <c r="R1874" i="2"/>
  <c r="Q1874" i="2"/>
  <c r="P1874" i="2"/>
  <c r="O1874" i="2"/>
  <c r="M1874" i="2"/>
  <c r="L1874" i="2"/>
  <c r="K1874" i="2"/>
  <c r="J1874" i="2"/>
  <c r="I1874" i="2"/>
  <c r="H1874" i="2"/>
  <c r="G1874" i="2"/>
  <c r="F1874" i="2"/>
  <c r="E1874" i="2"/>
  <c r="D1874" i="2"/>
  <c r="C1874" i="2"/>
  <c r="B1874" i="2"/>
  <c r="A1874" i="2"/>
  <c r="U1873" i="2"/>
  <c r="R1873" i="2"/>
  <c r="Q1873" i="2"/>
  <c r="O1873" i="2"/>
  <c r="M1873" i="2"/>
  <c r="L1873" i="2"/>
  <c r="K1873" i="2"/>
  <c r="J1873" i="2"/>
  <c r="G1873" i="2"/>
  <c r="F1873" i="2"/>
  <c r="E1873" i="2"/>
  <c r="D1873" i="2"/>
  <c r="C1873" i="2"/>
  <c r="B1873" i="2"/>
  <c r="A1873" i="2"/>
  <c r="U1872" i="2"/>
  <c r="R1872" i="2"/>
  <c r="Q1872" i="2"/>
  <c r="O1872" i="2"/>
  <c r="M1872" i="2"/>
  <c r="L1872" i="2"/>
  <c r="K1872" i="2"/>
  <c r="J1872" i="2"/>
  <c r="G1872" i="2"/>
  <c r="F1872" i="2"/>
  <c r="E1872" i="2"/>
  <c r="D1872" i="2"/>
  <c r="C1872" i="2"/>
  <c r="B1872" i="2"/>
  <c r="A1872" i="2"/>
  <c r="U1871" i="2"/>
  <c r="R1871" i="2"/>
  <c r="Q1871" i="2"/>
  <c r="O1871" i="2"/>
  <c r="M1871" i="2"/>
  <c r="L1871" i="2"/>
  <c r="K1871" i="2"/>
  <c r="J1871" i="2"/>
  <c r="G1871" i="2"/>
  <c r="F1871" i="2"/>
  <c r="E1871" i="2"/>
  <c r="D1871" i="2"/>
  <c r="C1871" i="2"/>
  <c r="B1871" i="2"/>
  <c r="A1871" i="2"/>
  <c r="U1870" i="2"/>
  <c r="R1870" i="2"/>
  <c r="Q1870" i="2"/>
  <c r="O1870" i="2"/>
  <c r="M1870" i="2"/>
  <c r="L1870" i="2"/>
  <c r="K1870" i="2"/>
  <c r="J1870" i="2"/>
  <c r="G1870" i="2"/>
  <c r="F1870" i="2"/>
  <c r="E1870" i="2"/>
  <c r="D1870" i="2"/>
  <c r="C1870" i="2"/>
  <c r="B1870" i="2"/>
  <c r="A1870" i="2"/>
  <c r="U1869" i="2"/>
  <c r="R1869" i="2"/>
  <c r="Q1869" i="2"/>
  <c r="O1869" i="2"/>
  <c r="M1869" i="2"/>
  <c r="L1869" i="2"/>
  <c r="K1869" i="2"/>
  <c r="J1869" i="2"/>
  <c r="G1869" i="2"/>
  <c r="F1869" i="2"/>
  <c r="E1869" i="2"/>
  <c r="D1869" i="2"/>
  <c r="C1869" i="2"/>
  <c r="B1869" i="2"/>
  <c r="A1869" i="2"/>
  <c r="U1868" i="2"/>
  <c r="R1868" i="2"/>
  <c r="Q1868" i="2"/>
  <c r="O1868" i="2"/>
  <c r="M1868" i="2"/>
  <c r="L1868" i="2"/>
  <c r="K1868" i="2"/>
  <c r="J1868" i="2"/>
  <c r="G1868" i="2"/>
  <c r="F1868" i="2"/>
  <c r="E1868" i="2"/>
  <c r="D1868" i="2"/>
  <c r="C1868" i="2"/>
  <c r="B1868" i="2"/>
  <c r="A1868" i="2"/>
  <c r="U1867" i="2"/>
  <c r="R1867" i="2"/>
  <c r="Q1867" i="2"/>
  <c r="O1867" i="2"/>
  <c r="M1867" i="2"/>
  <c r="L1867" i="2"/>
  <c r="K1867" i="2"/>
  <c r="J1867" i="2"/>
  <c r="G1867" i="2"/>
  <c r="F1867" i="2"/>
  <c r="E1867" i="2"/>
  <c r="D1867" i="2"/>
  <c r="C1867" i="2"/>
  <c r="B1867" i="2"/>
  <c r="A1867" i="2"/>
  <c r="R1866" i="2"/>
  <c r="Q1866" i="2"/>
  <c r="P1866" i="2"/>
  <c r="O1866" i="2"/>
  <c r="M1866" i="2"/>
  <c r="L1866" i="2"/>
  <c r="K1866" i="2"/>
  <c r="J1866" i="2"/>
  <c r="I1866" i="2"/>
  <c r="H1866" i="2"/>
  <c r="G1866" i="2"/>
  <c r="F1866" i="2"/>
  <c r="E1866" i="2"/>
  <c r="D1866" i="2"/>
  <c r="C1866" i="2"/>
  <c r="B1866" i="2"/>
  <c r="A1866" i="2"/>
  <c r="R1865" i="2"/>
  <c r="Q1865" i="2"/>
  <c r="P1865" i="2"/>
  <c r="O1865" i="2"/>
  <c r="M1865" i="2"/>
  <c r="L1865" i="2"/>
  <c r="K1865" i="2"/>
  <c r="J1865" i="2"/>
  <c r="I1865" i="2"/>
  <c r="H1865" i="2"/>
  <c r="G1865" i="2"/>
  <c r="F1865" i="2"/>
  <c r="E1865" i="2"/>
  <c r="D1865" i="2"/>
  <c r="C1865" i="2"/>
  <c r="B1865" i="2"/>
  <c r="A1865" i="2"/>
  <c r="U1864" i="2"/>
  <c r="R1864" i="2"/>
  <c r="Q1864" i="2"/>
  <c r="O1864" i="2"/>
  <c r="M1864" i="2"/>
  <c r="L1864" i="2"/>
  <c r="K1864" i="2"/>
  <c r="J1864" i="2"/>
  <c r="G1864" i="2"/>
  <c r="F1864" i="2"/>
  <c r="E1864" i="2"/>
  <c r="D1864" i="2"/>
  <c r="C1864" i="2"/>
  <c r="B1864" i="2"/>
  <c r="A1864" i="2"/>
  <c r="R1863" i="2"/>
  <c r="Q1863" i="2"/>
  <c r="O1863" i="2"/>
  <c r="M1863" i="2"/>
  <c r="L1863" i="2"/>
  <c r="K1863" i="2"/>
  <c r="J1863" i="2"/>
  <c r="G1863" i="2"/>
  <c r="F1863" i="2"/>
  <c r="E1863" i="2"/>
  <c r="D1863" i="2"/>
  <c r="C1863" i="2"/>
  <c r="B1863" i="2"/>
  <c r="A1863" i="2"/>
  <c r="R1862" i="2"/>
  <c r="Q1862" i="2"/>
  <c r="O1862" i="2"/>
  <c r="M1862" i="2"/>
  <c r="L1862" i="2"/>
  <c r="K1862" i="2"/>
  <c r="J1862" i="2"/>
  <c r="G1862" i="2"/>
  <c r="F1862" i="2"/>
  <c r="E1862" i="2"/>
  <c r="D1862" i="2"/>
  <c r="C1862" i="2"/>
  <c r="B1862" i="2"/>
  <c r="A1862" i="2"/>
  <c r="R1861" i="2"/>
  <c r="Q1861" i="2"/>
  <c r="P1861" i="2"/>
  <c r="O1861" i="2"/>
  <c r="M1861" i="2"/>
  <c r="L1861" i="2"/>
  <c r="K1861" i="2"/>
  <c r="J1861" i="2"/>
  <c r="I1861" i="2"/>
  <c r="H1861" i="2"/>
  <c r="G1861" i="2"/>
  <c r="F1861" i="2"/>
  <c r="E1861" i="2"/>
  <c r="D1861" i="2"/>
  <c r="C1861" i="2"/>
  <c r="B1861" i="2"/>
  <c r="A1861" i="2"/>
  <c r="R1860" i="2"/>
  <c r="Q1860" i="2"/>
  <c r="P1860" i="2"/>
  <c r="O1860" i="2"/>
  <c r="M1860" i="2"/>
  <c r="L1860" i="2"/>
  <c r="K1860" i="2"/>
  <c r="J1860" i="2"/>
  <c r="I1860" i="2"/>
  <c r="H1860" i="2"/>
  <c r="G1860" i="2"/>
  <c r="F1860" i="2"/>
  <c r="E1860" i="2"/>
  <c r="D1860" i="2"/>
  <c r="C1860" i="2"/>
  <c r="B1860" i="2"/>
  <c r="A1860" i="2"/>
  <c r="R1859" i="2"/>
  <c r="Q1859" i="2"/>
  <c r="O1859" i="2"/>
  <c r="M1859" i="2"/>
  <c r="L1859" i="2"/>
  <c r="K1859" i="2"/>
  <c r="J1859" i="2"/>
  <c r="G1859" i="2"/>
  <c r="F1859" i="2"/>
  <c r="E1859" i="2"/>
  <c r="D1859" i="2"/>
  <c r="C1859" i="2"/>
  <c r="B1859" i="2"/>
  <c r="A1859" i="2"/>
  <c r="R1858" i="2"/>
  <c r="Q1858" i="2"/>
  <c r="O1858" i="2"/>
  <c r="M1858" i="2"/>
  <c r="L1858" i="2"/>
  <c r="K1858" i="2"/>
  <c r="J1858" i="2"/>
  <c r="G1858" i="2"/>
  <c r="F1858" i="2"/>
  <c r="E1858" i="2"/>
  <c r="D1858" i="2"/>
  <c r="C1858" i="2"/>
  <c r="B1858" i="2"/>
  <c r="A1858" i="2"/>
  <c r="R1857" i="2"/>
  <c r="Q1857" i="2"/>
  <c r="O1857" i="2"/>
  <c r="M1857" i="2"/>
  <c r="L1857" i="2"/>
  <c r="K1857" i="2"/>
  <c r="J1857" i="2"/>
  <c r="G1857" i="2"/>
  <c r="F1857" i="2"/>
  <c r="E1857" i="2"/>
  <c r="D1857" i="2"/>
  <c r="C1857" i="2"/>
  <c r="B1857" i="2"/>
  <c r="A1857" i="2"/>
  <c r="U1856" i="2"/>
  <c r="R1856" i="2"/>
  <c r="Q1856" i="2"/>
  <c r="O1856" i="2"/>
  <c r="M1856" i="2"/>
  <c r="L1856" i="2"/>
  <c r="K1856" i="2"/>
  <c r="J1856" i="2"/>
  <c r="G1856" i="2"/>
  <c r="F1856" i="2"/>
  <c r="E1856" i="2"/>
  <c r="D1856" i="2"/>
  <c r="C1856" i="2"/>
  <c r="B1856" i="2"/>
  <c r="A1856" i="2"/>
  <c r="R1855" i="2"/>
  <c r="Q1855" i="2"/>
  <c r="P1855" i="2"/>
  <c r="O1855" i="2"/>
  <c r="M1855" i="2"/>
  <c r="L1855" i="2"/>
  <c r="K1855" i="2"/>
  <c r="J1855" i="2"/>
  <c r="I1855" i="2"/>
  <c r="H1855" i="2"/>
  <c r="G1855" i="2"/>
  <c r="F1855" i="2"/>
  <c r="E1855" i="2"/>
  <c r="D1855" i="2"/>
  <c r="C1855" i="2"/>
  <c r="B1855" i="2"/>
  <c r="A1855" i="2"/>
  <c r="R1854" i="2"/>
  <c r="Q1854" i="2"/>
  <c r="O1854" i="2"/>
  <c r="M1854" i="2"/>
  <c r="L1854" i="2"/>
  <c r="K1854" i="2"/>
  <c r="J1854" i="2"/>
  <c r="G1854" i="2"/>
  <c r="F1854" i="2"/>
  <c r="E1854" i="2"/>
  <c r="D1854" i="2"/>
  <c r="C1854" i="2"/>
  <c r="B1854" i="2"/>
  <c r="A1854" i="2"/>
  <c r="R1853" i="2"/>
  <c r="Q1853" i="2"/>
  <c r="O1853" i="2"/>
  <c r="M1853" i="2"/>
  <c r="L1853" i="2"/>
  <c r="K1853" i="2"/>
  <c r="J1853" i="2"/>
  <c r="G1853" i="2"/>
  <c r="F1853" i="2"/>
  <c r="E1853" i="2"/>
  <c r="D1853" i="2"/>
  <c r="C1853" i="2"/>
  <c r="B1853" i="2"/>
  <c r="A1853" i="2"/>
  <c r="U1852" i="2"/>
  <c r="R1852" i="2"/>
  <c r="Q1852" i="2"/>
  <c r="P1852" i="2"/>
  <c r="O1852" i="2"/>
  <c r="M1852" i="2"/>
  <c r="L1852" i="2"/>
  <c r="K1852" i="2"/>
  <c r="J1852" i="2"/>
  <c r="I1852" i="2"/>
  <c r="H1852" i="2"/>
  <c r="G1852" i="2"/>
  <c r="F1852" i="2"/>
  <c r="E1852" i="2"/>
  <c r="D1852" i="2"/>
  <c r="C1852" i="2"/>
  <c r="B1852" i="2"/>
  <c r="A1852" i="2"/>
  <c r="U1851" i="2"/>
  <c r="R1851" i="2"/>
  <c r="Q1851" i="2"/>
  <c r="P1851" i="2"/>
  <c r="O1851" i="2"/>
  <c r="M1851" i="2"/>
  <c r="L1851" i="2"/>
  <c r="K1851" i="2"/>
  <c r="J1851" i="2"/>
  <c r="I1851" i="2"/>
  <c r="H1851" i="2"/>
  <c r="G1851" i="2"/>
  <c r="F1851" i="2"/>
  <c r="E1851" i="2"/>
  <c r="D1851" i="2"/>
  <c r="C1851" i="2"/>
  <c r="B1851" i="2"/>
  <c r="A1851" i="2"/>
  <c r="R1850" i="2"/>
  <c r="Q1850" i="2"/>
  <c r="O1850" i="2"/>
  <c r="M1850" i="2"/>
  <c r="L1850" i="2"/>
  <c r="K1850" i="2"/>
  <c r="J1850" i="2"/>
  <c r="G1850" i="2"/>
  <c r="F1850" i="2"/>
  <c r="E1850" i="2"/>
  <c r="D1850" i="2"/>
  <c r="C1850" i="2"/>
  <c r="B1850" i="2"/>
  <c r="A1850" i="2"/>
  <c r="U1849" i="2"/>
  <c r="R1849" i="2"/>
  <c r="Q1849" i="2"/>
  <c r="P1849" i="2"/>
  <c r="O1849" i="2"/>
  <c r="M1849" i="2"/>
  <c r="L1849" i="2"/>
  <c r="K1849" i="2"/>
  <c r="J1849" i="2"/>
  <c r="I1849" i="2"/>
  <c r="H1849" i="2"/>
  <c r="G1849" i="2"/>
  <c r="F1849" i="2"/>
  <c r="E1849" i="2"/>
  <c r="D1849" i="2"/>
  <c r="C1849" i="2"/>
  <c r="B1849" i="2"/>
  <c r="A1849" i="2"/>
  <c r="U1848" i="2"/>
  <c r="R1848" i="2"/>
  <c r="Q1848" i="2"/>
  <c r="P1848" i="2"/>
  <c r="O1848" i="2"/>
  <c r="M1848" i="2"/>
  <c r="L1848" i="2"/>
  <c r="K1848" i="2"/>
  <c r="J1848" i="2"/>
  <c r="I1848" i="2"/>
  <c r="H1848" i="2"/>
  <c r="G1848" i="2"/>
  <c r="F1848" i="2"/>
  <c r="E1848" i="2"/>
  <c r="D1848" i="2"/>
  <c r="C1848" i="2"/>
  <c r="B1848" i="2"/>
  <c r="A1848" i="2"/>
  <c r="U1847" i="2"/>
  <c r="R1847" i="2"/>
  <c r="Q1847" i="2"/>
  <c r="O1847" i="2"/>
  <c r="M1847" i="2"/>
  <c r="L1847" i="2"/>
  <c r="K1847" i="2"/>
  <c r="J1847" i="2"/>
  <c r="G1847" i="2"/>
  <c r="F1847" i="2"/>
  <c r="E1847" i="2"/>
  <c r="D1847" i="2"/>
  <c r="C1847" i="2"/>
  <c r="B1847" i="2"/>
  <c r="A1847" i="2"/>
  <c r="U1846" i="2"/>
  <c r="R1846" i="2"/>
  <c r="Q1846" i="2"/>
  <c r="P1846" i="2"/>
  <c r="O1846" i="2"/>
  <c r="M1846" i="2"/>
  <c r="L1846" i="2"/>
  <c r="K1846" i="2"/>
  <c r="J1846" i="2"/>
  <c r="I1846" i="2"/>
  <c r="H1846" i="2"/>
  <c r="G1846" i="2"/>
  <c r="F1846" i="2"/>
  <c r="E1846" i="2"/>
  <c r="D1846" i="2"/>
  <c r="C1846" i="2"/>
  <c r="B1846" i="2"/>
  <c r="A1846" i="2"/>
  <c r="U1845" i="2"/>
  <c r="R1845" i="2"/>
  <c r="Q1845" i="2"/>
  <c r="O1845" i="2"/>
  <c r="M1845" i="2"/>
  <c r="L1845" i="2"/>
  <c r="K1845" i="2"/>
  <c r="J1845" i="2"/>
  <c r="G1845" i="2"/>
  <c r="F1845" i="2"/>
  <c r="E1845" i="2"/>
  <c r="D1845" i="2"/>
  <c r="C1845" i="2"/>
  <c r="B1845" i="2"/>
  <c r="A1845" i="2"/>
  <c r="U1844" i="2"/>
  <c r="R1844" i="2"/>
  <c r="Q1844" i="2"/>
  <c r="O1844" i="2"/>
  <c r="M1844" i="2"/>
  <c r="L1844" i="2"/>
  <c r="K1844" i="2"/>
  <c r="J1844" i="2"/>
  <c r="G1844" i="2"/>
  <c r="F1844" i="2"/>
  <c r="E1844" i="2"/>
  <c r="D1844" i="2"/>
  <c r="C1844" i="2"/>
  <c r="B1844" i="2"/>
  <c r="A1844" i="2"/>
  <c r="R1843" i="2"/>
  <c r="Q1843" i="2"/>
  <c r="P1843" i="2"/>
  <c r="O1843" i="2"/>
  <c r="M1843" i="2"/>
  <c r="L1843" i="2"/>
  <c r="K1843" i="2"/>
  <c r="J1843" i="2"/>
  <c r="I1843" i="2"/>
  <c r="H1843" i="2"/>
  <c r="G1843" i="2"/>
  <c r="F1843" i="2"/>
  <c r="E1843" i="2"/>
  <c r="D1843" i="2"/>
  <c r="C1843" i="2"/>
  <c r="B1843" i="2"/>
  <c r="A1843" i="2"/>
  <c r="U1842" i="2"/>
  <c r="R1842" i="2"/>
  <c r="Q1842" i="2"/>
  <c r="P1842" i="2"/>
  <c r="O1842" i="2"/>
  <c r="M1842" i="2"/>
  <c r="L1842" i="2"/>
  <c r="K1842" i="2"/>
  <c r="J1842" i="2"/>
  <c r="I1842" i="2"/>
  <c r="H1842" i="2"/>
  <c r="G1842" i="2"/>
  <c r="F1842" i="2"/>
  <c r="E1842" i="2"/>
  <c r="D1842" i="2"/>
  <c r="C1842" i="2"/>
  <c r="B1842" i="2"/>
  <c r="A1842" i="2"/>
  <c r="R1841" i="2"/>
  <c r="Q1841" i="2"/>
  <c r="P1841" i="2"/>
  <c r="O1841" i="2"/>
  <c r="M1841" i="2"/>
  <c r="L1841" i="2"/>
  <c r="K1841" i="2"/>
  <c r="J1841" i="2"/>
  <c r="I1841" i="2"/>
  <c r="H1841" i="2"/>
  <c r="G1841" i="2"/>
  <c r="F1841" i="2"/>
  <c r="E1841" i="2"/>
  <c r="D1841" i="2"/>
  <c r="C1841" i="2"/>
  <c r="B1841" i="2"/>
  <c r="A1841" i="2"/>
  <c r="U1840" i="2"/>
  <c r="R1840" i="2"/>
  <c r="Q1840" i="2"/>
  <c r="O1840" i="2"/>
  <c r="M1840" i="2"/>
  <c r="L1840" i="2"/>
  <c r="K1840" i="2"/>
  <c r="J1840" i="2"/>
  <c r="G1840" i="2"/>
  <c r="F1840" i="2"/>
  <c r="E1840" i="2"/>
  <c r="D1840" i="2"/>
  <c r="C1840" i="2"/>
  <c r="B1840" i="2"/>
  <c r="A1840" i="2"/>
  <c r="U1839" i="2"/>
  <c r="R1839" i="2"/>
  <c r="Q1839" i="2"/>
  <c r="O1839" i="2"/>
  <c r="M1839" i="2"/>
  <c r="L1839" i="2"/>
  <c r="K1839" i="2"/>
  <c r="J1839" i="2"/>
  <c r="G1839" i="2"/>
  <c r="F1839" i="2"/>
  <c r="E1839" i="2"/>
  <c r="D1839" i="2"/>
  <c r="C1839" i="2"/>
  <c r="B1839" i="2"/>
  <c r="A1839" i="2"/>
  <c r="U1838" i="2"/>
  <c r="R1838" i="2"/>
  <c r="Q1838" i="2"/>
  <c r="P1838" i="2"/>
  <c r="O1838" i="2"/>
  <c r="M1838" i="2"/>
  <c r="L1838" i="2"/>
  <c r="K1838" i="2"/>
  <c r="J1838" i="2"/>
  <c r="I1838" i="2"/>
  <c r="H1838" i="2"/>
  <c r="G1838" i="2"/>
  <c r="F1838" i="2"/>
  <c r="E1838" i="2"/>
  <c r="D1838" i="2"/>
  <c r="C1838" i="2"/>
  <c r="B1838" i="2"/>
  <c r="A1838" i="2"/>
  <c r="U1837" i="2"/>
  <c r="R1837" i="2"/>
  <c r="Q1837" i="2"/>
  <c r="O1837" i="2"/>
  <c r="M1837" i="2"/>
  <c r="L1837" i="2"/>
  <c r="K1837" i="2"/>
  <c r="J1837" i="2"/>
  <c r="G1837" i="2"/>
  <c r="F1837" i="2"/>
  <c r="E1837" i="2"/>
  <c r="D1837" i="2"/>
  <c r="C1837" i="2"/>
  <c r="B1837" i="2"/>
  <c r="A1837" i="2"/>
  <c r="R1836" i="2"/>
  <c r="Q1836" i="2"/>
  <c r="P1836" i="2"/>
  <c r="O1836" i="2"/>
  <c r="M1836" i="2"/>
  <c r="L1836" i="2"/>
  <c r="K1836" i="2"/>
  <c r="J1836" i="2"/>
  <c r="I1836" i="2"/>
  <c r="H1836" i="2"/>
  <c r="G1836" i="2"/>
  <c r="F1836" i="2"/>
  <c r="E1836" i="2"/>
  <c r="D1836" i="2"/>
  <c r="C1836" i="2"/>
  <c r="B1836" i="2"/>
  <c r="A1836" i="2"/>
  <c r="U1835" i="2"/>
  <c r="R1835" i="2"/>
  <c r="Q1835" i="2"/>
  <c r="P1835" i="2"/>
  <c r="O1835" i="2"/>
  <c r="M1835" i="2"/>
  <c r="L1835" i="2"/>
  <c r="K1835" i="2"/>
  <c r="J1835" i="2"/>
  <c r="I1835" i="2"/>
  <c r="H1835" i="2"/>
  <c r="G1835" i="2"/>
  <c r="F1835" i="2"/>
  <c r="E1835" i="2"/>
  <c r="D1835" i="2"/>
  <c r="C1835" i="2"/>
  <c r="B1835" i="2"/>
  <c r="A1835" i="2"/>
  <c r="R1834" i="2"/>
  <c r="Q1834" i="2"/>
  <c r="O1834" i="2"/>
  <c r="M1834" i="2"/>
  <c r="L1834" i="2"/>
  <c r="K1834" i="2"/>
  <c r="J1834" i="2"/>
  <c r="G1834" i="2"/>
  <c r="F1834" i="2"/>
  <c r="E1834" i="2"/>
  <c r="D1834" i="2"/>
  <c r="C1834" i="2"/>
  <c r="B1834" i="2"/>
  <c r="A1834" i="2"/>
  <c r="U1833" i="2"/>
  <c r="R1833" i="2"/>
  <c r="Q1833" i="2"/>
  <c r="P1833" i="2"/>
  <c r="O1833" i="2"/>
  <c r="M1833" i="2"/>
  <c r="L1833" i="2"/>
  <c r="K1833" i="2"/>
  <c r="J1833" i="2"/>
  <c r="I1833" i="2"/>
  <c r="H1833" i="2"/>
  <c r="G1833" i="2"/>
  <c r="F1833" i="2"/>
  <c r="E1833" i="2"/>
  <c r="D1833" i="2"/>
  <c r="C1833" i="2"/>
  <c r="B1833" i="2"/>
  <c r="A1833" i="2"/>
  <c r="U1832" i="2"/>
  <c r="R1832" i="2"/>
  <c r="Q1832" i="2"/>
  <c r="P1832" i="2"/>
  <c r="O1832" i="2"/>
  <c r="M1832" i="2"/>
  <c r="L1832" i="2"/>
  <c r="K1832" i="2"/>
  <c r="J1832" i="2"/>
  <c r="I1832" i="2"/>
  <c r="H1832" i="2"/>
  <c r="G1832" i="2"/>
  <c r="F1832" i="2"/>
  <c r="E1832" i="2"/>
  <c r="D1832" i="2"/>
  <c r="C1832" i="2"/>
  <c r="B1832" i="2"/>
  <c r="A1832" i="2"/>
  <c r="U1831" i="2"/>
  <c r="R1831" i="2"/>
  <c r="Q1831" i="2"/>
  <c r="P1831" i="2"/>
  <c r="O1831" i="2"/>
  <c r="M1831" i="2"/>
  <c r="L1831" i="2"/>
  <c r="K1831" i="2"/>
  <c r="J1831" i="2"/>
  <c r="I1831" i="2"/>
  <c r="H1831" i="2"/>
  <c r="G1831" i="2"/>
  <c r="F1831" i="2"/>
  <c r="E1831" i="2"/>
  <c r="D1831" i="2"/>
  <c r="C1831" i="2"/>
  <c r="B1831" i="2"/>
  <c r="A1831" i="2"/>
  <c r="U1830" i="2"/>
  <c r="R1830" i="2"/>
  <c r="Q1830" i="2"/>
  <c r="P1830" i="2"/>
  <c r="O1830" i="2"/>
  <c r="M1830" i="2"/>
  <c r="L1830" i="2"/>
  <c r="K1830" i="2"/>
  <c r="J1830" i="2"/>
  <c r="I1830" i="2"/>
  <c r="H1830" i="2"/>
  <c r="G1830" i="2"/>
  <c r="F1830" i="2"/>
  <c r="E1830" i="2"/>
  <c r="D1830" i="2"/>
  <c r="C1830" i="2"/>
  <c r="B1830" i="2"/>
  <c r="A1830" i="2"/>
  <c r="U1829" i="2"/>
  <c r="R1829" i="2"/>
  <c r="Q1829" i="2"/>
  <c r="P1829" i="2"/>
  <c r="O1829" i="2"/>
  <c r="M1829" i="2"/>
  <c r="L1829" i="2"/>
  <c r="K1829" i="2"/>
  <c r="J1829" i="2"/>
  <c r="I1829" i="2"/>
  <c r="H1829" i="2"/>
  <c r="G1829" i="2"/>
  <c r="F1829" i="2"/>
  <c r="E1829" i="2"/>
  <c r="D1829" i="2"/>
  <c r="C1829" i="2"/>
  <c r="B1829" i="2"/>
  <c r="A1829" i="2"/>
  <c r="U1828" i="2"/>
  <c r="R1828" i="2"/>
  <c r="Q1828" i="2"/>
  <c r="P1828" i="2"/>
  <c r="O1828" i="2"/>
  <c r="M1828" i="2"/>
  <c r="L1828" i="2"/>
  <c r="K1828" i="2"/>
  <c r="J1828" i="2"/>
  <c r="I1828" i="2"/>
  <c r="H1828" i="2"/>
  <c r="G1828" i="2"/>
  <c r="F1828" i="2"/>
  <c r="E1828" i="2"/>
  <c r="D1828" i="2"/>
  <c r="C1828" i="2"/>
  <c r="B1828" i="2"/>
  <c r="A1828" i="2"/>
  <c r="U1827" i="2"/>
  <c r="R1827" i="2"/>
  <c r="Q1827" i="2"/>
  <c r="P1827" i="2"/>
  <c r="O1827" i="2"/>
  <c r="M1827" i="2"/>
  <c r="L1827" i="2"/>
  <c r="K1827" i="2"/>
  <c r="J1827" i="2"/>
  <c r="I1827" i="2"/>
  <c r="H1827" i="2"/>
  <c r="G1827" i="2"/>
  <c r="F1827" i="2"/>
  <c r="E1827" i="2"/>
  <c r="D1827" i="2"/>
  <c r="C1827" i="2"/>
  <c r="B1827" i="2"/>
  <c r="A1827" i="2"/>
  <c r="U1826" i="2"/>
  <c r="R1826" i="2"/>
  <c r="Q1826" i="2"/>
  <c r="P1826" i="2"/>
  <c r="O1826" i="2"/>
  <c r="M1826" i="2"/>
  <c r="L1826" i="2"/>
  <c r="K1826" i="2"/>
  <c r="J1826" i="2"/>
  <c r="I1826" i="2"/>
  <c r="H1826" i="2"/>
  <c r="G1826" i="2"/>
  <c r="F1826" i="2"/>
  <c r="E1826" i="2"/>
  <c r="D1826" i="2"/>
  <c r="C1826" i="2"/>
  <c r="B1826" i="2"/>
  <c r="A1826" i="2"/>
  <c r="U1825" i="2"/>
  <c r="R1825" i="2"/>
  <c r="Q1825" i="2"/>
  <c r="O1825" i="2"/>
  <c r="M1825" i="2"/>
  <c r="L1825" i="2"/>
  <c r="K1825" i="2"/>
  <c r="J1825" i="2"/>
  <c r="G1825" i="2"/>
  <c r="F1825" i="2"/>
  <c r="E1825" i="2"/>
  <c r="D1825" i="2"/>
  <c r="C1825" i="2"/>
  <c r="B1825" i="2"/>
  <c r="A1825" i="2"/>
  <c r="U1824" i="2"/>
  <c r="R1824" i="2"/>
  <c r="Q1824" i="2"/>
  <c r="P1824" i="2"/>
  <c r="O1824" i="2"/>
  <c r="M1824" i="2"/>
  <c r="L1824" i="2"/>
  <c r="K1824" i="2"/>
  <c r="J1824" i="2"/>
  <c r="I1824" i="2"/>
  <c r="H1824" i="2"/>
  <c r="G1824" i="2"/>
  <c r="F1824" i="2"/>
  <c r="E1824" i="2"/>
  <c r="D1824" i="2"/>
  <c r="C1824" i="2"/>
  <c r="B1824" i="2"/>
  <c r="A1824" i="2"/>
  <c r="R1823" i="2"/>
  <c r="Q1823" i="2"/>
  <c r="P1823" i="2"/>
  <c r="O1823" i="2"/>
  <c r="M1823" i="2"/>
  <c r="L1823" i="2"/>
  <c r="K1823" i="2"/>
  <c r="J1823" i="2"/>
  <c r="I1823" i="2"/>
  <c r="H1823" i="2"/>
  <c r="G1823" i="2"/>
  <c r="F1823" i="2"/>
  <c r="E1823" i="2"/>
  <c r="D1823" i="2"/>
  <c r="C1823" i="2"/>
  <c r="B1823" i="2"/>
  <c r="A1823" i="2"/>
  <c r="U1822" i="2"/>
  <c r="R1822" i="2"/>
  <c r="Q1822" i="2"/>
  <c r="P1822" i="2"/>
  <c r="O1822" i="2"/>
  <c r="M1822" i="2"/>
  <c r="L1822" i="2"/>
  <c r="K1822" i="2"/>
  <c r="J1822" i="2"/>
  <c r="I1822" i="2"/>
  <c r="H1822" i="2"/>
  <c r="G1822" i="2"/>
  <c r="F1822" i="2"/>
  <c r="E1822" i="2"/>
  <c r="D1822" i="2"/>
  <c r="C1822" i="2"/>
  <c r="B1822" i="2"/>
  <c r="A1822" i="2"/>
  <c r="R1821" i="2"/>
  <c r="Q1821" i="2"/>
  <c r="P1821" i="2"/>
  <c r="O1821" i="2"/>
  <c r="M1821" i="2"/>
  <c r="L1821" i="2"/>
  <c r="K1821" i="2"/>
  <c r="J1821" i="2"/>
  <c r="I1821" i="2"/>
  <c r="H1821" i="2"/>
  <c r="G1821" i="2"/>
  <c r="F1821" i="2"/>
  <c r="E1821" i="2"/>
  <c r="D1821" i="2"/>
  <c r="C1821" i="2"/>
  <c r="B1821" i="2"/>
  <c r="A1821" i="2"/>
  <c r="U1820" i="2"/>
  <c r="R1820" i="2"/>
  <c r="Q1820" i="2"/>
  <c r="O1820" i="2"/>
  <c r="M1820" i="2"/>
  <c r="L1820" i="2"/>
  <c r="K1820" i="2"/>
  <c r="J1820" i="2"/>
  <c r="G1820" i="2"/>
  <c r="F1820" i="2"/>
  <c r="E1820" i="2"/>
  <c r="D1820" i="2"/>
  <c r="C1820" i="2"/>
  <c r="B1820" i="2"/>
  <c r="A1820" i="2"/>
  <c r="R1819" i="2"/>
  <c r="Q1819" i="2"/>
  <c r="O1819" i="2"/>
  <c r="M1819" i="2"/>
  <c r="L1819" i="2"/>
  <c r="K1819" i="2"/>
  <c r="J1819" i="2"/>
  <c r="G1819" i="2"/>
  <c r="F1819" i="2"/>
  <c r="E1819" i="2"/>
  <c r="D1819" i="2"/>
  <c r="C1819" i="2"/>
  <c r="B1819" i="2"/>
  <c r="A1819" i="2"/>
  <c r="R1818" i="2"/>
  <c r="Q1818" i="2"/>
  <c r="P1818" i="2"/>
  <c r="O1818" i="2"/>
  <c r="M1818" i="2"/>
  <c r="L1818" i="2"/>
  <c r="K1818" i="2"/>
  <c r="J1818" i="2"/>
  <c r="I1818" i="2"/>
  <c r="H1818" i="2"/>
  <c r="G1818" i="2"/>
  <c r="F1818" i="2"/>
  <c r="E1818" i="2"/>
  <c r="D1818" i="2"/>
  <c r="C1818" i="2"/>
  <c r="B1818" i="2"/>
  <c r="A1818" i="2"/>
  <c r="R1817" i="2"/>
  <c r="Q1817" i="2"/>
  <c r="P1817" i="2"/>
  <c r="O1817" i="2"/>
  <c r="M1817" i="2"/>
  <c r="L1817" i="2"/>
  <c r="K1817" i="2"/>
  <c r="J1817" i="2"/>
  <c r="I1817" i="2"/>
  <c r="H1817" i="2"/>
  <c r="G1817" i="2"/>
  <c r="F1817" i="2"/>
  <c r="E1817" i="2"/>
  <c r="D1817" i="2"/>
  <c r="C1817" i="2"/>
  <c r="B1817" i="2"/>
  <c r="A1817" i="2"/>
  <c r="U1816" i="2"/>
  <c r="R1816" i="2"/>
  <c r="Q1816" i="2"/>
  <c r="P1816" i="2"/>
  <c r="O1816" i="2"/>
  <c r="M1816" i="2"/>
  <c r="L1816" i="2"/>
  <c r="K1816" i="2"/>
  <c r="J1816" i="2"/>
  <c r="I1816" i="2"/>
  <c r="H1816" i="2"/>
  <c r="G1816" i="2"/>
  <c r="F1816" i="2"/>
  <c r="E1816" i="2"/>
  <c r="D1816" i="2"/>
  <c r="C1816" i="2"/>
  <c r="B1816" i="2"/>
  <c r="A1816" i="2"/>
  <c r="U1815" i="2"/>
  <c r="R1815" i="2"/>
  <c r="Q1815" i="2"/>
  <c r="P1815" i="2"/>
  <c r="O1815" i="2"/>
  <c r="M1815" i="2"/>
  <c r="L1815" i="2"/>
  <c r="K1815" i="2"/>
  <c r="J1815" i="2"/>
  <c r="I1815" i="2"/>
  <c r="H1815" i="2"/>
  <c r="G1815" i="2"/>
  <c r="F1815" i="2"/>
  <c r="E1815" i="2"/>
  <c r="D1815" i="2"/>
  <c r="C1815" i="2"/>
  <c r="B1815" i="2"/>
  <c r="A1815" i="2"/>
  <c r="R1814" i="2"/>
  <c r="Q1814" i="2"/>
  <c r="P1814" i="2"/>
  <c r="O1814" i="2"/>
  <c r="M1814" i="2"/>
  <c r="L1814" i="2"/>
  <c r="K1814" i="2"/>
  <c r="J1814" i="2"/>
  <c r="I1814" i="2"/>
  <c r="H1814" i="2"/>
  <c r="G1814" i="2"/>
  <c r="F1814" i="2"/>
  <c r="E1814" i="2"/>
  <c r="D1814" i="2"/>
  <c r="C1814" i="2"/>
  <c r="B1814" i="2"/>
  <c r="A1814" i="2"/>
  <c r="R1813" i="2"/>
  <c r="Q1813" i="2"/>
  <c r="P1813" i="2"/>
  <c r="O1813" i="2"/>
  <c r="N1813" i="2"/>
  <c r="M1813" i="2"/>
  <c r="L1813" i="2"/>
  <c r="K1813" i="2"/>
  <c r="J1813" i="2"/>
  <c r="I1813" i="2"/>
  <c r="H1813" i="2"/>
  <c r="G1813" i="2"/>
  <c r="F1813" i="2"/>
  <c r="E1813" i="2"/>
  <c r="D1813" i="2"/>
  <c r="C1813" i="2"/>
  <c r="B1813" i="2"/>
  <c r="A1813" i="2"/>
  <c r="U1812" i="2"/>
  <c r="R1812" i="2"/>
  <c r="Q1812" i="2"/>
  <c r="P1812" i="2"/>
  <c r="O1812" i="2"/>
  <c r="M1812" i="2"/>
  <c r="L1812" i="2"/>
  <c r="K1812" i="2"/>
  <c r="J1812" i="2"/>
  <c r="I1812" i="2"/>
  <c r="H1812" i="2"/>
  <c r="G1812" i="2"/>
  <c r="F1812" i="2"/>
  <c r="E1812" i="2"/>
  <c r="D1812" i="2"/>
  <c r="C1812" i="2"/>
  <c r="B1812" i="2"/>
  <c r="A1812" i="2"/>
  <c r="U1811" i="2"/>
  <c r="R1811" i="2"/>
  <c r="Q1811" i="2"/>
  <c r="O1811" i="2"/>
  <c r="M1811" i="2"/>
  <c r="L1811" i="2"/>
  <c r="K1811" i="2"/>
  <c r="J1811" i="2"/>
  <c r="G1811" i="2"/>
  <c r="F1811" i="2"/>
  <c r="E1811" i="2"/>
  <c r="D1811" i="2"/>
  <c r="C1811" i="2"/>
  <c r="B1811" i="2"/>
  <c r="A1811" i="2"/>
  <c r="U1810" i="2"/>
  <c r="R1810" i="2"/>
  <c r="Q1810" i="2"/>
  <c r="O1810" i="2"/>
  <c r="M1810" i="2"/>
  <c r="L1810" i="2"/>
  <c r="K1810" i="2"/>
  <c r="J1810" i="2"/>
  <c r="G1810" i="2"/>
  <c r="F1810" i="2"/>
  <c r="E1810" i="2"/>
  <c r="D1810" i="2"/>
  <c r="C1810" i="2"/>
  <c r="B1810" i="2"/>
  <c r="A1810" i="2"/>
  <c r="R1809" i="2"/>
  <c r="Q1809" i="2"/>
  <c r="P1809" i="2"/>
  <c r="O1809" i="2"/>
  <c r="M1809" i="2"/>
  <c r="L1809" i="2"/>
  <c r="K1809" i="2"/>
  <c r="J1809" i="2"/>
  <c r="I1809" i="2"/>
  <c r="H1809" i="2"/>
  <c r="G1809" i="2"/>
  <c r="F1809" i="2"/>
  <c r="E1809" i="2"/>
  <c r="D1809" i="2"/>
  <c r="C1809" i="2"/>
  <c r="B1809" i="2"/>
  <c r="A1809" i="2"/>
  <c r="R1808" i="2"/>
  <c r="Q1808" i="2"/>
  <c r="P1808" i="2"/>
  <c r="O1808" i="2"/>
  <c r="M1808" i="2"/>
  <c r="L1808" i="2"/>
  <c r="K1808" i="2"/>
  <c r="J1808" i="2"/>
  <c r="I1808" i="2"/>
  <c r="H1808" i="2"/>
  <c r="G1808" i="2"/>
  <c r="F1808" i="2"/>
  <c r="E1808" i="2"/>
  <c r="D1808" i="2"/>
  <c r="C1808" i="2"/>
  <c r="B1808" i="2"/>
  <c r="A1808" i="2"/>
  <c r="U1807" i="2"/>
  <c r="R1807" i="2"/>
  <c r="Q1807" i="2"/>
  <c r="P1807" i="2"/>
  <c r="O1807" i="2"/>
  <c r="M1807" i="2"/>
  <c r="L1807" i="2"/>
  <c r="K1807" i="2"/>
  <c r="J1807" i="2"/>
  <c r="I1807" i="2"/>
  <c r="H1807" i="2"/>
  <c r="G1807" i="2"/>
  <c r="F1807" i="2"/>
  <c r="E1807" i="2"/>
  <c r="D1807" i="2"/>
  <c r="C1807" i="2"/>
  <c r="B1807" i="2"/>
  <c r="A1807" i="2"/>
  <c r="U1806" i="2"/>
  <c r="R1806" i="2"/>
  <c r="Q1806" i="2"/>
  <c r="O1806" i="2"/>
  <c r="M1806" i="2"/>
  <c r="L1806" i="2"/>
  <c r="K1806" i="2"/>
  <c r="J1806" i="2"/>
  <c r="G1806" i="2"/>
  <c r="F1806" i="2"/>
  <c r="E1806" i="2"/>
  <c r="D1806" i="2"/>
  <c r="C1806" i="2"/>
  <c r="B1806" i="2"/>
  <c r="A1806" i="2"/>
  <c r="R1805" i="2"/>
  <c r="Q1805" i="2"/>
  <c r="O1805" i="2"/>
  <c r="M1805" i="2"/>
  <c r="L1805" i="2"/>
  <c r="K1805" i="2"/>
  <c r="J1805" i="2"/>
  <c r="G1805" i="2"/>
  <c r="F1805" i="2"/>
  <c r="E1805" i="2"/>
  <c r="D1805" i="2"/>
  <c r="C1805" i="2"/>
  <c r="B1805" i="2"/>
  <c r="A1805" i="2"/>
  <c r="R1804" i="2"/>
  <c r="Q1804" i="2"/>
  <c r="P1804" i="2"/>
  <c r="O1804" i="2"/>
  <c r="M1804" i="2"/>
  <c r="L1804" i="2"/>
  <c r="K1804" i="2"/>
  <c r="J1804" i="2"/>
  <c r="I1804" i="2"/>
  <c r="H1804" i="2"/>
  <c r="G1804" i="2"/>
  <c r="F1804" i="2"/>
  <c r="E1804" i="2"/>
  <c r="D1804" i="2"/>
  <c r="C1804" i="2"/>
  <c r="B1804" i="2"/>
  <c r="A1804" i="2"/>
  <c r="R1803" i="2"/>
  <c r="Q1803" i="2"/>
  <c r="O1803" i="2"/>
  <c r="M1803" i="2"/>
  <c r="L1803" i="2"/>
  <c r="K1803" i="2"/>
  <c r="J1803" i="2"/>
  <c r="G1803" i="2"/>
  <c r="F1803" i="2"/>
  <c r="E1803" i="2"/>
  <c r="D1803" i="2"/>
  <c r="C1803" i="2"/>
  <c r="B1803" i="2"/>
  <c r="A1803" i="2"/>
  <c r="R1802" i="2"/>
  <c r="Q1802" i="2"/>
  <c r="O1802" i="2"/>
  <c r="M1802" i="2"/>
  <c r="L1802" i="2"/>
  <c r="K1802" i="2"/>
  <c r="J1802" i="2"/>
  <c r="G1802" i="2"/>
  <c r="F1802" i="2"/>
  <c r="E1802" i="2"/>
  <c r="D1802" i="2"/>
  <c r="C1802" i="2"/>
  <c r="B1802" i="2"/>
  <c r="A1802" i="2"/>
  <c r="U1801" i="2"/>
  <c r="R1801" i="2"/>
  <c r="Q1801" i="2"/>
  <c r="P1801" i="2"/>
  <c r="O1801" i="2"/>
  <c r="M1801" i="2"/>
  <c r="L1801" i="2"/>
  <c r="K1801" i="2"/>
  <c r="J1801" i="2"/>
  <c r="I1801" i="2"/>
  <c r="H1801" i="2"/>
  <c r="G1801" i="2"/>
  <c r="F1801" i="2"/>
  <c r="E1801" i="2"/>
  <c r="D1801" i="2"/>
  <c r="C1801" i="2"/>
  <c r="B1801" i="2"/>
  <c r="A1801" i="2"/>
  <c r="U1800" i="2"/>
  <c r="R1800" i="2"/>
  <c r="Q1800" i="2"/>
  <c r="P1800" i="2"/>
  <c r="O1800" i="2"/>
  <c r="M1800" i="2"/>
  <c r="L1800" i="2"/>
  <c r="K1800" i="2"/>
  <c r="J1800" i="2"/>
  <c r="I1800" i="2"/>
  <c r="H1800" i="2"/>
  <c r="G1800" i="2"/>
  <c r="F1800" i="2"/>
  <c r="E1800" i="2"/>
  <c r="D1800" i="2"/>
  <c r="C1800" i="2"/>
  <c r="B1800" i="2"/>
  <c r="A1800" i="2"/>
  <c r="U1799" i="2"/>
  <c r="R1799" i="2"/>
  <c r="Q1799" i="2"/>
  <c r="P1799" i="2"/>
  <c r="O1799" i="2"/>
  <c r="M1799" i="2"/>
  <c r="L1799" i="2"/>
  <c r="K1799" i="2"/>
  <c r="J1799" i="2"/>
  <c r="I1799" i="2"/>
  <c r="H1799" i="2"/>
  <c r="G1799" i="2"/>
  <c r="F1799" i="2"/>
  <c r="E1799" i="2"/>
  <c r="D1799" i="2"/>
  <c r="C1799" i="2"/>
  <c r="B1799" i="2"/>
  <c r="A1799" i="2"/>
  <c r="U1798" i="2"/>
  <c r="R1798" i="2"/>
  <c r="Q1798" i="2"/>
  <c r="O1798" i="2"/>
  <c r="M1798" i="2"/>
  <c r="L1798" i="2"/>
  <c r="K1798" i="2"/>
  <c r="J1798" i="2"/>
  <c r="G1798" i="2"/>
  <c r="F1798" i="2"/>
  <c r="E1798" i="2"/>
  <c r="D1798" i="2"/>
  <c r="C1798" i="2"/>
  <c r="B1798" i="2"/>
  <c r="A1798" i="2"/>
  <c r="U1797" i="2"/>
  <c r="R1797" i="2"/>
  <c r="Q1797" i="2"/>
  <c r="O1797" i="2"/>
  <c r="M1797" i="2"/>
  <c r="L1797" i="2"/>
  <c r="K1797" i="2"/>
  <c r="J1797" i="2"/>
  <c r="G1797" i="2"/>
  <c r="F1797" i="2"/>
  <c r="E1797" i="2"/>
  <c r="D1797" i="2"/>
  <c r="C1797" i="2"/>
  <c r="B1797" i="2"/>
  <c r="A1797" i="2"/>
  <c r="U1796" i="2"/>
  <c r="R1796" i="2"/>
  <c r="Q1796" i="2"/>
  <c r="P1796" i="2"/>
  <c r="O1796" i="2"/>
  <c r="M1796" i="2"/>
  <c r="L1796" i="2"/>
  <c r="K1796" i="2"/>
  <c r="J1796" i="2"/>
  <c r="I1796" i="2"/>
  <c r="H1796" i="2"/>
  <c r="G1796" i="2"/>
  <c r="F1796" i="2"/>
  <c r="E1796" i="2"/>
  <c r="D1796" i="2"/>
  <c r="C1796" i="2"/>
  <c r="B1796" i="2"/>
  <c r="A1796" i="2"/>
  <c r="R1795" i="2"/>
  <c r="Q1795" i="2"/>
  <c r="P1795" i="2"/>
  <c r="O1795" i="2"/>
  <c r="M1795" i="2"/>
  <c r="L1795" i="2"/>
  <c r="K1795" i="2"/>
  <c r="J1795" i="2"/>
  <c r="I1795" i="2"/>
  <c r="H1795" i="2"/>
  <c r="G1795" i="2"/>
  <c r="F1795" i="2"/>
  <c r="E1795" i="2"/>
  <c r="D1795" i="2"/>
  <c r="C1795" i="2"/>
  <c r="B1795" i="2"/>
  <c r="A1795" i="2"/>
  <c r="R1794" i="2"/>
  <c r="Q1794" i="2"/>
  <c r="O1794" i="2"/>
  <c r="M1794" i="2"/>
  <c r="L1794" i="2"/>
  <c r="K1794" i="2"/>
  <c r="J1794" i="2"/>
  <c r="G1794" i="2"/>
  <c r="F1794" i="2"/>
  <c r="E1794" i="2"/>
  <c r="D1794" i="2"/>
  <c r="C1794" i="2"/>
  <c r="B1794" i="2"/>
  <c r="A1794" i="2"/>
  <c r="R1793" i="2"/>
  <c r="Q1793" i="2"/>
  <c r="O1793" i="2"/>
  <c r="M1793" i="2"/>
  <c r="L1793" i="2"/>
  <c r="K1793" i="2"/>
  <c r="J1793" i="2"/>
  <c r="G1793" i="2"/>
  <c r="F1793" i="2"/>
  <c r="E1793" i="2"/>
  <c r="D1793" i="2"/>
  <c r="C1793" i="2"/>
  <c r="B1793" i="2"/>
  <c r="A1793" i="2"/>
  <c r="R1792" i="2"/>
  <c r="Q1792" i="2"/>
  <c r="P1792" i="2"/>
  <c r="O1792" i="2"/>
  <c r="M1792" i="2"/>
  <c r="L1792" i="2"/>
  <c r="K1792" i="2"/>
  <c r="J1792" i="2"/>
  <c r="I1792" i="2"/>
  <c r="H1792" i="2"/>
  <c r="G1792" i="2"/>
  <c r="F1792" i="2"/>
  <c r="E1792" i="2"/>
  <c r="D1792" i="2"/>
  <c r="C1792" i="2"/>
  <c r="B1792" i="2"/>
  <c r="A1792" i="2"/>
  <c r="R1791" i="2"/>
  <c r="Q1791" i="2"/>
  <c r="P1791" i="2"/>
  <c r="O1791" i="2"/>
  <c r="M1791" i="2"/>
  <c r="L1791" i="2"/>
  <c r="K1791" i="2"/>
  <c r="J1791" i="2"/>
  <c r="I1791" i="2"/>
  <c r="H1791" i="2"/>
  <c r="G1791" i="2"/>
  <c r="F1791" i="2"/>
  <c r="E1791" i="2"/>
  <c r="D1791" i="2"/>
  <c r="C1791" i="2"/>
  <c r="B1791" i="2"/>
  <c r="A1791" i="2"/>
  <c r="R1790" i="2"/>
  <c r="Q1790" i="2"/>
  <c r="P1790" i="2"/>
  <c r="O1790" i="2"/>
  <c r="M1790" i="2"/>
  <c r="L1790" i="2"/>
  <c r="K1790" i="2"/>
  <c r="J1790" i="2"/>
  <c r="I1790" i="2"/>
  <c r="H1790" i="2"/>
  <c r="G1790" i="2"/>
  <c r="F1790" i="2"/>
  <c r="E1790" i="2"/>
  <c r="D1790" i="2"/>
  <c r="C1790" i="2"/>
  <c r="B1790" i="2"/>
  <c r="A1790" i="2"/>
  <c r="U1789" i="2"/>
  <c r="R1789" i="2"/>
  <c r="Q1789" i="2"/>
  <c r="P1789" i="2"/>
  <c r="O1789" i="2"/>
  <c r="M1789" i="2"/>
  <c r="L1789" i="2"/>
  <c r="K1789" i="2"/>
  <c r="J1789" i="2"/>
  <c r="I1789" i="2"/>
  <c r="H1789" i="2"/>
  <c r="G1789" i="2"/>
  <c r="F1789" i="2"/>
  <c r="E1789" i="2"/>
  <c r="D1789" i="2"/>
  <c r="C1789" i="2"/>
  <c r="B1789" i="2"/>
  <c r="A1789" i="2"/>
  <c r="U1788" i="2"/>
  <c r="R1788" i="2"/>
  <c r="Q1788" i="2"/>
  <c r="P1788" i="2"/>
  <c r="O1788" i="2"/>
  <c r="M1788" i="2"/>
  <c r="L1788" i="2"/>
  <c r="K1788" i="2"/>
  <c r="J1788" i="2"/>
  <c r="I1788" i="2"/>
  <c r="H1788" i="2"/>
  <c r="G1788" i="2"/>
  <c r="F1788" i="2"/>
  <c r="E1788" i="2"/>
  <c r="D1788" i="2"/>
  <c r="C1788" i="2"/>
  <c r="B1788" i="2"/>
  <c r="A1788" i="2"/>
  <c r="U1787" i="2"/>
  <c r="R1787" i="2"/>
  <c r="Q1787" i="2"/>
  <c r="P1787" i="2"/>
  <c r="O1787" i="2"/>
  <c r="M1787" i="2"/>
  <c r="L1787" i="2"/>
  <c r="K1787" i="2"/>
  <c r="J1787" i="2"/>
  <c r="I1787" i="2"/>
  <c r="H1787" i="2"/>
  <c r="G1787" i="2"/>
  <c r="F1787" i="2"/>
  <c r="E1787" i="2"/>
  <c r="D1787" i="2"/>
  <c r="C1787" i="2"/>
  <c r="B1787" i="2"/>
  <c r="A1787" i="2"/>
  <c r="U1786" i="2"/>
  <c r="R1786" i="2"/>
  <c r="Q1786" i="2"/>
  <c r="P1786" i="2"/>
  <c r="O1786" i="2"/>
  <c r="M1786" i="2"/>
  <c r="L1786" i="2"/>
  <c r="K1786" i="2"/>
  <c r="J1786" i="2"/>
  <c r="I1786" i="2"/>
  <c r="H1786" i="2"/>
  <c r="G1786" i="2"/>
  <c r="F1786" i="2"/>
  <c r="E1786" i="2"/>
  <c r="D1786" i="2"/>
  <c r="C1786" i="2"/>
  <c r="B1786" i="2"/>
  <c r="A1786" i="2"/>
  <c r="U1785" i="2"/>
  <c r="R1785" i="2"/>
  <c r="Q1785" i="2"/>
  <c r="P1785" i="2"/>
  <c r="O1785" i="2"/>
  <c r="M1785" i="2"/>
  <c r="L1785" i="2"/>
  <c r="K1785" i="2"/>
  <c r="J1785" i="2"/>
  <c r="I1785" i="2"/>
  <c r="H1785" i="2"/>
  <c r="G1785" i="2"/>
  <c r="F1785" i="2"/>
  <c r="E1785" i="2"/>
  <c r="D1785" i="2"/>
  <c r="C1785" i="2"/>
  <c r="B1785" i="2"/>
  <c r="A1785" i="2"/>
  <c r="U1784" i="2"/>
  <c r="R1784" i="2"/>
  <c r="Q1784" i="2"/>
  <c r="P1784" i="2"/>
  <c r="O1784" i="2"/>
  <c r="M1784" i="2"/>
  <c r="L1784" i="2"/>
  <c r="K1784" i="2"/>
  <c r="J1784" i="2"/>
  <c r="I1784" i="2"/>
  <c r="H1784" i="2"/>
  <c r="G1784" i="2"/>
  <c r="F1784" i="2"/>
  <c r="E1784" i="2"/>
  <c r="D1784" i="2"/>
  <c r="C1784" i="2"/>
  <c r="B1784" i="2"/>
  <c r="A1784" i="2"/>
  <c r="U1783" i="2"/>
  <c r="R1783" i="2"/>
  <c r="Q1783" i="2"/>
  <c r="O1783" i="2"/>
  <c r="M1783" i="2"/>
  <c r="L1783" i="2"/>
  <c r="K1783" i="2"/>
  <c r="J1783" i="2"/>
  <c r="G1783" i="2"/>
  <c r="F1783" i="2"/>
  <c r="E1783" i="2"/>
  <c r="D1783" i="2"/>
  <c r="C1783" i="2"/>
  <c r="B1783" i="2"/>
  <c r="A1783" i="2"/>
  <c r="U1782" i="2"/>
  <c r="R1782" i="2"/>
  <c r="Q1782" i="2"/>
  <c r="P1782" i="2"/>
  <c r="O1782" i="2"/>
  <c r="M1782" i="2"/>
  <c r="L1782" i="2"/>
  <c r="K1782" i="2"/>
  <c r="J1782" i="2"/>
  <c r="I1782" i="2"/>
  <c r="H1782" i="2"/>
  <c r="G1782" i="2"/>
  <c r="F1782" i="2"/>
  <c r="E1782" i="2"/>
  <c r="D1782" i="2"/>
  <c r="C1782" i="2"/>
  <c r="B1782" i="2"/>
  <c r="A1782" i="2"/>
  <c r="U1781" i="2"/>
  <c r="R1781" i="2"/>
  <c r="Q1781" i="2"/>
  <c r="P1781" i="2"/>
  <c r="O1781" i="2"/>
  <c r="M1781" i="2"/>
  <c r="L1781" i="2"/>
  <c r="K1781" i="2"/>
  <c r="J1781" i="2"/>
  <c r="I1781" i="2"/>
  <c r="H1781" i="2"/>
  <c r="G1781" i="2"/>
  <c r="F1781" i="2"/>
  <c r="E1781" i="2"/>
  <c r="D1781" i="2"/>
  <c r="C1781" i="2"/>
  <c r="B1781" i="2"/>
  <c r="A1781" i="2"/>
  <c r="U1780" i="2"/>
  <c r="R1780" i="2"/>
  <c r="Q1780" i="2"/>
  <c r="P1780" i="2"/>
  <c r="O1780" i="2"/>
  <c r="M1780" i="2"/>
  <c r="L1780" i="2"/>
  <c r="K1780" i="2"/>
  <c r="J1780" i="2"/>
  <c r="I1780" i="2"/>
  <c r="H1780" i="2"/>
  <c r="G1780" i="2"/>
  <c r="F1780" i="2"/>
  <c r="E1780" i="2"/>
  <c r="D1780" i="2"/>
  <c r="C1780" i="2"/>
  <c r="B1780" i="2"/>
  <c r="A1780" i="2"/>
  <c r="U1779" i="2"/>
  <c r="R1779" i="2"/>
  <c r="Q1779" i="2"/>
  <c r="P1779" i="2"/>
  <c r="O1779" i="2"/>
  <c r="M1779" i="2"/>
  <c r="L1779" i="2"/>
  <c r="K1779" i="2"/>
  <c r="J1779" i="2"/>
  <c r="I1779" i="2"/>
  <c r="H1779" i="2"/>
  <c r="G1779" i="2"/>
  <c r="F1779" i="2"/>
  <c r="E1779" i="2"/>
  <c r="D1779" i="2"/>
  <c r="C1779" i="2"/>
  <c r="B1779" i="2"/>
  <c r="A1779" i="2"/>
  <c r="U1778" i="2"/>
  <c r="R1778" i="2"/>
  <c r="Q1778" i="2"/>
  <c r="P1778" i="2"/>
  <c r="O1778" i="2"/>
  <c r="M1778" i="2"/>
  <c r="L1778" i="2"/>
  <c r="K1778" i="2"/>
  <c r="J1778" i="2"/>
  <c r="I1778" i="2"/>
  <c r="H1778" i="2"/>
  <c r="G1778" i="2"/>
  <c r="F1778" i="2"/>
  <c r="E1778" i="2"/>
  <c r="D1778" i="2"/>
  <c r="C1778" i="2"/>
  <c r="B1778" i="2"/>
  <c r="A1778" i="2"/>
  <c r="U1777" i="2"/>
  <c r="R1777" i="2"/>
  <c r="Q1777" i="2"/>
  <c r="P1777" i="2"/>
  <c r="O1777" i="2"/>
  <c r="M1777" i="2"/>
  <c r="L1777" i="2"/>
  <c r="K1777" i="2"/>
  <c r="J1777" i="2"/>
  <c r="I1777" i="2"/>
  <c r="H1777" i="2"/>
  <c r="G1777" i="2"/>
  <c r="F1777" i="2"/>
  <c r="E1777" i="2"/>
  <c r="D1777" i="2"/>
  <c r="C1777" i="2"/>
  <c r="B1777" i="2"/>
  <c r="A1777" i="2"/>
  <c r="U1776" i="2"/>
  <c r="R1776" i="2"/>
  <c r="Q1776" i="2"/>
  <c r="P1776" i="2"/>
  <c r="O1776" i="2"/>
  <c r="M1776" i="2"/>
  <c r="L1776" i="2"/>
  <c r="K1776" i="2"/>
  <c r="J1776" i="2"/>
  <c r="I1776" i="2"/>
  <c r="H1776" i="2"/>
  <c r="G1776" i="2"/>
  <c r="F1776" i="2"/>
  <c r="E1776" i="2"/>
  <c r="D1776" i="2"/>
  <c r="C1776" i="2"/>
  <c r="B1776" i="2"/>
  <c r="A1776" i="2"/>
  <c r="U1775" i="2"/>
  <c r="R1775" i="2"/>
  <c r="Q1775" i="2"/>
  <c r="P1775" i="2"/>
  <c r="O1775" i="2"/>
  <c r="M1775" i="2"/>
  <c r="L1775" i="2"/>
  <c r="K1775" i="2"/>
  <c r="J1775" i="2"/>
  <c r="I1775" i="2"/>
  <c r="H1775" i="2"/>
  <c r="G1775" i="2"/>
  <c r="F1775" i="2"/>
  <c r="E1775" i="2"/>
  <c r="D1775" i="2"/>
  <c r="C1775" i="2"/>
  <c r="B1775" i="2"/>
  <c r="A1775" i="2"/>
  <c r="U1774" i="2"/>
  <c r="R1774" i="2"/>
  <c r="Q1774" i="2"/>
  <c r="P1774" i="2"/>
  <c r="O1774" i="2"/>
  <c r="M1774" i="2"/>
  <c r="L1774" i="2"/>
  <c r="K1774" i="2"/>
  <c r="J1774" i="2"/>
  <c r="I1774" i="2"/>
  <c r="H1774" i="2"/>
  <c r="G1774" i="2"/>
  <c r="F1774" i="2"/>
  <c r="E1774" i="2"/>
  <c r="D1774" i="2"/>
  <c r="C1774" i="2"/>
  <c r="B1774" i="2"/>
  <c r="A1774" i="2"/>
  <c r="R1773" i="2"/>
  <c r="Q1773" i="2"/>
  <c r="O1773" i="2"/>
  <c r="M1773" i="2"/>
  <c r="L1773" i="2"/>
  <c r="K1773" i="2"/>
  <c r="J1773" i="2"/>
  <c r="G1773" i="2"/>
  <c r="F1773" i="2"/>
  <c r="E1773" i="2"/>
  <c r="D1773" i="2"/>
  <c r="C1773" i="2"/>
  <c r="B1773" i="2"/>
  <c r="A1773" i="2"/>
  <c r="U1772" i="2"/>
  <c r="R1772" i="2"/>
  <c r="Q1772" i="2"/>
  <c r="P1772" i="2"/>
  <c r="O1772" i="2"/>
  <c r="M1772" i="2"/>
  <c r="L1772" i="2"/>
  <c r="K1772" i="2"/>
  <c r="J1772" i="2"/>
  <c r="I1772" i="2"/>
  <c r="H1772" i="2"/>
  <c r="G1772" i="2"/>
  <c r="F1772" i="2"/>
  <c r="E1772" i="2"/>
  <c r="D1772" i="2"/>
  <c r="C1772" i="2"/>
  <c r="B1772" i="2"/>
  <c r="A1772" i="2"/>
  <c r="U1771" i="2"/>
  <c r="R1771" i="2"/>
  <c r="Q1771" i="2"/>
  <c r="P1771" i="2"/>
  <c r="O1771" i="2"/>
  <c r="M1771" i="2"/>
  <c r="L1771" i="2"/>
  <c r="K1771" i="2"/>
  <c r="J1771" i="2"/>
  <c r="I1771" i="2"/>
  <c r="H1771" i="2"/>
  <c r="G1771" i="2"/>
  <c r="F1771" i="2"/>
  <c r="E1771" i="2"/>
  <c r="D1771" i="2"/>
  <c r="C1771" i="2"/>
  <c r="B1771" i="2"/>
  <c r="A1771" i="2"/>
  <c r="R1770" i="2"/>
  <c r="Q1770" i="2"/>
  <c r="P1770" i="2"/>
  <c r="O1770" i="2"/>
  <c r="M1770" i="2"/>
  <c r="L1770" i="2"/>
  <c r="K1770" i="2"/>
  <c r="J1770" i="2"/>
  <c r="I1770" i="2"/>
  <c r="H1770" i="2"/>
  <c r="G1770" i="2"/>
  <c r="F1770" i="2"/>
  <c r="E1770" i="2"/>
  <c r="D1770" i="2"/>
  <c r="C1770" i="2"/>
  <c r="B1770" i="2"/>
  <c r="A1770" i="2"/>
  <c r="U1769" i="2"/>
  <c r="R1769" i="2"/>
  <c r="Q1769" i="2"/>
  <c r="O1769" i="2"/>
  <c r="M1769" i="2"/>
  <c r="L1769" i="2"/>
  <c r="K1769" i="2"/>
  <c r="J1769" i="2"/>
  <c r="G1769" i="2"/>
  <c r="F1769" i="2"/>
  <c r="E1769" i="2"/>
  <c r="D1769" i="2"/>
  <c r="C1769" i="2"/>
  <c r="B1769" i="2"/>
  <c r="A1769" i="2"/>
  <c r="U1768" i="2"/>
  <c r="R1768" i="2"/>
  <c r="Q1768" i="2"/>
  <c r="P1768" i="2"/>
  <c r="O1768" i="2"/>
  <c r="M1768" i="2"/>
  <c r="L1768" i="2"/>
  <c r="K1768" i="2"/>
  <c r="J1768" i="2"/>
  <c r="I1768" i="2"/>
  <c r="H1768" i="2"/>
  <c r="G1768" i="2"/>
  <c r="F1768" i="2"/>
  <c r="E1768" i="2"/>
  <c r="D1768" i="2"/>
  <c r="C1768" i="2"/>
  <c r="B1768" i="2"/>
  <c r="A1768" i="2"/>
  <c r="U1767" i="2"/>
  <c r="R1767" i="2"/>
  <c r="Q1767" i="2"/>
  <c r="O1767" i="2"/>
  <c r="M1767" i="2"/>
  <c r="L1767" i="2"/>
  <c r="K1767" i="2"/>
  <c r="J1767" i="2"/>
  <c r="G1767" i="2"/>
  <c r="F1767" i="2"/>
  <c r="E1767" i="2"/>
  <c r="D1767" i="2"/>
  <c r="C1767" i="2"/>
  <c r="B1767" i="2"/>
  <c r="A1767" i="2"/>
  <c r="R1766" i="2"/>
  <c r="Q1766" i="2"/>
  <c r="P1766" i="2"/>
  <c r="O1766" i="2"/>
  <c r="M1766" i="2"/>
  <c r="L1766" i="2"/>
  <c r="K1766" i="2"/>
  <c r="J1766" i="2"/>
  <c r="I1766" i="2"/>
  <c r="H1766" i="2"/>
  <c r="G1766" i="2"/>
  <c r="F1766" i="2"/>
  <c r="E1766" i="2"/>
  <c r="D1766" i="2"/>
  <c r="C1766" i="2"/>
  <c r="B1766" i="2"/>
  <c r="A1766" i="2"/>
  <c r="U1765" i="2"/>
  <c r="R1765" i="2"/>
  <c r="Q1765" i="2"/>
  <c r="O1765" i="2"/>
  <c r="M1765" i="2"/>
  <c r="L1765" i="2"/>
  <c r="K1765" i="2"/>
  <c r="J1765" i="2"/>
  <c r="G1765" i="2"/>
  <c r="F1765" i="2"/>
  <c r="E1765" i="2"/>
  <c r="D1765" i="2"/>
  <c r="C1765" i="2"/>
  <c r="B1765" i="2"/>
  <c r="A1765" i="2"/>
  <c r="U1764" i="2"/>
  <c r="R1764" i="2"/>
  <c r="Q1764" i="2"/>
  <c r="P1764" i="2"/>
  <c r="O1764" i="2"/>
  <c r="M1764" i="2"/>
  <c r="L1764" i="2"/>
  <c r="K1764" i="2"/>
  <c r="J1764" i="2"/>
  <c r="I1764" i="2"/>
  <c r="H1764" i="2"/>
  <c r="G1764" i="2"/>
  <c r="F1764" i="2"/>
  <c r="E1764" i="2"/>
  <c r="D1764" i="2"/>
  <c r="C1764" i="2"/>
  <c r="B1764" i="2"/>
  <c r="A1764" i="2"/>
  <c r="R1763" i="2"/>
  <c r="Q1763" i="2"/>
  <c r="P1763" i="2"/>
  <c r="O1763" i="2"/>
  <c r="M1763" i="2"/>
  <c r="L1763" i="2"/>
  <c r="K1763" i="2"/>
  <c r="J1763" i="2"/>
  <c r="I1763" i="2"/>
  <c r="H1763" i="2"/>
  <c r="G1763" i="2"/>
  <c r="F1763" i="2"/>
  <c r="E1763" i="2"/>
  <c r="D1763" i="2"/>
  <c r="C1763" i="2"/>
  <c r="B1763" i="2"/>
  <c r="A1763" i="2"/>
  <c r="U1762" i="2"/>
  <c r="R1762" i="2"/>
  <c r="Q1762" i="2"/>
  <c r="O1762" i="2"/>
  <c r="M1762" i="2"/>
  <c r="L1762" i="2"/>
  <c r="K1762" i="2"/>
  <c r="J1762" i="2"/>
  <c r="G1762" i="2"/>
  <c r="F1762" i="2"/>
  <c r="E1762" i="2"/>
  <c r="D1762" i="2"/>
  <c r="C1762" i="2"/>
  <c r="B1762" i="2"/>
  <c r="A1762" i="2"/>
  <c r="U1761" i="2"/>
  <c r="R1761" i="2"/>
  <c r="Q1761" i="2"/>
  <c r="P1761" i="2"/>
  <c r="O1761" i="2"/>
  <c r="M1761" i="2"/>
  <c r="L1761" i="2"/>
  <c r="K1761" i="2"/>
  <c r="J1761" i="2"/>
  <c r="I1761" i="2"/>
  <c r="H1761" i="2"/>
  <c r="G1761" i="2"/>
  <c r="F1761" i="2"/>
  <c r="E1761" i="2"/>
  <c r="D1761" i="2"/>
  <c r="C1761" i="2"/>
  <c r="B1761" i="2"/>
  <c r="A1761" i="2"/>
  <c r="U1760" i="2"/>
  <c r="R1760" i="2"/>
  <c r="Q1760" i="2"/>
  <c r="P1760" i="2"/>
  <c r="O1760" i="2"/>
  <c r="M1760" i="2"/>
  <c r="L1760" i="2"/>
  <c r="K1760" i="2"/>
  <c r="J1760" i="2"/>
  <c r="I1760" i="2"/>
  <c r="H1760" i="2"/>
  <c r="G1760" i="2"/>
  <c r="F1760" i="2"/>
  <c r="E1760" i="2"/>
  <c r="D1760" i="2"/>
  <c r="C1760" i="2"/>
  <c r="B1760" i="2"/>
  <c r="A1760" i="2"/>
  <c r="U1759" i="2"/>
  <c r="R1759" i="2"/>
  <c r="Q1759" i="2"/>
  <c r="P1759" i="2"/>
  <c r="O1759" i="2"/>
  <c r="M1759" i="2"/>
  <c r="L1759" i="2"/>
  <c r="K1759" i="2"/>
  <c r="J1759" i="2"/>
  <c r="I1759" i="2"/>
  <c r="H1759" i="2"/>
  <c r="G1759" i="2"/>
  <c r="F1759" i="2"/>
  <c r="E1759" i="2"/>
  <c r="D1759" i="2"/>
  <c r="C1759" i="2"/>
  <c r="B1759" i="2"/>
  <c r="A1759" i="2"/>
  <c r="U1758" i="2"/>
  <c r="R1758" i="2"/>
  <c r="Q1758" i="2"/>
  <c r="O1758" i="2"/>
  <c r="M1758" i="2"/>
  <c r="L1758" i="2"/>
  <c r="K1758" i="2"/>
  <c r="J1758" i="2"/>
  <c r="G1758" i="2"/>
  <c r="F1758" i="2"/>
  <c r="E1758" i="2"/>
  <c r="D1758" i="2"/>
  <c r="C1758" i="2"/>
  <c r="B1758" i="2"/>
  <c r="A1758" i="2"/>
  <c r="U1757" i="2"/>
  <c r="R1757" i="2"/>
  <c r="Q1757" i="2"/>
  <c r="P1757" i="2"/>
  <c r="O1757" i="2"/>
  <c r="M1757" i="2"/>
  <c r="L1757" i="2"/>
  <c r="K1757" i="2"/>
  <c r="J1757" i="2"/>
  <c r="I1757" i="2"/>
  <c r="H1757" i="2"/>
  <c r="G1757" i="2"/>
  <c r="F1757" i="2"/>
  <c r="E1757" i="2"/>
  <c r="D1757" i="2"/>
  <c r="C1757" i="2"/>
  <c r="B1757" i="2"/>
  <c r="A1757" i="2"/>
  <c r="U1756" i="2"/>
  <c r="R1756" i="2"/>
  <c r="Q1756" i="2"/>
  <c r="O1756" i="2"/>
  <c r="M1756" i="2"/>
  <c r="L1756" i="2"/>
  <c r="K1756" i="2"/>
  <c r="J1756" i="2"/>
  <c r="G1756" i="2"/>
  <c r="F1756" i="2"/>
  <c r="E1756" i="2"/>
  <c r="D1756" i="2"/>
  <c r="C1756" i="2"/>
  <c r="B1756" i="2"/>
  <c r="A1756" i="2"/>
  <c r="U1755" i="2"/>
  <c r="R1755" i="2"/>
  <c r="Q1755" i="2"/>
  <c r="O1755" i="2"/>
  <c r="M1755" i="2"/>
  <c r="L1755" i="2"/>
  <c r="K1755" i="2"/>
  <c r="J1755" i="2"/>
  <c r="G1755" i="2"/>
  <c r="F1755" i="2"/>
  <c r="E1755" i="2"/>
  <c r="D1755" i="2"/>
  <c r="C1755" i="2"/>
  <c r="B1755" i="2"/>
  <c r="A1755" i="2"/>
  <c r="U1754" i="2"/>
  <c r="R1754" i="2"/>
  <c r="Q1754" i="2"/>
  <c r="O1754" i="2"/>
  <c r="M1754" i="2"/>
  <c r="L1754" i="2"/>
  <c r="K1754" i="2"/>
  <c r="J1754" i="2"/>
  <c r="G1754" i="2"/>
  <c r="F1754" i="2"/>
  <c r="E1754" i="2"/>
  <c r="D1754" i="2"/>
  <c r="C1754" i="2"/>
  <c r="B1754" i="2"/>
  <c r="A1754" i="2"/>
  <c r="R1753" i="2"/>
  <c r="Q1753" i="2"/>
  <c r="P1753" i="2"/>
  <c r="O1753" i="2"/>
  <c r="M1753" i="2"/>
  <c r="L1753" i="2"/>
  <c r="K1753" i="2"/>
  <c r="J1753" i="2"/>
  <c r="I1753" i="2"/>
  <c r="H1753" i="2"/>
  <c r="G1753" i="2"/>
  <c r="F1753" i="2"/>
  <c r="E1753" i="2"/>
  <c r="D1753" i="2"/>
  <c r="C1753" i="2"/>
  <c r="B1753" i="2"/>
  <c r="A1753" i="2"/>
  <c r="U1752" i="2"/>
  <c r="R1752" i="2"/>
  <c r="Q1752" i="2"/>
  <c r="O1752" i="2"/>
  <c r="M1752" i="2"/>
  <c r="L1752" i="2"/>
  <c r="K1752" i="2"/>
  <c r="J1752" i="2"/>
  <c r="G1752" i="2"/>
  <c r="F1752" i="2"/>
  <c r="E1752" i="2"/>
  <c r="D1752" i="2"/>
  <c r="C1752" i="2"/>
  <c r="B1752" i="2"/>
  <c r="A1752" i="2"/>
  <c r="U1751" i="2"/>
  <c r="R1751" i="2"/>
  <c r="Q1751" i="2"/>
  <c r="P1751" i="2"/>
  <c r="O1751" i="2"/>
  <c r="M1751" i="2"/>
  <c r="L1751" i="2"/>
  <c r="K1751" i="2"/>
  <c r="J1751" i="2"/>
  <c r="I1751" i="2"/>
  <c r="H1751" i="2"/>
  <c r="G1751" i="2"/>
  <c r="F1751" i="2"/>
  <c r="E1751" i="2"/>
  <c r="D1751" i="2"/>
  <c r="C1751" i="2"/>
  <c r="B1751" i="2"/>
  <c r="A1751" i="2"/>
  <c r="U1750" i="2"/>
  <c r="R1750" i="2"/>
  <c r="Q1750" i="2"/>
  <c r="O1750" i="2"/>
  <c r="M1750" i="2"/>
  <c r="L1750" i="2"/>
  <c r="K1750" i="2"/>
  <c r="J1750" i="2"/>
  <c r="G1750" i="2"/>
  <c r="F1750" i="2"/>
  <c r="E1750" i="2"/>
  <c r="D1750" i="2"/>
  <c r="C1750" i="2"/>
  <c r="B1750" i="2"/>
  <c r="A1750" i="2"/>
  <c r="U1749" i="2"/>
  <c r="R1749" i="2"/>
  <c r="Q1749" i="2"/>
  <c r="O1749" i="2"/>
  <c r="M1749" i="2"/>
  <c r="L1749" i="2"/>
  <c r="K1749" i="2"/>
  <c r="J1749" i="2"/>
  <c r="G1749" i="2"/>
  <c r="F1749" i="2"/>
  <c r="E1749" i="2"/>
  <c r="D1749" i="2"/>
  <c r="C1749" i="2"/>
  <c r="B1749" i="2"/>
  <c r="A1749" i="2"/>
  <c r="U1748" i="2"/>
  <c r="R1748" i="2"/>
  <c r="Q1748" i="2"/>
  <c r="O1748" i="2"/>
  <c r="M1748" i="2"/>
  <c r="L1748" i="2"/>
  <c r="K1748" i="2"/>
  <c r="J1748" i="2"/>
  <c r="G1748" i="2"/>
  <c r="F1748" i="2"/>
  <c r="E1748" i="2"/>
  <c r="D1748" i="2"/>
  <c r="C1748" i="2"/>
  <c r="B1748" i="2"/>
  <c r="A1748" i="2"/>
  <c r="U1747" i="2"/>
  <c r="R1747" i="2"/>
  <c r="Q1747" i="2"/>
  <c r="P1747" i="2"/>
  <c r="O1747" i="2"/>
  <c r="M1747" i="2"/>
  <c r="L1747" i="2"/>
  <c r="K1747" i="2"/>
  <c r="J1747" i="2"/>
  <c r="I1747" i="2"/>
  <c r="H1747" i="2"/>
  <c r="G1747" i="2"/>
  <c r="F1747" i="2"/>
  <c r="E1747" i="2"/>
  <c r="D1747" i="2"/>
  <c r="C1747" i="2"/>
  <c r="B1747" i="2"/>
  <c r="A1747" i="2"/>
  <c r="U1746" i="2"/>
  <c r="R1746" i="2"/>
  <c r="Q1746" i="2"/>
  <c r="O1746" i="2"/>
  <c r="M1746" i="2"/>
  <c r="L1746" i="2"/>
  <c r="K1746" i="2"/>
  <c r="F1746" i="2"/>
  <c r="E1746" i="2"/>
  <c r="D1746" i="2"/>
  <c r="C1746" i="2"/>
  <c r="B1746" i="2"/>
  <c r="A1746" i="2"/>
  <c r="R1745" i="2"/>
  <c r="Q1745" i="2"/>
  <c r="P1745" i="2"/>
  <c r="O1745" i="2"/>
  <c r="M1745" i="2"/>
  <c r="L1745" i="2"/>
  <c r="K1745" i="2"/>
  <c r="J1745" i="2"/>
  <c r="I1745" i="2"/>
  <c r="H1745" i="2"/>
  <c r="G1745" i="2"/>
  <c r="F1745" i="2"/>
  <c r="E1745" i="2"/>
  <c r="D1745" i="2"/>
  <c r="C1745" i="2"/>
  <c r="B1745" i="2"/>
  <c r="A1745" i="2"/>
  <c r="R1744" i="2"/>
  <c r="Q1744" i="2"/>
  <c r="O1744" i="2"/>
  <c r="M1744" i="2"/>
  <c r="L1744" i="2"/>
  <c r="K1744" i="2"/>
  <c r="J1744" i="2"/>
  <c r="G1744" i="2"/>
  <c r="F1744" i="2"/>
  <c r="E1744" i="2"/>
  <c r="D1744" i="2"/>
  <c r="C1744" i="2"/>
  <c r="B1744" i="2"/>
  <c r="A1744" i="2"/>
  <c r="R1743" i="2"/>
  <c r="Q1743" i="2"/>
  <c r="P1743" i="2"/>
  <c r="O1743" i="2"/>
  <c r="M1743" i="2"/>
  <c r="L1743" i="2"/>
  <c r="K1743" i="2"/>
  <c r="J1743" i="2"/>
  <c r="I1743" i="2"/>
  <c r="H1743" i="2"/>
  <c r="G1743" i="2"/>
  <c r="F1743" i="2"/>
  <c r="E1743" i="2"/>
  <c r="D1743" i="2"/>
  <c r="C1743" i="2"/>
  <c r="B1743" i="2"/>
  <c r="A1743" i="2"/>
  <c r="R1742" i="2"/>
  <c r="Q1742" i="2"/>
  <c r="P1742" i="2"/>
  <c r="O1742" i="2"/>
  <c r="M1742" i="2"/>
  <c r="L1742" i="2"/>
  <c r="K1742" i="2"/>
  <c r="J1742" i="2"/>
  <c r="I1742" i="2"/>
  <c r="H1742" i="2"/>
  <c r="G1742" i="2"/>
  <c r="F1742" i="2"/>
  <c r="E1742" i="2"/>
  <c r="D1742" i="2"/>
  <c r="C1742" i="2"/>
  <c r="B1742" i="2"/>
  <c r="A1742" i="2"/>
  <c r="U1741" i="2"/>
  <c r="R1741" i="2"/>
  <c r="Q1741" i="2"/>
  <c r="P1741" i="2"/>
  <c r="O1741" i="2"/>
  <c r="M1741" i="2"/>
  <c r="L1741" i="2"/>
  <c r="K1741" i="2"/>
  <c r="J1741" i="2"/>
  <c r="I1741" i="2"/>
  <c r="H1741" i="2"/>
  <c r="G1741" i="2"/>
  <c r="F1741" i="2"/>
  <c r="E1741" i="2"/>
  <c r="D1741" i="2"/>
  <c r="C1741" i="2"/>
  <c r="B1741" i="2"/>
  <c r="A1741" i="2"/>
  <c r="U1740" i="2"/>
  <c r="R1740" i="2"/>
  <c r="Q1740" i="2"/>
  <c r="P1740" i="2"/>
  <c r="O1740" i="2"/>
  <c r="M1740" i="2"/>
  <c r="L1740" i="2"/>
  <c r="K1740" i="2"/>
  <c r="J1740" i="2"/>
  <c r="I1740" i="2"/>
  <c r="H1740" i="2"/>
  <c r="G1740" i="2"/>
  <c r="F1740" i="2"/>
  <c r="E1740" i="2"/>
  <c r="D1740" i="2"/>
  <c r="C1740" i="2"/>
  <c r="B1740" i="2"/>
  <c r="A1740" i="2"/>
  <c r="U1739" i="2"/>
  <c r="R1739" i="2"/>
  <c r="Q1739" i="2"/>
  <c r="P1739" i="2"/>
  <c r="O1739" i="2"/>
  <c r="M1739" i="2"/>
  <c r="L1739" i="2"/>
  <c r="K1739" i="2"/>
  <c r="J1739" i="2"/>
  <c r="I1739" i="2"/>
  <c r="H1739" i="2"/>
  <c r="G1739" i="2"/>
  <c r="F1739" i="2"/>
  <c r="E1739" i="2"/>
  <c r="D1739" i="2"/>
  <c r="C1739" i="2"/>
  <c r="B1739" i="2"/>
  <c r="A1739" i="2"/>
  <c r="U1738" i="2"/>
  <c r="R1738" i="2"/>
  <c r="Q1738" i="2"/>
  <c r="P1738" i="2"/>
  <c r="O1738" i="2"/>
  <c r="M1738" i="2"/>
  <c r="L1738" i="2"/>
  <c r="K1738" i="2"/>
  <c r="J1738" i="2"/>
  <c r="I1738" i="2"/>
  <c r="H1738" i="2"/>
  <c r="G1738" i="2"/>
  <c r="F1738" i="2"/>
  <c r="E1738" i="2"/>
  <c r="D1738" i="2"/>
  <c r="C1738" i="2"/>
  <c r="B1738" i="2"/>
  <c r="A1738" i="2"/>
  <c r="U1737" i="2"/>
  <c r="R1737" i="2"/>
  <c r="Q1737" i="2"/>
  <c r="O1737" i="2"/>
  <c r="M1737" i="2"/>
  <c r="L1737" i="2"/>
  <c r="K1737" i="2"/>
  <c r="J1737" i="2"/>
  <c r="G1737" i="2"/>
  <c r="F1737" i="2"/>
  <c r="E1737" i="2"/>
  <c r="D1737" i="2"/>
  <c r="C1737" i="2"/>
  <c r="B1737" i="2"/>
  <c r="A1737" i="2"/>
  <c r="U1736" i="2"/>
  <c r="R1736" i="2"/>
  <c r="Q1736" i="2"/>
  <c r="P1736" i="2"/>
  <c r="O1736" i="2"/>
  <c r="M1736" i="2"/>
  <c r="L1736" i="2"/>
  <c r="K1736" i="2"/>
  <c r="J1736" i="2"/>
  <c r="I1736" i="2"/>
  <c r="H1736" i="2"/>
  <c r="G1736" i="2"/>
  <c r="F1736" i="2"/>
  <c r="E1736" i="2"/>
  <c r="D1736" i="2"/>
  <c r="C1736" i="2"/>
  <c r="B1736" i="2"/>
  <c r="A1736" i="2"/>
  <c r="U1735" i="2"/>
  <c r="R1735" i="2"/>
  <c r="Q1735" i="2"/>
  <c r="O1735" i="2"/>
  <c r="M1735" i="2"/>
  <c r="L1735" i="2"/>
  <c r="K1735" i="2"/>
  <c r="J1735" i="2"/>
  <c r="G1735" i="2"/>
  <c r="F1735" i="2"/>
  <c r="E1735" i="2"/>
  <c r="D1735" i="2"/>
  <c r="C1735" i="2"/>
  <c r="B1735" i="2"/>
  <c r="A1735" i="2"/>
  <c r="U1734" i="2"/>
  <c r="R1734" i="2"/>
  <c r="Q1734" i="2"/>
  <c r="P1734" i="2"/>
  <c r="O1734" i="2"/>
  <c r="M1734" i="2"/>
  <c r="L1734" i="2"/>
  <c r="K1734" i="2"/>
  <c r="J1734" i="2"/>
  <c r="I1734" i="2"/>
  <c r="H1734" i="2"/>
  <c r="G1734" i="2"/>
  <c r="F1734" i="2"/>
  <c r="E1734" i="2"/>
  <c r="D1734" i="2"/>
  <c r="C1734" i="2"/>
  <c r="B1734" i="2"/>
  <c r="A1734" i="2"/>
  <c r="U1733" i="2"/>
  <c r="R1733" i="2"/>
  <c r="Q1733" i="2"/>
  <c r="O1733" i="2"/>
  <c r="M1733" i="2"/>
  <c r="L1733" i="2"/>
  <c r="K1733" i="2"/>
  <c r="J1733" i="2"/>
  <c r="G1733" i="2"/>
  <c r="F1733" i="2"/>
  <c r="E1733" i="2"/>
  <c r="D1733" i="2"/>
  <c r="C1733" i="2"/>
  <c r="B1733" i="2"/>
  <c r="A1733" i="2"/>
  <c r="R1732" i="2"/>
  <c r="Q1732" i="2"/>
  <c r="P1732" i="2"/>
  <c r="O1732" i="2"/>
  <c r="M1732" i="2"/>
  <c r="L1732" i="2"/>
  <c r="K1732" i="2"/>
  <c r="J1732" i="2"/>
  <c r="I1732" i="2"/>
  <c r="H1732" i="2"/>
  <c r="G1732" i="2"/>
  <c r="F1732" i="2"/>
  <c r="E1732" i="2"/>
  <c r="D1732" i="2"/>
  <c r="C1732" i="2"/>
  <c r="B1732" i="2"/>
  <c r="A1732" i="2"/>
  <c r="R1731" i="2"/>
  <c r="Q1731" i="2"/>
  <c r="O1731" i="2"/>
  <c r="M1731" i="2"/>
  <c r="L1731" i="2"/>
  <c r="K1731" i="2"/>
  <c r="J1731" i="2"/>
  <c r="G1731" i="2"/>
  <c r="F1731" i="2"/>
  <c r="E1731" i="2"/>
  <c r="D1731" i="2"/>
  <c r="C1731" i="2"/>
  <c r="B1731" i="2"/>
  <c r="A1731" i="2"/>
  <c r="R1730" i="2"/>
  <c r="Q1730" i="2"/>
  <c r="P1730" i="2"/>
  <c r="O1730" i="2"/>
  <c r="M1730" i="2"/>
  <c r="L1730" i="2"/>
  <c r="K1730" i="2"/>
  <c r="J1730" i="2"/>
  <c r="I1730" i="2"/>
  <c r="H1730" i="2"/>
  <c r="G1730" i="2"/>
  <c r="F1730" i="2"/>
  <c r="E1730" i="2"/>
  <c r="D1730" i="2"/>
  <c r="C1730" i="2"/>
  <c r="B1730" i="2"/>
  <c r="A1730" i="2"/>
  <c r="U1729" i="2"/>
  <c r="R1729" i="2"/>
  <c r="Q1729" i="2"/>
  <c r="P1729" i="2"/>
  <c r="O1729" i="2"/>
  <c r="M1729" i="2"/>
  <c r="L1729" i="2"/>
  <c r="K1729" i="2"/>
  <c r="J1729" i="2"/>
  <c r="I1729" i="2"/>
  <c r="H1729" i="2"/>
  <c r="G1729" i="2"/>
  <c r="F1729" i="2"/>
  <c r="E1729" i="2"/>
  <c r="D1729" i="2"/>
  <c r="C1729" i="2"/>
  <c r="B1729" i="2"/>
  <c r="A1729" i="2"/>
  <c r="U1728" i="2"/>
  <c r="R1728" i="2"/>
  <c r="Q1728" i="2"/>
  <c r="P1728" i="2"/>
  <c r="O1728" i="2"/>
  <c r="M1728" i="2"/>
  <c r="L1728" i="2"/>
  <c r="K1728" i="2"/>
  <c r="J1728" i="2"/>
  <c r="I1728" i="2"/>
  <c r="H1728" i="2"/>
  <c r="G1728" i="2"/>
  <c r="F1728" i="2"/>
  <c r="E1728" i="2"/>
  <c r="D1728" i="2"/>
  <c r="C1728" i="2"/>
  <c r="B1728" i="2"/>
  <c r="A1728" i="2"/>
  <c r="U1727" i="2"/>
  <c r="R1727" i="2"/>
  <c r="Q1727" i="2"/>
  <c r="P1727" i="2"/>
  <c r="O1727" i="2"/>
  <c r="M1727" i="2"/>
  <c r="L1727" i="2"/>
  <c r="K1727" i="2"/>
  <c r="J1727" i="2"/>
  <c r="I1727" i="2"/>
  <c r="H1727" i="2"/>
  <c r="G1727" i="2"/>
  <c r="F1727" i="2"/>
  <c r="E1727" i="2"/>
  <c r="D1727" i="2"/>
  <c r="C1727" i="2"/>
  <c r="B1727" i="2"/>
  <c r="A1727" i="2"/>
  <c r="U1726" i="2"/>
  <c r="R1726" i="2"/>
  <c r="Q1726" i="2"/>
  <c r="P1726" i="2"/>
  <c r="O1726" i="2"/>
  <c r="M1726" i="2"/>
  <c r="L1726" i="2"/>
  <c r="K1726" i="2"/>
  <c r="J1726" i="2"/>
  <c r="I1726" i="2"/>
  <c r="H1726" i="2"/>
  <c r="G1726" i="2"/>
  <c r="F1726" i="2"/>
  <c r="E1726" i="2"/>
  <c r="D1726" i="2"/>
  <c r="C1726" i="2"/>
  <c r="B1726" i="2"/>
  <c r="A1726" i="2"/>
  <c r="U1725" i="2"/>
  <c r="R1725" i="2"/>
  <c r="Q1725" i="2"/>
  <c r="P1725" i="2"/>
  <c r="O1725" i="2"/>
  <c r="M1725" i="2"/>
  <c r="L1725" i="2"/>
  <c r="K1725" i="2"/>
  <c r="J1725" i="2"/>
  <c r="I1725" i="2"/>
  <c r="H1725" i="2"/>
  <c r="G1725" i="2"/>
  <c r="F1725" i="2"/>
  <c r="E1725" i="2"/>
  <c r="D1725" i="2"/>
  <c r="C1725" i="2"/>
  <c r="B1725" i="2"/>
  <c r="A1725" i="2"/>
  <c r="U1724" i="2"/>
  <c r="R1724" i="2"/>
  <c r="Q1724" i="2"/>
  <c r="P1724" i="2"/>
  <c r="O1724" i="2"/>
  <c r="M1724" i="2"/>
  <c r="L1724" i="2"/>
  <c r="K1724" i="2"/>
  <c r="J1724" i="2"/>
  <c r="I1724" i="2"/>
  <c r="H1724" i="2"/>
  <c r="G1724" i="2"/>
  <c r="F1724" i="2"/>
  <c r="E1724" i="2"/>
  <c r="D1724" i="2"/>
  <c r="C1724" i="2"/>
  <c r="B1724" i="2"/>
  <c r="A1724" i="2"/>
  <c r="U1723" i="2"/>
  <c r="R1723" i="2"/>
  <c r="Q1723" i="2"/>
  <c r="P1723" i="2"/>
  <c r="O1723" i="2"/>
  <c r="M1723" i="2"/>
  <c r="L1723" i="2"/>
  <c r="K1723" i="2"/>
  <c r="J1723" i="2"/>
  <c r="I1723" i="2"/>
  <c r="H1723" i="2"/>
  <c r="G1723" i="2"/>
  <c r="F1723" i="2"/>
  <c r="E1723" i="2"/>
  <c r="D1723" i="2"/>
  <c r="C1723" i="2"/>
  <c r="B1723" i="2"/>
  <c r="A1723" i="2"/>
  <c r="U1722" i="2"/>
  <c r="R1722" i="2"/>
  <c r="Q1722" i="2"/>
  <c r="O1722" i="2"/>
  <c r="M1722" i="2"/>
  <c r="L1722" i="2"/>
  <c r="K1722" i="2"/>
  <c r="J1722" i="2"/>
  <c r="G1722" i="2"/>
  <c r="F1722" i="2"/>
  <c r="E1722" i="2"/>
  <c r="D1722" i="2"/>
  <c r="C1722" i="2"/>
  <c r="B1722" i="2"/>
  <c r="A1722" i="2"/>
  <c r="U1721" i="2"/>
  <c r="R1721" i="2"/>
  <c r="Q1721" i="2"/>
  <c r="O1721" i="2"/>
  <c r="M1721" i="2"/>
  <c r="L1721" i="2"/>
  <c r="K1721" i="2"/>
  <c r="J1721" i="2"/>
  <c r="G1721" i="2"/>
  <c r="F1721" i="2"/>
  <c r="E1721" i="2"/>
  <c r="D1721" i="2"/>
  <c r="C1721" i="2"/>
  <c r="B1721" i="2"/>
  <c r="A1721" i="2"/>
  <c r="U1720" i="2"/>
  <c r="R1720" i="2"/>
  <c r="Q1720" i="2"/>
  <c r="O1720" i="2"/>
  <c r="M1720" i="2"/>
  <c r="L1720" i="2"/>
  <c r="K1720" i="2"/>
  <c r="J1720" i="2"/>
  <c r="G1720" i="2"/>
  <c r="F1720" i="2"/>
  <c r="E1720" i="2"/>
  <c r="D1720" i="2"/>
  <c r="C1720" i="2"/>
  <c r="B1720" i="2"/>
  <c r="A1720" i="2"/>
  <c r="U1719" i="2"/>
  <c r="R1719" i="2"/>
  <c r="Q1719" i="2"/>
  <c r="P1719" i="2"/>
  <c r="O1719" i="2"/>
  <c r="M1719" i="2"/>
  <c r="L1719" i="2"/>
  <c r="K1719" i="2"/>
  <c r="J1719" i="2"/>
  <c r="I1719" i="2"/>
  <c r="H1719" i="2"/>
  <c r="G1719" i="2"/>
  <c r="F1719" i="2"/>
  <c r="E1719" i="2"/>
  <c r="D1719" i="2"/>
  <c r="C1719" i="2"/>
  <c r="B1719" i="2"/>
  <c r="A1719" i="2"/>
  <c r="U1718" i="2"/>
  <c r="R1718" i="2"/>
  <c r="Q1718" i="2"/>
  <c r="P1718" i="2"/>
  <c r="O1718" i="2"/>
  <c r="M1718" i="2"/>
  <c r="L1718" i="2"/>
  <c r="K1718" i="2"/>
  <c r="J1718" i="2"/>
  <c r="I1718" i="2"/>
  <c r="H1718" i="2"/>
  <c r="G1718" i="2"/>
  <c r="F1718" i="2"/>
  <c r="E1718" i="2"/>
  <c r="D1718" i="2"/>
  <c r="C1718" i="2"/>
  <c r="B1718" i="2"/>
  <c r="A1718" i="2"/>
  <c r="U1717" i="2"/>
  <c r="R1717" i="2"/>
  <c r="Q1717" i="2"/>
  <c r="P1717" i="2"/>
  <c r="O1717" i="2"/>
  <c r="M1717" i="2"/>
  <c r="L1717" i="2"/>
  <c r="K1717" i="2"/>
  <c r="J1717" i="2"/>
  <c r="I1717" i="2"/>
  <c r="H1717" i="2"/>
  <c r="G1717" i="2"/>
  <c r="F1717" i="2"/>
  <c r="E1717" i="2"/>
  <c r="D1717" i="2"/>
  <c r="C1717" i="2"/>
  <c r="B1717" i="2"/>
  <c r="A1717" i="2"/>
  <c r="U1716" i="2"/>
  <c r="R1716" i="2"/>
  <c r="Q1716" i="2"/>
  <c r="P1716" i="2"/>
  <c r="O1716" i="2"/>
  <c r="M1716" i="2"/>
  <c r="L1716" i="2"/>
  <c r="K1716" i="2"/>
  <c r="J1716" i="2"/>
  <c r="I1716" i="2"/>
  <c r="H1716" i="2"/>
  <c r="G1716" i="2"/>
  <c r="F1716" i="2"/>
  <c r="E1716" i="2"/>
  <c r="D1716" i="2"/>
  <c r="C1716" i="2"/>
  <c r="B1716" i="2"/>
  <c r="A1716" i="2"/>
  <c r="U1715" i="2"/>
  <c r="R1715" i="2"/>
  <c r="Q1715" i="2"/>
  <c r="P1715" i="2"/>
  <c r="O1715" i="2"/>
  <c r="M1715" i="2"/>
  <c r="L1715" i="2"/>
  <c r="K1715" i="2"/>
  <c r="J1715" i="2"/>
  <c r="I1715" i="2"/>
  <c r="H1715" i="2"/>
  <c r="G1715" i="2"/>
  <c r="F1715" i="2"/>
  <c r="E1715" i="2"/>
  <c r="D1715" i="2"/>
  <c r="C1715" i="2"/>
  <c r="B1715" i="2"/>
  <c r="A1715" i="2"/>
  <c r="U1714" i="2"/>
  <c r="R1714" i="2"/>
  <c r="Q1714" i="2"/>
  <c r="P1714" i="2"/>
  <c r="O1714" i="2"/>
  <c r="M1714" i="2"/>
  <c r="L1714" i="2"/>
  <c r="K1714" i="2"/>
  <c r="J1714" i="2"/>
  <c r="I1714" i="2"/>
  <c r="H1714" i="2"/>
  <c r="G1714" i="2"/>
  <c r="F1714" i="2"/>
  <c r="E1714" i="2"/>
  <c r="D1714" i="2"/>
  <c r="C1714" i="2"/>
  <c r="B1714" i="2"/>
  <c r="A1714" i="2"/>
  <c r="U1713" i="2"/>
  <c r="R1713" i="2"/>
  <c r="Q1713" i="2"/>
  <c r="P1713" i="2"/>
  <c r="O1713" i="2"/>
  <c r="M1713" i="2"/>
  <c r="L1713" i="2"/>
  <c r="K1713" i="2"/>
  <c r="J1713" i="2"/>
  <c r="I1713" i="2"/>
  <c r="H1713" i="2"/>
  <c r="G1713" i="2"/>
  <c r="F1713" i="2"/>
  <c r="E1713" i="2"/>
  <c r="D1713" i="2"/>
  <c r="C1713" i="2"/>
  <c r="B1713" i="2"/>
  <c r="A1713" i="2"/>
  <c r="U1712" i="2"/>
  <c r="R1712" i="2"/>
  <c r="Q1712" i="2"/>
  <c r="O1712" i="2"/>
  <c r="M1712" i="2"/>
  <c r="L1712" i="2"/>
  <c r="K1712" i="2"/>
  <c r="J1712" i="2"/>
  <c r="G1712" i="2"/>
  <c r="F1712" i="2"/>
  <c r="E1712" i="2"/>
  <c r="D1712" i="2"/>
  <c r="C1712" i="2"/>
  <c r="B1712" i="2"/>
  <c r="A1712" i="2"/>
  <c r="U1711" i="2"/>
  <c r="R1711" i="2"/>
  <c r="Q1711" i="2"/>
  <c r="P1711" i="2"/>
  <c r="O1711" i="2"/>
  <c r="M1711" i="2"/>
  <c r="L1711" i="2"/>
  <c r="K1711" i="2"/>
  <c r="J1711" i="2"/>
  <c r="I1711" i="2"/>
  <c r="H1711" i="2"/>
  <c r="G1711" i="2"/>
  <c r="F1711" i="2"/>
  <c r="E1711" i="2"/>
  <c r="D1711" i="2"/>
  <c r="C1711" i="2"/>
  <c r="B1711" i="2"/>
  <c r="A1711" i="2"/>
  <c r="R1710" i="2"/>
  <c r="Q1710" i="2"/>
  <c r="O1710" i="2"/>
  <c r="M1710" i="2"/>
  <c r="L1710" i="2"/>
  <c r="K1710" i="2"/>
  <c r="J1710" i="2"/>
  <c r="G1710" i="2"/>
  <c r="F1710" i="2"/>
  <c r="E1710" i="2"/>
  <c r="D1710" i="2"/>
  <c r="C1710" i="2"/>
  <c r="B1710" i="2"/>
  <c r="A1710" i="2"/>
  <c r="R1709" i="2"/>
  <c r="Q1709" i="2"/>
  <c r="O1709" i="2"/>
  <c r="M1709" i="2"/>
  <c r="L1709" i="2"/>
  <c r="K1709" i="2"/>
  <c r="J1709" i="2"/>
  <c r="G1709" i="2"/>
  <c r="F1709" i="2"/>
  <c r="E1709" i="2"/>
  <c r="D1709" i="2"/>
  <c r="C1709" i="2"/>
  <c r="B1709" i="2"/>
  <c r="A1709" i="2"/>
  <c r="U1708" i="2"/>
  <c r="R1708" i="2"/>
  <c r="Q1708" i="2"/>
  <c r="P1708" i="2"/>
  <c r="O1708" i="2"/>
  <c r="M1708" i="2"/>
  <c r="L1708" i="2"/>
  <c r="K1708" i="2"/>
  <c r="J1708" i="2"/>
  <c r="I1708" i="2"/>
  <c r="H1708" i="2"/>
  <c r="G1708" i="2"/>
  <c r="F1708" i="2"/>
  <c r="E1708" i="2"/>
  <c r="D1708" i="2"/>
  <c r="C1708" i="2"/>
  <c r="B1708" i="2"/>
  <c r="A1708" i="2"/>
  <c r="U1707" i="2"/>
  <c r="R1707" i="2"/>
  <c r="Q1707" i="2"/>
  <c r="P1707" i="2"/>
  <c r="O1707" i="2"/>
  <c r="M1707" i="2"/>
  <c r="L1707" i="2"/>
  <c r="K1707" i="2"/>
  <c r="J1707" i="2"/>
  <c r="I1707" i="2"/>
  <c r="H1707" i="2"/>
  <c r="G1707" i="2"/>
  <c r="F1707" i="2"/>
  <c r="E1707" i="2"/>
  <c r="D1707" i="2"/>
  <c r="C1707" i="2"/>
  <c r="B1707" i="2"/>
  <c r="A1707" i="2"/>
  <c r="U1706" i="2"/>
  <c r="R1706" i="2"/>
  <c r="Q1706" i="2"/>
  <c r="P1706" i="2"/>
  <c r="O1706" i="2"/>
  <c r="M1706" i="2"/>
  <c r="L1706" i="2"/>
  <c r="K1706" i="2"/>
  <c r="J1706" i="2"/>
  <c r="I1706" i="2"/>
  <c r="H1706" i="2"/>
  <c r="G1706" i="2"/>
  <c r="F1706" i="2"/>
  <c r="E1706" i="2"/>
  <c r="D1706" i="2"/>
  <c r="C1706" i="2"/>
  <c r="B1706" i="2"/>
  <c r="A1706" i="2"/>
  <c r="R1705" i="2"/>
  <c r="Q1705" i="2"/>
  <c r="O1705" i="2"/>
  <c r="M1705" i="2"/>
  <c r="L1705" i="2"/>
  <c r="K1705" i="2"/>
  <c r="J1705" i="2"/>
  <c r="G1705" i="2"/>
  <c r="F1705" i="2"/>
  <c r="E1705" i="2"/>
  <c r="D1705" i="2"/>
  <c r="C1705" i="2"/>
  <c r="B1705" i="2"/>
  <c r="A1705" i="2"/>
  <c r="U1704" i="2"/>
  <c r="R1704" i="2"/>
  <c r="Q1704" i="2"/>
  <c r="O1704" i="2"/>
  <c r="M1704" i="2"/>
  <c r="L1704" i="2"/>
  <c r="K1704" i="2"/>
  <c r="J1704" i="2"/>
  <c r="G1704" i="2"/>
  <c r="F1704" i="2"/>
  <c r="E1704" i="2"/>
  <c r="D1704" i="2"/>
  <c r="C1704" i="2"/>
  <c r="B1704" i="2"/>
  <c r="A1704" i="2"/>
  <c r="U1703" i="2"/>
  <c r="R1703" i="2"/>
  <c r="Q1703" i="2"/>
  <c r="O1703" i="2"/>
  <c r="M1703" i="2"/>
  <c r="L1703" i="2"/>
  <c r="K1703" i="2"/>
  <c r="J1703" i="2"/>
  <c r="G1703" i="2"/>
  <c r="F1703" i="2"/>
  <c r="E1703" i="2"/>
  <c r="D1703" i="2"/>
  <c r="C1703" i="2"/>
  <c r="B1703" i="2"/>
  <c r="A1703" i="2"/>
  <c r="U1702" i="2"/>
  <c r="R1702" i="2"/>
  <c r="Q1702" i="2"/>
  <c r="O1702" i="2"/>
  <c r="M1702" i="2"/>
  <c r="L1702" i="2"/>
  <c r="K1702" i="2"/>
  <c r="J1702" i="2"/>
  <c r="G1702" i="2"/>
  <c r="F1702" i="2"/>
  <c r="E1702" i="2"/>
  <c r="D1702" i="2"/>
  <c r="C1702" i="2"/>
  <c r="B1702" i="2"/>
  <c r="A1702" i="2"/>
  <c r="R1701" i="2"/>
  <c r="Q1701" i="2"/>
  <c r="P1701" i="2"/>
  <c r="O1701" i="2"/>
  <c r="M1701" i="2"/>
  <c r="L1701" i="2"/>
  <c r="K1701" i="2"/>
  <c r="J1701" i="2"/>
  <c r="I1701" i="2"/>
  <c r="H1701" i="2"/>
  <c r="G1701" i="2"/>
  <c r="F1701" i="2"/>
  <c r="E1701" i="2"/>
  <c r="D1701" i="2"/>
  <c r="C1701" i="2"/>
  <c r="B1701" i="2"/>
  <c r="A1701" i="2"/>
  <c r="R1700" i="2"/>
  <c r="Q1700" i="2"/>
  <c r="O1700" i="2"/>
  <c r="M1700" i="2"/>
  <c r="L1700" i="2"/>
  <c r="K1700" i="2"/>
  <c r="J1700" i="2"/>
  <c r="G1700" i="2"/>
  <c r="F1700" i="2"/>
  <c r="E1700" i="2"/>
  <c r="D1700" i="2"/>
  <c r="C1700" i="2"/>
  <c r="B1700" i="2"/>
  <c r="A1700" i="2"/>
  <c r="R1699" i="2"/>
  <c r="Q1699" i="2"/>
  <c r="O1699" i="2"/>
  <c r="M1699" i="2"/>
  <c r="L1699" i="2"/>
  <c r="K1699" i="2"/>
  <c r="J1699" i="2"/>
  <c r="G1699" i="2"/>
  <c r="F1699" i="2"/>
  <c r="E1699" i="2"/>
  <c r="D1699" i="2"/>
  <c r="C1699" i="2"/>
  <c r="B1699" i="2"/>
  <c r="A1699" i="2"/>
  <c r="U1698" i="2"/>
  <c r="R1698" i="2"/>
  <c r="Q1698" i="2"/>
  <c r="O1698" i="2"/>
  <c r="M1698" i="2"/>
  <c r="L1698" i="2"/>
  <c r="K1698" i="2"/>
  <c r="J1698" i="2"/>
  <c r="G1698" i="2"/>
  <c r="F1698" i="2"/>
  <c r="E1698" i="2"/>
  <c r="D1698" i="2"/>
  <c r="C1698" i="2"/>
  <c r="B1698" i="2"/>
  <c r="A1698" i="2"/>
  <c r="R1697" i="2"/>
  <c r="Q1697" i="2"/>
  <c r="P1697" i="2"/>
  <c r="O1697" i="2"/>
  <c r="M1697" i="2"/>
  <c r="L1697" i="2"/>
  <c r="K1697" i="2"/>
  <c r="J1697" i="2"/>
  <c r="I1697" i="2"/>
  <c r="H1697" i="2"/>
  <c r="G1697" i="2"/>
  <c r="F1697" i="2"/>
  <c r="E1697" i="2"/>
  <c r="D1697" i="2"/>
  <c r="C1697" i="2"/>
  <c r="B1697" i="2"/>
  <c r="A1697" i="2"/>
  <c r="U1696" i="2"/>
  <c r="R1696" i="2"/>
  <c r="Q1696" i="2"/>
  <c r="O1696" i="2"/>
  <c r="M1696" i="2"/>
  <c r="L1696" i="2"/>
  <c r="K1696" i="2"/>
  <c r="J1696" i="2"/>
  <c r="G1696" i="2"/>
  <c r="F1696" i="2"/>
  <c r="E1696" i="2"/>
  <c r="D1696" i="2"/>
  <c r="C1696" i="2"/>
  <c r="B1696" i="2"/>
  <c r="A1696" i="2"/>
  <c r="R1695" i="2"/>
  <c r="Q1695" i="2"/>
  <c r="O1695" i="2"/>
  <c r="M1695" i="2"/>
  <c r="L1695" i="2"/>
  <c r="K1695" i="2"/>
  <c r="J1695" i="2"/>
  <c r="G1695" i="2"/>
  <c r="F1695" i="2"/>
  <c r="E1695" i="2"/>
  <c r="D1695" i="2"/>
  <c r="C1695" i="2"/>
  <c r="B1695" i="2"/>
  <c r="A1695" i="2"/>
  <c r="U1694" i="2"/>
  <c r="R1694" i="2"/>
  <c r="Q1694" i="2"/>
  <c r="O1694" i="2"/>
  <c r="M1694" i="2"/>
  <c r="L1694" i="2"/>
  <c r="K1694" i="2"/>
  <c r="J1694" i="2"/>
  <c r="G1694" i="2"/>
  <c r="F1694" i="2"/>
  <c r="E1694" i="2"/>
  <c r="D1694" i="2"/>
  <c r="C1694" i="2"/>
  <c r="B1694" i="2"/>
  <c r="A1694" i="2"/>
  <c r="U1693" i="2"/>
  <c r="R1693" i="2"/>
  <c r="Q1693" i="2"/>
  <c r="P1693" i="2"/>
  <c r="O1693" i="2"/>
  <c r="M1693" i="2"/>
  <c r="L1693" i="2"/>
  <c r="K1693" i="2"/>
  <c r="J1693" i="2"/>
  <c r="I1693" i="2"/>
  <c r="H1693" i="2"/>
  <c r="G1693" i="2"/>
  <c r="F1693" i="2"/>
  <c r="E1693" i="2"/>
  <c r="D1693" i="2"/>
  <c r="C1693" i="2"/>
  <c r="B1693" i="2"/>
  <c r="A1693" i="2"/>
  <c r="U1692" i="2"/>
  <c r="R1692" i="2"/>
  <c r="Q1692" i="2"/>
  <c r="O1692" i="2"/>
  <c r="M1692" i="2"/>
  <c r="L1692" i="2"/>
  <c r="K1692" i="2"/>
  <c r="J1692" i="2"/>
  <c r="G1692" i="2"/>
  <c r="F1692" i="2"/>
  <c r="E1692" i="2"/>
  <c r="D1692" i="2"/>
  <c r="C1692" i="2"/>
  <c r="B1692" i="2"/>
  <c r="A1692" i="2"/>
  <c r="R1691" i="2"/>
  <c r="Q1691" i="2"/>
  <c r="O1691" i="2"/>
  <c r="M1691" i="2"/>
  <c r="L1691" i="2"/>
  <c r="K1691" i="2"/>
  <c r="J1691" i="2"/>
  <c r="G1691" i="2"/>
  <c r="F1691" i="2"/>
  <c r="E1691" i="2"/>
  <c r="D1691" i="2"/>
  <c r="C1691" i="2"/>
  <c r="B1691" i="2"/>
  <c r="A1691" i="2"/>
  <c r="R1690" i="2"/>
  <c r="Q1690" i="2"/>
  <c r="O1690" i="2"/>
  <c r="M1690" i="2"/>
  <c r="L1690" i="2"/>
  <c r="K1690" i="2"/>
  <c r="J1690" i="2"/>
  <c r="G1690" i="2"/>
  <c r="F1690" i="2"/>
  <c r="E1690" i="2"/>
  <c r="D1690" i="2"/>
  <c r="C1690" i="2"/>
  <c r="B1690" i="2"/>
  <c r="A1690" i="2"/>
  <c r="R1689" i="2"/>
  <c r="Q1689" i="2"/>
  <c r="O1689" i="2"/>
  <c r="M1689" i="2"/>
  <c r="L1689" i="2"/>
  <c r="K1689" i="2"/>
  <c r="J1689" i="2"/>
  <c r="G1689" i="2"/>
  <c r="F1689" i="2"/>
  <c r="E1689" i="2"/>
  <c r="D1689" i="2"/>
  <c r="C1689" i="2"/>
  <c r="B1689" i="2"/>
  <c r="A1689" i="2"/>
  <c r="R1688" i="2"/>
  <c r="Q1688" i="2"/>
  <c r="O1688" i="2"/>
  <c r="M1688" i="2"/>
  <c r="L1688" i="2"/>
  <c r="K1688" i="2"/>
  <c r="J1688" i="2"/>
  <c r="G1688" i="2"/>
  <c r="F1688" i="2"/>
  <c r="E1688" i="2"/>
  <c r="D1688" i="2"/>
  <c r="C1688" i="2"/>
  <c r="B1688" i="2"/>
  <c r="A1688" i="2"/>
  <c r="R1687" i="2"/>
  <c r="Q1687" i="2"/>
  <c r="P1687" i="2"/>
  <c r="O1687" i="2"/>
  <c r="M1687" i="2"/>
  <c r="L1687" i="2"/>
  <c r="K1687" i="2"/>
  <c r="J1687" i="2"/>
  <c r="I1687" i="2"/>
  <c r="H1687" i="2"/>
  <c r="G1687" i="2"/>
  <c r="F1687" i="2"/>
  <c r="E1687" i="2"/>
  <c r="D1687" i="2"/>
  <c r="C1687" i="2"/>
  <c r="B1687" i="2"/>
  <c r="A1687" i="2"/>
  <c r="U1686" i="2"/>
  <c r="R1686" i="2"/>
  <c r="Q1686" i="2"/>
  <c r="O1686" i="2"/>
  <c r="M1686" i="2"/>
  <c r="L1686" i="2"/>
  <c r="K1686" i="2"/>
  <c r="J1686" i="2"/>
  <c r="G1686" i="2"/>
  <c r="F1686" i="2"/>
  <c r="E1686" i="2"/>
  <c r="D1686" i="2"/>
  <c r="C1686" i="2"/>
  <c r="B1686" i="2"/>
  <c r="A1686" i="2"/>
  <c r="R1685" i="2"/>
  <c r="Q1685" i="2"/>
  <c r="P1685" i="2"/>
  <c r="O1685" i="2"/>
  <c r="M1685" i="2"/>
  <c r="L1685" i="2"/>
  <c r="K1685" i="2"/>
  <c r="J1685" i="2"/>
  <c r="I1685" i="2"/>
  <c r="H1685" i="2"/>
  <c r="G1685" i="2"/>
  <c r="F1685" i="2"/>
  <c r="E1685" i="2"/>
  <c r="D1685" i="2"/>
  <c r="C1685" i="2"/>
  <c r="B1685" i="2"/>
  <c r="A1685" i="2"/>
  <c r="R1684" i="2"/>
  <c r="Q1684" i="2"/>
  <c r="O1684" i="2"/>
  <c r="M1684" i="2"/>
  <c r="L1684" i="2"/>
  <c r="K1684" i="2"/>
  <c r="J1684" i="2"/>
  <c r="G1684" i="2"/>
  <c r="F1684" i="2"/>
  <c r="E1684" i="2"/>
  <c r="D1684" i="2"/>
  <c r="C1684" i="2"/>
  <c r="B1684" i="2"/>
  <c r="A1684" i="2"/>
  <c r="R1683" i="2"/>
  <c r="Q1683" i="2"/>
  <c r="P1683" i="2"/>
  <c r="O1683" i="2"/>
  <c r="M1683" i="2"/>
  <c r="L1683" i="2"/>
  <c r="K1683" i="2"/>
  <c r="J1683" i="2"/>
  <c r="I1683" i="2"/>
  <c r="H1683" i="2"/>
  <c r="G1683" i="2"/>
  <c r="F1683" i="2"/>
  <c r="E1683" i="2"/>
  <c r="D1683" i="2"/>
  <c r="C1683" i="2"/>
  <c r="B1683" i="2"/>
  <c r="A1683" i="2"/>
  <c r="R1682" i="2"/>
  <c r="Q1682" i="2"/>
  <c r="O1682" i="2"/>
  <c r="N1682" i="2"/>
  <c r="M1682" i="2"/>
  <c r="L1682" i="2"/>
  <c r="K1682" i="2"/>
  <c r="J1682" i="2"/>
  <c r="G1682" i="2"/>
  <c r="F1682" i="2"/>
  <c r="E1682" i="2"/>
  <c r="D1682" i="2"/>
  <c r="C1682" i="2"/>
  <c r="B1682" i="2"/>
  <c r="A1682" i="2"/>
  <c r="R1681" i="2"/>
  <c r="Q1681" i="2"/>
  <c r="O1681" i="2"/>
  <c r="M1681" i="2"/>
  <c r="L1681" i="2"/>
  <c r="K1681" i="2"/>
  <c r="J1681" i="2"/>
  <c r="G1681" i="2"/>
  <c r="F1681" i="2"/>
  <c r="E1681" i="2"/>
  <c r="D1681" i="2"/>
  <c r="C1681" i="2"/>
  <c r="B1681" i="2"/>
  <c r="A1681" i="2"/>
  <c r="R1680" i="2"/>
  <c r="Q1680" i="2"/>
  <c r="O1680" i="2"/>
  <c r="M1680" i="2"/>
  <c r="L1680" i="2"/>
  <c r="K1680" i="2"/>
  <c r="J1680" i="2"/>
  <c r="G1680" i="2"/>
  <c r="F1680" i="2"/>
  <c r="E1680" i="2"/>
  <c r="D1680" i="2"/>
  <c r="C1680" i="2"/>
  <c r="B1680" i="2"/>
  <c r="A1680" i="2"/>
  <c r="R1679" i="2"/>
  <c r="Q1679" i="2"/>
  <c r="P1679" i="2"/>
  <c r="O1679" i="2"/>
  <c r="M1679" i="2"/>
  <c r="L1679" i="2"/>
  <c r="K1679" i="2"/>
  <c r="J1679" i="2"/>
  <c r="I1679" i="2"/>
  <c r="H1679" i="2"/>
  <c r="G1679" i="2"/>
  <c r="F1679" i="2"/>
  <c r="E1679" i="2"/>
  <c r="D1679" i="2"/>
  <c r="C1679" i="2"/>
  <c r="B1679" i="2"/>
  <c r="A1679" i="2"/>
  <c r="R1678" i="2"/>
  <c r="Q1678" i="2"/>
  <c r="O1678" i="2"/>
  <c r="M1678" i="2"/>
  <c r="L1678" i="2"/>
  <c r="K1678" i="2"/>
  <c r="J1678" i="2"/>
  <c r="G1678" i="2"/>
  <c r="F1678" i="2"/>
  <c r="E1678" i="2"/>
  <c r="D1678" i="2"/>
  <c r="C1678" i="2"/>
  <c r="B1678" i="2"/>
  <c r="A1678" i="2"/>
  <c r="U1677" i="2"/>
  <c r="R1677" i="2"/>
  <c r="Q1677" i="2"/>
  <c r="P1677" i="2"/>
  <c r="O1677" i="2"/>
  <c r="M1677" i="2"/>
  <c r="L1677" i="2"/>
  <c r="K1677" i="2"/>
  <c r="J1677" i="2"/>
  <c r="I1677" i="2"/>
  <c r="H1677" i="2"/>
  <c r="G1677" i="2"/>
  <c r="F1677" i="2"/>
  <c r="E1677" i="2"/>
  <c r="D1677" i="2"/>
  <c r="C1677" i="2"/>
  <c r="B1677" i="2"/>
  <c r="A1677" i="2"/>
  <c r="U1676" i="2"/>
  <c r="R1676" i="2"/>
  <c r="Q1676" i="2"/>
  <c r="O1676" i="2"/>
  <c r="M1676" i="2"/>
  <c r="L1676" i="2"/>
  <c r="K1676" i="2"/>
  <c r="J1676" i="2"/>
  <c r="G1676" i="2"/>
  <c r="F1676" i="2"/>
  <c r="E1676" i="2"/>
  <c r="D1676" i="2"/>
  <c r="C1676" i="2"/>
  <c r="B1676" i="2"/>
  <c r="A1676" i="2"/>
  <c r="U1675" i="2"/>
  <c r="R1675" i="2"/>
  <c r="Q1675" i="2"/>
  <c r="O1675" i="2"/>
  <c r="M1675" i="2"/>
  <c r="L1675" i="2"/>
  <c r="K1675" i="2"/>
  <c r="J1675" i="2"/>
  <c r="G1675" i="2"/>
  <c r="F1675" i="2"/>
  <c r="E1675" i="2"/>
  <c r="D1675" i="2"/>
  <c r="C1675" i="2"/>
  <c r="B1675" i="2"/>
  <c r="A1675" i="2"/>
  <c r="U1674" i="2"/>
  <c r="R1674" i="2"/>
  <c r="Q1674" i="2"/>
  <c r="P1674" i="2"/>
  <c r="O1674" i="2"/>
  <c r="M1674" i="2"/>
  <c r="L1674" i="2"/>
  <c r="K1674" i="2"/>
  <c r="J1674" i="2"/>
  <c r="I1674" i="2"/>
  <c r="H1674" i="2"/>
  <c r="G1674" i="2"/>
  <c r="F1674" i="2"/>
  <c r="E1674" i="2"/>
  <c r="D1674" i="2"/>
  <c r="C1674" i="2"/>
  <c r="B1674" i="2"/>
  <c r="A1674" i="2"/>
  <c r="R1673" i="2"/>
  <c r="Q1673" i="2"/>
  <c r="P1673" i="2"/>
  <c r="O1673" i="2"/>
  <c r="M1673" i="2"/>
  <c r="L1673" i="2"/>
  <c r="K1673" i="2"/>
  <c r="J1673" i="2"/>
  <c r="I1673" i="2"/>
  <c r="H1673" i="2"/>
  <c r="G1673" i="2"/>
  <c r="F1673" i="2"/>
  <c r="E1673" i="2"/>
  <c r="D1673" i="2"/>
  <c r="C1673" i="2"/>
  <c r="B1673" i="2"/>
  <c r="A1673" i="2"/>
  <c r="U1672" i="2"/>
  <c r="R1672" i="2"/>
  <c r="Q1672" i="2"/>
  <c r="P1672" i="2"/>
  <c r="O1672" i="2"/>
  <c r="M1672" i="2"/>
  <c r="L1672" i="2"/>
  <c r="K1672" i="2"/>
  <c r="J1672" i="2"/>
  <c r="I1672" i="2"/>
  <c r="H1672" i="2"/>
  <c r="G1672" i="2"/>
  <c r="F1672" i="2"/>
  <c r="E1672" i="2"/>
  <c r="D1672" i="2"/>
  <c r="C1672" i="2"/>
  <c r="B1672" i="2"/>
  <c r="A1672" i="2"/>
  <c r="U1671" i="2"/>
  <c r="R1671" i="2"/>
  <c r="Q1671" i="2"/>
  <c r="P1671" i="2"/>
  <c r="O1671" i="2"/>
  <c r="M1671" i="2"/>
  <c r="L1671" i="2"/>
  <c r="K1671" i="2"/>
  <c r="J1671" i="2"/>
  <c r="I1671" i="2"/>
  <c r="H1671" i="2"/>
  <c r="G1671" i="2"/>
  <c r="F1671" i="2"/>
  <c r="E1671" i="2"/>
  <c r="D1671" i="2"/>
  <c r="C1671" i="2"/>
  <c r="B1671" i="2"/>
  <c r="A1671" i="2"/>
  <c r="U1670" i="2"/>
  <c r="R1670" i="2"/>
  <c r="Q1670" i="2"/>
  <c r="O1670" i="2"/>
  <c r="M1670" i="2"/>
  <c r="L1670" i="2"/>
  <c r="K1670" i="2"/>
  <c r="J1670" i="2"/>
  <c r="G1670" i="2"/>
  <c r="F1670" i="2"/>
  <c r="E1670" i="2"/>
  <c r="D1670" i="2"/>
  <c r="C1670" i="2"/>
  <c r="B1670" i="2"/>
  <c r="A1670" i="2"/>
  <c r="U1669" i="2"/>
  <c r="R1669" i="2"/>
  <c r="Q1669" i="2"/>
  <c r="O1669" i="2"/>
  <c r="M1669" i="2"/>
  <c r="L1669" i="2"/>
  <c r="K1669" i="2"/>
  <c r="J1669" i="2"/>
  <c r="G1669" i="2"/>
  <c r="F1669" i="2"/>
  <c r="E1669" i="2"/>
  <c r="D1669" i="2"/>
  <c r="C1669" i="2"/>
  <c r="B1669" i="2"/>
  <c r="A1669" i="2"/>
  <c r="R1668" i="2"/>
  <c r="Q1668" i="2"/>
  <c r="O1668" i="2"/>
  <c r="M1668" i="2"/>
  <c r="L1668" i="2"/>
  <c r="K1668" i="2"/>
  <c r="J1668" i="2"/>
  <c r="G1668" i="2"/>
  <c r="F1668" i="2"/>
  <c r="E1668" i="2"/>
  <c r="D1668" i="2"/>
  <c r="C1668" i="2"/>
  <c r="B1668" i="2"/>
  <c r="A1668" i="2"/>
  <c r="U1667" i="2"/>
  <c r="R1667" i="2"/>
  <c r="Q1667" i="2"/>
  <c r="P1667" i="2"/>
  <c r="O1667" i="2"/>
  <c r="M1667" i="2"/>
  <c r="L1667" i="2"/>
  <c r="K1667" i="2"/>
  <c r="J1667" i="2"/>
  <c r="I1667" i="2"/>
  <c r="H1667" i="2"/>
  <c r="G1667" i="2"/>
  <c r="F1667" i="2"/>
  <c r="E1667" i="2"/>
  <c r="D1667" i="2"/>
  <c r="C1667" i="2"/>
  <c r="B1667" i="2"/>
  <c r="A1667" i="2"/>
  <c r="U1666" i="2"/>
  <c r="R1666" i="2"/>
  <c r="Q1666" i="2"/>
  <c r="P1666" i="2"/>
  <c r="O1666" i="2"/>
  <c r="M1666" i="2"/>
  <c r="L1666" i="2"/>
  <c r="K1666" i="2"/>
  <c r="J1666" i="2"/>
  <c r="I1666" i="2"/>
  <c r="H1666" i="2"/>
  <c r="G1666" i="2"/>
  <c r="F1666" i="2"/>
  <c r="E1666" i="2"/>
  <c r="D1666" i="2"/>
  <c r="C1666" i="2"/>
  <c r="B1666" i="2"/>
  <c r="A1666" i="2"/>
  <c r="U1665" i="2"/>
  <c r="R1665" i="2"/>
  <c r="Q1665" i="2"/>
  <c r="P1665" i="2"/>
  <c r="O1665" i="2"/>
  <c r="M1665" i="2"/>
  <c r="L1665" i="2"/>
  <c r="K1665" i="2"/>
  <c r="J1665" i="2"/>
  <c r="I1665" i="2"/>
  <c r="H1665" i="2"/>
  <c r="G1665" i="2"/>
  <c r="F1665" i="2"/>
  <c r="E1665" i="2"/>
  <c r="D1665" i="2"/>
  <c r="C1665" i="2"/>
  <c r="B1665" i="2"/>
  <c r="A1665" i="2"/>
  <c r="U1664" i="2"/>
  <c r="R1664" i="2"/>
  <c r="Q1664" i="2"/>
  <c r="O1664" i="2"/>
  <c r="M1664" i="2"/>
  <c r="L1664" i="2"/>
  <c r="K1664" i="2"/>
  <c r="J1664" i="2"/>
  <c r="G1664" i="2"/>
  <c r="F1664" i="2"/>
  <c r="E1664" i="2"/>
  <c r="D1664" i="2"/>
  <c r="C1664" i="2"/>
  <c r="B1664" i="2"/>
  <c r="A1664" i="2"/>
  <c r="U1663" i="2"/>
  <c r="R1663" i="2"/>
  <c r="Q1663" i="2"/>
  <c r="P1663" i="2"/>
  <c r="O1663" i="2"/>
  <c r="M1663" i="2"/>
  <c r="L1663" i="2"/>
  <c r="K1663" i="2"/>
  <c r="J1663" i="2"/>
  <c r="I1663" i="2"/>
  <c r="H1663" i="2"/>
  <c r="G1663" i="2"/>
  <c r="F1663" i="2"/>
  <c r="E1663" i="2"/>
  <c r="D1663" i="2"/>
  <c r="C1663" i="2"/>
  <c r="B1663" i="2"/>
  <c r="A1663" i="2"/>
  <c r="U1662" i="2"/>
  <c r="R1662" i="2"/>
  <c r="Q1662" i="2"/>
  <c r="P1662" i="2"/>
  <c r="O1662" i="2"/>
  <c r="M1662" i="2"/>
  <c r="L1662" i="2"/>
  <c r="K1662" i="2"/>
  <c r="J1662" i="2"/>
  <c r="I1662" i="2"/>
  <c r="H1662" i="2"/>
  <c r="G1662" i="2"/>
  <c r="F1662" i="2"/>
  <c r="E1662" i="2"/>
  <c r="D1662" i="2"/>
  <c r="C1662" i="2"/>
  <c r="B1662" i="2"/>
  <c r="A1662" i="2"/>
  <c r="U1661" i="2"/>
  <c r="R1661" i="2"/>
  <c r="Q1661" i="2"/>
  <c r="P1661" i="2"/>
  <c r="O1661" i="2"/>
  <c r="M1661" i="2"/>
  <c r="L1661" i="2"/>
  <c r="K1661" i="2"/>
  <c r="J1661" i="2"/>
  <c r="I1661" i="2"/>
  <c r="H1661" i="2"/>
  <c r="G1661" i="2"/>
  <c r="F1661" i="2"/>
  <c r="E1661" i="2"/>
  <c r="D1661" i="2"/>
  <c r="C1661" i="2"/>
  <c r="B1661" i="2"/>
  <c r="A1661" i="2"/>
  <c r="U1660" i="2"/>
  <c r="R1660" i="2"/>
  <c r="Q1660" i="2"/>
  <c r="P1660" i="2"/>
  <c r="O1660" i="2"/>
  <c r="M1660" i="2"/>
  <c r="L1660" i="2"/>
  <c r="K1660" i="2"/>
  <c r="J1660" i="2"/>
  <c r="I1660" i="2"/>
  <c r="H1660" i="2"/>
  <c r="G1660" i="2"/>
  <c r="F1660" i="2"/>
  <c r="E1660" i="2"/>
  <c r="D1660" i="2"/>
  <c r="C1660" i="2"/>
  <c r="B1660" i="2"/>
  <c r="A1660" i="2"/>
  <c r="U1659" i="2"/>
  <c r="R1659" i="2"/>
  <c r="Q1659" i="2"/>
  <c r="P1659" i="2"/>
  <c r="O1659" i="2"/>
  <c r="M1659" i="2"/>
  <c r="L1659" i="2"/>
  <c r="K1659" i="2"/>
  <c r="J1659" i="2"/>
  <c r="I1659" i="2"/>
  <c r="H1659" i="2"/>
  <c r="G1659" i="2"/>
  <c r="F1659" i="2"/>
  <c r="E1659" i="2"/>
  <c r="D1659" i="2"/>
  <c r="C1659" i="2"/>
  <c r="B1659" i="2"/>
  <c r="A1659" i="2"/>
  <c r="Q1658" i="2"/>
  <c r="O1658" i="2"/>
  <c r="L1658" i="2"/>
  <c r="K1658" i="2"/>
  <c r="F1658" i="2"/>
  <c r="E1658" i="2"/>
  <c r="D1658" i="2"/>
  <c r="C1658" i="2"/>
  <c r="B1658" i="2"/>
  <c r="A1658" i="2"/>
  <c r="U1657" i="2"/>
  <c r="R1657" i="2"/>
  <c r="Q1657" i="2"/>
  <c r="P1657" i="2"/>
  <c r="O1657" i="2"/>
  <c r="M1657" i="2"/>
  <c r="L1657" i="2"/>
  <c r="K1657" i="2"/>
  <c r="J1657" i="2"/>
  <c r="I1657" i="2"/>
  <c r="H1657" i="2"/>
  <c r="G1657" i="2"/>
  <c r="F1657" i="2"/>
  <c r="E1657" i="2"/>
  <c r="D1657" i="2"/>
  <c r="C1657" i="2"/>
  <c r="B1657" i="2"/>
  <c r="A1657" i="2"/>
  <c r="U1656" i="2"/>
  <c r="R1656" i="2"/>
  <c r="Q1656" i="2"/>
  <c r="P1656" i="2"/>
  <c r="O1656" i="2"/>
  <c r="M1656" i="2"/>
  <c r="L1656" i="2"/>
  <c r="K1656" i="2"/>
  <c r="J1656" i="2"/>
  <c r="I1656" i="2"/>
  <c r="H1656" i="2"/>
  <c r="G1656" i="2"/>
  <c r="F1656" i="2"/>
  <c r="E1656" i="2"/>
  <c r="D1656" i="2"/>
  <c r="C1656" i="2"/>
  <c r="B1656" i="2"/>
  <c r="A1656" i="2"/>
  <c r="U1655" i="2"/>
  <c r="R1655" i="2"/>
  <c r="Q1655" i="2"/>
  <c r="P1655" i="2"/>
  <c r="O1655" i="2"/>
  <c r="M1655" i="2"/>
  <c r="L1655" i="2"/>
  <c r="K1655" i="2"/>
  <c r="J1655" i="2"/>
  <c r="I1655" i="2"/>
  <c r="H1655" i="2"/>
  <c r="G1655" i="2"/>
  <c r="F1655" i="2"/>
  <c r="E1655" i="2"/>
  <c r="D1655" i="2"/>
  <c r="C1655" i="2"/>
  <c r="B1655" i="2"/>
  <c r="A1655" i="2"/>
  <c r="U1654" i="2"/>
  <c r="R1654" i="2"/>
  <c r="Q1654" i="2"/>
  <c r="P1654" i="2"/>
  <c r="O1654" i="2"/>
  <c r="M1654" i="2"/>
  <c r="L1654" i="2"/>
  <c r="K1654" i="2"/>
  <c r="J1654" i="2"/>
  <c r="I1654" i="2"/>
  <c r="H1654" i="2"/>
  <c r="G1654" i="2"/>
  <c r="F1654" i="2"/>
  <c r="E1654" i="2"/>
  <c r="D1654" i="2"/>
  <c r="C1654" i="2"/>
  <c r="B1654" i="2"/>
  <c r="A1654" i="2"/>
  <c r="U1653" i="2"/>
  <c r="R1653" i="2"/>
  <c r="Q1653" i="2"/>
  <c r="O1653" i="2"/>
  <c r="M1653" i="2"/>
  <c r="L1653" i="2"/>
  <c r="K1653" i="2"/>
  <c r="J1653" i="2"/>
  <c r="G1653" i="2"/>
  <c r="F1653" i="2"/>
  <c r="E1653" i="2"/>
  <c r="D1653" i="2"/>
  <c r="C1653" i="2"/>
  <c r="B1653" i="2"/>
  <c r="A1653" i="2"/>
  <c r="U1652" i="2"/>
  <c r="R1652" i="2"/>
  <c r="Q1652" i="2"/>
  <c r="O1652" i="2"/>
  <c r="N1652" i="2"/>
  <c r="M1652" i="2"/>
  <c r="L1652" i="2"/>
  <c r="K1652" i="2"/>
  <c r="F1652" i="2"/>
  <c r="E1652" i="2"/>
  <c r="D1652" i="2"/>
  <c r="C1652" i="2"/>
  <c r="B1652" i="2"/>
  <c r="A1652" i="2"/>
  <c r="R1651" i="2"/>
  <c r="Q1651" i="2"/>
  <c r="P1651" i="2"/>
  <c r="O1651" i="2"/>
  <c r="M1651" i="2"/>
  <c r="L1651" i="2"/>
  <c r="K1651" i="2"/>
  <c r="J1651" i="2"/>
  <c r="I1651" i="2"/>
  <c r="H1651" i="2"/>
  <c r="G1651" i="2"/>
  <c r="F1651" i="2"/>
  <c r="E1651" i="2"/>
  <c r="D1651" i="2"/>
  <c r="C1651" i="2"/>
  <c r="B1651" i="2"/>
  <c r="A1651" i="2"/>
  <c r="R1650" i="2"/>
  <c r="Q1650" i="2"/>
  <c r="P1650" i="2"/>
  <c r="O1650" i="2"/>
  <c r="M1650" i="2"/>
  <c r="L1650" i="2"/>
  <c r="K1650" i="2"/>
  <c r="J1650" i="2"/>
  <c r="I1650" i="2"/>
  <c r="H1650" i="2"/>
  <c r="G1650" i="2"/>
  <c r="F1650" i="2"/>
  <c r="E1650" i="2"/>
  <c r="D1650" i="2"/>
  <c r="C1650" i="2"/>
  <c r="B1650" i="2"/>
  <c r="A1650" i="2"/>
  <c r="U1649" i="2"/>
  <c r="R1649" i="2"/>
  <c r="Q1649" i="2"/>
  <c r="P1649" i="2"/>
  <c r="O1649" i="2"/>
  <c r="M1649" i="2"/>
  <c r="L1649" i="2"/>
  <c r="K1649" i="2"/>
  <c r="J1649" i="2"/>
  <c r="I1649" i="2"/>
  <c r="H1649" i="2"/>
  <c r="G1649" i="2"/>
  <c r="F1649" i="2"/>
  <c r="E1649" i="2"/>
  <c r="D1649" i="2"/>
  <c r="C1649" i="2"/>
  <c r="B1649" i="2"/>
  <c r="A1649" i="2"/>
  <c r="U1648" i="2"/>
  <c r="R1648" i="2"/>
  <c r="Q1648" i="2"/>
  <c r="P1648" i="2"/>
  <c r="O1648" i="2"/>
  <c r="M1648" i="2"/>
  <c r="L1648" i="2"/>
  <c r="K1648" i="2"/>
  <c r="J1648" i="2"/>
  <c r="I1648" i="2"/>
  <c r="H1648" i="2"/>
  <c r="G1648" i="2"/>
  <c r="F1648" i="2"/>
  <c r="E1648" i="2"/>
  <c r="D1648" i="2"/>
  <c r="C1648" i="2"/>
  <c r="B1648" i="2"/>
  <c r="A1648" i="2"/>
  <c r="R1647" i="2"/>
  <c r="Q1647" i="2"/>
  <c r="P1647" i="2"/>
  <c r="O1647" i="2"/>
  <c r="M1647" i="2"/>
  <c r="L1647" i="2"/>
  <c r="K1647" i="2"/>
  <c r="J1647" i="2"/>
  <c r="I1647" i="2"/>
  <c r="H1647" i="2"/>
  <c r="G1647" i="2"/>
  <c r="F1647" i="2"/>
  <c r="E1647" i="2"/>
  <c r="D1647" i="2"/>
  <c r="C1647" i="2"/>
  <c r="B1647" i="2"/>
  <c r="A1647" i="2"/>
  <c r="R1646" i="2"/>
  <c r="Q1646" i="2"/>
  <c r="M1646" i="2"/>
  <c r="L1646" i="2"/>
  <c r="K1646" i="2"/>
  <c r="J1646" i="2"/>
  <c r="G1646" i="2"/>
  <c r="F1646" i="2"/>
  <c r="E1646" i="2"/>
  <c r="D1646" i="2"/>
  <c r="C1646" i="2"/>
  <c r="B1646" i="2"/>
  <c r="A1646" i="2"/>
  <c r="R1645" i="2"/>
  <c r="Q1645" i="2"/>
  <c r="P1645" i="2"/>
  <c r="O1645" i="2"/>
  <c r="M1645" i="2"/>
  <c r="L1645" i="2"/>
  <c r="K1645" i="2"/>
  <c r="J1645" i="2"/>
  <c r="I1645" i="2"/>
  <c r="H1645" i="2"/>
  <c r="G1645" i="2"/>
  <c r="F1645" i="2"/>
  <c r="E1645" i="2"/>
  <c r="D1645" i="2"/>
  <c r="C1645" i="2"/>
  <c r="B1645" i="2"/>
  <c r="A1645" i="2"/>
  <c r="R1644" i="2"/>
  <c r="Q1644" i="2"/>
  <c r="O1644" i="2"/>
  <c r="M1644" i="2"/>
  <c r="L1644" i="2"/>
  <c r="K1644" i="2"/>
  <c r="J1644" i="2"/>
  <c r="G1644" i="2"/>
  <c r="F1644" i="2"/>
  <c r="E1644" i="2"/>
  <c r="D1644" i="2"/>
  <c r="C1644" i="2"/>
  <c r="B1644" i="2"/>
  <c r="A1644" i="2"/>
  <c r="R1643" i="2"/>
  <c r="Q1643" i="2"/>
  <c r="P1643" i="2"/>
  <c r="O1643" i="2"/>
  <c r="M1643" i="2"/>
  <c r="L1643" i="2"/>
  <c r="K1643" i="2"/>
  <c r="J1643" i="2"/>
  <c r="I1643" i="2"/>
  <c r="H1643" i="2"/>
  <c r="G1643" i="2"/>
  <c r="F1643" i="2"/>
  <c r="E1643" i="2"/>
  <c r="D1643" i="2"/>
  <c r="C1643" i="2"/>
  <c r="B1643" i="2"/>
  <c r="A1643" i="2"/>
  <c r="R1642" i="2"/>
  <c r="Q1642" i="2"/>
  <c r="O1642" i="2"/>
  <c r="M1642" i="2"/>
  <c r="L1642" i="2"/>
  <c r="K1642" i="2"/>
  <c r="J1642" i="2"/>
  <c r="G1642" i="2"/>
  <c r="F1642" i="2"/>
  <c r="E1642" i="2"/>
  <c r="D1642" i="2"/>
  <c r="C1642" i="2"/>
  <c r="B1642" i="2"/>
  <c r="A1642" i="2"/>
  <c r="R1641" i="2"/>
  <c r="Q1641" i="2"/>
  <c r="O1641" i="2"/>
  <c r="M1641" i="2"/>
  <c r="L1641" i="2"/>
  <c r="K1641" i="2"/>
  <c r="J1641" i="2"/>
  <c r="G1641" i="2"/>
  <c r="F1641" i="2"/>
  <c r="E1641" i="2"/>
  <c r="D1641" i="2"/>
  <c r="C1641" i="2"/>
  <c r="B1641" i="2"/>
  <c r="A1641" i="2"/>
  <c r="R1640" i="2"/>
  <c r="Q1640" i="2"/>
  <c r="O1640" i="2"/>
  <c r="M1640" i="2"/>
  <c r="L1640" i="2"/>
  <c r="K1640" i="2"/>
  <c r="J1640" i="2"/>
  <c r="G1640" i="2"/>
  <c r="F1640" i="2"/>
  <c r="E1640" i="2"/>
  <c r="D1640" i="2"/>
  <c r="C1640" i="2"/>
  <c r="B1640" i="2"/>
  <c r="A1640" i="2"/>
  <c r="U1639" i="2"/>
  <c r="R1639" i="2"/>
  <c r="Q1639" i="2"/>
  <c r="P1639" i="2"/>
  <c r="O1639" i="2"/>
  <c r="M1639" i="2"/>
  <c r="L1639" i="2"/>
  <c r="K1639" i="2"/>
  <c r="J1639" i="2"/>
  <c r="I1639" i="2"/>
  <c r="H1639" i="2"/>
  <c r="G1639" i="2"/>
  <c r="F1639" i="2"/>
  <c r="E1639" i="2"/>
  <c r="D1639" i="2"/>
  <c r="C1639" i="2"/>
  <c r="B1639" i="2"/>
  <c r="A1639" i="2"/>
  <c r="R1638" i="2"/>
  <c r="Q1638" i="2"/>
  <c r="P1638" i="2"/>
  <c r="M1638" i="2"/>
  <c r="L1638" i="2"/>
  <c r="K1638" i="2"/>
  <c r="J1638" i="2"/>
  <c r="G1638" i="2"/>
  <c r="F1638" i="2"/>
  <c r="E1638" i="2"/>
  <c r="D1638" i="2"/>
  <c r="C1638" i="2"/>
  <c r="B1638" i="2"/>
  <c r="A1638" i="2"/>
  <c r="U1637" i="2"/>
  <c r="R1637" i="2"/>
  <c r="Q1637" i="2"/>
  <c r="P1637" i="2"/>
  <c r="O1637" i="2"/>
  <c r="M1637" i="2"/>
  <c r="L1637" i="2"/>
  <c r="K1637" i="2"/>
  <c r="J1637" i="2"/>
  <c r="I1637" i="2"/>
  <c r="H1637" i="2"/>
  <c r="G1637" i="2"/>
  <c r="F1637" i="2"/>
  <c r="E1637" i="2"/>
  <c r="D1637" i="2"/>
  <c r="C1637" i="2"/>
  <c r="B1637" i="2"/>
  <c r="A1637" i="2"/>
  <c r="U1636" i="2"/>
  <c r="R1636" i="2"/>
  <c r="Q1636" i="2"/>
  <c r="P1636" i="2"/>
  <c r="O1636" i="2"/>
  <c r="M1636" i="2"/>
  <c r="L1636" i="2"/>
  <c r="K1636" i="2"/>
  <c r="J1636" i="2"/>
  <c r="I1636" i="2"/>
  <c r="H1636" i="2"/>
  <c r="G1636" i="2"/>
  <c r="F1636" i="2"/>
  <c r="E1636" i="2"/>
  <c r="D1636" i="2"/>
  <c r="C1636" i="2"/>
  <c r="B1636" i="2"/>
  <c r="A1636" i="2"/>
  <c r="U1635" i="2"/>
  <c r="R1635" i="2"/>
  <c r="Q1635" i="2"/>
  <c r="P1635" i="2"/>
  <c r="O1635" i="2"/>
  <c r="M1635" i="2"/>
  <c r="L1635" i="2"/>
  <c r="K1635" i="2"/>
  <c r="J1635" i="2"/>
  <c r="I1635" i="2"/>
  <c r="H1635" i="2"/>
  <c r="G1635" i="2"/>
  <c r="F1635" i="2"/>
  <c r="E1635" i="2"/>
  <c r="D1635" i="2"/>
  <c r="C1635" i="2"/>
  <c r="B1635" i="2"/>
  <c r="A1635" i="2"/>
  <c r="U1634" i="2"/>
  <c r="R1634" i="2"/>
  <c r="Q1634" i="2"/>
  <c r="P1634" i="2"/>
  <c r="O1634" i="2"/>
  <c r="M1634" i="2"/>
  <c r="L1634" i="2"/>
  <c r="K1634" i="2"/>
  <c r="J1634" i="2"/>
  <c r="I1634" i="2"/>
  <c r="H1634" i="2"/>
  <c r="G1634" i="2"/>
  <c r="F1634" i="2"/>
  <c r="E1634" i="2"/>
  <c r="D1634" i="2"/>
  <c r="C1634" i="2"/>
  <c r="B1634" i="2"/>
  <c r="A1634" i="2"/>
  <c r="U1633" i="2"/>
  <c r="R1633" i="2"/>
  <c r="Q1633" i="2"/>
  <c r="P1633" i="2"/>
  <c r="O1633" i="2"/>
  <c r="M1633" i="2"/>
  <c r="L1633" i="2"/>
  <c r="K1633" i="2"/>
  <c r="J1633" i="2"/>
  <c r="I1633" i="2"/>
  <c r="H1633" i="2"/>
  <c r="G1633" i="2"/>
  <c r="F1633" i="2"/>
  <c r="E1633" i="2"/>
  <c r="D1633" i="2"/>
  <c r="C1633" i="2"/>
  <c r="B1633" i="2"/>
  <c r="A1633" i="2"/>
  <c r="U1632" i="2"/>
  <c r="R1632" i="2"/>
  <c r="Q1632" i="2"/>
  <c r="P1632" i="2"/>
  <c r="O1632" i="2"/>
  <c r="M1632" i="2"/>
  <c r="L1632" i="2"/>
  <c r="K1632" i="2"/>
  <c r="J1632" i="2"/>
  <c r="I1632" i="2"/>
  <c r="H1632" i="2"/>
  <c r="G1632" i="2"/>
  <c r="F1632" i="2"/>
  <c r="E1632" i="2"/>
  <c r="D1632" i="2"/>
  <c r="C1632" i="2"/>
  <c r="B1632" i="2"/>
  <c r="A1632" i="2"/>
  <c r="U1631" i="2"/>
  <c r="R1631" i="2"/>
  <c r="Q1631" i="2"/>
  <c r="P1631" i="2"/>
  <c r="O1631" i="2"/>
  <c r="M1631" i="2"/>
  <c r="L1631" i="2"/>
  <c r="K1631" i="2"/>
  <c r="J1631" i="2"/>
  <c r="I1631" i="2"/>
  <c r="H1631" i="2"/>
  <c r="G1631" i="2"/>
  <c r="F1631" i="2"/>
  <c r="E1631" i="2"/>
  <c r="D1631" i="2"/>
  <c r="C1631" i="2"/>
  <c r="B1631" i="2"/>
  <c r="A1631" i="2"/>
  <c r="U1630" i="2"/>
  <c r="R1630" i="2"/>
  <c r="Q1630" i="2"/>
  <c r="P1630" i="2"/>
  <c r="O1630" i="2"/>
  <c r="M1630" i="2"/>
  <c r="L1630" i="2"/>
  <c r="K1630" i="2"/>
  <c r="J1630" i="2"/>
  <c r="I1630" i="2"/>
  <c r="H1630" i="2"/>
  <c r="G1630" i="2"/>
  <c r="F1630" i="2"/>
  <c r="E1630" i="2"/>
  <c r="D1630" i="2"/>
  <c r="C1630" i="2"/>
  <c r="B1630" i="2"/>
  <c r="A1630" i="2"/>
  <c r="U1629" i="2"/>
  <c r="R1629" i="2"/>
  <c r="Q1629" i="2"/>
  <c r="P1629" i="2"/>
  <c r="O1629" i="2"/>
  <c r="M1629" i="2"/>
  <c r="L1629" i="2"/>
  <c r="K1629" i="2"/>
  <c r="J1629" i="2"/>
  <c r="I1629" i="2"/>
  <c r="H1629" i="2"/>
  <c r="G1629" i="2"/>
  <c r="F1629" i="2"/>
  <c r="E1629" i="2"/>
  <c r="D1629" i="2"/>
  <c r="C1629" i="2"/>
  <c r="B1629" i="2"/>
  <c r="A1629" i="2"/>
  <c r="U1628" i="2"/>
  <c r="R1628" i="2"/>
  <c r="Q1628" i="2"/>
  <c r="O1628" i="2"/>
  <c r="M1628" i="2"/>
  <c r="L1628" i="2"/>
  <c r="K1628" i="2"/>
  <c r="J1628" i="2"/>
  <c r="G1628" i="2"/>
  <c r="F1628" i="2"/>
  <c r="E1628" i="2"/>
  <c r="D1628" i="2"/>
  <c r="C1628" i="2"/>
  <c r="B1628" i="2"/>
  <c r="A1628" i="2"/>
  <c r="U1627" i="2"/>
  <c r="R1627" i="2"/>
  <c r="Q1627" i="2"/>
  <c r="P1627" i="2"/>
  <c r="O1627" i="2"/>
  <c r="M1627" i="2"/>
  <c r="L1627" i="2"/>
  <c r="K1627" i="2"/>
  <c r="J1627" i="2"/>
  <c r="I1627" i="2"/>
  <c r="H1627" i="2"/>
  <c r="G1627" i="2"/>
  <c r="F1627" i="2"/>
  <c r="E1627" i="2"/>
  <c r="D1627" i="2"/>
  <c r="C1627" i="2"/>
  <c r="B1627" i="2"/>
  <c r="A1627" i="2"/>
  <c r="U1626" i="2"/>
  <c r="R1626" i="2"/>
  <c r="Q1626" i="2"/>
  <c r="P1626" i="2"/>
  <c r="O1626" i="2"/>
  <c r="M1626" i="2"/>
  <c r="L1626" i="2"/>
  <c r="K1626" i="2"/>
  <c r="J1626" i="2"/>
  <c r="I1626" i="2"/>
  <c r="H1626" i="2"/>
  <c r="G1626" i="2"/>
  <c r="F1626" i="2"/>
  <c r="E1626" i="2"/>
  <c r="D1626" i="2"/>
  <c r="C1626" i="2"/>
  <c r="B1626" i="2"/>
  <c r="A1626" i="2"/>
  <c r="R1625" i="2"/>
  <c r="Q1625" i="2"/>
  <c r="P1625" i="2"/>
  <c r="O1625" i="2"/>
  <c r="M1625" i="2"/>
  <c r="L1625" i="2"/>
  <c r="K1625" i="2"/>
  <c r="J1625" i="2"/>
  <c r="I1625" i="2"/>
  <c r="H1625" i="2"/>
  <c r="G1625" i="2"/>
  <c r="F1625" i="2"/>
  <c r="E1625" i="2"/>
  <c r="D1625" i="2"/>
  <c r="C1625" i="2"/>
  <c r="B1625" i="2"/>
  <c r="A1625" i="2"/>
  <c r="R1624" i="2"/>
  <c r="Q1624" i="2"/>
  <c r="P1624" i="2"/>
  <c r="O1624" i="2"/>
  <c r="M1624" i="2"/>
  <c r="L1624" i="2"/>
  <c r="K1624" i="2"/>
  <c r="J1624" i="2"/>
  <c r="I1624" i="2"/>
  <c r="H1624" i="2"/>
  <c r="G1624" i="2"/>
  <c r="F1624" i="2"/>
  <c r="E1624" i="2"/>
  <c r="D1624" i="2"/>
  <c r="C1624" i="2"/>
  <c r="B1624" i="2"/>
  <c r="A1624" i="2"/>
  <c r="R1623" i="2"/>
  <c r="Q1623" i="2"/>
  <c r="P1623" i="2"/>
  <c r="O1623" i="2"/>
  <c r="M1623" i="2"/>
  <c r="L1623" i="2"/>
  <c r="K1623" i="2"/>
  <c r="J1623" i="2"/>
  <c r="I1623" i="2"/>
  <c r="H1623" i="2"/>
  <c r="G1623" i="2"/>
  <c r="F1623" i="2"/>
  <c r="E1623" i="2"/>
  <c r="D1623" i="2"/>
  <c r="C1623" i="2"/>
  <c r="B1623" i="2"/>
  <c r="A1623" i="2"/>
  <c r="R1622" i="2"/>
  <c r="Q1622" i="2"/>
  <c r="O1622" i="2"/>
  <c r="M1622" i="2"/>
  <c r="L1622" i="2"/>
  <c r="K1622" i="2"/>
  <c r="J1622" i="2"/>
  <c r="G1622" i="2"/>
  <c r="F1622" i="2"/>
  <c r="E1622" i="2"/>
  <c r="D1622" i="2"/>
  <c r="C1622" i="2"/>
  <c r="B1622" i="2"/>
  <c r="A1622" i="2"/>
  <c r="R1621" i="2"/>
  <c r="Q1621" i="2"/>
  <c r="P1621" i="2"/>
  <c r="O1621" i="2"/>
  <c r="M1621" i="2"/>
  <c r="L1621" i="2"/>
  <c r="K1621" i="2"/>
  <c r="J1621" i="2"/>
  <c r="I1621" i="2"/>
  <c r="H1621" i="2"/>
  <c r="G1621" i="2"/>
  <c r="F1621" i="2"/>
  <c r="E1621" i="2"/>
  <c r="D1621" i="2"/>
  <c r="C1621" i="2"/>
  <c r="B1621" i="2"/>
  <c r="A1621" i="2"/>
  <c r="R1620" i="2"/>
  <c r="Q1620" i="2"/>
  <c r="P1620" i="2"/>
  <c r="O1620" i="2"/>
  <c r="M1620" i="2"/>
  <c r="L1620" i="2"/>
  <c r="K1620" i="2"/>
  <c r="J1620" i="2"/>
  <c r="I1620" i="2"/>
  <c r="H1620" i="2"/>
  <c r="G1620" i="2"/>
  <c r="F1620" i="2"/>
  <c r="E1620" i="2"/>
  <c r="D1620" i="2"/>
  <c r="C1620" i="2"/>
  <c r="B1620" i="2"/>
  <c r="A1620" i="2"/>
  <c r="R1619" i="2"/>
  <c r="Q1619" i="2"/>
  <c r="P1619" i="2"/>
  <c r="O1619" i="2"/>
  <c r="M1619" i="2"/>
  <c r="L1619" i="2"/>
  <c r="K1619" i="2"/>
  <c r="J1619" i="2"/>
  <c r="I1619" i="2"/>
  <c r="H1619" i="2"/>
  <c r="G1619" i="2"/>
  <c r="F1619" i="2"/>
  <c r="E1619" i="2"/>
  <c r="D1619" i="2"/>
  <c r="C1619" i="2"/>
  <c r="B1619" i="2"/>
  <c r="A1619" i="2"/>
  <c r="R1618" i="2"/>
  <c r="Q1618" i="2"/>
  <c r="O1618" i="2"/>
  <c r="M1618" i="2"/>
  <c r="L1618" i="2"/>
  <c r="K1618" i="2"/>
  <c r="J1618" i="2"/>
  <c r="G1618" i="2"/>
  <c r="F1618" i="2"/>
  <c r="E1618" i="2"/>
  <c r="D1618" i="2"/>
  <c r="C1618" i="2"/>
  <c r="B1618" i="2"/>
  <c r="A1618" i="2"/>
  <c r="R1617" i="2"/>
  <c r="Q1617" i="2"/>
  <c r="P1617" i="2"/>
  <c r="O1617" i="2"/>
  <c r="M1617" i="2"/>
  <c r="L1617" i="2"/>
  <c r="K1617" i="2"/>
  <c r="J1617" i="2"/>
  <c r="I1617" i="2"/>
  <c r="H1617" i="2"/>
  <c r="G1617" i="2"/>
  <c r="F1617" i="2"/>
  <c r="E1617" i="2"/>
  <c r="D1617" i="2"/>
  <c r="C1617" i="2"/>
  <c r="B1617" i="2"/>
  <c r="A1617" i="2"/>
  <c r="R1616" i="2"/>
  <c r="Q1616" i="2"/>
  <c r="P1616" i="2"/>
  <c r="O1616" i="2"/>
  <c r="M1616" i="2"/>
  <c r="L1616" i="2"/>
  <c r="K1616" i="2"/>
  <c r="J1616" i="2"/>
  <c r="I1616" i="2"/>
  <c r="H1616" i="2"/>
  <c r="G1616" i="2"/>
  <c r="F1616" i="2"/>
  <c r="E1616" i="2"/>
  <c r="D1616" i="2"/>
  <c r="C1616" i="2"/>
  <c r="B1616" i="2"/>
  <c r="A1616" i="2"/>
  <c r="R1615" i="2"/>
  <c r="Q1615" i="2"/>
  <c r="P1615" i="2"/>
  <c r="O1615" i="2"/>
  <c r="M1615" i="2"/>
  <c r="L1615" i="2"/>
  <c r="K1615" i="2"/>
  <c r="J1615" i="2"/>
  <c r="I1615" i="2"/>
  <c r="H1615" i="2"/>
  <c r="G1615" i="2"/>
  <c r="F1615" i="2"/>
  <c r="E1615" i="2"/>
  <c r="D1615" i="2"/>
  <c r="C1615" i="2"/>
  <c r="B1615" i="2"/>
  <c r="A1615" i="2"/>
  <c r="R1614" i="2"/>
  <c r="Q1614" i="2"/>
  <c r="P1614" i="2"/>
  <c r="O1614" i="2"/>
  <c r="M1614" i="2"/>
  <c r="L1614" i="2"/>
  <c r="K1614" i="2"/>
  <c r="J1614" i="2"/>
  <c r="I1614" i="2"/>
  <c r="H1614" i="2"/>
  <c r="G1614" i="2"/>
  <c r="F1614" i="2"/>
  <c r="E1614" i="2"/>
  <c r="D1614" i="2"/>
  <c r="C1614" i="2"/>
  <c r="B1614" i="2"/>
  <c r="A1614" i="2"/>
  <c r="R1613" i="2"/>
  <c r="Q1613" i="2"/>
  <c r="O1613" i="2"/>
  <c r="M1613" i="2"/>
  <c r="L1613" i="2"/>
  <c r="K1613" i="2"/>
  <c r="J1613" i="2"/>
  <c r="G1613" i="2"/>
  <c r="F1613" i="2"/>
  <c r="E1613" i="2"/>
  <c r="D1613" i="2"/>
  <c r="C1613" i="2"/>
  <c r="B1613" i="2"/>
  <c r="A1613" i="2"/>
  <c r="R1612" i="2"/>
  <c r="Q1612" i="2"/>
  <c r="P1612" i="2"/>
  <c r="O1612" i="2"/>
  <c r="M1612" i="2"/>
  <c r="L1612" i="2"/>
  <c r="K1612" i="2"/>
  <c r="J1612" i="2"/>
  <c r="I1612" i="2"/>
  <c r="H1612" i="2"/>
  <c r="G1612" i="2"/>
  <c r="F1612" i="2"/>
  <c r="E1612" i="2"/>
  <c r="D1612" i="2"/>
  <c r="C1612" i="2"/>
  <c r="B1612" i="2"/>
  <c r="A1612" i="2"/>
  <c r="R1611" i="2"/>
  <c r="Q1611" i="2"/>
  <c r="P1611" i="2"/>
  <c r="O1611" i="2"/>
  <c r="M1611" i="2"/>
  <c r="L1611" i="2"/>
  <c r="K1611" i="2"/>
  <c r="J1611" i="2"/>
  <c r="I1611" i="2"/>
  <c r="H1611" i="2"/>
  <c r="G1611" i="2"/>
  <c r="F1611" i="2"/>
  <c r="E1611" i="2"/>
  <c r="D1611" i="2"/>
  <c r="C1611" i="2"/>
  <c r="B1611" i="2"/>
  <c r="A1611" i="2"/>
  <c r="R1610" i="2"/>
  <c r="Q1610" i="2"/>
  <c r="P1610" i="2"/>
  <c r="O1610" i="2"/>
  <c r="N1610" i="2"/>
  <c r="M1610" i="2"/>
  <c r="L1610" i="2"/>
  <c r="K1610" i="2"/>
  <c r="J1610" i="2"/>
  <c r="I1610" i="2"/>
  <c r="H1610" i="2"/>
  <c r="G1610" i="2"/>
  <c r="F1610" i="2"/>
  <c r="E1610" i="2"/>
  <c r="D1610" i="2"/>
  <c r="C1610" i="2"/>
  <c r="B1610" i="2"/>
  <c r="A1610" i="2"/>
  <c r="R1609" i="2"/>
  <c r="Q1609" i="2"/>
  <c r="P1609" i="2"/>
  <c r="O1609" i="2"/>
  <c r="M1609" i="2"/>
  <c r="L1609" i="2"/>
  <c r="K1609" i="2"/>
  <c r="J1609" i="2"/>
  <c r="I1609" i="2"/>
  <c r="H1609" i="2"/>
  <c r="G1609" i="2"/>
  <c r="F1609" i="2"/>
  <c r="E1609" i="2"/>
  <c r="D1609" i="2"/>
  <c r="C1609" i="2"/>
  <c r="B1609" i="2"/>
  <c r="A1609" i="2"/>
  <c r="R1608" i="2"/>
  <c r="Q1608" i="2"/>
  <c r="O1608" i="2"/>
  <c r="M1608" i="2"/>
  <c r="L1608" i="2"/>
  <c r="K1608" i="2"/>
  <c r="J1608" i="2"/>
  <c r="G1608" i="2"/>
  <c r="F1608" i="2"/>
  <c r="E1608" i="2"/>
  <c r="D1608" i="2"/>
  <c r="C1608" i="2"/>
  <c r="B1608" i="2"/>
  <c r="A1608" i="2"/>
  <c r="R1607" i="2"/>
  <c r="Q1607" i="2"/>
  <c r="P1607" i="2"/>
  <c r="O1607" i="2"/>
  <c r="M1607" i="2"/>
  <c r="L1607" i="2"/>
  <c r="K1607" i="2"/>
  <c r="J1607" i="2"/>
  <c r="I1607" i="2"/>
  <c r="H1607" i="2"/>
  <c r="G1607" i="2"/>
  <c r="F1607" i="2"/>
  <c r="E1607" i="2"/>
  <c r="D1607" i="2"/>
  <c r="C1607" i="2"/>
  <c r="B1607" i="2"/>
  <c r="A1607" i="2"/>
  <c r="R1606" i="2"/>
  <c r="Q1606" i="2"/>
  <c r="P1606" i="2"/>
  <c r="O1606" i="2"/>
  <c r="M1606" i="2"/>
  <c r="L1606" i="2"/>
  <c r="K1606" i="2"/>
  <c r="J1606" i="2"/>
  <c r="I1606" i="2"/>
  <c r="H1606" i="2"/>
  <c r="G1606" i="2"/>
  <c r="F1606" i="2"/>
  <c r="E1606" i="2"/>
  <c r="D1606" i="2"/>
  <c r="C1606" i="2"/>
  <c r="B1606" i="2"/>
  <c r="A1606" i="2"/>
  <c r="R1605" i="2"/>
  <c r="Q1605" i="2"/>
  <c r="P1605" i="2"/>
  <c r="O1605" i="2"/>
  <c r="M1605" i="2"/>
  <c r="L1605" i="2"/>
  <c r="K1605" i="2"/>
  <c r="J1605" i="2"/>
  <c r="I1605" i="2"/>
  <c r="H1605" i="2"/>
  <c r="G1605" i="2"/>
  <c r="F1605" i="2"/>
  <c r="E1605" i="2"/>
  <c r="D1605" i="2"/>
  <c r="C1605" i="2"/>
  <c r="B1605" i="2"/>
  <c r="A1605" i="2"/>
  <c r="R1604" i="2"/>
  <c r="Q1604" i="2"/>
  <c r="P1604" i="2"/>
  <c r="O1604" i="2"/>
  <c r="M1604" i="2"/>
  <c r="L1604" i="2"/>
  <c r="K1604" i="2"/>
  <c r="J1604" i="2"/>
  <c r="I1604" i="2"/>
  <c r="H1604" i="2"/>
  <c r="G1604" i="2"/>
  <c r="F1604" i="2"/>
  <c r="E1604" i="2"/>
  <c r="D1604" i="2"/>
  <c r="C1604" i="2"/>
  <c r="B1604" i="2"/>
  <c r="A1604" i="2"/>
  <c r="R1603" i="2"/>
  <c r="Q1603" i="2"/>
  <c r="P1603" i="2"/>
  <c r="O1603" i="2"/>
  <c r="M1603" i="2"/>
  <c r="L1603" i="2"/>
  <c r="K1603" i="2"/>
  <c r="J1603" i="2"/>
  <c r="I1603" i="2"/>
  <c r="H1603" i="2"/>
  <c r="G1603" i="2"/>
  <c r="F1603" i="2"/>
  <c r="E1603" i="2"/>
  <c r="D1603" i="2"/>
  <c r="C1603" i="2"/>
  <c r="B1603" i="2"/>
  <c r="A1603" i="2"/>
  <c r="R1602" i="2"/>
  <c r="Q1602" i="2"/>
  <c r="P1602" i="2"/>
  <c r="O1602" i="2"/>
  <c r="M1602" i="2"/>
  <c r="L1602" i="2"/>
  <c r="K1602" i="2"/>
  <c r="J1602" i="2"/>
  <c r="I1602" i="2"/>
  <c r="H1602" i="2"/>
  <c r="G1602" i="2"/>
  <c r="F1602" i="2"/>
  <c r="E1602" i="2"/>
  <c r="D1602" i="2"/>
  <c r="C1602" i="2"/>
  <c r="B1602" i="2"/>
  <c r="A1602" i="2"/>
  <c r="U1601" i="2"/>
  <c r="R1601" i="2"/>
  <c r="Q1601" i="2"/>
  <c r="P1601" i="2"/>
  <c r="O1601" i="2"/>
  <c r="M1601" i="2"/>
  <c r="L1601" i="2"/>
  <c r="K1601" i="2"/>
  <c r="J1601" i="2"/>
  <c r="I1601" i="2"/>
  <c r="H1601" i="2"/>
  <c r="G1601" i="2"/>
  <c r="F1601" i="2"/>
  <c r="E1601" i="2"/>
  <c r="D1601" i="2"/>
  <c r="C1601" i="2"/>
  <c r="B1601" i="2"/>
  <c r="A1601" i="2"/>
  <c r="U1600" i="2"/>
  <c r="R1600" i="2"/>
  <c r="Q1600" i="2"/>
  <c r="P1600" i="2"/>
  <c r="O1600" i="2"/>
  <c r="M1600" i="2"/>
  <c r="L1600" i="2"/>
  <c r="K1600" i="2"/>
  <c r="J1600" i="2"/>
  <c r="I1600" i="2"/>
  <c r="H1600" i="2"/>
  <c r="G1600" i="2"/>
  <c r="F1600" i="2"/>
  <c r="E1600" i="2"/>
  <c r="D1600" i="2"/>
  <c r="C1600" i="2"/>
  <c r="B1600" i="2"/>
  <c r="A1600" i="2"/>
  <c r="U1599" i="2"/>
  <c r="R1599" i="2"/>
  <c r="Q1599" i="2"/>
  <c r="P1599" i="2"/>
  <c r="O1599" i="2"/>
  <c r="M1599" i="2"/>
  <c r="L1599" i="2"/>
  <c r="K1599" i="2"/>
  <c r="J1599" i="2"/>
  <c r="I1599" i="2"/>
  <c r="H1599" i="2"/>
  <c r="G1599" i="2"/>
  <c r="F1599" i="2"/>
  <c r="E1599" i="2"/>
  <c r="D1599" i="2"/>
  <c r="C1599" i="2"/>
  <c r="B1599" i="2"/>
  <c r="A1599" i="2"/>
  <c r="U1598" i="2"/>
  <c r="R1598" i="2"/>
  <c r="Q1598" i="2"/>
  <c r="P1598" i="2"/>
  <c r="O1598" i="2"/>
  <c r="M1598" i="2"/>
  <c r="L1598" i="2"/>
  <c r="K1598" i="2"/>
  <c r="J1598" i="2"/>
  <c r="I1598" i="2"/>
  <c r="H1598" i="2"/>
  <c r="G1598" i="2"/>
  <c r="F1598" i="2"/>
  <c r="E1598" i="2"/>
  <c r="D1598" i="2"/>
  <c r="C1598" i="2"/>
  <c r="B1598" i="2"/>
  <c r="A1598" i="2"/>
  <c r="U1597" i="2"/>
  <c r="R1597" i="2"/>
  <c r="Q1597" i="2"/>
  <c r="P1597" i="2"/>
  <c r="O1597" i="2"/>
  <c r="M1597" i="2"/>
  <c r="L1597" i="2"/>
  <c r="K1597" i="2"/>
  <c r="J1597" i="2"/>
  <c r="I1597" i="2"/>
  <c r="H1597" i="2"/>
  <c r="G1597" i="2"/>
  <c r="F1597" i="2"/>
  <c r="E1597" i="2"/>
  <c r="D1597" i="2"/>
  <c r="C1597" i="2"/>
  <c r="B1597" i="2"/>
  <c r="A1597" i="2"/>
  <c r="U1596" i="2"/>
  <c r="R1596" i="2"/>
  <c r="Q1596" i="2"/>
  <c r="P1596" i="2"/>
  <c r="O1596" i="2"/>
  <c r="M1596" i="2"/>
  <c r="L1596" i="2"/>
  <c r="K1596" i="2"/>
  <c r="J1596" i="2"/>
  <c r="I1596" i="2"/>
  <c r="H1596" i="2"/>
  <c r="G1596" i="2"/>
  <c r="F1596" i="2"/>
  <c r="E1596" i="2"/>
  <c r="D1596" i="2"/>
  <c r="C1596" i="2"/>
  <c r="B1596" i="2"/>
  <c r="A1596" i="2"/>
  <c r="U1595" i="2"/>
  <c r="R1595" i="2"/>
  <c r="Q1595" i="2"/>
  <c r="P1595" i="2"/>
  <c r="O1595" i="2"/>
  <c r="M1595" i="2"/>
  <c r="L1595" i="2"/>
  <c r="K1595" i="2"/>
  <c r="J1595" i="2"/>
  <c r="I1595" i="2"/>
  <c r="H1595" i="2"/>
  <c r="G1595" i="2"/>
  <c r="F1595" i="2"/>
  <c r="E1595" i="2"/>
  <c r="D1595" i="2"/>
  <c r="C1595" i="2"/>
  <c r="B1595" i="2"/>
  <c r="A1595" i="2"/>
  <c r="U1594" i="2"/>
  <c r="R1594" i="2"/>
  <c r="Q1594" i="2"/>
  <c r="P1594" i="2"/>
  <c r="O1594" i="2"/>
  <c r="M1594" i="2"/>
  <c r="L1594" i="2"/>
  <c r="K1594" i="2"/>
  <c r="J1594" i="2"/>
  <c r="I1594" i="2"/>
  <c r="H1594" i="2"/>
  <c r="G1594" i="2"/>
  <c r="F1594" i="2"/>
  <c r="E1594" i="2"/>
  <c r="D1594" i="2"/>
  <c r="C1594" i="2"/>
  <c r="B1594" i="2"/>
  <c r="A1594" i="2"/>
  <c r="R1593" i="2"/>
  <c r="Q1593" i="2"/>
  <c r="P1593" i="2"/>
  <c r="O1593" i="2"/>
  <c r="N1593" i="2"/>
  <c r="M1593" i="2"/>
  <c r="L1593" i="2"/>
  <c r="K1593" i="2"/>
  <c r="J1593" i="2"/>
  <c r="I1593" i="2"/>
  <c r="H1593" i="2"/>
  <c r="G1593" i="2"/>
  <c r="F1593" i="2"/>
  <c r="E1593" i="2"/>
  <c r="D1593" i="2"/>
  <c r="C1593" i="2"/>
  <c r="B1593" i="2"/>
  <c r="A1593" i="2"/>
  <c r="R1592" i="2"/>
  <c r="Q1592" i="2"/>
  <c r="O1592" i="2"/>
  <c r="N1592" i="2"/>
  <c r="M1592" i="2"/>
  <c r="L1592" i="2"/>
  <c r="K1592" i="2"/>
  <c r="J1592" i="2"/>
  <c r="G1592" i="2"/>
  <c r="F1592" i="2"/>
  <c r="E1592" i="2"/>
  <c r="D1592" i="2"/>
  <c r="C1592" i="2"/>
  <c r="B1592" i="2"/>
  <c r="A1592" i="2"/>
  <c r="R1591" i="2"/>
  <c r="Q1591" i="2"/>
  <c r="P1591" i="2"/>
  <c r="O1591" i="2"/>
  <c r="M1591" i="2"/>
  <c r="L1591" i="2"/>
  <c r="K1591" i="2"/>
  <c r="J1591" i="2"/>
  <c r="I1591" i="2"/>
  <c r="H1591" i="2"/>
  <c r="G1591" i="2"/>
  <c r="F1591" i="2"/>
  <c r="E1591" i="2"/>
  <c r="D1591" i="2"/>
  <c r="C1591" i="2"/>
  <c r="B1591" i="2"/>
  <c r="A1591" i="2"/>
  <c r="R1590" i="2"/>
  <c r="Q1590" i="2"/>
  <c r="P1590" i="2"/>
  <c r="O1590" i="2"/>
  <c r="M1590" i="2"/>
  <c r="L1590" i="2"/>
  <c r="K1590" i="2"/>
  <c r="J1590" i="2"/>
  <c r="I1590" i="2"/>
  <c r="H1590" i="2"/>
  <c r="G1590" i="2"/>
  <c r="F1590" i="2"/>
  <c r="E1590" i="2"/>
  <c r="D1590" i="2"/>
  <c r="C1590" i="2"/>
  <c r="B1590" i="2"/>
  <c r="A1590" i="2"/>
  <c r="R1589" i="2"/>
  <c r="Q1589" i="2"/>
  <c r="P1589" i="2"/>
  <c r="O1589" i="2"/>
  <c r="M1589" i="2"/>
  <c r="L1589" i="2"/>
  <c r="K1589" i="2"/>
  <c r="J1589" i="2"/>
  <c r="I1589" i="2"/>
  <c r="H1589" i="2"/>
  <c r="G1589" i="2"/>
  <c r="F1589" i="2"/>
  <c r="E1589" i="2"/>
  <c r="D1589" i="2"/>
  <c r="C1589" i="2"/>
  <c r="B1589" i="2"/>
  <c r="A1589" i="2"/>
  <c r="R1588" i="2"/>
  <c r="Q1588" i="2"/>
  <c r="P1588" i="2"/>
  <c r="O1588" i="2"/>
  <c r="M1588" i="2"/>
  <c r="L1588" i="2"/>
  <c r="K1588" i="2"/>
  <c r="J1588" i="2"/>
  <c r="I1588" i="2"/>
  <c r="H1588" i="2"/>
  <c r="G1588" i="2"/>
  <c r="F1588" i="2"/>
  <c r="E1588" i="2"/>
  <c r="D1588" i="2"/>
  <c r="C1588" i="2"/>
  <c r="B1588" i="2"/>
  <c r="A1588" i="2"/>
  <c r="R1587" i="2"/>
  <c r="Q1587" i="2"/>
  <c r="P1587" i="2"/>
  <c r="O1587" i="2"/>
  <c r="M1587" i="2"/>
  <c r="L1587" i="2"/>
  <c r="K1587" i="2"/>
  <c r="J1587" i="2"/>
  <c r="I1587" i="2"/>
  <c r="H1587" i="2"/>
  <c r="G1587" i="2"/>
  <c r="F1587" i="2"/>
  <c r="E1587" i="2"/>
  <c r="D1587" i="2"/>
  <c r="C1587" i="2"/>
  <c r="B1587" i="2"/>
  <c r="A1587" i="2"/>
  <c r="R1586" i="2"/>
  <c r="Q1586" i="2"/>
  <c r="P1586" i="2"/>
  <c r="O1586" i="2"/>
  <c r="M1586" i="2"/>
  <c r="L1586" i="2"/>
  <c r="K1586" i="2"/>
  <c r="J1586" i="2"/>
  <c r="I1586" i="2"/>
  <c r="H1586" i="2"/>
  <c r="G1586" i="2"/>
  <c r="F1586" i="2"/>
  <c r="E1586" i="2"/>
  <c r="D1586" i="2"/>
  <c r="C1586" i="2"/>
  <c r="B1586" i="2"/>
  <c r="A1586" i="2"/>
  <c r="R1585" i="2"/>
  <c r="Q1585" i="2"/>
  <c r="P1585" i="2"/>
  <c r="O1585" i="2"/>
  <c r="M1585" i="2"/>
  <c r="L1585" i="2"/>
  <c r="K1585" i="2"/>
  <c r="J1585" i="2"/>
  <c r="I1585" i="2"/>
  <c r="H1585" i="2"/>
  <c r="G1585" i="2"/>
  <c r="F1585" i="2"/>
  <c r="E1585" i="2"/>
  <c r="D1585" i="2"/>
  <c r="C1585" i="2"/>
  <c r="B1585" i="2"/>
  <c r="A1585" i="2"/>
  <c r="R1584" i="2"/>
  <c r="Q1584" i="2"/>
  <c r="P1584" i="2"/>
  <c r="O1584" i="2"/>
  <c r="M1584" i="2"/>
  <c r="L1584" i="2"/>
  <c r="K1584" i="2"/>
  <c r="J1584" i="2"/>
  <c r="I1584" i="2"/>
  <c r="H1584" i="2"/>
  <c r="G1584" i="2"/>
  <c r="F1584" i="2"/>
  <c r="E1584" i="2"/>
  <c r="D1584" i="2"/>
  <c r="C1584" i="2"/>
  <c r="B1584" i="2"/>
  <c r="A1584" i="2"/>
  <c r="R1583" i="2"/>
  <c r="Q1583" i="2"/>
  <c r="P1583" i="2"/>
  <c r="O1583" i="2"/>
  <c r="M1583" i="2"/>
  <c r="L1583" i="2"/>
  <c r="K1583" i="2"/>
  <c r="J1583" i="2"/>
  <c r="I1583" i="2"/>
  <c r="H1583" i="2"/>
  <c r="G1583" i="2"/>
  <c r="F1583" i="2"/>
  <c r="E1583" i="2"/>
  <c r="D1583" i="2"/>
  <c r="C1583" i="2"/>
  <c r="B1583" i="2"/>
  <c r="A1583" i="2"/>
  <c r="R1582" i="2"/>
  <c r="Q1582" i="2"/>
  <c r="P1582" i="2"/>
  <c r="O1582" i="2"/>
  <c r="M1582" i="2"/>
  <c r="L1582" i="2"/>
  <c r="K1582" i="2"/>
  <c r="J1582" i="2"/>
  <c r="I1582" i="2"/>
  <c r="H1582" i="2"/>
  <c r="G1582" i="2"/>
  <c r="F1582" i="2"/>
  <c r="E1582" i="2"/>
  <c r="D1582" i="2"/>
  <c r="C1582" i="2"/>
  <c r="B1582" i="2"/>
  <c r="A1582" i="2"/>
  <c r="R1581" i="2"/>
  <c r="Q1581" i="2"/>
  <c r="P1581" i="2"/>
  <c r="O1581" i="2"/>
  <c r="M1581" i="2"/>
  <c r="L1581" i="2"/>
  <c r="K1581" i="2"/>
  <c r="J1581" i="2"/>
  <c r="I1581" i="2"/>
  <c r="H1581" i="2"/>
  <c r="G1581" i="2"/>
  <c r="F1581" i="2"/>
  <c r="E1581" i="2"/>
  <c r="D1581" i="2"/>
  <c r="C1581" i="2"/>
  <c r="B1581" i="2"/>
  <c r="A1581" i="2"/>
  <c r="R1580" i="2"/>
  <c r="Q1580" i="2"/>
  <c r="P1580" i="2"/>
  <c r="O1580" i="2"/>
  <c r="M1580" i="2"/>
  <c r="L1580" i="2"/>
  <c r="K1580" i="2"/>
  <c r="J1580" i="2"/>
  <c r="I1580" i="2"/>
  <c r="H1580" i="2"/>
  <c r="G1580" i="2"/>
  <c r="F1580" i="2"/>
  <c r="E1580" i="2"/>
  <c r="D1580" i="2"/>
  <c r="C1580" i="2"/>
  <c r="B1580" i="2"/>
  <c r="A1580" i="2"/>
  <c r="R1579" i="2"/>
  <c r="Q1579" i="2"/>
  <c r="P1579" i="2"/>
  <c r="O1579" i="2"/>
  <c r="M1579" i="2"/>
  <c r="L1579" i="2"/>
  <c r="K1579" i="2"/>
  <c r="J1579" i="2"/>
  <c r="I1579" i="2"/>
  <c r="H1579" i="2"/>
  <c r="G1579" i="2"/>
  <c r="F1579" i="2"/>
  <c r="E1579" i="2"/>
  <c r="D1579" i="2"/>
  <c r="C1579" i="2"/>
  <c r="B1579" i="2"/>
  <c r="A1579" i="2"/>
  <c r="R1578" i="2"/>
  <c r="Q1578" i="2"/>
  <c r="O1578" i="2"/>
  <c r="M1578" i="2"/>
  <c r="L1578" i="2"/>
  <c r="K1578" i="2"/>
  <c r="J1578" i="2"/>
  <c r="H1578" i="2"/>
  <c r="G1578" i="2"/>
  <c r="F1578" i="2"/>
  <c r="E1578" i="2"/>
  <c r="D1578" i="2"/>
  <c r="C1578" i="2"/>
  <c r="B1578" i="2"/>
  <c r="A1578" i="2"/>
  <c r="Q1577" i="2"/>
  <c r="O1577" i="2"/>
  <c r="L1577" i="2"/>
  <c r="K1577" i="2"/>
  <c r="J1577" i="2"/>
  <c r="G1577" i="2"/>
  <c r="F1577" i="2"/>
  <c r="E1577" i="2"/>
  <c r="D1577" i="2"/>
  <c r="C1577" i="2"/>
  <c r="B1577" i="2"/>
  <c r="A1577" i="2"/>
  <c r="R1576" i="2"/>
  <c r="Q1576" i="2"/>
  <c r="P1576" i="2"/>
  <c r="O1576" i="2"/>
  <c r="M1576" i="2"/>
  <c r="L1576" i="2"/>
  <c r="K1576" i="2"/>
  <c r="J1576" i="2"/>
  <c r="I1576" i="2"/>
  <c r="H1576" i="2"/>
  <c r="G1576" i="2"/>
  <c r="F1576" i="2"/>
  <c r="E1576" i="2"/>
  <c r="D1576" i="2"/>
  <c r="C1576" i="2"/>
  <c r="B1576" i="2"/>
  <c r="A1576" i="2"/>
  <c r="R1575" i="2"/>
  <c r="Q1575" i="2"/>
  <c r="P1575" i="2"/>
  <c r="O1575" i="2"/>
  <c r="M1575" i="2"/>
  <c r="L1575" i="2"/>
  <c r="K1575" i="2"/>
  <c r="J1575" i="2"/>
  <c r="I1575" i="2"/>
  <c r="H1575" i="2"/>
  <c r="G1575" i="2"/>
  <c r="F1575" i="2"/>
  <c r="E1575" i="2"/>
  <c r="D1575" i="2"/>
  <c r="C1575" i="2"/>
  <c r="B1575" i="2"/>
  <c r="A1575" i="2"/>
  <c r="Q1574" i="2"/>
  <c r="P1574" i="2"/>
  <c r="O1574" i="2"/>
  <c r="M1574" i="2"/>
  <c r="L1574" i="2"/>
  <c r="K1574" i="2"/>
  <c r="J1574" i="2"/>
  <c r="H1574" i="2"/>
  <c r="G1574" i="2"/>
  <c r="F1574" i="2"/>
  <c r="E1574" i="2"/>
  <c r="D1574" i="2"/>
  <c r="C1574" i="2"/>
  <c r="B1574" i="2"/>
  <c r="A1574" i="2"/>
  <c r="Q1573" i="2"/>
  <c r="O1573" i="2"/>
  <c r="L1573" i="2"/>
  <c r="K1573" i="2"/>
  <c r="J1573" i="2"/>
  <c r="G1573" i="2"/>
  <c r="F1573" i="2"/>
  <c r="E1573" i="2"/>
  <c r="D1573" i="2"/>
  <c r="C1573" i="2"/>
  <c r="B1573" i="2"/>
  <c r="A1573" i="2"/>
  <c r="R1571" i="2"/>
  <c r="Q1571" i="2"/>
  <c r="P1571" i="2"/>
  <c r="O1571" i="2"/>
  <c r="M1571" i="2"/>
  <c r="L1571" i="2"/>
  <c r="K1571" i="2"/>
  <c r="J1571" i="2"/>
  <c r="I1571" i="2"/>
  <c r="H1571" i="2"/>
  <c r="G1571" i="2"/>
  <c r="F1571" i="2"/>
  <c r="E1571" i="2"/>
  <c r="D1571" i="2"/>
  <c r="C1571" i="2"/>
  <c r="B1571" i="2"/>
  <c r="A1571" i="2"/>
  <c r="R1570" i="2"/>
  <c r="Q1570" i="2"/>
  <c r="P1570" i="2"/>
  <c r="O1570" i="2"/>
  <c r="M1570" i="2"/>
  <c r="L1570" i="2"/>
  <c r="K1570" i="2"/>
  <c r="J1570" i="2"/>
  <c r="I1570" i="2"/>
  <c r="H1570" i="2"/>
  <c r="G1570" i="2"/>
  <c r="F1570" i="2"/>
  <c r="E1570" i="2"/>
  <c r="D1570" i="2"/>
  <c r="C1570" i="2"/>
  <c r="B1570" i="2"/>
  <c r="A1570" i="2"/>
  <c r="U1569" i="2"/>
  <c r="R1569" i="2"/>
  <c r="Q1569" i="2"/>
  <c r="P1569" i="2"/>
  <c r="O1569" i="2"/>
  <c r="M1569" i="2"/>
  <c r="L1569" i="2"/>
  <c r="K1569" i="2"/>
  <c r="J1569" i="2"/>
  <c r="I1569" i="2"/>
  <c r="H1569" i="2"/>
  <c r="G1569" i="2"/>
  <c r="F1569" i="2"/>
  <c r="E1569" i="2"/>
  <c r="D1569" i="2"/>
  <c r="C1569" i="2"/>
  <c r="B1569" i="2"/>
  <c r="A1569" i="2"/>
  <c r="U1568" i="2"/>
  <c r="R1568" i="2"/>
  <c r="Q1568" i="2"/>
  <c r="P1568" i="2"/>
  <c r="O1568" i="2"/>
  <c r="M1568" i="2"/>
  <c r="L1568" i="2"/>
  <c r="K1568" i="2"/>
  <c r="J1568" i="2"/>
  <c r="I1568" i="2"/>
  <c r="H1568" i="2"/>
  <c r="G1568" i="2"/>
  <c r="F1568" i="2"/>
  <c r="E1568" i="2"/>
  <c r="D1568" i="2"/>
  <c r="C1568" i="2"/>
  <c r="B1568" i="2"/>
  <c r="A1568" i="2"/>
  <c r="U1567" i="2"/>
  <c r="R1567" i="2"/>
  <c r="Q1567" i="2"/>
  <c r="P1567" i="2"/>
  <c r="O1567" i="2"/>
  <c r="M1567" i="2"/>
  <c r="L1567" i="2"/>
  <c r="K1567" i="2"/>
  <c r="J1567" i="2"/>
  <c r="I1567" i="2"/>
  <c r="H1567" i="2"/>
  <c r="G1567" i="2"/>
  <c r="F1567" i="2"/>
  <c r="E1567" i="2"/>
  <c r="D1567" i="2"/>
  <c r="C1567" i="2"/>
  <c r="B1567" i="2"/>
  <c r="A1567" i="2"/>
  <c r="U1566" i="2"/>
  <c r="R1566" i="2"/>
  <c r="Q1566" i="2"/>
  <c r="P1566" i="2"/>
  <c r="O1566" i="2"/>
  <c r="M1566" i="2"/>
  <c r="L1566" i="2"/>
  <c r="K1566" i="2"/>
  <c r="J1566" i="2"/>
  <c r="I1566" i="2"/>
  <c r="H1566" i="2"/>
  <c r="G1566" i="2"/>
  <c r="F1566" i="2"/>
  <c r="E1566" i="2"/>
  <c r="D1566" i="2"/>
  <c r="C1566" i="2"/>
  <c r="B1566" i="2"/>
  <c r="A1566" i="2"/>
  <c r="U1565" i="2"/>
  <c r="R1565" i="2"/>
  <c r="Q1565" i="2"/>
  <c r="P1565" i="2"/>
  <c r="O1565" i="2"/>
  <c r="M1565" i="2"/>
  <c r="L1565" i="2"/>
  <c r="K1565" i="2"/>
  <c r="J1565" i="2"/>
  <c r="I1565" i="2"/>
  <c r="H1565" i="2"/>
  <c r="G1565" i="2"/>
  <c r="F1565" i="2"/>
  <c r="E1565" i="2"/>
  <c r="D1565" i="2"/>
  <c r="C1565" i="2"/>
  <c r="B1565" i="2"/>
  <c r="A1565" i="2"/>
  <c r="U1564" i="2"/>
  <c r="R1564" i="2"/>
  <c r="Q1564" i="2"/>
  <c r="P1564" i="2"/>
  <c r="O1564" i="2"/>
  <c r="M1564" i="2"/>
  <c r="L1564" i="2"/>
  <c r="K1564" i="2"/>
  <c r="J1564" i="2"/>
  <c r="I1564" i="2"/>
  <c r="H1564" i="2"/>
  <c r="G1564" i="2"/>
  <c r="F1564" i="2"/>
  <c r="E1564" i="2"/>
  <c r="D1564" i="2"/>
  <c r="C1564" i="2"/>
  <c r="B1564" i="2"/>
  <c r="A1564" i="2"/>
  <c r="U1563" i="2"/>
  <c r="R1563" i="2"/>
  <c r="Q1563" i="2"/>
  <c r="P1563" i="2"/>
  <c r="O1563" i="2"/>
  <c r="M1563" i="2"/>
  <c r="L1563" i="2"/>
  <c r="K1563" i="2"/>
  <c r="J1563" i="2"/>
  <c r="I1563" i="2"/>
  <c r="H1563" i="2"/>
  <c r="G1563" i="2"/>
  <c r="F1563" i="2"/>
  <c r="E1563" i="2"/>
  <c r="D1563" i="2"/>
  <c r="C1563" i="2"/>
  <c r="B1563" i="2"/>
  <c r="A1563" i="2"/>
  <c r="U1562" i="2"/>
  <c r="R1562" i="2"/>
  <c r="Q1562" i="2"/>
  <c r="P1562" i="2"/>
  <c r="O1562" i="2"/>
  <c r="M1562" i="2"/>
  <c r="L1562" i="2"/>
  <c r="K1562" i="2"/>
  <c r="J1562" i="2"/>
  <c r="I1562" i="2"/>
  <c r="H1562" i="2"/>
  <c r="G1562" i="2"/>
  <c r="F1562" i="2"/>
  <c r="E1562" i="2"/>
  <c r="D1562" i="2"/>
  <c r="C1562" i="2"/>
  <c r="B1562" i="2"/>
  <c r="A1562" i="2"/>
  <c r="U1561" i="2"/>
  <c r="R1561" i="2"/>
  <c r="Q1561" i="2"/>
  <c r="P1561" i="2"/>
  <c r="O1561" i="2"/>
  <c r="M1561" i="2"/>
  <c r="L1561" i="2"/>
  <c r="K1561" i="2"/>
  <c r="J1561" i="2"/>
  <c r="I1561" i="2"/>
  <c r="H1561" i="2"/>
  <c r="G1561" i="2"/>
  <c r="F1561" i="2"/>
  <c r="E1561" i="2"/>
  <c r="D1561" i="2"/>
  <c r="C1561" i="2"/>
  <c r="B1561" i="2"/>
  <c r="A1561" i="2"/>
  <c r="U1560" i="2"/>
  <c r="R1560" i="2"/>
  <c r="Q1560" i="2"/>
  <c r="P1560" i="2"/>
  <c r="O1560" i="2"/>
  <c r="M1560" i="2"/>
  <c r="L1560" i="2"/>
  <c r="K1560" i="2"/>
  <c r="J1560" i="2"/>
  <c r="I1560" i="2"/>
  <c r="H1560" i="2"/>
  <c r="G1560" i="2"/>
  <c r="F1560" i="2"/>
  <c r="E1560" i="2"/>
  <c r="D1560" i="2"/>
  <c r="C1560" i="2"/>
  <c r="B1560" i="2"/>
  <c r="A1560" i="2"/>
  <c r="U1559" i="2"/>
  <c r="R1559" i="2"/>
  <c r="Q1559" i="2"/>
  <c r="P1559" i="2"/>
  <c r="O1559" i="2"/>
  <c r="M1559" i="2"/>
  <c r="L1559" i="2"/>
  <c r="K1559" i="2"/>
  <c r="J1559" i="2"/>
  <c r="I1559" i="2"/>
  <c r="H1559" i="2"/>
  <c r="G1559" i="2"/>
  <c r="F1559" i="2"/>
  <c r="E1559" i="2"/>
  <c r="D1559" i="2"/>
  <c r="C1559" i="2"/>
  <c r="B1559" i="2"/>
  <c r="A1559" i="2"/>
  <c r="R1558" i="2"/>
  <c r="Q1558" i="2"/>
  <c r="O1558" i="2"/>
  <c r="M1558" i="2"/>
  <c r="L1558" i="2"/>
  <c r="K1558" i="2"/>
  <c r="J1558" i="2"/>
  <c r="G1558" i="2"/>
  <c r="F1558" i="2"/>
  <c r="E1558" i="2"/>
  <c r="D1558" i="2"/>
  <c r="C1558" i="2"/>
  <c r="B1558" i="2"/>
  <c r="A1558" i="2"/>
  <c r="R1557" i="2"/>
  <c r="Q1557" i="2"/>
  <c r="P1557" i="2"/>
  <c r="O1557" i="2"/>
  <c r="M1557" i="2"/>
  <c r="L1557" i="2"/>
  <c r="K1557" i="2"/>
  <c r="J1557" i="2"/>
  <c r="I1557" i="2"/>
  <c r="H1557" i="2"/>
  <c r="G1557" i="2"/>
  <c r="F1557" i="2"/>
  <c r="E1557" i="2"/>
  <c r="D1557" i="2"/>
  <c r="C1557" i="2"/>
  <c r="B1557" i="2"/>
  <c r="A1557" i="2"/>
  <c r="U1556" i="2"/>
  <c r="R1556" i="2"/>
  <c r="Q1556" i="2"/>
  <c r="P1556" i="2"/>
  <c r="O1556" i="2"/>
  <c r="M1556" i="2"/>
  <c r="L1556" i="2"/>
  <c r="K1556" i="2"/>
  <c r="J1556" i="2"/>
  <c r="I1556" i="2"/>
  <c r="H1556" i="2"/>
  <c r="G1556" i="2"/>
  <c r="F1556" i="2"/>
  <c r="E1556" i="2"/>
  <c r="D1556" i="2"/>
  <c r="C1556" i="2"/>
  <c r="B1556" i="2"/>
  <c r="A1556" i="2"/>
  <c r="U1555" i="2"/>
  <c r="R1555" i="2"/>
  <c r="Q1555" i="2"/>
  <c r="P1555" i="2"/>
  <c r="O1555" i="2"/>
  <c r="M1555" i="2"/>
  <c r="L1555" i="2"/>
  <c r="K1555" i="2"/>
  <c r="J1555" i="2"/>
  <c r="I1555" i="2"/>
  <c r="H1555" i="2"/>
  <c r="G1555" i="2"/>
  <c r="F1555" i="2"/>
  <c r="E1555" i="2"/>
  <c r="D1555" i="2"/>
  <c r="C1555" i="2"/>
  <c r="B1555" i="2"/>
  <c r="A1555" i="2"/>
  <c r="U1554" i="2"/>
  <c r="R1554" i="2"/>
  <c r="Q1554" i="2"/>
  <c r="P1554" i="2"/>
  <c r="O1554" i="2"/>
  <c r="M1554" i="2"/>
  <c r="L1554" i="2"/>
  <c r="K1554" i="2"/>
  <c r="J1554" i="2"/>
  <c r="I1554" i="2"/>
  <c r="H1554" i="2"/>
  <c r="G1554" i="2"/>
  <c r="F1554" i="2"/>
  <c r="E1554" i="2"/>
  <c r="D1554" i="2"/>
  <c r="C1554" i="2"/>
  <c r="B1554" i="2"/>
  <c r="A1554" i="2"/>
  <c r="U1553" i="2"/>
  <c r="R1553" i="2"/>
  <c r="Q1553" i="2"/>
  <c r="O1553" i="2"/>
  <c r="M1553" i="2"/>
  <c r="L1553" i="2"/>
  <c r="K1553" i="2"/>
  <c r="J1553" i="2"/>
  <c r="G1553" i="2"/>
  <c r="F1553" i="2"/>
  <c r="E1553" i="2"/>
  <c r="D1553" i="2"/>
  <c r="C1553" i="2"/>
  <c r="B1553" i="2"/>
  <c r="A1553" i="2"/>
  <c r="U1552" i="2"/>
  <c r="R1552" i="2"/>
  <c r="Q1552" i="2"/>
  <c r="P1552" i="2"/>
  <c r="O1552" i="2"/>
  <c r="M1552" i="2"/>
  <c r="L1552" i="2"/>
  <c r="K1552" i="2"/>
  <c r="J1552" i="2"/>
  <c r="I1552" i="2"/>
  <c r="H1552" i="2"/>
  <c r="G1552" i="2"/>
  <c r="F1552" i="2"/>
  <c r="E1552" i="2"/>
  <c r="D1552" i="2"/>
  <c r="C1552" i="2"/>
  <c r="B1552" i="2"/>
  <c r="A1552" i="2"/>
  <c r="U1551" i="2"/>
  <c r="R1551" i="2"/>
  <c r="Q1551" i="2"/>
  <c r="P1551" i="2"/>
  <c r="O1551" i="2"/>
  <c r="M1551" i="2"/>
  <c r="L1551" i="2"/>
  <c r="K1551" i="2"/>
  <c r="J1551" i="2"/>
  <c r="I1551" i="2"/>
  <c r="H1551" i="2"/>
  <c r="G1551" i="2"/>
  <c r="F1551" i="2"/>
  <c r="E1551" i="2"/>
  <c r="D1551" i="2"/>
  <c r="C1551" i="2"/>
  <c r="B1551" i="2"/>
  <c r="A1551" i="2"/>
  <c r="R1550" i="2"/>
  <c r="Q1550" i="2"/>
  <c r="P1550" i="2"/>
  <c r="O1550" i="2"/>
  <c r="M1550" i="2"/>
  <c r="L1550" i="2"/>
  <c r="K1550" i="2"/>
  <c r="J1550" i="2"/>
  <c r="I1550" i="2"/>
  <c r="H1550" i="2"/>
  <c r="G1550" i="2"/>
  <c r="F1550" i="2"/>
  <c r="E1550" i="2"/>
  <c r="D1550" i="2"/>
  <c r="C1550" i="2"/>
  <c r="B1550" i="2"/>
  <c r="A1550" i="2"/>
  <c r="R1549" i="2"/>
  <c r="Q1549" i="2"/>
  <c r="O1549" i="2"/>
  <c r="M1549" i="2"/>
  <c r="L1549" i="2"/>
  <c r="K1549" i="2"/>
  <c r="J1549" i="2"/>
  <c r="G1549" i="2"/>
  <c r="F1549" i="2"/>
  <c r="E1549" i="2"/>
  <c r="D1549" i="2"/>
  <c r="C1549" i="2"/>
  <c r="B1549" i="2"/>
  <c r="A1549" i="2"/>
  <c r="R1548" i="2"/>
  <c r="Q1548" i="2"/>
  <c r="P1548" i="2"/>
  <c r="O1548" i="2"/>
  <c r="M1548" i="2"/>
  <c r="L1548" i="2"/>
  <c r="K1548" i="2"/>
  <c r="J1548" i="2"/>
  <c r="I1548" i="2"/>
  <c r="H1548" i="2"/>
  <c r="G1548" i="2"/>
  <c r="F1548" i="2"/>
  <c r="E1548" i="2"/>
  <c r="D1548" i="2"/>
  <c r="C1548" i="2"/>
  <c r="B1548" i="2"/>
  <c r="A1548" i="2"/>
  <c r="U1547" i="2"/>
  <c r="R1547" i="2"/>
  <c r="Q1547" i="2"/>
  <c r="P1547" i="2"/>
  <c r="O1547" i="2"/>
  <c r="N1547" i="2"/>
  <c r="M1547" i="2"/>
  <c r="L1547" i="2"/>
  <c r="K1547" i="2"/>
  <c r="J1547" i="2"/>
  <c r="I1547" i="2"/>
  <c r="H1547" i="2"/>
  <c r="G1547" i="2"/>
  <c r="F1547" i="2"/>
  <c r="E1547" i="2"/>
  <c r="D1547" i="2"/>
  <c r="C1547" i="2"/>
  <c r="B1547" i="2"/>
  <c r="A1547" i="2"/>
  <c r="U1546" i="2"/>
  <c r="R1546" i="2"/>
  <c r="Q1546" i="2"/>
  <c r="P1546" i="2"/>
  <c r="O1546" i="2"/>
  <c r="M1546" i="2"/>
  <c r="L1546" i="2"/>
  <c r="K1546" i="2"/>
  <c r="J1546" i="2"/>
  <c r="I1546" i="2"/>
  <c r="H1546" i="2"/>
  <c r="G1546" i="2"/>
  <c r="F1546" i="2"/>
  <c r="E1546" i="2"/>
  <c r="D1546" i="2"/>
  <c r="C1546" i="2"/>
  <c r="B1546" i="2"/>
  <c r="A1546" i="2"/>
  <c r="R1545" i="2"/>
  <c r="Q1545" i="2"/>
  <c r="P1545" i="2"/>
  <c r="O1545" i="2"/>
  <c r="M1545" i="2"/>
  <c r="L1545" i="2"/>
  <c r="K1545" i="2"/>
  <c r="J1545" i="2"/>
  <c r="I1545" i="2"/>
  <c r="H1545" i="2"/>
  <c r="G1545" i="2"/>
  <c r="F1545" i="2"/>
  <c r="E1545" i="2"/>
  <c r="D1545" i="2"/>
  <c r="C1545" i="2"/>
  <c r="B1545" i="2"/>
  <c r="A1545" i="2"/>
  <c r="U1544" i="2"/>
  <c r="R1544" i="2"/>
  <c r="Q1544" i="2"/>
  <c r="P1544" i="2"/>
  <c r="O1544" i="2"/>
  <c r="M1544" i="2"/>
  <c r="L1544" i="2"/>
  <c r="K1544" i="2"/>
  <c r="J1544" i="2"/>
  <c r="I1544" i="2"/>
  <c r="H1544" i="2"/>
  <c r="G1544" i="2"/>
  <c r="F1544" i="2"/>
  <c r="E1544" i="2"/>
  <c r="D1544" i="2"/>
  <c r="C1544" i="2"/>
  <c r="B1544" i="2"/>
  <c r="A1544" i="2"/>
  <c r="R1543" i="2"/>
  <c r="Q1543" i="2"/>
  <c r="P1543" i="2"/>
  <c r="O1543" i="2"/>
  <c r="M1543" i="2"/>
  <c r="L1543" i="2"/>
  <c r="K1543" i="2"/>
  <c r="J1543" i="2"/>
  <c r="I1543" i="2"/>
  <c r="H1543" i="2"/>
  <c r="G1543" i="2"/>
  <c r="F1543" i="2"/>
  <c r="E1543" i="2"/>
  <c r="D1543" i="2"/>
  <c r="C1543" i="2"/>
  <c r="B1543" i="2"/>
  <c r="A1543" i="2"/>
  <c r="U1542" i="2"/>
  <c r="R1542" i="2"/>
  <c r="Q1542" i="2"/>
  <c r="P1542" i="2"/>
  <c r="O1542" i="2"/>
  <c r="M1542" i="2"/>
  <c r="L1542" i="2"/>
  <c r="K1542" i="2"/>
  <c r="J1542" i="2"/>
  <c r="I1542" i="2"/>
  <c r="H1542" i="2"/>
  <c r="G1542" i="2"/>
  <c r="F1542" i="2"/>
  <c r="E1542" i="2"/>
  <c r="D1542" i="2"/>
  <c r="C1542" i="2"/>
  <c r="B1542" i="2"/>
  <c r="A1542" i="2"/>
  <c r="U1541" i="2"/>
  <c r="R1541" i="2"/>
  <c r="Q1541" i="2"/>
  <c r="P1541" i="2"/>
  <c r="O1541" i="2"/>
  <c r="M1541" i="2"/>
  <c r="L1541" i="2"/>
  <c r="K1541" i="2"/>
  <c r="J1541" i="2"/>
  <c r="I1541" i="2"/>
  <c r="H1541" i="2"/>
  <c r="G1541" i="2"/>
  <c r="F1541" i="2"/>
  <c r="E1541" i="2"/>
  <c r="D1541" i="2"/>
  <c r="C1541" i="2"/>
  <c r="B1541" i="2"/>
  <c r="A1541" i="2"/>
  <c r="U1540" i="2"/>
  <c r="R1540" i="2"/>
  <c r="Q1540" i="2"/>
  <c r="P1540" i="2"/>
  <c r="O1540" i="2"/>
  <c r="M1540" i="2"/>
  <c r="L1540" i="2"/>
  <c r="K1540" i="2"/>
  <c r="J1540" i="2"/>
  <c r="I1540" i="2"/>
  <c r="H1540" i="2"/>
  <c r="G1540" i="2"/>
  <c r="F1540" i="2"/>
  <c r="E1540" i="2"/>
  <c r="D1540" i="2"/>
  <c r="C1540" i="2"/>
  <c r="B1540" i="2"/>
  <c r="A1540" i="2"/>
  <c r="R1539" i="2"/>
  <c r="Q1539" i="2"/>
  <c r="P1539" i="2"/>
  <c r="O1539" i="2"/>
  <c r="M1539" i="2"/>
  <c r="L1539" i="2"/>
  <c r="K1539" i="2"/>
  <c r="J1539" i="2"/>
  <c r="I1539" i="2"/>
  <c r="H1539" i="2"/>
  <c r="G1539" i="2"/>
  <c r="F1539" i="2"/>
  <c r="E1539" i="2"/>
  <c r="D1539" i="2"/>
  <c r="C1539" i="2"/>
  <c r="B1539" i="2"/>
  <c r="A1539" i="2"/>
  <c r="U1538" i="2"/>
  <c r="R1538" i="2"/>
  <c r="Q1538" i="2"/>
  <c r="P1538" i="2"/>
  <c r="O1538" i="2"/>
  <c r="M1538" i="2"/>
  <c r="L1538" i="2"/>
  <c r="K1538" i="2"/>
  <c r="J1538" i="2"/>
  <c r="I1538" i="2"/>
  <c r="H1538" i="2"/>
  <c r="G1538" i="2"/>
  <c r="F1538" i="2"/>
  <c r="E1538" i="2"/>
  <c r="D1538" i="2"/>
  <c r="C1538" i="2"/>
  <c r="B1538" i="2"/>
  <c r="A1538" i="2"/>
  <c r="U1537" i="2"/>
  <c r="R1537" i="2"/>
  <c r="Q1537" i="2"/>
  <c r="P1537" i="2"/>
  <c r="O1537" i="2"/>
  <c r="M1537" i="2"/>
  <c r="L1537" i="2"/>
  <c r="K1537" i="2"/>
  <c r="J1537" i="2"/>
  <c r="I1537" i="2"/>
  <c r="H1537" i="2"/>
  <c r="G1537" i="2"/>
  <c r="F1537" i="2"/>
  <c r="E1537" i="2"/>
  <c r="D1537" i="2"/>
  <c r="C1537" i="2"/>
  <c r="B1537" i="2"/>
  <c r="A1537" i="2"/>
  <c r="U1536" i="2"/>
  <c r="R1536" i="2"/>
  <c r="Q1536" i="2"/>
  <c r="P1536" i="2"/>
  <c r="O1536" i="2"/>
  <c r="M1536" i="2"/>
  <c r="L1536" i="2"/>
  <c r="K1536" i="2"/>
  <c r="J1536" i="2"/>
  <c r="I1536" i="2"/>
  <c r="H1536" i="2"/>
  <c r="G1536" i="2"/>
  <c r="F1536" i="2"/>
  <c r="E1536" i="2"/>
  <c r="D1536" i="2"/>
  <c r="C1536" i="2"/>
  <c r="B1536" i="2"/>
  <c r="A1536" i="2"/>
  <c r="U1535" i="2"/>
  <c r="R1535" i="2"/>
  <c r="Q1535" i="2"/>
  <c r="P1535" i="2"/>
  <c r="O1535" i="2"/>
  <c r="M1535" i="2"/>
  <c r="L1535" i="2"/>
  <c r="K1535" i="2"/>
  <c r="J1535" i="2"/>
  <c r="I1535" i="2"/>
  <c r="H1535" i="2"/>
  <c r="G1535" i="2"/>
  <c r="F1535" i="2"/>
  <c r="E1535" i="2"/>
  <c r="D1535" i="2"/>
  <c r="C1535" i="2"/>
  <c r="B1535" i="2"/>
  <c r="A1535" i="2"/>
  <c r="R1534" i="2"/>
  <c r="Q1534" i="2"/>
  <c r="O1534" i="2"/>
  <c r="M1534" i="2"/>
  <c r="L1534" i="2"/>
  <c r="K1534" i="2"/>
  <c r="J1534" i="2"/>
  <c r="G1534" i="2"/>
  <c r="F1534" i="2"/>
  <c r="E1534" i="2"/>
  <c r="D1534" i="2"/>
  <c r="C1534" i="2"/>
  <c r="B1534" i="2"/>
  <c r="A1534" i="2"/>
  <c r="R1533" i="2"/>
  <c r="Q1533" i="2"/>
  <c r="P1533" i="2"/>
  <c r="O1533" i="2"/>
  <c r="N1533" i="2"/>
  <c r="M1533" i="2"/>
  <c r="L1533" i="2"/>
  <c r="K1533" i="2"/>
  <c r="J1533" i="2"/>
  <c r="I1533" i="2"/>
  <c r="H1533" i="2"/>
  <c r="G1533" i="2"/>
  <c r="F1533" i="2"/>
  <c r="E1533" i="2"/>
  <c r="D1533" i="2"/>
  <c r="C1533" i="2"/>
  <c r="B1533" i="2"/>
  <c r="A1533" i="2"/>
  <c r="R1532" i="2"/>
  <c r="Q1532" i="2"/>
  <c r="O1532" i="2"/>
  <c r="M1532" i="2"/>
  <c r="L1532" i="2"/>
  <c r="K1532" i="2"/>
  <c r="J1532" i="2"/>
  <c r="G1532" i="2"/>
  <c r="F1532" i="2"/>
  <c r="E1532" i="2"/>
  <c r="D1532" i="2"/>
  <c r="C1532" i="2"/>
  <c r="B1532" i="2"/>
  <c r="A1532" i="2"/>
  <c r="U1531" i="2"/>
  <c r="R1531" i="2"/>
  <c r="Q1531" i="2"/>
  <c r="P1531" i="2"/>
  <c r="O1531" i="2"/>
  <c r="M1531" i="2"/>
  <c r="L1531" i="2"/>
  <c r="K1531" i="2"/>
  <c r="J1531" i="2"/>
  <c r="I1531" i="2"/>
  <c r="H1531" i="2"/>
  <c r="G1531" i="2"/>
  <c r="F1531" i="2"/>
  <c r="E1531" i="2"/>
  <c r="D1531" i="2"/>
  <c r="C1531" i="2"/>
  <c r="B1531" i="2"/>
  <c r="A1531" i="2"/>
  <c r="U1530" i="2"/>
  <c r="R1530" i="2"/>
  <c r="Q1530" i="2"/>
  <c r="P1530" i="2"/>
  <c r="O1530" i="2"/>
  <c r="N1530" i="2"/>
  <c r="M1530" i="2"/>
  <c r="L1530" i="2"/>
  <c r="K1530" i="2"/>
  <c r="J1530" i="2"/>
  <c r="I1530" i="2"/>
  <c r="H1530" i="2"/>
  <c r="G1530" i="2"/>
  <c r="F1530" i="2"/>
  <c r="E1530" i="2"/>
  <c r="D1530" i="2"/>
  <c r="C1530" i="2"/>
  <c r="B1530" i="2"/>
  <c r="A1530" i="2"/>
  <c r="U1529" i="2"/>
  <c r="R1529" i="2"/>
  <c r="Q1529" i="2"/>
  <c r="P1529" i="2"/>
  <c r="O1529" i="2"/>
  <c r="M1529" i="2"/>
  <c r="L1529" i="2"/>
  <c r="K1529" i="2"/>
  <c r="J1529" i="2"/>
  <c r="I1529" i="2"/>
  <c r="H1529" i="2"/>
  <c r="G1529" i="2"/>
  <c r="F1529" i="2"/>
  <c r="E1529" i="2"/>
  <c r="D1529" i="2"/>
  <c r="C1529" i="2"/>
  <c r="B1529" i="2"/>
  <c r="A1529" i="2"/>
  <c r="U1528" i="2"/>
  <c r="R1528" i="2"/>
  <c r="Q1528" i="2"/>
  <c r="P1528" i="2"/>
  <c r="O1528" i="2"/>
  <c r="M1528" i="2"/>
  <c r="L1528" i="2"/>
  <c r="K1528" i="2"/>
  <c r="J1528" i="2"/>
  <c r="I1528" i="2"/>
  <c r="H1528" i="2"/>
  <c r="G1528" i="2"/>
  <c r="F1528" i="2"/>
  <c r="E1528" i="2"/>
  <c r="D1528" i="2"/>
  <c r="C1528" i="2"/>
  <c r="B1528" i="2"/>
  <c r="A1528" i="2"/>
  <c r="R1527" i="2"/>
  <c r="Q1527" i="2"/>
  <c r="P1527" i="2"/>
  <c r="O1527" i="2"/>
  <c r="M1527" i="2"/>
  <c r="L1527" i="2"/>
  <c r="K1527" i="2"/>
  <c r="J1527" i="2"/>
  <c r="I1527" i="2"/>
  <c r="H1527" i="2"/>
  <c r="G1527" i="2"/>
  <c r="F1527" i="2"/>
  <c r="E1527" i="2"/>
  <c r="D1527" i="2"/>
  <c r="C1527" i="2"/>
  <c r="B1527" i="2"/>
  <c r="A1527" i="2"/>
  <c r="R1526" i="2"/>
  <c r="Q1526" i="2"/>
  <c r="O1526" i="2"/>
  <c r="M1526" i="2"/>
  <c r="L1526" i="2"/>
  <c r="K1526" i="2"/>
  <c r="J1526" i="2"/>
  <c r="G1526" i="2"/>
  <c r="F1526" i="2"/>
  <c r="E1526" i="2"/>
  <c r="D1526" i="2"/>
  <c r="C1526" i="2"/>
  <c r="B1526" i="2"/>
  <c r="A1526" i="2"/>
  <c r="R1525" i="2"/>
  <c r="Q1525" i="2"/>
  <c r="O1525" i="2"/>
  <c r="M1525" i="2"/>
  <c r="L1525" i="2"/>
  <c r="K1525" i="2"/>
  <c r="J1525" i="2"/>
  <c r="G1525" i="2"/>
  <c r="F1525" i="2"/>
  <c r="E1525" i="2"/>
  <c r="D1525" i="2"/>
  <c r="C1525" i="2"/>
  <c r="B1525" i="2"/>
  <c r="A1525" i="2"/>
  <c r="R1524" i="2"/>
  <c r="Q1524" i="2"/>
  <c r="P1524" i="2"/>
  <c r="O1524" i="2"/>
  <c r="M1524" i="2"/>
  <c r="L1524" i="2"/>
  <c r="K1524" i="2"/>
  <c r="J1524" i="2"/>
  <c r="I1524" i="2"/>
  <c r="H1524" i="2"/>
  <c r="G1524" i="2"/>
  <c r="F1524" i="2"/>
  <c r="E1524" i="2"/>
  <c r="D1524" i="2"/>
  <c r="C1524" i="2"/>
  <c r="B1524" i="2"/>
  <c r="A1524" i="2"/>
  <c r="U1523" i="2"/>
  <c r="R1523" i="2"/>
  <c r="Q1523" i="2"/>
  <c r="O1523" i="2"/>
  <c r="M1523" i="2"/>
  <c r="L1523" i="2"/>
  <c r="K1523" i="2"/>
  <c r="J1523" i="2"/>
  <c r="G1523" i="2"/>
  <c r="F1523" i="2"/>
  <c r="E1523" i="2"/>
  <c r="D1523" i="2"/>
  <c r="C1523" i="2"/>
  <c r="B1523" i="2"/>
  <c r="A1523" i="2"/>
  <c r="U1522" i="2"/>
  <c r="R1522" i="2"/>
  <c r="Q1522" i="2"/>
  <c r="P1522" i="2"/>
  <c r="O1522" i="2"/>
  <c r="M1522" i="2"/>
  <c r="L1522" i="2"/>
  <c r="K1522" i="2"/>
  <c r="J1522" i="2"/>
  <c r="I1522" i="2"/>
  <c r="H1522" i="2"/>
  <c r="G1522" i="2"/>
  <c r="F1522" i="2"/>
  <c r="E1522" i="2"/>
  <c r="D1522" i="2"/>
  <c r="C1522" i="2"/>
  <c r="B1522" i="2"/>
  <c r="A1522" i="2"/>
  <c r="U1521" i="2"/>
  <c r="R1521" i="2"/>
  <c r="Q1521" i="2"/>
  <c r="O1521" i="2"/>
  <c r="M1521" i="2"/>
  <c r="L1521" i="2"/>
  <c r="K1521" i="2"/>
  <c r="J1521" i="2"/>
  <c r="G1521" i="2"/>
  <c r="F1521" i="2"/>
  <c r="E1521" i="2"/>
  <c r="D1521" i="2"/>
  <c r="C1521" i="2"/>
  <c r="B1521" i="2"/>
  <c r="A1521" i="2"/>
  <c r="R1520" i="2"/>
  <c r="Q1520" i="2"/>
  <c r="O1520" i="2"/>
  <c r="M1520" i="2"/>
  <c r="L1520" i="2"/>
  <c r="K1520" i="2"/>
  <c r="J1520" i="2"/>
  <c r="G1520" i="2"/>
  <c r="F1520" i="2"/>
  <c r="E1520" i="2"/>
  <c r="D1520" i="2"/>
  <c r="C1520" i="2"/>
  <c r="B1520" i="2"/>
  <c r="A1520" i="2"/>
  <c r="R1519" i="2"/>
  <c r="Q1519" i="2"/>
  <c r="P1519" i="2"/>
  <c r="O1519" i="2"/>
  <c r="M1519" i="2"/>
  <c r="L1519" i="2"/>
  <c r="K1519" i="2"/>
  <c r="J1519" i="2"/>
  <c r="I1519" i="2"/>
  <c r="H1519" i="2"/>
  <c r="G1519" i="2"/>
  <c r="F1519" i="2"/>
  <c r="E1519" i="2"/>
  <c r="D1519" i="2"/>
  <c r="C1519" i="2"/>
  <c r="B1519" i="2"/>
  <c r="A1519" i="2"/>
  <c r="R1518" i="2"/>
  <c r="Q1518" i="2"/>
  <c r="O1518" i="2"/>
  <c r="M1518" i="2"/>
  <c r="L1518" i="2"/>
  <c r="K1518" i="2"/>
  <c r="J1518" i="2"/>
  <c r="G1518" i="2"/>
  <c r="F1518" i="2"/>
  <c r="E1518" i="2"/>
  <c r="D1518" i="2"/>
  <c r="C1518" i="2"/>
  <c r="B1518" i="2"/>
  <c r="A1518" i="2"/>
  <c r="R1517" i="2"/>
  <c r="Q1517" i="2"/>
  <c r="P1517" i="2"/>
  <c r="O1517" i="2"/>
  <c r="N1517" i="2"/>
  <c r="M1517" i="2"/>
  <c r="L1517" i="2"/>
  <c r="K1517" i="2"/>
  <c r="J1517" i="2"/>
  <c r="I1517" i="2"/>
  <c r="H1517" i="2"/>
  <c r="G1517" i="2"/>
  <c r="F1517" i="2"/>
  <c r="E1517" i="2"/>
  <c r="D1517" i="2"/>
  <c r="C1517" i="2"/>
  <c r="B1517" i="2"/>
  <c r="A1517" i="2"/>
  <c r="R1516" i="2"/>
  <c r="Q1516" i="2"/>
  <c r="P1516" i="2"/>
  <c r="O1516" i="2"/>
  <c r="M1516" i="2"/>
  <c r="L1516" i="2"/>
  <c r="K1516" i="2"/>
  <c r="J1516" i="2"/>
  <c r="I1516" i="2"/>
  <c r="H1516" i="2"/>
  <c r="G1516" i="2"/>
  <c r="F1516" i="2"/>
  <c r="E1516" i="2"/>
  <c r="D1516" i="2"/>
  <c r="C1516" i="2"/>
  <c r="B1516" i="2"/>
  <c r="A1516" i="2"/>
  <c r="R1515" i="2"/>
  <c r="Q1515" i="2"/>
  <c r="O1515" i="2"/>
  <c r="M1515" i="2"/>
  <c r="L1515" i="2"/>
  <c r="K1515" i="2"/>
  <c r="J1515" i="2"/>
  <c r="G1515" i="2"/>
  <c r="F1515" i="2"/>
  <c r="E1515" i="2"/>
  <c r="D1515" i="2"/>
  <c r="C1515" i="2"/>
  <c r="B1515" i="2"/>
  <c r="A1515" i="2"/>
  <c r="U1514" i="2"/>
  <c r="R1514" i="2"/>
  <c r="Q1514" i="2"/>
  <c r="P1514" i="2"/>
  <c r="O1514" i="2"/>
  <c r="M1514" i="2"/>
  <c r="L1514" i="2"/>
  <c r="K1514" i="2"/>
  <c r="J1514" i="2"/>
  <c r="I1514" i="2"/>
  <c r="H1514" i="2"/>
  <c r="G1514" i="2"/>
  <c r="F1514" i="2"/>
  <c r="E1514" i="2"/>
  <c r="D1514" i="2"/>
  <c r="C1514" i="2"/>
  <c r="B1514" i="2"/>
  <c r="A1514" i="2"/>
  <c r="U1513" i="2"/>
  <c r="R1513" i="2"/>
  <c r="Q1513" i="2"/>
  <c r="P1513" i="2"/>
  <c r="O1513" i="2"/>
  <c r="M1513" i="2"/>
  <c r="L1513" i="2"/>
  <c r="K1513" i="2"/>
  <c r="J1513" i="2"/>
  <c r="I1513" i="2"/>
  <c r="H1513" i="2"/>
  <c r="G1513" i="2"/>
  <c r="F1513" i="2"/>
  <c r="E1513" i="2"/>
  <c r="D1513" i="2"/>
  <c r="C1513" i="2"/>
  <c r="B1513" i="2"/>
  <c r="A1513" i="2"/>
  <c r="U1512" i="2"/>
  <c r="R1512" i="2"/>
  <c r="Q1512" i="2"/>
  <c r="P1512" i="2"/>
  <c r="O1512" i="2"/>
  <c r="M1512" i="2"/>
  <c r="L1512" i="2"/>
  <c r="K1512" i="2"/>
  <c r="J1512" i="2"/>
  <c r="I1512" i="2"/>
  <c r="H1512" i="2"/>
  <c r="G1512" i="2"/>
  <c r="F1512" i="2"/>
  <c r="E1512" i="2"/>
  <c r="D1512" i="2"/>
  <c r="C1512" i="2"/>
  <c r="B1512" i="2"/>
  <c r="A1512" i="2"/>
  <c r="U1511" i="2"/>
  <c r="R1511" i="2"/>
  <c r="Q1511" i="2"/>
  <c r="P1511" i="2"/>
  <c r="O1511" i="2"/>
  <c r="M1511" i="2"/>
  <c r="L1511" i="2"/>
  <c r="K1511" i="2"/>
  <c r="J1511" i="2"/>
  <c r="I1511" i="2"/>
  <c r="H1511" i="2"/>
  <c r="G1511" i="2"/>
  <c r="F1511" i="2"/>
  <c r="E1511" i="2"/>
  <c r="D1511" i="2"/>
  <c r="C1511" i="2"/>
  <c r="B1511" i="2"/>
  <c r="A1511" i="2"/>
  <c r="U1510" i="2"/>
  <c r="R1510" i="2"/>
  <c r="Q1510" i="2"/>
  <c r="P1510" i="2"/>
  <c r="O1510" i="2"/>
  <c r="M1510" i="2"/>
  <c r="L1510" i="2"/>
  <c r="K1510" i="2"/>
  <c r="J1510" i="2"/>
  <c r="I1510" i="2"/>
  <c r="H1510" i="2"/>
  <c r="G1510" i="2"/>
  <c r="F1510" i="2"/>
  <c r="E1510" i="2"/>
  <c r="D1510" i="2"/>
  <c r="C1510" i="2"/>
  <c r="B1510" i="2"/>
  <c r="A1510" i="2"/>
  <c r="U1509" i="2"/>
  <c r="R1509" i="2"/>
  <c r="Q1509" i="2"/>
  <c r="P1509" i="2"/>
  <c r="O1509" i="2"/>
  <c r="M1509" i="2"/>
  <c r="L1509" i="2"/>
  <c r="K1509" i="2"/>
  <c r="J1509" i="2"/>
  <c r="I1509" i="2"/>
  <c r="H1509" i="2"/>
  <c r="G1509" i="2"/>
  <c r="F1509" i="2"/>
  <c r="E1509" i="2"/>
  <c r="D1509" i="2"/>
  <c r="C1509" i="2"/>
  <c r="B1509" i="2"/>
  <c r="A1509" i="2"/>
  <c r="U1508" i="2"/>
  <c r="R1508" i="2"/>
  <c r="Q1508" i="2"/>
  <c r="P1508" i="2"/>
  <c r="O1508" i="2"/>
  <c r="M1508" i="2"/>
  <c r="L1508" i="2"/>
  <c r="K1508" i="2"/>
  <c r="J1508" i="2"/>
  <c r="I1508" i="2"/>
  <c r="H1508" i="2"/>
  <c r="G1508" i="2"/>
  <c r="F1508" i="2"/>
  <c r="E1508" i="2"/>
  <c r="D1508" i="2"/>
  <c r="C1508" i="2"/>
  <c r="B1508" i="2"/>
  <c r="A1508" i="2"/>
  <c r="U1507" i="2"/>
  <c r="R1507" i="2"/>
  <c r="Q1507" i="2"/>
  <c r="P1507" i="2"/>
  <c r="O1507" i="2"/>
  <c r="M1507" i="2"/>
  <c r="L1507" i="2"/>
  <c r="K1507" i="2"/>
  <c r="J1507" i="2"/>
  <c r="I1507" i="2"/>
  <c r="H1507" i="2"/>
  <c r="G1507" i="2"/>
  <c r="F1507" i="2"/>
  <c r="E1507" i="2"/>
  <c r="D1507" i="2"/>
  <c r="C1507" i="2"/>
  <c r="B1507" i="2"/>
  <c r="A1507" i="2"/>
  <c r="U1506" i="2"/>
  <c r="R1506" i="2"/>
  <c r="Q1506" i="2"/>
  <c r="P1506" i="2"/>
  <c r="O1506" i="2"/>
  <c r="M1506" i="2"/>
  <c r="L1506" i="2"/>
  <c r="K1506" i="2"/>
  <c r="J1506" i="2"/>
  <c r="I1506" i="2"/>
  <c r="H1506" i="2"/>
  <c r="G1506" i="2"/>
  <c r="F1506" i="2"/>
  <c r="E1506" i="2"/>
  <c r="D1506" i="2"/>
  <c r="C1506" i="2"/>
  <c r="B1506" i="2"/>
  <c r="A1506" i="2"/>
  <c r="U1505" i="2"/>
  <c r="R1505" i="2"/>
  <c r="Q1505" i="2"/>
  <c r="P1505" i="2"/>
  <c r="O1505" i="2"/>
  <c r="M1505" i="2"/>
  <c r="L1505" i="2"/>
  <c r="K1505" i="2"/>
  <c r="J1505" i="2"/>
  <c r="I1505" i="2"/>
  <c r="H1505" i="2"/>
  <c r="G1505" i="2"/>
  <c r="F1505" i="2"/>
  <c r="E1505" i="2"/>
  <c r="D1505" i="2"/>
  <c r="C1505" i="2"/>
  <c r="B1505" i="2"/>
  <c r="A1505" i="2"/>
  <c r="U1504" i="2"/>
  <c r="R1504" i="2"/>
  <c r="Q1504" i="2"/>
  <c r="P1504" i="2"/>
  <c r="O1504" i="2"/>
  <c r="M1504" i="2"/>
  <c r="L1504" i="2"/>
  <c r="K1504" i="2"/>
  <c r="J1504" i="2"/>
  <c r="I1504" i="2"/>
  <c r="H1504" i="2"/>
  <c r="G1504" i="2"/>
  <c r="F1504" i="2"/>
  <c r="E1504" i="2"/>
  <c r="D1504" i="2"/>
  <c r="C1504" i="2"/>
  <c r="B1504" i="2"/>
  <c r="A1504" i="2"/>
  <c r="U1503" i="2"/>
  <c r="R1503" i="2"/>
  <c r="Q1503" i="2"/>
  <c r="P1503" i="2"/>
  <c r="O1503" i="2"/>
  <c r="M1503" i="2"/>
  <c r="L1503" i="2"/>
  <c r="K1503" i="2"/>
  <c r="J1503" i="2"/>
  <c r="I1503" i="2"/>
  <c r="H1503" i="2"/>
  <c r="G1503" i="2"/>
  <c r="F1503" i="2"/>
  <c r="E1503" i="2"/>
  <c r="D1503" i="2"/>
  <c r="C1503" i="2"/>
  <c r="B1503" i="2"/>
  <c r="A1503" i="2"/>
  <c r="U1502" i="2"/>
  <c r="R1502" i="2"/>
  <c r="Q1502" i="2"/>
  <c r="P1502" i="2"/>
  <c r="O1502" i="2"/>
  <c r="M1502" i="2"/>
  <c r="L1502" i="2"/>
  <c r="K1502" i="2"/>
  <c r="J1502" i="2"/>
  <c r="I1502" i="2"/>
  <c r="H1502" i="2"/>
  <c r="G1502" i="2"/>
  <c r="F1502" i="2"/>
  <c r="E1502" i="2"/>
  <c r="D1502" i="2"/>
  <c r="C1502" i="2"/>
  <c r="B1502" i="2"/>
  <c r="A1502" i="2"/>
  <c r="U1501" i="2"/>
  <c r="R1501" i="2"/>
  <c r="Q1501" i="2"/>
  <c r="P1501" i="2"/>
  <c r="O1501" i="2"/>
  <c r="M1501" i="2"/>
  <c r="L1501" i="2"/>
  <c r="K1501" i="2"/>
  <c r="J1501" i="2"/>
  <c r="I1501" i="2"/>
  <c r="H1501" i="2"/>
  <c r="G1501" i="2"/>
  <c r="F1501" i="2"/>
  <c r="E1501" i="2"/>
  <c r="D1501" i="2"/>
  <c r="C1501" i="2"/>
  <c r="B1501" i="2"/>
  <c r="A1501" i="2"/>
  <c r="U1500" i="2"/>
  <c r="R1500" i="2"/>
  <c r="Q1500" i="2"/>
  <c r="P1500" i="2"/>
  <c r="O1500" i="2"/>
  <c r="M1500" i="2"/>
  <c r="L1500" i="2"/>
  <c r="K1500" i="2"/>
  <c r="J1500" i="2"/>
  <c r="I1500" i="2"/>
  <c r="H1500" i="2"/>
  <c r="G1500" i="2"/>
  <c r="F1500" i="2"/>
  <c r="E1500" i="2"/>
  <c r="D1500" i="2"/>
  <c r="C1500" i="2"/>
  <c r="B1500" i="2"/>
  <c r="A1500" i="2"/>
  <c r="U1499" i="2"/>
  <c r="R1499" i="2"/>
  <c r="Q1499" i="2"/>
  <c r="P1499" i="2"/>
  <c r="O1499" i="2"/>
  <c r="M1499" i="2"/>
  <c r="L1499" i="2"/>
  <c r="K1499" i="2"/>
  <c r="J1499" i="2"/>
  <c r="I1499" i="2"/>
  <c r="H1499" i="2"/>
  <c r="G1499" i="2"/>
  <c r="F1499" i="2"/>
  <c r="E1499" i="2"/>
  <c r="D1499" i="2"/>
  <c r="C1499" i="2"/>
  <c r="B1499" i="2"/>
  <c r="A1499" i="2"/>
  <c r="U1498" i="2"/>
  <c r="R1498" i="2"/>
  <c r="Q1498" i="2"/>
  <c r="P1498" i="2"/>
  <c r="O1498" i="2"/>
  <c r="M1498" i="2"/>
  <c r="L1498" i="2"/>
  <c r="K1498" i="2"/>
  <c r="J1498" i="2"/>
  <c r="I1498" i="2"/>
  <c r="H1498" i="2"/>
  <c r="G1498" i="2"/>
  <c r="F1498" i="2"/>
  <c r="E1498" i="2"/>
  <c r="D1498" i="2"/>
  <c r="C1498" i="2"/>
  <c r="B1498" i="2"/>
  <c r="A1498" i="2"/>
  <c r="U1497" i="2"/>
  <c r="R1497" i="2"/>
  <c r="Q1497" i="2"/>
  <c r="P1497" i="2"/>
  <c r="O1497" i="2"/>
  <c r="M1497" i="2"/>
  <c r="L1497" i="2"/>
  <c r="K1497" i="2"/>
  <c r="J1497" i="2"/>
  <c r="I1497" i="2"/>
  <c r="H1497" i="2"/>
  <c r="G1497" i="2"/>
  <c r="F1497" i="2"/>
  <c r="E1497" i="2"/>
  <c r="D1497" i="2"/>
  <c r="C1497" i="2"/>
  <c r="B1497" i="2"/>
  <c r="A1497" i="2"/>
  <c r="U1496" i="2"/>
  <c r="R1496" i="2"/>
  <c r="Q1496" i="2"/>
  <c r="P1496" i="2"/>
  <c r="O1496" i="2"/>
  <c r="M1496" i="2"/>
  <c r="L1496" i="2"/>
  <c r="K1496" i="2"/>
  <c r="J1496" i="2"/>
  <c r="I1496" i="2"/>
  <c r="H1496" i="2"/>
  <c r="G1496" i="2"/>
  <c r="F1496" i="2"/>
  <c r="E1496" i="2"/>
  <c r="D1496" i="2"/>
  <c r="C1496" i="2"/>
  <c r="B1496" i="2"/>
  <c r="A1496" i="2"/>
  <c r="U1495" i="2"/>
  <c r="R1495" i="2"/>
  <c r="Q1495" i="2"/>
  <c r="P1495" i="2"/>
  <c r="O1495" i="2"/>
  <c r="M1495" i="2"/>
  <c r="L1495" i="2"/>
  <c r="K1495" i="2"/>
  <c r="J1495" i="2"/>
  <c r="I1495" i="2"/>
  <c r="H1495" i="2"/>
  <c r="G1495" i="2"/>
  <c r="F1495" i="2"/>
  <c r="E1495" i="2"/>
  <c r="D1495" i="2"/>
  <c r="C1495" i="2"/>
  <c r="B1495" i="2"/>
  <c r="A1495" i="2"/>
  <c r="U1494" i="2"/>
  <c r="R1494" i="2"/>
  <c r="Q1494" i="2"/>
  <c r="P1494" i="2"/>
  <c r="O1494" i="2"/>
  <c r="M1494" i="2"/>
  <c r="L1494" i="2"/>
  <c r="K1494" i="2"/>
  <c r="J1494" i="2"/>
  <c r="I1494" i="2"/>
  <c r="H1494" i="2"/>
  <c r="G1494" i="2"/>
  <c r="F1494" i="2"/>
  <c r="E1494" i="2"/>
  <c r="D1494" i="2"/>
  <c r="C1494" i="2"/>
  <c r="B1494" i="2"/>
  <c r="A1494" i="2"/>
  <c r="U1493" i="2"/>
  <c r="R1493" i="2"/>
  <c r="Q1493" i="2"/>
  <c r="O1493" i="2"/>
  <c r="M1493" i="2"/>
  <c r="L1493" i="2"/>
  <c r="K1493" i="2"/>
  <c r="J1493" i="2"/>
  <c r="G1493" i="2"/>
  <c r="F1493" i="2"/>
  <c r="E1493" i="2"/>
  <c r="D1493" i="2"/>
  <c r="C1493" i="2"/>
  <c r="B1493" i="2"/>
  <c r="A1493" i="2"/>
  <c r="U1492" i="2"/>
  <c r="R1492" i="2"/>
  <c r="Q1492" i="2"/>
  <c r="P1492" i="2"/>
  <c r="O1492" i="2"/>
  <c r="M1492" i="2"/>
  <c r="L1492" i="2"/>
  <c r="K1492" i="2"/>
  <c r="J1492" i="2"/>
  <c r="I1492" i="2"/>
  <c r="H1492" i="2"/>
  <c r="G1492" i="2"/>
  <c r="F1492" i="2"/>
  <c r="E1492" i="2"/>
  <c r="D1492" i="2"/>
  <c r="C1492" i="2"/>
  <c r="B1492" i="2"/>
  <c r="A1492" i="2"/>
  <c r="U1491" i="2"/>
  <c r="R1491" i="2"/>
  <c r="Q1491" i="2"/>
  <c r="O1491" i="2"/>
  <c r="N1491" i="2"/>
  <c r="M1491" i="2"/>
  <c r="L1491" i="2"/>
  <c r="K1491" i="2"/>
  <c r="J1491" i="2"/>
  <c r="G1491" i="2"/>
  <c r="F1491" i="2"/>
  <c r="E1491" i="2"/>
  <c r="D1491" i="2"/>
  <c r="C1491" i="2"/>
  <c r="B1491" i="2"/>
  <c r="A1491" i="2"/>
  <c r="U1490" i="2"/>
  <c r="R1490" i="2"/>
  <c r="Q1490" i="2"/>
  <c r="O1490" i="2"/>
  <c r="N1490" i="2"/>
  <c r="M1490" i="2"/>
  <c r="L1490" i="2"/>
  <c r="K1490" i="2"/>
  <c r="J1490" i="2"/>
  <c r="G1490" i="2"/>
  <c r="F1490" i="2"/>
  <c r="E1490" i="2"/>
  <c r="D1490" i="2"/>
  <c r="C1490" i="2"/>
  <c r="B1490" i="2"/>
  <c r="A1490" i="2"/>
  <c r="U1489" i="2"/>
  <c r="R1489" i="2"/>
  <c r="Q1489" i="2"/>
  <c r="P1489" i="2"/>
  <c r="O1489" i="2"/>
  <c r="M1489" i="2"/>
  <c r="L1489" i="2"/>
  <c r="K1489" i="2"/>
  <c r="J1489" i="2"/>
  <c r="I1489" i="2"/>
  <c r="H1489" i="2"/>
  <c r="G1489" i="2"/>
  <c r="F1489" i="2"/>
  <c r="E1489" i="2"/>
  <c r="D1489" i="2"/>
  <c r="C1489" i="2"/>
  <c r="B1489" i="2"/>
  <c r="A1489" i="2"/>
  <c r="R1488" i="2"/>
  <c r="Q1488" i="2"/>
  <c r="P1488" i="2"/>
  <c r="O1488" i="2"/>
  <c r="M1488" i="2"/>
  <c r="L1488" i="2"/>
  <c r="K1488" i="2"/>
  <c r="J1488" i="2"/>
  <c r="I1488" i="2"/>
  <c r="H1488" i="2"/>
  <c r="G1488" i="2"/>
  <c r="F1488" i="2"/>
  <c r="E1488" i="2"/>
  <c r="D1488" i="2"/>
  <c r="C1488" i="2"/>
  <c r="B1488" i="2"/>
  <c r="A1488" i="2"/>
  <c r="R1487" i="2"/>
  <c r="Q1487" i="2"/>
  <c r="O1487" i="2"/>
  <c r="M1487" i="2"/>
  <c r="L1487" i="2"/>
  <c r="K1487" i="2"/>
  <c r="J1487" i="2"/>
  <c r="G1487" i="2"/>
  <c r="F1487" i="2"/>
  <c r="E1487" i="2"/>
  <c r="D1487" i="2"/>
  <c r="C1487" i="2"/>
  <c r="B1487" i="2"/>
  <c r="A1487" i="2"/>
  <c r="R1486" i="2"/>
  <c r="Q1486" i="2"/>
  <c r="P1486" i="2"/>
  <c r="O1486" i="2"/>
  <c r="M1486" i="2"/>
  <c r="L1486" i="2"/>
  <c r="K1486" i="2"/>
  <c r="J1486" i="2"/>
  <c r="I1486" i="2"/>
  <c r="H1486" i="2"/>
  <c r="G1486" i="2"/>
  <c r="F1486" i="2"/>
  <c r="E1486" i="2"/>
  <c r="D1486" i="2"/>
  <c r="C1486" i="2"/>
  <c r="B1486" i="2"/>
  <c r="A1486" i="2"/>
  <c r="U1485" i="2"/>
  <c r="R1485" i="2"/>
  <c r="Q1485" i="2"/>
  <c r="P1485" i="2"/>
  <c r="O1485" i="2"/>
  <c r="M1485" i="2"/>
  <c r="L1485" i="2"/>
  <c r="K1485" i="2"/>
  <c r="J1485" i="2"/>
  <c r="I1485" i="2"/>
  <c r="H1485" i="2"/>
  <c r="G1485" i="2"/>
  <c r="F1485" i="2"/>
  <c r="E1485" i="2"/>
  <c r="D1485" i="2"/>
  <c r="C1485" i="2"/>
  <c r="B1485" i="2"/>
  <c r="A1485" i="2"/>
  <c r="U1484" i="2"/>
  <c r="R1484" i="2"/>
  <c r="Q1484" i="2"/>
  <c r="P1484" i="2"/>
  <c r="O1484" i="2"/>
  <c r="M1484" i="2"/>
  <c r="L1484" i="2"/>
  <c r="K1484" i="2"/>
  <c r="J1484" i="2"/>
  <c r="I1484" i="2"/>
  <c r="H1484" i="2"/>
  <c r="G1484" i="2"/>
  <c r="F1484" i="2"/>
  <c r="E1484" i="2"/>
  <c r="D1484" i="2"/>
  <c r="C1484" i="2"/>
  <c r="B1484" i="2"/>
  <c r="A1484" i="2"/>
  <c r="U1483" i="2"/>
  <c r="R1483" i="2"/>
  <c r="Q1483" i="2"/>
  <c r="P1483" i="2"/>
  <c r="O1483" i="2"/>
  <c r="M1483" i="2"/>
  <c r="L1483" i="2"/>
  <c r="K1483" i="2"/>
  <c r="J1483" i="2"/>
  <c r="I1483" i="2"/>
  <c r="H1483" i="2"/>
  <c r="G1483" i="2"/>
  <c r="F1483" i="2"/>
  <c r="E1483" i="2"/>
  <c r="D1483" i="2"/>
  <c r="C1483" i="2"/>
  <c r="B1483" i="2"/>
  <c r="A1483" i="2"/>
  <c r="R1482" i="2"/>
  <c r="Q1482" i="2"/>
  <c r="P1482" i="2"/>
  <c r="O1482" i="2"/>
  <c r="M1482" i="2"/>
  <c r="L1482" i="2"/>
  <c r="K1482" i="2"/>
  <c r="J1482" i="2"/>
  <c r="I1482" i="2"/>
  <c r="H1482" i="2"/>
  <c r="G1482" i="2"/>
  <c r="F1482" i="2"/>
  <c r="E1482" i="2"/>
  <c r="D1482" i="2"/>
  <c r="C1482" i="2"/>
  <c r="B1482" i="2"/>
  <c r="A1482" i="2"/>
  <c r="R1481" i="2"/>
  <c r="Q1481" i="2"/>
  <c r="P1481" i="2"/>
  <c r="O1481" i="2"/>
  <c r="M1481" i="2"/>
  <c r="L1481" i="2"/>
  <c r="K1481" i="2"/>
  <c r="J1481" i="2"/>
  <c r="I1481" i="2"/>
  <c r="H1481" i="2"/>
  <c r="G1481" i="2"/>
  <c r="F1481" i="2"/>
  <c r="E1481" i="2"/>
  <c r="D1481" i="2"/>
  <c r="C1481" i="2"/>
  <c r="B1481" i="2"/>
  <c r="A1481" i="2"/>
  <c r="R1480" i="2"/>
  <c r="Q1480" i="2"/>
  <c r="P1480" i="2"/>
  <c r="O1480" i="2"/>
  <c r="M1480" i="2"/>
  <c r="L1480" i="2"/>
  <c r="K1480" i="2"/>
  <c r="J1480" i="2"/>
  <c r="I1480" i="2"/>
  <c r="H1480" i="2"/>
  <c r="G1480" i="2"/>
  <c r="F1480" i="2"/>
  <c r="E1480" i="2"/>
  <c r="D1480" i="2"/>
  <c r="C1480" i="2"/>
  <c r="B1480" i="2"/>
  <c r="A1480" i="2"/>
  <c r="U1479" i="2"/>
  <c r="R1479" i="2"/>
  <c r="Q1479" i="2"/>
  <c r="P1479" i="2"/>
  <c r="O1479" i="2"/>
  <c r="M1479" i="2"/>
  <c r="L1479" i="2"/>
  <c r="K1479" i="2"/>
  <c r="J1479" i="2"/>
  <c r="I1479" i="2"/>
  <c r="H1479" i="2"/>
  <c r="G1479" i="2"/>
  <c r="F1479" i="2"/>
  <c r="E1479" i="2"/>
  <c r="D1479" i="2"/>
  <c r="C1479" i="2"/>
  <c r="B1479" i="2"/>
  <c r="A1479" i="2"/>
  <c r="U1478" i="2"/>
  <c r="R1478" i="2"/>
  <c r="Q1478" i="2"/>
  <c r="P1478" i="2"/>
  <c r="O1478" i="2"/>
  <c r="M1478" i="2"/>
  <c r="L1478" i="2"/>
  <c r="K1478" i="2"/>
  <c r="J1478" i="2"/>
  <c r="I1478" i="2"/>
  <c r="H1478" i="2"/>
  <c r="G1478" i="2"/>
  <c r="F1478" i="2"/>
  <c r="E1478" i="2"/>
  <c r="D1478" i="2"/>
  <c r="C1478" i="2"/>
  <c r="B1478" i="2"/>
  <c r="A1478" i="2"/>
  <c r="U1477" i="2"/>
  <c r="R1477" i="2"/>
  <c r="Q1477" i="2"/>
  <c r="O1477" i="2"/>
  <c r="M1477" i="2"/>
  <c r="L1477" i="2"/>
  <c r="K1477" i="2"/>
  <c r="J1477" i="2"/>
  <c r="G1477" i="2"/>
  <c r="F1477" i="2"/>
  <c r="E1477" i="2"/>
  <c r="D1477" i="2"/>
  <c r="C1477" i="2"/>
  <c r="B1477" i="2"/>
  <c r="A1477" i="2"/>
  <c r="U1476" i="2"/>
  <c r="R1476" i="2"/>
  <c r="Q1476" i="2"/>
  <c r="O1476" i="2"/>
  <c r="M1476" i="2"/>
  <c r="L1476" i="2"/>
  <c r="K1476" i="2"/>
  <c r="J1476" i="2"/>
  <c r="G1476" i="2"/>
  <c r="F1476" i="2"/>
  <c r="E1476" i="2"/>
  <c r="D1476" i="2"/>
  <c r="C1476" i="2"/>
  <c r="B1476" i="2"/>
  <c r="A1476" i="2"/>
  <c r="U1475" i="2"/>
  <c r="R1475" i="2"/>
  <c r="Q1475" i="2"/>
  <c r="O1475" i="2"/>
  <c r="M1475" i="2"/>
  <c r="L1475" i="2"/>
  <c r="K1475" i="2"/>
  <c r="J1475" i="2"/>
  <c r="G1475" i="2"/>
  <c r="F1475" i="2"/>
  <c r="E1475" i="2"/>
  <c r="D1475" i="2"/>
  <c r="C1475" i="2"/>
  <c r="B1475" i="2"/>
  <c r="A1475" i="2"/>
  <c r="R1474" i="2"/>
  <c r="Q1474" i="2"/>
  <c r="O1474" i="2"/>
  <c r="M1474" i="2"/>
  <c r="L1474" i="2"/>
  <c r="K1474" i="2"/>
  <c r="J1474" i="2"/>
  <c r="G1474" i="2"/>
  <c r="F1474" i="2"/>
  <c r="E1474" i="2"/>
  <c r="D1474" i="2"/>
  <c r="C1474" i="2"/>
  <c r="B1474" i="2"/>
  <c r="A1474" i="2"/>
  <c r="R1473" i="2"/>
  <c r="Q1473" i="2"/>
  <c r="O1473" i="2"/>
  <c r="M1473" i="2"/>
  <c r="L1473" i="2"/>
  <c r="K1473" i="2"/>
  <c r="J1473" i="2"/>
  <c r="G1473" i="2"/>
  <c r="F1473" i="2"/>
  <c r="E1473" i="2"/>
  <c r="D1473" i="2"/>
  <c r="C1473" i="2"/>
  <c r="B1473" i="2"/>
  <c r="A1473" i="2"/>
  <c r="R1472" i="2"/>
  <c r="Q1472" i="2"/>
  <c r="O1472" i="2"/>
  <c r="M1472" i="2"/>
  <c r="L1472" i="2"/>
  <c r="K1472" i="2"/>
  <c r="J1472" i="2"/>
  <c r="G1472" i="2"/>
  <c r="F1472" i="2"/>
  <c r="E1472" i="2"/>
  <c r="D1472" i="2"/>
  <c r="C1472" i="2"/>
  <c r="B1472" i="2"/>
  <c r="A1472" i="2"/>
  <c r="U1471" i="2"/>
  <c r="R1471" i="2"/>
  <c r="Q1471" i="2"/>
  <c r="P1471" i="2"/>
  <c r="O1471" i="2"/>
  <c r="M1471" i="2"/>
  <c r="L1471" i="2"/>
  <c r="K1471" i="2"/>
  <c r="J1471" i="2"/>
  <c r="I1471" i="2"/>
  <c r="H1471" i="2"/>
  <c r="G1471" i="2"/>
  <c r="F1471" i="2"/>
  <c r="E1471" i="2"/>
  <c r="D1471" i="2"/>
  <c r="C1471" i="2"/>
  <c r="B1471" i="2"/>
  <c r="A1471" i="2"/>
  <c r="U1470" i="2"/>
  <c r="R1470" i="2"/>
  <c r="Q1470" i="2"/>
  <c r="P1470" i="2"/>
  <c r="O1470" i="2"/>
  <c r="M1470" i="2"/>
  <c r="L1470" i="2"/>
  <c r="K1470" i="2"/>
  <c r="J1470" i="2"/>
  <c r="I1470" i="2"/>
  <c r="H1470" i="2"/>
  <c r="G1470" i="2"/>
  <c r="F1470" i="2"/>
  <c r="E1470" i="2"/>
  <c r="D1470" i="2"/>
  <c r="C1470" i="2"/>
  <c r="B1470" i="2"/>
  <c r="A1470" i="2"/>
  <c r="U1469" i="2"/>
  <c r="R1469" i="2"/>
  <c r="Q1469" i="2"/>
  <c r="P1469" i="2"/>
  <c r="O1469" i="2"/>
  <c r="M1469" i="2"/>
  <c r="L1469" i="2"/>
  <c r="K1469" i="2"/>
  <c r="J1469" i="2"/>
  <c r="I1469" i="2"/>
  <c r="H1469" i="2"/>
  <c r="G1469" i="2"/>
  <c r="F1469" i="2"/>
  <c r="E1469" i="2"/>
  <c r="D1469" i="2"/>
  <c r="C1469" i="2"/>
  <c r="B1469" i="2"/>
  <c r="A1469" i="2"/>
  <c r="U1468" i="2"/>
  <c r="R1468" i="2"/>
  <c r="Q1468" i="2"/>
  <c r="P1468" i="2"/>
  <c r="O1468" i="2"/>
  <c r="M1468" i="2"/>
  <c r="L1468" i="2"/>
  <c r="K1468" i="2"/>
  <c r="J1468" i="2"/>
  <c r="I1468" i="2"/>
  <c r="H1468" i="2"/>
  <c r="G1468" i="2"/>
  <c r="F1468" i="2"/>
  <c r="E1468" i="2"/>
  <c r="D1468" i="2"/>
  <c r="C1468" i="2"/>
  <c r="B1468" i="2"/>
  <c r="A1468" i="2"/>
  <c r="U1467" i="2"/>
  <c r="R1467" i="2"/>
  <c r="Q1467" i="2"/>
  <c r="P1467" i="2"/>
  <c r="O1467" i="2"/>
  <c r="M1467" i="2"/>
  <c r="L1467" i="2"/>
  <c r="K1467" i="2"/>
  <c r="J1467" i="2"/>
  <c r="I1467" i="2"/>
  <c r="H1467" i="2"/>
  <c r="G1467" i="2"/>
  <c r="F1467" i="2"/>
  <c r="E1467" i="2"/>
  <c r="D1467" i="2"/>
  <c r="C1467" i="2"/>
  <c r="B1467" i="2"/>
  <c r="A1467" i="2"/>
  <c r="U1466" i="2"/>
  <c r="R1466" i="2"/>
  <c r="Q1466" i="2"/>
  <c r="P1466" i="2"/>
  <c r="O1466" i="2"/>
  <c r="M1466" i="2"/>
  <c r="L1466" i="2"/>
  <c r="K1466" i="2"/>
  <c r="J1466" i="2"/>
  <c r="I1466" i="2"/>
  <c r="H1466" i="2"/>
  <c r="G1466" i="2"/>
  <c r="F1466" i="2"/>
  <c r="E1466" i="2"/>
  <c r="D1466" i="2"/>
  <c r="C1466" i="2"/>
  <c r="B1466" i="2"/>
  <c r="A1466" i="2"/>
  <c r="U1465" i="2"/>
  <c r="R1465" i="2"/>
  <c r="Q1465" i="2"/>
  <c r="P1465" i="2"/>
  <c r="O1465" i="2"/>
  <c r="M1465" i="2"/>
  <c r="L1465" i="2"/>
  <c r="K1465" i="2"/>
  <c r="J1465" i="2"/>
  <c r="I1465" i="2"/>
  <c r="H1465" i="2"/>
  <c r="G1465" i="2"/>
  <c r="F1465" i="2"/>
  <c r="E1465" i="2"/>
  <c r="D1465" i="2"/>
  <c r="C1465" i="2"/>
  <c r="B1465" i="2"/>
  <c r="A1465" i="2"/>
  <c r="U1464" i="2"/>
  <c r="R1464" i="2"/>
  <c r="Q1464" i="2"/>
  <c r="P1464" i="2"/>
  <c r="O1464" i="2"/>
  <c r="M1464" i="2"/>
  <c r="L1464" i="2"/>
  <c r="K1464" i="2"/>
  <c r="J1464" i="2"/>
  <c r="I1464" i="2"/>
  <c r="H1464" i="2"/>
  <c r="G1464" i="2"/>
  <c r="F1464" i="2"/>
  <c r="E1464" i="2"/>
  <c r="D1464" i="2"/>
  <c r="C1464" i="2"/>
  <c r="B1464" i="2"/>
  <c r="A1464" i="2"/>
  <c r="U1463" i="2"/>
  <c r="R1463" i="2"/>
  <c r="Q1463" i="2"/>
  <c r="P1463" i="2"/>
  <c r="O1463" i="2"/>
  <c r="M1463" i="2"/>
  <c r="L1463" i="2"/>
  <c r="K1463" i="2"/>
  <c r="J1463" i="2"/>
  <c r="I1463" i="2"/>
  <c r="H1463" i="2"/>
  <c r="G1463" i="2"/>
  <c r="F1463" i="2"/>
  <c r="E1463" i="2"/>
  <c r="D1463" i="2"/>
  <c r="C1463" i="2"/>
  <c r="B1463" i="2"/>
  <c r="A1463" i="2"/>
  <c r="U1462" i="2"/>
  <c r="R1462" i="2"/>
  <c r="Q1462" i="2"/>
  <c r="P1462" i="2"/>
  <c r="O1462" i="2"/>
  <c r="M1462" i="2"/>
  <c r="L1462" i="2"/>
  <c r="K1462" i="2"/>
  <c r="J1462" i="2"/>
  <c r="I1462" i="2"/>
  <c r="H1462" i="2"/>
  <c r="G1462" i="2"/>
  <c r="F1462" i="2"/>
  <c r="E1462" i="2"/>
  <c r="D1462" i="2"/>
  <c r="C1462" i="2"/>
  <c r="B1462" i="2"/>
  <c r="A1462" i="2"/>
  <c r="U1461" i="2"/>
  <c r="R1461" i="2"/>
  <c r="Q1461" i="2"/>
  <c r="P1461" i="2"/>
  <c r="O1461" i="2"/>
  <c r="M1461" i="2"/>
  <c r="L1461" i="2"/>
  <c r="K1461" i="2"/>
  <c r="J1461" i="2"/>
  <c r="I1461" i="2"/>
  <c r="H1461" i="2"/>
  <c r="G1461" i="2"/>
  <c r="F1461" i="2"/>
  <c r="E1461" i="2"/>
  <c r="D1461" i="2"/>
  <c r="C1461" i="2"/>
  <c r="B1461" i="2"/>
  <c r="A1461" i="2"/>
  <c r="U1460" i="2"/>
  <c r="R1460" i="2"/>
  <c r="Q1460" i="2"/>
  <c r="P1460" i="2"/>
  <c r="O1460" i="2"/>
  <c r="M1460" i="2"/>
  <c r="L1460" i="2"/>
  <c r="K1460" i="2"/>
  <c r="J1460" i="2"/>
  <c r="I1460" i="2"/>
  <c r="H1460" i="2"/>
  <c r="G1460" i="2"/>
  <c r="F1460" i="2"/>
  <c r="E1460" i="2"/>
  <c r="D1460" i="2"/>
  <c r="C1460" i="2"/>
  <c r="B1460" i="2"/>
  <c r="A1460" i="2"/>
  <c r="U1459" i="2"/>
  <c r="R1459" i="2"/>
  <c r="Q1459" i="2"/>
  <c r="P1459" i="2"/>
  <c r="O1459" i="2"/>
  <c r="M1459" i="2"/>
  <c r="L1459" i="2"/>
  <c r="K1459" i="2"/>
  <c r="J1459" i="2"/>
  <c r="I1459" i="2"/>
  <c r="H1459" i="2"/>
  <c r="G1459" i="2"/>
  <c r="F1459" i="2"/>
  <c r="E1459" i="2"/>
  <c r="D1459" i="2"/>
  <c r="C1459" i="2"/>
  <c r="B1459" i="2"/>
  <c r="A1459" i="2"/>
  <c r="U1458" i="2"/>
  <c r="R1458" i="2"/>
  <c r="Q1458" i="2"/>
  <c r="P1458" i="2"/>
  <c r="O1458" i="2"/>
  <c r="M1458" i="2"/>
  <c r="L1458" i="2"/>
  <c r="K1458" i="2"/>
  <c r="J1458" i="2"/>
  <c r="I1458" i="2"/>
  <c r="H1458" i="2"/>
  <c r="G1458" i="2"/>
  <c r="F1458" i="2"/>
  <c r="E1458" i="2"/>
  <c r="D1458" i="2"/>
  <c r="C1458" i="2"/>
  <c r="B1458" i="2"/>
  <c r="A1458" i="2"/>
  <c r="U1457" i="2"/>
  <c r="R1457" i="2"/>
  <c r="Q1457" i="2"/>
  <c r="O1457" i="2"/>
  <c r="M1457" i="2"/>
  <c r="L1457" i="2"/>
  <c r="K1457" i="2"/>
  <c r="J1457" i="2"/>
  <c r="G1457" i="2"/>
  <c r="F1457" i="2"/>
  <c r="E1457" i="2"/>
  <c r="D1457" i="2"/>
  <c r="C1457" i="2"/>
  <c r="B1457" i="2"/>
  <c r="A1457" i="2"/>
  <c r="U1456" i="2"/>
  <c r="R1456" i="2"/>
  <c r="Q1456" i="2"/>
  <c r="P1456" i="2"/>
  <c r="O1456" i="2"/>
  <c r="M1456" i="2"/>
  <c r="L1456" i="2"/>
  <c r="K1456" i="2"/>
  <c r="J1456" i="2"/>
  <c r="I1456" i="2"/>
  <c r="H1456" i="2"/>
  <c r="G1456" i="2"/>
  <c r="F1456" i="2"/>
  <c r="E1456" i="2"/>
  <c r="D1456" i="2"/>
  <c r="C1456" i="2"/>
  <c r="B1456" i="2"/>
  <c r="A1456" i="2"/>
  <c r="U1455" i="2"/>
  <c r="R1455" i="2"/>
  <c r="Q1455" i="2"/>
  <c r="P1455" i="2"/>
  <c r="O1455" i="2"/>
  <c r="M1455" i="2"/>
  <c r="L1455" i="2"/>
  <c r="K1455" i="2"/>
  <c r="J1455" i="2"/>
  <c r="I1455" i="2"/>
  <c r="H1455" i="2"/>
  <c r="G1455" i="2"/>
  <c r="F1455" i="2"/>
  <c r="E1455" i="2"/>
  <c r="D1455" i="2"/>
  <c r="C1455" i="2"/>
  <c r="B1455" i="2"/>
  <c r="A1455" i="2"/>
  <c r="R1454" i="2"/>
  <c r="Q1454" i="2"/>
  <c r="P1454" i="2"/>
  <c r="O1454" i="2"/>
  <c r="N1454" i="2"/>
  <c r="M1454" i="2"/>
  <c r="L1454" i="2"/>
  <c r="K1454" i="2"/>
  <c r="J1454" i="2"/>
  <c r="I1454" i="2"/>
  <c r="H1454" i="2"/>
  <c r="G1454" i="2"/>
  <c r="F1454" i="2"/>
  <c r="E1454" i="2"/>
  <c r="D1454" i="2"/>
  <c r="C1454" i="2"/>
  <c r="B1454" i="2"/>
  <c r="A1454" i="2"/>
  <c r="R1453" i="2"/>
  <c r="Q1453" i="2"/>
  <c r="P1453" i="2"/>
  <c r="O1453" i="2"/>
  <c r="N1453" i="2"/>
  <c r="M1453" i="2"/>
  <c r="L1453" i="2"/>
  <c r="K1453" i="2"/>
  <c r="J1453" i="2"/>
  <c r="I1453" i="2"/>
  <c r="H1453" i="2"/>
  <c r="G1453" i="2"/>
  <c r="F1453" i="2"/>
  <c r="E1453" i="2"/>
  <c r="D1453" i="2"/>
  <c r="C1453" i="2"/>
  <c r="B1453" i="2"/>
  <c r="A1453" i="2"/>
  <c r="R1452" i="2"/>
  <c r="Q1452" i="2"/>
  <c r="P1452" i="2"/>
  <c r="O1452" i="2"/>
  <c r="N1452" i="2"/>
  <c r="M1452" i="2"/>
  <c r="L1452" i="2"/>
  <c r="K1452" i="2"/>
  <c r="J1452" i="2"/>
  <c r="I1452" i="2"/>
  <c r="H1452" i="2"/>
  <c r="G1452" i="2"/>
  <c r="F1452" i="2"/>
  <c r="E1452" i="2"/>
  <c r="D1452" i="2"/>
  <c r="C1452" i="2"/>
  <c r="B1452" i="2"/>
  <c r="A1452" i="2"/>
  <c r="R1451" i="2"/>
  <c r="Q1451" i="2"/>
  <c r="P1451" i="2"/>
  <c r="O1451" i="2"/>
  <c r="N1451" i="2"/>
  <c r="M1451" i="2"/>
  <c r="L1451" i="2"/>
  <c r="K1451" i="2"/>
  <c r="J1451" i="2"/>
  <c r="I1451" i="2"/>
  <c r="H1451" i="2"/>
  <c r="G1451" i="2"/>
  <c r="F1451" i="2"/>
  <c r="E1451" i="2"/>
  <c r="D1451" i="2"/>
  <c r="C1451" i="2"/>
  <c r="B1451" i="2"/>
  <c r="A1451" i="2"/>
  <c r="U1450" i="2"/>
  <c r="R1450" i="2"/>
  <c r="Q1450" i="2"/>
  <c r="O1450" i="2"/>
  <c r="M1450" i="2"/>
  <c r="L1450" i="2"/>
  <c r="K1450" i="2"/>
  <c r="J1450" i="2"/>
  <c r="G1450" i="2"/>
  <c r="F1450" i="2"/>
  <c r="E1450" i="2"/>
  <c r="D1450" i="2"/>
  <c r="C1450" i="2"/>
  <c r="B1450" i="2"/>
  <c r="A1450" i="2"/>
  <c r="U1449" i="2"/>
  <c r="R1449" i="2"/>
  <c r="Q1449" i="2"/>
  <c r="P1449" i="2"/>
  <c r="O1449" i="2"/>
  <c r="M1449" i="2"/>
  <c r="L1449" i="2"/>
  <c r="K1449" i="2"/>
  <c r="J1449" i="2"/>
  <c r="I1449" i="2"/>
  <c r="H1449" i="2"/>
  <c r="G1449" i="2"/>
  <c r="F1449" i="2"/>
  <c r="E1449" i="2"/>
  <c r="D1449" i="2"/>
  <c r="C1449" i="2"/>
  <c r="B1449" i="2"/>
  <c r="A1449" i="2"/>
  <c r="U1448" i="2"/>
  <c r="R1448" i="2"/>
  <c r="Q1448" i="2"/>
  <c r="P1448" i="2"/>
  <c r="O1448" i="2"/>
  <c r="N1448" i="2"/>
  <c r="M1448" i="2"/>
  <c r="L1448" i="2"/>
  <c r="K1448" i="2"/>
  <c r="J1448" i="2"/>
  <c r="I1448" i="2"/>
  <c r="H1448" i="2"/>
  <c r="G1448" i="2"/>
  <c r="F1448" i="2"/>
  <c r="E1448" i="2"/>
  <c r="D1448" i="2"/>
  <c r="C1448" i="2"/>
  <c r="B1448" i="2"/>
  <c r="A1448" i="2"/>
  <c r="U1447" i="2"/>
  <c r="R1447" i="2"/>
  <c r="Q1447" i="2"/>
  <c r="P1447" i="2"/>
  <c r="O1447" i="2"/>
  <c r="M1447" i="2"/>
  <c r="L1447" i="2"/>
  <c r="K1447" i="2"/>
  <c r="J1447" i="2"/>
  <c r="I1447" i="2"/>
  <c r="H1447" i="2"/>
  <c r="G1447" i="2"/>
  <c r="F1447" i="2"/>
  <c r="E1447" i="2"/>
  <c r="D1447" i="2"/>
  <c r="C1447" i="2"/>
  <c r="B1447" i="2"/>
  <c r="A1447" i="2"/>
  <c r="R1446" i="2"/>
  <c r="Q1446" i="2"/>
  <c r="P1446" i="2"/>
  <c r="O1446" i="2"/>
  <c r="M1446" i="2"/>
  <c r="L1446" i="2"/>
  <c r="K1446" i="2"/>
  <c r="J1446" i="2"/>
  <c r="I1446" i="2"/>
  <c r="H1446" i="2"/>
  <c r="G1446" i="2"/>
  <c r="F1446" i="2"/>
  <c r="E1446" i="2"/>
  <c r="D1446" i="2"/>
  <c r="C1446" i="2"/>
  <c r="B1446" i="2"/>
  <c r="A1446" i="2"/>
  <c r="R1445" i="2"/>
  <c r="Q1445" i="2"/>
  <c r="O1445" i="2"/>
  <c r="M1445" i="2"/>
  <c r="L1445" i="2"/>
  <c r="K1445" i="2"/>
  <c r="J1445" i="2"/>
  <c r="G1445" i="2"/>
  <c r="F1445" i="2"/>
  <c r="E1445" i="2"/>
  <c r="D1445" i="2"/>
  <c r="C1445" i="2"/>
  <c r="B1445" i="2"/>
  <c r="A1445" i="2"/>
  <c r="R1444" i="2"/>
  <c r="Q1444" i="2"/>
  <c r="P1444" i="2"/>
  <c r="O1444" i="2"/>
  <c r="M1444" i="2"/>
  <c r="L1444" i="2"/>
  <c r="K1444" i="2"/>
  <c r="J1444" i="2"/>
  <c r="I1444" i="2"/>
  <c r="H1444" i="2"/>
  <c r="G1444" i="2"/>
  <c r="F1444" i="2"/>
  <c r="E1444" i="2"/>
  <c r="D1444" i="2"/>
  <c r="C1444" i="2"/>
  <c r="B1444" i="2"/>
  <c r="A1444" i="2"/>
  <c r="R1443" i="2"/>
  <c r="Q1443" i="2"/>
  <c r="P1443" i="2"/>
  <c r="O1443" i="2"/>
  <c r="M1443" i="2"/>
  <c r="L1443" i="2"/>
  <c r="K1443" i="2"/>
  <c r="J1443" i="2"/>
  <c r="I1443" i="2"/>
  <c r="H1443" i="2"/>
  <c r="G1443" i="2"/>
  <c r="F1443" i="2"/>
  <c r="E1443" i="2"/>
  <c r="D1443" i="2"/>
  <c r="C1443" i="2"/>
  <c r="B1443" i="2"/>
  <c r="A1443" i="2"/>
  <c r="U1442" i="2"/>
  <c r="R1442" i="2"/>
  <c r="Q1442" i="2"/>
  <c r="P1442" i="2"/>
  <c r="O1442" i="2"/>
  <c r="M1442" i="2"/>
  <c r="L1442" i="2"/>
  <c r="K1442" i="2"/>
  <c r="J1442" i="2"/>
  <c r="I1442" i="2"/>
  <c r="H1442" i="2"/>
  <c r="G1442" i="2"/>
  <c r="F1442" i="2"/>
  <c r="E1442" i="2"/>
  <c r="D1442" i="2"/>
  <c r="C1442" i="2"/>
  <c r="B1442" i="2"/>
  <c r="A1442" i="2"/>
  <c r="R1441" i="2"/>
  <c r="Q1441" i="2"/>
  <c r="P1441" i="2"/>
  <c r="O1441" i="2"/>
  <c r="M1441" i="2"/>
  <c r="L1441" i="2"/>
  <c r="K1441" i="2"/>
  <c r="J1441" i="2"/>
  <c r="I1441" i="2"/>
  <c r="H1441" i="2"/>
  <c r="G1441" i="2"/>
  <c r="F1441" i="2"/>
  <c r="E1441" i="2"/>
  <c r="D1441" i="2"/>
  <c r="C1441" i="2"/>
  <c r="B1441" i="2"/>
  <c r="A1441" i="2"/>
  <c r="R1440" i="2"/>
  <c r="Q1440" i="2"/>
  <c r="M1440" i="2"/>
  <c r="L1440" i="2"/>
  <c r="K1440" i="2"/>
  <c r="J1440" i="2"/>
  <c r="G1440" i="2"/>
  <c r="F1440" i="2"/>
  <c r="E1440" i="2"/>
  <c r="D1440" i="2"/>
  <c r="C1440" i="2"/>
  <c r="B1440" i="2"/>
  <c r="A1440" i="2"/>
  <c r="U1439" i="2"/>
  <c r="R1439" i="2"/>
  <c r="Q1439" i="2"/>
  <c r="O1439" i="2"/>
  <c r="M1439" i="2"/>
  <c r="L1439" i="2"/>
  <c r="K1439" i="2"/>
  <c r="J1439" i="2"/>
  <c r="G1439" i="2"/>
  <c r="F1439" i="2"/>
  <c r="E1439" i="2"/>
  <c r="D1439" i="2"/>
  <c r="C1439" i="2"/>
  <c r="B1439" i="2"/>
  <c r="A1439" i="2"/>
  <c r="U1438" i="2"/>
  <c r="R1438" i="2"/>
  <c r="Q1438" i="2"/>
  <c r="P1438" i="2"/>
  <c r="O1438" i="2"/>
  <c r="M1438" i="2"/>
  <c r="L1438" i="2"/>
  <c r="K1438" i="2"/>
  <c r="J1438" i="2"/>
  <c r="I1438" i="2"/>
  <c r="H1438" i="2"/>
  <c r="G1438" i="2"/>
  <c r="F1438" i="2"/>
  <c r="E1438" i="2"/>
  <c r="D1438" i="2"/>
  <c r="C1438" i="2"/>
  <c r="B1438" i="2"/>
  <c r="A1438" i="2"/>
  <c r="R1437" i="2"/>
  <c r="Q1437" i="2"/>
  <c r="O1437" i="2"/>
  <c r="M1437" i="2"/>
  <c r="L1437" i="2"/>
  <c r="K1437" i="2"/>
  <c r="J1437" i="2"/>
  <c r="G1437" i="2"/>
  <c r="F1437" i="2"/>
  <c r="E1437" i="2"/>
  <c r="D1437" i="2"/>
  <c r="C1437" i="2"/>
  <c r="B1437" i="2"/>
  <c r="A1437" i="2"/>
  <c r="R1436" i="2"/>
  <c r="Q1436" i="2"/>
  <c r="O1436" i="2"/>
  <c r="M1436" i="2"/>
  <c r="L1436" i="2"/>
  <c r="K1436" i="2"/>
  <c r="J1436" i="2"/>
  <c r="G1436" i="2"/>
  <c r="F1436" i="2"/>
  <c r="E1436" i="2"/>
  <c r="D1436" i="2"/>
  <c r="C1436" i="2"/>
  <c r="B1436" i="2"/>
  <c r="A1436" i="2"/>
  <c r="R1435" i="2"/>
  <c r="Q1435" i="2"/>
  <c r="O1435" i="2"/>
  <c r="M1435" i="2"/>
  <c r="L1435" i="2"/>
  <c r="K1435" i="2"/>
  <c r="J1435" i="2"/>
  <c r="G1435" i="2"/>
  <c r="F1435" i="2"/>
  <c r="E1435" i="2"/>
  <c r="D1435" i="2"/>
  <c r="C1435" i="2"/>
  <c r="B1435" i="2"/>
  <c r="A1435" i="2"/>
  <c r="U1434" i="2"/>
  <c r="R1434" i="2"/>
  <c r="Q1434" i="2"/>
  <c r="P1434" i="2"/>
  <c r="O1434" i="2"/>
  <c r="N1434" i="2"/>
  <c r="M1434" i="2"/>
  <c r="L1434" i="2"/>
  <c r="K1434" i="2"/>
  <c r="J1434" i="2"/>
  <c r="I1434" i="2"/>
  <c r="H1434" i="2"/>
  <c r="G1434" i="2"/>
  <c r="F1434" i="2"/>
  <c r="E1434" i="2"/>
  <c r="D1434" i="2"/>
  <c r="C1434" i="2"/>
  <c r="B1434" i="2"/>
  <c r="A1434" i="2"/>
  <c r="U1433" i="2"/>
  <c r="R1433" i="2"/>
  <c r="Q1433" i="2"/>
  <c r="P1433" i="2"/>
  <c r="O1433" i="2"/>
  <c r="N1433" i="2"/>
  <c r="M1433" i="2"/>
  <c r="L1433" i="2"/>
  <c r="K1433" i="2"/>
  <c r="J1433" i="2"/>
  <c r="I1433" i="2"/>
  <c r="H1433" i="2"/>
  <c r="G1433" i="2"/>
  <c r="F1433" i="2"/>
  <c r="E1433" i="2"/>
  <c r="D1433" i="2"/>
  <c r="C1433" i="2"/>
  <c r="B1433" i="2"/>
  <c r="A1433" i="2"/>
  <c r="U1432" i="2"/>
  <c r="R1432" i="2"/>
  <c r="Q1432" i="2"/>
  <c r="P1432" i="2"/>
  <c r="O1432" i="2"/>
  <c r="M1432" i="2"/>
  <c r="L1432" i="2"/>
  <c r="K1432" i="2"/>
  <c r="J1432" i="2"/>
  <c r="I1432" i="2"/>
  <c r="H1432" i="2"/>
  <c r="G1432" i="2"/>
  <c r="F1432" i="2"/>
  <c r="E1432" i="2"/>
  <c r="D1432" i="2"/>
  <c r="C1432" i="2"/>
  <c r="B1432" i="2"/>
  <c r="A1432" i="2"/>
  <c r="U1431" i="2"/>
  <c r="R1431" i="2"/>
  <c r="Q1431" i="2"/>
  <c r="P1431" i="2"/>
  <c r="O1431" i="2"/>
  <c r="M1431" i="2"/>
  <c r="L1431" i="2"/>
  <c r="K1431" i="2"/>
  <c r="J1431" i="2"/>
  <c r="I1431" i="2"/>
  <c r="H1431" i="2"/>
  <c r="G1431" i="2"/>
  <c r="F1431" i="2"/>
  <c r="E1431" i="2"/>
  <c r="D1431" i="2"/>
  <c r="C1431" i="2"/>
  <c r="B1431" i="2"/>
  <c r="A1431" i="2"/>
  <c r="U1430" i="2"/>
  <c r="R1430" i="2"/>
  <c r="Q1430" i="2"/>
  <c r="P1430" i="2"/>
  <c r="O1430" i="2"/>
  <c r="M1430" i="2"/>
  <c r="L1430" i="2"/>
  <c r="K1430" i="2"/>
  <c r="J1430" i="2"/>
  <c r="I1430" i="2"/>
  <c r="H1430" i="2"/>
  <c r="G1430" i="2"/>
  <c r="F1430" i="2"/>
  <c r="E1430" i="2"/>
  <c r="D1430" i="2"/>
  <c r="C1430" i="2"/>
  <c r="B1430" i="2"/>
  <c r="A1430" i="2"/>
  <c r="U1429" i="2"/>
  <c r="R1429" i="2"/>
  <c r="Q1429" i="2"/>
  <c r="P1429" i="2"/>
  <c r="O1429" i="2"/>
  <c r="M1429" i="2"/>
  <c r="L1429" i="2"/>
  <c r="K1429" i="2"/>
  <c r="J1429" i="2"/>
  <c r="I1429" i="2"/>
  <c r="H1429" i="2"/>
  <c r="G1429" i="2"/>
  <c r="F1429" i="2"/>
  <c r="E1429" i="2"/>
  <c r="D1429" i="2"/>
  <c r="C1429" i="2"/>
  <c r="B1429" i="2"/>
  <c r="A1429" i="2"/>
  <c r="U1428" i="2"/>
  <c r="R1428" i="2"/>
  <c r="Q1428" i="2"/>
  <c r="O1428" i="2"/>
  <c r="M1428" i="2"/>
  <c r="L1428" i="2"/>
  <c r="K1428" i="2"/>
  <c r="J1428" i="2"/>
  <c r="G1428" i="2"/>
  <c r="F1428" i="2"/>
  <c r="E1428" i="2"/>
  <c r="D1428" i="2"/>
  <c r="C1428" i="2"/>
  <c r="B1428" i="2"/>
  <c r="A1428" i="2"/>
  <c r="U1427" i="2"/>
  <c r="R1427" i="2"/>
  <c r="Q1427" i="2"/>
  <c r="O1427" i="2"/>
  <c r="M1427" i="2"/>
  <c r="L1427" i="2"/>
  <c r="K1427" i="2"/>
  <c r="J1427" i="2"/>
  <c r="G1427" i="2"/>
  <c r="F1427" i="2"/>
  <c r="E1427" i="2"/>
  <c r="D1427" i="2"/>
  <c r="C1427" i="2"/>
  <c r="B1427" i="2"/>
  <c r="A1427" i="2"/>
  <c r="U1426" i="2"/>
  <c r="R1426" i="2"/>
  <c r="Q1426" i="2"/>
  <c r="P1426" i="2"/>
  <c r="O1426" i="2"/>
  <c r="N1426" i="2"/>
  <c r="M1426" i="2"/>
  <c r="L1426" i="2"/>
  <c r="K1426" i="2"/>
  <c r="J1426" i="2"/>
  <c r="I1426" i="2"/>
  <c r="H1426" i="2"/>
  <c r="G1426" i="2"/>
  <c r="F1426" i="2"/>
  <c r="E1426" i="2"/>
  <c r="D1426" i="2"/>
  <c r="C1426" i="2"/>
  <c r="B1426" i="2"/>
  <c r="A1426" i="2"/>
  <c r="U1425" i="2"/>
  <c r="R1425" i="2"/>
  <c r="Q1425" i="2"/>
  <c r="P1425" i="2"/>
  <c r="O1425" i="2"/>
  <c r="M1425" i="2"/>
  <c r="L1425" i="2"/>
  <c r="K1425" i="2"/>
  <c r="J1425" i="2"/>
  <c r="I1425" i="2"/>
  <c r="H1425" i="2"/>
  <c r="G1425" i="2"/>
  <c r="F1425" i="2"/>
  <c r="E1425" i="2"/>
  <c r="D1425" i="2"/>
  <c r="C1425" i="2"/>
  <c r="B1425" i="2"/>
  <c r="A1425" i="2"/>
  <c r="U1424" i="2"/>
  <c r="R1424" i="2"/>
  <c r="Q1424" i="2"/>
  <c r="P1424" i="2"/>
  <c r="O1424" i="2"/>
  <c r="M1424" i="2"/>
  <c r="L1424" i="2"/>
  <c r="K1424" i="2"/>
  <c r="J1424" i="2"/>
  <c r="I1424" i="2"/>
  <c r="H1424" i="2"/>
  <c r="G1424" i="2"/>
  <c r="F1424" i="2"/>
  <c r="E1424" i="2"/>
  <c r="D1424" i="2"/>
  <c r="C1424" i="2"/>
  <c r="B1424" i="2"/>
  <c r="A1424" i="2"/>
  <c r="U1423" i="2"/>
  <c r="R1423" i="2"/>
  <c r="Q1423" i="2"/>
  <c r="P1423" i="2"/>
  <c r="O1423" i="2"/>
  <c r="M1423" i="2"/>
  <c r="L1423" i="2"/>
  <c r="K1423" i="2"/>
  <c r="J1423" i="2"/>
  <c r="I1423" i="2"/>
  <c r="H1423" i="2"/>
  <c r="G1423" i="2"/>
  <c r="F1423" i="2"/>
  <c r="E1423" i="2"/>
  <c r="D1423" i="2"/>
  <c r="C1423" i="2"/>
  <c r="B1423" i="2"/>
  <c r="A1423" i="2"/>
  <c r="U1422" i="2"/>
  <c r="R1422" i="2"/>
  <c r="Q1422" i="2"/>
  <c r="P1422" i="2"/>
  <c r="O1422" i="2"/>
  <c r="M1422" i="2"/>
  <c r="L1422" i="2"/>
  <c r="K1422" i="2"/>
  <c r="J1422" i="2"/>
  <c r="I1422" i="2"/>
  <c r="H1422" i="2"/>
  <c r="G1422" i="2"/>
  <c r="F1422" i="2"/>
  <c r="E1422" i="2"/>
  <c r="D1422" i="2"/>
  <c r="C1422" i="2"/>
  <c r="B1422" i="2"/>
  <c r="A1422" i="2"/>
  <c r="U1421" i="2"/>
  <c r="R1421" i="2"/>
  <c r="Q1421" i="2"/>
  <c r="P1421" i="2"/>
  <c r="O1421" i="2"/>
  <c r="M1421" i="2"/>
  <c r="L1421" i="2"/>
  <c r="K1421" i="2"/>
  <c r="J1421" i="2"/>
  <c r="I1421" i="2"/>
  <c r="H1421" i="2"/>
  <c r="G1421" i="2"/>
  <c r="F1421" i="2"/>
  <c r="E1421" i="2"/>
  <c r="D1421" i="2"/>
  <c r="C1421" i="2"/>
  <c r="B1421" i="2"/>
  <c r="A1421" i="2"/>
  <c r="U1420" i="2"/>
  <c r="R1420" i="2"/>
  <c r="Q1420" i="2"/>
  <c r="P1420" i="2"/>
  <c r="O1420" i="2"/>
  <c r="M1420" i="2"/>
  <c r="L1420" i="2"/>
  <c r="K1420" i="2"/>
  <c r="J1420" i="2"/>
  <c r="I1420" i="2"/>
  <c r="H1420" i="2"/>
  <c r="G1420" i="2"/>
  <c r="F1420" i="2"/>
  <c r="E1420" i="2"/>
  <c r="D1420" i="2"/>
  <c r="C1420" i="2"/>
  <c r="B1420" i="2"/>
  <c r="A1420" i="2"/>
  <c r="R1419" i="2"/>
  <c r="Q1419" i="2"/>
  <c r="O1419" i="2"/>
  <c r="M1419" i="2"/>
  <c r="L1419" i="2"/>
  <c r="K1419" i="2"/>
  <c r="J1419" i="2"/>
  <c r="G1419" i="2"/>
  <c r="F1419" i="2"/>
  <c r="E1419" i="2"/>
  <c r="D1419" i="2"/>
  <c r="C1419" i="2"/>
  <c r="B1419" i="2"/>
  <c r="A1419" i="2"/>
  <c r="R1418" i="2"/>
  <c r="Q1418" i="2"/>
  <c r="P1418" i="2"/>
  <c r="O1418" i="2"/>
  <c r="M1418" i="2"/>
  <c r="L1418" i="2"/>
  <c r="K1418" i="2"/>
  <c r="J1418" i="2"/>
  <c r="I1418" i="2"/>
  <c r="H1418" i="2"/>
  <c r="G1418" i="2"/>
  <c r="F1418" i="2"/>
  <c r="E1418" i="2"/>
  <c r="D1418" i="2"/>
  <c r="C1418" i="2"/>
  <c r="B1418" i="2"/>
  <c r="A1418" i="2"/>
  <c r="U1417" i="2"/>
  <c r="R1417" i="2"/>
  <c r="Q1417" i="2"/>
  <c r="P1417" i="2"/>
  <c r="O1417" i="2"/>
  <c r="M1417" i="2"/>
  <c r="L1417" i="2"/>
  <c r="K1417" i="2"/>
  <c r="J1417" i="2"/>
  <c r="I1417" i="2"/>
  <c r="H1417" i="2"/>
  <c r="G1417" i="2"/>
  <c r="F1417" i="2"/>
  <c r="E1417" i="2"/>
  <c r="D1417" i="2"/>
  <c r="C1417" i="2"/>
  <c r="B1417" i="2"/>
  <c r="A1417" i="2"/>
  <c r="U1416" i="2"/>
  <c r="R1416" i="2"/>
  <c r="Q1416" i="2"/>
  <c r="P1416" i="2"/>
  <c r="O1416" i="2"/>
  <c r="M1416" i="2"/>
  <c r="L1416" i="2"/>
  <c r="K1416" i="2"/>
  <c r="J1416" i="2"/>
  <c r="I1416" i="2"/>
  <c r="H1416" i="2"/>
  <c r="G1416" i="2"/>
  <c r="F1416" i="2"/>
  <c r="E1416" i="2"/>
  <c r="D1416" i="2"/>
  <c r="C1416" i="2"/>
  <c r="B1416" i="2"/>
  <c r="A1416" i="2"/>
  <c r="U1415" i="2"/>
  <c r="R1415" i="2"/>
  <c r="Q1415" i="2"/>
  <c r="P1415" i="2"/>
  <c r="O1415" i="2"/>
  <c r="M1415" i="2"/>
  <c r="L1415" i="2"/>
  <c r="K1415" i="2"/>
  <c r="J1415" i="2"/>
  <c r="I1415" i="2"/>
  <c r="H1415" i="2"/>
  <c r="G1415" i="2"/>
  <c r="F1415" i="2"/>
  <c r="E1415" i="2"/>
  <c r="D1415" i="2"/>
  <c r="C1415" i="2"/>
  <c r="B1415" i="2"/>
  <c r="A1415" i="2"/>
  <c r="U1414" i="2"/>
  <c r="R1414" i="2"/>
  <c r="Q1414" i="2"/>
  <c r="P1414" i="2"/>
  <c r="O1414" i="2"/>
  <c r="M1414" i="2"/>
  <c r="L1414" i="2"/>
  <c r="K1414" i="2"/>
  <c r="J1414" i="2"/>
  <c r="I1414" i="2"/>
  <c r="H1414" i="2"/>
  <c r="G1414" i="2"/>
  <c r="F1414" i="2"/>
  <c r="E1414" i="2"/>
  <c r="D1414" i="2"/>
  <c r="C1414" i="2"/>
  <c r="B1414" i="2"/>
  <c r="A1414" i="2"/>
  <c r="U1413" i="2"/>
  <c r="R1413" i="2"/>
  <c r="Q1413" i="2"/>
  <c r="P1413" i="2"/>
  <c r="O1413" i="2"/>
  <c r="M1413" i="2"/>
  <c r="L1413" i="2"/>
  <c r="K1413" i="2"/>
  <c r="J1413" i="2"/>
  <c r="I1413" i="2"/>
  <c r="H1413" i="2"/>
  <c r="G1413" i="2"/>
  <c r="F1413" i="2"/>
  <c r="E1413" i="2"/>
  <c r="D1413" i="2"/>
  <c r="C1413" i="2"/>
  <c r="B1413" i="2"/>
  <c r="A1413" i="2"/>
  <c r="R1412" i="2"/>
  <c r="Q1412" i="2"/>
  <c r="P1412" i="2"/>
  <c r="O1412" i="2"/>
  <c r="M1412" i="2"/>
  <c r="L1412" i="2"/>
  <c r="K1412" i="2"/>
  <c r="J1412" i="2"/>
  <c r="I1412" i="2"/>
  <c r="H1412" i="2"/>
  <c r="G1412" i="2"/>
  <c r="F1412" i="2"/>
  <c r="E1412" i="2"/>
  <c r="D1412" i="2"/>
  <c r="C1412" i="2"/>
  <c r="B1412" i="2"/>
  <c r="A1412" i="2"/>
  <c r="R1411" i="2"/>
  <c r="Q1411" i="2"/>
  <c r="O1411" i="2"/>
  <c r="M1411" i="2"/>
  <c r="L1411" i="2"/>
  <c r="K1411" i="2"/>
  <c r="J1411" i="2"/>
  <c r="G1411" i="2"/>
  <c r="F1411" i="2"/>
  <c r="E1411" i="2"/>
  <c r="D1411" i="2"/>
  <c r="C1411" i="2"/>
  <c r="B1411" i="2"/>
  <c r="A1411" i="2"/>
  <c r="R1410" i="2"/>
  <c r="Q1410" i="2"/>
  <c r="P1410" i="2"/>
  <c r="O1410" i="2"/>
  <c r="M1410" i="2"/>
  <c r="L1410" i="2"/>
  <c r="K1410" i="2"/>
  <c r="J1410" i="2"/>
  <c r="I1410" i="2"/>
  <c r="H1410" i="2"/>
  <c r="G1410" i="2"/>
  <c r="F1410" i="2"/>
  <c r="E1410" i="2"/>
  <c r="D1410" i="2"/>
  <c r="C1410" i="2"/>
  <c r="B1410" i="2"/>
  <c r="A1410" i="2"/>
  <c r="R1409" i="2"/>
  <c r="Q1409" i="2"/>
  <c r="P1409" i="2"/>
  <c r="O1409" i="2"/>
  <c r="M1409" i="2"/>
  <c r="L1409" i="2"/>
  <c r="K1409" i="2"/>
  <c r="J1409" i="2"/>
  <c r="I1409" i="2"/>
  <c r="H1409" i="2"/>
  <c r="G1409" i="2"/>
  <c r="F1409" i="2"/>
  <c r="E1409" i="2"/>
  <c r="D1409" i="2"/>
  <c r="C1409" i="2"/>
  <c r="B1409" i="2"/>
  <c r="A1409" i="2"/>
  <c r="R1408" i="2"/>
  <c r="Q1408" i="2"/>
  <c r="P1408" i="2"/>
  <c r="O1408" i="2"/>
  <c r="M1408" i="2"/>
  <c r="L1408" i="2"/>
  <c r="K1408" i="2"/>
  <c r="J1408" i="2"/>
  <c r="I1408" i="2"/>
  <c r="H1408" i="2"/>
  <c r="G1408" i="2"/>
  <c r="F1408" i="2"/>
  <c r="E1408" i="2"/>
  <c r="D1408" i="2"/>
  <c r="C1408" i="2"/>
  <c r="B1408" i="2"/>
  <c r="A1408" i="2"/>
  <c r="R1407" i="2"/>
  <c r="Q1407" i="2"/>
  <c r="P1407" i="2"/>
  <c r="O1407" i="2"/>
  <c r="M1407" i="2"/>
  <c r="L1407" i="2"/>
  <c r="K1407" i="2"/>
  <c r="J1407" i="2"/>
  <c r="I1407" i="2"/>
  <c r="H1407" i="2"/>
  <c r="G1407" i="2"/>
  <c r="F1407" i="2"/>
  <c r="E1407" i="2"/>
  <c r="D1407" i="2"/>
  <c r="C1407" i="2"/>
  <c r="B1407" i="2"/>
  <c r="A1407" i="2"/>
  <c r="U1406" i="2"/>
  <c r="R1406" i="2"/>
  <c r="Q1406" i="2"/>
  <c r="O1406" i="2"/>
  <c r="M1406" i="2"/>
  <c r="L1406" i="2"/>
  <c r="K1406" i="2"/>
  <c r="J1406" i="2"/>
  <c r="G1406" i="2"/>
  <c r="F1406" i="2"/>
  <c r="E1406" i="2"/>
  <c r="D1406" i="2"/>
  <c r="C1406" i="2"/>
  <c r="B1406" i="2"/>
  <c r="A1406" i="2"/>
  <c r="U1405" i="2"/>
  <c r="R1405" i="2"/>
  <c r="Q1405" i="2"/>
  <c r="O1405" i="2"/>
  <c r="M1405" i="2"/>
  <c r="L1405" i="2"/>
  <c r="K1405" i="2"/>
  <c r="J1405" i="2"/>
  <c r="G1405" i="2"/>
  <c r="F1405" i="2"/>
  <c r="E1405" i="2"/>
  <c r="D1405" i="2"/>
  <c r="C1405" i="2"/>
  <c r="B1405" i="2"/>
  <c r="A1405" i="2"/>
  <c r="U1404" i="2"/>
  <c r="R1404" i="2"/>
  <c r="Q1404" i="2"/>
  <c r="O1404" i="2"/>
  <c r="M1404" i="2"/>
  <c r="L1404" i="2"/>
  <c r="K1404" i="2"/>
  <c r="J1404" i="2"/>
  <c r="G1404" i="2"/>
  <c r="F1404" i="2"/>
  <c r="E1404" i="2"/>
  <c r="D1404" i="2"/>
  <c r="C1404" i="2"/>
  <c r="B1404" i="2"/>
  <c r="A1404" i="2"/>
  <c r="U1403" i="2"/>
  <c r="R1403" i="2"/>
  <c r="Q1403" i="2"/>
  <c r="P1403" i="2"/>
  <c r="O1403" i="2"/>
  <c r="M1403" i="2"/>
  <c r="L1403" i="2"/>
  <c r="K1403" i="2"/>
  <c r="J1403" i="2"/>
  <c r="I1403" i="2"/>
  <c r="H1403" i="2"/>
  <c r="G1403" i="2"/>
  <c r="F1403" i="2"/>
  <c r="E1403" i="2"/>
  <c r="D1403" i="2"/>
  <c r="C1403" i="2"/>
  <c r="B1403" i="2"/>
  <c r="A1403" i="2"/>
  <c r="R1402" i="2"/>
  <c r="Q1402" i="2"/>
  <c r="O1402" i="2"/>
  <c r="M1402" i="2"/>
  <c r="L1402" i="2"/>
  <c r="K1402" i="2"/>
  <c r="J1402" i="2"/>
  <c r="G1402" i="2"/>
  <c r="F1402" i="2"/>
  <c r="E1402" i="2"/>
  <c r="D1402" i="2"/>
  <c r="C1402" i="2"/>
  <c r="B1402" i="2"/>
  <c r="A1402" i="2"/>
  <c r="R1401" i="2"/>
  <c r="Q1401" i="2"/>
  <c r="P1401" i="2"/>
  <c r="O1401" i="2"/>
  <c r="M1401" i="2"/>
  <c r="L1401" i="2"/>
  <c r="K1401" i="2"/>
  <c r="J1401" i="2"/>
  <c r="I1401" i="2"/>
  <c r="H1401" i="2"/>
  <c r="G1401" i="2"/>
  <c r="F1401" i="2"/>
  <c r="E1401" i="2"/>
  <c r="D1401" i="2"/>
  <c r="C1401" i="2"/>
  <c r="B1401" i="2"/>
  <c r="A1401" i="2"/>
  <c r="R1400" i="2"/>
  <c r="Q1400" i="2"/>
  <c r="P1400" i="2"/>
  <c r="O1400" i="2"/>
  <c r="M1400" i="2"/>
  <c r="L1400" i="2"/>
  <c r="K1400" i="2"/>
  <c r="J1400" i="2"/>
  <c r="I1400" i="2"/>
  <c r="H1400" i="2"/>
  <c r="G1400" i="2"/>
  <c r="F1400" i="2"/>
  <c r="E1400" i="2"/>
  <c r="D1400" i="2"/>
  <c r="C1400" i="2"/>
  <c r="B1400" i="2"/>
  <c r="A1400" i="2"/>
  <c r="R1399" i="2"/>
  <c r="Q1399" i="2"/>
  <c r="O1399" i="2"/>
  <c r="M1399" i="2"/>
  <c r="L1399" i="2"/>
  <c r="K1399" i="2"/>
  <c r="J1399" i="2"/>
  <c r="G1399" i="2"/>
  <c r="F1399" i="2"/>
  <c r="E1399" i="2"/>
  <c r="D1399" i="2"/>
  <c r="C1399" i="2"/>
  <c r="B1399" i="2"/>
  <c r="A1399" i="2"/>
  <c r="U1398" i="2"/>
  <c r="R1398" i="2"/>
  <c r="Q1398" i="2"/>
  <c r="P1398" i="2"/>
  <c r="O1398" i="2"/>
  <c r="N1398" i="2"/>
  <c r="M1398" i="2"/>
  <c r="L1398" i="2"/>
  <c r="K1398" i="2"/>
  <c r="J1398" i="2"/>
  <c r="I1398" i="2"/>
  <c r="H1398" i="2"/>
  <c r="G1398" i="2"/>
  <c r="F1398" i="2"/>
  <c r="E1398" i="2"/>
  <c r="D1398" i="2"/>
  <c r="C1398" i="2"/>
  <c r="B1398" i="2"/>
  <c r="A1398" i="2"/>
  <c r="U1397" i="2"/>
  <c r="R1397" i="2"/>
  <c r="Q1397" i="2"/>
  <c r="O1397" i="2"/>
  <c r="M1397" i="2"/>
  <c r="L1397" i="2"/>
  <c r="K1397" i="2"/>
  <c r="J1397" i="2"/>
  <c r="G1397" i="2"/>
  <c r="F1397" i="2"/>
  <c r="E1397" i="2"/>
  <c r="D1397" i="2"/>
  <c r="C1397" i="2"/>
  <c r="B1397" i="2"/>
  <c r="A1397" i="2"/>
  <c r="U1396" i="2"/>
  <c r="R1396" i="2"/>
  <c r="Q1396" i="2"/>
  <c r="O1396" i="2"/>
  <c r="M1396" i="2"/>
  <c r="L1396" i="2"/>
  <c r="K1396" i="2"/>
  <c r="J1396" i="2"/>
  <c r="G1396" i="2"/>
  <c r="F1396" i="2"/>
  <c r="E1396" i="2"/>
  <c r="D1396" i="2"/>
  <c r="C1396" i="2"/>
  <c r="B1396" i="2"/>
  <c r="A1396" i="2"/>
  <c r="U1395" i="2"/>
  <c r="R1395" i="2"/>
  <c r="Q1395" i="2"/>
  <c r="P1395" i="2"/>
  <c r="O1395" i="2"/>
  <c r="M1395" i="2"/>
  <c r="L1395" i="2"/>
  <c r="K1395" i="2"/>
  <c r="J1395" i="2"/>
  <c r="I1395" i="2"/>
  <c r="H1395" i="2"/>
  <c r="G1395" i="2"/>
  <c r="F1395" i="2"/>
  <c r="E1395" i="2"/>
  <c r="D1395" i="2"/>
  <c r="C1395" i="2"/>
  <c r="B1395" i="2"/>
  <c r="A1395" i="2"/>
  <c r="U1394" i="2"/>
  <c r="R1394" i="2"/>
  <c r="Q1394" i="2"/>
  <c r="O1394" i="2"/>
  <c r="M1394" i="2"/>
  <c r="L1394" i="2"/>
  <c r="K1394" i="2"/>
  <c r="J1394" i="2"/>
  <c r="G1394" i="2"/>
  <c r="F1394" i="2"/>
  <c r="E1394" i="2"/>
  <c r="D1394" i="2"/>
  <c r="C1394" i="2"/>
  <c r="B1394" i="2"/>
  <c r="A1394" i="2"/>
  <c r="R1393" i="2"/>
  <c r="Q1393" i="2"/>
  <c r="P1393" i="2"/>
  <c r="O1393" i="2"/>
  <c r="M1393" i="2"/>
  <c r="L1393" i="2"/>
  <c r="K1393" i="2"/>
  <c r="J1393" i="2"/>
  <c r="I1393" i="2"/>
  <c r="H1393" i="2"/>
  <c r="G1393" i="2"/>
  <c r="F1393" i="2"/>
  <c r="E1393" i="2"/>
  <c r="D1393" i="2"/>
  <c r="C1393" i="2"/>
  <c r="B1393" i="2"/>
  <c r="A1393" i="2"/>
  <c r="R1392" i="2"/>
  <c r="Q1392" i="2"/>
  <c r="O1392" i="2"/>
  <c r="M1392" i="2"/>
  <c r="L1392" i="2"/>
  <c r="K1392" i="2"/>
  <c r="J1392" i="2"/>
  <c r="G1392" i="2"/>
  <c r="F1392" i="2"/>
  <c r="E1392" i="2"/>
  <c r="D1392" i="2"/>
  <c r="C1392" i="2"/>
  <c r="B1392" i="2"/>
  <c r="A1392" i="2"/>
  <c r="R1391" i="2"/>
  <c r="Q1391" i="2"/>
  <c r="P1391" i="2"/>
  <c r="O1391" i="2"/>
  <c r="N1391" i="2"/>
  <c r="M1391" i="2"/>
  <c r="L1391" i="2"/>
  <c r="K1391" i="2"/>
  <c r="J1391" i="2"/>
  <c r="I1391" i="2"/>
  <c r="H1391" i="2"/>
  <c r="G1391" i="2"/>
  <c r="F1391" i="2"/>
  <c r="E1391" i="2"/>
  <c r="D1391" i="2"/>
  <c r="C1391" i="2"/>
  <c r="B1391" i="2"/>
  <c r="A1391" i="2"/>
  <c r="R1390" i="2"/>
  <c r="Q1390" i="2"/>
  <c r="O1390" i="2"/>
  <c r="M1390" i="2"/>
  <c r="L1390" i="2"/>
  <c r="K1390" i="2"/>
  <c r="J1390" i="2"/>
  <c r="G1390" i="2"/>
  <c r="F1390" i="2"/>
  <c r="E1390" i="2"/>
  <c r="D1390" i="2"/>
  <c r="C1390" i="2"/>
  <c r="B1390" i="2"/>
  <c r="A1390" i="2"/>
  <c r="R1389" i="2"/>
  <c r="Q1389" i="2"/>
  <c r="O1389" i="2"/>
  <c r="M1389" i="2"/>
  <c r="L1389" i="2"/>
  <c r="K1389" i="2"/>
  <c r="J1389" i="2"/>
  <c r="G1389" i="2"/>
  <c r="F1389" i="2"/>
  <c r="E1389" i="2"/>
  <c r="D1389" i="2"/>
  <c r="C1389" i="2"/>
  <c r="B1389" i="2"/>
  <c r="A1389" i="2"/>
  <c r="R1388" i="2"/>
  <c r="Q1388" i="2"/>
  <c r="P1388" i="2"/>
  <c r="O1388" i="2"/>
  <c r="M1388" i="2"/>
  <c r="L1388" i="2"/>
  <c r="K1388" i="2"/>
  <c r="J1388" i="2"/>
  <c r="I1388" i="2"/>
  <c r="H1388" i="2"/>
  <c r="G1388" i="2"/>
  <c r="F1388" i="2"/>
  <c r="E1388" i="2"/>
  <c r="D1388" i="2"/>
  <c r="C1388" i="2"/>
  <c r="B1388" i="2"/>
  <c r="A1388" i="2"/>
  <c r="R1387" i="2"/>
  <c r="Q1387" i="2"/>
  <c r="P1387" i="2"/>
  <c r="O1387" i="2"/>
  <c r="M1387" i="2"/>
  <c r="L1387" i="2"/>
  <c r="K1387" i="2"/>
  <c r="J1387" i="2"/>
  <c r="I1387" i="2"/>
  <c r="H1387" i="2"/>
  <c r="G1387" i="2"/>
  <c r="F1387" i="2"/>
  <c r="E1387" i="2"/>
  <c r="D1387" i="2"/>
  <c r="C1387" i="2"/>
  <c r="B1387" i="2"/>
  <c r="A1387" i="2"/>
  <c r="R1386" i="2"/>
  <c r="Q1386" i="2"/>
  <c r="P1386" i="2"/>
  <c r="O1386" i="2"/>
  <c r="M1386" i="2"/>
  <c r="L1386" i="2"/>
  <c r="K1386" i="2"/>
  <c r="J1386" i="2"/>
  <c r="I1386" i="2"/>
  <c r="H1386" i="2"/>
  <c r="G1386" i="2"/>
  <c r="F1386" i="2"/>
  <c r="E1386" i="2"/>
  <c r="D1386" i="2"/>
  <c r="C1386" i="2"/>
  <c r="B1386" i="2"/>
  <c r="A1386" i="2"/>
  <c r="R1385" i="2"/>
  <c r="Q1385" i="2"/>
  <c r="P1385" i="2"/>
  <c r="O1385" i="2"/>
  <c r="M1385" i="2"/>
  <c r="L1385" i="2"/>
  <c r="K1385" i="2"/>
  <c r="J1385" i="2"/>
  <c r="I1385" i="2"/>
  <c r="H1385" i="2"/>
  <c r="G1385" i="2"/>
  <c r="F1385" i="2"/>
  <c r="E1385" i="2"/>
  <c r="D1385" i="2"/>
  <c r="C1385" i="2"/>
  <c r="B1385" i="2"/>
  <c r="A1385" i="2"/>
  <c r="R1384" i="2"/>
  <c r="Q1384" i="2"/>
  <c r="P1384" i="2"/>
  <c r="O1384" i="2"/>
  <c r="M1384" i="2"/>
  <c r="L1384" i="2"/>
  <c r="K1384" i="2"/>
  <c r="J1384" i="2"/>
  <c r="I1384" i="2"/>
  <c r="H1384" i="2"/>
  <c r="G1384" i="2"/>
  <c r="F1384" i="2"/>
  <c r="E1384" i="2"/>
  <c r="D1384" i="2"/>
  <c r="C1384" i="2"/>
  <c r="B1384" i="2"/>
  <c r="A1384" i="2"/>
  <c r="R1383" i="2"/>
  <c r="Q1383" i="2"/>
  <c r="P1383" i="2"/>
  <c r="O1383" i="2"/>
  <c r="M1383" i="2"/>
  <c r="L1383" i="2"/>
  <c r="K1383" i="2"/>
  <c r="J1383" i="2"/>
  <c r="I1383" i="2"/>
  <c r="H1383" i="2"/>
  <c r="G1383" i="2"/>
  <c r="F1383" i="2"/>
  <c r="E1383" i="2"/>
  <c r="D1383" i="2"/>
  <c r="C1383" i="2"/>
  <c r="B1383" i="2"/>
  <c r="A1383" i="2"/>
  <c r="R1382" i="2"/>
  <c r="Q1382" i="2"/>
  <c r="P1382" i="2"/>
  <c r="O1382" i="2"/>
  <c r="M1382" i="2"/>
  <c r="L1382" i="2"/>
  <c r="K1382" i="2"/>
  <c r="J1382" i="2"/>
  <c r="I1382" i="2"/>
  <c r="H1382" i="2"/>
  <c r="G1382" i="2"/>
  <c r="F1382" i="2"/>
  <c r="E1382" i="2"/>
  <c r="D1382" i="2"/>
  <c r="C1382" i="2"/>
  <c r="B1382" i="2"/>
  <c r="A1382" i="2"/>
  <c r="R1381" i="2"/>
  <c r="Q1381" i="2"/>
  <c r="P1381" i="2"/>
  <c r="O1381" i="2"/>
  <c r="M1381" i="2"/>
  <c r="L1381" i="2"/>
  <c r="K1381" i="2"/>
  <c r="J1381" i="2"/>
  <c r="I1381" i="2"/>
  <c r="H1381" i="2"/>
  <c r="G1381" i="2"/>
  <c r="F1381" i="2"/>
  <c r="E1381" i="2"/>
  <c r="D1381" i="2"/>
  <c r="C1381" i="2"/>
  <c r="B1381" i="2"/>
  <c r="A1381" i="2"/>
  <c r="R1380" i="2"/>
  <c r="Q1380" i="2"/>
  <c r="P1380" i="2"/>
  <c r="O1380" i="2"/>
  <c r="M1380" i="2"/>
  <c r="L1380" i="2"/>
  <c r="K1380" i="2"/>
  <c r="J1380" i="2"/>
  <c r="I1380" i="2"/>
  <c r="H1380" i="2"/>
  <c r="G1380" i="2"/>
  <c r="F1380" i="2"/>
  <c r="E1380" i="2"/>
  <c r="D1380" i="2"/>
  <c r="C1380" i="2"/>
  <c r="B1380" i="2"/>
  <c r="A1380" i="2"/>
  <c r="R1379" i="2"/>
  <c r="Q1379" i="2"/>
  <c r="P1379" i="2"/>
  <c r="O1379" i="2"/>
  <c r="M1379" i="2"/>
  <c r="L1379" i="2"/>
  <c r="K1379" i="2"/>
  <c r="J1379" i="2"/>
  <c r="I1379" i="2"/>
  <c r="H1379" i="2"/>
  <c r="G1379" i="2"/>
  <c r="F1379" i="2"/>
  <c r="E1379" i="2"/>
  <c r="D1379" i="2"/>
  <c r="C1379" i="2"/>
  <c r="B1379" i="2"/>
  <c r="A1379" i="2"/>
  <c r="R1378" i="2"/>
  <c r="Q1378" i="2"/>
  <c r="P1378" i="2"/>
  <c r="O1378" i="2"/>
  <c r="M1378" i="2"/>
  <c r="L1378" i="2"/>
  <c r="K1378" i="2"/>
  <c r="J1378" i="2"/>
  <c r="I1378" i="2"/>
  <c r="H1378" i="2"/>
  <c r="G1378" i="2"/>
  <c r="F1378" i="2"/>
  <c r="E1378" i="2"/>
  <c r="D1378" i="2"/>
  <c r="C1378" i="2"/>
  <c r="B1378" i="2"/>
  <c r="A1378" i="2"/>
  <c r="R1377" i="2"/>
  <c r="Q1377" i="2"/>
  <c r="P1377" i="2"/>
  <c r="O1377" i="2"/>
  <c r="M1377" i="2"/>
  <c r="L1377" i="2"/>
  <c r="K1377" i="2"/>
  <c r="J1377" i="2"/>
  <c r="I1377" i="2"/>
  <c r="H1377" i="2"/>
  <c r="G1377" i="2"/>
  <c r="F1377" i="2"/>
  <c r="E1377" i="2"/>
  <c r="D1377" i="2"/>
  <c r="C1377" i="2"/>
  <c r="B1377" i="2"/>
  <c r="A1377" i="2"/>
  <c r="R1376" i="2"/>
  <c r="Q1376" i="2"/>
  <c r="P1376" i="2"/>
  <c r="O1376" i="2"/>
  <c r="M1376" i="2"/>
  <c r="L1376" i="2"/>
  <c r="K1376" i="2"/>
  <c r="J1376" i="2"/>
  <c r="I1376" i="2"/>
  <c r="H1376" i="2"/>
  <c r="G1376" i="2"/>
  <c r="F1376" i="2"/>
  <c r="E1376" i="2"/>
  <c r="D1376" i="2"/>
  <c r="C1376" i="2"/>
  <c r="B1376" i="2"/>
  <c r="A1376" i="2"/>
  <c r="R1375" i="2"/>
  <c r="Q1375" i="2"/>
  <c r="P1375" i="2"/>
  <c r="O1375" i="2"/>
  <c r="M1375" i="2"/>
  <c r="L1375" i="2"/>
  <c r="K1375" i="2"/>
  <c r="J1375" i="2"/>
  <c r="I1375" i="2"/>
  <c r="H1375" i="2"/>
  <c r="G1375" i="2"/>
  <c r="F1375" i="2"/>
  <c r="E1375" i="2"/>
  <c r="D1375" i="2"/>
  <c r="C1375" i="2"/>
  <c r="B1375" i="2"/>
  <c r="A1375" i="2"/>
  <c r="U1374" i="2"/>
  <c r="R1374" i="2"/>
  <c r="Q1374" i="2"/>
  <c r="P1374" i="2"/>
  <c r="O1374" i="2"/>
  <c r="M1374" i="2"/>
  <c r="L1374" i="2"/>
  <c r="K1374" i="2"/>
  <c r="J1374" i="2"/>
  <c r="I1374" i="2"/>
  <c r="H1374" i="2"/>
  <c r="G1374" i="2"/>
  <c r="F1374" i="2"/>
  <c r="E1374" i="2"/>
  <c r="D1374" i="2"/>
  <c r="C1374" i="2"/>
  <c r="B1374" i="2"/>
  <c r="A1374" i="2"/>
  <c r="U1373" i="2"/>
  <c r="R1373" i="2"/>
  <c r="Q1373" i="2"/>
  <c r="P1373" i="2"/>
  <c r="O1373" i="2"/>
  <c r="M1373" i="2"/>
  <c r="L1373" i="2"/>
  <c r="K1373" i="2"/>
  <c r="J1373" i="2"/>
  <c r="I1373" i="2"/>
  <c r="H1373" i="2"/>
  <c r="G1373" i="2"/>
  <c r="F1373" i="2"/>
  <c r="E1373" i="2"/>
  <c r="D1373" i="2"/>
  <c r="C1373" i="2"/>
  <c r="B1373" i="2"/>
  <c r="A1373" i="2"/>
  <c r="U1372" i="2"/>
  <c r="R1372" i="2"/>
  <c r="Q1372" i="2"/>
  <c r="P1372" i="2"/>
  <c r="O1372" i="2"/>
  <c r="M1372" i="2"/>
  <c r="L1372" i="2"/>
  <c r="K1372" i="2"/>
  <c r="J1372" i="2"/>
  <c r="I1372" i="2"/>
  <c r="H1372" i="2"/>
  <c r="G1372" i="2"/>
  <c r="F1372" i="2"/>
  <c r="E1372" i="2"/>
  <c r="D1372" i="2"/>
  <c r="C1372" i="2"/>
  <c r="B1372" i="2"/>
  <c r="A1372" i="2"/>
  <c r="U1371" i="2"/>
  <c r="R1371" i="2"/>
  <c r="Q1371" i="2"/>
  <c r="P1371" i="2"/>
  <c r="O1371" i="2"/>
  <c r="M1371" i="2"/>
  <c r="L1371" i="2"/>
  <c r="K1371" i="2"/>
  <c r="J1371" i="2"/>
  <c r="I1371" i="2"/>
  <c r="H1371" i="2"/>
  <c r="G1371" i="2"/>
  <c r="F1371" i="2"/>
  <c r="E1371" i="2"/>
  <c r="D1371" i="2"/>
  <c r="C1371" i="2"/>
  <c r="B1371" i="2"/>
  <c r="A1371" i="2"/>
  <c r="R1370" i="2"/>
  <c r="Q1370" i="2"/>
  <c r="O1370" i="2"/>
  <c r="M1370" i="2"/>
  <c r="L1370" i="2"/>
  <c r="K1370" i="2"/>
  <c r="J1370" i="2"/>
  <c r="G1370" i="2"/>
  <c r="F1370" i="2"/>
  <c r="E1370" i="2"/>
  <c r="D1370" i="2"/>
  <c r="C1370" i="2"/>
  <c r="B1370" i="2"/>
  <c r="A1370" i="2"/>
  <c r="U1369" i="2"/>
  <c r="R1369" i="2"/>
  <c r="Q1369" i="2"/>
  <c r="P1369" i="2"/>
  <c r="O1369" i="2"/>
  <c r="M1369" i="2"/>
  <c r="L1369" i="2"/>
  <c r="K1369" i="2"/>
  <c r="J1369" i="2"/>
  <c r="I1369" i="2"/>
  <c r="H1369" i="2"/>
  <c r="G1369" i="2"/>
  <c r="F1369" i="2"/>
  <c r="E1369" i="2"/>
  <c r="D1369" i="2"/>
  <c r="C1369" i="2"/>
  <c r="B1369" i="2"/>
  <c r="A1369" i="2"/>
  <c r="R1368" i="2"/>
  <c r="Q1368" i="2"/>
  <c r="P1368" i="2"/>
  <c r="O1368" i="2"/>
  <c r="M1368" i="2"/>
  <c r="L1368" i="2"/>
  <c r="K1368" i="2"/>
  <c r="J1368" i="2"/>
  <c r="I1368" i="2"/>
  <c r="H1368" i="2"/>
  <c r="G1368" i="2"/>
  <c r="F1368" i="2"/>
  <c r="E1368" i="2"/>
  <c r="D1368" i="2"/>
  <c r="C1368" i="2"/>
  <c r="B1368" i="2"/>
  <c r="A1368" i="2"/>
  <c r="R1367" i="2"/>
  <c r="Q1367" i="2"/>
  <c r="P1367" i="2"/>
  <c r="O1367" i="2"/>
  <c r="M1367" i="2"/>
  <c r="L1367" i="2"/>
  <c r="K1367" i="2"/>
  <c r="J1367" i="2"/>
  <c r="I1367" i="2"/>
  <c r="H1367" i="2"/>
  <c r="G1367" i="2"/>
  <c r="F1367" i="2"/>
  <c r="E1367" i="2"/>
  <c r="D1367" i="2"/>
  <c r="C1367" i="2"/>
  <c r="B1367" i="2"/>
  <c r="A1367" i="2"/>
  <c r="R1366" i="2"/>
  <c r="Q1366" i="2"/>
  <c r="P1366" i="2"/>
  <c r="O1366" i="2"/>
  <c r="M1366" i="2"/>
  <c r="L1366" i="2"/>
  <c r="K1366" i="2"/>
  <c r="J1366" i="2"/>
  <c r="I1366" i="2"/>
  <c r="H1366" i="2"/>
  <c r="G1366" i="2"/>
  <c r="F1366" i="2"/>
  <c r="E1366" i="2"/>
  <c r="D1366" i="2"/>
  <c r="C1366" i="2"/>
  <c r="B1366" i="2"/>
  <c r="A1366" i="2"/>
  <c r="U1365" i="2"/>
  <c r="R1365" i="2"/>
  <c r="Q1365" i="2"/>
  <c r="P1365" i="2"/>
  <c r="O1365" i="2"/>
  <c r="M1365" i="2"/>
  <c r="L1365" i="2"/>
  <c r="K1365" i="2"/>
  <c r="J1365" i="2"/>
  <c r="I1365" i="2"/>
  <c r="H1365" i="2"/>
  <c r="G1365" i="2"/>
  <c r="F1365" i="2"/>
  <c r="E1365" i="2"/>
  <c r="D1365" i="2"/>
  <c r="C1365" i="2"/>
  <c r="B1365" i="2"/>
  <c r="A1365" i="2"/>
  <c r="U1364" i="2"/>
  <c r="R1364" i="2"/>
  <c r="Q1364" i="2"/>
  <c r="O1364" i="2"/>
  <c r="M1364" i="2"/>
  <c r="L1364" i="2"/>
  <c r="K1364" i="2"/>
  <c r="J1364" i="2"/>
  <c r="G1364" i="2"/>
  <c r="F1364" i="2"/>
  <c r="E1364" i="2"/>
  <c r="D1364" i="2"/>
  <c r="C1364" i="2"/>
  <c r="B1364" i="2"/>
  <c r="A1364" i="2"/>
  <c r="U1363" i="2"/>
  <c r="R1363" i="2"/>
  <c r="Q1363" i="2"/>
  <c r="P1363" i="2"/>
  <c r="O1363" i="2"/>
  <c r="M1363" i="2"/>
  <c r="L1363" i="2"/>
  <c r="K1363" i="2"/>
  <c r="J1363" i="2"/>
  <c r="I1363" i="2"/>
  <c r="H1363" i="2"/>
  <c r="G1363" i="2"/>
  <c r="F1363" i="2"/>
  <c r="E1363" i="2"/>
  <c r="D1363" i="2"/>
  <c r="C1363" i="2"/>
  <c r="B1363" i="2"/>
  <c r="A1363" i="2"/>
  <c r="U1362" i="2"/>
  <c r="R1362" i="2"/>
  <c r="Q1362" i="2"/>
  <c r="P1362" i="2"/>
  <c r="O1362" i="2"/>
  <c r="M1362" i="2"/>
  <c r="L1362" i="2"/>
  <c r="K1362" i="2"/>
  <c r="J1362" i="2"/>
  <c r="I1362" i="2"/>
  <c r="H1362" i="2"/>
  <c r="G1362" i="2"/>
  <c r="F1362" i="2"/>
  <c r="E1362" i="2"/>
  <c r="D1362" i="2"/>
  <c r="C1362" i="2"/>
  <c r="B1362" i="2"/>
  <c r="A1362" i="2"/>
  <c r="U1361" i="2"/>
  <c r="R1361" i="2"/>
  <c r="Q1361" i="2"/>
  <c r="P1361" i="2"/>
  <c r="O1361" i="2"/>
  <c r="M1361" i="2"/>
  <c r="L1361" i="2"/>
  <c r="K1361" i="2"/>
  <c r="J1361" i="2"/>
  <c r="I1361" i="2"/>
  <c r="H1361" i="2"/>
  <c r="G1361" i="2"/>
  <c r="F1361" i="2"/>
  <c r="E1361" i="2"/>
  <c r="D1361" i="2"/>
  <c r="C1361" i="2"/>
  <c r="B1361" i="2"/>
  <c r="A1361" i="2"/>
  <c r="U1360" i="2"/>
  <c r="R1360" i="2"/>
  <c r="Q1360" i="2"/>
  <c r="P1360" i="2"/>
  <c r="O1360" i="2"/>
  <c r="M1360" i="2"/>
  <c r="L1360" i="2"/>
  <c r="K1360" i="2"/>
  <c r="J1360" i="2"/>
  <c r="I1360" i="2"/>
  <c r="H1360" i="2"/>
  <c r="G1360" i="2"/>
  <c r="F1360" i="2"/>
  <c r="E1360" i="2"/>
  <c r="D1360" i="2"/>
  <c r="C1360" i="2"/>
  <c r="B1360" i="2"/>
  <c r="A1360" i="2"/>
  <c r="U1359" i="2"/>
  <c r="R1359" i="2"/>
  <c r="Q1359" i="2"/>
  <c r="P1359" i="2"/>
  <c r="O1359" i="2"/>
  <c r="M1359" i="2"/>
  <c r="L1359" i="2"/>
  <c r="K1359" i="2"/>
  <c r="J1359" i="2"/>
  <c r="I1359" i="2"/>
  <c r="H1359" i="2"/>
  <c r="G1359" i="2"/>
  <c r="F1359" i="2"/>
  <c r="E1359" i="2"/>
  <c r="D1359" i="2"/>
  <c r="C1359" i="2"/>
  <c r="B1359" i="2"/>
  <c r="A1359" i="2"/>
  <c r="R1358" i="2"/>
  <c r="Q1358" i="2"/>
  <c r="O1358" i="2"/>
  <c r="M1358" i="2"/>
  <c r="L1358" i="2"/>
  <c r="K1358" i="2"/>
  <c r="J1358" i="2"/>
  <c r="I1358" i="2"/>
  <c r="G1358" i="2"/>
  <c r="F1358" i="2"/>
  <c r="E1358" i="2"/>
  <c r="D1358" i="2"/>
  <c r="C1358" i="2"/>
  <c r="B1358" i="2"/>
  <c r="A1358" i="2"/>
  <c r="R1357" i="2"/>
  <c r="Q1357" i="2"/>
  <c r="P1357" i="2"/>
  <c r="O1357" i="2"/>
  <c r="N1357" i="2"/>
  <c r="M1357" i="2"/>
  <c r="L1357" i="2"/>
  <c r="K1357" i="2"/>
  <c r="J1357" i="2"/>
  <c r="I1357" i="2"/>
  <c r="H1357" i="2"/>
  <c r="G1357" i="2"/>
  <c r="F1357" i="2"/>
  <c r="E1357" i="2"/>
  <c r="D1357" i="2"/>
  <c r="C1357" i="2"/>
  <c r="B1357" i="2"/>
  <c r="A1357" i="2"/>
  <c r="R1356" i="2"/>
  <c r="Q1356" i="2"/>
  <c r="P1356" i="2"/>
  <c r="O1356" i="2"/>
  <c r="N1356" i="2"/>
  <c r="M1356" i="2"/>
  <c r="L1356" i="2"/>
  <c r="K1356" i="2"/>
  <c r="J1356" i="2"/>
  <c r="I1356" i="2"/>
  <c r="H1356" i="2"/>
  <c r="G1356" i="2"/>
  <c r="F1356" i="2"/>
  <c r="E1356" i="2"/>
  <c r="D1356" i="2"/>
  <c r="C1356" i="2"/>
  <c r="B1356" i="2"/>
  <c r="A1356" i="2"/>
  <c r="U1355" i="2"/>
  <c r="R1355" i="2"/>
  <c r="Q1355" i="2"/>
  <c r="O1355" i="2"/>
  <c r="N1355" i="2"/>
  <c r="M1355" i="2"/>
  <c r="L1355" i="2"/>
  <c r="K1355" i="2"/>
  <c r="F1355" i="2"/>
  <c r="E1355" i="2"/>
  <c r="D1355" i="2"/>
  <c r="C1355" i="2"/>
  <c r="B1355" i="2"/>
  <c r="A1355" i="2"/>
  <c r="U1354" i="2"/>
  <c r="R1354" i="2"/>
  <c r="Q1354" i="2"/>
  <c r="O1354" i="2"/>
  <c r="N1354" i="2"/>
  <c r="M1354" i="2"/>
  <c r="L1354" i="2"/>
  <c r="K1354" i="2"/>
  <c r="F1354" i="2"/>
  <c r="E1354" i="2"/>
  <c r="D1354" i="2"/>
  <c r="C1354" i="2"/>
  <c r="B1354" i="2"/>
  <c r="A1354" i="2"/>
  <c r="U1353" i="2"/>
  <c r="R1353" i="2"/>
  <c r="Q1353" i="2"/>
  <c r="P1353" i="2"/>
  <c r="O1353" i="2"/>
  <c r="M1353" i="2"/>
  <c r="L1353" i="2"/>
  <c r="K1353" i="2"/>
  <c r="J1353" i="2"/>
  <c r="I1353" i="2"/>
  <c r="H1353" i="2"/>
  <c r="G1353" i="2"/>
  <c r="F1353" i="2"/>
  <c r="E1353" i="2"/>
  <c r="D1353" i="2"/>
  <c r="C1353" i="2"/>
  <c r="B1353" i="2"/>
  <c r="A1353" i="2"/>
  <c r="U1352" i="2"/>
  <c r="R1352" i="2"/>
  <c r="Q1352" i="2"/>
  <c r="P1352" i="2"/>
  <c r="O1352" i="2"/>
  <c r="M1352" i="2"/>
  <c r="L1352" i="2"/>
  <c r="K1352" i="2"/>
  <c r="J1352" i="2"/>
  <c r="I1352" i="2"/>
  <c r="H1352" i="2"/>
  <c r="G1352" i="2"/>
  <c r="F1352" i="2"/>
  <c r="E1352" i="2"/>
  <c r="D1352" i="2"/>
  <c r="C1352" i="2"/>
  <c r="B1352" i="2"/>
  <c r="A1352" i="2"/>
  <c r="U1351" i="2"/>
  <c r="R1351" i="2"/>
  <c r="Q1351" i="2"/>
  <c r="P1351" i="2"/>
  <c r="O1351" i="2"/>
  <c r="M1351" i="2"/>
  <c r="L1351" i="2"/>
  <c r="K1351" i="2"/>
  <c r="J1351" i="2"/>
  <c r="I1351" i="2"/>
  <c r="H1351" i="2"/>
  <c r="G1351" i="2"/>
  <c r="F1351" i="2"/>
  <c r="E1351" i="2"/>
  <c r="D1351" i="2"/>
  <c r="C1351" i="2"/>
  <c r="B1351" i="2"/>
  <c r="A1351" i="2"/>
  <c r="U1350" i="2"/>
  <c r="R1350" i="2"/>
  <c r="Q1350" i="2"/>
  <c r="P1350" i="2"/>
  <c r="O1350" i="2"/>
  <c r="M1350" i="2"/>
  <c r="L1350" i="2"/>
  <c r="K1350" i="2"/>
  <c r="J1350" i="2"/>
  <c r="I1350" i="2"/>
  <c r="H1350" i="2"/>
  <c r="G1350" i="2"/>
  <c r="F1350" i="2"/>
  <c r="E1350" i="2"/>
  <c r="D1350" i="2"/>
  <c r="C1350" i="2"/>
  <c r="B1350" i="2"/>
  <c r="A1350" i="2"/>
  <c r="U1349" i="2"/>
  <c r="R1349" i="2"/>
  <c r="Q1349" i="2"/>
  <c r="P1349" i="2"/>
  <c r="O1349" i="2"/>
  <c r="M1349" i="2"/>
  <c r="L1349" i="2"/>
  <c r="K1349" i="2"/>
  <c r="J1349" i="2"/>
  <c r="I1349" i="2"/>
  <c r="H1349" i="2"/>
  <c r="G1349" i="2"/>
  <c r="F1349" i="2"/>
  <c r="E1349" i="2"/>
  <c r="D1349" i="2"/>
  <c r="C1349" i="2"/>
  <c r="B1349" i="2"/>
  <c r="A1349" i="2"/>
  <c r="U1348" i="2"/>
  <c r="R1348" i="2"/>
  <c r="Q1348" i="2"/>
  <c r="P1348" i="2"/>
  <c r="O1348" i="2"/>
  <c r="M1348" i="2"/>
  <c r="L1348" i="2"/>
  <c r="K1348" i="2"/>
  <c r="J1348" i="2"/>
  <c r="I1348" i="2"/>
  <c r="H1348" i="2"/>
  <c r="G1348" i="2"/>
  <c r="F1348" i="2"/>
  <c r="E1348" i="2"/>
  <c r="D1348" i="2"/>
  <c r="C1348" i="2"/>
  <c r="B1348" i="2"/>
  <c r="A1348" i="2"/>
  <c r="U1347" i="2"/>
  <c r="R1347" i="2"/>
  <c r="Q1347" i="2"/>
  <c r="P1347" i="2"/>
  <c r="O1347" i="2"/>
  <c r="M1347" i="2"/>
  <c r="L1347" i="2"/>
  <c r="K1347" i="2"/>
  <c r="J1347" i="2"/>
  <c r="I1347" i="2"/>
  <c r="H1347" i="2"/>
  <c r="G1347" i="2"/>
  <c r="F1347" i="2"/>
  <c r="E1347" i="2"/>
  <c r="D1347" i="2"/>
  <c r="C1347" i="2"/>
  <c r="B1347" i="2"/>
  <c r="A1347" i="2"/>
  <c r="U1346" i="2"/>
  <c r="R1346" i="2"/>
  <c r="Q1346" i="2"/>
  <c r="P1346" i="2"/>
  <c r="O1346" i="2"/>
  <c r="M1346" i="2"/>
  <c r="L1346" i="2"/>
  <c r="K1346" i="2"/>
  <c r="J1346" i="2"/>
  <c r="I1346" i="2"/>
  <c r="H1346" i="2"/>
  <c r="G1346" i="2"/>
  <c r="F1346" i="2"/>
  <c r="E1346" i="2"/>
  <c r="D1346" i="2"/>
  <c r="C1346" i="2"/>
  <c r="B1346" i="2"/>
  <c r="A1346" i="2"/>
  <c r="U1345" i="2"/>
  <c r="R1345" i="2"/>
  <c r="Q1345" i="2"/>
  <c r="P1345" i="2"/>
  <c r="O1345" i="2"/>
  <c r="M1345" i="2"/>
  <c r="L1345" i="2"/>
  <c r="K1345" i="2"/>
  <c r="J1345" i="2"/>
  <c r="I1345" i="2"/>
  <c r="H1345" i="2"/>
  <c r="G1345" i="2"/>
  <c r="F1345" i="2"/>
  <c r="E1345" i="2"/>
  <c r="D1345" i="2"/>
  <c r="C1345" i="2"/>
  <c r="B1345" i="2"/>
  <c r="A1345" i="2"/>
  <c r="U1344" i="2"/>
  <c r="R1344" i="2"/>
  <c r="Q1344" i="2"/>
  <c r="P1344" i="2"/>
  <c r="O1344" i="2"/>
  <c r="M1344" i="2"/>
  <c r="L1344" i="2"/>
  <c r="K1344" i="2"/>
  <c r="J1344" i="2"/>
  <c r="I1344" i="2"/>
  <c r="H1344" i="2"/>
  <c r="G1344" i="2"/>
  <c r="F1344" i="2"/>
  <c r="E1344" i="2"/>
  <c r="D1344" i="2"/>
  <c r="C1344" i="2"/>
  <c r="B1344" i="2"/>
  <c r="A1344" i="2"/>
  <c r="U1343" i="2"/>
  <c r="R1343" i="2"/>
  <c r="Q1343" i="2"/>
  <c r="O1343" i="2"/>
  <c r="M1343" i="2"/>
  <c r="L1343" i="2"/>
  <c r="K1343" i="2"/>
  <c r="J1343" i="2"/>
  <c r="G1343" i="2"/>
  <c r="F1343" i="2"/>
  <c r="E1343" i="2"/>
  <c r="D1343" i="2"/>
  <c r="C1343" i="2"/>
  <c r="B1343" i="2"/>
  <c r="A1343" i="2"/>
  <c r="U1342" i="2"/>
  <c r="R1342" i="2"/>
  <c r="Q1342" i="2"/>
  <c r="O1342" i="2"/>
  <c r="M1342" i="2"/>
  <c r="L1342" i="2"/>
  <c r="K1342" i="2"/>
  <c r="J1342" i="2"/>
  <c r="G1342" i="2"/>
  <c r="F1342" i="2"/>
  <c r="E1342" i="2"/>
  <c r="D1342" i="2"/>
  <c r="C1342" i="2"/>
  <c r="B1342" i="2"/>
  <c r="A1342" i="2"/>
  <c r="U1341" i="2"/>
  <c r="R1341" i="2"/>
  <c r="Q1341" i="2"/>
  <c r="P1341" i="2"/>
  <c r="O1341" i="2"/>
  <c r="M1341" i="2"/>
  <c r="L1341" i="2"/>
  <c r="K1341" i="2"/>
  <c r="J1341" i="2"/>
  <c r="I1341" i="2"/>
  <c r="H1341" i="2"/>
  <c r="G1341" i="2"/>
  <c r="F1341" i="2"/>
  <c r="E1341" i="2"/>
  <c r="D1341" i="2"/>
  <c r="C1341" i="2"/>
  <c r="B1341" i="2"/>
  <c r="A1341" i="2"/>
  <c r="U1340" i="2"/>
  <c r="R1340" i="2"/>
  <c r="Q1340" i="2"/>
  <c r="P1340" i="2"/>
  <c r="O1340" i="2"/>
  <c r="N1340" i="2"/>
  <c r="M1340" i="2"/>
  <c r="L1340" i="2"/>
  <c r="K1340" i="2"/>
  <c r="J1340" i="2"/>
  <c r="I1340" i="2"/>
  <c r="H1340" i="2"/>
  <c r="G1340" i="2"/>
  <c r="F1340" i="2"/>
  <c r="E1340" i="2"/>
  <c r="D1340" i="2"/>
  <c r="C1340" i="2"/>
  <c r="B1340" i="2"/>
  <c r="A1340" i="2"/>
  <c r="R1339" i="2"/>
  <c r="Q1339" i="2"/>
  <c r="P1339" i="2"/>
  <c r="O1339" i="2"/>
  <c r="M1339" i="2"/>
  <c r="L1339" i="2"/>
  <c r="K1339" i="2"/>
  <c r="J1339" i="2"/>
  <c r="I1339" i="2"/>
  <c r="H1339" i="2"/>
  <c r="G1339" i="2"/>
  <c r="F1339" i="2"/>
  <c r="E1339" i="2"/>
  <c r="D1339" i="2"/>
  <c r="C1339" i="2"/>
  <c r="B1339" i="2"/>
  <c r="A1339" i="2"/>
  <c r="R1338" i="2"/>
  <c r="Q1338" i="2"/>
  <c r="P1338" i="2"/>
  <c r="O1338" i="2"/>
  <c r="M1338" i="2"/>
  <c r="L1338" i="2"/>
  <c r="K1338" i="2"/>
  <c r="J1338" i="2"/>
  <c r="I1338" i="2"/>
  <c r="H1338" i="2"/>
  <c r="G1338" i="2"/>
  <c r="F1338" i="2"/>
  <c r="E1338" i="2"/>
  <c r="D1338" i="2"/>
  <c r="C1338" i="2"/>
  <c r="B1338" i="2"/>
  <c r="A1338" i="2"/>
  <c r="R1337" i="2"/>
  <c r="Q1337" i="2"/>
  <c r="P1337" i="2"/>
  <c r="O1337" i="2"/>
  <c r="M1337" i="2"/>
  <c r="L1337" i="2"/>
  <c r="K1337" i="2"/>
  <c r="J1337" i="2"/>
  <c r="I1337" i="2"/>
  <c r="H1337" i="2"/>
  <c r="G1337" i="2"/>
  <c r="F1337" i="2"/>
  <c r="E1337" i="2"/>
  <c r="D1337" i="2"/>
  <c r="C1337" i="2"/>
  <c r="B1337" i="2"/>
  <c r="A1337" i="2"/>
  <c r="R1336" i="2"/>
  <c r="Q1336" i="2"/>
  <c r="P1336" i="2"/>
  <c r="O1336" i="2"/>
  <c r="M1336" i="2"/>
  <c r="L1336" i="2"/>
  <c r="K1336" i="2"/>
  <c r="J1336" i="2"/>
  <c r="I1336" i="2"/>
  <c r="H1336" i="2"/>
  <c r="G1336" i="2"/>
  <c r="F1336" i="2"/>
  <c r="E1336" i="2"/>
  <c r="D1336" i="2"/>
  <c r="C1336" i="2"/>
  <c r="B1336" i="2"/>
  <c r="A1336" i="2"/>
  <c r="R1335" i="2"/>
  <c r="Q1335" i="2"/>
  <c r="P1335" i="2"/>
  <c r="O1335" i="2"/>
  <c r="M1335" i="2"/>
  <c r="L1335" i="2"/>
  <c r="K1335" i="2"/>
  <c r="J1335" i="2"/>
  <c r="I1335" i="2"/>
  <c r="H1335" i="2"/>
  <c r="G1335" i="2"/>
  <c r="F1335" i="2"/>
  <c r="E1335" i="2"/>
  <c r="D1335" i="2"/>
  <c r="C1335" i="2"/>
  <c r="B1335" i="2"/>
  <c r="A1335" i="2"/>
  <c r="R1334" i="2"/>
  <c r="Q1334" i="2"/>
  <c r="O1334" i="2"/>
  <c r="M1334" i="2"/>
  <c r="L1334" i="2"/>
  <c r="K1334" i="2"/>
  <c r="J1334" i="2"/>
  <c r="G1334" i="2"/>
  <c r="F1334" i="2"/>
  <c r="E1334" i="2"/>
  <c r="D1334" i="2"/>
  <c r="C1334" i="2"/>
  <c r="B1334" i="2"/>
  <c r="A1334" i="2"/>
  <c r="R1333" i="2"/>
  <c r="Q1333" i="2"/>
  <c r="O1333" i="2"/>
  <c r="M1333" i="2"/>
  <c r="L1333" i="2"/>
  <c r="K1333" i="2"/>
  <c r="J1333" i="2"/>
  <c r="G1333" i="2"/>
  <c r="F1333" i="2"/>
  <c r="E1333" i="2"/>
  <c r="D1333" i="2"/>
  <c r="C1333" i="2"/>
  <c r="B1333" i="2"/>
  <c r="A1333" i="2"/>
  <c r="R1332" i="2"/>
  <c r="Q1332" i="2"/>
  <c r="P1332" i="2"/>
  <c r="O1332" i="2"/>
  <c r="M1332" i="2"/>
  <c r="L1332" i="2"/>
  <c r="K1332" i="2"/>
  <c r="J1332" i="2"/>
  <c r="I1332" i="2"/>
  <c r="H1332" i="2"/>
  <c r="G1332" i="2"/>
  <c r="F1332" i="2"/>
  <c r="E1332" i="2"/>
  <c r="D1332" i="2"/>
  <c r="C1332" i="2"/>
  <c r="B1332" i="2"/>
  <c r="A1332" i="2"/>
  <c r="R1331" i="2"/>
  <c r="Q1331" i="2"/>
  <c r="O1331" i="2"/>
  <c r="M1331" i="2"/>
  <c r="L1331" i="2"/>
  <c r="K1331" i="2"/>
  <c r="J1331" i="2"/>
  <c r="G1331" i="2"/>
  <c r="F1331" i="2"/>
  <c r="E1331" i="2"/>
  <c r="D1331" i="2"/>
  <c r="C1331" i="2"/>
  <c r="B1331" i="2"/>
  <c r="A1331" i="2"/>
  <c r="R1330" i="2"/>
  <c r="Q1330" i="2"/>
  <c r="O1330" i="2"/>
  <c r="M1330" i="2"/>
  <c r="L1330" i="2"/>
  <c r="K1330" i="2"/>
  <c r="J1330" i="2"/>
  <c r="G1330" i="2"/>
  <c r="F1330" i="2"/>
  <c r="E1330" i="2"/>
  <c r="D1330" i="2"/>
  <c r="C1330" i="2"/>
  <c r="B1330" i="2"/>
  <c r="A1330" i="2"/>
  <c r="R1329" i="2"/>
  <c r="Q1329" i="2"/>
  <c r="P1329" i="2"/>
  <c r="O1329" i="2"/>
  <c r="M1329" i="2"/>
  <c r="L1329" i="2"/>
  <c r="K1329" i="2"/>
  <c r="J1329" i="2"/>
  <c r="I1329" i="2"/>
  <c r="H1329" i="2"/>
  <c r="G1329" i="2"/>
  <c r="F1329" i="2"/>
  <c r="E1329" i="2"/>
  <c r="D1329" i="2"/>
  <c r="C1329" i="2"/>
  <c r="B1329" i="2"/>
  <c r="A1329" i="2"/>
  <c r="R1328" i="2"/>
  <c r="Q1328" i="2"/>
  <c r="O1328" i="2"/>
  <c r="M1328" i="2"/>
  <c r="L1328" i="2"/>
  <c r="K1328" i="2"/>
  <c r="J1328" i="2"/>
  <c r="G1328" i="2"/>
  <c r="F1328" i="2"/>
  <c r="E1328" i="2"/>
  <c r="D1328" i="2"/>
  <c r="C1328" i="2"/>
  <c r="B1328" i="2"/>
  <c r="A1328" i="2"/>
  <c r="R1327" i="2"/>
  <c r="Q1327" i="2"/>
  <c r="P1327" i="2"/>
  <c r="O1327" i="2"/>
  <c r="M1327" i="2"/>
  <c r="L1327" i="2"/>
  <c r="K1327" i="2"/>
  <c r="J1327" i="2"/>
  <c r="I1327" i="2"/>
  <c r="H1327" i="2"/>
  <c r="G1327" i="2"/>
  <c r="F1327" i="2"/>
  <c r="E1327" i="2"/>
  <c r="D1327" i="2"/>
  <c r="C1327" i="2"/>
  <c r="B1327" i="2"/>
  <c r="A1327" i="2"/>
  <c r="R1326" i="2"/>
  <c r="Q1326" i="2"/>
  <c r="P1326" i="2"/>
  <c r="O1326" i="2"/>
  <c r="M1326" i="2"/>
  <c r="L1326" i="2"/>
  <c r="K1326" i="2"/>
  <c r="J1326" i="2"/>
  <c r="I1326" i="2"/>
  <c r="H1326" i="2"/>
  <c r="G1326" i="2"/>
  <c r="F1326" i="2"/>
  <c r="E1326" i="2"/>
  <c r="D1326" i="2"/>
  <c r="C1326" i="2"/>
  <c r="B1326" i="2"/>
  <c r="A1326" i="2"/>
  <c r="R1325" i="2"/>
  <c r="Q1325" i="2"/>
  <c r="P1325" i="2"/>
  <c r="O1325" i="2"/>
  <c r="M1325" i="2"/>
  <c r="L1325" i="2"/>
  <c r="K1325" i="2"/>
  <c r="J1325" i="2"/>
  <c r="I1325" i="2"/>
  <c r="H1325" i="2"/>
  <c r="G1325" i="2"/>
  <c r="F1325" i="2"/>
  <c r="E1325" i="2"/>
  <c r="D1325" i="2"/>
  <c r="C1325" i="2"/>
  <c r="B1325" i="2"/>
  <c r="A1325" i="2"/>
  <c r="U1324" i="2"/>
  <c r="R1324" i="2"/>
  <c r="Q1324" i="2"/>
  <c r="P1324" i="2"/>
  <c r="O1324" i="2"/>
  <c r="M1324" i="2"/>
  <c r="L1324" i="2"/>
  <c r="K1324" i="2"/>
  <c r="J1324" i="2"/>
  <c r="I1324" i="2"/>
  <c r="H1324" i="2"/>
  <c r="G1324" i="2"/>
  <c r="F1324" i="2"/>
  <c r="E1324" i="2"/>
  <c r="D1324" i="2"/>
  <c r="C1324" i="2"/>
  <c r="B1324" i="2"/>
  <c r="A1324" i="2"/>
  <c r="R1323" i="2"/>
  <c r="Q1323" i="2"/>
  <c r="P1323" i="2"/>
  <c r="O1323" i="2"/>
  <c r="M1323" i="2"/>
  <c r="L1323" i="2"/>
  <c r="K1323" i="2"/>
  <c r="J1323" i="2"/>
  <c r="I1323" i="2"/>
  <c r="H1323" i="2"/>
  <c r="G1323" i="2"/>
  <c r="F1323" i="2"/>
  <c r="E1323" i="2"/>
  <c r="D1323" i="2"/>
  <c r="C1323" i="2"/>
  <c r="B1323" i="2"/>
  <c r="A1323" i="2"/>
  <c r="R1322" i="2"/>
  <c r="Q1322" i="2"/>
  <c r="P1322" i="2"/>
  <c r="O1322" i="2"/>
  <c r="N1322" i="2"/>
  <c r="M1322" i="2"/>
  <c r="L1322" i="2"/>
  <c r="K1322" i="2"/>
  <c r="J1322" i="2"/>
  <c r="I1322" i="2"/>
  <c r="H1322" i="2"/>
  <c r="G1322" i="2"/>
  <c r="F1322" i="2"/>
  <c r="E1322" i="2"/>
  <c r="D1322" i="2"/>
  <c r="C1322" i="2"/>
  <c r="B1322" i="2"/>
  <c r="A1322" i="2"/>
  <c r="R1321" i="2"/>
  <c r="Q1321" i="2"/>
  <c r="P1321" i="2"/>
  <c r="O1321" i="2"/>
  <c r="M1321" i="2"/>
  <c r="L1321" i="2"/>
  <c r="K1321" i="2"/>
  <c r="J1321" i="2"/>
  <c r="I1321" i="2"/>
  <c r="H1321" i="2"/>
  <c r="G1321" i="2"/>
  <c r="F1321" i="2"/>
  <c r="E1321" i="2"/>
  <c r="D1321" i="2"/>
  <c r="C1321" i="2"/>
  <c r="B1321" i="2"/>
  <c r="A1321" i="2"/>
  <c r="R1320" i="2"/>
  <c r="Q1320" i="2"/>
  <c r="P1320" i="2"/>
  <c r="O1320" i="2"/>
  <c r="M1320" i="2"/>
  <c r="L1320" i="2"/>
  <c r="K1320" i="2"/>
  <c r="J1320" i="2"/>
  <c r="I1320" i="2"/>
  <c r="H1320" i="2"/>
  <c r="G1320" i="2"/>
  <c r="F1320" i="2"/>
  <c r="E1320" i="2"/>
  <c r="D1320" i="2"/>
  <c r="C1320" i="2"/>
  <c r="B1320" i="2"/>
  <c r="A1320" i="2"/>
  <c r="Q1319" i="2"/>
  <c r="O1319" i="2"/>
  <c r="L1319" i="2"/>
  <c r="K1319" i="2"/>
  <c r="F1319" i="2"/>
  <c r="E1319" i="2"/>
  <c r="D1319" i="2"/>
  <c r="C1319" i="2"/>
  <c r="B1319" i="2"/>
  <c r="A1319" i="2"/>
  <c r="R1318" i="2"/>
  <c r="Q1318" i="2"/>
  <c r="P1318" i="2"/>
  <c r="O1318" i="2"/>
  <c r="M1318" i="2"/>
  <c r="L1318" i="2"/>
  <c r="K1318" i="2"/>
  <c r="J1318" i="2"/>
  <c r="I1318" i="2"/>
  <c r="H1318" i="2"/>
  <c r="G1318" i="2"/>
  <c r="F1318" i="2"/>
  <c r="E1318" i="2"/>
  <c r="D1318" i="2"/>
  <c r="C1318" i="2"/>
  <c r="B1318" i="2"/>
  <c r="A1318" i="2"/>
  <c r="R1317" i="2"/>
  <c r="Q1317" i="2"/>
  <c r="O1317" i="2"/>
  <c r="M1317" i="2"/>
  <c r="L1317" i="2"/>
  <c r="K1317" i="2"/>
  <c r="J1317" i="2"/>
  <c r="G1317" i="2"/>
  <c r="F1317" i="2"/>
  <c r="E1317" i="2"/>
  <c r="D1317" i="2"/>
  <c r="C1317" i="2"/>
  <c r="B1317" i="2"/>
  <c r="A1317" i="2"/>
  <c r="Q1316" i="2"/>
  <c r="N1316" i="2"/>
  <c r="M1316" i="2"/>
  <c r="L1316" i="2"/>
  <c r="K1316" i="2"/>
  <c r="J1316" i="2"/>
  <c r="I1316" i="2"/>
  <c r="H1316" i="2"/>
  <c r="G1316" i="2"/>
  <c r="F1316" i="2"/>
  <c r="E1316" i="2"/>
  <c r="D1316" i="2"/>
  <c r="C1316" i="2"/>
  <c r="B1316" i="2"/>
  <c r="A1316" i="2"/>
  <c r="R1315" i="2"/>
  <c r="Q1315" i="2"/>
  <c r="P1315" i="2"/>
  <c r="O1315" i="2"/>
  <c r="M1315" i="2"/>
  <c r="L1315" i="2"/>
  <c r="K1315" i="2"/>
  <c r="J1315" i="2"/>
  <c r="I1315" i="2"/>
  <c r="H1315" i="2"/>
  <c r="G1315" i="2"/>
  <c r="F1315" i="2"/>
  <c r="E1315" i="2"/>
  <c r="D1315" i="2"/>
  <c r="C1315" i="2"/>
  <c r="B1315" i="2"/>
  <c r="A1315" i="2"/>
  <c r="R1314" i="2"/>
  <c r="Q1314" i="2"/>
  <c r="P1314" i="2"/>
  <c r="O1314" i="2"/>
  <c r="M1314" i="2"/>
  <c r="L1314" i="2"/>
  <c r="K1314" i="2"/>
  <c r="J1314" i="2"/>
  <c r="I1314" i="2"/>
  <c r="H1314" i="2"/>
  <c r="G1314" i="2"/>
  <c r="F1314" i="2"/>
  <c r="E1314" i="2"/>
  <c r="D1314" i="2"/>
  <c r="C1314" i="2"/>
  <c r="B1314" i="2"/>
  <c r="A1314" i="2"/>
  <c r="R1313" i="2"/>
  <c r="Q1313" i="2"/>
  <c r="P1313" i="2"/>
  <c r="O1313" i="2"/>
  <c r="N1313" i="2"/>
  <c r="M1313" i="2"/>
  <c r="L1313" i="2"/>
  <c r="K1313" i="2"/>
  <c r="J1313" i="2"/>
  <c r="I1313" i="2"/>
  <c r="H1313" i="2"/>
  <c r="G1313" i="2"/>
  <c r="F1313" i="2"/>
  <c r="E1313" i="2"/>
  <c r="D1313" i="2"/>
  <c r="C1313" i="2"/>
  <c r="B1313" i="2"/>
  <c r="A1313" i="2"/>
  <c r="R1312" i="2"/>
  <c r="Q1312" i="2"/>
  <c r="P1312" i="2"/>
  <c r="O1312" i="2"/>
  <c r="M1312" i="2"/>
  <c r="L1312" i="2"/>
  <c r="K1312" i="2"/>
  <c r="J1312" i="2"/>
  <c r="I1312" i="2"/>
  <c r="H1312" i="2"/>
  <c r="G1312" i="2"/>
  <c r="F1312" i="2"/>
  <c r="E1312" i="2"/>
  <c r="D1312" i="2"/>
  <c r="C1312" i="2"/>
  <c r="B1312" i="2"/>
  <c r="A1312" i="2"/>
  <c r="R1311" i="2"/>
  <c r="Q1311" i="2"/>
  <c r="P1311" i="2"/>
  <c r="O1311" i="2"/>
  <c r="M1311" i="2"/>
  <c r="L1311" i="2"/>
  <c r="K1311" i="2"/>
  <c r="J1311" i="2"/>
  <c r="I1311" i="2"/>
  <c r="H1311" i="2"/>
  <c r="G1311" i="2"/>
  <c r="F1311" i="2"/>
  <c r="E1311" i="2"/>
  <c r="D1311" i="2"/>
  <c r="C1311" i="2"/>
  <c r="B1311" i="2"/>
  <c r="A1311" i="2"/>
  <c r="U1310" i="2"/>
  <c r="R1310" i="2"/>
  <c r="Q1310" i="2"/>
  <c r="P1310" i="2"/>
  <c r="M1310" i="2"/>
  <c r="L1310" i="2"/>
  <c r="K1310" i="2"/>
  <c r="J1310" i="2"/>
  <c r="I1310" i="2"/>
  <c r="H1310" i="2"/>
  <c r="G1310" i="2"/>
  <c r="F1310" i="2"/>
  <c r="E1310" i="2"/>
  <c r="D1310" i="2"/>
  <c r="C1310" i="2"/>
  <c r="B1310" i="2"/>
  <c r="A1310" i="2"/>
  <c r="R1309" i="2"/>
  <c r="Q1309" i="2"/>
  <c r="P1309" i="2"/>
  <c r="O1309" i="2"/>
  <c r="M1309" i="2"/>
  <c r="L1309" i="2"/>
  <c r="K1309" i="2"/>
  <c r="J1309" i="2"/>
  <c r="I1309" i="2"/>
  <c r="H1309" i="2"/>
  <c r="G1309" i="2"/>
  <c r="F1309" i="2"/>
  <c r="E1309" i="2"/>
  <c r="D1309" i="2"/>
  <c r="C1309" i="2"/>
  <c r="B1309" i="2"/>
  <c r="A1309" i="2"/>
  <c r="U1308" i="2"/>
  <c r="R1308" i="2"/>
  <c r="Q1308" i="2"/>
  <c r="P1308" i="2"/>
  <c r="M1308" i="2"/>
  <c r="L1308" i="2"/>
  <c r="K1308" i="2"/>
  <c r="J1308" i="2"/>
  <c r="I1308" i="2"/>
  <c r="H1308" i="2"/>
  <c r="G1308" i="2"/>
  <c r="F1308" i="2"/>
  <c r="E1308" i="2"/>
  <c r="D1308" i="2"/>
  <c r="C1308" i="2"/>
  <c r="B1308" i="2"/>
  <c r="A1308" i="2"/>
  <c r="U1307" i="2"/>
  <c r="R1307" i="2"/>
  <c r="Q1307" i="2"/>
  <c r="P1307" i="2"/>
  <c r="M1307" i="2"/>
  <c r="L1307" i="2"/>
  <c r="K1307" i="2"/>
  <c r="J1307" i="2"/>
  <c r="I1307" i="2"/>
  <c r="H1307" i="2"/>
  <c r="G1307" i="2"/>
  <c r="F1307" i="2"/>
  <c r="E1307" i="2"/>
  <c r="D1307" i="2"/>
  <c r="C1307" i="2"/>
  <c r="B1307" i="2"/>
  <c r="A1307" i="2"/>
  <c r="R1306" i="2"/>
  <c r="Q1306" i="2"/>
  <c r="O1306" i="2"/>
  <c r="M1306" i="2"/>
  <c r="L1306" i="2"/>
  <c r="K1306" i="2"/>
  <c r="J1306" i="2"/>
  <c r="G1306" i="2"/>
  <c r="F1306" i="2"/>
  <c r="E1306" i="2"/>
  <c r="D1306" i="2"/>
  <c r="C1306" i="2"/>
  <c r="B1306" i="2"/>
  <c r="A1306" i="2"/>
  <c r="R1305" i="2"/>
  <c r="Q1305" i="2"/>
  <c r="P1305" i="2"/>
  <c r="O1305" i="2"/>
  <c r="M1305" i="2"/>
  <c r="L1305" i="2"/>
  <c r="K1305" i="2"/>
  <c r="J1305" i="2"/>
  <c r="I1305" i="2"/>
  <c r="H1305" i="2"/>
  <c r="G1305" i="2"/>
  <c r="F1305" i="2"/>
  <c r="E1305" i="2"/>
  <c r="D1305" i="2"/>
  <c r="C1305" i="2"/>
  <c r="B1305" i="2"/>
  <c r="A1305" i="2"/>
  <c r="R1304" i="2"/>
  <c r="Q1304" i="2"/>
  <c r="O1304" i="2"/>
  <c r="M1304" i="2"/>
  <c r="L1304" i="2"/>
  <c r="K1304" i="2"/>
  <c r="J1304" i="2"/>
  <c r="G1304" i="2"/>
  <c r="F1304" i="2"/>
  <c r="E1304" i="2"/>
  <c r="D1304" i="2"/>
  <c r="C1304" i="2"/>
  <c r="B1304" i="2"/>
  <c r="A1304" i="2"/>
  <c r="R1303" i="2"/>
  <c r="Q1303" i="2"/>
  <c r="P1303" i="2"/>
  <c r="O1303" i="2"/>
  <c r="M1303" i="2"/>
  <c r="L1303" i="2"/>
  <c r="K1303" i="2"/>
  <c r="J1303" i="2"/>
  <c r="I1303" i="2"/>
  <c r="H1303" i="2"/>
  <c r="G1303" i="2"/>
  <c r="F1303" i="2"/>
  <c r="E1303" i="2"/>
  <c r="D1303" i="2"/>
  <c r="C1303" i="2"/>
  <c r="B1303" i="2"/>
  <c r="A1303" i="2"/>
  <c r="R1302" i="2"/>
  <c r="Q1302" i="2"/>
  <c r="P1302" i="2"/>
  <c r="O1302" i="2"/>
  <c r="M1302" i="2"/>
  <c r="L1302" i="2"/>
  <c r="K1302" i="2"/>
  <c r="J1302" i="2"/>
  <c r="I1302" i="2"/>
  <c r="H1302" i="2"/>
  <c r="G1302" i="2"/>
  <c r="F1302" i="2"/>
  <c r="E1302" i="2"/>
  <c r="D1302" i="2"/>
  <c r="C1302" i="2"/>
  <c r="B1302" i="2"/>
  <c r="A1302" i="2"/>
  <c r="R1301" i="2"/>
  <c r="Q1301" i="2"/>
  <c r="P1301" i="2"/>
  <c r="O1301" i="2"/>
  <c r="M1301" i="2"/>
  <c r="L1301" i="2"/>
  <c r="K1301" i="2"/>
  <c r="J1301" i="2"/>
  <c r="I1301" i="2"/>
  <c r="H1301" i="2"/>
  <c r="G1301" i="2"/>
  <c r="F1301" i="2"/>
  <c r="E1301" i="2"/>
  <c r="D1301" i="2"/>
  <c r="C1301" i="2"/>
  <c r="B1301" i="2"/>
  <c r="A1301" i="2"/>
  <c r="R1300" i="2"/>
  <c r="Q1300" i="2"/>
  <c r="P1300" i="2"/>
  <c r="O1300" i="2"/>
  <c r="M1300" i="2"/>
  <c r="L1300" i="2"/>
  <c r="K1300" i="2"/>
  <c r="J1300" i="2"/>
  <c r="I1300" i="2"/>
  <c r="H1300" i="2"/>
  <c r="G1300" i="2"/>
  <c r="F1300" i="2"/>
  <c r="E1300" i="2"/>
  <c r="D1300" i="2"/>
  <c r="C1300" i="2"/>
  <c r="B1300" i="2"/>
  <c r="A1300" i="2"/>
  <c r="R1299" i="2"/>
  <c r="Q1299" i="2"/>
  <c r="P1299" i="2"/>
  <c r="O1299" i="2"/>
  <c r="M1299" i="2"/>
  <c r="L1299" i="2"/>
  <c r="K1299" i="2"/>
  <c r="J1299" i="2"/>
  <c r="I1299" i="2"/>
  <c r="H1299" i="2"/>
  <c r="G1299" i="2"/>
  <c r="F1299" i="2"/>
  <c r="E1299" i="2"/>
  <c r="D1299" i="2"/>
  <c r="C1299" i="2"/>
  <c r="B1299" i="2"/>
  <c r="A1299" i="2"/>
  <c r="R1298" i="2"/>
  <c r="Q1298" i="2"/>
  <c r="P1298" i="2"/>
  <c r="O1298" i="2"/>
  <c r="N1298" i="2"/>
  <c r="M1298" i="2"/>
  <c r="L1298" i="2"/>
  <c r="K1298" i="2"/>
  <c r="J1298" i="2"/>
  <c r="I1298" i="2"/>
  <c r="H1298" i="2"/>
  <c r="G1298" i="2"/>
  <c r="F1298" i="2"/>
  <c r="E1298" i="2"/>
  <c r="D1298" i="2"/>
  <c r="C1298" i="2"/>
  <c r="B1298" i="2"/>
  <c r="A1298" i="2"/>
  <c r="R1297" i="2"/>
  <c r="Q1297" i="2"/>
  <c r="P1297" i="2"/>
  <c r="O1297" i="2"/>
  <c r="N1297" i="2"/>
  <c r="M1297" i="2"/>
  <c r="L1297" i="2"/>
  <c r="K1297" i="2"/>
  <c r="J1297" i="2"/>
  <c r="I1297" i="2"/>
  <c r="H1297" i="2"/>
  <c r="G1297" i="2"/>
  <c r="F1297" i="2"/>
  <c r="E1297" i="2"/>
  <c r="D1297" i="2"/>
  <c r="C1297" i="2"/>
  <c r="B1297" i="2"/>
  <c r="A1297" i="2"/>
  <c r="U1296" i="2"/>
  <c r="R1296" i="2"/>
  <c r="Q1296" i="2"/>
  <c r="P1296" i="2"/>
  <c r="O1296" i="2"/>
  <c r="M1296" i="2"/>
  <c r="L1296" i="2"/>
  <c r="K1296" i="2"/>
  <c r="J1296" i="2"/>
  <c r="I1296" i="2"/>
  <c r="H1296" i="2"/>
  <c r="G1296" i="2"/>
  <c r="F1296" i="2"/>
  <c r="E1296" i="2"/>
  <c r="D1296" i="2"/>
  <c r="C1296" i="2"/>
  <c r="B1296" i="2"/>
  <c r="A1296" i="2"/>
  <c r="U1295" i="2"/>
  <c r="R1295" i="2"/>
  <c r="Q1295" i="2"/>
  <c r="P1295" i="2"/>
  <c r="O1295" i="2"/>
  <c r="M1295" i="2"/>
  <c r="L1295" i="2"/>
  <c r="K1295" i="2"/>
  <c r="J1295" i="2"/>
  <c r="I1295" i="2"/>
  <c r="H1295" i="2"/>
  <c r="G1295" i="2"/>
  <c r="F1295" i="2"/>
  <c r="E1295" i="2"/>
  <c r="D1295" i="2"/>
  <c r="C1295" i="2"/>
  <c r="B1295" i="2"/>
  <c r="A1295" i="2"/>
  <c r="R1294" i="2"/>
  <c r="Q1294" i="2"/>
  <c r="P1294" i="2"/>
  <c r="O1294" i="2"/>
  <c r="N1294" i="2"/>
  <c r="M1294" i="2"/>
  <c r="L1294" i="2"/>
  <c r="K1294" i="2"/>
  <c r="J1294" i="2"/>
  <c r="I1294" i="2"/>
  <c r="H1294" i="2"/>
  <c r="G1294" i="2"/>
  <c r="F1294" i="2"/>
  <c r="E1294" i="2"/>
  <c r="D1294" i="2"/>
  <c r="C1294" i="2"/>
  <c r="B1294" i="2"/>
  <c r="A1294" i="2"/>
  <c r="R1293" i="2"/>
  <c r="Q1293" i="2"/>
  <c r="P1293" i="2"/>
  <c r="O1293" i="2"/>
  <c r="N1293" i="2"/>
  <c r="M1293" i="2"/>
  <c r="L1293" i="2"/>
  <c r="K1293" i="2"/>
  <c r="J1293" i="2"/>
  <c r="I1293" i="2"/>
  <c r="H1293" i="2"/>
  <c r="G1293" i="2"/>
  <c r="F1293" i="2"/>
  <c r="E1293" i="2"/>
  <c r="D1293" i="2"/>
  <c r="C1293" i="2"/>
  <c r="B1293" i="2"/>
  <c r="A1293" i="2"/>
  <c r="R1292" i="2"/>
  <c r="Q1292" i="2"/>
  <c r="O1292" i="2"/>
  <c r="M1292" i="2"/>
  <c r="L1292" i="2"/>
  <c r="K1292" i="2"/>
  <c r="J1292" i="2"/>
  <c r="G1292" i="2"/>
  <c r="F1292" i="2"/>
  <c r="E1292" i="2"/>
  <c r="D1292" i="2"/>
  <c r="C1292" i="2"/>
  <c r="B1292" i="2"/>
  <c r="A1292" i="2"/>
  <c r="R1291" i="2"/>
  <c r="Q1291" i="2"/>
  <c r="P1291" i="2"/>
  <c r="O1291" i="2"/>
  <c r="M1291" i="2"/>
  <c r="L1291" i="2"/>
  <c r="K1291" i="2"/>
  <c r="J1291" i="2"/>
  <c r="I1291" i="2"/>
  <c r="H1291" i="2"/>
  <c r="G1291" i="2"/>
  <c r="F1291" i="2"/>
  <c r="E1291" i="2"/>
  <c r="D1291" i="2"/>
  <c r="C1291" i="2"/>
  <c r="B1291" i="2"/>
  <c r="A1291" i="2"/>
  <c r="R1290" i="2"/>
  <c r="Q1290" i="2"/>
  <c r="O1290" i="2"/>
  <c r="N1290" i="2"/>
  <c r="M1290" i="2"/>
  <c r="L1290" i="2"/>
  <c r="K1290" i="2"/>
  <c r="J1290" i="2"/>
  <c r="G1290" i="2"/>
  <c r="F1290" i="2"/>
  <c r="E1290" i="2"/>
  <c r="D1290" i="2"/>
  <c r="C1290" i="2"/>
  <c r="B1290" i="2"/>
  <c r="A1290" i="2"/>
  <c r="R1289" i="2"/>
  <c r="Q1289" i="2"/>
  <c r="P1289" i="2"/>
  <c r="O1289" i="2"/>
  <c r="M1289" i="2"/>
  <c r="L1289" i="2"/>
  <c r="K1289" i="2"/>
  <c r="J1289" i="2"/>
  <c r="I1289" i="2"/>
  <c r="H1289" i="2"/>
  <c r="G1289" i="2"/>
  <c r="F1289" i="2"/>
  <c r="E1289" i="2"/>
  <c r="D1289" i="2"/>
  <c r="C1289" i="2"/>
  <c r="B1289" i="2"/>
  <c r="A1289" i="2"/>
  <c r="R1288" i="2"/>
  <c r="Q1288" i="2"/>
  <c r="P1288" i="2"/>
  <c r="O1288" i="2"/>
  <c r="M1288" i="2"/>
  <c r="L1288" i="2"/>
  <c r="K1288" i="2"/>
  <c r="J1288" i="2"/>
  <c r="I1288" i="2"/>
  <c r="H1288" i="2"/>
  <c r="G1288" i="2"/>
  <c r="F1288" i="2"/>
  <c r="E1288" i="2"/>
  <c r="D1288" i="2"/>
  <c r="C1288" i="2"/>
  <c r="B1288" i="2"/>
  <c r="A1288" i="2"/>
  <c r="R1287" i="2"/>
  <c r="Q1287" i="2"/>
  <c r="P1287" i="2"/>
  <c r="O1287" i="2"/>
  <c r="N1287" i="2"/>
  <c r="M1287" i="2"/>
  <c r="L1287" i="2"/>
  <c r="K1287" i="2"/>
  <c r="J1287" i="2"/>
  <c r="I1287" i="2"/>
  <c r="H1287" i="2"/>
  <c r="G1287" i="2"/>
  <c r="F1287" i="2"/>
  <c r="E1287" i="2"/>
  <c r="D1287" i="2"/>
  <c r="C1287" i="2"/>
  <c r="B1287" i="2"/>
  <c r="A1287" i="2"/>
  <c r="U1286" i="2"/>
  <c r="R1286" i="2"/>
  <c r="Q1286" i="2"/>
  <c r="O1286" i="2"/>
  <c r="M1286" i="2"/>
  <c r="L1286" i="2"/>
  <c r="K1286" i="2"/>
  <c r="J1286" i="2"/>
  <c r="G1286" i="2"/>
  <c r="F1286" i="2"/>
  <c r="E1286" i="2"/>
  <c r="D1286" i="2"/>
  <c r="C1286" i="2"/>
  <c r="B1286" i="2"/>
  <c r="A1286" i="2"/>
  <c r="U1285" i="2"/>
  <c r="R1285" i="2"/>
  <c r="Q1285" i="2"/>
  <c r="O1285" i="2"/>
  <c r="M1285" i="2"/>
  <c r="L1285" i="2"/>
  <c r="K1285" i="2"/>
  <c r="J1285" i="2"/>
  <c r="G1285" i="2"/>
  <c r="F1285" i="2"/>
  <c r="E1285" i="2"/>
  <c r="D1285" i="2"/>
  <c r="C1285" i="2"/>
  <c r="B1285" i="2"/>
  <c r="A1285" i="2"/>
  <c r="U1284" i="2"/>
  <c r="R1284" i="2"/>
  <c r="Q1284" i="2"/>
  <c r="O1284" i="2"/>
  <c r="M1284" i="2"/>
  <c r="L1284" i="2"/>
  <c r="K1284" i="2"/>
  <c r="J1284" i="2"/>
  <c r="G1284" i="2"/>
  <c r="F1284" i="2"/>
  <c r="E1284" i="2"/>
  <c r="D1284" i="2"/>
  <c r="C1284" i="2"/>
  <c r="B1284" i="2"/>
  <c r="A1284" i="2"/>
  <c r="R1283" i="2"/>
  <c r="Q1283" i="2"/>
  <c r="P1283" i="2"/>
  <c r="O1283" i="2"/>
  <c r="M1283" i="2"/>
  <c r="L1283" i="2"/>
  <c r="K1283" i="2"/>
  <c r="J1283" i="2"/>
  <c r="I1283" i="2"/>
  <c r="H1283" i="2"/>
  <c r="G1283" i="2"/>
  <c r="F1283" i="2"/>
  <c r="E1283" i="2"/>
  <c r="D1283" i="2"/>
  <c r="C1283" i="2"/>
  <c r="B1283" i="2"/>
  <c r="A1283" i="2"/>
  <c r="R1282" i="2"/>
  <c r="Q1282" i="2"/>
  <c r="P1282" i="2"/>
  <c r="O1282" i="2"/>
  <c r="N1282" i="2"/>
  <c r="M1282" i="2"/>
  <c r="L1282" i="2"/>
  <c r="K1282" i="2"/>
  <c r="J1282" i="2"/>
  <c r="I1282" i="2"/>
  <c r="H1282" i="2"/>
  <c r="G1282" i="2"/>
  <c r="F1282" i="2"/>
  <c r="E1282" i="2"/>
  <c r="D1282" i="2"/>
  <c r="C1282" i="2"/>
  <c r="B1282" i="2"/>
  <c r="A1282" i="2"/>
  <c r="U1281" i="2"/>
  <c r="R1281" i="2"/>
  <c r="Q1281" i="2"/>
  <c r="P1281" i="2"/>
  <c r="O1281" i="2"/>
  <c r="M1281" i="2"/>
  <c r="L1281" i="2"/>
  <c r="K1281" i="2"/>
  <c r="J1281" i="2"/>
  <c r="I1281" i="2"/>
  <c r="H1281" i="2"/>
  <c r="G1281" i="2"/>
  <c r="F1281" i="2"/>
  <c r="E1281" i="2"/>
  <c r="D1281" i="2"/>
  <c r="C1281" i="2"/>
  <c r="B1281" i="2"/>
  <c r="A1281" i="2"/>
  <c r="U1280" i="2"/>
  <c r="R1280" i="2"/>
  <c r="Q1280" i="2"/>
  <c r="P1280" i="2"/>
  <c r="O1280" i="2"/>
  <c r="N1280" i="2"/>
  <c r="M1280" i="2"/>
  <c r="L1280" i="2"/>
  <c r="K1280" i="2"/>
  <c r="J1280" i="2"/>
  <c r="I1280" i="2"/>
  <c r="H1280" i="2"/>
  <c r="G1280" i="2"/>
  <c r="F1280" i="2"/>
  <c r="E1280" i="2"/>
  <c r="D1280" i="2"/>
  <c r="C1280" i="2"/>
  <c r="B1280" i="2"/>
  <c r="A1280" i="2"/>
  <c r="R1279" i="2"/>
  <c r="Q1279" i="2"/>
  <c r="O1279" i="2"/>
  <c r="N1279" i="2"/>
  <c r="M1279" i="2"/>
  <c r="L1279" i="2"/>
  <c r="K1279" i="2"/>
  <c r="J1279" i="2"/>
  <c r="G1279" i="2"/>
  <c r="F1279" i="2"/>
  <c r="E1279" i="2"/>
  <c r="D1279" i="2"/>
  <c r="C1279" i="2"/>
  <c r="B1279" i="2"/>
  <c r="A1279" i="2"/>
  <c r="R1278" i="2"/>
  <c r="Q1278" i="2"/>
  <c r="P1278" i="2"/>
  <c r="O1278" i="2"/>
  <c r="M1278" i="2"/>
  <c r="L1278" i="2"/>
  <c r="K1278" i="2"/>
  <c r="J1278" i="2"/>
  <c r="I1278" i="2"/>
  <c r="H1278" i="2"/>
  <c r="G1278" i="2"/>
  <c r="F1278" i="2"/>
  <c r="E1278" i="2"/>
  <c r="D1278" i="2"/>
  <c r="C1278" i="2"/>
  <c r="B1278" i="2"/>
  <c r="A1278" i="2"/>
  <c r="R1277" i="2"/>
  <c r="Q1277" i="2"/>
  <c r="P1277" i="2"/>
  <c r="O1277" i="2"/>
  <c r="M1277" i="2"/>
  <c r="L1277" i="2"/>
  <c r="K1277" i="2"/>
  <c r="J1277" i="2"/>
  <c r="I1277" i="2"/>
  <c r="H1277" i="2"/>
  <c r="G1277" i="2"/>
  <c r="F1277" i="2"/>
  <c r="E1277" i="2"/>
  <c r="D1277" i="2"/>
  <c r="C1277" i="2"/>
  <c r="B1277" i="2"/>
  <c r="A1277" i="2"/>
  <c r="R1276" i="2"/>
  <c r="Q1276" i="2"/>
  <c r="P1276" i="2"/>
  <c r="O1276" i="2"/>
  <c r="M1276" i="2"/>
  <c r="L1276" i="2"/>
  <c r="K1276" i="2"/>
  <c r="J1276" i="2"/>
  <c r="I1276" i="2"/>
  <c r="H1276" i="2"/>
  <c r="G1276" i="2"/>
  <c r="F1276" i="2"/>
  <c r="E1276" i="2"/>
  <c r="D1276" i="2"/>
  <c r="C1276" i="2"/>
  <c r="B1276" i="2"/>
  <c r="A1276" i="2"/>
  <c r="R1275" i="2"/>
  <c r="Q1275" i="2"/>
  <c r="P1275" i="2"/>
  <c r="O1275" i="2"/>
  <c r="N1275" i="2"/>
  <c r="M1275" i="2"/>
  <c r="L1275" i="2"/>
  <c r="K1275" i="2"/>
  <c r="J1275" i="2"/>
  <c r="I1275" i="2"/>
  <c r="H1275" i="2"/>
  <c r="G1275" i="2"/>
  <c r="F1275" i="2"/>
  <c r="E1275" i="2"/>
  <c r="D1275" i="2"/>
  <c r="C1275" i="2"/>
  <c r="B1275" i="2"/>
  <c r="A1275" i="2"/>
  <c r="R1274" i="2"/>
  <c r="Q1274" i="2"/>
  <c r="P1274" i="2"/>
  <c r="O1274" i="2"/>
  <c r="M1274" i="2"/>
  <c r="L1274" i="2"/>
  <c r="K1274" i="2"/>
  <c r="J1274" i="2"/>
  <c r="I1274" i="2"/>
  <c r="H1274" i="2"/>
  <c r="G1274" i="2"/>
  <c r="F1274" i="2"/>
  <c r="E1274" i="2"/>
  <c r="D1274" i="2"/>
  <c r="C1274" i="2"/>
  <c r="B1274" i="2"/>
  <c r="A1274" i="2"/>
  <c r="R1273" i="2"/>
  <c r="Q1273" i="2"/>
  <c r="O1273" i="2"/>
  <c r="M1273" i="2"/>
  <c r="L1273" i="2"/>
  <c r="K1273" i="2"/>
  <c r="J1273" i="2"/>
  <c r="G1273" i="2"/>
  <c r="F1273" i="2"/>
  <c r="E1273" i="2"/>
  <c r="D1273" i="2"/>
  <c r="C1273" i="2"/>
  <c r="B1273" i="2"/>
  <c r="A1273" i="2"/>
  <c r="R1272" i="2"/>
  <c r="Q1272" i="2"/>
  <c r="P1272" i="2"/>
  <c r="O1272" i="2"/>
  <c r="N1272" i="2"/>
  <c r="M1272" i="2"/>
  <c r="L1272" i="2"/>
  <c r="K1272" i="2"/>
  <c r="J1272" i="2"/>
  <c r="I1272" i="2"/>
  <c r="H1272" i="2"/>
  <c r="G1272" i="2"/>
  <c r="F1272" i="2"/>
  <c r="E1272" i="2"/>
  <c r="D1272" i="2"/>
  <c r="C1272" i="2"/>
  <c r="B1272" i="2"/>
  <c r="A1272" i="2"/>
  <c r="R1271" i="2"/>
  <c r="Q1271" i="2"/>
  <c r="P1271" i="2"/>
  <c r="O1271" i="2"/>
  <c r="M1271" i="2"/>
  <c r="L1271" i="2"/>
  <c r="K1271" i="2"/>
  <c r="J1271" i="2"/>
  <c r="I1271" i="2"/>
  <c r="H1271" i="2"/>
  <c r="G1271" i="2"/>
  <c r="F1271" i="2"/>
  <c r="E1271" i="2"/>
  <c r="D1271" i="2"/>
  <c r="C1271" i="2"/>
  <c r="B1271" i="2"/>
  <c r="A1271" i="2"/>
  <c r="R1270" i="2"/>
  <c r="Q1270" i="2"/>
  <c r="P1270" i="2"/>
  <c r="O1270" i="2"/>
  <c r="M1270" i="2"/>
  <c r="L1270" i="2"/>
  <c r="K1270" i="2"/>
  <c r="J1270" i="2"/>
  <c r="I1270" i="2"/>
  <c r="H1270" i="2"/>
  <c r="G1270" i="2"/>
  <c r="F1270" i="2"/>
  <c r="E1270" i="2"/>
  <c r="D1270" i="2"/>
  <c r="C1270" i="2"/>
  <c r="B1270" i="2"/>
  <c r="A1270" i="2"/>
  <c r="R1269" i="2"/>
  <c r="Q1269" i="2"/>
  <c r="P1269" i="2"/>
  <c r="O1269" i="2"/>
  <c r="M1269" i="2"/>
  <c r="L1269" i="2"/>
  <c r="K1269" i="2"/>
  <c r="J1269" i="2"/>
  <c r="I1269" i="2"/>
  <c r="H1269" i="2"/>
  <c r="G1269" i="2"/>
  <c r="F1269" i="2"/>
  <c r="E1269" i="2"/>
  <c r="D1269" i="2"/>
  <c r="C1269" i="2"/>
  <c r="B1269" i="2"/>
  <c r="A1269" i="2"/>
  <c r="R1268" i="2"/>
  <c r="Q1268" i="2"/>
  <c r="P1268" i="2"/>
  <c r="O1268" i="2"/>
  <c r="M1268" i="2"/>
  <c r="L1268" i="2"/>
  <c r="K1268" i="2"/>
  <c r="J1268" i="2"/>
  <c r="I1268" i="2"/>
  <c r="H1268" i="2"/>
  <c r="G1268" i="2"/>
  <c r="F1268" i="2"/>
  <c r="E1268" i="2"/>
  <c r="D1268" i="2"/>
  <c r="C1268" i="2"/>
  <c r="B1268" i="2"/>
  <c r="A1268" i="2"/>
  <c r="R1267" i="2"/>
  <c r="Q1267" i="2"/>
  <c r="P1267" i="2"/>
  <c r="O1267" i="2"/>
  <c r="M1267" i="2"/>
  <c r="L1267" i="2"/>
  <c r="K1267" i="2"/>
  <c r="J1267" i="2"/>
  <c r="I1267" i="2"/>
  <c r="H1267" i="2"/>
  <c r="G1267" i="2"/>
  <c r="F1267" i="2"/>
  <c r="E1267" i="2"/>
  <c r="D1267" i="2"/>
  <c r="C1267" i="2"/>
  <c r="B1267" i="2"/>
  <c r="A1267" i="2"/>
  <c r="R1266" i="2"/>
  <c r="Q1266" i="2"/>
  <c r="P1266" i="2"/>
  <c r="O1266" i="2"/>
  <c r="M1266" i="2"/>
  <c r="L1266" i="2"/>
  <c r="K1266" i="2"/>
  <c r="J1266" i="2"/>
  <c r="I1266" i="2"/>
  <c r="H1266" i="2"/>
  <c r="G1266" i="2"/>
  <c r="F1266" i="2"/>
  <c r="E1266" i="2"/>
  <c r="D1266" i="2"/>
  <c r="C1266" i="2"/>
  <c r="B1266" i="2"/>
  <c r="A1266" i="2"/>
  <c r="R1265" i="2"/>
  <c r="Q1265" i="2"/>
  <c r="P1265" i="2"/>
  <c r="O1265" i="2"/>
  <c r="M1265" i="2"/>
  <c r="L1265" i="2"/>
  <c r="K1265" i="2"/>
  <c r="J1265" i="2"/>
  <c r="I1265" i="2"/>
  <c r="H1265" i="2"/>
  <c r="G1265" i="2"/>
  <c r="F1265" i="2"/>
  <c r="E1265" i="2"/>
  <c r="D1265" i="2"/>
  <c r="C1265" i="2"/>
  <c r="B1265" i="2"/>
  <c r="A1265" i="2"/>
  <c r="R1264" i="2"/>
  <c r="Q1264" i="2"/>
  <c r="O1264" i="2"/>
  <c r="M1264" i="2"/>
  <c r="L1264" i="2"/>
  <c r="K1264" i="2"/>
  <c r="J1264" i="2"/>
  <c r="G1264" i="2"/>
  <c r="F1264" i="2"/>
  <c r="E1264" i="2"/>
  <c r="D1264" i="2"/>
  <c r="C1264" i="2"/>
  <c r="B1264" i="2"/>
  <c r="A1264" i="2"/>
  <c r="R1263" i="2"/>
  <c r="Q1263" i="2"/>
  <c r="P1263" i="2"/>
  <c r="O1263" i="2"/>
  <c r="M1263" i="2"/>
  <c r="L1263" i="2"/>
  <c r="K1263" i="2"/>
  <c r="J1263" i="2"/>
  <c r="I1263" i="2"/>
  <c r="H1263" i="2"/>
  <c r="G1263" i="2"/>
  <c r="F1263" i="2"/>
  <c r="E1263" i="2"/>
  <c r="D1263" i="2"/>
  <c r="C1263" i="2"/>
  <c r="B1263" i="2"/>
  <c r="A1263" i="2"/>
  <c r="Q1262" i="2"/>
  <c r="O1262" i="2"/>
  <c r="L1262" i="2"/>
  <c r="K1262" i="2"/>
  <c r="J1262" i="2"/>
  <c r="H1262" i="2"/>
  <c r="G1262" i="2"/>
  <c r="F1262" i="2"/>
  <c r="E1262" i="2"/>
  <c r="D1262" i="2"/>
  <c r="C1262" i="2"/>
  <c r="B1262" i="2"/>
  <c r="A1262" i="2"/>
  <c r="Q1261" i="2"/>
  <c r="O1261" i="2"/>
  <c r="L1261" i="2"/>
  <c r="K1261" i="2"/>
  <c r="J1261" i="2"/>
  <c r="G1261" i="2"/>
  <c r="F1261" i="2"/>
  <c r="E1261" i="2"/>
  <c r="D1261" i="2"/>
  <c r="C1261" i="2"/>
  <c r="B1261" i="2"/>
  <c r="A1261" i="2"/>
  <c r="R1260" i="2"/>
  <c r="Q1260" i="2"/>
  <c r="P1260" i="2"/>
  <c r="O1260" i="2"/>
  <c r="M1260" i="2"/>
  <c r="L1260" i="2"/>
  <c r="K1260" i="2"/>
  <c r="J1260" i="2"/>
  <c r="I1260" i="2"/>
  <c r="H1260" i="2"/>
  <c r="G1260" i="2"/>
  <c r="F1260" i="2"/>
  <c r="E1260" i="2"/>
  <c r="D1260" i="2"/>
  <c r="C1260" i="2"/>
  <c r="B1260" i="2"/>
  <c r="A1260" i="2"/>
  <c r="R1259" i="2"/>
  <c r="Q1259" i="2"/>
  <c r="P1259" i="2"/>
  <c r="O1259" i="2"/>
  <c r="M1259" i="2"/>
  <c r="L1259" i="2"/>
  <c r="K1259" i="2"/>
  <c r="J1259" i="2"/>
  <c r="I1259" i="2"/>
  <c r="H1259" i="2"/>
  <c r="G1259" i="2"/>
  <c r="F1259" i="2"/>
  <c r="E1259" i="2"/>
  <c r="D1259" i="2"/>
  <c r="C1259" i="2"/>
  <c r="B1259" i="2"/>
  <c r="A1259" i="2"/>
  <c r="R1258" i="2"/>
  <c r="Q1258" i="2"/>
  <c r="P1258" i="2"/>
  <c r="O1258" i="2"/>
  <c r="M1258" i="2"/>
  <c r="L1258" i="2"/>
  <c r="K1258" i="2"/>
  <c r="J1258" i="2"/>
  <c r="I1258" i="2"/>
  <c r="H1258" i="2"/>
  <c r="G1258" i="2"/>
  <c r="F1258" i="2"/>
  <c r="E1258" i="2"/>
  <c r="D1258" i="2"/>
  <c r="C1258" i="2"/>
  <c r="B1258" i="2"/>
  <c r="A1258" i="2"/>
  <c r="U1257" i="2"/>
  <c r="R1257" i="2"/>
  <c r="Q1257" i="2"/>
  <c r="P1257" i="2"/>
  <c r="O1257" i="2"/>
  <c r="N1257" i="2"/>
  <c r="M1257" i="2"/>
  <c r="L1257" i="2"/>
  <c r="K1257" i="2"/>
  <c r="J1257" i="2"/>
  <c r="I1257" i="2"/>
  <c r="H1257" i="2"/>
  <c r="G1257" i="2"/>
  <c r="F1257" i="2"/>
  <c r="E1257" i="2"/>
  <c r="D1257" i="2"/>
  <c r="C1257" i="2"/>
  <c r="B1257" i="2"/>
  <c r="A1257" i="2"/>
  <c r="R1256" i="2"/>
  <c r="Q1256" i="2"/>
  <c r="P1256" i="2"/>
  <c r="O1256" i="2"/>
  <c r="M1256" i="2"/>
  <c r="L1256" i="2"/>
  <c r="K1256" i="2"/>
  <c r="J1256" i="2"/>
  <c r="I1256" i="2"/>
  <c r="H1256" i="2"/>
  <c r="G1256" i="2"/>
  <c r="F1256" i="2"/>
  <c r="E1256" i="2"/>
  <c r="D1256" i="2"/>
  <c r="C1256" i="2"/>
  <c r="B1256" i="2"/>
  <c r="A1256" i="2"/>
  <c r="R1255" i="2"/>
  <c r="Q1255" i="2"/>
  <c r="O1255" i="2"/>
  <c r="M1255" i="2"/>
  <c r="L1255" i="2"/>
  <c r="K1255" i="2"/>
  <c r="J1255" i="2"/>
  <c r="G1255" i="2"/>
  <c r="F1255" i="2"/>
  <c r="E1255" i="2"/>
  <c r="D1255" i="2"/>
  <c r="C1255" i="2"/>
  <c r="B1255" i="2"/>
  <c r="A1255" i="2"/>
  <c r="R1254" i="2"/>
  <c r="Q1254" i="2"/>
  <c r="P1254" i="2"/>
  <c r="O1254" i="2"/>
  <c r="M1254" i="2"/>
  <c r="L1254" i="2"/>
  <c r="K1254" i="2"/>
  <c r="J1254" i="2"/>
  <c r="I1254" i="2"/>
  <c r="H1254" i="2"/>
  <c r="G1254" i="2"/>
  <c r="F1254" i="2"/>
  <c r="E1254" i="2"/>
  <c r="D1254" i="2"/>
  <c r="C1254" i="2"/>
  <c r="B1254" i="2"/>
  <c r="A1254" i="2"/>
  <c r="R1253" i="2"/>
  <c r="Q1253" i="2"/>
  <c r="O1253" i="2"/>
  <c r="M1253" i="2"/>
  <c r="L1253" i="2"/>
  <c r="K1253" i="2"/>
  <c r="J1253" i="2"/>
  <c r="G1253" i="2"/>
  <c r="F1253" i="2"/>
  <c r="E1253" i="2"/>
  <c r="D1253" i="2"/>
  <c r="C1253" i="2"/>
  <c r="B1253" i="2"/>
  <c r="A1253" i="2"/>
  <c r="R1252" i="2"/>
  <c r="Q1252" i="2"/>
  <c r="P1252" i="2"/>
  <c r="O1252" i="2"/>
  <c r="M1252" i="2"/>
  <c r="L1252" i="2"/>
  <c r="K1252" i="2"/>
  <c r="J1252" i="2"/>
  <c r="I1252" i="2"/>
  <c r="H1252" i="2"/>
  <c r="G1252" i="2"/>
  <c r="F1252" i="2"/>
  <c r="E1252" i="2"/>
  <c r="D1252" i="2"/>
  <c r="C1252" i="2"/>
  <c r="B1252" i="2"/>
  <c r="A1252" i="2"/>
  <c r="R1251" i="2"/>
  <c r="Q1251" i="2"/>
  <c r="O1251" i="2"/>
  <c r="M1251" i="2"/>
  <c r="L1251" i="2"/>
  <c r="K1251" i="2"/>
  <c r="J1251" i="2"/>
  <c r="G1251" i="2"/>
  <c r="F1251" i="2"/>
  <c r="E1251" i="2"/>
  <c r="D1251" i="2"/>
  <c r="C1251" i="2"/>
  <c r="B1251" i="2"/>
  <c r="A1251" i="2"/>
  <c r="R1250" i="2"/>
  <c r="Q1250" i="2"/>
  <c r="P1250" i="2"/>
  <c r="O1250" i="2"/>
  <c r="M1250" i="2"/>
  <c r="L1250" i="2"/>
  <c r="K1250" i="2"/>
  <c r="J1250" i="2"/>
  <c r="I1250" i="2"/>
  <c r="H1250" i="2"/>
  <c r="G1250" i="2"/>
  <c r="F1250" i="2"/>
  <c r="E1250" i="2"/>
  <c r="D1250" i="2"/>
  <c r="C1250" i="2"/>
  <c r="B1250" i="2"/>
  <c r="A1250" i="2"/>
  <c r="R1249" i="2"/>
  <c r="Q1249" i="2"/>
  <c r="O1249" i="2"/>
  <c r="M1249" i="2"/>
  <c r="L1249" i="2"/>
  <c r="K1249" i="2"/>
  <c r="J1249" i="2"/>
  <c r="G1249" i="2"/>
  <c r="F1249" i="2"/>
  <c r="E1249" i="2"/>
  <c r="D1249" i="2"/>
  <c r="C1249" i="2"/>
  <c r="B1249" i="2"/>
  <c r="A1249" i="2"/>
  <c r="R1248" i="2"/>
  <c r="Q1248" i="2"/>
  <c r="P1248" i="2"/>
  <c r="O1248" i="2"/>
  <c r="M1248" i="2"/>
  <c r="L1248" i="2"/>
  <c r="K1248" i="2"/>
  <c r="J1248" i="2"/>
  <c r="I1248" i="2"/>
  <c r="H1248" i="2"/>
  <c r="G1248" i="2"/>
  <c r="F1248" i="2"/>
  <c r="E1248" i="2"/>
  <c r="D1248" i="2"/>
  <c r="C1248" i="2"/>
  <c r="B1248" i="2"/>
  <c r="A1248" i="2"/>
  <c r="U1247" i="2"/>
  <c r="R1247" i="2"/>
  <c r="Q1247" i="2"/>
  <c r="P1247" i="2"/>
  <c r="O1247" i="2"/>
  <c r="N1247" i="2"/>
  <c r="M1247" i="2"/>
  <c r="L1247" i="2"/>
  <c r="K1247" i="2"/>
  <c r="J1247" i="2"/>
  <c r="I1247" i="2"/>
  <c r="H1247" i="2"/>
  <c r="G1247" i="2"/>
  <c r="F1247" i="2"/>
  <c r="E1247" i="2"/>
  <c r="D1247" i="2"/>
  <c r="C1247" i="2"/>
  <c r="B1247" i="2"/>
  <c r="A1247" i="2"/>
  <c r="R1246" i="2"/>
  <c r="Q1246" i="2"/>
  <c r="P1246" i="2"/>
  <c r="O1246" i="2"/>
  <c r="N1246" i="2"/>
  <c r="M1246" i="2"/>
  <c r="L1246" i="2"/>
  <c r="K1246" i="2"/>
  <c r="J1246" i="2"/>
  <c r="I1246" i="2"/>
  <c r="H1246" i="2"/>
  <c r="G1246" i="2"/>
  <c r="F1246" i="2"/>
  <c r="E1246" i="2"/>
  <c r="D1246" i="2"/>
  <c r="C1246" i="2"/>
  <c r="B1246" i="2"/>
  <c r="A1246" i="2"/>
  <c r="R1245" i="2"/>
  <c r="Q1245" i="2"/>
  <c r="P1245" i="2"/>
  <c r="O1245" i="2"/>
  <c r="N1245" i="2"/>
  <c r="M1245" i="2"/>
  <c r="L1245" i="2"/>
  <c r="K1245" i="2"/>
  <c r="J1245" i="2"/>
  <c r="I1245" i="2"/>
  <c r="H1245" i="2"/>
  <c r="G1245" i="2"/>
  <c r="F1245" i="2"/>
  <c r="E1245" i="2"/>
  <c r="D1245" i="2"/>
  <c r="C1245" i="2"/>
  <c r="B1245" i="2"/>
  <c r="A1245" i="2"/>
  <c r="R1244" i="2"/>
  <c r="Q1244" i="2"/>
  <c r="O1244" i="2"/>
  <c r="M1244" i="2"/>
  <c r="L1244" i="2"/>
  <c r="K1244" i="2"/>
  <c r="J1244" i="2"/>
  <c r="G1244" i="2"/>
  <c r="F1244" i="2"/>
  <c r="E1244" i="2"/>
  <c r="D1244" i="2"/>
  <c r="C1244" i="2"/>
  <c r="B1244" i="2"/>
  <c r="A1244" i="2"/>
  <c r="R1243" i="2"/>
  <c r="Q1243" i="2"/>
  <c r="P1243" i="2"/>
  <c r="O1243" i="2"/>
  <c r="M1243" i="2"/>
  <c r="L1243" i="2"/>
  <c r="K1243" i="2"/>
  <c r="J1243" i="2"/>
  <c r="I1243" i="2"/>
  <c r="H1243" i="2"/>
  <c r="G1243" i="2"/>
  <c r="F1243" i="2"/>
  <c r="E1243" i="2"/>
  <c r="D1243" i="2"/>
  <c r="C1243" i="2"/>
  <c r="B1243" i="2"/>
  <c r="A1243" i="2"/>
  <c r="R1242" i="2"/>
  <c r="Q1242" i="2"/>
  <c r="P1242" i="2"/>
  <c r="O1242" i="2"/>
  <c r="M1242" i="2"/>
  <c r="L1242" i="2"/>
  <c r="K1242" i="2"/>
  <c r="J1242" i="2"/>
  <c r="I1242" i="2"/>
  <c r="H1242" i="2"/>
  <c r="G1242" i="2"/>
  <c r="F1242" i="2"/>
  <c r="E1242" i="2"/>
  <c r="D1242" i="2"/>
  <c r="C1242" i="2"/>
  <c r="B1242" i="2"/>
  <c r="A1242" i="2"/>
  <c r="R1241" i="2"/>
  <c r="Q1241" i="2"/>
  <c r="P1241" i="2"/>
  <c r="O1241" i="2"/>
  <c r="M1241" i="2"/>
  <c r="L1241" i="2"/>
  <c r="K1241" i="2"/>
  <c r="J1241" i="2"/>
  <c r="I1241" i="2"/>
  <c r="H1241" i="2"/>
  <c r="G1241" i="2"/>
  <c r="F1241" i="2"/>
  <c r="E1241" i="2"/>
  <c r="D1241" i="2"/>
  <c r="C1241" i="2"/>
  <c r="B1241" i="2"/>
  <c r="A1241" i="2"/>
  <c r="R1240" i="2"/>
  <c r="Q1240" i="2"/>
  <c r="P1240" i="2"/>
  <c r="O1240" i="2"/>
  <c r="M1240" i="2"/>
  <c r="L1240" i="2"/>
  <c r="K1240" i="2"/>
  <c r="J1240" i="2"/>
  <c r="I1240" i="2"/>
  <c r="H1240" i="2"/>
  <c r="G1240" i="2"/>
  <c r="F1240" i="2"/>
  <c r="E1240" i="2"/>
  <c r="D1240" i="2"/>
  <c r="C1240" i="2"/>
  <c r="B1240" i="2"/>
  <c r="A1240" i="2"/>
  <c r="R1239" i="2"/>
  <c r="Q1239" i="2"/>
  <c r="O1239" i="2"/>
  <c r="M1239" i="2"/>
  <c r="L1239" i="2"/>
  <c r="K1239" i="2"/>
  <c r="J1239" i="2"/>
  <c r="G1239" i="2"/>
  <c r="F1239" i="2"/>
  <c r="E1239" i="2"/>
  <c r="D1239" i="2"/>
  <c r="C1239" i="2"/>
  <c r="B1239" i="2"/>
  <c r="A1239" i="2"/>
  <c r="U1238" i="2"/>
  <c r="R1238" i="2"/>
  <c r="Q1238" i="2"/>
  <c r="P1238" i="2"/>
  <c r="O1238" i="2"/>
  <c r="M1238" i="2"/>
  <c r="L1238" i="2"/>
  <c r="K1238" i="2"/>
  <c r="J1238" i="2"/>
  <c r="I1238" i="2"/>
  <c r="H1238" i="2"/>
  <c r="G1238" i="2"/>
  <c r="F1238" i="2"/>
  <c r="E1238" i="2"/>
  <c r="D1238" i="2"/>
  <c r="C1238" i="2"/>
  <c r="B1238" i="2"/>
  <c r="A1238" i="2"/>
  <c r="U1237" i="2"/>
  <c r="R1237" i="2"/>
  <c r="Q1237" i="2"/>
  <c r="P1237" i="2"/>
  <c r="O1237" i="2"/>
  <c r="M1237" i="2"/>
  <c r="L1237" i="2"/>
  <c r="K1237" i="2"/>
  <c r="J1237" i="2"/>
  <c r="I1237" i="2"/>
  <c r="H1237" i="2"/>
  <c r="G1237" i="2"/>
  <c r="F1237" i="2"/>
  <c r="E1237" i="2"/>
  <c r="D1237" i="2"/>
  <c r="C1237" i="2"/>
  <c r="B1237" i="2"/>
  <c r="A1237" i="2"/>
  <c r="U1236" i="2"/>
  <c r="R1236" i="2"/>
  <c r="Q1236" i="2"/>
  <c r="P1236" i="2"/>
  <c r="O1236" i="2"/>
  <c r="M1236" i="2"/>
  <c r="L1236" i="2"/>
  <c r="K1236" i="2"/>
  <c r="J1236" i="2"/>
  <c r="I1236" i="2"/>
  <c r="H1236" i="2"/>
  <c r="G1236" i="2"/>
  <c r="F1236" i="2"/>
  <c r="E1236" i="2"/>
  <c r="D1236" i="2"/>
  <c r="C1236" i="2"/>
  <c r="B1236" i="2"/>
  <c r="A1236" i="2"/>
  <c r="U1235" i="2"/>
  <c r="R1235" i="2"/>
  <c r="Q1235" i="2"/>
  <c r="P1235" i="2"/>
  <c r="O1235" i="2"/>
  <c r="M1235" i="2"/>
  <c r="L1235" i="2"/>
  <c r="K1235" i="2"/>
  <c r="J1235" i="2"/>
  <c r="I1235" i="2"/>
  <c r="H1235" i="2"/>
  <c r="G1235" i="2"/>
  <c r="F1235" i="2"/>
  <c r="E1235" i="2"/>
  <c r="D1235" i="2"/>
  <c r="C1235" i="2"/>
  <c r="B1235" i="2"/>
  <c r="A1235" i="2"/>
  <c r="U1234" i="2"/>
  <c r="R1234" i="2"/>
  <c r="Q1234" i="2"/>
  <c r="P1234" i="2"/>
  <c r="O1234" i="2"/>
  <c r="M1234" i="2"/>
  <c r="L1234" i="2"/>
  <c r="K1234" i="2"/>
  <c r="J1234" i="2"/>
  <c r="I1234" i="2"/>
  <c r="H1234" i="2"/>
  <c r="G1234" i="2"/>
  <c r="F1234" i="2"/>
  <c r="E1234" i="2"/>
  <c r="D1234" i="2"/>
  <c r="C1234" i="2"/>
  <c r="B1234" i="2"/>
  <c r="A1234" i="2"/>
  <c r="U1233" i="2"/>
  <c r="R1233" i="2"/>
  <c r="Q1233" i="2"/>
  <c r="P1233" i="2"/>
  <c r="O1233" i="2"/>
  <c r="M1233" i="2"/>
  <c r="L1233" i="2"/>
  <c r="K1233" i="2"/>
  <c r="J1233" i="2"/>
  <c r="I1233" i="2"/>
  <c r="H1233" i="2"/>
  <c r="G1233" i="2"/>
  <c r="F1233" i="2"/>
  <c r="E1233" i="2"/>
  <c r="D1233" i="2"/>
  <c r="C1233" i="2"/>
  <c r="B1233" i="2"/>
  <c r="A1233" i="2"/>
  <c r="U1232" i="2"/>
  <c r="R1232" i="2"/>
  <c r="Q1232" i="2"/>
  <c r="P1232" i="2"/>
  <c r="O1232" i="2"/>
  <c r="M1232" i="2"/>
  <c r="L1232" i="2"/>
  <c r="K1232" i="2"/>
  <c r="J1232" i="2"/>
  <c r="I1232" i="2"/>
  <c r="H1232" i="2"/>
  <c r="G1232" i="2"/>
  <c r="F1232" i="2"/>
  <c r="E1232" i="2"/>
  <c r="D1232" i="2"/>
  <c r="C1232" i="2"/>
  <c r="B1232" i="2"/>
  <c r="A1232" i="2"/>
  <c r="U1231" i="2"/>
  <c r="R1231" i="2"/>
  <c r="Q1231" i="2"/>
  <c r="P1231" i="2"/>
  <c r="O1231" i="2"/>
  <c r="M1231" i="2"/>
  <c r="L1231" i="2"/>
  <c r="K1231" i="2"/>
  <c r="J1231" i="2"/>
  <c r="I1231" i="2"/>
  <c r="H1231" i="2"/>
  <c r="G1231" i="2"/>
  <c r="F1231" i="2"/>
  <c r="E1231" i="2"/>
  <c r="D1231" i="2"/>
  <c r="C1231" i="2"/>
  <c r="B1231" i="2"/>
  <c r="A1231" i="2"/>
  <c r="U1230" i="2"/>
  <c r="R1230" i="2"/>
  <c r="Q1230" i="2"/>
  <c r="P1230" i="2"/>
  <c r="O1230" i="2"/>
  <c r="M1230" i="2"/>
  <c r="L1230" i="2"/>
  <c r="K1230" i="2"/>
  <c r="J1230" i="2"/>
  <c r="I1230" i="2"/>
  <c r="H1230" i="2"/>
  <c r="G1230" i="2"/>
  <c r="F1230" i="2"/>
  <c r="E1230" i="2"/>
  <c r="D1230" i="2"/>
  <c r="C1230" i="2"/>
  <c r="B1230" i="2"/>
  <c r="A1230" i="2"/>
  <c r="U1229" i="2"/>
  <c r="R1229" i="2"/>
  <c r="Q1229" i="2"/>
  <c r="P1229" i="2"/>
  <c r="O1229" i="2"/>
  <c r="M1229" i="2"/>
  <c r="L1229" i="2"/>
  <c r="K1229" i="2"/>
  <c r="J1229" i="2"/>
  <c r="I1229" i="2"/>
  <c r="H1229" i="2"/>
  <c r="G1229" i="2"/>
  <c r="F1229" i="2"/>
  <c r="E1229" i="2"/>
  <c r="D1229" i="2"/>
  <c r="C1229" i="2"/>
  <c r="B1229" i="2"/>
  <c r="A1229" i="2"/>
  <c r="U1228" i="2"/>
  <c r="R1228" i="2"/>
  <c r="Q1228" i="2"/>
  <c r="P1228" i="2"/>
  <c r="O1228" i="2"/>
  <c r="M1228" i="2"/>
  <c r="L1228" i="2"/>
  <c r="K1228" i="2"/>
  <c r="J1228" i="2"/>
  <c r="I1228" i="2"/>
  <c r="H1228" i="2"/>
  <c r="G1228" i="2"/>
  <c r="F1228" i="2"/>
  <c r="E1228" i="2"/>
  <c r="D1228" i="2"/>
  <c r="C1228" i="2"/>
  <c r="B1228" i="2"/>
  <c r="A1228" i="2"/>
  <c r="U1227" i="2"/>
  <c r="R1227" i="2"/>
  <c r="Q1227" i="2"/>
  <c r="P1227" i="2"/>
  <c r="O1227" i="2"/>
  <c r="M1227" i="2"/>
  <c r="L1227" i="2"/>
  <c r="K1227" i="2"/>
  <c r="J1227" i="2"/>
  <c r="I1227" i="2"/>
  <c r="H1227" i="2"/>
  <c r="G1227" i="2"/>
  <c r="F1227" i="2"/>
  <c r="E1227" i="2"/>
  <c r="D1227" i="2"/>
  <c r="C1227" i="2"/>
  <c r="B1227" i="2"/>
  <c r="A1227" i="2"/>
  <c r="U1226" i="2"/>
  <c r="R1226" i="2"/>
  <c r="Q1226" i="2"/>
  <c r="P1226" i="2"/>
  <c r="O1226" i="2"/>
  <c r="M1226" i="2"/>
  <c r="L1226" i="2"/>
  <c r="K1226" i="2"/>
  <c r="J1226" i="2"/>
  <c r="I1226" i="2"/>
  <c r="H1226" i="2"/>
  <c r="G1226" i="2"/>
  <c r="F1226" i="2"/>
  <c r="E1226" i="2"/>
  <c r="D1226" i="2"/>
  <c r="C1226" i="2"/>
  <c r="B1226" i="2"/>
  <c r="A1226" i="2"/>
  <c r="U1225" i="2"/>
  <c r="R1225" i="2"/>
  <c r="Q1225" i="2"/>
  <c r="P1225" i="2"/>
  <c r="O1225" i="2"/>
  <c r="M1225" i="2"/>
  <c r="L1225" i="2"/>
  <c r="K1225" i="2"/>
  <c r="J1225" i="2"/>
  <c r="I1225" i="2"/>
  <c r="H1225" i="2"/>
  <c r="G1225" i="2"/>
  <c r="F1225" i="2"/>
  <c r="E1225" i="2"/>
  <c r="D1225" i="2"/>
  <c r="C1225" i="2"/>
  <c r="B1225" i="2"/>
  <c r="A1225" i="2"/>
  <c r="U1224" i="2"/>
  <c r="R1224" i="2"/>
  <c r="Q1224" i="2"/>
  <c r="P1224" i="2"/>
  <c r="O1224" i="2"/>
  <c r="M1224" i="2"/>
  <c r="L1224" i="2"/>
  <c r="K1224" i="2"/>
  <c r="J1224" i="2"/>
  <c r="I1224" i="2"/>
  <c r="H1224" i="2"/>
  <c r="G1224" i="2"/>
  <c r="F1224" i="2"/>
  <c r="E1224" i="2"/>
  <c r="D1224" i="2"/>
  <c r="C1224" i="2"/>
  <c r="B1224" i="2"/>
  <c r="A1224" i="2"/>
  <c r="U1223" i="2"/>
  <c r="R1223" i="2"/>
  <c r="Q1223" i="2"/>
  <c r="P1223" i="2"/>
  <c r="O1223" i="2"/>
  <c r="M1223" i="2"/>
  <c r="L1223" i="2"/>
  <c r="K1223" i="2"/>
  <c r="J1223" i="2"/>
  <c r="I1223" i="2"/>
  <c r="H1223" i="2"/>
  <c r="G1223" i="2"/>
  <c r="F1223" i="2"/>
  <c r="E1223" i="2"/>
  <c r="D1223" i="2"/>
  <c r="C1223" i="2"/>
  <c r="B1223" i="2"/>
  <c r="A1223" i="2"/>
  <c r="U1222" i="2"/>
  <c r="R1222" i="2"/>
  <c r="Q1222" i="2"/>
  <c r="P1222" i="2"/>
  <c r="O1222" i="2"/>
  <c r="M1222" i="2"/>
  <c r="L1222" i="2"/>
  <c r="K1222" i="2"/>
  <c r="J1222" i="2"/>
  <c r="I1222" i="2"/>
  <c r="H1222" i="2"/>
  <c r="G1222" i="2"/>
  <c r="F1222" i="2"/>
  <c r="E1222" i="2"/>
  <c r="D1222" i="2"/>
  <c r="C1222" i="2"/>
  <c r="B1222" i="2"/>
  <c r="A1222" i="2"/>
  <c r="U1221" i="2"/>
  <c r="R1221" i="2"/>
  <c r="Q1221" i="2"/>
  <c r="P1221" i="2"/>
  <c r="O1221" i="2"/>
  <c r="M1221" i="2"/>
  <c r="L1221" i="2"/>
  <c r="K1221" i="2"/>
  <c r="J1221" i="2"/>
  <c r="I1221" i="2"/>
  <c r="H1221" i="2"/>
  <c r="G1221" i="2"/>
  <c r="F1221" i="2"/>
  <c r="E1221" i="2"/>
  <c r="D1221" i="2"/>
  <c r="C1221" i="2"/>
  <c r="B1221" i="2"/>
  <c r="A1221" i="2"/>
  <c r="U1220" i="2"/>
  <c r="R1220" i="2"/>
  <c r="Q1220" i="2"/>
  <c r="O1220" i="2"/>
  <c r="M1220" i="2"/>
  <c r="L1220" i="2"/>
  <c r="K1220" i="2"/>
  <c r="J1220" i="2"/>
  <c r="G1220" i="2"/>
  <c r="F1220" i="2"/>
  <c r="E1220" i="2"/>
  <c r="D1220" i="2"/>
  <c r="C1220" i="2"/>
  <c r="B1220" i="2"/>
  <c r="A1220" i="2"/>
  <c r="U1219" i="2"/>
  <c r="R1219" i="2"/>
  <c r="Q1219" i="2"/>
  <c r="O1219" i="2"/>
  <c r="M1219" i="2"/>
  <c r="L1219" i="2"/>
  <c r="K1219" i="2"/>
  <c r="J1219" i="2"/>
  <c r="G1219" i="2"/>
  <c r="F1219" i="2"/>
  <c r="E1219" i="2"/>
  <c r="D1219" i="2"/>
  <c r="C1219" i="2"/>
  <c r="B1219" i="2"/>
  <c r="A1219" i="2"/>
  <c r="R1218" i="2"/>
  <c r="Q1218" i="2"/>
  <c r="P1218" i="2"/>
  <c r="O1218" i="2"/>
  <c r="M1218" i="2"/>
  <c r="L1218" i="2"/>
  <c r="K1218" i="2"/>
  <c r="J1218" i="2"/>
  <c r="I1218" i="2"/>
  <c r="H1218" i="2"/>
  <c r="G1218" i="2"/>
  <c r="F1218" i="2"/>
  <c r="E1218" i="2"/>
  <c r="D1218" i="2"/>
  <c r="C1218" i="2"/>
  <c r="B1218" i="2"/>
  <c r="A1218" i="2"/>
  <c r="R1217" i="2"/>
  <c r="Q1217" i="2"/>
  <c r="P1217" i="2"/>
  <c r="O1217" i="2"/>
  <c r="M1217" i="2"/>
  <c r="L1217" i="2"/>
  <c r="K1217" i="2"/>
  <c r="J1217" i="2"/>
  <c r="I1217" i="2"/>
  <c r="H1217" i="2"/>
  <c r="G1217" i="2"/>
  <c r="F1217" i="2"/>
  <c r="E1217" i="2"/>
  <c r="D1217" i="2"/>
  <c r="C1217" i="2"/>
  <c r="B1217" i="2"/>
  <c r="A1217" i="2"/>
  <c r="R1216" i="2"/>
  <c r="Q1216" i="2"/>
  <c r="P1216" i="2"/>
  <c r="O1216" i="2"/>
  <c r="M1216" i="2"/>
  <c r="L1216" i="2"/>
  <c r="K1216" i="2"/>
  <c r="J1216" i="2"/>
  <c r="I1216" i="2"/>
  <c r="H1216" i="2"/>
  <c r="G1216" i="2"/>
  <c r="F1216" i="2"/>
  <c r="E1216" i="2"/>
  <c r="D1216" i="2"/>
  <c r="C1216" i="2"/>
  <c r="B1216" i="2"/>
  <c r="A1216" i="2"/>
  <c r="R1215" i="2"/>
  <c r="Q1215" i="2"/>
  <c r="P1215" i="2"/>
  <c r="O1215" i="2"/>
  <c r="M1215" i="2"/>
  <c r="L1215" i="2"/>
  <c r="K1215" i="2"/>
  <c r="J1215" i="2"/>
  <c r="I1215" i="2"/>
  <c r="H1215" i="2"/>
  <c r="G1215" i="2"/>
  <c r="F1215" i="2"/>
  <c r="E1215" i="2"/>
  <c r="D1215" i="2"/>
  <c r="C1215" i="2"/>
  <c r="B1215" i="2"/>
  <c r="A1215" i="2"/>
  <c r="R1214" i="2"/>
  <c r="Q1214" i="2"/>
  <c r="P1214" i="2"/>
  <c r="O1214" i="2"/>
  <c r="M1214" i="2"/>
  <c r="L1214" i="2"/>
  <c r="K1214" i="2"/>
  <c r="J1214" i="2"/>
  <c r="I1214" i="2"/>
  <c r="H1214" i="2"/>
  <c r="G1214" i="2"/>
  <c r="F1214" i="2"/>
  <c r="E1214" i="2"/>
  <c r="D1214" i="2"/>
  <c r="C1214" i="2"/>
  <c r="B1214" i="2"/>
  <c r="A1214" i="2"/>
  <c r="R1213" i="2"/>
  <c r="Q1213" i="2"/>
  <c r="P1213" i="2"/>
  <c r="O1213" i="2"/>
  <c r="M1213" i="2"/>
  <c r="L1213" i="2"/>
  <c r="K1213" i="2"/>
  <c r="J1213" i="2"/>
  <c r="I1213" i="2"/>
  <c r="H1213" i="2"/>
  <c r="G1213" i="2"/>
  <c r="F1213" i="2"/>
  <c r="E1213" i="2"/>
  <c r="D1213" i="2"/>
  <c r="C1213" i="2"/>
  <c r="B1213" i="2"/>
  <c r="A1213" i="2"/>
  <c r="R1212" i="2"/>
  <c r="Q1212" i="2"/>
  <c r="P1212" i="2"/>
  <c r="O1212" i="2"/>
  <c r="M1212" i="2"/>
  <c r="L1212" i="2"/>
  <c r="K1212" i="2"/>
  <c r="J1212" i="2"/>
  <c r="I1212" i="2"/>
  <c r="H1212" i="2"/>
  <c r="G1212" i="2"/>
  <c r="F1212" i="2"/>
  <c r="E1212" i="2"/>
  <c r="D1212" i="2"/>
  <c r="C1212" i="2"/>
  <c r="B1212" i="2"/>
  <c r="A1212" i="2"/>
  <c r="R1211" i="2"/>
  <c r="Q1211" i="2"/>
  <c r="P1211" i="2"/>
  <c r="O1211" i="2"/>
  <c r="N1211" i="2"/>
  <c r="M1211" i="2"/>
  <c r="L1211" i="2"/>
  <c r="K1211" i="2"/>
  <c r="J1211" i="2"/>
  <c r="I1211" i="2"/>
  <c r="H1211" i="2"/>
  <c r="G1211" i="2"/>
  <c r="F1211" i="2"/>
  <c r="E1211" i="2"/>
  <c r="D1211" i="2"/>
  <c r="C1211" i="2"/>
  <c r="B1211" i="2"/>
  <c r="A1211" i="2"/>
  <c r="U1210" i="2"/>
  <c r="R1210" i="2"/>
  <c r="Q1210" i="2"/>
  <c r="P1210" i="2"/>
  <c r="O1210" i="2"/>
  <c r="M1210" i="2"/>
  <c r="L1210" i="2"/>
  <c r="K1210" i="2"/>
  <c r="J1210" i="2"/>
  <c r="I1210" i="2"/>
  <c r="H1210" i="2"/>
  <c r="G1210" i="2"/>
  <c r="F1210" i="2"/>
  <c r="E1210" i="2"/>
  <c r="D1210" i="2"/>
  <c r="C1210" i="2"/>
  <c r="B1210" i="2"/>
  <c r="A1210" i="2"/>
  <c r="U1209" i="2"/>
  <c r="R1209" i="2"/>
  <c r="Q1209" i="2"/>
  <c r="P1209" i="2"/>
  <c r="O1209" i="2"/>
  <c r="N1209" i="2"/>
  <c r="M1209" i="2"/>
  <c r="L1209" i="2"/>
  <c r="K1209" i="2"/>
  <c r="J1209" i="2"/>
  <c r="I1209" i="2"/>
  <c r="H1209" i="2"/>
  <c r="G1209" i="2"/>
  <c r="F1209" i="2"/>
  <c r="E1209" i="2"/>
  <c r="D1209" i="2"/>
  <c r="C1209" i="2"/>
  <c r="B1209" i="2"/>
  <c r="A1209" i="2"/>
  <c r="U1208" i="2"/>
  <c r="R1208" i="2"/>
  <c r="Q1208" i="2"/>
  <c r="P1208" i="2"/>
  <c r="O1208" i="2"/>
  <c r="M1208" i="2"/>
  <c r="L1208" i="2"/>
  <c r="K1208" i="2"/>
  <c r="J1208" i="2"/>
  <c r="I1208" i="2"/>
  <c r="H1208" i="2"/>
  <c r="G1208" i="2"/>
  <c r="F1208" i="2"/>
  <c r="E1208" i="2"/>
  <c r="D1208" i="2"/>
  <c r="C1208" i="2"/>
  <c r="B1208" i="2"/>
  <c r="A1208" i="2"/>
  <c r="U1207" i="2"/>
  <c r="R1207" i="2"/>
  <c r="Q1207" i="2"/>
  <c r="P1207" i="2"/>
  <c r="O1207" i="2"/>
  <c r="M1207" i="2"/>
  <c r="L1207" i="2"/>
  <c r="K1207" i="2"/>
  <c r="J1207" i="2"/>
  <c r="I1207" i="2"/>
  <c r="H1207" i="2"/>
  <c r="G1207" i="2"/>
  <c r="F1207" i="2"/>
  <c r="E1207" i="2"/>
  <c r="D1207" i="2"/>
  <c r="C1207" i="2"/>
  <c r="B1207" i="2"/>
  <c r="A1207" i="2"/>
  <c r="U1206" i="2"/>
  <c r="R1206" i="2"/>
  <c r="Q1206" i="2"/>
  <c r="P1206" i="2"/>
  <c r="O1206" i="2"/>
  <c r="M1206" i="2"/>
  <c r="L1206" i="2"/>
  <c r="K1206" i="2"/>
  <c r="J1206" i="2"/>
  <c r="I1206" i="2"/>
  <c r="H1206" i="2"/>
  <c r="G1206" i="2"/>
  <c r="F1206" i="2"/>
  <c r="E1206" i="2"/>
  <c r="D1206" i="2"/>
  <c r="C1206" i="2"/>
  <c r="B1206" i="2"/>
  <c r="A1206" i="2"/>
  <c r="U1205" i="2"/>
  <c r="R1205" i="2"/>
  <c r="Q1205" i="2"/>
  <c r="P1205" i="2"/>
  <c r="O1205" i="2"/>
  <c r="M1205" i="2"/>
  <c r="L1205" i="2"/>
  <c r="K1205" i="2"/>
  <c r="J1205" i="2"/>
  <c r="I1205" i="2"/>
  <c r="H1205" i="2"/>
  <c r="G1205" i="2"/>
  <c r="F1205" i="2"/>
  <c r="E1205" i="2"/>
  <c r="D1205" i="2"/>
  <c r="C1205" i="2"/>
  <c r="B1205" i="2"/>
  <c r="A1205" i="2"/>
  <c r="U1204" i="2"/>
  <c r="R1204" i="2"/>
  <c r="Q1204" i="2"/>
  <c r="O1204" i="2"/>
  <c r="M1204" i="2"/>
  <c r="L1204" i="2"/>
  <c r="K1204" i="2"/>
  <c r="J1204" i="2"/>
  <c r="G1204" i="2"/>
  <c r="F1204" i="2"/>
  <c r="E1204" i="2"/>
  <c r="D1204" i="2"/>
  <c r="C1204" i="2"/>
  <c r="B1204" i="2"/>
  <c r="A1204" i="2"/>
  <c r="U1203" i="2"/>
  <c r="R1203" i="2"/>
  <c r="Q1203" i="2"/>
  <c r="P1203" i="2"/>
  <c r="O1203" i="2"/>
  <c r="M1203" i="2"/>
  <c r="L1203" i="2"/>
  <c r="K1203" i="2"/>
  <c r="J1203" i="2"/>
  <c r="I1203" i="2"/>
  <c r="H1203" i="2"/>
  <c r="G1203" i="2"/>
  <c r="F1203" i="2"/>
  <c r="E1203" i="2"/>
  <c r="D1203" i="2"/>
  <c r="C1203" i="2"/>
  <c r="B1203" i="2"/>
  <c r="A1203" i="2"/>
  <c r="R1202" i="2"/>
  <c r="Q1202" i="2"/>
  <c r="P1202" i="2"/>
  <c r="O1202" i="2"/>
  <c r="N1202" i="2"/>
  <c r="M1202" i="2"/>
  <c r="L1202" i="2"/>
  <c r="K1202" i="2"/>
  <c r="J1202" i="2"/>
  <c r="I1202" i="2"/>
  <c r="H1202" i="2"/>
  <c r="G1202" i="2"/>
  <c r="F1202" i="2"/>
  <c r="E1202" i="2"/>
  <c r="D1202" i="2"/>
  <c r="C1202" i="2"/>
  <c r="B1202" i="2"/>
  <c r="A1202" i="2"/>
  <c r="R1201" i="2"/>
  <c r="Q1201" i="2"/>
  <c r="P1201" i="2"/>
  <c r="O1201" i="2"/>
  <c r="N1201" i="2"/>
  <c r="M1201" i="2"/>
  <c r="L1201" i="2"/>
  <c r="K1201" i="2"/>
  <c r="J1201" i="2"/>
  <c r="I1201" i="2"/>
  <c r="H1201" i="2"/>
  <c r="G1201" i="2"/>
  <c r="F1201" i="2"/>
  <c r="E1201" i="2"/>
  <c r="D1201" i="2"/>
  <c r="C1201" i="2"/>
  <c r="B1201" i="2"/>
  <c r="A1201" i="2"/>
  <c r="R1200" i="2"/>
  <c r="Q1200" i="2"/>
  <c r="P1200" i="2"/>
  <c r="M1200" i="2"/>
  <c r="L1200" i="2"/>
  <c r="K1200" i="2"/>
  <c r="J1200" i="2"/>
  <c r="I1200" i="2"/>
  <c r="H1200" i="2"/>
  <c r="G1200" i="2"/>
  <c r="F1200" i="2"/>
  <c r="E1200" i="2"/>
  <c r="D1200" i="2"/>
  <c r="C1200" i="2"/>
  <c r="B1200" i="2"/>
  <c r="A1200" i="2"/>
  <c r="R1199" i="2"/>
  <c r="Q1199" i="2"/>
  <c r="P1199" i="2"/>
  <c r="O1199" i="2"/>
  <c r="M1199" i="2"/>
  <c r="L1199" i="2"/>
  <c r="K1199" i="2"/>
  <c r="J1199" i="2"/>
  <c r="I1199" i="2"/>
  <c r="H1199" i="2"/>
  <c r="G1199" i="2"/>
  <c r="F1199" i="2"/>
  <c r="E1199" i="2"/>
  <c r="D1199" i="2"/>
  <c r="C1199" i="2"/>
  <c r="B1199" i="2"/>
  <c r="A1199" i="2"/>
  <c r="R1198" i="2"/>
  <c r="Q1198" i="2"/>
  <c r="P1198" i="2"/>
  <c r="O1198" i="2"/>
  <c r="M1198" i="2"/>
  <c r="L1198" i="2"/>
  <c r="K1198" i="2"/>
  <c r="J1198" i="2"/>
  <c r="I1198" i="2"/>
  <c r="H1198" i="2"/>
  <c r="G1198" i="2"/>
  <c r="F1198" i="2"/>
  <c r="E1198" i="2"/>
  <c r="D1198" i="2"/>
  <c r="C1198" i="2"/>
  <c r="B1198" i="2"/>
  <c r="A1198" i="2"/>
  <c r="R1197" i="2"/>
  <c r="Q1197" i="2"/>
  <c r="P1197" i="2"/>
  <c r="O1197" i="2"/>
  <c r="M1197" i="2"/>
  <c r="L1197" i="2"/>
  <c r="K1197" i="2"/>
  <c r="J1197" i="2"/>
  <c r="I1197" i="2"/>
  <c r="H1197" i="2"/>
  <c r="G1197" i="2"/>
  <c r="F1197" i="2"/>
  <c r="E1197" i="2"/>
  <c r="D1197" i="2"/>
  <c r="C1197" i="2"/>
  <c r="B1197" i="2"/>
  <c r="A1197" i="2"/>
  <c r="R1196" i="2"/>
  <c r="Q1196" i="2"/>
  <c r="P1196" i="2"/>
  <c r="O1196" i="2"/>
  <c r="M1196" i="2"/>
  <c r="L1196" i="2"/>
  <c r="K1196" i="2"/>
  <c r="J1196" i="2"/>
  <c r="I1196" i="2"/>
  <c r="H1196" i="2"/>
  <c r="G1196" i="2"/>
  <c r="F1196" i="2"/>
  <c r="E1196" i="2"/>
  <c r="D1196" i="2"/>
  <c r="C1196" i="2"/>
  <c r="B1196" i="2"/>
  <c r="A1196" i="2"/>
  <c r="R1195" i="2"/>
  <c r="Q1195" i="2"/>
  <c r="P1195" i="2"/>
  <c r="O1195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A1195" i="2"/>
  <c r="R1194" i="2"/>
  <c r="Q1194" i="2"/>
  <c r="P1194" i="2"/>
  <c r="O1194" i="2"/>
  <c r="M1194" i="2"/>
  <c r="L1194" i="2"/>
  <c r="K1194" i="2"/>
  <c r="J1194" i="2"/>
  <c r="I1194" i="2"/>
  <c r="H1194" i="2"/>
  <c r="G1194" i="2"/>
  <c r="F1194" i="2"/>
  <c r="E1194" i="2"/>
  <c r="D1194" i="2"/>
  <c r="C1194" i="2"/>
  <c r="B1194" i="2"/>
  <c r="A1194" i="2"/>
  <c r="R1193" i="2"/>
  <c r="Q1193" i="2"/>
  <c r="P1193" i="2"/>
  <c r="O1193" i="2"/>
  <c r="M1193" i="2"/>
  <c r="L1193" i="2"/>
  <c r="K1193" i="2"/>
  <c r="J1193" i="2"/>
  <c r="I1193" i="2"/>
  <c r="H1193" i="2"/>
  <c r="G1193" i="2"/>
  <c r="F1193" i="2"/>
  <c r="E1193" i="2"/>
  <c r="D1193" i="2"/>
  <c r="C1193" i="2"/>
  <c r="B1193" i="2"/>
  <c r="A1193" i="2"/>
  <c r="R1192" i="2"/>
  <c r="Q1192" i="2"/>
  <c r="P1192" i="2"/>
  <c r="O1192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A1192" i="2"/>
  <c r="R1191" i="2"/>
  <c r="Q1191" i="2"/>
  <c r="P1191" i="2"/>
  <c r="O1191" i="2"/>
  <c r="M1191" i="2"/>
  <c r="L1191" i="2"/>
  <c r="K1191" i="2"/>
  <c r="J1191" i="2"/>
  <c r="I1191" i="2"/>
  <c r="H1191" i="2"/>
  <c r="G1191" i="2"/>
  <c r="F1191" i="2"/>
  <c r="E1191" i="2"/>
  <c r="D1191" i="2"/>
  <c r="C1191" i="2"/>
  <c r="B1191" i="2"/>
  <c r="A1191" i="2"/>
  <c r="R1190" i="2"/>
  <c r="Q1190" i="2"/>
  <c r="P1190" i="2"/>
  <c r="O1190" i="2"/>
  <c r="M1190" i="2"/>
  <c r="L1190" i="2"/>
  <c r="K1190" i="2"/>
  <c r="J1190" i="2"/>
  <c r="I1190" i="2"/>
  <c r="H1190" i="2"/>
  <c r="G1190" i="2"/>
  <c r="F1190" i="2"/>
  <c r="E1190" i="2"/>
  <c r="D1190" i="2"/>
  <c r="C1190" i="2"/>
  <c r="B1190" i="2"/>
  <c r="A1190" i="2"/>
  <c r="R1189" i="2"/>
  <c r="Q1189" i="2"/>
  <c r="P1189" i="2"/>
  <c r="O1189" i="2"/>
  <c r="M1189" i="2"/>
  <c r="L1189" i="2"/>
  <c r="K1189" i="2"/>
  <c r="J1189" i="2"/>
  <c r="I1189" i="2"/>
  <c r="H1189" i="2"/>
  <c r="G1189" i="2"/>
  <c r="F1189" i="2"/>
  <c r="E1189" i="2"/>
  <c r="D1189" i="2"/>
  <c r="C1189" i="2"/>
  <c r="B1189" i="2"/>
  <c r="A1189" i="2"/>
  <c r="R1188" i="2"/>
  <c r="Q1188" i="2"/>
  <c r="P1188" i="2"/>
  <c r="O1188" i="2"/>
  <c r="M1188" i="2"/>
  <c r="L1188" i="2"/>
  <c r="K1188" i="2"/>
  <c r="J1188" i="2"/>
  <c r="I1188" i="2"/>
  <c r="H1188" i="2"/>
  <c r="G1188" i="2"/>
  <c r="F1188" i="2"/>
  <c r="E1188" i="2"/>
  <c r="D1188" i="2"/>
  <c r="C1188" i="2"/>
  <c r="B1188" i="2"/>
  <c r="A1188" i="2"/>
  <c r="R1187" i="2"/>
  <c r="Q1187" i="2"/>
  <c r="P1187" i="2"/>
  <c r="O1187" i="2"/>
  <c r="M1187" i="2"/>
  <c r="L1187" i="2"/>
  <c r="K1187" i="2"/>
  <c r="J1187" i="2"/>
  <c r="I1187" i="2"/>
  <c r="H1187" i="2"/>
  <c r="G1187" i="2"/>
  <c r="F1187" i="2"/>
  <c r="E1187" i="2"/>
  <c r="D1187" i="2"/>
  <c r="C1187" i="2"/>
  <c r="B1187" i="2"/>
  <c r="A1187" i="2"/>
  <c r="R1186" i="2"/>
  <c r="Q1186" i="2"/>
  <c r="P1186" i="2"/>
  <c r="O1186" i="2"/>
  <c r="M1186" i="2"/>
  <c r="L1186" i="2"/>
  <c r="K1186" i="2"/>
  <c r="J1186" i="2"/>
  <c r="I1186" i="2"/>
  <c r="H1186" i="2"/>
  <c r="G1186" i="2"/>
  <c r="F1186" i="2"/>
  <c r="E1186" i="2"/>
  <c r="D1186" i="2"/>
  <c r="C1186" i="2"/>
  <c r="B1186" i="2"/>
  <c r="A1186" i="2"/>
  <c r="R1185" i="2"/>
  <c r="Q1185" i="2"/>
  <c r="P1185" i="2"/>
  <c r="O1185" i="2"/>
  <c r="N1185" i="2"/>
  <c r="M1185" i="2"/>
  <c r="L1185" i="2"/>
  <c r="K1185" i="2"/>
  <c r="J1185" i="2"/>
  <c r="I1185" i="2"/>
  <c r="H1185" i="2"/>
  <c r="G1185" i="2"/>
  <c r="F1185" i="2"/>
  <c r="E1185" i="2"/>
  <c r="D1185" i="2"/>
  <c r="C1185" i="2"/>
  <c r="B1185" i="2"/>
  <c r="A1185" i="2"/>
  <c r="U1184" i="2"/>
  <c r="R1184" i="2"/>
  <c r="Q1184" i="2"/>
  <c r="P1184" i="2"/>
  <c r="O1184" i="2"/>
  <c r="N1184" i="2"/>
  <c r="M1184" i="2"/>
  <c r="L1184" i="2"/>
  <c r="K1184" i="2"/>
  <c r="J1184" i="2"/>
  <c r="I1184" i="2"/>
  <c r="H1184" i="2"/>
  <c r="G1184" i="2"/>
  <c r="F1184" i="2"/>
  <c r="E1184" i="2"/>
  <c r="D1184" i="2"/>
  <c r="C1184" i="2"/>
  <c r="B1184" i="2"/>
  <c r="A1184" i="2"/>
  <c r="R1183" i="2"/>
  <c r="Q1183" i="2"/>
  <c r="P1183" i="2"/>
  <c r="O1183" i="2"/>
  <c r="N1183" i="2"/>
  <c r="M1183" i="2"/>
  <c r="L1183" i="2"/>
  <c r="K1183" i="2"/>
  <c r="J1183" i="2"/>
  <c r="I1183" i="2"/>
  <c r="H1183" i="2"/>
  <c r="G1183" i="2"/>
  <c r="F1183" i="2"/>
  <c r="E1183" i="2"/>
  <c r="D1183" i="2"/>
  <c r="C1183" i="2"/>
  <c r="B1183" i="2"/>
  <c r="A1183" i="2"/>
  <c r="R1182" i="2"/>
  <c r="Q1182" i="2"/>
  <c r="P1182" i="2"/>
  <c r="O1182" i="2"/>
  <c r="M1182" i="2"/>
  <c r="L1182" i="2"/>
  <c r="K1182" i="2"/>
  <c r="J1182" i="2"/>
  <c r="I1182" i="2"/>
  <c r="H1182" i="2"/>
  <c r="G1182" i="2"/>
  <c r="F1182" i="2"/>
  <c r="E1182" i="2"/>
  <c r="D1182" i="2"/>
  <c r="C1182" i="2"/>
  <c r="B1182" i="2"/>
  <c r="A1182" i="2"/>
  <c r="U1181" i="2"/>
  <c r="R1181" i="2"/>
  <c r="Q1181" i="2"/>
  <c r="P1181" i="2"/>
  <c r="O1181" i="2"/>
  <c r="N1181" i="2"/>
  <c r="M1181" i="2"/>
  <c r="L1181" i="2"/>
  <c r="K1181" i="2"/>
  <c r="J1181" i="2"/>
  <c r="I1181" i="2"/>
  <c r="H1181" i="2"/>
  <c r="G1181" i="2"/>
  <c r="F1181" i="2"/>
  <c r="E1181" i="2"/>
  <c r="D1181" i="2"/>
  <c r="C1181" i="2"/>
  <c r="B1181" i="2"/>
  <c r="A1181" i="2"/>
  <c r="R1180" i="2"/>
  <c r="Q1180" i="2"/>
  <c r="P1180" i="2"/>
  <c r="O1180" i="2"/>
  <c r="M1180" i="2"/>
  <c r="L1180" i="2"/>
  <c r="K1180" i="2"/>
  <c r="J1180" i="2"/>
  <c r="I1180" i="2"/>
  <c r="H1180" i="2"/>
  <c r="G1180" i="2"/>
  <c r="F1180" i="2"/>
  <c r="E1180" i="2"/>
  <c r="D1180" i="2"/>
  <c r="C1180" i="2"/>
  <c r="B1180" i="2"/>
  <c r="A1180" i="2"/>
  <c r="U1179" i="2"/>
  <c r="R1179" i="2"/>
  <c r="Q1179" i="2"/>
  <c r="P1179" i="2"/>
  <c r="O1179" i="2"/>
  <c r="M1179" i="2"/>
  <c r="L1179" i="2"/>
  <c r="K1179" i="2"/>
  <c r="J1179" i="2"/>
  <c r="I1179" i="2"/>
  <c r="H1179" i="2"/>
  <c r="G1179" i="2"/>
  <c r="F1179" i="2"/>
  <c r="E1179" i="2"/>
  <c r="D1179" i="2"/>
  <c r="C1179" i="2"/>
  <c r="B1179" i="2"/>
  <c r="A1179" i="2"/>
  <c r="U1178" i="2"/>
  <c r="R1178" i="2"/>
  <c r="Q1178" i="2"/>
  <c r="P1178" i="2"/>
  <c r="O1178" i="2"/>
  <c r="N1178" i="2"/>
  <c r="M1178" i="2"/>
  <c r="L1178" i="2"/>
  <c r="K1178" i="2"/>
  <c r="J1178" i="2"/>
  <c r="I1178" i="2"/>
  <c r="H1178" i="2"/>
  <c r="G1178" i="2"/>
  <c r="F1178" i="2"/>
  <c r="E1178" i="2"/>
  <c r="D1178" i="2"/>
  <c r="C1178" i="2"/>
  <c r="B1178" i="2"/>
  <c r="A1178" i="2"/>
  <c r="R1177" i="2"/>
  <c r="Q1177" i="2"/>
  <c r="P1177" i="2"/>
  <c r="O1177" i="2"/>
  <c r="M1177" i="2"/>
  <c r="L1177" i="2"/>
  <c r="K1177" i="2"/>
  <c r="J1177" i="2"/>
  <c r="I1177" i="2"/>
  <c r="H1177" i="2"/>
  <c r="G1177" i="2"/>
  <c r="F1177" i="2"/>
  <c r="E1177" i="2"/>
  <c r="D1177" i="2"/>
  <c r="C1177" i="2"/>
  <c r="B1177" i="2"/>
  <c r="A1177" i="2"/>
  <c r="R1176" i="2"/>
  <c r="Q1176" i="2"/>
  <c r="P1176" i="2"/>
  <c r="O1176" i="2"/>
  <c r="M1176" i="2"/>
  <c r="L1176" i="2"/>
  <c r="K1176" i="2"/>
  <c r="J1176" i="2"/>
  <c r="I1176" i="2"/>
  <c r="H1176" i="2"/>
  <c r="G1176" i="2"/>
  <c r="F1176" i="2"/>
  <c r="E1176" i="2"/>
  <c r="D1176" i="2"/>
  <c r="C1176" i="2"/>
  <c r="B1176" i="2"/>
  <c r="A1176" i="2"/>
  <c r="R1175" i="2"/>
  <c r="Q1175" i="2"/>
  <c r="P1175" i="2"/>
  <c r="O1175" i="2"/>
  <c r="N1175" i="2"/>
  <c r="M1175" i="2"/>
  <c r="L1175" i="2"/>
  <c r="K1175" i="2"/>
  <c r="J1175" i="2"/>
  <c r="I1175" i="2"/>
  <c r="H1175" i="2"/>
  <c r="G1175" i="2"/>
  <c r="F1175" i="2"/>
  <c r="E1175" i="2"/>
  <c r="D1175" i="2"/>
  <c r="C1175" i="2"/>
  <c r="B1175" i="2"/>
  <c r="A1175" i="2"/>
  <c r="R1174" i="2"/>
  <c r="Q1174" i="2"/>
  <c r="P1174" i="2"/>
  <c r="O1174" i="2"/>
  <c r="M1174" i="2"/>
  <c r="L1174" i="2"/>
  <c r="K1174" i="2"/>
  <c r="J1174" i="2"/>
  <c r="I1174" i="2"/>
  <c r="H1174" i="2"/>
  <c r="G1174" i="2"/>
  <c r="F1174" i="2"/>
  <c r="E1174" i="2"/>
  <c r="D1174" i="2"/>
  <c r="C1174" i="2"/>
  <c r="B1174" i="2"/>
  <c r="A1174" i="2"/>
  <c r="R1173" i="2"/>
  <c r="Q1173" i="2"/>
  <c r="P1173" i="2"/>
  <c r="O1173" i="2"/>
  <c r="M1173" i="2"/>
  <c r="L1173" i="2"/>
  <c r="K1173" i="2"/>
  <c r="J1173" i="2"/>
  <c r="I1173" i="2"/>
  <c r="H1173" i="2"/>
  <c r="G1173" i="2"/>
  <c r="F1173" i="2"/>
  <c r="E1173" i="2"/>
  <c r="D1173" i="2"/>
  <c r="C1173" i="2"/>
  <c r="B1173" i="2"/>
  <c r="A1173" i="2"/>
  <c r="R1172" i="2"/>
  <c r="Q1172" i="2"/>
  <c r="P1172" i="2"/>
  <c r="O1172" i="2"/>
  <c r="N1172" i="2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A1172" i="2"/>
  <c r="R1171" i="2"/>
  <c r="Q1171" i="2"/>
  <c r="P1171" i="2"/>
  <c r="O1171" i="2"/>
  <c r="N1171" i="2"/>
  <c r="M1171" i="2"/>
  <c r="L1171" i="2"/>
  <c r="K1171" i="2"/>
  <c r="J1171" i="2"/>
  <c r="I1171" i="2"/>
  <c r="H1171" i="2"/>
  <c r="G1171" i="2"/>
  <c r="F1171" i="2"/>
  <c r="E1171" i="2"/>
  <c r="D1171" i="2"/>
  <c r="C1171" i="2"/>
  <c r="B1171" i="2"/>
  <c r="A1171" i="2"/>
  <c r="R1170" i="2"/>
  <c r="Q1170" i="2"/>
  <c r="P1170" i="2"/>
  <c r="O1170" i="2"/>
  <c r="N1170" i="2"/>
  <c r="M1170" i="2"/>
  <c r="L1170" i="2"/>
  <c r="K1170" i="2"/>
  <c r="J1170" i="2"/>
  <c r="I1170" i="2"/>
  <c r="H1170" i="2"/>
  <c r="G1170" i="2"/>
  <c r="F1170" i="2"/>
  <c r="E1170" i="2"/>
  <c r="D1170" i="2"/>
  <c r="C1170" i="2"/>
  <c r="B1170" i="2"/>
  <c r="A1170" i="2"/>
  <c r="R1169" i="2"/>
  <c r="Q1169" i="2"/>
  <c r="P1169" i="2"/>
  <c r="O1169" i="2"/>
  <c r="M1169" i="2"/>
  <c r="L1169" i="2"/>
  <c r="K1169" i="2"/>
  <c r="J1169" i="2"/>
  <c r="I1169" i="2"/>
  <c r="H1169" i="2"/>
  <c r="G1169" i="2"/>
  <c r="F1169" i="2"/>
  <c r="E1169" i="2"/>
  <c r="D1169" i="2"/>
  <c r="C1169" i="2"/>
  <c r="B1169" i="2"/>
  <c r="A1169" i="2"/>
  <c r="R1168" i="2"/>
  <c r="Q1168" i="2"/>
  <c r="P1168" i="2"/>
  <c r="O1168" i="2"/>
  <c r="M1168" i="2"/>
  <c r="L1168" i="2"/>
  <c r="K1168" i="2"/>
  <c r="J1168" i="2"/>
  <c r="I1168" i="2"/>
  <c r="H1168" i="2"/>
  <c r="G1168" i="2"/>
  <c r="F1168" i="2"/>
  <c r="E1168" i="2"/>
  <c r="D1168" i="2"/>
  <c r="C1168" i="2"/>
  <c r="B1168" i="2"/>
  <c r="A1168" i="2"/>
  <c r="R1167" i="2"/>
  <c r="Q1167" i="2"/>
  <c r="P1167" i="2"/>
  <c r="O1167" i="2"/>
  <c r="M1167" i="2"/>
  <c r="L1167" i="2"/>
  <c r="K1167" i="2"/>
  <c r="J1167" i="2"/>
  <c r="I1167" i="2"/>
  <c r="H1167" i="2"/>
  <c r="G1167" i="2"/>
  <c r="F1167" i="2"/>
  <c r="E1167" i="2"/>
  <c r="D1167" i="2"/>
  <c r="C1167" i="2"/>
  <c r="B1167" i="2"/>
  <c r="A1167" i="2"/>
  <c r="R1166" i="2"/>
  <c r="Q1166" i="2"/>
  <c r="P1166" i="2"/>
  <c r="O1166" i="2"/>
  <c r="M1166" i="2"/>
  <c r="L1166" i="2"/>
  <c r="K1166" i="2"/>
  <c r="J1166" i="2"/>
  <c r="I1166" i="2"/>
  <c r="H1166" i="2"/>
  <c r="G1166" i="2"/>
  <c r="F1166" i="2"/>
  <c r="E1166" i="2"/>
  <c r="D1166" i="2"/>
  <c r="C1166" i="2"/>
  <c r="B1166" i="2"/>
  <c r="A1166" i="2"/>
  <c r="R1165" i="2"/>
  <c r="Q1165" i="2"/>
  <c r="P1165" i="2"/>
  <c r="O1165" i="2"/>
  <c r="M1165" i="2"/>
  <c r="L1165" i="2"/>
  <c r="K1165" i="2"/>
  <c r="J1165" i="2"/>
  <c r="I1165" i="2"/>
  <c r="H1165" i="2"/>
  <c r="G1165" i="2"/>
  <c r="F1165" i="2"/>
  <c r="E1165" i="2"/>
  <c r="D1165" i="2"/>
  <c r="C1165" i="2"/>
  <c r="B1165" i="2"/>
  <c r="A1165" i="2"/>
  <c r="R1164" i="2"/>
  <c r="Q1164" i="2"/>
  <c r="P1164" i="2"/>
  <c r="O1164" i="2"/>
  <c r="M1164" i="2"/>
  <c r="L1164" i="2"/>
  <c r="K1164" i="2"/>
  <c r="J1164" i="2"/>
  <c r="I1164" i="2"/>
  <c r="H1164" i="2"/>
  <c r="G1164" i="2"/>
  <c r="F1164" i="2"/>
  <c r="E1164" i="2"/>
  <c r="D1164" i="2"/>
  <c r="C1164" i="2"/>
  <c r="B1164" i="2"/>
  <c r="A1164" i="2"/>
  <c r="R1163" i="2"/>
  <c r="Q1163" i="2"/>
  <c r="P1163" i="2"/>
  <c r="O1163" i="2"/>
  <c r="M1163" i="2"/>
  <c r="L1163" i="2"/>
  <c r="K1163" i="2"/>
  <c r="J1163" i="2"/>
  <c r="I1163" i="2"/>
  <c r="H1163" i="2"/>
  <c r="G1163" i="2"/>
  <c r="F1163" i="2"/>
  <c r="E1163" i="2"/>
  <c r="D1163" i="2"/>
  <c r="C1163" i="2"/>
  <c r="B1163" i="2"/>
  <c r="A1163" i="2"/>
  <c r="R1162" i="2"/>
  <c r="Q1162" i="2"/>
  <c r="P1162" i="2"/>
  <c r="O1162" i="2"/>
  <c r="M1162" i="2"/>
  <c r="L1162" i="2"/>
  <c r="K1162" i="2"/>
  <c r="J1162" i="2"/>
  <c r="I1162" i="2"/>
  <c r="H1162" i="2"/>
  <c r="G1162" i="2"/>
  <c r="F1162" i="2"/>
  <c r="E1162" i="2"/>
  <c r="D1162" i="2"/>
  <c r="C1162" i="2"/>
  <c r="B1162" i="2"/>
  <c r="A1162" i="2"/>
  <c r="R1161" i="2"/>
  <c r="Q1161" i="2"/>
  <c r="O1161" i="2"/>
  <c r="M1161" i="2"/>
  <c r="L1161" i="2"/>
  <c r="K1161" i="2"/>
  <c r="J1161" i="2"/>
  <c r="G1161" i="2"/>
  <c r="F1161" i="2"/>
  <c r="E1161" i="2"/>
  <c r="D1161" i="2"/>
  <c r="C1161" i="2"/>
  <c r="B1161" i="2"/>
  <c r="A1161" i="2"/>
  <c r="U1160" i="2"/>
  <c r="R1160" i="2"/>
  <c r="Q1160" i="2"/>
  <c r="O1160" i="2"/>
  <c r="M1160" i="2"/>
  <c r="L1160" i="2"/>
  <c r="K1160" i="2"/>
  <c r="J1160" i="2"/>
  <c r="G1160" i="2"/>
  <c r="F1160" i="2"/>
  <c r="E1160" i="2"/>
  <c r="D1160" i="2"/>
  <c r="C1160" i="2"/>
  <c r="B1160" i="2"/>
  <c r="A1160" i="2"/>
  <c r="U1159" i="2"/>
  <c r="R1159" i="2"/>
  <c r="Q1159" i="2"/>
  <c r="P1159" i="2"/>
  <c r="O1159" i="2"/>
  <c r="M1159" i="2"/>
  <c r="L1159" i="2"/>
  <c r="K1159" i="2"/>
  <c r="J1159" i="2"/>
  <c r="I1159" i="2"/>
  <c r="H1159" i="2"/>
  <c r="G1159" i="2"/>
  <c r="F1159" i="2"/>
  <c r="E1159" i="2"/>
  <c r="D1159" i="2"/>
  <c r="C1159" i="2"/>
  <c r="B1159" i="2"/>
  <c r="A1159" i="2"/>
  <c r="U1158" i="2"/>
  <c r="R1158" i="2"/>
  <c r="Q1158" i="2"/>
  <c r="O1158" i="2"/>
  <c r="M1158" i="2"/>
  <c r="L1158" i="2"/>
  <c r="K1158" i="2"/>
  <c r="J1158" i="2"/>
  <c r="G1158" i="2"/>
  <c r="F1158" i="2"/>
  <c r="E1158" i="2"/>
  <c r="D1158" i="2"/>
  <c r="C1158" i="2"/>
  <c r="B1158" i="2"/>
  <c r="A1158" i="2"/>
  <c r="U1157" i="2"/>
  <c r="R1157" i="2"/>
  <c r="Q1157" i="2"/>
  <c r="O1157" i="2"/>
  <c r="M1157" i="2"/>
  <c r="L1157" i="2"/>
  <c r="K1157" i="2"/>
  <c r="J1157" i="2"/>
  <c r="G1157" i="2"/>
  <c r="F1157" i="2"/>
  <c r="E1157" i="2"/>
  <c r="D1157" i="2"/>
  <c r="C1157" i="2"/>
  <c r="B1157" i="2"/>
  <c r="A1157" i="2"/>
  <c r="R1156" i="2"/>
  <c r="Q1156" i="2"/>
  <c r="O1156" i="2"/>
  <c r="M1156" i="2"/>
  <c r="L1156" i="2"/>
  <c r="K1156" i="2"/>
  <c r="J1156" i="2"/>
  <c r="G1156" i="2"/>
  <c r="F1156" i="2"/>
  <c r="E1156" i="2"/>
  <c r="D1156" i="2"/>
  <c r="C1156" i="2"/>
  <c r="B1156" i="2"/>
  <c r="A1156" i="2"/>
  <c r="R1155" i="2"/>
  <c r="Q1155" i="2"/>
  <c r="P1155" i="2"/>
  <c r="M1155" i="2"/>
  <c r="L1155" i="2"/>
  <c r="K1155" i="2"/>
  <c r="J1155" i="2"/>
  <c r="I1155" i="2"/>
  <c r="H1155" i="2"/>
  <c r="G1155" i="2"/>
  <c r="F1155" i="2"/>
  <c r="E1155" i="2"/>
  <c r="D1155" i="2"/>
  <c r="C1155" i="2"/>
  <c r="B1155" i="2"/>
  <c r="A1155" i="2"/>
  <c r="R1154" i="2"/>
  <c r="Q1154" i="2"/>
  <c r="O1154" i="2"/>
  <c r="M1154" i="2"/>
  <c r="L1154" i="2"/>
  <c r="K1154" i="2"/>
  <c r="J1154" i="2"/>
  <c r="G1154" i="2"/>
  <c r="F1154" i="2"/>
  <c r="E1154" i="2"/>
  <c r="D1154" i="2"/>
  <c r="C1154" i="2"/>
  <c r="B1154" i="2"/>
  <c r="A1154" i="2"/>
  <c r="R1153" i="2"/>
  <c r="Q1153" i="2"/>
  <c r="O1153" i="2"/>
  <c r="M1153" i="2"/>
  <c r="L1153" i="2"/>
  <c r="K1153" i="2"/>
  <c r="J1153" i="2"/>
  <c r="G1153" i="2"/>
  <c r="F1153" i="2"/>
  <c r="E1153" i="2"/>
  <c r="D1153" i="2"/>
  <c r="C1153" i="2"/>
  <c r="B1153" i="2"/>
  <c r="A1153" i="2"/>
  <c r="Q1152" i="2"/>
  <c r="O1152" i="2"/>
  <c r="M1152" i="2"/>
  <c r="L1152" i="2"/>
  <c r="K1152" i="2"/>
  <c r="J1152" i="2"/>
  <c r="I1152" i="2"/>
  <c r="H1152" i="2"/>
  <c r="G1152" i="2"/>
  <c r="F1152" i="2"/>
  <c r="E1152" i="2"/>
  <c r="D1152" i="2"/>
  <c r="C1152" i="2"/>
  <c r="B1152" i="2"/>
  <c r="A1152" i="2"/>
  <c r="R1151" i="2"/>
  <c r="Q1151" i="2"/>
  <c r="P1151" i="2"/>
  <c r="O1151" i="2"/>
  <c r="N1151" i="2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A1151" i="2"/>
  <c r="R1150" i="2"/>
  <c r="Q1150" i="2"/>
  <c r="O1150" i="2"/>
  <c r="M1150" i="2"/>
  <c r="L1150" i="2"/>
  <c r="K1150" i="2"/>
  <c r="J1150" i="2"/>
  <c r="G1150" i="2"/>
  <c r="F1150" i="2"/>
  <c r="E1150" i="2"/>
  <c r="D1150" i="2"/>
  <c r="C1150" i="2"/>
  <c r="B1150" i="2"/>
  <c r="A1150" i="2"/>
  <c r="Q1149" i="2"/>
  <c r="P1149" i="2"/>
  <c r="M1149" i="2"/>
  <c r="L1149" i="2"/>
  <c r="K1149" i="2"/>
  <c r="J1149" i="2"/>
  <c r="I1149" i="2"/>
  <c r="H1149" i="2"/>
  <c r="G1149" i="2"/>
  <c r="F1149" i="2"/>
  <c r="E1149" i="2"/>
  <c r="D1149" i="2"/>
  <c r="C1149" i="2"/>
  <c r="B1149" i="2"/>
  <c r="A1149" i="2"/>
  <c r="Q1148" i="2"/>
  <c r="O1148" i="2"/>
  <c r="M1148" i="2"/>
  <c r="L1148" i="2"/>
  <c r="K1148" i="2"/>
  <c r="J1148" i="2"/>
  <c r="G1148" i="2"/>
  <c r="F1148" i="2"/>
  <c r="E1148" i="2"/>
  <c r="D1148" i="2"/>
  <c r="C1148" i="2"/>
  <c r="B1148" i="2"/>
  <c r="A1148" i="2"/>
  <c r="R1147" i="2"/>
  <c r="Q1147" i="2"/>
  <c r="M1147" i="2"/>
  <c r="L1147" i="2"/>
  <c r="K1147" i="2"/>
  <c r="J1147" i="2"/>
  <c r="G1147" i="2"/>
  <c r="F1147" i="2"/>
  <c r="E1147" i="2"/>
  <c r="D1147" i="2"/>
  <c r="C1147" i="2"/>
  <c r="B1147" i="2"/>
  <c r="A1147" i="2"/>
  <c r="U1146" i="2"/>
  <c r="R1146" i="2"/>
  <c r="Q1146" i="2"/>
  <c r="P1146" i="2"/>
  <c r="O1146" i="2"/>
  <c r="M1146" i="2"/>
  <c r="L1146" i="2"/>
  <c r="K1146" i="2"/>
  <c r="J1146" i="2"/>
  <c r="I1146" i="2"/>
  <c r="H1146" i="2"/>
  <c r="G1146" i="2"/>
  <c r="F1146" i="2"/>
  <c r="E1146" i="2"/>
  <c r="D1146" i="2"/>
  <c r="C1146" i="2"/>
  <c r="B1146" i="2"/>
  <c r="A1146" i="2"/>
  <c r="U1145" i="2"/>
  <c r="R1145" i="2"/>
  <c r="Q1145" i="2"/>
  <c r="P1145" i="2"/>
  <c r="O1145" i="2"/>
  <c r="M1145" i="2"/>
  <c r="L1145" i="2"/>
  <c r="K1145" i="2"/>
  <c r="J1145" i="2"/>
  <c r="I1145" i="2"/>
  <c r="H1145" i="2"/>
  <c r="G1145" i="2"/>
  <c r="F1145" i="2"/>
  <c r="E1145" i="2"/>
  <c r="D1145" i="2"/>
  <c r="C1145" i="2"/>
  <c r="B1145" i="2"/>
  <c r="A1145" i="2"/>
  <c r="U1144" i="2"/>
  <c r="R1144" i="2"/>
  <c r="Q1144" i="2"/>
  <c r="O1144" i="2"/>
  <c r="M1144" i="2"/>
  <c r="L1144" i="2"/>
  <c r="K1144" i="2"/>
  <c r="J1144" i="2"/>
  <c r="H1144" i="2"/>
  <c r="G1144" i="2"/>
  <c r="F1144" i="2"/>
  <c r="E1144" i="2"/>
  <c r="D1144" i="2"/>
  <c r="C1144" i="2"/>
  <c r="B1144" i="2"/>
  <c r="A1144" i="2"/>
  <c r="U1143" i="2"/>
  <c r="R1143" i="2"/>
  <c r="Q1143" i="2"/>
  <c r="P1143" i="2"/>
  <c r="O1143" i="2"/>
  <c r="M1143" i="2"/>
  <c r="L1143" i="2"/>
  <c r="K1143" i="2"/>
  <c r="J1143" i="2"/>
  <c r="I1143" i="2"/>
  <c r="H1143" i="2"/>
  <c r="G1143" i="2"/>
  <c r="F1143" i="2"/>
  <c r="E1143" i="2"/>
  <c r="D1143" i="2"/>
  <c r="C1143" i="2"/>
  <c r="B1143" i="2"/>
  <c r="A1143" i="2"/>
  <c r="U1142" i="2"/>
  <c r="R1142" i="2"/>
  <c r="Q1142" i="2"/>
  <c r="P1142" i="2"/>
  <c r="O1142" i="2"/>
  <c r="M1142" i="2"/>
  <c r="L1142" i="2"/>
  <c r="K1142" i="2"/>
  <c r="J1142" i="2"/>
  <c r="I1142" i="2"/>
  <c r="H1142" i="2"/>
  <c r="G1142" i="2"/>
  <c r="F1142" i="2"/>
  <c r="E1142" i="2"/>
  <c r="D1142" i="2"/>
  <c r="C1142" i="2"/>
  <c r="B1142" i="2"/>
  <c r="A1142" i="2"/>
  <c r="U1141" i="2"/>
  <c r="R1141" i="2"/>
  <c r="Q1141" i="2"/>
  <c r="O1141" i="2"/>
  <c r="M1141" i="2"/>
  <c r="L1141" i="2"/>
  <c r="K1141" i="2"/>
  <c r="J1141" i="2"/>
  <c r="G1141" i="2"/>
  <c r="F1141" i="2"/>
  <c r="E1141" i="2"/>
  <c r="D1141" i="2"/>
  <c r="C1141" i="2"/>
  <c r="B1141" i="2"/>
  <c r="A1141" i="2"/>
  <c r="U1140" i="2"/>
  <c r="R1140" i="2"/>
  <c r="Q1140" i="2"/>
  <c r="O1140" i="2"/>
  <c r="M1140" i="2"/>
  <c r="L1140" i="2"/>
  <c r="K1140" i="2"/>
  <c r="J1140" i="2"/>
  <c r="G1140" i="2"/>
  <c r="F1140" i="2"/>
  <c r="E1140" i="2"/>
  <c r="D1140" i="2"/>
  <c r="C1140" i="2"/>
  <c r="B1140" i="2"/>
  <c r="A1140" i="2"/>
  <c r="U1139" i="2"/>
  <c r="R1139" i="2"/>
  <c r="Q1139" i="2"/>
  <c r="O1139" i="2"/>
  <c r="M1139" i="2"/>
  <c r="L1139" i="2"/>
  <c r="K1139" i="2"/>
  <c r="J1139" i="2"/>
  <c r="G1139" i="2"/>
  <c r="F1139" i="2"/>
  <c r="E1139" i="2"/>
  <c r="D1139" i="2"/>
  <c r="C1139" i="2"/>
  <c r="B1139" i="2"/>
  <c r="A1139" i="2"/>
  <c r="U1138" i="2"/>
  <c r="R1138" i="2"/>
  <c r="Q1138" i="2"/>
  <c r="O1138" i="2"/>
  <c r="M1138" i="2"/>
  <c r="L1138" i="2"/>
  <c r="K1138" i="2"/>
  <c r="J1138" i="2"/>
  <c r="G1138" i="2"/>
  <c r="F1138" i="2"/>
  <c r="E1138" i="2"/>
  <c r="D1138" i="2"/>
  <c r="C1138" i="2"/>
  <c r="B1138" i="2"/>
  <c r="A1138" i="2"/>
  <c r="U1137" i="2"/>
  <c r="R1137" i="2"/>
  <c r="Q1137" i="2"/>
  <c r="P1137" i="2"/>
  <c r="O1137" i="2"/>
  <c r="M1137" i="2"/>
  <c r="L1137" i="2"/>
  <c r="K1137" i="2"/>
  <c r="J1137" i="2"/>
  <c r="I1137" i="2"/>
  <c r="H1137" i="2"/>
  <c r="G1137" i="2"/>
  <c r="F1137" i="2"/>
  <c r="E1137" i="2"/>
  <c r="D1137" i="2"/>
  <c r="C1137" i="2"/>
  <c r="B1137" i="2"/>
  <c r="A1137" i="2"/>
  <c r="U1136" i="2"/>
  <c r="R1136" i="2"/>
  <c r="Q1136" i="2"/>
  <c r="P1136" i="2"/>
  <c r="O1136" i="2"/>
  <c r="M1136" i="2"/>
  <c r="L1136" i="2"/>
  <c r="K1136" i="2"/>
  <c r="J1136" i="2"/>
  <c r="I1136" i="2"/>
  <c r="H1136" i="2"/>
  <c r="G1136" i="2"/>
  <c r="F1136" i="2"/>
  <c r="E1136" i="2"/>
  <c r="D1136" i="2"/>
  <c r="C1136" i="2"/>
  <c r="B1136" i="2"/>
  <c r="A1136" i="2"/>
  <c r="U1135" i="2"/>
  <c r="R1135" i="2"/>
  <c r="Q1135" i="2"/>
  <c r="O1135" i="2"/>
  <c r="M1135" i="2"/>
  <c r="L1135" i="2"/>
  <c r="K1135" i="2"/>
  <c r="J1135" i="2"/>
  <c r="G1135" i="2"/>
  <c r="F1135" i="2"/>
  <c r="E1135" i="2"/>
  <c r="D1135" i="2"/>
  <c r="C1135" i="2"/>
  <c r="B1135" i="2"/>
  <c r="A1135" i="2"/>
  <c r="U1134" i="2"/>
  <c r="R1134" i="2"/>
  <c r="Q1134" i="2"/>
  <c r="P1134" i="2"/>
  <c r="O1134" i="2"/>
  <c r="M1134" i="2"/>
  <c r="L1134" i="2"/>
  <c r="K1134" i="2"/>
  <c r="J1134" i="2"/>
  <c r="I1134" i="2"/>
  <c r="H1134" i="2"/>
  <c r="G1134" i="2"/>
  <c r="F1134" i="2"/>
  <c r="E1134" i="2"/>
  <c r="D1134" i="2"/>
  <c r="C1134" i="2"/>
  <c r="B1134" i="2"/>
  <c r="A1134" i="2"/>
  <c r="U1133" i="2"/>
  <c r="R1133" i="2"/>
  <c r="Q1133" i="2"/>
  <c r="O1133" i="2"/>
  <c r="M1133" i="2"/>
  <c r="L1133" i="2"/>
  <c r="K1133" i="2"/>
  <c r="J1133" i="2"/>
  <c r="G1133" i="2"/>
  <c r="F1133" i="2"/>
  <c r="E1133" i="2"/>
  <c r="D1133" i="2"/>
  <c r="C1133" i="2"/>
  <c r="B1133" i="2"/>
  <c r="A1133" i="2"/>
  <c r="U1132" i="2"/>
  <c r="R1132" i="2"/>
  <c r="Q1132" i="2"/>
  <c r="P1132" i="2"/>
  <c r="O1132" i="2"/>
  <c r="M1132" i="2"/>
  <c r="L1132" i="2"/>
  <c r="K1132" i="2"/>
  <c r="J1132" i="2"/>
  <c r="I1132" i="2"/>
  <c r="H1132" i="2"/>
  <c r="G1132" i="2"/>
  <c r="F1132" i="2"/>
  <c r="E1132" i="2"/>
  <c r="D1132" i="2"/>
  <c r="C1132" i="2"/>
  <c r="B1132" i="2"/>
  <c r="A1132" i="2"/>
  <c r="U1131" i="2"/>
  <c r="R1131" i="2"/>
  <c r="Q1131" i="2"/>
  <c r="P1131" i="2"/>
  <c r="O1131" i="2"/>
  <c r="M1131" i="2"/>
  <c r="L1131" i="2"/>
  <c r="K1131" i="2"/>
  <c r="J1131" i="2"/>
  <c r="I1131" i="2"/>
  <c r="H1131" i="2"/>
  <c r="G1131" i="2"/>
  <c r="F1131" i="2"/>
  <c r="E1131" i="2"/>
  <c r="D1131" i="2"/>
  <c r="C1131" i="2"/>
  <c r="B1131" i="2"/>
  <c r="A1131" i="2"/>
  <c r="U1130" i="2"/>
  <c r="R1130" i="2"/>
  <c r="Q1130" i="2"/>
  <c r="P1130" i="2"/>
  <c r="O1130" i="2"/>
  <c r="M1130" i="2"/>
  <c r="L1130" i="2"/>
  <c r="K1130" i="2"/>
  <c r="J1130" i="2"/>
  <c r="I1130" i="2"/>
  <c r="H1130" i="2"/>
  <c r="G1130" i="2"/>
  <c r="F1130" i="2"/>
  <c r="E1130" i="2"/>
  <c r="D1130" i="2"/>
  <c r="C1130" i="2"/>
  <c r="B1130" i="2"/>
  <c r="A1130" i="2"/>
  <c r="U1129" i="2"/>
  <c r="R1129" i="2"/>
  <c r="Q1129" i="2"/>
  <c r="P1129" i="2"/>
  <c r="O1129" i="2"/>
  <c r="M1129" i="2"/>
  <c r="L1129" i="2"/>
  <c r="K1129" i="2"/>
  <c r="J1129" i="2"/>
  <c r="I1129" i="2"/>
  <c r="H1129" i="2"/>
  <c r="G1129" i="2"/>
  <c r="F1129" i="2"/>
  <c r="E1129" i="2"/>
  <c r="D1129" i="2"/>
  <c r="C1129" i="2"/>
  <c r="B1129" i="2"/>
  <c r="A1129" i="2"/>
  <c r="U1128" i="2"/>
  <c r="R1128" i="2"/>
  <c r="Q1128" i="2"/>
  <c r="O1128" i="2"/>
  <c r="M1128" i="2"/>
  <c r="L1128" i="2"/>
  <c r="K1128" i="2"/>
  <c r="J1128" i="2"/>
  <c r="G1128" i="2"/>
  <c r="F1128" i="2"/>
  <c r="E1128" i="2"/>
  <c r="D1128" i="2"/>
  <c r="C1128" i="2"/>
  <c r="B1128" i="2"/>
  <c r="A1128" i="2"/>
  <c r="U1127" i="2"/>
  <c r="R1127" i="2"/>
  <c r="Q1127" i="2"/>
  <c r="O1127" i="2"/>
  <c r="M1127" i="2"/>
  <c r="L1127" i="2"/>
  <c r="K1127" i="2"/>
  <c r="J1127" i="2"/>
  <c r="G1127" i="2"/>
  <c r="F1127" i="2"/>
  <c r="E1127" i="2"/>
  <c r="D1127" i="2"/>
  <c r="C1127" i="2"/>
  <c r="B1127" i="2"/>
  <c r="A1127" i="2"/>
  <c r="Q1126" i="2"/>
  <c r="O1126" i="2"/>
  <c r="L1126" i="2"/>
  <c r="K1126" i="2"/>
  <c r="J1126" i="2"/>
  <c r="H1126" i="2"/>
  <c r="G1126" i="2"/>
  <c r="F1126" i="2"/>
  <c r="E1126" i="2"/>
  <c r="D1126" i="2"/>
  <c r="C1126" i="2"/>
  <c r="B1126" i="2"/>
  <c r="A1126" i="2"/>
  <c r="U1125" i="2"/>
  <c r="R1125" i="2"/>
  <c r="Q1125" i="2"/>
  <c r="P1125" i="2"/>
  <c r="O1125" i="2"/>
  <c r="M1125" i="2"/>
  <c r="L1125" i="2"/>
  <c r="K1125" i="2"/>
  <c r="J1125" i="2"/>
  <c r="I1125" i="2"/>
  <c r="H1125" i="2"/>
  <c r="G1125" i="2"/>
  <c r="F1125" i="2"/>
  <c r="E1125" i="2"/>
  <c r="D1125" i="2"/>
  <c r="C1125" i="2"/>
  <c r="B1125" i="2"/>
  <c r="A1125" i="2"/>
  <c r="U1124" i="2"/>
  <c r="R1124" i="2"/>
  <c r="Q1124" i="2"/>
  <c r="O1124" i="2"/>
  <c r="M1124" i="2"/>
  <c r="L1124" i="2"/>
  <c r="K1124" i="2"/>
  <c r="J1124" i="2"/>
  <c r="G1124" i="2"/>
  <c r="F1124" i="2"/>
  <c r="E1124" i="2"/>
  <c r="D1124" i="2"/>
  <c r="C1124" i="2"/>
  <c r="B1124" i="2"/>
  <c r="A1124" i="2"/>
  <c r="U1123" i="2"/>
  <c r="R1123" i="2"/>
  <c r="Q1123" i="2"/>
  <c r="O1123" i="2"/>
  <c r="M1123" i="2"/>
  <c r="L1123" i="2"/>
  <c r="K1123" i="2"/>
  <c r="J1123" i="2"/>
  <c r="G1123" i="2"/>
  <c r="F1123" i="2"/>
  <c r="E1123" i="2"/>
  <c r="D1123" i="2"/>
  <c r="C1123" i="2"/>
  <c r="B1123" i="2"/>
  <c r="A1123" i="2"/>
  <c r="U1122" i="2"/>
  <c r="R1122" i="2"/>
  <c r="Q1122" i="2"/>
  <c r="P1122" i="2"/>
  <c r="O1122" i="2"/>
  <c r="M1122" i="2"/>
  <c r="L1122" i="2"/>
  <c r="K1122" i="2"/>
  <c r="J1122" i="2"/>
  <c r="I1122" i="2"/>
  <c r="H1122" i="2"/>
  <c r="G1122" i="2"/>
  <c r="F1122" i="2"/>
  <c r="E1122" i="2"/>
  <c r="D1122" i="2"/>
  <c r="C1122" i="2"/>
  <c r="B1122" i="2"/>
  <c r="A1122" i="2"/>
  <c r="U1121" i="2"/>
  <c r="R1121" i="2"/>
  <c r="Q1121" i="2"/>
  <c r="O1121" i="2"/>
  <c r="M1121" i="2"/>
  <c r="L1121" i="2"/>
  <c r="K1121" i="2"/>
  <c r="J1121" i="2"/>
  <c r="G1121" i="2"/>
  <c r="F1121" i="2"/>
  <c r="E1121" i="2"/>
  <c r="D1121" i="2"/>
  <c r="C1121" i="2"/>
  <c r="B1121" i="2"/>
  <c r="A1121" i="2"/>
  <c r="U1120" i="2"/>
  <c r="R1120" i="2"/>
  <c r="Q1120" i="2"/>
  <c r="O1120" i="2"/>
  <c r="M1120" i="2"/>
  <c r="L1120" i="2"/>
  <c r="K1120" i="2"/>
  <c r="J1120" i="2"/>
  <c r="G1120" i="2"/>
  <c r="F1120" i="2"/>
  <c r="E1120" i="2"/>
  <c r="D1120" i="2"/>
  <c r="C1120" i="2"/>
  <c r="B1120" i="2"/>
  <c r="A1120" i="2"/>
  <c r="U1119" i="2"/>
  <c r="R1119" i="2"/>
  <c r="Q1119" i="2"/>
  <c r="P1119" i="2"/>
  <c r="O1119" i="2"/>
  <c r="M1119" i="2"/>
  <c r="L1119" i="2"/>
  <c r="K1119" i="2"/>
  <c r="J1119" i="2"/>
  <c r="I1119" i="2"/>
  <c r="H1119" i="2"/>
  <c r="G1119" i="2"/>
  <c r="F1119" i="2"/>
  <c r="E1119" i="2"/>
  <c r="D1119" i="2"/>
  <c r="C1119" i="2"/>
  <c r="B1119" i="2"/>
  <c r="A1119" i="2"/>
  <c r="U1118" i="2"/>
  <c r="R1118" i="2"/>
  <c r="Q1118" i="2"/>
  <c r="P1118" i="2"/>
  <c r="O1118" i="2"/>
  <c r="M1118" i="2"/>
  <c r="L1118" i="2"/>
  <c r="K1118" i="2"/>
  <c r="J1118" i="2"/>
  <c r="I1118" i="2"/>
  <c r="H1118" i="2"/>
  <c r="G1118" i="2"/>
  <c r="F1118" i="2"/>
  <c r="E1118" i="2"/>
  <c r="D1118" i="2"/>
  <c r="C1118" i="2"/>
  <c r="B1118" i="2"/>
  <c r="A1118" i="2"/>
  <c r="U1117" i="2"/>
  <c r="R1117" i="2"/>
  <c r="Q1117" i="2"/>
  <c r="O1117" i="2"/>
  <c r="M1117" i="2"/>
  <c r="L1117" i="2"/>
  <c r="K1117" i="2"/>
  <c r="J1117" i="2"/>
  <c r="G1117" i="2"/>
  <c r="F1117" i="2"/>
  <c r="E1117" i="2"/>
  <c r="D1117" i="2"/>
  <c r="C1117" i="2"/>
  <c r="B1117" i="2"/>
  <c r="A1117" i="2"/>
  <c r="U1116" i="2"/>
  <c r="R1116" i="2"/>
  <c r="Q1116" i="2"/>
  <c r="P1116" i="2"/>
  <c r="O1116" i="2"/>
  <c r="M1116" i="2"/>
  <c r="L1116" i="2"/>
  <c r="K1116" i="2"/>
  <c r="J1116" i="2"/>
  <c r="I1116" i="2"/>
  <c r="H1116" i="2"/>
  <c r="G1116" i="2"/>
  <c r="F1116" i="2"/>
  <c r="E1116" i="2"/>
  <c r="D1116" i="2"/>
  <c r="C1116" i="2"/>
  <c r="B1116" i="2"/>
  <c r="A1116" i="2"/>
  <c r="U1115" i="2"/>
  <c r="R1115" i="2"/>
  <c r="Q1115" i="2"/>
  <c r="O1115" i="2"/>
  <c r="M1115" i="2"/>
  <c r="L1115" i="2"/>
  <c r="K1115" i="2"/>
  <c r="J1115" i="2"/>
  <c r="G1115" i="2"/>
  <c r="F1115" i="2"/>
  <c r="E1115" i="2"/>
  <c r="D1115" i="2"/>
  <c r="C1115" i="2"/>
  <c r="B1115" i="2"/>
  <c r="A1115" i="2"/>
  <c r="U1114" i="2"/>
  <c r="R1114" i="2"/>
  <c r="Q1114" i="2"/>
  <c r="O1114" i="2"/>
  <c r="M1114" i="2"/>
  <c r="L1114" i="2"/>
  <c r="K1114" i="2"/>
  <c r="J1114" i="2"/>
  <c r="G1114" i="2"/>
  <c r="F1114" i="2"/>
  <c r="E1114" i="2"/>
  <c r="D1114" i="2"/>
  <c r="C1114" i="2"/>
  <c r="B1114" i="2"/>
  <c r="A1114" i="2"/>
  <c r="U1113" i="2"/>
  <c r="R1113" i="2"/>
  <c r="Q1113" i="2"/>
  <c r="O1113" i="2"/>
  <c r="M1113" i="2"/>
  <c r="L1113" i="2"/>
  <c r="K1113" i="2"/>
  <c r="J1113" i="2"/>
  <c r="G1113" i="2"/>
  <c r="F1113" i="2"/>
  <c r="E1113" i="2"/>
  <c r="D1113" i="2"/>
  <c r="C1113" i="2"/>
  <c r="B1113" i="2"/>
  <c r="A1113" i="2"/>
  <c r="U1112" i="2"/>
  <c r="R1112" i="2"/>
  <c r="Q1112" i="2"/>
  <c r="P1112" i="2"/>
  <c r="O1112" i="2"/>
  <c r="M1112" i="2"/>
  <c r="L1112" i="2"/>
  <c r="K1112" i="2"/>
  <c r="J1112" i="2"/>
  <c r="I1112" i="2"/>
  <c r="H1112" i="2"/>
  <c r="G1112" i="2"/>
  <c r="F1112" i="2"/>
  <c r="E1112" i="2"/>
  <c r="D1112" i="2"/>
  <c r="C1112" i="2"/>
  <c r="B1112" i="2"/>
  <c r="A1112" i="2"/>
  <c r="U1111" i="2"/>
  <c r="R1111" i="2"/>
  <c r="Q1111" i="2"/>
  <c r="O1111" i="2"/>
  <c r="M1111" i="2"/>
  <c r="L1111" i="2"/>
  <c r="K1111" i="2"/>
  <c r="J1111" i="2"/>
  <c r="G1111" i="2"/>
  <c r="F1111" i="2"/>
  <c r="E1111" i="2"/>
  <c r="D1111" i="2"/>
  <c r="C1111" i="2"/>
  <c r="B1111" i="2"/>
  <c r="A1111" i="2"/>
  <c r="U1110" i="2"/>
  <c r="R1110" i="2"/>
  <c r="Q1110" i="2"/>
  <c r="O1110" i="2"/>
  <c r="M1110" i="2"/>
  <c r="L1110" i="2"/>
  <c r="K1110" i="2"/>
  <c r="J1110" i="2"/>
  <c r="G1110" i="2"/>
  <c r="F1110" i="2"/>
  <c r="E1110" i="2"/>
  <c r="D1110" i="2"/>
  <c r="C1110" i="2"/>
  <c r="B1110" i="2"/>
  <c r="A1110" i="2"/>
  <c r="U1109" i="2"/>
  <c r="R1109" i="2"/>
  <c r="Q1109" i="2"/>
  <c r="O1109" i="2"/>
  <c r="M1109" i="2"/>
  <c r="L1109" i="2"/>
  <c r="K1109" i="2"/>
  <c r="J1109" i="2"/>
  <c r="G1109" i="2"/>
  <c r="F1109" i="2"/>
  <c r="E1109" i="2"/>
  <c r="D1109" i="2"/>
  <c r="C1109" i="2"/>
  <c r="B1109" i="2"/>
  <c r="A1109" i="2"/>
  <c r="U1108" i="2"/>
  <c r="R1108" i="2"/>
  <c r="Q1108" i="2"/>
  <c r="P1108" i="2"/>
  <c r="O1108" i="2"/>
  <c r="M1108" i="2"/>
  <c r="L1108" i="2"/>
  <c r="K1108" i="2"/>
  <c r="J1108" i="2"/>
  <c r="I1108" i="2"/>
  <c r="H1108" i="2"/>
  <c r="G1108" i="2"/>
  <c r="F1108" i="2"/>
  <c r="E1108" i="2"/>
  <c r="D1108" i="2"/>
  <c r="C1108" i="2"/>
  <c r="B1108" i="2"/>
  <c r="A1108" i="2"/>
  <c r="U1107" i="2"/>
  <c r="R1107" i="2"/>
  <c r="Q1107" i="2"/>
  <c r="P1107" i="2"/>
  <c r="O1107" i="2"/>
  <c r="M1107" i="2"/>
  <c r="L1107" i="2"/>
  <c r="K1107" i="2"/>
  <c r="J1107" i="2"/>
  <c r="I1107" i="2"/>
  <c r="H1107" i="2"/>
  <c r="G1107" i="2"/>
  <c r="F1107" i="2"/>
  <c r="E1107" i="2"/>
  <c r="D1107" i="2"/>
  <c r="C1107" i="2"/>
  <c r="B1107" i="2"/>
  <c r="A1107" i="2"/>
  <c r="U1106" i="2"/>
  <c r="R1106" i="2"/>
  <c r="Q1106" i="2"/>
  <c r="O1106" i="2"/>
  <c r="M1106" i="2"/>
  <c r="L1106" i="2"/>
  <c r="K1106" i="2"/>
  <c r="J1106" i="2"/>
  <c r="G1106" i="2"/>
  <c r="F1106" i="2"/>
  <c r="E1106" i="2"/>
  <c r="D1106" i="2"/>
  <c r="C1106" i="2"/>
  <c r="B1106" i="2"/>
  <c r="A1106" i="2"/>
  <c r="U1105" i="2"/>
  <c r="R1105" i="2"/>
  <c r="Q1105" i="2"/>
  <c r="P1105" i="2"/>
  <c r="O1105" i="2"/>
  <c r="N1105" i="2"/>
  <c r="M1105" i="2"/>
  <c r="L1105" i="2"/>
  <c r="K1105" i="2"/>
  <c r="J1105" i="2"/>
  <c r="I1105" i="2"/>
  <c r="H1105" i="2"/>
  <c r="G1105" i="2"/>
  <c r="F1105" i="2"/>
  <c r="E1105" i="2"/>
  <c r="D1105" i="2"/>
  <c r="C1105" i="2"/>
  <c r="B1105" i="2"/>
  <c r="A1105" i="2"/>
  <c r="U1104" i="2"/>
  <c r="R1104" i="2"/>
  <c r="Q1104" i="2"/>
  <c r="O1104" i="2"/>
  <c r="M1104" i="2"/>
  <c r="L1104" i="2"/>
  <c r="K1104" i="2"/>
  <c r="J1104" i="2"/>
  <c r="G1104" i="2"/>
  <c r="F1104" i="2"/>
  <c r="E1104" i="2"/>
  <c r="D1104" i="2"/>
  <c r="C1104" i="2"/>
  <c r="B1104" i="2"/>
  <c r="A1104" i="2"/>
  <c r="U1103" i="2"/>
  <c r="R1103" i="2"/>
  <c r="Q1103" i="2"/>
  <c r="P1103" i="2"/>
  <c r="O1103" i="2"/>
  <c r="M1103" i="2"/>
  <c r="L1103" i="2"/>
  <c r="K1103" i="2"/>
  <c r="J1103" i="2"/>
  <c r="I1103" i="2"/>
  <c r="H1103" i="2"/>
  <c r="G1103" i="2"/>
  <c r="F1103" i="2"/>
  <c r="E1103" i="2"/>
  <c r="D1103" i="2"/>
  <c r="C1103" i="2"/>
  <c r="B1103" i="2"/>
  <c r="A1103" i="2"/>
  <c r="U1102" i="2"/>
  <c r="R1102" i="2"/>
  <c r="Q1102" i="2"/>
  <c r="O1102" i="2"/>
  <c r="M1102" i="2"/>
  <c r="L1102" i="2"/>
  <c r="K1102" i="2"/>
  <c r="J1102" i="2"/>
  <c r="G1102" i="2"/>
  <c r="F1102" i="2"/>
  <c r="E1102" i="2"/>
  <c r="D1102" i="2"/>
  <c r="C1102" i="2"/>
  <c r="B1102" i="2"/>
  <c r="A1102" i="2"/>
  <c r="R1101" i="2"/>
  <c r="Q1101" i="2"/>
  <c r="O1101" i="2"/>
  <c r="M1101" i="2"/>
  <c r="L1101" i="2"/>
  <c r="K1101" i="2"/>
  <c r="J1101" i="2"/>
  <c r="G1101" i="2"/>
  <c r="F1101" i="2"/>
  <c r="E1101" i="2"/>
  <c r="D1101" i="2"/>
  <c r="C1101" i="2"/>
  <c r="B1101" i="2"/>
  <c r="A1101" i="2"/>
  <c r="U1100" i="2"/>
  <c r="R1100" i="2"/>
  <c r="Q1100" i="2"/>
  <c r="O1100" i="2"/>
  <c r="M1100" i="2"/>
  <c r="L1100" i="2"/>
  <c r="K1100" i="2"/>
  <c r="J1100" i="2"/>
  <c r="G1100" i="2"/>
  <c r="F1100" i="2"/>
  <c r="E1100" i="2"/>
  <c r="D1100" i="2"/>
  <c r="C1100" i="2"/>
  <c r="B1100" i="2"/>
  <c r="A1100" i="2"/>
  <c r="U1099" i="2"/>
  <c r="R1099" i="2"/>
  <c r="Q1099" i="2"/>
  <c r="P1099" i="2"/>
  <c r="O1099" i="2"/>
  <c r="M1099" i="2"/>
  <c r="L1099" i="2"/>
  <c r="K1099" i="2"/>
  <c r="J1099" i="2"/>
  <c r="I1099" i="2"/>
  <c r="H1099" i="2"/>
  <c r="G1099" i="2"/>
  <c r="F1099" i="2"/>
  <c r="E1099" i="2"/>
  <c r="D1099" i="2"/>
  <c r="C1099" i="2"/>
  <c r="B1099" i="2"/>
  <c r="A1099" i="2"/>
  <c r="U1098" i="2"/>
  <c r="R1098" i="2"/>
  <c r="Q1098" i="2"/>
  <c r="O1098" i="2"/>
  <c r="M1098" i="2"/>
  <c r="L1098" i="2"/>
  <c r="K1098" i="2"/>
  <c r="J1098" i="2"/>
  <c r="G1098" i="2"/>
  <c r="F1098" i="2"/>
  <c r="E1098" i="2"/>
  <c r="D1098" i="2"/>
  <c r="C1098" i="2"/>
  <c r="B1098" i="2"/>
  <c r="A1098" i="2"/>
  <c r="U1097" i="2"/>
  <c r="R1097" i="2"/>
  <c r="Q1097" i="2"/>
  <c r="O1097" i="2"/>
  <c r="M1097" i="2"/>
  <c r="L1097" i="2"/>
  <c r="K1097" i="2"/>
  <c r="J1097" i="2"/>
  <c r="G1097" i="2"/>
  <c r="F1097" i="2"/>
  <c r="E1097" i="2"/>
  <c r="D1097" i="2"/>
  <c r="C1097" i="2"/>
  <c r="B1097" i="2"/>
  <c r="A1097" i="2"/>
  <c r="U1096" i="2"/>
  <c r="R1096" i="2"/>
  <c r="Q1096" i="2"/>
  <c r="O1096" i="2"/>
  <c r="M1096" i="2"/>
  <c r="L1096" i="2"/>
  <c r="K1096" i="2"/>
  <c r="J1096" i="2"/>
  <c r="G1096" i="2"/>
  <c r="F1096" i="2"/>
  <c r="E1096" i="2"/>
  <c r="D1096" i="2"/>
  <c r="C1096" i="2"/>
  <c r="B1096" i="2"/>
  <c r="A1096" i="2"/>
  <c r="U1095" i="2"/>
  <c r="R1095" i="2"/>
  <c r="Q1095" i="2"/>
  <c r="P1095" i="2"/>
  <c r="O1095" i="2"/>
  <c r="M1095" i="2"/>
  <c r="L1095" i="2"/>
  <c r="K1095" i="2"/>
  <c r="J1095" i="2"/>
  <c r="I1095" i="2"/>
  <c r="H1095" i="2"/>
  <c r="G1095" i="2"/>
  <c r="F1095" i="2"/>
  <c r="E1095" i="2"/>
  <c r="D1095" i="2"/>
  <c r="C1095" i="2"/>
  <c r="B1095" i="2"/>
  <c r="A1095" i="2"/>
  <c r="U1094" i="2"/>
  <c r="R1094" i="2"/>
  <c r="Q1094" i="2"/>
  <c r="O1094" i="2"/>
  <c r="M1094" i="2"/>
  <c r="L1094" i="2"/>
  <c r="K1094" i="2"/>
  <c r="J1094" i="2"/>
  <c r="G1094" i="2"/>
  <c r="F1094" i="2"/>
  <c r="E1094" i="2"/>
  <c r="D1094" i="2"/>
  <c r="C1094" i="2"/>
  <c r="B1094" i="2"/>
  <c r="A1094" i="2"/>
  <c r="U1093" i="2"/>
  <c r="R1093" i="2"/>
  <c r="Q1093" i="2"/>
  <c r="O1093" i="2"/>
  <c r="M1093" i="2"/>
  <c r="L1093" i="2"/>
  <c r="K1093" i="2"/>
  <c r="J1093" i="2"/>
  <c r="G1093" i="2"/>
  <c r="F1093" i="2"/>
  <c r="E1093" i="2"/>
  <c r="D1093" i="2"/>
  <c r="C1093" i="2"/>
  <c r="B1093" i="2"/>
  <c r="A1093" i="2"/>
  <c r="U1092" i="2"/>
  <c r="R1092" i="2"/>
  <c r="Q1092" i="2"/>
  <c r="P1092" i="2"/>
  <c r="O1092" i="2"/>
  <c r="M1092" i="2"/>
  <c r="L1092" i="2"/>
  <c r="K1092" i="2"/>
  <c r="J1092" i="2"/>
  <c r="I1092" i="2"/>
  <c r="H1092" i="2"/>
  <c r="G1092" i="2"/>
  <c r="F1092" i="2"/>
  <c r="E1092" i="2"/>
  <c r="D1092" i="2"/>
  <c r="C1092" i="2"/>
  <c r="B1092" i="2"/>
  <c r="A1092" i="2"/>
  <c r="U1091" i="2"/>
  <c r="R1091" i="2"/>
  <c r="Q1091" i="2"/>
  <c r="O1091" i="2"/>
  <c r="M1091" i="2"/>
  <c r="L1091" i="2"/>
  <c r="K1091" i="2"/>
  <c r="J1091" i="2"/>
  <c r="G1091" i="2"/>
  <c r="F1091" i="2"/>
  <c r="E1091" i="2"/>
  <c r="D1091" i="2"/>
  <c r="C1091" i="2"/>
  <c r="B1091" i="2"/>
  <c r="A1091" i="2"/>
  <c r="U1090" i="2"/>
  <c r="R1090" i="2"/>
  <c r="Q1090" i="2"/>
  <c r="P1090" i="2"/>
  <c r="O1090" i="2"/>
  <c r="M1090" i="2"/>
  <c r="L1090" i="2"/>
  <c r="K1090" i="2"/>
  <c r="J1090" i="2"/>
  <c r="I1090" i="2"/>
  <c r="H1090" i="2"/>
  <c r="G1090" i="2"/>
  <c r="F1090" i="2"/>
  <c r="E1090" i="2"/>
  <c r="D1090" i="2"/>
  <c r="C1090" i="2"/>
  <c r="B1090" i="2"/>
  <c r="A1090" i="2"/>
  <c r="U1089" i="2"/>
  <c r="R1089" i="2"/>
  <c r="Q1089" i="2"/>
  <c r="P1089" i="2"/>
  <c r="O1089" i="2"/>
  <c r="M1089" i="2"/>
  <c r="L1089" i="2"/>
  <c r="K1089" i="2"/>
  <c r="J1089" i="2"/>
  <c r="I1089" i="2"/>
  <c r="H1089" i="2"/>
  <c r="G1089" i="2"/>
  <c r="F1089" i="2"/>
  <c r="E1089" i="2"/>
  <c r="D1089" i="2"/>
  <c r="C1089" i="2"/>
  <c r="B1089" i="2"/>
  <c r="A1089" i="2"/>
  <c r="U1088" i="2"/>
  <c r="R1088" i="2"/>
  <c r="Q1088" i="2"/>
  <c r="O1088" i="2"/>
  <c r="M1088" i="2"/>
  <c r="L1088" i="2"/>
  <c r="K1088" i="2"/>
  <c r="J1088" i="2"/>
  <c r="G1088" i="2"/>
  <c r="F1088" i="2"/>
  <c r="E1088" i="2"/>
  <c r="D1088" i="2"/>
  <c r="C1088" i="2"/>
  <c r="B1088" i="2"/>
  <c r="A1088" i="2"/>
  <c r="U1087" i="2"/>
  <c r="R1087" i="2"/>
  <c r="Q1087" i="2"/>
  <c r="P1087" i="2"/>
  <c r="O1087" i="2"/>
  <c r="M1087" i="2"/>
  <c r="L1087" i="2"/>
  <c r="K1087" i="2"/>
  <c r="J1087" i="2"/>
  <c r="I1087" i="2"/>
  <c r="H1087" i="2"/>
  <c r="G1087" i="2"/>
  <c r="F1087" i="2"/>
  <c r="E1087" i="2"/>
  <c r="D1087" i="2"/>
  <c r="C1087" i="2"/>
  <c r="B1087" i="2"/>
  <c r="A1087" i="2"/>
  <c r="U1086" i="2"/>
  <c r="R1086" i="2"/>
  <c r="Q1086" i="2"/>
  <c r="O1086" i="2"/>
  <c r="M1086" i="2"/>
  <c r="L1086" i="2"/>
  <c r="K1086" i="2"/>
  <c r="J1086" i="2"/>
  <c r="G1086" i="2"/>
  <c r="F1086" i="2"/>
  <c r="E1086" i="2"/>
  <c r="D1086" i="2"/>
  <c r="C1086" i="2"/>
  <c r="B1086" i="2"/>
  <c r="A1086" i="2"/>
  <c r="U1085" i="2"/>
  <c r="R1085" i="2"/>
  <c r="Q1085" i="2"/>
  <c r="O1085" i="2"/>
  <c r="M1085" i="2"/>
  <c r="L1085" i="2"/>
  <c r="K1085" i="2"/>
  <c r="J1085" i="2"/>
  <c r="G1085" i="2"/>
  <c r="F1085" i="2"/>
  <c r="E1085" i="2"/>
  <c r="D1085" i="2"/>
  <c r="C1085" i="2"/>
  <c r="B1085" i="2"/>
  <c r="A1085" i="2"/>
  <c r="U1084" i="2"/>
  <c r="R1084" i="2"/>
  <c r="Q1084" i="2"/>
  <c r="O1084" i="2"/>
  <c r="M1084" i="2"/>
  <c r="L1084" i="2"/>
  <c r="K1084" i="2"/>
  <c r="J1084" i="2"/>
  <c r="G1084" i="2"/>
  <c r="F1084" i="2"/>
  <c r="E1084" i="2"/>
  <c r="D1084" i="2"/>
  <c r="C1084" i="2"/>
  <c r="B1084" i="2"/>
  <c r="A1084" i="2"/>
  <c r="U1083" i="2"/>
  <c r="R1083" i="2"/>
  <c r="Q1083" i="2"/>
  <c r="P1083" i="2"/>
  <c r="O1083" i="2"/>
  <c r="M1083" i="2"/>
  <c r="L1083" i="2"/>
  <c r="K1083" i="2"/>
  <c r="J1083" i="2"/>
  <c r="I1083" i="2"/>
  <c r="H1083" i="2"/>
  <c r="G1083" i="2"/>
  <c r="F1083" i="2"/>
  <c r="E1083" i="2"/>
  <c r="D1083" i="2"/>
  <c r="C1083" i="2"/>
  <c r="B1083" i="2"/>
  <c r="A1083" i="2"/>
  <c r="U1082" i="2"/>
  <c r="R1082" i="2"/>
  <c r="Q1082" i="2"/>
  <c r="O1082" i="2"/>
  <c r="M1082" i="2"/>
  <c r="L1082" i="2"/>
  <c r="K1082" i="2"/>
  <c r="J1082" i="2"/>
  <c r="G1082" i="2"/>
  <c r="F1082" i="2"/>
  <c r="E1082" i="2"/>
  <c r="D1082" i="2"/>
  <c r="C1082" i="2"/>
  <c r="B1082" i="2"/>
  <c r="A1082" i="2"/>
  <c r="U1081" i="2"/>
  <c r="R1081" i="2"/>
  <c r="Q1081" i="2"/>
  <c r="P1081" i="2"/>
  <c r="O1081" i="2"/>
  <c r="M1081" i="2"/>
  <c r="L1081" i="2"/>
  <c r="K1081" i="2"/>
  <c r="J1081" i="2"/>
  <c r="I1081" i="2"/>
  <c r="H1081" i="2"/>
  <c r="G1081" i="2"/>
  <c r="F1081" i="2"/>
  <c r="E1081" i="2"/>
  <c r="D1081" i="2"/>
  <c r="C1081" i="2"/>
  <c r="B1081" i="2"/>
  <c r="A1081" i="2"/>
  <c r="U1080" i="2"/>
  <c r="R1080" i="2"/>
  <c r="Q1080" i="2"/>
  <c r="P1080" i="2"/>
  <c r="O1080" i="2"/>
  <c r="M1080" i="2"/>
  <c r="L1080" i="2"/>
  <c r="K1080" i="2"/>
  <c r="J1080" i="2"/>
  <c r="I1080" i="2"/>
  <c r="H1080" i="2"/>
  <c r="G1080" i="2"/>
  <c r="F1080" i="2"/>
  <c r="E1080" i="2"/>
  <c r="D1080" i="2"/>
  <c r="C1080" i="2"/>
  <c r="B1080" i="2"/>
  <c r="A1080" i="2"/>
  <c r="U1079" i="2"/>
  <c r="R1079" i="2"/>
  <c r="Q1079" i="2"/>
  <c r="P1079" i="2"/>
  <c r="O1079" i="2"/>
  <c r="M1079" i="2"/>
  <c r="L1079" i="2"/>
  <c r="K1079" i="2"/>
  <c r="J1079" i="2"/>
  <c r="I1079" i="2"/>
  <c r="H1079" i="2"/>
  <c r="G1079" i="2"/>
  <c r="F1079" i="2"/>
  <c r="E1079" i="2"/>
  <c r="D1079" i="2"/>
  <c r="C1079" i="2"/>
  <c r="B1079" i="2"/>
  <c r="A1079" i="2"/>
  <c r="U1078" i="2"/>
  <c r="R1078" i="2"/>
  <c r="Q1078" i="2"/>
  <c r="P1078" i="2"/>
  <c r="O1078" i="2"/>
  <c r="M1078" i="2"/>
  <c r="L1078" i="2"/>
  <c r="K1078" i="2"/>
  <c r="J1078" i="2"/>
  <c r="I1078" i="2"/>
  <c r="H1078" i="2"/>
  <c r="G1078" i="2"/>
  <c r="F1078" i="2"/>
  <c r="E1078" i="2"/>
  <c r="D1078" i="2"/>
  <c r="C1078" i="2"/>
  <c r="B1078" i="2"/>
  <c r="A1078" i="2"/>
  <c r="U1077" i="2"/>
  <c r="R1077" i="2"/>
  <c r="Q1077" i="2"/>
  <c r="O1077" i="2"/>
  <c r="M1077" i="2"/>
  <c r="L1077" i="2"/>
  <c r="K1077" i="2"/>
  <c r="J1077" i="2"/>
  <c r="G1077" i="2"/>
  <c r="F1077" i="2"/>
  <c r="E1077" i="2"/>
  <c r="D1077" i="2"/>
  <c r="C1077" i="2"/>
  <c r="B1077" i="2"/>
  <c r="A1077" i="2"/>
  <c r="U1076" i="2"/>
  <c r="R1076" i="2"/>
  <c r="Q1076" i="2"/>
  <c r="P1076" i="2"/>
  <c r="O1076" i="2"/>
  <c r="M1076" i="2"/>
  <c r="L1076" i="2"/>
  <c r="K1076" i="2"/>
  <c r="J1076" i="2"/>
  <c r="I1076" i="2"/>
  <c r="H1076" i="2"/>
  <c r="G1076" i="2"/>
  <c r="F1076" i="2"/>
  <c r="E1076" i="2"/>
  <c r="D1076" i="2"/>
  <c r="C1076" i="2"/>
  <c r="B1076" i="2"/>
  <c r="A1076" i="2"/>
  <c r="U1075" i="2"/>
  <c r="R1075" i="2"/>
  <c r="Q1075" i="2"/>
  <c r="P1075" i="2"/>
  <c r="O1075" i="2"/>
  <c r="M1075" i="2"/>
  <c r="L1075" i="2"/>
  <c r="K1075" i="2"/>
  <c r="J1075" i="2"/>
  <c r="I1075" i="2"/>
  <c r="H1075" i="2"/>
  <c r="G1075" i="2"/>
  <c r="F1075" i="2"/>
  <c r="E1075" i="2"/>
  <c r="D1075" i="2"/>
  <c r="C1075" i="2"/>
  <c r="B1075" i="2"/>
  <c r="A1075" i="2"/>
  <c r="U1074" i="2"/>
  <c r="R1074" i="2"/>
  <c r="Q1074" i="2"/>
  <c r="P1074" i="2"/>
  <c r="O1074" i="2"/>
  <c r="M1074" i="2"/>
  <c r="L1074" i="2"/>
  <c r="K1074" i="2"/>
  <c r="J1074" i="2"/>
  <c r="I1074" i="2"/>
  <c r="H1074" i="2"/>
  <c r="G1074" i="2"/>
  <c r="F1074" i="2"/>
  <c r="E1074" i="2"/>
  <c r="D1074" i="2"/>
  <c r="C1074" i="2"/>
  <c r="B1074" i="2"/>
  <c r="A1074" i="2"/>
  <c r="U1073" i="2"/>
  <c r="R1073" i="2"/>
  <c r="Q1073" i="2"/>
  <c r="P1073" i="2"/>
  <c r="O1073" i="2"/>
  <c r="M1073" i="2"/>
  <c r="L1073" i="2"/>
  <c r="K1073" i="2"/>
  <c r="J1073" i="2"/>
  <c r="I1073" i="2"/>
  <c r="H1073" i="2"/>
  <c r="G1073" i="2"/>
  <c r="F1073" i="2"/>
  <c r="E1073" i="2"/>
  <c r="D1073" i="2"/>
  <c r="C1073" i="2"/>
  <c r="B1073" i="2"/>
  <c r="A1073" i="2"/>
  <c r="U1072" i="2"/>
  <c r="R1072" i="2"/>
  <c r="Q1072" i="2"/>
  <c r="O1072" i="2"/>
  <c r="M1072" i="2"/>
  <c r="L1072" i="2"/>
  <c r="K1072" i="2"/>
  <c r="J1072" i="2"/>
  <c r="G1072" i="2"/>
  <c r="F1072" i="2"/>
  <c r="E1072" i="2"/>
  <c r="D1072" i="2"/>
  <c r="C1072" i="2"/>
  <c r="B1072" i="2"/>
  <c r="A1072" i="2"/>
  <c r="U1071" i="2"/>
  <c r="R1071" i="2"/>
  <c r="Q1071" i="2"/>
  <c r="O1071" i="2"/>
  <c r="M1071" i="2"/>
  <c r="L1071" i="2"/>
  <c r="K1071" i="2"/>
  <c r="J1071" i="2"/>
  <c r="G1071" i="2"/>
  <c r="F1071" i="2"/>
  <c r="E1071" i="2"/>
  <c r="D1071" i="2"/>
  <c r="C1071" i="2"/>
  <c r="B1071" i="2"/>
  <c r="A1071" i="2"/>
  <c r="U1070" i="2"/>
  <c r="R1070" i="2"/>
  <c r="Q1070" i="2"/>
  <c r="O1070" i="2"/>
  <c r="M1070" i="2"/>
  <c r="L1070" i="2"/>
  <c r="K1070" i="2"/>
  <c r="J1070" i="2"/>
  <c r="G1070" i="2"/>
  <c r="F1070" i="2"/>
  <c r="E1070" i="2"/>
  <c r="D1070" i="2"/>
  <c r="C1070" i="2"/>
  <c r="B1070" i="2"/>
  <c r="A1070" i="2"/>
  <c r="U1069" i="2"/>
  <c r="R1069" i="2"/>
  <c r="Q1069" i="2"/>
  <c r="P1069" i="2"/>
  <c r="O1069" i="2"/>
  <c r="M1069" i="2"/>
  <c r="L1069" i="2"/>
  <c r="K1069" i="2"/>
  <c r="J1069" i="2"/>
  <c r="I1069" i="2"/>
  <c r="H1069" i="2"/>
  <c r="G1069" i="2"/>
  <c r="F1069" i="2"/>
  <c r="E1069" i="2"/>
  <c r="D1069" i="2"/>
  <c r="C1069" i="2"/>
  <c r="B1069" i="2"/>
  <c r="A1069" i="2"/>
  <c r="U1068" i="2"/>
  <c r="R1068" i="2"/>
  <c r="Q1068" i="2"/>
  <c r="O1068" i="2"/>
  <c r="M1068" i="2"/>
  <c r="L1068" i="2"/>
  <c r="K1068" i="2"/>
  <c r="J1068" i="2"/>
  <c r="G1068" i="2"/>
  <c r="F1068" i="2"/>
  <c r="E1068" i="2"/>
  <c r="D1068" i="2"/>
  <c r="C1068" i="2"/>
  <c r="B1068" i="2"/>
  <c r="A1068" i="2"/>
  <c r="U1067" i="2"/>
  <c r="R1067" i="2"/>
  <c r="Q1067" i="2"/>
  <c r="O1067" i="2"/>
  <c r="M1067" i="2"/>
  <c r="L1067" i="2"/>
  <c r="K1067" i="2"/>
  <c r="J1067" i="2"/>
  <c r="G1067" i="2"/>
  <c r="F1067" i="2"/>
  <c r="E1067" i="2"/>
  <c r="D1067" i="2"/>
  <c r="C1067" i="2"/>
  <c r="B1067" i="2"/>
  <c r="A1067" i="2"/>
  <c r="R1066" i="2"/>
  <c r="Q1066" i="2"/>
  <c r="P1066" i="2"/>
  <c r="O1066" i="2"/>
  <c r="M1066" i="2"/>
  <c r="L1066" i="2"/>
  <c r="K1066" i="2"/>
  <c r="J1066" i="2"/>
  <c r="I1066" i="2"/>
  <c r="H1066" i="2"/>
  <c r="G1066" i="2"/>
  <c r="F1066" i="2"/>
  <c r="E1066" i="2"/>
  <c r="D1066" i="2"/>
  <c r="C1066" i="2"/>
  <c r="B1066" i="2"/>
  <c r="A1066" i="2"/>
  <c r="R1065" i="2"/>
  <c r="Q1065" i="2"/>
  <c r="P1065" i="2"/>
  <c r="O1065" i="2"/>
  <c r="M1065" i="2"/>
  <c r="L1065" i="2"/>
  <c r="K1065" i="2"/>
  <c r="J1065" i="2"/>
  <c r="I1065" i="2"/>
  <c r="H1065" i="2"/>
  <c r="G1065" i="2"/>
  <c r="F1065" i="2"/>
  <c r="E1065" i="2"/>
  <c r="D1065" i="2"/>
  <c r="C1065" i="2"/>
  <c r="B1065" i="2"/>
  <c r="A1065" i="2"/>
  <c r="R1064" i="2"/>
  <c r="Q1064" i="2"/>
  <c r="P1064" i="2"/>
  <c r="O1064" i="2"/>
  <c r="M1064" i="2"/>
  <c r="L1064" i="2"/>
  <c r="K1064" i="2"/>
  <c r="J1064" i="2"/>
  <c r="I1064" i="2"/>
  <c r="H1064" i="2"/>
  <c r="G1064" i="2"/>
  <c r="F1064" i="2"/>
  <c r="E1064" i="2"/>
  <c r="D1064" i="2"/>
  <c r="C1064" i="2"/>
  <c r="B1064" i="2"/>
  <c r="A1064" i="2"/>
  <c r="R1063" i="2"/>
  <c r="Q1063" i="2"/>
  <c r="O1063" i="2"/>
  <c r="M1063" i="2"/>
  <c r="L1063" i="2"/>
  <c r="K1063" i="2"/>
  <c r="J1063" i="2"/>
  <c r="G1063" i="2"/>
  <c r="F1063" i="2"/>
  <c r="E1063" i="2"/>
  <c r="D1063" i="2"/>
  <c r="C1063" i="2"/>
  <c r="B1063" i="2"/>
  <c r="A1063" i="2"/>
  <c r="U1062" i="2"/>
  <c r="R1062" i="2"/>
  <c r="Q1062" i="2"/>
  <c r="P1062" i="2"/>
  <c r="O1062" i="2"/>
  <c r="M1062" i="2"/>
  <c r="L1062" i="2"/>
  <c r="K1062" i="2"/>
  <c r="J1062" i="2"/>
  <c r="I1062" i="2"/>
  <c r="H1062" i="2"/>
  <c r="G1062" i="2"/>
  <c r="F1062" i="2"/>
  <c r="E1062" i="2"/>
  <c r="D1062" i="2"/>
  <c r="C1062" i="2"/>
  <c r="B1062" i="2"/>
  <c r="A1062" i="2"/>
  <c r="U1061" i="2"/>
  <c r="R1061" i="2"/>
  <c r="Q1061" i="2"/>
  <c r="P1061" i="2"/>
  <c r="O1061" i="2"/>
  <c r="M1061" i="2"/>
  <c r="L1061" i="2"/>
  <c r="K1061" i="2"/>
  <c r="J1061" i="2"/>
  <c r="I1061" i="2"/>
  <c r="H1061" i="2"/>
  <c r="G1061" i="2"/>
  <c r="F1061" i="2"/>
  <c r="E1061" i="2"/>
  <c r="D1061" i="2"/>
  <c r="C1061" i="2"/>
  <c r="B1061" i="2"/>
  <c r="A1061" i="2"/>
  <c r="U1060" i="2"/>
  <c r="R1060" i="2"/>
  <c r="Q1060" i="2"/>
  <c r="O1060" i="2"/>
  <c r="M1060" i="2"/>
  <c r="L1060" i="2"/>
  <c r="K1060" i="2"/>
  <c r="J1060" i="2"/>
  <c r="G1060" i="2"/>
  <c r="F1060" i="2"/>
  <c r="E1060" i="2"/>
  <c r="D1060" i="2"/>
  <c r="C1060" i="2"/>
  <c r="B1060" i="2"/>
  <c r="A1060" i="2"/>
  <c r="R1059" i="2"/>
  <c r="Q1059" i="2"/>
  <c r="O1059" i="2"/>
  <c r="M1059" i="2"/>
  <c r="L1059" i="2"/>
  <c r="K1059" i="2"/>
  <c r="J1059" i="2"/>
  <c r="G1059" i="2"/>
  <c r="F1059" i="2"/>
  <c r="E1059" i="2"/>
  <c r="D1059" i="2"/>
  <c r="C1059" i="2"/>
  <c r="B1059" i="2"/>
  <c r="A1059" i="2"/>
  <c r="U1058" i="2"/>
  <c r="R1058" i="2"/>
  <c r="Q1058" i="2"/>
  <c r="O1058" i="2"/>
  <c r="M1058" i="2"/>
  <c r="L1058" i="2"/>
  <c r="K1058" i="2"/>
  <c r="J1058" i="2"/>
  <c r="G1058" i="2"/>
  <c r="F1058" i="2"/>
  <c r="E1058" i="2"/>
  <c r="D1058" i="2"/>
  <c r="C1058" i="2"/>
  <c r="B1058" i="2"/>
  <c r="A1058" i="2"/>
  <c r="R1057" i="2"/>
  <c r="Q1057" i="2"/>
  <c r="O1057" i="2"/>
  <c r="M1057" i="2"/>
  <c r="L1057" i="2"/>
  <c r="K1057" i="2"/>
  <c r="J1057" i="2"/>
  <c r="G1057" i="2"/>
  <c r="F1057" i="2"/>
  <c r="E1057" i="2"/>
  <c r="D1057" i="2"/>
  <c r="C1057" i="2"/>
  <c r="B1057" i="2"/>
  <c r="A1057" i="2"/>
  <c r="U1056" i="2"/>
  <c r="R1056" i="2"/>
  <c r="Q1056" i="2"/>
  <c r="O1056" i="2"/>
  <c r="M1056" i="2"/>
  <c r="L1056" i="2"/>
  <c r="K1056" i="2"/>
  <c r="J1056" i="2"/>
  <c r="G1056" i="2"/>
  <c r="F1056" i="2"/>
  <c r="E1056" i="2"/>
  <c r="D1056" i="2"/>
  <c r="C1056" i="2"/>
  <c r="B1056" i="2"/>
  <c r="A1056" i="2"/>
  <c r="U1055" i="2"/>
  <c r="R1055" i="2"/>
  <c r="Q1055" i="2"/>
  <c r="P1055" i="2"/>
  <c r="O1055" i="2"/>
  <c r="M1055" i="2"/>
  <c r="L1055" i="2"/>
  <c r="K1055" i="2"/>
  <c r="J1055" i="2"/>
  <c r="I1055" i="2"/>
  <c r="H1055" i="2"/>
  <c r="G1055" i="2"/>
  <c r="F1055" i="2"/>
  <c r="E1055" i="2"/>
  <c r="D1055" i="2"/>
  <c r="C1055" i="2"/>
  <c r="B1055" i="2"/>
  <c r="A1055" i="2"/>
  <c r="U1054" i="2"/>
  <c r="R1054" i="2"/>
  <c r="Q1054" i="2"/>
  <c r="P1054" i="2"/>
  <c r="O1054" i="2"/>
  <c r="M1054" i="2"/>
  <c r="L1054" i="2"/>
  <c r="K1054" i="2"/>
  <c r="J1054" i="2"/>
  <c r="I1054" i="2"/>
  <c r="H1054" i="2"/>
  <c r="G1054" i="2"/>
  <c r="F1054" i="2"/>
  <c r="E1054" i="2"/>
  <c r="D1054" i="2"/>
  <c r="C1054" i="2"/>
  <c r="B1054" i="2"/>
  <c r="A1054" i="2"/>
  <c r="U1053" i="2"/>
  <c r="R1053" i="2"/>
  <c r="Q1053" i="2"/>
  <c r="O1053" i="2"/>
  <c r="M1053" i="2"/>
  <c r="L1053" i="2"/>
  <c r="K1053" i="2"/>
  <c r="J1053" i="2"/>
  <c r="G1053" i="2"/>
  <c r="F1053" i="2"/>
  <c r="E1053" i="2"/>
  <c r="D1053" i="2"/>
  <c r="C1053" i="2"/>
  <c r="B1053" i="2"/>
  <c r="A1053" i="2"/>
  <c r="U1052" i="2"/>
  <c r="R1052" i="2"/>
  <c r="Q1052" i="2"/>
  <c r="O1052" i="2"/>
  <c r="M1052" i="2"/>
  <c r="L1052" i="2"/>
  <c r="K1052" i="2"/>
  <c r="J1052" i="2"/>
  <c r="G1052" i="2"/>
  <c r="F1052" i="2"/>
  <c r="E1052" i="2"/>
  <c r="D1052" i="2"/>
  <c r="C1052" i="2"/>
  <c r="B1052" i="2"/>
  <c r="A1052" i="2"/>
  <c r="U1051" i="2"/>
  <c r="R1051" i="2"/>
  <c r="Q1051" i="2"/>
  <c r="O1051" i="2"/>
  <c r="M1051" i="2"/>
  <c r="L1051" i="2"/>
  <c r="K1051" i="2"/>
  <c r="J1051" i="2"/>
  <c r="G1051" i="2"/>
  <c r="F1051" i="2"/>
  <c r="E1051" i="2"/>
  <c r="D1051" i="2"/>
  <c r="C1051" i="2"/>
  <c r="B1051" i="2"/>
  <c r="A1051" i="2"/>
  <c r="U1050" i="2"/>
  <c r="R1050" i="2"/>
  <c r="Q1050" i="2"/>
  <c r="O1050" i="2"/>
  <c r="M1050" i="2"/>
  <c r="L1050" i="2"/>
  <c r="K1050" i="2"/>
  <c r="J1050" i="2"/>
  <c r="G1050" i="2"/>
  <c r="F1050" i="2"/>
  <c r="E1050" i="2"/>
  <c r="D1050" i="2"/>
  <c r="C1050" i="2"/>
  <c r="B1050" i="2"/>
  <c r="A1050" i="2"/>
  <c r="R1049" i="2"/>
  <c r="Q1049" i="2"/>
  <c r="O1049" i="2"/>
  <c r="M1049" i="2"/>
  <c r="L1049" i="2"/>
  <c r="K1049" i="2"/>
  <c r="J1049" i="2"/>
  <c r="G1049" i="2"/>
  <c r="F1049" i="2"/>
  <c r="E1049" i="2"/>
  <c r="D1049" i="2"/>
  <c r="C1049" i="2"/>
  <c r="B1049" i="2"/>
  <c r="A1049" i="2"/>
  <c r="R1048" i="2"/>
  <c r="Q1048" i="2"/>
  <c r="O1048" i="2"/>
  <c r="M1048" i="2"/>
  <c r="L1048" i="2"/>
  <c r="K1048" i="2"/>
  <c r="J1048" i="2"/>
  <c r="G1048" i="2"/>
  <c r="F1048" i="2"/>
  <c r="E1048" i="2"/>
  <c r="D1048" i="2"/>
  <c r="C1048" i="2"/>
  <c r="B1048" i="2"/>
  <c r="A1048" i="2"/>
  <c r="U1047" i="2"/>
  <c r="R1047" i="2"/>
  <c r="Q1047" i="2"/>
  <c r="P1047" i="2"/>
  <c r="O1047" i="2"/>
  <c r="M1047" i="2"/>
  <c r="L1047" i="2"/>
  <c r="K1047" i="2"/>
  <c r="J1047" i="2"/>
  <c r="I1047" i="2"/>
  <c r="H1047" i="2"/>
  <c r="G1047" i="2"/>
  <c r="F1047" i="2"/>
  <c r="E1047" i="2"/>
  <c r="D1047" i="2"/>
  <c r="C1047" i="2"/>
  <c r="B1047" i="2"/>
  <c r="A1047" i="2"/>
  <c r="U1046" i="2"/>
  <c r="R1046" i="2"/>
  <c r="Q1046" i="2"/>
  <c r="P1046" i="2"/>
  <c r="O1046" i="2"/>
  <c r="M1046" i="2"/>
  <c r="L1046" i="2"/>
  <c r="K1046" i="2"/>
  <c r="J1046" i="2"/>
  <c r="I1046" i="2"/>
  <c r="H1046" i="2"/>
  <c r="G1046" i="2"/>
  <c r="F1046" i="2"/>
  <c r="E1046" i="2"/>
  <c r="D1046" i="2"/>
  <c r="C1046" i="2"/>
  <c r="B1046" i="2"/>
  <c r="A1046" i="2"/>
  <c r="U1045" i="2"/>
  <c r="R1045" i="2"/>
  <c r="Q1045" i="2"/>
  <c r="P1045" i="2"/>
  <c r="O1045" i="2"/>
  <c r="M1045" i="2"/>
  <c r="L1045" i="2"/>
  <c r="K1045" i="2"/>
  <c r="J1045" i="2"/>
  <c r="I1045" i="2"/>
  <c r="H1045" i="2"/>
  <c r="G1045" i="2"/>
  <c r="F1045" i="2"/>
  <c r="E1045" i="2"/>
  <c r="D1045" i="2"/>
  <c r="C1045" i="2"/>
  <c r="B1045" i="2"/>
  <c r="A1045" i="2"/>
  <c r="U1044" i="2"/>
  <c r="R1044" i="2"/>
  <c r="Q1044" i="2"/>
  <c r="P1044" i="2"/>
  <c r="O1044" i="2"/>
  <c r="M1044" i="2"/>
  <c r="L1044" i="2"/>
  <c r="K1044" i="2"/>
  <c r="J1044" i="2"/>
  <c r="I1044" i="2"/>
  <c r="H1044" i="2"/>
  <c r="G1044" i="2"/>
  <c r="F1044" i="2"/>
  <c r="E1044" i="2"/>
  <c r="D1044" i="2"/>
  <c r="C1044" i="2"/>
  <c r="B1044" i="2"/>
  <c r="A1044" i="2"/>
  <c r="U1043" i="2"/>
  <c r="R1043" i="2"/>
  <c r="Q1043" i="2"/>
  <c r="O1043" i="2"/>
  <c r="M1043" i="2"/>
  <c r="L1043" i="2"/>
  <c r="K1043" i="2"/>
  <c r="J1043" i="2"/>
  <c r="G1043" i="2"/>
  <c r="F1043" i="2"/>
  <c r="E1043" i="2"/>
  <c r="D1043" i="2"/>
  <c r="C1043" i="2"/>
  <c r="B1043" i="2"/>
  <c r="A1043" i="2"/>
  <c r="U1042" i="2"/>
  <c r="R1042" i="2"/>
  <c r="Q1042" i="2"/>
  <c r="P1042" i="2"/>
  <c r="O1042" i="2"/>
  <c r="M1042" i="2"/>
  <c r="L1042" i="2"/>
  <c r="K1042" i="2"/>
  <c r="J1042" i="2"/>
  <c r="I1042" i="2"/>
  <c r="H1042" i="2"/>
  <c r="G1042" i="2"/>
  <c r="F1042" i="2"/>
  <c r="E1042" i="2"/>
  <c r="D1042" i="2"/>
  <c r="C1042" i="2"/>
  <c r="B1042" i="2"/>
  <c r="A1042" i="2"/>
  <c r="U1041" i="2"/>
  <c r="R1041" i="2"/>
  <c r="Q1041" i="2"/>
  <c r="P1041" i="2"/>
  <c r="O1041" i="2"/>
  <c r="M1041" i="2"/>
  <c r="L1041" i="2"/>
  <c r="K1041" i="2"/>
  <c r="J1041" i="2"/>
  <c r="I1041" i="2"/>
  <c r="H1041" i="2"/>
  <c r="G1041" i="2"/>
  <c r="F1041" i="2"/>
  <c r="E1041" i="2"/>
  <c r="D1041" i="2"/>
  <c r="C1041" i="2"/>
  <c r="B1041" i="2"/>
  <c r="A1041" i="2"/>
  <c r="U1040" i="2"/>
  <c r="R1040" i="2"/>
  <c r="Q1040" i="2"/>
  <c r="O1040" i="2"/>
  <c r="M1040" i="2"/>
  <c r="L1040" i="2"/>
  <c r="K1040" i="2"/>
  <c r="J1040" i="2"/>
  <c r="G1040" i="2"/>
  <c r="F1040" i="2"/>
  <c r="E1040" i="2"/>
  <c r="D1040" i="2"/>
  <c r="C1040" i="2"/>
  <c r="B1040" i="2"/>
  <c r="A1040" i="2"/>
  <c r="U1039" i="2"/>
  <c r="R1039" i="2"/>
  <c r="Q1039" i="2"/>
  <c r="P1039" i="2"/>
  <c r="O1039" i="2"/>
  <c r="M1039" i="2"/>
  <c r="L1039" i="2"/>
  <c r="K1039" i="2"/>
  <c r="J1039" i="2"/>
  <c r="I1039" i="2"/>
  <c r="H1039" i="2"/>
  <c r="G1039" i="2"/>
  <c r="F1039" i="2"/>
  <c r="E1039" i="2"/>
  <c r="D1039" i="2"/>
  <c r="C1039" i="2"/>
  <c r="B1039" i="2"/>
  <c r="A1039" i="2"/>
  <c r="U1038" i="2"/>
  <c r="R1038" i="2"/>
  <c r="Q1038" i="2"/>
  <c r="O1038" i="2"/>
  <c r="M1038" i="2"/>
  <c r="L1038" i="2"/>
  <c r="K1038" i="2"/>
  <c r="J1038" i="2"/>
  <c r="G1038" i="2"/>
  <c r="F1038" i="2"/>
  <c r="E1038" i="2"/>
  <c r="D1038" i="2"/>
  <c r="C1038" i="2"/>
  <c r="B1038" i="2"/>
  <c r="A1038" i="2"/>
  <c r="U1037" i="2"/>
  <c r="R1037" i="2"/>
  <c r="Q1037" i="2"/>
  <c r="P1037" i="2"/>
  <c r="O1037" i="2"/>
  <c r="M1037" i="2"/>
  <c r="L1037" i="2"/>
  <c r="K1037" i="2"/>
  <c r="J1037" i="2"/>
  <c r="I1037" i="2"/>
  <c r="H1037" i="2"/>
  <c r="G1037" i="2"/>
  <c r="F1037" i="2"/>
  <c r="E1037" i="2"/>
  <c r="D1037" i="2"/>
  <c r="C1037" i="2"/>
  <c r="B1037" i="2"/>
  <c r="A1037" i="2"/>
  <c r="U1036" i="2"/>
  <c r="R1036" i="2"/>
  <c r="Q1036" i="2"/>
  <c r="P1036" i="2"/>
  <c r="O1036" i="2"/>
  <c r="M1036" i="2"/>
  <c r="L1036" i="2"/>
  <c r="K1036" i="2"/>
  <c r="J1036" i="2"/>
  <c r="I1036" i="2"/>
  <c r="H1036" i="2"/>
  <c r="G1036" i="2"/>
  <c r="F1036" i="2"/>
  <c r="E1036" i="2"/>
  <c r="D1036" i="2"/>
  <c r="C1036" i="2"/>
  <c r="B1036" i="2"/>
  <c r="A1036" i="2"/>
  <c r="U1035" i="2"/>
  <c r="R1035" i="2"/>
  <c r="Q1035" i="2"/>
  <c r="O1035" i="2"/>
  <c r="M1035" i="2"/>
  <c r="L1035" i="2"/>
  <c r="K1035" i="2"/>
  <c r="J1035" i="2"/>
  <c r="G1035" i="2"/>
  <c r="F1035" i="2"/>
  <c r="E1035" i="2"/>
  <c r="D1035" i="2"/>
  <c r="C1035" i="2"/>
  <c r="B1035" i="2"/>
  <c r="A1035" i="2"/>
  <c r="U1034" i="2"/>
  <c r="R1034" i="2"/>
  <c r="Q1034" i="2"/>
  <c r="P1034" i="2"/>
  <c r="O1034" i="2"/>
  <c r="M1034" i="2"/>
  <c r="L1034" i="2"/>
  <c r="K1034" i="2"/>
  <c r="J1034" i="2"/>
  <c r="I1034" i="2"/>
  <c r="H1034" i="2"/>
  <c r="G1034" i="2"/>
  <c r="F1034" i="2"/>
  <c r="E1034" i="2"/>
  <c r="D1034" i="2"/>
  <c r="C1034" i="2"/>
  <c r="B1034" i="2"/>
  <c r="A1034" i="2"/>
  <c r="U1033" i="2"/>
  <c r="R1033" i="2"/>
  <c r="Q1033" i="2"/>
  <c r="P1033" i="2"/>
  <c r="O1033" i="2"/>
  <c r="M1033" i="2"/>
  <c r="L1033" i="2"/>
  <c r="K1033" i="2"/>
  <c r="J1033" i="2"/>
  <c r="I1033" i="2"/>
  <c r="H1033" i="2"/>
  <c r="G1033" i="2"/>
  <c r="F1033" i="2"/>
  <c r="E1033" i="2"/>
  <c r="D1033" i="2"/>
  <c r="C1033" i="2"/>
  <c r="B1033" i="2"/>
  <c r="A1033" i="2"/>
  <c r="U1032" i="2"/>
  <c r="R1032" i="2"/>
  <c r="Q1032" i="2"/>
  <c r="O1032" i="2"/>
  <c r="M1032" i="2"/>
  <c r="L1032" i="2"/>
  <c r="K1032" i="2"/>
  <c r="J1032" i="2"/>
  <c r="G1032" i="2"/>
  <c r="F1032" i="2"/>
  <c r="E1032" i="2"/>
  <c r="D1032" i="2"/>
  <c r="C1032" i="2"/>
  <c r="B1032" i="2"/>
  <c r="A1032" i="2"/>
  <c r="U1031" i="2"/>
  <c r="R1031" i="2"/>
  <c r="Q1031" i="2"/>
  <c r="O1031" i="2"/>
  <c r="M1031" i="2"/>
  <c r="L1031" i="2"/>
  <c r="K1031" i="2"/>
  <c r="J1031" i="2"/>
  <c r="G1031" i="2"/>
  <c r="F1031" i="2"/>
  <c r="E1031" i="2"/>
  <c r="D1031" i="2"/>
  <c r="C1031" i="2"/>
  <c r="B1031" i="2"/>
  <c r="A1031" i="2"/>
  <c r="U1030" i="2"/>
  <c r="R1030" i="2"/>
  <c r="Q1030" i="2"/>
  <c r="P1030" i="2"/>
  <c r="O1030" i="2"/>
  <c r="M1030" i="2"/>
  <c r="L1030" i="2"/>
  <c r="K1030" i="2"/>
  <c r="J1030" i="2"/>
  <c r="I1030" i="2"/>
  <c r="H1030" i="2"/>
  <c r="G1030" i="2"/>
  <c r="F1030" i="2"/>
  <c r="E1030" i="2"/>
  <c r="D1030" i="2"/>
  <c r="C1030" i="2"/>
  <c r="B1030" i="2"/>
  <c r="A1030" i="2"/>
  <c r="U1029" i="2"/>
  <c r="R1029" i="2"/>
  <c r="Q1029" i="2"/>
  <c r="P1029" i="2"/>
  <c r="O1029" i="2"/>
  <c r="M1029" i="2"/>
  <c r="L1029" i="2"/>
  <c r="K1029" i="2"/>
  <c r="J1029" i="2"/>
  <c r="I1029" i="2"/>
  <c r="H1029" i="2"/>
  <c r="G1029" i="2"/>
  <c r="F1029" i="2"/>
  <c r="E1029" i="2"/>
  <c r="D1029" i="2"/>
  <c r="C1029" i="2"/>
  <c r="B1029" i="2"/>
  <c r="A1029" i="2"/>
  <c r="U1028" i="2"/>
  <c r="R1028" i="2"/>
  <c r="Q1028" i="2"/>
  <c r="P1028" i="2"/>
  <c r="O1028" i="2"/>
  <c r="M1028" i="2"/>
  <c r="L1028" i="2"/>
  <c r="K1028" i="2"/>
  <c r="J1028" i="2"/>
  <c r="I1028" i="2"/>
  <c r="H1028" i="2"/>
  <c r="G1028" i="2"/>
  <c r="F1028" i="2"/>
  <c r="E1028" i="2"/>
  <c r="D1028" i="2"/>
  <c r="C1028" i="2"/>
  <c r="B1028" i="2"/>
  <c r="A1028" i="2"/>
  <c r="U1027" i="2"/>
  <c r="R1027" i="2"/>
  <c r="Q1027" i="2"/>
  <c r="P1027" i="2"/>
  <c r="O1027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A1027" i="2"/>
  <c r="U1026" i="2"/>
  <c r="R1026" i="2"/>
  <c r="Q1026" i="2"/>
  <c r="P1026" i="2"/>
  <c r="O1026" i="2"/>
  <c r="M1026" i="2"/>
  <c r="L1026" i="2"/>
  <c r="K1026" i="2"/>
  <c r="J1026" i="2"/>
  <c r="I1026" i="2"/>
  <c r="H1026" i="2"/>
  <c r="G1026" i="2"/>
  <c r="F1026" i="2"/>
  <c r="E1026" i="2"/>
  <c r="D1026" i="2"/>
  <c r="C1026" i="2"/>
  <c r="B1026" i="2"/>
  <c r="A1026" i="2"/>
  <c r="U1025" i="2"/>
  <c r="R1025" i="2"/>
  <c r="Q1025" i="2"/>
  <c r="P1025" i="2"/>
  <c r="O1025" i="2"/>
  <c r="M1025" i="2"/>
  <c r="L1025" i="2"/>
  <c r="K1025" i="2"/>
  <c r="J1025" i="2"/>
  <c r="I1025" i="2"/>
  <c r="H1025" i="2"/>
  <c r="G1025" i="2"/>
  <c r="F1025" i="2"/>
  <c r="E1025" i="2"/>
  <c r="D1025" i="2"/>
  <c r="C1025" i="2"/>
  <c r="B1025" i="2"/>
  <c r="A1025" i="2"/>
  <c r="U1024" i="2"/>
  <c r="R1024" i="2"/>
  <c r="Q1024" i="2"/>
  <c r="O1024" i="2"/>
  <c r="M1024" i="2"/>
  <c r="L1024" i="2"/>
  <c r="K1024" i="2"/>
  <c r="J1024" i="2"/>
  <c r="G1024" i="2"/>
  <c r="F1024" i="2"/>
  <c r="E1024" i="2"/>
  <c r="D1024" i="2"/>
  <c r="C1024" i="2"/>
  <c r="B1024" i="2"/>
  <c r="A1024" i="2"/>
  <c r="U1023" i="2"/>
  <c r="R1023" i="2"/>
  <c r="Q1023" i="2"/>
  <c r="P1023" i="2"/>
  <c r="O1023" i="2"/>
  <c r="M1023" i="2"/>
  <c r="L1023" i="2"/>
  <c r="K1023" i="2"/>
  <c r="J1023" i="2"/>
  <c r="I1023" i="2"/>
  <c r="H1023" i="2"/>
  <c r="G1023" i="2"/>
  <c r="F1023" i="2"/>
  <c r="E1023" i="2"/>
  <c r="D1023" i="2"/>
  <c r="C1023" i="2"/>
  <c r="B1023" i="2"/>
  <c r="A1023" i="2"/>
  <c r="U1022" i="2"/>
  <c r="R1022" i="2"/>
  <c r="Q1022" i="2"/>
  <c r="O1022" i="2"/>
  <c r="M1022" i="2"/>
  <c r="L1022" i="2"/>
  <c r="K1022" i="2"/>
  <c r="J1022" i="2"/>
  <c r="G1022" i="2"/>
  <c r="F1022" i="2"/>
  <c r="E1022" i="2"/>
  <c r="D1022" i="2"/>
  <c r="C1022" i="2"/>
  <c r="B1022" i="2"/>
  <c r="A1022" i="2"/>
  <c r="U1021" i="2"/>
  <c r="R1021" i="2"/>
  <c r="Q1021" i="2"/>
  <c r="O1021" i="2"/>
  <c r="M1021" i="2"/>
  <c r="L1021" i="2"/>
  <c r="K1021" i="2"/>
  <c r="J1021" i="2"/>
  <c r="G1021" i="2"/>
  <c r="F1021" i="2"/>
  <c r="E1021" i="2"/>
  <c r="D1021" i="2"/>
  <c r="C1021" i="2"/>
  <c r="B1021" i="2"/>
  <c r="A1021" i="2"/>
  <c r="U1020" i="2"/>
  <c r="R1020" i="2"/>
  <c r="Q1020" i="2"/>
  <c r="P1020" i="2"/>
  <c r="O1020" i="2"/>
  <c r="M1020" i="2"/>
  <c r="L1020" i="2"/>
  <c r="K1020" i="2"/>
  <c r="J1020" i="2"/>
  <c r="I1020" i="2"/>
  <c r="H1020" i="2"/>
  <c r="G1020" i="2"/>
  <c r="F1020" i="2"/>
  <c r="E1020" i="2"/>
  <c r="D1020" i="2"/>
  <c r="C1020" i="2"/>
  <c r="B1020" i="2"/>
  <c r="A1020" i="2"/>
  <c r="U1019" i="2"/>
  <c r="R1019" i="2"/>
  <c r="Q1019" i="2"/>
  <c r="P1019" i="2"/>
  <c r="O1019" i="2"/>
  <c r="M1019" i="2"/>
  <c r="L1019" i="2"/>
  <c r="K1019" i="2"/>
  <c r="J1019" i="2"/>
  <c r="I1019" i="2"/>
  <c r="H1019" i="2"/>
  <c r="G1019" i="2"/>
  <c r="F1019" i="2"/>
  <c r="E1019" i="2"/>
  <c r="D1019" i="2"/>
  <c r="C1019" i="2"/>
  <c r="B1019" i="2"/>
  <c r="A1019" i="2"/>
  <c r="U1018" i="2"/>
  <c r="R1018" i="2"/>
  <c r="Q1018" i="2"/>
  <c r="P1018" i="2"/>
  <c r="O1018" i="2"/>
  <c r="M1018" i="2"/>
  <c r="L1018" i="2"/>
  <c r="K1018" i="2"/>
  <c r="J1018" i="2"/>
  <c r="I1018" i="2"/>
  <c r="H1018" i="2"/>
  <c r="G1018" i="2"/>
  <c r="F1018" i="2"/>
  <c r="E1018" i="2"/>
  <c r="D1018" i="2"/>
  <c r="C1018" i="2"/>
  <c r="B1018" i="2"/>
  <c r="A1018" i="2"/>
  <c r="U1017" i="2"/>
  <c r="R1017" i="2"/>
  <c r="Q1017" i="2"/>
  <c r="O1017" i="2"/>
  <c r="M1017" i="2"/>
  <c r="L1017" i="2"/>
  <c r="K1017" i="2"/>
  <c r="J1017" i="2"/>
  <c r="G1017" i="2"/>
  <c r="F1017" i="2"/>
  <c r="E1017" i="2"/>
  <c r="D1017" i="2"/>
  <c r="C1017" i="2"/>
  <c r="B1017" i="2"/>
  <c r="A1017" i="2"/>
  <c r="U1016" i="2"/>
  <c r="R1016" i="2"/>
  <c r="Q1016" i="2"/>
  <c r="P1016" i="2"/>
  <c r="O1016" i="2"/>
  <c r="M1016" i="2"/>
  <c r="L1016" i="2"/>
  <c r="K1016" i="2"/>
  <c r="J1016" i="2"/>
  <c r="I1016" i="2"/>
  <c r="H1016" i="2"/>
  <c r="G1016" i="2"/>
  <c r="F1016" i="2"/>
  <c r="E1016" i="2"/>
  <c r="D1016" i="2"/>
  <c r="C1016" i="2"/>
  <c r="B1016" i="2"/>
  <c r="A1016" i="2"/>
  <c r="U1015" i="2"/>
  <c r="R1015" i="2"/>
  <c r="Q1015" i="2"/>
  <c r="O1015" i="2"/>
  <c r="M1015" i="2"/>
  <c r="L1015" i="2"/>
  <c r="K1015" i="2"/>
  <c r="J1015" i="2"/>
  <c r="G1015" i="2"/>
  <c r="F1015" i="2"/>
  <c r="E1015" i="2"/>
  <c r="D1015" i="2"/>
  <c r="C1015" i="2"/>
  <c r="B1015" i="2"/>
  <c r="A1015" i="2"/>
  <c r="U1014" i="2"/>
  <c r="R1014" i="2"/>
  <c r="Q1014" i="2"/>
  <c r="P1014" i="2"/>
  <c r="O1014" i="2"/>
  <c r="M1014" i="2"/>
  <c r="L1014" i="2"/>
  <c r="K1014" i="2"/>
  <c r="J1014" i="2"/>
  <c r="I1014" i="2"/>
  <c r="H1014" i="2"/>
  <c r="G1014" i="2"/>
  <c r="F1014" i="2"/>
  <c r="E1014" i="2"/>
  <c r="D1014" i="2"/>
  <c r="C1014" i="2"/>
  <c r="B1014" i="2"/>
  <c r="A1014" i="2"/>
  <c r="U1013" i="2"/>
  <c r="R1013" i="2"/>
  <c r="Q1013" i="2"/>
  <c r="P1013" i="2"/>
  <c r="O1013" i="2"/>
  <c r="M1013" i="2"/>
  <c r="L1013" i="2"/>
  <c r="K1013" i="2"/>
  <c r="J1013" i="2"/>
  <c r="I1013" i="2"/>
  <c r="H1013" i="2"/>
  <c r="G1013" i="2"/>
  <c r="F1013" i="2"/>
  <c r="E1013" i="2"/>
  <c r="D1013" i="2"/>
  <c r="C1013" i="2"/>
  <c r="B1013" i="2"/>
  <c r="A1013" i="2"/>
  <c r="U1012" i="2"/>
  <c r="R1012" i="2"/>
  <c r="Q1012" i="2"/>
  <c r="P1012" i="2"/>
  <c r="M1012" i="2"/>
  <c r="L1012" i="2"/>
  <c r="K1012" i="2"/>
  <c r="J1012" i="2"/>
  <c r="I1012" i="2"/>
  <c r="H1012" i="2"/>
  <c r="G1012" i="2"/>
  <c r="F1012" i="2"/>
  <c r="E1012" i="2"/>
  <c r="D1012" i="2"/>
  <c r="C1012" i="2"/>
  <c r="B1012" i="2"/>
  <c r="A1012" i="2"/>
  <c r="U1011" i="2"/>
  <c r="R1011" i="2"/>
  <c r="Q1011" i="2"/>
  <c r="P1011" i="2"/>
  <c r="O1011" i="2"/>
  <c r="M1011" i="2"/>
  <c r="L1011" i="2"/>
  <c r="K1011" i="2"/>
  <c r="J1011" i="2"/>
  <c r="I1011" i="2"/>
  <c r="H1011" i="2"/>
  <c r="G1011" i="2"/>
  <c r="F1011" i="2"/>
  <c r="E1011" i="2"/>
  <c r="D1011" i="2"/>
  <c r="C1011" i="2"/>
  <c r="B1011" i="2"/>
  <c r="A1011" i="2"/>
  <c r="Q1010" i="2"/>
  <c r="O1010" i="2"/>
  <c r="M1010" i="2"/>
  <c r="L1010" i="2"/>
  <c r="K1010" i="2"/>
  <c r="J1010" i="2"/>
  <c r="I1010" i="2"/>
  <c r="H1010" i="2"/>
  <c r="G1010" i="2"/>
  <c r="F1010" i="2"/>
  <c r="E1010" i="2"/>
  <c r="D1010" i="2"/>
  <c r="C1010" i="2"/>
  <c r="B1010" i="2"/>
  <c r="A1010" i="2"/>
  <c r="U1009" i="2"/>
  <c r="R1009" i="2"/>
  <c r="Q1009" i="2"/>
  <c r="P1009" i="2"/>
  <c r="O1009" i="2"/>
  <c r="M1009" i="2"/>
  <c r="L1009" i="2"/>
  <c r="K1009" i="2"/>
  <c r="J1009" i="2"/>
  <c r="I1009" i="2"/>
  <c r="H1009" i="2"/>
  <c r="G1009" i="2"/>
  <c r="F1009" i="2"/>
  <c r="E1009" i="2"/>
  <c r="D1009" i="2"/>
  <c r="C1009" i="2"/>
  <c r="B1009" i="2"/>
  <c r="A1009" i="2"/>
  <c r="U1008" i="2"/>
  <c r="R1008" i="2"/>
  <c r="Q1008" i="2"/>
  <c r="P1008" i="2"/>
  <c r="O1008" i="2"/>
  <c r="M1008" i="2"/>
  <c r="L1008" i="2"/>
  <c r="K1008" i="2"/>
  <c r="J1008" i="2"/>
  <c r="I1008" i="2"/>
  <c r="H1008" i="2"/>
  <c r="G1008" i="2"/>
  <c r="F1008" i="2"/>
  <c r="E1008" i="2"/>
  <c r="D1008" i="2"/>
  <c r="C1008" i="2"/>
  <c r="B1008" i="2"/>
  <c r="A1008" i="2"/>
  <c r="R1007" i="2"/>
  <c r="Q1007" i="2"/>
  <c r="P1007" i="2"/>
  <c r="O1007" i="2"/>
  <c r="M1007" i="2"/>
  <c r="L1007" i="2"/>
  <c r="K1007" i="2"/>
  <c r="J1007" i="2"/>
  <c r="I1007" i="2"/>
  <c r="H1007" i="2"/>
  <c r="G1007" i="2"/>
  <c r="F1007" i="2"/>
  <c r="E1007" i="2"/>
  <c r="D1007" i="2"/>
  <c r="C1007" i="2"/>
  <c r="B1007" i="2"/>
  <c r="A1007" i="2"/>
  <c r="U1006" i="2"/>
  <c r="R1006" i="2"/>
  <c r="Q1006" i="2"/>
  <c r="P1006" i="2"/>
  <c r="O1006" i="2"/>
  <c r="M1006" i="2"/>
  <c r="L1006" i="2"/>
  <c r="K1006" i="2"/>
  <c r="J1006" i="2"/>
  <c r="I1006" i="2"/>
  <c r="H1006" i="2"/>
  <c r="G1006" i="2"/>
  <c r="F1006" i="2"/>
  <c r="E1006" i="2"/>
  <c r="D1006" i="2"/>
  <c r="C1006" i="2"/>
  <c r="B1006" i="2"/>
  <c r="A1006" i="2"/>
  <c r="U1005" i="2"/>
  <c r="R1005" i="2"/>
  <c r="Q1005" i="2"/>
  <c r="P1005" i="2"/>
  <c r="O1005" i="2"/>
  <c r="M1005" i="2"/>
  <c r="L1005" i="2"/>
  <c r="K1005" i="2"/>
  <c r="J1005" i="2"/>
  <c r="I1005" i="2"/>
  <c r="H1005" i="2"/>
  <c r="G1005" i="2"/>
  <c r="F1005" i="2"/>
  <c r="E1005" i="2"/>
  <c r="D1005" i="2"/>
  <c r="C1005" i="2"/>
  <c r="B1005" i="2"/>
  <c r="A1005" i="2"/>
  <c r="U1004" i="2"/>
  <c r="R1004" i="2"/>
  <c r="Q1004" i="2"/>
  <c r="P1004" i="2"/>
  <c r="O1004" i="2"/>
  <c r="M1004" i="2"/>
  <c r="L1004" i="2"/>
  <c r="K1004" i="2"/>
  <c r="J1004" i="2"/>
  <c r="I1004" i="2"/>
  <c r="H1004" i="2"/>
  <c r="G1004" i="2"/>
  <c r="F1004" i="2"/>
  <c r="E1004" i="2"/>
  <c r="D1004" i="2"/>
  <c r="C1004" i="2"/>
  <c r="B1004" i="2"/>
  <c r="A1004" i="2"/>
  <c r="U1003" i="2"/>
  <c r="R1003" i="2"/>
  <c r="Q1003" i="2"/>
  <c r="P1003" i="2"/>
  <c r="O1003" i="2"/>
  <c r="M1003" i="2"/>
  <c r="L1003" i="2"/>
  <c r="K1003" i="2"/>
  <c r="J1003" i="2"/>
  <c r="I1003" i="2"/>
  <c r="H1003" i="2"/>
  <c r="G1003" i="2"/>
  <c r="F1003" i="2"/>
  <c r="E1003" i="2"/>
  <c r="D1003" i="2"/>
  <c r="C1003" i="2"/>
  <c r="B1003" i="2"/>
  <c r="A1003" i="2"/>
  <c r="U1002" i="2"/>
  <c r="R1002" i="2"/>
  <c r="Q1002" i="2"/>
  <c r="P1002" i="2"/>
  <c r="O1002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A1002" i="2"/>
  <c r="U1001" i="2"/>
  <c r="R1001" i="2"/>
  <c r="Q1001" i="2"/>
  <c r="P1001" i="2"/>
  <c r="O1001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A1001" i="2"/>
  <c r="U1000" i="2"/>
  <c r="R1000" i="2"/>
  <c r="Q1000" i="2"/>
  <c r="O1000" i="2"/>
  <c r="M1000" i="2"/>
  <c r="L1000" i="2"/>
  <c r="K1000" i="2"/>
  <c r="J1000" i="2"/>
  <c r="G1000" i="2"/>
  <c r="F1000" i="2"/>
  <c r="E1000" i="2"/>
  <c r="D1000" i="2"/>
  <c r="C1000" i="2"/>
  <c r="B1000" i="2"/>
  <c r="A1000" i="2"/>
  <c r="U999" i="2"/>
  <c r="R999" i="2"/>
  <c r="Q999" i="2"/>
  <c r="P999" i="2"/>
  <c r="O999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A999" i="2"/>
  <c r="U998" i="2"/>
  <c r="R998" i="2"/>
  <c r="Q998" i="2"/>
  <c r="P998" i="2"/>
  <c r="O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A998" i="2"/>
  <c r="U997" i="2"/>
  <c r="R997" i="2"/>
  <c r="Q997" i="2"/>
  <c r="O997" i="2"/>
  <c r="M997" i="2"/>
  <c r="L997" i="2"/>
  <c r="K997" i="2"/>
  <c r="J997" i="2"/>
  <c r="G997" i="2"/>
  <c r="F997" i="2"/>
  <c r="E997" i="2"/>
  <c r="D997" i="2"/>
  <c r="C997" i="2"/>
  <c r="B997" i="2"/>
  <c r="A997" i="2"/>
  <c r="U996" i="2"/>
  <c r="R996" i="2"/>
  <c r="Q996" i="2"/>
  <c r="P996" i="2"/>
  <c r="O996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A996" i="2"/>
  <c r="U995" i="2"/>
  <c r="R995" i="2"/>
  <c r="Q995" i="2"/>
  <c r="P995" i="2"/>
  <c r="O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A995" i="2"/>
  <c r="U994" i="2"/>
  <c r="R994" i="2"/>
  <c r="Q994" i="2"/>
  <c r="P994" i="2"/>
  <c r="O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A994" i="2"/>
  <c r="U993" i="2"/>
  <c r="R993" i="2"/>
  <c r="Q993" i="2"/>
  <c r="P993" i="2"/>
  <c r="O993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A993" i="2"/>
  <c r="U992" i="2"/>
  <c r="R992" i="2"/>
  <c r="Q992" i="2"/>
  <c r="P992" i="2"/>
  <c r="O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A992" i="2"/>
  <c r="U991" i="2"/>
  <c r="R991" i="2"/>
  <c r="Q991" i="2"/>
  <c r="P991" i="2"/>
  <c r="O991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A991" i="2"/>
  <c r="U990" i="2"/>
  <c r="R990" i="2"/>
  <c r="Q990" i="2"/>
  <c r="P990" i="2"/>
  <c r="O990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A990" i="2"/>
  <c r="U989" i="2"/>
  <c r="R989" i="2"/>
  <c r="Q989" i="2"/>
  <c r="O989" i="2"/>
  <c r="M989" i="2"/>
  <c r="L989" i="2"/>
  <c r="K989" i="2"/>
  <c r="J989" i="2"/>
  <c r="G989" i="2"/>
  <c r="F989" i="2"/>
  <c r="E989" i="2"/>
  <c r="D989" i="2"/>
  <c r="C989" i="2"/>
  <c r="B989" i="2"/>
  <c r="A989" i="2"/>
  <c r="U988" i="2"/>
  <c r="R988" i="2"/>
  <c r="Q988" i="2"/>
  <c r="P988" i="2"/>
  <c r="O988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A988" i="2"/>
  <c r="U987" i="2"/>
  <c r="R987" i="2"/>
  <c r="Q987" i="2"/>
  <c r="P987" i="2"/>
  <c r="O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A987" i="2"/>
  <c r="U986" i="2"/>
  <c r="R986" i="2"/>
  <c r="Q986" i="2"/>
  <c r="P986" i="2"/>
  <c r="O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A986" i="2"/>
  <c r="U985" i="2"/>
  <c r="R985" i="2"/>
  <c r="Q985" i="2"/>
  <c r="P985" i="2"/>
  <c r="O985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A985" i="2"/>
  <c r="U984" i="2"/>
  <c r="R984" i="2"/>
  <c r="Q984" i="2"/>
  <c r="P984" i="2"/>
  <c r="O984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A984" i="2"/>
  <c r="U983" i="2"/>
  <c r="R983" i="2"/>
  <c r="Q983" i="2"/>
  <c r="O983" i="2"/>
  <c r="M983" i="2"/>
  <c r="L983" i="2"/>
  <c r="K983" i="2"/>
  <c r="J983" i="2"/>
  <c r="G983" i="2"/>
  <c r="F983" i="2"/>
  <c r="E983" i="2"/>
  <c r="D983" i="2"/>
  <c r="C983" i="2"/>
  <c r="B983" i="2"/>
  <c r="A983" i="2"/>
  <c r="U982" i="2"/>
  <c r="R982" i="2"/>
  <c r="Q982" i="2"/>
  <c r="O982" i="2"/>
  <c r="M982" i="2"/>
  <c r="L982" i="2"/>
  <c r="K982" i="2"/>
  <c r="J982" i="2"/>
  <c r="G982" i="2"/>
  <c r="F982" i="2"/>
  <c r="E982" i="2"/>
  <c r="D982" i="2"/>
  <c r="C982" i="2"/>
  <c r="B982" i="2"/>
  <c r="A982" i="2"/>
  <c r="U981" i="2"/>
  <c r="R981" i="2"/>
  <c r="Q981" i="2"/>
  <c r="O981" i="2"/>
  <c r="M981" i="2"/>
  <c r="L981" i="2"/>
  <c r="K981" i="2"/>
  <c r="J981" i="2"/>
  <c r="G981" i="2"/>
  <c r="F981" i="2"/>
  <c r="E981" i="2"/>
  <c r="D981" i="2"/>
  <c r="C981" i="2"/>
  <c r="B981" i="2"/>
  <c r="A981" i="2"/>
  <c r="U980" i="2"/>
  <c r="R980" i="2"/>
  <c r="Q980" i="2"/>
  <c r="O980" i="2"/>
  <c r="M980" i="2"/>
  <c r="L980" i="2"/>
  <c r="K980" i="2"/>
  <c r="J980" i="2"/>
  <c r="G980" i="2"/>
  <c r="F980" i="2"/>
  <c r="E980" i="2"/>
  <c r="D980" i="2"/>
  <c r="C980" i="2"/>
  <c r="B980" i="2"/>
  <c r="A980" i="2"/>
  <c r="U979" i="2"/>
  <c r="R979" i="2"/>
  <c r="Q979" i="2"/>
  <c r="P979" i="2"/>
  <c r="O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A979" i="2"/>
  <c r="R978" i="2"/>
  <c r="Q978" i="2"/>
  <c r="O978" i="2"/>
  <c r="M978" i="2"/>
  <c r="L978" i="2"/>
  <c r="K978" i="2"/>
  <c r="J978" i="2"/>
  <c r="G978" i="2"/>
  <c r="F978" i="2"/>
  <c r="E978" i="2"/>
  <c r="D978" i="2"/>
  <c r="C978" i="2"/>
  <c r="B978" i="2"/>
  <c r="A978" i="2"/>
  <c r="U977" i="2"/>
  <c r="R977" i="2"/>
  <c r="Q977" i="2"/>
  <c r="P977" i="2"/>
  <c r="O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A977" i="2"/>
  <c r="U976" i="2"/>
  <c r="R976" i="2"/>
  <c r="Q976" i="2"/>
  <c r="O976" i="2"/>
  <c r="M976" i="2"/>
  <c r="L976" i="2"/>
  <c r="K976" i="2"/>
  <c r="J976" i="2"/>
  <c r="G976" i="2"/>
  <c r="F976" i="2"/>
  <c r="E976" i="2"/>
  <c r="D976" i="2"/>
  <c r="C976" i="2"/>
  <c r="B976" i="2"/>
  <c r="A976" i="2"/>
  <c r="U975" i="2"/>
  <c r="R975" i="2"/>
  <c r="Q975" i="2"/>
  <c r="P975" i="2"/>
  <c r="O975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A975" i="2"/>
  <c r="U974" i="2"/>
  <c r="R974" i="2"/>
  <c r="Q974" i="2"/>
  <c r="P974" i="2"/>
  <c r="O974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A974" i="2"/>
  <c r="U973" i="2"/>
  <c r="R973" i="2"/>
  <c r="Q973" i="2"/>
  <c r="O973" i="2"/>
  <c r="M973" i="2"/>
  <c r="L973" i="2"/>
  <c r="K973" i="2"/>
  <c r="J973" i="2"/>
  <c r="G973" i="2"/>
  <c r="F973" i="2"/>
  <c r="E973" i="2"/>
  <c r="D973" i="2"/>
  <c r="C973" i="2"/>
  <c r="B973" i="2"/>
  <c r="A973" i="2"/>
  <c r="R972" i="2"/>
  <c r="Q972" i="2"/>
  <c r="P972" i="2"/>
  <c r="O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A972" i="2"/>
  <c r="U971" i="2"/>
  <c r="R971" i="2"/>
  <c r="Q971" i="2"/>
  <c r="O971" i="2"/>
  <c r="M971" i="2"/>
  <c r="L971" i="2"/>
  <c r="K971" i="2"/>
  <c r="J971" i="2"/>
  <c r="G971" i="2"/>
  <c r="F971" i="2"/>
  <c r="E971" i="2"/>
  <c r="D971" i="2"/>
  <c r="C971" i="2"/>
  <c r="B971" i="2"/>
  <c r="A971" i="2"/>
  <c r="U970" i="2"/>
  <c r="R970" i="2"/>
  <c r="Q970" i="2"/>
  <c r="P970" i="2"/>
  <c r="O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A970" i="2"/>
  <c r="U969" i="2"/>
  <c r="R969" i="2"/>
  <c r="Q969" i="2"/>
  <c r="P969" i="2"/>
  <c r="O969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A969" i="2"/>
  <c r="U968" i="2"/>
  <c r="R968" i="2"/>
  <c r="Q968" i="2"/>
  <c r="P968" i="2"/>
  <c r="O968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A968" i="2"/>
  <c r="U967" i="2"/>
  <c r="R967" i="2"/>
  <c r="Q967" i="2"/>
  <c r="P967" i="2"/>
  <c r="O967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A967" i="2"/>
  <c r="U966" i="2"/>
  <c r="R966" i="2"/>
  <c r="Q966" i="2"/>
  <c r="P966" i="2"/>
  <c r="O966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A966" i="2"/>
  <c r="R965" i="2"/>
  <c r="Q965" i="2"/>
  <c r="P965" i="2"/>
  <c r="O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A965" i="2"/>
  <c r="R964" i="2"/>
  <c r="Q964" i="2"/>
  <c r="O964" i="2"/>
  <c r="M964" i="2"/>
  <c r="L964" i="2"/>
  <c r="K964" i="2"/>
  <c r="J964" i="2"/>
  <c r="G964" i="2"/>
  <c r="F964" i="2"/>
  <c r="E964" i="2"/>
  <c r="D964" i="2"/>
  <c r="C964" i="2"/>
  <c r="B964" i="2"/>
  <c r="A964" i="2"/>
  <c r="R963" i="2"/>
  <c r="Q963" i="2"/>
  <c r="P963" i="2"/>
  <c r="O963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A963" i="2"/>
  <c r="R962" i="2"/>
  <c r="Q962" i="2"/>
  <c r="P962" i="2"/>
  <c r="O962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A962" i="2"/>
  <c r="U961" i="2"/>
  <c r="R961" i="2"/>
  <c r="Q961" i="2"/>
  <c r="O961" i="2"/>
  <c r="M961" i="2"/>
  <c r="L961" i="2"/>
  <c r="K961" i="2"/>
  <c r="J961" i="2"/>
  <c r="G961" i="2"/>
  <c r="F961" i="2"/>
  <c r="E961" i="2"/>
  <c r="D961" i="2"/>
  <c r="C961" i="2"/>
  <c r="B961" i="2"/>
  <c r="A961" i="2"/>
  <c r="U960" i="2"/>
  <c r="R960" i="2"/>
  <c r="Q960" i="2"/>
  <c r="P960" i="2"/>
  <c r="O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A960" i="2"/>
  <c r="R959" i="2"/>
  <c r="Q959" i="2"/>
  <c r="P959" i="2"/>
  <c r="O959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A959" i="2"/>
  <c r="R958" i="2"/>
  <c r="Q958" i="2"/>
  <c r="O958" i="2"/>
  <c r="M958" i="2"/>
  <c r="L958" i="2"/>
  <c r="K958" i="2"/>
  <c r="J958" i="2"/>
  <c r="G958" i="2"/>
  <c r="F958" i="2"/>
  <c r="E958" i="2"/>
  <c r="D958" i="2"/>
  <c r="C958" i="2"/>
  <c r="B958" i="2"/>
  <c r="A958" i="2"/>
  <c r="U957" i="2"/>
  <c r="R957" i="2"/>
  <c r="Q957" i="2"/>
  <c r="P957" i="2"/>
  <c r="O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A957" i="2"/>
  <c r="U956" i="2"/>
  <c r="R956" i="2"/>
  <c r="Q956" i="2"/>
  <c r="O956" i="2"/>
  <c r="M956" i="2"/>
  <c r="L956" i="2"/>
  <c r="K956" i="2"/>
  <c r="J956" i="2"/>
  <c r="G956" i="2"/>
  <c r="F956" i="2"/>
  <c r="E956" i="2"/>
  <c r="D956" i="2"/>
  <c r="C956" i="2"/>
  <c r="B956" i="2"/>
  <c r="A956" i="2"/>
  <c r="U955" i="2"/>
  <c r="R955" i="2"/>
  <c r="Q955" i="2"/>
  <c r="P955" i="2"/>
  <c r="O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A955" i="2"/>
  <c r="U954" i="2"/>
  <c r="R954" i="2"/>
  <c r="Q954" i="2"/>
  <c r="P954" i="2"/>
  <c r="O954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A954" i="2"/>
  <c r="U953" i="2"/>
  <c r="R953" i="2"/>
  <c r="Q953" i="2"/>
  <c r="P953" i="2"/>
  <c r="O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A953" i="2"/>
  <c r="U952" i="2"/>
  <c r="R952" i="2"/>
  <c r="Q952" i="2"/>
  <c r="P952" i="2"/>
  <c r="O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A952" i="2"/>
  <c r="U951" i="2"/>
  <c r="R951" i="2"/>
  <c r="Q951" i="2"/>
  <c r="O951" i="2"/>
  <c r="M951" i="2"/>
  <c r="L951" i="2"/>
  <c r="K951" i="2"/>
  <c r="J951" i="2"/>
  <c r="G951" i="2"/>
  <c r="F951" i="2"/>
  <c r="E951" i="2"/>
  <c r="D951" i="2"/>
  <c r="C951" i="2"/>
  <c r="B951" i="2"/>
  <c r="A951" i="2"/>
  <c r="U950" i="2"/>
  <c r="R950" i="2"/>
  <c r="Q950" i="2"/>
  <c r="P950" i="2"/>
  <c r="O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A950" i="2"/>
  <c r="U949" i="2"/>
  <c r="R949" i="2"/>
  <c r="Q949" i="2"/>
  <c r="P949" i="2"/>
  <c r="O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A949" i="2"/>
  <c r="U948" i="2"/>
  <c r="R948" i="2"/>
  <c r="Q948" i="2"/>
  <c r="O948" i="2"/>
  <c r="M948" i="2"/>
  <c r="L948" i="2"/>
  <c r="K948" i="2"/>
  <c r="J948" i="2"/>
  <c r="G948" i="2"/>
  <c r="F948" i="2"/>
  <c r="E948" i="2"/>
  <c r="D948" i="2"/>
  <c r="C948" i="2"/>
  <c r="B948" i="2"/>
  <c r="A948" i="2"/>
  <c r="R947" i="2"/>
  <c r="Q947" i="2"/>
  <c r="O947" i="2"/>
  <c r="M947" i="2"/>
  <c r="L947" i="2"/>
  <c r="K947" i="2"/>
  <c r="J947" i="2"/>
  <c r="G947" i="2"/>
  <c r="F947" i="2"/>
  <c r="E947" i="2"/>
  <c r="D947" i="2"/>
  <c r="C947" i="2"/>
  <c r="B947" i="2"/>
  <c r="A947" i="2"/>
  <c r="U946" i="2"/>
  <c r="R946" i="2"/>
  <c r="Q946" i="2"/>
  <c r="P946" i="2"/>
  <c r="O946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A946" i="2"/>
  <c r="U945" i="2"/>
  <c r="R945" i="2"/>
  <c r="Q945" i="2"/>
  <c r="P945" i="2"/>
  <c r="O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A945" i="2"/>
  <c r="U944" i="2"/>
  <c r="R944" i="2"/>
  <c r="Q944" i="2"/>
  <c r="O944" i="2"/>
  <c r="M944" i="2"/>
  <c r="L944" i="2"/>
  <c r="K944" i="2"/>
  <c r="J944" i="2"/>
  <c r="G944" i="2"/>
  <c r="F944" i="2"/>
  <c r="E944" i="2"/>
  <c r="D944" i="2"/>
  <c r="C944" i="2"/>
  <c r="B944" i="2"/>
  <c r="A944" i="2"/>
  <c r="U943" i="2"/>
  <c r="R943" i="2"/>
  <c r="Q943" i="2"/>
  <c r="O943" i="2"/>
  <c r="M943" i="2"/>
  <c r="L943" i="2"/>
  <c r="K943" i="2"/>
  <c r="J943" i="2"/>
  <c r="G943" i="2"/>
  <c r="F943" i="2"/>
  <c r="E943" i="2"/>
  <c r="D943" i="2"/>
  <c r="C943" i="2"/>
  <c r="B943" i="2"/>
  <c r="A943" i="2"/>
  <c r="U942" i="2"/>
  <c r="R942" i="2"/>
  <c r="Q942" i="2"/>
  <c r="P942" i="2"/>
  <c r="O942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A942" i="2"/>
  <c r="U941" i="2"/>
  <c r="R941" i="2"/>
  <c r="Q941" i="2"/>
  <c r="P941" i="2"/>
  <c r="O941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A941" i="2"/>
  <c r="U940" i="2"/>
  <c r="R940" i="2"/>
  <c r="Q940" i="2"/>
  <c r="P940" i="2"/>
  <c r="O940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A940" i="2"/>
  <c r="U939" i="2"/>
  <c r="R939" i="2"/>
  <c r="Q939" i="2"/>
  <c r="O939" i="2"/>
  <c r="M939" i="2"/>
  <c r="L939" i="2"/>
  <c r="K939" i="2"/>
  <c r="J939" i="2"/>
  <c r="G939" i="2"/>
  <c r="F939" i="2"/>
  <c r="E939" i="2"/>
  <c r="D939" i="2"/>
  <c r="C939" i="2"/>
  <c r="B939" i="2"/>
  <c r="A939" i="2"/>
  <c r="R938" i="2"/>
  <c r="Q938" i="2"/>
  <c r="P938" i="2"/>
  <c r="O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A938" i="2"/>
  <c r="R937" i="2"/>
  <c r="Q937" i="2"/>
  <c r="P937" i="2"/>
  <c r="O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A937" i="2"/>
  <c r="U936" i="2"/>
  <c r="R936" i="2"/>
  <c r="Q936" i="2"/>
  <c r="P936" i="2"/>
  <c r="O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A936" i="2"/>
  <c r="U935" i="2"/>
  <c r="R935" i="2"/>
  <c r="Q935" i="2"/>
  <c r="O935" i="2"/>
  <c r="M935" i="2"/>
  <c r="L935" i="2"/>
  <c r="K935" i="2"/>
  <c r="J935" i="2"/>
  <c r="G935" i="2"/>
  <c r="F935" i="2"/>
  <c r="E935" i="2"/>
  <c r="D935" i="2"/>
  <c r="C935" i="2"/>
  <c r="B935" i="2"/>
  <c r="A935" i="2"/>
  <c r="U934" i="2"/>
  <c r="R934" i="2"/>
  <c r="Q934" i="2"/>
  <c r="P934" i="2"/>
  <c r="O934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A934" i="2"/>
  <c r="U933" i="2"/>
  <c r="R933" i="2"/>
  <c r="Q933" i="2"/>
  <c r="P933" i="2"/>
  <c r="O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A933" i="2"/>
  <c r="U932" i="2"/>
  <c r="R932" i="2"/>
  <c r="Q932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A932" i="2"/>
  <c r="U931" i="2"/>
  <c r="R931" i="2"/>
  <c r="Q931" i="2"/>
  <c r="O931" i="2"/>
  <c r="M931" i="2"/>
  <c r="L931" i="2"/>
  <c r="K931" i="2"/>
  <c r="J931" i="2"/>
  <c r="G931" i="2"/>
  <c r="F931" i="2"/>
  <c r="E931" i="2"/>
  <c r="D931" i="2"/>
  <c r="C931" i="2"/>
  <c r="B931" i="2"/>
  <c r="A931" i="2"/>
  <c r="U930" i="2"/>
  <c r="R930" i="2"/>
  <c r="Q930" i="2"/>
  <c r="O930" i="2"/>
  <c r="M930" i="2"/>
  <c r="L930" i="2"/>
  <c r="K930" i="2"/>
  <c r="J930" i="2"/>
  <c r="G930" i="2"/>
  <c r="F930" i="2"/>
  <c r="E930" i="2"/>
  <c r="D930" i="2"/>
  <c r="C930" i="2"/>
  <c r="B930" i="2"/>
  <c r="A930" i="2"/>
  <c r="U929" i="2"/>
  <c r="R929" i="2"/>
  <c r="Q929" i="2"/>
  <c r="P929" i="2"/>
  <c r="O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A929" i="2"/>
  <c r="U928" i="2"/>
  <c r="R928" i="2"/>
  <c r="Q928" i="2"/>
  <c r="P928" i="2"/>
  <c r="O928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A928" i="2"/>
  <c r="U927" i="2"/>
  <c r="R927" i="2"/>
  <c r="Q927" i="2"/>
  <c r="O927" i="2"/>
  <c r="M927" i="2"/>
  <c r="L927" i="2"/>
  <c r="K927" i="2"/>
  <c r="J927" i="2"/>
  <c r="G927" i="2"/>
  <c r="F927" i="2"/>
  <c r="E927" i="2"/>
  <c r="D927" i="2"/>
  <c r="C927" i="2"/>
  <c r="B927" i="2"/>
  <c r="A927" i="2"/>
  <c r="R926" i="2"/>
  <c r="Q926" i="2"/>
  <c r="P926" i="2"/>
  <c r="O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A926" i="2"/>
  <c r="R925" i="2"/>
  <c r="Q925" i="2"/>
  <c r="P925" i="2"/>
  <c r="O925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A925" i="2"/>
  <c r="R924" i="2"/>
  <c r="Q924" i="2"/>
  <c r="P924" i="2"/>
  <c r="O924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A924" i="2"/>
  <c r="U923" i="2"/>
  <c r="R923" i="2"/>
  <c r="Q923" i="2"/>
  <c r="P923" i="2"/>
  <c r="O923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A923" i="2"/>
  <c r="U922" i="2"/>
  <c r="R922" i="2"/>
  <c r="Q922" i="2"/>
  <c r="P922" i="2"/>
  <c r="O922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A922" i="2"/>
  <c r="U921" i="2"/>
  <c r="R921" i="2"/>
  <c r="Q921" i="2"/>
  <c r="P921" i="2"/>
  <c r="O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A921" i="2"/>
  <c r="U920" i="2"/>
  <c r="R920" i="2"/>
  <c r="Q920" i="2"/>
  <c r="P920" i="2"/>
  <c r="O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A920" i="2"/>
  <c r="U919" i="2"/>
  <c r="R919" i="2"/>
  <c r="Q919" i="2"/>
  <c r="P919" i="2"/>
  <c r="O919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A919" i="2"/>
  <c r="U918" i="2"/>
  <c r="R918" i="2"/>
  <c r="Q918" i="2"/>
  <c r="P918" i="2"/>
  <c r="O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A918" i="2"/>
  <c r="U917" i="2"/>
  <c r="R917" i="2"/>
  <c r="Q917" i="2"/>
  <c r="P917" i="2"/>
  <c r="O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A917" i="2"/>
  <c r="U916" i="2"/>
  <c r="R916" i="2"/>
  <c r="Q916" i="2"/>
  <c r="O916" i="2"/>
  <c r="M916" i="2"/>
  <c r="L916" i="2"/>
  <c r="K916" i="2"/>
  <c r="J916" i="2"/>
  <c r="G916" i="2"/>
  <c r="F916" i="2"/>
  <c r="E916" i="2"/>
  <c r="D916" i="2"/>
  <c r="C916" i="2"/>
  <c r="B916" i="2"/>
  <c r="A916" i="2"/>
  <c r="U915" i="2"/>
  <c r="R915" i="2"/>
  <c r="Q915" i="2"/>
  <c r="O915" i="2"/>
  <c r="M915" i="2"/>
  <c r="L915" i="2"/>
  <c r="K915" i="2"/>
  <c r="J915" i="2"/>
  <c r="G915" i="2"/>
  <c r="F915" i="2"/>
  <c r="E915" i="2"/>
  <c r="D915" i="2"/>
  <c r="C915" i="2"/>
  <c r="B915" i="2"/>
  <c r="A915" i="2"/>
  <c r="U914" i="2"/>
  <c r="R914" i="2"/>
  <c r="Q914" i="2"/>
  <c r="P914" i="2"/>
  <c r="O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A914" i="2"/>
  <c r="U913" i="2"/>
  <c r="R913" i="2"/>
  <c r="Q913" i="2"/>
  <c r="O913" i="2"/>
  <c r="M913" i="2"/>
  <c r="L913" i="2"/>
  <c r="K913" i="2"/>
  <c r="J913" i="2"/>
  <c r="G913" i="2"/>
  <c r="F913" i="2"/>
  <c r="E913" i="2"/>
  <c r="D913" i="2"/>
  <c r="C913" i="2"/>
  <c r="B913" i="2"/>
  <c r="A913" i="2"/>
  <c r="U912" i="2"/>
  <c r="R912" i="2"/>
  <c r="Q912" i="2"/>
  <c r="P912" i="2"/>
  <c r="O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A912" i="2"/>
  <c r="U911" i="2"/>
  <c r="R911" i="2"/>
  <c r="Q911" i="2"/>
  <c r="P911" i="2"/>
  <c r="O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A911" i="2"/>
  <c r="U910" i="2"/>
  <c r="R910" i="2"/>
  <c r="Q910" i="2"/>
  <c r="O910" i="2"/>
  <c r="M910" i="2"/>
  <c r="L910" i="2"/>
  <c r="K910" i="2"/>
  <c r="J910" i="2"/>
  <c r="G910" i="2"/>
  <c r="F910" i="2"/>
  <c r="E910" i="2"/>
  <c r="D910" i="2"/>
  <c r="C910" i="2"/>
  <c r="B910" i="2"/>
  <c r="A910" i="2"/>
  <c r="U909" i="2"/>
  <c r="R909" i="2"/>
  <c r="Q909" i="2"/>
  <c r="P909" i="2"/>
  <c r="O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A909" i="2"/>
  <c r="R908" i="2"/>
  <c r="Q908" i="2"/>
  <c r="P908" i="2"/>
  <c r="O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A908" i="2"/>
  <c r="R907" i="2"/>
  <c r="Q907" i="2"/>
  <c r="O907" i="2"/>
  <c r="M907" i="2"/>
  <c r="L907" i="2"/>
  <c r="K907" i="2"/>
  <c r="J907" i="2"/>
  <c r="G907" i="2"/>
  <c r="F907" i="2"/>
  <c r="E907" i="2"/>
  <c r="D907" i="2"/>
  <c r="C907" i="2"/>
  <c r="B907" i="2"/>
  <c r="A907" i="2"/>
  <c r="U906" i="2"/>
  <c r="R906" i="2"/>
  <c r="Q906" i="2"/>
  <c r="O906" i="2"/>
  <c r="M906" i="2"/>
  <c r="L906" i="2"/>
  <c r="K906" i="2"/>
  <c r="J906" i="2"/>
  <c r="G906" i="2"/>
  <c r="F906" i="2"/>
  <c r="E906" i="2"/>
  <c r="D906" i="2"/>
  <c r="C906" i="2"/>
  <c r="B906" i="2"/>
  <c r="A906" i="2"/>
  <c r="U905" i="2"/>
  <c r="R905" i="2"/>
  <c r="Q905" i="2"/>
  <c r="O905" i="2"/>
  <c r="M905" i="2"/>
  <c r="L905" i="2"/>
  <c r="K905" i="2"/>
  <c r="J905" i="2"/>
  <c r="G905" i="2"/>
  <c r="F905" i="2"/>
  <c r="E905" i="2"/>
  <c r="D905" i="2"/>
  <c r="C905" i="2"/>
  <c r="B905" i="2"/>
  <c r="A905" i="2"/>
  <c r="U904" i="2"/>
  <c r="R904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A904" i="2"/>
  <c r="U903" i="2"/>
  <c r="R903" i="2"/>
  <c r="Q903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A903" i="2"/>
  <c r="U902" i="2"/>
  <c r="R902" i="2"/>
  <c r="Q902" i="2"/>
  <c r="P902" i="2"/>
  <c r="O902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A902" i="2"/>
  <c r="U901" i="2"/>
  <c r="R901" i="2"/>
  <c r="Q901" i="2"/>
  <c r="P901" i="2"/>
  <c r="O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A901" i="2"/>
  <c r="U900" i="2"/>
  <c r="R900" i="2"/>
  <c r="Q900" i="2"/>
  <c r="P900" i="2"/>
  <c r="O900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A900" i="2"/>
  <c r="U899" i="2"/>
  <c r="R899" i="2"/>
  <c r="Q899" i="2"/>
  <c r="P899" i="2"/>
  <c r="O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A899" i="2"/>
  <c r="U898" i="2"/>
  <c r="R898" i="2"/>
  <c r="Q898" i="2"/>
  <c r="O898" i="2"/>
  <c r="M898" i="2"/>
  <c r="L898" i="2"/>
  <c r="K898" i="2"/>
  <c r="J898" i="2"/>
  <c r="G898" i="2"/>
  <c r="F898" i="2"/>
  <c r="E898" i="2"/>
  <c r="D898" i="2"/>
  <c r="C898" i="2"/>
  <c r="B898" i="2"/>
  <c r="A898" i="2"/>
  <c r="U897" i="2"/>
  <c r="R897" i="2"/>
  <c r="Q897" i="2"/>
  <c r="P897" i="2"/>
  <c r="O897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A897" i="2"/>
  <c r="U896" i="2"/>
  <c r="R896" i="2"/>
  <c r="Q896" i="2"/>
  <c r="P896" i="2"/>
  <c r="O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A896" i="2"/>
  <c r="U895" i="2"/>
  <c r="R895" i="2"/>
  <c r="Q895" i="2"/>
  <c r="O895" i="2"/>
  <c r="M895" i="2"/>
  <c r="L895" i="2"/>
  <c r="K895" i="2"/>
  <c r="J895" i="2"/>
  <c r="G895" i="2"/>
  <c r="F895" i="2"/>
  <c r="E895" i="2"/>
  <c r="D895" i="2"/>
  <c r="C895" i="2"/>
  <c r="B895" i="2"/>
  <c r="A895" i="2"/>
  <c r="U894" i="2"/>
  <c r="R894" i="2"/>
  <c r="Q894" i="2"/>
  <c r="P894" i="2"/>
  <c r="O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A894" i="2"/>
  <c r="U893" i="2"/>
  <c r="R893" i="2"/>
  <c r="Q893" i="2"/>
  <c r="P893" i="2"/>
  <c r="O893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A893" i="2"/>
  <c r="U892" i="2"/>
  <c r="R892" i="2"/>
  <c r="Q892" i="2"/>
  <c r="P892" i="2"/>
  <c r="O892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A892" i="2"/>
  <c r="R891" i="2"/>
  <c r="Q891" i="2"/>
  <c r="P891" i="2"/>
  <c r="O891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A891" i="2"/>
  <c r="R890" i="2"/>
  <c r="Q890" i="2"/>
  <c r="O890" i="2"/>
  <c r="M890" i="2"/>
  <c r="L890" i="2"/>
  <c r="K890" i="2"/>
  <c r="J890" i="2"/>
  <c r="G890" i="2"/>
  <c r="F890" i="2"/>
  <c r="E890" i="2"/>
  <c r="D890" i="2"/>
  <c r="C890" i="2"/>
  <c r="B890" i="2"/>
  <c r="A890" i="2"/>
  <c r="U889" i="2"/>
  <c r="R889" i="2"/>
  <c r="Q889" i="2"/>
  <c r="O889" i="2"/>
  <c r="M889" i="2"/>
  <c r="L889" i="2"/>
  <c r="K889" i="2"/>
  <c r="J889" i="2"/>
  <c r="G889" i="2"/>
  <c r="F889" i="2"/>
  <c r="E889" i="2"/>
  <c r="D889" i="2"/>
  <c r="C889" i="2"/>
  <c r="B889" i="2"/>
  <c r="A889" i="2"/>
  <c r="R888" i="2"/>
  <c r="Q888" i="2"/>
  <c r="O888" i="2"/>
  <c r="M888" i="2"/>
  <c r="L888" i="2"/>
  <c r="K888" i="2"/>
  <c r="J888" i="2"/>
  <c r="G888" i="2"/>
  <c r="F888" i="2"/>
  <c r="E888" i="2"/>
  <c r="D888" i="2"/>
  <c r="C888" i="2"/>
  <c r="B888" i="2"/>
  <c r="A888" i="2"/>
  <c r="U887" i="2"/>
  <c r="R887" i="2"/>
  <c r="Q887" i="2"/>
  <c r="P887" i="2"/>
  <c r="O887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A887" i="2"/>
  <c r="U886" i="2"/>
  <c r="R886" i="2"/>
  <c r="Q886" i="2"/>
  <c r="P886" i="2"/>
  <c r="O886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A886" i="2"/>
  <c r="R885" i="2"/>
  <c r="Q885" i="2"/>
  <c r="O885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A885" i="2"/>
  <c r="U884" i="2"/>
  <c r="R884" i="2"/>
  <c r="Q884" i="2"/>
  <c r="P884" i="2"/>
  <c r="O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A884" i="2"/>
  <c r="R883" i="2"/>
  <c r="Q883" i="2"/>
  <c r="P883" i="2"/>
  <c r="O883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A883" i="2"/>
  <c r="U882" i="2"/>
  <c r="R882" i="2"/>
  <c r="Q882" i="2"/>
  <c r="O882" i="2"/>
  <c r="M882" i="2"/>
  <c r="L882" i="2"/>
  <c r="K882" i="2"/>
  <c r="J882" i="2"/>
  <c r="G882" i="2"/>
  <c r="F882" i="2"/>
  <c r="E882" i="2"/>
  <c r="D882" i="2"/>
  <c r="C882" i="2"/>
  <c r="B882" i="2"/>
  <c r="A882" i="2"/>
  <c r="U881" i="2"/>
  <c r="R881" i="2"/>
  <c r="Q881" i="2"/>
  <c r="O881" i="2"/>
  <c r="M881" i="2"/>
  <c r="L881" i="2"/>
  <c r="K881" i="2"/>
  <c r="J881" i="2"/>
  <c r="G881" i="2"/>
  <c r="F881" i="2"/>
  <c r="E881" i="2"/>
  <c r="D881" i="2"/>
  <c r="C881" i="2"/>
  <c r="B881" i="2"/>
  <c r="A881" i="2"/>
  <c r="U880" i="2"/>
  <c r="R880" i="2"/>
  <c r="Q880" i="2"/>
  <c r="P880" i="2"/>
  <c r="O880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A880" i="2"/>
  <c r="U879" i="2"/>
  <c r="R879" i="2"/>
  <c r="Q879" i="2"/>
  <c r="P879" i="2"/>
  <c r="O879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A879" i="2"/>
  <c r="U878" i="2"/>
  <c r="R878" i="2"/>
  <c r="Q878" i="2"/>
  <c r="P878" i="2"/>
  <c r="O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A878" i="2"/>
  <c r="U877" i="2"/>
  <c r="R877" i="2"/>
  <c r="Q877" i="2"/>
  <c r="P877" i="2"/>
  <c r="O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A877" i="2"/>
  <c r="U876" i="2"/>
  <c r="R876" i="2"/>
  <c r="Q876" i="2"/>
  <c r="O876" i="2"/>
  <c r="M876" i="2"/>
  <c r="L876" i="2"/>
  <c r="K876" i="2"/>
  <c r="J876" i="2"/>
  <c r="G876" i="2"/>
  <c r="F876" i="2"/>
  <c r="E876" i="2"/>
  <c r="D876" i="2"/>
  <c r="C876" i="2"/>
  <c r="B876" i="2"/>
  <c r="A876" i="2"/>
  <c r="R875" i="2"/>
  <c r="Q875" i="2"/>
  <c r="O875" i="2"/>
  <c r="M875" i="2"/>
  <c r="L875" i="2"/>
  <c r="K875" i="2"/>
  <c r="J875" i="2"/>
  <c r="G875" i="2"/>
  <c r="F875" i="2"/>
  <c r="E875" i="2"/>
  <c r="D875" i="2"/>
  <c r="C875" i="2"/>
  <c r="B875" i="2"/>
  <c r="A875" i="2"/>
  <c r="R874" i="2"/>
  <c r="Q874" i="2"/>
  <c r="O874" i="2"/>
  <c r="M874" i="2"/>
  <c r="L874" i="2"/>
  <c r="K874" i="2"/>
  <c r="J874" i="2"/>
  <c r="G874" i="2"/>
  <c r="F874" i="2"/>
  <c r="E874" i="2"/>
  <c r="D874" i="2"/>
  <c r="C874" i="2"/>
  <c r="B874" i="2"/>
  <c r="A874" i="2"/>
  <c r="U873" i="2"/>
  <c r="R873" i="2"/>
  <c r="Q873" i="2"/>
  <c r="O873" i="2"/>
  <c r="M873" i="2"/>
  <c r="L873" i="2"/>
  <c r="K873" i="2"/>
  <c r="J873" i="2"/>
  <c r="G873" i="2"/>
  <c r="F873" i="2"/>
  <c r="E873" i="2"/>
  <c r="D873" i="2"/>
  <c r="C873" i="2"/>
  <c r="B873" i="2"/>
  <c r="A873" i="2"/>
  <c r="R872" i="2"/>
  <c r="Q872" i="2"/>
  <c r="O872" i="2"/>
  <c r="M872" i="2"/>
  <c r="L872" i="2"/>
  <c r="K872" i="2"/>
  <c r="J872" i="2"/>
  <c r="G872" i="2"/>
  <c r="F872" i="2"/>
  <c r="E872" i="2"/>
  <c r="D872" i="2"/>
  <c r="C872" i="2"/>
  <c r="B872" i="2"/>
  <c r="A872" i="2"/>
  <c r="R871" i="2"/>
  <c r="Q871" i="2"/>
  <c r="O871" i="2"/>
  <c r="M871" i="2"/>
  <c r="L871" i="2"/>
  <c r="K871" i="2"/>
  <c r="J871" i="2"/>
  <c r="G871" i="2"/>
  <c r="F871" i="2"/>
  <c r="E871" i="2"/>
  <c r="D871" i="2"/>
  <c r="C871" i="2"/>
  <c r="B871" i="2"/>
  <c r="A871" i="2"/>
  <c r="R870" i="2"/>
  <c r="Q870" i="2"/>
  <c r="O870" i="2"/>
  <c r="M870" i="2"/>
  <c r="L870" i="2"/>
  <c r="K870" i="2"/>
  <c r="J870" i="2"/>
  <c r="G870" i="2"/>
  <c r="F870" i="2"/>
  <c r="E870" i="2"/>
  <c r="D870" i="2"/>
  <c r="C870" i="2"/>
  <c r="B870" i="2"/>
  <c r="A870" i="2"/>
  <c r="Q869" i="2"/>
  <c r="O869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A869" i="2"/>
  <c r="Q868" i="2"/>
  <c r="O868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A868" i="2"/>
  <c r="Q867" i="2"/>
  <c r="O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A867" i="2"/>
  <c r="R866" i="2"/>
  <c r="Q866" i="2"/>
  <c r="P866" i="2"/>
  <c r="O866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A866" i="2"/>
  <c r="R865" i="2"/>
  <c r="Q865" i="2"/>
  <c r="O865" i="2"/>
  <c r="M865" i="2"/>
  <c r="L865" i="2"/>
  <c r="K865" i="2"/>
  <c r="J865" i="2"/>
  <c r="G865" i="2"/>
  <c r="F865" i="2"/>
  <c r="E865" i="2"/>
  <c r="D865" i="2"/>
  <c r="C865" i="2"/>
  <c r="B865" i="2"/>
  <c r="A865" i="2"/>
  <c r="Q864" i="2"/>
  <c r="O864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A864" i="2"/>
  <c r="U863" i="2"/>
  <c r="R863" i="2"/>
  <c r="Q863" i="2"/>
  <c r="P863" i="2"/>
  <c r="O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A863" i="2"/>
  <c r="U862" i="2"/>
  <c r="R862" i="2"/>
  <c r="Q862" i="2"/>
  <c r="P862" i="2"/>
  <c r="O862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A862" i="2"/>
  <c r="U861" i="2"/>
  <c r="R861" i="2"/>
  <c r="Q861" i="2"/>
  <c r="P861" i="2"/>
  <c r="O861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A861" i="2"/>
  <c r="U860" i="2"/>
  <c r="R860" i="2"/>
  <c r="Q860" i="2"/>
  <c r="P860" i="2"/>
  <c r="O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A860" i="2"/>
  <c r="U859" i="2"/>
  <c r="R859" i="2"/>
  <c r="Q859" i="2"/>
  <c r="P859" i="2"/>
  <c r="O859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A859" i="2"/>
  <c r="U858" i="2"/>
  <c r="R858" i="2"/>
  <c r="Q858" i="2"/>
  <c r="P858" i="2"/>
  <c r="O858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A858" i="2"/>
  <c r="U857" i="2"/>
  <c r="R857" i="2"/>
  <c r="Q857" i="2"/>
  <c r="O857" i="2"/>
  <c r="M857" i="2"/>
  <c r="L857" i="2"/>
  <c r="K857" i="2"/>
  <c r="J857" i="2"/>
  <c r="G857" i="2"/>
  <c r="F857" i="2"/>
  <c r="E857" i="2"/>
  <c r="D857" i="2"/>
  <c r="C857" i="2"/>
  <c r="B857" i="2"/>
  <c r="A857" i="2"/>
  <c r="U856" i="2"/>
  <c r="R856" i="2"/>
  <c r="Q856" i="2"/>
  <c r="P856" i="2"/>
  <c r="O856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A856" i="2"/>
  <c r="U855" i="2"/>
  <c r="R855" i="2"/>
  <c r="Q855" i="2"/>
  <c r="P855" i="2"/>
  <c r="O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A855" i="2"/>
  <c r="U854" i="2"/>
  <c r="R854" i="2"/>
  <c r="Q854" i="2"/>
  <c r="P854" i="2"/>
  <c r="O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A854" i="2"/>
  <c r="U853" i="2"/>
  <c r="R853" i="2"/>
  <c r="Q853" i="2"/>
  <c r="P853" i="2"/>
  <c r="O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A853" i="2"/>
  <c r="U852" i="2"/>
  <c r="R852" i="2"/>
  <c r="Q852" i="2"/>
  <c r="P852" i="2"/>
  <c r="O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A852" i="2"/>
  <c r="U851" i="2"/>
  <c r="R851" i="2"/>
  <c r="Q851" i="2"/>
  <c r="P851" i="2"/>
  <c r="O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A851" i="2"/>
  <c r="U850" i="2"/>
  <c r="R850" i="2"/>
  <c r="Q850" i="2"/>
  <c r="P850" i="2"/>
  <c r="O850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A850" i="2"/>
  <c r="U849" i="2"/>
  <c r="R849" i="2"/>
  <c r="Q849" i="2"/>
  <c r="P849" i="2"/>
  <c r="O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A849" i="2"/>
  <c r="U848" i="2"/>
  <c r="R848" i="2"/>
  <c r="Q848" i="2"/>
  <c r="P848" i="2"/>
  <c r="O848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A848" i="2"/>
  <c r="U847" i="2"/>
  <c r="R847" i="2"/>
  <c r="Q847" i="2"/>
  <c r="O847" i="2"/>
  <c r="M847" i="2"/>
  <c r="L847" i="2"/>
  <c r="K847" i="2"/>
  <c r="J847" i="2"/>
  <c r="G847" i="2"/>
  <c r="F847" i="2"/>
  <c r="E847" i="2"/>
  <c r="D847" i="2"/>
  <c r="C847" i="2"/>
  <c r="B847" i="2"/>
  <c r="A847" i="2"/>
  <c r="U846" i="2"/>
  <c r="R846" i="2"/>
  <c r="Q846" i="2"/>
  <c r="O846" i="2"/>
  <c r="M846" i="2"/>
  <c r="L846" i="2"/>
  <c r="K846" i="2"/>
  <c r="J846" i="2"/>
  <c r="G846" i="2"/>
  <c r="F846" i="2"/>
  <c r="E846" i="2"/>
  <c r="D846" i="2"/>
  <c r="C846" i="2"/>
  <c r="B846" i="2"/>
  <c r="A846" i="2"/>
  <c r="U845" i="2"/>
  <c r="R845" i="2"/>
  <c r="Q845" i="2"/>
  <c r="P845" i="2"/>
  <c r="O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A845" i="2"/>
  <c r="U844" i="2"/>
  <c r="R844" i="2"/>
  <c r="Q844" i="2"/>
  <c r="P844" i="2"/>
  <c r="O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A844" i="2"/>
  <c r="R843" i="2"/>
  <c r="Q843" i="2"/>
  <c r="O843" i="2"/>
  <c r="N843" i="2"/>
  <c r="M843" i="2"/>
  <c r="L843" i="2"/>
  <c r="K843" i="2"/>
  <c r="J843" i="2"/>
  <c r="G843" i="2"/>
  <c r="F843" i="2"/>
  <c r="E843" i="2"/>
  <c r="D843" i="2"/>
  <c r="C843" i="2"/>
  <c r="B843" i="2"/>
  <c r="A843" i="2"/>
  <c r="U842" i="2"/>
  <c r="R842" i="2"/>
  <c r="Q842" i="2"/>
  <c r="P842" i="2"/>
  <c r="O842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A842" i="2"/>
  <c r="Q841" i="2"/>
  <c r="O841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A841" i="2"/>
  <c r="Q840" i="2"/>
  <c r="O840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A840" i="2"/>
  <c r="U839" i="2"/>
  <c r="R839" i="2"/>
  <c r="Q839" i="2"/>
  <c r="P839" i="2"/>
  <c r="O839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A839" i="2"/>
  <c r="U838" i="2"/>
  <c r="R838" i="2"/>
  <c r="Q838" i="2"/>
  <c r="P838" i="2"/>
  <c r="O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A838" i="2"/>
  <c r="U837" i="2"/>
  <c r="R837" i="2"/>
  <c r="Q837" i="2"/>
  <c r="P837" i="2"/>
  <c r="O837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A837" i="2"/>
  <c r="U836" i="2"/>
  <c r="R836" i="2"/>
  <c r="Q836" i="2"/>
  <c r="P836" i="2"/>
  <c r="O836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A836" i="2"/>
  <c r="U835" i="2"/>
  <c r="R835" i="2"/>
  <c r="Q835" i="2"/>
  <c r="P835" i="2"/>
  <c r="O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A835" i="2"/>
  <c r="U834" i="2"/>
  <c r="R834" i="2"/>
  <c r="Q834" i="2"/>
  <c r="P834" i="2"/>
  <c r="O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A834" i="2"/>
  <c r="U833" i="2"/>
  <c r="R833" i="2"/>
  <c r="Q833" i="2"/>
  <c r="P833" i="2"/>
  <c r="O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A833" i="2"/>
  <c r="U832" i="2"/>
  <c r="R832" i="2"/>
  <c r="Q832" i="2"/>
  <c r="P832" i="2"/>
  <c r="O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A832" i="2"/>
  <c r="U831" i="2"/>
  <c r="R831" i="2"/>
  <c r="Q831" i="2"/>
  <c r="P831" i="2"/>
  <c r="O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831" i="2"/>
  <c r="U830" i="2"/>
  <c r="R830" i="2"/>
  <c r="Q830" i="2"/>
  <c r="P830" i="2"/>
  <c r="O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A830" i="2"/>
  <c r="U829" i="2"/>
  <c r="R829" i="2"/>
  <c r="Q829" i="2"/>
  <c r="P829" i="2"/>
  <c r="O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A829" i="2"/>
  <c r="U828" i="2"/>
  <c r="R828" i="2"/>
  <c r="Q828" i="2"/>
  <c r="O828" i="2"/>
  <c r="M828" i="2"/>
  <c r="L828" i="2"/>
  <c r="K828" i="2"/>
  <c r="J828" i="2"/>
  <c r="G828" i="2"/>
  <c r="F828" i="2"/>
  <c r="E828" i="2"/>
  <c r="D828" i="2"/>
  <c r="C828" i="2"/>
  <c r="B828" i="2"/>
  <c r="A828" i="2"/>
  <c r="U827" i="2"/>
  <c r="R827" i="2"/>
  <c r="Q827" i="2"/>
  <c r="P827" i="2"/>
  <c r="O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A827" i="2"/>
  <c r="U826" i="2"/>
  <c r="R826" i="2"/>
  <c r="Q826" i="2"/>
  <c r="P826" i="2"/>
  <c r="O826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A826" i="2"/>
  <c r="U825" i="2"/>
  <c r="R825" i="2"/>
  <c r="Q825" i="2"/>
  <c r="P825" i="2"/>
  <c r="O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A825" i="2"/>
  <c r="U824" i="2"/>
  <c r="R824" i="2"/>
  <c r="Q824" i="2"/>
  <c r="P824" i="2"/>
  <c r="O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A824" i="2"/>
  <c r="U823" i="2"/>
  <c r="R823" i="2"/>
  <c r="Q823" i="2"/>
  <c r="P823" i="2"/>
  <c r="O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A823" i="2"/>
  <c r="U822" i="2"/>
  <c r="R822" i="2"/>
  <c r="Q822" i="2"/>
  <c r="P822" i="2"/>
  <c r="O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A822" i="2"/>
  <c r="U821" i="2"/>
  <c r="R821" i="2"/>
  <c r="Q821" i="2"/>
  <c r="P821" i="2"/>
  <c r="O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A821" i="2"/>
  <c r="U820" i="2"/>
  <c r="R820" i="2"/>
  <c r="Q820" i="2"/>
  <c r="P820" i="2"/>
  <c r="O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A820" i="2"/>
  <c r="U819" i="2"/>
  <c r="R819" i="2"/>
  <c r="Q819" i="2"/>
  <c r="P819" i="2"/>
  <c r="O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A819" i="2"/>
  <c r="U818" i="2"/>
  <c r="R818" i="2"/>
  <c r="Q818" i="2"/>
  <c r="O818" i="2"/>
  <c r="M818" i="2"/>
  <c r="L818" i="2"/>
  <c r="K818" i="2"/>
  <c r="J818" i="2"/>
  <c r="G818" i="2"/>
  <c r="F818" i="2"/>
  <c r="E818" i="2"/>
  <c r="D818" i="2"/>
  <c r="C818" i="2"/>
  <c r="B818" i="2"/>
  <c r="A818" i="2"/>
  <c r="U817" i="2"/>
  <c r="R817" i="2"/>
  <c r="Q817" i="2"/>
  <c r="P817" i="2"/>
  <c r="O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A817" i="2"/>
  <c r="U816" i="2"/>
  <c r="R816" i="2"/>
  <c r="Q816" i="2"/>
  <c r="O816" i="2"/>
  <c r="M816" i="2"/>
  <c r="L816" i="2"/>
  <c r="K816" i="2"/>
  <c r="J816" i="2"/>
  <c r="G816" i="2"/>
  <c r="F816" i="2"/>
  <c r="E816" i="2"/>
  <c r="D816" i="2"/>
  <c r="C816" i="2"/>
  <c r="B816" i="2"/>
  <c r="A816" i="2"/>
  <c r="U815" i="2"/>
  <c r="R815" i="2"/>
  <c r="Q815" i="2"/>
  <c r="O815" i="2"/>
  <c r="M815" i="2"/>
  <c r="L815" i="2"/>
  <c r="K815" i="2"/>
  <c r="J815" i="2"/>
  <c r="G815" i="2"/>
  <c r="F815" i="2"/>
  <c r="E815" i="2"/>
  <c r="D815" i="2"/>
  <c r="C815" i="2"/>
  <c r="B815" i="2"/>
  <c r="A815" i="2"/>
  <c r="U814" i="2"/>
  <c r="R814" i="2"/>
  <c r="Q814" i="2"/>
  <c r="P814" i="2"/>
  <c r="O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A814" i="2"/>
  <c r="U813" i="2"/>
  <c r="R813" i="2"/>
  <c r="Q813" i="2"/>
  <c r="P813" i="2"/>
  <c r="O813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A813" i="2"/>
  <c r="U812" i="2"/>
  <c r="R812" i="2"/>
  <c r="Q812" i="2"/>
  <c r="P812" i="2"/>
  <c r="O812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A812" i="2"/>
  <c r="U811" i="2"/>
  <c r="R811" i="2"/>
  <c r="Q811" i="2"/>
  <c r="P811" i="2"/>
  <c r="O811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A811" i="2"/>
  <c r="U810" i="2"/>
  <c r="R810" i="2"/>
  <c r="Q810" i="2"/>
  <c r="P810" i="2"/>
  <c r="O810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A810" i="2"/>
  <c r="U809" i="2"/>
  <c r="R809" i="2"/>
  <c r="Q809" i="2"/>
  <c r="P809" i="2"/>
  <c r="O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A809" i="2"/>
  <c r="U807" i="2"/>
  <c r="R807" i="2"/>
  <c r="Q807" i="2"/>
  <c r="P807" i="2"/>
  <c r="O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A807" i="2"/>
  <c r="U806" i="2"/>
  <c r="R806" i="2"/>
  <c r="Q806" i="2"/>
  <c r="P806" i="2"/>
  <c r="O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A806" i="2"/>
  <c r="U805" i="2"/>
  <c r="R805" i="2"/>
  <c r="Q805" i="2"/>
  <c r="O805" i="2"/>
  <c r="M805" i="2"/>
  <c r="L805" i="2"/>
  <c r="K805" i="2"/>
  <c r="J805" i="2"/>
  <c r="G805" i="2"/>
  <c r="F805" i="2"/>
  <c r="E805" i="2"/>
  <c r="D805" i="2"/>
  <c r="C805" i="2"/>
  <c r="B805" i="2"/>
  <c r="A805" i="2"/>
  <c r="U804" i="2"/>
  <c r="R804" i="2"/>
  <c r="Q804" i="2"/>
  <c r="P804" i="2"/>
  <c r="O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A804" i="2"/>
  <c r="U803" i="2"/>
  <c r="R803" i="2"/>
  <c r="Q803" i="2"/>
  <c r="P803" i="2"/>
  <c r="O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A803" i="2"/>
  <c r="U802" i="2"/>
  <c r="R802" i="2"/>
  <c r="Q802" i="2"/>
  <c r="P802" i="2"/>
  <c r="O802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A802" i="2"/>
  <c r="U801" i="2"/>
  <c r="R801" i="2"/>
  <c r="Q801" i="2"/>
  <c r="O801" i="2"/>
  <c r="M801" i="2"/>
  <c r="L801" i="2"/>
  <c r="K801" i="2"/>
  <c r="J801" i="2"/>
  <c r="G801" i="2"/>
  <c r="F801" i="2"/>
  <c r="E801" i="2"/>
  <c r="D801" i="2"/>
  <c r="C801" i="2"/>
  <c r="B801" i="2"/>
  <c r="A801" i="2"/>
  <c r="U800" i="2"/>
  <c r="R800" i="2"/>
  <c r="Q800" i="2"/>
  <c r="O800" i="2"/>
  <c r="M800" i="2"/>
  <c r="L800" i="2"/>
  <c r="K800" i="2"/>
  <c r="J800" i="2"/>
  <c r="G800" i="2"/>
  <c r="F800" i="2"/>
  <c r="E800" i="2"/>
  <c r="D800" i="2"/>
  <c r="C800" i="2"/>
  <c r="B800" i="2"/>
  <c r="A800" i="2"/>
  <c r="U799" i="2"/>
  <c r="R799" i="2"/>
  <c r="Q799" i="2"/>
  <c r="P799" i="2"/>
  <c r="O799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A799" i="2"/>
  <c r="R798" i="2"/>
  <c r="Q798" i="2"/>
  <c r="O798" i="2"/>
  <c r="M798" i="2"/>
  <c r="L798" i="2"/>
  <c r="K798" i="2"/>
  <c r="J798" i="2"/>
  <c r="G798" i="2"/>
  <c r="F798" i="2"/>
  <c r="E798" i="2"/>
  <c r="D798" i="2"/>
  <c r="C798" i="2"/>
  <c r="B798" i="2"/>
  <c r="A798" i="2"/>
  <c r="U797" i="2"/>
  <c r="R797" i="2"/>
  <c r="Q797" i="2"/>
  <c r="P797" i="2"/>
  <c r="O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A797" i="2"/>
  <c r="U796" i="2"/>
  <c r="R796" i="2"/>
  <c r="Q796" i="2"/>
  <c r="P796" i="2"/>
  <c r="O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A796" i="2"/>
  <c r="U795" i="2"/>
  <c r="R795" i="2"/>
  <c r="Q795" i="2"/>
  <c r="O795" i="2"/>
  <c r="M795" i="2"/>
  <c r="L795" i="2"/>
  <c r="K795" i="2"/>
  <c r="J795" i="2"/>
  <c r="G795" i="2"/>
  <c r="F795" i="2"/>
  <c r="E795" i="2"/>
  <c r="D795" i="2"/>
  <c r="C795" i="2"/>
  <c r="B795" i="2"/>
  <c r="A795" i="2"/>
  <c r="U794" i="2"/>
  <c r="R794" i="2"/>
  <c r="Q794" i="2"/>
  <c r="P794" i="2"/>
  <c r="O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A794" i="2"/>
  <c r="U793" i="2"/>
  <c r="R793" i="2"/>
  <c r="Q793" i="2"/>
  <c r="P793" i="2"/>
  <c r="O793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A793" i="2"/>
  <c r="R792" i="2"/>
  <c r="Q792" i="2"/>
  <c r="P792" i="2"/>
  <c r="O792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A792" i="2"/>
  <c r="R791" i="2"/>
  <c r="Q791" i="2"/>
  <c r="P791" i="2"/>
  <c r="O791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A791" i="2"/>
  <c r="R790" i="2"/>
  <c r="Q790" i="2"/>
  <c r="P790" i="2"/>
  <c r="O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A790" i="2"/>
  <c r="U789" i="2"/>
  <c r="R789" i="2"/>
  <c r="Q789" i="2"/>
  <c r="P789" i="2"/>
  <c r="O789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A789" i="2"/>
  <c r="U788" i="2"/>
  <c r="R788" i="2"/>
  <c r="Q788" i="2"/>
  <c r="P788" i="2"/>
  <c r="O788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A788" i="2"/>
  <c r="U787" i="2"/>
  <c r="R787" i="2"/>
  <c r="Q787" i="2"/>
  <c r="P787" i="2"/>
  <c r="O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A787" i="2"/>
  <c r="U786" i="2"/>
  <c r="R786" i="2"/>
  <c r="Q786" i="2"/>
  <c r="P786" i="2"/>
  <c r="O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A786" i="2"/>
  <c r="U785" i="2"/>
  <c r="R785" i="2"/>
  <c r="Q785" i="2"/>
  <c r="O785" i="2"/>
  <c r="M785" i="2"/>
  <c r="L785" i="2"/>
  <c r="K785" i="2"/>
  <c r="J785" i="2"/>
  <c r="G785" i="2"/>
  <c r="F785" i="2"/>
  <c r="E785" i="2"/>
  <c r="D785" i="2"/>
  <c r="C785" i="2"/>
  <c r="B785" i="2"/>
  <c r="A785" i="2"/>
  <c r="U784" i="2"/>
  <c r="R784" i="2"/>
  <c r="Q784" i="2"/>
  <c r="O784" i="2"/>
  <c r="M784" i="2"/>
  <c r="L784" i="2"/>
  <c r="K784" i="2"/>
  <c r="J784" i="2"/>
  <c r="G784" i="2"/>
  <c r="F784" i="2"/>
  <c r="E784" i="2"/>
  <c r="D784" i="2"/>
  <c r="C784" i="2"/>
  <c r="B784" i="2"/>
  <c r="A784" i="2"/>
  <c r="R783" i="2"/>
  <c r="Q783" i="2"/>
  <c r="P783" i="2"/>
  <c r="O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A783" i="2"/>
  <c r="R782" i="2"/>
  <c r="Q782" i="2"/>
  <c r="P782" i="2"/>
  <c r="O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A782" i="2"/>
  <c r="R781" i="2"/>
  <c r="Q781" i="2"/>
  <c r="O781" i="2"/>
  <c r="M781" i="2"/>
  <c r="L781" i="2"/>
  <c r="K781" i="2"/>
  <c r="J781" i="2"/>
  <c r="G781" i="2"/>
  <c r="F781" i="2"/>
  <c r="E781" i="2"/>
  <c r="D781" i="2"/>
  <c r="C781" i="2"/>
  <c r="B781" i="2"/>
  <c r="A781" i="2"/>
  <c r="R780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A780" i="2"/>
  <c r="R779" i="2"/>
  <c r="Q779" i="2"/>
  <c r="P779" i="2"/>
  <c r="O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A779" i="2"/>
  <c r="Q778" i="2"/>
  <c r="O778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A778" i="2"/>
  <c r="Q777" i="2"/>
  <c r="O777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A777" i="2"/>
  <c r="R776" i="2"/>
  <c r="Q776" i="2"/>
  <c r="O776" i="2"/>
  <c r="M776" i="2"/>
  <c r="L776" i="2"/>
  <c r="K776" i="2"/>
  <c r="J776" i="2"/>
  <c r="G776" i="2"/>
  <c r="F776" i="2"/>
  <c r="E776" i="2"/>
  <c r="D776" i="2"/>
  <c r="C776" i="2"/>
  <c r="B776" i="2"/>
  <c r="A776" i="2"/>
  <c r="R775" i="2"/>
  <c r="Q775" i="2"/>
  <c r="O775" i="2"/>
  <c r="M775" i="2"/>
  <c r="L775" i="2"/>
  <c r="K775" i="2"/>
  <c r="J775" i="2"/>
  <c r="G775" i="2"/>
  <c r="F775" i="2"/>
  <c r="E775" i="2"/>
  <c r="D775" i="2"/>
  <c r="C775" i="2"/>
  <c r="B775" i="2"/>
  <c r="A775" i="2"/>
  <c r="R774" i="2"/>
  <c r="Q774" i="2"/>
  <c r="O774" i="2"/>
  <c r="M774" i="2"/>
  <c r="L774" i="2"/>
  <c r="K774" i="2"/>
  <c r="J774" i="2"/>
  <c r="G774" i="2"/>
  <c r="F774" i="2"/>
  <c r="E774" i="2"/>
  <c r="D774" i="2"/>
  <c r="C774" i="2"/>
  <c r="B774" i="2"/>
  <c r="A774" i="2"/>
  <c r="R773" i="2"/>
  <c r="Q773" i="2"/>
  <c r="O773" i="2"/>
  <c r="M773" i="2"/>
  <c r="L773" i="2"/>
  <c r="K773" i="2"/>
  <c r="J773" i="2"/>
  <c r="G773" i="2"/>
  <c r="F773" i="2"/>
  <c r="E773" i="2"/>
  <c r="D773" i="2"/>
  <c r="C773" i="2"/>
  <c r="B773" i="2"/>
  <c r="A773" i="2"/>
  <c r="R772" i="2"/>
  <c r="Q772" i="2"/>
  <c r="P772" i="2"/>
  <c r="O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A772" i="2"/>
  <c r="R771" i="2"/>
  <c r="Q771" i="2"/>
  <c r="P771" i="2"/>
  <c r="O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A771" i="2"/>
  <c r="R770" i="2"/>
  <c r="Q770" i="2"/>
  <c r="O770" i="2"/>
  <c r="M770" i="2"/>
  <c r="L770" i="2"/>
  <c r="K770" i="2"/>
  <c r="J770" i="2"/>
  <c r="G770" i="2"/>
  <c r="F770" i="2"/>
  <c r="E770" i="2"/>
  <c r="D770" i="2"/>
  <c r="C770" i="2"/>
  <c r="B770" i="2"/>
  <c r="A770" i="2"/>
  <c r="R769" i="2"/>
  <c r="Q769" i="2"/>
  <c r="O769" i="2"/>
  <c r="M769" i="2"/>
  <c r="L769" i="2"/>
  <c r="K769" i="2"/>
  <c r="J769" i="2"/>
  <c r="G769" i="2"/>
  <c r="F769" i="2"/>
  <c r="E769" i="2"/>
  <c r="D769" i="2"/>
  <c r="C769" i="2"/>
  <c r="B769" i="2"/>
  <c r="A769" i="2"/>
  <c r="R768" i="2"/>
  <c r="Q768" i="2"/>
  <c r="P768" i="2"/>
  <c r="O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A768" i="2"/>
  <c r="R767" i="2"/>
  <c r="Q767" i="2"/>
  <c r="P767" i="2"/>
  <c r="O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A767" i="2"/>
  <c r="R766" i="2"/>
  <c r="Q766" i="2"/>
  <c r="P766" i="2"/>
  <c r="O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A766" i="2"/>
  <c r="R765" i="2"/>
  <c r="Q765" i="2"/>
  <c r="O765" i="2"/>
  <c r="M765" i="2"/>
  <c r="L765" i="2"/>
  <c r="K765" i="2"/>
  <c r="J765" i="2"/>
  <c r="G765" i="2"/>
  <c r="F765" i="2"/>
  <c r="E765" i="2"/>
  <c r="D765" i="2"/>
  <c r="C765" i="2"/>
  <c r="B765" i="2"/>
  <c r="A765" i="2"/>
  <c r="R764" i="2"/>
  <c r="Q764" i="2"/>
  <c r="O764" i="2"/>
  <c r="M764" i="2"/>
  <c r="L764" i="2"/>
  <c r="K764" i="2"/>
  <c r="J764" i="2"/>
  <c r="G764" i="2"/>
  <c r="F764" i="2"/>
  <c r="E764" i="2"/>
  <c r="D764" i="2"/>
  <c r="C764" i="2"/>
  <c r="B764" i="2"/>
  <c r="A764" i="2"/>
  <c r="R763" i="2"/>
  <c r="Q763" i="2"/>
  <c r="O763" i="2"/>
  <c r="M763" i="2"/>
  <c r="L763" i="2"/>
  <c r="K763" i="2"/>
  <c r="J763" i="2"/>
  <c r="G763" i="2"/>
  <c r="F763" i="2"/>
  <c r="E763" i="2"/>
  <c r="D763" i="2"/>
  <c r="C763" i="2"/>
  <c r="B763" i="2"/>
  <c r="A763" i="2"/>
  <c r="R762" i="2"/>
  <c r="Q762" i="2"/>
  <c r="O762" i="2"/>
  <c r="M762" i="2"/>
  <c r="L762" i="2"/>
  <c r="K762" i="2"/>
  <c r="J762" i="2"/>
  <c r="G762" i="2"/>
  <c r="F762" i="2"/>
  <c r="E762" i="2"/>
  <c r="D762" i="2"/>
  <c r="C762" i="2"/>
  <c r="B762" i="2"/>
  <c r="A762" i="2"/>
  <c r="R761" i="2"/>
  <c r="Q761" i="2"/>
  <c r="P761" i="2"/>
  <c r="O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A761" i="2"/>
  <c r="R760" i="2"/>
  <c r="Q760" i="2"/>
  <c r="O760" i="2"/>
  <c r="M760" i="2"/>
  <c r="L760" i="2"/>
  <c r="K760" i="2"/>
  <c r="J760" i="2"/>
  <c r="G760" i="2"/>
  <c r="F760" i="2"/>
  <c r="E760" i="2"/>
  <c r="D760" i="2"/>
  <c r="C760" i="2"/>
  <c r="B760" i="2"/>
  <c r="A760" i="2"/>
  <c r="R759" i="2"/>
  <c r="Q759" i="2"/>
  <c r="O759" i="2"/>
  <c r="M759" i="2"/>
  <c r="L759" i="2"/>
  <c r="K759" i="2"/>
  <c r="J759" i="2"/>
  <c r="G759" i="2"/>
  <c r="F759" i="2"/>
  <c r="E759" i="2"/>
  <c r="D759" i="2"/>
  <c r="C759" i="2"/>
  <c r="B759" i="2"/>
  <c r="A759" i="2"/>
  <c r="R758" i="2"/>
  <c r="Q758" i="2"/>
  <c r="O758" i="2"/>
  <c r="M758" i="2"/>
  <c r="L758" i="2"/>
  <c r="K758" i="2"/>
  <c r="J758" i="2"/>
  <c r="G758" i="2"/>
  <c r="F758" i="2"/>
  <c r="E758" i="2"/>
  <c r="D758" i="2"/>
  <c r="C758" i="2"/>
  <c r="B758" i="2"/>
  <c r="A758" i="2"/>
  <c r="R757" i="2"/>
  <c r="Q757" i="2"/>
  <c r="O757" i="2"/>
  <c r="M757" i="2"/>
  <c r="L757" i="2"/>
  <c r="K757" i="2"/>
  <c r="J757" i="2"/>
  <c r="G757" i="2"/>
  <c r="F757" i="2"/>
  <c r="E757" i="2"/>
  <c r="D757" i="2"/>
  <c r="C757" i="2"/>
  <c r="B757" i="2"/>
  <c r="A757" i="2"/>
  <c r="R756" i="2"/>
  <c r="Q756" i="2"/>
  <c r="P756" i="2"/>
  <c r="O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A756" i="2"/>
  <c r="R755" i="2"/>
  <c r="Q755" i="2"/>
  <c r="P755" i="2"/>
  <c r="O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755" i="2"/>
  <c r="R754" i="2"/>
  <c r="Q754" i="2"/>
  <c r="O754" i="2"/>
  <c r="M754" i="2"/>
  <c r="L754" i="2"/>
  <c r="K754" i="2"/>
  <c r="J754" i="2"/>
  <c r="G754" i="2"/>
  <c r="F754" i="2"/>
  <c r="E754" i="2"/>
  <c r="D754" i="2"/>
  <c r="C754" i="2"/>
  <c r="B754" i="2"/>
  <c r="A754" i="2"/>
  <c r="R753" i="2"/>
  <c r="Q753" i="2"/>
  <c r="P753" i="2"/>
  <c r="O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A753" i="2"/>
  <c r="R752" i="2"/>
  <c r="Q752" i="2"/>
  <c r="P752" i="2"/>
  <c r="O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A752" i="2"/>
  <c r="R751" i="2"/>
  <c r="Q751" i="2"/>
  <c r="O751" i="2"/>
  <c r="M751" i="2"/>
  <c r="L751" i="2"/>
  <c r="K751" i="2"/>
  <c r="J751" i="2"/>
  <c r="G751" i="2"/>
  <c r="F751" i="2"/>
  <c r="E751" i="2"/>
  <c r="D751" i="2"/>
  <c r="C751" i="2"/>
  <c r="B751" i="2"/>
  <c r="A751" i="2"/>
  <c r="R750" i="2"/>
  <c r="Q750" i="2"/>
  <c r="P750" i="2"/>
  <c r="O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A750" i="2"/>
  <c r="R749" i="2"/>
  <c r="Q749" i="2"/>
  <c r="P749" i="2"/>
  <c r="O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749" i="2"/>
  <c r="R748" i="2"/>
  <c r="Q748" i="2"/>
  <c r="O748" i="2"/>
  <c r="M748" i="2"/>
  <c r="L748" i="2"/>
  <c r="K748" i="2"/>
  <c r="J748" i="2"/>
  <c r="G748" i="2"/>
  <c r="F748" i="2"/>
  <c r="E748" i="2"/>
  <c r="D748" i="2"/>
  <c r="C748" i="2"/>
  <c r="B748" i="2"/>
  <c r="A748" i="2"/>
  <c r="R747" i="2"/>
  <c r="Q747" i="2"/>
  <c r="P747" i="2"/>
  <c r="O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A747" i="2"/>
  <c r="R746" i="2"/>
  <c r="Q746" i="2"/>
  <c r="P746" i="2"/>
  <c r="O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A746" i="2"/>
  <c r="R745" i="2"/>
  <c r="Q745" i="2"/>
  <c r="O745" i="2"/>
  <c r="M745" i="2"/>
  <c r="L745" i="2"/>
  <c r="K745" i="2"/>
  <c r="J745" i="2"/>
  <c r="G745" i="2"/>
  <c r="F745" i="2"/>
  <c r="E745" i="2"/>
  <c r="D745" i="2"/>
  <c r="C745" i="2"/>
  <c r="B745" i="2"/>
  <c r="A745" i="2"/>
  <c r="R744" i="2"/>
  <c r="Q744" i="2"/>
  <c r="O744" i="2"/>
  <c r="M744" i="2"/>
  <c r="L744" i="2"/>
  <c r="K744" i="2"/>
  <c r="J744" i="2"/>
  <c r="G744" i="2"/>
  <c r="F744" i="2"/>
  <c r="E744" i="2"/>
  <c r="D744" i="2"/>
  <c r="C744" i="2"/>
  <c r="B744" i="2"/>
  <c r="A744" i="2"/>
  <c r="R743" i="2"/>
  <c r="Q743" i="2"/>
  <c r="P743" i="2"/>
  <c r="O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A743" i="2"/>
  <c r="R742" i="2"/>
  <c r="Q742" i="2"/>
  <c r="O742" i="2"/>
  <c r="M742" i="2"/>
  <c r="L742" i="2"/>
  <c r="K742" i="2"/>
  <c r="J742" i="2"/>
  <c r="G742" i="2"/>
  <c r="F742" i="2"/>
  <c r="E742" i="2"/>
  <c r="D742" i="2"/>
  <c r="C742" i="2"/>
  <c r="B742" i="2"/>
  <c r="A742" i="2"/>
  <c r="R741" i="2"/>
  <c r="Q741" i="2"/>
  <c r="P741" i="2"/>
  <c r="O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A741" i="2"/>
  <c r="R740" i="2"/>
  <c r="Q740" i="2"/>
  <c r="O740" i="2"/>
  <c r="M740" i="2"/>
  <c r="L740" i="2"/>
  <c r="K740" i="2"/>
  <c r="J740" i="2"/>
  <c r="G740" i="2"/>
  <c r="F740" i="2"/>
  <c r="E740" i="2"/>
  <c r="D740" i="2"/>
  <c r="C740" i="2"/>
  <c r="B740" i="2"/>
  <c r="A740" i="2"/>
  <c r="R739" i="2"/>
  <c r="Q739" i="2"/>
  <c r="P739" i="2"/>
  <c r="O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A739" i="2"/>
  <c r="R738" i="2"/>
  <c r="Q738" i="2"/>
  <c r="P738" i="2"/>
  <c r="O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A738" i="2"/>
  <c r="R737" i="2"/>
  <c r="Q737" i="2"/>
  <c r="O737" i="2"/>
  <c r="M737" i="2"/>
  <c r="L737" i="2"/>
  <c r="K737" i="2"/>
  <c r="J737" i="2"/>
  <c r="G737" i="2"/>
  <c r="F737" i="2"/>
  <c r="E737" i="2"/>
  <c r="D737" i="2"/>
  <c r="C737" i="2"/>
  <c r="B737" i="2"/>
  <c r="A737" i="2"/>
  <c r="R736" i="2"/>
  <c r="Q736" i="2"/>
  <c r="P736" i="2"/>
  <c r="O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A736" i="2"/>
  <c r="Q735" i="2"/>
  <c r="O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A735" i="2"/>
  <c r="R734" i="2"/>
  <c r="Q734" i="2"/>
  <c r="P734" i="2"/>
  <c r="O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A734" i="2"/>
  <c r="R733" i="2"/>
  <c r="Q733" i="2"/>
  <c r="P733" i="2"/>
  <c r="O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A733" i="2"/>
  <c r="R732" i="2"/>
  <c r="Q732" i="2"/>
  <c r="P732" i="2"/>
  <c r="O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A732" i="2"/>
  <c r="R731" i="2"/>
  <c r="Q731" i="2"/>
  <c r="O731" i="2"/>
  <c r="M731" i="2"/>
  <c r="L731" i="2"/>
  <c r="K731" i="2"/>
  <c r="J731" i="2"/>
  <c r="G731" i="2"/>
  <c r="F731" i="2"/>
  <c r="E731" i="2"/>
  <c r="D731" i="2"/>
  <c r="C731" i="2"/>
  <c r="B731" i="2"/>
  <c r="A731" i="2"/>
  <c r="Q730" i="2"/>
  <c r="O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A730" i="2"/>
  <c r="R729" i="2"/>
  <c r="Q729" i="2"/>
  <c r="P729" i="2"/>
  <c r="O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A729" i="2"/>
  <c r="R728" i="2"/>
  <c r="Q728" i="2"/>
  <c r="P728" i="2"/>
  <c r="O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A728" i="2"/>
  <c r="R727" i="2"/>
  <c r="Q727" i="2"/>
  <c r="P727" i="2"/>
  <c r="O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A727" i="2"/>
  <c r="R726" i="2"/>
  <c r="Q726" i="2"/>
  <c r="P726" i="2"/>
  <c r="O726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A726" i="2"/>
  <c r="R725" i="2"/>
  <c r="Q725" i="2"/>
  <c r="O725" i="2"/>
  <c r="M725" i="2"/>
  <c r="L725" i="2"/>
  <c r="K725" i="2"/>
  <c r="J725" i="2"/>
  <c r="G725" i="2"/>
  <c r="F725" i="2"/>
  <c r="E725" i="2"/>
  <c r="D725" i="2"/>
  <c r="C725" i="2"/>
  <c r="B725" i="2"/>
  <c r="A725" i="2"/>
  <c r="R724" i="2"/>
  <c r="Q724" i="2"/>
  <c r="P724" i="2"/>
  <c r="O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A724" i="2"/>
  <c r="R723" i="2"/>
  <c r="Q723" i="2"/>
  <c r="P723" i="2"/>
  <c r="O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A723" i="2"/>
  <c r="R722" i="2"/>
  <c r="Q722" i="2"/>
  <c r="P722" i="2"/>
  <c r="O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A722" i="2"/>
  <c r="R721" i="2"/>
  <c r="Q721" i="2"/>
  <c r="O721" i="2"/>
  <c r="M721" i="2"/>
  <c r="L721" i="2"/>
  <c r="K721" i="2"/>
  <c r="J721" i="2"/>
  <c r="G721" i="2"/>
  <c r="F721" i="2"/>
  <c r="E721" i="2"/>
  <c r="D721" i="2"/>
  <c r="C721" i="2"/>
  <c r="B721" i="2"/>
  <c r="A721" i="2"/>
  <c r="R720" i="2"/>
  <c r="Q720" i="2"/>
  <c r="P720" i="2"/>
  <c r="O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A720" i="2"/>
  <c r="R719" i="2"/>
  <c r="Q719" i="2"/>
  <c r="P719" i="2"/>
  <c r="O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A719" i="2"/>
  <c r="R718" i="2"/>
  <c r="Q718" i="2"/>
  <c r="O718" i="2"/>
  <c r="M718" i="2"/>
  <c r="L718" i="2"/>
  <c r="K718" i="2"/>
  <c r="J718" i="2"/>
  <c r="G718" i="2"/>
  <c r="F718" i="2"/>
  <c r="E718" i="2"/>
  <c r="D718" i="2"/>
  <c r="C718" i="2"/>
  <c r="B718" i="2"/>
  <c r="A718" i="2"/>
  <c r="R717" i="2"/>
  <c r="Q717" i="2"/>
  <c r="O717" i="2"/>
  <c r="M717" i="2"/>
  <c r="L717" i="2"/>
  <c r="K717" i="2"/>
  <c r="J717" i="2"/>
  <c r="G717" i="2"/>
  <c r="F717" i="2"/>
  <c r="E717" i="2"/>
  <c r="D717" i="2"/>
  <c r="C717" i="2"/>
  <c r="B717" i="2"/>
  <c r="A717" i="2"/>
  <c r="R716" i="2"/>
  <c r="Q716" i="2"/>
  <c r="O716" i="2"/>
  <c r="M716" i="2"/>
  <c r="L716" i="2"/>
  <c r="K716" i="2"/>
  <c r="J716" i="2"/>
  <c r="G716" i="2"/>
  <c r="F716" i="2"/>
  <c r="E716" i="2"/>
  <c r="D716" i="2"/>
  <c r="C716" i="2"/>
  <c r="B716" i="2"/>
  <c r="A716" i="2"/>
  <c r="R715" i="2"/>
  <c r="Q715" i="2"/>
  <c r="P715" i="2"/>
  <c r="O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A715" i="2"/>
  <c r="R714" i="2"/>
  <c r="Q714" i="2"/>
  <c r="P714" i="2"/>
  <c r="O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A714" i="2"/>
  <c r="R713" i="2"/>
  <c r="Q713" i="2"/>
  <c r="O713" i="2"/>
  <c r="M713" i="2"/>
  <c r="L713" i="2"/>
  <c r="K713" i="2"/>
  <c r="J713" i="2"/>
  <c r="G713" i="2"/>
  <c r="F713" i="2"/>
  <c r="E713" i="2"/>
  <c r="D713" i="2"/>
  <c r="C713" i="2"/>
  <c r="B713" i="2"/>
  <c r="A713" i="2"/>
  <c r="R712" i="2"/>
  <c r="Q712" i="2"/>
  <c r="O712" i="2"/>
  <c r="M712" i="2"/>
  <c r="L712" i="2"/>
  <c r="K712" i="2"/>
  <c r="J712" i="2"/>
  <c r="G712" i="2"/>
  <c r="F712" i="2"/>
  <c r="E712" i="2"/>
  <c r="D712" i="2"/>
  <c r="C712" i="2"/>
  <c r="B712" i="2"/>
  <c r="A712" i="2"/>
  <c r="R711" i="2"/>
  <c r="Q711" i="2"/>
  <c r="P711" i="2"/>
  <c r="O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A711" i="2"/>
  <c r="R710" i="2"/>
  <c r="P710" i="2"/>
  <c r="O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A710" i="2"/>
  <c r="R709" i="2"/>
  <c r="Q709" i="2"/>
  <c r="O709" i="2"/>
  <c r="M709" i="2"/>
  <c r="L709" i="2"/>
  <c r="K709" i="2"/>
  <c r="J709" i="2"/>
  <c r="G709" i="2"/>
  <c r="F709" i="2"/>
  <c r="E709" i="2"/>
  <c r="D709" i="2"/>
  <c r="C709" i="2"/>
  <c r="B709" i="2"/>
  <c r="A709" i="2"/>
  <c r="R708" i="2"/>
  <c r="Q708" i="2"/>
  <c r="P708" i="2"/>
  <c r="O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A708" i="2"/>
  <c r="R707" i="2"/>
  <c r="Q707" i="2"/>
  <c r="O707" i="2"/>
  <c r="M707" i="2"/>
  <c r="L707" i="2"/>
  <c r="K707" i="2"/>
  <c r="J707" i="2"/>
  <c r="G707" i="2"/>
  <c r="F707" i="2"/>
  <c r="E707" i="2"/>
  <c r="D707" i="2"/>
  <c r="C707" i="2"/>
  <c r="B707" i="2"/>
  <c r="A707" i="2"/>
  <c r="R706" i="2"/>
  <c r="Q706" i="2"/>
  <c r="P706" i="2"/>
  <c r="O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A706" i="2"/>
  <c r="R705" i="2"/>
  <c r="Q705" i="2"/>
  <c r="P705" i="2"/>
  <c r="O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A705" i="2"/>
  <c r="R704" i="2"/>
  <c r="Q704" i="2"/>
  <c r="P704" i="2"/>
  <c r="O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A704" i="2"/>
  <c r="R703" i="2"/>
  <c r="Q703" i="2"/>
  <c r="P703" i="2"/>
  <c r="O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A703" i="2"/>
  <c r="Q702" i="2"/>
  <c r="O702" i="2"/>
  <c r="L702" i="2"/>
  <c r="K702" i="2"/>
  <c r="J702" i="2"/>
  <c r="G702" i="2"/>
  <c r="F702" i="2"/>
  <c r="E702" i="2"/>
  <c r="D702" i="2"/>
  <c r="C702" i="2"/>
  <c r="B702" i="2"/>
  <c r="A702" i="2"/>
  <c r="Q701" i="2"/>
  <c r="O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A701" i="2"/>
  <c r="R700" i="2"/>
  <c r="Q700" i="2"/>
  <c r="P700" i="2"/>
  <c r="O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A700" i="2"/>
  <c r="Q699" i="2"/>
  <c r="O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A699" i="2"/>
  <c r="Q698" i="2"/>
  <c r="O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A698" i="2"/>
  <c r="Q697" i="2"/>
  <c r="O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A697" i="2"/>
  <c r="Q696" i="2"/>
  <c r="O696" i="2"/>
  <c r="M696" i="2"/>
  <c r="L696" i="2"/>
  <c r="K696" i="2"/>
  <c r="J696" i="2"/>
  <c r="I696" i="2"/>
  <c r="G696" i="2"/>
  <c r="F696" i="2"/>
  <c r="E696" i="2"/>
  <c r="D696" i="2"/>
  <c r="C696" i="2"/>
  <c r="B696" i="2"/>
  <c r="A696" i="2"/>
  <c r="Q695" i="2"/>
  <c r="O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A695" i="2"/>
  <c r="Q694" i="2"/>
  <c r="O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A694" i="2"/>
  <c r="Q693" i="2"/>
  <c r="O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A693" i="2"/>
  <c r="Q692" i="2"/>
  <c r="O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A692" i="2"/>
  <c r="Q691" i="2"/>
  <c r="O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A691" i="2"/>
  <c r="Q690" i="2"/>
  <c r="O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A690" i="2"/>
  <c r="Q689" i="2"/>
  <c r="O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A689" i="2"/>
  <c r="Q688" i="2"/>
  <c r="O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A688" i="2"/>
  <c r="R687" i="2"/>
  <c r="Q687" i="2"/>
  <c r="P687" i="2"/>
  <c r="O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A687" i="2"/>
  <c r="R686" i="2"/>
  <c r="Q686" i="2"/>
  <c r="P686" i="2"/>
  <c r="O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A686" i="2"/>
  <c r="R685" i="2"/>
  <c r="Q685" i="2"/>
  <c r="P685" i="2"/>
  <c r="O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A685" i="2"/>
  <c r="R684" i="2"/>
  <c r="Q684" i="2"/>
  <c r="P684" i="2"/>
  <c r="O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A684" i="2"/>
  <c r="R683" i="2"/>
  <c r="Q683" i="2"/>
  <c r="O683" i="2"/>
  <c r="M683" i="2"/>
  <c r="L683" i="2"/>
  <c r="K683" i="2"/>
  <c r="J683" i="2"/>
  <c r="G683" i="2"/>
  <c r="F683" i="2"/>
  <c r="E683" i="2"/>
  <c r="D683" i="2"/>
  <c r="C683" i="2"/>
  <c r="B683" i="2"/>
  <c r="A683" i="2"/>
  <c r="R682" i="2"/>
  <c r="Q682" i="2"/>
  <c r="O682" i="2"/>
  <c r="M682" i="2"/>
  <c r="L682" i="2"/>
  <c r="K682" i="2"/>
  <c r="J682" i="2"/>
  <c r="G682" i="2"/>
  <c r="F682" i="2"/>
  <c r="E682" i="2"/>
  <c r="D682" i="2"/>
  <c r="C682" i="2"/>
  <c r="B682" i="2"/>
  <c r="A682" i="2"/>
  <c r="R681" i="2"/>
  <c r="Q681" i="2"/>
  <c r="O681" i="2"/>
  <c r="M681" i="2"/>
  <c r="L681" i="2"/>
  <c r="K681" i="2"/>
  <c r="J681" i="2"/>
  <c r="G681" i="2"/>
  <c r="F681" i="2"/>
  <c r="E681" i="2"/>
  <c r="D681" i="2"/>
  <c r="C681" i="2"/>
  <c r="B681" i="2"/>
  <c r="A681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A680" i="2"/>
  <c r="R679" i="2"/>
  <c r="Q679" i="2"/>
  <c r="O679" i="2"/>
  <c r="N679" i="2"/>
  <c r="M679" i="2"/>
  <c r="L679" i="2"/>
  <c r="K679" i="2"/>
  <c r="J679" i="2"/>
  <c r="G679" i="2"/>
  <c r="F679" i="2"/>
  <c r="E679" i="2"/>
  <c r="D679" i="2"/>
  <c r="C679" i="2"/>
  <c r="B679" i="2"/>
  <c r="A679" i="2"/>
  <c r="R678" i="2"/>
  <c r="Q678" i="2"/>
  <c r="P678" i="2"/>
  <c r="O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A678" i="2"/>
  <c r="R677" i="2"/>
  <c r="Q677" i="2"/>
  <c r="O677" i="2"/>
  <c r="M677" i="2"/>
  <c r="L677" i="2"/>
  <c r="K677" i="2"/>
  <c r="J677" i="2"/>
  <c r="G677" i="2"/>
  <c r="F677" i="2"/>
  <c r="E677" i="2"/>
  <c r="D677" i="2"/>
  <c r="C677" i="2"/>
  <c r="B677" i="2"/>
  <c r="A677" i="2"/>
  <c r="R676" i="2"/>
  <c r="Q676" i="2"/>
  <c r="O676" i="2"/>
  <c r="M676" i="2"/>
  <c r="L676" i="2"/>
  <c r="K676" i="2"/>
  <c r="J676" i="2"/>
  <c r="G676" i="2"/>
  <c r="F676" i="2"/>
  <c r="E676" i="2"/>
  <c r="D676" i="2"/>
  <c r="C676" i="2"/>
  <c r="B676" i="2"/>
  <c r="A676" i="2"/>
  <c r="R675" i="2"/>
  <c r="Q675" i="2"/>
  <c r="O675" i="2"/>
  <c r="M675" i="2"/>
  <c r="L675" i="2"/>
  <c r="K675" i="2"/>
  <c r="J675" i="2"/>
  <c r="G675" i="2"/>
  <c r="F675" i="2"/>
  <c r="E675" i="2"/>
  <c r="D675" i="2"/>
  <c r="C675" i="2"/>
  <c r="B675" i="2"/>
  <c r="A675" i="2"/>
  <c r="R674" i="2"/>
  <c r="Q674" i="2"/>
  <c r="O674" i="2"/>
  <c r="N674" i="2"/>
  <c r="M674" i="2"/>
  <c r="L674" i="2"/>
  <c r="K674" i="2"/>
  <c r="J674" i="2"/>
  <c r="G674" i="2"/>
  <c r="F674" i="2"/>
  <c r="E674" i="2"/>
  <c r="D674" i="2"/>
  <c r="C674" i="2"/>
  <c r="B674" i="2"/>
  <c r="A674" i="2"/>
  <c r="R673" i="2"/>
  <c r="Q673" i="2"/>
  <c r="O673" i="2"/>
  <c r="M673" i="2"/>
  <c r="L673" i="2"/>
  <c r="K673" i="2"/>
  <c r="J673" i="2"/>
  <c r="G673" i="2"/>
  <c r="F673" i="2"/>
  <c r="E673" i="2"/>
  <c r="D673" i="2"/>
  <c r="C673" i="2"/>
  <c r="B673" i="2"/>
  <c r="A673" i="2"/>
  <c r="R672" i="2"/>
  <c r="Q672" i="2"/>
  <c r="O672" i="2"/>
  <c r="M672" i="2"/>
  <c r="L672" i="2"/>
  <c r="K672" i="2"/>
  <c r="J672" i="2"/>
  <c r="G672" i="2"/>
  <c r="F672" i="2"/>
  <c r="E672" i="2"/>
  <c r="D672" i="2"/>
  <c r="C672" i="2"/>
  <c r="B672" i="2"/>
  <c r="A672" i="2"/>
  <c r="R671" i="2"/>
  <c r="Q671" i="2"/>
  <c r="O671" i="2"/>
  <c r="M671" i="2"/>
  <c r="L671" i="2"/>
  <c r="K671" i="2"/>
  <c r="J671" i="2"/>
  <c r="G671" i="2"/>
  <c r="F671" i="2"/>
  <c r="E671" i="2"/>
  <c r="D671" i="2"/>
  <c r="C671" i="2"/>
  <c r="B671" i="2"/>
  <c r="A671" i="2"/>
  <c r="R670" i="2"/>
  <c r="Q670" i="2"/>
  <c r="O670" i="2"/>
  <c r="M670" i="2"/>
  <c r="L670" i="2"/>
  <c r="K670" i="2"/>
  <c r="J670" i="2"/>
  <c r="G670" i="2"/>
  <c r="F670" i="2"/>
  <c r="E670" i="2"/>
  <c r="D670" i="2"/>
  <c r="C670" i="2"/>
  <c r="B670" i="2"/>
  <c r="A670" i="2"/>
  <c r="R669" i="2"/>
  <c r="Q669" i="2"/>
  <c r="O669" i="2"/>
  <c r="M669" i="2"/>
  <c r="L669" i="2"/>
  <c r="K669" i="2"/>
  <c r="J669" i="2"/>
  <c r="G669" i="2"/>
  <c r="F669" i="2"/>
  <c r="E669" i="2"/>
  <c r="D669" i="2"/>
  <c r="C669" i="2"/>
  <c r="B669" i="2"/>
  <c r="A669" i="2"/>
  <c r="R668" i="2"/>
  <c r="Q668" i="2"/>
  <c r="P668" i="2"/>
  <c r="O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668" i="2"/>
  <c r="R667" i="2"/>
  <c r="Q667" i="2"/>
  <c r="P667" i="2"/>
  <c r="O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A667" i="2"/>
  <c r="R666" i="2"/>
  <c r="Q666" i="2"/>
  <c r="P666" i="2"/>
  <c r="O666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A666" i="2"/>
  <c r="R665" i="2"/>
  <c r="Q665" i="2"/>
  <c r="P665" i="2"/>
  <c r="O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665" i="2"/>
  <c r="R664" i="2"/>
  <c r="Q664" i="2"/>
  <c r="P664" i="2"/>
  <c r="O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A664" i="2"/>
  <c r="R663" i="2"/>
  <c r="Q663" i="2"/>
  <c r="O663" i="2"/>
  <c r="M663" i="2"/>
  <c r="L663" i="2"/>
  <c r="K663" i="2"/>
  <c r="J663" i="2"/>
  <c r="G663" i="2"/>
  <c r="F663" i="2"/>
  <c r="E663" i="2"/>
  <c r="D663" i="2"/>
  <c r="C663" i="2"/>
  <c r="B663" i="2"/>
  <c r="A663" i="2"/>
  <c r="R662" i="2"/>
  <c r="Q662" i="2"/>
  <c r="P662" i="2"/>
  <c r="O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A662" i="2"/>
  <c r="R661" i="2"/>
  <c r="Q661" i="2"/>
  <c r="O661" i="2"/>
  <c r="M661" i="2"/>
  <c r="L661" i="2"/>
  <c r="K661" i="2"/>
  <c r="J661" i="2"/>
  <c r="G661" i="2"/>
  <c r="F661" i="2"/>
  <c r="E661" i="2"/>
  <c r="D661" i="2"/>
  <c r="C661" i="2"/>
  <c r="B661" i="2"/>
  <c r="A661" i="2"/>
  <c r="R660" i="2"/>
  <c r="Q660" i="2"/>
  <c r="O660" i="2"/>
  <c r="M660" i="2"/>
  <c r="L660" i="2"/>
  <c r="K660" i="2"/>
  <c r="J660" i="2"/>
  <c r="G660" i="2"/>
  <c r="F660" i="2"/>
  <c r="E660" i="2"/>
  <c r="D660" i="2"/>
  <c r="C660" i="2"/>
  <c r="B660" i="2"/>
  <c r="A660" i="2"/>
  <c r="R659" i="2"/>
  <c r="Q659" i="2"/>
  <c r="P659" i="2"/>
  <c r="O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A659" i="2"/>
  <c r="R658" i="2"/>
  <c r="Q658" i="2"/>
  <c r="P658" i="2"/>
  <c r="O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A658" i="2"/>
  <c r="R657" i="2"/>
  <c r="Q657" i="2"/>
  <c r="P657" i="2"/>
  <c r="O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657" i="2"/>
  <c r="R656" i="2"/>
  <c r="Q656" i="2"/>
  <c r="P656" i="2"/>
  <c r="O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A656" i="2"/>
  <c r="R655" i="2"/>
  <c r="Q655" i="2"/>
  <c r="O655" i="2"/>
  <c r="M655" i="2"/>
  <c r="L655" i="2"/>
  <c r="K655" i="2"/>
  <c r="J655" i="2"/>
  <c r="G655" i="2"/>
  <c r="F655" i="2"/>
  <c r="E655" i="2"/>
  <c r="D655" i="2"/>
  <c r="C655" i="2"/>
  <c r="B655" i="2"/>
  <c r="A655" i="2"/>
  <c r="R654" i="2"/>
  <c r="Q654" i="2"/>
  <c r="P654" i="2"/>
  <c r="O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A654" i="2"/>
  <c r="R653" i="2"/>
  <c r="Q653" i="2"/>
  <c r="O653" i="2"/>
  <c r="M653" i="2"/>
  <c r="L653" i="2"/>
  <c r="K653" i="2"/>
  <c r="J653" i="2"/>
  <c r="G653" i="2"/>
  <c r="F653" i="2"/>
  <c r="E653" i="2"/>
  <c r="D653" i="2"/>
  <c r="C653" i="2"/>
  <c r="B653" i="2"/>
  <c r="A653" i="2"/>
  <c r="R652" i="2"/>
  <c r="Q652" i="2"/>
  <c r="P652" i="2"/>
  <c r="O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652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A651" i="2"/>
  <c r="R650" i="2"/>
  <c r="Q650" i="2"/>
  <c r="O650" i="2"/>
  <c r="M650" i="2"/>
  <c r="L650" i="2"/>
  <c r="K650" i="2"/>
  <c r="J650" i="2"/>
  <c r="G650" i="2"/>
  <c r="F650" i="2"/>
  <c r="E650" i="2"/>
  <c r="D650" i="2"/>
  <c r="C650" i="2"/>
  <c r="B650" i="2"/>
  <c r="A650" i="2"/>
  <c r="R649" i="2"/>
  <c r="Q649" i="2"/>
  <c r="O649" i="2"/>
  <c r="M649" i="2"/>
  <c r="L649" i="2"/>
  <c r="K649" i="2"/>
  <c r="J649" i="2"/>
  <c r="G649" i="2"/>
  <c r="F649" i="2"/>
  <c r="E649" i="2"/>
  <c r="D649" i="2"/>
  <c r="C649" i="2"/>
  <c r="B649" i="2"/>
  <c r="A649" i="2"/>
  <c r="R648" i="2"/>
  <c r="Q648" i="2"/>
  <c r="P648" i="2"/>
  <c r="O648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A648" i="2"/>
  <c r="R647" i="2"/>
  <c r="Q647" i="2"/>
  <c r="O647" i="2"/>
  <c r="M647" i="2"/>
  <c r="L647" i="2"/>
  <c r="K647" i="2"/>
  <c r="J647" i="2"/>
  <c r="G647" i="2"/>
  <c r="F647" i="2"/>
  <c r="E647" i="2"/>
  <c r="D647" i="2"/>
  <c r="C647" i="2"/>
  <c r="B647" i="2"/>
  <c r="A647" i="2"/>
  <c r="R646" i="2"/>
  <c r="Q646" i="2"/>
  <c r="O646" i="2"/>
  <c r="M646" i="2"/>
  <c r="L646" i="2"/>
  <c r="K646" i="2"/>
  <c r="J646" i="2"/>
  <c r="G646" i="2"/>
  <c r="F646" i="2"/>
  <c r="E646" i="2"/>
  <c r="D646" i="2"/>
  <c r="C646" i="2"/>
  <c r="B646" i="2"/>
  <c r="A646" i="2"/>
  <c r="R645" i="2"/>
  <c r="Q645" i="2"/>
  <c r="P645" i="2"/>
  <c r="O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A645" i="2"/>
  <c r="R643" i="2"/>
  <c r="Q643" i="2"/>
  <c r="O643" i="2"/>
  <c r="M643" i="2"/>
  <c r="L643" i="2"/>
  <c r="K643" i="2"/>
  <c r="J643" i="2"/>
  <c r="G643" i="2"/>
  <c r="F643" i="2"/>
  <c r="E643" i="2"/>
  <c r="D643" i="2"/>
  <c r="C643" i="2"/>
  <c r="B643" i="2"/>
  <c r="A643" i="2"/>
  <c r="R642" i="2"/>
  <c r="Q642" i="2"/>
  <c r="O642" i="2"/>
  <c r="M642" i="2"/>
  <c r="L642" i="2"/>
  <c r="K642" i="2"/>
  <c r="J642" i="2"/>
  <c r="G642" i="2"/>
  <c r="F642" i="2"/>
  <c r="E642" i="2"/>
  <c r="D642" i="2"/>
  <c r="C642" i="2"/>
  <c r="B642" i="2"/>
  <c r="A642" i="2"/>
  <c r="R641" i="2"/>
  <c r="Q641" i="2"/>
  <c r="O641" i="2"/>
  <c r="M641" i="2"/>
  <c r="L641" i="2"/>
  <c r="K641" i="2"/>
  <c r="J641" i="2"/>
  <c r="G641" i="2"/>
  <c r="F641" i="2"/>
  <c r="E641" i="2"/>
  <c r="D641" i="2"/>
  <c r="C641" i="2"/>
  <c r="B641" i="2"/>
  <c r="A641" i="2"/>
  <c r="R640" i="2"/>
  <c r="Q640" i="2"/>
  <c r="P640" i="2"/>
  <c r="O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640" i="2"/>
  <c r="R639" i="2"/>
  <c r="Q639" i="2"/>
  <c r="O639" i="2"/>
  <c r="M639" i="2"/>
  <c r="L639" i="2"/>
  <c r="K639" i="2"/>
  <c r="J639" i="2"/>
  <c r="G639" i="2"/>
  <c r="F639" i="2"/>
  <c r="E639" i="2"/>
  <c r="D639" i="2"/>
  <c r="C639" i="2"/>
  <c r="B639" i="2"/>
  <c r="A639" i="2"/>
  <c r="R638" i="2"/>
  <c r="Q638" i="2"/>
  <c r="P638" i="2"/>
  <c r="O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638" i="2"/>
  <c r="R637" i="2"/>
  <c r="Q637" i="2"/>
  <c r="O637" i="2"/>
  <c r="M637" i="2"/>
  <c r="L637" i="2"/>
  <c r="K637" i="2"/>
  <c r="J637" i="2"/>
  <c r="G637" i="2"/>
  <c r="F637" i="2"/>
  <c r="E637" i="2"/>
  <c r="D637" i="2"/>
  <c r="C637" i="2"/>
  <c r="B637" i="2"/>
  <c r="A637" i="2"/>
  <c r="Q636" i="2"/>
  <c r="O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636" i="2"/>
  <c r="Q635" i="2"/>
  <c r="O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A635" i="2"/>
  <c r="Q634" i="2"/>
  <c r="O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634" i="2"/>
  <c r="Q633" i="2"/>
  <c r="O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633" i="2"/>
  <c r="Q632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A632" i="2"/>
  <c r="Q631" i="2"/>
  <c r="O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A631" i="2"/>
  <c r="Q630" i="2"/>
  <c r="O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A630" i="2"/>
  <c r="R629" i="2"/>
  <c r="Q629" i="2"/>
  <c r="P629" i="2"/>
  <c r="O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A629" i="2"/>
  <c r="R628" i="2"/>
  <c r="Q628" i="2"/>
  <c r="P628" i="2"/>
  <c r="O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A628" i="2"/>
  <c r="R627" i="2"/>
  <c r="Q627" i="2"/>
  <c r="P627" i="2"/>
  <c r="O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A627" i="2"/>
  <c r="R626" i="2"/>
  <c r="Q626" i="2"/>
  <c r="P626" i="2"/>
  <c r="O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A626" i="2"/>
  <c r="R625" i="2"/>
  <c r="Q625" i="2"/>
  <c r="P625" i="2"/>
  <c r="O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A625" i="2"/>
  <c r="Q624" i="2"/>
  <c r="P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A624" i="2"/>
  <c r="R623" i="2"/>
  <c r="Q623" i="2"/>
  <c r="O623" i="2"/>
  <c r="M623" i="2"/>
  <c r="L623" i="2"/>
  <c r="K623" i="2"/>
  <c r="J623" i="2"/>
  <c r="G623" i="2"/>
  <c r="F623" i="2"/>
  <c r="E623" i="2"/>
  <c r="D623" i="2"/>
  <c r="C623" i="2"/>
  <c r="B623" i="2"/>
  <c r="A623" i="2"/>
  <c r="R622" i="2"/>
  <c r="Q622" i="2"/>
  <c r="P622" i="2"/>
  <c r="O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622" i="2"/>
  <c r="R621" i="2"/>
  <c r="Q621" i="2"/>
  <c r="P621" i="2"/>
  <c r="O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A621" i="2"/>
  <c r="R620" i="2"/>
  <c r="Q620" i="2"/>
  <c r="O620" i="2"/>
  <c r="M620" i="2"/>
  <c r="L620" i="2"/>
  <c r="K620" i="2"/>
  <c r="J620" i="2"/>
  <c r="G620" i="2"/>
  <c r="F620" i="2"/>
  <c r="E620" i="2"/>
  <c r="D620" i="2"/>
  <c r="C620" i="2"/>
  <c r="B620" i="2"/>
  <c r="A620" i="2"/>
  <c r="R619" i="2"/>
  <c r="Q619" i="2"/>
  <c r="P619" i="2"/>
  <c r="O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619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618" i="2"/>
  <c r="R617" i="2"/>
  <c r="Q617" i="2"/>
  <c r="O617" i="2"/>
  <c r="M617" i="2"/>
  <c r="L617" i="2"/>
  <c r="K617" i="2"/>
  <c r="J617" i="2"/>
  <c r="G617" i="2"/>
  <c r="F617" i="2"/>
  <c r="E617" i="2"/>
  <c r="D617" i="2"/>
  <c r="C617" i="2"/>
  <c r="B617" i="2"/>
  <c r="A617" i="2"/>
  <c r="R616" i="2"/>
  <c r="Q616" i="2"/>
  <c r="P616" i="2"/>
  <c r="O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616" i="2"/>
  <c r="R615" i="2"/>
  <c r="Q615" i="2"/>
  <c r="P615" i="2"/>
  <c r="O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615" i="2"/>
  <c r="R614" i="2"/>
  <c r="Q614" i="2"/>
  <c r="P614" i="2"/>
  <c r="O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A614" i="2"/>
  <c r="R613" i="2"/>
  <c r="Q613" i="2"/>
  <c r="O613" i="2"/>
  <c r="M613" i="2"/>
  <c r="L613" i="2"/>
  <c r="K613" i="2"/>
  <c r="J613" i="2"/>
  <c r="G613" i="2"/>
  <c r="F613" i="2"/>
  <c r="E613" i="2"/>
  <c r="D613" i="2"/>
  <c r="C613" i="2"/>
  <c r="B613" i="2"/>
  <c r="A613" i="2"/>
  <c r="R612" i="2"/>
  <c r="Q612" i="2"/>
  <c r="O612" i="2"/>
  <c r="M612" i="2"/>
  <c r="L612" i="2"/>
  <c r="K612" i="2"/>
  <c r="J612" i="2"/>
  <c r="G612" i="2"/>
  <c r="F612" i="2"/>
  <c r="E612" i="2"/>
  <c r="D612" i="2"/>
  <c r="C612" i="2"/>
  <c r="B612" i="2"/>
  <c r="A612" i="2"/>
  <c r="R611" i="2"/>
  <c r="Q611" i="2"/>
  <c r="P611" i="2"/>
  <c r="O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A611" i="2"/>
  <c r="R610" i="2"/>
  <c r="Q610" i="2"/>
  <c r="P610" i="2"/>
  <c r="O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610" i="2"/>
  <c r="R609" i="2"/>
  <c r="Q609" i="2"/>
  <c r="P609" i="2"/>
  <c r="O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A609" i="2"/>
  <c r="R608" i="2"/>
  <c r="Q608" i="2"/>
  <c r="P608" i="2"/>
  <c r="O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608" i="2"/>
  <c r="R607" i="2"/>
  <c r="Q607" i="2"/>
  <c r="P607" i="2"/>
  <c r="O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A607" i="2"/>
  <c r="R606" i="2"/>
  <c r="Q606" i="2"/>
  <c r="O606" i="2"/>
  <c r="N606" i="2"/>
  <c r="M606" i="2"/>
  <c r="L606" i="2"/>
  <c r="K606" i="2"/>
  <c r="J606" i="2"/>
  <c r="G606" i="2"/>
  <c r="F606" i="2"/>
  <c r="E606" i="2"/>
  <c r="D606" i="2"/>
  <c r="C606" i="2"/>
  <c r="B606" i="2"/>
  <c r="A606" i="2"/>
  <c r="R605" i="2"/>
  <c r="Q605" i="2"/>
  <c r="O605" i="2"/>
  <c r="M605" i="2"/>
  <c r="L605" i="2"/>
  <c r="K605" i="2"/>
  <c r="J605" i="2"/>
  <c r="G605" i="2"/>
  <c r="F605" i="2"/>
  <c r="E605" i="2"/>
  <c r="D605" i="2"/>
  <c r="C605" i="2"/>
  <c r="B605" i="2"/>
  <c r="A605" i="2"/>
  <c r="R604" i="2"/>
  <c r="Q604" i="2"/>
  <c r="P604" i="2"/>
  <c r="O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604" i="2"/>
  <c r="R603" i="2"/>
  <c r="Q603" i="2"/>
  <c r="O603" i="2"/>
  <c r="N603" i="2"/>
  <c r="M603" i="2"/>
  <c r="L603" i="2"/>
  <c r="K603" i="2"/>
  <c r="J603" i="2"/>
  <c r="G603" i="2"/>
  <c r="F603" i="2"/>
  <c r="E603" i="2"/>
  <c r="D603" i="2"/>
  <c r="C603" i="2"/>
  <c r="B603" i="2"/>
  <c r="A603" i="2"/>
  <c r="R602" i="2"/>
  <c r="Q602" i="2"/>
  <c r="O602" i="2"/>
  <c r="N602" i="2"/>
  <c r="M602" i="2"/>
  <c r="L602" i="2"/>
  <c r="K602" i="2"/>
  <c r="J602" i="2"/>
  <c r="G602" i="2"/>
  <c r="F602" i="2"/>
  <c r="E602" i="2"/>
  <c r="D602" i="2"/>
  <c r="C602" i="2"/>
  <c r="B602" i="2"/>
  <c r="A602" i="2"/>
  <c r="R601" i="2"/>
  <c r="Q601" i="2"/>
  <c r="P601" i="2"/>
  <c r="O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A601" i="2"/>
  <c r="R600" i="2"/>
  <c r="Q600" i="2"/>
  <c r="P600" i="2"/>
  <c r="O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600" i="2"/>
  <c r="R599" i="2"/>
  <c r="Q599" i="2"/>
  <c r="P599" i="2"/>
  <c r="O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599" i="2"/>
  <c r="R598" i="2"/>
  <c r="Q598" i="2"/>
  <c r="P598" i="2"/>
  <c r="O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A598" i="2"/>
  <c r="R597" i="2"/>
  <c r="Q597" i="2"/>
  <c r="P597" i="2"/>
  <c r="O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A597" i="2"/>
  <c r="R596" i="2"/>
  <c r="Q596" i="2"/>
  <c r="P596" i="2"/>
  <c r="O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A596" i="2"/>
  <c r="R595" i="2"/>
  <c r="Q595" i="2"/>
  <c r="P595" i="2"/>
  <c r="O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595" i="2"/>
  <c r="R594" i="2"/>
  <c r="Q594" i="2"/>
  <c r="P594" i="2"/>
  <c r="O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A594" i="2"/>
  <c r="R593" i="2"/>
  <c r="Q593" i="2"/>
  <c r="O593" i="2"/>
  <c r="M593" i="2"/>
  <c r="L593" i="2"/>
  <c r="K593" i="2"/>
  <c r="J593" i="2"/>
  <c r="G593" i="2"/>
  <c r="F593" i="2"/>
  <c r="E593" i="2"/>
  <c r="D593" i="2"/>
  <c r="C593" i="2"/>
  <c r="B593" i="2"/>
  <c r="A593" i="2"/>
  <c r="R592" i="2"/>
  <c r="Q592" i="2"/>
  <c r="O592" i="2"/>
  <c r="M592" i="2"/>
  <c r="L592" i="2"/>
  <c r="K592" i="2"/>
  <c r="J592" i="2"/>
  <c r="G592" i="2"/>
  <c r="F592" i="2"/>
  <c r="E592" i="2"/>
  <c r="D592" i="2"/>
  <c r="C592" i="2"/>
  <c r="B592" i="2"/>
  <c r="A592" i="2"/>
  <c r="R591" i="2"/>
  <c r="Q591" i="2"/>
  <c r="P591" i="2"/>
  <c r="O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591" i="2"/>
  <c r="R590" i="2"/>
  <c r="Q590" i="2"/>
  <c r="P590" i="2"/>
  <c r="O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A590" i="2"/>
  <c r="R589" i="2"/>
  <c r="Q589" i="2"/>
  <c r="P589" i="2"/>
  <c r="O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A589" i="2"/>
  <c r="R588" i="2"/>
  <c r="Q588" i="2"/>
  <c r="P588" i="2"/>
  <c r="O588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A588" i="2"/>
  <c r="R587" i="2"/>
  <c r="Q587" i="2"/>
  <c r="P587" i="2"/>
  <c r="O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A587" i="2"/>
  <c r="R586" i="2"/>
  <c r="Q586" i="2"/>
  <c r="P586" i="2"/>
  <c r="O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A586" i="2"/>
  <c r="R585" i="2"/>
  <c r="Q585" i="2"/>
  <c r="O585" i="2"/>
  <c r="M585" i="2"/>
  <c r="L585" i="2"/>
  <c r="K585" i="2"/>
  <c r="J585" i="2"/>
  <c r="G585" i="2"/>
  <c r="F585" i="2"/>
  <c r="E585" i="2"/>
  <c r="D585" i="2"/>
  <c r="C585" i="2"/>
  <c r="B585" i="2"/>
  <c r="A585" i="2"/>
  <c r="R584" i="2"/>
  <c r="Q584" i="2"/>
  <c r="O584" i="2"/>
  <c r="M584" i="2"/>
  <c r="L584" i="2"/>
  <c r="K584" i="2"/>
  <c r="J584" i="2"/>
  <c r="G584" i="2"/>
  <c r="F584" i="2"/>
  <c r="E584" i="2"/>
  <c r="D584" i="2"/>
  <c r="C584" i="2"/>
  <c r="B584" i="2"/>
  <c r="A584" i="2"/>
  <c r="R583" i="2"/>
  <c r="Q583" i="2"/>
  <c r="P583" i="2"/>
  <c r="O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A583" i="2"/>
  <c r="R582" i="2"/>
  <c r="Q582" i="2"/>
  <c r="P582" i="2"/>
  <c r="O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A582" i="2"/>
  <c r="R581" i="2"/>
  <c r="Q581" i="2"/>
  <c r="P581" i="2"/>
  <c r="O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A581" i="2"/>
  <c r="R580" i="2"/>
  <c r="Q580" i="2"/>
  <c r="O580" i="2"/>
  <c r="M580" i="2"/>
  <c r="L580" i="2"/>
  <c r="K580" i="2"/>
  <c r="J580" i="2"/>
  <c r="G580" i="2"/>
  <c r="F580" i="2"/>
  <c r="E580" i="2"/>
  <c r="D580" i="2"/>
  <c r="C580" i="2"/>
  <c r="B580" i="2"/>
  <c r="A580" i="2"/>
  <c r="Q579" i="2"/>
  <c r="O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A579" i="2"/>
  <c r="Q578" i="2"/>
  <c r="O578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A578" i="2"/>
  <c r="Q577" i="2"/>
  <c r="O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A577" i="2"/>
  <c r="Q576" i="2"/>
  <c r="O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A576" i="2"/>
  <c r="Q575" i="2"/>
  <c r="O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A575" i="2"/>
  <c r="Q574" i="2"/>
  <c r="O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A574" i="2"/>
  <c r="Q573" i="2"/>
  <c r="O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A573" i="2"/>
  <c r="Q572" i="2"/>
  <c r="O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A572" i="2"/>
  <c r="Q571" i="2"/>
  <c r="O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A571" i="2"/>
  <c r="Q570" i="2"/>
  <c r="O570" i="2"/>
  <c r="L570" i="2"/>
  <c r="K570" i="2"/>
  <c r="F570" i="2"/>
  <c r="E570" i="2"/>
  <c r="D570" i="2"/>
  <c r="C570" i="2"/>
  <c r="B570" i="2"/>
  <c r="A570" i="2"/>
  <c r="Q569" i="2"/>
  <c r="O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569" i="2"/>
  <c r="Q568" i="2"/>
  <c r="O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568" i="2"/>
  <c r="Q567" i="2"/>
  <c r="O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567" i="2"/>
  <c r="Q566" i="2"/>
  <c r="O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566" i="2"/>
  <c r="Q565" i="2"/>
  <c r="O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565" i="2"/>
  <c r="Q564" i="2"/>
  <c r="O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A564" i="2"/>
  <c r="R563" i="2"/>
  <c r="Q563" i="2"/>
  <c r="P563" i="2"/>
  <c r="O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563" i="2"/>
  <c r="R562" i="2"/>
  <c r="Q562" i="2"/>
  <c r="P562" i="2"/>
  <c r="O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A562" i="2"/>
  <c r="R561" i="2"/>
  <c r="Q561" i="2"/>
  <c r="P561" i="2"/>
  <c r="O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561" i="2"/>
  <c r="R560" i="2"/>
  <c r="Q560" i="2"/>
  <c r="O560" i="2"/>
  <c r="M560" i="2"/>
  <c r="L560" i="2"/>
  <c r="K560" i="2"/>
  <c r="J560" i="2"/>
  <c r="G560" i="2"/>
  <c r="F560" i="2"/>
  <c r="E560" i="2"/>
  <c r="D560" i="2"/>
  <c r="C560" i="2"/>
  <c r="B560" i="2"/>
  <c r="A560" i="2"/>
  <c r="R559" i="2"/>
  <c r="Q559" i="2"/>
  <c r="O559" i="2"/>
  <c r="M559" i="2"/>
  <c r="L559" i="2"/>
  <c r="K559" i="2"/>
  <c r="J559" i="2"/>
  <c r="G559" i="2"/>
  <c r="F559" i="2"/>
  <c r="E559" i="2"/>
  <c r="D559" i="2"/>
  <c r="C559" i="2"/>
  <c r="B559" i="2"/>
  <c r="A559" i="2"/>
  <c r="R558" i="2"/>
  <c r="Q558" i="2"/>
  <c r="O558" i="2"/>
  <c r="M558" i="2"/>
  <c r="L558" i="2"/>
  <c r="K558" i="2"/>
  <c r="J558" i="2"/>
  <c r="G558" i="2"/>
  <c r="F558" i="2"/>
  <c r="E558" i="2"/>
  <c r="D558" i="2"/>
  <c r="C558" i="2"/>
  <c r="B558" i="2"/>
  <c r="A558" i="2"/>
  <c r="R557" i="2"/>
  <c r="Q557" i="2"/>
  <c r="P557" i="2"/>
  <c r="O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A557" i="2"/>
  <c r="R556" i="2"/>
  <c r="Q556" i="2"/>
  <c r="P556" i="2"/>
  <c r="O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556" i="2"/>
  <c r="R555" i="2"/>
  <c r="Q555" i="2"/>
  <c r="O555" i="2"/>
  <c r="M555" i="2"/>
  <c r="L555" i="2"/>
  <c r="K555" i="2"/>
  <c r="J555" i="2"/>
  <c r="G555" i="2"/>
  <c r="F555" i="2"/>
  <c r="E555" i="2"/>
  <c r="D555" i="2"/>
  <c r="C555" i="2"/>
  <c r="B555" i="2"/>
  <c r="A555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554" i="2"/>
  <c r="R553" i="2"/>
  <c r="Q553" i="2"/>
  <c r="O553" i="2"/>
  <c r="M553" i="2"/>
  <c r="L553" i="2"/>
  <c r="K553" i="2"/>
  <c r="J553" i="2"/>
  <c r="G553" i="2"/>
  <c r="F553" i="2"/>
  <c r="E553" i="2"/>
  <c r="D553" i="2"/>
  <c r="C553" i="2"/>
  <c r="B553" i="2"/>
  <c r="A553" i="2"/>
  <c r="R552" i="2"/>
  <c r="Q552" i="2"/>
  <c r="P552" i="2"/>
  <c r="O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552" i="2"/>
  <c r="R551" i="2"/>
  <c r="Q551" i="2"/>
  <c r="O551" i="2"/>
  <c r="M551" i="2"/>
  <c r="L551" i="2"/>
  <c r="K551" i="2"/>
  <c r="J551" i="2"/>
  <c r="G551" i="2"/>
  <c r="F551" i="2"/>
  <c r="E551" i="2"/>
  <c r="D551" i="2"/>
  <c r="C551" i="2"/>
  <c r="B551" i="2"/>
  <c r="A551" i="2"/>
  <c r="R550" i="2"/>
  <c r="Q550" i="2"/>
  <c r="O550" i="2"/>
  <c r="M550" i="2"/>
  <c r="L550" i="2"/>
  <c r="K550" i="2"/>
  <c r="J550" i="2"/>
  <c r="G550" i="2"/>
  <c r="F550" i="2"/>
  <c r="E550" i="2"/>
  <c r="D550" i="2"/>
  <c r="C550" i="2"/>
  <c r="B550" i="2"/>
  <c r="A550" i="2"/>
  <c r="R549" i="2"/>
  <c r="Q549" i="2"/>
  <c r="O549" i="2"/>
  <c r="M549" i="2"/>
  <c r="L549" i="2"/>
  <c r="K549" i="2"/>
  <c r="J549" i="2"/>
  <c r="G549" i="2"/>
  <c r="F549" i="2"/>
  <c r="E549" i="2"/>
  <c r="D549" i="2"/>
  <c r="C549" i="2"/>
  <c r="B549" i="2"/>
  <c r="A549" i="2"/>
  <c r="R548" i="2"/>
  <c r="Q548" i="2"/>
  <c r="O548" i="2"/>
  <c r="M548" i="2"/>
  <c r="L548" i="2"/>
  <c r="K548" i="2"/>
  <c r="J548" i="2"/>
  <c r="G548" i="2"/>
  <c r="F548" i="2"/>
  <c r="E548" i="2"/>
  <c r="D548" i="2"/>
  <c r="C548" i="2"/>
  <c r="B548" i="2"/>
  <c r="A548" i="2"/>
  <c r="R547" i="2"/>
  <c r="Q547" i="2"/>
  <c r="O547" i="2"/>
  <c r="M547" i="2"/>
  <c r="L547" i="2"/>
  <c r="K547" i="2"/>
  <c r="J547" i="2"/>
  <c r="G547" i="2"/>
  <c r="F547" i="2"/>
  <c r="E547" i="2"/>
  <c r="D547" i="2"/>
  <c r="C547" i="2"/>
  <c r="B547" i="2"/>
  <c r="A547" i="2"/>
  <c r="R546" i="2"/>
  <c r="Q546" i="2"/>
  <c r="O546" i="2"/>
  <c r="M546" i="2"/>
  <c r="L546" i="2"/>
  <c r="K546" i="2"/>
  <c r="J546" i="2"/>
  <c r="G546" i="2"/>
  <c r="F546" i="2"/>
  <c r="E546" i="2"/>
  <c r="D546" i="2"/>
  <c r="C546" i="2"/>
  <c r="B546" i="2"/>
  <c r="A546" i="2"/>
  <c r="R545" i="2"/>
  <c r="Q545" i="2"/>
  <c r="O545" i="2"/>
  <c r="M545" i="2"/>
  <c r="L545" i="2"/>
  <c r="K545" i="2"/>
  <c r="J545" i="2"/>
  <c r="G545" i="2"/>
  <c r="F545" i="2"/>
  <c r="E545" i="2"/>
  <c r="D545" i="2"/>
  <c r="C545" i="2"/>
  <c r="B545" i="2"/>
  <c r="A545" i="2"/>
  <c r="R544" i="2"/>
  <c r="Q544" i="2"/>
  <c r="P544" i="2"/>
  <c r="O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544" i="2"/>
  <c r="R543" i="2"/>
  <c r="Q543" i="2"/>
  <c r="P543" i="2"/>
  <c r="O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543" i="2"/>
  <c r="R542" i="2"/>
  <c r="Q542" i="2"/>
  <c r="O542" i="2"/>
  <c r="M542" i="2"/>
  <c r="L542" i="2"/>
  <c r="K542" i="2"/>
  <c r="J542" i="2"/>
  <c r="G542" i="2"/>
  <c r="F542" i="2"/>
  <c r="E542" i="2"/>
  <c r="D542" i="2"/>
  <c r="C542" i="2"/>
  <c r="B542" i="2"/>
  <c r="A542" i="2"/>
  <c r="R541" i="2"/>
  <c r="Q541" i="2"/>
  <c r="O541" i="2"/>
  <c r="M541" i="2"/>
  <c r="L541" i="2"/>
  <c r="K541" i="2"/>
  <c r="J541" i="2"/>
  <c r="G541" i="2"/>
  <c r="F541" i="2"/>
  <c r="E541" i="2"/>
  <c r="D541" i="2"/>
  <c r="C541" i="2"/>
  <c r="B541" i="2"/>
  <c r="A541" i="2"/>
  <c r="R540" i="2"/>
  <c r="Q540" i="2"/>
  <c r="P540" i="2"/>
  <c r="O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A540" i="2"/>
  <c r="R539" i="2"/>
  <c r="Q539" i="2"/>
  <c r="P539" i="2"/>
  <c r="O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539" i="2"/>
  <c r="R538" i="2"/>
  <c r="Q538" i="2"/>
  <c r="O538" i="2"/>
  <c r="M538" i="2"/>
  <c r="L538" i="2"/>
  <c r="K538" i="2"/>
  <c r="J538" i="2"/>
  <c r="G538" i="2"/>
  <c r="F538" i="2"/>
  <c r="E538" i="2"/>
  <c r="D538" i="2"/>
  <c r="C538" i="2"/>
  <c r="B538" i="2"/>
  <c r="A538" i="2"/>
  <c r="R537" i="2"/>
  <c r="Q537" i="2"/>
  <c r="O537" i="2"/>
  <c r="M537" i="2"/>
  <c r="L537" i="2"/>
  <c r="K537" i="2"/>
  <c r="J537" i="2"/>
  <c r="G537" i="2"/>
  <c r="F537" i="2"/>
  <c r="E537" i="2"/>
  <c r="D537" i="2"/>
  <c r="C537" i="2"/>
  <c r="B537" i="2"/>
  <c r="A537" i="2"/>
  <c r="R536" i="2"/>
  <c r="Q536" i="2"/>
  <c r="P536" i="2"/>
  <c r="O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536" i="2"/>
  <c r="R535" i="2"/>
  <c r="Q535" i="2"/>
  <c r="P535" i="2"/>
  <c r="O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535" i="2"/>
  <c r="R534" i="2"/>
  <c r="Q534" i="2"/>
  <c r="P534" i="2"/>
  <c r="O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534" i="2"/>
  <c r="R533" i="2"/>
  <c r="Q533" i="2"/>
  <c r="O533" i="2"/>
  <c r="M533" i="2"/>
  <c r="L533" i="2"/>
  <c r="K533" i="2"/>
  <c r="J533" i="2"/>
  <c r="G533" i="2"/>
  <c r="F533" i="2"/>
  <c r="E533" i="2"/>
  <c r="D533" i="2"/>
  <c r="C533" i="2"/>
  <c r="B533" i="2"/>
  <c r="A533" i="2"/>
  <c r="R532" i="2"/>
  <c r="Q532" i="2"/>
  <c r="P532" i="2"/>
  <c r="O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A532" i="2"/>
  <c r="R531" i="2"/>
  <c r="Q531" i="2"/>
  <c r="O531" i="2"/>
  <c r="M531" i="2"/>
  <c r="L531" i="2"/>
  <c r="K531" i="2"/>
  <c r="J531" i="2"/>
  <c r="G531" i="2"/>
  <c r="F531" i="2"/>
  <c r="E531" i="2"/>
  <c r="D531" i="2"/>
  <c r="C531" i="2"/>
  <c r="B531" i="2"/>
  <c r="A531" i="2"/>
  <c r="R530" i="2"/>
  <c r="Q530" i="2"/>
  <c r="P530" i="2"/>
  <c r="O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530" i="2"/>
  <c r="R529" i="2"/>
  <c r="Q529" i="2"/>
  <c r="P529" i="2"/>
  <c r="O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529" i="2"/>
  <c r="R528" i="2"/>
  <c r="Q528" i="2"/>
  <c r="P528" i="2"/>
  <c r="O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528" i="2"/>
  <c r="R527" i="2"/>
  <c r="Q527" i="2"/>
  <c r="O527" i="2"/>
  <c r="M527" i="2"/>
  <c r="L527" i="2"/>
  <c r="K527" i="2"/>
  <c r="J527" i="2"/>
  <c r="G527" i="2"/>
  <c r="F527" i="2"/>
  <c r="E527" i="2"/>
  <c r="D527" i="2"/>
  <c r="C527" i="2"/>
  <c r="B527" i="2"/>
  <c r="A527" i="2"/>
  <c r="R526" i="2"/>
  <c r="Q526" i="2"/>
  <c r="P526" i="2"/>
  <c r="O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A526" i="2"/>
  <c r="R525" i="2"/>
  <c r="Q525" i="2"/>
  <c r="P525" i="2"/>
  <c r="O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525" i="2"/>
  <c r="R524" i="2"/>
  <c r="Q524" i="2"/>
  <c r="P524" i="2"/>
  <c r="O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524" i="2"/>
  <c r="R523" i="2"/>
  <c r="Q523" i="2"/>
  <c r="P523" i="2"/>
  <c r="O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523" i="2"/>
  <c r="R522" i="2"/>
  <c r="Q522" i="2"/>
  <c r="P522" i="2"/>
  <c r="O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522" i="2"/>
  <c r="R521" i="2"/>
  <c r="Q521" i="2"/>
  <c r="P521" i="2"/>
  <c r="O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521" i="2"/>
  <c r="R520" i="2"/>
  <c r="Q520" i="2"/>
  <c r="O520" i="2"/>
  <c r="M520" i="2"/>
  <c r="L520" i="2"/>
  <c r="K520" i="2"/>
  <c r="J520" i="2"/>
  <c r="G520" i="2"/>
  <c r="F520" i="2"/>
  <c r="E520" i="2"/>
  <c r="D520" i="2"/>
  <c r="C520" i="2"/>
  <c r="B520" i="2"/>
  <c r="A520" i="2"/>
  <c r="R519" i="2"/>
  <c r="Q519" i="2"/>
  <c r="O519" i="2"/>
  <c r="M519" i="2"/>
  <c r="L519" i="2"/>
  <c r="K519" i="2"/>
  <c r="J519" i="2"/>
  <c r="G519" i="2"/>
  <c r="F519" i="2"/>
  <c r="E519" i="2"/>
  <c r="D519" i="2"/>
  <c r="C519" i="2"/>
  <c r="B519" i="2"/>
  <c r="A519" i="2"/>
  <c r="R518" i="2"/>
  <c r="Q518" i="2"/>
  <c r="O518" i="2"/>
  <c r="N518" i="2"/>
  <c r="M518" i="2"/>
  <c r="L518" i="2"/>
  <c r="K518" i="2"/>
  <c r="J518" i="2"/>
  <c r="G518" i="2"/>
  <c r="F518" i="2"/>
  <c r="E518" i="2"/>
  <c r="D518" i="2"/>
  <c r="C518" i="2"/>
  <c r="B518" i="2"/>
  <c r="A518" i="2"/>
  <c r="R517" i="2"/>
  <c r="Q517" i="2"/>
  <c r="P517" i="2"/>
  <c r="O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517" i="2"/>
  <c r="R516" i="2"/>
  <c r="Q516" i="2"/>
  <c r="O516" i="2"/>
  <c r="M516" i="2"/>
  <c r="L516" i="2"/>
  <c r="K516" i="2"/>
  <c r="J516" i="2"/>
  <c r="G516" i="2"/>
  <c r="F516" i="2"/>
  <c r="E516" i="2"/>
  <c r="D516" i="2"/>
  <c r="C516" i="2"/>
  <c r="B516" i="2"/>
  <c r="A516" i="2"/>
  <c r="R515" i="2"/>
  <c r="Q515" i="2"/>
  <c r="O515" i="2"/>
  <c r="N515" i="2"/>
  <c r="M515" i="2"/>
  <c r="L515" i="2"/>
  <c r="K515" i="2"/>
  <c r="J515" i="2"/>
  <c r="G515" i="2"/>
  <c r="F515" i="2"/>
  <c r="E515" i="2"/>
  <c r="D515" i="2"/>
  <c r="C515" i="2"/>
  <c r="B515" i="2"/>
  <c r="A515" i="2"/>
  <c r="R513" i="2"/>
  <c r="Q513" i="2"/>
  <c r="O513" i="2"/>
  <c r="M513" i="2"/>
  <c r="L513" i="2"/>
  <c r="K513" i="2"/>
  <c r="J513" i="2"/>
  <c r="G513" i="2"/>
  <c r="F513" i="2"/>
  <c r="E513" i="2"/>
  <c r="D513" i="2"/>
  <c r="C513" i="2"/>
  <c r="B513" i="2"/>
  <c r="A513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A512" i="2"/>
  <c r="R511" i="2"/>
  <c r="Q511" i="2"/>
  <c r="P511" i="2"/>
  <c r="O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511" i="2"/>
  <c r="R510" i="2"/>
  <c r="Q510" i="2"/>
  <c r="P510" i="2"/>
  <c r="O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510" i="2"/>
  <c r="R509" i="2"/>
  <c r="Q509" i="2"/>
  <c r="P509" i="2"/>
  <c r="O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509" i="2"/>
  <c r="R508" i="2"/>
  <c r="Q508" i="2"/>
  <c r="O508" i="2"/>
  <c r="M508" i="2"/>
  <c r="L508" i="2"/>
  <c r="K508" i="2"/>
  <c r="J508" i="2"/>
  <c r="G508" i="2"/>
  <c r="F508" i="2"/>
  <c r="E508" i="2"/>
  <c r="D508" i="2"/>
  <c r="C508" i="2"/>
  <c r="B508" i="2"/>
  <c r="A508" i="2"/>
  <c r="R507" i="2"/>
  <c r="Q507" i="2"/>
  <c r="P507" i="2"/>
  <c r="O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A507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506" i="2"/>
  <c r="R505" i="2"/>
  <c r="Q505" i="2"/>
  <c r="P505" i="2"/>
  <c r="O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A505" i="2"/>
  <c r="R504" i="2"/>
  <c r="Q504" i="2"/>
  <c r="P504" i="2"/>
  <c r="O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A504" i="2"/>
  <c r="R503" i="2"/>
  <c r="Q503" i="2"/>
  <c r="O503" i="2"/>
  <c r="M503" i="2"/>
  <c r="L503" i="2"/>
  <c r="K503" i="2"/>
  <c r="J503" i="2"/>
  <c r="G503" i="2"/>
  <c r="F503" i="2"/>
  <c r="E503" i="2"/>
  <c r="D503" i="2"/>
  <c r="C503" i="2"/>
  <c r="B503" i="2"/>
  <c r="A503" i="2"/>
  <c r="R502" i="2"/>
  <c r="Q502" i="2"/>
  <c r="P502" i="2"/>
  <c r="O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502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501" i="2"/>
  <c r="R500" i="2"/>
  <c r="Q500" i="2"/>
  <c r="P500" i="2"/>
  <c r="O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500" i="2"/>
  <c r="R499" i="2"/>
  <c r="Q499" i="2"/>
  <c r="P499" i="2"/>
  <c r="O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499" i="2"/>
  <c r="R498" i="2"/>
  <c r="Q498" i="2"/>
  <c r="P498" i="2"/>
  <c r="O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498" i="2"/>
  <c r="R497" i="2"/>
  <c r="Q497" i="2"/>
  <c r="P497" i="2"/>
  <c r="O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497" i="2"/>
  <c r="R496" i="2"/>
  <c r="Q496" i="2"/>
  <c r="P496" i="2"/>
  <c r="O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496" i="2"/>
  <c r="R495" i="2"/>
  <c r="Q495" i="2"/>
  <c r="P495" i="2"/>
  <c r="O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495" i="2"/>
  <c r="R494" i="2"/>
  <c r="Q494" i="2"/>
  <c r="P494" i="2"/>
  <c r="O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494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493" i="2"/>
  <c r="R492" i="2"/>
  <c r="Q492" i="2"/>
  <c r="P492" i="2"/>
  <c r="O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492" i="2"/>
  <c r="R491" i="2"/>
  <c r="Q491" i="2"/>
  <c r="P491" i="2"/>
  <c r="O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A491" i="2"/>
  <c r="R490" i="2"/>
  <c r="Q490" i="2"/>
  <c r="P490" i="2"/>
  <c r="O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490" i="2"/>
  <c r="R489" i="2"/>
  <c r="Q489" i="2"/>
  <c r="P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489" i="2"/>
  <c r="R488" i="2"/>
  <c r="Q488" i="2"/>
  <c r="P488" i="2"/>
  <c r="O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488" i="2"/>
  <c r="R487" i="2"/>
  <c r="Q487" i="2"/>
  <c r="P487" i="2"/>
  <c r="O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487" i="2"/>
  <c r="R486" i="2"/>
  <c r="Q486" i="2"/>
  <c r="P486" i="2"/>
  <c r="O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486" i="2"/>
  <c r="R485" i="2"/>
  <c r="Q485" i="2"/>
  <c r="P485" i="2"/>
  <c r="O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485" i="2"/>
  <c r="R484" i="2"/>
  <c r="Q484" i="2"/>
  <c r="P484" i="2"/>
  <c r="O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484" i="2"/>
  <c r="R483" i="2"/>
  <c r="Q483" i="2"/>
  <c r="P483" i="2"/>
  <c r="O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483" i="2"/>
  <c r="R482" i="2"/>
  <c r="Q482" i="2"/>
  <c r="P482" i="2"/>
  <c r="O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482" i="2"/>
  <c r="R481" i="2"/>
  <c r="Q481" i="2"/>
  <c r="P481" i="2"/>
  <c r="O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A481" i="2"/>
  <c r="R480" i="2"/>
  <c r="Q480" i="2"/>
  <c r="P480" i="2"/>
  <c r="O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480" i="2"/>
  <c r="R479" i="2"/>
  <c r="Q479" i="2"/>
  <c r="P479" i="2"/>
  <c r="O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479" i="2"/>
  <c r="R478" i="2"/>
  <c r="Q478" i="2"/>
  <c r="P478" i="2"/>
  <c r="O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478" i="2"/>
  <c r="R477" i="2"/>
  <c r="Q477" i="2"/>
  <c r="P477" i="2"/>
  <c r="O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477" i="2"/>
  <c r="R476" i="2"/>
  <c r="Q476" i="2"/>
  <c r="P476" i="2"/>
  <c r="O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476" i="2"/>
  <c r="R475" i="2"/>
  <c r="Q475" i="2"/>
  <c r="P475" i="2"/>
  <c r="O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475" i="2"/>
  <c r="R474" i="2"/>
  <c r="Q474" i="2"/>
  <c r="P474" i="2"/>
  <c r="O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474" i="2"/>
  <c r="R473" i="2"/>
  <c r="Q473" i="2"/>
  <c r="P473" i="2"/>
  <c r="O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473" i="2"/>
  <c r="R472" i="2"/>
  <c r="Q472" i="2"/>
  <c r="P472" i="2"/>
  <c r="O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472" i="2"/>
  <c r="R471" i="2"/>
  <c r="Q471" i="2"/>
  <c r="O471" i="2"/>
  <c r="M471" i="2"/>
  <c r="L471" i="2"/>
  <c r="K471" i="2"/>
  <c r="J471" i="2"/>
  <c r="G471" i="2"/>
  <c r="F471" i="2"/>
  <c r="E471" i="2"/>
  <c r="D471" i="2"/>
  <c r="C471" i="2"/>
  <c r="B471" i="2"/>
  <c r="A471" i="2"/>
  <c r="R470" i="2"/>
  <c r="Q470" i="2"/>
  <c r="P470" i="2"/>
  <c r="O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470" i="2"/>
  <c r="R469" i="2"/>
  <c r="Q469" i="2"/>
  <c r="P469" i="2"/>
  <c r="O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469" i="2"/>
  <c r="R468" i="2"/>
  <c r="Q468" i="2"/>
  <c r="P468" i="2"/>
  <c r="O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468" i="2"/>
  <c r="R467" i="2"/>
  <c r="Q467" i="2"/>
  <c r="P467" i="2"/>
  <c r="O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467" i="2"/>
  <c r="R466" i="2"/>
  <c r="Q466" i="2"/>
  <c r="O466" i="2"/>
  <c r="M466" i="2"/>
  <c r="L466" i="2"/>
  <c r="K466" i="2"/>
  <c r="J466" i="2"/>
  <c r="G466" i="2"/>
  <c r="F466" i="2"/>
  <c r="E466" i="2"/>
  <c r="D466" i="2"/>
  <c r="C466" i="2"/>
  <c r="B466" i="2"/>
  <c r="A466" i="2"/>
  <c r="R465" i="2"/>
  <c r="Q465" i="2"/>
  <c r="P465" i="2"/>
  <c r="O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465" i="2"/>
  <c r="R464" i="2"/>
  <c r="Q464" i="2"/>
  <c r="O464" i="2"/>
  <c r="N464" i="2"/>
  <c r="M464" i="2"/>
  <c r="L464" i="2"/>
  <c r="K464" i="2"/>
  <c r="J464" i="2"/>
  <c r="G464" i="2"/>
  <c r="F464" i="2"/>
  <c r="E464" i="2"/>
  <c r="D464" i="2"/>
  <c r="C464" i="2"/>
  <c r="B464" i="2"/>
  <c r="A464" i="2"/>
  <c r="Q463" i="2"/>
  <c r="O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463" i="2"/>
  <c r="R462" i="2"/>
  <c r="Q462" i="2"/>
  <c r="P462" i="2"/>
  <c r="O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462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461" i="2"/>
  <c r="R460" i="2"/>
  <c r="Q460" i="2"/>
  <c r="P460" i="2"/>
  <c r="O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460" i="2"/>
  <c r="R459" i="2"/>
  <c r="Q459" i="2"/>
  <c r="P459" i="2"/>
  <c r="O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459" i="2"/>
  <c r="R458" i="2"/>
  <c r="Q458" i="2"/>
  <c r="O458" i="2"/>
  <c r="M458" i="2"/>
  <c r="L458" i="2"/>
  <c r="K458" i="2"/>
  <c r="J458" i="2"/>
  <c r="G458" i="2"/>
  <c r="F458" i="2"/>
  <c r="E458" i="2"/>
  <c r="D458" i="2"/>
  <c r="C458" i="2"/>
  <c r="B458" i="2"/>
  <c r="A458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A457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456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455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454" i="2"/>
  <c r="Q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A453" i="2"/>
  <c r="R452" i="2"/>
  <c r="Q452" i="2"/>
  <c r="O452" i="2"/>
  <c r="M452" i="2"/>
  <c r="L452" i="2"/>
  <c r="K452" i="2"/>
  <c r="J452" i="2"/>
  <c r="G452" i="2"/>
  <c r="F452" i="2"/>
  <c r="E452" i="2"/>
  <c r="D452" i="2"/>
  <c r="C452" i="2"/>
  <c r="B452" i="2"/>
  <c r="A452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451" i="2"/>
  <c r="R450" i="2"/>
  <c r="Q450" i="2"/>
  <c r="O450" i="2"/>
  <c r="M450" i="2"/>
  <c r="L450" i="2"/>
  <c r="K450" i="2"/>
  <c r="J450" i="2"/>
  <c r="G450" i="2"/>
  <c r="F450" i="2"/>
  <c r="E450" i="2"/>
  <c r="D450" i="2"/>
  <c r="C450" i="2"/>
  <c r="B450" i="2"/>
  <c r="A450" i="2"/>
  <c r="R449" i="2"/>
  <c r="Q449" i="2"/>
  <c r="O449" i="2"/>
  <c r="M449" i="2"/>
  <c r="L449" i="2"/>
  <c r="K449" i="2"/>
  <c r="J449" i="2"/>
  <c r="G449" i="2"/>
  <c r="F449" i="2"/>
  <c r="E449" i="2"/>
  <c r="D449" i="2"/>
  <c r="C449" i="2"/>
  <c r="B449" i="2"/>
  <c r="A449" i="2"/>
  <c r="R448" i="2"/>
  <c r="Q448" i="2"/>
  <c r="P448" i="2"/>
  <c r="O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448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447" i="2"/>
  <c r="R446" i="2"/>
  <c r="Q446" i="2"/>
  <c r="P446" i="2"/>
  <c r="O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446" i="2"/>
  <c r="R445" i="2"/>
  <c r="Q445" i="2"/>
  <c r="O445" i="2"/>
  <c r="M445" i="2"/>
  <c r="L445" i="2"/>
  <c r="K445" i="2"/>
  <c r="J445" i="2"/>
  <c r="G445" i="2"/>
  <c r="F445" i="2"/>
  <c r="E445" i="2"/>
  <c r="D445" i="2"/>
  <c r="C445" i="2"/>
  <c r="B445" i="2"/>
  <c r="A445" i="2"/>
  <c r="R444" i="2"/>
  <c r="Q444" i="2"/>
  <c r="P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444" i="2"/>
  <c r="R443" i="2"/>
  <c r="Q443" i="2"/>
  <c r="O443" i="2"/>
  <c r="M443" i="2"/>
  <c r="L443" i="2"/>
  <c r="K443" i="2"/>
  <c r="J443" i="2"/>
  <c r="G443" i="2"/>
  <c r="F443" i="2"/>
  <c r="E443" i="2"/>
  <c r="D443" i="2"/>
  <c r="C443" i="2"/>
  <c r="B443" i="2"/>
  <c r="A443" i="2"/>
  <c r="R442" i="2"/>
  <c r="Q442" i="2"/>
  <c r="P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442" i="2"/>
  <c r="R441" i="2"/>
  <c r="Q441" i="2"/>
  <c r="P441" i="2"/>
  <c r="O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441" i="2"/>
  <c r="R440" i="2"/>
  <c r="Q440" i="2"/>
  <c r="O440" i="2"/>
  <c r="M440" i="2"/>
  <c r="L440" i="2"/>
  <c r="K440" i="2"/>
  <c r="J440" i="2"/>
  <c r="G440" i="2"/>
  <c r="F440" i="2"/>
  <c r="E440" i="2"/>
  <c r="D440" i="2"/>
  <c r="C440" i="2"/>
  <c r="B440" i="2"/>
  <c r="A440" i="2"/>
  <c r="R439" i="2"/>
  <c r="Q439" i="2"/>
  <c r="O439" i="2"/>
  <c r="N439" i="2"/>
  <c r="M439" i="2"/>
  <c r="L439" i="2"/>
  <c r="K439" i="2"/>
  <c r="J439" i="2"/>
  <c r="G439" i="2"/>
  <c r="F439" i="2"/>
  <c r="E439" i="2"/>
  <c r="D439" i="2"/>
  <c r="C439" i="2"/>
  <c r="B439" i="2"/>
  <c r="A439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A438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437" i="2"/>
  <c r="R436" i="2"/>
  <c r="Q436" i="2"/>
  <c r="P436" i="2"/>
  <c r="O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A436" i="2"/>
  <c r="R435" i="2"/>
  <c r="Q435" i="2"/>
  <c r="P435" i="2"/>
  <c r="O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435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434" i="2"/>
  <c r="R433" i="2"/>
  <c r="Q433" i="2"/>
  <c r="O433" i="2"/>
  <c r="N433" i="2"/>
  <c r="M433" i="2"/>
  <c r="L433" i="2"/>
  <c r="K433" i="2"/>
  <c r="J433" i="2"/>
  <c r="G433" i="2"/>
  <c r="F433" i="2"/>
  <c r="E433" i="2"/>
  <c r="D433" i="2"/>
  <c r="C433" i="2"/>
  <c r="B433" i="2"/>
  <c r="A433" i="2"/>
  <c r="R432" i="2"/>
  <c r="Q432" i="2"/>
  <c r="P432" i="2"/>
  <c r="O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432" i="2"/>
  <c r="R431" i="2"/>
  <c r="Q431" i="2"/>
  <c r="P431" i="2"/>
  <c r="O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431" i="2"/>
  <c r="R430" i="2"/>
  <c r="Q430" i="2"/>
  <c r="O430" i="2"/>
  <c r="N430" i="2"/>
  <c r="M430" i="2"/>
  <c r="L430" i="2"/>
  <c r="K430" i="2"/>
  <c r="J430" i="2"/>
  <c r="G430" i="2"/>
  <c r="F430" i="2"/>
  <c r="E430" i="2"/>
  <c r="D430" i="2"/>
  <c r="C430" i="2"/>
  <c r="B430" i="2"/>
  <c r="A430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A429" i="2"/>
  <c r="R428" i="2"/>
  <c r="Q428" i="2"/>
  <c r="P428" i="2"/>
  <c r="O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A428" i="2"/>
  <c r="R427" i="2"/>
  <c r="Q427" i="2"/>
  <c r="P427" i="2"/>
  <c r="O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427" i="2"/>
  <c r="R426" i="2"/>
  <c r="Q426" i="2"/>
  <c r="P426" i="2"/>
  <c r="O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A426" i="2"/>
  <c r="R425" i="2"/>
  <c r="Q425" i="2"/>
  <c r="P425" i="2"/>
  <c r="O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A425" i="2"/>
  <c r="R424" i="2"/>
  <c r="Q424" i="2"/>
  <c r="P424" i="2"/>
  <c r="O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424" i="2"/>
  <c r="R423" i="2"/>
  <c r="Q423" i="2"/>
  <c r="P423" i="2"/>
  <c r="O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423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422" i="2"/>
  <c r="R421" i="2"/>
  <c r="Q421" i="2"/>
  <c r="P421" i="2"/>
  <c r="O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421" i="2"/>
  <c r="R420" i="2"/>
  <c r="Q420" i="2"/>
  <c r="P420" i="2"/>
  <c r="O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A420" i="2"/>
  <c r="R419" i="2"/>
  <c r="Q419" i="2"/>
  <c r="O419" i="2"/>
  <c r="N419" i="2"/>
  <c r="M419" i="2"/>
  <c r="L419" i="2"/>
  <c r="K419" i="2"/>
  <c r="J419" i="2"/>
  <c r="G419" i="2"/>
  <c r="F419" i="2"/>
  <c r="E419" i="2"/>
  <c r="D419" i="2"/>
  <c r="C419" i="2"/>
  <c r="B419" i="2"/>
  <c r="A419" i="2"/>
  <c r="R418" i="2"/>
  <c r="Q418" i="2"/>
  <c r="P418" i="2"/>
  <c r="O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418" i="2"/>
  <c r="R417" i="2"/>
  <c r="Q417" i="2"/>
  <c r="P417" i="2"/>
  <c r="O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A417" i="2"/>
  <c r="R416" i="2"/>
  <c r="Q416" i="2"/>
  <c r="P416" i="2"/>
  <c r="O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416" i="2"/>
  <c r="R415" i="2"/>
  <c r="Q415" i="2"/>
  <c r="P415" i="2"/>
  <c r="O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415" i="2"/>
  <c r="R414" i="2"/>
  <c r="Q414" i="2"/>
  <c r="P414" i="2"/>
  <c r="O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414" i="2"/>
  <c r="R413" i="2"/>
  <c r="Q413" i="2"/>
  <c r="P413" i="2"/>
  <c r="O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413" i="2"/>
  <c r="R412" i="2"/>
  <c r="Q412" i="2"/>
  <c r="P412" i="2"/>
  <c r="O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A412" i="2"/>
  <c r="R411" i="2"/>
  <c r="Q411" i="2"/>
  <c r="P411" i="2"/>
  <c r="O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A411" i="2"/>
  <c r="R410" i="2"/>
  <c r="Q410" i="2"/>
  <c r="P410" i="2"/>
  <c r="O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A410" i="2"/>
  <c r="Q409" i="2"/>
  <c r="O409" i="2"/>
  <c r="L409" i="2"/>
  <c r="K409" i="2"/>
  <c r="F409" i="2"/>
  <c r="E409" i="2"/>
  <c r="D409" i="2"/>
  <c r="C409" i="2"/>
  <c r="B409" i="2"/>
  <c r="A409" i="2"/>
  <c r="R408" i="2"/>
  <c r="Q408" i="2"/>
  <c r="P408" i="2"/>
  <c r="O408" i="2"/>
  <c r="M408" i="2"/>
  <c r="L408" i="2"/>
  <c r="K408" i="2"/>
  <c r="J408" i="2"/>
  <c r="I408" i="2"/>
  <c r="H408" i="2"/>
  <c r="G408" i="2"/>
  <c r="F408" i="2"/>
  <c r="E408" i="2"/>
  <c r="D408" i="2"/>
  <c r="C408" i="2"/>
  <c r="A408" i="2"/>
  <c r="R407" i="2"/>
  <c r="Q407" i="2"/>
  <c r="P407" i="2"/>
  <c r="O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407" i="2"/>
  <c r="R406" i="2"/>
  <c r="Q406" i="2"/>
  <c r="P406" i="2"/>
  <c r="O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A406" i="2"/>
  <c r="R405" i="2"/>
  <c r="Q405" i="2"/>
  <c r="P405" i="2"/>
  <c r="O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405" i="2"/>
  <c r="R404" i="2"/>
  <c r="Q404" i="2"/>
  <c r="P404" i="2"/>
  <c r="O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A404" i="2"/>
  <c r="R403" i="2"/>
  <c r="Q403" i="2"/>
  <c r="P403" i="2"/>
  <c r="O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403" i="2"/>
  <c r="R402" i="2"/>
  <c r="Q402" i="2"/>
  <c r="P402" i="2"/>
  <c r="O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A402" i="2"/>
  <c r="R401" i="2"/>
  <c r="Q401" i="2"/>
  <c r="O401" i="2"/>
  <c r="M401" i="2"/>
  <c r="L401" i="2"/>
  <c r="K401" i="2"/>
  <c r="J401" i="2"/>
  <c r="G401" i="2"/>
  <c r="F401" i="2"/>
  <c r="E401" i="2"/>
  <c r="D401" i="2"/>
  <c r="C401" i="2"/>
  <c r="B401" i="2"/>
  <c r="A401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A400" i="2"/>
  <c r="R399" i="2"/>
  <c r="Q399" i="2"/>
  <c r="O399" i="2"/>
  <c r="N399" i="2"/>
  <c r="M399" i="2"/>
  <c r="L399" i="2"/>
  <c r="K399" i="2"/>
  <c r="J399" i="2"/>
  <c r="G399" i="2"/>
  <c r="F399" i="2"/>
  <c r="E399" i="2"/>
  <c r="D399" i="2"/>
  <c r="C399" i="2"/>
  <c r="B399" i="2"/>
  <c r="A399" i="2"/>
  <c r="R398" i="2"/>
  <c r="Q398" i="2"/>
  <c r="O398" i="2"/>
  <c r="M398" i="2"/>
  <c r="L398" i="2"/>
  <c r="K398" i="2"/>
  <c r="J398" i="2"/>
  <c r="I398" i="2"/>
  <c r="G398" i="2"/>
  <c r="F398" i="2"/>
  <c r="E398" i="2"/>
  <c r="D398" i="2"/>
  <c r="C398" i="2"/>
  <c r="B398" i="2"/>
  <c r="A398" i="2"/>
  <c r="R396" i="2"/>
  <c r="Q396" i="2"/>
  <c r="P396" i="2"/>
  <c r="O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A396" i="2"/>
  <c r="R395" i="2"/>
  <c r="Q395" i="2"/>
  <c r="P395" i="2"/>
  <c r="O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A395" i="2"/>
  <c r="R394" i="2"/>
  <c r="Q394" i="2"/>
  <c r="O394" i="2"/>
  <c r="M394" i="2"/>
  <c r="L394" i="2"/>
  <c r="K394" i="2"/>
  <c r="J394" i="2"/>
  <c r="G394" i="2"/>
  <c r="F394" i="2"/>
  <c r="E394" i="2"/>
  <c r="D394" i="2"/>
  <c r="C394" i="2"/>
  <c r="B394" i="2"/>
  <c r="A394" i="2"/>
  <c r="R393" i="2"/>
  <c r="Q393" i="2"/>
  <c r="P393" i="2"/>
  <c r="O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393" i="2"/>
  <c r="R392" i="2"/>
  <c r="Q392" i="2"/>
  <c r="P392" i="2"/>
  <c r="O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392" i="2"/>
  <c r="R391" i="2"/>
  <c r="Q391" i="2"/>
  <c r="P391" i="2"/>
  <c r="O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391" i="2"/>
  <c r="R390" i="2"/>
  <c r="Q390" i="2"/>
  <c r="P390" i="2"/>
  <c r="O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390" i="2"/>
  <c r="R389" i="2"/>
  <c r="Q389" i="2"/>
  <c r="P389" i="2"/>
  <c r="O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389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388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387" i="2"/>
  <c r="R386" i="2"/>
  <c r="Q386" i="2"/>
  <c r="P386" i="2"/>
  <c r="O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A386" i="2"/>
  <c r="R385" i="2"/>
  <c r="Q385" i="2"/>
  <c r="P385" i="2"/>
  <c r="O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A385" i="2"/>
  <c r="R384" i="2"/>
  <c r="Q384" i="2"/>
  <c r="P384" i="2"/>
  <c r="O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384" i="2"/>
  <c r="R383" i="2"/>
  <c r="Q383" i="2"/>
  <c r="P383" i="2"/>
  <c r="O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383" i="2"/>
  <c r="R382" i="2"/>
  <c r="Q382" i="2"/>
  <c r="O382" i="2"/>
  <c r="M382" i="2"/>
  <c r="L382" i="2"/>
  <c r="K382" i="2"/>
  <c r="J382" i="2"/>
  <c r="G382" i="2"/>
  <c r="F382" i="2"/>
  <c r="E382" i="2"/>
  <c r="D382" i="2"/>
  <c r="C382" i="2"/>
  <c r="B382" i="2"/>
  <c r="A382" i="2"/>
  <c r="R381" i="2"/>
  <c r="Q381" i="2"/>
  <c r="O381" i="2"/>
  <c r="M381" i="2"/>
  <c r="L381" i="2"/>
  <c r="K381" i="2"/>
  <c r="J381" i="2"/>
  <c r="G381" i="2"/>
  <c r="F381" i="2"/>
  <c r="E381" i="2"/>
  <c r="D381" i="2"/>
  <c r="C381" i="2"/>
  <c r="B381" i="2"/>
  <c r="A381" i="2"/>
  <c r="R380" i="2"/>
  <c r="Q380" i="2"/>
  <c r="O380" i="2"/>
  <c r="M380" i="2"/>
  <c r="L380" i="2"/>
  <c r="K380" i="2"/>
  <c r="J380" i="2"/>
  <c r="G380" i="2"/>
  <c r="F380" i="2"/>
  <c r="E380" i="2"/>
  <c r="D380" i="2"/>
  <c r="C380" i="2"/>
  <c r="B380" i="2"/>
  <c r="A380" i="2"/>
  <c r="R379" i="2"/>
  <c r="Q379" i="2"/>
  <c r="P379" i="2"/>
  <c r="O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379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378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377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376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375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374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373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372" i="2"/>
  <c r="R371" i="2"/>
  <c r="Q371" i="2"/>
  <c r="P371" i="2"/>
  <c r="O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371" i="2"/>
  <c r="R370" i="2"/>
  <c r="Q370" i="2"/>
  <c r="O370" i="2"/>
  <c r="M370" i="2"/>
  <c r="L370" i="2"/>
  <c r="K370" i="2"/>
  <c r="J370" i="2"/>
  <c r="G370" i="2"/>
  <c r="F370" i="2"/>
  <c r="E370" i="2"/>
  <c r="D370" i="2"/>
  <c r="C370" i="2"/>
  <c r="B370" i="2"/>
  <c r="A370" i="2"/>
  <c r="Q369" i="2"/>
  <c r="O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369" i="2"/>
  <c r="Q368" i="2"/>
  <c r="O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A368" i="2"/>
  <c r="Q367" i="2"/>
  <c r="O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367" i="2"/>
  <c r="Q366" i="2"/>
  <c r="O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366" i="2"/>
  <c r="Q365" i="2"/>
  <c r="O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365" i="2"/>
  <c r="Q364" i="2"/>
  <c r="O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364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363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A362" i="2"/>
  <c r="R361" i="2"/>
  <c r="Q361" i="2"/>
  <c r="P361" i="2"/>
  <c r="O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361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360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359" i="2"/>
  <c r="R354" i="2"/>
  <c r="Q354" i="2"/>
  <c r="P354" i="2"/>
  <c r="O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354" i="2"/>
  <c r="R353" i="2"/>
  <c r="Q353" i="2"/>
  <c r="O353" i="2"/>
  <c r="M353" i="2"/>
  <c r="L353" i="2"/>
  <c r="K353" i="2"/>
  <c r="J353" i="2"/>
  <c r="G353" i="2"/>
  <c r="F353" i="2"/>
  <c r="E353" i="2"/>
  <c r="D353" i="2"/>
  <c r="C353" i="2"/>
  <c r="B353" i="2"/>
  <c r="A353" i="2"/>
  <c r="R352" i="2"/>
  <c r="Q352" i="2"/>
  <c r="P352" i="2"/>
  <c r="O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352" i="2"/>
  <c r="R351" i="2"/>
  <c r="Q351" i="2"/>
  <c r="P351" i="2"/>
  <c r="O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351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350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349" i="2"/>
  <c r="R348" i="2"/>
  <c r="Q348" i="2"/>
  <c r="P348" i="2"/>
  <c r="O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348" i="2"/>
  <c r="R347" i="2"/>
  <c r="Q347" i="2"/>
  <c r="P347" i="2"/>
  <c r="O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347" i="2"/>
  <c r="R346" i="2"/>
  <c r="Q346" i="2"/>
  <c r="P346" i="2"/>
  <c r="O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346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345" i="2"/>
  <c r="R344" i="2"/>
  <c r="Q344" i="2"/>
  <c r="O344" i="2"/>
  <c r="N344" i="2"/>
  <c r="M344" i="2"/>
  <c r="L344" i="2"/>
  <c r="K344" i="2"/>
  <c r="J344" i="2"/>
  <c r="G344" i="2"/>
  <c r="F344" i="2"/>
  <c r="E344" i="2"/>
  <c r="D344" i="2"/>
  <c r="C344" i="2"/>
  <c r="B344" i="2"/>
  <c r="A344" i="2"/>
  <c r="R343" i="2"/>
  <c r="Q343" i="2"/>
  <c r="O343" i="2"/>
  <c r="M343" i="2"/>
  <c r="L343" i="2"/>
  <c r="K343" i="2"/>
  <c r="J343" i="2"/>
  <c r="G343" i="2"/>
  <c r="F343" i="2"/>
  <c r="E343" i="2"/>
  <c r="D343" i="2"/>
  <c r="C343" i="2"/>
  <c r="B343" i="2"/>
  <c r="A343" i="2"/>
  <c r="R342" i="2"/>
  <c r="Q342" i="2"/>
  <c r="O342" i="2"/>
  <c r="M342" i="2"/>
  <c r="L342" i="2"/>
  <c r="K342" i="2"/>
  <c r="J342" i="2"/>
  <c r="G342" i="2"/>
  <c r="F342" i="2"/>
  <c r="E342" i="2"/>
  <c r="D342" i="2"/>
  <c r="C342" i="2"/>
  <c r="B342" i="2"/>
  <c r="A342" i="2"/>
  <c r="R341" i="2"/>
  <c r="Q341" i="2"/>
  <c r="O341" i="2"/>
  <c r="M341" i="2"/>
  <c r="L341" i="2"/>
  <c r="K341" i="2"/>
  <c r="J341" i="2"/>
  <c r="G341" i="2"/>
  <c r="F341" i="2"/>
  <c r="E341" i="2"/>
  <c r="D341" i="2"/>
  <c r="C341" i="2"/>
  <c r="B341" i="2"/>
  <c r="A341" i="2"/>
  <c r="R340" i="2"/>
  <c r="Q340" i="2"/>
  <c r="P340" i="2"/>
  <c r="O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340" i="2"/>
  <c r="R339" i="2"/>
  <c r="Q339" i="2"/>
  <c r="O339" i="2"/>
  <c r="M339" i="2"/>
  <c r="L339" i="2"/>
  <c r="K339" i="2"/>
  <c r="J339" i="2"/>
  <c r="G339" i="2"/>
  <c r="F339" i="2"/>
  <c r="E339" i="2"/>
  <c r="D339" i="2"/>
  <c r="C339" i="2"/>
  <c r="B339" i="2"/>
  <c r="A339" i="2"/>
  <c r="R338" i="2"/>
  <c r="Q338" i="2"/>
  <c r="P338" i="2"/>
  <c r="O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338" i="2"/>
  <c r="R337" i="2"/>
  <c r="Q337" i="2"/>
  <c r="P337" i="2"/>
  <c r="O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337" i="2"/>
  <c r="R336" i="2"/>
  <c r="Q336" i="2"/>
  <c r="O336" i="2"/>
  <c r="M336" i="2"/>
  <c r="L336" i="2"/>
  <c r="K336" i="2"/>
  <c r="J336" i="2"/>
  <c r="G336" i="2"/>
  <c r="F336" i="2"/>
  <c r="E336" i="2"/>
  <c r="D336" i="2"/>
  <c r="C336" i="2"/>
  <c r="B336" i="2"/>
  <c r="A336" i="2"/>
  <c r="R335" i="2"/>
  <c r="Q335" i="2"/>
  <c r="O335" i="2"/>
  <c r="M335" i="2"/>
  <c r="L335" i="2"/>
  <c r="K335" i="2"/>
  <c r="J335" i="2"/>
  <c r="G335" i="2"/>
  <c r="F335" i="2"/>
  <c r="E335" i="2"/>
  <c r="D335" i="2"/>
  <c r="C335" i="2"/>
  <c r="B335" i="2"/>
  <c r="A335" i="2"/>
  <c r="R334" i="2"/>
  <c r="Q334" i="2"/>
  <c r="P334" i="2"/>
  <c r="O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334" i="2"/>
  <c r="R333" i="2"/>
  <c r="Q333" i="2"/>
  <c r="O333" i="2"/>
  <c r="M333" i="2"/>
  <c r="L333" i="2"/>
  <c r="K333" i="2"/>
  <c r="J333" i="2"/>
  <c r="G333" i="2"/>
  <c r="F333" i="2"/>
  <c r="E333" i="2"/>
  <c r="D333" i="2"/>
  <c r="C333" i="2"/>
  <c r="B333" i="2"/>
  <c r="A333" i="2"/>
  <c r="R332" i="2"/>
  <c r="Q332" i="2"/>
  <c r="P332" i="2"/>
  <c r="O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A332" i="2"/>
  <c r="R331" i="2"/>
  <c r="Q331" i="2"/>
  <c r="O331" i="2"/>
  <c r="N331" i="2"/>
  <c r="M331" i="2"/>
  <c r="L331" i="2"/>
  <c r="K331" i="2"/>
  <c r="J331" i="2"/>
  <c r="G331" i="2"/>
  <c r="F331" i="2"/>
  <c r="E331" i="2"/>
  <c r="D331" i="2"/>
  <c r="C331" i="2"/>
  <c r="B331" i="2"/>
  <c r="A331" i="2"/>
  <c r="R330" i="2"/>
  <c r="Q330" i="2"/>
  <c r="O330" i="2"/>
  <c r="M330" i="2"/>
  <c r="L330" i="2"/>
  <c r="K330" i="2"/>
  <c r="J330" i="2"/>
  <c r="G330" i="2"/>
  <c r="F330" i="2"/>
  <c r="E330" i="2"/>
  <c r="D330" i="2"/>
  <c r="C330" i="2"/>
  <c r="B330" i="2"/>
  <c r="A330" i="2"/>
  <c r="R329" i="2"/>
  <c r="Q329" i="2"/>
  <c r="P329" i="2"/>
  <c r="O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A329" i="2"/>
  <c r="R328" i="2"/>
  <c r="Q328" i="2"/>
  <c r="P328" i="2"/>
  <c r="O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328" i="2"/>
  <c r="R327" i="2"/>
  <c r="Q327" i="2"/>
  <c r="O327" i="2"/>
  <c r="M327" i="2"/>
  <c r="L327" i="2"/>
  <c r="K327" i="2"/>
  <c r="J327" i="2"/>
  <c r="G327" i="2"/>
  <c r="F327" i="2"/>
  <c r="E327" i="2"/>
  <c r="D327" i="2"/>
  <c r="C327" i="2"/>
  <c r="B327" i="2"/>
  <c r="A327" i="2"/>
  <c r="R326" i="2"/>
  <c r="Q326" i="2"/>
  <c r="P326" i="2"/>
  <c r="O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326" i="2"/>
  <c r="R325" i="2"/>
  <c r="Q325" i="2"/>
  <c r="P325" i="2"/>
  <c r="O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A325" i="2"/>
  <c r="R324" i="2"/>
  <c r="Q324" i="2"/>
  <c r="O324" i="2"/>
  <c r="M324" i="2"/>
  <c r="L324" i="2"/>
  <c r="K324" i="2"/>
  <c r="J324" i="2"/>
  <c r="G324" i="2"/>
  <c r="F324" i="2"/>
  <c r="E324" i="2"/>
  <c r="D324" i="2"/>
  <c r="C324" i="2"/>
  <c r="B324" i="2"/>
  <c r="A324" i="2"/>
  <c r="R323" i="2"/>
  <c r="Q323" i="2"/>
  <c r="P323" i="2"/>
  <c r="O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A323" i="2"/>
  <c r="R322" i="2"/>
  <c r="Q322" i="2"/>
  <c r="P322" i="2"/>
  <c r="O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322" i="2"/>
  <c r="R321" i="2"/>
  <c r="Q321" i="2"/>
  <c r="P321" i="2"/>
  <c r="O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A321" i="2"/>
  <c r="R320" i="2"/>
  <c r="Q320" i="2"/>
  <c r="P320" i="2"/>
  <c r="O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320" i="2"/>
  <c r="R319" i="2"/>
  <c r="Q319" i="2"/>
  <c r="P319" i="2"/>
  <c r="O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A319" i="2"/>
  <c r="R318" i="2"/>
  <c r="Q318" i="2"/>
  <c r="P318" i="2"/>
  <c r="O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A318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A317" i="2"/>
  <c r="R316" i="2"/>
  <c r="Q316" i="2"/>
  <c r="P316" i="2"/>
  <c r="O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316" i="2"/>
  <c r="R314" i="2"/>
  <c r="Q314" i="2"/>
  <c r="P314" i="2"/>
  <c r="O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314" i="2"/>
  <c r="R313" i="2"/>
  <c r="Q313" i="2"/>
  <c r="P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A313" i="2"/>
  <c r="R312" i="2"/>
  <c r="Q312" i="2"/>
  <c r="O312" i="2"/>
  <c r="N312" i="2"/>
  <c r="M312" i="2"/>
  <c r="L312" i="2"/>
  <c r="K312" i="2"/>
  <c r="J312" i="2"/>
  <c r="G312" i="2"/>
  <c r="F312" i="2"/>
  <c r="E312" i="2"/>
  <c r="D312" i="2"/>
  <c r="C312" i="2"/>
  <c r="B312" i="2"/>
  <c r="A312" i="2"/>
  <c r="R311" i="2"/>
  <c r="Q311" i="2"/>
  <c r="P311" i="2"/>
  <c r="O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311" i="2"/>
  <c r="R310" i="2"/>
  <c r="Q310" i="2"/>
  <c r="P310" i="2"/>
  <c r="O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310" i="2"/>
  <c r="R309" i="2"/>
  <c r="Q309" i="2"/>
  <c r="P309" i="2"/>
  <c r="O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309" i="2"/>
  <c r="R308" i="2"/>
  <c r="Q308" i="2"/>
  <c r="P308" i="2"/>
  <c r="O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308" i="2"/>
  <c r="R307" i="2"/>
  <c r="Q307" i="2"/>
  <c r="P307" i="2"/>
  <c r="O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A307" i="2"/>
  <c r="R306" i="2"/>
  <c r="Q306" i="2"/>
  <c r="P306" i="2"/>
  <c r="O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306" i="2"/>
  <c r="R305" i="2"/>
  <c r="Q305" i="2"/>
  <c r="P305" i="2"/>
  <c r="O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A305" i="2"/>
  <c r="R304" i="2"/>
  <c r="Q304" i="2"/>
  <c r="P304" i="2"/>
  <c r="O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A304" i="2"/>
  <c r="R303" i="2"/>
  <c r="Q303" i="2"/>
  <c r="O303" i="2"/>
  <c r="M303" i="2"/>
  <c r="L303" i="2"/>
  <c r="K303" i="2"/>
  <c r="J303" i="2"/>
  <c r="G303" i="2"/>
  <c r="F303" i="2"/>
  <c r="E303" i="2"/>
  <c r="D303" i="2"/>
  <c r="C303" i="2"/>
  <c r="B303" i="2"/>
  <c r="A303" i="2"/>
  <c r="R302" i="2"/>
  <c r="Q302" i="2"/>
  <c r="P302" i="2"/>
  <c r="O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302" i="2"/>
  <c r="R301" i="2"/>
  <c r="Q301" i="2"/>
  <c r="P301" i="2"/>
  <c r="O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301" i="2"/>
  <c r="R300" i="2"/>
  <c r="Q300" i="2"/>
  <c r="P300" i="2"/>
  <c r="O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300" i="2"/>
  <c r="R299" i="2"/>
  <c r="Q299" i="2"/>
  <c r="P299" i="2"/>
  <c r="O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299" i="2"/>
  <c r="R298" i="2"/>
  <c r="Q298" i="2"/>
  <c r="O298" i="2"/>
  <c r="M298" i="2"/>
  <c r="L298" i="2"/>
  <c r="K298" i="2"/>
  <c r="J298" i="2"/>
  <c r="G298" i="2"/>
  <c r="F298" i="2"/>
  <c r="E298" i="2"/>
  <c r="D298" i="2"/>
  <c r="C298" i="2"/>
  <c r="B298" i="2"/>
  <c r="A298" i="2"/>
  <c r="R297" i="2"/>
  <c r="Q297" i="2"/>
  <c r="P297" i="2"/>
  <c r="O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297" i="2"/>
  <c r="R296" i="2"/>
  <c r="Q296" i="2"/>
  <c r="P296" i="2"/>
  <c r="O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296" i="2"/>
  <c r="R295" i="2"/>
  <c r="Q295" i="2"/>
  <c r="P295" i="2"/>
  <c r="O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A295" i="2"/>
  <c r="R294" i="2"/>
  <c r="Q294" i="2"/>
  <c r="P294" i="2"/>
  <c r="O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A294" i="2"/>
  <c r="R293" i="2"/>
  <c r="Q293" i="2"/>
  <c r="O293" i="2"/>
  <c r="M293" i="2"/>
  <c r="L293" i="2"/>
  <c r="K293" i="2"/>
  <c r="J293" i="2"/>
  <c r="G293" i="2"/>
  <c r="F293" i="2"/>
  <c r="E293" i="2"/>
  <c r="D293" i="2"/>
  <c r="C293" i="2"/>
  <c r="B293" i="2"/>
  <c r="A293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292" i="2"/>
  <c r="R291" i="2"/>
  <c r="Q291" i="2"/>
  <c r="O291" i="2"/>
  <c r="M291" i="2"/>
  <c r="L291" i="2"/>
  <c r="K291" i="2"/>
  <c r="J291" i="2"/>
  <c r="G291" i="2"/>
  <c r="F291" i="2"/>
  <c r="E291" i="2"/>
  <c r="D291" i="2"/>
  <c r="C291" i="2"/>
  <c r="B291" i="2"/>
  <c r="A291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290" i="2"/>
  <c r="R289" i="2"/>
  <c r="Q289" i="2"/>
  <c r="O289" i="2"/>
  <c r="M289" i="2"/>
  <c r="L289" i="2"/>
  <c r="K289" i="2"/>
  <c r="J289" i="2"/>
  <c r="G289" i="2"/>
  <c r="F289" i="2"/>
  <c r="E289" i="2"/>
  <c r="D289" i="2"/>
  <c r="C289" i="2"/>
  <c r="B289" i="2"/>
  <c r="A289" i="2"/>
  <c r="R288" i="2"/>
  <c r="Q288" i="2"/>
  <c r="O288" i="2"/>
  <c r="M288" i="2"/>
  <c r="L288" i="2"/>
  <c r="K288" i="2"/>
  <c r="J288" i="2"/>
  <c r="G288" i="2"/>
  <c r="F288" i="2"/>
  <c r="E288" i="2"/>
  <c r="D288" i="2"/>
  <c r="C288" i="2"/>
  <c r="B288" i="2"/>
  <c r="A288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287" i="2"/>
  <c r="R286" i="2"/>
  <c r="Q286" i="2"/>
  <c r="P286" i="2"/>
  <c r="O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286" i="2"/>
  <c r="R285" i="2"/>
  <c r="Q285" i="2"/>
  <c r="O285" i="2"/>
  <c r="M285" i="2"/>
  <c r="L285" i="2"/>
  <c r="K285" i="2"/>
  <c r="J285" i="2"/>
  <c r="G285" i="2"/>
  <c r="F285" i="2"/>
  <c r="E285" i="2"/>
  <c r="D285" i="2"/>
  <c r="C285" i="2"/>
  <c r="B285" i="2"/>
  <c r="A285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284" i="2"/>
  <c r="R283" i="2"/>
  <c r="Q283" i="2"/>
  <c r="O283" i="2"/>
  <c r="M283" i="2"/>
  <c r="L283" i="2"/>
  <c r="K283" i="2"/>
  <c r="J283" i="2"/>
  <c r="G283" i="2"/>
  <c r="F283" i="2"/>
  <c r="E283" i="2"/>
  <c r="D283" i="2"/>
  <c r="C283" i="2"/>
  <c r="B283" i="2"/>
  <c r="A283" i="2"/>
  <c r="R282" i="2"/>
  <c r="Q282" i="2"/>
  <c r="P282" i="2"/>
  <c r="O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R281" i="2"/>
  <c r="Q281" i="2"/>
  <c r="O281" i="2"/>
  <c r="M281" i="2"/>
  <c r="L281" i="2"/>
  <c r="K281" i="2"/>
  <c r="J281" i="2"/>
  <c r="G281" i="2"/>
  <c r="F281" i="2"/>
  <c r="E281" i="2"/>
  <c r="D281" i="2"/>
  <c r="C281" i="2"/>
  <c r="B281" i="2"/>
  <c r="A281" i="2"/>
  <c r="R280" i="2"/>
  <c r="Q280" i="2"/>
  <c r="O280" i="2"/>
  <c r="M280" i="2"/>
  <c r="L280" i="2"/>
  <c r="K280" i="2"/>
  <c r="J280" i="2"/>
  <c r="G280" i="2"/>
  <c r="F280" i="2"/>
  <c r="E280" i="2"/>
  <c r="D280" i="2"/>
  <c r="C280" i="2"/>
  <c r="B280" i="2"/>
  <c r="A280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R278" i="2"/>
  <c r="Q278" i="2"/>
  <c r="P278" i="2"/>
  <c r="O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278" i="2"/>
  <c r="R277" i="2"/>
  <c r="Q277" i="2"/>
  <c r="P277" i="2"/>
  <c r="O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277" i="2"/>
  <c r="R276" i="2"/>
  <c r="Q276" i="2"/>
  <c r="P276" i="2"/>
  <c r="O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276" i="2"/>
  <c r="R275" i="2"/>
  <c r="Q275" i="2"/>
  <c r="O275" i="2"/>
  <c r="M275" i="2"/>
  <c r="L275" i="2"/>
  <c r="K275" i="2"/>
  <c r="J275" i="2"/>
  <c r="G275" i="2"/>
  <c r="F275" i="2"/>
  <c r="E275" i="2"/>
  <c r="D275" i="2"/>
  <c r="C275" i="2"/>
  <c r="B275" i="2"/>
  <c r="A275" i="2"/>
  <c r="R274" i="2"/>
  <c r="Q274" i="2"/>
  <c r="P274" i="2"/>
  <c r="O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R273" i="2"/>
  <c r="Q273" i="2"/>
  <c r="P273" i="2"/>
  <c r="O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273" i="2"/>
  <c r="R272" i="2"/>
  <c r="Q272" i="2"/>
  <c r="P272" i="2"/>
  <c r="O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R271" i="2"/>
  <c r="Q271" i="2"/>
  <c r="P271" i="2"/>
  <c r="O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R270" i="2"/>
  <c r="Q270" i="2"/>
  <c r="O270" i="2"/>
  <c r="N270" i="2"/>
  <c r="M270" i="2"/>
  <c r="L270" i="2"/>
  <c r="K270" i="2"/>
  <c r="J270" i="2"/>
  <c r="G270" i="2"/>
  <c r="F270" i="2"/>
  <c r="E270" i="2"/>
  <c r="D270" i="2"/>
  <c r="C270" i="2"/>
  <c r="B270" i="2"/>
  <c r="A270" i="2"/>
  <c r="R269" i="2"/>
  <c r="Q269" i="2"/>
  <c r="O269" i="2"/>
  <c r="N269" i="2"/>
  <c r="M269" i="2"/>
  <c r="L269" i="2"/>
  <c r="K269" i="2"/>
  <c r="J269" i="2"/>
  <c r="G269" i="2"/>
  <c r="F269" i="2"/>
  <c r="E269" i="2"/>
  <c r="D269" i="2"/>
  <c r="C269" i="2"/>
  <c r="B269" i="2"/>
  <c r="A269" i="2"/>
  <c r="R268" i="2"/>
  <c r="Q268" i="2"/>
  <c r="P268" i="2"/>
  <c r="O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R267" i="2"/>
  <c r="Q267" i="2"/>
  <c r="P267" i="2"/>
  <c r="O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267" i="2"/>
  <c r="R266" i="2"/>
  <c r="Q266" i="2"/>
  <c r="P266" i="2"/>
  <c r="O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R265" i="2"/>
  <c r="Q265" i="2"/>
  <c r="P265" i="2"/>
  <c r="O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265" i="2"/>
  <c r="R264" i="2"/>
  <c r="Q264" i="2"/>
  <c r="P264" i="2"/>
  <c r="O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R263" i="2"/>
  <c r="Q263" i="2"/>
  <c r="P263" i="2"/>
  <c r="O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263" i="2"/>
  <c r="R262" i="2"/>
  <c r="Q262" i="2"/>
  <c r="P262" i="2"/>
  <c r="O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262" i="2"/>
  <c r="R261" i="2"/>
  <c r="Q261" i="2"/>
  <c r="P261" i="2"/>
  <c r="O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261" i="2"/>
  <c r="R260" i="2"/>
  <c r="Q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260" i="2"/>
  <c r="Q259" i="2"/>
  <c r="O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259" i="2"/>
  <c r="Q258" i="2"/>
  <c r="O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Q257" i="2"/>
  <c r="O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257" i="2"/>
  <c r="Q256" i="2"/>
  <c r="O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256" i="2"/>
  <c r="Q255" i="2"/>
  <c r="O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255" i="2"/>
  <c r="Q254" i="2"/>
  <c r="O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254" i="2"/>
  <c r="Q253" i="2"/>
  <c r="O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253" i="2"/>
  <c r="Q252" i="2"/>
  <c r="O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A252" i="2"/>
  <c r="Q251" i="2"/>
  <c r="O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251" i="2"/>
  <c r="Q250" i="2"/>
  <c r="O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Q249" i="2"/>
  <c r="O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249" i="2"/>
  <c r="R248" i="2"/>
  <c r="Q248" i="2"/>
  <c r="P248" i="2"/>
  <c r="O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Q247" i="2"/>
  <c r="O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247" i="2"/>
  <c r="Q246" i="2"/>
  <c r="O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Q245" i="2"/>
  <c r="O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245" i="2"/>
  <c r="R244" i="2"/>
  <c r="Q244" i="2"/>
  <c r="P244" i="2"/>
  <c r="O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244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243" i="2"/>
  <c r="R242" i="2"/>
  <c r="Q242" i="2"/>
  <c r="P242" i="2"/>
  <c r="O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242" i="2"/>
  <c r="R241" i="2"/>
  <c r="Q241" i="2"/>
  <c r="P241" i="2"/>
  <c r="O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241" i="2"/>
  <c r="R240" i="2"/>
  <c r="Q240" i="2"/>
  <c r="O240" i="2"/>
  <c r="M240" i="2"/>
  <c r="L240" i="2"/>
  <c r="K240" i="2"/>
  <c r="J240" i="2"/>
  <c r="G240" i="2"/>
  <c r="F240" i="2"/>
  <c r="E240" i="2"/>
  <c r="D240" i="2"/>
  <c r="C240" i="2"/>
  <c r="B240" i="2"/>
  <c r="A240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239" i="2"/>
  <c r="R238" i="2"/>
  <c r="Q238" i="2"/>
  <c r="O238" i="2"/>
  <c r="N238" i="2"/>
  <c r="M238" i="2"/>
  <c r="L238" i="2"/>
  <c r="K238" i="2"/>
  <c r="J238" i="2"/>
  <c r="G238" i="2"/>
  <c r="F238" i="2"/>
  <c r="E238" i="2"/>
  <c r="D238" i="2"/>
  <c r="C238" i="2"/>
  <c r="B238" i="2"/>
  <c r="A238" i="2"/>
  <c r="R237" i="2"/>
  <c r="Q237" i="2"/>
  <c r="P237" i="2"/>
  <c r="O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237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235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234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233" i="2"/>
  <c r="R232" i="2"/>
  <c r="Q232" i="2"/>
  <c r="O232" i="2"/>
  <c r="N232" i="2"/>
  <c r="M232" i="2"/>
  <c r="L232" i="2"/>
  <c r="K232" i="2"/>
  <c r="J232" i="2"/>
  <c r="G232" i="2"/>
  <c r="F232" i="2"/>
  <c r="E232" i="2"/>
  <c r="D232" i="2"/>
  <c r="C232" i="2"/>
  <c r="B232" i="2"/>
  <c r="A232" i="2"/>
  <c r="R231" i="2"/>
  <c r="Q231" i="2"/>
  <c r="P231" i="2"/>
  <c r="O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231" i="2"/>
  <c r="R230" i="2"/>
  <c r="Q230" i="2"/>
  <c r="O230" i="2"/>
  <c r="M230" i="2"/>
  <c r="L230" i="2"/>
  <c r="K230" i="2"/>
  <c r="J230" i="2"/>
  <c r="G230" i="2"/>
  <c r="F230" i="2"/>
  <c r="E230" i="2"/>
  <c r="D230" i="2"/>
  <c r="C230" i="2"/>
  <c r="B230" i="2"/>
  <c r="A230" i="2"/>
  <c r="R229" i="2"/>
  <c r="Q229" i="2"/>
  <c r="P229" i="2"/>
  <c r="O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229" i="2"/>
  <c r="R228" i="2"/>
  <c r="Q228" i="2"/>
  <c r="O228" i="2"/>
  <c r="M228" i="2"/>
  <c r="L228" i="2"/>
  <c r="K228" i="2"/>
  <c r="J228" i="2"/>
  <c r="G228" i="2"/>
  <c r="F228" i="2"/>
  <c r="E228" i="2"/>
  <c r="D228" i="2"/>
  <c r="C228" i="2"/>
  <c r="B228" i="2"/>
  <c r="A228" i="2"/>
  <c r="R227" i="2"/>
  <c r="Q227" i="2"/>
  <c r="O227" i="2"/>
  <c r="M227" i="2"/>
  <c r="L227" i="2"/>
  <c r="K227" i="2"/>
  <c r="J227" i="2"/>
  <c r="G227" i="2"/>
  <c r="F227" i="2"/>
  <c r="E227" i="2"/>
  <c r="D227" i="2"/>
  <c r="C227" i="2"/>
  <c r="B227" i="2"/>
  <c r="A227" i="2"/>
  <c r="R226" i="2"/>
  <c r="Q226" i="2"/>
  <c r="O226" i="2"/>
  <c r="M226" i="2"/>
  <c r="L226" i="2"/>
  <c r="K226" i="2"/>
  <c r="J226" i="2"/>
  <c r="G226" i="2"/>
  <c r="F226" i="2"/>
  <c r="E226" i="2"/>
  <c r="D226" i="2"/>
  <c r="C226" i="2"/>
  <c r="B226" i="2"/>
  <c r="A226" i="2"/>
  <c r="R225" i="2"/>
  <c r="Q225" i="2"/>
  <c r="P225" i="2"/>
  <c r="O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225" i="2"/>
  <c r="R224" i="2"/>
  <c r="Q224" i="2"/>
  <c r="P224" i="2"/>
  <c r="O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224" i="2"/>
  <c r="R223" i="2"/>
  <c r="Q223" i="2"/>
  <c r="P223" i="2"/>
  <c r="O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223" i="2"/>
  <c r="R222" i="2"/>
  <c r="Q222" i="2"/>
  <c r="P222" i="2"/>
  <c r="O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222" i="2"/>
  <c r="R221" i="2"/>
  <c r="Q221" i="2"/>
  <c r="P221" i="2"/>
  <c r="O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221" i="2"/>
  <c r="R220" i="2"/>
  <c r="Q220" i="2"/>
  <c r="P220" i="2"/>
  <c r="O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220" i="2"/>
  <c r="R219" i="2"/>
  <c r="Q219" i="2"/>
  <c r="P219" i="2"/>
  <c r="O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219" i="2"/>
  <c r="R218" i="2"/>
  <c r="Q218" i="2"/>
  <c r="O218" i="2"/>
  <c r="M218" i="2"/>
  <c r="L218" i="2"/>
  <c r="K218" i="2"/>
  <c r="J218" i="2"/>
  <c r="G218" i="2"/>
  <c r="F218" i="2"/>
  <c r="E218" i="2"/>
  <c r="D218" i="2"/>
  <c r="C218" i="2"/>
  <c r="B218" i="2"/>
  <c r="A218" i="2"/>
  <c r="R217" i="2"/>
  <c r="Q217" i="2"/>
  <c r="P217" i="2"/>
  <c r="O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217" i="2"/>
  <c r="R216" i="2"/>
  <c r="Q216" i="2"/>
  <c r="O216" i="2"/>
  <c r="M216" i="2"/>
  <c r="L216" i="2"/>
  <c r="K216" i="2"/>
  <c r="J216" i="2"/>
  <c r="G216" i="2"/>
  <c r="F216" i="2"/>
  <c r="E216" i="2"/>
  <c r="D216" i="2"/>
  <c r="C216" i="2"/>
  <c r="B216" i="2"/>
  <c r="A216" i="2"/>
  <c r="R215" i="2"/>
  <c r="Q215" i="2"/>
  <c r="P215" i="2"/>
  <c r="O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215" i="2"/>
  <c r="R214" i="2"/>
  <c r="Q214" i="2"/>
  <c r="O214" i="2"/>
  <c r="M214" i="2"/>
  <c r="L214" i="2"/>
  <c r="K214" i="2"/>
  <c r="J214" i="2"/>
  <c r="G214" i="2"/>
  <c r="F214" i="2"/>
  <c r="E214" i="2"/>
  <c r="D214" i="2"/>
  <c r="C214" i="2"/>
  <c r="B214" i="2"/>
  <c r="A214" i="2"/>
  <c r="R213" i="2"/>
  <c r="Q213" i="2"/>
  <c r="O213" i="2"/>
  <c r="N213" i="2"/>
  <c r="M213" i="2"/>
  <c r="L213" i="2"/>
  <c r="K213" i="2"/>
  <c r="J213" i="2"/>
  <c r="G213" i="2"/>
  <c r="F213" i="2"/>
  <c r="E213" i="2"/>
  <c r="D213" i="2"/>
  <c r="C213" i="2"/>
  <c r="B213" i="2"/>
  <c r="A213" i="2"/>
  <c r="R212" i="2"/>
  <c r="Q212" i="2"/>
  <c r="O212" i="2"/>
  <c r="M212" i="2"/>
  <c r="L212" i="2"/>
  <c r="K212" i="2"/>
  <c r="J212" i="2"/>
  <c r="G212" i="2"/>
  <c r="F212" i="2"/>
  <c r="E212" i="2"/>
  <c r="D212" i="2"/>
  <c r="C212" i="2"/>
  <c r="B212" i="2"/>
  <c r="A212" i="2"/>
  <c r="R211" i="2"/>
  <c r="Q211" i="2"/>
  <c r="P211" i="2"/>
  <c r="O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211" i="2"/>
  <c r="Q210" i="2"/>
  <c r="O210" i="2"/>
  <c r="M210" i="2"/>
  <c r="L210" i="2"/>
  <c r="K210" i="2"/>
  <c r="J210" i="2"/>
  <c r="G210" i="2"/>
  <c r="F210" i="2"/>
  <c r="E210" i="2"/>
  <c r="D210" i="2"/>
  <c r="C210" i="2"/>
  <c r="B210" i="2"/>
  <c r="A210" i="2"/>
  <c r="R209" i="2"/>
  <c r="Q209" i="2"/>
  <c r="P209" i="2"/>
  <c r="O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209" i="2"/>
  <c r="R208" i="2"/>
  <c r="Q208" i="2"/>
  <c r="P208" i="2"/>
  <c r="O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208" i="2"/>
  <c r="R207" i="2"/>
  <c r="Q207" i="2"/>
  <c r="P207" i="2"/>
  <c r="O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207" i="2"/>
  <c r="R206" i="2"/>
  <c r="Q206" i="2"/>
  <c r="P206" i="2"/>
  <c r="O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206" i="2"/>
  <c r="R205" i="2"/>
  <c r="Q205" i="2"/>
  <c r="P205" i="2"/>
  <c r="O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R204" i="2"/>
  <c r="Q204" i="2"/>
  <c r="P204" i="2"/>
  <c r="O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204" i="2"/>
  <c r="R203" i="2"/>
  <c r="Q203" i="2"/>
  <c r="P203" i="2"/>
  <c r="O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R202" i="2"/>
  <c r="Q202" i="2"/>
  <c r="P202" i="2"/>
  <c r="O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R201" i="2"/>
  <c r="Q201" i="2"/>
  <c r="O201" i="2"/>
  <c r="M201" i="2"/>
  <c r="L201" i="2"/>
  <c r="K201" i="2"/>
  <c r="J201" i="2"/>
  <c r="G201" i="2"/>
  <c r="F201" i="2"/>
  <c r="E201" i="2"/>
  <c r="D201" i="2"/>
  <c r="C201" i="2"/>
  <c r="B201" i="2"/>
  <c r="A201" i="2"/>
  <c r="R200" i="2"/>
  <c r="Q200" i="2"/>
  <c r="O200" i="2"/>
  <c r="N200" i="2"/>
  <c r="M200" i="2"/>
  <c r="L200" i="2"/>
  <c r="K200" i="2"/>
  <c r="E200" i="2"/>
  <c r="D200" i="2"/>
  <c r="C200" i="2"/>
  <c r="B200" i="2"/>
  <c r="A200" i="2"/>
  <c r="R199" i="2"/>
  <c r="Q199" i="2"/>
  <c r="P199" i="2"/>
  <c r="O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R198" i="2"/>
  <c r="Q198" i="2"/>
  <c r="O198" i="2"/>
  <c r="N198" i="2"/>
  <c r="M198" i="2"/>
  <c r="L198" i="2"/>
  <c r="K198" i="2"/>
  <c r="J198" i="2"/>
  <c r="G198" i="2"/>
  <c r="F198" i="2"/>
  <c r="E198" i="2"/>
  <c r="D198" i="2"/>
  <c r="C198" i="2"/>
  <c r="B198" i="2"/>
  <c r="A198" i="2"/>
  <c r="R197" i="2"/>
  <c r="Q197" i="2"/>
  <c r="P197" i="2"/>
  <c r="O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197" i="2"/>
  <c r="R196" i="2"/>
  <c r="Q196" i="2"/>
  <c r="P196" i="2"/>
  <c r="O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196" i="2"/>
  <c r="R195" i="2"/>
  <c r="Q195" i="2"/>
  <c r="O195" i="2"/>
  <c r="M195" i="2"/>
  <c r="L195" i="2"/>
  <c r="K195" i="2"/>
  <c r="J195" i="2"/>
  <c r="G195" i="2"/>
  <c r="F195" i="2"/>
  <c r="E195" i="2"/>
  <c r="D195" i="2"/>
  <c r="C195" i="2"/>
  <c r="B195" i="2"/>
  <c r="A195" i="2"/>
  <c r="R194" i="2"/>
  <c r="Q194" i="2"/>
  <c r="P194" i="2"/>
  <c r="O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194" i="2"/>
  <c r="R193" i="2"/>
  <c r="Q193" i="2"/>
  <c r="P193" i="2"/>
  <c r="O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193" i="2"/>
  <c r="R192" i="2"/>
  <c r="Q192" i="2"/>
  <c r="P192" i="2"/>
  <c r="O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192" i="2"/>
  <c r="R191" i="2"/>
  <c r="Q191" i="2"/>
  <c r="P191" i="2"/>
  <c r="O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R190" i="2"/>
  <c r="Q190" i="2"/>
  <c r="O190" i="2"/>
  <c r="M190" i="2"/>
  <c r="L190" i="2"/>
  <c r="K190" i="2"/>
  <c r="J190" i="2"/>
  <c r="G190" i="2"/>
  <c r="F190" i="2"/>
  <c r="E190" i="2"/>
  <c r="D190" i="2"/>
  <c r="C190" i="2"/>
  <c r="B190" i="2"/>
  <c r="A190" i="2"/>
  <c r="R189" i="2"/>
  <c r="Q189" i="2"/>
  <c r="P189" i="2"/>
  <c r="O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189" i="2"/>
  <c r="R188" i="2"/>
  <c r="Q188" i="2"/>
  <c r="P188" i="2"/>
  <c r="O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188" i="2"/>
  <c r="R187" i="2"/>
  <c r="Q187" i="2"/>
  <c r="P187" i="2"/>
  <c r="O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R186" i="2"/>
  <c r="Q186" i="2"/>
  <c r="P186" i="2"/>
  <c r="O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R184" i="2"/>
  <c r="Q184" i="2"/>
  <c r="O184" i="2"/>
  <c r="M184" i="2"/>
  <c r="L184" i="2"/>
  <c r="K184" i="2"/>
  <c r="J184" i="2"/>
  <c r="G184" i="2"/>
  <c r="F184" i="2"/>
  <c r="E184" i="2"/>
  <c r="D184" i="2"/>
  <c r="C184" i="2"/>
  <c r="B184" i="2"/>
  <c r="A184" i="2"/>
  <c r="R183" i="2"/>
  <c r="Q183" i="2"/>
  <c r="P183" i="2"/>
  <c r="O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Q182" i="2"/>
  <c r="O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Q181" i="2"/>
  <c r="O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Q180" i="2"/>
  <c r="O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180" i="2"/>
  <c r="Q179" i="2"/>
  <c r="O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Q178" i="2"/>
  <c r="O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Q177" i="2"/>
  <c r="O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Q176" i="2"/>
  <c r="O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Q175" i="2"/>
  <c r="O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Q174" i="2"/>
  <c r="O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Q173" i="2"/>
  <c r="O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Q172" i="2"/>
  <c r="O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Q171" i="2"/>
  <c r="O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Q170" i="2"/>
  <c r="O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Q169" i="2"/>
  <c r="O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Q168" i="2"/>
  <c r="O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Q167" i="2"/>
  <c r="O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Q166" i="2"/>
  <c r="O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Q165" i="2"/>
  <c r="O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R164" i="2"/>
  <c r="Q164" i="2"/>
  <c r="P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R163" i="2"/>
  <c r="Q163" i="2"/>
  <c r="P163" i="2"/>
  <c r="O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R161" i="2"/>
  <c r="Q161" i="2"/>
  <c r="P161" i="2"/>
  <c r="O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R160" i="2"/>
  <c r="Q160" i="2"/>
  <c r="P160" i="2"/>
  <c r="O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R159" i="2"/>
  <c r="Q159" i="2"/>
  <c r="P159" i="2"/>
  <c r="O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R156" i="2"/>
  <c r="Q156" i="2"/>
  <c r="O156" i="2"/>
  <c r="N156" i="2"/>
  <c r="M156" i="2"/>
  <c r="L156" i="2"/>
  <c r="K156" i="2"/>
  <c r="J156" i="2"/>
  <c r="G156" i="2"/>
  <c r="F156" i="2"/>
  <c r="E156" i="2"/>
  <c r="D156" i="2"/>
  <c r="C156" i="2"/>
  <c r="B156" i="2"/>
  <c r="A156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R154" i="2"/>
  <c r="Q154" i="2"/>
  <c r="P154" i="2"/>
  <c r="O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R153" i="2"/>
  <c r="Q153" i="2"/>
  <c r="P153" i="2"/>
  <c r="O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R149" i="2"/>
  <c r="Q149" i="2"/>
  <c r="P149" i="2"/>
  <c r="O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R148" i="2"/>
  <c r="Q148" i="2"/>
  <c r="P148" i="2"/>
  <c r="O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R146" i="2"/>
  <c r="Q146" i="2"/>
  <c r="O146" i="2"/>
  <c r="N146" i="2"/>
  <c r="M146" i="2"/>
  <c r="L146" i="2"/>
  <c r="K146" i="2"/>
  <c r="J146" i="2"/>
  <c r="G146" i="2"/>
  <c r="F146" i="2"/>
  <c r="E146" i="2"/>
  <c r="D146" i="2"/>
  <c r="C146" i="2"/>
  <c r="B146" i="2"/>
  <c r="A146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R143" i="2"/>
  <c r="Q143" i="2"/>
  <c r="O143" i="2"/>
  <c r="N143" i="2"/>
  <c r="M143" i="2"/>
  <c r="L143" i="2"/>
  <c r="K143" i="2"/>
  <c r="J143" i="2"/>
  <c r="G143" i="2"/>
  <c r="F143" i="2"/>
  <c r="E143" i="2"/>
  <c r="D143" i="2"/>
  <c r="C143" i="2"/>
  <c r="B143" i="2"/>
  <c r="A143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R141" i="2"/>
  <c r="Q141" i="2"/>
  <c r="O141" i="2"/>
  <c r="M141" i="2"/>
  <c r="L141" i="2"/>
  <c r="K141" i="2"/>
  <c r="J141" i="2"/>
  <c r="G141" i="2"/>
  <c r="F141" i="2"/>
  <c r="E141" i="2"/>
  <c r="D141" i="2"/>
  <c r="C141" i="2"/>
  <c r="B141" i="2"/>
  <c r="A141" i="2"/>
  <c r="R140" i="2"/>
  <c r="Q140" i="2"/>
  <c r="P140" i="2"/>
  <c r="O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R139" i="2"/>
  <c r="Q139" i="2"/>
  <c r="P139" i="2"/>
  <c r="O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R138" i="2"/>
  <c r="Q138" i="2"/>
  <c r="P138" i="2"/>
  <c r="O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R137" i="2"/>
  <c r="Q137" i="2"/>
  <c r="P137" i="2"/>
  <c r="O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R136" i="2"/>
  <c r="Q136" i="2"/>
  <c r="P136" i="2"/>
  <c r="O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R135" i="2"/>
  <c r="Q135" i="2"/>
  <c r="O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Q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R133" i="2"/>
  <c r="Q133" i="2"/>
  <c r="P133" i="2"/>
  <c r="O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R132" i="2"/>
  <c r="Q132" i="2"/>
  <c r="P132" i="2"/>
  <c r="O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R131" i="2"/>
  <c r="Q131" i="2"/>
  <c r="O131" i="2"/>
  <c r="M131" i="2"/>
  <c r="L131" i="2"/>
  <c r="K131" i="2"/>
  <c r="J131" i="2"/>
  <c r="G131" i="2"/>
  <c r="F131" i="2"/>
  <c r="E131" i="2"/>
  <c r="D131" i="2"/>
  <c r="C131" i="2"/>
  <c r="B131" i="2"/>
  <c r="A131" i="2"/>
  <c r="R130" i="2"/>
  <c r="Q130" i="2"/>
  <c r="P130" i="2"/>
  <c r="O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R129" i="2"/>
  <c r="Q129" i="2"/>
  <c r="O129" i="2"/>
  <c r="M129" i="2"/>
  <c r="L129" i="2"/>
  <c r="K129" i="2"/>
  <c r="J129" i="2"/>
  <c r="G129" i="2"/>
  <c r="F129" i="2"/>
  <c r="E129" i="2"/>
  <c r="D129" i="2"/>
  <c r="C129" i="2"/>
  <c r="B129" i="2"/>
  <c r="A129" i="2"/>
  <c r="Q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R127" i="2"/>
  <c r="Q127" i="2"/>
  <c r="P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R126" i="2"/>
  <c r="Q126" i="2"/>
  <c r="P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R125" i="2"/>
  <c r="Q125" i="2"/>
  <c r="P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R121" i="2"/>
  <c r="Q121" i="2"/>
  <c r="P121" i="2"/>
  <c r="O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R119" i="2"/>
  <c r="Q119" i="2"/>
  <c r="O119" i="2"/>
  <c r="N119" i="2"/>
  <c r="M119" i="2"/>
  <c r="L119" i="2"/>
  <c r="K119" i="2"/>
  <c r="J119" i="2"/>
  <c r="G119" i="2"/>
  <c r="F119" i="2"/>
  <c r="E119" i="2"/>
  <c r="D119" i="2"/>
  <c r="C119" i="2"/>
  <c r="B119" i="2"/>
  <c r="A119" i="2"/>
  <c r="R118" i="2"/>
  <c r="Q118" i="2"/>
  <c r="P118" i="2"/>
  <c r="O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R117" i="2"/>
  <c r="Q117" i="2"/>
  <c r="P117" i="2"/>
  <c r="O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R116" i="2"/>
  <c r="Q116" i="2"/>
  <c r="O116" i="2"/>
  <c r="M116" i="2"/>
  <c r="L116" i="2"/>
  <c r="K116" i="2"/>
  <c r="J116" i="2"/>
  <c r="G116" i="2"/>
  <c r="F116" i="2"/>
  <c r="E116" i="2"/>
  <c r="D116" i="2"/>
  <c r="C116" i="2"/>
  <c r="B116" i="2"/>
  <c r="A116" i="2"/>
  <c r="R115" i="2"/>
  <c r="Q115" i="2"/>
  <c r="P115" i="2"/>
  <c r="O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R114" i="2"/>
  <c r="Q114" i="2"/>
  <c r="O114" i="2"/>
  <c r="M114" i="2"/>
  <c r="L114" i="2"/>
  <c r="K114" i="2"/>
  <c r="J114" i="2"/>
  <c r="G114" i="2"/>
  <c r="F114" i="2"/>
  <c r="E114" i="2"/>
  <c r="D114" i="2"/>
  <c r="C114" i="2"/>
  <c r="B114" i="2"/>
  <c r="A114" i="2"/>
  <c r="R113" i="2"/>
  <c r="Q113" i="2"/>
  <c r="P113" i="2"/>
  <c r="O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R112" i="2"/>
  <c r="Q112" i="2"/>
  <c r="P112" i="2"/>
  <c r="O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R111" i="2"/>
  <c r="Q111" i="2"/>
  <c r="P111" i="2"/>
  <c r="O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R110" i="2"/>
  <c r="Q110" i="2"/>
  <c r="P110" i="2"/>
  <c r="O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R109" i="2"/>
  <c r="Q109" i="2"/>
  <c r="P109" i="2"/>
  <c r="O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R108" i="2"/>
  <c r="Q108" i="2"/>
  <c r="P108" i="2"/>
  <c r="O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R107" i="2"/>
  <c r="Q107" i="2"/>
  <c r="P107" i="2"/>
  <c r="O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R106" i="2"/>
  <c r="Q106" i="2"/>
  <c r="P106" i="2"/>
  <c r="O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R105" i="2"/>
  <c r="Q105" i="2"/>
  <c r="O105" i="2"/>
  <c r="M105" i="2"/>
  <c r="L105" i="2"/>
  <c r="K105" i="2"/>
  <c r="J105" i="2"/>
  <c r="G105" i="2"/>
  <c r="F105" i="2"/>
  <c r="E105" i="2"/>
  <c r="D105" i="2"/>
  <c r="C105" i="2"/>
  <c r="B105" i="2"/>
  <c r="A105" i="2"/>
  <c r="R104" i="2"/>
  <c r="Q104" i="2"/>
  <c r="P104" i="2"/>
  <c r="O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R103" i="2"/>
  <c r="Q103" i="2"/>
  <c r="O103" i="2"/>
  <c r="M103" i="2"/>
  <c r="L103" i="2"/>
  <c r="K103" i="2"/>
  <c r="J103" i="2"/>
  <c r="G103" i="2"/>
  <c r="F103" i="2"/>
  <c r="E103" i="2"/>
  <c r="D103" i="2"/>
  <c r="C103" i="2"/>
  <c r="B103" i="2"/>
  <c r="A103" i="2"/>
  <c r="R102" i="2"/>
  <c r="Q102" i="2"/>
  <c r="P102" i="2"/>
  <c r="O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R101" i="2"/>
  <c r="Q101" i="2"/>
  <c r="P101" i="2"/>
  <c r="O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R100" i="2"/>
  <c r="Q100" i="2"/>
  <c r="P100" i="2"/>
  <c r="O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R99" i="2"/>
  <c r="Q99" i="2"/>
  <c r="P99" i="2"/>
  <c r="O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R98" i="2"/>
  <c r="Q98" i="2"/>
  <c r="P98" i="2"/>
  <c r="O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R97" i="2"/>
  <c r="Q97" i="2"/>
  <c r="P97" i="2"/>
  <c r="O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R96" i="2"/>
  <c r="Q96" i="2"/>
  <c r="P96" i="2"/>
  <c r="O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R95" i="2"/>
  <c r="Q95" i="2"/>
  <c r="P95" i="2"/>
  <c r="O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R94" i="2"/>
  <c r="Q94" i="2"/>
  <c r="P94" i="2"/>
  <c r="O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R93" i="2"/>
  <c r="Q93" i="2"/>
  <c r="P93" i="2"/>
  <c r="O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R92" i="2"/>
  <c r="Q92" i="2"/>
  <c r="P92" i="2"/>
  <c r="O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R91" i="2"/>
  <c r="Q91" i="2"/>
  <c r="P91" i="2"/>
  <c r="O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R90" i="2"/>
  <c r="Q90" i="2"/>
  <c r="P90" i="2"/>
  <c r="O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R89" i="2"/>
  <c r="Q89" i="2"/>
  <c r="P89" i="2"/>
  <c r="O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R88" i="2"/>
  <c r="Q88" i="2"/>
  <c r="P88" i="2"/>
  <c r="O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R87" i="2"/>
  <c r="Q87" i="2"/>
  <c r="P87" i="2"/>
  <c r="O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R86" i="2"/>
  <c r="Q86" i="2"/>
  <c r="P86" i="2"/>
  <c r="O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R85" i="2"/>
  <c r="Q85" i="2"/>
  <c r="P85" i="2"/>
  <c r="O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R84" i="2"/>
  <c r="Q84" i="2"/>
  <c r="P84" i="2"/>
  <c r="O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R83" i="2"/>
  <c r="Q83" i="2"/>
  <c r="P83" i="2"/>
  <c r="O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M78" i="2"/>
  <c r="L78" i="2"/>
  <c r="K78" i="2"/>
  <c r="J78" i="2"/>
  <c r="G78" i="2"/>
  <c r="F78" i="2"/>
  <c r="E78" i="2"/>
  <c r="D78" i="2"/>
  <c r="C78" i="2"/>
  <c r="B78" i="2"/>
  <c r="A78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M76" i="2"/>
  <c r="L76" i="2"/>
  <c r="K76" i="2"/>
  <c r="J76" i="2"/>
  <c r="G76" i="2"/>
  <c r="F76" i="2"/>
  <c r="E76" i="2"/>
  <c r="D76" i="2"/>
  <c r="C76" i="2"/>
  <c r="B76" i="2"/>
  <c r="A76" i="2"/>
  <c r="M75" i="2"/>
  <c r="L75" i="2"/>
  <c r="K75" i="2"/>
  <c r="J75" i="2"/>
  <c r="G75" i="2"/>
  <c r="F75" i="2"/>
  <c r="E75" i="2"/>
  <c r="D75" i="2"/>
  <c r="C75" i="2"/>
  <c r="B75" i="2"/>
  <c r="A75" i="2"/>
  <c r="M74" i="2"/>
  <c r="L74" i="2"/>
  <c r="K74" i="2"/>
  <c r="J74" i="2"/>
  <c r="G74" i="2"/>
  <c r="F74" i="2"/>
  <c r="E74" i="2"/>
  <c r="D74" i="2"/>
  <c r="C74" i="2"/>
  <c r="B74" i="2"/>
  <c r="A74" i="2"/>
  <c r="N73" i="2"/>
  <c r="M73" i="2"/>
  <c r="L73" i="2"/>
  <c r="K73" i="2"/>
  <c r="J73" i="2"/>
  <c r="G73" i="2"/>
  <c r="F73" i="2"/>
  <c r="E73" i="2"/>
  <c r="D73" i="2"/>
  <c r="C73" i="2"/>
  <c r="B73" i="2"/>
  <c r="A73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N71" i="2"/>
  <c r="M71" i="2"/>
  <c r="L71" i="2"/>
  <c r="K71" i="2"/>
  <c r="J71" i="2"/>
  <c r="G71" i="2"/>
  <c r="F71" i="2"/>
  <c r="E71" i="2"/>
  <c r="D71" i="2"/>
  <c r="C71" i="2"/>
  <c r="B71" i="2"/>
  <c r="A71" i="2"/>
  <c r="M70" i="2"/>
  <c r="L70" i="2"/>
  <c r="K70" i="2"/>
  <c r="J70" i="2"/>
  <c r="I70" i="2"/>
  <c r="G70" i="2"/>
  <c r="F70" i="2"/>
  <c r="E70" i="2"/>
  <c r="D70" i="2"/>
  <c r="C70" i="2"/>
  <c r="B70" i="2"/>
  <c r="A70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N68" i="2"/>
  <c r="M68" i="2"/>
  <c r="L68" i="2"/>
  <c r="K68" i="2"/>
  <c r="J68" i="2"/>
  <c r="G68" i="2"/>
  <c r="F68" i="2"/>
  <c r="E68" i="2"/>
  <c r="D68" i="2"/>
  <c r="C68" i="2"/>
  <c r="B68" i="2"/>
  <c r="A68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M65" i="2"/>
  <c r="L65" i="2"/>
  <c r="K65" i="2"/>
  <c r="J65" i="2"/>
  <c r="G65" i="2"/>
  <c r="F65" i="2"/>
  <c r="E65" i="2"/>
  <c r="D65" i="2"/>
  <c r="C65" i="2"/>
  <c r="B65" i="2"/>
  <c r="A65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M56" i="2"/>
  <c r="L56" i="2"/>
  <c r="K56" i="2"/>
  <c r="J56" i="2"/>
  <c r="I56" i="2"/>
  <c r="G56" i="2"/>
  <c r="F56" i="2"/>
  <c r="E56" i="2"/>
  <c r="D56" i="2"/>
  <c r="C56" i="2"/>
  <c r="B56" i="2"/>
  <c r="A56" i="2"/>
  <c r="N55" i="2"/>
  <c r="M55" i="2"/>
  <c r="L55" i="2"/>
  <c r="K55" i="2"/>
  <c r="J55" i="2"/>
  <c r="G55" i="2"/>
  <c r="F55" i="2"/>
  <c r="E55" i="2"/>
  <c r="D55" i="2"/>
  <c r="C55" i="2"/>
  <c r="B55" i="2"/>
  <c r="A55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M46" i="2"/>
  <c r="L46" i="2"/>
  <c r="K46" i="2"/>
  <c r="J46" i="2"/>
  <c r="G46" i="2"/>
  <c r="F46" i="2"/>
  <c r="E46" i="2"/>
  <c r="D46" i="2"/>
  <c r="C46" i="2"/>
  <c r="B46" i="2"/>
  <c r="A46" i="2"/>
  <c r="M45" i="2"/>
  <c r="L45" i="2"/>
  <c r="K45" i="2"/>
  <c r="J45" i="2"/>
  <c r="G45" i="2"/>
  <c r="F45" i="2"/>
  <c r="E45" i="2"/>
  <c r="D45" i="2"/>
  <c r="C45" i="2"/>
  <c r="B45" i="2"/>
  <c r="A45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N40" i="2"/>
  <c r="M40" i="2"/>
  <c r="L40" i="2"/>
  <c r="K40" i="2"/>
  <c r="J40" i="2"/>
  <c r="G40" i="2"/>
  <c r="F40" i="2"/>
  <c r="E40" i="2"/>
  <c r="D40" i="2"/>
  <c r="C40" i="2"/>
  <c r="B40" i="2"/>
  <c r="A40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M38" i="2"/>
  <c r="L38" i="2"/>
  <c r="K38" i="2"/>
  <c r="J38" i="2"/>
  <c r="G38" i="2"/>
  <c r="F38" i="2"/>
  <c r="E38" i="2"/>
  <c r="D38" i="2"/>
  <c r="C38" i="2"/>
  <c r="B38" i="2"/>
  <c r="A38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M36" i="2"/>
  <c r="L36" i="2"/>
  <c r="K36" i="2"/>
  <c r="J36" i="2"/>
  <c r="G36" i="2"/>
  <c r="F36" i="2"/>
  <c r="E36" i="2"/>
  <c r="D36" i="2"/>
  <c r="C36" i="2"/>
  <c r="B36" i="2"/>
  <c r="A36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N31" i="2"/>
  <c r="M31" i="2"/>
  <c r="L31" i="2"/>
  <c r="K31" i="2"/>
  <c r="J31" i="2"/>
  <c r="I31" i="2"/>
  <c r="G31" i="2"/>
  <c r="F31" i="2"/>
  <c r="E31" i="2"/>
  <c r="D31" i="2"/>
  <c r="C31" i="2"/>
  <c r="B31" i="2"/>
  <c r="A31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M22" i="2"/>
  <c r="L22" i="2"/>
  <c r="K22" i="2"/>
  <c r="J22" i="2"/>
  <c r="G22" i="2"/>
  <c r="F22" i="2"/>
  <c r="E22" i="2"/>
  <c r="D22" i="2"/>
  <c r="C22" i="2"/>
  <c r="B22" i="2"/>
  <c r="A22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N19" i="2"/>
  <c r="M19" i="2"/>
  <c r="L19" i="2"/>
  <c r="K19" i="2"/>
  <c r="J19" i="2"/>
  <c r="G19" i="2"/>
  <c r="F19" i="2"/>
  <c r="E19" i="2"/>
  <c r="D19" i="2"/>
  <c r="C19" i="2"/>
  <c r="B19" i="2"/>
  <c r="A19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N17" i="2"/>
  <c r="M17" i="2"/>
  <c r="L17" i="2"/>
  <c r="K17" i="2"/>
  <c r="J17" i="2"/>
  <c r="G17" i="2"/>
  <c r="F17" i="2"/>
  <c r="E17" i="2"/>
  <c r="D17" i="2"/>
  <c r="C17" i="2"/>
  <c r="B17" i="2"/>
  <c r="A17" i="2"/>
  <c r="N16" i="2"/>
  <c r="M16" i="2"/>
  <c r="L16" i="2"/>
  <c r="K16" i="2"/>
  <c r="J16" i="2"/>
  <c r="G16" i="2"/>
  <c r="F16" i="2"/>
  <c r="E16" i="2"/>
  <c r="D16" i="2"/>
  <c r="C16" i="2"/>
  <c r="B16" i="2"/>
  <c r="A16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N12" i="2"/>
  <c r="M12" i="2"/>
  <c r="L12" i="2"/>
  <c r="K12" i="2"/>
  <c r="J12" i="2"/>
  <c r="G12" i="2"/>
  <c r="F12" i="2"/>
  <c r="E12" i="2"/>
  <c r="D12" i="2"/>
  <c r="C12" i="2"/>
  <c r="B12" i="2"/>
  <c r="A12" i="2"/>
  <c r="N11" i="2"/>
  <c r="M11" i="2"/>
  <c r="L11" i="2"/>
  <c r="K11" i="2"/>
  <c r="J11" i="2"/>
  <c r="G11" i="2"/>
  <c r="F11" i="2"/>
  <c r="E11" i="2"/>
  <c r="D11" i="2"/>
  <c r="C11" i="2"/>
  <c r="B11" i="2"/>
  <c r="A11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M9" i="2"/>
  <c r="L9" i="2"/>
  <c r="K9" i="2"/>
  <c r="J9" i="2"/>
  <c r="I9" i="2"/>
  <c r="H9" i="2"/>
  <c r="G9" i="2"/>
  <c r="F9" i="2"/>
  <c r="E9" i="2"/>
  <c r="D9" i="2"/>
  <c r="C9" i="2"/>
  <c r="B9" i="2"/>
  <c r="A9" i="2"/>
  <c r="M8" i="2"/>
  <c r="L8" i="2"/>
  <c r="K8" i="2"/>
  <c r="J8" i="2"/>
  <c r="G8" i="2"/>
  <c r="F8" i="2"/>
  <c r="E8" i="2"/>
  <c r="D8" i="2"/>
  <c r="C8" i="2"/>
  <c r="A8" i="2"/>
  <c r="M6" i="2"/>
  <c r="L6" i="2"/>
  <c r="K6" i="2"/>
  <c r="J6" i="2"/>
  <c r="G6" i="2"/>
  <c r="F6" i="2"/>
  <c r="E6" i="2"/>
  <c r="D6" i="2"/>
  <c r="C6" i="2"/>
  <c r="B6" i="2"/>
  <c r="A6" i="2"/>
  <c r="M5" i="2"/>
  <c r="L5" i="2"/>
  <c r="K5" i="2"/>
  <c r="J5" i="2"/>
  <c r="G5" i="2"/>
  <c r="F5" i="2"/>
  <c r="E5" i="2"/>
  <c r="D5" i="2"/>
  <c r="C5" i="2"/>
  <c r="A5" i="2"/>
  <c r="M4" i="2"/>
  <c r="L4" i="2"/>
  <c r="K4" i="2"/>
  <c r="J4" i="2"/>
  <c r="G4" i="2"/>
  <c r="F4" i="2"/>
  <c r="E4" i="2"/>
  <c r="D4" i="2"/>
  <c r="C4" i="2"/>
  <c r="B4" i="2"/>
  <c r="A4" i="2"/>
  <c r="M3" i="2"/>
  <c r="L3" i="2"/>
  <c r="K3" i="2"/>
  <c r="J3" i="2"/>
  <c r="I3" i="2"/>
  <c r="H3" i="2"/>
  <c r="G3" i="2"/>
  <c r="F3" i="2"/>
  <c r="E3" i="2"/>
  <c r="D3" i="2"/>
  <c r="C3" i="2"/>
  <c r="B3" i="2"/>
  <c r="A3" i="2"/>
  <c r="M2" i="2"/>
  <c r="L2" i="2"/>
  <c r="K2" i="2"/>
  <c r="G2" i="2"/>
  <c r="F2" i="2"/>
  <c r="E2" i="2"/>
  <c r="D2" i="2"/>
  <c r="C2" i="2"/>
  <c r="A2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A1" i="2"/>
  <c r="M2226" i="1"/>
  <c r="L2226" i="1"/>
  <c r="K2226" i="1"/>
  <c r="H2226" i="1"/>
  <c r="G2226" i="1"/>
  <c r="F2226" i="1"/>
  <c r="E2226" i="1"/>
  <c r="D2226" i="1"/>
  <c r="C2226" i="1"/>
  <c r="A2226" i="1"/>
  <c r="M2225" i="1"/>
  <c r="L2225" i="1"/>
  <c r="K2225" i="1"/>
  <c r="H2225" i="1"/>
  <c r="G2225" i="1"/>
  <c r="F2225" i="1"/>
  <c r="E2225" i="1"/>
  <c r="D2225" i="1"/>
  <c r="C2225" i="1"/>
  <c r="A2225" i="1"/>
  <c r="M2224" i="1"/>
  <c r="K2224" i="1"/>
  <c r="H2224" i="1"/>
  <c r="G2224" i="1"/>
  <c r="F2224" i="1"/>
  <c r="E2224" i="1"/>
  <c r="D2224" i="1"/>
  <c r="C2224" i="1"/>
  <c r="A2224" i="1"/>
  <c r="M2223" i="1"/>
  <c r="L2223" i="1"/>
  <c r="K2223" i="1"/>
  <c r="H2223" i="1"/>
  <c r="G2223" i="1"/>
  <c r="F2223" i="1"/>
  <c r="E2223" i="1"/>
  <c r="D2223" i="1"/>
  <c r="C2223" i="1"/>
  <c r="A2223" i="1"/>
  <c r="M2222" i="1"/>
  <c r="L2222" i="1"/>
  <c r="K2222" i="1"/>
  <c r="H2222" i="1"/>
  <c r="G2222" i="1"/>
  <c r="F2222" i="1"/>
  <c r="E2222" i="1"/>
  <c r="D2222" i="1"/>
  <c r="C2222" i="1"/>
  <c r="A2222" i="1"/>
  <c r="M2221" i="1"/>
  <c r="K2221" i="1"/>
  <c r="H2221" i="1"/>
  <c r="G2221" i="1"/>
  <c r="F2221" i="1"/>
  <c r="E2221" i="1"/>
  <c r="D2221" i="1"/>
  <c r="C2221" i="1"/>
  <c r="A2221" i="1"/>
  <c r="M2220" i="1"/>
  <c r="K2220" i="1"/>
  <c r="H2220" i="1"/>
  <c r="G2220" i="1"/>
  <c r="F2220" i="1"/>
  <c r="E2220" i="1"/>
  <c r="D2220" i="1"/>
  <c r="C2220" i="1"/>
  <c r="A2220" i="1"/>
  <c r="M2219" i="1"/>
  <c r="L2219" i="1"/>
  <c r="K2219" i="1"/>
  <c r="H2219" i="1"/>
  <c r="G2219" i="1"/>
  <c r="F2219" i="1"/>
  <c r="E2219" i="1"/>
  <c r="D2219" i="1"/>
  <c r="C2219" i="1"/>
  <c r="A2219" i="1"/>
  <c r="M2218" i="1"/>
  <c r="L2218" i="1"/>
  <c r="K2218" i="1"/>
  <c r="H2218" i="1"/>
  <c r="G2218" i="1"/>
  <c r="F2218" i="1"/>
  <c r="E2218" i="1"/>
  <c r="D2218" i="1"/>
  <c r="C2218" i="1"/>
  <c r="A2218" i="1"/>
  <c r="M2217" i="1"/>
  <c r="K2217" i="1"/>
  <c r="H2217" i="1"/>
  <c r="G2217" i="1"/>
  <c r="F2217" i="1"/>
  <c r="E2217" i="1"/>
  <c r="D2217" i="1"/>
  <c r="C2217" i="1"/>
  <c r="A2217" i="1"/>
  <c r="M2216" i="1"/>
  <c r="L2216" i="1"/>
  <c r="K2216" i="1"/>
  <c r="H2216" i="1"/>
  <c r="G2216" i="1"/>
  <c r="F2216" i="1"/>
  <c r="E2216" i="1"/>
  <c r="D2216" i="1"/>
  <c r="C2216" i="1"/>
  <c r="A2216" i="1"/>
  <c r="M2215" i="1"/>
  <c r="L2215" i="1"/>
  <c r="K2215" i="1"/>
  <c r="H2215" i="1"/>
  <c r="G2215" i="1"/>
  <c r="F2215" i="1"/>
  <c r="E2215" i="1"/>
  <c r="D2215" i="1"/>
  <c r="C2215" i="1"/>
  <c r="A2215" i="1"/>
  <c r="M2214" i="1"/>
  <c r="L2214" i="1"/>
  <c r="K2214" i="1"/>
  <c r="H2214" i="1"/>
  <c r="G2214" i="1"/>
  <c r="F2214" i="1"/>
  <c r="E2214" i="1"/>
  <c r="D2214" i="1"/>
  <c r="C2214" i="1"/>
  <c r="A2214" i="1"/>
  <c r="M2213" i="1"/>
  <c r="L2213" i="1"/>
  <c r="K2213" i="1"/>
  <c r="H2213" i="1"/>
  <c r="G2213" i="1"/>
  <c r="F2213" i="1"/>
  <c r="E2213" i="1"/>
  <c r="D2213" i="1"/>
  <c r="C2213" i="1"/>
  <c r="A2213" i="1"/>
  <c r="M2212" i="1"/>
  <c r="L2212" i="1"/>
  <c r="K2212" i="1"/>
  <c r="H2212" i="1"/>
  <c r="G2212" i="1"/>
  <c r="F2212" i="1"/>
  <c r="E2212" i="1"/>
  <c r="D2212" i="1"/>
  <c r="C2212" i="1"/>
  <c r="A2212" i="1"/>
  <c r="M2211" i="1"/>
  <c r="K2211" i="1"/>
  <c r="H2211" i="1"/>
  <c r="G2211" i="1"/>
  <c r="F2211" i="1"/>
  <c r="E2211" i="1"/>
  <c r="D2211" i="1"/>
  <c r="C2211" i="1"/>
  <c r="A2211" i="1"/>
  <c r="M2210" i="1"/>
  <c r="K2210" i="1"/>
  <c r="H2210" i="1"/>
  <c r="G2210" i="1"/>
  <c r="F2210" i="1"/>
  <c r="E2210" i="1"/>
  <c r="D2210" i="1"/>
  <c r="C2210" i="1"/>
  <c r="A2210" i="1"/>
  <c r="M2209" i="1"/>
  <c r="K2209" i="1"/>
  <c r="H2209" i="1"/>
  <c r="G2209" i="1"/>
  <c r="F2209" i="1"/>
  <c r="E2209" i="1"/>
  <c r="D2209" i="1"/>
  <c r="C2209" i="1"/>
  <c r="A2209" i="1"/>
  <c r="M2208" i="1"/>
  <c r="L2208" i="1"/>
  <c r="K2208" i="1"/>
  <c r="H2208" i="1"/>
  <c r="G2208" i="1"/>
  <c r="F2208" i="1"/>
  <c r="E2208" i="1"/>
  <c r="D2208" i="1"/>
  <c r="C2208" i="1"/>
  <c r="A2208" i="1"/>
  <c r="M2207" i="1"/>
  <c r="L2207" i="1"/>
  <c r="K2207" i="1"/>
  <c r="H2207" i="1"/>
  <c r="F2207" i="1"/>
  <c r="C2207" i="1"/>
  <c r="A2207" i="1"/>
  <c r="M2206" i="1"/>
  <c r="L2206" i="1"/>
  <c r="K2206" i="1"/>
  <c r="H2206" i="1"/>
  <c r="G2206" i="1"/>
  <c r="F2206" i="1"/>
  <c r="E2206" i="1"/>
  <c r="D2206" i="1"/>
  <c r="C2206" i="1"/>
  <c r="A2206" i="1"/>
  <c r="M2205" i="1"/>
  <c r="L2205" i="1"/>
  <c r="K2205" i="1"/>
  <c r="H2205" i="1"/>
  <c r="G2205" i="1"/>
  <c r="F2205" i="1"/>
  <c r="E2205" i="1"/>
  <c r="D2205" i="1"/>
  <c r="C2205" i="1"/>
  <c r="A2205" i="1"/>
  <c r="M2204" i="1"/>
  <c r="L2204" i="1"/>
  <c r="K2204" i="1"/>
  <c r="H2204" i="1"/>
  <c r="G2204" i="1"/>
  <c r="F2204" i="1"/>
  <c r="E2204" i="1"/>
  <c r="D2204" i="1"/>
  <c r="C2204" i="1"/>
  <c r="A2204" i="1"/>
  <c r="M2203" i="1"/>
  <c r="L2203" i="1"/>
  <c r="K2203" i="1"/>
  <c r="H2203" i="1"/>
  <c r="G2203" i="1"/>
  <c r="F2203" i="1"/>
  <c r="E2203" i="1"/>
  <c r="D2203" i="1"/>
  <c r="C2203" i="1"/>
  <c r="A2203" i="1"/>
  <c r="M2202" i="1"/>
  <c r="L2202" i="1"/>
  <c r="K2202" i="1"/>
  <c r="H2202" i="1"/>
  <c r="G2202" i="1"/>
  <c r="F2202" i="1"/>
  <c r="E2202" i="1"/>
  <c r="D2202" i="1"/>
  <c r="C2202" i="1"/>
  <c r="A2202" i="1"/>
  <c r="M2201" i="1"/>
  <c r="L2201" i="1"/>
  <c r="K2201" i="1"/>
  <c r="H2201" i="1"/>
  <c r="G2201" i="1"/>
  <c r="F2201" i="1"/>
  <c r="E2201" i="1"/>
  <c r="D2201" i="1"/>
  <c r="C2201" i="1"/>
  <c r="A2201" i="1"/>
  <c r="M2200" i="1"/>
  <c r="L2200" i="1"/>
  <c r="K2200" i="1"/>
  <c r="H2200" i="1"/>
  <c r="G2200" i="1"/>
  <c r="F2200" i="1"/>
  <c r="E2200" i="1"/>
  <c r="D2200" i="1"/>
  <c r="C2200" i="1"/>
  <c r="A2200" i="1"/>
  <c r="M2199" i="1"/>
  <c r="L2199" i="1"/>
  <c r="K2199" i="1"/>
  <c r="H2199" i="1"/>
  <c r="F2199" i="1"/>
  <c r="C2199" i="1"/>
  <c r="A2199" i="1"/>
  <c r="M2198" i="1"/>
  <c r="L2198" i="1"/>
  <c r="K2198" i="1"/>
  <c r="H2198" i="1"/>
  <c r="G2198" i="1"/>
  <c r="F2198" i="1"/>
  <c r="E2198" i="1"/>
  <c r="D2198" i="1"/>
  <c r="C2198" i="1"/>
  <c r="A2198" i="1"/>
  <c r="M2197" i="1"/>
  <c r="L2197" i="1"/>
  <c r="K2197" i="1"/>
  <c r="H2197" i="1"/>
  <c r="G2197" i="1"/>
  <c r="F2197" i="1"/>
  <c r="E2197" i="1"/>
  <c r="D2197" i="1"/>
  <c r="C2197" i="1"/>
  <c r="A2197" i="1"/>
  <c r="M2196" i="1"/>
  <c r="L2196" i="1"/>
  <c r="K2196" i="1"/>
  <c r="H2196" i="1"/>
  <c r="G2196" i="1"/>
  <c r="F2196" i="1"/>
  <c r="E2196" i="1"/>
  <c r="D2196" i="1"/>
  <c r="C2196" i="1"/>
  <c r="A2196" i="1"/>
  <c r="M2195" i="1"/>
  <c r="L2195" i="1"/>
  <c r="K2195" i="1"/>
  <c r="H2195" i="1"/>
  <c r="G2195" i="1"/>
  <c r="F2195" i="1"/>
  <c r="E2195" i="1"/>
  <c r="D2195" i="1"/>
  <c r="C2195" i="1"/>
  <c r="A2195" i="1"/>
  <c r="M2194" i="1"/>
  <c r="L2194" i="1"/>
  <c r="K2194" i="1"/>
  <c r="H2194" i="1"/>
  <c r="G2194" i="1"/>
  <c r="F2194" i="1"/>
  <c r="E2194" i="1"/>
  <c r="D2194" i="1"/>
  <c r="C2194" i="1"/>
  <c r="A2194" i="1"/>
  <c r="M2193" i="1"/>
  <c r="L2193" i="1"/>
  <c r="K2193" i="1"/>
  <c r="H2193" i="1"/>
  <c r="G2193" i="1"/>
  <c r="F2193" i="1"/>
  <c r="E2193" i="1"/>
  <c r="D2193" i="1"/>
  <c r="C2193" i="1"/>
  <c r="A2193" i="1"/>
  <c r="M2192" i="1"/>
  <c r="L2192" i="1"/>
  <c r="K2192" i="1"/>
  <c r="H2192" i="1"/>
  <c r="G2192" i="1"/>
  <c r="F2192" i="1"/>
  <c r="E2192" i="1"/>
  <c r="D2192" i="1"/>
  <c r="C2192" i="1"/>
  <c r="A2192" i="1"/>
  <c r="H2191" i="1"/>
  <c r="C2191" i="1"/>
  <c r="A2191" i="1"/>
  <c r="M2190" i="1"/>
  <c r="L2190" i="1"/>
  <c r="K2190" i="1"/>
  <c r="H2190" i="1"/>
  <c r="F2190" i="1"/>
  <c r="C2190" i="1"/>
  <c r="A2190" i="1"/>
  <c r="M2189" i="1"/>
  <c r="L2189" i="1"/>
  <c r="K2189" i="1"/>
  <c r="H2189" i="1"/>
  <c r="F2189" i="1"/>
  <c r="C2189" i="1"/>
  <c r="A2189" i="1"/>
  <c r="M2188" i="1"/>
  <c r="L2188" i="1"/>
  <c r="K2188" i="1"/>
  <c r="H2188" i="1"/>
  <c r="G2188" i="1"/>
  <c r="F2188" i="1"/>
  <c r="E2188" i="1"/>
  <c r="D2188" i="1"/>
  <c r="C2188" i="1"/>
  <c r="A2188" i="1"/>
  <c r="M2187" i="1"/>
  <c r="L2187" i="1"/>
  <c r="K2187" i="1"/>
  <c r="H2187" i="1"/>
  <c r="G2187" i="1"/>
  <c r="F2187" i="1"/>
  <c r="E2187" i="1"/>
  <c r="D2187" i="1"/>
  <c r="C2187" i="1"/>
  <c r="A2187" i="1"/>
  <c r="M2186" i="1"/>
  <c r="K2186" i="1"/>
  <c r="H2186" i="1"/>
  <c r="G2186" i="1"/>
  <c r="F2186" i="1"/>
  <c r="E2186" i="1"/>
  <c r="D2186" i="1"/>
  <c r="C2186" i="1"/>
  <c r="A2186" i="1"/>
  <c r="M2185" i="1"/>
  <c r="L2185" i="1"/>
  <c r="K2185" i="1"/>
  <c r="H2185" i="1"/>
  <c r="G2185" i="1"/>
  <c r="F2185" i="1"/>
  <c r="E2185" i="1"/>
  <c r="D2185" i="1"/>
  <c r="C2185" i="1"/>
  <c r="A2185" i="1"/>
  <c r="M2184" i="1"/>
  <c r="L2184" i="1"/>
  <c r="K2184" i="1"/>
  <c r="H2184" i="1"/>
  <c r="G2184" i="1"/>
  <c r="F2184" i="1"/>
  <c r="E2184" i="1"/>
  <c r="D2184" i="1"/>
  <c r="C2184" i="1"/>
  <c r="A2184" i="1"/>
  <c r="M2183" i="1"/>
  <c r="L2183" i="1"/>
  <c r="K2183" i="1"/>
  <c r="H2183" i="1"/>
  <c r="G2183" i="1"/>
  <c r="F2183" i="1"/>
  <c r="E2183" i="1"/>
  <c r="D2183" i="1"/>
  <c r="C2183" i="1"/>
  <c r="A2183" i="1"/>
  <c r="M2182" i="1"/>
  <c r="L2182" i="1"/>
  <c r="K2182" i="1"/>
  <c r="H2182" i="1"/>
  <c r="G2182" i="1"/>
  <c r="F2182" i="1"/>
  <c r="E2182" i="1"/>
  <c r="D2182" i="1"/>
  <c r="C2182" i="1"/>
  <c r="A2182" i="1"/>
  <c r="M2181" i="1"/>
  <c r="L2181" i="1"/>
  <c r="K2181" i="1"/>
  <c r="H2181" i="1"/>
  <c r="G2181" i="1"/>
  <c r="F2181" i="1"/>
  <c r="E2181" i="1"/>
  <c r="D2181" i="1"/>
  <c r="C2181" i="1"/>
  <c r="A2181" i="1"/>
  <c r="M2180" i="1"/>
  <c r="L2180" i="1"/>
  <c r="K2180" i="1"/>
  <c r="H2180" i="1"/>
  <c r="G2180" i="1"/>
  <c r="F2180" i="1"/>
  <c r="E2180" i="1"/>
  <c r="D2180" i="1"/>
  <c r="C2180" i="1"/>
  <c r="A2180" i="1"/>
  <c r="M2179" i="1"/>
  <c r="L2179" i="1"/>
  <c r="K2179" i="1"/>
  <c r="H2179" i="1"/>
  <c r="G2179" i="1"/>
  <c r="F2179" i="1"/>
  <c r="E2179" i="1"/>
  <c r="D2179" i="1"/>
  <c r="C2179" i="1"/>
  <c r="A2179" i="1"/>
  <c r="M2178" i="1"/>
  <c r="L2178" i="1"/>
  <c r="K2178" i="1"/>
  <c r="H2178" i="1"/>
  <c r="G2178" i="1"/>
  <c r="F2178" i="1"/>
  <c r="E2178" i="1"/>
  <c r="D2178" i="1"/>
  <c r="C2178" i="1"/>
  <c r="A2178" i="1"/>
  <c r="M2177" i="1"/>
  <c r="K2177" i="1"/>
  <c r="H2177" i="1"/>
  <c r="G2177" i="1"/>
  <c r="F2177" i="1"/>
  <c r="E2177" i="1"/>
  <c r="D2177" i="1"/>
  <c r="C2177" i="1"/>
  <c r="A2177" i="1"/>
  <c r="M2176" i="1"/>
  <c r="K2176" i="1"/>
  <c r="H2176" i="1"/>
  <c r="G2176" i="1"/>
  <c r="F2176" i="1"/>
  <c r="E2176" i="1"/>
  <c r="D2176" i="1"/>
  <c r="C2176" i="1"/>
  <c r="A2176" i="1"/>
  <c r="M2175" i="1"/>
  <c r="K2175" i="1"/>
  <c r="H2175" i="1"/>
  <c r="G2175" i="1"/>
  <c r="F2175" i="1"/>
  <c r="E2175" i="1"/>
  <c r="D2175" i="1"/>
  <c r="C2175" i="1"/>
  <c r="A2175" i="1"/>
  <c r="M2174" i="1"/>
  <c r="K2174" i="1"/>
  <c r="H2174" i="1"/>
  <c r="G2174" i="1"/>
  <c r="F2174" i="1"/>
  <c r="E2174" i="1"/>
  <c r="D2174" i="1"/>
  <c r="C2174" i="1"/>
  <c r="A2174" i="1"/>
  <c r="M2173" i="1"/>
  <c r="K2173" i="1"/>
  <c r="H2173" i="1"/>
  <c r="G2173" i="1"/>
  <c r="F2173" i="1"/>
  <c r="E2173" i="1"/>
  <c r="D2173" i="1"/>
  <c r="C2173" i="1"/>
  <c r="A2173" i="1"/>
  <c r="M2172" i="1"/>
  <c r="K2172" i="1"/>
  <c r="H2172" i="1"/>
  <c r="F2172" i="1"/>
  <c r="E2172" i="1"/>
  <c r="D2172" i="1"/>
  <c r="C2172" i="1"/>
  <c r="A2172" i="1"/>
  <c r="M2171" i="1"/>
  <c r="L2171" i="1"/>
  <c r="K2171" i="1"/>
  <c r="H2171" i="1"/>
  <c r="G2171" i="1"/>
  <c r="F2171" i="1"/>
  <c r="E2171" i="1"/>
  <c r="D2171" i="1"/>
  <c r="C2171" i="1"/>
  <c r="A2171" i="1"/>
  <c r="M2170" i="1"/>
  <c r="L2170" i="1"/>
  <c r="K2170" i="1"/>
  <c r="H2170" i="1"/>
  <c r="G2170" i="1"/>
  <c r="F2170" i="1"/>
  <c r="E2170" i="1"/>
  <c r="D2170" i="1"/>
  <c r="C2170" i="1"/>
  <c r="A2170" i="1"/>
  <c r="M2169" i="1"/>
  <c r="L2169" i="1"/>
  <c r="K2169" i="1"/>
  <c r="H2169" i="1"/>
  <c r="G2169" i="1"/>
  <c r="F2169" i="1"/>
  <c r="E2169" i="1"/>
  <c r="D2169" i="1"/>
  <c r="C2169" i="1"/>
  <c r="A2169" i="1"/>
  <c r="M2168" i="1"/>
  <c r="L2168" i="1"/>
  <c r="K2168" i="1"/>
  <c r="H2168" i="1"/>
  <c r="G2168" i="1"/>
  <c r="F2168" i="1"/>
  <c r="E2168" i="1"/>
  <c r="D2168" i="1"/>
  <c r="C2168" i="1"/>
  <c r="A2168" i="1"/>
  <c r="M2167" i="1"/>
  <c r="L2167" i="1"/>
  <c r="K2167" i="1"/>
  <c r="H2167" i="1"/>
  <c r="G2167" i="1"/>
  <c r="F2167" i="1"/>
  <c r="E2167" i="1"/>
  <c r="D2167" i="1"/>
  <c r="C2167" i="1"/>
  <c r="A2167" i="1"/>
  <c r="M2166" i="1"/>
  <c r="L2166" i="1"/>
  <c r="K2166" i="1"/>
  <c r="H2166" i="1"/>
  <c r="G2166" i="1"/>
  <c r="F2166" i="1"/>
  <c r="E2166" i="1"/>
  <c r="D2166" i="1"/>
  <c r="C2166" i="1"/>
  <c r="A2166" i="1"/>
  <c r="M2165" i="1"/>
  <c r="L2165" i="1"/>
  <c r="K2165" i="1"/>
  <c r="H2165" i="1"/>
  <c r="G2165" i="1"/>
  <c r="F2165" i="1"/>
  <c r="E2165" i="1"/>
  <c r="D2165" i="1"/>
  <c r="C2165" i="1"/>
  <c r="A2165" i="1"/>
  <c r="M2164" i="1"/>
  <c r="L2164" i="1"/>
  <c r="K2164" i="1"/>
  <c r="H2164" i="1"/>
  <c r="G2164" i="1"/>
  <c r="F2164" i="1"/>
  <c r="E2164" i="1"/>
  <c r="D2164" i="1"/>
  <c r="C2164" i="1"/>
  <c r="A2164" i="1"/>
  <c r="M2163" i="1"/>
  <c r="L2163" i="1"/>
  <c r="K2163" i="1"/>
  <c r="H2163" i="1"/>
  <c r="G2163" i="1"/>
  <c r="F2163" i="1"/>
  <c r="E2163" i="1"/>
  <c r="D2163" i="1"/>
  <c r="C2163" i="1"/>
  <c r="A2163" i="1"/>
  <c r="M2162" i="1"/>
  <c r="L2162" i="1"/>
  <c r="K2162" i="1"/>
  <c r="H2162" i="1"/>
  <c r="G2162" i="1"/>
  <c r="F2162" i="1"/>
  <c r="E2162" i="1"/>
  <c r="D2162" i="1"/>
  <c r="C2162" i="1"/>
  <c r="A2162" i="1"/>
  <c r="M2161" i="1"/>
  <c r="L2161" i="1"/>
  <c r="K2161" i="1"/>
  <c r="H2161" i="1"/>
  <c r="G2161" i="1"/>
  <c r="F2161" i="1"/>
  <c r="E2161" i="1"/>
  <c r="D2161" i="1"/>
  <c r="C2161" i="1"/>
  <c r="A2161" i="1"/>
  <c r="M2160" i="1"/>
  <c r="L2160" i="1"/>
  <c r="K2160" i="1"/>
  <c r="H2160" i="1"/>
  <c r="G2160" i="1"/>
  <c r="F2160" i="1"/>
  <c r="E2160" i="1"/>
  <c r="D2160" i="1"/>
  <c r="C2160" i="1"/>
  <c r="A2160" i="1"/>
  <c r="M2159" i="1"/>
  <c r="L2159" i="1"/>
  <c r="K2159" i="1"/>
  <c r="H2159" i="1"/>
  <c r="G2159" i="1"/>
  <c r="F2159" i="1"/>
  <c r="E2159" i="1"/>
  <c r="D2159" i="1"/>
  <c r="C2159" i="1"/>
  <c r="A2159" i="1"/>
  <c r="M2158" i="1"/>
  <c r="L2158" i="1"/>
  <c r="K2158" i="1"/>
  <c r="H2158" i="1"/>
  <c r="G2158" i="1"/>
  <c r="F2158" i="1"/>
  <c r="E2158" i="1"/>
  <c r="D2158" i="1"/>
  <c r="C2158" i="1"/>
  <c r="A2158" i="1"/>
  <c r="M2157" i="1"/>
  <c r="L2157" i="1"/>
  <c r="K2157" i="1"/>
  <c r="H2157" i="1"/>
  <c r="G2157" i="1"/>
  <c r="F2157" i="1"/>
  <c r="E2157" i="1"/>
  <c r="D2157" i="1"/>
  <c r="C2157" i="1"/>
  <c r="A2157" i="1"/>
  <c r="M2156" i="1"/>
  <c r="L2156" i="1"/>
  <c r="K2156" i="1"/>
  <c r="H2156" i="1"/>
  <c r="G2156" i="1"/>
  <c r="F2156" i="1"/>
  <c r="E2156" i="1"/>
  <c r="D2156" i="1"/>
  <c r="C2156" i="1"/>
  <c r="A2156" i="1"/>
  <c r="M2155" i="1"/>
  <c r="L2155" i="1"/>
  <c r="K2155" i="1"/>
  <c r="H2155" i="1"/>
  <c r="G2155" i="1"/>
  <c r="F2155" i="1"/>
  <c r="E2155" i="1"/>
  <c r="D2155" i="1"/>
  <c r="C2155" i="1"/>
  <c r="A2155" i="1"/>
  <c r="M2154" i="1"/>
  <c r="L2154" i="1"/>
  <c r="K2154" i="1"/>
  <c r="H2154" i="1"/>
  <c r="G2154" i="1"/>
  <c r="F2154" i="1"/>
  <c r="E2154" i="1"/>
  <c r="D2154" i="1"/>
  <c r="C2154" i="1"/>
  <c r="A2154" i="1"/>
  <c r="M2153" i="1"/>
  <c r="L2153" i="1"/>
  <c r="K2153" i="1"/>
  <c r="H2153" i="1"/>
  <c r="G2153" i="1"/>
  <c r="F2153" i="1"/>
  <c r="E2153" i="1"/>
  <c r="D2153" i="1"/>
  <c r="C2153" i="1"/>
  <c r="A2153" i="1"/>
  <c r="M2152" i="1"/>
  <c r="L2152" i="1"/>
  <c r="K2152" i="1"/>
  <c r="H2152" i="1"/>
  <c r="G2152" i="1"/>
  <c r="F2152" i="1"/>
  <c r="E2152" i="1"/>
  <c r="D2152" i="1"/>
  <c r="C2152" i="1"/>
  <c r="A2152" i="1"/>
  <c r="M2151" i="1"/>
  <c r="L2151" i="1"/>
  <c r="K2151" i="1"/>
  <c r="H2151" i="1"/>
  <c r="G2151" i="1"/>
  <c r="F2151" i="1"/>
  <c r="E2151" i="1"/>
  <c r="D2151" i="1"/>
  <c r="C2151" i="1"/>
  <c r="A2151" i="1"/>
  <c r="M2150" i="1"/>
  <c r="L2150" i="1"/>
  <c r="K2150" i="1"/>
  <c r="H2150" i="1"/>
  <c r="G2150" i="1"/>
  <c r="F2150" i="1"/>
  <c r="E2150" i="1"/>
  <c r="D2150" i="1"/>
  <c r="C2150" i="1"/>
  <c r="A2150" i="1"/>
  <c r="M2149" i="1"/>
  <c r="L2149" i="1"/>
  <c r="K2149" i="1"/>
  <c r="H2149" i="1"/>
  <c r="G2149" i="1"/>
  <c r="F2149" i="1"/>
  <c r="E2149" i="1"/>
  <c r="D2149" i="1"/>
  <c r="C2149" i="1"/>
  <c r="A2149" i="1"/>
  <c r="M2148" i="1"/>
  <c r="L2148" i="1"/>
  <c r="K2148" i="1"/>
  <c r="H2148" i="1"/>
  <c r="G2148" i="1"/>
  <c r="F2148" i="1"/>
  <c r="E2148" i="1"/>
  <c r="D2148" i="1"/>
  <c r="C2148" i="1"/>
  <c r="A2148" i="1"/>
  <c r="M2147" i="1"/>
  <c r="L2147" i="1"/>
  <c r="K2147" i="1"/>
  <c r="H2147" i="1"/>
  <c r="G2147" i="1"/>
  <c r="F2147" i="1"/>
  <c r="E2147" i="1"/>
  <c r="D2147" i="1"/>
  <c r="C2147" i="1"/>
  <c r="A2147" i="1"/>
  <c r="M2146" i="1"/>
  <c r="L2146" i="1"/>
  <c r="K2146" i="1"/>
  <c r="H2146" i="1"/>
  <c r="G2146" i="1"/>
  <c r="F2146" i="1"/>
  <c r="E2146" i="1"/>
  <c r="D2146" i="1"/>
  <c r="C2146" i="1"/>
  <c r="A2146" i="1"/>
  <c r="M2145" i="1"/>
  <c r="L2145" i="1"/>
  <c r="K2145" i="1"/>
  <c r="H2145" i="1"/>
  <c r="G2145" i="1"/>
  <c r="F2145" i="1"/>
  <c r="E2145" i="1"/>
  <c r="D2145" i="1"/>
  <c r="C2145" i="1"/>
  <c r="A2145" i="1"/>
  <c r="M2144" i="1"/>
  <c r="L2144" i="1"/>
  <c r="K2144" i="1"/>
  <c r="H2144" i="1"/>
  <c r="G2144" i="1"/>
  <c r="F2144" i="1"/>
  <c r="E2144" i="1"/>
  <c r="D2144" i="1"/>
  <c r="C2144" i="1"/>
  <c r="A2144" i="1"/>
  <c r="H2143" i="1"/>
  <c r="G2143" i="1"/>
  <c r="F2143" i="1"/>
  <c r="E2143" i="1"/>
  <c r="D2143" i="1"/>
  <c r="C2143" i="1"/>
  <c r="A2143" i="1"/>
  <c r="M2142" i="1"/>
  <c r="K2142" i="1"/>
  <c r="H2142" i="1"/>
  <c r="G2142" i="1"/>
  <c r="F2142" i="1"/>
  <c r="E2142" i="1"/>
  <c r="D2142" i="1"/>
  <c r="C2142" i="1"/>
  <c r="A2142" i="1"/>
  <c r="M2141" i="1"/>
  <c r="K2141" i="1"/>
  <c r="H2141" i="1"/>
  <c r="G2141" i="1"/>
  <c r="F2141" i="1"/>
  <c r="E2141" i="1"/>
  <c r="D2141" i="1"/>
  <c r="C2141" i="1"/>
  <c r="A2141" i="1"/>
  <c r="M2140" i="1"/>
  <c r="K2140" i="1"/>
  <c r="H2140" i="1"/>
  <c r="G2140" i="1"/>
  <c r="F2140" i="1"/>
  <c r="E2140" i="1"/>
  <c r="D2140" i="1"/>
  <c r="C2140" i="1"/>
  <c r="A2140" i="1"/>
  <c r="M2139" i="1"/>
  <c r="K2139" i="1"/>
  <c r="H2139" i="1"/>
  <c r="G2139" i="1"/>
  <c r="F2139" i="1"/>
  <c r="E2139" i="1"/>
  <c r="D2139" i="1"/>
  <c r="C2139" i="1"/>
  <c r="A2139" i="1"/>
  <c r="M2138" i="1"/>
  <c r="K2138" i="1"/>
  <c r="H2138" i="1"/>
  <c r="G2138" i="1"/>
  <c r="F2138" i="1"/>
  <c r="E2138" i="1"/>
  <c r="D2138" i="1"/>
  <c r="C2138" i="1"/>
  <c r="A2138" i="1"/>
  <c r="M2137" i="1"/>
  <c r="K2137" i="1"/>
  <c r="H2137" i="1"/>
  <c r="G2137" i="1"/>
  <c r="F2137" i="1"/>
  <c r="E2137" i="1"/>
  <c r="D2137" i="1"/>
  <c r="C2137" i="1"/>
  <c r="A2137" i="1"/>
  <c r="H2136" i="1"/>
  <c r="G2136" i="1"/>
  <c r="F2136" i="1"/>
  <c r="E2136" i="1"/>
  <c r="D2136" i="1"/>
  <c r="C2136" i="1"/>
  <c r="A2136" i="1"/>
  <c r="H2135" i="1"/>
  <c r="F2135" i="1"/>
  <c r="E2135" i="1"/>
  <c r="D2135" i="1"/>
  <c r="C2135" i="1"/>
  <c r="A2135" i="1"/>
  <c r="M2134" i="1"/>
  <c r="L2134" i="1"/>
  <c r="K2134" i="1"/>
  <c r="H2134" i="1"/>
  <c r="G2134" i="1"/>
  <c r="F2134" i="1"/>
  <c r="E2134" i="1"/>
  <c r="D2134" i="1"/>
  <c r="C2134" i="1"/>
  <c r="A2134" i="1"/>
  <c r="M2133" i="1"/>
  <c r="L2133" i="1"/>
  <c r="K2133" i="1"/>
  <c r="H2133" i="1"/>
  <c r="G2133" i="1"/>
  <c r="F2133" i="1"/>
  <c r="E2133" i="1"/>
  <c r="D2133" i="1"/>
  <c r="C2133" i="1"/>
  <c r="A2133" i="1"/>
  <c r="M2132" i="1"/>
  <c r="L2132" i="1"/>
  <c r="K2132" i="1"/>
  <c r="H2132" i="1"/>
  <c r="G2132" i="1"/>
  <c r="F2132" i="1"/>
  <c r="E2132" i="1"/>
  <c r="D2132" i="1"/>
  <c r="C2132" i="1"/>
  <c r="A2132" i="1"/>
  <c r="M2131" i="1"/>
  <c r="L2131" i="1"/>
  <c r="K2131" i="1"/>
  <c r="H2131" i="1"/>
  <c r="G2131" i="1"/>
  <c r="F2131" i="1"/>
  <c r="E2131" i="1"/>
  <c r="D2131" i="1"/>
  <c r="C2131" i="1"/>
  <c r="A2131" i="1"/>
  <c r="M2130" i="1"/>
  <c r="L2130" i="1"/>
  <c r="K2130" i="1"/>
  <c r="H2130" i="1"/>
  <c r="G2130" i="1"/>
  <c r="F2130" i="1"/>
  <c r="E2130" i="1"/>
  <c r="D2130" i="1"/>
  <c r="C2130" i="1"/>
  <c r="A2130" i="1"/>
  <c r="M2129" i="1"/>
  <c r="L2129" i="1"/>
  <c r="K2129" i="1"/>
  <c r="H2129" i="1"/>
  <c r="G2129" i="1"/>
  <c r="F2129" i="1"/>
  <c r="E2129" i="1"/>
  <c r="D2129" i="1"/>
  <c r="C2129" i="1"/>
  <c r="A2129" i="1"/>
  <c r="M2128" i="1"/>
  <c r="L2128" i="1"/>
  <c r="K2128" i="1"/>
  <c r="H2128" i="1"/>
  <c r="G2128" i="1"/>
  <c r="F2128" i="1"/>
  <c r="E2128" i="1"/>
  <c r="D2128" i="1"/>
  <c r="C2128" i="1"/>
  <c r="A2128" i="1"/>
  <c r="M2127" i="1"/>
  <c r="L2127" i="1"/>
  <c r="K2127" i="1"/>
  <c r="H2127" i="1"/>
  <c r="G2127" i="1"/>
  <c r="F2127" i="1"/>
  <c r="E2127" i="1"/>
  <c r="D2127" i="1"/>
  <c r="C2127" i="1"/>
  <c r="A2127" i="1"/>
  <c r="M2126" i="1"/>
  <c r="L2126" i="1"/>
  <c r="K2126" i="1"/>
  <c r="H2126" i="1"/>
  <c r="G2126" i="1"/>
  <c r="F2126" i="1"/>
  <c r="E2126" i="1"/>
  <c r="D2126" i="1"/>
  <c r="C2126" i="1"/>
  <c r="A2126" i="1"/>
  <c r="M2125" i="1"/>
  <c r="L2125" i="1"/>
  <c r="K2125" i="1"/>
  <c r="H2125" i="1"/>
  <c r="G2125" i="1"/>
  <c r="F2125" i="1"/>
  <c r="E2125" i="1"/>
  <c r="D2125" i="1"/>
  <c r="C2125" i="1"/>
  <c r="A2125" i="1"/>
  <c r="M2124" i="1"/>
  <c r="L2124" i="1"/>
  <c r="K2124" i="1"/>
  <c r="H2124" i="1"/>
  <c r="G2124" i="1"/>
  <c r="F2124" i="1"/>
  <c r="E2124" i="1"/>
  <c r="D2124" i="1"/>
  <c r="C2124" i="1"/>
  <c r="A2124" i="1"/>
  <c r="M2123" i="1"/>
  <c r="L2123" i="1"/>
  <c r="K2123" i="1"/>
  <c r="H2123" i="1"/>
  <c r="G2123" i="1"/>
  <c r="F2123" i="1"/>
  <c r="E2123" i="1"/>
  <c r="D2123" i="1"/>
  <c r="C2123" i="1"/>
  <c r="A2123" i="1"/>
  <c r="M2122" i="1"/>
  <c r="L2122" i="1"/>
  <c r="K2122" i="1"/>
  <c r="H2122" i="1"/>
  <c r="G2122" i="1"/>
  <c r="F2122" i="1"/>
  <c r="E2122" i="1"/>
  <c r="D2122" i="1"/>
  <c r="C2122" i="1"/>
  <c r="A2122" i="1"/>
  <c r="M2121" i="1"/>
  <c r="L2121" i="1"/>
  <c r="K2121" i="1"/>
  <c r="H2121" i="1"/>
  <c r="G2121" i="1"/>
  <c r="F2121" i="1"/>
  <c r="E2121" i="1"/>
  <c r="D2121" i="1"/>
  <c r="C2121" i="1"/>
  <c r="A2121" i="1"/>
  <c r="M2120" i="1"/>
  <c r="K2120" i="1"/>
  <c r="H2120" i="1"/>
  <c r="G2120" i="1"/>
  <c r="F2120" i="1"/>
  <c r="E2120" i="1"/>
  <c r="D2120" i="1"/>
  <c r="C2120" i="1"/>
  <c r="A2120" i="1"/>
  <c r="M2119" i="1"/>
  <c r="L2119" i="1"/>
  <c r="K2119" i="1"/>
  <c r="H2119" i="1"/>
  <c r="G2119" i="1"/>
  <c r="F2119" i="1"/>
  <c r="E2119" i="1"/>
  <c r="D2119" i="1"/>
  <c r="C2119" i="1"/>
  <c r="A2119" i="1"/>
  <c r="M2118" i="1"/>
  <c r="K2118" i="1"/>
  <c r="H2118" i="1"/>
  <c r="G2118" i="1"/>
  <c r="F2118" i="1"/>
  <c r="E2118" i="1"/>
  <c r="D2118" i="1"/>
  <c r="C2118" i="1"/>
  <c r="A2118" i="1"/>
  <c r="M2117" i="1"/>
  <c r="L2117" i="1"/>
  <c r="K2117" i="1"/>
  <c r="H2117" i="1"/>
  <c r="G2117" i="1"/>
  <c r="F2117" i="1"/>
  <c r="E2117" i="1"/>
  <c r="D2117" i="1"/>
  <c r="C2117" i="1"/>
  <c r="A2117" i="1"/>
  <c r="M2116" i="1"/>
  <c r="L2116" i="1"/>
  <c r="K2116" i="1"/>
  <c r="H2116" i="1"/>
  <c r="G2116" i="1"/>
  <c r="F2116" i="1"/>
  <c r="E2116" i="1"/>
  <c r="D2116" i="1"/>
  <c r="C2116" i="1"/>
  <c r="A2116" i="1"/>
  <c r="M2115" i="1"/>
  <c r="L2115" i="1"/>
  <c r="K2115" i="1"/>
  <c r="H2115" i="1"/>
  <c r="G2115" i="1"/>
  <c r="F2115" i="1"/>
  <c r="E2115" i="1"/>
  <c r="D2115" i="1"/>
  <c r="C2115" i="1"/>
  <c r="A2115" i="1"/>
  <c r="M2114" i="1"/>
  <c r="L2114" i="1"/>
  <c r="K2114" i="1"/>
  <c r="H2114" i="1"/>
  <c r="G2114" i="1"/>
  <c r="F2114" i="1"/>
  <c r="E2114" i="1"/>
  <c r="D2114" i="1"/>
  <c r="C2114" i="1"/>
  <c r="A2114" i="1"/>
  <c r="M2113" i="1"/>
  <c r="L2113" i="1"/>
  <c r="K2113" i="1"/>
  <c r="H2113" i="1"/>
  <c r="G2113" i="1"/>
  <c r="F2113" i="1"/>
  <c r="E2113" i="1"/>
  <c r="D2113" i="1"/>
  <c r="C2113" i="1"/>
  <c r="A2113" i="1"/>
  <c r="M2112" i="1"/>
  <c r="L2112" i="1"/>
  <c r="K2112" i="1"/>
  <c r="H2112" i="1"/>
  <c r="G2112" i="1"/>
  <c r="F2112" i="1"/>
  <c r="E2112" i="1"/>
  <c r="D2112" i="1"/>
  <c r="C2112" i="1"/>
  <c r="A2112" i="1"/>
  <c r="M2111" i="1"/>
  <c r="L2111" i="1"/>
  <c r="K2111" i="1"/>
  <c r="H2111" i="1"/>
  <c r="G2111" i="1"/>
  <c r="F2111" i="1"/>
  <c r="E2111" i="1"/>
  <c r="D2111" i="1"/>
  <c r="C2111" i="1"/>
  <c r="A2111" i="1"/>
  <c r="M2110" i="1"/>
  <c r="L2110" i="1"/>
  <c r="K2110" i="1"/>
  <c r="H2110" i="1"/>
  <c r="G2110" i="1"/>
  <c r="F2110" i="1"/>
  <c r="E2110" i="1"/>
  <c r="D2110" i="1"/>
  <c r="C2110" i="1"/>
  <c r="A2110" i="1"/>
  <c r="M2109" i="1"/>
  <c r="L2109" i="1"/>
  <c r="K2109" i="1"/>
  <c r="H2109" i="1"/>
  <c r="G2109" i="1"/>
  <c r="F2109" i="1"/>
  <c r="E2109" i="1"/>
  <c r="D2109" i="1"/>
  <c r="C2109" i="1"/>
  <c r="A2109" i="1"/>
  <c r="M2108" i="1"/>
  <c r="L2108" i="1"/>
  <c r="K2108" i="1"/>
  <c r="H2108" i="1"/>
  <c r="G2108" i="1"/>
  <c r="F2108" i="1"/>
  <c r="E2108" i="1"/>
  <c r="D2108" i="1"/>
  <c r="C2108" i="1"/>
  <c r="A2108" i="1"/>
  <c r="M2107" i="1"/>
  <c r="K2107" i="1"/>
  <c r="H2107" i="1"/>
  <c r="G2107" i="1"/>
  <c r="F2107" i="1"/>
  <c r="E2107" i="1"/>
  <c r="D2107" i="1"/>
  <c r="C2107" i="1"/>
  <c r="A2107" i="1"/>
  <c r="M2106" i="1"/>
  <c r="K2106" i="1"/>
  <c r="H2106" i="1"/>
  <c r="G2106" i="1"/>
  <c r="F2106" i="1"/>
  <c r="E2106" i="1"/>
  <c r="D2106" i="1"/>
  <c r="C2106" i="1"/>
  <c r="A2106" i="1"/>
  <c r="M2105" i="1"/>
  <c r="L2105" i="1"/>
  <c r="K2105" i="1"/>
  <c r="H2105" i="1"/>
  <c r="G2105" i="1"/>
  <c r="F2105" i="1"/>
  <c r="E2105" i="1"/>
  <c r="D2105" i="1"/>
  <c r="C2105" i="1"/>
  <c r="A2105" i="1"/>
  <c r="M2104" i="1"/>
  <c r="K2104" i="1"/>
  <c r="H2104" i="1"/>
  <c r="G2104" i="1"/>
  <c r="F2104" i="1"/>
  <c r="E2104" i="1"/>
  <c r="D2104" i="1"/>
  <c r="C2104" i="1"/>
  <c r="A2104" i="1"/>
  <c r="M2103" i="1"/>
  <c r="K2103" i="1"/>
  <c r="H2103" i="1"/>
  <c r="G2103" i="1"/>
  <c r="F2103" i="1"/>
  <c r="E2103" i="1"/>
  <c r="D2103" i="1"/>
  <c r="C2103" i="1"/>
  <c r="A2103" i="1"/>
  <c r="M2102" i="1"/>
  <c r="K2102" i="1"/>
  <c r="H2102" i="1"/>
  <c r="G2102" i="1"/>
  <c r="F2102" i="1"/>
  <c r="E2102" i="1"/>
  <c r="D2102" i="1"/>
  <c r="C2102" i="1"/>
  <c r="A2102" i="1"/>
  <c r="M2101" i="1"/>
  <c r="K2101" i="1"/>
  <c r="H2101" i="1"/>
  <c r="G2101" i="1"/>
  <c r="F2101" i="1"/>
  <c r="E2101" i="1"/>
  <c r="D2101" i="1"/>
  <c r="C2101" i="1"/>
  <c r="A2101" i="1"/>
  <c r="M2100" i="1"/>
  <c r="K2100" i="1"/>
  <c r="H2100" i="1"/>
  <c r="G2100" i="1"/>
  <c r="F2100" i="1"/>
  <c r="E2100" i="1"/>
  <c r="D2100" i="1"/>
  <c r="C2100" i="1"/>
  <c r="A2100" i="1"/>
  <c r="M2099" i="1"/>
  <c r="K2099" i="1"/>
  <c r="H2099" i="1"/>
  <c r="G2099" i="1"/>
  <c r="F2099" i="1"/>
  <c r="E2099" i="1"/>
  <c r="D2099" i="1"/>
  <c r="C2099" i="1"/>
  <c r="A2099" i="1"/>
  <c r="M2098" i="1"/>
  <c r="L2098" i="1"/>
  <c r="K2098" i="1"/>
  <c r="H2098" i="1"/>
  <c r="G2098" i="1"/>
  <c r="F2098" i="1"/>
  <c r="E2098" i="1"/>
  <c r="D2098" i="1"/>
  <c r="C2098" i="1"/>
  <c r="A2098" i="1"/>
  <c r="M2097" i="1"/>
  <c r="L2097" i="1"/>
  <c r="K2097" i="1"/>
  <c r="H2097" i="1"/>
  <c r="G2097" i="1"/>
  <c r="F2097" i="1"/>
  <c r="E2097" i="1"/>
  <c r="D2097" i="1"/>
  <c r="C2097" i="1"/>
  <c r="A2097" i="1"/>
  <c r="M2096" i="1"/>
  <c r="K2096" i="1"/>
  <c r="H2096" i="1"/>
  <c r="G2096" i="1"/>
  <c r="F2096" i="1"/>
  <c r="E2096" i="1"/>
  <c r="D2096" i="1"/>
  <c r="C2096" i="1"/>
  <c r="A2096" i="1"/>
  <c r="M2095" i="1"/>
  <c r="K2095" i="1"/>
  <c r="H2095" i="1"/>
  <c r="G2095" i="1"/>
  <c r="F2095" i="1"/>
  <c r="E2095" i="1"/>
  <c r="D2095" i="1"/>
  <c r="C2095" i="1"/>
  <c r="A2095" i="1"/>
  <c r="M2094" i="1"/>
  <c r="L2094" i="1"/>
  <c r="K2094" i="1"/>
  <c r="H2094" i="1"/>
  <c r="G2094" i="1"/>
  <c r="F2094" i="1"/>
  <c r="E2094" i="1"/>
  <c r="D2094" i="1"/>
  <c r="C2094" i="1"/>
  <c r="A2094" i="1"/>
  <c r="M2093" i="1"/>
  <c r="L2093" i="1"/>
  <c r="K2093" i="1"/>
  <c r="H2093" i="1"/>
  <c r="G2093" i="1"/>
  <c r="F2093" i="1"/>
  <c r="E2093" i="1"/>
  <c r="D2093" i="1"/>
  <c r="C2093" i="1"/>
  <c r="A2093" i="1"/>
  <c r="M2092" i="1"/>
  <c r="L2092" i="1"/>
  <c r="K2092" i="1"/>
  <c r="H2092" i="1"/>
  <c r="G2092" i="1"/>
  <c r="F2092" i="1"/>
  <c r="E2092" i="1"/>
  <c r="D2092" i="1"/>
  <c r="C2092" i="1"/>
  <c r="A2092" i="1"/>
  <c r="M2091" i="1"/>
  <c r="L2091" i="1"/>
  <c r="K2091" i="1"/>
  <c r="H2091" i="1"/>
  <c r="G2091" i="1"/>
  <c r="F2091" i="1"/>
  <c r="E2091" i="1"/>
  <c r="D2091" i="1"/>
  <c r="C2091" i="1"/>
  <c r="A2091" i="1"/>
  <c r="M2090" i="1"/>
  <c r="L2090" i="1"/>
  <c r="K2090" i="1"/>
  <c r="H2090" i="1"/>
  <c r="G2090" i="1"/>
  <c r="F2090" i="1"/>
  <c r="E2090" i="1"/>
  <c r="D2090" i="1"/>
  <c r="C2090" i="1"/>
  <c r="A2090" i="1"/>
  <c r="M2089" i="1"/>
  <c r="L2089" i="1"/>
  <c r="K2089" i="1"/>
  <c r="H2089" i="1"/>
  <c r="G2089" i="1"/>
  <c r="F2089" i="1"/>
  <c r="E2089" i="1"/>
  <c r="D2089" i="1"/>
  <c r="C2089" i="1"/>
  <c r="A2089" i="1"/>
  <c r="M2088" i="1"/>
  <c r="L2088" i="1"/>
  <c r="K2088" i="1"/>
  <c r="H2088" i="1"/>
  <c r="G2088" i="1"/>
  <c r="F2088" i="1"/>
  <c r="E2088" i="1"/>
  <c r="D2088" i="1"/>
  <c r="C2088" i="1"/>
  <c r="A2088" i="1"/>
  <c r="M2087" i="1"/>
  <c r="L2087" i="1"/>
  <c r="K2087" i="1"/>
  <c r="H2087" i="1"/>
  <c r="G2087" i="1"/>
  <c r="F2087" i="1"/>
  <c r="E2087" i="1"/>
  <c r="D2087" i="1"/>
  <c r="C2087" i="1"/>
  <c r="A2087" i="1"/>
  <c r="M2086" i="1"/>
  <c r="L2086" i="1"/>
  <c r="K2086" i="1"/>
  <c r="H2086" i="1"/>
  <c r="G2086" i="1"/>
  <c r="F2086" i="1"/>
  <c r="E2086" i="1"/>
  <c r="D2086" i="1"/>
  <c r="C2086" i="1"/>
  <c r="A2086" i="1"/>
  <c r="M2085" i="1"/>
  <c r="L2085" i="1"/>
  <c r="K2085" i="1"/>
  <c r="H2085" i="1"/>
  <c r="G2085" i="1"/>
  <c r="F2085" i="1"/>
  <c r="E2085" i="1"/>
  <c r="D2085" i="1"/>
  <c r="C2085" i="1"/>
  <c r="A2085" i="1"/>
  <c r="M2084" i="1"/>
  <c r="K2084" i="1"/>
  <c r="H2084" i="1"/>
  <c r="G2084" i="1"/>
  <c r="F2084" i="1"/>
  <c r="E2084" i="1"/>
  <c r="D2084" i="1"/>
  <c r="C2084" i="1"/>
  <c r="A2084" i="1"/>
  <c r="M2083" i="1"/>
  <c r="L2083" i="1"/>
  <c r="K2083" i="1"/>
  <c r="H2083" i="1"/>
  <c r="G2083" i="1"/>
  <c r="F2083" i="1"/>
  <c r="E2083" i="1"/>
  <c r="D2083" i="1"/>
  <c r="C2083" i="1"/>
  <c r="A2083" i="1"/>
  <c r="M2082" i="1"/>
  <c r="K2082" i="1"/>
  <c r="H2082" i="1"/>
  <c r="G2082" i="1"/>
  <c r="F2082" i="1"/>
  <c r="E2082" i="1"/>
  <c r="D2082" i="1"/>
  <c r="C2082" i="1"/>
  <c r="A2082" i="1"/>
  <c r="M2081" i="1"/>
  <c r="L2081" i="1"/>
  <c r="K2081" i="1"/>
  <c r="H2081" i="1"/>
  <c r="G2081" i="1"/>
  <c r="F2081" i="1"/>
  <c r="E2081" i="1"/>
  <c r="D2081" i="1"/>
  <c r="C2081" i="1"/>
  <c r="A2081" i="1"/>
  <c r="M2080" i="1"/>
  <c r="L2080" i="1"/>
  <c r="K2080" i="1"/>
  <c r="H2080" i="1"/>
  <c r="G2080" i="1"/>
  <c r="F2080" i="1"/>
  <c r="E2080" i="1"/>
  <c r="D2080" i="1"/>
  <c r="C2080" i="1"/>
  <c r="A2080" i="1"/>
  <c r="M2079" i="1"/>
  <c r="L2079" i="1"/>
  <c r="K2079" i="1"/>
  <c r="H2079" i="1"/>
  <c r="G2079" i="1"/>
  <c r="F2079" i="1"/>
  <c r="E2079" i="1"/>
  <c r="D2079" i="1"/>
  <c r="C2079" i="1"/>
  <c r="A2079" i="1"/>
  <c r="M2078" i="1"/>
  <c r="L2078" i="1"/>
  <c r="K2078" i="1"/>
  <c r="H2078" i="1"/>
  <c r="G2078" i="1"/>
  <c r="F2078" i="1"/>
  <c r="E2078" i="1"/>
  <c r="D2078" i="1"/>
  <c r="C2078" i="1"/>
  <c r="A2078" i="1"/>
  <c r="M2077" i="1"/>
  <c r="L2077" i="1"/>
  <c r="K2077" i="1"/>
  <c r="H2077" i="1"/>
  <c r="G2077" i="1"/>
  <c r="F2077" i="1"/>
  <c r="E2077" i="1"/>
  <c r="D2077" i="1"/>
  <c r="C2077" i="1"/>
  <c r="A2077" i="1"/>
  <c r="M2076" i="1"/>
  <c r="L2076" i="1"/>
  <c r="K2076" i="1"/>
  <c r="H2076" i="1"/>
  <c r="G2076" i="1"/>
  <c r="F2076" i="1"/>
  <c r="E2076" i="1"/>
  <c r="D2076" i="1"/>
  <c r="C2076" i="1"/>
  <c r="A2076" i="1"/>
  <c r="M2075" i="1"/>
  <c r="K2075" i="1"/>
  <c r="H2075" i="1"/>
  <c r="G2075" i="1"/>
  <c r="F2075" i="1"/>
  <c r="E2075" i="1"/>
  <c r="D2075" i="1"/>
  <c r="C2075" i="1"/>
  <c r="A2075" i="1"/>
  <c r="M2074" i="1"/>
  <c r="L2074" i="1"/>
  <c r="K2074" i="1"/>
  <c r="H2074" i="1"/>
  <c r="G2074" i="1"/>
  <c r="F2074" i="1"/>
  <c r="E2074" i="1"/>
  <c r="D2074" i="1"/>
  <c r="C2074" i="1"/>
  <c r="A2074" i="1"/>
  <c r="M2073" i="1"/>
  <c r="L2073" i="1"/>
  <c r="K2073" i="1"/>
  <c r="H2073" i="1"/>
  <c r="G2073" i="1"/>
  <c r="F2073" i="1"/>
  <c r="E2073" i="1"/>
  <c r="D2073" i="1"/>
  <c r="C2073" i="1"/>
  <c r="A2073" i="1"/>
  <c r="M2072" i="1"/>
  <c r="L2072" i="1"/>
  <c r="K2072" i="1"/>
  <c r="H2072" i="1"/>
  <c r="G2072" i="1"/>
  <c r="F2072" i="1"/>
  <c r="E2072" i="1"/>
  <c r="D2072" i="1"/>
  <c r="C2072" i="1"/>
  <c r="A2072" i="1"/>
  <c r="M2071" i="1"/>
  <c r="L2071" i="1"/>
  <c r="K2071" i="1"/>
  <c r="H2071" i="1"/>
  <c r="G2071" i="1"/>
  <c r="F2071" i="1"/>
  <c r="E2071" i="1"/>
  <c r="D2071" i="1"/>
  <c r="C2071" i="1"/>
  <c r="A2071" i="1"/>
  <c r="M2070" i="1"/>
  <c r="L2070" i="1"/>
  <c r="K2070" i="1"/>
  <c r="H2070" i="1"/>
  <c r="G2070" i="1"/>
  <c r="F2070" i="1"/>
  <c r="E2070" i="1"/>
  <c r="D2070" i="1"/>
  <c r="C2070" i="1"/>
  <c r="A2070" i="1"/>
  <c r="M2069" i="1"/>
  <c r="L2069" i="1"/>
  <c r="K2069" i="1"/>
  <c r="H2069" i="1"/>
  <c r="G2069" i="1"/>
  <c r="F2069" i="1"/>
  <c r="E2069" i="1"/>
  <c r="D2069" i="1"/>
  <c r="C2069" i="1"/>
  <c r="A2069" i="1"/>
  <c r="M2068" i="1"/>
  <c r="L2068" i="1"/>
  <c r="K2068" i="1"/>
  <c r="H2068" i="1"/>
  <c r="G2068" i="1"/>
  <c r="F2068" i="1"/>
  <c r="E2068" i="1"/>
  <c r="D2068" i="1"/>
  <c r="C2068" i="1"/>
  <c r="A2068" i="1"/>
  <c r="M2067" i="1"/>
  <c r="L2067" i="1"/>
  <c r="K2067" i="1"/>
  <c r="H2067" i="1"/>
  <c r="G2067" i="1"/>
  <c r="F2067" i="1"/>
  <c r="E2067" i="1"/>
  <c r="D2067" i="1"/>
  <c r="C2067" i="1"/>
  <c r="A2067" i="1"/>
  <c r="M2066" i="1"/>
  <c r="L2066" i="1"/>
  <c r="K2066" i="1"/>
  <c r="H2066" i="1"/>
  <c r="G2066" i="1"/>
  <c r="F2066" i="1"/>
  <c r="E2066" i="1"/>
  <c r="D2066" i="1"/>
  <c r="C2066" i="1"/>
  <c r="A2066" i="1"/>
  <c r="M2065" i="1"/>
  <c r="L2065" i="1"/>
  <c r="K2065" i="1"/>
  <c r="H2065" i="1"/>
  <c r="G2065" i="1"/>
  <c r="F2065" i="1"/>
  <c r="E2065" i="1"/>
  <c r="D2065" i="1"/>
  <c r="C2065" i="1"/>
  <c r="A2065" i="1"/>
  <c r="M2064" i="1"/>
  <c r="K2064" i="1"/>
  <c r="H2064" i="1"/>
  <c r="G2064" i="1"/>
  <c r="F2064" i="1"/>
  <c r="E2064" i="1"/>
  <c r="D2064" i="1"/>
  <c r="C2064" i="1"/>
  <c r="A2064" i="1"/>
  <c r="M2063" i="1"/>
  <c r="L2063" i="1"/>
  <c r="K2063" i="1"/>
  <c r="H2063" i="1"/>
  <c r="G2063" i="1"/>
  <c r="F2063" i="1"/>
  <c r="E2063" i="1"/>
  <c r="D2063" i="1"/>
  <c r="C2063" i="1"/>
  <c r="A2063" i="1"/>
  <c r="M2062" i="1"/>
  <c r="K2062" i="1"/>
  <c r="H2062" i="1"/>
  <c r="G2062" i="1"/>
  <c r="F2062" i="1"/>
  <c r="E2062" i="1"/>
  <c r="D2062" i="1"/>
  <c r="C2062" i="1"/>
  <c r="A2062" i="1"/>
  <c r="M2061" i="1"/>
  <c r="L2061" i="1"/>
  <c r="K2061" i="1"/>
  <c r="H2061" i="1"/>
  <c r="G2061" i="1"/>
  <c r="F2061" i="1"/>
  <c r="E2061" i="1"/>
  <c r="D2061" i="1"/>
  <c r="C2061" i="1"/>
  <c r="A2061" i="1"/>
  <c r="M2060" i="1"/>
  <c r="K2060" i="1"/>
  <c r="H2060" i="1"/>
  <c r="G2060" i="1"/>
  <c r="F2060" i="1"/>
  <c r="E2060" i="1"/>
  <c r="D2060" i="1"/>
  <c r="C2060" i="1"/>
  <c r="A2060" i="1"/>
  <c r="M2059" i="1"/>
  <c r="K2059" i="1"/>
  <c r="H2059" i="1"/>
  <c r="G2059" i="1"/>
  <c r="F2059" i="1"/>
  <c r="E2059" i="1"/>
  <c r="D2059" i="1"/>
  <c r="C2059" i="1"/>
  <c r="A2059" i="1"/>
  <c r="M2058" i="1"/>
  <c r="K2058" i="1"/>
  <c r="H2058" i="1"/>
  <c r="G2058" i="1"/>
  <c r="F2058" i="1"/>
  <c r="E2058" i="1"/>
  <c r="D2058" i="1"/>
  <c r="C2058" i="1"/>
  <c r="A2058" i="1"/>
  <c r="M2057" i="1"/>
  <c r="K2057" i="1"/>
  <c r="H2057" i="1"/>
  <c r="G2057" i="1"/>
  <c r="F2057" i="1"/>
  <c r="E2057" i="1"/>
  <c r="D2057" i="1"/>
  <c r="C2057" i="1"/>
  <c r="A2057" i="1"/>
  <c r="M2056" i="1"/>
  <c r="L2056" i="1"/>
  <c r="K2056" i="1"/>
  <c r="H2056" i="1"/>
  <c r="G2056" i="1"/>
  <c r="F2056" i="1"/>
  <c r="E2056" i="1"/>
  <c r="D2056" i="1"/>
  <c r="C2056" i="1"/>
  <c r="A2056" i="1"/>
  <c r="M2055" i="1"/>
  <c r="L2055" i="1"/>
  <c r="K2055" i="1"/>
  <c r="H2055" i="1"/>
  <c r="G2055" i="1"/>
  <c r="F2055" i="1"/>
  <c r="E2055" i="1"/>
  <c r="D2055" i="1"/>
  <c r="C2055" i="1"/>
  <c r="A2055" i="1"/>
  <c r="M2054" i="1"/>
  <c r="K2054" i="1"/>
  <c r="H2054" i="1"/>
  <c r="G2054" i="1"/>
  <c r="F2054" i="1"/>
  <c r="E2054" i="1"/>
  <c r="D2054" i="1"/>
  <c r="C2054" i="1"/>
  <c r="A2054" i="1"/>
  <c r="M2053" i="1"/>
  <c r="K2053" i="1"/>
  <c r="H2053" i="1"/>
  <c r="G2053" i="1"/>
  <c r="F2053" i="1"/>
  <c r="E2053" i="1"/>
  <c r="D2053" i="1"/>
  <c r="C2053" i="1"/>
  <c r="A2053" i="1"/>
  <c r="M2052" i="1"/>
  <c r="L2052" i="1"/>
  <c r="K2052" i="1"/>
  <c r="H2052" i="1"/>
  <c r="G2052" i="1"/>
  <c r="F2052" i="1"/>
  <c r="E2052" i="1"/>
  <c r="D2052" i="1"/>
  <c r="C2052" i="1"/>
  <c r="A2052" i="1"/>
  <c r="M2051" i="1"/>
  <c r="L2051" i="1"/>
  <c r="K2051" i="1"/>
  <c r="H2051" i="1"/>
  <c r="G2051" i="1"/>
  <c r="F2051" i="1"/>
  <c r="E2051" i="1"/>
  <c r="D2051" i="1"/>
  <c r="C2051" i="1"/>
  <c r="A2051" i="1"/>
  <c r="M2050" i="1"/>
  <c r="K2050" i="1"/>
  <c r="H2050" i="1"/>
  <c r="F2050" i="1"/>
  <c r="E2050" i="1"/>
  <c r="D2050" i="1"/>
  <c r="C2050" i="1"/>
  <c r="A2050" i="1"/>
  <c r="M2049" i="1"/>
  <c r="L2049" i="1"/>
  <c r="K2049" i="1"/>
  <c r="H2049" i="1"/>
  <c r="G2049" i="1"/>
  <c r="F2049" i="1"/>
  <c r="E2049" i="1"/>
  <c r="D2049" i="1"/>
  <c r="C2049" i="1"/>
  <c r="A2049" i="1"/>
  <c r="M2048" i="1"/>
  <c r="K2048" i="1"/>
  <c r="H2048" i="1"/>
  <c r="G2048" i="1"/>
  <c r="F2048" i="1"/>
  <c r="E2048" i="1"/>
  <c r="D2048" i="1"/>
  <c r="C2048" i="1"/>
  <c r="A2048" i="1"/>
  <c r="M2047" i="1"/>
  <c r="K2047" i="1"/>
  <c r="H2047" i="1"/>
  <c r="G2047" i="1"/>
  <c r="F2047" i="1"/>
  <c r="E2047" i="1"/>
  <c r="D2047" i="1"/>
  <c r="C2047" i="1"/>
  <c r="A2047" i="1"/>
  <c r="M2046" i="1"/>
  <c r="L2046" i="1"/>
  <c r="K2046" i="1"/>
  <c r="H2046" i="1"/>
  <c r="G2046" i="1"/>
  <c r="F2046" i="1"/>
  <c r="E2046" i="1"/>
  <c r="D2046" i="1"/>
  <c r="C2046" i="1"/>
  <c r="A2046" i="1"/>
  <c r="M2045" i="1"/>
  <c r="L2045" i="1"/>
  <c r="K2045" i="1"/>
  <c r="H2045" i="1"/>
  <c r="G2045" i="1"/>
  <c r="F2045" i="1"/>
  <c r="E2045" i="1"/>
  <c r="D2045" i="1"/>
  <c r="C2045" i="1"/>
  <c r="A2045" i="1"/>
  <c r="M2044" i="1"/>
  <c r="K2044" i="1"/>
  <c r="H2044" i="1"/>
  <c r="G2044" i="1"/>
  <c r="F2044" i="1"/>
  <c r="E2044" i="1"/>
  <c r="D2044" i="1"/>
  <c r="C2044" i="1"/>
  <c r="A2044" i="1"/>
  <c r="M2043" i="1"/>
  <c r="L2043" i="1"/>
  <c r="K2043" i="1"/>
  <c r="H2043" i="1"/>
  <c r="G2043" i="1"/>
  <c r="F2043" i="1"/>
  <c r="E2043" i="1"/>
  <c r="D2043" i="1"/>
  <c r="C2043" i="1"/>
  <c r="A2043" i="1"/>
  <c r="M2042" i="1"/>
  <c r="K2042" i="1"/>
  <c r="H2042" i="1"/>
  <c r="G2042" i="1"/>
  <c r="F2042" i="1"/>
  <c r="E2042" i="1"/>
  <c r="D2042" i="1"/>
  <c r="C2042" i="1"/>
  <c r="A2042" i="1"/>
  <c r="M2041" i="1"/>
  <c r="K2041" i="1"/>
  <c r="H2041" i="1"/>
  <c r="G2041" i="1"/>
  <c r="F2041" i="1"/>
  <c r="E2041" i="1"/>
  <c r="D2041" i="1"/>
  <c r="C2041" i="1"/>
  <c r="A2041" i="1"/>
  <c r="M2040" i="1"/>
  <c r="L2040" i="1"/>
  <c r="K2040" i="1"/>
  <c r="H2040" i="1"/>
  <c r="G2040" i="1"/>
  <c r="F2040" i="1"/>
  <c r="E2040" i="1"/>
  <c r="D2040" i="1"/>
  <c r="C2040" i="1"/>
  <c r="A2040" i="1"/>
  <c r="M2039" i="1"/>
  <c r="L2039" i="1"/>
  <c r="K2039" i="1"/>
  <c r="H2039" i="1"/>
  <c r="G2039" i="1"/>
  <c r="F2039" i="1"/>
  <c r="E2039" i="1"/>
  <c r="D2039" i="1"/>
  <c r="C2039" i="1"/>
  <c r="A2039" i="1"/>
  <c r="M2038" i="1"/>
  <c r="L2038" i="1"/>
  <c r="K2038" i="1"/>
  <c r="H2038" i="1"/>
  <c r="G2038" i="1"/>
  <c r="F2038" i="1"/>
  <c r="E2038" i="1"/>
  <c r="D2038" i="1"/>
  <c r="C2038" i="1"/>
  <c r="A2038" i="1"/>
  <c r="M2037" i="1"/>
  <c r="L2037" i="1"/>
  <c r="K2037" i="1"/>
  <c r="H2037" i="1"/>
  <c r="G2037" i="1"/>
  <c r="F2037" i="1"/>
  <c r="E2037" i="1"/>
  <c r="D2037" i="1"/>
  <c r="C2037" i="1"/>
  <c r="A2037" i="1"/>
  <c r="M2036" i="1"/>
  <c r="L2036" i="1"/>
  <c r="K2036" i="1"/>
  <c r="H2036" i="1"/>
  <c r="G2036" i="1"/>
  <c r="F2036" i="1"/>
  <c r="E2036" i="1"/>
  <c r="D2036" i="1"/>
  <c r="C2036" i="1"/>
  <c r="A2036" i="1"/>
  <c r="M2035" i="1"/>
  <c r="L2035" i="1"/>
  <c r="K2035" i="1"/>
  <c r="H2035" i="1"/>
  <c r="G2035" i="1"/>
  <c r="F2035" i="1"/>
  <c r="E2035" i="1"/>
  <c r="D2035" i="1"/>
  <c r="C2035" i="1"/>
  <c r="A2035" i="1"/>
  <c r="M2034" i="1"/>
  <c r="K2034" i="1"/>
  <c r="H2034" i="1"/>
  <c r="G2034" i="1"/>
  <c r="F2034" i="1"/>
  <c r="E2034" i="1"/>
  <c r="D2034" i="1"/>
  <c r="C2034" i="1"/>
  <c r="A2034" i="1"/>
  <c r="M2033" i="1"/>
  <c r="K2033" i="1"/>
  <c r="H2033" i="1"/>
  <c r="G2033" i="1"/>
  <c r="F2033" i="1"/>
  <c r="E2033" i="1"/>
  <c r="D2033" i="1"/>
  <c r="C2033" i="1"/>
  <c r="A2033" i="1"/>
  <c r="M2032" i="1"/>
  <c r="L2032" i="1"/>
  <c r="K2032" i="1"/>
  <c r="H2032" i="1"/>
  <c r="G2032" i="1"/>
  <c r="F2032" i="1"/>
  <c r="E2032" i="1"/>
  <c r="D2032" i="1"/>
  <c r="C2032" i="1"/>
  <c r="A2032" i="1"/>
  <c r="M2031" i="1"/>
  <c r="L2031" i="1"/>
  <c r="K2031" i="1"/>
  <c r="H2031" i="1"/>
  <c r="G2031" i="1"/>
  <c r="F2031" i="1"/>
  <c r="E2031" i="1"/>
  <c r="D2031" i="1"/>
  <c r="C2031" i="1"/>
  <c r="A2031" i="1"/>
  <c r="M2030" i="1"/>
  <c r="L2030" i="1"/>
  <c r="K2030" i="1"/>
  <c r="H2030" i="1"/>
  <c r="G2030" i="1"/>
  <c r="F2030" i="1"/>
  <c r="E2030" i="1"/>
  <c r="D2030" i="1"/>
  <c r="C2030" i="1"/>
  <c r="A2030" i="1"/>
  <c r="M2029" i="1"/>
  <c r="K2029" i="1"/>
  <c r="H2029" i="1"/>
  <c r="G2029" i="1"/>
  <c r="F2029" i="1"/>
  <c r="E2029" i="1"/>
  <c r="D2029" i="1"/>
  <c r="C2029" i="1"/>
  <c r="A2029" i="1"/>
  <c r="M2028" i="1"/>
  <c r="K2028" i="1"/>
  <c r="H2028" i="1"/>
  <c r="G2028" i="1"/>
  <c r="F2028" i="1"/>
  <c r="E2028" i="1"/>
  <c r="D2028" i="1"/>
  <c r="C2028" i="1"/>
  <c r="A2028" i="1"/>
  <c r="M2027" i="1"/>
  <c r="L2027" i="1"/>
  <c r="K2027" i="1"/>
  <c r="H2027" i="1"/>
  <c r="G2027" i="1"/>
  <c r="F2027" i="1"/>
  <c r="E2027" i="1"/>
  <c r="D2027" i="1"/>
  <c r="C2027" i="1"/>
  <c r="A2027" i="1"/>
  <c r="M2026" i="1"/>
  <c r="L2026" i="1"/>
  <c r="K2026" i="1"/>
  <c r="H2026" i="1"/>
  <c r="G2026" i="1"/>
  <c r="F2026" i="1"/>
  <c r="E2026" i="1"/>
  <c r="D2026" i="1"/>
  <c r="C2026" i="1"/>
  <c r="A2026" i="1"/>
  <c r="M2025" i="1"/>
  <c r="L2025" i="1"/>
  <c r="K2025" i="1"/>
  <c r="H2025" i="1"/>
  <c r="G2025" i="1"/>
  <c r="F2025" i="1"/>
  <c r="E2025" i="1"/>
  <c r="D2025" i="1"/>
  <c r="C2025" i="1"/>
  <c r="A2025" i="1"/>
  <c r="M2024" i="1"/>
  <c r="L2024" i="1"/>
  <c r="K2024" i="1"/>
  <c r="H2024" i="1"/>
  <c r="G2024" i="1"/>
  <c r="F2024" i="1"/>
  <c r="E2024" i="1"/>
  <c r="D2024" i="1"/>
  <c r="C2024" i="1"/>
  <c r="A2024" i="1"/>
  <c r="M2023" i="1"/>
  <c r="L2023" i="1"/>
  <c r="K2023" i="1"/>
  <c r="H2023" i="1"/>
  <c r="G2023" i="1"/>
  <c r="F2023" i="1"/>
  <c r="E2023" i="1"/>
  <c r="D2023" i="1"/>
  <c r="C2023" i="1"/>
  <c r="A2023" i="1"/>
  <c r="M2022" i="1"/>
  <c r="L2022" i="1"/>
  <c r="K2022" i="1"/>
  <c r="H2022" i="1"/>
  <c r="G2022" i="1"/>
  <c r="F2022" i="1"/>
  <c r="E2022" i="1"/>
  <c r="D2022" i="1"/>
  <c r="C2022" i="1"/>
  <c r="A2022" i="1"/>
  <c r="M2021" i="1"/>
  <c r="L2021" i="1"/>
  <c r="K2021" i="1"/>
  <c r="H2021" i="1"/>
  <c r="G2021" i="1"/>
  <c r="F2021" i="1"/>
  <c r="E2021" i="1"/>
  <c r="D2021" i="1"/>
  <c r="C2021" i="1"/>
  <c r="A2021" i="1"/>
  <c r="M2020" i="1"/>
  <c r="L2020" i="1"/>
  <c r="K2020" i="1"/>
  <c r="H2020" i="1"/>
  <c r="G2020" i="1"/>
  <c r="F2020" i="1"/>
  <c r="E2020" i="1"/>
  <c r="D2020" i="1"/>
  <c r="C2020" i="1"/>
  <c r="A2020" i="1"/>
  <c r="M2019" i="1"/>
  <c r="L2019" i="1"/>
  <c r="K2019" i="1"/>
  <c r="H2019" i="1"/>
  <c r="G2019" i="1"/>
  <c r="F2019" i="1"/>
  <c r="E2019" i="1"/>
  <c r="D2019" i="1"/>
  <c r="C2019" i="1"/>
  <c r="A2019" i="1"/>
  <c r="M2018" i="1"/>
  <c r="L2018" i="1"/>
  <c r="K2018" i="1"/>
  <c r="H2018" i="1"/>
  <c r="G2018" i="1"/>
  <c r="F2018" i="1"/>
  <c r="E2018" i="1"/>
  <c r="D2018" i="1"/>
  <c r="C2018" i="1"/>
  <c r="A2018" i="1"/>
  <c r="M2017" i="1"/>
  <c r="L2017" i="1"/>
  <c r="K2017" i="1"/>
  <c r="H2017" i="1"/>
  <c r="G2017" i="1"/>
  <c r="F2017" i="1"/>
  <c r="E2017" i="1"/>
  <c r="D2017" i="1"/>
  <c r="C2017" i="1"/>
  <c r="A2017" i="1"/>
  <c r="M2016" i="1"/>
  <c r="L2016" i="1"/>
  <c r="K2016" i="1"/>
  <c r="H2016" i="1"/>
  <c r="G2016" i="1"/>
  <c r="F2016" i="1"/>
  <c r="E2016" i="1"/>
  <c r="D2016" i="1"/>
  <c r="C2016" i="1"/>
  <c r="A2016" i="1"/>
  <c r="M2015" i="1"/>
  <c r="L2015" i="1"/>
  <c r="K2015" i="1"/>
  <c r="H2015" i="1"/>
  <c r="G2015" i="1"/>
  <c r="F2015" i="1"/>
  <c r="E2015" i="1"/>
  <c r="D2015" i="1"/>
  <c r="C2015" i="1"/>
  <c r="A2015" i="1"/>
  <c r="M2014" i="1"/>
  <c r="L2014" i="1"/>
  <c r="K2014" i="1"/>
  <c r="H2014" i="1"/>
  <c r="G2014" i="1"/>
  <c r="F2014" i="1"/>
  <c r="E2014" i="1"/>
  <c r="D2014" i="1"/>
  <c r="C2014" i="1"/>
  <c r="A2014" i="1"/>
  <c r="M2013" i="1"/>
  <c r="L2013" i="1"/>
  <c r="K2013" i="1"/>
  <c r="H2013" i="1"/>
  <c r="G2013" i="1"/>
  <c r="F2013" i="1"/>
  <c r="E2013" i="1"/>
  <c r="D2013" i="1"/>
  <c r="C2013" i="1"/>
  <c r="A2013" i="1"/>
  <c r="M2012" i="1"/>
  <c r="K2012" i="1"/>
  <c r="H2012" i="1"/>
  <c r="G2012" i="1"/>
  <c r="F2012" i="1"/>
  <c r="E2012" i="1"/>
  <c r="D2012" i="1"/>
  <c r="C2012" i="1"/>
  <c r="A2012" i="1"/>
  <c r="M2011" i="1"/>
  <c r="L2011" i="1"/>
  <c r="K2011" i="1"/>
  <c r="H2011" i="1"/>
  <c r="G2011" i="1"/>
  <c r="F2011" i="1"/>
  <c r="E2011" i="1"/>
  <c r="D2011" i="1"/>
  <c r="C2011" i="1"/>
  <c r="A2011" i="1"/>
  <c r="M2010" i="1"/>
  <c r="L2010" i="1"/>
  <c r="K2010" i="1"/>
  <c r="H2010" i="1"/>
  <c r="G2010" i="1"/>
  <c r="F2010" i="1"/>
  <c r="E2010" i="1"/>
  <c r="D2010" i="1"/>
  <c r="C2010" i="1"/>
  <c r="A2010" i="1"/>
  <c r="M2009" i="1"/>
  <c r="K2009" i="1"/>
  <c r="H2009" i="1"/>
  <c r="G2009" i="1"/>
  <c r="F2009" i="1"/>
  <c r="E2009" i="1"/>
  <c r="D2009" i="1"/>
  <c r="C2009" i="1"/>
  <c r="A2009" i="1"/>
  <c r="M2008" i="1"/>
  <c r="L2008" i="1"/>
  <c r="K2008" i="1"/>
  <c r="H2008" i="1"/>
  <c r="G2008" i="1"/>
  <c r="F2008" i="1"/>
  <c r="E2008" i="1"/>
  <c r="D2008" i="1"/>
  <c r="C2008" i="1"/>
  <c r="A2008" i="1"/>
  <c r="M2007" i="1"/>
  <c r="L2007" i="1"/>
  <c r="K2007" i="1"/>
  <c r="H2007" i="1"/>
  <c r="G2007" i="1"/>
  <c r="F2007" i="1"/>
  <c r="E2007" i="1"/>
  <c r="D2007" i="1"/>
  <c r="C2007" i="1"/>
  <c r="A2007" i="1"/>
  <c r="M2006" i="1"/>
  <c r="L2006" i="1"/>
  <c r="K2006" i="1"/>
  <c r="H2006" i="1"/>
  <c r="G2006" i="1"/>
  <c r="F2006" i="1"/>
  <c r="E2006" i="1"/>
  <c r="D2006" i="1"/>
  <c r="C2006" i="1"/>
  <c r="A2006" i="1"/>
  <c r="M2005" i="1"/>
  <c r="K2005" i="1"/>
  <c r="H2005" i="1"/>
  <c r="G2005" i="1"/>
  <c r="F2005" i="1"/>
  <c r="E2005" i="1"/>
  <c r="D2005" i="1"/>
  <c r="C2005" i="1"/>
  <c r="A2005" i="1"/>
  <c r="M2004" i="1"/>
  <c r="L2004" i="1"/>
  <c r="K2004" i="1"/>
  <c r="H2004" i="1"/>
  <c r="G2004" i="1"/>
  <c r="F2004" i="1"/>
  <c r="E2004" i="1"/>
  <c r="D2004" i="1"/>
  <c r="C2004" i="1"/>
  <c r="A2004" i="1"/>
  <c r="M2003" i="1"/>
  <c r="L2003" i="1"/>
  <c r="K2003" i="1"/>
  <c r="H2003" i="1"/>
  <c r="G2003" i="1"/>
  <c r="F2003" i="1"/>
  <c r="E2003" i="1"/>
  <c r="D2003" i="1"/>
  <c r="C2003" i="1"/>
  <c r="A2003" i="1"/>
  <c r="M2002" i="1"/>
  <c r="K2002" i="1"/>
  <c r="H2002" i="1"/>
  <c r="G2002" i="1"/>
  <c r="F2002" i="1"/>
  <c r="E2002" i="1"/>
  <c r="D2002" i="1"/>
  <c r="C2002" i="1"/>
  <c r="A2002" i="1"/>
  <c r="M2001" i="1"/>
  <c r="L2001" i="1"/>
  <c r="K2001" i="1"/>
  <c r="H2001" i="1"/>
  <c r="G2001" i="1"/>
  <c r="F2001" i="1"/>
  <c r="E2001" i="1"/>
  <c r="D2001" i="1"/>
  <c r="C2001" i="1"/>
  <c r="A2001" i="1"/>
  <c r="M2000" i="1"/>
  <c r="L2000" i="1"/>
  <c r="K2000" i="1"/>
  <c r="H2000" i="1"/>
  <c r="G2000" i="1"/>
  <c r="F2000" i="1"/>
  <c r="E2000" i="1"/>
  <c r="D2000" i="1"/>
  <c r="C2000" i="1"/>
  <c r="A2000" i="1"/>
  <c r="M1999" i="1"/>
  <c r="L1999" i="1"/>
  <c r="K1999" i="1"/>
  <c r="H1999" i="1"/>
  <c r="G1999" i="1"/>
  <c r="F1999" i="1"/>
  <c r="E1999" i="1"/>
  <c r="D1999" i="1"/>
  <c r="C1999" i="1"/>
  <c r="A1999" i="1"/>
  <c r="M1998" i="1"/>
  <c r="L1998" i="1"/>
  <c r="K1998" i="1"/>
  <c r="H1998" i="1"/>
  <c r="G1998" i="1"/>
  <c r="F1998" i="1"/>
  <c r="E1998" i="1"/>
  <c r="D1998" i="1"/>
  <c r="C1998" i="1"/>
  <c r="A1998" i="1"/>
  <c r="M1997" i="1"/>
  <c r="L1997" i="1"/>
  <c r="K1997" i="1"/>
  <c r="H1997" i="1"/>
  <c r="G1997" i="1"/>
  <c r="F1997" i="1"/>
  <c r="E1997" i="1"/>
  <c r="D1997" i="1"/>
  <c r="C1997" i="1"/>
  <c r="A1997" i="1"/>
  <c r="M1996" i="1"/>
  <c r="L1996" i="1"/>
  <c r="K1996" i="1"/>
  <c r="H1996" i="1"/>
  <c r="G1996" i="1"/>
  <c r="F1996" i="1"/>
  <c r="E1996" i="1"/>
  <c r="D1996" i="1"/>
  <c r="C1996" i="1"/>
  <c r="A1996" i="1"/>
  <c r="M1995" i="1"/>
  <c r="L1995" i="1"/>
  <c r="K1995" i="1"/>
  <c r="H1995" i="1"/>
  <c r="G1995" i="1"/>
  <c r="F1995" i="1"/>
  <c r="E1995" i="1"/>
  <c r="D1995" i="1"/>
  <c r="C1995" i="1"/>
  <c r="A1995" i="1"/>
  <c r="M1994" i="1"/>
  <c r="L1994" i="1"/>
  <c r="K1994" i="1"/>
  <c r="H1994" i="1"/>
  <c r="G1994" i="1"/>
  <c r="F1994" i="1"/>
  <c r="E1994" i="1"/>
  <c r="D1994" i="1"/>
  <c r="C1994" i="1"/>
  <c r="A1994" i="1"/>
  <c r="M1993" i="1"/>
  <c r="L1993" i="1"/>
  <c r="K1993" i="1"/>
  <c r="H1993" i="1"/>
  <c r="G1993" i="1"/>
  <c r="F1993" i="1"/>
  <c r="E1993" i="1"/>
  <c r="D1993" i="1"/>
  <c r="C1993" i="1"/>
  <c r="A1993" i="1"/>
  <c r="M1992" i="1"/>
  <c r="K1992" i="1"/>
  <c r="H1992" i="1"/>
  <c r="G1992" i="1"/>
  <c r="F1992" i="1"/>
  <c r="E1992" i="1"/>
  <c r="D1992" i="1"/>
  <c r="C1992" i="1"/>
  <c r="A1992" i="1"/>
  <c r="M1991" i="1"/>
  <c r="L1991" i="1"/>
  <c r="K1991" i="1"/>
  <c r="H1991" i="1"/>
  <c r="G1991" i="1"/>
  <c r="F1991" i="1"/>
  <c r="E1991" i="1"/>
  <c r="D1991" i="1"/>
  <c r="C1991" i="1"/>
  <c r="A1991" i="1"/>
  <c r="M1990" i="1"/>
  <c r="L1990" i="1"/>
  <c r="K1990" i="1"/>
  <c r="H1990" i="1"/>
  <c r="G1990" i="1"/>
  <c r="F1990" i="1"/>
  <c r="E1990" i="1"/>
  <c r="D1990" i="1"/>
  <c r="C1990" i="1"/>
  <c r="A1990" i="1"/>
  <c r="M1989" i="1"/>
  <c r="L1989" i="1"/>
  <c r="K1989" i="1"/>
  <c r="H1989" i="1"/>
  <c r="G1989" i="1"/>
  <c r="F1989" i="1"/>
  <c r="E1989" i="1"/>
  <c r="D1989" i="1"/>
  <c r="C1989" i="1"/>
  <c r="A1989" i="1"/>
  <c r="M1988" i="1"/>
  <c r="L1988" i="1"/>
  <c r="K1988" i="1"/>
  <c r="H1988" i="1"/>
  <c r="G1988" i="1"/>
  <c r="F1988" i="1"/>
  <c r="E1988" i="1"/>
  <c r="D1988" i="1"/>
  <c r="C1988" i="1"/>
  <c r="A1988" i="1"/>
  <c r="M1987" i="1"/>
  <c r="L1987" i="1"/>
  <c r="K1987" i="1"/>
  <c r="H1987" i="1"/>
  <c r="G1987" i="1"/>
  <c r="F1987" i="1"/>
  <c r="E1987" i="1"/>
  <c r="D1987" i="1"/>
  <c r="C1987" i="1"/>
  <c r="A1987" i="1"/>
  <c r="M1986" i="1"/>
  <c r="L1986" i="1"/>
  <c r="K1986" i="1"/>
  <c r="H1986" i="1"/>
  <c r="G1986" i="1"/>
  <c r="F1986" i="1"/>
  <c r="E1986" i="1"/>
  <c r="D1986" i="1"/>
  <c r="C1986" i="1"/>
  <c r="A1986" i="1"/>
  <c r="M1985" i="1"/>
  <c r="L1985" i="1"/>
  <c r="K1985" i="1"/>
  <c r="H1985" i="1"/>
  <c r="F1985" i="1"/>
  <c r="C1985" i="1"/>
  <c r="A1985" i="1"/>
  <c r="M1984" i="1"/>
  <c r="L1984" i="1"/>
  <c r="K1984" i="1"/>
  <c r="H1984" i="1"/>
  <c r="G1984" i="1"/>
  <c r="F1984" i="1"/>
  <c r="E1984" i="1"/>
  <c r="D1984" i="1"/>
  <c r="C1984" i="1"/>
  <c r="A1984" i="1"/>
  <c r="M1983" i="1"/>
  <c r="K1983" i="1"/>
  <c r="H1983" i="1"/>
  <c r="G1983" i="1"/>
  <c r="F1983" i="1"/>
  <c r="E1983" i="1"/>
  <c r="D1983" i="1"/>
  <c r="C1983" i="1"/>
  <c r="A1983" i="1"/>
  <c r="M1982" i="1"/>
  <c r="L1982" i="1"/>
  <c r="K1982" i="1"/>
  <c r="H1982" i="1"/>
  <c r="G1982" i="1"/>
  <c r="F1982" i="1"/>
  <c r="E1982" i="1"/>
  <c r="D1982" i="1"/>
  <c r="C1982" i="1"/>
  <c r="A1982" i="1"/>
  <c r="M1981" i="1"/>
  <c r="K1981" i="1"/>
  <c r="H1981" i="1"/>
  <c r="G1981" i="1"/>
  <c r="F1981" i="1"/>
  <c r="E1981" i="1"/>
  <c r="D1981" i="1"/>
  <c r="C1981" i="1"/>
  <c r="A1981" i="1"/>
  <c r="M1980" i="1"/>
  <c r="L1980" i="1"/>
  <c r="K1980" i="1"/>
  <c r="H1980" i="1"/>
  <c r="G1980" i="1"/>
  <c r="F1980" i="1"/>
  <c r="E1980" i="1"/>
  <c r="D1980" i="1"/>
  <c r="C1980" i="1"/>
  <c r="A1980" i="1"/>
  <c r="M1979" i="1"/>
  <c r="L1979" i="1"/>
  <c r="K1979" i="1"/>
  <c r="H1979" i="1"/>
  <c r="G1979" i="1"/>
  <c r="F1979" i="1"/>
  <c r="E1979" i="1"/>
  <c r="D1979" i="1"/>
  <c r="C1979" i="1"/>
  <c r="A1979" i="1"/>
  <c r="M1978" i="1"/>
  <c r="L1978" i="1"/>
  <c r="K1978" i="1"/>
  <c r="H1978" i="1"/>
  <c r="G1978" i="1"/>
  <c r="F1978" i="1"/>
  <c r="E1978" i="1"/>
  <c r="D1978" i="1"/>
  <c r="C1978" i="1"/>
  <c r="A1978" i="1"/>
  <c r="M1977" i="1"/>
  <c r="L1977" i="1"/>
  <c r="K1977" i="1"/>
  <c r="H1977" i="1"/>
  <c r="G1977" i="1"/>
  <c r="F1977" i="1"/>
  <c r="E1977" i="1"/>
  <c r="D1977" i="1"/>
  <c r="C1977" i="1"/>
  <c r="A1977" i="1"/>
  <c r="M1976" i="1"/>
  <c r="L1976" i="1"/>
  <c r="K1976" i="1"/>
  <c r="H1976" i="1"/>
  <c r="G1976" i="1"/>
  <c r="F1976" i="1"/>
  <c r="E1976" i="1"/>
  <c r="D1976" i="1"/>
  <c r="C1976" i="1"/>
  <c r="A1976" i="1"/>
  <c r="M1975" i="1"/>
  <c r="L1975" i="1"/>
  <c r="K1975" i="1"/>
  <c r="H1975" i="1"/>
  <c r="G1975" i="1"/>
  <c r="F1975" i="1"/>
  <c r="E1975" i="1"/>
  <c r="D1975" i="1"/>
  <c r="C1975" i="1"/>
  <c r="A1975" i="1"/>
  <c r="M1974" i="1"/>
  <c r="L1974" i="1"/>
  <c r="K1974" i="1"/>
  <c r="H1974" i="1"/>
  <c r="G1974" i="1"/>
  <c r="F1974" i="1"/>
  <c r="E1974" i="1"/>
  <c r="D1974" i="1"/>
  <c r="C1974" i="1"/>
  <c r="A1974" i="1"/>
  <c r="M1973" i="1"/>
  <c r="L1973" i="1"/>
  <c r="K1973" i="1"/>
  <c r="H1973" i="1"/>
  <c r="G1973" i="1"/>
  <c r="F1973" i="1"/>
  <c r="E1973" i="1"/>
  <c r="D1973" i="1"/>
  <c r="C1973" i="1"/>
  <c r="A1973" i="1"/>
  <c r="M1972" i="1"/>
  <c r="L1972" i="1"/>
  <c r="K1972" i="1"/>
  <c r="H1972" i="1"/>
  <c r="G1972" i="1"/>
  <c r="F1972" i="1"/>
  <c r="E1972" i="1"/>
  <c r="D1972" i="1"/>
  <c r="C1972" i="1"/>
  <c r="A1972" i="1"/>
  <c r="M1971" i="1"/>
  <c r="K1971" i="1"/>
  <c r="H1971" i="1"/>
  <c r="G1971" i="1"/>
  <c r="F1971" i="1"/>
  <c r="E1971" i="1"/>
  <c r="D1971" i="1"/>
  <c r="C1971" i="1"/>
  <c r="A1971" i="1"/>
  <c r="M1970" i="1"/>
  <c r="K1970" i="1"/>
  <c r="H1970" i="1"/>
  <c r="G1970" i="1"/>
  <c r="F1970" i="1"/>
  <c r="E1970" i="1"/>
  <c r="D1970" i="1"/>
  <c r="C1970" i="1"/>
  <c r="A1970" i="1"/>
  <c r="M1969" i="1"/>
  <c r="K1969" i="1"/>
  <c r="H1969" i="1"/>
  <c r="G1969" i="1"/>
  <c r="F1969" i="1"/>
  <c r="E1969" i="1"/>
  <c r="D1969" i="1"/>
  <c r="C1969" i="1"/>
  <c r="A1969" i="1"/>
  <c r="M1968" i="1"/>
  <c r="L1968" i="1"/>
  <c r="K1968" i="1"/>
  <c r="H1968" i="1"/>
  <c r="G1968" i="1"/>
  <c r="F1968" i="1"/>
  <c r="E1968" i="1"/>
  <c r="D1968" i="1"/>
  <c r="C1968" i="1"/>
  <c r="A1968" i="1"/>
  <c r="M1967" i="1"/>
  <c r="L1967" i="1"/>
  <c r="K1967" i="1"/>
  <c r="H1967" i="1"/>
  <c r="G1967" i="1"/>
  <c r="F1967" i="1"/>
  <c r="E1967" i="1"/>
  <c r="D1967" i="1"/>
  <c r="C1967" i="1"/>
  <c r="A1967" i="1"/>
  <c r="M1966" i="1"/>
  <c r="L1966" i="1"/>
  <c r="K1966" i="1"/>
  <c r="H1966" i="1"/>
  <c r="G1966" i="1"/>
  <c r="F1966" i="1"/>
  <c r="E1966" i="1"/>
  <c r="D1966" i="1"/>
  <c r="C1966" i="1"/>
  <c r="A1966" i="1"/>
  <c r="M1965" i="1"/>
  <c r="L1965" i="1"/>
  <c r="K1965" i="1"/>
  <c r="H1965" i="1"/>
  <c r="G1965" i="1"/>
  <c r="F1965" i="1"/>
  <c r="E1965" i="1"/>
  <c r="D1965" i="1"/>
  <c r="C1965" i="1"/>
  <c r="A1965" i="1"/>
  <c r="M1964" i="1"/>
  <c r="L1964" i="1"/>
  <c r="K1964" i="1"/>
  <c r="H1964" i="1"/>
  <c r="G1964" i="1"/>
  <c r="F1964" i="1"/>
  <c r="E1964" i="1"/>
  <c r="D1964" i="1"/>
  <c r="C1964" i="1"/>
  <c r="A1964" i="1"/>
  <c r="M1963" i="1"/>
  <c r="L1963" i="1"/>
  <c r="K1963" i="1"/>
  <c r="H1963" i="1"/>
  <c r="G1963" i="1"/>
  <c r="F1963" i="1"/>
  <c r="E1963" i="1"/>
  <c r="D1963" i="1"/>
  <c r="C1963" i="1"/>
  <c r="A1963" i="1"/>
  <c r="M1962" i="1"/>
  <c r="L1962" i="1"/>
  <c r="K1962" i="1"/>
  <c r="H1962" i="1"/>
  <c r="G1962" i="1"/>
  <c r="F1962" i="1"/>
  <c r="E1962" i="1"/>
  <c r="D1962" i="1"/>
  <c r="C1962" i="1"/>
  <c r="A1962" i="1"/>
  <c r="M1961" i="1"/>
  <c r="L1961" i="1"/>
  <c r="K1961" i="1"/>
  <c r="H1961" i="1"/>
  <c r="G1961" i="1"/>
  <c r="F1961" i="1"/>
  <c r="E1961" i="1"/>
  <c r="D1961" i="1"/>
  <c r="C1961" i="1"/>
  <c r="A1961" i="1"/>
  <c r="M1960" i="1"/>
  <c r="L1960" i="1"/>
  <c r="K1960" i="1"/>
  <c r="H1960" i="1"/>
  <c r="G1960" i="1"/>
  <c r="F1960" i="1"/>
  <c r="E1960" i="1"/>
  <c r="D1960" i="1"/>
  <c r="C1960" i="1"/>
  <c r="A1960" i="1"/>
  <c r="M1959" i="1"/>
  <c r="L1959" i="1"/>
  <c r="K1959" i="1"/>
  <c r="H1959" i="1"/>
  <c r="G1959" i="1"/>
  <c r="F1959" i="1"/>
  <c r="E1959" i="1"/>
  <c r="D1959" i="1"/>
  <c r="C1959" i="1"/>
  <c r="A1959" i="1"/>
  <c r="M1958" i="1"/>
  <c r="L1958" i="1"/>
  <c r="K1958" i="1"/>
  <c r="H1958" i="1"/>
  <c r="G1958" i="1"/>
  <c r="F1958" i="1"/>
  <c r="E1958" i="1"/>
  <c r="D1958" i="1"/>
  <c r="C1958" i="1"/>
  <c r="A1958" i="1"/>
  <c r="M1957" i="1"/>
  <c r="L1957" i="1"/>
  <c r="K1957" i="1"/>
  <c r="H1957" i="1"/>
  <c r="G1957" i="1"/>
  <c r="F1957" i="1"/>
  <c r="E1957" i="1"/>
  <c r="D1957" i="1"/>
  <c r="C1957" i="1"/>
  <c r="A1957" i="1"/>
  <c r="M1956" i="1"/>
  <c r="L1956" i="1"/>
  <c r="K1956" i="1"/>
  <c r="H1956" i="1"/>
  <c r="G1956" i="1"/>
  <c r="F1956" i="1"/>
  <c r="E1956" i="1"/>
  <c r="D1956" i="1"/>
  <c r="C1956" i="1"/>
  <c r="A1956" i="1"/>
  <c r="M1955" i="1"/>
  <c r="L1955" i="1"/>
  <c r="K1955" i="1"/>
  <c r="H1955" i="1"/>
  <c r="G1955" i="1"/>
  <c r="F1955" i="1"/>
  <c r="E1955" i="1"/>
  <c r="D1955" i="1"/>
  <c r="C1955" i="1"/>
  <c r="A1955" i="1"/>
  <c r="M1954" i="1"/>
  <c r="L1954" i="1"/>
  <c r="K1954" i="1"/>
  <c r="H1954" i="1"/>
  <c r="G1954" i="1"/>
  <c r="F1954" i="1"/>
  <c r="E1954" i="1"/>
  <c r="D1954" i="1"/>
  <c r="C1954" i="1"/>
  <c r="A1954" i="1"/>
  <c r="M1953" i="1"/>
  <c r="L1953" i="1"/>
  <c r="K1953" i="1"/>
  <c r="H1953" i="1"/>
  <c r="G1953" i="1"/>
  <c r="F1953" i="1"/>
  <c r="E1953" i="1"/>
  <c r="D1953" i="1"/>
  <c r="C1953" i="1"/>
  <c r="A1953" i="1"/>
  <c r="M1952" i="1"/>
  <c r="L1952" i="1"/>
  <c r="K1952" i="1"/>
  <c r="H1952" i="1"/>
  <c r="G1952" i="1"/>
  <c r="F1952" i="1"/>
  <c r="E1952" i="1"/>
  <c r="D1952" i="1"/>
  <c r="C1952" i="1"/>
  <c r="A1952" i="1"/>
  <c r="M1951" i="1"/>
  <c r="L1951" i="1"/>
  <c r="K1951" i="1"/>
  <c r="H1951" i="1"/>
  <c r="G1951" i="1"/>
  <c r="F1951" i="1"/>
  <c r="E1951" i="1"/>
  <c r="D1951" i="1"/>
  <c r="C1951" i="1"/>
  <c r="A1951" i="1"/>
  <c r="M1950" i="1"/>
  <c r="L1950" i="1"/>
  <c r="K1950" i="1"/>
  <c r="H1950" i="1"/>
  <c r="G1950" i="1"/>
  <c r="F1950" i="1"/>
  <c r="E1950" i="1"/>
  <c r="D1950" i="1"/>
  <c r="C1950" i="1"/>
  <c r="A1950" i="1"/>
  <c r="M1949" i="1"/>
  <c r="K1949" i="1"/>
  <c r="H1949" i="1"/>
  <c r="G1949" i="1"/>
  <c r="F1949" i="1"/>
  <c r="E1949" i="1"/>
  <c r="D1949" i="1"/>
  <c r="C1949" i="1"/>
  <c r="A1949" i="1"/>
  <c r="M1948" i="1"/>
  <c r="K1948" i="1"/>
  <c r="H1948" i="1"/>
  <c r="G1948" i="1"/>
  <c r="F1948" i="1"/>
  <c r="E1948" i="1"/>
  <c r="D1948" i="1"/>
  <c r="C1948" i="1"/>
  <c r="A1948" i="1"/>
  <c r="M1947" i="1"/>
  <c r="L1947" i="1"/>
  <c r="K1947" i="1"/>
  <c r="H1947" i="1"/>
  <c r="G1947" i="1"/>
  <c r="F1947" i="1"/>
  <c r="E1947" i="1"/>
  <c r="D1947" i="1"/>
  <c r="C1947" i="1"/>
  <c r="A1947" i="1"/>
  <c r="M1946" i="1"/>
  <c r="L1946" i="1"/>
  <c r="K1946" i="1"/>
  <c r="H1946" i="1"/>
  <c r="G1946" i="1"/>
  <c r="F1946" i="1"/>
  <c r="E1946" i="1"/>
  <c r="D1946" i="1"/>
  <c r="C1946" i="1"/>
  <c r="A1946" i="1"/>
  <c r="M1945" i="1"/>
  <c r="L1945" i="1"/>
  <c r="K1945" i="1"/>
  <c r="H1945" i="1"/>
  <c r="G1945" i="1"/>
  <c r="F1945" i="1"/>
  <c r="E1945" i="1"/>
  <c r="D1945" i="1"/>
  <c r="C1945" i="1"/>
  <c r="A1945" i="1"/>
  <c r="M1944" i="1"/>
  <c r="L1944" i="1"/>
  <c r="K1944" i="1"/>
  <c r="H1944" i="1"/>
  <c r="G1944" i="1"/>
  <c r="F1944" i="1"/>
  <c r="E1944" i="1"/>
  <c r="D1944" i="1"/>
  <c r="C1944" i="1"/>
  <c r="A1944" i="1"/>
  <c r="M1943" i="1"/>
  <c r="L1943" i="1"/>
  <c r="K1943" i="1"/>
  <c r="H1943" i="1"/>
  <c r="G1943" i="1"/>
  <c r="F1943" i="1"/>
  <c r="E1943" i="1"/>
  <c r="D1943" i="1"/>
  <c r="C1943" i="1"/>
  <c r="A1943" i="1"/>
  <c r="M1942" i="1"/>
  <c r="L1942" i="1"/>
  <c r="K1942" i="1"/>
  <c r="H1942" i="1"/>
  <c r="G1942" i="1"/>
  <c r="F1942" i="1"/>
  <c r="E1942" i="1"/>
  <c r="D1942" i="1"/>
  <c r="C1942" i="1"/>
  <c r="A1942" i="1"/>
  <c r="M1941" i="1"/>
  <c r="L1941" i="1"/>
  <c r="K1941" i="1"/>
  <c r="H1941" i="1"/>
  <c r="G1941" i="1"/>
  <c r="F1941" i="1"/>
  <c r="E1941" i="1"/>
  <c r="D1941" i="1"/>
  <c r="C1941" i="1"/>
  <c r="A1941" i="1"/>
  <c r="M1940" i="1"/>
  <c r="K1940" i="1"/>
  <c r="H1940" i="1"/>
  <c r="G1940" i="1"/>
  <c r="F1940" i="1"/>
  <c r="E1940" i="1"/>
  <c r="D1940" i="1"/>
  <c r="C1940" i="1"/>
  <c r="A1940" i="1"/>
  <c r="M1939" i="1"/>
  <c r="K1939" i="1"/>
  <c r="H1939" i="1"/>
  <c r="G1939" i="1"/>
  <c r="F1939" i="1"/>
  <c r="E1939" i="1"/>
  <c r="D1939" i="1"/>
  <c r="C1939" i="1"/>
  <c r="A1939" i="1"/>
  <c r="M1938" i="1"/>
  <c r="K1938" i="1"/>
  <c r="H1938" i="1"/>
  <c r="G1938" i="1"/>
  <c r="F1938" i="1"/>
  <c r="E1938" i="1"/>
  <c r="D1938" i="1"/>
  <c r="C1938" i="1"/>
  <c r="A1938" i="1"/>
  <c r="M1937" i="1"/>
  <c r="L1937" i="1"/>
  <c r="K1937" i="1"/>
  <c r="H1937" i="1"/>
  <c r="G1937" i="1"/>
  <c r="F1937" i="1"/>
  <c r="E1937" i="1"/>
  <c r="D1937" i="1"/>
  <c r="C1937" i="1"/>
  <c r="A1937" i="1"/>
  <c r="M1936" i="1"/>
  <c r="K1936" i="1"/>
  <c r="H1936" i="1"/>
  <c r="G1936" i="1"/>
  <c r="F1936" i="1"/>
  <c r="E1936" i="1"/>
  <c r="D1936" i="1"/>
  <c r="C1936" i="1"/>
  <c r="A1936" i="1"/>
  <c r="M1935" i="1"/>
  <c r="L1935" i="1"/>
  <c r="K1935" i="1"/>
  <c r="H1935" i="1"/>
  <c r="G1935" i="1"/>
  <c r="F1935" i="1"/>
  <c r="E1935" i="1"/>
  <c r="D1935" i="1"/>
  <c r="C1935" i="1"/>
  <c r="A1935" i="1"/>
  <c r="M1934" i="1"/>
  <c r="K1934" i="1"/>
  <c r="H1934" i="1"/>
  <c r="G1934" i="1"/>
  <c r="F1934" i="1"/>
  <c r="E1934" i="1"/>
  <c r="D1934" i="1"/>
  <c r="C1934" i="1"/>
  <c r="A1934" i="1"/>
  <c r="M1933" i="1"/>
  <c r="L1933" i="1"/>
  <c r="K1933" i="1"/>
  <c r="H1933" i="1"/>
  <c r="G1933" i="1"/>
  <c r="F1933" i="1"/>
  <c r="E1933" i="1"/>
  <c r="D1933" i="1"/>
  <c r="C1933" i="1"/>
  <c r="A1933" i="1"/>
  <c r="M1932" i="1"/>
  <c r="L1932" i="1"/>
  <c r="K1932" i="1"/>
  <c r="H1932" i="1"/>
  <c r="G1932" i="1"/>
  <c r="F1932" i="1"/>
  <c r="E1932" i="1"/>
  <c r="D1932" i="1"/>
  <c r="C1932" i="1"/>
  <c r="A1932" i="1"/>
  <c r="M1931" i="1"/>
  <c r="L1931" i="1"/>
  <c r="K1931" i="1"/>
  <c r="H1931" i="1"/>
  <c r="G1931" i="1"/>
  <c r="F1931" i="1"/>
  <c r="E1931" i="1"/>
  <c r="D1931" i="1"/>
  <c r="C1931" i="1"/>
  <c r="A1931" i="1"/>
  <c r="M1930" i="1"/>
  <c r="K1930" i="1"/>
  <c r="H1930" i="1"/>
  <c r="G1930" i="1"/>
  <c r="F1930" i="1"/>
  <c r="E1930" i="1"/>
  <c r="D1930" i="1"/>
  <c r="C1930" i="1"/>
  <c r="A1930" i="1"/>
  <c r="M1929" i="1"/>
  <c r="L1929" i="1"/>
  <c r="K1929" i="1"/>
  <c r="H1929" i="1"/>
  <c r="G1929" i="1"/>
  <c r="F1929" i="1"/>
  <c r="E1929" i="1"/>
  <c r="D1929" i="1"/>
  <c r="C1929" i="1"/>
  <c r="A1929" i="1"/>
  <c r="M1928" i="1"/>
  <c r="K1928" i="1"/>
  <c r="H1928" i="1"/>
  <c r="G1928" i="1"/>
  <c r="F1928" i="1"/>
  <c r="E1928" i="1"/>
  <c r="D1928" i="1"/>
  <c r="C1928" i="1"/>
  <c r="A1928" i="1"/>
  <c r="M1927" i="1"/>
  <c r="K1927" i="1"/>
  <c r="H1927" i="1"/>
  <c r="G1927" i="1"/>
  <c r="F1927" i="1"/>
  <c r="E1927" i="1"/>
  <c r="D1927" i="1"/>
  <c r="C1927" i="1"/>
  <c r="A1927" i="1"/>
  <c r="M1926" i="1"/>
  <c r="K1926" i="1"/>
  <c r="H1926" i="1"/>
  <c r="G1926" i="1"/>
  <c r="F1926" i="1"/>
  <c r="E1926" i="1"/>
  <c r="D1926" i="1"/>
  <c r="C1926" i="1"/>
  <c r="A1926" i="1"/>
  <c r="M1925" i="1"/>
  <c r="K1925" i="1"/>
  <c r="J1925" i="1"/>
  <c r="H1925" i="1"/>
  <c r="F1925" i="1"/>
  <c r="E1925" i="1"/>
  <c r="D1925" i="1"/>
  <c r="C1925" i="1"/>
  <c r="A1925" i="1"/>
  <c r="M1924" i="1"/>
  <c r="L1924" i="1"/>
  <c r="K1924" i="1"/>
  <c r="H1924" i="1"/>
  <c r="G1924" i="1"/>
  <c r="F1924" i="1"/>
  <c r="E1924" i="1"/>
  <c r="D1924" i="1"/>
  <c r="C1924" i="1"/>
  <c r="A1924" i="1"/>
  <c r="M1923" i="1"/>
  <c r="K1923" i="1"/>
  <c r="H1923" i="1"/>
  <c r="G1923" i="1"/>
  <c r="F1923" i="1"/>
  <c r="E1923" i="1"/>
  <c r="D1923" i="1"/>
  <c r="C1923" i="1"/>
  <c r="A1923" i="1"/>
  <c r="M1922" i="1"/>
  <c r="L1922" i="1"/>
  <c r="K1922" i="1"/>
  <c r="H1922" i="1"/>
  <c r="G1922" i="1"/>
  <c r="F1922" i="1"/>
  <c r="E1922" i="1"/>
  <c r="D1922" i="1"/>
  <c r="C1922" i="1"/>
  <c r="A1922" i="1"/>
  <c r="M1921" i="1"/>
  <c r="L1921" i="1"/>
  <c r="K1921" i="1"/>
  <c r="H1921" i="1"/>
  <c r="G1921" i="1"/>
  <c r="F1921" i="1"/>
  <c r="E1921" i="1"/>
  <c r="D1921" i="1"/>
  <c r="C1921" i="1"/>
  <c r="A1921" i="1"/>
  <c r="M1920" i="1"/>
  <c r="K1920" i="1"/>
  <c r="H1920" i="1"/>
  <c r="G1920" i="1"/>
  <c r="F1920" i="1"/>
  <c r="E1920" i="1"/>
  <c r="D1920" i="1"/>
  <c r="C1920" i="1"/>
  <c r="A1920" i="1"/>
  <c r="M1919" i="1"/>
  <c r="K1919" i="1"/>
  <c r="H1919" i="1"/>
  <c r="G1919" i="1"/>
  <c r="F1919" i="1"/>
  <c r="E1919" i="1"/>
  <c r="D1919" i="1"/>
  <c r="C1919" i="1"/>
  <c r="A1919" i="1"/>
  <c r="M1918" i="1"/>
  <c r="L1918" i="1"/>
  <c r="K1918" i="1"/>
  <c r="H1918" i="1"/>
  <c r="G1918" i="1"/>
  <c r="F1918" i="1"/>
  <c r="E1918" i="1"/>
  <c r="D1918" i="1"/>
  <c r="C1918" i="1"/>
  <c r="A1918" i="1"/>
  <c r="M1917" i="1"/>
  <c r="K1917" i="1"/>
  <c r="H1917" i="1"/>
  <c r="G1917" i="1"/>
  <c r="F1917" i="1"/>
  <c r="E1917" i="1"/>
  <c r="D1917" i="1"/>
  <c r="C1917" i="1"/>
  <c r="A1917" i="1"/>
  <c r="M1916" i="1"/>
  <c r="K1916" i="1"/>
  <c r="H1916" i="1"/>
  <c r="G1916" i="1"/>
  <c r="F1916" i="1"/>
  <c r="E1916" i="1"/>
  <c r="D1916" i="1"/>
  <c r="C1916" i="1"/>
  <c r="A1916" i="1"/>
  <c r="M1915" i="1"/>
  <c r="L1915" i="1"/>
  <c r="K1915" i="1"/>
  <c r="H1915" i="1"/>
  <c r="G1915" i="1"/>
  <c r="F1915" i="1"/>
  <c r="E1915" i="1"/>
  <c r="D1915" i="1"/>
  <c r="C1915" i="1"/>
  <c r="A1915" i="1"/>
  <c r="M1914" i="1"/>
  <c r="L1914" i="1"/>
  <c r="K1914" i="1"/>
  <c r="H1914" i="1"/>
  <c r="G1914" i="1"/>
  <c r="F1914" i="1"/>
  <c r="E1914" i="1"/>
  <c r="D1914" i="1"/>
  <c r="C1914" i="1"/>
  <c r="A1914" i="1"/>
  <c r="M1913" i="1"/>
  <c r="L1913" i="1"/>
  <c r="K1913" i="1"/>
  <c r="H1913" i="1"/>
  <c r="G1913" i="1"/>
  <c r="F1913" i="1"/>
  <c r="E1913" i="1"/>
  <c r="D1913" i="1"/>
  <c r="C1913" i="1"/>
  <c r="A1913" i="1"/>
  <c r="M1912" i="1"/>
  <c r="L1912" i="1"/>
  <c r="K1912" i="1"/>
  <c r="H1912" i="1"/>
  <c r="G1912" i="1"/>
  <c r="F1912" i="1"/>
  <c r="E1912" i="1"/>
  <c r="D1912" i="1"/>
  <c r="C1912" i="1"/>
  <c r="A1912" i="1"/>
  <c r="M1911" i="1"/>
  <c r="L1911" i="1"/>
  <c r="K1911" i="1"/>
  <c r="H1911" i="1"/>
  <c r="G1911" i="1"/>
  <c r="F1911" i="1"/>
  <c r="E1911" i="1"/>
  <c r="D1911" i="1"/>
  <c r="C1911" i="1"/>
  <c r="A1911" i="1"/>
  <c r="M1910" i="1"/>
  <c r="L1910" i="1"/>
  <c r="K1910" i="1"/>
  <c r="H1910" i="1"/>
  <c r="G1910" i="1"/>
  <c r="F1910" i="1"/>
  <c r="E1910" i="1"/>
  <c r="D1910" i="1"/>
  <c r="C1910" i="1"/>
  <c r="A1910" i="1"/>
  <c r="M1909" i="1"/>
  <c r="L1909" i="1"/>
  <c r="K1909" i="1"/>
  <c r="H1909" i="1"/>
  <c r="G1909" i="1"/>
  <c r="F1909" i="1"/>
  <c r="E1909" i="1"/>
  <c r="D1909" i="1"/>
  <c r="C1909" i="1"/>
  <c r="A1909" i="1"/>
  <c r="M1908" i="1"/>
  <c r="L1908" i="1"/>
  <c r="K1908" i="1"/>
  <c r="H1908" i="1"/>
  <c r="G1908" i="1"/>
  <c r="F1908" i="1"/>
  <c r="E1908" i="1"/>
  <c r="D1908" i="1"/>
  <c r="C1908" i="1"/>
  <c r="A1908" i="1"/>
  <c r="M1907" i="1"/>
  <c r="L1907" i="1"/>
  <c r="K1907" i="1"/>
  <c r="H1907" i="1"/>
  <c r="G1907" i="1"/>
  <c r="F1907" i="1"/>
  <c r="E1907" i="1"/>
  <c r="D1907" i="1"/>
  <c r="C1907" i="1"/>
  <c r="A1907" i="1"/>
  <c r="M1906" i="1"/>
  <c r="K1906" i="1"/>
  <c r="H1906" i="1"/>
  <c r="G1906" i="1"/>
  <c r="F1906" i="1"/>
  <c r="E1906" i="1"/>
  <c r="D1906" i="1"/>
  <c r="C1906" i="1"/>
  <c r="A1906" i="1"/>
  <c r="M1905" i="1"/>
  <c r="L1905" i="1"/>
  <c r="K1905" i="1"/>
  <c r="J1905" i="1"/>
  <c r="H1905" i="1"/>
  <c r="F1905" i="1"/>
  <c r="E1905" i="1"/>
  <c r="D1905" i="1"/>
  <c r="C1905" i="1"/>
  <c r="A1905" i="1"/>
  <c r="M1904" i="1"/>
  <c r="L1904" i="1"/>
  <c r="K1904" i="1"/>
  <c r="H1904" i="1"/>
  <c r="G1904" i="1"/>
  <c r="F1904" i="1"/>
  <c r="E1904" i="1"/>
  <c r="D1904" i="1"/>
  <c r="C1904" i="1"/>
  <c r="A1904" i="1"/>
  <c r="M1903" i="1"/>
  <c r="L1903" i="1"/>
  <c r="K1903" i="1"/>
  <c r="H1903" i="1"/>
  <c r="G1903" i="1"/>
  <c r="F1903" i="1"/>
  <c r="E1903" i="1"/>
  <c r="D1903" i="1"/>
  <c r="C1903" i="1"/>
  <c r="A1903" i="1"/>
  <c r="M1902" i="1"/>
  <c r="L1902" i="1"/>
  <c r="K1902" i="1"/>
  <c r="H1902" i="1"/>
  <c r="G1902" i="1"/>
  <c r="F1902" i="1"/>
  <c r="E1902" i="1"/>
  <c r="D1902" i="1"/>
  <c r="C1902" i="1"/>
  <c r="A1902" i="1"/>
  <c r="M1901" i="1"/>
  <c r="L1901" i="1"/>
  <c r="K1901" i="1"/>
  <c r="H1901" i="1"/>
  <c r="G1901" i="1"/>
  <c r="F1901" i="1"/>
  <c r="E1901" i="1"/>
  <c r="D1901" i="1"/>
  <c r="C1901" i="1"/>
  <c r="A1901" i="1"/>
  <c r="M1900" i="1"/>
  <c r="L1900" i="1"/>
  <c r="K1900" i="1"/>
  <c r="H1900" i="1"/>
  <c r="G1900" i="1"/>
  <c r="F1900" i="1"/>
  <c r="E1900" i="1"/>
  <c r="D1900" i="1"/>
  <c r="C1900" i="1"/>
  <c r="A1900" i="1"/>
  <c r="M1899" i="1"/>
  <c r="L1899" i="1"/>
  <c r="K1899" i="1"/>
  <c r="H1899" i="1"/>
  <c r="G1899" i="1"/>
  <c r="F1899" i="1"/>
  <c r="E1899" i="1"/>
  <c r="D1899" i="1"/>
  <c r="C1899" i="1"/>
  <c r="A1899" i="1"/>
  <c r="M1898" i="1"/>
  <c r="L1898" i="1"/>
  <c r="K1898" i="1"/>
  <c r="H1898" i="1"/>
  <c r="G1898" i="1"/>
  <c r="F1898" i="1"/>
  <c r="E1898" i="1"/>
  <c r="D1898" i="1"/>
  <c r="C1898" i="1"/>
  <c r="A1898" i="1"/>
  <c r="M1897" i="1"/>
  <c r="L1897" i="1"/>
  <c r="K1897" i="1"/>
  <c r="H1897" i="1"/>
  <c r="G1897" i="1"/>
  <c r="F1897" i="1"/>
  <c r="E1897" i="1"/>
  <c r="D1897" i="1"/>
  <c r="C1897" i="1"/>
  <c r="A1897" i="1"/>
  <c r="M1896" i="1"/>
  <c r="L1896" i="1"/>
  <c r="K1896" i="1"/>
  <c r="H1896" i="1"/>
  <c r="G1896" i="1"/>
  <c r="F1896" i="1"/>
  <c r="E1896" i="1"/>
  <c r="D1896" i="1"/>
  <c r="C1896" i="1"/>
  <c r="A1896" i="1"/>
  <c r="H1895" i="1"/>
  <c r="C1895" i="1"/>
  <c r="A1895" i="1"/>
  <c r="M1894" i="1"/>
  <c r="L1894" i="1"/>
  <c r="K1894" i="1"/>
  <c r="H1894" i="1"/>
  <c r="G1894" i="1"/>
  <c r="F1894" i="1"/>
  <c r="E1894" i="1"/>
  <c r="D1894" i="1"/>
  <c r="C1894" i="1"/>
  <c r="A1894" i="1"/>
  <c r="M1893" i="1"/>
  <c r="L1893" i="1"/>
  <c r="K1893" i="1"/>
  <c r="H1893" i="1"/>
  <c r="G1893" i="1"/>
  <c r="F1893" i="1"/>
  <c r="E1893" i="1"/>
  <c r="D1893" i="1"/>
  <c r="C1893" i="1"/>
  <c r="A1893" i="1"/>
  <c r="M1892" i="1"/>
  <c r="L1892" i="1"/>
  <c r="K1892" i="1"/>
  <c r="H1892" i="1"/>
  <c r="G1892" i="1"/>
  <c r="F1892" i="1"/>
  <c r="E1892" i="1"/>
  <c r="D1892" i="1"/>
  <c r="C1892" i="1"/>
  <c r="A1892" i="1"/>
  <c r="M1891" i="1"/>
  <c r="L1891" i="1"/>
  <c r="K1891" i="1"/>
  <c r="H1891" i="1"/>
  <c r="G1891" i="1"/>
  <c r="F1891" i="1"/>
  <c r="E1891" i="1"/>
  <c r="D1891" i="1"/>
  <c r="C1891" i="1"/>
  <c r="A1891" i="1"/>
  <c r="M1890" i="1"/>
  <c r="L1890" i="1"/>
  <c r="K1890" i="1"/>
  <c r="H1890" i="1"/>
  <c r="G1890" i="1"/>
  <c r="F1890" i="1"/>
  <c r="E1890" i="1"/>
  <c r="D1890" i="1"/>
  <c r="C1890" i="1"/>
  <c r="A1890" i="1"/>
  <c r="M1889" i="1"/>
  <c r="L1889" i="1"/>
  <c r="K1889" i="1"/>
  <c r="H1889" i="1"/>
  <c r="F1889" i="1"/>
  <c r="C1889" i="1"/>
  <c r="A1889" i="1"/>
  <c r="M1888" i="1"/>
  <c r="K1888" i="1"/>
  <c r="H1888" i="1"/>
  <c r="G1888" i="1"/>
  <c r="F1888" i="1"/>
  <c r="E1888" i="1"/>
  <c r="D1888" i="1"/>
  <c r="C1888" i="1"/>
  <c r="A1888" i="1"/>
  <c r="M1887" i="1"/>
  <c r="K1887" i="1"/>
  <c r="H1887" i="1"/>
  <c r="G1887" i="1"/>
  <c r="F1887" i="1"/>
  <c r="E1887" i="1"/>
  <c r="D1887" i="1"/>
  <c r="C1887" i="1"/>
  <c r="A1887" i="1"/>
  <c r="M1886" i="1"/>
  <c r="L1886" i="1"/>
  <c r="K1886" i="1"/>
  <c r="H1886" i="1"/>
  <c r="G1886" i="1"/>
  <c r="F1886" i="1"/>
  <c r="E1886" i="1"/>
  <c r="D1886" i="1"/>
  <c r="C1886" i="1"/>
  <c r="A1886" i="1"/>
  <c r="M1885" i="1"/>
  <c r="L1885" i="1"/>
  <c r="K1885" i="1"/>
  <c r="H1885" i="1"/>
  <c r="G1885" i="1"/>
  <c r="F1885" i="1"/>
  <c r="E1885" i="1"/>
  <c r="D1885" i="1"/>
  <c r="C1885" i="1"/>
  <c r="A1885" i="1"/>
  <c r="M1884" i="1"/>
  <c r="L1884" i="1"/>
  <c r="K1884" i="1"/>
  <c r="H1884" i="1"/>
  <c r="G1884" i="1"/>
  <c r="F1884" i="1"/>
  <c r="E1884" i="1"/>
  <c r="D1884" i="1"/>
  <c r="C1884" i="1"/>
  <c r="A1884" i="1"/>
  <c r="M1883" i="1"/>
  <c r="K1883" i="1"/>
  <c r="H1883" i="1"/>
  <c r="G1883" i="1"/>
  <c r="F1883" i="1"/>
  <c r="E1883" i="1"/>
  <c r="D1883" i="1"/>
  <c r="C1883" i="1"/>
  <c r="A1883" i="1"/>
  <c r="M1882" i="1"/>
  <c r="L1882" i="1"/>
  <c r="K1882" i="1"/>
  <c r="H1882" i="1"/>
  <c r="G1882" i="1"/>
  <c r="F1882" i="1"/>
  <c r="E1882" i="1"/>
  <c r="D1882" i="1"/>
  <c r="C1882" i="1"/>
  <c r="A1882" i="1"/>
  <c r="M1881" i="1"/>
  <c r="K1881" i="1"/>
  <c r="H1881" i="1"/>
  <c r="G1881" i="1"/>
  <c r="F1881" i="1"/>
  <c r="E1881" i="1"/>
  <c r="D1881" i="1"/>
  <c r="C1881" i="1"/>
  <c r="A1881" i="1"/>
  <c r="M1880" i="1"/>
  <c r="L1880" i="1"/>
  <c r="K1880" i="1"/>
  <c r="H1880" i="1"/>
  <c r="G1880" i="1"/>
  <c r="F1880" i="1"/>
  <c r="E1880" i="1"/>
  <c r="D1880" i="1"/>
  <c r="C1880" i="1"/>
  <c r="A1880" i="1"/>
  <c r="M1879" i="1"/>
  <c r="K1879" i="1"/>
  <c r="H1879" i="1"/>
  <c r="G1879" i="1"/>
  <c r="F1879" i="1"/>
  <c r="E1879" i="1"/>
  <c r="D1879" i="1"/>
  <c r="C1879" i="1"/>
  <c r="A1879" i="1"/>
  <c r="M1878" i="1"/>
  <c r="K1878" i="1"/>
  <c r="J1878" i="1"/>
  <c r="H1878" i="1"/>
  <c r="F1878" i="1"/>
  <c r="E1878" i="1"/>
  <c r="D1878" i="1"/>
  <c r="C1878" i="1"/>
  <c r="A1878" i="1"/>
  <c r="M1877" i="1"/>
  <c r="K1877" i="1"/>
  <c r="H1877" i="1"/>
  <c r="G1877" i="1"/>
  <c r="F1877" i="1"/>
  <c r="E1877" i="1"/>
  <c r="D1877" i="1"/>
  <c r="C1877" i="1"/>
  <c r="A1877" i="1"/>
  <c r="M1876" i="1"/>
  <c r="L1876" i="1"/>
  <c r="K1876" i="1"/>
  <c r="H1876" i="1"/>
  <c r="G1876" i="1"/>
  <c r="F1876" i="1"/>
  <c r="E1876" i="1"/>
  <c r="D1876" i="1"/>
  <c r="C1876" i="1"/>
  <c r="A1876" i="1"/>
  <c r="M1875" i="1"/>
  <c r="L1875" i="1"/>
  <c r="K1875" i="1"/>
  <c r="H1875" i="1"/>
  <c r="G1875" i="1"/>
  <c r="F1875" i="1"/>
  <c r="E1875" i="1"/>
  <c r="D1875" i="1"/>
  <c r="C1875" i="1"/>
  <c r="A1875" i="1"/>
  <c r="M1874" i="1"/>
  <c r="K1874" i="1"/>
  <c r="H1874" i="1"/>
  <c r="G1874" i="1"/>
  <c r="F1874" i="1"/>
  <c r="E1874" i="1"/>
  <c r="D1874" i="1"/>
  <c r="C1874" i="1"/>
  <c r="A1874" i="1"/>
  <c r="M1873" i="1"/>
  <c r="L1873" i="1"/>
  <c r="K1873" i="1"/>
  <c r="H1873" i="1"/>
  <c r="G1873" i="1"/>
  <c r="F1873" i="1"/>
  <c r="E1873" i="1"/>
  <c r="D1873" i="1"/>
  <c r="C1873" i="1"/>
  <c r="A1873" i="1"/>
  <c r="M1872" i="1"/>
  <c r="J1872" i="1"/>
  <c r="H1872" i="1"/>
  <c r="F1872" i="1"/>
  <c r="E1872" i="1"/>
  <c r="D1872" i="1"/>
  <c r="C1872" i="1"/>
  <c r="A1872" i="1"/>
  <c r="M1871" i="1"/>
  <c r="L1871" i="1"/>
  <c r="K1871" i="1"/>
  <c r="H1871" i="1"/>
  <c r="G1871" i="1"/>
  <c r="F1871" i="1"/>
  <c r="E1871" i="1"/>
  <c r="D1871" i="1"/>
  <c r="C1871" i="1"/>
  <c r="A1871" i="1"/>
  <c r="M1870" i="1"/>
  <c r="L1870" i="1"/>
  <c r="K1870" i="1"/>
  <c r="H1870" i="1"/>
  <c r="G1870" i="1"/>
  <c r="F1870" i="1"/>
  <c r="E1870" i="1"/>
  <c r="D1870" i="1"/>
  <c r="C1870" i="1"/>
  <c r="A1870" i="1"/>
  <c r="M1869" i="1"/>
  <c r="L1869" i="1"/>
  <c r="K1869" i="1"/>
  <c r="H1869" i="1"/>
  <c r="G1869" i="1"/>
  <c r="F1869" i="1"/>
  <c r="E1869" i="1"/>
  <c r="D1869" i="1"/>
  <c r="C1869" i="1"/>
  <c r="A1869" i="1"/>
  <c r="M1868" i="1"/>
  <c r="L1868" i="1"/>
  <c r="K1868" i="1"/>
  <c r="H1868" i="1"/>
  <c r="G1868" i="1"/>
  <c r="F1868" i="1"/>
  <c r="E1868" i="1"/>
  <c r="D1868" i="1"/>
  <c r="C1868" i="1"/>
  <c r="A1868" i="1"/>
  <c r="M1867" i="1"/>
  <c r="L1867" i="1"/>
  <c r="K1867" i="1"/>
  <c r="H1867" i="1"/>
  <c r="G1867" i="1"/>
  <c r="F1867" i="1"/>
  <c r="E1867" i="1"/>
  <c r="D1867" i="1"/>
  <c r="C1867" i="1"/>
  <c r="A1867" i="1"/>
  <c r="M1866" i="1"/>
  <c r="L1866" i="1"/>
  <c r="K1866" i="1"/>
  <c r="H1866" i="1"/>
  <c r="G1866" i="1"/>
  <c r="F1866" i="1"/>
  <c r="E1866" i="1"/>
  <c r="D1866" i="1"/>
  <c r="C1866" i="1"/>
  <c r="A1866" i="1"/>
  <c r="M1865" i="1"/>
  <c r="L1865" i="1"/>
  <c r="K1865" i="1"/>
  <c r="H1865" i="1"/>
  <c r="G1865" i="1"/>
  <c r="F1865" i="1"/>
  <c r="E1865" i="1"/>
  <c r="D1865" i="1"/>
  <c r="C1865" i="1"/>
  <c r="A1865" i="1"/>
  <c r="M1864" i="1"/>
  <c r="L1864" i="1"/>
  <c r="K1864" i="1"/>
  <c r="H1864" i="1"/>
  <c r="G1864" i="1"/>
  <c r="F1864" i="1"/>
  <c r="E1864" i="1"/>
  <c r="D1864" i="1"/>
  <c r="C1864" i="1"/>
  <c r="A1864" i="1"/>
  <c r="M1863" i="1"/>
  <c r="L1863" i="1"/>
  <c r="K1863" i="1"/>
  <c r="H1863" i="1"/>
  <c r="G1863" i="1"/>
  <c r="F1863" i="1"/>
  <c r="E1863" i="1"/>
  <c r="D1863" i="1"/>
  <c r="C1863" i="1"/>
  <c r="A1863" i="1"/>
  <c r="M1862" i="1"/>
  <c r="L1862" i="1"/>
  <c r="K1862" i="1"/>
  <c r="H1862" i="1"/>
  <c r="G1862" i="1"/>
  <c r="F1862" i="1"/>
  <c r="E1862" i="1"/>
  <c r="D1862" i="1"/>
  <c r="C1862" i="1"/>
  <c r="A1862" i="1"/>
  <c r="M1861" i="1"/>
  <c r="L1861" i="1"/>
  <c r="K1861" i="1"/>
  <c r="H1861" i="1"/>
  <c r="G1861" i="1"/>
  <c r="F1861" i="1"/>
  <c r="E1861" i="1"/>
  <c r="D1861" i="1"/>
  <c r="C1861" i="1"/>
  <c r="A1861" i="1"/>
  <c r="M1860" i="1"/>
  <c r="L1860" i="1"/>
  <c r="K1860" i="1"/>
  <c r="H1860" i="1"/>
  <c r="G1860" i="1"/>
  <c r="F1860" i="1"/>
  <c r="E1860" i="1"/>
  <c r="D1860" i="1"/>
  <c r="C1860" i="1"/>
  <c r="A1860" i="1"/>
  <c r="M1859" i="1"/>
  <c r="K1859" i="1"/>
  <c r="H1859" i="1"/>
  <c r="G1859" i="1"/>
  <c r="F1859" i="1"/>
  <c r="E1859" i="1"/>
  <c r="D1859" i="1"/>
  <c r="C1859" i="1"/>
  <c r="A1859" i="1"/>
  <c r="M1858" i="1"/>
  <c r="K1858" i="1"/>
  <c r="H1858" i="1"/>
  <c r="G1858" i="1"/>
  <c r="F1858" i="1"/>
  <c r="E1858" i="1"/>
  <c r="D1858" i="1"/>
  <c r="C1858" i="1"/>
  <c r="A1858" i="1"/>
  <c r="M1857" i="1"/>
  <c r="K1857" i="1"/>
  <c r="H1857" i="1"/>
  <c r="G1857" i="1"/>
  <c r="F1857" i="1"/>
  <c r="E1857" i="1"/>
  <c r="D1857" i="1"/>
  <c r="C1857" i="1"/>
  <c r="A1857" i="1"/>
  <c r="M1856" i="1"/>
  <c r="L1856" i="1"/>
  <c r="K1856" i="1"/>
  <c r="H1856" i="1"/>
  <c r="G1856" i="1"/>
  <c r="F1856" i="1"/>
  <c r="E1856" i="1"/>
  <c r="D1856" i="1"/>
  <c r="C1856" i="1"/>
  <c r="A1856" i="1"/>
  <c r="M1855" i="1"/>
  <c r="K1855" i="1"/>
  <c r="H1855" i="1"/>
  <c r="G1855" i="1"/>
  <c r="F1855" i="1"/>
  <c r="E1855" i="1"/>
  <c r="D1855" i="1"/>
  <c r="C1855" i="1"/>
  <c r="A1855" i="1"/>
  <c r="M1854" i="1"/>
  <c r="K1854" i="1"/>
  <c r="H1854" i="1"/>
  <c r="G1854" i="1"/>
  <c r="F1854" i="1"/>
  <c r="E1854" i="1"/>
  <c r="D1854" i="1"/>
  <c r="C1854" i="1"/>
  <c r="A1854" i="1"/>
  <c r="M1853" i="1"/>
  <c r="K1853" i="1"/>
  <c r="H1853" i="1"/>
  <c r="G1853" i="1"/>
  <c r="F1853" i="1"/>
  <c r="E1853" i="1"/>
  <c r="D1853" i="1"/>
  <c r="C1853" i="1"/>
  <c r="A1853" i="1"/>
  <c r="M1852" i="1"/>
  <c r="K1852" i="1"/>
  <c r="J1852" i="1"/>
  <c r="H1852" i="1"/>
  <c r="F1852" i="1"/>
  <c r="E1852" i="1"/>
  <c r="D1852" i="1"/>
  <c r="C1852" i="1"/>
  <c r="A1852" i="1"/>
  <c r="M1851" i="1"/>
  <c r="K1851" i="1"/>
  <c r="H1851" i="1"/>
  <c r="G1851" i="1"/>
  <c r="F1851" i="1"/>
  <c r="E1851" i="1"/>
  <c r="D1851" i="1"/>
  <c r="C1851" i="1"/>
  <c r="A1851" i="1"/>
  <c r="M1850" i="1"/>
  <c r="K1850" i="1"/>
  <c r="H1850" i="1"/>
  <c r="G1850" i="1"/>
  <c r="F1850" i="1"/>
  <c r="E1850" i="1"/>
  <c r="D1850" i="1"/>
  <c r="C1850" i="1"/>
  <c r="A1850" i="1"/>
  <c r="M1849" i="1"/>
  <c r="K1849" i="1"/>
  <c r="H1849" i="1"/>
  <c r="G1849" i="1"/>
  <c r="F1849" i="1"/>
  <c r="E1849" i="1"/>
  <c r="D1849" i="1"/>
  <c r="C1849" i="1"/>
  <c r="A1849" i="1"/>
  <c r="M1848" i="1"/>
  <c r="K1848" i="1"/>
  <c r="H1848" i="1"/>
  <c r="G1848" i="1"/>
  <c r="F1848" i="1"/>
  <c r="E1848" i="1"/>
  <c r="D1848" i="1"/>
  <c r="C1848" i="1"/>
  <c r="A1848" i="1"/>
  <c r="M1847" i="1"/>
  <c r="K1847" i="1"/>
  <c r="H1847" i="1"/>
  <c r="G1847" i="1"/>
  <c r="F1847" i="1"/>
  <c r="E1847" i="1"/>
  <c r="D1847" i="1"/>
  <c r="C1847" i="1"/>
  <c r="A1847" i="1"/>
  <c r="M1846" i="1"/>
  <c r="K1846" i="1"/>
  <c r="H1846" i="1"/>
  <c r="G1846" i="1"/>
  <c r="F1846" i="1"/>
  <c r="E1846" i="1"/>
  <c r="D1846" i="1"/>
  <c r="C1846" i="1"/>
  <c r="A1846" i="1"/>
  <c r="M1845" i="1"/>
  <c r="K1845" i="1"/>
  <c r="J1845" i="1"/>
  <c r="H1845" i="1"/>
  <c r="F1845" i="1"/>
  <c r="E1845" i="1"/>
  <c r="D1845" i="1"/>
  <c r="C1845" i="1"/>
  <c r="A1845" i="1"/>
  <c r="M1844" i="1"/>
  <c r="K1844" i="1"/>
  <c r="H1844" i="1"/>
  <c r="G1844" i="1"/>
  <c r="F1844" i="1"/>
  <c r="E1844" i="1"/>
  <c r="D1844" i="1"/>
  <c r="C1844" i="1"/>
  <c r="A1844" i="1"/>
  <c r="M1843" i="1"/>
  <c r="K1843" i="1"/>
  <c r="J1843" i="1"/>
  <c r="H1843" i="1"/>
  <c r="F1843" i="1"/>
  <c r="E1843" i="1"/>
  <c r="D1843" i="1"/>
  <c r="C1843" i="1"/>
  <c r="A1843" i="1"/>
  <c r="M1842" i="1"/>
  <c r="K1842" i="1"/>
  <c r="H1842" i="1"/>
  <c r="G1842" i="1"/>
  <c r="F1842" i="1"/>
  <c r="E1842" i="1"/>
  <c r="D1842" i="1"/>
  <c r="C1842" i="1"/>
  <c r="A1842" i="1"/>
  <c r="M1841" i="1"/>
  <c r="K1841" i="1"/>
  <c r="H1841" i="1"/>
  <c r="G1841" i="1"/>
  <c r="F1841" i="1"/>
  <c r="E1841" i="1"/>
  <c r="D1841" i="1"/>
  <c r="C1841" i="1"/>
  <c r="A1841" i="1"/>
  <c r="M1840" i="1"/>
  <c r="K1840" i="1"/>
  <c r="H1840" i="1"/>
  <c r="G1840" i="1"/>
  <c r="F1840" i="1"/>
  <c r="E1840" i="1"/>
  <c r="D1840" i="1"/>
  <c r="C1840" i="1"/>
  <c r="A1840" i="1"/>
  <c r="M1839" i="1"/>
  <c r="K1839" i="1"/>
  <c r="H1839" i="1"/>
  <c r="G1839" i="1"/>
  <c r="F1839" i="1"/>
  <c r="E1839" i="1"/>
  <c r="D1839" i="1"/>
  <c r="C1839" i="1"/>
  <c r="A1839" i="1"/>
  <c r="M1838" i="1"/>
  <c r="K1838" i="1"/>
  <c r="J1838" i="1"/>
  <c r="H1838" i="1"/>
  <c r="F1838" i="1"/>
  <c r="E1838" i="1"/>
  <c r="D1838" i="1"/>
  <c r="C1838" i="1"/>
  <c r="A1838" i="1"/>
  <c r="M1837" i="1"/>
  <c r="K1837" i="1"/>
  <c r="H1837" i="1"/>
  <c r="G1837" i="1"/>
  <c r="F1837" i="1"/>
  <c r="E1837" i="1"/>
  <c r="D1837" i="1"/>
  <c r="C1837" i="1"/>
  <c r="A1837" i="1"/>
  <c r="M1836" i="1"/>
  <c r="K1836" i="1"/>
  <c r="H1836" i="1"/>
  <c r="G1836" i="1"/>
  <c r="F1836" i="1"/>
  <c r="E1836" i="1"/>
  <c r="D1836" i="1"/>
  <c r="C1836" i="1"/>
  <c r="A1836" i="1"/>
  <c r="M1835" i="1"/>
  <c r="L1835" i="1"/>
  <c r="K1835" i="1"/>
  <c r="H1835" i="1"/>
  <c r="G1835" i="1"/>
  <c r="F1835" i="1"/>
  <c r="E1835" i="1"/>
  <c r="D1835" i="1"/>
  <c r="C1835" i="1"/>
  <c r="A1835" i="1"/>
  <c r="M1834" i="1"/>
  <c r="K1834" i="1"/>
  <c r="H1834" i="1"/>
  <c r="G1834" i="1"/>
  <c r="F1834" i="1"/>
  <c r="E1834" i="1"/>
  <c r="D1834" i="1"/>
  <c r="C1834" i="1"/>
  <c r="A1834" i="1"/>
  <c r="M1833" i="1"/>
  <c r="K1833" i="1"/>
  <c r="J1833" i="1"/>
  <c r="H1833" i="1"/>
  <c r="F1833" i="1"/>
  <c r="E1833" i="1"/>
  <c r="D1833" i="1"/>
  <c r="C1833" i="1"/>
  <c r="A1833" i="1"/>
  <c r="M1832" i="1"/>
  <c r="K1832" i="1"/>
  <c r="H1832" i="1"/>
  <c r="G1832" i="1"/>
  <c r="F1832" i="1"/>
  <c r="E1832" i="1"/>
  <c r="D1832" i="1"/>
  <c r="C1832" i="1"/>
  <c r="A1832" i="1"/>
  <c r="M1831" i="1"/>
  <c r="L1831" i="1"/>
  <c r="K1831" i="1"/>
  <c r="H1831" i="1"/>
  <c r="G1831" i="1"/>
  <c r="F1831" i="1"/>
  <c r="E1831" i="1"/>
  <c r="D1831" i="1"/>
  <c r="C1831" i="1"/>
  <c r="A1831" i="1"/>
  <c r="M1830" i="1"/>
  <c r="L1830" i="1"/>
  <c r="K1830" i="1"/>
  <c r="H1830" i="1"/>
  <c r="G1830" i="1"/>
  <c r="F1830" i="1"/>
  <c r="E1830" i="1"/>
  <c r="D1830" i="1"/>
  <c r="C1830" i="1"/>
  <c r="A1830" i="1"/>
  <c r="M1829" i="1"/>
  <c r="L1829" i="1"/>
  <c r="K1829" i="1"/>
  <c r="H1829" i="1"/>
  <c r="G1829" i="1"/>
  <c r="F1829" i="1"/>
  <c r="E1829" i="1"/>
  <c r="D1829" i="1"/>
  <c r="C1829" i="1"/>
  <c r="A1829" i="1"/>
  <c r="M1828" i="1"/>
  <c r="L1828" i="1"/>
  <c r="K1828" i="1"/>
  <c r="H1828" i="1"/>
  <c r="G1828" i="1"/>
  <c r="F1828" i="1"/>
  <c r="E1828" i="1"/>
  <c r="D1828" i="1"/>
  <c r="C1828" i="1"/>
  <c r="A1828" i="1"/>
  <c r="M1827" i="1"/>
  <c r="L1827" i="1"/>
  <c r="K1827" i="1"/>
  <c r="H1827" i="1"/>
  <c r="G1827" i="1"/>
  <c r="F1827" i="1"/>
  <c r="E1827" i="1"/>
  <c r="D1827" i="1"/>
  <c r="C1827" i="1"/>
  <c r="A1827" i="1"/>
  <c r="M1826" i="1"/>
  <c r="L1826" i="1"/>
  <c r="K1826" i="1"/>
  <c r="H1826" i="1"/>
  <c r="G1826" i="1"/>
  <c r="F1826" i="1"/>
  <c r="E1826" i="1"/>
  <c r="D1826" i="1"/>
  <c r="C1826" i="1"/>
  <c r="A1826" i="1"/>
  <c r="M1825" i="1"/>
  <c r="L1825" i="1"/>
  <c r="K1825" i="1"/>
  <c r="H1825" i="1"/>
  <c r="G1825" i="1"/>
  <c r="F1825" i="1"/>
  <c r="E1825" i="1"/>
  <c r="D1825" i="1"/>
  <c r="C1825" i="1"/>
  <c r="A1825" i="1"/>
  <c r="M1824" i="1"/>
  <c r="L1824" i="1"/>
  <c r="K1824" i="1"/>
  <c r="H1824" i="1"/>
  <c r="G1824" i="1"/>
  <c r="F1824" i="1"/>
  <c r="E1824" i="1"/>
  <c r="D1824" i="1"/>
  <c r="C1824" i="1"/>
  <c r="A1824" i="1"/>
  <c r="M1823" i="1"/>
  <c r="K1823" i="1"/>
  <c r="H1823" i="1"/>
  <c r="G1823" i="1"/>
  <c r="F1823" i="1"/>
  <c r="E1823" i="1"/>
  <c r="D1823" i="1"/>
  <c r="C1823" i="1"/>
  <c r="A1823" i="1"/>
  <c r="M1822" i="1"/>
  <c r="K1822" i="1"/>
  <c r="H1822" i="1"/>
  <c r="G1822" i="1"/>
  <c r="F1822" i="1"/>
  <c r="E1822" i="1"/>
  <c r="D1822" i="1"/>
  <c r="C1822" i="1"/>
  <c r="A1822" i="1"/>
  <c r="M1821" i="1"/>
  <c r="K1821" i="1"/>
  <c r="H1821" i="1"/>
  <c r="G1821" i="1"/>
  <c r="F1821" i="1"/>
  <c r="E1821" i="1"/>
  <c r="D1821" i="1"/>
  <c r="C1821" i="1"/>
  <c r="A1821" i="1"/>
  <c r="M1820" i="1"/>
  <c r="K1820" i="1"/>
  <c r="H1820" i="1"/>
  <c r="G1820" i="1"/>
  <c r="F1820" i="1"/>
  <c r="E1820" i="1"/>
  <c r="D1820" i="1"/>
  <c r="C1820" i="1"/>
  <c r="A1820" i="1"/>
  <c r="M1819" i="1"/>
  <c r="K1819" i="1"/>
  <c r="H1819" i="1"/>
  <c r="G1819" i="1"/>
  <c r="F1819" i="1"/>
  <c r="E1819" i="1"/>
  <c r="D1819" i="1"/>
  <c r="C1819" i="1"/>
  <c r="A1819" i="1"/>
  <c r="M1818" i="1"/>
  <c r="K1818" i="1"/>
  <c r="H1818" i="1"/>
  <c r="G1818" i="1"/>
  <c r="F1818" i="1"/>
  <c r="E1818" i="1"/>
  <c r="D1818" i="1"/>
  <c r="C1818" i="1"/>
  <c r="A1818" i="1"/>
  <c r="M1817" i="1"/>
  <c r="K1817" i="1"/>
  <c r="H1817" i="1"/>
  <c r="G1817" i="1"/>
  <c r="F1817" i="1"/>
  <c r="E1817" i="1"/>
  <c r="D1817" i="1"/>
  <c r="C1817" i="1"/>
  <c r="A1817" i="1"/>
  <c r="M1816" i="1"/>
  <c r="K1816" i="1"/>
  <c r="H1816" i="1"/>
  <c r="G1816" i="1"/>
  <c r="F1816" i="1"/>
  <c r="E1816" i="1"/>
  <c r="D1816" i="1"/>
  <c r="C1816" i="1"/>
  <c r="A1816" i="1"/>
  <c r="M1815" i="1"/>
  <c r="K1815" i="1"/>
  <c r="H1815" i="1"/>
  <c r="G1815" i="1"/>
  <c r="F1815" i="1"/>
  <c r="E1815" i="1"/>
  <c r="D1815" i="1"/>
  <c r="C1815" i="1"/>
  <c r="A1815" i="1"/>
  <c r="M1814" i="1"/>
  <c r="K1814" i="1"/>
  <c r="H1814" i="1"/>
  <c r="G1814" i="1"/>
  <c r="F1814" i="1"/>
  <c r="E1814" i="1"/>
  <c r="D1814" i="1"/>
  <c r="C1814" i="1"/>
  <c r="A1814" i="1"/>
  <c r="M1813" i="1"/>
  <c r="K1813" i="1"/>
  <c r="H1813" i="1"/>
  <c r="G1813" i="1"/>
  <c r="F1813" i="1"/>
  <c r="E1813" i="1"/>
  <c r="D1813" i="1"/>
  <c r="C1813" i="1"/>
  <c r="A1813" i="1"/>
  <c r="M1812" i="1"/>
  <c r="K1812" i="1"/>
  <c r="H1812" i="1"/>
  <c r="G1812" i="1"/>
  <c r="F1812" i="1"/>
  <c r="E1812" i="1"/>
  <c r="D1812" i="1"/>
  <c r="C1812" i="1"/>
  <c r="A1812" i="1"/>
  <c r="M1811" i="1"/>
  <c r="K1811" i="1"/>
  <c r="H1811" i="1"/>
  <c r="G1811" i="1"/>
  <c r="F1811" i="1"/>
  <c r="E1811" i="1"/>
  <c r="D1811" i="1"/>
  <c r="C1811" i="1"/>
  <c r="A1811" i="1"/>
  <c r="M1810" i="1"/>
  <c r="K1810" i="1"/>
  <c r="J1810" i="1"/>
  <c r="H1810" i="1"/>
  <c r="F1810" i="1"/>
  <c r="E1810" i="1"/>
  <c r="D1810" i="1"/>
  <c r="C1810" i="1"/>
  <c r="A1810" i="1"/>
  <c r="M1809" i="1"/>
  <c r="K1809" i="1"/>
  <c r="H1809" i="1"/>
  <c r="G1809" i="1"/>
  <c r="F1809" i="1"/>
  <c r="E1809" i="1"/>
  <c r="D1809" i="1"/>
  <c r="C1809" i="1"/>
  <c r="A1809" i="1"/>
  <c r="M1808" i="1"/>
  <c r="K1808" i="1"/>
  <c r="I1808" i="1"/>
  <c r="H1808" i="1"/>
  <c r="G1808" i="1"/>
  <c r="F1808" i="1"/>
  <c r="E1808" i="1"/>
  <c r="D1808" i="1"/>
  <c r="C1808" i="1"/>
  <c r="A1808" i="1"/>
  <c r="M1807" i="1"/>
  <c r="K1807" i="1"/>
  <c r="H1807" i="1"/>
  <c r="G1807" i="1"/>
  <c r="F1807" i="1"/>
  <c r="E1807" i="1"/>
  <c r="D1807" i="1"/>
  <c r="C1807" i="1"/>
  <c r="A1807" i="1"/>
  <c r="H1806" i="1"/>
  <c r="G1806" i="1"/>
  <c r="E1806" i="1"/>
  <c r="D1806" i="1"/>
  <c r="C1806" i="1"/>
  <c r="A1806" i="1"/>
  <c r="M1805" i="1"/>
  <c r="K1805" i="1"/>
  <c r="J1805" i="1"/>
  <c r="H1805" i="1"/>
  <c r="F1805" i="1"/>
  <c r="E1805" i="1"/>
  <c r="D1805" i="1"/>
  <c r="C1805" i="1"/>
  <c r="A1805" i="1"/>
  <c r="M1804" i="1"/>
  <c r="K1804" i="1"/>
  <c r="H1804" i="1"/>
  <c r="G1804" i="1"/>
  <c r="F1804" i="1"/>
  <c r="E1804" i="1"/>
  <c r="D1804" i="1"/>
  <c r="C1804" i="1"/>
  <c r="A1804" i="1"/>
  <c r="M1803" i="1"/>
  <c r="K1803" i="1"/>
  <c r="H1803" i="1"/>
  <c r="G1803" i="1"/>
  <c r="F1803" i="1"/>
  <c r="E1803" i="1"/>
  <c r="D1803" i="1"/>
  <c r="C1803" i="1"/>
  <c r="A1803" i="1"/>
  <c r="H1802" i="1"/>
  <c r="G1802" i="1"/>
  <c r="F1802" i="1"/>
  <c r="E1802" i="1"/>
  <c r="D1802" i="1"/>
  <c r="C1802" i="1"/>
  <c r="A1802" i="1"/>
  <c r="H1801" i="1"/>
  <c r="G1801" i="1"/>
  <c r="E1801" i="1"/>
  <c r="D1801" i="1"/>
  <c r="C1801" i="1"/>
  <c r="A1801" i="1"/>
  <c r="M1800" i="1"/>
  <c r="K1800" i="1"/>
  <c r="H1800" i="1"/>
  <c r="G1800" i="1"/>
  <c r="F1800" i="1"/>
  <c r="E1800" i="1"/>
  <c r="D1800" i="1"/>
  <c r="C1800" i="1"/>
  <c r="A1800" i="1"/>
  <c r="M1799" i="1"/>
  <c r="K1799" i="1"/>
  <c r="H1799" i="1"/>
  <c r="G1799" i="1"/>
  <c r="F1799" i="1"/>
  <c r="E1799" i="1"/>
  <c r="D1799" i="1"/>
  <c r="C1799" i="1"/>
  <c r="A1799" i="1"/>
  <c r="M1798" i="1"/>
  <c r="K1798" i="1"/>
  <c r="I1798" i="1"/>
  <c r="H1798" i="1"/>
  <c r="G1798" i="1"/>
  <c r="F1798" i="1"/>
  <c r="E1798" i="1"/>
  <c r="D1798" i="1"/>
  <c r="C1798" i="1"/>
  <c r="A1798" i="1"/>
  <c r="M1797" i="1"/>
  <c r="L1797" i="1"/>
  <c r="K1797" i="1"/>
  <c r="H1797" i="1"/>
  <c r="G1797" i="1"/>
  <c r="F1797" i="1"/>
  <c r="E1797" i="1"/>
  <c r="D1797" i="1"/>
  <c r="C1797" i="1"/>
  <c r="A1797" i="1"/>
  <c r="M1796" i="1"/>
  <c r="K1796" i="1"/>
  <c r="J1796" i="1"/>
  <c r="H1796" i="1"/>
  <c r="F1796" i="1"/>
  <c r="E1796" i="1"/>
  <c r="D1796" i="1"/>
  <c r="C1796" i="1"/>
  <c r="A1796" i="1"/>
  <c r="M1795" i="1"/>
  <c r="L1795" i="1"/>
  <c r="K1795" i="1"/>
  <c r="H1795" i="1"/>
  <c r="G1795" i="1"/>
  <c r="F1795" i="1"/>
  <c r="E1795" i="1"/>
  <c r="D1795" i="1"/>
  <c r="C1795" i="1"/>
  <c r="A1795" i="1"/>
  <c r="M1794" i="1"/>
  <c r="L1794" i="1"/>
  <c r="K1794" i="1"/>
  <c r="H1794" i="1"/>
  <c r="G1794" i="1"/>
  <c r="F1794" i="1"/>
  <c r="E1794" i="1"/>
  <c r="D1794" i="1"/>
  <c r="C1794" i="1"/>
  <c r="A1794" i="1"/>
  <c r="M1793" i="1"/>
  <c r="L1793" i="1"/>
  <c r="K1793" i="1"/>
  <c r="H1793" i="1"/>
  <c r="G1793" i="1"/>
  <c r="F1793" i="1"/>
  <c r="E1793" i="1"/>
  <c r="D1793" i="1"/>
  <c r="C1793" i="1"/>
  <c r="A1793" i="1"/>
  <c r="M1792" i="1"/>
  <c r="L1792" i="1"/>
  <c r="K1792" i="1"/>
  <c r="H1792" i="1"/>
  <c r="G1792" i="1"/>
  <c r="F1792" i="1"/>
  <c r="E1792" i="1"/>
  <c r="D1792" i="1"/>
  <c r="C1792" i="1"/>
  <c r="A1792" i="1"/>
  <c r="M1791" i="1"/>
  <c r="L1791" i="1"/>
  <c r="K1791" i="1"/>
  <c r="H1791" i="1"/>
  <c r="G1791" i="1"/>
  <c r="F1791" i="1"/>
  <c r="E1791" i="1"/>
  <c r="D1791" i="1"/>
  <c r="C1791" i="1"/>
  <c r="A1791" i="1"/>
  <c r="M1790" i="1"/>
  <c r="L1790" i="1"/>
  <c r="K1790" i="1"/>
  <c r="H1790" i="1"/>
  <c r="G1790" i="1"/>
  <c r="F1790" i="1"/>
  <c r="E1790" i="1"/>
  <c r="D1790" i="1"/>
  <c r="C1790" i="1"/>
  <c r="A1790" i="1"/>
  <c r="M1789" i="1"/>
  <c r="L1789" i="1"/>
  <c r="K1789" i="1"/>
  <c r="H1789" i="1"/>
  <c r="G1789" i="1"/>
  <c r="F1789" i="1"/>
  <c r="E1789" i="1"/>
  <c r="D1789" i="1"/>
  <c r="C1789" i="1"/>
  <c r="A1789" i="1"/>
  <c r="M1788" i="1"/>
  <c r="L1788" i="1"/>
  <c r="K1788" i="1"/>
  <c r="H1788" i="1"/>
  <c r="G1788" i="1"/>
  <c r="F1788" i="1"/>
  <c r="E1788" i="1"/>
  <c r="D1788" i="1"/>
  <c r="C1788" i="1"/>
  <c r="A1788" i="1"/>
  <c r="M1787" i="1"/>
  <c r="L1787" i="1"/>
  <c r="K1787" i="1"/>
  <c r="H1787" i="1"/>
  <c r="G1787" i="1"/>
  <c r="F1787" i="1"/>
  <c r="E1787" i="1"/>
  <c r="D1787" i="1"/>
  <c r="C1787" i="1"/>
  <c r="A1787" i="1"/>
  <c r="M1786" i="1"/>
  <c r="L1786" i="1"/>
  <c r="K1786" i="1"/>
  <c r="H1786" i="1"/>
  <c r="G1786" i="1"/>
  <c r="F1786" i="1"/>
  <c r="E1786" i="1"/>
  <c r="D1786" i="1"/>
  <c r="C1786" i="1"/>
  <c r="A1786" i="1"/>
  <c r="M1785" i="1"/>
  <c r="L1785" i="1"/>
  <c r="K1785" i="1"/>
  <c r="H1785" i="1"/>
  <c r="G1785" i="1"/>
  <c r="F1785" i="1"/>
  <c r="E1785" i="1"/>
  <c r="D1785" i="1"/>
  <c r="C1785" i="1"/>
  <c r="A1785" i="1"/>
  <c r="M1784" i="1"/>
  <c r="K1784" i="1"/>
  <c r="H1784" i="1"/>
  <c r="G1784" i="1"/>
  <c r="F1784" i="1"/>
  <c r="E1784" i="1"/>
  <c r="D1784" i="1"/>
  <c r="C1784" i="1"/>
  <c r="A1784" i="1"/>
  <c r="M1783" i="1"/>
  <c r="L1783" i="1"/>
  <c r="K1783" i="1"/>
  <c r="H1783" i="1"/>
  <c r="G1783" i="1"/>
  <c r="F1783" i="1"/>
  <c r="E1783" i="1"/>
  <c r="D1783" i="1"/>
  <c r="C1783" i="1"/>
  <c r="A1783" i="1"/>
  <c r="M1782" i="1"/>
  <c r="L1782" i="1"/>
  <c r="K1782" i="1"/>
  <c r="H1782" i="1"/>
  <c r="G1782" i="1"/>
  <c r="F1782" i="1"/>
  <c r="E1782" i="1"/>
  <c r="D1782" i="1"/>
  <c r="C1782" i="1"/>
  <c r="A1782" i="1"/>
  <c r="M1781" i="1"/>
  <c r="L1781" i="1"/>
  <c r="K1781" i="1"/>
  <c r="H1781" i="1"/>
  <c r="G1781" i="1"/>
  <c r="F1781" i="1"/>
  <c r="E1781" i="1"/>
  <c r="D1781" i="1"/>
  <c r="C1781" i="1"/>
  <c r="A1781" i="1"/>
  <c r="M1780" i="1"/>
  <c r="L1780" i="1"/>
  <c r="K1780" i="1"/>
  <c r="H1780" i="1"/>
  <c r="G1780" i="1"/>
  <c r="F1780" i="1"/>
  <c r="E1780" i="1"/>
  <c r="D1780" i="1"/>
  <c r="C1780" i="1"/>
  <c r="A1780" i="1"/>
  <c r="M1779" i="1"/>
  <c r="L1779" i="1"/>
  <c r="K1779" i="1"/>
  <c r="H1779" i="1"/>
  <c r="G1779" i="1"/>
  <c r="F1779" i="1"/>
  <c r="E1779" i="1"/>
  <c r="D1779" i="1"/>
  <c r="C1779" i="1"/>
  <c r="A1779" i="1"/>
  <c r="M1778" i="1"/>
  <c r="L1778" i="1"/>
  <c r="K1778" i="1"/>
  <c r="H1778" i="1"/>
  <c r="G1778" i="1"/>
  <c r="F1778" i="1"/>
  <c r="E1778" i="1"/>
  <c r="D1778" i="1"/>
  <c r="C1778" i="1"/>
  <c r="A1778" i="1"/>
  <c r="M1777" i="1"/>
  <c r="K1777" i="1"/>
  <c r="H1777" i="1"/>
  <c r="G1777" i="1"/>
  <c r="F1777" i="1"/>
  <c r="E1777" i="1"/>
  <c r="D1777" i="1"/>
  <c r="C1777" i="1"/>
  <c r="A1777" i="1"/>
  <c r="M1776" i="1"/>
  <c r="K1776" i="1"/>
  <c r="H1776" i="1"/>
  <c r="G1776" i="1"/>
  <c r="F1776" i="1"/>
  <c r="E1776" i="1"/>
  <c r="D1776" i="1"/>
  <c r="C1776" i="1"/>
  <c r="A1776" i="1"/>
  <c r="M1775" i="1"/>
  <c r="L1775" i="1"/>
  <c r="K1775" i="1"/>
  <c r="H1775" i="1"/>
  <c r="G1775" i="1"/>
  <c r="F1775" i="1"/>
  <c r="E1775" i="1"/>
  <c r="D1775" i="1"/>
  <c r="C1775" i="1"/>
  <c r="A1775" i="1"/>
  <c r="M1774" i="1"/>
  <c r="K1774" i="1"/>
  <c r="J1774" i="1"/>
  <c r="H1774" i="1"/>
  <c r="F1774" i="1"/>
  <c r="E1774" i="1"/>
  <c r="D1774" i="1"/>
  <c r="C1774" i="1"/>
  <c r="A1774" i="1"/>
  <c r="M1773" i="1"/>
  <c r="L1773" i="1"/>
  <c r="K1773" i="1"/>
  <c r="H1773" i="1"/>
  <c r="G1773" i="1"/>
  <c r="F1773" i="1"/>
  <c r="E1773" i="1"/>
  <c r="D1773" i="1"/>
  <c r="C1773" i="1"/>
  <c r="A1773" i="1"/>
  <c r="M1772" i="1"/>
  <c r="L1772" i="1"/>
  <c r="K1772" i="1"/>
  <c r="H1772" i="1"/>
  <c r="G1772" i="1"/>
  <c r="F1772" i="1"/>
  <c r="E1772" i="1"/>
  <c r="D1772" i="1"/>
  <c r="C1772" i="1"/>
  <c r="A1772" i="1"/>
  <c r="M1771" i="1"/>
  <c r="K1771" i="1"/>
  <c r="H1771" i="1"/>
  <c r="G1771" i="1"/>
  <c r="F1771" i="1"/>
  <c r="E1771" i="1"/>
  <c r="D1771" i="1"/>
  <c r="C1771" i="1"/>
  <c r="A1771" i="1"/>
  <c r="M1770" i="1"/>
  <c r="L1770" i="1"/>
  <c r="K1770" i="1"/>
  <c r="H1770" i="1"/>
  <c r="G1770" i="1"/>
  <c r="F1770" i="1"/>
  <c r="E1770" i="1"/>
  <c r="D1770" i="1"/>
  <c r="C1770" i="1"/>
  <c r="A1770" i="1"/>
  <c r="M1769" i="1"/>
  <c r="K1769" i="1"/>
  <c r="H1769" i="1"/>
  <c r="G1769" i="1"/>
  <c r="F1769" i="1"/>
  <c r="E1769" i="1"/>
  <c r="D1769" i="1"/>
  <c r="C1769" i="1"/>
  <c r="A1769" i="1"/>
  <c r="M1768" i="1"/>
  <c r="L1768" i="1"/>
  <c r="K1768" i="1"/>
  <c r="H1768" i="1"/>
  <c r="G1768" i="1"/>
  <c r="F1768" i="1"/>
  <c r="E1768" i="1"/>
  <c r="D1768" i="1"/>
  <c r="C1768" i="1"/>
  <c r="A1768" i="1"/>
  <c r="M1767" i="1"/>
  <c r="L1767" i="1"/>
  <c r="K1767" i="1"/>
  <c r="H1767" i="1"/>
  <c r="G1767" i="1"/>
  <c r="F1767" i="1"/>
  <c r="E1767" i="1"/>
  <c r="D1767" i="1"/>
  <c r="C1767" i="1"/>
  <c r="A1767" i="1"/>
  <c r="M1766" i="1"/>
  <c r="L1766" i="1"/>
  <c r="K1766" i="1"/>
  <c r="H1766" i="1"/>
  <c r="G1766" i="1"/>
  <c r="F1766" i="1"/>
  <c r="E1766" i="1"/>
  <c r="D1766" i="1"/>
  <c r="C1766" i="1"/>
  <c r="A1766" i="1"/>
  <c r="M1765" i="1"/>
  <c r="K1765" i="1"/>
  <c r="I1765" i="1"/>
  <c r="H1765" i="1"/>
  <c r="G1765" i="1"/>
  <c r="F1765" i="1"/>
  <c r="E1765" i="1"/>
  <c r="D1765" i="1"/>
  <c r="C1765" i="1"/>
  <c r="A1765" i="1"/>
  <c r="M1764" i="1"/>
  <c r="L1764" i="1"/>
  <c r="K1764" i="1"/>
  <c r="H1764" i="1"/>
  <c r="G1764" i="1"/>
  <c r="F1764" i="1"/>
  <c r="E1764" i="1"/>
  <c r="D1764" i="1"/>
  <c r="C1764" i="1"/>
  <c r="A1764" i="1"/>
  <c r="M1763" i="1"/>
  <c r="L1763" i="1"/>
  <c r="K1763" i="1"/>
  <c r="H1763" i="1"/>
  <c r="G1763" i="1"/>
  <c r="F1763" i="1"/>
  <c r="E1763" i="1"/>
  <c r="D1763" i="1"/>
  <c r="C1763" i="1"/>
  <c r="A1763" i="1"/>
  <c r="M1762" i="1"/>
  <c r="L1762" i="1"/>
  <c r="K1762" i="1"/>
  <c r="H1762" i="1"/>
  <c r="G1762" i="1"/>
  <c r="F1762" i="1"/>
  <c r="E1762" i="1"/>
  <c r="D1762" i="1"/>
  <c r="C1762" i="1"/>
  <c r="A1762" i="1"/>
  <c r="M1761" i="1"/>
  <c r="L1761" i="1"/>
  <c r="K1761" i="1"/>
  <c r="H1761" i="1"/>
  <c r="G1761" i="1"/>
  <c r="F1761" i="1"/>
  <c r="E1761" i="1"/>
  <c r="D1761" i="1"/>
  <c r="C1761" i="1"/>
  <c r="A1761" i="1"/>
  <c r="M1760" i="1"/>
  <c r="K1760" i="1"/>
  <c r="J1760" i="1"/>
  <c r="H1760" i="1"/>
  <c r="G1760" i="1"/>
  <c r="F1760" i="1"/>
  <c r="E1760" i="1"/>
  <c r="D1760" i="1"/>
  <c r="C1760" i="1"/>
  <c r="A1760" i="1"/>
  <c r="M1759" i="1"/>
  <c r="K1759" i="1"/>
  <c r="H1759" i="1"/>
  <c r="G1759" i="1"/>
  <c r="F1759" i="1"/>
  <c r="E1759" i="1"/>
  <c r="D1759" i="1"/>
  <c r="C1759" i="1"/>
  <c r="A1759" i="1"/>
  <c r="M1758" i="1"/>
  <c r="K1758" i="1"/>
  <c r="H1758" i="1"/>
  <c r="G1758" i="1"/>
  <c r="F1758" i="1"/>
  <c r="E1758" i="1"/>
  <c r="D1758" i="1"/>
  <c r="C1758" i="1"/>
  <c r="A1758" i="1"/>
  <c r="M1757" i="1"/>
  <c r="L1757" i="1"/>
  <c r="K1757" i="1"/>
  <c r="H1757" i="1"/>
  <c r="G1757" i="1"/>
  <c r="F1757" i="1"/>
  <c r="E1757" i="1"/>
  <c r="D1757" i="1"/>
  <c r="C1757" i="1"/>
  <c r="A1757" i="1"/>
  <c r="M1756" i="1"/>
  <c r="K1756" i="1"/>
  <c r="J1756" i="1"/>
  <c r="H1756" i="1"/>
  <c r="F1756" i="1"/>
  <c r="E1756" i="1"/>
  <c r="D1756" i="1"/>
  <c r="C1756" i="1"/>
  <c r="A1756" i="1"/>
  <c r="M1755" i="1"/>
  <c r="L1755" i="1"/>
  <c r="K1755" i="1"/>
  <c r="H1755" i="1"/>
  <c r="G1755" i="1"/>
  <c r="F1755" i="1"/>
  <c r="E1755" i="1"/>
  <c r="D1755" i="1"/>
  <c r="C1755" i="1"/>
  <c r="A1755" i="1"/>
  <c r="M1754" i="1"/>
  <c r="L1754" i="1"/>
  <c r="K1754" i="1"/>
  <c r="H1754" i="1"/>
  <c r="G1754" i="1"/>
  <c r="F1754" i="1"/>
  <c r="E1754" i="1"/>
  <c r="D1754" i="1"/>
  <c r="C1754" i="1"/>
  <c r="A1754" i="1"/>
  <c r="M1753" i="1"/>
  <c r="K1753" i="1"/>
  <c r="J1753" i="1"/>
  <c r="I1753" i="1"/>
  <c r="H1753" i="1"/>
  <c r="F1753" i="1"/>
  <c r="E1753" i="1"/>
  <c r="D1753" i="1"/>
  <c r="C1753" i="1"/>
  <c r="A1753" i="1"/>
  <c r="M1752" i="1"/>
  <c r="L1752" i="1"/>
  <c r="K1752" i="1"/>
  <c r="J1752" i="1"/>
  <c r="H1752" i="1"/>
  <c r="F1752" i="1"/>
  <c r="E1752" i="1"/>
  <c r="D1752" i="1"/>
  <c r="C1752" i="1"/>
  <c r="A1752" i="1"/>
  <c r="M1751" i="1"/>
  <c r="L1751" i="1"/>
  <c r="K1751" i="1"/>
  <c r="H1751" i="1"/>
  <c r="G1751" i="1"/>
  <c r="F1751" i="1"/>
  <c r="E1751" i="1"/>
  <c r="D1751" i="1"/>
  <c r="C1751" i="1"/>
  <c r="A1751" i="1"/>
  <c r="M1750" i="1"/>
  <c r="K1750" i="1"/>
  <c r="H1750" i="1"/>
  <c r="G1750" i="1"/>
  <c r="F1750" i="1"/>
  <c r="E1750" i="1"/>
  <c r="D1750" i="1"/>
  <c r="C1750" i="1"/>
  <c r="A1750" i="1"/>
  <c r="M1749" i="1"/>
  <c r="K1749" i="1"/>
  <c r="H1749" i="1"/>
  <c r="G1749" i="1"/>
  <c r="F1749" i="1"/>
  <c r="E1749" i="1"/>
  <c r="D1749" i="1"/>
  <c r="C1749" i="1"/>
  <c r="A1749" i="1"/>
  <c r="M1748" i="1"/>
  <c r="L1748" i="1"/>
  <c r="K1748" i="1"/>
  <c r="H1748" i="1"/>
  <c r="G1748" i="1"/>
  <c r="F1748" i="1"/>
  <c r="E1748" i="1"/>
  <c r="D1748" i="1"/>
  <c r="C1748" i="1"/>
  <c r="A1748" i="1"/>
  <c r="M1747" i="1"/>
  <c r="L1747" i="1"/>
  <c r="K1747" i="1"/>
  <c r="H1747" i="1"/>
  <c r="G1747" i="1"/>
  <c r="F1747" i="1"/>
  <c r="E1747" i="1"/>
  <c r="D1747" i="1"/>
  <c r="C1747" i="1"/>
  <c r="A1747" i="1"/>
  <c r="M1746" i="1"/>
  <c r="K1746" i="1"/>
  <c r="J1746" i="1"/>
  <c r="H1746" i="1"/>
  <c r="F1746" i="1"/>
  <c r="E1746" i="1"/>
  <c r="D1746" i="1"/>
  <c r="C1746" i="1"/>
  <c r="A1746" i="1"/>
  <c r="M1745" i="1"/>
  <c r="K1745" i="1"/>
  <c r="J1745" i="1"/>
  <c r="H1745" i="1"/>
  <c r="F1745" i="1"/>
  <c r="E1745" i="1"/>
  <c r="D1745" i="1"/>
  <c r="C1745" i="1"/>
  <c r="A1745" i="1"/>
  <c r="M1744" i="1"/>
  <c r="L1744" i="1"/>
  <c r="K1744" i="1"/>
  <c r="H1744" i="1"/>
  <c r="G1744" i="1"/>
  <c r="F1744" i="1"/>
  <c r="E1744" i="1"/>
  <c r="D1744" i="1"/>
  <c r="C1744" i="1"/>
  <c r="A1744" i="1"/>
  <c r="M1743" i="1"/>
  <c r="L1743" i="1"/>
  <c r="K1743" i="1"/>
  <c r="H1743" i="1"/>
  <c r="G1743" i="1"/>
  <c r="F1743" i="1"/>
  <c r="E1743" i="1"/>
  <c r="D1743" i="1"/>
  <c r="C1743" i="1"/>
  <c r="A1743" i="1"/>
  <c r="M1742" i="1"/>
  <c r="L1742" i="1"/>
  <c r="K1742" i="1"/>
  <c r="H1742" i="1"/>
  <c r="G1742" i="1"/>
  <c r="F1742" i="1"/>
  <c r="E1742" i="1"/>
  <c r="D1742" i="1"/>
  <c r="C1742" i="1"/>
  <c r="A1742" i="1"/>
  <c r="M1741" i="1"/>
  <c r="K1741" i="1"/>
  <c r="H1741" i="1"/>
  <c r="G1741" i="1"/>
  <c r="F1741" i="1"/>
  <c r="E1741" i="1"/>
  <c r="D1741" i="1"/>
  <c r="C1741" i="1"/>
  <c r="A1741" i="1"/>
  <c r="M1740" i="1"/>
  <c r="K1740" i="1"/>
  <c r="H1740" i="1"/>
  <c r="G1740" i="1"/>
  <c r="F1740" i="1"/>
  <c r="E1740" i="1"/>
  <c r="D1740" i="1"/>
  <c r="C1740" i="1"/>
  <c r="A1740" i="1"/>
  <c r="M1739" i="1"/>
  <c r="K1739" i="1"/>
  <c r="H1739" i="1"/>
  <c r="G1739" i="1"/>
  <c r="F1739" i="1"/>
  <c r="E1739" i="1"/>
  <c r="D1739" i="1"/>
  <c r="C1739" i="1"/>
  <c r="A1739" i="1"/>
  <c r="M1738" i="1"/>
  <c r="K1738" i="1"/>
  <c r="H1738" i="1"/>
  <c r="G1738" i="1"/>
  <c r="F1738" i="1"/>
  <c r="E1738" i="1"/>
  <c r="D1738" i="1"/>
  <c r="C1738" i="1"/>
  <c r="A1738" i="1"/>
  <c r="M1737" i="1"/>
  <c r="K1737" i="1"/>
  <c r="H1737" i="1"/>
  <c r="G1737" i="1"/>
  <c r="F1737" i="1"/>
  <c r="E1737" i="1"/>
  <c r="D1737" i="1"/>
  <c r="C1737" i="1"/>
  <c r="A1737" i="1"/>
  <c r="M1736" i="1"/>
  <c r="K1736" i="1"/>
  <c r="H1736" i="1"/>
  <c r="G1736" i="1"/>
  <c r="F1736" i="1"/>
  <c r="E1736" i="1"/>
  <c r="D1736" i="1"/>
  <c r="C1736" i="1"/>
  <c r="A1736" i="1"/>
  <c r="M1735" i="1"/>
  <c r="K1735" i="1"/>
  <c r="J1735" i="1"/>
  <c r="H1735" i="1"/>
  <c r="F1735" i="1"/>
  <c r="E1735" i="1"/>
  <c r="D1735" i="1"/>
  <c r="C1735" i="1"/>
  <c r="A1735" i="1"/>
  <c r="M1734" i="1"/>
  <c r="L1734" i="1"/>
  <c r="K1734" i="1"/>
  <c r="H1734" i="1"/>
  <c r="G1734" i="1"/>
  <c r="F1734" i="1"/>
  <c r="E1734" i="1"/>
  <c r="D1734" i="1"/>
  <c r="C1734" i="1"/>
  <c r="A1734" i="1"/>
  <c r="M1733" i="1"/>
  <c r="K1733" i="1"/>
  <c r="J1733" i="1"/>
  <c r="H1733" i="1"/>
  <c r="F1733" i="1"/>
  <c r="E1733" i="1"/>
  <c r="D1733" i="1"/>
  <c r="C1733" i="1"/>
  <c r="A1733" i="1"/>
  <c r="M1732" i="1"/>
  <c r="K1732" i="1"/>
  <c r="J1732" i="1"/>
  <c r="H1732" i="1"/>
  <c r="F1732" i="1"/>
  <c r="E1732" i="1"/>
  <c r="D1732" i="1"/>
  <c r="C1732" i="1"/>
  <c r="A1732" i="1"/>
  <c r="M1731" i="1"/>
  <c r="L1731" i="1"/>
  <c r="K1731" i="1"/>
  <c r="H1731" i="1"/>
  <c r="G1731" i="1"/>
  <c r="F1731" i="1"/>
  <c r="E1731" i="1"/>
  <c r="D1731" i="1"/>
  <c r="C1731" i="1"/>
  <c r="A1731" i="1"/>
  <c r="M1730" i="1"/>
  <c r="K1730" i="1"/>
  <c r="J1730" i="1"/>
  <c r="I1730" i="1"/>
  <c r="H1730" i="1"/>
  <c r="F1730" i="1"/>
  <c r="E1730" i="1"/>
  <c r="D1730" i="1"/>
  <c r="C1730" i="1"/>
  <c r="A1730" i="1"/>
  <c r="M1729" i="1"/>
  <c r="K1729" i="1"/>
  <c r="J1729" i="1"/>
  <c r="H1729" i="1"/>
  <c r="F1729" i="1"/>
  <c r="E1729" i="1"/>
  <c r="D1729" i="1"/>
  <c r="C1729" i="1"/>
  <c r="A1729" i="1"/>
  <c r="M1728" i="1"/>
  <c r="L1728" i="1"/>
  <c r="K1728" i="1"/>
  <c r="H1728" i="1"/>
  <c r="G1728" i="1"/>
  <c r="F1728" i="1"/>
  <c r="E1728" i="1"/>
  <c r="D1728" i="1"/>
  <c r="C1728" i="1"/>
  <c r="A1728" i="1"/>
  <c r="M1727" i="1"/>
  <c r="L1727" i="1"/>
  <c r="K1727" i="1"/>
  <c r="H1727" i="1"/>
  <c r="G1727" i="1"/>
  <c r="F1727" i="1"/>
  <c r="E1727" i="1"/>
  <c r="D1727" i="1"/>
  <c r="C1727" i="1"/>
  <c r="A1727" i="1"/>
  <c r="M1726" i="1"/>
  <c r="L1726" i="1"/>
  <c r="K1726" i="1"/>
  <c r="H1726" i="1"/>
  <c r="G1726" i="1"/>
  <c r="F1726" i="1"/>
  <c r="E1726" i="1"/>
  <c r="D1726" i="1"/>
  <c r="C1726" i="1"/>
  <c r="A1726" i="1"/>
  <c r="M1725" i="1"/>
  <c r="L1725" i="1"/>
  <c r="K1725" i="1"/>
  <c r="H1725" i="1"/>
  <c r="G1725" i="1"/>
  <c r="F1725" i="1"/>
  <c r="E1725" i="1"/>
  <c r="D1725" i="1"/>
  <c r="C1725" i="1"/>
  <c r="A1725" i="1"/>
  <c r="M1724" i="1"/>
  <c r="L1724" i="1"/>
  <c r="K1724" i="1"/>
  <c r="H1724" i="1"/>
  <c r="G1724" i="1"/>
  <c r="F1724" i="1"/>
  <c r="E1724" i="1"/>
  <c r="D1724" i="1"/>
  <c r="C1724" i="1"/>
  <c r="A1724" i="1"/>
  <c r="M1723" i="1"/>
  <c r="L1723" i="1"/>
  <c r="K1723" i="1"/>
  <c r="H1723" i="1"/>
  <c r="G1723" i="1"/>
  <c r="F1723" i="1"/>
  <c r="E1723" i="1"/>
  <c r="D1723" i="1"/>
  <c r="C1723" i="1"/>
  <c r="A1723" i="1"/>
  <c r="M1722" i="1"/>
  <c r="L1722" i="1"/>
  <c r="K1722" i="1"/>
  <c r="H1722" i="1"/>
  <c r="G1722" i="1"/>
  <c r="F1722" i="1"/>
  <c r="E1722" i="1"/>
  <c r="D1722" i="1"/>
  <c r="C1722" i="1"/>
  <c r="A1722" i="1"/>
  <c r="M1721" i="1"/>
  <c r="L1721" i="1"/>
  <c r="K1721" i="1"/>
  <c r="H1721" i="1"/>
  <c r="G1721" i="1"/>
  <c r="F1721" i="1"/>
  <c r="E1721" i="1"/>
  <c r="D1721" i="1"/>
  <c r="C1721" i="1"/>
  <c r="A1721" i="1"/>
  <c r="M1720" i="1"/>
  <c r="L1720" i="1"/>
  <c r="K1720" i="1"/>
  <c r="H1720" i="1"/>
  <c r="G1720" i="1"/>
  <c r="F1720" i="1"/>
  <c r="E1720" i="1"/>
  <c r="D1720" i="1"/>
  <c r="C1720" i="1"/>
  <c r="A1720" i="1"/>
  <c r="M1719" i="1"/>
  <c r="L1719" i="1"/>
  <c r="K1719" i="1"/>
  <c r="H1719" i="1"/>
  <c r="G1719" i="1"/>
  <c r="F1719" i="1"/>
  <c r="E1719" i="1"/>
  <c r="D1719" i="1"/>
  <c r="C1719" i="1"/>
  <c r="A1719" i="1"/>
  <c r="M1718" i="1"/>
  <c r="L1718" i="1"/>
  <c r="K1718" i="1"/>
  <c r="H1718" i="1"/>
  <c r="G1718" i="1"/>
  <c r="F1718" i="1"/>
  <c r="E1718" i="1"/>
  <c r="D1718" i="1"/>
  <c r="C1718" i="1"/>
  <c r="A1718" i="1"/>
  <c r="M1717" i="1"/>
  <c r="L1717" i="1"/>
  <c r="K1717" i="1"/>
  <c r="H1717" i="1"/>
  <c r="G1717" i="1"/>
  <c r="F1717" i="1"/>
  <c r="E1717" i="1"/>
  <c r="D1717" i="1"/>
  <c r="C1717" i="1"/>
  <c r="A1717" i="1"/>
  <c r="M1716" i="1"/>
  <c r="L1716" i="1"/>
  <c r="K1716" i="1"/>
  <c r="H1716" i="1"/>
  <c r="G1716" i="1"/>
  <c r="F1716" i="1"/>
  <c r="E1716" i="1"/>
  <c r="D1716" i="1"/>
  <c r="C1716" i="1"/>
  <c r="A1716" i="1"/>
  <c r="M1715" i="1"/>
  <c r="L1715" i="1"/>
  <c r="K1715" i="1"/>
  <c r="H1715" i="1"/>
  <c r="G1715" i="1"/>
  <c r="F1715" i="1"/>
  <c r="E1715" i="1"/>
  <c r="D1715" i="1"/>
  <c r="C1715" i="1"/>
  <c r="A1715" i="1"/>
  <c r="M1714" i="1"/>
  <c r="L1714" i="1"/>
  <c r="K1714" i="1"/>
  <c r="H1714" i="1"/>
  <c r="G1714" i="1"/>
  <c r="F1714" i="1"/>
  <c r="E1714" i="1"/>
  <c r="D1714" i="1"/>
  <c r="C1714" i="1"/>
  <c r="A1714" i="1"/>
  <c r="M1713" i="1"/>
  <c r="L1713" i="1"/>
  <c r="K1713" i="1"/>
  <c r="H1713" i="1"/>
  <c r="G1713" i="1"/>
  <c r="F1713" i="1"/>
  <c r="E1713" i="1"/>
  <c r="D1713" i="1"/>
  <c r="C1713" i="1"/>
  <c r="A1713" i="1"/>
  <c r="M1712" i="1"/>
  <c r="L1712" i="1"/>
  <c r="K1712" i="1"/>
  <c r="H1712" i="1"/>
  <c r="G1712" i="1"/>
  <c r="F1712" i="1"/>
  <c r="E1712" i="1"/>
  <c r="D1712" i="1"/>
  <c r="C1712" i="1"/>
  <c r="A1712" i="1"/>
  <c r="M1711" i="1"/>
  <c r="L1711" i="1"/>
  <c r="K1711" i="1"/>
  <c r="H1711" i="1"/>
  <c r="G1711" i="1"/>
  <c r="F1711" i="1"/>
  <c r="E1711" i="1"/>
  <c r="D1711" i="1"/>
  <c r="C1711" i="1"/>
  <c r="A1711" i="1"/>
  <c r="M1710" i="1"/>
  <c r="L1710" i="1"/>
  <c r="K1710" i="1"/>
  <c r="H1710" i="1"/>
  <c r="G1710" i="1"/>
  <c r="F1710" i="1"/>
  <c r="E1710" i="1"/>
  <c r="D1710" i="1"/>
  <c r="C1710" i="1"/>
  <c r="A1710" i="1"/>
  <c r="M1709" i="1"/>
  <c r="L1709" i="1"/>
  <c r="K1709" i="1"/>
  <c r="H1709" i="1"/>
  <c r="G1709" i="1"/>
  <c r="F1709" i="1"/>
  <c r="E1709" i="1"/>
  <c r="D1709" i="1"/>
  <c r="C1709" i="1"/>
  <c r="A1709" i="1"/>
  <c r="M1708" i="1"/>
  <c r="L1708" i="1"/>
  <c r="K1708" i="1"/>
  <c r="H1708" i="1"/>
  <c r="G1708" i="1"/>
  <c r="F1708" i="1"/>
  <c r="E1708" i="1"/>
  <c r="D1708" i="1"/>
  <c r="C1708" i="1"/>
  <c r="A1708" i="1"/>
  <c r="M1707" i="1"/>
  <c r="L1707" i="1"/>
  <c r="K1707" i="1"/>
  <c r="H1707" i="1"/>
  <c r="G1707" i="1"/>
  <c r="F1707" i="1"/>
  <c r="E1707" i="1"/>
  <c r="D1707" i="1"/>
  <c r="C1707" i="1"/>
  <c r="A1707" i="1"/>
  <c r="M1706" i="1"/>
  <c r="L1706" i="1"/>
  <c r="K1706" i="1"/>
  <c r="H1706" i="1"/>
  <c r="G1706" i="1"/>
  <c r="F1706" i="1"/>
  <c r="E1706" i="1"/>
  <c r="D1706" i="1"/>
  <c r="C1706" i="1"/>
  <c r="A1706" i="1"/>
  <c r="M1705" i="1"/>
  <c r="L1705" i="1"/>
  <c r="K1705" i="1"/>
  <c r="H1705" i="1"/>
  <c r="G1705" i="1"/>
  <c r="F1705" i="1"/>
  <c r="E1705" i="1"/>
  <c r="D1705" i="1"/>
  <c r="C1705" i="1"/>
  <c r="A1705" i="1"/>
  <c r="M1704" i="1"/>
  <c r="K1704" i="1"/>
  <c r="H1704" i="1"/>
  <c r="G1704" i="1"/>
  <c r="F1704" i="1"/>
  <c r="E1704" i="1"/>
  <c r="D1704" i="1"/>
  <c r="C1704" i="1"/>
  <c r="A1704" i="1"/>
  <c r="M1703" i="1"/>
  <c r="L1703" i="1"/>
  <c r="K1703" i="1"/>
  <c r="I1703" i="1"/>
  <c r="H1703" i="1"/>
  <c r="G1703" i="1"/>
  <c r="F1703" i="1"/>
  <c r="E1703" i="1"/>
  <c r="D1703" i="1"/>
  <c r="C1703" i="1"/>
  <c r="A1703" i="1"/>
  <c r="M1702" i="1"/>
  <c r="K1702" i="1"/>
  <c r="H1702" i="1"/>
  <c r="G1702" i="1"/>
  <c r="F1702" i="1"/>
  <c r="E1702" i="1"/>
  <c r="D1702" i="1"/>
  <c r="C1702" i="1"/>
  <c r="A1702" i="1"/>
  <c r="M1701" i="1"/>
  <c r="L1701" i="1"/>
  <c r="K1701" i="1"/>
  <c r="J1701" i="1"/>
  <c r="I1701" i="1"/>
  <c r="H1701" i="1"/>
  <c r="F1701" i="1"/>
  <c r="E1701" i="1"/>
  <c r="D1701" i="1"/>
  <c r="C1701" i="1"/>
  <c r="A1701" i="1"/>
  <c r="M1700" i="1"/>
  <c r="K1700" i="1"/>
  <c r="H1700" i="1"/>
  <c r="G1700" i="1"/>
  <c r="F1700" i="1"/>
  <c r="E1700" i="1"/>
  <c r="D1700" i="1"/>
  <c r="C1700" i="1"/>
  <c r="A1700" i="1"/>
  <c r="M1699" i="1"/>
  <c r="L1699" i="1"/>
  <c r="K1699" i="1"/>
  <c r="H1699" i="1"/>
  <c r="G1699" i="1"/>
  <c r="F1699" i="1"/>
  <c r="E1699" i="1"/>
  <c r="D1699" i="1"/>
  <c r="C1699" i="1"/>
  <c r="A1699" i="1"/>
  <c r="M1698" i="1"/>
  <c r="L1698" i="1"/>
  <c r="K1698" i="1"/>
  <c r="H1698" i="1"/>
  <c r="G1698" i="1"/>
  <c r="F1698" i="1"/>
  <c r="E1698" i="1"/>
  <c r="D1698" i="1"/>
  <c r="C1698" i="1"/>
  <c r="A1698" i="1"/>
  <c r="M1697" i="1"/>
  <c r="L1697" i="1"/>
  <c r="K1697" i="1"/>
  <c r="H1697" i="1"/>
  <c r="G1697" i="1"/>
  <c r="F1697" i="1"/>
  <c r="E1697" i="1"/>
  <c r="D1697" i="1"/>
  <c r="C1697" i="1"/>
  <c r="A1697" i="1"/>
  <c r="M1696" i="1"/>
  <c r="L1696" i="1"/>
  <c r="K1696" i="1"/>
  <c r="I1696" i="1"/>
  <c r="H1696" i="1"/>
  <c r="G1696" i="1"/>
  <c r="F1696" i="1"/>
  <c r="E1696" i="1"/>
  <c r="D1696" i="1"/>
  <c r="C1696" i="1"/>
  <c r="A1696" i="1"/>
  <c r="M1695" i="1"/>
  <c r="K1695" i="1"/>
  <c r="H1695" i="1"/>
  <c r="G1695" i="1"/>
  <c r="F1695" i="1"/>
  <c r="E1695" i="1"/>
  <c r="D1695" i="1"/>
  <c r="C1695" i="1"/>
  <c r="A1695" i="1"/>
  <c r="M1694" i="1"/>
  <c r="L1694" i="1"/>
  <c r="K1694" i="1"/>
  <c r="H1694" i="1"/>
  <c r="G1694" i="1"/>
  <c r="F1694" i="1"/>
  <c r="E1694" i="1"/>
  <c r="D1694" i="1"/>
  <c r="C1694" i="1"/>
  <c r="A1694" i="1"/>
  <c r="M1693" i="1"/>
  <c r="K1693" i="1"/>
  <c r="J1693" i="1"/>
  <c r="H1693" i="1"/>
  <c r="F1693" i="1"/>
  <c r="E1693" i="1"/>
  <c r="D1693" i="1"/>
  <c r="C1693" i="1"/>
  <c r="A1693" i="1"/>
  <c r="M1692" i="1"/>
  <c r="K1692" i="1"/>
  <c r="J1692" i="1"/>
  <c r="H1692" i="1"/>
  <c r="F1692" i="1"/>
  <c r="E1692" i="1"/>
  <c r="D1692" i="1"/>
  <c r="C1692" i="1"/>
  <c r="A1692" i="1"/>
  <c r="M1691" i="1"/>
  <c r="K1691" i="1"/>
  <c r="J1691" i="1"/>
  <c r="H1691" i="1"/>
  <c r="F1691" i="1"/>
  <c r="E1691" i="1"/>
  <c r="D1691" i="1"/>
  <c r="C1691" i="1"/>
  <c r="A1691" i="1"/>
  <c r="M1690" i="1"/>
  <c r="L1690" i="1"/>
  <c r="K1690" i="1"/>
  <c r="H1690" i="1"/>
  <c r="G1690" i="1"/>
  <c r="F1690" i="1"/>
  <c r="E1690" i="1"/>
  <c r="D1690" i="1"/>
  <c r="C1690" i="1"/>
  <c r="A1690" i="1"/>
  <c r="M1689" i="1"/>
  <c r="L1689" i="1"/>
  <c r="K1689" i="1"/>
  <c r="H1689" i="1"/>
  <c r="G1689" i="1"/>
  <c r="F1689" i="1"/>
  <c r="E1689" i="1"/>
  <c r="D1689" i="1"/>
  <c r="C1689" i="1"/>
  <c r="A1689" i="1"/>
  <c r="M1688" i="1"/>
  <c r="L1688" i="1"/>
  <c r="K1688" i="1"/>
  <c r="H1688" i="1"/>
  <c r="G1688" i="1"/>
  <c r="F1688" i="1"/>
  <c r="E1688" i="1"/>
  <c r="D1688" i="1"/>
  <c r="C1688" i="1"/>
  <c r="A1688" i="1"/>
  <c r="M1687" i="1"/>
  <c r="L1687" i="1"/>
  <c r="K1687" i="1"/>
  <c r="H1687" i="1"/>
  <c r="G1687" i="1"/>
  <c r="F1687" i="1"/>
  <c r="E1687" i="1"/>
  <c r="D1687" i="1"/>
  <c r="C1687" i="1"/>
  <c r="A1687" i="1"/>
  <c r="M1686" i="1"/>
  <c r="L1686" i="1"/>
  <c r="K1686" i="1"/>
  <c r="H1686" i="1"/>
  <c r="G1686" i="1"/>
  <c r="F1686" i="1"/>
  <c r="E1686" i="1"/>
  <c r="D1686" i="1"/>
  <c r="C1686" i="1"/>
  <c r="A1686" i="1"/>
  <c r="M1685" i="1"/>
  <c r="K1685" i="1"/>
  <c r="H1685" i="1"/>
  <c r="G1685" i="1"/>
  <c r="F1685" i="1"/>
  <c r="E1685" i="1"/>
  <c r="D1685" i="1"/>
  <c r="C1685" i="1"/>
  <c r="A1685" i="1"/>
  <c r="M1684" i="1"/>
  <c r="K1684" i="1"/>
  <c r="H1684" i="1"/>
  <c r="G1684" i="1"/>
  <c r="F1684" i="1"/>
  <c r="E1684" i="1"/>
  <c r="D1684" i="1"/>
  <c r="C1684" i="1"/>
  <c r="A1684" i="1"/>
  <c r="M1683" i="1"/>
  <c r="K1683" i="1"/>
  <c r="H1683" i="1"/>
  <c r="G1683" i="1"/>
  <c r="F1683" i="1"/>
  <c r="E1683" i="1"/>
  <c r="D1683" i="1"/>
  <c r="C1683" i="1"/>
  <c r="A1683" i="1"/>
  <c r="M1682" i="1"/>
  <c r="L1682" i="1"/>
  <c r="K1682" i="1"/>
  <c r="H1682" i="1"/>
  <c r="G1682" i="1"/>
  <c r="F1682" i="1"/>
  <c r="E1682" i="1"/>
  <c r="D1682" i="1"/>
  <c r="C1682" i="1"/>
  <c r="A1682" i="1"/>
  <c r="M1681" i="1"/>
  <c r="K1681" i="1"/>
  <c r="J1681" i="1"/>
  <c r="H1681" i="1"/>
  <c r="F1681" i="1"/>
  <c r="E1681" i="1"/>
  <c r="D1681" i="1"/>
  <c r="C1681" i="1"/>
  <c r="A1681" i="1"/>
  <c r="M1680" i="1"/>
  <c r="K1680" i="1"/>
  <c r="J1680" i="1"/>
  <c r="H1680" i="1"/>
  <c r="F1680" i="1"/>
  <c r="E1680" i="1"/>
  <c r="D1680" i="1"/>
  <c r="C1680" i="1"/>
  <c r="A1680" i="1"/>
  <c r="M1679" i="1"/>
  <c r="K1679" i="1"/>
  <c r="J1679" i="1"/>
  <c r="H1679" i="1"/>
  <c r="F1679" i="1"/>
  <c r="E1679" i="1"/>
  <c r="D1679" i="1"/>
  <c r="C1679" i="1"/>
  <c r="A1679" i="1"/>
  <c r="M1678" i="1"/>
  <c r="K1678" i="1"/>
  <c r="J1678" i="1"/>
  <c r="I1678" i="1"/>
  <c r="H1678" i="1"/>
  <c r="F1678" i="1"/>
  <c r="E1678" i="1"/>
  <c r="D1678" i="1"/>
  <c r="C1678" i="1"/>
  <c r="A1678" i="1"/>
  <c r="M1677" i="1"/>
  <c r="L1677" i="1"/>
  <c r="K1677" i="1"/>
  <c r="J1677" i="1"/>
  <c r="I1677" i="1"/>
  <c r="H1677" i="1"/>
  <c r="F1677" i="1"/>
  <c r="E1677" i="1"/>
  <c r="D1677" i="1"/>
  <c r="C1677" i="1"/>
  <c r="A1677" i="1"/>
  <c r="M1676" i="1"/>
  <c r="L1676" i="1"/>
  <c r="K1676" i="1"/>
  <c r="H1676" i="1"/>
  <c r="G1676" i="1"/>
  <c r="F1676" i="1"/>
  <c r="E1676" i="1"/>
  <c r="D1676" i="1"/>
  <c r="C1676" i="1"/>
  <c r="A1676" i="1"/>
  <c r="M1675" i="1"/>
  <c r="L1675" i="1"/>
  <c r="K1675" i="1"/>
  <c r="H1675" i="1"/>
  <c r="G1675" i="1"/>
  <c r="F1675" i="1"/>
  <c r="E1675" i="1"/>
  <c r="D1675" i="1"/>
  <c r="C1675" i="1"/>
  <c r="A1675" i="1"/>
  <c r="M1674" i="1"/>
  <c r="L1674" i="1"/>
  <c r="K1674" i="1"/>
  <c r="H1674" i="1"/>
  <c r="G1674" i="1"/>
  <c r="F1674" i="1"/>
  <c r="E1674" i="1"/>
  <c r="D1674" i="1"/>
  <c r="C1674" i="1"/>
  <c r="A1674" i="1"/>
  <c r="M1673" i="1"/>
  <c r="L1673" i="1"/>
  <c r="K1673" i="1"/>
  <c r="H1673" i="1"/>
  <c r="G1673" i="1"/>
  <c r="F1673" i="1"/>
  <c r="E1673" i="1"/>
  <c r="D1673" i="1"/>
  <c r="C1673" i="1"/>
  <c r="A1673" i="1"/>
  <c r="M1672" i="1"/>
  <c r="L1672" i="1"/>
  <c r="K1672" i="1"/>
  <c r="H1672" i="1"/>
  <c r="G1672" i="1"/>
  <c r="F1672" i="1"/>
  <c r="E1672" i="1"/>
  <c r="D1672" i="1"/>
  <c r="C1672" i="1"/>
  <c r="A1672" i="1"/>
  <c r="M1671" i="1"/>
  <c r="L1671" i="1"/>
  <c r="K1671" i="1"/>
  <c r="H1671" i="1"/>
  <c r="G1671" i="1"/>
  <c r="F1671" i="1"/>
  <c r="E1671" i="1"/>
  <c r="D1671" i="1"/>
  <c r="C1671" i="1"/>
  <c r="A1671" i="1"/>
  <c r="M1670" i="1"/>
  <c r="L1670" i="1"/>
  <c r="K1670" i="1"/>
  <c r="H1670" i="1"/>
  <c r="G1670" i="1"/>
  <c r="F1670" i="1"/>
  <c r="E1670" i="1"/>
  <c r="D1670" i="1"/>
  <c r="C1670" i="1"/>
  <c r="A1670" i="1"/>
  <c r="M1669" i="1"/>
  <c r="L1669" i="1"/>
  <c r="K1669" i="1"/>
  <c r="H1669" i="1"/>
  <c r="G1669" i="1"/>
  <c r="F1669" i="1"/>
  <c r="E1669" i="1"/>
  <c r="D1669" i="1"/>
  <c r="C1669" i="1"/>
  <c r="A1669" i="1"/>
  <c r="M1668" i="1"/>
  <c r="L1668" i="1"/>
  <c r="K1668" i="1"/>
  <c r="H1668" i="1"/>
  <c r="G1668" i="1"/>
  <c r="F1668" i="1"/>
  <c r="E1668" i="1"/>
  <c r="D1668" i="1"/>
  <c r="C1668" i="1"/>
  <c r="A1668" i="1"/>
  <c r="M1667" i="1"/>
  <c r="L1667" i="1"/>
  <c r="K1667" i="1"/>
  <c r="H1667" i="1"/>
  <c r="G1667" i="1"/>
  <c r="F1667" i="1"/>
  <c r="E1667" i="1"/>
  <c r="D1667" i="1"/>
  <c r="C1667" i="1"/>
  <c r="A1667" i="1"/>
  <c r="M1666" i="1"/>
  <c r="L1666" i="1"/>
  <c r="K1666" i="1"/>
  <c r="H1666" i="1"/>
  <c r="G1666" i="1"/>
  <c r="F1666" i="1"/>
  <c r="E1666" i="1"/>
  <c r="D1666" i="1"/>
  <c r="C1666" i="1"/>
  <c r="A1666" i="1"/>
  <c r="M1665" i="1"/>
  <c r="L1665" i="1"/>
  <c r="K1665" i="1"/>
  <c r="H1665" i="1"/>
  <c r="G1665" i="1"/>
  <c r="F1665" i="1"/>
  <c r="E1665" i="1"/>
  <c r="D1665" i="1"/>
  <c r="C1665" i="1"/>
  <c r="A1665" i="1"/>
  <c r="M1664" i="1"/>
  <c r="L1664" i="1"/>
  <c r="K1664" i="1"/>
  <c r="H1664" i="1"/>
  <c r="G1664" i="1"/>
  <c r="F1664" i="1"/>
  <c r="E1664" i="1"/>
  <c r="D1664" i="1"/>
  <c r="C1664" i="1"/>
  <c r="A1664" i="1"/>
  <c r="M1663" i="1"/>
  <c r="L1663" i="1"/>
  <c r="K1663" i="1"/>
  <c r="H1663" i="1"/>
  <c r="G1663" i="1"/>
  <c r="F1663" i="1"/>
  <c r="E1663" i="1"/>
  <c r="D1663" i="1"/>
  <c r="C1663" i="1"/>
  <c r="A1663" i="1"/>
  <c r="M1662" i="1"/>
  <c r="L1662" i="1"/>
  <c r="K1662" i="1"/>
  <c r="H1662" i="1"/>
  <c r="G1662" i="1"/>
  <c r="F1662" i="1"/>
  <c r="E1662" i="1"/>
  <c r="D1662" i="1"/>
  <c r="C1662" i="1"/>
  <c r="A1662" i="1"/>
  <c r="M1661" i="1"/>
  <c r="L1661" i="1"/>
  <c r="K1661" i="1"/>
  <c r="H1661" i="1"/>
  <c r="G1661" i="1"/>
  <c r="F1661" i="1"/>
  <c r="E1661" i="1"/>
  <c r="D1661" i="1"/>
  <c r="C1661" i="1"/>
  <c r="A1661" i="1"/>
  <c r="M1660" i="1"/>
  <c r="L1660" i="1"/>
  <c r="K1660" i="1"/>
  <c r="I1660" i="1"/>
  <c r="H1660" i="1"/>
  <c r="G1660" i="1"/>
  <c r="F1660" i="1"/>
  <c r="E1660" i="1"/>
  <c r="D1660" i="1"/>
  <c r="C1660" i="1"/>
  <c r="A1660" i="1"/>
  <c r="M1659" i="1"/>
  <c r="K1659" i="1"/>
  <c r="I1659" i="1"/>
  <c r="H1659" i="1"/>
  <c r="G1659" i="1"/>
  <c r="F1659" i="1"/>
  <c r="E1659" i="1"/>
  <c r="D1659" i="1"/>
  <c r="C1659" i="1"/>
  <c r="A1659" i="1"/>
  <c r="M1658" i="1"/>
  <c r="L1658" i="1"/>
  <c r="K1658" i="1"/>
  <c r="H1658" i="1"/>
  <c r="G1658" i="1"/>
  <c r="F1658" i="1"/>
  <c r="E1658" i="1"/>
  <c r="D1658" i="1"/>
  <c r="C1658" i="1"/>
  <c r="A1658" i="1"/>
  <c r="M1657" i="1"/>
  <c r="L1657" i="1"/>
  <c r="K1657" i="1"/>
  <c r="I1657" i="1"/>
  <c r="H1657" i="1"/>
  <c r="G1657" i="1"/>
  <c r="F1657" i="1"/>
  <c r="E1657" i="1"/>
  <c r="D1657" i="1"/>
  <c r="C1657" i="1"/>
  <c r="A1657" i="1"/>
  <c r="M1656" i="1"/>
  <c r="K1656" i="1"/>
  <c r="J1656" i="1"/>
  <c r="H1656" i="1"/>
  <c r="F1656" i="1"/>
  <c r="E1656" i="1"/>
  <c r="D1656" i="1"/>
  <c r="C1656" i="1"/>
  <c r="A1656" i="1"/>
  <c r="M1655" i="1"/>
  <c r="L1655" i="1"/>
  <c r="K1655" i="1"/>
  <c r="H1655" i="1"/>
  <c r="G1655" i="1"/>
  <c r="F1655" i="1"/>
  <c r="E1655" i="1"/>
  <c r="D1655" i="1"/>
  <c r="C1655" i="1"/>
  <c r="A1655" i="1"/>
  <c r="M1654" i="1"/>
  <c r="L1654" i="1"/>
  <c r="K1654" i="1"/>
  <c r="H1654" i="1"/>
  <c r="G1654" i="1"/>
  <c r="F1654" i="1"/>
  <c r="E1654" i="1"/>
  <c r="D1654" i="1"/>
  <c r="C1654" i="1"/>
  <c r="A1654" i="1"/>
  <c r="M1653" i="1"/>
  <c r="L1653" i="1"/>
  <c r="K1653" i="1"/>
  <c r="I1653" i="1"/>
  <c r="H1653" i="1"/>
  <c r="G1653" i="1"/>
  <c r="F1653" i="1"/>
  <c r="E1653" i="1"/>
  <c r="D1653" i="1"/>
  <c r="C1653" i="1"/>
  <c r="A1653" i="1"/>
  <c r="M1652" i="1"/>
  <c r="K1652" i="1"/>
  <c r="J1652" i="1"/>
  <c r="H1652" i="1"/>
  <c r="F1652" i="1"/>
  <c r="E1652" i="1"/>
  <c r="D1652" i="1"/>
  <c r="C1652" i="1"/>
  <c r="A1652" i="1"/>
  <c r="M1651" i="1"/>
  <c r="K1651" i="1"/>
  <c r="J1651" i="1"/>
  <c r="H1651" i="1"/>
  <c r="F1651" i="1"/>
  <c r="E1651" i="1"/>
  <c r="D1651" i="1"/>
  <c r="C1651" i="1"/>
  <c r="A1651" i="1"/>
  <c r="M1650" i="1"/>
  <c r="K1650" i="1"/>
  <c r="J1650" i="1"/>
  <c r="H1650" i="1"/>
  <c r="F1650" i="1"/>
  <c r="E1650" i="1"/>
  <c r="D1650" i="1"/>
  <c r="C1650" i="1"/>
  <c r="A1650" i="1"/>
  <c r="M1649" i="1"/>
  <c r="L1649" i="1"/>
  <c r="K1649" i="1"/>
  <c r="H1649" i="1"/>
  <c r="G1649" i="1"/>
  <c r="F1649" i="1"/>
  <c r="E1649" i="1"/>
  <c r="D1649" i="1"/>
  <c r="C1649" i="1"/>
  <c r="A1649" i="1"/>
  <c r="M1648" i="1"/>
  <c r="L1648" i="1"/>
  <c r="K1648" i="1"/>
  <c r="H1648" i="1"/>
  <c r="G1648" i="1"/>
  <c r="F1648" i="1"/>
  <c r="E1648" i="1"/>
  <c r="D1648" i="1"/>
  <c r="C1648" i="1"/>
  <c r="A1648" i="1"/>
  <c r="M1647" i="1"/>
  <c r="K1647" i="1"/>
  <c r="H1647" i="1"/>
  <c r="G1647" i="1"/>
  <c r="F1647" i="1"/>
  <c r="E1647" i="1"/>
  <c r="D1647" i="1"/>
  <c r="C1647" i="1"/>
  <c r="A1647" i="1"/>
  <c r="M1646" i="1"/>
  <c r="K1646" i="1"/>
  <c r="H1646" i="1"/>
  <c r="G1646" i="1"/>
  <c r="F1646" i="1"/>
  <c r="E1646" i="1"/>
  <c r="D1646" i="1"/>
  <c r="C1646" i="1"/>
  <c r="A1646" i="1"/>
  <c r="M1645" i="1"/>
  <c r="K1645" i="1"/>
  <c r="H1645" i="1"/>
  <c r="G1645" i="1"/>
  <c r="F1645" i="1"/>
  <c r="E1645" i="1"/>
  <c r="D1645" i="1"/>
  <c r="C1645" i="1"/>
  <c r="A1645" i="1"/>
  <c r="M1644" i="1"/>
  <c r="L1644" i="1"/>
  <c r="K1644" i="1"/>
  <c r="H1644" i="1"/>
  <c r="G1644" i="1"/>
  <c r="F1644" i="1"/>
  <c r="E1644" i="1"/>
  <c r="D1644" i="1"/>
  <c r="C1644" i="1"/>
  <c r="A1644" i="1"/>
  <c r="M1643" i="1"/>
  <c r="K1643" i="1"/>
  <c r="H1643" i="1"/>
  <c r="G1643" i="1"/>
  <c r="F1643" i="1"/>
  <c r="E1643" i="1"/>
  <c r="D1643" i="1"/>
  <c r="C1643" i="1"/>
  <c r="A1643" i="1"/>
  <c r="M1642" i="1"/>
  <c r="K1642" i="1"/>
  <c r="H1642" i="1"/>
  <c r="G1642" i="1"/>
  <c r="F1642" i="1"/>
  <c r="E1642" i="1"/>
  <c r="D1642" i="1"/>
  <c r="C1642" i="1"/>
  <c r="A1642" i="1"/>
  <c r="M1641" i="1"/>
  <c r="L1641" i="1"/>
  <c r="K1641" i="1"/>
  <c r="J1641" i="1"/>
  <c r="H1641" i="1"/>
  <c r="F1641" i="1"/>
  <c r="E1641" i="1"/>
  <c r="D1641" i="1"/>
  <c r="C1641" i="1"/>
  <c r="A1641" i="1"/>
  <c r="M1640" i="1"/>
  <c r="L1640" i="1"/>
  <c r="K1640" i="1"/>
  <c r="H1640" i="1"/>
  <c r="G1640" i="1"/>
  <c r="F1640" i="1"/>
  <c r="E1640" i="1"/>
  <c r="D1640" i="1"/>
  <c r="C1640" i="1"/>
  <c r="A1640" i="1"/>
  <c r="M1639" i="1"/>
  <c r="L1639" i="1"/>
  <c r="K1639" i="1"/>
  <c r="I1639" i="1"/>
  <c r="H1639" i="1"/>
  <c r="G1639" i="1"/>
  <c r="F1639" i="1"/>
  <c r="E1639" i="1"/>
  <c r="D1639" i="1"/>
  <c r="C1639" i="1"/>
  <c r="A1639" i="1"/>
  <c r="M1638" i="1"/>
  <c r="L1638" i="1"/>
  <c r="K1638" i="1"/>
  <c r="J1638" i="1"/>
  <c r="I1638" i="1"/>
  <c r="H1638" i="1"/>
  <c r="F1638" i="1"/>
  <c r="E1638" i="1"/>
  <c r="D1638" i="1"/>
  <c r="C1638" i="1"/>
  <c r="A1638" i="1"/>
  <c r="M1637" i="1"/>
  <c r="K1637" i="1"/>
  <c r="H1637" i="1"/>
  <c r="G1637" i="1"/>
  <c r="F1637" i="1"/>
  <c r="E1637" i="1"/>
  <c r="D1637" i="1"/>
  <c r="C1637" i="1"/>
  <c r="A1637" i="1"/>
  <c r="M1636" i="1"/>
  <c r="K1636" i="1"/>
  <c r="H1636" i="1"/>
  <c r="G1636" i="1"/>
  <c r="F1636" i="1"/>
  <c r="E1636" i="1"/>
  <c r="D1636" i="1"/>
  <c r="C1636" i="1"/>
  <c r="A1636" i="1"/>
  <c r="M1635" i="1"/>
  <c r="K1635" i="1"/>
  <c r="J1635" i="1"/>
  <c r="H1635" i="1"/>
  <c r="F1635" i="1"/>
  <c r="E1635" i="1"/>
  <c r="D1635" i="1"/>
  <c r="C1635" i="1"/>
  <c r="A1635" i="1"/>
  <c r="M1634" i="1"/>
  <c r="L1634" i="1"/>
  <c r="K1634" i="1"/>
  <c r="H1634" i="1"/>
  <c r="G1634" i="1"/>
  <c r="F1634" i="1"/>
  <c r="E1634" i="1"/>
  <c r="D1634" i="1"/>
  <c r="C1634" i="1"/>
  <c r="A1634" i="1"/>
  <c r="M1633" i="1"/>
  <c r="L1633" i="1"/>
  <c r="K1633" i="1"/>
  <c r="H1633" i="1"/>
  <c r="G1633" i="1"/>
  <c r="F1633" i="1"/>
  <c r="E1633" i="1"/>
  <c r="D1633" i="1"/>
  <c r="C1633" i="1"/>
  <c r="A1633" i="1"/>
  <c r="M1632" i="1"/>
  <c r="K1632" i="1"/>
  <c r="J1632" i="1"/>
  <c r="H1632" i="1"/>
  <c r="F1632" i="1"/>
  <c r="E1632" i="1"/>
  <c r="D1632" i="1"/>
  <c r="C1632" i="1"/>
  <c r="A1632" i="1"/>
  <c r="M1631" i="1"/>
  <c r="K1631" i="1"/>
  <c r="J1631" i="1"/>
  <c r="H1631" i="1"/>
  <c r="F1631" i="1"/>
  <c r="E1631" i="1"/>
  <c r="D1631" i="1"/>
  <c r="C1631" i="1"/>
  <c r="A1631" i="1"/>
  <c r="M1630" i="1"/>
  <c r="K1630" i="1"/>
  <c r="J1630" i="1"/>
  <c r="H1630" i="1"/>
  <c r="F1630" i="1"/>
  <c r="E1630" i="1"/>
  <c r="D1630" i="1"/>
  <c r="C1630" i="1"/>
  <c r="A1630" i="1"/>
  <c r="M1629" i="1"/>
  <c r="L1629" i="1"/>
  <c r="K1629" i="1"/>
  <c r="H1629" i="1"/>
  <c r="G1629" i="1"/>
  <c r="F1629" i="1"/>
  <c r="E1629" i="1"/>
  <c r="D1629" i="1"/>
  <c r="C1629" i="1"/>
  <c r="A1629" i="1"/>
  <c r="M1628" i="1"/>
  <c r="L1628" i="1"/>
  <c r="K1628" i="1"/>
  <c r="H1628" i="1"/>
  <c r="G1628" i="1"/>
  <c r="F1628" i="1"/>
  <c r="E1628" i="1"/>
  <c r="D1628" i="1"/>
  <c r="C1628" i="1"/>
  <c r="A1628" i="1"/>
  <c r="M1627" i="1"/>
  <c r="L1627" i="1"/>
  <c r="K1627" i="1"/>
  <c r="H1627" i="1"/>
  <c r="G1627" i="1"/>
  <c r="F1627" i="1"/>
  <c r="E1627" i="1"/>
  <c r="D1627" i="1"/>
  <c r="C1627" i="1"/>
  <c r="A1627" i="1"/>
  <c r="M1626" i="1"/>
  <c r="L1626" i="1"/>
  <c r="K1626" i="1"/>
  <c r="H1626" i="1"/>
  <c r="G1626" i="1"/>
  <c r="F1626" i="1"/>
  <c r="E1626" i="1"/>
  <c r="D1626" i="1"/>
  <c r="C1626" i="1"/>
  <c r="A1626" i="1"/>
  <c r="M1625" i="1"/>
  <c r="L1625" i="1"/>
  <c r="K1625" i="1"/>
  <c r="H1625" i="1"/>
  <c r="G1625" i="1"/>
  <c r="F1625" i="1"/>
  <c r="E1625" i="1"/>
  <c r="D1625" i="1"/>
  <c r="C1625" i="1"/>
  <c r="A1625" i="1"/>
  <c r="M1624" i="1"/>
  <c r="L1624" i="1"/>
  <c r="K1624" i="1"/>
  <c r="H1624" i="1"/>
  <c r="G1624" i="1"/>
  <c r="F1624" i="1"/>
  <c r="E1624" i="1"/>
  <c r="D1624" i="1"/>
  <c r="C1624" i="1"/>
  <c r="A1624" i="1"/>
  <c r="M1623" i="1"/>
  <c r="L1623" i="1"/>
  <c r="K1623" i="1"/>
  <c r="H1623" i="1"/>
  <c r="G1623" i="1"/>
  <c r="F1623" i="1"/>
  <c r="E1623" i="1"/>
  <c r="D1623" i="1"/>
  <c r="C1623" i="1"/>
  <c r="A1623" i="1"/>
  <c r="M1622" i="1"/>
  <c r="L1622" i="1"/>
  <c r="K1622" i="1"/>
  <c r="H1622" i="1"/>
  <c r="G1622" i="1"/>
  <c r="F1622" i="1"/>
  <c r="E1622" i="1"/>
  <c r="D1622" i="1"/>
  <c r="C1622" i="1"/>
  <c r="A1622" i="1"/>
  <c r="M1621" i="1"/>
  <c r="L1621" i="1"/>
  <c r="K1621" i="1"/>
  <c r="H1621" i="1"/>
  <c r="G1621" i="1"/>
  <c r="F1621" i="1"/>
  <c r="E1621" i="1"/>
  <c r="D1621" i="1"/>
  <c r="C1621" i="1"/>
  <c r="A1621" i="1"/>
  <c r="M1620" i="1"/>
  <c r="L1620" i="1"/>
  <c r="K1620" i="1"/>
  <c r="H1620" i="1"/>
  <c r="G1620" i="1"/>
  <c r="F1620" i="1"/>
  <c r="E1620" i="1"/>
  <c r="D1620" i="1"/>
  <c r="C1620" i="1"/>
  <c r="A1620" i="1"/>
  <c r="M1619" i="1"/>
  <c r="L1619" i="1"/>
  <c r="K1619" i="1"/>
  <c r="H1619" i="1"/>
  <c r="G1619" i="1"/>
  <c r="F1619" i="1"/>
  <c r="E1619" i="1"/>
  <c r="D1619" i="1"/>
  <c r="C1619" i="1"/>
  <c r="A1619" i="1"/>
  <c r="M1618" i="1"/>
  <c r="L1618" i="1"/>
  <c r="K1618" i="1"/>
  <c r="H1618" i="1"/>
  <c r="G1618" i="1"/>
  <c r="F1618" i="1"/>
  <c r="E1618" i="1"/>
  <c r="D1618" i="1"/>
  <c r="C1618" i="1"/>
  <c r="A1618" i="1"/>
  <c r="M1617" i="1"/>
  <c r="L1617" i="1"/>
  <c r="K1617" i="1"/>
  <c r="H1617" i="1"/>
  <c r="G1617" i="1"/>
  <c r="F1617" i="1"/>
  <c r="E1617" i="1"/>
  <c r="D1617" i="1"/>
  <c r="C1617" i="1"/>
  <c r="A1617" i="1"/>
  <c r="M1616" i="1"/>
  <c r="K1616" i="1"/>
  <c r="H1616" i="1"/>
  <c r="G1616" i="1"/>
  <c r="F1616" i="1"/>
  <c r="E1616" i="1"/>
  <c r="D1616" i="1"/>
  <c r="C1616" i="1"/>
  <c r="A1616" i="1"/>
  <c r="M1615" i="1"/>
  <c r="K1615" i="1"/>
  <c r="H1615" i="1"/>
  <c r="G1615" i="1"/>
  <c r="F1615" i="1"/>
  <c r="E1615" i="1"/>
  <c r="D1615" i="1"/>
  <c r="C1615" i="1"/>
  <c r="A1615" i="1"/>
  <c r="M1614" i="1"/>
  <c r="L1614" i="1"/>
  <c r="K1614" i="1"/>
  <c r="H1614" i="1"/>
  <c r="G1614" i="1"/>
  <c r="F1614" i="1"/>
  <c r="E1614" i="1"/>
  <c r="D1614" i="1"/>
  <c r="C1614" i="1"/>
  <c r="A1614" i="1"/>
  <c r="M1613" i="1"/>
  <c r="L1613" i="1"/>
  <c r="K1613" i="1"/>
  <c r="H1613" i="1"/>
  <c r="G1613" i="1"/>
  <c r="F1613" i="1"/>
  <c r="E1613" i="1"/>
  <c r="D1613" i="1"/>
  <c r="C1613" i="1"/>
  <c r="A1613" i="1"/>
  <c r="M1612" i="1"/>
  <c r="L1612" i="1"/>
  <c r="K1612" i="1"/>
  <c r="H1612" i="1"/>
  <c r="G1612" i="1"/>
  <c r="F1612" i="1"/>
  <c r="E1612" i="1"/>
  <c r="D1612" i="1"/>
  <c r="C1612" i="1"/>
  <c r="A1612" i="1"/>
  <c r="M1611" i="1"/>
  <c r="L1611" i="1"/>
  <c r="K1611" i="1"/>
  <c r="H1611" i="1"/>
  <c r="G1611" i="1"/>
  <c r="F1611" i="1"/>
  <c r="E1611" i="1"/>
  <c r="D1611" i="1"/>
  <c r="C1611" i="1"/>
  <c r="A1611" i="1"/>
  <c r="M1610" i="1"/>
  <c r="L1610" i="1"/>
  <c r="K1610" i="1"/>
  <c r="H1610" i="1"/>
  <c r="G1610" i="1"/>
  <c r="F1610" i="1"/>
  <c r="E1610" i="1"/>
  <c r="D1610" i="1"/>
  <c r="C1610" i="1"/>
  <c r="A1610" i="1"/>
  <c r="M1609" i="1"/>
  <c r="K1609" i="1"/>
  <c r="H1609" i="1"/>
  <c r="G1609" i="1"/>
  <c r="F1609" i="1"/>
  <c r="E1609" i="1"/>
  <c r="D1609" i="1"/>
  <c r="C1609" i="1"/>
  <c r="A1609" i="1"/>
  <c r="M1608" i="1"/>
  <c r="K1608" i="1"/>
  <c r="H1608" i="1"/>
  <c r="G1608" i="1"/>
  <c r="F1608" i="1"/>
  <c r="E1608" i="1"/>
  <c r="D1608" i="1"/>
  <c r="C1608" i="1"/>
  <c r="A1608" i="1"/>
  <c r="M1607" i="1"/>
  <c r="K1607" i="1"/>
  <c r="H1607" i="1"/>
  <c r="G1607" i="1"/>
  <c r="F1607" i="1"/>
  <c r="E1607" i="1"/>
  <c r="D1607" i="1"/>
  <c r="C1607" i="1"/>
  <c r="A1607" i="1"/>
  <c r="M1606" i="1"/>
  <c r="K1606" i="1"/>
  <c r="H1606" i="1"/>
  <c r="G1606" i="1"/>
  <c r="F1606" i="1"/>
  <c r="E1606" i="1"/>
  <c r="D1606" i="1"/>
  <c r="C1606" i="1"/>
  <c r="A1606" i="1"/>
  <c r="M1605" i="1"/>
  <c r="L1605" i="1"/>
  <c r="K1605" i="1"/>
  <c r="J1605" i="1"/>
  <c r="H1605" i="1"/>
  <c r="G1605" i="1"/>
  <c r="F1605" i="1"/>
  <c r="E1605" i="1"/>
  <c r="D1605" i="1"/>
  <c r="C1605" i="1"/>
  <c r="A1605" i="1"/>
  <c r="M1604" i="1"/>
  <c r="K1604" i="1"/>
  <c r="H1604" i="1"/>
  <c r="G1604" i="1"/>
  <c r="F1604" i="1"/>
  <c r="E1604" i="1"/>
  <c r="D1604" i="1"/>
  <c r="C1604" i="1"/>
  <c r="A1604" i="1"/>
  <c r="M1603" i="1"/>
  <c r="L1603" i="1"/>
  <c r="K1603" i="1"/>
  <c r="H1603" i="1"/>
  <c r="G1603" i="1"/>
  <c r="F1603" i="1"/>
  <c r="E1603" i="1"/>
  <c r="D1603" i="1"/>
  <c r="C1603" i="1"/>
  <c r="A1603" i="1"/>
  <c r="M1602" i="1"/>
  <c r="L1602" i="1"/>
  <c r="K1602" i="1"/>
  <c r="H1602" i="1"/>
  <c r="G1602" i="1"/>
  <c r="F1602" i="1"/>
  <c r="E1602" i="1"/>
  <c r="D1602" i="1"/>
  <c r="C1602" i="1"/>
  <c r="A1602" i="1"/>
  <c r="M1601" i="1"/>
  <c r="L1601" i="1"/>
  <c r="K1601" i="1"/>
  <c r="H1601" i="1"/>
  <c r="G1601" i="1"/>
  <c r="F1601" i="1"/>
  <c r="E1601" i="1"/>
  <c r="D1601" i="1"/>
  <c r="C1601" i="1"/>
  <c r="A1601" i="1"/>
  <c r="M1600" i="1"/>
  <c r="L1600" i="1"/>
  <c r="K1600" i="1"/>
  <c r="H1600" i="1"/>
  <c r="G1600" i="1"/>
  <c r="F1600" i="1"/>
  <c r="E1600" i="1"/>
  <c r="D1600" i="1"/>
  <c r="C1600" i="1"/>
  <c r="A1600" i="1"/>
  <c r="M1599" i="1"/>
  <c r="K1599" i="1"/>
  <c r="J1599" i="1"/>
  <c r="H1599" i="1"/>
  <c r="G1599" i="1"/>
  <c r="F1599" i="1"/>
  <c r="E1599" i="1"/>
  <c r="D1599" i="1"/>
  <c r="C1599" i="1"/>
  <c r="A1599" i="1"/>
  <c r="M1598" i="1"/>
  <c r="L1598" i="1"/>
  <c r="K1598" i="1"/>
  <c r="J1598" i="1"/>
  <c r="I1598" i="1"/>
  <c r="H1598" i="1"/>
  <c r="F1598" i="1"/>
  <c r="E1598" i="1"/>
  <c r="D1598" i="1"/>
  <c r="C1598" i="1"/>
  <c r="A1598" i="1"/>
  <c r="M1596" i="1"/>
  <c r="L1596" i="1"/>
  <c r="K1596" i="1"/>
  <c r="H1596" i="1"/>
  <c r="G1596" i="1"/>
  <c r="F1596" i="1"/>
  <c r="E1596" i="1"/>
  <c r="D1596" i="1"/>
  <c r="C1596" i="1"/>
  <c r="A1596" i="1"/>
  <c r="M1595" i="1"/>
  <c r="K1595" i="1"/>
  <c r="H1595" i="1"/>
  <c r="G1595" i="1"/>
  <c r="F1595" i="1"/>
  <c r="E1595" i="1"/>
  <c r="D1595" i="1"/>
  <c r="C1595" i="1"/>
  <c r="A1595" i="1"/>
  <c r="M1594" i="1"/>
  <c r="K1594" i="1"/>
  <c r="H1594" i="1"/>
  <c r="G1594" i="1"/>
  <c r="F1594" i="1"/>
  <c r="E1594" i="1"/>
  <c r="D1594" i="1"/>
  <c r="C1594" i="1"/>
  <c r="A1594" i="1"/>
  <c r="M1593" i="1"/>
  <c r="L1593" i="1"/>
  <c r="K1593" i="1"/>
  <c r="H1593" i="1"/>
  <c r="G1593" i="1"/>
  <c r="F1593" i="1"/>
  <c r="E1593" i="1"/>
  <c r="D1593" i="1"/>
  <c r="C1593" i="1"/>
  <c r="A1593" i="1"/>
  <c r="M1592" i="1"/>
  <c r="L1592" i="1"/>
  <c r="K1592" i="1"/>
  <c r="H1592" i="1"/>
  <c r="G1592" i="1"/>
  <c r="F1592" i="1"/>
  <c r="E1592" i="1"/>
  <c r="D1592" i="1"/>
  <c r="C1592" i="1"/>
  <c r="A1592" i="1"/>
  <c r="M1591" i="1"/>
  <c r="L1591" i="1"/>
  <c r="K1591" i="1"/>
  <c r="H1591" i="1"/>
  <c r="G1591" i="1"/>
  <c r="F1591" i="1"/>
  <c r="E1591" i="1"/>
  <c r="D1591" i="1"/>
  <c r="C1591" i="1"/>
  <c r="A1591" i="1"/>
  <c r="M1590" i="1"/>
  <c r="L1590" i="1"/>
  <c r="K1590" i="1"/>
  <c r="H1590" i="1"/>
  <c r="G1590" i="1"/>
  <c r="F1590" i="1"/>
  <c r="E1590" i="1"/>
  <c r="D1590" i="1"/>
  <c r="C1590" i="1"/>
  <c r="A1590" i="1"/>
  <c r="M1589" i="1"/>
  <c r="L1589" i="1"/>
  <c r="K1589" i="1"/>
  <c r="H1589" i="1"/>
  <c r="G1589" i="1"/>
  <c r="F1589" i="1"/>
  <c r="E1589" i="1"/>
  <c r="D1589" i="1"/>
  <c r="C1589" i="1"/>
  <c r="A1589" i="1"/>
  <c r="M1588" i="1"/>
  <c r="K1588" i="1"/>
  <c r="H1588" i="1"/>
  <c r="G1588" i="1"/>
  <c r="F1588" i="1"/>
  <c r="E1588" i="1"/>
  <c r="D1588" i="1"/>
  <c r="C1588" i="1"/>
  <c r="A1588" i="1"/>
  <c r="M1587" i="1"/>
  <c r="K1587" i="1"/>
  <c r="H1587" i="1"/>
  <c r="G1587" i="1"/>
  <c r="F1587" i="1"/>
  <c r="E1587" i="1"/>
  <c r="D1587" i="1"/>
  <c r="C1587" i="1"/>
  <c r="A1587" i="1"/>
  <c r="K1586" i="1"/>
  <c r="H1586" i="1"/>
  <c r="G1586" i="1"/>
  <c r="F1586" i="1"/>
  <c r="E1586" i="1"/>
  <c r="D1586" i="1"/>
  <c r="C1586" i="1"/>
  <c r="A1586" i="1"/>
  <c r="M1585" i="1"/>
  <c r="L1585" i="1"/>
  <c r="K1585" i="1"/>
  <c r="J1585" i="1"/>
  <c r="H1585" i="1"/>
  <c r="F1585" i="1"/>
  <c r="E1585" i="1"/>
  <c r="D1585" i="1"/>
  <c r="C1585" i="1"/>
  <c r="A1585" i="1"/>
  <c r="M1584" i="1"/>
  <c r="K1584" i="1"/>
  <c r="J1584" i="1"/>
  <c r="H1584" i="1"/>
  <c r="F1584" i="1"/>
  <c r="E1584" i="1"/>
  <c r="D1584" i="1"/>
  <c r="C1584" i="1"/>
  <c r="A1584" i="1"/>
  <c r="M1583" i="1"/>
  <c r="K1583" i="1"/>
  <c r="J1583" i="1"/>
  <c r="H1583" i="1"/>
  <c r="F1583" i="1"/>
  <c r="E1583" i="1"/>
  <c r="D1583" i="1"/>
  <c r="C1583" i="1"/>
  <c r="A1583" i="1"/>
  <c r="M1582" i="1"/>
  <c r="L1582" i="1"/>
  <c r="K1582" i="1"/>
  <c r="J1582" i="1"/>
  <c r="H1582" i="1"/>
  <c r="F1582" i="1"/>
  <c r="E1582" i="1"/>
  <c r="D1582" i="1"/>
  <c r="C1582" i="1"/>
  <c r="A1582" i="1"/>
  <c r="M1581" i="1"/>
  <c r="K1581" i="1"/>
  <c r="H1581" i="1"/>
  <c r="G1581" i="1"/>
  <c r="F1581" i="1"/>
  <c r="E1581" i="1"/>
  <c r="D1581" i="1"/>
  <c r="C1581" i="1"/>
  <c r="A1581" i="1"/>
  <c r="M1580" i="1"/>
  <c r="K1580" i="1"/>
  <c r="H1580" i="1"/>
  <c r="G1580" i="1"/>
  <c r="F1580" i="1"/>
  <c r="E1580" i="1"/>
  <c r="D1580" i="1"/>
  <c r="C1580" i="1"/>
  <c r="A1580" i="1"/>
  <c r="M1579" i="1"/>
  <c r="L1579" i="1"/>
  <c r="K1579" i="1"/>
  <c r="J1579" i="1"/>
  <c r="I1579" i="1"/>
  <c r="H1579" i="1"/>
  <c r="F1579" i="1"/>
  <c r="E1579" i="1"/>
  <c r="D1579" i="1"/>
  <c r="C1579" i="1"/>
  <c r="A1579" i="1"/>
  <c r="M1578" i="1"/>
  <c r="L1578" i="1"/>
  <c r="K1578" i="1"/>
  <c r="J1578" i="1"/>
  <c r="H1578" i="1"/>
  <c r="F1578" i="1"/>
  <c r="E1578" i="1"/>
  <c r="D1578" i="1"/>
  <c r="C1578" i="1"/>
  <c r="A1578" i="1"/>
  <c r="M1577" i="1"/>
  <c r="L1577" i="1"/>
  <c r="K1577" i="1"/>
  <c r="I1577" i="1"/>
  <c r="H1577" i="1"/>
  <c r="G1577" i="1"/>
  <c r="F1577" i="1"/>
  <c r="E1577" i="1"/>
  <c r="D1577" i="1"/>
  <c r="C1577" i="1"/>
  <c r="A1577" i="1"/>
  <c r="K1576" i="1"/>
  <c r="H1576" i="1"/>
  <c r="G1576" i="1"/>
  <c r="F1576" i="1"/>
  <c r="E1576" i="1"/>
  <c r="D1576" i="1"/>
  <c r="C1576" i="1"/>
  <c r="A1576" i="1"/>
  <c r="K1575" i="1"/>
  <c r="H1575" i="1"/>
  <c r="G1575" i="1"/>
  <c r="F1575" i="1"/>
  <c r="E1575" i="1"/>
  <c r="D1575" i="1"/>
  <c r="C1575" i="1"/>
  <c r="A1575" i="1"/>
  <c r="K1574" i="1"/>
  <c r="H1574" i="1"/>
  <c r="G1574" i="1"/>
  <c r="F1574" i="1"/>
  <c r="E1574" i="1"/>
  <c r="D1574" i="1"/>
  <c r="C1574" i="1"/>
  <c r="A1574" i="1"/>
  <c r="K1573" i="1"/>
  <c r="H1573" i="1"/>
  <c r="G1573" i="1"/>
  <c r="F1573" i="1"/>
  <c r="E1573" i="1"/>
  <c r="D1573" i="1"/>
  <c r="C1573" i="1"/>
  <c r="A1573" i="1"/>
  <c r="K1572" i="1"/>
  <c r="H1572" i="1"/>
  <c r="G1572" i="1"/>
  <c r="F1572" i="1"/>
  <c r="E1572" i="1"/>
  <c r="D1572" i="1"/>
  <c r="C1572" i="1"/>
  <c r="A1572" i="1"/>
  <c r="K1571" i="1"/>
  <c r="H1571" i="1"/>
  <c r="G1571" i="1"/>
  <c r="F1571" i="1"/>
  <c r="E1571" i="1"/>
  <c r="D1571" i="1"/>
  <c r="C1571" i="1"/>
  <c r="A1571" i="1"/>
  <c r="K1570" i="1"/>
  <c r="H1570" i="1"/>
  <c r="G1570" i="1"/>
  <c r="F1570" i="1"/>
  <c r="E1570" i="1"/>
  <c r="D1570" i="1"/>
  <c r="C1570" i="1"/>
  <c r="A1570" i="1"/>
  <c r="K1569" i="1"/>
  <c r="H1569" i="1"/>
  <c r="G1569" i="1"/>
  <c r="F1569" i="1"/>
  <c r="E1569" i="1"/>
  <c r="D1569" i="1"/>
  <c r="C1569" i="1"/>
  <c r="A1569" i="1"/>
  <c r="K1568" i="1"/>
  <c r="H1568" i="1"/>
  <c r="G1568" i="1"/>
  <c r="F1568" i="1"/>
  <c r="E1568" i="1"/>
  <c r="D1568" i="1"/>
  <c r="C1568" i="1"/>
  <c r="A1568" i="1"/>
  <c r="K1567" i="1"/>
  <c r="H1567" i="1"/>
  <c r="G1567" i="1"/>
  <c r="F1567" i="1"/>
  <c r="E1567" i="1"/>
  <c r="D1567" i="1"/>
  <c r="C1567" i="1"/>
  <c r="A1567" i="1"/>
  <c r="K1566" i="1"/>
  <c r="H1566" i="1"/>
  <c r="G1566" i="1"/>
  <c r="F1566" i="1"/>
  <c r="E1566" i="1"/>
  <c r="D1566" i="1"/>
  <c r="C1566" i="1"/>
  <c r="A1566" i="1"/>
  <c r="K1565" i="1"/>
  <c r="H1565" i="1"/>
  <c r="G1565" i="1"/>
  <c r="F1565" i="1"/>
  <c r="E1565" i="1"/>
  <c r="D1565" i="1"/>
  <c r="C1565" i="1"/>
  <c r="A1565" i="1"/>
  <c r="M1564" i="1"/>
  <c r="K1564" i="1"/>
  <c r="H1564" i="1"/>
  <c r="G1564" i="1"/>
  <c r="F1564" i="1"/>
  <c r="E1564" i="1"/>
  <c r="D1564" i="1"/>
  <c r="C1564" i="1"/>
  <c r="A1564" i="1"/>
  <c r="M1563" i="1"/>
  <c r="L1563" i="1"/>
  <c r="K1563" i="1"/>
  <c r="H1563" i="1"/>
  <c r="G1563" i="1"/>
  <c r="F1563" i="1"/>
  <c r="E1563" i="1"/>
  <c r="D1563" i="1"/>
  <c r="C1563" i="1"/>
  <c r="A1563" i="1"/>
  <c r="M1562" i="1"/>
  <c r="L1562" i="1"/>
  <c r="K1562" i="1"/>
  <c r="H1562" i="1"/>
  <c r="G1562" i="1"/>
  <c r="F1562" i="1"/>
  <c r="E1562" i="1"/>
  <c r="D1562" i="1"/>
  <c r="C1562" i="1"/>
  <c r="A1562" i="1"/>
  <c r="M1561" i="1"/>
  <c r="L1561" i="1"/>
  <c r="K1561" i="1"/>
  <c r="H1561" i="1"/>
  <c r="G1561" i="1"/>
  <c r="F1561" i="1"/>
  <c r="E1561" i="1"/>
  <c r="D1561" i="1"/>
  <c r="C1561" i="1"/>
  <c r="A1561" i="1"/>
  <c r="M1560" i="1"/>
  <c r="L1560" i="1"/>
  <c r="K1560" i="1"/>
  <c r="H1560" i="1"/>
  <c r="G1560" i="1"/>
  <c r="F1560" i="1"/>
  <c r="E1560" i="1"/>
  <c r="D1560" i="1"/>
  <c r="C1560" i="1"/>
  <c r="A1560" i="1"/>
  <c r="M1559" i="1"/>
  <c r="K1559" i="1"/>
  <c r="H1559" i="1"/>
  <c r="G1559" i="1"/>
  <c r="F1559" i="1"/>
  <c r="E1559" i="1"/>
  <c r="D1559" i="1"/>
  <c r="C1559" i="1"/>
  <c r="A1559" i="1"/>
  <c r="M1558" i="1"/>
  <c r="L1558" i="1"/>
  <c r="K1558" i="1"/>
  <c r="H1558" i="1"/>
  <c r="G1558" i="1"/>
  <c r="F1558" i="1"/>
  <c r="E1558" i="1"/>
  <c r="D1558" i="1"/>
  <c r="C1558" i="1"/>
  <c r="A1558" i="1"/>
  <c r="M1557" i="1"/>
  <c r="L1557" i="1"/>
  <c r="K1557" i="1"/>
  <c r="H1557" i="1"/>
  <c r="G1557" i="1"/>
  <c r="F1557" i="1"/>
  <c r="E1557" i="1"/>
  <c r="D1557" i="1"/>
  <c r="C1557" i="1"/>
  <c r="A1557" i="1"/>
  <c r="M1556" i="1"/>
  <c r="K1556" i="1"/>
  <c r="H1556" i="1"/>
  <c r="G1556" i="1"/>
  <c r="F1556" i="1"/>
  <c r="E1556" i="1"/>
  <c r="D1556" i="1"/>
  <c r="C1556" i="1"/>
  <c r="A1556" i="1"/>
  <c r="M1555" i="1"/>
  <c r="L1555" i="1"/>
  <c r="K1555" i="1"/>
  <c r="I1555" i="1"/>
  <c r="H1555" i="1"/>
  <c r="G1555" i="1"/>
  <c r="F1555" i="1"/>
  <c r="E1555" i="1"/>
  <c r="D1555" i="1"/>
  <c r="C1555" i="1"/>
  <c r="A1555" i="1"/>
  <c r="M1554" i="1"/>
  <c r="L1554" i="1"/>
  <c r="K1554" i="1"/>
  <c r="H1554" i="1"/>
  <c r="G1554" i="1"/>
  <c r="F1554" i="1"/>
  <c r="E1554" i="1"/>
  <c r="D1554" i="1"/>
  <c r="C1554" i="1"/>
  <c r="A1554" i="1"/>
  <c r="M1553" i="1"/>
  <c r="L1553" i="1"/>
  <c r="K1553" i="1"/>
  <c r="H1553" i="1"/>
  <c r="G1553" i="1"/>
  <c r="F1553" i="1"/>
  <c r="E1553" i="1"/>
  <c r="D1553" i="1"/>
  <c r="C1553" i="1"/>
  <c r="A1553" i="1"/>
  <c r="M1552" i="1"/>
  <c r="L1552" i="1"/>
  <c r="K1552" i="1"/>
  <c r="H1552" i="1"/>
  <c r="G1552" i="1"/>
  <c r="F1552" i="1"/>
  <c r="E1552" i="1"/>
  <c r="D1552" i="1"/>
  <c r="C1552" i="1"/>
  <c r="A1552" i="1"/>
  <c r="M1551" i="1"/>
  <c r="L1551" i="1"/>
  <c r="K1551" i="1"/>
  <c r="J1551" i="1"/>
  <c r="I1551" i="1"/>
  <c r="H1551" i="1"/>
  <c r="F1551" i="1"/>
  <c r="E1551" i="1"/>
  <c r="D1551" i="1"/>
  <c r="C1551" i="1"/>
  <c r="A1551" i="1"/>
  <c r="M1550" i="1"/>
  <c r="L1550" i="1"/>
  <c r="K1550" i="1"/>
  <c r="J1550" i="1"/>
  <c r="I1550" i="1"/>
  <c r="H1550" i="1"/>
  <c r="F1550" i="1"/>
  <c r="E1550" i="1"/>
  <c r="D1550" i="1"/>
  <c r="C1550" i="1"/>
  <c r="A1550" i="1"/>
  <c r="M1549" i="1"/>
  <c r="L1549" i="1"/>
  <c r="K1549" i="1"/>
  <c r="J1549" i="1"/>
  <c r="H1549" i="1"/>
  <c r="F1549" i="1"/>
  <c r="E1549" i="1"/>
  <c r="D1549" i="1"/>
  <c r="C1549" i="1"/>
  <c r="A1549" i="1"/>
  <c r="M1548" i="1"/>
  <c r="L1548" i="1"/>
  <c r="K1548" i="1"/>
  <c r="H1548" i="1"/>
  <c r="G1548" i="1"/>
  <c r="F1548" i="1"/>
  <c r="E1548" i="1"/>
  <c r="D1548" i="1"/>
  <c r="C1548" i="1"/>
  <c r="A1548" i="1"/>
  <c r="M1547" i="1"/>
  <c r="L1547" i="1"/>
  <c r="K1547" i="1"/>
  <c r="H1547" i="1"/>
  <c r="G1547" i="1"/>
  <c r="F1547" i="1"/>
  <c r="E1547" i="1"/>
  <c r="D1547" i="1"/>
  <c r="C1547" i="1"/>
  <c r="A1547" i="1"/>
  <c r="M1546" i="1"/>
  <c r="L1546" i="1"/>
  <c r="K1546" i="1"/>
  <c r="H1546" i="1"/>
  <c r="G1546" i="1"/>
  <c r="F1546" i="1"/>
  <c r="E1546" i="1"/>
  <c r="D1546" i="1"/>
  <c r="C1546" i="1"/>
  <c r="A1546" i="1"/>
  <c r="M1545" i="1"/>
  <c r="L1545" i="1"/>
  <c r="K1545" i="1"/>
  <c r="H1545" i="1"/>
  <c r="G1545" i="1"/>
  <c r="F1545" i="1"/>
  <c r="E1545" i="1"/>
  <c r="D1545" i="1"/>
  <c r="C1545" i="1"/>
  <c r="A1545" i="1"/>
  <c r="M1544" i="1"/>
  <c r="K1544" i="1"/>
  <c r="H1544" i="1"/>
  <c r="G1544" i="1"/>
  <c r="F1544" i="1"/>
  <c r="E1544" i="1"/>
  <c r="D1544" i="1"/>
  <c r="C1544" i="1"/>
  <c r="A1544" i="1"/>
  <c r="M1543" i="1"/>
  <c r="L1543" i="1"/>
  <c r="K1543" i="1"/>
  <c r="J1543" i="1"/>
  <c r="I1543" i="1"/>
  <c r="H1543" i="1"/>
  <c r="F1543" i="1"/>
  <c r="E1543" i="1"/>
  <c r="D1543" i="1"/>
  <c r="C1543" i="1"/>
  <c r="A1543" i="1"/>
  <c r="M1542" i="1"/>
  <c r="L1542" i="1"/>
  <c r="K1542" i="1"/>
  <c r="I1542" i="1"/>
  <c r="H1542" i="1"/>
  <c r="G1542" i="1"/>
  <c r="F1542" i="1"/>
  <c r="E1542" i="1"/>
  <c r="D1542" i="1"/>
  <c r="C1542" i="1"/>
  <c r="A1542" i="1"/>
  <c r="M1541" i="1"/>
  <c r="L1541" i="1"/>
  <c r="K1541" i="1"/>
  <c r="H1541" i="1"/>
  <c r="G1541" i="1"/>
  <c r="F1541" i="1"/>
  <c r="E1541" i="1"/>
  <c r="D1541" i="1"/>
  <c r="C1541" i="1"/>
  <c r="A1541" i="1"/>
  <c r="L1540" i="1"/>
  <c r="K1540" i="1"/>
  <c r="H1540" i="1"/>
  <c r="F1540" i="1"/>
  <c r="C1540" i="1"/>
  <c r="A1540" i="1"/>
  <c r="L1539" i="1"/>
  <c r="K1539" i="1"/>
  <c r="H1539" i="1"/>
  <c r="F1539" i="1"/>
  <c r="C1539" i="1"/>
  <c r="A1539" i="1"/>
  <c r="M1538" i="1"/>
  <c r="L1538" i="1"/>
  <c r="K1538" i="1"/>
  <c r="H1538" i="1"/>
  <c r="G1538" i="1"/>
  <c r="F1538" i="1"/>
  <c r="E1538" i="1"/>
  <c r="D1538" i="1"/>
  <c r="C1538" i="1"/>
  <c r="A1538" i="1"/>
  <c r="L1537" i="1"/>
  <c r="K1537" i="1"/>
  <c r="H1537" i="1"/>
  <c r="G1537" i="1"/>
  <c r="F1537" i="1"/>
  <c r="E1537" i="1"/>
  <c r="D1537" i="1"/>
  <c r="C1537" i="1"/>
  <c r="A1537" i="1"/>
  <c r="L1536" i="1"/>
  <c r="K1536" i="1"/>
  <c r="H1536" i="1"/>
  <c r="G1536" i="1"/>
  <c r="F1536" i="1"/>
  <c r="E1536" i="1"/>
  <c r="D1536" i="1"/>
  <c r="C1536" i="1"/>
  <c r="A1536" i="1"/>
  <c r="L1535" i="1"/>
  <c r="K1535" i="1"/>
  <c r="H1535" i="1"/>
  <c r="G1535" i="1"/>
  <c r="F1535" i="1"/>
  <c r="E1535" i="1"/>
  <c r="D1535" i="1"/>
  <c r="C1535" i="1"/>
  <c r="A1535" i="1"/>
  <c r="L1534" i="1"/>
  <c r="K1534" i="1"/>
  <c r="H1534" i="1"/>
  <c r="G1534" i="1"/>
  <c r="F1534" i="1"/>
  <c r="E1534" i="1"/>
  <c r="D1534" i="1"/>
  <c r="C1534" i="1"/>
  <c r="A1534" i="1"/>
  <c r="L1533" i="1"/>
  <c r="K1533" i="1"/>
  <c r="H1533" i="1"/>
  <c r="G1533" i="1"/>
  <c r="F1533" i="1"/>
  <c r="E1533" i="1"/>
  <c r="D1533" i="1"/>
  <c r="C1533" i="1"/>
  <c r="A1533" i="1"/>
  <c r="L1532" i="1"/>
  <c r="K1532" i="1"/>
  <c r="H1532" i="1"/>
  <c r="G1532" i="1"/>
  <c r="F1532" i="1"/>
  <c r="E1532" i="1"/>
  <c r="D1532" i="1"/>
  <c r="C1532" i="1"/>
  <c r="A1532" i="1"/>
  <c r="L1531" i="1"/>
  <c r="K1531" i="1"/>
  <c r="H1531" i="1"/>
  <c r="G1531" i="1"/>
  <c r="F1531" i="1"/>
  <c r="E1531" i="1"/>
  <c r="D1531" i="1"/>
  <c r="C1531" i="1"/>
  <c r="A1531" i="1"/>
  <c r="L1530" i="1"/>
  <c r="K1530" i="1"/>
  <c r="H1530" i="1"/>
  <c r="G1530" i="1"/>
  <c r="F1530" i="1"/>
  <c r="E1530" i="1"/>
  <c r="D1530" i="1"/>
  <c r="C1530" i="1"/>
  <c r="A1530" i="1"/>
  <c r="L1529" i="1"/>
  <c r="K1529" i="1"/>
  <c r="H1529" i="1"/>
  <c r="G1529" i="1"/>
  <c r="F1529" i="1"/>
  <c r="E1529" i="1"/>
  <c r="D1529" i="1"/>
  <c r="C1529" i="1"/>
  <c r="A1529" i="1"/>
  <c r="M1528" i="1"/>
  <c r="L1528" i="1"/>
  <c r="K1528" i="1"/>
  <c r="H1528" i="1"/>
  <c r="G1528" i="1"/>
  <c r="F1528" i="1"/>
  <c r="E1528" i="1"/>
  <c r="D1528" i="1"/>
  <c r="C1528" i="1"/>
  <c r="A1528" i="1"/>
  <c r="M1527" i="1"/>
  <c r="L1527" i="1"/>
  <c r="K1527" i="1"/>
  <c r="H1527" i="1"/>
  <c r="G1527" i="1"/>
  <c r="F1527" i="1"/>
  <c r="E1527" i="1"/>
  <c r="D1527" i="1"/>
  <c r="C1527" i="1"/>
  <c r="A1527" i="1"/>
  <c r="M1526" i="1"/>
  <c r="L1526" i="1"/>
  <c r="K1526" i="1"/>
  <c r="H1526" i="1"/>
  <c r="G1526" i="1"/>
  <c r="F1526" i="1"/>
  <c r="E1526" i="1"/>
  <c r="D1526" i="1"/>
  <c r="C1526" i="1"/>
  <c r="A1526" i="1"/>
  <c r="M1525" i="1"/>
  <c r="L1525" i="1"/>
  <c r="K1525" i="1"/>
  <c r="J1525" i="1"/>
  <c r="H1525" i="1"/>
  <c r="F1525" i="1"/>
  <c r="E1525" i="1"/>
  <c r="D1525" i="1"/>
  <c r="C1525" i="1"/>
  <c r="A1525" i="1"/>
  <c r="M1524" i="1"/>
  <c r="L1524" i="1"/>
  <c r="K1524" i="1"/>
  <c r="H1524" i="1"/>
  <c r="G1524" i="1"/>
  <c r="F1524" i="1"/>
  <c r="E1524" i="1"/>
  <c r="D1524" i="1"/>
  <c r="C1524" i="1"/>
  <c r="A1524" i="1"/>
  <c r="M1523" i="1"/>
  <c r="L1523" i="1"/>
  <c r="K1523" i="1"/>
  <c r="H1523" i="1"/>
  <c r="G1523" i="1"/>
  <c r="F1523" i="1"/>
  <c r="E1523" i="1"/>
  <c r="D1523" i="1"/>
  <c r="C1523" i="1"/>
  <c r="A1523" i="1"/>
  <c r="M1522" i="1"/>
  <c r="K1522" i="1"/>
  <c r="H1522" i="1"/>
  <c r="G1522" i="1"/>
  <c r="F1522" i="1"/>
  <c r="E1522" i="1"/>
  <c r="D1522" i="1"/>
  <c r="C1522" i="1"/>
  <c r="A1522" i="1"/>
  <c r="M1521" i="1"/>
  <c r="L1521" i="1"/>
  <c r="K1521" i="1"/>
  <c r="H1521" i="1"/>
  <c r="G1521" i="1"/>
  <c r="F1521" i="1"/>
  <c r="E1521" i="1"/>
  <c r="D1521" i="1"/>
  <c r="C1521" i="1"/>
  <c r="A1521" i="1"/>
  <c r="K1520" i="1"/>
  <c r="H1520" i="1"/>
  <c r="G1520" i="1"/>
  <c r="F1520" i="1"/>
  <c r="E1520" i="1"/>
  <c r="D1520" i="1"/>
  <c r="C1520" i="1"/>
  <c r="A1520" i="1"/>
  <c r="K1519" i="1"/>
  <c r="H1519" i="1"/>
  <c r="G1519" i="1"/>
  <c r="F1519" i="1"/>
  <c r="E1519" i="1"/>
  <c r="D1519" i="1"/>
  <c r="C1519" i="1"/>
  <c r="A1519" i="1"/>
  <c r="K1518" i="1"/>
  <c r="H1518" i="1"/>
  <c r="G1518" i="1"/>
  <c r="F1518" i="1"/>
  <c r="E1518" i="1"/>
  <c r="D1518" i="1"/>
  <c r="C1518" i="1"/>
  <c r="A1518" i="1"/>
  <c r="M1517" i="1"/>
  <c r="L1517" i="1"/>
  <c r="K1517" i="1"/>
  <c r="H1517" i="1"/>
  <c r="G1517" i="1"/>
  <c r="F1517" i="1"/>
  <c r="E1517" i="1"/>
  <c r="D1517" i="1"/>
  <c r="C1517" i="1"/>
  <c r="A1517" i="1"/>
  <c r="M1516" i="1"/>
  <c r="K1516" i="1"/>
  <c r="H1516" i="1"/>
  <c r="G1516" i="1"/>
  <c r="F1516" i="1"/>
  <c r="E1516" i="1"/>
  <c r="D1516" i="1"/>
  <c r="C1516" i="1"/>
  <c r="A1516" i="1"/>
  <c r="M1515" i="1"/>
  <c r="K1515" i="1"/>
  <c r="H1515" i="1"/>
  <c r="G1515" i="1"/>
  <c r="F1515" i="1"/>
  <c r="E1515" i="1"/>
  <c r="D1515" i="1"/>
  <c r="C1515" i="1"/>
  <c r="A1515" i="1"/>
  <c r="M1514" i="1"/>
  <c r="K1514" i="1"/>
  <c r="I1514" i="1"/>
  <c r="H1514" i="1"/>
  <c r="G1514" i="1"/>
  <c r="F1514" i="1"/>
  <c r="E1514" i="1"/>
  <c r="D1514" i="1"/>
  <c r="C1514" i="1"/>
  <c r="A1514" i="1"/>
  <c r="M1513" i="1"/>
  <c r="K1513" i="1"/>
  <c r="I1513" i="1"/>
  <c r="H1513" i="1"/>
  <c r="G1513" i="1"/>
  <c r="F1513" i="1"/>
  <c r="E1513" i="1"/>
  <c r="D1513" i="1"/>
  <c r="C1513" i="1"/>
  <c r="A1513" i="1"/>
  <c r="M1512" i="1"/>
  <c r="K1512" i="1"/>
  <c r="H1512" i="1"/>
  <c r="G1512" i="1"/>
  <c r="F1512" i="1"/>
  <c r="E1512" i="1"/>
  <c r="D1512" i="1"/>
  <c r="C1512" i="1"/>
  <c r="A1512" i="1"/>
  <c r="M1511" i="1"/>
  <c r="K1511" i="1"/>
  <c r="J1511" i="1"/>
  <c r="H1511" i="1"/>
  <c r="F1511" i="1"/>
  <c r="E1511" i="1"/>
  <c r="D1511" i="1"/>
  <c r="C1511" i="1"/>
  <c r="A1511" i="1"/>
  <c r="M1510" i="1"/>
  <c r="K1510" i="1"/>
  <c r="H1510" i="1"/>
  <c r="G1510" i="1"/>
  <c r="F1510" i="1"/>
  <c r="E1510" i="1"/>
  <c r="D1510" i="1"/>
  <c r="C1510" i="1"/>
  <c r="A1510" i="1"/>
  <c r="M1509" i="1"/>
  <c r="K1509" i="1"/>
  <c r="H1509" i="1"/>
  <c r="G1509" i="1"/>
  <c r="F1509" i="1"/>
  <c r="E1509" i="1"/>
  <c r="D1509" i="1"/>
  <c r="C1509" i="1"/>
  <c r="A1509" i="1"/>
  <c r="M1508" i="1"/>
  <c r="K1508" i="1"/>
  <c r="H1508" i="1"/>
  <c r="G1508" i="1"/>
  <c r="F1508" i="1"/>
  <c r="E1508" i="1"/>
  <c r="D1508" i="1"/>
  <c r="C1508" i="1"/>
  <c r="A1508" i="1"/>
  <c r="L1507" i="1"/>
  <c r="K1507" i="1"/>
  <c r="H1507" i="1"/>
  <c r="G1507" i="1"/>
  <c r="F1507" i="1"/>
  <c r="E1507" i="1"/>
  <c r="D1507" i="1"/>
  <c r="C1507" i="1"/>
  <c r="A1507" i="1"/>
  <c r="M1506" i="1"/>
  <c r="K1506" i="1"/>
  <c r="H1506" i="1"/>
  <c r="G1506" i="1"/>
  <c r="F1506" i="1"/>
  <c r="E1506" i="1"/>
  <c r="D1506" i="1"/>
  <c r="C1506" i="1"/>
  <c r="A1506" i="1"/>
  <c r="M1505" i="1"/>
  <c r="L1505" i="1"/>
  <c r="K1505" i="1"/>
  <c r="H1505" i="1"/>
  <c r="G1505" i="1"/>
  <c r="F1505" i="1"/>
  <c r="E1505" i="1"/>
  <c r="D1505" i="1"/>
  <c r="C1505" i="1"/>
  <c r="A1505" i="1"/>
  <c r="K1504" i="1"/>
  <c r="H1504" i="1"/>
  <c r="G1504" i="1"/>
  <c r="F1504" i="1"/>
  <c r="E1504" i="1"/>
  <c r="D1504" i="1"/>
  <c r="C1504" i="1"/>
  <c r="A1504" i="1"/>
  <c r="K1503" i="1"/>
  <c r="H1503" i="1"/>
  <c r="G1503" i="1"/>
  <c r="F1503" i="1"/>
  <c r="E1503" i="1"/>
  <c r="D1503" i="1"/>
  <c r="C1503" i="1"/>
  <c r="A1503" i="1"/>
  <c r="H1502" i="1"/>
  <c r="C1502" i="1"/>
  <c r="A1502" i="1"/>
  <c r="K1501" i="1"/>
  <c r="H1501" i="1"/>
  <c r="G1501" i="1"/>
  <c r="F1501" i="1"/>
  <c r="E1501" i="1"/>
  <c r="D1501" i="1"/>
  <c r="C1501" i="1"/>
  <c r="A1501" i="1"/>
  <c r="K1500" i="1"/>
  <c r="H1500" i="1"/>
  <c r="G1500" i="1"/>
  <c r="F1500" i="1"/>
  <c r="E1500" i="1"/>
  <c r="D1500" i="1"/>
  <c r="C1500" i="1"/>
  <c r="A1500" i="1"/>
  <c r="M1499" i="1"/>
  <c r="L1499" i="1"/>
  <c r="K1499" i="1"/>
  <c r="I1499" i="1"/>
  <c r="H1499" i="1"/>
  <c r="G1499" i="1"/>
  <c r="F1499" i="1"/>
  <c r="E1499" i="1"/>
  <c r="D1499" i="1"/>
  <c r="C1499" i="1"/>
  <c r="A1499" i="1"/>
  <c r="K1498" i="1"/>
  <c r="H1498" i="1"/>
  <c r="G1498" i="1"/>
  <c r="F1498" i="1"/>
  <c r="E1498" i="1"/>
  <c r="D1498" i="1"/>
  <c r="C1498" i="1"/>
  <c r="A1498" i="1"/>
  <c r="K1497" i="1"/>
  <c r="H1497" i="1"/>
  <c r="G1497" i="1"/>
  <c r="F1497" i="1"/>
  <c r="E1497" i="1"/>
  <c r="D1497" i="1"/>
  <c r="C1497" i="1"/>
  <c r="A1497" i="1"/>
  <c r="K1496" i="1"/>
  <c r="H1496" i="1"/>
  <c r="G1496" i="1"/>
  <c r="F1496" i="1"/>
  <c r="E1496" i="1"/>
  <c r="D1496" i="1"/>
  <c r="C1496" i="1"/>
  <c r="A1496" i="1"/>
  <c r="M1495" i="1"/>
  <c r="K1495" i="1"/>
  <c r="J1495" i="1"/>
  <c r="H1495" i="1"/>
  <c r="F1495" i="1"/>
  <c r="E1495" i="1"/>
  <c r="D1495" i="1"/>
  <c r="C1495" i="1"/>
  <c r="A1495" i="1"/>
  <c r="K1494" i="1"/>
  <c r="H1494" i="1"/>
  <c r="G1494" i="1"/>
  <c r="F1494" i="1"/>
  <c r="E1494" i="1"/>
  <c r="D1494" i="1"/>
  <c r="C1494" i="1"/>
  <c r="A1494" i="1"/>
  <c r="K1493" i="1"/>
  <c r="H1493" i="1"/>
  <c r="G1493" i="1"/>
  <c r="F1493" i="1"/>
  <c r="E1493" i="1"/>
  <c r="D1493" i="1"/>
  <c r="C1493" i="1"/>
  <c r="A1493" i="1"/>
  <c r="L1492" i="1"/>
  <c r="K1492" i="1"/>
  <c r="H1492" i="1"/>
  <c r="G1492" i="1"/>
  <c r="F1492" i="1"/>
  <c r="E1492" i="1"/>
  <c r="D1492" i="1"/>
  <c r="C1492" i="1"/>
  <c r="A1492" i="1"/>
  <c r="M1491" i="1"/>
  <c r="L1491" i="1"/>
  <c r="K1491" i="1"/>
  <c r="H1491" i="1"/>
  <c r="G1491" i="1"/>
  <c r="F1491" i="1"/>
  <c r="E1491" i="1"/>
  <c r="D1491" i="1"/>
  <c r="C1491" i="1"/>
  <c r="A1491" i="1"/>
  <c r="L1490" i="1"/>
  <c r="K1490" i="1"/>
  <c r="H1490" i="1"/>
  <c r="G1490" i="1"/>
  <c r="F1490" i="1"/>
  <c r="E1490" i="1"/>
  <c r="D1490" i="1"/>
  <c r="C1490" i="1"/>
  <c r="A1490" i="1"/>
  <c r="L1489" i="1"/>
  <c r="K1489" i="1"/>
  <c r="H1489" i="1"/>
  <c r="G1489" i="1"/>
  <c r="F1489" i="1"/>
  <c r="E1489" i="1"/>
  <c r="D1489" i="1"/>
  <c r="C1489" i="1"/>
  <c r="A1489" i="1"/>
  <c r="K1488" i="1"/>
  <c r="H1488" i="1"/>
  <c r="G1488" i="1"/>
  <c r="F1488" i="1"/>
  <c r="E1488" i="1"/>
  <c r="D1488" i="1"/>
  <c r="C1488" i="1"/>
  <c r="A1488" i="1"/>
  <c r="K1487" i="1"/>
  <c r="H1487" i="1"/>
  <c r="G1487" i="1"/>
  <c r="F1487" i="1"/>
  <c r="E1487" i="1"/>
  <c r="D1487" i="1"/>
  <c r="C1487" i="1"/>
  <c r="A1487" i="1"/>
  <c r="K1486" i="1"/>
  <c r="H1486" i="1"/>
  <c r="G1486" i="1"/>
  <c r="F1486" i="1"/>
  <c r="E1486" i="1"/>
  <c r="D1486" i="1"/>
  <c r="C1486" i="1"/>
  <c r="A1486" i="1"/>
  <c r="K1485" i="1"/>
  <c r="H1485" i="1"/>
  <c r="G1485" i="1"/>
  <c r="F1485" i="1"/>
  <c r="E1485" i="1"/>
  <c r="D1485" i="1"/>
  <c r="C1485" i="1"/>
  <c r="A1485" i="1"/>
  <c r="K1484" i="1"/>
  <c r="H1484" i="1"/>
  <c r="G1484" i="1"/>
  <c r="F1484" i="1"/>
  <c r="E1484" i="1"/>
  <c r="D1484" i="1"/>
  <c r="C1484" i="1"/>
  <c r="A1484" i="1"/>
  <c r="K1483" i="1"/>
  <c r="H1483" i="1"/>
  <c r="G1483" i="1"/>
  <c r="F1483" i="1"/>
  <c r="E1483" i="1"/>
  <c r="D1483" i="1"/>
  <c r="C1483" i="1"/>
  <c r="A1483" i="1"/>
  <c r="K1482" i="1"/>
  <c r="H1482" i="1"/>
  <c r="G1482" i="1"/>
  <c r="F1482" i="1"/>
  <c r="E1482" i="1"/>
  <c r="D1482" i="1"/>
  <c r="C1482" i="1"/>
  <c r="A1482" i="1"/>
  <c r="K1481" i="1"/>
  <c r="H1481" i="1"/>
  <c r="G1481" i="1"/>
  <c r="F1481" i="1"/>
  <c r="E1481" i="1"/>
  <c r="D1481" i="1"/>
  <c r="C1481" i="1"/>
  <c r="A1481" i="1"/>
  <c r="K1480" i="1"/>
  <c r="H1480" i="1"/>
  <c r="G1480" i="1"/>
  <c r="F1480" i="1"/>
  <c r="E1480" i="1"/>
  <c r="D1480" i="1"/>
  <c r="C1480" i="1"/>
  <c r="A1480" i="1"/>
  <c r="K1479" i="1"/>
  <c r="H1479" i="1"/>
  <c r="G1479" i="1"/>
  <c r="F1479" i="1"/>
  <c r="E1479" i="1"/>
  <c r="D1479" i="1"/>
  <c r="C1479" i="1"/>
  <c r="A1479" i="1"/>
  <c r="J1478" i="1"/>
  <c r="H1478" i="1"/>
  <c r="F1478" i="1"/>
  <c r="E1478" i="1"/>
  <c r="D1478" i="1"/>
  <c r="C1478" i="1"/>
  <c r="A1478" i="1"/>
  <c r="M1477" i="1"/>
  <c r="K1477" i="1"/>
  <c r="J1477" i="1"/>
  <c r="H1477" i="1"/>
  <c r="F1477" i="1"/>
  <c r="E1477" i="1"/>
  <c r="D1477" i="1"/>
  <c r="C1477" i="1"/>
  <c r="A1477" i="1"/>
  <c r="L1476" i="1"/>
  <c r="K1476" i="1"/>
  <c r="H1476" i="1"/>
  <c r="G1476" i="1"/>
  <c r="F1476" i="1"/>
  <c r="E1476" i="1"/>
  <c r="D1476" i="1"/>
  <c r="C1476" i="1"/>
  <c r="A1476" i="1"/>
  <c r="L1475" i="1"/>
  <c r="K1475" i="1"/>
  <c r="H1475" i="1"/>
  <c r="G1475" i="1"/>
  <c r="F1475" i="1"/>
  <c r="E1475" i="1"/>
  <c r="D1475" i="1"/>
  <c r="C1475" i="1"/>
  <c r="A1475" i="1"/>
  <c r="K1474" i="1"/>
  <c r="H1474" i="1"/>
  <c r="G1474" i="1"/>
  <c r="F1474" i="1"/>
  <c r="E1474" i="1"/>
  <c r="D1474" i="1"/>
  <c r="C1474" i="1"/>
  <c r="A1474" i="1"/>
  <c r="K1473" i="1"/>
  <c r="H1473" i="1"/>
  <c r="G1473" i="1"/>
  <c r="F1473" i="1"/>
  <c r="E1473" i="1"/>
  <c r="D1473" i="1"/>
  <c r="C1473" i="1"/>
  <c r="A1473" i="1"/>
  <c r="K1472" i="1"/>
  <c r="H1472" i="1"/>
  <c r="G1472" i="1"/>
  <c r="F1472" i="1"/>
  <c r="E1472" i="1"/>
  <c r="D1472" i="1"/>
  <c r="C1472" i="1"/>
  <c r="A1472" i="1"/>
  <c r="M1471" i="1"/>
  <c r="L1471" i="1"/>
  <c r="K1471" i="1"/>
  <c r="H1471" i="1"/>
  <c r="G1471" i="1"/>
  <c r="F1471" i="1"/>
  <c r="E1471" i="1"/>
  <c r="D1471" i="1"/>
  <c r="C1471" i="1"/>
  <c r="A1471" i="1"/>
  <c r="K1470" i="1"/>
  <c r="H1470" i="1"/>
  <c r="G1470" i="1"/>
  <c r="F1470" i="1"/>
  <c r="E1470" i="1"/>
  <c r="D1470" i="1"/>
  <c r="C1470" i="1"/>
  <c r="A1470" i="1"/>
  <c r="M1469" i="1"/>
  <c r="K1469" i="1"/>
  <c r="H1469" i="1"/>
  <c r="G1469" i="1"/>
  <c r="F1469" i="1"/>
  <c r="E1469" i="1"/>
  <c r="D1469" i="1"/>
  <c r="C1469" i="1"/>
  <c r="A1469" i="1"/>
  <c r="K1468" i="1"/>
  <c r="H1468" i="1"/>
  <c r="G1468" i="1"/>
  <c r="F1468" i="1"/>
  <c r="E1468" i="1"/>
  <c r="D1468" i="1"/>
  <c r="C1468" i="1"/>
  <c r="A1468" i="1"/>
  <c r="M1467" i="1"/>
  <c r="K1467" i="1"/>
  <c r="J1467" i="1"/>
  <c r="H1467" i="1"/>
  <c r="F1467" i="1"/>
  <c r="E1467" i="1"/>
  <c r="D1467" i="1"/>
  <c r="C1467" i="1"/>
  <c r="A1467" i="1"/>
  <c r="K1466" i="1"/>
  <c r="H1466" i="1"/>
  <c r="G1466" i="1"/>
  <c r="F1466" i="1"/>
  <c r="E1466" i="1"/>
  <c r="D1466" i="1"/>
  <c r="C1466" i="1"/>
  <c r="A1466" i="1"/>
  <c r="M1465" i="1"/>
  <c r="L1465" i="1"/>
  <c r="K1465" i="1"/>
  <c r="H1465" i="1"/>
  <c r="G1465" i="1"/>
  <c r="F1465" i="1"/>
  <c r="E1465" i="1"/>
  <c r="D1465" i="1"/>
  <c r="C1465" i="1"/>
  <c r="A1465" i="1"/>
  <c r="M1464" i="1"/>
  <c r="L1464" i="1"/>
  <c r="K1464" i="1"/>
  <c r="H1464" i="1"/>
  <c r="G1464" i="1"/>
  <c r="F1464" i="1"/>
  <c r="E1464" i="1"/>
  <c r="D1464" i="1"/>
  <c r="C1464" i="1"/>
  <c r="A1464" i="1"/>
  <c r="M1463" i="1"/>
  <c r="L1463" i="1"/>
  <c r="K1463" i="1"/>
  <c r="H1463" i="1"/>
  <c r="G1463" i="1"/>
  <c r="F1463" i="1"/>
  <c r="E1463" i="1"/>
  <c r="D1463" i="1"/>
  <c r="C1463" i="1"/>
  <c r="A1463" i="1"/>
  <c r="M1462" i="1"/>
  <c r="K1462" i="1"/>
  <c r="H1462" i="1"/>
  <c r="G1462" i="1"/>
  <c r="F1462" i="1"/>
  <c r="E1462" i="1"/>
  <c r="D1462" i="1"/>
  <c r="C1462" i="1"/>
  <c r="A1462" i="1"/>
  <c r="M1461" i="1"/>
  <c r="K1461" i="1"/>
  <c r="I1461" i="1"/>
  <c r="H1461" i="1"/>
  <c r="G1461" i="1"/>
  <c r="F1461" i="1"/>
  <c r="E1461" i="1"/>
  <c r="D1461" i="1"/>
  <c r="C1461" i="1"/>
  <c r="A1461" i="1"/>
  <c r="M1460" i="1"/>
  <c r="L1460" i="1"/>
  <c r="K1460" i="1"/>
  <c r="H1460" i="1"/>
  <c r="G1460" i="1"/>
  <c r="F1460" i="1"/>
  <c r="E1460" i="1"/>
  <c r="D1460" i="1"/>
  <c r="C1460" i="1"/>
  <c r="A1460" i="1"/>
  <c r="L1459" i="1"/>
  <c r="K1459" i="1"/>
  <c r="H1459" i="1"/>
  <c r="G1459" i="1"/>
  <c r="F1459" i="1"/>
  <c r="E1459" i="1"/>
  <c r="D1459" i="1"/>
  <c r="C1459" i="1"/>
  <c r="A1459" i="1"/>
  <c r="M1458" i="1"/>
  <c r="K1458" i="1"/>
  <c r="H1458" i="1"/>
  <c r="G1458" i="1"/>
  <c r="F1458" i="1"/>
  <c r="E1458" i="1"/>
  <c r="D1458" i="1"/>
  <c r="C1458" i="1"/>
  <c r="A1458" i="1"/>
  <c r="M1457" i="1"/>
  <c r="K1457" i="1"/>
  <c r="J1457" i="1"/>
  <c r="H1457" i="1"/>
  <c r="F1457" i="1"/>
  <c r="E1457" i="1"/>
  <c r="D1457" i="1"/>
  <c r="C1457" i="1"/>
  <c r="A1457" i="1"/>
  <c r="M1456" i="1"/>
  <c r="K1456" i="1"/>
  <c r="J1456" i="1"/>
  <c r="H1456" i="1"/>
  <c r="F1456" i="1"/>
  <c r="E1456" i="1"/>
  <c r="D1456" i="1"/>
  <c r="C1456" i="1"/>
  <c r="A1456" i="1"/>
  <c r="M1455" i="1"/>
  <c r="K1455" i="1"/>
  <c r="H1455" i="1"/>
  <c r="G1455" i="1"/>
  <c r="F1455" i="1"/>
  <c r="E1455" i="1"/>
  <c r="D1455" i="1"/>
  <c r="C1455" i="1"/>
  <c r="A1455" i="1"/>
  <c r="K1454" i="1"/>
  <c r="H1454" i="1"/>
  <c r="G1454" i="1"/>
  <c r="F1454" i="1"/>
  <c r="E1454" i="1"/>
  <c r="D1454" i="1"/>
  <c r="C1454" i="1"/>
  <c r="A1454" i="1"/>
  <c r="K1453" i="1"/>
  <c r="H1453" i="1"/>
  <c r="G1453" i="1"/>
  <c r="F1453" i="1"/>
  <c r="E1453" i="1"/>
  <c r="D1453" i="1"/>
  <c r="C1453" i="1"/>
  <c r="A1453" i="1"/>
  <c r="M1452" i="1"/>
  <c r="L1452" i="1"/>
  <c r="K1452" i="1"/>
  <c r="I1452" i="1"/>
  <c r="H1452" i="1"/>
  <c r="G1452" i="1"/>
  <c r="F1452" i="1"/>
  <c r="E1452" i="1"/>
  <c r="D1452" i="1"/>
  <c r="C1452" i="1"/>
  <c r="A1452" i="1"/>
  <c r="K1451" i="1"/>
  <c r="H1451" i="1"/>
  <c r="G1451" i="1"/>
  <c r="F1451" i="1"/>
  <c r="E1451" i="1"/>
  <c r="D1451" i="1"/>
  <c r="C1451" i="1"/>
  <c r="A1451" i="1"/>
  <c r="K1450" i="1"/>
  <c r="H1450" i="1"/>
  <c r="G1450" i="1"/>
  <c r="F1450" i="1"/>
  <c r="E1450" i="1"/>
  <c r="D1450" i="1"/>
  <c r="C1450" i="1"/>
  <c r="A1450" i="1"/>
  <c r="M1449" i="1"/>
  <c r="L1449" i="1"/>
  <c r="K1449" i="1"/>
  <c r="I1449" i="1"/>
  <c r="H1449" i="1"/>
  <c r="G1449" i="1"/>
  <c r="F1449" i="1"/>
  <c r="E1449" i="1"/>
  <c r="D1449" i="1"/>
  <c r="C1449" i="1"/>
  <c r="A1449" i="1"/>
  <c r="M1448" i="1"/>
  <c r="K1448" i="1"/>
  <c r="H1448" i="1"/>
  <c r="G1448" i="1"/>
  <c r="F1448" i="1"/>
  <c r="E1448" i="1"/>
  <c r="D1448" i="1"/>
  <c r="C1448" i="1"/>
  <c r="A1448" i="1"/>
  <c r="M1447" i="1"/>
  <c r="K1447" i="1"/>
  <c r="I1447" i="1"/>
  <c r="H1447" i="1"/>
  <c r="G1447" i="1"/>
  <c r="F1447" i="1"/>
  <c r="E1447" i="1"/>
  <c r="D1447" i="1"/>
  <c r="C1447" i="1"/>
  <c r="A1447" i="1"/>
  <c r="M1446" i="1"/>
  <c r="K1446" i="1"/>
  <c r="H1446" i="1"/>
  <c r="G1446" i="1"/>
  <c r="F1446" i="1"/>
  <c r="E1446" i="1"/>
  <c r="D1446" i="1"/>
  <c r="C1446" i="1"/>
  <c r="A1446" i="1"/>
  <c r="M1445" i="1"/>
  <c r="K1445" i="1"/>
  <c r="H1445" i="1"/>
  <c r="G1445" i="1"/>
  <c r="F1445" i="1"/>
  <c r="E1445" i="1"/>
  <c r="D1445" i="1"/>
  <c r="C1445" i="1"/>
  <c r="A1445" i="1"/>
  <c r="M1444" i="1"/>
  <c r="K1444" i="1"/>
  <c r="H1444" i="1"/>
  <c r="G1444" i="1"/>
  <c r="F1444" i="1"/>
  <c r="E1444" i="1"/>
  <c r="D1444" i="1"/>
  <c r="C1444" i="1"/>
  <c r="A1444" i="1"/>
  <c r="K1443" i="1"/>
  <c r="H1443" i="1"/>
  <c r="G1443" i="1"/>
  <c r="F1443" i="1"/>
  <c r="E1443" i="1"/>
  <c r="D1443" i="1"/>
  <c r="C1443" i="1"/>
  <c r="A1443" i="1"/>
  <c r="K1442" i="1"/>
  <c r="H1442" i="1"/>
  <c r="G1442" i="1"/>
  <c r="F1442" i="1"/>
  <c r="E1442" i="1"/>
  <c r="D1442" i="1"/>
  <c r="C1442" i="1"/>
  <c r="A1442" i="1"/>
  <c r="M1441" i="1"/>
  <c r="K1441" i="1"/>
  <c r="H1441" i="1"/>
  <c r="G1441" i="1"/>
  <c r="F1441" i="1"/>
  <c r="E1441" i="1"/>
  <c r="D1441" i="1"/>
  <c r="C1441" i="1"/>
  <c r="A1441" i="1"/>
  <c r="M1440" i="1"/>
  <c r="K1440" i="1"/>
  <c r="H1440" i="1"/>
  <c r="G1440" i="1"/>
  <c r="F1440" i="1"/>
  <c r="E1440" i="1"/>
  <c r="D1440" i="1"/>
  <c r="C1440" i="1"/>
  <c r="A1440" i="1"/>
  <c r="M1439" i="1"/>
  <c r="K1439" i="1"/>
  <c r="H1439" i="1"/>
  <c r="G1439" i="1"/>
  <c r="F1439" i="1"/>
  <c r="E1439" i="1"/>
  <c r="D1439" i="1"/>
  <c r="C1439" i="1"/>
  <c r="A1439" i="1"/>
  <c r="H1438" i="1"/>
  <c r="G1438" i="1"/>
  <c r="E1438" i="1"/>
  <c r="D1438" i="1"/>
  <c r="C1438" i="1"/>
  <c r="A1438" i="1"/>
  <c r="K1437" i="1"/>
  <c r="H1437" i="1"/>
  <c r="G1437" i="1"/>
  <c r="F1437" i="1"/>
  <c r="E1437" i="1"/>
  <c r="D1437" i="1"/>
  <c r="C1437" i="1"/>
  <c r="A1437" i="1"/>
  <c r="K1436" i="1"/>
  <c r="H1436" i="1"/>
  <c r="G1436" i="1"/>
  <c r="F1436" i="1"/>
  <c r="E1436" i="1"/>
  <c r="D1436" i="1"/>
  <c r="C1436" i="1"/>
  <c r="A1436" i="1"/>
  <c r="K1435" i="1"/>
  <c r="H1435" i="1"/>
  <c r="G1435" i="1"/>
  <c r="F1435" i="1"/>
  <c r="E1435" i="1"/>
  <c r="D1435" i="1"/>
  <c r="C1435" i="1"/>
  <c r="A1435" i="1"/>
  <c r="M1434" i="1"/>
  <c r="L1434" i="1"/>
  <c r="K1434" i="1"/>
  <c r="H1434" i="1"/>
  <c r="G1434" i="1"/>
  <c r="F1434" i="1"/>
  <c r="E1434" i="1"/>
  <c r="D1434" i="1"/>
  <c r="C1434" i="1"/>
  <c r="A1434" i="1"/>
  <c r="K1433" i="1"/>
  <c r="H1433" i="1"/>
  <c r="G1433" i="1"/>
  <c r="F1433" i="1"/>
  <c r="E1433" i="1"/>
  <c r="D1433" i="1"/>
  <c r="C1433" i="1"/>
  <c r="A1433" i="1"/>
  <c r="M1432" i="1"/>
  <c r="K1432" i="1"/>
  <c r="H1432" i="1"/>
  <c r="G1432" i="1"/>
  <c r="F1432" i="1"/>
  <c r="E1432" i="1"/>
  <c r="D1432" i="1"/>
  <c r="C1432" i="1"/>
  <c r="A1432" i="1"/>
  <c r="K1431" i="1"/>
  <c r="H1431" i="1"/>
  <c r="G1431" i="1"/>
  <c r="F1431" i="1"/>
  <c r="E1431" i="1"/>
  <c r="D1431" i="1"/>
  <c r="C1431" i="1"/>
  <c r="A1431" i="1"/>
  <c r="K1430" i="1"/>
  <c r="H1430" i="1"/>
  <c r="G1430" i="1"/>
  <c r="F1430" i="1"/>
  <c r="E1430" i="1"/>
  <c r="D1430" i="1"/>
  <c r="C1430" i="1"/>
  <c r="A1430" i="1"/>
  <c r="M1429" i="1"/>
  <c r="K1429" i="1"/>
  <c r="J1429" i="1"/>
  <c r="H1429" i="1"/>
  <c r="F1429" i="1"/>
  <c r="E1429" i="1"/>
  <c r="D1429" i="1"/>
  <c r="C1429" i="1"/>
  <c r="A1429" i="1"/>
  <c r="M1428" i="1"/>
  <c r="K1428" i="1"/>
  <c r="J1428" i="1"/>
  <c r="H1428" i="1"/>
  <c r="F1428" i="1"/>
  <c r="E1428" i="1"/>
  <c r="D1428" i="1"/>
  <c r="C1428" i="1"/>
  <c r="A1428" i="1"/>
  <c r="M1427" i="1"/>
  <c r="K1427" i="1"/>
  <c r="J1427" i="1"/>
  <c r="H1427" i="1"/>
  <c r="F1427" i="1"/>
  <c r="E1427" i="1"/>
  <c r="D1427" i="1"/>
  <c r="C1427" i="1"/>
  <c r="A1427" i="1"/>
  <c r="K1426" i="1"/>
  <c r="H1426" i="1"/>
  <c r="G1426" i="1"/>
  <c r="F1426" i="1"/>
  <c r="E1426" i="1"/>
  <c r="D1426" i="1"/>
  <c r="C1426" i="1"/>
  <c r="A1426" i="1"/>
  <c r="M1425" i="1"/>
  <c r="K1425" i="1"/>
  <c r="H1425" i="1"/>
  <c r="G1425" i="1"/>
  <c r="F1425" i="1"/>
  <c r="E1425" i="1"/>
  <c r="D1425" i="1"/>
  <c r="C1425" i="1"/>
  <c r="A1425" i="1"/>
  <c r="M1424" i="1"/>
  <c r="L1424" i="1"/>
  <c r="K1424" i="1"/>
  <c r="I1424" i="1"/>
  <c r="H1424" i="1"/>
  <c r="G1424" i="1"/>
  <c r="F1424" i="1"/>
  <c r="E1424" i="1"/>
  <c r="D1424" i="1"/>
  <c r="C1424" i="1"/>
  <c r="A1424" i="1"/>
  <c r="K1423" i="1"/>
  <c r="H1423" i="1"/>
  <c r="G1423" i="1"/>
  <c r="F1423" i="1"/>
  <c r="E1423" i="1"/>
  <c r="D1423" i="1"/>
  <c r="C1423" i="1"/>
  <c r="A1423" i="1"/>
  <c r="M1422" i="1"/>
  <c r="K1422" i="1"/>
  <c r="H1422" i="1"/>
  <c r="G1422" i="1"/>
  <c r="F1422" i="1"/>
  <c r="E1422" i="1"/>
  <c r="D1422" i="1"/>
  <c r="C1422" i="1"/>
  <c r="A1422" i="1"/>
  <c r="M1421" i="1"/>
  <c r="L1421" i="1"/>
  <c r="K1421" i="1"/>
  <c r="H1421" i="1"/>
  <c r="G1421" i="1"/>
  <c r="F1421" i="1"/>
  <c r="E1421" i="1"/>
  <c r="D1421" i="1"/>
  <c r="C1421" i="1"/>
  <c r="A1421" i="1"/>
  <c r="M1420" i="1"/>
  <c r="K1420" i="1"/>
  <c r="J1420" i="1"/>
  <c r="I1420" i="1"/>
  <c r="H1420" i="1"/>
  <c r="G1420" i="1"/>
  <c r="F1420" i="1"/>
  <c r="E1420" i="1"/>
  <c r="D1420" i="1"/>
  <c r="C1420" i="1"/>
  <c r="A1420" i="1"/>
  <c r="M1419" i="1"/>
  <c r="L1419" i="1"/>
  <c r="K1419" i="1"/>
  <c r="I1419" i="1"/>
  <c r="H1419" i="1"/>
  <c r="G1419" i="1"/>
  <c r="F1419" i="1"/>
  <c r="E1419" i="1"/>
  <c r="D1419" i="1"/>
  <c r="C1419" i="1"/>
  <c r="A1419" i="1"/>
  <c r="M1418" i="1"/>
  <c r="K1418" i="1"/>
  <c r="J1418" i="1"/>
  <c r="H1418" i="1"/>
  <c r="F1418" i="1"/>
  <c r="E1418" i="1"/>
  <c r="D1418" i="1"/>
  <c r="C1418" i="1"/>
  <c r="A1418" i="1"/>
  <c r="M1417" i="1"/>
  <c r="K1417" i="1"/>
  <c r="H1417" i="1"/>
  <c r="G1417" i="1"/>
  <c r="F1417" i="1"/>
  <c r="E1417" i="1"/>
  <c r="D1417" i="1"/>
  <c r="C1417" i="1"/>
  <c r="A1417" i="1"/>
  <c r="M1416" i="1"/>
  <c r="K1416" i="1"/>
  <c r="H1416" i="1"/>
  <c r="G1416" i="1"/>
  <c r="F1416" i="1"/>
  <c r="E1416" i="1"/>
  <c r="D1416" i="1"/>
  <c r="C1416" i="1"/>
  <c r="A1416" i="1"/>
  <c r="M1415" i="1"/>
  <c r="K1415" i="1"/>
  <c r="H1415" i="1"/>
  <c r="G1415" i="1"/>
  <c r="F1415" i="1"/>
  <c r="E1415" i="1"/>
  <c r="D1415" i="1"/>
  <c r="C1415" i="1"/>
  <c r="A1415" i="1"/>
  <c r="M1414" i="1"/>
  <c r="K1414" i="1"/>
  <c r="H1414" i="1"/>
  <c r="G1414" i="1"/>
  <c r="F1414" i="1"/>
  <c r="E1414" i="1"/>
  <c r="D1414" i="1"/>
  <c r="C1414" i="1"/>
  <c r="A1414" i="1"/>
  <c r="M1413" i="1"/>
  <c r="K1413" i="1"/>
  <c r="H1413" i="1"/>
  <c r="G1413" i="1"/>
  <c r="F1413" i="1"/>
  <c r="E1413" i="1"/>
  <c r="D1413" i="1"/>
  <c r="C1413" i="1"/>
  <c r="A1413" i="1"/>
  <c r="M1412" i="1"/>
  <c r="K1412" i="1"/>
  <c r="H1412" i="1"/>
  <c r="G1412" i="1"/>
  <c r="F1412" i="1"/>
  <c r="E1412" i="1"/>
  <c r="D1412" i="1"/>
  <c r="C1412" i="1"/>
  <c r="A1412" i="1"/>
  <c r="M1411" i="1"/>
  <c r="K1411" i="1"/>
  <c r="J1411" i="1"/>
  <c r="H1411" i="1"/>
  <c r="F1411" i="1"/>
  <c r="E1411" i="1"/>
  <c r="D1411" i="1"/>
  <c r="C1411" i="1"/>
  <c r="A1411" i="1"/>
  <c r="M1410" i="1"/>
  <c r="L1410" i="1"/>
  <c r="K1410" i="1"/>
  <c r="H1410" i="1"/>
  <c r="G1410" i="1"/>
  <c r="F1410" i="1"/>
  <c r="E1410" i="1"/>
  <c r="D1410" i="1"/>
  <c r="C1410" i="1"/>
  <c r="A1410" i="1"/>
  <c r="M1409" i="1"/>
  <c r="L1409" i="1"/>
  <c r="K1409" i="1"/>
  <c r="H1409" i="1"/>
  <c r="G1409" i="1"/>
  <c r="F1409" i="1"/>
  <c r="E1409" i="1"/>
  <c r="D1409" i="1"/>
  <c r="C1409" i="1"/>
  <c r="A1409" i="1"/>
  <c r="L1408" i="1"/>
  <c r="K1408" i="1"/>
  <c r="H1408" i="1"/>
  <c r="G1408" i="1"/>
  <c r="F1408" i="1"/>
  <c r="E1408" i="1"/>
  <c r="D1408" i="1"/>
  <c r="C1408" i="1"/>
  <c r="A1408" i="1"/>
  <c r="L1407" i="1"/>
  <c r="K1407" i="1"/>
  <c r="H1407" i="1"/>
  <c r="G1407" i="1"/>
  <c r="F1407" i="1"/>
  <c r="E1407" i="1"/>
  <c r="D1407" i="1"/>
  <c r="C1407" i="1"/>
  <c r="A1407" i="1"/>
  <c r="L1406" i="1"/>
  <c r="K1406" i="1"/>
  <c r="H1406" i="1"/>
  <c r="G1406" i="1"/>
  <c r="F1406" i="1"/>
  <c r="E1406" i="1"/>
  <c r="D1406" i="1"/>
  <c r="C1406" i="1"/>
  <c r="A1406" i="1"/>
  <c r="L1405" i="1"/>
  <c r="K1405" i="1"/>
  <c r="H1405" i="1"/>
  <c r="G1405" i="1"/>
  <c r="F1405" i="1"/>
  <c r="E1405" i="1"/>
  <c r="D1405" i="1"/>
  <c r="C1405" i="1"/>
  <c r="A1405" i="1"/>
  <c r="L1404" i="1"/>
  <c r="K1404" i="1"/>
  <c r="H1404" i="1"/>
  <c r="G1404" i="1"/>
  <c r="F1404" i="1"/>
  <c r="E1404" i="1"/>
  <c r="D1404" i="1"/>
  <c r="C1404" i="1"/>
  <c r="A1404" i="1"/>
  <c r="L1403" i="1"/>
  <c r="K1403" i="1"/>
  <c r="H1403" i="1"/>
  <c r="G1403" i="1"/>
  <c r="F1403" i="1"/>
  <c r="E1403" i="1"/>
  <c r="D1403" i="1"/>
  <c r="C1403" i="1"/>
  <c r="A1403" i="1"/>
  <c r="L1402" i="1"/>
  <c r="K1402" i="1"/>
  <c r="H1402" i="1"/>
  <c r="G1402" i="1"/>
  <c r="F1402" i="1"/>
  <c r="E1402" i="1"/>
  <c r="D1402" i="1"/>
  <c r="C1402" i="1"/>
  <c r="A1402" i="1"/>
  <c r="L1401" i="1"/>
  <c r="K1401" i="1"/>
  <c r="H1401" i="1"/>
  <c r="G1401" i="1"/>
  <c r="F1401" i="1"/>
  <c r="E1401" i="1"/>
  <c r="D1401" i="1"/>
  <c r="C1401" i="1"/>
  <c r="A1401" i="1"/>
  <c r="L1400" i="1"/>
  <c r="K1400" i="1"/>
  <c r="H1400" i="1"/>
  <c r="G1400" i="1"/>
  <c r="F1400" i="1"/>
  <c r="E1400" i="1"/>
  <c r="D1400" i="1"/>
  <c r="C1400" i="1"/>
  <c r="A1400" i="1"/>
  <c r="L1399" i="1"/>
  <c r="K1399" i="1"/>
  <c r="H1399" i="1"/>
  <c r="G1399" i="1"/>
  <c r="F1399" i="1"/>
  <c r="E1399" i="1"/>
  <c r="D1399" i="1"/>
  <c r="C1399" i="1"/>
  <c r="A1399" i="1"/>
  <c r="L1398" i="1"/>
  <c r="K1398" i="1"/>
  <c r="H1398" i="1"/>
  <c r="G1398" i="1"/>
  <c r="F1398" i="1"/>
  <c r="E1398" i="1"/>
  <c r="D1398" i="1"/>
  <c r="C1398" i="1"/>
  <c r="A1398" i="1"/>
  <c r="L1397" i="1"/>
  <c r="K1397" i="1"/>
  <c r="H1397" i="1"/>
  <c r="G1397" i="1"/>
  <c r="F1397" i="1"/>
  <c r="E1397" i="1"/>
  <c r="D1397" i="1"/>
  <c r="C1397" i="1"/>
  <c r="A1397" i="1"/>
  <c r="L1396" i="1"/>
  <c r="K1396" i="1"/>
  <c r="H1396" i="1"/>
  <c r="G1396" i="1"/>
  <c r="F1396" i="1"/>
  <c r="E1396" i="1"/>
  <c r="D1396" i="1"/>
  <c r="C1396" i="1"/>
  <c r="A1396" i="1"/>
  <c r="L1395" i="1"/>
  <c r="K1395" i="1"/>
  <c r="H1395" i="1"/>
  <c r="G1395" i="1"/>
  <c r="F1395" i="1"/>
  <c r="E1395" i="1"/>
  <c r="D1395" i="1"/>
  <c r="C1395" i="1"/>
  <c r="A1395" i="1"/>
  <c r="L1394" i="1"/>
  <c r="K1394" i="1"/>
  <c r="H1394" i="1"/>
  <c r="G1394" i="1"/>
  <c r="F1394" i="1"/>
  <c r="E1394" i="1"/>
  <c r="D1394" i="1"/>
  <c r="C1394" i="1"/>
  <c r="A1394" i="1"/>
  <c r="L1393" i="1"/>
  <c r="K1393" i="1"/>
  <c r="H1393" i="1"/>
  <c r="G1393" i="1"/>
  <c r="F1393" i="1"/>
  <c r="E1393" i="1"/>
  <c r="D1393" i="1"/>
  <c r="C1393" i="1"/>
  <c r="A1393" i="1"/>
  <c r="L1392" i="1"/>
  <c r="K1392" i="1"/>
  <c r="H1392" i="1"/>
  <c r="G1392" i="1"/>
  <c r="F1392" i="1"/>
  <c r="E1392" i="1"/>
  <c r="D1392" i="1"/>
  <c r="C1392" i="1"/>
  <c r="A1392" i="1"/>
  <c r="L1391" i="1"/>
  <c r="K1391" i="1"/>
  <c r="H1391" i="1"/>
  <c r="G1391" i="1"/>
  <c r="F1391" i="1"/>
  <c r="E1391" i="1"/>
  <c r="D1391" i="1"/>
  <c r="C1391" i="1"/>
  <c r="A1391" i="1"/>
  <c r="K1390" i="1"/>
  <c r="H1390" i="1"/>
  <c r="G1390" i="1"/>
  <c r="F1390" i="1"/>
  <c r="E1390" i="1"/>
  <c r="D1390" i="1"/>
  <c r="C1390" i="1"/>
  <c r="A1390" i="1"/>
  <c r="K1389" i="1"/>
  <c r="H1389" i="1"/>
  <c r="G1389" i="1"/>
  <c r="F1389" i="1"/>
  <c r="E1389" i="1"/>
  <c r="D1389" i="1"/>
  <c r="C1389" i="1"/>
  <c r="A1389" i="1"/>
  <c r="K1388" i="1"/>
  <c r="H1388" i="1"/>
  <c r="G1388" i="1"/>
  <c r="F1388" i="1"/>
  <c r="E1388" i="1"/>
  <c r="D1388" i="1"/>
  <c r="C1388" i="1"/>
  <c r="A1388" i="1"/>
  <c r="K1387" i="1"/>
  <c r="H1387" i="1"/>
  <c r="G1387" i="1"/>
  <c r="F1387" i="1"/>
  <c r="E1387" i="1"/>
  <c r="D1387" i="1"/>
  <c r="C1387" i="1"/>
  <c r="A1387" i="1"/>
  <c r="K1386" i="1"/>
  <c r="H1386" i="1"/>
  <c r="G1386" i="1"/>
  <c r="F1386" i="1"/>
  <c r="E1386" i="1"/>
  <c r="D1386" i="1"/>
  <c r="C1386" i="1"/>
  <c r="A1386" i="1"/>
  <c r="K1385" i="1"/>
  <c r="H1385" i="1"/>
  <c r="G1385" i="1"/>
  <c r="F1385" i="1"/>
  <c r="E1385" i="1"/>
  <c r="D1385" i="1"/>
  <c r="C1385" i="1"/>
  <c r="A1385" i="1"/>
  <c r="K1384" i="1"/>
  <c r="H1384" i="1"/>
  <c r="G1384" i="1"/>
  <c r="F1384" i="1"/>
  <c r="E1384" i="1"/>
  <c r="D1384" i="1"/>
  <c r="C1384" i="1"/>
  <c r="A1384" i="1"/>
  <c r="M1383" i="1"/>
  <c r="K1383" i="1"/>
  <c r="H1383" i="1"/>
  <c r="G1383" i="1"/>
  <c r="F1383" i="1"/>
  <c r="E1383" i="1"/>
  <c r="D1383" i="1"/>
  <c r="C1383" i="1"/>
  <c r="A1383" i="1"/>
  <c r="M1382" i="1"/>
  <c r="K1382" i="1"/>
  <c r="J1382" i="1"/>
  <c r="H1382" i="1"/>
  <c r="F1382" i="1"/>
  <c r="E1382" i="1"/>
  <c r="D1382" i="1"/>
  <c r="C1382" i="1"/>
  <c r="A1382" i="1"/>
  <c r="M1381" i="1"/>
  <c r="K1381" i="1"/>
  <c r="J1381" i="1"/>
  <c r="H1381" i="1"/>
  <c r="F1381" i="1"/>
  <c r="E1381" i="1"/>
  <c r="D1381" i="1"/>
  <c r="C1381" i="1"/>
  <c r="A1381" i="1"/>
  <c r="L1380" i="1"/>
  <c r="K1380" i="1"/>
  <c r="H1380" i="1"/>
  <c r="G1380" i="1"/>
  <c r="F1380" i="1"/>
  <c r="E1380" i="1"/>
  <c r="D1380" i="1"/>
  <c r="C1380" i="1"/>
  <c r="A1380" i="1"/>
  <c r="L1379" i="1"/>
  <c r="K1379" i="1"/>
  <c r="H1379" i="1"/>
  <c r="G1379" i="1"/>
  <c r="F1379" i="1"/>
  <c r="E1379" i="1"/>
  <c r="D1379" i="1"/>
  <c r="C1379" i="1"/>
  <c r="A1379" i="1"/>
  <c r="M1378" i="1"/>
  <c r="L1378" i="1"/>
  <c r="K1378" i="1"/>
  <c r="I1378" i="1"/>
  <c r="H1378" i="1"/>
  <c r="G1378" i="1"/>
  <c r="F1378" i="1"/>
  <c r="E1378" i="1"/>
  <c r="D1378" i="1"/>
  <c r="C1378" i="1"/>
  <c r="A1378" i="1"/>
  <c r="L1377" i="1"/>
  <c r="K1377" i="1"/>
  <c r="H1377" i="1"/>
  <c r="G1377" i="1"/>
  <c r="F1377" i="1"/>
  <c r="E1377" i="1"/>
  <c r="D1377" i="1"/>
  <c r="C1377" i="1"/>
  <c r="A1377" i="1"/>
  <c r="L1376" i="1"/>
  <c r="K1376" i="1"/>
  <c r="H1376" i="1"/>
  <c r="G1376" i="1"/>
  <c r="F1376" i="1"/>
  <c r="E1376" i="1"/>
  <c r="D1376" i="1"/>
  <c r="C1376" i="1"/>
  <c r="A1376" i="1"/>
  <c r="L1375" i="1"/>
  <c r="K1375" i="1"/>
  <c r="H1375" i="1"/>
  <c r="G1375" i="1"/>
  <c r="F1375" i="1"/>
  <c r="E1375" i="1"/>
  <c r="D1375" i="1"/>
  <c r="C1375" i="1"/>
  <c r="A1375" i="1"/>
  <c r="L1374" i="1"/>
  <c r="K1374" i="1"/>
  <c r="H1374" i="1"/>
  <c r="G1374" i="1"/>
  <c r="F1374" i="1"/>
  <c r="E1374" i="1"/>
  <c r="D1374" i="1"/>
  <c r="C1374" i="1"/>
  <c r="A1374" i="1"/>
  <c r="L1373" i="1"/>
  <c r="K1373" i="1"/>
  <c r="H1373" i="1"/>
  <c r="G1373" i="1"/>
  <c r="F1373" i="1"/>
  <c r="E1373" i="1"/>
  <c r="D1373" i="1"/>
  <c r="C1373" i="1"/>
  <c r="A1373" i="1"/>
  <c r="M1372" i="1"/>
  <c r="K1372" i="1"/>
  <c r="H1372" i="1"/>
  <c r="G1372" i="1"/>
  <c r="F1372" i="1"/>
  <c r="E1372" i="1"/>
  <c r="D1372" i="1"/>
  <c r="C1372" i="1"/>
  <c r="A1372" i="1"/>
  <c r="M1371" i="1"/>
  <c r="K1371" i="1"/>
  <c r="H1371" i="1"/>
  <c r="G1371" i="1"/>
  <c r="F1371" i="1"/>
  <c r="E1371" i="1"/>
  <c r="D1371" i="1"/>
  <c r="C1371" i="1"/>
  <c r="A1371" i="1"/>
  <c r="K1370" i="1"/>
  <c r="H1370" i="1"/>
  <c r="G1370" i="1"/>
  <c r="F1370" i="1"/>
  <c r="E1370" i="1"/>
  <c r="D1370" i="1"/>
  <c r="C1370" i="1"/>
  <c r="A1370" i="1"/>
  <c r="M1369" i="1"/>
  <c r="K1369" i="1"/>
  <c r="J1369" i="1"/>
  <c r="I1369" i="1"/>
  <c r="H1369" i="1"/>
  <c r="F1369" i="1"/>
  <c r="E1369" i="1"/>
  <c r="D1369" i="1"/>
  <c r="C1369" i="1"/>
  <c r="A1369" i="1"/>
  <c r="M1368" i="1"/>
  <c r="K1368" i="1"/>
  <c r="J1368" i="1"/>
  <c r="H1368" i="1"/>
  <c r="F1368" i="1"/>
  <c r="E1368" i="1"/>
  <c r="D1368" i="1"/>
  <c r="C1368" i="1"/>
  <c r="A1368" i="1"/>
  <c r="K1367" i="1"/>
  <c r="H1367" i="1"/>
  <c r="G1367" i="1"/>
  <c r="F1367" i="1"/>
  <c r="E1367" i="1"/>
  <c r="D1367" i="1"/>
  <c r="C1367" i="1"/>
  <c r="A1367" i="1"/>
  <c r="M1366" i="1"/>
  <c r="K1366" i="1"/>
  <c r="J1366" i="1"/>
  <c r="I1366" i="1"/>
  <c r="H1366" i="1"/>
  <c r="F1366" i="1"/>
  <c r="E1366" i="1"/>
  <c r="D1366" i="1"/>
  <c r="C1366" i="1"/>
  <c r="A1366" i="1"/>
  <c r="M1365" i="1"/>
  <c r="K1365" i="1"/>
  <c r="J1365" i="1"/>
  <c r="I1365" i="1"/>
  <c r="H1365" i="1"/>
  <c r="F1365" i="1"/>
  <c r="E1365" i="1"/>
  <c r="D1365" i="1"/>
  <c r="C1365" i="1"/>
  <c r="A1365" i="1"/>
  <c r="K1364" i="1"/>
  <c r="H1364" i="1"/>
  <c r="G1364" i="1"/>
  <c r="F1364" i="1"/>
  <c r="E1364" i="1"/>
  <c r="D1364" i="1"/>
  <c r="C1364" i="1"/>
  <c r="A1364" i="1"/>
  <c r="K1363" i="1"/>
  <c r="H1363" i="1"/>
  <c r="G1363" i="1"/>
  <c r="F1363" i="1"/>
  <c r="E1363" i="1"/>
  <c r="D1363" i="1"/>
  <c r="C1363" i="1"/>
  <c r="A1363" i="1"/>
  <c r="K1362" i="1"/>
  <c r="H1362" i="1"/>
  <c r="G1362" i="1"/>
  <c r="F1362" i="1"/>
  <c r="E1362" i="1"/>
  <c r="D1362" i="1"/>
  <c r="C1362" i="1"/>
  <c r="A1362" i="1"/>
  <c r="K1361" i="1"/>
  <c r="H1361" i="1"/>
  <c r="G1361" i="1"/>
  <c r="F1361" i="1"/>
  <c r="E1361" i="1"/>
  <c r="D1361" i="1"/>
  <c r="C1361" i="1"/>
  <c r="A1361" i="1"/>
  <c r="K1360" i="1"/>
  <c r="H1360" i="1"/>
  <c r="G1360" i="1"/>
  <c r="F1360" i="1"/>
  <c r="E1360" i="1"/>
  <c r="D1360" i="1"/>
  <c r="C1360" i="1"/>
  <c r="A1360" i="1"/>
  <c r="K1359" i="1"/>
  <c r="H1359" i="1"/>
  <c r="G1359" i="1"/>
  <c r="F1359" i="1"/>
  <c r="E1359" i="1"/>
  <c r="D1359" i="1"/>
  <c r="C1359" i="1"/>
  <c r="A1359" i="1"/>
  <c r="K1358" i="1"/>
  <c r="H1358" i="1"/>
  <c r="G1358" i="1"/>
  <c r="F1358" i="1"/>
  <c r="E1358" i="1"/>
  <c r="D1358" i="1"/>
  <c r="C1358" i="1"/>
  <c r="A1358" i="1"/>
  <c r="K1357" i="1"/>
  <c r="H1357" i="1"/>
  <c r="G1357" i="1"/>
  <c r="F1357" i="1"/>
  <c r="E1357" i="1"/>
  <c r="D1357" i="1"/>
  <c r="C1357" i="1"/>
  <c r="A1357" i="1"/>
  <c r="K1356" i="1"/>
  <c r="H1356" i="1"/>
  <c r="G1356" i="1"/>
  <c r="F1356" i="1"/>
  <c r="E1356" i="1"/>
  <c r="D1356" i="1"/>
  <c r="C1356" i="1"/>
  <c r="A1356" i="1"/>
  <c r="K1355" i="1"/>
  <c r="H1355" i="1"/>
  <c r="G1355" i="1"/>
  <c r="F1355" i="1"/>
  <c r="E1355" i="1"/>
  <c r="D1355" i="1"/>
  <c r="C1355" i="1"/>
  <c r="A1355" i="1"/>
  <c r="K1354" i="1"/>
  <c r="H1354" i="1"/>
  <c r="G1354" i="1"/>
  <c r="F1354" i="1"/>
  <c r="E1354" i="1"/>
  <c r="D1354" i="1"/>
  <c r="C1354" i="1"/>
  <c r="A1354" i="1"/>
  <c r="K1353" i="1"/>
  <c r="H1353" i="1"/>
  <c r="G1353" i="1"/>
  <c r="F1353" i="1"/>
  <c r="E1353" i="1"/>
  <c r="D1353" i="1"/>
  <c r="C1353" i="1"/>
  <c r="A1353" i="1"/>
  <c r="K1352" i="1"/>
  <c r="H1352" i="1"/>
  <c r="G1352" i="1"/>
  <c r="F1352" i="1"/>
  <c r="E1352" i="1"/>
  <c r="D1352" i="1"/>
  <c r="C1352" i="1"/>
  <c r="A1352" i="1"/>
  <c r="K1351" i="1"/>
  <c r="H1351" i="1"/>
  <c r="G1351" i="1"/>
  <c r="F1351" i="1"/>
  <c r="E1351" i="1"/>
  <c r="D1351" i="1"/>
  <c r="C1351" i="1"/>
  <c r="A1351" i="1"/>
  <c r="M1350" i="1"/>
  <c r="L1350" i="1"/>
  <c r="K1350" i="1"/>
  <c r="H1350" i="1"/>
  <c r="G1350" i="1"/>
  <c r="F1350" i="1"/>
  <c r="E1350" i="1"/>
  <c r="D1350" i="1"/>
  <c r="C1350" i="1"/>
  <c r="A1350" i="1"/>
  <c r="M1349" i="1"/>
  <c r="K1349" i="1"/>
  <c r="I1349" i="1"/>
  <c r="H1349" i="1"/>
  <c r="G1349" i="1"/>
  <c r="F1349" i="1"/>
  <c r="E1349" i="1"/>
  <c r="D1349" i="1"/>
  <c r="C1349" i="1"/>
  <c r="A1349" i="1"/>
  <c r="K1348" i="1"/>
  <c r="H1348" i="1"/>
  <c r="G1348" i="1"/>
  <c r="F1348" i="1"/>
  <c r="E1348" i="1"/>
  <c r="D1348" i="1"/>
  <c r="C1348" i="1"/>
  <c r="A1348" i="1"/>
  <c r="L1347" i="1"/>
  <c r="K1347" i="1"/>
  <c r="H1347" i="1"/>
  <c r="G1347" i="1"/>
  <c r="F1347" i="1"/>
  <c r="E1347" i="1"/>
  <c r="D1347" i="1"/>
  <c r="C1347" i="1"/>
  <c r="A1347" i="1"/>
  <c r="M1346" i="1"/>
  <c r="K1346" i="1"/>
  <c r="H1346" i="1"/>
  <c r="G1346" i="1"/>
  <c r="F1346" i="1"/>
  <c r="E1346" i="1"/>
  <c r="D1346" i="1"/>
  <c r="C1346" i="1"/>
  <c r="A1346" i="1"/>
  <c r="L1345" i="1"/>
  <c r="K1345" i="1"/>
  <c r="H1345" i="1"/>
  <c r="G1345" i="1"/>
  <c r="F1345" i="1"/>
  <c r="E1345" i="1"/>
  <c r="D1345" i="1"/>
  <c r="C1345" i="1"/>
  <c r="A1345" i="1"/>
  <c r="L1344" i="1"/>
  <c r="K1344" i="1"/>
  <c r="H1344" i="1"/>
  <c r="G1344" i="1"/>
  <c r="F1344" i="1"/>
  <c r="E1344" i="1"/>
  <c r="D1344" i="1"/>
  <c r="C1344" i="1"/>
  <c r="A1344" i="1"/>
  <c r="K1343" i="1"/>
  <c r="H1343" i="1"/>
  <c r="G1343" i="1"/>
  <c r="F1343" i="1"/>
  <c r="E1343" i="1"/>
  <c r="D1343" i="1"/>
  <c r="C1343" i="1"/>
  <c r="A1343" i="1"/>
  <c r="K1342" i="1"/>
  <c r="H1342" i="1"/>
  <c r="G1342" i="1"/>
  <c r="F1342" i="1"/>
  <c r="E1342" i="1"/>
  <c r="D1342" i="1"/>
  <c r="C1342" i="1"/>
  <c r="A1342" i="1"/>
  <c r="K1341" i="1"/>
  <c r="H1341" i="1"/>
  <c r="G1341" i="1"/>
  <c r="F1341" i="1"/>
  <c r="E1341" i="1"/>
  <c r="D1341" i="1"/>
  <c r="C1341" i="1"/>
  <c r="A1341" i="1"/>
  <c r="K1340" i="1"/>
  <c r="H1340" i="1"/>
  <c r="G1340" i="1"/>
  <c r="F1340" i="1"/>
  <c r="E1340" i="1"/>
  <c r="D1340" i="1"/>
  <c r="C1340" i="1"/>
  <c r="A1340" i="1"/>
  <c r="M1339" i="1"/>
  <c r="K1339" i="1"/>
  <c r="I1339" i="1"/>
  <c r="H1339" i="1"/>
  <c r="G1339" i="1"/>
  <c r="F1339" i="1"/>
  <c r="E1339" i="1"/>
  <c r="D1339" i="1"/>
  <c r="C1339" i="1"/>
  <c r="A1339" i="1"/>
  <c r="K1338" i="1"/>
  <c r="H1338" i="1"/>
  <c r="G1338" i="1"/>
  <c r="F1338" i="1"/>
  <c r="E1338" i="1"/>
  <c r="D1338" i="1"/>
  <c r="C1338" i="1"/>
  <c r="A1338" i="1"/>
  <c r="M1337" i="1"/>
  <c r="K1337" i="1"/>
  <c r="H1337" i="1"/>
  <c r="G1337" i="1"/>
  <c r="F1337" i="1"/>
  <c r="E1337" i="1"/>
  <c r="D1337" i="1"/>
  <c r="C1337" i="1"/>
  <c r="A1337" i="1"/>
  <c r="K1336" i="1"/>
  <c r="H1336" i="1"/>
  <c r="G1336" i="1"/>
  <c r="F1336" i="1"/>
  <c r="E1336" i="1"/>
  <c r="D1336" i="1"/>
  <c r="C1336" i="1"/>
  <c r="A1336" i="1"/>
  <c r="M1335" i="1"/>
  <c r="K1335" i="1"/>
  <c r="J1335" i="1"/>
  <c r="H1335" i="1"/>
  <c r="F1335" i="1"/>
  <c r="E1335" i="1"/>
  <c r="D1335" i="1"/>
  <c r="C1335" i="1"/>
  <c r="A1335" i="1"/>
  <c r="M1334" i="1"/>
  <c r="K1334" i="1"/>
  <c r="J1334" i="1"/>
  <c r="H1334" i="1"/>
  <c r="F1334" i="1"/>
  <c r="E1334" i="1"/>
  <c r="D1334" i="1"/>
  <c r="C1334" i="1"/>
  <c r="A1334" i="1"/>
  <c r="K1333" i="1"/>
  <c r="H1333" i="1"/>
  <c r="G1333" i="1"/>
  <c r="F1333" i="1"/>
  <c r="E1333" i="1"/>
  <c r="D1333" i="1"/>
  <c r="C1333" i="1"/>
  <c r="A1333" i="1"/>
  <c r="K1332" i="1"/>
  <c r="H1332" i="1"/>
  <c r="G1332" i="1"/>
  <c r="F1332" i="1"/>
  <c r="E1332" i="1"/>
  <c r="D1332" i="1"/>
  <c r="C1332" i="1"/>
  <c r="A1332" i="1"/>
  <c r="K1331" i="1"/>
  <c r="H1331" i="1"/>
  <c r="G1331" i="1"/>
  <c r="F1331" i="1"/>
  <c r="E1331" i="1"/>
  <c r="D1331" i="1"/>
  <c r="C1331" i="1"/>
  <c r="A1331" i="1"/>
  <c r="K1330" i="1"/>
  <c r="H1330" i="1"/>
  <c r="G1330" i="1"/>
  <c r="F1330" i="1"/>
  <c r="E1330" i="1"/>
  <c r="D1330" i="1"/>
  <c r="C1330" i="1"/>
  <c r="A1330" i="1"/>
  <c r="K1329" i="1"/>
  <c r="H1329" i="1"/>
  <c r="G1329" i="1"/>
  <c r="F1329" i="1"/>
  <c r="E1329" i="1"/>
  <c r="D1329" i="1"/>
  <c r="C1329" i="1"/>
  <c r="A1329" i="1"/>
  <c r="K1328" i="1"/>
  <c r="H1328" i="1"/>
  <c r="G1328" i="1"/>
  <c r="F1328" i="1"/>
  <c r="E1328" i="1"/>
  <c r="D1328" i="1"/>
  <c r="C1328" i="1"/>
  <c r="A1328" i="1"/>
  <c r="K1327" i="1"/>
  <c r="H1327" i="1"/>
  <c r="F1327" i="1"/>
  <c r="E1327" i="1"/>
  <c r="D1327" i="1"/>
  <c r="C1327" i="1"/>
  <c r="A1327" i="1"/>
  <c r="M1326" i="1"/>
  <c r="K1326" i="1"/>
  <c r="H1326" i="1"/>
  <c r="G1326" i="1"/>
  <c r="F1326" i="1"/>
  <c r="E1326" i="1"/>
  <c r="D1326" i="1"/>
  <c r="C1326" i="1"/>
  <c r="A1326" i="1"/>
  <c r="M1325" i="1"/>
  <c r="K1325" i="1"/>
  <c r="J1325" i="1"/>
  <c r="I1325" i="1"/>
  <c r="H1325" i="1"/>
  <c r="F1325" i="1"/>
  <c r="E1325" i="1"/>
  <c r="D1325" i="1"/>
  <c r="C1325" i="1"/>
  <c r="A1325" i="1"/>
  <c r="M1324" i="1"/>
  <c r="K1324" i="1"/>
  <c r="H1324" i="1"/>
  <c r="G1324" i="1"/>
  <c r="F1324" i="1"/>
  <c r="E1324" i="1"/>
  <c r="D1324" i="1"/>
  <c r="C1324" i="1"/>
  <c r="A1324" i="1"/>
  <c r="M1323" i="1"/>
  <c r="K1323" i="1"/>
  <c r="J1323" i="1"/>
  <c r="H1323" i="1"/>
  <c r="F1323" i="1"/>
  <c r="E1323" i="1"/>
  <c r="D1323" i="1"/>
  <c r="C1323" i="1"/>
  <c r="A1323" i="1"/>
  <c r="K1322" i="1"/>
  <c r="H1322" i="1"/>
  <c r="G1322" i="1"/>
  <c r="F1322" i="1"/>
  <c r="E1322" i="1"/>
  <c r="D1322" i="1"/>
  <c r="C1322" i="1"/>
  <c r="A1322" i="1"/>
  <c r="K1321" i="1"/>
  <c r="H1321" i="1"/>
  <c r="F1321" i="1"/>
  <c r="E1321" i="1"/>
  <c r="D1321" i="1"/>
  <c r="C1321" i="1"/>
  <c r="A1321" i="1"/>
  <c r="M1320" i="1"/>
  <c r="L1320" i="1"/>
  <c r="K1320" i="1"/>
  <c r="H1320" i="1"/>
  <c r="G1320" i="1"/>
  <c r="F1320" i="1"/>
  <c r="E1320" i="1"/>
  <c r="D1320" i="1"/>
  <c r="C1320" i="1"/>
  <c r="A1320" i="1"/>
  <c r="M1319" i="1"/>
  <c r="L1319" i="1"/>
  <c r="K1319" i="1"/>
  <c r="H1319" i="1"/>
  <c r="G1319" i="1"/>
  <c r="F1319" i="1"/>
  <c r="E1319" i="1"/>
  <c r="D1319" i="1"/>
  <c r="C1319" i="1"/>
  <c r="A1319" i="1"/>
  <c r="L1318" i="1"/>
  <c r="K1318" i="1"/>
  <c r="H1318" i="1"/>
  <c r="G1318" i="1"/>
  <c r="F1318" i="1"/>
  <c r="E1318" i="1"/>
  <c r="D1318" i="1"/>
  <c r="C1318" i="1"/>
  <c r="A1318" i="1"/>
  <c r="M1317" i="1"/>
  <c r="L1317" i="1"/>
  <c r="K1317" i="1"/>
  <c r="H1317" i="1"/>
  <c r="G1317" i="1"/>
  <c r="F1317" i="1"/>
  <c r="E1317" i="1"/>
  <c r="D1317" i="1"/>
  <c r="C1317" i="1"/>
  <c r="A1317" i="1"/>
  <c r="M1316" i="1"/>
  <c r="K1316" i="1"/>
  <c r="H1316" i="1"/>
  <c r="G1316" i="1"/>
  <c r="F1316" i="1"/>
  <c r="E1316" i="1"/>
  <c r="D1316" i="1"/>
  <c r="C1316" i="1"/>
  <c r="A1316" i="1"/>
  <c r="M1315" i="1"/>
  <c r="K1315" i="1"/>
  <c r="H1315" i="1"/>
  <c r="G1315" i="1"/>
  <c r="F1315" i="1"/>
  <c r="E1315" i="1"/>
  <c r="D1315" i="1"/>
  <c r="C1315" i="1"/>
  <c r="A1315" i="1"/>
  <c r="K1314" i="1"/>
  <c r="H1314" i="1"/>
  <c r="G1314" i="1"/>
  <c r="F1314" i="1"/>
  <c r="E1314" i="1"/>
  <c r="D1314" i="1"/>
  <c r="C1314" i="1"/>
  <c r="A1314" i="1"/>
  <c r="M1313" i="1"/>
  <c r="K1313" i="1"/>
  <c r="H1313" i="1"/>
  <c r="G1313" i="1"/>
  <c r="F1313" i="1"/>
  <c r="E1313" i="1"/>
  <c r="D1313" i="1"/>
  <c r="C1313" i="1"/>
  <c r="A1313" i="1"/>
  <c r="M1312" i="1"/>
  <c r="K1312" i="1"/>
  <c r="J1312" i="1"/>
  <c r="H1312" i="1"/>
  <c r="F1312" i="1"/>
  <c r="E1312" i="1"/>
  <c r="D1312" i="1"/>
  <c r="C1312" i="1"/>
  <c r="A1312" i="1"/>
  <c r="M1311" i="1"/>
  <c r="K1311" i="1"/>
  <c r="J1311" i="1"/>
  <c r="I1311" i="1"/>
  <c r="H1311" i="1"/>
  <c r="F1311" i="1"/>
  <c r="E1311" i="1"/>
  <c r="D1311" i="1"/>
  <c r="C1311" i="1"/>
  <c r="A1311" i="1"/>
  <c r="H1310" i="1"/>
  <c r="G1310" i="1"/>
  <c r="F1310" i="1"/>
  <c r="E1310" i="1"/>
  <c r="D1310" i="1"/>
  <c r="C1310" i="1"/>
  <c r="A1310" i="1"/>
  <c r="M1309" i="1"/>
  <c r="K1309" i="1"/>
  <c r="J1309" i="1"/>
  <c r="H1309" i="1"/>
  <c r="F1309" i="1"/>
  <c r="E1309" i="1"/>
  <c r="D1309" i="1"/>
  <c r="C1309" i="1"/>
  <c r="A1309" i="1"/>
  <c r="M1308" i="1"/>
  <c r="K1308" i="1"/>
  <c r="J1308" i="1"/>
  <c r="H1308" i="1"/>
  <c r="F1308" i="1"/>
  <c r="E1308" i="1"/>
  <c r="D1308" i="1"/>
  <c r="C1308" i="1"/>
  <c r="A1308" i="1"/>
  <c r="M1307" i="1"/>
  <c r="K1307" i="1"/>
  <c r="H1307" i="1"/>
  <c r="G1307" i="1"/>
  <c r="F1307" i="1"/>
  <c r="E1307" i="1"/>
  <c r="D1307" i="1"/>
  <c r="C1307" i="1"/>
  <c r="A1307" i="1"/>
  <c r="M1306" i="1"/>
  <c r="K1306" i="1"/>
  <c r="H1306" i="1"/>
  <c r="G1306" i="1"/>
  <c r="F1306" i="1"/>
  <c r="E1306" i="1"/>
  <c r="D1306" i="1"/>
  <c r="C1306" i="1"/>
  <c r="A1306" i="1"/>
  <c r="M1305" i="1"/>
  <c r="K1305" i="1"/>
  <c r="J1305" i="1"/>
  <c r="H1305" i="1"/>
  <c r="F1305" i="1"/>
  <c r="E1305" i="1"/>
  <c r="D1305" i="1"/>
  <c r="C1305" i="1"/>
  <c r="A1305" i="1"/>
  <c r="M1304" i="1"/>
  <c r="K1304" i="1"/>
  <c r="H1304" i="1"/>
  <c r="G1304" i="1"/>
  <c r="F1304" i="1"/>
  <c r="E1304" i="1"/>
  <c r="D1304" i="1"/>
  <c r="C1304" i="1"/>
  <c r="A1304" i="1"/>
  <c r="K1303" i="1"/>
  <c r="J1303" i="1"/>
  <c r="H1303" i="1"/>
  <c r="F1303" i="1"/>
  <c r="E1303" i="1"/>
  <c r="D1303" i="1"/>
  <c r="C1303" i="1"/>
  <c r="A1303" i="1"/>
  <c r="M1302" i="1"/>
  <c r="H1302" i="1"/>
  <c r="G1302" i="1"/>
  <c r="F1302" i="1"/>
  <c r="E1302" i="1"/>
  <c r="D1302" i="1"/>
  <c r="C1302" i="1"/>
  <c r="A1302" i="1"/>
  <c r="M1301" i="1"/>
  <c r="K1301" i="1"/>
  <c r="H1301" i="1"/>
  <c r="G1301" i="1"/>
  <c r="F1301" i="1"/>
  <c r="E1301" i="1"/>
  <c r="D1301" i="1"/>
  <c r="C1301" i="1"/>
  <c r="A1301" i="1"/>
  <c r="M1300" i="1"/>
  <c r="J1300" i="1"/>
  <c r="H1300" i="1"/>
  <c r="F1300" i="1"/>
  <c r="E1300" i="1"/>
  <c r="D1300" i="1"/>
  <c r="C1300" i="1"/>
  <c r="A1300" i="1"/>
  <c r="L1299" i="1"/>
  <c r="K1299" i="1"/>
  <c r="H1299" i="1"/>
  <c r="G1299" i="1"/>
  <c r="F1299" i="1"/>
  <c r="E1299" i="1"/>
  <c r="D1299" i="1"/>
  <c r="C1299" i="1"/>
  <c r="A1299" i="1"/>
  <c r="L1298" i="1"/>
  <c r="K1298" i="1"/>
  <c r="H1298" i="1"/>
  <c r="G1298" i="1"/>
  <c r="F1298" i="1"/>
  <c r="E1298" i="1"/>
  <c r="D1298" i="1"/>
  <c r="C1298" i="1"/>
  <c r="A1298" i="1"/>
  <c r="L1297" i="1"/>
  <c r="K1297" i="1"/>
  <c r="H1297" i="1"/>
  <c r="G1297" i="1"/>
  <c r="F1297" i="1"/>
  <c r="E1297" i="1"/>
  <c r="D1297" i="1"/>
  <c r="C1297" i="1"/>
  <c r="A1297" i="1"/>
  <c r="M1296" i="1"/>
  <c r="L1296" i="1"/>
  <c r="K1296" i="1"/>
  <c r="H1296" i="1"/>
  <c r="G1296" i="1"/>
  <c r="F1296" i="1"/>
  <c r="E1296" i="1"/>
  <c r="D1296" i="1"/>
  <c r="C1296" i="1"/>
  <c r="A1296" i="1"/>
  <c r="L1295" i="1"/>
  <c r="K1295" i="1"/>
  <c r="H1295" i="1"/>
  <c r="G1295" i="1"/>
  <c r="F1295" i="1"/>
  <c r="E1295" i="1"/>
  <c r="D1295" i="1"/>
  <c r="C1295" i="1"/>
  <c r="A1295" i="1"/>
  <c r="M1294" i="1"/>
  <c r="L1294" i="1"/>
  <c r="K1294" i="1"/>
  <c r="H1294" i="1"/>
  <c r="G1294" i="1"/>
  <c r="F1294" i="1"/>
  <c r="E1294" i="1"/>
  <c r="D1294" i="1"/>
  <c r="C1294" i="1"/>
  <c r="A1294" i="1"/>
  <c r="M1293" i="1"/>
  <c r="L1293" i="1"/>
  <c r="K1293" i="1"/>
  <c r="H1293" i="1"/>
  <c r="G1293" i="1"/>
  <c r="F1293" i="1"/>
  <c r="E1293" i="1"/>
  <c r="D1293" i="1"/>
  <c r="C1293" i="1"/>
  <c r="A1293" i="1"/>
  <c r="L1292" i="1"/>
  <c r="K1292" i="1"/>
  <c r="H1292" i="1"/>
  <c r="G1292" i="1"/>
  <c r="F1292" i="1"/>
  <c r="E1292" i="1"/>
  <c r="D1292" i="1"/>
  <c r="C1292" i="1"/>
  <c r="A1292" i="1"/>
  <c r="M1291" i="1"/>
  <c r="L1291" i="1"/>
  <c r="K1291" i="1"/>
  <c r="H1291" i="1"/>
  <c r="G1291" i="1"/>
  <c r="F1291" i="1"/>
  <c r="E1291" i="1"/>
  <c r="D1291" i="1"/>
  <c r="C1291" i="1"/>
  <c r="A1291" i="1"/>
  <c r="M1290" i="1"/>
  <c r="L1290" i="1"/>
  <c r="K1290" i="1"/>
  <c r="H1290" i="1"/>
  <c r="G1290" i="1"/>
  <c r="F1290" i="1"/>
  <c r="E1290" i="1"/>
  <c r="D1290" i="1"/>
  <c r="C1290" i="1"/>
  <c r="A1290" i="1"/>
  <c r="L1289" i="1"/>
  <c r="K1289" i="1"/>
  <c r="H1289" i="1"/>
  <c r="G1289" i="1"/>
  <c r="F1289" i="1"/>
  <c r="E1289" i="1"/>
  <c r="D1289" i="1"/>
  <c r="C1289" i="1"/>
  <c r="A1289" i="1"/>
  <c r="L1288" i="1"/>
  <c r="K1288" i="1"/>
  <c r="H1288" i="1"/>
  <c r="G1288" i="1"/>
  <c r="F1288" i="1"/>
  <c r="E1288" i="1"/>
  <c r="D1288" i="1"/>
  <c r="C1288" i="1"/>
  <c r="A1288" i="1"/>
  <c r="M1287" i="1"/>
  <c r="L1287" i="1"/>
  <c r="K1287" i="1"/>
  <c r="H1287" i="1"/>
  <c r="G1287" i="1"/>
  <c r="F1287" i="1"/>
  <c r="E1287" i="1"/>
  <c r="D1287" i="1"/>
  <c r="C1287" i="1"/>
  <c r="A1287" i="1"/>
  <c r="L1286" i="1"/>
  <c r="K1286" i="1"/>
  <c r="H1286" i="1"/>
  <c r="G1286" i="1"/>
  <c r="F1286" i="1"/>
  <c r="E1286" i="1"/>
  <c r="D1286" i="1"/>
  <c r="C1286" i="1"/>
  <c r="A1286" i="1"/>
  <c r="L1285" i="1"/>
  <c r="K1285" i="1"/>
  <c r="H1285" i="1"/>
  <c r="G1285" i="1"/>
  <c r="F1285" i="1"/>
  <c r="E1285" i="1"/>
  <c r="D1285" i="1"/>
  <c r="C1285" i="1"/>
  <c r="A1285" i="1"/>
  <c r="L1284" i="1"/>
  <c r="K1284" i="1"/>
  <c r="H1284" i="1"/>
  <c r="G1284" i="1"/>
  <c r="F1284" i="1"/>
  <c r="E1284" i="1"/>
  <c r="D1284" i="1"/>
  <c r="C1284" i="1"/>
  <c r="A1284" i="1"/>
  <c r="L1283" i="1"/>
  <c r="K1283" i="1"/>
  <c r="H1283" i="1"/>
  <c r="G1283" i="1"/>
  <c r="F1283" i="1"/>
  <c r="E1283" i="1"/>
  <c r="D1283" i="1"/>
  <c r="C1283" i="1"/>
  <c r="A1283" i="1"/>
  <c r="L1282" i="1"/>
  <c r="K1282" i="1"/>
  <c r="H1282" i="1"/>
  <c r="G1282" i="1"/>
  <c r="F1282" i="1"/>
  <c r="E1282" i="1"/>
  <c r="D1282" i="1"/>
  <c r="C1282" i="1"/>
  <c r="A1282" i="1"/>
  <c r="L1281" i="1"/>
  <c r="K1281" i="1"/>
  <c r="H1281" i="1"/>
  <c r="G1281" i="1"/>
  <c r="F1281" i="1"/>
  <c r="E1281" i="1"/>
  <c r="D1281" i="1"/>
  <c r="C1281" i="1"/>
  <c r="A1281" i="1"/>
  <c r="L1280" i="1"/>
  <c r="K1280" i="1"/>
  <c r="H1280" i="1"/>
  <c r="G1280" i="1"/>
  <c r="F1280" i="1"/>
  <c r="E1280" i="1"/>
  <c r="D1280" i="1"/>
  <c r="C1280" i="1"/>
  <c r="A1280" i="1"/>
  <c r="H1279" i="1"/>
  <c r="G1279" i="1"/>
  <c r="E1279" i="1"/>
  <c r="D1279" i="1"/>
  <c r="C1279" i="1"/>
  <c r="A1279" i="1"/>
  <c r="L1278" i="1"/>
  <c r="K1278" i="1"/>
  <c r="H1278" i="1"/>
  <c r="G1278" i="1"/>
  <c r="F1278" i="1"/>
  <c r="E1278" i="1"/>
  <c r="D1278" i="1"/>
  <c r="C1278" i="1"/>
  <c r="A1278" i="1"/>
  <c r="H1277" i="1"/>
  <c r="F1277" i="1"/>
  <c r="E1277" i="1"/>
  <c r="D1277" i="1"/>
  <c r="C1277" i="1"/>
  <c r="A1277" i="1"/>
  <c r="L1276" i="1"/>
  <c r="K1276" i="1"/>
  <c r="H1276" i="1"/>
  <c r="G1276" i="1"/>
  <c r="F1276" i="1"/>
  <c r="E1276" i="1"/>
  <c r="D1276" i="1"/>
  <c r="C1276" i="1"/>
  <c r="A1276" i="1"/>
  <c r="L1275" i="1"/>
  <c r="K1275" i="1"/>
  <c r="H1275" i="1"/>
  <c r="G1275" i="1"/>
  <c r="F1275" i="1"/>
  <c r="E1275" i="1"/>
  <c r="D1275" i="1"/>
  <c r="C1275" i="1"/>
  <c r="A1275" i="1"/>
  <c r="M1274" i="1"/>
  <c r="L1274" i="1"/>
  <c r="K1274" i="1"/>
  <c r="H1274" i="1"/>
  <c r="G1274" i="1"/>
  <c r="F1274" i="1"/>
  <c r="E1274" i="1"/>
  <c r="D1274" i="1"/>
  <c r="C1274" i="1"/>
  <c r="A1274" i="1"/>
  <c r="L1273" i="1"/>
  <c r="K1273" i="1"/>
  <c r="H1273" i="1"/>
  <c r="G1273" i="1"/>
  <c r="F1273" i="1"/>
  <c r="E1273" i="1"/>
  <c r="D1273" i="1"/>
  <c r="C1273" i="1"/>
  <c r="A1273" i="1"/>
  <c r="M1272" i="1"/>
  <c r="L1272" i="1"/>
  <c r="K1272" i="1"/>
  <c r="H1272" i="1"/>
  <c r="G1272" i="1"/>
  <c r="F1272" i="1"/>
  <c r="E1272" i="1"/>
  <c r="D1272" i="1"/>
  <c r="C1272" i="1"/>
  <c r="A1272" i="1"/>
  <c r="L1271" i="1"/>
  <c r="K1271" i="1"/>
  <c r="H1271" i="1"/>
  <c r="G1271" i="1"/>
  <c r="F1271" i="1"/>
  <c r="E1271" i="1"/>
  <c r="D1271" i="1"/>
  <c r="C1271" i="1"/>
  <c r="A1271" i="1"/>
  <c r="L1270" i="1"/>
  <c r="K1270" i="1"/>
  <c r="H1270" i="1"/>
  <c r="G1270" i="1"/>
  <c r="F1270" i="1"/>
  <c r="E1270" i="1"/>
  <c r="D1270" i="1"/>
  <c r="C1270" i="1"/>
  <c r="A1270" i="1"/>
  <c r="L1269" i="1"/>
  <c r="K1269" i="1"/>
  <c r="H1269" i="1"/>
  <c r="G1269" i="1"/>
  <c r="F1269" i="1"/>
  <c r="E1269" i="1"/>
  <c r="D1269" i="1"/>
  <c r="C1269" i="1"/>
  <c r="A1269" i="1"/>
  <c r="M1268" i="1"/>
  <c r="L1268" i="1"/>
  <c r="K1268" i="1"/>
  <c r="H1268" i="1"/>
  <c r="G1268" i="1"/>
  <c r="F1268" i="1"/>
  <c r="E1268" i="1"/>
  <c r="D1268" i="1"/>
  <c r="C1268" i="1"/>
  <c r="A1268" i="1"/>
  <c r="M1267" i="1"/>
  <c r="L1267" i="1"/>
  <c r="K1267" i="1"/>
  <c r="H1267" i="1"/>
  <c r="G1267" i="1"/>
  <c r="F1267" i="1"/>
  <c r="E1267" i="1"/>
  <c r="D1267" i="1"/>
  <c r="C1267" i="1"/>
  <c r="A1267" i="1"/>
  <c r="L1266" i="1"/>
  <c r="K1266" i="1"/>
  <c r="H1266" i="1"/>
  <c r="G1266" i="1"/>
  <c r="F1266" i="1"/>
  <c r="E1266" i="1"/>
  <c r="D1266" i="1"/>
  <c r="C1266" i="1"/>
  <c r="A1266" i="1"/>
  <c r="M1265" i="1"/>
  <c r="L1265" i="1"/>
  <c r="K1265" i="1"/>
  <c r="H1265" i="1"/>
  <c r="G1265" i="1"/>
  <c r="F1265" i="1"/>
  <c r="E1265" i="1"/>
  <c r="D1265" i="1"/>
  <c r="C1265" i="1"/>
  <c r="A1265" i="1"/>
  <c r="L1264" i="1"/>
  <c r="K1264" i="1"/>
  <c r="H1264" i="1"/>
  <c r="G1264" i="1"/>
  <c r="F1264" i="1"/>
  <c r="E1264" i="1"/>
  <c r="D1264" i="1"/>
  <c r="C1264" i="1"/>
  <c r="A1264" i="1"/>
  <c r="L1263" i="1"/>
  <c r="K1263" i="1"/>
  <c r="H1263" i="1"/>
  <c r="G1263" i="1"/>
  <c r="F1263" i="1"/>
  <c r="E1263" i="1"/>
  <c r="D1263" i="1"/>
  <c r="C1263" i="1"/>
  <c r="A1263" i="1"/>
  <c r="M1262" i="1"/>
  <c r="L1262" i="1"/>
  <c r="K1262" i="1"/>
  <c r="H1262" i="1"/>
  <c r="G1262" i="1"/>
  <c r="F1262" i="1"/>
  <c r="E1262" i="1"/>
  <c r="D1262" i="1"/>
  <c r="C1262" i="1"/>
  <c r="A1262" i="1"/>
  <c r="L1261" i="1"/>
  <c r="K1261" i="1"/>
  <c r="H1261" i="1"/>
  <c r="G1261" i="1"/>
  <c r="F1261" i="1"/>
  <c r="E1261" i="1"/>
  <c r="D1261" i="1"/>
  <c r="C1261" i="1"/>
  <c r="A1261" i="1"/>
  <c r="M1260" i="1"/>
  <c r="L1260" i="1"/>
  <c r="K1260" i="1"/>
  <c r="H1260" i="1"/>
  <c r="G1260" i="1"/>
  <c r="F1260" i="1"/>
  <c r="E1260" i="1"/>
  <c r="D1260" i="1"/>
  <c r="C1260" i="1"/>
  <c r="A1260" i="1"/>
  <c r="M1259" i="1"/>
  <c r="L1259" i="1"/>
  <c r="K1259" i="1"/>
  <c r="H1259" i="1"/>
  <c r="G1259" i="1"/>
  <c r="F1259" i="1"/>
  <c r="E1259" i="1"/>
  <c r="D1259" i="1"/>
  <c r="C1259" i="1"/>
  <c r="A1259" i="1"/>
  <c r="L1258" i="1"/>
  <c r="K1258" i="1"/>
  <c r="H1258" i="1"/>
  <c r="G1258" i="1"/>
  <c r="F1258" i="1"/>
  <c r="E1258" i="1"/>
  <c r="D1258" i="1"/>
  <c r="C1258" i="1"/>
  <c r="A1258" i="1"/>
  <c r="M1257" i="1"/>
  <c r="L1257" i="1"/>
  <c r="K1257" i="1"/>
  <c r="I1257" i="1"/>
  <c r="H1257" i="1"/>
  <c r="G1257" i="1"/>
  <c r="F1257" i="1"/>
  <c r="E1257" i="1"/>
  <c r="D1257" i="1"/>
  <c r="C1257" i="1"/>
  <c r="A1257" i="1"/>
  <c r="L1256" i="1"/>
  <c r="K1256" i="1"/>
  <c r="H1256" i="1"/>
  <c r="G1256" i="1"/>
  <c r="F1256" i="1"/>
  <c r="E1256" i="1"/>
  <c r="D1256" i="1"/>
  <c r="C1256" i="1"/>
  <c r="A1256" i="1"/>
  <c r="L1255" i="1"/>
  <c r="K1255" i="1"/>
  <c r="H1255" i="1"/>
  <c r="G1255" i="1"/>
  <c r="F1255" i="1"/>
  <c r="E1255" i="1"/>
  <c r="D1255" i="1"/>
  <c r="C1255" i="1"/>
  <c r="A1255" i="1"/>
  <c r="L1254" i="1"/>
  <c r="K1254" i="1"/>
  <c r="H1254" i="1"/>
  <c r="G1254" i="1"/>
  <c r="F1254" i="1"/>
  <c r="E1254" i="1"/>
  <c r="D1254" i="1"/>
  <c r="C1254" i="1"/>
  <c r="A1254" i="1"/>
  <c r="K1253" i="1"/>
  <c r="H1253" i="1"/>
  <c r="G1253" i="1"/>
  <c r="F1253" i="1"/>
  <c r="E1253" i="1"/>
  <c r="D1253" i="1"/>
  <c r="C1253" i="1"/>
  <c r="A1253" i="1"/>
  <c r="M1252" i="1"/>
  <c r="K1252" i="1"/>
  <c r="J1252" i="1"/>
  <c r="H1252" i="1"/>
  <c r="F1252" i="1"/>
  <c r="E1252" i="1"/>
  <c r="D1252" i="1"/>
  <c r="C1252" i="1"/>
  <c r="A1252" i="1"/>
  <c r="L1251" i="1"/>
  <c r="K1251" i="1"/>
  <c r="H1251" i="1"/>
  <c r="G1251" i="1"/>
  <c r="F1251" i="1"/>
  <c r="E1251" i="1"/>
  <c r="D1251" i="1"/>
  <c r="C1251" i="1"/>
  <c r="A1251" i="1"/>
  <c r="M1250" i="1"/>
  <c r="L1250" i="1"/>
  <c r="K1250" i="1"/>
  <c r="H1250" i="1"/>
  <c r="G1250" i="1"/>
  <c r="F1250" i="1"/>
  <c r="E1250" i="1"/>
  <c r="D1250" i="1"/>
  <c r="C1250" i="1"/>
  <c r="A1250" i="1"/>
  <c r="L1249" i="1"/>
  <c r="K1249" i="1"/>
  <c r="H1249" i="1"/>
  <c r="G1249" i="1"/>
  <c r="F1249" i="1"/>
  <c r="E1249" i="1"/>
  <c r="D1249" i="1"/>
  <c r="C1249" i="1"/>
  <c r="A1249" i="1"/>
  <c r="L1248" i="1"/>
  <c r="K1248" i="1"/>
  <c r="H1248" i="1"/>
  <c r="G1248" i="1"/>
  <c r="F1248" i="1"/>
  <c r="E1248" i="1"/>
  <c r="D1248" i="1"/>
  <c r="C1248" i="1"/>
  <c r="A1248" i="1"/>
  <c r="M1247" i="1"/>
  <c r="L1247" i="1"/>
  <c r="K1247" i="1"/>
  <c r="H1247" i="1"/>
  <c r="G1247" i="1"/>
  <c r="F1247" i="1"/>
  <c r="E1247" i="1"/>
  <c r="D1247" i="1"/>
  <c r="C1247" i="1"/>
  <c r="A1247" i="1"/>
  <c r="L1246" i="1"/>
  <c r="K1246" i="1"/>
  <c r="H1246" i="1"/>
  <c r="G1246" i="1"/>
  <c r="F1246" i="1"/>
  <c r="E1246" i="1"/>
  <c r="D1246" i="1"/>
  <c r="C1246" i="1"/>
  <c r="A1246" i="1"/>
  <c r="L1245" i="1"/>
  <c r="K1245" i="1"/>
  <c r="H1245" i="1"/>
  <c r="G1245" i="1"/>
  <c r="F1245" i="1"/>
  <c r="E1245" i="1"/>
  <c r="D1245" i="1"/>
  <c r="C1245" i="1"/>
  <c r="A1245" i="1"/>
  <c r="M1244" i="1"/>
  <c r="L1244" i="1"/>
  <c r="K1244" i="1"/>
  <c r="H1244" i="1"/>
  <c r="G1244" i="1"/>
  <c r="F1244" i="1"/>
  <c r="E1244" i="1"/>
  <c r="D1244" i="1"/>
  <c r="C1244" i="1"/>
  <c r="A1244" i="1"/>
  <c r="M1243" i="1"/>
  <c r="L1243" i="1"/>
  <c r="K1243" i="1"/>
  <c r="H1243" i="1"/>
  <c r="G1243" i="1"/>
  <c r="F1243" i="1"/>
  <c r="E1243" i="1"/>
  <c r="D1243" i="1"/>
  <c r="C1243" i="1"/>
  <c r="A1243" i="1"/>
  <c r="L1242" i="1"/>
  <c r="K1242" i="1"/>
  <c r="H1242" i="1"/>
  <c r="G1242" i="1"/>
  <c r="F1242" i="1"/>
  <c r="E1242" i="1"/>
  <c r="D1242" i="1"/>
  <c r="C1242" i="1"/>
  <c r="A1242" i="1"/>
  <c r="M1241" i="1"/>
  <c r="L1241" i="1"/>
  <c r="K1241" i="1"/>
  <c r="H1241" i="1"/>
  <c r="G1241" i="1"/>
  <c r="F1241" i="1"/>
  <c r="E1241" i="1"/>
  <c r="D1241" i="1"/>
  <c r="C1241" i="1"/>
  <c r="A1241" i="1"/>
  <c r="L1240" i="1"/>
  <c r="K1240" i="1"/>
  <c r="H1240" i="1"/>
  <c r="G1240" i="1"/>
  <c r="F1240" i="1"/>
  <c r="E1240" i="1"/>
  <c r="D1240" i="1"/>
  <c r="C1240" i="1"/>
  <c r="A1240" i="1"/>
  <c r="M1239" i="1"/>
  <c r="L1239" i="1"/>
  <c r="K1239" i="1"/>
  <c r="H1239" i="1"/>
  <c r="G1239" i="1"/>
  <c r="F1239" i="1"/>
  <c r="E1239" i="1"/>
  <c r="D1239" i="1"/>
  <c r="C1239" i="1"/>
  <c r="A1239" i="1"/>
  <c r="L1238" i="1"/>
  <c r="K1238" i="1"/>
  <c r="H1238" i="1"/>
  <c r="G1238" i="1"/>
  <c r="F1238" i="1"/>
  <c r="E1238" i="1"/>
  <c r="D1238" i="1"/>
  <c r="C1238" i="1"/>
  <c r="A1238" i="1"/>
  <c r="L1237" i="1"/>
  <c r="K1237" i="1"/>
  <c r="H1237" i="1"/>
  <c r="G1237" i="1"/>
  <c r="F1237" i="1"/>
  <c r="E1237" i="1"/>
  <c r="D1237" i="1"/>
  <c r="C1237" i="1"/>
  <c r="A1237" i="1"/>
  <c r="M1236" i="1"/>
  <c r="L1236" i="1"/>
  <c r="K1236" i="1"/>
  <c r="H1236" i="1"/>
  <c r="G1236" i="1"/>
  <c r="F1236" i="1"/>
  <c r="E1236" i="1"/>
  <c r="D1236" i="1"/>
  <c r="C1236" i="1"/>
  <c r="A1236" i="1"/>
  <c r="M1235" i="1"/>
  <c r="L1235" i="1"/>
  <c r="K1235" i="1"/>
  <c r="H1235" i="1"/>
  <c r="G1235" i="1"/>
  <c r="F1235" i="1"/>
  <c r="E1235" i="1"/>
  <c r="D1235" i="1"/>
  <c r="C1235" i="1"/>
  <c r="A1235" i="1"/>
  <c r="L1234" i="1"/>
  <c r="K1234" i="1"/>
  <c r="H1234" i="1"/>
  <c r="G1234" i="1"/>
  <c r="F1234" i="1"/>
  <c r="E1234" i="1"/>
  <c r="D1234" i="1"/>
  <c r="C1234" i="1"/>
  <c r="A1234" i="1"/>
  <c r="L1233" i="1"/>
  <c r="K1233" i="1"/>
  <c r="H1233" i="1"/>
  <c r="G1233" i="1"/>
  <c r="F1233" i="1"/>
  <c r="E1233" i="1"/>
  <c r="D1233" i="1"/>
  <c r="C1233" i="1"/>
  <c r="A1233" i="1"/>
  <c r="L1232" i="1"/>
  <c r="K1232" i="1"/>
  <c r="H1232" i="1"/>
  <c r="G1232" i="1"/>
  <c r="F1232" i="1"/>
  <c r="E1232" i="1"/>
  <c r="D1232" i="1"/>
  <c r="C1232" i="1"/>
  <c r="A1232" i="1"/>
  <c r="L1231" i="1"/>
  <c r="K1231" i="1"/>
  <c r="H1231" i="1"/>
  <c r="G1231" i="1"/>
  <c r="F1231" i="1"/>
  <c r="E1231" i="1"/>
  <c r="D1231" i="1"/>
  <c r="C1231" i="1"/>
  <c r="A1231" i="1"/>
  <c r="L1230" i="1"/>
  <c r="K1230" i="1"/>
  <c r="H1230" i="1"/>
  <c r="G1230" i="1"/>
  <c r="F1230" i="1"/>
  <c r="E1230" i="1"/>
  <c r="D1230" i="1"/>
  <c r="C1230" i="1"/>
  <c r="A1230" i="1"/>
  <c r="L1229" i="1"/>
  <c r="K1229" i="1"/>
  <c r="H1229" i="1"/>
  <c r="G1229" i="1"/>
  <c r="F1229" i="1"/>
  <c r="E1229" i="1"/>
  <c r="D1229" i="1"/>
  <c r="C1229" i="1"/>
  <c r="A1229" i="1"/>
  <c r="L1228" i="1"/>
  <c r="K1228" i="1"/>
  <c r="H1228" i="1"/>
  <c r="G1228" i="1"/>
  <c r="F1228" i="1"/>
  <c r="E1228" i="1"/>
  <c r="D1228" i="1"/>
  <c r="C1228" i="1"/>
  <c r="A1228" i="1"/>
  <c r="L1227" i="1"/>
  <c r="K1227" i="1"/>
  <c r="H1227" i="1"/>
  <c r="G1227" i="1"/>
  <c r="F1227" i="1"/>
  <c r="E1227" i="1"/>
  <c r="D1227" i="1"/>
  <c r="C1227" i="1"/>
  <c r="A1227" i="1"/>
  <c r="L1226" i="1"/>
  <c r="K1226" i="1"/>
  <c r="H1226" i="1"/>
  <c r="G1226" i="1"/>
  <c r="F1226" i="1"/>
  <c r="E1226" i="1"/>
  <c r="D1226" i="1"/>
  <c r="C1226" i="1"/>
  <c r="A1226" i="1"/>
  <c r="L1225" i="1"/>
  <c r="K1225" i="1"/>
  <c r="H1225" i="1"/>
  <c r="G1225" i="1"/>
  <c r="F1225" i="1"/>
  <c r="E1225" i="1"/>
  <c r="D1225" i="1"/>
  <c r="C1225" i="1"/>
  <c r="A1225" i="1"/>
  <c r="L1224" i="1"/>
  <c r="K1224" i="1"/>
  <c r="H1224" i="1"/>
  <c r="G1224" i="1"/>
  <c r="F1224" i="1"/>
  <c r="E1224" i="1"/>
  <c r="D1224" i="1"/>
  <c r="C1224" i="1"/>
  <c r="A1224" i="1"/>
  <c r="H1223" i="1"/>
  <c r="C1223" i="1"/>
  <c r="A1223" i="1"/>
  <c r="L1222" i="1"/>
  <c r="K1222" i="1"/>
  <c r="H1222" i="1"/>
  <c r="G1222" i="1"/>
  <c r="F1222" i="1"/>
  <c r="E1222" i="1"/>
  <c r="D1222" i="1"/>
  <c r="C1222" i="1"/>
  <c r="A1222" i="1"/>
  <c r="L1221" i="1"/>
  <c r="K1221" i="1"/>
  <c r="H1221" i="1"/>
  <c r="G1221" i="1"/>
  <c r="F1221" i="1"/>
  <c r="E1221" i="1"/>
  <c r="D1221" i="1"/>
  <c r="C1221" i="1"/>
  <c r="A1221" i="1"/>
  <c r="L1220" i="1"/>
  <c r="K1220" i="1"/>
  <c r="H1220" i="1"/>
  <c r="G1220" i="1"/>
  <c r="F1220" i="1"/>
  <c r="E1220" i="1"/>
  <c r="D1220" i="1"/>
  <c r="C1220" i="1"/>
  <c r="A1220" i="1"/>
  <c r="L1219" i="1"/>
  <c r="K1219" i="1"/>
  <c r="H1219" i="1"/>
  <c r="G1219" i="1"/>
  <c r="F1219" i="1"/>
  <c r="E1219" i="1"/>
  <c r="D1219" i="1"/>
  <c r="C1219" i="1"/>
  <c r="A1219" i="1"/>
  <c r="L1218" i="1"/>
  <c r="K1218" i="1"/>
  <c r="H1218" i="1"/>
  <c r="G1218" i="1"/>
  <c r="F1218" i="1"/>
  <c r="E1218" i="1"/>
  <c r="D1218" i="1"/>
  <c r="C1218" i="1"/>
  <c r="A1218" i="1"/>
  <c r="L1217" i="1"/>
  <c r="K1217" i="1"/>
  <c r="H1217" i="1"/>
  <c r="G1217" i="1"/>
  <c r="F1217" i="1"/>
  <c r="E1217" i="1"/>
  <c r="D1217" i="1"/>
  <c r="C1217" i="1"/>
  <c r="A1217" i="1"/>
  <c r="M1216" i="1"/>
  <c r="L1216" i="1"/>
  <c r="K1216" i="1"/>
  <c r="H1216" i="1"/>
  <c r="G1216" i="1"/>
  <c r="F1216" i="1"/>
  <c r="E1216" i="1"/>
  <c r="D1216" i="1"/>
  <c r="C1216" i="1"/>
  <c r="A1216" i="1"/>
  <c r="L1215" i="1"/>
  <c r="K1215" i="1"/>
  <c r="H1215" i="1"/>
  <c r="G1215" i="1"/>
  <c r="F1215" i="1"/>
  <c r="E1215" i="1"/>
  <c r="D1215" i="1"/>
  <c r="C1215" i="1"/>
  <c r="A1215" i="1"/>
  <c r="K1214" i="1"/>
  <c r="H1214" i="1"/>
  <c r="G1214" i="1"/>
  <c r="F1214" i="1"/>
  <c r="E1214" i="1"/>
  <c r="D1214" i="1"/>
  <c r="C1214" i="1"/>
  <c r="A1214" i="1"/>
  <c r="K1213" i="1"/>
  <c r="H1213" i="1"/>
  <c r="G1213" i="1"/>
  <c r="F1213" i="1"/>
  <c r="E1213" i="1"/>
  <c r="D1213" i="1"/>
  <c r="C1213" i="1"/>
  <c r="A1213" i="1"/>
  <c r="M1212" i="1"/>
  <c r="L1212" i="1"/>
  <c r="K1212" i="1"/>
  <c r="H1212" i="1"/>
  <c r="G1212" i="1"/>
  <c r="F1212" i="1"/>
  <c r="E1212" i="1"/>
  <c r="D1212" i="1"/>
  <c r="C1212" i="1"/>
  <c r="A1212" i="1"/>
  <c r="L1211" i="1"/>
  <c r="K1211" i="1"/>
  <c r="H1211" i="1"/>
  <c r="G1211" i="1"/>
  <c r="F1211" i="1"/>
  <c r="E1211" i="1"/>
  <c r="D1211" i="1"/>
  <c r="C1211" i="1"/>
  <c r="A1211" i="1"/>
  <c r="M1210" i="1"/>
  <c r="L1210" i="1"/>
  <c r="K1210" i="1"/>
  <c r="I1210" i="1"/>
  <c r="H1210" i="1"/>
  <c r="G1210" i="1"/>
  <c r="F1210" i="1"/>
  <c r="E1210" i="1"/>
  <c r="D1210" i="1"/>
  <c r="C1210" i="1"/>
  <c r="A1210" i="1"/>
  <c r="M1209" i="1"/>
  <c r="L1209" i="1"/>
  <c r="K1209" i="1"/>
  <c r="H1209" i="1"/>
  <c r="G1209" i="1"/>
  <c r="F1209" i="1"/>
  <c r="E1209" i="1"/>
  <c r="D1209" i="1"/>
  <c r="C1209" i="1"/>
  <c r="A1209" i="1"/>
  <c r="L1208" i="1"/>
  <c r="K1208" i="1"/>
  <c r="H1208" i="1"/>
  <c r="G1208" i="1"/>
  <c r="F1208" i="1"/>
  <c r="E1208" i="1"/>
  <c r="D1208" i="1"/>
  <c r="C1208" i="1"/>
  <c r="A1208" i="1"/>
  <c r="K1207" i="1"/>
  <c r="H1207" i="1"/>
  <c r="G1207" i="1"/>
  <c r="F1207" i="1"/>
  <c r="E1207" i="1"/>
  <c r="D1207" i="1"/>
  <c r="C1207" i="1"/>
  <c r="A1207" i="1"/>
  <c r="L1206" i="1"/>
  <c r="K1206" i="1"/>
  <c r="H1206" i="1"/>
  <c r="G1206" i="1"/>
  <c r="F1206" i="1"/>
  <c r="E1206" i="1"/>
  <c r="D1206" i="1"/>
  <c r="C1206" i="1"/>
  <c r="A1206" i="1"/>
  <c r="M1205" i="1"/>
  <c r="L1205" i="1"/>
  <c r="K1205" i="1"/>
  <c r="H1205" i="1"/>
  <c r="G1205" i="1"/>
  <c r="F1205" i="1"/>
  <c r="E1205" i="1"/>
  <c r="D1205" i="1"/>
  <c r="C1205" i="1"/>
  <c r="A1205" i="1"/>
  <c r="L1204" i="1"/>
  <c r="K1204" i="1"/>
  <c r="H1204" i="1"/>
  <c r="G1204" i="1"/>
  <c r="F1204" i="1"/>
  <c r="E1204" i="1"/>
  <c r="D1204" i="1"/>
  <c r="C1204" i="1"/>
  <c r="A1204" i="1"/>
  <c r="L1203" i="1"/>
  <c r="K1203" i="1"/>
  <c r="H1203" i="1"/>
  <c r="G1203" i="1"/>
  <c r="F1203" i="1"/>
  <c r="E1203" i="1"/>
  <c r="D1203" i="1"/>
  <c r="C1203" i="1"/>
  <c r="A1203" i="1"/>
  <c r="L1202" i="1"/>
  <c r="K1202" i="1"/>
  <c r="H1202" i="1"/>
  <c r="G1202" i="1"/>
  <c r="F1202" i="1"/>
  <c r="E1202" i="1"/>
  <c r="D1202" i="1"/>
  <c r="C1202" i="1"/>
  <c r="A1202" i="1"/>
  <c r="L1201" i="1"/>
  <c r="K1201" i="1"/>
  <c r="H1201" i="1"/>
  <c r="G1201" i="1"/>
  <c r="F1201" i="1"/>
  <c r="E1201" i="1"/>
  <c r="D1201" i="1"/>
  <c r="C1201" i="1"/>
  <c r="A1201" i="1"/>
  <c r="L1200" i="1"/>
  <c r="K1200" i="1"/>
  <c r="H1200" i="1"/>
  <c r="G1200" i="1"/>
  <c r="F1200" i="1"/>
  <c r="E1200" i="1"/>
  <c r="D1200" i="1"/>
  <c r="C1200" i="1"/>
  <c r="A1200" i="1"/>
  <c r="K1199" i="1"/>
  <c r="H1199" i="1"/>
  <c r="G1199" i="1"/>
  <c r="F1199" i="1"/>
  <c r="E1199" i="1"/>
  <c r="D1199" i="1"/>
  <c r="C1199" i="1"/>
  <c r="A1199" i="1"/>
  <c r="L1198" i="1"/>
  <c r="K1198" i="1"/>
  <c r="I1198" i="1"/>
  <c r="H1198" i="1"/>
  <c r="G1198" i="1"/>
  <c r="F1198" i="1"/>
  <c r="E1198" i="1"/>
  <c r="D1198" i="1"/>
  <c r="C1198" i="1"/>
  <c r="A1198" i="1"/>
  <c r="L1197" i="1"/>
  <c r="K1197" i="1"/>
  <c r="H1197" i="1"/>
  <c r="G1197" i="1"/>
  <c r="F1197" i="1"/>
  <c r="E1197" i="1"/>
  <c r="D1197" i="1"/>
  <c r="C1197" i="1"/>
  <c r="A1197" i="1"/>
  <c r="M1196" i="1"/>
  <c r="L1196" i="1"/>
  <c r="K1196" i="1"/>
  <c r="H1196" i="1"/>
  <c r="G1196" i="1"/>
  <c r="F1196" i="1"/>
  <c r="E1196" i="1"/>
  <c r="D1196" i="1"/>
  <c r="C1196" i="1"/>
  <c r="A1196" i="1"/>
  <c r="L1195" i="1"/>
  <c r="K1195" i="1"/>
  <c r="H1195" i="1"/>
  <c r="G1195" i="1"/>
  <c r="F1195" i="1"/>
  <c r="E1195" i="1"/>
  <c r="D1195" i="1"/>
  <c r="C1195" i="1"/>
  <c r="A1195" i="1"/>
  <c r="M1194" i="1"/>
  <c r="L1194" i="1"/>
  <c r="K1194" i="1"/>
  <c r="I1194" i="1"/>
  <c r="H1194" i="1"/>
  <c r="G1194" i="1"/>
  <c r="F1194" i="1"/>
  <c r="E1194" i="1"/>
  <c r="D1194" i="1"/>
  <c r="C1194" i="1"/>
  <c r="A1194" i="1"/>
  <c r="L1193" i="1"/>
  <c r="K1193" i="1"/>
  <c r="H1193" i="1"/>
  <c r="G1193" i="1"/>
  <c r="F1193" i="1"/>
  <c r="E1193" i="1"/>
  <c r="D1193" i="1"/>
  <c r="C1193" i="1"/>
  <c r="A1193" i="1"/>
  <c r="L1192" i="1"/>
  <c r="K1192" i="1"/>
  <c r="H1192" i="1"/>
  <c r="G1192" i="1"/>
  <c r="F1192" i="1"/>
  <c r="E1192" i="1"/>
  <c r="D1192" i="1"/>
  <c r="C1192" i="1"/>
  <c r="A1192" i="1"/>
  <c r="L1191" i="1"/>
  <c r="K1191" i="1"/>
  <c r="H1191" i="1"/>
  <c r="G1191" i="1"/>
  <c r="F1191" i="1"/>
  <c r="E1191" i="1"/>
  <c r="D1191" i="1"/>
  <c r="C1191" i="1"/>
  <c r="A1191" i="1"/>
  <c r="L1190" i="1"/>
  <c r="K1190" i="1"/>
  <c r="H1190" i="1"/>
  <c r="G1190" i="1"/>
  <c r="F1190" i="1"/>
  <c r="E1190" i="1"/>
  <c r="D1190" i="1"/>
  <c r="C1190" i="1"/>
  <c r="A1190" i="1"/>
  <c r="L1189" i="1"/>
  <c r="K1189" i="1"/>
  <c r="H1189" i="1"/>
  <c r="G1189" i="1"/>
  <c r="F1189" i="1"/>
  <c r="E1189" i="1"/>
  <c r="D1189" i="1"/>
  <c r="C1189" i="1"/>
  <c r="A1189" i="1"/>
  <c r="L1188" i="1"/>
  <c r="K1188" i="1"/>
  <c r="H1188" i="1"/>
  <c r="G1188" i="1"/>
  <c r="F1188" i="1"/>
  <c r="E1188" i="1"/>
  <c r="D1188" i="1"/>
  <c r="C1188" i="1"/>
  <c r="A1188" i="1"/>
  <c r="L1187" i="1"/>
  <c r="K1187" i="1"/>
  <c r="H1187" i="1"/>
  <c r="G1187" i="1"/>
  <c r="F1187" i="1"/>
  <c r="E1187" i="1"/>
  <c r="D1187" i="1"/>
  <c r="C1187" i="1"/>
  <c r="A1187" i="1"/>
  <c r="L1186" i="1"/>
  <c r="K1186" i="1"/>
  <c r="H1186" i="1"/>
  <c r="G1186" i="1"/>
  <c r="F1186" i="1"/>
  <c r="E1186" i="1"/>
  <c r="D1186" i="1"/>
  <c r="C1186" i="1"/>
  <c r="A1186" i="1"/>
  <c r="L1185" i="1"/>
  <c r="K1185" i="1"/>
  <c r="H1185" i="1"/>
  <c r="G1185" i="1"/>
  <c r="F1185" i="1"/>
  <c r="E1185" i="1"/>
  <c r="D1185" i="1"/>
  <c r="C1185" i="1"/>
  <c r="A1185" i="1"/>
  <c r="L1184" i="1"/>
  <c r="K1184" i="1"/>
  <c r="H1184" i="1"/>
  <c r="G1184" i="1"/>
  <c r="F1184" i="1"/>
  <c r="E1184" i="1"/>
  <c r="D1184" i="1"/>
  <c r="C1184" i="1"/>
  <c r="A1184" i="1"/>
  <c r="L1183" i="1"/>
  <c r="K1183" i="1"/>
  <c r="H1183" i="1"/>
  <c r="G1183" i="1"/>
  <c r="F1183" i="1"/>
  <c r="E1183" i="1"/>
  <c r="D1183" i="1"/>
  <c r="C1183" i="1"/>
  <c r="A1183" i="1"/>
  <c r="L1182" i="1"/>
  <c r="K1182" i="1"/>
  <c r="H1182" i="1"/>
  <c r="G1182" i="1"/>
  <c r="F1182" i="1"/>
  <c r="E1182" i="1"/>
  <c r="D1182" i="1"/>
  <c r="C1182" i="1"/>
  <c r="A1182" i="1"/>
  <c r="M1181" i="1"/>
  <c r="L1181" i="1"/>
  <c r="K1181" i="1"/>
  <c r="H1181" i="1"/>
  <c r="G1181" i="1"/>
  <c r="F1181" i="1"/>
  <c r="E1181" i="1"/>
  <c r="D1181" i="1"/>
  <c r="C1181" i="1"/>
  <c r="A1181" i="1"/>
  <c r="L1180" i="1"/>
  <c r="K1180" i="1"/>
  <c r="H1180" i="1"/>
  <c r="G1180" i="1"/>
  <c r="F1180" i="1"/>
  <c r="E1180" i="1"/>
  <c r="D1180" i="1"/>
  <c r="C1180" i="1"/>
  <c r="A1180" i="1"/>
  <c r="L1179" i="1"/>
  <c r="K1179" i="1"/>
  <c r="H1179" i="1"/>
  <c r="G1179" i="1"/>
  <c r="F1179" i="1"/>
  <c r="E1179" i="1"/>
  <c r="D1179" i="1"/>
  <c r="C1179" i="1"/>
  <c r="A1179" i="1"/>
  <c r="L1178" i="1"/>
  <c r="K1178" i="1"/>
  <c r="H1178" i="1"/>
  <c r="G1178" i="1"/>
  <c r="F1178" i="1"/>
  <c r="E1178" i="1"/>
  <c r="D1178" i="1"/>
  <c r="C1178" i="1"/>
  <c r="A1178" i="1"/>
  <c r="L1177" i="1"/>
  <c r="K1177" i="1"/>
  <c r="H1177" i="1"/>
  <c r="G1177" i="1"/>
  <c r="F1177" i="1"/>
  <c r="E1177" i="1"/>
  <c r="D1177" i="1"/>
  <c r="C1177" i="1"/>
  <c r="A1177" i="1"/>
  <c r="L1176" i="1"/>
  <c r="K1176" i="1"/>
  <c r="H1176" i="1"/>
  <c r="G1176" i="1"/>
  <c r="F1176" i="1"/>
  <c r="E1176" i="1"/>
  <c r="D1176" i="1"/>
  <c r="C1176" i="1"/>
  <c r="A1176" i="1"/>
  <c r="L1175" i="1"/>
  <c r="K1175" i="1"/>
  <c r="H1175" i="1"/>
  <c r="G1175" i="1"/>
  <c r="F1175" i="1"/>
  <c r="E1175" i="1"/>
  <c r="D1175" i="1"/>
  <c r="C1175" i="1"/>
  <c r="A1175" i="1"/>
  <c r="L1174" i="1"/>
  <c r="K1174" i="1"/>
  <c r="H1174" i="1"/>
  <c r="G1174" i="1"/>
  <c r="F1174" i="1"/>
  <c r="E1174" i="1"/>
  <c r="D1174" i="1"/>
  <c r="C1174" i="1"/>
  <c r="A1174" i="1"/>
  <c r="L1173" i="1"/>
  <c r="K1173" i="1"/>
  <c r="H1173" i="1"/>
  <c r="G1173" i="1"/>
  <c r="F1173" i="1"/>
  <c r="E1173" i="1"/>
  <c r="D1173" i="1"/>
  <c r="C1173" i="1"/>
  <c r="A1173" i="1"/>
  <c r="L1172" i="1"/>
  <c r="K1172" i="1"/>
  <c r="H1172" i="1"/>
  <c r="G1172" i="1"/>
  <c r="F1172" i="1"/>
  <c r="E1172" i="1"/>
  <c r="D1172" i="1"/>
  <c r="C1172" i="1"/>
  <c r="A1172" i="1"/>
  <c r="L1171" i="1"/>
  <c r="K1171" i="1"/>
  <c r="H1171" i="1"/>
  <c r="G1171" i="1"/>
  <c r="F1171" i="1"/>
  <c r="E1171" i="1"/>
  <c r="D1171" i="1"/>
  <c r="C1171" i="1"/>
  <c r="A1171" i="1"/>
  <c r="L1170" i="1"/>
  <c r="K1170" i="1"/>
  <c r="H1170" i="1"/>
  <c r="G1170" i="1"/>
  <c r="F1170" i="1"/>
  <c r="E1170" i="1"/>
  <c r="D1170" i="1"/>
  <c r="C1170" i="1"/>
  <c r="A1170" i="1"/>
  <c r="L1169" i="1"/>
  <c r="K1169" i="1"/>
  <c r="H1169" i="1"/>
  <c r="G1169" i="1"/>
  <c r="F1169" i="1"/>
  <c r="E1169" i="1"/>
  <c r="D1169" i="1"/>
  <c r="C1169" i="1"/>
  <c r="A1169" i="1"/>
  <c r="L1168" i="1"/>
  <c r="K1168" i="1"/>
  <c r="H1168" i="1"/>
  <c r="G1168" i="1"/>
  <c r="F1168" i="1"/>
  <c r="E1168" i="1"/>
  <c r="D1168" i="1"/>
  <c r="C1168" i="1"/>
  <c r="A1168" i="1"/>
  <c r="L1167" i="1"/>
  <c r="K1167" i="1"/>
  <c r="H1167" i="1"/>
  <c r="G1167" i="1"/>
  <c r="F1167" i="1"/>
  <c r="E1167" i="1"/>
  <c r="D1167" i="1"/>
  <c r="C1167" i="1"/>
  <c r="A1167" i="1"/>
  <c r="M1166" i="1"/>
  <c r="L1166" i="1"/>
  <c r="K1166" i="1"/>
  <c r="H1166" i="1"/>
  <c r="G1166" i="1"/>
  <c r="F1166" i="1"/>
  <c r="E1166" i="1"/>
  <c r="D1166" i="1"/>
  <c r="C1166" i="1"/>
  <c r="A1166" i="1"/>
  <c r="L1165" i="1"/>
  <c r="K1165" i="1"/>
  <c r="H1165" i="1"/>
  <c r="G1165" i="1"/>
  <c r="F1165" i="1"/>
  <c r="E1165" i="1"/>
  <c r="D1165" i="1"/>
  <c r="C1165" i="1"/>
  <c r="A1165" i="1"/>
  <c r="L1164" i="1"/>
  <c r="K1164" i="1"/>
  <c r="H1164" i="1"/>
  <c r="G1164" i="1"/>
  <c r="F1164" i="1"/>
  <c r="E1164" i="1"/>
  <c r="D1164" i="1"/>
  <c r="C1164" i="1"/>
  <c r="A1164" i="1"/>
  <c r="L1163" i="1"/>
  <c r="K1163" i="1"/>
  <c r="H1163" i="1"/>
  <c r="G1163" i="1"/>
  <c r="F1163" i="1"/>
  <c r="E1163" i="1"/>
  <c r="D1163" i="1"/>
  <c r="C1163" i="1"/>
  <c r="A1163" i="1"/>
  <c r="L1162" i="1"/>
  <c r="K1162" i="1"/>
  <c r="H1162" i="1"/>
  <c r="G1162" i="1"/>
  <c r="F1162" i="1"/>
  <c r="E1162" i="1"/>
  <c r="D1162" i="1"/>
  <c r="C1162" i="1"/>
  <c r="A1162" i="1"/>
  <c r="L1161" i="1"/>
  <c r="K1161" i="1"/>
  <c r="H1161" i="1"/>
  <c r="G1161" i="1"/>
  <c r="F1161" i="1"/>
  <c r="E1161" i="1"/>
  <c r="D1161" i="1"/>
  <c r="C1161" i="1"/>
  <c r="A1161" i="1"/>
  <c r="H1160" i="1"/>
  <c r="G1160" i="1"/>
  <c r="F1160" i="1"/>
  <c r="E1160" i="1"/>
  <c r="D1160" i="1"/>
  <c r="C1160" i="1"/>
  <c r="A1160" i="1"/>
  <c r="H1159" i="1"/>
  <c r="F1159" i="1"/>
  <c r="E1159" i="1"/>
  <c r="D1159" i="1"/>
  <c r="C1159" i="1"/>
  <c r="A1159" i="1"/>
  <c r="L1158" i="1"/>
  <c r="K1158" i="1"/>
  <c r="H1158" i="1"/>
  <c r="G1158" i="1"/>
  <c r="F1158" i="1"/>
  <c r="E1158" i="1"/>
  <c r="D1158" i="1"/>
  <c r="C1158" i="1"/>
  <c r="A1158" i="1"/>
  <c r="L1157" i="1"/>
  <c r="K1157" i="1"/>
  <c r="H1157" i="1"/>
  <c r="G1157" i="1"/>
  <c r="F1157" i="1"/>
  <c r="E1157" i="1"/>
  <c r="D1157" i="1"/>
  <c r="C1157" i="1"/>
  <c r="A1157" i="1"/>
  <c r="K1156" i="1"/>
  <c r="H1156" i="1"/>
  <c r="G1156" i="1"/>
  <c r="F1156" i="1"/>
  <c r="E1156" i="1"/>
  <c r="D1156" i="1"/>
  <c r="C1156" i="1"/>
  <c r="A1156" i="1"/>
  <c r="L1155" i="1"/>
  <c r="K1155" i="1"/>
  <c r="H1155" i="1"/>
  <c r="G1155" i="1"/>
  <c r="F1155" i="1"/>
  <c r="E1155" i="1"/>
  <c r="D1155" i="1"/>
  <c r="C1155" i="1"/>
  <c r="A1155" i="1"/>
  <c r="L1154" i="1"/>
  <c r="K1154" i="1"/>
  <c r="H1154" i="1"/>
  <c r="G1154" i="1"/>
  <c r="F1154" i="1"/>
  <c r="E1154" i="1"/>
  <c r="D1154" i="1"/>
  <c r="C1154" i="1"/>
  <c r="A1154" i="1"/>
  <c r="L1153" i="1"/>
  <c r="K1153" i="1"/>
  <c r="H1153" i="1"/>
  <c r="G1153" i="1"/>
  <c r="F1153" i="1"/>
  <c r="E1153" i="1"/>
  <c r="D1153" i="1"/>
  <c r="C1153" i="1"/>
  <c r="A1153" i="1"/>
  <c r="L1152" i="1"/>
  <c r="K1152" i="1"/>
  <c r="H1152" i="1"/>
  <c r="G1152" i="1"/>
  <c r="F1152" i="1"/>
  <c r="E1152" i="1"/>
  <c r="D1152" i="1"/>
  <c r="C1152" i="1"/>
  <c r="A1152" i="1"/>
  <c r="L1151" i="1"/>
  <c r="K1151" i="1"/>
  <c r="H1151" i="1"/>
  <c r="G1151" i="1"/>
  <c r="F1151" i="1"/>
  <c r="E1151" i="1"/>
  <c r="D1151" i="1"/>
  <c r="C1151" i="1"/>
  <c r="A1151" i="1"/>
  <c r="L1150" i="1"/>
  <c r="K1150" i="1"/>
  <c r="H1150" i="1"/>
  <c r="G1150" i="1"/>
  <c r="F1150" i="1"/>
  <c r="E1150" i="1"/>
  <c r="D1150" i="1"/>
  <c r="C1150" i="1"/>
  <c r="A1150" i="1"/>
  <c r="L1149" i="1"/>
  <c r="K1149" i="1"/>
  <c r="H1149" i="1"/>
  <c r="G1149" i="1"/>
  <c r="F1149" i="1"/>
  <c r="E1149" i="1"/>
  <c r="D1149" i="1"/>
  <c r="C1149" i="1"/>
  <c r="A1149" i="1"/>
  <c r="L1148" i="1"/>
  <c r="K1148" i="1"/>
  <c r="H1148" i="1"/>
  <c r="G1148" i="1"/>
  <c r="F1148" i="1"/>
  <c r="E1148" i="1"/>
  <c r="D1148" i="1"/>
  <c r="C1148" i="1"/>
  <c r="A1148" i="1"/>
  <c r="L1147" i="1"/>
  <c r="K1147" i="1"/>
  <c r="H1147" i="1"/>
  <c r="G1147" i="1"/>
  <c r="F1147" i="1"/>
  <c r="E1147" i="1"/>
  <c r="D1147" i="1"/>
  <c r="C1147" i="1"/>
  <c r="A1147" i="1"/>
  <c r="L1146" i="1"/>
  <c r="K1146" i="1"/>
  <c r="H1146" i="1"/>
  <c r="G1146" i="1"/>
  <c r="F1146" i="1"/>
  <c r="E1146" i="1"/>
  <c r="D1146" i="1"/>
  <c r="C1146" i="1"/>
  <c r="A1146" i="1"/>
  <c r="L1145" i="1"/>
  <c r="K1145" i="1"/>
  <c r="H1145" i="1"/>
  <c r="G1145" i="1"/>
  <c r="F1145" i="1"/>
  <c r="E1145" i="1"/>
  <c r="D1145" i="1"/>
  <c r="C1145" i="1"/>
  <c r="A1145" i="1"/>
  <c r="L1144" i="1"/>
  <c r="K1144" i="1"/>
  <c r="H1144" i="1"/>
  <c r="G1144" i="1"/>
  <c r="F1144" i="1"/>
  <c r="E1144" i="1"/>
  <c r="D1144" i="1"/>
  <c r="C1144" i="1"/>
  <c r="A1144" i="1"/>
  <c r="L1143" i="1"/>
  <c r="K1143" i="1"/>
  <c r="H1143" i="1"/>
  <c r="G1143" i="1"/>
  <c r="F1143" i="1"/>
  <c r="E1143" i="1"/>
  <c r="D1143" i="1"/>
  <c r="C1143" i="1"/>
  <c r="A1143" i="1"/>
  <c r="L1142" i="1"/>
  <c r="K1142" i="1"/>
  <c r="H1142" i="1"/>
  <c r="G1142" i="1"/>
  <c r="F1142" i="1"/>
  <c r="E1142" i="1"/>
  <c r="D1142" i="1"/>
  <c r="C1142" i="1"/>
  <c r="A1142" i="1"/>
  <c r="L1141" i="1"/>
  <c r="K1141" i="1"/>
  <c r="H1141" i="1"/>
  <c r="G1141" i="1"/>
  <c r="F1141" i="1"/>
  <c r="E1141" i="1"/>
  <c r="D1141" i="1"/>
  <c r="C1141" i="1"/>
  <c r="A1141" i="1"/>
  <c r="L1140" i="1"/>
  <c r="K1140" i="1"/>
  <c r="H1140" i="1"/>
  <c r="G1140" i="1"/>
  <c r="F1140" i="1"/>
  <c r="E1140" i="1"/>
  <c r="D1140" i="1"/>
  <c r="C1140" i="1"/>
  <c r="A1140" i="1"/>
  <c r="L1139" i="1"/>
  <c r="K1139" i="1"/>
  <c r="H1139" i="1"/>
  <c r="G1139" i="1"/>
  <c r="F1139" i="1"/>
  <c r="E1139" i="1"/>
  <c r="D1139" i="1"/>
  <c r="C1139" i="1"/>
  <c r="A1139" i="1"/>
  <c r="L1138" i="1"/>
  <c r="K1138" i="1"/>
  <c r="H1138" i="1"/>
  <c r="G1138" i="1"/>
  <c r="F1138" i="1"/>
  <c r="E1138" i="1"/>
  <c r="D1138" i="1"/>
  <c r="C1138" i="1"/>
  <c r="A1138" i="1"/>
  <c r="L1137" i="1"/>
  <c r="K1137" i="1"/>
  <c r="H1137" i="1"/>
  <c r="G1137" i="1"/>
  <c r="F1137" i="1"/>
  <c r="E1137" i="1"/>
  <c r="D1137" i="1"/>
  <c r="C1137" i="1"/>
  <c r="A1137" i="1"/>
  <c r="L1136" i="1"/>
  <c r="K1136" i="1"/>
  <c r="H1136" i="1"/>
  <c r="G1136" i="1"/>
  <c r="F1136" i="1"/>
  <c r="E1136" i="1"/>
  <c r="D1136" i="1"/>
  <c r="C1136" i="1"/>
  <c r="A1136" i="1"/>
  <c r="L1135" i="1"/>
  <c r="K1135" i="1"/>
  <c r="H1135" i="1"/>
  <c r="G1135" i="1"/>
  <c r="F1135" i="1"/>
  <c r="E1135" i="1"/>
  <c r="D1135" i="1"/>
  <c r="C1135" i="1"/>
  <c r="A1135" i="1"/>
  <c r="L1134" i="1"/>
  <c r="K1134" i="1"/>
  <c r="H1134" i="1"/>
  <c r="G1134" i="1"/>
  <c r="F1134" i="1"/>
  <c r="E1134" i="1"/>
  <c r="D1134" i="1"/>
  <c r="C1134" i="1"/>
  <c r="A1134" i="1"/>
  <c r="L1133" i="1"/>
  <c r="K1133" i="1"/>
  <c r="H1133" i="1"/>
  <c r="G1133" i="1"/>
  <c r="F1133" i="1"/>
  <c r="E1133" i="1"/>
  <c r="D1133" i="1"/>
  <c r="C1133" i="1"/>
  <c r="A1133" i="1"/>
  <c r="L1132" i="1"/>
  <c r="K1132" i="1"/>
  <c r="H1132" i="1"/>
  <c r="G1132" i="1"/>
  <c r="F1132" i="1"/>
  <c r="E1132" i="1"/>
  <c r="D1132" i="1"/>
  <c r="C1132" i="1"/>
  <c r="A1132" i="1"/>
  <c r="L1131" i="1"/>
  <c r="K1131" i="1"/>
  <c r="H1131" i="1"/>
  <c r="G1131" i="1"/>
  <c r="F1131" i="1"/>
  <c r="E1131" i="1"/>
  <c r="D1131" i="1"/>
  <c r="C1131" i="1"/>
  <c r="A1131" i="1"/>
  <c r="L1130" i="1"/>
  <c r="K1130" i="1"/>
  <c r="H1130" i="1"/>
  <c r="G1130" i="1"/>
  <c r="F1130" i="1"/>
  <c r="E1130" i="1"/>
  <c r="D1130" i="1"/>
  <c r="C1130" i="1"/>
  <c r="A1130" i="1"/>
  <c r="L1129" i="1"/>
  <c r="K1129" i="1"/>
  <c r="H1129" i="1"/>
  <c r="G1129" i="1"/>
  <c r="F1129" i="1"/>
  <c r="E1129" i="1"/>
  <c r="D1129" i="1"/>
  <c r="C1129" i="1"/>
  <c r="A1129" i="1"/>
  <c r="L1128" i="1"/>
  <c r="K1128" i="1"/>
  <c r="H1128" i="1"/>
  <c r="G1128" i="1"/>
  <c r="F1128" i="1"/>
  <c r="E1128" i="1"/>
  <c r="D1128" i="1"/>
  <c r="C1128" i="1"/>
  <c r="A1128" i="1"/>
  <c r="K1127" i="1"/>
  <c r="H1127" i="1"/>
  <c r="G1127" i="1"/>
  <c r="F1127" i="1"/>
  <c r="E1127" i="1"/>
  <c r="D1127" i="1"/>
  <c r="C1127" i="1"/>
  <c r="A1127" i="1"/>
  <c r="L1126" i="1"/>
  <c r="K1126" i="1"/>
  <c r="H1126" i="1"/>
  <c r="G1126" i="1"/>
  <c r="F1126" i="1"/>
  <c r="E1126" i="1"/>
  <c r="D1126" i="1"/>
  <c r="C1126" i="1"/>
  <c r="A1126" i="1"/>
  <c r="L1125" i="1"/>
  <c r="K1125" i="1"/>
  <c r="H1125" i="1"/>
  <c r="G1125" i="1"/>
  <c r="F1125" i="1"/>
  <c r="E1125" i="1"/>
  <c r="D1125" i="1"/>
  <c r="C1125" i="1"/>
  <c r="A1125" i="1"/>
  <c r="L1124" i="1"/>
  <c r="K1124" i="1"/>
  <c r="H1124" i="1"/>
  <c r="G1124" i="1"/>
  <c r="F1124" i="1"/>
  <c r="E1124" i="1"/>
  <c r="D1124" i="1"/>
  <c r="C1124" i="1"/>
  <c r="A1124" i="1"/>
  <c r="L1123" i="1"/>
  <c r="K1123" i="1"/>
  <c r="H1123" i="1"/>
  <c r="G1123" i="1"/>
  <c r="F1123" i="1"/>
  <c r="E1123" i="1"/>
  <c r="D1123" i="1"/>
  <c r="C1123" i="1"/>
  <c r="A1123" i="1"/>
  <c r="L1122" i="1"/>
  <c r="K1122" i="1"/>
  <c r="H1122" i="1"/>
  <c r="G1122" i="1"/>
  <c r="F1122" i="1"/>
  <c r="E1122" i="1"/>
  <c r="D1122" i="1"/>
  <c r="C1122" i="1"/>
  <c r="A1122" i="1"/>
  <c r="K1121" i="1"/>
  <c r="H1121" i="1"/>
  <c r="G1121" i="1"/>
  <c r="F1121" i="1"/>
  <c r="E1121" i="1"/>
  <c r="D1121" i="1"/>
  <c r="C1121" i="1"/>
  <c r="A1121" i="1"/>
  <c r="L1120" i="1"/>
  <c r="K1120" i="1"/>
  <c r="H1120" i="1"/>
  <c r="G1120" i="1"/>
  <c r="F1120" i="1"/>
  <c r="E1120" i="1"/>
  <c r="D1120" i="1"/>
  <c r="C1120" i="1"/>
  <c r="A1120" i="1"/>
  <c r="L1119" i="1"/>
  <c r="K1119" i="1"/>
  <c r="H1119" i="1"/>
  <c r="G1119" i="1"/>
  <c r="F1119" i="1"/>
  <c r="E1119" i="1"/>
  <c r="D1119" i="1"/>
  <c r="C1119" i="1"/>
  <c r="A1119" i="1"/>
  <c r="L1118" i="1"/>
  <c r="K1118" i="1"/>
  <c r="H1118" i="1"/>
  <c r="G1118" i="1"/>
  <c r="F1118" i="1"/>
  <c r="E1118" i="1"/>
  <c r="D1118" i="1"/>
  <c r="C1118" i="1"/>
  <c r="A1118" i="1"/>
  <c r="L1117" i="1"/>
  <c r="K1117" i="1"/>
  <c r="H1117" i="1"/>
  <c r="G1117" i="1"/>
  <c r="F1117" i="1"/>
  <c r="E1117" i="1"/>
  <c r="D1117" i="1"/>
  <c r="C1117" i="1"/>
  <c r="A1117" i="1"/>
  <c r="L1116" i="1"/>
  <c r="K1116" i="1"/>
  <c r="H1116" i="1"/>
  <c r="G1116" i="1"/>
  <c r="F1116" i="1"/>
  <c r="E1116" i="1"/>
  <c r="D1116" i="1"/>
  <c r="C1116" i="1"/>
  <c r="A1116" i="1"/>
  <c r="L1115" i="1"/>
  <c r="K1115" i="1"/>
  <c r="H1115" i="1"/>
  <c r="G1115" i="1"/>
  <c r="F1115" i="1"/>
  <c r="E1115" i="1"/>
  <c r="D1115" i="1"/>
  <c r="C1115" i="1"/>
  <c r="A1115" i="1"/>
  <c r="K1114" i="1"/>
  <c r="H1114" i="1"/>
  <c r="G1114" i="1"/>
  <c r="F1114" i="1"/>
  <c r="E1114" i="1"/>
  <c r="D1114" i="1"/>
  <c r="C1114" i="1"/>
  <c r="A1114" i="1"/>
  <c r="K1113" i="1"/>
  <c r="H1113" i="1"/>
  <c r="G1113" i="1"/>
  <c r="F1113" i="1"/>
  <c r="E1113" i="1"/>
  <c r="D1113" i="1"/>
  <c r="C1113" i="1"/>
  <c r="A1113" i="1"/>
  <c r="K1112" i="1"/>
  <c r="H1112" i="1"/>
  <c r="G1112" i="1"/>
  <c r="F1112" i="1"/>
  <c r="E1112" i="1"/>
  <c r="D1112" i="1"/>
  <c r="C1112" i="1"/>
  <c r="A1112" i="1"/>
  <c r="K1111" i="1"/>
  <c r="H1111" i="1"/>
  <c r="G1111" i="1"/>
  <c r="F1111" i="1"/>
  <c r="E1111" i="1"/>
  <c r="D1111" i="1"/>
  <c r="C1111" i="1"/>
  <c r="A1111" i="1"/>
  <c r="L1110" i="1"/>
  <c r="K1110" i="1"/>
  <c r="H1110" i="1"/>
  <c r="G1110" i="1"/>
  <c r="F1110" i="1"/>
  <c r="E1110" i="1"/>
  <c r="D1110" i="1"/>
  <c r="C1110" i="1"/>
  <c r="A1110" i="1"/>
  <c r="L1109" i="1"/>
  <c r="K1109" i="1"/>
  <c r="H1109" i="1"/>
  <c r="G1109" i="1"/>
  <c r="F1109" i="1"/>
  <c r="E1109" i="1"/>
  <c r="D1109" i="1"/>
  <c r="C1109" i="1"/>
  <c r="A1109" i="1"/>
  <c r="K1108" i="1"/>
  <c r="H1108" i="1"/>
  <c r="G1108" i="1"/>
  <c r="F1108" i="1"/>
  <c r="E1108" i="1"/>
  <c r="D1108" i="1"/>
  <c r="C1108" i="1"/>
  <c r="A1108" i="1"/>
  <c r="K1107" i="1"/>
  <c r="H1107" i="1"/>
  <c r="G1107" i="1"/>
  <c r="F1107" i="1"/>
  <c r="E1107" i="1"/>
  <c r="D1107" i="1"/>
  <c r="C1107" i="1"/>
  <c r="A1107" i="1"/>
  <c r="L1106" i="1"/>
  <c r="K1106" i="1"/>
  <c r="H1106" i="1"/>
  <c r="G1106" i="1"/>
  <c r="F1106" i="1"/>
  <c r="E1106" i="1"/>
  <c r="D1106" i="1"/>
  <c r="C1106" i="1"/>
  <c r="A1106" i="1"/>
  <c r="L1105" i="1"/>
  <c r="K1105" i="1"/>
  <c r="H1105" i="1"/>
  <c r="G1105" i="1"/>
  <c r="F1105" i="1"/>
  <c r="E1105" i="1"/>
  <c r="D1105" i="1"/>
  <c r="C1105" i="1"/>
  <c r="A1105" i="1"/>
  <c r="L1104" i="1"/>
  <c r="K1104" i="1"/>
  <c r="H1104" i="1"/>
  <c r="G1104" i="1"/>
  <c r="F1104" i="1"/>
  <c r="E1104" i="1"/>
  <c r="D1104" i="1"/>
  <c r="C1104" i="1"/>
  <c r="A1104" i="1"/>
  <c r="L1103" i="1"/>
  <c r="K1103" i="1"/>
  <c r="H1103" i="1"/>
  <c r="G1103" i="1"/>
  <c r="F1103" i="1"/>
  <c r="E1103" i="1"/>
  <c r="D1103" i="1"/>
  <c r="C1103" i="1"/>
  <c r="A1103" i="1"/>
  <c r="L1102" i="1"/>
  <c r="K1102" i="1"/>
  <c r="H1102" i="1"/>
  <c r="G1102" i="1"/>
  <c r="F1102" i="1"/>
  <c r="E1102" i="1"/>
  <c r="D1102" i="1"/>
  <c r="C1102" i="1"/>
  <c r="A1102" i="1"/>
  <c r="L1101" i="1"/>
  <c r="K1101" i="1"/>
  <c r="H1101" i="1"/>
  <c r="G1101" i="1"/>
  <c r="F1101" i="1"/>
  <c r="E1101" i="1"/>
  <c r="D1101" i="1"/>
  <c r="C1101" i="1"/>
  <c r="A1101" i="1"/>
  <c r="L1100" i="1"/>
  <c r="K1100" i="1"/>
  <c r="H1100" i="1"/>
  <c r="G1100" i="1"/>
  <c r="F1100" i="1"/>
  <c r="E1100" i="1"/>
  <c r="D1100" i="1"/>
  <c r="C1100" i="1"/>
  <c r="A1100" i="1"/>
  <c r="L1099" i="1"/>
  <c r="K1099" i="1"/>
  <c r="H1099" i="1"/>
  <c r="G1099" i="1"/>
  <c r="F1099" i="1"/>
  <c r="E1099" i="1"/>
  <c r="D1099" i="1"/>
  <c r="C1099" i="1"/>
  <c r="A1099" i="1"/>
  <c r="L1098" i="1"/>
  <c r="K1098" i="1"/>
  <c r="H1098" i="1"/>
  <c r="G1098" i="1"/>
  <c r="F1098" i="1"/>
  <c r="E1098" i="1"/>
  <c r="D1098" i="1"/>
  <c r="C1098" i="1"/>
  <c r="A1098" i="1"/>
  <c r="L1097" i="1"/>
  <c r="K1097" i="1"/>
  <c r="H1097" i="1"/>
  <c r="G1097" i="1"/>
  <c r="F1097" i="1"/>
  <c r="E1097" i="1"/>
  <c r="D1097" i="1"/>
  <c r="C1097" i="1"/>
  <c r="A1097" i="1"/>
  <c r="K1096" i="1"/>
  <c r="H1096" i="1"/>
  <c r="G1096" i="1"/>
  <c r="F1096" i="1"/>
  <c r="E1096" i="1"/>
  <c r="D1096" i="1"/>
  <c r="C1096" i="1"/>
  <c r="A1096" i="1"/>
  <c r="L1095" i="1"/>
  <c r="K1095" i="1"/>
  <c r="H1095" i="1"/>
  <c r="G1095" i="1"/>
  <c r="F1095" i="1"/>
  <c r="E1095" i="1"/>
  <c r="D1095" i="1"/>
  <c r="C1095" i="1"/>
  <c r="A1095" i="1"/>
  <c r="L1094" i="1"/>
  <c r="K1094" i="1"/>
  <c r="H1094" i="1"/>
  <c r="G1094" i="1"/>
  <c r="F1094" i="1"/>
  <c r="E1094" i="1"/>
  <c r="D1094" i="1"/>
  <c r="C1094" i="1"/>
  <c r="A1094" i="1"/>
  <c r="L1093" i="1"/>
  <c r="K1093" i="1"/>
  <c r="H1093" i="1"/>
  <c r="G1093" i="1"/>
  <c r="F1093" i="1"/>
  <c r="E1093" i="1"/>
  <c r="D1093" i="1"/>
  <c r="C1093" i="1"/>
  <c r="A1093" i="1"/>
  <c r="L1092" i="1"/>
  <c r="K1092" i="1"/>
  <c r="H1092" i="1"/>
  <c r="G1092" i="1"/>
  <c r="F1092" i="1"/>
  <c r="E1092" i="1"/>
  <c r="D1092" i="1"/>
  <c r="C1092" i="1"/>
  <c r="A1092" i="1"/>
  <c r="L1091" i="1"/>
  <c r="K1091" i="1"/>
  <c r="H1091" i="1"/>
  <c r="G1091" i="1"/>
  <c r="F1091" i="1"/>
  <c r="E1091" i="1"/>
  <c r="D1091" i="1"/>
  <c r="C1091" i="1"/>
  <c r="A1091" i="1"/>
  <c r="L1090" i="1"/>
  <c r="K1090" i="1"/>
  <c r="H1090" i="1"/>
  <c r="G1090" i="1"/>
  <c r="F1090" i="1"/>
  <c r="E1090" i="1"/>
  <c r="D1090" i="1"/>
  <c r="C1090" i="1"/>
  <c r="A1090" i="1"/>
  <c r="L1089" i="1"/>
  <c r="K1089" i="1"/>
  <c r="H1089" i="1"/>
  <c r="G1089" i="1"/>
  <c r="F1089" i="1"/>
  <c r="E1089" i="1"/>
  <c r="D1089" i="1"/>
  <c r="C1089" i="1"/>
  <c r="A1089" i="1"/>
  <c r="L1088" i="1"/>
  <c r="K1088" i="1"/>
  <c r="H1088" i="1"/>
  <c r="G1088" i="1"/>
  <c r="F1088" i="1"/>
  <c r="E1088" i="1"/>
  <c r="D1088" i="1"/>
  <c r="C1088" i="1"/>
  <c r="A1088" i="1"/>
  <c r="K1087" i="1"/>
  <c r="H1087" i="1"/>
  <c r="G1087" i="1"/>
  <c r="F1087" i="1"/>
  <c r="E1087" i="1"/>
  <c r="D1087" i="1"/>
  <c r="C1087" i="1"/>
  <c r="A1087" i="1"/>
  <c r="K1086" i="1"/>
  <c r="H1086" i="1"/>
  <c r="G1086" i="1"/>
  <c r="F1086" i="1"/>
  <c r="E1086" i="1"/>
  <c r="D1086" i="1"/>
  <c r="C1086" i="1"/>
  <c r="A1086" i="1"/>
  <c r="L1085" i="1"/>
  <c r="K1085" i="1"/>
  <c r="H1085" i="1"/>
  <c r="G1085" i="1"/>
  <c r="F1085" i="1"/>
  <c r="E1085" i="1"/>
  <c r="D1085" i="1"/>
  <c r="C1085" i="1"/>
  <c r="A1085" i="1"/>
  <c r="L1084" i="1"/>
  <c r="K1084" i="1"/>
  <c r="H1084" i="1"/>
  <c r="G1084" i="1"/>
  <c r="F1084" i="1"/>
  <c r="E1084" i="1"/>
  <c r="D1084" i="1"/>
  <c r="C1084" i="1"/>
  <c r="A1084" i="1"/>
  <c r="M1083" i="1"/>
  <c r="L1083" i="1"/>
  <c r="K1083" i="1"/>
  <c r="H1083" i="1"/>
  <c r="G1083" i="1"/>
  <c r="F1083" i="1"/>
  <c r="E1083" i="1"/>
  <c r="D1083" i="1"/>
  <c r="C1083" i="1"/>
  <c r="A1083" i="1"/>
  <c r="L1082" i="1"/>
  <c r="K1082" i="1"/>
  <c r="H1082" i="1"/>
  <c r="G1082" i="1"/>
  <c r="F1082" i="1"/>
  <c r="E1082" i="1"/>
  <c r="D1082" i="1"/>
  <c r="C1082" i="1"/>
  <c r="A1082" i="1"/>
  <c r="M1081" i="1"/>
  <c r="L1081" i="1"/>
  <c r="K1081" i="1"/>
  <c r="H1081" i="1"/>
  <c r="G1081" i="1"/>
  <c r="F1081" i="1"/>
  <c r="E1081" i="1"/>
  <c r="D1081" i="1"/>
  <c r="C1081" i="1"/>
  <c r="A1081" i="1"/>
  <c r="M1080" i="1"/>
  <c r="L1080" i="1"/>
  <c r="K1080" i="1"/>
  <c r="H1080" i="1"/>
  <c r="G1080" i="1"/>
  <c r="F1080" i="1"/>
  <c r="E1080" i="1"/>
  <c r="D1080" i="1"/>
  <c r="C1080" i="1"/>
  <c r="A1080" i="1"/>
  <c r="M1079" i="1"/>
  <c r="L1079" i="1"/>
  <c r="K1079" i="1"/>
  <c r="H1079" i="1"/>
  <c r="G1079" i="1"/>
  <c r="F1079" i="1"/>
  <c r="E1079" i="1"/>
  <c r="D1079" i="1"/>
  <c r="C1079" i="1"/>
  <c r="A1079" i="1"/>
  <c r="M1078" i="1"/>
  <c r="L1078" i="1"/>
  <c r="K1078" i="1"/>
  <c r="H1078" i="1"/>
  <c r="G1078" i="1"/>
  <c r="F1078" i="1"/>
  <c r="E1078" i="1"/>
  <c r="D1078" i="1"/>
  <c r="C1078" i="1"/>
  <c r="A1078" i="1"/>
  <c r="L1077" i="1"/>
  <c r="K1077" i="1"/>
  <c r="H1077" i="1"/>
  <c r="G1077" i="1"/>
  <c r="F1077" i="1"/>
  <c r="E1077" i="1"/>
  <c r="D1077" i="1"/>
  <c r="C1077" i="1"/>
  <c r="A1077" i="1"/>
  <c r="L1076" i="1"/>
  <c r="K1076" i="1"/>
  <c r="H1076" i="1"/>
  <c r="G1076" i="1"/>
  <c r="F1076" i="1"/>
  <c r="E1076" i="1"/>
  <c r="D1076" i="1"/>
  <c r="C1076" i="1"/>
  <c r="A1076" i="1"/>
  <c r="K1075" i="1"/>
  <c r="H1075" i="1"/>
  <c r="G1075" i="1"/>
  <c r="F1075" i="1"/>
  <c r="E1075" i="1"/>
  <c r="D1075" i="1"/>
  <c r="C1075" i="1"/>
  <c r="A1075" i="1"/>
  <c r="K1074" i="1"/>
  <c r="H1074" i="1"/>
  <c r="G1074" i="1"/>
  <c r="F1074" i="1"/>
  <c r="E1074" i="1"/>
  <c r="D1074" i="1"/>
  <c r="C1074" i="1"/>
  <c r="A1074" i="1"/>
  <c r="K1073" i="1"/>
  <c r="H1073" i="1"/>
  <c r="G1073" i="1"/>
  <c r="F1073" i="1"/>
  <c r="E1073" i="1"/>
  <c r="D1073" i="1"/>
  <c r="C1073" i="1"/>
  <c r="A1073" i="1"/>
  <c r="K1072" i="1"/>
  <c r="H1072" i="1"/>
  <c r="F1072" i="1"/>
  <c r="E1072" i="1"/>
  <c r="D1072" i="1"/>
  <c r="C1072" i="1"/>
  <c r="A1072" i="1"/>
  <c r="M1071" i="1"/>
  <c r="L1071" i="1"/>
  <c r="K1071" i="1"/>
  <c r="H1071" i="1"/>
  <c r="G1071" i="1"/>
  <c r="F1071" i="1"/>
  <c r="E1071" i="1"/>
  <c r="D1071" i="1"/>
  <c r="C1071" i="1"/>
  <c r="A1071" i="1"/>
  <c r="L1070" i="1"/>
  <c r="K1070" i="1"/>
  <c r="H1070" i="1"/>
  <c r="G1070" i="1"/>
  <c r="F1070" i="1"/>
  <c r="E1070" i="1"/>
  <c r="D1070" i="1"/>
  <c r="C1070" i="1"/>
  <c r="A1070" i="1"/>
  <c r="L1069" i="1"/>
  <c r="K1069" i="1"/>
  <c r="H1069" i="1"/>
  <c r="G1069" i="1"/>
  <c r="F1069" i="1"/>
  <c r="E1069" i="1"/>
  <c r="D1069" i="1"/>
  <c r="C1069" i="1"/>
  <c r="A1069" i="1"/>
  <c r="L1068" i="1"/>
  <c r="K1068" i="1"/>
  <c r="H1068" i="1"/>
  <c r="G1068" i="1"/>
  <c r="F1068" i="1"/>
  <c r="E1068" i="1"/>
  <c r="D1068" i="1"/>
  <c r="C1068" i="1"/>
  <c r="A1068" i="1"/>
  <c r="L1067" i="1"/>
  <c r="K1067" i="1"/>
  <c r="H1067" i="1"/>
  <c r="G1067" i="1"/>
  <c r="F1067" i="1"/>
  <c r="E1067" i="1"/>
  <c r="D1067" i="1"/>
  <c r="C1067" i="1"/>
  <c r="A1067" i="1"/>
  <c r="L1066" i="1"/>
  <c r="K1066" i="1"/>
  <c r="H1066" i="1"/>
  <c r="G1066" i="1"/>
  <c r="F1066" i="1"/>
  <c r="E1066" i="1"/>
  <c r="D1066" i="1"/>
  <c r="C1066" i="1"/>
  <c r="A1066" i="1"/>
  <c r="L1065" i="1"/>
  <c r="K1065" i="1"/>
  <c r="H1065" i="1"/>
  <c r="G1065" i="1"/>
  <c r="F1065" i="1"/>
  <c r="E1065" i="1"/>
  <c r="D1065" i="1"/>
  <c r="C1065" i="1"/>
  <c r="A1065" i="1"/>
  <c r="L1064" i="1"/>
  <c r="K1064" i="1"/>
  <c r="H1064" i="1"/>
  <c r="G1064" i="1"/>
  <c r="F1064" i="1"/>
  <c r="E1064" i="1"/>
  <c r="D1064" i="1"/>
  <c r="C1064" i="1"/>
  <c r="A1064" i="1"/>
  <c r="L1063" i="1"/>
  <c r="K1063" i="1"/>
  <c r="H1063" i="1"/>
  <c r="G1063" i="1"/>
  <c r="F1063" i="1"/>
  <c r="E1063" i="1"/>
  <c r="D1063" i="1"/>
  <c r="C1063" i="1"/>
  <c r="A1063" i="1"/>
  <c r="M1062" i="1"/>
  <c r="L1062" i="1"/>
  <c r="K1062" i="1"/>
  <c r="H1062" i="1"/>
  <c r="G1062" i="1"/>
  <c r="F1062" i="1"/>
  <c r="E1062" i="1"/>
  <c r="D1062" i="1"/>
  <c r="C1062" i="1"/>
  <c r="A1062" i="1"/>
  <c r="L1061" i="1"/>
  <c r="K1061" i="1"/>
  <c r="H1061" i="1"/>
  <c r="G1061" i="1"/>
  <c r="F1061" i="1"/>
  <c r="E1061" i="1"/>
  <c r="D1061" i="1"/>
  <c r="C1061" i="1"/>
  <c r="A1061" i="1"/>
  <c r="M1060" i="1"/>
  <c r="L1060" i="1"/>
  <c r="K1060" i="1"/>
  <c r="H1060" i="1"/>
  <c r="G1060" i="1"/>
  <c r="F1060" i="1"/>
  <c r="E1060" i="1"/>
  <c r="D1060" i="1"/>
  <c r="C1060" i="1"/>
  <c r="A1060" i="1"/>
  <c r="L1059" i="1"/>
  <c r="K1059" i="1"/>
  <c r="H1059" i="1"/>
  <c r="G1059" i="1"/>
  <c r="F1059" i="1"/>
  <c r="E1059" i="1"/>
  <c r="D1059" i="1"/>
  <c r="C1059" i="1"/>
  <c r="A1059" i="1"/>
  <c r="L1058" i="1"/>
  <c r="K1058" i="1"/>
  <c r="H1058" i="1"/>
  <c r="G1058" i="1"/>
  <c r="F1058" i="1"/>
  <c r="E1058" i="1"/>
  <c r="D1058" i="1"/>
  <c r="C1058" i="1"/>
  <c r="A1058" i="1"/>
  <c r="M1057" i="1"/>
  <c r="L1057" i="1"/>
  <c r="K1057" i="1"/>
  <c r="H1057" i="1"/>
  <c r="G1057" i="1"/>
  <c r="F1057" i="1"/>
  <c r="E1057" i="1"/>
  <c r="D1057" i="1"/>
  <c r="C1057" i="1"/>
  <c r="A1057" i="1"/>
  <c r="M1056" i="1"/>
  <c r="K1056" i="1"/>
  <c r="H1056" i="1"/>
  <c r="G1056" i="1"/>
  <c r="F1056" i="1"/>
  <c r="E1056" i="1"/>
  <c r="D1056" i="1"/>
  <c r="C1056" i="1"/>
  <c r="A1056" i="1"/>
  <c r="K1055" i="1"/>
  <c r="H1055" i="1"/>
  <c r="G1055" i="1"/>
  <c r="F1055" i="1"/>
  <c r="E1055" i="1"/>
  <c r="D1055" i="1"/>
  <c r="C1055" i="1"/>
  <c r="A1055" i="1"/>
  <c r="M1054" i="1"/>
  <c r="L1054" i="1"/>
  <c r="K1054" i="1"/>
  <c r="H1054" i="1"/>
  <c r="G1054" i="1"/>
  <c r="F1054" i="1"/>
  <c r="E1054" i="1"/>
  <c r="D1054" i="1"/>
  <c r="C1054" i="1"/>
  <c r="A1054" i="1"/>
  <c r="M1053" i="1"/>
  <c r="L1053" i="1"/>
  <c r="K1053" i="1"/>
  <c r="H1053" i="1"/>
  <c r="G1053" i="1"/>
  <c r="F1053" i="1"/>
  <c r="E1053" i="1"/>
  <c r="D1053" i="1"/>
  <c r="C1053" i="1"/>
  <c r="A1053" i="1"/>
  <c r="M1052" i="1"/>
  <c r="L1052" i="1"/>
  <c r="K1052" i="1"/>
  <c r="H1052" i="1"/>
  <c r="G1052" i="1"/>
  <c r="F1052" i="1"/>
  <c r="E1052" i="1"/>
  <c r="D1052" i="1"/>
  <c r="C1052" i="1"/>
  <c r="A1052" i="1"/>
  <c r="M1051" i="1"/>
  <c r="L1051" i="1"/>
  <c r="K1051" i="1"/>
  <c r="H1051" i="1"/>
  <c r="G1051" i="1"/>
  <c r="F1051" i="1"/>
  <c r="E1051" i="1"/>
  <c r="D1051" i="1"/>
  <c r="C1051" i="1"/>
  <c r="A1051" i="1"/>
  <c r="L1050" i="1"/>
  <c r="K1050" i="1"/>
  <c r="H1050" i="1"/>
  <c r="G1050" i="1"/>
  <c r="F1050" i="1"/>
  <c r="E1050" i="1"/>
  <c r="D1050" i="1"/>
  <c r="C1050" i="1"/>
  <c r="A1050" i="1"/>
  <c r="L1049" i="1"/>
  <c r="K1049" i="1"/>
  <c r="H1049" i="1"/>
  <c r="G1049" i="1"/>
  <c r="F1049" i="1"/>
  <c r="E1049" i="1"/>
  <c r="D1049" i="1"/>
  <c r="C1049" i="1"/>
  <c r="A1049" i="1"/>
  <c r="L1048" i="1"/>
  <c r="K1048" i="1"/>
  <c r="H1048" i="1"/>
  <c r="G1048" i="1"/>
  <c r="F1048" i="1"/>
  <c r="E1048" i="1"/>
  <c r="D1048" i="1"/>
  <c r="C1048" i="1"/>
  <c r="A1048" i="1"/>
  <c r="L1047" i="1"/>
  <c r="K1047" i="1"/>
  <c r="H1047" i="1"/>
  <c r="G1047" i="1"/>
  <c r="F1047" i="1"/>
  <c r="E1047" i="1"/>
  <c r="D1047" i="1"/>
  <c r="C1047" i="1"/>
  <c r="A1047" i="1"/>
  <c r="L1046" i="1"/>
  <c r="K1046" i="1"/>
  <c r="H1046" i="1"/>
  <c r="G1046" i="1"/>
  <c r="F1046" i="1"/>
  <c r="E1046" i="1"/>
  <c r="D1046" i="1"/>
  <c r="C1046" i="1"/>
  <c r="A1046" i="1"/>
  <c r="L1045" i="1"/>
  <c r="K1045" i="1"/>
  <c r="H1045" i="1"/>
  <c r="G1045" i="1"/>
  <c r="F1045" i="1"/>
  <c r="E1045" i="1"/>
  <c r="D1045" i="1"/>
  <c r="C1045" i="1"/>
  <c r="A1045" i="1"/>
  <c r="L1044" i="1"/>
  <c r="K1044" i="1"/>
  <c r="H1044" i="1"/>
  <c r="G1044" i="1"/>
  <c r="F1044" i="1"/>
  <c r="E1044" i="1"/>
  <c r="D1044" i="1"/>
  <c r="C1044" i="1"/>
  <c r="A1044" i="1"/>
  <c r="L1043" i="1"/>
  <c r="K1043" i="1"/>
  <c r="H1043" i="1"/>
  <c r="G1043" i="1"/>
  <c r="F1043" i="1"/>
  <c r="E1043" i="1"/>
  <c r="D1043" i="1"/>
  <c r="C1043" i="1"/>
  <c r="A1043" i="1"/>
  <c r="M1042" i="1"/>
  <c r="L1042" i="1"/>
  <c r="K1042" i="1"/>
  <c r="H1042" i="1"/>
  <c r="G1042" i="1"/>
  <c r="F1042" i="1"/>
  <c r="E1042" i="1"/>
  <c r="D1042" i="1"/>
  <c r="C1042" i="1"/>
  <c r="A1042" i="1"/>
  <c r="L1041" i="1"/>
  <c r="K1041" i="1"/>
  <c r="H1041" i="1"/>
  <c r="G1041" i="1"/>
  <c r="F1041" i="1"/>
  <c r="E1041" i="1"/>
  <c r="D1041" i="1"/>
  <c r="C1041" i="1"/>
  <c r="A1041" i="1"/>
  <c r="L1040" i="1"/>
  <c r="K1040" i="1"/>
  <c r="H1040" i="1"/>
  <c r="G1040" i="1"/>
  <c r="F1040" i="1"/>
  <c r="E1040" i="1"/>
  <c r="D1040" i="1"/>
  <c r="C1040" i="1"/>
  <c r="A1040" i="1"/>
  <c r="M1039" i="1"/>
  <c r="K1039" i="1"/>
  <c r="H1039" i="1"/>
  <c r="G1039" i="1"/>
  <c r="F1039" i="1"/>
  <c r="E1039" i="1"/>
  <c r="D1039" i="1"/>
  <c r="C1039" i="1"/>
  <c r="A1039" i="1"/>
  <c r="K1038" i="1"/>
  <c r="H1038" i="1"/>
  <c r="G1038" i="1"/>
  <c r="F1038" i="1"/>
  <c r="E1038" i="1"/>
  <c r="D1038" i="1"/>
  <c r="C1038" i="1"/>
  <c r="A1038" i="1"/>
  <c r="L1037" i="1"/>
  <c r="K1037" i="1"/>
  <c r="H1037" i="1"/>
  <c r="G1037" i="1"/>
  <c r="F1037" i="1"/>
  <c r="E1037" i="1"/>
  <c r="D1037" i="1"/>
  <c r="C1037" i="1"/>
  <c r="A1037" i="1"/>
  <c r="K1036" i="1"/>
  <c r="H1036" i="1"/>
  <c r="G1036" i="1"/>
  <c r="F1036" i="1"/>
  <c r="E1036" i="1"/>
  <c r="D1036" i="1"/>
  <c r="C1036" i="1"/>
  <c r="A1036" i="1"/>
  <c r="L1035" i="1"/>
  <c r="K1035" i="1"/>
  <c r="H1035" i="1"/>
  <c r="G1035" i="1"/>
  <c r="F1035" i="1"/>
  <c r="E1035" i="1"/>
  <c r="D1035" i="1"/>
  <c r="C1035" i="1"/>
  <c r="A1035" i="1"/>
  <c r="M1034" i="1"/>
  <c r="L1034" i="1"/>
  <c r="K1034" i="1"/>
  <c r="H1034" i="1"/>
  <c r="G1034" i="1"/>
  <c r="F1034" i="1"/>
  <c r="E1034" i="1"/>
  <c r="D1034" i="1"/>
  <c r="C1034" i="1"/>
  <c r="A1034" i="1"/>
  <c r="K1033" i="1"/>
  <c r="H1033" i="1"/>
  <c r="G1033" i="1"/>
  <c r="F1033" i="1"/>
  <c r="E1033" i="1"/>
  <c r="D1033" i="1"/>
  <c r="C1033" i="1"/>
  <c r="A1033" i="1"/>
  <c r="H1032" i="1"/>
  <c r="F1032" i="1"/>
  <c r="E1032" i="1"/>
  <c r="D1032" i="1"/>
  <c r="C1032" i="1"/>
  <c r="A1032" i="1"/>
  <c r="L1031" i="1"/>
  <c r="K1031" i="1"/>
  <c r="H1031" i="1"/>
  <c r="G1031" i="1"/>
  <c r="F1031" i="1"/>
  <c r="E1031" i="1"/>
  <c r="D1031" i="1"/>
  <c r="C1031" i="1"/>
  <c r="A1031" i="1"/>
  <c r="K1030" i="1"/>
  <c r="H1030" i="1"/>
  <c r="G1030" i="1"/>
  <c r="F1030" i="1"/>
  <c r="E1030" i="1"/>
  <c r="D1030" i="1"/>
  <c r="C1030" i="1"/>
  <c r="A1030" i="1"/>
  <c r="L1029" i="1"/>
  <c r="K1029" i="1"/>
  <c r="H1029" i="1"/>
  <c r="G1029" i="1"/>
  <c r="F1029" i="1"/>
  <c r="E1029" i="1"/>
  <c r="D1029" i="1"/>
  <c r="C1029" i="1"/>
  <c r="A1029" i="1"/>
  <c r="L1028" i="1"/>
  <c r="K1028" i="1"/>
  <c r="H1028" i="1"/>
  <c r="G1028" i="1"/>
  <c r="F1028" i="1"/>
  <c r="E1028" i="1"/>
  <c r="D1028" i="1"/>
  <c r="C1028" i="1"/>
  <c r="A1028" i="1"/>
  <c r="M1027" i="1"/>
  <c r="L1027" i="1"/>
  <c r="K1027" i="1"/>
  <c r="H1027" i="1"/>
  <c r="G1027" i="1"/>
  <c r="F1027" i="1"/>
  <c r="E1027" i="1"/>
  <c r="D1027" i="1"/>
  <c r="C1027" i="1"/>
  <c r="A1027" i="1"/>
  <c r="L1026" i="1"/>
  <c r="K1026" i="1"/>
  <c r="H1026" i="1"/>
  <c r="G1026" i="1"/>
  <c r="F1026" i="1"/>
  <c r="E1026" i="1"/>
  <c r="D1026" i="1"/>
  <c r="C1026" i="1"/>
  <c r="A1026" i="1"/>
  <c r="L1025" i="1"/>
  <c r="K1025" i="1"/>
  <c r="H1025" i="1"/>
  <c r="G1025" i="1"/>
  <c r="F1025" i="1"/>
  <c r="E1025" i="1"/>
  <c r="D1025" i="1"/>
  <c r="C1025" i="1"/>
  <c r="A1025" i="1"/>
  <c r="L1024" i="1"/>
  <c r="K1024" i="1"/>
  <c r="H1024" i="1"/>
  <c r="G1024" i="1"/>
  <c r="F1024" i="1"/>
  <c r="E1024" i="1"/>
  <c r="D1024" i="1"/>
  <c r="C1024" i="1"/>
  <c r="A1024" i="1"/>
  <c r="L1023" i="1"/>
  <c r="K1023" i="1"/>
  <c r="H1023" i="1"/>
  <c r="G1023" i="1"/>
  <c r="F1023" i="1"/>
  <c r="E1023" i="1"/>
  <c r="D1023" i="1"/>
  <c r="C1023" i="1"/>
  <c r="A1023" i="1"/>
  <c r="M1022" i="1"/>
  <c r="K1022" i="1"/>
  <c r="H1022" i="1"/>
  <c r="G1022" i="1"/>
  <c r="F1022" i="1"/>
  <c r="E1022" i="1"/>
  <c r="D1022" i="1"/>
  <c r="C1022" i="1"/>
  <c r="A1022" i="1"/>
  <c r="K1021" i="1"/>
  <c r="H1021" i="1"/>
  <c r="G1021" i="1"/>
  <c r="F1021" i="1"/>
  <c r="E1021" i="1"/>
  <c r="D1021" i="1"/>
  <c r="C1021" i="1"/>
  <c r="A1021" i="1"/>
  <c r="M1020" i="1"/>
  <c r="L1020" i="1"/>
  <c r="K1020" i="1"/>
  <c r="H1020" i="1"/>
  <c r="G1020" i="1"/>
  <c r="F1020" i="1"/>
  <c r="E1020" i="1"/>
  <c r="D1020" i="1"/>
  <c r="C1020" i="1"/>
  <c r="A1020" i="1"/>
  <c r="K1019" i="1"/>
  <c r="H1019" i="1"/>
  <c r="G1019" i="1"/>
  <c r="F1019" i="1"/>
  <c r="E1019" i="1"/>
  <c r="D1019" i="1"/>
  <c r="C1019" i="1"/>
  <c r="A1019" i="1"/>
  <c r="M1018" i="1"/>
  <c r="K1018" i="1"/>
  <c r="H1018" i="1"/>
  <c r="G1018" i="1"/>
  <c r="F1018" i="1"/>
  <c r="E1018" i="1"/>
  <c r="D1018" i="1"/>
  <c r="C1018" i="1"/>
  <c r="A1018" i="1"/>
  <c r="M1017" i="1"/>
  <c r="K1017" i="1"/>
  <c r="H1017" i="1"/>
  <c r="G1017" i="1"/>
  <c r="F1017" i="1"/>
  <c r="E1017" i="1"/>
  <c r="D1017" i="1"/>
  <c r="C1017" i="1"/>
  <c r="A1017" i="1"/>
  <c r="H1016" i="1"/>
  <c r="G1016" i="1"/>
  <c r="F1016" i="1"/>
  <c r="E1016" i="1"/>
  <c r="D1016" i="1"/>
  <c r="C1016" i="1"/>
  <c r="A1016" i="1"/>
  <c r="H1015" i="1"/>
  <c r="G1015" i="1"/>
  <c r="F1015" i="1"/>
  <c r="E1015" i="1"/>
  <c r="D1015" i="1"/>
  <c r="C1015" i="1"/>
  <c r="A1015" i="1"/>
  <c r="H1014" i="1"/>
  <c r="G1014" i="1"/>
  <c r="F1014" i="1"/>
  <c r="E1014" i="1"/>
  <c r="D1014" i="1"/>
  <c r="C1014" i="1"/>
  <c r="A1014" i="1"/>
  <c r="K1013" i="1"/>
  <c r="H1013" i="1"/>
  <c r="G1013" i="1"/>
  <c r="F1013" i="1"/>
  <c r="E1013" i="1"/>
  <c r="D1013" i="1"/>
  <c r="C1013" i="1"/>
  <c r="A1013" i="1"/>
  <c r="H1012" i="1"/>
  <c r="F1012" i="1"/>
  <c r="E1012" i="1"/>
  <c r="D1012" i="1"/>
  <c r="C1012" i="1"/>
  <c r="A1012" i="1"/>
  <c r="M1011" i="1"/>
  <c r="K1011" i="1"/>
  <c r="H1011" i="1"/>
  <c r="G1011" i="1"/>
  <c r="F1011" i="1"/>
  <c r="E1011" i="1"/>
  <c r="D1011" i="1"/>
  <c r="C1011" i="1"/>
  <c r="A1011" i="1"/>
  <c r="M1010" i="1"/>
  <c r="K1010" i="1"/>
  <c r="H1010" i="1"/>
  <c r="G1010" i="1"/>
  <c r="F1010" i="1"/>
  <c r="E1010" i="1"/>
  <c r="D1010" i="1"/>
  <c r="C1010" i="1"/>
  <c r="A1010" i="1"/>
  <c r="I1009" i="1"/>
  <c r="H1009" i="1"/>
  <c r="F1009" i="1"/>
  <c r="E1009" i="1"/>
  <c r="D1009" i="1"/>
  <c r="C1009" i="1"/>
  <c r="A1009" i="1"/>
  <c r="M1008" i="1"/>
  <c r="L1008" i="1"/>
  <c r="K1008" i="1"/>
  <c r="H1008" i="1"/>
  <c r="G1008" i="1"/>
  <c r="F1008" i="1"/>
  <c r="E1008" i="1"/>
  <c r="D1008" i="1"/>
  <c r="C1008" i="1"/>
  <c r="A1008" i="1"/>
  <c r="M1007" i="1"/>
  <c r="L1007" i="1"/>
  <c r="K1007" i="1"/>
  <c r="H1007" i="1"/>
  <c r="G1007" i="1"/>
  <c r="F1007" i="1"/>
  <c r="E1007" i="1"/>
  <c r="D1007" i="1"/>
  <c r="C1007" i="1"/>
  <c r="A1007" i="1"/>
  <c r="L1006" i="1"/>
  <c r="K1006" i="1"/>
  <c r="H1006" i="1"/>
  <c r="G1006" i="1"/>
  <c r="F1006" i="1"/>
  <c r="E1006" i="1"/>
  <c r="D1006" i="1"/>
  <c r="C1006" i="1"/>
  <c r="A1006" i="1"/>
  <c r="M1005" i="1"/>
  <c r="L1005" i="1"/>
  <c r="K1005" i="1"/>
  <c r="H1005" i="1"/>
  <c r="G1005" i="1"/>
  <c r="F1005" i="1"/>
  <c r="E1005" i="1"/>
  <c r="D1005" i="1"/>
  <c r="C1005" i="1"/>
  <c r="A1005" i="1"/>
  <c r="M1004" i="1"/>
  <c r="L1004" i="1"/>
  <c r="K1004" i="1"/>
  <c r="H1004" i="1"/>
  <c r="G1004" i="1"/>
  <c r="F1004" i="1"/>
  <c r="E1004" i="1"/>
  <c r="D1004" i="1"/>
  <c r="C1004" i="1"/>
  <c r="A1004" i="1"/>
  <c r="L1003" i="1"/>
  <c r="K1003" i="1"/>
  <c r="H1003" i="1"/>
  <c r="G1003" i="1"/>
  <c r="F1003" i="1"/>
  <c r="E1003" i="1"/>
  <c r="D1003" i="1"/>
  <c r="C1003" i="1"/>
  <c r="A1003" i="1"/>
  <c r="L1002" i="1"/>
  <c r="K1002" i="1"/>
  <c r="H1002" i="1"/>
  <c r="G1002" i="1"/>
  <c r="F1002" i="1"/>
  <c r="E1002" i="1"/>
  <c r="D1002" i="1"/>
  <c r="C1002" i="1"/>
  <c r="A1002" i="1"/>
  <c r="L1001" i="1"/>
  <c r="K1001" i="1"/>
  <c r="H1001" i="1"/>
  <c r="G1001" i="1"/>
  <c r="F1001" i="1"/>
  <c r="E1001" i="1"/>
  <c r="D1001" i="1"/>
  <c r="C1001" i="1"/>
  <c r="A1001" i="1"/>
  <c r="L1000" i="1"/>
  <c r="K1000" i="1"/>
  <c r="H1000" i="1"/>
  <c r="G1000" i="1"/>
  <c r="F1000" i="1"/>
  <c r="E1000" i="1"/>
  <c r="D1000" i="1"/>
  <c r="C1000" i="1"/>
  <c r="A1000" i="1"/>
  <c r="L999" i="1"/>
  <c r="K999" i="1"/>
  <c r="H999" i="1"/>
  <c r="G999" i="1"/>
  <c r="F999" i="1"/>
  <c r="E999" i="1"/>
  <c r="D999" i="1"/>
  <c r="C999" i="1"/>
  <c r="A999" i="1"/>
  <c r="L998" i="1"/>
  <c r="K998" i="1"/>
  <c r="H998" i="1"/>
  <c r="G998" i="1"/>
  <c r="F998" i="1"/>
  <c r="E998" i="1"/>
  <c r="D998" i="1"/>
  <c r="C998" i="1"/>
  <c r="A998" i="1"/>
  <c r="L997" i="1"/>
  <c r="K997" i="1"/>
  <c r="H997" i="1"/>
  <c r="G997" i="1"/>
  <c r="F997" i="1"/>
  <c r="E997" i="1"/>
  <c r="D997" i="1"/>
  <c r="C997" i="1"/>
  <c r="A997" i="1"/>
  <c r="L996" i="1"/>
  <c r="K996" i="1"/>
  <c r="H996" i="1"/>
  <c r="G996" i="1"/>
  <c r="F996" i="1"/>
  <c r="E996" i="1"/>
  <c r="D996" i="1"/>
  <c r="C996" i="1"/>
  <c r="A996" i="1"/>
  <c r="L995" i="1"/>
  <c r="K995" i="1"/>
  <c r="H995" i="1"/>
  <c r="G995" i="1"/>
  <c r="F995" i="1"/>
  <c r="E995" i="1"/>
  <c r="D995" i="1"/>
  <c r="C995" i="1"/>
  <c r="A995" i="1"/>
  <c r="L994" i="1"/>
  <c r="K994" i="1"/>
  <c r="H994" i="1"/>
  <c r="G994" i="1"/>
  <c r="F994" i="1"/>
  <c r="E994" i="1"/>
  <c r="D994" i="1"/>
  <c r="C994" i="1"/>
  <c r="A994" i="1"/>
  <c r="L993" i="1"/>
  <c r="K993" i="1"/>
  <c r="H993" i="1"/>
  <c r="G993" i="1"/>
  <c r="F993" i="1"/>
  <c r="E993" i="1"/>
  <c r="D993" i="1"/>
  <c r="C993" i="1"/>
  <c r="A993" i="1"/>
  <c r="L992" i="1"/>
  <c r="K992" i="1"/>
  <c r="H992" i="1"/>
  <c r="G992" i="1"/>
  <c r="F992" i="1"/>
  <c r="E992" i="1"/>
  <c r="D992" i="1"/>
  <c r="C992" i="1"/>
  <c r="A992" i="1"/>
  <c r="L991" i="1"/>
  <c r="K991" i="1"/>
  <c r="H991" i="1"/>
  <c r="G991" i="1"/>
  <c r="F991" i="1"/>
  <c r="E991" i="1"/>
  <c r="D991" i="1"/>
  <c r="C991" i="1"/>
  <c r="A991" i="1"/>
  <c r="L990" i="1"/>
  <c r="K990" i="1"/>
  <c r="H990" i="1"/>
  <c r="G990" i="1"/>
  <c r="F990" i="1"/>
  <c r="E990" i="1"/>
  <c r="D990" i="1"/>
  <c r="C990" i="1"/>
  <c r="A990" i="1"/>
  <c r="L989" i="1"/>
  <c r="K989" i="1"/>
  <c r="H989" i="1"/>
  <c r="G989" i="1"/>
  <c r="F989" i="1"/>
  <c r="E989" i="1"/>
  <c r="D989" i="1"/>
  <c r="C989" i="1"/>
  <c r="A989" i="1"/>
  <c r="K988" i="1"/>
  <c r="I988" i="1"/>
  <c r="H988" i="1"/>
  <c r="G988" i="1"/>
  <c r="F988" i="1"/>
  <c r="E988" i="1"/>
  <c r="D988" i="1"/>
  <c r="C988" i="1"/>
  <c r="A988" i="1"/>
  <c r="M987" i="1"/>
  <c r="L987" i="1"/>
  <c r="K987" i="1"/>
  <c r="H987" i="1"/>
  <c r="G987" i="1"/>
  <c r="F987" i="1"/>
  <c r="E987" i="1"/>
  <c r="D987" i="1"/>
  <c r="C987" i="1"/>
  <c r="A987" i="1"/>
  <c r="I986" i="1"/>
  <c r="H986" i="1"/>
  <c r="G986" i="1"/>
  <c r="F986" i="1"/>
  <c r="E986" i="1"/>
  <c r="D986" i="1"/>
  <c r="C986" i="1"/>
  <c r="A986" i="1"/>
  <c r="H985" i="1"/>
  <c r="G985" i="1"/>
  <c r="F985" i="1"/>
  <c r="E985" i="1"/>
  <c r="D985" i="1"/>
  <c r="C985" i="1"/>
  <c r="A985" i="1"/>
  <c r="H984" i="1"/>
  <c r="F984" i="1"/>
  <c r="E984" i="1"/>
  <c r="D984" i="1"/>
  <c r="C984" i="1"/>
  <c r="A984" i="1"/>
  <c r="M983" i="1"/>
  <c r="L983" i="1"/>
  <c r="K983" i="1"/>
  <c r="H983" i="1"/>
  <c r="G983" i="1"/>
  <c r="F983" i="1"/>
  <c r="E983" i="1"/>
  <c r="D983" i="1"/>
  <c r="C983" i="1"/>
  <c r="A983" i="1"/>
  <c r="L982" i="1"/>
  <c r="K982" i="1"/>
  <c r="H982" i="1"/>
  <c r="G982" i="1"/>
  <c r="F982" i="1"/>
  <c r="E982" i="1"/>
  <c r="D982" i="1"/>
  <c r="C982" i="1"/>
  <c r="A982" i="1"/>
  <c r="L981" i="1"/>
  <c r="K981" i="1"/>
  <c r="H981" i="1"/>
  <c r="G981" i="1"/>
  <c r="F981" i="1"/>
  <c r="E981" i="1"/>
  <c r="D981" i="1"/>
  <c r="C981" i="1"/>
  <c r="A981" i="1"/>
  <c r="M980" i="1"/>
  <c r="L980" i="1"/>
  <c r="K980" i="1"/>
  <c r="H980" i="1"/>
  <c r="G980" i="1"/>
  <c r="F980" i="1"/>
  <c r="E980" i="1"/>
  <c r="D980" i="1"/>
  <c r="C980" i="1"/>
  <c r="A980" i="1"/>
  <c r="M979" i="1"/>
  <c r="L979" i="1"/>
  <c r="K979" i="1"/>
  <c r="H979" i="1"/>
  <c r="G979" i="1"/>
  <c r="F979" i="1"/>
  <c r="E979" i="1"/>
  <c r="D979" i="1"/>
  <c r="C979" i="1"/>
  <c r="A979" i="1"/>
  <c r="L978" i="1"/>
  <c r="K978" i="1"/>
  <c r="H978" i="1"/>
  <c r="G978" i="1"/>
  <c r="F978" i="1"/>
  <c r="E978" i="1"/>
  <c r="D978" i="1"/>
  <c r="C978" i="1"/>
  <c r="A978" i="1"/>
  <c r="L977" i="1"/>
  <c r="K977" i="1"/>
  <c r="H977" i="1"/>
  <c r="G977" i="1"/>
  <c r="F977" i="1"/>
  <c r="E977" i="1"/>
  <c r="D977" i="1"/>
  <c r="C977" i="1"/>
  <c r="A977" i="1"/>
  <c r="L976" i="1"/>
  <c r="K976" i="1"/>
  <c r="H976" i="1"/>
  <c r="G976" i="1"/>
  <c r="F976" i="1"/>
  <c r="E976" i="1"/>
  <c r="D976" i="1"/>
  <c r="C976" i="1"/>
  <c r="A976" i="1"/>
  <c r="L975" i="1"/>
  <c r="K975" i="1"/>
  <c r="H975" i="1"/>
  <c r="G975" i="1"/>
  <c r="F975" i="1"/>
  <c r="E975" i="1"/>
  <c r="D975" i="1"/>
  <c r="C975" i="1"/>
  <c r="A975" i="1"/>
  <c r="L974" i="1"/>
  <c r="K974" i="1"/>
  <c r="H974" i="1"/>
  <c r="G974" i="1"/>
  <c r="F974" i="1"/>
  <c r="E974" i="1"/>
  <c r="D974" i="1"/>
  <c r="C974" i="1"/>
  <c r="A974" i="1"/>
  <c r="L973" i="1"/>
  <c r="K973" i="1"/>
  <c r="H973" i="1"/>
  <c r="G973" i="1"/>
  <c r="F973" i="1"/>
  <c r="E973" i="1"/>
  <c r="D973" i="1"/>
  <c r="C973" i="1"/>
  <c r="A973" i="1"/>
  <c r="L972" i="1"/>
  <c r="K972" i="1"/>
  <c r="H972" i="1"/>
  <c r="G972" i="1"/>
  <c r="F972" i="1"/>
  <c r="E972" i="1"/>
  <c r="D972" i="1"/>
  <c r="C972" i="1"/>
  <c r="A972" i="1"/>
  <c r="M971" i="1"/>
  <c r="L971" i="1"/>
  <c r="K971" i="1"/>
  <c r="H971" i="1"/>
  <c r="G971" i="1"/>
  <c r="F971" i="1"/>
  <c r="E971" i="1"/>
  <c r="D971" i="1"/>
  <c r="C971" i="1"/>
  <c r="A971" i="1"/>
  <c r="L970" i="1"/>
  <c r="K970" i="1"/>
  <c r="H970" i="1"/>
  <c r="G970" i="1"/>
  <c r="F970" i="1"/>
  <c r="E970" i="1"/>
  <c r="D970" i="1"/>
  <c r="C970" i="1"/>
  <c r="A970" i="1"/>
  <c r="L969" i="1"/>
  <c r="K969" i="1"/>
  <c r="H969" i="1"/>
  <c r="G969" i="1"/>
  <c r="F969" i="1"/>
  <c r="E969" i="1"/>
  <c r="D969" i="1"/>
  <c r="C969" i="1"/>
  <c r="A969" i="1"/>
  <c r="L968" i="1"/>
  <c r="K968" i="1"/>
  <c r="H968" i="1"/>
  <c r="G968" i="1"/>
  <c r="F968" i="1"/>
  <c r="E968" i="1"/>
  <c r="D968" i="1"/>
  <c r="C968" i="1"/>
  <c r="A968" i="1"/>
  <c r="L967" i="1"/>
  <c r="K967" i="1"/>
  <c r="H967" i="1"/>
  <c r="G967" i="1"/>
  <c r="F967" i="1"/>
  <c r="E967" i="1"/>
  <c r="D967" i="1"/>
  <c r="C967" i="1"/>
  <c r="A967" i="1"/>
  <c r="L966" i="1"/>
  <c r="K966" i="1"/>
  <c r="H966" i="1"/>
  <c r="G966" i="1"/>
  <c r="F966" i="1"/>
  <c r="E966" i="1"/>
  <c r="D966" i="1"/>
  <c r="C966" i="1"/>
  <c r="A966" i="1"/>
  <c r="L965" i="1"/>
  <c r="K965" i="1"/>
  <c r="H965" i="1"/>
  <c r="G965" i="1"/>
  <c r="F965" i="1"/>
  <c r="E965" i="1"/>
  <c r="D965" i="1"/>
  <c r="C965" i="1"/>
  <c r="A965" i="1"/>
  <c r="L964" i="1"/>
  <c r="K964" i="1"/>
  <c r="H964" i="1"/>
  <c r="G964" i="1"/>
  <c r="F964" i="1"/>
  <c r="E964" i="1"/>
  <c r="D964" i="1"/>
  <c r="C964" i="1"/>
  <c r="A964" i="1"/>
  <c r="L963" i="1"/>
  <c r="K963" i="1"/>
  <c r="H963" i="1"/>
  <c r="G963" i="1"/>
  <c r="F963" i="1"/>
  <c r="E963" i="1"/>
  <c r="D963" i="1"/>
  <c r="C963" i="1"/>
  <c r="A963" i="1"/>
  <c r="L962" i="1"/>
  <c r="K962" i="1"/>
  <c r="H962" i="1"/>
  <c r="G962" i="1"/>
  <c r="F962" i="1"/>
  <c r="E962" i="1"/>
  <c r="D962" i="1"/>
  <c r="C962" i="1"/>
  <c r="A962" i="1"/>
  <c r="L961" i="1"/>
  <c r="K961" i="1"/>
  <c r="H961" i="1"/>
  <c r="G961" i="1"/>
  <c r="F961" i="1"/>
  <c r="E961" i="1"/>
  <c r="D961" i="1"/>
  <c r="C961" i="1"/>
  <c r="A961" i="1"/>
  <c r="L960" i="1"/>
  <c r="K960" i="1"/>
  <c r="H960" i="1"/>
  <c r="G960" i="1"/>
  <c r="F960" i="1"/>
  <c r="E960" i="1"/>
  <c r="D960" i="1"/>
  <c r="C960" i="1"/>
  <c r="A960" i="1"/>
  <c r="L959" i="1"/>
  <c r="K959" i="1"/>
  <c r="H959" i="1"/>
  <c r="G959" i="1"/>
  <c r="F959" i="1"/>
  <c r="E959" i="1"/>
  <c r="D959" i="1"/>
  <c r="C959" i="1"/>
  <c r="A959" i="1"/>
  <c r="M958" i="1"/>
  <c r="L958" i="1"/>
  <c r="K958" i="1"/>
  <c r="H958" i="1"/>
  <c r="G958" i="1"/>
  <c r="F958" i="1"/>
  <c r="E958" i="1"/>
  <c r="D958" i="1"/>
  <c r="C958" i="1"/>
  <c r="A958" i="1"/>
  <c r="L957" i="1"/>
  <c r="K957" i="1"/>
  <c r="H957" i="1"/>
  <c r="G957" i="1"/>
  <c r="F957" i="1"/>
  <c r="E957" i="1"/>
  <c r="D957" i="1"/>
  <c r="C957" i="1"/>
  <c r="A957" i="1"/>
  <c r="L956" i="1"/>
  <c r="K956" i="1"/>
  <c r="H956" i="1"/>
  <c r="G956" i="1"/>
  <c r="F956" i="1"/>
  <c r="E956" i="1"/>
  <c r="D956" i="1"/>
  <c r="C956" i="1"/>
  <c r="A956" i="1"/>
  <c r="L955" i="1"/>
  <c r="K955" i="1"/>
  <c r="H955" i="1"/>
  <c r="G955" i="1"/>
  <c r="F955" i="1"/>
  <c r="E955" i="1"/>
  <c r="D955" i="1"/>
  <c r="C955" i="1"/>
  <c r="A955" i="1"/>
  <c r="L954" i="1"/>
  <c r="K954" i="1"/>
  <c r="H954" i="1"/>
  <c r="G954" i="1"/>
  <c r="F954" i="1"/>
  <c r="E954" i="1"/>
  <c r="D954" i="1"/>
  <c r="C954" i="1"/>
  <c r="A954" i="1"/>
  <c r="L953" i="1"/>
  <c r="K953" i="1"/>
  <c r="H953" i="1"/>
  <c r="G953" i="1"/>
  <c r="F953" i="1"/>
  <c r="E953" i="1"/>
  <c r="D953" i="1"/>
  <c r="C953" i="1"/>
  <c r="A953" i="1"/>
  <c r="H952" i="1"/>
  <c r="C952" i="1"/>
  <c r="A952" i="1"/>
  <c r="L951" i="1"/>
  <c r="K951" i="1"/>
  <c r="H951" i="1"/>
  <c r="G951" i="1"/>
  <c r="F951" i="1"/>
  <c r="E951" i="1"/>
  <c r="D951" i="1"/>
  <c r="C951" i="1"/>
  <c r="A951" i="1"/>
  <c r="L950" i="1"/>
  <c r="K950" i="1"/>
  <c r="H950" i="1"/>
  <c r="G950" i="1"/>
  <c r="F950" i="1"/>
  <c r="E950" i="1"/>
  <c r="D950" i="1"/>
  <c r="C950" i="1"/>
  <c r="A950" i="1"/>
  <c r="L949" i="1"/>
  <c r="K949" i="1"/>
  <c r="H949" i="1"/>
  <c r="G949" i="1"/>
  <c r="F949" i="1"/>
  <c r="E949" i="1"/>
  <c r="D949" i="1"/>
  <c r="C949" i="1"/>
  <c r="A949" i="1"/>
  <c r="L948" i="1"/>
  <c r="K948" i="1"/>
  <c r="I948" i="1"/>
  <c r="H948" i="1"/>
  <c r="G948" i="1"/>
  <c r="F948" i="1"/>
  <c r="E948" i="1"/>
  <c r="D948" i="1"/>
  <c r="C948" i="1"/>
  <c r="A948" i="1"/>
  <c r="L947" i="1"/>
  <c r="K947" i="1"/>
  <c r="H947" i="1"/>
  <c r="G947" i="1"/>
  <c r="F947" i="1"/>
  <c r="E947" i="1"/>
  <c r="D947" i="1"/>
  <c r="C947" i="1"/>
  <c r="A947" i="1"/>
  <c r="L946" i="1"/>
  <c r="K946" i="1"/>
  <c r="H946" i="1"/>
  <c r="G946" i="1"/>
  <c r="F946" i="1"/>
  <c r="E946" i="1"/>
  <c r="D946" i="1"/>
  <c r="C946" i="1"/>
  <c r="A946" i="1"/>
  <c r="L945" i="1"/>
  <c r="K945" i="1"/>
  <c r="H945" i="1"/>
  <c r="G945" i="1"/>
  <c r="F945" i="1"/>
  <c r="E945" i="1"/>
  <c r="D945" i="1"/>
  <c r="C945" i="1"/>
  <c r="A945" i="1"/>
  <c r="M944" i="1"/>
  <c r="L944" i="1"/>
  <c r="K944" i="1"/>
  <c r="H944" i="1"/>
  <c r="G944" i="1"/>
  <c r="F944" i="1"/>
  <c r="E944" i="1"/>
  <c r="D944" i="1"/>
  <c r="C944" i="1"/>
  <c r="A944" i="1"/>
  <c r="M943" i="1"/>
  <c r="L943" i="1"/>
  <c r="K943" i="1"/>
  <c r="H943" i="1"/>
  <c r="G943" i="1"/>
  <c r="F943" i="1"/>
  <c r="E943" i="1"/>
  <c r="D943" i="1"/>
  <c r="C943" i="1"/>
  <c r="A943" i="1"/>
  <c r="K942" i="1"/>
  <c r="H942" i="1"/>
  <c r="G942" i="1"/>
  <c r="F942" i="1"/>
  <c r="E942" i="1"/>
  <c r="D942" i="1"/>
  <c r="C942" i="1"/>
  <c r="A942" i="1"/>
  <c r="M941" i="1"/>
  <c r="L941" i="1"/>
  <c r="K941" i="1"/>
  <c r="H941" i="1"/>
  <c r="G941" i="1"/>
  <c r="F941" i="1"/>
  <c r="E941" i="1"/>
  <c r="D941" i="1"/>
  <c r="C941" i="1"/>
  <c r="A941" i="1"/>
  <c r="L940" i="1"/>
  <c r="K940" i="1"/>
  <c r="H940" i="1"/>
  <c r="G940" i="1"/>
  <c r="F940" i="1"/>
  <c r="E940" i="1"/>
  <c r="D940" i="1"/>
  <c r="C940" i="1"/>
  <c r="A940" i="1"/>
  <c r="L939" i="1"/>
  <c r="K939" i="1"/>
  <c r="H939" i="1"/>
  <c r="G939" i="1"/>
  <c r="F939" i="1"/>
  <c r="E939" i="1"/>
  <c r="D939" i="1"/>
  <c r="C939" i="1"/>
  <c r="A939" i="1"/>
  <c r="L938" i="1"/>
  <c r="K938" i="1"/>
  <c r="H938" i="1"/>
  <c r="G938" i="1"/>
  <c r="F938" i="1"/>
  <c r="E938" i="1"/>
  <c r="D938" i="1"/>
  <c r="C938" i="1"/>
  <c r="A938" i="1"/>
  <c r="L937" i="1"/>
  <c r="K937" i="1"/>
  <c r="H937" i="1"/>
  <c r="G937" i="1"/>
  <c r="F937" i="1"/>
  <c r="E937" i="1"/>
  <c r="D937" i="1"/>
  <c r="C937" i="1"/>
  <c r="A937" i="1"/>
  <c r="M936" i="1"/>
  <c r="K936" i="1"/>
  <c r="H936" i="1"/>
  <c r="G936" i="1"/>
  <c r="F936" i="1"/>
  <c r="E936" i="1"/>
  <c r="D936" i="1"/>
  <c r="C936" i="1"/>
  <c r="A936" i="1"/>
  <c r="M935" i="1"/>
  <c r="L935" i="1"/>
  <c r="K935" i="1"/>
  <c r="H935" i="1"/>
  <c r="G935" i="1"/>
  <c r="F935" i="1"/>
  <c r="E935" i="1"/>
  <c r="D935" i="1"/>
  <c r="C935" i="1"/>
  <c r="A935" i="1"/>
  <c r="M934" i="1"/>
  <c r="L934" i="1"/>
  <c r="K934" i="1"/>
  <c r="H934" i="1"/>
  <c r="G934" i="1"/>
  <c r="F934" i="1"/>
  <c r="E934" i="1"/>
  <c r="D934" i="1"/>
  <c r="C934" i="1"/>
  <c r="A934" i="1"/>
  <c r="M933" i="1"/>
  <c r="L933" i="1"/>
  <c r="K933" i="1"/>
  <c r="H933" i="1"/>
  <c r="G933" i="1"/>
  <c r="F933" i="1"/>
  <c r="E933" i="1"/>
  <c r="D933" i="1"/>
  <c r="C933" i="1"/>
  <c r="A933" i="1"/>
  <c r="L932" i="1"/>
  <c r="K932" i="1"/>
  <c r="H932" i="1"/>
  <c r="G932" i="1"/>
  <c r="F932" i="1"/>
  <c r="E932" i="1"/>
  <c r="D932" i="1"/>
  <c r="C932" i="1"/>
  <c r="A932" i="1"/>
  <c r="L931" i="1"/>
  <c r="K931" i="1"/>
  <c r="H931" i="1"/>
  <c r="G931" i="1"/>
  <c r="F931" i="1"/>
  <c r="E931" i="1"/>
  <c r="D931" i="1"/>
  <c r="C931" i="1"/>
  <c r="A931" i="1"/>
  <c r="L930" i="1"/>
  <c r="K930" i="1"/>
  <c r="H930" i="1"/>
  <c r="G930" i="1"/>
  <c r="F930" i="1"/>
  <c r="E930" i="1"/>
  <c r="D930" i="1"/>
  <c r="C930" i="1"/>
  <c r="A930" i="1"/>
  <c r="L929" i="1"/>
  <c r="K929" i="1"/>
  <c r="H929" i="1"/>
  <c r="G929" i="1"/>
  <c r="F929" i="1"/>
  <c r="E929" i="1"/>
  <c r="D929" i="1"/>
  <c r="C929" i="1"/>
  <c r="A929" i="1"/>
  <c r="M928" i="1"/>
  <c r="L928" i="1"/>
  <c r="K928" i="1"/>
  <c r="H928" i="1"/>
  <c r="G928" i="1"/>
  <c r="F928" i="1"/>
  <c r="E928" i="1"/>
  <c r="D928" i="1"/>
  <c r="C928" i="1"/>
  <c r="A928" i="1"/>
  <c r="K927" i="1"/>
  <c r="H927" i="1"/>
  <c r="G927" i="1"/>
  <c r="F927" i="1"/>
  <c r="E927" i="1"/>
  <c r="D927" i="1"/>
  <c r="C927" i="1"/>
  <c r="A927" i="1"/>
  <c r="K926" i="1"/>
  <c r="H926" i="1"/>
  <c r="G926" i="1"/>
  <c r="F926" i="1"/>
  <c r="E926" i="1"/>
  <c r="D926" i="1"/>
  <c r="C926" i="1"/>
  <c r="A926" i="1"/>
  <c r="K925" i="1"/>
  <c r="H925" i="1"/>
  <c r="G925" i="1"/>
  <c r="F925" i="1"/>
  <c r="E925" i="1"/>
  <c r="D925" i="1"/>
  <c r="C925" i="1"/>
  <c r="A925" i="1"/>
  <c r="K924" i="1"/>
  <c r="H924" i="1"/>
  <c r="G924" i="1"/>
  <c r="F924" i="1"/>
  <c r="E924" i="1"/>
  <c r="D924" i="1"/>
  <c r="C924" i="1"/>
  <c r="A924" i="1"/>
  <c r="K923" i="1"/>
  <c r="H923" i="1"/>
  <c r="G923" i="1"/>
  <c r="F923" i="1"/>
  <c r="E923" i="1"/>
  <c r="D923" i="1"/>
  <c r="C923" i="1"/>
  <c r="A923" i="1"/>
  <c r="K922" i="1"/>
  <c r="H922" i="1"/>
  <c r="G922" i="1"/>
  <c r="F922" i="1"/>
  <c r="E922" i="1"/>
  <c r="D922" i="1"/>
  <c r="C922" i="1"/>
  <c r="A922" i="1"/>
  <c r="H921" i="1"/>
  <c r="G921" i="1"/>
  <c r="F921" i="1"/>
  <c r="E921" i="1"/>
  <c r="D921" i="1"/>
  <c r="C921" i="1"/>
  <c r="A921" i="1"/>
  <c r="H920" i="1"/>
  <c r="F920" i="1"/>
  <c r="E920" i="1"/>
  <c r="D920" i="1"/>
  <c r="C920" i="1"/>
  <c r="A920" i="1"/>
  <c r="K919" i="1"/>
  <c r="H919" i="1"/>
  <c r="G919" i="1"/>
  <c r="F919" i="1"/>
  <c r="E919" i="1"/>
  <c r="D919" i="1"/>
  <c r="C919" i="1"/>
  <c r="A919" i="1"/>
  <c r="K918" i="1"/>
  <c r="H918" i="1"/>
  <c r="G918" i="1"/>
  <c r="F918" i="1"/>
  <c r="E918" i="1"/>
  <c r="D918" i="1"/>
  <c r="C918" i="1"/>
  <c r="A918" i="1"/>
  <c r="L917" i="1"/>
  <c r="K917" i="1"/>
  <c r="H917" i="1"/>
  <c r="G917" i="1"/>
  <c r="F917" i="1"/>
  <c r="E917" i="1"/>
  <c r="D917" i="1"/>
  <c r="C917" i="1"/>
  <c r="A917" i="1"/>
  <c r="K916" i="1"/>
  <c r="H916" i="1"/>
  <c r="G916" i="1"/>
  <c r="F916" i="1"/>
  <c r="E916" i="1"/>
  <c r="D916" i="1"/>
  <c r="C916" i="1"/>
  <c r="A916" i="1"/>
  <c r="M915" i="1"/>
  <c r="L915" i="1"/>
  <c r="K915" i="1"/>
  <c r="H915" i="1"/>
  <c r="G915" i="1"/>
  <c r="F915" i="1"/>
  <c r="E915" i="1"/>
  <c r="D915" i="1"/>
  <c r="C915" i="1"/>
  <c r="A915" i="1"/>
  <c r="K914" i="1"/>
  <c r="H914" i="1"/>
  <c r="G914" i="1"/>
  <c r="F914" i="1"/>
  <c r="E914" i="1"/>
  <c r="D914" i="1"/>
  <c r="C914" i="1"/>
  <c r="A914" i="1"/>
  <c r="K913" i="1"/>
  <c r="H913" i="1"/>
  <c r="G913" i="1"/>
  <c r="F913" i="1"/>
  <c r="E913" i="1"/>
  <c r="D913" i="1"/>
  <c r="C913" i="1"/>
  <c r="A913" i="1"/>
  <c r="K912" i="1"/>
  <c r="H912" i="1"/>
  <c r="G912" i="1"/>
  <c r="F912" i="1"/>
  <c r="E912" i="1"/>
  <c r="D912" i="1"/>
  <c r="C912" i="1"/>
  <c r="A912" i="1"/>
  <c r="K911" i="1"/>
  <c r="H911" i="1"/>
  <c r="G911" i="1"/>
  <c r="F911" i="1"/>
  <c r="E911" i="1"/>
  <c r="D911" i="1"/>
  <c r="C911" i="1"/>
  <c r="A911" i="1"/>
  <c r="M910" i="1"/>
  <c r="K910" i="1"/>
  <c r="H910" i="1"/>
  <c r="G910" i="1"/>
  <c r="F910" i="1"/>
  <c r="E910" i="1"/>
  <c r="D910" i="1"/>
  <c r="C910" i="1"/>
  <c r="A910" i="1"/>
  <c r="K909" i="1"/>
  <c r="H909" i="1"/>
  <c r="G909" i="1"/>
  <c r="F909" i="1"/>
  <c r="E909" i="1"/>
  <c r="D909" i="1"/>
  <c r="C909" i="1"/>
  <c r="A909" i="1"/>
  <c r="K908" i="1"/>
  <c r="H908" i="1"/>
  <c r="G908" i="1"/>
  <c r="F908" i="1"/>
  <c r="E908" i="1"/>
  <c r="D908" i="1"/>
  <c r="C908" i="1"/>
  <c r="A908" i="1"/>
  <c r="K907" i="1"/>
  <c r="H907" i="1"/>
  <c r="G907" i="1"/>
  <c r="F907" i="1"/>
  <c r="E907" i="1"/>
  <c r="D907" i="1"/>
  <c r="C907" i="1"/>
  <c r="A907" i="1"/>
  <c r="L906" i="1"/>
  <c r="K906" i="1"/>
  <c r="H906" i="1"/>
  <c r="G906" i="1"/>
  <c r="F906" i="1"/>
  <c r="E906" i="1"/>
  <c r="D906" i="1"/>
  <c r="C906" i="1"/>
  <c r="A906" i="1"/>
  <c r="L905" i="1"/>
  <c r="K905" i="1"/>
  <c r="H905" i="1"/>
  <c r="G905" i="1"/>
  <c r="F905" i="1"/>
  <c r="E905" i="1"/>
  <c r="D905" i="1"/>
  <c r="C905" i="1"/>
  <c r="A905" i="1"/>
  <c r="L904" i="1"/>
  <c r="K904" i="1"/>
  <c r="H904" i="1"/>
  <c r="G904" i="1"/>
  <c r="F904" i="1"/>
  <c r="E904" i="1"/>
  <c r="D904" i="1"/>
  <c r="C904" i="1"/>
  <c r="A904" i="1"/>
  <c r="K903" i="1"/>
  <c r="H903" i="1"/>
  <c r="G903" i="1"/>
  <c r="F903" i="1"/>
  <c r="E903" i="1"/>
  <c r="D903" i="1"/>
  <c r="C903" i="1"/>
  <c r="A903" i="1"/>
  <c r="L902" i="1"/>
  <c r="K902" i="1"/>
  <c r="H902" i="1"/>
  <c r="G902" i="1"/>
  <c r="F902" i="1"/>
  <c r="E902" i="1"/>
  <c r="D902" i="1"/>
  <c r="C902" i="1"/>
  <c r="A902" i="1"/>
  <c r="K901" i="1"/>
  <c r="H901" i="1"/>
  <c r="G901" i="1"/>
  <c r="F901" i="1"/>
  <c r="E901" i="1"/>
  <c r="D901" i="1"/>
  <c r="C901" i="1"/>
  <c r="A901" i="1"/>
  <c r="K900" i="1"/>
  <c r="H900" i="1"/>
  <c r="G900" i="1"/>
  <c r="F900" i="1"/>
  <c r="E900" i="1"/>
  <c r="D900" i="1"/>
  <c r="C900" i="1"/>
  <c r="A900" i="1"/>
  <c r="K899" i="1"/>
  <c r="H899" i="1"/>
  <c r="G899" i="1"/>
  <c r="F899" i="1"/>
  <c r="E899" i="1"/>
  <c r="D899" i="1"/>
  <c r="C899" i="1"/>
  <c r="A899" i="1"/>
  <c r="M898" i="1"/>
  <c r="L898" i="1"/>
  <c r="K898" i="1"/>
  <c r="H898" i="1"/>
  <c r="G898" i="1"/>
  <c r="F898" i="1"/>
  <c r="E898" i="1"/>
  <c r="D898" i="1"/>
  <c r="C898" i="1"/>
  <c r="A898" i="1"/>
  <c r="K897" i="1"/>
  <c r="H897" i="1"/>
  <c r="G897" i="1"/>
  <c r="F897" i="1"/>
  <c r="E897" i="1"/>
  <c r="D897" i="1"/>
  <c r="C897" i="1"/>
  <c r="A897" i="1"/>
  <c r="K896" i="1"/>
  <c r="H896" i="1"/>
  <c r="G896" i="1"/>
  <c r="F896" i="1"/>
  <c r="E896" i="1"/>
  <c r="D896" i="1"/>
  <c r="C896" i="1"/>
  <c r="A896" i="1"/>
  <c r="M895" i="1"/>
  <c r="L895" i="1"/>
  <c r="K895" i="1"/>
  <c r="H895" i="1"/>
  <c r="G895" i="1"/>
  <c r="F895" i="1"/>
  <c r="E895" i="1"/>
  <c r="D895" i="1"/>
  <c r="C895" i="1"/>
  <c r="A895" i="1"/>
  <c r="K894" i="1"/>
  <c r="H894" i="1"/>
  <c r="G894" i="1"/>
  <c r="F894" i="1"/>
  <c r="E894" i="1"/>
  <c r="D894" i="1"/>
  <c r="C894" i="1"/>
  <c r="A894" i="1"/>
  <c r="K893" i="1"/>
  <c r="H893" i="1"/>
  <c r="G893" i="1"/>
  <c r="F893" i="1"/>
  <c r="E893" i="1"/>
  <c r="D893" i="1"/>
  <c r="C893" i="1"/>
  <c r="A893" i="1"/>
  <c r="M892" i="1"/>
  <c r="L892" i="1"/>
  <c r="K892" i="1"/>
  <c r="H892" i="1"/>
  <c r="G892" i="1"/>
  <c r="F892" i="1"/>
  <c r="E892" i="1"/>
  <c r="D892" i="1"/>
  <c r="C892" i="1"/>
  <c r="A892" i="1"/>
  <c r="K891" i="1"/>
  <c r="H891" i="1"/>
  <c r="G891" i="1"/>
  <c r="F891" i="1"/>
  <c r="E891" i="1"/>
  <c r="D891" i="1"/>
  <c r="C891" i="1"/>
  <c r="A891" i="1"/>
  <c r="K890" i="1"/>
  <c r="H890" i="1"/>
  <c r="G890" i="1"/>
  <c r="F890" i="1"/>
  <c r="E890" i="1"/>
  <c r="D890" i="1"/>
  <c r="C890" i="1"/>
  <c r="A890" i="1"/>
  <c r="L889" i="1"/>
  <c r="K889" i="1"/>
  <c r="H889" i="1"/>
  <c r="G889" i="1"/>
  <c r="F889" i="1"/>
  <c r="E889" i="1"/>
  <c r="D889" i="1"/>
  <c r="C889" i="1"/>
  <c r="A889" i="1"/>
  <c r="K888" i="1"/>
  <c r="H888" i="1"/>
  <c r="G888" i="1"/>
  <c r="F888" i="1"/>
  <c r="E888" i="1"/>
  <c r="D888" i="1"/>
  <c r="C888" i="1"/>
  <c r="A888" i="1"/>
  <c r="K887" i="1"/>
  <c r="H887" i="1"/>
  <c r="G887" i="1"/>
  <c r="F887" i="1"/>
  <c r="E887" i="1"/>
  <c r="D887" i="1"/>
  <c r="C887" i="1"/>
  <c r="A887" i="1"/>
  <c r="M886" i="1"/>
  <c r="L886" i="1"/>
  <c r="K886" i="1"/>
  <c r="H886" i="1"/>
  <c r="G886" i="1"/>
  <c r="F886" i="1"/>
  <c r="E886" i="1"/>
  <c r="D886" i="1"/>
  <c r="C886" i="1"/>
  <c r="A886" i="1"/>
  <c r="K885" i="1"/>
  <c r="H885" i="1"/>
  <c r="G885" i="1"/>
  <c r="F885" i="1"/>
  <c r="E885" i="1"/>
  <c r="D885" i="1"/>
  <c r="C885" i="1"/>
  <c r="A885" i="1"/>
  <c r="K884" i="1"/>
  <c r="H884" i="1"/>
  <c r="G884" i="1"/>
  <c r="F884" i="1"/>
  <c r="E884" i="1"/>
  <c r="D884" i="1"/>
  <c r="C884" i="1"/>
  <c r="A884" i="1"/>
  <c r="K883" i="1"/>
  <c r="H883" i="1"/>
  <c r="G883" i="1"/>
  <c r="F883" i="1"/>
  <c r="E883" i="1"/>
  <c r="D883" i="1"/>
  <c r="C883" i="1"/>
  <c r="A883" i="1"/>
  <c r="M882" i="1"/>
  <c r="L882" i="1"/>
  <c r="K882" i="1"/>
  <c r="H882" i="1"/>
  <c r="G882" i="1"/>
  <c r="F882" i="1"/>
  <c r="E882" i="1"/>
  <c r="D882" i="1"/>
  <c r="C882" i="1"/>
  <c r="A882" i="1"/>
  <c r="K881" i="1"/>
  <c r="H881" i="1"/>
  <c r="G881" i="1"/>
  <c r="F881" i="1"/>
  <c r="E881" i="1"/>
  <c r="D881" i="1"/>
  <c r="C881" i="1"/>
  <c r="A881" i="1"/>
  <c r="K880" i="1"/>
  <c r="H880" i="1"/>
  <c r="G880" i="1"/>
  <c r="F880" i="1"/>
  <c r="E880" i="1"/>
  <c r="D880" i="1"/>
  <c r="C880" i="1"/>
  <c r="A880" i="1"/>
  <c r="K879" i="1"/>
  <c r="H879" i="1"/>
  <c r="G879" i="1"/>
  <c r="F879" i="1"/>
  <c r="E879" i="1"/>
  <c r="D879" i="1"/>
  <c r="C879" i="1"/>
  <c r="A879" i="1"/>
  <c r="K878" i="1"/>
  <c r="I878" i="1"/>
  <c r="H878" i="1"/>
  <c r="G878" i="1"/>
  <c r="F878" i="1"/>
  <c r="E878" i="1"/>
  <c r="D878" i="1"/>
  <c r="C878" i="1"/>
  <c r="A878" i="1"/>
  <c r="M877" i="1"/>
  <c r="L877" i="1"/>
  <c r="K877" i="1"/>
  <c r="H877" i="1"/>
  <c r="G877" i="1"/>
  <c r="F877" i="1"/>
  <c r="E877" i="1"/>
  <c r="D877" i="1"/>
  <c r="C877" i="1"/>
  <c r="A877" i="1"/>
  <c r="K876" i="1"/>
  <c r="H876" i="1"/>
  <c r="G876" i="1"/>
  <c r="F876" i="1"/>
  <c r="E876" i="1"/>
  <c r="D876" i="1"/>
  <c r="C876" i="1"/>
  <c r="A876" i="1"/>
  <c r="K875" i="1"/>
  <c r="H875" i="1"/>
  <c r="G875" i="1"/>
  <c r="F875" i="1"/>
  <c r="E875" i="1"/>
  <c r="D875" i="1"/>
  <c r="C875" i="1"/>
  <c r="A875" i="1"/>
  <c r="K874" i="1"/>
  <c r="H874" i="1"/>
  <c r="G874" i="1"/>
  <c r="F874" i="1"/>
  <c r="E874" i="1"/>
  <c r="D874" i="1"/>
  <c r="C874" i="1"/>
  <c r="A874" i="1"/>
  <c r="H873" i="1"/>
  <c r="G873" i="1"/>
  <c r="F873" i="1"/>
  <c r="E873" i="1"/>
  <c r="D873" i="1"/>
  <c r="C873" i="1"/>
  <c r="A873" i="1"/>
  <c r="H872" i="1"/>
  <c r="F872" i="1"/>
  <c r="E872" i="1"/>
  <c r="D872" i="1"/>
  <c r="C872" i="1"/>
  <c r="A872" i="1"/>
  <c r="M871" i="1"/>
  <c r="L871" i="1"/>
  <c r="K871" i="1"/>
  <c r="H871" i="1"/>
  <c r="G871" i="1"/>
  <c r="F871" i="1"/>
  <c r="E871" i="1"/>
  <c r="D871" i="1"/>
  <c r="C871" i="1"/>
  <c r="A871" i="1"/>
  <c r="K870" i="1"/>
  <c r="H870" i="1"/>
  <c r="G870" i="1"/>
  <c r="F870" i="1"/>
  <c r="E870" i="1"/>
  <c r="D870" i="1"/>
  <c r="C870" i="1"/>
  <c r="A870" i="1"/>
  <c r="K869" i="1"/>
  <c r="H869" i="1"/>
  <c r="G869" i="1"/>
  <c r="F869" i="1"/>
  <c r="E869" i="1"/>
  <c r="D869" i="1"/>
  <c r="C869" i="1"/>
  <c r="A869" i="1"/>
  <c r="K868" i="1"/>
  <c r="H868" i="1"/>
  <c r="G868" i="1"/>
  <c r="F868" i="1"/>
  <c r="E868" i="1"/>
  <c r="D868" i="1"/>
  <c r="C868" i="1"/>
  <c r="A868" i="1"/>
  <c r="K867" i="1"/>
  <c r="H867" i="1"/>
  <c r="G867" i="1"/>
  <c r="F867" i="1"/>
  <c r="E867" i="1"/>
  <c r="D867" i="1"/>
  <c r="C867" i="1"/>
  <c r="A867" i="1"/>
  <c r="K866" i="1"/>
  <c r="H866" i="1"/>
  <c r="G866" i="1"/>
  <c r="F866" i="1"/>
  <c r="E866" i="1"/>
  <c r="D866" i="1"/>
  <c r="C866" i="1"/>
  <c r="A866" i="1"/>
  <c r="M865" i="1"/>
  <c r="L865" i="1"/>
  <c r="K865" i="1"/>
  <c r="H865" i="1"/>
  <c r="G865" i="1"/>
  <c r="F865" i="1"/>
  <c r="E865" i="1"/>
  <c r="D865" i="1"/>
  <c r="C865" i="1"/>
  <c r="A865" i="1"/>
  <c r="M864" i="1"/>
  <c r="L864" i="1"/>
  <c r="K864" i="1"/>
  <c r="H864" i="1"/>
  <c r="G864" i="1"/>
  <c r="F864" i="1"/>
  <c r="E864" i="1"/>
  <c r="D864" i="1"/>
  <c r="C864" i="1"/>
  <c r="A864" i="1"/>
  <c r="K863" i="1"/>
  <c r="H863" i="1"/>
  <c r="G863" i="1"/>
  <c r="F863" i="1"/>
  <c r="E863" i="1"/>
  <c r="D863" i="1"/>
  <c r="C863" i="1"/>
  <c r="A863" i="1"/>
  <c r="K862" i="1"/>
  <c r="H862" i="1"/>
  <c r="G862" i="1"/>
  <c r="F862" i="1"/>
  <c r="E862" i="1"/>
  <c r="D862" i="1"/>
  <c r="C862" i="1"/>
  <c r="A862" i="1"/>
  <c r="K861" i="1"/>
  <c r="H861" i="1"/>
  <c r="G861" i="1"/>
  <c r="F861" i="1"/>
  <c r="E861" i="1"/>
  <c r="D861" i="1"/>
  <c r="C861" i="1"/>
  <c r="A861" i="1"/>
  <c r="K860" i="1"/>
  <c r="H860" i="1"/>
  <c r="G860" i="1"/>
  <c r="F860" i="1"/>
  <c r="E860" i="1"/>
  <c r="D860" i="1"/>
  <c r="C860" i="1"/>
  <c r="A860" i="1"/>
  <c r="K859" i="1"/>
  <c r="H859" i="1"/>
  <c r="G859" i="1"/>
  <c r="F859" i="1"/>
  <c r="E859" i="1"/>
  <c r="D859" i="1"/>
  <c r="C859" i="1"/>
  <c r="A859" i="1"/>
  <c r="K858" i="1"/>
  <c r="H858" i="1"/>
  <c r="G858" i="1"/>
  <c r="F858" i="1"/>
  <c r="E858" i="1"/>
  <c r="D858" i="1"/>
  <c r="C858" i="1"/>
  <c r="A858" i="1"/>
  <c r="K857" i="1"/>
  <c r="H857" i="1"/>
  <c r="G857" i="1"/>
  <c r="F857" i="1"/>
  <c r="E857" i="1"/>
  <c r="D857" i="1"/>
  <c r="C857" i="1"/>
  <c r="A857" i="1"/>
  <c r="K856" i="1"/>
  <c r="H856" i="1"/>
  <c r="G856" i="1"/>
  <c r="F856" i="1"/>
  <c r="E856" i="1"/>
  <c r="D856" i="1"/>
  <c r="C856" i="1"/>
  <c r="A856" i="1"/>
  <c r="L855" i="1"/>
  <c r="K855" i="1"/>
  <c r="H855" i="1"/>
  <c r="G855" i="1"/>
  <c r="F855" i="1"/>
  <c r="E855" i="1"/>
  <c r="D855" i="1"/>
  <c r="C855" i="1"/>
  <c r="A855" i="1"/>
  <c r="K854" i="1"/>
  <c r="H854" i="1"/>
  <c r="G854" i="1"/>
  <c r="F854" i="1"/>
  <c r="E854" i="1"/>
  <c r="D854" i="1"/>
  <c r="C854" i="1"/>
  <c r="A854" i="1"/>
  <c r="K853" i="1"/>
  <c r="H853" i="1"/>
  <c r="G853" i="1"/>
  <c r="F853" i="1"/>
  <c r="E853" i="1"/>
  <c r="D853" i="1"/>
  <c r="C853" i="1"/>
  <c r="A853" i="1"/>
  <c r="K852" i="1"/>
  <c r="H852" i="1"/>
  <c r="G852" i="1"/>
  <c r="F852" i="1"/>
  <c r="E852" i="1"/>
  <c r="D852" i="1"/>
  <c r="C852" i="1"/>
  <c r="A852" i="1"/>
  <c r="L851" i="1"/>
  <c r="K851" i="1"/>
  <c r="H851" i="1"/>
  <c r="G851" i="1"/>
  <c r="F851" i="1"/>
  <c r="E851" i="1"/>
  <c r="D851" i="1"/>
  <c r="C851" i="1"/>
  <c r="A851" i="1"/>
  <c r="L850" i="1"/>
  <c r="K850" i="1"/>
  <c r="H850" i="1"/>
  <c r="G850" i="1"/>
  <c r="F850" i="1"/>
  <c r="E850" i="1"/>
  <c r="D850" i="1"/>
  <c r="C850" i="1"/>
  <c r="A850" i="1"/>
  <c r="K849" i="1"/>
  <c r="H849" i="1"/>
  <c r="G849" i="1"/>
  <c r="F849" i="1"/>
  <c r="E849" i="1"/>
  <c r="D849" i="1"/>
  <c r="C849" i="1"/>
  <c r="A849" i="1"/>
  <c r="K848" i="1"/>
  <c r="H848" i="1"/>
  <c r="G848" i="1"/>
  <c r="F848" i="1"/>
  <c r="E848" i="1"/>
  <c r="D848" i="1"/>
  <c r="C848" i="1"/>
  <c r="A848" i="1"/>
  <c r="K847" i="1"/>
  <c r="H847" i="1"/>
  <c r="G847" i="1"/>
  <c r="F847" i="1"/>
  <c r="E847" i="1"/>
  <c r="D847" i="1"/>
  <c r="C847" i="1"/>
  <c r="A847" i="1"/>
  <c r="L846" i="1"/>
  <c r="K846" i="1"/>
  <c r="I846" i="1"/>
  <c r="H846" i="1"/>
  <c r="G846" i="1"/>
  <c r="F846" i="1"/>
  <c r="E846" i="1"/>
  <c r="D846" i="1"/>
  <c r="C846" i="1"/>
  <c r="A846" i="1"/>
  <c r="K845" i="1"/>
  <c r="H845" i="1"/>
  <c r="G845" i="1"/>
  <c r="F845" i="1"/>
  <c r="E845" i="1"/>
  <c r="D845" i="1"/>
  <c r="C845" i="1"/>
  <c r="A845" i="1"/>
  <c r="H844" i="1"/>
  <c r="G844" i="1"/>
  <c r="E844" i="1"/>
  <c r="D844" i="1"/>
  <c r="C844" i="1"/>
  <c r="A844" i="1"/>
  <c r="K843" i="1"/>
  <c r="H843" i="1"/>
  <c r="G843" i="1"/>
  <c r="F843" i="1"/>
  <c r="E843" i="1"/>
  <c r="D843" i="1"/>
  <c r="C843" i="1"/>
  <c r="A843" i="1"/>
  <c r="M842" i="1"/>
  <c r="K842" i="1"/>
  <c r="H842" i="1"/>
  <c r="G842" i="1"/>
  <c r="F842" i="1"/>
  <c r="E842" i="1"/>
  <c r="D842" i="1"/>
  <c r="C842" i="1"/>
  <c r="A842" i="1"/>
  <c r="H841" i="1"/>
  <c r="G841" i="1"/>
  <c r="F841" i="1"/>
  <c r="E841" i="1"/>
  <c r="D841" i="1"/>
  <c r="C841" i="1"/>
  <c r="A841" i="1"/>
  <c r="H840" i="1"/>
  <c r="G840" i="1"/>
  <c r="F840" i="1"/>
  <c r="E840" i="1"/>
  <c r="D840" i="1"/>
  <c r="C840" i="1"/>
  <c r="A840" i="1"/>
  <c r="H839" i="1"/>
  <c r="G839" i="1"/>
  <c r="F839" i="1"/>
  <c r="E839" i="1"/>
  <c r="D839" i="1"/>
  <c r="C839" i="1"/>
  <c r="A839" i="1"/>
  <c r="H838" i="1"/>
  <c r="G838" i="1"/>
  <c r="F838" i="1"/>
  <c r="E838" i="1"/>
  <c r="D838" i="1"/>
  <c r="C838" i="1"/>
  <c r="A838" i="1"/>
  <c r="I837" i="1"/>
  <c r="H837" i="1"/>
  <c r="G837" i="1"/>
  <c r="F837" i="1"/>
  <c r="E837" i="1"/>
  <c r="D837" i="1"/>
  <c r="C837" i="1"/>
  <c r="A837" i="1"/>
  <c r="H836" i="1"/>
  <c r="G836" i="1"/>
  <c r="F836" i="1"/>
  <c r="E836" i="1"/>
  <c r="D836" i="1"/>
  <c r="C836" i="1"/>
  <c r="A836" i="1"/>
  <c r="H835" i="1"/>
  <c r="G835" i="1"/>
  <c r="F835" i="1"/>
  <c r="E835" i="1"/>
  <c r="D835" i="1"/>
  <c r="C835" i="1"/>
  <c r="A835" i="1"/>
  <c r="H834" i="1"/>
  <c r="G834" i="1"/>
  <c r="F834" i="1"/>
  <c r="E834" i="1"/>
  <c r="D834" i="1"/>
  <c r="C834" i="1"/>
  <c r="A834" i="1"/>
  <c r="H833" i="1"/>
  <c r="G833" i="1"/>
  <c r="F833" i="1"/>
  <c r="E833" i="1"/>
  <c r="D833" i="1"/>
  <c r="C833" i="1"/>
  <c r="A833" i="1"/>
  <c r="H832" i="1"/>
  <c r="G832" i="1"/>
  <c r="F832" i="1"/>
  <c r="E832" i="1"/>
  <c r="D832" i="1"/>
  <c r="C832" i="1"/>
  <c r="A832" i="1"/>
  <c r="H831" i="1"/>
  <c r="G831" i="1"/>
  <c r="F831" i="1"/>
  <c r="E831" i="1"/>
  <c r="D831" i="1"/>
  <c r="C831" i="1"/>
  <c r="A831" i="1"/>
  <c r="H830" i="1"/>
  <c r="G830" i="1"/>
  <c r="F830" i="1"/>
  <c r="E830" i="1"/>
  <c r="D830" i="1"/>
  <c r="C830" i="1"/>
  <c r="A830" i="1"/>
  <c r="K829" i="1"/>
  <c r="H829" i="1"/>
  <c r="G829" i="1"/>
  <c r="F829" i="1"/>
  <c r="E829" i="1"/>
  <c r="D829" i="1"/>
  <c r="C829" i="1"/>
  <c r="A829" i="1"/>
  <c r="K828" i="1"/>
  <c r="H828" i="1"/>
  <c r="G828" i="1"/>
  <c r="F828" i="1"/>
  <c r="E828" i="1"/>
  <c r="D828" i="1"/>
  <c r="C828" i="1"/>
  <c r="A828" i="1"/>
  <c r="H827" i="1"/>
  <c r="F827" i="1"/>
  <c r="E827" i="1"/>
  <c r="D827" i="1"/>
  <c r="C827" i="1"/>
  <c r="A827" i="1"/>
  <c r="M826" i="1"/>
  <c r="K826" i="1"/>
  <c r="H826" i="1"/>
  <c r="G826" i="1"/>
  <c r="F826" i="1"/>
  <c r="E826" i="1"/>
  <c r="D826" i="1"/>
  <c r="C826" i="1"/>
  <c r="A826" i="1"/>
  <c r="L825" i="1"/>
  <c r="K825" i="1"/>
  <c r="H825" i="1"/>
  <c r="G825" i="1"/>
  <c r="F825" i="1"/>
  <c r="E825" i="1"/>
  <c r="D825" i="1"/>
  <c r="C825" i="1"/>
  <c r="A825" i="1"/>
  <c r="L824" i="1"/>
  <c r="K824" i="1"/>
  <c r="H824" i="1"/>
  <c r="G824" i="1"/>
  <c r="F824" i="1"/>
  <c r="E824" i="1"/>
  <c r="D824" i="1"/>
  <c r="C824" i="1"/>
  <c r="A824" i="1"/>
  <c r="K823" i="1"/>
  <c r="H823" i="1"/>
  <c r="G823" i="1"/>
  <c r="F823" i="1"/>
  <c r="E823" i="1"/>
  <c r="D823" i="1"/>
  <c r="C823" i="1"/>
  <c r="A823" i="1"/>
  <c r="L822" i="1"/>
  <c r="K822" i="1"/>
  <c r="H822" i="1"/>
  <c r="G822" i="1"/>
  <c r="F822" i="1"/>
  <c r="E822" i="1"/>
  <c r="D822" i="1"/>
  <c r="C822" i="1"/>
  <c r="A822" i="1"/>
  <c r="K821" i="1"/>
  <c r="H821" i="1"/>
  <c r="G821" i="1"/>
  <c r="F821" i="1"/>
  <c r="E821" i="1"/>
  <c r="D821" i="1"/>
  <c r="C821" i="1"/>
  <c r="A821" i="1"/>
  <c r="K820" i="1"/>
  <c r="H820" i="1"/>
  <c r="G820" i="1"/>
  <c r="F820" i="1"/>
  <c r="E820" i="1"/>
  <c r="D820" i="1"/>
  <c r="C820" i="1"/>
  <c r="A820" i="1"/>
  <c r="K819" i="1"/>
  <c r="H819" i="1"/>
  <c r="G819" i="1"/>
  <c r="F819" i="1"/>
  <c r="E819" i="1"/>
  <c r="D819" i="1"/>
  <c r="C819" i="1"/>
  <c r="A819" i="1"/>
  <c r="M818" i="1"/>
  <c r="K818" i="1"/>
  <c r="H818" i="1"/>
  <c r="G818" i="1"/>
  <c r="F818" i="1"/>
  <c r="E818" i="1"/>
  <c r="D818" i="1"/>
  <c r="C818" i="1"/>
  <c r="A818" i="1"/>
  <c r="K817" i="1"/>
  <c r="H817" i="1"/>
  <c r="G817" i="1"/>
  <c r="F817" i="1"/>
  <c r="E817" i="1"/>
  <c r="D817" i="1"/>
  <c r="C817" i="1"/>
  <c r="A817" i="1"/>
  <c r="M816" i="1"/>
  <c r="K816" i="1"/>
  <c r="H816" i="1"/>
  <c r="G816" i="1"/>
  <c r="F816" i="1"/>
  <c r="E816" i="1"/>
  <c r="D816" i="1"/>
  <c r="C816" i="1"/>
  <c r="A816" i="1"/>
  <c r="K815" i="1"/>
  <c r="H815" i="1"/>
  <c r="G815" i="1"/>
  <c r="F815" i="1"/>
  <c r="E815" i="1"/>
  <c r="D815" i="1"/>
  <c r="C815" i="1"/>
  <c r="A815" i="1"/>
  <c r="L814" i="1"/>
  <c r="K814" i="1"/>
  <c r="H814" i="1"/>
  <c r="G814" i="1"/>
  <c r="F814" i="1"/>
  <c r="E814" i="1"/>
  <c r="D814" i="1"/>
  <c r="C814" i="1"/>
  <c r="A814" i="1"/>
  <c r="L813" i="1"/>
  <c r="K813" i="1"/>
  <c r="H813" i="1"/>
  <c r="G813" i="1"/>
  <c r="F813" i="1"/>
  <c r="E813" i="1"/>
  <c r="D813" i="1"/>
  <c r="C813" i="1"/>
  <c r="A813" i="1"/>
  <c r="L812" i="1"/>
  <c r="K812" i="1"/>
  <c r="H812" i="1"/>
  <c r="G812" i="1"/>
  <c r="F812" i="1"/>
  <c r="E812" i="1"/>
  <c r="D812" i="1"/>
  <c r="C812" i="1"/>
  <c r="A812" i="1"/>
  <c r="L811" i="1"/>
  <c r="K811" i="1"/>
  <c r="H811" i="1"/>
  <c r="G811" i="1"/>
  <c r="F811" i="1"/>
  <c r="E811" i="1"/>
  <c r="D811" i="1"/>
  <c r="C811" i="1"/>
  <c r="A811" i="1"/>
  <c r="L810" i="1"/>
  <c r="K810" i="1"/>
  <c r="H810" i="1"/>
  <c r="G810" i="1"/>
  <c r="F810" i="1"/>
  <c r="E810" i="1"/>
  <c r="D810" i="1"/>
  <c r="C810" i="1"/>
  <c r="A810" i="1"/>
  <c r="K809" i="1"/>
  <c r="H809" i="1"/>
  <c r="G809" i="1"/>
  <c r="F809" i="1"/>
  <c r="E809" i="1"/>
  <c r="D809" i="1"/>
  <c r="C809" i="1"/>
  <c r="A809" i="1"/>
  <c r="K808" i="1"/>
  <c r="H808" i="1"/>
  <c r="G808" i="1"/>
  <c r="F808" i="1"/>
  <c r="E808" i="1"/>
  <c r="D808" i="1"/>
  <c r="C808" i="1"/>
  <c r="A808" i="1"/>
  <c r="K807" i="1"/>
  <c r="H807" i="1"/>
  <c r="G807" i="1"/>
  <c r="F807" i="1"/>
  <c r="E807" i="1"/>
  <c r="D807" i="1"/>
  <c r="C807" i="1"/>
  <c r="A807" i="1"/>
  <c r="L806" i="1"/>
  <c r="K806" i="1"/>
  <c r="H806" i="1"/>
  <c r="G806" i="1"/>
  <c r="F806" i="1"/>
  <c r="E806" i="1"/>
  <c r="D806" i="1"/>
  <c r="C806" i="1"/>
  <c r="A806" i="1"/>
  <c r="K805" i="1"/>
  <c r="H805" i="1"/>
  <c r="G805" i="1"/>
  <c r="F805" i="1"/>
  <c r="E805" i="1"/>
  <c r="D805" i="1"/>
  <c r="C805" i="1"/>
  <c r="A805" i="1"/>
  <c r="K804" i="1"/>
  <c r="H804" i="1"/>
  <c r="G804" i="1"/>
  <c r="F804" i="1"/>
  <c r="E804" i="1"/>
  <c r="D804" i="1"/>
  <c r="C804" i="1"/>
  <c r="A804" i="1"/>
  <c r="K803" i="1"/>
  <c r="H803" i="1"/>
  <c r="G803" i="1"/>
  <c r="F803" i="1"/>
  <c r="E803" i="1"/>
  <c r="D803" i="1"/>
  <c r="C803" i="1"/>
  <c r="A803" i="1"/>
  <c r="L802" i="1"/>
  <c r="K802" i="1"/>
  <c r="H802" i="1"/>
  <c r="G802" i="1"/>
  <c r="F802" i="1"/>
  <c r="E802" i="1"/>
  <c r="D802" i="1"/>
  <c r="C802" i="1"/>
  <c r="A802" i="1"/>
  <c r="K801" i="1"/>
  <c r="H801" i="1"/>
  <c r="G801" i="1"/>
  <c r="F801" i="1"/>
  <c r="E801" i="1"/>
  <c r="D801" i="1"/>
  <c r="C801" i="1"/>
  <c r="A801" i="1"/>
  <c r="K800" i="1"/>
  <c r="H800" i="1"/>
  <c r="G800" i="1"/>
  <c r="F800" i="1"/>
  <c r="E800" i="1"/>
  <c r="D800" i="1"/>
  <c r="C800" i="1"/>
  <c r="A800" i="1"/>
  <c r="K799" i="1"/>
  <c r="H799" i="1"/>
  <c r="G799" i="1"/>
  <c r="F799" i="1"/>
  <c r="E799" i="1"/>
  <c r="D799" i="1"/>
  <c r="C799" i="1"/>
  <c r="A799" i="1"/>
  <c r="K798" i="1"/>
  <c r="H798" i="1"/>
  <c r="G798" i="1"/>
  <c r="F798" i="1"/>
  <c r="E798" i="1"/>
  <c r="D798" i="1"/>
  <c r="C798" i="1"/>
  <c r="A798" i="1"/>
  <c r="L797" i="1"/>
  <c r="K797" i="1"/>
  <c r="H797" i="1"/>
  <c r="G797" i="1"/>
  <c r="F797" i="1"/>
  <c r="E797" i="1"/>
  <c r="D797" i="1"/>
  <c r="C797" i="1"/>
  <c r="A797" i="1"/>
  <c r="K796" i="1"/>
  <c r="H796" i="1"/>
  <c r="G796" i="1"/>
  <c r="F796" i="1"/>
  <c r="E796" i="1"/>
  <c r="D796" i="1"/>
  <c r="C796" i="1"/>
  <c r="A796" i="1"/>
  <c r="K795" i="1"/>
  <c r="I795" i="1"/>
  <c r="H795" i="1"/>
  <c r="G795" i="1"/>
  <c r="F795" i="1"/>
  <c r="E795" i="1"/>
  <c r="D795" i="1"/>
  <c r="C795" i="1"/>
  <c r="A795" i="1"/>
  <c r="K794" i="1"/>
  <c r="H794" i="1"/>
  <c r="G794" i="1"/>
  <c r="F794" i="1"/>
  <c r="E794" i="1"/>
  <c r="D794" i="1"/>
  <c r="C794" i="1"/>
  <c r="A794" i="1"/>
  <c r="K793" i="1"/>
  <c r="H793" i="1"/>
  <c r="G793" i="1"/>
  <c r="F793" i="1"/>
  <c r="E793" i="1"/>
  <c r="D793" i="1"/>
  <c r="C793" i="1"/>
  <c r="A793" i="1"/>
  <c r="K792" i="1"/>
  <c r="H792" i="1"/>
  <c r="G792" i="1"/>
  <c r="F792" i="1"/>
  <c r="E792" i="1"/>
  <c r="D792" i="1"/>
  <c r="C792" i="1"/>
  <c r="A792" i="1"/>
  <c r="K791" i="1"/>
  <c r="H791" i="1"/>
  <c r="G791" i="1"/>
  <c r="F791" i="1"/>
  <c r="E791" i="1"/>
  <c r="D791" i="1"/>
  <c r="C791" i="1"/>
  <c r="A791" i="1"/>
  <c r="K790" i="1"/>
  <c r="H790" i="1"/>
  <c r="G790" i="1"/>
  <c r="F790" i="1"/>
  <c r="E790" i="1"/>
  <c r="D790" i="1"/>
  <c r="C790" i="1"/>
  <c r="A790" i="1"/>
  <c r="K789" i="1"/>
  <c r="H789" i="1"/>
  <c r="G789" i="1"/>
  <c r="F789" i="1"/>
  <c r="E789" i="1"/>
  <c r="D789" i="1"/>
  <c r="C789" i="1"/>
  <c r="A789" i="1"/>
  <c r="K788" i="1"/>
  <c r="H788" i="1"/>
  <c r="G788" i="1"/>
  <c r="F788" i="1"/>
  <c r="E788" i="1"/>
  <c r="D788" i="1"/>
  <c r="C788" i="1"/>
  <c r="A788" i="1"/>
  <c r="K787" i="1"/>
  <c r="H787" i="1"/>
  <c r="G787" i="1"/>
  <c r="F787" i="1"/>
  <c r="E787" i="1"/>
  <c r="D787" i="1"/>
  <c r="C787" i="1"/>
  <c r="A787" i="1"/>
  <c r="K786" i="1"/>
  <c r="H786" i="1"/>
  <c r="G786" i="1"/>
  <c r="F786" i="1"/>
  <c r="E786" i="1"/>
  <c r="D786" i="1"/>
  <c r="C786" i="1"/>
  <c r="A786" i="1"/>
  <c r="K785" i="1"/>
  <c r="H785" i="1"/>
  <c r="F785" i="1"/>
  <c r="C785" i="1"/>
  <c r="A785" i="1"/>
  <c r="K784" i="1"/>
  <c r="H784" i="1"/>
  <c r="G784" i="1"/>
  <c r="F784" i="1"/>
  <c r="E784" i="1"/>
  <c r="D784" i="1"/>
  <c r="C784" i="1"/>
  <c r="A784" i="1"/>
  <c r="K783" i="1"/>
  <c r="H783" i="1"/>
  <c r="G783" i="1"/>
  <c r="F783" i="1"/>
  <c r="E783" i="1"/>
  <c r="D783" i="1"/>
  <c r="C783" i="1"/>
  <c r="A783" i="1"/>
  <c r="K782" i="1"/>
  <c r="H782" i="1"/>
  <c r="G782" i="1"/>
  <c r="F782" i="1"/>
  <c r="E782" i="1"/>
  <c r="D782" i="1"/>
  <c r="C782" i="1"/>
  <c r="A782" i="1"/>
  <c r="K781" i="1"/>
  <c r="H781" i="1"/>
  <c r="G781" i="1"/>
  <c r="F781" i="1"/>
  <c r="E781" i="1"/>
  <c r="D781" i="1"/>
  <c r="C781" i="1"/>
  <c r="A781" i="1"/>
  <c r="K780" i="1"/>
  <c r="H780" i="1"/>
  <c r="G780" i="1"/>
  <c r="F780" i="1"/>
  <c r="E780" i="1"/>
  <c r="D780" i="1"/>
  <c r="C780" i="1"/>
  <c r="A780" i="1"/>
  <c r="K779" i="1"/>
  <c r="H779" i="1"/>
  <c r="G779" i="1"/>
  <c r="F779" i="1"/>
  <c r="E779" i="1"/>
  <c r="D779" i="1"/>
  <c r="C779" i="1"/>
  <c r="A779" i="1"/>
  <c r="K778" i="1"/>
  <c r="H778" i="1"/>
  <c r="G778" i="1"/>
  <c r="F778" i="1"/>
  <c r="E778" i="1"/>
  <c r="D778" i="1"/>
  <c r="C778" i="1"/>
  <c r="A778" i="1"/>
  <c r="K777" i="1"/>
  <c r="H777" i="1"/>
  <c r="G777" i="1"/>
  <c r="F777" i="1"/>
  <c r="E777" i="1"/>
  <c r="D777" i="1"/>
  <c r="C777" i="1"/>
  <c r="A777" i="1"/>
  <c r="H776" i="1"/>
  <c r="G776" i="1"/>
  <c r="F776" i="1"/>
  <c r="E776" i="1"/>
  <c r="D776" i="1"/>
  <c r="C776" i="1"/>
  <c r="A776" i="1"/>
  <c r="H775" i="1"/>
  <c r="G775" i="1"/>
  <c r="F775" i="1"/>
  <c r="E775" i="1"/>
  <c r="D775" i="1"/>
  <c r="C775" i="1"/>
  <c r="A775" i="1"/>
  <c r="H774" i="1"/>
  <c r="G774" i="1"/>
  <c r="F774" i="1"/>
  <c r="E774" i="1"/>
  <c r="D774" i="1"/>
  <c r="C774" i="1"/>
  <c r="A774" i="1"/>
  <c r="H773" i="1"/>
  <c r="G773" i="1"/>
  <c r="F773" i="1"/>
  <c r="E773" i="1"/>
  <c r="D773" i="1"/>
  <c r="C773" i="1"/>
  <c r="A773" i="1"/>
  <c r="M772" i="1"/>
  <c r="K772" i="1"/>
  <c r="H772" i="1"/>
  <c r="F772" i="1"/>
  <c r="E772" i="1"/>
  <c r="D772" i="1"/>
  <c r="C772" i="1"/>
  <c r="A772" i="1"/>
  <c r="H771" i="1"/>
  <c r="G771" i="1"/>
  <c r="F771" i="1"/>
  <c r="E771" i="1"/>
  <c r="D771" i="1"/>
  <c r="C771" i="1"/>
  <c r="A771" i="1"/>
  <c r="H770" i="1"/>
  <c r="G770" i="1"/>
  <c r="F770" i="1"/>
  <c r="E770" i="1"/>
  <c r="D770" i="1"/>
  <c r="C770" i="1"/>
  <c r="A770" i="1"/>
  <c r="L769" i="1"/>
  <c r="K769" i="1"/>
  <c r="I769" i="1"/>
  <c r="H769" i="1"/>
  <c r="G769" i="1"/>
  <c r="F769" i="1"/>
  <c r="E769" i="1"/>
  <c r="D769" i="1"/>
  <c r="C769" i="1"/>
  <c r="A769" i="1"/>
  <c r="H768" i="1"/>
  <c r="F768" i="1"/>
  <c r="E768" i="1"/>
  <c r="D768" i="1"/>
  <c r="C768" i="1"/>
  <c r="A768" i="1"/>
  <c r="L767" i="1"/>
  <c r="K767" i="1"/>
  <c r="I767" i="1"/>
  <c r="H767" i="1"/>
  <c r="G767" i="1"/>
  <c r="F767" i="1"/>
  <c r="E767" i="1"/>
  <c r="D767" i="1"/>
  <c r="C767" i="1"/>
  <c r="A767" i="1"/>
  <c r="K766" i="1"/>
  <c r="H766" i="1"/>
  <c r="G766" i="1"/>
  <c r="F766" i="1"/>
  <c r="E766" i="1"/>
  <c r="D766" i="1"/>
  <c r="C766" i="1"/>
  <c r="A766" i="1"/>
  <c r="K765" i="1"/>
  <c r="H765" i="1"/>
  <c r="G765" i="1"/>
  <c r="F765" i="1"/>
  <c r="E765" i="1"/>
  <c r="D765" i="1"/>
  <c r="C765" i="1"/>
  <c r="A765" i="1"/>
  <c r="K764" i="1"/>
  <c r="H764" i="1"/>
  <c r="G764" i="1"/>
  <c r="F764" i="1"/>
  <c r="E764" i="1"/>
  <c r="D764" i="1"/>
  <c r="C764" i="1"/>
  <c r="A764" i="1"/>
  <c r="K763" i="1"/>
  <c r="H763" i="1"/>
  <c r="G763" i="1"/>
  <c r="F763" i="1"/>
  <c r="E763" i="1"/>
  <c r="D763" i="1"/>
  <c r="C763" i="1"/>
  <c r="A763" i="1"/>
  <c r="K762" i="1"/>
  <c r="H762" i="1"/>
  <c r="G762" i="1"/>
  <c r="F762" i="1"/>
  <c r="E762" i="1"/>
  <c r="D762" i="1"/>
  <c r="C762" i="1"/>
  <c r="A762" i="1"/>
  <c r="K761" i="1"/>
  <c r="H761" i="1"/>
  <c r="G761" i="1"/>
  <c r="F761" i="1"/>
  <c r="E761" i="1"/>
  <c r="D761" i="1"/>
  <c r="C761" i="1"/>
  <c r="A761" i="1"/>
  <c r="K760" i="1"/>
  <c r="H760" i="1"/>
  <c r="G760" i="1"/>
  <c r="F760" i="1"/>
  <c r="E760" i="1"/>
  <c r="D760" i="1"/>
  <c r="C760" i="1"/>
  <c r="A760" i="1"/>
  <c r="L759" i="1"/>
  <c r="K759" i="1"/>
  <c r="H759" i="1"/>
  <c r="G759" i="1"/>
  <c r="F759" i="1"/>
  <c r="E759" i="1"/>
  <c r="D759" i="1"/>
  <c r="C759" i="1"/>
  <c r="A759" i="1"/>
  <c r="K758" i="1"/>
  <c r="H758" i="1"/>
  <c r="G758" i="1"/>
  <c r="F758" i="1"/>
  <c r="E758" i="1"/>
  <c r="D758" i="1"/>
  <c r="C758" i="1"/>
  <c r="A758" i="1"/>
  <c r="K757" i="1"/>
  <c r="H757" i="1"/>
  <c r="G757" i="1"/>
  <c r="F757" i="1"/>
  <c r="E757" i="1"/>
  <c r="D757" i="1"/>
  <c r="C757" i="1"/>
  <c r="A757" i="1"/>
  <c r="L756" i="1"/>
  <c r="K756" i="1"/>
  <c r="I756" i="1"/>
  <c r="H756" i="1"/>
  <c r="G756" i="1"/>
  <c r="F756" i="1"/>
  <c r="E756" i="1"/>
  <c r="D756" i="1"/>
  <c r="C756" i="1"/>
  <c r="A756" i="1"/>
  <c r="K755" i="1"/>
  <c r="H755" i="1"/>
  <c r="G755" i="1"/>
  <c r="F755" i="1"/>
  <c r="E755" i="1"/>
  <c r="D755" i="1"/>
  <c r="C755" i="1"/>
  <c r="A755" i="1"/>
  <c r="K754" i="1"/>
  <c r="H754" i="1"/>
  <c r="G754" i="1"/>
  <c r="F754" i="1"/>
  <c r="E754" i="1"/>
  <c r="D754" i="1"/>
  <c r="C754" i="1"/>
  <c r="A754" i="1"/>
  <c r="K753" i="1"/>
  <c r="H753" i="1"/>
  <c r="G753" i="1"/>
  <c r="F753" i="1"/>
  <c r="E753" i="1"/>
  <c r="D753" i="1"/>
  <c r="C753" i="1"/>
  <c r="A753" i="1"/>
  <c r="K752" i="1"/>
  <c r="H752" i="1"/>
  <c r="G752" i="1"/>
  <c r="F752" i="1"/>
  <c r="E752" i="1"/>
  <c r="D752" i="1"/>
  <c r="C752" i="1"/>
  <c r="A752" i="1"/>
  <c r="K751" i="1"/>
  <c r="H751" i="1"/>
  <c r="G751" i="1"/>
  <c r="F751" i="1"/>
  <c r="E751" i="1"/>
  <c r="D751" i="1"/>
  <c r="C751" i="1"/>
  <c r="A751" i="1"/>
  <c r="K750" i="1"/>
  <c r="H750" i="1"/>
  <c r="G750" i="1"/>
  <c r="F750" i="1"/>
  <c r="E750" i="1"/>
  <c r="D750" i="1"/>
  <c r="C750" i="1"/>
  <c r="A750" i="1"/>
  <c r="K749" i="1"/>
  <c r="H749" i="1"/>
  <c r="G749" i="1"/>
  <c r="F749" i="1"/>
  <c r="E749" i="1"/>
  <c r="D749" i="1"/>
  <c r="C749" i="1"/>
  <c r="A749" i="1"/>
  <c r="K748" i="1"/>
  <c r="H748" i="1"/>
  <c r="G748" i="1"/>
  <c r="F748" i="1"/>
  <c r="E748" i="1"/>
  <c r="D748" i="1"/>
  <c r="C748" i="1"/>
  <c r="A748" i="1"/>
  <c r="L747" i="1"/>
  <c r="K747" i="1"/>
  <c r="H747" i="1"/>
  <c r="G747" i="1"/>
  <c r="F747" i="1"/>
  <c r="E747" i="1"/>
  <c r="D747" i="1"/>
  <c r="C747" i="1"/>
  <c r="A747" i="1"/>
  <c r="K746" i="1"/>
  <c r="H746" i="1"/>
  <c r="G746" i="1"/>
  <c r="F746" i="1"/>
  <c r="E746" i="1"/>
  <c r="D746" i="1"/>
  <c r="C746" i="1"/>
  <c r="A746" i="1"/>
  <c r="K745" i="1"/>
  <c r="H745" i="1"/>
  <c r="G745" i="1"/>
  <c r="F745" i="1"/>
  <c r="E745" i="1"/>
  <c r="D745" i="1"/>
  <c r="C745" i="1"/>
  <c r="A745" i="1"/>
  <c r="K744" i="1"/>
  <c r="H744" i="1"/>
  <c r="G744" i="1"/>
  <c r="F744" i="1"/>
  <c r="E744" i="1"/>
  <c r="D744" i="1"/>
  <c r="C744" i="1"/>
  <c r="A744" i="1"/>
  <c r="K743" i="1"/>
  <c r="H743" i="1"/>
  <c r="G743" i="1"/>
  <c r="F743" i="1"/>
  <c r="E743" i="1"/>
  <c r="D743" i="1"/>
  <c r="C743" i="1"/>
  <c r="A743" i="1"/>
  <c r="K742" i="1"/>
  <c r="H742" i="1"/>
  <c r="G742" i="1"/>
  <c r="F742" i="1"/>
  <c r="E742" i="1"/>
  <c r="D742" i="1"/>
  <c r="C742" i="1"/>
  <c r="A742" i="1"/>
  <c r="K741" i="1"/>
  <c r="H741" i="1"/>
  <c r="G741" i="1"/>
  <c r="F741" i="1"/>
  <c r="E741" i="1"/>
  <c r="D741" i="1"/>
  <c r="C741" i="1"/>
  <c r="A741" i="1"/>
  <c r="K740" i="1"/>
  <c r="H740" i="1"/>
  <c r="G740" i="1"/>
  <c r="F740" i="1"/>
  <c r="E740" i="1"/>
  <c r="D740" i="1"/>
  <c r="C740" i="1"/>
  <c r="A740" i="1"/>
  <c r="L739" i="1"/>
  <c r="K739" i="1"/>
  <c r="I739" i="1"/>
  <c r="H739" i="1"/>
  <c r="G739" i="1"/>
  <c r="F739" i="1"/>
  <c r="E739" i="1"/>
  <c r="D739" i="1"/>
  <c r="C739" i="1"/>
  <c r="A739" i="1"/>
  <c r="L738" i="1"/>
  <c r="K738" i="1"/>
  <c r="I738" i="1"/>
  <c r="H738" i="1"/>
  <c r="G738" i="1"/>
  <c r="F738" i="1"/>
  <c r="E738" i="1"/>
  <c r="D738" i="1"/>
  <c r="C738" i="1"/>
  <c r="A738" i="1"/>
  <c r="L737" i="1"/>
  <c r="K737" i="1"/>
  <c r="H737" i="1"/>
  <c r="G737" i="1"/>
  <c r="F737" i="1"/>
  <c r="E737" i="1"/>
  <c r="D737" i="1"/>
  <c r="C737" i="1"/>
  <c r="A737" i="1"/>
  <c r="K736" i="1"/>
  <c r="H736" i="1"/>
  <c r="G736" i="1"/>
  <c r="F736" i="1"/>
  <c r="E736" i="1"/>
  <c r="D736" i="1"/>
  <c r="C736" i="1"/>
  <c r="A736" i="1"/>
  <c r="K735" i="1"/>
  <c r="H735" i="1"/>
  <c r="G735" i="1"/>
  <c r="F735" i="1"/>
  <c r="E735" i="1"/>
  <c r="D735" i="1"/>
  <c r="C735" i="1"/>
  <c r="A735" i="1"/>
  <c r="K734" i="1"/>
  <c r="H734" i="1"/>
  <c r="G734" i="1"/>
  <c r="F734" i="1"/>
  <c r="E734" i="1"/>
  <c r="D734" i="1"/>
  <c r="C734" i="1"/>
  <c r="A734" i="1"/>
  <c r="K733" i="1"/>
  <c r="H733" i="1"/>
  <c r="G733" i="1"/>
  <c r="F733" i="1"/>
  <c r="E733" i="1"/>
  <c r="D733" i="1"/>
  <c r="C733" i="1"/>
  <c r="A733" i="1"/>
  <c r="K732" i="1"/>
  <c r="H732" i="1"/>
  <c r="G732" i="1"/>
  <c r="F732" i="1"/>
  <c r="E732" i="1"/>
  <c r="D732" i="1"/>
  <c r="C732" i="1"/>
  <c r="A732" i="1"/>
  <c r="K731" i="1"/>
  <c r="H731" i="1"/>
  <c r="G731" i="1"/>
  <c r="F731" i="1"/>
  <c r="E731" i="1"/>
  <c r="D731" i="1"/>
  <c r="C731" i="1"/>
  <c r="A731" i="1"/>
  <c r="K730" i="1"/>
  <c r="H730" i="1"/>
  <c r="G730" i="1"/>
  <c r="F730" i="1"/>
  <c r="E730" i="1"/>
  <c r="D730" i="1"/>
  <c r="C730" i="1"/>
  <c r="A730" i="1"/>
  <c r="K729" i="1"/>
  <c r="H729" i="1"/>
  <c r="G729" i="1"/>
  <c r="F729" i="1"/>
  <c r="E729" i="1"/>
  <c r="D729" i="1"/>
  <c r="C729" i="1"/>
  <c r="A729" i="1"/>
  <c r="K728" i="1"/>
  <c r="H728" i="1"/>
  <c r="G728" i="1"/>
  <c r="F728" i="1"/>
  <c r="E728" i="1"/>
  <c r="D728" i="1"/>
  <c r="C728" i="1"/>
  <c r="A728" i="1"/>
  <c r="K727" i="1"/>
  <c r="H727" i="1"/>
  <c r="G727" i="1"/>
  <c r="F727" i="1"/>
  <c r="E727" i="1"/>
  <c r="D727" i="1"/>
  <c r="C727" i="1"/>
  <c r="A727" i="1"/>
  <c r="K726" i="1"/>
  <c r="H726" i="1"/>
  <c r="G726" i="1"/>
  <c r="F726" i="1"/>
  <c r="E726" i="1"/>
  <c r="D726" i="1"/>
  <c r="C726" i="1"/>
  <c r="A726" i="1"/>
  <c r="K725" i="1"/>
  <c r="H725" i="1"/>
  <c r="G725" i="1"/>
  <c r="F725" i="1"/>
  <c r="E725" i="1"/>
  <c r="D725" i="1"/>
  <c r="C725" i="1"/>
  <c r="A725" i="1"/>
  <c r="K724" i="1"/>
  <c r="H724" i="1"/>
  <c r="G724" i="1"/>
  <c r="F724" i="1"/>
  <c r="E724" i="1"/>
  <c r="D724" i="1"/>
  <c r="C724" i="1"/>
  <c r="A724" i="1"/>
  <c r="K723" i="1"/>
  <c r="H723" i="1"/>
  <c r="G723" i="1"/>
  <c r="F723" i="1"/>
  <c r="E723" i="1"/>
  <c r="D723" i="1"/>
  <c r="C723" i="1"/>
  <c r="A723" i="1"/>
  <c r="K722" i="1"/>
  <c r="H722" i="1"/>
  <c r="G722" i="1"/>
  <c r="F722" i="1"/>
  <c r="E722" i="1"/>
  <c r="D722" i="1"/>
  <c r="C722" i="1"/>
  <c r="A722" i="1"/>
  <c r="K721" i="1"/>
  <c r="H721" i="1"/>
  <c r="G721" i="1"/>
  <c r="F721" i="1"/>
  <c r="E721" i="1"/>
  <c r="D721" i="1"/>
  <c r="C721" i="1"/>
  <c r="A721" i="1"/>
  <c r="K720" i="1"/>
  <c r="H720" i="1"/>
  <c r="G720" i="1"/>
  <c r="F720" i="1"/>
  <c r="E720" i="1"/>
  <c r="D720" i="1"/>
  <c r="C720" i="1"/>
  <c r="A720" i="1"/>
  <c r="K719" i="1"/>
  <c r="H719" i="1"/>
  <c r="G719" i="1"/>
  <c r="F719" i="1"/>
  <c r="E719" i="1"/>
  <c r="D719" i="1"/>
  <c r="C719" i="1"/>
  <c r="A719" i="1"/>
  <c r="H718" i="1"/>
  <c r="G718" i="1"/>
  <c r="F718" i="1"/>
  <c r="E718" i="1"/>
  <c r="D718" i="1"/>
  <c r="C718" i="1"/>
  <c r="A718" i="1"/>
  <c r="H717" i="1"/>
  <c r="G717" i="1"/>
  <c r="F717" i="1"/>
  <c r="E717" i="1"/>
  <c r="D717" i="1"/>
  <c r="C717" i="1"/>
  <c r="A717" i="1"/>
  <c r="H716" i="1"/>
  <c r="G716" i="1"/>
  <c r="F716" i="1"/>
  <c r="E716" i="1"/>
  <c r="D716" i="1"/>
  <c r="C716" i="1"/>
  <c r="A716" i="1"/>
  <c r="H715" i="1"/>
  <c r="G715" i="1"/>
  <c r="F715" i="1"/>
  <c r="E715" i="1"/>
  <c r="D715" i="1"/>
  <c r="C715" i="1"/>
  <c r="A715" i="1"/>
  <c r="H714" i="1"/>
  <c r="G714" i="1"/>
  <c r="F714" i="1"/>
  <c r="E714" i="1"/>
  <c r="D714" i="1"/>
  <c r="C714" i="1"/>
  <c r="A714" i="1"/>
  <c r="H713" i="1"/>
  <c r="G713" i="1"/>
  <c r="F713" i="1"/>
  <c r="E713" i="1"/>
  <c r="D713" i="1"/>
  <c r="C713" i="1"/>
  <c r="A713" i="1"/>
  <c r="H712" i="1"/>
  <c r="G712" i="1"/>
  <c r="F712" i="1"/>
  <c r="E712" i="1"/>
  <c r="D712" i="1"/>
  <c r="C712" i="1"/>
  <c r="A712" i="1"/>
  <c r="H711" i="1"/>
  <c r="G711" i="1"/>
  <c r="F711" i="1"/>
  <c r="E711" i="1"/>
  <c r="D711" i="1"/>
  <c r="C711" i="1"/>
  <c r="A711" i="1"/>
  <c r="H710" i="1"/>
  <c r="C710" i="1"/>
  <c r="A710" i="1"/>
  <c r="H709" i="1"/>
  <c r="G709" i="1"/>
  <c r="F709" i="1"/>
  <c r="E709" i="1"/>
  <c r="D709" i="1"/>
  <c r="C709" i="1"/>
  <c r="A709" i="1"/>
  <c r="H708" i="1"/>
  <c r="G708" i="1"/>
  <c r="F708" i="1"/>
  <c r="E708" i="1"/>
  <c r="D708" i="1"/>
  <c r="C708" i="1"/>
  <c r="A708" i="1"/>
  <c r="H707" i="1"/>
  <c r="G707" i="1"/>
  <c r="F707" i="1"/>
  <c r="E707" i="1"/>
  <c r="D707" i="1"/>
  <c r="C707" i="1"/>
  <c r="A707" i="1"/>
  <c r="H706" i="1"/>
  <c r="G706" i="1"/>
  <c r="F706" i="1"/>
  <c r="E706" i="1"/>
  <c r="D706" i="1"/>
  <c r="C706" i="1"/>
  <c r="A706" i="1"/>
  <c r="H705" i="1"/>
  <c r="G705" i="1"/>
  <c r="F705" i="1"/>
  <c r="E705" i="1"/>
  <c r="D705" i="1"/>
  <c r="C705" i="1"/>
  <c r="A705" i="1"/>
  <c r="H704" i="1"/>
  <c r="G704" i="1"/>
  <c r="F704" i="1"/>
  <c r="E704" i="1"/>
  <c r="D704" i="1"/>
  <c r="C704" i="1"/>
  <c r="A704" i="1"/>
  <c r="L703" i="1"/>
  <c r="K703" i="1"/>
  <c r="I703" i="1"/>
  <c r="H703" i="1"/>
  <c r="G703" i="1"/>
  <c r="F703" i="1"/>
  <c r="E703" i="1"/>
  <c r="D703" i="1"/>
  <c r="C703" i="1"/>
  <c r="A703" i="1"/>
  <c r="K702" i="1"/>
  <c r="H702" i="1"/>
  <c r="G702" i="1"/>
  <c r="F702" i="1"/>
  <c r="E702" i="1"/>
  <c r="D702" i="1"/>
  <c r="C702" i="1"/>
  <c r="A702" i="1"/>
  <c r="K701" i="1"/>
  <c r="H701" i="1"/>
  <c r="G701" i="1"/>
  <c r="F701" i="1"/>
  <c r="E701" i="1"/>
  <c r="D701" i="1"/>
  <c r="C701" i="1"/>
  <c r="A701" i="1"/>
  <c r="H700" i="1"/>
  <c r="F700" i="1"/>
  <c r="E700" i="1"/>
  <c r="D700" i="1"/>
  <c r="C700" i="1"/>
  <c r="A700" i="1"/>
  <c r="K699" i="1"/>
  <c r="H699" i="1"/>
  <c r="G699" i="1"/>
  <c r="F699" i="1"/>
  <c r="E699" i="1"/>
  <c r="D699" i="1"/>
  <c r="C699" i="1"/>
  <c r="A699" i="1"/>
  <c r="K698" i="1"/>
  <c r="H698" i="1"/>
  <c r="G698" i="1"/>
  <c r="F698" i="1"/>
  <c r="E698" i="1"/>
  <c r="D698" i="1"/>
  <c r="C698" i="1"/>
  <c r="A698" i="1"/>
  <c r="K697" i="1"/>
  <c r="H697" i="1"/>
  <c r="G697" i="1"/>
  <c r="F697" i="1"/>
  <c r="E697" i="1"/>
  <c r="D697" i="1"/>
  <c r="C697" i="1"/>
  <c r="A697" i="1"/>
  <c r="K696" i="1"/>
  <c r="H696" i="1"/>
  <c r="G696" i="1"/>
  <c r="F696" i="1"/>
  <c r="E696" i="1"/>
  <c r="D696" i="1"/>
  <c r="C696" i="1"/>
  <c r="A696" i="1"/>
  <c r="K695" i="1"/>
  <c r="H695" i="1"/>
  <c r="G695" i="1"/>
  <c r="F695" i="1"/>
  <c r="E695" i="1"/>
  <c r="D695" i="1"/>
  <c r="C695" i="1"/>
  <c r="A695" i="1"/>
  <c r="K694" i="1"/>
  <c r="H694" i="1"/>
  <c r="G694" i="1"/>
  <c r="F694" i="1"/>
  <c r="E694" i="1"/>
  <c r="D694" i="1"/>
  <c r="C694" i="1"/>
  <c r="A694" i="1"/>
  <c r="K693" i="1"/>
  <c r="H693" i="1"/>
  <c r="G693" i="1"/>
  <c r="F693" i="1"/>
  <c r="E693" i="1"/>
  <c r="D693" i="1"/>
  <c r="C693" i="1"/>
  <c r="A693" i="1"/>
  <c r="K692" i="1"/>
  <c r="H692" i="1"/>
  <c r="G692" i="1"/>
  <c r="F692" i="1"/>
  <c r="E692" i="1"/>
  <c r="D692" i="1"/>
  <c r="C692" i="1"/>
  <c r="A692" i="1"/>
  <c r="K691" i="1"/>
  <c r="H691" i="1"/>
  <c r="G691" i="1"/>
  <c r="F691" i="1"/>
  <c r="E691" i="1"/>
  <c r="D691" i="1"/>
  <c r="C691" i="1"/>
  <c r="A691" i="1"/>
  <c r="L690" i="1"/>
  <c r="K690" i="1"/>
  <c r="H690" i="1"/>
  <c r="G690" i="1"/>
  <c r="F690" i="1"/>
  <c r="E690" i="1"/>
  <c r="D690" i="1"/>
  <c r="C690" i="1"/>
  <c r="A690" i="1"/>
  <c r="L689" i="1"/>
  <c r="K689" i="1"/>
  <c r="H689" i="1"/>
  <c r="G689" i="1"/>
  <c r="F689" i="1"/>
  <c r="E689" i="1"/>
  <c r="D689" i="1"/>
  <c r="C689" i="1"/>
  <c r="A689" i="1"/>
  <c r="L688" i="1"/>
  <c r="K688" i="1"/>
  <c r="H688" i="1"/>
  <c r="G688" i="1"/>
  <c r="F688" i="1"/>
  <c r="E688" i="1"/>
  <c r="D688" i="1"/>
  <c r="C688" i="1"/>
  <c r="A688" i="1"/>
  <c r="L687" i="1"/>
  <c r="K687" i="1"/>
  <c r="I687" i="1"/>
  <c r="H687" i="1"/>
  <c r="G687" i="1"/>
  <c r="F687" i="1"/>
  <c r="E687" i="1"/>
  <c r="D687" i="1"/>
  <c r="C687" i="1"/>
  <c r="A687" i="1"/>
  <c r="L686" i="1"/>
  <c r="K686" i="1"/>
  <c r="I686" i="1"/>
  <c r="H686" i="1"/>
  <c r="G686" i="1"/>
  <c r="F686" i="1"/>
  <c r="E686" i="1"/>
  <c r="D686" i="1"/>
  <c r="C686" i="1"/>
  <c r="A686" i="1"/>
  <c r="L685" i="1"/>
  <c r="K685" i="1"/>
  <c r="I685" i="1"/>
  <c r="H685" i="1"/>
  <c r="G685" i="1"/>
  <c r="F685" i="1"/>
  <c r="E685" i="1"/>
  <c r="D685" i="1"/>
  <c r="C685" i="1"/>
  <c r="A685" i="1"/>
  <c r="K684" i="1"/>
  <c r="H684" i="1"/>
  <c r="G684" i="1"/>
  <c r="F684" i="1"/>
  <c r="E684" i="1"/>
  <c r="D684" i="1"/>
  <c r="C684" i="1"/>
  <c r="A684" i="1"/>
  <c r="K683" i="1"/>
  <c r="H683" i="1"/>
  <c r="G683" i="1"/>
  <c r="F683" i="1"/>
  <c r="E683" i="1"/>
  <c r="D683" i="1"/>
  <c r="C683" i="1"/>
  <c r="A683" i="1"/>
  <c r="K682" i="1"/>
  <c r="H682" i="1"/>
  <c r="G682" i="1"/>
  <c r="F682" i="1"/>
  <c r="E682" i="1"/>
  <c r="D682" i="1"/>
  <c r="C682" i="1"/>
  <c r="A682" i="1"/>
  <c r="K681" i="1"/>
  <c r="H681" i="1"/>
  <c r="G681" i="1"/>
  <c r="F681" i="1"/>
  <c r="E681" i="1"/>
  <c r="D681" i="1"/>
  <c r="C681" i="1"/>
  <c r="A681" i="1"/>
  <c r="K680" i="1"/>
  <c r="H680" i="1"/>
  <c r="G680" i="1"/>
  <c r="F680" i="1"/>
  <c r="E680" i="1"/>
  <c r="D680" i="1"/>
  <c r="C680" i="1"/>
  <c r="A680" i="1"/>
  <c r="K679" i="1"/>
  <c r="I679" i="1"/>
  <c r="H679" i="1"/>
  <c r="G679" i="1"/>
  <c r="F679" i="1"/>
  <c r="E679" i="1"/>
  <c r="D679" i="1"/>
  <c r="C679" i="1"/>
  <c r="A679" i="1"/>
  <c r="K678" i="1"/>
  <c r="H678" i="1"/>
  <c r="G678" i="1"/>
  <c r="F678" i="1"/>
  <c r="E678" i="1"/>
  <c r="D678" i="1"/>
  <c r="C678" i="1"/>
  <c r="A678" i="1"/>
  <c r="K677" i="1"/>
  <c r="H677" i="1"/>
  <c r="G677" i="1"/>
  <c r="F677" i="1"/>
  <c r="E677" i="1"/>
  <c r="D677" i="1"/>
  <c r="C677" i="1"/>
  <c r="A677" i="1"/>
  <c r="K676" i="1"/>
  <c r="H676" i="1"/>
  <c r="G676" i="1"/>
  <c r="F676" i="1"/>
  <c r="E676" i="1"/>
  <c r="D676" i="1"/>
  <c r="C676" i="1"/>
  <c r="A676" i="1"/>
  <c r="L675" i="1"/>
  <c r="K675" i="1"/>
  <c r="I675" i="1"/>
  <c r="H675" i="1"/>
  <c r="G675" i="1"/>
  <c r="F675" i="1"/>
  <c r="E675" i="1"/>
  <c r="D675" i="1"/>
  <c r="C675" i="1"/>
  <c r="A675" i="1"/>
  <c r="K674" i="1"/>
  <c r="H674" i="1"/>
  <c r="G674" i="1"/>
  <c r="F674" i="1"/>
  <c r="E674" i="1"/>
  <c r="D674" i="1"/>
  <c r="C674" i="1"/>
  <c r="A674" i="1"/>
  <c r="K673" i="1"/>
  <c r="H673" i="1"/>
  <c r="G673" i="1"/>
  <c r="F673" i="1"/>
  <c r="E673" i="1"/>
  <c r="D673" i="1"/>
  <c r="C673" i="1"/>
  <c r="A673" i="1"/>
  <c r="K672" i="1"/>
  <c r="H672" i="1"/>
  <c r="G672" i="1"/>
  <c r="F672" i="1"/>
  <c r="E672" i="1"/>
  <c r="D672" i="1"/>
  <c r="C672" i="1"/>
  <c r="A672" i="1"/>
  <c r="K671" i="1"/>
  <c r="H671" i="1"/>
  <c r="G671" i="1"/>
  <c r="F671" i="1"/>
  <c r="E671" i="1"/>
  <c r="D671" i="1"/>
  <c r="C671" i="1"/>
  <c r="A671" i="1"/>
  <c r="K670" i="1"/>
  <c r="H670" i="1"/>
  <c r="G670" i="1"/>
  <c r="F670" i="1"/>
  <c r="E670" i="1"/>
  <c r="D670" i="1"/>
  <c r="C670" i="1"/>
  <c r="A670" i="1"/>
  <c r="K669" i="1"/>
  <c r="H669" i="1"/>
  <c r="G669" i="1"/>
  <c r="F669" i="1"/>
  <c r="E669" i="1"/>
  <c r="D669" i="1"/>
  <c r="C669" i="1"/>
  <c r="A669" i="1"/>
  <c r="L668" i="1"/>
  <c r="K668" i="1"/>
  <c r="I668" i="1"/>
  <c r="H668" i="1"/>
  <c r="G668" i="1"/>
  <c r="F668" i="1"/>
  <c r="E668" i="1"/>
  <c r="D668" i="1"/>
  <c r="C668" i="1"/>
  <c r="A668" i="1"/>
  <c r="L667" i="1"/>
  <c r="K667" i="1"/>
  <c r="I667" i="1"/>
  <c r="H667" i="1"/>
  <c r="G667" i="1"/>
  <c r="F667" i="1"/>
  <c r="E667" i="1"/>
  <c r="D667" i="1"/>
  <c r="C667" i="1"/>
  <c r="A667" i="1"/>
  <c r="K666" i="1"/>
  <c r="H666" i="1"/>
  <c r="G666" i="1"/>
  <c r="F666" i="1"/>
  <c r="E666" i="1"/>
  <c r="D666" i="1"/>
  <c r="C666" i="1"/>
  <c r="A666" i="1"/>
  <c r="K665" i="1"/>
  <c r="H665" i="1"/>
  <c r="G665" i="1"/>
  <c r="F665" i="1"/>
  <c r="E665" i="1"/>
  <c r="D665" i="1"/>
  <c r="C665" i="1"/>
  <c r="A665" i="1"/>
  <c r="K664" i="1"/>
  <c r="H664" i="1"/>
  <c r="G664" i="1"/>
  <c r="F664" i="1"/>
  <c r="E664" i="1"/>
  <c r="D664" i="1"/>
  <c r="C664" i="1"/>
  <c r="A664" i="1"/>
  <c r="K663" i="1"/>
  <c r="H663" i="1"/>
  <c r="G663" i="1"/>
  <c r="F663" i="1"/>
  <c r="E663" i="1"/>
  <c r="D663" i="1"/>
  <c r="C663" i="1"/>
  <c r="A663" i="1"/>
  <c r="K662" i="1"/>
  <c r="H662" i="1"/>
  <c r="G662" i="1"/>
  <c r="F662" i="1"/>
  <c r="E662" i="1"/>
  <c r="D662" i="1"/>
  <c r="C662" i="1"/>
  <c r="A662" i="1"/>
  <c r="K661" i="1"/>
  <c r="H661" i="1"/>
  <c r="G661" i="1"/>
  <c r="F661" i="1"/>
  <c r="E661" i="1"/>
  <c r="D661" i="1"/>
  <c r="C661" i="1"/>
  <c r="A661" i="1"/>
  <c r="K660" i="1"/>
  <c r="H660" i="1"/>
  <c r="G660" i="1"/>
  <c r="F660" i="1"/>
  <c r="E660" i="1"/>
  <c r="D660" i="1"/>
  <c r="C660" i="1"/>
  <c r="A660" i="1"/>
  <c r="K659" i="1"/>
  <c r="H659" i="1"/>
  <c r="G659" i="1"/>
  <c r="F659" i="1"/>
  <c r="E659" i="1"/>
  <c r="D659" i="1"/>
  <c r="C659" i="1"/>
  <c r="A659" i="1"/>
  <c r="K658" i="1"/>
  <c r="H658" i="1"/>
  <c r="G658" i="1"/>
  <c r="F658" i="1"/>
  <c r="E658" i="1"/>
  <c r="D658" i="1"/>
  <c r="C658" i="1"/>
  <c r="A658" i="1"/>
  <c r="K657" i="1"/>
  <c r="I657" i="1"/>
  <c r="H657" i="1"/>
  <c r="G657" i="1"/>
  <c r="F657" i="1"/>
  <c r="E657" i="1"/>
  <c r="D657" i="1"/>
  <c r="C657" i="1"/>
  <c r="A657" i="1"/>
  <c r="K656" i="1"/>
  <c r="H656" i="1"/>
  <c r="G656" i="1"/>
  <c r="F656" i="1"/>
  <c r="E656" i="1"/>
  <c r="D656" i="1"/>
  <c r="C656" i="1"/>
  <c r="A656" i="1"/>
  <c r="K655" i="1"/>
  <c r="I655" i="1"/>
  <c r="H655" i="1"/>
  <c r="G655" i="1"/>
  <c r="F655" i="1"/>
  <c r="E655" i="1"/>
  <c r="D655" i="1"/>
  <c r="C655" i="1"/>
  <c r="A655" i="1"/>
  <c r="K654" i="1"/>
  <c r="I654" i="1"/>
  <c r="H654" i="1"/>
  <c r="G654" i="1"/>
  <c r="F654" i="1"/>
  <c r="E654" i="1"/>
  <c r="D654" i="1"/>
  <c r="C654" i="1"/>
  <c r="A654" i="1"/>
  <c r="K652" i="1"/>
  <c r="I652" i="1"/>
  <c r="H652" i="1"/>
  <c r="G652" i="1"/>
  <c r="F652" i="1"/>
  <c r="E652" i="1"/>
  <c r="D652" i="1"/>
  <c r="C652" i="1"/>
  <c r="A652" i="1"/>
  <c r="K651" i="1"/>
  <c r="H651" i="1"/>
  <c r="G651" i="1"/>
  <c r="F651" i="1"/>
  <c r="E651" i="1"/>
  <c r="D651" i="1"/>
  <c r="C651" i="1"/>
  <c r="A651" i="1"/>
  <c r="K650" i="1"/>
  <c r="H650" i="1"/>
  <c r="G650" i="1"/>
  <c r="F650" i="1"/>
  <c r="E650" i="1"/>
  <c r="D650" i="1"/>
  <c r="C650" i="1"/>
  <c r="A650" i="1"/>
  <c r="K649" i="1"/>
  <c r="H649" i="1"/>
  <c r="G649" i="1"/>
  <c r="F649" i="1"/>
  <c r="E649" i="1"/>
  <c r="D649" i="1"/>
  <c r="C649" i="1"/>
  <c r="A649" i="1"/>
  <c r="L648" i="1"/>
  <c r="K648" i="1"/>
  <c r="I648" i="1"/>
  <c r="H648" i="1"/>
  <c r="G648" i="1"/>
  <c r="F648" i="1"/>
  <c r="E648" i="1"/>
  <c r="D648" i="1"/>
  <c r="C648" i="1"/>
  <c r="A648" i="1"/>
  <c r="K647" i="1"/>
  <c r="H647" i="1"/>
  <c r="G647" i="1"/>
  <c r="F647" i="1"/>
  <c r="E647" i="1"/>
  <c r="D647" i="1"/>
  <c r="C647" i="1"/>
  <c r="A647" i="1"/>
  <c r="K646" i="1"/>
  <c r="H646" i="1"/>
  <c r="G646" i="1"/>
  <c r="F646" i="1"/>
  <c r="E646" i="1"/>
  <c r="D646" i="1"/>
  <c r="C646" i="1"/>
  <c r="A646" i="1"/>
  <c r="K645" i="1"/>
  <c r="H645" i="1"/>
  <c r="G645" i="1"/>
  <c r="F645" i="1"/>
  <c r="E645" i="1"/>
  <c r="D645" i="1"/>
  <c r="C645" i="1"/>
  <c r="A645" i="1"/>
  <c r="K644" i="1"/>
  <c r="H644" i="1"/>
  <c r="G644" i="1"/>
  <c r="F644" i="1"/>
  <c r="E644" i="1"/>
  <c r="D644" i="1"/>
  <c r="C644" i="1"/>
  <c r="A644" i="1"/>
  <c r="K643" i="1"/>
  <c r="H643" i="1"/>
  <c r="G643" i="1"/>
  <c r="F643" i="1"/>
  <c r="E643" i="1"/>
  <c r="D643" i="1"/>
  <c r="C643" i="1"/>
  <c r="A643" i="1"/>
  <c r="K642" i="1"/>
  <c r="H642" i="1"/>
  <c r="G642" i="1"/>
  <c r="F642" i="1"/>
  <c r="E642" i="1"/>
  <c r="D642" i="1"/>
  <c r="C642" i="1"/>
  <c r="A642" i="1"/>
  <c r="K641" i="1"/>
  <c r="H641" i="1"/>
  <c r="G641" i="1"/>
  <c r="F641" i="1"/>
  <c r="E641" i="1"/>
  <c r="D641" i="1"/>
  <c r="C641" i="1"/>
  <c r="A641" i="1"/>
  <c r="K640" i="1"/>
  <c r="H640" i="1"/>
  <c r="G640" i="1"/>
  <c r="F640" i="1"/>
  <c r="E640" i="1"/>
  <c r="D640" i="1"/>
  <c r="C640" i="1"/>
  <c r="A640" i="1"/>
  <c r="K639" i="1"/>
  <c r="I639" i="1"/>
  <c r="H639" i="1"/>
  <c r="G639" i="1"/>
  <c r="F639" i="1"/>
  <c r="E639" i="1"/>
  <c r="D639" i="1"/>
  <c r="C639" i="1"/>
  <c r="A639" i="1"/>
  <c r="K638" i="1"/>
  <c r="H638" i="1"/>
  <c r="G638" i="1"/>
  <c r="F638" i="1"/>
  <c r="E638" i="1"/>
  <c r="D638" i="1"/>
  <c r="C638" i="1"/>
  <c r="A638" i="1"/>
  <c r="K637" i="1"/>
  <c r="H637" i="1"/>
  <c r="G637" i="1"/>
  <c r="F637" i="1"/>
  <c r="E637" i="1"/>
  <c r="D637" i="1"/>
  <c r="C637" i="1"/>
  <c r="A637" i="1"/>
  <c r="K636" i="1"/>
  <c r="H636" i="1"/>
  <c r="G636" i="1"/>
  <c r="F636" i="1"/>
  <c r="E636" i="1"/>
  <c r="D636" i="1"/>
  <c r="C636" i="1"/>
  <c r="A636" i="1"/>
  <c r="K635" i="1"/>
  <c r="H635" i="1"/>
  <c r="G635" i="1"/>
  <c r="F635" i="1"/>
  <c r="E635" i="1"/>
  <c r="D635" i="1"/>
  <c r="C635" i="1"/>
  <c r="A635" i="1"/>
  <c r="K634" i="1"/>
  <c r="H634" i="1"/>
  <c r="G634" i="1"/>
  <c r="F634" i="1"/>
  <c r="E634" i="1"/>
  <c r="D634" i="1"/>
  <c r="C634" i="1"/>
  <c r="A634" i="1"/>
  <c r="K633" i="1"/>
  <c r="H633" i="1"/>
  <c r="G633" i="1"/>
  <c r="F633" i="1"/>
  <c r="E633" i="1"/>
  <c r="D633" i="1"/>
  <c r="C633" i="1"/>
  <c r="A633" i="1"/>
  <c r="K632" i="1"/>
  <c r="H632" i="1"/>
  <c r="G632" i="1"/>
  <c r="F632" i="1"/>
  <c r="E632" i="1"/>
  <c r="D632" i="1"/>
  <c r="C632" i="1"/>
  <c r="A632" i="1"/>
  <c r="K631" i="1"/>
  <c r="H631" i="1"/>
  <c r="G631" i="1"/>
  <c r="F631" i="1"/>
  <c r="E631" i="1"/>
  <c r="D631" i="1"/>
  <c r="C631" i="1"/>
  <c r="A631" i="1"/>
  <c r="K630" i="1"/>
  <c r="H630" i="1"/>
  <c r="G630" i="1"/>
  <c r="F630" i="1"/>
  <c r="E630" i="1"/>
  <c r="D630" i="1"/>
  <c r="C630" i="1"/>
  <c r="A630" i="1"/>
  <c r="K629" i="1"/>
  <c r="H629" i="1"/>
  <c r="G629" i="1"/>
  <c r="F629" i="1"/>
  <c r="E629" i="1"/>
  <c r="D629" i="1"/>
  <c r="C629" i="1"/>
  <c r="A629" i="1"/>
  <c r="K628" i="1"/>
  <c r="H628" i="1"/>
  <c r="G628" i="1"/>
  <c r="F628" i="1"/>
  <c r="E628" i="1"/>
  <c r="D628" i="1"/>
  <c r="C628" i="1"/>
  <c r="A628" i="1"/>
  <c r="K627" i="1"/>
  <c r="H627" i="1"/>
  <c r="G627" i="1"/>
  <c r="F627" i="1"/>
  <c r="E627" i="1"/>
  <c r="D627" i="1"/>
  <c r="C627" i="1"/>
  <c r="A627" i="1"/>
  <c r="K626" i="1"/>
  <c r="H626" i="1"/>
  <c r="G626" i="1"/>
  <c r="F626" i="1"/>
  <c r="E626" i="1"/>
  <c r="D626" i="1"/>
  <c r="C626" i="1"/>
  <c r="A626" i="1"/>
  <c r="K625" i="1"/>
  <c r="H625" i="1"/>
  <c r="G625" i="1"/>
  <c r="F625" i="1"/>
  <c r="E625" i="1"/>
  <c r="D625" i="1"/>
  <c r="C625" i="1"/>
  <c r="A625" i="1"/>
  <c r="K624" i="1"/>
  <c r="H624" i="1"/>
  <c r="G624" i="1"/>
  <c r="F624" i="1"/>
  <c r="E624" i="1"/>
  <c r="D624" i="1"/>
  <c r="C624" i="1"/>
  <c r="A624" i="1"/>
  <c r="K623" i="1"/>
  <c r="H623" i="1"/>
  <c r="G623" i="1"/>
  <c r="F623" i="1"/>
  <c r="E623" i="1"/>
  <c r="D623" i="1"/>
  <c r="C623" i="1"/>
  <c r="A623" i="1"/>
  <c r="K622" i="1"/>
  <c r="H622" i="1"/>
  <c r="G622" i="1"/>
  <c r="F622" i="1"/>
  <c r="E622" i="1"/>
  <c r="D622" i="1"/>
  <c r="C622" i="1"/>
  <c r="A622" i="1"/>
  <c r="K621" i="1"/>
  <c r="H621" i="1"/>
  <c r="G621" i="1"/>
  <c r="F621" i="1"/>
  <c r="E621" i="1"/>
  <c r="D621" i="1"/>
  <c r="C621" i="1"/>
  <c r="A621" i="1"/>
  <c r="K620" i="1"/>
  <c r="H620" i="1"/>
  <c r="G620" i="1"/>
  <c r="F620" i="1"/>
  <c r="E620" i="1"/>
  <c r="D620" i="1"/>
  <c r="C620" i="1"/>
  <c r="A620" i="1"/>
  <c r="K619" i="1"/>
  <c r="H619" i="1"/>
  <c r="G619" i="1"/>
  <c r="F619" i="1"/>
  <c r="E619" i="1"/>
  <c r="D619" i="1"/>
  <c r="C619" i="1"/>
  <c r="A619" i="1"/>
  <c r="K618" i="1"/>
  <c r="H618" i="1"/>
  <c r="G618" i="1"/>
  <c r="F618" i="1"/>
  <c r="E618" i="1"/>
  <c r="D618" i="1"/>
  <c r="C618" i="1"/>
  <c r="A618" i="1"/>
  <c r="K617" i="1"/>
  <c r="H617" i="1"/>
  <c r="G617" i="1"/>
  <c r="F617" i="1"/>
  <c r="E617" i="1"/>
  <c r="D617" i="1"/>
  <c r="C617" i="1"/>
  <c r="A617" i="1"/>
  <c r="K616" i="1"/>
  <c r="H616" i="1"/>
  <c r="G616" i="1"/>
  <c r="F616" i="1"/>
  <c r="E616" i="1"/>
  <c r="D616" i="1"/>
  <c r="C616" i="1"/>
  <c r="A616" i="1"/>
  <c r="K615" i="1"/>
  <c r="H615" i="1"/>
  <c r="G615" i="1"/>
  <c r="F615" i="1"/>
  <c r="E615" i="1"/>
  <c r="D615" i="1"/>
  <c r="C615" i="1"/>
  <c r="A615" i="1"/>
  <c r="K614" i="1"/>
  <c r="H614" i="1"/>
  <c r="G614" i="1"/>
  <c r="F614" i="1"/>
  <c r="E614" i="1"/>
  <c r="D614" i="1"/>
  <c r="C614" i="1"/>
  <c r="A614" i="1"/>
  <c r="K613" i="1"/>
  <c r="H613" i="1"/>
  <c r="G613" i="1"/>
  <c r="F613" i="1"/>
  <c r="E613" i="1"/>
  <c r="D613" i="1"/>
  <c r="C613" i="1"/>
  <c r="A613" i="1"/>
  <c r="K612" i="1"/>
  <c r="H612" i="1"/>
  <c r="G612" i="1"/>
  <c r="F612" i="1"/>
  <c r="E612" i="1"/>
  <c r="D612" i="1"/>
  <c r="C612" i="1"/>
  <c r="A612" i="1"/>
  <c r="K611" i="1"/>
  <c r="H611" i="1"/>
  <c r="G611" i="1"/>
  <c r="F611" i="1"/>
  <c r="E611" i="1"/>
  <c r="D611" i="1"/>
  <c r="C611" i="1"/>
  <c r="A611" i="1"/>
  <c r="K610" i="1"/>
  <c r="H610" i="1"/>
  <c r="G610" i="1"/>
  <c r="F610" i="1"/>
  <c r="E610" i="1"/>
  <c r="D610" i="1"/>
  <c r="C610" i="1"/>
  <c r="A610" i="1"/>
  <c r="K609" i="1"/>
  <c r="H609" i="1"/>
  <c r="G609" i="1"/>
  <c r="F609" i="1"/>
  <c r="E609" i="1"/>
  <c r="D609" i="1"/>
  <c r="C609" i="1"/>
  <c r="A609" i="1"/>
  <c r="K608" i="1"/>
  <c r="H608" i="1"/>
  <c r="G608" i="1"/>
  <c r="F608" i="1"/>
  <c r="E608" i="1"/>
  <c r="D608" i="1"/>
  <c r="C608" i="1"/>
  <c r="A608" i="1"/>
  <c r="K607" i="1"/>
  <c r="H607" i="1"/>
  <c r="G607" i="1"/>
  <c r="F607" i="1"/>
  <c r="E607" i="1"/>
  <c r="D607" i="1"/>
  <c r="C607" i="1"/>
  <c r="A607" i="1"/>
  <c r="K606" i="1"/>
  <c r="H606" i="1"/>
  <c r="G606" i="1"/>
  <c r="F606" i="1"/>
  <c r="E606" i="1"/>
  <c r="D606" i="1"/>
  <c r="C606" i="1"/>
  <c r="A606" i="1"/>
  <c r="K605" i="1"/>
  <c r="H605" i="1"/>
  <c r="G605" i="1"/>
  <c r="F605" i="1"/>
  <c r="E605" i="1"/>
  <c r="D605" i="1"/>
  <c r="C605" i="1"/>
  <c r="A605" i="1"/>
  <c r="K604" i="1"/>
  <c r="H604" i="1"/>
  <c r="G604" i="1"/>
  <c r="F604" i="1"/>
  <c r="E604" i="1"/>
  <c r="D604" i="1"/>
  <c r="C604" i="1"/>
  <c r="A604" i="1"/>
  <c r="K603" i="1"/>
  <c r="H603" i="1"/>
  <c r="G603" i="1"/>
  <c r="F603" i="1"/>
  <c r="E603" i="1"/>
  <c r="D603" i="1"/>
  <c r="C603" i="1"/>
  <c r="A603" i="1"/>
  <c r="K602" i="1"/>
  <c r="H602" i="1"/>
  <c r="G602" i="1"/>
  <c r="F602" i="1"/>
  <c r="E602" i="1"/>
  <c r="D602" i="1"/>
  <c r="C602" i="1"/>
  <c r="A602" i="1"/>
  <c r="K601" i="1"/>
  <c r="H601" i="1"/>
  <c r="G601" i="1"/>
  <c r="F601" i="1"/>
  <c r="E601" i="1"/>
  <c r="D601" i="1"/>
  <c r="C601" i="1"/>
  <c r="A601" i="1"/>
  <c r="K600" i="1"/>
  <c r="H600" i="1"/>
  <c r="G600" i="1"/>
  <c r="F600" i="1"/>
  <c r="E600" i="1"/>
  <c r="D600" i="1"/>
  <c r="C600" i="1"/>
  <c r="A600" i="1"/>
  <c r="K599" i="1"/>
  <c r="H599" i="1"/>
  <c r="G599" i="1"/>
  <c r="F599" i="1"/>
  <c r="E599" i="1"/>
  <c r="D599" i="1"/>
  <c r="C599" i="1"/>
  <c r="A599" i="1"/>
  <c r="K598" i="1"/>
  <c r="H598" i="1"/>
  <c r="G598" i="1"/>
  <c r="F598" i="1"/>
  <c r="E598" i="1"/>
  <c r="D598" i="1"/>
  <c r="C598" i="1"/>
  <c r="A598" i="1"/>
  <c r="K597" i="1"/>
  <c r="H597" i="1"/>
  <c r="G597" i="1"/>
  <c r="F597" i="1"/>
  <c r="E597" i="1"/>
  <c r="D597" i="1"/>
  <c r="C597" i="1"/>
  <c r="A597" i="1"/>
  <c r="K596" i="1"/>
  <c r="H596" i="1"/>
  <c r="G596" i="1"/>
  <c r="F596" i="1"/>
  <c r="E596" i="1"/>
  <c r="D596" i="1"/>
  <c r="C596" i="1"/>
  <c r="A596" i="1"/>
  <c r="K595" i="1"/>
  <c r="H595" i="1"/>
  <c r="G595" i="1"/>
  <c r="F595" i="1"/>
  <c r="E595" i="1"/>
  <c r="D595" i="1"/>
  <c r="C595" i="1"/>
  <c r="A595" i="1"/>
  <c r="L594" i="1"/>
  <c r="K594" i="1"/>
  <c r="I594" i="1"/>
  <c r="H594" i="1"/>
  <c r="G594" i="1"/>
  <c r="F594" i="1"/>
  <c r="E594" i="1"/>
  <c r="D594" i="1"/>
  <c r="C594" i="1"/>
  <c r="A594" i="1"/>
  <c r="K593" i="1"/>
  <c r="H593" i="1"/>
  <c r="G593" i="1"/>
  <c r="F593" i="1"/>
  <c r="E593" i="1"/>
  <c r="D593" i="1"/>
  <c r="C593" i="1"/>
  <c r="A593" i="1"/>
  <c r="K592" i="1"/>
  <c r="H592" i="1"/>
  <c r="G592" i="1"/>
  <c r="F592" i="1"/>
  <c r="E592" i="1"/>
  <c r="D592" i="1"/>
  <c r="C592" i="1"/>
  <c r="A592" i="1"/>
  <c r="K591" i="1"/>
  <c r="H591" i="1"/>
  <c r="G591" i="1"/>
  <c r="F591" i="1"/>
  <c r="E591" i="1"/>
  <c r="D591" i="1"/>
  <c r="C591" i="1"/>
  <c r="A591" i="1"/>
  <c r="H590" i="1"/>
  <c r="G590" i="1"/>
  <c r="F590" i="1"/>
  <c r="E590" i="1"/>
  <c r="D590" i="1"/>
  <c r="C590" i="1"/>
  <c r="A590" i="1"/>
  <c r="H589" i="1"/>
  <c r="F589" i="1"/>
  <c r="E589" i="1"/>
  <c r="D589" i="1"/>
  <c r="C589" i="1"/>
  <c r="A589" i="1"/>
  <c r="K588" i="1"/>
  <c r="H588" i="1"/>
  <c r="G588" i="1"/>
  <c r="F588" i="1"/>
  <c r="E588" i="1"/>
  <c r="D588" i="1"/>
  <c r="C588" i="1"/>
  <c r="A588" i="1"/>
  <c r="K587" i="1"/>
  <c r="H587" i="1"/>
  <c r="G587" i="1"/>
  <c r="F587" i="1"/>
  <c r="E587" i="1"/>
  <c r="D587" i="1"/>
  <c r="C587" i="1"/>
  <c r="A587" i="1"/>
  <c r="L586" i="1"/>
  <c r="K586" i="1"/>
  <c r="I586" i="1"/>
  <c r="H586" i="1"/>
  <c r="G586" i="1"/>
  <c r="F586" i="1"/>
  <c r="E586" i="1"/>
  <c r="D586" i="1"/>
  <c r="C586" i="1"/>
  <c r="A586" i="1"/>
  <c r="L585" i="1"/>
  <c r="K585" i="1"/>
  <c r="I585" i="1"/>
  <c r="H585" i="1"/>
  <c r="G585" i="1"/>
  <c r="F585" i="1"/>
  <c r="E585" i="1"/>
  <c r="D585" i="1"/>
  <c r="C585" i="1"/>
  <c r="A585" i="1"/>
  <c r="K584" i="1"/>
  <c r="H584" i="1"/>
  <c r="G584" i="1"/>
  <c r="F584" i="1"/>
  <c r="E584" i="1"/>
  <c r="D584" i="1"/>
  <c r="C584" i="1"/>
  <c r="A584" i="1"/>
  <c r="L583" i="1"/>
  <c r="K583" i="1"/>
  <c r="H583" i="1"/>
  <c r="G583" i="1"/>
  <c r="F583" i="1"/>
  <c r="E583" i="1"/>
  <c r="D583" i="1"/>
  <c r="C583" i="1"/>
  <c r="A583" i="1"/>
  <c r="K582" i="1"/>
  <c r="H582" i="1"/>
  <c r="G582" i="1"/>
  <c r="F582" i="1"/>
  <c r="E582" i="1"/>
  <c r="D582" i="1"/>
  <c r="C582" i="1"/>
  <c r="A582" i="1"/>
  <c r="K581" i="1"/>
  <c r="H581" i="1"/>
  <c r="G581" i="1"/>
  <c r="F581" i="1"/>
  <c r="E581" i="1"/>
  <c r="D581" i="1"/>
  <c r="C581" i="1"/>
  <c r="A581" i="1"/>
  <c r="K580" i="1"/>
  <c r="H580" i="1"/>
  <c r="G580" i="1"/>
  <c r="F580" i="1"/>
  <c r="E580" i="1"/>
  <c r="D580" i="1"/>
  <c r="C580" i="1"/>
  <c r="A580" i="1"/>
  <c r="K579" i="1"/>
  <c r="I579" i="1"/>
  <c r="H579" i="1"/>
  <c r="G579" i="1"/>
  <c r="F579" i="1"/>
  <c r="E579" i="1"/>
  <c r="D579" i="1"/>
  <c r="C579" i="1"/>
  <c r="A579" i="1"/>
  <c r="K578" i="1"/>
  <c r="H578" i="1"/>
  <c r="G578" i="1"/>
  <c r="F578" i="1"/>
  <c r="E578" i="1"/>
  <c r="D578" i="1"/>
  <c r="C578" i="1"/>
  <c r="A578" i="1"/>
  <c r="K577" i="1"/>
  <c r="H577" i="1"/>
  <c r="G577" i="1"/>
  <c r="F577" i="1"/>
  <c r="E577" i="1"/>
  <c r="D577" i="1"/>
  <c r="C577" i="1"/>
  <c r="A577" i="1"/>
  <c r="K576" i="1"/>
  <c r="H576" i="1"/>
  <c r="G576" i="1"/>
  <c r="F576" i="1"/>
  <c r="E576" i="1"/>
  <c r="D576" i="1"/>
  <c r="C576" i="1"/>
  <c r="A576" i="1"/>
  <c r="K575" i="1"/>
  <c r="H575" i="1"/>
  <c r="G575" i="1"/>
  <c r="F575" i="1"/>
  <c r="E575" i="1"/>
  <c r="D575" i="1"/>
  <c r="C575" i="1"/>
  <c r="A575" i="1"/>
  <c r="K574" i="1"/>
  <c r="I574" i="1"/>
  <c r="H574" i="1"/>
  <c r="G574" i="1"/>
  <c r="F574" i="1"/>
  <c r="E574" i="1"/>
  <c r="D574" i="1"/>
  <c r="C574" i="1"/>
  <c r="A574" i="1"/>
  <c r="K573" i="1"/>
  <c r="H573" i="1"/>
  <c r="G573" i="1"/>
  <c r="F573" i="1"/>
  <c r="E573" i="1"/>
  <c r="D573" i="1"/>
  <c r="C573" i="1"/>
  <c r="A573" i="1"/>
  <c r="K572" i="1"/>
  <c r="H572" i="1"/>
  <c r="G572" i="1"/>
  <c r="F572" i="1"/>
  <c r="E572" i="1"/>
  <c r="D572" i="1"/>
  <c r="C572" i="1"/>
  <c r="A572" i="1"/>
  <c r="K571" i="1"/>
  <c r="H571" i="1"/>
  <c r="G571" i="1"/>
  <c r="F571" i="1"/>
  <c r="E571" i="1"/>
  <c r="D571" i="1"/>
  <c r="C571" i="1"/>
  <c r="A571" i="1"/>
  <c r="J570" i="1"/>
  <c r="H570" i="1"/>
  <c r="F570" i="1"/>
  <c r="E570" i="1"/>
  <c r="D570" i="1"/>
  <c r="C570" i="1"/>
  <c r="A570" i="1"/>
  <c r="K569" i="1"/>
  <c r="H569" i="1"/>
  <c r="G569" i="1"/>
  <c r="F569" i="1"/>
  <c r="E569" i="1"/>
  <c r="D569" i="1"/>
  <c r="C569" i="1"/>
  <c r="A569" i="1"/>
  <c r="H568" i="1"/>
  <c r="F568" i="1"/>
  <c r="C568" i="1"/>
  <c r="A568" i="1"/>
  <c r="K567" i="1"/>
  <c r="H567" i="1"/>
  <c r="G567" i="1"/>
  <c r="F567" i="1"/>
  <c r="E567" i="1"/>
  <c r="D567" i="1"/>
  <c r="C567" i="1"/>
  <c r="A567" i="1"/>
  <c r="K566" i="1"/>
  <c r="H566" i="1"/>
  <c r="G566" i="1"/>
  <c r="F566" i="1"/>
  <c r="E566" i="1"/>
  <c r="D566" i="1"/>
  <c r="C566" i="1"/>
  <c r="A566" i="1"/>
  <c r="K565" i="1"/>
  <c r="H565" i="1"/>
  <c r="G565" i="1"/>
  <c r="F565" i="1"/>
  <c r="E565" i="1"/>
  <c r="D565" i="1"/>
  <c r="C565" i="1"/>
  <c r="A565" i="1"/>
  <c r="K564" i="1"/>
  <c r="H564" i="1"/>
  <c r="G564" i="1"/>
  <c r="F564" i="1"/>
  <c r="E564" i="1"/>
  <c r="D564" i="1"/>
  <c r="C564" i="1"/>
  <c r="A564" i="1"/>
  <c r="K563" i="1"/>
  <c r="H563" i="1"/>
  <c r="G563" i="1"/>
  <c r="F563" i="1"/>
  <c r="E563" i="1"/>
  <c r="D563" i="1"/>
  <c r="C563" i="1"/>
  <c r="A563" i="1"/>
  <c r="K562" i="1"/>
  <c r="H562" i="1"/>
  <c r="G562" i="1"/>
  <c r="F562" i="1"/>
  <c r="E562" i="1"/>
  <c r="D562" i="1"/>
  <c r="C562" i="1"/>
  <c r="A562" i="1"/>
  <c r="K561" i="1"/>
  <c r="I561" i="1"/>
  <c r="H561" i="1"/>
  <c r="G561" i="1"/>
  <c r="F561" i="1"/>
  <c r="E561" i="1"/>
  <c r="D561" i="1"/>
  <c r="C561" i="1"/>
  <c r="A561" i="1"/>
  <c r="K560" i="1"/>
  <c r="I560" i="1"/>
  <c r="H560" i="1"/>
  <c r="G560" i="1"/>
  <c r="F560" i="1"/>
  <c r="E560" i="1"/>
  <c r="D560" i="1"/>
  <c r="C560" i="1"/>
  <c r="A560" i="1"/>
  <c r="K559" i="1"/>
  <c r="H559" i="1"/>
  <c r="G559" i="1"/>
  <c r="F559" i="1"/>
  <c r="E559" i="1"/>
  <c r="D559" i="1"/>
  <c r="C559" i="1"/>
  <c r="A559" i="1"/>
  <c r="K558" i="1"/>
  <c r="I558" i="1"/>
  <c r="H558" i="1"/>
  <c r="G558" i="1"/>
  <c r="F558" i="1"/>
  <c r="E558" i="1"/>
  <c r="D558" i="1"/>
  <c r="C558" i="1"/>
  <c r="A558" i="1"/>
  <c r="K557" i="1"/>
  <c r="H557" i="1"/>
  <c r="G557" i="1"/>
  <c r="F557" i="1"/>
  <c r="E557" i="1"/>
  <c r="D557" i="1"/>
  <c r="C557" i="1"/>
  <c r="A557" i="1"/>
  <c r="L556" i="1"/>
  <c r="K556" i="1"/>
  <c r="H556" i="1"/>
  <c r="G556" i="1"/>
  <c r="F556" i="1"/>
  <c r="E556" i="1"/>
  <c r="D556" i="1"/>
  <c r="C556" i="1"/>
  <c r="A556" i="1"/>
  <c r="K555" i="1"/>
  <c r="H555" i="1"/>
  <c r="G555" i="1"/>
  <c r="F555" i="1"/>
  <c r="E555" i="1"/>
  <c r="D555" i="1"/>
  <c r="C555" i="1"/>
  <c r="A555" i="1"/>
  <c r="K554" i="1"/>
  <c r="H554" i="1"/>
  <c r="G554" i="1"/>
  <c r="F554" i="1"/>
  <c r="E554" i="1"/>
  <c r="D554" i="1"/>
  <c r="C554" i="1"/>
  <c r="A554" i="1"/>
  <c r="K553" i="1"/>
  <c r="H553" i="1"/>
  <c r="G553" i="1"/>
  <c r="F553" i="1"/>
  <c r="E553" i="1"/>
  <c r="D553" i="1"/>
  <c r="C553" i="1"/>
  <c r="A553" i="1"/>
  <c r="K552" i="1"/>
  <c r="H552" i="1"/>
  <c r="F552" i="1"/>
  <c r="C552" i="1"/>
  <c r="A552" i="1"/>
  <c r="K551" i="1"/>
  <c r="J551" i="1"/>
  <c r="I551" i="1"/>
  <c r="H551" i="1"/>
  <c r="F551" i="1"/>
  <c r="E551" i="1"/>
  <c r="D551" i="1"/>
  <c r="C551" i="1"/>
  <c r="A551" i="1"/>
  <c r="K550" i="1"/>
  <c r="H550" i="1"/>
  <c r="G550" i="1"/>
  <c r="F550" i="1"/>
  <c r="E550" i="1"/>
  <c r="D550" i="1"/>
  <c r="C550" i="1"/>
  <c r="A550" i="1"/>
  <c r="K549" i="1"/>
  <c r="H549" i="1"/>
  <c r="G549" i="1"/>
  <c r="F549" i="1"/>
  <c r="E549" i="1"/>
  <c r="D549" i="1"/>
  <c r="C549" i="1"/>
  <c r="A549" i="1"/>
  <c r="K548" i="1"/>
  <c r="H548" i="1"/>
  <c r="G548" i="1"/>
  <c r="F548" i="1"/>
  <c r="E548" i="1"/>
  <c r="D548" i="1"/>
  <c r="C548" i="1"/>
  <c r="A548" i="1"/>
  <c r="K547" i="1"/>
  <c r="H547" i="1"/>
  <c r="G547" i="1"/>
  <c r="F547" i="1"/>
  <c r="E547" i="1"/>
  <c r="D547" i="1"/>
  <c r="C547" i="1"/>
  <c r="A547" i="1"/>
  <c r="K546" i="1"/>
  <c r="H546" i="1"/>
  <c r="G546" i="1"/>
  <c r="F546" i="1"/>
  <c r="E546" i="1"/>
  <c r="D546" i="1"/>
  <c r="C546" i="1"/>
  <c r="A546" i="1"/>
  <c r="K545" i="1"/>
  <c r="H545" i="1"/>
  <c r="G545" i="1"/>
  <c r="F545" i="1"/>
  <c r="E545" i="1"/>
  <c r="D545" i="1"/>
  <c r="C545" i="1"/>
  <c r="A545" i="1"/>
  <c r="K544" i="1"/>
  <c r="H544" i="1"/>
  <c r="G544" i="1"/>
  <c r="F544" i="1"/>
  <c r="E544" i="1"/>
  <c r="D544" i="1"/>
  <c r="C544" i="1"/>
  <c r="A544" i="1"/>
  <c r="K543" i="1"/>
  <c r="H543" i="1"/>
  <c r="G543" i="1"/>
  <c r="F543" i="1"/>
  <c r="E543" i="1"/>
  <c r="D543" i="1"/>
  <c r="C543" i="1"/>
  <c r="A543" i="1"/>
  <c r="K542" i="1"/>
  <c r="H542" i="1"/>
  <c r="G542" i="1"/>
  <c r="F542" i="1"/>
  <c r="E542" i="1"/>
  <c r="D542" i="1"/>
  <c r="C542" i="1"/>
  <c r="A542" i="1"/>
  <c r="H541" i="1"/>
  <c r="C541" i="1"/>
  <c r="A541" i="1"/>
  <c r="K540" i="1"/>
  <c r="H540" i="1"/>
  <c r="G540" i="1"/>
  <c r="F540" i="1"/>
  <c r="E540" i="1"/>
  <c r="D540" i="1"/>
  <c r="C540" i="1"/>
  <c r="A540" i="1"/>
  <c r="K539" i="1"/>
  <c r="H539" i="1"/>
  <c r="G539" i="1"/>
  <c r="F539" i="1"/>
  <c r="E539" i="1"/>
  <c r="D539" i="1"/>
  <c r="C539" i="1"/>
  <c r="A539" i="1"/>
  <c r="K538" i="1"/>
  <c r="H538" i="1"/>
  <c r="G538" i="1"/>
  <c r="F538" i="1"/>
  <c r="E538" i="1"/>
  <c r="D538" i="1"/>
  <c r="C538" i="1"/>
  <c r="A538" i="1"/>
  <c r="K537" i="1"/>
  <c r="H537" i="1"/>
  <c r="G537" i="1"/>
  <c r="F537" i="1"/>
  <c r="E537" i="1"/>
  <c r="D537" i="1"/>
  <c r="C537" i="1"/>
  <c r="A537" i="1"/>
  <c r="K536" i="1"/>
  <c r="H536" i="1"/>
  <c r="G536" i="1"/>
  <c r="F536" i="1"/>
  <c r="E536" i="1"/>
  <c r="D536" i="1"/>
  <c r="C536" i="1"/>
  <c r="A536" i="1"/>
  <c r="K535" i="1"/>
  <c r="H535" i="1"/>
  <c r="G535" i="1"/>
  <c r="F535" i="1"/>
  <c r="E535" i="1"/>
  <c r="D535" i="1"/>
  <c r="C535" i="1"/>
  <c r="A535" i="1"/>
  <c r="K534" i="1"/>
  <c r="H534" i="1"/>
  <c r="G534" i="1"/>
  <c r="F534" i="1"/>
  <c r="E534" i="1"/>
  <c r="D534" i="1"/>
  <c r="C534" i="1"/>
  <c r="A534" i="1"/>
  <c r="K533" i="1"/>
  <c r="H533" i="1"/>
  <c r="G533" i="1"/>
  <c r="F533" i="1"/>
  <c r="E533" i="1"/>
  <c r="D533" i="1"/>
  <c r="C533" i="1"/>
  <c r="A533" i="1"/>
  <c r="K532" i="1"/>
  <c r="H532" i="1"/>
  <c r="G532" i="1"/>
  <c r="F532" i="1"/>
  <c r="E532" i="1"/>
  <c r="D532" i="1"/>
  <c r="C532" i="1"/>
  <c r="A532" i="1"/>
  <c r="K531" i="1"/>
  <c r="I531" i="1"/>
  <c r="H531" i="1"/>
  <c r="G531" i="1"/>
  <c r="F531" i="1"/>
  <c r="E531" i="1"/>
  <c r="D531" i="1"/>
  <c r="C531" i="1"/>
  <c r="A531" i="1"/>
  <c r="K530" i="1"/>
  <c r="H530" i="1"/>
  <c r="G530" i="1"/>
  <c r="F530" i="1"/>
  <c r="E530" i="1"/>
  <c r="D530" i="1"/>
  <c r="C530" i="1"/>
  <c r="A530" i="1"/>
  <c r="K529" i="1"/>
  <c r="I529" i="1"/>
  <c r="H529" i="1"/>
  <c r="G529" i="1"/>
  <c r="F529" i="1"/>
  <c r="E529" i="1"/>
  <c r="D529" i="1"/>
  <c r="C529" i="1"/>
  <c r="A529" i="1"/>
  <c r="K528" i="1"/>
  <c r="H528" i="1"/>
  <c r="G528" i="1"/>
  <c r="F528" i="1"/>
  <c r="E528" i="1"/>
  <c r="D528" i="1"/>
  <c r="C528" i="1"/>
  <c r="A528" i="1"/>
  <c r="K527" i="1"/>
  <c r="I527" i="1"/>
  <c r="H527" i="1"/>
  <c r="G527" i="1"/>
  <c r="F527" i="1"/>
  <c r="E527" i="1"/>
  <c r="D527" i="1"/>
  <c r="C527" i="1"/>
  <c r="A527" i="1"/>
  <c r="K526" i="1"/>
  <c r="H526" i="1"/>
  <c r="G526" i="1"/>
  <c r="F526" i="1"/>
  <c r="E526" i="1"/>
  <c r="D526" i="1"/>
  <c r="C526" i="1"/>
  <c r="A526" i="1"/>
  <c r="K525" i="1"/>
  <c r="H525" i="1"/>
  <c r="G525" i="1"/>
  <c r="F525" i="1"/>
  <c r="E525" i="1"/>
  <c r="D525" i="1"/>
  <c r="C525" i="1"/>
  <c r="A525" i="1"/>
  <c r="K524" i="1"/>
  <c r="I524" i="1"/>
  <c r="H524" i="1"/>
  <c r="G524" i="1"/>
  <c r="F524" i="1"/>
  <c r="E524" i="1"/>
  <c r="D524" i="1"/>
  <c r="C524" i="1"/>
  <c r="A524" i="1"/>
  <c r="K523" i="1"/>
  <c r="I523" i="1"/>
  <c r="H523" i="1"/>
  <c r="G523" i="1"/>
  <c r="F523" i="1"/>
  <c r="E523" i="1"/>
  <c r="D523" i="1"/>
  <c r="C523" i="1"/>
  <c r="A523" i="1"/>
  <c r="K522" i="1"/>
  <c r="I522" i="1"/>
  <c r="H522" i="1"/>
  <c r="G522" i="1"/>
  <c r="F522" i="1"/>
  <c r="E522" i="1"/>
  <c r="D522" i="1"/>
  <c r="C522" i="1"/>
  <c r="A522" i="1"/>
  <c r="K521" i="1"/>
  <c r="I521" i="1"/>
  <c r="H521" i="1"/>
  <c r="G521" i="1"/>
  <c r="F521" i="1"/>
  <c r="E521" i="1"/>
  <c r="D521" i="1"/>
  <c r="C521" i="1"/>
  <c r="A521" i="1"/>
  <c r="K520" i="1"/>
  <c r="J520" i="1"/>
  <c r="H520" i="1"/>
  <c r="F520" i="1"/>
  <c r="E520" i="1"/>
  <c r="D520" i="1"/>
  <c r="C520" i="1"/>
  <c r="A520" i="1"/>
  <c r="K519" i="1"/>
  <c r="J519" i="1"/>
  <c r="H519" i="1"/>
  <c r="F519" i="1"/>
  <c r="E519" i="1"/>
  <c r="D519" i="1"/>
  <c r="C519" i="1"/>
  <c r="A519" i="1"/>
  <c r="K518" i="1"/>
  <c r="J518" i="1"/>
  <c r="H518" i="1"/>
  <c r="F518" i="1"/>
  <c r="E518" i="1"/>
  <c r="D518" i="1"/>
  <c r="C518" i="1"/>
  <c r="A518" i="1"/>
  <c r="K517" i="1"/>
  <c r="J517" i="1"/>
  <c r="H517" i="1"/>
  <c r="F517" i="1"/>
  <c r="E517" i="1"/>
  <c r="D517" i="1"/>
  <c r="C517" i="1"/>
  <c r="A517" i="1"/>
  <c r="K516" i="1"/>
  <c r="I516" i="1"/>
  <c r="H516" i="1"/>
  <c r="G516" i="1"/>
  <c r="F516" i="1"/>
  <c r="E516" i="1"/>
  <c r="D516" i="1"/>
  <c r="C516" i="1"/>
  <c r="A516" i="1"/>
  <c r="K515" i="1"/>
  <c r="J515" i="1"/>
  <c r="H515" i="1"/>
  <c r="F515" i="1"/>
  <c r="E515" i="1"/>
  <c r="D515" i="1"/>
  <c r="C515" i="1"/>
  <c r="A515" i="1"/>
  <c r="K514" i="1"/>
  <c r="J514" i="1"/>
  <c r="I514" i="1"/>
  <c r="H514" i="1"/>
  <c r="F514" i="1"/>
  <c r="E514" i="1"/>
  <c r="D514" i="1"/>
  <c r="C514" i="1"/>
  <c r="A514" i="1"/>
  <c r="K513" i="1"/>
  <c r="I513" i="1"/>
  <c r="H513" i="1"/>
  <c r="G513" i="1"/>
  <c r="F513" i="1"/>
  <c r="E513" i="1"/>
  <c r="D513" i="1"/>
  <c r="C513" i="1"/>
  <c r="A513" i="1"/>
  <c r="K512" i="1"/>
  <c r="I512" i="1"/>
  <c r="H512" i="1"/>
  <c r="G512" i="1"/>
  <c r="F512" i="1"/>
  <c r="E512" i="1"/>
  <c r="D512" i="1"/>
  <c r="C512" i="1"/>
  <c r="A512" i="1"/>
  <c r="K511" i="1"/>
  <c r="H511" i="1"/>
  <c r="G511" i="1"/>
  <c r="F511" i="1"/>
  <c r="E511" i="1"/>
  <c r="D511" i="1"/>
  <c r="C511" i="1"/>
  <c r="A511" i="1"/>
  <c r="K510" i="1"/>
  <c r="J510" i="1"/>
  <c r="H510" i="1"/>
  <c r="F510" i="1"/>
  <c r="E510" i="1"/>
  <c r="D510" i="1"/>
  <c r="C510" i="1"/>
  <c r="A510" i="1"/>
  <c r="K509" i="1"/>
  <c r="J509" i="1"/>
  <c r="I509" i="1"/>
  <c r="H509" i="1"/>
  <c r="F509" i="1"/>
  <c r="E509" i="1"/>
  <c r="D509" i="1"/>
  <c r="C509" i="1"/>
  <c r="A509" i="1"/>
  <c r="K508" i="1"/>
  <c r="J508" i="1"/>
  <c r="H508" i="1"/>
  <c r="F508" i="1"/>
  <c r="E508" i="1"/>
  <c r="D508" i="1"/>
  <c r="C508" i="1"/>
  <c r="A508" i="1"/>
  <c r="K507" i="1"/>
  <c r="I507" i="1"/>
  <c r="H507" i="1"/>
  <c r="G507" i="1"/>
  <c r="F507" i="1"/>
  <c r="E507" i="1"/>
  <c r="D507" i="1"/>
  <c r="C507" i="1"/>
  <c r="A507" i="1"/>
  <c r="K506" i="1"/>
  <c r="I506" i="1"/>
  <c r="H506" i="1"/>
  <c r="G506" i="1"/>
  <c r="F506" i="1"/>
  <c r="E506" i="1"/>
  <c r="D506" i="1"/>
  <c r="C506" i="1"/>
  <c r="A506" i="1"/>
  <c r="K505" i="1"/>
  <c r="H505" i="1"/>
  <c r="G505" i="1"/>
  <c r="F505" i="1"/>
  <c r="E505" i="1"/>
  <c r="D505" i="1"/>
  <c r="C505" i="1"/>
  <c r="A505" i="1"/>
  <c r="K504" i="1"/>
  <c r="H504" i="1"/>
  <c r="G504" i="1"/>
  <c r="F504" i="1"/>
  <c r="E504" i="1"/>
  <c r="D504" i="1"/>
  <c r="C504" i="1"/>
  <c r="A504" i="1"/>
  <c r="K503" i="1"/>
  <c r="H503" i="1"/>
  <c r="G503" i="1"/>
  <c r="F503" i="1"/>
  <c r="E503" i="1"/>
  <c r="D503" i="1"/>
  <c r="C503" i="1"/>
  <c r="A503" i="1"/>
  <c r="K502" i="1"/>
  <c r="H502" i="1"/>
  <c r="G502" i="1"/>
  <c r="F502" i="1"/>
  <c r="E502" i="1"/>
  <c r="D502" i="1"/>
  <c r="C502" i="1"/>
  <c r="A502" i="1"/>
  <c r="K501" i="1"/>
  <c r="H501" i="1"/>
  <c r="G501" i="1"/>
  <c r="F501" i="1"/>
  <c r="E501" i="1"/>
  <c r="D501" i="1"/>
  <c r="C501" i="1"/>
  <c r="A501" i="1"/>
  <c r="K500" i="1"/>
  <c r="J500" i="1"/>
  <c r="H500" i="1"/>
  <c r="F500" i="1"/>
  <c r="E500" i="1"/>
  <c r="D500" i="1"/>
  <c r="C500" i="1"/>
  <c r="A500" i="1"/>
  <c r="K499" i="1"/>
  <c r="J499" i="1"/>
  <c r="H499" i="1"/>
  <c r="F499" i="1"/>
  <c r="E499" i="1"/>
  <c r="D499" i="1"/>
  <c r="C499" i="1"/>
  <c r="A499" i="1"/>
  <c r="K498" i="1"/>
  <c r="J498" i="1"/>
  <c r="H498" i="1"/>
  <c r="F498" i="1"/>
  <c r="E498" i="1"/>
  <c r="D498" i="1"/>
  <c r="C498" i="1"/>
  <c r="A498" i="1"/>
  <c r="K497" i="1"/>
  <c r="J497" i="1"/>
  <c r="H497" i="1"/>
  <c r="F497" i="1"/>
  <c r="E497" i="1"/>
  <c r="D497" i="1"/>
  <c r="C497" i="1"/>
  <c r="A497" i="1"/>
  <c r="K496" i="1"/>
  <c r="I496" i="1"/>
  <c r="H496" i="1"/>
  <c r="G496" i="1"/>
  <c r="F496" i="1"/>
  <c r="E496" i="1"/>
  <c r="D496" i="1"/>
  <c r="C496" i="1"/>
  <c r="A496" i="1"/>
  <c r="K495" i="1"/>
  <c r="I495" i="1"/>
  <c r="H495" i="1"/>
  <c r="G495" i="1"/>
  <c r="F495" i="1"/>
  <c r="E495" i="1"/>
  <c r="D495" i="1"/>
  <c r="C495" i="1"/>
  <c r="A495" i="1"/>
  <c r="K494" i="1"/>
  <c r="H494" i="1"/>
  <c r="G494" i="1"/>
  <c r="F494" i="1"/>
  <c r="E494" i="1"/>
  <c r="D494" i="1"/>
  <c r="C494" i="1"/>
  <c r="A494" i="1"/>
  <c r="K493" i="1"/>
  <c r="I493" i="1"/>
  <c r="H493" i="1"/>
  <c r="G493" i="1"/>
  <c r="F493" i="1"/>
  <c r="E493" i="1"/>
  <c r="D493" i="1"/>
  <c r="C493" i="1"/>
  <c r="A493" i="1"/>
  <c r="K492" i="1"/>
  <c r="I492" i="1"/>
  <c r="H492" i="1"/>
  <c r="G492" i="1"/>
  <c r="F492" i="1"/>
  <c r="E492" i="1"/>
  <c r="D492" i="1"/>
  <c r="C492" i="1"/>
  <c r="A492" i="1"/>
  <c r="K491" i="1"/>
  <c r="I491" i="1"/>
  <c r="H491" i="1"/>
  <c r="G491" i="1"/>
  <c r="F491" i="1"/>
  <c r="E491" i="1"/>
  <c r="D491" i="1"/>
  <c r="C491" i="1"/>
  <c r="A491" i="1"/>
  <c r="K490" i="1"/>
  <c r="H490" i="1"/>
  <c r="G490" i="1"/>
  <c r="F490" i="1"/>
  <c r="E490" i="1"/>
  <c r="D490" i="1"/>
  <c r="C490" i="1"/>
  <c r="A490" i="1"/>
  <c r="K489" i="1"/>
  <c r="I489" i="1"/>
  <c r="H489" i="1"/>
  <c r="G489" i="1"/>
  <c r="F489" i="1"/>
  <c r="E489" i="1"/>
  <c r="D489" i="1"/>
  <c r="C489" i="1"/>
  <c r="A489" i="1"/>
  <c r="K488" i="1"/>
  <c r="H488" i="1"/>
  <c r="G488" i="1"/>
  <c r="F488" i="1"/>
  <c r="E488" i="1"/>
  <c r="D488" i="1"/>
  <c r="C488" i="1"/>
  <c r="A488" i="1"/>
  <c r="K487" i="1"/>
  <c r="I487" i="1"/>
  <c r="H487" i="1"/>
  <c r="G487" i="1"/>
  <c r="F487" i="1"/>
  <c r="E487" i="1"/>
  <c r="D487" i="1"/>
  <c r="C487" i="1"/>
  <c r="A487" i="1"/>
  <c r="K486" i="1"/>
  <c r="J486" i="1"/>
  <c r="H486" i="1"/>
  <c r="F486" i="1"/>
  <c r="E486" i="1"/>
  <c r="D486" i="1"/>
  <c r="C486" i="1"/>
  <c r="A486" i="1"/>
  <c r="K485" i="1"/>
  <c r="J485" i="1"/>
  <c r="H485" i="1"/>
  <c r="F485" i="1"/>
  <c r="E485" i="1"/>
  <c r="D485" i="1"/>
  <c r="C485" i="1"/>
  <c r="A485" i="1"/>
  <c r="K484" i="1"/>
  <c r="J484" i="1"/>
  <c r="H484" i="1"/>
  <c r="F484" i="1"/>
  <c r="E484" i="1"/>
  <c r="D484" i="1"/>
  <c r="C484" i="1"/>
  <c r="A484" i="1"/>
  <c r="K483" i="1"/>
  <c r="J483" i="1"/>
  <c r="I483" i="1"/>
  <c r="H483" i="1"/>
  <c r="F483" i="1"/>
  <c r="E483" i="1"/>
  <c r="D483" i="1"/>
  <c r="C483" i="1"/>
  <c r="A483" i="1"/>
  <c r="K482" i="1"/>
  <c r="H482" i="1"/>
  <c r="G482" i="1"/>
  <c r="F482" i="1"/>
  <c r="E482" i="1"/>
  <c r="D482" i="1"/>
  <c r="C482" i="1"/>
  <c r="A482" i="1"/>
  <c r="H481" i="1"/>
  <c r="G481" i="1"/>
  <c r="F481" i="1"/>
  <c r="E481" i="1"/>
  <c r="D481" i="1"/>
  <c r="C481" i="1"/>
  <c r="A481" i="1"/>
  <c r="H480" i="1"/>
  <c r="G480" i="1"/>
  <c r="F480" i="1"/>
  <c r="E480" i="1"/>
  <c r="D480" i="1"/>
  <c r="C480" i="1"/>
  <c r="A480" i="1"/>
  <c r="H479" i="1"/>
  <c r="G479" i="1"/>
  <c r="F479" i="1"/>
  <c r="E479" i="1"/>
  <c r="D479" i="1"/>
  <c r="C479" i="1"/>
  <c r="A479" i="1"/>
  <c r="H478" i="1"/>
  <c r="G478" i="1"/>
  <c r="F478" i="1"/>
  <c r="E478" i="1"/>
  <c r="D478" i="1"/>
  <c r="C478" i="1"/>
  <c r="A478" i="1"/>
  <c r="H477" i="1"/>
  <c r="G477" i="1"/>
  <c r="F477" i="1"/>
  <c r="E477" i="1"/>
  <c r="D477" i="1"/>
  <c r="C477" i="1"/>
  <c r="A477" i="1"/>
  <c r="H476" i="1"/>
  <c r="F476" i="1"/>
  <c r="E476" i="1"/>
  <c r="D476" i="1"/>
  <c r="C476" i="1"/>
  <c r="A476" i="1"/>
  <c r="K475" i="1"/>
  <c r="H475" i="1"/>
  <c r="G475" i="1"/>
  <c r="F475" i="1"/>
  <c r="E475" i="1"/>
  <c r="D475" i="1"/>
  <c r="C475" i="1"/>
  <c r="A475" i="1"/>
  <c r="K474" i="1"/>
  <c r="H474" i="1"/>
  <c r="G474" i="1"/>
  <c r="F474" i="1"/>
  <c r="E474" i="1"/>
  <c r="D474" i="1"/>
  <c r="C474" i="1"/>
  <c r="A474" i="1"/>
  <c r="K473" i="1"/>
  <c r="I473" i="1"/>
  <c r="H473" i="1"/>
  <c r="G473" i="1"/>
  <c r="F473" i="1"/>
  <c r="E473" i="1"/>
  <c r="D473" i="1"/>
  <c r="C473" i="1"/>
  <c r="A473" i="1"/>
  <c r="K472" i="1"/>
  <c r="H472" i="1"/>
  <c r="G472" i="1"/>
  <c r="F472" i="1"/>
  <c r="E472" i="1"/>
  <c r="D472" i="1"/>
  <c r="C472" i="1"/>
  <c r="A472" i="1"/>
  <c r="K471" i="1"/>
  <c r="H471" i="1"/>
  <c r="G471" i="1"/>
  <c r="F471" i="1"/>
  <c r="E471" i="1"/>
  <c r="D471" i="1"/>
  <c r="C471" i="1"/>
  <c r="A471" i="1"/>
  <c r="K470" i="1"/>
  <c r="H470" i="1"/>
  <c r="G470" i="1"/>
  <c r="F470" i="1"/>
  <c r="E470" i="1"/>
  <c r="D470" i="1"/>
  <c r="C470" i="1"/>
  <c r="A470" i="1"/>
  <c r="K469" i="1"/>
  <c r="H469" i="1"/>
  <c r="G469" i="1"/>
  <c r="F469" i="1"/>
  <c r="E469" i="1"/>
  <c r="D469" i="1"/>
  <c r="C469" i="1"/>
  <c r="A469" i="1"/>
  <c r="K468" i="1"/>
  <c r="H468" i="1"/>
  <c r="G468" i="1"/>
  <c r="F468" i="1"/>
  <c r="E468" i="1"/>
  <c r="D468" i="1"/>
  <c r="C468" i="1"/>
  <c r="A468" i="1"/>
  <c r="K467" i="1"/>
  <c r="H467" i="1"/>
  <c r="G467" i="1"/>
  <c r="F467" i="1"/>
  <c r="E467" i="1"/>
  <c r="D467" i="1"/>
  <c r="C467" i="1"/>
  <c r="A467" i="1"/>
  <c r="L466" i="1"/>
  <c r="K466" i="1"/>
  <c r="I466" i="1"/>
  <c r="H466" i="1"/>
  <c r="G466" i="1"/>
  <c r="F466" i="1"/>
  <c r="E466" i="1"/>
  <c r="D466" i="1"/>
  <c r="C466" i="1"/>
  <c r="A466" i="1"/>
  <c r="K465" i="1"/>
  <c r="H465" i="1"/>
  <c r="G465" i="1"/>
  <c r="F465" i="1"/>
  <c r="E465" i="1"/>
  <c r="D465" i="1"/>
  <c r="C465" i="1"/>
  <c r="A465" i="1"/>
  <c r="K464" i="1"/>
  <c r="H464" i="1"/>
  <c r="G464" i="1"/>
  <c r="F464" i="1"/>
  <c r="E464" i="1"/>
  <c r="D464" i="1"/>
  <c r="C464" i="1"/>
  <c r="A464" i="1"/>
  <c r="L463" i="1"/>
  <c r="K463" i="1"/>
  <c r="I463" i="1"/>
  <c r="H463" i="1"/>
  <c r="G463" i="1"/>
  <c r="F463" i="1"/>
  <c r="E463" i="1"/>
  <c r="D463" i="1"/>
  <c r="C463" i="1"/>
  <c r="A463" i="1"/>
  <c r="L462" i="1"/>
  <c r="K462" i="1"/>
  <c r="I462" i="1"/>
  <c r="H462" i="1"/>
  <c r="G462" i="1"/>
  <c r="F462" i="1"/>
  <c r="E462" i="1"/>
  <c r="D462" i="1"/>
  <c r="C462" i="1"/>
  <c r="A462" i="1"/>
  <c r="K461" i="1"/>
  <c r="H461" i="1"/>
  <c r="G461" i="1"/>
  <c r="F461" i="1"/>
  <c r="E461" i="1"/>
  <c r="D461" i="1"/>
  <c r="C461" i="1"/>
  <c r="A461" i="1"/>
  <c r="K460" i="1"/>
  <c r="H460" i="1"/>
  <c r="G460" i="1"/>
  <c r="F460" i="1"/>
  <c r="E460" i="1"/>
  <c r="D460" i="1"/>
  <c r="C460" i="1"/>
  <c r="A460" i="1"/>
  <c r="K459" i="1"/>
  <c r="I459" i="1"/>
  <c r="H459" i="1"/>
  <c r="G459" i="1"/>
  <c r="F459" i="1"/>
  <c r="E459" i="1"/>
  <c r="D459" i="1"/>
  <c r="C459" i="1"/>
  <c r="A459" i="1"/>
  <c r="K458" i="1"/>
  <c r="H458" i="1"/>
  <c r="G458" i="1"/>
  <c r="F458" i="1"/>
  <c r="E458" i="1"/>
  <c r="D458" i="1"/>
  <c r="C458" i="1"/>
  <c r="A458" i="1"/>
  <c r="K457" i="1"/>
  <c r="I457" i="1"/>
  <c r="H457" i="1"/>
  <c r="G457" i="1"/>
  <c r="F457" i="1"/>
  <c r="E457" i="1"/>
  <c r="D457" i="1"/>
  <c r="C457" i="1"/>
  <c r="A457" i="1"/>
  <c r="K456" i="1"/>
  <c r="H456" i="1"/>
  <c r="G456" i="1"/>
  <c r="F456" i="1"/>
  <c r="E456" i="1"/>
  <c r="D456" i="1"/>
  <c r="C456" i="1"/>
  <c r="A456" i="1"/>
  <c r="K455" i="1"/>
  <c r="H455" i="1"/>
  <c r="G455" i="1"/>
  <c r="F455" i="1"/>
  <c r="E455" i="1"/>
  <c r="D455" i="1"/>
  <c r="C455" i="1"/>
  <c r="A455" i="1"/>
  <c r="K454" i="1"/>
  <c r="H454" i="1"/>
  <c r="G454" i="1"/>
  <c r="F454" i="1"/>
  <c r="E454" i="1"/>
  <c r="D454" i="1"/>
  <c r="C454" i="1"/>
  <c r="A454" i="1"/>
  <c r="K453" i="1"/>
  <c r="I453" i="1"/>
  <c r="H453" i="1"/>
  <c r="G453" i="1"/>
  <c r="F453" i="1"/>
  <c r="E453" i="1"/>
  <c r="D453" i="1"/>
  <c r="C453" i="1"/>
  <c r="A453" i="1"/>
  <c r="K452" i="1"/>
  <c r="J452" i="1"/>
  <c r="H452" i="1"/>
  <c r="F452" i="1"/>
  <c r="E452" i="1"/>
  <c r="D452" i="1"/>
  <c r="C452" i="1"/>
  <c r="A452" i="1"/>
  <c r="K451" i="1"/>
  <c r="J451" i="1"/>
  <c r="H451" i="1"/>
  <c r="F451" i="1"/>
  <c r="E451" i="1"/>
  <c r="D451" i="1"/>
  <c r="C451" i="1"/>
  <c r="A451" i="1"/>
  <c r="K450" i="1"/>
  <c r="J450" i="1"/>
  <c r="H450" i="1"/>
  <c r="F450" i="1"/>
  <c r="E450" i="1"/>
  <c r="D450" i="1"/>
  <c r="C450" i="1"/>
  <c r="A450" i="1"/>
  <c r="K449" i="1"/>
  <c r="J449" i="1"/>
  <c r="I449" i="1"/>
  <c r="H449" i="1"/>
  <c r="F449" i="1"/>
  <c r="E449" i="1"/>
  <c r="D449" i="1"/>
  <c r="C449" i="1"/>
  <c r="A449" i="1"/>
  <c r="K448" i="1"/>
  <c r="H448" i="1"/>
  <c r="G448" i="1"/>
  <c r="F448" i="1"/>
  <c r="E448" i="1"/>
  <c r="D448" i="1"/>
  <c r="C448" i="1"/>
  <c r="A448" i="1"/>
  <c r="K447" i="1"/>
  <c r="I447" i="1"/>
  <c r="H447" i="1"/>
  <c r="G447" i="1"/>
  <c r="F447" i="1"/>
  <c r="E447" i="1"/>
  <c r="D447" i="1"/>
  <c r="C447" i="1"/>
  <c r="A447" i="1"/>
  <c r="K446" i="1"/>
  <c r="J446" i="1"/>
  <c r="H446" i="1"/>
  <c r="F446" i="1"/>
  <c r="E446" i="1"/>
  <c r="D446" i="1"/>
  <c r="C446" i="1"/>
  <c r="A446" i="1"/>
  <c r="K445" i="1"/>
  <c r="J445" i="1"/>
  <c r="H445" i="1"/>
  <c r="F445" i="1"/>
  <c r="E445" i="1"/>
  <c r="D445" i="1"/>
  <c r="C445" i="1"/>
  <c r="A445" i="1"/>
  <c r="K444" i="1"/>
  <c r="J444" i="1"/>
  <c r="H444" i="1"/>
  <c r="F444" i="1"/>
  <c r="E444" i="1"/>
  <c r="D444" i="1"/>
  <c r="C444" i="1"/>
  <c r="A444" i="1"/>
  <c r="K443" i="1"/>
  <c r="I443" i="1"/>
  <c r="H443" i="1"/>
  <c r="G443" i="1"/>
  <c r="F443" i="1"/>
  <c r="E443" i="1"/>
  <c r="D443" i="1"/>
  <c r="C443" i="1"/>
  <c r="A443" i="1"/>
  <c r="K442" i="1"/>
  <c r="H442" i="1"/>
  <c r="G442" i="1"/>
  <c r="F442" i="1"/>
  <c r="E442" i="1"/>
  <c r="D442" i="1"/>
  <c r="C442" i="1"/>
  <c r="A442" i="1"/>
  <c r="K441" i="1"/>
  <c r="H441" i="1"/>
  <c r="G441" i="1"/>
  <c r="F441" i="1"/>
  <c r="E441" i="1"/>
  <c r="D441" i="1"/>
  <c r="C441" i="1"/>
  <c r="A441" i="1"/>
  <c r="K440" i="1"/>
  <c r="I440" i="1"/>
  <c r="H440" i="1"/>
  <c r="G440" i="1"/>
  <c r="F440" i="1"/>
  <c r="E440" i="1"/>
  <c r="D440" i="1"/>
  <c r="C440" i="1"/>
  <c r="A440" i="1"/>
  <c r="L439" i="1"/>
  <c r="K439" i="1"/>
  <c r="H439" i="1"/>
  <c r="G439" i="1"/>
  <c r="F439" i="1"/>
  <c r="E439" i="1"/>
  <c r="D439" i="1"/>
  <c r="C439" i="1"/>
  <c r="A439" i="1"/>
  <c r="K438" i="1"/>
  <c r="H438" i="1"/>
  <c r="G438" i="1"/>
  <c r="F438" i="1"/>
  <c r="E438" i="1"/>
  <c r="D438" i="1"/>
  <c r="C438" i="1"/>
  <c r="A438" i="1"/>
  <c r="L437" i="1"/>
  <c r="K437" i="1"/>
  <c r="H437" i="1"/>
  <c r="G437" i="1"/>
  <c r="F437" i="1"/>
  <c r="E437" i="1"/>
  <c r="D437" i="1"/>
  <c r="C437" i="1"/>
  <c r="A437" i="1"/>
  <c r="K436" i="1"/>
  <c r="H436" i="1"/>
  <c r="G436" i="1"/>
  <c r="F436" i="1"/>
  <c r="E436" i="1"/>
  <c r="D436" i="1"/>
  <c r="C436" i="1"/>
  <c r="A436" i="1"/>
  <c r="K435" i="1"/>
  <c r="J435" i="1"/>
  <c r="H435" i="1"/>
  <c r="F435" i="1"/>
  <c r="E435" i="1"/>
  <c r="D435" i="1"/>
  <c r="C435" i="1"/>
  <c r="A435" i="1"/>
  <c r="K434" i="1"/>
  <c r="J434" i="1"/>
  <c r="H434" i="1"/>
  <c r="F434" i="1"/>
  <c r="E434" i="1"/>
  <c r="D434" i="1"/>
  <c r="C434" i="1"/>
  <c r="A434" i="1"/>
  <c r="K433" i="1"/>
  <c r="H433" i="1"/>
  <c r="G433" i="1"/>
  <c r="F433" i="1"/>
  <c r="E433" i="1"/>
  <c r="D433" i="1"/>
  <c r="C433" i="1"/>
  <c r="A433" i="1"/>
  <c r="K432" i="1"/>
  <c r="I432" i="1"/>
  <c r="H432" i="1"/>
  <c r="G432" i="1"/>
  <c r="F432" i="1"/>
  <c r="E432" i="1"/>
  <c r="D432" i="1"/>
  <c r="C432" i="1"/>
  <c r="A432" i="1"/>
  <c r="K431" i="1"/>
  <c r="H431" i="1"/>
  <c r="G431" i="1"/>
  <c r="F431" i="1"/>
  <c r="E431" i="1"/>
  <c r="D431" i="1"/>
  <c r="C431" i="1"/>
  <c r="A431" i="1"/>
  <c r="K430" i="1"/>
  <c r="H430" i="1"/>
  <c r="G430" i="1"/>
  <c r="F430" i="1"/>
  <c r="E430" i="1"/>
  <c r="D430" i="1"/>
  <c r="C430" i="1"/>
  <c r="A430" i="1"/>
  <c r="K429" i="1"/>
  <c r="H429" i="1"/>
  <c r="G429" i="1"/>
  <c r="F429" i="1"/>
  <c r="E429" i="1"/>
  <c r="D429" i="1"/>
  <c r="C429" i="1"/>
  <c r="A429" i="1"/>
  <c r="K428" i="1"/>
  <c r="H428" i="1"/>
  <c r="G428" i="1"/>
  <c r="F428" i="1"/>
  <c r="E428" i="1"/>
  <c r="D428" i="1"/>
  <c r="C428" i="1"/>
  <c r="A428" i="1"/>
  <c r="K427" i="1"/>
  <c r="J427" i="1"/>
  <c r="H427" i="1"/>
  <c r="F427" i="1"/>
  <c r="E427" i="1"/>
  <c r="D427" i="1"/>
  <c r="C427" i="1"/>
  <c r="A427" i="1"/>
  <c r="K426" i="1"/>
  <c r="J426" i="1"/>
  <c r="H426" i="1"/>
  <c r="F426" i="1"/>
  <c r="E426" i="1"/>
  <c r="D426" i="1"/>
  <c r="C426" i="1"/>
  <c r="A426" i="1"/>
  <c r="K425" i="1"/>
  <c r="I425" i="1"/>
  <c r="H425" i="1"/>
  <c r="G425" i="1"/>
  <c r="F425" i="1"/>
  <c r="E425" i="1"/>
  <c r="D425" i="1"/>
  <c r="C425" i="1"/>
  <c r="A425" i="1"/>
  <c r="K424" i="1"/>
  <c r="H424" i="1"/>
  <c r="G424" i="1"/>
  <c r="F424" i="1"/>
  <c r="E424" i="1"/>
  <c r="D424" i="1"/>
  <c r="C424" i="1"/>
  <c r="A424" i="1"/>
  <c r="K423" i="1"/>
  <c r="H423" i="1"/>
  <c r="G423" i="1"/>
  <c r="F423" i="1"/>
  <c r="E423" i="1"/>
  <c r="D423" i="1"/>
  <c r="C423" i="1"/>
  <c r="A423" i="1"/>
  <c r="K422" i="1"/>
  <c r="H422" i="1"/>
  <c r="G422" i="1"/>
  <c r="F422" i="1"/>
  <c r="E422" i="1"/>
  <c r="D422" i="1"/>
  <c r="C422" i="1"/>
  <c r="A422" i="1"/>
  <c r="K421" i="1"/>
  <c r="H421" i="1"/>
  <c r="G421" i="1"/>
  <c r="F421" i="1"/>
  <c r="E421" i="1"/>
  <c r="D421" i="1"/>
  <c r="C421" i="1"/>
  <c r="A421" i="1"/>
  <c r="K420" i="1"/>
  <c r="H420" i="1"/>
  <c r="G420" i="1"/>
  <c r="F420" i="1"/>
  <c r="E420" i="1"/>
  <c r="D420" i="1"/>
  <c r="C420" i="1"/>
  <c r="A420" i="1"/>
  <c r="K419" i="1"/>
  <c r="H419" i="1"/>
  <c r="G419" i="1"/>
  <c r="F419" i="1"/>
  <c r="E419" i="1"/>
  <c r="D419" i="1"/>
  <c r="C419" i="1"/>
  <c r="A419" i="1"/>
  <c r="K418" i="1"/>
  <c r="H418" i="1"/>
  <c r="G418" i="1"/>
  <c r="F418" i="1"/>
  <c r="E418" i="1"/>
  <c r="D418" i="1"/>
  <c r="C418" i="1"/>
  <c r="A418" i="1"/>
  <c r="K417" i="1"/>
  <c r="H417" i="1"/>
  <c r="G417" i="1"/>
  <c r="F417" i="1"/>
  <c r="E417" i="1"/>
  <c r="D417" i="1"/>
  <c r="C417" i="1"/>
  <c r="A417" i="1"/>
  <c r="K416" i="1"/>
  <c r="H416" i="1"/>
  <c r="G416" i="1"/>
  <c r="F416" i="1"/>
  <c r="E416" i="1"/>
  <c r="D416" i="1"/>
  <c r="C416" i="1"/>
  <c r="A416" i="1"/>
  <c r="H415" i="1"/>
  <c r="F415" i="1"/>
  <c r="E415" i="1"/>
  <c r="D415" i="1"/>
  <c r="C415" i="1"/>
  <c r="A415" i="1"/>
  <c r="K414" i="1"/>
  <c r="H414" i="1"/>
  <c r="G414" i="1"/>
  <c r="F414" i="1"/>
  <c r="E414" i="1"/>
  <c r="D414" i="1"/>
  <c r="C414" i="1"/>
  <c r="A414" i="1"/>
  <c r="K413" i="1"/>
  <c r="J413" i="1"/>
  <c r="H413" i="1"/>
  <c r="F413" i="1"/>
  <c r="E413" i="1"/>
  <c r="D413" i="1"/>
  <c r="C413" i="1"/>
  <c r="A413" i="1"/>
  <c r="K412" i="1"/>
  <c r="J412" i="1"/>
  <c r="H412" i="1"/>
  <c r="F412" i="1"/>
  <c r="E412" i="1"/>
  <c r="D412" i="1"/>
  <c r="C412" i="1"/>
  <c r="A412" i="1"/>
  <c r="K411" i="1"/>
  <c r="H411" i="1"/>
  <c r="G411" i="1"/>
  <c r="F411" i="1"/>
  <c r="E411" i="1"/>
  <c r="D411" i="1"/>
  <c r="C411" i="1"/>
  <c r="A411" i="1"/>
  <c r="J410" i="1"/>
  <c r="H410" i="1"/>
  <c r="F410" i="1"/>
  <c r="E410" i="1"/>
  <c r="D410" i="1"/>
  <c r="C410" i="1"/>
  <c r="A410" i="1"/>
  <c r="K409" i="1"/>
  <c r="H409" i="1"/>
  <c r="G409" i="1"/>
  <c r="F409" i="1"/>
  <c r="E409" i="1"/>
  <c r="D409" i="1"/>
  <c r="C409" i="1"/>
  <c r="A409" i="1"/>
  <c r="K408" i="1"/>
  <c r="H408" i="1"/>
  <c r="G408" i="1"/>
  <c r="F408" i="1"/>
  <c r="E408" i="1"/>
  <c r="D408" i="1"/>
  <c r="C408" i="1"/>
  <c r="A408" i="1"/>
  <c r="K407" i="1"/>
  <c r="H407" i="1"/>
  <c r="G407" i="1"/>
  <c r="F407" i="1"/>
  <c r="E407" i="1"/>
  <c r="D407" i="1"/>
  <c r="C407" i="1"/>
  <c r="A407" i="1"/>
  <c r="M406" i="1"/>
  <c r="K406" i="1"/>
  <c r="I406" i="1"/>
  <c r="H406" i="1"/>
  <c r="G406" i="1"/>
  <c r="F406" i="1"/>
  <c r="E406" i="1"/>
  <c r="D406" i="1"/>
  <c r="C406" i="1"/>
  <c r="A406" i="1"/>
  <c r="K405" i="1"/>
  <c r="H405" i="1"/>
  <c r="G405" i="1"/>
  <c r="F405" i="1"/>
  <c r="E405" i="1"/>
  <c r="D405" i="1"/>
  <c r="C405" i="1"/>
  <c r="A405" i="1"/>
  <c r="M404" i="1"/>
  <c r="L404" i="1"/>
  <c r="K404" i="1"/>
  <c r="I404" i="1"/>
  <c r="H404" i="1"/>
  <c r="G404" i="1"/>
  <c r="F404" i="1"/>
  <c r="E404" i="1"/>
  <c r="D404" i="1"/>
  <c r="C404" i="1"/>
  <c r="A404" i="1"/>
  <c r="K403" i="1"/>
  <c r="H403" i="1"/>
  <c r="G403" i="1"/>
  <c r="F403" i="1"/>
  <c r="E403" i="1"/>
  <c r="D403" i="1"/>
  <c r="C403" i="1"/>
  <c r="A403" i="1"/>
  <c r="K402" i="1"/>
  <c r="H402" i="1"/>
  <c r="G402" i="1"/>
  <c r="F402" i="1"/>
  <c r="E402" i="1"/>
  <c r="D402" i="1"/>
  <c r="C402" i="1"/>
  <c r="A402" i="1"/>
  <c r="K401" i="1"/>
  <c r="H401" i="1"/>
  <c r="G401" i="1"/>
  <c r="F401" i="1"/>
  <c r="E401" i="1"/>
  <c r="D401" i="1"/>
  <c r="C401" i="1"/>
  <c r="A401" i="1"/>
  <c r="K400" i="1"/>
  <c r="H400" i="1"/>
  <c r="G400" i="1"/>
  <c r="F400" i="1"/>
  <c r="E400" i="1"/>
  <c r="D400" i="1"/>
  <c r="C400" i="1"/>
  <c r="A400" i="1"/>
  <c r="K399" i="1"/>
  <c r="H399" i="1"/>
  <c r="G399" i="1"/>
  <c r="F399" i="1"/>
  <c r="E399" i="1"/>
  <c r="D399" i="1"/>
  <c r="C399" i="1"/>
  <c r="A399" i="1"/>
  <c r="K398" i="1"/>
  <c r="I398" i="1"/>
  <c r="H398" i="1"/>
  <c r="G398" i="1"/>
  <c r="F398" i="1"/>
  <c r="E398" i="1"/>
  <c r="D398" i="1"/>
  <c r="C398" i="1"/>
  <c r="A398" i="1"/>
  <c r="K397" i="1"/>
  <c r="I397" i="1"/>
  <c r="H397" i="1"/>
  <c r="G397" i="1"/>
  <c r="F397" i="1"/>
  <c r="E397" i="1"/>
  <c r="D397" i="1"/>
  <c r="C397" i="1"/>
  <c r="A397" i="1"/>
  <c r="K396" i="1"/>
  <c r="H396" i="1"/>
  <c r="G396" i="1"/>
  <c r="F396" i="1"/>
  <c r="E396" i="1"/>
  <c r="D396" i="1"/>
  <c r="C396" i="1"/>
  <c r="A396" i="1"/>
  <c r="K395" i="1"/>
  <c r="I395" i="1"/>
  <c r="H395" i="1"/>
  <c r="G395" i="1"/>
  <c r="F395" i="1"/>
  <c r="E395" i="1"/>
  <c r="D395" i="1"/>
  <c r="C395" i="1"/>
  <c r="A395" i="1"/>
  <c r="L394" i="1"/>
  <c r="K394" i="1"/>
  <c r="I394" i="1"/>
  <c r="H394" i="1"/>
  <c r="G394" i="1"/>
  <c r="F394" i="1"/>
  <c r="E394" i="1"/>
  <c r="D394" i="1"/>
  <c r="C394" i="1"/>
  <c r="A394" i="1"/>
  <c r="K393" i="1"/>
  <c r="H393" i="1"/>
  <c r="G393" i="1"/>
  <c r="F393" i="1"/>
  <c r="E393" i="1"/>
  <c r="D393" i="1"/>
  <c r="C393" i="1"/>
  <c r="A393" i="1"/>
  <c r="K392" i="1"/>
  <c r="H392" i="1"/>
  <c r="G392" i="1"/>
  <c r="F392" i="1"/>
  <c r="E392" i="1"/>
  <c r="D392" i="1"/>
  <c r="C392" i="1"/>
  <c r="A392" i="1"/>
  <c r="K391" i="1"/>
  <c r="H391" i="1"/>
  <c r="G391" i="1"/>
  <c r="F391" i="1"/>
  <c r="E391" i="1"/>
  <c r="D391" i="1"/>
  <c r="C391" i="1"/>
  <c r="A391" i="1"/>
  <c r="K390" i="1"/>
  <c r="H390" i="1"/>
  <c r="G390" i="1"/>
  <c r="F390" i="1"/>
  <c r="E390" i="1"/>
  <c r="D390" i="1"/>
  <c r="C390" i="1"/>
  <c r="A390" i="1"/>
  <c r="K389" i="1"/>
  <c r="J389" i="1"/>
  <c r="H389" i="1"/>
  <c r="F389" i="1"/>
  <c r="E389" i="1"/>
  <c r="D389" i="1"/>
  <c r="C389" i="1"/>
  <c r="A389" i="1"/>
  <c r="K388" i="1"/>
  <c r="I388" i="1"/>
  <c r="H388" i="1"/>
  <c r="G388" i="1"/>
  <c r="F388" i="1"/>
  <c r="E388" i="1"/>
  <c r="D388" i="1"/>
  <c r="C388" i="1"/>
  <c r="A388" i="1"/>
  <c r="K387" i="1"/>
  <c r="H387" i="1"/>
  <c r="G387" i="1"/>
  <c r="F387" i="1"/>
  <c r="E387" i="1"/>
  <c r="D387" i="1"/>
  <c r="C387" i="1"/>
  <c r="A387" i="1"/>
  <c r="K386" i="1"/>
  <c r="H386" i="1"/>
  <c r="G386" i="1"/>
  <c r="F386" i="1"/>
  <c r="E386" i="1"/>
  <c r="D386" i="1"/>
  <c r="C386" i="1"/>
  <c r="A386" i="1"/>
  <c r="K385" i="1"/>
  <c r="H385" i="1"/>
  <c r="G385" i="1"/>
  <c r="F385" i="1"/>
  <c r="E385" i="1"/>
  <c r="D385" i="1"/>
  <c r="C385" i="1"/>
  <c r="A385" i="1"/>
  <c r="K384" i="1"/>
  <c r="J384" i="1"/>
  <c r="I384" i="1"/>
  <c r="H384" i="1"/>
  <c r="F384" i="1"/>
  <c r="E384" i="1"/>
  <c r="D384" i="1"/>
  <c r="C384" i="1"/>
  <c r="A384" i="1"/>
  <c r="M383" i="1"/>
  <c r="L383" i="1"/>
  <c r="K383" i="1"/>
  <c r="I383" i="1"/>
  <c r="H383" i="1"/>
  <c r="G383" i="1"/>
  <c r="F383" i="1"/>
  <c r="E383" i="1"/>
  <c r="D383" i="1"/>
  <c r="C383" i="1"/>
  <c r="A383" i="1"/>
  <c r="K382" i="1"/>
  <c r="J382" i="1"/>
  <c r="H382" i="1"/>
  <c r="G382" i="1"/>
  <c r="F382" i="1"/>
  <c r="E382" i="1"/>
  <c r="D382" i="1"/>
  <c r="C382" i="1"/>
  <c r="A382" i="1"/>
  <c r="K381" i="1"/>
  <c r="H381" i="1"/>
  <c r="G381" i="1"/>
  <c r="F381" i="1"/>
  <c r="E381" i="1"/>
  <c r="D381" i="1"/>
  <c r="C381" i="1"/>
  <c r="A381" i="1"/>
  <c r="L380" i="1"/>
  <c r="K380" i="1"/>
  <c r="I380" i="1"/>
  <c r="H380" i="1"/>
  <c r="G380" i="1"/>
  <c r="F380" i="1"/>
  <c r="E380" i="1"/>
  <c r="D380" i="1"/>
  <c r="C380" i="1"/>
  <c r="A380" i="1"/>
  <c r="M379" i="1"/>
  <c r="L379" i="1"/>
  <c r="K379" i="1"/>
  <c r="H379" i="1"/>
  <c r="G379" i="1"/>
  <c r="F379" i="1"/>
  <c r="E379" i="1"/>
  <c r="D379" i="1"/>
  <c r="C379" i="1"/>
  <c r="A379" i="1"/>
  <c r="K378" i="1"/>
  <c r="H378" i="1"/>
  <c r="G378" i="1"/>
  <c r="F378" i="1"/>
  <c r="E378" i="1"/>
  <c r="D378" i="1"/>
  <c r="C378" i="1"/>
  <c r="A378" i="1"/>
  <c r="M377" i="1"/>
  <c r="L377" i="1"/>
  <c r="K377" i="1"/>
  <c r="I377" i="1"/>
  <c r="H377" i="1"/>
  <c r="G377" i="1"/>
  <c r="F377" i="1"/>
  <c r="E377" i="1"/>
  <c r="D377" i="1"/>
  <c r="C377" i="1"/>
  <c r="A377" i="1"/>
  <c r="K376" i="1"/>
  <c r="H376" i="1"/>
  <c r="G376" i="1"/>
  <c r="F376" i="1"/>
  <c r="E376" i="1"/>
  <c r="D376" i="1"/>
  <c r="C376" i="1"/>
  <c r="A376" i="1"/>
  <c r="M375" i="1"/>
  <c r="L375" i="1"/>
  <c r="K375" i="1"/>
  <c r="I375" i="1"/>
  <c r="H375" i="1"/>
  <c r="G375" i="1"/>
  <c r="F375" i="1"/>
  <c r="E375" i="1"/>
  <c r="D375" i="1"/>
  <c r="C375" i="1"/>
  <c r="A375" i="1"/>
  <c r="K374" i="1"/>
  <c r="H374" i="1"/>
  <c r="G374" i="1"/>
  <c r="F374" i="1"/>
  <c r="E374" i="1"/>
  <c r="D374" i="1"/>
  <c r="C374" i="1"/>
  <c r="A374" i="1"/>
  <c r="K373" i="1"/>
  <c r="H373" i="1"/>
  <c r="G373" i="1"/>
  <c r="F373" i="1"/>
  <c r="E373" i="1"/>
  <c r="D373" i="1"/>
  <c r="C373" i="1"/>
  <c r="A373" i="1"/>
  <c r="K372" i="1"/>
  <c r="H372" i="1"/>
  <c r="G372" i="1"/>
  <c r="F372" i="1"/>
  <c r="E372" i="1"/>
  <c r="D372" i="1"/>
  <c r="C372" i="1"/>
  <c r="A372" i="1"/>
  <c r="K371" i="1"/>
  <c r="H371" i="1"/>
  <c r="G371" i="1"/>
  <c r="F371" i="1"/>
  <c r="E371" i="1"/>
  <c r="D371" i="1"/>
  <c r="C371" i="1"/>
  <c r="A371" i="1"/>
  <c r="K370" i="1"/>
  <c r="H370" i="1"/>
  <c r="G370" i="1"/>
  <c r="F370" i="1"/>
  <c r="E370" i="1"/>
  <c r="D370" i="1"/>
  <c r="C370" i="1"/>
  <c r="A370" i="1"/>
  <c r="K369" i="1"/>
  <c r="I369" i="1"/>
  <c r="H369" i="1"/>
  <c r="G369" i="1"/>
  <c r="F369" i="1"/>
  <c r="E369" i="1"/>
  <c r="D369" i="1"/>
  <c r="C369" i="1"/>
  <c r="A369" i="1"/>
  <c r="K368" i="1"/>
  <c r="H368" i="1"/>
  <c r="G368" i="1"/>
  <c r="F368" i="1"/>
  <c r="E368" i="1"/>
  <c r="D368" i="1"/>
  <c r="C368" i="1"/>
  <c r="A368" i="1"/>
  <c r="K367" i="1"/>
  <c r="I367" i="1"/>
  <c r="H367" i="1"/>
  <c r="G367" i="1"/>
  <c r="F367" i="1"/>
  <c r="E367" i="1"/>
  <c r="D367" i="1"/>
  <c r="C367" i="1"/>
  <c r="A367" i="1"/>
  <c r="K366" i="1"/>
  <c r="I366" i="1"/>
  <c r="H366" i="1"/>
  <c r="G366" i="1"/>
  <c r="F366" i="1"/>
  <c r="E366" i="1"/>
  <c r="D366" i="1"/>
  <c r="C366" i="1"/>
  <c r="A366" i="1"/>
  <c r="K365" i="1"/>
  <c r="H365" i="1"/>
  <c r="G365" i="1"/>
  <c r="F365" i="1"/>
  <c r="E365" i="1"/>
  <c r="D365" i="1"/>
  <c r="C365" i="1"/>
  <c r="A365" i="1"/>
  <c r="K364" i="1"/>
  <c r="H364" i="1"/>
  <c r="G364" i="1"/>
  <c r="F364" i="1"/>
  <c r="E364" i="1"/>
  <c r="D364" i="1"/>
  <c r="C364" i="1"/>
  <c r="A364" i="1"/>
  <c r="K363" i="1"/>
  <c r="J363" i="1"/>
  <c r="H363" i="1"/>
  <c r="F363" i="1"/>
  <c r="E363" i="1"/>
  <c r="D363" i="1"/>
  <c r="C363" i="1"/>
  <c r="A363" i="1"/>
  <c r="K362" i="1"/>
  <c r="J362" i="1"/>
  <c r="H362" i="1"/>
  <c r="F362" i="1"/>
  <c r="E362" i="1"/>
  <c r="D362" i="1"/>
  <c r="C362" i="1"/>
  <c r="A362" i="1"/>
  <c r="K361" i="1"/>
  <c r="H361" i="1"/>
  <c r="G361" i="1"/>
  <c r="F361" i="1"/>
  <c r="E361" i="1"/>
  <c r="D361" i="1"/>
  <c r="C361" i="1"/>
  <c r="A361" i="1"/>
  <c r="K360" i="1"/>
  <c r="H360" i="1"/>
  <c r="G360" i="1"/>
  <c r="F360" i="1"/>
  <c r="E360" i="1"/>
  <c r="D360" i="1"/>
  <c r="C360" i="1"/>
  <c r="A360" i="1"/>
  <c r="K359" i="1"/>
  <c r="H359" i="1"/>
  <c r="G359" i="1"/>
  <c r="F359" i="1"/>
  <c r="E359" i="1"/>
  <c r="D359" i="1"/>
  <c r="C359" i="1"/>
  <c r="A359" i="1"/>
  <c r="K358" i="1"/>
  <c r="H358" i="1"/>
  <c r="G358" i="1"/>
  <c r="F358" i="1"/>
  <c r="E358" i="1"/>
  <c r="D358" i="1"/>
  <c r="C358" i="1"/>
  <c r="A358" i="1"/>
  <c r="K357" i="1"/>
  <c r="H357" i="1"/>
  <c r="G357" i="1"/>
  <c r="F357" i="1"/>
  <c r="E357" i="1"/>
  <c r="D357" i="1"/>
  <c r="C357" i="1"/>
  <c r="A357" i="1"/>
  <c r="K356" i="1"/>
  <c r="H356" i="1"/>
  <c r="G356" i="1"/>
  <c r="F356" i="1"/>
  <c r="E356" i="1"/>
  <c r="D356" i="1"/>
  <c r="C356" i="1"/>
  <c r="A356" i="1"/>
  <c r="K355" i="1"/>
  <c r="H355" i="1"/>
  <c r="G355" i="1"/>
  <c r="F355" i="1"/>
  <c r="E355" i="1"/>
  <c r="D355" i="1"/>
  <c r="C355" i="1"/>
  <c r="A355" i="1"/>
  <c r="K354" i="1"/>
  <c r="H354" i="1"/>
  <c r="G354" i="1"/>
  <c r="F354" i="1"/>
  <c r="E354" i="1"/>
  <c r="D354" i="1"/>
  <c r="C354" i="1"/>
  <c r="A354" i="1"/>
  <c r="K353" i="1"/>
  <c r="H353" i="1"/>
  <c r="G353" i="1"/>
  <c r="F353" i="1"/>
  <c r="E353" i="1"/>
  <c r="D353" i="1"/>
  <c r="C353" i="1"/>
  <c r="A353" i="1"/>
  <c r="H352" i="1"/>
  <c r="G352" i="1"/>
  <c r="F352" i="1"/>
  <c r="E352" i="1"/>
  <c r="D352" i="1"/>
  <c r="C352" i="1"/>
  <c r="A352" i="1"/>
  <c r="H351" i="1"/>
  <c r="G351" i="1"/>
  <c r="F351" i="1"/>
  <c r="E351" i="1"/>
  <c r="D351" i="1"/>
  <c r="C351" i="1"/>
  <c r="A351" i="1"/>
  <c r="H350" i="1"/>
  <c r="G350" i="1"/>
  <c r="F350" i="1"/>
  <c r="E350" i="1"/>
  <c r="D350" i="1"/>
  <c r="C350" i="1"/>
  <c r="A350" i="1"/>
  <c r="H349" i="1"/>
  <c r="G349" i="1"/>
  <c r="F349" i="1"/>
  <c r="E349" i="1"/>
  <c r="D349" i="1"/>
  <c r="C349" i="1"/>
  <c r="A349" i="1"/>
  <c r="H348" i="1"/>
  <c r="G348" i="1"/>
  <c r="F348" i="1"/>
  <c r="E348" i="1"/>
  <c r="D348" i="1"/>
  <c r="C348" i="1"/>
  <c r="A348" i="1"/>
  <c r="H347" i="1"/>
  <c r="G347" i="1"/>
  <c r="F347" i="1"/>
  <c r="E347" i="1"/>
  <c r="D347" i="1"/>
  <c r="C347" i="1"/>
  <c r="A347" i="1"/>
  <c r="H346" i="1"/>
  <c r="G346" i="1"/>
  <c r="F346" i="1"/>
  <c r="E346" i="1"/>
  <c r="D346" i="1"/>
  <c r="C346" i="1"/>
  <c r="A346" i="1"/>
  <c r="H345" i="1"/>
  <c r="G345" i="1"/>
  <c r="F345" i="1"/>
  <c r="E345" i="1"/>
  <c r="D345" i="1"/>
  <c r="C345" i="1"/>
  <c r="A345" i="1"/>
  <c r="H344" i="1"/>
  <c r="G344" i="1"/>
  <c r="F344" i="1"/>
  <c r="E344" i="1"/>
  <c r="D344" i="1"/>
  <c r="C344" i="1"/>
  <c r="A344" i="1"/>
  <c r="H343" i="1"/>
  <c r="G343" i="1"/>
  <c r="F343" i="1"/>
  <c r="E343" i="1"/>
  <c r="D343" i="1"/>
  <c r="C343" i="1"/>
  <c r="A343" i="1"/>
  <c r="H342" i="1"/>
  <c r="G342" i="1"/>
  <c r="F342" i="1"/>
  <c r="E342" i="1"/>
  <c r="D342" i="1"/>
  <c r="C342" i="1"/>
  <c r="A342" i="1"/>
  <c r="K341" i="1"/>
  <c r="H341" i="1"/>
  <c r="G341" i="1"/>
  <c r="F341" i="1"/>
  <c r="E341" i="1"/>
  <c r="D341" i="1"/>
  <c r="C341" i="1"/>
  <c r="A341" i="1"/>
  <c r="H340" i="1"/>
  <c r="G340" i="1"/>
  <c r="F340" i="1"/>
  <c r="E340" i="1"/>
  <c r="D340" i="1"/>
  <c r="C340" i="1"/>
  <c r="A340" i="1"/>
  <c r="H339" i="1"/>
  <c r="G339" i="1"/>
  <c r="F339" i="1"/>
  <c r="E339" i="1"/>
  <c r="D339" i="1"/>
  <c r="C339" i="1"/>
  <c r="A339" i="1"/>
  <c r="H338" i="1"/>
  <c r="G338" i="1"/>
  <c r="F338" i="1"/>
  <c r="E338" i="1"/>
  <c r="D338" i="1"/>
  <c r="C338" i="1"/>
  <c r="A338" i="1"/>
  <c r="K337" i="1"/>
  <c r="I337" i="1"/>
  <c r="H337" i="1"/>
  <c r="G337" i="1"/>
  <c r="F337" i="1"/>
  <c r="E337" i="1"/>
  <c r="D337" i="1"/>
  <c r="C337" i="1"/>
  <c r="A337" i="1"/>
  <c r="H336" i="1"/>
  <c r="F336" i="1"/>
  <c r="E336" i="1"/>
  <c r="D336" i="1"/>
  <c r="C336" i="1"/>
  <c r="A336" i="1"/>
  <c r="K335" i="1"/>
  <c r="H335" i="1"/>
  <c r="G335" i="1"/>
  <c r="F335" i="1"/>
  <c r="E335" i="1"/>
  <c r="D335" i="1"/>
  <c r="C335" i="1"/>
  <c r="A335" i="1"/>
  <c r="K334" i="1"/>
  <c r="H334" i="1"/>
  <c r="G334" i="1"/>
  <c r="F334" i="1"/>
  <c r="E334" i="1"/>
  <c r="D334" i="1"/>
  <c r="C334" i="1"/>
  <c r="A334" i="1"/>
  <c r="K333" i="1"/>
  <c r="H333" i="1"/>
  <c r="G333" i="1"/>
  <c r="F333" i="1"/>
  <c r="E333" i="1"/>
  <c r="D333" i="1"/>
  <c r="C333" i="1"/>
  <c r="A333" i="1"/>
  <c r="K332" i="1"/>
  <c r="H332" i="1"/>
  <c r="G332" i="1"/>
  <c r="F332" i="1"/>
  <c r="E332" i="1"/>
  <c r="D332" i="1"/>
  <c r="C332" i="1"/>
  <c r="A332" i="1"/>
  <c r="L331" i="1"/>
  <c r="K331" i="1"/>
  <c r="I331" i="1"/>
  <c r="H331" i="1"/>
  <c r="G331" i="1"/>
  <c r="F331" i="1"/>
  <c r="E331" i="1"/>
  <c r="D331" i="1"/>
  <c r="C331" i="1"/>
  <c r="A331" i="1"/>
  <c r="K330" i="1"/>
  <c r="I330" i="1"/>
  <c r="H330" i="1"/>
  <c r="G330" i="1"/>
  <c r="F330" i="1"/>
  <c r="E330" i="1"/>
  <c r="D330" i="1"/>
  <c r="C330" i="1"/>
  <c r="A330" i="1"/>
  <c r="K329" i="1"/>
  <c r="H329" i="1"/>
  <c r="G329" i="1"/>
  <c r="F329" i="1"/>
  <c r="E329" i="1"/>
  <c r="D329" i="1"/>
  <c r="C329" i="1"/>
  <c r="A329" i="1"/>
  <c r="K328" i="1"/>
  <c r="H328" i="1"/>
  <c r="G328" i="1"/>
  <c r="F328" i="1"/>
  <c r="E328" i="1"/>
  <c r="D328" i="1"/>
  <c r="C328" i="1"/>
  <c r="A328" i="1"/>
  <c r="K327" i="1"/>
  <c r="I327" i="1"/>
  <c r="H327" i="1"/>
  <c r="G327" i="1"/>
  <c r="F327" i="1"/>
  <c r="E327" i="1"/>
  <c r="D327" i="1"/>
  <c r="C327" i="1"/>
  <c r="A327" i="1"/>
  <c r="K326" i="1"/>
  <c r="I326" i="1"/>
  <c r="H326" i="1"/>
  <c r="G326" i="1"/>
  <c r="F326" i="1"/>
  <c r="E326" i="1"/>
  <c r="D326" i="1"/>
  <c r="C326" i="1"/>
  <c r="A326" i="1"/>
  <c r="K325" i="1"/>
  <c r="H325" i="1"/>
  <c r="G325" i="1"/>
  <c r="F325" i="1"/>
  <c r="E325" i="1"/>
  <c r="D325" i="1"/>
  <c r="C325" i="1"/>
  <c r="A325" i="1"/>
  <c r="K324" i="1"/>
  <c r="H324" i="1"/>
  <c r="G324" i="1"/>
  <c r="F324" i="1"/>
  <c r="E324" i="1"/>
  <c r="D324" i="1"/>
  <c r="C324" i="1"/>
  <c r="A324" i="1"/>
  <c r="K323" i="1"/>
  <c r="J323" i="1"/>
  <c r="H323" i="1"/>
  <c r="F323" i="1"/>
  <c r="E323" i="1"/>
  <c r="D323" i="1"/>
  <c r="C323" i="1"/>
  <c r="A323" i="1"/>
  <c r="K322" i="1"/>
  <c r="I322" i="1"/>
  <c r="H322" i="1"/>
  <c r="G322" i="1"/>
  <c r="F322" i="1"/>
  <c r="E322" i="1"/>
  <c r="D322" i="1"/>
  <c r="C322" i="1"/>
  <c r="A322" i="1"/>
  <c r="K321" i="1"/>
  <c r="I321" i="1"/>
  <c r="H321" i="1"/>
  <c r="G321" i="1"/>
  <c r="F321" i="1"/>
  <c r="E321" i="1"/>
  <c r="D321" i="1"/>
  <c r="C321" i="1"/>
  <c r="A321" i="1"/>
  <c r="K320" i="1"/>
  <c r="I320" i="1"/>
  <c r="H320" i="1"/>
  <c r="G320" i="1"/>
  <c r="F320" i="1"/>
  <c r="E320" i="1"/>
  <c r="D320" i="1"/>
  <c r="C320" i="1"/>
  <c r="A320" i="1"/>
  <c r="K319" i="1"/>
  <c r="H319" i="1"/>
  <c r="G319" i="1"/>
  <c r="F319" i="1"/>
  <c r="E319" i="1"/>
  <c r="D319" i="1"/>
  <c r="C319" i="1"/>
  <c r="A319" i="1"/>
  <c r="K318" i="1"/>
  <c r="I318" i="1"/>
  <c r="H318" i="1"/>
  <c r="G318" i="1"/>
  <c r="F318" i="1"/>
  <c r="E318" i="1"/>
  <c r="D318" i="1"/>
  <c r="C318" i="1"/>
  <c r="A318" i="1"/>
  <c r="K317" i="1"/>
  <c r="I317" i="1"/>
  <c r="H317" i="1"/>
  <c r="G317" i="1"/>
  <c r="F317" i="1"/>
  <c r="E317" i="1"/>
  <c r="D317" i="1"/>
  <c r="C317" i="1"/>
  <c r="A317" i="1"/>
  <c r="K316" i="1"/>
  <c r="J316" i="1"/>
  <c r="I316" i="1"/>
  <c r="H316" i="1"/>
  <c r="F316" i="1"/>
  <c r="E316" i="1"/>
  <c r="D316" i="1"/>
  <c r="C316" i="1"/>
  <c r="A316" i="1"/>
  <c r="K315" i="1"/>
  <c r="J315" i="1"/>
  <c r="I315" i="1"/>
  <c r="H315" i="1"/>
  <c r="F315" i="1"/>
  <c r="E315" i="1"/>
  <c r="D315" i="1"/>
  <c r="C315" i="1"/>
  <c r="A315" i="1"/>
  <c r="K314" i="1"/>
  <c r="J314" i="1"/>
  <c r="I314" i="1"/>
  <c r="H314" i="1"/>
  <c r="F314" i="1"/>
  <c r="E314" i="1"/>
  <c r="D314" i="1"/>
  <c r="C314" i="1"/>
  <c r="A314" i="1"/>
  <c r="K313" i="1"/>
  <c r="I313" i="1"/>
  <c r="H313" i="1"/>
  <c r="G313" i="1"/>
  <c r="F313" i="1"/>
  <c r="E313" i="1"/>
  <c r="D313" i="1"/>
  <c r="C313" i="1"/>
  <c r="A313" i="1"/>
  <c r="K312" i="1"/>
  <c r="I312" i="1"/>
  <c r="H312" i="1"/>
  <c r="G312" i="1"/>
  <c r="F312" i="1"/>
  <c r="E312" i="1"/>
  <c r="D312" i="1"/>
  <c r="C312" i="1"/>
  <c r="A312" i="1"/>
  <c r="K311" i="1"/>
  <c r="I311" i="1"/>
  <c r="H311" i="1"/>
  <c r="G311" i="1"/>
  <c r="F311" i="1"/>
  <c r="E311" i="1"/>
  <c r="D311" i="1"/>
  <c r="C311" i="1"/>
  <c r="A311" i="1"/>
  <c r="K310" i="1"/>
  <c r="H310" i="1"/>
  <c r="G310" i="1"/>
  <c r="F310" i="1"/>
  <c r="E310" i="1"/>
  <c r="D310" i="1"/>
  <c r="C310" i="1"/>
  <c r="A310" i="1"/>
  <c r="K309" i="1"/>
  <c r="J309" i="1"/>
  <c r="I309" i="1"/>
  <c r="H309" i="1"/>
  <c r="F309" i="1"/>
  <c r="E309" i="1"/>
  <c r="D309" i="1"/>
  <c r="C309" i="1"/>
  <c r="A309" i="1"/>
  <c r="K308" i="1"/>
  <c r="I308" i="1"/>
  <c r="H308" i="1"/>
  <c r="G308" i="1"/>
  <c r="F308" i="1"/>
  <c r="E308" i="1"/>
  <c r="D308" i="1"/>
  <c r="C308" i="1"/>
  <c r="A308" i="1"/>
  <c r="K307" i="1"/>
  <c r="H307" i="1"/>
  <c r="G307" i="1"/>
  <c r="F307" i="1"/>
  <c r="E307" i="1"/>
  <c r="D307" i="1"/>
  <c r="C307" i="1"/>
  <c r="A307" i="1"/>
  <c r="K306" i="1"/>
  <c r="H306" i="1"/>
  <c r="G306" i="1"/>
  <c r="F306" i="1"/>
  <c r="E306" i="1"/>
  <c r="D306" i="1"/>
  <c r="C306" i="1"/>
  <c r="A306" i="1"/>
  <c r="K305" i="1"/>
  <c r="H305" i="1"/>
  <c r="G305" i="1"/>
  <c r="F305" i="1"/>
  <c r="E305" i="1"/>
  <c r="D305" i="1"/>
  <c r="C305" i="1"/>
  <c r="A305" i="1"/>
  <c r="K304" i="1"/>
  <c r="I304" i="1"/>
  <c r="H304" i="1"/>
  <c r="G304" i="1"/>
  <c r="F304" i="1"/>
  <c r="E304" i="1"/>
  <c r="D304" i="1"/>
  <c r="C304" i="1"/>
  <c r="A304" i="1"/>
  <c r="K303" i="1"/>
  <c r="J303" i="1"/>
  <c r="H303" i="1"/>
  <c r="F303" i="1"/>
  <c r="E303" i="1"/>
  <c r="D303" i="1"/>
  <c r="C303" i="1"/>
  <c r="A303" i="1"/>
  <c r="K302" i="1"/>
  <c r="J302" i="1"/>
  <c r="I302" i="1"/>
  <c r="H302" i="1"/>
  <c r="F302" i="1"/>
  <c r="E302" i="1"/>
  <c r="D302" i="1"/>
  <c r="C302" i="1"/>
  <c r="A302" i="1"/>
  <c r="K301" i="1"/>
  <c r="H301" i="1"/>
  <c r="G301" i="1"/>
  <c r="F301" i="1"/>
  <c r="E301" i="1"/>
  <c r="D301" i="1"/>
  <c r="C301" i="1"/>
  <c r="A301" i="1"/>
  <c r="K300" i="1"/>
  <c r="I300" i="1"/>
  <c r="H300" i="1"/>
  <c r="G300" i="1"/>
  <c r="F300" i="1"/>
  <c r="E300" i="1"/>
  <c r="D300" i="1"/>
  <c r="C300" i="1"/>
  <c r="A300" i="1"/>
  <c r="K299" i="1"/>
  <c r="H299" i="1"/>
  <c r="G299" i="1"/>
  <c r="F299" i="1"/>
  <c r="E299" i="1"/>
  <c r="D299" i="1"/>
  <c r="C299" i="1"/>
  <c r="A299" i="1"/>
  <c r="K298" i="1"/>
  <c r="H298" i="1"/>
  <c r="G298" i="1"/>
  <c r="F298" i="1"/>
  <c r="E298" i="1"/>
  <c r="D298" i="1"/>
  <c r="C298" i="1"/>
  <c r="A298" i="1"/>
  <c r="K297" i="1"/>
  <c r="H297" i="1"/>
  <c r="G297" i="1"/>
  <c r="F297" i="1"/>
  <c r="E297" i="1"/>
  <c r="D297" i="1"/>
  <c r="C297" i="1"/>
  <c r="A297" i="1"/>
  <c r="K296" i="1"/>
  <c r="H296" i="1"/>
  <c r="G296" i="1"/>
  <c r="F296" i="1"/>
  <c r="E296" i="1"/>
  <c r="D296" i="1"/>
  <c r="C296" i="1"/>
  <c r="A296" i="1"/>
  <c r="K295" i="1"/>
  <c r="H295" i="1"/>
  <c r="G295" i="1"/>
  <c r="F295" i="1"/>
  <c r="E295" i="1"/>
  <c r="D295" i="1"/>
  <c r="C295" i="1"/>
  <c r="A295" i="1"/>
  <c r="K294" i="1"/>
  <c r="I294" i="1"/>
  <c r="H294" i="1"/>
  <c r="G294" i="1"/>
  <c r="F294" i="1"/>
  <c r="E294" i="1"/>
  <c r="D294" i="1"/>
  <c r="C294" i="1"/>
  <c r="A294" i="1"/>
  <c r="K293" i="1"/>
  <c r="H293" i="1"/>
  <c r="G293" i="1"/>
  <c r="F293" i="1"/>
  <c r="E293" i="1"/>
  <c r="D293" i="1"/>
  <c r="C293" i="1"/>
  <c r="A293" i="1"/>
  <c r="K292" i="1"/>
  <c r="H292" i="1"/>
  <c r="G292" i="1"/>
  <c r="F292" i="1"/>
  <c r="E292" i="1"/>
  <c r="D292" i="1"/>
  <c r="C292" i="1"/>
  <c r="A292" i="1"/>
  <c r="K291" i="1"/>
  <c r="J291" i="1"/>
  <c r="I291" i="1"/>
  <c r="H291" i="1"/>
  <c r="F291" i="1"/>
  <c r="E291" i="1"/>
  <c r="D291" i="1"/>
  <c r="C291" i="1"/>
  <c r="A291" i="1"/>
  <c r="K290" i="1"/>
  <c r="H290" i="1"/>
  <c r="G290" i="1"/>
  <c r="F290" i="1"/>
  <c r="E290" i="1"/>
  <c r="D290" i="1"/>
  <c r="C290" i="1"/>
  <c r="A290" i="1"/>
  <c r="K289" i="1"/>
  <c r="I289" i="1"/>
  <c r="H289" i="1"/>
  <c r="G289" i="1"/>
  <c r="F289" i="1"/>
  <c r="E289" i="1"/>
  <c r="D289" i="1"/>
  <c r="C289" i="1"/>
  <c r="A289" i="1"/>
  <c r="K288" i="1"/>
  <c r="I288" i="1"/>
  <c r="H288" i="1"/>
  <c r="G288" i="1"/>
  <c r="F288" i="1"/>
  <c r="E288" i="1"/>
  <c r="D288" i="1"/>
  <c r="C288" i="1"/>
  <c r="A288" i="1"/>
  <c r="K287" i="1"/>
  <c r="H287" i="1"/>
  <c r="G287" i="1"/>
  <c r="F287" i="1"/>
  <c r="E287" i="1"/>
  <c r="D287" i="1"/>
  <c r="C287" i="1"/>
  <c r="A287" i="1"/>
  <c r="K286" i="1"/>
  <c r="H286" i="1"/>
  <c r="G286" i="1"/>
  <c r="F286" i="1"/>
  <c r="E286" i="1"/>
  <c r="D286" i="1"/>
  <c r="C286" i="1"/>
  <c r="A286" i="1"/>
  <c r="K285" i="1"/>
  <c r="H285" i="1"/>
  <c r="G285" i="1"/>
  <c r="F285" i="1"/>
  <c r="E285" i="1"/>
  <c r="D285" i="1"/>
  <c r="C285" i="1"/>
  <c r="A285" i="1"/>
  <c r="K284" i="1"/>
  <c r="H284" i="1"/>
  <c r="F284" i="1"/>
  <c r="C284" i="1"/>
  <c r="A284" i="1"/>
  <c r="K283" i="1"/>
  <c r="H283" i="1"/>
  <c r="G283" i="1"/>
  <c r="F283" i="1"/>
  <c r="E283" i="1"/>
  <c r="D283" i="1"/>
  <c r="C283" i="1"/>
  <c r="A283" i="1"/>
  <c r="K282" i="1"/>
  <c r="H282" i="1"/>
  <c r="G282" i="1"/>
  <c r="F282" i="1"/>
  <c r="E282" i="1"/>
  <c r="D282" i="1"/>
  <c r="C282" i="1"/>
  <c r="A282" i="1"/>
  <c r="K281" i="1"/>
  <c r="H281" i="1"/>
  <c r="G281" i="1"/>
  <c r="F281" i="1"/>
  <c r="E281" i="1"/>
  <c r="D281" i="1"/>
  <c r="C281" i="1"/>
  <c r="A281" i="1"/>
  <c r="K280" i="1"/>
  <c r="I280" i="1"/>
  <c r="H280" i="1"/>
  <c r="G280" i="1"/>
  <c r="F280" i="1"/>
  <c r="E280" i="1"/>
  <c r="D280" i="1"/>
  <c r="C280" i="1"/>
  <c r="A280" i="1"/>
  <c r="K279" i="1"/>
  <c r="J279" i="1"/>
  <c r="H279" i="1"/>
  <c r="F279" i="1"/>
  <c r="E279" i="1"/>
  <c r="D279" i="1"/>
  <c r="C279" i="1"/>
  <c r="A279" i="1"/>
  <c r="K278" i="1"/>
  <c r="H278" i="1"/>
  <c r="G278" i="1"/>
  <c r="F278" i="1"/>
  <c r="E278" i="1"/>
  <c r="D278" i="1"/>
  <c r="C278" i="1"/>
  <c r="A278" i="1"/>
  <c r="K277" i="1"/>
  <c r="H277" i="1"/>
  <c r="G277" i="1"/>
  <c r="F277" i="1"/>
  <c r="E277" i="1"/>
  <c r="D277" i="1"/>
  <c r="C277" i="1"/>
  <c r="A277" i="1"/>
  <c r="K276" i="1"/>
  <c r="H276" i="1"/>
  <c r="G276" i="1"/>
  <c r="F276" i="1"/>
  <c r="E276" i="1"/>
  <c r="D276" i="1"/>
  <c r="C276" i="1"/>
  <c r="A276" i="1"/>
  <c r="K275" i="1"/>
  <c r="H275" i="1"/>
  <c r="G275" i="1"/>
  <c r="F275" i="1"/>
  <c r="E275" i="1"/>
  <c r="D275" i="1"/>
  <c r="C275" i="1"/>
  <c r="A275" i="1"/>
  <c r="K274" i="1"/>
  <c r="H274" i="1"/>
  <c r="G274" i="1"/>
  <c r="F274" i="1"/>
  <c r="E274" i="1"/>
  <c r="D274" i="1"/>
  <c r="C274" i="1"/>
  <c r="A274" i="1"/>
  <c r="K273" i="1"/>
  <c r="H273" i="1"/>
  <c r="G273" i="1"/>
  <c r="F273" i="1"/>
  <c r="E273" i="1"/>
  <c r="D273" i="1"/>
  <c r="C273" i="1"/>
  <c r="A273" i="1"/>
  <c r="K272" i="1"/>
  <c r="H272" i="1"/>
  <c r="G272" i="1"/>
  <c r="F272" i="1"/>
  <c r="E272" i="1"/>
  <c r="D272" i="1"/>
  <c r="C272" i="1"/>
  <c r="A272" i="1"/>
  <c r="K271" i="1"/>
  <c r="H271" i="1"/>
  <c r="G271" i="1"/>
  <c r="F271" i="1"/>
  <c r="E271" i="1"/>
  <c r="D271" i="1"/>
  <c r="C271" i="1"/>
  <c r="A271" i="1"/>
  <c r="K270" i="1"/>
  <c r="H270" i="1"/>
  <c r="G270" i="1"/>
  <c r="F270" i="1"/>
  <c r="E270" i="1"/>
  <c r="D270" i="1"/>
  <c r="C270" i="1"/>
  <c r="A270" i="1"/>
  <c r="K269" i="1"/>
  <c r="H269" i="1"/>
  <c r="G269" i="1"/>
  <c r="F269" i="1"/>
  <c r="E269" i="1"/>
  <c r="D269" i="1"/>
  <c r="C269" i="1"/>
  <c r="A269" i="1"/>
  <c r="K268" i="1"/>
  <c r="I268" i="1"/>
  <c r="H268" i="1"/>
  <c r="G268" i="1"/>
  <c r="F268" i="1"/>
  <c r="E268" i="1"/>
  <c r="D268" i="1"/>
  <c r="C268" i="1"/>
  <c r="A268" i="1"/>
  <c r="K267" i="1"/>
  <c r="J267" i="1"/>
  <c r="I267" i="1"/>
  <c r="H267" i="1"/>
  <c r="F267" i="1"/>
  <c r="E267" i="1"/>
  <c r="D267" i="1"/>
  <c r="C267" i="1"/>
  <c r="A267" i="1"/>
  <c r="K266" i="1"/>
  <c r="H266" i="1"/>
  <c r="G266" i="1"/>
  <c r="F266" i="1"/>
  <c r="E266" i="1"/>
  <c r="D266" i="1"/>
  <c r="C266" i="1"/>
  <c r="A266" i="1"/>
  <c r="K265" i="1"/>
  <c r="H265" i="1"/>
  <c r="G265" i="1"/>
  <c r="F265" i="1"/>
  <c r="E265" i="1"/>
  <c r="D265" i="1"/>
  <c r="C265" i="1"/>
  <c r="A265" i="1"/>
  <c r="K264" i="1"/>
  <c r="I264" i="1"/>
  <c r="H264" i="1"/>
  <c r="G264" i="1"/>
  <c r="F264" i="1"/>
  <c r="E264" i="1"/>
  <c r="D264" i="1"/>
  <c r="C264" i="1"/>
  <c r="A264" i="1"/>
  <c r="H263" i="1"/>
  <c r="G263" i="1"/>
  <c r="F263" i="1"/>
  <c r="E263" i="1"/>
  <c r="D263" i="1"/>
  <c r="C263" i="1"/>
  <c r="A263" i="1"/>
  <c r="H262" i="1"/>
  <c r="G262" i="1"/>
  <c r="F262" i="1"/>
  <c r="E262" i="1"/>
  <c r="D262" i="1"/>
  <c r="C262" i="1"/>
  <c r="A262" i="1"/>
  <c r="H261" i="1"/>
  <c r="G261" i="1"/>
  <c r="F261" i="1"/>
  <c r="E261" i="1"/>
  <c r="D261" i="1"/>
  <c r="C261" i="1"/>
  <c r="A261" i="1"/>
  <c r="H260" i="1"/>
  <c r="G260" i="1"/>
  <c r="F260" i="1"/>
  <c r="E260" i="1"/>
  <c r="D260" i="1"/>
  <c r="C260" i="1"/>
  <c r="A260" i="1"/>
  <c r="H259" i="1"/>
  <c r="G259" i="1"/>
  <c r="F259" i="1"/>
  <c r="E259" i="1"/>
  <c r="D259" i="1"/>
  <c r="C259" i="1"/>
  <c r="A259" i="1"/>
  <c r="H258" i="1"/>
  <c r="G258" i="1"/>
  <c r="F258" i="1"/>
  <c r="E258" i="1"/>
  <c r="D258" i="1"/>
  <c r="C258" i="1"/>
  <c r="A258" i="1"/>
  <c r="H257" i="1"/>
  <c r="G257" i="1"/>
  <c r="F257" i="1"/>
  <c r="E257" i="1"/>
  <c r="D257" i="1"/>
  <c r="C257" i="1"/>
  <c r="A257" i="1"/>
  <c r="H256" i="1"/>
  <c r="G256" i="1"/>
  <c r="F256" i="1"/>
  <c r="E256" i="1"/>
  <c r="D256" i="1"/>
  <c r="C256" i="1"/>
  <c r="A256" i="1"/>
  <c r="H255" i="1"/>
  <c r="G255" i="1"/>
  <c r="F255" i="1"/>
  <c r="E255" i="1"/>
  <c r="D255" i="1"/>
  <c r="C255" i="1"/>
  <c r="A255" i="1"/>
  <c r="H254" i="1"/>
  <c r="G254" i="1"/>
  <c r="F254" i="1"/>
  <c r="E254" i="1"/>
  <c r="D254" i="1"/>
  <c r="C254" i="1"/>
  <c r="A254" i="1"/>
  <c r="H253" i="1"/>
  <c r="G253" i="1"/>
  <c r="F253" i="1"/>
  <c r="E253" i="1"/>
  <c r="D253" i="1"/>
  <c r="C253" i="1"/>
  <c r="A253" i="1"/>
  <c r="H252" i="1"/>
  <c r="G252" i="1"/>
  <c r="F252" i="1"/>
  <c r="E252" i="1"/>
  <c r="D252" i="1"/>
  <c r="C252" i="1"/>
  <c r="A252" i="1"/>
  <c r="H251" i="1"/>
  <c r="G251" i="1"/>
  <c r="F251" i="1"/>
  <c r="E251" i="1"/>
  <c r="D251" i="1"/>
  <c r="C251" i="1"/>
  <c r="A251" i="1"/>
  <c r="H250" i="1"/>
  <c r="G250" i="1"/>
  <c r="F250" i="1"/>
  <c r="E250" i="1"/>
  <c r="D250" i="1"/>
  <c r="C250" i="1"/>
  <c r="A250" i="1"/>
  <c r="H249" i="1"/>
  <c r="G249" i="1"/>
  <c r="F249" i="1"/>
  <c r="E249" i="1"/>
  <c r="D249" i="1"/>
  <c r="C249" i="1"/>
  <c r="A249" i="1"/>
  <c r="H248" i="1"/>
  <c r="G248" i="1"/>
  <c r="F248" i="1"/>
  <c r="E248" i="1"/>
  <c r="D248" i="1"/>
  <c r="C248" i="1"/>
  <c r="A248" i="1"/>
  <c r="H247" i="1"/>
  <c r="G247" i="1"/>
  <c r="F247" i="1"/>
  <c r="E247" i="1"/>
  <c r="D247" i="1"/>
  <c r="C247" i="1"/>
  <c r="A247" i="1"/>
  <c r="K246" i="1"/>
  <c r="H246" i="1"/>
  <c r="G246" i="1"/>
  <c r="F246" i="1"/>
  <c r="E246" i="1"/>
  <c r="D246" i="1"/>
  <c r="C246" i="1"/>
  <c r="A246" i="1"/>
  <c r="K245" i="1"/>
  <c r="H245" i="1"/>
  <c r="G245" i="1"/>
  <c r="F245" i="1"/>
  <c r="E245" i="1"/>
  <c r="D245" i="1"/>
  <c r="C245" i="1"/>
  <c r="A245" i="1"/>
  <c r="K244" i="1"/>
  <c r="I244" i="1"/>
  <c r="H244" i="1"/>
  <c r="G244" i="1"/>
  <c r="F244" i="1"/>
  <c r="E244" i="1"/>
  <c r="D244" i="1"/>
  <c r="C244" i="1"/>
  <c r="A244" i="1"/>
  <c r="H243" i="1"/>
  <c r="G243" i="1"/>
  <c r="F243" i="1"/>
  <c r="E243" i="1"/>
  <c r="D243" i="1"/>
  <c r="C243" i="1"/>
  <c r="A243" i="1"/>
  <c r="K242" i="1"/>
  <c r="J242" i="1"/>
  <c r="I242" i="1"/>
  <c r="H242" i="1"/>
  <c r="F242" i="1"/>
  <c r="E242" i="1"/>
  <c r="D242" i="1"/>
  <c r="C242" i="1"/>
  <c r="A242" i="1"/>
  <c r="K241" i="1"/>
  <c r="H241" i="1"/>
  <c r="G241" i="1"/>
  <c r="F241" i="1"/>
  <c r="E241" i="1"/>
  <c r="D241" i="1"/>
  <c r="C241" i="1"/>
  <c r="A241" i="1"/>
  <c r="K240" i="1"/>
  <c r="H240" i="1"/>
  <c r="G240" i="1"/>
  <c r="F240" i="1"/>
  <c r="E240" i="1"/>
  <c r="D240" i="1"/>
  <c r="C240" i="1"/>
  <c r="A240" i="1"/>
  <c r="K239" i="1"/>
  <c r="H239" i="1"/>
  <c r="G239" i="1"/>
  <c r="F239" i="1"/>
  <c r="E239" i="1"/>
  <c r="D239" i="1"/>
  <c r="C239" i="1"/>
  <c r="A239" i="1"/>
  <c r="K238" i="1"/>
  <c r="I238" i="1"/>
  <c r="H238" i="1"/>
  <c r="G238" i="1"/>
  <c r="F238" i="1"/>
  <c r="E238" i="1"/>
  <c r="D238" i="1"/>
  <c r="C238" i="1"/>
  <c r="A238" i="1"/>
  <c r="K237" i="1"/>
  <c r="H237" i="1"/>
  <c r="G237" i="1"/>
  <c r="F237" i="1"/>
  <c r="E237" i="1"/>
  <c r="D237" i="1"/>
  <c r="C237" i="1"/>
  <c r="A237" i="1"/>
  <c r="K236" i="1"/>
  <c r="H236" i="1"/>
  <c r="G236" i="1"/>
  <c r="F236" i="1"/>
  <c r="E236" i="1"/>
  <c r="D236" i="1"/>
  <c r="C236" i="1"/>
  <c r="A236" i="1"/>
  <c r="K235" i="1"/>
  <c r="H235" i="1"/>
  <c r="G235" i="1"/>
  <c r="F235" i="1"/>
  <c r="E235" i="1"/>
  <c r="D235" i="1"/>
  <c r="C235" i="1"/>
  <c r="A235" i="1"/>
  <c r="K234" i="1"/>
  <c r="H234" i="1"/>
  <c r="G234" i="1"/>
  <c r="F234" i="1"/>
  <c r="E234" i="1"/>
  <c r="D234" i="1"/>
  <c r="C234" i="1"/>
  <c r="A234" i="1"/>
  <c r="K233" i="1"/>
  <c r="H233" i="1"/>
  <c r="G233" i="1"/>
  <c r="F233" i="1"/>
  <c r="E233" i="1"/>
  <c r="D233" i="1"/>
  <c r="C233" i="1"/>
  <c r="A233" i="1"/>
  <c r="K232" i="1"/>
  <c r="I232" i="1"/>
  <c r="H232" i="1"/>
  <c r="G232" i="1"/>
  <c r="F232" i="1"/>
  <c r="E232" i="1"/>
  <c r="D232" i="1"/>
  <c r="C232" i="1"/>
  <c r="A232" i="1"/>
  <c r="K231" i="1"/>
  <c r="I231" i="1"/>
  <c r="H231" i="1"/>
  <c r="G231" i="1"/>
  <c r="F231" i="1"/>
  <c r="E231" i="1"/>
  <c r="D231" i="1"/>
  <c r="C231" i="1"/>
  <c r="A231" i="1"/>
  <c r="K230" i="1"/>
  <c r="H230" i="1"/>
  <c r="G230" i="1"/>
  <c r="F230" i="1"/>
  <c r="E230" i="1"/>
  <c r="D230" i="1"/>
  <c r="C230" i="1"/>
  <c r="A230" i="1"/>
  <c r="K229" i="1"/>
  <c r="H229" i="1"/>
  <c r="G229" i="1"/>
  <c r="F229" i="1"/>
  <c r="E229" i="1"/>
  <c r="D229" i="1"/>
  <c r="C229" i="1"/>
  <c r="A229" i="1"/>
  <c r="K228" i="1"/>
  <c r="I228" i="1"/>
  <c r="H228" i="1"/>
  <c r="G228" i="1"/>
  <c r="F228" i="1"/>
  <c r="E228" i="1"/>
  <c r="D228" i="1"/>
  <c r="C228" i="1"/>
  <c r="A228" i="1"/>
  <c r="K227" i="1"/>
  <c r="H227" i="1"/>
  <c r="G227" i="1"/>
  <c r="F227" i="1"/>
  <c r="E227" i="1"/>
  <c r="D227" i="1"/>
  <c r="C227" i="1"/>
  <c r="A227" i="1"/>
  <c r="K226" i="1"/>
  <c r="H226" i="1"/>
  <c r="G226" i="1"/>
  <c r="F226" i="1"/>
  <c r="E226" i="1"/>
  <c r="D226" i="1"/>
  <c r="C226" i="1"/>
  <c r="A226" i="1"/>
  <c r="K225" i="1"/>
  <c r="H225" i="1"/>
  <c r="G225" i="1"/>
  <c r="F225" i="1"/>
  <c r="E225" i="1"/>
  <c r="D225" i="1"/>
  <c r="C225" i="1"/>
  <c r="A225" i="1"/>
  <c r="K224" i="1"/>
  <c r="J224" i="1"/>
  <c r="H224" i="1"/>
  <c r="F224" i="1"/>
  <c r="E224" i="1"/>
  <c r="D224" i="1"/>
  <c r="C224" i="1"/>
  <c r="A224" i="1"/>
  <c r="K223" i="1"/>
  <c r="J223" i="1"/>
  <c r="H223" i="1"/>
  <c r="F223" i="1"/>
  <c r="E223" i="1"/>
  <c r="D223" i="1"/>
  <c r="C223" i="1"/>
  <c r="A223" i="1"/>
  <c r="K222" i="1"/>
  <c r="J222" i="1"/>
  <c r="H222" i="1"/>
  <c r="F222" i="1"/>
  <c r="E222" i="1"/>
  <c r="D222" i="1"/>
  <c r="C222" i="1"/>
  <c r="A222" i="1"/>
  <c r="K221" i="1"/>
  <c r="J221" i="1"/>
  <c r="H221" i="1"/>
  <c r="F221" i="1"/>
  <c r="E221" i="1"/>
  <c r="D221" i="1"/>
  <c r="C221" i="1"/>
  <c r="A221" i="1"/>
  <c r="K220" i="1"/>
  <c r="I220" i="1"/>
  <c r="H220" i="1"/>
  <c r="G220" i="1"/>
  <c r="F220" i="1"/>
  <c r="E220" i="1"/>
  <c r="D220" i="1"/>
  <c r="C220" i="1"/>
  <c r="A220" i="1"/>
  <c r="K219" i="1"/>
  <c r="H219" i="1"/>
  <c r="G219" i="1"/>
  <c r="F219" i="1"/>
  <c r="E219" i="1"/>
  <c r="D219" i="1"/>
  <c r="C219" i="1"/>
  <c r="A219" i="1"/>
  <c r="K218" i="1"/>
  <c r="H218" i="1"/>
  <c r="G218" i="1"/>
  <c r="F218" i="1"/>
  <c r="E218" i="1"/>
  <c r="D218" i="1"/>
  <c r="C218" i="1"/>
  <c r="A218" i="1"/>
  <c r="K217" i="1"/>
  <c r="H217" i="1"/>
  <c r="G217" i="1"/>
  <c r="F217" i="1"/>
  <c r="E217" i="1"/>
  <c r="D217" i="1"/>
  <c r="C217" i="1"/>
  <c r="A217" i="1"/>
  <c r="K216" i="1"/>
  <c r="H216" i="1"/>
  <c r="G216" i="1"/>
  <c r="F216" i="1"/>
  <c r="E216" i="1"/>
  <c r="D216" i="1"/>
  <c r="C216" i="1"/>
  <c r="A216" i="1"/>
  <c r="K215" i="1"/>
  <c r="H215" i="1"/>
  <c r="G215" i="1"/>
  <c r="F215" i="1"/>
  <c r="E215" i="1"/>
  <c r="D215" i="1"/>
  <c r="C215" i="1"/>
  <c r="A215" i="1"/>
  <c r="K214" i="1"/>
  <c r="H214" i="1"/>
  <c r="G214" i="1"/>
  <c r="F214" i="1"/>
  <c r="E214" i="1"/>
  <c r="D214" i="1"/>
  <c r="C214" i="1"/>
  <c r="A214" i="1"/>
  <c r="K213" i="1"/>
  <c r="H213" i="1"/>
  <c r="G213" i="1"/>
  <c r="F213" i="1"/>
  <c r="E213" i="1"/>
  <c r="D213" i="1"/>
  <c r="C213" i="1"/>
  <c r="A213" i="1"/>
  <c r="K212" i="1"/>
  <c r="H212" i="1"/>
  <c r="G212" i="1"/>
  <c r="F212" i="1"/>
  <c r="E212" i="1"/>
  <c r="D212" i="1"/>
  <c r="C212" i="1"/>
  <c r="A212" i="1"/>
  <c r="K211" i="1"/>
  <c r="H211" i="1"/>
  <c r="G211" i="1"/>
  <c r="F211" i="1"/>
  <c r="E211" i="1"/>
  <c r="D211" i="1"/>
  <c r="C211" i="1"/>
  <c r="A211" i="1"/>
  <c r="K210" i="1"/>
  <c r="J210" i="1"/>
  <c r="H210" i="1"/>
  <c r="F210" i="1"/>
  <c r="E210" i="1"/>
  <c r="D210" i="1"/>
  <c r="C210" i="1"/>
  <c r="A210" i="1"/>
  <c r="K209" i="1"/>
  <c r="J209" i="1"/>
  <c r="H209" i="1"/>
  <c r="F209" i="1"/>
  <c r="E209" i="1"/>
  <c r="D209" i="1"/>
  <c r="C209" i="1"/>
  <c r="A209" i="1"/>
  <c r="K208" i="1"/>
  <c r="H208" i="1"/>
  <c r="G208" i="1"/>
  <c r="F208" i="1"/>
  <c r="E208" i="1"/>
  <c r="D208" i="1"/>
  <c r="C208" i="1"/>
  <c r="A208" i="1"/>
  <c r="K207" i="1"/>
  <c r="J207" i="1"/>
  <c r="H207" i="1"/>
  <c r="F207" i="1"/>
  <c r="E207" i="1"/>
  <c r="D207" i="1"/>
  <c r="C207" i="1"/>
  <c r="A207" i="1"/>
  <c r="H206" i="1"/>
  <c r="G206" i="1"/>
  <c r="F206" i="1"/>
  <c r="E206" i="1"/>
  <c r="D206" i="1"/>
  <c r="C206" i="1"/>
  <c r="A206" i="1"/>
  <c r="K205" i="1"/>
  <c r="J205" i="1"/>
  <c r="I205" i="1"/>
  <c r="H205" i="1"/>
  <c r="G205" i="1"/>
  <c r="F205" i="1"/>
  <c r="E205" i="1"/>
  <c r="D205" i="1"/>
  <c r="C205" i="1"/>
  <c r="A205" i="1"/>
  <c r="K204" i="1"/>
  <c r="H204" i="1"/>
  <c r="G204" i="1"/>
  <c r="F204" i="1"/>
  <c r="E204" i="1"/>
  <c r="D204" i="1"/>
  <c r="C204" i="1"/>
  <c r="A204" i="1"/>
  <c r="K203" i="1"/>
  <c r="H203" i="1"/>
  <c r="G203" i="1"/>
  <c r="F203" i="1"/>
  <c r="E203" i="1"/>
  <c r="D203" i="1"/>
  <c r="C203" i="1"/>
  <c r="A203" i="1"/>
  <c r="K202" i="1"/>
  <c r="H202" i="1"/>
  <c r="G202" i="1"/>
  <c r="F202" i="1"/>
  <c r="E202" i="1"/>
  <c r="D202" i="1"/>
  <c r="C202" i="1"/>
  <c r="A202" i="1"/>
  <c r="K201" i="1"/>
  <c r="H201" i="1"/>
  <c r="G201" i="1"/>
  <c r="F201" i="1"/>
  <c r="E201" i="1"/>
  <c r="D201" i="1"/>
  <c r="C201" i="1"/>
  <c r="A201" i="1"/>
  <c r="K200" i="1"/>
  <c r="J200" i="1"/>
  <c r="H200" i="1"/>
  <c r="F200" i="1"/>
  <c r="E200" i="1"/>
  <c r="D200" i="1"/>
  <c r="C200" i="1"/>
  <c r="A200" i="1"/>
  <c r="H199" i="1"/>
  <c r="G199" i="1"/>
  <c r="F199" i="1"/>
  <c r="E199" i="1"/>
  <c r="D199" i="1"/>
  <c r="C199" i="1"/>
  <c r="A199" i="1"/>
  <c r="K198" i="1"/>
  <c r="H198" i="1"/>
  <c r="G198" i="1"/>
  <c r="F198" i="1"/>
  <c r="E198" i="1"/>
  <c r="D198" i="1"/>
  <c r="C198" i="1"/>
  <c r="A198" i="1"/>
  <c r="K197" i="1"/>
  <c r="H197" i="1"/>
  <c r="G197" i="1"/>
  <c r="F197" i="1"/>
  <c r="E197" i="1"/>
  <c r="D197" i="1"/>
  <c r="C197" i="1"/>
  <c r="A197" i="1"/>
  <c r="K196" i="1"/>
  <c r="H196" i="1"/>
  <c r="G196" i="1"/>
  <c r="F196" i="1"/>
  <c r="E196" i="1"/>
  <c r="D196" i="1"/>
  <c r="C196" i="1"/>
  <c r="A196" i="1"/>
  <c r="H195" i="1"/>
  <c r="F195" i="1"/>
  <c r="E195" i="1"/>
  <c r="D195" i="1"/>
  <c r="C195" i="1"/>
  <c r="A195" i="1"/>
  <c r="K193" i="1"/>
  <c r="H193" i="1"/>
  <c r="G193" i="1"/>
  <c r="F193" i="1"/>
  <c r="E193" i="1"/>
  <c r="D193" i="1"/>
  <c r="C193" i="1"/>
  <c r="A193" i="1"/>
  <c r="K192" i="1"/>
  <c r="H192" i="1"/>
  <c r="G192" i="1"/>
  <c r="F192" i="1"/>
  <c r="E192" i="1"/>
  <c r="D192" i="1"/>
  <c r="C192" i="1"/>
  <c r="A192" i="1"/>
  <c r="K191" i="1"/>
  <c r="H191" i="1"/>
  <c r="G191" i="1"/>
  <c r="F191" i="1"/>
  <c r="E191" i="1"/>
  <c r="D191" i="1"/>
  <c r="C191" i="1"/>
  <c r="A191" i="1"/>
  <c r="K190" i="1"/>
  <c r="H190" i="1"/>
  <c r="G190" i="1"/>
  <c r="F190" i="1"/>
  <c r="E190" i="1"/>
  <c r="D190" i="1"/>
  <c r="C190" i="1"/>
  <c r="A190" i="1"/>
  <c r="K189" i="1"/>
  <c r="H189" i="1"/>
  <c r="G189" i="1"/>
  <c r="F189" i="1"/>
  <c r="E189" i="1"/>
  <c r="D189" i="1"/>
  <c r="C189" i="1"/>
  <c r="A189" i="1"/>
  <c r="K188" i="1"/>
  <c r="J188" i="1"/>
  <c r="H188" i="1"/>
  <c r="F188" i="1"/>
  <c r="E188" i="1"/>
  <c r="D188" i="1"/>
  <c r="C188" i="1"/>
  <c r="A188" i="1"/>
  <c r="K187" i="1"/>
  <c r="J187" i="1"/>
  <c r="H187" i="1"/>
  <c r="F187" i="1"/>
  <c r="E187" i="1"/>
  <c r="D187" i="1"/>
  <c r="C187" i="1"/>
  <c r="A187" i="1"/>
  <c r="K186" i="1"/>
  <c r="J186" i="1"/>
  <c r="H186" i="1"/>
  <c r="F186" i="1"/>
  <c r="E186" i="1"/>
  <c r="D186" i="1"/>
  <c r="C186" i="1"/>
  <c r="A186" i="1"/>
  <c r="K185" i="1"/>
  <c r="H185" i="1"/>
  <c r="G185" i="1"/>
  <c r="F185" i="1"/>
  <c r="E185" i="1"/>
  <c r="D185" i="1"/>
  <c r="C185" i="1"/>
  <c r="A185" i="1"/>
  <c r="K184" i="1"/>
  <c r="H184" i="1"/>
  <c r="G184" i="1"/>
  <c r="F184" i="1"/>
  <c r="E184" i="1"/>
  <c r="D184" i="1"/>
  <c r="C184" i="1"/>
  <c r="A184" i="1"/>
  <c r="L183" i="1"/>
  <c r="K183" i="1"/>
  <c r="I183" i="1"/>
  <c r="H183" i="1"/>
  <c r="G183" i="1"/>
  <c r="F183" i="1"/>
  <c r="E183" i="1"/>
  <c r="D183" i="1"/>
  <c r="C183" i="1"/>
  <c r="A183" i="1"/>
  <c r="M182" i="1"/>
  <c r="L182" i="1"/>
  <c r="K182" i="1"/>
  <c r="H182" i="1"/>
  <c r="G182" i="1"/>
  <c r="F182" i="1"/>
  <c r="E182" i="1"/>
  <c r="D182" i="1"/>
  <c r="C182" i="1"/>
  <c r="A182" i="1"/>
  <c r="K181" i="1"/>
  <c r="H181" i="1"/>
  <c r="G181" i="1"/>
  <c r="F181" i="1"/>
  <c r="E181" i="1"/>
  <c r="D181" i="1"/>
  <c r="C181" i="1"/>
  <c r="A181" i="1"/>
  <c r="K180" i="1"/>
  <c r="H180" i="1"/>
  <c r="G180" i="1"/>
  <c r="F180" i="1"/>
  <c r="E180" i="1"/>
  <c r="D180" i="1"/>
  <c r="C180" i="1"/>
  <c r="A180" i="1"/>
  <c r="K179" i="1"/>
  <c r="H179" i="1"/>
  <c r="G179" i="1"/>
  <c r="F179" i="1"/>
  <c r="E179" i="1"/>
  <c r="D179" i="1"/>
  <c r="C179" i="1"/>
  <c r="A179" i="1"/>
  <c r="K178" i="1"/>
  <c r="H178" i="1"/>
  <c r="G178" i="1"/>
  <c r="F178" i="1"/>
  <c r="E178" i="1"/>
  <c r="D178" i="1"/>
  <c r="C178" i="1"/>
  <c r="A178" i="1"/>
  <c r="K177" i="1"/>
  <c r="H177" i="1"/>
  <c r="G177" i="1"/>
  <c r="F177" i="1"/>
  <c r="E177" i="1"/>
  <c r="D177" i="1"/>
  <c r="C177" i="1"/>
  <c r="A177" i="1"/>
  <c r="K176" i="1"/>
  <c r="H176" i="1"/>
  <c r="G176" i="1"/>
  <c r="F176" i="1"/>
  <c r="E176" i="1"/>
  <c r="D176" i="1"/>
  <c r="C176" i="1"/>
  <c r="A176" i="1"/>
  <c r="K175" i="1"/>
  <c r="H175" i="1"/>
  <c r="G175" i="1"/>
  <c r="F175" i="1"/>
  <c r="E175" i="1"/>
  <c r="D175" i="1"/>
  <c r="C175" i="1"/>
  <c r="A175" i="1"/>
  <c r="K174" i="1"/>
  <c r="H174" i="1"/>
  <c r="G174" i="1"/>
  <c r="F174" i="1"/>
  <c r="E174" i="1"/>
  <c r="D174" i="1"/>
  <c r="C174" i="1"/>
  <c r="A174" i="1"/>
  <c r="K173" i="1"/>
  <c r="H173" i="1"/>
  <c r="G173" i="1"/>
  <c r="F173" i="1"/>
  <c r="E173" i="1"/>
  <c r="D173" i="1"/>
  <c r="C173" i="1"/>
  <c r="A173" i="1"/>
  <c r="M172" i="1"/>
  <c r="L172" i="1"/>
  <c r="K172" i="1"/>
  <c r="H172" i="1"/>
  <c r="G172" i="1"/>
  <c r="F172" i="1"/>
  <c r="E172" i="1"/>
  <c r="D172" i="1"/>
  <c r="C172" i="1"/>
  <c r="A172" i="1"/>
  <c r="L171" i="1"/>
  <c r="K171" i="1"/>
  <c r="I171" i="1"/>
  <c r="H171" i="1"/>
  <c r="G171" i="1"/>
  <c r="F171" i="1"/>
  <c r="E171" i="1"/>
  <c r="D171" i="1"/>
  <c r="C171" i="1"/>
  <c r="A171" i="1"/>
  <c r="K170" i="1"/>
  <c r="H170" i="1"/>
  <c r="G170" i="1"/>
  <c r="F170" i="1"/>
  <c r="E170" i="1"/>
  <c r="D170" i="1"/>
  <c r="C170" i="1"/>
  <c r="A170" i="1"/>
  <c r="K169" i="1"/>
  <c r="J169" i="1"/>
  <c r="H169" i="1"/>
  <c r="F169" i="1"/>
  <c r="E169" i="1"/>
  <c r="D169" i="1"/>
  <c r="C169" i="1"/>
  <c r="A169" i="1"/>
  <c r="K168" i="1"/>
  <c r="H168" i="1"/>
  <c r="G168" i="1"/>
  <c r="F168" i="1"/>
  <c r="E168" i="1"/>
  <c r="D168" i="1"/>
  <c r="C168" i="1"/>
  <c r="A168" i="1"/>
  <c r="K167" i="1"/>
  <c r="H167" i="1"/>
  <c r="G167" i="1"/>
  <c r="F167" i="1"/>
  <c r="E167" i="1"/>
  <c r="D167" i="1"/>
  <c r="C167" i="1"/>
  <c r="A167" i="1"/>
  <c r="K166" i="1"/>
  <c r="H166" i="1"/>
  <c r="G166" i="1"/>
  <c r="F166" i="1"/>
  <c r="E166" i="1"/>
  <c r="D166" i="1"/>
  <c r="C166" i="1"/>
  <c r="A166" i="1"/>
  <c r="K165" i="1"/>
  <c r="H165" i="1"/>
  <c r="G165" i="1"/>
  <c r="F165" i="1"/>
  <c r="E165" i="1"/>
  <c r="D165" i="1"/>
  <c r="C165" i="1"/>
  <c r="A165" i="1"/>
  <c r="K164" i="1"/>
  <c r="H164" i="1"/>
  <c r="G164" i="1"/>
  <c r="F164" i="1"/>
  <c r="E164" i="1"/>
  <c r="D164" i="1"/>
  <c r="C164" i="1"/>
  <c r="A164" i="1"/>
  <c r="K163" i="1"/>
  <c r="H163" i="1"/>
  <c r="G163" i="1"/>
  <c r="F163" i="1"/>
  <c r="E163" i="1"/>
  <c r="D163" i="1"/>
  <c r="C163" i="1"/>
  <c r="A163" i="1"/>
  <c r="K162" i="1"/>
  <c r="H162" i="1"/>
  <c r="G162" i="1"/>
  <c r="F162" i="1"/>
  <c r="E162" i="1"/>
  <c r="D162" i="1"/>
  <c r="C162" i="1"/>
  <c r="A162" i="1"/>
  <c r="K161" i="1"/>
  <c r="H161" i="1"/>
  <c r="G161" i="1"/>
  <c r="F161" i="1"/>
  <c r="E161" i="1"/>
  <c r="D161" i="1"/>
  <c r="C161" i="1"/>
  <c r="A161" i="1"/>
  <c r="K160" i="1"/>
  <c r="H160" i="1"/>
  <c r="G160" i="1"/>
  <c r="F160" i="1"/>
  <c r="E160" i="1"/>
  <c r="D160" i="1"/>
  <c r="C160" i="1"/>
  <c r="A160" i="1"/>
  <c r="K159" i="1"/>
  <c r="H159" i="1"/>
  <c r="G159" i="1"/>
  <c r="F159" i="1"/>
  <c r="E159" i="1"/>
  <c r="D159" i="1"/>
  <c r="C159" i="1"/>
  <c r="A159" i="1"/>
  <c r="K158" i="1"/>
  <c r="H158" i="1"/>
  <c r="G158" i="1"/>
  <c r="F158" i="1"/>
  <c r="E158" i="1"/>
  <c r="D158" i="1"/>
  <c r="C158" i="1"/>
  <c r="A158" i="1"/>
  <c r="K157" i="1"/>
  <c r="H157" i="1"/>
  <c r="G157" i="1"/>
  <c r="F157" i="1"/>
  <c r="E157" i="1"/>
  <c r="D157" i="1"/>
  <c r="C157" i="1"/>
  <c r="A157" i="1"/>
  <c r="K156" i="1"/>
  <c r="H156" i="1"/>
  <c r="G156" i="1"/>
  <c r="F156" i="1"/>
  <c r="E156" i="1"/>
  <c r="D156" i="1"/>
  <c r="C156" i="1"/>
  <c r="A156" i="1"/>
  <c r="K155" i="1"/>
  <c r="H155" i="1"/>
  <c r="G155" i="1"/>
  <c r="F155" i="1"/>
  <c r="E155" i="1"/>
  <c r="D155" i="1"/>
  <c r="C155" i="1"/>
  <c r="A155" i="1"/>
  <c r="K154" i="1"/>
  <c r="H154" i="1"/>
  <c r="G154" i="1"/>
  <c r="F154" i="1"/>
  <c r="E154" i="1"/>
  <c r="D154" i="1"/>
  <c r="C154" i="1"/>
  <c r="A154" i="1"/>
  <c r="K153" i="1"/>
  <c r="H153" i="1"/>
  <c r="G153" i="1"/>
  <c r="F153" i="1"/>
  <c r="E153" i="1"/>
  <c r="D153" i="1"/>
  <c r="C153" i="1"/>
  <c r="A153" i="1"/>
  <c r="K152" i="1"/>
  <c r="H152" i="1"/>
  <c r="G152" i="1"/>
  <c r="F152" i="1"/>
  <c r="E152" i="1"/>
  <c r="D152" i="1"/>
  <c r="C152" i="1"/>
  <c r="A152" i="1"/>
  <c r="K151" i="1"/>
  <c r="H151" i="1"/>
  <c r="G151" i="1"/>
  <c r="F151" i="1"/>
  <c r="E151" i="1"/>
  <c r="D151" i="1"/>
  <c r="C151" i="1"/>
  <c r="A151" i="1"/>
  <c r="K150" i="1"/>
  <c r="I150" i="1"/>
  <c r="H150" i="1"/>
  <c r="G150" i="1"/>
  <c r="F150" i="1"/>
  <c r="E150" i="1"/>
  <c r="D150" i="1"/>
  <c r="C150" i="1"/>
  <c r="A150" i="1"/>
  <c r="K149" i="1"/>
  <c r="I149" i="1"/>
  <c r="H149" i="1"/>
  <c r="G149" i="1"/>
  <c r="F149" i="1"/>
  <c r="E149" i="1"/>
  <c r="D149" i="1"/>
  <c r="C149" i="1"/>
  <c r="A149" i="1"/>
  <c r="K148" i="1"/>
  <c r="H148" i="1"/>
  <c r="G148" i="1"/>
  <c r="F148" i="1"/>
  <c r="E148" i="1"/>
  <c r="D148" i="1"/>
  <c r="C148" i="1"/>
  <c r="A148" i="1"/>
  <c r="K147" i="1"/>
  <c r="H147" i="1"/>
  <c r="G147" i="1"/>
  <c r="F147" i="1"/>
  <c r="E147" i="1"/>
  <c r="D147" i="1"/>
  <c r="C147" i="1"/>
  <c r="A147" i="1"/>
  <c r="K146" i="1"/>
  <c r="H146" i="1"/>
  <c r="G146" i="1"/>
  <c r="F146" i="1"/>
  <c r="E146" i="1"/>
  <c r="D146" i="1"/>
  <c r="C146" i="1"/>
  <c r="A146" i="1"/>
  <c r="K145" i="1"/>
  <c r="H145" i="1"/>
  <c r="G145" i="1"/>
  <c r="F145" i="1"/>
  <c r="E145" i="1"/>
  <c r="D145" i="1"/>
  <c r="C145" i="1"/>
  <c r="A145" i="1"/>
  <c r="K144" i="1"/>
  <c r="H144" i="1"/>
  <c r="G144" i="1"/>
  <c r="F144" i="1"/>
  <c r="E144" i="1"/>
  <c r="D144" i="1"/>
  <c r="C144" i="1"/>
  <c r="A144" i="1"/>
  <c r="K143" i="1"/>
  <c r="I143" i="1"/>
  <c r="H143" i="1"/>
  <c r="G143" i="1"/>
  <c r="F143" i="1"/>
  <c r="E143" i="1"/>
  <c r="D143" i="1"/>
  <c r="C143" i="1"/>
  <c r="A143" i="1"/>
  <c r="K142" i="1"/>
  <c r="J142" i="1"/>
  <c r="I142" i="1"/>
  <c r="H142" i="1"/>
  <c r="F142" i="1"/>
  <c r="E142" i="1"/>
  <c r="D142" i="1"/>
  <c r="C142" i="1"/>
  <c r="A142" i="1"/>
  <c r="K141" i="1"/>
  <c r="J141" i="1"/>
  <c r="H141" i="1"/>
  <c r="F141" i="1"/>
  <c r="E141" i="1"/>
  <c r="D141" i="1"/>
  <c r="C141" i="1"/>
  <c r="A141" i="1"/>
  <c r="K140" i="1"/>
  <c r="H140" i="1"/>
  <c r="G140" i="1"/>
  <c r="F140" i="1"/>
  <c r="E140" i="1"/>
  <c r="D140" i="1"/>
  <c r="C140" i="1"/>
  <c r="A140" i="1"/>
  <c r="K139" i="1"/>
  <c r="H139" i="1"/>
  <c r="G139" i="1"/>
  <c r="F139" i="1"/>
  <c r="E139" i="1"/>
  <c r="D139" i="1"/>
  <c r="C139" i="1"/>
  <c r="A139" i="1"/>
  <c r="K138" i="1"/>
  <c r="H138" i="1"/>
  <c r="G138" i="1"/>
  <c r="F138" i="1"/>
  <c r="E138" i="1"/>
  <c r="D138" i="1"/>
  <c r="C138" i="1"/>
  <c r="A138" i="1"/>
  <c r="K137" i="1"/>
  <c r="H137" i="1"/>
  <c r="G137" i="1"/>
  <c r="F137" i="1"/>
  <c r="E137" i="1"/>
  <c r="D137" i="1"/>
  <c r="C137" i="1"/>
  <c r="A137" i="1"/>
  <c r="K136" i="1"/>
  <c r="I136" i="1"/>
  <c r="H136" i="1"/>
  <c r="G136" i="1"/>
  <c r="F136" i="1"/>
  <c r="E136" i="1"/>
  <c r="D136" i="1"/>
  <c r="C136" i="1"/>
  <c r="A136" i="1"/>
  <c r="K135" i="1"/>
  <c r="I135" i="1"/>
  <c r="H135" i="1"/>
  <c r="G135" i="1"/>
  <c r="F135" i="1"/>
  <c r="E135" i="1"/>
  <c r="D135" i="1"/>
  <c r="C135" i="1"/>
  <c r="A135" i="1"/>
  <c r="K134" i="1"/>
  <c r="I134" i="1"/>
  <c r="H134" i="1"/>
  <c r="G134" i="1"/>
  <c r="F134" i="1"/>
  <c r="E134" i="1"/>
  <c r="D134" i="1"/>
  <c r="C134" i="1"/>
  <c r="A134" i="1"/>
  <c r="K133" i="1"/>
  <c r="I133" i="1"/>
  <c r="H133" i="1"/>
  <c r="G133" i="1"/>
  <c r="F133" i="1"/>
  <c r="E133" i="1"/>
  <c r="D133" i="1"/>
  <c r="C133" i="1"/>
  <c r="A133" i="1"/>
  <c r="K132" i="1"/>
  <c r="H132" i="1"/>
  <c r="G132" i="1"/>
  <c r="F132" i="1"/>
  <c r="E132" i="1"/>
  <c r="D132" i="1"/>
  <c r="C132" i="1"/>
  <c r="A132" i="1"/>
  <c r="K131" i="1"/>
  <c r="H131" i="1"/>
  <c r="G131" i="1"/>
  <c r="F131" i="1"/>
  <c r="E131" i="1"/>
  <c r="D131" i="1"/>
  <c r="C131" i="1"/>
  <c r="A131" i="1"/>
  <c r="K130" i="1"/>
  <c r="H130" i="1"/>
  <c r="G130" i="1"/>
  <c r="F130" i="1"/>
  <c r="E130" i="1"/>
  <c r="D130" i="1"/>
  <c r="C130" i="1"/>
  <c r="A130" i="1"/>
  <c r="K129" i="1"/>
  <c r="J129" i="1"/>
  <c r="I129" i="1"/>
  <c r="H129" i="1"/>
  <c r="F129" i="1"/>
  <c r="E129" i="1"/>
  <c r="D129" i="1"/>
  <c r="C129" i="1"/>
  <c r="A129" i="1"/>
  <c r="K128" i="1"/>
  <c r="J128" i="1"/>
  <c r="I128" i="1"/>
  <c r="H128" i="1"/>
  <c r="F128" i="1"/>
  <c r="E128" i="1"/>
  <c r="D128" i="1"/>
  <c r="C128" i="1"/>
  <c r="A128" i="1"/>
  <c r="M127" i="1"/>
  <c r="L127" i="1"/>
  <c r="K127" i="1"/>
  <c r="H127" i="1"/>
  <c r="G127" i="1"/>
  <c r="F127" i="1"/>
  <c r="E127" i="1"/>
  <c r="D127" i="1"/>
  <c r="C127" i="1"/>
  <c r="A127" i="1"/>
  <c r="K126" i="1"/>
  <c r="I126" i="1"/>
  <c r="H126" i="1"/>
  <c r="G126" i="1"/>
  <c r="F126" i="1"/>
  <c r="E126" i="1"/>
  <c r="D126" i="1"/>
  <c r="C126" i="1"/>
  <c r="A126" i="1"/>
  <c r="K125" i="1"/>
  <c r="H125" i="1"/>
  <c r="G125" i="1"/>
  <c r="F125" i="1"/>
  <c r="E125" i="1"/>
  <c r="D125" i="1"/>
  <c r="C125" i="1"/>
  <c r="A125" i="1"/>
  <c r="K124" i="1"/>
  <c r="H124" i="1"/>
  <c r="G124" i="1"/>
  <c r="F124" i="1"/>
  <c r="E124" i="1"/>
  <c r="D124" i="1"/>
  <c r="C124" i="1"/>
  <c r="A124" i="1"/>
  <c r="K123" i="1"/>
  <c r="H123" i="1"/>
  <c r="G123" i="1"/>
  <c r="F123" i="1"/>
  <c r="E123" i="1"/>
  <c r="D123" i="1"/>
  <c r="C123" i="1"/>
  <c r="A123" i="1"/>
  <c r="K122" i="1"/>
  <c r="H122" i="1"/>
  <c r="G122" i="1"/>
  <c r="F122" i="1"/>
  <c r="E122" i="1"/>
  <c r="D122" i="1"/>
  <c r="C122" i="1"/>
  <c r="A122" i="1"/>
  <c r="K121" i="1"/>
  <c r="I121" i="1"/>
  <c r="H121" i="1"/>
  <c r="G121" i="1"/>
  <c r="F121" i="1"/>
  <c r="E121" i="1"/>
  <c r="D121" i="1"/>
  <c r="C121" i="1"/>
  <c r="A121" i="1"/>
  <c r="K120" i="1"/>
  <c r="H120" i="1"/>
  <c r="G120" i="1"/>
  <c r="F120" i="1"/>
  <c r="E120" i="1"/>
  <c r="D120" i="1"/>
  <c r="C120" i="1"/>
  <c r="A120" i="1"/>
  <c r="K119" i="1"/>
  <c r="I119" i="1"/>
  <c r="H119" i="1"/>
  <c r="G119" i="1"/>
  <c r="F119" i="1"/>
  <c r="E119" i="1"/>
  <c r="D119" i="1"/>
  <c r="C119" i="1"/>
  <c r="A119" i="1"/>
  <c r="K118" i="1"/>
  <c r="H118" i="1"/>
  <c r="G118" i="1"/>
  <c r="F118" i="1"/>
  <c r="E118" i="1"/>
  <c r="D118" i="1"/>
  <c r="C118" i="1"/>
  <c r="A118" i="1"/>
  <c r="K117" i="1"/>
  <c r="H117" i="1"/>
  <c r="G117" i="1"/>
  <c r="F117" i="1"/>
  <c r="E117" i="1"/>
  <c r="D117" i="1"/>
  <c r="C117" i="1"/>
  <c r="A117" i="1"/>
  <c r="K116" i="1"/>
  <c r="J116" i="1"/>
  <c r="H116" i="1"/>
  <c r="F116" i="1"/>
  <c r="E116" i="1"/>
  <c r="D116" i="1"/>
  <c r="C116" i="1"/>
  <c r="A116" i="1"/>
  <c r="K115" i="1"/>
  <c r="H115" i="1"/>
  <c r="G115" i="1"/>
  <c r="F115" i="1"/>
  <c r="E115" i="1"/>
  <c r="D115" i="1"/>
  <c r="C115" i="1"/>
  <c r="A115" i="1"/>
  <c r="K114" i="1"/>
  <c r="J114" i="1"/>
  <c r="I114" i="1"/>
  <c r="H114" i="1"/>
  <c r="F114" i="1"/>
  <c r="E114" i="1"/>
  <c r="D114" i="1"/>
  <c r="C114" i="1"/>
  <c r="A114" i="1"/>
  <c r="K113" i="1"/>
  <c r="H113" i="1"/>
  <c r="G113" i="1"/>
  <c r="F113" i="1"/>
  <c r="E113" i="1"/>
  <c r="D113" i="1"/>
  <c r="C113" i="1"/>
  <c r="A113" i="1"/>
  <c r="K112" i="1"/>
  <c r="H112" i="1"/>
  <c r="F112" i="1"/>
  <c r="E112" i="1"/>
  <c r="D112" i="1"/>
  <c r="C112" i="1"/>
  <c r="A112" i="1"/>
  <c r="K111" i="1"/>
  <c r="J111" i="1"/>
  <c r="I111" i="1"/>
  <c r="H111" i="1"/>
  <c r="F111" i="1"/>
  <c r="E111" i="1"/>
  <c r="D111" i="1"/>
  <c r="C111" i="1"/>
  <c r="A111" i="1"/>
  <c r="K110" i="1"/>
  <c r="H110" i="1"/>
  <c r="G110" i="1"/>
  <c r="F110" i="1"/>
  <c r="E110" i="1"/>
  <c r="D110" i="1"/>
  <c r="C110" i="1"/>
  <c r="A110" i="1"/>
  <c r="K109" i="1"/>
  <c r="I109" i="1"/>
  <c r="H109" i="1"/>
  <c r="G109" i="1"/>
  <c r="F109" i="1"/>
  <c r="E109" i="1"/>
  <c r="D109" i="1"/>
  <c r="C109" i="1"/>
  <c r="A109" i="1"/>
  <c r="K108" i="1"/>
  <c r="I108" i="1"/>
  <c r="H108" i="1"/>
  <c r="G108" i="1"/>
  <c r="F108" i="1"/>
  <c r="E108" i="1"/>
  <c r="D108" i="1"/>
  <c r="C108" i="1"/>
  <c r="A108" i="1"/>
  <c r="K107" i="1"/>
  <c r="I107" i="1"/>
  <c r="H107" i="1"/>
  <c r="G107" i="1"/>
  <c r="F107" i="1"/>
  <c r="E107" i="1"/>
  <c r="D107" i="1"/>
  <c r="C107" i="1"/>
  <c r="A107" i="1"/>
  <c r="K106" i="1"/>
  <c r="H106" i="1"/>
  <c r="G106" i="1"/>
  <c r="F106" i="1"/>
  <c r="E106" i="1"/>
  <c r="D106" i="1"/>
  <c r="C106" i="1"/>
  <c r="A106" i="1"/>
  <c r="K105" i="1"/>
  <c r="H105" i="1"/>
  <c r="G105" i="1"/>
  <c r="F105" i="1"/>
  <c r="E105" i="1"/>
  <c r="D105" i="1"/>
  <c r="C105" i="1"/>
  <c r="A105" i="1"/>
  <c r="K104" i="1"/>
  <c r="H104" i="1"/>
  <c r="G104" i="1"/>
  <c r="F104" i="1"/>
  <c r="E104" i="1"/>
  <c r="D104" i="1"/>
  <c r="C104" i="1"/>
  <c r="A104" i="1"/>
  <c r="K103" i="1"/>
  <c r="H103" i="1"/>
  <c r="G103" i="1"/>
  <c r="F103" i="1"/>
  <c r="E103" i="1"/>
  <c r="D103" i="1"/>
  <c r="C103" i="1"/>
  <c r="A103" i="1"/>
  <c r="K102" i="1"/>
  <c r="H102" i="1"/>
  <c r="G102" i="1"/>
  <c r="F102" i="1"/>
  <c r="E102" i="1"/>
  <c r="D102" i="1"/>
  <c r="C102" i="1"/>
  <c r="A102" i="1"/>
  <c r="K101" i="1"/>
  <c r="J101" i="1"/>
  <c r="I101" i="1"/>
  <c r="H101" i="1"/>
  <c r="F101" i="1"/>
  <c r="E101" i="1"/>
  <c r="D101" i="1"/>
  <c r="C101" i="1"/>
  <c r="A101" i="1"/>
  <c r="K100" i="1"/>
  <c r="J100" i="1"/>
  <c r="H100" i="1"/>
  <c r="F100" i="1"/>
  <c r="E100" i="1"/>
  <c r="D100" i="1"/>
  <c r="C100" i="1"/>
  <c r="A100" i="1"/>
  <c r="K99" i="1"/>
  <c r="J99" i="1"/>
  <c r="H99" i="1"/>
  <c r="F99" i="1"/>
  <c r="E99" i="1"/>
  <c r="D99" i="1"/>
  <c r="C99" i="1"/>
  <c r="A99" i="1"/>
  <c r="K98" i="1"/>
  <c r="I98" i="1"/>
  <c r="H98" i="1"/>
  <c r="G98" i="1"/>
  <c r="F98" i="1"/>
  <c r="E98" i="1"/>
  <c r="D98" i="1"/>
  <c r="C98" i="1"/>
  <c r="A98" i="1"/>
  <c r="K97" i="1"/>
  <c r="H97" i="1"/>
  <c r="G97" i="1"/>
  <c r="F97" i="1"/>
  <c r="E97" i="1"/>
  <c r="D97" i="1"/>
  <c r="C97" i="1"/>
  <c r="A97" i="1"/>
  <c r="K96" i="1"/>
  <c r="I96" i="1"/>
  <c r="H96" i="1"/>
  <c r="G96" i="1"/>
  <c r="F96" i="1"/>
  <c r="E96" i="1"/>
  <c r="D96" i="1"/>
  <c r="C96" i="1"/>
  <c r="A96" i="1"/>
  <c r="K95" i="1"/>
  <c r="H95" i="1"/>
  <c r="G95" i="1"/>
  <c r="F95" i="1"/>
  <c r="E95" i="1"/>
  <c r="D95" i="1"/>
  <c r="C95" i="1"/>
  <c r="A95" i="1"/>
  <c r="K94" i="1"/>
  <c r="H94" i="1"/>
  <c r="G94" i="1"/>
  <c r="F94" i="1"/>
  <c r="E94" i="1"/>
  <c r="D94" i="1"/>
  <c r="C94" i="1"/>
  <c r="A94" i="1"/>
  <c r="K93" i="1"/>
  <c r="I93" i="1"/>
  <c r="H93" i="1"/>
  <c r="G93" i="1"/>
  <c r="F93" i="1"/>
  <c r="E93" i="1"/>
  <c r="D93" i="1"/>
  <c r="C93" i="1"/>
  <c r="A93" i="1"/>
  <c r="H92" i="1"/>
  <c r="G92" i="1"/>
  <c r="F92" i="1"/>
  <c r="E92" i="1"/>
  <c r="D92" i="1"/>
  <c r="C92" i="1"/>
  <c r="A92" i="1"/>
  <c r="K91" i="1"/>
  <c r="J91" i="1"/>
  <c r="H91" i="1"/>
  <c r="G91" i="1"/>
  <c r="F91" i="1"/>
  <c r="E91" i="1"/>
  <c r="D91" i="1"/>
  <c r="C91" i="1"/>
  <c r="A91" i="1"/>
  <c r="K90" i="1"/>
  <c r="H90" i="1"/>
  <c r="G90" i="1"/>
  <c r="F90" i="1"/>
  <c r="E90" i="1"/>
  <c r="D90" i="1"/>
  <c r="C90" i="1"/>
  <c r="A90" i="1"/>
  <c r="K89" i="1"/>
  <c r="J89" i="1"/>
  <c r="H89" i="1"/>
  <c r="F89" i="1"/>
  <c r="E89" i="1"/>
  <c r="D89" i="1"/>
  <c r="C89" i="1"/>
  <c r="A89" i="1"/>
  <c r="K88" i="1"/>
  <c r="H88" i="1"/>
  <c r="G88" i="1"/>
  <c r="F88" i="1"/>
  <c r="E88" i="1"/>
  <c r="D88" i="1"/>
  <c r="C88" i="1"/>
  <c r="A88" i="1"/>
  <c r="K87" i="1"/>
  <c r="H87" i="1"/>
  <c r="G87" i="1"/>
  <c r="F87" i="1"/>
  <c r="E87" i="1"/>
  <c r="D87" i="1"/>
  <c r="C87" i="1"/>
  <c r="A87" i="1"/>
  <c r="H86" i="1"/>
  <c r="G86" i="1"/>
  <c r="F86" i="1"/>
  <c r="E86" i="1"/>
  <c r="D86" i="1"/>
  <c r="C86" i="1"/>
  <c r="A86" i="1"/>
  <c r="K85" i="1"/>
  <c r="H85" i="1"/>
  <c r="G85" i="1"/>
  <c r="F85" i="1"/>
  <c r="E85" i="1"/>
  <c r="D85" i="1"/>
  <c r="C85" i="1"/>
  <c r="A85" i="1"/>
  <c r="H84" i="1"/>
  <c r="G84" i="1"/>
  <c r="F84" i="1"/>
  <c r="E84" i="1"/>
  <c r="D84" i="1"/>
  <c r="C84" i="1"/>
  <c r="A84" i="1"/>
  <c r="K83" i="1"/>
  <c r="H83" i="1"/>
  <c r="F83" i="1"/>
  <c r="E83" i="1"/>
  <c r="D83" i="1"/>
  <c r="C83" i="1"/>
  <c r="A83" i="1"/>
  <c r="H82" i="1"/>
  <c r="G82" i="1"/>
  <c r="F82" i="1"/>
  <c r="E82" i="1"/>
  <c r="D82" i="1"/>
  <c r="C82" i="1"/>
  <c r="A82" i="1"/>
  <c r="H81" i="1"/>
  <c r="G81" i="1"/>
  <c r="F81" i="1"/>
  <c r="E81" i="1"/>
  <c r="D81" i="1"/>
  <c r="C81" i="1"/>
  <c r="A81" i="1"/>
  <c r="H80" i="1"/>
  <c r="G80" i="1"/>
  <c r="F80" i="1"/>
  <c r="E80" i="1"/>
  <c r="D80" i="1"/>
  <c r="C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C75" i="1"/>
  <c r="A75" i="1"/>
  <c r="H74" i="1"/>
  <c r="F74" i="1"/>
  <c r="E74" i="1"/>
  <c r="D74" i="1"/>
  <c r="C74" i="1"/>
  <c r="A74" i="1"/>
  <c r="K73" i="1"/>
  <c r="J73" i="1"/>
  <c r="H73" i="1"/>
  <c r="F73" i="1"/>
  <c r="E73" i="1"/>
  <c r="D73" i="1"/>
  <c r="C73" i="1"/>
  <c r="A73" i="1"/>
  <c r="K72" i="1"/>
  <c r="J72" i="1"/>
  <c r="H72" i="1"/>
  <c r="F72" i="1"/>
  <c r="E72" i="1"/>
  <c r="D72" i="1"/>
  <c r="C72" i="1"/>
  <c r="A72" i="1"/>
  <c r="K71" i="1"/>
  <c r="I71" i="1"/>
  <c r="H71" i="1"/>
  <c r="G71" i="1"/>
  <c r="F71" i="1"/>
  <c r="E71" i="1"/>
  <c r="D71" i="1"/>
  <c r="C71" i="1"/>
  <c r="B71" i="1"/>
  <c r="A71" i="1"/>
  <c r="K70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K68" i="1"/>
  <c r="H68" i="1"/>
  <c r="F68" i="1"/>
  <c r="E68" i="1"/>
  <c r="D68" i="1"/>
  <c r="C68" i="1"/>
  <c r="A68" i="1"/>
  <c r="K67" i="1"/>
  <c r="H67" i="1"/>
  <c r="F67" i="1"/>
  <c r="E67" i="1"/>
  <c r="D67" i="1"/>
  <c r="C67" i="1"/>
  <c r="A67" i="1"/>
  <c r="K66" i="1"/>
  <c r="H66" i="1"/>
  <c r="F66" i="1"/>
  <c r="E66" i="1"/>
  <c r="D66" i="1"/>
  <c r="C66" i="1"/>
  <c r="A66" i="1"/>
  <c r="M65" i="1"/>
  <c r="L65" i="1"/>
  <c r="K65" i="1"/>
  <c r="I65" i="1"/>
  <c r="H65" i="1"/>
  <c r="F65" i="1"/>
  <c r="E65" i="1"/>
  <c r="D65" i="1"/>
  <c r="C65" i="1"/>
  <c r="A65" i="1"/>
  <c r="K64" i="1"/>
  <c r="I64" i="1"/>
  <c r="H64" i="1"/>
  <c r="F64" i="1"/>
  <c r="E64" i="1"/>
  <c r="D64" i="1"/>
  <c r="C64" i="1"/>
  <c r="A64" i="1"/>
  <c r="M63" i="1"/>
  <c r="L63" i="1"/>
  <c r="K63" i="1"/>
  <c r="I63" i="1"/>
  <c r="H63" i="1"/>
  <c r="F63" i="1"/>
  <c r="E63" i="1"/>
  <c r="D63" i="1"/>
  <c r="C63" i="1"/>
  <c r="A63" i="1"/>
  <c r="M62" i="1"/>
  <c r="L62" i="1"/>
  <c r="K62" i="1"/>
  <c r="I62" i="1"/>
  <c r="H62" i="1"/>
  <c r="F62" i="1"/>
  <c r="E62" i="1"/>
  <c r="D62" i="1"/>
  <c r="C62" i="1"/>
  <c r="A62" i="1"/>
  <c r="K61" i="1"/>
  <c r="J61" i="1"/>
  <c r="H61" i="1"/>
  <c r="F61" i="1"/>
  <c r="E61" i="1"/>
  <c r="D61" i="1"/>
  <c r="A61" i="1"/>
  <c r="K60" i="1"/>
  <c r="H60" i="1"/>
  <c r="G60" i="1"/>
  <c r="F60" i="1"/>
  <c r="E60" i="1"/>
  <c r="D60" i="1"/>
  <c r="C60" i="1"/>
  <c r="B60" i="1"/>
  <c r="A60" i="1"/>
  <c r="K59" i="1"/>
  <c r="H59" i="1"/>
  <c r="G59" i="1"/>
  <c r="F59" i="1"/>
  <c r="E59" i="1"/>
  <c r="D59" i="1"/>
  <c r="C59" i="1"/>
  <c r="B59" i="1"/>
  <c r="A59" i="1"/>
  <c r="K58" i="1"/>
  <c r="H58" i="1"/>
  <c r="G58" i="1"/>
  <c r="F58" i="1"/>
  <c r="E58" i="1"/>
  <c r="D58" i="1"/>
  <c r="C58" i="1"/>
  <c r="B58" i="1"/>
  <c r="A58" i="1"/>
  <c r="J57" i="1"/>
  <c r="H57" i="1"/>
  <c r="F57" i="1"/>
  <c r="E57" i="1"/>
  <c r="D57" i="1"/>
  <c r="C57" i="1"/>
  <c r="A57" i="1"/>
  <c r="J56" i="1"/>
  <c r="I56" i="1"/>
  <c r="H56" i="1"/>
  <c r="F56" i="1"/>
  <c r="E56" i="1"/>
  <c r="D56" i="1"/>
  <c r="C56" i="1"/>
  <c r="A56" i="1"/>
  <c r="K55" i="1"/>
  <c r="H55" i="1"/>
  <c r="F55" i="1"/>
  <c r="E55" i="1"/>
  <c r="D55" i="1"/>
  <c r="C55" i="1"/>
  <c r="A55" i="1"/>
  <c r="K54" i="1"/>
  <c r="H54" i="1"/>
  <c r="F54" i="1"/>
  <c r="E54" i="1"/>
  <c r="D54" i="1"/>
  <c r="C54" i="1"/>
  <c r="A54" i="1"/>
  <c r="K53" i="1"/>
  <c r="H53" i="1"/>
  <c r="F53" i="1"/>
  <c r="E53" i="1"/>
  <c r="D53" i="1"/>
  <c r="C53" i="1"/>
  <c r="A53" i="1"/>
  <c r="H52" i="1"/>
  <c r="F52" i="1"/>
  <c r="E52" i="1"/>
  <c r="D52" i="1"/>
  <c r="C52" i="1"/>
  <c r="A52" i="1"/>
  <c r="K51" i="1"/>
  <c r="H51" i="1"/>
  <c r="F51" i="1"/>
  <c r="E51" i="1"/>
  <c r="D51" i="1"/>
  <c r="C51" i="1"/>
  <c r="A51" i="1"/>
  <c r="K50" i="1"/>
  <c r="H50" i="1"/>
  <c r="F50" i="1"/>
  <c r="E50" i="1"/>
  <c r="D50" i="1"/>
  <c r="C50" i="1"/>
  <c r="A50" i="1"/>
  <c r="K49" i="1"/>
  <c r="I49" i="1"/>
  <c r="H49" i="1"/>
  <c r="F49" i="1"/>
  <c r="E49" i="1"/>
  <c r="D49" i="1"/>
  <c r="C49" i="1"/>
  <c r="A49" i="1"/>
  <c r="K48" i="1"/>
  <c r="H48" i="1"/>
  <c r="F48" i="1"/>
  <c r="E48" i="1"/>
  <c r="D48" i="1"/>
  <c r="C48" i="1"/>
  <c r="A48" i="1"/>
  <c r="K47" i="1"/>
  <c r="H47" i="1"/>
  <c r="F47" i="1"/>
  <c r="E47" i="1"/>
  <c r="D47" i="1"/>
  <c r="C47" i="1"/>
  <c r="A47" i="1"/>
  <c r="K46" i="1"/>
  <c r="H46" i="1"/>
  <c r="F46" i="1"/>
  <c r="E46" i="1"/>
  <c r="D46" i="1"/>
  <c r="C46" i="1"/>
  <c r="A46" i="1"/>
  <c r="K45" i="1"/>
  <c r="H45" i="1"/>
  <c r="F45" i="1"/>
  <c r="E45" i="1"/>
  <c r="D45" i="1"/>
  <c r="C45" i="1"/>
  <c r="A45" i="1"/>
  <c r="K44" i="1"/>
  <c r="H44" i="1"/>
  <c r="F44" i="1"/>
  <c r="E44" i="1"/>
  <c r="D44" i="1"/>
  <c r="C44" i="1"/>
  <c r="A44" i="1"/>
  <c r="K43" i="1"/>
  <c r="H43" i="1"/>
  <c r="F43" i="1"/>
  <c r="E43" i="1"/>
  <c r="D43" i="1"/>
  <c r="C43" i="1"/>
  <c r="A43" i="1"/>
  <c r="K42" i="1"/>
  <c r="H42" i="1"/>
  <c r="F42" i="1"/>
  <c r="E42" i="1"/>
  <c r="D42" i="1"/>
  <c r="C42" i="1"/>
  <c r="A42" i="1"/>
  <c r="K41" i="1"/>
  <c r="H41" i="1"/>
  <c r="F41" i="1"/>
  <c r="E41" i="1"/>
  <c r="D41" i="1"/>
  <c r="C41" i="1"/>
  <c r="A41" i="1"/>
  <c r="K40" i="1"/>
  <c r="H40" i="1"/>
  <c r="F40" i="1"/>
  <c r="E40" i="1"/>
  <c r="D40" i="1"/>
  <c r="C40" i="1"/>
  <c r="A40" i="1"/>
  <c r="K39" i="1"/>
  <c r="H39" i="1"/>
  <c r="F39" i="1"/>
  <c r="E39" i="1"/>
  <c r="D39" i="1"/>
  <c r="C39" i="1"/>
  <c r="A39" i="1"/>
  <c r="K38" i="1"/>
  <c r="H38" i="1"/>
  <c r="F38" i="1"/>
  <c r="E38" i="1"/>
  <c r="D38" i="1"/>
  <c r="C38" i="1"/>
  <c r="A38" i="1"/>
  <c r="K37" i="1"/>
  <c r="H37" i="1"/>
  <c r="F37" i="1"/>
  <c r="E37" i="1"/>
  <c r="D37" i="1"/>
  <c r="C37" i="1"/>
  <c r="A37" i="1"/>
  <c r="K36" i="1"/>
  <c r="H36" i="1"/>
  <c r="F36" i="1"/>
  <c r="E36" i="1"/>
  <c r="D36" i="1"/>
  <c r="C36" i="1"/>
  <c r="A36" i="1"/>
  <c r="K35" i="1"/>
  <c r="H35" i="1"/>
  <c r="F35" i="1"/>
  <c r="E35" i="1"/>
  <c r="D35" i="1"/>
  <c r="C35" i="1"/>
  <c r="A35" i="1"/>
  <c r="M34" i="1"/>
  <c r="K34" i="1"/>
  <c r="H34" i="1"/>
  <c r="F34" i="1"/>
  <c r="E34" i="1"/>
  <c r="D34" i="1"/>
  <c r="C34" i="1"/>
  <c r="A34" i="1"/>
  <c r="K33" i="1"/>
  <c r="H33" i="1"/>
  <c r="F33" i="1"/>
  <c r="E33" i="1"/>
  <c r="D33" i="1"/>
  <c r="C33" i="1"/>
  <c r="A33" i="1"/>
  <c r="K32" i="1"/>
  <c r="H32" i="1"/>
  <c r="F32" i="1"/>
  <c r="E32" i="1"/>
  <c r="D32" i="1"/>
  <c r="C32" i="1"/>
  <c r="A32" i="1"/>
  <c r="H31" i="1"/>
  <c r="G31" i="1"/>
  <c r="F31" i="1"/>
  <c r="E31" i="1"/>
  <c r="D31" i="1"/>
  <c r="C31" i="1"/>
  <c r="B31" i="1"/>
  <c r="A31" i="1"/>
  <c r="K30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C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G26" i="1"/>
  <c r="F26" i="1"/>
  <c r="E26" i="1"/>
  <c r="D26" i="1"/>
  <c r="C26" i="1"/>
  <c r="B26" i="1"/>
  <c r="A26" i="1"/>
  <c r="K25" i="1"/>
  <c r="I25" i="1"/>
  <c r="H25" i="1"/>
  <c r="G25" i="1"/>
  <c r="F25" i="1"/>
  <c r="E25" i="1"/>
  <c r="D25" i="1"/>
  <c r="C25" i="1"/>
  <c r="B25" i="1"/>
  <c r="A25" i="1"/>
  <c r="J24" i="1"/>
  <c r="H24" i="1"/>
  <c r="F24" i="1"/>
  <c r="E24" i="1"/>
  <c r="D24" i="1"/>
  <c r="C24" i="1"/>
  <c r="A24" i="1"/>
  <c r="J23" i="1"/>
  <c r="H23" i="1"/>
  <c r="F23" i="1"/>
  <c r="E23" i="1"/>
  <c r="D23" i="1"/>
  <c r="C23" i="1"/>
  <c r="A23" i="1"/>
  <c r="J21" i="1"/>
  <c r="H21" i="1"/>
  <c r="F21" i="1"/>
  <c r="E21" i="1"/>
  <c r="D21" i="1"/>
  <c r="C21" i="1"/>
  <c r="A21" i="1"/>
  <c r="J20" i="1"/>
  <c r="H20" i="1"/>
  <c r="F20" i="1"/>
  <c r="E20" i="1"/>
  <c r="D20" i="1"/>
  <c r="C20" i="1"/>
  <c r="A20" i="1"/>
  <c r="J19" i="1"/>
  <c r="H19" i="1"/>
  <c r="F19" i="1"/>
  <c r="E19" i="1"/>
  <c r="D19" i="1"/>
  <c r="C19" i="1"/>
  <c r="A19" i="1"/>
  <c r="J18" i="1"/>
  <c r="H18" i="1"/>
  <c r="F18" i="1"/>
  <c r="E18" i="1"/>
  <c r="D18" i="1"/>
  <c r="C18" i="1"/>
  <c r="A18" i="1"/>
  <c r="J17" i="1"/>
  <c r="H17" i="1"/>
  <c r="F17" i="1"/>
  <c r="E17" i="1"/>
  <c r="D17" i="1"/>
  <c r="C17" i="1"/>
  <c r="A17" i="1"/>
  <c r="J16" i="1"/>
  <c r="H16" i="1"/>
  <c r="F16" i="1"/>
  <c r="E16" i="1"/>
  <c r="D16" i="1"/>
  <c r="C16" i="1"/>
  <c r="A16" i="1"/>
  <c r="J15" i="1"/>
  <c r="H15" i="1"/>
  <c r="F15" i="1"/>
  <c r="E15" i="1"/>
  <c r="D15" i="1"/>
  <c r="C15" i="1"/>
  <c r="A15" i="1"/>
  <c r="K14" i="1"/>
  <c r="H14" i="1"/>
  <c r="F14" i="1"/>
  <c r="E14" i="1"/>
  <c r="D14" i="1"/>
  <c r="C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F10" i="1"/>
  <c r="E10" i="1"/>
  <c r="D10" i="1"/>
  <c r="C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B8" i="1"/>
  <c r="A8" i="1"/>
  <c r="H7" i="1"/>
  <c r="G7" i="1"/>
  <c r="F7" i="1"/>
  <c r="E7" i="1"/>
  <c r="D7" i="1"/>
  <c r="C7" i="1"/>
  <c r="B7" i="1"/>
  <c r="A7" i="1"/>
  <c r="H6" i="1"/>
  <c r="G6" i="1"/>
  <c r="F6" i="1"/>
  <c r="E6" i="1"/>
  <c r="D6" i="1"/>
  <c r="C6" i="1"/>
  <c r="B6" i="1"/>
  <c r="A6" i="1"/>
  <c r="H5" i="1"/>
  <c r="F5" i="1"/>
  <c r="E5" i="1"/>
  <c r="D5" i="1"/>
  <c r="C5" i="1"/>
  <c r="B5" i="1"/>
  <c r="A5" i="1"/>
  <c r="H4" i="1"/>
  <c r="F4" i="1"/>
  <c r="E4" i="1"/>
  <c r="D4" i="1"/>
  <c r="C4" i="1"/>
  <c r="A4" i="1"/>
  <c r="H3" i="1"/>
  <c r="F3" i="1"/>
  <c r="E3" i="1"/>
  <c r="D3" i="1"/>
  <c r="C3" i="1"/>
  <c r="A3" i="1"/>
  <c r="M2" i="1"/>
  <c r="H2" i="1"/>
  <c r="G2" i="1"/>
  <c r="F2" i="1"/>
  <c r="E2" i="1"/>
  <c r="D2" i="1"/>
  <c r="A2" i="1"/>
  <c r="M1" i="1"/>
  <c r="L1" i="1"/>
  <c r="K1" i="1"/>
  <c r="J1" i="1"/>
  <c r="I1" i="1"/>
  <c r="H1" i="1"/>
  <c r="G1" i="1"/>
  <c r="F1" i="1"/>
  <c r="E1" i="1"/>
  <c r="D1" i="1"/>
  <c r="B1" i="1"/>
  <c r="A1" i="1"/>
</calcChain>
</file>

<file path=xl/sharedStrings.xml><?xml version="1.0" encoding="utf-8"?>
<sst xmlns="http://schemas.openxmlformats.org/spreadsheetml/2006/main" count="35" uniqueCount="21">
  <si>
    <t>ID_Movimiento</t>
  </si>
  <si>
    <t>Date_Time</t>
  </si>
  <si>
    <t>Lote Origen</t>
  </si>
  <si>
    <t>Pileta Origen</t>
  </si>
  <si>
    <t>Lote Destino Original</t>
  </si>
  <si>
    <t>Lote Destino Final</t>
  </si>
  <si>
    <t>Variedad Origen</t>
  </si>
  <si>
    <t>Volumen Trasegado</t>
  </si>
  <si>
    <t>Volumen Destino Original</t>
  </si>
  <si>
    <t>Pileta Destino</t>
  </si>
  <si>
    <t>Variedad Destino Original</t>
  </si>
  <si>
    <t>Volumen Destino Final</t>
  </si>
  <si>
    <t>Variedad Destino Final</t>
  </si>
  <si>
    <t>Observaciones Movimiento</t>
  </si>
  <si>
    <t>Pileta Origen Estado</t>
  </si>
  <si>
    <t>Pileta Destino Estado</t>
  </si>
  <si>
    <t>Copiar Estado Destino</t>
  </si>
  <si>
    <t>Pileta Destino Final Estado</t>
  </si>
  <si>
    <t>Calificacion Origen</t>
  </si>
  <si>
    <t>Calificacion Destino</t>
  </si>
  <si>
    <t>Calificacion Destino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</si>
</sst>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yyyymmmd"/>
    <numFmt numFmtId="166" formatCode="d/m/yyyy\ h:mm:ss"/>
  </numFmts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22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62" sqref="C62"/>
    </sheetView>
  </sheetViews>
  <sheetFormatPr baseColWidth="10" defaultColWidth="12.6640625" defaultRowHeight="15.75" customHeight="1" x14ac:dyDescent="0.25"/>
  <cols>
    <col min="3" max="3" width="17.88671875" bestFit="1" customWidth="1"/>
  </cols>
  <sheetData>
    <row r="1" spans="1:26" x14ac:dyDescent="0.25">
      <c r="A1" s="1" t="str">
        <f ca="1">IFERROR(__xludf.DUMMYFUNCTION("IMPORTRANGE(""https://docs.google.com/spreadsheets/d/1bt2E_4QcWQciAp1CzzDzW71pc87daHAftlcCSx1EX4Q/edit"",""PILETAS LOTES!A1:M"")"),"ID Lote Pileta")</f>
        <v>ID Lote Pileta</v>
      </c>
      <c r="B1" s="1" t="str">
        <f ca="1">IFERROR(__xludf.DUMMYFUNCTION("""COMPUTED_VALUE"""),"Lotes Origen")</f>
        <v>Lotes Origen</v>
      </c>
      <c r="C1" s="1" t="str">
        <f ca="1">IFERROR(__xludf.DUMMYFUNCTION("""COMPUTED_VALUE"""),"DateTime")</f>
        <v>DateTime</v>
      </c>
      <c r="D1" s="1" t="str">
        <f ca="1">IFERROR(__xludf.DUMMYFUNCTION("""COMPUTED_VALUE"""),"Pileta Nro")</f>
        <v>Pileta Nro</v>
      </c>
      <c r="E1" s="1" t="str">
        <f ca="1">IFERROR(__xludf.DUMMYFUNCTION("""COMPUTED_VALUE"""),"Capacidad")</f>
        <v>Capacidad</v>
      </c>
      <c r="F1" s="1" t="str">
        <f ca="1">IFERROR(__xludf.DUMMYFUNCTION("""COMPUTED_VALUE"""),"Variedad")</f>
        <v>Variedad</v>
      </c>
      <c r="G1" s="1" t="str">
        <f ca="1">IFERROR(__xludf.DUMMYFUNCTION("""COMPUTED_VALUE"""),"Cantidad Inicial")</f>
        <v>Cantidad Inicial</v>
      </c>
      <c r="H1" s="1" t="str">
        <f ca="1">IFERROR(__xludf.DUMMYFUNCTION("""COMPUTED_VALUE"""),"Cantidad Actual")</f>
        <v>Cantidad Actual</v>
      </c>
      <c r="I1" s="1" t="str">
        <f ca="1">IFERROR(__xludf.DUMMYFUNCTION("""COMPUTED_VALUE"""),"Observaciones Lote")</f>
        <v>Observaciones Lote</v>
      </c>
      <c r="J1" s="1" t="str">
        <f ca="1">IFERROR(__xludf.DUMMYFUNCTION("""COMPUTED_VALUE"""),"CIU")</f>
        <v>CIU</v>
      </c>
      <c r="K1" s="1" t="str">
        <f ca="1">IFERROR(__xludf.DUMMYFUNCTION("""COMPUTED_VALUE"""),"Estado")</f>
        <v>Estado</v>
      </c>
      <c r="L1" s="1" t="str">
        <f ca="1">IFERROR(__xludf.DUMMYFUNCTION("""COMPUTED_VALUE"""),"Califiacion Vino")</f>
        <v>Califiacion Vino</v>
      </c>
      <c r="M1" s="1" t="str">
        <f ca="1">IFERROR(__xludf.DUMMYFUNCTION("""COMPUTED_VALUE"""),"Color")</f>
        <v>Color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tr">
        <f ca="1">IFERROR(__xludf.DUMMYFUNCTION("""COMPUTED_VALUE"""),"04b35bd0")</f>
        <v>04b35bd0</v>
      </c>
      <c r="B2" s="2"/>
      <c r="C2" s="3">
        <f ca="1">IFERROR(__xludf.DUMMYFUNCTION("""COMPUTED_VALUE"""),45703)</f>
        <v>45703</v>
      </c>
      <c r="D2" s="2">
        <f ca="1">IFERROR(__xludf.DUMMYFUNCTION("""COMPUTED_VALUE"""),2)</f>
        <v>2</v>
      </c>
      <c r="E2" s="2">
        <f ca="1">IFERROR(__xludf.DUMMYFUNCTION("""COMPUTED_VALUE"""),12500)</f>
        <v>12500</v>
      </c>
      <c r="F2" s="2" t="str">
        <f ca="1">IFERROR(__xludf.DUMMYFUNCTION("""COMPUTED_VALUE"""),"Syrah")</f>
        <v>Syrah</v>
      </c>
      <c r="G2" s="2">
        <f ca="1">IFERROR(__xludf.DUMMYFUNCTION("""COMPUTED_VALUE"""),12500)</f>
        <v>12500</v>
      </c>
      <c r="H2" s="2">
        <f ca="1">IFERROR(__xludf.DUMMYFUNCTION("""COMPUTED_VALUE"""),12500)</f>
        <v>12500</v>
      </c>
      <c r="I2" s="2"/>
      <c r="J2" s="2"/>
      <c r="K2" s="2"/>
      <c r="L2" s="2"/>
      <c r="M2" s="2" t="str">
        <f ca="1">IFERROR(__xludf.DUMMYFUNCTION("""COMPUTED_VALUE"""),"Tinto")</f>
        <v>Tinto</v>
      </c>
    </row>
    <row r="3" spans="1:26" x14ac:dyDescent="0.25">
      <c r="A3" s="2" t="str">
        <f ca="1">IFERROR(__xludf.DUMMYFUNCTION("""COMPUTED_VALUE"""),"51d6bbdd")</f>
        <v>51d6bbdd</v>
      </c>
      <c r="B3" s="2"/>
      <c r="C3" s="3">
        <f ca="1">IFERROR(__xludf.DUMMYFUNCTION("""COMPUTED_VALUE"""),45703)</f>
        <v>45703</v>
      </c>
      <c r="D3" s="2">
        <f ca="1">IFERROR(__xludf.DUMMYFUNCTION("""COMPUTED_VALUE"""),3)</f>
        <v>3</v>
      </c>
      <c r="E3" s="2">
        <f ca="1">IFERROR(__xludf.DUMMYFUNCTION("""COMPUTED_VALUE"""),14000)</f>
        <v>14000</v>
      </c>
      <c r="F3" s="2" t="str">
        <f ca="1">IFERROR(__xludf.DUMMYFUNCTION("""COMPUTED_VALUE"""),"Malbec")</f>
        <v>Malbec</v>
      </c>
      <c r="G3" s="2"/>
      <c r="H3" s="2">
        <f ca="1">IFERROR(__xludf.DUMMYFUNCTION("""COMPUTED_VALUE"""),14000)</f>
        <v>14000</v>
      </c>
      <c r="I3" s="2"/>
      <c r="J3" s="2"/>
      <c r="K3" s="2"/>
      <c r="L3" s="2"/>
      <c r="M3" s="2"/>
    </row>
    <row r="4" spans="1:26" x14ac:dyDescent="0.25">
      <c r="A4" s="2" t="str">
        <f ca="1">IFERROR(__xludf.DUMMYFUNCTION("""COMPUTED_VALUE"""),"6cde19b3")</f>
        <v>6cde19b3</v>
      </c>
      <c r="B4" s="2"/>
      <c r="C4" s="3">
        <f ca="1">IFERROR(__xludf.DUMMYFUNCTION("""COMPUTED_VALUE"""),45703)</f>
        <v>45703</v>
      </c>
      <c r="D4" s="2">
        <f ca="1">IFERROR(__xludf.DUMMYFUNCTION("""COMPUTED_VALUE"""),6)</f>
        <v>6</v>
      </c>
      <c r="E4" s="2">
        <f ca="1">IFERROR(__xludf.DUMMYFUNCTION("""COMPUTED_VALUE"""),69750)</f>
        <v>69750</v>
      </c>
      <c r="F4" s="2" t="str">
        <f ca="1">IFERROR(__xludf.DUMMYFUNCTION("""COMPUTED_VALUE"""),"Merlot")</f>
        <v>Merlot</v>
      </c>
      <c r="G4" s="2"/>
      <c r="H4" s="2">
        <f ca="1">IFERROR(__xludf.DUMMYFUNCTION("""COMPUTED_VALUE"""),69750)</f>
        <v>69750</v>
      </c>
      <c r="I4" s="2"/>
      <c r="J4" s="2"/>
      <c r="K4" s="2"/>
      <c r="L4" s="2"/>
      <c r="M4" s="2"/>
    </row>
    <row r="5" spans="1:26" x14ac:dyDescent="0.25">
      <c r="A5" s="2" t="str">
        <f ca="1">IFERROR(__xludf.DUMMYFUNCTION("""COMPUTED_VALUE"""),"348ea8a7")</f>
        <v>348ea8a7</v>
      </c>
      <c r="B5" s="2" t="str">
        <f ca="1">IFERROR(__xludf.DUMMYFUNCTION("""COMPUTED_VALUE"""),"04b35bd0")</f>
        <v>04b35bd0</v>
      </c>
      <c r="C5" s="3">
        <f ca="1">IFERROR(__xludf.DUMMYFUNCTION("""COMPUTED_VALUE"""),45703)</f>
        <v>45703</v>
      </c>
      <c r="D5" s="2">
        <f ca="1">IFERROR(__xludf.DUMMYFUNCTION("""COMPUTED_VALUE"""),7)</f>
        <v>7</v>
      </c>
      <c r="E5" s="2">
        <f ca="1">IFERROR(__xludf.DUMMYFUNCTION("""COMPUTED_VALUE"""),85000)</f>
        <v>85000</v>
      </c>
      <c r="F5" s="2" t="str">
        <f ca="1">IFERROR(__xludf.DUMMYFUNCTION("""COMPUTED_VALUE"""),"Syrah")</f>
        <v>Syrah</v>
      </c>
      <c r="G5" s="2"/>
      <c r="H5" s="2">
        <f ca="1">IFERROR(__xludf.DUMMYFUNCTION("""COMPUTED_VALUE"""),12500)</f>
        <v>12500</v>
      </c>
      <c r="I5" s="2"/>
      <c r="J5" s="2"/>
      <c r="K5" s="2"/>
      <c r="L5" s="2"/>
      <c r="M5" s="2"/>
    </row>
    <row r="6" spans="1:26" x14ac:dyDescent="0.25">
      <c r="A6" s="2" t="str">
        <f ca="1">IFERROR(__xludf.DUMMYFUNCTION("""COMPUTED_VALUE"""),"8c336568")</f>
        <v>8c336568</v>
      </c>
      <c r="B6" s="2" t="str">
        <f ca="1">IFERROR(__xludf.DUMMYFUNCTION("""COMPUTED_VALUE"""),"51d6bbdd, 348ea8a7")</f>
        <v>51d6bbdd, 348ea8a7</v>
      </c>
      <c r="C6" s="3">
        <f ca="1">IFERROR(__xludf.DUMMYFUNCTION("""COMPUTED_VALUE"""),45703)</f>
        <v>45703</v>
      </c>
      <c r="D6" s="2">
        <f ca="1">IFERROR(__xludf.DUMMYFUNCTION("""COMPUTED_VALUE"""),7)</f>
        <v>7</v>
      </c>
      <c r="E6" s="2">
        <f ca="1">IFERROR(__xludf.DUMMYFUNCTION("""COMPUTED_VALUE"""),85000)</f>
        <v>85000</v>
      </c>
      <c r="F6" s="2" t="str">
        <f ca="1">IFERROR(__xludf.DUMMYFUNCTION("""COMPUTED_VALUE"""),"Malbec Syrah")</f>
        <v>Malbec Syrah</v>
      </c>
      <c r="G6" s="2">
        <f ca="1">IFERROR(__xludf.DUMMYFUNCTION("""COMPUTED_VALUE"""),12500)</f>
        <v>12500</v>
      </c>
      <c r="H6" s="2">
        <f ca="1">IFERROR(__xludf.DUMMYFUNCTION("""COMPUTED_VALUE"""),26500)</f>
        <v>26500</v>
      </c>
      <c r="I6" s="2"/>
      <c r="J6" s="2"/>
      <c r="K6" s="2"/>
      <c r="L6" s="2"/>
      <c r="M6" s="2"/>
    </row>
    <row r="7" spans="1:26" x14ac:dyDescent="0.25">
      <c r="A7" s="2" t="str">
        <f ca="1">IFERROR(__xludf.DUMMYFUNCTION("""COMPUTED_VALUE"""),"a1c20159")</f>
        <v>a1c20159</v>
      </c>
      <c r="B7" s="2" t="str">
        <f ca="1">IFERROR(__xludf.DUMMYFUNCTION("""COMPUTED_VALUE"""),"8c336568")</f>
        <v>8c336568</v>
      </c>
      <c r="C7" s="3">
        <f ca="1">IFERROR(__xludf.DUMMYFUNCTION("""COMPUTED_VALUE"""),45704)</f>
        <v>45704</v>
      </c>
      <c r="D7" s="2">
        <f ca="1">IFERROR(__xludf.DUMMYFUNCTION("""COMPUTED_VALUE"""),5)</f>
        <v>5</v>
      </c>
      <c r="E7" s="2">
        <f ca="1">IFERROR(__xludf.DUMMYFUNCTION("""COMPUTED_VALUE"""),52000)</f>
        <v>52000</v>
      </c>
      <c r="F7" s="2" t="str">
        <f ca="1">IFERROR(__xludf.DUMMYFUNCTION("""COMPUTED_VALUE"""),"Malbec Syrah")</f>
        <v>Malbec Syrah</v>
      </c>
      <c r="G7" s="2">
        <f ca="1">IFERROR(__xludf.DUMMYFUNCTION("""COMPUTED_VALUE"""),0)</f>
        <v>0</v>
      </c>
      <c r="H7" s="2">
        <f ca="1">IFERROR(__xludf.DUMMYFUNCTION("""COMPUTED_VALUE"""),26500)</f>
        <v>26500</v>
      </c>
      <c r="I7" s="2"/>
      <c r="J7" s="2"/>
      <c r="K7" s="2"/>
      <c r="L7" s="2"/>
      <c r="M7" s="2"/>
    </row>
    <row r="8" spans="1:26" x14ac:dyDescent="0.25">
      <c r="A8" s="2" t="str">
        <f ca="1">IFERROR(__xludf.DUMMYFUNCTION("""COMPUTED_VALUE"""),"c63f7bed")</f>
        <v>c63f7bed</v>
      </c>
      <c r="B8" s="2" t="str">
        <f ca="1">IFERROR(__xludf.DUMMYFUNCTION("""COMPUTED_VALUE"""),"a1c20159")</f>
        <v>a1c20159</v>
      </c>
      <c r="C8" s="3">
        <f ca="1">IFERROR(__xludf.DUMMYFUNCTION("""COMPUTED_VALUE"""),45704.9376041666)</f>
        <v>45704.937604166596</v>
      </c>
      <c r="D8" s="2">
        <f ca="1">IFERROR(__xludf.DUMMYFUNCTION("""COMPUTED_VALUE"""),79)</f>
        <v>79</v>
      </c>
      <c r="E8" s="2">
        <f ca="1">IFERROR(__xludf.DUMMYFUNCTION("""COMPUTED_VALUE"""),26000)</f>
        <v>26000</v>
      </c>
      <c r="F8" s="2" t="str">
        <f ca="1">IFERROR(__xludf.DUMMYFUNCTION("""COMPUTED_VALUE"""),"Malbec Syrah")</f>
        <v>Malbec Syrah</v>
      </c>
      <c r="G8" s="2">
        <f ca="1">IFERROR(__xludf.DUMMYFUNCTION("""COMPUTED_VALUE"""),0)</f>
        <v>0</v>
      </c>
      <c r="H8" s="2">
        <f ca="1">IFERROR(__xludf.DUMMYFUNCTION("""COMPUTED_VALUE"""),26000)</f>
        <v>26000</v>
      </c>
      <c r="I8" s="2"/>
      <c r="J8" s="2"/>
      <c r="K8" s="2"/>
      <c r="L8" s="2"/>
      <c r="M8" s="2"/>
    </row>
    <row r="9" spans="1:26" x14ac:dyDescent="0.25">
      <c r="A9" s="2" t="str">
        <f ca="1">IFERROR(__xludf.DUMMYFUNCTION("""COMPUTED_VALUE"""),"d13652cf")</f>
        <v>d13652cf</v>
      </c>
      <c r="B9" s="2" t="str">
        <f ca="1">IFERROR(__xludf.DUMMYFUNCTION("""COMPUTED_VALUE"""),"6cde19b3")</f>
        <v>6cde19b3</v>
      </c>
      <c r="C9" s="3">
        <f ca="1">IFERROR(__xludf.DUMMYFUNCTION("""COMPUTED_VALUE"""),45704.9473611111)</f>
        <v>45704.947361111103</v>
      </c>
      <c r="D9" s="2">
        <f ca="1">IFERROR(__xludf.DUMMYFUNCTION("""COMPUTED_VALUE"""),30)</f>
        <v>30</v>
      </c>
      <c r="E9" s="2">
        <f ca="1">IFERROR(__xludf.DUMMYFUNCTION("""COMPUTED_VALUE"""),38800)</f>
        <v>38800</v>
      </c>
      <c r="F9" s="2" t="str">
        <f ca="1">IFERROR(__xludf.DUMMYFUNCTION("""COMPUTED_VALUE"""),"Merlot")</f>
        <v>Merlot</v>
      </c>
      <c r="G9" s="2">
        <f ca="1">IFERROR(__xludf.DUMMYFUNCTION("""COMPUTED_VALUE"""),0)</f>
        <v>0</v>
      </c>
      <c r="H9" s="2">
        <f ca="1">IFERROR(__xludf.DUMMYFUNCTION("""COMPUTED_VALUE"""),37750)</f>
        <v>37750</v>
      </c>
      <c r="I9" s="2"/>
      <c r="J9" s="2"/>
      <c r="K9" s="2"/>
      <c r="L9" s="2"/>
      <c r="M9" s="2"/>
    </row>
    <row r="10" spans="1:26" x14ac:dyDescent="0.25">
      <c r="A10" s="2" t="str">
        <f ca="1">IFERROR(__xludf.DUMMYFUNCTION("""COMPUTED_VALUE"""),"b27a5ea7")</f>
        <v>b27a5ea7</v>
      </c>
      <c r="B10" s="2"/>
      <c r="C10" s="3">
        <f ca="1">IFERROR(__xludf.DUMMYFUNCTION("""COMPUTED_VALUE"""),45704.9507986111)</f>
        <v>45704.950798611098</v>
      </c>
      <c r="D10" s="2">
        <f ca="1">IFERROR(__xludf.DUMMYFUNCTION("""COMPUTED_VALUE"""),1)</f>
        <v>1</v>
      </c>
      <c r="E10" s="2">
        <f ca="1">IFERROR(__xludf.DUMMYFUNCTION("""COMPUTED_VALUE"""),107500)</f>
        <v>107500</v>
      </c>
      <c r="F10" s="2" t="str">
        <f ca="1">IFERROR(__xludf.DUMMYFUNCTION("""COMPUTED_VALUE"""),"Ajuste Volumen")</f>
        <v>Ajuste Volumen</v>
      </c>
      <c r="G10" s="2"/>
      <c r="H10" s="2">
        <f ca="1">IFERROR(__xludf.DUMMYFUNCTION("""COMPUTED_VALUE"""),107500)</f>
        <v>107500</v>
      </c>
      <c r="I10" s="2"/>
      <c r="J10" s="2"/>
      <c r="K10" s="2"/>
      <c r="L10" s="2"/>
      <c r="M10" s="2"/>
    </row>
    <row r="11" spans="1:26" x14ac:dyDescent="0.25">
      <c r="A11" s="2" t="str">
        <f ca="1">IFERROR(__xludf.DUMMYFUNCTION("""COMPUTED_VALUE"""),"58b123c6")</f>
        <v>58b123c6</v>
      </c>
      <c r="B11" s="2" t="str">
        <f ca="1">IFERROR(__xludf.DUMMYFUNCTION("""COMPUTED_VALUE"""),"6cde19b3")</f>
        <v>6cde19b3</v>
      </c>
      <c r="C11" s="3">
        <f ca="1">IFERROR(__xludf.DUMMYFUNCTION("""COMPUTED_VALUE"""),45704.9674305555)</f>
        <v>45704.967430555502</v>
      </c>
      <c r="D11" s="2">
        <f ca="1">IFERROR(__xludf.DUMMYFUNCTION("""COMPUTED_VALUE"""),11)</f>
        <v>11</v>
      </c>
      <c r="E11" s="2">
        <f ca="1">IFERROR(__xludf.DUMMYFUNCTION("""COMPUTED_VALUE"""),36000)</f>
        <v>36000</v>
      </c>
      <c r="F11" s="2" t="str">
        <f ca="1">IFERROR(__xludf.DUMMYFUNCTION("""COMPUTED_VALUE"""),"Merlot")</f>
        <v>Merlot</v>
      </c>
      <c r="G11" s="2">
        <f ca="1">IFERROR(__xludf.DUMMYFUNCTION("""COMPUTED_VALUE"""),0)</f>
        <v>0</v>
      </c>
      <c r="H11" s="2">
        <f ca="1">IFERROR(__xludf.DUMMYFUNCTION("""COMPUTED_VALUE"""),32000)</f>
        <v>32000</v>
      </c>
      <c r="I11" s="2"/>
      <c r="J11" s="2"/>
      <c r="K11" s="2"/>
      <c r="L11" s="2"/>
      <c r="M11" s="2"/>
    </row>
    <row r="12" spans="1:26" x14ac:dyDescent="0.25">
      <c r="A12" s="2" t="str">
        <f ca="1">IFERROR(__xludf.DUMMYFUNCTION("""COMPUTED_VALUE"""),"53f98d96")</f>
        <v>53f98d96</v>
      </c>
      <c r="B12" s="2" t="str">
        <f ca="1">IFERROR(__xludf.DUMMYFUNCTION("""COMPUTED_VALUE"""),"a1c20159, 58b123c6")</f>
        <v>a1c20159, 58b123c6</v>
      </c>
      <c r="C12" s="3">
        <f ca="1">IFERROR(__xludf.DUMMYFUNCTION("""COMPUTED_VALUE"""),45704.9688310185)</f>
        <v>45704.968831018501</v>
      </c>
      <c r="D12" s="2">
        <f ca="1">IFERROR(__xludf.DUMMYFUNCTION("""COMPUTED_VALUE"""),11)</f>
        <v>11</v>
      </c>
      <c r="E12" s="2">
        <f ca="1">IFERROR(__xludf.DUMMYFUNCTION("""COMPUTED_VALUE"""),36000)</f>
        <v>36000</v>
      </c>
      <c r="F12" s="2" t="str">
        <f ca="1">IFERROR(__xludf.DUMMYFUNCTION("""COMPUTED_VALUE"""),"Merlot")</f>
        <v>Merlot</v>
      </c>
      <c r="G12" s="2">
        <f ca="1">IFERROR(__xludf.DUMMYFUNCTION("""COMPUTED_VALUE"""),32000)</f>
        <v>32000</v>
      </c>
      <c r="H12" s="2">
        <f ca="1">IFERROR(__xludf.DUMMYFUNCTION("""COMPUTED_VALUE"""),32500)</f>
        <v>32500</v>
      </c>
      <c r="I12" s="2"/>
      <c r="J12" s="2"/>
      <c r="K12" s="2"/>
      <c r="L12" s="2"/>
      <c r="M12" s="2"/>
    </row>
    <row r="13" spans="1:26" x14ac:dyDescent="0.25">
      <c r="A13" s="2" t="str">
        <f ca="1">IFERROR(__xludf.DUMMYFUNCTION("""COMPUTED_VALUE"""),"ce475c91")</f>
        <v>ce475c91</v>
      </c>
      <c r="B13" s="2" t="str">
        <f ca="1">IFERROR(__xludf.DUMMYFUNCTION("""COMPUTED_VALUE"""),"b27a5ea7, d13652cf")</f>
        <v>b27a5ea7, d13652cf</v>
      </c>
      <c r="C13" s="3">
        <f ca="1">IFERROR(__xludf.DUMMYFUNCTION("""COMPUTED_VALUE"""),45704.9699421296)</f>
        <v>45704.969942129603</v>
      </c>
      <c r="D13" s="2">
        <f ca="1">IFERROR(__xludf.DUMMYFUNCTION("""COMPUTED_VALUE"""),30)</f>
        <v>30</v>
      </c>
      <c r="E13" s="2">
        <f ca="1">IFERROR(__xludf.DUMMYFUNCTION("""COMPUTED_VALUE"""),38800)</f>
        <v>38800</v>
      </c>
      <c r="F13" s="2" t="str">
        <f ca="1">IFERROR(__xludf.DUMMYFUNCTION("""COMPUTED_VALUE"""),"Ajuste Volumen")</f>
        <v>Ajuste Volumen</v>
      </c>
      <c r="G13" s="2">
        <f ca="1">IFERROR(__xludf.DUMMYFUNCTION("""COMPUTED_VALUE"""),37750)</f>
        <v>37750</v>
      </c>
      <c r="H13" s="2">
        <f ca="1">IFERROR(__xludf.DUMMYFUNCTION("""COMPUTED_VALUE"""),37800)</f>
        <v>37800</v>
      </c>
      <c r="I13" s="2"/>
      <c r="J13" s="2"/>
      <c r="K13" s="2"/>
      <c r="L13" s="2"/>
      <c r="M13" s="2"/>
    </row>
    <row r="14" spans="1:26" x14ac:dyDescent="0.25">
      <c r="A14" s="2" t="str">
        <f ca="1">IFERROR(__xludf.DUMMYFUNCTION("""COMPUTED_VALUE"""),"cedc0dc0")</f>
        <v>cedc0dc0</v>
      </c>
      <c r="B14" s="2"/>
      <c r="C14" s="3">
        <f ca="1">IFERROR(__xludf.DUMMYFUNCTION("""COMPUTED_VALUE"""),45705.5333680555)</f>
        <v>45705.533368055498</v>
      </c>
      <c r="D14" s="2">
        <f ca="1">IFERROR(__xludf.DUMMYFUNCTION("""COMPUTED_VALUE"""),77)</f>
        <v>77</v>
      </c>
      <c r="E14" s="2">
        <f ca="1">IFERROR(__xludf.DUMMYFUNCTION("""COMPUTED_VALUE"""),26000)</f>
        <v>26000</v>
      </c>
      <c r="F14" s="2" t="str">
        <f ca="1">IFERROR(__xludf.DUMMYFUNCTION("""COMPUTED_VALUE"""),"Chardonnay")</f>
        <v>Chardonnay</v>
      </c>
      <c r="G14" s="2"/>
      <c r="H14" s="2">
        <f ca="1">IFERROR(__xludf.DUMMYFUNCTION("""COMPUTED_VALUE"""),25000)</f>
        <v>25000</v>
      </c>
      <c r="I14" s="2"/>
      <c r="J14" s="2"/>
      <c r="K14" s="2" t="str">
        <f ca="1">IFERROR(__xludf.DUMMYFUNCTION("""COMPUTED_VALUE"""),"Fermentando")</f>
        <v>Fermentando</v>
      </c>
      <c r="L14" s="2"/>
      <c r="M14" s="2"/>
    </row>
    <row r="15" spans="1:26" x14ac:dyDescent="0.25">
      <c r="A15" s="2" t="str">
        <f ca="1">IFERROR(__xludf.DUMMYFUNCTION("""COMPUTED_VALUE"""),"868560b2")</f>
        <v>868560b2</v>
      </c>
      <c r="B15" s="2"/>
      <c r="C15" s="3">
        <f ca="1">IFERROR(__xludf.DUMMYFUNCTION("""COMPUTED_VALUE"""),45705.5338541666)</f>
        <v>45705.533854166599</v>
      </c>
      <c r="D15" s="2">
        <f ca="1">IFERROR(__xludf.DUMMYFUNCTION("""COMPUTED_VALUE"""),80)</f>
        <v>80</v>
      </c>
      <c r="E15" s="2">
        <f ca="1">IFERROR(__xludf.DUMMYFUNCTION("""COMPUTED_VALUE"""),26100)</f>
        <v>26100</v>
      </c>
      <c r="F15" s="2" t="str">
        <f ca="1">IFERROR(__xludf.DUMMYFUNCTION("""COMPUTED_VALUE"""),"Aspirant Ferm 25")</f>
        <v>Aspirant Ferm 25</v>
      </c>
      <c r="G15" s="2"/>
      <c r="H15" s="2">
        <f ca="1">IFERROR(__xludf.DUMMYFUNCTION("""COMPUTED_VALUE"""),12000)</f>
        <v>12000</v>
      </c>
      <c r="I15" s="2"/>
      <c r="J15" s="2" t="str">
        <f ca="1">IFERROR(__xludf.DUMMYFUNCTION("""COMPUTED_VALUE"""),"5765 , 5766")</f>
        <v>5765 , 5766</v>
      </c>
      <c r="K15" s="2"/>
      <c r="L15" s="2"/>
      <c r="M15" s="2"/>
    </row>
    <row r="16" spans="1:26" x14ac:dyDescent="0.25">
      <c r="A16" s="2" t="str">
        <f ca="1">IFERROR(__xludf.DUMMYFUNCTION("""COMPUTED_VALUE"""),"5eb33d17")</f>
        <v>5eb33d17</v>
      </c>
      <c r="B16" s="2"/>
      <c r="C16" s="3">
        <f ca="1">IFERROR(__xludf.DUMMYFUNCTION("""COMPUTED_VALUE"""),45705.5342129629)</f>
        <v>45705.534212962899</v>
      </c>
      <c r="D16" s="2">
        <f ca="1">IFERROR(__xludf.DUMMYFUNCTION("""COMPUTED_VALUE"""),81)</f>
        <v>81</v>
      </c>
      <c r="E16" s="2">
        <f ca="1">IFERROR(__xludf.DUMMYFUNCTION("""COMPUTED_VALUE"""),26500)</f>
        <v>26500</v>
      </c>
      <c r="F16" s="2" t="str">
        <f ca="1">IFERROR(__xludf.DUMMYFUNCTION("""COMPUTED_VALUE"""),"Syrah Ferm 25")</f>
        <v>Syrah Ferm 25</v>
      </c>
      <c r="G16" s="2"/>
      <c r="H16" s="2">
        <f ca="1">IFERROR(__xludf.DUMMYFUNCTION("""COMPUTED_VALUE"""),8000)</f>
        <v>8000</v>
      </c>
      <c r="I16" s="2"/>
      <c r="J16" s="2">
        <f ca="1">IFERROR(__xludf.DUMMYFUNCTION("""COMPUTED_VALUE"""),5790)</f>
        <v>5790</v>
      </c>
      <c r="K16" s="2"/>
      <c r="L16" s="2"/>
      <c r="M16" s="2"/>
    </row>
    <row r="17" spans="1:13" x14ac:dyDescent="0.25">
      <c r="A17" s="2" t="str">
        <f ca="1">IFERROR(__xludf.DUMMYFUNCTION("""COMPUTED_VALUE"""),"7c1795fa")</f>
        <v>7c1795fa</v>
      </c>
      <c r="B17" s="2"/>
      <c r="C17" s="3">
        <f ca="1">IFERROR(__xludf.DUMMYFUNCTION("""COMPUTED_VALUE"""),45705.5345254629)</f>
        <v>45705.534525462899</v>
      </c>
      <c r="D17" s="2">
        <f ca="1">IFERROR(__xludf.DUMMYFUNCTION("""COMPUTED_VALUE"""),82)</f>
        <v>82</v>
      </c>
      <c r="E17" s="2">
        <f ca="1">IFERROR(__xludf.DUMMYFUNCTION("""COMPUTED_VALUE"""),42600)</f>
        <v>42600</v>
      </c>
      <c r="F17" s="2" t="str">
        <f ca="1">IFERROR(__xludf.DUMMYFUNCTION("""COMPUTED_VALUE"""),"Merlot Ferm 25")</f>
        <v>Merlot Ferm 25</v>
      </c>
      <c r="G17" s="2"/>
      <c r="H17" s="2">
        <f ca="1">IFERROR(__xludf.DUMMYFUNCTION("""COMPUTED_VALUE"""),20000)</f>
        <v>20000</v>
      </c>
      <c r="I17" s="2"/>
      <c r="J17" s="2" t="str">
        <f ca="1">IFERROR(__xludf.DUMMYFUNCTION("""COMPUTED_VALUE"""),"5780 , 5782 , 5783")</f>
        <v>5780 , 5782 , 5783</v>
      </c>
      <c r="K17" s="2"/>
      <c r="L17" s="2"/>
      <c r="M17" s="2"/>
    </row>
    <row r="18" spans="1:13" x14ac:dyDescent="0.25">
      <c r="A18" s="2" t="str">
        <f ca="1">IFERROR(__xludf.DUMMYFUNCTION("""COMPUTED_VALUE"""),"7366c02e")</f>
        <v>7366c02e</v>
      </c>
      <c r="B18" s="2"/>
      <c r="C18" s="3">
        <f ca="1">IFERROR(__xludf.DUMMYFUNCTION("""COMPUTED_VALUE"""),45705.5351388888)</f>
        <v>45705.535138888801</v>
      </c>
      <c r="D18" s="2">
        <f ca="1">IFERROR(__xludf.DUMMYFUNCTION("""COMPUTED_VALUE"""),65)</f>
        <v>65</v>
      </c>
      <c r="E18" s="2">
        <f ca="1">IFERROR(__xludf.DUMMYFUNCTION("""COMPUTED_VALUE"""),35500)</f>
        <v>35500</v>
      </c>
      <c r="F18" s="2" t="str">
        <f ca="1">IFERROR(__xludf.DUMMYFUNCTION("""COMPUTED_VALUE"""),"Merlot Ferm 25")</f>
        <v>Merlot Ferm 25</v>
      </c>
      <c r="G18" s="2"/>
      <c r="H18" s="2">
        <f ca="1">IFERROR(__xludf.DUMMYFUNCTION("""COMPUTED_VALUE"""),15000)</f>
        <v>15000</v>
      </c>
      <c r="I18" s="2"/>
      <c r="J18" s="2" t="str">
        <f ca="1">IFERROR(__xludf.DUMMYFUNCTION("""COMPUTED_VALUE"""),"5784 , 5785 , 5786 , 5788")</f>
        <v>5784 , 5785 , 5786 , 5788</v>
      </c>
      <c r="K18" s="2"/>
      <c r="L18" s="2"/>
      <c r="M18" s="2"/>
    </row>
    <row r="19" spans="1:13" x14ac:dyDescent="0.25">
      <c r="A19" s="2" t="str">
        <f ca="1">IFERROR(__xludf.DUMMYFUNCTION("""COMPUTED_VALUE"""),"0632409f")</f>
        <v>0632409f</v>
      </c>
      <c r="B19" s="2"/>
      <c r="C19" s="3">
        <f ca="1">IFERROR(__xludf.DUMMYFUNCTION("""COMPUTED_VALUE"""),45705.535474537)</f>
        <v>45705.535474536999</v>
      </c>
      <c r="D19" s="2">
        <f ca="1">IFERROR(__xludf.DUMMYFUNCTION("""COMPUTED_VALUE"""),83)</f>
        <v>83</v>
      </c>
      <c r="E19" s="2">
        <f ca="1">IFERROR(__xludf.DUMMYFUNCTION("""COMPUTED_VALUE"""),81500)</f>
        <v>81500</v>
      </c>
      <c r="F19" s="2" t="str">
        <f ca="1">IFERROR(__xludf.DUMMYFUNCTION("""COMPUTED_VALUE"""),"Malbec Ferm 25")</f>
        <v>Malbec Ferm 25</v>
      </c>
      <c r="G19" s="2"/>
      <c r="H19" s="2">
        <f ca="1">IFERROR(__xludf.DUMMYFUNCTION("""COMPUTED_VALUE"""),30000)</f>
        <v>30000</v>
      </c>
      <c r="I19" s="2"/>
      <c r="J19" s="2" t="str">
        <f ca="1">IFERROR(__xludf.DUMMYFUNCTION("""COMPUTED_VALUE"""),"5770 , 5772 , 5774 , 5775 , 5777 , 5778")</f>
        <v>5770 , 5772 , 5774 , 5775 , 5777 , 5778</v>
      </c>
      <c r="K19" s="2"/>
      <c r="L19" s="2"/>
      <c r="M19" s="2"/>
    </row>
    <row r="20" spans="1:13" x14ac:dyDescent="0.25">
      <c r="A20" s="2" t="str">
        <f ca="1">IFERROR(__xludf.DUMMYFUNCTION("""COMPUTED_VALUE"""),"24b66da0")</f>
        <v>24b66da0</v>
      </c>
      <c r="B20" s="2"/>
      <c r="C20" s="3">
        <f ca="1">IFERROR(__xludf.DUMMYFUNCTION("""COMPUTED_VALUE"""),45705.535787037)</f>
        <v>45705.535787036999</v>
      </c>
      <c r="D20" s="2">
        <f ca="1">IFERROR(__xludf.DUMMYFUNCTION("""COMPUTED_VALUE"""),84)</f>
        <v>84</v>
      </c>
      <c r="E20" s="2">
        <f ca="1">IFERROR(__xludf.DUMMYFUNCTION("""COMPUTED_VALUE"""),83000)</f>
        <v>83000</v>
      </c>
      <c r="F20" s="2" t="str">
        <f ca="1">IFERROR(__xludf.DUMMYFUNCTION("""COMPUTED_VALUE"""),"Aspirant Ferm 25")</f>
        <v>Aspirant Ferm 25</v>
      </c>
      <c r="G20" s="2"/>
      <c r="H20" s="2">
        <f ca="1">IFERROR(__xludf.DUMMYFUNCTION("""COMPUTED_VALUE"""),30000)</f>
        <v>30000</v>
      </c>
      <c r="I20" s="2"/>
      <c r="J20" s="2" t="str">
        <f ca="1">IFERROR(__xludf.DUMMYFUNCTION("""COMPUTED_VALUE"""),"5761 , 5762 , 5763 , 5764")</f>
        <v>5761 , 5762 , 5763 , 5764</v>
      </c>
      <c r="K20" s="2"/>
      <c r="L20" s="2"/>
      <c r="M20" s="2"/>
    </row>
    <row r="21" spans="1:13" x14ac:dyDescent="0.25">
      <c r="A21" s="2" t="str">
        <f ca="1">IFERROR(__xludf.DUMMYFUNCTION("""COMPUTED_VALUE"""),"e323890c")</f>
        <v>e323890c</v>
      </c>
      <c r="B21" s="2"/>
      <c r="C21" s="3">
        <f ca="1">IFERROR(__xludf.DUMMYFUNCTION("""COMPUTED_VALUE"""),45705.5361805555)</f>
        <v>45705.5361805555</v>
      </c>
      <c r="D21" s="2">
        <f ca="1">IFERROR(__xludf.DUMMYFUNCTION("""COMPUTED_VALUE"""),85)</f>
        <v>85</v>
      </c>
      <c r="E21" s="2">
        <f ca="1">IFERROR(__xludf.DUMMYFUNCTION("""COMPUTED_VALUE"""),84000)</f>
        <v>84000</v>
      </c>
      <c r="F21" s="2" t="str">
        <f ca="1">IFERROR(__xludf.DUMMYFUNCTION("""COMPUTED_VALUE"""),"Aspirant Anccelota Ferm")</f>
        <v>Aspirant Anccelota Ferm</v>
      </c>
      <c r="G21" s="2"/>
      <c r="H21" s="2">
        <f ca="1">IFERROR(__xludf.DUMMYFUNCTION("""COMPUTED_VALUE"""),40000)</f>
        <v>40000</v>
      </c>
      <c r="I21" s="2"/>
      <c r="J21" s="2" t="str">
        <f ca="1">IFERROR(__xludf.DUMMYFUNCTION("""COMPUTED_VALUE"""),"5767 , 5768 , 5769 , 5771 , 5773 , 5776 , 5779 , 5781")</f>
        <v>5767 , 5768 , 5769 , 5771 , 5773 , 5776 , 5779 , 5781</v>
      </c>
      <c r="K21" s="2"/>
      <c r="L21" s="2"/>
      <c r="M21" s="2"/>
    </row>
    <row r="22" spans="1:1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 t="str">
        <f ca="1">IFERROR(__xludf.DUMMYFUNCTION("""COMPUTED_VALUE"""),"c76dfce1")</f>
        <v>c76dfce1</v>
      </c>
      <c r="B23" s="2"/>
      <c r="C23" s="3">
        <f ca="1">IFERROR(__xludf.DUMMYFUNCTION("""COMPUTED_VALUE"""),45691.8265277777)</f>
        <v>45691.826527777703</v>
      </c>
      <c r="D23" s="2">
        <f ca="1">IFERROR(__xludf.DUMMYFUNCTION("""COMPUTED_VALUE"""),86)</f>
        <v>86</v>
      </c>
      <c r="E23" s="2">
        <f ca="1">IFERROR(__xludf.DUMMYFUNCTION("""COMPUTED_VALUE"""),88000)</f>
        <v>88000</v>
      </c>
      <c r="F23" s="2" t="str">
        <f ca="1">IFERROR(__xludf.DUMMYFUNCTION("""COMPUTED_VALUE"""),"Aspirant")</f>
        <v>Aspirant</v>
      </c>
      <c r="G23" s="2"/>
      <c r="H23" s="2">
        <f ca="1">IFERROR(__xludf.DUMMYFUNCTION("""COMPUTED_VALUE"""),42000)</f>
        <v>42000</v>
      </c>
      <c r="I23" s="2"/>
      <c r="J23" s="2" t="str">
        <f ca="1">IFERROR(__xludf.DUMMYFUNCTION("""COMPUTED_VALUE"""),"5760 , 5756 , 5757 , 5758 , 5759")</f>
        <v>5760 , 5756 , 5757 , 5758 , 5759</v>
      </c>
      <c r="K23" s="2"/>
      <c r="L23" s="2"/>
      <c r="M23" s="2"/>
    </row>
    <row r="24" spans="1:13" x14ac:dyDescent="0.25">
      <c r="A24" s="2" t="str">
        <f ca="1">IFERROR(__xludf.DUMMYFUNCTION("""COMPUTED_VALUE"""),"f6f9d651")</f>
        <v>f6f9d651</v>
      </c>
      <c r="B24" s="2"/>
      <c r="C24" s="3">
        <f ca="1">IFERROR(__xludf.DUMMYFUNCTION("""COMPUTED_VALUE"""),45708.7117824074)</f>
        <v>45708.711782407401</v>
      </c>
      <c r="D24" s="2">
        <f ca="1">IFERROR(__xludf.DUMMYFUNCTION("""COMPUTED_VALUE"""),88)</f>
        <v>88</v>
      </c>
      <c r="E24" s="2">
        <f ca="1">IFERROR(__xludf.DUMMYFUNCTION("""COMPUTED_VALUE"""),78900)</f>
        <v>78900</v>
      </c>
      <c r="F24" s="2" t="str">
        <f ca="1">IFERROR(__xludf.DUMMYFUNCTION("""COMPUTED_VALUE"""),"Merlot")</f>
        <v>Merlot</v>
      </c>
      <c r="G24" s="2"/>
      <c r="H24" s="2">
        <f ca="1">IFERROR(__xludf.DUMMYFUNCTION("""COMPUTED_VALUE"""),28000)</f>
        <v>28000</v>
      </c>
      <c r="I24" s="2"/>
      <c r="J24" s="2" t="str">
        <f ca="1">IFERROR(__xludf.DUMMYFUNCTION("""COMPUTED_VALUE"""),"5792 , 5796 , 5797 , 5800")</f>
        <v>5792 , 5796 , 5797 , 5800</v>
      </c>
      <c r="K24" s="2"/>
      <c r="L24" s="2"/>
      <c r="M24" s="2"/>
    </row>
    <row r="25" spans="1:13" x14ac:dyDescent="0.25">
      <c r="A25" s="2" t="str">
        <f ca="1">IFERROR(__xludf.DUMMYFUNCTION("""COMPUTED_VALUE"""),"0835b42b")</f>
        <v>0835b42b</v>
      </c>
      <c r="B25" s="2" t="str">
        <f ca="1">IFERROR(__xludf.DUMMYFUNCTION("""COMPUTED_VALUE"""),"c76dfce1")</f>
        <v>c76dfce1</v>
      </c>
      <c r="C25" s="3">
        <f ca="1">IFERROR(__xludf.DUMMYFUNCTION("""COMPUTED_VALUE"""),45708.7163657407)</f>
        <v>45708.7163657407</v>
      </c>
      <c r="D25" s="2">
        <f ca="1">IFERROR(__xludf.DUMMYFUNCTION("""COMPUTED_VALUE"""),102)</f>
        <v>102</v>
      </c>
      <c r="E25" s="2">
        <f ca="1">IFERROR(__xludf.DUMMYFUNCTION("""COMPUTED_VALUE"""),31000)</f>
        <v>31000</v>
      </c>
      <c r="F25" s="2" t="str">
        <f ca="1">IFERROR(__xludf.DUMMYFUNCTION("""COMPUTED_VALUE"""),"Aspirant")</f>
        <v>Aspirant</v>
      </c>
      <c r="G25" s="2">
        <f ca="1">IFERROR(__xludf.DUMMYFUNCTION("""COMPUTED_VALUE"""),0)</f>
        <v>0</v>
      </c>
      <c r="H25" s="2">
        <f ca="1">IFERROR(__xludf.DUMMYFUNCTION("""COMPUTED_VALUE"""),30000)</f>
        <v>30000</v>
      </c>
      <c r="I25" s="2" t="str">
        <f ca="1">IFERROR(__xludf.DUMMYFUNCTION("""COMPUTED_VALUE"""),"Vino al c9rte de la vendimia")</f>
        <v>Vino al c9rte de la vendimia</v>
      </c>
      <c r="J25" s="2"/>
      <c r="K25" s="2" t="str">
        <f ca="1">IFERROR(__xludf.DUMMYFUNCTION("""COMPUTED_VALUE"""),"Descubada")</f>
        <v>Descubada</v>
      </c>
      <c r="L25" s="2"/>
      <c r="M25" s="2"/>
    </row>
    <row r="26" spans="1:13" x14ac:dyDescent="0.25">
      <c r="A26" s="2" t="str">
        <f ca="1">IFERROR(__xludf.DUMMYFUNCTION("""COMPUTED_VALUE"""),"903e1ab8")</f>
        <v>903e1ab8</v>
      </c>
      <c r="B26" s="2" t="str">
        <f ca="1">IFERROR(__xludf.DUMMYFUNCTION("""COMPUTED_VALUE"""),"24b66da0")</f>
        <v>24b66da0</v>
      </c>
      <c r="C26" s="3">
        <f ca="1">IFERROR(__xludf.DUMMYFUNCTION("""COMPUTED_VALUE"""),45708.7254976851)</f>
        <v>45708.725497685104</v>
      </c>
      <c r="D26" s="2">
        <f ca="1">IFERROR(__xludf.DUMMYFUNCTION("""COMPUTED_VALUE"""),103)</f>
        <v>103</v>
      </c>
      <c r="E26" s="2">
        <f ca="1">IFERROR(__xludf.DUMMYFUNCTION("""COMPUTED_VALUE"""),31000)</f>
        <v>31000</v>
      </c>
      <c r="F26" s="2" t="str">
        <f ca="1">IFERROR(__xludf.DUMMYFUNCTION("""COMPUTED_VALUE"""),"Aspirant")</f>
        <v>Aspirant</v>
      </c>
      <c r="G26" s="2">
        <f ca="1">IFERROR(__xludf.DUMMYFUNCTION("""COMPUTED_VALUE"""),0)</f>
        <v>0</v>
      </c>
      <c r="H26" s="2">
        <f ca="1">IFERROR(__xludf.DUMMYFUNCTION("""COMPUTED_VALUE"""),15000)</f>
        <v>15000</v>
      </c>
      <c r="I26" s="2"/>
      <c r="J26" s="2"/>
      <c r="K26" s="2"/>
      <c r="L26" s="2"/>
      <c r="M26" s="2"/>
    </row>
    <row r="27" spans="1:13" x14ac:dyDescent="0.25">
      <c r="A27" s="2" t="str">
        <f ca="1">IFERROR(__xludf.DUMMYFUNCTION("""COMPUTED_VALUE"""),"65eb8fac")</f>
        <v>65eb8fac</v>
      </c>
      <c r="B27" s="2" t="str">
        <f ca="1">IFERROR(__xludf.DUMMYFUNCTION("""COMPUTED_VALUE"""),"5eb33d17, c76dfce1")</f>
        <v>5eb33d17, c76dfce1</v>
      </c>
      <c r="C27" s="3">
        <f ca="1">IFERROR(__xludf.DUMMYFUNCTION("""COMPUTED_VALUE"""),45708.7426851851)</f>
        <v>45708.742685185098</v>
      </c>
      <c r="D27" s="2">
        <f ca="1">IFERROR(__xludf.DUMMYFUNCTION("""COMPUTED_VALUE"""),86)</f>
        <v>86</v>
      </c>
      <c r="E27" s="2">
        <f ca="1">IFERROR(__xludf.DUMMYFUNCTION("""COMPUTED_VALUE"""),88000)</f>
        <v>88000</v>
      </c>
      <c r="F27" s="2" t="str">
        <f ca="1">IFERROR(__xludf.DUMMYFUNCTION("""COMPUTED_VALUE"""),"Syrah s/Asp")</f>
        <v>Syrah s/Asp</v>
      </c>
      <c r="G27" s="2">
        <f ca="1">IFERROR(__xludf.DUMMYFUNCTION("""COMPUTED_VALUE"""),12000)</f>
        <v>12000</v>
      </c>
      <c r="H27" s="2">
        <f ca="1">IFERROR(__xludf.DUMMYFUNCTION("""COMPUTED_VALUE"""),20000)</f>
        <v>20000</v>
      </c>
      <c r="I27" s="2"/>
      <c r="J27" s="2"/>
      <c r="K27" s="2"/>
      <c r="L27" s="2"/>
      <c r="M27" s="2"/>
    </row>
    <row r="28" spans="1:13" x14ac:dyDescent="0.25">
      <c r="A28" s="2" t="str">
        <f ca="1">IFERROR(__xludf.DUMMYFUNCTION("""COMPUTED_VALUE"""),"13b5f72f")</f>
        <v>13b5f72f</v>
      </c>
      <c r="B28" s="2" t="str">
        <f ca="1">IFERROR(__xludf.DUMMYFUNCTION("""COMPUTED_VALUE"""),"7c1795fa, 65eb8fac")</f>
        <v>7c1795fa, 65eb8fac</v>
      </c>
      <c r="C28" s="3">
        <f ca="1">IFERROR(__xludf.DUMMYFUNCTION("""COMPUTED_VALUE"""),45708.7477893518)</f>
        <v>45708.747789351801</v>
      </c>
      <c r="D28" s="2">
        <f ca="1">IFERROR(__xludf.DUMMYFUNCTION("""COMPUTED_VALUE"""),86)</f>
        <v>86</v>
      </c>
      <c r="E28" s="2">
        <f ca="1">IFERROR(__xludf.DUMMYFUNCTION("""COMPUTED_VALUE"""),88000)</f>
        <v>88000</v>
      </c>
      <c r="F28" s="2" t="str">
        <f ca="1">IFERROR(__xludf.DUMMYFUNCTION("""COMPUTED_VALUE"""),"Syrah Merlot s/Asp")</f>
        <v>Syrah Merlot s/Asp</v>
      </c>
      <c r="G28" s="2">
        <f ca="1">IFERROR(__xludf.DUMMYFUNCTION("""COMPUTED_VALUE"""),20000)</f>
        <v>20000</v>
      </c>
      <c r="H28" s="2">
        <f ca="1">IFERROR(__xludf.DUMMYFUNCTION("""COMPUTED_VALUE"""),40000)</f>
        <v>40000</v>
      </c>
      <c r="I28" s="2"/>
      <c r="J28" s="2"/>
      <c r="K28" s="2"/>
      <c r="L28" s="2"/>
      <c r="M28" s="2"/>
    </row>
    <row r="29" spans="1:13" x14ac:dyDescent="0.25">
      <c r="A29" s="2" t="str">
        <f ca="1">IFERROR(__xludf.DUMMYFUNCTION("""COMPUTED_VALUE"""),"3c569c0a")</f>
        <v>3c569c0a</v>
      </c>
      <c r="B29" s="2" t="str">
        <f ca="1">IFERROR(__xludf.DUMMYFUNCTION("""COMPUTED_VALUE"""),"7366c02e, 24b66da0")</f>
        <v>7366c02e, 24b66da0</v>
      </c>
      <c r="C29" s="3">
        <f ca="1">IFERROR(__xludf.DUMMYFUNCTION("""COMPUTED_VALUE"""),45708.7508449074)</f>
        <v>45708.750844907401</v>
      </c>
      <c r="D29" s="2">
        <f ca="1">IFERROR(__xludf.DUMMYFUNCTION("""COMPUTED_VALUE"""),84)</f>
        <v>84</v>
      </c>
      <c r="E29" s="2">
        <f ca="1">IFERROR(__xludf.DUMMYFUNCTION("""COMPUTED_VALUE"""),83000)</f>
        <v>83000</v>
      </c>
      <c r="F29" s="2" t="str">
        <f ca="1">IFERROR(__xludf.DUMMYFUNCTION("""COMPUTED_VALUE"""),"Merlot s/Asp")</f>
        <v>Merlot s/Asp</v>
      </c>
      <c r="G29" s="2">
        <f ca="1">IFERROR(__xludf.DUMMYFUNCTION("""COMPUTED_VALUE"""),15000)</f>
        <v>15000</v>
      </c>
      <c r="H29" s="2">
        <f ca="1">IFERROR(__xludf.DUMMYFUNCTION("""COMPUTED_VALUE"""),30000)</f>
        <v>30000</v>
      </c>
      <c r="I29" s="2"/>
      <c r="J29" s="2"/>
      <c r="K29" s="2"/>
      <c r="L29" s="2"/>
      <c r="M29" s="2"/>
    </row>
    <row r="30" spans="1:13" x14ac:dyDescent="0.25">
      <c r="A30" s="2" t="str">
        <f ca="1">IFERROR(__xludf.DUMMYFUNCTION("""COMPUTED_VALUE"""),"d7af693c")</f>
        <v>d7af693c</v>
      </c>
      <c r="B30" s="2" t="str">
        <f ca="1">IFERROR(__xludf.DUMMYFUNCTION("""COMPUTED_VALUE"""),"0632409f")</f>
        <v>0632409f</v>
      </c>
      <c r="C30" s="3">
        <f ca="1">IFERROR(__xludf.DUMMYFUNCTION("""COMPUTED_VALUE"""),45708.7524884259)</f>
        <v>45708.752488425896</v>
      </c>
      <c r="D30" s="2">
        <f ca="1">IFERROR(__xludf.DUMMYFUNCTION("""COMPUTED_VALUE"""),104)</f>
        <v>104</v>
      </c>
      <c r="E30" s="2">
        <f ca="1">IFERROR(__xludf.DUMMYFUNCTION("""COMPUTED_VALUE"""),31000)</f>
        <v>31000</v>
      </c>
      <c r="F30" s="2" t="str">
        <f ca="1">IFERROR(__xludf.DUMMYFUNCTION("""COMPUTED_VALUE"""),"Malbec Gota")</f>
        <v>Malbec Gota</v>
      </c>
      <c r="G30" s="2">
        <f ca="1">IFERROR(__xludf.DUMMYFUNCTION("""COMPUTED_VALUE"""),0)</f>
        <v>0</v>
      </c>
      <c r="H30" s="2">
        <f ca="1">IFERROR(__xludf.DUMMYFUNCTION("""COMPUTED_VALUE"""),29000)</f>
        <v>29000</v>
      </c>
      <c r="I30" s="2"/>
      <c r="J30" s="2"/>
      <c r="K30" s="2" t="str">
        <f ca="1">IFERROR(__xludf.DUMMYFUNCTION("""COMPUTED_VALUE"""),"Descubada")</f>
        <v>Descubada</v>
      </c>
      <c r="L30" s="2"/>
      <c r="M30" s="2"/>
    </row>
    <row r="31" spans="1:13" x14ac:dyDescent="0.25">
      <c r="A31" s="2" t="str">
        <f ca="1">IFERROR(__xludf.DUMMYFUNCTION("""COMPUTED_VALUE"""),"1749cd27")</f>
        <v>1749cd27</v>
      </c>
      <c r="B31" s="2" t="str">
        <f ca="1">IFERROR(__xludf.DUMMYFUNCTION("""COMPUTED_VALUE"""),"0632409f")</f>
        <v>0632409f</v>
      </c>
      <c r="C31" s="3">
        <f ca="1">IFERROR(__xludf.DUMMYFUNCTION("""COMPUTED_VALUE"""),45708.7544675925)</f>
        <v>45708.754467592502</v>
      </c>
      <c r="D31" s="2">
        <f ca="1">IFERROR(__xludf.DUMMYFUNCTION("""COMPUTED_VALUE"""),105)</f>
        <v>105</v>
      </c>
      <c r="E31" s="2">
        <f ca="1">IFERROR(__xludf.DUMMYFUNCTION("""COMPUTED_VALUE"""),31000)</f>
        <v>31000</v>
      </c>
      <c r="F31" s="2" t="str">
        <f ca="1">IFERROR(__xludf.DUMMYFUNCTION("""COMPUTED_VALUE"""),"Malbec Prensa")</f>
        <v>Malbec Prensa</v>
      </c>
      <c r="G31" s="2">
        <f ca="1">IFERROR(__xludf.DUMMYFUNCTION("""COMPUTED_VALUE"""),0)</f>
        <v>0</v>
      </c>
      <c r="H31" s="2">
        <f ca="1">IFERROR(__xludf.DUMMYFUNCTION("""COMPUTED_VALUE"""),5000)</f>
        <v>5000</v>
      </c>
      <c r="I31" s="2"/>
      <c r="J31" s="2"/>
      <c r="K31" s="2"/>
      <c r="L31" s="2"/>
      <c r="M31" s="2"/>
    </row>
    <row r="32" spans="1:13" x14ac:dyDescent="0.25">
      <c r="A32" s="2" t="str">
        <f ca="1">IFERROR(__xludf.DUMMYFUNCTION("""COMPUTED_VALUE"""),"5008e5a3")</f>
        <v>5008e5a3</v>
      </c>
      <c r="B32" s="2"/>
      <c r="C32" s="3">
        <f ca="1">IFERROR(__xludf.DUMMYFUNCTION("""COMPUTED_VALUE"""),45708.7936805555)</f>
        <v>45708.7936805555</v>
      </c>
      <c r="D32" s="2">
        <f ca="1">IFERROR(__xludf.DUMMYFUNCTION("""COMPUTED_VALUE"""),11)</f>
        <v>11</v>
      </c>
      <c r="E32" s="2">
        <f ca="1">IFERROR(__xludf.DUMMYFUNCTION("""COMPUTED_VALUE"""),36000)</f>
        <v>36000</v>
      </c>
      <c r="F32" s="2" t="str">
        <f ca="1">IFERROR(__xludf.DUMMYFUNCTION("""COMPUTED_VALUE"""),"Cabernet Sauv Rect")</f>
        <v>Cabernet Sauv Rect</v>
      </c>
      <c r="G32" s="2"/>
      <c r="H32" s="2">
        <f ca="1">IFERROR(__xludf.DUMMYFUNCTION("""COMPUTED_VALUE"""),36000)</f>
        <v>36000</v>
      </c>
      <c r="I32" s="2"/>
      <c r="J32" s="2"/>
      <c r="K32" s="2" t="str">
        <f ca="1">IFERROR(__xludf.DUMMYFUNCTION("""COMPUTED_VALUE"""),"Rectificado")</f>
        <v>Rectificado</v>
      </c>
      <c r="L32" s="2"/>
      <c r="M32" s="2"/>
    </row>
    <row r="33" spans="1:13" x14ac:dyDescent="0.25">
      <c r="A33" s="2" t="str">
        <f ca="1">IFERROR(__xludf.DUMMYFUNCTION("""COMPUTED_VALUE"""),"27abb7ee")</f>
        <v>27abb7ee</v>
      </c>
      <c r="B33" s="2"/>
      <c r="C33" s="3">
        <f ca="1">IFERROR(__xludf.DUMMYFUNCTION("""COMPUTED_VALUE"""),45708.7942129629)</f>
        <v>45708.794212962901</v>
      </c>
      <c r="D33" s="2">
        <f ca="1">IFERROR(__xludf.DUMMYFUNCTION("""COMPUTED_VALUE"""),16)</f>
        <v>16</v>
      </c>
      <c r="E33" s="2">
        <f ca="1">IFERROR(__xludf.DUMMYFUNCTION("""COMPUTED_VALUE"""),19500)</f>
        <v>19500</v>
      </c>
      <c r="F33" s="2" t="str">
        <f ca="1">IFERROR(__xludf.DUMMYFUNCTION("""COMPUTED_VALUE"""),"Cabernet Sauvignon Rect")</f>
        <v>Cabernet Sauvignon Rect</v>
      </c>
      <c r="G33" s="2"/>
      <c r="H33" s="2">
        <f ca="1">IFERROR(__xludf.DUMMYFUNCTION("""COMPUTED_VALUE"""),19500)</f>
        <v>19500</v>
      </c>
      <c r="I33" s="2"/>
      <c r="J33" s="2"/>
      <c r="K33" s="2" t="str">
        <f ca="1">IFERROR(__xludf.DUMMYFUNCTION("""COMPUTED_VALUE"""),"Rectificado")</f>
        <v>Rectificado</v>
      </c>
      <c r="L33" s="2"/>
      <c r="M33" s="2"/>
    </row>
    <row r="34" spans="1:13" x14ac:dyDescent="0.25">
      <c r="A34" s="2" t="str">
        <f ca="1">IFERROR(__xludf.DUMMYFUNCTION("""COMPUTED_VALUE"""),"eec28962")</f>
        <v>eec28962</v>
      </c>
      <c r="B34" s="2"/>
      <c r="C34" s="3">
        <f ca="1">IFERROR(__xludf.DUMMYFUNCTION("""COMPUTED_VALUE"""),45708.7945949074)</f>
        <v>45708.794594907398</v>
      </c>
      <c r="D34" s="2">
        <f ca="1">IFERROR(__xludf.DUMMYFUNCTION("""COMPUTED_VALUE"""),30)</f>
        <v>30</v>
      </c>
      <c r="E34" s="2">
        <f ca="1">IFERROR(__xludf.DUMMYFUNCTION("""COMPUTED_VALUE"""),38800)</f>
        <v>38800</v>
      </c>
      <c r="F34" s="2" t="str">
        <f ca="1">IFERROR(__xludf.DUMMYFUNCTION("""COMPUTED_VALUE"""),"Aspirant 24")</f>
        <v>Aspirant 24</v>
      </c>
      <c r="G34" s="2"/>
      <c r="H34" s="2">
        <f ca="1">IFERROR(__xludf.DUMMYFUNCTION("""COMPUTED_VALUE"""),38800)</f>
        <v>38800</v>
      </c>
      <c r="I34" s="2"/>
      <c r="J34" s="2"/>
      <c r="K34" s="2" t="str">
        <f ca="1">IFERROR(__xludf.DUMMYFUNCTION("""COMPUTED_VALUE"""),"Terminado")</f>
        <v>Terminado</v>
      </c>
      <c r="L34" s="2"/>
      <c r="M34" s="2" t="str">
        <f ca="1">IFERROR(__xludf.DUMMYFUNCTION("""COMPUTED_VALUE"""),"Tinto")</f>
        <v>Tinto</v>
      </c>
    </row>
    <row r="35" spans="1:13" x14ac:dyDescent="0.25">
      <c r="A35" s="2" t="str">
        <f ca="1">IFERROR(__xludf.DUMMYFUNCTION("""COMPUTED_VALUE"""),"30d0ce51")</f>
        <v>30d0ce51</v>
      </c>
      <c r="B35" s="2"/>
      <c r="C35" s="3">
        <f ca="1">IFERROR(__xludf.DUMMYFUNCTION("""COMPUTED_VALUE"""),45708.7949768518)</f>
        <v>45708.794976851801</v>
      </c>
      <c r="D35" s="2">
        <f ca="1">IFERROR(__xludf.DUMMYFUNCTION("""COMPUTED_VALUE"""),41)</f>
        <v>41</v>
      </c>
      <c r="E35" s="2">
        <f ca="1">IFERROR(__xludf.DUMMYFUNCTION("""COMPUTED_VALUE"""),35100)</f>
        <v>35100</v>
      </c>
      <c r="F35" s="2" t="str">
        <f ca="1">IFERROR(__xludf.DUMMYFUNCTION("""COMPUTED_VALUE"""),"Cabernet Sauvignon Rect 24")</f>
        <v>Cabernet Sauvignon Rect 24</v>
      </c>
      <c r="G35" s="2"/>
      <c r="H35" s="2">
        <f ca="1">IFERROR(__xludf.DUMMYFUNCTION("""COMPUTED_VALUE"""),35100)</f>
        <v>35100</v>
      </c>
      <c r="I35" s="2"/>
      <c r="J35" s="2"/>
      <c r="K35" s="2" t="str">
        <f ca="1">IFERROR(__xludf.DUMMYFUNCTION("""COMPUTED_VALUE"""),"Rectificado")</f>
        <v>Rectificado</v>
      </c>
      <c r="L35" s="2"/>
      <c r="M35" s="2"/>
    </row>
    <row r="36" spans="1:13" x14ac:dyDescent="0.25">
      <c r="A36" s="2" t="str">
        <f ca="1">IFERROR(__xludf.DUMMYFUNCTION("""COMPUTED_VALUE"""),"73b50dc4")</f>
        <v>73b50dc4</v>
      </c>
      <c r="B36" s="2"/>
      <c r="C36" s="3">
        <f ca="1">IFERROR(__xludf.DUMMYFUNCTION("""COMPUTED_VALUE"""),45708.7969675925)</f>
        <v>45708.796967592498</v>
      </c>
      <c r="D36" s="2">
        <f ca="1">IFERROR(__xludf.DUMMYFUNCTION("""COMPUTED_VALUE"""),42)</f>
        <v>42</v>
      </c>
      <c r="E36" s="2">
        <f ca="1">IFERROR(__xludf.DUMMYFUNCTION("""COMPUTED_VALUE"""),35900)</f>
        <v>35900</v>
      </c>
      <c r="F36" s="2" t="str">
        <f ca="1">IFERROR(__xludf.DUMMYFUNCTION("""COMPUTED_VALUE"""),"Malbec 24")</f>
        <v>Malbec 24</v>
      </c>
      <c r="G36" s="2"/>
      <c r="H36" s="2">
        <f ca="1">IFERROR(__xludf.DUMMYFUNCTION("""COMPUTED_VALUE"""),35900)</f>
        <v>35900</v>
      </c>
      <c r="I36" s="2"/>
      <c r="J36" s="2"/>
      <c r="K36" s="2" t="str">
        <f ca="1">IFERROR(__xludf.DUMMYFUNCTION("""COMPUTED_VALUE"""),"Terminado")</f>
        <v>Terminado</v>
      </c>
      <c r="L36" s="2"/>
      <c r="M36" s="2"/>
    </row>
    <row r="37" spans="1:13" x14ac:dyDescent="0.25">
      <c r="A37" s="2" t="str">
        <f ca="1">IFERROR(__xludf.DUMMYFUNCTION("""COMPUTED_VALUE"""),"d5c7ee63")</f>
        <v>d5c7ee63</v>
      </c>
      <c r="B37" s="2"/>
      <c r="C37" s="3">
        <f ca="1">IFERROR(__xludf.DUMMYFUNCTION("""COMPUTED_VALUE"""),45708.7983333333)</f>
        <v>45708.798333333303</v>
      </c>
      <c r="D37" s="2">
        <f ca="1">IFERROR(__xludf.DUMMYFUNCTION("""COMPUTED_VALUE"""),44)</f>
        <v>44</v>
      </c>
      <c r="E37" s="2">
        <f ca="1">IFERROR(__xludf.DUMMYFUNCTION("""COMPUTED_VALUE"""),19100)</f>
        <v>19100</v>
      </c>
      <c r="F37" s="2" t="str">
        <f ca="1">IFERROR(__xludf.DUMMYFUNCTION("""COMPUTED_VALUE"""),"Cabernet Sauvignon Rect 24")</f>
        <v>Cabernet Sauvignon Rect 24</v>
      </c>
      <c r="G37" s="2"/>
      <c r="H37" s="2">
        <f ca="1">IFERROR(__xludf.DUMMYFUNCTION("""COMPUTED_VALUE"""),19100)</f>
        <v>19100</v>
      </c>
      <c r="I37" s="2"/>
      <c r="J37" s="2"/>
      <c r="K37" s="2" t="str">
        <f ca="1">IFERROR(__xludf.DUMMYFUNCTION("""COMPUTED_VALUE"""),"Rectificado")</f>
        <v>Rectificado</v>
      </c>
      <c r="L37" s="2"/>
      <c r="M37" s="2"/>
    </row>
    <row r="38" spans="1:13" x14ac:dyDescent="0.25">
      <c r="A38" s="2" t="str">
        <f ca="1">IFERROR(__xludf.DUMMYFUNCTION("""COMPUTED_VALUE"""),"241b642a")</f>
        <v>241b642a</v>
      </c>
      <c r="B38" s="2"/>
      <c r="C38" s="3">
        <f ca="1">IFERROR(__xludf.DUMMYFUNCTION("""COMPUTED_VALUE"""),45708.7986111111)</f>
        <v>45708.798611111102</v>
      </c>
      <c r="D38" s="2">
        <f ca="1">IFERROR(__xludf.DUMMYFUNCTION("""COMPUTED_VALUE"""),45)</f>
        <v>45</v>
      </c>
      <c r="E38" s="2">
        <f ca="1">IFERROR(__xludf.DUMMYFUNCTION("""COMPUTED_VALUE"""),30000)</f>
        <v>30000</v>
      </c>
      <c r="F38" s="2" t="str">
        <f ca="1">IFERROR(__xludf.DUMMYFUNCTION("""COMPUTED_VALUE"""),"Bonarda 24 Rect")</f>
        <v>Bonarda 24 Rect</v>
      </c>
      <c r="G38" s="2"/>
      <c r="H38" s="2">
        <f ca="1">IFERROR(__xludf.DUMMYFUNCTION("""COMPUTED_VALUE"""),30000)</f>
        <v>30000</v>
      </c>
      <c r="I38" s="2"/>
      <c r="J38" s="2"/>
      <c r="K38" s="2" t="str">
        <f ca="1">IFERROR(__xludf.DUMMYFUNCTION("""COMPUTED_VALUE"""),"Rectificado")</f>
        <v>Rectificado</v>
      </c>
      <c r="L38" s="2"/>
      <c r="M38" s="2"/>
    </row>
    <row r="39" spans="1:13" x14ac:dyDescent="0.25">
      <c r="A39" s="2" t="str">
        <f ca="1">IFERROR(__xludf.DUMMYFUNCTION("""COMPUTED_VALUE"""),"665bbad3")</f>
        <v>665bbad3</v>
      </c>
      <c r="B39" s="2"/>
      <c r="C39" s="3">
        <f ca="1">IFERROR(__xludf.DUMMYFUNCTION("""COMPUTED_VALUE"""),45708.7989236111)</f>
        <v>45708.798923611103</v>
      </c>
      <c r="D39" s="2">
        <f ca="1">IFERROR(__xludf.DUMMYFUNCTION("""COMPUTED_VALUE"""),47)</f>
        <v>47</v>
      </c>
      <c r="E39" s="2">
        <f ca="1">IFERROR(__xludf.DUMMYFUNCTION("""COMPUTED_VALUE"""),20000)</f>
        <v>20000</v>
      </c>
      <c r="F39" s="2" t="str">
        <f ca="1">IFERROR(__xludf.DUMMYFUNCTION("""COMPUTED_VALUE"""),"Cabernet Sauvignon 24 Rect")</f>
        <v>Cabernet Sauvignon 24 Rect</v>
      </c>
      <c r="G39" s="2"/>
      <c r="H39" s="2">
        <f ca="1">IFERROR(__xludf.DUMMYFUNCTION("""COMPUTED_VALUE"""),20000)</f>
        <v>20000</v>
      </c>
      <c r="I39" s="2"/>
      <c r="J39" s="2"/>
      <c r="K39" s="2" t="str">
        <f ca="1">IFERROR(__xludf.DUMMYFUNCTION("""COMPUTED_VALUE"""),"Rectificado")</f>
        <v>Rectificado</v>
      </c>
      <c r="L39" s="2"/>
      <c r="M39" s="2"/>
    </row>
    <row r="40" spans="1:13" x14ac:dyDescent="0.25">
      <c r="A40" s="2" t="str">
        <f ca="1">IFERROR(__xludf.DUMMYFUNCTION("""COMPUTED_VALUE"""),"d9821c78")</f>
        <v>d9821c78</v>
      </c>
      <c r="B40" s="2"/>
      <c r="C40" s="3">
        <f ca="1">IFERROR(__xludf.DUMMYFUNCTION("""COMPUTED_VALUE"""),45708.7992476851)</f>
        <v>45708.7992476851</v>
      </c>
      <c r="D40" s="2">
        <f ca="1">IFERROR(__xludf.DUMMYFUNCTION("""COMPUTED_VALUE"""),48)</f>
        <v>48</v>
      </c>
      <c r="E40" s="2">
        <f ca="1">IFERROR(__xludf.DUMMYFUNCTION("""COMPUTED_VALUE"""),26000)</f>
        <v>26000</v>
      </c>
      <c r="F40" s="2" t="str">
        <f ca="1">IFERROR(__xludf.DUMMYFUNCTION("""COMPUTED_VALUE"""),"Bonarda 24 Rect")</f>
        <v>Bonarda 24 Rect</v>
      </c>
      <c r="G40" s="2"/>
      <c r="H40" s="2">
        <f ca="1">IFERROR(__xludf.DUMMYFUNCTION("""COMPUTED_VALUE"""),26000)</f>
        <v>26000</v>
      </c>
      <c r="I40" s="2"/>
      <c r="J40" s="2"/>
      <c r="K40" s="2" t="str">
        <f ca="1">IFERROR(__xludf.DUMMYFUNCTION("""COMPUTED_VALUE"""),"Rectificado")</f>
        <v>Rectificado</v>
      </c>
      <c r="L40" s="2"/>
      <c r="M40" s="2"/>
    </row>
    <row r="41" spans="1:13" x14ac:dyDescent="0.25">
      <c r="A41" s="2" t="str">
        <f ca="1">IFERROR(__xludf.DUMMYFUNCTION("""COMPUTED_VALUE"""),"a9ae339e")</f>
        <v>a9ae339e</v>
      </c>
      <c r="B41" s="2"/>
      <c r="C41" s="3">
        <f ca="1">IFERROR(__xludf.DUMMYFUNCTION("""COMPUTED_VALUE"""),45708.7994444444)</f>
        <v>45708.799444444398</v>
      </c>
      <c r="D41" s="2">
        <f ca="1">IFERROR(__xludf.DUMMYFUNCTION("""COMPUTED_VALUE"""),49)</f>
        <v>49</v>
      </c>
      <c r="E41" s="2">
        <f ca="1">IFERROR(__xludf.DUMMYFUNCTION("""COMPUTED_VALUE"""),26000)</f>
        <v>26000</v>
      </c>
      <c r="F41" s="2" t="str">
        <f ca="1">IFERROR(__xludf.DUMMYFUNCTION("""COMPUTED_VALUE"""),"Bonarda 24 Rect")</f>
        <v>Bonarda 24 Rect</v>
      </c>
      <c r="G41" s="2"/>
      <c r="H41" s="2">
        <f ca="1">IFERROR(__xludf.DUMMYFUNCTION("""COMPUTED_VALUE"""),26000)</f>
        <v>26000</v>
      </c>
      <c r="I41" s="2"/>
      <c r="J41" s="2"/>
      <c r="K41" s="2" t="str">
        <f ca="1">IFERROR(__xludf.DUMMYFUNCTION("""COMPUTED_VALUE"""),"Rectificado")</f>
        <v>Rectificado</v>
      </c>
      <c r="L41" s="2"/>
      <c r="M41" s="2"/>
    </row>
    <row r="42" spans="1:13" x14ac:dyDescent="0.25">
      <c r="A42" s="2" t="str">
        <f ca="1">IFERROR(__xludf.DUMMYFUNCTION("""COMPUTED_VALUE"""),"6ee897e9")</f>
        <v>6ee897e9</v>
      </c>
      <c r="B42" s="2"/>
      <c r="C42" s="3">
        <f ca="1">IFERROR(__xludf.DUMMYFUNCTION("""COMPUTED_VALUE"""),45708.7997106481)</f>
        <v>45708.799710648098</v>
      </c>
      <c r="D42" s="2">
        <f ca="1">IFERROR(__xludf.DUMMYFUNCTION("""COMPUTED_VALUE"""),50)</f>
        <v>50</v>
      </c>
      <c r="E42" s="2">
        <f ca="1">IFERROR(__xludf.DUMMYFUNCTION("""COMPUTED_VALUE"""),5100)</f>
        <v>5100</v>
      </c>
      <c r="F42" s="2" t="str">
        <f ca="1">IFERROR(__xludf.DUMMYFUNCTION("""COMPUTED_VALUE"""),"Tinto 24 Rect")</f>
        <v>Tinto 24 Rect</v>
      </c>
      <c r="G42" s="2"/>
      <c r="H42" s="2">
        <f ca="1">IFERROR(__xludf.DUMMYFUNCTION("""COMPUTED_VALUE"""),5100)</f>
        <v>5100</v>
      </c>
      <c r="I42" s="2"/>
      <c r="J42" s="2"/>
      <c r="K42" s="2" t="str">
        <f ca="1">IFERROR(__xludf.DUMMYFUNCTION("""COMPUTED_VALUE"""),"Rectificado")</f>
        <v>Rectificado</v>
      </c>
      <c r="L42" s="2"/>
      <c r="M42" s="2"/>
    </row>
    <row r="43" spans="1:13" x14ac:dyDescent="0.25">
      <c r="A43" s="2" t="str">
        <f ca="1">IFERROR(__xludf.DUMMYFUNCTION("""COMPUTED_VALUE"""),"fe114136")</f>
        <v>fe114136</v>
      </c>
      <c r="B43" s="2"/>
      <c r="C43" s="3">
        <f ca="1">IFERROR(__xludf.DUMMYFUNCTION("""COMPUTED_VALUE"""),45708.7999421296)</f>
        <v>45708.799942129597</v>
      </c>
      <c r="D43" s="2">
        <f ca="1">IFERROR(__xludf.DUMMYFUNCTION("""COMPUTED_VALUE"""),67)</f>
        <v>67</v>
      </c>
      <c r="E43" s="2">
        <f ca="1">IFERROR(__xludf.DUMMYFUNCTION("""COMPUTED_VALUE"""),23000)</f>
        <v>23000</v>
      </c>
      <c r="F43" s="2" t="str">
        <f ca="1">IFERROR(__xludf.DUMMYFUNCTION("""COMPUTED_VALUE"""),"Malbec 24")</f>
        <v>Malbec 24</v>
      </c>
      <c r="G43" s="2"/>
      <c r="H43" s="2">
        <f ca="1">IFERROR(__xludf.DUMMYFUNCTION("""COMPUTED_VALUE"""),23000)</f>
        <v>23000</v>
      </c>
      <c r="I43" s="2"/>
      <c r="J43" s="2"/>
      <c r="K43" s="2" t="str">
        <f ca="1">IFERROR(__xludf.DUMMYFUNCTION("""COMPUTED_VALUE"""),"Terminado")</f>
        <v>Terminado</v>
      </c>
      <c r="L43" s="2"/>
      <c r="M43" s="2"/>
    </row>
    <row r="44" spans="1:13" x14ac:dyDescent="0.25">
      <c r="A44" s="2" t="str">
        <f ca="1">IFERROR(__xludf.DUMMYFUNCTION("""COMPUTED_VALUE"""),"c4f0d9b2")</f>
        <v>c4f0d9b2</v>
      </c>
      <c r="B44" s="2"/>
      <c r="C44" s="3">
        <f ca="1">IFERROR(__xludf.DUMMYFUNCTION("""COMPUTED_VALUE"""),45708.8036342592)</f>
        <v>45708.803634259202</v>
      </c>
      <c r="D44" s="2">
        <f ca="1">IFERROR(__xludf.DUMMYFUNCTION("""COMPUTED_VALUE"""),74)</f>
        <v>74</v>
      </c>
      <c r="E44" s="2">
        <f ca="1">IFERROR(__xludf.DUMMYFUNCTION("""COMPUTED_VALUE"""),13000)</f>
        <v>13000</v>
      </c>
      <c r="F44" s="2" t="str">
        <f ca="1">IFERROR(__xludf.DUMMYFUNCTION("""COMPUTED_VALUE"""),"Malbec 24")</f>
        <v>Malbec 24</v>
      </c>
      <c r="G44" s="2"/>
      <c r="H44" s="2">
        <f ca="1">IFERROR(__xludf.DUMMYFUNCTION("""COMPUTED_VALUE"""),13000)</f>
        <v>13000</v>
      </c>
      <c r="I44" s="2"/>
      <c r="J44" s="2"/>
      <c r="K44" s="2" t="str">
        <f ca="1">IFERROR(__xludf.DUMMYFUNCTION("""COMPUTED_VALUE"""),"Terminado")</f>
        <v>Terminado</v>
      </c>
      <c r="L44" s="2"/>
      <c r="M44" s="2"/>
    </row>
    <row r="45" spans="1:13" x14ac:dyDescent="0.25">
      <c r="A45" s="2" t="str">
        <f ca="1">IFERROR(__xludf.DUMMYFUNCTION("""COMPUTED_VALUE"""),"f1388e78")</f>
        <v>f1388e78</v>
      </c>
      <c r="B45" s="2"/>
      <c r="C45" s="3">
        <f ca="1">IFERROR(__xludf.DUMMYFUNCTION("""COMPUTED_VALUE"""),45708.8038310185)</f>
        <v>45708.8038310185</v>
      </c>
      <c r="D45" s="2">
        <f ca="1">IFERROR(__xludf.DUMMYFUNCTION("""COMPUTED_VALUE"""),75)</f>
        <v>75</v>
      </c>
      <c r="E45" s="2">
        <f ca="1">IFERROR(__xludf.DUMMYFUNCTION("""COMPUTED_VALUE"""),7000)</f>
        <v>7000</v>
      </c>
      <c r="F45" s="2" t="str">
        <f ca="1">IFERROR(__xludf.DUMMYFUNCTION("""COMPUTED_VALUE"""),"Aspirant 24 Rect")</f>
        <v>Aspirant 24 Rect</v>
      </c>
      <c r="G45" s="2"/>
      <c r="H45" s="2">
        <f ca="1">IFERROR(__xludf.DUMMYFUNCTION("""COMPUTED_VALUE"""),7000)</f>
        <v>7000</v>
      </c>
      <c r="I45" s="2"/>
      <c r="J45" s="2"/>
      <c r="K45" s="2" t="str">
        <f ca="1">IFERROR(__xludf.DUMMYFUNCTION("""COMPUTED_VALUE"""),"Rectificado")</f>
        <v>Rectificado</v>
      </c>
      <c r="L45" s="2"/>
      <c r="M45" s="2"/>
    </row>
    <row r="46" spans="1:13" x14ac:dyDescent="0.25">
      <c r="A46" s="2" t="str">
        <f ca="1">IFERROR(__xludf.DUMMYFUNCTION("""COMPUTED_VALUE"""),"904bbb40")</f>
        <v>904bbb40</v>
      </c>
      <c r="B46" s="2"/>
      <c r="C46" s="3">
        <f ca="1">IFERROR(__xludf.DUMMYFUNCTION("""COMPUTED_VALUE"""),45708.8041550925)</f>
        <v>45708.804155092497</v>
      </c>
      <c r="D46" s="2">
        <f ca="1">IFERROR(__xludf.DUMMYFUNCTION("""COMPUTED_VALUE"""),90)</f>
        <v>90</v>
      </c>
      <c r="E46" s="2">
        <f ca="1">IFERROR(__xludf.DUMMYFUNCTION("""COMPUTED_VALUE"""),97500)</f>
        <v>97500</v>
      </c>
      <c r="F46" s="2" t="str">
        <f ca="1">IFERROR(__xludf.DUMMYFUNCTION("""COMPUTED_VALUE"""),"Syrah 24")</f>
        <v>Syrah 24</v>
      </c>
      <c r="G46" s="2"/>
      <c r="H46" s="2">
        <f ca="1">IFERROR(__xludf.DUMMYFUNCTION("""COMPUTED_VALUE"""),97500)</f>
        <v>97500</v>
      </c>
      <c r="I46" s="2"/>
      <c r="J46" s="2"/>
      <c r="K46" s="2" t="str">
        <f ca="1">IFERROR(__xludf.DUMMYFUNCTION("""COMPUTED_VALUE"""),"Terminado")</f>
        <v>Terminado</v>
      </c>
      <c r="L46" s="2"/>
      <c r="M46" s="2"/>
    </row>
    <row r="47" spans="1:13" x14ac:dyDescent="0.25">
      <c r="A47" s="2" t="str">
        <f ca="1">IFERROR(__xludf.DUMMYFUNCTION("""COMPUTED_VALUE"""),"91f934c1")</f>
        <v>91f934c1</v>
      </c>
      <c r="B47" s="2"/>
      <c r="C47" s="3">
        <f ca="1">IFERROR(__xludf.DUMMYFUNCTION("""COMPUTED_VALUE"""),45708.8043981481)</f>
        <v>45708.804398148102</v>
      </c>
      <c r="D47" s="2">
        <f ca="1">IFERROR(__xludf.DUMMYFUNCTION("""COMPUTED_VALUE"""),35)</f>
        <v>35</v>
      </c>
      <c r="E47" s="2">
        <f ca="1">IFERROR(__xludf.DUMMYFUNCTION("""COMPUTED_VALUE"""),39300)</f>
        <v>39300</v>
      </c>
      <c r="F47" s="2" t="str">
        <f ca="1">IFERROR(__xludf.DUMMYFUNCTION("""COMPUTED_VALUE"""),"Syrah 24")</f>
        <v>Syrah 24</v>
      </c>
      <c r="G47" s="2"/>
      <c r="H47" s="2">
        <f ca="1">IFERROR(__xludf.DUMMYFUNCTION("""COMPUTED_VALUE"""),39300)</f>
        <v>39300</v>
      </c>
      <c r="I47" s="2"/>
      <c r="J47" s="2"/>
      <c r="K47" s="2" t="str">
        <f ca="1">IFERROR(__xludf.DUMMYFUNCTION("""COMPUTED_VALUE"""),"Terminado")</f>
        <v>Terminado</v>
      </c>
      <c r="L47" s="2"/>
      <c r="M47" s="2"/>
    </row>
    <row r="48" spans="1:13" x14ac:dyDescent="0.25">
      <c r="A48" s="2" t="str">
        <f ca="1">IFERROR(__xludf.DUMMYFUNCTION("""COMPUTED_VALUE"""),"b336cfcb")</f>
        <v>b336cfcb</v>
      </c>
      <c r="B48" s="2"/>
      <c r="C48" s="3">
        <f ca="1">IFERROR(__xludf.DUMMYFUNCTION("""COMPUTED_VALUE"""),45708.8046412037)</f>
        <v>45708.8046412037</v>
      </c>
      <c r="D48" s="2">
        <f ca="1">IFERROR(__xludf.DUMMYFUNCTION("""COMPUTED_VALUE"""),94)</f>
        <v>94</v>
      </c>
      <c r="E48" s="2">
        <f ca="1">IFERROR(__xludf.DUMMYFUNCTION("""COMPUTED_VALUE"""),11600)</f>
        <v>11600</v>
      </c>
      <c r="F48" s="2" t="str">
        <f ca="1">IFERROR(__xludf.DUMMYFUNCTION("""COMPUTED_VALUE"""),"Syrah 24")</f>
        <v>Syrah 24</v>
      </c>
      <c r="G48" s="2"/>
      <c r="H48" s="2">
        <f ca="1">IFERROR(__xludf.DUMMYFUNCTION("""COMPUTED_VALUE"""),11600)</f>
        <v>11600</v>
      </c>
      <c r="I48" s="2"/>
      <c r="J48" s="2"/>
      <c r="K48" s="2" t="str">
        <f ca="1">IFERROR(__xludf.DUMMYFUNCTION("""COMPUTED_VALUE"""),"Terminado")</f>
        <v>Terminado</v>
      </c>
      <c r="L48" s="2"/>
      <c r="M48" s="2"/>
    </row>
    <row r="49" spans="1:13" x14ac:dyDescent="0.25">
      <c r="A49" s="2" t="str">
        <f ca="1">IFERROR(__xludf.DUMMYFUNCTION("""COMPUTED_VALUE"""),"6a04e7d6")</f>
        <v>6a04e7d6</v>
      </c>
      <c r="B49" s="2"/>
      <c r="C49" s="3">
        <f ca="1">IFERROR(__xludf.DUMMYFUNCTION("""COMPUTED_VALUE"""),45708.804849537)</f>
        <v>45708.804849537002</v>
      </c>
      <c r="D49" s="2">
        <f ca="1">IFERROR(__xludf.DUMMYFUNCTION("""COMPUTED_VALUE"""),111)</f>
        <v>111</v>
      </c>
      <c r="E49" s="2">
        <f ca="1">IFERROR(__xludf.DUMMYFUNCTION("""COMPUTED_VALUE"""),4000)</f>
        <v>4000</v>
      </c>
      <c r="F49" s="2" t="str">
        <f ca="1">IFERROR(__xludf.DUMMYFUNCTION("""COMPUTED_VALUE"""),"Malbec Magneta")</f>
        <v>Malbec Magneta</v>
      </c>
      <c r="G49" s="2"/>
      <c r="H49" s="2">
        <f ca="1">IFERROR(__xludf.DUMMYFUNCTION("""COMPUTED_VALUE"""),4000)</f>
        <v>4000</v>
      </c>
      <c r="I49" s="2" t="str">
        <f ca="1">IFERROR(__xludf.DUMMYFUNCTION("""COMPUTED_VALUE"""),"20/3
Degustación. Muy bien")</f>
        <v>20/3
Degustación. Muy bien</v>
      </c>
      <c r="J49" s="2"/>
      <c r="K49" s="2" t="str">
        <f ca="1">IFERROR(__xludf.DUMMYFUNCTION("""COMPUTED_VALUE"""),"Terminado")</f>
        <v>Terminado</v>
      </c>
      <c r="L49" s="2"/>
      <c r="M49" s="2"/>
    </row>
    <row r="50" spans="1:13" x14ac:dyDescent="0.25">
      <c r="A50" s="2" t="str">
        <f ca="1">IFERROR(__xludf.DUMMYFUNCTION("""COMPUTED_VALUE"""),"b502a55e")</f>
        <v>b502a55e</v>
      </c>
      <c r="B50" s="2"/>
      <c r="C50" s="3">
        <f ca="1">IFERROR(__xludf.DUMMYFUNCTION("""COMPUTED_VALUE"""),45708.8050810185)</f>
        <v>45708.805081018501</v>
      </c>
      <c r="D50" s="2">
        <f ca="1">IFERROR(__xludf.DUMMYFUNCTION("""COMPUTED_VALUE"""),114)</f>
        <v>114</v>
      </c>
      <c r="E50" s="2">
        <f ca="1">IFERROR(__xludf.DUMMYFUNCTION("""COMPUTED_VALUE"""),125300)</f>
        <v>125300</v>
      </c>
      <c r="F50" s="2" t="str">
        <f ca="1">IFERROR(__xludf.DUMMYFUNCTION("""COMPUTED_VALUE"""),"Bonarda 24")</f>
        <v>Bonarda 24</v>
      </c>
      <c r="G50" s="2"/>
      <c r="H50" s="2">
        <f ca="1">IFERROR(__xludf.DUMMYFUNCTION("""COMPUTED_VALUE"""),125300)</f>
        <v>125300</v>
      </c>
      <c r="I50" s="2"/>
      <c r="J50" s="2"/>
      <c r="K50" s="2" t="str">
        <f ca="1">IFERROR(__xludf.DUMMYFUNCTION("""COMPUTED_VALUE"""),"Terminado")</f>
        <v>Terminado</v>
      </c>
      <c r="L50" s="2"/>
      <c r="M50" s="2"/>
    </row>
    <row r="51" spans="1:13" x14ac:dyDescent="0.25">
      <c r="A51" s="2" t="str">
        <f ca="1">IFERROR(__xludf.DUMMYFUNCTION("""COMPUTED_VALUE"""),"4368dec6")</f>
        <v>4368dec6</v>
      </c>
      <c r="B51" s="2"/>
      <c r="C51" s="3">
        <f ca="1">IFERROR(__xludf.DUMMYFUNCTION("""COMPUTED_VALUE"""),45708.8053356481)</f>
        <v>45708.805335648103</v>
      </c>
      <c r="D51" s="2">
        <f ca="1">IFERROR(__xludf.DUMMYFUNCTION("""COMPUTED_VALUE"""),118)</f>
        <v>118</v>
      </c>
      <c r="E51" s="2">
        <f ca="1">IFERROR(__xludf.DUMMYFUNCTION("""COMPUTED_VALUE"""),155600)</f>
        <v>155600</v>
      </c>
      <c r="F51" s="2" t="str">
        <f ca="1">IFERROR(__xludf.DUMMYFUNCTION("""COMPUTED_VALUE"""),"Malbec 24")</f>
        <v>Malbec 24</v>
      </c>
      <c r="G51" s="2"/>
      <c r="H51" s="2">
        <f ca="1">IFERROR(__xludf.DUMMYFUNCTION("""COMPUTED_VALUE"""),155600)</f>
        <v>155600</v>
      </c>
      <c r="I51" s="2"/>
      <c r="J51" s="2"/>
      <c r="K51" s="2" t="str">
        <f ca="1">IFERROR(__xludf.DUMMYFUNCTION("""COMPUTED_VALUE"""),"Terminado")</f>
        <v>Terminado</v>
      </c>
      <c r="L51" s="2"/>
      <c r="M51" s="2"/>
    </row>
    <row r="52" spans="1:13" x14ac:dyDescent="0.25">
      <c r="A52" s="2" t="str">
        <f ca="1">IFERROR(__xludf.DUMMYFUNCTION("""COMPUTED_VALUE"""),"b9e5067b")</f>
        <v>b9e5067b</v>
      </c>
      <c r="B52" s="2"/>
      <c r="C52" s="3">
        <f ca="1">IFERROR(__xludf.DUMMYFUNCTION("""COMPUTED_VALUE"""),45708.8067939814)</f>
        <v>45708.806793981399</v>
      </c>
      <c r="D52" s="2">
        <f ca="1">IFERROR(__xludf.DUMMYFUNCTION("""COMPUTED_VALUE"""),15)</f>
        <v>15</v>
      </c>
      <c r="E52" s="2">
        <f ca="1">IFERROR(__xludf.DUMMYFUNCTION("""COMPUTED_VALUE"""),36500)</f>
        <v>36500</v>
      </c>
      <c r="F52" s="2" t="str">
        <f ca="1">IFERROR(__xludf.DUMMYFUNCTION("""COMPUTED_VALUE"""),"Cabernet Sauvignon 24 Rect")</f>
        <v>Cabernet Sauvignon 24 Rect</v>
      </c>
      <c r="G52" s="2"/>
      <c r="H52" s="2">
        <f ca="1">IFERROR(__xludf.DUMMYFUNCTION("""COMPUTED_VALUE"""),20000)</f>
        <v>20000</v>
      </c>
      <c r="I52" s="2"/>
      <c r="J52" s="2"/>
      <c r="K52" s="2"/>
      <c r="L52" s="2"/>
      <c r="M52" s="2"/>
    </row>
    <row r="53" spans="1:13" x14ac:dyDescent="0.25">
      <c r="A53" s="2" t="str">
        <f ca="1">IFERROR(__xludf.DUMMYFUNCTION("""COMPUTED_VALUE"""),"bd4decc8")</f>
        <v>bd4decc8</v>
      </c>
      <c r="B53" s="2"/>
      <c r="C53" s="3">
        <f ca="1">IFERROR(__xludf.DUMMYFUNCTION("""COMPUTED_VALUE"""),45708.8094097222)</f>
        <v>45708.809409722198</v>
      </c>
      <c r="D53" s="2">
        <f ca="1">IFERROR(__xludf.DUMMYFUNCTION("""COMPUTED_VALUE"""),46)</f>
        <v>46</v>
      </c>
      <c r="E53" s="2">
        <f ca="1">IFERROR(__xludf.DUMMYFUNCTION("""COMPUTED_VALUE"""),29000)</f>
        <v>29000</v>
      </c>
      <c r="F53" s="2" t="str">
        <f ca="1">IFERROR(__xludf.DUMMYFUNCTION("""COMPUTED_VALUE"""),"Cabernet Sauvignon 24 Rect")</f>
        <v>Cabernet Sauvignon 24 Rect</v>
      </c>
      <c r="G53" s="2"/>
      <c r="H53" s="2">
        <f ca="1">IFERROR(__xludf.DUMMYFUNCTION("""COMPUTED_VALUE"""),29000)</f>
        <v>29000</v>
      </c>
      <c r="I53" s="2"/>
      <c r="J53" s="2"/>
      <c r="K53" s="2" t="str">
        <f ca="1">IFERROR(__xludf.DUMMYFUNCTION("""COMPUTED_VALUE"""),"Rectificado")</f>
        <v>Rectificado</v>
      </c>
      <c r="L53" s="2"/>
      <c r="M53" s="2"/>
    </row>
    <row r="54" spans="1:13" x14ac:dyDescent="0.25">
      <c r="A54" s="2" t="str">
        <f ca="1">IFERROR(__xludf.DUMMYFUNCTION("""COMPUTED_VALUE"""),"26b37af9")</f>
        <v>26b37af9</v>
      </c>
      <c r="B54" s="2"/>
      <c r="C54" s="3">
        <f ca="1">IFERROR(__xludf.DUMMYFUNCTION("""COMPUTED_VALUE"""),45708.81125)</f>
        <v>45708.811249999999</v>
      </c>
      <c r="D54" s="2">
        <f ca="1">IFERROR(__xludf.DUMMYFUNCTION("""COMPUTED_VALUE"""),52)</f>
        <v>52</v>
      </c>
      <c r="E54" s="2">
        <f ca="1">IFERROR(__xludf.DUMMYFUNCTION("""COMPUTED_VALUE"""),27000)</f>
        <v>27000</v>
      </c>
      <c r="F54" s="2" t="str">
        <f ca="1">IFERROR(__xludf.DUMMYFUNCTION("""COMPUTED_VALUE"""),"Chardonnay 24 Rect")</f>
        <v>Chardonnay 24 Rect</v>
      </c>
      <c r="G54" s="2"/>
      <c r="H54" s="2">
        <f ca="1">IFERROR(__xludf.DUMMYFUNCTION("""COMPUTED_VALUE"""),27000)</f>
        <v>27000</v>
      </c>
      <c r="I54" s="2"/>
      <c r="J54" s="2"/>
      <c r="K54" s="2" t="str">
        <f ca="1">IFERROR(__xludf.DUMMYFUNCTION("""COMPUTED_VALUE"""),"Rectificado")</f>
        <v>Rectificado</v>
      </c>
      <c r="L54" s="2"/>
      <c r="M54" s="2"/>
    </row>
    <row r="55" spans="1:13" x14ac:dyDescent="0.25">
      <c r="A55" s="2" t="str">
        <f ca="1">IFERROR(__xludf.DUMMYFUNCTION("""COMPUTED_VALUE"""),"4a5cb789")</f>
        <v>4a5cb789</v>
      </c>
      <c r="B55" s="2"/>
      <c r="C55" s="3">
        <f ca="1">IFERROR(__xludf.DUMMYFUNCTION("""COMPUTED_VALUE"""),45708.8114699074)</f>
        <v>45708.811469907399</v>
      </c>
      <c r="D55" s="2">
        <f ca="1">IFERROR(__xludf.DUMMYFUNCTION("""COMPUTED_VALUE"""),54)</f>
        <v>54</v>
      </c>
      <c r="E55" s="2">
        <f ca="1">IFERROR(__xludf.DUMMYFUNCTION("""COMPUTED_VALUE"""),22900)</f>
        <v>22900</v>
      </c>
      <c r="F55" s="2" t="str">
        <f ca="1">IFERROR(__xludf.DUMMYFUNCTION("""COMPUTED_VALUE"""),"Chardonnay 24 Rect")</f>
        <v>Chardonnay 24 Rect</v>
      </c>
      <c r="G55" s="2"/>
      <c r="H55" s="2">
        <f ca="1">IFERROR(__xludf.DUMMYFUNCTION("""COMPUTED_VALUE"""),22900)</f>
        <v>22900</v>
      </c>
      <c r="I55" s="2"/>
      <c r="J55" s="2"/>
      <c r="K55" s="2" t="str">
        <f ca="1">IFERROR(__xludf.DUMMYFUNCTION("""COMPUTED_VALUE"""),"Rectificado")</f>
        <v>Rectificado</v>
      </c>
      <c r="L55" s="2"/>
      <c r="M55" s="2"/>
    </row>
    <row r="56" spans="1:13" x14ac:dyDescent="0.25">
      <c r="A56" s="2" t="str">
        <f ca="1">IFERROR(__xludf.DUMMYFUNCTION("""COMPUTED_VALUE"""),"e3903041")</f>
        <v>e3903041</v>
      </c>
      <c r="B56" s="2"/>
      <c r="C56" s="3">
        <f ca="1">IFERROR(__xludf.DUMMYFUNCTION("""COMPUTED_VALUE"""),45708.8002546296)</f>
        <v>45708.800254629597</v>
      </c>
      <c r="D56" s="2">
        <f ca="1">IFERROR(__xludf.DUMMYFUNCTION("""COMPUTED_VALUE"""),89)</f>
        <v>89</v>
      </c>
      <c r="E56" s="2">
        <f ca="1">IFERROR(__xludf.DUMMYFUNCTION("""COMPUTED_VALUE"""),83500)</f>
        <v>83500</v>
      </c>
      <c r="F56" s="2" t="str">
        <f ca="1">IFERROR(__xludf.DUMMYFUNCTION("""COMPUTED_VALUE"""),"Syrah Colombo")</f>
        <v>Syrah Colombo</v>
      </c>
      <c r="G56" s="2"/>
      <c r="H56" s="2">
        <f ca="1">IFERROR(__xludf.DUMMYFUNCTION("""COMPUTED_VALUE"""),36000)</f>
        <v>36000</v>
      </c>
      <c r="I56" s="2" t="str">
        <f ca="1">IFERROR(__xludf.DUMMYFUNCTION("""COMPUTED_VALUE"""),"Polilla")</f>
        <v>Polilla</v>
      </c>
      <c r="J56" s="2" t="str">
        <f ca="1">IFERROR(__xludf.DUMMYFUNCTION("""COMPUTED_VALUE"""),"5852 , 5854 , 5855 , 5859 , 5865 , 5869")</f>
        <v>5852 , 5854 , 5855 , 5859 , 5865 , 5869</v>
      </c>
      <c r="K56" s="2"/>
      <c r="L56" s="2"/>
      <c r="M56" s="2"/>
    </row>
    <row r="57" spans="1:13" x14ac:dyDescent="0.25">
      <c r="A57" s="2" t="str">
        <f ca="1">IFERROR(__xludf.DUMMYFUNCTION("""COMPUTED_VALUE"""),"977cb5a1")</f>
        <v>977cb5a1</v>
      </c>
      <c r="B57" s="2"/>
      <c r="C57" s="3">
        <f ca="1">IFERROR(__xludf.DUMMYFUNCTION("""COMPUTED_VALUE"""),45709.8023842592)</f>
        <v>45709.802384259201</v>
      </c>
      <c r="D57" s="2">
        <f ca="1">IFERROR(__xludf.DUMMYFUNCTION("""COMPUTED_VALUE"""),92)</f>
        <v>92</v>
      </c>
      <c r="E57" s="2">
        <f ca="1">IFERROR(__xludf.DUMMYFUNCTION("""COMPUTED_VALUE"""),76000)</f>
        <v>76000</v>
      </c>
      <c r="F57" s="2" t="str">
        <f ca="1">IFERROR(__xludf.DUMMYFUNCTION("""COMPUTED_VALUE"""),"Syrah Tempranillo")</f>
        <v>Syrah Tempranillo</v>
      </c>
      <c r="G57" s="2"/>
      <c r="H57" s="2">
        <f ca="1">IFERROR(__xludf.DUMMYFUNCTION("""COMPUTED_VALUE"""),39700)</f>
        <v>39700</v>
      </c>
      <c r="I57" s="2"/>
      <c r="J57" s="2" t="str">
        <f ca="1">IFERROR(__xludf.DUMMYFUNCTION("""COMPUTED_VALUE"""),"5856 , 5857 , 5861 , 5863 , 5866 , 5867")</f>
        <v>5856 , 5857 , 5861 , 5863 , 5866 , 5867</v>
      </c>
      <c r="K57" s="2"/>
      <c r="L57" s="2"/>
      <c r="M57" s="2"/>
    </row>
    <row r="58" spans="1:13" x14ac:dyDescent="0.25">
      <c r="A58" s="2" t="str">
        <f ca="1">IFERROR(__xludf.DUMMYFUNCTION("""COMPUTED_VALUE"""),"d6272af5")</f>
        <v>d6272af5</v>
      </c>
      <c r="B58" s="2" t="str">
        <f ca="1">IFERROR(__xludf.DUMMYFUNCTION("""COMPUTED_VALUE"""),"f6f9d651, 868560b2")</f>
        <v>f6f9d651, 868560b2</v>
      </c>
      <c r="C58" s="3">
        <f ca="1">IFERROR(__xludf.DUMMYFUNCTION("""COMPUTED_VALUE"""),45709.835324074)</f>
        <v>45709.835324074003</v>
      </c>
      <c r="D58" s="2">
        <f ca="1">IFERROR(__xludf.DUMMYFUNCTION("""COMPUTED_VALUE"""),80)</f>
        <v>80</v>
      </c>
      <c r="E58" s="2">
        <f ca="1">IFERROR(__xludf.DUMMYFUNCTION("""COMPUTED_VALUE"""),26100)</f>
        <v>26100</v>
      </c>
      <c r="F58" s="2" t="str">
        <f ca="1">IFERROR(__xludf.DUMMYFUNCTION("""COMPUTED_VALUE"""),"Merlot s/ Asp")</f>
        <v>Merlot s/ Asp</v>
      </c>
      <c r="G58" s="2">
        <f ca="1">IFERROR(__xludf.DUMMYFUNCTION("""COMPUTED_VALUE"""),12000)</f>
        <v>12000</v>
      </c>
      <c r="H58" s="2">
        <f ca="1">IFERROR(__xludf.DUMMYFUNCTION("""COMPUTED_VALUE"""),22000)</f>
        <v>22000</v>
      </c>
      <c r="I58" s="2"/>
      <c r="J58" s="2"/>
      <c r="K58" s="2" t="str">
        <f ca="1">IFERROR(__xludf.DUMMYFUNCTION("""COMPUTED_VALUE"""),"Fermentando")</f>
        <v>Fermentando</v>
      </c>
      <c r="L58" s="2"/>
      <c r="M58" s="2"/>
    </row>
    <row r="59" spans="1:13" x14ac:dyDescent="0.25">
      <c r="A59" s="2" t="str">
        <f ca="1">IFERROR(__xludf.DUMMYFUNCTION("""COMPUTED_VALUE"""),"0aa8c362")</f>
        <v>0aa8c362</v>
      </c>
      <c r="B59" s="2" t="str">
        <f ca="1">IFERROR(__xludf.DUMMYFUNCTION("""COMPUTED_VALUE"""),"e323890c")</f>
        <v>e323890c</v>
      </c>
      <c r="C59" s="3">
        <f ca="1">IFERROR(__xludf.DUMMYFUNCTION("""COMPUTED_VALUE"""),45709.8367476851)</f>
        <v>45709.836747685098</v>
      </c>
      <c r="D59" s="2">
        <f ca="1">IFERROR(__xludf.DUMMYFUNCTION("""COMPUTED_VALUE"""),107)</f>
        <v>107</v>
      </c>
      <c r="E59" s="2">
        <f ca="1">IFERROR(__xludf.DUMMYFUNCTION("""COMPUTED_VALUE"""),31000)</f>
        <v>31000</v>
      </c>
      <c r="F59" s="2" t="str">
        <f ca="1">IFERROR(__xludf.DUMMYFUNCTION("""COMPUTED_VALUE"""),"Aspirant Anccelota Gota")</f>
        <v>Aspirant Anccelota Gota</v>
      </c>
      <c r="G59" s="2">
        <f ca="1">IFERROR(__xludf.DUMMYFUNCTION("""COMPUTED_VALUE"""),0)</f>
        <v>0</v>
      </c>
      <c r="H59" s="2">
        <f ca="1">IFERROR(__xludf.DUMMYFUNCTION("""COMPUTED_VALUE"""),30000)</f>
        <v>30000</v>
      </c>
      <c r="I59" s="2"/>
      <c r="J59" s="2"/>
      <c r="K59" s="2" t="str">
        <f ca="1">IFERROR(__xludf.DUMMYFUNCTION("""COMPUTED_VALUE"""),"Descubada")</f>
        <v>Descubada</v>
      </c>
      <c r="L59" s="2"/>
      <c r="M59" s="2"/>
    </row>
    <row r="60" spans="1:13" x14ac:dyDescent="0.25">
      <c r="A60" s="2" t="str">
        <f ca="1">IFERROR(__xludf.DUMMYFUNCTION("""COMPUTED_VALUE"""),"f8624f14")</f>
        <v>f8624f14</v>
      </c>
      <c r="B60" s="2" t="str">
        <f ca="1">IFERROR(__xludf.DUMMYFUNCTION("""COMPUTED_VALUE"""),"f6f9d651, e323890c")</f>
        <v>f6f9d651, e323890c</v>
      </c>
      <c r="C60" s="3">
        <f ca="1">IFERROR(__xludf.DUMMYFUNCTION("""COMPUTED_VALUE"""),45709.8379050925)</f>
        <v>45709.8379050925</v>
      </c>
      <c r="D60" s="2">
        <f ca="1">IFERROR(__xludf.DUMMYFUNCTION("""COMPUTED_VALUE"""),85)</f>
        <v>85</v>
      </c>
      <c r="E60" s="2">
        <f ca="1">IFERROR(__xludf.DUMMYFUNCTION("""COMPUTED_VALUE"""),84000)</f>
        <v>84000</v>
      </c>
      <c r="F60" s="2" t="str">
        <f ca="1">IFERROR(__xludf.DUMMYFUNCTION("""COMPUTED_VALUE"""),"Merlot s/Asp")</f>
        <v>Merlot s/Asp</v>
      </c>
      <c r="G60" s="2">
        <f ca="1">IFERROR(__xludf.DUMMYFUNCTION("""COMPUTED_VALUE"""),10000)</f>
        <v>10000</v>
      </c>
      <c r="H60" s="2">
        <f ca="1">IFERROR(__xludf.DUMMYFUNCTION("""COMPUTED_VALUE"""),28000)</f>
        <v>28000</v>
      </c>
      <c r="I60" s="2"/>
      <c r="J60" s="2"/>
      <c r="K60" s="2" t="str">
        <f ca="1">IFERROR(__xludf.DUMMYFUNCTION("""COMPUTED_VALUE"""),"Fermentando")</f>
        <v>Fermentando</v>
      </c>
      <c r="L60" s="2"/>
      <c r="M60" s="2"/>
    </row>
    <row r="61" spans="1:13" x14ac:dyDescent="0.25">
      <c r="A61" s="2" t="str">
        <f ca="1">IFERROR(__xludf.DUMMYFUNCTION("""COMPUTED_VALUE"""),"c3f4cae7")</f>
        <v>c3f4cae7</v>
      </c>
      <c r="B61" s="2"/>
      <c r="C61" s="3">
        <f ca="1">IFERROR(__xludf.DUMMYFUNCTION("""COMPUTED_VALUE"""),45710.4882754629)</f>
        <v>45710.4882754629</v>
      </c>
      <c r="D61" s="2">
        <f ca="1">IFERROR(__xludf.DUMMYFUNCTION("""COMPUTED_VALUE"""),82)</f>
        <v>82</v>
      </c>
      <c r="E61" s="2">
        <f ca="1">IFERROR(__xludf.DUMMYFUNCTION("""COMPUTED_VALUE"""),42600)</f>
        <v>42600</v>
      </c>
      <c r="F61" s="2" t="str">
        <f ca="1">IFERROR(__xludf.DUMMYFUNCTION("""COMPUTED_VALUE"""),"Chardonnay")</f>
        <v>Chardonnay</v>
      </c>
      <c r="G61" s="2"/>
      <c r="H61" s="2">
        <f ca="1">IFERROR(__xludf.DUMMYFUNCTION("""COMPUTED_VALUE"""),28000)</f>
        <v>28000</v>
      </c>
      <c r="I61" s="2"/>
      <c r="J61" s="2" t="str">
        <f ca="1">IFERROR(__xludf.DUMMYFUNCTION("""COMPUTED_VALUE"""),"5868 , 5873 , 5864 , 5872 , 5780 , 5782 , 5783")</f>
        <v>5868 , 5873 , 5864 , 5872 , 5780 , 5782 , 5783</v>
      </c>
      <c r="K61" s="2" t="str">
        <f ca="1">IFERROR(__xludf.DUMMYFUNCTION("""COMPUTED_VALUE"""),"Fermentando")</f>
        <v>Fermentando</v>
      </c>
      <c r="L61" s="2"/>
      <c r="M61" s="2"/>
    </row>
    <row r="62" spans="1:13" x14ac:dyDescent="0.25">
      <c r="A62" s="2" t="str">
        <f ca="1">IFERROR(__xludf.DUMMYFUNCTION("""COMPUTED_VALUE"""),"a1e13111")</f>
        <v>a1e13111</v>
      </c>
      <c r="B62" s="2"/>
      <c r="C62" s="3">
        <f ca="1">IFERROR(__xludf.DUMMYFUNCTION("""COMPUTED_VALUE"""),45712.4687384259)</f>
        <v>45712.468738425901</v>
      </c>
      <c r="D62" s="2">
        <f ca="1">IFERROR(__xludf.DUMMYFUNCTION("""COMPUTED_VALUE"""),32)</f>
        <v>32</v>
      </c>
      <c r="E62" s="2">
        <f ca="1">IFERROR(__xludf.DUMMYFUNCTION("""COMPUTED_VALUE"""),36300)</f>
        <v>36300</v>
      </c>
      <c r="F62" s="2" t="str">
        <f ca="1">IFERROR(__xludf.DUMMYFUNCTION("""COMPUTED_VALUE"""),"Chardonnay (Filtra)")</f>
        <v>Chardonnay (Filtra)</v>
      </c>
      <c r="G62" s="2"/>
      <c r="H62" s="2">
        <f ca="1">IFERROR(__xludf.DUMMYFUNCTION("""COMPUTED_VALUE"""),36300)</f>
        <v>36300</v>
      </c>
      <c r="I62" s="2" t="str">
        <f ca="1">IFERROR(__xludf.DUMMYFUNCTION("""COMPUTED_VALUE"""),"14/5
Fresco, rico")</f>
        <v>14/5
Fresco, rico</v>
      </c>
      <c r="J62" s="2"/>
      <c r="K62" s="2" t="str">
        <f ca="1">IFERROR(__xludf.DUMMYFUNCTION("""COMPUTED_VALUE"""),"Descubada")</f>
        <v>Descubada</v>
      </c>
      <c r="L62" s="2" t="str">
        <f ca="1">IFERROR(__xludf.DUMMYFUNCTION("""COMPUTED_VALUE"""),"1")</f>
        <v>1</v>
      </c>
      <c r="M62" s="2" t="str">
        <f ca="1">IFERROR(__xludf.DUMMYFUNCTION("""COMPUTED_VALUE"""),"Blanco")</f>
        <v>Blanco</v>
      </c>
    </row>
    <row r="63" spans="1:13" x14ac:dyDescent="0.25">
      <c r="A63" s="2" t="str">
        <f ca="1">IFERROR(__xludf.DUMMYFUNCTION("""COMPUTED_VALUE"""),"7def2139")</f>
        <v>7def2139</v>
      </c>
      <c r="B63" s="2"/>
      <c r="C63" s="3">
        <f ca="1">IFERROR(__xludf.DUMMYFUNCTION("""COMPUTED_VALUE"""),45712.4690277777)</f>
        <v>45712.469027777697</v>
      </c>
      <c r="D63" s="2">
        <f ca="1">IFERROR(__xludf.DUMMYFUNCTION("""COMPUTED_VALUE"""),33)</f>
        <v>33</v>
      </c>
      <c r="E63" s="2">
        <f ca="1">IFERROR(__xludf.DUMMYFUNCTION("""COMPUTED_VALUE"""),25300)</f>
        <v>25300</v>
      </c>
      <c r="F63" s="2" t="str">
        <f ca="1">IFERROR(__xludf.DUMMYFUNCTION("""COMPUTED_VALUE"""),"Chardonnay")</f>
        <v>Chardonnay</v>
      </c>
      <c r="G63" s="2"/>
      <c r="H63" s="2">
        <f ca="1">IFERROR(__xludf.DUMMYFUNCTION("""COMPUTED_VALUE"""),25300)</f>
        <v>25300</v>
      </c>
      <c r="I63" s="2" t="str">
        <f ca="1">IFERROR(__xludf.DUMMYFUNCTION("""COMPUTED_VALUE"""),"14/5
.bien comercial")</f>
        <v>14/5
.bien comercial</v>
      </c>
      <c r="J63" s="2"/>
      <c r="K63" s="2" t="str">
        <f ca="1">IFERROR(__xludf.DUMMYFUNCTION("""COMPUTED_VALUE"""),"Descubada")</f>
        <v>Descubada</v>
      </c>
      <c r="L63" s="2" t="str">
        <f ca="1">IFERROR(__xludf.DUMMYFUNCTION("""COMPUTED_VALUE"""),"1-")</f>
        <v>1-</v>
      </c>
      <c r="M63" s="2" t="str">
        <f ca="1">IFERROR(__xludf.DUMMYFUNCTION("""COMPUTED_VALUE"""),"Blanco")</f>
        <v>Blanco</v>
      </c>
    </row>
    <row r="64" spans="1:13" x14ac:dyDescent="0.25">
      <c r="A64" s="2" t="str">
        <f ca="1">IFERROR(__xludf.DUMMYFUNCTION("""COMPUTED_VALUE"""),"8a7074cf")</f>
        <v>8a7074cf</v>
      </c>
      <c r="B64" s="2"/>
      <c r="C64" s="3">
        <f ca="1">IFERROR(__xludf.DUMMYFUNCTION("""COMPUTED_VALUE"""),45712.4692824074)</f>
        <v>45712.469282407401</v>
      </c>
      <c r="D64" s="2">
        <f ca="1">IFERROR(__xludf.DUMMYFUNCTION("""COMPUTED_VALUE"""),31)</f>
        <v>31</v>
      </c>
      <c r="E64" s="2">
        <f ca="1">IFERROR(__xludf.DUMMYFUNCTION("""COMPUTED_VALUE"""),25700)</f>
        <v>25700</v>
      </c>
      <c r="F64" s="2" t="str">
        <f ca="1">IFERROR(__xludf.DUMMYFUNCTION("""COMPUTED_VALUE"""),"Chardonnay")</f>
        <v>Chardonnay</v>
      </c>
      <c r="G64" s="2"/>
      <c r="H64" s="2">
        <f ca="1">IFERROR(__xludf.DUMMYFUNCTION("""COMPUTED_VALUE"""),25700)</f>
        <v>25700</v>
      </c>
      <c r="I64" s="2" t="str">
        <f ca="1">IFERROR(__xludf.DUMMYFUNCTION("""COMPUTED_VALUE"""),"14/5
simple, para una base")</f>
        <v>14/5
simple, para una base</v>
      </c>
      <c r="J64" s="2"/>
      <c r="K64" s="2" t="str">
        <f ca="1">IFERROR(__xludf.DUMMYFUNCTION("""COMPUTED_VALUE"""),"Descubada")</f>
        <v>Descubada</v>
      </c>
      <c r="L64" s="2"/>
      <c r="M64" s="2"/>
    </row>
    <row r="65" spans="1:13" x14ac:dyDescent="0.25">
      <c r="A65" s="2" t="str">
        <f ca="1">IFERROR(__xludf.DUMMYFUNCTION("""COMPUTED_VALUE"""),"7c5390c8")</f>
        <v>7c5390c8</v>
      </c>
      <c r="B65" s="2"/>
      <c r="C65" s="3">
        <f ca="1">IFERROR(__xludf.DUMMYFUNCTION("""COMPUTED_VALUE"""),45712.469537037)</f>
        <v>45712.469537037003</v>
      </c>
      <c r="D65" s="2">
        <f ca="1">IFERROR(__xludf.DUMMYFUNCTION("""COMPUTED_VALUE"""),40)</f>
        <v>40</v>
      </c>
      <c r="E65" s="2">
        <f ca="1">IFERROR(__xludf.DUMMYFUNCTION("""COMPUTED_VALUE"""),24000)</f>
        <v>24000</v>
      </c>
      <c r="F65" s="2" t="str">
        <f ca="1">IFERROR(__xludf.DUMMYFUNCTION("""COMPUTED_VALUE"""),"Chardonnay")</f>
        <v>Chardonnay</v>
      </c>
      <c r="G65" s="2"/>
      <c r="H65" s="2">
        <f ca="1">IFERROR(__xludf.DUMMYFUNCTION("""COMPUTED_VALUE"""),24000)</f>
        <v>24000</v>
      </c>
      <c r="I65" s="2" t="str">
        <f ca="1">IFERROR(__xludf.DUMMYFUNCTION("""COMPUTED_VALUE"""),"14/5
muy rico")</f>
        <v>14/5
muy rico</v>
      </c>
      <c r="J65" s="2"/>
      <c r="K65" s="2" t="str">
        <f ca="1">IFERROR(__xludf.DUMMYFUNCTION("""COMPUTED_VALUE"""),"Descubada")</f>
        <v>Descubada</v>
      </c>
      <c r="L65" s="2" t="str">
        <f ca="1">IFERROR(__xludf.DUMMYFUNCTION("""COMPUTED_VALUE"""),"1")</f>
        <v>1</v>
      </c>
      <c r="M65" s="2" t="str">
        <f ca="1">IFERROR(__xludf.DUMMYFUNCTION("""COMPUTED_VALUE"""),"Blanco")</f>
        <v>Blanco</v>
      </c>
    </row>
    <row r="66" spans="1:13" x14ac:dyDescent="0.25">
      <c r="A66" s="2" t="str">
        <f ca="1">IFERROR(__xludf.DUMMYFUNCTION("""COMPUTED_VALUE"""),"861200f5")</f>
        <v>861200f5</v>
      </c>
      <c r="B66" s="2"/>
      <c r="C66" s="3">
        <f ca="1">IFERROR(__xludf.DUMMYFUNCTION("""COMPUTED_VALUE"""),45712.4714814814)</f>
        <v>45712.4714814814</v>
      </c>
      <c r="D66" s="2">
        <f ca="1">IFERROR(__xludf.DUMMYFUNCTION("""COMPUTED_VALUE"""),81)</f>
        <v>81</v>
      </c>
      <c r="E66" s="2">
        <f ca="1">IFERROR(__xludf.DUMMYFUNCTION("""COMPUTED_VALUE"""),26500)</f>
        <v>26500</v>
      </c>
      <c r="F66" s="2" t="str">
        <f ca="1">IFERROR(__xludf.DUMMYFUNCTION("""COMPUTED_VALUE"""),"Chardonnay")</f>
        <v>Chardonnay</v>
      </c>
      <c r="G66" s="2"/>
      <c r="H66" s="2">
        <f ca="1">IFERROR(__xludf.DUMMYFUNCTION("""COMPUTED_VALUE"""),24000)</f>
        <v>24000</v>
      </c>
      <c r="I66" s="2"/>
      <c r="J66" s="2"/>
      <c r="K66" s="2" t="str">
        <f ca="1">IFERROR(__xludf.DUMMYFUNCTION("""COMPUTED_VALUE"""),"Fermentando")</f>
        <v>Fermentando</v>
      </c>
      <c r="L66" s="2"/>
      <c r="M66" s="2"/>
    </row>
    <row r="67" spans="1:13" x14ac:dyDescent="0.25">
      <c r="A67" s="2" t="str">
        <f ca="1">IFERROR(__xludf.DUMMYFUNCTION("""COMPUTED_VALUE"""),"7e515c96")</f>
        <v>7e515c96</v>
      </c>
      <c r="B67" s="2"/>
      <c r="C67" s="3">
        <f ca="1">IFERROR(__xludf.DUMMYFUNCTION("""COMPUTED_VALUE"""),45712.4719675925)</f>
        <v>45712.471967592501</v>
      </c>
      <c r="D67" s="2">
        <f ca="1">IFERROR(__xludf.DUMMYFUNCTION("""COMPUTED_VALUE"""),78)</f>
        <v>78</v>
      </c>
      <c r="E67" s="2">
        <f ca="1">IFERROR(__xludf.DUMMYFUNCTION("""COMPUTED_VALUE"""),25800)</f>
        <v>25800</v>
      </c>
      <c r="F67" s="2" t="str">
        <f ca="1">IFERROR(__xludf.DUMMYFUNCTION("""COMPUTED_VALUE"""),"Chardonnay")</f>
        <v>Chardonnay</v>
      </c>
      <c r="G67" s="2"/>
      <c r="H67" s="2">
        <f ca="1">IFERROR(__xludf.DUMMYFUNCTION("""COMPUTED_VALUE"""),24000)</f>
        <v>24000</v>
      </c>
      <c r="I67" s="2"/>
      <c r="J67" s="2"/>
      <c r="K67" s="2" t="str">
        <f ca="1">IFERROR(__xludf.DUMMYFUNCTION("""COMPUTED_VALUE"""),"Fermentando")</f>
        <v>Fermentando</v>
      </c>
      <c r="L67" s="2"/>
      <c r="M67" s="2"/>
    </row>
    <row r="68" spans="1:13" x14ac:dyDescent="0.25">
      <c r="A68" s="2" t="str">
        <f ca="1">IFERROR(__xludf.DUMMYFUNCTION("""COMPUTED_VALUE"""),"dae2c109")</f>
        <v>dae2c109</v>
      </c>
      <c r="B68" s="2"/>
      <c r="C68" s="3">
        <f ca="1">IFERROR(__xludf.DUMMYFUNCTION("""COMPUTED_VALUE"""),45712.4723379629)</f>
        <v>45712.472337962899</v>
      </c>
      <c r="D68" s="2">
        <f ca="1">IFERROR(__xludf.DUMMYFUNCTION("""COMPUTED_VALUE"""),79)</f>
        <v>79</v>
      </c>
      <c r="E68" s="2">
        <f ca="1">IFERROR(__xludf.DUMMYFUNCTION("""COMPUTED_VALUE"""),26000)</f>
        <v>26000</v>
      </c>
      <c r="F68" s="2" t="str">
        <f ca="1">IFERROR(__xludf.DUMMYFUNCTION("""COMPUTED_VALUE"""),"Chardonnay")</f>
        <v>Chardonnay</v>
      </c>
      <c r="G68" s="2"/>
      <c r="H68" s="2">
        <f ca="1">IFERROR(__xludf.DUMMYFUNCTION("""COMPUTED_VALUE"""),24000)</f>
        <v>24000</v>
      </c>
      <c r="I68" s="2"/>
      <c r="J68" s="2"/>
      <c r="K68" s="2" t="str">
        <f ca="1">IFERROR(__xludf.DUMMYFUNCTION("""COMPUTED_VALUE"""),"Fermentando")</f>
        <v>Fermentando</v>
      </c>
      <c r="L68" s="2"/>
      <c r="M68" s="2"/>
    </row>
    <row r="69" spans="1:13" x14ac:dyDescent="0.25">
      <c r="A69" s="2" t="str">
        <f ca="1">IFERROR(__xludf.DUMMYFUNCTION("""COMPUTED_VALUE"""),"a43178d5")</f>
        <v>a43178d5</v>
      </c>
      <c r="B69" s="2" t="str">
        <f ca="1">IFERROR(__xludf.DUMMYFUNCTION("""COMPUTED_VALUE"""),"13b5f72f, 1749cd27")</f>
        <v>13b5f72f, 1749cd27</v>
      </c>
      <c r="C69" s="3">
        <f ca="1">IFERROR(__xludf.DUMMYFUNCTION("""COMPUTED_VALUE"""),45713.5275462962)</f>
        <v>45713.527546296202</v>
      </c>
      <c r="D69" s="2">
        <f ca="1">IFERROR(__xludf.DUMMYFUNCTION("""COMPUTED_VALUE"""),105)</f>
        <v>105</v>
      </c>
      <c r="E69" s="2">
        <f ca="1">IFERROR(__xludf.DUMMYFUNCTION("""COMPUTED_VALUE"""),31000)</f>
        <v>31000</v>
      </c>
      <c r="F69" s="2" t="str">
        <f ca="1">IFERROR(__xludf.DUMMYFUNCTION("""COMPUTED_VALUE"""),"Syrah Merlot s/Asp gota")</f>
        <v>Syrah Merlot s/Asp gota</v>
      </c>
      <c r="G69" s="2">
        <f ca="1">IFERROR(__xludf.DUMMYFUNCTION("""COMPUTED_VALUE"""),5000)</f>
        <v>5000</v>
      </c>
      <c r="H69" s="2">
        <f ca="1">IFERROR(__xludf.DUMMYFUNCTION("""COMPUTED_VALUE"""),30000)</f>
        <v>30000</v>
      </c>
      <c r="I69" s="2"/>
      <c r="J69" s="2"/>
      <c r="K69" s="2"/>
      <c r="L69" s="2"/>
      <c r="M69" s="2"/>
    </row>
    <row r="70" spans="1:13" x14ac:dyDescent="0.25">
      <c r="A70" s="2" t="str">
        <f ca="1">IFERROR(__xludf.DUMMYFUNCTION("""COMPUTED_VALUE"""),"a1ad6cb4")</f>
        <v>a1ad6cb4</v>
      </c>
      <c r="B70" s="2" t="str">
        <f ca="1">IFERROR(__xludf.DUMMYFUNCTION("""COMPUTED_VALUE"""),"13b5f72f, ")</f>
        <v xml:space="preserve">13b5f72f, </v>
      </c>
      <c r="C70" s="3">
        <f ca="1">IFERROR(__xludf.DUMMYFUNCTION("""COMPUTED_VALUE"""),45713.5397916666)</f>
        <v>45713.539791666597</v>
      </c>
      <c r="D70" s="2">
        <f ca="1">IFERROR(__xludf.DUMMYFUNCTION("""COMPUTED_VALUE"""),108)</f>
        <v>108</v>
      </c>
      <c r="E70" s="2">
        <f ca="1">IFERROR(__xludf.DUMMYFUNCTION("""COMPUTED_VALUE"""),31000)</f>
        <v>31000</v>
      </c>
      <c r="F70" s="2" t="str">
        <f ca="1">IFERROR(__xludf.DUMMYFUNCTION("""COMPUTED_VALUE"""),"Syrah Merlot s/Asp Gota")</f>
        <v>Syrah Merlot s/Asp Gota</v>
      </c>
      <c r="G70" s="2">
        <f ca="1">IFERROR(__xludf.DUMMYFUNCTION("""COMPUTED_VALUE"""),0)</f>
        <v>0</v>
      </c>
      <c r="H70" s="2">
        <f ca="1">IFERROR(__xludf.DUMMYFUNCTION("""COMPUTED_VALUE"""),7500)</f>
        <v>7500</v>
      </c>
      <c r="I70" s="2"/>
      <c r="J70" s="2"/>
      <c r="K70" s="2" t="str">
        <f ca="1">IFERROR(__xludf.DUMMYFUNCTION("""COMPUTED_VALUE"""),"Descubada")</f>
        <v>Descubada</v>
      </c>
      <c r="L70" s="2"/>
      <c r="M70" s="2"/>
    </row>
    <row r="71" spans="1:13" x14ac:dyDescent="0.25">
      <c r="A71" s="2" t="str">
        <f ca="1">IFERROR(__xludf.DUMMYFUNCTION("""COMPUTED_VALUE"""),"3b2a1e70")</f>
        <v>3b2a1e70</v>
      </c>
      <c r="B71" s="2" t="str">
        <f ca="1">IFERROR(__xludf.DUMMYFUNCTION("""COMPUTED_VALUE"""),"977cb5a1, 13b5f72f")</f>
        <v>977cb5a1, 13b5f72f</v>
      </c>
      <c r="C71" s="3">
        <f ca="1">IFERROR(__xludf.DUMMYFUNCTION("""COMPUTED_VALUE"""),45713.5416203703)</f>
        <v>45713.541620370299</v>
      </c>
      <c r="D71" s="2">
        <f ca="1">IFERROR(__xludf.DUMMYFUNCTION("""COMPUTED_VALUE"""),86)</f>
        <v>86</v>
      </c>
      <c r="E71" s="2">
        <f ca="1">IFERROR(__xludf.DUMMYFUNCTION("""COMPUTED_VALUE"""),88000)</f>
        <v>88000</v>
      </c>
      <c r="F71" s="2" t="str">
        <f ca="1">IFERROR(__xludf.DUMMYFUNCTION("""COMPUTED_VALUE"""),"Syrah Tempranillo s/Asp 2da")</f>
        <v>Syrah Tempranillo s/Asp 2da</v>
      </c>
      <c r="G71" s="2">
        <f ca="1">IFERROR(__xludf.DUMMYFUNCTION("""COMPUTED_VALUE"""),7500)</f>
        <v>7500</v>
      </c>
      <c r="H71" s="2">
        <f ca="1">IFERROR(__xludf.DUMMYFUNCTION("""COMPUTED_VALUE"""),47200)</f>
        <v>47200</v>
      </c>
      <c r="I71" s="2" t="str">
        <f ca="1">IFERROR(__xludf.DUMMYFUNCTION("""COMPUTED_VALUE"""),"Prueba offline")</f>
        <v>Prueba offline</v>
      </c>
      <c r="J71" s="2"/>
      <c r="K71" s="2" t="str">
        <f ca="1">IFERROR(__xludf.DUMMYFUNCTION("""COMPUTED_VALUE"""),"Fermentando")</f>
        <v>Fermentando</v>
      </c>
      <c r="L71" s="2"/>
      <c r="M71" s="2"/>
    </row>
    <row r="72" spans="1:13" x14ac:dyDescent="0.25">
      <c r="A72" s="2" t="str">
        <f ca="1">IFERROR(__xludf.DUMMYFUNCTION("""COMPUTED_VALUE"""),"d177809a")</f>
        <v>d177809a</v>
      </c>
      <c r="B72" s="2"/>
      <c r="C72" s="3">
        <f ca="1">IFERROR(__xludf.DUMMYFUNCTION("""COMPUTED_VALUE"""),45713.5424421296)</f>
        <v>45713.542442129597</v>
      </c>
      <c r="D72" s="2">
        <f ca="1">IFERROR(__xludf.DUMMYFUNCTION("""COMPUTED_VALUE"""),83)</f>
        <v>83</v>
      </c>
      <c r="E72" s="2">
        <f ca="1">IFERROR(__xludf.DUMMYFUNCTION("""COMPUTED_VALUE"""),81500)</f>
        <v>81500</v>
      </c>
      <c r="F72" s="2" t="str">
        <f ca="1">IFERROR(__xludf.DUMMYFUNCTION("""COMPUTED_VALUE"""),"Syrah")</f>
        <v>Syrah</v>
      </c>
      <c r="G72" s="2"/>
      <c r="H72" s="2">
        <f ca="1">IFERROR(__xludf.DUMMYFUNCTION("""COMPUTED_VALUE"""),35800)</f>
        <v>35800</v>
      </c>
      <c r="I72" s="2"/>
      <c r="J72" s="2" t="str">
        <f ca="1">IFERROR(__xludf.DUMMYFUNCTION("""COMPUTED_VALUE"""),"5871 , 5870 , 5874 , 5875")</f>
        <v>5871 , 5870 , 5874 , 5875</v>
      </c>
      <c r="K72" s="2" t="str">
        <f ca="1">IFERROR(__xludf.DUMMYFUNCTION("""COMPUTED_VALUE"""),"Fermentando")</f>
        <v>Fermentando</v>
      </c>
      <c r="L72" s="2"/>
      <c r="M72" s="2"/>
    </row>
    <row r="73" spans="1:13" x14ac:dyDescent="0.25">
      <c r="A73" s="2" t="str">
        <f ca="1">IFERROR(__xludf.DUMMYFUNCTION("""COMPUTED_VALUE"""),"8b03a986")</f>
        <v>8b03a986</v>
      </c>
      <c r="B73" s="2"/>
      <c r="C73" s="3">
        <f ca="1">IFERROR(__xludf.DUMMYFUNCTION("""COMPUTED_VALUE"""),45713.5441319444)</f>
        <v>45713.5441319444</v>
      </c>
      <c r="D73" s="2">
        <f ca="1">IFERROR(__xludf.DUMMYFUNCTION("""COMPUTED_VALUE"""),88)</f>
        <v>88</v>
      </c>
      <c r="E73" s="2">
        <f ca="1">IFERROR(__xludf.DUMMYFUNCTION("""COMPUTED_VALUE"""),78900)</f>
        <v>78900</v>
      </c>
      <c r="F73" s="2" t="str">
        <f ca="1">IFERROR(__xludf.DUMMYFUNCTION("""COMPUTED_VALUE"""),"Syrah")</f>
        <v>Syrah</v>
      </c>
      <c r="G73" s="2"/>
      <c r="H73" s="2">
        <f ca="1">IFERROR(__xludf.DUMMYFUNCTION("""COMPUTED_VALUE"""),37400)</f>
        <v>37400</v>
      </c>
      <c r="I73" s="2"/>
      <c r="J73" s="2" t="str">
        <f ca="1">IFERROR(__xludf.DUMMYFUNCTION("""COMPUTED_VALUE"""),"5878 , 5877 , 5876 , 5879 , 5880")</f>
        <v>5878 , 5877 , 5876 , 5879 , 5880</v>
      </c>
      <c r="K73" s="2" t="str">
        <f ca="1">IFERROR(__xludf.DUMMYFUNCTION("""COMPUTED_VALUE"""),"Fermentando")</f>
        <v>Fermentando</v>
      </c>
      <c r="L73" s="2"/>
      <c r="M73" s="2"/>
    </row>
    <row r="74" spans="1:13" x14ac:dyDescent="0.25">
      <c r="A74" s="2" t="str">
        <f ca="1">IFERROR(__xludf.DUMMYFUNCTION("""COMPUTED_VALUE"""),"00e2c403")</f>
        <v>00e2c403</v>
      </c>
      <c r="B74" s="2"/>
      <c r="C74" s="3">
        <f ca="1">IFERROR(__xludf.DUMMYFUNCTION("""COMPUTED_VALUE"""),45713.7088310185)</f>
        <v>45713.708831018499</v>
      </c>
      <c r="D74" s="2">
        <f ca="1">IFERROR(__xludf.DUMMYFUNCTION("""COMPUTED_VALUE"""),59)</f>
        <v>59</v>
      </c>
      <c r="E74" s="2">
        <f ca="1">IFERROR(__xludf.DUMMYFUNCTION("""COMPUTED_VALUE"""),58200)</f>
        <v>58200</v>
      </c>
      <c r="F74" s="2" t="str">
        <f ca="1">IFERROR(__xludf.DUMMYFUNCTION("""COMPUTED_VALUE"""),"prueba 1")</f>
        <v>prueba 1</v>
      </c>
      <c r="G74" s="2"/>
      <c r="H74" s="2">
        <f ca="1">IFERROR(__xludf.DUMMYFUNCTION("""COMPUTED_VALUE"""),10000)</f>
        <v>10000</v>
      </c>
      <c r="I74" s="2"/>
      <c r="J74" s="2"/>
      <c r="K74" s="2"/>
      <c r="L74" s="2"/>
      <c r="M74" s="2"/>
    </row>
    <row r="75" spans="1:13" x14ac:dyDescent="0.25">
      <c r="A75" s="2" t="str">
        <f ca="1">IFERROR(__xludf.DUMMYFUNCTION("""COMPUTED_VALUE"""),"cff5f914")</f>
        <v>cff5f914</v>
      </c>
      <c r="B75" s="2"/>
      <c r="C75" s="3">
        <f ca="1">IFERROR(__xludf.DUMMYFUNCTION("""COMPUTED_VALUE"""),45713.7090972222)</f>
        <v>45713.709097222199</v>
      </c>
      <c r="D75" s="2">
        <f ca="1">IFERROR(__xludf.DUMMYFUNCTION("""COMPUTED_VALUE"""),60)</f>
        <v>60</v>
      </c>
      <c r="E75" s="2">
        <f ca="1">IFERROR(__xludf.DUMMYFUNCTION("""COMPUTED_VALUE"""),55000)</f>
        <v>55000</v>
      </c>
      <c r="F75" s="2" t="str">
        <f ca="1">IFERROR(__xludf.DUMMYFUNCTION("""COMPUTED_VALUE"""),"Prueva 2 Variedad")</f>
        <v>Prueva 2 Variedad</v>
      </c>
      <c r="G75" s="2">
        <f ca="1">IFERROR(__xludf.DUMMYFUNCTION("""COMPUTED_VALUE"""),12000)</f>
        <v>12000</v>
      </c>
      <c r="H75" s="2">
        <f ca="1">IFERROR(__xludf.DUMMYFUNCTION("""COMPUTED_VALUE"""),55000)</f>
        <v>55000</v>
      </c>
      <c r="I75" s="2"/>
      <c r="J75" s="2"/>
      <c r="K75" s="2"/>
      <c r="L75" s="2"/>
      <c r="M75" s="2"/>
    </row>
    <row r="76" spans="1:13" x14ac:dyDescent="0.25">
      <c r="A76" s="2" t="str">
        <f ca="1">IFERROR(__xludf.DUMMYFUNCTION("""COMPUTED_VALUE"""),"fa54e834")</f>
        <v>fa54e834</v>
      </c>
      <c r="B76" s="2" t="str">
        <f ca="1">IFERROR(__xludf.DUMMYFUNCTION("""COMPUTED_VALUE"""),"cff5f914, 00e2c403")</f>
        <v>cff5f914, 00e2c403</v>
      </c>
      <c r="C76" s="3">
        <f ca="1">IFERROR(__xludf.DUMMYFUNCTION("""COMPUTED_VALUE"""),45713.7122916666)</f>
        <v>45713.712291666598</v>
      </c>
      <c r="D76" s="2">
        <f ca="1">IFERROR(__xludf.DUMMYFUNCTION("""COMPUTED_VALUE"""),59)</f>
        <v>59</v>
      </c>
      <c r="E76" s="2">
        <f ca="1">IFERROR(__xludf.DUMMYFUNCTION("""COMPUTED_VALUE"""),58200)</f>
        <v>58200</v>
      </c>
      <c r="F76" s="2" t="str">
        <f ca="1">IFERROR(__xludf.DUMMYFUNCTION("""COMPUTED_VALUE"""),"Prueva 2 Variedad")</f>
        <v>Prueva 2 Variedad</v>
      </c>
      <c r="G76" s="2">
        <f ca="1">IFERROR(__xludf.DUMMYFUNCTION("""COMPUTED_VALUE"""),10000)</f>
        <v>10000</v>
      </c>
      <c r="H76" s="2">
        <f ca="1">IFERROR(__xludf.DUMMYFUNCTION("""COMPUTED_VALUE"""),18000)</f>
        <v>18000</v>
      </c>
      <c r="I76" s="2"/>
      <c r="J76" s="2"/>
      <c r="K76" s="2"/>
      <c r="L76" s="2"/>
      <c r="M76" s="2"/>
    </row>
    <row r="77" spans="1:13" x14ac:dyDescent="0.25">
      <c r="A77" s="2" t="str">
        <f ca="1">IFERROR(__xludf.DUMMYFUNCTION("""COMPUTED_VALUE"""),"24faf549")</f>
        <v>24faf549</v>
      </c>
      <c r="B77" s="2" t="str">
        <f ca="1">IFERROR(__xludf.DUMMYFUNCTION("""COMPUTED_VALUE"""),"cff5f914, fa54e834")</f>
        <v>cff5f914, fa54e834</v>
      </c>
      <c r="C77" s="3">
        <f ca="1">IFERROR(__xludf.DUMMYFUNCTION("""COMPUTED_VALUE"""),45713.7203819444)</f>
        <v>45713.720381944397</v>
      </c>
      <c r="D77" s="2">
        <f ca="1">IFERROR(__xludf.DUMMYFUNCTION("""COMPUTED_VALUE"""),59)</f>
        <v>59</v>
      </c>
      <c r="E77" s="2">
        <f ca="1">IFERROR(__xludf.DUMMYFUNCTION("""COMPUTED_VALUE"""),58200)</f>
        <v>58200</v>
      </c>
      <c r="F77" s="2" t="str">
        <f ca="1">IFERROR(__xludf.DUMMYFUNCTION("""COMPUTED_VALUE"""),"Prueva 2 Variedad")</f>
        <v>Prueva 2 Variedad</v>
      </c>
      <c r="G77" s="2">
        <f ca="1">IFERROR(__xludf.DUMMYFUNCTION("""COMPUTED_VALUE"""),18000)</f>
        <v>18000</v>
      </c>
      <c r="H77" s="2">
        <f ca="1">IFERROR(__xludf.DUMMYFUNCTION("""COMPUTED_VALUE"""),25000)</f>
        <v>25000</v>
      </c>
      <c r="I77" s="2"/>
      <c r="J77" s="2"/>
      <c r="K77" s="2"/>
      <c r="L77" s="2"/>
      <c r="M77" s="2"/>
    </row>
    <row r="78" spans="1:13" x14ac:dyDescent="0.25">
      <c r="A78" s="2" t="str">
        <f ca="1">IFERROR(__xludf.DUMMYFUNCTION("""COMPUTED_VALUE"""),"57a0fadf")</f>
        <v>57a0fadf</v>
      </c>
      <c r="B78" s="2" t="str">
        <f ca="1">IFERROR(__xludf.DUMMYFUNCTION("""COMPUTED_VALUE"""),"cff5f914, 24faf549")</f>
        <v>cff5f914, 24faf549</v>
      </c>
      <c r="C78" s="3">
        <f ca="1">IFERROR(__xludf.DUMMYFUNCTION("""COMPUTED_VALUE"""),45713.7225578703)</f>
        <v>45713.7225578703</v>
      </c>
      <c r="D78" s="2">
        <f ca="1">IFERROR(__xludf.DUMMYFUNCTION("""COMPUTED_VALUE"""),59)</f>
        <v>59</v>
      </c>
      <c r="E78" s="2">
        <f ca="1">IFERROR(__xludf.DUMMYFUNCTION("""COMPUTED_VALUE"""),58200)</f>
        <v>58200</v>
      </c>
      <c r="F78" s="2" t="str">
        <f ca="1">IFERROR(__xludf.DUMMYFUNCTION("""COMPUTED_VALUE"""),"Prueva 2 Variedad")</f>
        <v>Prueva 2 Variedad</v>
      </c>
      <c r="G78" s="2">
        <f ca="1">IFERROR(__xludf.DUMMYFUNCTION("""COMPUTED_VALUE"""),25000)</f>
        <v>25000</v>
      </c>
      <c r="H78" s="2">
        <f ca="1">IFERROR(__xludf.DUMMYFUNCTION("""COMPUTED_VALUE"""),35000)</f>
        <v>35000</v>
      </c>
      <c r="I78" s="2"/>
      <c r="J78" s="2"/>
      <c r="K78" s="2"/>
      <c r="L78" s="2"/>
      <c r="M78" s="2"/>
    </row>
    <row r="79" spans="1:13" x14ac:dyDescent="0.25">
      <c r="A79" s="2" t="str">
        <f ca="1">IFERROR(__xludf.DUMMYFUNCTION("""COMPUTED_VALUE"""),"e2c70b60")</f>
        <v>e2c70b60</v>
      </c>
      <c r="B79" s="2" t="str">
        <f ca="1">IFERROR(__xludf.DUMMYFUNCTION("""COMPUTED_VALUE"""),"57a0fadf, cff5f914")</f>
        <v>57a0fadf, cff5f914</v>
      </c>
      <c r="C79" s="3">
        <f ca="1">IFERROR(__xludf.DUMMYFUNCTION("""COMPUTED_VALUE"""),45713.7385185185)</f>
        <v>45713.738518518498</v>
      </c>
      <c r="D79" s="2">
        <f ca="1">IFERROR(__xludf.DUMMYFUNCTION("""COMPUTED_VALUE"""),60)</f>
        <v>60</v>
      </c>
      <c r="E79" s="2">
        <f ca="1">IFERROR(__xludf.DUMMYFUNCTION("""COMPUTED_VALUE"""),55000)</f>
        <v>55000</v>
      </c>
      <c r="F79" s="2" t="str">
        <f ca="1">IFERROR(__xludf.DUMMYFUNCTION("""COMPUTED_VALUE"""),"Prueva 2 Variedad")</f>
        <v>Prueva 2 Variedad</v>
      </c>
      <c r="G79" s="2">
        <f ca="1">IFERROR(__xludf.DUMMYFUNCTION("""COMPUTED_VALUE"""),20000)</f>
        <v>20000</v>
      </c>
      <c r="H79" s="2">
        <f ca="1">IFERROR(__xludf.DUMMYFUNCTION("""COMPUTED_VALUE"""),25000)</f>
        <v>25000</v>
      </c>
      <c r="I79" s="2"/>
      <c r="J79" s="2"/>
      <c r="K79" s="2"/>
      <c r="L79" s="2"/>
      <c r="M79" s="2"/>
    </row>
    <row r="80" spans="1:13" x14ac:dyDescent="0.25">
      <c r="A80" s="2" t="str">
        <f ca="1">IFERROR(__xludf.DUMMYFUNCTION("""COMPUTED_VALUE"""),"5e86e265")</f>
        <v>5e86e265</v>
      </c>
      <c r="B80" s="2"/>
      <c r="C80" s="3">
        <f ca="1">IFERROR(__xludf.DUMMYFUNCTION("""COMPUTED_VALUE"""),45713.741099537)</f>
        <v>45713.741099537001</v>
      </c>
      <c r="D80" s="2">
        <f ca="1">IFERROR(__xludf.DUMMYFUNCTION("""COMPUTED_VALUE"""),60)</f>
        <v>60</v>
      </c>
      <c r="E80" s="2">
        <f ca="1">IFERROR(__xludf.DUMMYFUNCTION("""COMPUTED_VALUE"""),55000)</f>
        <v>55000</v>
      </c>
      <c r="F80" s="2" t="str">
        <f ca="1">IFERROR(__xludf.DUMMYFUNCTION("""COMPUTED_VALUE"""),"Prueva 2 Variedad")</f>
        <v>Prueva 2 Variedad</v>
      </c>
      <c r="G80" s="2">
        <f ca="1">IFERROR(__xludf.DUMMYFUNCTION("""COMPUTED_VALUE"""),25000)</f>
        <v>25000</v>
      </c>
      <c r="H80" s="2">
        <f ca="1">IFERROR(__xludf.DUMMYFUNCTION("""COMPUTED_VALUE"""),28000)</f>
        <v>28000</v>
      </c>
      <c r="I80" s="2"/>
      <c r="J80" s="2"/>
      <c r="K80" s="2"/>
      <c r="L80" s="2"/>
      <c r="M80" s="2"/>
    </row>
    <row r="81" spans="1:13" x14ac:dyDescent="0.25">
      <c r="A81" s="2" t="str">
        <f ca="1">IFERROR(__xludf.DUMMYFUNCTION("""COMPUTED_VALUE"""),"c1d665de")</f>
        <v>c1d665de</v>
      </c>
      <c r="B81" s="2"/>
      <c r="C81" s="3">
        <f ca="1">IFERROR(__xludf.DUMMYFUNCTION("""COMPUTED_VALUE"""),45713.7485763888)</f>
        <v>45713.748576388803</v>
      </c>
      <c r="D81" s="2">
        <f ca="1">IFERROR(__xludf.DUMMYFUNCTION("""COMPUTED_VALUE"""),60)</f>
        <v>60</v>
      </c>
      <c r="E81" s="2">
        <f ca="1">IFERROR(__xludf.DUMMYFUNCTION("""COMPUTED_VALUE"""),55000)</f>
        <v>55000</v>
      </c>
      <c r="F81" s="2" t="str">
        <f ca="1">IFERROR(__xludf.DUMMYFUNCTION("""COMPUTED_VALUE"""),"Prueva 2 Variedad")</f>
        <v>Prueva 2 Variedad</v>
      </c>
      <c r="G81" s="2">
        <f ca="1">IFERROR(__xludf.DUMMYFUNCTION("""COMPUTED_VALUE"""),28000)</f>
        <v>28000</v>
      </c>
      <c r="H81" s="2">
        <f ca="1">IFERROR(__xludf.DUMMYFUNCTION("""COMPUTED_VALUE"""),29500)</f>
        <v>29500</v>
      </c>
      <c r="I81" s="2"/>
      <c r="J81" s="2"/>
      <c r="K81" s="2"/>
      <c r="L81" s="2"/>
      <c r="M81" s="2"/>
    </row>
    <row r="82" spans="1:13" x14ac:dyDescent="0.25">
      <c r="A82" s="2" t="str">
        <f ca="1">IFERROR(__xludf.DUMMYFUNCTION("""COMPUTED_VALUE"""),"eeeff983")</f>
        <v>eeeff983</v>
      </c>
      <c r="B82" s="2"/>
      <c r="C82" s="3">
        <f ca="1">IFERROR(__xludf.DUMMYFUNCTION("""COMPUTED_VALUE"""),45713.7736574074)</f>
        <v>45713.773657407401</v>
      </c>
      <c r="D82" s="2">
        <f ca="1">IFERROR(__xludf.DUMMYFUNCTION("""COMPUTED_VALUE"""),400)</f>
        <v>400</v>
      </c>
      <c r="E82" s="2">
        <f ca="1">IFERROR(__xludf.DUMMYFUNCTION("""COMPUTED_VALUE"""),200000)</f>
        <v>200000</v>
      </c>
      <c r="F82" s="2" t="str">
        <f ca="1">IFERROR(__xludf.DUMMYFUNCTION("""COMPUTED_VALUE"""),"Cabernet Sauvignon 24 Rect")</f>
        <v>Cabernet Sauvignon 24 Rect</v>
      </c>
      <c r="G82" s="2">
        <f ca="1">IFERROR(__xludf.DUMMYFUNCTION("""COMPUTED_VALUE"""),0)</f>
        <v>0</v>
      </c>
      <c r="H82" s="2">
        <f ca="1">IFERROR(__xludf.DUMMYFUNCTION("""COMPUTED_VALUE"""),20000)</f>
        <v>20000</v>
      </c>
      <c r="I82" s="2"/>
      <c r="J82" s="2"/>
      <c r="K82" s="2"/>
      <c r="L82" s="2"/>
      <c r="M82" s="2"/>
    </row>
    <row r="83" spans="1:13" x14ac:dyDescent="0.25">
      <c r="A83" s="2" t="str">
        <f ca="1">IFERROR(__xludf.DUMMYFUNCTION("""COMPUTED_VALUE"""),"b9edcc33")</f>
        <v>b9edcc33</v>
      </c>
      <c r="B83" s="2"/>
      <c r="C83" s="3">
        <f ca="1">IFERROR(__xludf.DUMMYFUNCTION("""COMPUTED_VALUE"""),45713.778449074)</f>
        <v>45713.778449074001</v>
      </c>
      <c r="D83" s="2">
        <f ca="1">IFERROR(__xludf.DUMMYFUNCTION("""COMPUTED_VALUE"""),51)</f>
        <v>51</v>
      </c>
      <c r="E83" s="2">
        <f ca="1">IFERROR(__xludf.DUMMYFUNCTION("""COMPUTED_VALUE"""),3900)</f>
        <v>3900</v>
      </c>
      <c r="F83" s="2" t="str">
        <f ca="1">IFERROR(__xludf.DUMMYFUNCTION("""COMPUTED_VALUE"""),"Cabernet Sauv Despacho Bodega")</f>
        <v>Cabernet Sauv Despacho Bodega</v>
      </c>
      <c r="G83" s="2"/>
      <c r="H83" s="2">
        <f ca="1">IFERROR(__xludf.DUMMYFUNCTION("""COMPUTED_VALUE"""),2500)</f>
        <v>2500</v>
      </c>
      <c r="I83" s="2"/>
      <c r="J83" s="2"/>
      <c r="K83" s="2" t="str">
        <f ca="1">IFERROR(__xludf.DUMMYFUNCTION("""COMPUTED_VALUE"""),"Terminado")</f>
        <v>Terminado</v>
      </c>
      <c r="L83" s="2"/>
      <c r="M83" s="2"/>
    </row>
    <row r="84" spans="1:13" x14ac:dyDescent="0.25">
      <c r="A84" s="2" t="str">
        <f ca="1">IFERROR(__xludf.DUMMYFUNCTION("""COMPUTED_VALUE"""),"ae4bc1ac")</f>
        <v>ae4bc1ac</v>
      </c>
      <c r="B84" s="2"/>
      <c r="C84" s="3">
        <f ca="1">IFERROR(__xludf.DUMMYFUNCTION("""COMPUTED_VALUE"""),45713.7791898148)</f>
        <v>45713.779189814799</v>
      </c>
      <c r="D84" s="2">
        <f ca="1">IFERROR(__xludf.DUMMYFUNCTION("""COMPUTED_VALUE"""),400)</f>
        <v>400</v>
      </c>
      <c r="E84" s="2">
        <f ca="1">IFERROR(__xludf.DUMMYFUNCTION("""COMPUTED_VALUE"""),200000)</f>
        <v>200000</v>
      </c>
      <c r="F84" s="2" t="str">
        <f ca="1">IFERROR(__xludf.DUMMYFUNCTION("""COMPUTED_VALUE"""),"Chardonnay 24 Rect")</f>
        <v>Chardonnay 24 Rect</v>
      </c>
      <c r="G84" s="2">
        <f ca="1">IFERROR(__xludf.DUMMYFUNCTION("""COMPUTED_VALUE"""),20000)</f>
        <v>20000</v>
      </c>
      <c r="H84" s="2">
        <f ca="1">IFERROR(__xludf.DUMMYFUNCTION("""COMPUTED_VALUE"""),30000)</f>
        <v>30000</v>
      </c>
      <c r="I84" s="2"/>
      <c r="J84" s="2"/>
      <c r="K84" s="2"/>
      <c r="L84" s="2"/>
      <c r="M84" s="2"/>
    </row>
    <row r="85" spans="1:13" x14ac:dyDescent="0.25">
      <c r="A85" s="2" t="str">
        <f ca="1">IFERROR(__xludf.DUMMYFUNCTION("""COMPUTED_VALUE"""),"a22cb4a2")</f>
        <v>a22cb4a2</v>
      </c>
      <c r="B85" s="2"/>
      <c r="C85" s="3">
        <f ca="1">IFERROR(__xludf.DUMMYFUNCTION("""COMPUTED_VALUE"""),45713.7941087963)</f>
        <v>45713.794108796297</v>
      </c>
      <c r="D85" s="2">
        <f ca="1">IFERROR(__xludf.DUMMYFUNCTION("""COMPUTED_VALUE"""),103)</f>
        <v>103</v>
      </c>
      <c r="E85" s="2">
        <f ca="1">IFERROR(__xludf.DUMMYFUNCTION("""COMPUTED_VALUE"""),31000)</f>
        <v>31000</v>
      </c>
      <c r="F85" s="2" t="str">
        <f ca="1">IFERROR(__xludf.DUMMYFUNCTION("""COMPUTED_VALUE"""),"Aspirat")</f>
        <v>Aspirat</v>
      </c>
      <c r="G85" s="2">
        <f ca="1">IFERROR(__xludf.DUMMYFUNCTION("""COMPUTED_VALUE"""),15000)</f>
        <v>15000</v>
      </c>
      <c r="H85" s="2">
        <f ca="1">IFERROR(__xludf.DUMMYFUNCTION("""COMPUTED_VALUE"""),30000)</f>
        <v>30000</v>
      </c>
      <c r="I85" s="2"/>
      <c r="J85" s="2"/>
      <c r="K85" s="2" t="str">
        <f ca="1">IFERROR(__xludf.DUMMYFUNCTION("""COMPUTED_VALUE"""),"Descubada")</f>
        <v>Descubada</v>
      </c>
      <c r="L85" s="2"/>
      <c r="M85" s="2"/>
    </row>
    <row r="86" spans="1:13" x14ac:dyDescent="0.25">
      <c r="A86" s="2" t="str">
        <f ca="1">IFERROR(__xludf.DUMMYFUNCTION("""COMPUTED_VALUE"""),"0b7fd98e")</f>
        <v>0b7fd98e</v>
      </c>
      <c r="B86" s="2"/>
      <c r="C86" s="3">
        <f ca="1">IFERROR(__xludf.DUMMYFUNCTION("""COMPUTED_VALUE"""),45713.7974305555)</f>
        <v>45713.797430555504</v>
      </c>
      <c r="D86" s="2">
        <f ca="1">IFERROR(__xludf.DUMMYFUNCTION("""COMPUTED_VALUE"""),400)</f>
        <v>400</v>
      </c>
      <c r="E86" s="2">
        <f ca="1">IFERROR(__xludf.DUMMYFUNCTION("""COMPUTED_VALUE"""),200000)</f>
        <v>200000</v>
      </c>
      <c r="F86" s="2" t="str">
        <f ca="1">IFERROR(__xludf.DUMMYFUNCTION("""COMPUTED_VALUE"""),"Syrah Merlot s/Asp gota")</f>
        <v>Syrah Merlot s/Asp gota</v>
      </c>
      <c r="G86" s="2">
        <f ca="1">IFERROR(__xludf.DUMMYFUNCTION("""COMPUTED_VALUE"""),30000)</f>
        <v>30000</v>
      </c>
      <c r="H86" s="2">
        <f ca="1">IFERROR(__xludf.DUMMYFUNCTION("""COMPUTED_VALUE"""),46000)</f>
        <v>46000</v>
      </c>
      <c r="I86" s="2"/>
      <c r="J86" s="2"/>
      <c r="K86" s="2"/>
      <c r="L86" s="2"/>
      <c r="M86" s="2"/>
    </row>
    <row r="87" spans="1:13" x14ac:dyDescent="0.25">
      <c r="A87" s="2" t="str">
        <f ca="1">IFERROR(__xludf.DUMMYFUNCTION("""COMPUTED_VALUE"""),"7ad5b1b2")</f>
        <v>7ad5b1b2</v>
      </c>
      <c r="B87" s="2"/>
      <c r="C87" s="3">
        <f ca="1">IFERROR(__xludf.DUMMYFUNCTION("""COMPUTED_VALUE"""),45713.7987152777)</f>
        <v>45713.798715277699</v>
      </c>
      <c r="D87" s="2">
        <f ca="1">IFERROR(__xludf.DUMMYFUNCTION("""COMPUTED_VALUE"""),105)</f>
        <v>105</v>
      </c>
      <c r="E87" s="2">
        <f ca="1">IFERROR(__xludf.DUMMYFUNCTION("""COMPUTED_VALUE"""),31000)</f>
        <v>31000</v>
      </c>
      <c r="F87" s="2" t="str">
        <f ca="1">IFERROR(__xludf.DUMMYFUNCTION("""COMPUTED_VALUE"""),"Malbec con Merlot s/Asp")</f>
        <v>Malbec con Merlot s/Asp</v>
      </c>
      <c r="G87" s="2">
        <f ca="1">IFERROR(__xludf.DUMMYFUNCTION("""COMPUTED_VALUE"""),14000)</f>
        <v>14000</v>
      </c>
      <c r="H87" s="2">
        <f ca="1">IFERROR(__xludf.DUMMYFUNCTION("""COMPUTED_VALUE"""),30000)</f>
        <v>30000</v>
      </c>
      <c r="I87" s="2"/>
      <c r="J87" s="2"/>
      <c r="K87" s="2" t="str">
        <f ca="1">IFERROR(__xludf.DUMMYFUNCTION("""COMPUTED_VALUE"""),"Descubada")</f>
        <v>Descubada</v>
      </c>
      <c r="L87" s="2"/>
      <c r="M87" s="2"/>
    </row>
    <row r="88" spans="1:13" x14ac:dyDescent="0.25">
      <c r="A88" s="2" t="str">
        <f ca="1">IFERROR(__xludf.DUMMYFUNCTION("""COMPUTED_VALUE"""),"00bdd4ad")</f>
        <v>00bdd4ad</v>
      </c>
      <c r="B88" s="2"/>
      <c r="C88" s="3">
        <f ca="1">IFERROR(__xludf.DUMMYFUNCTION("""COMPUTED_VALUE"""),45713.7990277777)</f>
        <v>45713.799027777699</v>
      </c>
      <c r="D88" s="2">
        <f ca="1">IFERROR(__xludf.DUMMYFUNCTION("""COMPUTED_VALUE"""),106)</f>
        <v>106</v>
      </c>
      <c r="E88" s="2">
        <f ca="1">IFERROR(__xludf.DUMMYFUNCTION("""COMPUTED_VALUE"""),11000)</f>
        <v>11000</v>
      </c>
      <c r="F88" s="2" t="str">
        <f ca="1">IFERROR(__xludf.DUMMYFUNCTION("""COMPUTED_VALUE"""),"Merlot s/Asp")</f>
        <v>Merlot s/Asp</v>
      </c>
      <c r="G88" s="2">
        <f ca="1">IFERROR(__xludf.DUMMYFUNCTION("""COMPUTED_VALUE"""),0)</f>
        <v>0</v>
      </c>
      <c r="H88" s="2">
        <f ca="1">IFERROR(__xludf.DUMMYFUNCTION("""COMPUTED_VALUE"""),11000)</f>
        <v>11000</v>
      </c>
      <c r="I88" s="2"/>
      <c r="J88" s="2"/>
      <c r="K88" s="2" t="str">
        <f ca="1">IFERROR(__xludf.DUMMYFUNCTION("""COMPUTED_VALUE"""),"Descubada")</f>
        <v>Descubada</v>
      </c>
      <c r="L88" s="2"/>
      <c r="M88" s="2"/>
    </row>
    <row r="89" spans="1:13" x14ac:dyDescent="0.25">
      <c r="A89" s="2" t="str">
        <f ca="1">IFERROR(__xludf.DUMMYFUNCTION("""COMPUTED_VALUE"""),"3e5c0749")</f>
        <v>3e5c0749</v>
      </c>
      <c r="B89" s="2"/>
      <c r="C89" s="3">
        <f ca="1">IFERROR(__xludf.DUMMYFUNCTION("""COMPUTED_VALUE"""),45713.8096643518)</f>
        <v>45713.8096643518</v>
      </c>
      <c r="D89" s="2">
        <f ca="1">IFERROR(__xludf.DUMMYFUNCTION("""COMPUTED_VALUE"""),92)</f>
        <v>92</v>
      </c>
      <c r="E89" s="2">
        <f ca="1">IFERROR(__xludf.DUMMYFUNCTION("""COMPUTED_VALUE"""),76000)</f>
        <v>76000</v>
      </c>
      <c r="F89" s="2" t="str">
        <f ca="1">IFERROR(__xludf.DUMMYFUNCTION("""COMPUTED_VALUE"""),"Syrah Ferm")</f>
        <v>Syrah Ferm</v>
      </c>
      <c r="G89" s="2"/>
      <c r="H89" s="2">
        <f ca="1">IFERROR(__xludf.DUMMYFUNCTION("""COMPUTED_VALUE"""),35900)</f>
        <v>35900</v>
      </c>
      <c r="I89" s="2"/>
      <c r="J89" s="2" t="str">
        <f ca="1">IFERROR(__xludf.DUMMYFUNCTION("""COMPUTED_VALUE"""),"5881 , 5882 , 5883 , 5884 , 5885")</f>
        <v>5881 , 5882 , 5883 , 5884 , 5885</v>
      </c>
      <c r="K89" s="2" t="str">
        <f ca="1">IFERROR(__xludf.DUMMYFUNCTION("""COMPUTED_VALUE"""),"Fermentando")</f>
        <v>Fermentando</v>
      </c>
      <c r="L89" s="2"/>
      <c r="M89" s="2"/>
    </row>
    <row r="90" spans="1:13" x14ac:dyDescent="0.25">
      <c r="A90" s="2" t="str">
        <f ca="1">IFERROR(__xludf.DUMMYFUNCTION("""COMPUTED_VALUE"""),"7082548e")</f>
        <v>7082548e</v>
      </c>
      <c r="B90" s="2"/>
      <c r="C90" s="3">
        <f ca="1">IFERROR(__xludf.DUMMYFUNCTION("""COMPUTED_VALUE"""),45714.4113657406)</f>
        <v>45714.4113657407</v>
      </c>
      <c r="D90" s="2">
        <f ca="1">IFERROR(__xludf.DUMMYFUNCTION("""COMPUTED_VALUE"""),84)</f>
        <v>84</v>
      </c>
      <c r="E90" s="2">
        <f ca="1">IFERROR(__xludf.DUMMYFUNCTION("""COMPUTED_VALUE"""),83000)</f>
        <v>83000</v>
      </c>
      <c r="F90" s="2" t="str">
        <f ca="1">IFERROR(__xludf.DUMMYFUNCTION("""COMPUTED_VALUE"""),"Syrah Colom s/Asp 2")</f>
        <v>Syrah Colom s/Asp 2</v>
      </c>
      <c r="G90" s="2">
        <f ca="1">IFERROR(__xludf.DUMMYFUNCTION("""COMPUTED_VALUE"""),3000)</f>
        <v>3000</v>
      </c>
      <c r="H90" s="2">
        <f ca="1">IFERROR(__xludf.DUMMYFUNCTION("""COMPUTED_VALUE"""),39000)</f>
        <v>39000</v>
      </c>
      <c r="I90" s="2"/>
      <c r="J90" s="2"/>
      <c r="K90" s="2" t="str">
        <f ca="1">IFERROR(__xludf.DUMMYFUNCTION("""COMPUTED_VALUE"""),"Fermentando")</f>
        <v>Fermentando</v>
      </c>
      <c r="L90" s="2"/>
      <c r="M90" s="2"/>
    </row>
    <row r="91" spans="1:13" x14ac:dyDescent="0.25">
      <c r="A91" s="2" t="str">
        <f ca="1">IFERROR(__xludf.DUMMYFUNCTION("""COMPUTED_VALUE"""),"f3ebcf34")</f>
        <v>f3ebcf34</v>
      </c>
      <c r="B91" s="2"/>
      <c r="C91" s="3">
        <f ca="1">IFERROR(__xludf.DUMMYFUNCTION("""COMPUTED_VALUE"""),45714.4118981481)</f>
        <v>45714.411898148101</v>
      </c>
      <c r="D91" s="2">
        <f ca="1">IFERROR(__xludf.DUMMYFUNCTION("""COMPUTED_VALUE"""),87)</f>
        <v>87</v>
      </c>
      <c r="E91" s="2">
        <f ca="1">IFERROR(__xludf.DUMMYFUNCTION("""COMPUTED_VALUE"""),93700)</f>
        <v>93700</v>
      </c>
      <c r="F91" s="2" t="str">
        <f ca="1">IFERROR(__xludf.DUMMYFUNCTION("""COMPUTED_VALUE"""),"Merlot Fer")</f>
        <v>Merlot Fer</v>
      </c>
      <c r="G91" s="2">
        <f ca="1">IFERROR(__xludf.DUMMYFUNCTION("""COMPUTED_VALUE"""),16500)</f>
        <v>16500</v>
      </c>
      <c r="H91" s="2">
        <f ca="1">IFERROR(__xludf.DUMMYFUNCTION("""COMPUTED_VALUE"""),38200)</f>
        <v>38200</v>
      </c>
      <c r="I91" s="2"/>
      <c r="J91" s="2" t="str">
        <f ca="1">IFERROR(__xludf.DUMMYFUNCTION("""COMPUTED_VALUE"""),"5886 , 5887 , 5888 , 5889 , 5890 , 5891")</f>
        <v>5886 , 5887 , 5888 , 5889 , 5890 , 5891</v>
      </c>
      <c r="K91" s="2" t="str">
        <f ca="1">IFERROR(__xludf.DUMMYFUNCTION("""COMPUTED_VALUE"""),"Fermentando")</f>
        <v>Fermentando</v>
      </c>
      <c r="L91" s="2"/>
      <c r="M91" s="2"/>
    </row>
    <row r="92" spans="1:13" x14ac:dyDescent="0.25">
      <c r="A92" s="2" t="str">
        <f ca="1">IFERROR(__xludf.DUMMYFUNCTION("""COMPUTED_VALUE"""),"9776a719")</f>
        <v>9776a719</v>
      </c>
      <c r="B92" s="2"/>
      <c r="C92" s="3">
        <f ca="1">IFERROR(__xludf.DUMMYFUNCTION("""COMPUTED_VALUE"""),45715.4099305555)</f>
        <v>45715.409930555499</v>
      </c>
      <c r="D92" s="2">
        <f ca="1">IFERROR(__xludf.DUMMYFUNCTION("""COMPUTED_VALUE"""),109)</f>
        <v>109</v>
      </c>
      <c r="E92" s="2">
        <f ca="1">IFERROR(__xludf.DUMMYFUNCTION("""COMPUTED_VALUE"""),15600)</f>
        <v>15600</v>
      </c>
      <c r="F92" s="2" t="str">
        <f ca="1">IFERROR(__xludf.DUMMYFUNCTION("""COMPUTED_VALUE"""),"Merlot s/ Asp descube")</f>
        <v>Merlot s/ Asp descube</v>
      </c>
      <c r="G92" s="2">
        <f ca="1">IFERROR(__xludf.DUMMYFUNCTION("""COMPUTED_VALUE"""),0)</f>
        <v>0</v>
      </c>
      <c r="H92" s="2">
        <f ca="1">IFERROR(__xludf.DUMMYFUNCTION("""COMPUTED_VALUE"""),4000)</f>
        <v>4000</v>
      </c>
      <c r="I92" s="2"/>
      <c r="J92" s="2"/>
      <c r="K92" s="2"/>
      <c r="L92" s="2"/>
      <c r="M92" s="2"/>
    </row>
    <row r="93" spans="1:13" x14ac:dyDescent="0.25">
      <c r="A93" s="2" t="str">
        <f ca="1">IFERROR(__xludf.DUMMYFUNCTION("""COMPUTED_VALUE"""),"d6ff9a07")</f>
        <v>d6ff9a07</v>
      </c>
      <c r="B93" s="2"/>
      <c r="C93" s="3">
        <f ca="1">IFERROR(__xludf.DUMMYFUNCTION("""COMPUTED_VALUE"""),45715.410636574)</f>
        <v>45715.410636574001</v>
      </c>
      <c r="D93" s="2">
        <f ca="1">IFERROR(__xludf.DUMMYFUNCTION("""COMPUTED_VALUE"""),109)</f>
        <v>109</v>
      </c>
      <c r="E93" s="2">
        <f ca="1">IFERROR(__xludf.DUMMYFUNCTION("""COMPUTED_VALUE"""),15600)</f>
        <v>15600</v>
      </c>
      <c r="F93" s="2" t="str">
        <f ca="1">IFERROR(__xludf.DUMMYFUNCTION("""COMPUTED_VALUE"""),"Merlot s/Asp descube")</f>
        <v>Merlot s/Asp descube</v>
      </c>
      <c r="G93" s="2">
        <f ca="1">IFERROR(__xludf.DUMMYFUNCTION("""COMPUTED_VALUE"""),4000)</f>
        <v>4000</v>
      </c>
      <c r="H93" s="2">
        <f ca="1">IFERROR(__xludf.DUMMYFUNCTION("""COMPUTED_VALUE"""),24000)</f>
        <v>24000</v>
      </c>
      <c r="I93" s="2" t="str">
        <f ca="1">IFERROR(__xludf.DUMMYFUNCTION("""COMPUTED_VALUE"""),"Muy bueno")</f>
        <v>Muy bueno</v>
      </c>
      <c r="J93" s="2"/>
      <c r="K93" s="2" t="str">
        <f ca="1">IFERROR(__xludf.DUMMYFUNCTION("""COMPUTED_VALUE"""),"Descubada")</f>
        <v>Descubada</v>
      </c>
      <c r="L93" s="2"/>
      <c r="M93" s="2"/>
    </row>
    <row r="94" spans="1:13" x14ac:dyDescent="0.25">
      <c r="A94" s="2" t="str">
        <f ca="1">IFERROR(__xludf.DUMMYFUNCTION("""COMPUTED_VALUE"""),"8c09a554")</f>
        <v>8c09a554</v>
      </c>
      <c r="B94" s="2"/>
      <c r="C94" s="3">
        <f ca="1">IFERROR(__xludf.DUMMYFUNCTION("""COMPUTED_VALUE"""),45715.4114467592)</f>
        <v>45715.411446759201</v>
      </c>
      <c r="D94" s="2">
        <f ca="1">IFERROR(__xludf.DUMMYFUNCTION("""COMPUTED_VALUE"""),110)</f>
        <v>110</v>
      </c>
      <c r="E94" s="2">
        <f ca="1">IFERROR(__xludf.DUMMYFUNCTION("""COMPUTED_VALUE"""),15600)</f>
        <v>15600</v>
      </c>
      <c r="F94" s="2" t="str">
        <f ca="1">IFERROR(__xludf.DUMMYFUNCTION("""COMPUTED_VALUE"""),"Merlot s/Asp descube")</f>
        <v>Merlot s/Asp descube</v>
      </c>
      <c r="G94" s="2">
        <f ca="1">IFERROR(__xludf.DUMMYFUNCTION("""COMPUTED_VALUE"""),0)</f>
        <v>0</v>
      </c>
      <c r="H94" s="2">
        <f ca="1">IFERROR(__xludf.DUMMYFUNCTION("""COMPUTED_VALUE"""),3000)</f>
        <v>3000</v>
      </c>
      <c r="I94" s="2"/>
      <c r="J94" s="2"/>
      <c r="K94" s="2" t="str">
        <f ca="1">IFERROR(__xludf.DUMMYFUNCTION("""COMPUTED_VALUE"""),"Descubada")</f>
        <v>Descubada</v>
      </c>
      <c r="L94" s="2"/>
      <c r="M94" s="2"/>
    </row>
    <row r="95" spans="1:13" x14ac:dyDescent="0.25">
      <c r="A95" s="2" t="str">
        <f ca="1">IFERROR(__xludf.DUMMYFUNCTION("""COMPUTED_VALUE"""),"7525cd32")</f>
        <v>7525cd32</v>
      </c>
      <c r="B95" s="2"/>
      <c r="C95" s="3">
        <f ca="1">IFERROR(__xludf.DUMMYFUNCTION("""COMPUTED_VALUE"""),45715.4124652777)</f>
        <v>45715.412465277703</v>
      </c>
      <c r="D95" s="2">
        <f ca="1">IFERROR(__xludf.DUMMYFUNCTION("""COMPUTED_VALUE"""),80)</f>
        <v>80</v>
      </c>
      <c r="E95" s="2">
        <f ca="1">IFERROR(__xludf.DUMMYFUNCTION("""COMPUTED_VALUE"""),26100)</f>
        <v>26100</v>
      </c>
      <c r="F95" s="2" t="str">
        <f ca="1">IFERROR(__xludf.DUMMYFUNCTION("""COMPUTED_VALUE"""),"Syrah s/Asp 2da")</f>
        <v>Syrah s/Asp 2da</v>
      </c>
      <c r="G95" s="2">
        <f ca="1">IFERROR(__xludf.DUMMYFUNCTION("""COMPUTED_VALUE"""),3000)</f>
        <v>3000</v>
      </c>
      <c r="H95" s="2">
        <f ca="1">IFERROR(__xludf.DUMMYFUNCTION("""COMPUTED_VALUE"""),13000)</f>
        <v>13000</v>
      </c>
      <c r="I95" s="2"/>
      <c r="J95" s="2"/>
      <c r="K95" s="2" t="str">
        <f ca="1">IFERROR(__xludf.DUMMYFUNCTION("""COMPUTED_VALUE"""),"Recarga Fermentando")</f>
        <v>Recarga Fermentando</v>
      </c>
      <c r="L95" s="2"/>
      <c r="M95" s="2"/>
    </row>
    <row r="96" spans="1:13" x14ac:dyDescent="0.25">
      <c r="A96" s="2" t="str">
        <f ca="1">IFERROR(__xludf.DUMMYFUNCTION("""COMPUTED_VALUE"""),"245cd9d6")</f>
        <v>245cd9d6</v>
      </c>
      <c r="B96" s="2"/>
      <c r="C96" s="3">
        <f ca="1">IFERROR(__xludf.DUMMYFUNCTION("""COMPUTED_VALUE"""),45715.4130787037)</f>
        <v>45715.413078703699</v>
      </c>
      <c r="D96" s="2">
        <f ca="1">IFERROR(__xludf.DUMMYFUNCTION("""COMPUTED_VALUE"""),85)</f>
        <v>85</v>
      </c>
      <c r="E96" s="2">
        <f ca="1">IFERROR(__xludf.DUMMYFUNCTION("""COMPUTED_VALUE"""),84000)</f>
        <v>84000</v>
      </c>
      <c r="F96" s="2" t="str">
        <f ca="1">IFERROR(__xludf.DUMMYFUNCTION("""COMPUTED_VALUE"""),"Syrah s/Asp 2da")</f>
        <v>Syrah s/Asp 2da</v>
      </c>
      <c r="G96" s="2">
        <f ca="1">IFERROR(__xludf.DUMMYFUNCTION("""COMPUTED_VALUE"""),5000)</f>
        <v>5000</v>
      </c>
      <c r="H96" s="2">
        <f ca="1">IFERROR(__xludf.DUMMYFUNCTION("""COMPUTED_VALUE"""),30800)</f>
        <v>30800</v>
      </c>
      <c r="I96" s="2" t="str">
        <f ca="1">IFERROR(__xludf.DUMMYFUNCTION("""COMPUTED_VALUE"""),"Tiene Prensa con un amargo")</f>
        <v>Tiene Prensa con un amargo</v>
      </c>
      <c r="J96" s="2"/>
      <c r="K96" s="2" t="str">
        <f ca="1">IFERROR(__xludf.DUMMYFUNCTION("""COMPUTED_VALUE"""),"Fermentando")</f>
        <v>Fermentando</v>
      </c>
      <c r="L96" s="2"/>
      <c r="M96" s="2"/>
    </row>
    <row r="97" spans="1:13" x14ac:dyDescent="0.25">
      <c r="A97" s="2" t="str">
        <f ca="1">IFERROR(__xludf.DUMMYFUNCTION("""COMPUTED_VALUE"""),"13d1574d")</f>
        <v>13d1574d</v>
      </c>
      <c r="B97" s="2"/>
      <c r="C97" s="3">
        <f ca="1">IFERROR(__xludf.DUMMYFUNCTION("""COMPUTED_VALUE"""),45715.7660763888)</f>
        <v>45715.766076388798</v>
      </c>
      <c r="D97" s="2">
        <f ca="1">IFERROR(__xludf.DUMMYFUNCTION("""COMPUTED_VALUE"""),110)</f>
        <v>110</v>
      </c>
      <c r="E97" s="2">
        <f ca="1">IFERROR(__xludf.DUMMYFUNCTION("""COMPUTED_VALUE"""),15600)</f>
        <v>15600</v>
      </c>
      <c r="F97" s="2" t="str">
        <f ca="1">IFERROR(__xludf.DUMMYFUNCTION("""COMPUTED_VALUE"""),"Merlot s/Asp descube")</f>
        <v>Merlot s/Asp descube</v>
      </c>
      <c r="G97" s="2">
        <f ca="1">IFERROR(__xludf.DUMMYFUNCTION("""COMPUTED_VALUE"""),3000)</f>
        <v>3000</v>
      </c>
      <c r="H97" s="2">
        <f ca="1">IFERROR(__xludf.DUMMYFUNCTION("""COMPUTED_VALUE"""),13000)</f>
        <v>13000</v>
      </c>
      <c r="I97" s="2"/>
      <c r="J97" s="2"/>
      <c r="K97" s="2" t="str">
        <f ca="1">IFERROR(__xludf.DUMMYFUNCTION("""COMPUTED_VALUE"""),"Descubada")</f>
        <v>Descubada</v>
      </c>
      <c r="L97" s="2"/>
      <c r="M97" s="2"/>
    </row>
    <row r="98" spans="1:13" x14ac:dyDescent="0.25">
      <c r="A98" s="2" t="str">
        <f ca="1">IFERROR(__xludf.DUMMYFUNCTION("""COMPUTED_VALUE"""),"9adbf19e")</f>
        <v>9adbf19e</v>
      </c>
      <c r="B98" s="2"/>
      <c r="C98" s="3">
        <f ca="1">IFERROR(__xludf.DUMMYFUNCTION("""COMPUTED_VALUE"""),45715.7924768518)</f>
        <v>45715.792476851799</v>
      </c>
      <c r="D98" s="2">
        <f ca="1">IFERROR(__xludf.DUMMYFUNCTION("""COMPUTED_VALUE"""),88)</f>
        <v>88</v>
      </c>
      <c r="E98" s="2">
        <f ca="1">IFERROR(__xludf.DUMMYFUNCTION("""COMPUTED_VALUE"""),78900)</f>
        <v>78900</v>
      </c>
      <c r="F98" s="2" t="str">
        <f ca="1">IFERROR(__xludf.DUMMYFUNCTION("""COMPUTED_VALUE"""),"Syrah")</f>
        <v>Syrah</v>
      </c>
      <c r="G98" s="2">
        <f ca="1">IFERROR(__xludf.DUMMYFUNCTION("""COMPUTED_VALUE"""),37400)</f>
        <v>37400</v>
      </c>
      <c r="H98" s="2">
        <f ca="1">IFERROR(__xludf.DUMMYFUNCTION("""COMPUTED_VALUE"""),42100)</f>
        <v>42100</v>
      </c>
      <c r="I98" s="2" t="str">
        <f ca="1">IFERROR(__xludf.DUMMYFUNCTION("""COMPUTED_VALUE"""),"16% de Rectificado agregado")</f>
        <v>16% de Rectificado agregado</v>
      </c>
      <c r="J98" s="2"/>
      <c r="K98" s="2" t="str">
        <f ca="1">IFERROR(__xludf.DUMMYFUNCTION("""COMPUTED_VALUE"""),"Fermentando")</f>
        <v>Fermentando</v>
      </c>
      <c r="L98" s="2"/>
      <c r="M98" s="2"/>
    </row>
    <row r="99" spans="1:13" x14ac:dyDescent="0.25">
      <c r="A99" s="2" t="str">
        <f ca="1">IFERROR(__xludf.DUMMYFUNCTION("""COMPUTED_VALUE"""),"b45049fe")</f>
        <v>b45049fe</v>
      </c>
      <c r="B99" s="2"/>
      <c r="C99" s="3">
        <f ca="1">IFERROR(__xludf.DUMMYFUNCTION("""COMPUTED_VALUE"""),45715.8418634259)</f>
        <v>45715.8418634259</v>
      </c>
      <c r="D99" s="2">
        <f ca="1">IFERROR(__xludf.DUMMYFUNCTION("""COMPUTED_VALUE"""),83)</f>
        <v>83</v>
      </c>
      <c r="E99" s="2">
        <f ca="1">IFERROR(__xludf.DUMMYFUNCTION("""COMPUTED_VALUE"""),81500)</f>
        <v>81500</v>
      </c>
      <c r="F99" s="2" t="str">
        <f ca="1">IFERROR(__xludf.DUMMYFUNCTION("""COMPUTED_VALUE"""),"Syrah")</f>
        <v>Syrah</v>
      </c>
      <c r="G99" s="2"/>
      <c r="H99" s="2">
        <f ca="1">IFERROR(__xludf.DUMMYFUNCTION("""COMPUTED_VALUE"""),45000)</f>
        <v>45000</v>
      </c>
      <c r="I99" s="2"/>
      <c r="J99" s="2" t="str">
        <f ca="1">IFERROR(__xludf.DUMMYFUNCTION("""COMPUTED_VALUE"""),"5895 , 5892 , 5896 , 5897 , 5899 , 5900")</f>
        <v>5895 , 5892 , 5896 , 5897 , 5899 , 5900</v>
      </c>
      <c r="K99" s="2" t="str">
        <f ca="1">IFERROR(__xludf.DUMMYFUNCTION("""COMPUTED_VALUE"""),"Fermentando")</f>
        <v>Fermentando</v>
      </c>
      <c r="L99" s="2"/>
      <c r="M99" s="2"/>
    </row>
    <row r="100" spans="1:13" x14ac:dyDescent="0.25">
      <c r="A100" s="2" t="str">
        <f ca="1">IFERROR(__xludf.DUMMYFUNCTION("""COMPUTED_VALUE"""),"e95eaf53")</f>
        <v>e95eaf53</v>
      </c>
      <c r="B100" s="2"/>
      <c r="C100" s="3">
        <f ca="1">IFERROR(__xludf.DUMMYFUNCTION("""COMPUTED_VALUE"""),45715.8434143518)</f>
        <v>45715.843414351802</v>
      </c>
      <c r="D100" s="2">
        <f ca="1">IFERROR(__xludf.DUMMYFUNCTION("""COMPUTED_VALUE"""),65)</f>
        <v>65</v>
      </c>
      <c r="E100" s="2">
        <f ca="1">IFERROR(__xludf.DUMMYFUNCTION("""COMPUTED_VALUE"""),35500)</f>
        <v>35500</v>
      </c>
      <c r="F100" s="2" t="str">
        <f ca="1">IFERROR(__xludf.DUMMYFUNCTION("""COMPUTED_VALUE"""),"Anccelotta")</f>
        <v>Anccelotta</v>
      </c>
      <c r="G100" s="2"/>
      <c r="H100" s="2">
        <f ca="1">IFERROR(__xludf.DUMMYFUNCTION("""COMPUTED_VALUE"""),20500)</f>
        <v>20500</v>
      </c>
      <c r="I100" s="2"/>
      <c r="J100" s="2" t="str">
        <f ca="1">IFERROR(__xludf.DUMMYFUNCTION("""COMPUTED_VALUE"""),"5894 , 5893 , 5898")</f>
        <v>5894 , 5893 , 5898</v>
      </c>
      <c r="K100" s="2" t="str">
        <f ca="1">IFERROR(__xludf.DUMMYFUNCTION("""COMPUTED_VALUE"""),"Fermentando")</f>
        <v>Fermentando</v>
      </c>
      <c r="L100" s="2"/>
      <c r="M100" s="2"/>
    </row>
    <row r="101" spans="1:13" x14ac:dyDescent="0.25">
      <c r="A101" s="2" t="str">
        <f ca="1">IFERROR(__xludf.DUMMYFUNCTION("""COMPUTED_VALUE"""),"4adbcbaf")</f>
        <v>4adbcbaf</v>
      </c>
      <c r="B101" s="2"/>
      <c r="C101" s="3">
        <f ca="1">IFERROR(__xludf.DUMMYFUNCTION("""COMPUTED_VALUE"""),45716.8337384259)</f>
        <v>45716.833738425899</v>
      </c>
      <c r="D101" s="2">
        <f ca="1">IFERROR(__xludf.DUMMYFUNCTION("""COMPUTED_VALUE"""),68)</f>
        <v>68</v>
      </c>
      <c r="E101" s="2">
        <f ca="1">IFERROR(__xludf.DUMMYFUNCTION("""COMPUTED_VALUE"""),13000)</f>
        <v>13000</v>
      </c>
      <c r="F101" s="2" t="str">
        <f ca="1">IFERROR(__xludf.DUMMYFUNCTION("""COMPUTED_VALUE"""),"Syrah")</f>
        <v>Syrah</v>
      </c>
      <c r="G101" s="2"/>
      <c r="H101" s="2">
        <f ca="1">IFERROR(__xludf.DUMMYFUNCTION("""COMPUTED_VALUE"""),7400)</f>
        <v>7400</v>
      </c>
      <c r="I101" s="2" t="str">
        <f ca="1">IFERROR(__xludf.DUMMYFUNCTION("""COMPUTED_VALUE"""),"Tiene medio viaje del ciu 5899 (cornejo)")</f>
        <v>Tiene medio viaje del ciu 5899 (cornejo)</v>
      </c>
      <c r="J101" s="2">
        <f ca="1">IFERROR(__xludf.DUMMYFUNCTION("""COMPUTED_VALUE"""),5901)</f>
        <v>5901</v>
      </c>
      <c r="K101" s="2" t="str">
        <f ca="1">IFERROR(__xludf.DUMMYFUNCTION("""COMPUTED_VALUE"""),"Fermentando")</f>
        <v>Fermentando</v>
      </c>
      <c r="L101" s="2"/>
      <c r="M101" s="2"/>
    </row>
    <row r="102" spans="1:13" x14ac:dyDescent="0.25">
      <c r="A102" s="2" t="str">
        <f ca="1">IFERROR(__xludf.DUMMYFUNCTION("""COMPUTED_VALUE"""),"bf5594db")</f>
        <v>bf5594db</v>
      </c>
      <c r="B102" s="2"/>
      <c r="C102" s="3">
        <f ca="1">IFERROR(__xludf.DUMMYFUNCTION("""COMPUTED_VALUE"""),45717.5168287037)</f>
        <v>45717.516828703701</v>
      </c>
      <c r="D102" s="2">
        <f ca="1">IFERROR(__xludf.DUMMYFUNCTION("""COMPUTED_VALUE"""),15)</f>
        <v>15</v>
      </c>
      <c r="E102" s="2">
        <f ca="1">IFERROR(__xludf.DUMMYFUNCTION("""COMPUTED_VALUE"""),36500)</f>
        <v>36500</v>
      </c>
      <c r="F102" s="2" t="str">
        <f ca="1">IFERROR(__xludf.DUMMYFUNCTION("""COMPUTED_VALUE"""),"Syrah Tempranillo s/Asp 2da")</f>
        <v>Syrah Tempranillo s/Asp 2da</v>
      </c>
      <c r="G102" s="2">
        <f ca="1">IFERROR(__xludf.DUMMYFUNCTION("""COMPUTED_VALUE"""),0)</f>
        <v>0</v>
      </c>
      <c r="H102" s="2">
        <f ca="1">IFERROR(__xludf.DUMMYFUNCTION("""COMPUTED_VALUE"""),36500)</f>
        <v>36500</v>
      </c>
      <c r="I102" s="2"/>
      <c r="J102" s="2"/>
      <c r="K102" s="2" t="str">
        <f ca="1">IFERROR(__xludf.DUMMYFUNCTION("""COMPUTED_VALUE"""),"Descubada")</f>
        <v>Descubada</v>
      </c>
      <c r="L102" s="2"/>
      <c r="M102" s="2"/>
    </row>
    <row r="103" spans="1:13" x14ac:dyDescent="0.25">
      <c r="A103" s="2" t="str">
        <f ca="1">IFERROR(__xludf.DUMMYFUNCTION("""COMPUTED_VALUE"""),"fea4a82d")</f>
        <v>fea4a82d</v>
      </c>
      <c r="B103" s="2"/>
      <c r="C103" s="3">
        <f ca="1">IFERROR(__xludf.DUMMYFUNCTION("""COMPUTED_VALUE"""),45717.522974537)</f>
        <v>45717.522974537002</v>
      </c>
      <c r="D103" s="2">
        <f ca="1">IFERROR(__xludf.DUMMYFUNCTION("""COMPUTED_VALUE"""),34)</f>
        <v>34</v>
      </c>
      <c r="E103" s="2">
        <f ca="1">IFERROR(__xludf.DUMMYFUNCTION("""COMPUTED_VALUE"""),39500)</f>
        <v>39500</v>
      </c>
      <c r="F103" s="2" t="str">
        <f ca="1">IFERROR(__xludf.DUMMYFUNCTION("""COMPUTED_VALUE"""),"Syrah Tempranillo s/Asp 2da")</f>
        <v>Syrah Tempranillo s/Asp 2da</v>
      </c>
      <c r="G103" s="2">
        <f ca="1">IFERROR(__xludf.DUMMYFUNCTION("""COMPUTED_VALUE"""),0)</f>
        <v>0</v>
      </c>
      <c r="H103" s="2">
        <f ca="1">IFERROR(__xludf.DUMMYFUNCTION("""COMPUTED_VALUE"""),5000)</f>
        <v>5000</v>
      </c>
      <c r="I103" s="2"/>
      <c r="J103" s="2"/>
      <c r="K103" s="2" t="str">
        <f ca="1">IFERROR(__xludf.DUMMYFUNCTION("""COMPUTED_VALUE"""),"Descubada")</f>
        <v>Descubada</v>
      </c>
      <c r="L103" s="2"/>
      <c r="M103" s="2"/>
    </row>
    <row r="104" spans="1:13" x14ac:dyDescent="0.25">
      <c r="A104" s="2" t="str">
        <f ca="1">IFERROR(__xludf.DUMMYFUNCTION("""COMPUTED_VALUE"""),"61098b0e")</f>
        <v>61098b0e</v>
      </c>
      <c r="B104" s="2"/>
      <c r="C104" s="3">
        <f ca="1">IFERROR(__xludf.DUMMYFUNCTION("""COMPUTED_VALUE"""),45717.5239004629)</f>
        <v>45717.523900462897</v>
      </c>
      <c r="D104" s="2">
        <f ca="1">IFERROR(__xludf.DUMMYFUNCTION("""COMPUTED_VALUE"""),34)</f>
        <v>34</v>
      </c>
      <c r="E104" s="2">
        <f ca="1">IFERROR(__xludf.DUMMYFUNCTION("""COMPUTED_VALUE"""),39500)</f>
        <v>39500</v>
      </c>
      <c r="F104" s="2" t="str">
        <f ca="1">IFERROR(__xludf.DUMMYFUNCTION("""COMPUTED_VALUE"""),"Syrah s/Asp 2da")</f>
        <v>Syrah s/Asp 2da</v>
      </c>
      <c r="G104" s="2">
        <f ca="1">IFERROR(__xludf.DUMMYFUNCTION("""COMPUTED_VALUE"""),5000)</f>
        <v>5000</v>
      </c>
      <c r="H104" s="2">
        <f ca="1">IFERROR(__xludf.DUMMYFUNCTION("""COMPUTED_VALUE"""),30000)</f>
        <v>30000</v>
      </c>
      <c r="I104" s="2"/>
      <c r="J104" s="2"/>
      <c r="K104" s="2" t="str">
        <f ca="1">IFERROR(__xludf.DUMMYFUNCTION("""COMPUTED_VALUE"""),"Descubada")</f>
        <v>Descubada</v>
      </c>
      <c r="L104" s="2"/>
      <c r="M104" s="2"/>
    </row>
    <row r="105" spans="1:13" x14ac:dyDescent="0.25">
      <c r="A105" s="2" t="str">
        <f ca="1">IFERROR(__xludf.DUMMYFUNCTION("""COMPUTED_VALUE"""),"ce659e77")</f>
        <v>ce659e77</v>
      </c>
      <c r="B105" s="2"/>
      <c r="C105" s="3">
        <f ca="1">IFERROR(__xludf.DUMMYFUNCTION("""COMPUTED_VALUE"""),45717.5320023148)</f>
        <v>45717.532002314802</v>
      </c>
      <c r="D105" s="2">
        <f ca="1">IFERROR(__xludf.DUMMYFUNCTION("""COMPUTED_VALUE"""),86)</f>
        <v>86</v>
      </c>
      <c r="E105" s="2">
        <f ca="1">IFERROR(__xludf.DUMMYFUNCTION("""COMPUTED_VALUE"""),88000)</f>
        <v>88000</v>
      </c>
      <c r="F105" s="2" t="str">
        <f ca="1">IFERROR(__xludf.DUMMYFUNCTION("""COMPUTED_VALUE"""),"Syrah s/Asp 3ra")</f>
        <v>Syrah s/Asp 3ra</v>
      </c>
      <c r="G105" s="2">
        <f ca="1">IFERROR(__xludf.DUMMYFUNCTION("""COMPUTED_VALUE"""),6200)</f>
        <v>6200</v>
      </c>
      <c r="H105" s="2">
        <f ca="1">IFERROR(__xludf.DUMMYFUNCTION("""COMPUTED_VALUE"""),48300)</f>
        <v>48300</v>
      </c>
      <c r="I105" s="2"/>
      <c r="J105" s="2"/>
      <c r="K105" s="2" t="str">
        <f ca="1">IFERROR(__xludf.DUMMYFUNCTION("""COMPUTED_VALUE"""),"Recarga Fermentando")</f>
        <v>Recarga Fermentando</v>
      </c>
      <c r="L105" s="2"/>
      <c r="M105" s="2"/>
    </row>
    <row r="106" spans="1:13" x14ac:dyDescent="0.25">
      <c r="A106" s="2" t="str">
        <f ca="1">IFERROR(__xludf.DUMMYFUNCTION("""COMPUTED_VALUE"""),"3b85c155")</f>
        <v>3b85c155</v>
      </c>
      <c r="B106" s="2"/>
      <c r="C106" s="3">
        <f ca="1">IFERROR(__xludf.DUMMYFUNCTION("""COMPUTED_VALUE"""),45717.5325694444)</f>
        <v>45717.532569444404</v>
      </c>
      <c r="D106" s="2">
        <f ca="1">IFERROR(__xludf.DUMMYFUNCTION("""COMPUTED_VALUE"""),92)</f>
        <v>92</v>
      </c>
      <c r="E106" s="2">
        <f ca="1">IFERROR(__xludf.DUMMYFUNCTION("""COMPUTED_VALUE"""),76000)</f>
        <v>76000</v>
      </c>
      <c r="F106" s="2" t="str">
        <f ca="1">IFERROR(__xludf.DUMMYFUNCTION("""COMPUTED_VALUE"""),"Syrah s/Asp 3ra")</f>
        <v>Syrah s/Asp 3ra</v>
      </c>
      <c r="G106" s="2">
        <f ca="1">IFERROR(__xludf.DUMMYFUNCTION("""COMPUTED_VALUE"""),35900)</f>
        <v>35900</v>
      </c>
      <c r="H106" s="2">
        <f ca="1">IFERROR(__xludf.DUMMYFUNCTION("""COMPUTED_VALUE"""),71800)</f>
        <v>71800</v>
      </c>
      <c r="I106" s="2"/>
      <c r="J106" s="2"/>
      <c r="K106" s="2" t="str">
        <f ca="1">IFERROR(__xludf.DUMMYFUNCTION("""COMPUTED_VALUE"""),"Fermentando")</f>
        <v>Fermentando</v>
      </c>
      <c r="L106" s="2"/>
      <c r="M106" s="2"/>
    </row>
    <row r="107" spans="1:13" x14ac:dyDescent="0.25">
      <c r="A107" s="2" t="str">
        <f ca="1">IFERROR(__xludf.DUMMYFUNCTION("""COMPUTED_VALUE"""),"5f87c3d5")</f>
        <v>5f87c3d5</v>
      </c>
      <c r="B107" s="2"/>
      <c r="C107" s="3">
        <f ca="1">IFERROR(__xludf.DUMMYFUNCTION("""COMPUTED_VALUE"""),45717.5353819444)</f>
        <v>45717.535381944399</v>
      </c>
      <c r="D107" s="2">
        <f ca="1">IFERROR(__xludf.DUMMYFUNCTION("""COMPUTED_VALUE"""),85)</f>
        <v>85</v>
      </c>
      <c r="E107" s="2">
        <f ca="1">IFERROR(__xludf.DUMMYFUNCTION("""COMPUTED_VALUE"""),84000)</f>
        <v>84000</v>
      </c>
      <c r="F107" s="2" t="str">
        <f ca="1">IFERROR(__xludf.DUMMYFUNCTION("""COMPUTED_VALUE"""),"Syrah s/Asp 3ra")</f>
        <v>Syrah s/Asp 3ra</v>
      </c>
      <c r="G107" s="2">
        <f ca="1">IFERROR(__xludf.DUMMYFUNCTION("""COMPUTED_VALUE"""),5800)</f>
        <v>5800</v>
      </c>
      <c r="H107" s="2">
        <f ca="1">IFERROR(__xludf.DUMMYFUNCTION("""COMPUTED_VALUE"""),41700)</f>
        <v>41700</v>
      </c>
      <c r="I107" s="2" t="str">
        <f ca="1">IFERROR(__xludf.DUMMYFUNCTION("""COMPUTED_VALUE"""),"4/3 desvinar y prensar")</f>
        <v>4/3 desvinar y prensar</v>
      </c>
      <c r="J107" s="2"/>
      <c r="K107" s="2" t="str">
        <f ca="1">IFERROR(__xludf.DUMMYFUNCTION("""COMPUTED_VALUE"""),"Recarga Fermentando")</f>
        <v>Recarga Fermentando</v>
      </c>
      <c r="L107" s="2"/>
      <c r="M107" s="2"/>
    </row>
    <row r="108" spans="1:13" x14ac:dyDescent="0.25">
      <c r="A108" s="2" t="str">
        <f ca="1">IFERROR(__xludf.DUMMYFUNCTION("""COMPUTED_VALUE"""),"6c3c93fd")</f>
        <v>6c3c93fd</v>
      </c>
      <c r="B108" s="2"/>
      <c r="C108" s="3">
        <f ca="1">IFERROR(__xludf.DUMMYFUNCTION("""COMPUTED_VALUE"""),45717.5369675925)</f>
        <v>45717.536967592503</v>
      </c>
      <c r="D108" s="2">
        <f ca="1">IFERROR(__xludf.DUMMYFUNCTION("""COMPUTED_VALUE"""),87)</f>
        <v>87</v>
      </c>
      <c r="E108" s="2">
        <f ca="1">IFERROR(__xludf.DUMMYFUNCTION("""COMPUTED_VALUE"""),93700)</f>
        <v>93700</v>
      </c>
      <c r="F108" s="2" t="str">
        <f ca="1">IFERROR(__xludf.DUMMYFUNCTION("""COMPUTED_VALUE"""),"Merlot")</f>
        <v>Merlot</v>
      </c>
      <c r="G108" s="2">
        <f ca="1">IFERROR(__xludf.DUMMYFUNCTION("""COMPUTED_VALUE"""),38200)</f>
        <v>38200</v>
      </c>
      <c r="H108" s="2">
        <f ca="1">IFERROR(__xludf.DUMMYFUNCTION("""COMPUTED_VALUE"""),44200)</f>
        <v>44200</v>
      </c>
      <c r="I108" s="2" t="str">
        <f ca="1">IFERROR(__xludf.DUMMYFUNCTION("""COMPUTED_VALUE"""),"Gusto 4//3")</f>
        <v>Gusto 4//3</v>
      </c>
      <c r="J108" s="2"/>
      <c r="K108" s="2" t="str">
        <f ca="1">IFERROR(__xludf.DUMMYFUNCTION("""COMPUTED_VALUE"""),"Fermentando")</f>
        <v>Fermentando</v>
      </c>
      <c r="L108" s="2"/>
      <c r="M108" s="2"/>
    </row>
    <row r="109" spans="1:13" x14ac:dyDescent="0.25">
      <c r="A109" s="2" t="str">
        <f ca="1">IFERROR(__xludf.DUMMYFUNCTION("""COMPUTED_VALUE"""),"15e7b86f")</f>
        <v>15e7b86f</v>
      </c>
      <c r="B109" s="2"/>
      <c r="C109" s="3">
        <f ca="1">IFERROR(__xludf.DUMMYFUNCTION("""COMPUTED_VALUE"""),45718.6476041666)</f>
        <v>45718.647604166603</v>
      </c>
      <c r="D109" s="2">
        <f ca="1">IFERROR(__xludf.DUMMYFUNCTION("""COMPUTED_VALUE"""),65)</f>
        <v>65</v>
      </c>
      <c r="E109" s="2">
        <f ca="1">IFERROR(__xludf.DUMMYFUNCTION("""COMPUTED_VALUE"""),35500)</f>
        <v>35500</v>
      </c>
      <c r="F109" s="2" t="str">
        <f ca="1">IFERROR(__xludf.DUMMYFUNCTION("""COMPUTED_VALUE"""),"Anccelotta")</f>
        <v>Anccelotta</v>
      </c>
      <c r="G109" s="2">
        <f ca="1">IFERROR(__xludf.DUMMYFUNCTION("""COMPUTED_VALUE"""),20500)</f>
        <v>20500</v>
      </c>
      <c r="H109" s="2">
        <f ca="1">IFERROR(__xludf.DUMMYFUNCTION("""COMPUTED_VALUE"""),24500)</f>
        <v>24500</v>
      </c>
      <c r="I109" s="2" t="str">
        <f ca="1">IFERROR(__xludf.DUMMYFUNCTION("""COMPUTED_VALUE"""),"7/3 hacer Az y recargar con 83
4/3 bien. Se puede recargar")</f>
        <v>7/3 hacer Az y recargar con 83
4/3 bien. Se puede recargar</v>
      </c>
      <c r="J109" s="2"/>
      <c r="K109" s="2" t="str">
        <f ca="1">IFERROR(__xludf.DUMMYFUNCTION("""COMPUTED_VALUE"""),"Fermentando")</f>
        <v>Fermentando</v>
      </c>
      <c r="L109" s="2"/>
      <c r="M109" s="2"/>
    </row>
    <row r="110" spans="1:13" x14ac:dyDescent="0.25">
      <c r="A110" s="2" t="str">
        <f ca="1">IFERROR(__xludf.DUMMYFUNCTION("""COMPUTED_VALUE"""),"6c349523")</f>
        <v>6c349523</v>
      </c>
      <c r="B110" s="2"/>
      <c r="C110" s="3">
        <f ca="1">IFERROR(__xludf.DUMMYFUNCTION("""COMPUTED_VALUE"""),45718.6531828703)</f>
        <v>45718.653182870301</v>
      </c>
      <c r="D110" s="2">
        <f ca="1">IFERROR(__xludf.DUMMYFUNCTION("""COMPUTED_VALUE"""),83)</f>
        <v>83</v>
      </c>
      <c r="E110" s="2">
        <f ca="1">IFERROR(__xludf.DUMMYFUNCTION("""COMPUTED_VALUE"""),81500)</f>
        <v>81500</v>
      </c>
      <c r="F110" s="2" t="str">
        <f ca="1">IFERROR(__xludf.DUMMYFUNCTION("""COMPUTED_VALUE"""),"Syrah")</f>
        <v>Syrah</v>
      </c>
      <c r="G110" s="2">
        <f ca="1">IFERROR(__xludf.DUMMYFUNCTION("""COMPUTED_VALUE"""),45000)</f>
        <v>45000</v>
      </c>
      <c r="H110" s="2">
        <f ca="1">IFERROR(__xludf.DUMMYFUNCTION("""COMPUTED_VALUE"""),53000)</f>
        <v>53000</v>
      </c>
      <c r="I110" s="2"/>
      <c r="J110" s="2"/>
      <c r="K110" s="2" t="str">
        <f ca="1">IFERROR(__xludf.DUMMYFUNCTION("""COMPUTED_VALUE"""),"Fermentando")</f>
        <v>Fermentando</v>
      </c>
      <c r="L110" s="2"/>
      <c r="M110" s="2"/>
    </row>
    <row r="111" spans="1:13" x14ac:dyDescent="0.25">
      <c r="A111" s="2" t="str">
        <f ca="1">IFERROR(__xludf.DUMMYFUNCTION("""COMPUTED_VALUE"""),"39ea0cc6")</f>
        <v>39ea0cc6</v>
      </c>
      <c r="B111" s="2"/>
      <c r="C111" s="3">
        <f ca="1">IFERROR(__xludf.DUMMYFUNCTION("""COMPUTED_VALUE"""),45719.6186805555)</f>
        <v>45719.618680555497</v>
      </c>
      <c r="D111" s="2">
        <f ca="1">IFERROR(__xludf.DUMMYFUNCTION("""COMPUTED_VALUE"""),88)</f>
        <v>88</v>
      </c>
      <c r="E111" s="2">
        <f ca="1">IFERROR(__xludf.DUMMYFUNCTION("""COMPUTED_VALUE"""),78900)</f>
        <v>78900</v>
      </c>
      <c r="F111" s="2" t="str">
        <f ca="1">IFERROR(__xludf.DUMMYFUNCTION("""COMPUTED_VALUE"""),"Syrah Ferm")</f>
        <v>Syrah Ferm</v>
      </c>
      <c r="G111" s="2"/>
      <c r="H111" s="2">
        <f ca="1">IFERROR(__xludf.DUMMYFUNCTION("""COMPUTED_VALUE"""),40000)</f>
        <v>40000</v>
      </c>
      <c r="I111" s="2" t="str">
        <f ca="1">IFERROR(__xludf.DUMMYFUNCTION("""COMPUTED_VALUE"""),"Cochinilla en el Dique")</f>
        <v>Cochinilla en el Dique</v>
      </c>
      <c r="J111" s="2" t="str">
        <f ca="1">IFERROR(__xludf.DUMMYFUNCTION("""COMPUTED_VALUE"""),"5902 , 5903 , 5905 , 5906 , 5907 , 5908")</f>
        <v>5902 , 5903 , 5905 , 5906 , 5907 , 5908</v>
      </c>
      <c r="K111" s="2" t="str">
        <f ca="1">IFERROR(__xludf.DUMMYFUNCTION("""COMPUTED_VALUE"""),"Fermentando")</f>
        <v>Fermentando</v>
      </c>
      <c r="L111" s="2"/>
      <c r="M111" s="2"/>
    </row>
    <row r="112" spans="1:13" x14ac:dyDescent="0.25">
      <c r="A112" s="2" t="str">
        <f ca="1">IFERROR(__xludf.DUMMYFUNCTION("""COMPUTED_VALUE"""),"d53930ff")</f>
        <v>d53930ff</v>
      </c>
      <c r="B112" s="2"/>
      <c r="C112" s="3">
        <f ca="1">IFERROR(__xludf.DUMMYFUNCTION("""COMPUTED_VALUE"""),45719.6280787037)</f>
        <v>45719.628078703703</v>
      </c>
      <c r="D112" s="2">
        <f ca="1">IFERROR(__xludf.DUMMYFUNCTION("""COMPUTED_VALUE"""),150)</f>
        <v>150</v>
      </c>
      <c r="E112" s="2">
        <f ca="1">IFERROR(__xludf.DUMMYFUNCTION("""COMPUTED_VALUE"""),200000)</f>
        <v>200000</v>
      </c>
      <c r="F112" s="2" t="str">
        <f ca="1">IFERROR(__xludf.DUMMYFUNCTION("""COMPUTED_VALUE"""),"Correccion")</f>
        <v>Correccion</v>
      </c>
      <c r="G112" s="2"/>
      <c r="H112" s="2">
        <f ca="1">IFERROR(__xludf.DUMMYFUNCTION("""COMPUTED_VALUE"""),14501)</f>
        <v>14501</v>
      </c>
      <c r="I112" s="2"/>
      <c r="J112" s="2"/>
      <c r="K112" s="2" t="str">
        <f ca="1">IFERROR(__xludf.DUMMYFUNCTION("""COMPUTED_VALUE"""),"Terminado")</f>
        <v>Terminado</v>
      </c>
      <c r="L112" s="2"/>
      <c r="M112" s="2"/>
    </row>
    <row r="113" spans="1:13" x14ac:dyDescent="0.25">
      <c r="A113" s="2" t="str">
        <f ca="1">IFERROR(__xludf.DUMMYFUNCTION("""COMPUTED_VALUE"""),"994b8afe")</f>
        <v>994b8afe</v>
      </c>
      <c r="B113" s="2"/>
      <c r="C113" s="3">
        <f ca="1">IFERROR(__xludf.DUMMYFUNCTION("""COMPUTED_VALUE"""),45719.6984143518)</f>
        <v>45719.698414351798</v>
      </c>
      <c r="D113" s="2">
        <f ca="1">IFERROR(__xludf.DUMMYFUNCTION("""COMPUTED_VALUE"""),84)</f>
        <v>84</v>
      </c>
      <c r="E113" s="2">
        <f ca="1">IFERROR(__xludf.DUMMYFUNCTION("""COMPUTED_VALUE"""),83000)</f>
        <v>83000</v>
      </c>
      <c r="F113" s="2" t="str">
        <f ca="1">IFERROR(__xludf.DUMMYFUNCTION("""COMPUTED_VALUE"""),"Syrah Colom s/Asp 2")</f>
        <v>Syrah Colom s/Asp 2</v>
      </c>
      <c r="G113" s="2">
        <f ca="1">IFERROR(__xludf.DUMMYFUNCTION("""COMPUTED_VALUE"""),39000)</f>
        <v>39000</v>
      </c>
      <c r="H113" s="2">
        <f ca="1">IFERROR(__xludf.DUMMYFUNCTION("""COMPUTED_VALUE"""),41000)</f>
        <v>41000</v>
      </c>
      <c r="I113" s="2"/>
      <c r="J113" s="2"/>
      <c r="K113" s="2" t="str">
        <f ca="1">IFERROR(__xludf.DUMMYFUNCTION("""COMPUTED_VALUE"""),"Recarga Fermentando")</f>
        <v>Recarga Fermentando</v>
      </c>
      <c r="L113" s="2"/>
      <c r="M113" s="2"/>
    </row>
    <row r="114" spans="1:13" x14ac:dyDescent="0.25">
      <c r="A114" s="2" t="str">
        <f ca="1">IFERROR(__xludf.DUMMYFUNCTION("""COMPUTED_VALUE"""),"9c95c706")</f>
        <v>9c95c706</v>
      </c>
      <c r="B114" s="2"/>
      <c r="C114" s="3">
        <f ca="1">IFERROR(__xludf.DUMMYFUNCTION("""COMPUTED_VALUE"""),45719.861724537)</f>
        <v>45719.861724536997</v>
      </c>
      <c r="D114" s="2">
        <f ca="1">IFERROR(__xludf.DUMMYFUNCTION("""COMPUTED_VALUE"""),66)</f>
        <v>66</v>
      </c>
      <c r="E114" s="2">
        <f ca="1">IFERROR(__xludf.DUMMYFUNCTION("""COMPUTED_VALUE"""),23000)</f>
        <v>23000</v>
      </c>
      <c r="F114" s="2" t="str">
        <f ca="1">IFERROR(__xludf.DUMMYFUNCTION("""COMPUTED_VALUE"""),"Anccelotta")</f>
        <v>Anccelotta</v>
      </c>
      <c r="G114" s="2"/>
      <c r="H114" s="2">
        <f ca="1">IFERROR(__xludf.DUMMYFUNCTION("""COMPUTED_VALUE"""),15000)</f>
        <v>15000</v>
      </c>
      <c r="I114" s="2" t="str">
        <f ca="1">IFERROR(__xludf.DUMMYFUNCTION("""COMPUTED_VALUE"""),"7/3
Reducida, agregar fosfato")</f>
        <v>7/3
Reducida, agregar fosfato</v>
      </c>
      <c r="J114" s="2" t="str">
        <f ca="1">IFERROR(__xludf.DUMMYFUNCTION("""COMPUTED_VALUE"""),"5904 , 5920")</f>
        <v>5904 , 5920</v>
      </c>
      <c r="K114" s="2" t="str">
        <f ca="1">IFERROR(__xludf.DUMMYFUNCTION("""COMPUTED_VALUE"""),"Fermentando")</f>
        <v>Fermentando</v>
      </c>
      <c r="L114" s="2"/>
      <c r="M114" s="2"/>
    </row>
    <row r="115" spans="1:13" x14ac:dyDescent="0.25">
      <c r="A115" s="2" t="str">
        <f ca="1">IFERROR(__xludf.DUMMYFUNCTION("""COMPUTED_VALUE"""),"702b9808")</f>
        <v>702b9808</v>
      </c>
      <c r="B115" s="2"/>
      <c r="C115" s="3">
        <f ca="1">IFERROR(__xludf.DUMMYFUNCTION("""COMPUTED_VALUE"""),45720.7843634259)</f>
        <v>45720.784363425897</v>
      </c>
      <c r="D115" s="2">
        <f ca="1">IFERROR(__xludf.DUMMYFUNCTION("""COMPUTED_VALUE"""),68)</f>
        <v>68</v>
      </c>
      <c r="E115" s="2">
        <f ca="1">IFERROR(__xludf.DUMMYFUNCTION("""COMPUTED_VALUE"""),13000)</f>
        <v>13000</v>
      </c>
      <c r="F115" s="2" t="str">
        <f ca="1">IFERROR(__xludf.DUMMYFUNCTION("""COMPUTED_VALUE"""),"Syrah")</f>
        <v>Syrah</v>
      </c>
      <c r="G115" s="2">
        <f ca="1">IFERROR(__xludf.DUMMYFUNCTION("""COMPUTED_VALUE"""),8000)</f>
        <v>8000</v>
      </c>
      <c r="H115" s="2">
        <f ca="1">IFERROR(__xludf.DUMMYFUNCTION("""COMPUTED_VALUE"""),10000)</f>
        <v>10000</v>
      </c>
      <c r="I115" s="2"/>
      <c r="J115" s="2"/>
      <c r="K115" s="2" t="str">
        <f ca="1">IFERROR(__xludf.DUMMYFUNCTION("""COMPUTED_VALUE"""),"Fermentando")</f>
        <v>Fermentando</v>
      </c>
      <c r="L115" s="2"/>
      <c r="M115" s="2"/>
    </row>
    <row r="116" spans="1:13" x14ac:dyDescent="0.25">
      <c r="A116" s="2" t="str">
        <f ca="1">IFERROR(__xludf.DUMMYFUNCTION("""COMPUTED_VALUE"""),"d2779d8c")</f>
        <v>d2779d8c</v>
      </c>
      <c r="B116" s="2"/>
      <c r="C116" s="3">
        <f ca="1">IFERROR(__xludf.DUMMYFUNCTION("""COMPUTED_VALUE"""),45720.8076388888)</f>
        <v>45720.8076388888</v>
      </c>
      <c r="D116" s="2">
        <f ca="1">IFERROR(__xludf.DUMMYFUNCTION("""COMPUTED_VALUE"""),89)</f>
        <v>89</v>
      </c>
      <c r="E116" s="2">
        <f ca="1">IFERROR(__xludf.DUMMYFUNCTION("""COMPUTED_VALUE"""),83500)</f>
        <v>83500</v>
      </c>
      <c r="F116" s="2" t="str">
        <f ca="1">IFERROR(__xludf.DUMMYFUNCTION("""COMPUTED_VALUE"""),"Syrah")</f>
        <v>Syrah</v>
      </c>
      <c r="G116" s="2"/>
      <c r="H116" s="2">
        <f ca="1">IFERROR(__xludf.DUMMYFUNCTION("""COMPUTED_VALUE"""),39000)</f>
        <v>39000</v>
      </c>
      <c r="I116" s="2"/>
      <c r="J116" s="2" t="str">
        <f ca="1">IFERROR(__xludf.DUMMYFUNCTION("""COMPUTED_VALUE"""),"5909 , 5910 , 5911 , 5912 , 5913")</f>
        <v>5909 , 5910 , 5911 , 5912 , 5913</v>
      </c>
      <c r="K116" s="2" t="str">
        <f ca="1">IFERROR(__xludf.DUMMYFUNCTION("""COMPUTED_VALUE"""),"Fermentando")</f>
        <v>Fermentando</v>
      </c>
      <c r="L116" s="2"/>
      <c r="M116" s="2"/>
    </row>
    <row r="117" spans="1:13" x14ac:dyDescent="0.25">
      <c r="A117" s="2" t="str">
        <f ca="1">IFERROR(__xludf.DUMMYFUNCTION("""COMPUTED_VALUE"""),"58c72f6a")</f>
        <v>58c72f6a</v>
      </c>
      <c r="B117" s="2"/>
      <c r="C117" s="3">
        <f ca="1">IFERROR(__xludf.DUMMYFUNCTION("""COMPUTED_VALUE"""),45721.4990162037)</f>
        <v>45721.499016203699</v>
      </c>
      <c r="D117" s="2">
        <f ca="1">IFERROR(__xludf.DUMMYFUNCTION("""COMPUTED_VALUE"""),121)</f>
        <v>121</v>
      </c>
      <c r="E117" s="2">
        <f ca="1">IFERROR(__xludf.DUMMYFUNCTION("""COMPUTED_VALUE"""),85800)</f>
        <v>85800</v>
      </c>
      <c r="F117" s="2" t="str">
        <f ca="1">IFERROR(__xludf.DUMMYFUNCTION("""COMPUTED_VALUE"""),"Syrah s/Asp 3ra")</f>
        <v>Syrah s/Asp 3ra</v>
      </c>
      <c r="G117" s="2">
        <f ca="1">IFERROR(__xludf.DUMMYFUNCTION("""COMPUTED_VALUE"""),0)</f>
        <v>0</v>
      </c>
      <c r="H117" s="2">
        <f ca="1">IFERROR(__xludf.DUMMYFUNCTION("""COMPUTED_VALUE"""),48300)</f>
        <v>48300</v>
      </c>
      <c r="I117" s="2"/>
      <c r="J117" s="2"/>
      <c r="K117" s="2" t="str">
        <f ca="1">IFERROR(__xludf.DUMMYFUNCTION("""COMPUTED_VALUE"""),"Recarga Fermentando")</f>
        <v>Recarga Fermentando</v>
      </c>
      <c r="L117" s="2"/>
      <c r="M117" s="2"/>
    </row>
    <row r="118" spans="1:13" x14ac:dyDescent="0.25">
      <c r="A118" s="2" t="str">
        <f ca="1">IFERROR(__xludf.DUMMYFUNCTION("""COMPUTED_VALUE"""),"a18d2b54")</f>
        <v>a18d2b54</v>
      </c>
      <c r="B118" s="2"/>
      <c r="C118" s="3">
        <f ca="1">IFERROR(__xludf.DUMMYFUNCTION("""COMPUTED_VALUE"""),45721.500011574)</f>
        <v>45721.500011573997</v>
      </c>
      <c r="D118" s="2">
        <f ca="1">IFERROR(__xludf.DUMMYFUNCTION("""COMPUTED_VALUE"""),500)</f>
        <v>500</v>
      </c>
      <c r="E118" s="2">
        <f ca="1">IFERROR(__xludf.DUMMYFUNCTION("""COMPUTED_VALUE"""),200000)</f>
        <v>200000</v>
      </c>
      <c r="F118" s="2" t="str">
        <f ca="1">IFERROR(__xludf.DUMMYFUNCTION("""COMPUTED_VALUE"""),"Merlot s/Asp descube")</f>
        <v>Merlot s/Asp descube</v>
      </c>
      <c r="G118" s="2">
        <f ca="1">IFERROR(__xludf.DUMMYFUNCTION("""COMPUTED_VALUE"""),0)</f>
        <v>0</v>
      </c>
      <c r="H118" s="2">
        <f ca="1">IFERROR(__xludf.DUMMYFUNCTION("""COMPUTED_VALUE"""),5000)</f>
        <v>5000</v>
      </c>
      <c r="I118" s="2"/>
      <c r="J118" s="2"/>
      <c r="K118" s="2" t="str">
        <f ca="1">IFERROR(__xludf.DUMMYFUNCTION("""COMPUTED_VALUE"""),"Descubada")</f>
        <v>Descubada</v>
      </c>
      <c r="L118" s="2"/>
      <c r="M118" s="2"/>
    </row>
    <row r="119" spans="1:13" x14ac:dyDescent="0.25">
      <c r="A119" s="2" t="str">
        <f ca="1">IFERROR(__xludf.DUMMYFUNCTION("""COMPUTED_VALUE"""),"f41ecbda")</f>
        <v>f41ecbda</v>
      </c>
      <c r="B119" s="2"/>
      <c r="C119" s="3">
        <f ca="1">IFERROR(__xludf.DUMMYFUNCTION("""COMPUTED_VALUE"""),45721.5031944444)</f>
        <v>45721.503194444398</v>
      </c>
      <c r="D119" s="2">
        <f ca="1">IFERROR(__xludf.DUMMYFUNCTION("""COMPUTED_VALUE"""),34)</f>
        <v>34</v>
      </c>
      <c r="E119" s="2">
        <f ca="1">IFERROR(__xludf.DUMMYFUNCTION("""COMPUTED_VALUE"""),39500)</f>
        <v>39500</v>
      </c>
      <c r="F119" s="2" t="str">
        <f ca="1">IFERROR(__xludf.DUMMYFUNCTION("""COMPUTED_VALUE"""),"Syrah s/Asp 2da")</f>
        <v>Syrah s/Asp 2da</v>
      </c>
      <c r="G119" s="2">
        <f ca="1">IFERROR(__xludf.DUMMYFUNCTION("""COMPUTED_VALUE"""),30000)</f>
        <v>30000</v>
      </c>
      <c r="H119" s="2">
        <f ca="1">IFERROR(__xludf.DUMMYFUNCTION("""COMPUTED_VALUE"""),39500)</f>
        <v>39500</v>
      </c>
      <c r="I119" s="2" t="str">
        <f ca="1">IFERROR(__xludf.DUMMYFUNCTION("""COMPUTED_VALUE"""),"28/3 muy bueno y parejo para corte de Syrah")</f>
        <v>28/3 muy bueno y parejo para corte de Syrah</v>
      </c>
      <c r="J119" s="2"/>
      <c r="K119" s="2" t="str">
        <f ca="1">IFERROR(__xludf.DUMMYFUNCTION("""COMPUTED_VALUE"""),"Descubada")</f>
        <v>Descubada</v>
      </c>
      <c r="L119" s="2"/>
      <c r="M119" s="2"/>
    </row>
    <row r="120" spans="1:13" x14ac:dyDescent="0.25">
      <c r="A120" s="2" t="str">
        <f ca="1">IFERROR(__xludf.DUMMYFUNCTION("""COMPUTED_VALUE"""),"963fbbab")</f>
        <v>963fbbab</v>
      </c>
      <c r="B120" s="2"/>
      <c r="C120" s="3">
        <f ca="1">IFERROR(__xludf.DUMMYFUNCTION("""COMPUTED_VALUE"""),45721.5094328703)</f>
        <v>45721.509432870298</v>
      </c>
      <c r="D120" s="2">
        <f ca="1">IFERROR(__xludf.DUMMYFUNCTION("""COMPUTED_VALUE"""),110)</f>
        <v>110</v>
      </c>
      <c r="E120" s="2">
        <f ca="1">IFERROR(__xludf.DUMMYFUNCTION("""COMPUTED_VALUE"""),15600)</f>
        <v>15600</v>
      </c>
      <c r="F120" s="2" t="str">
        <f ca="1">IFERROR(__xludf.DUMMYFUNCTION("""COMPUTED_VALUE"""),"Merlot s/Asp y Syrah")</f>
        <v>Merlot s/Asp y Syrah</v>
      </c>
      <c r="G120" s="2">
        <f ca="1">IFERROR(__xludf.DUMMYFUNCTION("""COMPUTED_VALUE"""),8000)</f>
        <v>8000</v>
      </c>
      <c r="H120" s="2">
        <f ca="1">IFERROR(__xludf.DUMMYFUNCTION("""COMPUTED_VALUE"""),14000)</f>
        <v>14000</v>
      </c>
      <c r="I120" s="2"/>
      <c r="J120" s="2"/>
      <c r="K120" s="2" t="str">
        <f ca="1">IFERROR(__xludf.DUMMYFUNCTION("""COMPUTED_VALUE"""),"Descubada")</f>
        <v>Descubada</v>
      </c>
      <c r="L120" s="2"/>
      <c r="M120" s="2"/>
    </row>
    <row r="121" spans="1:13" x14ac:dyDescent="0.25">
      <c r="A121" s="2" t="str">
        <f ca="1">IFERROR(__xludf.DUMMYFUNCTION("""COMPUTED_VALUE"""),"f90482a4")</f>
        <v>f90482a4</v>
      </c>
      <c r="B121" s="2"/>
      <c r="C121" s="3">
        <f ca="1">IFERROR(__xludf.DUMMYFUNCTION("""COMPUTED_VALUE"""),45721.51)</f>
        <v>45721.51</v>
      </c>
      <c r="D121" s="2">
        <f ca="1">IFERROR(__xludf.DUMMYFUNCTION("""COMPUTED_VALUE"""),121)</f>
        <v>121</v>
      </c>
      <c r="E121" s="2">
        <f ca="1">IFERROR(__xludf.DUMMYFUNCTION("""COMPUTED_VALUE"""),85800)</f>
        <v>85800</v>
      </c>
      <c r="F121" s="2" t="str">
        <f ca="1">IFERROR(__xludf.DUMMYFUNCTION("""COMPUTED_VALUE"""),"Syrah s/Asp 3ra")</f>
        <v>Syrah s/Asp 3ra</v>
      </c>
      <c r="G121" s="2">
        <f ca="1">IFERROR(__xludf.DUMMYFUNCTION("""COMPUTED_VALUE"""),48300)</f>
        <v>48300</v>
      </c>
      <c r="H121" s="2">
        <f ca="1">IFERROR(__xludf.DUMMYFUNCTION("""COMPUTED_VALUE"""),85800)</f>
        <v>85800</v>
      </c>
      <c r="I121" s="2" t="str">
        <f ca="1">IFERROR(__xludf.DUMMYFUNCTION("""COMPUTED_VALUE"""),"28/3 esta bien pero fue el mas flaco de la degustacion.  Completa el corte
10/3 ver correcciones de SO2 como quedó
Dulzura en boca")</f>
        <v>28/3 esta bien pero fue el mas flaco de la degustacion.  Completa el corte
10/3 ver correcciones de SO2 como quedó
Dulzura en boca</v>
      </c>
      <c r="J121" s="2"/>
      <c r="K121" s="2" t="str">
        <f ca="1">IFERROR(__xludf.DUMMYFUNCTION("""COMPUTED_VALUE"""),"Descubada")</f>
        <v>Descubada</v>
      </c>
      <c r="L121" s="2"/>
      <c r="M121" s="2"/>
    </row>
    <row r="122" spans="1:13" x14ac:dyDescent="0.25">
      <c r="A122" s="2" t="str">
        <f ca="1">IFERROR(__xludf.DUMMYFUNCTION("""COMPUTED_VALUE"""),"a62e4289")</f>
        <v>a62e4289</v>
      </c>
      <c r="B122" s="2"/>
      <c r="C122" s="3">
        <f ca="1">IFERROR(__xludf.DUMMYFUNCTION("""COMPUTED_VALUE"""),45721.5123263888)</f>
        <v>45721.512326388802</v>
      </c>
      <c r="D122" s="2">
        <f ca="1">IFERROR(__xludf.DUMMYFUNCTION("""COMPUTED_VALUE"""),87)</f>
        <v>87</v>
      </c>
      <c r="E122" s="2">
        <f ca="1">IFERROR(__xludf.DUMMYFUNCTION("""COMPUTED_VALUE"""),93700)</f>
        <v>93700</v>
      </c>
      <c r="F122" s="2" t="str">
        <f ca="1">IFERROR(__xludf.DUMMYFUNCTION("""COMPUTED_VALUE"""),"Merlot")</f>
        <v>Merlot</v>
      </c>
      <c r="G122" s="2">
        <f ca="1">IFERROR(__xludf.DUMMYFUNCTION("""COMPUTED_VALUE"""),44200)</f>
        <v>44200</v>
      </c>
      <c r="H122" s="2">
        <f ca="1">IFERROR(__xludf.DUMMYFUNCTION("""COMPUTED_VALUE"""),47200)</f>
        <v>47200</v>
      </c>
      <c r="I122" s="2"/>
      <c r="J122" s="2"/>
      <c r="K122" s="2" t="str">
        <f ca="1">IFERROR(__xludf.DUMMYFUNCTION("""COMPUTED_VALUE"""),"Terminado")</f>
        <v>Terminado</v>
      </c>
      <c r="L122" s="2"/>
      <c r="M122" s="2"/>
    </row>
    <row r="123" spans="1:13" x14ac:dyDescent="0.25">
      <c r="A123" s="2" t="str">
        <f ca="1">IFERROR(__xludf.DUMMYFUNCTION("""COMPUTED_VALUE"""),"94493a7b")</f>
        <v>94493a7b</v>
      </c>
      <c r="B123" s="2"/>
      <c r="C123" s="3">
        <f ca="1">IFERROR(__xludf.DUMMYFUNCTION("""COMPUTED_VALUE"""),45721.5151967592)</f>
        <v>45721.515196759203</v>
      </c>
      <c r="D123" s="2">
        <f ca="1">IFERROR(__xludf.DUMMYFUNCTION("""COMPUTED_VALUE"""),77)</f>
        <v>77</v>
      </c>
      <c r="E123" s="2">
        <f ca="1">IFERROR(__xludf.DUMMYFUNCTION("""COMPUTED_VALUE"""),26000)</f>
        <v>26000</v>
      </c>
      <c r="F123" s="2" t="str">
        <f ca="1">IFERROR(__xludf.DUMMYFUNCTION("""COMPUTED_VALUE"""),"Chardonnay")</f>
        <v>Chardonnay</v>
      </c>
      <c r="G123" s="2">
        <f ca="1">IFERROR(__xludf.DUMMYFUNCTION("""COMPUTED_VALUE"""),25000)</f>
        <v>25000</v>
      </c>
      <c r="H123" s="2">
        <f ca="1">IFERROR(__xludf.DUMMYFUNCTION("""COMPUTED_VALUE"""),26000)</f>
        <v>26000</v>
      </c>
      <c r="I123" s="2"/>
      <c r="J123" s="2"/>
      <c r="K123" s="2" t="str">
        <f ca="1">IFERROR(__xludf.DUMMYFUNCTION("""COMPUTED_VALUE"""),"Fermentando")</f>
        <v>Fermentando</v>
      </c>
      <c r="L123" s="2"/>
      <c r="M123" s="2"/>
    </row>
    <row r="124" spans="1:13" x14ac:dyDescent="0.25">
      <c r="A124" s="2" t="str">
        <f ca="1">IFERROR(__xludf.DUMMYFUNCTION("""COMPUTED_VALUE"""),"9f119881")</f>
        <v>9f119881</v>
      </c>
      <c r="B124" s="2"/>
      <c r="C124" s="3">
        <f ca="1">IFERROR(__xludf.DUMMYFUNCTION("""COMPUTED_VALUE"""),45721.5155208333)</f>
        <v>45721.515520833302</v>
      </c>
      <c r="D124" s="2">
        <f ca="1">IFERROR(__xludf.DUMMYFUNCTION("""COMPUTED_VALUE"""),78)</f>
        <v>78</v>
      </c>
      <c r="E124" s="2">
        <f ca="1">IFERROR(__xludf.DUMMYFUNCTION("""COMPUTED_VALUE"""),25800)</f>
        <v>25800</v>
      </c>
      <c r="F124" s="2" t="str">
        <f ca="1">IFERROR(__xludf.DUMMYFUNCTION("""COMPUTED_VALUE"""),"Chardonnay")</f>
        <v>Chardonnay</v>
      </c>
      <c r="G124" s="2">
        <f ca="1">IFERROR(__xludf.DUMMYFUNCTION("""COMPUTED_VALUE"""),24000)</f>
        <v>24000</v>
      </c>
      <c r="H124" s="2">
        <f ca="1">IFERROR(__xludf.DUMMYFUNCTION("""COMPUTED_VALUE"""),25800)</f>
        <v>25800</v>
      </c>
      <c r="I124" s="2"/>
      <c r="J124" s="2"/>
      <c r="K124" s="2" t="str">
        <f ca="1">IFERROR(__xludf.DUMMYFUNCTION("""COMPUTED_VALUE"""),"Fermentando")</f>
        <v>Fermentando</v>
      </c>
      <c r="L124" s="2"/>
      <c r="M124" s="2"/>
    </row>
    <row r="125" spans="1:13" x14ac:dyDescent="0.25">
      <c r="A125" s="2" t="str">
        <f ca="1">IFERROR(__xludf.DUMMYFUNCTION("""COMPUTED_VALUE"""),"e5b434bb")</f>
        <v>e5b434bb</v>
      </c>
      <c r="B125" s="2"/>
      <c r="C125" s="3">
        <f ca="1">IFERROR(__xludf.DUMMYFUNCTION("""COMPUTED_VALUE"""),45721.520011574)</f>
        <v>45721.520011574001</v>
      </c>
      <c r="D125" s="2">
        <f ca="1">IFERROR(__xludf.DUMMYFUNCTION("""COMPUTED_VALUE"""),79)</f>
        <v>79</v>
      </c>
      <c r="E125" s="2">
        <f ca="1">IFERROR(__xludf.DUMMYFUNCTION("""COMPUTED_VALUE"""),26000)</f>
        <v>26000</v>
      </c>
      <c r="F125" s="2" t="str">
        <f ca="1">IFERROR(__xludf.DUMMYFUNCTION("""COMPUTED_VALUE"""),"Chardonnay")</f>
        <v>Chardonnay</v>
      </c>
      <c r="G125" s="2">
        <f ca="1">IFERROR(__xludf.DUMMYFUNCTION("""COMPUTED_VALUE"""),24000)</f>
        <v>24000</v>
      </c>
      <c r="H125" s="2">
        <f ca="1">IFERROR(__xludf.DUMMYFUNCTION("""COMPUTED_VALUE"""),26000)</f>
        <v>26000</v>
      </c>
      <c r="I125" s="2"/>
      <c r="J125" s="2"/>
      <c r="K125" s="2" t="str">
        <f ca="1">IFERROR(__xludf.DUMMYFUNCTION("""COMPUTED_VALUE"""),"Fermentando")</f>
        <v>Fermentando</v>
      </c>
      <c r="L125" s="2"/>
      <c r="M125" s="2"/>
    </row>
    <row r="126" spans="1:13" x14ac:dyDescent="0.25">
      <c r="A126" s="2" t="str">
        <f ca="1">IFERROR(__xludf.DUMMYFUNCTION("""COMPUTED_VALUE"""),"1f033edd")</f>
        <v>1f033edd</v>
      </c>
      <c r="B126" s="2"/>
      <c r="C126" s="3">
        <f ca="1">IFERROR(__xludf.DUMMYFUNCTION("""COMPUTED_VALUE"""),45721.5205787037)</f>
        <v>45721.520578703698</v>
      </c>
      <c r="D126" s="2">
        <f ca="1">IFERROR(__xludf.DUMMYFUNCTION("""COMPUTED_VALUE"""),81)</f>
        <v>81</v>
      </c>
      <c r="E126" s="2">
        <f ca="1">IFERROR(__xludf.DUMMYFUNCTION("""COMPUTED_VALUE"""),26500)</f>
        <v>26500</v>
      </c>
      <c r="F126" s="2" t="str">
        <f ca="1">IFERROR(__xludf.DUMMYFUNCTION("""COMPUTED_VALUE"""),"Chardonnay")</f>
        <v>Chardonnay</v>
      </c>
      <c r="G126" s="2">
        <f ca="1">IFERROR(__xludf.DUMMYFUNCTION("""COMPUTED_VALUE"""),24000)</f>
        <v>24000</v>
      </c>
      <c r="H126" s="2">
        <f ca="1">IFERROR(__xludf.DUMMYFUNCTION("""COMPUTED_VALUE"""),26500)</f>
        <v>26500</v>
      </c>
      <c r="I126" s="2" t="str">
        <f ca="1">IFERROR(__xludf.DUMMYFUNCTION("""COMPUTED_VALUE"""),"7/3
Tiene un amargo")</f>
        <v>7/3
Tiene un amargo</v>
      </c>
      <c r="J126" s="2"/>
      <c r="K126" s="2" t="str">
        <f ca="1">IFERROR(__xludf.DUMMYFUNCTION("""COMPUTED_VALUE"""),"Fermentando")</f>
        <v>Fermentando</v>
      </c>
      <c r="L126" s="2"/>
      <c r="M126" s="2"/>
    </row>
    <row r="127" spans="1:13" x14ac:dyDescent="0.25">
      <c r="A127" s="2" t="str">
        <f ca="1">IFERROR(__xludf.DUMMYFUNCTION("""COMPUTED_VALUE"""),"f9bf68a3")</f>
        <v>f9bf68a3</v>
      </c>
      <c r="B127" s="2"/>
      <c r="C127" s="3">
        <f ca="1">IFERROR(__xludf.DUMMYFUNCTION("""COMPUTED_VALUE"""),45721.5210763888)</f>
        <v>45721.521076388803</v>
      </c>
      <c r="D127" s="2">
        <f ca="1">IFERROR(__xludf.DUMMYFUNCTION("""COMPUTED_VALUE"""),10)</f>
        <v>10</v>
      </c>
      <c r="E127" s="2">
        <f ca="1">IFERROR(__xludf.DUMMYFUNCTION("""COMPUTED_VALUE"""),21000)</f>
        <v>21000</v>
      </c>
      <c r="F127" s="2" t="str">
        <f ca="1">IFERROR(__xludf.DUMMYFUNCTION("""COMPUTED_VALUE"""),"Chardonnay")</f>
        <v>Chardonnay</v>
      </c>
      <c r="G127" s="2">
        <f ca="1">IFERROR(__xludf.DUMMYFUNCTION("""COMPUTED_VALUE"""),0)</f>
        <v>0</v>
      </c>
      <c r="H127" s="2">
        <f ca="1">IFERROR(__xludf.DUMMYFUNCTION("""COMPUTED_VALUE"""),21000)</f>
        <v>21000</v>
      </c>
      <c r="I127" s="2"/>
      <c r="J127" s="2"/>
      <c r="K127" s="2" t="str">
        <f ca="1">IFERROR(__xludf.DUMMYFUNCTION("""COMPUTED_VALUE"""),"Descubada")</f>
        <v>Descubada</v>
      </c>
      <c r="L127" s="2" t="str">
        <f ca="1">IFERROR(__xludf.DUMMYFUNCTION("""COMPUTED_VALUE"""),"1-")</f>
        <v>1-</v>
      </c>
      <c r="M127" s="2" t="str">
        <f ca="1">IFERROR(__xludf.DUMMYFUNCTION("""COMPUTED_VALUE"""),"Blanco")</f>
        <v>Blanco</v>
      </c>
    </row>
    <row r="128" spans="1:13" x14ac:dyDescent="0.25">
      <c r="A128" s="2" t="str">
        <f ca="1">IFERROR(__xludf.DUMMYFUNCTION("""COMPUTED_VALUE"""),"3c90bae8")</f>
        <v>3c90bae8</v>
      </c>
      <c r="B128" s="2"/>
      <c r="C128" s="3">
        <f ca="1">IFERROR(__xludf.DUMMYFUNCTION("""COMPUTED_VALUE"""),45722.3649305555)</f>
        <v>45722.364930555501</v>
      </c>
      <c r="D128" s="2">
        <f ca="1">IFERROR(__xludf.DUMMYFUNCTION("""COMPUTED_VALUE"""),92)</f>
        <v>92</v>
      </c>
      <c r="E128" s="2">
        <f ca="1">IFERROR(__xludf.DUMMYFUNCTION("""COMPUTED_VALUE"""),76000)</f>
        <v>76000</v>
      </c>
      <c r="F128" s="2" t="str">
        <f ca="1">IFERROR(__xludf.DUMMYFUNCTION("""COMPUTED_VALUE"""),"Syrah Tempranillo")</f>
        <v>Syrah Tempranillo</v>
      </c>
      <c r="G128" s="2"/>
      <c r="H128" s="2">
        <f ca="1">IFERROR(__xludf.DUMMYFUNCTION("""COMPUTED_VALUE"""),40700)</f>
        <v>40700</v>
      </c>
      <c r="I128" s="2" t="str">
        <f ca="1">IFERROR(__xludf.DUMMYFUNCTION("""COMPUTED_VALUE"""),"7/3
Hacer ph antes de rectificar
Buscar 3,5 ph al fermentar
Encubado")</f>
        <v>7/3
Hacer ph antes de rectificar
Buscar 3,5 ph al fermentar
Encubado</v>
      </c>
      <c r="J128" s="2" t="str">
        <f ca="1">IFERROR(__xludf.DUMMYFUNCTION("""COMPUTED_VALUE"""),"5914 , 5915 , 5916 , 5917 , 5919")</f>
        <v>5914 , 5915 , 5916 , 5917 , 5919</v>
      </c>
      <c r="K128" s="2" t="str">
        <f ca="1">IFERROR(__xludf.DUMMYFUNCTION("""COMPUTED_VALUE"""),"Fermentando")</f>
        <v>Fermentando</v>
      </c>
      <c r="L128" s="2"/>
      <c r="M128" s="2"/>
    </row>
    <row r="129" spans="1:13" x14ac:dyDescent="0.25">
      <c r="A129" s="2" t="str">
        <f ca="1">IFERROR(__xludf.DUMMYFUNCTION("""COMPUTED_VALUE"""),"99fabf46")</f>
        <v>99fabf46</v>
      </c>
      <c r="B129" s="2"/>
      <c r="C129" s="3">
        <f ca="1">IFERROR(__xludf.DUMMYFUNCTION("""COMPUTED_VALUE"""),45722.3807060185)</f>
        <v>45722.380706018499</v>
      </c>
      <c r="D129" s="2">
        <f ca="1">IFERROR(__xludf.DUMMYFUNCTION("""COMPUTED_VALUE"""),69)</f>
        <v>69</v>
      </c>
      <c r="E129" s="2">
        <f ca="1">IFERROR(__xludf.DUMMYFUNCTION("""COMPUTED_VALUE"""),13000)</f>
        <v>13000</v>
      </c>
      <c r="F129" s="2" t="str">
        <f ca="1">IFERROR(__xludf.DUMMYFUNCTION("""COMPUTED_VALUE"""),"Malbec")</f>
        <v>Malbec</v>
      </c>
      <c r="G129" s="2"/>
      <c r="H129" s="2">
        <f ca="1">IFERROR(__xludf.DUMMYFUNCTION("""COMPUTED_VALUE"""),9100)</f>
        <v>9100</v>
      </c>
      <c r="I129" s="2" t="str">
        <f ca="1">IFERROR(__xludf.DUMMYFUNCTION("""COMPUTED_VALUE"""),"7/3
Reducido agr fosfato y rectificar")</f>
        <v>7/3
Reducido agr fosfato y rectificar</v>
      </c>
      <c r="J129" s="2">
        <f ca="1">IFERROR(__xludf.DUMMYFUNCTION("""COMPUTED_VALUE"""),5918)</f>
        <v>5918</v>
      </c>
      <c r="K129" s="2" t="str">
        <f ca="1">IFERROR(__xludf.DUMMYFUNCTION("""COMPUTED_VALUE"""),"Fermentando")</f>
        <v>Fermentando</v>
      </c>
      <c r="L129" s="2"/>
      <c r="M129" s="2"/>
    </row>
    <row r="130" spans="1:13" x14ac:dyDescent="0.25">
      <c r="A130" s="2" t="str">
        <f ca="1">IFERROR(__xludf.DUMMYFUNCTION("""COMPUTED_VALUE"""),"5d46dc83")</f>
        <v>5d46dc83</v>
      </c>
      <c r="B130" s="2"/>
      <c r="C130" s="3">
        <f ca="1">IFERROR(__xludf.DUMMYFUNCTION("""COMPUTED_VALUE"""),45722.4002662037)</f>
        <v>45722.400266203702</v>
      </c>
      <c r="D130" s="2">
        <f ca="1">IFERROR(__xludf.DUMMYFUNCTION("""COMPUTED_VALUE"""),89)</f>
        <v>89</v>
      </c>
      <c r="E130" s="2">
        <f ca="1">IFERROR(__xludf.DUMMYFUNCTION("""COMPUTED_VALUE"""),83500)</f>
        <v>83500</v>
      </c>
      <c r="F130" s="2" t="str">
        <f ca="1">IFERROR(__xludf.DUMMYFUNCTION("""COMPUTED_VALUE"""),"Syrah")</f>
        <v>Syrah</v>
      </c>
      <c r="G130" s="2">
        <f ca="1">IFERROR(__xludf.DUMMYFUNCTION("""COMPUTED_VALUE"""),39000)</f>
        <v>39000</v>
      </c>
      <c r="H130" s="2">
        <f ca="1">IFERROR(__xludf.DUMMYFUNCTION("""COMPUTED_VALUE"""),40500)</f>
        <v>40500</v>
      </c>
      <c r="I130" s="2"/>
      <c r="J130" s="2"/>
      <c r="K130" s="2" t="str">
        <f ca="1">IFERROR(__xludf.DUMMYFUNCTION("""COMPUTED_VALUE"""),"Fermentando")</f>
        <v>Fermentando</v>
      </c>
      <c r="L130" s="2"/>
      <c r="M130" s="2"/>
    </row>
    <row r="131" spans="1:13" x14ac:dyDescent="0.25">
      <c r="A131" s="2" t="str">
        <f ca="1">IFERROR(__xludf.DUMMYFUNCTION("""COMPUTED_VALUE"""),"d8ebe8ad")</f>
        <v>d8ebe8ad</v>
      </c>
      <c r="B131" s="2"/>
      <c r="C131" s="3">
        <f ca="1">IFERROR(__xludf.DUMMYFUNCTION("""COMPUTED_VALUE"""),45722.4054282407)</f>
        <v>45722.405428240701</v>
      </c>
      <c r="D131" s="2">
        <f ca="1">IFERROR(__xludf.DUMMYFUNCTION("""COMPUTED_VALUE"""),110)</f>
        <v>110</v>
      </c>
      <c r="E131" s="2">
        <f ca="1">IFERROR(__xludf.DUMMYFUNCTION("""COMPUTED_VALUE"""),15600)</f>
        <v>15600</v>
      </c>
      <c r="F131" s="2" t="str">
        <f ca="1">IFERROR(__xludf.DUMMYFUNCTION("""COMPUTED_VALUE"""),"Syrah s/Asp 2da")</f>
        <v>Syrah s/Asp 2da</v>
      </c>
      <c r="G131" s="2">
        <f ca="1">IFERROR(__xludf.DUMMYFUNCTION("""COMPUTED_VALUE"""),14000)</f>
        <v>14000</v>
      </c>
      <c r="H131" s="2">
        <f ca="1">IFERROR(__xludf.DUMMYFUNCTION("""COMPUTED_VALUE"""),15600)</f>
        <v>15600</v>
      </c>
      <c r="I131" s="2"/>
      <c r="J131" s="2"/>
      <c r="K131" s="2" t="str">
        <f ca="1">IFERROR(__xludf.DUMMYFUNCTION("""COMPUTED_VALUE"""),"Descubada")</f>
        <v>Descubada</v>
      </c>
      <c r="L131" s="2"/>
      <c r="M131" s="2"/>
    </row>
    <row r="132" spans="1:13" x14ac:dyDescent="0.25">
      <c r="A132" s="2" t="str">
        <f ca="1">IFERROR(__xludf.DUMMYFUNCTION("""COMPUTED_VALUE"""),"40c05149")</f>
        <v>40c05149</v>
      </c>
      <c r="B132" s="2"/>
      <c r="C132" s="3">
        <f ca="1">IFERROR(__xludf.DUMMYFUNCTION("""COMPUTED_VALUE"""),45722.4065277777)</f>
        <v>45722.406527777697</v>
      </c>
      <c r="D132" s="2">
        <f ca="1">IFERROR(__xludf.DUMMYFUNCTION("""COMPUTED_VALUE"""),11)</f>
        <v>11</v>
      </c>
      <c r="E132" s="2">
        <f ca="1">IFERROR(__xludf.DUMMYFUNCTION("""COMPUTED_VALUE"""),36000)</f>
        <v>36000</v>
      </c>
      <c r="F132" s="2" t="str">
        <f ca="1">IFERROR(__xludf.DUMMYFUNCTION("""COMPUTED_VALUE"""),"Syrah s/Asp 2da")</f>
        <v>Syrah s/Asp 2da</v>
      </c>
      <c r="G132" s="2">
        <f ca="1">IFERROR(__xludf.DUMMYFUNCTION("""COMPUTED_VALUE"""),0)</f>
        <v>0</v>
      </c>
      <c r="H132" s="2">
        <f ca="1">IFERROR(__xludf.DUMMYFUNCTION("""COMPUTED_VALUE"""),11000)</f>
        <v>11000</v>
      </c>
      <c r="I132" s="2"/>
      <c r="J132" s="2"/>
      <c r="K132" s="2" t="str">
        <f ca="1">IFERROR(__xludf.DUMMYFUNCTION("""COMPUTED_VALUE"""),"Recarga Fermentando")</f>
        <v>Recarga Fermentando</v>
      </c>
      <c r="L132" s="2"/>
      <c r="M132" s="2"/>
    </row>
    <row r="133" spans="1:13" x14ac:dyDescent="0.25">
      <c r="A133" s="2" t="str">
        <f ca="1">IFERROR(__xludf.DUMMYFUNCTION("""COMPUTED_VALUE"""),"9c695ba3")</f>
        <v>9c695ba3</v>
      </c>
      <c r="B133" s="2"/>
      <c r="C133" s="3">
        <f ca="1">IFERROR(__xludf.DUMMYFUNCTION("""COMPUTED_VALUE"""),45722.4077893518)</f>
        <v>45722.407789351797</v>
      </c>
      <c r="D133" s="2">
        <f ca="1">IFERROR(__xludf.DUMMYFUNCTION("""COMPUTED_VALUE"""),11)</f>
        <v>11</v>
      </c>
      <c r="E133" s="2">
        <f ca="1">IFERROR(__xludf.DUMMYFUNCTION("""COMPUTED_VALUE"""),36000)</f>
        <v>36000</v>
      </c>
      <c r="F133" s="2" t="str">
        <f ca="1">IFERROR(__xludf.DUMMYFUNCTION("""COMPUTED_VALUE"""),"Syrah Colom s/Asp 2")</f>
        <v>Syrah Colom s/Asp 2</v>
      </c>
      <c r="G133" s="2">
        <f ca="1">IFERROR(__xludf.DUMMYFUNCTION("""COMPUTED_VALUE"""),11000)</f>
        <v>11000</v>
      </c>
      <c r="H133" s="2">
        <f ca="1">IFERROR(__xludf.DUMMYFUNCTION("""COMPUTED_VALUE"""),36000)</f>
        <v>36000</v>
      </c>
      <c r="I133" s="2" t="str">
        <f ca="1">IFERROR(__xludf.DUMMYFUNCTION("""COMPUTED_VALUE"""),"28/3 muy bueno y parejo para corte de Syrah")</f>
        <v>28/3 muy bueno y parejo para corte de Syrah</v>
      </c>
      <c r="J133" s="2"/>
      <c r="K133" s="2" t="str">
        <f ca="1">IFERROR(__xludf.DUMMYFUNCTION("""COMPUTED_VALUE"""),"Descubada")</f>
        <v>Descubada</v>
      </c>
      <c r="L133" s="2"/>
      <c r="M133" s="2"/>
    </row>
    <row r="134" spans="1:13" x14ac:dyDescent="0.25">
      <c r="A134" s="2" t="str">
        <f ca="1">IFERROR(__xludf.DUMMYFUNCTION("""COMPUTED_VALUE"""),"21a02bb8")</f>
        <v>21a02bb8</v>
      </c>
      <c r="B134" s="2"/>
      <c r="C134" s="3">
        <f ca="1">IFERROR(__xludf.DUMMYFUNCTION("""COMPUTED_VALUE"""),45722.414386574)</f>
        <v>45722.414386573997</v>
      </c>
      <c r="D134" s="2">
        <f ca="1">IFERROR(__xludf.DUMMYFUNCTION("""COMPUTED_VALUE"""),14)</f>
        <v>14</v>
      </c>
      <c r="E134" s="2">
        <f ca="1">IFERROR(__xludf.DUMMYFUNCTION("""COMPUTED_VALUE"""),37000)</f>
        <v>37000</v>
      </c>
      <c r="F134" s="2" t="str">
        <f ca="1">IFERROR(__xludf.DUMMYFUNCTION("""COMPUTED_VALUE"""),"Syrah Colom s/Asp 2")</f>
        <v>Syrah Colom s/Asp 2</v>
      </c>
      <c r="G134" s="2">
        <f ca="1">IFERROR(__xludf.DUMMYFUNCTION("""COMPUTED_VALUE"""),0)</f>
        <v>0</v>
      </c>
      <c r="H134" s="2">
        <f ca="1">IFERROR(__xludf.DUMMYFUNCTION("""COMPUTED_VALUE"""),37000)</f>
        <v>37000</v>
      </c>
      <c r="I134" s="2" t="str">
        <f ca="1">IFERROR(__xludf.DUMMYFUNCTION("""COMPUTED_VALUE"""),"28/3 muy bueno y parejo para corte de Syrah")</f>
        <v>28/3 muy bueno y parejo para corte de Syrah</v>
      </c>
      <c r="J134" s="2"/>
      <c r="K134" s="2" t="str">
        <f ca="1">IFERROR(__xludf.DUMMYFUNCTION("""COMPUTED_VALUE"""),"Descubada")</f>
        <v>Descubada</v>
      </c>
      <c r="L134" s="2"/>
      <c r="M134" s="2"/>
    </row>
    <row r="135" spans="1:13" x14ac:dyDescent="0.25">
      <c r="A135" s="2" t="str">
        <f ca="1">IFERROR(__xludf.DUMMYFUNCTION("""COMPUTED_VALUE"""),"577b30d8")</f>
        <v>577b30d8</v>
      </c>
      <c r="B135" s="2"/>
      <c r="C135" s="3">
        <f ca="1">IFERROR(__xludf.DUMMYFUNCTION("""COMPUTED_VALUE"""),45722.4152893518)</f>
        <v>45722.415289351797</v>
      </c>
      <c r="D135" s="2">
        <f ca="1">IFERROR(__xludf.DUMMYFUNCTION("""COMPUTED_VALUE"""),53)</f>
        <v>53</v>
      </c>
      <c r="E135" s="2">
        <f ca="1">IFERROR(__xludf.DUMMYFUNCTION("""COMPUTED_VALUE"""),22000)</f>
        <v>22000</v>
      </c>
      <c r="F135" s="2" t="str">
        <f ca="1">IFERROR(__xludf.DUMMYFUNCTION("""COMPUTED_VALUE"""),"Syrah s/Asp 2 Prensa")</f>
        <v>Syrah s/Asp 2 Prensa</v>
      </c>
      <c r="G135" s="2">
        <f ca="1">IFERROR(__xludf.DUMMYFUNCTION("""COMPUTED_VALUE"""),0)</f>
        <v>0</v>
      </c>
      <c r="H135" s="2">
        <f ca="1">IFERROR(__xludf.DUMMYFUNCTION("""COMPUTED_VALUE"""),10000)</f>
        <v>10000</v>
      </c>
      <c r="I135" s="2" t="str">
        <f ca="1">IFERROR(__xludf.DUMMYFUNCTION("""COMPUTED_VALUE"""),"Tiene 3000 o 4000 7/3")</f>
        <v>Tiene 3000 o 4000 7/3</v>
      </c>
      <c r="J135" s="2"/>
      <c r="K135" s="2" t="str">
        <f ca="1">IFERROR(__xludf.DUMMYFUNCTION("""COMPUTED_VALUE"""),"Descubada")</f>
        <v>Descubada</v>
      </c>
      <c r="L135" s="2"/>
      <c r="M135" s="2"/>
    </row>
    <row r="136" spans="1:13" x14ac:dyDescent="0.25">
      <c r="A136" s="2" t="str">
        <f ca="1">IFERROR(__xludf.DUMMYFUNCTION("""COMPUTED_VALUE"""),"4bf00cf0")</f>
        <v>4bf00cf0</v>
      </c>
      <c r="B136" s="2"/>
      <c r="C136" s="3">
        <f ca="1">IFERROR(__xludf.DUMMYFUNCTION("""COMPUTED_VALUE"""),45722.4195949074)</f>
        <v>45722.419594907398</v>
      </c>
      <c r="D136" s="2">
        <f ca="1">IFERROR(__xludf.DUMMYFUNCTION("""COMPUTED_VALUE"""),88)</f>
        <v>88</v>
      </c>
      <c r="E136" s="2">
        <f ca="1">IFERROR(__xludf.DUMMYFUNCTION("""COMPUTED_VALUE"""),78900)</f>
        <v>78900</v>
      </c>
      <c r="F136" s="2" t="str">
        <f ca="1">IFERROR(__xludf.DUMMYFUNCTION("""COMPUTED_VALUE"""),"Syrah Ferm")</f>
        <v>Syrah Ferm</v>
      </c>
      <c r="G136" s="2">
        <f ca="1">IFERROR(__xludf.DUMMYFUNCTION("""COMPUTED_VALUE"""),40000)</f>
        <v>40000</v>
      </c>
      <c r="H136" s="2">
        <f ca="1">IFERROR(__xludf.DUMMYFUNCTION("""COMPUTED_VALUE"""),49500)</f>
        <v>49500</v>
      </c>
      <c r="I136" s="2" t="str">
        <f ca="1">IFERROR(__xludf.DUMMYFUNCTION("""COMPUTED_VALUE"""),"14/3 Dio bien la volátil 0.54
7/3
Hacer volátil. Uva origen con Cochinilla")</f>
        <v>14/3 Dio bien la volátil 0.54
7/3
Hacer volátil. Uva origen con Cochinilla</v>
      </c>
      <c r="J136" s="2"/>
      <c r="K136" s="2" t="str">
        <f ca="1">IFERROR(__xludf.DUMMYFUNCTION("""COMPUTED_VALUE"""),"Fermentando")</f>
        <v>Fermentando</v>
      </c>
      <c r="L136" s="2"/>
      <c r="M136" s="2"/>
    </row>
    <row r="137" spans="1:13" x14ac:dyDescent="0.25">
      <c r="A137" s="2" t="str">
        <f ca="1">IFERROR(__xludf.DUMMYFUNCTION("""COMPUTED_VALUE"""),"5dbffbd0")</f>
        <v>5dbffbd0</v>
      </c>
      <c r="B137" s="2"/>
      <c r="C137" s="3">
        <f ca="1">IFERROR(__xludf.DUMMYFUNCTION("""COMPUTED_VALUE"""),45722.4221296296)</f>
        <v>45722.422129629602</v>
      </c>
      <c r="D137" s="2">
        <f ca="1">IFERROR(__xludf.DUMMYFUNCTION("""COMPUTED_VALUE"""),24)</f>
        <v>24</v>
      </c>
      <c r="E137" s="2">
        <f ca="1">IFERROR(__xludf.DUMMYFUNCTION("""COMPUTED_VALUE"""),186600)</f>
        <v>186600</v>
      </c>
      <c r="F137" s="2" t="str">
        <f ca="1">IFERROR(__xludf.DUMMYFUNCTION("""COMPUTED_VALUE"""),"Tinto La Vendimia")</f>
        <v>Tinto La Vendimia</v>
      </c>
      <c r="G137" s="2">
        <f ca="1">IFERROR(__xludf.DUMMYFUNCTION("""COMPUTED_VALUE"""),0)</f>
        <v>0</v>
      </c>
      <c r="H137" s="2">
        <f ca="1">IFERROR(__xludf.DUMMYFUNCTION("""COMPUTED_VALUE"""),59700)</f>
        <v>59700</v>
      </c>
      <c r="I137" s="2"/>
      <c r="J137" s="2"/>
      <c r="K137" s="2" t="str">
        <f ca="1">IFERROR(__xludf.DUMMYFUNCTION("""COMPUTED_VALUE"""),"Terminado")</f>
        <v>Terminado</v>
      </c>
      <c r="L137" s="2"/>
      <c r="M137" s="2"/>
    </row>
    <row r="138" spans="1:13" x14ac:dyDescent="0.25">
      <c r="A138" s="2" t="str">
        <f ca="1">IFERROR(__xludf.DUMMYFUNCTION("""COMPUTED_VALUE"""),"6d7a380a")</f>
        <v>6d7a380a</v>
      </c>
      <c r="B138" s="2"/>
      <c r="C138" s="3">
        <f ca="1">IFERROR(__xludf.DUMMYFUNCTION("""COMPUTED_VALUE"""),45722.4241550925)</f>
        <v>45722.4241550925</v>
      </c>
      <c r="D138" s="2">
        <f ca="1">IFERROR(__xludf.DUMMYFUNCTION("""COMPUTED_VALUE"""),25)</f>
        <v>25</v>
      </c>
      <c r="E138" s="2">
        <f ca="1">IFERROR(__xludf.DUMMYFUNCTION("""COMPUTED_VALUE"""),194300)</f>
        <v>194300</v>
      </c>
      <c r="F138" s="2" t="str">
        <f ca="1">IFERROR(__xludf.DUMMYFUNCTION("""COMPUTED_VALUE"""),"Tinto La Vendimia")</f>
        <v>Tinto La Vendimia</v>
      </c>
      <c r="G138" s="2">
        <f ca="1">IFERROR(__xludf.DUMMYFUNCTION("""COMPUTED_VALUE"""),0)</f>
        <v>0</v>
      </c>
      <c r="H138" s="2">
        <f ca="1">IFERROR(__xludf.DUMMYFUNCTION("""COMPUTED_VALUE"""),62100)</f>
        <v>62100</v>
      </c>
      <c r="I138" s="2"/>
      <c r="J138" s="2"/>
      <c r="K138" s="2" t="str">
        <f ca="1">IFERROR(__xludf.DUMMYFUNCTION("""COMPUTED_VALUE"""),"Terminado")</f>
        <v>Terminado</v>
      </c>
      <c r="L138" s="2"/>
      <c r="M138" s="2"/>
    </row>
    <row r="139" spans="1:13" x14ac:dyDescent="0.25">
      <c r="A139" s="2" t="str">
        <f ca="1">IFERROR(__xludf.DUMMYFUNCTION("""COMPUTED_VALUE"""),"58ded1ae")</f>
        <v>58ded1ae</v>
      </c>
      <c r="B139" s="2"/>
      <c r="C139" s="3">
        <f ca="1">IFERROR(__xludf.DUMMYFUNCTION("""COMPUTED_VALUE"""),45722.4245023148)</f>
        <v>45722.424502314803</v>
      </c>
      <c r="D139" s="2">
        <f ca="1">IFERROR(__xludf.DUMMYFUNCTION("""COMPUTED_VALUE"""),95)</f>
        <v>95</v>
      </c>
      <c r="E139" s="2">
        <f ca="1">IFERROR(__xludf.DUMMYFUNCTION("""COMPUTED_VALUE"""),77100)</f>
        <v>77100</v>
      </c>
      <c r="F139" s="2" t="str">
        <f ca="1">IFERROR(__xludf.DUMMYFUNCTION("""COMPUTED_VALUE"""),"Tinto La Vendimia")</f>
        <v>Tinto La Vendimia</v>
      </c>
      <c r="G139" s="2">
        <f ca="1">IFERROR(__xludf.DUMMYFUNCTION("""COMPUTED_VALUE"""),0)</f>
        <v>0</v>
      </c>
      <c r="H139" s="2">
        <f ca="1">IFERROR(__xludf.DUMMYFUNCTION("""COMPUTED_VALUE"""),24600)</f>
        <v>24600</v>
      </c>
      <c r="I139" s="2"/>
      <c r="J139" s="2"/>
      <c r="K139" s="2" t="str">
        <f ca="1">IFERROR(__xludf.DUMMYFUNCTION("""COMPUTED_VALUE"""),"Terminado")</f>
        <v>Terminado</v>
      </c>
      <c r="L139" s="2"/>
      <c r="M139" s="2"/>
    </row>
    <row r="140" spans="1:13" x14ac:dyDescent="0.25">
      <c r="A140" s="2" t="str">
        <f ca="1">IFERROR(__xludf.DUMMYFUNCTION("""COMPUTED_VALUE"""),"0effecea")</f>
        <v>0effecea</v>
      </c>
      <c r="B140" s="2"/>
      <c r="C140" s="3">
        <f ca="1">IFERROR(__xludf.DUMMYFUNCTION("""COMPUTED_VALUE"""),45722.4247685185)</f>
        <v>45722.424768518496</v>
      </c>
      <c r="D140" s="2">
        <f ca="1">IFERROR(__xludf.DUMMYFUNCTION("""COMPUTED_VALUE"""),96)</f>
        <v>96</v>
      </c>
      <c r="E140" s="2">
        <f ca="1">IFERROR(__xludf.DUMMYFUNCTION("""COMPUTED_VALUE"""),85600)</f>
        <v>85600</v>
      </c>
      <c r="F140" s="2" t="str">
        <f ca="1">IFERROR(__xludf.DUMMYFUNCTION("""COMPUTED_VALUE"""),"Tinto La Vendimia")</f>
        <v>Tinto La Vendimia</v>
      </c>
      <c r="G140" s="2">
        <f ca="1">IFERROR(__xludf.DUMMYFUNCTION("""COMPUTED_VALUE"""),0)</f>
        <v>0</v>
      </c>
      <c r="H140" s="2">
        <f ca="1">IFERROR(__xludf.DUMMYFUNCTION("""COMPUTED_VALUE"""),9200)</f>
        <v>9200</v>
      </c>
      <c r="I140" s="2"/>
      <c r="J140" s="2"/>
      <c r="K140" s="2" t="str">
        <f ca="1">IFERROR(__xludf.DUMMYFUNCTION("""COMPUTED_VALUE"""),"Terminado")</f>
        <v>Terminado</v>
      </c>
      <c r="L140" s="2"/>
      <c r="M140" s="2"/>
    </row>
    <row r="141" spans="1:13" x14ac:dyDescent="0.25">
      <c r="A141" s="2" t="str">
        <f ca="1">IFERROR(__xludf.DUMMYFUNCTION("""COMPUTED_VALUE"""),"9089481b")</f>
        <v>9089481b</v>
      </c>
      <c r="B141" s="2"/>
      <c r="C141" s="3">
        <f ca="1">IFERROR(__xludf.DUMMYFUNCTION("""COMPUTED_VALUE"""),45722.7524768518)</f>
        <v>45722.752476851798</v>
      </c>
      <c r="D141" s="2">
        <f ca="1">IFERROR(__xludf.DUMMYFUNCTION("""COMPUTED_VALUE"""),84)</f>
        <v>84</v>
      </c>
      <c r="E141" s="2">
        <f ca="1">IFERROR(__xludf.DUMMYFUNCTION("""COMPUTED_VALUE"""),83000)</f>
        <v>83000</v>
      </c>
      <c r="F141" s="2" t="str">
        <f ca="1">IFERROR(__xludf.DUMMYFUNCTION("""COMPUTED_VALUE"""),"Syrah")</f>
        <v>Syrah</v>
      </c>
      <c r="G141" s="2"/>
      <c r="H141" s="2">
        <f ca="1">IFERROR(__xludf.DUMMYFUNCTION("""COMPUTED_VALUE"""),44000)</f>
        <v>44000</v>
      </c>
      <c r="I141" s="2"/>
      <c r="J141" s="2" t="str">
        <f ca="1">IFERROR(__xludf.DUMMYFUNCTION("""COMPUTED_VALUE"""),"5921 , 5922 , 5924 , 5926 , 5927 , 5929 , 5931")</f>
        <v>5921 , 5922 , 5924 , 5926 , 5927 , 5929 , 5931</v>
      </c>
      <c r="K141" s="2" t="str">
        <f ca="1">IFERROR(__xludf.DUMMYFUNCTION("""COMPUTED_VALUE"""),"Fermentando")</f>
        <v>Fermentando</v>
      </c>
      <c r="L141" s="2"/>
      <c r="M141" s="2"/>
    </row>
    <row r="142" spans="1:13" x14ac:dyDescent="0.25">
      <c r="A142" s="2" t="str">
        <f ca="1">IFERROR(__xludf.DUMMYFUNCTION("""COMPUTED_VALUE"""),"6b4f5740")</f>
        <v>6b4f5740</v>
      </c>
      <c r="B142" s="2"/>
      <c r="C142" s="3">
        <f ca="1">IFERROR(__xludf.DUMMYFUNCTION("""COMPUTED_VALUE"""),45722.753125)</f>
        <v>45722.753125000003</v>
      </c>
      <c r="D142" s="2">
        <f ca="1">IFERROR(__xludf.DUMMYFUNCTION("""COMPUTED_VALUE"""),82)</f>
        <v>82</v>
      </c>
      <c r="E142" s="2">
        <f ca="1">IFERROR(__xludf.DUMMYFUNCTION("""COMPUTED_VALUE"""),42600)</f>
        <v>42600</v>
      </c>
      <c r="F142" s="2" t="str">
        <f ca="1">IFERROR(__xludf.DUMMYFUNCTION("""COMPUTED_VALUE"""),"Anccelotta")</f>
        <v>Anccelotta</v>
      </c>
      <c r="G142" s="2"/>
      <c r="H142" s="2">
        <f ca="1">IFERROR(__xludf.DUMMYFUNCTION("""COMPUTED_VALUE"""),15000)</f>
        <v>15000</v>
      </c>
      <c r="I142" s="2" t="str">
        <f ca="1">IFERROR(__xludf.DUMMYFUNCTION("""COMPUTED_VALUE"""),"10/3
Un poco reducido")</f>
        <v>10/3
Un poco reducido</v>
      </c>
      <c r="J142" s="2" t="str">
        <f ca="1">IFERROR(__xludf.DUMMYFUNCTION("""COMPUTED_VALUE"""),"5923 , 5925")</f>
        <v>5923 , 5925</v>
      </c>
      <c r="K142" s="2" t="str">
        <f ca="1">IFERROR(__xludf.DUMMYFUNCTION("""COMPUTED_VALUE"""),"Fermentando")</f>
        <v>Fermentando</v>
      </c>
      <c r="L142" s="2"/>
      <c r="M142" s="2"/>
    </row>
    <row r="143" spans="1:13" x14ac:dyDescent="0.25">
      <c r="A143" s="2" t="str">
        <f ca="1">IFERROR(__xludf.DUMMYFUNCTION("""COMPUTED_VALUE"""),"3a5e04a4")</f>
        <v>3a5e04a4</v>
      </c>
      <c r="B143" s="2"/>
      <c r="C143" s="3">
        <f ca="1">IFERROR(__xludf.DUMMYFUNCTION("""COMPUTED_VALUE"""),45722.7607407407)</f>
        <v>45722.760740740698</v>
      </c>
      <c r="D143" s="2">
        <f ca="1">IFERROR(__xludf.DUMMYFUNCTION("""COMPUTED_VALUE"""),89)</f>
        <v>89</v>
      </c>
      <c r="E143" s="2">
        <f ca="1">IFERROR(__xludf.DUMMYFUNCTION("""COMPUTED_VALUE"""),83500)</f>
        <v>83500</v>
      </c>
      <c r="F143" s="2" t="str">
        <f ca="1">IFERROR(__xludf.DUMMYFUNCTION("""COMPUTED_VALUE"""),"Syrah")</f>
        <v>Syrah</v>
      </c>
      <c r="G143" s="2">
        <f ca="1">IFERROR(__xludf.DUMMYFUNCTION("""COMPUTED_VALUE"""),40500)</f>
        <v>40500</v>
      </c>
      <c r="H143" s="2">
        <f ca="1">IFERROR(__xludf.DUMMYFUNCTION("""COMPUTED_VALUE"""),48500)</f>
        <v>48500</v>
      </c>
      <c r="I143" s="2" t="str">
        <f ca="1">IFERROR(__xludf.DUMMYFUNCTION("""COMPUTED_VALUE"""),"7/3 
Ver correcciones de SO2 originales?")</f>
        <v>7/3 
Ver correcciones de SO2 originales?</v>
      </c>
      <c r="J143" s="2"/>
      <c r="K143" s="2" t="str">
        <f ca="1">IFERROR(__xludf.DUMMYFUNCTION("""COMPUTED_VALUE"""),"Fermentando")</f>
        <v>Fermentando</v>
      </c>
      <c r="L143" s="2"/>
      <c r="M143" s="2"/>
    </row>
    <row r="144" spans="1:13" x14ac:dyDescent="0.25">
      <c r="A144" s="2" t="str">
        <f ca="1">IFERROR(__xludf.DUMMYFUNCTION("""COMPUTED_VALUE"""),"abbbaccc")</f>
        <v>abbbaccc</v>
      </c>
      <c r="B144" s="2"/>
      <c r="C144" s="3">
        <f ca="1">IFERROR(__xludf.DUMMYFUNCTION("""COMPUTED_VALUE"""),45722.7763657407)</f>
        <v>45722.776365740698</v>
      </c>
      <c r="D144" s="2">
        <f ca="1">IFERROR(__xludf.DUMMYFUNCTION("""COMPUTED_VALUE"""),931)</f>
        <v>931</v>
      </c>
      <c r="E144" s="2">
        <f ca="1">IFERROR(__xludf.DUMMYFUNCTION("""COMPUTED_VALUE"""),11200)</f>
        <v>11200</v>
      </c>
      <c r="F144" s="2" t="str">
        <f ca="1">IFERROR(__xludf.DUMMYFUNCTION("""COMPUTED_VALUE"""),"Bonarda 24")</f>
        <v>Bonarda 24</v>
      </c>
      <c r="G144" s="2">
        <f ca="1">IFERROR(__xludf.DUMMYFUNCTION("""COMPUTED_VALUE"""),0)</f>
        <v>0</v>
      </c>
      <c r="H144" s="2">
        <f ca="1">IFERROR(__xludf.DUMMYFUNCTION("""COMPUTED_VALUE"""),11200)</f>
        <v>11200</v>
      </c>
      <c r="I144" s="2"/>
      <c r="J144" s="2"/>
      <c r="K144" s="2" t="str">
        <f ca="1">IFERROR(__xludf.DUMMYFUNCTION("""COMPUTED_VALUE"""),"Terminado")</f>
        <v>Terminado</v>
      </c>
      <c r="L144" s="2"/>
      <c r="M144" s="2"/>
    </row>
    <row r="145" spans="1:13" x14ac:dyDescent="0.25">
      <c r="A145" s="2" t="str">
        <f ca="1">IFERROR(__xludf.DUMMYFUNCTION("""COMPUTED_VALUE"""),"44d88f23")</f>
        <v>44d88f23</v>
      </c>
      <c r="B145" s="2"/>
      <c r="C145" s="3">
        <f ca="1">IFERROR(__xludf.DUMMYFUNCTION("""COMPUTED_VALUE"""),45722.7769097222)</f>
        <v>45722.776909722197</v>
      </c>
      <c r="D145" s="2">
        <f ca="1">IFERROR(__xludf.DUMMYFUNCTION("""COMPUTED_VALUE"""),24)</f>
        <v>24</v>
      </c>
      <c r="E145" s="2">
        <f ca="1">IFERROR(__xludf.DUMMYFUNCTION("""COMPUTED_VALUE"""),186600)</f>
        <v>186600</v>
      </c>
      <c r="F145" s="2" t="str">
        <f ca="1">IFERROR(__xludf.DUMMYFUNCTION("""COMPUTED_VALUE"""),"Tinto La Vendimia")</f>
        <v>Tinto La Vendimia</v>
      </c>
      <c r="G145" s="2">
        <f ca="1">IFERROR(__xludf.DUMMYFUNCTION("""COMPUTED_VALUE"""),59700)</f>
        <v>59700</v>
      </c>
      <c r="H145" s="2">
        <f ca="1">IFERROR(__xludf.DUMMYFUNCTION("""COMPUTED_VALUE"""),100700)</f>
        <v>100700</v>
      </c>
      <c r="I145" s="2"/>
      <c r="J145" s="2"/>
      <c r="K145" s="2" t="str">
        <f ca="1">IFERROR(__xludf.DUMMYFUNCTION("""COMPUTED_VALUE"""),"Terminado")</f>
        <v>Terminado</v>
      </c>
      <c r="L145" s="2"/>
      <c r="M145" s="2"/>
    </row>
    <row r="146" spans="1:13" x14ac:dyDescent="0.25">
      <c r="A146" s="2" t="str">
        <f ca="1">IFERROR(__xludf.DUMMYFUNCTION("""COMPUTED_VALUE"""),"c4743b1b")</f>
        <v>c4743b1b</v>
      </c>
      <c r="B146" s="2"/>
      <c r="C146" s="3">
        <f ca="1">IFERROR(__xludf.DUMMYFUNCTION("""COMPUTED_VALUE"""),45722.7781944444)</f>
        <v>45722.7781944444</v>
      </c>
      <c r="D146" s="2">
        <f ca="1">IFERROR(__xludf.DUMMYFUNCTION("""COMPUTED_VALUE"""),25)</f>
        <v>25</v>
      </c>
      <c r="E146" s="2">
        <f ca="1">IFERROR(__xludf.DUMMYFUNCTION("""COMPUTED_VALUE"""),194300)</f>
        <v>194300</v>
      </c>
      <c r="F146" s="2" t="str">
        <f ca="1">IFERROR(__xludf.DUMMYFUNCTION("""COMPUTED_VALUE"""),"Tinto La Vendimia")</f>
        <v>Tinto La Vendimia</v>
      </c>
      <c r="G146" s="2">
        <f ca="1">IFERROR(__xludf.DUMMYFUNCTION("""COMPUTED_VALUE"""),62100)</f>
        <v>62100</v>
      </c>
      <c r="H146" s="2">
        <f ca="1">IFERROR(__xludf.DUMMYFUNCTION("""COMPUTED_VALUE"""),104800)</f>
        <v>104800</v>
      </c>
      <c r="I146" s="2"/>
      <c r="J146" s="2"/>
      <c r="K146" s="2" t="str">
        <f ca="1">IFERROR(__xludf.DUMMYFUNCTION("""COMPUTED_VALUE"""),"Terminado")</f>
        <v>Terminado</v>
      </c>
      <c r="L146" s="2"/>
      <c r="M146" s="2"/>
    </row>
    <row r="147" spans="1:13" x14ac:dyDescent="0.25">
      <c r="A147" s="2" t="str">
        <f ca="1">IFERROR(__xludf.DUMMYFUNCTION("""COMPUTED_VALUE"""),"3bd6f9bf")</f>
        <v>3bd6f9bf</v>
      </c>
      <c r="B147" s="2"/>
      <c r="C147" s="3">
        <f ca="1">IFERROR(__xludf.DUMMYFUNCTION("""COMPUTED_VALUE"""),45722.7786458333)</f>
        <v>45722.778645833299</v>
      </c>
      <c r="D147" s="2">
        <f ca="1">IFERROR(__xludf.DUMMYFUNCTION("""COMPUTED_VALUE"""),95)</f>
        <v>95</v>
      </c>
      <c r="E147" s="2">
        <f ca="1">IFERROR(__xludf.DUMMYFUNCTION("""COMPUTED_VALUE"""),77100)</f>
        <v>77100</v>
      </c>
      <c r="F147" s="2" t="str">
        <f ca="1">IFERROR(__xludf.DUMMYFUNCTION("""COMPUTED_VALUE"""),"Tinto La Vendimia")</f>
        <v>Tinto La Vendimia</v>
      </c>
      <c r="G147" s="2">
        <f ca="1">IFERROR(__xludf.DUMMYFUNCTION("""COMPUTED_VALUE"""),24600)</f>
        <v>24600</v>
      </c>
      <c r="H147" s="2">
        <f ca="1">IFERROR(__xludf.DUMMYFUNCTION("""COMPUTED_VALUE"""),41600)</f>
        <v>41600</v>
      </c>
      <c r="I147" s="2"/>
      <c r="J147" s="2"/>
      <c r="K147" s="2" t="str">
        <f ca="1">IFERROR(__xludf.DUMMYFUNCTION("""COMPUTED_VALUE"""),"Terminado")</f>
        <v>Terminado</v>
      </c>
      <c r="L147" s="2"/>
      <c r="M147" s="2"/>
    </row>
    <row r="148" spans="1:13" x14ac:dyDescent="0.25">
      <c r="A148" s="2" t="str">
        <f ca="1">IFERROR(__xludf.DUMMYFUNCTION("""COMPUTED_VALUE"""),"0799e5db")</f>
        <v>0799e5db</v>
      </c>
      <c r="B148" s="2"/>
      <c r="C148" s="3">
        <f ca="1">IFERROR(__xludf.DUMMYFUNCTION("""COMPUTED_VALUE"""),45722.7865856481)</f>
        <v>45722.7865856481</v>
      </c>
      <c r="D148" s="2">
        <f ca="1">IFERROR(__xludf.DUMMYFUNCTION("""COMPUTED_VALUE"""),96)</f>
        <v>96</v>
      </c>
      <c r="E148" s="2">
        <f ca="1">IFERROR(__xludf.DUMMYFUNCTION("""COMPUTED_VALUE"""),85600)</f>
        <v>85600</v>
      </c>
      <c r="F148" s="2" t="str">
        <f ca="1">IFERROR(__xludf.DUMMYFUNCTION("""COMPUTED_VALUE"""),"Tinto La Vendimia")</f>
        <v>Tinto La Vendimia</v>
      </c>
      <c r="G148" s="2">
        <f ca="1">IFERROR(__xludf.DUMMYFUNCTION("""COMPUTED_VALUE"""),9200)</f>
        <v>9200</v>
      </c>
      <c r="H148" s="2">
        <f ca="1">IFERROR(__xludf.DUMMYFUNCTION("""COMPUTED_VALUE"""),22600)</f>
        <v>22600</v>
      </c>
      <c r="I148" s="2"/>
      <c r="J148" s="2"/>
      <c r="K148" s="2" t="str">
        <f ca="1">IFERROR(__xludf.DUMMYFUNCTION("""COMPUTED_VALUE"""),"Terminado")</f>
        <v>Terminado</v>
      </c>
      <c r="L148" s="2"/>
      <c r="M148" s="2"/>
    </row>
    <row r="149" spans="1:13" x14ac:dyDescent="0.25">
      <c r="A149" s="2" t="str">
        <f ca="1">IFERROR(__xludf.DUMMYFUNCTION("""COMPUTED_VALUE"""),"af88e380")</f>
        <v>af88e380</v>
      </c>
      <c r="B149" s="2"/>
      <c r="C149" s="3">
        <f ca="1">IFERROR(__xludf.DUMMYFUNCTION("""COMPUTED_VALUE"""),45723.4481597222)</f>
        <v>45723.448159722197</v>
      </c>
      <c r="D149" s="2">
        <f ca="1">IFERROR(__xludf.DUMMYFUNCTION("""COMPUTED_VALUE"""),68)</f>
        <v>68</v>
      </c>
      <c r="E149" s="2">
        <f ca="1">IFERROR(__xludf.DUMMYFUNCTION("""COMPUTED_VALUE"""),13000)</f>
        <v>13000</v>
      </c>
      <c r="F149" s="2" t="str">
        <f ca="1">IFERROR(__xludf.DUMMYFUNCTION("""COMPUTED_VALUE"""),"Syrah")</f>
        <v>Syrah</v>
      </c>
      <c r="G149" s="2">
        <f ca="1">IFERROR(__xludf.DUMMYFUNCTION("""COMPUTED_VALUE"""),10000)</f>
        <v>10000</v>
      </c>
      <c r="H149" s="2">
        <f ca="1">IFERROR(__xludf.DUMMYFUNCTION("""COMPUTED_VALUE"""),8000)</f>
        <v>8000</v>
      </c>
      <c r="I149" s="2" t="str">
        <f ca="1">IFERROR(__xludf.DUMMYFUNCTION("""COMPUTED_VALUE"""),"10/3")</f>
        <v>10/3</v>
      </c>
      <c r="J149" s="2"/>
      <c r="K149" s="2" t="str">
        <f ca="1">IFERROR(__xludf.DUMMYFUNCTION("""COMPUTED_VALUE"""),"Fermentando")</f>
        <v>Fermentando</v>
      </c>
      <c r="L149" s="2"/>
      <c r="M149" s="2"/>
    </row>
    <row r="150" spans="1:13" x14ac:dyDescent="0.25">
      <c r="A150" s="2" t="str">
        <f ca="1">IFERROR(__xludf.DUMMYFUNCTION("""COMPUTED_VALUE"""),"9c317849")</f>
        <v>9c317849</v>
      </c>
      <c r="B150" s="2"/>
      <c r="C150" s="3">
        <f ca="1">IFERROR(__xludf.DUMMYFUNCTION("""COMPUTED_VALUE"""),45723.7582060185)</f>
        <v>45723.758206018501</v>
      </c>
      <c r="D150" s="2">
        <f ca="1">IFERROR(__xludf.DUMMYFUNCTION("""COMPUTED_VALUE"""),69)</f>
        <v>69</v>
      </c>
      <c r="E150" s="2">
        <f ca="1">IFERROR(__xludf.DUMMYFUNCTION("""COMPUTED_VALUE"""),13000)</f>
        <v>13000</v>
      </c>
      <c r="F150" s="2" t="str">
        <f ca="1">IFERROR(__xludf.DUMMYFUNCTION("""COMPUTED_VALUE"""),"Malbec")</f>
        <v>Malbec</v>
      </c>
      <c r="G150" s="2">
        <f ca="1">IFERROR(__xludf.DUMMYFUNCTION("""COMPUTED_VALUE"""),7600)</f>
        <v>7600</v>
      </c>
      <c r="H150" s="2">
        <f ca="1">IFERROR(__xludf.DUMMYFUNCTION("""COMPUTED_VALUE"""),8000)</f>
        <v>8000</v>
      </c>
      <c r="I150" s="2" t="str">
        <f ca="1">IFERROR(__xludf.DUMMYFUNCTION("""COMPUTED_VALUE"""),"10/3
Reducido Alf. Le gustó a Vic
20/3
Hay que desvinar y prensarla y ya saben signo que se está hundiendo el sombrero con líquido arriba")</f>
        <v>10/3
Reducido Alf. Le gustó a Vic
20/3
Hay que desvinar y prensarla y ya saben signo que se está hundiendo el sombrero con líquido arriba</v>
      </c>
      <c r="J150" s="2"/>
      <c r="K150" s="2" t="str">
        <f ca="1">IFERROR(__xludf.DUMMYFUNCTION("""COMPUTED_VALUE"""),"Fermentando")</f>
        <v>Fermentando</v>
      </c>
      <c r="L150" s="2"/>
      <c r="M150" s="2"/>
    </row>
    <row r="151" spans="1:13" x14ac:dyDescent="0.25">
      <c r="A151" s="2" t="str">
        <f ca="1">IFERROR(__xludf.DUMMYFUNCTION("""COMPUTED_VALUE"""),"c85d74dc")</f>
        <v>c85d74dc</v>
      </c>
      <c r="B151" s="2"/>
      <c r="C151" s="3">
        <f ca="1">IFERROR(__xludf.DUMMYFUNCTION("""COMPUTED_VALUE"""),45723.759710648)</f>
        <v>45723.759710648097</v>
      </c>
      <c r="D151" s="2">
        <f ca="1">IFERROR(__xludf.DUMMYFUNCTION("""COMPUTED_VALUE"""),92)</f>
        <v>92</v>
      </c>
      <c r="E151" s="2">
        <f ca="1">IFERROR(__xludf.DUMMYFUNCTION("""COMPUTED_VALUE"""),76000)</f>
        <v>76000</v>
      </c>
      <c r="F151" s="2" t="str">
        <f ca="1">IFERROR(__xludf.DUMMYFUNCTION("""COMPUTED_VALUE"""),"Syrah Tempranillo")</f>
        <v>Syrah Tempranillo</v>
      </c>
      <c r="G151" s="2">
        <f ca="1">IFERROR(__xludf.DUMMYFUNCTION("""COMPUTED_VALUE"""),40700)</f>
        <v>40700</v>
      </c>
      <c r="H151" s="2">
        <f ca="1">IFERROR(__xludf.DUMMYFUNCTION("""COMPUTED_VALUE"""),44700)</f>
        <v>44700</v>
      </c>
      <c r="I151" s="2"/>
      <c r="J151" s="2"/>
      <c r="K151" s="2" t="str">
        <f ca="1">IFERROR(__xludf.DUMMYFUNCTION("""COMPUTED_VALUE"""),"Fermentando")</f>
        <v>Fermentando</v>
      </c>
      <c r="L151" s="2"/>
      <c r="M151" s="2"/>
    </row>
    <row r="152" spans="1:13" x14ac:dyDescent="0.25">
      <c r="A152" s="2" t="str">
        <f ca="1">IFERROR(__xludf.DUMMYFUNCTION("""COMPUTED_VALUE"""),"4d28a747")</f>
        <v>4d28a747</v>
      </c>
      <c r="B152" s="2"/>
      <c r="C152" s="3">
        <f ca="1">IFERROR(__xludf.DUMMYFUNCTION("""COMPUTED_VALUE"""),45723.7603472222)</f>
        <v>45723.760347222204</v>
      </c>
      <c r="D152" s="2">
        <f ca="1">IFERROR(__xludf.DUMMYFUNCTION("""COMPUTED_VALUE"""),66)</f>
        <v>66</v>
      </c>
      <c r="E152" s="2">
        <f ca="1">IFERROR(__xludf.DUMMYFUNCTION("""COMPUTED_VALUE"""),23000)</f>
        <v>23000</v>
      </c>
      <c r="F152" s="2" t="str">
        <f ca="1">IFERROR(__xludf.DUMMYFUNCTION("""COMPUTED_VALUE"""),"Anccelotta")</f>
        <v>Anccelotta</v>
      </c>
      <c r="G152" s="2">
        <f ca="1">IFERROR(__xludf.DUMMYFUNCTION("""COMPUTED_VALUE"""),15000)</f>
        <v>15000</v>
      </c>
      <c r="H152" s="2">
        <f ca="1">IFERROR(__xludf.DUMMYFUNCTION("""COMPUTED_VALUE"""),17000)</f>
        <v>17000</v>
      </c>
      <c r="I152" s="2"/>
      <c r="J152" s="2"/>
      <c r="K152" s="2" t="str">
        <f ca="1">IFERROR(__xludf.DUMMYFUNCTION("""COMPUTED_VALUE"""),"Fermentando")</f>
        <v>Fermentando</v>
      </c>
      <c r="L152" s="2"/>
      <c r="M152" s="2"/>
    </row>
    <row r="153" spans="1:13" x14ac:dyDescent="0.25">
      <c r="A153" s="2" t="str">
        <f ca="1">IFERROR(__xludf.DUMMYFUNCTION("""COMPUTED_VALUE"""),"915299ff")</f>
        <v>915299ff</v>
      </c>
      <c r="B153" s="2"/>
      <c r="C153" s="3">
        <f ca="1">IFERROR(__xludf.DUMMYFUNCTION("""COMPUTED_VALUE"""),45723.771574074)</f>
        <v>45723.771574074002</v>
      </c>
      <c r="D153" s="2">
        <f ca="1">IFERROR(__xludf.DUMMYFUNCTION("""COMPUTED_VALUE"""),24)</f>
        <v>24</v>
      </c>
      <c r="E153" s="2">
        <f ca="1">IFERROR(__xludf.DUMMYFUNCTION("""COMPUTED_VALUE"""),186600)</f>
        <v>186600</v>
      </c>
      <c r="F153" s="2" t="str">
        <f ca="1">IFERROR(__xludf.DUMMYFUNCTION("""COMPUTED_VALUE"""),"Tinto La Vendimia")</f>
        <v>Tinto La Vendimia</v>
      </c>
      <c r="G153" s="2">
        <f ca="1">IFERROR(__xludf.DUMMYFUNCTION("""COMPUTED_VALUE"""),100700)</f>
        <v>100700</v>
      </c>
      <c r="H153" s="2">
        <f ca="1">IFERROR(__xludf.DUMMYFUNCTION("""COMPUTED_VALUE"""),115700)</f>
        <v>115700</v>
      </c>
      <c r="I153" s="2"/>
      <c r="J153" s="2"/>
      <c r="K153" s="2" t="str">
        <f ca="1">IFERROR(__xludf.DUMMYFUNCTION("""COMPUTED_VALUE"""),"Terminado")</f>
        <v>Terminado</v>
      </c>
      <c r="L153" s="2"/>
      <c r="M153" s="2"/>
    </row>
    <row r="154" spans="1:13" x14ac:dyDescent="0.25">
      <c r="A154" s="2" t="str">
        <f ca="1">IFERROR(__xludf.DUMMYFUNCTION("""COMPUTED_VALUE"""),"0700b55d")</f>
        <v>0700b55d</v>
      </c>
      <c r="B154" s="2"/>
      <c r="C154" s="3">
        <f ca="1">IFERROR(__xludf.DUMMYFUNCTION("""COMPUTED_VALUE"""),45723.7733912037)</f>
        <v>45723.7733912037</v>
      </c>
      <c r="D154" s="2">
        <f ca="1">IFERROR(__xludf.DUMMYFUNCTION("""COMPUTED_VALUE"""),25)</f>
        <v>25</v>
      </c>
      <c r="E154" s="2">
        <f ca="1">IFERROR(__xludf.DUMMYFUNCTION("""COMPUTED_VALUE"""),194300)</f>
        <v>194300</v>
      </c>
      <c r="F154" s="2" t="str">
        <f ca="1">IFERROR(__xludf.DUMMYFUNCTION("""COMPUTED_VALUE"""),"Tinto La Vendimia")</f>
        <v>Tinto La Vendimia</v>
      </c>
      <c r="G154" s="2">
        <f ca="1">IFERROR(__xludf.DUMMYFUNCTION("""COMPUTED_VALUE"""),104800)</f>
        <v>104800</v>
      </c>
      <c r="H154" s="2">
        <f ca="1">IFERROR(__xludf.DUMMYFUNCTION("""COMPUTED_VALUE"""),120300)</f>
        <v>120300</v>
      </c>
      <c r="I154" s="2"/>
      <c r="J154" s="2"/>
      <c r="K154" s="2" t="str">
        <f ca="1">IFERROR(__xludf.DUMMYFUNCTION("""COMPUTED_VALUE"""),"Terminado")</f>
        <v>Terminado</v>
      </c>
      <c r="L154" s="2"/>
      <c r="M154" s="2"/>
    </row>
    <row r="155" spans="1:13" x14ac:dyDescent="0.25">
      <c r="A155" s="2" t="str">
        <f ca="1">IFERROR(__xludf.DUMMYFUNCTION("""COMPUTED_VALUE"""),"df446c40")</f>
        <v>df446c40</v>
      </c>
      <c r="B155" s="2"/>
      <c r="C155" s="3">
        <f ca="1">IFERROR(__xludf.DUMMYFUNCTION("""COMPUTED_VALUE"""),45723.7736689814)</f>
        <v>45723.773668981397</v>
      </c>
      <c r="D155" s="2">
        <f ca="1">IFERROR(__xludf.DUMMYFUNCTION("""COMPUTED_VALUE"""),95)</f>
        <v>95</v>
      </c>
      <c r="E155" s="2">
        <f ca="1">IFERROR(__xludf.DUMMYFUNCTION("""COMPUTED_VALUE"""),77100)</f>
        <v>77100</v>
      </c>
      <c r="F155" s="2" t="str">
        <f ca="1">IFERROR(__xludf.DUMMYFUNCTION("""COMPUTED_VALUE"""),"Tinto La Vendimia")</f>
        <v>Tinto La Vendimia</v>
      </c>
      <c r="G155" s="2">
        <f ca="1">IFERROR(__xludf.DUMMYFUNCTION("""COMPUTED_VALUE"""),41600)</f>
        <v>41600</v>
      </c>
      <c r="H155" s="2">
        <f ca="1">IFERROR(__xludf.DUMMYFUNCTION("""COMPUTED_VALUE"""),47800)</f>
        <v>47800</v>
      </c>
      <c r="I155" s="2"/>
      <c r="J155" s="2"/>
      <c r="K155" s="2" t="str">
        <f ca="1">IFERROR(__xludf.DUMMYFUNCTION("""COMPUTED_VALUE"""),"Terminado")</f>
        <v>Terminado</v>
      </c>
      <c r="L155" s="2"/>
      <c r="M155" s="2"/>
    </row>
    <row r="156" spans="1:13" x14ac:dyDescent="0.25">
      <c r="A156" s="2" t="str">
        <f ca="1">IFERROR(__xludf.DUMMYFUNCTION("""COMPUTED_VALUE"""),"61e7a661")</f>
        <v>61e7a661</v>
      </c>
      <c r="B156" s="2"/>
      <c r="C156" s="3">
        <f ca="1">IFERROR(__xludf.DUMMYFUNCTION("""COMPUTED_VALUE"""),45723.7738541666)</f>
        <v>45723.773854166597</v>
      </c>
      <c r="D156" s="2">
        <f ca="1">IFERROR(__xludf.DUMMYFUNCTION("""COMPUTED_VALUE"""),96)</f>
        <v>96</v>
      </c>
      <c r="E156" s="2">
        <f ca="1">IFERROR(__xludf.DUMMYFUNCTION("""COMPUTED_VALUE"""),85600)</f>
        <v>85600</v>
      </c>
      <c r="F156" s="2" t="str">
        <f ca="1">IFERROR(__xludf.DUMMYFUNCTION("""COMPUTED_VALUE"""),"Tinto La Vendimia")</f>
        <v>Tinto La Vendimia</v>
      </c>
      <c r="G156" s="2">
        <f ca="1">IFERROR(__xludf.DUMMYFUNCTION("""COMPUTED_VALUE"""),22600)</f>
        <v>22600</v>
      </c>
      <c r="H156" s="2">
        <f ca="1">IFERROR(__xludf.DUMMYFUNCTION("""COMPUTED_VALUE"""),25200)</f>
        <v>25200</v>
      </c>
      <c r="I156" s="2"/>
      <c r="J156" s="2"/>
      <c r="K156" s="2" t="str">
        <f ca="1">IFERROR(__xludf.DUMMYFUNCTION("""COMPUTED_VALUE"""),"Terminado")</f>
        <v>Terminado</v>
      </c>
      <c r="L156" s="2"/>
      <c r="M156" s="2"/>
    </row>
    <row r="157" spans="1:13" x14ac:dyDescent="0.25">
      <c r="A157" s="2" t="str">
        <f ca="1">IFERROR(__xludf.DUMMYFUNCTION("""COMPUTED_VALUE"""),"83cb5e85")</f>
        <v>83cb5e85</v>
      </c>
      <c r="B157" s="2"/>
      <c r="C157" s="3">
        <f ca="1">IFERROR(__xludf.DUMMYFUNCTION("""COMPUTED_VALUE"""),45723.7935879629)</f>
        <v>45723.7935879629</v>
      </c>
      <c r="D157" s="2">
        <f ca="1">IFERROR(__xludf.DUMMYFUNCTION("""COMPUTED_VALUE"""),95)</f>
        <v>95</v>
      </c>
      <c r="E157" s="2">
        <f ca="1">IFERROR(__xludf.DUMMYFUNCTION("""COMPUTED_VALUE"""),77100)</f>
        <v>77100</v>
      </c>
      <c r="F157" s="2" t="str">
        <f ca="1">IFERROR(__xludf.DUMMYFUNCTION("""COMPUTED_VALUE"""),"Tinto La Vendimia")</f>
        <v>Tinto La Vendimia</v>
      </c>
      <c r="G157" s="2">
        <f ca="1">IFERROR(__xludf.DUMMYFUNCTION("""COMPUTED_VALUE"""),47800)</f>
        <v>47800</v>
      </c>
      <c r="H157" s="2">
        <f ca="1">IFERROR(__xludf.DUMMYFUNCTION("""COMPUTED_VALUE"""),50500)</f>
        <v>50500</v>
      </c>
      <c r="I157" s="2"/>
      <c r="J157" s="2"/>
      <c r="K157" s="2" t="str">
        <f ca="1">IFERROR(__xludf.DUMMYFUNCTION("""COMPUTED_VALUE"""),"Terminado")</f>
        <v>Terminado</v>
      </c>
      <c r="L157" s="2"/>
      <c r="M157" s="2"/>
    </row>
    <row r="158" spans="1:13" x14ac:dyDescent="0.25">
      <c r="A158" s="2" t="str">
        <f ca="1">IFERROR(__xludf.DUMMYFUNCTION("""COMPUTED_VALUE"""),"9c2bc1c1")</f>
        <v>9c2bc1c1</v>
      </c>
      <c r="B158" s="2"/>
      <c r="C158" s="3">
        <f ca="1">IFERROR(__xludf.DUMMYFUNCTION("""COMPUTED_VALUE"""),45723.794386574)</f>
        <v>45723.794386574002</v>
      </c>
      <c r="D158" s="2">
        <f ca="1">IFERROR(__xludf.DUMMYFUNCTION("""COMPUTED_VALUE"""),96)</f>
        <v>96</v>
      </c>
      <c r="E158" s="2">
        <f ca="1">IFERROR(__xludf.DUMMYFUNCTION("""COMPUTED_VALUE"""),85600)</f>
        <v>85600</v>
      </c>
      <c r="F158" s="2" t="str">
        <f ca="1">IFERROR(__xludf.DUMMYFUNCTION("""COMPUTED_VALUE"""),"Tinto La Vendimia")</f>
        <v>Tinto La Vendimia</v>
      </c>
      <c r="G158" s="2">
        <f ca="1">IFERROR(__xludf.DUMMYFUNCTION("""COMPUTED_VALUE"""),25200)</f>
        <v>25200</v>
      </c>
      <c r="H158" s="2">
        <f ca="1">IFERROR(__xludf.DUMMYFUNCTION("""COMPUTED_VALUE"""),26300)</f>
        <v>26300</v>
      </c>
      <c r="I158" s="2"/>
      <c r="J158" s="2"/>
      <c r="K158" s="2" t="str">
        <f ca="1">IFERROR(__xludf.DUMMYFUNCTION("""COMPUTED_VALUE"""),"Terminado")</f>
        <v>Terminado</v>
      </c>
      <c r="L158" s="2"/>
      <c r="M158" s="2"/>
    </row>
    <row r="159" spans="1:13" x14ac:dyDescent="0.25">
      <c r="A159" s="2" t="str">
        <f ca="1">IFERROR(__xludf.DUMMYFUNCTION("""COMPUTED_VALUE"""),"66440ff8")</f>
        <v>66440ff8</v>
      </c>
      <c r="B159" s="2"/>
      <c r="C159" s="3">
        <f ca="1">IFERROR(__xludf.DUMMYFUNCTION("""COMPUTED_VALUE"""),45723.7966435185)</f>
        <v>45723.796643518501</v>
      </c>
      <c r="D159" s="2">
        <f ca="1">IFERROR(__xludf.DUMMYFUNCTION("""COMPUTED_VALUE"""),24)</f>
        <v>24</v>
      </c>
      <c r="E159" s="2">
        <f ca="1">IFERROR(__xludf.DUMMYFUNCTION("""COMPUTED_VALUE"""),186600)</f>
        <v>186600</v>
      </c>
      <c r="F159" s="2" t="str">
        <f ca="1">IFERROR(__xludf.DUMMYFUNCTION("""COMPUTED_VALUE"""),"Tinto La Vendimia")</f>
        <v>Tinto La Vendimia</v>
      </c>
      <c r="G159" s="2">
        <f ca="1">IFERROR(__xludf.DUMMYFUNCTION("""COMPUTED_VALUE"""),115700)</f>
        <v>115700</v>
      </c>
      <c r="H159" s="2">
        <f ca="1">IFERROR(__xludf.DUMMYFUNCTION("""COMPUTED_VALUE"""),122200)</f>
        <v>122200</v>
      </c>
      <c r="I159" s="2"/>
      <c r="J159" s="2"/>
      <c r="K159" s="2" t="str">
        <f ca="1">IFERROR(__xludf.DUMMYFUNCTION("""COMPUTED_VALUE"""),"Terminado")</f>
        <v>Terminado</v>
      </c>
      <c r="L159" s="2"/>
      <c r="M159" s="2"/>
    </row>
    <row r="160" spans="1:13" x14ac:dyDescent="0.25">
      <c r="A160" s="2" t="str">
        <f ca="1">IFERROR(__xludf.DUMMYFUNCTION("""COMPUTED_VALUE"""),"c883c10a")</f>
        <v>c883c10a</v>
      </c>
      <c r="B160" s="2"/>
      <c r="C160" s="3">
        <f ca="1">IFERROR(__xludf.DUMMYFUNCTION("""COMPUTED_VALUE"""),45723.7971527777)</f>
        <v>45723.797152777697</v>
      </c>
      <c r="D160" s="2">
        <f ca="1">IFERROR(__xludf.DUMMYFUNCTION("""COMPUTED_VALUE"""),25)</f>
        <v>25</v>
      </c>
      <c r="E160" s="2">
        <f ca="1">IFERROR(__xludf.DUMMYFUNCTION("""COMPUTED_VALUE"""),194300)</f>
        <v>194300</v>
      </c>
      <c r="F160" s="2" t="str">
        <f ca="1">IFERROR(__xludf.DUMMYFUNCTION("""COMPUTED_VALUE"""),"Tinto La Vendimia")</f>
        <v>Tinto La Vendimia</v>
      </c>
      <c r="G160" s="2">
        <f ca="1">IFERROR(__xludf.DUMMYFUNCTION("""COMPUTED_VALUE"""),120300)</f>
        <v>120300</v>
      </c>
      <c r="H160" s="2">
        <f ca="1">IFERROR(__xludf.DUMMYFUNCTION("""COMPUTED_VALUE"""),127100)</f>
        <v>127100</v>
      </c>
      <c r="I160" s="2"/>
      <c r="J160" s="2"/>
      <c r="K160" s="2" t="str">
        <f ca="1">IFERROR(__xludf.DUMMYFUNCTION("""COMPUTED_VALUE"""),"Terminado")</f>
        <v>Terminado</v>
      </c>
      <c r="L160" s="2"/>
      <c r="M160" s="2"/>
    </row>
    <row r="161" spans="1:13" x14ac:dyDescent="0.25">
      <c r="A161" s="2" t="str">
        <f ca="1">IFERROR(__xludf.DUMMYFUNCTION("""COMPUTED_VALUE"""),"8a8f8909")</f>
        <v>8a8f8909</v>
      </c>
      <c r="B161" s="2"/>
      <c r="C161" s="3">
        <f ca="1">IFERROR(__xludf.DUMMYFUNCTION("""COMPUTED_VALUE"""),45723.8023611111)</f>
        <v>45723.802361111098</v>
      </c>
      <c r="D161" s="2">
        <f ca="1">IFERROR(__xludf.DUMMYFUNCTION("""COMPUTED_VALUE"""),24)</f>
        <v>24</v>
      </c>
      <c r="E161" s="2">
        <f ca="1">IFERROR(__xludf.DUMMYFUNCTION("""COMPUTED_VALUE"""),186600)</f>
        <v>186600</v>
      </c>
      <c r="F161" s="2" t="str">
        <f ca="1">IFERROR(__xludf.DUMMYFUNCTION("""COMPUTED_VALUE"""),"Tinto La Vendimia")</f>
        <v>Tinto La Vendimia</v>
      </c>
      <c r="G161" s="2">
        <f ca="1">IFERROR(__xludf.DUMMYFUNCTION("""COMPUTED_VALUE"""),122200)</f>
        <v>122200</v>
      </c>
      <c r="H161" s="2">
        <f ca="1">IFERROR(__xludf.DUMMYFUNCTION("""COMPUTED_VALUE"""),159300)</f>
        <v>159300</v>
      </c>
      <c r="I161" s="2"/>
      <c r="J161" s="2"/>
      <c r="K161" s="2" t="str">
        <f ca="1">IFERROR(__xludf.DUMMYFUNCTION("""COMPUTED_VALUE"""),"Terminado")</f>
        <v>Terminado</v>
      </c>
      <c r="L161" s="2"/>
      <c r="M161" s="2"/>
    </row>
    <row r="162" spans="1:13" x14ac:dyDescent="0.25">
      <c r="A162" s="2" t="str">
        <f ca="1">IFERROR(__xludf.DUMMYFUNCTION("""COMPUTED_VALUE"""),"a826dd70")</f>
        <v>a826dd70</v>
      </c>
      <c r="B162" s="2"/>
      <c r="C162" s="3">
        <f ca="1">IFERROR(__xludf.DUMMYFUNCTION("""COMPUTED_VALUE"""),45723.8028356481)</f>
        <v>45723.802835648101</v>
      </c>
      <c r="D162" s="2">
        <f ca="1">IFERROR(__xludf.DUMMYFUNCTION("""COMPUTED_VALUE"""),25)</f>
        <v>25</v>
      </c>
      <c r="E162" s="2">
        <f ca="1">IFERROR(__xludf.DUMMYFUNCTION("""COMPUTED_VALUE"""),194300)</f>
        <v>194300</v>
      </c>
      <c r="F162" s="2" t="str">
        <f ca="1">IFERROR(__xludf.DUMMYFUNCTION("""COMPUTED_VALUE"""),"Tinto La Vendimia")</f>
        <v>Tinto La Vendimia</v>
      </c>
      <c r="G162" s="2">
        <f ca="1">IFERROR(__xludf.DUMMYFUNCTION("""COMPUTED_VALUE"""),127100)</f>
        <v>127100</v>
      </c>
      <c r="H162" s="2">
        <f ca="1">IFERROR(__xludf.DUMMYFUNCTION("""COMPUTED_VALUE"""),165700)</f>
        <v>165700</v>
      </c>
      <c r="I162" s="2"/>
      <c r="J162" s="2"/>
      <c r="K162" s="2" t="str">
        <f ca="1">IFERROR(__xludf.DUMMYFUNCTION("""COMPUTED_VALUE"""),"Terminado")</f>
        <v>Terminado</v>
      </c>
      <c r="L162" s="2"/>
      <c r="M162" s="2"/>
    </row>
    <row r="163" spans="1:13" x14ac:dyDescent="0.25">
      <c r="A163" s="2" t="str">
        <f ca="1">IFERROR(__xludf.DUMMYFUNCTION("""COMPUTED_VALUE"""),"0b1b410b")</f>
        <v>0b1b410b</v>
      </c>
      <c r="B163" s="2"/>
      <c r="C163" s="3">
        <f ca="1">IFERROR(__xludf.DUMMYFUNCTION("""COMPUTED_VALUE"""),45723.8033217592)</f>
        <v>45723.803321759202</v>
      </c>
      <c r="D163" s="2">
        <f ca="1">IFERROR(__xludf.DUMMYFUNCTION("""COMPUTED_VALUE"""),95)</f>
        <v>95</v>
      </c>
      <c r="E163" s="2">
        <f ca="1">IFERROR(__xludf.DUMMYFUNCTION("""COMPUTED_VALUE"""),77100)</f>
        <v>77100</v>
      </c>
      <c r="F163" s="2" t="str">
        <f ca="1">IFERROR(__xludf.DUMMYFUNCTION("""COMPUTED_VALUE"""),"Tinto La Vendimia")</f>
        <v>Tinto La Vendimia</v>
      </c>
      <c r="G163" s="2">
        <f ca="1">IFERROR(__xludf.DUMMYFUNCTION("""COMPUTED_VALUE"""),50500)</f>
        <v>50500</v>
      </c>
      <c r="H163" s="2">
        <f ca="1">IFERROR(__xludf.DUMMYFUNCTION("""COMPUTED_VALUE"""),65500)</f>
        <v>65500</v>
      </c>
      <c r="I163" s="2"/>
      <c r="J163" s="2"/>
      <c r="K163" s="2" t="str">
        <f ca="1">IFERROR(__xludf.DUMMYFUNCTION("""COMPUTED_VALUE"""),"Terminado")</f>
        <v>Terminado</v>
      </c>
      <c r="L163" s="2"/>
      <c r="M163" s="2"/>
    </row>
    <row r="164" spans="1:13" x14ac:dyDescent="0.25">
      <c r="A164" s="2" t="str">
        <f ca="1">IFERROR(__xludf.DUMMYFUNCTION("""COMPUTED_VALUE"""),"cdd54045")</f>
        <v>cdd54045</v>
      </c>
      <c r="B164" s="2"/>
      <c r="C164" s="3">
        <f ca="1">IFERROR(__xludf.DUMMYFUNCTION("""COMPUTED_VALUE"""),45723.8038425925)</f>
        <v>45723.803842592497</v>
      </c>
      <c r="D164" s="2">
        <f ca="1">IFERROR(__xludf.DUMMYFUNCTION("""COMPUTED_VALUE"""),96)</f>
        <v>96</v>
      </c>
      <c r="E164" s="2">
        <f ca="1">IFERROR(__xludf.DUMMYFUNCTION("""COMPUTED_VALUE"""),85600)</f>
        <v>85600</v>
      </c>
      <c r="F164" s="2" t="str">
        <f ca="1">IFERROR(__xludf.DUMMYFUNCTION("""COMPUTED_VALUE"""),"Tinto La Vendimia")</f>
        <v>Tinto La Vendimia</v>
      </c>
      <c r="G164" s="2">
        <f ca="1">IFERROR(__xludf.DUMMYFUNCTION("""COMPUTED_VALUE"""),26300)</f>
        <v>26300</v>
      </c>
      <c r="H164" s="2">
        <f ca="1">IFERROR(__xludf.DUMMYFUNCTION("""COMPUTED_VALUE"""),33100)</f>
        <v>33100</v>
      </c>
      <c r="I164" s="2"/>
      <c r="J164" s="2"/>
      <c r="K164" s="2" t="str">
        <f ca="1">IFERROR(__xludf.DUMMYFUNCTION("""COMPUTED_VALUE"""),"Terminado")</f>
        <v>Terminado</v>
      </c>
      <c r="L164" s="2"/>
      <c r="M164" s="2"/>
    </row>
    <row r="165" spans="1:13" x14ac:dyDescent="0.25">
      <c r="A165" s="2" t="str">
        <f ca="1">IFERROR(__xludf.DUMMYFUNCTION("""COMPUTED_VALUE"""),"69fc871f")</f>
        <v>69fc871f</v>
      </c>
      <c r="B165" s="2"/>
      <c r="C165" s="3">
        <f ca="1">IFERROR(__xludf.DUMMYFUNCTION("""COMPUTED_VALUE"""),45723.8193287037)</f>
        <v>45723.819328703699</v>
      </c>
      <c r="D165" s="2">
        <f ca="1">IFERROR(__xludf.DUMMYFUNCTION("""COMPUTED_VALUE"""),95)</f>
        <v>95</v>
      </c>
      <c r="E165" s="2">
        <f ca="1">IFERROR(__xludf.DUMMYFUNCTION("""COMPUTED_VALUE"""),77100)</f>
        <v>77100</v>
      </c>
      <c r="F165" s="2" t="str">
        <f ca="1">IFERROR(__xludf.DUMMYFUNCTION("""COMPUTED_VALUE"""),"Tinto La Vendimia")</f>
        <v>Tinto La Vendimia</v>
      </c>
      <c r="G165" s="2">
        <f ca="1">IFERROR(__xludf.DUMMYFUNCTION("""COMPUTED_VALUE"""),65500)</f>
        <v>65500</v>
      </c>
      <c r="H165" s="2">
        <f ca="1">IFERROR(__xludf.DUMMYFUNCTION("""COMPUTED_VALUE"""),69100)</f>
        <v>69100</v>
      </c>
      <c r="I165" s="2"/>
      <c r="J165" s="2"/>
      <c r="K165" s="2" t="str">
        <f ca="1">IFERROR(__xludf.DUMMYFUNCTION("""COMPUTED_VALUE"""),"Terminado")</f>
        <v>Terminado</v>
      </c>
      <c r="L165" s="2"/>
      <c r="M165" s="2"/>
    </row>
    <row r="166" spans="1:13" x14ac:dyDescent="0.25">
      <c r="A166" s="2" t="str">
        <f ca="1">IFERROR(__xludf.DUMMYFUNCTION("""COMPUTED_VALUE"""),"212851d2")</f>
        <v>212851d2</v>
      </c>
      <c r="B166" s="2"/>
      <c r="C166" s="3">
        <f ca="1">IFERROR(__xludf.DUMMYFUNCTION("""COMPUTED_VALUE"""),45723.8199537037)</f>
        <v>45723.8199537037</v>
      </c>
      <c r="D166" s="2">
        <f ca="1">IFERROR(__xludf.DUMMYFUNCTION("""COMPUTED_VALUE"""),24)</f>
        <v>24</v>
      </c>
      <c r="E166" s="2">
        <f ca="1">IFERROR(__xludf.DUMMYFUNCTION("""COMPUTED_VALUE"""),186600)</f>
        <v>186600</v>
      </c>
      <c r="F166" s="2" t="str">
        <f ca="1">IFERROR(__xludf.DUMMYFUNCTION("""COMPUTED_VALUE"""),"Tinto La Vendimia")</f>
        <v>Tinto La Vendimia</v>
      </c>
      <c r="G166" s="2">
        <f ca="1">IFERROR(__xludf.DUMMYFUNCTION("""COMPUTED_VALUE"""),159300)</f>
        <v>159300</v>
      </c>
      <c r="H166" s="2">
        <f ca="1">IFERROR(__xludf.DUMMYFUNCTION("""COMPUTED_VALUE"""),168000)</f>
        <v>168000</v>
      </c>
      <c r="I166" s="2"/>
      <c r="J166" s="2"/>
      <c r="K166" s="2" t="str">
        <f ca="1">IFERROR(__xludf.DUMMYFUNCTION("""COMPUTED_VALUE"""),"Terminado")</f>
        <v>Terminado</v>
      </c>
      <c r="L166" s="2"/>
      <c r="M166" s="2"/>
    </row>
    <row r="167" spans="1:13" x14ac:dyDescent="0.25">
      <c r="A167" s="2" t="str">
        <f ca="1">IFERROR(__xludf.DUMMYFUNCTION("""COMPUTED_VALUE"""),"6ccc7bc6")</f>
        <v>6ccc7bc6</v>
      </c>
      <c r="B167" s="2"/>
      <c r="C167" s="3">
        <f ca="1">IFERROR(__xludf.DUMMYFUNCTION("""COMPUTED_VALUE"""),45723.8204398148)</f>
        <v>45723.820439814801</v>
      </c>
      <c r="D167" s="2">
        <f ca="1">IFERROR(__xludf.DUMMYFUNCTION("""COMPUTED_VALUE"""),25)</f>
        <v>25</v>
      </c>
      <c r="E167" s="2">
        <f ca="1">IFERROR(__xludf.DUMMYFUNCTION("""COMPUTED_VALUE"""),194300)</f>
        <v>194300</v>
      </c>
      <c r="F167" s="2" t="str">
        <f ca="1">IFERROR(__xludf.DUMMYFUNCTION("""COMPUTED_VALUE"""),"Tinto La Vendimia")</f>
        <v>Tinto La Vendimia</v>
      </c>
      <c r="G167" s="2">
        <f ca="1">IFERROR(__xludf.DUMMYFUNCTION("""COMPUTED_VALUE"""),165700)</f>
        <v>165700</v>
      </c>
      <c r="H167" s="2">
        <f ca="1">IFERROR(__xludf.DUMMYFUNCTION("""COMPUTED_VALUE"""),174800)</f>
        <v>174800</v>
      </c>
      <c r="I167" s="2"/>
      <c r="J167" s="2"/>
      <c r="K167" s="2" t="str">
        <f ca="1">IFERROR(__xludf.DUMMYFUNCTION("""COMPUTED_VALUE"""),"Terminado")</f>
        <v>Terminado</v>
      </c>
      <c r="L167" s="2"/>
      <c r="M167" s="2"/>
    </row>
    <row r="168" spans="1:13" x14ac:dyDescent="0.25">
      <c r="A168" s="2" t="str">
        <f ca="1">IFERROR(__xludf.DUMMYFUNCTION("""COMPUTED_VALUE"""),"c50c5100")</f>
        <v>c50c5100</v>
      </c>
      <c r="B168" s="2"/>
      <c r="C168" s="3">
        <f ca="1">IFERROR(__xludf.DUMMYFUNCTION("""COMPUTED_VALUE"""),45723.8206712962)</f>
        <v>45723.820671296198</v>
      </c>
      <c r="D168" s="2">
        <f ca="1">IFERROR(__xludf.DUMMYFUNCTION("""COMPUTED_VALUE"""),96)</f>
        <v>96</v>
      </c>
      <c r="E168" s="2">
        <f ca="1">IFERROR(__xludf.DUMMYFUNCTION("""COMPUTED_VALUE"""),85600)</f>
        <v>85600</v>
      </c>
      <c r="F168" s="2" t="str">
        <f ca="1">IFERROR(__xludf.DUMMYFUNCTION("""COMPUTED_VALUE"""),"Tinto La Vendimia")</f>
        <v>Tinto La Vendimia</v>
      </c>
      <c r="G168" s="2">
        <f ca="1">IFERROR(__xludf.DUMMYFUNCTION("""COMPUTED_VALUE"""),33100)</f>
        <v>33100</v>
      </c>
      <c r="H168" s="2">
        <f ca="1">IFERROR(__xludf.DUMMYFUNCTION("""COMPUTED_VALUE"""),34700)</f>
        <v>34700</v>
      </c>
      <c r="I168" s="2"/>
      <c r="J168" s="2"/>
      <c r="K168" s="2" t="str">
        <f ca="1">IFERROR(__xludf.DUMMYFUNCTION("""COMPUTED_VALUE"""),"Terminado")</f>
        <v>Terminado</v>
      </c>
      <c r="L168" s="2"/>
      <c r="M168" s="2"/>
    </row>
    <row r="169" spans="1:13" x14ac:dyDescent="0.25">
      <c r="A169" s="2" t="str">
        <f ca="1">IFERROR(__xludf.DUMMYFUNCTION("""COMPUTED_VALUE"""),"ee917088")</f>
        <v>ee917088</v>
      </c>
      <c r="B169" s="2"/>
      <c r="C169" s="3">
        <f ca="1">IFERROR(__xludf.DUMMYFUNCTION("""COMPUTED_VALUE"""),45724.5335763888)</f>
        <v>45724.5335763888</v>
      </c>
      <c r="D169" s="2">
        <f ca="1">IFERROR(__xludf.DUMMYFUNCTION("""COMPUTED_VALUE"""),80)</f>
        <v>80</v>
      </c>
      <c r="E169" s="2">
        <f ca="1">IFERROR(__xludf.DUMMYFUNCTION("""COMPUTED_VALUE"""),26100)</f>
        <v>26100</v>
      </c>
      <c r="F169" s="2" t="str">
        <f ca="1">IFERROR(__xludf.DUMMYFUNCTION("""COMPUTED_VALUE"""),"Chenin")</f>
        <v>Chenin</v>
      </c>
      <c r="G169" s="2"/>
      <c r="H169" s="2">
        <f ca="1">IFERROR(__xludf.DUMMYFUNCTION("""COMPUTED_VALUE"""),13000)</f>
        <v>13000</v>
      </c>
      <c r="I169" s="2"/>
      <c r="J169" s="2" t="str">
        <f ca="1">IFERROR(__xludf.DUMMYFUNCTION("""COMPUTED_VALUE"""),"5930 , 5928")</f>
        <v>5930 , 5928</v>
      </c>
      <c r="K169" s="2" t="str">
        <f ca="1">IFERROR(__xludf.DUMMYFUNCTION("""COMPUTED_VALUE"""),"Fermentando")</f>
        <v>Fermentando</v>
      </c>
      <c r="L169" s="2"/>
      <c r="M169" s="2"/>
    </row>
    <row r="170" spans="1:13" x14ac:dyDescent="0.25">
      <c r="A170" s="2" t="str">
        <f ca="1">IFERROR(__xludf.DUMMYFUNCTION("""COMPUTED_VALUE"""),"78ca3339")</f>
        <v>78ca3339</v>
      </c>
      <c r="B170" s="2"/>
      <c r="C170" s="3">
        <f ca="1">IFERROR(__xludf.DUMMYFUNCTION("""COMPUTED_VALUE"""),45724.5464699074)</f>
        <v>45724.5464699074</v>
      </c>
      <c r="D170" s="2">
        <f ca="1">IFERROR(__xludf.DUMMYFUNCTION("""COMPUTED_VALUE"""),5)</f>
        <v>5</v>
      </c>
      <c r="E170" s="2">
        <f ca="1">IFERROR(__xludf.DUMMYFUNCTION("""COMPUTED_VALUE"""),30000)</f>
        <v>30000</v>
      </c>
      <c r="F170" s="2" t="str">
        <f ca="1">IFERROR(__xludf.DUMMYFUNCTION("""COMPUTED_VALUE"""),"Chardonnay")</f>
        <v>Chardonnay</v>
      </c>
      <c r="G170" s="2">
        <f ca="1">IFERROR(__xludf.DUMMYFUNCTION("""COMPUTED_VALUE"""),0)</f>
        <v>0</v>
      </c>
      <c r="H170" s="2">
        <f ca="1">IFERROR(__xludf.DUMMYFUNCTION("""COMPUTED_VALUE"""),26000)</f>
        <v>26000</v>
      </c>
      <c r="I170" s="2"/>
      <c r="J170" s="2"/>
      <c r="K170" s="2" t="str">
        <f ca="1">IFERROR(__xludf.DUMMYFUNCTION("""COMPUTED_VALUE"""),"Fermentando")</f>
        <v>Fermentando</v>
      </c>
      <c r="L170" s="2"/>
      <c r="M170" s="2"/>
    </row>
    <row r="171" spans="1:13" x14ac:dyDescent="0.25">
      <c r="A171" s="2" t="str">
        <f ca="1">IFERROR(__xludf.DUMMYFUNCTION("""COMPUTED_VALUE"""),"593f826f")</f>
        <v>593f826f</v>
      </c>
      <c r="B171" s="2"/>
      <c r="C171" s="3">
        <f ca="1">IFERROR(__xludf.DUMMYFUNCTION("""COMPUTED_VALUE"""),45724.5472453703)</f>
        <v>45724.547245370297</v>
      </c>
      <c r="D171" s="2">
        <f ca="1">IFERROR(__xludf.DUMMYFUNCTION("""COMPUTED_VALUE"""),5)</f>
        <v>5</v>
      </c>
      <c r="E171" s="2">
        <f ca="1">IFERROR(__xludf.DUMMYFUNCTION("""COMPUTED_VALUE"""),30000)</f>
        <v>30000</v>
      </c>
      <c r="F171" s="2" t="str">
        <f ca="1">IFERROR(__xludf.DUMMYFUNCTION("""COMPUTED_VALUE"""),"Chardonnay")</f>
        <v>Chardonnay</v>
      </c>
      <c r="G171" s="2">
        <f ca="1">IFERROR(__xludf.DUMMYFUNCTION("""COMPUTED_VALUE"""),26000)</f>
        <v>26000</v>
      </c>
      <c r="H171" s="2">
        <f ca="1">IFERROR(__xludf.DUMMYFUNCTION("""COMPUTED_VALUE"""),30000)</f>
        <v>30000</v>
      </c>
      <c r="I171" s="2" t="str">
        <f ca="1">IFERROR(__xludf.DUMMYFUNCTION("""COMPUTED_VALUE"""),"Rico, amarillo. Llevar a 35 mg so")</f>
        <v>Rico, amarillo. Llevar a 35 mg so</v>
      </c>
      <c r="J171" s="2"/>
      <c r="K171" s="2" t="str">
        <f ca="1">IFERROR(__xludf.DUMMYFUNCTION("""COMPUTED_VALUE"""),"Descubada")</f>
        <v>Descubada</v>
      </c>
      <c r="L171" s="2" t="str">
        <f ca="1">IFERROR(__xludf.DUMMYFUNCTION("""COMPUTED_VALUE"""),"1")</f>
        <v>1</v>
      </c>
      <c r="M171" s="2"/>
    </row>
    <row r="172" spans="1:13" x14ac:dyDescent="0.25">
      <c r="A172" s="2" t="str">
        <f ca="1">IFERROR(__xludf.DUMMYFUNCTION("""COMPUTED_VALUE"""),"376dbee6")</f>
        <v>376dbee6</v>
      </c>
      <c r="B172" s="2"/>
      <c r="C172" s="3">
        <f ca="1">IFERROR(__xludf.DUMMYFUNCTION("""COMPUTED_VALUE"""),45724.547974537)</f>
        <v>45724.547974537003</v>
      </c>
      <c r="D172" s="2">
        <f ca="1">IFERROR(__xludf.DUMMYFUNCTION("""COMPUTED_VALUE"""),8)</f>
        <v>8</v>
      </c>
      <c r="E172" s="2">
        <f ca="1">IFERROR(__xludf.DUMMYFUNCTION("""COMPUTED_VALUE"""),22000)</f>
        <v>22000</v>
      </c>
      <c r="F172" s="2" t="str">
        <f ca="1">IFERROR(__xludf.DUMMYFUNCTION("""COMPUTED_VALUE"""),"Chardonnay")</f>
        <v>Chardonnay</v>
      </c>
      <c r="G172" s="2">
        <f ca="1">IFERROR(__xludf.DUMMYFUNCTION("""COMPUTED_VALUE"""),0)</f>
        <v>0</v>
      </c>
      <c r="H172" s="2">
        <f ca="1">IFERROR(__xludf.DUMMYFUNCTION("""COMPUTED_VALUE"""),22000)</f>
        <v>22000</v>
      </c>
      <c r="I172" s="2"/>
      <c r="J172" s="2"/>
      <c r="K172" s="2" t="str">
        <f ca="1">IFERROR(__xludf.DUMMYFUNCTION("""COMPUTED_VALUE"""),"Descubada")</f>
        <v>Descubada</v>
      </c>
      <c r="L172" s="2" t="str">
        <f ca="1">IFERROR(__xludf.DUMMYFUNCTION("""COMPUTED_VALUE"""),"1")</f>
        <v>1</v>
      </c>
      <c r="M172" s="2" t="str">
        <f ca="1">IFERROR(__xludf.DUMMYFUNCTION("""COMPUTED_VALUE"""),"Blanco")</f>
        <v>Blanco</v>
      </c>
    </row>
    <row r="173" spans="1:13" x14ac:dyDescent="0.25">
      <c r="A173" s="2" t="str">
        <f ca="1">IFERROR(__xludf.DUMMYFUNCTION("""COMPUTED_VALUE"""),"8782f51d")</f>
        <v>8782f51d</v>
      </c>
      <c r="B173" s="2"/>
      <c r="C173" s="3">
        <f ca="1">IFERROR(__xludf.DUMMYFUNCTION("""COMPUTED_VALUE"""),45724.5504629629)</f>
        <v>45724.550462962899</v>
      </c>
      <c r="D173" s="2">
        <f ca="1">IFERROR(__xludf.DUMMYFUNCTION("""COMPUTED_VALUE"""),24)</f>
        <v>24</v>
      </c>
      <c r="E173" s="2">
        <f ca="1">IFERROR(__xludf.DUMMYFUNCTION("""COMPUTED_VALUE"""),186600)</f>
        <v>186600</v>
      </c>
      <c r="F173" s="2" t="str">
        <f ca="1">IFERROR(__xludf.DUMMYFUNCTION("""COMPUTED_VALUE"""),"Tinto La Vendimia")</f>
        <v>Tinto La Vendimia</v>
      </c>
      <c r="G173" s="2">
        <f ca="1">IFERROR(__xludf.DUMMYFUNCTION("""COMPUTED_VALUE"""),168000)</f>
        <v>168000</v>
      </c>
      <c r="H173" s="2">
        <f ca="1">IFERROR(__xludf.DUMMYFUNCTION("""COMPUTED_VALUE"""),181600)</f>
        <v>181600</v>
      </c>
      <c r="I173" s="2"/>
      <c r="J173" s="2"/>
      <c r="K173" s="2" t="str">
        <f ca="1">IFERROR(__xludf.DUMMYFUNCTION("""COMPUTED_VALUE"""),"Terminado")</f>
        <v>Terminado</v>
      </c>
      <c r="L173" s="2"/>
      <c r="M173" s="2"/>
    </row>
    <row r="174" spans="1:13" x14ac:dyDescent="0.25">
      <c r="A174" s="2" t="str">
        <f ca="1">IFERROR(__xludf.DUMMYFUNCTION("""COMPUTED_VALUE"""),"481ac202")</f>
        <v>481ac202</v>
      </c>
      <c r="B174" s="2"/>
      <c r="C174" s="3">
        <f ca="1">IFERROR(__xludf.DUMMYFUNCTION("""COMPUTED_VALUE"""),45724.5507407407)</f>
        <v>45724.550740740699</v>
      </c>
      <c r="D174" s="2">
        <f ca="1">IFERROR(__xludf.DUMMYFUNCTION("""COMPUTED_VALUE"""),25)</f>
        <v>25</v>
      </c>
      <c r="E174" s="2">
        <f ca="1">IFERROR(__xludf.DUMMYFUNCTION("""COMPUTED_VALUE"""),194300)</f>
        <v>194300</v>
      </c>
      <c r="F174" s="2" t="str">
        <f ca="1">IFERROR(__xludf.DUMMYFUNCTION("""COMPUTED_VALUE"""),"Tinto La Vendimia")</f>
        <v>Tinto La Vendimia</v>
      </c>
      <c r="G174" s="2">
        <f ca="1">IFERROR(__xludf.DUMMYFUNCTION("""COMPUTED_VALUE"""),174800)</f>
        <v>174800</v>
      </c>
      <c r="H174" s="2">
        <f ca="1">IFERROR(__xludf.DUMMYFUNCTION("""COMPUTED_VALUE"""),188900)</f>
        <v>188900</v>
      </c>
      <c r="I174" s="2"/>
      <c r="J174" s="2"/>
      <c r="K174" s="2" t="str">
        <f ca="1">IFERROR(__xludf.DUMMYFUNCTION("""COMPUTED_VALUE"""),"Terminado")</f>
        <v>Terminado</v>
      </c>
      <c r="L174" s="2"/>
      <c r="M174" s="2"/>
    </row>
    <row r="175" spans="1:13" x14ac:dyDescent="0.25">
      <c r="A175" s="2" t="str">
        <f ca="1">IFERROR(__xludf.DUMMYFUNCTION("""COMPUTED_VALUE"""),"1953afee")</f>
        <v>1953afee</v>
      </c>
      <c r="B175" s="2"/>
      <c r="C175" s="3">
        <f ca="1">IFERROR(__xludf.DUMMYFUNCTION("""COMPUTED_VALUE"""),45724.5509259259)</f>
        <v>45724.550925925898</v>
      </c>
      <c r="D175" s="2">
        <f ca="1">IFERROR(__xludf.DUMMYFUNCTION("""COMPUTED_VALUE"""),95)</f>
        <v>95</v>
      </c>
      <c r="E175" s="2">
        <f ca="1">IFERROR(__xludf.DUMMYFUNCTION("""COMPUTED_VALUE"""),77100)</f>
        <v>77100</v>
      </c>
      <c r="F175" s="2" t="str">
        <f ca="1">IFERROR(__xludf.DUMMYFUNCTION("""COMPUTED_VALUE"""),"Tinto La Vendimia")</f>
        <v>Tinto La Vendimia</v>
      </c>
      <c r="G175" s="2">
        <f ca="1">IFERROR(__xludf.DUMMYFUNCTION("""COMPUTED_VALUE"""),69100)</f>
        <v>69100</v>
      </c>
      <c r="H175" s="2">
        <f ca="1">IFERROR(__xludf.DUMMYFUNCTION("""COMPUTED_VALUE"""),74700)</f>
        <v>74700</v>
      </c>
      <c r="I175" s="2"/>
      <c r="J175" s="2"/>
      <c r="K175" s="2" t="str">
        <f ca="1">IFERROR(__xludf.DUMMYFUNCTION("""COMPUTED_VALUE"""),"Terminado")</f>
        <v>Terminado</v>
      </c>
      <c r="L175" s="2"/>
      <c r="M175" s="2"/>
    </row>
    <row r="176" spans="1:13" x14ac:dyDescent="0.25">
      <c r="A176" s="2" t="str">
        <f ca="1">IFERROR(__xludf.DUMMYFUNCTION("""COMPUTED_VALUE"""),"6a79f2ba")</f>
        <v>6a79f2ba</v>
      </c>
      <c r="B176" s="2"/>
      <c r="C176" s="3">
        <f ca="1">IFERROR(__xludf.DUMMYFUNCTION("""COMPUTED_VALUE"""),45724.55125)</f>
        <v>45724.551249999997</v>
      </c>
      <c r="D176" s="2">
        <f ca="1">IFERROR(__xludf.DUMMYFUNCTION("""COMPUTED_VALUE"""),96)</f>
        <v>96</v>
      </c>
      <c r="E176" s="2">
        <f ca="1">IFERROR(__xludf.DUMMYFUNCTION("""COMPUTED_VALUE"""),85600)</f>
        <v>85600</v>
      </c>
      <c r="F176" s="2" t="str">
        <f ca="1">IFERROR(__xludf.DUMMYFUNCTION("""COMPUTED_VALUE"""),"Tinto La Vendimia")</f>
        <v>Tinto La Vendimia</v>
      </c>
      <c r="G176" s="2">
        <f ca="1">IFERROR(__xludf.DUMMYFUNCTION("""COMPUTED_VALUE"""),34700)</f>
        <v>34700</v>
      </c>
      <c r="H176" s="2">
        <f ca="1">IFERROR(__xludf.DUMMYFUNCTION("""COMPUTED_VALUE"""),37300)</f>
        <v>37300</v>
      </c>
      <c r="I176" s="2"/>
      <c r="J176" s="2"/>
      <c r="K176" s="2" t="str">
        <f ca="1">IFERROR(__xludf.DUMMYFUNCTION("""COMPUTED_VALUE"""),"Terminado")</f>
        <v>Terminado</v>
      </c>
      <c r="L176" s="2"/>
      <c r="M176" s="2"/>
    </row>
    <row r="177" spans="1:13" x14ac:dyDescent="0.25">
      <c r="A177" s="2" t="str">
        <f ca="1">IFERROR(__xludf.DUMMYFUNCTION("""COMPUTED_VALUE"""),"8e7dc827")</f>
        <v>8e7dc827</v>
      </c>
      <c r="B177" s="2"/>
      <c r="C177" s="3">
        <f ca="1">IFERROR(__xludf.DUMMYFUNCTION("""COMPUTED_VALUE"""),45724.5524421296)</f>
        <v>45724.5524421296</v>
      </c>
      <c r="D177" s="2">
        <f ca="1">IFERROR(__xludf.DUMMYFUNCTION("""COMPUTED_VALUE"""),24)</f>
        <v>24</v>
      </c>
      <c r="E177" s="2">
        <f ca="1">IFERROR(__xludf.DUMMYFUNCTION("""COMPUTED_VALUE"""),186600)</f>
        <v>186600</v>
      </c>
      <c r="F177" s="2" t="str">
        <f ca="1">IFERROR(__xludf.DUMMYFUNCTION("""COMPUTED_VALUE"""),"Tinto La Vendimia")</f>
        <v>Tinto La Vendimia</v>
      </c>
      <c r="G177" s="2">
        <f ca="1">IFERROR(__xludf.DUMMYFUNCTION("""COMPUTED_VALUE"""),181600)</f>
        <v>181600</v>
      </c>
      <c r="H177" s="2">
        <f ca="1">IFERROR(__xludf.DUMMYFUNCTION("""COMPUTED_VALUE"""),186600)</f>
        <v>186600</v>
      </c>
      <c r="I177" s="2"/>
      <c r="J177" s="2"/>
      <c r="K177" s="2" t="str">
        <f ca="1">IFERROR(__xludf.DUMMYFUNCTION("""COMPUTED_VALUE"""),"Terminado")</f>
        <v>Terminado</v>
      </c>
      <c r="L177" s="2"/>
      <c r="M177" s="2"/>
    </row>
    <row r="178" spans="1:13" x14ac:dyDescent="0.25">
      <c r="A178" s="2" t="str">
        <f ca="1">IFERROR(__xludf.DUMMYFUNCTION("""COMPUTED_VALUE"""),"d65723e9")</f>
        <v>d65723e9</v>
      </c>
      <c r="B178" s="2"/>
      <c r="C178" s="3">
        <f ca="1">IFERROR(__xludf.DUMMYFUNCTION("""COMPUTED_VALUE"""),45724.5529398148)</f>
        <v>45724.552939814799</v>
      </c>
      <c r="D178" s="2">
        <f ca="1">IFERROR(__xludf.DUMMYFUNCTION("""COMPUTED_VALUE"""),25)</f>
        <v>25</v>
      </c>
      <c r="E178" s="2">
        <f ca="1">IFERROR(__xludf.DUMMYFUNCTION("""COMPUTED_VALUE"""),194300)</f>
        <v>194300</v>
      </c>
      <c r="F178" s="2" t="str">
        <f ca="1">IFERROR(__xludf.DUMMYFUNCTION("""COMPUTED_VALUE"""),"Tinto La Vendimia")</f>
        <v>Tinto La Vendimia</v>
      </c>
      <c r="G178" s="2">
        <f ca="1">IFERROR(__xludf.DUMMYFUNCTION("""COMPUTED_VALUE"""),188900)</f>
        <v>188900</v>
      </c>
      <c r="H178" s="2">
        <f ca="1">IFERROR(__xludf.DUMMYFUNCTION("""COMPUTED_VALUE"""),194300)</f>
        <v>194300</v>
      </c>
      <c r="I178" s="2"/>
      <c r="J178" s="2"/>
      <c r="K178" s="2" t="str">
        <f ca="1">IFERROR(__xludf.DUMMYFUNCTION("""COMPUTED_VALUE"""),"Terminado")</f>
        <v>Terminado</v>
      </c>
      <c r="L178" s="2"/>
      <c r="M178" s="2"/>
    </row>
    <row r="179" spans="1:13" x14ac:dyDescent="0.25">
      <c r="A179" s="2" t="str">
        <f ca="1">IFERROR(__xludf.DUMMYFUNCTION("""COMPUTED_VALUE"""),"7b5d098a")</f>
        <v>7b5d098a</v>
      </c>
      <c r="B179" s="2"/>
      <c r="C179" s="3">
        <f ca="1">IFERROR(__xludf.DUMMYFUNCTION("""COMPUTED_VALUE"""),45724.5534259259)</f>
        <v>45724.5534259259</v>
      </c>
      <c r="D179" s="2">
        <f ca="1">IFERROR(__xludf.DUMMYFUNCTION("""COMPUTED_VALUE"""),95)</f>
        <v>95</v>
      </c>
      <c r="E179" s="2">
        <f ca="1">IFERROR(__xludf.DUMMYFUNCTION("""COMPUTED_VALUE"""),77100)</f>
        <v>77100</v>
      </c>
      <c r="F179" s="2" t="str">
        <f ca="1">IFERROR(__xludf.DUMMYFUNCTION("""COMPUTED_VALUE"""),"Tinto La Vendimia")</f>
        <v>Tinto La Vendimia</v>
      </c>
      <c r="G179" s="2">
        <f ca="1">IFERROR(__xludf.DUMMYFUNCTION("""COMPUTED_VALUE"""),74700)</f>
        <v>74700</v>
      </c>
      <c r="H179" s="2">
        <f ca="1">IFERROR(__xludf.DUMMYFUNCTION("""COMPUTED_VALUE"""),77100)</f>
        <v>77100</v>
      </c>
      <c r="I179" s="2"/>
      <c r="J179" s="2"/>
      <c r="K179" s="2" t="str">
        <f ca="1">IFERROR(__xludf.DUMMYFUNCTION("""COMPUTED_VALUE"""),"Terminado")</f>
        <v>Terminado</v>
      </c>
      <c r="L179" s="2"/>
      <c r="M179" s="2"/>
    </row>
    <row r="180" spans="1:13" x14ac:dyDescent="0.25">
      <c r="A180" s="2" t="str">
        <f ca="1">IFERROR(__xludf.DUMMYFUNCTION("""COMPUTED_VALUE"""),"f76c3497")</f>
        <v>f76c3497</v>
      </c>
      <c r="B180" s="2"/>
      <c r="C180" s="3">
        <f ca="1">IFERROR(__xludf.DUMMYFUNCTION("""COMPUTED_VALUE"""),45724.5537152777)</f>
        <v>45724.553715277703</v>
      </c>
      <c r="D180" s="2">
        <f ca="1">IFERROR(__xludf.DUMMYFUNCTION("""COMPUTED_VALUE"""),96)</f>
        <v>96</v>
      </c>
      <c r="E180" s="2">
        <f ca="1">IFERROR(__xludf.DUMMYFUNCTION("""COMPUTED_VALUE"""),85600)</f>
        <v>85600</v>
      </c>
      <c r="F180" s="2" t="str">
        <f ca="1">IFERROR(__xludf.DUMMYFUNCTION("""COMPUTED_VALUE"""),"Tinto La Vendimia")</f>
        <v>Tinto La Vendimia</v>
      </c>
      <c r="G180" s="2">
        <f ca="1">IFERROR(__xludf.DUMMYFUNCTION("""COMPUTED_VALUE"""),37300)</f>
        <v>37300</v>
      </c>
      <c r="H180" s="2">
        <f ca="1">IFERROR(__xludf.DUMMYFUNCTION("""COMPUTED_VALUE"""),38800)</f>
        <v>38800</v>
      </c>
      <c r="I180" s="2"/>
      <c r="J180" s="2"/>
      <c r="K180" s="2" t="str">
        <f ca="1">IFERROR(__xludf.DUMMYFUNCTION("""COMPUTED_VALUE"""),"Terminado")</f>
        <v>Terminado</v>
      </c>
      <c r="L180" s="2"/>
      <c r="M180" s="2"/>
    </row>
    <row r="181" spans="1:13" x14ac:dyDescent="0.25">
      <c r="A181" s="2" t="str">
        <f ca="1">IFERROR(__xludf.DUMMYFUNCTION("""COMPUTED_VALUE"""),"6352eea8")</f>
        <v>6352eea8</v>
      </c>
      <c r="B181" s="2"/>
      <c r="C181" s="3">
        <f ca="1">IFERROR(__xludf.DUMMYFUNCTION("""COMPUTED_VALUE"""),45726.4710069444)</f>
        <v>45726.471006944397</v>
      </c>
      <c r="D181" s="2">
        <f ca="1">IFERROR(__xludf.DUMMYFUNCTION("""COMPUTED_VALUE"""),9)</f>
        <v>9</v>
      </c>
      <c r="E181" s="2">
        <f ca="1">IFERROR(__xludf.DUMMYFUNCTION("""COMPUTED_VALUE"""),30000)</f>
        <v>30000</v>
      </c>
      <c r="F181" s="2" t="str">
        <f ca="1">IFERROR(__xludf.DUMMYFUNCTION("""COMPUTED_VALUE"""),"Chardonnay")</f>
        <v>Chardonnay</v>
      </c>
      <c r="G181" s="2">
        <f ca="1">IFERROR(__xludf.DUMMYFUNCTION("""COMPUTED_VALUE"""),0)</f>
        <v>0</v>
      </c>
      <c r="H181" s="2">
        <f ca="1">IFERROR(__xludf.DUMMYFUNCTION("""COMPUTED_VALUE"""),25800)</f>
        <v>25800</v>
      </c>
      <c r="I181" s="2"/>
      <c r="J181" s="2"/>
      <c r="K181" s="2" t="str">
        <f ca="1">IFERROR(__xludf.DUMMYFUNCTION("""COMPUTED_VALUE"""),"Descubada")</f>
        <v>Descubada</v>
      </c>
      <c r="L181" s="2"/>
      <c r="M181" s="2"/>
    </row>
    <row r="182" spans="1:13" x14ac:dyDescent="0.25">
      <c r="A182" s="2" t="str">
        <f ca="1">IFERROR(__xludf.DUMMYFUNCTION("""COMPUTED_VALUE"""),"b73d8cd1")</f>
        <v>b73d8cd1</v>
      </c>
      <c r="B182" s="2"/>
      <c r="C182" s="3">
        <f ca="1">IFERROR(__xludf.DUMMYFUNCTION("""COMPUTED_VALUE"""),45726.4721875)</f>
        <v>45726.472187500003</v>
      </c>
      <c r="D182" s="2">
        <f ca="1">IFERROR(__xludf.DUMMYFUNCTION("""COMPUTED_VALUE"""),9)</f>
        <v>9</v>
      </c>
      <c r="E182" s="2">
        <f ca="1">IFERROR(__xludf.DUMMYFUNCTION("""COMPUTED_VALUE"""),30000)</f>
        <v>30000</v>
      </c>
      <c r="F182" s="2" t="str">
        <f ca="1">IFERROR(__xludf.DUMMYFUNCTION("""COMPUTED_VALUE"""),"Chardonnay")</f>
        <v>Chardonnay</v>
      </c>
      <c r="G182" s="2">
        <f ca="1">IFERROR(__xludf.DUMMYFUNCTION("""COMPUTED_VALUE"""),25800)</f>
        <v>25800</v>
      </c>
      <c r="H182" s="2">
        <f ca="1">IFERROR(__xludf.DUMMYFUNCTION("""COMPUTED_VALUE"""),30000)</f>
        <v>30000</v>
      </c>
      <c r="I182" s="2"/>
      <c r="J182" s="2"/>
      <c r="K182" s="2" t="str">
        <f ca="1">IFERROR(__xludf.DUMMYFUNCTION("""COMPUTED_VALUE"""),"Descubada")</f>
        <v>Descubada</v>
      </c>
      <c r="L182" s="2" t="str">
        <f ca="1">IFERROR(__xludf.DUMMYFUNCTION("""COMPUTED_VALUE"""),"1+")</f>
        <v>1+</v>
      </c>
      <c r="M182" s="2" t="str">
        <f ca="1">IFERROR(__xludf.DUMMYFUNCTION("""COMPUTED_VALUE"""),"Blanco")</f>
        <v>Blanco</v>
      </c>
    </row>
    <row r="183" spans="1:13" x14ac:dyDescent="0.25">
      <c r="A183" s="2" t="str">
        <f ca="1">IFERROR(__xludf.DUMMYFUNCTION("""COMPUTED_VALUE"""),"b5e03e7f")</f>
        <v>b5e03e7f</v>
      </c>
      <c r="B183" s="2"/>
      <c r="C183" s="3">
        <f ca="1">IFERROR(__xludf.DUMMYFUNCTION("""COMPUTED_VALUE"""),45726.4730902777)</f>
        <v>45726.473090277701</v>
      </c>
      <c r="D183" s="2">
        <f ca="1">IFERROR(__xludf.DUMMYFUNCTION("""COMPUTED_VALUE"""),16)</f>
        <v>16</v>
      </c>
      <c r="E183" s="2">
        <f ca="1">IFERROR(__xludf.DUMMYFUNCTION("""COMPUTED_VALUE"""),19500)</f>
        <v>19500</v>
      </c>
      <c r="F183" s="2" t="str">
        <f ca="1">IFERROR(__xludf.DUMMYFUNCTION("""COMPUTED_VALUE"""),"Chardonnay")</f>
        <v>Chardonnay</v>
      </c>
      <c r="G183" s="2">
        <f ca="1">IFERROR(__xludf.DUMMYFUNCTION("""COMPUTED_VALUE"""),0)</f>
        <v>0</v>
      </c>
      <c r="H183" s="2">
        <f ca="1">IFERROR(__xludf.DUMMYFUNCTION("""COMPUTED_VALUE"""),19500)</f>
        <v>19500</v>
      </c>
      <c r="I183" s="2" t="str">
        <f ca="1">IFERROR(__xludf.DUMMYFUNCTION("""COMPUTED_VALUE"""),"14/5
mas debil en boca")</f>
        <v>14/5
mas debil en boca</v>
      </c>
      <c r="J183" s="2"/>
      <c r="K183" s="2" t="str">
        <f ca="1">IFERROR(__xludf.DUMMYFUNCTION("""COMPUTED_VALUE"""),"Descubada")</f>
        <v>Descubada</v>
      </c>
      <c r="L183" s="2" t="str">
        <f ca="1">IFERROR(__xludf.DUMMYFUNCTION("""COMPUTED_VALUE"""),"1-")</f>
        <v>1-</v>
      </c>
      <c r="M183" s="2"/>
    </row>
    <row r="184" spans="1:13" x14ac:dyDescent="0.25">
      <c r="A184" s="2" t="str">
        <f ca="1">IFERROR(__xludf.DUMMYFUNCTION("""COMPUTED_VALUE"""),"76f1abe4")</f>
        <v>76f1abe4</v>
      </c>
      <c r="B184" s="2"/>
      <c r="C184" s="3">
        <f ca="1">IFERROR(__xludf.DUMMYFUNCTION("""COMPUTED_VALUE"""),45726.4784375)</f>
        <v>45726.478437500002</v>
      </c>
      <c r="D184" s="2">
        <f ca="1">IFERROR(__xludf.DUMMYFUNCTION("""COMPUTED_VALUE"""),84)</f>
        <v>84</v>
      </c>
      <c r="E184" s="2">
        <f ca="1">IFERROR(__xludf.DUMMYFUNCTION("""COMPUTED_VALUE"""),83000)</f>
        <v>83000</v>
      </c>
      <c r="F184" s="2" t="str">
        <f ca="1">IFERROR(__xludf.DUMMYFUNCTION("""COMPUTED_VALUE"""),"Syrah")</f>
        <v>Syrah</v>
      </c>
      <c r="G184" s="2">
        <f ca="1">IFERROR(__xludf.DUMMYFUNCTION("""COMPUTED_VALUE"""),20000)</f>
        <v>20000</v>
      </c>
      <c r="H184" s="2">
        <f ca="1">IFERROR(__xludf.DUMMYFUNCTION("""COMPUTED_VALUE"""),49600)</f>
        <v>49600</v>
      </c>
      <c r="I184" s="2"/>
      <c r="J184" s="2"/>
      <c r="K184" s="2" t="str">
        <f ca="1">IFERROR(__xludf.DUMMYFUNCTION("""COMPUTED_VALUE"""),"Fermentando")</f>
        <v>Fermentando</v>
      </c>
      <c r="L184" s="2"/>
      <c r="M184" s="2"/>
    </row>
    <row r="185" spans="1:13" x14ac:dyDescent="0.25">
      <c r="A185" s="2" t="str">
        <f ca="1">IFERROR(__xludf.DUMMYFUNCTION("""COMPUTED_VALUE"""),"4a9a65d1")</f>
        <v>4a9a65d1</v>
      </c>
      <c r="B185" s="2"/>
      <c r="C185" s="3">
        <f ca="1">IFERROR(__xludf.DUMMYFUNCTION("""COMPUTED_VALUE"""),45726.4787268518)</f>
        <v>45726.478726851798</v>
      </c>
      <c r="D185" s="2">
        <f ca="1">IFERROR(__xludf.DUMMYFUNCTION("""COMPUTED_VALUE"""),82)</f>
        <v>82</v>
      </c>
      <c r="E185" s="2">
        <f ca="1">IFERROR(__xludf.DUMMYFUNCTION("""COMPUTED_VALUE"""),42600)</f>
        <v>42600</v>
      </c>
      <c r="F185" s="2" t="str">
        <f ca="1">IFERROR(__xludf.DUMMYFUNCTION("""COMPUTED_VALUE"""),"Anccelotta")</f>
        <v>Anccelotta</v>
      </c>
      <c r="G185" s="2">
        <f ca="1">IFERROR(__xludf.DUMMYFUNCTION("""COMPUTED_VALUE"""),15000)</f>
        <v>15000</v>
      </c>
      <c r="H185" s="2">
        <f ca="1">IFERROR(__xludf.DUMMYFUNCTION("""COMPUTED_VALUE"""),17000)</f>
        <v>17000</v>
      </c>
      <c r="I185" s="2"/>
      <c r="J185" s="2"/>
      <c r="K185" s="2" t="str">
        <f ca="1">IFERROR(__xludf.DUMMYFUNCTION("""COMPUTED_VALUE"""),"Fermentando")</f>
        <v>Fermentando</v>
      </c>
      <c r="L185" s="2"/>
      <c r="M185" s="2"/>
    </row>
    <row r="186" spans="1:13" x14ac:dyDescent="0.25">
      <c r="A186" s="2" t="str">
        <f ca="1">IFERROR(__xludf.DUMMYFUNCTION("""COMPUTED_VALUE"""),"81703b0d")</f>
        <v>81703b0d</v>
      </c>
      <c r="B186" s="2"/>
      <c r="C186" s="3">
        <f ca="1">IFERROR(__xludf.DUMMYFUNCTION("""COMPUTED_VALUE"""),45726.8825578703)</f>
        <v>45726.882557870304</v>
      </c>
      <c r="D186" s="2">
        <f ca="1">IFERROR(__xludf.DUMMYFUNCTION("""COMPUTED_VALUE"""),85)</f>
        <v>85</v>
      </c>
      <c r="E186" s="2">
        <f ca="1">IFERROR(__xludf.DUMMYFUNCTION("""COMPUTED_VALUE"""),84000)</f>
        <v>84000</v>
      </c>
      <c r="F186" s="2" t="str">
        <f ca="1">IFERROR(__xludf.DUMMYFUNCTION("""COMPUTED_VALUE"""),"Bonarda C2")</f>
        <v>Bonarda C2</v>
      </c>
      <c r="G186" s="2"/>
      <c r="H186" s="2">
        <f ca="1">IFERROR(__xludf.DUMMYFUNCTION("""COMPUTED_VALUE"""),48900)</f>
        <v>48900</v>
      </c>
      <c r="I186" s="2"/>
      <c r="J186" s="2" t="str">
        <f ca="1">IFERROR(__xludf.DUMMYFUNCTION("""COMPUTED_VALUE"""),"5937 , 5934 , 5932 , 5939 , 5944 , 5946 , 5949")</f>
        <v>5937 , 5934 , 5932 , 5939 , 5944 , 5946 , 5949</v>
      </c>
      <c r="K186" s="2" t="str">
        <f ca="1">IFERROR(__xludf.DUMMYFUNCTION("""COMPUTED_VALUE"""),"Fermentando")</f>
        <v>Fermentando</v>
      </c>
      <c r="L186" s="2"/>
      <c r="M186" s="2"/>
    </row>
    <row r="187" spans="1:13" x14ac:dyDescent="0.25">
      <c r="A187" s="2" t="str">
        <f ca="1">IFERROR(__xludf.DUMMYFUNCTION("""COMPUTED_VALUE"""),"dc7359e0")</f>
        <v>dc7359e0</v>
      </c>
      <c r="B187" s="2"/>
      <c r="C187" s="3">
        <f ca="1">IFERROR(__xludf.DUMMYFUNCTION("""COMPUTED_VALUE"""),45726.8835879629)</f>
        <v>45726.883587962897</v>
      </c>
      <c r="D187" s="2">
        <f ca="1">IFERROR(__xludf.DUMMYFUNCTION("""COMPUTED_VALUE"""),86)</f>
        <v>86</v>
      </c>
      <c r="E187" s="2">
        <f ca="1">IFERROR(__xludf.DUMMYFUNCTION("""COMPUTED_VALUE"""),88000)</f>
        <v>88000</v>
      </c>
      <c r="F187" s="2" t="str">
        <f ca="1">IFERROR(__xludf.DUMMYFUNCTION("""COMPUTED_VALUE"""),"Syrah")</f>
        <v>Syrah</v>
      </c>
      <c r="G187" s="2"/>
      <c r="H187" s="2">
        <f ca="1">IFERROR(__xludf.DUMMYFUNCTION("""COMPUTED_VALUE"""),43000)</f>
        <v>43000</v>
      </c>
      <c r="I187" s="2"/>
      <c r="J187" s="2" t="str">
        <f ca="1">IFERROR(__xludf.DUMMYFUNCTION("""COMPUTED_VALUE"""),"5936 , 5933 , 5943 , 5947 , 5958")</f>
        <v>5936 , 5933 , 5943 , 5947 , 5958</v>
      </c>
      <c r="K187" s="2" t="str">
        <f ca="1">IFERROR(__xludf.DUMMYFUNCTION("""COMPUTED_VALUE"""),"Fermentando")</f>
        <v>Fermentando</v>
      </c>
      <c r="L187" s="2"/>
      <c r="M187" s="2"/>
    </row>
    <row r="188" spans="1:13" x14ac:dyDescent="0.25">
      <c r="A188" s="2" t="str">
        <f ca="1">IFERROR(__xludf.DUMMYFUNCTION("""COMPUTED_VALUE"""),"12aaaa1b")</f>
        <v>12aaaa1b</v>
      </c>
      <c r="B188" s="2"/>
      <c r="C188" s="3">
        <f ca="1">IFERROR(__xludf.DUMMYFUNCTION("""COMPUTED_VALUE"""),45726.9614814814)</f>
        <v>45726.961481481398</v>
      </c>
      <c r="D188" s="2">
        <f ca="1">IFERROR(__xludf.DUMMYFUNCTION("""COMPUTED_VALUE"""),78)</f>
        <v>78</v>
      </c>
      <c r="E188" s="2">
        <f ca="1">IFERROR(__xludf.DUMMYFUNCTION("""COMPUTED_VALUE"""),25800)</f>
        <v>25800</v>
      </c>
      <c r="F188" s="2" t="str">
        <f ca="1">IFERROR(__xludf.DUMMYFUNCTION("""COMPUTED_VALUE"""),"Tanat")</f>
        <v>Tanat</v>
      </c>
      <c r="G188" s="2"/>
      <c r="H188" s="2">
        <f ca="1">IFERROR(__xludf.DUMMYFUNCTION("""COMPUTED_VALUE"""),10000)</f>
        <v>10000</v>
      </c>
      <c r="I188" s="2"/>
      <c r="J188" s="2">
        <f ca="1">IFERROR(__xludf.DUMMYFUNCTION("""COMPUTED_VALUE"""),5938)</f>
        <v>5938</v>
      </c>
      <c r="K188" s="2" t="str">
        <f ca="1">IFERROR(__xludf.DUMMYFUNCTION("""COMPUTED_VALUE"""),"Fermentando")</f>
        <v>Fermentando</v>
      </c>
      <c r="L188" s="2"/>
      <c r="M188" s="2"/>
    </row>
    <row r="189" spans="1:13" x14ac:dyDescent="0.25">
      <c r="A189" s="2" t="str">
        <f ca="1">IFERROR(__xludf.DUMMYFUNCTION("""COMPUTED_VALUE"""),"41324315")</f>
        <v>41324315</v>
      </c>
      <c r="B189" s="2"/>
      <c r="C189" s="3">
        <f ca="1">IFERROR(__xludf.DUMMYFUNCTION("""COMPUTED_VALUE"""),45726.9701504629)</f>
        <v>45726.970150462897</v>
      </c>
      <c r="D189" s="2">
        <f ca="1">IFERROR(__xludf.DUMMYFUNCTION("""COMPUTED_VALUE"""),500)</f>
        <v>500</v>
      </c>
      <c r="E189" s="2">
        <f ca="1">IFERROR(__xludf.DUMMYFUNCTION("""COMPUTED_VALUE"""),200000)</f>
        <v>200000</v>
      </c>
      <c r="F189" s="2" t="str">
        <f ca="1">IFERROR(__xludf.DUMMYFUNCTION("""COMPUTED_VALUE"""),"Cabernet Sauv Despacho Bodega")</f>
        <v>Cabernet Sauv Despacho Bodega</v>
      </c>
      <c r="G189" s="2">
        <f ca="1">IFERROR(__xludf.DUMMYFUNCTION("""COMPUTED_VALUE"""),0)</f>
        <v>0</v>
      </c>
      <c r="H189" s="2">
        <f ca="1">IFERROR(__xludf.DUMMYFUNCTION("""COMPUTED_VALUE"""),2500)</f>
        <v>2500</v>
      </c>
      <c r="I189" s="2"/>
      <c r="J189" s="2"/>
      <c r="K189" s="2" t="str">
        <f ca="1">IFERROR(__xludf.DUMMYFUNCTION("""COMPUTED_VALUE"""),"Terminado")</f>
        <v>Terminado</v>
      </c>
      <c r="L189" s="2"/>
      <c r="M189" s="2"/>
    </row>
    <row r="190" spans="1:13" x14ac:dyDescent="0.25">
      <c r="A190" s="2" t="str">
        <f ca="1">IFERROR(__xludf.DUMMYFUNCTION("""COMPUTED_VALUE"""),"f6596c23")</f>
        <v>f6596c23</v>
      </c>
      <c r="B190" s="2"/>
      <c r="C190" s="3">
        <f ca="1">IFERROR(__xludf.DUMMYFUNCTION("""COMPUTED_VALUE"""),45726.9710532407)</f>
        <v>45726.971053240697</v>
      </c>
      <c r="D190" s="2">
        <f ca="1">IFERROR(__xludf.DUMMYFUNCTION("""COMPUTED_VALUE"""),500)</f>
        <v>500</v>
      </c>
      <c r="E190" s="2">
        <f ca="1">IFERROR(__xludf.DUMMYFUNCTION("""COMPUTED_VALUE"""),200000)</f>
        <v>200000</v>
      </c>
      <c r="F190" s="2" t="str">
        <f ca="1">IFERROR(__xludf.DUMMYFUNCTION("""COMPUTED_VALUE"""),"Chardonnay 24 Rect")</f>
        <v>Chardonnay 24 Rect</v>
      </c>
      <c r="G190" s="2">
        <f ca="1">IFERROR(__xludf.DUMMYFUNCTION("""COMPUTED_VALUE"""),2500)</f>
        <v>2500</v>
      </c>
      <c r="H190" s="2">
        <f ca="1">IFERROR(__xludf.DUMMYFUNCTION("""COMPUTED_VALUE"""),26500)</f>
        <v>26500</v>
      </c>
      <c r="I190" s="2"/>
      <c r="J190" s="2"/>
      <c r="K190" s="2" t="str">
        <f ca="1">IFERROR(__xludf.DUMMYFUNCTION("""COMPUTED_VALUE"""),"Rectificado")</f>
        <v>Rectificado</v>
      </c>
      <c r="L190" s="2"/>
      <c r="M190" s="2"/>
    </row>
    <row r="191" spans="1:13" x14ac:dyDescent="0.25">
      <c r="A191" s="2" t="str">
        <f ca="1">IFERROR(__xludf.DUMMYFUNCTION("""COMPUTED_VALUE"""),"59e7d158")</f>
        <v>59e7d158</v>
      </c>
      <c r="B191" s="2"/>
      <c r="C191" s="3">
        <f ca="1">IFERROR(__xludf.DUMMYFUNCTION("""COMPUTED_VALUE"""),45726.9726504629)</f>
        <v>45726.9726504629</v>
      </c>
      <c r="D191" s="2">
        <f ca="1">IFERROR(__xludf.DUMMYFUNCTION("""COMPUTED_VALUE"""),500)</f>
        <v>500</v>
      </c>
      <c r="E191" s="2">
        <f ca="1">IFERROR(__xludf.DUMMYFUNCTION("""COMPUTED_VALUE"""),200000)</f>
        <v>200000</v>
      </c>
      <c r="F191" s="2" t="str">
        <f ca="1">IFERROR(__xludf.DUMMYFUNCTION("""COMPUTED_VALUE"""),"Syrah s/Asp 2 Prensa")</f>
        <v>Syrah s/Asp 2 Prensa</v>
      </c>
      <c r="G191" s="2">
        <f ca="1">IFERROR(__xludf.DUMMYFUNCTION("""COMPUTED_VALUE"""),26500)</f>
        <v>26500</v>
      </c>
      <c r="H191" s="2">
        <f ca="1">IFERROR(__xludf.DUMMYFUNCTION("""COMPUTED_VALUE"""),32500)</f>
        <v>32500</v>
      </c>
      <c r="I191" s="2"/>
      <c r="J191" s="2"/>
      <c r="K191" s="2" t="str">
        <f ca="1">IFERROR(__xludf.DUMMYFUNCTION("""COMPUTED_VALUE"""),"Descubada")</f>
        <v>Descubada</v>
      </c>
      <c r="L191" s="2"/>
      <c r="M191" s="2"/>
    </row>
    <row r="192" spans="1:13" x14ac:dyDescent="0.25">
      <c r="A192" s="2" t="str">
        <f ca="1">IFERROR(__xludf.DUMMYFUNCTION("""COMPUTED_VALUE"""),"219129bc")</f>
        <v>219129bc</v>
      </c>
      <c r="B192" s="2"/>
      <c r="C192" s="3">
        <f ca="1">IFERROR(__xludf.DUMMYFUNCTION("""COMPUTED_VALUE"""),45726.9737268518)</f>
        <v>45726.9737268518</v>
      </c>
      <c r="D192" s="2">
        <f ca="1">IFERROR(__xludf.DUMMYFUNCTION("""COMPUTED_VALUE"""),500)</f>
        <v>500</v>
      </c>
      <c r="E192" s="2">
        <f ca="1">IFERROR(__xludf.DUMMYFUNCTION("""COMPUTED_VALUE"""),200000)</f>
        <v>200000</v>
      </c>
      <c r="F192" s="2" t="str">
        <f ca="1">IFERROR(__xludf.DUMMYFUNCTION("""COMPUTED_VALUE"""),"Anccelotta")</f>
        <v>Anccelotta</v>
      </c>
      <c r="G192" s="2">
        <f ca="1">IFERROR(__xludf.DUMMYFUNCTION("""COMPUTED_VALUE"""),32500)</f>
        <v>32500</v>
      </c>
      <c r="H192" s="2">
        <f ca="1">IFERROR(__xludf.DUMMYFUNCTION("""COMPUTED_VALUE"""),37000)</f>
        <v>37000</v>
      </c>
      <c r="I192" s="2"/>
      <c r="J192" s="2"/>
      <c r="K192" s="2" t="str">
        <f ca="1">IFERROR(__xludf.DUMMYFUNCTION("""COMPUTED_VALUE"""),"Fermentando")</f>
        <v>Fermentando</v>
      </c>
      <c r="L192" s="2"/>
      <c r="M192" s="2"/>
    </row>
    <row r="193" spans="1:13" x14ac:dyDescent="0.25">
      <c r="A193" s="2" t="str">
        <f ca="1">IFERROR(__xludf.DUMMYFUNCTION("""COMPUTED_VALUE"""),"c286df65")</f>
        <v>c286df65</v>
      </c>
      <c r="B193" s="2"/>
      <c r="C193" s="3">
        <f ca="1">IFERROR(__xludf.DUMMYFUNCTION("""COMPUTED_VALUE"""),45727.3678935185)</f>
        <v>45727.367893518502</v>
      </c>
      <c r="D193" s="2">
        <f ca="1">IFERROR(__xludf.DUMMYFUNCTION("""COMPUTED_VALUE"""),500)</f>
        <v>500</v>
      </c>
      <c r="E193" s="2">
        <f ca="1">IFERROR(__xludf.DUMMYFUNCTION("""COMPUTED_VALUE"""),200000)</f>
        <v>200000</v>
      </c>
      <c r="F193" s="2" t="str">
        <f ca="1">IFERROR(__xludf.DUMMYFUNCTION("""COMPUTED_VALUE"""),"Tinto La Vendimia")</f>
        <v>Tinto La Vendimia</v>
      </c>
      <c r="G193" s="2">
        <f ca="1">IFERROR(__xludf.DUMMYFUNCTION("""COMPUTED_VALUE"""),37000)</f>
        <v>37000</v>
      </c>
      <c r="H193" s="2">
        <f ca="1">IFERROR(__xludf.DUMMYFUNCTION("""COMPUTED_VALUE"""),45800)</f>
        <v>45800</v>
      </c>
      <c r="I193" s="2"/>
      <c r="J193" s="2"/>
      <c r="K193" s="2" t="str">
        <f ca="1">IFERROR(__xludf.DUMMYFUNCTION("""COMPUTED_VALUE"""),"Terminado")</f>
        <v>Terminado</v>
      </c>
      <c r="L193" s="2"/>
      <c r="M193" s="2"/>
    </row>
    <row r="194" spans="1:1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5">
      <c r="A195" s="2" t="str">
        <f ca="1">IFERROR(__xludf.DUMMYFUNCTION("""COMPUTED_VALUE"""),"0a4970f2")</f>
        <v>0a4970f2</v>
      </c>
      <c r="B195" s="2"/>
      <c r="C195" s="3">
        <f ca="1">IFERROR(__xludf.DUMMYFUNCTION("""COMPUTED_VALUE"""),45727.3757407407)</f>
        <v>45727.375740740703</v>
      </c>
      <c r="D195" s="2">
        <f ca="1">IFERROR(__xludf.DUMMYFUNCTION("""COMPUTED_VALUE"""),500)</f>
        <v>500</v>
      </c>
      <c r="E195" s="2">
        <f ca="1">IFERROR(__xludf.DUMMYFUNCTION("""COMPUTED_VALUE"""),200000)</f>
        <v>200000</v>
      </c>
      <c r="F195" s="2" t="str">
        <f ca="1">IFERROR(__xludf.DUMMYFUNCTION("""COMPUTED_VALUE"""),"Ajuste")</f>
        <v>Ajuste</v>
      </c>
      <c r="G195" s="2"/>
      <c r="H195" s="2">
        <f ca="1">IFERROR(__xludf.DUMMYFUNCTION("""COMPUTED_VALUE"""),1)</f>
        <v>1</v>
      </c>
      <c r="I195" s="2"/>
      <c r="J195" s="2"/>
      <c r="K195" s="2"/>
      <c r="L195" s="2"/>
      <c r="M195" s="2"/>
    </row>
    <row r="196" spans="1:13" x14ac:dyDescent="0.25">
      <c r="A196" s="2" t="str">
        <f ca="1">IFERROR(__xludf.DUMMYFUNCTION("""COMPUTED_VALUE"""),"ba3f8a31")</f>
        <v>ba3f8a31</v>
      </c>
      <c r="B196" s="2"/>
      <c r="C196" s="3">
        <f ca="1">IFERROR(__xludf.DUMMYFUNCTION("""COMPUTED_VALUE"""),45727.3766087962)</f>
        <v>45727.376608796199</v>
      </c>
      <c r="D196" s="2">
        <f ca="1">IFERROR(__xludf.DUMMYFUNCTION("""COMPUTED_VALUE"""),108)</f>
        <v>108</v>
      </c>
      <c r="E196" s="2">
        <f ca="1">IFERROR(__xludf.DUMMYFUNCTION("""COMPUTED_VALUE"""),31000)</f>
        <v>31000</v>
      </c>
      <c r="F196" s="2" t="str">
        <f ca="1">IFERROR(__xludf.DUMMYFUNCTION("""COMPUTED_VALUE"""),"Syrah Merlot s/Asp Gota")</f>
        <v>Syrah Merlot s/Asp Gota</v>
      </c>
      <c r="G196" s="2">
        <f ca="1">IFERROR(__xludf.DUMMYFUNCTION("""COMPUTED_VALUE"""),7500)</f>
        <v>7500</v>
      </c>
      <c r="H196" s="2">
        <f ca="1">IFERROR(__xludf.DUMMYFUNCTION("""COMPUTED_VALUE"""),30000)</f>
        <v>30000</v>
      </c>
      <c r="I196" s="2"/>
      <c r="J196" s="2"/>
      <c r="K196" s="2" t="str">
        <f ca="1">IFERROR(__xludf.DUMMYFUNCTION("""COMPUTED_VALUE"""),"Descubada")</f>
        <v>Descubada</v>
      </c>
      <c r="L196" s="2"/>
      <c r="M196" s="2"/>
    </row>
    <row r="197" spans="1:13" x14ac:dyDescent="0.25">
      <c r="A197" s="2" t="str">
        <f ca="1">IFERROR(__xludf.DUMMYFUNCTION("""COMPUTED_VALUE"""),"83599ef4")</f>
        <v>83599ef4</v>
      </c>
      <c r="B197" s="2"/>
      <c r="C197" s="3">
        <f ca="1">IFERROR(__xludf.DUMMYFUNCTION("""COMPUTED_VALUE"""),45727.3775)</f>
        <v>45727.377500000002</v>
      </c>
      <c r="D197" s="2">
        <f ca="1">IFERROR(__xludf.DUMMYFUNCTION("""COMPUTED_VALUE"""),104)</f>
        <v>104</v>
      </c>
      <c r="E197" s="2">
        <f ca="1">IFERROR(__xludf.DUMMYFUNCTION("""COMPUTED_VALUE"""),31000)</f>
        <v>31000</v>
      </c>
      <c r="F197" s="2" t="str">
        <f ca="1">IFERROR(__xludf.DUMMYFUNCTION("""COMPUTED_VALUE"""),"Malbec Gota")</f>
        <v>Malbec Gota</v>
      </c>
      <c r="G197" s="2">
        <f ca="1">IFERROR(__xludf.DUMMYFUNCTION("""COMPUTED_VALUE"""),29000)</f>
        <v>29000</v>
      </c>
      <c r="H197" s="2">
        <f ca="1">IFERROR(__xludf.DUMMYFUNCTION("""COMPUTED_VALUE"""),30000)</f>
        <v>30000</v>
      </c>
      <c r="I197" s="2"/>
      <c r="J197" s="2"/>
      <c r="K197" s="2" t="str">
        <f ca="1">IFERROR(__xludf.DUMMYFUNCTION("""COMPUTED_VALUE"""),"Descubada")</f>
        <v>Descubada</v>
      </c>
      <c r="L197" s="2"/>
      <c r="M197" s="2"/>
    </row>
    <row r="198" spans="1:13" x14ac:dyDescent="0.25">
      <c r="A198" s="2" t="str">
        <f ca="1">IFERROR(__xludf.DUMMYFUNCTION("""COMPUTED_VALUE"""),"d83c9a57")</f>
        <v>d83c9a57</v>
      </c>
      <c r="B198" s="2"/>
      <c r="C198" s="3">
        <f ca="1">IFERROR(__xludf.DUMMYFUNCTION("""COMPUTED_VALUE"""),45727.3806597222)</f>
        <v>45727.380659722199</v>
      </c>
      <c r="D198" s="2">
        <f ca="1">IFERROR(__xludf.DUMMYFUNCTION("""COMPUTED_VALUE"""),109)</f>
        <v>109</v>
      </c>
      <c r="E198" s="2">
        <f ca="1">IFERROR(__xludf.DUMMYFUNCTION("""COMPUTED_VALUE"""),15600)</f>
        <v>15600</v>
      </c>
      <c r="F198" s="2" t="str">
        <f ca="1">IFERROR(__xludf.DUMMYFUNCTION("""COMPUTED_VALUE"""),"Merlot s/Asp descube")</f>
        <v>Merlot s/Asp descube</v>
      </c>
      <c r="G198" s="2">
        <f ca="1">IFERROR(__xludf.DUMMYFUNCTION("""COMPUTED_VALUE"""),14000)</f>
        <v>14000</v>
      </c>
      <c r="H198" s="2">
        <f ca="1">IFERROR(__xludf.DUMMYFUNCTION("""COMPUTED_VALUE"""),15000)</f>
        <v>15000</v>
      </c>
      <c r="I198" s="2"/>
      <c r="J198" s="2"/>
      <c r="K198" s="2" t="str">
        <f ca="1">IFERROR(__xludf.DUMMYFUNCTION("""COMPUTED_VALUE"""),"Descubada")</f>
        <v>Descubada</v>
      </c>
      <c r="L198" s="2"/>
      <c r="M198" s="2"/>
    </row>
    <row r="199" spans="1:13" x14ac:dyDescent="0.25">
      <c r="A199" s="2" t="str">
        <f ca="1">IFERROR(__xludf.DUMMYFUNCTION("""COMPUTED_VALUE"""),"dc3d5a11")</f>
        <v>dc3d5a11</v>
      </c>
      <c r="B199" s="2"/>
      <c r="C199" s="3">
        <f ca="1">IFERROR(__xludf.DUMMYFUNCTION("""COMPUTED_VALUE"""),45727.3811805555)</f>
        <v>45727.381180555501</v>
      </c>
      <c r="D199" s="2">
        <f ca="1">IFERROR(__xludf.DUMMYFUNCTION("""COMPUTED_VALUE"""),500)</f>
        <v>500</v>
      </c>
      <c r="E199" s="2">
        <f ca="1">IFERROR(__xludf.DUMMYFUNCTION("""COMPUTED_VALUE"""),200000)</f>
        <v>200000</v>
      </c>
      <c r="F199" s="2" t="str">
        <f ca="1">IFERROR(__xludf.DUMMYFUNCTION("""COMPUTED_VALUE"""),"Ajuste")</f>
        <v>Ajuste</v>
      </c>
      <c r="G199" s="2">
        <f ca="1">IFERROR(__xludf.DUMMYFUNCTION("""COMPUTED_VALUE"""),-24499)</f>
        <v>-24499</v>
      </c>
      <c r="H199" s="2">
        <f ca="1">IFERROR(__xludf.DUMMYFUNCTION("""COMPUTED_VALUE"""),-23899)</f>
        <v>-23899</v>
      </c>
      <c r="I199" s="2"/>
      <c r="J199" s="2"/>
      <c r="K199" s="2"/>
      <c r="L199" s="2"/>
      <c r="M199" s="2"/>
    </row>
    <row r="200" spans="1:13" x14ac:dyDescent="0.25">
      <c r="A200" s="2" t="str">
        <f ca="1">IFERROR(__xludf.DUMMYFUNCTION("""COMPUTED_VALUE"""),"97384f9b")</f>
        <v>97384f9b</v>
      </c>
      <c r="B200" s="2"/>
      <c r="C200" s="3">
        <f ca="1">IFERROR(__xludf.DUMMYFUNCTION("""COMPUTED_VALUE"""),45727.385324074)</f>
        <v>45727.385324073999</v>
      </c>
      <c r="D200" s="2">
        <f ca="1">IFERROR(__xludf.DUMMYFUNCTION("""COMPUTED_VALUE"""),90)</f>
        <v>90</v>
      </c>
      <c r="E200" s="2">
        <f ca="1">IFERROR(__xludf.DUMMYFUNCTION("""COMPUTED_VALUE"""),97500)</f>
        <v>97500</v>
      </c>
      <c r="F200" s="2" t="str">
        <f ca="1">IFERROR(__xludf.DUMMYFUNCTION("""COMPUTED_VALUE"""),"Ancellotta Tempranillo")</f>
        <v>Ancellotta Tempranillo</v>
      </c>
      <c r="G200" s="2"/>
      <c r="H200" s="2">
        <f ca="1">IFERROR(__xludf.DUMMYFUNCTION("""COMPUTED_VALUE"""),43300)</f>
        <v>43300</v>
      </c>
      <c r="I200" s="2"/>
      <c r="J200" s="2" t="str">
        <f ca="1">IFERROR(__xludf.DUMMYFUNCTION("""COMPUTED_VALUE"""),"5940 , 5941 , 5942 , 5959 , 5960 , 5961")</f>
        <v>5940 , 5941 , 5942 , 5959 , 5960 , 5961</v>
      </c>
      <c r="K200" s="2" t="str">
        <f ca="1">IFERROR(__xludf.DUMMYFUNCTION("""COMPUTED_VALUE"""),"Fermentando")</f>
        <v>Fermentando</v>
      </c>
      <c r="L200" s="2"/>
      <c r="M200" s="2"/>
    </row>
    <row r="201" spans="1:13" x14ac:dyDescent="0.25">
      <c r="A201" s="2" t="str">
        <f ca="1">IFERROR(__xludf.DUMMYFUNCTION("""COMPUTED_VALUE"""),"b5300557")</f>
        <v>b5300557</v>
      </c>
      <c r="B201" s="2"/>
      <c r="C201" s="3">
        <f ca="1">IFERROR(__xludf.DUMMYFUNCTION("""COMPUTED_VALUE"""),45727.3951157407)</f>
        <v>45727.395115740699</v>
      </c>
      <c r="D201" s="2">
        <f ca="1">IFERROR(__xludf.DUMMYFUNCTION("""COMPUTED_VALUE"""),35)</f>
        <v>35</v>
      </c>
      <c r="E201" s="2">
        <f ca="1">IFERROR(__xludf.DUMMYFUNCTION("""COMPUTED_VALUE"""),39300)</f>
        <v>39300</v>
      </c>
      <c r="F201" s="2" t="str">
        <f ca="1">IFERROR(__xludf.DUMMYFUNCTION("""COMPUTED_VALUE"""),"Aspirant")</f>
        <v>Aspirant</v>
      </c>
      <c r="G201" s="2">
        <f ca="1">IFERROR(__xludf.DUMMYFUNCTION("""COMPUTED_VALUE"""),0)</f>
        <v>0</v>
      </c>
      <c r="H201" s="2">
        <f ca="1">IFERROR(__xludf.DUMMYFUNCTION("""COMPUTED_VALUE"""),12900)</f>
        <v>12900</v>
      </c>
      <c r="I201" s="2"/>
      <c r="J201" s="2"/>
      <c r="K201" s="2" t="str">
        <f ca="1">IFERROR(__xludf.DUMMYFUNCTION("""COMPUTED_VALUE"""),"Descubada")</f>
        <v>Descubada</v>
      </c>
      <c r="L201" s="2"/>
      <c r="M201" s="2"/>
    </row>
    <row r="202" spans="1:13" x14ac:dyDescent="0.25">
      <c r="A202" s="2" t="str">
        <f ca="1">IFERROR(__xludf.DUMMYFUNCTION("""COMPUTED_VALUE"""),"e954d719")</f>
        <v>e954d719</v>
      </c>
      <c r="B202" s="2"/>
      <c r="C202" s="3">
        <f ca="1">IFERROR(__xludf.DUMMYFUNCTION("""COMPUTED_VALUE"""),45727.4024884259)</f>
        <v>45727.402488425898</v>
      </c>
      <c r="D202" s="2">
        <f ca="1">IFERROR(__xludf.DUMMYFUNCTION("""COMPUTED_VALUE"""),35)</f>
        <v>35</v>
      </c>
      <c r="E202" s="2">
        <f ca="1">IFERROR(__xludf.DUMMYFUNCTION("""COMPUTED_VALUE"""),39300)</f>
        <v>39300</v>
      </c>
      <c r="F202" s="2" t="str">
        <f ca="1">IFERROR(__xludf.DUMMYFUNCTION("""COMPUTED_VALUE"""),"Aspirant")</f>
        <v>Aspirant</v>
      </c>
      <c r="G202" s="2">
        <f ca="1">IFERROR(__xludf.DUMMYFUNCTION("""COMPUTED_VALUE"""),12900)</f>
        <v>12900</v>
      </c>
      <c r="H202" s="2">
        <f ca="1">IFERROR(__xludf.DUMMYFUNCTION("""COMPUTED_VALUE"""),39300)</f>
        <v>39300</v>
      </c>
      <c r="I202" s="2"/>
      <c r="J202" s="2"/>
      <c r="K202" s="2" t="str">
        <f ca="1">IFERROR(__xludf.DUMMYFUNCTION("""COMPUTED_VALUE"""),"1er Trasiego")</f>
        <v>1er Trasiego</v>
      </c>
      <c r="L202" s="2"/>
      <c r="M202" s="2"/>
    </row>
    <row r="203" spans="1:13" x14ac:dyDescent="0.25">
      <c r="A203" s="2" t="str">
        <f ca="1">IFERROR(__xludf.DUMMYFUNCTION("""COMPUTED_VALUE"""),"56f7ac6d")</f>
        <v>56f7ac6d</v>
      </c>
      <c r="B203" s="2"/>
      <c r="C203" s="3">
        <f ca="1">IFERROR(__xludf.DUMMYFUNCTION("""COMPUTED_VALUE"""),45727.4033564814)</f>
        <v>45727.403356481402</v>
      </c>
      <c r="D203" s="2">
        <f ca="1">IFERROR(__xludf.DUMMYFUNCTION("""COMPUTED_VALUE"""),42)</f>
        <v>42</v>
      </c>
      <c r="E203" s="2">
        <f ca="1">IFERROR(__xludf.DUMMYFUNCTION("""COMPUTED_VALUE"""),35900)</f>
        <v>35900</v>
      </c>
      <c r="F203" s="2" t="str">
        <f ca="1">IFERROR(__xludf.DUMMYFUNCTION("""COMPUTED_VALUE"""),"Aspirat")</f>
        <v>Aspirat</v>
      </c>
      <c r="G203" s="2">
        <f ca="1">IFERROR(__xludf.DUMMYFUNCTION("""COMPUTED_VALUE"""),0)</f>
        <v>0</v>
      </c>
      <c r="H203" s="2">
        <f ca="1">IFERROR(__xludf.DUMMYFUNCTION("""COMPUTED_VALUE"""),3600)</f>
        <v>3600</v>
      </c>
      <c r="I203" s="2"/>
      <c r="J203" s="2"/>
      <c r="K203" s="2" t="str">
        <f ca="1">IFERROR(__xludf.DUMMYFUNCTION("""COMPUTED_VALUE"""),"1er Trasiego")</f>
        <v>1er Trasiego</v>
      </c>
      <c r="L203" s="2"/>
      <c r="M203" s="2"/>
    </row>
    <row r="204" spans="1:13" x14ac:dyDescent="0.25">
      <c r="A204" s="2" t="str">
        <f ca="1">IFERROR(__xludf.DUMMYFUNCTION("""COMPUTED_VALUE"""),"df4789cf")</f>
        <v>df4789cf</v>
      </c>
      <c r="B204" s="2"/>
      <c r="C204" s="3">
        <f ca="1">IFERROR(__xludf.DUMMYFUNCTION("""COMPUTED_VALUE"""),45727.4039004629)</f>
        <v>45727.403900462901</v>
      </c>
      <c r="D204" s="2">
        <f ca="1">IFERROR(__xludf.DUMMYFUNCTION("""COMPUTED_VALUE"""),42)</f>
        <v>42</v>
      </c>
      <c r="E204" s="2">
        <f ca="1">IFERROR(__xludf.DUMMYFUNCTION("""COMPUTED_VALUE"""),35900)</f>
        <v>35900</v>
      </c>
      <c r="F204" s="2" t="str">
        <f ca="1">IFERROR(__xludf.DUMMYFUNCTION("""COMPUTED_VALUE"""),"Aspirant Anccelota Gota")</f>
        <v>Aspirant Anccelota Gota</v>
      </c>
      <c r="G204" s="2">
        <f ca="1">IFERROR(__xludf.DUMMYFUNCTION("""COMPUTED_VALUE"""),3600)</f>
        <v>3600</v>
      </c>
      <c r="H204" s="2">
        <f ca="1">IFERROR(__xludf.DUMMYFUNCTION("""COMPUTED_VALUE"""),33600)</f>
        <v>33600</v>
      </c>
      <c r="I204" s="2"/>
      <c r="J204" s="2"/>
      <c r="K204" s="2" t="str">
        <f ca="1">IFERROR(__xludf.DUMMYFUNCTION("""COMPUTED_VALUE"""),"1er Trasiego")</f>
        <v>1er Trasiego</v>
      </c>
      <c r="L204" s="2"/>
      <c r="M204" s="2"/>
    </row>
    <row r="205" spans="1:13" x14ac:dyDescent="0.25">
      <c r="A205" s="2" t="str">
        <f ca="1">IFERROR(__xludf.DUMMYFUNCTION("""COMPUTED_VALUE"""),"c210f1aa")</f>
        <v>c210f1aa</v>
      </c>
      <c r="B205" s="2"/>
      <c r="C205" s="3">
        <f ca="1">IFERROR(__xludf.DUMMYFUNCTION("""COMPUTED_VALUE"""),45727.7107060185)</f>
        <v>45727.710706018501</v>
      </c>
      <c r="D205" s="2">
        <f ca="1">IFERROR(__xludf.DUMMYFUNCTION("""COMPUTED_VALUE"""),80)</f>
        <v>80</v>
      </c>
      <c r="E205" s="2">
        <f ca="1">IFERROR(__xludf.DUMMYFUNCTION("""COMPUTED_VALUE"""),26100)</f>
        <v>26100</v>
      </c>
      <c r="F205" s="2" t="str">
        <f ca="1">IFERROR(__xludf.DUMMYFUNCTION("""COMPUTED_VALUE"""),"Chenin")</f>
        <v>Chenin</v>
      </c>
      <c r="G205" s="2">
        <f ca="1">IFERROR(__xludf.DUMMYFUNCTION("""COMPUTED_VALUE"""),13000)</f>
        <v>13000</v>
      </c>
      <c r="H205" s="2">
        <f ca="1">IFERROR(__xludf.DUMMYFUNCTION("""COMPUTED_VALUE"""),21300)</f>
        <v>21300</v>
      </c>
      <c r="I205" s="2" t="str">
        <f ca="1">IFERROR(__xludf.DUMMYFUNCTION("""COMPUTED_VALUE"""),"20/2
Mejoro")</f>
        <v>20/2
Mejoro</v>
      </c>
      <c r="J205" s="2" t="str">
        <f ca="1">IFERROR(__xludf.DUMMYFUNCTION("""COMPUTED_VALUE"""),"5930 , 5935 , 5928")</f>
        <v>5930 , 5935 , 5928</v>
      </c>
      <c r="K205" s="2" t="str">
        <f ca="1">IFERROR(__xludf.DUMMYFUNCTION("""COMPUTED_VALUE"""),"Fermentando")</f>
        <v>Fermentando</v>
      </c>
      <c r="L205" s="2"/>
      <c r="M205" s="2"/>
    </row>
    <row r="206" spans="1:13" x14ac:dyDescent="0.25">
      <c r="A206" s="2" t="str">
        <f ca="1">IFERROR(__xludf.DUMMYFUNCTION("""COMPUTED_VALUE"""),"397cd7e0")</f>
        <v>397cd7e0</v>
      </c>
      <c r="B206" s="2"/>
      <c r="C206" s="3">
        <f ca="1">IFERROR(__xludf.DUMMYFUNCTION("""COMPUTED_VALUE"""),45727.7798148148)</f>
        <v>45727.779814814799</v>
      </c>
      <c r="D206" s="2">
        <f ca="1">IFERROR(__xludf.DUMMYFUNCTION("""COMPUTED_VALUE"""),500)</f>
        <v>500</v>
      </c>
      <c r="E206" s="2">
        <f ca="1">IFERROR(__xludf.DUMMYFUNCTION("""COMPUTED_VALUE"""),200000)</f>
        <v>200000</v>
      </c>
      <c r="F206" s="2" t="str">
        <f ca="1">IFERROR(__xludf.DUMMYFUNCTION("""COMPUTED_VALUE"""),"Ajuste")</f>
        <v>Ajuste</v>
      </c>
      <c r="G206" s="2">
        <f ca="1">IFERROR(__xludf.DUMMYFUNCTION("""COMPUTED_VALUE"""),-23899)</f>
        <v>-23899</v>
      </c>
      <c r="H206" s="2">
        <f ca="1">IFERROR(__xludf.DUMMYFUNCTION("""COMPUTED_VALUE"""),-7299)</f>
        <v>-7299</v>
      </c>
      <c r="I206" s="2"/>
      <c r="J206" s="2"/>
      <c r="K206" s="2"/>
      <c r="L206" s="2"/>
      <c r="M206" s="2"/>
    </row>
    <row r="207" spans="1:13" x14ac:dyDescent="0.25">
      <c r="A207" s="2" t="str">
        <f ca="1">IFERROR(__xludf.DUMMYFUNCTION("""COMPUTED_VALUE"""),"7c1a7cd6")</f>
        <v>7c1a7cd6</v>
      </c>
      <c r="B207" s="2"/>
      <c r="C207" s="3">
        <f ca="1">IFERROR(__xludf.DUMMYFUNCTION("""COMPUTED_VALUE"""),45727.8614004629)</f>
        <v>45727.861400462898</v>
      </c>
      <c r="D207" s="2">
        <f ca="1">IFERROR(__xludf.DUMMYFUNCTION("""COMPUTED_VALUE"""),70)</f>
        <v>70</v>
      </c>
      <c r="E207" s="2">
        <f ca="1">IFERROR(__xludf.DUMMYFUNCTION("""COMPUTED_VALUE"""),13000)</f>
        <v>13000</v>
      </c>
      <c r="F207" s="2" t="str">
        <f ca="1">IFERROR(__xludf.DUMMYFUNCTION("""COMPUTED_VALUE"""),"Tanat")</f>
        <v>Tanat</v>
      </c>
      <c r="G207" s="2"/>
      <c r="H207" s="2">
        <f ca="1">IFERROR(__xludf.DUMMYFUNCTION("""COMPUTED_VALUE"""),7000)</f>
        <v>7000</v>
      </c>
      <c r="I207" s="2"/>
      <c r="J207" s="2">
        <f ca="1">IFERROR(__xludf.DUMMYFUNCTION("""COMPUTED_VALUE"""),5948)</f>
        <v>5948</v>
      </c>
      <c r="K207" s="2" t="str">
        <f ca="1">IFERROR(__xludf.DUMMYFUNCTION("""COMPUTED_VALUE"""),"Fermentando")</f>
        <v>Fermentando</v>
      </c>
      <c r="L207" s="2"/>
      <c r="M207" s="2"/>
    </row>
    <row r="208" spans="1:13" x14ac:dyDescent="0.25">
      <c r="A208" s="2" t="str">
        <f ca="1">IFERROR(__xludf.DUMMYFUNCTION("""COMPUTED_VALUE"""),"e37067e3")</f>
        <v>e37067e3</v>
      </c>
      <c r="B208" s="2"/>
      <c r="C208" s="3">
        <f ca="1">IFERROR(__xludf.DUMMYFUNCTION("""COMPUTED_VALUE"""),45727.8629861111)</f>
        <v>45727.862986111097</v>
      </c>
      <c r="D208" s="2">
        <f ca="1">IFERROR(__xludf.DUMMYFUNCTION("""COMPUTED_VALUE"""),500)</f>
        <v>500</v>
      </c>
      <c r="E208" s="2">
        <f ca="1">IFERROR(__xludf.DUMMYFUNCTION("""COMPUTED_VALUE"""),200000)</f>
        <v>200000</v>
      </c>
      <c r="F208" s="2" t="str">
        <f ca="1">IFERROR(__xludf.DUMMYFUNCTION("""COMPUTED_VALUE"""),"Chardonnay")</f>
        <v>Chardonnay</v>
      </c>
      <c r="G208" s="2">
        <f ca="1">IFERROR(__xludf.DUMMYFUNCTION("""COMPUTED_VALUE"""),-7299)</f>
        <v>-7299</v>
      </c>
      <c r="H208" s="2">
        <f ca="1">IFERROR(__xludf.DUMMYFUNCTION("""COMPUTED_VALUE"""),-4499)</f>
        <v>-4499</v>
      </c>
      <c r="I208" s="2"/>
      <c r="J208" s="2"/>
      <c r="K208" s="2" t="str">
        <f ca="1">IFERROR(__xludf.DUMMYFUNCTION("""COMPUTED_VALUE"""),"Fermentando")</f>
        <v>Fermentando</v>
      </c>
      <c r="L208" s="2"/>
      <c r="M208" s="2"/>
    </row>
    <row r="209" spans="1:13" x14ac:dyDescent="0.25">
      <c r="A209" s="2" t="str">
        <f ca="1">IFERROR(__xludf.DUMMYFUNCTION("""COMPUTED_VALUE"""),"f7f01b85")</f>
        <v>f7f01b85</v>
      </c>
      <c r="B209" s="2"/>
      <c r="C209" s="3">
        <f ca="1">IFERROR(__xludf.DUMMYFUNCTION("""COMPUTED_VALUE"""),45727.8631828703)</f>
        <v>45727.8631828703</v>
      </c>
      <c r="D209" s="2">
        <f ca="1">IFERROR(__xludf.DUMMYFUNCTION("""COMPUTED_VALUE"""),81)</f>
        <v>81</v>
      </c>
      <c r="E209" s="2">
        <f ca="1">IFERROR(__xludf.DUMMYFUNCTION("""COMPUTED_VALUE"""),26500)</f>
        <v>26500</v>
      </c>
      <c r="F209" s="2" t="str">
        <f ca="1">IFERROR(__xludf.DUMMYFUNCTION("""COMPUTED_VALUE"""),"Torrontes")</f>
        <v>Torrontes</v>
      </c>
      <c r="G209" s="2"/>
      <c r="H209" s="2">
        <f ca="1">IFERROR(__xludf.DUMMYFUNCTION("""COMPUTED_VALUE"""),18400)</f>
        <v>18400</v>
      </c>
      <c r="I209" s="2"/>
      <c r="J209" s="2" t="str">
        <f ca="1">IFERROR(__xludf.DUMMYFUNCTION("""COMPUTED_VALUE"""),"5950 , 5945")</f>
        <v>5950 , 5945</v>
      </c>
      <c r="K209" s="2" t="str">
        <f ca="1">IFERROR(__xludf.DUMMYFUNCTION("""COMPUTED_VALUE"""),"Fermentando")</f>
        <v>Fermentando</v>
      </c>
      <c r="L209" s="2"/>
      <c r="M209" s="2"/>
    </row>
    <row r="210" spans="1:13" x14ac:dyDescent="0.25">
      <c r="A210" s="2" t="str">
        <f ca="1">IFERROR(__xludf.DUMMYFUNCTION("""COMPUTED_VALUE"""),"519804dd")</f>
        <v>519804dd</v>
      </c>
      <c r="B210" s="2"/>
      <c r="C210" s="3">
        <f ca="1">IFERROR(__xludf.DUMMYFUNCTION("""COMPUTED_VALUE"""),45727.8651851851)</f>
        <v>45727.865185185103</v>
      </c>
      <c r="D210" s="2">
        <f ca="1">IFERROR(__xludf.DUMMYFUNCTION("""COMPUTED_VALUE"""),91)</f>
        <v>91</v>
      </c>
      <c r="E210" s="2">
        <f ca="1">IFERROR(__xludf.DUMMYFUNCTION("""COMPUTED_VALUE"""),86000)</f>
        <v>86000</v>
      </c>
      <c r="F210" s="2" t="str">
        <f ca="1">IFERROR(__xludf.DUMMYFUNCTION("""COMPUTED_VALUE"""),"Bonarda C2")</f>
        <v>Bonarda C2</v>
      </c>
      <c r="G210" s="2"/>
      <c r="H210" s="2">
        <f ca="1">IFERROR(__xludf.DUMMYFUNCTION("""COMPUTED_VALUE"""),39200)</f>
        <v>39200</v>
      </c>
      <c r="I210" s="2"/>
      <c r="J210" s="2" t="str">
        <f ca="1">IFERROR(__xludf.DUMMYFUNCTION("""COMPUTED_VALUE"""),"5951 , 5952 , 5954 , 5956 , 5957")</f>
        <v>5951 , 5952 , 5954 , 5956 , 5957</v>
      </c>
      <c r="K210" s="2" t="str">
        <f ca="1">IFERROR(__xludf.DUMMYFUNCTION("""COMPUTED_VALUE"""),"Fermentando")</f>
        <v>Fermentando</v>
      </c>
      <c r="L210" s="2"/>
      <c r="M210" s="2"/>
    </row>
    <row r="211" spans="1:13" x14ac:dyDescent="0.25">
      <c r="A211" s="2" t="str">
        <f ca="1">IFERROR(__xludf.DUMMYFUNCTION("""COMPUTED_VALUE"""),"fdf22389")</f>
        <v>fdf22389</v>
      </c>
      <c r="B211" s="2"/>
      <c r="C211" s="3">
        <f ca="1">IFERROR(__xludf.DUMMYFUNCTION("""COMPUTED_VALUE"""),45728.5283796295)</f>
        <v>45728.528379629599</v>
      </c>
      <c r="D211" s="2">
        <f ca="1">IFERROR(__xludf.DUMMYFUNCTION("""COMPUTED_VALUE"""),42)</f>
        <v>42</v>
      </c>
      <c r="E211" s="2">
        <f ca="1">IFERROR(__xludf.DUMMYFUNCTION("""COMPUTED_VALUE"""),35900)</f>
        <v>35900</v>
      </c>
      <c r="F211" s="2" t="str">
        <f ca="1">IFERROR(__xludf.DUMMYFUNCTION("""COMPUTED_VALUE"""),"Aspirant Anccelota Gota")</f>
        <v>Aspirant Anccelota Gota</v>
      </c>
      <c r="G211" s="2">
        <f ca="1">IFERROR(__xludf.DUMMYFUNCTION("""COMPUTED_VALUE"""),17000)</f>
        <v>17000</v>
      </c>
      <c r="H211" s="2">
        <f ca="1">IFERROR(__xludf.DUMMYFUNCTION("""COMPUTED_VALUE"""),32900)</f>
        <v>32900</v>
      </c>
      <c r="I211" s="2"/>
      <c r="J211" s="2"/>
      <c r="K211" s="2" t="str">
        <f ca="1">IFERROR(__xludf.DUMMYFUNCTION("""COMPUTED_VALUE"""),"1er Trasiego")</f>
        <v>1er Trasiego</v>
      </c>
      <c r="L211" s="2"/>
      <c r="M211" s="2"/>
    </row>
    <row r="212" spans="1:13" x14ac:dyDescent="0.25">
      <c r="A212" s="2" t="str">
        <f ca="1">IFERROR(__xludf.DUMMYFUNCTION("""COMPUTED_VALUE"""),"844a05ee")</f>
        <v>844a05ee</v>
      </c>
      <c r="B212" s="2"/>
      <c r="C212" s="3">
        <f ca="1">IFERROR(__xludf.DUMMYFUNCTION("""COMPUTED_VALUE"""),45728.5423148148)</f>
        <v>45728.542314814797</v>
      </c>
      <c r="D212" s="2">
        <f ca="1">IFERROR(__xludf.DUMMYFUNCTION("""COMPUTED_VALUE"""),65)</f>
        <v>65</v>
      </c>
      <c r="E212" s="2">
        <f ca="1">IFERROR(__xludf.DUMMYFUNCTION("""COMPUTED_VALUE"""),35500)</f>
        <v>35500</v>
      </c>
      <c r="F212" s="2" t="str">
        <f ca="1">IFERROR(__xludf.DUMMYFUNCTION("""COMPUTED_VALUE"""),"Syrah s/Anc")</f>
        <v>Syrah s/Anc</v>
      </c>
      <c r="G212" s="2">
        <f ca="1">IFERROR(__xludf.DUMMYFUNCTION("""COMPUTED_VALUE"""),4100)</f>
        <v>4100</v>
      </c>
      <c r="H212" s="2">
        <f ca="1">IFERROR(__xludf.DUMMYFUNCTION("""COMPUTED_VALUE"""),24100)</f>
        <v>24100</v>
      </c>
      <c r="I212" s="2"/>
      <c r="J212" s="2"/>
      <c r="K212" s="2" t="str">
        <f ca="1">IFERROR(__xludf.DUMMYFUNCTION("""COMPUTED_VALUE"""),"Recarga Fermentando")</f>
        <v>Recarga Fermentando</v>
      </c>
      <c r="L212" s="2"/>
      <c r="M212" s="2"/>
    </row>
    <row r="213" spans="1:13" x14ac:dyDescent="0.25">
      <c r="A213" s="2" t="str">
        <f ca="1">IFERROR(__xludf.DUMMYFUNCTION("""COMPUTED_VALUE"""),"87ba9e1b")</f>
        <v>87ba9e1b</v>
      </c>
      <c r="B213" s="2"/>
      <c r="C213" s="3">
        <f ca="1">IFERROR(__xludf.DUMMYFUNCTION("""COMPUTED_VALUE"""),45728.7573842592)</f>
        <v>45728.757384259203</v>
      </c>
      <c r="D213" s="2">
        <f ca="1">IFERROR(__xludf.DUMMYFUNCTION("""COMPUTED_VALUE"""),66)</f>
        <v>66</v>
      </c>
      <c r="E213" s="2">
        <f ca="1">IFERROR(__xludf.DUMMYFUNCTION("""COMPUTED_VALUE"""),23000)</f>
        <v>23000</v>
      </c>
      <c r="F213" s="2" t="str">
        <f ca="1">IFERROR(__xludf.DUMMYFUNCTION("""COMPUTED_VALUE"""),"Anccelotta")</f>
        <v>Anccelotta</v>
      </c>
      <c r="G213" s="2">
        <f ca="1">IFERROR(__xludf.DUMMYFUNCTION("""COMPUTED_VALUE"""),17000)</f>
        <v>17000</v>
      </c>
      <c r="H213" s="2">
        <f ca="1">IFERROR(__xludf.DUMMYFUNCTION("""COMPUTED_VALUE"""),19000)</f>
        <v>19000</v>
      </c>
      <c r="I213" s="2"/>
      <c r="J213" s="2"/>
      <c r="K213" s="2" t="str">
        <f ca="1">IFERROR(__xludf.DUMMYFUNCTION("""COMPUTED_VALUE"""),"Fermentando")</f>
        <v>Fermentando</v>
      </c>
      <c r="L213" s="2"/>
      <c r="M213" s="2"/>
    </row>
    <row r="214" spans="1:13" x14ac:dyDescent="0.25">
      <c r="A214" s="2" t="str">
        <f ca="1">IFERROR(__xludf.DUMMYFUNCTION("""COMPUTED_VALUE"""),"e2c3632b")</f>
        <v>e2c3632b</v>
      </c>
      <c r="B214" s="2"/>
      <c r="C214" s="3">
        <f ca="1">IFERROR(__xludf.DUMMYFUNCTION("""COMPUTED_VALUE"""),45728.757662037)</f>
        <v>45728.757662037002</v>
      </c>
      <c r="D214" s="2">
        <f ca="1">IFERROR(__xludf.DUMMYFUNCTION("""COMPUTED_VALUE"""),82)</f>
        <v>82</v>
      </c>
      <c r="E214" s="2">
        <f ca="1">IFERROR(__xludf.DUMMYFUNCTION("""COMPUTED_VALUE"""),42600)</f>
        <v>42600</v>
      </c>
      <c r="F214" s="2" t="str">
        <f ca="1">IFERROR(__xludf.DUMMYFUNCTION("""COMPUTED_VALUE"""),"Anccelotta")</f>
        <v>Anccelotta</v>
      </c>
      <c r="G214" s="2">
        <f ca="1">IFERROR(__xludf.DUMMYFUNCTION("""COMPUTED_VALUE"""),17000)</f>
        <v>17000</v>
      </c>
      <c r="H214" s="2">
        <f ca="1">IFERROR(__xludf.DUMMYFUNCTION("""COMPUTED_VALUE"""),19000)</f>
        <v>19000</v>
      </c>
      <c r="I214" s="2"/>
      <c r="J214" s="2"/>
      <c r="K214" s="2" t="str">
        <f ca="1">IFERROR(__xludf.DUMMYFUNCTION("""COMPUTED_VALUE"""),"Fermentando")</f>
        <v>Fermentando</v>
      </c>
      <c r="L214" s="2"/>
      <c r="M214" s="2"/>
    </row>
    <row r="215" spans="1:13" x14ac:dyDescent="0.25">
      <c r="A215" s="2" t="str">
        <f ca="1">IFERROR(__xludf.DUMMYFUNCTION("""COMPUTED_VALUE"""),"22dd4d8c")</f>
        <v>22dd4d8c</v>
      </c>
      <c r="B215" s="2"/>
      <c r="C215" s="3">
        <f ca="1">IFERROR(__xludf.DUMMYFUNCTION("""COMPUTED_VALUE"""),45728.7579629629)</f>
        <v>45728.757962962904</v>
      </c>
      <c r="D215" s="2">
        <f ca="1">IFERROR(__xludf.DUMMYFUNCTION("""COMPUTED_VALUE"""),84)</f>
        <v>84</v>
      </c>
      <c r="E215" s="2">
        <f ca="1">IFERROR(__xludf.DUMMYFUNCTION("""COMPUTED_VALUE"""),83000)</f>
        <v>83000</v>
      </c>
      <c r="F215" s="2" t="str">
        <f ca="1">IFERROR(__xludf.DUMMYFUNCTION("""COMPUTED_VALUE"""),"Syrah")</f>
        <v>Syrah</v>
      </c>
      <c r="G215" s="2">
        <f ca="1">IFERROR(__xludf.DUMMYFUNCTION("""COMPUTED_VALUE"""),49600)</f>
        <v>49600</v>
      </c>
      <c r="H215" s="2">
        <f ca="1">IFERROR(__xludf.DUMMYFUNCTION("""COMPUTED_VALUE"""),52000)</f>
        <v>52000</v>
      </c>
      <c r="I215" s="2"/>
      <c r="J215" s="2"/>
      <c r="K215" s="2" t="str">
        <f ca="1">IFERROR(__xludf.DUMMYFUNCTION("""COMPUTED_VALUE"""),"Fermentando")</f>
        <v>Fermentando</v>
      </c>
      <c r="L215" s="2"/>
      <c r="M215" s="2"/>
    </row>
    <row r="216" spans="1:13" x14ac:dyDescent="0.25">
      <c r="A216" s="2" t="str">
        <f ca="1">IFERROR(__xludf.DUMMYFUNCTION("""COMPUTED_VALUE"""),"4197a6b3")</f>
        <v>4197a6b3</v>
      </c>
      <c r="B216" s="2"/>
      <c r="C216" s="3">
        <f ca="1">IFERROR(__xludf.DUMMYFUNCTION("""COMPUTED_VALUE"""),45728.8679629629)</f>
        <v>45728.867962962897</v>
      </c>
      <c r="D216" s="2">
        <f ca="1">IFERROR(__xludf.DUMMYFUNCTION("""COMPUTED_VALUE"""),102)</f>
        <v>102</v>
      </c>
      <c r="E216" s="2">
        <f ca="1">IFERROR(__xludf.DUMMYFUNCTION("""COMPUTED_VALUE"""),31000)</f>
        <v>31000</v>
      </c>
      <c r="F216" s="2" t="str">
        <f ca="1">IFERROR(__xludf.DUMMYFUNCTION("""COMPUTED_VALUE"""),"Tinto La Vendimia")</f>
        <v>Tinto La Vendimia</v>
      </c>
      <c r="G216" s="2">
        <f ca="1">IFERROR(__xludf.DUMMYFUNCTION("""COMPUTED_VALUE"""),0)</f>
        <v>0</v>
      </c>
      <c r="H216" s="2">
        <f ca="1">IFERROR(__xludf.DUMMYFUNCTION("""COMPUTED_VALUE"""),30000)</f>
        <v>30000</v>
      </c>
      <c r="I216" s="2"/>
      <c r="J216" s="2"/>
      <c r="K216" s="2" t="str">
        <f ca="1">IFERROR(__xludf.DUMMYFUNCTION("""COMPUTED_VALUE"""),"Terminado")</f>
        <v>Terminado</v>
      </c>
      <c r="L216" s="2"/>
      <c r="M216" s="2"/>
    </row>
    <row r="217" spans="1:13" x14ac:dyDescent="0.25">
      <c r="A217" s="2" t="str">
        <f ca="1">IFERROR(__xludf.DUMMYFUNCTION("""COMPUTED_VALUE"""),"5433281e")</f>
        <v>5433281e</v>
      </c>
      <c r="B217" s="2"/>
      <c r="C217" s="3">
        <f ca="1">IFERROR(__xludf.DUMMYFUNCTION("""COMPUTED_VALUE"""),45729.8071064813)</f>
        <v>45729.807106481399</v>
      </c>
      <c r="D217" s="2">
        <f ca="1">IFERROR(__xludf.DUMMYFUNCTION("""COMPUTED_VALUE"""),53)</f>
        <v>53</v>
      </c>
      <c r="E217" s="2">
        <f ca="1">IFERROR(__xludf.DUMMYFUNCTION("""COMPUTED_VALUE"""),22000)</f>
        <v>22000</v>
      </c>
      <c r="F217" s="2" t="str">
        <f ca="1">IFERROR(__xludf.DUMMYFUNCTION("""COMPUTED_VALUE"""),"Syrah")</f>
        <v>Syrah</v>
      </c>
      <c r="G217" s="2">
        <f ca="1">IFERROR(__xludf.DUMMYFUNCTION("""COMPUTED_VALUE"""),4000)</f>
        <v>4000</v>
      </c>
      <c r="H217" s="2">
        <f ca="1">IFERROR(__xludf.DUMMYFUNCTION("""COMPUTED_VALUE"""),22000)</f>
        <v>22000</v>
      </c>
      <c r="I217" s="2"/>
      <c r="J217" s="2"/>
      <c r="K217" s="2" t="str">
        <f ca="1">IFERROR(__xludf.DUMMYFUNCTION("""COMPUTED_VALUE"""),"Descubada")</f>
        <v>Descubada</v>
      </c>
      <c r="L217" s="2"/>
      <c r="M217" s="2"/>
    </row>
    <row r="218" spans="1:13" x14ac:dyDescent="0.25">
      <c r="A218" s="2" t="str">
        <f ca="1">IFERROR(__xludf.DUMMYFUNCTION("""COMPUTED_VALUE"""),"fa937d00")</f>
        <v>fa937d00</v>
      </c>
      <c r="B218" s="2"/>
      <c r="C218" s="3">
        <f ca="1">IFERROR(__xludf.DUMMYFUNCTION("""COMPUTED_VALUE"""),45729.8080092592)</f>
        <v>45729.808009259199</v>
      </c>
      <c r="D218" s="2">
        <f ca="1">IFERROR(__xludf.DUMMYFUNCTION("""COMPUTED_VALUE"""),52)</f>
        <v>52</v>
      </c>
      <c r="E218" s="2">
        <f ca="1">IFERROR(__xludf.DUMMYFUNCTION("""COMPUTED_VALUE"""),27000)</f>
        <v>27000</v>
      </c>
      <c r="F218" s="2" t="str">
        <f ca="1">IFERROR(__xludf.DUMMYFUNCTION("""COMPUTED_VALUE"""),"Syrah")</f>
        <v>Syrah</v>
      </c>
      <c r="G218" s="2">
        <f ca="1">IFERROR(__xludf.DUMMYFUNCTION("""COMPUTED_VALUE"""),0)</f>
        <v>0</v>
      </c>
      <c r="H218" s="2">
        <f ca="1">IFERROR(__xludf.DUMMYFUNCTION("""COMPUTED_VALUE"""),15000)</f>
        <v>15000</v>
      </c>
      <c r="I218" s="2"/>
      <c r="J218" s="2"/>
      <c r="K218" s="2" t="str">
        <f ca="1">IFERROR(__xludf.DUMMYFUNCTION("""COMPUTED_VALUE"""),"Descubada")</f>
        <v>Descubada</v>
      </c>
      <c r="L218" s="2"/>
      <c r="M218" s="2"/>
    </row>
    <row r="219" spans="1:13" x14ac:dyDescent="0.25">
      <c r="A219" s="2" t="str">
        <f ca="1">IFERROR(__xludf.DUMMYFUNCTION("""COMPUTED_VALUE"""),"aecdf448")</f>
        <v>aecdf448</v>
      </c>
      <c r="B219" s="2"/>
      <c r="C219" s="3">
        <f ca="1">IFERROR(__xludf.DUMMYFUNCTION("""COMPUTED_VALUE"""),45729.8110185185)</f>
        <v>45729.8110185185</v>
      </c>
      <c r="D219" s="2">
        <f ca="1">IFERROR(__xludf.DUMMYFUNCTION("""COMPUTED_VALUE"""),78)</f>
        <v>78</v>
      </c>
      <c r="E219" s="2">
        <f ca="1">IFERROR(__xludf.DUMMYFUNCTION("""COMPUTED_VALUE"""),25800)</f>
        <v>25800</v>
      </c>
      <c r="F219" s="2" t="str">
        <f ca="1">IFERROR(__xludf.DUMMYFUNCTION("""COMPUTED_VALUE"""),"Tanat")</f>
        <v>Tanat</v>
      </c>
      <c r="G219" s="2">
        <f ca="1">IFERROR(__xludf.DUMMYFUNCTION("""COMPUTED_VALUE"""),10000)</f>
        <v>10000</v>
      </c>
      <c r="H219" s="2">
        <f ca="1">IFERROR(__xludf.DUMMYFUNCTION("""COMPUTED_VALUE"""),11350)</f>
        <v>11350</v>
      </c>
      <c r="I219" s="2"/>
      <c r="J219" s="2"/>
      <c r="K219" s="2" t="str">
        <f ca="1">IFERROR(__xludf.DUMMYFUNCTION("""COMPUTED_VALUE"""),"Fermentando")</f>
        <v>Fermentando</v>
      </c>
      <c r="L219" s="2"/>
      <c r="M219" s="2"/>
    </row>
    <row r="220" spans="1:13" x14ac:dyDescent="0.25">
      <c r="A220" s="2" t="str">
        <f ca="1">IFERROR(__xludf.DUMMYFUNCTION("""COMPUTED_VALUE"""),"1c0f3ac6")</f>
        <v>1c0f3ac6</v>
      </c>
      <c r="B220" s="2"/>
      <c r="C220" s="3">
        <f ca="1">IFERROR(__xludf.DUMMYFUNCTION("""COMPUTED_VALUE"""),45729.8116550925)</f>
        <v>45729.811655092497</v>
      </c>
      <c r="D220" s="2">
        <f ca="1">IFERROR(__xludf.DUMMYFUNCTION("""COMPUTED_VALUE"""),85)</f>
        <v>85</v>
      </c>
      <c r="E220" s="2">
        <f ca="1">IFERROR(__xludf.DUMMYFUNCTION("""COMPUTED_VALUE"""),84000)</f>
        <v>84000</v>
      </c>
      <c r="F220" s="2" t="str">
        <f ca="1">IFERROR(__xludf.DUMMYFUNCTION("""COMPUTED_VALUE"""),"Bonarda C2")</f>
        <v>Bonarda C2</v>
      </c>
      <c r="G220" s="2">
        <f ca="1">IFERROR(__xludf.DUMMYFUNCTION("""COMPUTED_VALUE"""),48900)</f>
        <v>48900</v>
      </c>
      <c r="H220" s="2">
        <f ca="1">IFERROR(__xludf.DUMMYFUNCTION("""COMPUTED_VALUE"""),54100)</f>
        <v>54100</v>
      </c>
      <c r="I220" s="2" t="str">
        <f ca="1">IFERROR(__xludf.DUMMYFUNCTION("""COMPUTED_VALUE"""),"20/3
Hacer azúcar. Ver de desvinar")</f>
        <v>20/3
Hacer azúcar. Ver de desvinar</v>
      </c>
      <c r="J220" s="2"/>
      <c r="K220" s="2" t="str">
        <f ca="1">IFERROR(__xludf.DUMMYFUNCTION("""COMPUTED_VALUE"""),"Fermentando")</f>
        <v>Fermentando</v>
      </c>
      <c r="L220" s="2"/>
      <c r="M220" s="2"/>
    </row>
    <row r="221" spans="1:13" x14ac:dyDescent="0.25">
      <c r="A221" s="2" t="str">
        <f ca="1">IFERROR(__xludf.DUMMYFUNCTION("""COMPUTED_VALUE"""),"91a1bef0")</f>
        <v>91a1bef0</v>
      </c>
      <c r="B221" s="2"/>
      <c r="C221" s="3">
        <f ca="1">IFERROR(__xludf.DUMMYFUNCTION("""COMPUTED_VALUE"""),45729.8517129629)</f>
        <v>45729.851712962904</v>
      </c>
      <c r="D221" s="2">
        <f ca="1">IFERROR(__xludf.DUMMYFUNCTION("""COMPUTED_VALUE"""),79)</f>
        <v>79</v>
      </c>
      <c r="E221" s="2">
        <f ca="1">IFERROR(__xludf.DUMMYFUNCTION("""COMPUTED_VALUE"""),26000)</f>
        <v>26000</v>
      </c>
      <c r="F221" s="2" t="str">
        <f ca="1">IFERROR(__xludf.DUMMYFUNCTION("""COMPUTED_VALUE"""),"Torrontes")</f>
        <v>Torrontes</v>
      </c>
      <c r="G221" s="2"/>
      <c r="H221" s="2">
        <f ca="1">IFERROR(__xludf.DUMMYFUNCTION("""COMPUTED_VALUE"""),14500)</f>
        <v>14500</v>
      </c>
      <c r="I221" s="2"/>
      <c r="J221" s="2" t="str">
        <f ca="1">IFERROR(__xludf.DUMMYFUNCTION("""COMPUTED_VALUE"""),"5953 , 5955")</f>
        <v>5953 , 5955</v>
      </c>
      <c r="K221" s="2" t="str">
        <f ca="1">IFERROR(__xludf.DUMMYFUNCTION("""COMPUTED_VALUE"""),"Fermentando")</f>
        <v>Fermentando</v>
      </c>
      <c r="L221" s="2"/>
      <c r="M221" s="2"/>
    </row>
    <row r="222" spans="1:13" x14ac:dyDescent="0.25">
      <c r="A222" s="2" t="str">
        <f ca="1">IFERROR(__xludf.DUMMYFUNCTION("""COMPUTED_VALUE"""),"31a16d29")</f>
        <v>31a16d29</v>
      </c>
      <c r="B222" s="2"/>
      <c r="C222" s="3">
        <f ca="1">IFERROR(__xludf.DUMMYFUNCTION("""COMPUTED_VALUE"""),45729.8534722222)</f>
        <v>45729.853472222203</v>
      </c>
      <c r="D222" s="2">
        <f ca="1">IFERROR(__xludf.DUMMYFUNCTION("""COMPUTED_VALUE"""),76)</f>
        <v>76</v>
      </c>
      <c r="E222" s="2">
        <f ca="1">IFERROR(__xludf.DUMMYFUNCTION("""COMPUTED_VALUE"""),25500)</f>
        <v>25500</v>
      </c>
      <c r="F222" s="2" t="str">
        <f ca="1">IFERROR(__xludf.DUMMYFUNCTION("""COMPUTED_VALUE"""),"Bonarda C2")</f>
        <v>Bonarda C2</v>
      </c>
      <c r="G222" s="2"/>
      <c r="H222" s="2">
        <f ca="1">IFERROR(__xludf.DUMMYFUNCTION("""COMPUTED_VALUE"""),15000)</f>
        <v>15000</v>
      </c>
      <c r="I222" s="2"/>
      <c r="J222" s="2" t="str">
        <f ca="1">IFERROR(__xludf.DUMMYFUNCTION("""COMPUTED_VALUE"""),"5964 , 5966")</f>
        <v>5964 , 5966</v>
      </c>
      <c r="K222" s="2" t="str">
        <f ca="1">IFERROR(__xludf.DUMMYFUNCTION("""COMPUTED_VALUE"""),"Fermentando")</f>
        <v>Fermentando</v>
      </c>
      <c r="L222" s="2"/>
      <c r="M222" s="2"/>
    </row>
    <row r="223" spans="1:13" x14ac:dyDescent="0.25">
      <c r="A223" s="2" t="str">
        <f ca="1">IFERROR(__xludf.DUMMYFUNCTION("""COMPUTED_VALUE"""),"ee8f7e01")</f>
        <v>ee8f7e01</v>
      </c>
      <c r="B223" s="2"/>
      <c r="C223" s="3">
        <f ca="1">IFERROR(__xludf.DUMMYFUNCTION("""COMPUTED_VALUE"""),45729.8538310185)</f>
        <v>45729.853831018503</v>
      </c>
      <c r="D223" s="2">
        <f ca="1">IFERROR(__xludf.DUMMYFUNCTION("""COMPUTED_VALUE"""),77)</f>
        <v>77</v>
      </c>
      <c r="E223" s="2">
        <f ca="1">IFERROR(__xludf.DUMMYFUNCTION("""COMPUTED_VALUE"""),26000)</f>
        <v>26000</v>
      </c>
      <c r="F223" s="2" t="str">
        <f ca="1">IFERROR(__xludf.DUMMYFUNCTION("""COMPUTED_VALUE"""),"Bonarda C2")</f>
        <v>Bonarda C2</v>
      </c>
      <c r="G223" s="2"/>
      <c r="H223" s="2">
        <f ca="1">IFERROR(__xludf.DUMMYFUNCTION("""COMPUTED_VALUE"""),11300)</f>
        <v>11300</v>
      </c>
      <c r="I223" s="2"/>
      <c r="J223" s="2" t="str">
        <f ca="1">IFERROR(__xludf.DUMMYFUNCTION("""COMPUTED_VALUE"""),"5967 , 5968")</f>
        <v>5967 , 5968</v>
      </c>
      <c r="K223" s="2" t="str">
        <f ca="1">IFERROR(__xludf.DUMMYFUNCTION("""COMPUTED_VALUE"""),"Fermentando")</f>
        <v>Fermentando</v>
      </c>
      <c r="L223" s="2"/>
      <c r="M223" s="2"/>
    </row>
    <row r="224" spans="1:13" x14ac:dyDescent="0.25">
      <c r="A224" s="2" t="str">
        <f ca="1">IFERROR(__xludf.DUMMYFUNCTION("""COMPUTED_VALUE"""),"34a141e2")</f>
        <v>34a141e2</v>
      </c>
      <c r="B224" s="2"/>
      <c r="C224" s="3">
        <f ca="1">IFERROR(__xludf.DUMMYFUNCTION("""COMPUTED_VALUE"""),45729.8585069444)</f>
        <v>45729.858506944402</v>
      </c>
      <c r="D224" s="2">
        <f ca="1">IFERROR(__xludf.DUMMYFUNCTION("""COMPUTED_VALUE"""),96)</f>
        <v>96</v>
      </c>
      <c r="E224" s="2">
        <f ca="1">IFERROR(__xludf.DUMMYFUNCTION("""COMPUTED_VALUE"""),85600)</f>
        <v>85600</v>
      </c>
      <c r="F224" s="2" t="str">
        <f ca="1">IFERROR(__xludf.DUMMYFUNCTION("""COMPUTED_VALUE"""),"Tempranillo")</f>
        <v>Tempranillo</v>
      </c>
      <c r="G224" s="2"/>
      <c r="H224" s="2">
        <f ca="1">IFERROR(__xludf.DUMMYFUNCTION("""COMPUTED_VALUE"""),47600)</f>
        <v>47600</v>
      </c>
      <c r="I224" s="2"/>
      <c r="J224" s="2" t="str">
        <f ca="1">IFERROR(__xludf.DUMMYFUNCTION("""COMPUTED_VALUE"""),"5962 , 5963 , 5965 , 5969 , 5970 , 5971")</f>
        <v>5962 , 5963 , 5965 , 5969 , 5970 , 5971</v>
      </c>
      <c r="K224" s="2" t="str">
        <f ca="1">IFERROR(__xludf.DUMMYFUNCTION("""COMPUTED_VALUE"""),"Fermentando")</f>
        <v>Fermentando</v>
      </c>
      <c r="L224" s="2"/>
      <c r="M224" s="2"/>
    </row>
    <row r="225" spans="1:13" x14ac:dyDescent="0.25">
      <c r="A225" s="2" t="str">
        <f ca="1">IFERROR(__xludf.DUMMYFUNCTION("""COMPUTED_VALUE"""),"c57dab01")</f>
        <v>c57dab01</v>
      </c>
      <c r="B225" s="2"/>
      <c r="C225" s="3">
        <f ca="1">IFERROR(__xludf.DUMMYFUNCTION("""COMPUTED_VALUE"""),45730.3917013888)</f>
        <v>45730.391701388799</v>
      </c>
      <c r="D225" s="2">
        <f ca="1">IFERROR(__xludf.DUMMYFUNCTION("""COMPUTED_VALUE"""),118)</f>
        <v>118</v>
      </c>
      <c r="E225" s="2">
        <f ca="1">IFERROR(__xludf.DUMMYFUNCTION("""COMPUTED_VALUE"""),155600)</f>
        <v>155600</v>
      </c>
      <c r="F225" s="2" t="str">
        <f ca="1">IFERROR(__xludf.DUMMYFUNCTION("""COMPUTED_VALUE"""),"Syrah")</f>
        <v>Syrah</v>
      </c>
      <c r="G225" s="2">
        <f ca="1">IFERROR(__xludf.DUMMYFUNCTION("""COMPUTED_VALUE"""),0)</f>
        <v>0</v>
      </c>
      <c r="H225" s="2">
        <f ca="1">IFERROR(__xludf.DUMMYFUNCTION("""COMPUTED_VALUE"""),48500)</f>
        <v>48500</v>
      </c>
      <c r="I225" s="2"/>
      <c r="J225" s="2"/>
      <c r="K225" s="2" t="str">
        <f ca="1">IFERROR(__xludf.DUMMYFUNCTION("""COMPUTED_VALUE"""),"Fermentando")</f>
        <v>Fermentando</v>
      </c>
      <c r="L225" s="2"/>
      <c r="M225" s="2"/>
    </row>
    <row r="226" spans="1:13" x14ac:dyDescent="0.25">
      <c r="A226" s="2" t="str">
        <f ca="1">IFERROR(__xludf.DUMMYFUNCTION("""COMPUTED_VALUE"""),"7f2febfa")</f>
        <v>7f2febfa</v>
      </c>
      <c r="B226" s="2"/>
      <c r="C226" s="3">
        <f ca="1">IFERROR(__xludf.DUMMYFUNCTION("""COMPUTED_VALUE"""),45730.3928587962)</f>
        <v>45730.3928587962</v>
      </c>
      <c r="D226" s="2">
        <f ca="1">IFERROR(__xludf.DUMMYFUNCTION("""COMPUTED_VALUE"""),118)</f>
        <v>118</v>
      </c>
      <c r="E226" s="2">
        <f ca="1">IFERROR(__xludf.DUMMYFUNCTION("""COMPUTED_VALUE"""),155600)</f>
        <v>155600</v>
      </c>
      <c r="F226" s="2" t="str">
        <f ca="1">IFERROR(__xludf.DUMMYFUNCTION("""COMPUTED_VALUE"""),"Syrah")</f>
        <v>Syrah</v>
      </c>
      <c r="G226" s="2">
        <f ca="1">IFERROR(__xludf.DUMMYFUNCTION("""COMPUTED_VALUE"""),48500)</f>
        <v>48500</v>
      </c>
      <c r="H226" s="2">
        <f ca="1">IFERROR(__xludf.DUMMYFUNCTION("""COMPUTED_VALUE"""),93200)</f>
        <v>93200</v>
      </c>
      <c r="I226" s="2"/>
      <c r="J226" s="2"/>
      <c r="K226" s="2" t="str">
        <f ca="1">IFERROR(__xludf.DUMMYFUNCTION("""COMPUTED_VALUE"""),"Descubada")</f>
        <v>Descubada</v>
      </c>
      <c r="L226" s="2"/>
      <c r="M226" s="2"/>
    </row>
    <row r="227" spans="1:13" x14ac:dyDescent="0.25">
      <c r="A227" s="2" t="str">
        <f ca="1">IFERROR(__xludf.DUMMYFUNCTION("""COMPUTED_VALUE"""),"ef6021e0")</f>
        <v>ef6021e0</v>
      </c>
      <c r="B227" s="2"/>
      <c r="C227" s="3">
        <f ca="1">IFERROR(__xludf.DUMMYFUNCTION("""COMPUTED_VALUE"""),45730.7362962962)</f>
        <v>45730.7362962962</v>
      </c>
      <c r="D227" s="2">
        <f ca="1">IFERROR(__xludf.DUMMYFUNCTION("""COMPUTED_VALUE"""),118)</f>
        <v>118</v>
      </c>
      <c r="E227" s="2">
        <f ca="1">IFERROR(__xludf.DUMMYFUNCTION("""COMPUTED_VALUE"""),155600)</f>
        <v>155600</v>
      </c>
      <c r="F227" s="2" t="str">
        <f ca="1">IFERROR(__xludf.DUMMYFUNCTION("""COMPUTED_VALUE"""),"Syrah")</f>
        <v>Syrah</v>
      </c>
      <c r="G227" s="2">
        <f ca="1">IFERROR(__xludf.DUMMYFUNCTION("""COMPUTED_VALUE"""),93200)</f>
        <v>93200</v>
      </c>
      <c r="H227" s="2">
        <f ca="1">IFERROR(__xludf.DUMMYFUNCTION("""COMPUTED_VALUE"""),140400)</f>
        <v>140400</v>
      </c>
      <c r="I227" s="2"/>
      <c r="J227" s="2"/>
      <c r="K227" s="2" t="str">
        <f ca="1">IFERROR(__xludf.DUMMYFUNCTION("""COMPUTED_VALUE"""),"Descubada")</f>
        <v>Descubada</v>
      </c>
      <c r="L227" s="2"/>
      <c r="M227" s="2"/>
    </row>
    <row r="228" spans="1:13" x14ac:dyDescent="0.25">
      <c r="A228" s="2" t="str">
        <f ca="1">IFERROR(__xludf.DUMMYFUNCTION("""COMPUTED_VALUE"""),"87540dbb")</f>
        <v>87540dbb</v>
      </c>
      <c r="B228" s="2"/>
      <c r="C228" s="3">
        <f ca="1">IFERROR(__xludf.DUMMYFUNCTION("""COMPUTED_VALUE"""),45730.7476736111)</f>
        <v>45730.747673611098</v>
      </c>
      <c r="D228" s="2">
        <f ca="1">IFERROR(__xludf.DUMMYFUNCTION("""COMPUTED_VALUE"""),70)</f>
        <v>70</v>
      </c>
      <c r="E228" s="2">
        <f ca="1">IFERROR(__xludf.DUMMYFUNCTION("""COMPUTED_VALUE"""),13000)</f>
        <v>13000</v>
      </c>
      <c r="F228" s="2" t="str">
        <f ca="1">IFERROR(__xludf.DUMMYFUNCTION("""COMPUTED_VALUE"""),"Tanat")</f>
        <v>Tanat</v>
      </c>
      <c r="G228" s="2">
        <f ca="1">IFERROR(__xludf.DUMMYFUNCTION("""COMPUTED_VALUE"""),7000)</f>
        <v>7000</v>
      </c>
      <c r="H228" s="2">
        <f ca="1">IFERROR(__xludf.DUMMYFUNCTION("""COMPUTED_VALUE"""),8000)</f>
        <v>8000</v>
      </c>
      <c r="I228" s="2" t="str">
        <f ca="1">IFERROR(__xludf.DUMMYFUNCTION("""COMPUTED_VALUE"""),"20/3
Hacer azúcar
Ver se desvinar junto con 78 a pileta")</f>
        <v>20/3
Hacer azúcar
Ver se desvinar junto con 78 a pileta</v>
      </c>
      <c r="J228" s="2"/>
      <c r="K228" s="2" t="str">
        <f ca="1">IFERROR(__xludf.DUMMYFUNCTION("""COMPUTED_VALUE"""),"Fermentando")</f>
        <v>Fermentando</v>
      </c>
      <c r="L228" s="2"/>
      <c r="M228" s="2"/>
    </row>
    <row r="229" spans="1:13" x14ac:dyDescent="0.25">
      <c r="A229" s="2" t="str">
        <f ca="1">IFERROR(__xludf.DUMMYFUNCTION("""COMPUTED_VALUE"""),"1a71b226")</f>
        <v>1a71b226</v>
      </c>
      <c r="B229" s="2"/>
      <c r="C229" s="3">
        <f ca="1">IFERROR(__xludf.DUMMYFUNCTION("""COMPUTED_VALUE"""),45730.7486805555)</f>
        <v>45730.748680555502</v>
      </c>
      <c r="D229" s="2">
        <f ca="1">IFERROR(__xludf.DUMMYFUNCTION("""COMPUTED_VALUE"""),91)</f>
        <v>91</v>
      </c>
      <c r="E229" s="2">
        <f ca="1">IFERROR(__xludf.DUMMYFUNCTION("""COMPUTED_VALUE"""),86000)</f>
        <v>86000</v>
      </c>
      <c r="F229" s="2" t="str">
        <f ca="1">IFERROR(__xludf.DUMMYFUNCTION("""COMPUTED_VALUE"""),"Bonarda C2")</f>
        <v>Bonarda C2</v>
      </c>
      <c r="G229" s="2">
        <f ca="1">IFERROR(__xludf.DUMMYFUNCTION("""COMPUTED_VALUE"""),39200)</f>
        <v>39200</v>
      </c>
      <c r="H229" s="2">
        <f ca="1">IFERROR(__xludf.DUMMYFUNCTION("""COMPUTED_VALUE"""),45700)</f>
        <v>45700</v>
      </c>
      <c r="I229" s="2"/>
      <c r="J229" s="2"/>
      <c r="K229" s="2" t="str">
        <f ca="1">IFERROR(__xludf.DUMMYFUNCTION("""COMPUTED_VALUE"""),"Fermentando")</f>
        <v>Fermentando</v>
      </c>
      <c r="L229" s="2"/>
      <c r="M229" s="2"/>
    </row>
    <row r="230" spans="1:13" x14ac:dyDescent="0.25">
      <c r="A230" s="2" t="str">
        <f ca="1">IFERROR(__xludf.DUMMYFUNCTION("""COMPUTED_VALUE"""),"e0f68630")</f>
        <v>e0f68630</v>
      </c>
      <c r="B230" s="2"/>
      <c r="C230" s="3">
        <f ca="1">IFERROR(__xludf.DUMMYFUNCTION("""COMPUTED_VALUE"""),45730.7496180555)</f>
        <v>45730.749618055503</v>
      </c>
      <c r="D230" s="2">
        <f ca="1">IFERROR(__xludf.DUMMYFUNCTION("""COMPUTED_VALUE"""),90)</f>
        <v>90</v>
      </c>
      <c r="E230" s="2">
        <f ca="1">IFERROR(__xludf.DUMMYFUNCTION("""COMPUTED_VALUE"""),97500)</f>
        <v>97500</v>
      </c>
      <c r="F230" s="2" t="str">
        <f ca="1">IFERROR(__xludf.DUMMYFUNCTION("""COMPUTED_VALUE"""),"Ancellotta Tempranillo")</f>
        <v>Ancellotta Tempranillo</v>
      </c>
      <c r="G230" s="2">
        <f ca="1">IFERROR(__xludf.DUMMYFUNCTION("""COMPUTED_VALUE"""),43300)</f>
        <v>43300</v>
      </c>
      <c r="H230" s="2">
        <f ca="1">IFERROR(__xludf.DUMMYFUNCTION("""COMPUTED_VALUE"""),52900)</f>
        <v>52900</v>
      </c>
      <c r="I230" s="2"/>
      <c r="J230" s="2"/>
      <c r="K230" s="2" t="str">
        <f ca="1">IFERROR(__xludf.DUMMYFUNCTION("""COMPUTED_VALUE"""),"Fermentando")</f>
        <v>Fermentando</v>
      </c>
      <c r="L230" s="2"/>
      <c r="M230" s="2"/>
    </row>
    <row r="231" spans="1:13" x14ac:dyDescent="0.25">
      <c r="A231" s="2" t="str">
        <f ca="1">IFERROR(__xludf.DUMMYFUNCTION("""COMPUTED_VALUE"""),"dea77610")</f>
        <v>dea77610</v>
      </c>
      <c r="B231" s="2"/>
      <c r="C231" s="3">
        <f ca="1">IFERROR(__xludf.DUMMYFUNCTION("""COMPUTED_VALUE"""),45730.7834375)</f>
        <v>45730.783437500002</v>
      </c>
      <c r="D231" s="2">
        <f ca="1">IFERROR(__xludf.DUMMYFUNCTION("""COMPUTED_VALUE"""),81)</f>
        <v>81</v>
      </c>
      <c r="E231" s="2">
        <f ca="1">IFERROR(__xludf.DUMMYFUNCTION("""COMPUTED_VALUE"""),26500)</f>
        <v>26500</v>
      </c>
      <c r="F231" s="2" t="str">
        <f ca="1">IFERROR(__xludf.DUMMYFUNCTION("""COMPUTED_VALUE"""),"Torrontes")</f>
        <v>Torrontes</v>
      </c>
      <c r="G231" s="2">
        <f ca="1">IFERROR(__xludf.DUMMYFUNCTION("""COMPUTED_VALUE"""),18400)</f>
        <v>18400</v>
      </c>
      <c r="H231" s="2">
        <f ca="1">IFERROR(__xludf.DUMMYFUNCTION("""COMPUTED_VALUE"""),20600)</f>
        <v>20600</v>
      </c>
      <c r="I231" s="2" t="str">
        <f ca="1">IFERROR(__xludf.DUMMYFUNCTION("""COMPUTED_VALUE"""),"20/3")</f>
        <v>20/3</v>
      </c>
      <c r="J231" s="2"/>
      <c r="K231" s="2" t="str">
        <f ca="1">IFERROR(__xludf.DUMMYFUNCTION("""COMPUTED_VALUE"""),"Fermentando")</f>
        <v>Fermentando</v>
      </c>
      <c r="L231" s="2"/>
      <c r="M231" s="2"/>
    </row>
    <row r="232" spans="1:13" x14ac:dyDescent="0.25">
      <c r="A232" s="2" t="str">
        <f ca="1">IFERROR(__xludf.DUMMYFUNCTION("""COMPUTED_VALUE"""),"03ffe0d5")</f>
        <v>03ffe0d5</v>
      </c>
      <c r="B232" s="2"/>
      <c r="C232" s="3">
        <f ca="1">IFERROR(__xludf.DUMMYFUNCTION("""COMPUTED_VALUE"""),45730.7895601851)</f>
        <v>45730.789560185098</v>
      </c>
      <c r="D232" s="2">
        <f ca="1">IFERROR(__xludf.DUMMYFUNCTION("""COMPUTED_VALUE"""),118)</f>
        <v>118</v>
      </c>
      <c r="E232" s="2">
        <f ca="1">IFERROR(__xludf.DUMMYFUNCTION("""COMPUTED_VALUE"""),155600)</f>
        <v>155600</v>
      </c>
      <c r="F232" s="2" t="str">
        <f ca="1">IFERROR(__xludf.DUMMYFUNCTION("""COMPUTED_VALUE"""),"Syrah")</f>
        <v>Syrah</v>
      </c>
      <c r="G232" s="2">
        <f ca="1">IFERROR(__xludf.DUMMYFUNCTION("""COMPUTED_VALUE"""),140400)</f>
        <v>140400</v>
      </c>
      <c r="H232" s="2">
        <f ca="1">IFERROR(__xludf.DUMMYFUNCTION("""COMPUTED_VALUE"""),155600)</f>
        <v>155600</v>
      </c>
      <c r="I232" s="2" t="str">
        <f ca="1">IFERROR(__xludf.DUMMYFUNCTION("""COMPUTED_VALUE"""),"20/3 
Ver SOL y volátil. Colocar bandeja")</f>
        <v>20/3 
Ver SOL y volátil. Colocar bandeja</v>
      </c>
      <c r="J232" s="2"/>
      <c r="K232" s="2" t="str">
        <f ca="1">IFERROR(__xludf.DUMMYFUNCTION("""COMPUTED_VALUE"""),"Descubada")</f>
        <v>Descubada</v>
      </c>
      <c r="L232" s="2"/>
      <c r="M232" s="2"/>
    </row>
    <row r="233" spans="1:13" x14ac:dyDescent="0.25">
      <c r="A233" s="2" t="str">
        <f ca="1">IFERROR(__xludf.DUMMYFUNCTION("""COMPUTED_VALUE"""),"b93c3154")</f>
        <v>b93c3154</v>
      </c>
      <c r="B233" s="2"/>
      <c r="C233" s="3">
        <f ca="1">IFERROR(__xludf.DUMMYFUNCTION("""COMPUTED_VALUE"""),45730.7902777777)</f>
        <v>45730.790277777698</v>
      </c>
      <c r="D233" s="2">
        <f ca="1">IFERROR(__xludf.DUMMYFUNCTION("""COMPUTED_VALUE"""),52)</f>
        <v>52</v>
      </c>
      <c r="E233" s="2">
        <f ca="1">IFERROR(__xludf.DUMMYFUNCTION("""COMPUTED_VALUE"""),27000)</f>
        <v>27000</v>
      </c>
      <c r="F233" s="2" t="str">
        <f ca="1">IFERROR(__xludf.DUMMYFUNCTION("""COMPUTED_VALUE"""),"Syrah")</f>
        <v>Syrah</v>
      </c>
      <c r="G233" s="2">
        <f ca="1">IFERROR(__xludf.DUMMYFUNCTION("""COMPUTED_VALUE"""),15000)</f>
        <v>15000</v>
      </c>
      <c r="H233" s="2">
        <f ca="1">IFERROR(__xludf.DUMMYFUNCTION("""COMPUTED_VALUE"""),23900)</f>
        <v>23900</v>
      </c>
      <c r="I233" s="2"/>
      <c r="J233" s="2"/>
      <c r="K233" s="2" t="str">
        <f ca="1">IFERROR(__xludf.DUMMYFUNCTION("""COMPUTED_VALUE"""),"Descubada")</f>
        <v>Descubada</v>
      </c>
      <c r="L233" s="2"/>
      <c r="M233" s="2"/>
    </row>
    <row r="234" spans="1:13" x14ac:dyDescent="0.25">
      <c r="A234" s="2" t="str">
        <f ca="1">IFERROR(__xludf.DUMMYFUNCTION("""COMPUTED_VALUE"""),"ea43be80")</f>
        <v>ea43be80</v>
      </c>
      <c r="B234" s="2"/>
      <c r="C234" s="3">
        <f ca="1">IFERROR(__xludf.DUMMYFUNCTION("""COMPUTED_VALUE"""),45730.7923148148)</f>
        <v>45730.792314814797</v>
      </c>
      <c r="D234" s="2">
        <f ca="1">IFERROR(__xludf.DUMMYFUNCTION("""COMPUTED_VALUE"""),86)</f>
        <v>86</v>
      </c>
      <c r="E234" s="2">
        <f ca="1">IFERROR(__xludf.DUMMYFUNCTION("""COMPUTED_VALUE"""),88000)</f>
        <v>88000</v>
      </c>
      <c r="F234" s="2" t="str">
        <f ca="1">IFERROR(__xludf.DUMMYFUNCTION("""COMPUTED_VALUE"""),"Syrah")</f>
        <v>Syrah</v>
      </c>
      <c r="G234" s="2">
        <f ca="1">IFERROR(__xludf.DUMMYFUNCTION("""COMPUTED_VALUE"""),43000)</f>
        <v>43000</v>
      </c>
      <c r="H234" s="2">
        <f ca="1">IFERROR(__xludf.DUMMYFUNCTION("""COMPUTED_VALUE"""),52500)</f>
        <v>52500</v>
      </c>
      <c r="I234" s="2"/>
      <c r="J234" s="2"/>
      <c r="K234" s="2" t="str">
        <f ca="1">IFERROR(__xludf.DUMMYFUNCTION("""COMPUTED_VALUE"""),"Fermentando")</f>
        <v>Fermentando</v>
      </c>
      <c r="L234" s="2"/>
      <c r="M234" s="2"/>
    </row>
    <row r="235" spans="1:13" x14ac:dyDescent="0.25">
      <c r="A235" s="2" t="str">
        <f ca="1">IFERROR(__xludf.DUMMYFUNCTION("""COMPUTED_VALUE"""),"fe482ba5")</f>
        <v>fe482ba5</v>
      </c>
      <c r="B235" s="2"/>
      <c r="C235" s="3">
        <f ca="1">IFERROR(__xludf.DUMMYFUNCTION("""COMPUTED_VALUE"""),45733.4087152777)</f>
        <v>45733.408715277699</v>
      </c>
      <c r="D235" s="2">
        <f ca="1">IFERROR(__xludf.DUMMYFUNCTION("""COMPUTED_VALUE"""),116)</f>
        <v>116</v>
      </c>
      <c r="E235" s="2">
        <f ca="1">IFERROR(__xludf.DUMMYFUNCTION("""COMPUTED_VALUE"""),99600)</f>
        <v>99600</v>
      </c>
      <c r="F235" s="2" t="str">
        <f ca="1">IFERROR(__xludf.DUMMYFUNCTION("""COMPUTED_VALUE"""),"Syrah")</f>
        <v>Syrah</v>
      </c>
      <c r="G235" s="2">
        <f ca="1">IFERROR(__xludf.DUMMYFUNCTION("""COMPUTED_VALUE"""),0)</f>
        <v>0</v>
      </c>
      <c r="H235" s="2">
        <f ca="1">IFERROR(__xludf.DUMMYFUNCTION("""COMPUTED_VALUE"""),8000)</f>
        <v>8000</v>
      </c>
      <c r="I235" s="2"/>
      <c r="J235" s="2"/>
      <c r="K235" s="2" t="str">
        <f ca="1">IFERROR(__xludf.DUMMYFUNCTION("""COMPUTED_VALUE"""),"Descubada")</f>
        <v>Descubada</v>
      </c>
      <c r="L235" s="2"/>
      <c r="M235" s="2"/>
    </row>
    <row r="236" spans="1:13" x14ac:dyDescent="0.25">
      <c r="A236" s="2" t="str">
        <f ca="1">IFERROR(__xludf.DUMMYFUNCTION("""COMPUTED_VALUE"""),"b01eee66")</f>
        <v>b01eee66</v>
      </c>
      <c r="B236" s="2"/>
      <c r="C236" s="3">
        <f ca="1">IFERROR(__xludf.DUMMYFUNCTION("""COMPUTED_VALUE"""),45733.4100810185)</f>
        <v>45733.410081018497</v>
      </c>
      <c r="D236" s="2">
        <f ca="1">IFERROR(__xludf.DUMMYFUNCTION("""COMPUTED_VALUE"""),52)</f>
        <v>52</v>
      </c>
      <c r="E236" s="2">
        <f ca="1">IFERROR(__xludf.DUMMYFUNCTION("""COMPUTED_VALUE"""),27000)</f>
        <v>27000</v>
      </c>
      <c r="F236" s="2" t="str">
        <f ca="1">IFERROR(__xludf.DUMMYFUNCTION("""COMPUTED_VALUE"""),"Syrah")</f>
        <v>Syrah</v>
      </c>
      <c r="G236" s="2">
        <f ca="1">IFERROR(__xludf.DUMMYFUNCTION("""COMPUTED_VALUE"""),23900)</f>
        <v>23900</v>
      </c>
      <c r="H236" s="2">
        <f ca="1">IFERROR(__xludf.DUMMYFUNCTION("""COMPUTED_VALUE"""),27000)</f>
        <v>27000</v>
      </c>
      <c r="I236" s="2"/>
      <c r="J236" s="2"/>
      <c r="K236" s="2" t="str">
        <f ca="1">IFERROR(__xludf.DUMMYFUNCTION("""COMPUTED_VALUE"""),"Descubada")</f>
        <v>Descubada</v>
      </c>
      <c r="L236" s="2"/>
      <c r="M236" s="2"/>
    </row>
    <row r="237" spans="1:13" x14ac:dyDescent="0.25">
      <c r="A237" s="2" t="str">
        <f ca="1">IFERROR(__xludf.DUMMYFUNCTION("""COMPUTED_VALUE"""),"4649003c")</f>
        <v>4649003c</v>
      </c>
      <c r="B237" s="2"/>
      <c r="C237" s="3">
        <f ca="1">IFERROR(__xludf.DUMMYFUNCTION("""COMPUTED_VALUE"""),45733.410636574)</f>
        <v>45733.410636574001</v>
      </c>
      <c r="D237" s="2">
        <f ca="1">IFERROR(__xludf.DUMMYFUNCTION("""COMPUTED_VALUE"""),116)</f>
        <v>116</v>
      </c>
      <c r="E237" s="2">
        <f ca="1">IFERROR(__xludf.DUMMYFUNCTION("""COMPUTED_VALUE"""),99600)</f>
        <v>99600</v>
      </c>
      <c r="F237" s="2" t="str">
        <f ca="1">IFERROR(__xludf.DUMMYFUNCTION("""COMPUTED_VALUE"""),"Syrah")</f>
        <v>Syrah</v>
      </c>
      <c r="G237" s="2">
        <f ca="1">IFERROR(__xludf.DUMMYFUNCTION("""COMPUTED_VALUE"""),8000)</f>
        <v>8000</v>
      </c>
      <c r="H237" s="2">
        <f ca="1">IFERROR(__xludf.DUMMYFUNCTION("""COMPUTED_VALUE"""),54400)</f>
        <v>54400</v>
      </c>
      <c r="I237" s="2"/>
      <c r="J237" s="2"/>
      <c r="K237" s="2" t="str">
        <f ca="1">IFERROR(__xludf.DUMMYFUNCTION("""COMPUTED_VALUE"""),"Descubada")</f>
        <v>Descubada</v>
      </c>
      <c r="L237" s="2"/>
      <c r="M237" s="2"/>
    </row>
    <row r="238" spans="1:13" x14ac:dyDescent="0.25">
      <c r="A238" s="2" t="str">
        <f ca="1">IFERROR(__xludf.DUMMYFUNCTION("""COMPUTED_VALUE"""),"f3ecd42b")</f>
        <v>f3ecd42b</v>
      </c>
      <c r="B238" s="2"/>
      <c r="C238" s="3">
        <f ca="1">IFERROR(__xludf.DUMMYFUNCTION("""COMPUTED_VALUE"""),45733.4156134259)</f>
        <v>45733.415613425903</v>
      </c>
      <c r="D238" s="2">
        <f ca="1">IFERROR(__xludf.DUMMYFUNCTION("""COMPUTED_VALUE"""),91)</f>
        <v>91</v>
      </c>
      <c r="E238" s="2">
        <f ca="1">IFERROR(__xludf.DUMMYFUNCTION("""COMPUTED_VALUE"""),86000)</f>
        <v>86000</v>
      </c>
      <c r="F238" s="2" t="str">
        <f ca="1">IFERROR(__xludf.DUMMYFUNCTION("""COMPUTED_VALUE"""),"Bonarda C2")</f>
        <v>Bonarda C2</v>
      </c>
      <c r="G238" s="2">
        <f ca="1">IFERROR(__xludf.DUMMYFUNCTION("""COMPUTED_VALUE"""),45700)</f>
        <v>45700</v>
      </c>
      <c r="H238" s="2">
        <f ca="1">IFERROR(__xludf.DUMMYFUNCTION("""COMPUTED_VALUE"""),52200)</f>
        <v>52200</v>
      </c>
      <c r="I238" s="2" t="str">
        <f ca="1">IFERROR(__xludf.DUMMYFUNCTION("""COMPUTED_VALUE"""),"20/3
Hacer azúcar")</f>
        <v>20/3
Hacer azúcar</v>
      </c>
      <c r="J238" s="2"/>
      <c r="K238" s="2" t="str">
        <f ca="1">IFERROR(__xludf.DUMMYFUNCTION("""COMPUTED_VALUE"""),"Fermentando")</f>
        <v>Fermentando</v>
      </c>
      <c r="L238" s="2"/>
      <c r="M238" s="2"/>
    </row>
    <row r="239" spans="1:13" x14ac:dyDescent="0.25">
      <c r="A239" s="2" t="str">
        <f ca="1">IFERROR(__xludf.DUMMYFUNCTION("""COMPUTED_VALUE"""),"98f429d0")</f>
        <v>98f429d0</v>
      </c>
      <c r="B239" s="2"/>
      <c r="C239" s="3">
        <f ca="1">IFERROR(__xludf.DUMMYFUNCTION("""COMPUTED_VALUE"""),45733.4210416666)</f>
        <v>45733.421041666603</v>
      </c>
      <c r="D239" s="2">
        <f ca="1">IFERROR(__xludf.DUMMYFUNCTION("""COMPUTED_VALUE"""),79)</f>
        <v>79</v>
      </c>
      <c r="E239" s="2">
        <f ca="1">IFERROR(__xludf.DUMMYFUNCTION("""COMPUTED_VALUE"""),26000)</f>
        <v>26000</v>
      </c>
      <c r="F239" s="2" t="str">
        <f ca="1">IFERROR(__xludf.DUMMYFUNCTION("""COMPUTED_VALUE"""),"Torrontes")</f>
        <v>Torrontes</v>
      </c>
      <c r="G239" s="2">
        <f ca="1">IFERROR(__xludf.DUMMYFUNCTION("""COMPUTED_VALUE"""),14500)</f>
        <v>14500</v>
      </c>
      <c r="H239" s="2">
        <f ca="1">IFERROR(__xludf.DUMMYFUNCTION("""COMPUTED_VALUE"""),16650)</f>
        <v>16650</v>
      </c>
      <c r="I239" s="2"/>
      <c r="J239" s="2"/>
      <c r="K239" s="2" t="str">
        <f ca="1">IFERROR(__xludf.DUMMYFUNCTION("""COMPUTED_VALUE"""),"Fermentando")</f>
        <v>Fermentando</v>
      </c>
      <c r="L239" s="2"/>
      <c r="M239" s="2"/>
    </row>
    <row r="240" spans="1:13" x14ac:dyDescent="0.25">
      <c r="A240" s="2" t="str">
        <f ca="1">IFERROR(__xludf.DUMMYFUNCTION("""COMPUTED_VALUE"""),"3a308f07")</f>
        <v>3a308f07</v>
      </c>
      <c r="B240" s="2"/>
      <c r="C240" s="3">
        <f ca="1">IFERROR(__xludf.DUMMYFUNCTION("""COMPUTED_VALUE"""),45733.4216782407)</f>
        <v>45733.421678240702</v>
      </c>
      <c r="D240" s="2">
        <f ca="1">IFERROR(__xludf.DUMMYFUNCTION("""COMPUTED_VALUE"""),76)</f>
        <v>76</v>
      </c>
      <c r="E240" s="2">
        <f ca="1">IFERROR(__xludf.DUMMYFUNCTION("""COMPUTED_VALUE"""),25500)</f>
        <v>25500</v>
      </c>
      <c r="F240" s="2" t="str">
        <f ca="1">IFERROR(__xludf.DUMMYFUNCTION("""COMPUTED_VALUE"""),"Bonarda C2")</f>
        <v>Bonarda C2</v>
      </c>
      <c r="G240" s="2">
        <f ca="1">IFERROR(__xludf.DUMMYFUNCTION("""COMPUTED_VALUE"""),15000)</f>
        <v>15000</v>
      </c>
      <c r="H240" s="2">
        <f ca="1">IFERROR(__xludf.DUMMYFUNCTION("""COMPUTED_VALUE"""),16600)</f>
        <v>16600</v>
      </c>
      <c r="I240" s="2"/>
      <c r="J240" s="2"/>
      <c r="K240" s="2" t="str">
        <f ca="1">IFERROR(__xludf.DUMMYFUNCTION("""COMPUTED_VALUE"""),"Fermentando")</f>
        <v>Fermentando</v>
      </c>
      <c r="L240" s="2"/>
      <c r="M240" s="2"/>
    </row>
    <row r="241" spans="1:13" x14ac:dyDescent="0.25">
      <c r="A241" s="2" t="str">
        <f ca="1">IFERROR(__xludf.DUMMYFUNCTION("""COMPUTED_VALUE"""),"3d517070")</f>
        <v>3d517070</v>
      </c>
      <c r="B241" s="2"/>
      <c r="C241" s="3">
        <f ca="1">IFERROR(__xludf.DUMMYFUNCTION("""COMPUTED_VALUE"""),45733.4219097222)</f>
        <v>45733.421909722201</v>
      </c>
      <c r="D241" s="2">
        <f ca="1">IFERROR(__xludf.DUMMYFUNCTION("""COMPUTED_VALUE"""),77)</f>
        <v>77</v>
      </c>
      <c r="E241" s="2">
        <f ca="1">IFERROR(__xludf.DUMMYFUNCTION("""COMPUTED_VALUE"""),26000)</f>
        <v>26000</v>
      </c>
      <c r="F241" s="2" t="str">
        <f ca="1">IFERROR(__xludf.DUMMYFUNCTION("""COMPUTED_VALUE"""),"Bonarda C2")</f>
        <v>Bonarda C2</v>
      </c>
      <c r="G241" s="2">
        <f ca="1">IFERROR(__xludf.DUMMYFUNCTION("""COMPUTED_VALUE"""),11300)</f>
        <v>11300</v>
      </c>
      <c r="H241" s="2">
        <f ca="1">IFERROR(__xludf.DUMMYFUNCTION("""COMPUTED_VALUE"""),12900)</f>
        <v>12900</v>
      </c>
      <c r="I241" s="2"/>
      <c r="J241" s="2"/>
      <c r="K241" s="2" t="str">
        <f ca="1">IFERROR(__xludf.DUMMYFUNCTION("""COMPUTED_VALUE"""),"Fermentando")</f>
        <v>Fermentando</v>
      </c>
      <c r="L241" s="2"/>
      <c r="M241" s="2"/>
    </row>
    <row r="242" spans="1:13" x14ac:dyDescent="0.25">
      <c r="A242" s="2" t="str">
        <f ca="1">IFERROR(__xludf.DUMMYFUNCTION("""COMPUTED_VALUE"""),"9d80dcac")</f>
        <v>9d80dcac</v>
      </c>
      <c r="B242" s="2"/>
      <c r="C242" s="3">
        <f ca="1">IFERROR(__xludf.DUMMYFUNCTION("""COMPUTED_VALUE"""),45733.7201736111)</f>
        <v>45733.720173611102</v>
      </c>
      <c r="D242" s="2">
        <f ca="1">IFERROR(__xludf.DUMMYFUNCTION("""COMPUTED_VALUE"""),83)</f>
        <v>83</v>
      </c>
      <c r="E242" s="2">
        <f ca="1">IFERROR(__xludf.DUMMYFUNCTION("""COMPUTED_VALUE"""),81500)</f>
        <v>81500</v>
      </c>
      <c r="F242" s="2" t="str">
        <f ca="1">IFERROR(__xludf.DUMMYFUNCTION("""COMPUTED_VALUE"""),"Bonarda")</f>
        <v>Bonarda</v>
      </c>
      <c r="G242" s="2"/>
      <c r="H242" s="2">
        <f ca="1">IFERROR(__xludf.DUMMYFUNCTION("""COMPUTED_VALUE"""),38500)</f>
        <v>38500</v>
      </c>
      <c r="I242" s="2" t="str">
        <f ca="1">IFERROR(__xludf.DUMMYFUNCTION("""COMPUTED_VALUE"""),"Encube")</f>
        <v>Encube</v>
      </c>
      <c r="J242" s="2" t="str">
        <f ca="1">IFERROR(__xludf.DUMMYFUNCTION("""COMPUTED_VALUE"""),"5974 , 5972 , 5976 , 5978 , 5979")</f>
        <v>5974 , 5972 , 5976 , 5978 , 5979</v>
      </c>
      <c r="K242" s="2" t="str">
        <f ca="1">IFERROR(__xludf.DUMMYFUNCTION("""COMPUTED_VALUE"""),"Fermentando")</f>
        <v>Fermentando</v>
      </c>
      <c r="L242" s="2"/>
      <c r="M242" s="2"/>
    </row>
    <row r="243" spans="1:13" x14ac:dyDescent="0.25">
      <c r="A243" s="2" t="str">
        <f ca="1">IFERROR(__xludf.DUMMYFUNCTION("""COMPUTED_VALUE"""),"8c8ffb39")</f>
        <v>8c8ffb39</v>
      </c>
      <c r="B243" s="2"/>
      <c r="C243" s="3">
        <f ca="1">IFERROR(__xludf.DUMMYFUNCTION("""COMPUTED_VALUE"""),45733.8012384259)</f>
        <v>45733.801238425898</v>
      </c>
      <c r="D243" s="2">
        <f ca="1">IFERROR(__xludf.DUMMYFUNCTION("""COMPUTED_VALUE"""),500)</f>
        <v>500</v>
      </c>
      <c r="E243" s="2">
        <f ca="1">IFERROR(__xludf.DUMMYFUNCTION("""COMPUTED_VALUE"""),200000)</f>
        <v>200000</v>
      </c>
      <c r="F243" s="2" t="str">
        <f ca="1">IFERROR(__xludf.DUMMYFUNCTION("""COMPUTED_VALUE"""),"Ajuste")</f>
        <v>Ajuste</v>
      </c>
      <c r="G243" s="2">
        <f ca="1">IFERROR(__xludf.DUMMYFUNCTION("""COMPUTED_VALUE"""),1)</f>
        <v>1</v>
      </c>
      <c r="H243" s="2">
        <f ca="1">IFERROR(__xludf.DUMMYFUNCTION("""COMPUTED_VALUE"""),1)</f>
        <v>1</v>
      </c>
      <c r="I243" s="2"/>
      <c r="J243" s="2"/>
      <c r="K243" s="2"/>
      <c r="L243" s="2"/>
      <c r="M243" s="2"/>
    </row>
    <row r="244" spans="1:13" x14ac:dyDescent="0.25">
      <c r="A244" s="2" t="str">
        <f ca="1">IFERROR(__xludf.DUMMYFUNCTION("""COMPUTED_VALUE"""),"337ffa98")</f>
        <v>337ffa98</v>
      </c>
      <c r="B244" s="2"/>
      <c r="C244" s="3">
        <f ca="1">IFERROR(__xludf.DUMMYFUNCTION("""COMPUTED_VALUE"""),45733.8325925925)</f>
        <v>45733.832592592502</v>
      </c>
      <c r="D244" s="2">
        <f ca="1">IFERROR(__xludf.DUMMYFUNCTION("""COMPUTED_VALUE"""),78)</f>
        <v>78</v>
      </c>
      <c r="E244" s="2">
        <f ca="1">IFERROR(__xludf.DUMMYFUNCTION("""COMPUTED_VALUE"""),25800)</f>
        <v>25800</v>
      </c>
      <c r="F244" s="2" t="str">
        <f ca="1">IFERROR(__xludf.DUMMYFUNCTION("""COMPUTED_VALUE"""),"Tanat")</f>
        <v>Tanat</v>
      </c>
      <c r="G244" s="2">
        <f ca="1">IFERROR(__xludf.DUMMYFUNCTION("""COMPUTED_VALUE"""),11350)</f>
        <v>11350</v>
      </c>
      <c r="H244" s="2">
        <f ca="1">IFERROR(__xludf.DUMMYFUNCTION("""COMPUTED_VALUE"""),13350)</f>
        <v>13350</v>
      </c>
      <c r="I244" s="2" t="str">
        <f ca="1">IFERROR(__xludf.DUMMYFUNCTION("""COMPUTED_VALUE"""),"20/3
Rico. Hacer azúcar
Se puede juntar con la 70")</f>
        <v>20/3
Rico. Hacer azúcar
Se puede juntar con la 70</v>
      </c>
      <c r="J244" s="2"/>
      <c r="K244" s="2" t="str">
        <f ca="1">IFERROR(__xludf.DUMMYFUNCTION("""COMPUTED_VALUE"""),"Fermentando")</f>
        <v>Fermentando</v>
      </c>
      <c r="L244" s="2"/>
      <c r="M244" s="2"/>
    </row>
    <row r="245" spans="1:13" x14ac:dyDescent="0.25">
      <c r="A245" s="2" t="str">
        <f ca="1">IFERROR(__xludf.DUMMYFUNCTION("""COMPUTED_VALUE"""),"76ba7fdf")</f>
        <v>76ba7fdf</v>
      </c>
      <c r="B245" s="2"/>
      <c r="C245" s="3">
        <f ca="1">IFERROR(__xludf.DUMMYFUNCTION("""COMPUTED_VALUE"""),45733.8422569444)</f>
        <v>45733.842256944401</v>
      </c>
      <c r="D245" s="2">
        <f ca="1">IFERROR(__xludf.DUMMYFUNCTION("""COMPUTED_VALUE"""),90)</f>
        <v>90</v>
      </c>
      <c r="E245" s="2">
        <f ca="1">IFERROR(__xludf.DUMMYFUNCTION("""COMPUTED_VALUE"""),97500)</f>
        <v>97500</v>
      </c>
      <c r="F245" s="2" t="str">
        <f ca="1">IFERROR(__xludf.DUMMYFUNCTION("""COMPUTED_VALUE"""),"Ancellotta Tempranillo")</f>
        <v>Ancellotta Tempranillo</v>
      </c>
      <c r="G245" s="2">
        <f ca="1">IFERROR(__xludf.DUMMYFUNCTION("""COMPUTED_VALUE"""),52900)</f>
        <v>52900</v>
      </c>
      <c r="H245" s="2">
        <f ca="1">IFERROR(__xludf.DUMMYFUNCTION("""COMPUTED_VALUE"""),61800)</f>
        <v>61800</v>
      </c>
      <c r="I245" s="2"/>
      <c r="J245" s="2"/>
      <c r="K245" s="2" t="str">
        <f ca="1">IFERROR(__xludf.DUMMYFUNCTION("""COMPUTED_VALUE"""),"Fermentando")</f>
        <v>Fermentando</v>
      </c>
      <c r="L245" s="2"/>
      <c r="M245" s="2"/>
    </row>
    <row r="246" spans="1:13" x14ac:dyDescent="0.25">
      <c r="A246" s="2" t="str">
        <f ca="1">IFERROR(__xludf.DUMMYFUNCTION("""COMPUTED_VALUE"""),"de74d539")</f>
        <v>de74d539</v>
      </c>
      <c r="B246" s="2"/>
      <c r="C246" s="3">
        <f ca="1">IFERROR(__xludf.DUMMYFUNCTION("""COMPUTED_VALUE"""),45733.8445949074)</f>
        <v>45733.844594907401</v>
      </c>
      <c r="D246" s="2">
        <f ca="1">IFERROR(__xludf.DUMMYFUNCTION("""COMPUTED_VALUE"""),90)</f>
        <v>90</v>
      </c>
      <c r="E246" s="2">
        <f ca="1">IFERROR(__xludf.DUMMYFUNCTION("""COMPUTED_VALUE"""),97500)</f>
        <v>97500</v>
      </c>
      <c r="F246" s="2" t="str">
        <f ca="1">IFERROR(__xludf.DUMMYFUNCTION("""COMPUTED_VALUE"""),"Ancellotta Tempranillo")</f>
        <v>Ancellotta Tempranillo</v>
      </c>
      <c r="G246" s="2">
        <f ca="1">IFERROR(__xludf.DUMMYFUNCTION("""COMPUTED_VALUE"""),61800)</f>
        <v>61800</v>
      </c>
      <c r="H246" s="2">
        <f ca="1">IFERROR(__xludf.DUMMYFUNCTION("""COMPUTED_VALUE"""),74000)</f>
        <v>74000</v>
      </c>
      <c r="I246" s="2"/>
      <c r="J246" s="2"/>
      <c r="K246" s="2" t="str">
        <f ca="1">IFERROR(__xludf.DUMMYFUNCTION("""COMPUTED_VALUE"""),"Fermentando")</f>
        <v>Fermentando</v>
      </c>
      <c r="L246" s="2"/>
      <c r="M246" s="2"/>
    </row>
    <row r="247" spans="1:13" x14ac:dyDescent="0.25">
      <c r="A247" s="2" t="str">
        <f ca="1">IFERROR(__xludf.DUMMYFUNCTION("""COMPUTED_VALUE"""),"79be12ab")</f>
        <v>79be12ab</v>
      </c>
      <c r="B247" s="2"/>
      <c r="C247" s="3">
        <f ca="1">IFERROR(__xludf.DUMMYFUNCTION("""COMPUTED_VALUE"""),45734.3657407407)</f>
        <v>45734.365740740701</v>
      </c>
      <c r="D247" s="2">
        <f ca="1">IFERROR(__xludf.DUMMYFUNCTION("""COMPUTED_VALUE"""),500)</f>
        <v>500</v>
      </c>
      <c r="E247" s="2">
        <f ca="1">IFERROR(__xludf.DUMMYFUNCTION("""COMPUTED_VALUE"""),200000)</f>
        <v>200000</v>
      </c>
      <c r="F247" s="2" t="str">
        <f ca="1">IFERROR(__xludf.DUMMYFUNCTION("""COMPUTED_VALUE"""),"Ajuste")</f>
        <v>Ajuste</v>
      </c>
      <c r="G247" s="2">
        <f ca="1">IFERROR(__xludf.DUMMYFUNCTION("""COMPUTED_VALUE"""),-12199)</f>
        <v>-12199</v>
      </c>
      <c r="H247" s="2">
        <f ca="1">IFERROR(__xludf.DUMMYFUNCTION("""COMPUTED_VALUE"""),-13049)</f>
        <v>-13049</v>
      </c>
      <c r="I247" s="2"/>
      <c r="J247" s="2"/>
      <c r="K247" s="2"/>
      <c r="L247" s="2"/>
      <c r="M247" s="2"/>
    </row>
    <row r="248" spans="1:13" x14ac:dyDescent="0.25">
      <c r="A248" s="2" t="str">
        <f ca="1">IFERROR(__xludf.DUMMYFUNCTION("""COMPUTED_VALUE"""),"898d9689")</f>
        <v>898d9689</v>
      </c>
      <c r="B248" s="2"/>
      <c r="C248" s="3">
        <f ca="1">IFERROR(__xludf.DUMMYFUNCTION("""COMPUTED_VALUE"""),45734.3667361111)</f>
        <v>45734.3667361111</v>
      </c>
      <c r="D248" s="2">
        <f ca="1">IFERROR(__xludf.DUMMYFUNCTION("""COMPUTED_VALUE"""),500)</f>
        <v>500</v>
      </c>
      <c r="E248" s="2">
        <f ca="1">IFERROR(__xludf.DUMMYFUNCTION("""COMPUTED_VALUE"""),200000)</f>
        <v>200000</v>
      </c>
      <c r="F248" s="2" t="str">
        <f ca="1">IFERROR(__xludf.DUMMYFUNCTION("""COMPUTED_VALUE"""),"Ajuste")</f>
        <v>Ajuste</v>
      </c>
      <c r="G248" s="2">
        <f ca="1">IFERROR(__xludf.DUMMYFUNCTION("""COMPUTED_VALUE"""),-13049)</f>
        <v>-13049</v>
      </c>
      <c r="H248" s="2">
        <f ca="1">IFERROR(__xludf.DUMMYFUNCTION("""COMPUTED_VALUE"""),-13749)</f>
        <v>-13749</v>
      </c>
      <c r="I248" s="2"/>
      <c r="J248" s="2"/>
      <c r="K248" s="2"/>
      <c r="L248" s="2"/>
      <c r="M248" s="2"/>
    </row>
    <row r="249" spans="1:13" x14ac:dyDescent="0.25">
      <c r="A249" s="2" t="str">
        <f ca="1">IFERROR(__xludf.DUMMYFUNCTION("""COMPUTED_VALUE"""),"8d3c8a21")</f>
        <v>8d3c8a21</v>
      </c>
      <c r="B249" s="2"/>
      <c r="C249" s="3">
        <f ca="1">IFERROR(__xludf.DUMMYFUNCTION("""COMPUTED_VALUE"""),45734.3682523148)</f>
        <v>45734.368252314802</v>
      </c>
      <c r="D249" s="2">
        <f ca="1">IFERROR(__xludf.DUMMYFUNCTION("""COMPUTED_VALUE"""),500)</f>
        <v>500</v>
      </c>
      <c r="E249" s="2">
        <f ca="1">IFERROR(__xludf.DUMMYFUNCTION("""COMPUTED_VALUE"""),200000)</f>
        <v>200000</v>
      </c>
      <c r="F249" s="2" t="str">
        <f ca="1">IFERROR(__xludf.DUMMYFUNCTION("""COMPUTED_VALUE"""),"Ajuste")</f>
        <v>Ajuste</v>
      </c>
      <c r="G249" s="2">
        <f ca="1">IFERROR(__xludf.DUMMYFUNCTION("""COMPUTED_VALUE"""),-13749)</f>
        <v>-13749</v>
      </c>
      <c r="H249" s="2">
        <f ca="1">IFERROR(__xludf.DUMMYFUNCTION("""COMPUTED_VALUE"""),-13199)</f>
        <v>-13199</v>
      </c>
      <c r="I249" s="2"/>
      <c r="J249" s="2"/>
      <c r="K249" s="2"/>
      <c r="L249" s="2"/>
      <c r="M249" s="2"/>
    </row>
    <row r="250" spans="1:13" x14ac:dyDescent="0.25">
      <c r="A250" s="2" t="str">
        <f ca="1">IFERROR(__xludf.DUMMYFUNCTION("""COMPUTED_VALUE"""),"71f4b567")</f>
        <v>71f4b567</v>
      </c>
      <c r="B250" s="2"/>
      <c r="C250" s="3">
        <f ca="1">IFERROR(__xludf.DUMMYFUNCTION("""COMPUTED_VALUE"""),45734.3688078703)</f>
        <v>45734.368807870298</v>
      </c>
      <c r="D250" s="2">
        <f ca="1">IFERROR(__xludf.DUMMYFUNCTION("""COMPUTED_VALUE"""),500)</f>
        <v>500</v>
      </c>
      <c r="E250" s="2">
        <f ca="1">IFERROR(__xludf.DUMMYFUNCTION("""COMPUTED_VALUE"""),200000)</f>
        <v>200000</v>
      </c>
      <c r="F250" s="2" t="str">
        <f ca="1">IFERROR(__xludf.DUMMYFUNCTION("""COMPUTED_VALUE"""),"Ajuste")</f>
        <v>Ajuste</v>
      </c>
      <c r="G250" s="2">
        <f ca="1">IFERROR(__xludf.DUMMYFUNCTION("""COMPUTED_VALUE"""),-13199)</f>
        <v>-13199</v>
      </c>
      <c r="H250" s="2">
        <f ca="1">IFERROR(__xludf.DUMMYFUNCTION("""COMPUTED_VALUE"""),-12199)</f>
        <v>-12199</v>
      </c>
      <c r="I250" s="2"/>
      <c r="J250" s="2"/>
      <c r="K250" s="2"/>
      <c r="L250" s="2"/>
      <c r="M250" s="2"/>
    </row>
    <row r="251" spans="1:13" x14ac:dyDescent="0.25">
      <c r="A251" s="2" t="str">
        <f ca="1">IFERROR(__xludf.DUMMYFUNCTION("""COMPUTED_VALUE"""),"a9139adb")</f>
        <v>a9139adb</v>
      </c>
      <c r="B251" s="2"/>
      <c r="C251" s="3">
        <f ca="1">IFERROR(__xludf.DUMMYFUNCTION("""COMPUTED_VALUE"""),45734.3697337962)</f>
        <v>45734.3697337962</v>
      </c>
      <c r="D251" s="2">
        <f ca="1">IFERROR(__xludf.DUMMYFUNCTION("""COMPUTED_VALUE"""),500)</f>
        <v>500</v>
      </c>
      <c r="E251" s="2">
        <f ca="1">IFERROR(__xludf.DUMMYFUNCTION("""COMPUTED_VALUE"""),200000)</f>
        <v>200000</v>
      </c>
      <c r="F251" s="2" t="str">
        <f ca="1">IFERROR(__xludf.DUMMYFUNCTION("""COMPUTED_VALUE"""),"Ajuste")</f>
        <v>Ajuste</v>
      </c>
      <c r="G251" s="2">
        <f ca="1">IFERROR(__xludf.DUMMYFUNCTION("""COMPUTED_VALUE"""),-12199)</f>
        <v>-12199</v>
      </c>
      <c r="H251" s="2">
        <f ca="1">IFERROR(__xludf.DUMMYFUNCTION("""COMPUTED_VALUE"""),-9599)</f>
        <v>-9599</v>
      </c>
      <c r="I251" s="2"/>
      <c r="J251" s="2"/>
      <c r="K251" s="2"/>
      <c r="L251" s="2"/>
      <c r="M251" s="2"/>
    </row>
    <row r="252" spans="1:13" x14ac:dyDescent="0.25">
      <c r="A252" s="2" t="str">
        <f ca="1">IFERROR(__xludf.DUMMYFUNCTION("""COMPUTED_VALUE"""),"4a34674d")</f>
        <v>4a34674d</v>
      </c>
      <c r="B252" s="2"/>
      <c r="C252" s="3">
        <f ca="1">IFERROR(__xludf.DUMMYFUNCTION("""COMPUTED_VALUE"""),45734.3705092592)</f>
        <v>45734.370509259199</v>
      </c>
      <c r="D252" s="2">
        <f ca="1">IFERROR(__xludf.DUMMYFUNCTION("""COMPUTED_VALUE"""),500)</f>
        <v>500</v>
      </c>
      <c r="E252" s="2">
        <f ca="1">IFERROR(__xludf.DUMMYFUNCTION("""COMPUTED_VALUE"""),200000)</f>
        <v>200000</v>
      </c>
      <c r="F252" s="2" t="str">
        <f ca="1">IFERROR(__xludf.DUMMYFUNCTION("""COMPUTED_VALUE"""),"Ajuste")</f>
        <v>Ajuste</v>
      </c>
      <c r="G252" s="2">
        <f ca="1">IFERROR(__xludf.DUMMYFUNCTION("""COMPUTED_VALUE"""),-9599)</f>
        <v>-9599</v>
      </c>
      <c r="H252" s="2">
        <f ca="1">IFERROR(__xludf.DUMMYFUNCTION("""COMPUTED_VALUE"""),-12699)</f>
        <v>-12699</v>
      </c>
      <c r="I252" s="2"/>
      <c r="J252" s="2"/>
      <c r="K252" s="2"/>
      <c r="L252" s="2"/>
      <c r="M252" s="2"/>
    </row>
    <row r="253" spans="1:13" x14ac:dyDescent="0.25">
      <c r="A253" s="2" t="str">
        <f ca="1">IFERROR(__xludf.DUMMYFUNCTION("""COMPUTED_VALUE"""),"5020af35")</f>
        <v>5020af35</v>
      </c>
      <c r="B253" s="2"/>
      <c r="C253" s="3">
        <f ca="1">IFERROR(__xludf.DUMMYFUNCTION("""COMPUTED_VALUE"""),45734.3724537037)</f>
        <v>45734.372453703698</v>
      </c>
      <c r="D253" s="2">
        <f ca="1">IFERROR(__xludf.DUMMYFUNCTION("""COMPUTED_VALUE"""),500)</f>
        <v>500</v>
      </c>
      <c r="E253" s="2">
        <f ca="1">IFERROR(__xludf.DUMMYFUNCTION("""COMPUTED_VALUE"""),200000)</f>
        <v>200000</v>
      </c>
      <c r="F253" s="2" t="str">
        <f ca="1">IFERROR(__xludf.DUMMYFUNCTION("""COMPUTED_VALUE"""),"Ajuste")</f>
        <v>Ajuste</v>
      </c>
      <c r="G253" s="2">
        <f ca="1">IFERROR(__xludf.DUMMYFUNCTION("""COMPUTED_VALUE"""),-12699)</f>
        <v>-12699</v>
      </c>
      <c r="H253" s="2">
        <f ca="1">IFERROR(__xludf.DUMMYFUNCTION("""COMPUTED_VALUE"""),-17349)</f>
        <v>-17349</v>
      </c>
      <c r="I253" s="2"/>
      <c r="J253" s="2"/>
      <c r="K253" s="2"/>
      <c r="L253" s="2"/>
      <c r="M253" s="2"/>
    </row>
    <row r="254" spans="1:13" x14ac:dyDescent="0.25">
      <c r="A254" s="2" t="str">
        <f ca="1">IFERROR(__xludf.DUMMYFUNCTION("""COMPUTED_VALUE"""),"3eacd39c")</f>
        <v>3eacd39c</v>
      </c>
      <c r="B254" s="2"/>
      <c r="C254" s="3">
        <f ca="1">IFERROR(__xludf.DUMMYFUNCTION("""COMPUTED_VALUE"""),45734.3746875)</f>
        <v>45734.3746875</v>
      </c>
      <c r="D254" s="2">
        <f ca="1">IFERROR(__xludf.DUMMYFUNCTION("""COMPUTED_VALUE"""),500)</f>
        <v>500</v>
      </c>
      <c r="E254" s="2">
        <f ca="1">IFERROR(__xludf.DUMMYFUNCTION("""COMPUTED_VALUE"""),200000)</f>
        <v>200000</v>
      </c>
      <c r="F254" s="2" t="str">
        <f ca="1">IFERROR(__xludf.DUMMYFUNCTION("""COMPUTED_VALUE"""),"Ajuste")</f>
        <v>Ajuste</v>
      </c>
      <c r="G254" s="2">
        <f ca="1">IFERROR(__xludf.DUMMYFUNCTION("""COMPUTED_VALUE"""),-17349)</f>
        <v>-17349</v>
      </c>
      <c r="H254" s="2">
        <f ca="1">IFERROR(__xludf.DUMMYFUNCTION("""COMPUTED_VALUE"""),-20699)</f>
        <v>-20699</v>
      </c>
      <c r="I254" s="2"/>
      <c r="J254" s="2"/>
      <c r="K254" s="2"/>
      <c r="L254" s="2"/>
      <c r="M254" s="2"/>
    </row>
    <row r="255" spans="1:13" x14ac:dyDescent="0.25">
      <c r="A255" s="2" t="str">
        <f ca="1">IFERROR(__xludf.DUMMYFUNCTION("""COMPUTED_VALUE"""),"562f51a9")</f>
        <v>562f51a9</v>
      </c>
      <c r="B255" s="2"/>
      <c r="C255" s="3">
        <f ca="1">IFERROR(__xludf.DUMMYFUNCTION("""COMPUTED_VALUE"""),45734.3752893518)</f>
        <v>45734.375289351803</v>
      </c>
      <c r="D255" s="2">
        <f ca="1">IFERROR(__xludf.DUMMYFUNCTION("""COMPUTED_VALUE"""),500)</f>
        <v>500</v>
      </c>
      <c r="E255" s="2">
        <f ca="1">IFERROR(__xludf.DUMMYFUNCTION("""COMPUTED_VALUE"""),200000)</f>
        <v>200000</v>
      </c>
      <c r="F255" s="2" t="str">
        <f ca="1">IFERROR(__xludf.DUMMYFUNCTION("""COMPUTED_VALUE"""),"Ajuste")</f>
        <v>Ajuste</v>
      </c>
      <c r="G255" s="2">
        <f ca="1">IFERROR(__xludf.DUMMYFUNCTION("""COMPUTED_VALUE"""),-20699)</f>
        <v>-20699</v>
      </c>
      <c r="H255" s="2">
        <f ca="1">IFERROR(__xludf.DUMMYFUNCTION("""COMPUTED_VALUE"""),-23399)</f>
        <v>-23399</v>
      </c>
      <c r="I255" s="2"/>
      <c r="J255" s="2"/>
      <c r="K255" s="2"/>
      <c r="L255" s="2"/>
      <c r="M255" s="2"/>
    </row>
    <row r="256" spans="1:13" x14ac:dyDescent="0.25">
      <c r="A256" s="2" t="str">
        <f ca="1">IFERROR(__xludf.DUMMYFUNCTION("""COMPUTED_VALUE"""),"5cc545be")</f>
        <v>5cc545be</v>
      </c>
      <c r="B256" s="2"/>
      <c r="C256" s="3">
        <f ca="1">IFERROR(__xludf.DUMMYFUNCTION("""COMPUTED_VALUE"""),45734.376099537)</f>
        <v>45734.376099537003</v>
      </c>
      <c r="D256" s="2">
        <f ca="1">IFERROR(__xludf.DUMMYFUNCTION("""COMPUTED_VALUE"""),500)</f>
        <v>500</v>
      </c>
      <c r="E256" s="2">
        <f ca="1">IFERROR(__xludf.DUMMYFUNCTION("""COMPUTED_VALUE"""),200000)</f>
        <v>200000</v>
      </c>
      <c r="F256" s="2" t="str">
        <f ca="1">IFERROR(__xludf.DUMMYFUNCTION("""COMPUTED_VALUE"""),"Ajuste")</f>
        <v>Ajuste</v>
      </c>
      <c r="G256" s="2">
        <f ca="1">IFERROR(__xludf.DUMMYFUNCTION("""COMPUTED_VALUE"""),-23399)</f>
        <v>-23399</v>
      </c>
      <c r="H256" s="2">
        <f ca="1">IFERROR(__xludf.DUMMYFUNCTION("""COMPUTED_VALUE"""),-24399)</f>
        <v>-24399</v>
      </c>
      <c r="I256" s="2"/>
      <c r="J256" s="2"/>
      <c r="K256" s="2"/>
      <c r="L256" s="2"/>
      <c r="M256" s="2"/>
    </row>
    <row r="257" spans="1:13" x14ac:dyDescent="0.25">
      <c r="A257" s="2" t="str">
        <f ca="1">IFERROR(__xludf.DUMMYFUNCTION("""COMPUTED_VALUE"""),"e861b4fa")</f>
        <v>e861b4fa</v>
      </c>
      <c r="B257" s="2"/>
      <c r="C257" s="3">
        <f ca="1">IFERROR(__xludf.DUMMYFUNCTION("""COMPUTED_VALUE"""),45734.3769212962)</f>
        <v>45734.3769212962</v>
      </c>
      <c r="D257" s="2">
        <f ca="1">IFERROR(__xludf.DUMMYFUNCTION("""COMPUTED_VALUE"""),500)</f>
        <v>500</v>
      </c>
      <c r="E257" s="2">
        <f ca="1">IFERROR(__xludf.DUMMYFUNCTION("""COMPUTED_VALUE"""),200000)</f>
        <v>200000</v>
      </c>
      <c r="F257" s="2" t="str">
        <f ca="1">IFERROR(__xludf.DUMMYFUNCTION("""COMPUTED_VALUE"""),"Ajuste")</f>
        <v>Ajuste</v>
      </c>
      <c r="G257" s="2">
        <f ca="1">IFERROR(__xludf.DUMMYFUNCTION("""COMPUTED_VALUE"""),-24399)</f>
        <v>-24399</v>
      </c>
      <c r="H257" s="2">
        <f ca="1">IFERROR(__xludf.DUMMYFUNCTION("""COMPUTED_VALUE"""),-20299)</f>
        <v>-20299</v>
      </c>
      <c r="I257" s="2"/>
      <c r="J257" s="2"/>
      <c r="K257" s="2"/>
      <c r="L257" s="2"/>
      <c r="M257" s="2"/>
    </row>
    <row r="258" spans="1:13" x14ac:dyDescent="0.25">
      <c r="A258" s="2" t="str">
        <f ca="1">IFERROR(__xludf.DUMMYFUNCTION("""COMPUTED_VALUE"""),"d607821f")</f>
        <v>d607821f</v>
      </c>
      <c r="B258" s="2"/>
      <c r="C258" s="3">
        <f ca="1">IFERROR(__xludf.DUMMYFUNCTION("""COMPUTED_VALUE"""),45734.3773611111)</f>
        <v>45734.377361111103</v>
      </c>
      <c r="D258" s="2">
        <f ca="1">IFERROR(__xludf.DUMMYFUNCTION("""COMPUTED_VALUE"""),500)</f>
        <v>500</v>
      </c>
      <c r="E258" s="2">
        <f ca="1">IFERROR(__xludf.DUMMYFUNCTION("""COMPUTED_VALUE"""),200000)</f>
        <v>200000</v>
      </c>
      <c r="F258" s="2" t="str">
        <f ca="1">IFERROR(__xludf.DUMMYFUNCTION("""COMPUTED_VALUE"""),"Ajuste")</f>
        <v>Ajuste</v>
      </c>
      <c r="G258" s="2">
        <f ca="1">IFERROR(__xludf.DUMMYFUNCTION("""COMPUTED_VALUE"""),-20299)</f>
        <v>-20299</v>
      </c>
      <c r="H258" s="2">
        <f ca="1">IFERROR(__xludf.DUMMYFUNCTION("""COMPUTED_VALUE"""),-17799)</f>
        <v>-17799</v>
      </c>
      <c r="I258" s="2"/>
      <c r="J258" s="2"/>
      <c r="K258" s="2"/>
      <c r="L258" s="2"/>
      <c r="M258" s="2"/>
    </row>
    <row r="259" spans="1:13" x14ac:dyDescent="0.25">
      <c r="A259" s="2" t="str">
        <f ca="1">IFERROR(__xludf.DUMMYFUNCTION("""COMPUTED_VALUE"""),"84282478")</f>
        <v>84282478</v>
      </c>
      <c r="B259" s="2"/>
      <c r="C259" s="3">
        <f ca="1">IFERROR(__xludf.DUMMYFUNCTION("""COMPUTED_VALUE"""),45734.3778472222)</f>
        <v>45734.377847222197</v>
      </c>
      <c r="D259" s="2">
        <f ca="1">IFERROR(__xludf.DUMMYFUNCTION("""COMPUTED_VALUE"""),500)</f>
        <v>500</v>
      </c>
      <c r="E259" s="2">
        <f ca="1">IFERROR(__xludf.DUMMYFUNCTION("""COMPUTED_VALUE"""),200000)</f>
        <v>200000</v>
      </c>
      <c r="F259" s="2" t="str">
        <f ca="1">IFERROR(__xludf.DUMMYFUNCTION("""COMPUTED_VALUE"""),"Ajuste")</f>
        <v>Ajuste</v>
      </c>
      <c r="G259" s="2">
        <f ca="1">IFERROR(__xludf.DUMMYFUNCTION("""COMPUTED_VALUE"""),-17799)</f>
        <v>-17799</v>
      </c>
      <c r="H259" s="2">
        <f ca="1">IFERROR(__xludf.DUMMYFUNCTION("""COMPUTED_VALUE"""),-20599)</f>
        <v>-20599</v>
      </c>
      <c r="I259" s="2"/>
      <c r="J259" s="2"/>
      <c r="K259" s="2"/>
      <c r="L259" s="2"/>
      <c r="M259" s="2"/>
    </row>
    <row r="260" spans="1:13" x14ac:dyDescent="0.25">
      <c r="A260" s="2" t="str">
        <f ca="1">IFERROR(__xludf.DUMMYFUNCTION("""COMPUTED_VALUE"""),"41c8d398")</f>
        <v>41c8d398</v>
      </c>
      <c r="B260" s="2"/>
      <c r="C260" s="3">
        <f ca="1">IFERROR(__xludf.DUMMYFUNCTION("""COMPUTED_VALUE"""),45734.3783333333)</f>
        <v>45734.378333333298</v>
      </c>
      <c r="D260" s="2">
        <f ca="1">IFERROR(__xludf.DUMMYFUNCTION("""COMPUTED_VALUE"""),500)</f>
        <v>500</v>
      </c>
      <c r="E260" s="2">
        <f ca="1">IFERROR(__xludf.DUMMYFUNCTION("""COMPUTED_VALUE"""),200000)</f>
        <v>200000</v>
      </c>
      <c r="F260" s="2" t="str">
        <f ca="1">IFERROR(__xludf.DUMMYFUNCTION("""COMPUTED_VALUE"""),"Ajuste")</f>
        <v>Ajuste</v>
      </c>
      <c r="G260" s="2">
        <f ca="1">IFERROR(__xludf.DUMMYFUNCTION("""COMPUTED_VALUE"""),-20599)</f>
        <v>-20599</v>
      </c>
      <c r="H260" s="2">
        <f ca="1">IFERROR(__xludf.DUMMYFUNCTION("""COMPUTED_VALUE"""),-19599)</f>
        <v>-19599</v>
      </c>
      <c r="I260" s="2"/>
      <c r="J260" s="2"/>
      <c r="K260" s="2"/>
      <c r="L260" s="2"/>
      <c r="M260" s="2"/>
    </row>
    <row r="261" spans="1:13" x14ac:dyDescent="0.25">
      <c r="A261" s="2" t="str">
        <f ca="1">IFERROR(__xludf.DUMMYFUNCTION("""COMPUTED_VALUE"""),"5c98aafc")</f>
        <v>5c98aafc</v>
      </c>
      <c r="B261" s="2"/>
      <c r="C261" s="3">
        <f ca="1">IFERROR(__xludf.DUMMYFUNCTION("""COMPUTED_VALUE"""),45734.3788425925)</f>
        <v>45734.378842592501</v>
      </c>
      <c r="D261" s="2">
        <f ca="1">IFERROR(__xludf.DUMMYFUNCTION("""COMPUTED_VALUE"""),500)</f>
        <v>500</v>
      </c>
      <c r="E261" s="2">
        <f ca="1">IFERROR(__xludf.DUMMYFUNCTION("""COMPUTED_VALUE"""),200000)</f>
        <v>200000</v>
      </c>
      <c r="F261" s="2" t="str">
        <f ca="1">IFERROR(__xludf.DUMMYFUNCTION("""COMPUTED_VALUE"""),"Ajuste")</f>
        <v>Ajuste</v>
      </c>
      <c r="G261" s="2">
        <f ca="1">IFERROR(__xludf.DUMMYFUNCTION("""COMPUTED_VALUE"""),-19599)</f>
        <v>-19599</v>
      </c>
      <c r="H261" s="2">
        <f ca="1">IFERROR(__xludf.DUMMYFUNCTION("""COMPUTED_VALUE"""),-22299)</f>
        <v>-22299</v>
      </c>
      <c r="I261" s="2"/>
      <c r="J261" s="2"/>
      <c r="K261" s="2"/>
      <c r="L261" s="2"/>
      <c r="M261" s="2"/>
    </row>
    <row r="262" spans="1:13" x14ac:dyDescent="0.25">
      <c r="A262" s="2" t="str">
        <f ca="1">IFERROR(__xludf.DUMMYFUNCTION("""COMPUTED_VALUE"""),"dd4b7b83")</f>
        <v>dd4b7b83</v>
      </c>
      <c r="B262" s="2"/>
      <c r="C262" s="3">
        <f ca="1">IFERROR(__xludf.DUMMYFUNCTION("""COMPUTED_VALUE"""),45734.3795254629)</f>
        <v>45734.3795254629</v>
      </c>
      <c r="D262" s="2">
        <f ca="1">IFERROR(__xludf.DUMMYFUNCTION("""COMPUTED_VALUE"""),500)</f>
        <v>500</v>
      </c>
      <c r="E262" s="2">
        <f ca="1">IFERROR(__xludf.DUMMYFUNCTION("""COMPUTED_VALUE"""),200000)</f>
        <v>200000</v>
      </c>
      <c r="F262" s="2" t="str">
        <f ca="1">IFERROR(__xludf.DUMMYFUNCTION("""COMPUTED_VALUE"""),"Ajuste")</f>
        <v>Ajuste</v>
      </c>
      <c r="G262" s="2">
        <f ca="1">IFERROR(__xludf.DUMMYFUNCTION("""COMPUTED_VALUE"""),-22299)</f>
        <v>-22299</v>
      </c>
      <c r="H262" s="2">
        <f ca="1">IFERROR(__xludf.DUMMYFUNCTION("""COMPUTED_VALUE"""),-19699)</f>
        <v>-19699</v>
      </c>
      <c r="I262" s="2"/>
      <c r="J262" s="2"/>
      <c r="K262" s="2"/>
      <c r="L262" s="2"/>
      <c r="M262" s="2"/>
    </row>
    <row r="263" spans="1:13" x14ac:dyDescent="0.25">
      <c r="A263" s="2" t="str">
        <f ca="1">IFERROR(__xludf.DUMMYFUNCTION("""COMPUTED_VALUE"""),"b5e8d166")</f>
        <v>b5e8d166</v>
      </c>
      <c r="B263" s="2"/>
      <c r="C263" s="3">
        <f ca="1">IFERROR(__xludf.DUMMYFUNCTION("""COMPUTED_VALUE"""),45734.3799884259)</f>
        <v>45734.379988425899</v>
      </c>
      <c r="D263" s="2">
        <f ca="1">IFERROR(__xludf.DUMMYFUNCTION("""COMPUTED_VALUE"""),500)</f>
        <v>500</v>
      </c>
      <c r="E263" s="2">
        <f ca="1">IFERROR(__xludf.DUMMYFUNCTION("""COMPUTED_VALUE"""),200000)</f>
        <v>200000</v>
      </c>
      <c r="F263" s="2" t="str">
        <f ca="1">IFERROR(__xludf.DUMMYFUNCTION("""COMPUTED_VALUE"""),"Ajuste")</f>
        <v>Ajuste</v>
      </c>
      <c r="G263" s="2">
        <f ca="1">IFERROR(__xludf.DUMMYFUNCTION("""COMPUTED_VALUE"""),-19699)</f>
        <v>-19699</v>
      </c>
      <c r="H263" s="2">
        <f ca="1">IFERROR(__xludf.DUMMYFUNCTION("""COMPUTED_VALUE"""),-18699)</f>
        <v>-18699</v>
      </c>
      <c r="I263" s="2"/>
      <c r="J263" s="2"/>
      <c r="K263" s="2"/>
      <c r="L263" s="2"/>
      <c r="M263" s="2"/>
    </row>
    <row r="264" spans="1:13" x14ac:dyDescent="0.25">
      <c r="A264" s="2" t="str">
        <f ca="1">IFERROR(__xludf.DUMMYFUNCTION("""COMPUTED_VALUE"""),"6cba92a2")</f>
        <v>6cba92a2</v>
      </c>
      <c r="B264" s="2"/>
      <c r="C264" s="3">
        <f ca="1">IFERROR(__xludf.DUMMYFUNCTION("""COMPUTED_VALUE"""),45734.3806712963)</f>
        <v>45734.380671296298</v>
      </c>
      <c r="D264" s="2">
        <f ca="1">IFERROR(__xludf.DUMMYFUNCTION("""COMPUTED_VALUE"""),500)</f>
        <v>500</v>
      </c>
      <c r="E264" s="2">
        <f ca="1">IFERROR(__xludf.DUMMYFUNCTION("""COMPUTED_VALUE"""),200000)</f>
        <v>200000</v>
      </c>
      <c r="F264" s="2" t="str">
        <f ca="1">IFERROR(__xludf.DUMMYFUNCTION("""COMPUTED_VALUE"""),"Ajuste")</f>
        <v>Ajuste</v>
      </c>
      <c r="G264" s="2">
        <f ca="1">IFERROR(__xludf.DUMMYFUNCTION("""COMPUTED_VALUE"""),-18699)</f>
        <v>-18699</v>
      </c>
      <c r="H264" s="2">
        <f ca="1">IFERROR(__xludf.DUMMYFUNCTION("""COMPUTED_VALUE"""),19300)</f>
        <v>19300</v>
      </c>
      <c r="I264" s="2" t="str">
        <f ca="1">IFERROR(__xludf.DUMMYFUNCTION("""COMPUTED_VALUE"""),"Ajuste final del Arqueo 17/03/25  - 19300 lts")</f>
        <v>Ajuste final del Arqueo 17/03/25  - 19300 lts</v>
      </c>
      <c r="J264" s="2"/>
      <c r="K264" s="2" t="str">
        <f ca="1">IFERROR(__xludf.DUMMYFUNCTION("""COMPUTED_VALUE"""),"Terminado")</f>
        <v>Terminado</v>
      </c>
      <c r="L264" s="2"/>
      <c r="M264" s="2"/>
    </row>
    <row r="265" spans="1:13" x14ac:dyDescent="0.25">
      <c r="A265" s="2" t="str">
        <f ca="1">IFERROR(__xludf.DUMMYFUNCTION("""COMPUTED_VALUE"""),"0d46ca84")</f>
        <v>0d46ca84</v>
      </c>
      <c r="B265" s="2"/>
      <c r="C265" s="3">
        <f ca="1">IFERROR(__xludf.DUMMYFUNCTION("""COMPUTED_VALUE"""),45734.3866782407)</f>
        <v>45734.386678240699</v>
      </c>
      <c r="D265" s="2">
        <f ca="1">IFERROR(__xludf.DUMMYFUNCTION("""COMPUTED_VALUE"""),42)</f>
        <v>42</v>
      </c>
      <c r="E265" s="2">
        <f ca="1">IFERROR(__xludf.DUMMYFUNCTION("""COMPUTED_VALUE"""),35900)</f>
        <v>35900</v>
      </c>
      <c r="F265" s="2" t="str">
        <f ca="1">IFERROR(__xludf.DUMMYFUNCTION("""COMPUTED_VALUE"""),"Aspirant Anccelota Gota")</f>
        <v>Aspirant Anccelota Gota</v>
      </c>
      <c r="G265" s="2">
        <f ca="1">IFERROR(__xludf.DUMMYFUNCTION("""COMPUTED_VALUE"""),32900)</f>
        <v>32900</v>
      </c>
      <c r="H265" s="2">
        <f ca="1">IFERROR(__xludf.DUMMYFUNCTION("""COMPUTED_VALUE"""),35900)</f>
        <v>35900</v>
      </c>
      <c r="I265" s="2"/>
      <c r="J265" s="2"/>
      <c r="K265" s="2" t="str">
        <f ca="1">IFERROR(__xludf.DUMMYFUNCTION("""COMPUTED_VALUE"""),"1er Trasiego")</f>
        <v>1er Trasiego</v>
      </c>
      <c r="L265" s="2"/>
      <c r="M265" s="2"/>
    </row>
    <row r="266" spans="1:13" x14ac:dyDescent="0.25">
      <c r="A266" s="2" t="str">
        <f ca="1">IFERROR(__xludf.DUMMYFUNCTION("""COMPUTED_VALUE"""),"92bbed34")</f>
        <v>92bbed34</v>
      </c>
      <c r="B266" s="2"/>
      <c r="C266" s="3">
        <f ca="1">IFERROR(__xludf.DUMMYFUNCTION("""COMPUTED_VALUE"""),45734.3881018518)</f>
        <v>45734.3881018518</v>
      </c>
      <c r="D266" s="2">
        <f ca="1">IFERROR(__xludf.DUMMYFUNCTION("""COMPUTED_VALUE"""),46)</f>
        <v>46</v>
      </c>
      <c r="E266" s="2">
        <f ca="1">IFERROR(__xludf.DUMMYFUNCTION("""COMPUTED_VALUE"""),29000)</f>
        <v>29000</v>
      </c>
      <c r="F266" s="2" t="str">
        <f ca="1">IFERROR(__xludf.DUMMYFUNCTION("""COMPUTED_VALUE"""),"Malbec Gota")</f>
        <v>Malbec Gota</v>
      </c>
      <c r="G266" s="2">
        <f ca="1">IFERROR(__xludf.DUMMYFUNCTION("""COMPUTED_VALUE"""),0)</f>
        <v>0</v>
      </c>
      <c r="H266" s="2">
        <f ca="1">IFERROR(__xludf.DUMMYFUNCTION("""COMPUTED_VALUE"""),29000)</f>
        <v>29000</v>
      </c>
      <c r="I266" s="2"/>
      <c r="J266" s="2"/>
      <c r="K266" s="2" t="str">
        <f ca="1">IFERROR(__xludf.DUMMYFUNCTION("""COMPUTED_VALUE"""),"1er Trasiego")</f>
        <v>1er Trasiego</v>
      </c>
      <c r="L266" s="2"/>
      <c r="M266" s="2"/>
    </row>
    <row r="267" spans="1:13" x14ac:dyDescent="0.25">
      <c r="A267" s="2" t="str">
        <f ca="1">IFERROR(__xludf.DUMMYFUNCTION("""COMPUTED_VALUE"""),"c3e5d902")</f>
        <v>c3e5d902</v>
      </c>
      <c r="B267" s="2"/>
      <c r="C267" s="3">
        <f ca="1">IFERROR(__xludf.DUMMYFUNCTION("""COMPUTED_VALUE"""),45734.394074074)</f>
        <v>45734.394074074</v>
      </c>
      <c r="D267" s="2">
        <f ca="1">IFERROR(__xludf.DUMMYFUNCTION("""COMPUTED_VALUE"""),65)</f>
        <v>65</v>
      </c>
      <c r="E267" s="2">
        <f ca="1">IFERROR(__xludf.DUMMYFUNCTION("""COMPUTED_VALUE"""),35500)</f>
        <v>35500</v>
      </c>
      <c r="F267" s="2" t="str">
        <f ca="1">IFERROR(__xludf.DUMMYFUNCTION("""COMPUTED_VALUE"""),"Pedro Gimenez")</f>
        <v>Pedro Gimenez</v>
      </c>
      <c r="G267" s="2"/>
      <c r="H267" s="2">
        <f ca="1">IFERROR(__xludf.DUMMYFUNCTION("""COMPUTED_VALUE"""),20800)</f>
        <v>20800</v>
      </c>
      <c r="I267" s="2" t="str">
        <f ca="1">IFERROR(__xludf.DUMMYFUNCTION("""COMPUTED_VALUE"""),"20/3
Fermentando 
Cuando consumo unos dos boome más se agregaron unos 30 g de bentonita")</f>
        <v>20/3
Fermentando 
Cuando consumo unos dos boome más se agregaron unos 30 g de bentonita</v>
      </c>
      <c r="J267" s="2" t="str">
        <f ca="1">IFERROR(__xludf.DUMMYFUNCTION("""COMPUTED_VALUE"""),"5973 , 5975 , 5977")</f>
        <v>5973 , 5975 , 5977</v>
      </c>
      <c r="K267" s="2" t="str">
        <f ca="1">IFERROR(__xludf.DUMMYFUNCTION("""COMPUTED_VALUE"""),"Fermentando")</f>
        <v>Fermentando</v>
      </c>
      <c r="L267" s="2"/>
      <c r="M267" s="2"/>
    </row>
    <row r="268" spans="1:13" x14ac:dyDescent="0.25">
      <c r="A268" s="2" t="str">
        <f ca="1">IFERROR(__xludf.DUMMYFUNCTION("""COMPUTED_VALUE"""),"b7799ff9")</f>
        <v>b7799ff9</v>
      </c>
      <c r="B268" s="2"/>
      <c r="C268" s="3">
        <f ca="1">IFERROR(__xludf.DUMMYFUNCTION("""COMPUTED_VALUE"""),45734.5625347222)</f>
        <v>45734.562534722201</v>
      </c>
      <c r="D268" s="2">
        <f ca="1">IFERROR(__xludf.DUMMYFUNCTION("""COMPUTED_VALUE"""),96)</f>
        <v>96</v>
      </c>
      <c r="E268" s="2">
        <f ca="1">IFERROR(__xludf.DUMMYFUNCTION("""COMPUTED_VALUE"""),85600)</f>
        <v>85600</v>
      </c>
      <c r="F268" s="2" t="str">
        <f ca="1">IFERROR(__xludf.DUMMYFUNCTION("""COMPUTED_VALUE"""),"Tempranillo")</f>
        <v>Tempranillo</v>
      </c>
      <c r="G268" s="2">
        <f ca="1">IFERROR(__xludf.DUMMYFUNCTION("""COMPUTED_VALUE"""),45000)</f>
        <v>45000</v>
      </c>
      <c r="H268" s="2">
        <f ca="1">IFERROR(__xludf.DUMMYFUNCTION("""COMPUTED_VALUE"""),53100)</f>
        <v>53100</v>
      </c>
      <c r="I268" s="2" t="str">
        <f ca="1">IFERROR(__xludf.DUMMYFUNCTION("""COMPUTED_VALUE"""),"20/3
Hacer azúcar")</f>
        <v>20/3
Hacer azúcar</v>
      </c>
      <c r="J268" s="2"/>
      <c r="K268" s="2" t="str">
        <f ca="1">IFERROR(__xludf.DUMMYFUNCTION("""COMPUTED_VALUE"""),"Fermentando")</f>
        <v>Fermentando</v>
      </c>
      <c r="L268" s="2"/>
      <c r="M268" s="2"/>
    </row>
    <row r="269" spans="1:13" x14ac:dyDescent="0.25">
      <c r="A269" s="2" t="str">
        <f ca="1">IFERROR(__xludf.DUMMYFUNCTION("""COMPUTED_VALUE"""),"238eb34e")</f>
        <v>238eb34e</v>
      </c>
      <c r="B269" s="2"/>
      <c r="C269" s="3">
        <f ca="1">IFERROR(__xludf.DUMMYFUNCTION("""COMPUTED_VALUE"""),45734.5632407407)</f>
        <v>45734.563240740703</v>
      </c>
      <c r="D269" s="2">
        <f ca="1">IFERROR(__xludf.DUMMYFUNCTION("""COMPUTED_VALUE"""),105)</f>
        <v>105</v>
      </c>
      <c r="E269" s="2">
        <f ca="1">IFERROR(__xludf.DUMMYFUNCTION("""COMPUTED_VALUE"""),31000)</f>
        <v>31000</v>
      </c>
      <c r="F269" s="2" t="str">
        <f ca="1">IFERROR(__xludf.DUMMYFUNCTION("""COMPUTED_VALUE"""),"Malbec con Merlot s/Asp")</f>
        <v>Malbec con Merlot s/Asp</v>
      </c>
      <c r="G269" s="2">
        <f ca="1">IFERROR(__xludf.DUMMYFUNCTION("""COMPUTED_VALUE"""),30000)</f>
        <v>30000</v>
      </c>
      <c r="H269" s="2">
        <f ca="1">IFERROR(__xludf.DUMMYFUNCTION("""COMPUTED_VALUE"""),31000)</f>
        <v>31000</v>
      </c>
      <c r="I269" s="2"/>
      <c r="J269" s="2"/>
      <c r="K269" s="2" t="str">
        <f ca="1">IFERROR(__xludf.DUMMYFUNCTION("""COMPUTED_VALUE"""),"Descubada")</f>
        <v>Descubada</v>
      </c>
      <c r="L269" s="2"/>
      <c r="M269" s="2"/>
    </row>
    <row r="270" spans="1:13" x14ac:dyDescent="0.25">
      <c r="A270" s="2" t="str">
        <f ca="1">IFERROR(__xludf.DUMMYFUNCTION("""COMPUTED_VALUE"""),"9446c412")</f>
        <v>9446c412</v>
      </c>
      <c r="B270" s="2"/>
      <c r="C270" s="3">
        <f ca="1">IFERROR(__xludf.DUMMYFUNCTION("""COMPUTED_VALUE"""),45734.5634375)</f>
        <v>45734.563437500001</v>
      </c>
      <c r="D270" s="2">
        <f ca="1">IFERROR(__xludf.DUMMYFUNCTION("""COMPUTED_VALUE"""),108)</f>
        <v>108</v>
      </c>
      <c r="E270" s="2">
        <f ca="1">IFERROR(__xludf.DUMMYFUNCTION("""COMPUTED_VALUE"""),31000)</f>
        <v>31000</v>
      </c>
      <c r="F270" s="2" t="str">
        <f ca="1">IFERROR(__xludf.DUMMYFUNCTION("""COMPUTED_VALUE"""),"Syrah Merlot s/Asp Gota")</f>
        <v>Syrah Merlot s/Asp Gota</v>
      </c>
      <c r="G270" s="2">
        <f ca="1">IFERROR(__xludf.DUMMYFUNCTION("""COMPUTED_VALUE"""),30000)</f>
        <v>30000</v>
      </c>
      <c r="H270" s="2">
        <f ca="1">IFERROR(__xludf.DUMMYFUNCTION("""COMPUTED_VALUE"""),31000)</f>
        <v>31000</v>
      </c>
      <c r="I270" s="2"/>
      <c r="J270" s="2"/>
      <c r="K270" s="2" t="str">
        <f ca="1">IFERROR(__xludf.DUMMYFUNCTION("""COMPUTED_VALUE"""),"Descubada")</f>
        <v>Descubada</v>
      </c>
      <c r="L270" s="2"/>
      <c r="M270" s="2"/>
    </row>
    <row r="271" spans="1:13" x14ac:dyDescent="0.25">
      <c r="A271" s="2" t="str">
        <f ca="1">IFERROR(__xludf.DUMMYFUNCTION("""COMPUTED_VALUE"""),"0d1b7f2c")</f>
        <v>0d1b7f2c</v>
      </c>
      <c r="B271" s="2"/>
      <c r="C271" s="3">
        <f ca="1">IFERROR(__xludf.DUMMYFUNCTION("""COMPUTED_VALUE"""),45734.5635879629)</f>
        <v>45734.563587962897</v>
      </c>
      <c r="D271" s="2">
        <f ca="1">IFERROR(__xludf.DUMMYFUNCTION("""COMPUTED_VALUE"""),109)</f>
        <v>109</v>
      </c>
      <c r="E271" s="2">
        <f ca="1">IFERROR(__xludf.DUMMYFUNCTION("""COMPUTED_VALUE"""),15600)</f>
        <v>15600</v>
      </c>
      <c r="F271" s="2" t="str">
        <f ca="1">IFERROR(__xludf.DUMMYFUNCTION("""COMPUTED_VALUE"""),"Merlot s/Asp descube")</f>
        <v>Merlot s/Asp descube</v>
      </c>
      <c r="G271" s="2">
        <f ca="1">IFERROR(__xludf.DUMMYFUNCTION("""COMPUTED_VALUE"""),15000)</f>
        <v>15000</v>
      </c>
      <c r="H271" s="2">
        <f ca="1">IFERROR(__xludf.DUMMYFUNCTION("""COMPUTED_VALUE"""),15600)</f>
        <v>15600</v>
      </c>
      <c r="I271" s="2"/>
      <c r="J271" s="2"/>
      <c r="K271" s="2" t="str">
        <f ca="1">IFERROR(__xludf.DUMMYFUNCTION("""COMPUTED_VALUE"""),"Descubada")</f>
        <v>Descubada</v>
      </c>
      <c r="L271" s="2"/>
      <c r="M271" s="2"/>
    </row>
    <row r="272" spans="1:13" x14ac:dyDescent="0.25">
      <c r="A272" s="2" t="str">
        <f ca="1">IFERROR(__xludf.DUMMYFUNCTION("""COMPUTED_VALUE"""),"7d922df1")</f>
        <v>7d922df1</v>
      </c>
      <c r="B272" s="2"/>
      <c r="C272" s="3">
        <f ca="1">IFERROR(__xludf.DUMMYFUNCTION("""COMPUTED_VALUE"""),45734.56375)</f>
        <v>45734.563750000001</v>
      </c>
      <c r="D272" s="2">
        <f ca="1">IFERROR(__xludf.DUMMYFUNCTION("""COMPUTED_VALUE"""),110)</f>
        <v>110</v>
      </c>
      <c r="E272" s="2">
        <f ca="1">IFERROR(__xludf.DUMMYFUNCTION("""COMPUTED_VALUE"""),15600)</f>
        <v>15600</v>
      </c>
      <c r="F272" s="2" t="str">
        <f ca="1">IFERROR(__xludf.DUMMYFUNCTION("""COMPUTED_VALUE"""),"Syrah s/Asp 2da")</f>
        <v>Syrah s/Asp 2da</v>
      </c>
      <c r="G272" s="2">
        <f ca="1">IFERROR(__xludf.DUMMYFUNCTION("""COMPUTED_VALUE"""),15000)</f>
        <v>15000</v>
      </c>
      <c r="H272" s="2">
        <f ca="1">IFERROR(__xludf.DUMMYFUNCTION("""COMPUTED_VALUE"""),15600)</f>
        <v>15600</v>
      </c>
      <c r="I272" s="2"/>
      <c r="J272" s="2"/>
      <c r="K272" s="2" t="str">
        <f ca="1">IFERROR(__xludf.DUMMYFUNCTION("""COMPUTED_VALUE"""),"Descubada")</f>
        <v>Descubada</v>
      </c>
      <c r="L272" s="2"/>
      <c r="M272" s="2"/>
    </row>
    <row r="273" spans="1:13" x14ac:dyDescent="0.25">
      <c r="A273" s="2" t="str">
        <f ca="1">IFERROR(__xludf.DUMMYFUNCTION("""COMPUTED_VALUE"""),"6341d7bb")</f>
        <v>6341d7bb</v>
      </c>
      <c r="B273" s="2"/>
      <c r="C273" s="3">
        <f ca="1">IFERROR(__xludf.DUMMYFUNCTION("""COMPUTED_VALUE"""),45734.5640625)</f>
        <v>45734.564062500001</v>
      </c>
      <c r="D273" s="2">
        <f ca="1">IFERROR(__xludf.DUMMYFUNCTION("""COMPUTED_VALUE"""),114)</f>
        <v>114</v>
      </c>
      <c r="E273" s="2">
        <f ca="1">IFERROR(__xludf.DUMMYFUNCTION("""COMPUTED_VALUE"""),125300)</f>
        <v>125300</v>
      </c>
      <c r="F273" s="2" t="str">
        <f ca="1">IFERROR(__xludf.DUMMYFUNCTION("""COMPUTED_VALUE"""),"Merlot s/Asp")</f>
        <v>Merlot s/Asp</v>
      </c>
      <c r="G273" s="2">
        <f ca="1">IFERROR(__xludf.DUMMYFUNCTION("""COMPUTED_VALUE"""),0)</f>
        <v>0</v>
      </c>
      <c r="H273" s="2">
        <f ca="1">IFERROR(__xludf.DUMMYFUNCTION("""COMPUTED_VALUE"""),7800)</f>
        <v>7800</v>
      </c>
      <c r="I273" s="2"/>
      <c r="J273" s="2"/>
      <c r="K273" s="2" t="str">
        <f ca="1">IFERROR(__xludf.DUMMYFUNCTION("""COMPUTED_VALUE"""),"1er Trasiego")</f>
        <v>1er Trasiego</v>
      </c>
      <c r="L273" s="2"/>
      <c r="M273" s="2"/>
    </row>
    <row r="274" spans="1:13" x14ac:dyDescent="0.25">
      <c r="A274" s="2" t="str">
        <f ca="1">IFERROR(__xludf.DUMMYFUNCTION("""COMPUTED_VALUE"""),"dd0fd20d")</f>
        <v>dd0fd20d</v>
      </c>
      <c r="B274" s="2"/>
      <c r="C274" s="3">
        <f ca="1">IFERROR(__xludf.DUMMYFUNCTION("""COMPUTED_VALUE"""),45734.6740856481)</f>
        <v>45734.674085648097</v>
      </c>
      <c r="D274" s="2">
        <f ca="1">IFERROR(__xludf.DUMMYFUNCTION("""COMPUTED_VALUE"""),114)</f>
        <v>114</v>
      </c>
      <c r="E274" s="2">
        <f ca="1">IFERROR(__xludf.DUMMYFUNCTION("""COMPUTED_VALUE"""),125300)</f>
        <v>125300</v>
      </c>
      <c r="F274" s="2" t="str">
        <f ca="1">IFERROR(__xludf.DUMMYFUNCTION("""COMPUTED_VALUE"""),"Syrah")</f>
        <v>Syrah</v>
      </c>
      <c r="G274" s="2">
        <f ca="1">IFERROR(__xludf.DUMMYFUNCTION("""COMPUTED_VALUE"""),7800)</f>
        <v>7800</v>
      </c>
      <c r="H274" s="2">
        <f ca="1">IFERROR(__xludf.DUMMYFUNCTION("""COMPUTED_VALUE"""),38800)</f>
        <v>38800</v>
      </c>
      <c r="I274" s="2"/>
      <c r="J274" s="2"/>
      <c r="K274" s="2" t="str">
        <f ca="1">IFERROR(__xludf.DUMMYFUNCTION("""COMPUTED_VALUE"""),"1er Trasiego")</f>
        <v>1er Trasiego</v>
      </c>
      <c r="L274" s="2"/>
      <c r="M274" s="2"/>
    </row>
    <row r="275" spans="1:13" x14ac:dyDescent="0.25">
      <c r="A275" s="2" t="str">
        <f ca="1">IFERROR(__xludf.DUMMYFUNCTION("""COMPUTED_VALUE"""),"69d6b7d4")</f>
        <v>69d6b7d4</v>
      </c>
      <c r="B275" s="2"/>
      <c r="C275" s="3">
        <f ca="1">IFERROR(__xludf.DUMMYFUNCTION("""COMPUTED_VALUE"""),45734.6745601851)</f>
        <v>45734.6745601851</v>
      </c>
      <c r="D275" s="2">
        <f ca="1">IFERROR(__xludf.DUMMYFUNCTION("""COMPUTED_VALUE"""),114)</f>
        <v>114</v>
      </c>
      <c r="E275" s="2">
        <f ca="1">IFERROR(__xludf.DUMMYFUNCTION("""COMPUTED_VALUE"""),125300)</f>
        <v>125300</v>
      </c>
      <c r="F275" s="2" t="str">
        <f ca="1">IFERROR(__xludf.DUMMYFUNCTION("""COMPUTED_VALUE"""),"Syrah")</f>
        <v>Syrah</v>
      </c>
      <c r="G275" s="2">
        <f ca="1">IFERROR(__xludf.DUMMYFUNCTION("""COMPUTED_VALUE"""),38800)</f>
        <v>38800</v>
      </c>
      <c r="H275" s="2">
        <f ca="1">IFERROR(__xludf.DUMMYFUNCTION("""COMPUTED_VALUE"""),69800)</f>
        <v>69800</v>
      </c>
      <c r="I275" s="2"/>
      <c r="J275" s="2"/>
      <c r="K275" s="2" t="str">
        <f ca="1">IFERROR(__xludf.DUMMYFUNCTION("""COMPUTED_VALUE"""),"1er Trasiego")</f>
        <v>1er Trasiego</v>
      </c>
      <c r="L275" s="2"/>
      <c r="M275" s="2"/>
    </row>
    <row r="276" spans="1:13" x14ac:dyDescent="0.25">
      <c r="A276" s="2" t="str">
        <f ca="1">IFERROR(__xludf.DUMMYFUNCTION("""COMPUTED_VALUE"""),"f2f249ef")</f>
        <v>f2f249ef</v>
      </c>
      <c r="B276" s="2"/>
      <c r="C276" s="3">
        <f ca="1">IFERROR(__xludf.DUMMYFUNCTION("""COMPUTED_VALUE"""),45734.6748148148)</f>
        <v>45734.674814814804</v>
      </c>
      <c r="D276" s="2">
        <f ca="1">IFERROR(__xludf.DUMMYFUNCTION("""COMPUTED_VALUE"""),114)</f>
        <v>114</v>
      </c>
      <c r="E276" s="2">
        <f ca="1">IFERROR(__xludf.DUMMYFUNCTION("""COMPUTED_VALUE"""),125300)</f>
        <v>125300</v>
      </c>
      <c r="F276" s="2" t="str">
        <f ca="1">IFERROR(__xludf.DUMMYFUNCTION("""COMPUTED_VALUE"""),"Syrah")</f>
        <v>Syrah</v>
      </c>
      <c r="G276" s="2">
        <f ca="1">IFERROR(__xludf.DUMMYFUNCTION("""COMPUTED_VALUE"""),69800)</f>
        <v>69800</v>
      </c>
      <c r="H276" s="2">
        <f ca="1">IFERROR(__xludf.DUMMYFUNCTION("""COMPUTED_VALUE"""),85400)</f>
        <v>85400</v>
      </c>
      <c r="I276" s="2"/>
      <c r="J276" s="2"/>
      <c r="K276" s="2" t="str">
        <f ca="1">IFERROR(__xludf.DUMMYFUNCTION("""COMPUTED_VALUE"""),"1er Trasiego")</f>
        <v>1er Trasiego</v>
      </c>
      <c r="L276" s="2"/>
      <c r="M276" s="2"/>
    </row>
    <row r="277" spans="1:13" x14ac:dyDescent="0.25">
      <c r="A277" s="2" t="str">
        <f ca="1">IFERROR(__xludf.DUMMYFUNCTION("""COMPUTED_VALUE"""),"5c199eac")</f>
        <v>5c199eac</v>
      </c>
      <c r="B277" s="2"/>
      <c r="C277" s="3">
        <f ca="1">IFERROR(__xludf.DUMMYFUNCTION("""COMPUTED_VALUE"""),45734.6751736111)</f>
        <v>45734.675173611096</v>
      </c>
      <c r="D277" s="2">
        <f ca="1">IFERROR(__xludf.DUMMYFUNCTION("""COMPUTED_VALUE"""),114)</f>
        <v>114</v>
      </c>
      <c r="E277" s="2">
        <f ca="1">IFERROR(__xludf.DUMMYFUNCTION("""COMPUTED_VALUE"""),125300)</f>
        <v>125300</v>
      </c>
      <c r="F277" s="2" t="str">
        <f ca="1">IFERROR(__xludf.DUMMYFUNCTION("""COMPUTED_VALUE"""),"Syrah")</f>
        <v>Syrah</v>
      </c>
      <c r="G277" s="2">
        <f ca="1">IFERROR(__xludf.DUMMYFUNCTION("""COMPUTED_VALUE"""),85400)</f>
        <v>85400</v>
      </c>
      <c r="H277" s="2">
        <f ca="1">IFERROR(__xludf.DUMMYFUNCTION("""COMPUTED_VALUE"""),101000)</f>
        <v>101000</v>
      </c>
      <c r="I277" s="2"/>
      <c r="J277" s="2"/>
      <c r="K277" s="2" t="str">
        <f ca="1">IFERROR(__xludf.DUMMYFUNCTION("""COMPUTED_VALUE"""),"1er Trasiego")</f>
        <v>1er Trasiego</v>
      </c>
      <c r="L277" s="2"/>
      <c r="M277" s="2"/>
    </row>
    <row r="278" spans="1:13" x14ac:dyDescent="0.25">
      <c r="A278" s="2" t="str">
        <f ca="1">IFERROR(__xludf.DUMMYFUNCTION("""COMPUTED_VALUE"""),"bd85e420")</f>
        <v>bd85e420</v>
      </c>
      <c r="B278" s="2"/>
      <c r="C278" s="3">
        <f ca="1">IFERROR(__xludf.DUMMYFUNCTION("""COMPUTED_VALUE"""),45734.6761342592)</f>
        <v>45734.6761342592</v>
      </c>
      <c r="D278" s="2">
        <f ca="1">IFERROR(__xludf.DUMMYFUNCTION("""COMPUTED_VALUE"""),110)</f>
        <v>110</v>
      </c>
      <c r="E278" s="2">
        <f ca="1">IFERROR(__xludf.DUMMYFUNCTION("""COMPUTED_VALUE"""),15600)</f>
        <v>15600</v>
      </c>
      <c r="F278" s="2" t="str">
        <f ca="1">IFERROR(__xludf.DUMMYFUNCTION("""COMPUTED_VALUE"""),"Borra")</f>
        <v>Borra</v>
      </c>
      <c r="G278" s="2">
        <f ca="1">IFERROR(__xludf.DUMMYFUNCTION("""COMPUTED_VALUE"""),0)</f>
        <v>0</v>
      </c>
      <c r="H278" s="2">
        <f ca="1">IFERROR(__xludf.DUMMYFUNCTION("""COMPUTED_VALUE"""),2000)</f>
        <v>2000</v>
      </c>
      <c r="I278" s="2"/>
      <c r="J278" s="2"/>
      <c r="K278" s="2" t="str">
        <f ca="1">IFERROR(__xludf.DUMMYFUNCTION("""COMPUTED_VALUE"""),"1er Trasiego")</f>
        <v>1er Trasiego</v>
      </c>
      <c r="L278" s="2"/>
      <c r="M278" s="2"/>
    </row>
    <row r="279" spans="1:13" x14ac:dyDescent="0.25">
      <c r="A279" s="2" t="str">
        <f ca="1">IFERROR(__xludf.DUMMYFUNCTION("""COMPUTED_VALUE"""),"c39e24cf")</f>
        <v>c39e24cf</v>
      </c>
      <c r="B279" s="2"/>
      <c r="C279" s="3">
        <f ca="1">IFERROR(__xludf.DUMMYFUNCTION("""COMPUTED_VALUE"""),45734.7117013888)</f>
        <v>45734.711701388798</v>
      </c>
      <c r="D279" s="2">
        <f ca="1">IFERROR(__xludf.DUMMYFUNCTION("""COMPUTED_VALUE"""),67)</f>
        <v>67</v>
      </c>
      <c r="E279" s="2">
        <f ca="1">IFERROR(__xludf.DUMMYFUNCTION("""COMPUTED_VALUE"""),23000)</f>
        <v>23000</v>
      </c>
      <c r="F279" s="2" t="str">
        <f ca="1">IFERROR(__xludf.DUMMYFUNCTION("""COMPUTED_VALUE"""),"Bonarda")</f>
        <v>Bonarda</v>
      </c>
      <c r="G279" s="2"/>
      <c r="H279" s="2">
        <f ca="1">IFERROR(__xludf.DUMMYFUNCTION("""COMPUTED_VALUE"""),17100)</f>
        <v>17100</v>
      </c>
      <c r="I279" s="2"/>
      <c r="J279" s="2" t="str">
        <f ca="1">IFERROR(__xludf.DUMMYFUNCTION("""COMPUTED_VALUE"""),"5980 , 5981 , 5982")</f>
        <v>5980 , 5981 , 5982</v>
      </c>
      <c r="K279" s="2" t="str">
        <f ca="1">IFERROR(__xludf.DUMMYFUNCTION("""COMPUTED_VALUE"""),"Fermentando")</f>
        <v>Fermentando</v>
      </c>
      <c r="L279" s="2"/>
      <c r="M279" s="2"/>
    </row>
    <row r="280" spans="1:13" x14ac:dyDescent="0.25">
      <c r="A280" s="2" t="str">
        <f ca="1">IFERROR(__xludf.DUMMYFUNCTION("""COMPUTED_VALUE"""),"26cfa504")</f>
        <v>26cfa504</v>
      </c>
      <c r="B280" s="2"/>
      <c r="C280" s="3">
        <f ca="1">IFERROR(__xludf.DUMMYFUNCTION("""COMPUTED_VALUE"""),45735.5061226851)</f>
        <v>45735.506122685103</v>
      </c>
      <c r="D280" s="2">
        <f ca="1">IFERROR(__xludf.DUMMYFUNCTION("""COMPUTED_VALUE"""),86)</f>
        <v>86</v>
      </c>
      <c r="E280" s="2">
        <f ca="1">IFERROR(__xludf.DUMMYFUNCTION("""COMPUTED_VALUE"""),88000)</f>
        <v>88000</v>
      </c>
      <c r="F280" s="2" t="str">
        <f ca="1">IFERROR(__xludf.DUMMYFUNCTION("""COMPUTED_VALUE"""),"Syrah")</f>
        <v>Syrah</v>
      </c>
      <c r="G280" s="2">
        <f ca="1">IFERROR(__xludf.DUMMYFUNCTION("""COMPUTED_VALUE"""),50000)</f>
        <v>50000</v>
      </c>
      <c r="H280" s="2">
        <f ca="1">IFERROR(__xludf.DUMMYFUNCTION("""COMPUTED_VALUE"""),52500)</f>
        <v>52500</v>
      </c>
      <c r="I280" s="2" t="str">
        <f ca="1">IFERROR(__xludf.DUMMYFUNCTION("""COMPUTED_VALUE"""),"20/3
El 18 de marzo llegó a 0 grados baume
Hacer azúcar. Parece que se ha frenado la fermentación
24 
Se descubra")</f>
        <v>20/3
El 18 de marzo llegó a 0 grados baume
Hacer azúcar. Parece que se ha frenado la fermentación
24 
Se descubra</v>
      </c>
      <c r="J280" s="2"/>
      <c r="K280" s="2" t="str">
        <f ca="1">IFERROR(__xludf.DUMMYFUNCTION("""COMPUTED_VALUE"""),"Fermentando")</f>
        <v>Fermentando</v>
      </c>
      <c r="L280" s="2"/>
      <c r="M280" s="2"/>
    </row>
    <row r="281" spans="1:13" x14ac:dyDescent="0.25">
      <c r="A281" s="2" t="str">
        <f ca="1">IFERROR(__xludf.DUMMYFUNCTION("""COMPUTED_VALUE"""),"d3910498")</f>
        <v>d3910498</v>
      </c>
      <c r="B281" s="2"/>
      <c r="C281" s="3">
        <f ca="1">IFERROR(__xludf.DUMMYFUNCTION("""COMPUTED_VALUE"""),45735.5090162037)</f>
        <v>45735.509016203701</v>
      </c>
      <c r="D281" s="2">
        <f ca="1">IFERROR(__xludf.DUMMYFUNCTION("""COMPUTED_VALUE"""),116)</f>
        <v>116</v>
      </c>
      <c r="E281" s="2">
        <f ca="1">IFERROR(__xludf.DUMMYFUNCTION("""COMPUTED_VALUE"""),99600)</f>
        <v>99600</v>
      </c>
      <c r="F281" s="2" t="str">
        <f ca="1">IFERROR(__xludf.DUMMYFUNCTION("""COMPUTED_VALUE"""),"Syrah")</f>
        <v>Syrah</v>
      </c>
      <c r="G281" s="2">
        <f ca="1">IFERROR(__xludf.DUMMYFUNCTION("""COMPUTED_VALUE"""),55000)</f>
        <v>55000</v>
      </c>
      <c r="H281" s="2">
        <f ca="1">IFERROR(__xludf.DUMMYFUNCTION("""COMPUTED_VALUE"""),99600)</f>
        <v>99600</v>
      </c>
      <c r="I281" s="2"/>
      <c r="J281" s="2"/>
      <c r="K281" s="2" t="str">
        <f ca="1">IFERROR(__xludf.DUMMYFUNCTION("""COMPUTED_VALUE"""),"Descubada")</f>
        <v>Descubada</v>
      </c>
      <c r="L281" s="2"/>
      <c r="M281" s="2"/>
    </row>
    <row r="282" spans="1:13" x14ac:dyDescent="0.25">
      <c r="A282" s="2" t="str">
        <f ca="1">IFERROR(__xludf.DUMMYFUNCTION("""COMPUTED_VALUE"""),"a3638ae6")</f>
        <v>a3638ae6</v>
      </c>
      <c r="B282" s="2"/>
      <c r="C282" s="3">
        <f ca="1">IFERROR(__xludf.DUMMYFUNCTION("""COMPUTED_VALUE"""),45735.5096875)</f>
        <v>45735.509687500002</v>
      </c>
      <c r="D282" s="2">
        <f ca="1">IFERROR(__xludf.DUMMYFUNCTION("""COMPUTED_VALUE"""),103)</f>
        <v>103</v>
      </c>
      <c r="E282" s="2">
        <f ca="1">IFERROR(__xludf.DUMMYFUNCTION("""COMPUTED_VALUE"""),31000)</f>
        <v>31000</v>
      </c>
      <c r="F282" s="2" t="str">
        <f ca="1">IFERROR(__xludf.DUMMYFUNCTION("""COMPUTED_VALUE"""),"Syrah")</f>
        <v>Syrah</v>
      </c>
      <c r="G282" s="2">
        <f ca="1">IFERROR(__xludf.DUMMYFUNCTION("""COMPUTED_VALUE"""),0)</f>
        <v>0</v>
      </c>
      <c r="H282" s="2">
        <f ca="1">IFERROR(__xludf.DUMMYFUNCTION("""COMPUTED_VALUE"""),7400)</f>
        <v>7400</v>
      </c>
      <c r="I282" s="2"/>
      <c r="J282" s="2"/>
      <c r="K282" s="2" t="str">
        <f ca="1">IFERROR(__xludf.DUMMYFUNCTION("""COMPUTED_VALUE"""),"Descubada")</f>
        <v>Descubada</v>
      </c>
      <c r="L282" s="2"/>
      <c r="M282" s="2"/>
    </row>
    <row r="283" spans="1:13" x14ac:dyDescent="0.25">
      <c r="A283" s="2" t="str">
        <f ca="1">IFERROR(__xludf.DUMMYFUNCTION("""COMPUTED_VALUE"""),"bf6d548a")</f>
        <v>bf6d548a</v>
      </c>
      <c r="B283" s="2"/>
      <c r="C283" s="3">
        <f ca="1">IFERROR(__xludf.DUMMYFUNCTION("""COMPUTED_VALUE"""),45735.5103472222)</f>
        <v>45735.510347222204</v>
      </c>
      <c r="D283" s="2">
        <f ca="1">IFERROR(__xludf.DUMMYFUNCTION("""COMPUTED_VALUE"""),110)</f>
        <v>110</v>
      </c>
      <c r="E283" s="2">
        <f ca="1">IFERROR(__xludf.DUMMYFUNCTION("""COMPUTED_VALUE"""),15600)</f>
        <v>15600</v>
      </c>
      <c r="F283" s="2" t="str">
        <f ca="1">IFERROR(__xludf.DUMMYFUNCTION("""COMPUTED_VALUE"""),"Borra")</f>
        <v>Borra</v>
      </c>
      <c r="G283" s="2">
        <f ca="1">IFERROR(__xludf.DUMMYFUNCTION("""COMPUTED_VALUE"""),2000)</f>
        <v>2000</v>
      </c>
      <c r="H283" s="2">
        <f ca="1">IFERROR(__xludf.DUMMYFUNCTION("""COMPUTED_VALUE"""),3000)</f>
        <v>3000</v>
      </c>
      <c r="I283" s="2"/>
      <c r="J283" s="2"/>
      <c r="K283" s="2" t="str">
        <f ca="1">IFERROR(__xludf.DUMMYFUNCTION("""COMPUTED_VALUE"""),"Descubada")</f>
        <v>Descubada</v>
      </c>
      <c r="L283" s="2"/>
      <c r="M283" s="2"/>
    </row>
    <row r="284" spans="1:13" x14ac:dyDescent="0.25">
      <c r="A284" s="2" t="str">
        <f ca="1">IFERROR(__xludf.DUMMYFUNCTION("""COMPUTED_VALUE"""),"abf45035")</f>
        <v>abf45035</v>
      </c>
      <c r="B284" s="2"/>
      <c r="C284" s="3">
        <f ca="1">IFERROR(__xludf.DUMMYFUNCTION("""COMPUTED_VALUE"""),45735.5124537037)</f>
        <v>45735.512453703697</v>
      </c>
      <c r="D284" s="2"/>
      <c r="E284" s="2"/>
      <c r="F284" s="2" t="str">
        <f ca="1">IFERROR(__xludf.DUMMYFUNCTION("""COMPUTED_VALUE"""),"Tinto La Vendimia")</f>
        <v>Tinto La Vendimia</v>
      </c>
      <c r="G284" s="2"/>
      <c r="H284" s="2">
        <f ca="1">IFERROR(__xludf.DUMMYFUNCTION("""COMPUTED_VALUE"""),0)</f>
        <v>0</v>
      </c>
      <c r="I284" s="2"/>
      <c r="J284" s="2"/>
      <c r="K284" s="2" t="str">
        <f ca="1">IFERROR(__xludf.DUMMYFUNCTION("""COMPUTED_VALUE"""),"Traslado Venta")</f>
        <v>Traslado Venta</v>
      </c>
      <c r="L284" s="2"/>
      <c r="M284" s="2"/>
    </row>
    <row r="285" spans="1:13" x14ac:dyDescent="0.25">
      <c r="A285" s="2" t="str">
        <f ca="1">IFERROR(__xludf.DUMMYFUNCTION("""COMPUTED_VALUE"""),"0f5a0357")</f>
        <v>0f5a0357</v>
      </c>
      <c r="B285" s="2"/>
      <c r="C285" s="3">
        <f ca="1">IFERROR(__xludf.DUMMYFUNCTION("""COMPUTED_VALUE"""),45735.5143287037)</f>
        <v>45735.514328703699</v>
      </c>
      <c r="D285" s="2">
        <f ca="1">IFERROR(__xludf.DUMMYFUNCTION("""COMPUTED_VALUE"""),500)</f>
        <v>500</v>
      </c>
      <c r="E285" s="2">
        <f ca="1">IFERROR(__xludf.DUMMYFUNCTION("""COMPUTED_VALUE"""),200000)</f>
        <v>200000</v>
      </c>
      <c r="F285" s="2" t="str">
        <f ca="1">IFERROR(__xludf.DUMMYFUNCTION("""COMPUTED_VALUE"""),"Tinto La Vendimia")</f>
        <v>Tinto La Vendimia</v>
      </c>
      <c r="G285" s="2">
        <f ca="1">IFERROR(__xludf.DUMMYFUNCTION("""COMPUTED_VALUE"""),0)</f>
        <v>0</v>
      </c>
      <c r="H285" s="2">
        <f ca="1">IFERROR(__xludf.DUMMYFUNCTION("""COMPUTED_VALUE"""),29000)</f>
        <v>29000</v>
      </c>
      <c r="I285" s="2"/>
      <c r="J285" s="2"/>
      <c r="K285" s="2" t="str">
        <f ca="1">IFERROR(__xludf.DUMMYFUNCTION("""COMPUTED_VALUE"""),"Terminado")</f>
        <v>Terminado</v>
      </c>
      <c r="L285" s="2"/>
      <c r="M285" s="2"/>
    </row>
    <row r="286" spans="1:13" x14ac:dyDescent="0.25">
      <c r="A286" s="2" t="str">
        <f ca="1">IFERROR(__xludf.DUMMYFUNCTION("""COMPUTED_VALUE"""),"6ca6737b")</f>
        <v>6ca6737b</v>
      </c>
      <c r="B286" s="2"/>
      <c r="C286" s="3">
        <f ca="1">IFERROR(__xludf.DUMMYFUNCTION("""COMPUTED_VALUE"""),45735.5146064814)</f>
        <v>45735.514606481403</v>
      </c>
      <c r="D286" s="2">
        <f ca="1">IFERROR(__xludf.DUMMYFUNCTION("""COMPUTED_VALUE"""),500)</f>
        <v>500</v>
      </c>
      <c r="E286" s="2">
        <f ca="1">IFERROR(__xludf.DUMMYFUNCTION("""COMPUTED_VALUE"""),200000)</f>
        <v>200000</v>
      </c>
      <c r="F286" s="2" t="str">
        <f ca="1">IFERROR(__xludf.DUMMYFUNCTION("""COMPUTED_VALUE"""),"Tinto La Vendimia")</f>
        <v>Tinto La Vendimia</v>
      </c>
      <c r="G286" s="2">
        <f ca="1">IFERROR(__xludf.DUMMYFUNCTION("""COMPUTED_VALUE"""),29000)</f>
        <v>29000</v>
      </c>
      <c r="H286" s="2">
        <f ca="1">IFERROR(__xludf.DUMMYFUNCTION("""COMPUTED_VALUE"""),106100)</f>
        <v>106100</v>
      </c>
      <c r="I286" s="2"/>
      <c r="J286" s="2"/>
      <c r="K286" s="2" t="str">
        <f ca="1">IFERROR(__xludf.DUMMYFUNCTION("""COMPUTED_VALUE"""),"Terminado")</f>
        <v>Terminado</v>
      </c>
      <c r="L286" s="2"/>
      <c r="M286" s="2"/>
    </row>
    <row r="287" spans="1:13" x14ac:dyDescent="0.25">
      <c r="A287" s="2" t="str">
        <f ca="1">IFERROR(__xludf.DUMMYFUNCTION("""COMPUTED_VALUE"""),"a58181b8")</f>
        <v>a58181b8</v>
      </c>
      <c r="B287" s="2"/>
      <c r="C287" s="3">
        <f ca="1">IFERROR(__xludf.DUMMYFUNCTION("""COMPUTED_VALUE"""),45735.5151388888)</f>
        <v>45735.515138888797</v>
      </c>
      <c r="D287" s="2">
        <f ca="1">IFERROR(__xludf.DUMMYFUNCTION("""COMPUTED_VALUE"""),500)</f>
        <v>500</v>
      </c>
      <c r="E287" s="2">
        <f ca="1">IFERROR(__xludf.DUMMYFUNCTION("""COMPUTED_VALUE"""),200000)</f>
        <v>200000</v>
      </c>
      <c r="F287" s="2" t="str">
        <f ca="1">IFERROR(__xludf.DUMMYFUNCTION("""COMPUTED_VALUE"""),"Tinto La Vendimia")</f>
        <v>Tinto La Vendimia</v>
      </c>
      <c r="G287" s="2">
        <f ca="1">IFERROR(__xludf.DUMMYFUNCTION("""COMPUTED_VALUE"""),106100)</f>
        <v>106100</v>
      </c>
      <c r="H287" s="2">
        <f ca="1">IFERROR(__xludf.DUMMYFUNCTION("""COMPUTED_VALUE"""),300400)</f>
        <v>300400</v>
      </c>
      <c r="I287" s="2"/>
      <c r="J287" s="2"/>
      <c r="K287" s="2" t="str">
        <f ca="1">IFERROR(__xludf.DUMMYFUNCTION("""COMPUTED_VALUE"""),"Terminado")</f>
        <v>Terminado</v>
      </c>
      <c r="L287" s="2"/>
      <c r="M287" s="2"/>
    </row>
    <row r="288" spans="1:13" x14ac:dyDescent="0.25">
      <c r="A288" s="2" t="str">
        <f ca="1">IFERROR(__xludf.DUMMYFUNCTION("""COMPUTED_VALUE"""),"5f1402b2")</f>
        <v>5f1402b2</v>
      </c>
      <c r="B288" s="2"/>
      <c r="C288" s="3">
        <f ca="1">IFERROR(__xludf.DUMMYFUNCTION("""COMPUTED_VALUE"""),45735.5155208333)</f>
        <v>45735.515520833302</v>
      </c>
      <c r="D288" s="2">
        <f ca="1">IFERROR(__xludf.DUMMYFUNCTION("""COMPUTED_VALUE"""),500)</f>
        <v>500</v>
      </c>
      <c r="E288" s="2">
        <f ca="1">IFERROR(__xludf.DUMMYFUNCTION("""COMPUTED_VALUE"""),200000)</f>
        <v>200000</v>
      </c>
      <c r="F288" s="2" t="str">
        <f ca="1">IFERROR(__xludf.DUMMYFUNCTION("""COMPUTED_VALUE"""),"Tinto La Vendimia")</f>
        <v>Tinto La Vendimia</v>
      </c>
      <c r="G288" s="2">
        <f ca="1">IFERROR(__xludf.DUMMYFUNCTION("""COMPUTED_VALUE"""),300400)</f>
        <v>300400</v>
      </c>
      <c r="H288" s="2">
        <f ca="1">IFERROR(__xludf.DUMMYFUNCTION("""COMPUTED_VALUE"""),487000)</f>
        <v>487000</v>
      </c>
      <c r="I288" s="2" t="str">
        <f ca="1">IFERROR(__xludf.DUMMYFUNCTION("""COMPUTED_VALUE"""),"Traslado  a la Vendimia 19/3/25")</f>
        <v>Traslado  a la Vendimia 19/3/25</v>
      </c>
      <c r="J288" s="2"/>
      <c r="K288" s="2" t="str">
        <f ca="1">IFERROR(__xludf.DUMMYFUNCTION("""COMPUTED_VALUE"""),"Terminado")</f>
        <v>Terminado</v>
      </c>
      <c r="L288" s="2"/>
      <c r="M288" s="2"/>
    </row>
    <row r="289" spans="1:13" x14ac:dyDescent="0.25">
      <c r="A289" s="2" t="str">
        <f ca="1">IFERROR(__xludf.DUMMYFUNCTION("""COMPUTED_VALUE"""),"a3cee476")</f>
        <v>a3cee476</v>
      </c>
      <c r="B289" s="2"/>
      <c r="C289" s="3">
        <f ca="1">IFERROR(__xludf.DUMMYFUNCTION("""COMPUTED_VALUE"""),45735.6862731481)</f>
        <v>45735.686273148101</v>
      </c>
      <c r="D289" s="2">
        <f ca="1">IFERROR(__xludf.DUMMYFUNCTION("""COMPUTED_VALUE"""),79)</f>
        <v>79</v>
      </c>
      <c r="E289" s="2">
        <f ca="1">IFERROR(__xludf.DUMMYFUNCTION("""COMPUTED_VALUE"""),26000)</f>
        <v>26000</v>
      </c>
      <c r="F289" s="2" t="str">
        <f ca="1">IFERROR(__xludf.DUMMYFUNCTION("""COMPUTED_VALUE"""),"Torrontes")</f>
        <v>Torrontes</v>
      </c>
      <c r="G289" s="2">
        <f ca="1">IFERROR(__xludf.DUMMYFUNCTION("""COMPUTED_VALUE"""),20000)</f>
        <v>20000</v>
      </c>
      <c r="H289" s="2">
        <f ca="1">IFERROR(__xludf.DUMMYFUNCTION("""COMPUTED_VALUE"""),22860)</f>
        <v>22860</v>
      </c>
      <c r="I289" s="2" t="str">
        <f ca="1">IFERROR(__xludf.DUMMYFUNCTION("""COMPUTED_VALUE"""),"20/3
Bien
Se le va a cerrar la temperatura porque ya le quedan solamente tres baume")</f>
        <v>20/3
Bien
Se le va a cerrar la temperatura porque ya le quedan solamente tres baume</v>
      </c>
      <c r="J289" s="2"/>
      <c r="K289" s="2" t="str">
        <f ca="1">IFERROR(__xludf.DUMMYFUNCTION("""COMPUTED_VALUE"""),"Fermentando")</f>
        <v>Fermentando</v>
      </c>
      <c r="L289" s="2"/>
      <c r="M289" s="2"/>
    </row>
    <row r="290" spans="1:13" x14ac:dyDescent="0.25">
      <c r="A290" s="2" t="str">
        <f ca="1">IFERROR(__xludf.DUMMYFUNCTION("""COMPUTED_VALUE"""),"8f28e62a")</f>
        <v>8f28e62a</v>
      </c>
      <c r="B290" s="2"/>
      <c r="C290" s="3">
        <f ca="1">IFERROR(__xludf.DUMMYFUNCTION("""COMPUTED_VALUE"""),45735.8281712963)</f>
        <v>45735.8281712963</v>
      </c>
      <c r="D290" s="2">
        <f ca="1">IFERROR(__xludf.DUMMYFUNCTION("""COMPUTED_VALUE"""),103)</f>
        <v>103</v>
      </c>
      <c r="E290" s="2">
        <f ca="1">IFERROR(__xludf.DUMMYFUNCTION("""COMPUTED_VALUE"""),31000)</f>
        <v>31000</v>
      </c>
      <c r="F290" s="2" t="str">
        <f ca="1">IFERROR(__xludf.DUMMYFUNCTION("""COMPUTED_VALUE"""),"Anccelotta")</f>
        <v>Anccelotta</v>
      </c>
      <c r="G290" s="2">
        <f ca="1">IFERROR(__xludf.DUMMYFUNCTION("""COMPUTED_VALUE"""),7400)</f>
        <v>7400</v>
      </c>
      <c r="H290" s="2">
        <f ca="1">IFERROR(__xludf.DUMMYFUNCTION("""COMPUTED_VALUE"""),20400)</f>
        <v>20400</v>
      </c>
      <c r="I290" s="2"/>
      <c r="J290" s="2"/>
      <c r="K290" s="2" t="str">
        <f ca="1">IFERROR(__xludf.DUMMYFUNCTION("""COMPUTED_VALUE"""),"Descubada")</f>
        <v>Descubada</v>
      </c>
      <c r="L290" s="2"/>
      <c r="M290" s="2"/>
    </row>
    <row r="291" spans="1:13" x14ac:dyDescent="0.25">
      <c r="A291" s="2" t="str">
        <f ca="1">IFERROR(__xludf.DUMMYFUNCTION("""COMPUTED_VALUE"""),"8f7c7c26")</f>
        <v>8f7c7c26</v>
      </c>
      <c r="B291" s="2"/>
      <c r="C291" s="3">
        <f ca="1">IFERROR(__xludf.DUMMYFUNCTION("""COMPUTED_VALUE"""),45736.3595949074)</f>
        <v>45736.359594907401</v>
      </c>
      <c r="D291" s="2">
        <f ca="1">IFERROR(__xludf.DUMMYFUNCTION("""COMPUTED_VALUE"""),84)</f>
        <v>84</v>
      </c>
      <c r="E291" s="2">
        <f ca="1">IFERROR(__xludf.DUMMYFUNCTION("""COMPUTED_VALUE"""),83000)</f>
        <v>83000</v>
      </c>
      <c r="F291" s="2" t="str">
        <f ca="1">IFERROR(__xludf.DUMMYFUNCTION("""COMPUTED_VALUE"""),"Criolla")</f>
        <v>Criolla</v>
      </c>
      <c r="G291" s="2"/>
      <c r="H291" s="2">
        <f ca="1">IFERROR(__xludf.DUMMYFUNCTION("""COMPUTED_VALUE"""),38000)</f>
        <v>38000</v>
      </c>
      <c r="I291" s="2" t="str">
        <f ca="1">IFERROR(__xludf.DUMMYFUNCTION("""COMPUTED_VALUE"""),"Criolla flotada")</f>
        <v>Criolla flotada</v>
      </c>
      <c r="J291" s="2" t="str">
        <f ca="1">IFERROR(__xludf.DUMMYFUNCTION("""COMPUTED_VALUE"""),"5987 , 5986 , 5985 , 5984 , 5983")</f>
        <v>5987 , 5986 , 5985 , 5984 , 5983</v>
      </c>
      <c r="K291" s="2" t="str">
        <f ca="1">IFERROR(__xludf.DUMMYFUNCTION("""COMPUTED_VALUE"""),"Fermentando")</f>
        <v>Fermentando</v>
      </c>
      <c r="L291" s="2"/>
      <c r="M291" s="2"/>
    </row>
    <row r="292" spans="1:13" x14ac:dyDescent="0.25">
      <c r="A292" s="2" t="str">
        <f ca="1">IFERROR(__xludf.DUMMYFUNCTION("""COMPUTED_VALUE"""),"a2ec7d6d")</f>
        <v>a2ec7d6d</v>
      </c>
      <c r="B292" s="2"/>
      <c r="C292" s="3">
        <f ca="1">IFERROR(__xludf.DUMMYFUNCTION("""COMPUTED_VALUE"""),45736.3630555555)</f>
        <v>45736.363055555499</v>
      </c>
      <c r="D292" s="2">
        <f ca="1">IFERROR(__xludf.DUMMYFUNCTION("""COMPUTED_VALUE"""),103)</f>
        <v>103</v>
      </c>
      <c r="E292" s="2">
        <f ca="1">IFERROR(__xludf.DUMMYFUNCTION("""COMPUTED_VALUE"""),31000)</f>
        <v>31000</v>
      </c>
      <c r="F292" s="2" t="str">
        <f ca="1">IFERROR(__xludf.DUMMYFUNCTION("""COMPUTED_VALUE"""),"Anccelotta")</f>
        <v>Anccelotta</v>
      </c>
      <c r="G292" s="2">
        <f ca="1">IFERROR(__xludf.DUMMYFUNCTION("""COMPUTED_VALUE"""),20400)</f>
        <v>20400</v>
      </c>
      <c r="H292" s="2">
        <f ca="1">IFERROR(__xludf.DUMMYFUNCTION("""COMPUTED_VALUE"""),36000)</f>
        <v>36000</v>
      </c>
      <c r="I292" s="2"/>
      <c r="J292" s="2"/>
      <c r="K292" s="2" t="str">
        <f ca="1">IFERROR(__xludf.DUMMYFUNCTION("""COMPUTED_VALUE"""),"Descubada")</f>
        <v>Descubada</v>
      </c>
      <c r="L292" s="2"/>
      <c r="M292" s="2"/>
    </row>
    <row r="293" spans="1:13" x14ac:dyDescent="0.25">
      <c r="A293" s="2" t="str">
        <f ca="1">IFERROR(__xludf.DUMMYFUNCTION("""COMPUTED_VALUE"""),"2cca878f")</f>
        <v>2cca878f</v>
      </c>
      <c r="B293" s="2"/>
      <c r="C293" s="3">
        <f ca="1">IFERROR(__xludf.DUMMYFUNCTION("""COMPUTED_VALUE"""),45736.3669444444)</f>
        <v>45736.366944444402</v>
      </c>
      <c r="D293" s="2">
        <f ca="1">IFERROR(__xludf.DUMMYFUNCTION("""COMPUTED_VALUE"""),66)</f>
        <v>66</v>
      </c>
      <c r="E293" s="2">
        <f ca="1">IFERROR(__xludf.DUMMYFUNCTION("""COMPUTED_VALUE"""),23000)</f>
        <v>23000</v>
      </c>
      <c r="F293" s="2" t="str">
        <f ca="1">IFERROR(__xludf.DUMMYFUNCTION("""COMPUTED_VALUE"""),"Tinto Criolla Rec")</f>
        <v>Tinto Criolla Rec</v>
      </c>
      <c r="G293" s="2">
        <f ca="1">IFERROR(__xludf.DUMMYFUNCTION("""COMPUTED_VALUE"""),5000)</f>
        <v>5000</v>
      </c>
      <c r="H293" s="2">
        <f ca="1">IFERROR(__xludf.DUMMYFUNCTION("""COMPUTED_VALUE"""),15000)</f>
        <v>15000</v>
      </c>
      <c r="I293" s="2"/>
      <c r="J293" s="2"/>
      <c r="K293" s="2" t="str">
        <f ca="1">IFERROR(__xludf.DUMMYFUNCTION("""COMPUTED_VALUE"""),"Recarga Fermentando")</f>
        <v>Recarga Fermentando</v>
      </c>
      <c r="L293" s="2"/>
      <c r="M293" s="2"/>
    </row>
    <row r="294" spans="1:13" x14ac:dyDescent="0.25">
      <c r="A294" s="2" t="str">
        <f ca="1">IFERROR(__xludf.DUMMYFUNCTION("""COMPUTED_VALUE"""),"538b2389")</f>
        <v>538b2389</v>
      </c>
      <c r="B294" s="2"/>
      <c r="C294" s="3">
        <f ca="1">IFERROR(__xludf.DUMMYFUNCTION("""COMPUTED_VALUE"""),45736.3676041666)</f>
        <v>45736.367604166597</v>
      </c>
      <c r="D294" s="2">
        <f ca="1">IFERROR(__xludf.DUMMYFUNCTION("""COMPUTED_VALUE"""),82)</f>
        <v>82</v>
      </c>
      <c r="E294" s="2">
        <f ca="1">IFERROR(__xludf.DUMMYFUNCTION("""COMPUTED_VALUE"""),42600)</f>
        <v>42600</v>
      </c>
      <c r="F294" s="2" t="str">
        <f ca="1">IFERROR(__xludf.DUMMYFUNCTION("""COMPUTED_VALUE"""),"Tinto Criolla Rec")</f>
        <v>Tinto Criolla Rec</v>
      </c>
      <c r="G294" s="2">
        <f ca="1">IFERROR(__xludf.DUMMYFUNCTION("""COMPUTED_VALUE"""),4400)</f>
        <v>4400</v>
      </c>
      <c r="H294" s="2">
        <f ca="1">IFERROR(__xludf.DUMMYFUNCTION("""COMPUTED_VALUE"""),32600)</f>
        <v>32600</v>
      </c>
      <c r="I294" s="2" t="str">
        <f ca="1">IFERROR(__xludf.DUMMYFUNCTION("""COMPUTED_VALUE"""),"Cerrar frío nota 20 de marzo")</f>
        <v>Cerrar frío nota 20 de marzo</v>
      </c>
      <c r="J294" s="2"/>
      <c r="K294" s="2" t="str">
        <f ca="1">IFERROR(__xludf.DUMMYFUNCTION("""COMPUTED_VALUE"""),"Recarga Fermentando")</f>
        <v>Recarga Fermentando</v>
      </c>
      <c r="L294" s="2"/>
      <c r="M294" s="2"/>
    </row>
    <row r="295" spans="1:13" x14ac:dyDescent="0.25">
      <c r="A295" s="2" t="str">
        <f ca="1">IFERROR(__xludf.DUMMYFUNCTION("""COMPUTED_VALUE"""),"805a5dd9")</f>
        <v>805a5dd9</v>
      </c>
      <c r="B295" s="2"/>
      <c r="C295" s="3">
        <f ca="1">IFERROR(__xludf.DUMMYFUNCTION("""COMPUTED_VALUE"""),45736.4892592592)</f>
        <v>45736.4892592592</v>
      </c>
      <c r="D295" s="2">
        <f ca="1">IFERROR(__xludf.DUMMYFUNCTION("""COMPUTED_VALUE"""),500)</f>
        <v>500</v>
      </c>
      <c r="E295" s="2">
        <f ca="1">IFERROR(__xludf.DUMMYFUNCTION("""COMPUTED_VALUE"""),200000)</f>
        <v>200000</v>
      </c>
      <c r="F295" s="2" t="str">
        <f ca="1">IFERROR(__xludf.DUMMYFUNCTION("""COMPUTED_VALUE"""),"Ajuste Volumen")</f>
        <v>Ajuste Volumen</v>
      </c>
      <c r="G295" s="2">
        <f ca="1">IFERROR(__xludf.DUMMYFUNCTION("""COMPUTED_VALUE"""),0)</f>
        <v>0</v>
      </c>
      <c r="H295" s="2">
        <f ca="1">IFERROR(__xludf.DUMMYFUNCTION("""COMPUTED_VALUE"""),5000)</f>
        <v>5000</v>
      </c>
      <c r="I295" s="2"/>
      <c r="J295" s="2"/>
      <c r="K295" s="2" t="str">
        <f ca="1">IFERROR(__xludf.DUMMYFUNCTION("""COMPUTED_VALUE"""),"Terminado")</f>
        <v>Terminado</v>
      </c>
      <c r="L295" s="2"/>
      <c r="M295" s="2"/>
    </row>
    <row r="296" spans="1:13" x14ac:dyDescent="0.25">
      <c r="A296" s="2" t="str">
        <f ca="1">IFERROR(__xludf.DUMMYFUNCTION("""COMPUTED_VALUE"""),"e53d4606")</f>
        <v>e53d4606</v>
      </c>
      <c r="B296" s="2"/>
      <c r="C296" s="3">
        <f ca="1">IFERROR(__xludf.DUMMYFUNCTION("""COMPUTED_VALUE"""),45736.7816087962)</f>
        <v>45736.781608796198</v>
      </c>
      <c r="D296" s="2">
        <f ca="1">IFERROR(__xludf.DUMMYFUNCTION("""COMPUTED_VALUE"""),114)</f>
        <v>114</v>
      </c>
      <c r="E296" s="2">
        <f ca="1">IFERROR(__xludf.DUMMYFUNCTION("""COMPUTED_VALUE"""),125300)</f>
        <v>125300</v>
      </c>
      <c r="F296" s="2" t="str">
        <f ca="1">IFERROR(__xludf.DUMMYFUNCTION("""COMPUTED_VALUE"""),"Syrah")</f>
        <v>Syrah</v>
      </c>
      <c r="G296" s="2">
        <f ca="1">IFERROR(__xludf.DUMMYFUNCTION("""COMPUTED_VALUE"""),99000)</f>
        <v>99000</v>
      </c>
      <c r="H296" s="2">
        <f ca="1">IFERROR(__xludf.DUMMYFUNCTION("""COMPUTED_VALUE"""),125300)</f>
        <v>125300</v>
      </c>
      <c r="I296" s="2"/>
      <c r="J296" s="2"/>
      <c r="K296" s="2" t="str">
        <f ca="1">IFERROR(__xludf.DUMMYFUNCTION("""COMPUTED_VALUE"""),"1er Trasiego")</f>
        <v>1er Trasiego</v>
      </c>
      <c r="L296" s="2"/>
      <c r="M296" s="2"/>
    </row>
    <row r="297" spans="1:13" x14ac:dyDescent="0.25">
      <c r="A297" s="2" t="str">
        <f ca="1">IFERROR(__xludf.DUMMYFUNCTION("""COMPUTED_VALUE"""),"bb28f5a1")</f>
        <v>bb28f5a1</v>
      </c>
      <c r="B297" s="2"/>
      <c r="C297" s="3">
        <f ca="1">IFERROR(__xludf.DUMMYFUNCTION("""COMPUTED_VALUE"""),45736.7819212962)</f>
        <v>45736.781921296199</v>
      </c>
      <c r="D297" s="2">
        <f ca="1">IFERROR(__xludf.DUMMYFUNCTION("""COMPUTED_VALUE"""),104)</f>
        <v>104</v>
      </c>
      <c r="E297" s="2">
        <f ca="1">IFERROR(__xludf.DUMMYFUNCTION("""COMPUTED_VALUE"""),31000)</f>
        <v>31000</v>
      </c>
      <c r="F297" s="2" t="str">
        <f ca="1">IFERROR(__xludf.DUMMYFUNCTION("""COMPUTED_VALUE"""),"Syrah")</f>
        <v>Syrah</v>
      </c>
      <c r="G297" s="2">
        <f ca="1">IFERROR(__xludf.DUMMYFUNCTION("""COMPUTED_VALUE"""),0)</f>
        <v>0</v>
      </c>
      <c r="H297" s="2">
        <f ca="1">IFERROR(__xludf.DUMMYFUNCTION("""COMPUTED_VALUE"""),700)</f>
        <v>700</v>
      </c>
      <c r="I297" s="2"/>
      <c r="J297" s="2"/>
      <c r="K297" s="2" t="str">
        <f ca="1">IFERROR(__xludf.DUMMYFUNCTION("""COMPUTED_VALUE"""),"1er Trasiego")</f>
        <v>1er Trasiego</v>
      </c>
      <c r="L297" s="2"/>
      <c r="M297" s="2"/>
    </row>
    <row r="298" spans="1:13" x14ac:dyDescent="0.25">
      <c r="A298" s="2" t="str">
        <f ca="1">IFERROR(__xludf.DUMMYFUNCTION("""COMPUTED_VALUE"""),"00ec1fb2")</f>
        <v>00ec1fb2</v>
      </c>
      <c r="B298" s="2"/>
      <c r="C298" s="3">
        <f ca="1">IFERROR(__xludf.DUMMYFUNCTION("""COMPUTED_VALUE"""),45736.7937152777)</f>
        <v>45736.793715277701</v>
      </c>
      <c r="D298" s="2">
        <f ca="1">IFERROR(__xludf.DUMMYFUNCTION("""COMPUTED_VALUE"""),12)</f>
        <v>12</v>
      </c>
      <c r="E298" s="2">
        <f ca="1">IFERROR(__xludf.DUMMYFUNCTION("""COMPUTED_VALUE"""),35300)</f>
        <v>35300</v>
      </c>
      <c r="F298" s="2" t="str">
        <f ca="1">IFERROR(__xludf.DUMMYFUNCTION("""COMPUTED_VALUE"""),"Criolla Filtrada")</f>
        <v>Criolla Filtrada</v>
      </c>
      <c r="G298" s="2">
        <f ca="1">IFERROR(__xludf.DUMMYFUNCTION("""COMPUTED_VALUE"""),0)</f>
        <v>0</v>
      </c>
      <c r="H298" s="2">
        <f ca="1">IFERROR(__xludf.DUMMYFUNCTION("""COMPUTED_VALUE"""),4000)</f>
        <v>4000</v>
      </c>
      <c r="I298" s="2"/>
      <c r="J298" s="2"/>
      <c r="K298" s="2" t="str">
        <f ca="1">IFERROR(__xludf.DUMMYFUNCTION("""COMPUTED_VALUE"""),"Fermentando")</f>
        <v>Fermentando</v>
      </c>
      <c r="L298" s="2"/>
      <c r="M298" s="2"/>
    </row>
    <row r="299" spans="1:13" x14ac:dyDescent="0.25">
      <c r="A299" s="2" t="str">
        <f ca="1">IFERROR(__xludf.DUMMYFUNCTION("""COMPUTED_VALUE"""),"7c51cd7c")</f>
        <v>7c51cd7c</v>
      </c>
      <c r="B299" s="2"/>
      <c r="C299" s="3">
        <f ca="1">IFERROR(__xludf.DUMMYFUNCTION("""COMPUTED_VALUE"""),45736.7955208333)</f>
        <v>45736.795520833301</v>
      </c>
      <c r="D299" s="2">
        <f ca="1">IFERROR(__xludf.DUMMYFUNCTION("""COMPUTED_VALUE"""),68)</f>
        <v>68</v>
      </c>
      <c r="E299" s="2">
        <f ca="1">IFERROR(__xludf.DUMMYFUNCTION("""COMPUTED_VALUE"""),13000)</f>
        <v>13000</v>
      </c>
      <c r="F299" s="2" t="str">
        <f ca="1">IFERROR(__xludf.DUMMYFUNCTION("""COMPUTED_VALUE"""),"Tanat")</f>
        <v>Tanat</v>
      </c>
      <c r="G299" s="2">
        <f ca="1">IFERROR(__xludf.DUMMYFUNCTION("""COMPUTED_VALUE"""),0)</f>
        <v>0</v>
      </c>
      <c r="H299" s="2">
        <f ca="1">IFERROR(__xludf.DUMMYFUNCTION("""COMPUTED_VALUE"""),4200)</f>
        <v>4200</v>
      </c>
      <c r="I299" s="2"/>
      <c r="J299" s="2"/>
      <c r="K299" s="2" t="str">
        <f ca="1">IFERROR(__xludf.DUMMYFUNCTION("""COMPUTED_VALUE"""),"Descubada")</f>
        <v>Descubada</v>
      </c>
      <c r="L299" s="2"/>
      <c r="M299" s="2"/>
    </row>
    <row r="300" spans="1:13" x14ac:dyDescent="0.25">
      <c r="A300" s="2" t="str">
        <f ca="1">IFERROR(__xludf.DUMMYFUNCTION("""COMPUTED_VALUE"""),"e16bba1c")</f>
        <v>e16bba1c</v>
      </c>
      <c r="B300" s="2"/>
      <c r="C300" s="3">
        <f ca="1">IFERROR(__xludf.DUMMYFUNCTION("""COMPUTED_VALUE"""),45736.7958333333)</f>
        <v>45736.795833333301</v>
      </c>
      <c r="D300" s="2">
        <f ca="1">IFERROR(__xludf.DUMMYFUNCTION("""COMPUTED_VALUE"""),68)</f>
        <v>68</v>
      </c>
      <c r="E300" s="2">
        <f ca="1">IFERROR(__xludf.DUMMYFUNCTION("""COMPUTED_VALUE"""),13000)</f>
        <v>13000</v>
      </c>
      <c r="F300" s="2" t="str">
        <f ca="1">IFERROR(__xludf.DUMMYFUNCTION("""COMPUTED_VALUE"""),"Tanat")</f>
        <v>Tanat</v>
      </c>
      <c r="G300" s="2">
        <f ca="1">IFERROR(__xludf.DUMMYFUNCTION("""COMPUTED_VALUE"""),4200)</f>
        <v>4200</v>
      </c>
      <c r="H300" s="2">
        <f ca="1">IFERROR(__xludf.DUMMYFUNCTION("""COMPUTED_VALUE"""),13000)</f>
        <v>13000</v>
      </c>
      <c r="I300" s="2" t="str">
        <f ca="1">IFERROR(__xludf.DUMMYFUNCTION("""COMPUTED_VALUE"""),"28/3 degustado y gusto mucho
25/3
No esta verde. Está muy bueno
Controlar SO2")</f>
        <v>28/3 degustado y gusto mucho
25/3
No esta verde. Está muy bueno
Controlar SO2</v>
      </c>
      <c r="J300" s="2"/>
      <c r="K300" s="2" t="str">
        <f ca="1">IFERROR(__xludf.DUMMYFUNCTION("""COMPUTED_VALUE"""),"Descubada")</f>
        <v>Descubada</v>
      </c>
      <c r="L300" s="2"/>
      <c r="M300" s="2"/>
    </row>
    <row r="301" spans="1:13" x14ac:dyDescent="0.25">
      <c r="A301" s="2" t="str">
        <f ca="1">IFERROR(__xludf.DUMMYFUNCTION("""COMPUTED_VALUE"""),"0bebff1a")</f>
        <v>0bebff1a</v>
      </c>
      <c r="B301" s="2"/>
      <c r="C301" s="3">
        <f ca="1">IFERROR(__xludf.DUMMYFUNCTION("""COMPUTED_VALUE"""),45736.7980208333)</f>
        <v>45736.798020833303</v>
      </c>
      <c r="D301" s="2">
        <f ca="1">IFERROR(__xludf.DUMMYFUNCTION("""COMPUTED_VALUE"""),51)</f>
        <v>51</v>
      </c>
      <c r="E301" s="2">
        <f ca="1">IFERROR(__xludf.DUMMYFUNCTION("""COMPUTED_VALUE"""),3900)</f>
        <v>3900</v>
      </c>
      <c r="F301" s="2" t="str">
        <f ca="1">IFERROR(__xludf.DUMMYFUNCTION("""COMPUTED_VALUE"""),"Tanat")</f>
        <v>Tanat</v>
      </c>
      <c r="G301" s="2">
        <f ca="1">IFERROR(__xludf.DUMMYFUNCTION("""COMPUTED_VALUE"""),0)</f>
        <v>0</v>
      </c>
      <c r="H301" s="2">
        <f ca="1">IFERROR(__xludf.DUMMYFUNCTION("""COMPUTED_VALUE"""),3800)</f>
        <v>3800</v>
      </c>
      <c r="I301" s="2"/>
      <c r="J301" s="2"/>
      <c r="K301" s="2" t="str">
        <f ca="1">IFERROR(__xludf.DUMMYFUNCTION("""COMPUTED_VALUE"""),"Descubada")</f>
        <v>Descubada</v>
      </c>
      <c r="L301" s="2"/>
      <c r="M301" s="2"/>
    </row>
    <row r="302" spans="1:13" x14ac:dyDescent="0.25">
      <c r="A302" s="2" t="str">
        <f ca="1">IFERROR(__xludf.DUMMYFUNCTION("""COMPUTED_VALUE"""),"8ba061c3")</f>
        <v>8ba061c3</v>
      </c>
      <c r="B302" s="2"/>
      <c r="C302" s="3">
        <f ca="1">IFERROR(__xludf.DUMMYFUNCTION("""COMPUTED_VALUE"""),45736.8580787037)</f>
        <v>45736.858078703699</v>
      </c>
      <c r="D302" s="2">
        <f ca="1">IFERROR(__xludf.DUMMYFUNCTION("""COMPUTED_VALUE"""),71)</f>
        <v>71</v>
      </c>
      <c r="E302" s="2">
        <f ca="1">IFERROR(__xludf.DUMMYFUNCTION("""COMPUTED_VALUE"""),13000)</f>
        <v>13000</v>
      </c>
      <c r="F302" s="2" t="str">
        <f ca="1">IFERROR(__xludf.DUMMYFUNCTION("""COMPUTED_VALUE"""),"Tanat")</f>
        <v>Tanat</v>
      </c>
      <c r="G302" s="2"/>
      <c r="H302" s="2">
        <f ca="1">IFERROR(__xludf.DUMMYFUNCTION("""COMPUTED_VALUE"""),9500)</f>
        <v>9500</v>
      </c>
      <c r="I302" s="2" t="str">
        <f ca="1">IFERROR(__xludf.DUMMYFUNCTION("""COMPUTED_VALUE"""),"25/3
Notas de fruta negra ácida
Revisar ph")</f>
        <v>25/3
Notas de fruta negra ácida
Revisar ph</v>
      </c>
      <c r="J302" s="2">
        <f ca="1">IFERROR(__xludf.DUMMYFUNCTION("""COMPUTED_VALUE"""),5988)</f>
        <v>5988</v>
      </c>
      <c r="K302" s="2" t="str">
        <f ca="1">IFERROR(__xludf.DUMMYFUNCTION("""COMPUTED_VALUE"""),"Fermentando")</f>
        <v>Fermentando</v>
      </c>
      <c r="L302" s="2"/>
      <c r="M302" s="2"/>
    </row>
    <row r="303" spans="1:13" x14ac:dyDescent="0.25">
      <c r="A303" s="2" t="str">
        <f ca="1">IFERROR(__xludf.DUMMYFUNCTION("""COMPUTED_VALUE"""),"c60f6341")</f>
        <v>c60f6341</v>
      </c>
      <c r="B303" s="2"/>
      <c r="C303" s="3">
        <f ca="1">IFERROR(__xludf.DUMMYFUNCTION("""COMPUTED_VALUE"""),45736.8587037037)</f>
        <v>45736.8587037037</v>
      </c>
      <c r="D303" s="2">
        <f ca="1">IFERROR(__xludf.DUMMYFUNCTION("""COMPUTED_VALUE"""),84)</f>
        <v>84</v>
      </c>
      <c r="E303" s="2">
        <f ca="1">IFERROR(__xludf.DUMMYFUNCTION("""COMPUTED_VALUE"""),83000)</f>
        <v>83000</v>
      </c>
      <c r="F303" s="2" t="str">
        <f ca="1">IFERROR(__xludf.DUMMYFUNCTION("""COMPUTED_VALUE"""),"Malbec Mec")</f>
        <v>Malbec Mec</v>
      </c>
      <c r="G303" s="2"/>
      <c r="H303" s="2">
        <f ca="1">IFERROR(__xludf.DUMMYFUNCTION("""COMPUTED_VALUE"""),43000)</f>
        <v>43000</v>
      </c>
      <c r="I303" s="2"/>
      <c r="J303" s="2" t="str">
        <f ca="1">IFERROR(__xludf.DUMMYFUNCTION("""COMPUTED_VALUE"""),"5989 , 5994 , 5995 , 5996 , 5999 , 6000")</f>
        <v>5989 , 5994 , 5995 , 5996 , 5999 , 6000</v>
      </c>
      <c r="K303" s="2" t="str">
        <f ca="1">IFERROR(__xludf.DUMMYFUNCTION("""COMPUTED_VALUE"""),"Fermentando")</f>
        <v>Fermentando</v>
      </c>
      <c r="L303" s="2"/>
      <c r="M303" s="2"/>
    </row>
    <row r="304" spans="1:13" x14ac:dyDescent="0.25">
      <c r="A304" s="2" t="str">
        <f ca="1">IFERROR(__xludf.DUMMYFUNCTION("""COMPUTED_VALUE"""),"78caf863")</f>
        <v>78caf863</v>
      </c>
      <c r="B304" s="2"/>
      <c r="C304" s="3">
        <f ca="1">IFERROR(__xludf.DUMMYFUNCTION("""COMPUTED_VALUE"""),45737.8194675925)</f>
        <v>45737.819467592497</v>
      </c>
      <c r="D304" s="2">
        <f ca="1">IFERROR(__xludf.DUMMYFUNCTION("""COMPUTED_VALUE"""),104)</f>
        <v>104</v>
      </c>
      <c r="E304" s="2">
        <f ca="1">IFERROR(__xludf.DUMMYFUNCTION("""COMPUTED_VALUE"""),31000)</f>
        <v>31000</v>
      </c>
      <c r="F304" s="2" t="str">
        <f ca="1">IFERROR(__xludf.DUMMYFUNCTION("""COMPUTED_VALUE"""),"Tempranillo")</f>
        <v>Tempranillo</v>
      </c>
      <c r="G304" s="2">
        <f ca="1">IFERROR(__xludf.DUMMYFUNCTION("""COMPUTED_VALUE"""),700)</f>
        <v>700</v>
      </c>
      <c r="H304" s="2">
        <f ca="1">IFERROR(__xludf.DUMMYFUNCTION("""COMPUTED_VALUE"""),31000)</f>
        <v>31000</v>
      </c>
      <c r="I304" s="2" t="str">
        <f ca="1">IFERROR(__xludf.DUMMYFUNCTION("""COMPUTED_VALUE"""),"1/4 
Está muy bien.")</f>
        <v>1/4 
Está muy bien.</v>
      </c>
      <c r="J304" s="2"/>
      <c r="K304" s="2" t="str">
        <f ca="1">IFERROR(__xludf.DUMMYFUNCTION("""COMPUTED_VALUE"""),"Descubada")</f>
        <v>Descubada</v>
      </c>
      <c r="L304" s="2"/>
      <c r="M304" s="2"/>
    </row>
    <row r="305" spans="1:13" x14ac:dyDescent="0.25">
      <c r="A305" s="2" t="str">
        <f ca="1">IFERROR(__xludf.DUMMYFUNCTION("""COMPUTED_VALUE"""),"01572a41")</f>
        <v>01572a41</v>
      </c>
      <c r="B305" s="2"/>
      <c r="C305" s="3">
        <f ca="1">IFERROR(__xludf.DUMMYFUNCTION("""COMPUTED_VALUE"""),45737.8200578703)</f>
        <v>45737.820057870304</v>
      </c>
      <c r="D305" s="2">
        <f ca="1">IFERROR(__xludf.DUMMYFUNCTION("""COMPUTED_VALUE"""),105)</f>
        <v>105</v>
      </c>
      <c r="E305" s="2">
        <f ca="1">IFERROR(__xludf.DUMMYFUNCTION("""COMPUTED_VALUE"""),31000)</f>
        <v>31000</v>
      </c>
      <c r="F305" s="2" t="str">
        <f ca="1">IFERROR(__xludf.DUMMYFUNCTION("""COMPUTED_VALUE"""),"Tempranillo")</f>
        <v>Tempranillo</v>
      </c>
      <c r="G305" s="2">
        <f ca="1">IFERROR(__xludf.DUMMYFUNCTION("""COMPUTED_VALUE"""),0)</f>
        <v>0</v>
      </c>
      <c r="H305" s="2">
        <f ca="1">IFERROR(__xludf.DUMMYFUNCTION("""COMPUTED_VALUE"""),6800)</f>
        <v>6800</v>
      </c>
      <c r="I305" s="2"/>
      <c r="J305" s="2"/>
      <c r="K305" s="2" t="str">
        <f ca="1">IFERROR(__xludf.DUMMYFUNCTION("""COMPUTED_VALUE"""),"Fermentando")</f>
        <v>Fermentando</v>
      </c>
      <c r="L305" s="2"/>
      <c r="M305" s="2"/>
    </row>
    <row r="306" spans="1:13" x14ac:dyDescent="0.25">
      <c r="A306" s="2" t="str">
        <f ca="1">IFERROR(__xludf.DUMMYFUNCTION("""COMPUTED_VALUE"""),"0cf5d8ff")</f>
        <v>0cf5d8ff</v>
      </c>
      <c r="B306" s="2"/>
      <c r="C306" s="3">
        <f ca="1">IFERROR(__xludf.DUMMYFUNCTION("""COMPUTED_VALUE"""),45737.8276967592)</f>
        <v>45737.827696759203</v>
      </c>
      <c r="D306" s="2">
        <f ca="1">IFERROR(__xludf.DUMMYFUNCTION("""COMPUTED_VALUE"""),70)</f>
        <v>70</v>
      </c>
      <c r="E306" s="2">
        <f ca="1">IFERROR(__xludf.DUMMYFUNCTION("""COMPUTED_VALUE"""),13000)</f>
        <v>13000</v>
      </c>
      <c r="F306" s="2" t="str">
        <f ca="1">IFERROR(__xludf.DUMMYFUNCTION("""COMPUTED_VALUE"""),"Malbec")</f>
        <v>Malbec</v>
      </c>
      <c r="G306" s="2">
        <f ca="1">IFERROR(__xludf.DUMMYFUNCTION("""COMPUTED_VALUE"""),1800)</f>
        <v>1800</v>
      </c>
      <c r="H306" s="2">
        <f ca="1">IFERROR(__xludf.DUMMYFUNCTION("""COMPUTED_VALUE"""),7400)</f>
        <v>7400</v>
      </c>
      <c r="I306" s="2"/>
      <c r="J306" s="2"/>
      <c r="K306" s="2" t="str">
        <f ca="1">IFERROR(__xludf.DUMMYFUNCTION("""COMPUTED_VALUE"""),"Fermentando")</f>
        <v>Fermentando</v>
      </c>
      <c r="L306" s="2"/>
      <c r="M306" s="2"/>
    </row>
    <row r="307" spans="1:13" x14ac:dyDescent="0.25">
      <c r="A307" s="2" t="str">
        <f ca="1">IFERROR(__xludf.DUMMYFUNCTION("""COMPUTED_VALUE"""),"1640b5b7")</f>
        <v>1640b5b7</v>
      </c>
      <c r="B307" s="2"/>
      <c r="C307" s="3">
        <f ca="1">IFERROR(__xludf.DUMMYFUNCTION("""COMPUTED_VALUE"""),45737.8533912037)</f>
        <v>45737.853391203702</v>
      </c>
      <c r="D307" s="2">
        <f ca="1">IFERROR(__xludf.DUMMYFUNCTION("""COMPUTED_VALUE"""),69)</f>
        <v>69</v>
      </c>
      <c r="E307" s="2">
        <f ca="1">IFERROR(__xludf.DUMMYFUNCTION("""COMPUTED_VALUE"""),13000)</f>
        <v>13000</v>
      </c>
      <c r="F307" s="2" t="str">
        <f ca="1">IFERROR(__xludf.DUMMYFUNCTION("""COMPUTED_VALUE"""),"Tinto Criolla Recarga")</f>
        <v>Tinto Criolla Recarga</v>
      </c>
      <c r="G307" s="2">
        <f ca="1">IFERROR(__xludf.DUMMYFUNCTION("""COMPUTED_VALUE"""),2400)</f>
        <v>2400</v>
      </c>
      <c r="H307" s="2">
        <f ca="1">IFERROR(__xludf.DUMMYFUNCTION("""COMPUTED_VALUE"""),6400)</f>
        <v>6400</v>
      </c>
      <c r="I307" s="2"/>
      <c r="J307" s="2"/>
      <c r="K307" s="2" t="str">
        <f ca="1">IFERROR(__xludf.DUMMYFUNCTION("""COMPUTED_VALUE"""),"Recarga Fermentando")</f>
        <v>Recarga Fermentando</v>
      </c>
      <c r="L307" s="2"/>
      <c r="M307" s="2"/>
    </row>
    <row r="308" spans="1:13" x14ac:dyDescent="0.25">
      <c r="A308" s="2" t="str">
        <f ca="1">IFERROR(__xludf.DUMMYFUNCTION("""COMPUTED_VALUE"""),"d007d867")</f>
        <v>d007d867</v>
      </c>
      <c r="B308" s="2"/>
      <c r="C308" s="3">
        <f ca="1">IFERROR(__xludf.DUMMYFUNCTION("""COMPUTED_VALUE"""),45737.8548958333)</f>
        <v>45737.854895833298</v>
      </c>
      <c r="D308" s="2">
        <f ca="1">IFERROR(__xludf.DUMMYFUNCTION("""COMPUTED_VALUE"""),83)</f>
        <v>83</v>
      </c>
      <c r="E308" s="2">
        <f ca="1">IFERROR(__xludf.DUMMYFUNCTION("""COMPUTED_VALUE"""),81500)</f>
        <v>81500</v>
      </c>
      <c r="F308" s="2" t="str">
        <f ca="1">IFERROR(__xludf.DUMMYFUNCTION("""COMPUTED_VALUE"""),"Bonarda")</f>
        <v>Bonarda</v>
      </c>
      <c r="G308" s="2">
        <f ca="1">IFERROR(__xludf.DUMMYFUNCTION("""COMPUTED_VALUE"""),38500)</f>
        <v>38500</v>
      </c>
      <c r="H308" s="2">
        <f ca="1">IFERROR(__xludf.DUMMYFUNCTION("""COMPUTED_VALUE"""),47400)</f>
        <v>47400</v>
      </c>
      <c r="I308" s="2" t="str">
        <f ca="1">IFERROR(__xludf.DUMMYFUNCTION("""COMPUTED_VALUE"""),"25/3")</f>
        <v>25/3</v>
      </c>
      <c r="J308" s="2"/>
      <c r="K308" s="2" t="str">
        <f ca="1">IFERROR(__xludf.DUMMYFUNCTION("""COMPUTED_VALUE"""),"Fermentando")</f>
        <v>Fermentando</v>
      </c>
      <c r="L308" s="2"/>
      <c r="M308" s="2"/>
    </row>
    <row r="309" spans="1:13" x14ac:dyDescent="0.25">
      <c r="A309" s="2" t="str">
        <f ca="1">IFERROR(__xludf.DUMMYFUNCTION("""COMPUTED_VALUE"""),"d7576c4b")</f>
        <v>d7576c4b</v>
      </c>
      <c r="B309" s="2"/>
      <c r="C309" s="3">
        <f ca="1">IFERROR(__xludf.DUMMYFUNCTION("""COMPUTED_VALUE"""),45737.8554282407)</f>
        <v>45737.855428240699</v>
      </c>
      <c r="D309" s="2">
        <f ca="1">IFERROR(__xludf.DUMMYFUNCTION("""COMPUTED_VALUE"""),92)</f>
        <v>92</v>
      </c>
      <c r="E309" s="2">
        <f ca="1">IFERROR(__xludf.DUMMYFUNCTION("""COMPUTED_VALUE"""),76000)</f>
        <v>76000</v>
      </c>
      <c r="F309" s="2" t="str">
        <f ca="1">IFERROR(__xludf.DUMMYFUNCTION("""COMPUTED_VALUE"""),"Criolla")</f>
        <v>Criolla</v>
      </c>
      <c r="G309" s="2"/>
      <c r="H309" s="2">
        <f ca="1">IFERROR(__xludf.DUMMYFUNCTION("""COMPUTED_VALUE"""),30000)</f>
        <v>30000</v>
      </c>
      <c r="I309" s="2" t="str">
        <f ca="1">IFERROR(__xludf.DUMMYFUNCTION("""COMPUTED_VALUE"""),"Flotacion")</f>
        <v>Flotacion</v>
      </c>
      <c r="J309" s="2" t="str">
        <f ca="1">IFERROR(__xludf.DUMMYFUNCTION("""COMPUTED_VALUE"""),"5990 , 5991 , 5992 , 5993")</f>
        <v>5990 , 5991 , 5992 , 5993</v>
      </c>
      <c r="K309" s="2" t="str">
        <f ca="1">IFERROR(__xludf.DUMMYFUNCTION("""COMPUTED_VALUE"""),"Fermentando")</f>
        <v>Fermentando</v>
      </c>
      <c r="L309" s="2"/>
      <c r="M309" s="2"/>
    </row>
    <row r="310" spans="1:13" x14ac:dyDescent="0.25">
      <c r="A310" s="2" t="str">
        <f ca="1">IFERROR(__xludf.DUMMYFUNCTION("""COMPUTED_VALUE"""),"d7488996")</f>
        <v>d7488996</v>
      </c>
      <c r="B310" s="2"/>
      <c r="C310" s="3">
        <f ca="1">IFERROR(__xludf.DUMMYFUNCTION("""COMPUTED_VALUE"""),45737.8672106481)</f>
        <v>45737.867210648103</v>
      </c>
      <c r="D310" s="2">
        <f ca="1">IFERROR(__xludf.DUMMYFUNCTION("""COMPUTED_VALUE"""),78)</f>
        <v>78</v>
      </c>
      <c r="E310" s="2">
        <f ca="1">IFERROR(__xludf.DUMMYFUNCTION("""COMPUTED_VALUE"""),25800)</f>
        <v>25800</v>
      </c>
      <c r="F310" s="2" t="str">
        <f ca="1">IFERROR(__xludf.DUMMYFUNCTION("""COMPUTED_VALUE"""),"Tinto Recarga")</f>
        <v>Tinto Recarga</v>
      </c>
      <c r="G310" s="2">
        <f ca="1">IFERROR(__xludf.DUMMYFUNCTION("""COMPUTED_VALUE"""),5400)</f>
        <v>5400</v>
      </c>
      <c r="H310" s="2">
        <f ca="1">IFERROR(__xludf.DUMMYFUNCTION("""COMPUTED_VALUE"""),12400)</f>
        <v>12400</v>
      </c>
      <c r="I310" s="2"/>
      <c r="J310" s="2"/>
      <c r="K310" s="2" t="str">
        <f ca="1">IFERROR(__xludf.DUMMYFUNCTION("""COMPUTED_VALUE"""),"Recarga Fermentando")</f>
        <v>Recarga Fermentando</v>
      </c>
      <c r="L310" s="2"/>
      <c r="M310" s="2"/>
    </row>
    <row r="311" spans="1:13" x14ac:dyDescent="0.25">
      <c r="A311" s="2" t="str">
        <f ca="1">IFERROR(__xludf.DUMMYFUNCTION("""COMPUTED_VALUE"""),"7b27f7a2")</f>
        <v>7b27f7a2</v>
      </c>
      <c r="B311" s="2"/>
      <c r="C311" s="3">
        <f ca="1">IFERROR(__xludf.DUMMYFUNCTION("""COMPUTED_VALUE"""),45737.8681134259)</f>
        <v>45737.868113425902</v>
      </c>
      <c r="D311" s="2">
        <f ca="1">IFERROR(__xludf.DUMMYFUNCTION("""COMPUTED_VALUE"""),96)</f>
        <v>96</v>
      </c>
      <c r="E311" s="2">
        <f ca="1">IFERROR(__xludf.DUMMYFUNCTION("""COMPUTED_VALUE"""),85600)</f>
        <v>85600</v>
      </c>
      <c r="F311" s="2" t="str">
        <f ca="1">IFERROR(__xludf.DUMMYFUNCTION("""COMPUTED_VALUE"""),"Tinto Recarga")</f>
        <v>Tinto Recarga</v>
      </c>
      <c r="G311" s="2">
        <f ca="1">IFERROR(__xludf.DUMMYFUNCTION("""COMPUTED_VALUE"""),16000)</f>
        <v>16000</v>
      </c>
      <c r="H311" s="2">
        <f ca="1">IFERROR(__xludf.DUMMYFUNCTION("""COMPUTED_VALUE"""),39000)</f>
        <v>39000</v>
      </c>
      <c r="I311" s="2" t="str">
        <f ca="1">IFERROR(__xludf.DUMMYFUNCTION("""COMPUTED_VALUE"""),"25/3
Hacer AZ y VOL")</f>
        <v>25/3
Hacer AZ y VOL</v>
      </c>
      <c r="J311" s="2"/>
      <c r="K311" s="2" t="str">
        <f ca="1">IFERROR(__xludf.DUMMYFUNCTION("""COMPUTED_VALUE"""),"Recarga Fermentando")</f>
        <v>Recarga Fermentando</v>
      </c>
      <c r="L311" s="2"/>
      <c r="M311" s="2"/>
    </row>
    <row r="312" spans="1:13" x14ac:dyDescent="0.25">
      <c r="A312" s="2" t="str">
        <f ca="1">IFERROR(__xludf.DUMMYFUNCTION("""COMPUTED_VALUE"""),"730bdaa5")</f>
        <v>730bdaa5</v>
      </c>
      <c r="B312" s="2"/>
      <c r="C312" s="3">
        <f ca="1">IFERROR(__xludf.DUMMYFUNCTION("""COMPUTED_VALUE"""),45737.8732986111)</f>
        <v>45737.873298611099</v>
      </c>
      <c r="D312" s="2">
        <f ca="1">IFERROR(__xludf.DUMMYFUNCTION("""COMPUTED_VALUE"""),67)</f>
        <v>67</v>
      </c>
      <c r="E312" s="2">
        <f ca="1">IFERROR(__xludf.DUMMYFUNCTION("""COMPUTED_VALUE"""),23000)</f>
        <v>23000</v>
      </c>
      <c r="F312" s="2" t="str">
        <f ca="1">IFERROR(__xludf.DUMMYFUNCTION("""COMPUTED_VALUE"""),"Bonarda")</f>
        <v>Bonarda</v>
      </c>
      <c r="G312" s="2">
        <f ca="1">IFERROR(__xludf.DUMMYFUNCTION("""COMPUTED_VALUE"""),17100)</f>
        <v>17100</v>
      </c>
      <c r="H312" s="2">
        <f ca="1">IFERROR(__xludf.DUMMYFUNCTION("""COMPUTED_VALUE"""),21100)</f>
        <v>21100</v>
      </c>
      <c r="I312" s="2" t="str">
        <f ca="1">IFERROR(__xludf.DUMMYFUNCTION("""COMPUTED_VALUE"""),"25/3
Bien. Algo ácido. Lindo color")</f>
        <v>25/3
Bien. Algo ácido. Lindo color</v>
      </c>
      <c r="J312" s="2"/>
      <c r="K312" s="2" t="str">
        <f ca="1">IFERROR(__xludf.DUMMYFUNCTION("""COMPUTED_VALUE"""),"Fermentando")</f>
        <v>Fermentando</v>
      </c>
      <c r="L312" s="2"/>
      <c r="M312" s="2"/>
    </row>
    <row r="313" spans="1:13" x14ac:dyDescent="0.25">
      <c r="A313" s="2" t="str">
        <f ca="1">IFERROR(__xludf.DUMMYFUNCTION("""COMPUTED_VALUE"""),"b2ddb184")</f>
        <v>b2ddb184</v>
      </c>
      <c r="B313" s="2"/>
      <c r="C313" s="3">
        <f ca="1">IFERROR(__xludf.DUMMYFUNCTION("""COMPUTED_VALUE"""),45737.8745949074)</f>
        <v>45737.8745949074</v>
      </c>
      <c r="D313" s="2">
        <f ca="1">IFERROR(__xludf.DUMMYFUNCTION("""COMPUTED_VALUE"""),65)</f>
        <v>65</v>
      </c>
      <c r="E313" s="2">
        <f ca="1">IFERROR(__xludf.DUMMYFUNCTION("""COMPUTED_VALUE"""),35500)</f>
        <v>35500</v>
      </c>
      <c r="F313" s="2" t="str">
        <f ca="1">IFERROR(__xludf.DUMMYFUNCTION("""COMPUTED_VALUE"""),"Pedro Gimenez")</f>
        <v>Pedro Gimenez</v>
      </c>
      <c r="G313" s="2">
        <f ca="1">IFERROR(__xludf.DUMMYFUNCTION("""COMPUTED_VALUE"""),20800)</f>
        <v>20800</v>
      </c>
      <c r="H313" s="2">
        <f ca="1">IFERROR(__xludf.DUMMYFUNCTION("""COMPUTED_VALUE"""),25000)</f>
        <v>25000</v>
      </c>
      <c r="I313" s="2" t="str">
        <f ca="1">IFERROR(__xludf.DUMMYFUNCTION("""COMPUTED_VALUE"""),"25/3
Llego a cero baume")</f>
        <v>25/3
Llego a cero baume</v>
      </c>
      <c r="J313" s="2"/>
      <c r="K313" s="2" t="str">
        <f ca="1">IFERROR(__xludf.DUMMYFUNCTION("""COMPUTED_VALUE"""),"Fermentando")</f>
        <v>Fermentando</v>
      </c>
      <c r="L313" s="2"/>
      <c r="M313" s="2"/>
    </row>
    <row r="314" spans="1:13" x14ac:dyDescent="0.25">
      <c r="A314" s="2" t="str">
        <f ca="1">IFERROR(__xludf.DUMMYFUNCTION("""COMPUTED_VALUE"""),"571333c6")</f>
        <v>571333c6</v>
      </c>
      <c r="B314" s="2"/>
      <c r="C314" s="3">
        <f ca="1">IFERROR(__xludf.DUMMYFUNCTION("""COMPUTED_VALUE"""),45737.8767708333)</f>
        <v>45737.876770833303</v>
      </c>
      <c r="D314" s="2">
        <f ca="1">IFERROR(__xludf.DUMMYFUNCTION("""COMPUTED_VALUE"""),72)</f>
        <v>72</v>
      </c>
      <c r="E314" s="2">
        <f ca="1">IFERROR(__xludf.DUMMYFUNCTION("""COMPUTED_VALUE"""),13000)</f>
        <v>13000</v>
      </c>
      <c r="F314" s="2" t="str">
        <f ca="1">IFERROR(__xludf.DUMMYFUNCTION("""COMPUTED_VALUE"""),"Tanat")</f>
        <v>Tanat</v>
      </c>
      <c r="G314" s="2"/>
      <c r="H314" s="2">
        <f ca="1">IFERROR(__xludf.DUMMYFUNCTION("""COMPUTED_VALUE"""),7000)</f>
        <v>7000</v>
      </c>
      <c r="I314" s="2" t="str">
        <f ca="1">IFERROR(__xludf.DUMMYFUNCTION("""COMPUTED_VALUE"""),"25/3 
Cargar ph")</f>
        <v>25/3 
Cargar ph</v>
      </c>
      <c r="J314" s="2">
        <f ca="1">IFERROR(__xludf.DUMMYFUNCTION("""COMPUTED_VALUE"""),5998)</f>
        <v>5998</v>
      </c>
      <c r="K314" s="2" t="str">
        <f ca="1">IFERROR(__xludf.DUMMYFUNCTION("""COMPUTED_VALUE"""),"Fermentando")</f>
        <v>Fermentando</v>
      </c>
      <c r="L314" s="2"/>
      <c r="M314" s="2"/>
    </row>
    <row r="315" spans="1:13" x14ac:dyDescent="0.25">
      <c r="A315" s="2" t="str">
        <f ca="1">IFERROR(__xludf.DUMMYFUNCTION("""COMPUTED_VALUE"""),"22e4f887")</f>
        <v>22e4f887</v>
      </c>
      <c r="B315" s="2"/>
      <c r="C315" s="3">
        <f ca="1">IFERROR(__xludf.DUMMYFUNCTION("""COMPUTED_VALUE"""),45737.8779861111)</f>
        <v>45737.877986111103</v>
      </c>
      <c r="D315" s="2">
        <f ca="1">IFERROR(__xludf.DUMMYFUNCTION("""COMPUTED_VALUE"""),89)</f>
        <v>89</v>
      </c>
      <c r="E315" s="2">
        <f ca="1">IFERROR(__xludf.DUMMYFUNCTION("""COMPUTED_VALUE"""),83500)</f>
        <v>83500</v>
      </c>
      <c r="F315" s="2" t="str">
        <f ca="1">IFERROR(__xludf.DUMMYFUNCTION("""COMPUTED_VALUE"""),"Malbec Mec")</f>
        <v>Malbec Mec</v>
      </c>
      <c r="G315" s="2"/>
      <c r="H315" s="2">
        <f ca="1">IFERROR(__xludf.DUMMYFUNCTION("""COMPUTED_VALUE"""),39200)</f>
        <v>39200</v>
      </c>
      <c r="I315" s="2" t="str">
        <f ca="1">IFERROR(__xludf.DUMMYFUNCTION("""COMPUTED_VALUE"""),"Mecanica")</f>
        <v>Mecanica</v>
      </c>
      <c r="J315" s="2" t="str">
        <f ca="1">IFERROR(__xludf.DUMMYFUNCTION("""COMPUTED_VALUE"""),"6002 , 6003 , 6005 , 6006 , 6007")</f>
        <v>6002 , 6003 , 6005 , 6006 , 6007</v>
      </c>
      <c r="K315" s="2" t="str">
        <f ca="1">IFERROR(__xludf.DUMMYFUNCTION("""COMPUTED_VALUE"""),"Fermentando")</f>
        <v>Fermentando</v>
      </c>
      <c r="L315" s="2"/>
      <c r="M315" s="2"/>
    </row>
    <row r="316" spans="1:13" x14ac:dyDescent="0.25">
      <c r="A316" s="2" t="str">
        <f ca="1">IFERROR(__xludf.DUMMYFUNCTION("""COMPUTED_VALUE"""),"708b6ccb")</f>
        <v>708b6ccb</v>
      </c>
      <c r="B316" s="2"/>
      <c r="C316" s="3">
        <f ca="1">IFERROR(__xludf.DUMMYFUNCTION("""COMPUTED_VALUE"""),45737.8793981481)</f>
        <v>45737.879398148099</v>
      </c>
      <c r="D316" s="2">
        <f ca="1">IFERROR(__xludf.DUMMYFUNCTION("""COMPUTED_VALUE"""),88)</f>
        <v>88</v>
      </c>
      <c r="E316" s="2">
        <f ca="1">IFERROR(__xludf.DUMMYFUNCTION("""COMPUTED_VALUE"""),78900)</f>
        <v>78900</v>
      </c>
      <c r="F316" s="2" t="str">
        <f ca="1">IFERROR(__xludf.DUMMYFUNCTION("""COMPUTED_VALUE"""),"Bonarda")</f>
        <v>Bonarda</v>
      </c>
      <c r="G316" s="2"/>
      <c r="H316" s="2">
        <f ca="1">IFERROR(__xludf.DUMMYFUNCTION("""COMPUTED_VALUE"""),28000)</f>
        <v>28000</v>
      </c>
      <c r="I316" s="2" t="str">
        <f ca="1">IFERROR(__xludf.DUMMYFUNCTION("""COMPUTED_VALUE"""),"Falta rectificado de la 49")</f>
        <v>Falta rectificado de la 49</v>
      </c>
      <c r="J316" s="2" t="str">
        <f ca="1">IFERROR(__xludf.DUMMYFUNCTION("""COMPUTED_VALUE"""),"6004 , 6001 , 5997")</f>
        <v>6004 , 6001 , 5997</v>
      </c>
      <c r="K316" s="2" t="str">
        <f ca="1">IFERROR(__xludf.DUMMYFUNCTION("""COMPUTED_VALUE"""),"Fermentando")</f>
        <v>Fermentando</v>
      </c>
      <c r="L316" s="2"/>
      <c r="M316" s="2"/>
    </row>
    <row r="317" spans="1:13" x14ac:dyDescent="0.25">
      <c r="A317" s="2" t="str">
        <f ca="1">IFERROR(__xludf.DUMMYFUNCTION("""COMPUTED_VALUE"""),"33d70f3e")</f>
        <v>33d70f3e</v>
      </c>
      <c r="B317" s="2"/>
      <c r="C317" s="3">
        <f ca="1">IFERROR(__xludf.DUMMYFUNCTION("""COMPUTED_VALUE"""),45738.818449074)</f>
        <v>45738.818449074002</v>
      </c>
      <c r="D317" s="2">
        <f ca="1">IFERROR(__xludf.DUMMYFUNCTION("""COMPUTED_VALUE"""),109)</f>
        <v>109</v>
      </c>
      <c r="E317" s="2">
        <f ca="1">IFERROR(__xludf.DUMMYFUNCTION("""COMPUTED_VALUE"""),15600)</f>
        <v>15600</v>
      </c>
      <c r="F317" s="2" t="str">
        <f ca="1">IFERROR(__xludf.DUMMYFUNCTION("""COMPUTED_VALUE"""),"Bonarda C2")</f>
        <v>Bonarda C2</v>
      </c>
      <c r="G317" s="2">
        <f ca="1">IFERROR(__xludf.DUMMYFUNCTION("""COMPUTED_VALUE"""),0)</f>
        <v>0</v>
      </c>
      <c r="H317" s="2">
        <f ca="1">IFERROR(__xludf.DUMMYFUNCTION("""COMPUTED_VALUE"""),15600)</f>
        <v>15600</v>
      </c>
      <c r="I317" s="2" t="str">
        <f ca="1">IFERROR(__xludf.DUMMYFUNCTION("""COMPUTED_VALUE"""),"17/4")</f>
        <v>17/4</v>
      </c>
      <c r="J317" s="2"/>
      <c r="K317" s="2" t="str">
        <f ca="1">IFERROR(__xludf.DUMMYFUNCTION("""COMPUTED_VALUE"""),"Descubada")</f>
        <v>Descubada</v>
      </c>
      <c r="L317" s="2"/>
      <c r="M317" s="2"/>
    </row>
    <row r="318" spans="1:13" x14ac:dyDescent="0.25">
      <c r="A318" s="2" t="str">
        <f ca="1">IFERROR(__xludf.DUMMYFUNCTION("""COMPUTED_VALUE"""),"3907dbfc")</f>
        <v>3907dbfc</v>
      </c>
      <c r="B318" s="2"/>
      <c r="C318" s="3">
        <f ca="1">IFERROR(__xludf.DUMMYFUNCTION("""COMPUTED_VALUE"""),45738.8193055555)</f>
        <v>45738.819305555502</v>
      </c>
      <c r="D318" s="2">
        <f ca="1">IFERROR(__xludf.DUMMYFUNCTION("""COMPUTED_VALUE"""),108)</f>
        <v>108</v>
      </c>
      <c r="E318" s="2">
        <f ca="1">IFERROR(__xludf.DUMMYFUNCTION("""COMPUTED_VALUE"""),31000)</f>
        <v>31000</v>
      </c>
      <c r="F318" s="2" t="str">
        <f ca="1">IFERROR(__xludf.DUMMYFUNCTION("""COMPUTED_VALUE"""),"Bonarda C2")</f>
        <v>Bonarda C2</v>
      </c>
      <c r="G318" s="2">
        <f ca="1">IFERROR(__xludf.DUMMYFUNCTION("""COMPUTED_VALUE"""),0)</f>
        <v>0</v>
      </c>
      <c r="H318" s="2">
        <f ca="1">IFERROR(__xludf.DUMMYFUNCTION("""COMPUTED_VALUE"""),31000)</f>
        <v>31000</v>
      </c>
      <c r="I318" s="2" t="str">
        <f ca="1">IFERROR(__xludf.DUMMYFUNCTION("""COMPUTED_VALUE"""),"1/4
Tinto básico. Liviano.")</f>
        <v>1/4
Tinto básico. Liviano.</v>
      </c>
      <c r="J318" s="2"/>
      <c r="K318" s="2" t="str">
        <f ca="1">IFERROR(__xludf.DUMMYFUNCTION("""COMPUTED_VALUE"""),"Descubada")</f>
        <v>Descubada</v>
      </c>
      <c r="L318" s="2"/>
      <c r="M318" s="2"/>
    </row>
    <row r="319" spans="1:13" x14ac:dyDescent="0.25">
      <c r="A319" s="2" t="str">
        <f ca="1">IFERROR(__xludf.DUMMYFUNCTION("""COMPUTED_VALUE"""),"c9e381e1")</f>
        <v>c9e381e1</v>
      </c>
      <c r="B319" s="2"/>
      <c r="C319" s="3">
        <f ca="1">IFERROR(__xludf.DUMMYFUNCTION("""COMPUTED_VALUE"""),45738.8201157407)</f>
        <v>45738.820115740702</v>
      </c>
      <c r="D319" s="2">
        <f ca="1">IFERROR(__xludf.DUMMYFUNCTION("""COMPUTED_VALUE"""),107)</f>
        <v>107</v>
      </c>
      <c r="E319" s="2">
        <f ca="1">IFERROR(__xludf.DUMMYFUNCTION("""COMPUTED_VALUE"""),31000)</f>
        <v>31000</v>
      </c>
      <c r="F319" s="2" t="str">
        <f ca="1">IFERROR(__xludf.DUMMYFUNCTION("""COMPUTED_VALUE"""),"Bonarda C2")</f>
        <v>Bonarda C2</v>
      </c>
      <c r="G319" s="2">
        <f ca="1">IFERROR(__xludf.DUMMYFUNCTION("""COMPUTED_VALUE"""),0)</f>
        <v>0</v>
      </c>
      <c r="H319" s="2">
        <f ca="1">IFERROR(__xludf.DUMMYFUNCTION("""COMPUTED_VALUE"""),8400)</f>
        <v>8400</v>
      </c>
      <c r="I319" s="2"/>
      <c r="J319" s="2"/>
      <c r="K319" s="2" t="str">
        <f ca="1">IFERROR(__xludf.DUMMYFUNCTION("""COMPUTED_VALUE"""),"Descubada")</f>
        <v>Descubada</v>
      </c>
      <c r="L319" s="2"/>
      <c r="M319" s="2"/>
    </row>
    <row r="320" spans="1:13" x14ac:dyDescent="0.25">
      <c r="A320" s="2" t="str">
        <f ca="1">IFERROR(__xludf.DUMMYFUNCTION("""COMPUTED_VALUE"""),"54d0d860")</f>
        <v>54d0d860</v>
      </c>
      <c r="B320" s="2"/>
      <c r="C320" s="3">
        <f ca="1">IFERROR(__xludf.DUMMYFUNCTION("""COMPUTED_VALUE"""),45738.8219560185)</f>
        <v>45738.821956018503</v>
      </c>
      <c r="D320" s="2">
        <f ca="1">IFERROR(__xludf.DUMMYFUNCTION("""COMPUTED_VALUE"""),105)</f>
        <v>105</v>
      </c>
      <c r="E320" s="2">
        <f ca="1">IFERROR(__xludf.DUMMYFUNCTION("""COMPUTED_VALUE"""),31000)</f>
        <v>31000</v>
      </c>
      <c r="F320" s="2" t="str">
        <f ca="1">IFERROR(__xludf.DUMMYFUNCTION("""COMPUTED_VALUE"""),"Ancellotta Tempranillo")</f>
        <v>Ancellotta Tempranillo</v>
      </c>
      <c r="G320" s="2">
        <f ca="1">IFERROR(__xludf.DUMMYFUNCTION("""COMPUTED_VALUE"""),6800)</f>
        <v>6800</v>
      </c>
      <c r="H320" s="2">
        <f ca="1">IFERROR(__xludf.DUMMYFUNCTION("""COMPUTED_VALUE"""),31000)</f>
        <v>31000</v>
      </c>
      <c r="I320" s="2" t="str">
        <f ca="1">IFERROR(__xludf.DUMMYFUNCTION("""COMPUTED_VALUE"""),"1/4
Muy bien.")</f>
        <v>1/4
Muy bien.</v>
      </c>
      <c r="J320" s="2"/>
      <c r="K320" s="2" t="str">
        <f ca="1">IFERROR(__xludf.DUMMYFUNCTION("""COMPUTED_VALUE"""),"Descubada")</f>
        <v>Descubada</v>
      </c>
      <c r="L320" s="2"/>
      <c r="M320" s="2"/>
    </row>
    <row r="321" spans="1:13" x14ac:dyDescent="0.25">
      <c r="A321" s="2" t="str">
        <f ca="1">IFERROR(__xludf.DUMMYFUNCTION("""COMPUTED_VALUE"""),"b1ca9458")</f>
        <v>b1ca9458</v>
      </c>
      <c r="B321" s="2"/>
      <c r="C321" s="3">
        <f ca="1">IFERROR(__xludf.DUMMYFUNCTION("""COMPUTED_VALUE"""),45738.822824074)</f>
        <v>45738.822824073999</v>
      </c>
      <c r="D321" s="2">
        <f ca="1">IFERROR(__xludf.DUMMYFUNCTION("""COMPUTED_VALUE"""),106)</f>
        <v>106</v>
      </c>
      <c r="E321" s="2">
        <f ca="1">IFERROR(__xludf.DUMMYFUNCTION("""COMPUTED_VALUE"""),11000)</f>
        <v>11000</v>
      </c>
      <c r="F321" s="2" t="str">
        <f ca="1">IFERROR(__xludf.DUMMYFUNCTION("""COMPUTED_VALUE"""),"Ancellotta Tempranillo")</f>
        <v>Ancellotta Tempranillo</v>
      </c>
      <c r="G321" s="2">
        <f ca="1">IFERROR(__xludf.DUMMYFUNCTION("""COMPUTED_VALUE"""),0)</f>
        <v>0</v>
      </c>
      <c r="H321" s="2">
        <f ca="1">IFERROR(__xludf.DUMMYFUNCTION("""COMPUTED_VALUE"""),11000)</f>
        <v>11000</v>
      </c>
      <c r="I321" s="2" t="str">
        <f ca="1">IFERROR(__xludf.DUMMYFUNCTION("""COMPUTED_VALUE"""),"17/4
Muy rico
1/4
Bien. Alineado con la 105. Se pueden unificar")</f>
        <v>17/4
Muy rico
1/4
Bien. Alineado con la 105. Se pueden unificar</v>
      </c>
      <c r="J321" s="2"/>
      <c r="K321" s="2" t="str">
        <f ca="1">IFERROR(__xludf.DUMMYFUNCTION("""COMPUTED_VALUE"""),"Descubada")</f>
        <v>Descubada</v>
      </c>
      <c r="L321" s="2"/>
      <c r="M321" s="2"/>
    </row>
    <row r="322" spans="1:13" x14ac:dyDescent="0.25">
      <c r="A322" s="2" t="str">
        <f ca="1">IFERROR(__xludf.DUMMYFUNCTION("""COMPUTED_VALUE"""),"afed01fa")</f>
        <v>afed01fa</v>
      </c>
      <c r="B322" s="2"/>
      <c r="C322" s="3">
        <f ca="1">IFERROR(__xludf.DUMMYFUNCTION("""COMPUTED_VALUE"""),45738.825474537)</f>
        <v>45738.825474537</v>
      </c>
      <c r="D322" s="2">
        <f ca="1">IFERROR(__xludf.DUMMYFUNCTION("""COMPUTED_VALUE"""),107)</f>
        <v>107</v>
      </c>
      <c r="E322" s="2">
        <f ca="1">IFERROR(__xludf.DUMMYFUNCTION("""COMPUTED_VALUE"""),31000)</f>
        <v>31000</v>
      </c>
      <c r="F322" s="2" t="str">
        <f ca="1">IFERROR(__xludf.DUMMYFUNCTION("""COMPUTED_VALUE"""),"Ancellotta Tempranillo Pren")</f>
        <v>Ancellotta Tempranillo Pren</v>
      </c>
      <c r="G322" s="2">
        <f ca="1">IFERROR(__xludf.DUMMYFUNCTION("""COMPUTED_VALUE"""),8400)</f>
        <v>8400</v>
      </c>
      <c r="H322" s="2">
        <f ca="1">IFERROR(__xludf.DUMMYFUNCTION("""COMPUTED_VALUE"""),31000)</f>
        <v>31000</v>
      </c>
      <c r="I322" s="2" t="str">
        <f ca="1">IFERROR(__xludf.DUMMYFUNCTION("""COMPUTED_VALUE"""),"17/4
Simple
1/4
Está bien pero más básico. Co2 en boca")</f>
        <v>17/4
Simple
1/4
Está bien pero más básico. Co2 en boca</v>
      </c>
      <c r="J322" s="2"/>
      <c r="K322" s="2" t="str">
        <f ca="1">IFERROR(__xludf.DUMMYFUNCTION("""COMPUTED_VALUE"""),"Descubada")</f>
        <v>Descubada</v>
      </c>
      <c r="L322" s="2"/>
      <c r="M322" s="2"/>
    </row>
    <row r="323" spans="1:13" x14ac:dyDescent="0.25">
      <c r="A323" s="2" t="str">
        <f ca="1">IFERROR(__xludf.DUMMYFUNCTION("""COMPUTED_VALUE"""),"6527d58b")</f>
        <v>6527d58b</v>
      </c>
      <c r="B323" s="2"/>
      <c r="C323" s="3">
        <f ca="1">IFERROR(__xludf.DUMMYFUNCTION("""COMPUTED_VALUE"""),45740.4440509259)</f>
        <v>45740.4440509259</v>
      </c>
      <c r="D323" s="2">
        <f ca="1">IFERROR(__xludf.DUMMYFUNCTION("""COMPUTED_VALUE"""),73)</f>
        <v>73</v>
      </c>
      <c r="E323" s="2">
        <f ca="1">IFERROR(__xludf.DUMMYFUNCTION("""COMPUTED_VALUE"""),13000)</f>
        <v>13000</v>
      </c>
      <c r="F323" s="2" t="str">
        <f ca="1">IFERROR(__xludf.DUMMYFUNCTION("""COMPUTED_VALUE"""),"Malbec")</f>
        <v>Malbec</v>
      </c>
      <c r="G323" s="2"/>
      <c r="H323" s="2">
        <f ca="1">IFERROR(__xludf.DUMMYFUNCTION("""COMPUTED_VALUE"""),6400)</f>
        <v>6400</v>
      </c>
      <c r="I323" s="2"/>
      <c r="J323" s="2">
        <f ca="1">IFERROR(__xludf.DUMMYFUNCTION("""COMPUTED_VALUE"""),6008)</f>
        <v>6008</v>
      </c>
      <c r="K323" s="2" t="str">
        <f ca="1">IFERROR(__xludf.DUMMYFUNCTION("""COMPUTED_VALUE"""),"Fermentando")</f>
        <v>Fermentando</v>
      </c>
      <c r="L323" s="2"/>
      <c r="M323" s="2"/>
    </row>
    <row r="324" spans="1:13" x14ac:dyDescent="0.25">
      <c r="A324" s="2" t="str">
        <f ca="1">IFERROR(__xludf.DUMMYFUNCTION("""COMPUTED_VALUE"""),"34f051f2")</f>
        <v>34f051f2</v>
      </c>
      <c r="B324" s="2"/>
      <c r="C324" s="3">
        <f ca="1">IFERROR(__xludf.DUMMYFUNCTION("""COMPUTED_VALUE"""),45740.4548842592)</f>
        <v>45740.454884259198</v>
      </c>
      <c r="D324" s="2">
        <f ca="1">IFERROR(__xludf.DUMMYFUNCTION("""COMPUTED_VALUE"""),115)</f>
        <v>115</v>
      </c>
      <c r="E324" s="2">
        <f ca="1">IFERROR(__xludf.DUMMYFUNCTION("""COMPUTED_VALUE"""),120200)</f>
        <v>120200</v>
      </c>
      <c r="F324" s="2" t="str">
        <f ca="1">IFERROR(__xludf.DUMMYFUNCTION("""COMPUTED_VALUE"""),"Bonarda C2")</f>
        <v>Bonarda C2</v>
      </c>
      <c r="G324" s="2">
        <f ca="1">IFERROR(__xludf.DUMMYFUNCTION("""COMPUTED_VALUE"""),0)</f>
        <v>0</v>
      </c>
      <c r="H324" s="2">
        <f ca="1">IFERROR(__xludf.DUMMYFUNCTION("""COMPUTED_VALUE"""),50000)</f>
        <v>50000</v>
      </c>
      <c r="I324" s="2"/>
      <c r="J324" s="2"/>
      <c r="K324" s="2" t="str">
        <f ca="1">IFERROR(__xludf.DUMMYFUNCTION("""COMPUTED_VALUE"""),"Descubada")</f>
        <v>Descubada</v>
      </c>
      <c r="L324" s="2"/>
      <c r="M324" s="2"/>
    </row>
    <row r="325" spans="1:13" x14ac:dyDescent="0.25">
      <c r="A325" s="2" t="str">
        <f ca="1">IFERROR(__xludf.DUMMYFUNCTION("""COMPUTED_VALUE"""),"8d1e611a")</f>
        <v>8d1e611a</v>
      </c>
      <c r="B325" s="2"/>
      <c r="C325" s="3">
        <f ca="1">IFERROR(__xludf.DUMMYFUNCTION("""COMPUTED_VALUE"""),45741.5266435185)</f>
        <v>45741.526643518497</v>
      </c>
      <c r="D325" s="2">
        <f ca="1">IFERROR(__xludf.DUMMYFUNCTION("""COMPUTED_VALUE"""),88)</f>
        <v>88</v>
      </c>
      <c r="E325" s="2">
        <f ca="1">IFERROR(__xludf.DUMMYFUNCTION("""COMPUTED_VALUE"""),78900)</f>
        <v>78900</v>
      </c>
      <c r="F325" s="2" t="str">
        <f ca="1">IFERROR(__xludf.DUMMYFUNCTION("""COMPUTED_VALUE"""),"Bonarda")</f>
        <v>Bonarda</v>
      </c>
      <c r="G325" s="2">
        <f ca="1">IFERROR(__xludf.DUMMYFUNCTION("""COMPUTED_VALUE"""),28000)</f>
        <v>28000</v>
      </c>
      <c r="H325" s="2">
        <f ca="1">IFERROR(__xludf.DUMMYFUNCTION("""COMPUTED_VALUE"""),35900)</f>
        <v>35900</v>
      </c>
      <c r="I325" s="2"/>
      <c r="J325" s="2"/>
      <c r="K325" s="2" t="str">
        <f ca="1">IFERROR(__xludf.DUMMYFUNCTION("""COMPUTED_VALUE"""),"Fermentando")</f>
        <v>Fermentando</v>
      </c>
      <c r="L325" s="2"/>
      <c r="M325" s="2"/>
    </row>
    <row r="326" spans="1:13" x14ac:dyDescent="0.25">
      <c r="A326" s="2" t="str">
        <f ca="1">IFERROR(__xludf.DUMMYFUNCTION("""COMPUTED_VALUE"""),"2e224e71")</f>
        <v>2e224e71</v>
      </c>
      <c r="B326" s="2"/>
      <c r="C326" s="3">
        <f ca="1">IFERROR(__xludf.DUMMYFUNCTION("""COMPUTED_VALUE"""),45741.5274652777)</f>
        <v>45741.527465277701</v>
      </c>
      <c r="D326" s="2">
        <f ca="1">IFERROR(__xludf.DUMMYFUNCTION("""COMPUTED_VALUE"""),73)</f>
        <v>73</v>
      </c>
      <c r="E326" s="2">
        <f ca="1">IFERROR(__xludf.DUMMYFUNCTION("""COMPUTED_VALUE"""),13000)</f>
        <v>13000</v>
      </c>
      <c r="F326" s="2" t="str">
        <f ca="1">IFERROR(__xludf.DUMMYFUNCTION("""COMPUTED_VALUE"""),"Malbec")</f>
        <v>Malbec</v>
      </c>
      <c r="G326" s="2">
        <f ca="1">IFERROR(__xludf.DUMMYFUNCTION("""COMPUTED_VALUE"""),6400)</f>
        <v>6400</v>
      </c>
      <c r="H326" s="2">
        <f ca="1">IFERROR(__xludf.DUMMYFUNCTION("""COMPUTED_VALUE"""),7800)</f>
        <v>7800</v>
      </c>
      <c r="I326" s="2" t="str">
        <f ca="1">IFERROR(__xludf.DUMMYFUNCTION("""COMPUTED_VALUE"""),"4/4 ver donde va el saldo de 1500 lts despues de ir a 15 el resto
1/4
Pasar por orujos tanat")</f>
        <v>4/4 ver donde va el saldo de 1500 lts despues de ir a 15 el resto
1/4
Pasar por orujos tanat</v>
      </c>
      <c r="J326" s="2"/>
      <c r="K326" s="2" t="str">
        <f ca="1">IFERROR(__xludf.DUMMYFUNCTION("""COMPUTED_VALUE"""),"Fermentando")</f>
        <v>Fermentando</v>
      </c>
      <c r="L326" s="2"/>
      <c r="M326" s="2"/>
    </row>
    <row r="327" spans="1:13" x14ac:dyDescent="0.25">
      <c r="A327" s="2" t="str">
        <f ca="1">IFERROR(__xludf.DUMMYFUNCTION("""COMPUTED_VALUE"""),"239b5e04")</f>
        <v>239b5e04</v>
      </c>
      <c r="B327" s="2"/>
      <c r="C327" s="3">
        <f ca="1">IFERROR(__xludf.DUMMYFUNCTION("""COMPUTED_VALUE"""),45741.5293402777)</f>
        <v>45741.529340277702</v>
      </c>
      <c r="D327" s="2">
        <f ca="1">IFERROR(__xludf.DUMMYFUNCTION("""COMPUTED_VALUE"""),89)</f>
        <v>89</v>
      </c>
      <c r="E327" s="2">
        <f ca="1">IFERROR(__xludf.DUMMYFUNCTION("""COMPUTED_VALUE"""),83500)</f>
        <v>83500</v>
      </c>
      <c r="F327" s="2" t="str">
        <f ca="1">IFERROR(__xludf.DUMMYFUNCTION("""COMPUTED_VALUE"""),"Malbec Mec")</f>
        <v>Malbec Mec</v>
      </c>
      <c r="G327" s="2">
        <f ca="1">IFERROR(__xludf.DUMMYFUNCTION("""COMPUTED_VALUE"""),39200)</f>
        <v>39200</v>
      </c>
      <c r="H327" s="2">
        <f ca="1">IFERROR(__xludf.DUMMYFUNCTION("""COMPUTED_VALUE"""),46000)</f>
        <v>46000</v>
      </c>
      <c r="I327" s="2" t="str">
        <f ca="1">IFERROR(__xludf.DUMMYFUNCTION("""COMPUTED_VALUE"""),"1/4
Igual 84. Hacer AZ para pensar
Liviano, floral
No hace falta seguir dejando con los orujos
Juntar con 84")</f>
        <v>1/4
Igual 84. Hacer AZ para pensar
Liviano, floral
No hace falta seguir dejando con los orujos
Juntar con 84</v>
      </c>
      <c r="J327" s="2"/>
      <c r="K327" s="2" t="str">
        <f ca="1">IFERROR(__xludf.DUMMYFUNCTION("""COMPUTED_VALUE"""),"Fermentando")</f>
        <v>Fermentando</v>
      </c>
      <c r="L327" s="2"/>
      <c r="M327" s="2"/>
    </row>
    <row r="328" spans="1:13" x14ac:dyDescent="0.25">
      <c r="A328" s="2" t="str">
        <f ca="1">IFERROR(__xludf.DUMMYFUNCTION("""COMPUTED_VALUE"""),"95e67a02")</f>
        <v>95e67a02</v>
      </c>
      <c r="B328" s="2"/>
      <c r="C328" s="3">
        <f ca="1">IFERROR(__xludf.DUMMYFUNCTION("""COMPUTED_VALUE"""),45741.5297800925)</f>
        <v>45741.529780092496</v>
      </c>
      <c r="D328" s="2">
        <f ca="1">IFERROR(__xludf.DUMMYFUNCTION("""COMPUTED_VALUE"""),89)</f>
        <v>89</v>
      </c>
      <c r="E328" s="2">
        <f ca="1">IFERROR(__xludf.DUMMYFUNCTION("""COMPUTED_VALUE"""),83500)</f>
        <v>83500</v>
      </c>
      <c r="F328" s="2" t="str">
        <f ca="1">IFERROR(__xludf.DUMMYFUNCTION("""COMPUTED_VALUE"""),"Malbec Mec")</f>
        <v>Malbec Mec</v>
      </c>
      <c r="G328" s="2">
        <f ca="1">IFERROR(__xludf.DUMMYFUNCTION("""COMPUTED_VALUE"""),46000)</f>
        <v>46000</v>
      </c>
      <c r="H328" s="2">
        <f ca="1">IFERROR(__xludf.DUMMYFUNCTION("""COMPUTED_VALUE"""),52800)</f>
        <v>52800</v>
      </c>
      <c r="I328" s="2"/>
      <c r="J328" s="2"/>
      <c r="K328" s="2" t="str">
        <f ca="1">IFERROR(__xludf.DUMMYFUNCTION("""COMPUTED_VALUE"""),"Fermentando")</f>
        <v>Fermentando</v>
      </c>
      <c r="L328" s="2"/>
      <c r="M328" s="2"/>
    </row>
    <row r="329" spans="1:13" x14ac:dyDescent="0.25">
      <c r="A329" s="2" t="str">
        <f ca="1">IFERROR(__xludf.DUMMYFUNCTION("""COMPUTED_VALUE"""),"4fc3176a")</f>
        <v>4fc3176a</v>
      </c>
      <c r="B329" s="2"/>
      <c r="C329" s="3">
        <f ca="1">IFERROR(__xludf.DUMMYFUNCTION("""COMPUTED_VALUE"""),45741.5312268518)</f>
        <v>45741.531226851803</v>
      </c>
      <c r="D329" s="2">
        <f ca="1">IFERROR(__xludf.DUMMYFUNCTION("""COMPUTED_VALUE"""),80)</f>
        <v>80</v>
      </c>
      <c r="E329" s="2">
        <f ca="1">IFERROR(__xludf.DUMMYFUNCTION("""COMPUTED_VALUE"""),26100)</f>
        <v>26100</v>
      </c>
      <c r="F329" s="2" t="str">
        <f ca="1">IFERROR(__xludf.DUMMYFUNCTION("""COMPUTED_VALUE"""),"Chenin")</f>
        <v>Chenin</v>
      </c>
      <c r="G329" s="2">
        <f ca="1">IFERROR(__xludf.DUMMYFUNCTION("""COMPUTED_VALUE"""),24000)</f>
        <v>24000</v>
      </c>
      <c r="H329" s="2">
        <f ca="1">IFERROR(__xludf.DUMMYFUNCTION("""COMPUTED_VALUE"""),26100)</f>
        <v>26100</v>
      </c>
      <c r="I329" s="2"/>
      <c r="J329" s="2"/>
      <c r="K329" s="2" t="str">
        <f ca="1">IFERROR(__xludf.DUMMYFUNCTION("""COMPUTED_VALUE"""),"Fermentando")</f>
        <v>Fermentando</v>
      </c>
      <c r="L329" s="2"/>
      <c r="M329" s="2"/>
    </row>
    <row r="330" spans="1:13" x14ac:dyDescent="0.25">
      <c r="A330" s="2" t="str">
        <f ca="1">IFERROR(__xludf.DUMMYFUNCTION("""COMPUTED_VALUE"""),"666d23a6")</f>
        <v>666d23a6</v>
      </c>
      <c r="B330" s="2"/>
      <c r="C330" s="3">
        <f ca="1">IFERROR(__xludf.DUMMYFUNCTION("""COMPUTED_VALUE"""),45741.5329398148)</f>
        <v>45741.532939814802</v>
      </c>
      <c r="D330" s="2">
        <f ca="1">IFERROR(__xludf.DUMMYFUNCTION("""COMPUTED_VALUE"""),95)</f>
        <v>95</v>
      </c>
      <c r="E330" s="2">
        <f ca="1">IFERROR(__xludf.DUMMYFUNCTION("""COMPUTED_VALUE"""),77100)</f>
        <v>77100</v>
      </c>
      <c r="F330" s="2" t="str">
        <f ca="1">IFERROR(__xludf.DUMMYFUNCTION("""COMPUTED_VALUE"""),"Syrah")</f>
        <v>Syrah</v>
      </c>
      <c r="G330" s="2">
        <f ca="1">IFERROR(__xludf.DUMMYFUNCTION("""COMPUTED_VALUE"""),0)</f>
        <v>0</v>
      </c>
      <c r="H330" s="2">
        <f ca="1">IFERROR(__xludf.DUMMYFUNCTION("""COMPUTED_VALUE"""),52500)</f>
        <v>52500</v>
      </c>
      <c r="I330" s="2" t="str">
        <f ca="1">IFERROR(__xludf.DUMMYFUNCTION("""COMPUTED_VALUE"""),"1/4
Cómo estaba parada la generación se le agrego el viernes 100 GR SO2 para limpiar el medio.
Hacer AZ hoy 1/4")</f>
        <v>1/4
Cómo estaba parada la generación se le agrego el viernes 100 GR SO2 para limpiar el medio.
Hacer AZ hoy 1/4</v>
      </c>
      <c r="J330" s="2"/>
      <c r="K330" s="2" t="str">
        <f ca="1">IFERROR(__xludf.DUMMYFUNCTION("""COMPUTED_VALUE"""),"Descubada")</f>
        <v>Descubada</v>
      </c>
      <c r="L330" s="2"/>
      <c r="M330" s="2"/>
    </row>
    <row r="331" spans="1:13" x14ac:dyDescent="0.25">
      <c r="A331" s="2" t="str">
        <f ca="1">IFERROR(__xludf.DUMMYFUNCTION("""COMPUTED_VALUE"""),"4eab3967")</f>
        <v>4eab3967</v>
      </c>
      <c r="B331" s="2"/>
      <c r="C331" s="3">
        <f ca="1">IFERROR(__xludf.DUMMYFUNCTION("""COMPUTED_VALUE"""),45741.5394212962)</f>
        <v>45741.539421296198</v>
      </c>
      <c r="D331" s="2">
        <f ca="1">IFERROR(__xludf.DUMMYFUNCTION("""COMPUTED_VALUE"""),51)</f>
        <v>51</v>
      </c>
      <c r="E331" s="2">
        <f ca="1">IFERROR(__xludf.DUMMYFUNCTION("""COMPUTED_VALUE"""),3900)</f>
        <v>3900</v>
      </c>
      <c r="F331" s="2" t="str">
        <f ca="1">IFERROR(__xludf.DUMMYFUNCTION("""COMPUTED_VALUE"""),"Tanat")</f>
        <v>Tanat</v>
      </c>
      <c r="G331" s="2">
        <f ca="1">IFERROR(__xludf.DUMMYFUNCTION("""COMPUTED_VALUE"""),3800)</f>
        <v>3800</v>
      </c>
      <c r="H331" s="2">
        <f ca="1">IFERROR(__xludf.DUMMYFUNCTION("""COMPUTED_VALUE"""),3900)</f>
        <v>3900</v>
      </c>
      <c r="I331" s="2" t="str">
        <f ca="1">IFERROR(__xludf.DUMMYFUNCTION("""COMPUTED_VALUE"""),"1/4
Muy bueno. Redondo")</f>
        <v>1/4
Muy bueno. Redondo</v>
      </c>
      <c r="J331" s="2"/>
      <c r="K331" s="2" t="str">
        <f ca="1">IFERROR(__xludf.DUMMYFUNCTION("""COMPUTED_VALUE"""),"Descubada")</f>
        <v>Descubada</v>
      </c>
      <c r="L331" s="2" t="str">
        <f ca="1">IFERROR(__xludf.DUMMYFUNCTION("""COMPUTED_VALUE"""),"1")</f>
        <v>1</v>
      </c>
      <c r="M331" s="2"/>
    </row>
    <row r="332" spans="1:13" x14ac:dyDescent="0.25">
      <c r="A332" s="2" t="str">
        <f ca="1">IFERROR(__xludf.DUMMYFUNCTION("""COMPUTED_VALUE"""),"806c3920")</f>
        <v>806c3920</v>
      </c>
      <c r="B332" s="2"/>
      <c r="C332" s="3">
        <f ca="1">IFERROR(__xludf.DUMMYFUNCTION("""COMPUTED_VALUE"""),45741.5404166666)</f>
        <v>45741.540416666598</v>
      </c>
      <c r="D332" s="2">
        <f ca="1">IFERROR(__xludf.DUMMYFUNCTION("""COMPUTED_VALUE"""),55)</f>
        <v>55</v>
      </c>
      <c r="E332" s="2">
        <f ca="1">IFERROR(__xludf.DUMMYFUNCTION("""COMPUTED_VALUE"""),3000)</f>
        <v>3000</v>
      </c>
      <c r="F332" s="2" t="str">
        <f ca="1">IFERROR(__xludf.DUMMYFUNCTION("""COMPUTED_VALUE"""),"Malbec G")</f>
        <v>Malbec G</v>
      </c>
      <c r="G332" s="2">
        <f ca="1">IFERROR(__xludf.DUMMYFUNCTION("""COMPUTED_VALUE"""),0)</f>
        <v>0</v>
      </c>
      <c r="H332" s="2">
        <f ca="1">IFERROR(__xludf.DUMMYFUNCTION("""COMPUTED_VALUE"""),3000)</f>
        <v>3000</v>
      </c>
      <c r="I332" s="2"/>
      <c r="J332" s="2"/>
      <c r="K332" s="2" t="str">
        <f ca="1">IFERROR(__xludf.DUMMYFUNCTION("""COMPUTED_VALUE"""),"Descubada")</f>
        <v>Descubada</v>
      </c>
      <c r="L332" s="2"/>
      <c r="M332" s="2"/>
    </row>
    <row r="333" spans="1:13" x14ac:dyDescent="0.25">
      <c r="A333" s="2" t="str">
        <f ca="1">IFERROR(__xludf.DUMMYFUNCTION("""COMPUTED_VALUE"""),"45c7ce93")</f>
        <v>45c7ce93</v>
      </c>
      <c r="B333" s="2"/>
      <c r="C333" s="3">
        <f ca="1">IFERROR(__xludf.DUMMYFUNCTION("""COMPUTED_VALUE"""),45741.5407291666)</f>
        <v>45741.540729166598</v>
      </c>
      <c r="D333" s="2">
        <f ca="1">IFERROR(__xludf.DUMMYFUNCTION("""COMPUTED_VALUE"""),115)</f>
        <v>115</v>
      </c>
      <c r="E333" s="2">
        <f ca="1">IFERROR(__xludf.DUMMYFUNCTION("""COMPUTED_VALUE"""),120200)</f>
        <v>120200</v>
      </c>
      <c r="F333" s="2" t="str">
        <f ca="1">IFERROR(__xludf.DUMMYFUNCTION("""COMPUTED_VALUE"""),"Bonarda C2")</f>
        <v>Bonarda C2</v>
      </c>
      <c r="G333" s="2">
        <f ca="1">IFERROR(__xludf.DUMMYFUNCTION("""COMPUTED_VALUE"""),50000)</f>
        <v>50000</v>
      </c>
      <c r="H333" s="2">
        <f ca="1">IFERROR(__xludf.DUMMYFUNCTION("""COMPUTED_VALUE"""),54300)</f>
        <v>54300</v>
      </c>
      <c r="I333" s="2"/>
      <c r="J333" s="2"/>
      <c r="K333" s="2" t="str">
        <f ca="1">IFERROR(__xludf.DUMMYFUNCTION("""COMPUTED_VALUE"""),"Descubada")</f>
        <v>Descubada</v>
      </c>
      <c r="L333" s="2"/>
      <c r="M333" s="2"/>
    </row>
    <row r="334" spans="1:13" x14ac:dyDescent="0.25">
      <c r="A334" s="2" t="str">
        <f ca="1">IFERROR(__xludf.DUMMYFUNCTION("""COMPUTED_VALUE"""),"35c5e060")</f>
        <v>35c5e060</v>
      </c>
      <c r="B334" s="2"/>
      <c r="C334" s="3">
        <f ca="1">IFERROR(__xludf.DUMMYFUNCTION("""COMPUTED_VALUE"""),45741.5413425925)</f>
        <v>45741.5413425925</v>
      </c>
      <c r="D334" s="2">
        <f ca="1">IFERROR(__xludf.DUMMYFUNCTION("""COMPUTED_VALUE"""),115)</f>
        <v>115</v>
      </c>
      <c r="E334" s="2">
        <f ca="1">IFERROR(__xludf.DUMMYFUNCTION("""COMPUTED_VALUE"""),120200)</f>
        <v>120200</v>
      </c>
      <c r="F334" s="2" t="str">
        <f ca="1">IFERROR(__xludf.DUMMYFUNCTION("""COMPUTED_VALUE"""),"Bonarda C2")</f>
        <v>Bonarda C2</v>
      </c>
      <c r="G334" s="2">
        <f ca="1">IFERROR(__xludf.DUMMYFUNCTION("""COMPUTED_VALUE"""),54300)</f>
        <v>54300</v>
      </c>
      <c r="H334" s="2">
        <f ca="1">IFERROR(__xludf.DUMMYFUNCTION("""COMPUTED_VALUE"""),70300)</f>
        <v>70300</v>
      </c>
      <c r="I334" s="2"/>
      <c r="J334" s="2"/>
      <c r="K334" s="2" t="str">
        <f ca="1">IFERROR(__xludf.DUMMYFUNCTION("""COMPUTED_VALUE"""),"Descubada")</f>
        <v>Descubada</v>
      </c>
      <c r="L334" s="2"/>
      <c r="M334" s="2"/>
    </row>
    <row r="335" spans="1:13" x14ac:dyDescent="0.25">
      <c r="A335" s="2" t="str">
        <f ca="1">IFERROR(__xludf.DUMMYFUNCTION("""COMPUTED_VALUE"""),"1fb0aecd")</f>
        <v>1fb0aecd</v>
      </c>
      <c r="B335" s="2"/>
      <c r="C335" s="3">
        <f ca="1">IFERROR(__xludf.DUMMYFUNCTION("""COMPUTED_VALUE"""),45741.5421064814)</f>
        <v>45741.5421064814</v>
      </c>
      <c r="D335" s="2">
        <f ca="1">IFERROR(__xludf.DUMMYFUNCTION("""COMPUTED_VALUE"""),115)</f>
        <v>115</v>
      </c>
      <c r="E335" s="2">
        <f ca="1">IFERROR(__xludf.DUMMYFUNCTION("""COMPUTED_VALUE"""),120200)</f>
        <v>120200</v>
      </c>
      <c r="F335" s="2" t="str">
        <f ca="1">IFERROR(__xludf.DUMMYFUNCTION("""COMPUTED_VALUE"""),"Bonarda C2")</f>
        <v>Bonarda C2</v>
      </c>
      <c r="G335" s="2">
        <f ca="1">IFERROR(__xludf.DUMMYFUNCTION("""COMPUTED_VALUE"""),70300)</f>
        <v>70300</v>
      </c>
      <c r="H335" s="2">
        <f ca="1">IFERROR(__xludf.DUMMYFUNCTION("""COMPUTED_VALUE"""),84300)</f>
        <v>84300</v>
      </c>
      <c r="I335" s="2"/>
      <c r="J335" s="2"/>
      <c r="K335" s="2" t="str">
        <f ca="1">IFERROR(__xludf.DUMMYFUNCTION("""COMPUTED_VALUE"""),"Descubada")</f>
        <v>Descubada</v>
      </c>
      <c r="L335" s="2"/>
      <c r="M335" s="2"/>
    </row>
    <row r="336" spans="1:13" x14ac:dyDescent="0.25">
      <c r="A336" s="2" t="str">
        <f ca="1">IFERROR(__xludf.DUMMYFUNCTION("""COMPUTED_VALUE"""),"c10d9cc7")</f>
        <v>c10d9cc7</v>
      </c>
      <c r="B336" s="2"/>
      <c r="C336" s="3">
        <f ca="1">IFERROR(__xludf.DUMMYFUNCTION("""COMPUTED_VALUE"""),45741.7099189814)</f>
        <v>45741.709918981403</v>
      </c>
      <c r="D336" s="2">
        <f ca="1">IFERROR(__xludf.DUMMYFUNCTION("""COMPUTED_VALUE"""),500)</f>
        <v>500</v>
      </c>
      <c r="E336" s="2">
        <f ca="1">IFERROR(__xludf.DUMMYFUNCTION("""COMPUTED_VALUE"""),200000)</f>
        <v>200000</v>
      </c>
      <c r="F336" s="2" t="str">
        <f ca="1">IFERROR(__xludf.DUMMYFUNCTION("""COMPUTED_VALUE"""),"Ajuste Arqueo 24/03/25")</f>
        <v>Ajuste Arqueo 24/03/25</v>
      </c>
      <c r="G336" s="2"/>
      <c r="H336" s="2">
        <f ca="1">IFERROR(__xludf.DUMMYFUNCTION("""COMPUTED_VALUE"""),1)</f>
        <v>1</v>
      </c>
      <c r="I336" s="2"/>
      <c r="J336" s="2"/>
      <c r="K336" s="2"/>
      <c r="L336" s="2"/>
      <c r="M336" s="2"/>
    </row>
    <row r="337" spans="1:13" x14ac:dyDescent="0.25">
      <c r="A337" s="2" t="str">
        <f ca="1">IFERROR(__xludf.DUMMYFUNCTION("""COMPUTED_VALUE"""),"2fe32030")</f>
        <v>2fe32030</v>
      </c>
      <c r="B337" s="2"/>
      <c r="C337" s="3">
        <f ca="1">IFERROR(__xludf.DUMMYFUNCTION("""COMPUTED_VALUE"""),45741.7179629629)</f>
        <v>45741.717962962903</v>
      </c>
      <c r="D337" s="2">
        <f ca="1">IFERROR(__xludf.DUMMYFUNCTION("""COMPUTED_VALUE"""),84)</f>
        <v>84</v>
      </c>
      <c r="E337" s="2">
        <f ca="1">IFERROR(__xludf.DUMMYFUNCTION("""COMPUTED_VALUE"""),83000)</f>
        <v>83000</v>
      </c>
      <c r="F337" s="2" t="str">
        <f ca="1">IFERROR(__xludf.DUMMYFUNCTION("""COMPUTED_VALUE"""),"Malbec Mec")</f>
        <v>Malbec Mec</v>
      </c>
      <c r="G337" s="2">
        <f ca="1">IFERROR(__xludf.DUMMYFUNCTION("""COMPUTED_VALUE"""),43000)</f>
        <v>43000</v>
      </c>
      <c r="H337" s="2">
        <f ca="1">IFERROR(__xludf.DUMMYFUNCTION("""COMPUTED_VALUE"""),50400)</f>
        <v>50400</v>
      </c>
      <c r="I337" s="2" t="str">
        <f ca="1">IFERROR(__xludf.DUMMYFUNCTION("""COMPUTED_VALUE"""),"1/4
Buen color
Ver Az para ver si prensar porque está tqnico")</f>
        <v>1/4
Buen color
Ver Az para ver si prensar porque está tqnico</v>
      </c>
      <c r="J337" s="2"/>
      <c r="K337" s="2" t="str">
        <f ca="1">IFERROR(__xludf.DUMMYFUNCTION("""COMPUTED_VALUE"""),"Fermentando")</f>
        <v>Fermentando</v>
      </c>
      <c r="L337" s="2"/>
      <c r="M337" s="2"/>
    </row>
    <row r="338" spans="1:13" x14ac:dyDescent="0.25">
      <c r="A338" s="2" t="str">
        <f ca="1">IFERROR(__xludf.DUMMYFUNCTION("""COMPUTED_VALUE"""),"e2c9de47")</f>
        <v>e2c9de47</v>
      </c>
      <c r="B338" s="2"/>
      <c r="C338" s="3">
        <f ca="1">IFERROR(__xludf.DUMMYFUNCTION("""COMPUTED_VALUE"""),45741.7209143518)</f>
        <v>45741.720914351798</v>
      </c>
      <c r="D338" s="2">
        <f ca="1">IFERROR(__xludf.DUMMYFUNCTION("""COMPUTED_VALUE"""),500)</f>
        <v>500</v>
      </c>
      <c r="E338" s="2">
        <f ca="1">IFERROR(__xludf.DUMMYFUNCTION("""COMPUTED_VALUE"""),200000)</f>
        <v>200000</v>
      </c>
      <c r="F338" s="2" t="str">
        <f ca="1">IFERROR(__xludf.DUMMYFUNCTION("""COMPUTED_VALUE"""),"Ajuste Arqueo 24/03/25")</f>
        <v>Ajuste Arqueo 24/03/25</v>
      </c>
      <c r="G338" s="2">
        <f ca="1">IFERROR(__xludf.DUMMYFUNCTION("""COMPUTED_VALUE"""),1)</f>
        <v>1</v>
      </c>
      <c r="H338" s="2">
        <f ca="1">IFERROR(__xludf.DUMMYFUNCTION("""COMPUTED_VALUE"""),941)</f>
        <v>941</v>
      </c>
      <c r="I338" s="2"/>
      <c r="J338" s="2"/>
      <c r="K338" s="2"/>
      <c r="L338" s="2"/>
      <c r="M338" s="2"/>
    </row>
    <row r="339" spans="1:13" x14ac:dyDescent="0.25">
      <c r="A339" s="2" t="str">
        <f ca="1">IFERROR(__xludf.DUMMYFUNCTION("""COMPUTED_VALUE"""),"bf75bf0d")</f>
        <v>bf75bf0d</v>
      </c>
      <c r="B339" s="2"/>
      <c r="C339" s="3">
        <f ca="1">IFERROR(__xludf.DUMMYFUNCTION("""COMPUTED_VALUE"""),45741.7351041666)</f>
        <v>45741.735104166597</v>
      </c>
      <c r="D339" s="2">
        <f ca="1">IFERROR(__xludf.DUMMYFUNCTION("""COMPUTED_VALUE"""),500)</f>
        <v>500</v>
      </c>
      <c r="E339" s="2">
        <f ca="1">IFERROR(__xludf.DUMMYFUNCTION("""COMPUTED_VALUE"""),200000)</f>
        <v>200000</v>
      </c>
      <c r="F339" s="2" t="str">
        <f ca="1">IFERROR(__xludf.DUMMYFUNCTION("""COMPUTED_VALUE"""),"Ajuste Arqueo 24/03/25")</f>
        <v>Ajuste Arqueo 24/03/25</v>
      </c>
      <c r="G339" s="2">
        <f ca="1">IFERROR(__xludf.DUMMYFUNCTION("""COMPUTED_VALUE"""),941)</f>
        <v>941</v>
      </c>
      <c r="H339" s="2">
        <f ca="1">IFERROR(__xludf.DUMMYFUNCTION("""COMPUTED_VALUE"""),4941)</f>
        <v>4941</v>
      </c>
      <c r="I339" s="2"/>
      <c r="J339" s="2"/>
      <c r="K339" s="2"/>
      <c r="L339" s="2"/>
      <c r="M339" s="2"/>
    </row>
    <row r="340" spans="1:13" x14ac:dyDescent="0.25">
      <c r="A340" s="2" t="str">
        <f ca="1">IFERROR(__xludf.DUMMYFUNCTION("""COMPUTED_VALUE"""),"62023f37")</f>
        <v>62023f37</v>
      </c>
      <c r="B340" s="2"/>
      <c r="C340" s="3">
        <f ca="1">IFERROR(__xludf.DUMMYFUNCTION("""COMPUTED_VALUE"""),45741.7376851851)</f>
        <v>45741.7376851851</v>
      </c>
      <c r="D340" s="2">
        <f ca="1">IFERROR(__xludf.DUMMYFUNCTION("""COMPUTED_VALUE"""),500)</f>
        <v>500</v>
      </c>
      <c r="E340" s="2">
        <f ca="1">IFERROR(__xludf.DUMMYFUNCTION("""COMPUTED_VALUE"""),200000)</f>
        <v>200000</v>
      </c>
      <c r="F340" s="2" t="str">
        <f ca="1">IFERROR(__xludf.DUMMYFUNCTION("""COMPUTED_VALUE"""),"Ajuste Arqueo 24/03/25")</f>
        <v>Ajuste Arqueo 24/03/25</v>
      </c>
      <c r="G340" s="2">
        <f ca="1">IFERROR(__xludf.DUMMYFUNCTION("""COMPUTED_VALUE"""),4941)</f>
        <v>4941</v>
      </c>
      <c r="H340" s="2">
        <f ca="1">IFERROR(__xludf.DUMMYFUNCTION("""COMPUTED_VALUE"""),3341)</f>
        <v>3341</v>
      </c>
      <c r="I340" s="2"/>
      <c r="J340" s="2"/>
      <c r="K340" s="2"/>
      <c r="L340" s="2"/>
      <c r="M340" s="2"/>
    </row>
    <row r="341" spans="1:13" x14ac:dyDescent="0.25">
      <c r="A341" s="2" t="str">
        <f ca="1">IFERROR(__xludf.DUMMYFUNCTION("""COMPUTED_VALUE"""),"671aa5be")</f>
        <v>671aa5be</v>
      </c>
      <c r="B341" s="2"/>
      <c r="C341" s="3">
        <f ca="1">IFERROR(__xludf.DUMMYFUNCTION("""COMPUTED_VALUE"""),45741.7389236111)</f>
        <v>45741.738923611098</v>
      </c>
      <c r="D341" s="2">
        <f ca="1">IFERROR(__xludf.DUMMYFUNCTION("""COMPUTED_VALUE"""),72)</f>
        <v>72</v>
      </c>
      <c r="E341" s="2">
        <f ca="1">IFERROR(__xludf.DUMMYFUNCTION("""COMPUTED_VALUE"""),13000)</f>
        <v>13000</v>
      </c>
      <c r="F341" s="2" t="str">
        <f ca="1">IFERROR(__xludf.DUMMYFUNCTION("""COMPUTED_VALUE"""),"Tanat")</f>
        <v>Tanat</v>
      </c>
      <c r="G341" s="2">
        <f ca="1">IFERROR(__xludf.DUMMYFUNCTION("""COMPUTED_VALUE"""),7000)</f>
        <v>7000</v>
      </c>
      <c r="H341" s="2">
        <f ca="1">IFERROR(__xludf.DUMMYFUNCTION("""COMPUTED_VALUE"""),8000)</f>
        <v>8000</v>
      </c>
      <c r="I341" s="2"/>
      <c r="J341" s="2"/>
      <c r="K341" s="2" t="str">
        <f ca="1">IFERROR(__xludf.DUMMYFUNCTION("""COMPUTED_VALUE"""),"Fermentando")</f>
        <v>Fermentando</v>
      </c>
      <c r="L341" s="2"/>
      <c r="M341" s="2"/>
    </row>
    <row r="342" spans="1:13" x14ac:dyDescent="0.25">
      <c r="A342" s="2" t="str">
        <f ca="1">IFERROR(__xludf.DUMMYFUNCTION("""COMPUTED_VALUE"""),"48ce0b6f")</f>
        <v>48ce0b6f</v>
      </c>
      <c r="B342" s="2"/>
      <c r="C342" s="3">
        <f ca="1">IFERROR(__xludf.DUMMYFUNCTION("""COMPUTED_VALUE"""),45741.7415277777)</f>
        <v>45741.741527777704</v>
      </c>
      <c r="D342" s="2">
        <f ca="1">IFERROR(__xludf.DUMMYFUNCTION("""COMPUTED_VALUE"""),500)</f>
        <v>500</v>
      </c>
      <c r="E342" s="2">
        <f ca="1">IFERROR(__xludf.DUMMYFUNCTION("""COMPUTED_VALUE"""),200000)</f>
        <v>200000</v>
      </c>
      <c r="F342" s="2" t="str">
        <f ca="1">IFERROR(__xludf.DUMMYFUNCTION("""COMPUTED_VALUE"""),"Ajuste Arqueo 24/03/25")</f>
        <v>Ajuste Arqueo 24/03/25</v>
      </c>
      <c r="G342" s="2">
        <f ca="1">IFERROR(__xludf.DUMMYFUNCTION("""COMPUTED_VALUE"""),3341)</f>
        <v>3341</v>
      </c>
      <c r="H342" s="2">
        <f ca="1">IFERROR(__xludf.DUMMYFUNCTION("""COMPUTED_VALUE"""),1141)</f>
        <v>1141</v>
      </c>
      <c r="I342" s="2"/>
      <c r="J342" s="2"/>
      <c r="K342" s="2"/>
      <c r="L342" s="2"/>
      <c r="M342" s="2"/>
    </row>
    <row r="343" spans="1:13" x14ac:dyDescent="0.25">
      <c r="A343" s="2" t="str">
        <f ca="1">IFERROR(__xludf.DUMMYFUNCTION("""COMPUTED_VALUE"""),"896bf192")</f>
        <v>896bf192</v>
      </c>
      <c r="B343" s="2"/>
      <c r="C343" s="3">
        <f ca="1">IFERROR(__xludf.DUMMYFUNCTION("""COMPUTED_VALUE"""),45741.7420254629)</f>
        <v>45741.742025462903</v>
      </c>
      <c r="D343" s="2">
        <f ca="1">IFERROR(__xludf.DUMMYFUNCTION("""COMPUTED_VALUE"""),500)</f>
        <v>500</v>
      </c>
      <c r="E343" s="2">
        <f ca="1">IFERROR(__xludf.DUMMYFUNCTION("""COMPUTED_VALUE"""),200000)</f>
        <v>200000</v>
      </c>
      <c r="F343" s="2" t="str">
        <f ca="1">IFERROR(__xludf.DUMMYFUNCTION("""COMPUTED_VALUE"""),"Ajuste Arqueo 24/03/25")</f>
        <v>Ajuste Arqueo 24/03/25</v>
      </c>
      <c r="G343" s="2">
        <f ca="1">IFERROR(__xludf.DUMMYFUNCTION("""COMPUTED_VALUE"""),1141)</f>
        <v>1141</v>
      </c>
      <c r="H343" s="2">
        <f ca="1">IFERROR(__xludf.DUMMYFUNCTION("""COMPUTED_VALUE"""),-359)</f>
        <v>-359</v>
      </c>
      <c r="I343" s="2"/>
      <c r="J343" s="2"/>
      <c r="K343" s="2"/>
      <c r="L343" s="2"/>
      <c r="M343" s="2"/>
    </row>
    <row r="344" spans="1:13" x14ac:dyDescent="0.25">
      <c r="A344" s="2" t="str">
        <f ca="1">IFERROR(__xludf.DUMMYFUNCTION("""COMPUTED_VALUE"""),"22f56119")</f>
        <v>22f56119</v>
      </c>
      <c r="B344" s="2"/>
      <c r="C344" s="3">
        <f ca="1">IFERROR(__xludf.DUMMYFUNCTION("""COMPUTED_VALUE"""),45741.744537037)</f>
        <v>45741.744537036997</v>
      </c>
      <c r="D344" s="2">
        <f ca="1">IFERROR(__xludf.DUMMYFUNCTION("""COMPUTED_VALUE"""),500)</f>
        <v>500</v>
      </c>
      <c r="E344" s="2">
        <f ca="1">IFERROR(__xludf.DUMMYFUNCTION("""COMPUTED_VALUE"""),200000)</f>
        <v>200000</v>
      </c>
      <c r="F344" s="2" t="str">
        <f ca="1">IFERROR(__xludf.DUMMYFUNCTION("""COMPUTED_VALUE"""),"Ajuste Arqueo 24/03/25")</f>
        <v>Ajuste Arqueo 24/03/25</v>
      </c>
      <c r="G344" s="2">
        <f ca="1">IFERROR(__xludf.DUMMYFUNCTION("""COMPUTED_VALUE"""),-359)</f>
        <v>-359</v>
      </c>
      <c r="H344" s="2">
        <f ca="1">IFERROR(__xludf.DUMMYFUNCTION("""COMPUTED_VALUE"""),-2959)</f>
        <v>-2959</v>
      </c>
      <c r="I344" s="2"/>
      <c r="J344" s="2"/>
      <c r="K344" s="2"/>
      <c r="L344" s="2"/>
      <c r="M344" s="2"/>
    </row>
    <row r="345" spans="1:13" x14ac:dyDescent="0.25">
      <c r="A345" s="2" t="str">
        <f ca="1">IFERROR(__xludf.DUMMYFUNCTION("""COMPUTED_VALUE"""),"7059064e")</f>
        <v>7059064e</v>
      </c>
      <c r="B345" s="2"/>
      <c r="C345" s="3">
        <f ca="1">IFERROR(__xludf.DUMMYFUNCTION("""COMPUTED_VALUE"""),45741.8082291666)</f>
        <v>45741.8082291666</v>
      </c>
      <c r="D345" s="2">
        <f ca="1">IFERROR(__xludf.DUMMYFUNCTION("""COMPUTED_VALUE"""),500)</f>
        <v>500</v>
      </c>
      <c r="E345" s="2">
        <f ca="1">IFERROR(__xludf.DUMMYFUNCTION("""COMPUTED_VALUE"""),200000)</f>
        <v>200000</v>
      </c>
      <c r="F345" s="2" t="str">
        <f ca="1">IFERROR(__xludf.DUMMYFUNCTION("""COMPUTED_VALUE"""),"Ajuste Arqueo 24/03/25")</f>
        <v>Ajuste Arqueo 24/03/25</v>
      </c>
      <c r="G345" s="2">
        <f ca="1">IFERROR(__xludf.DUMMYFUNCTION("""COMPUTED_VALUE"""),-2959)</f>
        <v>-2959</v>
      </c>
      <c r="H345" s="2">
        <f ca="1">IFERROR(__xludf.DUMMYFUNCTION("""COMPUTED_VALUE"""),-2099)</f>
        <v>-2099</v>
      </c>
      <c r="I345" s="2"/>
      <c r="J345" s="2"/>
      <c r="K345" s="2"/>
      <c r="L345" s="2"/>
      <c r="M345" s="2"/>
    </row>
    <row r="346" spans="1:13" x14ac:dyDescent="0.25">
      <c r="A346" s="2" t="str">
        <f ca="1">IFERROR(__xludf.DUMMYFUNCTION("""COMPUTED_VALUE"""),"5b1a85aa")</f>
        <v>5b1a85aa</v>
      </c>
      <c r="B346" s="2"/>
      <c r="C346" s="3">
        <f ca="1">IFERROR(__xludf.DUMMYFUNCTION("""COMPUTED_VALUE"""),45741.8092129629)</f>
        <v>45741.8092129629</v>
      </c>
      <c r="D346" s="2">
        <f ca="1">IFERROR(__xludf.DUMMYFUNCTION("""COMPUTED_VALUE"""),500)</f>
        <v>500</v>
      </c>
      <c r="E346" s="2">
        <f ca="1">IFERROR(__xludf.DUMMYFUNCTION("""COMPUTED_VALUE"""),200000)</f>
        <v>200000</v>
      </c>
      <c r="F346" s="2" t="str">
        <f ca="1">IFERROR(__xludf.DUMMYFUNCTION("""COMPUTED_VALUE"""),"Ajuste Arqueo 24/03/25")</f>
        <v>Ajuste Arqueo 24/03/25</v>
      </c>
      <c r="G346" s="2">
        <f ca="1">IFERROR(__xludf.DUMMYFUNCTION("""COMPUTED_VALUE"""),-2099)</f>
        <v>-2099</v>
      </c>
      <c r="H346" s="2">
        <f ca="1">IFERROR(__xludf.DUMMYFUNCTION("""COMPUTED_VALUE"""),-5599)</f>
        <v>-5599</v>
      </c>
      <c r="I346" s="2"/>
      <c r="J346" s="2"/>
      <c r="K346" s="2"/>
      <c r="L346" s="2"/>
      <c r="M346" s="2"/>
    </row>
    <row r="347" spans="1:13" x14ac:dyDescent="0.25">
      <c r="A347" s="2" t="str">
        <f ca="1">IFERROR(__xludf.DUMMYFUNCTION("""COMPUTED_VALUE"""),"9c08b5f2")</f>
        <v>9c08b5f2</v>
      </c>
      <c r="B347" s="2"/>
      <c r="C347" s="3">
        <f ca="1">IFERROR(__xludf.DUMMYFUNCTION("""COMPUTED_VALUE"""),45741.810324074)</f>
        <v>45741.810324074002</v>
      </c>
      <c r="D347" s="2">
        <f ca="1">IFERROR(__xludf.DUMMYFUNCTION("""COMPUTED_VALUE"""),500)</f>
        <v>500</v>
      </c>
      <c r="E347" s="2">
        <f ca="1">IFERROR(__xludf.DUMMYFUNCTION("""COMPUTED_VALUE"""),200000)</f>
        <v>200000</v>
      </c>
      <c r="F347" s="2" t="str">
        <f ca="1">IFERROR(__xludf.DUMMYFUNCTION("""COMPUTED_VALUE"""),"Ajuste Arqueo 24/03/25")</f>
        <v>Ajuste Arqueo 24/03/25</v>
      </c>
      <c r="G347" s="2">
        <f ca="1">IFERROR(__xludf.DUMMYFUNCTION("""COMPUTED_VALUE"""),-5599)</f>
        <v>-5599</v>
      </c>
      <c r="H347" s="2">
        <f ca="1">IFERROR(__xludf.DUMMYFUNCTION("""COMPUTED_VALUE"""),-2499)</f>
        <v>-2499</v>
      </c>
      <c r="I347" s="2"/>
      <c r="J347" s="2"/>
      <c r="K347" s="2"/>
      <c r="L347" s="2"/>
      <c r="M347" s="2"/>
    </row>
    <row r="348" spans="1:13" x14ac:dyDescent="0.25">
      <c r="A348" s="2" t="str">
        <f ca="1">IFERROR(__xludf.DUMMYFUNCTION("""COMPUTED_VALUE"""),"a85e69f1")</f>
        <v>a85e69f1</v>
      </c>
      <c r="B348" s="2"/>
      <c r="C348" s="3">
        <f ca="1">IFERROR(__xludf.DUMMYFUNCTION("""COMPUTED_VALUE"""),45741.812199074)</f>
        <v>45741.812199073996</v>
      </c>
      <c r="D348" s="2">
        <f ca="1">IFERROR(__xludf.DUMMYFUNCTION("""COMPUTED_VALUE"""),500)</f>
        <v>500</v>
      </c>
      <c r="E348" s="2">
        <f ca="1">IFERROR(__xludf.DUMMYFUNCTION("""COMPUTED_VALUE"""),200000)</f>
        <v>200000</v>
      </c>
      <c r="F348" s="2" t="str">
        <f ca="1">IFERROR(__xludf.DUMMYFUNCTION("""COMPUTED_VALUE"""),"Ajuste Arqueo 24/03/25")</f>
        <v>Ajuste Arqueo 24/03/25</v>
      </c>
      <c r="G348" s="2">
        <f ca="1">IFERROR(__xludf.DUMMYFUNCTION("""COMPUTED_VALUE"""),-2499)</f>
        <v>-2499</v>
      </c>
      <c r="H348" s="2">
        <f ca="1">IFERROR(__xludf.DUMMYFUNCTION("""COMPUTED_VALUE"""),-2999)</f>
        <v>-2999</v>
      </c>
      <c r="I348" s="2"/>
      <c r="J348" s="2"/>
      <c r="K348" s="2"/>
      <c r="L348" s="2"/>
      <c r="M348" s="2"/>
    </row>
    <row r="349" spans="1:13" x14ac:dyDescent="0.25">
      <c r="A349" s="2" t="str">
        <f ca="1">IFERROR(__xludf.DUMMYFUNCTION("""COMPUTED_VALUE"""),"f9474150")</f>
        <v>f9474150</v>
      </c>
      <c r="B349" s="2"/>
      <c r="C349" s="3">
        <f ca="1">IFERROR(__xludf.DUMMYFUNCTION("""COMPUTED_VALUE"""),45741.8126157407)</f>
        <v>45741.812615740702</v>
      </c>
      <c r="D349" s="2">
        <f ca="1">IFERROR(__xludf.DUMMYFUNCTION("""COMPUTED_VALUE"""),500)</f>
        <v>500</v>
      </c>
      <c r="E349" s="2">
        <f ca="1">IFERROR(__xludf.DUMMYFUNCTION("""COMPUTED_VALUE"""),200000)</f>
        <v>200000</v>
      </c>
      <c r="F349" s="2" t="str">
        <f ca="1">IFERROR(__xludf.DUMMYFUNCTION("""COMPUTED_VALUE"""),"Ajuste Arqueo 24/03/25")</f>
        <v>Ajuste Arqueo 24/03/25</v>
      </c>
      <c r="G349" s="2">
        <f ca="1">IFERROR(__xludf.DUMMYFUNCTION("""COMPUTED_VALUE"""),-2999)</f>
        <v>-2999</v>
      </c>
      <c r="H349" s="2">
        <f ca="1">IFERROR(__xludf.DUMMYFUNCTION("""COMPUTED_VALUE"""),-2399)</f>
        <v>-2399</v>
      </c>
      <c r="I349" s="2"/>
      <c r="J349" s="2"/>
      <c r="K349" s="2"/>
      <c r="L349" s="2"/>
      <c r="M349" s="2"/>
    </row>
    <row r="350" spans="1:13" x14ac:dyDescent="0.25">
      <c r="A350" s="2" t="str">
        <f ca="1">IFERROR(__xludf.DUMMYFUNCTION("""COMPUTED_VALUE"""),"811c911e")</f>
        <v>811c911e</v>
      </c>
      <c r="B350" s="2"/>
      <c r="C350" s="3">
        <f ca="1">IFERROR(__xludf.DUMMYFUNCTION("""COMPUTED_VALUE"""),45741.813287037)</f>
        <v>45741.813287037003</v>
      </c>
      <c r="D350" s="2">
        <f ca="1">IFERROR(__xludf.DUMMYFUNCTION("""COMPUTED_VALUE"""),500)</f>
        <v>500</v>
      </c>
      <c r="E350" s="2">
        <f ca="1">IFERROR(__xludf.DUMMYFUNCTION("""COMPUTED_VALUE"""),200000)</f>
        <v>200000</v>
      </c>
      <c r="F350" s="2" t="str">
        <f ca="1">IFERROR(__xludf.DUMMYFUNCTION("""COMPUTED_VALUE"""),"Ajuste Arqueo 24/03/25")</f>
        <v>Ajuste Arqueo 24/03/25</v>
      </c>
      <c r="G350" s="2">
        <f ca="1">IFERROR(__xludf.DUMMYFUNCTION("""COMPUTED_VALUE"""),-2399)</f>
        <v>-2399</v>
      </c>
      <c r="H350" s="2">
        <f ca="1">IFERROR(__xludf.DUMMYFUNCTION("""COMPUTED_VALUE"""),1)</f>
        <v>1</v>
      </c>
      <c r="I350" s="2"/>
      <c r="J350" s="2"/>
      <c r="K350" s="2"/>
      <c r="L350" s="2"/>
      <c r="M350" s="2"/>
    </row>
    <row r="351" spans="1:13" x14ac:dyDescent="0.25">
      <c r="A351" s="2" t="str">
        <f ca="1">IFERROR(__xludf.DUMMYFUNCTION("""COMPUTED_VALUE"""),"7e71a1c9")</f>
        <v>7e71a1c9</v>
      </c>
      <c r="B351" s="2"/>
      <c r="C351" s="3">
        <f ca="1">IFERROR(__xludf.DUMMYFUNCTION("""COMPUTED_VALUE"""),45741.81375)</f>
        <v>45741.813750000001</v>
      </c>
      <c r="D351" s="2">
        <f ca="1">IFERROR(__xludf.DUMMYFUNCTION("""COMPUTED_VALUE"""),500)</f>
        <v>500</v>
      </c>
      <c r="E351" s="2">
        <f ca="1">IFERROR(__xludf.DUMMYFUNCTION("""COMPUTED_VALUE"""),200000)</f>
        <v>200000</v>
      </c>
      <c r="F351" s="2" t="str">
        <f ca="1">IFERROR(__xludf.DUMMYFUNCTION("""COMPUTED_VALUE"""),"Ajuste Arqueo 24/03/25")</f>
        <v>Ajuste Arqueo 24/03/25</v>
      </c>
      <c r="G351" s="2">
        <f ca="1">IFERROR(__xludf.DUMMYFUNCTION("""COMPUTED_VALUE"""),1)</f>
        <v>1</v>
      </c>
      <c r="H351" s="2">
        <f ca="1">IFERROR(__xludf.DUMMYFUNCTION("""COMPUTED_VALUE"""),401)</f>
        <v>401</v>
      </c>
      <c r="I351" s="2"/>
      <c r="J351" s="2"/>
      <c r="K351" s="2"/>
      <c r="L351" s="2"/>
      <c r="M351" s="2"/>
    </row>
    <row r="352" spans="1:13" x14ac:dyDescent="0.25">
      <c r="A352" s="2" t="str">
        <f ca="1">IFERROR(__xludf.DUMMYFUNCTION("""COMPUTED_VALUE"""),"d2438b41")</f>
        <v>d2438b41</v>
      </c>
      <c r="B352" s="2"/>
      <c r="C352" s="3">
        <f ca="1">IFERROR(__xludf.DUMMYFUNCTION("""COMPUTED_VALUE"""),45741.8241435185)</f>
        <v>45741.824143518497</v>
      </c>
      <c r="D352" s="2">
        <f ca="1">IFERROR(__xludf.DUMMYFUNCTION("""COMPUTED_VALUE"""),500)</f>
        <v>500</v>
      </c>
      <c r="E352" s="2">
        <f ca="1">IFERROR(__xludf.DUMMYFUNCTION("""COMPUTED_VALUE"""),200000)</f>
        <v>200000</v>
      </c>
      <c r="F352" s="2" t="str">
        <f ca="1">IFERROR(__xludf.DUMMYFUNCTION("""COMPUTED_VALUE"""),"Ajuste Arqueo 24/03/25")</f>
        <v>Ajuste Arqueo 24/03/25</v>
      </c>
      <c r="G352" s="2">
        <f ca="1">IFERROR(__xludf.DUMMYFUNCTION("""COMPUTED_VALUE"""),401)</f>
        <v>401</v>
      </c>
      <c r="H352" s="2">
        <f ca="1">IFERROR(__xludf.DUMMYFUNCTION("""COMPUTED_VALUE"""),-4599)</f>
        <v>-4599</v>
      </c>
      <c r="I352" s="2"/>
      <c r="J352" s="2"/>
      <c r="K352" s="2"/>
      <c r="L352" s="2"/>
      <c r="M352" s="2"/>
    </row>
    <row r="353" spans="1:13" x14ac:dyDescent="0.25">
      <c r="A353" s="2" t="str">
        <f ca="1">IFERROR(__xludf.DUMMYFUNCTION("""COMPUTED_VALUE"""),"4553393f")</f>
        <v>4553393f</v>
      </c>
      <c r="B353" s="2"/>
      <c r="C353" s="3">
        <f ca="1">IFERROR(__xludf.DUMMYFUNCTION("""COMPUTED_VALUE"""),45741.8272916666)</f>
        <v>45741.827291666603</v>
      </c>
      <c r="D353" s="2">
        <f ca="1">IFERROR(__xludf.DUMMYFUNCTION("""COMPUTED_VALUE"""),500)</f>
        <v>500</v>
      </c>
      <c r="E353" s="2">
        <f ca="1">IFERROR(__xludf.DUMMYFUNCTION("""COMPUTED_VALUE"""),200000)</f>
        <v>200000</v>
      </c>
      <c r="F353" s="2" t="str">
        <f ca="1">IFERROR(__xludf.DUMMYFUNCTION("""COMPUTED_VALUE"""),"Bonarda 24")</f>
        <v>Bonarda 24</v>
      </c>
      <c r="G353" s="2">
        <f ca="1">IFERROR(__xludf.DUMMYFUNCTION("""COMPUTED_VALUE"""),-4599)</f>
        <v>-4599</v>
      </c>
      <c r="H353" s="2">
        <f ca="1">IFERROR(__xludf.DUMMYFUNCTION("""COMPUTED_VALUE"""),-2899)</f>
        <v>-2899</v>
      </c>
      <c r="I353" s="2"/>
      <c r="J353" s="2"/>
      <c r="K353" s="2" t="str">
        <f ca="1">IFERROR(__xludf.DUMMYFUNCTION("""COMPUTED_VALUE"""),"Terminado")</f>
        <v>Terminado</v>
      </c>
      <c r="L353" s="2"/>
      <c r="M353" s="2"/>
    </row>
    <row r="354" spans="1:13" x14ac:dyDescent="0.25">
      <c r="A354" s="2" t="str">
        <f ca="1">IFERROR(__xludf.DUMMYFUNCTION("""COMPUTED_VALUE"""),"4f64f8ff")</f>
        <v>4f64f8ff</v>
      </c>
      <c r="B354" s="2"/>
      <c r="C354" s="3">
        <f ca="1">IFERROR(__xludf.DUMMYFUNCTION("""COMPUTED_VALUE"""),45741.8276157407)</f>
        <v>45741.827615740702</v>
      </c>
      <c r="D354" s="2">
        <f ca="1">IFERROR(__xludf.DUMMYFUNCTION("""COMPUTED_VALUE"""),500)</f>
        <v>500</v>
      </c>
      <c r="E354" s="2">
        <f ca="1">IFERROR(__xludf.DUMMYFUNCTION("""COMPUTED_VALUE"""),200000)</f>
        <v>200000</v>
      </c>
      <c r="F354" s="2" t="str">
        <f ca="1">IFERROR(__xludf.DUMMYFUNCTION("""COMPUTED_VALUE"""),"Bonarda 24")</f>
        <v>Bonarda 24</v>
      </c>
      <c r="G354" s="2">
        <f ca="1">IFERROR(__xludf.DUMMYFUNCTION("""COMPUTED_VALUE"""),-2899)</f>
        <v>-2899</v>
      </c>
      <c r="H354" s="2">
        <f ca="1">IFERROR(__xludf.DUMMYFUNCTION("""COMPUTED_VALUE"""),-3899)</f>
        <v>-3899</v>
      </c>
      <c r="I354" s="2"/>
      <c r="J354" s="2"/>
      <c r="K354" s="2" t="str">
        <f ca="1">IFERROR(__xludf.DUMMYFUNCTION("""COMPUTED_VALUE"""),"Terminado")</f>
        <v>Terminado</v>
      </c>
      <c r="L354" s="2"/>
      <c r="M354" s="2"/>
    </row>
    <row r="355" spans="1:13" x14ac:dyDescent="0.25">
      <c r="A355" s="2" t="str">
        <f ca="1">IFERROR(__xludf.DUMMYFUNCTION("""COMPUTED_VALUE"""),"3f692936")</f>
        <v>3f692936</v>
      </c>
      <c r="B355" s="2"/>
      <c r="C355" s="3">
        <f ca="1">IFERROR(__xludf.DUMMYFUNCTION("""COMPUTED_VALUE"""),45741.8279166666)</f>
        <v>45741.827916666603</v>
      </c>
      <c r="D355" s="2">
        <f ca="1">IFERROR(__xludf.DUMMYFUNCTION("""COMPUTED_VALUE"""),500)</f>
        <v>500</v>
      </c>
      <c r="E355" s="2">
        <f ca="1">IFERROR(__xludf.DUMMYFUNCTION("""COMPUTED_VALUE"""),200000)</f>
        <v>200000</v>
      </c>
      <c r="F355" s="2" t="str">
        <f ca="1">IFERROR(__xludf.DUMMYFUNCTION("""COMPUTED_VALUE"""),"Bonarda 24")</f>
        <v>Bonarda 24</v>
      </c>
      <c r="G355" s="2">
        <f ca="1">IFERROR(__xludf.DUMMYFUNCTION("""COMPUTED_VALUE"""),-3899)</f>
        <v>-3899</v>
      </c>
      <c r="H355" s="2">
        <f ca="1">IFERROR(__xludf.DUMMYFUNCTION("""COMPUTED_VALUE"""),-2899)</f>
        <v>-2899</v>
      </c>
      <c r="I355" s="2"/>
      <c r="J355" s="2"/>
      <c r="K355" s="2" t="str">
        <f ca="1">IFERROR(__xludf.DUMMYFUNCTION("""COMPUTED_VALUE"""),"Terminado")</f>
        <v>Terminado</v>
      </c>
      <c r="L355" s="2"/>
      <c r="M355" s="2"/>
    </row>
    <row r="356" spans="1:13" x14ac:dyDescent="0.25">
      <c r="A356" s="2" t="str">
        <f ca="1">IFERROR(__xludf.DUMMYFUNCTION("""COMPUTED_VALUE"""),"c625482f")</f>
        <v>c625482f</v>
      </c>
      <c r="B356" s="2"/>
      <c r="C356" s="3">
        <f ca="1">IFERROR(__xludf.DUMMYFUNCTION("""COMPUTED_VALUE"""),45741.8281481481)</f>
        <v>45741.828148148103</v>
      </c>
      <c r="D356" s="2">
        <f ca="1">IFERROR(__xludf.DUMMYFUNCTION("""COMPUTED_VALUE"""),500)</f>
        <v>500</v>
      </c>
      <c r="E356" s="2">
        <f ca="1">IFERROR(__xludf.DUMMYFUNCTION("""COMPUTED_VALUE"""),200000)</f>
        <v>200000</v>
      </c>
      <c r="F356" s="2" t="str">
        <f ca="1">IFERROR(__xludf.DUMMYFUNCTION("""COMPUTED_VALUE"""),"Bonarda 24")</f>
        <v>Bonarda 24</v>
      </c>
      <c r="G356" s="2">
        <f ca="1">IFERROR(__xludf.DUMMYFUNCTION("""COMPUTED_VALUE"""),-2899)</f>
        <v>-2899</v>
      </c>
      <c r="H356" s="2">
        <f ca="1">IFERROR(__xludf.DUMMYFUNCTION("""COMPUTED_VALUE"""),-1899)</f>
        <v>-1899</v>
      </c>
      <c r="I356" s="2"/>
      <c r="J356" s="2"/>
      <c r="K356" s="2" t="str">
        <f ca="1">IFERROR(__xludf.DUMMYFUNCTION("""COMPUTED_VALUE"""),"Terminado")</f>
        <v>Terminado</v>
      </c>
      <c r="L356" s="2"/>
      <c r="M356" s="2"/>
    </row>
    <row r="357" spans="1:13" x14ac:dyDescent="0.25">
      <c r="A357" s="2" t="str">
        <f ca="1">IFERROR(__xludf.DUMMYFUNCTION("""COMPUTED_VALUE"""),"cddd0d08")</f>
        <v>cddd0d08</v>
      </c>
      <c r="B357" s="2"/>
      <c r="C357" s="3">
        <f ca="1">IFERROR(__xludf.DUMMYFUNCTION("""COMPUTED_VALUE"""),45741.8293055555)</f>
        <v>45741.829305555497</v>
      </c>
      <c r="D357" s="2">
        <f ca="1">IFERROR(__xludf.DUMMYFUNCTION("""COMPUTED_VALUE"""),500)</f>
        <v>500</v>
      </c>
      <c r="E357" s="2">
        <f ca="1">IFERROR(__xludf.DUMMYFUNCTION("""COMPUTED_VALUE"""),200000)</f>
        <v>200000</v>
      </c>
      <c r="F357" s="2" t="str">
        <f ca="1">IFERROR(__xludf.DUMMYFUNCTION("""COMPUTED_VALUE"""),"Ajuste Arq 25/03/25")</f>
        <v>Ajuste Arq 25/03/25</v>
      </c>
      <c r="G357" s="2">
        <f ca="1">IFERROR(__xludf.DUMMYFUNCTION("""COMPUTED_VALUE"""),-1899)</f>
        <v>-1899</v>
      </c>
      <c r="H357" s="2">
        <f ca="1">IFERROR(__xludf.DUMMYFUNCTION("""COMPUTED_VALUE"""),3101)</f>
        <v>3101</v>
      </c>
      <c r="I357" s="2"/>
      <c r="J357" s="2"/>
      <c r="K357" s="2" t="str">
        <f ca="1">IFERROR(__xludf.DUMMYFUNCTION("""COMPUTED_VALUE"""),"Terminado")</f>
        <v>Terminado</v>
      </c>
      <c r="L357" s="2"/>
      <c r="M357" s="2"/>
    </row>
    <row r="358" spans="1:13" x14ac:dyDescent="0.25">
      <c r="A358" s="2" t="str">
        <f ca="1">IFERROR(__xludf.DUMMYFUNCTION("""COMPUTED_VALUE"""),"666c05a4")</f>
        <v>666c05a4</v>
      </c>
      <c r="B358" s="2"/>
      <c r="C358" s="3">
        <f ca="1">IFERROR(__xludf.DUMMYFUNCTION("""COMPUTED_VALUE"""),45741.8296875)</f>
        <v>45741.829687500001</v>
      </c>
      <c r="D358" s="2">
        <f ca="1">IFERROR(__xludf.DUMMYFUNCTION("""COMPUTED_VALUE"""),500)</f>
        <v>500</v>
      </c>
      <c r="E358" s="2">
        <f ca="1">IFERROR(__xludf.DUMMYFUNCTION("""COMPUTED_VALUE"""),200000)</f>
        <v>200000</v>
      </c>
      <c r="F358" s="2" t="str">
        <f ca="1">IFERROR(__xludf.DUMMYFUNCTION("""COMPUTED_VALUE"""),"Ajuste Arq 25/03/25")</f>
        <v>Ajuste Arq 25/03/25</v>
      </c>
      <c r="G358" s="2">
        <f ca="1">IFERROR(__xludf.DUMMYFUNCTION("""COMPUTED_VALUE"""),3101)</f>
        <v>3101</v>
      </c>
      <c r="H358" s="2">
        <f ca="1">IFERROR(__xludf.DUMMYFUNCTION("""COMPUTED_VALUE"""),4101)</f>
        <v>4101</v>
      </c>
      <c r="I358" s="2"/>
      <c r="J358" s="2"/>
      <c r="K358" s="2" t="str">
        <f ca="1">IFERROR(__xludf.DUMMYFUNCTION("""COMPUTED_VALUE"""),"Terminado")</f>
        <v>Terminado</v>
      </c>
      <c r="L358" s="2"/>
      <c r="M358" s="2"/>
    </row>
    <row r="359" spans="1:13" x14ac:dyDescent="0.25">
      <c r="A359" s="2" t="str">
        <f ca="1">IFERROR(__xludf.DUMMYFUNCTION("""COMPUTED_VALUE"""),"ba65567d")</f>
        <v>ba65567d</v>
      </c>
      <c r="B359" s="2"/>
      <c r="C359" s="3">
        <f ca="1">IFERROR(__xludf.DUMMYFUNCTION("""COMPUTED_VALUE"""),45741.8299884259)</f>
        <v>45741.829988425903</v>
      </c>
      <c r="D359" s="2">
        <f ca="1">IFERROR(__xludf.DUMMYFUNCTION("""COMPUTED_VALUE"""),500)</f>
        <v>500</v>
      </c>
      <c r="E359" s="2">
        <f ca="1">IFERROR(__xludf.DUMMYFUNCTION("""COMPUTED_VALUE"""),200000)</f>
        <v>200000</v>
      </c>
      <c r="F359" s="2" t="str">
        <f ca="1">IFERROR(__xludf.DUMMYFUNCTION("""COMPUTED_VALUE"""),"Ajuste Arq 25/03/25")</f>
        <v>Ajuste Arq 25/03/25</v>
      </c>
      <c r="G359" s="2">
        <f ca="1">IFERROR(__xludf.DUMMYFUNCTION("""COMPUTED_VALUE"""),4101)</f>
        <v>4101</v>
      </c>
      <c r="H359" s="2">
        <f ca="1">IFERROR(__xludf.DUMMYFUNCTION("""COMPUTED_VALUE"""),5101)</f>
        <v>5101</v>
      </c>
      <c r="I359" s="2"/>
      <c r="J359" s="2"/>
      <c r="K359" s="2" t="str">
        <f ca="1">IFERROR(__xludf.DUMMYFUNCTION("""COMPUTED_VALUE"""),"Terminado")</f>
        <v>Terminado</v>
      </c>
      <c r="L359" s="2"/>
      <c r="M359" s="2"/>
    </row>
    <row r="360" spans="1:13" x14ac:dyDescent="0.25">
      <c r="A360" s="2" t="str">
        <f ca="1">IFERROR(__xludf.DUMMYFUNCTION("""COMPUTED_VALUE"""),"37d13c67")</f>
        <v>37d13c67</v>
      </c>
      <c r="B360" s="2"/>
      <c r="C360" s="3">
        <f ca="1">IFERROR(__xludf.DUMMYFUNCTION("""COMPUTED_VALUE"""),45741.8302546296)</f>
        <v>45741.830254629604</v>
      </c>
      <c r="D360" s="2">
        <f ca="1">IFERROR(__xludf.DUMMYFUNCTION("""COMPUTED_VALUE"""),500)</f>
        <v>500</v>
      </c>
      <c r="E360" s="2">
        <f ca="1">IFERROR(__xludf.DUMMYFUNCTION("""COMPUTED_VALUE"""),200000)</f>
        <v>200000</v>
      </c>
      <c r="F360" s="2" t="str">
        <f ca="1">IFERROR(__xludf.DUMMYFUNCTION("""COMPUTED_VALUE"""),"Ajuste Arq 25/03/25")</f>
        <v>Ajuste Arq 25/03/25</v>
      </c>
      <c r="G360" s="2">
        <f ca="1">IFERROR(__xludf.DUMMYFUNCTION("""COMPUTED_VALUE"""),5101)</f>
        <v>5101</v>
      </c>
      <c r="H360" s="2">
        <f ca="1">IFERROR(__xludf.DUMMYFUNCTION("""COMPUTED_VALUE"""),5701)</f>
        <v>5701</v>
      </c>
      <c r="I360" s="2"/>
      <c r="J360" s="2"/>
      <c r="K360" s="2" t="str">
        <f ca="1">IFERROR(__xludf.DUMMYFUNCTION("""COMPUTED_VALUE"""),"Terminado")</f>
        <v>Terminado</v>
      </c>
      <c r="L360" s="2"/>
      <c r="M360" s="2"/>
    </row>
    <row r="361" spans="1:13" x14ac:dyDescent="0.25">
      <c r="A361" s="2" t="str">
        <f ca="1">IFERROR(__xludf.DUMMYFUNCTION("""COMPUTED_VALUE"""),"309834ec")</f>
        <v>309834ec</v>
      </c>
      <c r="B361" s="2"/>
      <c r="C361" s="3">
        <f ca="1">IFERROR(__xludf.DUMMYFUNCTION("""COMPUTED_VALUE"""),45741.8305324074)</f>
        <v>45741.830532407403</v>
      </c>
      <c r="D361" s="2">
        <f ca="1">IFERROR(__xludf.DUMMYFUNCTION("""COMPUTED_VALUE"""),500)</f>
        <v>500</v>
      </c>
      <c r="E361" s="2">
        <f ca="1">IFERROR(__xludf.DUMMYFUNCTION("""COMPUTED_VALUE"""),200000)</f>
        <v>200000</v>
      </c>
      <c r="F361" s="2" t="str">
        <f ca="1">IFERROR(__xludf.DUMMYFUNCTION("""COMPUTED_VALUE"""),"Ajuste Arq 25/03/25")</f>
        <v>Ajuste Arq 25/03/25</v>
      </c>
      <c r="G361" s="2">
        <f ca="1">IFERROR(__xludf.DUMMYFUNCTION("""COMPUTED_VALUE"""),5701)</f>
        <v>5701</v>
      </c>
      <c r="H361" s="2">
        <f ca="1">IFERROR(__xludf.DUMMYFUNCTION("""COMPUTED_VALUE"""),1701)</f>
        <v>1701</v>
      </c>
      <c r="I361" s="2"/>
      <c r="J361" s="2"/>
      <c r="K361" s="2" t="str">
        <f ca="1">IFERROR(__xludf.DUMMYFUNCTION("""COMPUTED_VALUE"""),"Terminado")</f>
        <v>Terminado</v>
      </c>
      <c r="L361" s="2"/>
      <c r="M361" s="2"/>
    </row>
    <row r="362" spans="1:13" x14ac:dyDescent="0.25">
      <c r="A362" s="2" t="str">
        <f ca="1">IFERROR(__xludf.DUMMYFUNCTION("""COMPUTED_VALUE"""),"654f6921")</f>
        <v>654f6921</v>
      </c>
      <c r="B362" s="2"/>
      <c r="C362" s="3">
        <f ca="1">IFERROR(__xludf.DUMMYFUNCTION("""COMPUTED_VALUE"""),45742.7598032407)</f>
        <v>45742.759803240697</v>
      </c>
      <c r="D362" s="2">
        <f ca="1">IFERROR(__xludf.DUMMYFUNCTION("""COMPUTED_VALUE"""),92)</f>
        <v>92</v>
      </c>
      <c r="E362" s="2">
        <f ca="1">IFERROR(__xludf.DUMMYFUNCTION("""COMPUTED_VALUE"""),76000)</f>
        <v>76000</v>
      </c>
      <c r="F362" s="2" t="str">
        <f ca="1">IFERROR(__xludf.DUMMYFUNCTION("""COMPUTED_VALUE"""),"Malbec")</f>
        <v>Malbec</v>
      </c>
      <c r="G362" s="2"/>
      <c r="H362" s="2">
        <f ca="1">IFERROR(__xludf.DUMMYFUNCTION("""COMPUTED_VALUE"""),23800)</f>
        <v>23800</v>
      </c>
      <c r="I362" s="2"/>
      <c r="J362" s="2" t="str">
        <f ca="1">IFERROR(__xludf.DUMMYFUNCTION("""COMPUTED_VALUE"""),"6010 , 6011 , 6013 , 6014")</f>
        <v>6010 , 6011 , 6013 , 6014</v>
      </c>
      <c r="K362" s="2" t="str">
        <f ca="1">IFERROR(__xludf.DUMMYFUNCTION("""COMPUTED_VALUE"""),"Fermentando")</f>
        <v>Fermentando</v>
      </c>
      <c r="L362" s="2"/>
      <c r="M362" s="2"/>
    </row>
    <row r="363" spans="1:13" x14ac:dyDescent="0.25">
      <c r="A363" s="2" t="str">
        <f ca="1">IFERROR(__xludf.DUMMYFUNCTION("""COMPUTED_VALUE"""),"8cca3230")</f>
        <v>8cca3230</v>
      </c>
      <c r="B363" s="2"/>
      <c r="C363" s="3">
        <f ca="1">IFERROR(__xludf.DUMMYFUNCTION("""COMPUTED_VALUE"""),45742.7605787037)</f>
        <v>45742.760578703703</v>
      </c>
      <c r="D363" s="2">
        <f ca="1">IFERROR(__xludf.DUMMYFUNCTION("""COMPUTED_VALUE"""),91)</f>
        <v>91</v>
      </c>
      <c r="E363" s="2">
        <f ca="1">IFERROR(__xludf.DUMMYFUNCTION("""COMPUTED_VALUE"""),86000)</f>
        <v>86000</v>
      </c>
      <c r="F363" s="2" t="str">
        <f ca="1">IFERROR(__xludf.DUMMYFUNCTION("""COMPUTED_VALUE"""),"Bonarda")</f>
        <v>Bonarda</v>
      </c>
      <c r="G363" s="2"/>
      <c r="H363" s="2">
        <f ca="1">IFERROR(__xludf.DUMMYFUNCTION("""COMPUTED_VALUE"""),49700)</f>
        <v>49700</v>
      </c>
      <c r="I363" s="2"/>
      <c r="J363" s="2" t="str">
        <f ca="1">IFERROR(__xludf.DUMMYFUNCTION("""COMPUTED_VALUE"""),"6009 , 6012 , 6016 , 6017 , 6019 , 6020")</f>
        <v>6009 , 6012 , 6016 , 6017 , 6019 , 6020</v>
      </c>
      <c r="K363" s="2" t="str">
        <f ca="1">IFERROR(__xludf.DUMMYFUNCTION("""COMPUTED_VALUE"""),"Fermentando")</f>
        <v>Fermentando</v>
      </c>
      <c r="L363" s="2"/>
      <c r="M363" s="2"/>
    </row>
    <row r="364" spans="1:13" x14ac:dyDescent="0.25">
      <c r="A364" s="2" t="str">
        <f ca="1">IFERROR(__xludf.DUMMYFUNCTION("""COMPUTED_VALUE"""),"32e9ec8f")</f>
        <v>32e9ec8f</v>
      </c>
      <c r="B364" s="2"/>
      <c r="C364" s="3">
        <f ca="1">IFERROR(__xludf.DUMMYFUNCTION("""COMPUTED_VALUE"""),45742.7635300925)</f>
        <v>45742.763530092503</v>
      </c>
      <c r="D364" s="2">
        <f ca="1">IFERROR(__xludf.DUMMYFUNCTION("""COMPUTED_VALUE"""),102)</f>
        <v>102</v>
      </c>
      <c r="E364" s="2">
        <f ca="1">IFERROR(__xludf.DUMMYFUNCTION("""COMPUTED_VALUE"""),31000)</f>
        <v>31000</v>
      </c>
      <c r="F364" s="2" t="str">
        <f ca="1">IFERROR(__xludf.DUMMYFUNCTION("""COMPUTED_VALUE"""),"Tinto Recarga")</f>
        <v>Tinto Recarga</v>
      </c>
      <c r="G364" s="2">
        <f ca="1">IFERROR(__xludf.DUMMYFUNCTION("""COMPUTED_VALUE"""),0)</f>
        <v>0</v>
      </c>
      <c r="H364" s="2">
        <f ca="1">IFERROR(__xludf.DUMMYFUNCTION("""COMPUTED_VALUE"""),20000)</f>
        <v>20000</v>
      </c>
      <c r="I364" s="2"/>
      <c r="J364" s="2"/>
      <c r="K364" s="2" t="str">
        <f ca="1">IFERROR(__xludf.DUMMYFUNCTION("""COMPUTED_VALUE"""),"Recarga Fermentando")</f>
        <v>Recarga Fermentando</v>
      </c>
      <c r="L364" s="2"/>
      <c r="M364" s="2"/>
    </row>
    <row r="365" spans="1:13" x14ac:dyDescent="0.25">
      <c r="A365" s="2" t="str">
        <f ca="1">IFERROR(__xludf.DUMMYFUNCTION("""COMPUTED_VALUE"""),"9a9cd123")</f>
        <v>9a9cd123</v>
      </c>
      <c r="B365" s="2"/>
      <c r="C365" s="3">
        <f ca="1">IFERROR(__xludf.DUMMYFUNCTION("""COMPUTED_VALUE"""),45742.7644560185)</f>
        <v>45742.7644560185</v>
      </c>
      <c r="D365" s="2">
        <f ca="1">IFERROR(__xludf.DUMMYFUNCTION("""COMPUTED_VALUE"""),12)</f>
        <v>12</v>
      </c>
      <c r="E365" s="2">
        <f ca="1">IFERROR(__xludf.DUMMYFUNCTION("""COMPUTED_VALUE"""),35300)</f>
        <v>35300</v>
      </c>
      <c r="F365" s="2" t="str">
        <f ca="1">IFERROR(__xludf.DUMMYFUNCTION("""COMPUTED_VALUE"""),"Tinto Recarga Press")</f>
        <v>Tinto Recarga Press</v>
      </c>
      <c r="G365" s="2">
        <f ca="1">IFERROR(__xludf.DUMMYFUNCTION("""COMPUTED_VALUE"""),0)</f>
        <v>0</v>
      </c>
      <c r="H365" s="2">
        <f ca="1">IFERROR(__xludf.DUMMYFUNCTION("""COMPUTED_VALUE"""),20000)</f>
        <v>20000</v>
      </c>
      <c r="I365" s="2"/>
      <c r="J365" s="2"/>
      <c r="K365" s="2" t="str">
        <f ca="1">IFERROR(__xludf.DUMMYFUNCTION("""COMPUTED_VALUE"""),"Descubada")</f>
        <v>Descubada</v>
      </c>
      <c r="L365" s="2"/>
      <c r="M365" s="2"/>
    </row>
    <row r="366" spans="1:13" x14ac:dyDescent="0.25">
      <c r="A366" s="2" t="str">
        <f ca="1">IFERROR(__xludf.DUMMYFUNCTION("""COMPUTED_VALUE"""),"96467006")</f>
        <v>96467006</v>
      </c>
      <c r="B366" s="2"/>
      <c r="C366" s="3">
        <f ca="1">IFERROR(__xludf.DUMMYFUNCTION("""COMPUTED_VALUE"""),45742.7725925925)</f>
        <v>45742.772592592497</v>
      </c>
      <c r="D366" s="2">
        <f ca="1">IFERROR(__xludf.DUMMYFUNCTION("""COMPUTED_VALUE"""),102)</f>
        <v>102</v>
      </c>
      <c r="E366" s="2">
        <f ca="1">IFERROR(__xludf.DUMMYFUNCTION("""COMPUTED_VALUE"""),31000)</f>
        <v>31000</v>
      </c>
      <c r="F366" s="2" t="str">
        <f ca="1">IFERROR(__xludf.DUMMYFUNCTION("""COMPUTED_VALUE"""),"Tinto Recarga")</f>
        <v>Tinto Recarga</v>
      </c>
      <c r="G366" s="2">
        <f ca="1">IFERROR(__xludf.DUMMYFUNCTION("""COMPUTED_VALUE"""),20000)</f>
        <v>20000</v>
      </c>
      <c r="H366" s="2">
        <f ca="1">IFERROR(__xludf.DUMMYFUNCTION("""COMPUTED_VALUE"""),30000)</f>
        <v>30000</v>
      </c>
      <c r="I366" s="2" t="str">
        <f ca="1">IFERROR(__xludf.DUMMYFUNCTION("""COMPUTED_VALUE"""),"4/4
Se puede controlar 102
109 12 109 107
1/4
Tinto básico simplon")</f>
        <v>4/4
Se puede controlar 102
109 12 109 107
1/4
Tinto básico simplon</v>
      </c>
      <c r="J366" s="2"/>
      <c r="K366" s="2" t="str">
        <f ca="1">IFERROR(__xludf.DUMMYFUNCTION("""COMPUTED_VALUE"""),"Descubada")</f>
        <v>Descubada</v>
      </c>
      <c r="L366" s="2"/>
      <c r="M366" s="2"/>
    </row>
    <row r="367" spans="1:13" x14ac:dyDescent="0.25">
      <c r="A367" s="2" t="str">
        <f ca="1">IFERROR(__xludf.DUMMYFUNCTION("""COMPUTED_VALUE"""),"8102a15a")</f>
        <v>8102a15a</v>
      </c>
      <c r="B367" s="2"/>
      <c r="C367" s="3">
        <f ca="1">IFERROR(__xludf.DUMMYFUNCTION("""COMPUTED_VALUE"""),45742.7735185185)</f>
        <v>45742.773518518501</v>
      </c>
      <c r="D367" s="2">
        <f ca="1">IFERROR(__xludf.DUMMYFUNCTION("""COMPUTED_VALUE"""),115)</f>
        <v>115</v>
      </c>
      <c r="E367" s="2">
        <f ca="1">IFERROR(__xludf.DUMMYFUNCTION("""COMPUTED_VALUE"""),120200)</f>
        <v>120200</v>
      </c>
      <c r="F367" s="2" t="str">
        <f ca="1">IFERROR(__xludf.DUMMYFUNCTION("""COMPUTED_VALUE"""),"Bonarda")</f>
        <v>Bonarda</v>
      </c>
      <c r="G367" s="2">
        <f ca="1">IFERROR(__xludf.DUMMYFUNCTION("""COMPUTED_VALUE"""),84300)</f>
        <v>84300</v>
      </c>
      <c r="H367" s="2">
        <f ca="1">IFERROR(__xludf.DUMMYFUNCTION("""COMPUTED_VALUE"""),120200)</f>
        <v>120200</v>
      </c>
      <c r="I367" s="2" t="str">
        <f ca="1">IFERROR(__xludf.DUMMYFUNCTION("""COMPUTED_VALUE"""),"1/4
Liviano pero linda base para hacer volumen. No hay verdes ni tanicos
Podría juntarse con la 96")</f>
        <v>1/4
Liviano pero linda base para hacer volumen. No hay verdes ni tanicos
Podría juntarse con la 96</v>
      </c>
      <c r="J367" s="2"/>
      <c r="K367" s="2" t="str">
        <f ca="1">IFERROR(__xludf.DUMMYFUNCTION("""COMPUTED_VALUE"""),"Descubada")</f>
        <v>Descubada</v>
      </c>
      <c r="L367" s="2"/>
      <c r="M367" s="2"/>
    </row>
    <row r="368" spans="1:13" x14ac:dyDescent="0.25">
      <c r="A368" s="2" t="str">
        <f ca="1">IFERROR(__xludf.DUMMYFUNCTION("""COMPUTED_VALUE"""),"3cb72b04")</f>
        <v>3cb72b04</v>
      </c>
      <c r="B368" s="2"/>
      <c r="C368" s="3">
        <f ca="1">IFERROR(__xludf.DUMMYFUNCTION("""COMPUTED_VALUE"""),45742.8125694444)</f>
        <v>45742.812569444402</v>
      </c>
      <c r="D368" s="2">
        <f ca="1">IFERROR(__xludf.DUMMYFUNCTION("""COMPUTED_VALUE"""),12)</f>
        <v>12</v>
      </c>
      <c r="E368" s="2">
        <f ca="1">IFERROR(__xludf.DUMMYFUNCTION("""COMPUTED_VALUE"""),35300)</f>
        <v>35300</v>
      </c>
      <c r="F368" s="2" t="str">
        <f ca="1">IFERROR(__xludf.DUMMYFUNCTION("""COMPUTED_VALUE"""),"Tinto Recarga Press")</f>
        <v>Tinto Recarga Press</v>
      </c>
      <c r="G368" s="2">
        <f ca="1">IFERROR(__xludf.DUMMYFUNCTION("""COMPUTED_VALUE"""),20000)</f>
        <v>20000</v>
      </c>
      <c r="H368" s="2">
        <f ca="1">IFERROR(__xludf.DUMMYFUNCTION("""COMPUTED_VALUE"""),35000)</f>
        <v>35000</v>
      </c>
      <c r="I368" s="2"/>
      <c r="J368" s="2"/>
      <c r="K368" s="2" t="str">
        <f ca="1">IFERROR(__xludf.DUMMYFUNCTION("""COMPUTED_VALUE"""),"Descubada")</f>
        <v>Descubada</v>
      </c>
      <c r="L368" s="2"/>
      <c r="M368" s="2"/>
    </row>
    <row r="369" spans="1:13" x14ac:dyDescent="0.25">
      <c r="A369" s="2" t="str">
        <f ca="1">IFERROR(__xludf.DUMMYFUNCTION("""COMPUTED_VALUE"""),"28029583")</f>
        <v>28029583</v>
      </c>
      <c r="B369" s="2"/>
      <c r="C369" s="3">
        <f ca="1">IFERROR(__xludf.DUMMYFUNCTION("""COMPUTED_VALUE"""),45742.8132291666)</f>
        <v>45742.813229166597</v>
      </c>
      <c r="D369" s="2">
        <f ca="1">IFERROR(__xludf.DUMMYFUNCTION("""COMPUTED_VALUE"""),12)</f>
        <v>12</v>
      </c>
      <c r="E369" s="2">
        <f ca="1">IFERROR(__xludf.DUMMYFUNCTION("""COMPUTED_VALUE"""),35300)</f>
        <v>35300</v>
      </c>
      <c r="F369" s="2" t="str">
        <f ca="1">IFERROR(__xludf.DUMMYFUNCTION("""COMPUTED_VALUE"""),"Tinto Recarga Press")</f>
        <v>Tinto Recarga Press</v>
      </c>
      <c r="G369" s="2">
        <f ca="1">IFERROR(__xludf.DUMMYFUNCTION("""COMPUTED_VALUE"""),35000)</f>
        <v>35000</v>
      </c>
      <c r="H369" s="2">
        <f ca="1">IFERROR(__xludf.DUMMYFUNCTION("""COMPUTED_VALUE"""),35300)</f>
        <v>35300</v>
      </c>
      <c r="I369" s="2" t="str">
        <f ca="1">IFERROR(__xludf.DUMMYFUNCTION("""COMPUTED_VALUE"""),"4/4 
Tinto simple, pero bien")</f>
        <v>4/4 
Tinto simple, pero bien</v>
      </c>
      <c r="J369" s="2"/>
      <c r="K369" s="2" t="str">
        <f ca="1">IFERROR(__xludf.DUMMYFUNCTION("""COMPUTED_VALUE"""),"Descubada")</f>
        <v>Descubada</v>
      </c>
      <c r="L369" s="2"/>
      <c r="M369" s="2"/>
    </row>
    <row r="370" spans="1:13" x14ac:dyDescent="0.25">
      <c r="A370" s="2" t="str">
        <f ca="1">IFERROR(__xludf.DUMMYFUNCTION("""COMPUTED_VALUE"""),"c85b5cb0")</f>
        <v>c85b5cb0</v>
      </c>
      <c r="B370" s="2"/>
      <c r="C370" s="3">
        <f ca="1">IFERROR(__xludf.DUMMYFUNCTION("""COMPUTED_VALUE"""),45742.8135532407)</f>
        <v>45742.813553240703</v>
      </c>
      <c r="D370" s="2">
        <f ca="1">IFERROR(__xludf.DUMMYFUNCTION("""COMPUTED_VALUE"""),52)</f>
        <v>52</v>
      </c>
      <c r="E370" s="2">
        <f ca="1">IFERROR(__xludf.DUMMYFUNCTION("""COMPUTED_VALUE"""),27000)</f>
        <v>27000</v>
      </c>
      <c r="F370" s="2" t="str">
        <f ca="1">IFERROR(__xludf.DUMMYFUNCTION("""COMPUTED_VALUE"""),"Tinto Recarga")</f>
        <v>Tinto Recarga</v>
      </c>
      <c r="G370" s="2">
        <f ca="1">IFERROR(__xludf.DUMMYFUNCTION("""COMPUTED_VALUE"""),0)</f>
        <v>0</v>
      </c>
      <c r="H370" s="2">
        <f ca="1">IFERROR(__xludf.DUMMYFUNCTION("""COMPUTED_VALUE"""),14700)</f>
        <v>14700</v>
      </c>
      <c r="I370" s="2"/>
      <c r="J370" s="2"/>
      <c r="K370" s="2" t="str">
        <f ca="1">IFERROR(__xludf.DUMMYFUNCTION("""COMPUTED_VALUE"""),"Descubada")</f>
        <v>Descubada</v>
      </c>
      <c r="L370" s="2"/>
      <c r="M370" s="2"/>
    </row>
    <row r="371" spans="1:13" x14ac:dyDescent="0.25">
      <c r="A371" s="2" t="str">
        <f ca="1">IFERROR(__xludf.DUMMYFUNCTION("""COMPUTED_VALUE"""),"bcd7e2f3")</f>
        <v>bcd7e2f3</v>
      </c>
      <c r="B371" s="2"/>
      <c r="C371" s="3">
        <f ca="1">IFERROR(__xludf.DUMMYFUNCTION("""COMPUTED_VALUE"""),45742.8147453702)</f>
        <v>45742.814745370299</v>
      </c>
      <c r="D371" s="2">
        <f ca="1">IFERROR(__xludf.DUMMYFUNCTION("""COMPUTED_VALUE"""),52)</f>
        <v>52</v>
      </c>
      <c r="E371" s="2">
        <f ca="1">IFERROR(__xludf.DUMMYFUNCTION("""COMPUTED_VALUE"""),27000)</f>
        <v>27000</v>
      </c>
      <c r="F371" s="2" t="str">
        <f ca="1">IFERROR(__xludf.DUMMYFUNCTION("""COMPUTED_VALUE"""),"Bonarda")</f>
        <v>Bonarda</v>
      </c>
      <c r="G371" s="2">
        <f ca="1">IFERROR(__xludf.DUMMYFUNCTION("""COMPUTED_VALUE"""),14700)</f>
        <v>14700</v>
      </c>
      <c r="H371" s="2">
        <f ca="1">IFERROR(__xludf.DUMMYFUNCTION("""COMPUTED_VALUE"""),27000)</f>
        <v>27000</v>
      </c>
      <c r="I371" s="2"/>
      <c r="J371" s="2"/>
      <c r="K371" s="2" t="str">
        <f ca="1">IFERROR(__xludf.DUMMYFUNCTION("""COMPUTED_VALUE"""),"Descubada")</f>
        <v>Descubada</v>
      </c>
      <c r="L371" s="2"/>
      <c r="M371" s="2"/>
    </row>
    <row r="372" spans="1:13" x14ac:dyDescent="0.25">
      <c r="A372" s="2" t="str">
        <f ca="1">IFERROR(__xludf.DUMMYFUNCTION("""COMPUTED_VALUE"""),"2e2b3f01")</f>
        <v>2e2b3f01</v>
      </c>
      <c r="B372" s="2"/>
      <c r="C372" s="3">
        <f ca="1">IFERROR(__xludf.DUMMYFUNCTION("""COMPUTED_VALUE"""),45742.8350925925)</f>
        <v>45742.835092592497</v>
      </c>
      <c r="D372" s="2">
        <f ca="1">IFERROR(__xludf.DUMMYFUNCTION("""COMPUTED_VALUE"""),500)</f>
        <v>500</v>
      </c>
      <c r="E372" s="2">
        <f ca="1">IFERROR(__xludf.DUMMYFUNCTION("""COMPUTED_VALUE"""),200000)</f>
        <v>200000</v>
      </c>
      <c r="F372" s="2" t="str">
        <f ca="1">IFERROR(__xludf.DUMMYFUNCTION("""COMPUTED_VALUE"""),"Ajuste Arq 25/03/25")</f>
        <v>Ajuste Arq 25/03/25</v>
      </c>
      <c r="G372" s="2">
        <f ca="1">IFERROR(__xludf.DUMMYFUNCTION("""COMPUTED_VALUE"""),1701)</f>
        <v>1701</v>
      </c>
      <c r="H372" s="2">
        <f ca="1">IFERROR(__xludf.DUMMYFUNCTION("""COMPUTED_VALUE"""),6401)</f>
        <v>6401</v>
      </c>
      <c r="I372" s="2"/>
      <c r="J372" s="2"/>
      <c r="K372" s="2" t="str">
        <f ca="1">IFERROR(__xludf.DUMMYFUNCTION("""COMPUTED_VALUE"""),"Terminado")</f>
        <v>Terminado</v>
      </c>
      <c r="L372" s="2"/>
      <c r="M372" s="2"/>
    </row>
    <row r="373" spans="1:13" x14ac:dyDescent="0.25">
      <c r="A373" s="2" t="str">
        <f ca="1">IFERROR(__xludf.DUMMYFUNCTION("""COMPUTED_VALUE"""),"c750a1d2")</f>
        <v>c750a1d2</v>
      </c>
      <c r="B373" s="2"/>
      <c r="C373" s="3">
        <f ca="1">IFERROR(__xludf.DUMMYFUNCTION("""COMPUTED_VALUE"""),45743.7154166666)</f>
        <v>45743.715416666601</v>
      </c>
      <c r="D373" s="2">
        <f ca="1">IFERROR(__xludf.DUMMYFUNCTION("""COMPUTED_VALUE"""),52)</f>
        <v>52</v>
      </c>
      <c r="E373" s="2">
        <f ca="1">IFERROR(__xludf.DUMMYFUNCTION("""COMPUTED_VALUE"""),27000)</f>
        <v>27000</v>
      </c>
      <c r="F373" s="2" t="str">
        <f ca="1">IFERROR(__xludf.DUMMYFUNCTION("""COMPUTED_VALUE"""),"Bonarda")</f>
        <v>Bonarda</v>
      </c>
      <c r="G373" s="2">
        <f ca="1">IFERROR(__xludf.DUMMYFUNCTION("""COMPUTED_VALUE"""),27000)</f>
        <v>27000</v>
      </c>
      <c r="H373" s="2">
        <f ca="1">IFERROR(__xludf.DUMMYFUNCTION("""COMPUTED_VALUE"""),30000)</f>
        <v>30000</v>
      </c>
      <c r="I373" s="2"/>
      <c r="J373" s="2"/>
      <c r="K373" s="2" t="str">
        <f ca="1">IFERROR(__xludf.DUMMYFUNCTION("""COMPUTED_VALUE"""),"Descubada")</f>
        <v>Descubada</v>
      </c>
      <c r="L373" s="2"/>
      <c r="M373" s="2"/>
    </row>
    <row r="374" spans="1:13" x14ac:dyDescent="0.25">
      <c r="A374" s="2" t="str">
        <f ca="1">IFERROR(__xludf.DUMMYFUNCTION("""COMPUTED_VALUE"""),"3e5b524d")</f>
        <v>3e5b524d</v>
      </c>
      <c r="B374" s="2"/>
      <c r="C374" s="3">
        <f ca="1">IFERROR(__xludf.DUMMYFUNCTION("""COMPUTED_VALUE"""),45743.7167592592)</f>
        <v>45743.716759259201</v>
      </c>
      <c r="D374" s="2">
        <f ca="1">IFERROR(__xludf.DUMMYFUNCTION("""COMPUTED_VALUE"""),500)</f>
        <v>500</v>
      </c>
      <c r="E374" s="2">
        <f ca="1">IFERROR(__xludf.DUMMYFUNCTION("""COMPUTED_VALUE"""),200000)</f>
        <v>200000</v>
      </c>
      <c r="F374" s="2" t="str">
        <f ca="1">IFERROR(__xludf.DUMMYFUNCTION("""COMPUTED_VALUE"""),"Ajuste Arq 25/03/25")</f>
        <v>Ajuste Arq 25/03/25</v>
      </c>
      <c r="G374" s="2">
        <f ca="1">IFERROR(__xludf.DUMMYFUNCTION("""COMPUTED_VALUE"""),6401)</f>
        <v>6401</v>
      </c>
      <c r="H374" s="2">
        <f ca="1">IFERROR(__xludf.DUMMYFUNCTION("""COMPUTED_VALUE"""),9401)</f>
        <v>9401</v>
      </c>
      <c r="I374" s="2"/>
      <c r="J374" s="2"/>
      <c r="K374" s="2" t="str">
        <f ca="1">IFERROR(__xludf.DUMMYFUNCTION("""COMPUTED_VALUE"""),"Terminado")</f>
        <v>Terminado</v>
      </c>
      <c r="L374" s="2"/>
      <c r="M374" s="2"/>
    </row>
    <row r="375" spans="1:13" x14ac:dyDescent="0.25">
      <c r="A375" s="2" t="str">
        <f ca="1">IFERROR(__xludf.DUMMYFUNCTION("""COMPUTED_VALUE"""),"ef198a97")</f>
        <v>ef198a97</v>
      </c>
      <c r="B375" s="2"/>
      <c r="C375" s="3">
        <f ca="1">IFERROR(__xludf.DUMMYFUNCTION("""COMPUTED_VALUE"""),45743.7664930555)</f>
        <v>45743.766493055497</v>
      </c>
      <c r="D375" s="2">
        <f ca="1">IFERROR(__xludf.DUMMYFUNCTION("""COMPUTED_VALUE"""),48)</f>
        <v>48</v>
      </c>
      <c r="E375" s="2">
        <f ca="1">IFERROR(__xludf.DUMMYFUNCTION("""COMPUTED_VALUE"""),26000)</f>
        <v>26000</v>
      </c>
      <c r="F375" s="2" t="str">
        <f ca="1">IFERROR(__xludf.DUMMYFUNCTION("""COMPUTED_VALUE"""),"Pedro Gimenez")</f>
        <v>Pedro Gimenez</v>
      </c>
      <c r="G375" s="2">
        <f ca="1">IFERROR(__xludf.DUMMYFUNCTION("""COMPUTED_VALUE"""),0)</f>
        <v>0</v>
      </c>
      <c r="H375" s="2">
        <f ca="1">IFERROR(__xludf.DUMMYFUNCTION("""COMPUTED_VALUE"""),26000)</f>
        <v>26000</v>
      </c>
      <c r="I375" s="2" t="str">
        <f ca="1">IFERROR(__xludf.DUMMYFUNCTION("""COMPUTED_VALUE"""),"14/5
nota amoscatelada")</f>
        <v>14/5
nota amoscatelada</v>
      </c>
      <c r="J375" s="2"/>
      <c r="K375" s="2" t="str">
        <f ca="1">IFERROR(__xludf.DUMMYFUNCTION("""COMPUTED_VALUE"""),"Descubada")</f>
        <v>Descubada</v>
      </c>
      <c r="L375" s="2" t="str">
        <f ca="1">IFERROR(__xludf.DUMMYFUNCTION("""COMPUTED_VALUE"""),"1")</f>
        <v>1</v>
      </c>
      <c r="M375" s="2" t="str">
        <f ca="1">IFERROR(__xludf.DUMMYFUNCTION("""COMPUTED_VALUE"""),"Blanco")</f>
        <v>Blanco</v>
      </c>
    </row>
    <row r="376" spans="1:13" x14ac:dyDescent="0.25">
      <c r="A376" s="2" t="str">
        <f ca="1">IFERROR(__xludf.DUMMYFUNCTION("""COMPUTED_VALUE"""),"eeb8e99d")</f>
        <v>eeb8e99d</v>
      </c>
      <c r="B376" s="2"/>
      <c r="C376" s="3">
        <f ca="1">IFERROR(__xludf.DUMMYFUNCTION("""COMPUTED_VALUE"""),45743.7669791666)</f>
        <v>45743.766979166598</v>
      </c>
      <c r="D376" s="2">
        <f ca="1">IFERROR(__xludf.DUMMYFUNCTION("""COMPUTED_VALUE"""),47)</f>
        <v>47</v>
      </c>
      <c r="E376" s="2">
        <f ca="1">IFERROR(__xludf.DUMMYFUNCTION("""COMPUTED_VALUE"""),20000)</f>
        <v>20000</v>
      </c>
      <c r="F376" s="2" t="str">
        <f ca="1">IFERROR(__xludf.DUMMYFUNCTION("""COMPUTED_VALUE"""),"Pedro Gimenez")</f>
        <v>Pedro Gimenez</v>
      </c>
      <c r="G376" s="2">
        <f ca="1">IFERROR(__xludf.DUMMYFUNCTION("""COMPUTED_VALUE"""),0)</f>
        <v>0</v>
      </c>
      <c r="H376" s="2">
        <f ca="1">IFERROR(__xludf.DUMMYFUNCTION("""COMPUTED_VALUE"""),2500)</f>
        <v>2500</v>
      </c>
      <c r="I376" s="2"/>
      <c r="J376" s="2"/>
      <c r="K376" s="2" t="str">
        <f ca="1">IFERROR(__xludf.DUMMYFUNCTION("""COMPUTED_VALUE"""),"Descubada")</f>
        <v>Descubada</v>
      </c>
      <c r="L376" s="2"/>
      <c r="M376" s="2"/>
    </row>
    <row r="377" spans="1:13" x14ac:dyDescent="0.25">
      <c r="A377" s="2" t="str">
        <f ca="1">IFERROR(__xludf.DUMMYFUNCTION("""COMPUTED_VALUE"""),"5cdb12ce")</f>
        <v>5cdb12ce</v>
      </c>
      <c r="B377" s="2"/>
      <c r="C377" s="3">
        <f ca="1">IFERROR(__xludf.DUMMYFUNCTION("""COMPUTED_VALUE"""),45743.7675347222)</f>
        <v>45743.767534722203</v>
      </c>
      <c r="D377" s="2">
        <f ca="1">IFERROR(__xludf.DUMMYFUNCTION("""COMPUTED_VALUE"""),47)</f>
        <v>47</v>
      </c>
      <c r="E377" s="2">
        <f ca="1">IFERROR(__xludf.DUMMYFUNCTION("""COMPUTED_VALUE"""),20000)</f>
        <v>20000</v>
      </c>
      <c r="F377" s="2" t="str">
        <f ca="1">IFERROR(__xludf.DUMMYFUNCTION("""COMPUTED_VALUE"""),"Chenin")</f>
        <v>Chenin</v>
      </c>
      <c r="G377" s="2">
        <f ca="1">IFERROR(__xludf.DUMMYFUNCTION("""COMPUTED_VALUE"""),2500)</f>
        <v>2500</v>
      </c>
      <c r="H377" s="2">
        <f ca="1">IFERROR(__xludf.DUMMYFUNCTION("""COMPUTED_VALUE"""),20000)</f>
        <v>20000</v>
      </c>
      <c r="I377" s="2" t="str">
        <f ca="1">IFERROR(__xludf.DUMMYFUNCTION("""COMPUTED_VALUE"""),"14/5
algo verde. rico,")</f>
        <v>14/5
algo verde. rico,</v>
      </c>
      <c r="J377" s="2"/>
      <c r="K377" s="2" t="str">
        <f ca="1">IFERROR(__xludf.DUMMYFUNCTION("""COMPUTED_VALUE"""),"Descubada")</f>
        <v>Descubada</v>
      </c>
      <c r="L377" s="2" t="str">
        <f ca="1">IFERROR(__xludf.DUMMYFUNCTION("""COMPUTED_VALUE"""),"1")</f>
        <v>1</v>
      </c>
      <c r="M377" s="2" t="str">
        <f ca="1">IFERROR(__xludf.DUMMYFUNCTION("""COMPUTED_VALUE"""),"Blanco")</f>
        <v>Blanco</v>
      </c>
    </row>
    <row r="378" spans="1:13" x14ac:dyDescent="0.25">
      <c r="A378" s="2" t="str">
        <f ca="1">IFERROR(__xludf.DUMMYFUNCTION("""COMPUTED_VALUE"""),"b4fcbbdb")</f>
        <v>b4fcbbdb</v>
      </c>
      <c r="B378" s="2"/>
      <c r="C378" s="3">
        <f ca="1">IFERROR(__xludf.DUMMYFUNCTION("""COMPUTED_VALUE"""),45743.7679282407)</f>
        <v>45743.767928240697</v>
      </c>
      <c r="D378" s="2">
        <f ca="1">IFERROR(__xludf.DUMMYFUNCTION("""COMPUTED_VALUE"""),36)</f>
        <v>36</v>
      </c>
      <c r="E378" s="2">
        <f ca="1">IFERROR(__xludf.DUMMYFUNCTION("""COMPUTED_VALUE"""),19700)</f>
        <v>19700</v>
      </c>
      <c r="F378" s="2" t="str">
        <f ca="1">IFERROR(__xludf.DUMMYFUNCTION("""COMPUTED_VALUE"""),"Chenin")</f>
        <v>Chenin</v>
      </c>
      <c r="G378" s="2">
        <f ca="1">IFERROR(__xludf.DUMMYFUNCTION("""COMPUTED_VALUE"""),0)</f>
        <v>0</v>
      </c>
      <c r="H378" s="2">
        <f ca="1">IFERROR(__xludf.DUMMYFUNCTION("""COMPUTED_VALUE"""),5500)</f>
        <v>5500</v>
      </c>
      <c r="I378" s="2"/>
      <c r="J378" s="2"/>
      <c r="K378" s="2" t="str">
        <f ca="1">IFERROR(__xludf.DUMMYFUNCTION("""COMPUTED_VALUE"""),"Descubada")</f>
        <v>Descubada</v>
      </c>
      <c r="L378" s="2"/>
      <c r="M378" s="2"/>
    </row>
    <row r="379" spans="1:13" x14ac:dyDescent="0.25">
      <c r="A379" s="2" t="str">
        <f ca="1">IFERROR(__xludf.DUMMYFUNCTION("""COMPUTED_VALUE"""),"0997a77d")</f>
        <v>0997a77d</v>
      </c>
      <c r="B379" s="2"/>
      <c r="C379" s="3">
        <f ca="1">IFERROR(__xludf.DUMMYFUNCTION("""COMPUTED_VALUE"""),45743.7684953703)</f>
        <v>45743.768495370299</v>
      </c>
      <c r="D379" s="2">
        <f ca="1">IFERROR(__xludf.DUMMYFUNCTION("""COMPUTED_VALUE"""),36)</f>
        <v>36</v>
      </c>
      <c r="E379" s="2">
        <f ca="1">IFERROR(__xludf.DUMMYFUNCTION("""COMPUTED_VALUE"""),19700)</f>
        <v>19700</v>
      </c>
      <c r="F379" s="2" t="str">
        <f ca="1">IFERROR(__xludf.DUMMYFUNCTION("""COMPUTED_VALUE"""),"Torrontes Antigal")</f>
        <v>Torrontes Antigal</v>
      </c>
      <c r="G379" s="2">
        <f ca="1">IFERROR(__xludf.DUMMYFUNCTION("""COMPUTED_VALUE"""),5500)</f>
        <v>5500</v>
      </c>
      <c r="H379" s="2">
        <f ca="1">IFERROR(__xludf.DUMMYFUNCTION("""COMPUTED_VALUE"""),19700)</f>
        <v>19700</v>
      </c>
      <c r="I379" s="2"/>
      <c r="J379" s="2"/>
      <c r="K379" s="2" t="str">
        <f ca="1">IFERROR(__xludf.DUMMYFUNCTION("""COMPUTED_VALUE"""),"Traslado Venta")</f>
        <v>Traslado Venta</v>
      </c>
      <c r="L379" s="2" t="str">
        <f ca="1">IFERROR(__xludf.DUMMYFUNCTION("""COMPUTED_VALUE"""),"1")</f>
        <v>1</v>
      </c>
      <c r="M379" s="2" t="str">
        <f ca="1">IFERROR(__xludf.DUMMYFUNCTION("""COMPUTED_VALUE"""),"Blanco")</f>
        <v>Blanco</v>
      </c>
    </row>
    <row r="380" spans="1:13" x14ac:dyDescent="0.25">
      <c r="A380" s="2" t="str">
        <f ca="1">IFERROR(__xludf.DUMMYFUNCTION("""COMPUTED_VALUE"""),"30332ad5")</f>
        <v>30332ad5</v>
      </c>
      <c r="B380" s="2"/>
      <c r="C380" s="3">
        <f ca="1">IFERROR(__xludf.DUMMYFUNCTION("""COMPUTED_VALUE"""),45743.7691898148)</f>
        <v>45743.769189814797</v>
      </c>
      <c r="D380" s="2">
        <f ca="1">IFERROR(__xludf.DUMMYFUNCTION("""COMPUTED_VALUE"""),55)</f>
        <v>55</v>
      </c>
      <c r="E380" s="2">
        <f ca="1">IFERROR(__xludf.DUMMYFUNCTION("""COMPUTED_VALUE"""),3000)</f>
        <v>3000</v>
      </c>
      <c r="F380" s="2" t="str">
        <f ca="1">IFERROR(__xludf.DUMMYFUNCTION("""COMPUTED_VALUE"""),"Torrontes")</f>
        <v>Torrontes</v>
      </c>
      <c r="G380" s="2">
        <f ca="1">IFERROR(__xludf.DUMMYFUNCTION("""COMPUTED_VALUE"""),0)</f>
        <v>0</v>
      </c>
      <c r="H380" s="2">
        <f ca="1">IFERROR(__xludf.DUMMYFUNCTION("""COMPUTED_VALUE"""),3000)</f>
        <v>3000</v>
      </c>
      <c r="I380" s="2" t="str">
        <f ca="1">IFERROR(__xludf.DUMMYFUNCTION("""COMPUTED_VALUE"""),"14/5
tiene un sucio")</f>
        <v>14/5
tiene un sucio</v>
      </c>
      <c r="J380" s="2"/>
      <c r="K380" s="2" t="str">
        <f ca="1">IFERROR(__xludf.DUMMYFUNCTION("""COMPUTED_VALUE"""),"Descubada")</f>
        <v>Descubada</v>
      </c>
      <c r="L380" s="2" t="str">
        <f ca="1">IFERROR(__xludf.DUMMYFUNCTION("""COMPUTED_VALUE"""),"1-")</f>
        <v>1-</v>
      </c>
      <c r="M380" s="2"/>
    </row>
    <row r="381" spans="1:13" x14ac:dyDescent="0.25">
      <c r="A381" s="2" t="str">
        <f ca="1">IFERROR(__xludf.DUMMYFUNCTION("""COMPUTED_VALUE"""),"d711de02")</f>
        <v>d711de02</v>
      </c>
      <c r="B381" s="2"/>
      <c r="C381" s="3">
        <f ca="1">IFERROR(__xludf.DUMMYFUNCTION("""COMPUTED_VALUE"""),45743.7693981481)</f>
        <v>45743.769398148099</v>
      </c>
      <c r="D381" s="2">
        <f ca="1">IFERROR(__xludf.DUMMYFUNCTION("""COMPUTED_VALUE"""),110)</f>
        <v>110</v>
      </c>
      <c r="E381" s="2">
        <f ca="1">IFERROR(__xludf.DUMMYFUNCTION("""COMPUTED_VALUE"""),15600)</f>
        <v>15600</v>
      </c>
      <c r="F381" s="2" t="str">
        <f ca="1">IFERROR(__xludf.DUMMYFUNCTION("""COMPUTED_VALUE"""),"Borra")</f>
        <v>Borra</v>
      </c>
      <c r="G381" s="2">
        <f ca="1">IFERROR(__xludf.DUMMYFUNCTION("""COMPUTED_VALUE"""),7000)</f>
        <v>7000</v>
      </c>
      <c r="H381" s="2">
        <f ca="1">IFERROR(__xludf.DUMMYFUNCTION("""COMPUTED_VALUE"""),8800)</f>
        <v>8800</v>
      </c>
      <c r="I381" s="2"/>
      <c r="J381" s="2"/>
      <c r="K381" s="2" t="str">
        <f ca="1">IFERROR(__xludf.DUMMYFUNCTION("""COMPUTED_VALUE"""),"Descubada")</f>
        <v>Descubada</v>
      </c>
      <c r="L381" s="2"/>
      <c r="M381" s="2"/>
    </row>
    <row r="382" spans="1:13" x14ac:dyDescent="0.25">
      <c r="A382" s="2" t="str">
        <f ca="1">IFERROR(__xludf.DUMMYFUNCTION("""COMPUTED_VALUE"""),"2f246ad5")</f>
        <v>2f246ad5</v>
      </c>
      <c r="B382" s="2"/>
      <c r="C382" s="3">
        <f ca="1">IFERROR(__xludf.DUMMYFUNCTION("""COMPUTED_VALUE"""),45743.771574074)</f>
        <v>45743.771574074002</v>
      </c>
      <c r="D382" s="2">
        <f ca="1">IFERROR(__xludf.DUMMYFUNCTION("""COMPUTED_VALUE"""),92)</f>
        <v>92</v>
      </c>
      <c r="E382" s="2">
        <f ca="1">IFERROR(__xludf.DUMMYFUNCTION("""COMPUTED_VALUE"""),76000)</f>
        <v>76000</v>
      </c>
      <c r="F382" s="2" t="str">
        <f ca="1">IFERROR(__xludf.DUMMYFUNCTION("""COMPUTED_VALUE"""),"Malbec")</f>
        <v>Malbec</v>
      </c>
      <c r="G382" s="2">
        <f ca="1">IFERROR(__xludf.DUMMYFUNCTION("""COMPUTED_VALUE"""),23800)</f>
        <v>23800</v>
      </c>
      <c r="H382" s="2">
        <f ca="1">IFERROR(__xludf.DUMMYFUNCTION("""COMPUTED_VALUE"""),39000)</f>
        <v>39000</v>
      </c>
      <c r="I382" s="2"/>
      <c r="J382" s="2" t="str">
        <f ca="1">IFERROR(__xludf.DUMMYFUNCTION("""COMPUTED_VALUE"""),"6010 , 6011 , 6013 , 6014 , 6015 , 6018")</f>
        <v>6010 , 6011 , 6013 , 6014 , 6015 , 6018</v>
      </c>
      <c r="K382" s="2" t="str">
        <f ca="1">IFERROR(__xludf.DUMMYFUNCTION("""COMPUTED_VALUE"""),"Fermentando")</f>
        <v>Fermentando</v>
      </c>
      <c r="L382" s="2"/>
      <c r="M382" s="2"/>
    </row>
    <row r="383" spans="1:13" x14ac:dyDescent="0.25">
      <c r="A383" s="2" t="str">
        <f ca="1">IFERROR(__xludf.DUMMYFUNCTION("""COMPUTED_VALUE"""),"7ae457f1")</f>
        <v>7ae457f1</v>
      </c>
      <c r="B383" s="2"/>
      <c r="C383" s="3">
        <f ca="1">IFERROR(__xludf.DUMMYFUNCTION("""COMPUTED_VALUE"""),45743.7724421296)</f>
        <v>45743.772442129601</v>
      </c>
      <c r="D383" s="2">
        <f ca="1">IFERROR(__xludf.DUMMYFUNCTION("""COMPUTED_VALUE"""),44)</f>
        <v>44</v>
      </c>
      <c r="E383" s="2">
        <f ca="1">IFERROR(__xludf.DUMMYFUNCTION("""COMPUTED_VALUE"""),19100)</f>
        <v>19100</v>
      </c>
      <c r="F383" s="2" t="str">
        <f ca="1">IFERROR(__xludf.DUMMYFUNCTION("""COMPUTED_VALUE"""),"Torrontes Antigal")</f>
        <v>Torrontes Antigal</v>
      </c>
      <c r="G383" s="2">
        <f ca="1">IFERROR(__xludf.DUMMYFUNCTION("""COMPUTED_VALUE"""),0)</f>
        <v>0</v>
      </c>
      <c r="H383" s="2">
        <f ca="1">IFERROR(__xludf.DUMMYFUNCTION("""COMPUTED_VALUE"""),19100)</f>
        <v>19100</v>
      </c>
      <c r="I383" s="2" t="str">
        <f ca="1">IFERROR(__xludf.DUMMYFUNCTION("""COMPUTED_VALUE"""),"14/5
mas fino y reco que antes")</f>
        <v>14/5
mas fino y reco que antes</v>
      </c>
      <c r="J383" s="2"/>
      <c r="K383" s="2" t="str">
        <f ca="1">IFERROR(__xludf.DUMMYFUNCTION("""COMPUTED_VALUE"""),"Traslado Venta")</f>
        <v>Traslado Venta</v>
      </c>
      <c r="L383" s="2" t="str">
        <f ca="1">IFERROR(__xludf.DUMMYFUNCTION("""COMPUTED_VALUE"""),"1")</f>
        <v>1</v>
      </c>
      <c r="M383" s="2" t="str">
        <f ca="1">IFERROR(__xludf.DUMMYFUNCTION("""COMPUTED_VALUE"""),"Blanco")</f>
        <v>Blanco</v>
      </c>
    </row>
    <row r="384" spans="1:13" x14ac:dyDescent="0.25">
      <c r="A384" s="2" t="str">
        <f ca="1">IFERROR(__xludf.DUMMYFUNCTION("""COMPUTED_VALUE"""),"6d3395c8")</f>
        <v>6d3395c8</v>
      </c>
      <c r="B384" s="2"/>
      <c r="C384" s="3">
        <f ca="1">IFERROR(__xludf.DUMMYFUNCTION("""COMPUTED_VALUE"""),45744.5108912037)</f>
        <v>45744.510891203703</v>
      </c>
      <c r="D384" s="2">
        <f ca="1">IFERROR(__xludf.DUMMYFUNCTION("""COMPUTED_VALUE"""),85)</f>
        <v>85</v>
      </c>
      <c r="E384" s="2">
        <f ca="1">IFERROR(__xludf.DUMMYFUNCTION("""COMPUTED_VALUE"""),84000)</f>
        <v>84000</v>
      </c>
      <c r="F384" s="2" t="str">
        <f ca="1">IFERROR(__xludf.DUMMYFUNCTION("""COMPUTED_VALUE"""),"Malbec Bonarda")</f>
        <v>Malbec Bonarda</v>
      </c>
      <c r="G384" s="2"/>
      <c r="H384" s="2">
        <f ca="1">IFERROR(__xludf.DUMMYFUNCTION("""COMPUTED_VALUE"""),44600)</f>
        <v>44600</v>
      </c>
      <c r="I384" s="2" t="str">
        <f ca="1">IFERROR(__xludf.DUMMYFUNCTION("""COMPUTED_VALUE"""),"1/4
Olor raro")</f>
        <v>1/4
Olor raro</v>
      </c>
      <c r="J384" s="2" t="str">
        <f ca="1">IFERROR(__xludf.DUMMYFUNCTION("""COMPUTED_VALUE"""),"6021 , 6022 , 6023 , 6024 , 6025 , 6026")</f>
        <v>6021 , 6022 , 6023 , 6024 , 6025 , 6026</v>
      </c>
      <c r="K384" s="2" t="str">
        <f ca="1">IFERROR(__xludf.DUMMYFUNCTION("""COMPUTED_VALUE"""),"Fermentando")</f>
        <v>Fermentando</v>
      </c>
      <c r="L384" s="2"/>
      <c r="M384" s="2"/>
    </row>
    <row r="385" spans="1:13" x14ac:dyDescent="0.25">
      <c r="A385" s="2" t="str">
        <f ca="1">IFERROR(__xludf.DUMMYFUNCTION("""COMPUTED_VALUE"""),"f544d5bf")</f>
        <v>f544d5bf</v>
      </c>
      <c r="B385" s="2"/>
      <c r="C385" s="3">
        <f ca="1">IFERROR(__xludf.DUMMYFUNCTION("""COMPUTED_VALUE"""),45744.5300925925)</f>
        <v>45744.530092592497</v>
      </c>
      <c r="D385" s="2">
        <f ca="1">IFERROR(__xludf.DUMMYFUNCTION("""COMPUTED_VALUE"""),2)</f>
        <v>2</v>
      </c>
      <c r="E385" s="2">
        <f ca="1">IFERROR(__xludf.DUMMYFUNCTION("""COMPUTED_VALUE"""),8400)</f>
        <v>8400</v>
      </c>
      <c r="F385" s="2" t="str">
        <f ca="1">IFERROR(__xludf.DUMMYFUNCTION("""COMPUTED_VALUE"""),"Torrontes tacho Plastico")</f>
        <v>Torrontes tacho Plastico</v>
      </c>
      <c r="G385" s="2">
        <f ca="1">IFERROR(__xludf.DUMMYFUNCTION("""COMPUTED_VALUE"""),0)</f>
        <v>0</v>
      </c>
      <c r="H385" s="2">
        <f ca="1">IFERROR(__xludf.DUMMYFUNCTION("""COMPUTED_VALUE"""),2000)</f>
        <v>2000</v>
      </c>
      <c r="I385" s="2"/>
      <c r="J385" s="2"/>
      <c r="K385" s="2" t="str">
        <f ca="1">IFERROR(__xludf.DUMMYFUNCTION("""COMPUTED_VALUE"""),"Descubada")</f>
        <v>Descubada</v>
      </c>
      <c r="L385" s="2"/>
      <c r="M385" s="2"/>
    </row>
    <row r="386" spans="1:13" x14ac:dyDescent="0.25">
      <c r="A386" s="2" t="str">
        <f ca="1">IFERROR(__xludf.DUMMYFUNCTION("""COMPUTED_VALUE"""),"0ff5115b")</f>
        <v>0ff5115b</v>
      </c>
      <c r="B386" s="2"/>
      <c r="C386" s="3">
        <f ca="1">IFERROR(__xludf.DUMMYFUNCTION("""COMPUTED_VALUE"""),45744.5315393518)</f>
        <v>45744.531539351803</v>
      </c>
      <c r="D386" s="2">
        <f ca="1">IFERROR(__xludf.DUMMYFUNCTION("""COMPUTED_VALUE"""),500)</f>
        <v>500</v>
      </c>
      <c r="E386" s="2">
        <f ca="1">IFERROR(__xludf.DUMMYFUNCTION("""COMPUTED_VALUE"""),200000)</f>
        <v>200000</v>
      </c>
      <c r="F386" s="2" t="str">
        <f ca="1">IFERROR(__xludf.DUMMYFUNCTION("""COMPUTED_VALUE"""),"Ancellotta Tempranillo")</f>
        <v>Ancellotta Tempranillo</v>
      </c>
      <c r="G386" s="2">
        <f ca="1">IFERROR(__xludf.DUMMYFUNCTION("""COMPUTED_VALUE"""),9401)</f>
        <v>9401</v>
      </c>
      <c r="H386" s="2">
        <f ca="1">IFERROR(__xludf.DUMMYFUNCTION("""COMPUTED_VALUE"""),25601)</f>
        <v>25601</v>
      </c>
      <c r="I386" s="2"/>
      <c r="J386" s="2"/>
      <c r="K386" s="2" t="str">
        <f ca="1">IFERROR(__xludf.DUMMYFUNCTION("""COMPUTED_VALUE"""),"Fermentando")</f>
        <v>Fermentando</v>
      </c>
      <c r="L386" s="2"/>
      <c r="M386" s="2"/>
    </row>
    <row r="387" spans="1:13" x14ac:dyDescent="0.25">
      <c r="A387" s="2" t="str">
        <f ca="1">IFERROR(__xludf.DUMMYFUNCTION("""COMPUTED_VALUE"""),"c694d86c")</f>
        <v>c694d86c</v>
      </c>
      <c r="B387" s="2"/>
      <c r="C387" s="3">
        <f ca="1">IFERROR(__xludf.DUMMYFUNCTION("""COMPUTED_VALUE"""),45744.849386574)</f>
        <v>45744.849386574002</v>
      </c>
      <c r="D387" s="2">
        <f ca="1">IFERROR(__xludf.DUMMYFUNCTION("""COMPUTED_VALUE"""),96)</f>
        <v>96</v>
      </c>
      <c r="E387" s="2">
        <f ca="1">IFERROR(__xludf.DUMMYFUNCTION("""COMPUTED_VALUE"""),85600)</f>
        <v>85600</v>
      </c>
      <c r="F387" s="2" t="str">
        <f ca="1">IFERROR(__xludf.DUMMYFUNCTION("""COMPUTED_VALUE"""),"Tinto Criolla Recarga")</f>
        <v>Tinto Criolla Recarga</v>
      </c>
      <c r="G387" s="2">
        <f ca="1">IFERROR(__xludf.DUMMYFUNCTION("""COMPUTED_VALUE"""),0)</f>
        <v>0</v>
      </c>
      <c r="H387" s="2">
        <f ca="1">IFERROR(__xludf.DUMMYFUNCTION("""COMPUTED_VALUE"""),8000)</f>
        <v>8000</v>
      </c>
      <c r="I387" s="2"/>
      <c r="J387" s="2"/>
      <c r="K387" s="2" t="str">
        <f ca="1">IFERROR(__xludf.DUMMYFUNCTION("""COMPUTED_VALUE"""),"Descubada")</f>
        <v>Descubada</v>
      </c>
      <c r="L387" s="2"/>
      <c r="M387" s="2"/>
    </row>
    <row r="388" spans="1:13" x14ac:dyDescent="0.25">
      <c r="A388" s="2" t="str">
        <f ca="1">IFERROR(__xludf.DUMMYFUNCTION("""COMPUTED_VALUE"""),"50c7db36")</f>
        <v>50c7db36</v>
      </c>
      <c r="B388" s="2"/>
      <c r="C388" s="3">
        <f ca="1">IFERROR(__xludf.DUMMYFUNCTION("""COMPUTED_VALUE"""),45744.8499074074)</f>
        <v>45744.849907407399</v>
      </c>
      <c r="D388" s="2">
        <f ca="1">IFERROR(__xludf.DUMMYFUNCTION("""COMPUTED_VALUE"""),96)</f>
        <v>96</v>
      </c>
      <c r="E388" s="2">
        <f ca="1">IFERROR(__xludf.DUMMYFUNCTION("""COMPUTED_VALUE"""),85600)</f>
        <v>85600</v>
      </c>
      <c r="F388" s="2" t="str">
        <f ca="1">IFERROR(__xludf.DUMMYFUNCTION("""COMPUTED_VALUE"""),"Tinto Criolla Recarga")</f>
        <v>Tinto Criolla Recarga</v>
      </c>
      <c r="G388" s="2">
        <f ca="1">IFERROR(__xludf.DUMMYFUNCTION("""COMPUTED_VALUE"""),8000)</f>
        <v>8000</v>
      </c>
      <c r="H388" s="2">
        <f ca="1">IFERROR(__xludf.DUMMYFUNCTION("""COMPUTED_VALUE"""),36000)</f>
        <v>36000</v>
      </c>
      <c r="I388" s="2" t="str">
        <f ca="1">IFERROR(__xludf.DUMMYFUNCTION("""COMPUTED_VALUE"""),"1/4 
Tinto recarga ver trazabilidad")</f>
        <v>1/4 
Tinto recarga ver trazabilidad</v>
      </c>
      <c r="J388" s="2"/>
      <c r="K388" s="2" t="str">
        <f ca="1">IFERROR(__xludf.DUMMYFUNCTION("""COMPUTED_VALUE"""),"Descubada")</f>
        <v>Descubada</v>
      </c>
      <c r="L388" s="2"/>
      <c r="M388" s="2"/>
    </row>
    <row r="389" spans="1:13" x14ac:dyDescent="0.25">
      <c r="A389" s="2" t="str">
        <f ca="1">IFERROR(__xludf.DUMMYFUNCTION("""COMPUTED_VALUE"""),"c2b34610")</f>
        <v>c2b34610</v>
      </c>
      <c r="B389" s="2"/>
      <c r="C389" s="3">
        <f ca="1">IFERROR(__xludf.DUMMYFUNCTION("""COMPUTED_VALUE"""),45744.8624884259)</f>
        <v>45744.862488425897</v>
      </c>
      <c r="D389" s="2">
        <f ca="1">IFERROR(__xludf.DUMMYFUNCTION("""COMPUTED_VALUE"""),69)</f>
        <v>69</v>
      </c>
      <c r="E389" s="2">
        <f ca="1">IFERROR(__xludf.DUMMYFUNCTION("""COMPUTED_VALUE"""),13000)</f>
        <v>13000</v>
      </c>
      <c r="F389" s="2" t="str">
        <f ca="1">IFERROR(__xludf.DUMMYFUNCTION("""COMPUTED_VALUE"""),"Cabernet Sauvignong")</f>
        <v>Cabernet Sauvignong</v>
      </c>
      <c r="G389" s="2"/>
      <c r="H389" s="2">
        <f ca="1">IFERROR(__xludf.DUMMYFUNCTION("""COMPUTED_VALUE"""),5850)</f>
        <v>5850</v>
      </c>
      <c r="I389" s="2"/>
      <c r="J389" s="2">
        <f ca="1">IFERROR(__xludf.DUMMYFUNCTION("""COMPUTED_VALUE"""),6027)</f>
        <v>6027</v>
      </c>
      <c r="K389" s="2" t="str">
        <f ca="1">IFERROR(__xludf.DUMMYFUNCTION("""COMPUTED_VALUE"""),"Fermentando")</f>
        <v>Fermentando</v>
      </c>
      <c r="L389" s="2"/>
      <c r="M389" s="2"/>
    </row>
    <row r="390" spans="1:13" x14ac:dyDescent="0.25">
      <c r="A390" s="2" t="str">
        <f ca="1">IFERROR(__xludf.DUMMYFUNCTION("""COMPUTED_VALUE"""),"c97f270b")</f>
        <v>c97f270b</v>
      </c>
      <c r="B390" s="2"/>
      <c r="C390" s="3">
        <f ca="1">IFERROR(__xludf.DUMMYFUNCTION("""COMPUTED_VALUE"""),45744.8640277777)</f>
        <v>45744.864027777701</v>
      </c>
      <c r="D390" s="2">
        <f ca="1">IFERROR(__xludf.DUMMYFUNCTION("""COMPUTED_VALUE"""),25)</f>
        <v>25</v>
      </c>
      <c r="E390" s="2">
        <f ca="1">IFERROR(__xludf.DUMMYFUNCTION("""COMPUTED_VALUE"""),194300)</f>
        <v>194300</v>
      </c>
      <c r="F390" s="2" t="str">
        <f ca="1">IFERROR(__xludf.DUMMYFUNCTION("""COMPUTED_VALUE"""),"Syrah")</f>
        <v>Syrah</v>
      </c>
      <c r="G390" s="2">
        <f ca="1">IFERROR(__xludf.DUMMYFUNCTION("""COMPUTED_VALUE"""),0)</f>
        <v>0</v>
      </c>
      <c r="H390" s="2">
        <f ca="1">IFERROR(__xludf.DUMMYFUNCTION("""COMPUTED_VALUE"""),36500)</f>
        <v>36500</v>
      </c>
      <c r="I390" s="2"/>
      <c r="J390" s="2"/>
      <c r="K390" s="2" t="str">
        <f ca="1">IFERROR(__xludf.DUMMYFUNCTION("""COMPUTED_VALUE"""),"1er Trasiego")</f>
        <v>1er Trasiego</v>
      </c>
      <c r="L390" s="2"/>
      <c r="M390" s="2"/>
    </row>
    <row r="391" spans="1:13" x14ac:dyDescent="0.25">
      <c r="A391" s="2" t="str">
        <f ca="1">IFERROR(__xludf.DUMMYFUNCTION("""COMPUTED_VALUE"""),"6dd6dc83")</f>
        <v>6dd6dc83</v>
      </c>
      <c r="B391" s="2"/>
      <c r="C391" s="3">
        <f ca="1">IFERROR(__xludf.DUMMYFUNCTION("""COMPUTED_VALUE"""),45744.8645023148)</f>
        <v>45744.864502314798</v>
      </c>
      <c r="D391" s="2">
        <f ca="1">IFERROR(__xludf.DUMMYFUNCTION("""COMPUTED_VALUE"""),25)</f>
        <v>25</v>
      </c>
      <c r="E391" s="2">
        <f ca="1">IFERROR(__xludf.DUMMYFUNCTION("""COMPUTED_VALUE"""),194300)</f>
        <v>194300</v>
      </c>
      <c r="F391" s="2" t="str">
        <f ca="1">IFERROR(__xludf.DUMMYFUNCTION("""COMPUTED_VALUE"""),"Syrah")</f>
        <v>Syrah</v>
      </c>
      <c r="G391" s="2">
        <f ca="1">IFERROR(__xludf.DUMMYFUNCTION("""COMPUTED_VALUE"""),36500)</f>
        <v>36500</v>
      </c>
      <c r="H391" s="2">
        <f ca="1">IFERROR(__xludf.DUMMYFUNCTION("""COMPUTED_VALUE"""),73500)</f>
        <v>73500</v>
      </c>
      <c r="I391" s="2"/>
      <c r="J391" s="2"/>
      <c r="K391" s="2" t="str">
        <f ca="1">IFERROR(__xludf.DUMMYFUNCTION("""COMPUTED_VALUE"""),"1er Trasiego")</f>
        <v>1er Trasiego</v>
      </c>
      <c r="L391" s="2"/>
      <c r="M391" s="2"/>
    </row>
    <row r="392" spans="1:13" x14ac:dyDescent="0.25">
      <c r="A392" s="2" t="str">
        <f ca="1">IFERROR(__xludf.DUMMYFUNCTION("""COMPUTED_VALUE"""),"ec23e3f7")</f>
        <v>ec23e3f7</v>
      </c>
      <c r="B392" s="2"/>
      <c r="C392" s="3">
        <f ca="1">IFERROR(__xludf.DUMMYFUNCTION("""COMPUTED_VALUE"""),45744.8650578703)</f>
        <v>45744.865057870302</v>
      </c>
      <c r="D392" s="2">
        <f ca="1">IFERROR(__xludf.DUMMYFUNCTION("""COMPUTED_VALUE"""),25)</f>
        <v>25</v>
      </c>
      <c r="E392" s="2">
        <f ca="1">IFERROR(__xludf.DUMMYFUNCTION("""COMPUTED_VALUE"""),194300)</f>
        <v>194300</v>
      </c>
      <c r="F392" s="2" t="str">
        <f ca="1">IFERROR(__xludf.DUMMYFUNCTION("""COMPUTED_VALUE"""),"Syrah")</f>
        <v>Syrah</v>
      </c>
      <c r="G392" s="2">
        <f ca="1">IFERROR(__xludf.DUMMYFUNCTION("""COMPUTED_VALUE"""),73500)</f>
        <v>73500</v>
      </c>
      <c r="H392" s="2">
        <f ca="1">IFERROR(__xludf.DUMMYFUNCTION("""COMPUTED_VALUE"""),109500)</f>
        <v>109500</v>
      </c>
      <c r="I392" s="2"/>
      <c r="J392" s="2"/>
      <c r="K392" s="2" t="str">
        <f ca="1">IFERROR(__xludf.DUMMYFUNCTION("""COMPUTED_VALUE"""),"1er Trasiego")</f>
        <v>1er Trasiego</v>
      </c>
      <c r="L392" s="2"/>
      <c r="M392" s="2"/>
    </row>
    <row r="393" spans="1:13" x14ac:dyDescent="0.25">
      <c r="A393" s="2" t="str">
        <f ca="1">IFERROR(__xludf.DUMMYFUNCTION("""COMPUTED_VALUE"""),"bc837f92")</f>
        <v>bc837f92</v>
      </c>
      <c r="B393" s="2"/>
      <c r="C393" s="3">
        <f ca="1">IFERROR(__xludf.DUMMYFUNCTION("""COMPUTED_VALUE"""),45744.8653703703)</f>
        <v>45744.865370370302</v>
      </c>
      <c r="D393" s="2">
        <f ca="1">IFERROR(__xludf.DUMMYFUNCTION("""COMPUTED_VALUE"""),25)</f>
        <v>25</v>
      </c>
      <c r="E393" s="2">
        <f ca="1">IFERROR(__xludf.DUMMYFUNCTION("""COMPUTED_VALUE"""),194300)</f>
        <v>194300</v>
      </c>
      <c r="F393" s="2" t="str">
        <f ca="1">IFERROR(__xludf.DUMMYFUNCTION("""COMPUTED_VALUE"""),"Syrah")</f>
        <v>Syrah</v>
      </c>
      <c r="G393" s="2">
        <f ca="1">IFERROR(__xludf.DUMMYFUNCTION("""COMPUTED_VALUE"""),109500)</f>
        <v>109500</v>
      </c>
      <c r="H393" s="2">
        <f ca="1">IFERROR(__xludf.DUMMYFUNCTION("""COMPUTED_VALUE"""),149000)</f>
        <v>149000</v>
      </c>
      <c r="I393" s="2"/>
      <c r="J393" s="2"/>
      <c r="K393" s="2" t="str">
        <f ca="1">IFERROR(__xludf.DUMMYFUNCTION("""COMPUTED_VALUE"""),"1er Trasiego")</f>
        <v>1er Trasiego</v>
      </c>
      <c r="L393" s="2"/>
      <c r="M393" s="2"/>
    </row>
    <row r="394" spans="1:13" x14ac:dyDescent="0.25">
      <c r="A394" s="2" t="str">
        <f ca="1">IFERROR(__xludf.DUMMYFUNCTION("""COMPUTED_VALUE"""),"a6d28e88")</f>
        <v>a6d28e88</v>
      </c>
      <c r="B394" s="2"/>
      <c r="C394" s="3">
        <f ca="1">IFERROR(__xludf.DUMMYFUNCTION("""COMPUTED_VALUE"""),45745.5011458333)</f>
        <v>45745.501145833303</v>
      </c>
      <c r="D394" s="2">
        <f ca="1">IFERROR(__xludf.DUMMYFUNCTION("""COMPUTED_VALUE"""),25)</f>
        <v>25</v>
      </c>
      <c r="E394" s="2">
        <f ca="1">IFERROR(__xludf.DUMMYFUNCTION("""COMPUTED_VALUE"""),194300)</f>
        <v>194300</v>
      </c>
      <c r="F394" s="2" t="str">
        <f ca="1">IFERROR(__xludf.DUMMYFUNCTION("""COMPUTED_VALUE"""),"Syrah")</f>
        <v>Syrah</v>
      </c>
      <c r="G394" s="2">
        <f ca="1">IFERROR(__xludf.DUMMYFUNCTION("""COMPUTED_VALUE"""),149000)</f>
        <v>149000</v>
      </c>
      <c r="H394" s="2">
        <f ca="1">IFERROR(__xludf.DUMMYFUNCTION("""COMPUTED_VALUE"""),194300)</f>
        <v>194300</v>
      </c>
      <c r="I394" s="2" t="str">
        <f ca="1">IFERROR(__xludf.DUMMYFUNCTION("""COMPUTED_VALUE"""),"14/5
rico
4/4
Lindo color, está rico")</f>
        <v>14/5
rico
4/4
Lindo color, está rico</v>
      </c>
      <c r="J394" s="2"/>
      <c r="K394" s="2" t="str">
        <f ca="1">IFERROR(__xludf.DUMMYFUNCTION("""COMPUTED_VALUE"""),"1er Trasiego")</f>
        <v>1er Trasiego</v>
      </c>
      <c r="L394" s="2" t="str">
        <f ca="1">IFERROR(__xludf.DUMMYFUNCTION("""COMPUTED_VALUE"""),"1")</f>
        <v>1</v>
      </c>
      <c r="M394" s="2"/>
    </row>
    <row r="395" spans="1:13" x14ac:dyDescent="0.25">
      <c r="A395" s="2" t="str">
        <f ca="1">IFERROR(__xludf.DUMMYFUNCTION("""COMPUTED_VALUE"""),"d557e5fd")</f>
        <v>d557e5fd</v>
      </c>
      <c r="B395" s="2"/>
      <c r="C395" s="3">
        <f ca="1">IFERROR(__xludf.DUMMYFUNCTION("""COMPUTED_VALUE"""),45745.5014467592)</f>
        <v>45745.501446759197</v>
      </c>
      <c r="D395" s="2">
        <f ca="1">IFERROR(__xludf.DUMMYFUNCTION("""COMPUTED_VALUE"""),11)</f>
        <v>11</v>
      </c>
      <c r="E395" s="2">
        <f ca="1">IFERROR(__xludf.DUMMYFUNCTION("""COMPUTED_VALUE"""),36000)</f>
        <v>36000</v>
      </c>
      <c r="F395" s="2" t="str">
        <f ca="1">IFERROR(__xludf.DUMMYFUNCTION("""COMPUTED_VALUE"""),"Syrah s/Asp 3ra")</f>
        <v>Syrah s/Asp 3ra</v>
      </c>
      <c r="G395" s="2">
        <f ca="1">IFERROR(__xludf.DUMMYFUNCTION("""COMPUTED_VALUE"""),0)</f>
        <v>0</v>
      </c>
      <c r="H395" s="2">
        <f ca="1">IFERROR(__xludf.DUMMYFUNCTION("""COMPUTED_VALUE"""),36000)</f>
        <v>36000</v>
      </c>
      <c r="I395" s="2" t="str">
        <f ca="1">IFERROR(__xludf.DUMMYFUNCTION("""COMPUTED_VALUE"""),"8/4 corregir volymen")</f>
        <v>8/4 corregir volymen</v>
      </c>
      <c r="J395" s="2"/>
      <c r="K395" s="2" t="str">
        <f ca="1">IFERROR(__xludf.DUMMYFUNCTION("""COMPUTED_VALUE"""),"Descubada")</f>
        <v>Descubada</v>
      </c>
      <c r="L395" s="2"/>
      <c r="M395" s="2"/>
    </row>
    <row r="396" spans="1:13" x14ac:dyDescent="0.25">
      <c r="A396" s="2" t="str">
        <f ca="1">IFERROR(__xludf.DUMMYFUNCTION("""COMPUTED_VALUE"""),"d251428e")</f>
        <v>d251428e</v>
      </c>
      <c r="B396" s="2"/>
      <c r="C396" s="3">
        <f ca="1">IFERROR(__xludf.DUMMYFUNCTION("""COMPUTED_VALUE"""),45745.5023148148)</f>
        <v>45745.502314814803</v>
      </c>
      <c r="D396" s="2">
        <f ca="1">IFERROR(__xludf.DUMMYFUNCTION("""COMPUTED_VALUE"""),110)</f>
        <v>110</v>
      </c>
      <c r="E396" s="2">
        <f ca="1">IFERROR(__xludf.DUMMYFUNCTION("""COMPUTED_VALUE"""),15600)</f>
        <v>15600</v>
      </c>
      <c r="F396" s="2" t="str">
        <f ca="1">IFERROR(__xludf.DUMMYFUNCTION("""COMPUTED_VALUE"""),"Borra")</f>
        <v>Borra</v>
      </c>
      <c r="G396" s="2">
        <f ca="1">IFERROR(__xludf.DUMMYFUNCTION("""COMPUTED_VALUE"""),8800)</f>
        <v>8800</v>
      </c>
      <c r="H396" s="2">
        <f ca="1">IFERROR(__xludf.DUMMYFUNCTION("""COMPUTED_VALUE"""),15600)</f>
        <v>15600</v>
      </c>
      <c r="I396" s="2"/>
      <c r="J396" s="2"/>
      <c r="K396" s="2" t="str">
        <f ca="1">IFERROR(__xludf.DUMMYFUNCTION("""COMPUTED_VALUE"""),"Descubada")</f>
        <v>Descubada</v>
      </c>
      <c r="L396" s="2"/>
      <c r="M396" s="2"/>
    </row>
    <row r="397" spans="1:13" x14ac:dyDescent="0.25">
      <c r="A397" s="2" t="str">
        <f ca="1">IFERROR(__xludf.DUMMYFUNCTION("""COMPUTED_VALUE"""),"857f0b04")</f>
        <v>857f0b04</v>
      </c>
      <c r="B397" s="2"/>
      <c r="C397" s="3">
        <f ca="1">IFERROR(__xludf.DUMMYFUNCTION("""COMPUTED_VALUE"""),45747.7576273148)</f>
        <v>45747.757627314801</v>
      </c>
      <c r="D397" s="2">
        <f ca="1">IFERROR(__xludf.DUMMYFUNCTION("""COMPUTED_VALUE"""),92)</f>
        <v>92</v>
      </c>
      <c r="E397" s="2">
        <f ca="1">IFERROR(__xludf.DUMMYFUNCTION("""COMPUTED_VALUE"""),76000)</f>
        <v>76000</v>
      </c>
      <c r="F397" s="2" t="str">
        <f ca="1">IFERROR(__xludf.DUMMYFUNCTION("""COMPUTED_VALUE"""),"Malbec")</f>
        <v>Malbec</v>
      </c>
      <c r="G397" s="2">
        <f ca="1">IFERROR(__xludf.DUMMYFUNCTION("""COMPUTED_VALUE"""),39000)</f>
        <v>39000</v>
      </c>
      <c r="H397" s="2">
        <f ca="1">IFERROR(__xludf.DUMMYFUNCTION("""COMPUTED_VALUE"""),46300)</f>
        <v>46300</v>
      </c>
      <c r="I397" s="2" t="str">
        <f ca="1">IFERROR(__xludf.DUMMYFUNCTION("""COMPUTED_VALUE"""),"1/4 
Bueno. Fermentando")</f>
        <v>1/4 
Bueno. Fermentando</v>
      </c>
      <c r="J397" s="2"/>
      <c r="K397" s="2" t="str">
        <f ca="1">IFERROR(__xludf.DUMMYFUNCTION("""COMPUTED_VALUE"""),"Fermentando")</f>
        <v>Fermentando</v>
      </c>
      <c r="L397" s="2"/>
      <c r="M397" s="2"/>
    </row>
    <row r="398" spans="1:13" x14ac:dyDescent="0.25">
      <c r="A398" s="2" t="str">
        <f ca="1">IFERROR(__xludf.DUMMYFUNCTION("""COMPUTED_VALUE"""),"0420c80a")</f>
        <v>0420c80a</v>
      </c>
      <c r="B398" s="2"/>
      <c r="C398" s="3">
        <f ca="1">IFERROR(__xludf.DUMMYFUNCTION("""COMPUTED_VALUE"""),45747.7580208333)</f>
        <v>45747.758020833302</v>
      </c>
      <c r="D398" s="2">
        <f ca="1">IFERROR(__xludf.DUMMYFUNCTION("""COMPUTED_VALUE"""),91)</f>
        <v>91</v>
      </c>
      <c r="E398" s="2">
        <f ca="1">IFERROR(__xludf.DUMMYFUNCTION("""COMPUTED_VALUE"""),86000)</f>
        <v>86000</v>
      </c>
      <c r="F398" s="2" t="str">
        <f ca="1">IFERROR(__xludf.DUMMYFUNCTION("""COMPUTED_VALUE"""),"Bonarda")</f>
        <v>Bonarda</v>
      </c>
      <c r="G398" s="2">
        <f ca="1">IFERROR(__xludf.DUMMYFUNCTION("""COMPUTED_VALUE"""),49700)</f>
        <v>49700</v>
      </c>
      <c r="H398" s="2">
        <f ca="1">IFERROR(__xludf.DUMMYFUNCTION("""COMPUTED_VALUE"""),59300)</f>
        <v>59300</v>
      </c>
      <c r="I398" s="2" t="str">
        <f ca="1">IFERROR(__xludf.DUMMYFUNCTION("""COMPUTED_VALUE"""),"1/4
Se puede desvinar para recargar con criolla")</f>
        <v>1/4
Se puede desvinar para recargar con criolla</v>
      </c>
      <c r="J398" s="2"/>
      <c r="K398" s="2" t="str">
        <f ca="1">IFERROR(__xludf.DUMMYFUNCTION("""COMPUTED_VALUE"""),"Fermentando")</f>
        <v>Fermentando</v>
      </c>
      <c r="L398" s="2"/>
      <c r="M398" s="2"/>
    </row>
    <row r="399" spans="1:13" x14ac:dyDescent="0.25">
      <c r="A399" s="2" t="str">
        <f ca="1">IFERROR(__xludf.DUMMYFUNCTION("""COMPUTED_VALUE"""),"380532ea")</f>
        <v>380532ea</v>
      </c>
      <c r="B399" s="2"/>
      <c r="C399" s="3">
        <f ca="1">IFERROR(__xludf.DUMMYFUNCTION("""COMPUTED_VALUE"""),45747.7599074074)</f>
        <v>45747.759907407402</v>
      </c>
      <c r="D399" s="2">
        <f ca="1">IFERROR(__xludf.DUMMYFUNCTION("""COMPUTED_VALUE"""),69)</f>
        <v>69</v>
      </c>
      <c r="E399" s="2">
        <f ca="1">IFERROR(__xludf.DUMMYFUNCTION("""COMPUTED_VALUE"""),13000)</f>
        <v>13000</v>
      </c>
      <c r="F399" s="2" t="str">
        <f ca="1">IFERROR(__xludf.DUMMYFUNCTION("""COMPUTED_VALUE"""),"Cabernet Sauvignong")</f>
        <v>Cabernet Sauvignong</v>
      </c>
      <c r="G399" s="2">
        <f ca="1">IFERROR(__xludf.DUMMYFUNCTION("""COMPUTED_VALUE"""),5850)</f>
        <v>5850</v>
      </c>
      <c r="H399" s="2">
        <f ca="1">IFERROR(__xludf.DUMMYFUNCTION("""COMPUTED_VALUE"""),7650)</f>
        <v>7650</v>
      </c>
      <c r="I399" s="2"/>
      <c r="J399" s="2"/>
      <c r="K399" s="2" t="str">
        <f ca="1">IFERROR(__xludf.DUMMYFUNCTION("""COMPUTED_VALUE"""),"Fermentando")</f>
        <v>Fermentando</v>
      </c>
      <c r="L399" s="2"/>
      <c r="M399" s="2"/>
    </row>
    <row r="400" spans="1:13" x14ac:dyDescent="0.25">
      <c r="A400" s="2" t="str">
        <f ca="1">IFERROR(__xludf.DUMMYFUNCTION("""COMPUTED_VALUE"""),"520b940d")</f>
        <v>520b940d</v>
      </c>
      <c r="B400" s="2"/>
      <c r="C400" s="3">
        <f ca="1">IFERROR(__xludf.DUMMYFUNCTION("""COMPUTED_VALUE"""),45747.795011574)</f>
        <v>45747.795011574002</v>
      </c>
      <c r="D400" s="2">
        <f ca="1">IFERROR(__xludf.DUMMYFUNCTION("""COMPUTED_VALUE"""),125)</f>
        <v>125</v>
      </c>
      <c r="E400" s="2">
        <f ca="1">IFERROR(__xludf.DUMMYFUNCTION("""COMPUTED_VALUE"""),31000)</f>
        <v>31000</v>
      </c>
      <c r="F400" s="2" t="str">
        <f ca="1">IFERROR(__xludf.DUMMYFUNCTION("""COMPUTED_VALUE"""),"Malbec 24")</f>
        <v>Malbec 24</v>
      </c>
      <c r="G400" s="2">
        <f ca="1">IFERROR(__xludf.DUMMYFUNCTION("""COMPUTED_VALUE"""),0)</f>
        <v>0</v>
      </c>
      <c r="H400" s="2">
        <f ca="1">IFERROR(__xludf.DUMMYFUNCTION("""COMPUTED_VALUE"""),6700)</f>
        <v>6700</v>
      </c>
      <c r="I400" s="2"/>
      <c r="J400" s="2"/>
      <c r="K400" s="2" t="str">
        <f ca="1">IFERROR(__xludf.DUMMYFUNCTION("""COMPUTED_VALUE"""),"Terminado")</f>
        <v>Terminado</v>
      </c>
      <c r="L400" s="2"/>
      <c r="M400" s="2"/>
    </row>
    <row r="401" spans="1:13" x14ac:dyDescent="0.25">
      <c r="A401" s="2" t="str">
        <f ca="1">IFERROR(__xludf.DUMMYFUNCTION("""COMPUTED_VALUE"""),"e01e8aa7")</f>
        <v>e01e8aa7</v>
      </c>
      <c r="B401" s="2"/>
      <c r="C401" s="3">
        <f ca="1">IFERROR(__xludf.DUMMYFUNCTION("""COMPUTED_VALUE"""),45747.7954282407)</f>
        <v>45747.795428240701</v>
      </c>
      <c r="D401" s="2">
        <f ca="1">IFERROR(__xludf.DUMMYFUNCTION("""COMPUTED_VALUE"""),125)</f>
        <v>125</v>
      </c>
      <c r="E401" s="2">
        <f ca="1">IFERROR(__xludf.DUMMYFUNCTION("""COMPUTED_VALUE"""),31000)</f>
        <v>31000</v>
      </c>
      <c r="F401" s="2" t="str">
        <f ca="1">IFERROR(__xludf.DUMMYFUNCTION("""COMPUTED_VALUE"""),"Malbec 24")</f>
        <v>Malbec 24</v>
      </c>
      <c r="G401" s="2">
        <f ca="1">IFERROR(__xludf.DUMMYFUNCTION("""COMPUTED_VALUE"""),6700)</f>
        <v>6700</v>
      </c>
      <c r="H401" s="2">
        <f ca="1">IFERROR(__xludf.DUMMYFUNCTION("""COMPUTED_VALUE"""),8300)</f>
        <v>8300</v>
      </c>
      <c r="I401" s="2"/>
      <c r="J401" s="2"/>
      <c r="K401" s="2" t="str">
        <f ca="1">IFERROR(__xludf.DUMMYFUNCTION("""COMPUTED_VALUE"""),"Terminado")</f>
        <v>Terminado</v>
      </c>
      <c r="L401" s="2"/>
      <c r="M401" s="2"/>
    </row>
    <row r="402" spans="1:13" x14ac:dyDescent="0.25">
      <c r="A402" s="2" t="str">
        <f ca="1">IFERROR(__xludf.DUMMYFUNCTION("""COMPUTED_VALUE"""),"1f683a42")</f>
        <v>1f683a42</v>
      </c>
      <c r="B402" s="2"/>
      <c r="C402" s="3">
        <f ca="1">IFERROR(__xludf.DUMMYFUNCTION("""COMPUTED_VALUE"""),45747.7961921296)</f>
        <v>45747.796192129601</v>
      </c>
      <c r="D402" s="2">
        <f ca="1">IFERROR(__xludf.DUMMYFUNCTION("""COMPUTED_VALUE"""),74)</f>
        <v>74</v>
      </c>
      <c r="E402" s="2">
        <f ca="1">IFERROR(__xludf.DUMMYFUNCTION("""COMPUTED_VALUE"""),13000)</f>
        <v>13000</v>
      </c>
      <c r="F402" s="2" t="str">
        <f ca="1">IFERROR(__xludf.DUMMYFUNCTION("""COMPUTED_VALUE"""),"Malbec 24")</f>
        <v>Malbec 24</v>
      </c>
      <c r="G402" s="2">
        <f ca="1">IFERROR(__xludf.DUMMYFUNCTION("""COMPUTED_VALUE"""),6300)</f>
        <v>6300</v>
      </c>
      <c r="H402" s="2">
        <f ca="1">IFERROR(__xludf.DUMMYFUNCTION("""COMPUTED_VALUE"""),7340)</f>
        <v>7340</v>
      </c>
      <c r="I402" s="2"/>
      <c r="J402" s="2"/>
      <c r="K402" s="2" t="str">
        <f ca="1">IFERROR(__xludf.DUMMYFUNCTION("""COMPUTED_VALUE"""),"Terminado")</f>
        <v>Terminado</v>
      </c>
      <c r="L402" s="2"/>
      <c r="M402" s="2"/>
    </row>
    <row r="403" spans="1:13" x14ac:dyDescent="0.25">
      <c r="A403" s="2" t="str">
        <f ca="1">IFERROR(__xludf.DUMMYFUNCTION("""COMPUTED_VALUE"""),"650c1db7")</f>
        <v>650c1db7</v>
      </c>
      <c r="B403" s="2"/>
      <c r="C403" s="3">
        <f ca="1">IFERROR(__xludf.DUMMYFUNCTION("""COMPUTED_VALUE"""),45747.7964467592)</f>
        <v>45747.796446759203</v>
      </c>
      <c r="D403" s="2">
        <f ca="1">IFERROR(__xludf.DUMMYFUNCTION("""COMPUTED_VALUE"""),111)</f>
        <v>111</v>
      </c>
      <c r="E403" s="2">
        <f ca="1">IFERROR(__xludf.DUMMYFUNCTION("""COMPUTED_VALUE"""),4000)</f>
        <v>4000</v>
      </c>
      <c r="F403" s="2" t="str">
        <f ca="1">IFERROR(__xludf.DUMMYFUNCTION("""COMPUTED_VALUE"""),"Malbec Magneta")</f>
        <v>Malbec Magneta</v>
      </c>
      <c r="G403" s="2">
        <f ca="1">IFERROR(__xludf.DUMMYFUNCTION("""COMPUTED_VALUE"""),2400)</f>
        <v>2400</v>
      </c>
      <c r="H403" s="2">
        <f ca="1">IFERROR(__xludf.DUMMYFUNCTION("""COMPUTED_VALUE"""),3200)</f>
        <v>3200</v>
      </c>
      <c r="I403" s="2"/>
      <c r="J403" s="2"/>
      <c r="K403" s="2" t="str">
        <f ca="1">IFERROR(__xludf.DUMMYFUNCTION("""COMPUTED_VALUE"""),"Terminado")</f>
        <v>Terminado</v>
      </c>
      <c r="L403" s="2"/>
      <c r="M403" s="2"/>
    </row>
    <row r="404" spans="1:13" x14ac:dyDescent="0.25">
      <c r="A404" s="2" t="str">
        <f ca="1">IFERROR(__xludf.DUMMYFUNCTION("""COMPUTED_VALUE"""),"8b30dc4c")</f>
        <v>8b30dc4c</v>
      </c>
      <c r="B404" s="2"/>
      <c r="C404" s="3">
        <f ca="1">IFERROR(__xludf.DUMMYFUNCTION("""COMPUTED_VALUE"""),45747.796886574)</f>
        <v>45747.796886573997</v>
      </c>
      <c r="D404" s="2">
        <f ca="1">IFERROR(__xludf.DUMMYFUNCTION("""COMPUTED_VALUE"""),74)</f>
        <v>74</v>
      </c>
      <c r="E404" s="2">
        <f ca="1">IFERROR(__xludf.DUMMYFUNCTION("""COMPUTED_VALUE"""),13000)</f>
        <v>13000</v>
      </c>
      <c r="F404" s="2" t="str">
        <f ca="1">IFERROR(__xludf.DUMMYFUNCTION("""COMPUTED_VALUE"""),"Malbec Montecepas 24")</f>
        <v>Malbec Montecepas 24</v>
      </c>
      <c r="G404" s="2">
        <f ca="1">IFERROR(__xludf.DUMMYFUNCTION("""COMPUTED_VALUE"""),7340)</f>
        <v>7340</v>
      </c>
      <c r="H404" s="2">
        <f ca="1">IFERROR(__xludf.DUMMYFUNCTION("""COMPUTED_VALUE"""),13000)</f>
        <v>13000</v>
      </c>
      <c r="I404" s="2" t="str">
        <f ca="1">IFERROR(__xludf.DUMMYFUNCTION("""COMPUTED_VALUE"""),"1/4
 Falta rellenar. Que se rellene de la 51 Tanat")</f>
        <v>1/4
 Falta rellenar. Que se rellene de la 51 Tanat</v>
      </c>
      <c r="J404" s="2"/>
      <c r="K404" s="2" t="str">
        <f ca="1">IFERROR(__xludf.DUMMYFUNCTION("""COMPUTED_VALUE"""),"Terminado")</f>
        <v>Terminado</v>
      </c>
      <c r="L404" s="2" t="str">
        <f ca="1">IFERROR(__xludf.DUMMYFUNCTION("""COMPUTED_VALUE"""),"1+")</f>
        <v>1+</v>
      </c>
      <c r="M404" s="2" t="str">
        <f ca="1">IFERROR(__xludf.DUMMYFUNCTION("""COMPUTED_VALUE"""),"Tinto")</f>
        <v>Tinto</v>
      </c>
    </row>
    <row r="405" spans="1:13" x14ac:dyDescent="0.25">
      <c r="A405" s="2" t="str">
        <f ca="1">IFERROR(__xludf.DUMMYFUNCTION("""COMPUTED_VALUE"""),"a4c9e3f8")</f>
        <v>a4c9e3f8</v>
      </c>
      <c r="B405" s="2"/>
      <c r="C405" s="3">
        <f ca="1">IFERROR(__xludf.DUMMYFUNCTION("""COMPUTED_VALUE"""),45747.7978703703)</f>
        <v>45747.797870370297</v>
      </c>
      <c r="D405" s="2">
        <f ca="1">IFERROR(__xludf.DUMMYFUNCTION("""COMPUTED_VALUE"""),111)</f>
        <v>111</v>
      </c>
      <c r="E405" s="2">
        <f ca="1">IFERROR(__xludf.DUMMYFUNCTION("""COMPUTED_VALUE"""),4000)</f>
        <v>4000</v>
      </c>
      <c r="F405" s="2" t="str">
        <f ca="1">IFERROR(__xludf.DUMMYFUNCTION("""COMPUTED_VALUE"""),"Malbec Magneta")</f>
        <v>Malbec Magneta</v>
      </c>
      <c r="G405" s="2">
        <f ca="1">IFERROR(__xludf.DUMMYFUNCTION("""COMPUTED_VALUE"""),3200)</f>
        <v>3200</v>
      </c>
      <c r="H405" s="2">
        <f ca="1">IFERROR(__xludf.DUMMYFUNCTION("""COMPUTED_VALUE"""),3600)</f>
        <v>3600</v>
      </c>
      <c r="I405" s="2"/>
      <c r="J405" s="2"/>
      <c r="K405" s="2" t="str">
        <f ca="1">IFERROR(__xludf.DUMMYFUNCTION("""COMPUTED_VALUE"""),"Terminado")</f>
        <v>Terminado</v>
      </c>
      <c r="L405" s="2"/>
      <c r="M405" s="2"/>
    </row>
    <row r="406" spans="1:13" x14ac:dyDescent="0.25">
      <c r="A406" s="2" t="str">
        <f ca="1">IFERROR(__xludf.DUMMYFUNCTION("""COMPUTED_VALUE"""),"3f3e8ee6")</f>
        <v>3f3e8ee6</v>
      </c>
      <c r="B406" s="2"/>
      <c r="C406" s="3">
        <f ca="1">IFERROR(__xludf.DUMMYFUNCTION("""COMPUTED_VALUE"""),45747.7983449074)</f>
        <v>45747.798344907402</v>
      </c>
      <c r="D406" s="2">
        <f ca="1">IFERROR(__xludf.DUMMYFUNCTION("""COMPUTED_VALUE"""),111)</f>
        <v>111</v>
      </c>
      <c r="E406" s="2">
        <f ca="1">IFERROR(__xludf.DUMMYFUNCTION("""COMPUTED_VALUE"""),4000)</f>
        <v>4000</v>
      </c>
      <c r="F406" s="2" t="str">
        <f ca="1">IFERROR(__xludf.DUMMYFUNCTION("""COMPUTED_VALUE"""),"Malbec Magneta")</f>
        <v>Malbec Magneta</v>
      </c>
      <c r="G406" s="2">
        <f ca="1">IFERROR(__xludf.DUMMYFUNCTION("""COMPUTED_VALUE"""),3600)</f>
        <v>3600</v>
      </c>
      <c r="H406" s="2">
        <f ca="1">IFERROR(__xludf.DUMMYFUNCTION("""COMPUTED_VALUE"""),4000)</f>
        <v>4000</v>
      </c>
      <c r="I406" s="2" t="str">
        <f ca="1">IFERROR(__xludf.DUMMYFUNCTION("""COMPUTED_VALUE"""),"1/4
Mejoro los rojos.
Poner las duelas del 74 para recuperar algo de madera.")</f>
        <v>1/4
Mejoro los rojos.
Poner las duelas del 74 para recuperar algo de madera.</v>
      </c>
      <c r="J406" s="2"/>
      <c r="K406" s="2" t="str">
        <f ca="1">IFERROR(__xludf.DUMMYFUNCTION("""COMPUTED_VALUE"""),"Terminado")</f>
        <v>Terminado</v>
      </c>
      <c r="L406" s="2"/>
      <c r="M406" s="2" t="str">
        <f ca="1">IFERROR(__xludf.DUMMYFUNCTION("""COMPUTED_VALUE"""),"Tinto")</f>
        <v>Tinto</v>
      </c>
    </row>
    <row r="407" spans="1:13" x14ac:dyDescent="0.25">
      <c r="A407" s="2" t="str">
        <f ca="1">IFERROR(__xludf.DUMMYFUNCTION("""COMPUTED_VALUE"""),"290ee918")</f>
        <v>290ee918</v>
      </c>
      <c r="B407" s="2"/>
      <c r="C407" s="3">
        <f ca="1">IFERROR(__xludf.DUMMYFUNCTION("""COMPUTED_VALUE"""),45747.7996759259)</f>
        <v>45747.799675925897</v>
      </c>
      <c r="D407" s="2">
        <f ca="1">IFERROR(__xludf.DUMMYFUNCTION("""COMPUTED_VALUE"""),103)</f>
        <v>103</v>
      </c>
      <c r="E407" s="2">
        <f ca="1">IFERROR(__xludf.DUMMYFUNCTION("""COMPUTED_VALUE"""),31000)</f>
        <v>31000</v>
      </c>
      <c r="F407" s="2" t="str">
        <f ca="1">IFERROR(__xludf.DUMMYFUNCTION("""COMPUTED_VALUE"""),"Anccelotta")</f>
        <v>Anccelotta</v>
      </c>
      <c r="G407" s="2">
        <f ca="1">IFERROR(__xludf.DUMMYFUNCTION("""COMPUTED_VALUE"""),23940)</f>
        <v>23940</v>
      </c>
      <c r="H407" s="2">
        <f ca="1">IFERROR(__xludf.DUMMYFUNCTION("""COMPUTED_VALUE"""),31000)</f>
        <v>31000</v>
      </c>
      <c r="I407" s="2"/>
      <c r="J407" s="2"/>
      <c r="K407" s="2" t="str">
        <f ca="1">IFERROR(__xludf.DUMMYFUNCTION("""COMPUTED_VALUE"""),"Descubada")</f>
        <v>Descubada</v>
      </c>
      <c r="L407" s="2"/>
      <c r="M407" s="2"/>
    </row>
    <row r="408" spans="1:13" x14ac:dyDescent="0.25">
      <c r="A408" s="2" t="str">
        <f ca="1">IFERROR(__xludf.DUMMYFUNCTION("""COMPUTED_VALUE"""),"8fc418d7")</f>
        <v>8fc418d7</v>
      </c>
      <c r="B408" s="2"/>
      <c r="C408" s="3">
        <f ca="1">IFERROR(__xludf.DUMMYFUNCTION("""COMPUTED_VALUE"""),45748.6752314814)</f>
        <v>45748.6752314814</v>
      </c>
      <c r="D408" s="2">
        <f ca="1">IFERROR(__xludf.DUMMYFUNCTION("""COMPUTED_VALUE"""),500)</f>
        <v>500</v>
      </c>
      <c r="E408" s="2">
        <f ca="1">IFERROR(__xludf.DUMMYFUNCTION("""COMPUTED_VALUE"""),200000)</f>
        <v>200000</v>
      </c>
      <c r="F408" s="2" t="str">
        <f ca="1">IFERROR(__xludf.DUMMYFUNCTION("""COMPUTED_VALUE"""),"Ajuste arqueo 24/03/25")</f>
        <v>Ajuste arqueo 24/03/25</v>
      </c>
      <c r="G408" s="2">
        <f ca="1">IFERROR(__xludf.DUMMYFUNCTION("""COMPUTED_VALUE"""),25601)</f>
        <v>25601</v>
      </c>
      <c r="H408" s="2">
        <f ca="1">IFERROR(__xludf.DUMMYFUNCTION("""COMPUTED_VALUE"""),22801)</f>
        <v>22801</v>
      </c>
      <c r="I408" s="2"/>
      <c r="J408" s="2"/>
      <c r="K408" s="2" t="str">
        <f ca="1">IFERROR(__xludf.DUMMYFUNCTION("""COMPUTED_VALUE"""),"Fermentando")</f>
        <v>Fermentando</v>
      </c>
      <c r="L408" s="2"/>
      <c r="M408" s="2"/>
    </row>
    <row r="409" spans="1:13" x14ac:dyDescent="0.25">
      <c r="A409" s="2" t="str">
        <f ca="1">IFERROR(__xludf.DUMMYFUNCTION("""COMPUTED_VALUE"""),"c7ecff86")</f>
        <v>c7ecff86</v>
      </c>
      <c r="B409" s="2"/>
      <c r="C409" s="3">
        <f ca="1">IFERROR(__xludf.DUMMYFUNCTION("""COMPUTED_VALUE"""),45748.6761574074)</f>
        <v>45748.676157407397</v>
      </c>
      <c r="D409" s="2">
        <f ca="1">IFERROR(__xludf.DUMMYFUNCTION("""COMPUTED_VALUE"""),49)</f>
        <v>49</v>
      </c>
      <c r="E409" s="2">
        <f ca="1">IFERROR(__xludf.DUMMYFUNCTION("""COMPUTED_VALUE"""),26000)</f>
        <v>26000</v>
      </c>
      <c r="F409" s="2" t="str">
        <f ca="1">IFERROR(__xludf.DUMMYFUNCTION("""COMPUTED_VALUE"""),"Bonarda Gota")</f>
        <v>Bonarda Gota</v>
      </c>
      <c r="G409" s="2">
        <f ca="1">IFERROR(__xludf.DUMMYFUNCTION("""COMPUTED_VALUE"""),0)</f>
        <v>0</v>
      </c>
      <c r="H409" s="2">
        <f ca="1">IFERROR(__xludf.DUMMYFUNCTION("""COMPUTED_VALUE"""),20800)</f>
        <v>20800</v>
      </c>
      <c r="I409" s="2"/>
      <c r="J409" s="2"/>
      <c r="K409" s="2" t="str">
        <f ca="1">IFERROR(__xludf.DUMMYFUNCTION("""COMPUTED_VALUE"""),"Descubada")</f>
        <v>Descubada</v>
      </c>
      <c r="L409" s="2"/>
      <c r="M409" s="2"/>
    </row>
    <row r="410" spans="1:13" x14ac:dyDescent="0.25">
      <c r="A410" s="2" t="str">
        <f ca="1">IFERROR(__xludf.DUMMYFUNCTION("""COMPUTED_VALUE"""),"d7991cf5")</f>
        <v>d7991cf5</v>
      </c>
      <c r="B410" s="2"/>
      <c r="C410" s="3">
        <f ca="1">IFERROR(__xludf.DUMMYFUNCTION("""COMPUTED_VALUE"""),45748.6763541666)</f>
        <v>45748.676354166601</v>
      </c>
      <c r="D410" s="2">
        <f ca="1">IFERROR(__xludf.DUMMYFUNCTION("""COMPUTED_VALUE"""),127)</f>
        <v>127</v>
      </c>
      <c r="E410" s="2">
        <f ca="1">IFERROR(__xludf.DUMMYFUNCTION("""COMPUTED_VALUE"""),31000)</f>
        <v>31000</v>
      </c>
      <c r="F410" s="2" t="str">
        <f ca="1">IFERROR(__xludf.DUMMYFUNCTION("""COMPUTED_VALUE"""),"Criolla Flotada")</f>
        <v>Criolla Flotada</v>
      </c>
      <c r="G410" s="2"/>
      <c r="H410" s="2">
        <f ca="1">IFERROR(__xludf.DUMMYFUNCTION("""COMPUTED_VALUE"""),22100)</f>
        <v>22100</v>
      </c>
      <c r="I410" s="2"/>
      <c r="J410" s="2" t="str">
        <f ca="1">IFERROR(__xludf.DUMMYFUNCTION("""COMPUTED_VALUE"""),"6028 , 6029 , 6030")</f>
        <v>6028 , 6029 , 6030</v>
      </c>
      <c r="K410" s="2"/>
      <c r="L410" s="2"/>
      <c r="M410" s="2"/>
    </row>
    <row r="411" spans="1:13" x14ac:dyDescent="0.25">
      <c r="A411" s="2" t="str">
        <f ca="1">IFERROR(__xludf.DUMMYFUNCTION("""COMPUTED_VALUE"""),"dadb0851")</f>
        <v>dadb0851</v>
      </c>
      <c r="B411" s="2"/>
      <c r="C411" s="3">
        <f ca="1">IFERROR(__xludf.DUMMYFUNCTION("""COMPUTED_VALUE"""),45748.6783217592)</f>
        <v>45748.678321759202</v>
      </c>
      <c r="D411" s="2">
        <f ca="1">IFERROR(__xludf.DUMMYFUNCTION("""COMPUTED_VALUE"""),88)</f>
        <v>88</v>
      </c>
      <c r="E411" s="2">
        <f ca="1">IFERROR(__xludf.DUMMYFUNCTION("""COMPUTED_VALUE"""),78900)</f>
        <v>78900</v>
      </c>
      <c r="F411" s="2" t="str">
        <f ca="1">IFERROR(__xludf.DUMMYFUNCTION("""COMPUTED_VALUE"""),"Criolla s/Bonarda")</f>
        <v>Criolla s/Bonarda</v>
      </c>
      <c r="G411" s="2">
        <f ca="1">IFERROR(__xludf.DUMMYFUNCTION("""COMPUTED_VALUE"""),15100)</f>
        <v>15100</v>
      </c>
      <c r="H411" s="2">
        <f ca="1">IFERROR(__xludf.DUMMYFUNCTION("""COMPUTED_VALUE"""),37200)</f>
        <v>37200</v>
      </c>
      <c r="I411" s="2"/>
      <c r="J411" s="2"/>
      <c r="K411" s="2" t="str">
        <f ca="1">IFERROR(__xludf.DUMMYFUNCTION("""COMPUTED_VALUE"""),"Recarga Fermentando")</f>
        <v>Recarga Fermentando</v>
      </c>
      <c r="L411" s="2"/>
      <c r="M411" s="2"/>
    </row>
    <row r="412" spans="1:13" x14ac:dyDescent="0.25">
      <c r="A412" s="2" t="str">
        <f ca="1">IFERROR(__xludf.DUMMYFUNCTION("""COMPUTED_VALUE"""),"becb2c75")</f>
        <v>becb2c75</v>
      </c>
      <c r="B412" s="2"/>
      <c r="C412" s="3">
        <f ca="1">IFERROR(__xludf.DUMMYFUNCTION("""COMPUTED_VALUE"""),45748.6795717592)</f>
        <v>45748.679571759203</v>
      </c>
      <c r="D412" s="2">
        <f ca="1">IFERROR(__xludf.DUMMYFUNCTION("""COMPUTED_VALUE"""),83)</f>
        <v>83</v>
      </c>
      <c r="E412" s="2">
        <f ca="1">IFERROR(__xludf.DUMMYFUNCTION("""COMPUTED_VALUE"""),81500)</f>
        <v>81500</v>
      </c>
      <c r="F412" s="2" t="str">
        <f ca="1">IFERROR(__xludf.DUMMYFUNCTION("""COMPUTED_VALUE"""),"Bonarda")</f>
        <v>Bonarda</v>
      </c>
      <c r="G412" s="2"/>
      <c r="H412" s="2">
        <f ca="1">IFERROR(__xludf.DUMMYFUNCTION("""COMPUTED_VALUE"""),44500)</f>
        <v>44500</v>
      </c>
      <c r="I412" s="2"/>
      <c r="J412" s="2" t="str">
        <f ca="1">IFERROR(__xludf.DUMMYFUNCTION("""COMPUTED_VALUE"""),"6035 , 6036 , 6038 , 6040 , 6042 , 6043")</f>
        <v>6035 , 6036 , 6038 , 6040 , 6042 , 6043</v>
      </c>
      <c r="K412" s="2" t="str">
        <f ca="1">IFERROR(__xludf.DUMMYFUNCTION("""COMPUTED_VALUE"""),"Fermentando")</f>
        <v>Fermentando</v>
      </c>
      <c r="L412" s="2"/>
      <c r="M412" s="2"/>
    </row>
    <row r="413" spans="1:13" x14ac:dyDescent="0.25">
      <c r="A413" s="2" t="str">
        <f ca="1">IFERROR(__xludf.DUMMYFUNCTION("""COMPUTED_VALUE"""),"b7223c27")</f>
        <v>b7223c27</v>
      </c>
      <c r="B413" s="2"/>
      <c r="C413" s="3">
        <f ca="1">IFERROR(__xludf.DUMMYFUNCTION("""COMPUTED_VALUE"""),45748.6805208333)</f>
        <v>45748.680520833303</v>
      </c>
      <c r="D413" s="2">
        <f ca="1">IFERROR(__xludf.DUMMYFUNCTION("""COMPUTED_VALUE"""),80)</f>
        <v>80</v>
      </c>
      <c r="E413" s="2">
        <f ca="1">IFERROR(__xludf.DUMMYFUNCTION("""COMPUTED_VALUE"""),26100)</f>
        <v>26100</v>
      </c>
      <c r="F413" s="2" t="str">
        <f ca="1">IFERROR(__xludf.DUMMYFUNCTION("""COMPUTED_VALUE"""),"Malbec")</f>
        <v>Malbec</v>
      </c>
      <c r="G413" s="2"/>
      <c r="H413" s="2">
        <f ca="1">IFERROR(__xludf.DUMMYFUNCTION("""COMPUTED_VALUE"""),14200)</f>
        <v>14200</v>
      </c>
      <c r="I413" s="2"/>
      <c r="J413" s="2" t="str">
        <f ca="1">IFERROR(__xludf.DUMMYFUNCTION("""COMPUTED_VALUE"""),"6037 , 6052")</f>
        <v>6037 , 6052</v>
      </c>
      <c r="K413" s="2" t="str">
        <f ca="1">IFERROR(__xludf.DUMMYFUNCTION("""COMPUTED_VALUE"""),"Fermentando")</f>
        <v>Fermentando</v>
      </c>
      <c r="L413" s="2"/>
      <c r="M413" s="2"/>
    </row>
    <row r="414" spans="1:13" x14ac:dyDescent="0.25">
      <c r="A414" s="2" t="str">
        <f ca="1">IFERROR(__xludf.DUMMYFUNCTION("""COMPUTED_VALUE"""),"b23211ad")</f>
        <v>b23211ad</v>
      </c>
      <c r="B414" s="2"/>
      <c r="C414" s="3">
        <f ca="1">IFERROR(__xludf.DUMMYFUNCTION("""COMPUTED_VALUE"""),45748.8072106481)</f>
        <v>45748.807210648098</v>
      </c>
      <c r="D414" s="2">
        <f ca="1">IFERROR(__xludf.DUMMYFUNCTION("""COMPUTED_VALUE"""),68)</f>
        <v>68</v>
      </c>
      <c r="E414" s="2">
        <f ca="1">IFERROR(__xludf.DUMMYFUNCTION("""COMPUTED_VALUE"""),13000)</f>
        <v>13000</v>
      </c>
      <c r="F414" s="2" t="str">
        <f ca="1">IFERROR(__xludf.DUMMYFUNCTION("""COMPUTED_VALUE"""),"Tanat")</f>
        <v>Tanat</v>
      </c>
      <c r="G414" s="2">
        <f ca="1">IFERROR(__xludf.DUMMYFUNCTION("""COMPUTED_VALUE"""),11160)</f>
        <v>11160</v>
      </c>
      <c r="H414" s="2">
        <f ca="1">IFERROR(__xludf.DUMMYFUNCTION("""COMPUTED_VALUE"""),13000)</f>
        <v>13000</v>
      </c>
      <c r="I414" s="2"/>
      <c r="J414" s="2"/>
      <c r="K414" s="2" t="str">
        <f ca="1">IFERROR(__xludf.DUMMYFUNCTION("""COMPUTED_VALUE"""),"Descubada")</f>
        <v>Descubada</v>
      </c>
      <c r="L414" s="2"/>
      <c r="M414" s="2"/>
    </row>
    <row r="415" spans="1:13" x14ac:dyDescent="0.25">
      <c r="A415" s="2" t="str">
        <f ca="1">IFERROR(__xludf.DUMMYFUNCTION("""COMPUTED_VALUE"""),"c6c8568a")</f>
        <v>c6c8568a</v>
      </c>
      <c r="B415" s="2"/>
      <c r="C415" s="3">
        <f ca="1">IFERROR(__xludf.DUMMYFUNCTION("""COMPUTED_VALUE"""),45748.8118402777)</f>
        <v>45748.811840277704</v>
      </c>
      <c r="D415" s="2">
        <f ca="1">IFERROR(__xludf.DUMMYFUNCTION("""COMPUTED_VALUE"""),500)</f>
        <v>500</v>
      </c>
      <c r="E415" s="2">
        <f ca="1">IFERROR(__xludf.DUMMYFUNCTION("""COMPUTED_VALUE"""),200000)</f>
        <v>200000</v>
      </c>
      <c r="F415" s="2" t="str">
        <f ca="1">IFERROR(__xludf.DUMMYFUNCTION("""COMPUTED_VALUE"""),"Ajuste Arqueo 01-04-25")</f>
        <v>Ajuste Arqueo 01-04-25</v>
      </c>
      <c r="G415" s="2"/>
      <c r="H415" s="2">
        <f ca="1">IFERROR(__xludf.DUMMYFUNCTION("""COMPUTED_VALUE"""),1)</f>
        <v>1</v>
      </c>
      <c r="I415" s="2"/>
      <c r="J415" s="2"/>
      <c r="K415" s="2"/>
      <c r="L415" s="2"/>
      <c r="M415" s="2"/>
    </row>
    <row r="416" spans="1:13" x14ac:dyDescent="0.25">
      <c r="A416" s="2" t="str">
        <f ca="1">IFERROR(__xludf.DUMMYFUNCTION("""COMPUTED_VALUE"""),"eb25ce6f")</f>
        <v>eb25ce6f</v>
      </c>
      <c r="B416" s="2"/>
      <c r="C416" s="3">
        <f ca="1">IFERROR(__xludf.DUMMYFUNCTION("""COMPUTED_VALUE"""),45748.8152199074)</f>
        <v>45748.815219907403</v>
      </c>
      <c r="D416" s="2">
        <f ca="1">IFERROR(__xludf.DUMMYFUNCTION("""COMPUTED_VALUE"""),500)</f>
        <v>500</v>
      </c>
      <c r="E416" s="2">
        <f ca="1">IFERROR(__xludf.DUMMYFUNCTION("""COMPUTED_VALUE"""),200000)</f>
        <v>200000</v>
      </c>
      <c r="F416" s="2" t="str">
        <f ca="1">IFERROR(__xludf.DUMMYFUNCTION("""COMPUTED_VALUE"""),"Ajuste Arqueo 01-04-25")</f>
        <v>Ajuste Arqueo 01-04-25</v>
      </c>
      <c r="G416" s="2">
        <f ca="1">IFERROR(__xludf.DUMMYFUNCTION("""COMPUTED_VALUE"""),1)</f>
        <v>1</v>
      </c>
      <c r="H416" s="2">
        <f ca="1">IFERROR(__xludf.DUMMYFUNCTION("""COMPUTED_VALUE"""),5001)</f>
        <v>5001</v>
      </c>
      <c r="I416" s="2"/>
      <c r="J416" s="2"/>
      <c r="K416" s="2" t="str">
        <f ca="1">IFERROR(__xludf.DUMMYFUNCTION("""COMPUTED_VALUE"""),"Terminado")</f>
        <v>Terminado</v>
      </c>
      <c r="L416" s="2"/>
      <c r="M416" s="2"/>
    </row>
    <row r="417" spans="1:13" x14ac:dyDescent="0.25">
      <c r="A417" s="2" t="str">
        <f ca="1">IFERROR(__xludf.DUMMYFUNCTION("""COMPUTED_VALUE"""),"1a5b525d")</f>
        <v>1a5b525d</v>
      </c>
      <c r="B417" s="2"/>
      <c r="C417" s="3">
        <f ca="1">IFERROR(__xludf.DUMMYFUNCTION("""COMPUTED_VALUE"""),45748.8159837962)</f>
        <v>45748.815983796201</v>
      </c>
      <c r="D417" s="2">
        <f ca="1">IFERROR(__xludf.DUMMYFUNCTION("""COMPUTED_VALUE"""),500)</f>
        <v>500</v>
      </c>
      <c r="E417" s="2">
        <f ca="1">IFERROR(__xludf.DUMMYFUNCTION("""COMPUTED_VALUE"""),200000)</f>
        <v>200000</v>
      </c>
      <c r="F417" s="2" t="str">
        <f ca="1">IFERROR(__xludf.DUMMYFUNCTION("""COMPUTED_VALUE"""),"Ajuste Arqueo 01-04-25")</f>
        <v>Ajuste Arqueo 01-04-25</v>
      </c>
      <c r="G417" s="2">
        <f ca="1">IFERROR(__xludf.DUMMYFUNCTION("""COMPUTED_VALUE"""),5001)</f>
        <v>5001</v>
      </c>
      <c r="H417" s="2">
        <f ca="1">IFERROR(__xludf.DUMMYFUNCTION("""COMPUTED_VALUE"""),2001)</f>
        <v>2001</v>
      </c>
      <c r="I417" s="2"/>
      <c r="J417" s="2"/>
      <c r="K417" s="2" t="str">
        <f ca="1">IFERROR(__xludf.DUMMYFUNCTION("""COMPUTED_VALUE"""),"Terminado")</f>
        <v>Terminado</v>
      </c>
      <c r="L417" s="2"/>
      <c r="M417" s="2"/>
    </row>
    <row r="418" spans="1:13" x14ac:dyDescent="0.25">
      <c r="A418" s="2" t="str">
        <f ca="1">IFERROR(__xludf.DUMMYFUNCTION("""COMPUTED_VALUE"""),"84e6afcb")</f>
        <v>84e6afcb</v>
      </c>
      <c r="B418" s="2"/>
      <c r="C418" s="3">
        <f ca="1">IFERROR(__xludf.DUMMYFUNCTION("""COMPUTED_VALUE"""),45748.81875)</f>
        <v>45748.818749999999</v>
      </c>
      <c r="D418" s="2">
        <f ca="1">IFERROR(__xludf.DUMMYFUNCTION("""COMPUTED_VALUE"""),500)</f>
        <v>500</v>
      </c>
      <c r="E418" s="2">
        <f ca="1">IFERROR(__xludf.DUMMYFUNCTION("""COMPUTED_VALUE"""),200000)</f>
        <v>200000</v>
      </c>
      <c r="F418" s="2" t="str">
        <f ca="1">IFERROR(__xludf.DUMMYFUNCTION("""COMPUTED_VALUE"""),"Ajuste Arqueo 01-04-25")</f>
        <v>Ajuste Arqueo 01-04-25</v>
      </c>
      <c r="G418" s="2">
        <f ca="1">IFERROR(__xludf.DUMMYFUNCTION("""COMPUTED_VALUE"""),2001)</f>
        <v>2001</v>
      </c>
      <c r="H418" s="2">
        <f ca="1">IFERROR(__xludf.DUMMYFUNCTION("""COMPUTED_VALUE"""),2501)</f>
        <v>2501</v>
      </c>
      <c r="I418" s="2"/>
      <c r="J418" s="2"/>
      <c r="K418" s="2" t="str">
        <f ca="1">IFERROR(__xludf.DUMMYFUNCTION("""COMPUTED_VALUE"""),"Terminado")</f>
        <v>Terminado</v>
      </c>
      <c r="L418" s="2"/>
      <c r="M418" s="2"/>
    </row>
    <row r="419" spans="1:13" x14ac:dyDescent="0.25">
      <c r="A419" s="2" t="str">
        <f ca="1">IFERROR(__xludf.DUMMYFUNCTION("""COMPUTED_VALUE"""),"353f740c")</f>
        <v>353f740c</v>
      </c>
      <c r="B419" s="2"/>
      <c r="C419" s="3">
        <f ca="1">IFERROR(__xludf.DUMMYFUNCTION("""COMPUTED_VALUE"""),45748.8194212963)</f>
        <v>45748.819421296299</v>
      </c>
      <c r="D419" s="2">
        <f ca="1">IFERROR(__xludf.DUMMYFUNCTION("""COMPUTED_VALUE"""),500)</f>
        <v>500</v>
      </c>
      <c r="E419" s="2">
        <f ca="1">IFERROR(__xludf.DUMMYFUNCTION("""COMPUTED_VALUE"""),200000)</f>
        <v>200000</v>
      </c>
      <c r="F419" s="2" t="str">
        <f ca="1">IFERROR(__xludf.DUMMYFUNCTION("""COMPUTED_VALUE"""),"Ajuste Arqueo 01-04-25")</f>
        <v>Ajuste Arqueo 01-04-25</v>
      </c>
      <c r="G419" s="2">
        <f ca="1">IFERROR(__xludf.DUMMYFUNCTION("""COMPUTED_VALUE"""),2501)</f>
        <v>2501</v>
      </c>
      <c r="H419" s="2">
        <f ca="1">IFERROR(__xludf.DUMMYFUNCTION("""COMPUTED_VALUE"""),-3999)</f>
        <v>-3999</v>
      </c>
      <c r="I419" s="2"/>
      <c r="J419" s="2"/>
      <c r="K419" s="2" t="str">
        <f ca="1">IFERROR(__xludf.DUMMYFUNCTION("""COMPUTED_VALUE"""),"Terminado")</f>
        <v>Terminado</v>
      </c>
      <c r="L419" s="2"/>
      <c r="M419" s="2"/>
    </row>
    <row r="420" spans="1:13" x14ac:dyDescent="0.25">
      <c r="A420" s="2" t="str">
        <f ca="1">IFERROR(__xludf.DUMMYFUNCTION("""COMPUTED_VALUE"""),"c6c0786e")</f>
        <v>c6c0786e</v>
      </c>
      <c r="B420" s="2"/>
      <c r="C420" s="3">
        <f ca="1">IFERROR(__xludf.DUMMYFUNCTION("""COMPUTED_VALUE"""),45748.8200347222)</f>
        <v>45748.820034722201</v>
      </c>
      <c r="D420" s="2">
        <f ca="1">IFERROR(__xludf.DUMMYFUNCTION("""COMPUTED_VALUE"""),500)</f>
        <v>500</v>
      </c>
      <c r="E420" s="2">
        <f ca="1">IFERROR(__xludf.DUMMYFUNCTION("""COMPUTED_VALUE"""),200000)</f>
        <v>200000</v>
      </c>
      <c r="F420" s="2" t="str">
        <f ca="1">IFERROR(__xludf.DUMMYFUNCTION("""COMPUTED_VALUE"""),"Ajuste Arqueo 01-04-25")</f>
        <v>Ajuste Arqueo 01-04-25</v>
      </c>
      <c r="G420" s="2">
        <f ca="1">IFERROR(__xludf.DUMMYFUNCTION("""COMPUTED_VALUE"""),-3999)</f>
        <v>-3999</v>
      </c>
      <c r="H420" s="2">
        <f ca="1">IFERROR(__xludf.DUMMYFUNCTION("""COMPUTED_VALUE"""),-13999)</f>
        <v>-13999</v>
      </c>
      <c r="I420" s="2"/>
      <c r="J420" s="2"/>
      <c r="K420" s="2" t="str">
        <f ca="1">IFERROR(__xludf.DUMMYFUNCTION("""COMPUTED_VALUE"""),"Terminado")</f>
        <v>Terminado</v>
      </c>
      <c r="L420" s="2"/>
      <c r="M420" s="2"/>
    </row>
    <row r="421" spans="1:13" x14ac:dyDescent="0.25">
      <c r="A421" s="2" t="str">
        <f ca="1">IFERROR(__xludf.DUMMYFUNCTION("""COMPUTED_VALUE"""),"21c38848")</f>
        <v>21c38848</v>
      </c>
      <c r="B421" s="2"/>
      <c r="C421" s="3">
        <f ca="1">IFERROR(__xludf.DUMMYFUNCTION("""COMPUTED_VALUE"""),45748.820787037)</f>
        <v>45748.820787037002</v>
      </c>
      <c r="D421" s="2">
        <f ca="1">IFERROR(__xludf.DUMMYFUNCTION("""COMPUTED_VALUE"""),500)</f>
        <v>500</v>
      </c>
      <c r="E421" s="2">
        <f ca="1">IFERROR(__xludf.DUMMYFUNCTION("""COMPUTED_VALUE"""),200000)</f>
        <v>200000</v>
      </c>
      <c r="F421" s="2" t="str">
        <f ca="1">IFERROR(__xludf.DUMMYFUNCTION("""COMPUTED_VALUE"""),"Ajuste Arqueo 01-04-25")</f>
        <v>Ajuste Arqueo 01-04-25</v>
      </c>
      <c r="G421" s="2">
        <f ca="1">IFERROR(__xludf.DUMMYFUNCTION("""COMPUTED_VALUE"""),-13999)</f>
        <v>-13999</v>
      </c>
      <c r="H421" s="2">
        <f ca="1">IFERROR(__xludf.DUMMYFUNCTION("""COMPUTED_VALUE"""),-12999)</f>
        <v>-12999</v>
      </c>
      <c r="I421" s="2"/>
      <c r="J421" s="2"/>
      <c r="K421" s="2" t="str">
        <f ca="1">IFERROR(__xludf.DUMMYFUNCTION("""COMPUTED_VALUE"""),"Terminado")</f>
        <v>Terminado</v>
      </c>
      <c r="L421" s="2"/>
      <c r="M421" s="2"/>
    </row>
    <row r="422" spans="1:13" x14ac:dyDescent="0.25">
      <c r="A422" s="2" t="str">
        <f ca="1">IFERROR(__xludf.DUMMYFUNCTION("""COMPUTED_VALUE"""),"97681120")</f>
        <v>97681120</v>
      </c>
      <c r="B422" s="2"/>
      <c r="C422" s="3">
        <f ca="1">IFERROR(__xludf.DUMMYFUNCTION("""COMPUTED_VALUE"""),45748.821261574)</f>
        <v>45748.821261573998</v>
      </c>
      <c r="D422" s="2">
        <f ca="1">IFERROR(__xludf.DUMMYFUNCTION("""COMPUTED_VALUE"""),500)</f>
        <v>500</v>
      </c>
      <c r="E422" s="2">
        <f ca="1">IFERROR(__xludf.DUMMYFUNCTION("""COMPUTED_VALUE"""),200000)</f>
        <v>200000</v>
      </c>
      <c r="F422" s="2" t="str">
        <f ca="1">IFERROR(__xludf.DUMMYFUNCTION("""COMPUTED_VALUE"""),"Ajuste Arqueo 01-04-25")</f>
        <v>Ajuste Arqueo 01-04-25</v>
      </c>
      <c r="G422" s="2">
        <f ca="1">IFERROR(__xludf.DUMMYFUNCTION("""COMPUTED_VALUE"""),-12999)</f>
        <v>-12999</v>
      </c>
      <c r="H422" s="2">
        <f ca="1">IFERROR(__xludf.DUMMYFUNCTION("""COMPUTED_VALUE"""),-15999)</f>
        <v>-15999</v>
      </c>
      <c r="I422" s="2"/>
      <c r="J422" s="2"/>
      <c r="K422" s="2" t="str">
        <f ca="1">IFERROR(__xludf.DUMMYFUNCTION("""COMPUTED_VALUE"""),"Terminado")</f>
        <v>Terminado</v>
      </c>
      <c r="L422" s="2"/>
      <c r="M422" s="2"/>
    </row>
    <row r="423" spans="1:13" x14ac:dyDescent="0.25">
      <c r="A423" s="2" t="str">
        <f ca="1">IFERROR(__xludf.DUMMYFUNCTION("""COMPUTED_VALUE"""),"d36de2d6")</f>
        <v>d36de2d6</v>
      </c>
      <c r="B423" s="2"/>
      <c r="C423" s="3">
        <f ca="1">IFERROR(__xludf.DUMMYFUNCTION("""COMPUTED_VALUE"""),45748.8219212962)</f>
        <v>45748.821921296199</v>
      </c>
      <c r="D423" s="2">
        <f ca="1">IFERROR(__xludf.DUMMYFUNCTION("""COMPUTED_VALUE"""),500)</f>
        <v>500</v>
      </c>
      <c r="E423" s="2">
        <f ca="1">IFERROR(__xludf.DUMMYFUNCTION("""COMPUTED_VALUE"""),200000)</f>
        <v>200000</v>
      </c>
      <c r="F423" s="2" t="str">
        <f ca="1">IFERROR(__xludf.DUMMYFUNCTION("""COMPUTED_VALUE"""),"Ajuste Arqueo 01-04-25")</f>
        <v>Ajuste Arqueo 01-04-25</v>
      </c>
      <c r="G423" s="2">
        <f ca="1">IFERROR(__xludf.DUMMYFUNCTION("""COMPUTED_VALUE"""),-15999)</f>
        <v>-15999</v>
      </c>
      <c r="H423" s="2">
        <f ca="1">IFERROR(__xludf.DUMMYFUNCTION("""COMPUTED_VALUE"""),-16599)</f>
        <v>-16599</v>
      </c>
      <c r="I423" s="2"/>
      <c r="J423" s="2"/>
      <c r="K423" s="2" t="str">
        <f ca="1">IFERROR(__xludf.DUMMYFUNCTION("""COMPUTED_VALUE"""),"Descubada")</f>
        <v>Descubada</v>
      </c>
      <c r="L423" s="2"/>
      <c r="M423" s="2"/>
    </row>
    <row r="424" spans="1:13" x14ac:dyDescent="0.25">
      <c r="A424" s="2" t="str">
        <f ca="1">IFERROR(__xludf.DUMMYFUNCTION("""COMPUTED_VALUE"""),"02c0fc23")</f>
        <v>02c0fc23</v>
      </c>
      <c r="B424" s="2"/>
      <c r="C424" s="3">
        <f ca="1">IFERROR(__xludf.DUMMYFUNCTION("""COMPUTED_VALUE"""),45748.8237037037)</f>
        <v>45748.823703703703</v>
      </c>
      <c r="D424" s="2">
        <f ca="1">IFERROR(__xludf.DUMMYFUNCTION("""COMPUTED_VALUE"""),500)</f>
        <v>500</v>
      </c>
      <c r="E424" s="2">
        <f ca="1">IFERROR(__xludf.DUMMYFUNCTION("""COMPUTED_VALUE"""),200000)</f>
        <v>200000</v>
      </c>
      <c r="F424" s="2" t="str">
        <f ca="1">IFERROR(__xludf.DUMMYFUNCTION("""COMPUTED_VALUE"""),"Ajuste Arqueo 01-04-25")</f>
        <v>Ajuste Arqueo 01-04-25</v>
      </c>
      <c r="G424" s="2">
        <f ca="1">IFERROR(__xludf.DUMMYFUNCTION("""COMPUTED_VALUE"""),-16599)</f>
        <v>-16599</v>
      </c>
      <c r="H424" s="2">
        <f ca="1">IFERROR(__xludf.DUMMYFUNCTION("""COMPUTED_VALUE"""),-16999)</f>
        <v>-16999</v>
      </c>
      <c r="I424" s="2"/>
      <c r="J424" s="2"/>
      <c r="K424" s="2" t="str">
        <f ca="1">IFERROR(__xludf.DUMMYFUNCTION("""COMPUTED_VALUE"""),"Descubada")</f>
        <v>Descubada</v>
      </c>
      <c r="L424" s="2"/>
      <c r="M424" s="2"/>
    </row>
    <row r="425" spans="1:13" x14ac:dyDescent="0.25">
      <c r="A425" s="2" t="str">
        <f ca="1">IFERROR(__xludf.DUMMYFUNCTION("""COMPUTED_VALUE"""),"cf44f84a")</f>
        <v>cf44f84a</v>
      </c>
      <c r="B425" s="2"/>
      <c r="C425" s="3">
        <f ca="1">IFERROR(__xludf.DUMMYFUNCTION("""COMPUTED_VALUE"""),45749.4191782406)</f>
        <v>45749.4191782407</v>
      </c>
      <c r="D425" s="2">
        <f ca="1">IFERROR(__xludf.DUMMYFUNCTION("""COMPUTED_VALUE"""),34)</f>
        <v>34</v>
      </c>
      <c r="E425" s="2">
        <f ca="1">IFERROR(__xludf.DUMMYFUNCTION("""COMPUTED_VALUE"""),39500)</f>
        <v>39500</v>
      </c>
      <c r="F425" s="2" t="str">
        <f ca="1">IFERROR(__xludf.DUMMYFUNCTION("""COMPUTED_VALUE"""),"Bonarda")</f>
        <v>Bonarda</v>
      </c>
      <c r="G425" s="2">
        <f ca="1">IFERROR(__xludf.DUMMYFUNCTION("""COMPUTED_VALUE"""),0)</f>
        <v>0</v>
      </c>
      <c r="H425" s="2">
        <f ca="1">IFERROR(__xludf.DUMMYFUNCTION("""COMPUTED_VALUE"""),35500)</f>
        <v>35500</v>
      </c>
      <c r="I425" s="2" t="str">
        <f ca="1">IFERROR(__xludf.DUMMYFUNCTION("""COMPUTED_VALUE"""),"4/4 sigue fermentando, va bien
Hacer AZ
Le faltan 40 CM 8000 lts
2/4 decubada con 20 gr y esta reduciendo")</f>
        <v>4/4 sigue fermentando, va bien
Hacer AZ
Le faltan 40 CM 8000 lts
2/4 decubada con 20 gr y esta reduciendo</v>
      </c>
      <c r="J425" s="2"/>
      <c r="K425" s="2" t="str">
        <f ca="1">IFERROR(__xludf.DUMMYFUNCTION("""COMPUTED_VALUE"""),"Descubada")</f>
        <v>Descubada</v>
      </c>
      <c r="L425" s="2"/>
      <c r="M425" s="2"/>
    </row>
    <row r="426" spans="1:13" x14ac:dyDescent="0.25">
      <c r="A426" s="2" t="str">
        <f ca="1">IFERROR(__xludf.DUMMYFUNCTION("""COMPUTED_VALUE"""),"2eb7d92e")</f>
        <v>2eb7d92e</v>
      </c>
      <c r="B426" s="2"/>
      <c r="C426" s="3">
        <f ca="1">IFERROR(__xludf.DUMMYFUNCTION("""COMPUTED_VALUE"""),45749.4200578703)</f>
        <v>45749.420057870302</v>
      </c>
      <c r="D426" s="2">
        <f ca="1">IFERROR(__xludf.DUMMYFUNCTION("""COMPUTED_VALUE"""),77)</f>
        <v>77</v>
      </c>
      <c r="E426" s="2">
        <f ca="1">IFERROR(__xludf.DUMMYFUNCTION("""COMPUTED_VALUE"""),26000)</f>
        <v>26000</v>
      </c>
      <c r="F426" s="2" t="str">
        <f ca="1">IFERROR(__xludf.DUMMYFUNCTION("""COMPUTED_VALUE"""),"Criolla Flotada")</f>
        <v>Criolla Flotada</v>
      </c>
      <c r="G426" s="2"/>
      <c r="H426" s="2">
        <f ca="1">IFERROR(__xludf.DUMMYFUNCTION("""COMPUTED_VALUE"""),17000)</f>
        <v>17000</v>
      </c>
      <c r="I426" s="2"/>
      <c r="J426" s="2" t="str">
        <f ca="1">IFERROR(__xludf.DUMMYFUNCTION("""COMPUTED_VALUE"""),"6031 , 6032 , 6033")</f>
        <v>6031 , 6032 , 6033</v>
      </c>
      <c r="K426" s="2" t="str">
        <f ca="1">IFERROR(__xludf.DUMMYFUNCTION("""COMPUTED_VALUE"""),"Fermentando")</f>
        <v>Fermentando</v>
      </c>
      <c r="L426" s="2"/>
      <c r="M426" s="2"/>
    </row>
    <row r="427" spans="1:13" x14ac:dyDescent="0.25">
      <c r="A427" s="2" t="str">
        <f ca="1">IFERROR(__xludf.DUMMYFUNCTION("""COMPUTED_VALUE"""),"c355e18a")</f>
        <v>c355e18a</v>
      </c>
      <c r="B427" s="2"/>
      <c r="C427" s="3">
        <f ca="1">IFERROR(__xludf.DUMMYFUNCTION("""COMPUTED_VALUE"""),45749.4246180555)</f>
        <v>45749.424618055498</v>
      </c>
      <c r="D427" s="2">
        <f ca="1">IFERROR(__xludf.DUMMYFUNCTION("""COMPUTED_VALUE"""),78)</f>
        <v>78</v>
      </c>
      <c r="E427" s="2">
        <f ca="1">IFERROR(__xludf.DUMMYFUNCTION("""COMPUTED_VALUE"""),25800)</f>
        <v>25800</v>
      </c>
      <c r="F427" s="2" t="str">
        <f ca="1">IFERROR(__xludf.DUMMYFUNCTION("""COMPUTED_VALUE"""),"Criolla Flotada")</f>
        <v>Criolla Flotada</v>
      </c>
      <c r="G427" s="2"/>
      <c r="H427" s="2">
        <f ca="1">IFERROR(__xludf.DUMMYFUNCTION("""COMPUTED_VALUE"""),21500)</f>
        <v>21500</v>
      </c>
      <c r="I427" s="2"/>
      <c r="J427" s="2" t="str">
        <f ca="1">IFERROR(__xludf.DUMMYFUNCTION("""COMPUTED_VALUE"""),"6034 , 6039 , 6041")</f>
        <v>6034 , 6039 , 6041</v>
      </c>
      <c r="K427" s="2" t="str">
        <f ca="1">IFERROR(__xludf.DUMMYFUNCTION("""COMPUTED_VALUE"""),"Fermentando")</f>
        <v>Fermentando</v>
      </c>
      <c r="L427" s="2"/>
      <c r="M427" s="2"/>
    </row>
    <row r="428" spans="1:13" x14ac:dyDescent="0.25">
      <c r="A428" s="2" t="str">
        <f ca="1">IFERROR(__xludf.DUMMYFUNCTION("""COMPUTED_VALUE"""),"73108ca1")</f>
        <v>73108ca1</v>
      </c>
      <c r="B428" s="2"/>
      <c r="C428" s="3">
        <f ca="1">IFERROR(__xludf.DUMMYFUNCTION("""COMPUTED_VALUE"""),45749.4314583333)</f>
        <v>45749.431458333303</v>
      </c>
      <c r="D428" s="2">
        <f ca="1">IFERROR(__xludf.DUMMYFUNCTION("""COMPUTED_VALUE"""),91)</f>
        <v>91</v>
      </c>
      <c r="E428" s="2">
        <f ca="1">IFERROR(__xludf.DUMMYFUNCTION("""COMPUTED_VALUE"""),86000)</f>
        <v>86000</v>
      </c>
      <c r="F428" s="2" t="str">
        <f ca="1">IFERROR(__xludf.DUMMYFUNCTION("""COMPUTED_VALUE"""),"Tinto s/Bonarda")</f>
        <v>Tinto s/Bonarda</v>
      </c>
      <c r="G428" s="2">
        <f ca="1">IFERROR(__xludf.DUMMYFUNCTION("""COMPUTED_VALUE"""),23800)</f>
        <v>23800</v>
      </c>
      <c r="H428" s="2">
        <f ca="1">IFERROR(__xludf.DUMMYFUNCTION("""COMPUTED_VALUE"""),40800)</f>
        <v>40800</v>
      </c>
      <c r="I428" s="2"/>
      <c r="J428" s="2"/>
      <c r="K428" s="2" t="str">
        <f ca="1">IFERROR(__xludf.DUMMYFUNCTION("""COMPUTED_VALUE"""),"Recarga Fermentando")</f>
        <v>Recarga Fermentando</v>
      </c>
      <c r="L428" s="2"/>
      <c r="M428" s="2"/>
    </row>
    <row r="429" spans="1:13" x14ac:dyDescent="0.25">
      <c r="A429" s="2" t="str">
        <f ca="1">IFERROR(__xludf.DUMMYFUNCTION("""COMPUTED_VALUE"""),"6b249a3a")</f>
        <v>6b249a3a</v>
      </c>
      <c r="B429" s="2"/>
      <c r="C429" s="3">
        <f ca="1">IFERROR(__xludf.DUMMYFUNCTION("""COMPUTED_VALUE"""),45749.4322685185)</f>
        <v>45749.432268518503</v>
      </c>
      <c r="D429" s="2">
        <f ca="1">IFERROR(__xludf.DUMMYFUNCTION("""COMPUTED_VALUE"""),91)</f>
        <v>91</v>
      </c>
      <c r="E429" s="2">
        <f ca="1">IFERROR(__xludf.DUMMYFUNCTION("""COMPUTED_VALUE"""),86000)</f>
        <v>86000</v>
      </c>
      <c r="F429" s="2" t="str">
        <f ca="1">IFERROR(__xludf.DUMMYFUNCTION("""COMPUTED_VALUE"""),"Tinto s/Bonarda")</f>
        <v>Tinto s/Bonarda</v>
      </c>
      <c r="G429" s="2">
        <f ca="1">IFERROR(__xludf.DUMMYFUNCTION("""COMPUTED_VALUE"""),40800)</f>
        <v>40800</v>
      </c>
      <c r="H429" s="2">
        <f ca="1">IFERROR(__xludf.DUMMYFUNCTION("""COMPUTED_VALUE"""),62300)</f>
        <v>62300</v>
      </c>
      <c r="I429" s="2"/>
      <c r="J429" s="2"/>
      <c r="K429" s="2" t="str">
        <f ca="1">IFERROR(__xludf.DUMMYFUNCTION("""COMPUTED_VALUE"""),"Recarga Fermentando")</f>
        <v>Recarga Fermentando</v>
      </c>
      <c r="L429" s="2"/>
      <c r="M429" s="2"/>
    </row>
    <row r="430" spans="1:13" x14ac:dyDescent="0.25">
      <c r="A430" s="2" t="str">
        <f ca="1">IFERROR(__xludf.DUMMYFUNCTION("""COMPUTED_VALUE"""),"1ba229d2")</f>
        <v>1ba229d2</v>
      </c>
      <c r="B430" s="2"/>
      <c r="C430" s="3">
        <f ca="1">IFERROR(__xludf.DUMMYFUNCTION("""COMPUTED_VALUE"""),45749.4423842592)</f>
        <v>45749.4423842592</v>
      </c>
      <c r="D430" s="2">
        <f ca="1">IFERROR(__xludf.DUMMYFUNCTION("""COMPUTED_VALUE"""),24)</f>
        <v>24</v>
      </c>
      <c r="E430" s="2">
        <f ca="1">IFERROR(__xludf.DUMMYFUNCTION("""COMPUTED_VALUE"""),186600)</f>
        <v>186600</v>
      </c>
      <c r="F430" s="2" t="str">
        <f ca="1">IFERROR(__xludf.DUMMYFUNCTION("""COMPUTED_VALUE"""),"Bonarda")</f>
        <v>Bonarda</v>
      </c>
      <c r="G430" s="2">
        <f ca="1">IFERROR(__xludf.DUMMYFUNCTION("""COMPUTED_VALUE"""),0)</f>
        <v>0</v>
      </c>
      <c r="H430" s="2">
        <f ca="1">IFERROR(__xludf.DUMMYFUNCTION("""COMPUTED_VALUE"""),120200)</f>
        <v>120200</v>
      </c>
      <c r="I430" s="2"/>
      <c r="J430" s="2"/>
      <c r="K430" s="2" t="str">
        <f ca="1">IFERROR(__xludf.DUMMYFUNCTION("""COMPUTED_VALUE"""),"Descubada")</f>
        <v>Descubada</v>
      </c>
      <c r="L430" s="2"/>
      <c r="M430" s="2"/>
    </row>
    <row r="431" spans="1:13" x14ac:dyDescent="0.25">
      <c r="A431" s="2" t="str">
        <f ca="1">IFERROR(__xludf.DUMMYFUNCTION("""COMPUTED_VALUE"""),"b6dc5dc8")</f>
        <v>b6dc5dc8</v>
      </c>
      <c r="B431" s="2"/>
      <c r="C431" s="3">
        <f ca="1">IFERROR(__xludf.DUMMYFUNCTION("""COMPUTED_VALUE"""),45749.4432175925)</f>
        <v>45749.443217592503</v>
      </c>
      <c r="D431" s="2">
        <f ca="1">IFERROR(__xludf.DUMMYFUNCTION("""COMPUTED_VALUE"""),24)</f>
        <v>24</v>
      </c>
      <c r="E431" s="2">
        <f ca="1">IFERROR(__xludf.DUMMYFUNCTION("""COMPUTED_VALUE"""),186600)</f>
        <v>186600</v>
      </c>
      <c r="F431" s="2" t="str">
        <f ca="1">IFERROR(__xludf.DUMMYFUNCTION("""COMPUTED_VALUE"""),"Bonarda C2")</f>
        <v>Bonarda C2</v>
      </c>
      <c r="G431" s="2">
        <f ca="1">IFERROR(__xludf.DUMMYFUNCTION("""COMPUTED_VALUE"""),120200)</f>
        <v>120200</v>
      </c>
      <c r="H431" s="2">
        <f ca="1">IFERROR(__xludf.DUMMYFUNCTION("""COMPUTED_VALUE"""),166200)</f>
        <v>166200</v>
      </c>
      <c r="I431" s="2"/>
      <c r="J431" s="2"/>
      <c r="K431" s="2" t="str">
        <f ca="1">IFERROR(__xludf.DUMMYFUNCTION("""COMPUTED_VALUE"""),"1er Trasiego")</f>
        <v>1er Trasiego</v>
      </c>
      <c r="L431" s="2"/>
      <c r="M431" s="2"/>
    </row>
    <row r="432" spans="1:13" x14ac:dyDescent="0.25">
      <c r="A432" s="2" t="str">
        <f ca="1">IFERROR(__xludf.DUMMYFUNCTION("""COMPUTED_VALUE"""),"37179342")</f>
        <v>37179342</v>
      </c>
      <c r="B432" s="2"/>
      <c r="C432" s="3">
        <f ca="1">IFERROR(__xludf.DUMMYFUNCTION("""COMPUTED_VALUE"""),45749.4435763888)</f>
        <v>45749.443576388803</v>
      </c>
      <c r="D432" s="2">
        <f ca="1">IFERROR(__xludf.DUMMYFUNCTION("""COMPUTED_VALUE"""),24)</f>
        <v>24</v>
      </c>
      <c r="E432" s="2">
        <f ca="1">IFERROR(__xludf.DUMMYFUNCTION("""COMPUTED_VALUE"""),186600)</f>
        <v>186600</v>
      </c>
      <c r="F432" s="2" t="str">
        <f ca="1">IFERROR(__xludf.DUMMYFUNCTION("""COMPUTED_VALUE"""),"Bonarda C2")</f>
        <v>Bonarda C2</v>
      </c>
      <c r="G432" s="2">
        <f ca="1">IFERROR(__xludf.DUMMYFUNCTION("""COMPUTED_VALUE"""),166200)</f>
        <v>166200</v>
      </c>
      <c r="H432" s="2">
        <f ca="1">IFERROR(__xludf.DUMMYFUNCTION("""COMPUTED_VALUE"""),186600)</f>
        <v>186600</v>
      </c>
      <c r="I432" s="2" t="str">
        <f ca="1">IFERROR(__xludf.DUMMYFUNCTION("""COMPUTED_VALUE"""),"4/4
Está bien")</f>
        <v>4/4
Está bien</v>
      </c>
      <c r="J432" s="2"/>
      <c r="K432" s="2" t="str">
        <f ca="1">IFERROR(__xludf.DUMMYFUNCTION("""COMPUTED_VALUE"""),"1er Trasiego")</f>
        <v>1er Trasiego</v>
      </c>
      <c r="L432" s="2"/>
      <c r="M432" s="2"/>
    </row>
    <row r="433" spans="1:13" x14ac:dyDescent="0.25">
      <c r="A433" s="2" t="str">
        <f ca="1">IFERROR(__xludf.DUMMYFUNCTION("""COMPUTED_VALUE"""),"a4cd80cd")</f>
        <v>a4cd80cd</v>
      </c>
      <c r="B433" s="2"/>
      <c r="C433" s="3">
        <f ca="1">IFERROR(__xludf.DUMMYFUNCTION("""COMPUTED_VALUE"""),45749.4440162037)</f>
        <v>45749.444016203699</v>
      </c>
      <c r="D433" s="2">
        <f ca="1">IFERROR(__xludf.DUMMYFUNCTION("""COMPUTED_VALUE"""),94)</f>
        <v>94</v>
      </c>
      <c r="E433" s="2">
        <f ca="1">IFERROR(__xludf.DUMMYFUNCTION("""COMPUTED_VALUE"""),11600)</f>
        <v>11600</v>
      </c>
      <c r="F433" s="2" t="str">
        <f ca="1">IFERROR(__xludf.DUMMYFUNCTION("""COMPUTED_VALUE"""),"Borra")</f>
        <v>Borra</v>
      </c>
      <c r="G433" s="2">
        <f ca="1">IFERROR(__xludf.DUMMYFUNCTION("""COMPUTED_VALUE"""),0)</f>
        <v>0</v>
      </c>
      <c r="H433" s="2">
        <f ca="1">IFERROR(__xludf.DUMMYFUNCTION("""COMPUTED_VALUE"""),9600)</f>
        <v>9600</v>
      </c>
      <c r="I433" s="2"/>
      <c r="J433" s="2"/>
      <c r="K433" s="2" t="str">
        <f ca="1">IFERROR(__xludf.DUMMYFUNCTION("""COMPUTED_VALUE"""),"Descubada")</f>
        <v>Descubada</v>
      </c>
      <c r="L433" s="2"/>
      <c r="M433" s="2"/>
    </row>
    <row r="434" spans="1:13" x14ac:dyDescent="0.25">
      <c r="A434" s="2" t="str">
        <f ca="1">IFERROR(__xludf.DUMMYFUNCTION("""COMPUTED_VALUE"""),"89ea53f8")</f>
        <v>89ea53f8</v>
      </c>
      <c r="B434" s="2"/>
      <c r="C434" s="3">
        <f ca="1">IFERROR(__xludf.DUMMYFUNCTION("""COMPUTED_VALUE"""),45749.754849537)</f>
        <v>45749.754849536999</v>
      </c>
      <c r="D434" s="2">
        <f ca="1">IFERROR(__xludf.DUMMYFUNCTION("""COMPUTED_VALUE"""),86)</f>
        <v>86</v>
      </c>
      <c r="E434" s="2">
        <f ca="1">IFERROR(__xludf.DUMMYFUNCTION("""COMPUTED_VALUE"""),88000)</f>
        <v>88000</v>
      </c>
      <c r="F434" s="2" t="str">
        <f ca="1">IFERROR(__xludf.DUMMYFUNCTION("""COMPUTED_VALUE"""),"Bonarda")</f>
        <v>Bonarda</v>
      </c>
      <c r="G434" s="2"/>
      <c r="H434" s="2">
        <f ca="1">IFERROR(__xludf.DUMMYFUNCTION("""COMPUTED_VALUE"""),46000)</f>
        <v>46000</v>
      </c>
      <c r="I434" s="2"/>
      <c r="J434" s="2" t="str">
        <f ca="1">IFERROR(__xludf.DUMMYFUNCTION("""COMPUTED_VALUE"""),"6044 , 6046 , 6047 , 6048 , 6049 , 6051")</f>
        <v>6044 , 6046 , 6047 , 6048 , 6049 , 6051</v>
      </c>
      <c r="K434" s="2" t="str">
        <f ca="1">IFERROR(__xludf.DUMMYFUNCTION("""COMPUTED_VALUE"""),"Fermentando")</f>
        <v>Fermentando</v>
      </c>
      <c r="L434" s="2"/>
      <c r="M434" s="2"/>
    </row>
    <row r="435" spans="1:13" x14ac:dyDescent="0.25">
      <c r="A435" s="2" t="str">
        <f ca="1">IFERROR(__xludf.DUMMYFUNCTION("""COMPUTED_VALUE"""),"0d6140dc")</f>
        <v>0d6140dc</v>
      </c>
      <c r="B435" s="2"/>
      <c r="C435" s="3">
        <f ca="1">IFERROR(__xludf.DUMMYFUNCTION("""COMPUTED_VALUE"""),45749.7614236111)</f>
        <v>45749.761423611097</v>
      </c>
      <c r="D435" s="2">
        <f ca="1">IFERROR(__xludf.DUMMYFUNCTION("""COMPUTED_VALUE"""),87)</f>
        <v>87</v>
      </c>
      <c r="E435" s="2">
        <f ca="1">IFERROR(__xludf.DUMMYFUNCTION("""COMPUTED_VALUE"""),93700)</f>
        <v>93700</v>
      </c>
      <c r="F435" s="2" t="str">
        <f ca="1">IFERROR(__xludf.DUMMYFUNCTION("""COMPUTED_VALUE"""),"Cabernet Sauv Mec")</f>
        <v>Cabernet Sauv Mec</v>
      </c>
      <c r="G435" s="2"/>
      <c r="H435" s="2">
        <f ca="1">IFERROR(__xludf.DUMMYFUNCTION("""COMPUTED_VALUE"""),50200)</f>
        <v>50200</v>
      </c>
      <c r="I435" s="2"/>
      <c r="J435" s="2" t="str">
        <f ca="1">IFERROR(__xludf.DUMMYFUNCTION("""COMPUTED_VALUE"""),"6050 , 6045 , 6056 , 6058 , 6059 , 6063 , 6067")</f>
        <v>6050 , 6045 , 6056 , 6058 , 6059 , 6063 , 6067</v>
      </c>
      <c r="K435" s="2" t="str">
        <f ca="1">IFERROR(__xludf.DUMMYFUNCTION("""COMPUTED_VALUE"""),"Fermentando")</f>
        <v>Fermentando</v>
      </c>
      <c r="L435" s="2"/>
      <c r="M435" s="2"/>
    </row>
    <row r="436" spans="1:13" x14ac:dyDescent="0.25">
      <c r="A436" s="2" t="str">
        <f ca="1">IFERROR(__xludf.DUMMYFUNCTION("""COMPUTED_VALUE"""),"2d913121")</f>
        <v>2d913121</v>
      </c>
      <c r="B436" s="2"/>
      <c r="C436" s="3">
        <f ca="1">IFERROR(__xludf.DUMMYFUNCTION("""COMPUTED_VALUE"""),45750.731261574)</f>
        <v>45750.731261574001</v>
      </c>
      <c r="D436" s="2">
        <f ca="1">IFERROR(__xludf.DUMMYFUNCTION("""COMPUTED_VALUE"""),121)</f>
        <v>121</v>
      </c>
      <c r="E436" s="2">
        <f ca="1">IFERROR(__xludf.DUMMYFUNCTION("""COMPUTED_VALUE"""),85800)</f>
        <v>85800</v>
      </c>
      <c r="F436" s="2" t="str">
        <f ca="1">IFERROR(__xludf.DUMMYFUNCTION("""COMPUTED_VALUE"""),"Malbec Mec")</f>
        <v>Malbec Mec</v>
      </c>
      <c r="G436" s="2">
        <f ca="1">IFERROR(__xludf.DUMMYFUNCTION("""COMPUTED_VALUE"""),0)</f>
        <v>0</v>
      </c>
      <c r="H436" s="2">
        <f ca="1">IFERROR(__xludf.DUMMYFUNCTION("""COMPUTED_VALUE"""),50000)</f>
        <v>50000</v>
      </c>
      <c r="I436" s="2"/>
      <c r="J436" s="2"/>
      <c r="K436" s="2" t="str">
        <f ca="1">IFERROR(__xludf.DUMMYFUNCTION("""COMPUTED_VALUE"""),"Descubada")</f>
        <v>Descubada</v>
      </c>
      <c r="L436" s="2"/>
      <c r="M436" s="2"/>
    </row>
    <row r="437" spans="1:13" x14ac:dyDescent="0.25">
      <c r="A437" s="2" t="str">
        <f ca="1">IFERROR(__xludf.DUMMYFUNCTION("""COMPUTED_VALUE"""),"5c542a1f")</f>
        <v>5c542a1f</v>
      </c>
      <c r="B437" s="2"/>
      <c r="C437" s="3">
        <f ca="1">IFERROR(__xludf.DUMMYFUNCTION("""COMPUTED_VALUE"""),45750.7320717592)</f>
        <v>45750.732071759201</v>
      </c>
      <c r="D437" s="2">
        <f ca="1">IFERROR(__xludf.DUMMYFUNCTION("""COMPUTED_VALUE"""),121)</f>
        <v>121</v>
      </c>
      <c r="E437" s="2">
        <f ca="1">IFERROR(__xludf.DUMMYFUNCTION("""COMPUTED_VALUE"""),85800)</f>
        <v>85800</v>
      </c>
      <c r="F437" s="2" t="str">
        <f ca="1">IFERROR(__xludf.DUMMYFUNCTION("""COMPUTED_VALUE"""),"Malbec Mec")</f>
        <v>Malbec Mec</v>
      </c>
      <c r="G437" s="2">
        <f ca="1">IFERROR(__xludf.DUMMYFUNCTION("""COMPUTED_VALUE"""),50000)</f>
        <v>50000</v>
      </c>
      <c r="H437" s="2">
        <f ca="1">IFERROR(__xludf.DUMMYFUNCTION("""COMPUTED_VALUE"""),85800)</f>
        <v>85800</v>
      </c>
      <c r="I437" s="2"/>
      <c r="J437" s="2"/>
      <c r="K437" s="2" t="str">
        <f ca="1">IFERROR(__xludf.DUMMYFUNCTION("""COMPUTED_VALUE"""),"Descubada")</f>
        <v>Descubada</v>
      </c>
      <c r="L437" s="2" t="str">
        <f ca="1">IFERROR(__xludf.DUMMYFUNCTION("""COMPUTED_VALUE"""),"2")</f>
        <v>2</v>
      </c>
      <c r="M437" s="2"/>
    </row>
    <row r="438" spans="1:13" x14ac:dyDescent="0.25">
      <c r="A438" s="2" t="str">
        <f ca="1">IFERROR(__xludf.DUMMYFUNCTION("""COMPUTED_VALUE"""),"0869b66b")</f>
        <v>0869b66b</v>
      </c>
      <c r="B438" s="2"/>
      <c r="C438" s="3">
        <f ca="1">IFERROR(__xludf.DUMMYFUNCTION("""COMPUTED_VALUE"""),45750.7324768518)</f>
        <v>45750.732476851801</v>
      </c>
      <c r="D438" s="2">
        <f ca="1">IFERROR(__xludf.DUMMYFUNCTION("""COMPUTED_VALUE"""),14)</f>
        <v>14</v>
      </c>
      <c r="E438" s="2">
        <f ca="1">IFERROR(__xludf.DUMMYFUNCTION("""COMPUTED_VALUE"""),37000)</f>
        <v>37000</v>
      </c>
      <c r="F438" s="2" t="str">
        <f ca="1">IFERROR(__xludf.DUMMYFUNCTION("""COMPUTED_VALUE"""),"Malbec Mec")</f>
        <v>Malbec Mec</v>
      </c>
      <c r="G438" s="2">
        <f ca="1">IFERROR(__xludf.DUMMYFUNCTION("""COMPUTED_VALUE"""),0)</f>
        <v>0</v>
      </c>
      <c r="H438" s="2">
        <f ca="1">IFERROR(__xludf.DUMMYFUNCTION("""COMPUTED_VALUE"""),15200)</f>
        <v>15200</v>
      </c>
      <c r="I438" s="2"/>
      <c r="J438" s="2"/>
      <c r="K438" s="2" t="str">
        <f ca="1">IFERROR(__xludf.DUMMYFUNCTION("""COMPUTED_VALUE"""),"Descubada")</f>
        <v>Descubada</v>
      </c>
      <c r="L438" s="2"/>
      <c r="M438" s="2"/>
    </row>
    <row r="439" spans="1:13" x14ac:dyDescent="0.25">
      <c r="A439" s="2" t="str">
        <f ca="1">IFERROR(__xludf.DUMMYFUNCTION("""COMPUTED_VALUE"""),"3640d88c")</f>
        <v>3640d88c</v>
      </c>
      <c r="B439" s="2"/>
      <c r="C439" s="3">
        <f ca="1">IFERROR(__xludf.DUMMYFUNCTION("""COMPUTED_VALUE"""),45750.7329050925)</f>
        <v>45750.732905092496</v>
      </c>
      <c r="D439" s="2">
        <f ca="1">IFERROR(__xludf.DUMMYFUNCTION("""COMPUTED_VALUE"""),14)</f>
        <v>14</v>
      </c>
      <c r="E439" s="2">
        <f ca="1">IFERROR(__xludf.DUMMYFUNCTION("""COMPUTED_VALUE"""),37000)</f>
        <v>37000</v>
      </c>
      <c r="F439" s="2" t="str">
        <f ca="1">IFERROR(__xludf.DUMMYFUNCTION("""COMPUTED_VALUE"""),"Malbec Mec")</f>
        <v>Malbec Mec</v>
      </c>
      <c r="G439" s="2">
        <f ca="1">IFERROR(__xludf.DUMMYFUNCTION("""COMPUTED_VALUE"""),15200)</f>
        <v>15200</v>
      </c>
      <c r="H439" s="2">
        <f ca="1">IFERROR(__xludf.DUMMYFUNCTION("""COMPUTED_VALUE"""),37000)</f>
        <v>37000</v>
      </c>
      <c r="I439" s="2"/>
      <c r="J439" s="2"/>
      <c r="K439" s="2" t="str">
        <f ca="1">IFERROR(__xludf.DUMMYFUNCTION("""COMPUTED_VALUE"""),"Descubada")</f>
        <v>Descubada</v>
      </c>
      <c r="L439" s="2" t="str">
        <f ca="1">IFERROR(__xludf.DUMMYFUNCTION("""COMPUTED_VALUE"""),"1")</f>
        <v>1</v>
      </c>
      <c r="M439" s="2"/>
    </row>
    <row r="440" spans="1:13" x14ac:dyDescent="0.25">
      <c r="A440" s="2" t="str">
        <f ca="1">IFERROR(__xludf.DUMMYFUNCTION("""COMPUTED_VALUE"""),"d9c4b92b")</f>
        <v>d9c4b92b</v>
      </c>
      <c r="B440" s="2"/>
      <c r="C440" s="3">
        <f ca="1">IFERROR(__xludf.DUMMYFUNCTION("""COMPUTED_VALUE"""),45750.7332523148)</f>
        <v>45750.7332523148</v>
      </c>
      <c r="D440" s="2">
        <f ca="1">IFERROR(__xludf.DUMMYFUNCTION("""COMPUTED_VALUE"""),15)</f>
        <v>15</v>
      </c>
      <c r="E440" s="2">
        <f ca="1">IFERROR(__xludf.DUMMYFUNCTION("""COMPUTED_VALUE"""),36500)</f>
        <v>36500</v>
      </c>
      <c r="F440" s="2" t="str">
        <f ca="1">IFERROR(__xludf.DUMMYFUNCTION("""COMPUTED_VALUE"""),"Malbec")</f>
        <v>Malbec</v>
      </c>
      <c r="G440" s="2">
        <f ca="1">IFERROR(__xludf.DUMMYFUNCTION("""COMPUTED_VALUE"""),0)</f>
        <v>0</v>
      </c>
      <c r="H440" s="2">
        <f ca="1">IFERROR(__xludf.DUMMYFUNCTION("""COMPUTED_VALUE"""),24500)</f>
        <v>24500</v>
      </c>
      <c r="I440" s="2" t="str">
        <f ca="1">IFERROR(__xludf.DUMMYFUNCTION("""COMPUTED_VALUE"""),"4/4
Bien
Posible 73 y 69 q está pileta")</f>
        <v>4/4
Bien
Posible 73 y 69 q está pileta</v>
      </c>
      <c r="J440" s="2"/>
      <c r="K440" s="2" t="str">
        <f ca="1">IFERROR(__xludf.DUMMYFUNCTION("""COMPUTED_VALUE"""),"Descubada")</f>
        <v>Descubada</v>
      </c>
      <c r="L440" s="2"/>
      <c r="M440" s="2"/>
    </row>
    <row r="441" spans="1:13" x14ac:dyDescent="0.25">
      <c r="A441" s="2" t="str">
        <f ca="1">IFERROR(__xludf.DUMMYFUNCTION("""COMPUTED_VALUE"""),"3aa98d19")</f>
        <v>3aa98d19</v>
      </c>
      <c r="B441" s="2"/>
      <c r="C441" s="3">
        <f ca="1">IFERROR(__xludf.DUMMYFUNCTION("""COMPUTED_VALUE"""),45750.7340625)</f>
        <v>45750.7340625</v>
      </c>
      <c r="D441" s="2">
        <f ca="1">IFERROR(__xludf.DUMMYFUNCTION("""COMPUTED_VALUE"""),115)</f>
        <v>115</v>
      </c>
      <c r="E441" s="2">
        <f ca="1">IFERROR(__xludf.DUMMYFUNCTION("""COMPUTED_VALUE"""),120200)</f>
        <v>120200</v>
      </c>
      <c r="F441" s="2" t="str">
        <f ca="1">IFERROR(__xludf.DUMMYFUNCTION("""COMPUTED_VALUE"""),"Syrah")</f>
        <v>Syrah</v>
      </c>
      <c r="G441" s="2">
        <f ca="1">IFERROR(__xludf.DUMMYFUNCTION("""COMPUTED_VALUE"""),0)</f>
        <v>0</v>
      </c>
      <c r="H441" s="2">
        <f ca="1">IFERROR(__xludf.DUMMYFUNCTION("""COMPUTED_VALUE"""),59000)</f>
        <v>59000</v>
      </c>
      <c r="I441" s="2"/>
      <c r="J441" s="2"/>
      <c r="K441" s="2" t="str">
        <f ca="1">IFERROR(__xludf.DUMMYFUNCTION("""COMPUTED_VALUE"""),"1er Trasiego")</f>
        <v>1er Trasiego</v>
      </c>
      <c r="L441" s="2"/>
      <c r="M441" s="2"/>
    </row>
    <row r="442" spans="1:13" x14ac:dyDescent="0.25">
      <c r="A442" s="2" t="str">
        <f ca="1">IFERROR(__xludf.DUMMYFUNCTION("""COMPUTED_VALUE"""),"8042d6c2")</f>
        <v>8042d6c2</v>
      </c>
      <c r="B442" s="2"/>
      <c r="C442" s="3">
        <f ca="1">IFERROR(__xludf.DUMMYFUNCTION("""COMPUTED_VALUE"""),45750.7367939813)</f>
        <v>45750.736793981399</v>
      </c>
      <c r="D442" s="2">
        <f ca="1">IFERROR(__xludf.DUMMYFUNCTION("""COMPUTED_VALUE"""),115)</f>
        <v>115</v>
      </c>
      <c r="E442" s="2">
        <f ca="1">IFERROR(__xludf.DUMMYFUNCTION("""COMPUTED_VALUE"""),120200)</f>
        <v>120200</v>
      </c>
      <c r="F442" s="2" t="str">
        <f ca="1">IFERROR(__xludf.DUMMYFUNCTION("""COMPUTED_VALUE"""),"Syrah Tempranillo")</f>
        <v>Syrah Tempranillo</v>
      </c>
      <c r="G442" s="2">
        <f ca="1">IFERROR(__xludf.DUMMYFUNCTION("""COMPUTED_VALUE"""),59000)</f>
        <v>59000</v>
      </c>
      <c r="H442" s="2">
        <f ca="1">IFERROR(__xludf.DUMMYFUNCTION("""COMPUTED_VALUE"""),89000)</f>
        <v>89000</v>
      </c>
      <c r="I442" s="2"/>
      <c r="J442" s="2"/>
      <c r="K442" s="2" t="str">
        <f ca="1">IFERROR(__xludf.DUMMYFUNCTION("""COMPUTED_VALUE"""),"1er Trasiego")</f>
        <v>1er Trasiego</v>
      </c>
      <c r="L442" s="2"/>
      <c r="M442" s="2"/>
    </row>
    <row r="443" spans="1:13" x14ac:dyDescent="0.25">
      <c r="A443" s="2" t="str">
        <f ca="1">IFERROR(__xludf.DUMMYFUNCTION("""COMPUTED_VALUE"""),"03e27ebe")</f>
        <v>03e27ebe</v>
      </c>
      <c r="B443" s="2"/>
      <c r="C443" s="3">
        <f ca="1">IFERROR(__xludf.DUMMYFUNCTION("""COMPUTED_VALUE"""),45750.7372800925)</f>
        <v>45750.7372800925</v>
      </c>
      <c r="D443" s="2">
        <f ca="1">IFERROR(__xludf.DUMMYFUNCTION("""COMPUTED_VALUE"""),115)</f>
        <v>115</v>
      </c>
      <c r="E443" s="2">
        <f ca="1">IFERROR(__xludf.DUMMYFUNCTION("""COMPUTED_VALUE"""),120200)</f>
        <v>120200</v>
      </c>
      <c r="F443" s="2" t="str">
        <f ca="1">IFERROR(__xludf.DUMMYFUNCTION("""COMPUTED_VALUE"""),"Syrah Tempranillo")</f>
        <v>Syrah Tempranillo</v>
      </c>
      <c r="G443" s="2">
        <f ca="1">IFERROR(__xludf.DUMMYFUNCTION("""COMPUTED_VALUE"""),89000)</f>
        <v>89000</v>
      </c>
      <c r="H443" s="2">
        <f ca="1">IFERROR(__xludf.DUMMYFUNCTION("""COMPUTED_VALUE"""),118000)</f>
        <v>118000</v>
      </c>
      <c r="I443" s="2" t="str">
        <f ca="1">IFERROR(__xludf.DUMMYFUNCTION("""COMPUTED_VALUE"""),"4/4
Bien")</f>
        <v>4/4
Bien</v>
      </c>
      <c r="J443" s="2"/>
      <c r="K443" s="2" t="str">
        <f ca="1">IFERROR(__xludf.DUMMYFUNCTION("""COMPUTED_VALUE"""),"1er Trasiego")</f>
        <v>1er Trasiego</v>
      </c>
      <c r="L443" s="2"/>
      <c r="M443" s="2"/>
    </row>
    <row r="444" spans="1:13" x14ac:dyDescent="0.25">
      <c r="A444" s="2" t="str">
        <f ca="1">IFERROR(__xludf.DUMMYFUNCTION("""COMPUTED_VALUE"""),"1bba563a")</f>
        <v>1bba563a</v>
      </c>
      <c r="B444" s="2"/>
      <c r="C444" s="3">
        <f ca="1">IFERROR(__xludf.DUMMYFUNCTION("""COMPUTED_VALUE"""),45750.7523726851)</f>
        <v>45750.7523726851</v>
      </c>
      <c r="D444" s="2">
        <f ca="1">IFERROR(__xludf.DUMMYFUNCTION("""COMPUTED_VALUE"""),90)</f>
        <v>90</v>
      </c>
      <c r="E444" s="2">
        <f ca="1">IFERROR(__xludf.DUMMYFUNCTION("""COMPUTED_VALUE"""),97500)</f>
        <v>97500</v>
      </c>
      <c r="F444" s="2" t="str">
        <f ca="1">IFERROR(__xludf.DUMMYFUNCTION("""COMPUTED_VALUE"""),"Bonarda")</f>
        <v>Bonarda</v>
      </c>
      <c r="G444" s="2"/>
      <c r="H444" s="2">
        <f ca="1">IFERROR(__xludf.DUMMYFUNCTION("""COMPUTED_VALUE"""),57000)</f>
        <v>57000</v>
      </c>
      <c r="I444" s="2"/>
      <c r="J444" s="2" t="str">
        <f ca="1">IFERROR(__xludf.DUMMYFUNCTION("""COMPUTED_VALUE"""),"6053 , 6054 , 6055 , 6057 , 6062 , 6061 , 6064 , 6060")</f>
        <v>6053 , 6054 , 6055 , 6057 , 6062 , 6061 , 6064 , 6060</v>
      </c>
      <c r="K444" s="2" t="str">
        <f ca="1">IFERROR(__xludf.DUMMYFUNCTION("""COMPUTED_VALUE"""),"Fermentando")</f>
        <v>Fermentando</v>
      </c>
      <c r="L444" s="2"/>
      <c r="M444" s="2"/>
    </row>
    <row r="445" spans="1:13" x14ac:dyDescent="0.25">
      <c r="A445" s="2" t="str">
        <f ca="1">IFERROR(__xludf.DUMMYFUNCTION("""COMPUTED_VALUE"""),"a00cfab3")</f>
        <v>a00cfab3</v>
      </c>
      <c r="B445" s="2"/>
      <c r="C445" s="3">
        <f ca="1">IFERROR(__xludf.DUMMYFUNCTION("""COMPUTED_VALUE"""),45750.7637962963)</f>
        <v>45750.763796296298</v>
      </c>
      <c r="D445" s="2">
        <f ca="1">IFERROR(__xludf.DUMMYFUNCTION("""COMPUTED_VALUE"""),81)</f>
        <v>81</v>
      </c>
      <c r="E445" s="2">
        <f ca="1">IFERROR(__xludf.DUMMYFUNCTION("""COMPUTED_VALUE"""),26500)</f>
        <v>26500</v>
      </c>
      <c r="F445" s="2" t="str">
        <f ca="1">IFERROR(__xludf.DUMMYFUNCTION("""COMPUTED_VALUE"""),"Malbec")</f>
        <v>Malbec</v>
      </c>
      <c r="G445" s="2"/>
      <c r="H445" s="2">
        <f ca="1">IFERROR(__xludf.DUMMYFUNCTION("""COMPUTED_VALUE"""),14500)</f>
        <v>14500</v>
      </c>
      <c r="I445" s="2"/>
      <c r="J445" s="2" t="str">
        <f ca="1">IFERROR(__xludf.DUMMYFUNCTION("""COMPUTED_VALUE"""),"6065 , 6080")</f>
        <v>6065 , 6080</v>
      </c>
      <c r="K445" s="2" t="str">
        <f ca="1">IFERROR(__xludf.DUMMYFUNCTION("""COMPUTED_VALUE"""),"Fermentando")</f>
        <v>Fermentando</v>
      </c>
      <c r="L445" s="2"/>
      <c r="M445" s="2"/>
    </row>
    <row r="446" spans="1:13" x14ac:dyDescent="0.25">
      <c r="A446" s="2" t="str">
        <f ca="1">IFERROR(__xludf.DUMMYFUNCTION("""COMPUTED_VALUE"""),"b90ba869")</f>
        <v>b90ba869</v>
      </c>
      <c r="B446" s="2"/>
      <c r="C446" s="3">
        <f ca="1">IFERROR(__xludf.DUMMYFUNCTION("""COMPUTED_VALUE"""),45750.7647106481)</f>
        <v>45750.764710648102</v>
      </c>
      <c r="D446" s="2">
        <f ca="1">IFERROR(__xludf.DUMMYFUNCTION("""COMPUTED_VALUE"""),84)</f>
        <v>84</v>
      </c>
      <c r="E446" s="2">
        <f ca="1">IFERROR(__xludf.DUMMYFUNCTION("""COMPUTED_VALUE"""),83000)</f>
        <v>83000</v>
      </c>
      <c r="F446" s="2" t="str">
        <f ca="1">IFERROR(__xludf.DUMMYFUNCTION("""COMPUTED_VALUE"""),"Bonarda")</f>
        <v>Bonarda</v>
      </c>
      <c r="G446" s="2"/>
      <c r="H446" s="2">
        <f ca="1">IFERROR(__xludf.DUMMYFUNCTION("""COMPUTED_VALUE"""),47000)</f>
        <v>47000</v>
      </c>
      <c r="I446" s="2"/>
      <c r="J446" s="2" t="str">
        <f ca="1">IFERROR(__xludf.DUMMYFUNCTION("""COMPUTED_VALUE"""),"6066 , 6068 , 6069 , 6076 , 6078 , 6079")</f>
        <v>6066 , 6068 , 6069 , 6076 , 6078 , 6079</v>
      </c>
      <c r="K446" s="2" t="str">
        <f ca="1">IFERROR(__xludf.DUMMYFUNCTION("""COMPUTED_VALUE"""),"Fermentando")</f>
        <v>Fermentando</v>
      </c>
      <c r="L446" s="2"/>
      <c r="M446" s="2"/>
    </row>
    <row r="447" spans="1:13" x14ac:dyDescent="0.25">
      <c r="A447" s="2" t="str">
        <f ca="1">IFERROR(__xludf.DUMMYFUNCTION("""COMPUTED_VALUE"""),"91eadabd")</f>
        <v>91eadabd</v>
      </c>
      <c r="B447" s="2"/>
      <c r="C447" s="3">
        <f ca="1">IFERROR(__xludf.DUMMYFUNCTION("""COMPUTED_VALUE"""),45751.4944444444)</f>
        <v>45751.494444444397</v>
      </c>
      <c r="D447" s="2">
        <f ca="1">IFERROR(__xludf.DUMMYFUNCTION("""COMPUTED_VALUE"""),127)</f>
        <v>127</v>
      </c>
      <c r="E447" s="2">
        <f ca="1">IFERROR(__xludf.DUMMYFUNCTION("""COMPUTED_VALUE"""),31000)</f>
        <v>31000</v>
      </c>
      <c r="F447" s="2" t="str">
        <f ca="1">IFERROR(__xludf.DUMMYFUNCTION("""COMPUTED_VALUE"""),"Criolla s/Bonarda")</f>
        <v>Criolla s/Bonarda</v>
      </c>
      <c r="G447" s="2">
        <f ca="1">IFERROR(__xludf.DUMMYFUNCTION("""COMPUTED_VALUE"""),0)</f>
        <v>0</v>
      </c>
      <c r="H447" s="2">
        <f ca="1">IFERROR(__xludf.DUMMYFUNCTION("""COMPUTED_VALUE"""),31000)</f>
        <v>31000</v>
      </c>
      <c r="I447" s="2" t="str">
        <f ca="1">IFERROR(__xludf.DUMMYFUNCTION("""COMPUTED_VALUE"""),"8/4
Tiene carbónico. Hacer SOL")</f>
        <v>8/4
Tiene carbónico. Hacer SOL</v>
      </c>
      <c r="J447" s="2"/>
      <c r="K447" s="2" t="str">
        <f ca="1">IFERROR(__xludf.DUMMYFUNCTION("""COMPUTED_VALUE"""),"Descubada")</f>
        <v>Descubada</v>
      </c>
      <c r="L447" s="2"/>
      <c r="M447" s="2"/>
    </row>
    <row r="448" spans="1:13" x14ac:dyDescent="0.25">
      <c r="A448" s="2" t="str">
        <f ca="1">IFERROR(__xludf.DUMMYFUNCTION("""COMPUTED_VALUE"""),"189ea379")</f>
        <v>189ea379</v>
      </c>
      <c r="B448" s="2"/>
      <c r="C448" s="3">
        <f ca="1">IFERROR(__xludf.DUMMYFUNCTION("""COMPUTED_VALUE"""),45751.4947800925)</f>
        <v>45751.4947800925</v>
      </c>
      <c r="D448" s="2">
        <f ca="1">IFERROR(__xludf.DUMMYFUNCTION("""COMPUTED_VALUE"""),91)</f>
        <v>91</v>
      </c>
      <c r="E448" s="2">
        <f ca="1">IFERROR(__xludf.DUMMYFUNCTION("""COMPUTED_VALUE"""),86000)</f>
        <v>86000</v>
      </c>
      <c r="F448" s="2" t="str">
        <f ca="1">IFERROR(__xludf.DUMMYFUNCTION("""COMPUTED_VALUE"""),"Tinto s/Bonarda")</f>
        <v>Tinto s/Bonarda</v>
      </c>
      <c r="G448" s="2">
        <f ca="1">IFERROR(__xludf.DUMMYFUNCTION("""COMPUTED_VALUE"""),62300)</f>
        <v>62300</v>
      </c>
      <c r="H448" s="2">
        <f ca="1">IFERROR(__xludf.DUMMYFUNCTION("""COMPUTED_VALUE"""),68500)</f>
        <v>68500</v>
      </c>
      <c r="I448" s="2"/>
      <c r="J448" s="2"/>
      <c r="K448" s="2" t="str">
        <f ca="1">IFERROR(__xludf.DUMMYFUNCTION("""COMPUTED_VALUE"""),"Recarga Fermentando")</f>
        <v>Recarga Fermentando</v>
      </c>
      <c r="L448" s="2"/>
      <c r="M448" s="2"/>
    </row>
    <row r="449" spans="1:13" x14ac:dyDescent="0.25">
      <c r="A449" s="4">
        <f ca="1">IFERROR(__xludf.DUMMYFUNCTION("""COMPUTED_VALUE"""),1273642)</f>
        <v>1273642</v>
      </c>
      <c r="B449" s="2"/>
      <c r="C449" s="3">
        <f ca="1">IFERROR(__xludf.DUMMYFUNCTION("""COMPUTED_VALUE"""),45751.5278819444)</f>
        <v>45751.527881944399</v>
      </c>
      <c r="D449" s="2">
        <f ca="1">IFERROR(__xludf.DUMMYFUNCTION("""COMPUTED_VALUE"""),89)</f>
        <v>89</v>
      </c>
      <c r="E449" s="2">
        <f ca="1">IFERROR(__xludf.DUMMYFUNCTION("""COMPUTED_VALUE"""),83500)</f>
        <v>83500</v>
      </c>
      <c r="F449" s="2" t="str">
        <f ca="1">IFERROR(__xludf.DUMMYFUNCTION("""COMPUTED_VALUE"""),"Malbec")</f>
        <v>Malbec</v>
      </c>
      <c r="G449" s="2"/>
      <c r="H449" s="2">
        <f ca="1">IFERROR(__xludf.DUMMYFUNCTION("""COMPUTED_VALUE"""),65000)</f>
        <v>65000</v>
      </c>
      <c r="I449" s="2" t="str">
        <f ca="1">IFERROR(__xludf.DUMMYFUNCTION("""COMPUTED_VALUE"""),"4/4
Pileta que fue un viaje de mas de uva")</f>
        <v>4/4
Pileta que fue un viaje de mas de uva</v>
      </c>
      <c r="J449" s="2" t="str">
        <f ca="1">IFERROR(__xludf.DUMMYFUNCTION("""COMPUTED_VALUE"""),"6070 , 6071 , 6072 , 6081 , 6082 , 6083 , 6085 , 6088")</f>
        <v>6070 , 6071 , 6072 , 6081 , 6082 , 6083 , 6085 , 6088</v>
      </c>
      <c r="K449" s="2" t="str">
        <f ca="1">IFERROR(__xludf.DUMMYFUNCTION("""COMPUTED_VALUE"""),"Fermentando")</f>
        <v>Fermentando</v>
      </c>
      <c r="L449" s="2"/>
      <c r="M449" s="2"/>
    </row>
    <row r="450" spans="1:13" x14ac:dyDescent="0.25">
      <c r="A450" s="2" t="str">
        <f ca="1">IFERROR(__xludf.DUMMYFUNCTION("""COMPUTED_VALUE"""),"e986fa9f")</f>
        <v>e986fa9f</v>
      </c>
      <c r="B450" s="2"/>
      <c r="C450" s="3">
        <f ca="1">IFERROR(__xludf.DUMMYFUNCTION("""COMPUTED_VALUE"""),45751.8392708333)</f>
        <v>45751.839270833298</v>
      </c>
      <c r="D450" s="2">
        <f ca="1">IFERROR(__xludf.DUMMYFUNCTION("""COMPUTED_VALUE"""),79)</f>
        <v>79</v>
      </c>
      <c r="E450" s="2">
        <f ca="1">IFERROR(__xludf.DUMMYFUNCTION("""COMPUTED_VALUE"""),26000)</f>
        <v>26000</v>
      </c>
      <c r="F450" s="2" t="str">
        <f ca="1">IFERROR(__xludf.DUMMYFUNCTION("""COMPUTED_VALUE"""),"Cabernet Sauv")</f>
        <v>Cabernet Sauv</v>
      </c>
      <c r="G450" s="2"/>
      <c r="H450" s="2">
        <f ca="1">IFERROR(__xludf.DUMMYFUNCTION("""COMPUTED_VALUE"""),17000)</f>
        <v>17000</v>
      </c>
      <c r="I450" s="2"/>
      <c r="J450" s="2" t="str">
        <f ca="1">IFERROR(__xludf.DUMMYFUNCTION("""COMPUTED_VALUE"""),"6075 , 6077 , 6087")</f>
        <v>6075 , 6077 , 6087</v>
      </c>
      <c r="K450" s="2" t="str">
        <f ca="1">IFERROR(__xludf.DUMMYFUNCTION("""COMPUTED_VALUE"""),"Fermentando")</f>
        <v>Fermentando</v>
      </c>
      <c r="L450" s="2"/>
      <c r="M450" s="2"/>
    </row>
    <row r="451" spans="1:13" x14ac:dyDescent="0.25">
      <c r="A451" s="2" t="str">
        <f ca="1">IFERROR(__xludf.DUMMYFUNCTION("""COMPUTED_VALUE"""),"f2ca28c2")</f>
        <v>f2ca28c2</v>
      </c>
      <c r="B451" s="2"/>
      <c r="C451" s="3">
        <f ca="1">IFERROR(__xludf.DUMMYFUNCTION("""COMPUTED_VALUE"""),45751.8850925925)</f>
        <v>45751.8850925925</v>
      </c>
      <c r="D451" s="2">
        <f ca="1">IFERROR(__xludf.DUMMYFUNCTION("""COMPUTED_VALUE"""),78)</f>
        <v>78</v>
      </c>
      <c r="E451" s="2">
        <f ca="1">IFERROR(__xludf.DUMMYFUNCTION("""COMPUTED_VALUE"""),25800)</f>
        <v>25800</v>
      </c>
      <c r="F451" s="2" t="str">
        <f ca="1">IFERROR(__xludf.DUMMYFUNCTION("""COMPUTED_VALUE"""),"Bonarda")</f>
        <v>Bonarda</v>
      </c>
      <c r="G451" s="2"/>
      <c r="H451" s="2">
        <f ca="1">IFERROR(__xludf.DUMMYFUNCTION("""COMPUTED_VALUE"""),14000)</f>
        <v>14000</v>
      </c>
      <c r="I451" s="2"/>
      <c r="J451" s="2" t="str">
        <f ca="1">IFERROR(__xludf.DUMMYFUNCTION("""COMPUTED_VALUE"""),"6084 , 6089")</f>
        <v>6084 , 6089</v>
      </c>
      <c r="K451" s="2" t="str">
        <f ca="1">IFERROR(__xludf.DUMMYFUNCTION("""COMPUTED_VALUE"""),"Fermentando")</f>
        <v>Fermentando</v>
      </c>
      <c r="L451" s="2"/>
      <c r="M451" s="2"/>
    </row>
    <row r="452" spans="1:13" x14ac:dyDescent="0.25">
      <c r="A452" s="2" t="str">
        <f ca="1">IFERROR(__xludf.DUMMYFUNCTION("""COMPUTED_VALUE"""),"cbb6852f")</f>
        <v>cbb6852f</v>
      </c>
      <c r="B452" s="2"/>
      <c r="C452" s="3">
        <f ca="1">IFERROR(__xludf.DUMMYFUNCTION("""COMPUTED_VALUE"""),45751.8860300925)</f>
        <v>45751.886030092501</v>
      </c>
      <c r="D452" s="2">
        <f ca="1">IFERROR(__xludf.DUMMYFUNCTION("""COMPUTED_VALUE"""),92)</f>
        <v>92</v>
      </c>
      <c r="E452" s="2">
        <f ca="1">IFERROR(__xludf.DUMMYFUNCTION("""COMPUTED_VALUE"""),76000)</f>
        <v>76000</v>
      </c>
      <c r="F452" s="2" t="str">
        <f ca="1">IFERROR(__xludf.DUMMYFUNCTION("""COMPUTED_VALUE"""),"Malbec")</f>
        <v>Malbec</v>
      </c>
      <c r="G452" s="2"/>
      <c r="H452" s="2">
        <f ca="1">IFERROR(__xludf.DUMMYFUNCTION("""COMPUTED_VALUE"""),43000)</f>
        <v>43000</v>
      </c>
      <c r="I452" s="2"/>
      <c r="J452" s="2" t="str">
        <f ca="1">IFERROR(__xludf.DUMMYFUNCTION("""COMPUTED_VALUE"""),"6086 , 6090 , 6091 , 6092 , 6093 , 6094")</f>
        <v>6086 , 6090 , 6091 , 6092 , 6093 , 6094</v>
      </c>
      <c r="K452" s="2" t="str">
        <f ca="1">IFERROR(__xludf.DUMMYFUNCTION("""COMPUTED_VALUE"""),"Fermentando")</f>
        <v>Fermentando</v>
      </c>
      <c r="L452" s="2"/>
      <c r="M452" s="2"/>
    </row>
    <row r="453" spans="1:13" x14ac:dyDescent="0.25">
      <c r="A453" s="2" t="str">
        <f ca="1">IFERROR(__xludf.DUMMYFUNCTION("""COMPUTED_VALUE"""),"b1b9580e")</f>
        <v>b1b9580e</v>
      </c>
      <c r="B453" s="2"/>
      <c r="C453" s="3">
        <f ca="1">IFERROR(__xludf.DUMMYFUNCTION("""COMPUTED_VALUE"""),45751.8881597222)</f>
        <v>45751.888159722199</v>
      </c>
      <c r="D453" s="2">
        <f ca="1">IFERROR(__xludf.DUMMYFUNCTION("""COMPUTED_VALUE"""),108)</f>
        <v>108</v>
      </c>
      <c r="E453" s="2">
        <f ca="1">IFERROR(__xludf.DUMMYFUNCTION("""COMPUTED_VALUE"""),31000)</f>
        <v>31000</v>
      </c>
      <c r="F453" s="2" t="str">
        <f ca="1">IFERROR(__xludf.DUMMYFUNCTION("""COMPUTED_VALUE"""),"Tinto G")</f>
        <v>Tinto G</v>
      </c>
      <c r="G453" s="2">
        <f ca="1">IFERROR(__xludf.DUMMYFUNCTION("""COMPUTED_VALUE"""),0)</f>
        <v>0</v>
      </c>
      <c r="H453" s="2">
        <f ca="1">IFERROR(__xludf.DUMMYFUNCTION("""COMPUTED_VALUE"""),31000)</f>
        <v>31000</v>
      </c>
      <c r="I453" s="2" t="str">
        <f ca="1">IFERROR(__xludf.DUMMYFUNCTION("""COMPUTED_VALUE"""),"17/4
Sucio todavia")</f>
        <v>17/4
Sucio todavia</v>
      </c>
      <c r="J453" s="2"/>
      <c r="K453" s="2" t="str">
        <f ca="1">IFERROR(__xludf.DUMMYFUNCTION("""COMPUTED_VALUE"""),"Descubada")</f>
        <v>Descubada</v>
      </c>
      <c r="L453" s="2"/>
      <c r="M453" s="2"/>
    </row>
    <row r="454" spans="1:13" x14ac:dyDescent="0.25">
      <c r="A454" s="2" t="str">
        <f ca="1">IFERROR(__xludf.DUMMYFUNCTION("""COMPUTED_VALUE"""),"1d042bcb")</f>
        <v>1d042bcb</v>
      </c>
      <c r="B454" s="2"/>
      <c r="C454" s="3">
        <f ca="1">IFERROR(__xludf.DUMMYFUNCTION("""COMPUTED_VALUE"""),45751.8887037037)</f>
        <v>45751.888703703698</v>
      </c>
      <c r="D454" s="2">
        <f ca="1">IFERROR(__xludf.DUMMYFUNCTION("""COMPUTED_VALUE"""),104)</f>
        <v>104</v>
      </c>
      <c r="E454" s="2">
        <f ca="1">IFERROR(__xludf.DUMMYFUNCTION("""COMPUTED_VALUE"""),31000)</f>
        <v>31000</v>
      </c>
      <c r="F454" s="2" t="str">
        <f ca="1">IFERROR(__xludf.DUMMYFUNCTION("""COMPUTED_VALUE"""),"Tinto")</f>
        <v>Tinto</v>
      </c>
      <c r="G454" s="2">
        <f ca="1">IFERROR(__xludf.DUMMYFUNCTION("""COMPUTED_VALUE"""),0)</f>
        <v>0</v>
      </c>
      <c r="H454" s="2">
        <f ca="1">IFERROR(__xludf.DUMMYFUNCTION("""COMPUTED_VALUE"""),31000)</f>
        <v>31000</v>
      </c>
      <c r="I454" s="2"/>
      <c r="J454" s="2"/>
      <c r="K454" s="2" t="str">
        <f ca="1">IFERROR(__xludf.DUMMYFUNCTION("""COMPUTED_VALUE"""),"Descubada")</f>
        <v>Descubada</v>
      </c>
      <c r="L454" s="2"/>
      <c r="M454" s="2"/>
    </row>
    <row r="455" spans="1:13" x14ac:dyDescent="0.25">
      <c r="A455" s="2" t="str">
        <f ca="1">IFERROR(__xludf.DUMMYFUNCTION("""COMPUTED_VALUE"""),"dac100da")</f>
        <v>dac100da</v>
      </c>
      <c r="B455" s="2"/>
      <c r="C455" s="3">
        <f ca="1">IFERROR(__xludf.DUMMYFUNCTION("""COMPUTED_VALUE"""),45751.8889351851)</f>
        <v>45751.888935185103</v>
      </c>
      <c r="D455" s="2">
        <f ca="1">IFERROR(__xludf.DUMMYFUNCTION("""COMPUTED_VALUE"""),105)</f>
        <v>105</v>
      </c>
      <c r="E455" s="2">
        <f ca="1">IFERROR(__xludf.DUMMYFUNCTION("""COMPUTED_VALUE"""),31000)</f>
        <v>31000</v>
      </c>
      <c r="F455" s="2" t="str">
        <f ca="1">IFERROR(__xludf.DUMMYFUNCTION("""COMPUTED_VALUE"""),"Tinto s/Bonarda")</f>
        <v>Tinto s/Bonarda</v>
      </c>
      <c r="G455" s="2">
        <f ca="1">IFERROR(__xludf.DUMMYFUNCTION("""COMPUTED_VALUE"""),0)</f>
        <v>0</v>
      </c>
      <c r="H455" s="2">
        <f ca="1">IFERROR(__xludf.DUMMYFUNCTION("""COMPUTED_VALUE"""),6500)</f>
        <v>6500</v>
      </c>
      <c r="I455" s="2"/>
      <c r="J455" s="2"/>
      <c r="K455" s="2" t="str">
        <f ca="1">IFERROR(__xludf.DUMMYFUNCTION("""COMPUTED_VALUE"""),"Descubada")</f>
        <v>Descubada</v>
      </c>
      <c r="L455" s="2"/>
      <c r="M455" s="2"/>
    </row>
    <row r="456" spans="1:13" x14ac:dyDescent="0.25">
      <c r="A456" s="2" t="str">
        <f ca="1">IFERROR(__xludf.DUMMYFUNCTION("""COMPUTED_VALUE"""),"42842cde")</f>
        <v>42842cde</v>
      </c>
      <c r="B456" s="2"/>
      <c r="C456" s="3">
        <f ca="1">IFERROR(__xludf.DUMMYFUNCTION("""COMPUTED_VALUE"""),45751.8991782407)</f>
        <v>45751.899178240703</v>
      </c>
      <c r="D456" s="2">
        <f ca="1">IFERROR(__xludf.DUMMYFUNCTION("""COMPUTED_VALUE"""),70)</f>
        <v>70</v>
      </c>
      <c r="E456" s="2">
        <f ca="1">IFERROR(__xludf.DUMMYFUNCTION("""COMPUTED_VALUE"""),13000)</f>
        <v>13000</v>
      </c>
      <c r="F456" s="2" t="str">
        <f ca="1">IFERROR(__xludf.DUMMYFUNCTION("""COMPUTED_VALUE"""),"Tanat")</f>
        <v>Tanat</v>
      </c>
      <c r="G456" s="2">
        <f ca="1">IFERROR(__xludf.DUMMYFUNCTION("""COMPUTED_VALUE"""),0)</f>
        <v>0</v>
      </c>
      <c r="H456" s="2">
        <f ca="1">IFERROR(__xludf.DUMMYFUNCTION("""COMPUTED_VALUE"""),5000)</f>
        <v>5000</v>
      </c>
      <c r="I456" s="2"/>
      <c r="J456" s="2"/>
      <c r="K456" s="2" t="str">
        <f ca="1">IFERROR(__xludf.DUMMYFUNCTION("""COMPUTED_VALUE"""),"Descubada")</f>
        <v>Descubada</v>
      </c>
      <c r="L456" s="2"/>
      <c r="M456" s="2"/>
    </row>
    <row r="457" spans="1:13" x14ac:dyDescent="0.25">
      <c r="A457" s="2" t="str">
        <f ca="1">IFERROR(__xludf.DUMMYFUNCTION("""COMPUTED_VALUE"""),"65c7867f")</f>
        <v>65c7867f</v>
      </c>
      <c r="B457" s="2"/>
      <c r="C457" s="3">
        <f ca="1">IFERROR(__xludf.DUMMYFUNCTION("""COMPUTED_VALUE"""),45751.8994675925)</f>
        <v>45751.899467592499</v>
      </c>
      <c r="D457" s="2">
        <f ca="1">IFERROR(__xludf.DUMMYFUNCTION("""COMPUTED_VALUE"""),70)</f>
        <v>70</v>
      </c>
      <c r="E457" s="2">
        <f ca="1">IFERROR(__xludf.DUMMYFUNCTION("""COMPUTED_VALUE"""),13000)</f>
        <v>13000</v>
      </c>
      <c r="F457" s="2" t="str">
        <f ca="1">IFERROR(__xludf.DUMMYFUNCTION("""COMPUTED_VALUE"""),"Tanat")</f>
        <v>Tanat</v>
      </c>
      <c r="G457" s="2">
        <f ca="1">IFERROR(__xludf.DUMMYFUNCTION("""COMPUTED_VALUE"""),5000)</f>
        <v>5000</v>
      </c>
      <c r="H457" s="2">
        <f ca="1">IFERROR(__xludf.DUMMYFUNCTION("""COMPUTED_VALUE"""),10000)</f>
        <v>10000</v>
      </c>
      <c r="I457" s="2" t="str">
        <f ca="1">IFERROR(__xludf.DUMMYFUNCTION("""COMPUTED_VALUE"""),"8/4
Está bien. Buena esteuctura.
Corregir sol antes de rellenar")</f>
        <v>8/4
Está bien. Buena esteuctura.
Corregir sol antes de rellenar</v>
      </c>
      <c r="J457" s="2"/>
      <c r="K457" s="2" t="str">
        <f ca="1">IFERROR(__xludf.DUMMYFUNCTION("""COMPUTED_VALUE"""),"Descubada")</f>
        <v>Descubada</v>
      </c>
      <c r="L457" s="2"/>
      <c r="M457" s="2"/>
    </row>
    <row r="458" spans="1:13" x14ac:dyDescent="0.25">
      <c r="A458" s="2" t="str">
        <f ca="1">IFERROR(__xludf.DUMMYFUNCTION("""COMPUTED_VALUE"""),"5c558cca")</f>
        <v>5c558cca</v>
      </c>
      <c r="B458" s="2"/>
      <c r="C458" s="3">
        <f ca="1">IFERROR(__xludf.DUMMYFUNCTION("""COMPUTED_VALUE"""),45751.9001736111)</f>
        <v>45751.900173611102</v>
      </c>
      <c r="D458" s="2">
        <f ca="1">IFERROR(__xludf.DUMMYFUNCTION("""COMPUTED_VALUE"""),71)</f>
        <v>71</v>
      </c>
      <c r="E458" s="2">
        <f ca="1">IFERROR(__xludf.DUMMYFUNCTION("""COMPUTED_VALUE"""),13000)</f>
        <v>13000</v>
      </c>
      <c r="F458" s="2" t="str">
        <f ca="1">IFERROR(__xludf.DUMMYFUNCTION("""COMPUTED_VALUE"""),"Cabernet Sauv s/Tanat")</f>
        <v>Cabernet Sauv s/Tanat</v>
      </c>
      <c r="G458" s="2">
        <f ca="1">IFERROR(__xludf.DUMMYFUNCTION("""COMPUTED_VALUE"""),3500)</f>
        <v>3500</v>
      </c>
      <c r="H458" s="2">
        <f ca="1">IFERROR(__xludf.DUMMYFUNCTION("""COMPUTED_VALUE"""),8500)</f>
        <v>8500</v>
      </c>
      <c r="I458" s="2"/>
      <c r="J458" s="2"/>
      <c r="K458" s="2" t="str">
        <f ca="1">IFERROR(__xludf.DUMMYFUNCTION("""COMPUTED_VALUE"""),"Recarga Fermentando")</f>
        <v>Recarga Fermentando</v>
      </c>
      <c r="L458" s="2"/>
      <c r="M458" s="2"/>
    </row>
    <row r="459" spans="1:13" x14ac:dyDescent="0.25">
      <c r="A459" s="2" t="str">
        <f ca="1">IFERROR(__xludf.DUMMYFUNCTION("""COMPUTED_VALUE"""),"3de4f15e")</f>
        <v>3de4f15e</v>
      </c>
      <c r="B459" s="2"/>
      <c r="C459" s="3">
        <f ca="1">IFERROR(__xludf.DUMMYFUNCTION("""COMPUTED_VALUE"""),45751.9008449074)</f>
        <v>45751.900844907403</v>
      </c>
      <c r="D459" s="2">
        <f ca="1">IFERROR(__xludf.DUMMYFUNCTION("""COMPUTED_VALUE"""),72)</f>
        <v>72</v>
      </c>
      <c r="E459" s="2">
        <f ca="1">IFERROR(__xludf.DUMMYFUNCTION("""COMPUTED_VALUE"""),13000)</f>
        <v>13000</v>
      </c>
      <c r="F459" s="2" t="str">
        <f ca="1">IFERROR(__xludf.DUMMYFUNCTION("""COMPUTED_VALUE"""),"Cabernet Sauv s/Tanat")</f>
        <v>Cabernet Sauv s/Tanat</v>
      </c>
      <c r="G459" s="2">
        <f ca="1">IFERROR(__xludf.DUMMYFUNCTION("""COMPUTED_VALUE"""),3000)</f>
        <v>3000</v>
      </c>
      <c r="H459" s="2">
        <f ca="1">IFERROR(__xludf.DUMMYFUNCTION("""COMPUTED_VALUE"""),8000)</f>
        <v>8000</v>
      </c>
      <c r="I459" s="2" t="str">
        <f ca="1">IFERROR(__xludf.DUMMYFUNCTION("""COMPUTED_VALUE"""),"11/4
Nora floral. No mover más")</f>
        <v>11/4
Nora floral. No mover más</v>
      </c>
      <c r="J459" s="2"/>
      <c r="K459" s="2" t="str">
        <f ca="1">IFERROR(__xludf.DUMMYFUNCTION("""COMPUTED_VALUE"""),"Recarga Fermentando")</f>
        <v>Recarga Fermentando</v>
      </c>
      <c r="L459" s="2"/>
      <c r="M459" s="2"/>
    </row>
    <row r="460" spans="1:13" x14ac:dyDescent="0.25">
      <c r="A460" s="2" t="str">
        <f ca="1">IFERROR(__xludf.DUMMYFUNCTION("""COMPUTED_VALUE"""),"d56b533b")</f>
        <v>d56b533b</v>
      </c>
      <c r="B460" s="2"/>
      <c r="C460" s="3">
        <f ca="1">IFERROR(__xludf.DUMMYFUNCTION("""COMPUTED_VALUE"""),45751.9039583333)</f>
        <v>45751.9039583333</v>
      </c>
      <c r="D460" s="2">
        <f ca="1">IFERROR(__xludf.DUMMYFUNCTION("""COMPUTED_VALUE"""),500)</f>
        <v>500</v>
      </c>
      <c r="E460" s="2">
        <f ca="1">IFERROR(__xludf.DUMMYFUNCTION("""COMPUTED_VALUE"""),200000)</f>
        <v>200000</v>
      </c>
      <c r="F460" s="2" t="str">
        <f ca="1">IFERROR(__xludf.DUMMYFUNCTION("""COMPUTED_VALUE"""),"Ajuste Arqueo 01-04-25")</f>
        <v>Ajuste Arqueo 01-04-25</v>
      </c>
      <c r="G460" s="2">
        <f ca="1">IFERROR(__xludf.DUMMYFUNCTION("""COMPUTED_VALUE"""),-16999)</f>
        <v>-16999</v>
      </c>
      <c r="H460" s="2">
        <f ca="1">IFERROR(__xludf.DUMMYFUNCTION("""COMPUTED_VALUE"""),-12999)</f>
        <v>-12999</v>
      </c>
      <c r="I460" s="2"/>
      <c r="J460" s="2"/>
      <c r="K460" s="2" t="str">
        <f ca="1">IFERROR(__xludf.DUMMYFUNCTION("""COMPUTED_VALUE"""),"Descubada")</f>
        <v>Descubada</v>
      </c>
      <c r="L460" s="2"/>
      <c r="M460" s="2"/>
    </row>
    <row r="461" spans="1:13" x14ac:dyDescent="0.25">
      <c r="A461" s="2" t="str">
        <f ca="1">IFERROR(__xludf.DUMMYFUNCTION("""COMPUTED_VALUE"""),"5e0dbcce")</f>
        <v>5e0dbcce</v>
      </c>
      <c r="B461" s="2"/>
      <c r="C461" s="3">
        <f ca="1">IFERROR(__xludf.DUMMYFUNCTION("""COMPUTED_VALUE"""),45751.9048726851)</f>
        <v>45751.904872685103</v>
      </c>
      <c r="D461" s="2">
        <f ca="1">IFERROR(__xludf.DUMMYFUNCTION("""COMPUTED_VALUE"""),15)</f>
        <v>15</v>
      </c>
      <c r="E461" s="2">
        <f ca="1">IFERROR(__xludf.DUMMYFUNCTION("""COMPUTED_VALUE"""),36500)</f>
        <v>36500</v>
      </c>
      <c r="F461" s="2" t="str">
        <f ca="1">IFERROR(__xludf.DUMMYFUNCTION("""COMPUTED_VALUE"""),"Malbec")</f>
        <v>Malbec</v>
      </c>
      <c r="G461" s="2">
        <f ca="1">IFERROR(__xludf.DUMMYFUNCTION("""COMPUTED_VALUE"""),20500)</f>
        <v>20500</v>
      </c>
      <c r="H461" s="2">
        <f ca="1">IFERROR(__xludf.DUMMYFUNCTION("""COMPUTED_VALUE"""),28150)</f>
        <v>28150</v>
      </c>
      <c r="I461" s="2"/>
      <c r="J461" s="2"/>
      <c r="K461" s="2" t="str">
        <f ca="1">IFERROR(__xludf.DUMMYFUNCTION("""COMPUTED_VALUE"""),"Descubada")</f>
        <v>Descubada</v>
      </c>
      <c r="L461" s="2"/>
      <c r="M461" s="2"/>
    </row>
    <row r="462" spans="1:13" x14ac:dyDescent="0.25">
      <c r="A462" s="2" t="str">
        <f ca="1">IFERROR(__xludf.DUMMYFUNCTION("""COMPUTED_VALUE"""),"f764d2d1")</f>
        <v>f764d2d1</v>
      </c>
      <c r="B462" s="2"/>
      <c r="C462" s="3">
        <f ca="1">IFERROR(__xludf.DUMMYFUNCTION("""COMPUTED_VALUE"""),45751.9051273148)</f>
        <v>45751.9051273148</v>
      </c>
      <c r="D462" s="2">
        <f ca="1">IFERROR(__xludf.DUMMYFUNCTION("""COMPUTED_VALUE"""),15)</f>
        <v>15</v>
      </c>
      <c r="E462" s="2">
        <f ca="1">IFERROR(__xludf.DUMMYFUNCTION("""COMPUTED_VALUE"""),36500)</f>
        <v>36500</v>
      </c>
      <c r="F462" s="2" t="str">
        <f ca="1">IFERROR(__xludf.DUMMYFUNCTION("""COMPUTED_VALUE"""),"Malbec")</f>
        <v>Malbec</v>
      </c>
      <c r="G462" s="2">
        <f ca="1">IFERROR(__xludf.DUMMYFUNCTION("""COMPUTED_VALUE"""),28150)</f>
        <v>28150</v>
      </c>
      <c r="H462" s="2">
        <f ca="1">IFERROR(__xludf.DUMMYFUNCTION("""COMPUTED_VALUE"""),36500)</f>
        <v>36500</v>
      </c>
      <c r="I462" s="2" t="str">
        <f ca="1">IFERROR(__xludf.DUMMYFUNCTION("""COMPUTED_VALUE"""),"8/4
Bien. Analizar")</f>
        <v>8/4
Bien. Analizar</v>
      </c>
      <c r="J462" s="2"/>
      <c r="K462" s="2" t="str">
        <f ca="1">IFERROR(__xludf.DUMMYFUNCTION("""COMPUTED_VALUE"""),"Descubada")</f>
        <v>Descubada</v>
      </c>
      <c r="L462" s="2" t="str">
        <f ca="1">IFERROR(__xludf.DUMMYFUNCTION("""COMPUTED_VALUE"""),"1")</f>
        <v>1</v>
      </c>
      <c r="M462" s="2"/>
    </row>
    <row r="463" spans="1:13" x14ac:dyDescent="0.25">
      <c r="A463" s="2" t="str">
        <f ca="1">IFERROR(__xludf.DUMMYFUNCTION("""COMPUTED_VALUE"""),"7b6b2c2a")</f>
        <v>7b6b2c2a</v>
      </c>
      <c r="B463" s="2"/>
      <c r="C463" s="3">
        <f ca="1">IFERROR(__xludf.DUMMYFUNCTION("""COMPUTED_VALUE"""),45752.6929513888)</f>
        <v>45752.692951388803</v>
      </c>
      <c r="D463" s="2">
        <f ca="1">IFERROR(__xludf.DUMMYFUNCTION("""COMPUTED_VALUE"""),34)</f>
        <v>34</v>
      </c>
      <c r="E463" s="2">
        <f ca="1">IFERROR(__xludf.DUMMYFUNCTION("""COMPUTED_VALUE"""),39500)</f>
        <v>39500</v>
      </c>
      <c r="F463" s="2" t="str">
        <f ca="1">IFERROR(__xludf.DUMMYFUNCTION("""COMPUTED_VALUE"""),"Bonarda")</f>
        <v>Bonarda</v>
      </c>
      <c r="G463" s="2">
        <f ca="1">IFERROR(__xludf.DUMMYFUNCTION("""COMPUTED_VALUE"""),35500)</f>
        <v>35500</v>
      </c>
      <c r="H463" s="2">
        <f ca="1">IFERROR(__xludf.DUMMYFUNCTION("""COMPUTED_VALUE"""),37150)</f>
        <v>37150</v>
      </c>
      <c r="I463" s="2" t="str">
        <f ca="1">IFERROR(__xludf.DUMMYFUNCTION("""COMPUTED_VALUE"""),"14/5
muy bien
8/4
Se siente ácido. Bien. Ver SOL Y AZ")</f>
        <v>14/5
muy bien
8/4
Se siente ácido. Bien. Ver SOL Y AZ</v>
      </c>
      <c r="J463" s="2"/>
      <c r="K463" s="2" t="str">
        <f ca="1">IFERROR(__xludf.DUMMYFUNCTION("""COMPUTED_VALUE"""),"Descubada")</f>
        <v>Descubada</v>
      </c>
      <c r="L463" s="2" t="str">
        <f ca="1">IFERROR(__xludf.DUMMYFUNCTION("""COMPUTED_VALUE"""),"1")</f>
        <v>1</v>
      </c>
      <c r="M463" s="2"/>
    </row>
    <row r="464" spans="1:13" x14ac:dyDescent="0.25">
      <c r="A464" s="2" t="str">
        <f ca="1">IFERROR(__xludf.DUMMYFUNCTION("""COMPUTED_VALUE"""),"21ebdd51")</f>
        <v>21ebdd51</v>
      </c>
      <c r="B464" s="2"/>
      <c r="C464" s="3">
        <f ca="1">IFERROR(__xludf.DUMMYFUNCTION("""COMPUTED_VALUE"""),45752.695636574)</f>
        <v>45752.695636573997</v>
      </c>
      <c r="D464" s="2">
        <f ca="1">IFERROR(__xludf.DUMMYFUNCTION("""COMPUTED_VALUE"""),500)</f>
        <v>500</v>
      </c>
      <c r="E464" s="2">
        <f ca="1">IFERROR(__xludf.DUMMYFUNCTION("""COMPUTED_VALUE"""),200000)</f>
        <v>200000</v>
      </c>
      <c r="F464" s="2" t="str">
        <f ca="1">IFERROR(__xludf.DUMMYFUNCTION("""COMPUTED_VALUE"""),"Ajuste Arqueo 01-04-25")</f>
        <v>Ajuste Arqueo 01-04-25</v>
      </c>
      <c r="G464" s="2">
        <f ca="1">IFERROR(__xludf.DUMMYFUNCTION("""COMPUTED_VALUE"""),-12999)</f>
        <v>-12999</v>
      </c>
      <c r="H464" s="2">
        <f ca="1">IFERROR(__xludf.DUMMYFUNCTION("""COMPUTED_VALUE"""),-6499)</f>
        <v>-6499</v>
      </c>
      <c r="I464" s="2"/>
      <c r="J464" s="2"/>
      <c r="K464" s="2" t="str">
        <f ca="1">IFERROR(__xludf.DUMMYFUNCTION("""COMPUTED_VALUE"""),"Descubada")</f>
        <v>Descubada</v>
      </c>
      <c r="L464" s="2"/>
      <c r="M464" s="2"/>
    </row>
    <row r="465" spans="1:13" x14ac:dyDescent="0.25">
      <c r="A465" s="2" t="str">
        <f ca="1">IFERROR(__xludf.DUMMYFUNCTION("""COMPUTED_VALUE"""),"ff099ae0")</f>
        <v>ff099ae0</v>
      </c>
      <c r="B465" s="2"/>
      <c r="C465" s="3">
        <f ca="1">IFERROR(__xludf.DUMMYFUNCTION("""COMPUTED_VALUE"""),45752.6977662037)</f>
        <v>45752.697766203702</v>
      </c>
      <c r="D465" s="2">
        <f ca="1">IFERROR(__xludf.DUMMYFUNCTION("""COMPUTED_VALUE"""),26)</f>
        <v>26</v>
      </c>
      <c r="E465" s="2">
        <f ca="1">IFERROR(__xludf.DUMMYFUNCTION("""COMPUTED_VALUE"""),207600)</f>
        <v>207600</v>
      </c>
      <c r="F465" s="2" t="str">
        <f ca="1">IFERROR(__xludf.DUMMYFUNCTION("""COMPUTED_VALUE"""),"Syrah")</f>
        <v>Syrah</v>
      </c>
      <c r="G465" s="2">
        <f ca="1">IFERROR(__xludf.DUMMYFUNCTION("""COMPUTED_VALUE"""),0)</f>
        <v>0</v>
      </c>
      <c r="H465" s="2">
        <f ca="1">IFERROR(__xludf.DUMMYFUNCTION("""COMPUTED_VALUE"""),99600)</f>
        <v>99600</v>
      </c>
      <c r="I465" s="2"/>
      <c r="J465" s="2"/>
      <c r="K465" s="2" t="str">
        <f ca="1">IFERROR(__xludf.DUMMYFUNCTION("""COMPUTED_VALUE"""),"1er Trasiego")</f>
        <v>1er Trasiego</v>
      </c>
      <c r="L465" s="2"/>
      <c r="M465" s="2"/>
    </row>
    <row r="466" spans="1:13" x14ac:dyDescent="0.25">
      <c r="A466" s="2" t="str">
        <f ca="1">IFERROR(__xludf.DUMMYFUNCTION("""COMPUTED_VALUE"""),"efada090")</f>
        <v>efada090</v>
      </c>
      <c r="B466" s="2"/>
      <c r="C466" s="3">
        <f ca="1">IFERROR(__xludf.DUMMYFUNCTION("""COMPUTED_VALUE"""),45752.6983449074)</f>
        <v>45752.698344907403</v>
      </c>
      <c r="D466" s="2">
        <f ca="1">IFERROR(__xludf.DUMMYFUNCTION("""COMPUTED_VALUE"""),26)</f>
        <v>26</v>
      </c>
      <c r="E466" s="2">
        <f ca="1">IFERROR(__xludf.DUMMYFUNCTION("""COMPUTED_VALUE"""),207600)</f>
        <v>207600</v>
      </c>
      <c r="F466" s="2" t="str">
        <f ca="1">IFERROR(__xludf.DUMMYFUNCTION("""COMPUTED_VALUE"""),"Syrah")</f>
        <v>Syrah</v>
      </c>
      <c r="G466" s="2">
        <f ca="1">IFERROR(__xludf.DUMMYFUNCTION("""COMPUTED_VALUE"""),99600)</f>
        <v>99600</v>
      </c>
      <c r="H466" s="2">
        <f ca="1">IFERROR(__xludf.DUMMYFUNCTION("""COMPUTED_VALUE"""),207600)</f>
        <v>207600</v>
      </c>
      <c r="I466" s="2" t="str">
        <f ca="1">IFERROR(__xludf.DUMMYFUNCTION("""COMPUTED_VALUE"""),"14/5
muy bien.  mas rico la 25")</f>
        <v>14/5
muy bien.  mas rico la 25</v>
      </c>
      <c r="J466" s="2"/>
      <c r="K466" s="2" t="str">
        <f ca="1">IFERROR(__xludf.DUMMYFUNCTION("""COMPUTED_VALUE"""),"1er Trasiego")</f>
        <v>1er Trasiego</v>
      </c>
      <c r="L466" s="2" t="str">
        <f ca="1">IFERROR(__xludf.DUMMYFUNCTION("""COMPUTED_VALUE"""),"1-")</f>
        <v>1-</v>
      </c>
      <c r="M466" s="2"/>
    </row>
    <row r="467" spans="1:13" x14ac:dyDescent="0.25">
      <c r="A467" s="2" t="str">
        <f ca="1">IFERROR(__xludf.DUMMYFUNCTION("""COMPUTED_VALUE"""),"3807ead1")</f>
        <v>3807ead1</v>
      </c>
      <c r="B467" s="2"/>
      <c r="C467" s="3">
        <f ca="1">IFERROR(__xludf.DUMMYFUNCTION("""COMPUTED_VALUE"""),45752.6991087962)</f>
        <v>45752.699108796201</v>
      </c>
      <c r="D467" s="2">
        <f ca="1">IFERROR(__xludf.DUMMYFUNCTION("""COMPUTED_VALUE"""),116)</f>
        <v>116</v>
      </c>
      <c r="E467" s="2">
        <f ca="1">IFERROR(__xludf.DUMMYFUNCTION("""COMPUTED_VALUE"""),99600)</f>
        <v>99600</v>
      </c>
      <c r="F467" s="2" t="str">
        <f ca="1">IFERROR(__xludf.DUMMYFUNCTION("""COMPUTED_VALUE"""),"Syrah")</f>
        <v>Syrah</v>
      </c>
      <c r="G467" s="2">
        <f ca="1">IFERROR(__xludf.DUMMYFUNCTION("""COMPUTED_VALUE"""),0)</f>
        <v>0</v>
      </c>
      <c r="H467" s="2">
        <f ca="1">IFERROR(__xludf.DUMMYFUNCTION("""COMPUTED_VALUE"""),47600)</f>
        <v>47600</v>
      </c>
      <c r="I467" s="2"/>
      <c r="J467" s="2"/>
      <c r="K467" s="2" t="str">
        <f ca="1">IFERROR(__xludf.DUMMYFUNCTION("""COMPUTED_VALUE"""),"1er Trasiego")</f>
        <v>1er Trasiego</v>
      </c>
      <c r="L467" s="2"/>
      <c r="M467" s="2"/>
    </row>
    <row r="468" spans="1:13" x14ac:dyDescent="0.25">
      <c r="A468" s="2" t="str">
        <f ca="1">IFERROR(__xludf.DUMMYFUNCTION("""COMPUTED_VALUE"""),"ef3b4005")</f>
        <v>ef3b4005</v>
      </c>
      <c r="B468" s="2"/>
      <c r="C468" s="3">
        <f ca="1">IFERROR(__xludf.DUMMYFUNCTION("""COMPUTED_VALUE"""),45752.6998263888)</f>
        <v>45752.699826388802</v>
      </c>
      <c r="D468" s="2">
        <f ca="1">IFERROR(__xludf.DUMMYFUNCTION("""COMPUTED_VALUE"""),116)</f>
        <v>116</v>
      </c>
      <c r="E468" s="2">
        <f ca="1">IFERROR(__xludf.DUMMYFUNCTION("""COMPUTED_VALUE"""),99600)</f>
        <v>99600</v>
      </c>
      <c r="F468" s="2" t="str">
        <f ca="1">IFERROR(__xludf.DUMMYFUNCTION("""COMPUTED_VALUE"""),"Syrah")</f>
        <v>Syrah</v>
      </c>
      <c r="G468" s="2">
        <f ca="1">IFERROR(__xludf.DUMMYFUNCTION("""COMPUTED_VALUE"""),47600)</f>
        <v>47600</v>
      </c>
      <c r="H468" s="2">
        <f ca="1">IFERROR(__xludf.DUMMYFUNCTION("""COMPUTED_VALUE"""),78600)</f>
        <v>78600</v>
      </c>
      <c r="I468" s="2"/>
      <c r="J468" s="2"/>
      <c r="K468" s="2" t="str">
        <f ca="1">IFERROR(__xludf.DUMMYFUNCTION("""COMPUTED_VALUE"""),"1er Trasiego")</f>
        <v>1er Trasiego</v>
      </c>
      <c r="L468" s="2"/>
      <c r="M468" s="2"/>
    </row>
    <row r="469" spans="1:13" x14ac:dyDescent="0.25">
      <c r="A469" s="2" t="str">
        <f ca="1">IFERROR(__xludf.DUMMYFUNCTION("""COMPUTED_VALUE"""),"492309f4")</f>
        <v>492309f4</v>
      </c>
      <c r="B469" s="2"/>
      <c r="C469" s="3">
        <f ca="1">IFERROR(__xludf.DUMMYFUNCTION("""COMPUTED_VALUE"""),45752.7004629629)</f>
        <v>45752.700462962901</v>
      </c>
      <c r="D469" s="2">
        <f ca="1">IFERROR(__xludf.DUMMYFUNCTION("""COMPUTED_VALUE"""),116)</f>
        <v>116</v>
      </c>
      <c r="E469" s="2">
        <f ca="1">IFERROR(__xludf.DUMMYFUNCTION("""COMPUTED_VALUE"""),99600)</f>
        <v>99600</v>
      </c>
      <c r="F469" s="2" t="str">
        <f ca="1">IFERROR(__xludf.DUMMYFUNCTION("""COMPUTED_VALUE"""),"Syrah")</f>
        <v>Syrah</v>
      </c>
      <c r="G469" s="2">
        <f ca="1">IFERROR(__xludf.DUMMYFUNCTION("""COMPUTED_VALUE"""),78600)</f>
        <v>78600</v>
      </c>
      <c r="H469" s="2">
        <f ca="1">IFERROR(__xludf.DUMMYFUNCTION("""COMPUTED_VALUE"""),99600)</f>
        <v>99600</v>
      </c>
      <c r="I469" s="2"/>
      <c r="J469" s="2"/>
      <c r="K469" s="2" t="str">
        <f ca="1">IFERROR(__xludf.DUMMYFUNCTION("""COMPUTED_VALUE"""),"1er Trasiego")</f>
        <v>1er Trasiego</v>
      </c>
      <c r="L469" s="2"/>
      <c r="M469" s="2"/>
    </row>
    <row r="470" spans="1:13" x14ac:dyDescent="0.25">
      <c r="A470" s="2" t="str">
        <f ca="1">IFERROR(__xludf.DUMMYFUNCTION("""COMPUTED_VALUE"""),"81ccb7ca")</f>
        <v>81ccb7ca</v>
      </c>
      <c r="B470" s="2"/>
      <c r="C470" s="3">
        <f ca="1">IFERROR(__xludf.DUMMYFUNCTION("""COMPUTED_VALUE"""),45752.7012268518)</f>
        <v>45752.701226851801</v>
      </c>
      <c r="D470" s="2">
        <f ca="1">IFERROR(__xludf.DUMMYFUNCTION("""COMPUTED_VALUE"""),935)</f>
        <v>935</v>
      </c>
      <c r="E470" s="2">
        <f ca="1">IFERROR(__xludf.DUMMYFUNCTION("""COMPUTED_VALUE"""),11200)</f>
        <v>11200</v>
      </c>
      <c r="F470" s="2" t="str">
        <f ca="1">IFERROR(__xludf.DUMMYFUNCTION("""COMPUTED_VALUE"""),"Borra")</f>
        <v>Borra</v>
      </c>
      <c r="G470" s="2">
        <f ca="1">IFERROR(__xludf.DUMMYFUNCTION("""COMPUTED_VALUE"""),0)</f>
        <v>0</v>
      </c>
      <c r="H470" s="2">
        <f ca="1">IFERROR(__xludf.DUMMYFUNCTION("""COMPUTED_VALUE"""),1000)</f>
        <v>1000</v>
      </c>
      <c r="I470" s="2"/>
      <c r="J470" s="2"/>
      <c r="K470" s="2" t="str">
        <f ca="1">IFERROR(__xludf.DUMMYFUNCTION("""COMPUTED_VALUE"""),"Descubada")</f>
        <v>Descubada</v>
      </c>
      <c r="L470" s="2"/>
      <c r="M470" s="2"/>
    </row>
    <row r="471" spans="1:13" x14ac:dyDescent="0.25">
      <c r="A471" s="2" t="str">
        <f ca="1">IFERROR(__xludf.DUMMYFUNCTION("""COMPUTED_VALUE"""),"aafa35db")</f>
        <v>aafa35db</v>
      </c>
      <c r="B471" s="2"/>
      <c r="C471" s="3">
        <f ca="1">IFERROR(__xludf.DUMMYFUNCTION("""COMPUTED_VALUE"""),45752.7029861111)</f>
        <v>45752.7029861111</v>
      </c>
      <c r="D471" s="2">
        <f ca="1">IFERROR(__xludf.DUMMYFUNCTION("""COMPUTED_VALUE"""),90)</f>
        <v>90</v>
      </c>
      <c r="E471" s="2">
        <f ca="1">IFERROR(__xludf.DUMMYFUNCTION("""COMPUTED_VALUE"""),97500)</f>
        <v>97500</v>
      </c>
      <c r="F471" s="2" t="str">
        <f ca="1">IFERROR(__xludf.DUMMYFUNCTION("""COMPUTED_VALUE"""),"Bonarda")</f>
        <v>Bonarda</v>
      </c>
      <c r="G471" s="2">
        <f ca="1">IFERROR(__xludf.DUMMYFUNCTION("""COMPUTED_VALUE"""),57000)</f>
        <v>57000</v>
      </c>
      <c r="H471" s="2">
        <f ca="1">IFERROR(__xludf.DUMMYFUNCTION("""COMPUTED_VALUE"""),65500)</f>
        <v>65500</v>
      </c>
      <c r="I471" s="2"/>
      <c r="J471" s="2"/>
      <c r="K471" s="2" t="str">
        <f ca="1">IFERROR(__xludf.DUMMYFUNCTION("""COMPUTED_VALUE"""),"Fermentando")</f>
        <v>Fermentando</v>
      </c>
      <c r="L471" s="2"/>
      <c r="M471" s="2"/>
    </row>
    <row r="472" spans="1:13" x14ac:dyDescent="0.25">
      <c r="A472" s="2" t="str">
        <f ca="1">IFERROR(__xludf.DUMMYFUNCTION("""COMPUTED_VALUE"""),"97b5422c")</f>
        <v>97b5422c</v>
      </c>
      <c r="B472" s="2"/>
      <c r="C472" s="3">
        <f ca="1">IFERROR(__xludf.DUMMYFUNCTION("""COMPUTED_VALUE"""),45752.7035300925)</f>
        <v>45752.703530092498</v>
      </c>
      <c r="D472" s="2">
        <f ca="1">IFERROR(__xludf.DUMMYFUNCTION("""COMPUTED_VALUE"""),86)</f>
        <v>86</v>
      </c>
      <c r="E472" s="2">
        <f ca="1">IFERROR(__xludf.DUMMYFUNCTION("""COMPUTED_VALUE"""),88000)</f>
        <v>88000</v>
      </c>
      <c r="F472" s="2" t="str">
        <f ca="1">IFERROR(__xludf.DUMMYFUNCTION("""COMPUTED_VALUE"""),"Bonarda")</f>
        <v>Bonarda</v>
      </c>
      <c r="G472" s="2">
        <f ca="1">IFERROR(__xludf.DUMMYFUNCTION("""COMPUTED_VALUE"""),46000)</f>
        <v>46000</v>
      </c>
      <c r="H472" s="2">
        <f ca="1">IFERROR(__xludf.DUMMYFUNCTION("""COMPUTED_VALUE"""),54500)</f>
        <v>54500</v>
      </c>
      <c r="I472" s="2"/>
      <c r="J472" s="2"/>
      <c r="K472" s="2" t="str">
        <f ca="1">IFERROR(__xludf.DUMMYFUNCTION("""COMPUTED_VALUE"""),"Fermentando")</f>
        <v>Fermentando</v>
      </c>
      <c r="L472" s="2"/>
      <c r="M472" s="2"/>
    </row>
    <row r="473" spans="1:13" x14ac:dyDescent="0.25">
      <c r="A473" s="2" t="str">
        <f ca="1">IFERROR(__xludf.DUMMYFUNCTION("""COMPUTED_VALUE"""),"b8ea839c")</f>
        <v>b8ea839c</v>
      </c>
      <c r="B473" s="2"/>
      <c r="C473" s="3">
        <f ca="1">IFERROR(__xludf.DUMMYFUNCTION("""COMPUTED_VALUE"""),45752.7040277777)</f>
        <v>45752.704027777698</v>
      </c>
      <c r="D473" s="2">
        <f ca="1">IFERROR(__xludf.DUMMYFUNCTION("""COMPUTED_VALUE"""),87)</f>
        <v>87</v>
      </c>
      <c r="E473" s="2">
        <f ca="1">IFERROR(__xludf.DUMMYFUNCTION("""COMPUTED_VALUE"""),93700)</f>
        <v>93700</v>
      </c>
      <c r="F473" s="2" t="str">
        <f ca="1">IFERROR(__xludf.DUMMYFUNCTION("""COMPUTED_VALUE"""),"Cabernet Sauv Mec")</f>
        <v>Cabernet Sauv Mec</v>
      </c>
      <c r="G473" s="2">
        <f ca="1">IFERROR(__xludf.DUMMYFUNCTION("""COMPUTED_VALUE"""),40200)</f>
        <v>40200</v>
      </c>
      <c r="H473" s="2">
        <f ca="1">IFERROR(__xludf.DUMMYFUNCTION("""COMPUTED_VALUE"""),49200)</f>
        <v>49200</v>
      </c>
      <c r="I473" s="2" t="str">
        <f ca="1">IFERROR(__xludf.DUMMYFUNCTION("""COMPUTED_VALUE"""),"11/4
Notas floral. Geranio?
8/4
Sangrado a Tanat
Bien. En cero baume. Hacer AZ 9/4")</f>
        <v>11/4
Notas floral. Geranio?
8/4
Sangrado a Tanat
Bien. En cero baume. Hacer AZ 9/4</v>
      </c>
      <c r="J473" s="2"/>
      <c r="K473" s="2" t="str">
        <f ca="1">IFERROR(__xludf.DUMMYFUNCTION("""COMPUTED_VALUE"""),"Fermentando")</f>
        <v>Fermentando</v>
      </c>
      <c r="L473" s="2"/>
      <c r="M473" s="2"/>
    </row>
    <row r="474" spans="1:13" x14ac:dyDescent="0.25">
      <c r="A474" s="2" t="str">
        <f ca="1">IFERROR(__xludf.DUMMYFUNCTION("""COMPUTED_VALUE"""),"1b8cfd3f")</f>
        <v>1b8cfd3f</v>
      </c>
      <c r="B474" s="2"/>
      <c r="C474" s="3">
        <f ca="1">IFERROR(__xludf.DUMMYFUNCTION("""COMPUTED_VALUE"""),45752.7044328703)</f>
        <v>45752.704432870298</v>
      </c>
      <c r="D474" s="2">
        <f ca="1">IFERROR(__xludf.DUMMYFUNCTION("""COMPUTED_VALUE"""),80)</f>
        <v>80</v>
      </c>
      <c r="E474" s="2">
        <f ca="1">IFERROR(__xludf.DUMMYFUNCTION("""COMPUTED_VALUE"""),26100)</f>
        <v>26100</v>
      </c>
      <c r="F474" s="2" t="str">
        <f ca="1">IFERROR(__xludf.DUMMYFUNCTION("""COMPUTED_VALUE"""),"Malbec")</f>
        <v>Malbec</v>
      </c>
      <c r="G474" s="2">
        <f ca="1">IFERROR(__xludf.DUMMYFUNCTION("""COMPUTED_VALUE"""),14200)</f>
        <v>14200</v>
      </c>
      <c r="H474" s="2">
        <f ca="1">IFERROR(__xludf.DUMMYFUNCTION("""COMPUTED_VALUE"""),17800)</f>
        <v>17800</v>
      </c>
      <c r="I474" s="2"/>
      <c r="J474" s="2"/>
      <c r="K474" s="2" t="str">
        <f ca="1">IFERROR(__xludf.DUMMYFUNCTION("""COMPUTED_VALUE"""),"Fermentando")</f>
        <v>Fermentando</v>
      </c>
      <c r="L474" s="2"/>
      <c r="M474" s="2"/>
    </row>
    <row r="475" spans="1:13" x14ac:dyDescent="0.25">
      <c r="A475" s="2" t="str">
        <f ca="1">IFERROR(__xludf.DUMMYFUNCTION("""COMPUTED_VALUE"""),"e8ae99cd")</f>
        <v>e8ae99cd</v>
      </c>
      <c r="B475" s="2"/>
      <c r="C475" s="3">
        <f ca="1">IFERROR(__xludf.DUMMYFUNCTION("""COMPUTED_VALUE"""),45752.7055324074)</f>
        <v>45752.705532407403</v>
      </c>
      <c r="D475" s="2">
        <f ca="1">IFERROR(__xludf.DUMMYFUNCTION("""COMPUTED_VALUE"""),83)</f>
        <v>83</v>
      </c>
      <c r="E475" s="2">
        <f ca="1">IFERROR(__xludf.DUMMYFUNCTION("""COMPUTED_VALUE"""),81500)</f>
        <v>81500</v>
      </c>
      <c r="F475" s="2" t="str">
        <f ca="1">IFERROR(__xludf.DUMMYFUNCTION("""COMPUTED_VALUE"""),"Bonarda")</f>
        <v>Bonarda</v>
      </c>
      <c r="G475" s="2">
        <f ca="1">IFERROR(__xludf.DUMMYFUNCTION("""COMPUTED_VALUE"""),44500)</f>
        <v>44500</v>
      </c>
      <c r="H475" s="2">
        <f ca="1">IFERROR(__xludf.DUMMYFUNCTION("""COMPUTED_VALUE"""),51300)</f>
        <v>51300</v>
      </c>
      <c r="I475" s="2"/>
      <c r="J475" s="2"/>
      <c r="K475" s="2" t="str">
        <f ca="1">IFERROR(__xludf.DUMMYFUNCTION("""COMPUTED_VALUE"""),"Fermentando")</f>
        <v>Fermentando</v>
      </c>
      <c r="L475" s="2"/>
      <c r="M475" s="2"/>
    </row>
    <row r="476" spans="1:13" x14ac:dyDescent="0.25">
      <c r="A476" s="2" t="str">
        <f ca="1">IFERROR(__xludf.DUMMYFUNCTION("""COMPUTED_VALUE"""),"d5b5bf9c")</f>
        <v>d5b5bf9c</v>
      </c>
      <c r="B476" s="2"/>
      <c r="C476" s="3">
        <f ca="1">IFERROR(__xludf.DUMMYFUNCTION("""COMPUTED_VALUE"""),45754.7780555555)</f>
        <v>45754.7780555555</v>
      </c>
      <c r="D476" s="2">
        <f ca="1">IFERROR(__xludf.DUMMYFUNCTION("""COMPUTED_VALUE"""),500)</f>
        <v>500</v>
      </c>
      <c r="E476" s="2">
        <f ca="1">IFERROR(__xludf.DUMMYFUNCTION("""COMPUTED_VALUE"""),200000)</f>
        <v>200000</v>
      </c>
      <c r="F476" s="2" t="str">
        <f ca="1">IFERROR(__xludf.DUMMYFUNCTION("""COMPUTED_VALUE"""),"Ajuste Arqueo Bodega 7/04/25")</f>
        <v>Ajuste Arqueo Bodega 7/04/25</v>
      </c>
      <c r="G476" s="2"/>
      <c r="H476" s="2">
        <f ca="1">IFERROR(__xludf.DUMMYFUNCTION("""COMPUTED_VALUE"""),1)</f>
        <v>1</v>
      </c>
      <c r="I476" s="2"/>
      <c r="J476" s="2"/>
      <c r="K476" s="2"/>
      <c r="L476" s="2"/>
      <c r="M476" s="2"/>
    </row>
    <row r="477" spans="1:13" x14ac:dyDescent="0.25">
      <c r="A477" s="2" t="str">
        <f ca="1">IFERROR(__xludf.DUMMYFUNCTION("""COMPUTED_VALUE"""),"1c76e910")</f>
        <v>1c76e910</v>
      </c>
      <c r="B477" s="2"/>
      <c r="C477" s="3">
        <f ca="1">IFERROR(__xludf.DUMMYFUNCTION("""COMPUTED_VALUE"""),45754.8428587963)</f>
        <v>45754.842858796299</v>
      </c>
      <c r="D477" s="2">
        <f ca="1">IFERROR(__xludf.DUMMYFUNCTION("""COMPUTED_VALUE"""),500)</f>
        <v>500</v>
      </c>
      <c r="E477" s="2">
        <f ca="1">IFERROR(__xludf.DUMMYFUNCTION("""COMPUTED_VALUE"""),200000)</f>
        <v>200000</v>
      </c>
      <c r="F477" s="2" t="str">
        <f ca="1">IFERROR(__xludf.DUMMYFUNCTION("""COMPUTED_VALUE"""),"Ajuste Arqueo Bodega 7/04/25")</f>
        <v>Ajuste Arqueo Bodega 7/04/25</v>
      </c>
      <c r="G477" s="2">
        <f ca="1">IFERROR(__xludf.DUMMYFUNCTION("""COMPUTED_VALUE"""),1)</f>
        <v>1</v>
      </c>
      <c r="H477" s="2">
        <f ca="1">IFERROR(__xludf.DUMMYFUNCTION("""COMPUTED_VALUE"""),10001)</f>
        <v>10001</v>
      </c>
      <c r="I477" s="2"/>
      <c r="J477" s="2"/>
      <c r="K477" s="2"/>
      <c r="L477" s="2"/>
      <c r="M477" s="2"/>
    </row>
    <row r="478" spans="1:13" x14ac:dyDescent="0.25">
      <c r="A478" s="2" t="str">
        <f ca="1">IFERROR(__xludf.DUMMYFUNCTION("""COMPUTED_VALUE"""),"62e15cd1")</f>
        <v>62e15cd1</v>
      </c>
      <c r="B478" s="2"/>
      <c r="C478" s="3">
        <f ca="1">IFERROR(__xludf.DUMMYFUNCTION("""COMPUTED_VALUE"""),45754.8439930555)</f>
        <v>45754.843993055503</v>
      </c>
      <c r="D478" s="2">
        <f ca="1">IFERROR(__xludf.DUMMYFUNCTION("""COMPUTED_VALUE"""),500)</f>
        <v>500</v>
      </c>
      <c r="E478" s="2">
        <f ca="1">IFERROR(__xludf.DUMMYFUNCTION("""COMPUTED_VALUE"""),200000)</f>
        <v>200000</v>
      </c>
      <c r="F478" s="2" t="str">
        <f ca="1">IFERROR(__xludf.DUMMYFUNCTION("""COMPUTED_VALUE"""),"Ajuste Arqueo Bodega 7/04/25")</f>
        <v>Ajuste Arqueo Bodega 7/04/25</v>
      </c>
      <c r="G478" s="2">
        <f ca="1">IFERROR(__xludf.DUMMYFUNCTION("""COMPUTED_VALUE"""),10001)</f>
        <v>10001</v>
      </c>
      <c r="H478" s="2">
        <f ca="1">IFERROR(__xludf.DUMMYFUNCTION("""COMPUTED_VALUE"""),11351)</f>
        <v>11351</v>
      </c>
      <c r="I478" s="2"/>
      <c r="J478" s="2"/>
      <c r="K478" s="2"/>
      <c r="L478" s="2"/>
      <c r="M478" s="2"/>
    </row>
    <row r="479" spans="1:13" x14ac:dyDescent="0.25">
      <c r="A479" s="2" t="str">
        <f ca="1">IFERROR(__xludf.DUMMYFUNCTION("""COMPUTED_VALUE"""),"a3fbf6d9")</f>
        <v>a3fbf6d9</v>
      </c>
      <c r="B479" s="2"/>
      <c r="C479" s="3">
        <f ca="1">IFERROR(__xludf.DUMMYFUNCTION("""COMPUTED_VALUE"""),45754.8444675925)</f>
        <v>45754.844467592498</v>
      </c>
      <c r="D479" s="2">
        <f ca="1">IFERROR(__xludf.DUMMYFUNCTION("""COMPUTED_VALUE"""),500)</f>
        <v>500</v>
      </c>
      <c r="E479" s="2">
        <f ca="1">IFERROR(__xludf.DUMMYFUNCTION("""COMPUTED_VALUE"""),200000)</f>
        <v>200000</v>
      </c>
      <c r="F479" s="2" t="str">
        <f ca="1">IFERROR(__xludf.DUMMYFUNCTION("""COMPUTED_VALUE"""),"Ajuste Arqueo Bodega 7/04/25")</f>
        <v>Ajuste Arqueo Bodega 7/04/25</v>
      </c>
      <c r="G479" s="2">
        <f ca="1">IFERROR(__xludf.DUMMYFUNCTION("""COMPUTED_VALUE"""),11351)</f>
        <v>11351</v>
      </c>
      <c r="H479" s="2">
        <f ca="1">IFERROR(__xludf.DUMMYFUNCTION("""COMPUTED_VALUE"""),14351)</f>
        <v>14351</v>
      </c>
      <c r="I479" s="2"/>
      <c r="J479" s="2"/>
      <c r="K479" s="2"/>
      <c r="L479" s="2"/>
      <c r="M479" s="2"/>
    </row>
    <row r="480" spans="1:13" x14ac:dyDescent="0.25">
      <c r="A480" s="2" t="str">
        <f ca="1">IFERROR(__xludf.DUMMYFUNCTION("""COMPUTED_VALUE"""),"90288eca")</f>
        <v>90288eca</v>
      </c>
      <c r="B480" s="2"/>
      <c r="C480" s="3">
        <f ca="1">IFERROR(__xludf.DUMMYFUNCTION("""COMPUTED_VALUE"""),45754.8479282407)</f>
        <v>45754.847928240699</v>
      </c>
      <c r="D480" s="2">
        <f ca="1">IFERROR(__xludf.DUMMYFUNCTION("""COMPUTED_VALUE"""),500)</f>
        <v>500</v>
      </c>
      <c r="E480" s="2">
        <f ca="1">IFERROR(__xludf.DUMMYFUNCTION("""COMPUTED_VALUE"""),200000)</f>
        <v>200000</v>
      </c>
      <c r="F480" s="2" t="str">
        <f ca="1">IFERROR(__xludf.DUMMYFUNCTION("""COMPUTED_VALUE"""),"Ajuste Arqueo Bodega 7/04/25")</f>
        <v>Ajuste Arqueo Bodega 7/04/25</v>
      </c>
      <c r="G480" s="2">
        <f ca="1">IFERROR(__xludf.DUMMYFUNCTION("""COMPUTED_VALUE"""),14351)</f>
        <v>14351</v>
      </c>
      <c r="H480" s="2">
        <f ca="1">IFERROR(__xludf.DUMMYFUNCTION("""COMPUTED_VALUE"""),7551)</f>
        <v>7551</v>
      </c>
      <c r="I480" s="2"/>
      <c r="J480" s="2"/>
      <c r="K480" s="2"/>
      <c r="L480" s="2"/>
      <c r="M480" s="2"/>
    </row>
    <row r="481" spans="1:13" x14ac:dyDescent="0.25">
      <c r="A481" s="2" t="str">
        <f ca="1">IFERROR(__xludf.DUMMYFUNCTION("""COMPUTED_VALUE"""),"371f5731")</f>
        <v>371f5731</v>
      </c>
      <c r="B481" s="2"/>
      <c r="C481" s="3">
        <f ca="1">IFERROR(__xludf.DUMMYFUNCTION("""COMPUTED_VALUE"""),45754.8535763888)</f>
        <v>45754.853576388799</v>
      </c>
      <c r="D481" s="2">
        <f ca="1">IFERROR(__xludf.DUMMYFUNCTION("""COMPUTED_VALUE"""),500)</f>
        <v>500</v>
      </c>
      <c r="E481" s="2">
        <f ca="1">IFERROR(__xludf.DUMMYFUNCTION("""COMPUTED_VALUE"""),200000)</f>
        <v>200000</v>
      </c>
      <c r="F481" s="2" t="str">
        <f ca="1">IFERROR(__xludf.DUMMYFUNCTION("""COMPUTED_VALUE"""),"Ajuste Arqueo Bodega 7/04/25")</f>
        <v>Ajuste Arqueo Bodega 7/04/25</v>
      </c>
      <c r="G481" s="2">
        <f ca="1">IFERROR(__xludf.DUMMYFUNCTION("""COMPUTED_VALUE"""),7551)</f>
        <v>7551</v>
      </c>
      <c r="H481" s="2">
        <f ca="1">IFERROR(__xludf.DUMMYFUNCTION("""COMPUTED_VALUE"""),4551)</f>
        <v>4551</v>
      </c>
      <c r="I481" s="2"/>
      <c r="J481" s="2"/>
      <c r="K481" s="2"/>
      <c r="L481" s="2"/>
      <c r="M481" s="2"/>
    </row>
    <row r="482" spans="1:13" x14ac:dyDescent="0.25">
      <c r="A482" s="2" t="str">
        <f ca="1">IFERROR(__xludf.DUMMYFUNCTION("""COMPUTED_VALUE"""),"da6946d0")</f>
        <v>da6946d0</v>
      </c>
      <c r="B482" s="2"/>
      <c r="C482" s="3">
        <f ca="1">IFERROR(__xludf.DUMMYFUNCTION("""COMPUTED_VALUE"""),45754.8540509259)</f>
        <v>45754.854050925896</v>
      </c>
      <c r="D482" s="2">
        <f ca="1">IFERROR(__xludf.DUMMYFUNCTION("""COMPUTED_VALUE"""),500)</f>
        <v>500</v>
      </c>
      <c r="E482" s="2">
        <f ca="1">IFERROR(__xludf.DUMMYFUNCTION("""COMPUTED_VALUE"""),200000)</f>
        <v>200000</v>
      </c>
      <c r="F482" s="2" t="str">
        <f ca="1">IFERROR(__xludf.DUMMYFUNCTION("""COMPUTED_VALUE"""),"Ajuste Arqueo Bodega 7/04/25")</f>
        <v>Ajuste Arqueo Bodega 7/04/25</v>
      </c>
      <c r="G482" s="2">
        <f ca="1">IFERROR(__xludf.DUMMYFUNCTION("""COMPUTED_VALUE"""),4551)</f>
        <v>4551</v>
      </c>
      <c r="H482" s="2">
        <f ca="1">IFERROR(__xludf.DUMMYFUNCTION("""COMPUTED_VALUE"""),2551)</f>
        <v>2551</v>
      </c>
      <c r="I482" s="2"/>
      <c r="J482" s="2"/>
      <c r="K482" s="2" t="str">
        <f ca="1">IFERROR(__xludf.DUMMYFUNCTION("""COMPUTED_VALUE"""),"Terminado")</f>
        <v>Terminado</v>
      </c>
      <c r="L482" s="2"/>
      <c r="M482" s="2"/>
    </row>
    <row r="483" spans="1:13" x14ac:dyDescent="0.25">
      <c r="A483" s="2" t="str">
        <f ca="1">IFERROR(__xludf.DUMMYFUNCTION("""COMPUTED_VALUE"""),"189e6a11")</f>
        <v>189e6a11</v>
      </c>
      <c r="B483" s="2"/>
      <c r="C483" s="3">
        <f ca="1">IFERROR(__xludf.DUMMYFUNCTION("""COMPUTED_VALUE"""),45754.8907407407)</f>
        <v>45754.890740740702</v>
      </c>
      <c r="D483" s="2">
        <f ca="1">IFERROR(__xludf.DUMMYFUNCTION("""COMPUTED_VALUE"""),91)</f>
        <v>91</v>
      </c>
      <c r="E483" s="2">
        <f ca="1">IFERROR(__xludf.DUMMYFUNCTION("""COMPUTED_VALUE"""),86000)</f>
        <v>86000</v>
      </c>
      <c r="F483" s="2" t="str">
        <f ca="1">IFERROR(__xludf.DUMMYFUNCTION("""COMPUTED_VALUE"""),"Bonarda sin Rect")</f>
        <v>Bonarda sin Rect</v>
      </c>
      <c r="G483" s="2"/>
      <c r="H483" s="2">
        <f ca="1">IFERROR(__xludf.DUMMYFUNCTION("""COMPUTED_VALUE"""),48800)</f>
        <v>48800</v>
      </c>
      <c r="I483" s="2" t="str">
        <f ca="1">IFERROR(__xludf.DUMMYFUNCTION("""COMPUTED_VALUE"""),"15/4 falta rectificado?
Hacer azúcar")</f>
        <v>15/4 falta rectificado?
Hacer azúcar</v>
      </c>
      <c r="J483" s="2" t="str">
        <f ca="1">IFERROR(__xludf.DUMMYFUNCTION("""COMPUTED_VALUE"""),"6104 , 6101 , 6096 , 6095 , 6113 , 6107")</f>
        <v>6104 , 6101 , 6096 , 6095 , 6113 , 6107</v>
      </c>
      <c r="K483" s="2" t="str">
        <f ca="1">IFERROR(__xludf.DUMMYFUNCTION("""COMPUTED_VALUE"""),"Fermentando")</f>
        <v>Fermentando</v>
      </c>
      <c r="L483" s="2"/>
      <c r="M483" s="2"/>
    </row>
    <row r="484" spans="1:13" x14ac:dyDescent="0.25">
      <c r="A484" s="2" t="str">
        <f ca="1">IFERROR(__xludf.DUMMYFUNCTION("""COMPUTED_VALUE"""),"ed82825c")</f>
        <v>ed82825c</v>
      </c>
      <c r="B484" s="2"/>
      <c r="C484" s="3">
        <f ca="1">IFERROR(__xludf.DUMMYFUNCTION("""COMPUTED_VALUE"""),45754.8914236111)</f>
        <v>45754.891423611101</v>
      </c>
      <c r="D484" s="2">
        <f ca="1">IFERROR(__xludf.DUMMYFUNCTION("""COMPUTED_VALUE"""),95)</f>
        <v>95</v>
      </c>
      <c r="E484" s="2">
        <f ca="1">IFERROR(__xludf.DUMMYFUNCTION("""COMPUTED_VALUE"""),77100)</f>
        <v>77100</v>
      </c>
      <c r="F484" s="2" t="str">
        <f ca="1">IFERROR(__xludf.DUMMYFUNCTION("""COMPUTED_VALUE"""),"Cabernet Sauvignon")</f>
        <v>Cabernet Sauvignon</v>
      </c>
      <c r="G484" s="2"/>
      <c r="H484" s="2">
        <f ca="1">IFERROR(__xludf.DUMMYFUNCTION("""COMPUTED_VALUE"""),62000)</f>
        <v>62000</v>
      </c>
      <c r="I484" s="2"/>
      <c r="J484" s="2" t="str">
        <f ca="1">IFERROR(__xludf.DUMMYFUNCTION("""COMPUTED_VALUE"""),"6097 , 6103 , 6108 , 6111 , 6116 , 6120 , 6121 , 6124")</f>
        <v>6097 , 6103 , 6108 , 6111 , 6116 , 6120 , 6121 , 6124</v>
      </c>
      <c r="K484" s="2" t="str">
        <f ca="1">IFERROR(__xludf.DUMMYFUNCTION("""COMPUTED_VALUE"""),"Fermentando")</f>
        <v>Fermentando</v>
      </c>
      <c r="L484" s="2"/>
      <c r="M484" s="2"/>
    </row>
    <row r="485" spans="1:13" x14ac:dyDescent="0.25">
      <c r="A485" s="2" t="str">
        <f ca="1">IFERROR(__xludf.DUMMYFUNCTION("""COMPUTED_VALUE"""),"b4377cb5")</f>
        <v>b4377cb5</v>
      </c>
      <c r="B485" s="2"/>
      <c r="C485" s="3">
        <f ca="1">IFERROR(__xludf.DUMMYFUNCTION("""COMPUTED_VALUE"""),45754.892037037)</f>
        <v>45754.892037037003</v>
      </c>
      <c r="D485" s="2">
        <f ca="1">IFERROR(__xludf.DUMMYFUNCTION("""COMPUTED_VALUE"""),96)</f>
        <v>96</v>
      </c>
      <c r="E485" s="2">
        <f ca="1">IFERROR(__xludf.DUMMYFUNCTION("""COMPUTED_VALUE"""),85600)</f>
        <v>85600</v>
      </c>
      <c r="F485" s="2" t="str">
        <f ca="1">IFERROR(__xludf.DUMMYFUNCTION("""COMPUTED_VALUE"""),"Malbec")</f>
        <v>Malbec</v>
      </c>
      <c r="G485" s="2"/>
      <c r="H485" s="2">
        <f ca="1">IFERROR(__xludf.DUMMYFUNCTION("""COMPUTED_VALUE"""),31300)</f>
        <v>31300</v>
      </c>
      <c r="I485" s="2"/>
      <c r="J485" s="2" t="str">
        <f ca="1">IFERROR(__xludf.DUMMYFUNCTION("""COMPUTED_VALUE"""),"6098 , 6102 , 6110 , 6109")</f>
        <v>6098 , 6102 , 6110 , 6109</v>
      </c>
      <c r="K485" s="2" t="str">
        <f ca="1">IFERROR(__xludf.DUMMYFUNCTION("""COMPUTED_VALUE"""),"Fermentando")</f>
        <v>Fermentando</v>
      </c>
      <c r="L485" s="2"/>
      <c r="M485" s="2"/>
    </row>
    <row r="486" spans="1:13" x14ac:dyDescent="0.25">
      <c r="A486" s="2" t="str">
        <f ca="1">IFERROR(__xludf.DUMMYFUNCTION("""COMPUTED_VALUE"""),"deb94f70")</f>
        <v>deb94f70</v>
      </c>
      <c r="B486" s="2"/>
      <c r="C486" s="3">
        <f ca="1">IFERROR(__xludf.DUMMYFUNCTION("""COMPUTED_VALUE"""),45754.8926273148)</f>
        <v>45754.892627314803</v>
      </c>
      <c r="D486" s="2">
        <f ca="1">IFERROR(__xludf.DUMMYFUNCTION("""COMPUTED_VALUE"""),6)</f>
        <v>6</v>
      </c>
      <c r="E486" s="2">
        <f ca="1">IFERROR(__xludf.DUMMYFUNCTION("""COMPUTED_VALUE"""),32000)</f>
        <v>32000</v>
      </c>
      <c r="F486" s="2" t="str">
        <f ca="1">IFERROR(__xludf.DUMMYFUNCTION("""COMPUTED_VALUE"""),"Criolla Flotada")</f>
        <v>Criolla Flotada</v>
      </c>
      <c r="G486" s="2"/>
      <c r="H486" s="2">
        <f ca="1">IFERROR(__xludf.DUMMYFUNCTION("""COMPUTED_VALUE"""),30000)</f>
        <v>30000</v>
      </c>
      <c r="I486" s="2"/>
      <c r="J486" s="2" t="str">
        <f ca="1">IFERROR(__xludf.DUMMYFUNCTION("""COMPUTED_VALUE"""),"6099 , 6100 , 6105 , 6106")</f>
        <v>6099 , 6100 , 6105 , 6106</v>
      </c>
      <c r="K486" s="2" t="str">
        <f ca="1">IFERROR(__xludf.DUMMYFUNCTION("""COMPUTED_VALUE"""),"Fermentando")</f>
        <v>Fermentando</v>
      </c>
      <c r="L486" s="2"/>
      <c r="M486" s="2"/>
    </row>
    <row r="487" spans="1:13" x14ac:dyDescent="0.25">
      <c r="A487" s="2" t="str">
        <f ca="1">IFERROR(__xludf.DUMMYFUNCTION("""COMPUTED_VALUE"""),"e33f8556")</f>
        <v>e33f8556</v>
      </c>
      <c r="B487" s="2"/>
      <c r="C487" s="3">
        <f ca="1">IFERROR(__xludf.DUMMYFUNCTION("""COMPUTED_VALUE"""),45755.4758796296)</f>
        <v>45755.475879629601</v>
      </c>
      <c r="D487" s="2">
        <f ca="1">IFERROR(__xludf.DUMMYFUNCTION("""COMPUTED_VALUE"""),105)</f>
        <v>105</v>
      </c>
      <c r="E487" s="2">
        <f ca="1">IFERROR(__xludf.DUMMYFUNCTION("""COMPUTED_VALUE"""),31000)</f>
        <v>31000</v>
      </c>
      <c r="F487" s="2" t="str">
        <f ca="1">IFERROR(__xludf.DUMMYFUNCTION("""COMPUTED_VALUE"""),"Malbec Bonarda")</f>
        <v>Malbec Bonarda</v>
      </c>
      <c r="G487" s="2">
        <f ca="1">IFERROR(__xludf.DUMMYFUNCTION("""COMPUTED_VALUE"""),0)</f>
        <v>0</v>
      </c>
      <c r="H487" s="2">
        <f ca="1">IFERROR(__xludf.DUMMYFUNCTION("""COMPUTED_VALUE"""),28000)</f>
        <v>28000</v>
      </c>
      <c r="I487" s="2" t="str">
        <f ca="1">IFERROR(__xludf.DUMMYFUNCTION("""COMPUTED_VALUE"""),"24/4 Llevar a SO2L  50 y el PH llevarlo a 3,50. Trasegar
17/4
Probada en laboratorios. Muy rica pero se siente dulce. Hacer azúcar")</f>
        <v>24/4 Llevar a SO2L  50 y el PH llevarlo a 3,50. Trasegar
17/4
Probada en laboratorios. Muy rica pero se siente dulce. Hacer azúcar</v>
      </c>
      <c r="J487" s="2"/>
      <c r="K487" s="2" t="str">
        <f ca="1">IFERROR(__xludf.DUMMYFUNCTION("""COMPUTED_VALUE"""),"Descubada")</f>
        <v>Descubada</v>
      </c>
      <c r="L487" s="2"/>
      <c r="M487" s="2"/>
    </row>
    <row r="488" spans="1:13" x14ac:dyDescent="0.25">
      <c r="A488" s="2" t="str">
        <f ca="1">IFERROR(__xludf.DUMMYFUNCTION("""COMPUTED_VALUE"""),"12119242")</f>
        <v>12119242</v>
      </c>
      <c r="B488" s="2"/>
      <c r="C488" s="3">
        <f ca="1">IFERROR(__xludf.DUMMYFUNCTION("""COMPUTED_VALUE"""),45755.4769444444)</f>
        <v>45755.476944444403</v>
      </c>
      <c r="D488" s="2">
        <f ca="1">IFERROR(__xludf.DUMMYFUNCTION("""COMPUTED_VALUE"""),85)</f>
        <v>85</v>
      </c>
      <c r="E488" s="2">
        <f ca="1">IFERROR(__xludf.DUMMYFUNCTION("""COMPUTED_VALUE"""),84000)</f>
        <v>84000</v>
      </c>
      <c r="F488" s="2" t="str">
        <f ca="1">IFERROR(__xludf.DUMMYFUNCTION("""COMPUTED_VALUE"""),"Tinto s/Ma Bo")</f>
        <v>Tinto s/Ma Bo</v>
      </c>
      <c r="G488" s="2">
        <f ca="1">IFERROR(__xludf.DUMMYFUNCTION("""COMPUTED_VALUE"""),16600)</f>
        <v>16600</v>
      </c>
      <c r="H488" s="2">
        <f ca="1">IFERROR(__xludf.DUMMYFUNCTION("""COMPUTED_VALUE"""),46600)</f>
        <v>46600</v>
      </c>
      <c r="I488" s="2"/>
      <c r="J488" s="2"/>
      <c r="K488" s="2" t="str">
        <f ca="1">IFERROR(__xludf.DUMMYFUNCTION("""COMPUTED_VALUE"""),"Recarga Fermentando")</f>
        <v>Recarga Fermentando</v>
      </c>
      <c r="L488" s="2"/>
      <c r="M488" s="2"/>
    </row>
    <row r="489" spans="1:13" x14ac:dyDescent="0.25">
      <c r="A489" s="2" t="str">
        <f ca="1">IFERROR(__xludf.DUMMYFUNCTION("""COMPUTED_VALUE"""),"b60fb43a")</f>
        <v>b60fb43a</v>
      </c>
      <c r="B489" s="2"/>
      <c r="C489" s="3">
        <f ca="1">IFERROR(__xludf.DUMMYFUNCTION("""COMPUTED_VALUE"""),45755.4779861111)</f>
        <v>45755.477986111102</v>
      </c>
      <c r="D489" s="2">
        <f ca="1">IFERROR(__xludf.DUMMYFUNCTION("""COMPUTED_VALUE"""),84)</f>
        <v>84</v>
      </c>
      <c r="E489" s="2">
        <f ca="1">IFERROR(__xludf.DUMMYFUNCTION("""COMPUTED_VALUE"""),83000)</f>
        <v>83000</v>
      </c>
      <c r="F489" s="2" t="str">
        <f ca="1">IFERROR(__xludf.DUMMYFUNCTION("""COMPUTED_VALUE"""),"Bonarda")</f>
        <v>Bonarda</v>
      </c>
      <c r="G489" s="2">
        <f ca="1">IFERROR(__xludf.DUMMYFUNCTION("""COMPUTED_VALUE"""),47000)</f>
        <v>47000</v>
      </c>
      <c r="H489" s="2">
        <f ca="1">IFERROR(__xludf.DUMMYFUNCTION("""COMPUTED_VALUE"""),53200)</f>
        <v>53200</v>
      </c>
      <c r="I489" s="2" t="str">
        <f ca="1">IFERROR(__xludf.DUMMYFUNCTION("""COMPUTED_VALUE"""),"15/4
Rico, media hora caramelo")</f>
        <v>15/4
Rico, media hora caramelo</v>
      </c>
      <c r="J489" s="2"/>
      <c r="K489" s="2" t="str">
        <f ca="1">IFERROR(__xludf.DUMMYFUNCTION("""COMPUTED_VALUE"""),"Fermentando")</f>
        <v>Fermentando</v>
      </c>
      <c r="L489" s="2"/>
      <c r="M489" s="2"/>
    </row>
    <row r="490" spans="1:13" x14ac:dyDescent="0.25">
      <c r="A490" s="2" t="str">
        <f ca="1">IFERROR(__xludf.DUMMYFUNCTION("""COMPUTED_VALUE"""),"d4245129")</f>
        <v>d4245129</v>
      </c>
      <c r="B490" s="2"/>
      <c r="C490" s="3">
        <f ca="1">IFERROR(__xludf.DUMMYFUNCTION("""COMPUTED_VALUE"""),45755.4825)</f>
        <v>45755.482499999998</v>
      </c>
      <c r="D490" s="2">
        <f ca="1">IFERROR(__xludf.DUMMYFUNCTION("""COMPUTED_VALUE"""),96)</f>
        <v>96</v>
      </c>
      <c r="E490" s="2">
        <f ca="1">IFERROR(__xludf.DUMMYFUNCTION("""COMPUTED_VALUE"""),85600)</f>
        <v>85600</v>
      </c>
      <c r="F490" s="2" t="str">
        <f ca="1">IFERROR(__xludf.DUMMYFUNCTION("""COMPUTED_VALUE"""),"Malbec")</f>
        <v>Malbec</v>
      </c>
      <c r="G490" s="2">
        <f ca="1">IFERROR(__xludf.DUMMYFUNCTION("""COMPUTED_VALUE"""),31300)</f>
        <v>31300</v>
      </c>
      <c r="H490" s="2">
        <f ca="1">IFERROR(__xludf.DUMMYFUNCTION("""COMPUTED_VALUE"""),46300)</f>
        <v>46300</v>
      </c>
      <c r="I490" s="2"/>
      <c r="J490" s="2"/>
      <c r="K490" s="2" t="str">
        <f ca="1">IFERROR(__xludf.DUMMYFUNCTION("""COMPUTED_VALUE"""),"Fermentando")</f>
        <v>Fermentando</v>
      </c>
      <c r="L490" s="2"/>
      <c r="M490" s="2"/>
    </row>
    <row r="491" spans="1:13" x14ac:dyDescent="0.25">
      <c r="A491" s="2" t="str">
        <f ca="1">IFERROR(__xludf.DUMMYFUNCTION("""COMPUTED_VALUE"""),"a042b2d1")</f>
        <v>a042b2d1</v>
      </c>
      <c r="B491" s="2"/>
      <c r="C491" s="3">
        <f ca="1">IFERROR(__xludf.DUMMYFUNCTION("""COMPUTED_VALUE"""),45755.4842824074)</f>
        <v>45755.4842824074</v>
      </c>
      <c r="D491" s="2">
        <f ca="1">IFERROR(__xludf.DUMMYFUNCTION("""COMPUTED_VALUE"""),89)</f>
        <v>89</v>
      </c>
      <c r="E491" s="2">
        <f ca="1">IFERROR(__xludf.DUMMYFUNCTION("""COMPUTED_VALUE"""),83500)</f>
        <v>83500</v>
      </c>
      <c r="F491" s="2" t="str">
        <f ca="1">IFERROR(__xludf.DUMMYFUNCTION("""COMPUTED_VALUE"""),"Malbec")</f>
        <v>Malbec</v>
      </c>
      <c r="G491" s="2">
        <f ca="1">IFERROR(__xludf.DUMMYFUNCTION("""COMPUTED_VALUE"""),50000)</f>
        <v>50000</v>
      </c>
      <c r="H491" s="2">
        <f ca="1">IFERROR(__xludf.DUMMYFUNCTION("""COMPUTED_VALUE"""),60800)</f>
        <v>60800</v>
      </c>
      <c r="I491" s="2" t="str">
        <f ca="1">IFERROR(__xludf.DUMMYFUNCTION("""COMPUTED_VALUE"""),"15/4
Cero baume el 10/4.
Listo para sacar.")</f>
        <v>15/4
Cero baume el 10/4.
Listo para sacar.</v>
      </c>
      <c r="J491" s="2"/>
      <c r="K491" s="2" t="str">
        <f ca="1">IFERROR(__xludf.DUMMYFUNCTION("""COMPUTED_VALUE"""),"Fermentando")</f>
        <v>Fermentando</v>
      </c>
      <c r="L491" s="2"/>
      <c r="M491" s="2"/>
    </row>
    <row r="492" spans="1:13" x14ac:dyDescent="0.25">
      <c r="A492" s="2" t="str">
        <f ca="1">IFERROR(__xludf.DUMMYFUNCTION("""COMPUTED_VALUE"""),"7678fbc3")</f>
        <v>7678fbc3</v>
      </c>
      <c r="B492" s="2"/>
      <c r="C492" s="3">
        <f ca="1">IFERROR(__xludf.DUMMYFUNCTION("""COMPUTED_VALUE"""),45755.4858449074)</f>
        <v>45755.485844907402</v>
      </c>
      <c r="D492" s="2">
        <f ca="1">IFERROR(__xludf.DUMMYFUNCTION("""COMPUTED_VALUE"""),81)</f>
        <v>81</v>
      </c>
      <c r="E492" s="2">
        <f ca="1">IFERROR(__xludf.DUMMYFUNCTION("""COMPUTED_VALUE"""),26500)</f>
        <v>26500</v>
      </c>
      <c r="F492" s="2" t="str">
        <f ca="1">IFERROR(__xludf.DUMMYFUNCTION("""COMPUTED_VALUE"""),"Malbec")</f>
        <v>Malbec</v>
      </c>
      <c r="G492" s="2">
        <f ca="1">IFERROR(__xludf.DUMMYFUNCTION("""COMPUTED_VALUE"""),14500)</f>
        <v>14500</v>
      </c>
      <c r="H492" s="2">
        <f ca="1">IFERROR(__xludf.DUMMYFUNCTION("""COMPUTED_VALUE"""),18100)</f>
        <v>18100</v>
      </c>
      <c r="I492" s="2" t="str">
        <f ca="1">IFERROR(__xludf.DUMMYFUNCTION("""COMPUTED_VALUE"""),"17/4
No hay remontajes")</f>
        <v>17/4
No hay remontajes</v>
      </c>
      <c r="J492" s="2"/>
      <c r="K492" s="2" t="str">
        <f ca="1">IFERROR(__xludf.DUMMYFUNCTION("""COMPUTED_VALUE"""),"Fermentando")</f>
        <v>Fermentando</v>
      </c>
      <c r="L492" s="2"/>
      <c r="M492" s="2"/>
    </row>
    <row r="493" spans="1:13" x14ac:dyDescent="0.25">
      <c r="A493" s="2" t="str">
        <f ca="1">IFERROR(__xludf.DUMMYFUNCTION("""COMPUTED_VALUE"""),"254dce3b")</f>
        <v>254dce3b</v>
      </c>
      <c r="B493" s="2"/>
      <c r="C493" s="3">
        <f ca="1">IFERROR(__xludf.DUMMYFUNCTION("""COMPUTED_VALUE"""),45755.5278935185)</f>
        <v>45755.527893518498</v>
      </c>
      <c r="D493" s="2">
        <f ca="1">IFERROR(__xludf.DUMMYFUNCTION("""COMPUTED_VALUE"""),79)</f>
        <v>79</v>
      </c>
      <c r="E493" s="2">
        <f ca="1">IFERROR(__xludf.DUMMYFUNCTION("""COMPUTED_VALUE"""),26000)</f>
        <v>26000</v>
      </c>
      <c r="F493" s="2" t="str">
        <f ca="1">IFERROR(__xludf.DUMMYFUNCTION("""COMPUTED_VALUE"""),"Cabernet Sauv")</f>
        <v>Cabernet Sauv</v>
      </c>
      <c r="G493" s="2">
        <f ca="1">IFERROR(__xludf.DUMMYFUNCTION("""COMPUTED_VALUE"""),17000)</f>
        <v>17000</v>
      </c>
      <c r="H493" s="2">
        <f ca="1">IFERROR(__xludf.DUMMYFUNCTION("""COMPUTED_VALUE"""),20600)</f>
        <v>20600</v>
      </c>
      <c r="I493" s="2" t="str">
        <f ca="1">IFERROR(__xludf.DUMMYFUNCTION("""COMPUTED_VALUE"""),"15/4")</f>
        <v>15/4</v>
      </c>
      <c r="J493" s="2"/>
      <c r="K493" s="2" t="str">
        <f ca="1">IFERROR(__xludf.DUMMYFUNCTION("""COMPUTED_VALUE"""),"Fermentando")</f>
        <v>Fermentando</v>
      </c>
      <c r="L493" s="2"/>
      <c r="M493" s="2"/>
    </row>
    <row r="494" spans="1:13" x14ac:dyDescent="0.25">
      <c r="A494" s="2" t="str">
        <f ca="1">IFERROR(__xludf.DUMMYFUNCTION("""COMPUTED_VALUE"""),"f954f065")</f>
        <v>f954f065</v>
      </c>
      <c r="B494" s="2"/>
      <c r="C494" s="3">
        <f ca="1">IFERROR(__xludf.DUMMYFUNCTION("""COMPUTED_VALUE"""),45755.5289351851)</f>
        <v>45755.528935185102</v>
      </c>
      <c r="D494" s="2">
        <f ca="1">IFERROR(__xludf.DUMMYFUNCTION("""COMPUTED_VALUE"""),78)</f>
        <v>78</v>
      </c>
      <c r="E494" s="2">
        <f ca="1">IFERROR(__xludf.DUMMYFUNCTION("""COMPUTED_VALUE"""),25800)</f>
        <v>25800</v>
      </c>
      <c r="F494" s="2" t="str">
        <f ca="1">IFERROR(__xludf.DUMMYFUNCTION("""COMPUTED_VALUE"""),"Bonarda")</f>
        <v>Bonarda</v>
      </c>
      <c r="G494" s="2">
        <f ca="1">IFERROR(__xludf.DUMMYFUNCTION("""COMPUTED_VALUE"""),14000)</f>
        <v>14000</v>
      </c>
      <c r="H494" s="2">
        <f ca="1">IFERROR(__xludf.DUMMYFUNCTION("""COMPUTED_VALUE"""),16700)</f>
        <v>16700</v>
      </c>
      <c r="I494" s="2"/>
      <c r="J494" s="2"/>
      <c r="K494" s="2" t="str">
        <f ca="1">IFERROR(__xludf.DUMMYFUNCTION("""COMPUTED_VALUE"""),"Fermentando")</f>
        <v>Fermentando</v>
      </c>
      <c r="L494" s="2"/>
      <c r="M494" s="2"/>
    </row>
    <row r="495" spans="1:13" x14ac:dyDescent="0.25">
      <c r="A495" s="2" t="str">
        <f ca="1">IFERROR(__xludf.DUMMYFUNCTION("""COMPUTED_VALUE"""),"f4ef7eb7")</f>
        <v>f4ef7eb7</v>
      </c>
      <c r="B495" s="2"/>
      <c r="C495" s="3">
        <f ca="1">IFERROR(__xludf.DUMMYFUNCTION("""COMPUTED_VALUE"""),45755.5295833333)</f>
        <v>45755.5295833333</v>
      </c>
      <c r="D495" s="2">
        <f ca="1">IFERROR(__xludf.DUMMYFUNCTION("""COMPUTED_VALUE"""),92)</f>
        <v>92</v>
      </c>
      <c r="E495" s="2">
        <f ca="1">IFERROR(__xludf.DUMMYFUNCTION("""COMPUTED_VALUE"""),76000)</f>
        <v>76000</v>
      </c>
      <c r="F495" s="2" t="str">
        <f ca="1">IFERROR(__xludf.DUMMYFUNCTION("""COMPUTED_VALUE"""),"Malbec")</f>
        <v>Malbec</v>
      </c>
      <c r="G495" s="2">
        <f ca="1">IFERROR(__xludf.DUMMYFUNCTION("""COMPUTED_VALUE"""),43000)</f>
        <v>43000</v>
      </c>
      <c r="H495" s="2">
        <f ca="1">IFERROR(__xludf.DUMMYFUNCTION("""COMPUTED_VALUE"""),48500)</f>
        <v>48500</v>
      </c>
      <c r="I495" s="2" t="str">
        <f ca="1">IFERROR(__xludf.DUMMYFUNCTION("""COMPUTED_VALUE"""),"17/4
Frenada. Az alta. Ojo
15/4
Floral. Cero baume 12/4")</f>
        <v>17/4
Frenada. Az alta. Ojo
15/4
Floral. Cero baume 12/4</v>
      </c>
      <c r="J495" s="2"/>
      <c r="K495" s="2" t="str">
        <f ca="1">IFERROR(__xludf.DUMMYFUNCTION("""COMPUTED_VALUE"""),"Fermentando")</f>
        <v>Fermentando</v>
      </c>
      <c r="L495" s="2"/>
      <c r="M495" s="2"/>
    </row>
    <row r="496" spans="1:13" x14ac:dyDescent="0.25">
      <c r="A496" s="2" t="str">
        <f ca="1">IFERROR(__xludf.DUMMYFUNCTION("""COMPUTED_VALUE"""),"7efc7da2")</f>
        <v>7efc7da2</v>
      </c>
      <c r="B496" s="2"/>
      <c r="C496" s="5">
        <f ca="1">IFERROR(__xludf.DUMMYFUNCTION("""COMPUTED_VALUE"""),45755.7914814813)</f>
        <v>45755.791481481399</v>
      </c>
      <c r="D496" s="2">
        <f ca="1">IFERROR(__xludf.DUMMYFUNCTION("""COMPUTED_VALUE"""),24)</f>
        <v>24</v>
      </c>
      <c r="E496" s="2">
        <f ca="1">IFERROR(__xludf.DUMMYFUNCTION("""COMPUTED_VALUE"""),186600)</f>
        <v>186600</v>
      </c>
      <c r="F496" s="2" t="str">
        <f ca="1">IFERROR(__xludf.DUMMYFUNCTION("""COMPUTED_VALUE"""),"Bonarda C2")</f>
        <v>Bonarda C2</v>
      </c>
      <c r="G496" s="2">
        <f ca="1">IFERROR(__xludf.DUMMYFUNCTION("""COMPUTED_VALUE"""),176600)</f>
        <v>176600</v>
      </c>
      <c r="H496" s="2">
        <f ca="1">IFERROR(__xludf.DUMMYFUNCTION("""COMPUTED_VALUE"""),186600)</f>
        <v>186600</v>
      </c>
      <c r="I496" s="2" t="str">
        <f ca="1">IFERROR(__xludf.DUMMYFUNCTION("""COMPUTED_VALUE"""),"19/4  Deberiamos corregir el SO2L que esta en 30 mg.  Pero vamos a esperar que pasa con los clientes Baudron y Tecnovitis")</f>
        <v>19/4  Deberiamos corregir el SO2L que esta en 30 mg.  Pero vamos a esperar que pasa con los clientes Baudron y Tecnovitis</v>
      </c>
      <c r="J496" s="2"/>
      <c r="K496" s="2" t="str">
        <f ca="1">IFERROR(__xludf.DUMMYFUNCTION("""COMPUTED_VALUE"""),"1er Trasiego")</f>
        <v>1er Trasiego</v>
      </c>
      <c r="L496" s="2"/>
      <c r="M496" s="2"/>
    </row>
    <row r="497" spans="1:13" x14ac:dyDescent="0.25">
      <c r="A497" s="2" t="str">
        <f ca="1">IFERROR(__xludf.DUMMYFUNCTION("""COMPUTED_VALUE"""),"0998b1b9")</f>
        <v>0998b1b9</v>
      </c>
      <c r="B497" s="2"/>
      <c r="C497" s="5">
        <f ca="1">IFERROR(__xludf.DUMMYFUNCTION("""COMPUTED_VALUE"""),45755.8684953703)</f>
        <v>45755.868495370298</v>
      </c>
      <c r="D497" s="2">
        <f ca="1">IFERROR(__xludf.DUMMYFUNCTION("""COMPUTED_VALUE"""),82)</f>
        <v>82</v>
      </c>
      <c r="E497" s="2">
        <f ca="1">IFERROR(__xludf.DUMMYFUNCTION("""COMPUTED_VALUE"""),42600)</f>
        <v>42600</v>
      </c>
      <c r="F497" s="2" t="str">
        <f ca="1">IFERROR(__xludf.DUMMYFUNCTION("""COMPUTED_VALUE"""),"Malbec")</f>
        <v>Malbec</v>
      </c>
      <c r="G497" s="2"/>
      <c r="H497" s="2">
        <f ca="1">IFERROR(__xludf.DUMMYFUNCTION("""COMPUTED_VALUE"""),28500)</f>
        <v>28500</v>
      </c>
      <c r="I497" s="2"/>
      <c r="J497" s="2" t="str">
        <f ca="1">IFERROR(__xludf.DUMMYFUNCTION("""COMPUTED_VALUE"""),"6114 , 6118 , 6127 , 6129")</f>
        <v>6114 , 6118 , 6127 , 6129</v>
      </c>
      <c r="K497" s="2" t="str">
        <f ca="1">IFERROR(__xludf.DUMMYFUNCTION("""COMPUTED_VALUE"""),"Fermentando")</f>
        <v>Fermentando</v>
      </c>
      <c r="L497" s="2"/>
      <c r="M497" s="2"/>
    </row>
    <row r="498" spans="1:13" x14ac:dyDescent="0.25">
      <c r="A498" s="2" t="str">
        <f ca="1">IFERROR(__xludf.DUMMYFUNCTION("""COMPUTED_VALUE"""),"e12682eb")</f>
        <v>e12682eb</v>
      </c>
      <c r="B498" s="2"/>
      <c r="C498" s="5">
        <f ca="1">IFERROR(__xludf.DUMMYFUNCTION("""COMPUTED_VALUE"""),45755.8691550925)</f>
        <v>45755.8691550925</v>
      </c>
      <c r="D498" s="2">
        <f ca="1">IFERROR(__xludf.DUMMYFUNCTION("""COMPUTED_VALUE"""),88)</f>
        <v>88</v>
      </c>
      <c r="E498" s="2">
        <f ca="1">IFERROR(__xludf.DUMMYFUNCTION("""COMPUTED_VALUE"""),78900)</f>
        <v>78900</v>
      </c>
      <c r="F498" s="2" t="str">
        <f ca="1">IFERROR(__xludf.DUMMYFUNCTION("""COMPUTED_VALUE"""),"Bonarda")</f>
        <v>Bonarda</v>
      </c>
      <c r="G498" s="2"/>
      <c r="H498" s="2">
        <f ca="1">IFERROR(__xludf.DUMMYFUNCTION("""COMPUTED_VALUE"""),38000)</f>
        <v>38000</v>
      </c>
      <c r="I498" s="2"/>
      <c r="J498" s="2" t="str">
        <f ca="1">IFERROR(__xludf.DUMMYFUNCTION("""COMPUTED_VALUE"""),"6123 , 6122 , 6119 , 6115 , 6125")</f>
        <v>6123 , 6122 , 6119 , 6115 , 6125</v>
      </c>
      <c r="K498" s="2" t="str">
        <f ca="1">IFERROR(__xludf.DUMMYFUNCTION("""COMPUTED_VALUE"""),"Fermentando")</f>
        <v>Fermentando</v>
      </c>
      <c r="L498" s="2"/>
      <c r="M498" s="2"/>
    </row>
    <row r="499" spans="1:13" x14ac:dyDescent="0.25">
      <c r="A499" s="2" t="str">
        <f ca="1">IFERROR(__xludf.DUMMYFUNCTION("""COMPUTED_VALUE"""),"36a5b1dd")</f>
        <v>36a5b1dd</v>
      </c>
      <c r="B499" s="2"/>
      <c r="C499" s="5">
        <f ca="1">IFERROR(__xludf.DUMMYFUNCTION("""COMPUTED_VALUE"""),45755.8701736111)</f>
        <v>45755.870173611103</v>
      </c>
      <c r="D499" s="2">
        <f ca="1">IFERROR(__xludf.DUMMYFUNCTION("""COMPUTED_VALUE"""),6)</f>
        <v>6</v>
      </c>
      <c r="E499" s="2">
        <f ca="1">IFERROR(__xludf.DUMMYFUNCTION("""COMPUTED_VALUE"""),32000)</f>
        <v>32000</v>
      </c>
      <c r="F499" s="2" t="str">
        <f ca="1">IFERROR(__xludf.DUMMYFUNCTION("""COMPUTED_VALUE"""),"Criolla Flotada")</f>
        <v>Criolla Flotada</v>
      </c>
      <c r="G499" s="2"/>
      <c r="H499" s="2">
        <f ca="1">IFERROR(__xludf.DUMMYFUNCTION("""COMPUTED_VALUE"""),17100)</f>
        <v>17100</v>
      </c>
      <c r="I499" s="2"/>
      <c r="J499" s="2" t="str">
        <f ca="1">IFERROR(__xludf.DUMMYFUNCTION("""COMPUTED_VALUE"""),"6112 , 6117")</f>
        <v>6112 , 6117</v>
      </c>
      <c r="K499" s="2" t="str">
        <f ca="1">IFERROR(__xludf.DUMMYFUNCTION("""COMPUTED_VALUE"""),"Fermentando")</f>
        <v>Fermentando</v>
      </c>
      <c r="L499" s="2"/>
      <c r="M499" s="2"/>
    </row>
    <row r="500" spans="1:13" x14ac:dyDescent="0.25">
      <c r="A500" s="2" t="str">
        <f ca="1">IFERROR(__xludf.DUMMYFUNCTION("""COMPUTED_VALUE"""),"aa8ee5bf")</f>
        <v>aa8ee5bf</v>
      </c>
      <c r="B500" s="2"/>
      <c r="C500" s="5">
        <f ca="1">IFERROR(__xludf.DUMMYFUNCTION("""COMPUTED_VALUE"""),45756.769375)</f>
        <v>45756.769375000003</v>
      </c>
      <c r="D500" s="2">
        <f ca="1">IFERROR(__xludf.DUMMYFUNCTION("""COMPUTED_VALUE"""),65)</f>
        <v>65</v>
      </c>
      <c r="E500" s="2">
        <f ca="1">IFERROR(__xludf.DUMMYFUNCTION("""COMPUTED_VALUE"""),35500)</f>
        <v>35500</v>
      </c>
      <c r="F500" s="2" t="str">
        <f ca="1">IFERROR(__xludf.DUMMYFUNCTION("""COMPUTED_VALUE"""),"Cabernet Sauvignon")</f>
        <v>Cabernet Sauvignon</v>
      </c>
      <c r="G500" s="2"/>
      <c r="H500" s="2">
        <f ca="1">IFERROR(__xludf.DUMMYFUNCTION("""COMPUTED_VALUE"""),20000)</f>
        <v>20000</v>
      </c>
      <c r="I500" s="2"/>
      <c r="J500" s="2" t="str">
        <f ca="1">IFERROR(__xludf.DUMMYFUNCTION("""COMPUTED_VALUE"""),"6130 , 6132 , 6135 , 6136")</f>
        <v>6130 , 6132 , 6135 , 6136</v>
      </c>
      <c r="K500" s="2" t="str">
        <f ca="1">IFERROR(__xludf.DUMMYFUNCTION("""COMPUTED_VALUE"""),"Fermentando")</f>
        <v>Fermentando</v>
      </c>
      <c r="L500" s="2"/>
      <c r="M500" s="2"/>
    </row>
    <row r="501" spans="1:13" x14ac:dyDescent="0.25">
      <c r="A501" s="2" t="str">
        <f ca="1">IFERROR(__xludf.DUMMYFUNCTION("""COMPUTED_VALUE"""),"6142f4ae")</f>
        <v>6142f4ae</v>
      </c>
      <c r="B501" s="2"/>
      <c r="C501" s="5">
        <f ca="1">IFERROR(__xludf.DUMMYFUNCTION("""COMPUTED_VALUE"""),45756.7748263888)</f>
        <v>45756.774826388799</v>
      </c>
      <c r="D501" s="2">
        <f ca="1">IFERROR(__xludf.DUMMYFUNCTION("""COMPUTED_VALUE"""),45)</f>
        <v>45</v>
      </c>
      <c r="E501" s="2">
        <f ca="1">IFERROR(__xludf.DUMMYFUNCTION("""COMPUTED_VALUE"""),30000)</f>
        <v>30000</v>
      </c>
      <c r="F501" s="2" t="str">
        <f ca="1">IFERROR(__xludf.DUMMYFUNCTION("""COMPUTED_VALUE"""),"Syrah")</f>
        <v>Syrah</v>
      </c>
      <c r="G501" s="2">
        <f ca="1">IFERROR(__xludf.DUMMYFUNCTION("""COMPUTED_VALUE"""),0)</f>
        <v>0</v>
      </c>
      <c r="H501" s="2">
        <f ca="1">IFERROR(__xludf.DUMMYFUNCTION("""COMPUTED_VALUE"""),30000)</f>
        <v>30000</v>
      </c>
      <c r="I501" s="2"/>
      <c r="J501" s="2"/>
      <c r="K501" s="2" t="str">
        <f ca="1">IFERROR(__xludf.DUMMYFUNCTION("""COMPUTED_VALUE"""),"1er Trasiego")</f>
        <v>1er Trasiego</v>
      </c>
      <c r="L501" s="2"/>
      <c r="M501" s="2"/>
    </row>
    <row r="502" spans="1:13" x14ac:dyDescent="0.25">
      <c r="A502" s="2" t="str">
        <f ca="1">IFERROR(__xludf.DUMMYFUNCTION("""COMPUTED_VALUE"""),"66fb3a88")</f>
        <v>66fb3a88</v>
      </c>
      <c r="B502" s="2"/>
      <c r="C502" s="5">
        <f ca="1">IFERROR(__xludf.DUMMYFUNCTION("""COMPUTED_VALUE"""),45756.7779050925)</f>
        <v>45756.777905092502</v>
      </c>
      <c r="D502" s="2">
        <f ca="1">IFERROR(__xludf.DUMMYFUNCTION("""COMPUTED_VALUE"""),18)</f>
        <v>18</v>
      </c>
      <c r="E502" s="2">
        <f ca="1">IFERROR(__xludf.DUMMYFUNCTION("""COMPUTED_VALUE"""),39500)</f>
        <v>39500</v>
      </c>
      <c r="F502" s="2" t="str">
        <f ca="1">IFERROR(__xludf.DUMMYFUNCTION("""COMPUTED_VALUE"""),"Bonarda")</f>
        <v>Bonarda</v>
      </c>
      <c r="G502" s="2">
        <f ca="1">IFERROR(__xludf.DUMMYFUNCTION("""COMPUTED_VALUE"""),0)</f>
        <v>0</v>
      </c>
      <c r="H502" s="2">
        <f ca="1">IFERROR(__xludf.DUMMYFUNCTION("""COMPUTED_VALUE"""),38000)</f>
        <v>38000</v>
      </c>
      <c r="I502" s="2"/>
      <c r="J502" s="2"/>
      <c r="K502" s="2" t="str">
        <f ca="1">IFERROR(__xludf.DUMMYFUNCTION("""COMPUTED_VALUE"""),"Descubada")</f>
        <v>Descubada</v>
      </c>
      <c r="L502" s="2"/>
      <c r="M502" s="2"/>
    </row>
    <row r="503" spans="1:13" x14ac:dyDescent="0.25">
      <c r="A503" s="2" t="str">
        <f ca="1">IFERROR(__xludf.DUMMYFUNCTION("""COMPUTED_VALUE"""),"a35017ce")</f>
        <v>a35017ce</v>
      </c>
      <c r="B503" s="2"/>
      <c r="C503" s="5">
        <f ca="1">IFERROR(__xludf.DUMMYFUNCTION("""COMPUTED_VALUE"""),45756.7791087963)</f>
        <v>45756.779108796298</v>
      </c>
      <c r="D503" s="2">
        <f ca="1">IFERROR(__xludf.DUMMYFUNCTION("""COMPUTED_VALUE"""),28)</f>
        <v>28</v>
      </c>
      <c r="E503" s="2">
        <f ca="1">IFERROR(__xludf.DUMMYFUNCTION("""COMPUTED_VALUE"""),216000)</f>
        <v>216000</v>
      </c>
      <c r="F503" s="2" t="str">
        <f ca="1">IFERROR(__xludf.DUMMYFUNCTION("""COMPUTED_VALUE"""),"Bonarda")</f>
        <v>Bonarda</v>
      </c>
      <c r="G503" s="2">
        <f ca="1">IFERROR(__xludf.DUMMYFUNCTION("""COMPUTED_VALUE"""),0)</f>
        <v>0</v>
      </c>
      <c r="H503" s="2">
        <f ca="1">IFERROR(__xludf.DUMMYFUNCTION("""COMPUTED_VALUE"""),65500)</f>
        <v>65500</v>
      </c>
      <c r="I503" s="2"/>
      <c r="J503" s="2"/>
      <c r="K503" s="2" t="str">
        <f ca="1">IFERROR(__xludf.DUMMYFUNCTION("""COMPUTED_VALUE"""),"Descubada")</f>
        <v>Descubada</v>
      </c>
      <c r="L503" s="2"/>
      <c r="M503" s="2"/>
    </row>
    <row r="504" spans="1:13" x14ac:dyDescent="0.25">
      <c r="A504" s="2" t="str">
        <f ca="1">IFERROR(__xludf.DUMMYFUNCTION("""COMPUTED_VALUE"""),"2169295d")</f>
        <v>2169295d</v>
      </c>
      <c r="B504" s="2"/>
      <c r="C504" s="5">
        <f ca="1">IFERROR(__xludf.DUMMYFUNCTION("""COMPUTED_VALUE"""),45756.7803009259)</f>
        <v>45756.780300925901</v>
      </c>
      <c r="D504" s="2">
        <f ca="1">IFERROR(__xludf.DUMMYFUNCTION("""COMPUTED_VALUE"""),41)</f>
        <v>41</v>
      </c>
      <c r="E504" s="2">
        <f ca="1">IFERROR(__xludf.DUMMYFUNCTION("""COMPUTED_VALUE"""),35100)</f>
        <v>35100</v>
      </c>
      <c r="F504" s="2" t="str">
        <f ca="1">IFERROR(__xludf.DUMMYFUNCTION("""COMPUTED_VALUE"""),"Syrah Rect")</f>
        <v>Syrah Rect</v>
      </c>
      <c r="G504" s="2">
        <f ca="1">IFERROR(__xludf.DUMMYFUNCTION("""COMPUTED_VALUE"""),0)</f>
        <v>0</v>
      </c>
      <c r="H504" s="2">
        <f ca="1">IFERROR(__xludf.DUMMYFUNCTION("""COMPUTED_VALUE"""),35100)</f>
        <v>35100</v>
      </c>
      <c r="I504" s="2"/>
      <c r="J504" s="2"/>
      <c r="K504" s="2" t="str">
        <f ca="1">IFERROR(__xludf.DUMMYFUNCTION("""COMPUTED_VALUE"""),"Rectificado")</f>
        <v>Rectificado</v>
      </c>
      <c r="L504" s="2"/>
      <c r="M504" s="2"/>
    </row>
    <row r="505" spans="1:13" x14ac:dyDescent="0.25">
      <c r="A505" s="2" t="str">
        <f ca="1">IFERROR(__xludf.DUMMYFUNCTION("""COMPUTED_VALUE"""),"e5691d8b")</f>
        <v>e5691d8b</v>
      </c>
      <c r="B505" s="2"/>
      <c r="C505" s="5">
        <f ca="1">IFERROR(__xludf.DUMMYFUNCTION("""COMPUTED_VALUE"""),45756.7806018518)</f>
        <v>45756.780601851802</v>
      </c>
      <c r="D505" s="2">
        <f ca="1">IFERROR(__xludf.DUMMYFUNCTION("""COMPUTED_VALUE"""),935)</f>
        <v>935</v>
      </c>
      <c r="E505" s="2">
        <f ca="1">IFERROR(__xludf.DUMMYFUNCTION("""COMPUTED_VALUE"""),11200)</f>
        <v>11200</v>
      </c>
      <c r="F505" s="2" t="str">
        <f ca="1">IFERROR(__xludf.DUMMYFUNCTION("""COMPUTED_VALUE"""),"Borra")</f>
        <v>Borra</v>
      </c>
      <c r="G505" s="2">
        <f ca="1">IFERROR(__xludf.DUMMYFUNCTION("""COMPUTED_VALUE"""),4000)</f>
        <v>4000</v>
      </c>
      <c r="H505" s="2">
        <f ca="1">IFERROR(__xludf.DUMMYFUNCTION("""COMPUTED_VALUE"""),4900)</f>
        <v>4900</v>
      </c>
      <c r="I505" s="2"/>
      <c r="J505" s="2"/>
      <c r="K505" s="2" t="str">
        <f ca="1">IFERROR(__xludf.DUMMYFUNCTION("""COMPUTED_VALUE"""),"Descubada")</f>
        <v>Descubada</v>
      </c>
      <c r="L505" s="2"/>
      <c r="M505" s="2"/>
    </row>
    <row r="506" spans="1:13" x14ac:dyDescent="0.25">
      <c r="A506" s="2" t="str">
        <f ca="1">IFERROR(__xludf.DUMMYFUNCTION("""COMPUTED_VALUE"""),"1324322a")</f>
        <v>1324322a</v>
      </c>
      <c r="B506" s="2"/>
      <c r="C506" s="5">
        <f ca="1">IFERROR(__xludf.DUMMYFUNCTION("""COMPUTED_VALUE"""),45756.7844444444)</f>
        <v>45756.784444444398</v>
      </c>
      <c r="D506" s="2">
        <f ca="1">IFERROR(__xludf.DUMMYFUNCTION("""COMPUTED_VALUE"""),85)</f>
        <v>85</v>
      </c>
      <c r="E506" s="2">
        <f ca="1">IFERROR(__xludf.DUMMYFUNCTION("""COMPUTED_VALUE"""),84000)</f>
        <v>84000</v>
      </c>
      <c r="F506" s="2" t="str">
        <f ca="1">IFERROR(__xludf.DUMMYFUNCTION("""COMPUTED_VALUE"""),"Tinto s/Ma Bo")</f>
        <v>Tinto s/Ma Bo</v>
      </c>
      <c r="G506" s="2">
        <f ca="1">IFERROR(__xludf.DUMMYFUNCTION("""COMPUTED_VALUE"""),46600)</f>
        <v>46600</v>
      </c>
      <c r="H506" s="2">
        <f ca="1">IFERROR(__xludf.DUMMYFUNCTION("""COMPUTED_VALUE"""),63700)</f>
        <v>63700</v>
      </c>
      <c r="I506" s="2" t="str">
        <f ca="1">IFERROR(__xludf.DUMMYFUNCTION("""COMPUTED_VALUE"""),"11/4
Está un poco reducido. Dulce. Notas banana dolca. Reducción")</f>
        <v>11/4
Está un poco reducido. Dulce. Notas banana dolca. Reducción</v>
      </c>
      <c r="J506" s="2"/>
      <c r="K506" s="2" t="str">
        <f ca="1">IFERROR(__xludf.DUMMYFUNCTION("""COMPUTED_VALUE"""),"Recarga Fermentando")</f>
        <v>Recarga Fermentando</v>
      </c>
      <c r="L506" s="2"/>
      <c r="M506" s="2"/>
    </row>
    <row r="507" spans="1:13" x14ac:dyDescent="0.25">
      <c r="A507" s="2" t="str">
        <f ca="1">IFERROR(__xludf.DUMMYFUNCTION("""COMPUTED_VALUE"""),"86296256")</f>
        <v>86296256</v>
      </c>
      <c r="B507" s="2"/>
      <c r="C507" s="5">
        <f ca="1">IFERROR(__xludf.DUMMYFUNCTION("""COMPUTED_VALUE"""),45756.7994097222)</f>
        <v>45756.799409722204</v>
      </c>
      <c r="D507" s="2">
        <f ca="1">IFERROR(__xludf.DUMMYFUNCTION("""COMPUTED_VALUE"""),500)</f>
        <v>500</v>
      </c>
      <c r="E507" s="2">
        <f ca="1">IFERROR(__xludf.DUMMYFUNCTION("""COMPUTED_VALUE"""),200000)</f>
        <v>200000</v>
      </c>
      <c r="F507" s="2" t="str">
        <f ca="1">IFERROR(__xludf.DUMMYFUNCTION("""COMPUTED_VALUE"""),"Ajuste Arqueo Bodega 7/04/25")</f>
        <v>Ajuste Arqueo Bodega 7/04/25</v>
      </c>
      <c r="G507" s="2">
        <f ca="1">IFERROR(__xludf.DUMMYFUNCTION("""COMPUTED_VALUE"""),2551)</f>
        <v>2551</v>
      </c>
      <c r="H507" s="2">
        <f ca="1">IFERROR(__xludf.DUMMYFUNCTION("""COMPUTED_VALUE"""),10151)</f>
        <v>10151</v>
      </c>
      <c r="I507" s="2" t="str">
        <f ca="1">IFERROR(__xludf.DUMMYFUNCTION("""COMPUTED_VALUE"""),"Volumen final 10151")</f>
        <v>Volumen final 10151</v>
      </c>
      <c r="J507" s="2"/>
      <c r="K507" s="2" t="str">
        <f ca="1">IFERROR(__xludf.DUMMYFUNCTION("""COMPUTED_VALUE"""),"Terminado")</f>
        <v>Terminado</v>
      </c>
      <c r="L507" s="2"/>
      <c r="M507" s="2"/>
    </row>
    <row r="508" spans="1:13" x14ac:dyDescent="0.25">
      <c r="A508" s="2" t="str">
        <f ca="1">IFERROR(__xludf.DUMMYFUNCTION("""COMPUTED_VALUE"""),"9b730f37")</f>
        <v>9b730f37</v>
      </c>
      <c r="B508" s="2"/>
      <c r="C508" s="5">
        <f ca="1">IFERROR(__xludf.DUMMYFUNCTION("""COMPUTED_VALUE"""),45757.7497569444)</f>
        <v>45757.749756944402</v>
      </c>
      <c r="D508" s="2">
        <f ca="1">IFERROR(__xludf.DUMMYFUNCTION("""COMPUTED_VALUE"""),90)</f>
        <v>90</v>
      </c>
      <c r="E508" s="2">
        <f ca="1">IFERROR(__xludf.DUMMYFUNCTION("""COMPUTED_VALUE"""),97500)</f>
        <v>97500</v>
      </c>
      <c r="F508" s="2" t="str">
        <f ca="1">IFERROR(__xludf.DUMMYFUNCTION("""COMPUTED_VALUE"""),"Bonarda")</f>
        <v>Bonarda</v>
      </c>
      <c r="G508" s="2"/>
      <c r="H508" s="2">
        <f ca="1">IFERROR(__xludf.DUMMYFUNCTION("""COMPUTED_VALUE"""),59000)</f>
        <v>59000</v>
      </c>
      <c r="I508" s="2"/>
      <c r="J508" s="2" t="str">
        <f ca="1">IFERROR(__xludf.DUMMYFUNCTION("""COMPUTED_VALUE"""),"6126 , 6128 , 6131 , 6133 , 6134 , 6137")</f>
        <v>6126 , 6128 , 6131 , 6133 , 6134 , 6137</v>
      </c>
      <c r="K508" s="2" t="str">
        <f ca="1">IFERROR(__xludf.DUMMYFUNCTION("""COMPUTED_VALUE"""),"Fermentando")</f>
        <v>Fermentando</v>
      </c>
      <c r="L508" s="2"/>
      <c r="M508" s="2"/>
    </row>
    <row r="509" spans="1:13" x14ac:dyDescent="0.25">
      <c r="A509" s="2" t="str">
        <f ca="1">IFERROR(__xludf.DUMMYFUNCTION("""COMPUTED_VALUE"""),"b87310b3")</f>
        <v>b87310b3</v>
      </c>
      <c r="B509" s="2"/>
      <c r="C509" s="5">
        <f ca="1">IFERROR(__xludf.DUMMYFUNCTION("""COMPUTED_VALUE"""),45757.7748726851)</f>
        <v>45757.774872685099</v>
      </c>
      <c r="D509" s="2">
        <f ca="1">IFERROR(__xludf.DUMMYFUNCTION("""COMPUTED_VALUE"""),66)</f>
        <v>66</v>
      </c>
      <c r="E509" s="2">
        <f ca="1">IFERROR(__xludf.DUMMYFUNCTION("""COMPUTED_VALUE"""),23000)</f>
        <v>23000</v>
      </c>
      <c r="F509" s="2" t="str">
        <f ca="1">IFERROR(__xludf.DUMMYFUNCTION("""COMPUTED_VALUE"""),"Cabernet Sauvignon sin Rect")</f>
        <v>Cabernet Sauvignon sin Rect</v>
      </c>
      <c r="G509" s="2"/>
      <c r="H509" s="2">
        <f ca="1">IFERROR(__xludf.DUMMYFUNCTION("""COMPUTED_VALUE"""),17600)</f>
        <v>17600</v>
      </c>
      <c r="I509" s="2" t="str">
        <f ca="1">IFERROR(__xludf.DUMMYFUNCTION("""COMPUTED_VALUE"""),"15/4 
Nos faltó el rectificado
Vamos a esperar. Está rico. Candidato a recibir recarga")</f>
        <v>15/4 
Nos faltó el rectificado
Vamos a esperar. Está rico. Candidato a recibir recarga</v>
      </c>
      <c r="J509" s="2" t="str">
        <f ca="1">IFERROR(__xludf.DUMMYFUNCTION("""COMPUTED_VALUE"""),"6136 , 6138")</f>
        <v>6136 , 6138</v>
      </c>
      <c r="K509" s="2" t="str">
        <f ca="1">IFERROR(__xludf.DUMMYFUNCTION("""COMPUTED_VALUE"""),"Fermentando")</f>
        <v>Fermentando</v>
      </c>
      <c r="L509" s="2"/>
      <c r="M509" s="2"/>
    </row>
    <row r="510" spans="1:13" x14ac:dyDescent="0.25">
      <c r="A510" s="2" t="str">
        <f ca="1">IFERROR(__xludf.DUMMYFUNCTION("""COMPUTED_VALUE"""),"ae5925ab")</f>
        <v>ae5925ab</v>
      </c>
      <c r="B510" s="2"/>
      <c r="C510" s="5">
        <f ca="1">IFERROR(__xludf.DUMMYFUNCTION("""COMPUTED_VALUE"""),45757.7763888888)</f>
        <v>45757.7763888888</v>
      </c>
      <c r="D510" s="2">
        <f ca="1">IFERROR(__xludf.DUMMYFUNCTION("""COMPUTED_VALUE"""),67)</f>
        <v>67</v>
      </c>
      <c r="E510" s="2">
        <f ca="1">IFERROR(__xludf.DUMMYFUNCTION("""COMPUTED_VALUE"""),23000)</f>
        <v>23000</v>
      </c>
      <c r="F510" s="2" t="str">
        <f ca="1">IFERROR(__xludf.DUMMYFUNCTION("""COMPUTED_VALUE"""),"Cabernet Sauvignon")</f>
        <v>Cabernet Sauvignon</v>
      </c>
      <c r="G510" s="2"/>
      <c r="H510" s="2">
        <f ca="1">IFERROR(__xludf.DUMMYFUNCTION("""COMPUTED_VALUE"""),18000)</f>
        <v>18000</v>
      </c>
      <c r="I510" s="2"/>
      <c r="J510" s="2" t="str">
        <f ca="1">IFERROR(__xludf.DUMMYFUNCTION("""COMPUTED_VALUE"""),"6146 , 6142 , 6143")</f>
        <v>6146 , 6142 , 6143</v>
      </c>
      <c r="K510" s="2" t="str">
        <f ca="1">IFERROR(__xludf.DUMMYFUNCTION("""COMPUTED_VALUE"""),"Fermentando")</f>
        <v>Fermentando</v>
      </c>
      <c r="L510" s="2"/>
      <c r="M510" s="2"/>
    </row>
    <row r="511" spans="1:13" x14ac:dyDescent="0.25">
      <c r="A511" s="2" t="str">
        <f ca="1">IFERROR(__xludf.DUMMYFUNCTION("""COMPUTED_VALUE"""),"7617bf80")</f>
        <v>7617bf80</v>
      </c>
      <c r="B511" s="2"/>
      <c r="C511" s="5">
        <f ca="1">IFERROR(__xludf.DUMMYFUNCTION("""COMPUTED_VALUE"""),45757.7791203703)</f>
        <v>45757.779120370302</v>
      </c>
      <c r="D511" s="2">
        <f ca="1">IFERROR(__xludf.DUMMYFUNCTION("""COMPUTED_VALUE"""),28)</f>
        <v>28</v>
      </c>
      <c r="E511" s="2">
        <f ca="1">IFERROR(__xludf.DUMMYFUNCTION("""COMPUTED_VALUE"""),216000)</f>
        <v>216000</v>
      </c>
      <c r="F511" s="2" t="str">
        <f ca="1">IFERROR(__xludf.DUMMYFUNCTION("""COMPUTED_VALUE"""),"Bonarda")</f>
        <v>Bonarda</v>
      </c>
      <c r="G511" s="2">
        <f ca="1">IFERROR(__xludf.DUMMYFUNCTION("""COMPUTED_VALUE"""),65500)</f>
        <v>65500</v>
      </c>
      <c r="H511" s="2">
        <f ca="1">IFERROR(__xludf.DUMMYFUNCTION("""COMPUTED_VALUE"""),120000)</f>
        <v>120000</v>
      </c>
      <c r="I511" s="2"/>
      <c r="J511" s="2"/>
      <c r="K511" s="2" t="str">
        <f ca="1">IFERROR(__xludf.DUMMYFUNCTION("""COMPUTED_VALUE"""),"Descubada")</f>
        <v>Descubada</v>
      </c>
      <c r="L511" s="2"/>
      <c r="M511" s="2"/>
    </row>
    <row r="512" spans="1:13" x14ac:dyDescent="0.25">
      <c r="A512" s="2" t="str">
        <f ca="1">IFERROR(__xludf.DUMMYFUNCTION("""COMPUTED_VALUE"""),"4b2f415c")</f>
        <v>4b2f415c</v>
      </c>
      <c r="B512" s="2"/>
      <c r="C512" s="5">
        <f ca="1">IFERROR(__xludf.DUMMYFUNCTION("""COMPUTED_VALUE"""),45757.7807291666)</f>
        <v>45757.780729166603</v>
      </c>
      <c r="D512" s="2">
        <f ca="1">IFERROR(__xludf.DUMMYFUNCTION("""COMPUTED_VALUE"""),96)</f>
        <v>96</v>
      </c>
      <c r="E512" s="2">
        <f ca="1">IFERROR(__xludf.DUMMYFUNCTION("""COMPUTED_VALUE"""),85600)</f>
        <v>85600</v>
      </c>
      <c r="F512" s="2" t="str">
        <f ca="1">IFERROR(__xludf.DUMMYFUNCTION("""COMPUTED_VALUE"""),"Malbec")</f>
        <v>Malbec</v>
      </c>
      <c r="G512" s="2">
        <f ca="1">IFERROR(__xludf.DUMMYFUNCTION("""COMPUTED_VALUE"""),46300)</f>
        <v>46300</v>
      </c>
      <c r="H512" s="2">
        <f ca="1">IFERROR(__xludf.DUMMYFUNCTION("""COMPUTED_VALUE"""),52800)</f>
        <v>52800</v>
      </c>
      <c r="I512" s="2" t="str">
        <f ca="1">IFERROR(__xludf.DUMMYFUNCTION("""COMPUTED_VALUE"""),"15/4
Nota malvon.")</f>
        <v>15/4
Nota malvon.</v>
      </c>
      <c r="J512" s="2"/>
      <c r="K512" s="2" t="str">
        <f ca="1">IFERROR(__xludf.DUMMYFUNCTION("""COMPUTED_VALUE"""),"Fermentando")</f>
        <v>Fermentando</v>
      </c>
      <c r="L512" s="2"/>
      <c r="M512" s="2"/>
    </row>
    <row r="513" spans="1:13" x14ac:dyDescent="0.25">
      <c r="A513" s="2" t="str">
        <f ca="1">IFERROR(__xludf.DUMMYFUNCTION("""COMPUTED_VALUE"""),"23f4cc53")</f>
        <v>23f4cc53</v>
      </c>
      <c r="B513" s="2"/>
      <c r="C513" s="5">
        <f ca="1">IFERROR(__xludf.DUMMYFUNCTION("""COMPUTED_VALUE"""),45757.7813657407)</f>
        <v>45757.781365740702</v>
      </c>
      <c r="D513" s="2">
        <f ca="1">IFERROR(__xludf.DUMMYFUNCTION("""COMPUTED_VALUE"""),95)</f>
        <v>95</v>
      </c>
      <c r="E513" s="2">
        <f ca="1">IFERROR(__xludf.DUMMYFUNCTION("""COMPUTED_VALUE"""),77100)</f>
        <v>77100</v>
      </c>
      <c r="F513" s="2" t="str">
        <f ca="1">IFERROR(__xludf.DUMMYFUNCTION("""COMPUTED_VALUE"""),"Cabernet Sauvignon")</f>
        <v>Cabernet Sauvignon</v>
      </c>
      <c r="G513" s="2">
        <f ca="1">IFERROR(__xludf.DUMMYFUNCTION("""COMPUTED_VALUE"""),62000)</f>
        <v>62000</v>
      </c>
      <c r="H513" s="2">
        <f ca="1">IFERROR(__xludf.DUMMYFUNCTION("""COMPUTED_VALUE"""),68500)</f>
        <v>68500</v>
      </c>
      <c r="I513" s="2" t="str">
        <f ca="1">IFERROR(__xludf.DUMMYFUNCTION("""COMPUTED_VALUE"""),"17/4
Medio pedorro. Mejor el 67 y 66. 
Hacer AZ
15/4
Cero baume hoy. Bien")</f>
        <v>17/4
Medio pedorro. Mejor el 67 y 66. 
Hacer AZ
15/4
Cero baume hoy. Bien</v>
      </c>
      <c r="J513" s="2"/>
      <c r="K513" s="2" t="str">
        <f ca="1">IFERROR(__xludf.DUMMYFUNCTION("""COMPUTED_VALUE"""),"Fermentando")</f>
        <v>Fermentando</v>
      </c>
      <c r="L513" s="2"/>
      <c r="M513" s="2"/>
    </row>
    <row r="514" spans="1:13" x14ac:dyDescent="0.25">
      <c r="A514" s="2" t="str">
        <f ca="1">IFERROR(__xludf.DUMMYFUNCTION("""COMPUTED_VALUE"""),"8d8607b8")</f>
        <v>8d8607b8</v>
      </c>
      <c r="B514" s="2"/>
      <c r="C514" s="5">
        <f ca="1">IFERROR(__xludf.DUMMYFUNCTION("""COMPUTED_VALUE"""),45757.7826736111)</f>
        <v>45757.782673611102</v>
      </c>
      <c r="D514" s="2">
        <f ca="1">IFERROR(__xludf.DUMMYFUNCTION("""COMPUTED_VALUE"""),86)</f>
        <v>86</v>
      </c>
      <c r="E514" s="2">
        <f ca="1">IFERROR(__xludf.DUMMYFUNCTION("""COMPUTED_VALUE"""),88000)</f>
        <v>88000</v>
      </c>
      <c r="F514" s="2" t="str">
        <f ca="1">IFERROR(__xludf.DUMMYFUNCTION("""COMPUTED_VALUE"""),"Bonarda")</f>
        <v>Bonarda</v>
      </c>
      <c r="G514" s="2"/>
      <c r="H514" s="2">
        <f ca="1">IFERROR(__xludf.DUMMYFUNCTION("""COMPUTED_VALUE"""),50000)</f>
        <v>50000</v>
      </c>
      <c r="I514" s="2" t="str">
        <f ca="1">IFERROR(__xludf.DUMMYFUNCTION("""COMPUTED_VALUE"""),"Si tiene rectificado")</f>
        <v>Si tiene rectificado</v>
      </c>
      <c r="J514" s="2" t="str">
        <f ca="1">IFERROR(__xludf.DUMMYFUNCTION("""COMPUTED_VALUE"""),"6139 , 6140 , 6141 , 6144 , 6147 , 6148")</f>
        <v>6139 , 6140 , 6141 , 6144 , 6147 , 6148</v>
      </c>
      <c r="K514" s="2" t="str">
        <f ca="1">IFERROR(__xludf.DUMMYFUNCTION("""COMPUTED_VALUE"""),"Fermentando")</f>
        <v>Fermentando</v>
      </c>
      <c r="L514" s="2"/>
      <c r="M514" s="2"/>
    </row>
    <row r="515" spans="1:13" x14ac:dyDescent="0.25">
      <c r="A515" s="2" t="str">
        <f ca="1">IFERROR(__xludf.DUMMYFUNCTION("""COMPUTED_VALUE"""),"7c26092b")</f>
        <v>7c26092b</v>
      </c>
      <c r="B515" s="2"/>
      <c r="C515" s="5">
        <f ca="1">IFERROR(__xludf.DUMMYFUNCTION("""COMPUTED_VALUE"""),45757.834699074)</f>
        <v>45757.834699074003</v>
      </c>
      <c r="D515" s="2">
        <f ca="1">IFERROR(__xludf.DUMMYFUNCTION("""COMPUTED_VALUE"""),69)</f>
        <v>69</v>
      </c>
      <c r="E515" s="2">
        <f ca="1">IFERROR(__xludf.DUMMYFUNCTION("""COMPUTED_VALUE"""),13000)</f>
        <v>13000</v>
      </c>
      <c r="F515" s="2" t="str">
        <f ca="1">IFERROR(__xludf.DUMMYFUNCTION("""COMPUTED_VALUE"""),"Chardonnay")</f>
        <v>Chardonnay</v>
      </c>
      <c r="G515" s="2"/>
      <c r="H515" s="2">
        <f ca="1">IFERROR(__xludf.DUMMYFUNCTION("""COMPUTED_VALUE"""),7200)</f>
        <v>7200</v>
      </c>
      <c r="I515" s="2"/>
      <c r="J515" s="2">
        <f ca="1">IFERROR(__xludf.DUMMYFUNCTION("""COMPUTED_VALUE"""),6145)</f>
        <v>6145</v>
      </c>
      <c r="K515" s="2" t="str">
        <f ca="1">IFERROR(__xludf.DUMMYFUNCTION("""COMPUTED_VALUE"""),"Fermentando")</f>
        <v>Fermentando</v>
      </c>
      <c r="L515" s="2"/>
      <c r="M515" s="2"/>
    </row>
    <row r="516" spans="1:13" x14ac:dyDescent="0.25">
      <c r="A516" s="2" t="str">
        <f ca="1">IFERROR(__xludf.DUMMYFUNCTION("""COMPUTED_VALUE"""),"459c7a85")</f>
        <v>459c7a85</v>
      </c>
      <c r="B516" s="2"/>
      <c r="C516" s="5">
        <f ca="1">IFERROR(__xludf.DUMMYFUNCTION("""COMPUTED_VALUE"""),45758.7099768518)</f>
        <v>45758.709976851802</v>
      </c>
      <c r="D516" s="2">
        <f ca="1">IFERROR(__xludf.DUMMYFUNCTION("""COMPUTED_VALUE"""),28)</f>
        <v>28</v>
      </c>
      <c r="E516" s="2">
        <f ca="1">IFERROR(__xludf.DUMMYFUNCTION("""COMPUTED_VALUE"""),216000)</f>
        <v>216000</v>
      </c>
      <c r="F516" s="2" t="str">
        <f ca="1">IFERROR(__xludf.DUMMYFUNCTION("""COMPUTED_VALUE"""),"Bonarda")</f>
        <v>Bonarda</v>
      </c>
      <c r="G516" s="2">
        <f ca="1">IFERROR(__xludf.DUMMYFUNCTION("""COMPUTED_VALUE"""),120000)</f>
        <v>120000</v>
      </c>
      <c r="H516" s="2">
        <f ca="1">IFERROR(__xludf.DUMMYFUNCTION("""COMPUTED_VALUE"""),171300)</f>
        <v>171300</v>
      </c>
      <c r="I516" s="2" t="str">
        <f ca="1">IFERROR(__xludf.DUMMYFUNCTION("""COMPUTED_VALUE"""),"15/4 bien. Hacer AZ y corregir SOL")</f>
        <v>15/4 bien. Hacer AZ y corregir SOL</v>
      </c>
      <c r="J516" s="2"/>
      <c r="K516" s="2" t="str">
        <f ca="1">IFERROR(__xludf.DUMMYFUNCTION("""COMPUTED_VALUE"""),"Descubada")</f>
        <v>Descubada</v>
      </c>
      <c r="L516" s="2"/>
      <c r="M516" s="2"/>
    </row>
    <row r="517" spans="1:13" x14ac:dyDescent="0.25">
      <c r="A517" s="2" t="str">
        <f ca="1">IFERROR(__xludf.DUMMYFUNCTION("""COMPUTED_VALUE"""),"17539ce3")</f>
        <v>17539ce3</v>
      </c>
      <c r="B517" s="2"/>
      <c r="C517" s="5">
        <f ca="1">IFERROR(__xludf.DUMMYFUNCTION("""COMPUTED_VALUE"""),45758.8595949074)</f>
        <v>45758.859594907401</v>
      </c>
      <c r="D517" s="2">
        <f ca="1">IFERROR(__xludf.DUMMYFUNCTION("""COMPUTED_VALUE"""),77)</f>
        <v>77</v>
      </c>
      <c r="E517" s="2">
        <f ca="1">IFERROR(__xludf.DUMMYFUNCTION("""COMPUTED_VALUE"""),26000)</f>
        <v>26000</v>
      </c>
      <c r="F517" s="2" t="str">
        <f ca="1">IFERROR(__xludf.DUMMYFUNCTION("""COMPUTED_VALUE"""),"Malbec")</f>
        <v>Malbec</v>
      </c>
      <c r="G517" s="2"/>
      <c r="H517" s="2">
        <f ca="1">IFERROR(__xludf.DUMMYFUNCTION("""COMPUTED_VALUE"""),10500)</f>
        <v>10500</v>
      </c>
      <c r="I517" s="2"/>
      <c r="J517" s="2" t="str">
        <f ca="1">IFERROR(__xludf.DUMMYFUNCTION("""COMPUTED_VALUE"""),"6152 , 6155")</f>
        <v>6152 , 6155</v>
      </c>
      <c r="K517" s="2" t="str">
        <f ca="1">IFERROR(__xludf.DUMMYFUNCTION("""COMPUTED_VALUE"""),"Fermentando")</f>
        <v>Fermentando</v>
      </c>
      <c r="L517" s="2"/>
      <c r="M517" s="2"/>
    </row>
    <row r="518" spans="1:13" x14ac:dyDescent="0.25">
      <c r="A518" s="2" t="str">
        <f ca="1">IFERROR(__xludf.DUMMYFUNCTION("""COMPUTED_VALUE"""),"14e4f6ad")</f>
        <v>14e4f6ad</v>
      </c>
      <c r="B518" s="2"/>
      <c r="C518" s="5">
        <f ca="1">IFERROR(__xludf.DUMMYFUNCTION("""COMPUTED_VALUE"""),45758.8606712962)</f>
        <v>45758.860671296199</v>
      </c>
      <c r="D518" s="2">
        <f ca="1">IFERROR(__xludf.DUMMYFUNCTION("""COMPUTED_VALUE"""),76)</f>
        <v>76</v>
      </c>
      <c r="E518" s="2">
        <f ca="1">IFERROR(__xludf.DUMMYFUNCTION("""COMPUTED_VALUE"""),25500)</f>
        <v>25500</v>
      </c>
      <c r="F518" s="2" t="str">
        <f ca="1">IFERROR(__xludf.DUMMYFUNCTION("""COMPUTED_VALUE"""),"Malbec")</f>
        <v>Malbec</v>
      </c>
      <c r="G518" s="2"/>
      <c r="H518" s="2">
        <f ca="1">IFERROR(__xludf.DUMMYFUNCTION("""COMPUTED_VALUE"""),22800)</f>
        <v>22800</v>
      </c>
      <c r="I518" s="2"/>
      <c r="J518" s="2" t="str">
        <f ca="1">IFERROR(__xludf.DUMMYFUNCTION("""COMPUTED_VALUE"""),"6156 , 6159 , 6168")</f>
        <v>6156 , 6159 , 6168</v>
      </c>
      <c r="K518" s="2" t="str">
        <f ca="1">IFERROR(__xludf.DUMMYFUNCTION("""COMPUTED_VALUE"""),"Fermentando")</f>
        <v>Fermentando</v>
      </c>
      <c r="L518" s="2"/>
      <c r="M518" s="2"/>
    </row>
    <row r="519" spans="1:13" x14ac:dyDescent="0.25">
      <c r="A519" s="2" t="str">
        <f ca="1">IFERROR(__xludf.DUMMYFUNCTION("""COMPUTED_VALUE"""),"fd6b223b")</f>
        <v>fd6b223b</v>
      </c>
      <c r="B519" s="2"/>
      <c r="C519" s="5">
        <f ca="1">IFERROR(__xludf.DUMMYFUNCTION("""COMPUTED_VALUE"""),45758.8616550925)</f>
        <v>45758.8616550925</v>
      </c>
      <c r="D519" s="2">
        <f ca="1">IFERROR(__xludf.DUMMYFUNCTION("""COMPUTED_VALUE"""),83)</f>
        <v>83</v>
      </c>
      <c r="E519" s="2">
        <f ca="1">IFERROR(__xludf.DUMMYFUNCTION("""COMPUTED_VALUE"""),81500)</f>
        <v>81500</v>
      </c>
      <c r="F519" s="2" t="str">
        <f ca="1">IFERROR(__xludf.DUMMYFUNCTION("""COMPUTED_VALUE"""),"Criolla Flotada")</f>
        <v>Criolla Flotada</v>
      </c>
      <c r="G519" s="2"/>
      <c r="H519" s="2">
        <f ca="1">IFERROR(__xludf.DUMMYFUNCTION("""COMPUTED_VALUE"""),81000)</f>
        <v>81000</v>
      </c>
      <c r="I519" s="2"/>
      <c r="J519" s="2" t="str">
        <f ca="1">IFERROR(__xludf.DUMMYFUNCTION("""COMPUTED_VALUE"""),"6160 , 6157 , 6154 , 6153 , 6151 , 6150 , 6149 , 6161 , 6162 , 6163 , 6164")</f>
        <v>6160 , 6157 , 6154 , 6153 , 6151 , 6150 , 6149 , 6161 , 6162 , 6163 , 6164</v>
      </c>
      <c r="K519" s="2" t="str">
        <f ca="1">IFERROR(__xludf.DUMMYFUNCTION("""COMPUTED_VALUE"""),"Fermentando")</f>
        <v>Fermentando</v>
      </c>
      <c r="L519" s="2"/>
      <c r="M519" s="2"/>
    </row>
    <row r="520" spans="1:13" x14ac:dyDescent="0.25">
      <c r="A520" s="2" t="str">
        <f ca="1">IFERROR(__xludf.DUMMYFUNCTION("""COMPUTED_VALUE"""),"5b2f3285")</f>
        <v>5b2f3285</v>
      </c>
      <c r="B520" s="2"/>
      <c r="C520" s="5">
        <f ca="1">IFERROR(__xludf.DUMMYFUNCTION("""COMPUTED_VALUE"""),45758.8642361111)</f>
        <v>45758.864236111098</v>
      </c>
      <c r="D520" s="2">
        <f ca="1">IFERROR(__xludf.DUMMYFUNCTION("""COMPUTED_VALUE"""),73)</f>
        <v>73</v>
      </c>
      <c r="E520" s="2">
        <f ca="1">IFERROR(__xludf.DUMMYFUNCTION("""COMPUTED_VALUE"""),13000)</f>
        <v>13000</v>
      </c>
      <c r="F520" s="2" t="str">
        <f ca="1">IFERROR(__xludf.DUMMYFUNCTION("""COMPUTED_VALUE"""),"Chardonnay")</f>
        <v>Chardonnay</v>
      </c>
      <c r="G520" s="2"/>
      <c r="H520" s="2">
        <f ca="1">IFERROR(__xludf.DUMMYFUNCTION("""COMPUTED_VALUE"""),4200)</f>
        <v>4200</v>
      </c>
      <c r="I520" s="2"/>
      <c r="J520" s="2">
        <f ca="1">IFERROR(__xludf.DUMMYFUNCTION("""COMPUTED_VALUE"""),6158)</f>
        <v>6158</v>
      </c>
      <c r="K520" s="2" t="str">
        <f ca="1">IFERROR(__xludf.DUMMYFUNCTION("""COMPUTED_VALUE"""),"Fermentando")</f>
        <v>Fermentando</v>
      </c>
      <c r="L520" s="2"/>
      <c r="M520" s="2"/>
    </row>
    <row r="521" spans="1:13" x14ac:dyDescent="0.25">
      <c r="A521" s="2" t="str">
        <f ca="1">IFERROR(__xludf.DUMMYFUNCTION("""COMPUTED_VALUE"""),"2aac908d")</f>
        <v>2aac908d</v>
      </c>
      <c r="B521" s="2"/>
      <c r="C521" s="5">
        <f ca="1">IFERROR(__xludf.DUMMYFUNCTION("""COMPUTED_VALUE"""),45758.8911458333)</f>
        <v>45758.891145833302</v>
      </c>
      <c r="D521" s="2">
        <f ca="1">IFERROR(__xludf.DUMMYFUNCTION("""COMPUTED_VALUE"""),88)</f>
        <v>88</v>
      </c>
      <c r="E521" s="2">
        <f ca="1">IFERROR(__xludf.DUMMYFUNCTION("""COMPUTED_VALUE"""),78900)</f>
        <v>78900</v>
      </c>
      <c r="F521" s="2" t="str">
        <f ca="1">IFERROR(__xludf.DUMMYFUNCTION("""COMPUTED_VALUE"""),"Bonarda")</f>
        <v>Bonarda</v>
      </c>
      <c r="G521" s="2">
        <f ca="1">IFERROR(__xludf.DUMMYFUNCTION("""COMPUTED_VALUE"""),38000)</f>
        <v>38000</v>
      </c>
      <c r="H521" s="2">
        <f ca="1">IFERROR(__xludf.DUMMYFUNCTION("""COMPUTED_VALUE"""),46150)</f>
        <v>46150</v>
      </c>
      <c r="I521" s="2" t="str">
        <f ca="1">IFERROR(__xludf.DUMMYFUNCTION("""COMPUTED_VALUE"""),"17/4 
Falta pasar la recarga
15/4
Bien. Listo para recargar")</f>
        <v>17/4 
Falta pasar la recarga
15/4
Bien. Listo para recargar</v>
      </c>
      <c r="J521" s="2"/>
      <c r="K521" s="2" t="str">
        <f ca="1">IFERROR(__xludf.DUMMYFUNCTION("""COMPUTED_VALUE"""),"Recarga Fermentando")</f>
        <v>Recarga Fermentando</v>
      </c>
      <c r="L521" s="2"/>
      <c r="M521" s="2"/>
    </row>
    <row r="522" spans="1:13" x14ac:dyDescent="0.25">
      <c r="A522" s="2" t="str">
        <f ca="1">IFERROR(__xludf.DUMMYFUNCTION("""COMPUTED_VALUE"""),"db841e43")</f>
        <v>db841e43</v>
      </c>
      <c r="B522" s="2"/>
      <c r="C522" s="5">
        <f ca="1">IFERROR(__xludf.DUMMYFUNCTION("""COMPUTED_VALUE"""),45758.892511574)</f>
        <v>45758.892511573998</v>
      </c>
      <c r="D522" s="2">
        <f ca="1">IFERROR(__xludf.DUMMYFUNCTION("""COMPUTED_VALUE"""),82)</f>
        <v>82</v>
      </c>
      <c r="E522" s="2">
        <f ca="1">IFERROR(__xludf.DUMMYFUNCTION("""COMPUTED_VALUE"""),42600)</f>
        <v>42600</v>
      </c>
      <c r="F522" s="2" t="str">
        <f ca="1">IFERROR(__xludf.DUMMYFUNCTION("""COMPUTED_VALUE"""),"Malbec")</f>
        <v>Malbec</v>
      </c>
      <c r="G522" s="2">
        <f ca="1">IFERROR(__xludf.DUMMYFUNCTION("""COMPUTED_VALUE"""),28500)</f>
        <v>28500</v>
      </c>
      <c r="H522" s="2">
        <f ca="1">IFERROR(__xludf.DUMMYFUNCTION("""COMPUTED_VALUE"""),33000)</f>
        <v>33000</v>
      </c>
      <c r="I522" s="2" t="str">
        <f ca="1">IFERROR(__xludf.DUMMYFUNCTION("""COMPUTED_VALUE"""),"17/4
Lista para descubar")</f>
        <v>17/4
Lista para descubar</v>
      </c>
      <c r="J522" s="2"/>
      <c r="K522" s="2" t="str">
        <f ca="1">IFERROR(__xludf.DUMMYFUNCTION("""COMPUTED_VALUE"""),"Fermentando")</f>
        <v>Fermentando</v>
      </c>
      <c r="L522" s="2"/>
      <c r="M522" s="2"/>
    </row>
    <row r="523" spans="1:13" x14ac:dyDescent="0.25">
      <c r="A523" s="2" t="str">
        <f ca="1">IFERROR(__xludf.DUMMYFUNCTION("""COMPUTED_VALUE"""),"e3bf14f2")</f>
        <v>e3bf14f2</v>
      </c>
      <c r="B523" s="2"/>
      <c r="C523" s="5">
        <f ca="1">IFERROR(__xludf.DUMMYFUNCTION("""COMPUTED_VALUE"""),45758.893125)</f>
        <v>45758.893125000002</v>
      </c>
      <c r="D523" s="2">
        <f ca="1">IFERROR(__xludf.DUMMYFUNCTION("""COMPUTED_VALUE"""),65)</f>
        <v>65</v>
      </c>
      <c r="E523" s="2">
        <f ca="1">IFERROR(__xludf.DUMMYFUNCTION("""COMPUTED_VALUE"""),35500)</f>
        <v>35500</v>
      </c>
      <c r="F523" s="2" t="str">
        <f ca="1">IFERROR(__xludf.DUMMYFUNCTION("""COMPUTED_VALUE"""),"Cabernet Sauvignon")</f>
        <v>Cabernet Sauvignon</v>
      </c>
      <c r="G523" s="2">
        <f ca="1">IFERROR(__xludf.DUMMYFUNCTION("""COMPUTED_VALUE"""),20000)</f>
        <v>20000</v>
      </c>
      <c r="H523" s="2">
        <f ca="1">IFERROR(__xludf.DUMMYFUNCTION("""COMPUTED_VALUE"""),27250)</f>
        <v>27250</v>
      </c>
      <c r="I523" s="2" t="str">
        <f ca="1">IFERROR(__xludf.DUMMYFUNCTION("""COMPUTED_VALUE"""),"17/4
Hacer azúcar. 
15/5 bien rico")</f>
        <v>17/4
Hacer azúcar. 
15/5 bien rico</v>
      </c>
      <c r="J523" s="2"/>
      <c r="K523" s="2" t="str">
        <f ca="1">IFERROR(__xludf.DUMMYFUNCTION("""COMPUTED_VALUE"""),"Fermentando")</f>
        <v>Fermentando</v>
      </c>
      <c r="L523" s="2"/>
      <c r="M523" s="2"/>
    </row>
    <row r="524" spans="1:13" x14ac:dyDescent="0.25">
      <c r="A524" s="2" t="str">
        <f ca="1">IFERROR(__xludf.DUMMYFUNCTION("""COMPUTED_VALUE"""),"c0fd1ee4")</f>
        <v>c0fd1ee4</v>
      </c>
      <c r="B524" s="2"/>
      <c r="C524" s="5">
        <f ca="1">IFERROR(__xludf.DUMMYFUNCTION("""COMPUTED_VALUE"""),45758.8941782407)</f>
        <v>45758.894178240698</v>
      </c>
      <c r="D524" s="2">
        <f ca="1">IFERROR(__xludf.DUMMYFUNCTION("""COMPUTED_VALUE"""),90)</f>
        <v>90</v>
      </c>
      <c r="E524" s="2">
        <f ca="1">IFERROR(__xludf.DUMMYFUNCTION("""COMPUTED_VALUE"""),97500)</f>
        <v>97500</v>
      </c>
      <c r="F524" s="2" t="str">
        <f ca="1">IFERROR(__xludf.DUMMYFUNCTION("""COMPUTED_VALUE"""),"Bonarda")</f>
        <v>Bonarda</v>
      </c>
      <c r="G524" s="2">
        <f ca="1">IFERROR(__xludf.DUMMYFUNCTION("""COMPUTED_VALUE"""),59000)</f>
        <v>59000</v>
      </c>
      <c r="H524" s="2">
        <f ca="1">IFERROR(__xludf.DUMMYFUNCTION("""COMPUTED_VALUE"""),71600)</f>
        <v>71600</v>
      </c>
      <c r="I524" s="2" t="str">
        <f ca="1">IFERROR(__xludf.DUMMYFUNCTION("""COMPUTED_VALUE"""),"15/4 
Listo para descubar")</f>
        <v>15/4 
Listo para descubar</v>
      </c>
      <c r="J524" s="2"/>
      <c r="K524" s="2" t="str">
        <f ca="1">IFERROR(__xludf.DUMMYFUNCTION("""COMPUTED_VALUE"""),"Fermentando")</f>
        <v>Fermentando</v>
      </c>
      <c r="L524" s="2"/>
      <c r="M524" s="2"/>
    </row>
    <row r="525" spans="1:13" x14ac:dyDescent="0.25">
      <c r="A525" s="2" t="str">
        <f ca="1">IFERROR(__xludf.DUMMYFUNCTION("""COMPUTED_VALUE"""),"9ddc74ed")</f>
        <v>9ddc74ed</v>
      </c>
      <c r="B525" s="2"/>
      <c r="C525" s="5">
        <f ca="1">IFERROR(__xludf.DUMMYFUNCTION("""COMPUTED_VALUE"""),45759.5226967592)</f>
        <v>45759.522696759203</v>
      </c>
      <c r="D525" s="2">
        <f ca="1">IFERROR(__xludf.DUMMYFUNCTION("""COMPUTED_VALUE"""),120)</f>
        <v>120</v>
      </c>
      <c r="E525" s="2">
        <f ca="1">IFERROR(__xludf.DUMMYFUNCTION("""COMPUTED_VALUE"""),88800)</f>
        <v>88800</v>
      </c>
      <c r="F525" s="2" t="str">
        <f ca="1">IFERROR(__xludf.DUMMYFUNCTION("""COMPUTED_VALUE"""),"Cabernet Sauvignon")</f>
        <v>Cabernet Sauvignon</v>
      </c>
      <c r="G525" s="2">
        <f ca="1">IFERROR(__xludf.DUMMYFUNCTION("""COMPUTED_VALUE"""),0)</f>
        <v>0</v>
      </c>
      <c r="H525" s="2">
        <f ca="1">IFERROR(__xludf.DUMMYFUNCTION("""COMPUTED_VALUE"""),56000)</f>
        <v>56000</v>
      </c>
      <c r="I525" s="2"/>
      <c r="J525" s="2"/>
      <c r="K525" s="2" t="str">
        <f ca="1">IFERROR(__xludf.DUMMYFUNCTION("""COMPUTED_VALUE"""),"Descubada")</f>
        <v>Descubada</v>
      </c>
      <c r="L525" s="2"/>
      <c r="M525" s="2"/>
    </row>
    <row r="526" spans="1:13" x14ac:dyDescent="0.25">
      <c r="A526" s="2" t="str">
        <f ca="1">IFERROR(__xludf.DUMMYFUNCTION("""COMPUTED_VALUE"""),"f6d580e7")</f>
        <v>f6d580e7</v>
      </c>
      <c r="B526" s="2"/>
      <c r="C526" s="5">
        <f ca="1">IFERROR(__xludf.DUMMYFUNCTION("""COMPUTED_VALUE"""),45759.523136574)</f>
        <v>45759.523136573996</v>
      </c>
      <c r="D526" s="2">
        <f ca="1">IFERROR(__xludf.DUMMYFUNCTION("""COMPUTED_VALUE"""),120)</f>
        <v>120</v>
      </c>
      <c r="E526" s="2">
        <f ca="1">IFERROR(__xludf.DUMMYFUNCTION("""COMPUTED_VALUE"""),88800)</f>
        <v>88800</v>
      </c>
      <c r="F526" s="2" t="str">
        <f ca="1">IFERROR(__xludf.DUMMYFUNCTION("""COMPUTED_VALUE"""),"Cabernet Sauvignon")</f>
        <v>Cabernet Sauvignon</v>
      </c>
      <c r="G526" s="2">
        <f ca="1">IFERROR(__xludf.DUMMYFUNCTION("""COMPUTED_VALUE"""),56000)</f>
        <v>56000</v>
      </c>
      <c r="H526" s="2">
        <f ca="1">IFERROR(__xludf.DUMMYFUNCTION("""COMPUTED_VALUE"""),64500)</f>
        <v>64500</v>
      </c>
      <c r="I526" s="2"/>
      <c r="J526" s="2"/>
      <c r="K526" s="2" t="str">
        <f ca="1">IFERROR(__xludf.DUMMYFUNCTION("""COMPUTED_VALUE"""),"Descubada")</f>
        <v>Descubada</v>
      </c>
      <c r="L526" s="2"/>
      <c r="M526" s="2"/>
    </row>
    <row r="527" spans="1:13" x14ac:dyDescent="0.25">
      <c r="A527" s="2" t="str">
        <f ca="1">IFERROR(__xludf.DUMMYFUNCTION("""COMPUTED_VALUE"""),"bb5ac12c")</f>
        <v>bb5ac12c</v>
      </c>
      <c r="B527" s="2"/>
      <c r="C527" s="5">
        <f ca="1">IFERROR(__xludf.DUMMYFUNCTION("""COMPUTED_VALUE"""),45759.5241319444)</f>
        <v>45759.524131944403</v>
      </c>
      <c r="D527" s="2">
        <f ca="1">IFERROR(__xludf.DUMMYFUNCTION("""COMPUTED_VALUE"""),120)</f>
        <v>120</v>
      </c>
      <c r="E527" s="2">
        <f ca="1">IFERROR(__xludf.DUMMYFUNCTION("""COMPUTED_VALUE"""),88800)</f>
        <v>88800</v>
      </c>
      <c r="F527" s="2" t="str">
        <f ca="1">IFERROR(__xludf.DUMMYFUNCTION("""COMPUTED_VALUE"""),"Cabernet Sauvignon")</f>
        <v>Cabernet Sauvignon</v>
      </c>
      <c r="G527" s="2">
        <f ca="1">IFERROR(__xludf.DUMMYFUNCTION("""COMPUTED_VALUE"""),64500)</f>
        <v>64500</v>
      </c>
      <c r="H527" s="2">
        <f ca="1">IFERROR(__xludf.DUMMYFUNCTION("""COMPUTED_VALUE"""),72500)</f>
        <v>72500</v>
      </c>
      <c r="I527" s="2" t="str">
        <f ca="1">IFERROR(__xludf.DUMMYFUNCTION("""COMPUTED_VALUE"""),"15/4 cab sobre Tanat")</f>
        <v>15/4 cab sobre Tanat</v>
      </c>
      <c r="J527" s="2"/>
      <c r="K527" s="2" t="str">
        <f ca="1">IFERROR(__xludf.DUMMYFUNCTION("""COMPUTED_VALUE"""),"Descubada")</f>
        <v>Descubada</v>
      </c>
      <c r="L527" s="2"/>
      <c r="M527" s="2"/>
    </row>
    <row r="528" spans="1:13" x14ac:dyDescent="0.25">
      <c r="A528" s="2" t="str">
        <f ca="1">IFERROR(__xludf.DUMMYFUNCTION("""COMPUTED_VALUE"""),"48a2409a")</f>
        <v>48a2409a</v>
      </c>
      <c r="B528" s="2"/>
      <c r="C528" s="5">
        <f ca="1">IFERROR(__xludf.DUMMYFUNCTION("""COMPUTED_VALUE"""),45759.5246296296)</f>
        <v>45759.524629629603</v>
      </c>
      <c r="D528" s="2">
        <f ca="1">IFERROR(__xludf.DUMMYFUNCTION("""COMPUTED_VALUE"""),120)</f>
        <v>120</v>
      </c>
      <c r="E528" s="2">
        <f ca="1">IFERROR(__xludf.DUMMYFUNCTION("""COMPUTED_VALUE"""),88800)</f>
        <v>88800</v>
      </c>
      <c r="F528" s="2" t="str">
        <f ca="1">IFERROR(__xludf.DUMMYFUNCTION("""COMPUTED_VALUE"""),"Cabernet Sauvignon")</f>
        <v>Cabernet Sauvignon</v>
      </c>
      <c r="G528" s="2">
        <f ca="1">IFERROR(__xludf.DUMMYFUNCTION("""COMPUTED_VALUE"""),72500)</f>
        <v>72500</v>
      </c>
      <c r="H528" s="2">
        <f ca="1">IFERROR(__xludf.DUMMYFUNCTION("""COMPUTED_VALUE"""),76700)</f>
        <v>76700</v>
      </c>
      <c r="I528" s="2"/>
      <c r="J528" s="2"/>
      <c r="K528" s="2" t="str">
        <f ca="1">IFERROR(__xludf.DUMMYFUNCTION("""COMPUTED_VALUE"""),"Descubada")</f>
        <v>Descubada</v>
      </c>
      <c r="L528" s="2"/>
      <c r="M528" s="2"/>
    </row>
    <row r="529" spans="1:13" x14ac:dyDescent="0.25">
      <c r="A529" s="2" t="str">
        <f ca="1">IFERROR(__xludf.DUMMYFUNCTION("""COMPUTED_VALUE"""),"27a8c5fb")</f>
        <v>27a8c5fb</v>
      </c>
      <c r="B529" s="2"/>
      <c r="C529" s="5">
        <f ca="1">IFERROR(__xludf.DUMMYFUNCTION("""COMPUTED_VALUE"""),45759.5263194444)</f>
        <v>45759.526319444398</v>
      </c>
      <c r="D529" s="2">
        <f ca="1">IFERROR(__xludf.DUMMYFUNCTION("""COMPUTED_VALUE"""),116)</f>
        <v>116</v>
      </c>
      <c r="E529" s="2">
        <f ca="1">IFERROR(__xludf.DUMMYFUNCTION("""COMPUTED_VALUE"""),99600)</f>
        <v>99600</v>
      </c>
      <c r="F529" s="2" t="str">
        <f ca="1">IFERROR(__xludf.DUMMYFUNCTION("""COMPUTED_VALUE"""),"Tinto")</f>
        <v>Tinto</v>
      </c>
      <c r="G529" s="2">
        <f ca="1">IFERROR(__xludf.DUMMYFUNCTION("""COMPUTED_VALUE"""),0)</f>
        <v>0</v>
      </c>
      <c r="H529" s="2">
        <f ca="1">IFERROR(__xludf.DUMMYFUNCTION("""COMPUTED_VALUE"""),63700)</f>
        <v>63700</v>
      </c>
      <c r="I529" s="2" t="str">
        <f ca="1">IFERROR(__xludf.DUMMYFUNCTION("""COMPUTED_VALUE"""),"15/4 hacer AZ")</f>
        <v>15/4 hacer AZ</v>
      </c>
      <c r="J529" s="2"/>
      <c r="K529" s="2" t="str">
        <f ca="1">IFERROR(__xludf.DUMMYFUNCTION("""COMPUTED_VALUE"""),"Descubada")</f>
        <v>Descubada</v>
      </c>
      <c r="L529" s="2"/>
      <c r="M529" s="2"/>
    </row>
    <row r="530" spans="1:13" x14ac:dyDescent="0.25">
      <c r="A530" s="2" t="str">
        <f ca="1">IFERROR(__xludf.DUMMYFUNCTION("""COMPUTED_VALUE"""),"cb50df04")</f>
        <v>cb50df04</v>
      </c>
      <c r="B530" s="2"/>
      <c r="C530" s="5">
        <f ca="1">IFERROR(__xludf.DUMMYFUNCTION("""COMPUTED_VALUE"""),45761.7734953703)</f>
        <v>45761.773495370297</v>
      </c>
      <c r="D530" s="2">
        <f ca="1">IFERROR(__xludf.DUMMYFUNCTION("""COMPUTED_VALUE"""),11)</f>
        <v>11</v>
      </c>
      <c r="E530" s="2">
        <f ca="1">IFERROR(__xludf.DUMMYFUNCTION("""COMPUTED_VALUE"""),36000)</f>
        <v>36000</v>
      </c>
      <c r="F530" s="2" t="str">
        <f ca="1">IFERROR(__xludf.DUMMYFUNCTION("""COMPUTED_VALUE"""),"Syrah Rect")</f>
        <v>Syrah Rect</v>
      </c>
      <c r="G530" s="2">
        <f ca="1">IFERROR(__xludf.DUMMYFUNCTION("""COMPUTED_VALUE"""),0)</f>
        <v>0</v>
      </c>
      <c r="H530" s="2">
        <f ca="1">IFERROR(__xludf.DUMMYFUNCTION("""COMPUTED_VALUE"""),30000)</f>
        <v>30000</v>
      </c>
      <c r="I530" s="2"/>
      <c r="J530" s="2"/>
      <c r="K530" s="2" t="str">
        <f ca="1">IFERROR(__xludf.DUMMYFUNCTION("""COMPUTED_VALUE"""),"Rectificado")</f>
        <v>Rectificado</v>
      </c>
      <c r="L530" s="2"/>
      <c r="M530" s="2"/>
    </row>
    <row r="531" spans="1:13" x14ac:dyDescent="0.25">
      <c r="A531" s="2" t="str">
        <f ca="1">IFERROR(__xludf.DUMMYFUNCTION("""COMPUTED_VALUE"""),"b9461082")</f>
        <v>b9461082</v>
      </c>
      <c r="B531" s="2"/>
      <c r="C531" s="5">
        <f ca="1">IFERROR(__xludf.DUMMYFUNCTION("""COMPUTED_VALUE"""),45761.7782986111)</f>
        <v>45761.778298611098</v>
      </c>
      <c r="D531" s="2">
        <f ca="1">IFERROR(__xludf.DUMMYFUNCTION("""COMPUTED_VALUE"""),67)</f>
        <v>67</v>
      </c>
      <c r="E531" s="2">
        <f ca="1">IFERROR(__xludf.DUMMYFUNCTION("""COMPUTED_VALUE"""),23000)</f>
        <v>23000</v>
      </c>
      <c r="F531" s="2" t="str">
        <f ca="1">IFERROR(__xludf.DUMMYFUNCTION("""COMPUTED_VALUE"""),"Cabernet Sauvignon sin Rect")</f>
        <v>Cabernet Sauvignon sin Rect</v>
      </c>
      <c r="G531" s="2">
        <f ca="1">IFERROR(__xludf.DUMMYFUNCTION("""COMPUTED_VALUE"""),18000)</f>
        <v>18000</v>
      </c>
      <c r="H531" s="2">
        <f ca="1">IFERROR(__xludf.DUMMYFUNCTION("""COMPUTED_VALUE"""),22800)</f>
        <v>22800</v>
      </c>
      <c r="I531" s="2" t="str">
        <f ca="1">IFERROR(__xludf.DUMMYFUNCTION("""COMPUTED_VALUE"""),"17)4
Rico
15/4
Bien. Rico")</f>
        <v>17)4
Rico
15/4
Bien. Rico</v>
      </c>
      <c r="J531" s="2"/>
      <c r="K531" s="2" t="str">
        <f ca="1">IFERROR(__xludf.DUMMYFUNCTION("""COMPUTED_VALUE"""),"Fermentando")</f>
        <v>Fermentando</v>
      </c>
      <c r="L531" s="2"/>
      <c r="M531" s="2"/>
    </row>
    <row r="532" spans="1:13" x14ac:dyDescent="0.25">
      <c r="A532" s="2" t="str">
        <f ca="1">IFERROR(__xludf.DUMMYFUNCTION("""COMPUTED_VALUE"""),"f673bf6e")</f>
        <v>f673bf6e</v>
      </c>
      <c r="B532" s="2"/>
      <c r="C532" s="5">
        <f ca="1">IFERROR(__xludf.DUMMYFUNCTION("""COMPUTED_VALUE"""),45761.7793287037)</f>
        <v>45761.779328703698</v>
      </c>
      <c r="D532" s="2">
        <f ca="1">IFERROR(__xludf.DUMMYFUNCTION("""COMPUTED_VALUE"""),500)</f>
        <v>500</v>
      </c>
      <c r="E532" s="2">
        <f ca="1">IFERROR(__xludf.DUMMYFUNCTION("""COMPUTED_VALUE"""),200000)</f>
        <v>200000</v>
      </c>
      <c r="F532" s="2" t="str">
        <f ca="1">IFERROR(__xludf.DUMMYFUNCTION("""COMPUTED_VALUE"""),"Ajuste Arqueo 14/04/25")</f>
        <v>Ajuste Arqueo 14/04/25</v>
      </c>
      <c r="G532" s="2">
        <f ca="1">IFERROR(__xludf.DUMMYFUNCTION("""COMPUTED_VALUE"""),0)</f>
        <v>0</v>
      </c>
      <c r="H532" s="2">
        <f ca="1">IFERROR(__xludf.DUMMYFUNCTION("""COMPUTED_VALUE"""),1)</f>
        <v>1</v>
      </c>
      <c r="I532" s="2"/>
      <c r="J532" s="2"/>
      <c r="K532" s="2" t="str">
        <f ca="1">IFERROR(__xludf.DUMMYFUNCTION("""COMPUTED_VALUE"""),"Descubada")</f>
        <v>Descubada</v>
      </c>
      <c r="L532" s="2"/>
      <c r="M532" s="2"/>
    </row>
    <row r="533" spans="1:13" x14ac:dyDescent="0.25">
      <c r="A533" s="2" t="str">
        <f ca="1">IFERROR(__xludf.DUMMYFUNCTION("""COMPUTED_VALUE"""),"95afa5f8")</f>
        <v>95afa5f8</v>
      </c>
      <c r="B533" s="2"/>
      <c r="C533" s="5">
        <f ca="1">IFERROR(__xludf.DUMMYFUNCTION("""COMPUTED_VALUE"""),45761.7928009259)</f>
        <v>45761.792800925898</v>
      </c>
      <c r="D533" s="2">
        <f ca="1">IFERROR(__xludf.DUMMYFUNCTION("""COMPUTED_VALUE"""),7)</f>
        <v>7</v>
      </c>
      <c r="E533" s="2">
        <f ca="1">IFERROR(__xludf.DUMMYFUNCTION("""COMPUTED_VALUE"""),30000)</f>
        <v>30000</v>
      </c>
      <c r="F533" s="2" t="str">
        <f ca="1">IFERROR(__xludf.DUMMYFUNCTION("""COMPUTED_VALUE"""),"Criolla Flotada")</f>
        <v>Criolla Flotada</v>
      </c>
      <c r="G533" s="2">
        <f ca="1">IFERROR(__xludf.DUMMYFUNCTION("""COMPUTED_VALUE"""),0)</f>
        <v>0</v>
      </c>
      <c r="H533" s="2">
        <f ca="1">IFERROR(__xludf.DUMMYFUNCTION("""COMPUTED_VALUE"""),9000)</f>
        <v>9000</v>
      </c>
      <c r="I533" s="2"/>
      <c r="J533" s="2"/>
      <c r="K533" s="2" t="str">
        <f ca="1">IFERROR(__xludf.DUMMYFUNCTION("""COMPUTED_VALUE"""),"Fermentando")</f>
        <v>Fermentando</v>
      </c>
      <c r="L533" s="2"/>
      <c r="M533" s="2"/>
    </row>
    <row r="534" spans="1:13" x14ac:dyDescent="0.25">
      <c r="A534" s="2" t="str">
        <f ca="1">IFERROR(__xludf.DUMMYFUNCTION("""COMPUTED_VALUE"""),"c778eed0")</f>
        <v>c778eed0</v>
      </c>
      <c r="B534" s="2"/>
      <c r="C534" s="5">
        <f ca="1">IFERROR(__xludf.DUMMYFUNCTION("""COMPUTED_VALUE"""),45761.8060300925)</f>
        <v>45761.806030092499</v>
      </c>
      <c r="D534" s="2">
        <f ca="1">IFERROR(__xludf.DUMMYFUNCTION("""COMPUTED_VALUE"""),500)</f>
        <v>500</v>
      </c>
      <c r="E534" s="2">
        <f ca="1">IFERROR(__xludf.DUMMYFUNCTION("""COMPUTED_VALUE"""),200000)</f>
        <v>200000</v>
      </c>
      <c r="F534" s="2" t="str">
        <f ca="1">IFERROR(__xludf.DUMMYFUNCTION("""COMPUTED_VALUE"""),"Ajuste Arqueo 14/04/25")</f>
        <v>Ajuste Arqueo 14/04/25</v>
      </c>
      <c r="G534" s="2">
        <f ca="1">IFERROR(__xludf.DUMMYFUNCTION("""COMPUTED_VALUE"""),1)</f>
        <v>1</v>
      </c>
      <c r="H534" s="2">
        <f ca="1">IFERROR(__xludf.DUMMYFUNCTION("""COMPUTED_VALUE"""),301)</f>
        <v>301</v>
      </c>
      <c r="I534" s="2"/>
      <c r="J534" s="2"/>
      <c r="K534" s="2" t="str">
        <f ca="1">IFERROR(__xludf.DUMMYFUNCTION("""COMPUTED_VALUE"""),"Descubada")</f>
        <v>Descubada</v>
      </c>
      <c r="L534" s="2"/>
      <c r="M534" s="2"/>
    </row>
    <row r="535" spans="1:13" x14ac:dyDescent="0.25">
      <c r="A535" s="2" t="str">
        <f ca="1">IFERROR(__xludf.DUMMYFUNCTION("""COMPUTED_VALUE"""),"79c53d31")</f>
        <v>79c53d31</v>
      </c>
      <c r="B535" s="2"/>
      <c r="C535" s="5">
        <f ca="1">IFERROR(__xludf.DUMMYFUNCTION("""COMPUTED_VALUE"""),45761.806724537)</f>
        <v>45761.806724536997</v>
      </c>
      <c r="D535" s="2">
        <f ca="1">IFERROR(__xludf.DUMMYFUNCTION("""COMPUTED_VALUE"""),500)</f>
        <v>500</v>
      </c>
      <c r="E535" s="2">
        <f ca="1">IFERROR(__xludf.DUMMYFUNCTION("""COMPUTED_VALUE"""),200000)</f>
        <v>200000</v>
      </c>
      <c r="F535" s="2" t="str">
        <f ca="1">IFERROR(__xludf.DUMMYFUNCTION("""COMPUTED_VALUE"""),"Ajuste Arqueo 14/04/25")</f>
        <v>Ajuste Arqueo 14/04/25</v>
      </c>
      <c r="G535" s="2">
        <f ca="1">IFERROR(__xludf.DUMMYFUNCTION("""COMPUTED_VALUE"""),301)</f>
        <v>301</v>
      </c>
      <c r="H535" s="2">
        <f ca="1">IFERROR(__xludf.DUMMYFUNCTION("""COMPUTED_VALUE"""),801)</f>
        <v>801</v>
      </c>
      <c r="I535" s="2"/>
      <c r="J535" s="2"/>
      <c r="K535" s="2" t="str">
        <f ca="1">IFERROR(__xludf.DUMMYFUNCTION("""COMPUTED_VALUE"""),"Descubada")</f>
        <v>Descubada</v>
      </c>
      <c r="L535" s="2"/>
      <c r="M535" s="2"/>
    </row>
    <row r="536" spans="1:13" x14ac:dyDescent="0.25">
      <c r="A536" s="2" t="str">
        <f ca="1">IFERROR(__xludf.DUMMYFUNCTION("""COMPUTED_VALUE"""),"3f1bcb3f")</f>
        <v>3f1bcb3f</v>
      </c>
      <c r="B536" s="2"/>
      <c r="C536" s="5">
        <f ca="1">IFERROR(__xludf.DUMMYFUNCTION("""COMPUTED_VALUE"""),45761.8073842592)</f>
        <v>45761.807384259198</v>
      </c>
      <c r="D536" s="2">
        <f ca="1">IFERROR(__xludf.DUMMYFUNCTION("""COMPUTED_VALUE"""),500)</f>
        <v>500</v>
      </c>
      <c r="E536" s="2">
        <f ca="1">IFERROR(__xludf.DUMMYFUNCTION("""COMPUTED_VALUE"""),200000)</f>
        <v>200000</v>
      </c>
      <c r="F536" s="2" t="str">
        <f ca="1">IFERROR(__xludf.DUMMYFUNCTION("""COMPUTED_VALUE"""),"Ajuste Arqueo 14/04/25")</f>
        <v>Ajuste Arqueo 14/04/25</v>
      </c>
      <c r="G536" s="2">
        <f ca="1">IFERROR(__xludf.DUMMYFUNCTION("""COMPUTED_VALUE"""),801)</f>
        <v>801</v>
      </c>
      <c r="H536" s="2">
        <f ca="1">IFERROR(__xludf.DUMMYFUNCTION("""COMPUTED_VALUE"""),9101)</f>
        <v>9101</v>
      </c>
      <c r="I536" s="2"/>
      <c r="J536" s="2"/>
      <c r="K536" s="2" t="str">
        <f ca="1">IFERROR(__xludf.DUMMYFUNCTION("""COMPUTED_VALUE"""),"Descubada")</f>
        <v>Descubada</v>
      </c>
      <c r="L536" s="2"/>
      <c r="M536" s="2"/>
    </row>
    <row r="537" spans="1:13" x14ac:dyDescent="0.25">
      <c r="A537" s="2" t="str">
        <f ca="1">IFERROR(__xludf.DUMMYFUNCTION("""COMPUTED_VALUE"""),"87e2f0ad")</f>
        <v>87e2f0ad</v>
      </c>
      <c r="B537" s="2"/>
      <c r="C537" s="5">
        <f ca="1">IFERROR(__xludf.DUMMYFUNCTION("""COMPUTED_VALUE"""),45761.8093518518)</f>
        <v>45761.8093518518</v>
      </c>
      <c r="D537" s="2">
        <f ca="1">IFERROR(__xludf.DUMMYFUNCTION("""COMPUTED_VALUE"""),500)</f>
        <v>500</v>
      </c>
      <c r="E537" s="2">
        <f ca="1">IFERROR(__xludf.DUMMYFUNCTION("""COMPUTED_VALUE"""),200000)</f>
        <v>200000</v>
      </c>
      <c r="F537" s="2" t="str">
        <f ca="1">IFERROR(__xludf.DUMMYFUNCTION("""COMPUTED_VALUE"""),"Ajuste Arqueo 14/04/25")</f>
        <v>Ajuste Arqueo 14/04/25</v>
      </c>
      <c r="G537" s="2">
        <f ca="1">IFERROR(__xludf.DUMMYFUNCTION("""COMPUTED_VALUE"""),9101)</f>
        <v>9101</v>
      </c>
      <c r="H537" s="2">
        <f ca="1">IFERROR(__xludf.DUMMYFUNCTION("""COMPUTED_VALUE"""),12901)</f>
        <v>12901</v>
      </c>
      <c r="I537" s="2"/>
      <c r="J537" s="2"/>
      <c r="K537" s="2" t="str">
        <f ca="1">IFERROR(__xludf.DUMMYFUNCTION("""COMPUTED_VALUE"""),"Descubada")</f>
        <v>Descubada</v>
      </c>
      <c r="L537" s="2"/>
      <c r="M537" s="2"/>
    </row>
    <row r="538" spans="1:13" x14ac:dyDescent="0.25">
      <c r="A538" s="2" t="str">
        <f ca="1">IFERROR(__xludf.DUMMYFUNCTION("""COMPUTED_VALUE"""),"64b6a040")</f>
        <v>64b6a040</v>
      </c>
      <c r="B538" s="2"/>
      <c r="C538" s="5">
        <f ca="1">IFERROR(__xludf.DUMMYFUNCTION("""COMPUTED_VALUE"""),45761.8135763888)</f>
        <v>45761.813576388799</v>
      </c>
      <c r="D538" s="2">
        <f ca="1">IFERROR(__xludf.DUMMYFUNCTION("""COMPUTED_VALUE"""),500)</f>
        <v>500</v>
      </c>
      <c r="E538" s="2">
        <f ca="1">IFERROR(__xludf.DUMMYFUNCTION("""COMPUTED_VALUE"""),200000)</f>
        <v>200000</v>
      </c>
      <c r="F538" s="2" t="str">
        <f ca="1">IFERROR(__xludf.DUMMYFUNCTION("""COMPUTED_VALUE"""),"Ajuste Arqueo 14/04/25")</f>
        <v>Ajuste Arqueo 14/04/25</v>
      </c>
      <c r="G538" s="2">
        <f ca="1">IFERROR(__xludf.DUMMYFUNCTION("""COMPUTED_VALUE"""),12901)</f>
        <v>12901</v>
      </c>
      <c r="H538" s="2">
        <f ca="1">IFERROR(__xludf.DUMMYFUNCTION("""COMPUTED_VALUE"""),11901)</f>
        <v>11901</v>
      </c>
      <c r="I538" s="2"/>
      <c r="J538" s="2"/>
      <c r="K538" s="2" t="str">
        <f ca="1">IFERROR(__xludf.DUMMYFUNCTION("""COMPUTED_VALUE"""),"Descubada")</f>
        <v>Descubada</v>
      </c>
      <c r="L538" s="2"/>
      <c r="M538" s="2"/>
    </row>
    <row r="539" spans="1:13" x14ac:dyDescent="0.25">
      <c r="A539" s="2" t="str">
        <f ca="1">IFERROR(__xludf.DUMMYFUNCTION("""COMPUTED_VALUE"""),"dce718a8")</f>
        <v>dce718a8</v>
      </c>
      <c r="B539" s="2"/>
      <c r="C539" s="5">
        <f ca="1">IFERROR(__xludf.DUMMYFUNCTION("""COMPUTED_VALUE"""),45761.8139930555)</f>
        <v>45761.813993055497</v>
      </c>
      <c r="D539" s="2">
        <f ca="1">IFERROR(__xludf.DUMMYFUNCTION("""COMPUTED_VALUE"""),500)</f>
        <v>500</v>
      </c>
      <c r="E539" s="2">
        <f ca="1">IFERROR(__xludf.DUMMYFUNCTION("""COMPUTED_VALUE"""),200000)</f>
        <v>200000</v>
      </c>
      <c r="F539" s="2" t="str">
        <f ca="1">IFERROR(__xludf.DUMMYFUNCTION("""COMPUTED_VALUE"""),"Ajuste Arqueo 14/04/25")</f>
        <v>Ajuste Arqueo 14/04/25</v>
      </c>
      <c r="G539" s="2">
        <f ca="1">IFERROR(__xludf.DUMMYFUNCTION("""COMPUTED_VALUE"""),11901)</f>
        <v>11901</v>
      </c>
      <c r="H539" s="2">
        <f ca="1">IFERROR(__xludf.DUMMYFUNCTION("""COMPUTED_VALUE"""),10901)</f>
        <v>10901</v>
      </c>
      <c r="I539" s="2"/>
      <c r="J539" s="2"/>
      <c r="K539" s="2" t="str">
        <f ca="1">IFERROR(__xludf.DUMMYFUNCTION("""COMPUTED_VALUE"""),"Descubada")</f>
        <v>Descubada</v>
      </c>
      <c r="L539" s="2"/>
      <c r="M539" s="2"/>
    </row>
    <row r="540" spans="1:13" x14ac:dyDescent="0.25">
      <c r="A540" s="2" t="str">
        <f ca="1">IFERROR(__xludf.DUMMYFUNCTION("""COMPUTED_VALUE"""),"6323f237")</f>
        <v>6323f237</v>
      </c>
      <c r="B540" s="2"/>
      <c r="C540" s="5">
        <f ca="1">IFERROR(__xludf.DUMMYFUNCTION("""COMPUTED_VALUE"""),45761.8144907407)</f>
        <v>45761.814490740697</v>
      </c>
      <c r="D540" s="2">
        <f ca="1">IFERROR(__xludf.DUMMYFUNCTION("""COMPUTED_VALUE"""),500)</f>
        <v>500</v>
      </c>
      <c r="E540" s="2">
        <f ca="1">IFERROR(__xludf.DUMMYFUNCTION("""COMPUTED_VALUE"""),200000)</f>
        <v>200000</v>
      </c>
      <c r="F540" s="2" t="str">
        <f ca="1">IFERROR(__xludf.DUMMYFUNCTION("""COMPUTED_VALUE"""),"Ajuste Arqueo 14/04/25")</f>
        <v>Ajuste Arqueo 14/04/25</v>
      </c>
      <c r="G540" s="2">
        <f ca="1">IFERROR(__xludf.DUMMYFUNCTION("""COMPUTED_VALUE"""),10901)</f>
        <v>10901</v>
      </c>
      <c r="H540" s="2">
        <f ca="1">IFERROR(__xludf.DUMMYFUNCTION("""COMPUTED_VALUE"""),12901)</f>
        <v>12901</v>
      </c>
      <c r="I540" s="2"/>
      <c r="J540" s="2"/>
      <c r="K540" s="2" t="str">
        <f ca="1">IFERROR(__xludf.DUMMYFUNCTION("""COMPUTED_VALUE"""),"Descubada")</f>
        <v>Descubada</v>
      </c>
      <c r="L540" s="2"/>
      <c r="M540" s="2"/>
    </row>
    <row r="541" spans="1:13" x14ac:dyDescent="0.25">
      <c r="A541" s="2" t="str">
        <f ca="1">IFERROR(__xludf.DUMMYFUNCTION("""COMPUTED_VALUE"""),"aeaef108")</f>
        <v>aeaef108</v>
      </c>
      <c r="B541" s="2"/>
      <c r="C541" s="5">
        <f ca="1">IFERROR(__xludf.DUMMYFUNCTION("""COMPUTED_VALUE"""),45761.8148148148)</f>
        <v>45761.814814814803</v>
      </c>
      <c r="D541" s="2"/>
      <c r="E541" s="2"/>
      <c r="F541" s="2"/>
      <c r="G541" s="2"/>
      <c r="H541" s="2">
        <f ca="1">IFERROR(__xludf.DUMMYFUNCTION("""COMPUTED_VALUE"""),-1100)</f>
        <v>-1100</v>
      </c>
      <c r="I541" s="2"/>
      <c r="J541" s="2"/>
      <c r="K541" s="2"/>
      <c r="L541" s="2"/>
      <c r="M541" s="2"/>
    </row>
    <row r="542" spans="1:13" x14ac:dyDescent="0.25">
      <c r="A542" s="2" t="str">
        <f ca="1">IFERROR(__xludf.DUMMYFUNCTION("""COMPUTED_VALUE"""),"65fc01f0")</f>
        <v>65fc01f0</v>
      </c>
      <c r="B542" s="2"/>
      <c r="C542" s="5">
        <f ca="1">IFERROR(__xludf.DUMMYFUNCTION("""COMPUTED_VALUE"""),45761.8168402777)</f>
        <v>45761.816840277701</v>
      </c>
      <c r="D542" s="2">
        <f ca="1">IFERROR(__xludf.DUMMYFUNCTION("""COMPUTED_VALUE"""),500)</f>
        <v>500</v>
      </c>
      <c r="E542" s="2">
        <f ca="1">IFERROR(__xludf.DUMMYFUNCTION("""COMPUTED_VALUE"""),200000)</f>
        <v>200000</v>
      </c>
      <c r="F542" s="2" t="str">
        <f ca="1">IFERROR(__xludf.DUMMYFUNCTION("""COMPUTED_VALUE"""),"Ajuste Arqueo 14/04/25")</f>
        <v>Ajuste Arqueo 14/04/25</v>
      </c>
      <c r="G542" s="2">
        <f ca="1">IFERROR(__xludf.DUMMYFUNCTION("""COMPUTED_VALUE"""),12901)</f>
        <v>12901</v>
      </c>
      <c r="H542" s="2">
        <f ca="1">IFERROR(__xludf.DUMMYFUNCTION("""COMPUTED_VALUE"""),13901)</f>
        <v>13901</v>
      </c>
      <c r="I542" s="2"/>
      <c r="J542" s="2"/>
      <c r="K542" s="2" t="str">
        <f ca="1">IFERROR(__xludf.DUMMYFUNCTION("""COMPUTED_VALUE"""),"Descubada")</f>
        <v>Descubada</v>
      </c>
      <c r="L542" s="2"/>
      <c r="M542" s="2"/>
    </row>
    <row r="543" spans="1:13" x14ac:dyDescent="0.25">
      <c r="A543" s="2" t="str">
        <f ca="1">IFERROR(__xludf.DUMMYFUNCTION("""COMPUTED_VALUE"""),"edf54cc7")</f>
        <v>edf54cc7</v>
      </c>
      <c r="B543" s="2"/>
      <c r="C543" s="5">
        <f ca="1">IFERROR(__xludf.DUMMYFUNCTION("""COMPUTED_VALUE"""),45761.819074074)</f>
        <v>45761.819074074003</v>
      </c>
      <c r="D543" s="2">
        <f ca="1">IFERROR(__xludf.DUMMYFUNCTION("""COMPUTED_VALUE"""),500)</f>
        <v>500</v>
      </c>
      <c r="E543" s="2">
        <f ca="1">IFERROR(__xludf.DUMMYFUNCTION("""COMPUTED_VALUE"""),200000)</f>
        <v>200000</v>
      </c>
      <c r="F543" s="2" t="str">
        <f ca="1">IFERROR(__xludf.DUMMYFUNCTION("""COMPUTED_VALUE"""),"Ajuste Arqueo 14/04/25")</f>
        <v>Ajuste Arqueo 14/04/25</v>
      </c>
      <c r="G543" s="2">
        <f ca="1">IFERROR(__xludf.DUMMYFUNCTION("""COMPUTED_VALUE"""),13901)</f>
        <v>13901</v>
      </c>
      <c r="H543" s="2">
        <f ca="1">IFERROR(__xludf.DUMMYFUNCTION("""COMPUTED_VALUE"""),11901)</f>
        <v>11901</v>
      </c>
      <c r="I543" s="2"/>
      <c r="J543" s="2"/>
      <c r="K543" s="2" t="str">
        <f ca="1">IFERROR(__xludf.DUMMYFUNCTION("""COMPUTED_VALUE"""),"Descubada")</f>
        <v>Descubada</v>
      </c>
      <c r="L543" s="2"/>
      <c r="M543" s="2"/>
    </row>
    <row r="544" spans="1:13" x14ac:dyDescent="0.25">
      <c r="A544" s="2" t="str">
        <f ca="1">IFERROR(__xludf.DUMMYFUNCTION("""COMPUTED_VALUE"""),"7c10bfff")</f>
        <v>7c10bfff</v>
      </c>
      <c r="B544" s="2"/>
      <c r="C544" s="5">
        <f ca="1">IFERROR(__xludf.DUMMYFUNCTION("""COMPUTED_VALUE"""),45761.8198032407)</f>
        <v>45761.819803240702</v>
      </c>
      <c r="D544" s="2">
        <f ca="1">IFERROR(__xludf.DUMMYFUNCTION("""COMPUTED_VALUE"""),500)</f>
        <v>500</v>
      </c>
      <c r="E544" s="2">
        <f ca="1">IFERROR(__xludf.DUMMYFUNCTION("""COMPUTED_VALUE"""),200000)</f>
        <v>200000</v>
      </c>
      <c r="F544" s="2" t="str">
        <f ca="1">IFERROR(__xludf.DUMMYFUNCTION("""COMPUTED_VALUE"""),"Ajuste Arqueo 14/04/25")</f>
        <v>Ajuste Arqueo 14/04/25</v>
      </c>
      <c r="G544" s="2">
        <f ca="1">IFERROR(__xludf.DUMMYFUNCTION("""COMPUTED_VALUE"""),11901)</f>
        <v>11901</v>
      </c>
      <c r="H544" s="2">
        <f ca="1">IFERROR(__xludf.DUMMYFUNCTION("""COMPUTED_VALUE"""),12901)</f>
        <v>12901</v>
      </c>
      <c r="I544" s="2"/>
      <c r="J544" s="2"/>
      <c r="K544" s="2" t="str">
        <f ca="1">IFERROR(__xludf.DUMMYFUNCTION("""COMPUTED_VALUE"""),"Descubada")</f>
        <v>Descubada</v>
      </c>
      <c r="L544" s="2"/>
      <c r="M544" s="2"/>
    </row>
    <row r="545" spans="1:13" x14ac:dyDescent="0.25">
      <c r="A545" s="2" t="str">
        <f ca="1">IFERROR(__xludf.DUMMYFUNCTION("""COMPUTED_VALUE"""),"f3cffdb0")</f>
        <v>f3cffdb0</v>
      </c>
      <c r="B545" s="2"/>
      <c r="C545" s="5">
        <f ca="1">IFERROR(__xludf.DUMMYFUNCTION("""COMPUTED_VALUE"""),45761.8200578703)</f>
        <v>45761.820057870304</v>
      </c>
      <c r="D545" s="2">
        <f ca="1">IFERROR(__xludf.DUMMYFUNCTION("""COMPUTED_VALUE"""),500)</f>
        <v>500</v>
      </c>
      <c r="E545" s="2">
        <f ca="1">IFERROR(__xludf.DUMMYFUNCTION("""COMPUTED_VALUE"""),200000)</f>
        <v>200000</v>
      </c>
      <c r="F545" s="2" t="str">
        <f ca="1">IFERROR(__xludf.DUMMYFUNCTION("""COMPUTED_VALUE"""),"Ajuste Arqueo 14/04/25")</f>
        <v>Ajuste Arqueo 14/04/25</v>
      </c>
      <c r="G545" s="2">
        <f ca="1">IFERROR(__xludf.DUMMYFUNCTION("""COMPUTED_VALUE"""),12901)</f>
        <v>12901</v>
      </c>
      <c r="H545" s="2">
        <f ca="1">IFERROR(__xludf.DUMMYFUNCTION("""COMPUTED_VALUE"""),13501)</f>
        <v>13501</v>
      </c>
      <c r="I545" s="2"/>
      <c r="J545" s="2"/>
      <c r="K545" s="2" t="str">
        <f ca="1">IFERROR(__xludf.DUMMYFUNCTION("""COMPUTED_VALUE"""),"Descubada")</f>
        <v>Descubada</v>
      </c>
      <c r="L545" s="2"/>
      <c r="M545" s="2"/>
    </row>
    <row r="546" spans="1:13" x14ac:dyDescent="0.25">
      <c r="A546" s="2" t="str">
        <f ca="1">IFERROR(__xludf.DUMMYFUNCTION("""COMPUTED_VALUE"""),"4f5059a5")</f>
        <v>4f5059a5</v>
      </c>
      <c r="B546" s="2"/>
      <c r="C546" s="5">
        <f ca="1">IFERROR(__xludf.DUMMYFUNCTION("""COMPUTED_VALUE"""),45761.8204861111)</f>
        <v>45761.820486111101</v>
      </c>
      <c r="D546" s="2">
        <f ca="1">IFERROR(__xludf.DUMMYFUNCTION("""COMPUTED_VALUE"""),500)</f>
        <v>500</v>
      </c>
      <c r="E546" s="2">
        <f ca="1">IFERROR(__xludf.DUMMYFUNCTION("""COMPUTED_VALUE"""),200000)</f>
        <v>200000</v>
      </c>
      <c r="F546" s="2" t="str">
        <f ca="1">IFERROR(__xludf.DUMMYFUNCTION("""COMPUTED_VALUE"""),"Ajuste Arqueo 14/04/25")</f>
        <v>Ajuste Arqueo 14/04/25</v>
      </c>
      <c r="G546" s="2">
        <f ca="1">IFERROR(__xludf.DUMMYFUNCTION("""COMPUTED_VALUE"""),13501)</f>
        <v>13501</v>
      </c>
      <c r="H546" s="2">
        <f ca="1">IFERROR(__xludf.DUMMYFUNCTION("""COMPUTED_VALUE"""),11501)</f>
        <v>11501</v>
      </c>
      <c r="I546" s="2"/>
      <c r="J546" s="2"/>
      <c r="K546" s="2" t="str">
        <f ca="1">IFERROR(__xludf.DUMMYFUNCTION("""COMPUTED_VALUE"""),"Descubada")</f>
        <v>Descubada</v>
      </c>
      <c r="L546" s="2"/>
      <c r="M546" s="2"/>
    </row>
    <row r="547" spans="1:13" x14ac:dyDescent="0.25">
      <c r="A547" s="2" t="str">
        <f ca="1">IFERROR(__xludf.DUMMYFUNCTION("""COMPUTED_VALUE"""),"48038afe")</f>
        <v>48038afe</v>
      </c>
      <c r="B547" s="2"/>
      <c r="C547" s="5">
        <f ca="1">IFERROR(__xludf.DUMMYFUNCTION("""COMPUTED_VALUE"""),45761.8211689814)</f>
        <v>45761.821168981398</v>
      </c>
      <c r="D547" s="2">
        <f ca="1">IFERROR(__xludf.DUMMYFUNCTION("""COMPUTED_VALUE"""),500)</f>
        <v>500</v>
      </c>
      <c r="E547" s="2">
        <f ca="1">IFERROR(__xludf.DUMMYFUNCTION("""COMPUTED_VALUE"""),200000)</f>
        <v>200000</v>
      </c>
      <c r="F547" s="2" t="str">
        <f ca="1">IFERROR(__xludf.DUMMYFUNCTION("""COMPUTED_VALUE"""),"Ajuste Arqueo 14/04/25")</f>
        <v>Ajuste Arqueo 14/04/25</v>
      </c>
      <c r="G547" s="2">
        <f ca="1">IFERROR(__xludf.DUMMYFUNCTION("""COMPUTED_VALUE"""),11501)</f>
        <v>11501</v>
      </c>
      <c r="H547" s="2">
        <f ca="1">IFERROR(__xludf.DUMMYFUNCTION("""COMPUTED_VALUE"""),18201)</f>
        <v>18201</v>
      </c>
      <c r="I547" s="2"/>
      <c r="J547" s="2"/>
      <c r="K547" s="2" t="str">
        <f ca="1">IFERROR(__xludf.DUMMYFUNCTION("""COMPUTED_VALUE"""),"Descubada")</f>
        <v>Descubada</v>
      </c>
      <c r="L547" s="2"/>
      <c r="M547" s="2"/>
    </row>
    <row r="548" spans="1:13" x14ac:dyDescent="0.25">
      <c r="A548" s="2" t="str">
        <f ca="1">IFERROR(__xludf.DUMMYFUNCTION("""COMPUTED_VALUE"""),"24faac94")</f>
        <v>24faac94</v>
      </c>
      <c r="B548" s="2"/>
      <c r="C548" s="5">
        <f ca="1">IFERROR(__xludf.DUMMYFUNCTION("""COMPUTED_VALUE"""),45761.8221759259)</f>
        <v>45761.822175925903</v>
      </c>
      <c r="D548" s="2">
        <f ca="1">IFERROR(__xludf.DUMMYFUNCTION("""COMPUTED_VALUE"""),500)</f>
        <v>500</v>
      </c>
      <c r="E548" s="2">
        <f ca="1">IFERROR(__xludf.DUMMYFUNCTION("""COMPUTED_VALUE"""),200000)</f>
        <v>200000</v>
      </c>
      <c r="F548" s="2" t="str">
        <f ca="1">IFERROR(__xludf.DUMMYFUNCTION("""COMPUTED_VALUE"""),"Ajuste Arqueo 14/04/25")</f>
        <v>Ajuste Arqueo 14/04/25</v>
      </c>
      <c r="G548" s="2">
        <f ca="1">IFERROR(__xludf.DUMMYFUNCTION("""COMPUTED_VALUE"""),18201)</f>
        <v>18201</v>
      </c>
      <c r="H548" s="2">
        <f ca="1">IFERROR(__xludf.DUMMYFUNCTION("""COMPUTED_VALUE"""),26201)</f>
        <v>26201</v>
      </c>
      <c r="I548" s="2"/>
      <c r="J548" s="2"/>
      <c r="K548" s="2" t="str">
        <f ca="1">IFERROR(__xludf.DUMMYFUNCTION("""COMPUTED_VALUE"""),"Descubada")</f>
        <v>Descubada</v>
      </c>
      <c r="L548" s="2"/>
      <c r="M548" s="2"/>
    </row>
    <row r="549" spans="1:13" x14ac:dyDescent="0.25">
      <c r="A549" s="2" t="str">
        <f ca="1">IFERROR(__xludf.DUMMYFUNCTION("""COMPUTED_VALUE"""),"d4c8b868")</f>
        <v>d4c8b868</v>
      </c>
      <c r="B549" s="2"/>
      <c r="C549" s="5">
        <f ca="1">IFERROR(__xludf.DUMMYFUNCTION("""COMPUTED_VALUE"""),45761.8225810185)</f>
        <v>45761.822581018503</v>
      </c>
      <c r="D549" s="2">
        <f ca="1">IFERROR(__xludf.DUMMYFUNCTION("""COMPUTED_VALUE"""),500)</f>
        <v>500</v>
      </c>
      <c r="E549" s="2">
        <f ca="1">IFERROR(__xludf.DUMMYFUNCTION("""COMPUTED_VALUE"""),200000)</f>
        <v>200000</v>
      </c>
      <c r="F549" s="2" t="str">
        <f ca="1">IFERROR(__xludf.DUMMYFUNCTION("""COMPUTED_VALUE"""),"Ajuste Arqueo 14/04/25")</f>
        <v>Ajuste Arqueo 14/04/25</v>
      </c>
      <c r="G549" s="2">
        <f ca="1">IFERROR(__xludf.DUMMYFUNCTION("""COMPUTED_VALUE"""),26201)</f>
        <v>26201</v>
      </c>
      <c r="H549" s="2">
        <f ca="1">IFERROR(__xludf.DUMMYFUNCTION("""COMPUTED_VALUE"""),27201)</f>
        <v>27201</v>
      </c>
      <c r="I549" s="2"/>
      <c r="J549" s="2"/>
      <c r="K549" s="2" t="str">
        <f ca="1">IFERROR(__xludf.DUMMYFUNCTION("""COMPUTED_VALUE"""),"Descubada")</f>
        <v>Descubada</v>
      </c>
      <c r="L549" s="2"/>
      <c r="M549" s="2"/>
    </row>
    <row r="550" spans="1:13" x14ac:dyDescent="0.25">
      <c r="A550" s="2" t="str">
        <f ca="1">IFERROR(__xludf.DUMMYFUNCTION("""COMPUTED_VALUE"""),"afa1959b")</f>
        <v>afa1959b</v>
      </c>
      <c r="B550" s="2"/>
      <c r="C550" s="5">
        <f ca="1">IFERROR(__xludf.DUMMYFUNCTION("""COMPUTED_VALUE"""),45762.4833796296)</f>
        <v>45762.483379629601</v>
      </c>
      <c r="D550" s="2">
        <f ca="1">IFERROR(__xludf.DUMMYFUNCTION("""COMPUTED_VALUE"""),86)</f>
        <v>86</v>
      </c>
      <c r="E550" s="2">
        <f ca="1">IFERROR(__xludf.DUMMYFUNCTION("""COMPUTED_VALUE"""),88000)</f>
        <v>88000</v>
      </c>
      <c r="F550" s="2" t="str">
        <f ca="1">IFERROR(__xludf.DUMMYFUNCTION("""COMPUTED_VALUE"""),"Bonarda")</f>
        <v>Bonarda</v>
      </c>
      <c r="G550" s="2">
        <f ca="1">IFERROR(__xludf.DUMMYFUNCTION("""COMPUTED_VALUE"""),50000)</f>
        <v>50000</v>
      </c>
      <c r="H550" s="2">
        <f ca="1">IFERROR(__xludf.DUMMYFUNCTION("""COMPUTED_VALUE"""),58500)</f>
        <v>58500</v>
      </c>
      <c r="I550" s="2"/>
      <c r="J550" s="2"/>
      <c r="K550" s="2" t="str">
        <f ca="1">IFERROR(__xludf.DUMMYFUNCTION("""COMPUTED_VALUE"""),"Fermentando")</f>
        <v>Fermentando</v>
      </c>
      <c r="L550" s="2"/>
      <c r="M550" s="2"/>
    </row>
    <row r="551" spans="1:13" x14ac:dyDescent="0.25">
      <c r="A551" s="2" t="str">
        <f ca="1">IFERROR(__xludf.DUMMYFUNCTION("""COMPUTED_VALUE"""),"2dd2dee4")</f>
        <v>2dd2dee4</v>
      </c>
      <c r="B551" s="2"/>
      <c r="C551" s="5">
        <f ca="1">IFERROR(__xludf.DUMMYFUNCTION("""COMPUTED_VALUE"""),45762.5036689814)</f>
        <v>45762.503668981401</v>
      </c>
      <c r="D551" s="2">
        <f ca="1">IFERROR(__xludf.DUMMYFUNCTION("""COMPUTED_VALUE"""),87)</f>
        <v>87</v>
      </c>
      <c r="E551" s="2">
        <f ca="1">IFERROR(__xludf.DUMMYFUNCTION("""COMPUTED_VALUE"""),93700)</f>
        <v>93700</v>
      </c>
      <c r="F551" s="2" t="str">
        <f ca="1">IFERROR(__xludf.DUMMYFUNCTION("""COMPUTED_VALUE"""),"Criolla Flotada")</f>
        <v>Criolla Flotada</v>
      </c>
      <c r="G551" s="2"/>
      <c r="H551" s="2">
        <f ca="1">IFERROR(__xludf.DUMMYFUNCTION("""COMPUTED_VALUE"""),95000)</f>
        <v>95000</v>
      </c>
      <c r="I551" s="2" t="str">
        <f ca="1">IFERROR(__xludf.DUMMYFUNCTION("""COMPUTED_VALUE"""),"17/4
Volumen real 65000 lts")</f>
        <v>17/4
Volumen real 65000 lts</v>
      </c>
      <c r="J551" s="2" t="str">
        <f ca="1">IFERROR(__xludf.DUMMYFUNCTION("""COMPUTED_VALUE"""),"6166 , 6167 , 6169 , 6170 , 6171 , 6172 , 6173 , 6174 , 6175 , 6176 , 6177 , 6178 , 6165")</f>
        <v>6166 , 6167 , 6169 , 6170 , 6171 , 6172 , 6173 , 6174 , 6175 , 6176 , 6177 , 6178 , 6165</v>
      </c>
      <c r="K551" s="2" t="str">
        <f ca="1">IFERROR(__xludf.DUMMYFUNCTION("""COMPUTED_VALUE"""),"Fermentando")</f>
        <v>Fermentando</v>
      </c>
      <c r="L551" s="2"/>
      <c r="M551" s="2"/>
    </row>
    <row r="552" spans="1:13" x14ac:dyDescent="0.25">
      <c r="A552" s="2" t="str">
        <f ca="1">IFERROR(__xludf.DUMMYFUNCTION("""COMPUTED_VALUE"""),"f5e72ae6")</f>
        <v>f5e72ae6</v>
      </c>
      <c r="B552" s="2"/>
      <c r="C552" s="5">
        <f ca="1">IFERROR(__xludf.DUMMYFUNCTION("""COMPUTED_VALUE"""),45763.7484027777)</f>
        <v>45763.748402777703</v>
      </c>
      <c r="D552" s="2"/>
      <c r="E552" s="2"/>
      <c r="F552" s="2" t="str">
        <f ca="1">IFERROR(__xludf.DUMMYFUNCTION("""COMPUTED_VALUE"""),"Bonarda")</f>
        <v>Bonarda</v>
      </c>
      <c r="G552" s="2"/>
      <c r="H552" s="2">
        <f ca="1">IFERROR(__xludf.DUMMYFUNCTION("""COMPUTED_VALUE"""),50000)</f>
        <v>50000</v>
      </c>
      <c r="I552" s="2"/>
      <c r="J552" s="2"/>
      <c r="K552" s="2" t="str">
        <f ca="1">IFERROR(__xludf.DUMMYFUNCTION("""COMPUTED_VALUE"""),"Descubada")</f>
        <v>Descubada</v>
      </c>
      <c r="L552" s="2"/>
      <c r="M552" s="2"/>
    </row>
    <row r="553" spans="1:13" x14ac:dyDescent="0.25">
      <c r="A553" s="2" t="str">
        <f ca="1">IFERROR(__xludf.DUMMYFUNCTION("""COMPUTED_VALUE"""),"7aef611b")</f>
        <v>7aef611b</v>
      </c>
      <c r="B553" s="2"/>
      <c r="C553" s="5">
        <f ca="1">IFERROR(__xludf.DUMMYFUNCTION("""COMPUTED_VALUE"""),45763.7523842592)</f>
        <v>45763.752384259198</v>
      </c>
      <c r="D553" s="2">
        <f ca="1">IFERROR(__xludf.DUMMYFUNCTION("""COMPUTED_VALUE"""),118)</f>
        <v>118</v>
      </c>
      <c r="E553" s="2">
        <f ca="1">IFERROR(__xludf.DUMMYFUNCTION("""COMPUTED_VALUE"""),155600)</f>
        <v>155600</v>
      </c>
      <c r="F553" s="2" t="str">
        <f ca="1">IFERROR(__xludf.DUMMYFUNCTION("""COMPUTED_VALUE"""),"Bonarda")</f>
        <v>Bonarda</v>
      </c>
      <c r="G553" s="2">
        <f ca="1">IFERROR(__xludf.DUMMYFUNCTION("""COMPUTED_VALUE"""),0)</f>
        <v>0</v>
      </c>
      <c r="H553" s="2">
        <f ca="1">IFERROR(__xludf.DUMMYFUNCTION("""COMPUTED_VALUE"""),50000)</f>
        <v>50000</v>
      </c>
      <c r="I553" s="2"/>
      <c r="J553" s="2"/>
      <c r="K553" s="2" t="str">
        <f ca="1">IFERROR(__xludf.DUMMYFUNCTION("""COMPUTED_VALUE"""),"Descubada")</f>
        <v>Descubada</v>
      </c>
      <c r="L553" s="2"/>
      <c r="M553" s="2"/>
    </row>
    <row r="554" spans="1:13" x14ac:dyDescent="0.25">
      <c r="A554" s="2" t="str">
        <f ca="1">IFERROR(__xludf.DUMMYFUNCTION("""COMPUTED_VALUE"""),"c5495c94")</f>
        <v>c5495c94</v>
      </c>
      <c r="B554" s="2"/>
      <c r="C554" s="5">
        <f ca="1">IFERROR(__xludf.DUMMYFUNCTION("""COMPUTED_VALUE"""),45763.7529513888)</f>
        <v>45763.7529513888</v>
      </c>
      <c r="D554" s="2">
        <f ca="1">IFERROR(__xludf.DUMMYFUNCTION("""COMPUTED_VALUE"""),118)</f>
        <v>118</v>
      </c>
      <c r="E554" s="2">
        <f ca="1">IFERROR(__xludf.DUMMYFUNCTION("""COMPUTED_VALUE"""),155600)</f>
        <v>155600</v>
      </c>
      <c r="F554" s="2" t="str">
        <f ca="1">IFERROR(__xludf.DUMMYFUNCTION("""COMPUTED_VALUE"""),"Bonarda")</f>
        <v>Bonarda</v>
      </c>
      <c r="G554" s="2">
        <f ca="1">IFERROR(__xludf.DUMMYFUNCTION("""COMPUTED_VALUE"""),50000)</f>
        <v>50000</v>
      </c>
      <c r="H554" s="2">
        <f ca="1">IFERROR(__xludf.DUMMYFUNCTION("""COMPUTED_VALUE"""),88000)</f>
        <v>88000</v>
      </c>
      <c r="I554" s="2"/>
      <c r="J554" s="2"/>
      <c r="K554" s="2" t="str">
        <f ca="1">IFERROR(__xludf.DUMMYFUNCTION("""COMPUTED_VALUE"""),"Descubada")</f>
        <v>Descubada</v>
      </c>
      <c r="L554" s="2"/>
      <c r="M554" s="2"/>
    </row>
    <row r="555" spans="1:13" x14ac:dyDescent="0.25">
      <c r="A555" s="2" t="str">
        <f ca="1">IFERROR(__xludf.DUMMYFUNCTION("""COMPUTED_VALUE"""),"29d21664")</f>
        <v>29d21664</v>
      </c>
      <c r="B555" s="2"/>
      <c r="C555" s="5">
        <f ca="1">IFERROR(__xludf.DUMMYFUNCTION("""COMPUTED_VALUE"""),45763.7538773148)</f>
        <v>45763.753877314797</v>
      </c>
      <c r="D555" s="2">
        <f ca="1">IFERROR(__xludf.DUMMYFUNCTION("""COMPUTED_VALUE"""),118)</f>
        <v>118</v>
      </c>
      <c r="E555" s="2">
        <f ca="1">IFERROR(__xludf.DUMMYFUNCTION("""COMPUTED_VALUE"""),155600)</f>
        <v>155600</v>
      </c>
      <c r="F555" s="2" t="str">
        <f ca="1">IFERROR(__xludf.DUMMYFUNCTION("""COMPUTED_VALUE"""),"Bonarda")</f>
        <v>Bonarda</v>
      </c>
      <c r="G555" s="2">
        <f ca="1">IFERROR(__xludf.DUMMYFUNCTION("""COMPUTED_VALUE"""),88000)</f>
        <v>88000</v>
      </c>
      <c r="H555" s="2">
        <f ca="1">IFERROR(__xludf.DUMMYFUNCTION("""COMPUTED_VALUE"""),125200)</f>
        <v>125200</v>
      </c>
      <c r="I555" s="2"/>
      <c r="J555" s="2"/>
      <c r="K555" s="2" t="str">
        <f ca="1">IFERROR(__xludf.DUMMYFUNCTION("""COMPUTED_VALUE"""),"Descubada")</f>
        <v>Descubada</v>
      </c>
      <c r="L555" s="2"/>
      <c r="M555" s="2"/>
    </row>
    <row r="556" spans="1:13" x14ac:dyDescent="0.25">
      <c r="A556" s="2" t="str">
        <f ca="1">IFERROR(__xludf.DUMMYFUNCTION("""COMPUTED_VALUE"""),"8ec426a5")</f>
        <v>8ec426a5</v>
      </c>
      <c r="B556" s="2"/>
      <c r="C556" s="5">
        <f ca="1">IFERROR(__xludf.DUMMYFUNCTION("""COMPUTED_VALUE"""),45763.7547106481)</f>
        <v>45763.7547106481</v>
      </c>
      <c r="D556" s="2">
        <f ca="1">IFERROR(__xludf.DUMMYFUNCTION("""COMPUTED_VALUE"""),118)</f>
        <v>118</v>
      </c>
      <c r="E556" s="2">
        <f ca="1">IFERROR(__xludf.DUMMYFUNCTION("""COMPUTED_VALUE"""),155600)</f>
        <v>155600</v>
      </c>
      <c r="F556" s="2" t="str">
        <f ca="1">IFERROR(__xludf.DUMMYFUNCTION("""COMPUTED_VALUE"""),"Bonarda")</f>
        <v>Bonarda</v>
      </c>
      <c r="G556" s="2">
        <f ca="1">IFERROR(__xludf.DUMMYFUNCTION("""COMPUTED_VALUE"""),125200)</f>
        <v>125200</v>
      </c>
      <c r="H556" s="2">
        <f ca="1">IFERROR(__xludf.DUMMYFUNCTION("""COMPUTED_VALUE"""),155600)</f>
        <v>155600</v>
      </c>
      <c r="I556" s="2"/>
      <c r="J556" s="2"/>
      <c r="K556" s="2" t="str">
        <f ca="1">IFERROR(__xludf.DUMMYFUNCTION("""COMPUTED_VALUE"""),"Descubada")</f>
        <v>Descubada</v>
      </c>
      <c r="L556" s="2" t="str">
        <f ca="1">IFERROR(__xludf.DUMMYFUNCTION("""COMPUTED_VALUE"""),"1")</f>
        <v>1</v>
      </c>
      <c r="M556" s="2"/>
    </row>
    <row r="557" spans="1:13" x14ac:dyDescent="0.25">
      <c r="A557" s="2" t="str">
        <f ca="1">IFERROR(__xludf.DUMMYFUNCTION("""COMPUTED_VALUE"""),"49defec5")</f>
        <v>49defec5</v>
      </c>
      <c r="B557" s="2"/>
      <c r="C557" s="5">
        <f ca="1">IFERROR(__xludf.DUMMYFUNCTION("""COMPUTED_VALUE"""),45763.7563541666)</f>
        <v>45763.756354166602</v>
      </c>
      <c r="D557" s="2">
        <f ca="1">IFERROR(__xludf.DUMMYFUNCTION("""COMPUTED_VALUE"""),11)</f>
        <v>11</v>
      </c>
      <c r="E557" s="2">
        <f ca="1">IFERROR(__xludf.DUMMYFUNCTION("""COMPUTED_VALUE"""),36000)</f>
        <v>36000</v>
      </c>
      <c r="F557" s="2" t="str">
        <f ca="1">IFERROR(__xludf.DUMMYFUNCTION("""COMPUTED_VALUE"""),"Syrah Bonarda Rect")</f>
        <v>Syrah Bonarda Rect</v>
      </c>
      <c r="G557" s="2">
        <f ca="1">IFERROR(__xludf.DUMMYFUNCTION("""COMPUTED_VALUE"""),16700)</f>
        <v>16700</v>
      </c>
      <c r="H557" s="2">
        <f ca="1">IFERROR(__xludf.DUMMYFUNCTION("""COMPUTED_VALUE"""),33700)</f>
        <v>33700</v>
      </c>
      <c r="I557" s="2"/>
      <c r="J557" s="2"/>
      <c r="K557" s="2" t="str">
        <f ca="1">IFERROR(__xludf.DUMMYFUNCTION("""COMPUTED_VALUE"""),"Rectificado")</f>
        <v>Rectificado</v>
      </c>
      <c r="L557" s="2"/>
      <c r="M557" s="2"/>
    </row>
    <row r="558" spans="1:13" x14ac:dyDescent="0.25">
      <c r="A558" s="2" t="str">
        <f ca="1">IFERROR(__xludf.DUMMYFUNCTION("""COMPUTED_VALUE"""),"c1c626f1")</f>
        <v>c1c626f1</v>
      </c>
      <c r="B558" s="2"/>
      <c r="C558" s="5">
        <f ca="1">IFERROR(__xludf.DUMMYFUNCTION("""COMPUTED_VALUE"""),45763.7596527777)</f>
        <v>45763.759652777699</v>
      </c>
      <c r="D558" s="2">
        <f ca="1">IFERROR(__xludf.DUMMYFUNCTION("""COMPUTED_VALUE"""),90)</f>
        <v>90</v>
      </c>
      <c r="E558" s="2">
        <f ca="1">IFERROR(__xludf.DUMMYFUNCTION("""COMPUTED_VALUE"""),97500)</f>
        <v>97500</v>
      </c>
      <c r="F558" s="2" t="str">
        <f ca="1">IFERROR(__xludf.DUMMYFUNCTION("""COMPUTED_VALUE"""),"Tinto s/Bonarda")</f>
        <v>Tinto s/Bonarda</v>
      </c>
      <c r="G558" s="2">
        <f ca="1">IFERROR(__xludf.DUMMYFUNCTION("""COMPUTED_VALUE"""),21600)</f>
        <v>21600</v>
      </c>
      <c r="H558" s="2">
        <f ca="1">IFERROR(__xludf.DUMMYFUNCTION("""COMPUTED_VALUE"""),51600)</f>
        <v>51600</v>
      </c>
      <c r="I558" s="2" t="str">
        <f ca="1">IFERROR(__xludf.DUMMYFUNCTION("""COMPUTED_VALUE"""),"17/4
Lista para descubar")</f>
        <v>17/4
Lista para descubar</v>
      </c>
      <c r="J558" s="2"/>
      <c r="K558" s="2" t="str">
        <f ca="1">IFERROR(__xludf.DUMMYFUNCTION("""COMPUTED_VALUE"""),"Recarga Fermentando")</f>
        <v>Recarga Fermentando</v>
      </c>
      <c r="L558" s="2"/>
      <c r="M558" s="2"/>
    </row>
    <row r="559" spans="1:13" x14ac:dyDescent="0.25">
      <c r="A559" s="2" t="str">
        <f ca="1">IFERROR(__xludf.DUMMYFUNCTION("""COMPUTED_VALUE"""),"a1061f77")</f>
        <v>a1061f77</v>
      </c>
      <c r="B559" s="2"/>
      <c r="C559" s="5">
        <f ca="1">IFERROR(__xludf.DUMMYFUNCTION("""COMPUTED_VALUE"""),45763.7639236111)</f>
        <v>45763.763923611099</v>
      </c>
      <c r="D559" s="2">
        <f ca="1">IFERROR(__xludf.DUMMYFUNCTION("""COMPUTED_VALUE"""),91)</f>
        <v>91</v>
      </c>
      <c r="E559" s="2">
        <f ca="1">IFERROR(__xludf.DUMMYFUNCTION("""COMPUTED_VALUE"""),86000)</f>
        <v>86000</v>
      </c>
      <c r="F559" s="2" t="str">
        <f ca="1">IFERROR(__xludf.DUMMYFUNCTION("""COMPUTED_VALUE"""),"Tinto s/Bonarda")</f>
        <v>Tinto s/Bonarda</v>
      </c>
      <c r="G559" s="2">
        <f ca="1">IFERROR(__xludf.DUMMYFUNCTION("""COMPUTED_VALUE"""),10800)</f>
        <v>10800</v>
      </c>
      <c r="H559" s="2">
        <f ca="1">IFERROR(__xludf.DUMMYFUNCTION("""COMPUTED_VALUE"""),19800)</f>
        <v>19800</v>
      </c>
      <c r="I559" s="2"/>
      <c r="J559" s="2"/>
      <c r="K559" s="2" t="str">
        <f ca="1">IFERROR(__xludf.DUMMYFUNCTION("""COMPUTED_VALUE"""),"Fermentando")</f>
        <v>Fermentando</v>
      </c>
      <c r="L559" s="2"/>
      <c r="M559" s="2"/>
    </row>
    <row r="560" spans="1:13" x14ac:dyDescent="0.25">
      <c r="A560" s="2" t="str">
        <f ca="1">IFERROR(__xludf.DUMMYFUNCTION("""COMPUTED_VALUE"""),"5e2378bc")</f>
        <v>5e2378bc</v>
      </c>
      <c r="B560" s="2"/>
      <c r="C560" s="5">
        <f ca="1">IFERROR(__xludf.DUMMYFUNCTION("""COMPUTED_VALUE"""),45763.7647222222)</f>
        <v>45763.7647222222</v>
      </c>
      <c r="D560" s="2">
        <f ca="1">IFERROR(__xludf.DUMMYFUNCTION("""COMPUTED_VALUE"""),91)</f>
        <v>91</v>
      </c>
      <c r="E560" s="2">
        <f ca="1">IFERROR(__xludf.DUMMYFUNCTION("""COMPUTED_VALUE"""),86000)</f>
        <v>86000</v>
      </c>
      <c r="F560" s="2" t="str">
        <f ca="1">IFERROR(__xludf.DUMMYFUNCTION("""COMPUTED_VALUE"""),"Tinto s/Bonarda")</f>
        <v>Tinto s/Bonarda</v>
      </c>
      <c r="G560" s="2">
        <f ca="1">IFERROR(__xludf.DUMMYFUNCTION("""COMPUTED_VALUE"""),19800)</f>
        <v>19800</v>
      </c>
      <c r="H560" s="2">
        <f ca="1">IFERROR(__xludf.DUMMYFUNCTION("""COMPUTED_VALUE"""),44800)</f>
        <v>44800</v>
      </c>
      <c r="I560" s="2" t="str">
        <f ca="1">IFERROR(__xludf.DUMMYFUNCTION("""COMPUTED_VALUE"""),"17/4
Baume 5
Lista para descubar a tanque")</f>
        <v>17/4
Baume 5
Lista para descubar a tanque</v>
      </c>
      <c r="J560" s="2"/>
      <c r="K560" s="2" t="str">
        <f ca="1">IFERROR(__xludf.DUMMYFUNCTION("""COMPUTED_VALUE"""),"Recarga Fermentando")</f>
        <v>Recarga Fermentando</v>
      </c>
      <c r="L560" s="2"/>
      <c r="M560" s="2"/>
    </row>
    <row r="561" spans="1:13" x14ac:dyDescent="0.25">
      <c r="A561" s="2" t="str">
        <f ca="1">IFERROR(__xludf.DUMMYFUNCTION("""COMPUTED_VALUE"""),"da01d353")</f>
        <v>da01d353</v>
      </c>
      <c r="B561" s="2"/>
      <c r="C561" s="5">
        <f ca="1">IFERROR(__xludf.DUMMYFUNCTION("""COMPUTED_VALUE"""),45763.7654513888)</f>
        <v>45763.765451388797</v>
      </c>
      <c r="D561" s="2">
        <f ca="1">IFERROR(__xludf.DUMMYFUNCTION("""COMPUTED_VALUE"""),84)</f>
        <v>84</v>
      </c>
      <c r="E561" s="2">
        <f ca="1">IFERROR(__xludf.DUMMYFUNCTION("""COMPUTED_VALUE"""),83000)</f>
        <v>83000</v>
      </c>
      <c r="F561" s="2" t="str">
        <f ca="1">IFERROR(__xludf.DUMMYFUNCTION("""COMPUTED_VALUE"""),"Tinto s/Bonarda")</f>
        <v>Tinto s/Bonarda</v>
      </c>
      <c r="G561" s="2">
        <f ca="1">IFERROR(__xludf.DUMMYFUNCTION("""COMPUTED_VALUE"""),16000)</f>
        <v>16000</v>
      </c>
      <c r="H561" s="2">
        <f ca="1">IFERROR(__xludf.DUMMYFUNCTION("""COMPUTED_VALUE"""),33000)</f>
        <v>33000</v>
      </c>
      <c r="I561" s="2" t="str">
        <f ca="1">IFERROR(__xludf.DUMMYFUNCTION("""COMPUTED_VALUE"""),"17/4
Reducido. Descubar el sabado")</f>
        <v>17/4
Reducido. Descubar el sabado</v>
      </c>
      <c r="J561" s="2"/>
      <c r="K561" s="2" t="str">
        <f ca="1">IFERROR(__xludf.DUMMYFUNCTION("""COMPUTED_VALUE"""),"Recarga Fermentando")</f>
        <v>Recarga Fermentando</v>
      </c>
      <c r="L561" s="2"/>
      <c r="M561" s="2"/>
    </row>
    <row r="562" spans="1:13" x14ac:dyDescent="0.25">
      <c r="A562" s="2" t="str">
        <f ca="1">IFERROR(__xludf.DUMMYFUNCTION("""COMPUTED_VALUE"""),"b7df6d93")</f>
        <v>b7df6d93</v>
      </c>
      <c r="B562" s="2"/>
      <c r="C562" s="5">
        <f ca="1">IFERROR(__xludf.DUMMYFUNCTION("""COMPUTED_VALUE"""),45764.535949074)</f>
        <v>45764.535949074001</v>
      </c>
      <c r="D562" s="2">
        <f ca="1">IFERROR(__xludf.DUMMYFUNCTION("""COMPUTED_VALUE"""),88)</f>
        <v>88</v>
      </c>
      <c r="E562" s="2">
        <f ca="1">IFERROR(__xludf.DUMMYFUNCTION("""COMPUTED_VALUE"""),78900)</f>
        <v>78900</v>
      </c>
      <c r="F562" s="2" t="str">
        <f ca="1">IFERROR(__xludf.DUMMYFUNCTION("""COMPUTED_VALUE"""),"Tinto s/Bonarda")</f>
        <v>Tinto s/Bonarda</v>
      </c>
      <c r="G562" s="2">
        <f ca="1">IFERROR(__xludf.DUMMYFUNCTION("""COMPUTED_VALUE"""),15750)</f>
        <v>15750</v>
      </c>
      <c r="H562" s="2">
        <f ca="1">IFERROR(__xludf.DUMMYFUNCTION("""COMPUTED_VALUE"""),37750)</f>
        <v>37750</v>
      </c>
      <c r="I562" s="2"/>
      <c r="J562" s="2"/>
      <c r="K562" s="2" t="str">
        <f ca="1">IFERROR(__xludf.DUMMYFUNCTION("""COMPUTED_VALUE"""),"Recarga Fermentando")</f>
        <v>Recarga Fermentando</v>
      </c>
      <c r="L562" s="2"/>
      <c r="M562" s="2"/>
    </row>
    <row r="563" spans="1:13" x14ac:dyDescent="0.25">
      <c r="A563" s="2" t="str">
        <f ca="1">IFERROR(__xludf.DUMMYFUNCTION("""COMPUTED_VALUE"""),"dc3a84e1")</f>
        <v>dc3a84e1</v>
      </c>
      <c r="B563" s="2"/>
      <c r="C563" s="5">
        <f ca="1">IFERROR(__xludf.DUMMYFUNCTION("""COMPUTED_VALUE"""),45764.5388078703)</f>
        <v>45764.538807870304</v>
      </c>
      <c r="D563" s="2">
        <f ca="1">IFERROR(__xludf.DUMMYFUNCTION("""COMPUTED_VALUE"""),28)</f>
        <v>28</v>
      </c>
      <c r="E563" s="2">
        <f ca="1">IFERROR(__xludf.DUMMYFUNCTION("""COMPUTED_VALUE"""),216000)</f>
        <v>216000</v>
      </c>
      <c r="F563" s="2" t="str">
        <f ca="1">IFERROR(__xludf.DUMMYFUNCTION("""COMPUTED_VALUE"""),"Bonarda")</f>
        <v>Bonarda</v>
      </c>
      <c r="G563" s="2">
        <f ca="1">IFERROR(__xludf.DUMMYFUNCTION("""COMPUTED_VALUE"""),163000)</f>
        <v>163000</v>
      </c>
      <c r="H563" s="2">
        <f ca="1">IFERROR(__xludf.DUMMYFUNCTION("""COMPUTED_VALUE"""),174700)</f>
        <v>174700</v>
      </c>
      <c r="I563" s="2"/>
      <c r="J563" s="2"/>
      <c r="K563" s="2" t="str">
        <f ca="1">IFERROR(__xludf.DUMMYFUNCTION("""COMPUTED_VALUE"""),"Descubada")</f>
        <v>Descubada</v>
      </c>
      <c r="L563" s="2"/>
      <c r="M563" s="2"/>
    </row>
    <row r="564" spans="1:13" x14ac:dyDescent="0.25">
      <c r="A564" s="2" t="str">
        <f ca="1">IFERROR(__xludf.DUMMYFUNCTION("""COMPUTED_VALUE"""),"f5552916")</f>
        <v>f5552916</v>
      </c>
      <c r="B564" s="2"/>
      <c r="C564" s="5">
        <f ca="1">IFERROR(__xludf.DUMMYFUNCTION("""COMPUTED_VALUE"""),45764.5407638888)</f>
        <v>45764.540763888799</v>
      </c>
      <c r="D564" s="2">
        <f ca="1">IFERROR(__xludf.DUMMYFUNCTION("""COMPUTED_VALUE"""),85)</f>
        <v>85</v>
      </c>
      <c r="E564" s="2">
        <f ca="1">IFERROR(__xludf.DUMMYFUNCTION("""COMPUTED_VALUE"""),84000)</f>
        <v>84000</v>
      </c>
      <c r="F564" s="2" t="str">
        <f ca="1">IFERROR(__xludf.DUMMYFUNCTION("""COMPUTED_VALUE"""),"Bonarda Gota")</f>
        <v>Bonarda Gota</v>
      </c>
      <c r="G564" s="2">
        <f ca="1">IFERROR(__xludf.DUMMYFUNCTION("""COMPUTED_VALUE"""),0)</f>
        <v>0</v>
      </c>
      <c r="H564" s="2">
        <f ca="1">IFERROR(__xludf.DUMMYFUNCTION("""COMPUTED_VALUE"""),41000)</f>
        <v>41000</v>
      </c>
      <c r="I564" s="2"/>
      <c r="J564" s="2"/>
      <c r="K564" s="2" t="str">
        <f ca="1">IFERROR(__xludf.DUMMYFUNCTION("""COMPUTED_VALUE"""),"Descubada")</f>
        <v>Descubada</v>
      </c>
      <c r="L564" s="2"/>
      <c r="M564" s="2"/>
    </row>
    <row r="565" spans="1:13" x14ac:dyDescent="0.25">
      <c r="A565" s="2" t="str">
        <f ca="1">IFERROR(__xludf.DUMMYFUNCTION("""COMPUTED_VALUE"""),"247bde06")</f>
        <v>247bde06</v>
      </c>
      <c r="B565" s="2"/>
      <c r="C565" s="5">
        <f ca="1">IFERROR(__xludf.DUMMYFUNCTION("""COMPUTED_VALUE"""),45764.5433680555)</f>
        <v>45764.5433680555</v>
      </c>
      <c r="D565" s="2">
        <f ca="1">IFERROR(__xludf.DUMMYFUNCTION("""COMPUTED_VALUE"""),78)</f>
        <v>78</v>
      </c>
      <c r="E565" s="2">
        <f ca="1">IFERROR(__xludf.DUMMYFUNCTION("""COMPUTED_VALUE"""),25800)</f>
        <v>25800</v>
      </c>
      <c r="F565" s="2" t="str">
        <f ca="1">IFERROR(__xludf.DUMMYFUNCTION("""COMPUTED_VALUE"""),"Tinto s/Bonarda")</f>
        <v>Tinto s/Bonarda</v>
      </c>
      <c r="G565" s="2">
        <f ca="1">IFERROR(__xludf.DUMMYFUNCTION("""COMPUTED_VALUE"""),5000)</f>
        <v>5000</v>
      </c>
      <c r="H565" s="2">
        <f ca="1">IFERROR(__xludf.DUMMYFUNCTION("""COMPUTED_VALUE"""),14800)</f>
        <v>14800</v>
      </c>
      <c r="I565" s="2"/>
      <c r="J565" s="2"/>
      <c r="K565" s="2" t="str">
        <f ca="1">IFERROR(__xludf.DUMMYFUNCTION("""COMPUTED_VALUE"""),"Recarga Fermentando")</f>
        <v>Recarga Fermentando</v>
      </c>
      <c r="L565" s="2"/>
      <c r="M565" s="2"/>
    </row>
    <row r="566" spans="1:13" x14ac:dyDescent="0.25">
      <c r="A566" s="2" t="str">
        <f ca="1">IFERROR(__xludf.DUMMYFUNCTION("""COMPUTED_VALUE"""),"714d2433")</f>
        <v>714d2433</v>
      </c>
      <c r="B566" s="2"/>
      <c r="C566" s="5">
        <f ca="1">IFERROR(__xludf.DUMMYFUNCTION("""COMPUTED_VALUE"""),45764.5453587963)</f>
        <v>45764.545358796298</v>
      </c>
      <c r="D566" s="2">
        <f ca="1">IFERROR(__xludf.DUMMYFUNCTION("""COMPUTED_VALUE"""),86)</f>
        <v>86</v>
      </c>
      <c r="E566" s="2">
        <f ca="1">IFERROR(__xludf.DUMMYFUNCTION("""COMPUTED_VALUE"""),88000)</f>
        <v>88000</v>
      </c>
      <c r="F566" s="2" t="str">
        <f ca="1">IFERROR(__xludf.DUMMYFUNCTION("""COMPUTED_VALUE"""),"Tinto s/Bonarda")</f>
        <v>Tinto s/Bonarda</v>
      </c>
      <c r="G566" s="2">
        <f ca="1">IFERROR(__xludf.DUMMYFUNCTION("""COMPUTED_VALUE"""),17500)</f>
        <v>17500</v>
      </c>
      <c r="H566" s="2">
        <f ca="1">IFERROR(__xludf.DUMMYFUNCTION("""COMPUTED_VALUE"""),45100)</f>
        <v>45100</v>
      </c>
      <c r="I566" s="2"/>
      <c r="J566" s="2"/>
      <c r="K566" s="2" t="str">
        <f ca="1">IFERROR(__xludf.DUMMYFUNCTION("""COMPUTED_VALUE"""),"Recarga Fermentando")</f>
        <v>Recarga Fermentando</v>
      </c>
      <c r="L566" s="2"/>
      <c r="M566" s="2"/>
    </row>
    <row r="567" spans="1:13" x14ac:dyDescent="0.25">
      <c r="A567" s="2" t="str">
        <f ca="1">IFERROR(__xludf.DUMMYFUNCTION("""COMPUTED_VALUE"""),"62e7b644")</f>
        <v>62e7b644</v>
      </c>
      <c r="B567" s="2"/>
      <c r="C567" s="5">
        <f ca="1">IFERROR(__xludf.DUMMYFUNCTION("""COMPUTED_VALUE"""),45764.5462962963)</f>
        <v>45764.546296296299</v>
      </c>
      <c r="D567" s="2">
        <f ca="1">IFERROR(__xludf.DUMMYFUNCTION("""COMPUTED_VALUE"""),72)</f>
        <v>72</v>
      </c>
      <c r="E567" s="2">
        <f ca="1">IFERROR(__xludf.DUMMYFUNCTION("""COMPUTED_VALUE"""),13000)</f>
        <v>13000</v>
      </c>
      <c r="F567" s="2" t="str">
        <f ca="1">IFERROR(__xludf.DUMMYFUNCTION("""COMPUTED_VALUE"""),"Chardonnay")</f>
        <v>Chardonnay</v>
      </c>
      <c r="G567" s="2">
        <f ca="1">IFERROR(__xludf.DUMMYFUNCTION("""COMPUTED_VALUE"""),0)</f>
        <v>0</v>
      </c>
      <c r="H567" s="2">
        <f ca="1">IFERROR(__xludf.DUMMYFUNCTION("""COMPUTED_VALUE"""),7200)</f>
        <v>7200</v>
      </c>
      <c r="I567" s="2"/>
      <c r="J567" s="2"/>
      <c r="K567" s="2" t="str">
        <f ca="1">IFERROR(__xludf.DUMMYFUNCTION("""COMPUTED_VALUE"""),"Fermentando")</f>
        <v>Fermentando</v>
      </c>
      <c r="L567" s="2"/>
      <c r="M567" s="2"/>
    </row>
    <row r="568" spans="1:13" x14ac:dyDescent="0.25">
      <c r="A568" s="2" t="str">
        <f ca="1">IFERROR(__xludf.DUMMYFUNCTION("""COMPUTED_VALUE"""),"2c86b729")</f>
        <v>2c86b729</v>
      </c>
      <c r="B568" s="2"/>
      <c r="C568" s="5">
        <f ca="1">IFERROR(__xludf.DUMMYFUNCTION("""COMPUTED_VALUE"""),45764.546724537)</f>
        <v>45764.546724537002</v>
      </c>
      <c r="D568" s="2"/>
      <c r="E568" s="2"/>
      <c r="F568" s="2" t="str">
        <f ca="1">IFERROR(__xludf.DUMMYFUNCTION("""COMPUTED_VALUE"""),"Gota y presna")</f>
        <v>Gota y presna</v>
      </c>
      <c r="G568" s="2"/>
      <c r="H568" s="2">
        <f ca="1">IFERROR(__xludf.DUMMYFUNCTION("""COMPUTED_VALUE"""),0)</f>
        <v>0</v>
      </c>
      <c r="I568" s="2"/>
      <c r="J568" s="2"/>
      <c r="K568" s="2"/>
      <c r="L568" s="2"/>
      <c r="M568" s="2"/>
    </row>
    <row r="569" spans="1:13" x14ac:dyDescent="0.25">
      <c r="A569" s="2" t="str">
        <f ca="1">IFERROR(__xludf.DUMMYFUNCTION("""COMPUTED_VALUE"""),"c98fe008")</f>
        <v>c98fe008</v>
      </c>
      <c r="B569" s="2"/>
      <c r="C569" s="5">
        <f ca="1">IFERROR(__xludf.DUMMYFUNCTION("""COMPUTED_VALUE"""),45764.5475810185)</f>
        <v>45764.547581018502</v>
      </c>
      <c r="D569" s="2">
        <f ca="1">IFERROR(__xludf.DUMMYFUNCTION("""COMPUTED_VALUE"""),72)</f>
        <v>72</v>
      </c>
      <c r="E569" s="2">
        <f ca="1">IFERROR(__xludf.DUMMYFUNCTION("""COMPUTED_VALUE"""),13000)</f>
        <v>13000</v>
      </c>
      <c r="F569" s="2" t="str">
        <f ca="1">IFERROR(__xludf.DUMMYFUNCTION("""COMPUTED_VALUE"""),"Chardonnay Late Harvest")</f>
        <v>Chardonnay Late Harvest</v>
      </c>
      <c r="G569" s="2">
        <f ca="1">IFERROR(__xludf.DUMMYFUNCTION("""COMPUTED_VALUE"""),7200)</f>
        <v>7200</v>
      </c>
      <c r="H569" s="2">
        <f ca="1">IFERROR(__xludf.DUMMYFUNCTION("""COMPUTED_VALUE"""),11400)</f>
        <v>11400</v>
      </c>
      <c r="I569" s="2"/>
      <c r="J569" s="2"/>
      <c r="K569" s="2" t="str">
        <f ca="1">IFERROR(__xludf.DUMMYFUNCTION("""COMPUTED_VALUE"""),"Fermentando")</f>
        <v>Fermentando</v>
      </c>
      <c r="L569" s="2"/>
      <c r="M569" s="2"/>
    </row>
    <row r="570" spans="1:13" x14ac:dyDescent="0.25">
      <c r="A570" s="2" t="str">
        <f ca="1">IFERROR(__xludf.DUMMYFUNCTION("""COMPUTED_VALUE"""),"12faab19")</f>
        <v>12faab19</v>
      </c>
      <c r="B570" s="2"/>
      <c r="C570" s="5">
        <f ca="1">IFERROR(__xludf.DUMMYFUNCTION("""COMPUTED_VALUE"""),45764.5482060185)</f>
        <v>45764.548206018502</v>
      </c>
      <c r="D570" s="2">
        <f ca="1">IFERROR(__xludf.DUMMYFUNCTION("""COMPUTED_VALUE"""),83)</f>
        <v>83</v>
      </c>
      <c r="E570" s="2">
        <f ca="1">IFERROR(__xludf.DUMMYFUNCTION("""COMPUTED_VALUE"""),81500)</f>
        <v>81500</v>
      </c>
      <c r="F570" s="2" t="str">
        <f ca="1">IFERROR(__xludf.DUMMYFUNCTION("""COMPUTED_VALUE"""),"Criolla Flotada")</f>
        <v>Criolla Flotada</v>
      </c>
      <c r="G570" s="2"/>
      <c r="H570" s="2">
        <f ca="1">IFERROR(__xludf.DUMMYFUNCTION("""COMPUTED_VALUE"""),90000)</f>
        <v>90000</v>
      </c>
      <c r="I570" s="2"/>
      <c r="J570" s="2" t="str">
        <f ca="1">IFERROR(__xludf.DUMMYFUNCTION("""COMPUTED_VALUE"""),"6165 , 6164 , 6163 , 6162 , 6161 , 6160 , 6157 , 6154 , 6153 , 6151 , 6149 , 6150")</f>
        <v>6165 , 6164 , 6163 , 6162 , 6161 , 6160 , 6157 , 6154 , 6153 , 6151 , 6149 , 6150</v>
      </c>
      <c r="K570" s="2"/>
      <c r="L570" s="2"/>
      <c r="M570" s="2"/>
    </row>
    <row r="571" spans="1:13" x14ac:dyDescent="0.25">
      <c r="A571" s="2" t="str">
        <f ca="1">IFERROR(__xludf.DUMMYFUNCTION("""COMPUTED_VALUE"""),"6191710d")</f>
        <v>6191710d</v>
      </c>
      <c r="B571" s="2"/>
      <c r="C571" s="5">
        <f ca="1">IFERROR(__xludf.DUMMYFUNCTION("""COMPUTED_VALUE"""),45764.7427314814)</f>
        <v>45764.742731481398</v>
      </c>
      <c r="D571" s="2">
        <f ca="1">IFERROR(__xludf.DUMMYFUNCTION("""COMPUTED_VALUE"""),500)</f>
        <v>500</v>
      </c>
      <c r="E571" s="2">
        <f ca="1">IFERROR(__xludf.DUMMYFUNCTION("""COMPUTED_VALUE"""),200000)</f>
        <v>200000</v>
      </c>
      <c r="F571" s="2" t="str">
        <f ca="1">IFERROR(__xludf.DUMMYFUNCTION("""COMPUTED_VALUE"""),"Ajuste Arqueo 14/04/25")</f>
        <v>Ajuste Arqueo 14/04/25</v>
      </c>
      <c r="G571" s="2">
        <f ca="1">IFERROR(__xludf.DUMMYFUNCTION("""COMPUTED_VALUE"""),27201)</f>
        <v>27201</v>
      </c>
      <c r="H571" s="2">
        <f ca="1">IFERROR(__xludf.DUMMYFUNCTION("""COMPUTED_VALUE"""),30201)</f>
        <v>30201</v>
      </c>
      <c r="I571" s="2"/>
      <c r="J571" s="2"/>
      <c r="K571" s="2" t="str">
        <f ca="1">IFERROR(__xludf.DUMMYFUNCTION("""COMPUTED_VALUE"""),"Descubada")</f>
        <v>Descubada</v>
      </c>
      <c r="L571" s="2"/>
      <c r="M571" s="2"/>
    </row>
    <row r="572" spans="1:13" x14ac:dyDescent="0.25">
      <c r="A572" s="2" t="str">
        <f ca="1">IFERROR(__xludf.DUMMYFUNCTION("""COMPUTED_VALUE"""),"df5e441f")</f>
        <v>df5e441f</v>
      </c>
      <c r="B572" s="2"/>
      <c r="C572" s="5">
        <f ca="1">IFERROR(__xludf.DUMMYFUNCTION("""COMPUTED_VALUE"""),45764.7438773148)</f>
        <v>45764.743877314802</v>
      </c>
      <c r="D572" s="2">
        <f ca="1">IFERROR(__xludf.DUMMYFUNCTION("""COMPUTED_VALUE"""),76)</f>
        <v>76</v>
      </c>
      <c r="E572" s="2">
        <f ca="1">IFERROR(__xludf.DUMMYFUNCTION("""COMPUTED_VALUE"""),25500)</f>
        <v>25500</v>
      </c>
      <c r="F572" s="2" t="str">
        <f ca="1">IFERROR(__xludf.DUMMYFUNCTION("""COMPUTED_VALUE"""),"Malbec")</f>
        <v>Malbec</v>
      </c>
      <c r="G572" s="2">
        <f ca="1">IFERROR(__xludf.DUMMYFUNCTION("""COMPUTED_VALUE"""),19800)</f>
        <v>19800</v>
      </c>
      <c r="H572" s="2">
        <f ca="1">IFERROR(__xludf.DUMMYFUNCTION("""COMPUTED_VALUE"""),24800)</f>
        <v>24800</v>
      </c>
      <c r="I572" s="2"/>
      <c r="J572" s="2"/>
      <c r="K572" s="2" t="str">
        <f ca="1">IFERROR(__xludf.DUMMYFUNCTION("""COMPUTED_VALUE"""),"Fermentando")</f>
        <v>Fermentando</v>
      </c>
      <c r="L572" s="2"/>
      <c r="M572" s="2"/>
    </row>
    <row r="573" spans="1:13" x14ac:dyDescent="0.25">
      <c r="A573" s="2" t="str">
        <f ca="1">IFERROR(__xludf.DUMMYFUNCTION("""COMPUTED_VALUE"""),"5d344df8")</f>
        <v>5d344df8</v>
      </c>
      <c r="B573" s="2"/>
      <c r="C573" s="5">
        <f ca="1">IFERROR(__xludf.DUMMYFUNCTION("""COMPUTED_VALUE"""),45764.7455671296)</f>
        <v>45764.745567129597</v>
      </c>
      <c r="D573" s="2">
        <f ca="1">IFERROR(__xludf.DUMMYFUNCTION("""COMPUTED_VALUE"""),77)</f>
        <v>77</v>
      </c>
      <c r="E573" s="2">
        <f ca="1">IFERROR(__xludf.DUMMYFUNCTION("""COMPUTED_VALUE"""),26000)</f>
        <v>26000</v>
      </c>
      <c r="F573" s="2" t="str">
        <f ca="1">IFERROR(__xludf.DUMMYFUNCTION("""COMPUTED_VALUE"""),"Malbec")</f>
        <v>Malbec</v>
      </c>
      <c r="G573" s="2">
        <f ca="1">IFERROR(__xludf.DUMMYFUNCTION("""COMPUTED_VALUE"""),10500)</f>
        <v>10500</v>
      </c>
      <c r="H573" s="2">
        <f ca="1">IFERROR(__xludf.DUMMYFUNCTION("""COMPUTED_VALUE"""),16200)</f>
        <v>16200</v>
      </c>
      <c r="I573" s="2"/>
      <c r="J573" s="2"/>
      <c r="K573" s="2" t="str">
        <f ca="1">IFERROR(__xludf.DUMMYFUNCTION("""COMPUTED_VALUE"""),"Fermentando")</f>
        <v>Fermentando</v>
      </c>
      <c r="L573" s="2"/>
      <c r="M573" s="2"/>
    </row>
    <row r="574" spans="1:13" x14ac:dyDescent="0.25">
      <c r="A574" s="2" t="str">
        <f ca="1">IFERROR(__xludf.DUMMYFUNCTION("""COMPUTED_VALUE"""),"7501c185")</f>
        <v>7501c185</v>
      </c>
      <c r="B574" s="2"/>
      <c r="C574" s="5">
        <f ca="1">IFERROR(__xludf.DUMMYFUNCTION("""COMPUTED_VALUE"""),45764.7467013888)</f>
        <v>45764.746701388802</v>
      </c>
      <c r="D574" s="2">
        <f ca="1">IFERROR(__xludf.DUMMYFUNCTION("""COMPUTED_VALUE"""),500)</f>
        <v>500</v>
      </c>
      <c r="E574" s="2">
        <f ca="1">IFERROR(__xludf.DUMMYFUNCTION("""COMPUTED_VALUE"""),200000)</f>
        <v>200000</v>
      </c>
      <c r="F574" s="2" t="str">
        <f ca="1">IFERROR(__xludf.DUMMYFUNCTION("""COMPUTED_VALUE"""),"Ajuste Arqueo 14/04/25")</f>
        <v>Ajuste Arqueo 14/04/25</v>
      </c>
      <c r="G574" s="2">
        <f ca="1">IFERROR(__xludf.DUMMYFUNCTION("""COMPUTED_VALUE"""),30201)</f>
        <v>30201</v>
      </c>
      <c r="H574" s="2">
        <f ca="1">IFERROR(__xludf.DUMMYFUNCTION("""COMPUTED_VALUE"""),27201)</f>
        <v>27201</v>
      </c>
      <c r="I574" s="2" t="str">
        <f ca="1">IFERROR(__xludf.DUMMYFUNCTION("""COMPUTED_VALUE"""),"Total ajustado de la semana 27200")</f>
        <v>Total ajustado de la semana 27200</v>
      </c>
      <c r="J574" s="2"/>
      <c r="K574" s="2" t="str">
        <f ca="1">IFERROR(__xludf.DUMMYFUNCTION("""COMPUTED_VALUE"""),"Descubada")</f>
        <v>Descubada</v>
      </c>
      <c r="L574" s="2"/>
      <c r="M574" s="2"/>
    </row>
    <row r="575" spans="1:13" x14ac:dyDescent="0.25">
      <c r="A575" s="2" t="str">
        <f ca="1">IFERROR(__xludf.DUMMYFUNCTION("""COMPUTED_VALUE"""),"5a534180")</f>
        <v>5a534180</v>
      </c>
      <c r="B575" s="2"/>
      <c r="C575" s="5">
        <f ca="1">IFERROR(__xludf.DUMMYFUNCTION("""COMPUTED_VALUE"""),45764.8684027777)</f>
        <v>45764.868402777698</v>
      </c>
      <c r="D575" s="2">
        <f ca="1">IFERROR(__xludf.DUMMYFUNCTION("""COMPUTED_VALUE"""),125)</f>
        <v>125</v>
      </c>
      <c r="E575" s="2">
        <f ca="1">IFERROR(__xludf.DUMMYFUNCTION("""COMPUTED_VALUE"""),31000)</f>
        <v>31000</v>
      </c>
      <c r="F575" s="2" t="str">
        <f ca="1">IFERROR(__xludf.DUMMYFUNCTION("""COMPUTED_VALUE"""),"Tinto s/Bonarda")</f>
        <v>Tinto s/Bonarda</v>
      </c>
      <c r="G575" s="2">
        <f ca="1">IFERROR(__xludf.DUMMYFUNCTION("""COMPUTED_VALUE"""),0)</f>
        <v>0</v>
      </c>
      <c r="H575" s="2">
        <f ca="1">IFERROR(__xludf.DUMMYFUNCTION("""COMPUTED_VALUE"""),30500)</f>
        <v>30500</v>
      </c>
      <c r="I575" s="2"/>
      <c r="J575" s="2"/>
      <c r="K575" s="2" t="str">
        <f ca="1">IFERROR(__xludf.DUMMYFUNCTION("""COMPUTED_VALUE"""),"Descubada")</f>
        <v>Descubada</v>
      </c>
      <c r="L575" s="2"/>
      <c r="M575" s="2"/>
    </row>
    <row r="576" spans="1:13" x14ac:dyDescent="0.25">
      <c r="A576" s="2" t="str">
        <f ca="1">IFERROR(__xludf.DUMMYFUNCTION("""COMPUTED_VALUE"""),"781075f7")</f>
        <v>781075f7</v>
      </c>
      <c r="B576" s="2"/>
      <c r="C576" s="5">
        <f ca="1">IFERROR(__xludf.DUMMYFUNCTION("""COMPUTED_VALUE"""),45764.8691435185)</f>
        <v>45764.869143518503</v>
      </c>
      <c r="D576" s="2">
        <f ca="1">IFERROR(__xludf.DUMMYFUNCTION("""COMPUTED_VALUE"""),126)</f>
        <v>126</v>
      </c>
      <c r="E576" s="2">
        <f ca="1">IFERROR(__xludf.DUMMYFUNCTION("""COMPUTED_VALUE"""),31000)</f>
        <v>31000</v>
      </c>
      <c r="F576" s="2" t="str">
        <f ca="1">IFERROR(__xludf.DUMMYFUNCTION("""COMPUTED_VALUE"""),"Tinto s/Bonarda")</f>
        <v>Tinto s/Bonarda</v>
      </c>
      <c r="G576" s="2">
        <f ca="1">IFERROR(__xludf.DUMMYFUNCTION("""COMPUTED_VALUE"""),0)</f>
        <v>0</v>
      </c>
      <c r="H576" s="2">
        <f ca="1">IFERROR(__xludf.DUMMYFUNCTION("""COMPUTED_VALUE"""),30500)</f>
        <v>30500</v>
      </c>
      <c r="I576" s="2"/>
      <c r="J576" s="2"/>
      <c r="K576" s="2" t="str">
        <f ca="1">IFERROR(__xludf.DUMMYFUNCTION("""COMPUTED_VALUE"""),"Descubada")</f>
        <v>Descubada</v>
      </c>
      <c r="L576" s="2"/>
      <c r="M576" s="2"/>
    </row>
    <row r="577" spans="1:13" x14ac:dyDescent="0.25">
      <c r="A577" s="2" t="str">
        <f ca="1">IFERROR(__xludf.DUMMYFUNCTION("""COMPUTED_VALUE"""),"33a1ed47")</f>
        <v>33a1ed47</v>
      </c>
      <c r="B577" s="2"/>
      <c r="C577" s="5">
        <f ca="1">IFERROR(__xludf.DUMMYFUNCTION("""COMPUTED_VALUE"""),45764.8705208333)</f>
        <v>45764.870520833298</v>
      </c>
      <c r="D577" s="2">
        <f ca="1">IFERROR(__xludf.DUMMYFUNCTION("""COMPUTED_VALUE"""),90)</f>
        <v>90</v>
      </c>
      <c r="E577" s="2">
        <f ca="1">IFERROR(__xludf.DUMMYFUNCTION("""COMPUTED_VALUE"""),97500)</f>
        <v>97500</v>
      </c>
      <c r="F577" s="2" t="str">
        <f ca="1">IFERROR(__xludf.DUMMYFUNCTION("""COMPUTED_VALUE"""),"Tinto s/Bonarda 2da")</f>
        <v>Tinto s/Bonarda 2da</v>
      </c>
      <c r="G577" s="2">
        <f ca="1">IFERROR(__xludf.DUMMYFUNCTION("""COMPUTED_VALUE"""),21100)</f>
        <v>21100</v>
      </c>
      <c r="H577" s="2">
        <f ca="1">IFERROR(__xludf.DUMMYFUNCTION("""COMPUTED_VALUE"""),56700)</f>
        <v>56700</v>
      </c>
      <c r="I577" s="2"/>
      <c r="J577" s="2"/>
      <c r="K577" s="2" t="str">
        <f ca="1">IFERROR(__xludf.DUMMYFUNCTION("""COMPUTED_VALUE"""),"Recarga Fermentando")</f>
        <v>Recarga Fermentando</v>
      </c>
      <c r="L577" s="2"/>
      <c r="M577" s="2"/>
    </row>
    <row r="578" spans="1:13" x14ac:dyDescent="0.25">
      <c r="A578" s="2" t="str">
        <f ca="1">IFERROR(__xludf.DUMMYFUNCTION("""COMPUTED_VALUE"""),"b0d32d3c")</f>
        <v>b0d32d3c</v>
      </c>
      <c r="B578" s="2"/>
      <c r="C578" s="5">
        <f ca="1">IFERROR(__xludf.DUMMYFUNCTION("""COMPUTED_VALUE"""),45764.8712384259)</f>
        <v>45764.871238425898</v>
      </c>
      <c r="D578" s="2">
        <f ca="1">IFERROR(__xludf.DUMMYFUNCTION("""COMPUTED_VALUE"""),91)</f>
        <v>91</v>
      </c>
      <c r="E578" s="2">
        <f ca="1">IFERROR(__xludf.DUMMYFUNCTION("""COMPUTED_VALUE"""),86000)</f>
        <v>86000</v>
      </c>
      <c r="F578" s="2" t="str">
        <f ca="1">IFERROR(__xludf.DUMMYFUNCTION("""COMPUTED_VALUE"""),"Tinto s/Bonarda 2da")</f>
        <v>Tinto s/Bonarda 2da</v>
      </c>
      <c r="G578" s="2">
        <f ca="1">IFERROR(__xludf.DUMMYFUNCTION("""COMPUTED_VALUE"""),14300)</f>
        <v>14300</v>
      </c>
      <c r="H578" s="2">
        <f ca="1">IFERROR(__xludf.DUMMYFUNCTION("""COMPUTED_VALUE"""),49300)</f>
        <v>49300</v>
      </c>
      <c r="I578" s="2"/>
      <c r="J578" s="2"/>
      <c r="K578" s="2" t="str">
        <f ca="1">IFERROR(__xludf.DUMMYFUNCTION("""COMPUTED_VALUE"""),"Recarga Fermentando")</f>
        <v>Recarga Fermentando</v>
      </c>
      <c r="L578" s="2"/>
      <c r="M578" s="2"/>
    </row>
    <row r="579" spans="1:13" x14ac:dyDescent="0.25">
      <c r="A579" s="2" t="str">
        <f ca="1">IFERROR(__xludf.DUMMYFUNCTION("""COMPUTED_VALUE"""),"d2947d93")</f>
        <v>d2947d93</v>
      </c>
      <c r="B579" s="2"/>
      <c r="C579" s="5">
        <f ca="1">IFERROR(__xludf.DUMMYFUNCTION("""COMPUTED_VALUE"""),45764.8752199074)</f>
        <v>45764.875219907401</v>
      </c>
      <c r="D579" s="2">
        <f ca="1">IFERROR(__xludf.DUMMYFUNCTION("""COMPUTED_VALUE"""),45)</f>
        <v>45</v>
      </c>
      <c r="E579" s="2">
        <f ca="1">IFERROR(__xludf.DUMMYFUNCTION("""COMPUTED_VALUE"""),30000)</f>
        <v>30000</v>
      </c>
      <c r="F579" s="2" t="str">
        <f ca="1">IFERROR(__xludf.DUMMYFUNCTION("""COMPUTED_VALUE"""),"Tinto s/Bonarda")</f>
        <v>Tinto s/Bonarda</v>
      </c>
      <c r="G579" s="2">
        <f ca="1">IFERROR(__xludf.DUMMYFUNCTION("""COMPUTED_VALUE"""),0)</f>
        <v>0</v>
      </c>
      <c r="H579" s="2">
        <f ca="1">IFERROR(__xludf.DUMMYFUNCTION("""COMPUTED_VALUE"""),23000)</f>
        <v>23000</v>
      </c>
      <c r="I579" s="2" t="str">
        <f ca="1">IFERROR(__xludf.DUMMYFUNCTION("""COMPUTED_VALUE"""),"22/4 hay que controlar AZ")</f>
        <v>22/4 hay que controlar AZ</v>
      </c>
      <c r="J579" s="2"/>
      <c r="K579" s="2" t="str">
        <f ca="1">IFERROR(__xludf.DUMMYFUNCTION("""COMPUTED_VALUE"""),"Descubada")</f>
        <v>Descubada</v>
      </c>
      <c r="L579" s="2"/>
      <c r="M579" s="2"/>
    </row>
    <row r="580" spans="1:13" x14ac:dyDescent="0.25">
      <c r="A580" s="2" t="str">
        <f ca="1">IFERROR(__xludf.DUMMYFUNCTION("""COMPUTED_VALUE"""),"88134c0a")</f>
        <v>88134c0a</v>
      </c>
      <c r="B580" s="2"/>
      <c r="C580" s="5">
        <f ca="1">IFERROR(__xludf.DUMMYFUNCTION("""COMPUTED_VALUE"""),45764.8757291666)</f>
        <v>45764.875729166597</v>
      </c>
      <c r="D580" s="2">
        <f ca="1">IFERROR(__xludf.DUMMYFUNCTION("""COMPUTED_VALUE"""),84)</f>
        <v>84</v>
      </c>
      <c r="E580" s="2">
        <f ca="1">IFERROR(__xludf.DUMMYFUNCTION("""COMPUTED_VALUE"""),83000)</f>
        <v>83000</v>
      </c>
      <c r="F580" s="2" t="str">
        <f ca="1">IFERROR(__xludf.DUMMYFUNCTION("""COMPUTED_VALUE"""),"Tinto s/Bonarda 2da")</f>
        <v>Tinto s/Bonarda 2da</v>
      </c>
      <c r="G580" s="2">
        <f ca="1">IFERROR(__xludf.DUMMYFUNCTION("""COMPUTED_VALUE"""),10000)</f>
        <v>10000</v>
      </c>
      <c r="H580" s="2">
        <f ca="1">IFERROR(__xludf.DUMMYFUNCTION("""COMPUTED_VALUE"""),40000)</f>
        <v>40000</v>
      </c>
      <c r="I580" s="2"/>
      <c r="J580" s="2"/>
      <c r="K580" s="2" t="str">
        <f ca="1">IFERROR(__xludf.DUMMYFUNCTION("""COMPUTED_VALUE"""),"Recarga Fermentando")</f>
        <v>Recarga Fermentando</v>
      </c>
      <c r="L580" s="2"/>
      <c r="M580" s="2"/>
    </row>
    <row r="581" spans="1:13" x14ac:dyDescent="0.25">
      <c r="A581" s="2" t="str">
        <f ca="1">IFERROR(__xludf.DUMMYFUNCTION("""COMPUTED_VALUE"""),"e0ab57bf")</f>
        <v>e0ab57bf</v>
      </c>
      <c r="B581" s="2"/>
      <c r="C581" s="5">
        <f ca="1">IFERROR(__xludf.DUMMYFUNCTION("""COMPUTED_VALUE"""),45766.5210648148)</f>
        <v>45766.521064814799</v>
      </c>
      <c r="D581" s="2">
        <f ca="1">IFERROR(__xludf.DUMMYFUNCTION("""COMPUTED_VALUE"""),87)</f>
        <v>87</v>
      </c>
      <c r="E581" s="2">
        <f ca="1">IFERROR(__xludf.DUMMYFUNCTION("""COMPUTED_VALUE"""),93700)</f>
        <v>93700</v>
      </c>
      <c r="F581" s="2" t="str">
        <f ca="1">IFERROR(__xludf.DUMMYFUNCTION("""COMPUTED_VALUE"""),"Malbec")</f>
        <v>Malbec</v>
      </c>
      <c r="G581" s="2">
        <f ca="1">IFERROR(__xludf.DUMMYFUNCTION("""COMPUTED_VALUE"""),0)</f>
        <v>0</v>
      </c>
      <c r="H581" s="2">
        <f ca="1">IFERROR(__xludf.DUMMYFUNCTION("""COMPUTED_VALUE"""),60800)</f>
        <v>60800</v>
      </c>
      <c r="I581" s="2"/>
      <c r="J581" s="2"/>
      <c r="K581" s="2" t="str">
        <f ca="1">IFERROR(__xludf.DUMMYFUNCTION("""COMPUTED_VALUE"""),"Descubada")</f>
        <v>Descubada</v>
      </c>
      <c r="L581" s="2"/>
      <c r="M581" s="2"/>
    </row>
    <row r="582" spans="1:13" x14ac:dyDescent="0.25">
      <c r="A582" s="2" t="str">
        <f ca="1">IFERROR(__xludf.DUMMYFUNCTION("""COMPUTED_VALUE"""),"8d234d23")</f>
        <v>8d234d23</v>
      </c>
      <c r="B582" s="2"/>
      <c r="C582" s="5">
        <f ca="1">IFERROR(__xludf.DUMMYFUNCTION("""COMPUTED_VALUE"""),45766.5217824074)</f>
        <v>45766.521782407399</v>
      </c>
      <c r="D582" s="2">
        <f ca="1">IFERROR(__xludf.DUMMYFUNCTION("""COMPUTED_VALUE"""),87)</f>
        <v>87</v>
      </c>
      <c r="E582" s="2">
        <f ca="1">IFERROR(__xludf.DUMMYFUNCTION("""COMPUTED_VALUE"""),93700)</f>
        <v>93700</v>
      </c>
      <c r="F582" s="2" t="str">
        <f ca="1">IFERROR(__xludf.DUMMYFUNCTION("""COMPUTED_VALUE"""),"Malbec")</f>
        <v>Malbec</v>
      </c>
      <c r="G582" s="2">
        <f ca="1">IFERROR(__xludf.DUMMYFUNCTION("""COMPUTED_VALUE"""),60800)</f>
        <v>60800</v>
      </c>
      <c r="H582" s="2">
        <f ca="1">IFERROR(__xludf.DUMMYFUNCTION("""COMPUTED_VALUE"""),78600)</f>
        <v>78600</v>
      </c>
      <c r="I582" s="2"/>
      <c r="J582" s="2"/>
      <c r="K582" s="2" t="str">
        <f ca="1">IFERROR(__xludf.DUMMYFUNCTION("""COMPUTED_VALUE"""),"Descubada")</f>
        <v>Descubada</v>
      </c>
      <c r="L582" s="2"/>
      <c r="M582" s="2"/>
    </row>
    <row r="583" spans="1:13" x14ac:dyDescent="0.25">
      <c r="A583" s="2" t="str">
        <f ca="1">IFERROR(__xludf.DUMMYFUNCTION("""COMPUTED_VALUE"""),"bcf45804")</f>
        <v>bcf45804</v>
      </c>
      <c r="B583" s="2"/>
      <c r="C583" s="5">
        <f ca="1">IFERROR(__xludf.DUMMYFUNCTION("""COMPUTED_VALUE"""),45766.5246412037)</f>
        <v>45766.524641203701</v>
      </c>
      <c r="D583" s="2">
        <f ca="1">IFERROR(__xludf.DUMMYFUNCTION("""COMPUTED_VALUE"""),87)</f>
        <v>87</v>
      </c>
      <c r="E583" s="2">
        <f ca="1">IFERROR(__xludf.DUMMYFUNCTION("""COMPUTED_VALUE"""),93700)</f>
        <v>93700</v>
      </c>
      <c r="F583" s="2" t="str">
        <f ca="1">IFERROR(__xludf.DUMMYFUNCTION("""COMPUTED_VALUE"""),"Malbec")</f>
        <v>Malbec</v>
      </c>
      <c r="G583" s="2">
        <f ca="1">IFERROR(__xludf.DUMMYFUNCTION("""COMPUTED_VALUE"""),78600)</f>
        <v>78600</v>
      </c>
      <c r="H583" s="2">
        <f ca="1">IFERROR(__xludf.DUMMYFUNCTION("""COMPUTED_VALUE"""),93700)</f>
        <v>93700</v>
      </c>
      <c r="I583" s="2"/>
      <c r="J583" s="2"/>
      <c r="K583" s="2" t="str">
        <f ca="1">IFERROR(__xludf.DUMMYFUNCTION("""COMPUTED_VALUE"""),"Descubada")</f>
        <v>Descubada</v>
      </c>
      <c r="L583" s="2" t="str">
        <f ca="1">IFERROR(__xludf.DUMMYFUNCTION("""COMPUTED_VALUE"""),"1-")</f>
        <v>1-</v>
      </c>
      <c r="M583" s="2"/>
    </row>
    <row r="584" spans="1:13" x14ac:dyDescent="0.25">
      <c r="A584" s="2" t="str">
        <f ca="1">IFERROR(__xludf.DUMMYFUNCTION("""COMPUTED_VALUE"""),"4c9ff21e")</f>
        <v>4c9ff21e</v>
      </c>
      <c r="B584" s="2"/>
      <c r="C584" s="5">
        <f ca="1">IFERROR(__xludf.DUMMYFUNCTION("""COMPUTED_VALUE"""),45766.5251967592)</f>
        <v>45766.525196759198</v>
      </c>
      <c r="D584" s="2">
        <f ca="1">IFERROR(__xludf.DUMMYFUNCTION("""COMPUTED_VALUE"""),935)</f>
        <v>935</v>
      </c>
      <c r="E584" s="2">
        <f ca="1">IFERROR(__xludf.DUMMYFUNCTION("""COMPUTED_VALUE"""),11200)</f>
        <v>11200</v>
      </c>
      <c r="F584" s="2" t="str">
        <f ca="1">IFERROR(__xludf.DUMMYFUNCTION("""COMPUTED_VALUE"""),"Borra")</f>
        <v>Borra</v>
      </c>
      <c r="G584" s="2">
        <f ca="1">IFERROR(__xludf.DUMMYFUNCTION("""COMPUTED_VALUE"""),6000)</f>
        <v>6000</v>
      </c>
      <c r="H584" s="2">
        <f ca="1">IFERROR(__xludf.DUMMYFUNCTION("""COMPUTED_VALUE"""),9000)</f>
        <v>9000</v>
      </c>
      <c r="I584" s="2"/>
      <c r="J584" s="2"/>
      <c r="K584" s="2" t="str">
        <f ca="1">IFERROR(__xludf.DUMMYFUNCTION("""COMPUTED_VALUE"""),"Descubada")</f>
        <v>Descubada</v>
      </c>
      <c r="L584" s="2"/>
      <c r="M584" s="2"/>
    </row>
    <row r="585" spans="1:13" x14ac:dyDescent="0.25">
      <c r="A585" s="2" t="str">
        <f ca="1">IFERROR(__xludf.DUMMYFUNCTION("""COMPUTED_VALUE"""),"65ce6f3f")</f>
        <v>65ce6f3f</v>
      </c>
      <c r="B585" s="2"/>
      <c r="C585" s="5">
        <f ca="1">IFERROR(__xludf.DUMMYFUNCTION("""COMPUTED_VALUE"""),45768.475324074)</f>
        <v>45768.475324074003</v>
      </c>
      <c r="D585" s="2">
        <f ca="1">IFERROR(__xludf.DUMMYFUNCTION("""COMPUTED_VALUE"""),41)</f>
        <v>41</v>
      </c>
      <c r="E585" s="2">
        <f ca="1">IFERROR(__xludf.DUMMYFUNCTION("""COMPUTED_VALUE"""),35100)</f>
        <v>35100</v>
      </c>
      <c r="F585" s="2" t="str">
        <f ca="1">IFERROR(__xludf.DUMMYFUNCTION("""COMPUTED_VALUE"""),"Malbec")</f>
        <v>Malbec</v>
      </c>
      <c r="G585" s="2">
        <f ca="1">IFERROR(__xludf.DUMMYFUNCTION("""COMPUTED_VALUE"""),0)</f>
        <v>0</v>
      </c>
      <c r="H585" s="2">
        <f ca="1">IFERROR(__xludf.DUMMYFUNCTION("""COMPUTED_VALUE"""),35100)</f>
        <v>35100</v>
      </c>
      <c r="I585" s="2" t="str">
        <f ca="1">IFERROR(__xludf.DUMMYFUNCTION("""COMPUTED_VALUE"""),"vegetal")</f>
        <v>vegetal</v>
      </c>
      <c r="J585" s="2"/>
      <c r="K585" s="2" t="str">
        <f ca="1">IFERROR(__xludf.DUMMYFUNCTION("""COMPUTED_VALUE"""),"Descubada")</f>
        <v>Descubada</v>
      </c>
      <c r="L585" s="2" t="str">
        <f ca="1">IFERROR(__xludf.DUMMYFUNCTION("""COMPUTED_VALUE"""),"2+")</f>
        <v>2+</v>
      </c>
      <c r="M585" s="2"/>
    </row>
    <row r="586" spans="1:13" x14ac:dyDescent="0.25">
      <c r="A586" s="2" t="str">
        <f ca="1">IFERROR(__xludf.DUMMYFUNCTION("""COMPUTED_VALUE"""),"e580a9d5")</f>
        <v>e580a9d5</v>
      </c>
      <c r="B586" s="2"/>
      <c r="C586" s="5">
        <f ca="1">IFERROR(__xludf.DUMMYFUNCTION("""COMPUTED_VALUE"""),45768.4758564814)</f>
        <v>45768.475856481396</v>
      </c>
      <c r="D586" s="2">
        <f ca="1">IFERROR(__xludf.DUMMYFUNCTION("""COMPUTED_VALUE"""),54)</f>
        <v>54</v>
      </c>
      <c r="E586" s="2">
        <f ca="1">IFERROR(__xludf.DUMMYFUNCTION("""COMPUTED_VALUE"""),22900)</f>
        <v>22900</v>
      </c>
      <c r="F586" s="2" t="str">
        <f ca="1">IFERROR(__xludf.DUMMYFUNCTION("""COMPUTED_VALUE"""),"Malbec")</f>
        <v>Malbec</v>
      </c>
      <c r="G586" s="2">
        <f ca="1">IFERROR(__xludf.DUMMYFUNCTION("""COMPUTED_VALUE"""),0)</f>
        <v>0</v>
      </c>
      <c r="H586" s="2">
        <f ca="1">IFERROR(__xludf.DUMMYFUNCTION("""COMPUTED_VALUE"""),17700)</f>
        <v>17700</v>
      </c>
      <c r="I586" s="2" t="str">
        <f ca="1">IFERROR(__xludf.DUMMYFUNCTION("""COMPUTED_VALUE"""),"muy floja, muy bajo el pH, hay que corregir")</f>
        <v>muy floja, muy bajo el pH, hay que corregir</v>
      </c>
      <c r="J586" s="2"/>
      <c r="K586" s="2" t="str">
        <f ca="1">IFERROR(__xludf.DUMMYFUNCTION("""COMPUTED_VALUE"""),"Descubada")</f>
        <v>Descubada</v>
      </c>
      <c r="L586" s="2" t="str">
        <f ca="1">IFERROR(__xludf.DUMMYFUNCTION("""COMPUTED_VALUE"""),"2+")</f>
        <v>2+</v>
      </c>
      <c r="M586" s="2"/>
    </row>
    <row r="587" spans="1:13" x14ac:dyDescent="0.25">
      <c r="A587" s="2" t="str">
        <f ca="1">IFERROR(__xludf.DUMMYFUNCTION("""COMPUTED_VALUE"""),"0711f2d9")</f>
        <v>0711f2d9</v>
      </c>
      <c r="B587" s="2"/>
      <c r="C587" s="5">
        <f ca="1">IFERROR(__xludf.DUMMYFUNCTION("""COMPUTED_VALUE"""),45768.8131712962)</f>
        <v>45768.813171296199</v>
      </c>
      <c r="D587" s="2">
        <f ca="1">IFERROR(__xludf.DUMMYFUNCTION("""COMPUTED_VALUE"""),120)</f>
        <v>120</v>
      </c>
      <c r="E587" s="2">
        <f ca="1">IFERROR(__xludf.DUMMYFUNCTION("""COMPUTED_VALUE"""),88800)</f>
        <v>88800</v>
      </c>
      <c r="F587" s="2" t="str">
        <f ca="1">IFERROR(__xludf.DUMMYFUNCTION("""COMPUTED_VALUE"""),"Cabernet Sauvignon")</f>
        <v>Cabernet Sauvignon</v>
      </c>
      <c r="G587" s="2">
        <f ca="1">IFERROR(__xludf.DUMMYFUNCTION("""COMPUTED_VALUE"""),64500)</f>
        <v>64500</v>
      </c>
      <c r="H587" s="2">
        <f ca="1">IFERROR(__xludf.DUMMYFUNCTION("""COMPUTED_VALUE"""),88800)</f>
        <v>88800</v>
      </c>
      <c r="I587" s="2"/>
      <c r="J587" s="2"/>
      <c r="K587" s="2" t="str">
        <f ca="1">IFERROR(__xludf.DUMMYFUNCTION("""COMPUTED_VALUE"""),"Descubada")</f>
        <v>Descubada</v>
      </c>
      <c r="L587" s="2"/>
      <c r="M587" s="2"/>
    </row>
    <row r="588" spans="1:13" x14ac:dyDescent="0.25">
      <c r="A588" s="2" t="str">
        <f ca="1">IFERROR(__xludf.DUMMYFUNCTION("""COMPUTED_VALUE"""),"09f2a666")</f>
        <v>09f2a666</v>
      </c>
      <c r="B588" s="2"/>
      <c r="C588" s="5">
        <f ca="1">IFERROR(__xludf.DUMMYFUNCTION("""COMPUTED_VALUE"""),45768.8134259259)</f>
        <v>45768.813425925902</v>
      </c>
      <c r="D588" s="2">
        <f ca="1">IFERROR(__xludf.DUMMYFUNCTION("""COMPUTED_VALUE"""),89)</f>
        <v>89</v>
      </c>
      <c r="E588" s="2">
        <f ca="1">IFERROR(__xludf.DUMMYFUNCTION("""COMPUTED_VALUE"""),83500)</f>
        <v>83500</v>
      </c>
      <c r="F588" s="2" t="str">
        <f ca="1">IFERROR(__xludf.DUMMYFUNCTION("""COMPUTED_VALUE"""),"Cabernet Sauvignon")</f>
        <v>Cabernet Sauvignon</v>
      </c>
      <c r="G588" s="2">
        <f ca="1">IFERROR(__xludf.DUMMYFUNCTION("""COMPUTED_VALUE"""),0)</f>
        <v>0</v>
      </c>
      <c r="H588" s="2">
        <f ca="1">IFERROR(__xludf.DUMMYFUNCTION("""COMPUTED_VALUE"""),44200)</f>
        <v>44200</v>
      </c>
      <c r="I588" s="2"/>
      <c r="J588" s="2"/>
      <c r="K588" s="2" t="str">
        <f ca="1">IFERROR(__xludf.DUMMYFUNCTION("""COMPUTED_VALUE"""),"Descubada")</f>
        <v>Descubada</v>
      </c>
      <c r="L588" s="2"/>
      <c r="M588" s="2"/>
    </row>
    <row r="589" spans="1:13" x14ac:dyDescent="0.25">
      <c r="A589" s="2" t="str">
        <f ca="1">IFERROR(__xludf.DUMMYFUNCTION("""COMPUTED_VALUE"""),"425c8a1c")</f>
        <v>425c8a1c</v>
      </c>
      <c r="B589" s="2"/>
      <c r="C589" s="5">
        <f ca="1">IFERROR(__xludf.DUMMYFUNCTION("""COMPUTED_VALUE"""),45769.7114351851)</f>
        <v>45769.711435185098</v>
      </c>
      <c r="D589" s="2">
        <f ca="1">IFERROR(__xludf.DUMMYFUNCTION("""COMPUTED_VALUE"""),500)</f>
        <v>500</v>
      </c>
      <c r="E589" s="2">
        <f ca="1">IFERROR(__xludf.DUMMYFUNCTION("""COMPUTED_VALUE"""),200000)</f>
        <v>200000</v>
      </c>
      <c r="F589" s="2" t="str">
        <f ca="1">IFERROR(__xludf.DUMMYFUNCTION("""COMPUTED_VALUE"""),"Ajuste semana 22/04/25")</f>
        <v>Ajuste semana 22/04/25</v>
      </c>
      <c r="G589" s="2"/>
      <c r="H589" s="2">
        <f ca="1">IFERROR(__xludf.DUMMYFUNCTION("""COMPUTED_VALUE"""),1)</f>
        <v>1</v>
      </c>
      <c r="I589" s="2"/>
      <c r="J589" s="2"/>
      <c r="K589" s="2"/>
      <c r="L589" s="2"/>
      <c r="M589" s="2"/>
    </row>
    <row r="590" spans="1:13" x14ac:dyDescent="0.25">
      <c r="A590" s="2" t="str">
        <f ca="1">IFERROR(__xludf.DUMMYFUNCTION("""COMPUTED_VALUE"""),"d1326da2")</f>
        <v>d1326da2</v>
      </c>
      <c r="B590" s="2"/>
      <c r="C590" s="5">
        <f ca="1">IFERROR(__xludf.DUMMYFUNCTION("""COMPUTED_VALUE"""),45769.713136574)</f>
        <v>45769.713136573999</v>
      </c>
      <c r="D590" s="2">
        <f ca="1">IFERROR(__xludf.DUMMYFUNCTION("""COMPUTED_VALUE"""),500)</f>
        <v>500</v>
      </c>
      <c r="E590" s="2">
        <f ca="1">IFERROR(__xludf.DUMMYFUNCTION("""COMPUTED_VALUE"""),200000)</f>
        <v>200000</v>
      </c>
      <c r="F590" s="2" t="str">
        <f ca="1">IFERROR(__xludf.DUMMYFUNCTION("""COMPUTED_VALUE"""),"Ajuste semana 22/04/25")</f>
        <v>Ajuste semana 22/04/25</v>
      </c>
      <c r="G590" s="2">
        <f ca="1">IFERROR(__xludf.DUMMYFUNCTION("""COMPUTED_VALUE"""),1)</f>
        <v>1</v>
      </c>
      <c r="H590" s="2">
        <f ca="1">IFERROR(__xludf.DUMMYFUNCTION("""COMPUTED_VALUE"""),25001)</f>
        <v>25001</v>
      </c>
      <c r="I590" s="2"/>
      <c r="J590" s="2"/>
      <c r="K590" s="2"/>
      <c r="L590" s="2"/>
      <c r="M590" s="2"/>
    </row>
    <row r="591" spans="1:13" x14ac:dyDescent="0.25">
      <c r="A591" s="2" t="str">
        <f ca="1">IFERROR(__xludf.DUMMYFUNCTION("""COMPUTED_VALUE"""),"82a7be03")</f>
        <v>82a7be03</v>
      </c>
      <c r="B591" s="2"/>
      <c r="C591" s="5">
        <f ca="1">IFERROR(__xludf.DUMMYFUNCTION("""COMPUTED_VALUE"""),45769.7142708333)</f>
        <v>45769.714270833298</v>
      </c>
      <c r="D591" s="2">
        <f ca="1">IFERROR(__xludf.DUMMYFUNCTION("""COMPUTED_VALUE"""),89)</f>
        <v>89</v>
      </c>
      <c r="E591" s="2">
        <f ca="1">IFERROR(__xludf.DUMMYFUNCTION("""COMPUTED_VALUE"""),83500)</f>
        <v>83500</v>
      </c>
      <c r="F591" s="2" t="str">
        <f ca="1">IFERROR(__xludf.DUMMYFUNCTION("""COMPUTED_VALUE"""),"Cabernet Sauvignon")</f>
        <v>Cabernet Sauvignon</v>
      </c>
      <c r="G591" s="2">
        <f ca="1">IFERROR(__xludf.DUMMYFUNCTION("""COMPUTED_VALUE"""),19200)</f>
        <v>19200</v>
      </c>
      <c r="H591" s="2">
        <f ca="1">IFERROR(__xludf.DUMMYFUNCTION("""COMPUTED_VALUE"""),44200)</f>
        <v>44200</v>
      </c>
      <c r="I591" s="2"/>
      <c r="J591" s="2"/>
      <c r="K591" s="2" t="str">
        <f ca="1">IFERROR(__xludf.DUMMYFUNCTION("""COMPUTED_VALUE"""),"Descubada")</f>
        <v>Descubada</v>
      </c>
      <c r="L591" s="2"/>
      <c r="M591" s="2"/>
    </row>
    <row r="592" spans="1:13" x14ac:dyDescent="0.25">
      <c r="A592" s="2" t="str">
        <f ca="1">IFERROR(__xludf.DUMMYFUNCTION("""COMPUTED_VALUE"""),"b9fc1e21")</f>
        <v>b9fc1e21</v>
      </c>
      <c r="B592" s="2"/>
      <c r="C592" s="5">
        <f ca="1">IFERROR(__xludf.DUMMYFUNCTION("""COMPUTED_VALUE"""),45769.7150694444)</f>
        <v>45769.715069444399</v>
      </c>
      <c r="D592" s="2">
        <f ca="1">IFERROR(__xludf.DUMMYFUNCTION("""COMPUTED_VALUE"""),89)</f>
        <v>89</v>
      </c>
      <c r="E592" s="2">
        <f ca="1">IFERROR(__xludf.DUMMYFUNCTION("""COMPUTED_VALUE"""),83500)</f>
        <v>83500</v>
      </c>
      <c r="F592" s="2" t="str">
        <f ca="1">IFERROR(__xludf.DUMMYFUNCTION("""COMPUTED_VALUE"""),"Cabernet Sauvignon")</f>
        <v>Cabernet Sauvignon</v>
      </c>
      <c r="G592" s="2">
        <f ca="1">IFERROR(__xludf.DUMMYFUNCTION("""COMPUTED_VALUE"""),44200)</f>
        <v>44200</v>
      </c>
      <c r="H592" s="2">
        <f ca="1">IFERROR(__xludf.DUMMYFUNCTION("""COMPUTED_VALUE"""),56200)</f>
        <v>56200</v>
      </c>
      <c r="I592" s="2"/>
      <c r="J592" s="2"/>
      <c r="K592" s="2" t="str">
        <f ca="1">IFERROR(__xludf.DUMMYFUNCTION("""COMPUTED_VALUE"""),"Descubada")</f>
        <v>Descubada</v>
      </c>
      <c r="L592" s="2"/>
      <c r="M592" s="2"/>
    </row>
    <row r="593" spans="1:13" x14ac:dyDescent="0.25">
      <c r="A593" s="2" t="str">
        <f ca="1">IFERROR(__xludf.DUMMYFUNCTION("""COMPUTED_VALUE"""),"51f2e92d")</f>
        <v>51f2e92d</v>
      </c>
      <c r="B593" s="2"/>
      <c r="C593" s="5">
        <f ca="1">IFERROR(__xludf.DUMMYFUNCTION("""COMPUTED_VALUE"""),45769.716099537)</f>
        <v>45769.716099537</v>
      </c>
      <c r="D593" s="2">
        <f ca="1">IFERROR(__xludf.DUMMYFUNCTION("""COMPUTED_VALUE"""),89)</f>
        <v>89</v>
      </c>
      <c r="E593" s="2">
        <f ca="1">IFERROR(__xludf.DUMMYFUNCTION("""COMPUTED_VALUE"""),83500)</f>
        <v>83500</v>
      </c>
      <c r="F593" s="2" t="str">
        <f ca="1">IFERROR(__xludf.DUMMYFUNCTION("""COMPUTED_VALUE"""),"Cabernet Sauvignon")</f>
        <v>Cabernet Sauvignon</v>
      </c>
      <c r="G593" s="2">
        <f ca="1">IFERROR(__xludf.DUMMYFUNCTION("""COMPUTED_VALUE"""),56200)</f>
        <v>56200</v>
      </c>
      <c r="H593" s="2">
        <f ca="1">IFERROR(__xludf.DUMMYFUNCTION("""COMPUTED_VALUE"""),72700)</f>
        <v>72700</v>
      </c>
      <c r="I593" s="2"/>
      <c r="J593" s="2"/>
      <c r="K593" s="2" t="str">
        <f ca="1">IFERROR(__xludf.DUMMYFUNCTION("""COMPUTED_VALUE"""),"Descubada")</f>
        <v>Descubada</v>
      </c>
      <c r="L593" s="2"/>
      <c r="M593" s="2"/>
    </row>
    <row r="594" spans="1:13" x14ac:dyDescent="0.25">
      <c r="A594" s="2" t="str">
        <f ca="1">IFERROR(__xludf.DUMMYFUNCTION("""COMPUTED_VALUE"""),"47825ff1")</f>
        <v>47825ff1</v>
      </c>
      <c r="B594" s="2"/>
      <c r="C594" s="5">
        <f ca="1">IFERROR(__xludf.DUMMYFUNCTION("""COMPUTED_VALUE"""),45769.7165162037)</f>
        <v>45769.716516203698</v>
      </c>
      <c r="D594" s="2">
        <f ca="1">IFERROR(__xludf.DUMMYFUNCTION("""COMPUTED_VALUE"""),89)</f>
        <v>89</v>
      </c>
      <c r="E594" s="2">
        <f ca="1">IFERROR(__xludf.DUMMYFUNCTION("""COMPUTED_VALUE"""),83500)</f>
        <v>83500</v>
      </c>
      <c r="F594" s="2" t="str">
        <f ca="1">IFERROR(__xludf.DUMMYFUNCTION("""COMPUTED_VALUE"""),"Cabernet Sauvignon")</f>
        <v>Cabernet Sauvignon</v>
      </c>
      <c r="G594" s="2">
        <f ca="1">IFERROR(__xludf.DUMMYFUNCTION("""COMPUTED_VALUE"""),72700)</f>
        <v>72700</v>
      </c>
      <c r="H594" s="2">
        <f ca="1">IFERROR(__xludf.DUMMYFUNCTION("""COMPUTED_VALUE"""),83500)</f>
        <v>83500</v>
      </c>
      <c r="I594" s="2" t="str">
        <f ca="1">IFERROR(__xludf.DUMMYFUNCTION("""COMPUTED_VALUE"""),"Muy bueno, tiene azucar. Ojo.")</f>
        <v>Muy bueno, tiene azucar. Ojo.</v>
      </c>
      <c r="J594" s="2"/>
      <c r="K594" s="2" t="str">
        <f ca="1">IFERROR(__xludf.DUMMYFUNCTION("""COMPUTED_VALUE"""),"Descubada")</f>
        <v>Descubada</v>
      </c>
      <c r="L594" s="2" t="str">
        <f ca="1">IFERROR(__xludf.DUMMYFUNCTION("""COMPUTED_VALUE"""),"1")</f>
        <v>1</v>
      </c>
      <c r="M594" s="2"/>
    </row>
    <row r="595" spans="1:13" x14ac:dyDescent="0.25">
      <c r="A595" s="2" t="str">
        <f ca="1">IFERROR(__xludf.DUMMYFUNCTION("""COMPUTED_VALUE"""),"d6e77ca9")</f>
        <v>d6e77ca9</v>
      </c>
      <c r="B595" s="2"/>
      <c r="C595" s="5">
        <f ca="1">IFERROR(__xludf.DUMMYFUNCTION("""COMPUTED_VALUE"""),45769.7172337963)</f>
        <v>45769.717233796298</v>
      </c>
      <c r="D595" s="2">
        <f ca="1">IFERROR(__xludf.DUMMYFUNCTION("""COMPUTED_VALUE"""),80)</f>
        <v>80</v>
      </c>
      <c r="E595" s="2">
        <f ca="1">IFERROR(__xludf.DUMMYFUNCTION("""COMPUTED_VALUE"""),26100)</f>
        <v>26100</v>
      </c>
      <c r="F595" s="2" t="str">
        <f ca="1">IFERROR(__xludf.DUMMYFUNCTION("""COMPUTED_VALUE"""),"Malbec Prensa")</f>
        <v>Malbec Prensa</v>
      </c>
      <c r="G595" s="2">
        <f ca="1">IFERROR(__xludf.DUMMYFUNCTION("""COMPUTED_VALUE"""),0)</f>
        <v>0</v>
      </c>
      <c r="H595" s="2">
        <f ca="1">IFERROR(__xludf.DUMMYFUNCTION("""COMPUTED_VALUE"""),8000)</f>
        <v>8000</v>
      </c>
      <c r="I595" s="2"/>
      <c r="J595" s="2"/>
      <c r="K595" s="2" t="str">
        <f ca="1">IFERROR(__xludf.DUMMYFUNCTION("""COMPUTED_VALUE"""),"Descubada")</f>
        <v>Descubada</v>
      </c>
      <c r="L595" s="2"/>
      <c r="M595" s="2"/>
    </row>
    <row r="596" spans="1:13" x14ac:dyDescent="0.25">
      <c r="A596" s="2" t="str">
        <f ca="1">IFERROR(__xludf.DUMMYFUNCTION("""COMPUTED_VALUE"""),"1a2c1684")</f>
        <v>1a2c1684</v>
      </c>
      <c r="B596" s="2"/>
      <c r="C596" s="5">
        <f ca="1">IFERROR(__xludf.DUMMYFUNCTION("""COMPUTED_VALUE"""),45769.7179282407)</f>
        <v>45769.717928240701</v>
      </c>
      <c r="D596" s="2">
        <f ca="1">IFERROR(__xludf.DUMMYFUNCTION("""COMPUTED_VALUE"""),80)</f>
        <v>80</v>
      </c>
      <c r="E596" s="2">
        <f ca="1">IFERROR(__xludf.DUMMYFUNCTION("""COMPUTED_VALUE"""),26100)</f>
        <v>26100</v>
      </c>
      <c r="F596" s="2" t="str">
        <f ca="1">IFERROR(__xludf.DUMMYFUNCTION("""COMPUTED_VALUE"""),"Cabernet Sauvignon prensa")</f>
        <v>Cabernet Sauvignon prensa</v>
      </c>
      <c r="G596" s="2">
        <f ca="1">IFERROR(__xludf.DUMMYFUNCTION("""COMPUTED_VALUE"""),8000)</f>
        <v>8000</v>
      </c>
      <c r="H596" s="2">
        <f ca="1">IFERROR(__xludf.DUMMYFUNCTION("""COMPUTED_VALUE"""),13600)</f>
        <v>13600</v>
      </c>
      <c r="I596" s="2"/>
      <c r="J596" s="2"/>
      <c r="K596" s="2" t="str">
        <f ca="1">IFERROR(__xludf.DUMMYFUNCTION("""COMPUTED_VALUE"""),"Fermentando")</f>
        <v>Fermentando</v>
      </c>
      <c r="L596" s="2"/>
      <c r="M596" s="2"/>
    </row>
    <row r="597" spans="1:13" x14ac:dyDescent="0.25">
      <c r="A597" s="2" t="str">
        <f ca="1">IFERROR(__xludf.DUMMYFUNCTION("""COMPUTED_VALUE"""),"ffa53251")</f>
        <v>ffa53251</v>
      </c>
      <c r="B597" s="2"/>
      <c r="C597" s="5">
        <f ca="1">IFERROR(__xludf.DUMMYFUNCTION("""COMPUTED_VALUE"""),45769.7182175925)</f>
        <v>45769.718217592497</v>
      </c>
      <c r="D597" s="2">
        <f ca="1">IFERROR(__xludf.DUMMYFUNCTION("""COMPUTED_VALUE"""),80)</f>
        <v>80</v>
      </c>
      <c r="E597" s="2">
        <f ca="1">IFERROR(__xludf.DUMMYFUNCTION("""COMPUTED_VALUE"""),26100)</f>
        <v>26100</v>
      </c>
      <c r="F597" s="2" t="str">
        <f ca="1">IFERROR(__xludf.DUMMYFUNCTION("""COMPUTED_VALUE"""),"Cabernet Sauvignon prensa")</f>
        <v>Cabernet Sauvignon prensa</v>
      </c>
      <c r="G597" s="2">
        <f ca="1">IFERROR(__xludf.DUMMYFUNCTION("""COMPUTED_VALUE"""),13600)</f>
        <v>13600</v>
      </c>
      <c r="H597" s="2">
        <f ca="1">IFERROR(__xludf.DUMMYFUNCTION("""COMPUTED_VALUE"""),19900)</f>
        <v>19900</v>
      </c>
      <c r="I597" s="2"/>
      <c r="J597" s="2"/>
      <c r="K597" s="2" t="str">
        <f ca="1">IFERROR(__xludf.DUMMYFUNCTION("""COMPUTED_VALUE"""),"Fermentando")</f>
        <v>Fermentando</v>
      </c>
      <c r="L597" s="2"/>
      <c r="M597" s="2"/>
    </row>
    <row r="598" spans="1:13" x14ac:dyDescent="0.25">
      <c r="A598" s="2" t="str">
        <f ca="1">IFERROR(__xludf.DUMMYFUNCTION("""COMPUTED_VALUE"""),"31f824a6")</f>
        <v>31f824a6</v>
      </c>
      <c r="B598" s="2"/>
      <c r="C598" s="5">
        <f ca="1">IFERROR(__xludf.DUMMYFUNCTION("""COMPUTED_VALUE"""),45769.7185648148)</f>
        <v>45769.718564814801</v>
      </c>
      <c r="D598" s="2">
        <f ca="1">IFERROR(__xludf.DUMMYFUNCTION("""COMPUTED_VALUE"""),80)</f>
        <v>80</v>
      </c>
      <c r="E598" s="2">
        <f ca="1">IFERROR(__xludf.DUMMYFUNCTION("""COMPUTED_VALUE"""),26100)</f>
        <v>26100</v>
      </c>
      <c r="F598" s="2" t="str">
        <f ca="1">IFERROR(__xludf.DUMMYFUNCTION("""COMPUTED_VALUE"""),"Cabernet Sauvignon prensa")</f>
        <v>Cabernet Sauvignon prensa</v>
      </c>
      <c r="G598" s="2">
        <f ca="1">IFERROR(__xludf.DUMMYFUNCTION("""COMPUTED_VALUE"""),19900)</f>
        <v>19900</v>
      </c>
      <c r="H598" s="2">
        <f ca="1">IFERROR(__xludf.DUMMYFUNCTION("""COMPUTED_VALUE"""),26100)</f>
        <v>26100</v>
      </c>
      <c r="I598" s="2"/>
      <c r="J598" s="2"/>
      <c r="K598" s="2" t="str">
        <f ca="1">IFERROR(__xludf.DUMMYFUNCTION("""COMPUTED_VALUE"""),"Descubada")</f>
        <v>Descubada</v>
      </c>
      <c r="L598" s="2"/>
      <c r="M598" s="2"/>
    </row>
    <row r="599" spans="1:13" x14ac:dyDescent="0.25">
      <c r="A599" s="2" t="str">
        <f ca="1">IFERROR(__xludf.DUMMYFUNCTION("""COMPUTED_VALUE"""),"837659aa")</f>
        <v>837659aa</v>
      </c>
      <c r="B599" s="2"/>
      <c r="C599" s="5">
        <f ca="1">IFERROR(__xludf.DUMMYFUNCTION("""COMPUTED_VALUE"""),45769.7191087962)</f>
        <v>45769.719108796198</v>
      </c>
      <c r="D599" s="2">
        <f ca="1">IFERROR(__xludf.DUMMYFUNCTION("""COMPUTED_VALUE"""),935)</f>
        <v>935</v>
      </c>
      <c r="E599" s="2">
        <f ca="1">IFERROR(__xludf.DUMMYFUNCTION("""COMPUTED_VALUE"""),11200)</f>
        <v>11200</v>
      </c>
      <c r="F599" s="2" t="str">
        <f ca="1">IFERROR(__xludf.DUMMYFUNCTION("""COMPUTED_VALUE"""),"Borra")</f>
        <v>Borra</v>
      </c>
      <c r="G599" s="2">
        <f ca="1">IFERROR(__xludf.DUMMYFUNCTION("""COMPUTED_VALUE"""),9000)</f>
        <v>9000</v>
      </c>
      <c r="H599" s="2">
        <f ca="1">IFERROR(__xludf.DUMMYFUNCTION("""COMPUTED_VALUE"""),11200)</f>
        <v>11200</v>
      </c>
      <c r="I599" s="2"/>
      <c r="J599" s="2"/>
      <c r="K599" s="2" t="str">
        <f ca="1">IFERROR(__xludf.DUMMYFUNCTION("""COMPUTED_VALUE"""),"Descubada")</f>
        <v>Descubada</v>
      </c>
      <c r="L599" s="2"/>
      <c r="M599" s="2"/>
    </row>
    <row r="600" spans="1:13" x14ac:dyDescent="0.25">
      <c r="A600" s="2" t="str">
        <f ca="1">IFERROR(__xludf.DUMMYFUNCTION("""COMPUTED_VALUE"""),"883b82dd")</f>
        <v>883b82dd</v>
      </c>
      <c r="B600" s="2"/>
      <c r="C600" s="5">
        <f ca="1">IFERROR(__xludf.DUMMYFUNCTION("""COMPUTED_VALUE"""),45769.719375)</f>
        <v>45769.719375000001</v>
      </c>
      <c r="D600" s="2">
        <f ca="1">IFERROR(__xludf.DUMMYFUNCTION("""COMPUTED_VALUE"""),500)</f>
        <v>500</v>
      </c>
      <c r="E600" s="2">
        <f ca="1">IFERROR(__xludf.DUMMYFUNCTION("""COMPUTED_VALUE"""),200000)</f>
        <v>200000</v>
      </c>
      <c r="F600" s="2" t="str">
        <f ca="1">IFERROR(__xludf.DUMMYFUNCTION("""COMPUTED_VALUE"""),"Ajuste semana 22/04/25")</f>
        <v>Ajuste semana 22/04/25</v>
      </c>
      <c r="G600" s="2">
        <f ca="1">IFERROR(__xludf.DUMMYFUNCTION("""COMPUTED_VALUE"""),25001)</f>
        <v>25001</v>
      </c>
      <c r="H600" s="2">
        <f ca="1">IFERROR(__xludf.DUMMYFUNCTION("""COMPUTED_VALUE"""),26401)</f>
        <v>26401</v>
      </c>
      <c r="I600" s="2"/>
      <c r="J600" s="2"/>
      <c r="K600" s="2" t="str">
        <f ca="1">IFERROR(__xludf.DUMMYFUNCTION("""COMPUTED_VALUE"""),"Terminado")</f>
        <v>Terminado</v>
      </c>
      <c r="L600" s="2"/>
      <c r="M600" s="2"/>
    </row>
    <row r="601" spans="1:13" x14ac:dyDescent="0.25">
      <c r="A601" s="2" t="str">
        <f ca="1">IFERROR(__xludf.DUMMYFUNCTION("""COMPUTED_VALUE"""),"64e4bdc2")</f>
        <v>64e4bdc2</v>
      </c>
      <c r="B601" s="2"/>
      <c r="C601" s="5">
        <f ca="1">IFERROR(__xludf.DUMMYFUNCTION("""COMPUTED_VALUE"""),45770.7398032407)</f>
        <v>45770.7398032407</v>
      </c>
      <c r="D601" s="2">
        <f ca="1">IFERROR(__xludf.DUMMYFUNCTION("""COMPUTED_VALUE"""),95)</f>
        <v>95</v>
      </c>
      <c r="E601" s="2">
        <f ca="1">IFERROR(__xludf.DUMMYFUNCTION("""COMPUTED_VALUE"""),77100)</f>
        <v>77100</v>
      </c>
      <c r="F601" s="2" t="str">
        <f ca="1">IFERROR(__xludf.DUMMYFUNCTION("""COMPUTED_VALUE"""),"Tinto s/Bonarda 2da")</f>
        <v>Tinto s/Bonarda 2da</v>
      </c>
      <c r="G601" s="2">
        <f ca="1">IFERROR(__xludf.DUMMYFUNCTION("""COMPUTED_VALUE"""),0)</f>
        <v>0</v>
      </c>
      <c r="H601" s="2">
        <f ca="1">IFERROR(__xludf.DUMMYFUNCTION("""COMPUTED_VALUE"""),56700)</f>
        <v>56700</v>
      </c>
      <c r="I601" s="2"/>
      <c r="J601" s="2"/>
      <c r="K601" s="2" t="str">
        <f ca="1">IFERROR(__xludf.DUMMYFUNCTION("""COMPUTED_VALUE"""),"Descubada")</f>
        <v>Descubada</v>
      </c>
      <c r="L601" s="2"/>
      <c r="M601" s="2"/>
    </row>
    <row r="602" spans="1:13" x14ac:dyDescent="0.25">
      <c r="A602" s="2" t="str">
        <f ca="1">IFERROR(__xludf.DUMMYFUNCTION("""COMPUTED_VALUE"""),"e8b9aa9f")</f>
        <v>e8b9aa9f</v>
      </c>
      <c r="B602" s="2"/>
      <c r="C602" s="5">
        <f ca="1">IFERROR(__xludf.DUMMYFUNCTION("""COMPUTED_VALUE"""),45770.7404398148)</f>
        <v>45770.740439814799</v>
      </c>
      <c r="D602" s="2">
        <f ca="1">IFERROR(__xludf.DUMMYFUNCTION("""COMPUTED_VALUE"""),95)</f>
        <v>95</v>
      </c>
      <c r="E602" s="2">
        <f ca="1">IFERROR(__xludf.DUMMYFUNCTION("""COMPUTED_VALUE"""),77100)</f>
        <v>77100</v>
      </c>
      <c r="F602" s="2" t="str">
        <f ca="1">IFERROR(__xludf.DUMMYFUNCTION("""COMPUTED_VALUE"""),"Tinto s/Bonarda 2da")</f>
        <v>Tinto s/Bonarda 2da</v>
      </c>
      <c r="G602" s="2">
        <f ca="1">IFERROR(__xludf.DUMMYFUNCTION("""COMPUTED_VALUE"""),56700)</f>
        <v>56700</v>
      </c>
      <c r="H602" s="2">
        <f ca="1">IFERROR(__xludf.DUMMYFUNCTION("""COMPUTED_VALUE"""),77100)</f>
        <v>77100</v>
      </c>
      <c r="I602" s="2"/>
      <c r="J602" s="2"/>
      <c r="K602" s="2" t="str">
        <f ca="1">IFERROR(__xludf.DUMMYFUNCTION("""COMPUTED_VALUE"""),"Descubada")</f>
        <v>Descubada</v>
      </c>
      <c r="L602" s="2"/>
      <c r="M602" s="2"/>
    </row>
    <row r="603" spans="1:13" x14ac:dyDescent="0.25">
      <c r="A603" s="2" t="str">
        <f ca="1">IFERROR(__xludf.DUMMYFUNCTION("""COMPUTED_VALUE"""),"e2301c9d")</f>
        <v>e2301c9d</v>
      </c>
      <c r="B603" s="2"/>
      <c r="C603" s="5">
        <f ca="1">IFERROR(__xludf.DUMMYFUNCTION("""COMPUTED_VALUE"""),45770.7635648148)</f>
        <v>45770.763564814799</v>
      </c>
      <c r="D603" s="2">
        <f ca="1">IFERROR(__xludf.DUMMYFUNCTION("""COMPUTED_VALUE"""),96)</f>
        <v>96</v>
      </c>
      <c r="E603" s="2">
        <f ca="1">IFERROR(__xludf.DUMMYFUNCTION("""COMPUTED_VALUE"""),85600)</f>
        <v>85600</v>
      </c>
      <c r="F603" s="2" t="str">
        <f ca="1">IFERROR(__xludf.DUMMYFUNCTION("""COMPUTED_VALUE"""),"Tinto")</f>
        <v>Tinto</v>
      </c>
      <c r="G603" s="2">
        <f ca="1">IFERROR(__xludf.DUMMYFUNCTION("""COMPUTED_VALUE"""),0)</f>
        <v>0</v>
      </c>
      <c r="H603" s="2">
        <f ca="1">IFERROR(__xludf.DUMMYFUNCTION("""COMPUTED_VALUE"""),24700)</f>
        <v>24700</v>
      </c>
      <c r="I603" s="2"/>
      <c r="J603" s="2"/>
      <c r="K603" s="2" t="str">
        <f ca="1">IFERROR(__xludf.DUMMYFUNCTION("""COMPUTED_VALUE"""),"Descubada")</f>
        <v>Descubada</v>
      </c>
      <c r="L603" s="2"/>
      <c r="M603" s="2"/>
    </row>
    <row r="604" spans="1:13" x14ac:dyDescent="0.25">
      <c r="A604" s="2" t="str">
        <f ca="1">IFERROR(__xludf.DUMMYFUNCTION("""COMPUTED_VALUE"""),"163518fc")</f>
        <v>163518fc</v>
      </c>
      <c r="B604" s="2"/>
      <c r="C604" s="5">
        <f ca="1">IFERROR(__xludf.DUMMYFUNCTION("""COMPUTED_VALUE"""),45770.7703703703)</f>
        <v>45770.770370370301</v>
      </c>
      <c r="D604" s="2">
        <f ca="1">IFERROR(__xludf.DUMMYFUNCTION("""COMPUTED_VALUE"""),91)</f>
        <v>91</v>
      </c>
      <c r="E604" s="2">
        <f ca="1">IFERROR(__xludf.DUMMYFUNCTION("""COMPUTED_VALUE"""),86000)</f>
        <v>86000</v>
      </c>
      <c r="F604" s="2" t="str">
        <f ca="1">IFERROR(__xludf.DUMMYFUNCTION("""COMPUTED_VALUE"""),"Tinto s/Bonarda 2da")</f>
        <v>Tinto s/Bonarda 2da</v>
      </c>
      <c r="G604" s="2">
        <f ca="1">IFERROR(__xludf.DUMMYFUNCTION("""COMPUTED_VALUE"""),49300)</f>
        <v>49300</v>
      </c>
      <c r="H604" s="2">
        <f ca="1">IFERROR(__xludf.DUMMYFUNCTION("""COMPUTED_VALUE"""),50000)</f>
        <v>50000</v>
      </c>
      <c r="I604" s="2"/>
      <c r="J604" s="2"/>
      <c r="K604" s="2" t="str">
        <f ca="1">IFERROR(__xludf.DUMMYFUNCTION("""COMPUTED_VALUE"""),"Recarga Fermentando")</f>
        <v>Recarga Fermentando</v>
      </c>
      <c r="L604" s="2"/>
      <c r="M604" s="2"/>
    </row>
    <row r="605" spans="1:13" x14ac:dyDescent="0.25">
      <c r="A605" s="2" t="str">
        <f ca="1">IFERROR(__xludf.DUMMYFUNCTION("""COMPUTED_VALUE"""),"3cd08afc")</f>
        <v>3cd08afc</v>
      </c>
      <c r="B605" s="2"/>
      <c r="C605" s="5">
        <f ca="1">IFERROR(__xludf.DUMMYFUNCTION("""COMPUTED_VALUE"""),45770.7717592592)</f>
        <v>45770.771759259202</v>
      </c>
      <c r="D605" s="2">
        <f ca="1">IFERROR(__xludf.DUMMYFUNCTION("""COMPUTED_VALUE"""),84)</f>
        <v>84</v>
      </c>
      <c r="E605" s="2">
        <f ca="1">IFERROR(__xludf.DUMMYFUNCTION("""COMPUTED_VALUE"""),83000)</f>
        <v>83000</v>
      </c>
      <c r="F605" s="2" t="str">
        <f ca="1">IFERROR(__xludf.DUMMYFUNCTION("""COMPUTED_VALUE"""),"Tinto s/Bonarda 2da")</f>
        <v>Tinto s/Bonarda 2da</v>
      </c>
      <c r="G605" s="2">
        <f ca="1">IFERROR(__xludf.DUMMYFUNCTION("""COMPUTED_VALUE"""),40000)</f>
        <v>40000</v>
      </c>
      <c r="H605" s="2">
        <f ca="1">IFERROR(__xludf.DUMMYFUNCTION("""COMPUTED_VALUE"""),54000)</f>
        <v>54000</v>
      </c>
      <c r="I605" s="2"/>
      <c r="J605" s="2"/>
      <c r="K605" s="2" t="str">
        <f ca="1">IFERROR(__xludf.DUMMYFUNCTION("""COMPUTED_VALUE"""),"Recarga Fermentando")</f>
        <v>Recarga Fermentando</v>
      </c>
      <c r="L605" s="2"/>
      <c r="M605" s="2"/>
    </row>
    <row r="606" spans="1:13" x14ac:dyDescent="0.25">
      <c r="A606" s="2" t="str">
        <f ca="1">IFERROR(__xludf.DUMMYFUNCTION("""COMPUTED_VALUE"""),"d24bb01b")</f>
        <v>d24bb01b</v>
      </c>
      <c r="B606" s="2"/>
      <c r="C606" s="5">
        <f ca="1">IFERROR(__xludf.DUMMYFUNCTION("""COMPUTED_VALUE"""),45770.7728356481)</f>
        <v>45770.772835648102</v>
      </c>
      <c r="D606" s="2">
        <f ca="1">IFERROR(__xludf.DUMMYFUNCTION("""COMPUTED_VALUE"""),88)</f>
        <v>88</v>
      </c>
      <c r="E606" s="2">
        <f ca="1">IFERROR(__xludf.DUMMYFUNCTION("""COMPUTED_VALUE"""),78900)</f>
        <v>78900</v>
      </c>
      <c r="F606" s="2" t="str">
        <f ca="1">IFERROR(__xludf.DUMMYFUNCTION("""COMPUTED_VALUE"""),"Tinto s/Bonarda")</f>
        <v>Tinto s/Bonarda</v>
      </c>
      <c r="G606" s="2">
        <f ca="1">IFERROR(__xludf.DUMMYFUNCTION("""COMPUTED_VALUE"""),37750)</f>
        <v>37750</v>
      </c>
      <c r="H606" s="2">
        <f ca="1">IFERROR(__xludf.DUMMYFUNCTION("""COMPUTED_VALUE"""),40000)</f>
        <v>40000</v>
      </c>
      <c r="I606" s="2"/>
      <c r="J606" s="2"/>
      <c r="K606" s="2" t="str">
        <f ca="1">IFERROR(__xludf.DUMMYFUNCTION("""COMPUTED_VALUE"""),"Recarga Fermentando")</f>
        <v>Recarga Fermentando</v>
      </c>
      <c r="L606" s="2"/>
      <c r="M606" s="2"/>
    </row>
    <row r="607" spans="1:13" x14ac:dyDescent="0.25">
      <c r="A607" s="2" t="str">
        <f ca="1">IFERROR(__xludf.DUMMYFUNCTION("""COMPUTED_VALUE"""),"b1a71460")</f>
        <v>b1a71460</v>
      </c>
      <c r="B607" s="2"/>
      <c r="C607" s="5">
        <f ca="1">IFERROR(__xludf.DUMMYFUNCTION("""COMPUTED_VALUE"""),45770.7731597222)</f>
        <v>45770.773159722201</v>
      </c>
      <c r="D607" s="2">
        <f ca="1">IFERROR(__xludf.DUMMYFUNCTION("""COMPUTED_VALUE"""),500)</f>
        <v>500</v>
      </c>
      <c r="E607" s="2">
        <f ca="1">IFERROR(__xludf.DUMMYFUNCTION("""COMPUTED_VALUE"""),200000)</f>
        <v>200000</v>
      </c>
      <c r="F607" s="2" t="str">
        <f ca="1">IFERROR(__xludf.DUMMYFUNCTION("""COMPUTED_VALUE"""),"Ajuste semana 22/04/25")</f>
        <v>Ajuste semana 22/04/25</v>
      </c>
      <c r="G607" s="2">
        <f ca="1">IFERROR(__xludf.DUMMYFUNCTION("""COMPUTED_VALUE"""),26401)</f>
        <v>26401</v>
      </c>
      <c r="H607" s="2">
        <f ca="1">IFERROR(__xludf.DUMMYFUNCTION("""COMPUTED_VALUE"""),32451)</f>
        <v>32451</v>
      </c>
      <c r="I607" s="2"/>
      <c r="J607" s="2"/>
      <c r="K607" s="2" t="str">
        <f ca="1">IFERROR(__xludf.DUMMYFUNCTION("""COMPUTED_VALUE"""),"Terminado")</f>
        <v>Terminado</v>
      </c>
      <c r="L607" s="2"/>
      <c r="M607" s="2"/>
    </row>
    <row r="608" spans="1:13" x14ac:dyDescent="0.25">
      <c r="A608" s="2" t="str">
        <f ca="1">IFERROR(__xludf.DUMMYFUNCTION("""COMPUTED_VALUE"""),"b26e8cc6")</f>
        <v>b26e8cc6</v>
      </c>
      <c r="B608" s="2"/>
      <c r="C608" s="5">
        <f ca="1">IFERROR(__xludf.DUMMYFUNCTION("""COMPUTED_VALUE"""),45770.7764351851)</f>
        <v>45770.7764351851</v>
      </c>
      <c r="D608" s="2">
        <f ca="1">IFERROR(__xludf.DUMMYFUNCTION("""COMPUTED_VALUE"""),11)</f>
        <v>11</v>
      </c>
      <c r="E608" s="2">
        <f ca="1">IFERROR(__xludf.DUMMYFUNCTION("""COMPUTED_VALUE"""),36000)</f>
        <v>36000</v>
      </c>
      <c r="F608" s="2" t="str">
        <f ca="1">IFERROR(__xludf.DUMMYFUNCTION("""COMPUTED_VALUE"""),"Claro de filtro")</f>
        <v>Claro de filtro</v>
      </c>
      <c r="G608" s="2">
        <f ca="1">IFERROR(__xludf.DUMMYFUNCTION("""COMPUTED_VALUE"""),0)</f>
        <v>0</v>
      </c>
      <c r="H608" s="2">
        <f ca="1">IFERROR(__xludf.DUMMYFUNCTION("""COMPUTED_VALUE"""),5000)</f>
        <v>5000</v>
      </c>
      <c r="I608" s="2"/>
      <c r="J608" s="2"/>
      <c r="K608" s="2" t="str">
        <f ca="1">IFERROR(__xludf.DUMMYFUNCTION("""COMPUTED_VALUE"""),"Descubada")</f>
        <v>Descubada</v>
      </c>
      <c r="L608" s="2"/>
      <c r="M608" s="2"/>
    </row>
    <row r="609" spans="1:13" x14ac:dyDescent="0.25">
      <c r="A609" s="2" t="str">
        <f ca="1">IFERROR(__xludf.DUMMYFUNCTION("""COMPUTED_VALUE"""),"b112ea4a")</f>
        <v>b112ea4a</v>
      </c>
      <c r="B609" s="2"/>
      <c r="C609" s="5">
        <f ca="1">IFERROR(__xludf.DUMMYFUNCTION("""COMPUTED_VALUE"""),45770.777824074)</f>
        <v>45770.777824074001</v>
      </c>
      <c r="D609" s="2">
        <f ca="1">IFERROR(__xludf.DUMMYFUNCTION("""COMPUTED_VALUE"""),500)</f>
        <v>500</v>
      </c>
      <c r="E609" s="2">
        <f ca="1">IFERROR(__xludf.DUMMYFUNCTION("""COMPUTED_VALUE"""),200000)</f>
        <v>200000</v>
      </c>
      <c r="F609" s="2" t="str">
        <f ca="1">IFERROR(__xludf.DUMMYFUNCTION("""COMPUTED_VALUE"""),"Ajuste semana 22/04/25")</f>
        <v>Ajuste semana 22/04/25</v>
      </c>
      <c r="G609" s="2">
        <f ca="1">IFERROR(__xludf.DUMMYFUNCTION("""COMPUTED_VALUE"""),32451)</f>
        <v>32451</v>
      </c>
      <c r="H609" s="2">
        <f ca="1">IFERROR(__xludf.DUMMYFUNCTION("""COMPUTED_VALUE"""),33451)</f>
        <v>33451</v>
      </c>
      <c r="I609" s="2"/>
      <c r="J609" s="2"/>
      <c r="K609" s="2" t="str">
        <f ca="1">IFERROR(__xludf.DUMMYFUNCTION("""COMPUTED_VALUE"""),"Terminado")</f>
        <v>Terminado</v>
      </c>
      <c r="L609" s="2"/>
      <c r="M609" s="2"/>
    </row>
    <row r="610" spans="1:13" x14ac:dyDescent="0.25">
      <c r="A610" s="2" t="str">
        <f ca="1">IFERROR(__xludf.DUMMYFUNCTION("""COMPUTED_VALUE"""),"d10280b4")</f>
        <v>d10280b4</v>
      </c>
      <c r="B610" s="2"/>
      <c r="C610" s="5">
        <f ca="1">IFERROR(__xludf.DUMMYFUNCTION("""COMPUTED_VALUE"""),45770.7782638888)</f>
        <v>45770.778263888802</v>
      </c>
      <c r="D610" s="2">
        <f ca="1">IFERROR(__xludf.DUMMYFUNCTION("""COMPUTED_VALUE"""),500)</f>
        <v>500</v>
      </c>
      <c r="E610" s="2">
        <f ca="1">IFERROR(__xludf.DUMMYFUNCTION("""COMPUTED_VALUE"""),200000)</f>
        <v>200000</v>
      </c>
      <c r="F610" s="2" t="str">
        <f ca="1">IFERROR(__xludf.DUMMYFUNCTION("""COMPUTED_VALUE"""),"Ajuste semana 22/04/25")</f>
        <v>Ajuste semana 22/04/25</v>
      </c>
      <c r="G610" s="2">
        <f ca="1">IFERROR(__xludf.DUMMYFUNCTION("""COMPUTED_VALUE"""),33451)</f>
        <v>33451</v>
      </c>
      <c r="H610" s="2">
        <f ca="1">IFERROR(__xludf.DUMMYFUNCTION("""COMPUTED_VALUE"""),34951)</f>
        <v>34951</v>
      </c>
      <c r="I610" s="2"/>
      <c r="J610" s="2"/>
      <c r="K610" s="2" t="str">
        <f ca="1">IFERROR(__xludf.DUMMYFUNCTION("""COMPUTED_VALUE"""),"Terminado")</f>
        <v>Terminado</v>
      </c>
      <c r="L610" s="2"/>
      <c r="M610" s="2"/>
    </row>
    <row r="611" spans="1:13" x14ac:dyDescent="0.25">
      <c r="A611" s="2" t="str">
        <f ca="1">IFERROR(__xludf.DUMMYFUNCTION("""COMPUTED_VALUE"""),"32dccd3f")</f>
        <v>32dccd3f</v>
      </c>
      <c r="B611" s="2"/>
      <c r="C611" s="5">
        <f ca="1">IFERROR(__xludf.DUMMYFUNCTION("""COMPUTED_VALUE"""),45770.7800462963)</f>
        <v>45770.780046296299</v>
      </c>
      <c r="D611" s="2">
        <f ca="1">IFERROR(__xludf.DUMMYFUNCTION("""COMPUTED_VALUE"""),500)</f>
        <v>500</v>
      </c>
      <c r="E611" s="2">
        <f ca="1">IFERROR(__xludf.DUMMYFUNCTION("""COMPUTED_VALUE"""),200000)</f>
        <v>200000</v>
      </c>
      <c r="F611" s="2" t="str">
        <f ca="1">IFERROR(__xludf.DUMMYFUNCTION("""COMPUTED_VALUE"""),"Ajuste semana 22/04/25")</f>
        <v>Ajuste semana 22/04/25</v>
      </c>
      <c r="G611" s="2">
        <f ca="1">IFERROR(__xludf.DUMMYFUNCTION("""COMPUTED_VALUE"""),34951)</f>
        <v>34951</v>
      </c>
      <c r="H611" s="2">
        <f ca="1">IFERROR(__xludf.DUMMYFUNCTION("""COMPUTED_VALUE"""),36551)</f>
        <v>36551</v>
      </c>
      <c r="I611" s="2"/>
      <c r="J611" s="2"/>
      <c r="K611" s="2" t="str">
        <f ca="1">IFERROR(__xludf.DUMMYFUNCTION("""COMPUTED_VALUE"""),"Terminado")</f>
        <v>Terminado</v>
      </c>
      <c r="L611" s="2"/>
      <c r="M611" s="2"/>
    </row>
    <row r="612" spans="1:13" x14ac:dyDescent="0.25">
      <c r="A612" s="2" t="str">
        <f ca="1">IFERROR(__xludf.DUMMYFUNCTION("""COMPUTED_VALUE"""),"af42804b")</f>
        <v>af42804b</v>
      </c>
      <c r="B612" s="2"/>
      <c r="C612" s="5">
        <f ca="1">IFERROR(__xludf.DUMMYFUNCTION("""COMPUTED_VALUE"""),45770.7983564814)</f>
        <v>45770.798356481399</v>
      </c>
      <c r="D612" s="2">
        <f ca="1">IFERROR(__xludf.DUMMYFUNCTION("""COMPUTED_VALUE"""),500)</f>
        <v>500</v>
      </c>
      <c r="E612" s="2">
        <f ca="1">IFERROR(__xludf.DUMMYFUNCTION("""COMPUTED_VALUE"""),200000)</f>
        <v>200000</v>
      </c>
      <c r="F612" s="2" t="str">
        <f ca="1">IFERROR(__xludf.DUMMYFUNCTION("""COMPUTED_VALUE"""),"Ajuste semana 22/04/25")</f>
        <v>Ajuste semana 22/04/25</v>
      </c>
      <c r="G612" s="2">
        <f ca="1">IFERROR(__xludf.DUMMYFUNCTION("""COMPUTED_VALUE"""),36551)</f>
        <v>36551</v>
      </c>
      <c r="H612" s="2">
        <f ca="1">IFERROR(__xludf.DUMMYFUNCTION("""COMPUTED_VALUE"""),36851)</f>
        <v>36851</v>
      </c>
      <c r="I612" s="2"/>
      <c r="J612" s="2"/>
      <c r="K612" s="2" t="str">
        <f ca="1">IFERROR(__xludf.DUMMYFUNCTION("""COMPUTED_VALUE"""),"Terminado")</f>
        <v>Terminado</v>
      </c>
      <c r="L612" s="2"/>
      <c r="M612" s="2"/>
    </row>
    <row r="613" spans="1:13" x14ac:dyDescent="0.25">
      <c r="A613" s="2" t="str">
        <f ca="1">IFERROR(__xludf.DUMMYFUNCTION("""COMPUTED_VALUE"""),"d0135f24")</f>
        <v>d0135f24</v>
      </c>
      <c r="B613" s="2"/>
      <c r="C613" s="5">
        <f ca="1">IFERROR(__xludf.DUMMYFUNCTION("""COMPUTED_VALUE"""),45770.7988773148)</f>
        <v>45770.798877314803</v>
      </c>
      <c r="D613" s="2">
        <f ca="1">IFERROR(__xludf.DUMMYFUNCTION("""COMPUTED_VALUE"""),500)</f>
        <v>500</v>
      </c>
      <c r="E613" s="2">
        <f ca="1">IFERROR(__xludf.DUMMYFUNCTION("""COMPUTED_VALUE"""),200000)</f>
        <v>200000</v>
      </c>
      <c r="F613" s="2" t="str">
        <f ca="1">IFERROR(__xludf.DUMMYFUNCTION("""COMPUTED_VALUE"""),"Ajuste semana 22/04/25")</f>
        <v>Ajuste semana 22/04/25</v>
      </c>
      <c r="G613" s="2">
        <f ca="1">IFERROR(__xludf.DUMMYFUNCTION("""COMPUTED_VALUE"""),36851)</f>
        <v>36851</v>
      </c>
      <c r="H613" s="2">
        <f ca="1">IFERROR(__xludf.DUMMYFUNCTION("""COMPUTED_VALUE"""),36951)</f>
        <v>36951</v>
      </c>
      <c r="I613" s="2"/>
      <c r="J613" s="2"/>
      <c r="K613" s="2" t="str">
        <f ca="1">IFERROR(__xludf.DUMMYFUNCTION("""COMPUTED_VALUE"""),"Terminado")</f>
        <v>Terminado</v>
      </c>
      <c r="L613" s="2"/>
      <c r="M613" s="2"/>
    </row>
    <row r="614" spans="1:13" x14ac:dyDescent="0.25">
      <c r="A614" s="2" t="str">
        <f ca="1">IFERROR(__xludf.DUMMYFUNCTION("""COMPUTED_VALUE"""),"be44e9f6")</f>
        <v>be44e9f6</v>
      </c>
      <c r="B614" s="2"/>
      <c r="C614" s="5">
        <f ca="1">IFERROR(__xludf.DUMMYFUNCTION("""COMPUTED_VALUE"""),45770.8000462962)</f>
        <v>45770.800046296201</v>
      </c>
      <c r="D614" s="2">
        <f ca="1">IFERROR(__xludf.DUMMYFUNCTION("""COMPUTED_VALUE"""),500)</f>
        <v>500</v>
      </c>
      <c r="E614" s="2">
        <f ca="1">IFERROR(__xludf.DUMMYFUNCTION("""COMPUTED_VALUE"""),200000)</f>
        <v>200000</v>
      </c>
      <c r="F614" s="2" t="str">
        <f ca="1">IFERROR(__xludf.DUMMYFUNCTION("""COMPUTED_VALUE"""),"Ajuste semana 22/04/25")</f>
        <v>Ajuste semana 22/04/25</v>
      </c>
      <c r="G614" s="2">
        <f ca="1">IFERROR(__xludf.DUMMYFUNCTION("""COMPUTED_VALUE"""),36951)</f>
        <v>36951</v>
      </c>
      <c r="H614" s="2">
        <f ca="1">IFERROR(__xludf.DUMMYFUNCTION("""COMPUTED_VALUE"""),31651)</f>
        <v>31651</v>
      </c>
      <c r="I614" s="2"/>
      <c r="J614" s="2"/>
      <c r="K614" s="2" t="str">
        <f ca="1">IFERROR(__xludf.DUMMYFUNCTION("""COMPUTED_VALUE"""),"Terminado")</f>
        <v>Terminado</v>
      </c>
      <c r="L614" s="2"/>
      <c r="M614" s="2"/>
    </row>
    <row r="615" spans="1:13" x14ac:dyDescent="0.25">
      <c r="A615" s="2" t="str">
        <f ca="1">IFERROR(__xludf.DUMMYFUNCTION("""COMPUTED_VALUE"""),"920dc0b5")</f>
        <v>920dc0b5</v>
      </c>
      <c r="B615" s="2"/>
      <c r="C615" s="5">
        <f ca="1">IFERROR(__xludf.DUMMYFUNCTION("""COMPUTED_VALUE"""),45770.8003472222)</f>
        <v>45770.800347222197</v>
      </c>
      <c r="D615" s="2">
        <f ca="1">IFERROR(__xludf.DUMMYFUNCTION("""COMPUTED_VALUE"""),500)</f>
        <v>500</v>
      </c>
      <c r="E615" s="2">
        <f ca="1">IFERROR(__xludf.DUMMYFUNCTION("""COMPUTED_VALUE"""),200000)</f>
        <v>200000</v>
      </c>
      <c r="F615" s="2" t="str">
        <f ca="1">IFERROR(__xludf.DUMMYFUNCTION("""COMPUTED_VALUE"""),"Ajuste semana 22/04/25")</f>
        <v>Ajuste semana 22/04/25</v>
      </c>
      <c r="G615" s="2">
        <f ca="1">IFERROR(__xludf.DUMMYFUNCTION("""COMPUTED_VALUE"""),31651)</f>
        <v>31651</v>
      </c>
      <c r="H615" s="2">
        <f ca="1">IFERROR(__xludf.DUMMYFUNCTION("""COMPUTED_VALUE"""),31951)</f>
        <v>31951</v>
      </c>
      <c r="I615" s="2"/>
      <c r="J615" s="2"/>
      <c r="K615" s="2" t="str">
        <f ca="1">IFERROR(__xludf.DUMMYFUNCTION("""COMPUTED_VALUE"""),"Terminado")</f>
        <v>Terminado</v>
      </c>
      <c r="L615" s="2"/>
      <c r="M615" s="2"/>
    </row>
    <row r="616" spans="1:13" x14ac:dyDescent="0.25">
      <c r="A616" s="2" t="str">
        <f ca="1">IFERROR(__xludf.DUMMYFUNCTION("""COMPUTED_VALUE"""),"e3e955b1")</f>
        <v>e3e955b1</v>
      </c>
      <c r="B616" s="2"/>
      <c r="C616" s="5">
        <f ca="1">IFERROR(__xludf.DUMMYFUNCTION("""COMPUTED_VALUE"""),45770.800787037)</f>
        <v>45770.800787036998</v>
      </c>
      <c r="D616" s="2">
        <f ca="1">IFERROR(__xludf.DUMMYFUNCTION("""COMPUTED_VALUE"""),500)</f>
        <v>500</v>
      </c>
      <c r="E616" s="2">
        <f ca="1">IFERROR(__xludf.DUMMYFUNCTION("""COMPUTED_VALUE"""),200000)</f>
        <v>200000</v>
      </c>
      <c r="F616" s="2" t="str">
        <f ca="1">IFERROR(__xludf.DUMMYFUNCTION("""COMPUTED_VALUE"""),"Ajuste semana 22/04/25")</f>
        <v>Ajuste semana 22/04/25</v>
      </c>
      <c r="G616" s="2">
        <f ca="1">IFERROR(__xludf.DUMMYFUNCTION("""COMPUTED_VALUE"""),31951)</f>
        <v>31951</v>
      </c>
      <c r="H616" s="2">
        <f ca="1">IFERROR(__xludf.DUMMYFUNCTION("""COMPUTED_VALUE"""),36751)</f>
        <v>36751</v>
      </c>
      <c r="I616" s="2"/>
      <c r="J616" s="2"/>
      <c r="K616" s="2" t="str">
        <f ca="1">IFERROR(__xludf.DUMMYFUNCTION("""COMPUTED_VALUE"""),"Terminado")</f>
        <v>Terminado</v>
      </c>
      <c r="L616" s="2"/>
      <c r="M616" s="2"/>
    </row>
    <row r="617" spans="1:13" x14ac:dyDescent="0.25">
      <c r="A617" s="2" t="str">
        <f ca="1">IFERROR(__xludf.DUMMYFUNCTION("""COMPUTED_VALUE"""),"e32c078a")</f>
        <v>e32c078a</v>
      </c>
      <c r="B617" s="2"/>
      <c r="C617" s="5">
        <f ca="1">IFERROR(__xludf.DUMMYFUNCTION("""COMPUTED_VALUE"""),45770.8012152777)</f>
        <v>45770.801215277701</v>
      </c>
      <c r="D617" s="2">
        <f ca="1">IFERROR(__xludf.DUMMYFUNCTION("""COMPUTED_VALUE"""),500)</f>
        <v>500</v>
      </c>
      <c r="E617" s="2">
        <f ca="1">IFERROR(__xludf.DUMMYFUNCTION("""COMPUTED_VALUE"""),200000)</f>
        <v>200000</v>
      </c>
      <c r="F617" s="2" t="str">
        <f ca="1">IFERROR(__xludf.DUMMYFUNCTION("""COMPUTED_VALUE"""),"Ajuste semana 22/04/25")</f>
        <v>Ajuste semana 22/04/25</v>
      </c>
      <c r="G617" s="2">
        <f ca="1">IFERROR(__xludf.DUMMYFUNCTION("""COMPUTED_VALUE"""),36751)</f>
        <v>36751</v>
      </c>
      <c r="H617" s="2">
        <f ca="1">IFERROR(__xludf.DUMMYFUNCTION("""COMPUTED_VALUE"""),36851)</f>
        <v>36851</v>
      </c>
      <c r="I617" s="2"/>
      <c r="J617" s="2"/>
      <c r="K617" s="2" t="str">
        <f ca="1">IFERROR(__xludf.DUMMYFUNCTION("""COMPUTED_VALUE"""),"Terminado")</f>
        <v>Terminado</v>
      </c>
      <c r="L617" s="2"/>
      <c r="M617" s="2"/>
    </row>
    <row r="618" spans="1:13" x14ac:dyDescent="0.25">
      <c r="A618" s="2" t="str">
        <f ca="1">IFERROR(__xludf.DUMMYFUNCTION("""COMPUTED_VALUE"""),"736fba40")</f>
        <v>736fba40</v>
      </c>
      <c r="B618" s="2"/>
      <c r="C618" s="5">
        <f ca="1">IFERROR(__xludf.DUMMYFUNCTION("""COMPUTED_VALUE"""),45770.8015393518)</f>
        <v>45770.8015393518</v>
      </c>
      <c r="D618" s="2">
        <f ca="1">IFERROR(__xludf.DUMMYFUNCTION("""COMPUTED_VALUE"""),500)</f>
        <v>500</v>
      </c>
      <c r="E618" s="2">
        <f ca="1">IFERROR(__xludf.DUMMYFUNCTION("""COMPUTED_VALUE"""),200000)</f>
        <v>200000</v>
      </c>
      <c r="F618" s="2" t="str">
        <f ca="1">IFERROR(__xludf.DUMMYFUNCTION("""COMPUTED_VALUE"""),"Ajuste semana 22/04/25")</f>
        <v>Ajuste semana 22/04/25</v>
      </c>
      <c r="G618" s="2">
        <f ca="1">IFERROR(__xludf.DUMMYFUNCTION("""COMPUTED_VALUE"""),36851)</f>
        <v>36851</v>
      </c>
      <c r="H618" s="2">
        <f ca="1">IFERROR(__xludf.DUMMYFUNCTION("""COMPUTED_VALUE"""),36951)</f>
        <v>36951</v>
      </c>
      <c r="I618" s="2"/>
      <c r="J618" s="2"/>
      <c r="K618" s="2" t="str">
        <f ca="1">IFERROR(__xludf.DUMMYFUNCTION("""COMPUTED_VALUE"""),"Terminado")</f>
        <v>Terminado</v>
      </c>
      <c r="L618" s="2"/>
      <c r="M618" s="2"/>
    </row>
    <row r="619" spans="1:13" x14ac:dyDescent="0.25">
      <c r="A619" s="2" t="str">
        <f ca="1">IFERROR(__xludf.DUMMYFUNCTION("""COMPUTED_VALUE"""),"ffeda620")</f>
        <v>ffeda620</v>
      </c>
      <c r="B619" s="2"/>
      <c r="C619" s="5">
        <f ca="1">IFERROR(__xludf.DUMMYFUNCTION("""COMPUTED_VALUE"""),45770.8018402777)</f>
        <v>45770.801840277702</v>
      </c>
      <c r="D619" s="2">
        <f ca="1">IFERROR(__xludf.DUMMYFUNCTION("""COMPUTED_VALUE"""),500)</f>
        <v>500</v>
      </c>
      <c r="E619" s="2">
        <f ca="1">IFERROR(__xludf.DUMMYFUNCTION("""COMPUTED_VALUE"""),200000)</f>
        <v>200000</v>
      </c>
      <c r="F619" s="2" t="str">
        <f ca="1">IFERROR(__xludf.DUMMYFUNCTION("""COMPUTED_VALUE"""),"Ajuste semana 22/04/25")</f>
        <v>Ajuste semana 22/04/25</v>
      </c>
      <c r="G619" s="2">
        <f ca="1">IFERROR(__xludf.DUMMYFUNCTION("""COMPUTED_VALUE"""),36951)</f>
        <v>36951</v>
      </c>
      <c r="H619" s="2">
        <f ca="1">IFERROR(__xludf.DUMMYFUNCTION("""COMPUTED_VALUE"""),37451)</f>
        <v>37451</v>
      </c>
      <c r="I619" s="2"/>
      <c r="J619" s="2"/>
      <c r="K619" s="2" t="str">
        <f ca="1">IFERROR(__xludf.DUMMYFUNCTION("""COMPUTED_VALUE"""),"Terminado")</f>
        <v>Terminado</v>
      </c>
      <c r="L619" s="2"/>
      <c r="M619" s="2"/>
    </row>
    <row r="620" spans="1:13" x14ac:dyDescent="0.25">
      <c r="A620" s="2" t="str">
        <f ca="1">IFERROR(__xludf.DUMMYFUNCTION("""COMPUTED_VALUE"""),"f03419e2")</f>
        <v>f03419e2</v>
      </c>
      <c r="B620" s="2"/>
      <c r="C620" s="5">
        <f ca="1">IFERROR(__xludf.DUMMYFUNCTION("""COMPUTED_VALUE"""),45770.8020601851)</f>
        <v>45770.802060185102</v>
      </c>
      <c r="D620" s="2">
        <f ca="1">IFERROR(__xludf.DUMMYFUNCTION("""COMPUTED_VALUE"""),500)</f>
        <v>500</v>
      </c>
      <c r="E620" s="2">
        <f ca="1">IFERROR(__xludf.DUMMYFUNCTION("""COMPUTED_VALUE"""),200000)</f>
        <v>200000</v>
      </c>
      <c r="F620" s="2" t="str">
        <f ca="1">IFERROR(__xludf.DUMMYFUNCTION("""COMPUTED_VALUE"""),"Ajuste semana 22/04/25")</f>
        <v>Ajuste semana 22/04/25</v>
      </c>
      <c r="G620" s="2">
        <f ca="1">IFERROR(__xludf.DUMMYFUNCTION("""COMPUTED_VALUE"""),37451)</f>
        <v>37451</v>
      </c>
      <c r="H620" s="2">
        <f ca="1">IFERROR(__xludf.DUMMYFUNCTION("""COMPUTED_VALUE"""),37951)</f>
        <v>37951</v>
      </c>
      <c r="I620" s="2"/>
      <c r="J620" s="2"/>
      <c r="K620" s="2" t="str">
        <f ca="1">IFERROR(__xludf.DUMMYFUNCTION("""COMPUTED_VALUE"""),"Terminado")</f>
        <v>Terminado</v>
      </c>
      <c r="L620" s="2"/>
      <c r="M620" s="2"/>
    </row>
    <row r="621" spans="1:13" x14ac:dyDescent="0.25">
      <c r="A621" s="2" t="str">
        <f ca="1">IFERROR(__xludf.DUMMYFUNCTION("""COMPUTED_VALUE"""),"29562a89")</f>
        <v>29562a89</v>
      </c>
      <c r="B621" s="2"/>
      <c r="C621" s="5">
        <f ca="1">IFERROR(__xludf.DUMMYFUNCTION("""COMPUTED_VALUE"""),45770.8023958333)</f>
        <v>45770.8023958333</v>
      </c>
      <c r="D621" s="2">
        <f ca="1">IFERROR(__xludf.DUMMYFUNCTION("""COMPUTED_VALUE"""),500)</f>
        <v>500</v>
      </c>
      <c r="E621" s="2">
        <f ca="1">IFERROR(__xludf.DUMMYFUNCTION("""COMPUTED_VALUE"""),200000)</f>
        <v>200000</v>
      </c>
      <c r="F621" s="2" t="str">
        <f ca="1">IFERROR(__xludf.DUMMYFUNCTION("""COMPUTED_VALUE"""),"Ajuste semana 22/04/25")</f>
        <v>Ajuste semana 22/04/25</v>
      </c>
      <c r="G621" s="2">
        <f ca="1">IFERROR(__xludf.DUMMYFUNCTION("""COMPUTED_VALUE"""),37951)</f>
        <v>37951</v>
      </c>
      <c r="H621" s="2">
        <f ca="1">IFERROR(__xludf.DUMMYFUNCTION("""COMPUTED_VALUE"""),38951)</f>
        <v>38951</v>
      </c>
      <c r="I621" s="2"/>
      <c r="J621" s="2"/>
      <c r="K621" s="2" t="str">
        <f ca="1">IFERROR(__xludf.DUMMYFUNCTION("""COMPUTED_VALUE"""),"Terminado")</f>
        <v>Terminado</v>
      </c>
      <c r="L621" s="2"/>
      <c r="M621" s="2"/>
    </row>
    <row r="622" spans="1:13" x14ac:dyDescent="0.25">
      <c r="A622" s="2" t="str">
        <f ca="1">IFERROR(__xludf.DUMMYFUNCTION("""COMPUTED_VALUE"""),"f903f0b8")</f>
        <v>f903f0b8</v>
      </c>
      <c r="B622" s="2"/>
      <c r="C622" s="5">
        <f ca="1">IFERROR(__xludf.DUMMYFUNCTION("""COMPUTED_VALUE"""),45770.802824074)</f>
        <v>45770.802824074002</v>
      </c>
      <c r="D622" s="2">
        <f ca="1">IFERROR(__xludf.DUMMYFUNCTION("""COMPUTED_VALUE"""),500)</f>
        <v>500</v>
      </c>
      <c r="E622" s="2">
        <f ca="1">IFERROR(__xludf.DUMMYFUNCTION("""COMPUTED_VALUE"""),200000)</f>
        <v>200000</v>
      </c>
      <c r="F622" s="2" t="str">
        <f ca="1">IFERROR(__xludf.DUMMYFUNCTION("""COMPUTED_VALUE"""),"Ajuste semana 22/04/25")</f>
        <v>Ajuste semana 22/04/25</v>
      </c>
      <c r="G622" s="2">
        <f ca="1">IFERROR(__xludf.DUMMYFUNCTION("""COMPUTED_VALUE"""),38951)</f>
        <v>38951</v>
      </c>
      <c r="H622" s="2">
        <f ca="1">IFERROR(__xludf.DUMMYFUNCTION("""COMPUTED_VALUE"""),43651)</f>
        <v>43651</v>
      </c>
      <c r="I622" s="2"/>
      <c r="J622" s="2"/>
      <c r="K622" s="2" t="str">
        <f ca="1">IFERROR(__xludf.DUMMYFUNCTION("""COMPUTED_VALUE"""),"Terminado")</f>
        <v>Terminado</v>
      </c>
      <c r="L622" s="2"/>
      <c r="M622" s="2"/>
    </row>
    <row r="623" spans="1:13" x14ac:dyDescent="0.25">
      <c r="A623" s="2" t="str">
        <f ca="1">IFERROR(__xludf.DUMMYFUNCTION("""COMPUTED_VALUE"""),"5bb686b4")</f>
        <v>5bb686b4</v>
      </c>
      <c r="B623" s="2"/>
      <c r="C623" s="5">
        <f ca="1">IFERROR(__xludf.DUMMYFUNCTION("""COMPUTED_VALUE"""),45770.8039699074)</f>
        <v>45770.8039699074</v>
      </c>
      <c r="D623" s="2">
        <f ca="1">IFERROR(__xludf.DUMMYFUNCTION("""COMPUTED_VALUE"""),500)</f>
        <v>500</v>
      </c>
      <c r="E623" s="2">
        <f ca="1">IFERROR(__xludf.DUMMYFUNCTION("""COMPUTED_VALUE"""),200000)</f>
        <v>200000</v>
      </c>
      <c r="F623" s="2" t="str">
        <f ca="1">IFERROR(__xludf.DUMMYFUNCTION("""COMPUTED_VALUE"""),"Ajuste semana 22/04/25")</f>
        <v>Ajuste semana 22/04/25</v>
      </c>
      <c r="G623" s="2">
        <f ca="1">IFERROR(__xludf.DUMMYFUNCTION("""COMPUTED_VALUE"""),43651)</f>
        <v>43651</v>
      </c>
      <c r="H623" s="2">
        <f ca="1">IFERROR(__xludf.DUMMYFUNCTION("""COMPUTED_VALUE"""),50451)</f>
        <v>50451</v>
      </c>
      <c r="I623" s="2"/>
      <c r="J623" s="2"/>
      <c r="K623" s="2" t="str">
        <f ca="1">IFERROR(__xludf.DUMMYFUNCTION("""COMPUTED_VALUE"""),"Terminado")</f>
        <v>Terminado</v>
      </c>
      <c r="L623" s="2"/>
      <c r="M623" s="2"/>
    </row>
    <row r="624" spans="1:13" x14ac:dyDescent="0.25">
      <c r="A624" s="2" t="str">
        <f ca="1">IFERROR(__xludf.DUMMYFUNCTION("""COMPUTED_VALUE"""),"3a00f0d2")</f>
        <v>3a00f0d2</v>
      </c>
      <c r="B624" s="2"/>
      <c r="C624" s="5">
        <f ca="1">IFERROR(__xludf.DUMMYFUNCTION("""COMPUTED_VALUE"""),45770.804224537)</f>
        <v>45770.804224537002</v>
      </c>
      <c r="D624" s="2">
        <f ca="1">IFERROR(__xludf.DUMMYFUNCTION("""COMPUTED_VALUE"""),500)</f>
        <v>500</v>
      </c>
      <c r="E624" s="2">
        <f ca="1">IFERROR(__xludf.DUMMYFUNCTION("""COMPUTED_VALUE"""),200000)</f>
        <v>200000</v>
      </c>
      <c r="F624" s="2" t="str">
        <f ca="1">IFERROR(__xludf.DUMMYFUNCTION("""COMPUTED_VALUE"""),"Ajuste semana 22/04/25")</f>
        <v>Ajuste semana 22/04/25</v>
      </c>
      <c r="G624" s="2">
        <f ca="1">IFERROR(__xludf.DUMMYFUNCTION("""COMPUTED_VALUE"""),50451)</f>
        <v>50451</v>
      </c>
      <c r="H624" s="2">
        <f ca="1">IFERROR(__xludf.DUMMYFUNCTION("""COMPUTED_VALUE"""),51651)</f>
        <v>51651</v>
      </c>
      <c r="I624" s="2"/>
      <c r="J624" s="2"/>
      <c r="K624" s="2" t="str">
        <f ca="1">IFERROR(__xludf.DUMMYFUNCTION("""COMPUTED_VALUE"""),"Terminado")</f>
        <v>Terminado</v>
      </c>
      <c r="L624" s="2"/>
      <c r="M624" s="2"/>
    </row>
    <row r="625" spans="1:13" x14ac:dyDescent="0.25">
      <c r="A625" s="2" t="str">
        <f ca="1">IFERROR(__xludf.DUMMYFUNCTION("""COMPUTED_VALUE"""),"a9e55b1f")</f>
        <v>a9e55b1f</v>
      </c>
      <c r="B625" s="2"/>
      <c r="C625" s="5">
        <f ca="1">IFERROR(__xludf.DUMMYFUNCTION("""COMPUTED_VALUE"""),45770.8046643518)</f>
        <v>45770.804664351803</v>
      </c>
      <c r="D625" s="2">
        <f ca="1">IFERROR(__xludf.DUMMYFUNCTION("""COMPUTED_VALUE"""),500)</f>
        <v>500</v>
      </c>
      <c r="E625" s="2">
        <f ca="1">IFERROR(__xludf.DUMMYFUNCTION("""COMPUTED_VALUE"""),200000)</f>
        <v>200000</v>
      </c>
      <c r="F625" s="2" t="str">
        <f ca="1">IFERROR(__xludf.DUMMYFUNCTION("""COMPUTED_VALUE"""),"Ajuste semana 22/04/25")</f>
        <v>Ajuste semana 22/04/25</v>
      </c>
      <c r="G625" s="2">
        <f ca="1">IFERROR(__xludf.DUMMYFUNCTION("""COMPUTED_VALUE"""),51651)</f>
        <v>51651</v>
      </c>
      <c r="H625" s="2">
        <f ca="1">IFERROR(__xludf.DUMMYFUNCTION("""COMPUTED_VALUE"""),60751)</f>
        <v>60751</v>
      </c>
      <c r="I625" s="2"/>
      <c r="J625" s="2"/>
      <c r="K625" s="2" t="str">
        <f ca="1">IFERROR(__xludf.DUMMYFUNCTION("""COMPUTED_VALUE"""),"Terminado")</f>
        <v>Terminado</v>
      </c>
      <c r="L625" s="2"/>
      <c r="M625" s="2"/>
    </row>
    <row r="626" spans="1:13" x14ac:dyDescent="0.25">
      <c r="A626" s="2" t="str">
        <f ca="1">IFERROR(__xludf.DUMMYFUNCTION("""COMPUTED_VALUE"""),"c7e67b2b")</f>
        <v>c7e67b2b</v>
      </c>
      <c r="B626" s="2"/>
      <c r="C626" s="5">
        <f ca="1">IFERROR(__xludf.DUMMYFUNCTION("""COMPUTED_VALUE"""),45770.8051504629)</f>
        <v>45770.805150462897</v>
      </c>
      <c r="D626" s="2">
        <f ca="1">IFERROR(__xludf.DUMMYFUNCTION("""COMPUTED_VALUE"""),500)</f>
        <v>500</v>
      </c>
      <c r="E626" s="2">
        <f ca="1">IFERROR(__xludf.DUMMYFUNCTION("""COMPUTED_VALUE"""),200000)</f>
        <v>200000</v>
      </c>
      <c r="F626" s="2" t="str">
        <f ca="1">IFERROR(__xludf.DUMMYFUNCTION("""COMPUTED_VALUE"""),"Ajuste semana 22/04/25")</f>
        <v>Ajuste semana 22/04/25</v>
      </c>
      <c r="G626" s="2">
        <f ca="1">IFERROR(__xludf.DUMMYFUNCTION("""COMPUTED_VALUE"""),60751)</f>
        <v>60751</v>
      </c>
      <c r="H626" s="2">
        <f ca="1">IFERROR(__xludf.DUMMYFUNCTION("""COMPUTED_VALUE"""),85751)</f>
        <v>85751</v>
      </c>
      <c r="I626" s="2"/>
      <c r="J626" s="2"/>
      <c r="K626" s="2" t="str">
        <f ca="1">IFERROR(__xludf.DUMMYFUNCTION("""COMPUTED_VALUE"""),"Terminado")</f>
        <v>Terminado</v>
      </c>
      <c r="L626" s="2"/>
      <c r="M626" s="2"/>
    </row>
    <row r="627" spans="1:13" x14ac:dyDescent="0.25">
      <c r="A627" s="2" t="str">
        <f ca="1">IFERROR(__xludf.DUMMYFUNCTION("""COMPUTED_VALUE"""),"3e5de831")</f>
        <v>3e5de831</v>
      </c>
      <c r="B627" s="2"/>
      <c r="C627" s="5">
        <f ca="1">IFERROR(__xludf.DUMMYFUNCTION("""COMPUTED_VALUE"""),45770.8056018518)</f>
        <v>45770.805601851796</v>
      </c>
      <c r="D627" s="2">
        <f ca="1">IFERROR(__xludf.DUMMYFUNCTION("""COMPUTED_VALUE"""),500)</f>
        <v>500</v>
      </c>
      <c r="E627" s="2">
        <f ca="1">IFERROR(__xludf.DUMMYFUNCTION("""COMPUTED_VALUE"""),200000)</f>
        <v>200000</v>
      </c>
      <c r="F627" s="2" t="str">
        <f ca="1">IFERROR(__xludf.DUMMYFUNCTION("""COMPUTED_VALUE"""),"Ajuste semana 22/04/25")</f>
        <v>Ajuste semana 22/04/25</v>
      </c>
      <c r="G627" s="2">
        <f ca="1">IFERROR(__xludf.DUMMYFUNCTION("""COMPUTED_VALUE"""),85751)</f>
        <v>85751</v>
      </c>
      <c r="H627" s="2">
        <f ca="1">IFERROR(__xludf.DUMMYFUNCTION("""COMPUTED_VALUE"""),91751)</f>
        <v>91751</v>
      </c>
      <c r="I627" s="2"/>
      <c r="J627" s="2"/>
      <c r="K627" s="2" t="str">
        <f ca="1">IFERROR(__xludf.DUMMYFUNCTION("""COMPUTED_VALUE"""),"Terminado")</f>
        <v>Terminado</v>
      </c>
      <c r="L627" s="2"/>
      <c r="M627" s="2"/>
    </row>
    <row r="628" spans="1:13" x14ac:dyDescent="0.25">
      <c r="A628" s="2" t="str">
        <f ca="1">IFERROR(__xludf.DUMMYFUNCTION("""COMPUTED_VALUE"""),"c162b136")</f>
        <v>c162b136</v>
      </c>
      <c r="B628" s="2"/>
      <c r="C628" s="5">
        <f ca="1">IFERROR(__xludf.DUMMYFUNCTION("""COMPUTED_VALUE"""),45770.8061342592)</f>
        <v>45770.806134259197</v>
      </c>
      <c r="D628" s="2">
        <f ca="1">IFERROR(__xludf.DUMMYFUNCTION("""COMPUTED_VALUE"""),500)</f>
        <v>500</v>
      </c>
      <c r="E628" s="2">
        <f ca="1">IFERROR(__xludf.DUMMYFUNCTION("""COMPUTED_VALUE"""),200000)</f>
        <v>200000</v>
      </c>
      <c r="F628" s="2" t="str">
        <f ca="1">IFERROR(__xludf.DUMMYFUNCTION("""COMPUTED_VALUE"""),"Ajuste semana 22/04/25")</f>
        <v>Ajuste semana 22/04/25</v>
      </c>
      <c r="G628" s="2">
        <f ca="1">IFERROR(__xludf.DUMMYFUNCTION("""COMPUTED_VALUE"""),91751)</f>
        <v>91751</v>
      </c>
      <c r="H628" s="2">
        <f ca="1">IFERROR(__xludf.DUMMYFUNCTION("""COMPUTED_VALUE"""),97451)</f>
        <v>97451</v>
      </c>
      <c r="I628" s="2"/>
      <c r="J628" s="2"/>
      <c r="K628" s="2" t="str">
        <f ca="1">IFERROR(__xludf.DUMMYFUNCTION("""COMPUTED_VALUE"""),"Terminado")</f>
        <v>Terminado</v>
      </c>
      <c r="L628" s="2"/>
      <c r="M628" s="2"/>
    </row>
    <row r="629" spans="1:13" x14ac:dyDescent="0.25">
      <c r="A629" s="2" t="str">
        <f ca="1">IFERROR(__xludf.DUMMYFUNCTION("""COMPUTED_VALUE"""),"63f835d2")</f>
        <v>63f835d2</v>
      </c>
      <c r="B629" s="2"/>
      <c r="C629" s="5">
        <f ca="1">IFERROR(__xludf.DUMMYFUNCTION("""COMPUTED_VALUE"""),45770.8072569444)</f>
        <v>45770.807256944398</v>
      </c>
      <c r="D629" s="2">
        <f ca="1">IFERROR(__xludf.DUMMYFUNCTION("""COMPUTED_VALUE"""),500)</f>
        <v>500</v>
      </c>
      <c r="E629" s="2">
        <f ca="1">IFERROR(__xludf.DUMMYFUNCTION("""COMPUTED_VALUE"""),200000)</f>
        <v>200000</v>
      </c>
      <c r="F629" s="2" t="str">
        <f ca="1">IFERROR(__xludf.DUMMYFUNCTION("""COMPUTED_VALUE"""),"Ajuste semana 22/04/25")</f>
        <v>Ajuste semana 22/04/25</v>
      </c>
      <c r="G629" s="2">
        <f ca="1">IFERROR(__xludf.DUMMYFUNCTION("""COMPUTED_VALUE"""),97451)</f>
        <v>97451</v>
      </c>
      <c r="H629" s="2">
        <f ca="1">IFERROR(__xludf.DUMMYFUNCTION("""COMPUTED_VALUE"""),99951)</f>
        <v>99951</v>
      </c>
      <c r="I629" s="2"/>
      <c r="J629" s="2"/>
      <c r="K629" s="2" t="str">
        <f ca="1">IFERROR(__xludf.DUMMYFUNCTION("""COMPUTED_VALUE"""),"Terminado")</f>
        <v>Terminado</v>
      </c>
      <c r="L629" s="2"/>
      <c r="M629" s="2"/>
    </row>
    <row r="630" spans="1:13" x14ac:dyDescent="0.25">
      <c r="A630" s="2" t="str">
        <f ca="1">IFERROR(__xludf.DUMMYFUNCTION("""COMPUTED_VALUE"""),"cc7d6ede")</f>
        <v>cc7d6ede</v>
      </c>
      <c r="B630" s="2"/>
      <c r="C630" s="5">
        <f ca="1">IFERROR(__xludf.DUMMYFUNCTION("""COMPUTED_VALUE"""),45770.8075925925)</f>
        <v>45770.8075925925</v>
      </c>
      <c r="D630" s="2">
        <f ca="1">IFERROR(__xludf.DUMMYFUNCTION("""COMPUTED_VALUE"""),500)</f>
        <v>500</v>
      </c>
      <c r="E630" s="2">
        <f ca="1">IFERROR(__xludf.DUMMYFUNCTION("""COMPUTED_VALUE"""),200000)</f>
        <v>200000</v>
      </c>
      <c r="F630" s="2" t="str">
        <f ca="1">IFERROR(__xludf.DUMMYFUNCTION("""COMPUTED_VALUE"""),"Ajuste semana 22/04/25")</f>
        <v>Ajuste semana 22/04/25</v>
      </c>
      <c r="G630" s="2">
        <f ca="1">IFERROR(__xludf.DUMMYFUNCTION("""COMPUTED_VALUE"""),99951)</f>
        <v>99951</v>
      </c>
      <c r="H630" s="2">
        <f ca="1">IFERROR(__xludf.DUMMYFUNCTION("""COMPUTED_VALUE"""),101951)</f>
        <v>101951</v>
      </c>
      <c r="I630" s="2"/>
      <c r="J630" s="2"/>
      <c r="K630" s="2" t="str">
        <f ca="1">IFERROR(__xludf.DUMMYFUNCTION("""COMPUTED_VALUE"""),"Terminado")</f>
        <v>Terminado</v>
      </c>
      <c r="L630" s="2"/>
      <c r="M630" s="2"/>
    </row>
    <row r="631" spans="1:13" x14ac:dyDescent="0.25">
      <c r="A631" s="2" t="str">
        <f ca="1">IFERROR(__xludf.DUMMYFUNCTION("""COMPUTED_VALUE"""),"b72e8fa5")</f>
        <v>b72e8fa5</v>
      </c>
      <c r="B631" s="2"/>
      <c r="C631" s="5">
        <f ca="1">IFERROR(__xludf.DUMMYFUNCTION("""COMPUTED_VALUE"""),45770.8079282407)</f>
        <v>45770.807928240698</v>
      </c>
      <c r="D631" s="2">
        <f ca="1">IFERROR(__xludf.DUMMYFUNCTION("""COMPUTED_VALUE"""),500)</f>
        <v>500</v>
      </c>
      <c r="E631" s="2">
        <f ca="1">IFERROR(__xludf.DUMMYFUNCTION("""COMPUTED_VALUE"""),200000)</f>
        <v>200000</v>
      </c>
      <c r="F631" s="2" t="str">
        <f ca="1">IFERROR(__xludf.DUMMYFUNCTION("""COMPUTED_VALUE"""),"Ajuste semana 22/04/25")</f>
        <v>Ajuste semana 22/04/25</v>
      </c>
      <c r="G631" s="2">
        <f ca="1">IFERROR(__xludf.DUMMYFUNCTION("""COMPUTED_VALUE"""),101951)</f>
        <v>101951</v>
      </c>
      <c r="H631" s="2">
        <f ca="1">IFERROR(__xludf.DUMMYFUNCTION("""COMPUTED_VALUE"""),100651)</f>
        <v>100651</v>
      </c>
      <c r="I631" s="2"/>
      <c r="J631" s="2"/>
      <c r="K631" s="2" t="str">
        <f ca="1">IFERROR(__xludf.DUMMYFUNCTION("""COMPUTED_VALUE"""),"Terminado")</f>
        <v>Terminado</v>
      </c>
      <c r="L631" s="2"/>
      <c r="M631" s="2"/>
    </row>
    <row r="632" spans="1:13" x14ac:dyDescent="0.25">
      <c r="A632" s="2" t="str">
        <f ca="1">IFERROR(__xludf.DUMMYFUNCTION("""COMPUTED_VALUE"""),"6eff06c5")</f>
        <v>6eff06c5</v>
      </c>
      <c r="B632" s="2"/>
      <c r="C632" s="5">
        <f ca="1">IFERROR(__xludf.DUMMYFUNCTION("""COMPUTED_VALUE"""),45770.8091435185)</f>
        <v>45770.809143518498</v>
      </c>
      <c r="D632" s="2">
        <f ca="1">IFERROR(__xludf.DUMMYFUNCTION("""COMPUTED_VALUE"""),500)</f>
        <v>500</v>
      </c>
      <c r="E632" s="2">
        <f ca="1">IFERROR(__xludf.DUMMYFUNCTION("""COMPUTED_VALUE"""),200000)</f>
        <v>200000</v>
      </c>
      <c r="F632" s="2" t="str">
        <f ca="1">IFERROR(__xludf.DUMMYFUNCTION("""COMPUTED_VALUE"""),"Ajuste semana 22/04/25")</f>
        <v>Ajuste semana 22/04/25</v>
      </c>
      <c r="G632" s="2">
        <f ca="1">IFERROR(__xludf.DUMMYFUNCTION("""COMPUTED_VALUE"""),100651)</f>
        <v>100651</v>
      </c>
      <c r="H632" s="2">
        <f ca="1">IFERROR(__xludf.DUMMYFUNCTION("""COMPUTED_VALUE"""),109251)</f>
        <v>109251</v>
      </c>
      <c r="I632" s="2"/>
      <c r="J632" s="2"/>
      <c r="K632" s="2" t="str">
        <f ca="1">IFERROR(__xludf.DUMMYFUNCTION("""COMPUTED_VALUE"""),"Terminado")</f>
        <v>Terminado</v>
      </c>
      <c r="L632" s="2"/>
      <c r="M632" s="2"/>
    </row>
    <row r="633" spans="1:13" x14ac:dyDescent="0.25">
      <c r="A633" s="2" t="str">
        <f ca="1">IFERROR(__xludf.DUMMYFUNCTION("""COMPUTED_VALUE"""),"8eb42fc1")</f>
        <v>8eb42fc1</v>
      </c>
      <c r="B633" s="2"/>
      <c r="C633" s="5">
        <f ca="1">IFERROR(__xludf.DUMMYFUNCTION("""COMPUTED_VALUE"""),45770.809699074)</f>
        <v>45770.809699074001</v>
      </c>
      <c r="D633" s="2">
        <f ca="1">IFERROR(__xludf.DUMMYFUNCTION("""COMPUTED_VALUE"""),500)</f>
        <v>500</v>
      </c>
      <c r="E633" s="2">
        <f ca="1">IFERROR(__xludf.DUMMYFUNCTION("""COMPUTED_VALUE"""),200000)</f>
        <v>200000</v>
      </c>
      <c r="F633" s="2" t="str">
        <f ca="1">IFERROR(__xludf.DUMMYFUNCTION("""COMPUTED_VALUE"""),"Ajuste semana 22/04/25")</f>
        <v>Ajuste semana 22/04/25</v>
      </c>
      <c r="G633" s="2">
        <f ca="1">IFERROR(__xludf.DUMMYFUNCTION("""COMPUTED_VALUE"""),109251)</f>
        <v>109251</v>
      </c>
      <c r="H633" s="2">
        <f ca="1">IFERROR(__xludf.DUMMYFUNCTION("""COMPUTED_VALUE"""),113251)</f>
        <v>113251</v>
      </c>
      <c r="I633" s="2"/>
      <c r="J633" s="2"/>
      <c r="K633" s="2" t="str">
        <f ca="1">IFERROR(__xludf.DUMMYFUNCTION("""COMPUTED_VALUE"""),"Terminado")</f>
        <v>Terminado</v>
      </c>
      <c r="L633" s="2"/>
      <c r="M633" s="2"/>
    </row>
    <row r="634" spans="1:13" x14ac:dyDescent="0.25">
      <c r="A634" s="2" t="str">
        <f ca="1">IFERROR(__xludf.DUMMYFUNCTION("""COMPUTED_VALUE"""),"684dcfdb")</f>
        <v>684dcfdb</v>
      </c>
      <c r="B634" s="2"/>
      <c r="C634" s="5">
        <f ca="1">IFERROR(__xludf.DUMMYFUNCTION("""COMPUTED_VALUE"""),45770.8131944444)</f>
        <v>45770.813194444403</v>
      </c>
      <c r="D634" s="2">
        <f ca="1">IFERROR(__xludf.DUMMYFUNCTION("""COMPUTED_VALUE"""),500)</f>
        <v>500</v>
      </c>
      <c r="E634" s="2">
        <f ca="1">IFERROR(__xludf.DUMMYFUNCTION("""COMPUTED_VALUE"""),200000)</f>
        <v>200000</v>
      </c>
      <c r="F634" s="2" t="str">
        <f ca="1">IFERROR(__xludf.DUMMYFUNCTION("""COMPUTED_VALUE"""),"Ajuste semana 22/04/25")</f>
        <v>Ajuste semana 22/04/25</v>
      </c>
      <c r="G634" s="2">
        <f ca="1">IFERROR(__xludf.DUMMYFUNCTION("""COMPUTED_VALUE"""),113251)</f>
        <v>113251</v>
      </c>
      <c r="H634" s="2">
        <f ca="1">IFERROR(__xludf.DUMMYFUNCTION("""COMPUTED_VALUE"""),116251)</f>
        <v>116251</v>
      </c>
      <c r="I634" s="2"/>
      <c r="J634" s="2"/>
      <c r="K634" s="2" t="str">
        <f ca="1">IFERROR(__xludf.DUMMYFUNCTION("""COMPUTED_VALUE"""),"Terminado")</f>
        <v>Terminado</v>
      </c>
      <c r="L634" s="2"/>
      <c r="M634" s="2"/>
    </row>
    <row r="635" spans="1:13" x14ac:dyDescent="0.25">
      <c r="A635" s="2" t="str">
        <f ca="1">IFERROR(__xludf.DUMMYFUNCTION("""COMPUTED_VALUE"""),"f3aba56a")</f>
        <v>f3aba56a</v>
      </c>
      <c r="B635" s="2"/>
      <c r="C635" s="5">
        <f ca="1">IFERROR(__xludf.DUMMYFUNCTION("""COMPUTED_VALUE"""),45770.8141087962)</f>
        <v>45770.814108796199</v>
      </c>
      <c r="D635" s="2">
        <f ca="1">IFERROR(__xludf.DUMMYFUNCTION("""COMPUTED_VALUE"""),500)</f>
        <v>500</v>
      </c>
      <c r="E635" s="2">
        <f ca="1">IFERROR(__xludf.DUMMYFUNCTION("""COMPUTED_VALUE"""),200000)</f>
        <v>200000</v>
      </c>
      <c r="F635" s="2" t="str">
        <f ca="1">IFERROR(__xludf.DUMMYFUNCTION("""COMPUTED_VALUE"""),"Ajuste semana 22/04/25")</f>
        <v>Ajuste semana 22/04/25</v>
      </c>
      <c r="G635" s="2">
        <f ca="1">IFERROR(__xludf.DUMMYFUNCTION("""COMPUTED_VALUE"""),116251)</f>
        <v>116251</v>
      </c>
      <c r="H635" s="2">
        <f ca="1">IFERROR(__xludf.DUMMYFUNCTION("""COMPUTED_VALUE"""),116851)</f>
        <v>116851</v>
      </c>
      <c r="I635" s="2"/>
      <c r="J635" s="2"/>
      <c r="K635" s="2" t="str">
        <f ca="1">IFERROR(__xludf.DUMMYFUNCTION("""COMPUTED_VALUE"""),"Terminado")</f>
        <v>Terminado</v>
      </c>
      <c r="L635" s="2"/>
      <c r="M635" s="2"/>
    </row>
    <row r="636" spans="1:13" x14ac:dyDescent="0.25">
      <c r="A636" s="2" t="str">
        <f ca="1">IFERROR(__xludf.DUMMYFUNCTION("""COMPUTED_VALUE"""),"3e75d6d3")</f>
        <v>3e75d6d3</v>
      </c>
      <c r="B636" s="2"/>
      <c r="C636" s="5">
        <f ca="1">IFERROR(__xludf.DUMMYFUNCTION("""COMPUTED_VALUE"""),45770.8146064814)</f>
        <v>45770.814606481399</v>
      </c>
      <c r="D636" s="2">
        <f ca="1">IFERROR(__xludf.DUMMYFUNCTION("""COMPUTED_VALUE"""),500)</f>
        <v>500</v>
      </c>
      <c r="E636" s="2">
        <f ca="1">IFERROR(__xludf.DUMMYFUNCTION("""COMPUTED_VALUE"""),200000)</f>
        <v>200000</v>
      </c>
      <c r="F636" s="2" t="str">
        <f ca="1">IFERROR(__xludf.DUMMYFUNCTION("""COMPUTED_VALUE"""),"Ajuste semana 22/04/25")</f>
        <v>Ajuste semana 22/04/25</v>
      </c>
      <c r="G636" s="2">
        <f ca="1">IFERROR(__xludf.DUMMYFUNCTION("""COMPUTED_VALUE"""),116851)</f>
        <v>116851</v>
      </c>
      <c r="H636" s="2">
        <f ca="1">IFERROR(__xludf.DUMMYFUNCTION("""COMPUTED_VALUE"""),119351)</f>
        <v>119351</v>
      </c>
      <c r="I636" s="2"/>
      <c r="J636" s="2"/>
      <c r="K636" s="2" t="str">
        <f ca="1">IFERROR(__xludf.DUMMYFUNCTION("""COMPUTED_VALUE"""),"Terminado")</f>
        <v>Terminado</v>
      </c>
      <c r="L636" s="2"/>
      <c r="M636" s="2"/>
    </row>
    <row r="637" spans="1:13" x14ac:dyDescent="0.25">
      <c r="A637" s="2" t="str">
        <f ca="1">IFERROR(__xludf.DUMMYFUNCTION("""COMPUTED_VALUE"""),"8024bac4")</f>
        <v>8024bac4</v>
      </c>
      <c r="B637" s="2"/>
      <c r="C637" s="5">
        <f ca="1">IFERROR(__xludf.DUMMYFUNCTION("""COMPUTED_VALUE"""),45770.8151967592)</f>
        <v>45770.815196759198</v>
      </c>
      <c r="D637" s="2">
        <f ca="1">IFERROR(__xludf.DUMMYFUNCTION("""COMPUTED_VALUE"""),500)</f>
        <v>500</v>
      </c>
      <c r="E637" s="2">
        <f ca="1">IFERROR(__xludf.DUMMYFUNCTION("""COMPUTED_VALUE"""),200000)</f>
        <v>200000</v>
      </c>
      <c r="F637" s="2" t="str">
        <f ca="1">IFERROR(__xludf.DUMMYFUNCTION("""COMPUTED_VALUE"""),"Ajuste semana 22/04/25")</f>
        <v>Ajuste semana 22/04/25</v>
      </c>
      <c r="G637" s="2">
        <f ca="1">IFERROR(__xludf.DUMMYFUNCTION("""COMPUTED_VALUE"""),119351)</f>
        <v>119351</v>
      </c>
      <c r="H637" s="2">
        <f ca="1">IFERROR(__xludf.DUMMYFUNCTION("""COMPUTED_VALUE"""),121851)</f>
        <v>121851</v>
      </c>
      <c r="I637" s="2"/>
      <c r="J637" s="2"/>
      <c r="K637" s="2" t="str">
        <f ca="1">IFERROR(__xludf.DUMMYFUNCTION("""COMPUTED_VALUE"""),"Terminado")</f>
        <v>Terminado</v>
      </c>
      <c r="L637" s="2"/>
      <c r="M637" s="2"/>
    </row>
    <row r="638" spans="1:13" x14ac:dyDescent="0.25">
      <c r="A638" s="2" t="str">
        <f ca="1">IFERROR(__xludf.DUMMYFUNCTION("""COMPUTED_VALUE"""),"6feed4a6")</f>
        <v>6feed4a6</v>
      </c>
      <c r="B638" s="2"/>
      <c r="C638" s="5">
        <f ca="1">IFERROR(__xludf.DUMMYFUNCTION("""COMPUTED_VALUE"""),45771.525335648)</f>
        <v>45771.525335648097</v>
      </c>
      <c r="D638" s="2">
        <f ca="1">IFERROR(__xludf.DUMMYFUNCTION("""COMPUTED_VALUE"""),96)</f>
        <v>96</v>
      </c>
      <c r="E638" s="2">
        <f ca="1">IFERROR(__xludf.DUMMYFUNCTION("""COMPUTED_VALUE"""),85600)</f>
        <v>85600</v>
      </c>
      <c r="F638" s="2" t="str">
        <f ca="1">IFERROR(__xludf.DUMMYFUNCTION("""COMPUTED_VALUE"""),"Tinto")</f>
        <v>Tinto</v>
      </c>
      <c r="G638" s="2">
        <f ca="1">IFERROR(__xludf.DUMMYFUNCTION("""COMPUTED_VALUE"""),24700)</f>
        <v>24700</v>
      </c>
      <c r="H638" s="2">
        <f ca="1">IFERROR(__xludf.DUMMYFUNCTION("""COMPUTED_VALUE"""),74700)</f>
        <v>74700</v>
      </c>
      <c r="I638" s="2"/>
      <c r="J638" s="2"/>
      <c r="K638" s="2" t="str">
        <f ca="1">IFERROR(__xludf.DUMMYFUNCTION("""COMPUTED_VALUE"""),"Descubada")</f>
        <v>Descubada</v>
      </c>
      <c r="L638" s="2"/>
      <c r="M638" s="2"/>
    </row>
    <row r="639" spans="1:13" x14ac:dyDescent="0.25">
      <c r="A639" s="2" t="str">
        <f ca="1">IFERROR(__xludf.DUMMYFUNCTION("""COMPUTED_VALUE"""),"cf107ae5")</f>
        <v>cf107ae5</v>
      </c>
      <c r="B639" s="2"/>
      <c r="C639" s="5">
        <f ca="1">IFERROR(__xludf.DUMMYFUNCTION("""COMPUTED_VALUE"""),45771.5257291666)</f>
        <v>45771.525729166598</v>
      </c>
      <c r="D639" s="2">
        <f ca="1">IFERROR(__xludf.DUMMYFUNCTION("""COMPUTED_VALUE"""),96)</f>
        <v>96</v>
      </c>
      <c r="E639" s="2">
        <f ca="1">IFERROR(__xludf.DUMMYFUNCTION("""COMPUTED_VALUE"""),85600)</f>
        <v>85600</v>
      </c>
      <c r="F639" s="2" t="str">
        <f ca="1">IFERROR(__xludf.DUMMYFUNCTION("""COMPUTED_VALUE"""),"Tinto")</f>
        <v>Tinto</v>
      </c>
      <c r="G639" s="2">
        <f ca="1">IFERROR(__xludf.DUMMYFUNCTION("""COMPUTED_VALUE"""),74700)</f>
        <v>74700</v>
      </c>
      <c r="H639" s="2">
        <f ca="1">IFERROR(__xludf.DUMMYFUNCTION("""COMPUTED_VALUE"""),85600)</f>
        <v>85600</v>
      </c>
      <c r="I639" s="2" t="str">
        <f ca="1">IFERROR(__xludf.DUMMYFUNCTION("""COMPUTED_VALUE"""),"Este saldo de 4400 debe ser borra.  Ya vemos como queda la pileta 118")</f>
        <v>Este saldo de 4400 debe ser borra.  Ya vemos como queda la pileta 118</v>
      </c>
      <c r="J639" s="2"/>
      <c r="K639" s="2" t="str">
        <f ca="1">IFERROR(__xludf.DUMMYFUNCTION("""COMPUTED_VALUE"""),"Descubada")</f>
        <v>Descubada</v>
      </c>
      <c r="L639" s="2"/>
      <c r="M639" s="2"/>
    </row>
    <row r="640" spans="1:13" x14ac:dyDescent="0.25">
      <c r="A640" s="2" t="str">
        <f ca="1">IFERROR(__xludf.DUMMYFUNCTION("""COMPUTED_VALUE"""),"7ff93f30")</f>
        <v>7ff93f30</v>
      </c>
      <c r="B640" s="2"/>
      <c r="C640" s="5">
        <f ca="1">IFERROR(__xludf.DUMMYFUNCTION("""COMPUTED_VALUE"""),45771.5265046296)</f>
        <v>45771.526504629597</v>
      </c>
      <c r="D640" s="2">
        <f ca="1">IFERROR(__xludf.DUMMYFUNCTION("""COMPUTED_VALUE"""),83)</f>
        <v>83</v>
      </c>
      <c r="E640" s="2">
        <f ca="1">IFERROR(__xludf.DUMMYFUNCTION("""COMPUTED_VALUE"""),81500)</f>
        <v>81500</v>
      </c>
      <c r="F640" s="2" t="str">
        <f ca="1">IFERROR(__xludf.DUMMYFUNCTION("""COMPUTED_VALUE"""),"Tinto 2da")</f>
        <v>Tinto 2da</v>
      </c>
      <c r="G640" s="2">
        <f ca="1">IFERROR(__xludf.DUMMYFUNCTION("""COMPUTED_VALUE"""),0)</f>
        <v>0</v>
      </c>
      <c r="H640" s="2">
        <f ca="1">IFERROR(__xludf.DUMMYFUNCTION("""COMPUTED_VALUE"""),43100)</f>
        <v>43100</v>
      </c>
      <c r="I640" s="2"/>
      <c r="J640" s="2"/>
      <c r="K640" s="2" t="str">
        <f ca="1">IFERROR(__xludf.DUMMYFUNCTION("""COMPUTED_VALUE"""),"Descubada")</f>
        <v>Descubada</v>
      </c>
      <c r="L640" s="2"/>
      <c r="M640" s="2"/>
    </row>
    <row r="641" spans="1:13" x14ac:dyDescent="0.25">
      <c r="A641" s="2" t="str">
        <f ca="1">IFERROR(__xludf.DUMMYFUNCTION("""COMPUTED_VALUE"""),"0be7fff5")</f>
        <v>0be7fff5</v>
      </c>
      <c r="B641" s="2"/>
      <c r="C641" s="5">
        <f ca="1">IFERROR(__xludf.DUMMYFUNCTION("""COMPUTED_VALUE"""),45772.7289351851)</f>
        <v>45772.7289351851</v>
      </c>
      <c r="D641" s="2">
        <f ca="1">IFERROR(__xludf.DUMMYFUNCTION("""COMPUTED_VALUE"""),77)</f>
        <v>77</v>
      </c>
      <c r="E641" s="2">
        <f ca="1">IFERROR(__xludf.DUMMYFUNCTION("""COMPUTED_VALUE"""),26000)</f>
        <v>26000</v>
      </c>
      <c r="F641" s="2" t="str">
        <f ca="1">IFERROR(__xludf.DUMMYFUNCTION("""COMPUTED_VALUE"""),"Malbec")</f>
        <v>Malbec</v>
      </c>
      <c r="G641" s="2">
        <f ca="1">IFERROR(__xludf.DUMMYFUNCTION("""COMPUTED_VALUE"""),18000)</f>
        <v>18000</v>
      </c>
      <c r="H641" s="2">
        <f ca="1">IFERROR(__xludf.DUMMYFUNCTION("""COMPUTED_VALUE"""),19500)</f>
        <v>19500</v>
      </c>
      <c r="I641" s="2"/>
      <c r="J641" s="2"/>
      <c r="K641" s="2" t="str">
        <f ca="1">IFERROR(__xludf.DUMMYFUNCTION("""COMPUTED_VALUE"""),"Fermentando")</f>
        <v>Fermentando</v>
      </c>
      <c r="L641" s="2"/>
      <c r="M641" s="2"/>
    </row>
    <row r="642" spans="1:13" x14ac:dyDescent="0.25">
      <c r="A642" s="2" t="str">
        <f ca="1">IFERROR(__xludf.DUMMYFUNCTION("""COMPUTED_VALUE"""),"db10cc10")</f>
        <v>db10cc10</v>
      </c>
      <c r="B642" s="2"/>
      <c r="C642" s="5">
        <f ca="1">IFERROR(__xludf.DUMMYFUNCTION("""COMPUTED_VALUE"""),45772.7294675925)</f>
        <v>45772.7294675925</v>
      </c>
      <c r="D642" s="2">
        <f ca="1">IFERROR(__xludf.DUMMYFUNCTION("""COMPUTED_VALUE"""),76)</f>
        <v>76</v>
      </c>
      <c r="E642" s="2">
        <f ca="1">IFERROR(__xludf.DUMMYFUNCTION("""COMPUTED_VALUE"""),25500)</f>
        <v>25500</v>
      </c>
      <c r="F642" s="2" t="str">
        <f ca="1">IFERROR(__xludf.DUMMYFUNCTION("""COMPUTED_VALUE"""),"Malbec")</f>
        <v>Malbec</v>
      </c>
      <c r="G642" s="2">
        <f ca="1">IFERROR(__xludf.DUMMYFUNCTION("""COMPUTED_VALUE"""),18000)</f>
        <v>18000</v>
      </c>
      <c r="H642" s="2">
        <f ca="1">IFERROR(__xludf.DUMMYFUNCTION("""COMPUTED_VALUE"""),19000)</f>
        <v>19000</v>
      </c>
      <c r="I642" s="2"/>
      <c r="J642" s="2"/>
      <c r="K642" s="2" t="str">
        <f ca="1">IFERROR(__xludf.DUMMYFUNCTION("""COMPUTED_VALUE"""),"Fermentando")</f>
        <v>Fermentando</v>
      </c>
      <c r="L642" s="2"/>
      <c r="M642" s="2"/>
    </row>
    <row r="643" spans="1:13" x14ac:dyDescent="0.25">
      <c r="A643" s="2" t="str">
        <f ca="1">IFERROR(__xludf.DUMMYFUNCTION("""COMPUTED_VALUE"""),"7fce2b75")</f>
        <v>7fce2b75</v>
      </c>
      <c r="B643" s="2"/>
      <c r="C643" s="5">
        <f ca="1">IFERROR(__xludf.DUMMYFUNCTION("""COMPUTED_VALUE"""),45772.7316666666)</f>
        <v>45772.731666666601</v>
      </c>
      <c r="D643" s="2">
        <f ca="1">IFERROR(__xludf.DUMMYFUNCTION("""COMPUTED_VALUE"""),83)</f>
        <v>83</v>
      </c>
      <c r="E643" s="2">
        <f ca="1">IFERROR(__xludf.DUMMYFUNCTION("""COMPUTED_VALUE"""),81500)</f>
        <v>81500</v>
      </c>
      <c r="F643" s="2" t="str">
        <f ca="1">IFERROR(__xludf.DUMMYFUNCTION("""COMPUTED_VALUE"""),"Tinto")</f>
        <v>Tinto</v>
      </c>
      <c r="G643" s="2">
        <f ca="1">IFERROR(__xludf.DUMMYFUNCTION("""COMPUTED_VALUE"""),43100)</f>
        <v>43100</v>
      </c>
      <c r="H643" s="2">
        <f ca="1">IFERROR(__xludf.DUMMYFUNCTION("""COMPUTED_VALUE"""),81500)</f>
        <v>81500</v>
      </c>
      <c r="I643" s="2"/>
      <c r="J643" s="2"/>
      <c r="K643" s="2" t="str">
        <f ca="1">IFERROR(__xludf.DUMMYFUNCTION("""COMPUTED_VALUE"""),"Descubada")</f>
        <v>Descubada</v>
      </c>
      <c r="L643" s="2"/>
      <c r="M643" s="2"/>
    </row>
    <row r="644" spans="1:13" x14ac:dyDescent="0.25">
      <c r="A644" s="2" t="str">
        <f ca="1">IFERROR(__xludf.DUMMYFUNCTION("""COMPUTED_VALUE"""),"60bf4ff8")</f>
        <v>60bf4ff8</v>
      </c>
      <c r="B644" s="2"/>
      <c r="C644" s="5">
        <f ca="1">IFERROR(__xludf.DUMMYFUNCTION("""COMPUTED_VALUE"""),45775.6712384259)</f>
        <v>45775.671238425901</v>
      </c>
      <c r="D644" s="2">
        <f ca="1">IFERROR(__xludf.DUMMYFUNCTION("""COMPUTED_VALUE"""),11)</f>
        <v>11</v>
      </c>
      <c r="E644" s="2">
        <f ca="1">IFERROR(__xludf.DUMMYFUNCTION("""COMPUTED_VALUE"""),36000)</f>
        <v>36000</v>
      </c>
      <c r="F644" s="2" t="str">
        <f ca="1">IFERROR(__xludf.DUMMYFUNCTION("""COMPUTED_VALUE"""),"Claro de filtro")</f>
        <v>Claro de filtro</v>
      </c>
      <c r="G644" s="2">
        <f ca="1">IFERROR(__xludf.DUMMYFUNCTION("""COMPUTED_VALUE"""),5000)</f>
        <v>5000</v>
      </c>
      <c r="H644" s="2">
        <f ca="1">IFERROR(__xludf.DUMMYFUNCTION("""COMPUTED_VALUE"""),6600)</f>
        <v>6600</v>
      </c>
      <c r="I644" s="2"/>
      <c r="J644" s="2"/>
      <c r="K644" s="2" t="str">
        <f ca="1">IFERROR(__xludf.DUMMYFUNCTION("""COMPUTED_VALUE"""),"Descubada")</f>
        <v>Descubada</v>
      </c>
      <c r="L644" s="2"/>
      <c r="M644" s="2"/>
    </row>
    <row r="645" spans="1:13" x14ac:dyDescent="0.25">
      <c r="A645" s="2" t="str">
        <f ca="1">IFERROR(__xludf.DUMMYFUNCTION("""COMPUTED_VALUE"""),"ec4ee36d")</f>
        <v>ec4ee36d</v>
      </c>
      <c r="B645" s="2"/>
      <c r="C645" s="5">
        <f ca="1">IFERROR(__xludf.DUMMYFUNCTION("""COMPUTED_VALUE"""),45775.6741435185)</f>
        <v>45775.674143518503</v>
      </c>
      <c r="D645" s="2">
        <f ca="1">IFERROR(__xludf.DUMMYFUNCTION("""COMPUTED_VALUE"""),90)</f>
        <v>90</v>
      </c>
      <c r="E645" s="2">
        <f ca="1">IFERROR(__xludf.DUMMYFUNCTION("""COMPUTED_VALUE"""),97500)</f>
        <v>97500</v>
      </c>
      <c r="F645" s="2" t="str">
        <f ca="1">IFERROR(__xludf.DUMMYFUNCTION("""COMPUTED_VALUE"""),"Tinto Recarga")</f>
        <v>Tinto Recarga</v>
      </c>
      <c r="G645" s="2">
        <f ca="1">IFERROR(__xludf.DUMMYFUNCTION("""COMPUTED_VALUE"""),0)</f>
        <v>0</v>
      </c>
      <c r="H645" s="2">
        <f ca="1">IFERROR(__xludf.DUMMYFUNCTION("""COMPUTED_VALUE"""),35000)</f>
        <v>35000</v>
      </c>
      <c r="I645" s="2"/>
      <c r="J645" s="2"/>
      <c r="K645" s="2" t="str">
        <f ca="1">IFERROR(__xludf.DUMMYFUNCTION("""COMPUTED_VALUE"""),"1er Trasiego")</f>
        <v>1er Trasiego</v>
      </c>
      <c r="L645" s="2"/>
      <c r="M645" s="2"/>
    </row>
    <row r="646" spans="1:13" x14ac:dyDescent="0.25">
      <c r="A646" s="2" t="str">
        <f ca="1">IFERROR(__xludf.DUMMYFUNCTION("""COMPUTED_VALUE"""),"28a7cc85")</f>
        <v>28a7cc85</v>
      </c>
      <c r="B646" s="2"/>
      <c r="C646" s="5">
        <f ca="1">IFERROR(__xludf.DUMMYFUNCTION("""COMPUTED_VALUE"""),45775.6746759259)</f>
        <v>45775.674675925897</v>
      </c>
      <c r="D646" s="2">
        <f ca="1">IFERROR(__xludf.DUMMYFUNCTION("""COMPUTED_VALUE"""),90)</f>
        <v>90</v>
      </c>
      <c r="E646" s="2">
        <f ca="1">IFERROR(__xludf.DUMMYFUNCTION("""COMPUTED_VALUE"""),97500)</f>
        <v>97500</v>
      </c>
      <c r="F646" s="2" t="str">
        <f ca="1">IFERROR(__xludf.DUMMYFUNCTION("""COMPUTED_VALUE"""),"Tinto Recarga")</f>
        <v>Tinto Recarga</v>
      </c>
      <c r="G646" s="2">
        <f ca="1">IFERROR(__xludf.DUMMYFUNCTION("""COMPUTED_VALUE"""),35000)</f>
        <v>35000</v>
      </c>
      <c r="H646" s="2">
        <f ca="1">IFERROR(__xludf.DUMMYFUNCTION("""COMPUTED_VALUE"""),40100)</f>
        <v>40100</v>
      </c>
      <c r="I646" s="2"/>
      <c r="J646" s="2"/>
      <c r="K646" s="2" t="str">
        <f ca="1">IFERROR(__xludf.DUMMYFUNCTION("""COMPUTED_VALUE"""),"1er Trasiego")</f>
        <v>1er Trasiego</v>
      </c>
      <c r="L646" s="2"/>
      <c r="M646" s="2"/>
    </row>
    <row r="647" spans="1:13" x14ac:dyDescent="0.25">
      <c r="A647" s="2" t="str">
        <f ca="1">IFERROR(__xludf.DUMMYFUNCTION("""COMPUTED_VALUE"""),"8f113233")</f>
        <v>8f113233</v>
      </c>
      <c r="B647" s="2"/>
      <c r="C647" s="5">
        <f ca="1">IFERROR(__xludf.DUMMYFUNCTION("""COMPUTED_VALUE"""),45775.6755671296)</f>
        <v>45775.675567129598</v>
      </c>
      <c r="D647" s="2">
        <f ca="1">IFERROR(__xludf.DUMMYFUNCTION("""COMPUTED_VALUE"""),90)</f>
        <v>90</v>
      </c>
      <c r="E647" s="2">
        <f ca="1">IFERROR(__xludf.DUMMYFUNCTION("""COMPUTED_VALUE"""),97500)</f>
        <v>97500</v>
      </c>
      <c r="F647" s="2" t="str">
        <f ca="1">IFERROR(__xludf.DUMMYFUNCTION("""COMPUTED_VALUE"""),"Tinto Recarga")</f>
        <v>Tinto Recarga</v>
      </c>
      <c r="G647" s="2">
        <f ca="1">IFERROR(__xludf.DUMMYFUNCTION("""COMPUTED_VALUE"""),40100)</f>
        <v>40100</v>
      </c>
      <c r="H647" s="2">
        <f ca="1">IFERROR(__xludf.DUMMYFUNCTION("""COMPUTED_VALUE"""),70100)</f>
        <v>70100</v>
      </c>
      <c r="I647" s="2"/>
      <c r="J647" s="2"/>
      <c r="K647" s="2" t="str">
        <f ca="1">IFERROR(__xludf.DUMMYFUNCTION("""COMPUTED_VALUE"""),"1er Trasiego")</f>
        <v>1er Trasiego</v>
      </c>
      <c r="L647" s="2"/>
      <c r="M647" s="2"/>
    </row>
    <row r="648" spans="1:13" x14ac:dyDescent="0.25">
      <c r="A648" s="2" t="str">
        <f ca="1">IFERROR(__xludf.DUMMYFUNCTION("""COMPUTED_VALUE"""),"1f012354")</f>
        <v>1f012354</v>
      </c>
      <c r="B648" s="2"/>
      <c r="C648" s="5">
        <f ca="1">IFERROR(__xludf.DUMMYFUNCTION("""COMPUTED_VALUE"""),45775.6764699073)</f>
        <v>45775.676469907397</v>
      </c>
      <c r="D648" s="2">
        <f ca="1">IFERROR(__xludf.DUMMYFUNCTION("""COMPUTED_VALUE"""),90)</f>
        <v>90</v>
      </c>
      <c r="E648" s="2">
        <f ca="1">IFERROR(__xludf.DUMMYFUNCTION("""COMPUTED_VALUE"""),97500)</f>
        <v>97500</v>
      </c>
      <c r="F648" s="2" t="str">
        <f ca="1">IFERROR(__xludf.DUMMYFUNCTION("""COMPUTED_VALUE"""),"Tinto Recarga")</f>
        <v>Tinto Recarga</v>
      </c>
      <c r="G648" s="2">
        <f ca="1">IFERROR(__xludf.DUMMYFUNCTION("""COMPUTED_VALUE"""),70100)</f>
        <v>70100</v>
      </c>
      <c r="H648" s="2">
        <f ca="1">IFERROR(__xludf.DUMMYFUNCTION("""COMPUTED_VALUE"""),97500)</f>
        <v>97500</v>
      </c>
      <c r="I648" s="2" t="str">
        <f ca="1">IFERROR(__xludf.DUMMYFUNCTION("""COMPUTED_VALUE"""),"14/5
muy rico, muy limpio. impecable.  Se ha limpiado con bentonita")</f>
        <v>14/5
muy rico, muy limpio. impecable.  Se ha limpiado con bentonita</v>
      </c>
      <c r="J648" s="2"/>
      <c r="K648" s="2" t="str">
        <f ca="1">IFERROR(__xludf.DUMMYFUNCTION("""COMPUTED_VALUE"""),"1er Trasiego")</f>
        <v>1er Trasiego</v>
      </c>
      <c r="L648" s="2" t="str">
        <f ca="1">IFERROR(__xludf.DUMMYFUNCTION("""COMPUTED_VALUE"""),"1-")</f>
        <v>1-</v>
      </c>
      <c r="M648" s="2"/>
    </row>
    <row r="649" spans="1:13" x14ac:dyDescent="0.25">
      <c r="A649" s="2" t="str">
        <f ca="1">IFERROR(__xludf.DUMMYFUNCTION("""COMPUTED_VALUE"""),"ec820b78")</f>
        <v>ec820b78</v>
      </c>
      <c r="B649" s="2"/>
      <c r="C649" s="5">
        <f ca="1">IFERROR(__xludf.DUMMYFUNCTION("""COMPUTED_VALUE"""),45775.6784606481)</f>
        <v>45775.678460648101</v>
      </c>
      <c r="D649" s="2">
        <f ca="1">IFERROR(__xludf.DUMMYFUNCTION("""COMPUTED_VALUE"""),11)</f>
        <v>11</v>
      </c>
      <c r="E649" s="2">
        <f ca="1">IFERROR(__xludf.DUMMYFUNCTION("""COMPUTED_VALUE"""),36000)</f>
        <v>36000</v>
      </c>
      <c r="F649" s="2" t="str">
        <f ca="1">IFERROR(__xludf.DUMMYFUNCTION("""COMPUTED_VALUE"""),"Claro de filtro")</f>
        <v>Claro de filtro</v>
      </c>
      <c r="G649" s="2">
        <f ca="1">IFERROR(__xludf.DUMMYFUNCTION("""COMPUTED_VALUE"""),6600)</f>
        <v>6600</v>
      </c>
      <c r="H649" s="2">
        <f ca="1">IFERROR(__xludf.DUMMYFUNCTION("""COMPUTED_VALUE"""),9200)</f>
        <v>9200</v>
      </c>
      <c r="I649" s="2"/>
      <c r="J649" s="2"/>
      <c r="K649" s="2" t="str">
        <f ca="1">IFERROR(__xludf.DUMMYFUNCTION("""COMPUTED_VALUE"""),"Descubada")</f>
        <v>Descubada</v>
      </c>
      <c r="L649" s="2"/>
      <c r="M649" s="2"/>
    </row>
    <row r="650" spans="1:13" x14ac:dyDescent="0.25">
      <c r="A650" s="2" t="str">
        <f ca="1">IFERROR(__xludf.DUMMYFUNCTION("""COMPUTED_VALUE"""),"20906c4f")</f>
        <v>20906c4f</v>
      </c>
      <c r="B650" s="2"/>
      <c r="C650" s="5">
        <f ca="1">IFERROR(__xludf.DUMMYFUNCTION("""COMPUTED_VALUE"""),45775.6810879629)</f>
        <v>45775.681087962897</v>
      </c>
      <c r="D650" s="2">
        <f ca="1">IFERROR(__xludf.DUMMYFUNCTION("""COMPUTED_VALUE"""),88)</f>
        <v>88</v>
      </c>
      <c r="E650" s="2">
        <f ca="1">IFERROR(__xludf.DUMMYFUNCTION("""COMPUTED_VALUE"""),78900)</f>
        <v>78900</v>
      </c>
      <c r="F650" s="2" t="str">
        <f ca="1">IFERROR(__xludf.DUMMYFUNCTION("""COMPUTED_VALUE"""),"Tinto s/Bonarda")</f>
        <v>Tinto s/Bonarda</v>
      </c>
      <c r="G650" s="2">
        <f ca="1">IFERROR(__xludf.DUMMYFUNCTION("""COMPUTED_VALUE"""),0)</f>
        <v>0</v>
      </c>
      <c r="H650" s="2">
        <f ca="1">IFERROR(__xludf.DUMMYFUNCTION("""COMPUTED_VALUE"""),28000)</f>
        <v>28000</v>
      </c>
      <c r="I650" s="2"/>
      <c r="J650" s="2"/>
      <c r="K650" s="2" t="str">
        <f ca="1">IFERROR(__xludf.DUMMYFUNCTION("""COMPUTED_VALUE"""),"1er Trasiego")</f>
        <v>1er Trasiego</v>
      </c>
      <c r="L650" s="2"/>
      <c r="M650" s="2"/>
    </row>
    <row r="651" spans="1:13" x14ac:dyDescent="0.25">
      <c r="A651" s="2" t="str">
        <f ca="1">IFERROR(__xludf.DUMMYFUNCTION("""COMPUTED_VALUE"""),"b6e57561")</f>
        <v>b6e57561</v>
      </c>
      <c r="B651" s="2"/>
      <c r="C651" s="5">
        <f ca="1">IFERROR(__xludf.DUMMYFUNCTION("""COMPUTED_VALUE"""),45775.681585648)</f>
        <v>45775.681585648097</v>
      </c>
      <c r="D651" s="2">
        <f ca="1">IFERROR(__xludf.DUMMYFUNCTION("""COMPUTED_VALUE"""),88)</f>
        <v>88</v>
      </c>
      <c r="E651" s="2">
        <f ca="1">IFERROR(__xludf.DUMMYFUNCTION("""COMPUTED_VALUE"""),78900)</f>
        <v>78900</v>
      </c>
      <c r="F651" s="2" t="str">
        <f ca="1">IFERROR(__xludf.DUMMYFUNCTION("""COMPUTED_VALUE"""),"Tinto s/Bonarda")</f>
        <v>Tinto s/Bonarda</v>
      </c>
      <c r="G651" s="2">
        <f ca="1">IFERROR(__xludf.DUMMYFUNCTION("""COMPUTED_VALUE"""),28000)</f>
        <v>28000</v>
      </c>
      <c r="H651" s="2">
        <f ca="1">IFERROR(__xludf.DUMMYFUNCTION("""COMPUTED_VALUE"""),56000)</f>
        <v>56000</v>
      </c>
      <c r="I651" s="2"/>
      <c r="J651" s="2"/>
      <c r="K651" s="2" t="str">
        <f ca="1">IFERROR(__xludf.DUMMYFUNCTION("""COMPUTED_VALUE"""),"Descubada")</f>
        <v>Descubada</v>
      </c>
      <c r="L651" s="2"/>
      <c r="M651" s="2"/>
    </row>
    <row r="652" spans="1:13" x14ac:dyDescent="0.25">
      <c r="A652" s="2" t="str">
        <f ca="1">IFERROR(__xludf.DUMMYFUNCTION("""COMPUTED_VALUE"""),"028fb505")</f>
        <v>028fb505</v>
      </c>
      <c r="B652" s="2"/>
      <c r="C652" s="5">
        <f ca="1">IFERROR(__xludf.DUMMYFUNCTION("""COMPUTED_VALUE"""),45775.6932523148)</f>
        <v>45775.693252314799</v>
      </c>
      <c r="D652" s="2">
        <f ca="1">IFERROR(__xludf.DUMMYFUNCTION("""COMPUTED_VALUE"""),91)</f>
        <v>91</v>
      </c>
      <c r="E652" s="2">
        <f ca="1">IFERROR(__xludf.DUMMYFUNCTION("""COMPUTED_VALUE"""),86000)</f>
        <v>86000</v>
      </c>
      <c r="F652" s="2" t="str">
        <f ca="1">IFERROR(__xludf.DUMMYFUNCTION("""COMPUTED_VALUE"""),"Malbec Dulc")</f>
        <v>Malbec Dulc</v>
      </c>
      <c r="G652" s="2">
        <f ca="1">IFERROR(__xludf.DUMMYFUNCTION("""COMPUTED_VALUE"""),0)</f>
        <v>0</v>
      </c>
      <c r="H652" s="2">
        <f ca="1">IFERROR(__xludf.DUMMYFUNCTION("""COMPUTED_VALUE"""),46000)</f>
        <v>46000</v>
      </c>
      <c r="I652" s="2" t="str">
        <f ca="1">IFERROR(__xludf.DUMMYFUNCTION("""COMPUTED_VALUE"""),"30/4 Bien se puede juntar con la 66 y la 67 que son las que tienen azucar")</f>
        <v>30/4 Bien se puede juntar con la 66 y la 67 que son las que tienen azucar</v>
      </c>
      <c r="J652" s="2"/>
      <c r="K652" s="2" t="str">
        <f ca="1">IFERROR(__xludf.DUMMYFUNCTION("""COMPUTED_VALUE"""),"Descubada")</f>
        <v>Descubada</v>
      </c>
      <c r="L652" s="2"/>
      <c r="M652" s="2"/>
    </row>
    <row r="653" spans="1:13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5">
      <c r="A654" s="2" t="str">
        <f ca="1">IFERROR(__xludf.DUMMYFUNCTION("""COMPUTED_VALUE"""),"b704cbde")</f>
        <v>b704cbde</v>
      </c>
      <c r="B654" s="2"/>
      <c r="C654" s="5">
        <f ca="1">IFERROR(__xludf.DUMMYFUNCTION("""COMPUTED_VALUE"""),45775.6957523148)</f>
        <v>45775.695752314801</v>
      </c>
      <c r="D654" s="2">
        <f ca="1">IFERROR(__xludf.DUMMYFUNCTION("""COMPUTED_VALUE"""),66)</f>
        <v>66</v>
      </c>
      <c r="E654" s="2">
        <f ca="1">IFERROR(__xludf.DUMMYFUNCTION("""COMPUTED_VALUE"""),23000)</f>
        <v>23000</v>
      </c>
      <c r="F654" s="2" t="str">
        <f ca="1">IFERROR(__xludf.DUMMYFUNCTION("""COMPUTED_VALUE"""),"Malbec")</f>
        <v>Malbec</v>
      </c>
      <c r="G654" s="2">
        <f ca="1">IFERROR(__xludf.DUMMYFUNCTION("""COMPUTED_VALUE"""),0)</f>
        <v>0</v>
      </c>
      <c r="H654" s="2">
        <f ca="1">IFERROR(__xludf.DUMMYFUNCTION("""COMPUTED_VALUE"""),19000)</f>
        <v>19000</v>
      </c>
      <c r="I654" s="2" t="str">
        <f ca="1">IFERROR(__xludf.DUMMYFUNCTION("""COMPUTED_VALUE"""),"30/4 buen color. Rico.  Sin movimiento
28/4 descubada con azucar viendo si reduce")</f>
        <v>30/4 buen color. Rico.  Sin movimiento
28/4 descubada con azucar viendo si reduce</v>
      </c>
      <c r="J654" s="2"/>
      <c r="K654" s="2" t="str">
        <f ca="1">IFERROR(__xludf.DUMMYFUNCTION("""COMPUTED_VALUE"""),"Descubada")</f>
        <v>Descubada</v>
      </c>
      <c r="L654" s="2"/>
      <c r="M654" s="2"/>
    </row>
    <row r="655" spans="1:13" x14ac:dyDescent="0.25">
      <c r="A655" s="2" t="str">
        <f ca="1">IFERROR(__xludf.DUMMYFUNCTION("""COMPUTED_VALUE"""),"3559c80c")</f>
        <v>3559c80c</v>
      </c>
      <c r="B655" s="2"/>
      <c r="C655" s="5">
        <f ca="1">IFERROR(__xludf.DUMMYFUNCTION("""COMPUTED_VALUE"""),45775.6980555555)</f>
        <v>45775.698055555498</v>
      </c>
      <c r="D655" s="2">
        <f ca="1">IFERROR(__xludf.DUMMYFUNCTION("""COMPUTED_VALUE"""),81)</f>
        <v>81</v>
      </c>
      <c r="E655" s="2">
        <f ca="1">IFERROR(__xludf.DUMMYFUNCTION("""COMPUTED_VALUE"""),26500)</f>
        <v>26500</v>
      </c>
      <c r="F655" s="2" t="str">
        <f ca="1">IFERROR(__xludf.DUMMYFUNCTION("""COMPUTED_VALUE"""),"Cabernet Sauvignon")</f>
        <v>Cabernet Sauvignon</v>
      </c>
      <c r="G655" s="2">
        <f ca="1">IFERROR(__xludf.DUMMYFUNCTION("""COMPUTED_VALUE"""),0)</f>
        <v>0</v>
      </c>
      <c r="H655" s="2">
        <f ca="1">IFERROR(__xludf.DUMMYFUNCTION("""COMPUTED_VALUE"""),26500)</f>
        <v>26500</v>
      </c>
      <c r="I655" s="2" t="str">
        <f ca="1">IFERROR(__xludf.DUMMYFUNCTION("""COMPUTED_VALUE"""),"28/4 descubada con azucar")</f>
        <v>28/4 descubada con azucar</v>
      </c>
      <c r="J655" s="2"/>
      <c r="K655" s="2" t="str">
        <f ca="1">IFERROR(__xludf.DUMMYFUNCTION("""COMPUTED_VALUE"""),"Descubada")</f>
        <v>Descubada</v>
      </c>
      <c r="L655" s="2"/>
      <c r="M655" s="2"/>
    </row>
    <row r="656" spans="1:13" x14ac:dyDescent="0.25">
      <c r="A656" s="2" t="str">
        <f ca="1">IFERROR(__xludf.DUMMYFUNCTION("""COMPUTED_VALUE"""),"c999dbd9")</f>
        <v>c999dbd9</v>
      </c>
      <c r="B656" s="2"/>
      <c r="C656" s="5">
        <f ca="1">IFERROR(__xludf.DUMMYFUNCTION("""COMPUTED_VALUE"""),45775.6987731481)</f>
        <v>45775.698773148099</v>
      </c>
      <c r="D656" s="2">
        <f ca="1">IFERROR(__xludf.DUMMYFUNCTION("""COMPUTED_VALUE"""),500)</f>
        <v>500</v>
      </c>
      <c r="E656" s="2">
        <f ca="1">IFERROR(__xludf.DUMMYFUNCTION("""COMPUTED_VALUE"""),200000)</f>
        <v>200000</v>
      </c>
      <c r="F656" s="2" t="str">
        <f ca="1">IFERROR(__xludf.DUMMYFUNCTION("""COMPUTED_VALUE"""),"Ajuste semana 22/04/25")</f>
        <v>Ajuste semana 22/04/25</v>
      </c>
      <c r="G656" s="2">
        <f ca="1">IFERROR(__xludf.DUMMYFUNCTION("""COMPUTED_VALUE"""),121851)</f>
        <v>121851</v>
      </c>
      <c r="H656" s="2">
        <f ca="1">IFERROR(__xludf.DUMMYFUNCTION("""COMPUTED_VALUE"""),122601)</f>
        <v>122601</v>
      </c>
      <c r="I656" s="2"/>
      <c r="J656" s="2"/>
      <c r="K656" s="2" t="str">
        <f ca="1">IFERROR(__xludf.DUMMYFUNCTION("""COMPUTED_VALUE"""),"Terminado")</f>
        <v>Terminado</v>
      </c>
      <c r="L656" s="2"/>
      <c r="M656" s="2"/>
    </row>
    <row r="657" spans="1:13" x14ac:dyDescent="0.25">
      <c r="A657" s="2" t="str">
        <f ca="1">IFERROR(__xludf.DUMMYFUNCTION("""COMPUTED_VALUE"""),"de2017df")</f>
        <v>de2017df</v>
      </c>
      <c r="B657" s="2"/>
      <c r="C657" s="5">
        <f ca="1">IFERROR(__xludf.DUMMYFUNCTION("""COMPUTED_VALUE"""),45775.7001388888)</f>
        <v>45775.700138888802</v>
      </c>
      <c r="D657" s="2">
        <f ca="1">IFERROR(__xludf.DUMMYFUNCTION("""COMPUTED_VALUE"""),67)</f>
        <v>67</v>
      </c>
      <c r="E657" s="2">
        <f ca="1">IFERROR(__xludf.DUMMYFUNCTION("""COMPUTED_VALUE"""),23000)</f>
        <v>23000</v>
      </c>
      <c r="F657" s="2" t="str">
        <f ca="1">IFERROR(__xludf.DUMMYFUNCTION("""COMPUTED_VALUE"""),"Malbec")</f>
        <v>Malbec</v>
      </c>
      <c r="G657" s="2">
        <f ca="1">IFERROR(__xludf.DUMMYFUNCTION("""COMPUTED_VALUE"""),0)</f>
        <v>0</v>
      </c>
      <c r="H657" s="2">
        <f ca="1">IFERROR(__xludf.DUMMYFUNCTION("""COMPUTED_VALUE"""),19500)</f>
        <v>19500</v>
      </c>
      <c r="I657" s="2" t="str">
        <f ca="1">IFERROR(__xludf.DUMMYFUNCTION("""COMPUTED_VALUE"""),"30/4 Buen color. rico, sabor a orujo semilla
28/4 descubadas con azucar a ver si termina de reducir.")</f>
        <v>30/4 Buen color. rico, sabor a orujo semilla
28/4 descubadas con azucar a ver si termina de reducir.</v>
      </c>
      <c r="J657" s="2"/>
      <c r="K657" s="2" t="str">
        <f ca="1">IFERROR(__xludf.DUMMYFUNCTION("""COMPUTED_VALUE"""),"Descubada")</f>
        <v>Descubada</v>
      </c>
      <c r="L657" s="2"/>
      <c r="M657" s="2"/>
    </row>
    <row r="658" spans="1:13" x14ac:dyDescent="0.25">
      <c r="A658" s="2" t="str">
        <f ca="1">IFERROR(__xludf.DUMMYFUNCTION("""COMPUTED_VALUE"""),"9f167646")</f>
        <v>9f167646</v>
      </c>
      <c r="B658" s="2"/>
      <c r="C658" s="5">
        <f ca="1">IFERROR(__xludf.DUMMYFUNCTION("""COMPUTED_VALUE"""),45775.7489467592)</f>
        <v>45775.748946759202</v>
      </c>
      <c r="D658" s="2">
        <f ca="1">IFERROR(__xludf.DUMMYFUNCTION("""COMPUTED_VALUE"""),88)</f>
        <v>88</v>
      </c>
      <c r="E658" s="2">
        <f ca="1">IFERROR(__xludf.DUMMYFUNCTION("""COMPUTED_VALUE"""),78900)</f>
        <v>78900</v>
      </c>
      <c r="F658" s="2" t="str">
        <f ca="1">IFERROR(__xludf.DUMMYFUNCTION("""COMPUTED_VALUE"""),"Tinto")</f>
        <v>Tinto</v>
      </c>
      <c r="G658" s="2">
        <f ca="1">IFERROR(__xludf.DUMMYFUNCTION("""COMPUTED_VALUE"""),0)</f>
        <v>0</v>
      </c>
      <c r="H658" s="2">
        <f ca="1">IFERROR(__xludf.DUMMYFUNCTION("""COMPUTED_VALUE"""),14000)</f>
        <v>14000</v>
      </c>
      <c r="I658" s="2"/>
      <c r="J658" s="2"/>
      <c r="K658" s="2" t="str">
        <f ca="1">IFERROR(__xludf.DUMMYFUNCTION("""COMPUTED_VALUE"""),"1er Trasiego")</f>
        <v>1er Trasiego</v>
      </c>
      <c r="L658" s="2"/>
      <c r="M658" s="2"/>
    </row>
    <row r="659" spans="1:13" x14ac:dyDescent="0.25">
      <c r="A659" s="2" t="str">
        <f ca="1">IFERROR(__xludf.DUMMYFUNCTION("""COMPUTED_VALUE"""),"e341ebb9")</f>
        <v>e341ebb9</v>
      </c>
      <c r="B659" s="2"/>
      <c r="C659" s="5">
        <f ca="1">IFERROR(__xludf.DUMMYFUNCTION("""COMPUTED_VALUE"""),45775.7492592592)</f>
        <v>45775.749259259203</v>
      </c>
      <c r="D659" s="2">
        <f ca="1">IFERROR(__xludf.DUMMYFUNCTION("""COMPUTED_VALUE"""),84)</f>
        <v>84</v>
      </c>
      <c r="E659" s="2">
        <f ca="1">IFERROR(__xludf.DUMMYFUNCTION("""COMPUTED_VALUE"""),83000)</f>
        <v>83000</v>
      </c>
      <c r="F659" s="2" t="str">
        <f ca="1">IFERROR(__xludf.DUMMYFUNCTION("""COMPUTED_VALUE"""),"Tinto")</f>
        <v>Tinto</v>
      </c>
      <c r="G659" s="2">
        <f ca="1">IFERROR(__xludf.DUMMYFUNCTION("""COMPUTED_VALUE"""),0)</f>
        <v>0</v>
      </c>
      <c r="H659" s="2">
        <f ca="1">IFERROR(__xludf.DUMMYFUNCTION("""COMPUTED_VALUE"""),14000)</f>
        <v>14000</v>
      </c>
      <c r="I659" s="2"/>
      <c r="J659" s="2"/>
      <c r="K659" s="2" t="str">
        <f ca="1">IFERROR(__xludf.DUMMYFUNCTION("""COMPUTED_VALUE"""),"1er Trasiego")</f>
        <v>1er Trasiego</v>
      </c>
      <c r="L659" s="2"/>
      <c r="M659" s="2"/>
    </row>
    <row r="660" spans="1:13" x14ac:dyDescent="0.25">
      <c r="A660" s="2" t="str">
        <f ca="1">IFERROR(__xludf.DUMMYFUNCTION("""COMPUTED_VALUE"""),"ad6fc72a")</f>
        <v>ad6fc72a</v>
      </c>
      <c r="B660" s="2"/>
      <c r="C660" s="5">
        <f ca="1">IFERROR(__xludf.DUMMYFUNCTION("""COMPUTED_VALUE"""),45775.7495254629)</f>
        <v>45775.749525462903</v>
      </c>
      <c r="D660" s="2">
        <f ca="1">IFERROR(__xludf.DUMMYFUNCTION("""COMPUTED_VALUE"""),88)</f>
        <v>88</v>
      </c>
      <c r="E660" s="2">
        <f ca="1">IFERROR(__xludf.DUMMYFUNCTION("""COMPUTED_VALUE"""),78900)</f>
        <v>78900</v>
      </c>
      <c r="F660" s="2" t="str">
        <f ca="1">IFERROR(__xludf.DUMMYFUNCTION("""COMPUTED_VALUE"""),"Tinto")</f>
        <v>Tinto</v>
      </c>
      <c r="G660" s="2">
        <f ca="1">IFERROR(__xludf.DUMMYFUNCTION("""COMPUTED_VALUE"""),14000)</f>
        <v>14000</v>
      </c>
      <c r="H660" s="2">
        <f ca="1">IFERROR(__xludf.DUMMYFUNCTION("""COMPUTED_VALUE"""),28000)</f>
        <v>28000</v>
      </c>
      <c r="I660" s="2"/>
      <c r="J660" s="2"/>
      <c r="K660" s="2" t="str">
        <f ca="1">IFERROR(__xludf.DUMMYFUNCTION("""COMPUTED_VALUE"""),"1er Trasiego")</f>
        <v>1er Trasiego</v>
      </c>
      <c r="L660" s="2"/>
      <c r="M660" s="2"/>
    </row>
    <row r="661" spans="1:13" x14ac:dyDescent="0.25">
      <c r="A661" s="2" t="str">
        <f ca="1">IFERROR(__xludf.DUMMYFUNCTION("""COMPUTED_VALUE"""),"8a8c9f52")</f>
        <v>8a8c9f52</v>
      </c>
      <c r="B661" s="2"/>
      <c r="C661" s="5">
        <f ca="1">IFERROR(__xludf.DUMMYFUNCTION("""COMPUTED_VALUE"""),45775.7496643518)</f>
        <v>45775.749664351802</v>
      </c>
      <c r="D661" s="2">
        <f ca="1">IFERROR(__xludf.DUMMYFUNCTION("""COMPUTED_VALUE"""),84)</f>
        <v>84</v>
      </c>
      <c r="E661" s="2">
        <f ca="1">IFERROR(__xludf.DUMMYFUNCTION("""COMPUTED_VALUE"""),83000)</f>
        <v>83000</v>
      </c>
      <c r="F661" s="2" t="str">
        <f ca="1">IFERROR(__xludf.DUMMYFUNCTION("""COMPUTED_VALUE"""),"Tinto")</f>
        <v>Tinto</v>
      </c>
      <c r="G661" s="2">
        <f ca="1">IFERROR(__xludf.DUMMYFUNCTION("""COMPUTED_VALUE"""),14000)</f>
        <v>14000</v>
      </c>
      <c r="H661" s="2">
        <f ca="1">IFERROR(__xludf.DUMMYFUNCTION("""COMPUTED_VALUE"""),28000)</f>
        <v>28000</v>
      </c>
      <c r="I661" s="2"/>
      <c r="J661" s="2"/>
      <c r="K661" s="2" t="str">
        <f ca="1">IFERROR(__xludf.DUMMYFUNCTION("""COMPUTED_VALUE"""),"1er Trasiego")</f>
        <v>1er Trasiego</v>
      </c>
      <c r="L661" s="2"/>
      <c r="M661" s="2"/>
    </row>
    <row r="662" spans="1:13" x14ac:dyDescent="0.25">
      <c r="A662" s="2" t="str">
        <f ca="1">IFERROR(__xludf.DUMMYFUNCTION("""COMPUTED_VALUE"""),"c9833042")</f>
        <v>c9833042</v>
      </c>
      <c r="B662" s="2"/>
      <c r="C662" s="5">
        <f ca="1">IFERROR(__xludf.DUMMYFUNCTION("""COMPUTED_VALUE"""),45775.7499074074)</f>
        <v>45775.7499074074</v>
      </c>
      <c r="D662" s="2">
        <f ca="1">IFERROR(__xludf.DUMMYFUNCTION("""COMPUTED_VALUE"""),88)</f>
        <v>88</v>
      </c>
      <c r="E662" s="2">
        <f ca="1">IFERROR(__xludf.DUMMYFUNCTION("""COMPUTED_VALUE"""),78900)</f>
        <v>78900</v>
      </c>
      <c r="F662" s="2" t="str">
        <f ca="1">IFERROR(__xludf.DUMMYFUNCTION("""COMPUTED_VALUE"""),"Tinto")</f>
        <v>Tinto</v>
      </c>
      <c r="G662" s="2">
        <f ca="1">IFERROR(__xludf.DUMMYFUNCTION("""COMPUTED_VALUE"""),28000)</f>
        <v>28000</v>
      </c>
      <c r="H662" s="2">
        <f ca="1">IFERROR(__xludf.DUMMYFUNCTION("""COMPUTED_VALUE"""),43000)</f>
        <v>43000</v>
      </c>
      <c r="I662" s="2"/>
      <c r="J662" s="2"/>
      <c r="K662" s="2" t="str">
        <f ca="1">IFERROR(__xludf.DUMMYFUNCTION("""COMPUTED_VALUE"""),"1er Trasiego")</f>
        <v>1er Trasiego</v>
      </c>
      <c r="L662" s="2"/>
      <c r="M662" s="2"/>
    </row>
    <row r="663" spans="1:13" x14ac:dyDescent="0.25">
      <c r="A663" s="2" t="str">
        <f ca="1">IFERROR(__xludf.DUMMYFUNCTION("""COMPUTED_VALUE"""),"2b3d385d")</f>
        <v>2b3d385d</v>
      </c>
      <c r="B663" s="2"/>
      <c r="C663" s="5">
        <f ca="1">IFERROR(__xludf.DUMMYFUNCTION("""COMPUTED_VALUE"""),45775.7501273148)</f>
        <v>45775.750127314801</v>
      </c>
      <c r="D663" s="2">
        <f ca="1">IFERROR(__xludf.DUMMYFUNCTION("""COMPUTED_VALUE"""),84)</f>
        <v>84</v>
      </c>
      <c r="E663" s="2">
        <f ca="1">IFERROR(__xludf.DUMMYFUNCTION("""COMPUTED_VALUE"""),83000)</f>
        <v>83000</v>
      </c>
      <c r="F663" s="2" t="str">
        <f ca="1">IFERROR(__xludf.DUMMYFUNCTION("""COMPUTED_VALUE"""),"Tinto")</f>
        <v>Tinto</v>
      </c>
      <c r="G663" s="2">
        <f ca="1">IFERROR(__xludf.DUMMYFUNCTION("""COMPUTED_VALUE"""),28000)</f>
        <v>28000</v>
      </c>
      <c r="H663" s="2">
        <f ca="1">IFERROR(__xludf.DUMMYFUNCTION("""COMPUTED_VALUE"""),43000)</f>
        <v>43000</v>
      </c>
      <c r="I663" s="2"/>
      <c r="J663" s="2"/>
      <c r="K663" s="2" t="str">
        <f ca="1">IFERROR(__xludf.DUMMYFUNCTION("""COMPUTED_VALUE"""),"1er Trasiego")</f>
        <v>1er Trasiego</v>
      </c>
      <c r="L663" s="2"/>
      <c r="M663" s="2"/>
    </row>
    <row r="664" spans="1:13" x14ac:dyDescent="0.25">
      <c r="A664" s="2" t="str">
        <f ca="1">IFERROR(__xludf.DUMMYFUNCTION("""COMPUTED_VALUE"""),"ab0559b8")</f>
        <v>ab0559b8</v>
      </c>
      <c r="B664" s="2"/>
      <c r="C664" s="5">
        <f ca="1">IFERROR(__xludf.DUMMYFUNCTION("""COMPUTED_VALUE"""),45775.7503819444)</f>
        <v>45775.750381944403</v>
      </c>
      <c r="D664" s="2">
        <f ca="1">IFERROR(__xludf.DUMMYFUNCTION("""COMPUTED_VALUE"""),88)</f>
        <v>88</v>
      </c>
      <c r="E664" s="2">
        <f ca="1">IFERROR(__xludf.DUMMYFUNCTION("""COMPUTED_VALUE"""),78900)</f>
        <v>78900</v>
      </c>
      <c r="F664" s="2" t="str">
        <f ca="1">IFERROR(__xludf.DUMMYFUNCTION("""COMPUTED_VALUE"""),"Tinto")</f>
        <v>Tinto</v>
      </c>
      <c r="G664" s="2">
        <f ca="1">IFERROR(__xludf.DUMMYFUNCTION("""COMPUTED_VALUE"""),43000)</f>
        <v>43000</v>
      </c>
      <c r="H664" s="2">
        <f ca="1">IFERROR(__xludf.DUMMYFUNCTION("""COMPUTED_VALUE"""),70000)</f>
        <v>70000</v>
      </c>
      <c r="I664" s="2"/>
      <c r="J664" s="2"/>
      <c r="K664" s="2" t="str">
        <f ca="1">IFERROR(__xludf.DUMMYFUNCTION("""COMPUTED_VALUE"""),"1er Trasiego")</f>
        <v>1er Trasiego</v>
      </c>
      <c r="L664" s="2"/>
      <c r="M664" s="2"/>
    </row>
    <row r="665" spans="1:13" x14ac:dyDescent="0.25">
      <c r="A665" s="2" t="str">
        <f ca="1">IFERROR(__xludf.DUMMYFUNCTION("""COMPUTED_VALUE"""),"0aec25e6")</f>
        <v>0aec25e6</v>
      </c>
      <c r="B665" s="2"/>
      <c r="C665" s="5">
        <f ca="1">IFERROR(__xludf.DUMMYFUNCTION("""COMPUTED_VALUE"""),45775.7505787037)</f>
        <v>45775.750578703701</v>
      </c>
      <c r="D665" s="2">
        <f ca="1">IFERROR(__xludf.DUMMYFUNCTION("""COMPUTED_VALUE"""),84)</f>
        <v>84</v>
      </c>
      <c r="E665" s="2">
        <f ca="1">IFERROR(__xludf.DUMMYFUNCTION("""COMPUTED_VALUE"""),83000)</f>
        <v>83000</v>
      </c>
      <c r="F665" s="2" t="str">
        <f ca="1">IFERROR(__xludf.DUMMYFUNCTION("""COMPUTED_VALUE"""),"Tinto")</f>
        <v>Tinto</v>
      </c>
      <c r="G665" s="2">
        <f ca="1">IFERROR(__xludf.DUMMYFUNCTION("""COMPUTED_VALUE"""),43000)</f>
        <v>43000</v>
      </c>
      <c r="H665" s="2">
        <f ca="1">IFERROR(__xludf.DUMMYFUNCTION("""COMPUTED_VALUE"""),70000)</f>
        <v>70000</v>
      </c>
      <c r="I665" s="2"/>
      <c r="J665" s="2"/>
      <c r="K665" s="2" t="str">
        <f ca="1">IFERROR(__xludf.DUMMYFUNCTION("""COMPUTED_VALUE"""),"1er Trasiego")</f>
        <v>1er Trasiego</v>
      </c>
      <c r="L665" s="2"/>
      <c r="M665" s="2"/>
    </row>
    <row r="666" spans="1:13" x14ac:dyDescent="0.25">
      <c r="A666" s="2" t="str">
        <f ca="1">IFERROR(__xludf.DUMMYFUNCTION("""COMPUTED_VALUE"""),"0f749555")</f>
        <v>0f749555</v>
      </c>
      <c r="B666" s="2"/>
      <c r="C666" s="5">
        <f ca="1">IFERROR(__xludf.DUMMYFUNCTION("""COMPUTED_VALUE"""),45776.8492476851)</f>
        <v>45776.849247685102</v>
      </c>
      <c r="D666" s="2">
        <f ca="1">IFERROR(__xludf.DUMMYFUNCTION("""COMPUTED_VALUE"""),79)</f>
        <v>79</v>
      </c>
      <c r="E666" s="2">
        <f ca="1">IFERROR(__xludf.DUMMYFUNCTION("""COMPUTED_VALUE"""),26000)</f>
        <v>26000</v>
      </c>
      <c r="F666" s="2" t="str">
        <f ca="1">IFERROR(__xludf.DUMMYFUNCTION("""COMPUTED_VALUE"""),"Tinto s/Bonarda")</f>
        <v>Tinto s/Bonarda</v>
      </c>
      <c r="G666" s="2">
        <f ca="1">IFERROR(__xludf.DUMMYFUNCTION("""COMPUTED_VALUE"""),0)</f>
        <v>0</v>
      </c>
      <c r="H666" s="2">
        <f ca="1">IFERROR(__xludf.DUMMYFUNCTION("""COMPUTED_VALUE"""),14800)</f>
        <v>14800</v>
      </c>
      <c r="I666" s="2"/>
      <c r="J666" s="2"/>
      <c r="K666" s="2" t="str">
        <f ca="1">IFERROR(__xludf.DUMMYFUNCTION("""COMPUTED_VALUE"""),"Descubada")</f>
        <v>Descubada</v>
      </c>
      <c r="L666" s="2"/>
      <c r="M666" s="2"/>
    </row>
    <row r="667" spans="1:13" x14ac:dyDescent="0.25">
      <c r="A667" s="2" t="str">
        <f ca="1">IFERROR(__xludf.DUMMYFUNCTION("""COMPUTED_VALUE"""),"3030acaa")</f>
        <v>3030acaa</v>
      </c>
      <c r="B667" s="2"/>
      <c r="C667" s="5">
        <f ca="1">IFERROR(__xludf.DUMMYFUNCTION("""COMPUTED_VALUE"""),45776.8507175925)</f>
        <v>45776.850717592497</v>
      </c>
      <c r="D667" s="2">
        <f ca="1">IFERROR(__xludf.DUMMYFUNCTION("""COMPUTED_VALUE"""),88)</f>
        <v>88</v>
      </c>
      <c r="E667" s="2">
        <f ca="1">IFERROR(__xludf.DUMMYFUNCTION("""COMPUTED_VALUE"""),78900)</f>
        <v>78900</v>
      </c>
      <c r="F667" s="2" t="str">
        <f ca="1">IFERROR(__xludf.DUMMYFUNCTION("""COMPUTED_VALUE"""),"Tinto")</f>
        <v>Tinto</v>
      </c>
      <c r="G667" s="2">
        <f ca="1">IFERROR(__xludf.DUMMYFUNCTION("""COMPUTED_VALUE"""),70000)</f>
        <v>70000</v>
      </c>
      <c r="H667" s="2">
        <f ca="1">IFERROR(__xludf.DUMMYFUNCTION("""COMPUTED_VALUE"""),78900)</f>
        <v>78900</v>
      </c>
      <c r="I667" s="2" t="str">
        <f ca="1">IFERROR(__xludf.DUMMYFUNCTION("""COMPUTED_VALUE"""),"14/5
mas simple.  Gusto mas la 90.  pero bien.")</f>
        <v>14/5
mas simple.  Gusto mas la 90.  pero bien.</v>
      </c>
      <c r="J667" s="2"/>
      <c r="K667" s="2" t="str">
        <f ca="1">IFERROR(__xludf.DUMMYFUNCTION("""COMPUTED_VALUE"""),"1er Trasiego")</f>
        <v>1er Trasiego</v>
      </c>
      <c r="L667" s="2" t="str">
        <f ca="1">IFERROR(__xludf.DUMMYFUNCTION("""COMPUTED_VALUE"""),"2+")</f>
        <v>2+</v>
      </c>
      <c r="M667" s="2"/>
    </row>
    <row r="668" spans="1:13" x14ac:dyDescent="0.25">
      <c r="A668" s="2" t="str">
        <f ca="1">IFERROR(__xludf.DUMMYFUNCTION("""COMPUTED_VALUE"""),"80d02e67")</f>
        <v>80d02e67</v>
      </c>
      <c r="B668" s="2"/>
      <c r="C668" s="5">
        <f ca="1">IFERROR(__xludf.DUMMYFUNCTION("""COMPUTED_VALUE"""),45776.8509837963)</f>
        <v>45776.850983796299</v>
      </c>
      <c r="D668" s="2">
        <f ca="1">IFERROR(__xludf.DUMMYFUNCTION("""COMPUTED_VALUE"""),84)</f>
        <v>84</v>
      </c>
      <c r="E668" s="2">
        <f ca="1">IFERROR(__xludf.DUMMYFUNCTION("""COMPUTED_VALUE"""),83000)</f>
        <v>83000</v>
      </c>
      <c r="F668" s="2" t="str">
        <f ca="1">IFERROR(__xludf.DUMMYFUNCTION("""COMPUTED_VALUE"""),"Tinto")</f>
        <v>Tinto</v>
      </c>
      <c r="G668" s="2">
        <f ca="1">IFERROR(__xludf.DUMMYFUNCTION("""COMPUTED_VALUE"""),70000)</f>
        <v>70000</v>
      </c>
      <c r="H668" s="2">
        <f ca="1">IFERROR(__xludf.DUMMYFUNCTION("""COMPUTED_VALUE"""),83000)</f>
        <v>83000</v>
      </c>
      <c r="I668" s="2" t="str">
        <f ca="1">IFERROR(__xludf.DUMMYFUNCTION("""COMPUTED_VALUE"""),"14/5
Simple pero bien.")</f>
        <v>14/5
Simple pero bien.</v>
      </c>
      <c r="J668" s="2"/>
      <c r="K668" s="2" t="str">
        <f ca="1">IFERROR(__xludf.DUMMYFUNCTION("""COMPUTED_VALUE"""),"1er Trasiego")</f>
        <v>1er Trasiego</v>
      </c>
      <c r="L668" s="2" t="str">
        <f ca="1">IFERROR(__xludf.DUMMYFUNCTION("""COMPUTED_VALUE"""),"2+")</f>
        <v>2+</v>
      </c>
      <c r="M668" s="2"/>
    </row>
    <row r="669" spans="1:13" x14ac:dyDescent="0.25">
      <c r="A669" s="2" t="str">
        <f ca="1">IFERROR(__xludf.DUMMYFUNCTION("""COMPUTED_VALUE"""),"c1d9bfc2")</f>
        <v>c1d9bfc2</v>
      </c>
      <c r="B669" s="2"/>
      <c r="C669" s="5">
        <f ca="1">IFERROR(__xludf.DUMMYFUNCTION("""COMPUTED_VALUE"""),45776.8511574074)</f>
        <v>45776.8511574074</v>
      </c>
      <c r="D669" s="2">
        <f ca="1">IFERROR(__xludf.DUMMYFUNCTION("""COMPUTED_VALUE"""),11)</f>
        <v>11</v>
      </c>
      <c r="E669" s="2">
        <f ca="1">IFERROR(__xludf.DUMMYFUNCTION("""COMPUTED_VALUE"""),36000)</f>
        <v>36000</v>
      </c>
      <c r="F669" s="2" t="str">
        <f ca="1">IFERROR(__xludf.DUMMYFUNCTION("""COMPUTED_VALUE"""),"Claro de filtro")</f>
        <v>Claro de filtro</v>
      </c>
      <c r="G669" s="2">
        <f ca="1">IFERROR(__xludf.DUMMYFUNCTION("""COMPUTED_VALUE"""),9200)</f>
        <v>9200</v>
      </c>
      <c r="H669" s="2">
        <f ca="1">IFERROR(__xludf.DUMMYFUNCTION("""COMPUTED_VALUE"""),9800)</f>
        <v>9800</v>
      </c>
      <c r="I669" s="2"/>
      <c r="J669" s="2"/>
      <c r="K669" s="2" t="str">
        <f ca="1">IFERROR(__xludf.DUMMYFUNCTION("""COMPUTED_VALUE"""),"Descubada")</f>
        <v>Descubada</v>
      </c>
      <c r="L669" s="2"/>
      <c r="M669" s="2"/>
    </row>
    <row r="670" spans="1:13" x14ac:dyDescent="0.25">
      <c r="A670" s="2" t="str">
        <f ca="1">IFERROR(__xludf.DUMMYFUNCTION("""COMPUTED_VALUE"""),"46acf5ed")</f>
        <v>46acf5ed</v>
      </c>
      <c r="B670" s="2"/>
      <c r="C670" s="5">
        <f ca="1">IFERROR(__xludf.DUMMYFUNCTION("""COMPUTED_VALUE"""),45776.9084953702)</f>
        <v>45776.908495370299</v>
      </c>
      <c r="D670" s="2">
        <f ca="1">IFERROR(__xludf.DUMMYFUNCTION("""COMPUTED_VALUE"""),82)</f>
        <v>82</v>
      </c>
      <c r="E670" s="2">
        <f ca="1">IFERROR(__xludf.DUMMYFUNCTION("""COMPUTED_VALUE"""),42600)</f>
        <v>42600</v>
      </c>
      <c r="F670" s="2" t="str">
        <f ca="1">IFERROR(__xludf.DUMMYFUNCTION("""COMPUTED_VALUE"""),"Anccelotta")</f>
        <v>Anccelotta</v>
      </c>
      <c r="G670" s="2">
        <f ca="1">IFERROR(__xludf.DUMMYFUNCTION("""COMPUTED_VALUE"""),0)</f>
        <v>0</v>
      </c>
      <c r="H670" s="2">
        <f ca="1">IFERROR(__xludf.DUMMYFUNCTION("""COMPUTED_VALUE"""),30000)</f>
        <v>30000</v>
      </c>
      <c r="I670" s="2"/>
      <c r="J670" s="2"/>
      <c r="K670" s="2" t="str">
        <f ca="1">IFERROR(__xludf.DUMMYFUNCTION("""COMPUTED_VALUE"""),"Descubada")</f>
        <v>Descubada</v>
      </c>
      <c r="L670" s="2"/>
      <c r="M670" s="2"/>
    </row>
    <row r="671" spans="1:13" x14ac:dyDescent="0.25">
      <c r="A671" s="2" t="str">
        <f ca="1">IFERROR(__xludf.DUMMYFUNCTION("""COMPUTED_VALUE"""),"20f062e7")</f>
        <v>20f062e7</v>
      </c>
      <c r="B671" s="2"/>
      <c r="C671" s="5">
        <f ca="1">IFERROR(__xludf.DUMMYFUNCTION("""COMPUTED_VALUE"""),45776.9088541666)</f>
        <v>45776.908854166599</v>
      </c>
      <c r="D671" s="2">
        <f ca="1">IFERROR(__xludf.DUMMYFUNCTION("""COMPUTED_VALUE"""),82)</f>
        <v>82</v>
      </c>
      <c r="E671" s="2">
        <f ca="1">IFERROR(__xludf.DUMMYFUNCTION("""COMPUTED_VALUE"""),42600)</f>
        <v>42600</v>
      </c>
      <c r="F671" s="2" t="str">
        <f ca="1">IFERROR(__xludf.DUMMYFUNCTION("""COMPUTED_VALUE"""),"Anccelotta")</f>
        <v>Anccelotta</v>
      </c>
      <c r="G671" s="2">
        <f ca="1">IFERROR(__xludf.DUMMYFUNCTION("""COMPUTED_VALUE"""),30000)</f>
        <v>30000</v>
      </c>
      <c r="H671" s="2">
        <f ca="1">IFERROR(__xludf.DUMMYFUNCTION("""COMPUTED_VALUE"""),41000)</f>
        <v>41000</v>
      </c>
      <c r="I671" s="2"/>
      <c r="J671" s="2"/>
      <c r="K671" s="2" t="str">
        <f ca="1">IFERROR(__xludf.DUMMYFUNCTION("""COMPUTED_VALUE"""),"1er Trasiego")</f>
        <v>1er Trasiego</v>
      </c>
      <c r="L671" s="2"/>
      <c r="M671" s="2"/>
    </row>
    <row r="672" spans="1:13" x14ac:dyDescent="0.25">
      <c r="A672" s="2" t="str">
        <f ca="1">IFERROR(__xludf.DUMMYFUNCTION("""COMPUTED_VALUE"""),"3c150dd5")</f>
        <v>3c150dd5</v>
      </c>
      <c r="B672" s="2"/>
      <c r="C672" s="5">
        <f ca="1">IFERROR(__xludf.DUMMYFUNCTION("""COMPUTED_VALUE"""),45776.91)</f>
        <v>45776.91</v>
      </c>
      <c r="D672" s="2">
        <f ca="1">IFERROR(__xludf.DUMMYFUNCTION("""COMPUTED_VALUE"""),116)</f>
        <v>116</v>
      </c>
      <c r="E672" s="2">
        <f ca="1">IFERROR(__xludf.DUMMYFUNCTION("""COMPUTED_VALUE"""),99600)</f>
        <v>99600</v>
      </c>
      <c r="F672" s="2" t="str">
        <f ca="1">IFERROR(__xludf.DUMMYFUNCTION("""COMPUTED_VALUE"""),"Bonarda")</f>
        <v>Bonarda</v>
      </c>
      <c r="G672" s="2">
        <f ca="1">IFERROR(__xludf.DUMMYFUNCTION("""COMPUTED_VALUE"""),0)</f>
        <v>0</v>
      </c>
      <c r="H672" s="2">
        <f ca="1">IFERROR(__xludf.DUMMYFUNCTION("""COMPUTED_VALUE"""),24000)</f>
        <v>24000</v>
      </c>
      <c r="I672" s="2"/>
      <c r="J672" s="2"/>
      <c r="K672" s="2" t="str">
        <f ca="1">IFERROR(__xludf.DUMMYFUNCTION("""COMPUTED_VALUE"""),"1er Trasiego")</f>
        <v>1er Trasiego</v>
      </c>
      <c r="L672" s="2"/>
      <c r="M672" s="2"/>
    </row>
    <row r="673" spans="1:13" x14ac:dyDescent="0.25">
      <c r="A673" s="2" t="str">
        <f ca="1">IFERROR(__xludf.DUMMYFUNCTION("""COMPUTED_VALUE"""),"57f606f3")</f>
        <v>57f606f3</v>
      </c>
      <c r="B673" s="2"/>
      <c r="C673" s="5">
        <f ca="1">IFERROR(__xludf.DUMMYFUNCTION("""COMPUTED_VALUE"""),45776.9103472222)</f>
        <v>45776.910347222198</v>
      </c>
      <c r="D673" s="2">
        <f ca="1">IFERROR(__xludf.DUMMYFUNCTION("""COMPUTED_VALUE"""),116)</f>
        <v>116</v>
      </c>
      <c r="E673" s="2">
        <f ca="1">IFERROR(__xludf.DUMMYFUNCTION("""COMPUTED_VALUE"""),99600)</f>
        <v>99600</v>
      </c>
      <c r="F673" s="2" t="str">
        <f ca="1">IFERROR(__xludf.DUMMYFUNCTION("""COMPUTED_VALUE"""),"Bonarda")</f>
        <v>Bonarda</v>
      </c>
      <c r="G673" s="2">
        <f ca="1">IFERROR(__xludf.DUMMYFUNCTION("""COMPUTED_VALUE"""),24000)</f>
        <v>24000</v>
      </c>
      <c r="H673" s="2">
        <f ca="1">IFERROR(__xludf.DUMMYFUNCTION("""COMPUTED_VALUE"""),59000)</f>
        <v>59000</v>
      </c>
      <c r="I673" s="2"/>
      <c r="J673" s="2"/>
      <c r="K673" s="2" t="str">
        <f ca="1">IFERROR(__xludf.DUMMYFUNCTION("""COMPUTED_VALUE"""),"1er Trasiego")</f>
        <v>1er Trasiego</v>
      </c>
      <c r="L673" s="2"/>
      <c r="M673" s="2"/>
    </row>
    <row r="674" spans="1:13" x14ac:dyDescent="0.25">
      <c r="A674" s="2" t="str">
        <f ca="1">IFERROR(__xludf.DUMMYFUNCTION("""COMPUTED_VALUE"""),"029318be")</f>
        <v>029318be</v>
      </c>
      <c r="B674" s="2"/>
      <c r="C674" s="5">
        <f ca="1">IFERROR(__xludf.DUMMYFUNCTION("""COMPUTED_VALUE"""),45776.9106597222)</f>
        <v>45776.910659722198</v>
      </c>
      <c r="D674" s="2">
        <f ca="1">IFERROR(__xludf.DUMMYFUNCTION("""COMPUTED_VALUE"""),116)</f>
        <v>116</v>
      </c>
      <c r="E674" s="2">
        <f ca="1">IFERROR(__xludf.DUMMYFUNCTION("""COMPUTED_VALUE"""),99600)</f>
        <v>99600</v>
      </c>
      <c r="F674" s="2" t="str">
        <f ca="1">IFERROR(__xludf.DUMMYFUNCTION("""COMPUTED_VALUE"""),"Bonarda")</f>
        <v>Bonarda</v>
      </c>
      <c r="G674" s="2">
        <f ca="1">IFERROR(__xludf.DUMMYFUNCTION("""COMPUTED_VALUE"""),59000)</f>
        <v>59000</v>
      </c>
      <c r="H674" s="2">
        <f ca="1">IFERROR(__xludf.DUMMYFUNCTION("""COMPUTED_VALUE"""),89000)</f>
        <v>89000</v>
      </c>
      <c r="I674" s="2"/>
      <c r="J674" s="2"/>
      <c r="K674" s="2" t="str">
        <f ca="1">IFERROR(__xludf.DUMMYFUNCTION("""COMPUTED_VALUE"""),"1er Trasiego")</f>
        <v>1er Trasiego</v>
      </c>
      <c r="L674" s="2"/>
      <c r="M674" s="2"/>
    </row>
    <row r="675" spans="1:13" x14ac:dyDescent="0.25">
      <c r="A675" s="2" t="str">
        <f ca="1">IFERROR(__xludf.DUMMYFUNCTION("""COMPUTED_VALUE"""),"7a999708")</f>
        <v>7a999708</v>
      </c>
      <c r="B675" s="2"/>
      <c r="C675" s="5">
        <f ca="1">IFERROR(__xludf.DUMMYFUNCTION("""COMPUTED_VALUE"""),45776.9112384259)</f>
        <v>45776.911238425899</v>
      </c>
      <c r="D675" s="2">
        <f ca="1">IFERROR(__xludf.DUMMYFUNCTION("""COMPUTED_VALUE"""),116)</f>
        <v>116</v>
      </c>
      <c r="E675" s="2">
        <f ca="1">IFERROR(__xludf.DUMMYFUNCTION("""COMPUTED_VALUE"""),99600)</f>
        <v>99600</v>
      </c>
      <c r="F675" s="2" t="str">
        <f ca="1">IFERROR(__xludf.DUMMYFUNCTION("""COMPUTED_VALUE"""),"Bonarda")</f>
        <v>Bonarda</v>
      </c>
      <c r="G675" s="2">
        <f ca="1">IFERROR(__xludf.DUMMYFUNCTION("""COMPUTED_VALUE"""),89000)</f>
        <v>89000</v>
      </c>
      <c r="H675" s="2">
        <f ca="1">IFERROR(__xludf.DUMMYFUNCTION("""COMPUTED_VALUE"""),99600)</f>
        <v>99600</v>
      </c>
      <c r="I675" s="2" t="str">
        <f ca="1">IFERROR(__xludf.DUMMYFUNCTION("""COMPUTED_VALUE"""),"14/5
muy bueno")</f>
        <v>14/5
muy bueno</v>
      </c>
      <c r="J675" s="2"/>
      <c r="K675" s="2" t="str">
        <f ca="1">IFERROR(__xludf.DUMMYFUNCTION("""COMPUTED_VALUE"""),"1er Trasiego")</f>
        <v>1er Trasiego</v>
      </c>
      <c r="L675" s="2" t="str">
        <f ca="1">IFERROR(__xludf.DUMMYFUNCTION("""COMPUTED_VALUE"""),"1")</f>
        <v>1</v>
      </c>
      <c r="M675" s="2"/>
    </row>
    <row r="676" spans="1:13" x14ac:dyDescent="0.25">
      <c r="A676" s="2" t="str">
        <f ca="1">IFERROR(__xludf.DUMMYFUNCTION("""COMPUTED_VALUE"""),"3b7f8f1f")</f>
        <v>3b7f8f1f</v>
      </c>
      <c r="B676" s="2"/>
      <c r="C676" s="5">
        <f ca="1">IFERROR(__xludf.DUMMYFUNCTION("""COMPUTED_VALUE"""),45776.9177777777)</f>
        <v>45776.9177777777</v>
      </c>
      <c r="D676" s="2">
        <f ca="1">IFERROR(__xludf.DUMMYFUNCTION("""COMPUTED_VALUE"""),125)</f>
        <v>125</v>
      </c>
      <c r="E676" s="2">
        <f ca="1">IFERROR(__xludf.DUMMYFUNCTION("""COMPUTED_VALUE"""),31000)</f>
        <v>31000</v>
      </c>
      <c r="F676" s="2" t="str">
        <f ca="1">IFERROR(__xludf.DUMMYFUNCTION("""COMPUTED_VALUE"""),"Malbec Bonarda")</f>
        <v>Malbec Bonarda</v>
      </c>
      <c r="G676" s="2">
        <f ca="1">IFERROR(__xludf.DUMMYFUNCTION("""COMPUTED_VALUE"""),0)</f>
        <v>0</v>
      </c>
      <c r="H676" s="2">
        <f ca="1">IFERROR(__xludf.DUMMYFUNCTION("""COMPUTED_VALUE"""),30000)</f>
        <v>30000</v>
      </c>
      <c r="I676" s="2"/>
      <c r="J676" s="2"/>
      <c r="K676" s="2" t="str">
        <f ca="1">IFERROR(__xludf.DUMMYFUNCTION("""COMPUTED_VALUE"""),"1er Trasiego")</f>
        <v>1er Trasiego</v>
      </c>
      <c r="L676" s="2"/>
      <c r="M676" s="2"/>
    </row>
    <row r="677" spans="1:13" x14ac:dyDescent="0.25">
      <c r="A677" s="2" t="str">
        <f ca="1">IFERROR(__xludf.DUMMYFUNCTION("""COMPUTED_VALUE"""),"295b868d")</f>
        <v>295b868d</v>
      </c>
      <c r="B677" s="2"/>
      <c r="C677" s="5">
        <f ca="1">IFERROR(__xludf.DUMMYFUNCTION("""COMPUTED_VALUE"""),45776.9184375)</f>
        <v>45776.918437499997</v>
      </c>
      <c r="D677" s="2">
        <f ca="1">IFERROR(__xludf.DUMMYFUNCTION("""COMPUTED_VALUE"""),6)</f>
        <v>6</v>
      </c>
      <c r="E677" s="2">
        <f ca="1">IFERROR(__xludf.DUMMYFUNCTION("""COMPUTED_VALUE"""),32000)</f>
        <v>32000</v>
      </c>
      <c r="F677" s="2" t="str">
        <f ca="1">IFERROR(__xludf.DUMMYFUNCTION("""COMPUTED_VALUE"""),"Malbec Bonarda")</f>
        <v>Malbec Bonarda</v>
      </c>
      <c r="G677" s="2">
        <f ca="1">IFERROR(__xludf.DUMMYFUNCTION("""COMPUTED_VALUE"""),0)</f>
        <v>0</v>
      </c>
      <c r="H677" s="2">
        <f ca="1">IFERROR(__xludf.DUMMYFUNCTION("""COMPUTED_VALUE"""),9000)</f>
        <v>9000</v>
      </c>
      <c r="I677" s="2"/>
      <c r="J677" s="2"/>
      <c r="K677" s="2" t="str">
        <f ca="1">IFERROR(__xludf.DUMMYFUNCTION("""COMPUTED_VALUE"""),"Rectificado")</f>
        <v>Rectificado</v>
      </c>
      <c r="L677" s="2"/>
      <c r="M677" s="2"/>
    </row>
    <row r="678" spans="1:13" x14ac:dyDescent="0.25">
      <c r="A678" s="2" t="str">
        <f ca="1">IFERROR(__xludf.DUMMYFUNCTION("""COMPUTED_VALUE"""),"f27aca73")</f>
        <v>f27aca73</v>
      </c>
      <c r="B678" s="2"/>
      <c r="C678" s="5">
        <f ca="1">IFERROR(__xludf.DUMMYFUNCTION("""COMPUTED_VALUE"""),45776.9187037037)</f>
        <v>45776.918703703697</v>
      </c>
      <c r="D678" s="2">
        <f ca="1">IFERROR(__xludf.DUMMYFUNCTION("""COMPUTED_VALUE"""),125)</f>
        <v>125</v>
      </c>
      <c r="E678" s="2">
        <f ca="1">IFERROR(__xludf.DUMMYFUNCTION("""COMPUTED_VALUE"""),31000)</f>
        <v>31000</v>
      </c>
      <c r="F678" s="2" t="str">
        <f ca="1">IFERROR(__xludf.DUMMYFUNCTION("""COMPUTED_VALUE"""),"Malbec Bonarda")</f>
        <v>Malbec Bonarda</v>
      </c>
      <c r="G678" s="2">
        <f ca="1">IFERROR(__xludf.DUMMYFUNCTION("""COMPUTED_VALUE"""),21000)</f>
        <v>21000</v>
      </c>
      <c r="H678" s="2">
        <f ca="1">IFERROR(__xludf.DUMMYFUNCTION("""COMPUTED_VALUE"""),30000)</f>
        <v>30000</v>
      </c>
      <c r="I678" s="2"/>
      <c r="J678" s="2"/>
      <c r="K678" s="2" t="str">
        <f ca="1">IFERROR(__xludf.DUMMYFUNCTION("""COMPUTED_VALUE"""),"1er Trasiego")</f>
        <v>1er Trasiego</v>
      </c>
      <c r="L678" s="2"/>
      <c r="M678" s="2"/>
    </row>
    <row r="679" spans="1:13" x14ac:dyDescent="0.25">
      <c r="A679" s="2" t="str">
        <f ca="1">IFERROR(__xludf.DUMMYFUNCTION("""COMPUTED_VALUE"""),"d71a5bd5")</f>
        <v>d71a5bd5</v>
      </c>
      <c r="B679" s="2"/>
      <c r="C679" s="5">
        <f ca="1">IFERROR(__xludf.DUMMYFUNCTION("""COMPUTED_VALUE"""),45777.4363773148)</f>
        <v>45777.4363773148</v>
      </c>
      <c r="D679" s="2">
        <f ca="1">IFERROR(__xludf.DUMMYFUNCTION("""COMPUTED_VALUE"""),500)</f>
        <v>500</v>
      </c>
      <c r="E679" s="2">
        <f ca="1">IFERROR(__xludf.DUMMYFUNCTION("""COMPUTED_VALUE"""),200000)</f>
        <v>200000</v>
      </c>
      <c r="F679" s="2" t="str">
        <f ca="1">IFERROR(__xludf.DUMMYFUNCTION("""COMPUTED_VALUE"""),"Ajuste semana 22/04/25")</f>
        <v>Ajuste semana 22/04/25</v>
      </c>
      <c r="G679" s="2">
        <f ca="1">IFERROR(__xludf.DUMMYFUNCTION("""COMPUTED_VALUE"""),122601)</f>
        <v>122601</v>
      </c>
      <c r="H679" s="2">
        <f ca="1">IFERROR(__xludf.DUMMYFUNCTION("""COMPUTED_VALUE"""),126101)</f>
        <v>126101</v>
      </c>
      <c r="I679" s="2" t="str">
        <f ca="1">IFERROR(__xludf.DUMMYFUNCTION("""COMPUTED_VALUE"""),"Diferencias Totales del Arqueo del 22/04 fueron 126100 lts")</f>
        <v>Diferencias Totales del Arqueo del 22/04 fueron 126100 lts</v>
      </c>
      <c r="J679" s="2"/>
      <c r="K679" s="2" t="str">
        <f ca="1">IFERROR(__xludf.DUMMYFUNCTION("""COMPUTED_VALUE"""),"Terminado")</f>
        <v>Terminado</v>
      </c>
      <c r="L679" s="2"/>
      <c r="M679" s="2"/>
    </row>
    <row r="680" spans="1:13" x14ac:dyDescent="0.25">
      <c r="A680" s="2" t="str">
        <f ca="1">IFERROR(__xludf.DUMMYFUNCTION("""COMPUTED_VALUE"""),"56888a83")</f>
        <v>56888a83</v>
      </c>
      <c r="B680" s="2"/>
      <c r="C680" s="5">
        <f ca="1">IFERROR(__xludf.DUMMYFUNCTION("""COMPUTED_VALUE"""),45777.8079166666)</f>
        <v>45777.807916666599</v>
      </c>
      <c r="D680" s="2">
        <f ca="1">IFERROR(__xludf.DUMMYFUNCTION("""COMPUTED_VALUE"""),126)</f>
        <v>126</v>
      </c>
      <c r="E680" s="2">
        <f ca="1">IFERROR(__xludf.DUMMYFUNCTION("""COMPUTED_VALUE"""),31000)</f>
        <v>31000</v>
      </c>
      <c r="F680" s="2" t="str">
        <f ca="1">IFERROR(__xludf.DUMMYFUNCTION("""COMPUTED_VALUE"""),"Tinto G")</f>
        <v>Tinto G</v>
      </c>
      <c r="G680" s="2">
        <f ca="1">IFERROR(__xludf.DUMMYFUNCTION("""COMPUTED_VALUE"""),0)</f>
        <v>0</v>
      </c>
      <c r="H680" s="2">
        <f ca="1">IFERROR(__xludf.DUMMYFUNCTION("""COMPUTED_VALUE"""),30000)</f>
        <v>30000</v>
      </c>
      <c r="I680" s="2"/>
      <c r="J680" s="2"/>
      <c r="K680" s="2" t="str">
        <f ca="1">IFERROR(__xludf.DUMMYFUNCTION("""COMPUTED_VALUE"""),"1er Trasiego")</f>
        <v>1er Trasiego</v>
      </c>
      <c r="L680" s="2"/>
      <c r="M680" s="2"/>
    </row>
    <row r="681" spans="1:13" x14ac:dyDescent="0.25">
      <c r="A681" s="2" t="str">
        <f ca="1">IFERROR(__xludf.DUMMYFUNCTION("""COMPUTED_VALUE"""),"042123a0")</f>
        <v>042123a0</v>
      </c>
      <c r="B681" s="2"/>
      <c r="C681" s="5">
        <f ca="1">IFERROR(__xludf.DUMMYFUNCTION("""COMPUTED_VALUE"""),45777.8087384259)</f>
        <v>45777.808738425898</v>
      </c>
      <c r="D681" s="2">
        <f ca="1">IFERROR(__xludf.DUMMYFUNCTION("""COMPUTED_VALUE"""),73)</f>
        <v>73</v>
      </c>
      <c r="E681" s="2">
        <f ca="1">IFERROR(__xludf.DUMMYFUNCTION("""COMPUTED_VALUE"""),13000)</f>
        <v>13000</v>
      </c>
      <c r="F681" s="2" t="str">
        <f ca="1">IFERROR(__xludf.DUMMYFUNCTION("""COMPUTED_VALUE"""),"Tanat")</f>
        <v>Tanat</v>
      </c>
      <c r="G681" s="2">
        <f ca="1">IFERROR(__xludf.DUMMYFUNCTION("""COMPUTED_VALUE"""),0)</f>
        <v>0</v>
      </c>
      <c r="H681" s="2">
        <f ca="1">IFERROR(__xludf.DUMMYFUNCTION("""COMPUTED_VALUE"""),11000)</f>
        <v>11000</v>
      </c>
      <c r="I681" s="2"/>
      <c r="J681" s="2"/>
      <c r="K681" s="2" t="str">
        <f ca="1">IFERROR(__xludf.DUMMYFUNCTION("""COMPUTED_VALUE"""),"1er Trasiego")</f>
        <v>1er Trasiego</v>
      </c>
      <c r="L681" s="2"/>
      <c r="M681" s="2"/>
    </row>
    <row r="682" spans="1:13" x14ac:dyDescent="0.25">
      <c r="A682" s="2" t="str">
        <f ca="1">IFERROR(__xludf.DUMMYFUNCTION("""COMPUTED_VALUE"""),"0760321a")</f>
        <v>0760321a</v>
      </c>
      <c r="B682" s="2"/>
      <c r="C682" s="5">
        <f ca="1">IFERROR(__xludf.DUMMYFUNCTION("""COMPUTED_VALUE"""),45777.8094560184)</f>
        <v>45777.809456018498</v>
      </c>
      <c r="D682" s="2">
        <f ca="1">IFERROR(__xludf.DUMMYFUNCTION("""COMPUTED_VALUE"""),73)</f>
        <v>73</v>
      </c>
      <c r="E682" s="2">
        <f ca="1">IFERROR(__xludf.DUMMYFUNCTION("""COMPUTED_VALUE"""),13000)</f>
        <v>13000</v>
      </c>
      <c r="F682" s="2" t="str">
        <f ca="1">IFERROR(__xludf.DUMMYFUNCTION("""COMPUTED_VALUE"""),"Tanat")</f>
        <v>Tanat</v>
      </c>
      <c r="G682" s="2">
        <f ca="1">IFERROR(__xludf.DUMMYFUNCTION("""COMPUTED_VALUE"""),11000)</f>
        <v>11000</v>
      </c>
      <c r="H682" s="2">
        <f ca="1">IFERROR(__xludf.DUMMYFUNCTION("""COMPUTED_VALUE"""),13000)</f>
        <v>13000</v>
      </c>
      <c r="I682" s="2"/>
      <c r="J682" s="2"/>
      <c r="K682" s="2" t="str">
        <f ca="1">IFERROR(__xludf.DUMMYFUNCTION("""COMPUTED_VALUE"""),"1er Trasiego")</f>
        <v>1er Trasiego</v>
      </c>
      <c r="L682" s="2"/>
      <c r="M682" s="2"/>
    </row>
    <row r="683" spans="1:13" x14ac:dyDescent="0.25">
      <c r="A683" s="2" t="str">
        <f ca="1">IFERROR(__xludf.DUMMYFUNCTION("""COMPUTED_VALUE"""),"79317f47")</f>
        <v>79317f47</v>
      </c>
      <c r="B683" s="2"/>
      <c r="C683" s="5">
        <f ca="1">IFERROR(__xludf.DUMMYFUNCTION("""COMPUTED_VALUE"""),45777.8123611111)</f>
        <v>45777.8123611111</v>
      </c>
      <c r="D683" s="2">
        <f ca="1">IFERROR(__xludf.DUMMYFUNCTION("""COMPUTED_VALUE"""),94)</f>
        <v>94</v>
      </c>
      <c r="E683" s="2">
        <f ca="1">IFERROR(__xludf.DUMMYFUNCTION("""COMPUTED_VALUE"""),11600)</f>
        <v>11600</v>
      </c>
      <c r="F683" s="2" t="str">
        <f ca="1">IFERROR(__xludf.DUMMYFUNCTION("""COMPUTED_VALUE"""),"Borra")</f>
        <v>Borra</v>
      </c>
      <c r="G683" s="2">
        <f ca="1">IFERROR(__xludf.DUMMYFUNCTION("""COMPUTED_VALUE"""),11600)</f>
        <v>11600</v>
      </c>
      <c r="H683" s="2">
        <f ca="1">IFERROR(__xludf.DUMMYFUNCTION("""COMPUTED_VALUE"""),16000)</f>
        <v>16000</v>
      </c>
      <c r="I683" s="2"/>
      <c r="J683" s="2"/>
      <c r="K683" s="2" t="str">
        <f ca="1">IFERROR(__xludf.DUMMYFUNCTION("""COMPUTED_VALUE"""),"Descubada")</f>
        <v>Descubada</v>
      </c>
      <c r="L683" s="2"/>
      <c r="M683" s="2"/>
    </row>
    <row r="684" spans="1:13" x14ac:dyDescent="0.25">
      <c r="A684" s="2" t="str">
        <f ca="1">IFERROR(__xludf.DUMMYFUNCTION("""COMPUTED_VALUE"""),"1afbb480")</f>
        <v>1afbb480</v>
      </c>
      <c r="B684" s="2"/>
      <c r="C684" s="5">
        <f ca="1">IFERROR(__xludf.DUMMYFUNCTION("""COMPUTED_VALUE"""),45777.8135532407)</f>
        <v>45777.813553240703</v>
      </c>
      <c r="D684" s="2">
        <f ca="1">IFERROR(__xludf.DUMMYFUNCTION("""COMPUTED_VALUE"""),12)</f>
        <v>12</v>
      </c>
      <c r="E684" s="2">
        <f ca="1">IFERROR(__xludf.DUMMYFUNCTION("""COMPUTED_VALUE"""),35300)</f>
        <v>35300</v>
      </c>
      <c r="F684" s="2" t="str">
        <f ca="1">IFERROR(__xludf.DUMMYFUNCTION("""COMPUTED_VALUE"""),"Claro de Filtro")</f>
        <v>Claro de Filtro</v>
      </c>
      <c r="G684" s="2">
        <f ca="1">IFERROR(__xludf.DUMMYFUNCTION("""COMPUTED_VALUE"""),0)</f>
        <v>0</v>
      </c>
      <c r="H684" s="2">
        <f ca="1">IFERROR(__xludf.DUMMYFUNCTION("""COMPUTED_VALUE"""),15000)</f>
        <v>15000</v>
      </c>
      <c r="I684" s="2"/>
      <c r="J684" s="2"/>
      <c r="K684" s="2" t="str">
        <f ca="1">IFERROR(__xludf.DUMMYFUNCTION("""COMPUTED_VALUE"""),"Descubada")</f>
        <v>Descubada</v>
      </c>
      <c r="L684" s="2"/>
      <c r="M684" s="2"/>
    </row>
    <row r="685" spans="1:13" x14ac:dyDescent="0.25">
      <c r="A685" s="2" t="str">
        <f ca="1">IFERROR(__xludf.DUMMYFUNCTION("""COMPUTED_VALUE"""),"cbf4bbc1")</f>
        <v>cbf4bbc1</v>
      </c>
      <c r="B685" s="2"/>
      <c r="C685" s="5">
        <f ca="1">IFERROR(__xludf.DUMMYFUNCTION("""COMPUTED_VALUE"""),45783.780011574)</f>
        <v>45783.780011574003</v>
      </c>
      <c r="D685" s="2">
        <f ca="1">IFERROR(__xludf.DUMMYFUNCTION("""COMPUTED_VALUE"""),102)</f>
        <v>102</v>
      </c>
      <c r="E685" s="2">
        <f ca="1">IFERROR(__xludf.DUMMYFUNCTION("""COMPUTED_VALUE"""),31000)</f>
        <v>31000</v>
      </c>
      <c r="F685" s="2" t="str">
        <f ca="1">IFERROR(__xludf.DUMMYFUNCTION("""COMPUTED_VALUE"""),"Bonarda")</f>
        <v>Bonarda</v>
      </c>
      <c r="G685" s="2">
        <f ca="1">IFERROR(__xludf.DUMMYFUNCTION("""COMPUTED_VALUE"""),0)</f>
        <v>0</v>
      </c>
      <c r="H685" s="2">
        <f ca="1">IFERROR(__xludf.DUMMYFUNCTION("""COMPUTED_VALUE"""),31000)</f>
        <v>31000</v>
      </c>
      <c r="I685" s="2" t="str">
        <f ca="1">IFERROR(__xludf.DUMMYFUNCTION("""COMPUTED_VALUE"""),"bueno tiene carbonico")</f>
        <v>bueno tiene carbonico</v>
      </c>
      <c r="J685" s="2"/>
      <c r="K685" s="2" t="str">
        <f ca="1">IFERROR(__xludf.DUMMYFUNCTION("""COMPUTED_VALUE"""),"1er Trasiego")</f>
        <v>1er Trasiego</v>
      </c>
      <c r="L685" s="2" t="str">
        <f ca="1">IFERROR(__xludf.DUMMYFUNCTION("""COMPUTED_VALUE"""),"1")</f>
        <v>1</v>
      </c>
      <c r="M685" s="2"/>
    </row>
    <row r="686" spans="1:13" x14ac:dyDescent="0.25">
      <c r="A686" s="2" t="str">
        <f ca="1">IFERROR(__xludf.DUMMYFUNCTION("""COMPUTED_VALUE"""),"d0071dd4")</f>
        <v>d0071dd4</v>
      </c>
      <c r="B686" s="2"/>
      <c r="C686" s="5">
        <f ca="1">IFERROR(__xludf.DUMMYFUNCTION("""COMPUTED_VALUE"""),45783.7802546296)</f>
        <v>45783.780254629601</v>
      </c>
      <c r="D686" s="2">
        <f ca="1">IFERROR(__xludf.DUMMYFUNCTION("""COMPUTED_VALUE"""),103)</f>
        <v>103</v>
      </c>
      <c r="E686" s="2">
        <f ca="1">IFERROR(__xludf.DUMMYFUNCTION("""COMPUTED_VALUE"""),31000)</f>
        <v>31000</v>
      </c>
      <c r="F686" s="2" t="str">
        <f ca="1">IFERROR(__xludf.DUMMYFUNCTION("""COMPUTED_VALUE"""),"Bonarda")</f>
        <v>Bonarda</v>
      </c>
      <c r="G686" s="2">
        <f ca="1">IFERROR(__xludf.DUMMYFUNCTION("""COMPUTED_VALUE"""),0)</f>
        <v>0</v>
      </c>
      <c r="H686" s="2">
        <f ca="1">IFERROR(__xludf.DUMMYFUNCTION("""COMPUTED_VALUE"""),31000)</f>
        <v>31000</v>
      </c>
      <c r="I686" s="2" t="str">
        <f ca="1">IFERROR(__xludf.DUMMYFUNCTION("""COMPUTED_VALUE"""),"Mucha fruta, muy bueno")</f>
        <v>Mucha fruta, muy bueno</v>
      </c>
      <c r="J686" s="2"/>
      <c r="K686" s="2" t="str">
        <f ca="1">IFERROR(__xludf.DUMMYFUNCTION("""COMPUTED_VALUE"""),"1er Trasiego")</f>
        <v>1er Trasiego</v>
      </c>
      <c r="L686" s="2" t="str">
        <f ca="1">IFERROR(__xludf.DUMMYFUNCTION("""COMPUTED_VALUE"""),"1+")</f>
        <v>1+</v>
      </c>
      <c r="M686" s="2"/>
    </row>
    <row r="687" spans="1:13" x14ac:dyDescent="0.25">
      <c r="A687" s="2" t="str">
        <f ca="1">IFERROR(__xludf.DUMMYFUNCTION("""COMPUTED_VALUE"""),"1828d39f")</f>
        <v>1828d39f</v>
      </c>
      <c r="B687" s="2"/>
      <c r="C687" s="5">
        <f ca="1">IFERROR(__xludf.DUMMYFUNCTION("""COMPUTED_VALUE"""),45783.7805439814)</f>
        <v>45783.780543981396</v>
      </c>
      <c r="D687" s="2">
        <f ca="1">IFERROR(__xludf.DUMMYFUNCTION("""COMPUTED_VALUE"""),104)</f>
        <v>104</v>
      </c>
      <c r="E687" s="2">
        <f ca="1">IFERROR(__xludf.DUMMYFUNCTION("""COMPUTED_VALUE"""),31000)</f>
        <v>31000</v>
      </c>
      <c r="F687" s="2" t="str">
        <f ca="1">IFERROR(__xludf.DUMMYFUNCTION("""COMPUTED_VALUE"""),"Bonarda")</f>
        <v>Bonarda</v>
      </c>
      <c r="G687" s="2">
        <f ca="1">IFERROR(__xludf.DUMMYFUNCTION("""COMPUTED_VALUE"""),0)</f>
        <v>0</v>
      </c>
      <c r="H687" s="2">
        <f ca="1">IFERROR(__xludf.DUMMYFUNCTION("""COMPUTED_VALUE"""),31000)</f>
        <v>31000</v>
      </c>
      <c r="I687" s="2" t="str">
        <f ca="1">IFERROR(__xludf.DUMMYFUNCTION("""COMPUTED_VALUE"""),"muy bien")</f>
        <v>muy bien</v>
      </c>
      <c r="J687" s="2"/>
      <c r="K687" s="2" t="str">
        <f ca="1">IFERROR(__xludf.DUMMYFUNCTION("""COMPUTED_VALUE"""),"1er Trasiego")</f>
        <v>1er Trasiego</v>
      </c>
      <c r="L687" s="2" t="str">
        <f ca="1">IFERROR(__xludf.DUMMYFUNCTION("""COMPUTED_VALUE"""),"1")</f>
        <v>1</v>
      </c>
      <c r="M687" s="2"/>
    </row>
    <row r="688" spans="1:13" x14ac:dyDescent="0.25">
      <c r="A688" s="2" t="str">
        <f ca="1">IFERROR(__xludf.DUMMYFUNCTION("""COMPUTED_VALUE"""),"ddc627ec")</f>
        <v>ddc627ec</v>
      </c>
      <c r="B688" s="2"/>
      <c r="C688" s="5">
        <f ca="1">IFERROR(__xludf.DUMMYFUNCTION("""COMPUTED_VALUE"""),45783.7809953703)</f>
        <v>45783.780995370304</v>
      </c>
      <c r="D688" s="2">
        <f ca="1">IFERROR(__xludf.DUMMYFUNCTION("""COMPUTED_VALUE"""),105)</f>
        <v>105</v>
      </c>
      <c r="E688" s="2">
        <f ca="1">IFERROR(__xludf.DUMMYFUNCTION("""COMPUTED_VALUE"""),31000)</f>
        <v>31000</v>
      </c>
      <c r="F688" s="2" t="str">
        <f ca="1">IFERROR(__xludf.DUMMYFUNCTION("""COMPUTED_VALUE"""),"Bonarda")</f>
        <v>Bonarda</v>
      </c>
      <c r="G688" s="2">
        <f ca="1">IFERROR(__xludf.DUMMYFUNCTION("""COMPUTED_VALUE"""),0)</f>
        <v>0</v>
      </c>
      <c r="H688" s="2">
        <f ca="1">IFERROR(__xludf.DUMMYFUNCTION("""COMPUTED_VALUE"""),31000)</f>
        <v>31000</v>
      </c>
      <c r="I688" s="2"/>
      <c r="J688" s="2"/>
      <c r="K688" s="2" t="str">
        <f ca="1">IFERROR(__xludf.DUMMYFUNCTION("""COMPUTED_VALUE"""),"1er Trasiego")</f>
        <v>1er Trasiego</v>
      </c>
      <c r="L688" s="2" t="str">
        <f ca="1">IFERROR(__xludf.DUMMYFUNCTION("""COMPUTED_VALUE"""),"1-")</f>
        <v>1-</v>
      </c>
      <c r="M688" s="2"/>
    </row>
    <row r="689" spans="1:13" x14ac:dyDescent="0.25">
      <c r="A689" s="2" t="str">
        <f ca="1">IFERROR(__xludf.DUMMYFUNCTION("""COMPUTED_VALUE"""),"56ef2422")</f>
        <v>56ef2422</v>
      </c>
      <c r="B689" s="2"/>
      <c r="C689" s="5">
        <f ca="1">IFERROR(__xludf.DUMMYFUNCTION("""COMPUTED_VALUE"""),45783.7824189814)</f>
        <v>45783.782418981398</v>
      </c>
      <c r="D689" s="2">
        <f ca="1">IFERROR(__xludf.DUMMYFUNCTION("""COMPUTED_VALUE"""),107)</f>
        <v>107</v>
      </c>
      <c r="E689" s="2">
        <f ca="1">IFERROR(__xludf.DUMMYFUNCTION("""COMPUTED_VALUE"""),31000)</f>
        <v>31000</v>
      </c>
      <c r="F689" s="2" t="str">
        <f ca="1">IFERROR(__xludf.DUMMYFUNCTION("""COMPUTED_VALUE"""),"Bonarda")</f>
        <v>Bonarda</v>
      </c>
      <c r="G689" s="2">
        <f ca="1">IFERROR(__xludf.DUMMYFUNCTION("""COMPUTED_VALUE"""),0)</f>
        <v>0</v>
      </c>
      <c r="H689" s="2">
        <f ca="1">IFERROR(__xludf.DUMMYFUNCTION("""COMPUTED_VALUE"""),24000)</f>
        <v>24000</v>
      </c>
      <c r="I689" s="2"/>
      <c r="J689" s="2"/>
      <c r="K689" s="2" t="str">
        <f ca="1">IFERROR(__xludf.DUMMYFUNCTION("""COMPUTED_VALUE"""),"1er Trasiego")</f>
        <v>1er Trasiego</v>
      </c>
      <c r="L689" s="2" t="str">
        <f ca="1">IFERROR(__xludf.DUMMYFUNCTION("""COMPUTED_VALUE"""),"1+")</f>
        <v>1+</v>
      </c>
      <c r="M689" s="2"/>
    </row>
    <row r="690" spans="1:13" x14ac:dyDescent="0.25">
      <c r="A690" s="2" t="str">
        <f ca="1">IFERROR(__xludf.DUMMYFUNCTION("""COMPUTED_VALUE"""),"e9379a58")</f>
        <v>e9379a58</v>
      </c>
      <c r="B690" s="2"/>
      <c r="C690" s="5">
        <f ca="1">IFERROR(__xludf.DUMMYFUNCTION("""COMPUTED_VALUE"""),45783.7827662037)</f>
        <v>45783.782766203702</v>
      </c>
      <c r="D690" s="2">
        <f ca="1">IFERROR(__xludf.DUMMYFUNCTION("""COMPUTED_VALUE"""),108)</f>
        <v>108</v>
      </c>
      <c r="E690" s="2">
        <f ca="1">IFERROR(__xludf.DUMMYFUNCTION("""COMPUTED_VALUE"""),31000)</f>
        <v>31000</v>
      </c>
      <c r="F690" s="2" t="str">
        <f ca="1">IFERROR(__xludf.DUMMYFUNCTION("""COMPUTED_VALUE"""),"Bonarda")</f>
        <v>Bonarda</v>
      </c>
      <c r="G690" s="2">
        <f ca="1">IFERROR(__xludf.DUMMYFUNCTION("""COMPUTED_VALUE"""),0)</f>
        <v>0</v>
      </c>
      <c r="H690" s="2">
        <f ca="1">IFERROR(__xludf.DUMMYFUNCTION("""COMPUTED_VALUE"""),17000)</f>
        <v>17000</v>
      </c>
      <c r="I690" s="2"/>
      <c r="J690" s="2"/>
      <c r="K690" s="2" t="str">
        <f ca="1">IFERROR(__xludf.DUMMYFUNCTION("""COMPUTED_VALUE"""),"1er Trasiego")</f>
        <v>1er Trasiego</v>
      </c>
      <c r="L690" s="2" t="str">
        <f ca="1">IFERROR(__xludf.DUMMYFUNCTION("""COMPUTED_VALUE"""),"1")</f>
        <v>1</v>
      </c>
      <c r="M690" s="2"/>
    </row>
    <row r="691" spans="1:13" x14ac:dyDescent="0.25">
      <c r="A691" s="2" t="str">
        <f ca="1">IFERROR(__xludf.DUMMYFUNCTION("""COMPUTED_VALUE"""),"b3edc5e1")</f>
        <v>b3edc5e1</v>
      </c>
      <c r="B691" s="2"/>
      <c r="C691" s="5">
        <f ca="1">IFERROR(__xludf.DUMMYFUNCTION("""COMPUTED_VALUE"""),45783.7833333333)</f>
        <v>45783.783333333296</v>
      </c>
      <c r="D691" s="2">
        <f ca="1">IFERROR(__xludf.DUMMYFUNCTION("""COMPUTED_VALUE"""),12)</f>
        <v>12</v>
      </c>
      <c r="E691" s="2">
        <f ca="1">IFERROR(__xludf.DUMMYFUNCTION("""COMPUTED_VALUE"""),35300)</f>
        <v>35300</v>
      </c>
      <c r="F691" s="2" t="str">
        <f ca="1">IFERROR(__xludf.DUMMYFUNCTION("""COMPUTED_VALUE"""),"Claro de Filtro")</f>
        <v>Claro de Filtro</v>
      </c>
      <c r="G691" s="2">
        <f ca="1">IFERROR(__xludf.DUMMYFUNCTION("""COMPUTED_VALUE"""),15000)</f>
        <v>15000</v>
      </c>
      <c r="H691" s="2">
        <f ca="1">IFERROR(__xludf.DUMMYFUNCTION("""COMPUTED_VALUE"""),30000)</f>
        <v>30000</v>
      </c>
      <c r="I691" s="2"/>
      <c r="J691" s="2"/>
      <c r="K691" s="2" t="str">
        <f ca="1">IFERROR(__xludf.DUMMYFUNCTION("""COMPUTED_VALUE"""),"Descubada")</f>
        <v>Descubada</v>
      </c>
      <c r="L691" s="2"/>
      <c r="M691" s="2"/>
    </row>
    <row r="692" spans="1:13" x14ac:dyDescent="0.25">
      <c r="A692" s="2" t="str">
        <f ca="1">IFERROR(__xludf.DUMMYFUNCTION("""COMPUTED_VALUE"""),"49b10489")</f>
        <v>49b10489</v>
      </c>
      <c r="B692" s="2"/>
      <c r="C692" s="5">
        <f ca="1">IFERROR(__xludf.DUMMYFUNCTION("""COMPUTED_VALUE"""),45783.7867013888)</f>
        <v>45783.786701388803</v>
      </c>
      <c r="D692" s="2">
        <f ca="1">IFERROR(__xludf.DUMMYFUNCTION("""COMPUTED_VALUE"""),6)</f>
        <v>6</v>
      </c>
      <c r="E692" s="2">
        <f ca="1">IFERROR(__xludf.DUMMYFUNCTION("""COMPUTED_VALUE"""),32000)</f>
        <v>32000</v>
      </c>
      <c r="F692" s="2" t="str">
        <f ca="1">IFERROR(__xludf.DUMMYFUNCTION("""COMPUTED_VALUE"""),"Malbec Bon Dulce  Rect")</f>
        <v>Malbec Bon Dulce  Rect</v>
      </c>
      <c r="G692" s="2">
        <f ca="1">IFERROR(__xludf.DUMMYFUNCTION("""COMPUTED_VALUE"""),0)</f>
        <v>0</v>
      </c>
      <c r="H692" s="2">
        <f ca="1">IFERROR(__xludf.DUMMYFUNCTION("""COMPUTED_VALUE"""),30000)</f>
        <v>30000</v>
      </c>
      <c r="I692" s="2"/>
      <c r="J692" s="2"/>
      <c r="K692" s="2" t="str">
        <f ca="1">IFERROR(__xludf.DUMMYFUNCTION("""COMPUTED_VALUE"""),"Rectificado")</f>
        <v>Rectificado</v>
      </c>
      <c r="L692" s="2"/>
      <c r="M692" s="2"/>
    </row>
    <row r="693" spans="1:13" x14ac:dyDescent="0.25">
      <c r="A693" s="2" t="str">
        <f ca="1">IFERROR(__xludf.DUMMYFUNCTION("""COMPUTED_VALUE"""),"d85a9e51")</f>
        <v>d85a9e51</v>
      </c>
      <c r="B693" s="2"/>
      <c r="C693" s="5">
        <f ca="1">IFERROR(__xludf.DUMMYFUNCTION("""COMPUTED_VALUE"""),45783.7874652777)</f>
        <v>45783.787465277703</v>
      </c>
      <c r="D693" s="2">
        <f ca="1">IFERROR(__xludf.DUMMYFUNCTION("""COMPUTED_VALUE"""),12)</f>
        <v>12</v>
      </c>
      <c r="E693" s="2">
        <f ca="1">IFERROR(__xludf.DUMMYFUNCTION("""COMPUTED_VALUE"""),35300)</f>
        <v>35300</v>
      </c>
      <c r="F693" s="2" t="str">
        <f ca="1">IFERROR(__xludf.DUMMYFUNCTION("""COMPUTED_VALUE"""),"Claro de Filtro")</f>
        <v>Claro de Filtro</v>
      </c>
      <c r="G693" s="2">
        <f ca="1">IFERROR(__xludf.DUMMYFUNCTION("""COMPUTED_VALUE"""),30000)</f>
        <v>30000</v>
      </c>
      <c r="H693" s="2">
        <f ca="1">IFERROR(__xludf.DUMMYFUNCTION("""COMPUTED_VALUE"""),34000)</f>
        <v>34000</v>
      </c>
      <c r="I693" s="2"/>
      <c r="J693" s="2"/>
      <c r="K693" s="2" t="str">
        <f ca="1">IFERROR(__xludf.DUMMYFUNCTION("""COMPUTED_VALUE"""),"Descubada")</f>
        <v>Descubada</v>
      </c>
      <c r="L693" s="2"/>
      <c r="M693" s="2"/>
    </row>
    <row r="694" spans="1:13" x14ac:dyDescent="0.25">
      <c r="A694" s="2" t="str">
        <f ca="1">IFERROR(__xludf.DUMMYFUNCTION("""COMPUTED_VALUE"""),"769b3f5c")</f>
        <v>769b3f5c</v>
      </c>
      <c r="B694" s="2"/>
      <c r="C694" s="5">
        <f ca="1">IFERROR(__xludf.DUMMYFUNCTION("""COMPUTED_VALUE"""),45783.7889467592)</f>
        <v>45783.788946759203</v>
      </c>
      <c r="D694" s="2">
        <f ca="1">IFERROR(__xludf.DUMMYFUNCTION("""COMPUTED_VALUE"""),85)</f>
        <v>85</v>
      </c>
      <c r="E694" s="2">
        <f ca="1">IFERROR(__xludf.DUMMYFUNCTION("""COMPUTED_VALUE"""),84000)</f>
        <v>84000</v>
      </c>
      <c r="F694" s="2" t="str">
        <f ca="1">IFERROR(__xludf.DUMMYFUNCTION("""COMPUTED_VALUE"""),"Malbec")</f>
        <v>Malbec</v>
      </c>
      <c r="G694" s="2">
        <f ca="1">IFERROR(__xludf.DUMMYFUNCTION("""COMPUTED_VALUE"""),0)</f>
        <v>0</v>
      </c>
      <c r="H694" s="2">
        <f ca="1">IFERROR(__xludf.DUMMYFUNCTION("""COMPUTED_VALUE"""),19000)</f>
        <v>19000</v>
      </c>
      <c r="I694" s="2"/>
      <c r="J694" s="2"/>
      <c r="K694" s="2" t="str">
        <f ca="1">IFERROR(__xludf.DUMMYFUNCTION("""COMPUTED_VALUE"""),"1er Trasiego")</f>
        <v>1er Trasiego</v>
      </c>
      <c r="L694" s="2"/>
      <c r="M694" s="2"/>
    </row>
    <row r="695" spans="1:13" x14ac:dyDescent="0.25">
      <c r="A695" s="2" t="str">
        <f ca="1">IFERROR(__xludf.DUMMYFUNCTION("""COMPUTED_VALUE"""),"6c02e5fd")</f>
        <v>6c02e5fd</v>
      </c>
      <c r="B695" s="2"/>
      <c r="C695" s="5">
        <f ca="1">IFERROR(__xludf.DUMMYFUNCTION("""COMPUTED_VALUE"""),45783.7893402777)</f>
        <v>45783.789340277697</v>
      </c>
      <c r="D695" s="2">
        <f ca="1">IFERROR(__xludf.DUMMYFUNCTION("""COMPUTED_VALUE"""),85)</f>
        <v>85</v>
      </c>
      <c r="E695" s="2">
        <f ca="1">IFERROR(__xludf.DUMMYFUNCTION("""COMPUTED_VALUE"""),84000)</f>
        <v>84000</v>
      </c>
      <c r="F695" s="2" t="str">
        <f ca="1">IFERROR(__xludf.DUMMYFUNCTION("""COMPUTED_VALUE"""),"Malbec")</f>
        <v>Malbec</v>
      </c>
      <c r="G695" s="2">
        <f ca="1">IFERROR(__xludf.DUMMYFUNCTION("""COMPUTED_VALUE"""),19000)</f>
        <v>19000</v>
      </c>
      <c r="H695" s="2">
        <f ca="1">IFERROR(__xludf.DUMMYFUNCTION("""COMPUTED_VALUE"""),38500)</f>
        <v>38500</v>
      </c>
      <c r="I695" s="2"/>
      <c r="J695" s="2"/>
      <c r="K695" s="2" t="str">
        <f ca="1">IFERROR(__xludf.DUMMYFUNCTION("""COMPUTED_VALUE"""),"1er Trasiego")</f>
        <v>1er Trasiego</v>
      </c>
      <c r="L695" s="2"/>
      <c r="M695" s="2"/>
    </row>
    <row r="696" spans="1:13" x14ac:dyDescent="0.25">
      <c r="A696" s="2" t="str">
        <f ca="1">IFERROR(__xludf.DUMMYFUNCTION("""COMPUTED_VALUE"""),"55f5d2d3")</f>
        <v>55f5d2d3</v>
      </c>
      <c r="B696" s="2"/>
      <c r="C696" s="5">
        <f ca="1">IFERROR(__xludf.DUMMYFUNCTION("""COMPUTED_VALUE"""),45783.7897106481)</f>
        <v>45783.789710648103</v>
      </c>
      <c r="D696" s="2">
        <f ca="1">IFERROR(__xludf.DUMMYFUNCTION("""COMPUTED_VALUE"""),85)</f>
        <v>85</v>
      </c>
      <c r="E696" s="2">
        <f ca="1">IFERROR(__xludf.DUMMYFUNCTION("""COMPUTED_VALUE"""),84000)</f>
        <v>84000</v>
      </c>
      <c r="F696" s="2" t="str">
        <f ca="1">IFERROR(__xludf.DUMMYFUNCTION("""COMPUTED_VALUE"""),"Malbec Dulc")</f>
        <v>Malbec Dulc</v>
      </c>
      <c r="G696" s="2">
        <f ca="1">IFERROR(__xludf.DUMMYFUNCTION("""COMPUTED_VALUE"""),38500)</f>
        <v>38500</v>
      </c>
      <c r="H696" s="2">
        <f ca="1">IFERROR(__xludf.DUMMYFUNCTION("""COMPUTED_VALUE"""),61500)</f>
        <v>61500</v>
      </c>
      <c r="I696" s="2"/>
      <c r="J696" s="2"/>
      <c r="K696" s="2" t="str">
        <f ca="1">IFERROR(__xludf.DUMMYFUNCTION("""COMPUTED_VALUE"""),"1er Trasiego")</f>
        <v>1er Trasiego</v>
      </c>
      <c r="L696" s="2"/>
      <c r="M696" s="2"/>
    </row>
    <row r="697" spans="1:13" x14ac:dyDescent="0.25">
      <c r="A697" s="2" t="str">
        <f ca="1">IFERROR(__xludf.DUMMYFUNCTION("""COMPUTED_VALUE"""),"7a4910aa")</f>
        <v>7a4910aa</v>
      </c>
      <c r="B697" s="2"/>
      <c r="C697" s="5">
        <f ca="1">IFERROR(__xludf.DUMMYFUNCTION("""COMPUTED_VALUE"""),45783.7915509259)</f>
        <v>45783.791550925896</v>
      </c>
      <c r="D697" s="2">
        <f ca="1">IFERROR(__xludf.DUMMYFUNCTION("""COMPUTED_VALUE"""),76)</f>
        <v>76</v>
      </c>
      <c r="E697" s="2">
        <f ca="1">IFERROR(__xludf.DUMMYFUNCTION("""COMPUTED_VALUE"""),25500)</f>
        <v>25500</v>
      </c>
      <c r="F697" s="2" t="str">
        <f ca="1">IFERROR(__xludf.DUMMYFUNCTION("""COMPUTED_VALUE"""),"Cabernet Sauvignon prensa")</f>
        <v>Cabernet Sauvignon prensa</v>
      </c>
      <c r="G697" s="2">
        <f ca="1">IFERROR(__xludf.DUMMYFUNCTION("""COMPUTED_VALUE"""),0)</f>
        <v>0</v>
      </c>
      <c r="H697" s="2">
        <f ca="1">IFERROR(__xludf.DUMMYFUNCTION("""COMPUTED_VALUE"""),17000)</f>
        <v>17000</v>
      </c>
      <c r="I697" s="2"/>
      <c r="J697" s="2"/>
      <c r="K697" s="2" t="str">
        <f ca="1">IFERROR(__xludf.DUMMYFUNCTION("""COMPUTED_VALUE"""),"1er Trasiego")</f>
        <v>1er Trasiego</v>
      </c>
      <c r="L697" s="2"/>
      <c r="M697" s="2"/>
    </row>
    <row r="698" spans="1:13" x14ac:dyDescent="0.25">
      <c r="A698" s="2" t="str">
        <f ca="1">IFERROR(__xludf.DUMMYFUNCTION("""COMPUTED_VALUE"""),"da2b6cac")</f>
        <v>da2b6cac</v>
      </c>
      <c r="B698" s="2"/>
      <c r="C698" s="5">
        <f ca="1">IFERROR(__xludf.DUMMYFUNCTION("""COMPUTED_VALUE"""),45783.791886574)</f>
        <v>45783.791886573999</v>
      </c>
      <c r="D698" s="2">
        <f ca="1">IFERROR(__xludf.DUMMYFUNCTION("""COMPUTED_VALUE"""),77)</f>
        <v>77</v>
      </c>
      <c r="E698" s="2">
        <f ca="1">IFERROR(__xludf.DUMMYFUNCTION("""COMPUTED_VALUE"""),26000)</f>
        <v>26000</v>
      </c>
      <c r="F698" s="2" t="str">
        <f ca="1">IFERROR(__xludf.DUMMYFUNCTION("""COMPUTED_VALUE"""),"Tinto s/Bonarda")</f>
        <v>Tinto s/Bonarda</v>
      </c>
      <c r="G698" s="2">
        <f ca="1">IFERROR(__xludf.DUMMYFUNCTION("""COMPUTED_VALUE"""),0)</f>
        <v>0</v>
      </c>
      <c r="H698" s="2">
        <f ca="1">IFERROR(__xludf.DUMMYFUNCTION("""COMPUTED_VALUE"""),14800)</f>
        <v>14800</v>
      </c>
      <c r="I698" s="2"/>
      <c r="J698" s="2"/>
      <c r="K698" s="2" t="str">
        <f ca="1">IFERROR(__xludf.DUMMYFUNCTION("""COMPUTED_VALUE"""),"1er Trasiego")</f>
        <v>1er Trasiego</v>
      </c>
      <c r="L698" s="2"/>
      <c r="M698" s="2"/>
    </row>
    <row r="699" spans="1:13" x14ac:dyDescent="0.25">
      <c r="A699" s="2" t="str">
        <f ca="1">IFERROR(__xludf.DUMMYFUNCTION("""COMPUTED_VALUE"""),"9f02a2e8")</f>
        <v>9f02a2e8</v>
      </c>
      <c r="B699" s="2"/>
      <c r="C699" s="5">
        <f ca="1">IFERROR(__xludf.DUMMYFUNCTION("""COMPUTED_VALUE"""),45783.7922800925)</f>
        <v>45783.792280092501</v>
      </c>
      <c r="D699" s="2">
        <f ca="1">IFERROR(__xludf.DUMMYFUNCTION("""COMPUTED_VALUE"""),71)</f>
        <v>71</v>
      </c>
      <c r="E699" s="2">
        <f ca="1">IFERROR(__xludf.DUMMYFUNCTION("""COMPUTED_VALUE"""),13000)</f>
        <v>13000</v>
      </c>
      <c r="F699" s="2" t="str">
        <f ca="1">IFERROR(__xludf.DUMMYFUNCTION("""COMPUTED_VALUE"""),"Chardonnay Late Harvest")</f>
        <v>Chardonnay Late Harvest</v>
      </c>
      <c r="G699" s="2">
        <f ca="1">IFERROR(__xludf.DUMMYFUNCTION("""COMPUTED_VALUE"""),0)</f>
        <v>0</v>
      </c>
      <c r="H699" s="2">
        <f ca="1">IFERROR(__xludf.DUMMYFUNCTION("""COMPUTED_VALUE"""),11400)</f>
        <v>11400</v>
      </c>
      <c r="I699" s="2"/>
      <c r="J699" s="2"/>
      <c r="K699" s="2" t="str">
        <f ca="1">IFERROR(__xludf.DUMMYFUNCTION("""COMPUTED_VALUE"""),"Descubada")</f>
        <v>Descubada</v>
      </c>
      <c r="L699" s="2"/>
      <c r="M699" s="2"/>
    </row>
    <row r="700" spans="1:13" x14ac:dyDescent="0.25">
      <c r="A700" s="2" t="str">
        <f ca="1">IFERROR(__xludf.DUMMYFUNCTION("""COMPUTED_VALUE"""),"196f5b8f")</f>
        <v>196f5b8f</v>
      </c>
      <c r="B700" s="2"/>
      <c r="C700" s="5">
        <f ca="1">IFERROR(__xludf.DUMMYFUNCTION("""COMPUTED_VALUE"""),45783.7965277777)</f>
        <v>45783.796527777697</v>
      </c>
      <c r="D700" s="2">
        <f ca="1">IFERROR(__xludf.DUMMYFUNCTION("""COMPUTED_VALUE"""),500)</f>
        <v>500</v>
      </c>
      <c r="E700" s="2">
        <f ca="1">IFERROR(__xludf.DUMMYFUNCTION("""COMPUTED_VALUE"""),200000)</f>
        <v>200000</v>
      </c>
      <c r="F700" s="2" t="str">
        <f ca="1">IFERROR(__xludf.DUMMYFUNCTION("""COMPUTED_VALUE"""),"Ajuste Arqueo 05/05/25")</f>
        <v>Ajuste Arqueo 05/05/25</v>
      </c>
      <c r="G700" s="2"/>
      <c r="H700" s="2">
        <f ca="1">IFERROR(__xludf.DUMMYFUNCTION("""COMPUTED_VALUE"""),1)</f>
        <v>1</v>
      </c>
      <c r="I700" s="2"/>
      <c r="J700" s="2"/>
      <c r="K700" s="2"/>
      <c r="L700" s="2"/>
      <c r="M700" s="2"/>
    </row>
    <row r="701" spans="1:13" x14ac:dyDescent="0.25">
      <c r="A701" s="2" t="str">
        <f ca="1">IFERROR(__xludf.DUMMYFUNCTION("""COMPUTED_VALUE"""),"0bf12134")</f>
        <v>0bf12134</v>
      </c>
      <c r="B701" s="2"/>
      <c r="C701" s="5">
        <f ca="1">IFERROR(__xludf.DUMMYFUNCTION("""COMPUTED_VALUE"""),45783.8134259259)</f>
        <v>45783.813425925902</v>
      </c>
      <c r="D701" s="2">
        <f ca="1">IFERROR(__xludf.DUMMYFUNCTION("""COMPUTED_VALUE"""),11)</f>
        <v>11</v>
      </c>
      <c r="E701" s="2">
        <f ca="1">IFERROR(__xludf.DUMMYFUNCTION("""COMPUTED_VALUE"""),36000)</f>
        <v>36000</v>
      </c>
      <c r="F701" s="2" t="str">
        <f ca="1">IFERROR(__xludf.DUMMYFUNCTION("""COMPUTED_VALUE"""),"Claro de filtro")</f>
        <v>Claro de filtro</v>
      </c>
      <c r="G701" s="2">
        <f ca="1">IFERROR(__xludf.DUMMYFUNCTION("""COMPUTED_VALUE"""),9800)</f>
        <v>9800</v>
      </c>
      <c r="H701" s="2">
        <f ca="1">IFERROR(__xludf.DUMMYFUNCTION("""COMPUTED_VALUE"""),17300)</f>
        <v>17300</v>
      </c>
      <c r="I701" s="2"/>
      <c r="J701" s="2"/>
      <c r="K701" s="2" t="str">
        <f ca="1">IFERROR(__xludf.DUMMYFUNCTION("""COMPUTED_VALUE"""),"Descubada")</f>
        <v>Descubada</v>
      </c>
      <c r="L701" s="2"/>
      <c r="M701" s="2"/>
    </row>
    <row r="702" spans="1:13" x14ac:dyDescent="0.25">
      <c r="A702" s="2" t="str">
        <f ca="1">IFERROR(__xludf.DUMMYFUNCTION("""COMPUTED_VALUE"""),"568f382f")</f>
        <v>568f382f</v>
      </c>
      <c r="B702" s="2"/>
      <c r="C702" s="5">
        <f ca="1">IFERROR(__xludf.DUMMYFUNCTION("""COMPUTED_VALUE"""),45783.8146643518)</f>
        <v>45783.814664351798</v>
      </c>
      <c r="D702" s="2">
        <f ca="1">IFERROR(__xludf.DUMMYFUNCTION("""COMPUTED_VALUE"""),11)</f>
        <v>11</v>
      </c>
      <c r="E702" s="2">
        <f ca="1">IFERROR(__xludf.DUMMYFUNCTION("""COMPUTED_VALUE"""),36000)</f>
        <v>36000</v>
      </c>
      <c r="F702" s="2" t="str">
        <f ca="1">IFERROR(__xludf.DUMMYFUNCTION("""COMPUTED_VALUE"""),"Claro de filtro")</f>
        <v>Claro de filtro</v>
      </c>
      <c r="G702" s="2">
        <f ca="1">IFERROR(__xludf.DUMMYFUNCTION("""COMPUTED_VALUE"""),17300)</f>
        <v>17300</v>
      </c>
      <c r="H702" s="2">
        <f ca="1">IFERROR(__xludf.DUMMYFUNCTION("""COMPUTED_VALUE"""),18300)</f>
        <v>18300</v>
      </c>
      <c r="I702" s="2"/>
      <c r="J702" s="2"/>
      <c r="K702" s="2" t="str">
        <f ca="1">IFERROR(__xludf.DUMMYFUNCTION("""COMPUTED_VALUE"""),"Descubada")</f>
        <v>Descubada</v>
      </c>
      <c r="L702" s="2"/>
      <c r="M702" s="2"/>
    </row>
    <row r="703" spans="1:13" x14ac:dyDescent="0.25">
      <c r="A703" s="2" t="str">
        <f ca="1">IFERROR(__xludf.DUMMYFUNCTION("""COMPUTED_VALUE"""),"e6ca31fd")</f>
        <v>e6ca31fd</v>
      </c>
      <c r="B703" s="2"/>
      <c r="C703" s="5">
        <f ca="1">IFERROR(__xludf.DUMMYFUNCTION("""COMPUTED_VALUE"""),45783.8157523148)</f>
        <v>45783.815752314797</v>
      </c>
      <c r="D703" s="2">
        <f ca="1">IFERROR(__xludf.DUMMYFUNCTION("""COMPUTED_VALUE"""),11)</f>
        <v>11</v>
      </c>
      <c r="E703" s="2">
        <f ca="1">IFERROR(__xludf.DUMMYFUNCTION("""COMPUTED_VALUE"""),36000)</f>
        <v>36000</v>
      </c>
      <c r="F703" s="2" t="str">
        <f ca="1">IFERROR(__xludf.DUMMYFUNCTION("""COMPUTED_VALUE"""),"Claro de filtro")</f>
        <v>Claro de filtro</v>
      </c>
      <c r="G703" s="2">
        <f ca="1">IFERROR(__xludf.DUMMYFUNCTION("""COMPUTED_VALUE"""),18300)</f>
        <v>18300</v>
      </c>
      <c r="H703" s="2">
        <f ca="1">IFERROR(__xludf.DUMMYFUNCTION("""COMPUTED_VALUE"""),25300)</f>
        <v>25300</v>
      </c>
      <c r="I703" s="2" t="str">
        <f ca="1">IFERROR(__xludf.DUMMYFUNCTION("""COMPUTED_VALUE"""),"14/5
muy limpio")</f>
        <v>14/5
muy limpio</v>
      </c>
      <c r="J703" s="2"/>
      <c r="K703" s="2" t="str">
        <f ca="1">IFERROR(__xludf.DUMMYFUNCTION("""COMPUTED_VALUE"""),"Descubada")</f>
        <v>Descubada</v>
      </c>
      <c r="L703" s="2" t="str">
        <f ca="1">IFERROR(__xludf.DUMMYFUNCTION("""COMPUTED_VALUE"""),"2+")</f>
        <v>2+</v>
      </c>
      <c r="M703" s="2"/>
    </row>
    <row r="704" spans="1:13" x14ac:dyDescent="0.25">
      <c r="A704" s="2" t="str">
        <f ca="1">IFERROR(__xludf.DUMMYFUNCTION("""COMPUTED_VALUE"""),"4e2e27d9")</f>
        <v>4e2e27d9</v>
      </c>
      <c r="B704" s="2"/>
      <c r="C704" s="5">
        <f ca="1">IFERROR(__xludf.DUMMYFUNCTION("""COMPUTED_VALUE"""),45783.8176157406)</f>
        <v>45783.8176157407</v>
      </c>
      <c r="D704" s="2">
        <f ca="1">IFERROR(__xludf.DUMMYFUNCTION("""COMPUTED_VALUE"""),500)</f>
        <v>500</v>
      </c>
      <c r="E704" s="2">
        <f ca="1">IFERROR(__xludf.DUMMYFUNCTION("""COMPUTED_VALUE"""),200000)</f>
        <v>200000</v>
      </c>
      <c r="F704" s="2" t="str">
        <f ca="1">IFERROR(__xludf.DUMMYFUNCTION("""COMPUTED_VALUE"""),"Ajuste Arqueo 05/05/25")</f>
        <v>Ajuste Arqueo 05/05/25</v>
      </c>
      <c r="G704" s="2">
        <f ca="1">IFERROR(__xludf.DUMMYFUNCTION("""COMPUTED_VALUE"""),1)</f>
        <v>1</v>
      </c>
      <c r="H704" s="2">
        <f ca="1">IFERROR(__xludf.DUMMYFUNCTION("""COMPUTED_VALUE"""),5001)</f>
        <v>5001</v>
      </c>
      <c r="I704" s="2"/>
      <c r="J704" s="2"/>
      <c r="K704" s="2"/>
      <c r="L704" s="2"/>
      <c r="M704" s="2"/>
    </row>
    <row r="705" spans="1:13" x14ac:dyDescent="0.25">
      <c r="A705" s="2" t="str">
        <f ca="1">IFERROR(__xludf.DUMMYFUNCTION("""COMPUTED_VALUE"""),"cb2ca221")</f>
        <v>cb2ca221</v>
      </c>
      <c r="B705" s="2"/>
      <c r="C705" s="5">
        <f ca="1">IFERROR(__xludf.DUMMYFUNCTION("""COMPUTED_VALUE"""),45783.8179976851)</f>
        <v>45783.817997685102</v>
      </c>
      <c r="D705" s="2">
        <f ca="1">IFERROR(__xludf.DUMMYFUNCTION("""COMPUTED_VALUE"""),500)</f>
        <v>500</v>
      </c>
      <c r="E705" s="2">
        <f ca="1">IFERROR(__xludf.DUMMYFUNCTION("""COMPUTED_VALUE"""),200000)</f>
        <v>200000</v>
      </c>
      <c r="F705" s="2" t="str">
        <f ca="1">IFERROR(__xludf.DUMMYFUNCTION("""COMPUTED_VALUE"""),"Ajuste Arqueo 05/05/25")</f>
        <v>Ajuste Arqueo 05/05/25</v>
      </c>
      <c r="G705" s="2">
        <f ca="1">IFERROR(__xludf.DUMMYFUNCTION("""COMPUTED_VALUE"""),5001)</f>
        <v>5001</v>
      </c>
      <c r="H705" s="2">
        <f ca="1">IFERROR(__xludf.DUMMYFUNCTION("""COMPUTED_VALUE"""),-5699)</f>
        <v>-5699</v>
      </c>
      <c r="I705" s="2"/>
      <c r="J705" s="2"/>
      <c r="K705" s="2"/>
      <c r="L705" s="2"/>
      <c r="M705" s="2"/>
    </row>
    <row r="706" spans="1:13" x14ac:dyDescent="0.25">
      <c r="A706" s="2" t="str">
        <f ca="1">IFERROR(__xludf.DUMMYFUNCTION("""COMPUTED_VALUE"""),"16e5e87f")</f>
        <v>16e5e87f</v>
      </c>
      <c r="B706" s="2"/>
      <c r="C706" s="5">
        <f ca="1">IFERROR(__xludf.DUMMYFUNCTION("""COMPUTED_VALUE"""),45783.8218518518)</f>
        <v>45783.821851851797</v>
      </c>
      <c r="D706" s="2">
        <f ca="1">IFERROR(__xludf.DUMMYFUNCTION("""COMPUTED_VALUE"""),500)</f>
        <v>500</v>
      </c>
      <c r="E706" s="2">
        <f ca="1">IFERROR(__xludf.DUMMYFUNCTION("""COMPUTED_VALUE"""),200000)</f>
        <v>200000</v>
      </c>
      <c r="F706" s="2" t="str">
        <f ca="1">IFERROR(__xludf.DUMMYFUNCTION("""COMPUTED_VALUE"""),"Ajuste Arqueo 05/05/25")</f>
        <v>Ajuste Arqueo 05/05/25</v>
      </c>
      <c r="G706" s="2">
        <f ca="1">IFERROR(__xludf.DUMMYFUNCTION("""COMPUTED_VALUE"""),-5699)</f>
        <v>-5699</v>
      </c>
      <c r="H706" s="2">
        <f ca="1">IFERROR(__xludf.DUMMYFUNCTION("""COMPUTED_VALUE"""),11301)</f>
        <v>11301</v>
      </c>
      <c r="I706" s="2"/>
      <c r="J706" s="2"/>
      <c r="K706" s="2"/>
      <c r="L706" s="2"/>
      <c r="M706" s="2"/>
    </row>
    <row r="707" spans="1:13" x14ac:dyDescent="0.25">
      <c r="A707" s="2" t="str">
        <f ca="1">IFERROR(__xludf.DUMMYFUNCTION("""COMPUTED_VALUE"""),"1169aeda")</f>
        <v>1169aeda</v>
      </c>
      <c r="B707" s="2"/>
      <c r="C707" s="5">
        <f ca="1">IFERROR(__xludf.DUMMYFUNCTION("""COMPUTED_VALUE"""),45783.8226967592)</f>
        <v>45783.822696759198</v>
      </c>
      <c r="D707" s="2">
        <f ca="1">IFERROR(__xludf.DUMMYFUNCTION("""COMPUTED_VALUE"""),500)</f>
        <v>500</v>
      </c>
      <c r="E707" s="2">
        <f ca="1">IFERROR(__xludf.DUMMYFUNCTION("""COMPUTED_VALUE"""),200000)</f>
        <v>200000</v>
      </c>
      <c r="F707" s="2" t="str">
        <f ca="1">IFERROR(__xludf.DUMMYFUNCTION("""COMPUTED_VALUE"""),"Ajuste Arqueo 05/05/25")</f>
        <v>Ajuste Arqueo 05/05/25</v>
      </c>
      <c r="G707" s="2">
        <f ca="1">IFERROR(__xludf.DUMMYFUNCTION("""COMPUTED_VALUE"""),11301)</f>
        <v>11301</v>
      </c>
      <c r="H707" s="2">
        <f ca="1">IFERROR(__xludf.DUMMYFUNCTION("""COMPUTED_VALUE"""),10301)</f>
        <v>10301</v>
      </c>
      <c r="I707" s="2"/>
      <c r="J707" s="2"/>
      <c r="K707" s="2"/>
      <c r="L707" s="2"/>
      <c r="M707" s="2"/>
    </row>
    <row r="708" spans="1:13" x14ac:dyDescent="0.25">
      <c r="A708" s="2" t="str">
        <f ca="1">IFERROR(__xludf.DUMMYFUNCTION("""COMPUTED_VALUE"""),"4560c2a1")</f>
        <v>4560c2a1</v>
      </c>
      <c r="B708" s="2"/>
      <c r="C708" s="5">
        <f ca="1">IFERROR(__xludf.DUMMYFUNCTION("""COMPUTED_VALUE"""),45783.8232407407)</f>
        <v>45783.823240740698</v>
      </c>
      <c r="D708" s="2">
        <f ca="1">IFERROR(__xludf.DUMMYFUNCTION("""COMPUTED_VALUE"""),500)</f>
        <v>500</v>
      </c>
      <c r="E708" s="2">
        <f ca="1">IFERROR(__xludf.DUMMYFUNCTION("""COMPUTED_VALUE"""),200000)</f>
        <v>200000</v>
      </c>
      <c r="F708" s="2" t="str">
        <f ca="1">IFERROR(__xludf.DUMMYFUNCTION("""COMPUTED_VALUE"""),"Ajuste Arqueo 05/05/25")</f>
        <v>Ajuste Arqueo 05/05/25</v>
      </c>
      <c r="G708" s="2">
        <f ca="1">IFERROR(__xludf.DUMMYFUNCTION("""COMPUTED_VALUE"""),10301)</f>
        <v>10301</v>
      </c>
      <c r="H708" s="2">
        <f ca="1">IFERROR(__xludf.DUMMYFUNCTION("""COMPUTED_VALUE"""),9301)</f>
        <v>9301</v>
      </c>
      <c r="I708" s="2"/>
      <c r="J708" s="2"/>
      <c r="K708" s="2"/>
      <c r="L708" s="2"/>
      <c r="M708" s="2"/>
    </row>
    <row r="709" spans="1:13" x14ac:dyDescent="0.25">
      <c r="A709" s="2" t="str">
        <f ca="1">IFERROR(__xludf.DUMMYFUNCTION("""COMPUTED_VALUE"""),"62584ebc")</f>
        <v>62584ebc</v>
      </c>
      <c r="B709" s="2"/>
      <c r="C709" s="5">
        <f ca="1">IFERROR(__xludf.DUMMYFUNCTION("""COMPUTED_VALUE"""),45783.8238194444)</f>
        <v>45783.823819444398</v>
      </c>
      <c r="D709" s="2">
        <f ca="1">IFERROR(__xludf.DUMMYFUNCTION("""COMPUTED_VALUE"""),500)</f>
        <v>500</v>
      </c>
      <c r="E709" s="2">
        <f ca="1">IFERROR(__xludf.DUMMYFUNCTION("""COMPUTED_VALUE"""),200000)</f>
        <v>200000</v>
      </c>
      <c r="F709" s="2" t="str">
        <f ca="1">IFERROR(__xludf.DUMMYFUNCTION("""COMPUTED_VALUE"""),"Ajuste Arqueo 05/05/25")</f>
        <v>Ajuste Arqueo 05/05/25</v>
      </c>
      <c r="G709" s="2">
        <f ca="1">IFERROR(__xludf.DUMMYFUNCTION("""COMPUTED_VALUE"""),9301)</f>
        <v>9301</v>
      </c>
      <c r="H709" s="2">
        <f ca="1">IFERROR(__xludf.DUMMYFUNCTION("""COMPUTED_VALUE"""),11301)</f>
        <v>11301</v>
      </c>
      <c r="I709" s="2"/>
      <c r="J709" s="2"/>
      <c r="K709" s="2"/>
      <c r="L709" s="2"/>
      <c r="M709" s="2"/>
    </row>
    <row r="710" spans="1:13" x14ac:dyDescent="0.25">
      <c r="A710" s="2" t="str">
        <f ca="1">IFERROR(__xludf.DUMMYFUNCTION("""COMPUTED_VALUE"""),"8cf84f68")</f>
        <v>8cf84f68</v>
      </c>
      <c r="B710" s="2"/>
      <c r="C710" s="5">
        <f ca="1">IFERROR(__xludf.DUMMYFUNCTION("""COMPUTED_VALUE"""),45783.8244675925)</f>
        <v>45783.824467592502</v>
      </c>
      <c r="D710" s="2"/>
      <c r="E710" s="2"/>
      <c r="F710" s="2"/>
      <c r="G710" s="2"/>
      <c r="H710" s="2">
        <f ca="1">IFERROR(__xludf.DUMMYFUNCTION("""COMPUTED_VALUE"""),-300)</f>
        <v>-300</v>
      </c>
      <c r="I710" s="2"/>
      <c r="J710" s="2"/>
      <c r="K710" s="2"/>
      <c r="L710" s="2"/>
      <c r="M710" s="2"/>
    </row>
    <row r="711" spans="1:13" x14ac:dyDescent="0.25">
      <c r="A711" s="2" t="str">
        <f ca="1">IFERROR(__xludf.DUMMYFUNCTION("""COMPUTED_VALUE"""),"158a7d9d")</f>
        <v>158a7d9d</v>
      </c>
      <c r="B711" s="2"/>
      <c r="C711" s="5">
        <f ca="1">IFERROR(__xludf.DUMMYFUNCTION("""COMPUTED_VALUE"""),45783.8250694444)</f>
        <v>45783.8250694444</v>
      </c>
      <c r="D711" s="2">
        <f ca="1">IFERROR(__xludf.DUMMYFUNCTION("""COMPUTED_VALUE"""),500)</f>
        <v>500</v>
      </c>
      <c r="E711" s="2">
        <f ca="1">IFERROR(__xludf.DUMMYFUNCTION("""COMPUTED_VALUE"""),200000)</f>
        <v>200000</v>
      </c>
      <c r="F711" s="2" t="str">
        <f ca="1">IFERROR(__xludf.DUMMYFUNCTION("""COMPUTED_VALUE"""),"Ajuste Arqueo 05/05/25")</f>
        <v>Ajuste Arqueo 05/05/25</v>
      </c>
      <c r="G711" s="2">
        <f ca="1">IFERROR(__xludf.DUMMYFUNCTION("""COMPUTED_VALUE"""),11301)</f>
        <v>11301</v>
      </c>
      <c r="H711" s="2">
        <f ca="1">IFERROR(__xludf.DUMMYFUNCTION("""COMPUTED_VALUE"""),6301)</f>
        <v>6301</v>
      </c>
      <c r="I711" s="2"/>
      <c r="J711" s="2"/>
      <c r="K711" s="2"/>
      <c r="L711" s="2"/>
      <c r="M711" s="2"/>
    </row>
    <row r="712" spans="1:13" x14ac:dyDescent="0.25">
      <c r="A712" s="2" t="str">
        <f ca="1">IFERROR(__xludf.DUMMYFUNCTION("""COMPUTED_VALUE"""),"cc1de158")</f>
        <v>cc1de158</v>
      </c>
      <c r="B712" s="2"/>
      <c r="C712" s="5">
        <f ca="1">IFERROR(__xludf.DUMMYFUNCTION("""COMPUTED_VALUE"""),45783.8256481481)</f>
        <v>45783.8256481481</v>
      </c>
      <c r="D712" s="2">
        <f ca="1">IFERROR(__xludf.DUMMYFUNCTION("""COMPUTED_VALUE"""),500)</f>
        <v>500</v>
      </c>
      <c r="E712" s="2">
        <f ca="1">IFERROR(__xludf.DUMMYFUNCTION("""COMPUTED_VALUE"""),200000)</f>
        <v>200000</v>
      </c>
      <c r="F712" s="2" t="str">
        <f ca="1">IFERROR(__xludf.DUMMYFUNCTION("""COMPUTED_VALUE"""),"Ajuste Arqueo 05/05/25")</f>
        <v>Ajuste Arqueo 05/05/25</v>
      </c>
      <c r="G712" s="2">
        <f ca="1">IFERROR(__xludf.DUMMYFUNCTION("""COMPUTED_VALUE"""),6301)</f>
        <v>6301</v>
      </c>
      <c r="H712" s="2">
        <f ca="1">IFERROR(__xludf.DUMMYFUNCTION("""COMPUTED_VALUE"""),8801)</f>
        <v>8801</v>
      </c>
      <c r="I712" s="2"/>
      <c r="J712" s="2"/>
      <c r="K712" s="2"/>
      <c r="L712" s="2"/>
      <c r="M712" s="2"/>
    </row>
    <row r="713" spans="1:13" x14ac:dyDescent="0.25">
      <c r="A713" s="2" t="str">
        <f ca="1">IFERROR(__xludf.DUMMYFUNCTION("""COMPUTED_VALUE"""),"d126860c")</f>
        <v>d126860c</v>
      </c>
      <c r="B713" s="2"/>
      <c r="C713" s="5">
        <f ca="1">IFERROR(__xludf.DUMMYFUNCTION("""COMPUTED_VALUE"""),45783.8261805555)</f>
        <v>45783.826180555501</v>
      </c>
      <c r="D713" s="2">
        <f ca="1">IFERROR(__xludf.DUMMYFUNCTION("""COMPUTED_VALUE"""),500)</f>
        <v>500</v>
      </c>
      <c r="E713" s="2">
        <f ca="1">IFERROR(__xludf.DUMMYFUNCTION("""COMPUTED_VALUE"""),200000)</f>
        <v>200000</v>
      </c>
      <c r="F713" s="2" t="str">
        <f ca="1">IFERROR(__xludf.DUMMYFUNCTION("""COMPUTED_VALUE"""),"Ajuste Arqueo 05/05/25")</f>
        <v>Ajuste Arqueo 05/05/25</v>
      </c>
      <c r="G713" s="2">
        <f ca="1">IFERROR(__xludf.DUMMYFUNCTION("""COMPUTED_VALUE"""),8801)</f>
        <v>8801</v>
      </c>
      <c r="H713" s="2">
        <f ca="1">IFERROR(__xludf.DUMMYFUNCTION("""COMPUTED_VALUE"""),7601)</f>
        <v>7601</v>
      </c>
      <c r="I713" s="2"/>
      <c r="J713" s="2"/>
      <c r="K713" s="2"/>
      <c r="L713" s="2"/>
      <c r="M713" s="2"/>
    </row>
    <row r="714" spans="1:13" x14ac:dyDescent="0.25">
      <c r="A714" s="2" t="str">
        <f ca="1">IFERROR(__xludf.DUMMYFUNCTION("""COMPUTED_VALUE"""),"7a97024d")</f>
        <v>7a97024d</v>
      </c>
      <c r="B714" s="2"/>
      <c r="C714" s="5">
        <f ca="1">IFERROR(__xludf.DUMMYFUNCTION("""COMPUTED_VALUE"""),45783.8266898148)</f>
        <v>45783.826689814799</v>
      </c>
      <c r="D714" s="2">
        <f ca="1">IFERROR(__xludf.DUMMYFUNCTION("""COMPUTED_VALUE"""),500)</f>
        <v>500</v>
      </c>
      <c r="E714" s="2">
        <f ca="1">IFERROR(__xludf.DUMMYFUNCTION("""COMPUTED_VALUE"""),200000)</f>
        <v>200000</v>
      </c>
      <c r="F714" s="2" t="str">
        <f ca="1">IFERROR(__xludf.DUMMYFUNCTION("""COMPUTED_VALUE"""),"Ajuste Arqueo 05/05/25")</f>
        <v>Ajuste Arqueo 05/05/25</v>
      </c>
      <c r="G714" s="2">
        <f ca="1">IFERROR(__xludf.DUMMYFUNCTION("""COMPUTED_VALUE"""),7601)</f>
        <v>7601</v>
      </c>
      <c r="H714" s="2">
        <f ca="1">IFERROR(__xludf.DUMMYFUNCTION("""COMPUTED_VALUE"""),6001)</f>
        <v>6001</v>
      </c>
      <c r="I714" s="2"/>
      <c r="J714" s="2"/>
      <c r="K714" s="2"/>
      <c r="L714" s="2"/>
      <c r="M714" s="2"/>
    </row>
    <row r="715" spans="1:13" x14ac:dyDescent="0.25">
      <c r="A715" s="2" t="str">
        <f ca="1">IFERROR(__xludf.DUMMYFUNCTION("""COMPUTED_VALUE"""),"eef5b1b3")</f>
        <v>eef5b1b3</v>
      </c>
      <c r="B715" s="2"/>
      <c r="C715" s="5">
        <f ca="1">IFERROR(__xludf.DUMMYFUNCTION("""COMPUTED_VALUE"""),45783.8271875)</f>
        <v>45783.827187499999</v>
      </c>
      <c r="D715" s="2">
        <f ca="1">IFERROR(__xludf.DUMMYFUNCTION("""COMPUTED_VALUE"""),500)</f>
        <v>500</v>
      </c>
      <c r="E715" s="2">
        <f ca="1">IFERROR(__xludf.DUMMYFUNCTION("""COMPUTED_VALUE"""),200000)</f>
        <v>200000</v>
      </c>
      <c r="F715" s="2" t="str">
        <f ca="1">IFERROR(__xludf.DUMMYFUNCTION("""COMPUTED_VALUE"""),"Ajuste Arqueo 05/05/25")</f>
        <v>Ajuste Arqueo 05/05/25</v>
      </c>
      <c r="G715" s="2">
        <f ca="1">IFERROR(__xludf.DUMMYFUNCTION("""COMPUTED_VALUE"""),6001)</f>
        <v>6001</v>
      </c>
      <c r="H715" s="2">
        <f ca="1">IFERROR(__xludf.DUMMYFUNCTION("""COMPUTED_VALUE"""),4001)</f>
        <v>4001</v>
      </c>
      <c r="I715" s="2"/>
      <c r="J715" s="2"/>
      <c r="K715" s="2"/>
      <c r="L715" s="2"/>
      <c r="M715" s="2"/>
    </row>
    <row r="716" spans="1:13" x14ac:dyDescent="0.25">
      <c r="A716" s="2" t="str">
        <f ca="1">IFERROR(__xludf.DUMMYFUNCTION("""COMPUTED_VALUE"""),"b1e6b748")</f>
        <v>b1e6b748</v>
      </c>
      <c r="B716" s="2"/>
      <c r="C716" s="5">
        <f ca="1">IFERROR(__xludf.DUMMYFUNCTION("""COMPUTED_VALUE"""),45783.8278587963)</f>
        <v>45783.8278587963</v>
      </c>
      <c r="D716" s="2">
        <f ca="1">IFERROR(__xludf.DUMMYFUNCTION("""COMPUTED_VALUE"""),500)</f>
        <v>500</v>
      </c>
      <c r="E716" s="2">
        <f ca="1">IFERROR(__xludf.DUMMYFUNCTION("""COMPUTED_VALUE"""),200000)</f>
        <v>200000</v>
      </c>
      <c r="F716" s="2" t="str">
        <f ca="1">IFERROR(__xludf.DUMMYFUNCTION("""COMPUTED_VALUE"""),"Ajuste Arqueo 05/05/25")</f>
        <v>Ajuste Arqueo 05/05/25</v>
      </c>
      <c r="G716" s="2">
        <f ca="1">IFERROR(__xludf.DUMMYFUNCTION("""COMPUTED_VALUE"""),4001)</f>
        <v>4001</v>
      </c>
      <c r="H716" s="2">
        <f ca="1">IFERROR(__xludf.DUMMYFUNCTION("""COMPUTED_VALUE"""),2001)</f>
        <v>2001</v>
      </c>
      <c r="I716" s="2"/>
      <c r="J716" s="2"/>
      <c r="K716" s="2"/>
      <c r="L716" s="2"/>
      <c r="M716" s="2"/>
    </row>
    <row r="717" spans="1:13" x14ac:dyDescent="0.25">
      <c r="A717" s="2" t="str">
        <f ca="1">IFERROR(__xludf.DUMMYFUNCTION("""COMPUTED_VALUE"""),"690e2b0e")</f>
        <v>690e2b0e</v>
      </c>
      <c r="B717" s="2"/>
      <c r="C717" s="5">
        <f ca="1">IFERROR(__xludf.DUMMYFUNCTION("""COMPUTED_VALUE"""),45783.8283796296)</f>
        <v>45783.828379629602</v>
      </c>
      <c r="D717" s="2">
        <f ca="1">IFERROR(__xludf.DUMMYFUNCTION("""COMPUTED_VALUE"""),500)</f>
        <v>500</v>
      </c>
      <c r="E717" s="2">
        <f ca="1">IFERROR(__xludf.DUMMYFUNCTION("""COMPUTED_VALUE"""),200000)</f>
        <v>200000</v>
      </c>
      <c r="F717" s="2" t="str">
        <f ca="1">IFERROR(__xludf.DUMMYFUNCTION("""COMPUTED_VALUE"""),"Ajuste Arqueo 05/05/25")</f>
        <v>Ajuste Arqueo 05/05/25</v>
      </c>
      <c r="G717" s="2">
        <f ca="1">IFERROR(__xludf.DUMMYFUNCTION("""COMPUTED_VALUE"""),2001)</f>
        <v>2001</v>
      </c>
      <c r="H717" s="2">
        <f ca="1">IFERROR(__xludf.DUMMYFUNCTION("""COMPUTED_VALUE"""),4101)</f>
        <v>4101</v>
      </c>
      <c r="I717" s="2"/>
      <c r="J717" s="2"/>
      <c r="K717" s="2"/>
      <c r="L717" s="2"/>
      <c r="M717" s="2"/>
    </row>
    <row r="718" spans="1:13" x14ac:dyDescent="0.25">
      <c r="A718" s="2" t="str">
        <f ca="1">IFERROR(__xludf.DUMMYFUNCTION("""COMPUTED_VALUE"""),"a0d9c177")</f>
        <v>a0d9c177</v>
      </c>
      <c r="B718" s="2"/>
      <c r="C718" s="5">
        <f ca="1">IFERROR(__xludf.DUMMYFUNCTION("""COMPUTED_VALUE"""),45783.8289583333)</f>
        <v>45783.828958333303</v>
      </c>
      <c r="D718" s="2">
        <f ca="1">IFERROR(__xludf.DUMMYFUNCTION("""COMPUTED_VALUE"""),500)</f>
        <v>500</v>
      </c>
      <c r="E718" s="2">
        <f ca="1">IFERROR(__xludf.DUMMYFUNCTION("""COMPUTED_VALUE"""),200000)</f>
        <v>200000</v>
      </c>
      <c r="F718" s="2" t="str">
        <f ca="1">IFERROR(__xludf.DUMMYFUNCTION("""COMPUTED_VALUE"""),"Ajuste Arqueo 05/05/25")</f>
        <v>Ajuste Arqueo 05/05/25</v>
      </c>
      <c r="G718" s="2">
        <f ca="1">IFERROR(__xludf.DUMMYFUNCTION("""COMPUTED_VALUE"""),4101)</f>
        <v>4101</v>
      </c>
      <c r="H718" s="2">
        <f ca="1">IFERROR(__xludf.DUMMYFUNCTION("""COMPUTED_VALUE"""),17101)</f>
        <v>17101</v>
      </c>
      <c r="I718" s="2"/>
      <c r="J718" s="2"/>
      <c r="K718" s="2"/>
      <c r="L718" s="2"/>
      <c r="M718" s="2"/>
    </row>
    <row r="719" spans="1:13" x14ac:dyDescent="0.25">
      <c r="A719" s="2" t="str">
        <f ca="1">IFERROR(__xludf.DUMMYFUNCTION("""COMPUTED_VALUE"""),"8f384525")</f>
        <v>8f384525</v>
      </c>
      <c r="B719" s="2"/>
      <c r="C719" s="5">
        <f ca="1">IFERROR(__xludf.DUMMYFUNCTION("""COMPUTED_VALUE"""),45783.8297106481)</f>
        <v>45783.829710648097</v>
      </c>
      <c r="D719" s="2">
        <f ca="1">IFERROR(__xludf.DUMMYFUNCTION("""COMPUTED_VALUE"""),500)</f>
        <v>500</v>
      </c>
      <c r="E719" s="2">
        <f ca="1">IFERROR(__xludf.DUMMYFUNCTION("""COMPUTED_VALUE"""),200000)</f>
        <v>200000</v>
      </c>
      <c r="F719" s="2" t="str">
        <f ca="1">IFERROR(__xludf.DUMMYFUNCTION("""COMPUTED_VALUE"""),"Ajuste Arqueo 05/05/25")</f>
        <v>Ajuste Arqueo 05/05/25</v>
      </c>
      <c r="G719" s="2">
        <f ca="1">IFERROR(__xludf.DUMMYFUNCTION("""COMPUTED_VALUE"""),17101)</f>
        <v>17101</v>
      </c>
      <c r="H719" s="2">
        <f ca="1">IFERROR(__xludf.DUMMYFUNCTION("""COMPUTED_VALUE"""),18101)</f>
        <v>18101</v>
      </c>
      <c r="I719" s="2"/>
      <c r="J719" s="2"/>
      <c r="K719" s="2" t="str">
        <f ca="1">IFERROR(__xludf.DUMMYFUNCTION("""COMPUTED_VALUE"""),"Terminado")</f>
        <v>Terminado</v>
      </c>
      <c r="L719" s="2"/>
      <c r="M719" s="2"/>
    </row>
    <row r="720" spans="1:13" x14ac:dyDescent="0.25">
      <c r="A720" s="2" t="str">
        <f ca="1">IFERROR(__xludf.DUMMYFUNCTION("""COMPUTED_VALUE"""),"7597a62d")</f>
        <v>7597a62d</v>
      </c>
      <c r="B720" s="2"/>
      <c r="C720" s="5">
        <f ca="1">IFERROR(__xludf.DUMMYFUNCTION("""COMPUTED_VALUE"""),45784.7292129629)</f>
        <v>45784.729212962899</v>
      </c>
      <c r="D720" s="2">
        <f ca="1">IFERROR(__xludf.DUMMYFUNCTION("""COMPUTED_VALUE"""),28)</f>
        <v>28</v>
      </c>
      <c r="E720" s="2">
        <f ca="1">IFERROR(__xludf.DUMMYFUNCTION("""COMPUTED_VALUE"""),216000)</f>
        <v>216000</v>
      </c>
      <c r="F720" s="2" t="str">
        <f ca="1">IFERROR(__xludf.DUMMYFUNCTION("""COMPUTED_VALUE"""),"Malbec Millan 200")</f>
        <v>Malbec Millan 200</v>
      </c>
      <c r="G720" s="2">
        <f ca="1">IFERROR(__xludf.DUMMYFUNCTION("""COMPUTED_VALUE"""),0)</f>
        <v>0</v>
      </c>
      <c r="H720" s="2">
        <f ca="1">IFERROR(__xludf.DUMMYFUNCTION("""COMPUTED_VALUE"""),83000)</f>
        <v>83000</v>
      </c>
      <c r="I720" s="2"/>
      <c r="J720" s="2"/>
      <c r="K720" s="2" t="str">
        <f ca="1">IFERROR(__xludf.DUMMYFUNCTION("""COMPUTED_VALUE"""),"1er Trasiego")</f>
        <v>1er Trasiego</v>
      </c>
      <c r="L720" s="2"/>
      <c r="M720" s="2"/>
    </row>
    <row r="721" spans="1:13" x14ac:dyDescent="0.25">
      <c r="A721" s="2" t="str">
        <f ca="1">IFERROR(__xludf.DUMMYFUNCTION("""COMPUTED_VALUE"""),"b0d54181")</f>
        <v>b0d54181</v>
      </c>
      <c r="B721" s="2"/>
      <c r="C721" s="5">
        <f ca="1">IFERROR(__xludf.DUMMYFUNCTION("""COMPUTED_VALUE"""),45784.7296412037)</f>
        <v>45784.729641203703</v>
      </c>
      <c r="D721" s="2">
        <f ca="1">IFERROR(__xludf.DUMMYFUNCTION("""COMPUTED_VALUE"""),28)</f>
        <v>28</v>
      </c>
      <c r="E721" s="2">
        <f ca="1">IFERROR(__xludf.DUMMYFUNCTION("""COMPUTED_VALUE"""),216000)</f>
        <v>216000</v>
      </c>
      <c r="F721" s="2" t="str">
        <f ca="1">IFERROR(__xludf.DUMMYFUNCTION("""COMPUTED_VALUE"""),"Malbec Millan 200")</f>
        <v>Malbec Millan 200</v>
      </c>
      <c r="G721" s="2">
        <f ca="1">IFERROR(__xludf.DUMMYFUNCTION("""COMPUTED_VALUE"""),83000)</f>
        <v>83000</v>
      </c>
      <c r="H721" s="2">
        <f ca="1">IFERROR(__xludf.DUMMYFUNCTION("""COMPUTED_VALUE"""),138000)</f>
        <v>138000</v>
      </c>
      <c r="I721" s="2"/>
      <c r="J721" s="2"/>
      <c r="K721" s="2" t="str">
        <f ca="1">IFERROR(__xludf.DUMMYFUNCTION("""COMPUTED_VALUE"""),"1er Trasiego")</f>
        <v>1er Trasiego</v>
      </c>
      <c r="L721" s="2"/>
      <c r="M721" s="2"/>
    </row>
    <row r="722" spans="1:13" x14ac:dyDescent="0.25">
      <c r="A722" s="2" t="str">
        <f ca="1">IFERROR(__xludf.DUMMYFUNCTION("""COMPUTED_VALUE"""),"cee6847e")</f>
        <v>cee6847e</v>
      </c>
      <c r="B722" s="2"/>
      <c r="C722" s="5">
        <f ca="1">IFERROR(__xludf.DUMMYFUNCTION("""COMPUTED_VALUE"""),45784.7299421296)</f>
        <v>45784.729942129597</v>
      </c>
      <c r="D722" s="2">
        <f ca="1">IFERROR(__xludf.DUMMYFUNCTION("""COMPUTED_VALUE"""),28)</f>
        <v>28</v>
      </c>
      <c r="E722" s="2">
        <f ca="1">IFERROR(__xludf.DUMMYFUNCTION("""COMPUTED_VALUE"""),216000)</f>
        <v>216000</v>
      </c>
      <c r="F722" s="2" t="str">
        <f ca="1">IFERROR(__xludf.DUMMYFUNCTION("""COMPUTED_VALUE"""),"Malbec Millan 200")</f>
        <v>Malbec Millan 200</v>
      </c>
      <c r="G722" s="2">
        <f ca="1">IFERROR(__xludf.DUMMYFUNCTION("""COMPUTED_VALUE"""),138000)</f>
        <v>138000</v>
      </c>
      <c r="H722" s="2">
        <f ca="1">IFERROR(__xludf.DUMMYFUNCTION("""COMPUTED_VALUE"""),164000)</f>
        <v>164000</v>
      </c>
      <c r="I722" s="2"/>
      <c r="J722" s="2"/>
      <c r="K722" s="2" t="str">
        <f ca="1">IFERROR(__xludf.DUMMYFUNCTION("""COMPUTED_VALUE"""),"1er Trasiego")</f>
        <v>1er Trasiego</v>
      </c>
      <c r="L722" s="2"/>
      <c r="M722" s="2"/>
    </row>
    <row r="723" spans="1:13" x14ac:dyDescent="0.25">
      <c r="A723" s="2" t="str">
        <f ca="1">IFERROR(__xludf.DUMMYFUNCTION("""COMPUTED_VALUE"""),"160a169f")</f>
        <v>160a169f</v>
      </c>
      <c r="B723" s="2"/>
      <c r="C723" s="5">
        <f ca="1">IFERROR(__xludf.DUMMYFUNCTION("""COMPUTED_VALUE"""),45784.7302314814)</f>
        <v>45784.730231481401</v>
      </c>
      <c r="D723" s="2">
        <f ca="1">IFERROR(__xludf.DUMMYFUNCTION("""COMPUTED_VALUE"""),28)</f>
        <v>28</v>
      </c>
      <c r="E723" s="2">
        <f ca="1">IFERROR(__xludf.DUMMYFUNCTION("""COMPUTED_VALUE"""),216000)</f>
        <v>216000</v>
      </c>
      <c r="F723" s="2" t="str">
        <f ca="1">IFERROR(__xludf.DUMMYFUNCTION("""COMPUTED_VALUE"""),"Malbec Millan 200")</f>
        <v>Malbec Millan 200</v>
      </c>
      <c r="G723" s="2">
        <f ca="1">IFERROR(__xludf.DUMMYFUNCTION("""COMPUTED_VALUE"""),164000)</f>
        <v>164000</v>
      </c>
      <c r="H723" s="2">
        <f ca="1">IFERROR(__xludf.DUMMYFUNCTION("""COMPUTED_VALUE"""),200600)</f>
        <v>200600</v>
      </c>
      <c r="I723" s="2"/>
      <c r="J723" s="2"/>
      <c r="K723" s="2" t="str">
        <f ca="1">IFERROR(__xludf.DUMMYFUNCTION("""COMPUTED_VALUE"""),"Terminado")</f>
        <v>Terminado</v>
      </c>
      <c r="L723" s="2"/>
      <c r="M723" s="2"/>
    </row>
    <row r="724" spans="1:13" x14ac:dyDescent="0.25">
      <c r="A724" s="2" t="str">
        <f ca="1">IFERROR(__xludf.DUMMYFUNCTION("""COMPUTED_VALUE"""),"060cc284")</f>
        <v>060cc284</v>
      </c>
      <c r="B724" s="2"/>
      <c r="C724" s="5">
        <f ca="1">IFERROR(__xludf.DUMMYFUNCTION("""COMPUTED_VALUE"""),45784.76)</f>
        <v>45784.76</v>
      </c>
      <c r="D724" s="2">
        <f ca="1">IFERROR(__xludf.DUMMYFUNCTION("""COMPUTED_VALUE"""),86)</f>
        <v>86</v>
      </c>
      <c r="E724" s="2">
        <f ca="1">IFERROR(__xludf.DUMMYFUNCTION("""COMPUTED_VALUE"""),88000)</f>
        <v>88000</v>
      </c>
      <c r="F724" s="2" t="str">
        <f ca="1">IFERROR(__xludf.DUMMYFUNCTION("""COMPUTED_VALUE"""),"Cabernet Sauv Millan 233")</f>
        <v>Cabernet Sauv Millan 233</v>
      </c>
      <c r="G724" s="2">
        <f ca="1">IFERROR(__xludf.DUMMYFUNCTION("""COMPUTED_VALUE"""),0)</f>
        <v>0</v>
      </c>
      <c r="H724" s="2">
        <f ca="1">IFERROR(__xludf.DUMMYFUNCTION("""COMPUTED_VALUE"""),15400)</f>
        <v>15400</v>
      </c>
      <c r="I724" s="2"/>
      <c r="J724" s="2"/>
      <c r="K724" s="2" t="str">
        <f ca="1">IFERROR(__xludf.DUMMYFUNCTION("""COMPUTED_VALUE"""),"Terminado")</f>
        <v>Terminado</v>
      </c>
      <c r="L724" s="2"/>
      <c r="M724" s="2"/>
    </row>
    <row r="725" spans="1:13" x14ac:dyDescent="0.25">
      <c r="A725" s="2" t="str">
        <f ca="1">IFERROR(__xludf.DUMMYFUNCTION("""COMPUTED_VALUE"""),"2cf8d99b")</f>
        <v>2cf8d99b</v>
      </c>
      <c r="B725" s="2"/>
      <c r="C725" s="5">
        <f ca="1">IFERROR(__xludf.DUMMYFUNCTION("""COMPUTED_VALUE"""),45784.7604629629)</f>
        <v>45784.760462962899</v>
      </c>
      <c r="D725" s="2">
        <f ca="1">IFERROR(__xludf.DUMMYFUNCTION("""COMPUTED_VALUE"""),81)</f>
        <v>81</v>
      </c>
      <c r="E725" s="2">
        <f ca="1">IFERROR(__xludf.DUMMYFUNCTION("""COMPUTED_VALUE"""),26500)</f>
        <v>26500</v>
      </c>
      <c r="F725" s="2" t="str">
        <f ca="1">IFERROR(__xludf.DUMMYFUNCTION("""COMPUTED_VALUE"""),"Cabernet Sauv Millan 233")</f>
        <v>Cabernet Sauv Millan 233</v>
      </c>
      <c r="G725" s="2">
        <f ca="1">IFERROR(__xludf.DUMMYFUNCTION("""COMPUTED_VALUE"""),0)</f>
        <v>0</v>
      </c>
      <c r="H725" s="2">
        <f ca="1">IFERROR(__xludf.DUMMYFUNCTION("""COMPUTED_VALUE"""),4300)</f>
        <v>4300</v>
      </c>
      <c r="I725" s="2"/>
      <c r="J725" s="2"/>
      <c r="K725" s="2" t="str">
        <f ca="1">IFERROR(__xludf.DUMMYFUNCTION("""COMPUTED_VALUE"""),"Terminado")</f>
        <v>Terminado</v>
      </c>
      <c r="L725" s="2"/>
      <c r="M725" s="2"/>
    </row>
    <row r="726" spans="1:13" x14ac:dyDescent="0.25">
      <c r="A726" s="2" t="str">
        <f ca="1">IFERROR(__xludf.DUMMYFUNCTION("""COMPUTED_VALUE"""),"ffaf53fb")</f>
        <v>ffaf53fb</v>
      </c>
      <c r="B726" s="2"/>
      <c r="C726" s="5">
        <f ca="1">IFERROR(__xludf.DUMMYFUNCTION("""COMPUTED_VALUE"""),45784.761261574)</f>
        <v>45784.761261574</v>
      </c>
      <c r="D726" s="2">
        <f ca="1">IFERROR(__xludf.DUMMYFUNCTION("""COMPUTED_VALUE"""),114)</f>
        <v>114</v>
      </c>
      <c r="E726" s="2">
        <f ca="1">IFERROR(__xludf.DUMMYFUNCTION("""COMPUTED_VALUE"""),125300)</f>
        <v>125300</v>
      </c>
      <c r="F726" s="2" t="str">
        <f ca="1">IFERROR(__xludf.DUMMYFUNCTION("""COMPUTED_VALUE"""),"Cabernet Sauv Millan 233")</f>
        <v>Cabernet Sauv Millan 233</v>
      </c>
      <c r="G726" s="2">
        <f ca="1">IFERROR(__xludf.DUMMYFUNCTION("""COMPUTED_VALUE"""),22600)</f>
        <v>22600</v>
      </c>
      <c r="H726" s="2">
        <f ca="1">IFERROR(__xludf.DUMMYFUNCTION("""COMPUTED_VALUE"""),44530)</f>
        <v>44530</v>
      </c>
      <c r="I726" s="2"/>
      <c r="J726" s="2"/>
      <c r="K726" s="2" t="str">
        <f ca="1">IFERROR(__xludf.DUMMYFUNCTION("""COMPUTED_VALUE"""),"Terminado")</f>
        <v>Terminado</v>
      </c>
      <c r="L726" s="2"/>
      <c r="M726" s="2"/>
    </row>
    <row r="727" spans="1:13" x14ac:dyDescent="0.25">
      <c r="A727" s="2" t="str">
        <f ca="1">IFERROR(__xludf.DUMMYFUNCTION("""COMPUTED_VALUE"""),"bc83d8e6")</f>
        <v>bc83d8e6</v>
      </c>
      <c r="B727" s="2"/>
      <c r="C727" s="5">
        <f ca="1">IFERROR(__xludf.DUMMYFUNCTION("""COMPUTED_VALUE"""),45784.7616319444)</f>
        <v>45784.761631944399</v>
      </c>
      <c r="D727" s="2">
        <f ca="1">IFERROR(__xludf.DUMMYFUNCTION("""COMPUTED_VALUE"""),86)</f>
        <v>86</v>
      </c>
      <c r="E727" s="2">
        <f ca="1">IFERROR(__xludf.DUMMYFUNCTION("""COMPUTED_VALUE"""),88000)</f>
        <v>88000</v>
      </c>
      <c r="F727" s="2" t="str">
        <f ca="1">IFERROR(__xludf.DUMMYFUNCTION("""COMPUTED_VALUE"""),"Cabernet Sauv Millan 233")</f>
        <v>Cabernet Sauv Millan 233</v>
      </c>
      <c r="G727" s="2">
        <f ca="1">IFERROR(__xludf.DUMMYFUNCTION("""COMPUTED_VALUE"""),15400)</f>
        <v>15400</v>
      </c>
      <c r="H727" s="2">
        <f ca="1">IFERROR(__xludf.DUMMYFUNCTION("""COMPUTED_VALUE"""),30800)</f>
        <v>30800</v>
      </c>
      <c r="I727" s="2"/>
      <c r="J727" s="2"/>
      <c r="K727" s="2" t="str">
        <f ca="1">IFERROR(__xludf.DUMMYFUNCTION("""COMPUTED_VALUE"""),"Terminado")</f>
        <v>Terminado</v>
      </c>
      <c r="L727" s="2"/>
      <c r="M727" s="2"/>
    </row>
    <row r="728" spans="1:13" x14ac:dyDescent="0.25">
      <c r="A728" s="2" t="str">
        <f ca="1">IFERROR(__xludf.DUMMYFUNCTION("""COMPUTED_VALUE"""),"378271b5")</f>
        <v>378271b5</v>
      </c>
      <c r="B728" s="2"/>
      <c r="C728" s="5">
        <f ca="1">IFERROR(__xludf.DUMMYFUNCTION("""COMPUTED_VALUE"""),45784.7619444444)</f>
        <v>45784.761944444399</v>
      </c>
      <c r="D728" s="2">
        <f ca="1">IFERROR(__xludf.DUMMYFUNCTION("""COMPUTED_VALUE"""),81)</f>
        <v>81</v>
      </c>
      <c r="E728" s="2">
        <f ca="1">IFERROR(__xludf.DUMMYFUNCTION("""COMPUTED_VALUE"""),26500)</f>
        <v>26500</v>
      </c>
      <c r="F728" s="2" t="str">
        <f ca="1">IFERROR(__xludf.DUMMYFUNCTION("""COMPUTED_VALUE"""),"Cabernet Sauv Millan 233")</f>
        <v>Cabernet Sauv Millan 233</v>
      </c>
      <c r="G728" s="2">
        <f ca="1">IFERROR(__xludf.DUMMYFUNCTION("""COMPUTED_VALUE"""),4300)</f>
        <v>4300</v>
      </c>
      <c r="H728" s="2">
        <f ca="1">IFERROR(__xludf.DUMMYFUNCTION("""COMPUTED_VALUE"""),8675)</f>
        <v>8675</v>
      </c>
      <c r="I728" s="2"/>
      <c r="J728" s="2"/>
      <c r="K728" s="2" t="str">
        <f ca="1">IFERROR(__xludf.DUMMYFUNCTION("""COMPUTED_VALUE"""),"Terminado")</f>
        <v>Terminado</v>
      </c>
      <c r="L728" s="2"/>
      <c r="M728" s="2"/>
    </row>
    <row r="729" spans="1:13" x14ac:dyDescent="0.25">
      <c r="A729" s="2" t="str">
        <f ca="1">IFERROR(__xludf.DUMMYFUNCTION("""COMPUTED_VALUE"""),"821a1155")</f>
        <v>821a1155</v>
      </c>
      <c r="B729" s="2"/>
      <c r="C729" s="5">
        <f ca="1">IFERROR(__xludf.DUMMYFUNCTION("""COMPUTED_VALUE"""),45784.7635879629)</f>
        <v>45784.763587962902</v>
      </c>
      <c r="D729" s="2">
        <f ca="1">IFERROR(__xludf.DUMMYFUNCTION("""COMPUTED_VALUE"""),114)</f>
        <v>114</v>
      </c>
      <c r="E729" s="2">
        <f ca="1">IFERROR(__xludf.DUMMYFUNCTION("""COMPUTED_VALUE"""),125300)</f>
        <v>125300</v>
      </c>
      <c r="F729" s="2" t="str">
        <f ca="1">IFERROR(__xludf.DUMMYFUNCTION("""COMPUTED_VALUE"""),"Cabernet Sauv Millan 233")</f>
        <v>Cabernet Sauv Millan 233</v>
      </c>
      <c r="G729" s="2">
        <f ca="1">IFERROR(__xludf.DUMMYFUNCTION("""COMPUTED_VALUE"""),44530)</f>
        <v>44530</v>
      </c>
      <c r="H729" s="2">
        <f ca="1">IFERROR(__xludf.DUMMYFUNCTION("""COMPUTED_VALUE"""),125300)</f>
        <v>125300</v>
      </c>
      <c r="I729" s="2"/>
      <c r="J729" s="2"/>
      <c r="K729" s="2" t="str">
        <f ca="1">IFERROR(__xludf.DUMMYFUNCTION("""COMPUTED_VALUE"""),"Terminado")</f>
        <v>Terminado</v>
      </c>
      <c r="L729" s="2"/>
      <c r="M729" s="2"/>
    </row>
    <row r="730" spans="1:13" x14ac:dyDescent="0.25">
      <c r="A730" s="2" t="str">
        <f ca="1">IFERROR(__xludf.DUMMYFUNCTION("""COMPUTED_VALUE"""),"098ad529")</f>
        <v>098ad529</v>
      </c>
      <c r="B730" s="2"/>
      <c r="C730" s="5">
        <f ca="1">IFERROR(__xludf.DUMMYFUNCTION("""COMPUTED_VALUE"""),45784.7638773148)</f>
        <v>45784.763877314799</v>
      </c>
      <c r="D730" s="2">
        <f ca="1">IFERROR(__xludf.DUMMYFUNCTION("""COMPUTED_VALUE"""),86)</f>
        <v>86</v>
      </c>
      <c r="E730" s="2">
        <f ca="1">IFERROR(__xludf.DUMMYFUNCTION("""COMPUTED_VALUE"""),88000)</f>
        <v>88000</v>
      </c>
      <c r="F730" s="2" t="str">
        <f ca="1">IFERROR(__xludf.DUMMYFUNCTION("""COMPUTED_VALUE"""),"Cabernet Sauv Millan 233")</f>
        <v>Cabernet Sauv Millan 233</v>
      </c>
      <c r="G730" s="2">
        <f ca="1">IFERROR(__xludf.DUMMYFUNCTION("""COMPUTED_VALUE"""),30800)</f>
        <v>30800</v>
      </c>
      <c r="H730" s="2">
        <f ca="1">IFERROR(__xludf.DUMMYFUNCTION("""COMPUTED_VALUE"""),88000)</f>
        <v>88000</v>
      </c>
      <c r="I730" s="2"/>
      <c r="J730" s="2"/>
      <c r="K730" s="2" t="str">
        <f ca="1">IFERROR(__xludf.DUMMYFUNCTION("""COMPUTED_VALUE"""),"Traslado Venta")</f>
        <v>Traslado Venta</v>
      </c>
      <c r="L730" s="2"/>
      <c r="M730" s="2"/>
    </row>
    <row r="731" spans="1:13" x14ac:dyDescent="0.25">
      <c r="A731" s="2" t="str">
        <f ca="1">IFERROR(__xludf.DUMMYFUNCTION("""COMPUTED_VALUE"""),"ff99f9ec")</f>
        <v>ff99f9ec</v>
      </c>
      <c r="B731" s="2"/>
      <c r="C731" s="5">
        <f ca="1">IFERROR(__xludf.DUMMYFUNCTION("""COMPUTED_VALUE"""),45784.7644097222)</f>
        <v>45784.7644097222</v>
      </c>
      <c r="D731" s="2">
        <f ca="1">IFERROR(__xludf.DUMMYFUNCTION("""COMPUTED_VALUE"""),81)</f>
        <v>81</v>
      </c>
      <c r="E731" s="2">
        <f ca="1">IFERROR(__xludf.DUMMYFUNCTION("""COMPUTED_VALUE"""),26500)</f>
        <v>26500</v>
      </c>
      <c r="F731" s="2" t="str">
        <f ca="1">IFERROR(__xludf.DUMMYFUNCTION("""COMPUTED_VALUE"""),"Cabernet Sauv Millan 233")</f>
        <v>Cabernet Sauv Millan 233</v>
      </c>
      <c r="G731" s="2">
        <f ca="1">IFERROR(__xludf.DUMMYFUNCTION("""COMPUTED_VALUE"""),8675)</f>
        <v>8675</v>
      </c>
      <c r="H731" s="2">
        <f ca="1">IFERROR(__xludf.DUMMYFUNCTION("""COMPUTED_VALUE"""),19105)</f>
        <v>19105</v>
      </c>
      <c r="I731" s="2"/>
      <c r="J731" s="2"/>
      <c r="K731" s="2" t="str">
        <f ca="1">IFERROR(__xludf.DUMMYFUNCTION("""COMPUTED_VALUE"""),"Terminado")</f>
        <v>Terminado</v>
      </c>
      <c r="L731" s="2"/>
      <c r="M731" s="2"/>
    </row>
    <row r="732" spans="1:13" x14ac:dyDescent="0.25">
      <c r="A732" s="2" t="str">
        <f ca="1">IFERROR(__xludf.DUMMYFUNCTION("""COMPUTED_VALUE"""),"4c2a65a6")</f>
        <v>4c2a65a6</v>
      </c>
      <c r="B732" s="2"/>
      <c r="C732" s="5">
        <f ca="1">IFERROR(__xludf.DUMMYFUNCTION("""COMPUTED_VALUE"""),45784.7820138888)</f>
        <v>45784.782013888798</v>
      </c>
      <c r="D732" s="2">
        <f ca="1">IFERROR(__xludf.DUMMYFUNCTION("""COMPUTED_VALUE"""),65)</f>
        <v>65</v>
      </c>
      <c r="E732" s="2">
        <f ca="1">IFERROR(__xludf.DUMMYFUNCTION("""COMPUTED_VALUE"""),35500)</f>
        <v>35500</v>
      </c>
      <c r="F732" s="2" t="str">
        <f ca="1">IFERROR(__xludf.DUMMYFUNCTION("""COMPUTED_VALUE"""),"Malbec Dulc")</f>
        <v>Malbec Dulc</v>
      </c>
      <c r="G732" s="2">
        <f ca="1">IFERROR(__xludf.DUMMYFUNCTION("""COMPUTED_VALUE"""),0)</f>
        <v>0</v>
      </c>
      <c r="H732" s="2">
        <f ca="1">IFERROR(__xludf.DUMMYFUNCTION("""COMPUTED_VALUE"""),16900)</f>
        <v>16900</v>
      </c>
      <c r="I732" s="2"/>
      <c r="J732" s="2"/>
      <c r="K732" s="2" t="str">
        <f ca="1">IFERROR(__xludf.DUMMYFUNCTION("""COMPUTED_VALUE"""),"2do Trasiego")</f>
        <v>2do Trasiego</v>
      </c>
      <c r="L732" s="2"/>
      <c r="M732" s="2"/>
    </row>
    <row r="733" spans="1:13" x14ac:dyDescent="0.25">
      <c r="A733" s="2" t="str">
        <f ca="1">IFERROR(__xludf.DUMMYFUNCTION("""COMPUTED_VALUE"""),"063eed80")</f>
        <v>063eed80</v>
      </c>
      <c r="B733" s="2"/>
      <c r="C733" s="5">
        <f ca="1">IFERROR(__xludf.DUMMYFUNCTION("""COMPUTED_VALUE"""),45784.7824189814)</f>
        <v>45784.782418981398</v>
      </c>
      <c r="D733" s="2">
        <f ca="1">IFERROR(__xludf.DUMMYFUNCTION("""COMPUTED_VALUE"""),66)</f>
        <v>66</v>
      </c>
      <c r="E733" s="2">
        <f ca="1">IFERROR(__xludf.DUMMYFUNCTION("""COMPUTED_VALUE"""),23000)</f>
        <v>23000</v>
      </c>
      <c r="F733" s="2" t="str">
        <f ca="1">IFERROR(__xludf.DUMMYFUNCTION("""COMPUTED_VALUE"""),"Malbec Dulc")</f>
        <v>Malbec Dulc</v>
      </c>
      <c r="G733" s="2">
        <f ca="1">IFERROR(__xludf.DUMMYFUNCTION("""COMPUTED_VALUE"""),0)</f>
        <v>0</v>
      </c>
      <c r="H733" s="2">
        <f ca="1">IFERROR(__xludf.DUMMYFUNCTION("""COMPUTED_VALUE"""),4700)</f>
        <v>4700</v>
      </c>
      <c r="I733" s="2"/>
      <c r="J733" s="2"/>
      <c r="K733" s="2" t="str">
        <f ca="1">IFERROR(__xludf.DUMMYFUNCTION("""COMPUTED_VALUE"""),"2do Trasiego")</f>
        <v>2do Trasiego</v>
      </c>
      <c r="L733" s="2"/>
      <c r="M733" s="2"/>
    </row>
    <row r="734" spans="1:13" x14ac:dyDescent="0.25">
      <c r="A734" s="2" t="str">
        <f ca="1">IFERROR(__xludf.DUMMYFUNCTION("""COMPUTED_VALUE"""),"219552df")</f>
        <v>219552df</v>
      </c>
      <c r="B734" s="2"/>
      <c r="C734" s="5">
        <f ca="1">IFERROR(__xludf.DUMMYFUNCTION("""COMPUTED_VALUE"""),45784.785011574)</f>
        <v>45784.785011574</v>
      </c>
      <c r="D734" s="2">
        <f ca="1">IFERROR(__xludf.DUMMYFUNCTION("""COMPUTED_VALUE"""),85)</f>
        <v>85</v>
      </c>
      <c r="E734" s="2">
        <f ca="1">IFERROR(__xludf.DUMMYFUNCTION("""COMPUTED_VALUE"""),84000)</f>
        <v>84000</v>
      </c>
      <c r="F734" s="2" t="str">
        <f ca="1">IFERROR(__xludf.DUMMYFUNCTION("""COMPUTED_VALUE"""),"Malbec Dulc")</f>
        <v>Malbec Dulc</v>
      </c>
      <c r="G734" s="2">
        <f ca="1">IFERROR(__xludf.DUMMYFUNCTION("""COMPUTED_VALUE"""),39900)</f>
        <v>39900</v>
      </c>
      <c r="H734" s="2">
        <f ca="1">IFERROR(__xludf.DUMMYFUNCTION("""COMPUTED_VALUE"""),56900)</f>
        <v>56900</v>
      </c>
      <c r="I734" s="2"/>
      <c r="J734" s="2"/>
      <c r="K734" s="2" t="str">
        <f ca="1">IFERROR(__xludf.DUMMYFUNCTION("""COMPUTED_VALUE"""),"1er Trasiego")</f>
        <v>1er Trasiego</v>
      </c>
      <c r="L734" s="2"/>
      <c r="M734" s="2"/>
    </row>
    <row r="735" spans="1:13" x14ac:dyDescent="0.25">
      <c r="A735" s="2" t="str">
        <f ca="1">IFERROR(__xludf.DUMMYFUNCTION("""COMPUTED_VALUE"""),"6dc7a9f7")</f>
        <v>6dc7a9f7</v>
      </c>
      <c r="B735" s="2"/>
      <c r="C735" s="5">
        <f ca="1">IFERROR(__xludf.DUMMYFUNCTION("""COMPUTED_VALUE"""),45784.7856018518)</f>
        <v>45784.7856018518</v>
      </c>
      <c r="D735" s="2">
        <f ca="1">IFERROR(__xludf.DUMMYFUNCTION("""COMPUTED_VALUE"""),65)</f>
        <v>65</v>
      </c>
      <c r="E735" s="2">
        <f ca="1">IFERROR(__xludf.DUMMYFUNCTION("""COMPUTED_VALUE"""),35500)</f>
        <v>35500</v>
      </c>
      <c r="F735" s="2" t="str">
        <f ca="1">IFERROR(__xludf.DUMMYFUNCTION("""COMPUTED_VALUE"""),"Malbec Dulc")</f>
        <v>Malbec Dulc</v>
      </c>
      <c r="G735" s="2">
        <f ca="1">IFERROR(__xludf.DUMMYFUNCTION("""COMPUTED_VALUE"""),16900)</f>
        <v>16900</v>
      </c>
      <c r="H735" s="2">
        <f ca="1">IFERROR(__xludf.DUMMYFUNCTION("""COMPUTED_VALUE"""),23900)</f>
        <v>23900</v>
      </c>
      <c r="I735" s="2"/>
      <c r="J735" s="2"/>
      <c r="K735" s="2" t="str">
        <f ca="1">IFERROR(__xludf.DUMMYFUNCTION("""COMPUTED_VALUE"""),"2do Trasiego")</f>
        <v>2do Trasiego</v>
      </c>
      <c r="L735" s="2"/>
      <c r="M735" s="2"/>
    </row>
    <row r="736" spans="1:13" x14ac:dyDescent="0.25">
      <c r="A736" s="2" t="str">
        <f ca="1">IFERROR(__xludf.DUMMYFUNCTION("""COMPUTED_VALUE"""),"a03cb596")</f>
        <v>a03cb596</v>
      </c>
      <c r="B736" s="2"/>
      <c r="C736" s="5">
        <f ca="1">IFERROR(__xludf.DUMMYFUNCTION("""COMPUTED_VALUE"""),45784.7858101851)</f>
        <v>45784.785810185102</v>
      </c>
      <c r="D736" s="2">
        <f ca="1">IFERROR(__xludf.DUMMYFUNCTION("""COMPUTED_VALUE"""),66)</f>
        <v>66</v>
      </c>
      <c r="E736" s="2">
        <f ca="1">IFERROR(__xludf.DUMMYFUNCTION("""COMPUTED_VALUE"""),23000)</f>
        <v>23000</v>
      </c>
      <c r="F736" s="2" t="str">
        <f ca="1">IFERROR(__xludf.DUMMYFUNCTION("""COMPUTED_VALUE"""),"Malbec Dulc")</f>
        <v>Malbec Dulc</v>
      </c>
      <c r="G736" s="2">
        <f ca="1">IFERROR(__xludf.DUMMYFUNCTION("""COMPUTED_VALUE"""),4700)</f>
        <v>4700</v>
      </c>
      <c r="H736" s="2">
        <f ca="1">IFERROR(__xludf.DUMMYFUNCTION("""COMPUTED_VALUE"""),5700)</f>
        <v>5700</v>
      </c>
      <c r="I736" s="2"/>
      <c r="J736" s="2"/>
      <c r="K736" s="2" t="str">
        <f ca="1">IFERROR(__xludf.DUMMYFUNCTION("""COMPUTED_VALUE"""),"2do Trasiego")</f>
        <v>2do Trasiego</v>
      </c>
      <c r="L736" s="2"/>
      <c r="M736" s="2"/>
    </row>
    <row r="737" spans="1:13" x14ac:dyDescent="0.25">
      <c r="A737" s="2" t="str">
        <f ca="1">IFERROR(__xludf.DUMMYFUNCTION("""COMPUTED_VALUE"""),"33b26126")</f>
        <v>33b26126</v>
      </c>
      <c r="B737" s="2"/>
      <c r="C737" s="5">
        <f ca="1">IFERROR(__xludf.DUMMYFUNCTION("""COMPUTED_VALUE"""),45784.787037037)</f>
        <v>45784.787037037</v>
      </c>
      <c r="D737" s="2">
        <f ca="1">IFERROR(__xludf.DUMMYFUNCTION("""COMPUTED_VALUE"""),85)</f>
        <v>85</v>
      </c>
      <c r="E737" s="2">
        <f ca="1">IFERROR(__xludf.DUMMYFUNCTION("""COMPUTED_VALUE"""),84000)</f>
        <v>84000</v>
      </c>
      <c r="F737" s="2" t="str">
        <f ca="1">IFERROR(__xludf.DUMMYFUNCTION("""COMPUTED_VALUE"""),"Malbec Dulc")</f>
        <v>Malbec Dulc</v>
      </c>
      <c r="G737" s="2">
        <f ca="1">IFERROR(__xludf.DUMMYFUNCTION("""COMPUTED_VALUE"""),56900)</f>
        <v>56900</v>
      </c>
      <c r="H737" s="2">
        <f ca="1">IFERROR(__xludf.DUMMYFUNCTION("""COMPUTED_VALUE"""),84000)</f>
        <v>84000</v>
      </c>
      <c r="I737" s="2"/>
      <c r="J737" s="2"/>
      <c r="K737" s="2" t="str">
        <f ca="1">IFERROR(__xludf.DUMMYFUNCTION("""COMPUTED_VALUE"""),"1er Trasiego")</f>
        <v>1er Trasiego</v>
      </c>
      <c r="L737" s="2" t="str">
        <f ca="1">IFERROR(__xludf.DUMMYFUNCTION("""COMPUTED_VALUE"""),"2+")</f>
        <v>2+</v>
      </c>
      <c r="M737" s="2"/>
    </row>
    <row r="738" spans="1:13" x14ac:dyDescent="0.25">
      <c r="A738" s="2" t="str">
        <f ca="1">IFERROR(__xludf.DUMMYFUNCTION("""COMPUTED_VALUE"""),"91b01170")</f>
        <v>91b01170</v>
      </c>
      <c r="B738" s="2"/>
      <c r="C738" s="5">
        <f ca="1">IFERROR(__xludf.DUMMYFUNCTION("""COMPUTED_VALUE"""),45784.7874537037)</f>
        <v>45784.787453703699</v>
      </c>
      <c r="D738" s="2">
        <f ca="1">IFERROR(__xludf.DUMMYFUNCTION("""COMPUTED_VALUE"""),65)</f>
        <v>65</v>
      </c>
      <c r="E738" s="2">
        <f ca="1">IFERROR(__xludf.DUMMYFUNCTION("""COMPUTED_VALUE"""),35500)</f>
        <v>35500</v>
      </c>
      <c r="F738" s="2" t="str">
        <f ca="1">IFERROR(__xludf.DUMMYFUNCTION("""COMPUTED_VALUE"""),"Malbec Dulc")</f>
        <v>Malbec Dulc</v>
      </c>
      <c r="G738" s="2">
        <f ca="1">IFERROR(__xludf.DUMMYFUNCTION("""COMPUTED_VALUE"""),23900)</f>
        <v>23900</v>
      </c>
      <c r="H738" s="2">
        <f ca="1">IFERROR(__xludf.DUMMYFUNCTION("""COMPUTED_VALUE"""),35500)</f>
        <v>35500</v>
      </c>
      <c r="I738" s="2" t="str">
        <f ca="1">IFERROR(__xludf.DUMMYFUNCTION("""COMPUTED_VALUE"""),"calificacion baja por el azucar")</f>
        <v>calificacion baja por el azucar</v>
      </c>
      <c r="J738" s="2"/>
      <c r="K738" s="2" t="str">
        <f ca="1">IFERROR(__xludf.DUMMYFUNCTION("""COMPUTED_VALUE"""),"2do Trasiego")</f>
        <v>2do Trasiego</v>
      </c>
      <c r="L738" s="2" t="str">
        <f ca="1">IFERROR(__xludf.DUMMYFUNCTION("""COMPUTED_VALUE"""),"2+")</f>
        <v>2+</v>
      </c>
      <c r="M738" s="2"/>
    </row>
    <row r="739" spans="1:13" x14ac:dyDescent="0.25">
      <c r="A739" s="2" t="str">
        <f ca="1">IFERROR(__xludf.DUMMYFUNCTION("""COMPUTED_VALUE"""),"7b01278e")</f>
        <v>7b01278e</v>
      </c>
      <c r="B739" s="2"/>
      <c r="C739" s="5">
        <f ca="1">IFERROR(__xludf.DUMMYFUNCTION("""COMPUTED_VALUE"""),45784.7876967592)</f>
        <v>45784.787696759202</v>
      </c>
      <c r="D739" s="2">
        <f ca="1">IFERROR(__xludf.DUMMYFUNCTION("""COMPUTED_VALUE"""),66)</f>
        <v>66</v>
      </c>
      <c r="E739" s="2">
        <f ca="1">IFERROR(__xludf.DUMMYFUNCTION("""COMPUTED_VALUE"""),23000)</f>
        <v>23000</v>
      </c>
      <c r="F739" s="2" t="str">
        <f ca="1">IFERROR(__xludf.DUMMYFUNCTION("""COMPUTED_VALUE"""),"Malbec Dulc")</f>
        <v>Malbec Dulc</v>
      </c>
      <c r="G739" s="2">
        <f ca="1">IFERROR(__xludf.DUMMYFUNCTION("""COMPUTED_VALUE"""),5700)</f>
        <v>5700</v>
      </c>
      <c r="H739" s="2">
        <f ca="1">IFERROR(__xludf.DUMMYFUNCTION("""COMPUTED_VALUE"""),15000)</f>
        <v>15000</v>
      </c>
      <c r="I739" s="2" t="str">
        <f ca="1">IFERROR(__xludf.DUMMYFUNCTION("""COMPUTED_VALUE"""),"con azucar. Buena pero con azucar")</f>
        <v>con azucar. Buena pero con azucar</v>
      </c>
      <c r="J739" s="2"/>
      <c r="K739" s="2" t="str">
        <f ca="1">IFERROR(__xludf.DUMMYFUNCTION("""COMPUTED_VALUE"""),"2do Trasiego")</f>
        <v>2do Trasiego</v>
      </c>
      <c r="L739" s="2" t="str">
        <f ca="1">IFERROR(__xludf.DUMMYFUNCTION("""COMPUTED_VALUE"""),"2")</f>
        <v>2</v>
      </c>
      <c r="M739" s="2"/>
    </row>
    <row r="740" spans="1:13" x14ac:dyDescent="0.25">
      <c r="A740" s="2" t="str">
        <f ca="1">IFERROR(__xludf.DUMMYFUNCTION("""COMPUTED_VALUE"""),"bfc481b0")</f>
        <v>bfc481b0</v>
      </c>
      <c r="B740" s="2"/>
      <c r="C740" s="5">
        <f ca="1">IFERROR(__xludf.DUMMYFUNCTION("""COMPUTED_VALUE"""),45785.454074074)</f>
        <v>45785.454074073998</v>
      </c>
      <c r="D740" s="2">
        <f ca="1">IFERROR(__xludf.DUMMYFUNCTION("""COMPUTED_VALUE"""),500)</f>
        <v>500</v>
      </c>
      <c r="E740" s="2">
        <f ca="1">IFERROR(__xludf.DUMMYFUNCTION("""COMPUTED_VALUE"""),200000)</f>
        <v>200000</v>
      </c>
      <c r="F740" s="2" t="str">
        <f ca="1">IFERROR(__xludf.DUMMYFUNCTION("""COMPUTED_VALUE"""),"Ajuste Arqueo 05/05/25")</f>
        <v>Ajuste Arqueo 05/05/25</v>
      </c>
      <c r="G740" s="2">
        <f ca="1">IFERROR(__xludf.DUMMYFUNCTION("""COMPUTED_VALUE"""),18101)</f>
        <v>18101</v>
      </c>
      <c r="H740" s="2">
        <f ca="1">IFERROR(__xludf.DUMMYFUNCTION("""COMPUTED_VALUE"""),21101)</f>
        <v>21101</v>
      </c>
      <c r="I740" s="2"/>
      <c r="J740" s="2"/>
      <c r="K740" s="2" t="str">
        <f ca="1">IFERROR(__xludf.DUMMYFUNCTION("""COMPUTED_VALUE"""),"Terminado")</f>
        <v>Terminado</v>
      </c>
      <c r="L740" s="2"/>
      <c r="M740" s="2"/>
    </row>
    <row r="741" spans="1:13" x14ac:dyDescent="0.25">
      <c r="A741" s="2" t="str">
        <f ca="1">IFERROR(__xludf.DUMMYFUNCTION("""COMPUTED_VALUE"""),"2e70766e")</f>
        <v>2e70766e</v>
      </c>
      <c r="B741" s="2"/>
      <c r="C741" s="5">
        <f ca="1">IFERROR(__xludf.DUMMYFUNCTION("""COMPUTED_VALUE"""),45785.4873032407)</f>
        <v>45785.487303240698</v>
      </c>
      <c r="D741" s="2">
        <f ca="1">IFERROR(__xludf.DUMMYFUNCTION("""COMPUTED_VALUE"""),500)</f>
        <v>500</v>
      </c>
      <c r="E741" s="2">
        <f ca="1">IFERROR(__xludf.DUMMYFUNCTION("""COMPUTED_VALUE"""),200000)</f>
        <v>200000</v>
      </c>
      <c r="F741" s="2" t="str">
        <f ca="1">IFERROR(__xludf.DUMMYFUNCTION("""COMPUTED_VALUE"""),"Ajuste Arqueo 05/05/25")</f>
        <v>Ajuste Arqueo 05/05/25</v>
      </c>
      <c r="G741" s="2">
        <f ca="1">IFERROR(__xludf.DUMMYFUNCTION("""COMPUTED_VALUE"""),21101)</f>
        <v>21101</v>
      </c>
      <c r="H741" s="2">
        <f ca="1">IFERROR(__xludf.DUMMYFUNCTION("""COMPUTED_VALUE"""),15987)</f>
        <v>15987</v>
      </c>
      <c r="I741" s="2"/>
      <c r="J741" s="2"/>
      <c r="K741" s="2" t="str">
        <f ca="1">IFERROR(__xludf.DUMMYFUNCTION("""COMPUTED_VALUE"""),"Terminado")</f>
        <v>Terminado</v>
      </c>
      <c r="L741" s="2"/>
      <c r="M741" s="2"/>
    </row>
    <row r="742" spans="1:13" x14ac:dyDescent="0.25">
      <c r="A742" s="2" t="str">
        <f ca="1">IFERROR(__xludf.DUMMYFUNCTION("""COMPUTED_VALUE"""),"3285bc9d")</f>
        <v>3285bc9d</v>
      </c>
      <c r="B742" s="2"/>
      <c r="C742" s="5">
        <f ca="1">IFERROR(__xludf.DUMMYFUNCTION("""COMPUTED_VALUE"""),45785.7464814814)</f>
        <v>45785.746481481401</v>
      </c>
      <c r="D742" s="2">
        <f ca="1">IFERROR(__xludf.DUMMYFUNCTION("""COMPUTED_VALUE"""),500)</f>
        <v>500</v>
      </c>
      <c r="E742" s="2">
        <f ca="1">IFERROR(__xludf.DUMMYFUNCTION("""COMPUTED_VALUE"""),200000)</f>
        <v>200000</v>
      </c>
      <c r="F742" s="2" t="str">
        <f ca="1">IFERROR(__xludf.DUMMYFUNCTION("""COMPUTED_VALUE"""),"Cabernet Sauv Millan 233 - - TRASLADO")</f>
        <v>Cabernet Sauv Millan 233 - - TRASLADO</v>
      </c>
      <c r="G742" s="2">
        <f ca="1">IFERROR(__xludf.DUMMYFUNCTION("""COMPUTED_VALUE"""),0)</f>
        <v>0</v>
      </c>
      <c r="H742" s="2">
        <f ca="1">IFERROR(__xludf.DUMMYFUNCTION("""COMPUTED_VALUE"""),125300)</f>
        <v>125300</v>
      </c>
      <c r="I742" s="2"/>
      <c r="J742" s="2"/>
      <c r="K742" s="2" t="str">
        <f ca="1">IFERROR(__xludf.DUMMYFUNCTION("""COMPUTED_VALUE"""),"Terminado")</f>
        <v>Terminado</v>
      </c>
      <c r="L742" s="2"/>
      <c r="M742" s="2"/>
    </row>
    <row r="743" spans="1:13" x14ac:dyDescent="0.25">
      <c r="A743" s="2" t="str">
        <f ca="1">IFERROR(__xludf.DUMMYFUNCTION("""COMPUTED_VALUE"""),"cf5c62c4")</f>
        <v>cf5c62c4</v>
      </c>
      <c r="B743" s="2"/>
      <c r="C743" s="5">
        <f ca="1">IFERROR(__xludf.DUMMYFUNCTION("""COMPUTED_VALUE"""),45785.7479282407)</f>
        <v>45785.7479282407</v>
      </c>
      <c r="D743" s="2">
        <f ca="1">IFERROR(__xludf.DUMMYFUNCTION("""COMPUTED_VALUE"""),500)</f>
        <v>500</v>
      </c>
      <c r="E743" s="2">
        <f ca="1">IFERROR(__xludf.DUMMYFUNCTION("""COMPUTED_VALUE"""),200000)</f>
        <v>200000</v>
      </c>
      <c r="F743" s="2" t="str">
        <f ca="1">IFERROR(__xludf.DUMMYFUNCTION("""COMPUTED_VALUE"""),"Malbec Millan 200 - TRASLADO")</f>
        <v>Malbec Millan 200 - TRASLADO</v>
      </c>
      <c r="G743" s="2">
        <f ca="1">IFERROR(__xludf.DUMMYFUNCTION("""COMPUTED_VALUE"""),0)</f>
        <v>0</v>
      </c>
      <c r="H743" s="2">
        <f ca="1">IFERROR(__xludf.DUMMYFUNCTION("""COMPUTED_VALUE"""),200000)</f>
        <v>200000</v>
      </c>
      <c r="I743" s="2"/>
      <c r="J743" s="2"/>
      <c r="K743" s="2" t="str">
        <f ca="1">IFERROR(__xludf.DUMMYFUNCTION("""COMPUTED_VALUE"""),"Traslado Venta")</f>
        <v>Traslado Venta</v>
      </c>
      <c r="L743" s="2"/>
      <c r="M743" s="2"/>
    </row>
    <row r="744" spans="1:13" x14ac:dyDescent="0.25">
      <c r="A744" s="2" t="str">
        <f ca="1">IFERROR(__xludf.DUMMYFUNCTION("""COMPUTED_VALUE"""),"19e8f31c")</f>
        <v>19e8f31c</v>
      </c>
      <c r="B744" s="2"/>
      <c r="C744" s="5">
        <f ca="1">IFERROR(__xludf.DUMMYFUNCTION("""COMPUTED_VALUE"""),45785.7482291666)</f>
        <v>45785.748229166602</v>
      </c>
      <c r="D744" s="2">
        <f ca="1">IFERROR(__xludf.DUMMYFUNCTION("""COMPUTED_VALUE"""),500)</f>
        <v>500</v>
      </c>
      <c r="E744" s="2">
        <f ca="1">IFERROR(__xludf.DUMMYFUNCTION("""COMPUTED_VALUE"""),200000)</f>
        <v>200000</v>
      </c>
      <c r="F744" s="2" t="str">
        <f ca="1">IFERROR(__xludf.DUMMYFUNCTION("""COMPUTED_VALUE"""),"Malbec Millan 200 - TRASLADO")</f>
        <v>Malbec Millan 200 - TRASLADO</v>
      </c>
      <c r="G744" s="2">
        <f ca="1">IFERROR(__xludf.DUMMYFUNCTION("""COMPUTED_VALUE"""),200000)</f>
        <v>200000</v>
      </c>
      <c r="H744" s="2">
        <f ca="1">IFERROR(__xludf.DUMMYFUNCTION("""COMPUTED_VALUE"""),200600)</f>
        <v>200600</v>
      </c>
      <c r="I744" s="2"/>
      <c r="J744" s="2"/>
      <c r="K744" s="2" t="str">
        <f ca="1">IFERROR(__xludf.DUMMYFUNCTION("""COMPUTED_VALUE"""),"Traslado Venta")</f>
        <v>Traslado Venta</v>
      </c>
      <c r="L744" s="2"/>
      <c r="M744" s="2"/>
    </row>
    <row r="745" spans="1:13" x14ac:dyDescent="0.25">
      <c r="A745" s="2" t="str">
        <f ca="1">IFERROR(__xludf.DUMMYFUNCTION("""COMPUTED_VALUE"""),"97f43e08")</f>
        <v>97f43e08</v>
      </c>
      <c r="B745" s="2"/>
      <c r="C745" s="5">
        <f ca="1">IFERROR(__xludf.DUMMYFUNCTION("""COMPUTED_VALUE"""),45785.7519212962)</f>
        <v>45785.7519212962</v>
      </c>
      <c r="D745" s="2">
        <f ca="1">IFERROR(__xludf.DUMMYFUNCTION("""COMPUTED_VALUE"""),70)</f>
        <v>70</v>
      </c>
      <c r="E745" s="2">
        <f ca="1">IFERROR(__xludf.DUMMYFUNCTION("""COMPUTED_VALUE"""),13000)</f>
        <v>13000</v>
      </c>
      <c r="F745" s="2" t="str">
        <f ca="1">IFERROR(__xludf.DUMMYFUNCTION("""COMPUTED_VALUE"""),"Cabernet Sauv Millan 233")</f>
        <v>Cabernet Sauv Millan 233</v>
      </c>
      <c r="G745" s="2">
        <f ca="1">IFERROR(__xludf.DUMMYFUNCTION("""COMPUTED_VALUE"""),0)</f>
        <v>0</v>
      </c>
      <c r="H745" s="2">
        <f ca="1">IFERROR(__xludf.DUMMYFUNCTION("""COMPUTED_VALUE"""),13000)</f>
        <v>13000</v>
      </c>
      <c r="I745" s="2"/>
      <c r="J745" s="2"/>
      <c r="K745" s="2" t="str">
        <f ca="1">IFERROR(__xludf.DUMMYFUNCTION("""COMPUTED_VALUE"""),"Traslado Venta")</f>
        <v>Traslado Venta</v>
      </c>
      <c r="L745" s="2"/>
      <c r="M745" s="2"/>
    </row>
    <row r="746" spans="1:13" x14ac:dyDescent="0.25">
      <c r="A746" s="2" t="str">
        <f ca="1">IFERROR(__xludf.DUMMYFUNCTION("""COMPUTED_VALUE"""),"e07698b4")</f>
        <v>e07698b4</v>
      </c>
      <c r="B746" s="2"/>
      <c r="C746" s="5">
        <f ca="1">IFERROR(__xludf.DUMMYFUNCTION("""COMPUTED_VALUE"""),45785.7524189813)</f>
        <v>45785.752418981399</v>
      </c>
      <c r="D746" s="2">
        <f ca="1">IFERROR(__xludf.DUMMYFUNCTION("""COMPUTED_VALUE"""),500)</f>
        <v>500</v>
      </c>
      <c r="E746" s="2">
        <f ca="1">IFERROR(__xludf.DUMMYFUNCTION("""COMPUTED_VALUE"""),200000)</f>
        <v>200000</v>
      </c>
      <c r="F746" s="2" t="str">
        <f ca="1">IFERROR(__xludf.DUMMYFUNCTION("""COMPUTED_VALUE"""),"Cabernet Sauv Millan 233 - TRASLADO")</f>
        <v>Cabernet Sauv Millan 233 - TRASLADO</v>
      </c>
      <c r="G746" s="2">
        <f ca="1">IFERROR(__xludf.DUMMYFUNCTION("""COMPUTED_VALUE"""),0)</f>
        <v>0</v>
      </c>
      <c r="H746" s="2">
        <f ca="1">IFERROR(__xludf.DUMMYFUNCTION("""COMPUTED_VALUE"""),6105)</f>
        <v>6105</v>
      </c>
      <c r="I746" s="2"/>
      <c r="J746" s="2"/>
      <c r="K746" s="2" t="str">
        <f ca="1">IFERROR(__xludf.DUMMYFUNCTION("""COMPUTED_VALUE"""),"Traslado Venta")</f>
        <v>Traslado Venta</v>
      </c>
      <c r="L746" s="2"/>
      <c r="M746" s="2"/>
    </row>
    <row r="747" spans="1:13" x14ac:dyDescent="0.25">
      <c r="A747" s="2" t="str">
        <f ca="1">IFERROR(__xludf.DUMMYFUNCTION("""COMPUTED_VALUE"""),"1c302922")</f>
        <v>1c302922</v>
      </c>
      <c r="B747" s="2"/>
      <c r="C747" s="5">
        <f ca="1">IFERROR(__xludf.DUMMYFUNCTION("""COMPUTED_VALUE"""),45785.7950462963)</f>
        <v>45785.795046296298</v>
      </c>
      <c r="D747" s="2">
        <f ca="1">IFERROR(__xludf.DUMMYFUNCTION("""COMPUTED_VALUE"""),107)</f>
        <v>107</v>
      </c>
      <c r="E747" s="2">
        <f ca="1">IFERROR(__xludf.DUMMYFUNCTION("""COMPUTED_VALUE"""),31000)</f>
        <v>31000</v>
      </c>
      <c r="F747" s="2" t="str">
        <f ca="1">IFERROR(__xludf.DUMMYFUNCTION("""COMPUTED_VALUE"""),"Bonarda")</f>
        <v>Bonarda</v>
      </c>
      <c r="G747" s="2">
        <f ca="1">IFERROR(__xludf.DUMMYFUNCTION("""COMPUTED_VALUE"""),24000)</f>
        <v>24000</v>
      </c>
      <c r="H747" s="2">
        <f ca="1">IFERROR(__xludf.DUMMYFUNCTION("""COMPUTED_VALUE"""),31000)</f>
        <v>31000</v>
      </c>
      <c r="I747" s="2"/>
      <c r="J747" s="2"/>
      <c r="K747" s="2" t="str">
        <f ca="1">IFERROR(__xludf.DUMMYFUNCTION("""COMPUTED_VALUE"""),"1er Trasiego")</f>
        <v>1er Trasiego</v>
      </c>
      <c r="L747" s="2" t="str">
        <f ca="1">IFERROR(__xludf.DUMMYFUNCTION("""COMPUTED_VALUE"""),"1")</f>
        <v>1</v>
      </c>
      <c r="M747" s="2"/>
    </row>
    <row r="748" spans="1:13" x14ac:dyDescent="0.25">
      <c r="A748" s="2" t="str">
        <f ca="1">IFERROR(__xludf.DUMMYFUNCTION("""COMPUTED_VALUE"""),"ae7ca061")</f>
        <v>ae7ca061</v>
      </c>
      <c r="B748" s="2"/>
      <c r="C748" s="5">
        <f ca="1">IFERROR(__xludf.DUMMYFUNCTION("""COMPUTED_VALUE"""),45785.7951851851)</f>
        <v>45785.795185185103</v>
      </c>
      <c r="D748" s="2">
        <f ca="1">IFERROR(__xludf.DUMMYFUNCTION("""COMPUTED_VALUE"""),108)</f>
        <v>108</v>
      </c>
      <c r="E748" s="2">
        <f ca="1">IFERROR(__xludf.DUMMYFUNCTION("""COMPUTED_VALUE"""),31000)</f>
        <v>31000</v>
      </c>
      <c r="F748" s="2" t="str">
        <f ca="1">IFERROR(__xludf.DUMMYFUNCTION("""COMPUTED_VALUE"""),"Bonarda")</f>
        <v>Bonarda</v>
      </c>
      <c r="G748" s="2">
        <f ca="1">IFERROR(__xludf.DUMMYFUNCTION("""COMPUTED_VALUE"""),17000)</f>
        <v>17000</v>
      </c>
      <c r="H748" s="2">
        <f ca="1">IFERROR(__xludf.DUMMYFUNCTION("""COMPUTED_VALUE"""),31000)</f>
        <v>31000</v>
      </c>
      <c r="I748" s="2"/>
      <c r="J748" s="2"/>
      <c r="K748" s="2" t="str">
        <f ca="1">IFERROR(__xludf.DUMMYFUNCTION("""COMPUTED_VALUE"""),"1er Trasiego")</f>
        <v>1er Trasiego</v>
      </c>
      <c r="L748" s="2"/>
      <c r="M748" s="2"/>
    </row>
    <row r="749" spans="1:13" x14ac:dyDescent="0.25">
      <c r="A749" s="2" t="str">
        <f ca="1">IFERROR(__xludf.DUMMYFUNCTION("""COMPUTED_VALUE"""),"a2f1fdf7")</f>
        <v>a2f1fdf7</v>
      </c>
      <c r="B749" s="2"/>
      <c r="C749" s="5">
        <f ca="1">IFERROR(__xludf.DUMMYFUNCTION("""COMPUTED_VALUE"""),45785.7958680555)</f>
        <v>45785.795868055502</v>
      </c>
      <c r="D749" s="2">
        <f ca="1">IFERROR(__xludf.DUMMYFUNCTION("""COMPUTED_VALUE"""),118)</f>
        <v>118</v>
      </c>
      <c r="E749" s="2">
        <f ca="1">IFERROR(__xludf.DUMMYFUNCTION("""COMPUTED_VALUE"""),155600)</f>
        <v>155600</v>
      </c>
      <c r="F749" s="2" t="str">
        <f ca="1">IFERROR(__xludf.DUMMYFUNCTION("""COMPUTED_VALUE"""),"Bonarda")</f>
        <v>Bonarda</v>
      </c>
      <c r="G749" s="2">
        <f ca="1">IFERROR(__xludf.DUMMYFUNCTION("""COMPUTED_VALUE"""),19295)</f>
        <v>19295</v>
      </c>
      <c r="H749" s="2">
        <f ca="1">IFERROR(__xludf.DUMMYFUNCTION("""COMPUTED_VALUE"""),16995)</f>
        <v>16995</v>
      </c>
      <c r="I749" s="2"/>
      <c r="J749" s="2"/>
      <c r="K749" s="2" t="str">
        <f ca="1">IFERROR(__xludf.DUMMYFUNCTION("""COMPUTED_VALUE"""),"Descubada")</f>
        <v>Descubada</v>
      </c>
      <c r="L749" s="2"/>
      <c r="M749" s="2"/>
    </row>
    <row r="750" spans="1:13" x14ac:dyDescent="0.25">
      <c r="A750" s="2" t="str">
        <f ca="1">IFERROR(__xludf.DUMMYFUNCTION("""COMPUTED_VALUE"""),"44e5df4d")</f>
        <v>44e5df4d</v>
      </c>
      <c r="B750" s="2"/>
      <c r="C750" s="5">
        <f ca="1">IFERROR(__xludf.DUMMYFUNCTION("""COMPUTED_VALUE"""),45785.7962152777)</f>
        <v>45785.796215277704</v>
      </c>
      <c r="D750" s="2">
        <f ca="1">IFERROR(__xludf.DUMMYFUNCTION("""COMPUTED_VALUE"""),118)</f>
        <v>118</v>
      </c>
      <c r="E750" s="2">
        <f ca="1">IFERROR(__xludf.DUMMYFUNCTION("""COMPUTED_VALUE"""),155600)</f>
        <v>155600</v>
      </c>
      <c r="F750" s="2" t="str">
        <f ca="1">IFERROR(__xludf.DUMMYFUNCTION("""COMPUTED_VALUE"""),"Bonarda")</f>
        <v>Bonarda</v>
      </c>
      <c r="G750" s="2">
        <f ca="1">IFERROR(__xludf.DUMMYFUNCTION("""COMPUTED_VALUE"""),16995)</f>
        <v>16995</v>
      </c>
      <c r="H750" s="2">
        <f ca="1">IFERROR(__xludf.DUMMYFUNCTION("""COMPUTED_VALUE"""),16395)</f>
        <v>16395</v>
      </c>
      <c r="I750" s="2"/>
      <c r="J750" s="2"/>
      <c r="K750" s="2" t="str">
        <f ca="1">IFERROR(__xludf.DUMMYFUNCTION("""COMPUTED_VALUE"""),"Descubada")</f>
        <v>Descubada</v>
      </c>
      <c r="L750" s="2"/>
      <c r="M750" s="2"/>
    </row>
    <row r="751" spans="1:13" x14ac:dyDescent="0.25">
      <c r="A751" s="2" t="str">
        <f ca="1">IFERROR(__xludf.DUMMYFUNCTION("""COMPUTED_VALUE"""),"e1fe7b8e")</f>
        <v>e1fe7b8e</v>
      </c>
      <c r="B751" s="2"/>
      <c r="C751" s="5">
        <f ca="1">IFERROR(__xludf.DUMMYFUNCTION("""COMPUTED_VALUE"""),45785.7966087963)</f>
        <v>45785.7966087963</v>
      </c>
      <c r="D751" s="2">
        <f ca="1">IFERROR(__xludf.DUMMYFUNCTION("""COMPUTED_VALUE"""),118)</f>
        <v>118</v>
      </c>
      <c r="E751" s="2">
        <f ca="1">IFERROR(__xludf.DUMMYFUNCTION("""COMPUTED_VALUE"""),155600)</f>
        <v>155600</v>
      </c>
      <c r="F751" s="2" t="str">
        <f ca="1">IFERROR(__xludf.DUMMYFUNCTION("""COMPUTED_VALUE"""),"Bonarda")</f>
        <v>Bonarda</v>
      </c>
      <c r="G751" s="2">
        <f ca="1">IFERROR(__xludf.DUMMYFUNCTION("""COMPUTED_VALUE"""),16395)</f>
        <v>16395</v>
      </c>
      <c r="H751" s="2">
        <f ca="1">IFERROR(__xludf.DUMMYFUNCTION("""COMPUTED_VALUE"""),12895)</f>
        <v>12895</v>
      </c>
      <c r="I751" s="2"/>
      <c r="J751" s="2"/>
      <c r="K751" s="2" t="str">
        <f ca="1">IFERROR(__xludf.DUMMYFUNCTION("""COMPUTED_VALUE"""),"Descubada")</f>
        <v>Descubada</v>
      </c>
      <c r="L751" s="2"/>
      <c r="M751" s="2"/>
    </row>
    <row r="752" spans="1:13" x14ac:dyDescent="0.25">
      <c r="A752" s="2" t="str">
        <f ca="1">IFERROR(__xludf.DUMMYFUNCTION("""COMPUTED_VALUE"""),"0a82e5f5")</f>
        <v>0a82e5f5</v>
      </c>
      <c r="B752" s="2"/>
      <c r="C752" s="5">
        <f ca="1">IFERROR(__xludf.DUMMYFUNCTION("""COMPUTED_VALUE"""),45786.6775694444)</f>
        <v>45786.6775694444</v>
      </c>
      <c r="D752" s="2">
        <f ca="1">IFERROR(__xludf.DUMMYFUNCTION("""COMPUTED_VALUE"""),50)</f>
        <v>50</v>
      </c>
      <c r="E752" s="2">
        <f ca="1">IFERROR(__xludf.DUMMYFUNCTION("""COMPUTED_VALUE"""),5100)</f>
        <v>5100</v>
      </c>
      <c r="F752" s="2" t="str">
        <f ca="1">IFERROR(__xludf.DUMMYFUNCTION("""COMPUTED_VALUE"""),"Malbec Carricondo Venta")</f>
        <v>Malbec Carricondo Venta</v>
      </c>
      <c r="G752" s="2">
        <f ca="1">IFERROR(__xludf.DUMMYFUNCTION("""COMPUTED_VALUE"""),0)</f>
        <v>0</v>
      </c>
      <c r="H752" s="2">
        <f ca="1">IFERROR(__xludf.DUMMYFUNCTION("""COMPUTED_VALUE"""),4000)</f>
        <v>4000</v>
      </c>
      <c r="I752" s="2"/>
      <c r="J752" s="2"/>
      <c r="K752" s="2" t="str">
        <f ca="1">IFERROR(__xludf.DUMMYFUNCTION("""COMPUTED_VALUE"""),"1er Trasiego")</f>
        <v>1er Trasiego</v>
      </c>
      <c r="L752" s="2"/>
      <c r="M752" s="2"/>
    </row>
    <row r="753" spans="1:13" x14ac:dyDescent="0.25">
      <c r="A753" s="2" t="str">
        <f ca="1">IFERROR(__xludf.DUMMYFUNCTION("""COMPUTED_VALUE"""),"55222a6e")</f>
        <v>55222a6e</v>
      </c>
      <c r="B753" s="2"/>
      <c r="C753" s="5">
        <f ca="1">IFERROR(__xludf.DUMMYFUNCTION("""COMPUTED_VALUE"""),45786.679537037)</f>
        <v>45786.679537037002</v>
      </c>
      <c r="D753" s="2">
        <f ca="1">IFERROR(__xludf.DUMMYFUNCTION("""COMPUTED_VALUE"""),24)</f>
        <v>24</v>
      </c>
      <c r="E753" s="2">
        <f ca="1">IFERROR(__xludf.DUMMYFUNCTION("""COMPUTED_VALUE"""),186600)</f>
        <v>186600</v>
      </c>
      <c r="F753" s="2" t="str">
        <f ca="1">IFERROR(__xludf.DUMMYFUNCTION("""COMPUTED_VALUE"""),"Malbec")</f>
        <v>Malbec</v>
      </c>
      <c r="G753" s="2">
        <f ca="1">IFERROR(__xludf.DUMMYFUNCTION("""COMPUTED_VALUE"""),0)</f>
        <v>0</v>
      </c>
      <c r="H753" s="2">
        <f ca="1">IFERROR(__xludf.DUMMYFUNCTION("""COMPUTED_VALUE"""),37000)</f>
        <v>37000</v>
      </c>
      <c r="I753" s="2"/>
      <c r="J753" s="2"/>
      <c r="K753" s="2" t="str">
        <f ca="1">IFERROR(__xludf.DUMMYFUNCTION("""COMPUTED_VALUE"""),"1er Trasiego")</f>
        <v>1er Trasiego</v>
      </c>
      <c r="L753" s="2"/>
      <c r="M753" s="2"/>
    </row>
    <row r="754" spans="1:13" x14ac:dyDescent="0.25">
      <c r="A754" s="2" t="str">
        <f ca="1">IFERROR(__xludf.DUMMYFUNCTION("""COMPUTED_VALUE"""),"2c481a58")</f>
        <v>2c481a58</v>
      </c>
      <c r="B754" s="2"/>
      <c r="C754" s="5">
        <f ca="1">IFERROR(__xludf.DUMMYFUNCTION("""COMPUTED_VALUE"""),45786.6798726851)</f>
        <v>45786.679872685098</v>
      </c>
      <c r="D754" s="2">
        <f ca="1">IFERROR(__xludf.DUMMYFUNCTION("""COMPUTED_VALUE"""),24)</f>
        <v>24</v>
      </c>
      <c r="E754" s="2">
        <f ca="1">IFERROR(__xludf.DUMMYFUNCTION("""COMPUTED_VALUE"""),186600)</f>
        <v>186600</v>
      </c>
      <c r="F754" s="2" t="str">
        <f ca="1">IFERROR(__xludf.DUMMYFUNCTION("""COMPUTED_VALUE"""),"Malbec")</f>
        <v>Malbec</v>
      </c>
      <c r="G754" s="2">
        <f ca="1">IFERROR(__xludf.DUMMYFUNCTION("""COMPUTED_VALUE"""),37000)</f>
        <v>37000</v>
      </c>
      <c r="H754" s="2">
        <f ca="1">IFERROR(__xludf.DUMMYFUNCTION("""COMPUTED_VALUE"""),73000)</f>
        <v>73000</v>
      </c>
      <c r="I754" s="2"/>
      <c r="J754" s="2"/>
      <c r="K754" s="2" t="str">
        <f ca="1">IFERROR(__xludf.DUMMYFUNCTION("""COMPUTED_VALUE"""),"1er Trasiego")</f>
        <v>1er Trasiego</v>
      </c>
      <c r="L754" s="2"/>
      <c r="M754" s="2"/>
    </row>
    <row r="755" spans="1:13" x14ac:dyDescent="0.25">
      <c r="A755" s="2" t="str">
        <f ca="1">IFERROR(__xludf.DUMMYFUNCTION("""COMPUTED_VALUE"""),"1bbddd37")</f>
        <v>1bbddd37</v>
      </c>
      <c r="B755" s="2"/>
      <c r="C755" s="5">
        <f ca="1">IFERROR(__xludf.DUMMYFUNCTION("""COMPUTED_VALUE"""),45786.6802314814)</f>
        <v>45786.680231481398</v>
      </c>
      <c r="D755" s="2">
        <f ca="1">IFERROR(__xludf.DUMMYFUNCTION("""COMPUTED_VALUE"""),24)</f>
        <v>24</v>
      </c>
      <c r="E755" s="2">
        <f ca="1">IFERROR(__xludf.DUMMYFUNCTION("""COMPUTED_VALUE"""),186600)</f>
        <v>186600</v>
      </c>
      <c r="F755" s="2" t="str">
        <f ca="1">IFERROR(__xludf.DUMMYFUNCTION("""COMPUTED_VALUE"""),"Malbec")</f>
        <v>Malbec</v>
      </c>
      <c r="G755" s="2">
        <f ca="1">IFERROR(__xludf.DUMMYFUNCTION("""COMPUTED_VALUE"""),73000)</f>
        <v>73000</v>
      </c>
      <c r="H755" s="2">
        <f ca="1">IFERROR(__xludf.DUMMYFUNCTION("""COMPUTED_VALUE"""),163000)</f>
        <v>163000</v>
      </c>
      <c r="I755" s="2"/>
      <c r="J755" s="2"/>
      <c r="K755" s="2" t="str">
        <f ca="1">IFERROR(__xludf.DUMMYFUNCTION("""COMPUTED_VALUE"""),"1er Trasiego")</f>
        <v>1er Trasiego</v>
      </c>
      <c r="L755" s="2"/>
      <c r="M755" s="2"/>
    </row>
    <row r="756" spans="1:13" x14ac:dyDescent="0.25">
      <c r="A756" s="2" t="str">
        <f ca="1">IFERROR(__xludf.DUMMYFUNCTION("""COMPUTED_VALUE"""),"1eaa1fc2")</f>
        <v>1eaa1fc2</v>
      </c>
      <c r="B756" s="2"/>
      <c r="C756" s="5">
        <f ca="1">IFERROR(__xludf.DUMMYFUNCTION("""COMPUTED_VALUE"""),45786.6805671296)</f>
        <v>45786.680567129602</v>
      </c>
      <c r="D756" s="2">
        <f ca="1">IFERROR(__xludf.DUMMYFUNCTION("""COMPUTED_VALUE"""),24)</f>
        <v>24</v>
      </c>
      <c r="E756" s="2">
        <f ca="1">IFERROR(__xludf.DUMMYFUNCTION("""COMPUTED_VALUE"""),186600)</f>
        <v>186600</v>
      </c>
      <c r="F756" s="2" t="str">
        <f ca="1">IFERROR(__xludf.DUMMYFUNCTION("""COMPUTED_VALUE"""),"Malbec")</f>
        <v>Malbec</v>
      </c>
      <c r="G756" s="2">
        <f ca="1">IFERROR(__xludf.DUMMYFUNCTION("""COMPUTED_VALUE"""),163000)</f>
        <v>163000</v>
      </c>
      <c r="H756" s="2">
        <f ca="1">IFERROR(__xludf.DUMMYFUNCTION("""COMPUTED_VALUE"""),186600)</f>
        <v>186600</v>
      </c>
      <c r="I756" s="2" t="str">
        <f ca="1">IFERROR(__xludf.DUMMYFUNCTION("""COMPUTED_VALUE"""),"Ph alto, tiene notas amargas. En el trasiego se va a agregar rectificado y algo de Anccelota para mejorar color")</f>
        <v>Ph alto, tiene notas amargas. En el trasiego se va a agregar rectificado y algo de Anccelota para mejorar color</v>
      </c>
      <c r="J756" s="2"/>
      <c r="K756" s="2" t="str">
        <f ca="1">IFERROR(__xludf.DUMMYFUNCTION("""COMPUTED_VALUE"""),"1er Trasiego")</f>
        <v>1er Trasiego</v>
      </c>
      <c r="L756" s="2" t="str">
        <f ca="1">IFERROR(__xludf.DUMMYFUNCTION("""COMPUTED_VALUE"""),"2+")</f>
        <v>2+</v>
      </c>
      <c r="M756" s="2"/>
    </row>
    <row r="757" spans="1:13" x14ac:dyDescent="0.25">
      <c r="A757" s="2" t="str">
        <f ca="1">IFERROR(__xludf.DUMMYFUNCTION("""COMPUTED_VALUE"""),"18ab305b")</f>
        <v>18ab305b</v>
      </c>
      <c r="B757" s="2"/>
      <c r="C757" s="5">
        <f ca="1">IFERROR(__xludf.DUMMYFUNCTION("""COMPUTED_VALUE"""),45786.6811689814)</f>
        <v>45786.681168981399</v>
      </c>
      <c r="D757" s="2">
        <f ca="1">IFERROR(__xludf.DUMMYFUNCTION("""COMPUTED_VALUE"""),125)</f>
        <v>125</v>
      </c>
      <c r="E757" s="2">
        <f ca="1">IFERROR(__xludf.DUMMYFUNCTION("""COMPUTED_VALUE"""),31000)</f>
        <v>31000</v>
      </c>
      <c r="F757" s="2" t="str">
        <f ca="1">IFERROR(__xludf.DUMMYFUNCTION("""COMPUTED_VALUE"""),"Malbec")</f>
        <v>Malbec</v>
      </c>
      <c r="G757" s="2">
        <f ca="1">IFERROR(__xludf.DUMMYFUNCTION("""COMPUTED_VALUE"""),0)</f>
        <v>0</v>
      </c>
      <c r="H757" s="2">
        <f ca="1">IFERROR(__xludf.DUMMYFUNCTION("""COMPUTED_VALUE"""),11400)</f>
        <v>11400</v>
      </c>
      <c r="I757" s="2"/>
      <c r="J757" s="2"/>
      <c r="K757" s="2" t="str">
        <f ca="1">IFERROR(__xludf.DUMMYFUNCTION("""COMPUTED_VALUE"""),"1er Trasiego")</f>
        <v>1er Trasiego</v>
      </c>
      <c r="L757" s="2"/>
      <c r="M757" s="2"/>
    </row>
    <row r="758" spans="1:13" x14ac:dyDescent="0.25">
      <c r="A758" s="2" t="str">
        <f ca="1">IFERROR(__xludf.DUMMYFUNCTION("""COMPUTED_VALUE"""),"187a80d6")</f>
        <v>187a80d6</v>
      </c>
      <c r="B758" s="2"/>
      <c r="C758" s="5">
        <f ca="1">IFERROR(__xludf.DUMMYFUNCTION("""COMPUTED_VALUE"""),45786.6821296296)</f>
        <v>45786.682129629597</v>
      </c>
      <c r="D758" s="2">
        <f ca="1">IFERROR(__xludf.DUMMYFUNCTION("""COMPUTED_VALUE"""),76)</f>
        <v>76</v>
      </c>
      <c r="E758" s="2">
        <f ca="1">IFERROR(__xludf.DUMMYFUNCTION("""COMPUTED_VALUE"""),25500)</f>
        <v>25500</v>
      </c>
      <c r="F758" s="2" t="str">
        <f ca="1">IFERROR(__xludf.DUMMYFUNCTION("""COMPUTED_VALUE"""),"Cabernet Sauvignon prensa")</f>
        <v>Cabernet Sauvignon prensa</v>
      </c>
      <c r="G758" s="2">
        <f ca="1">IFERROR(__xludf.DUMMYFUNCTION("""COMPUTED_VALUE"""),17000)</f>
        <v>17000</v>
      </c>
      <c r="H758" s="2">
        <f ca="1">IFERROR(__xludf.DUMMYFUNCTION("""COMPUTED_VALUE"""),25500)</f>
        <v>25500</v>
      </c>
      <c r="I758" s="2"/>
      <c r="J758" s="2"/>
      <c r="K758" s="2" t="str">
        <f ca="1">IFERROR(__xludf.DUMMYFUNCTION("""COMPUTED_VALUE"""),"1er Trasiego")</f>
        <v>1er Trasiego</v>
      </c>
      <c r="L758" s="2"/>
      <c r="M758" s="2"/>
    </row>
    <row r="759" spans="1:13" x14ac:dyDescent="0.25">
      <c r="A759" s="2" t="str">
        <f ca="1">IFERROR(__xludf.DUMMYFUNCTION("""COMPUTED_VALUE"""),"95f6ad50")</f>
        <v>95f6ad50</v>
      </c>
      <c r="B759" s="2"/>
      <c r="C759" s="5">
        <f ca="1">IFERROR(__xludf.DUMMYFUNCTION("""COMPUTED_VALUE"""),45786.682511574)</f>
        <v>45786.682511573999</v>
      </c>
      <c r="D759" s="2">
        <f ca="1">IFERROR(__xludf.DUMMYFUNCTION("""COMPUTED_VALUE"""),66)</f>
        <v>66</v>
      </c>
      <c r="E759" s="2">
        <f ca="1">IFERROR(__xludf.DUMMYFUNCTION("""COMPUTED_VALUE"""),23000)</f>
        <v>23000</v>
      </c>
      <c r="F759" s="2" t="str">
        <f ca="1">IFERROR(__xludf.DUMMYFUNCTION("""COMPUTED_VALUE"""),"Malbec Dulc")</f>
        <v>Malbec Dulc</v>
      </c>
      <c r="G759" s="2">
        <f ca="1">IFERROR(__xludf.DUMMYFUNCTION("""COMPUTED_VALUE"""),20114)</f>
        <v>20114</v>
      </c>
      <c r="H759" s="2">
        <f ca="1">IFERROR(__xludf.DUMMYFUNCTION("""COMPUTED_VALUE"""),23000)</f>
        <v>23000</v>
      </c>
      <c r="I759" s="2"/>
      <c r="J759" s="2"/>
      <c r="K759" s="2" t="str">
        <f ca="1">IFERROR(__xludf.DUMMYFUNCTION("""COMPUTED_VALUE"""),"2do Trasiego")</f>
        <v>2do Trasiego</v>
      </c>
      <c r="L759" s="2" t="str">
        <f ca="1">IFERROR(__xludf.DUMMYFUNCTION("""COMPUTED_VALUE"""),"2+")</f>
        <v>2+</v>
      </c>
      <c r="M759" s="2"/>
    </row>
    <row r="760" spans="1:13" x14ac:dyDescent="0.25">
      <c r="A760" s="2" t="str">
        <f ca="1">IFERROR(__xludf.DUMMYFUNCTION("""COMPUTED_VALUE"""),"31b745c3")</f>
        <v>31b745c3</v>
      </c>
      <c r="B760" s="2"/>
      <c r="C760" s="5">
        <f ca="1">IFERROR(__xludf.DUMMYFUNCTION("""COMPUTED_VALUE"""),45786.6899652777)</f>
        <v>45786.689965277699</v>
      </c>
      <c r="D760" s="2">
        <f ca="1">IFERROR(__xludf.DUMMYFUNCTION("""COMPUTED_VALUE"""),114)</f>
        <v>114</v>
      </c>
      <c r="E760" s="2">
        <f ca="1">IFERROR(__xludf.DUMMYFUNCTION("""COMPUTED_VALUE"""),125300)</f>
        <v>125300</v>
      </c>
      <c r="F760" s="2" t="str">
        <f ca="1">IFERROR(__xludf.DUMMYFUNCTION("""COMPUTED_VALUE"""),"Syrah Tempranillo")</f>
        <v>Syrah Tempranillo</v>
      </c>
      <c r="G760" s="2">
        <f ca="1">IFERROR(__xludf.DUMMYFUNCTION("""COMPUTED_VALUE"""),0)</f>
        <v>0</v>
      </c>
      <c r="H760" s="2">
        <f ca="1">IFERROR(__xludf.DUMMYFUNCTION("""COMPUTED_VALUE"""),116000)</f>
        <v>116000</v>
      </c>
      <c r="I760" s="2"/>
      <c r="J760" s="2"/>
      <c r="K760" s="2" t="str">
        <f ca="1">IFERROR(__xludf.DUMMYFUNCTION("""COMPUTED_VALUE"""),"2do Trasiego")</f>
        <v>2do Trasiego</v>
      </c>
      <c r="L760" s="2"/>
      <c r="M760" s="2"/>
    </row>
    <row r="761" spans="1:13" x14ac:dyDescent="0.25">
      <c r="A761" s="2" t="str">
        <f ca="1">IFERROR(__xludf.DUMMYFUNCTION("""COMPUTED_VALUE"""),"f80e7320")</f>
        <v>f80e7320</v>
      </c>
      <c r="B761" s="2"/>
      <c r="C761" s="5">
        <f ca="1">IFERROR(__xludf.DUMMYFUNCTION("""COMPUTED_VALUE"""),45786.6903472222)</f>
        <v>45786.690347222197</v>
      </c>
      <c r="D761" s="2">
        <f ca="1">IFERROR(__xludf.DUMMYFUNCTION("""COMPUTED_VALUE"""),114)</f>
        <v>114</v>
      </c>
      <c r="E761" s="2">
        <f ca="1">IFERROR(__xludf.DUMMYFUNCTION("""COMPUTED_VALUE"""),125300)</f>
        <v>125300</v>
      </c>
      <c r="F761" s="2" t="str">
        <f ca="1">IFERROR(__xludf.DUMMYFUNCTION("""COMPUTED_VALUE"""),"Syrah Tempranillo")</f>
        <v>Syrah Tempranillo</v>
      </c>
      <c r="G761" s="2">
        <f ca="1">IFERROR(__xludf.DUMMYFUNCTION("""COMPUTED_VALUE"""),116000)</f>
        <v>116000</v>
      </c>
      <c r="H761" s="2">
        <f ca="1">IFERROR(__xludf.DUMMYFUNCTION("""COMPUTED_VALUE"""),125300)</f>
        <v>125300</v>
      </c>
      <c r="I761" s="2"/>
      <c r="J761" s="2"/>
      <c r="K761" s="2" t="str">
        <f ca="1">IFERROR(__xludf.DUMMYFUNCTION("""COMPUTED_VALUE"""),"2do Trasiego")</f>
        <v>2do Trasiego</v>
      </c>
      <c r="L761" s="2"/>
      <c r="M761" s="2"/>
    </row>
    <row r="762" spans="1:13" x14ac:dyDescent="0.25">
      <c r="A762" s="2" t="str">
        <f ca="1">IFERROR(__xludf.DUMMYFUNCTION("""COMPUTED_VALUE"""),"1bdfaa93")</f>
        <v>1bdfaa93</v>
      </c>
      <c r="B762" s="2"/>
      <c r="C762" s="5">
        <f ca="1">IFERROR(__xludf.DUMMYFUNCTION("""COMPUTED_VALUE"""),45786.6905787037)</f>
        <v>45786.690578703703</v>
      </c>
      <c r="D762" s="2">
        <f ca="1">IFERROR(__xludf.DUMMYFUNCTION("""COMPUTED_VALUE"""),125)</f>
        <v>125</v>
      </c>
      <c r="E762" s="2">
        <f ca="1">IFERROR(__xludf.DUMMYFUNCTION("""COMPUTED_VALUE"""),31000)</f>
        <v>31000</v>
      </c>
      <c r="F762" s="2" t="str">
        <f ca="1">IFERROR(__xludf.DUMMYFUNCTION("""COMPUTED_VALUE"""),"Malbec")</f>
        <v>Malbec</v>
      </c>
      <c r="G762" s="2">
        <f ca="1">IFERROR(__xludf.DUMMYFUNCTION("""COMPUTED_VALUE"""),11400)</f>
        <v>11400</v>
      </c>
      <c r="H762" s="2">
        <f ca="1">IFERROR(__xludf.DUMMYFUNCTION("""COMPUTED_VALUE"""),14500)</f>
        <v>14500</v>
      </c>
      <c r="I762" s="2"/>
      <c r="J762" s="2"/>
      <c r="K762" s="2" t="str">
        <f ca="1">IFERROR(__xludf.DUMMYFUNCTION("""COMPUTED_VALUE"""),"1er Trasiego")</f>
        <v>1er Trasiego</v>
      </c>
      <c r="L762" s="2"/>
      <c r="M762" s="2"/>
    </row>
    <row r="763" spans="1:13" x14ac:dyDescent="0.25">
      <c r="A763" s="2" t="str">
        <f ca="1">IFERROR(__xludf.DUMMYFUNCTION("""COMPUTED_VALUE"""),"df7eab76")</f>
        <v>df7eab76</v>
      </c>
      <c r="B763" s="2"/>
      <c r="C763" s="5">
        <f ca="1">IFERROR(__xludf.DUMMYFUNCTION("""COMPUTED_VALUE"""),45786.6915972222)</f>
        <v>45786.691597222198</v>
      </c>
      <c r="D763" s="2">
        <f ca="1">IFERROR(__xludf.DUMMYFUNCTION("""COMPUTED_VALUE"""),72)</f>
        <v>72</v>
      </c>
      <c r="E763" s="2">
        <f ca="1">IFERROR(__xludf.DUMMYFUNCTION("""COMPUTED_VALUE"""),13000)</f>
        <v>13000</v>
      </c>
      <c r="F763" s="2" t="str">
        <f ca="1">IFERROR(__xludf.DUMMYFUNCTION("""COMPUTED_VALUE"""),"Malbec")</f>
        <v>Malbec</v>
      </c>
      <c r="G763" s="2">
        <f ca="1">IFERROR(__xludf.DUMMYFUNCTION("""COMPUTED_VALUE"""),0)</f>
        <v>0</v>
      </c>
      <c r="H763" s="2">
        <f ca="1">IFERROR(__xludf.DUMMYFUNCTION("""COMPUTED_VALUE"""),12000)</f>
        <v>12000</v>
      </c>
      <c r="I763" s="2"/>
      <c r="J763" s="2"/>
      <c r="K763" s="2" t="str">
        <f ca="1">IFERROR(__xludf.DUMMYFUNCTION("""COMPUTED_VALUE"""),"1er Trasiego")</f>
        <v>1er Trasiego</v>
      </c>
      <c r="L763" s="2"/>
      <c r="M763" s="2"/>
    </row>
    <row r="764" spans="1:13" x14ac:dyDescent="0.25">
      <c r="A764" s="2" t="str">
        <f ca="1">IFERROR(__xludf.DUMMYFUNCTION("""COMPUTED_VALUE"""),"8173df5d")</f>
        <v>8173df5d</v>
      </c>
      <c r="B764" s="2"/>
      <c r="C764" s="5">
        <f ca="1">IFERROR(__xludf.DUMMYFUNCTION("""COMPUTED_VALUE"""),45786.7056134259)</f>
        <v>45786.705613425896</v>
      </c>
      <c r="D764" s="2">
        <f ca="1">IFERROR(__xludf.DUMMYFUNCTION("""COMPUTED_VALUE"""),72)</f>
        <v>72</v>
      </c>
      <c r="E764" s="2">
        <f ca="1">IFERROR(__xludf.DUMMYFUNCTION("""COMPUTED_VALUE"""),13000)</f>
        <v>13000</v>
      </c>
      <c r="F764" s="2" t="str">
        <f ca="1">IFERROR(__xludf.DUMMYFUNCTION("""COMPUTED_VALUE"""),"Malbec")</f>
        <v>Malbec</v>
      </c>
      <c r="G764" s="2">
        <f ca="1">IFERROR(__xludf.DUMMYFUNCTION("""COMPUTED_VALUE"""),12000)</f>
        <v>12000</v>
      </c>
      <c r="H764" s="2">
        <f ca="1">IFERROR(__xludf.DUMMYFUNCTION("""COMPUTED_VALUE"""),13000)</f>
        <v>13000</v>
      </c>
      <c r="I764" s="2"/>
      <c r="J764" s="2"/>
      <c r="K764" s="2" t="str">
        <f ca="1">IFERROR(__xludf.DUMMYFUNCTION("""COMPUTED_VALUE"""),"1er Trasiego")</f>
        <v>1er Trasiego</v>
      </c>
      <c r="L764" s="2"/>
      <c r="M764" s="2"/>
    </row>
    <row r="765" spans="1:13" x14ac:dyDescent="0.25">
      <c r="A765" s="2" t="str">
        <f ca="1">IFERROR(__xludf.DUMMYFUNCTION("""COMPUTED_VALUE"""),"7488f497")</f>
        <v>7488f497</v>
      </c>
      <c r="B765" s="2"/>
      <c r="C765" s="5">
        <f ca="1">IFERROR(__xludf.DUMMYFUNCTION("""COMPUTED_VALUE"""),45786.8052662037)</f>
        <v>45786.805266203701</v>
      </c>
      <c r="D765" s="2">
        <f ca="1">IFERROR(__xludf.DUMMYFUNCTION("""COMPUTED_VALUE"""),50)</f>
        <v>50</v>
      </c>
      <c r="E765" s="2">
        <f ca="1">IFERROR(__xludf.DUMMYFUNCTION("""COMPUTED_VALUE"""),5100)</f>
        <v>5100</v>
      </c>
      <c r="F765" s="2" t="str">
        <f ca="1">IFERROR(__xludf.DUMMYFUNCTION("""COMPUTED_VALUE"""),"Malbec Carricondo Venta")</f>
        <v>Malbec Carricondo Venta</v>
      </c>
      <c r="G765" s="2">
        <f ca="1">IFERROR(__xludf.DUMMYFUNCTION("""COMPUTED_VALUE"""),4000)</f>
        <v>4000</v>
      </c>
      <c r="H765" s="2">
        <f ca="1">IFERROR(__xludf.DUMMYFUNCTION("""COMPUTED_VALUE"""),5100)</f>
        <v>5100</v>
      </c>
      <c r="I765" s="2"/>
      <c r="J765" s="2"/>
      <c r="K765" s="2" t="str">
        <f ca="1">IFERROR(__xludf.DUMMYFUNCTION("""COMPUTED_VALUE"""),"Traslado Venta")</f>
        <v>Traslado Venta</v>
      </c>
      <c r="L765" s="2"/>
      <c r="M765" s="2"/>
    </row>
    <row r="766" spans="1:13" x14ac:dyDescent="0.25">
      <c r="A766" s="2" t="str">
        <f ca="1">IFERROR(__xludf.DUMMYFUNCTION("""COMPUTED_VALUE"""),"8deed384")</f>
        <v>8deed384</v>
      </c>
      <c r="B766" s="2"/>
      <c r="C766" s="5">
        <f ca="1">IFERROR(__xludf.DUMMYFUNCTION("""COMPUTED_VALUE"""),45786.8082754629)</f>
        <v>45786.808275462899</v>
      </c>
      <c r="D766" s="2">
        <f ca="1">IFERROR(__xludf.DUMMYFUNCTION("""COMPUTED_VALUE"""),71)</f>
        <v>71</v>
      </c>
      <c r="E766" s="2">
        <f ca="1">IFERROR(__xludf.DUMMYFUNCTION("""COMPUTED_VALUE"""),13000)</f>
        <v>13000</v>
      </c>
      <c r="F766" s="2" t="str">
        <f ca="1">IFERROR(__xludf.DUMMYFUNCTION("""COMPUTED_VALUE"""),"Tinto (Chardonnay)")</f>
        <v>Tinto (Chardonnay)</v>
      </c>
      <c r="G766" s="2">
        <f ca="1">IFERROR(__xludf.DUMMYFUNCTION("""COMPUTED_VALUE"""),11400)</f>
        <v>11400</v>
      </c>
      <c r="H766" s="2">
        <f ca="1">IFERROR(__xludf.DUMMYFUNCTION("""COMPUTED_VALUE"""),13000)</f>
        <v>13000</v>
      </c>
      <c r="I766" s="2"/>
      <c r="J766" s="2"/>
      <c r="K766" s="2" t="str">
        <f ca="1">IFERROR(__xludf.DUMMYFUNCTION("""COMPUTED_VALUE"""),"1er Trasiego")</f>
        <v>1er Trasiego</v>
      </c>
      <c r="L766" s="2"/>
      <c r="M766" s="2"/>
    </row>
    <row r="767" spans="1:13" x14ac:dyDescent="0.25">
      <c r="A767" s="2" t="str">
        <f ca="1">IFERROR(__xludf.DUMMYFUNCTION("""COMPUTED_VALUE"""),"9c9a8832")</f>
        <v>9c9a8832</v>
      </c>
      <c r="B767" s="2"/>
      <c r="C767" s="5">
        <f ca="1">IFERROR(__xludf.DUMMYFUNCTION("""COMPUTED_VALUE"""),45786.8087731481)</f>
        <v>45786.808773148099</v>
      </c>
      <c r="D767" s="2">
        <f ca="1">IFERROR(__xludf.DUMMYFUNCTION("""COMPUTED_VALUE"""),126)</f>
        <v>126</v>
      </c>
      <c r="E767" s="2">
        <f ca="1">IFERROR(__xludf.DUMMYFUNCTION("""COMPUTED_VALUE"""),31000)</f>
        <v>31000</v>
      </c>
      <c r="F767" s="2" t="str">
        <f ca="1">IFERROR(__xludf.DUMMYFUNCTION("""COMPUTED_VALUE"""),"Tinto G")</f>
        <v>Tinto G</v>
      </c>
      <c r="G767" s="2">
        <f ca="1">IFERROR(__xludf.DUMMYFUNCTION("""COMPUTED_VALUE"""),29000)</f>
        <v>29000</v>
      </c>
      <c r="H767" s="2">
        <f ca="1">IFERROR(__xludf.DUMMYFUNCTION("""COMPUTED_VALUE"""),31000)</f>
        <v>31000</v>
      </c>
      <c r="I767" s="2" t="str">
        <f ca="1">IFERROR(__xludf.DUMMYFUNCTION("""COMPUTED_VALUE"""),"14/5
menos fruta. correcto.")</f>
        <v>14/5
menos fruta. correcto.</v>
      </c>
      <c r="J767" s="2"/>
      <c r="K767" s="2" t="str">
        <f ca="1">IFERROR(__xludf.DUMMYFUNCTION("""COMPUTED_VALUE"""),"1er Trasiego")</f>
        <v>1er Trasiego</v>
      </c>
      <c r="L767" s="2" t="str">
        <f ca="1">IFERROR(__xludf.DUMMYFUNCTION("""COMPUTED_VALUE"""),"2+")</f>
        <v>2+</v>
      </c>
      <c r="M767" s="2"/>
    </row>
    <row r="768" spans="1:13" x14ac:dyDescent="0.25">
      <c r="A768" s="2" t="str">
        <f ca="1">IFERROR(__xludf.DUMMYFUNCTION("""COMPUTED_VALUE"""),"500a69fc")</f>
        <v>500a69fc</v>
      </c>
      <c r="B768" s="2"/>
      <c r="C768" s="5">
        <f ca="1">IFERROR(__xludf.DUMMYFUNCTION("""COMPUTED_VALUE"""),45789.4147685185)</f>
        <v>45789.414768518502</v>
      </c>
      <c r="D768" s="2">
        <f ca="1">IFERROR(__xludf.DUMMYFUNCTION("""COMPUTED_VALUE"""),500)</f>
        <v>500</v>
      </c>
      <c r="E768" s="2">
        <f ca="1">IFERROR(__xludf.DUMMYFUNCTION("""COMPUTED_VALUE"""),200000)</f>
        <v>200000</v>
      </c>
      <c r="F768" s="2" t="str">
        <f ca="1">IFERROR(__xludf.DUMMYFUNCTION("""COMPUTED_VALUE"""),"Ajuste Arqueo 10/05/25")</f>
        <v>Ajuste Arqueo 10/05/25</v>
      </c>
      <c r="G768" s="2"/>
      <c r="H768" s="2">
        <f ca="1">IFERROR(__xludf.DUMMYFUNCTION("""COMPUTED_VALUE"""),1)</f>
        <v>1</v>
      </c>
      <c r="I768" s="2"/>
      <c r="J768" s="2"/>
      <c r="K768" s="2"/>
      <c r="L768" s="2"/>
      <c r="M768" s="2"/>
    </row>
    <row r="769" spans="1:13" x14ac:dyDescent="0.25">
      <c r="A769" s="2" t="str">
        <f ca="1">IFERROR(__xludf.DUMMYFUNCTION("""COMPUTED_VALUE"""),"61f14f41")</f>
        <v>61f14f41</v>
      </c>
      <c r="B769" s="2"/>
      <c r="C769" s="5">
        <f ca="1">IFERROR(__xludf.DUMMYFUNCTION("""COMPUTED_VALUE"""),45789.4155208333)</f>
        <v>45789.415520833303</v>
      </c>
      <c r="D769" s="2">
        <f ca="1">IFERROR(__xludf.DUMMYFUNCTION("""COMPUTED_VALUE"""),12)</f>
        <v>12</v>
      </c>
      <c r="E769" s="2">
        <f ca="1">IFERROR(__xludf.DUMMYFUNCTION("""COMPUTED_VALUE"""),35300)</f>
        <v>35300</v>
      </c>
      <c r="F769" s="2" t="str">
        <f ca="1">IFERROR(__xludf.DUMMYFUNCTION("""COMPUTED_VALUE"""),"Claro de Filtro")</f>
        <v>Claro de Filtro</v>
      </c>
      <c r="G769" s="2">
        <f ca="1">IFERROR(__xludf.DUMMYFUNCTION("""COMPUTED_VALUE"""),17000)</f>
        <v>17000</v>
      </c>
      <c r="H769" s="2">
        <f ca="1">IFERROR(__xludf.DUMMYFUNCTION("""COMPUTED_VALUE"""),18000)</f>
        <v>18000</v>
      </c>
      <c r="I769" s="2" t="str">
        <f ca="1">IFERROR(__xludf.DUMMYFUNCTION("""COMPUTED_VALUE"""),"14/5
mas rica que la 11")</f>
        <v>14/5
mas rica que la 11</v>
      </c>
      <c r="J769" s="2"/>
      <c r="K769" s="2" t="str">
        <f ca="1">IFERROR(__xludf.DUMMYFUNCTION("""COMPUTED_VALUE"""),"Descubada")</f>
        <v>Descubada</v>
      </c>
      <c r="L769" s="2" t="str">
        <f ca="1">IFERROR(__xludf.DUMMYFUNCTION("""COMPUTED_VALUE"""),"1-")</f>
        <v>1-</v>
      </c>
      <c r="M769" s="2"/>
    </row>
    <row r="770" spans="1:13" x14ac:dyDescent="0.25">
      <c r="A770" s="2" t="str">
        <f ca="1">IFERROR(__xludf.DUMMYFUNCTION("""COMPUTED_VALUE"""),"eaad107d")</f>
        <v>eaad107d</v>
      </c>
      <c r="B770" s="2"/>
      <c r="C770" s="5">
        <f ca="1">IFERROR(__xludf.DUMMYFUNCTION("""COMPUTED_VALUE"""),45789.4161342591)</f>
        <v>45789.416134259198</v>
      </c>
      <c r="D770" s="2">
        <f ca="1">IFERROR(__xludf.DUMMYFUNCTION("""COMPUTED_VALUE"""),500)</f>
        <v>500</v>
      </c>
      <c r="E770" s="2">
        <f ca="1">IFERROR(__xludf.DUMMYFUNCTION("""COMPUTED_VALUE"""),200000)</f>
        <v>200000</v>
      </c>
      <c r="F770" s="2" t="str">
        <f ca="1">IFERROR(__xludf.DUMMYFUNCTION("""COMPUTED_VALUE"""),"Ajuste Arqueo 10/05/25")</f>
        <v>Ajuste Arqueo 10/05/25</v>
      </c>
      <c r="G770" s="2">
        <f ca="1">IFERROR(__xludf.DUMMYFUNCTION("""COMPUTED_VALUE"""),1)</f>
        <v>1</v>
      </c>
      <c r="H770" s="2">
        <f ca="1">IFERROR(__xludf.DUMMYFUNCTION("""COMPUTED_VALUE"""),-4999)</f>
        <v>-4999</v>
      </c>
      <c r="I770" s="2"/>
      <c r="J770" s="2"/>
      <c r="K770" s="2"/>
      <c r="L770" s="2"/>
      <c r="M770" s="2"/>
    </row>
    <row r="771" spans="1:13" x14ac:dyDescent="0.25">
      <c r="A771" s="2" t="str">
        <f ca="1">IFERROR(__xludf.DUMMYFUNCTION("""COMPUTED_VALUE"""),"26f754e9")</f>
        <v>26f754e9</v>
      </c>
      <c r="B771" s="2"/>
      <c r="C771" s="5">
        <f ca="1">IFERROR(__xludf.DUMMYFUNCTION("""COMPUTED_VALUE"""),45789.4165972222)</f>
        <v>45789.416597222204</v>
      </c>
      <c r="D771" s="2">
        <f ca="1">IFERROR(__xludf.DUMMYFUNCTION("""COMPUTED_VALUE"""),500)</f>
        <v>500</v>
      </c>
      <c r="E771" s="2">
        <f ca="1">IFERROR(__xludf.DUMMYFUNCTION("""COMPUTED_VALUE"""),200000)</f>
        <v>200000</v>
      </c>
      <c r="F771" s="2" t="str">
        <f ca="1">IFERROR(__xludf.DUMMYFUNCTION("""COMPUTED_VALUE"""),"Ajuste Arqueo 10/05/25")</f>
        <v>Ajuste Arqueo 10/05/25</v>
      </c>
      <c r="G771" s="2">
        <f ca="1">IFERROR(__xludf.DUMMYFUNCTION("""COMPUTED_VALUE"""),-4999)</f>
        <v>-4999</v>
      </c>
      <c r="H771" s="2">
        <f ca="1">IFERROR(__xludf.DUMMYFUNCTION("""COMPUTED_VALUE"""),-8385)</f>
        <v>-8385</v>
      </c>
      <c r="I771" s="2"/>
      <c r="J771" s="2"/>
      <c r="K771" s="2"/>
      <c r="L771" s="2"/>
      <c r="M771" s="2"/>
    </row>
    <row r="772" spans="1:13" x14ac:dyDescent="0.25">
      <c r="A772" s="2" t="str">
        <f ca="1">IFERROR(__xludf.DUMMYFUNCTION("""COMPUTED_VALUE"""),"271c9c71")</f>
        <v>271c9c71</v>
      </c>
      <c r="B772" s="2"/>
      <c r="C772" s="5">
        <f ca="1">IFERROR(__xludf.DUMMYFUNCTION("""COMPUTED_VALUE"""),45789.4167708333)</f>
        <v>45789.416770833297</v>
      </c>
      <c r="D772" s="2">
        <f ca="1">IFERROR(__xludf.DUMMYFUNCTION("""COMPUTED_VALUE"""),69)</f>
        <v>69</v>
      </c>
      <c r="E772" s="2">
        <f ca="1">IFERROR(__xludf.DUMMYFUNCTION("""COMPUTED_VALUE"""),13000)</f>
        <v>13000</v>
      </c>
      <c r="F772" s="2" t="str">
        <f ca="1">IFERROR(__xludf.DUMMYFUNCTION("""COMPUTED_VALUE"""),"Borra")</f>
        <v>Borra</v>
      </c>
      <c r="G772" s="2"/>
      <c r="H772" s="2">
        <f ca="1">IFERROR(__xludf.DUMMYFUNCTION("""COMPUTED_VALUE"""),0)</f>
        <v>0</v>
      </c>
      <c r="I772" s="2"/>
      <c r="J772" s="2"/>
      <c r="K772" s="2" t="str">
        <f ca="1">IFERROR(__xludf.DUMMYFUNCTION("""COMPUTED_VALUE"""),"Descubada")</f>
        <v>Descubada</v>
      </c>
      <c r="L772" s="2"/>
      <c r="M772" s="2" t="str">
        <f ca="1">IFERROR(__xludf.DUMMYFUNCTION("""COMPUTED_VALUE"""),"Tinto")</f>
        <v>Tinto</v>
      </c>
    </row>
    <row r="773" spans="1:13" x14ac:dyDescent="0.25">
      <c r="A773" s="2" t="str">
        <f ca="1">IFERROR(__xludf.DUMMYFUNCTION("""COMPUTED_VALUE"""),"1d9b14f9")</f>
        <v>1d9b14f9</v>
      </c>
      <c r="B773" s="2"/>
      <c r="C773" s="5">
        <f ca="1">IFERROR(__xludf.DUMMYFUNCTION("""COMPUTED_VALUE"""),45789.4172106481)</f>
        <v>45789.417210648098</v>
      </c>
      <c r="D773" s="2">
        <f ca="1">IFERROR(__xludf.DUMMYFUNCTION("""COMPUTED_VALUE"""),500)</f>
        <v>500</v>
      </c>
      <c r="E773" s="2">
        <f ca="1">IFERROR(__xludf.DUMMYFUNCTION("""COMPUTED_VALUE"""),200000)</f>
        <v>200000</v>
      </c>
      <c r="F773" s="2" t="str">
        <f ca="1">IFERROR(__xludf.DUMMYFUNCTION("""COMPUTED_VALUE"""),"Ajuste Arqueo 10/05/25")</f>
        <v>Ajuste Arqueo 10/05/25</v>
      </c>
      <c r="G773" s="2">
        <f ca="1">IFERROR(__xludf.DUMMYFUNCTION("""COMPUTED_VALUE"""),-8385)</f>
        <v>-8385</v>
      </c>
      <c r="H773" s="2">
        <f ca="1">IFERROR(__xludf.DUMMYFUNCTION("""COMPUTED_VALUE"""),-21385)</f>
        <v>-21385</v>
      </c>
      <c r="I773" s="2"/>
      <c r="J773" s="2"/>
      <c r="K773" s="2"/>
      <c r="L773" s="2"/>
      <c r="M773" s="2"/>
    </row>
    <row r="774" spans="1:13" x14ac:dyDescent="0.25">
      <c r="A774" s="2" t="str">
        <f ca="1">IFERROR(__xludf.DUMMYFUNCTION("""COMPUTED_VALUE"""),"cce48a18")</f>
        <v>cce48a18</v>
      </c>
      <c r="B774" s="2"/>
      <c r="C774" s="5">
        <f ca="1">IFERROR(__xludf.DUMMYFUNCTION("""COMPUTED_VALUE"""),45789.4176851851)</f>
        <v>45789.417685185101</v>
      </c>
      <c r="D774" s="2">
        <f ca="1">IFERROR(__xludf.DUMMYFUNCTION("""COMPUTED_VALUE"""),500)</f>
        <v>500</v>
      </c>
      <c r="E774" s="2">
        <f ca="1">IFERROR(__xludf.DUMMYFUNCTION("""COMPUTED_VALUE"""),200000)</f>
        <v>200000</v>
      </c>
      <c r="F774" s="2" t="str">
        <f ca="1">IFERROR(__xludf.DUMMYFUNCTION("""COMPUTED_VALUE"""),"Ajuste Arqueo 10/05/25")</f>
        <v>Ajuste Arqueo 10/05/25</v>
      </c>
      <c r="G774" s="2">
        <f ca="1">IFERROR(__xludf.DUMMYFUNCTION("""COMPUTED_VALUE"""),-21385)</f>
        <v>-21385</v>
      </c>
      <c r="H774" s="2">
        <f ca="1">IFERROR(__xludf.DUMMYFUNCTION("""COMPUTED_VALUE"""),-20785)</f>
        <v>-20785</v>
      </c>
      <c r="I774" s="2"/>
      <c r="J774" s="2"/>
      <c r="K774" s="2"/>
      <c r="L774" s="2"/>
      <c r="M774" s="2"/>
    </row>
    <row r="775" spans="1:13" x14ac:dyDescent="0.25">
      <c r="A775" s="2" t="str">
        <f ca="1">IFERROR(__xludf.DUMMYFUNCTION("""COMPUTED_VALUE"""),"b043a39f")</f>
        <v>b043a39f</v>
      </c>
      <c r="B775" s="2"/>
      <c r="C775" s="5">
        <f ca="1">IFERROR(__xludf.DUMMYFUNCTION("""COMPUTED_VALUE"""),45789.4190277777)</f>
        <v>45789.419027777702</v>
      </c>
      <c r="D775" s="2">
        <f ca="1">IFERROR(__xludf.DUMMYFUNCTION("""COMPUTED_VALUE"""),500)</f>
        <v>500</v>
      </c>
      <c r="E775" s="2">
        <f ca="1">IFERROR(__xludf.DUMMYFUNCTION("""COMPUTED_VALUE"""),200000)</f>
        <v>200000</v>
      </c>
      <c r="F775" s="2" t="str">
        <f ca="1">IFERROR(__xludf.DUMMYFUNCTION("""COMPUTED_VALUE"""),"Ajuste Arqueo 10/05/25")</f>
        <v>Ajuste Arqueo 10/05/25</v>
      </c>
      <c r="G775" s="2">
        <f ca="1">IFERROR(__xludf.DUMMYFUNCTION("""COMPUTED_VALUE"""),-20785)</f>
        <v>-20785</v>
      </c>
      <c r="H775" s="2">
        <f ca="1">IFERROR(__xludf.DUMMYFUNCTION("""COMPUTED_VALUE"""),-12990)</f>
        <v>-12990</v>
      </c>
      <c r="I775" s="2"/>
      <c r="J775" s="2"/>
      <c r="K775" s="2"/>
      <c r="L775" s="2"/>
      <c r="M775" s="2"/>
    </row>
    <row r="776" spans="1:13" x14ac:dyDescent="0.25">
      <c r="A776" s="2" t="str">
        <f ca="1">IFERROR(__xludf.DUMMYFUNCTION("""COMPUTED_VALUE"""),"b1bcdf75")</f>
        <v>b1bcdf75</v>
      </c>
      <c r="B776" s="2"/>
      <c r="C776" s="5">
        <f ca="1">IFERROR(__xludf.DUMMYFUNCTION("""COMPUTED_VALUE"""),45789.4193634259)</f>
        <v>45789.419363425899</v>
      </c>
      <c r="D776" s="2">
        <f ca="1">IFERROR(__xludf.DUMMYFUNCTION("""COMPUTED_VALUE"""),500)</f>
        <v>500</v>
      </c>
      <c r="E776" s="2">
        <f ca="1">IFERROR(__xludf.DUMMYFUNCTION("""COMPUTED_VALUE"""),200000)</f>
        <v>200000</v>
      </c>
      <c r="F776" s="2" t="str">
        <f ca="1">IFERROR(__xludf.DUMMYFUNCTION("""COMPUTED_VALUE"""),"Ajuste Arqueo 10/05/25")</f>
        <v>Ajuste Arqueo 10/05/25</v>
      </c>
      <c r="G776" s="2">
        <f ca="1">IFERROR(__xludf.DUMMYFUNCTION("""COMPUTED_VALUE"""),-12990)</f>
        <v>-12990</v>
      </c>
      <c r="H776" s="2">
        <f ca="1">IFERROR(__xludf.DUMMYFUNCTION("""COMPUTED_VALUE"""),-12190)</f>
        <v>-12190</v>
      </c>
      <c r="I776" s="2"/>
      <c r="J776" s="2"/>
      <c r="K776" s="2"/>
      <c r="L776" s="2"/>
      <c r="M776" s="2"/>
    </row>
    <row r="777" spans="1:13" x14ac:dyDescent="0.25">
      <c r="A777" s="2" t="str">
        <f ca="1">IFERROR(__xludf.DUMMYFUNCTION("""COMPUTED_VALUE"""),"12de67aa")</f>
        <v>12de67aa</v>
      </c>
      <c r="B777" s="2"/>
      <c r="C777" s="5">
        <f ca="1">IFERROR(__xludf.DUMMYFUNCTION("""COMPUTED_VALUE"""),45789.4197453703)</f>
        <v>45789.419745370302</v>
      </c>
      <c r="D777" s="2">
        <f ca="1">IFERROR(__xludf.DUMMYFUNCTION("""COMPUTED_VALUE"""),500)</f>
        <v>500</v>
      </c>
      <c r="E777" s="2">
        <f ca="1">IFERROR(__xludf.DUMMYFUNCTION("""COMPUTED_VALUE"""),200000)</f>
        <v>200000</v>
      </c>
      <c r="F777" s="2" t="str">
        <f ca="1">IFERROR(__xludf.DUMMYFUNCTION("""COMPUTED_VALUE"""),"Ajuste Arqueo 10/05/25")</f>
        <v>Ajuste Arqueo 10/05/25</v>
      </c>
      <c r="G777" s="2">
        <f ca="1">IFERROR(__xludf.DUMMYFUNCTION("""COMPUTED_VALUE"""),-12190)</f>
        <v>-12190</v>
      </c>
      <c r="H777" s="2">
        <f ca="1">IFERROR(__xludf.DUMMYFUNCTION("""COMPUTED_VALUE"""),-8690)</f>
        <v>-8690</v>
      </c>
      <c r="I777" s="2"/>
      <c r="J777" s="2"/>
      <c r="K777" s="2" t="str">
        <f ca="1">IFERROR(__xludf.DUMMYFUNCTION("""COMPUTED_VALUE"""),"Terminado")</f>
        <v>Terminado</v>
      </c>
      <c r="L777" s="2"/>
      <c r="M777" s="2"/>
    </row>
    <row r="778" spans="1:13" x14ac:dyDescent="0.25">
      <c r="A778" s="2" t="str">
        <f ca="1">IFERROR(__xludf.DUMMYFUNCTION("""COMPUTED_VALUE"""),"315f9ff5")</f>
        <v>315f9ff5</v>
      </c>
      <c r="B778" s="2"/>
      <c r="C778" s="5">
        <f ca="1">IFERROR(__xludf.DUMMYFUNCTION("""COMPUTED_VALUE"""),45789.4356712963)</f>
        <v>45789.435671296298</v>
      </c>
      <c r="D778" s="2">
        <f ca="1">IFERROR(__xludf.DUMMYFUNCTION("""COMPUTED_VALUE"""),118)</f>
        <v>118</v>
      </c>
      <c r="E778" s="2">
        <f ca="1">IFERROR(__xludf.DUMMYFUNCTION("""COMPUTED_VALUE"""),155600)</f>
        <v>155600</v>
      </c>
      <c r="F778" s="2" t="str">
        <f ca="1">IFERROR(__xludf.DUMMYFUNCTION("""COMPUTED_VALUE"""),"Tinto s/Bonarda 2da")</f>
        <v>Tinto s/Bonarda 2da</v>
      </c>
      <c r="G778" s="2">
        <f ca="1">IFERROR(__xludf.DUMMYFUNCTION("""COMPUTED_VALUE"""),0)</f>
        <v>0</v>
      </c>
      <c r="H778" s="2">
        <f ca="1">IFERROR(__xludf.DUMMYFUNCTION("""COMPUTED_VALUE"""),75000)</f>
        <v>75000</v>
      </c>
      <c r="I778" s="2"/>
      <c r="J778" s="2"/>
      <c r="K778" s="2" t="str">
        <f ca="1">IFERROR(__xludf.DUMMYFUNCTION("""COMPUTED_VALUE"""),"1er Trasiego")</f>
        <v>1er Trasiego</v>
      </c>
      <c r="L778" s="2"/>
      <c r="M778" s="2"/>
    </row>
    <row r="779" spans="1:13" x14ac:dyDescent="0.25">
      <c r="A779" s="2" t="str">
        <f ca="1">IFERROR(__xludf.DUMMYFUNCTION("""COMPUTED_VALUE"""),"b8a3716d")</f>
        <v>b8a3716d</v>
      </c>
      <c r="B779" s="2"/>
      <c r="C779" s="5">
        <f ca="1">IFERROR(__xludf.DUMMYFUNCTION("""COMPUTED_VALUE"""),45789.4361226851)</f>
        <v>45789.436122685103</v>
      </c>
      <c r="D779" s="2">
        <f ca="1">IFERROR(__xludf.DUMMYFUNCTION("""COMPUTED_VALUE"""),118)</f>
        <v>118</v>
      </c>
      <c r="E779" s="2">
        <f ca="1">IFERROR(__xludf.DUMMYFUNCTION("""COMPUTED_VALUE"""),155600)</f>
        <v>155600</v>
      </c>
      <c r="F779" s="2" t="str">
        <f ca="1">IFERROR(__xludf.DUMMYFUNCTION("""COMPUTED_VALUE"""),"Tinto")</f>
        <v>Tinto</v>
      </c>
      <c r="G779" s="2">
        <f ca="1">IFERROR(__xludf.DUMMYFUNCTION("""COMPUTED_VALUE"""),75000)</f>
        <v>75000</v>
      </c>
      <c r="H779" s="2">
        <f ca="1">IFERROR(__xludf.DUMMYFUNCTION("""COMPUTED_VALUE"""),155600)</f>
        <v>155600</v>
      </c>
      <c r="I779" s="2"/>
      <c r="J779" s="2"/>
      <c r="K779" s="2" t="str">
        <f ca="1">IFERROR(__xludf.DUMMYFUNCTION("""COMPUTED_VALUE"""),"1er Trasiego")</f>
        <v>1er Trasiego</v>
      </c>
      <c r="L779" s="2"/>
      <c r="M779" s="2"/>
    </row>
    <row r="780" spans="1:13" x14ac:dyDescent="0.25">
      <c r="A780" s="2" t="str">
        <f ca="1">IFERROR(__xludf.DUMMYFUNCTION("""COMPUTED_VALUE"""),"8871c0cd")</f>
        <v>8871c0cd</v>
      </c>
      <c r="B780" s="2"/>
      <c r="C780" s="5">
        <f ca="1">IFERROR(__xludf.DUMMYFUNCTION("""COMPUTED_VALUE"""),45790.4317592591)</f>
        <v>45790.431759259198</v>
      </c>
      <c r="D780" s="2">
        <f ca="1">IFERROR(__xludf.DUMMYFUNCTION("""COMPUTED_VALUE"""),115)</f>
        <v>115</v>
      </c>
      <c r="E780" s="2">
        <f ca="1">IFERROR(__xludf.DUMMYFUNCTION("""COMPUTED_VALUE"""),120200)</f>
        <v>120200</v>
      </c>
      <c r="F780" s="2" t="str">
        <f ca="1">IFERROR(__xludf.DUMMYFUNCTION("""COMPUTED_VALUE"""),"Cabernet Sauvignon")</f>
        <v>Cabernet Sauvignon</v>
      </c>
      <c r="G780" s="2">
        <f ca="1">IFERROR(__xludf.DUMMYFUNCTION("""COMPUTED_VALUE"""),0)</f>
        <v>0</v>
      </c>
      <c r="H780" s="2">
        <f ca="1">IFERROR(__xludf.DUMMYFUNCTION("""COMPUTED_VALUE"""),60000)</f>
        <v>60000</v>
      </c>
      <c r="I780" s="2"/>
      <c r="J780" s="2"/>
      <c r="K780" s="2" t="str">
        <f ca="1">IFERROR(__xludf.DUMMYFUNCTION("""COMPUTED_VALUE"""),"1er Trasiego")</f>
        <v>1er Trasiego</v>
      </c>
      <c r="L780" s="2"/>
      <c r="M780" s="2"/>
    </row>
    <row r="781" spans="1:13" x14ac:dyDescent="0.25">
      <c r="A781" s="2" t="str">
        <f ca="1">IFERROR(__xludf.DUMMYFUNCTION("""COMPUTED_VALUE"""),"7756a1a1")</f>
        <v>7756a1a1</v>
      </c>
      <c r="B781" s="2"/>
      <c r="C781" s="5">
        <f ca="1">IFERROR(__xludf.DUMMYFUNCTION("""COMPUTED_VALUE"""),45790.4326157407)</f>
        <v>45790.432615740698</v>
      </c>
      <c r="D781" s="2">
        <f ca="1">IFERROR(__xludf.DUMMYFUNCTION("""COMPUTED_VALUE"""),115)</f>
        <v>115</v>
      </c>
      <c r="E781" s="2">
        <f ca="1">IFERROR(__xludf.DUMMYFUNCTION("""COMPUTED_VALUE"""),120200)</f>
        <v>120200</v>
      </c>
      <c r="F781" s="2" t="str">
        <f ca="1">IFERROR(__xludf.DUMMYFUNCTION("""COMPUTED_VALUE"""),"Cabernet Sauvignon")</f>
        <v>Cabernet Sauvignon</v>
      </c>
      <c r="G781" s="2">
        <f ca="1">IFERROR(__xludf.DUMMYFUNCTION("""COMPUTED_VALUE"""),60000)</f>
        <v>60000</v>
      </c>
      <c r="H781" s="2">
        <f ca="1">IFERROR(__xludf.DUMMYFUNCTION("""COMPUTED_VALUE"""),120200)</f>
        <v>120200</v>
      </c>
      <c r="I781" s="2"/>
      <c r="J781" s="2"/>
      <c r="K781" s="2" t="str">
        <f ca="1">IFERROR(__xludf.DUMMYFUNCTION("""COMPUTED_VALUE"""),"1er Trasiego")</f>
        <v>1er Trasiego</v>
      </c>
      <c r="L781" s="2"/>
      <c r="M781" s="2"/>
    </row>
    <row r="782" spans="1:13" x14ac:dyDescent="0.25">
      <c r="A782" s="2" t="str">
        <f ca="1">IFERROR(__xludf.DUMMYFUNCTION("""COMPUTED_VALUE"""),"f2ba5339")</f>
        <v>f2ba5339</v>
      </c>
      <c r="B782" s="2"/>
      <c r="C782" s="5">
        <f ca="1">IFERROR(__xludf.DUMMYFUNCTION("""COMPUTED_VALUE"""),45790.4522222222)</f>
        <v>45790.4522222222</v>
      </c>
      <c r="D782" s="2">
        <f ca="1">IFERROR(__xludf.DUMMYFUNCTION("""COMPUTED_VALUE"""),80)</f>
        <v>80</v>
      </c>
      <c r="E782" s="2">
        <f ca="1">IFERROR(__xludf.DUMMYFUNCTION("""COMPUTED_VALUE"""),26100)</f>
        <v>26100</v>
      </c>
      <c r="F782" s="2" t="str">
        <f ca="1">IFERROR(__xludf.DUMMYFUNCTION("""COMPUTED_VALUE"""),"Borra")</f>
        <v>Borra</v>
      </c>
      <c r="G782" s="2">
        <f ca="1">IFERROR(__xludf.DUMMYFUNCTION("""COMPUTED_VALUE"""),0)</f>
        <v>0</v>
      </c>
      <c r="H782" s="2">
        <f ca="1">IFERROR(__xludf.DUMMYFUNCTION("""COMPUTED_VALUE"""),4400)</f>
        <v>4400</v>
      </c>
      <c r="I782" s="2"/>
      <c r="J782" s="2"/>
      <c r="K782" s="2" t="str">
        <f ca="1">IFERROR(__xludf.DUMMYFUNCTION("""COMPUTED_VALUE"""),"1er Trasiego")</f>
        <v>1er Trasiego</v>
      </c>
      <c r="L782" s="2"/>
      <c r="M782" s="2"/>
    </row>
    <row r="783" spans="1:13" x14ac:dyDescent="0.25">
      <c r="A783" s="2" t="str">
        <f ca="1">IFERROR(__xludf.DUMMYFUNCTION("""COMPUTED_VALUE"""),"01383aba")</f>
        <v>01383aba</v>
      </c>
      <c r="B783" s="2"/>
      <c r="C783" s="5">
        <f ca="1">IFERROR(__xludf.DUMMYFUNCTION("""COMPUTED_VALUE"""),45790.7398842592)</f>
        <v>45790.739884259201</v>
      </c>
      <c r="D783" s="2">
        <f ca="1">IFERROR(__xludf.DUMMYFUNCTION("""COMPUTED_VALUE"""),6)</f>
        <v>6</v>
      </c>
      <c r="E783" s="2">
        <f ca="1">IFERROR(__xludf.DUMMYFUNCTION("""COMPUTED_VALUE"""),32000)</f>
        <v>32000</v>
      </c>
      <c r="F783" s="2" t="str">
        <f ca="1">IFERROR(__xludf.DUMMYFUNCTION("""COMPUTED_VALUE"""),"Malbec Rectifciado")</f>
        <v>Malbec Rectifciado</v>
      </c>
      <c r="G783" s="2">
        <f ca="1">IFERROR(__xludf.DUMMYFUNCTION("""COMPUTED_VALUE"""),0)</f>
        <v>0</v>
      </c>
      <c r="H783" s="2">
        <f ca="1">IFERROR(__xludf.DUMMYFUNCTION("""COMPUTED_VALUE"""),10000)</f>
        <v>10000</v>
      </c>
      <c r="I783" s="2"/>
      <c r="J783" s="2"/>
      <c r="K783" s="2" t="str">
        <f ca="1">IFERROR(__xludf.DUMMYFUNCTION("""COMPUTED_VALUE"""),"Rectificado")</f>
        <v>Rectificado</v>
      </c>
      <c r="L783" s="2"/>
      <c r="M783" s="2"/>
    </row>
    <row r="784" spans="1:13" x14ac:dyDescent="0.25">
      <c r="A784" s="2" t="str">
        <f ca="1">IFERROR(__xludf.DUMMYFUNCTION("""COMPUTED_VALUE"""),"e224205d")</f>
        <v>e224205d</v>
      </c>
      <c r="B784" s="2"/>
      <c r="C784" s="5">
        <f ca="1">IFERROR(__xludf.DUMMYFUNCTION("""COMPUTED_VALUE"""),45790.7408217592)</f>
        <v>45790.740821759202</v>
      </c>
      <c r="D784" s="2">
        <f ca="1">IFERROR(__xludf.DUMMYFUNCTION("""COMPUTED_VALUE"""),67)</f>
        <v>67</v>
      </c>
      <c r="E784" s="2">
        <f ca="1">IFERROR(__xludf.DUMMYFUNCTION("""COMPUTED_VALUE"""),23000)</f>
        <v>23000</v>
      </c>
      <c r="F784" s="2" t="str">
        <f ca="1">IFERROR(__xludf.DUMMYFUNCTION("""COMPUTED_VALUE"""),"Syrah")</f>
        <v>Syrah</v>
      </c>
      <c r="G784" s="2">
        <f ca="1">IFERROR(__xludf.DUMMYFUNCTION("""COMPUTED_VALUE"""),0)</f>
        <v>0</v>
      </c>
      <c r="H784" s="2">
        <f ca="1">IFERROR(__xludf.DUMMYFUNCTION("""COMPUTED_VALUE"""),22000)</f>
        <v>22000</v>
      </c>
      <c r="I784" s="2"/>
      <c r="J784" s="2"/>
      <c r="K784" s="2" t="str">
        <f ca="1">IFERROR(__xludf.DUMMYFUNCTION("""COMPUTED_VALUE"""),"1er Trasiego")</f>
        <v>1er Trasiego</v>
      </c>
      <c r="L784" s="2"/>
      <c r="M784" s="2"/>
    </row>
    <row r="785" spans="1:13" x14ac:dyDescent="0.25">
      <c r="A785" s="2" t="str">
        <f ca="1">IFERROR(__xludf.DUMMYFUNCTION("""COMPUTED_VALUE"""),"84ce039f")</f>
        <v>84ce039f</v>
      </c>
      <c r="B785" s="2"/>
      <c r="C785" s="5">
        <f ca="1">IFERROR(__xludf.DUMMYFUNCTION("""COMPUTED_VALUE"""),45790.7419212963)</f>
        <v>45790.7419212963</v>
      </c>
      <c r="D785" s="2"/>
      <c r="E785" s="2"/>
      <c r="F785" s="2" t="str">
        <f ca="1">IFERROR(__xludf.DUMMYFUNCTION("""COMPUTED_VALUE"""),"Syrah")</f>
        <v>Syrah</v>
      </c>
      <c r="G785" s="2"/>
      <c r="H785" s="2">
        <f ca="1">IFERROR(__xludf.DUMMYFUNCTION("""COMPUTED_VALUE"""),20000)</f>
        <v>20000</v>
      </c>
      <c r="I785" s="2"/>
      <c r="J785" s="2"/>
      <c r="K785" s="2" t="str">
        <f ca="1">IFERROR(__xludf.DUMMYFUNCTION("""COMPUTED_VALUE"""),"1er Trasiego")</f>
        <v>1er Trasiego</v>
      </c>
      <c r="L785" s="2"/>
      <c r="M785" s="2"/>
    </row>
    <row r="786" spans="1:13" x14ac:dyDescent="0.25">
      <c r="A786" s="2" t="str">
        <f ca="1">IFERROR(__xludf.DUMMYFUNCTION("""COMPUTED_VALUE"""),"582ad1a3")</f>
        <v>582ad1a3</v>
      </c>
      <c r="B786" s="2"/>
      <c r="C786" s="5">
        <f ca="1">IFERROR(__xludf.DUMMYFUNCTION("""COMPUTED_VALUE"""),45790.7420601851)</f>
        <v>45790.742060185097</v>
      </c>
      <c r="D786" s="2">
        <f ca="1">IFERROR(__xludf.DUMMYFUNCTION("""COMPUTED_VALUE"""),80)</f>
        <v>80</v>
      </c>
      <c r="E786" s="2">
        <f ca="1">IFERROR(__xludf.DUMMYFUNCTION("""COMPUTED_VALUE"""),26100)</f>
        <v>26100</v>
      </c>
      <c r="F786" s="2" t="str">
        <f ca="1">IFERROR(__xludf.DUMMYFUNCTION("""COMPUTED_VALUE"""),"Borra")</f>
        <v>Borra</v>
      </c>
      <c r="G786" s="2">
        <f ca="1">IFERROR(__xludf.DUMMYFUNCTION("""COMPUTED_VALUE"""),4400)</f>
        <v>4400</v>
      </c>
      <c r="H786" s="2">
        <f ca="1">IFERROR(__xludf.DUMMYFUNCTION("""COMPUTED_VALUE"""),6400)</f>
        <v>6400</v>
      </c>
      <c r="I786" s="2"/>
      <c r="J786" s="2"/>
      <c r="K786" s="2" t="str">
        <f ca="1">IFERROR(__xludf.DUMMYFUNCTION("""COMPUTED_VALUE"""),"1er Trasiego")</f>
        <v>1er Trasiego</v>
      </c>
      <c r="L786" s="2"/>
      <c r="M786" s="2"/>
    </row>
    <row r="787" spans="1:13" x14ac:dyDescent="0.25">
      <c r="A787" s="2" t="str">
        <f ca="1">IFERROR(__xludf.DUMMYFUNCTION("""COMPUTED_VALUE"""),"93b5ed3d")</f>
        <v>93b5ed3d</v>
      </c>
      <c r="B787" s="2"/>
      <c r="C787" s="5">
        <f ca="1">IFERROR(__xludf.DUMMYFUNCTION("""COMPUTED_VALUE"""),45790.7429976851)</f>
        <v>45790.742997685098</v>
      </c>
      <c r="D787" s="2">
        <f ca="1">IFERROR(__xludf.DUMMYFUNCTION("""COMPUTED_VALUE"""),91)</f>
        <v>91</v>
      </c>
      <c r="E787" s="2">
        <f ca="1">IFERROR(__xludf.DUMMYFUNCTION("""COMPUTED_VALUE"""),86000)</f>
        <v>86000</v>
      </c>
      <c r="F787" s="2" t="str">
        <f ca="1">IFERROR(__xludf.DUMMYFUNCTION("""COMPUTED_VALUE"""),"Tinto")</f>
        <v>Tinto</v>
      </c>
      <c r="G787" s="2">
        <f ca="1">IFERROR(__xludf.DUMMYFUNCTION("""COMPUTED_VALUE"""),0)</f>
        <v>0</v>
      </c>
      <c r="H787" s="2">
        <f ca="1">IFERROR(__xludf.DUMMYFUNCTION("""COMPUTED_VALUE"""),81500)</f>
        <v>81500</v>
      </c>
      <c r="I787" s="2"/>
      <c r="J787" s="2"/>
      <c r="K787" s="2" t="str">
        <f ca="1">IFERROR(__xludf.DUMMYFUNCTION("""COMPUTED_VALUE"""),"1er Trasiego")</f>
        <v>1er Trasiego</v>
      </c>
      <c r="L787" s="2"/>
      <c r="M787" s="2"/>
    </row>
    <row r="788" spans="1:13" x14ac:dyDescent="0.25">
      <c r="A788" s="2" t="str">
        <f ca="1">IFERROR(__xludf.DUMMYFUNCTION("""COMPUTED_VALUE"""),"c1d958fa")</f>
        <v>c1d958fa</v>
      </c>
      <c r="B788" s="2"/>
      <c r="C788" s="5">
        <f ca="1">IFERROR(__xludf.DUMMYFUNCTION("""COMPUTED_VALUE"""),45790.7477199074)</f>
        <v>45790.747719907398</v>
      </c>
      <c r="D788" s="2">
        <f ca="1">IFERROR(__xludf.DUMMYFUNCTION("""COMPUTED_VALUE"""),125)</f>
        <v>125</v>
      </c>
      <c r="E788" s="2">
        <f ca="1">IFERROR(__xludf.DUMMYFUNCTION("""COMPUTED_VALUE"""),31000)</f>
        <v>31000</v>
      </c>
      <c r="F788" s="2" t="str">
        <f ca="1">IFERROR(__xludf.DUMMYFUNCTION("""COMPUTED_VALUE"""),"Cabernet Sauvignon")</f>
        <v>Cabernet Sauvignon</v>
      </c>
      <c r="G788" s="2">
        <f ca="1">IFERROR(__xludf.DUMMYFUNCTION("""COMPUTED_VALUE"""),0)</f>
        <v>0</v>
      </c>
      <c r="H788" s="2">
        <f ca="1">IFERROR(__xludf.DUMMYFUNCTION("""COMPUTED_VALUE"""),23500)</f>
        <v>23500</v>
      </c>
      <c r="I788" s="2"/>
      <c r="J788" s="2"/>
      <c r="K788" s="2" t="str">
        <f ca="1">IFERROR(__xludf.DUMMYFUNCTION("""COMPUTED_VALUE"""),"1er Trasiego")</f>
        <v>1er Trasiego</v>
      </c>
      <c r="L788" s="2"/>
      <c r="M788" s="2"/>
    </row>
    <row r="789" spans="1:13" x14ac:dyDescent="0.25">
      <c r="A789" s="2" t="str">
        <f ca="1">IFERROR(__xludf.DUMMYFUNCTION("""COMPUTED_VALUE"""),"9fbe47cd")</f>
        <v>9fbe47cd</v>
      </c>
      <c r="B789" s="2"/>
      <c r="C789" s="5">
        <f ca="1">IFERROR(__xludf.DUMMYFUNCTION("""COMPUTED_VALUE"""),45790.7486805555)</f>
        <v>45790.748680555502</v>
      </c>
      <c r="D789" s="2">
        <f ca="1">IFERROR(__xludf.DUMMYFUNCTION("""COMPUTED_VALUE"""),125)</f>
        <v>125</v>
      </c>
      <c r="E789" s="2">
        <f ca="1">IFERROR(__xludf.DUMMYFUNCTION("""COMPUTED_VALUE"""),31000)</f>
        <v>31000</v>
      </c>
      <c r="F789" s="2" t="str">
        <f ca="1">IFERROR(__xludf.DUMMYFUNCTION("""COMPUTED_VALUE"""),"Cabernet Sauvignon")</f>
        <v>Cabernet Sauvignon</v>
      </c>
      <c r="G789" s="2">
        <f ca="1">IFERROR(__xludf.DUMMYFUNCTION("""COMPUTED_VALUE"""),23500)</f>
        <v>23500</v>
      </c>
      <c r="H789" s="2">
        <f ca="1">IFERROR(__xludf.DUMMYFUNCTION("""COMPUTED_VALUE"""),31000)</f>
        <v>31000</v>
      </c>
      <c r="I789" s="2"/>
      <c r="J789" s="2"/>
      <c r="K789" s="2" t="str">
        <f ca="1">IFERROR(__xludf.DUMMYFUNCTION("""COMPUTED_VALUE"""),"1er Trasiego")</f>
        <v>1er Trasiego</v>
      </c>
      <c r="L789" s="2"/>
      <c r="M789" s="2"/>
    </row>
    <row r="790" spans="1:13" x14ac:dyDescent="0.25">
      <c r="A790" s="2" t="str">
        <f ca="1">IFERROR(__xludf.DUMMYFUNCTION("""COMPUTED_VALUE"""),"caa78680")</f>
        <v>caa78680</v>
      </c>
      <c r="B790" s="2"/>
      <c r="C790" s="5">
        <f ca="1">IFERROR(__xludf.DUMMYFUNCTION("""COMPUTED_VALUE"""),45790.7491087963)</f>
        <v>45790.749108796299</v>
      </c>
      <c r="D790" s="2">
        <f ca="1">IFERROR(__xludf.DUMMYFUNCTION("""COMPUTED_VALUE"""),127)</f>
        <v>127</v>
      </c>
      <c r="E790" s="2">
        <f ca="1">IFERROR(__xludf.DUMMYFUNCTION("""COMPUTED_VALUE"""),31000)</f>
        <v>31000</v>
      </c>
      <c r="F790" s="2" t="str">
        <f ca="1">IFERROR(__xludf.DUMMYFUNCTION("""COMPUTED_VALUE"""),"Cabernet Sauvignon")</f>
        <v>Cabernet Sauvignon</v>
      </c>
      <c r="G790" s="2">
        <f ca="1">IFERROR(__xludf.DUMMYFUNCTION("""COMPUTED_VALUE"""),0)</f>
        <v>0</v>
      </c>
      <c r="H790" s="2">
        <f ca="1">IFERROR(__xludf.DUMMYFUNCTION("""COMPUTED_VALUE"""),21100)</f>
        <v>21100</v>
      </c>
      <c r="I790" s="2"/>
      <c r="J790" s="2"/>
      <c r="K790" s="2" t="str">
        <f ca="1">IFERROR(__xludf.DUMMYFUNCTION("""COMPUTED_VALUE"""),"1er Trasiego")</f>
        <v>1er Trasiego</v>
      </c>
      <c r="L790" s="2"/>
      <c r="M790" s="2"/>
    </row>
    <row r="791" spans="1:13" x14ac:dyDescent="0.25">
      <c r="A791" s="2" t="str">
        <f ca="1">IFERROR(__xludf.DUMMYFUNCTION("""COMPUTED_VALUE"""),"8fc8112c")</f>
        <v>8fc8112c</v>
      </c>
      <c r="B791" s="2"/>
      <c r="C791" s="5">
        <f ca="1">IFERROR(__xludf.DUMMYFUNCTION("""COMPUTED_VALUE"""),45790.7501851851)</f>
        <v>45790.750185185098</v>
      </c>
      <c r="D791" s="2">
        <f ca="1">IFERROR(__xludf.DUMMYFUNCTION("""COMPUTED_VALUE"""),75)</f>
        <v>75</v>
      </c>
      <c r="E791" s="2">
        <f ca="1">IFERROR(__xludf.DUMMYFUNCTION("""COMPUTED_VALUE"""),7000)</f>
        <v>7000</v>
      </c>
      <c r="F791" s="2" t="str">
        <f ca="1">IFERROR(__xludf.DUMMYFUNCTION("""COMPUTED_VALUE"""),"Malbec Carricondo Venta")</f>
        <v>Malbec Carricondo Venta</v>
      </c>
      <c r="G791" s="2">
        <f ca="1">IFERROR(__xludf.DUMMYFUNCTION("""COMPUTED_VALUE"""),0)</f>
        <v>0</v>
      </c>
      <c r="H791" s="2">
        <f ca="1">IFERROR(__xludf.DUMMYFUNCTION("""COMPUTED_VALUE"""),5100)</f>
        <v>5100</v>
      </c>
      <c r="I791" s="2"/>
      <c r="J791" s="2"/>
      <c r="K791" s="2" t="str">
        <f ca="1">IFERROR(__xludf.DUMMYFUNCTION("""COMPUTED_VALUE"""),"Traslado Venta")</f>
        <v>Traslado Venta</v>
      </c>
      <c r="L791" s="2"/>
      <c r="M791" s="2"/>
    </row>
    <row r="792" spans="1:13" x14ac:dyDescent="0.25">
      <c r="A792" s="2" t="str">
        <f ca="1">IFERROR(__xludf.DUMMYFUNCTION("""COMPUTED_VALUE"""),"ef0e58f9")</f>
        <v>ef0e58f9</v>
      </c>
      <c r="B792" s="2"/>
      <c r="C792" s="5">
        <f ca="1">IFERROR(__xludf.DUMMYFUNCTION("""COMPUTED_VALUE"""),45790.7513888888)</f>
        <v>45790.751388888799</v>
      </c>
      <c r="D792" s="2">
        <f ca="1">IFERROR(__xludf.DUMMYFUNCTION("""COMPUTED_VALUE"""),2)</f>
        <v>2</v>
      </c>
      <c r="E792" s="2">
        <f ca="1">IFERROR(__xludf.DUMMYFUNCTION("""COMPUTED_VALUE"""),8400)</f>
        <v>8400</v>
      </c>
      <c r="F792" s="2" t="str">
        <f ca="1">IFERROR(__xludf.DUMMYFUNCTION("""COMPUTED_VALUE"""),"Torrontes tacho Plastico")</f>
        <v>Torrontes tacho Plastico</v>
      </c>
      <c r="G792" s="2">
        <f ca="1">IFERROR(__xludf.DUMMYFUNCTION("""COMPUTED_VALUE"""),2000)</f>
        <v>2000</v>
      </c>
      <c r="H792" s="2">
        <f ca="1">IFERROR(__xludf.DUMMYFUNCTION("""COMPUTED_VALUE"""),1900)</f>
        <v>1900</v>
      </c>
      <c r="I792" s="2"/>
      <c r="J792" s="2"/>
      <c r="K792" s="2" t="str">
        <f ca="1">IFERROR(__xludf.DUMMYFUNCTION("""COMPUTED_VALUE"""),"Descubada")</f>
        <v>Descubada</v>
      </c>
      <c r="L792" s="2"/>
      <c r="M792" s="2"/>
    </row>
    <row r="793" spans="1:13" x14ac:dyDescent="0.25">
      <c r="A793" s="2" t="str">
        <f ca="1">IFERROR(__xludf.DUMMYFUNCTION("""COMPUTED_VALUE"""),"83616429")</f>
        <v>83616429</v>
      </c>
      <c r="B793" s="2"/>
      <c r="C793" s="5">
        <f ca="1">IFERROR(__xludf.DUMMYFUNCTION("""COMPUTED_VALUE"""),45790.7516203703)</f>
        <v>45790.751620370298</v>
      </c>
      <c r="D793" s="2">
        <f ca="1">IFERROR(__xludf.DUMMYFUNCTION("""COMPUTED_VALUE"""),75)</f>
        <v>75</v>
      </c>
      <c r="E793" s="2">
        <f ca="1">IFERROR(__xludf.DUMMYFUNCTION("""COMPUTED_VALUE"""),7000)</f>
        <v>7000</v>
      </c>
      <c r="F793" s="2" t="str">
        <f ca="1">IFERROR(__xludf.DUMMYFUNCTION("""COMPUTED_VALUE"""),"Malbec Carricondo Venta")</f>
        <v>Malbec Carricondo Venta</v>
      </c>
      <c r="G793" s="2">
        <f ca="1">IFERROR(__xludf.DUMMYFUNCTION("""COMPUTED_VALUE"""),5100)</f>
        <v>5100</v>
      </c>
      <c r="H793" s="2">
        <f ca="1">IFERROR(__xludf.DUMMYFUNCTION("""COMPUTED_VALUE"""),7000)</f>
        <v>7000</v>
      </c>
      <c r="I793" s="2"/>
      <c r="J793" s="2"/>
      <c r="K793" s="2" t="str">
        <f ca="1">IFERROR(__xludf.DUMMYFUNCTION("""COMPUTED_VALUE"""),"Traslado Venta")</f>
        <v>Traslado Venta</v>
      </c>
      <c r="L793" s="2"/>
      <c r="M793" s="2"/>
    </row>
    <row r="794" spans="1:13" x14ac:dyDescent="0.25">
      <c r="A794" s="2" t="str">
        <f ca="1">IFERROR(__xludf.DUMMYFUNCTION("""COMPUTED_VALUE"""),"7c0a5b23")</f>
        <v>7c0a5b23</v>
      </c>
      <c r="B794" s="2"/>
      <c r="C794" s="5">
        <f ca="1">IFERROR(__xludf.DUMMYFUNCTION("""COMPUTED_VALUE"""),45790.7755324074)</f>
        <v>45790.775532407402</v>
      </c>
      <c r="D794" s="2">
        <f ca="1">IFERROR(__xludf.DUMMYFUNCTION("""COMPUTED_VALUE"""),53)</f>
        <v>53</v>
      </c>
      <c r="E794" s="2">
        <f ca="1">IFERROR(__xludf.DUMMYFUNCTION("""COMPUTED_VALUE"""),22000)</f>
        <v>22000</v>
      </c>
      <c r="F794" s="2" t="str">
        <f ca="1">IFERROR(__xludf.DUMMYFUNCTION("""COMPUTED_VALUE"""),"Syrah")</f>
        <v>Syrah</v>
      </c>
      <c r="G794" s="2">
        <f ca="1">IFERROR(__xludf.DUMMYFUNCTION("""COMPUTED_VALUE"""),0)</f>
        <v>0</v>
      </c>
      <c r="H794" s="2">
        <f ca="1">IFERROR(__xludf.DUMMYFUNCTION("""COMPUTED_VALUE"""),20000)</f>
        <v>20000</v>
      </c>
      <c r="I794" s="2"/>
      <c r="J794" s="2"/>
      <c r="K794" s="2" t="str">
        <f ca="1">IFERROR(__xludf.DUMMYFUNCTION("""COMPUTED_VALUE"""),"1er Trasiego")</f>
        <v>1er Trasiego</v>
      </c>
      <c r="L794" s="2"/>
      <c r="M794" s="2"/>
    </row>
    <row r="795" spans="1:13" x14ac:dyDescent="0.25">
      <c r="A795" s="2" t="str">
        <f ca="1">IFERROR(__xludf.DUMMYFUNCTION("""COMPUTED_VALUE"""),"9466c3f8")</f>
        <v>9466c3f8</v>
      </c>
      <c r="B795" s="2"/>
      <c r="C795" s="5">
        <f ca="1">IFERROR(__xludf.DUMMYFUNCTION("""COMPUTED_VALUE"""),45791.4651388888)</f>
        <v>45791.465138888801</v>
      </c>
      <c r="D795" s="2">
        <f ca="1">IFERROR(__xludf.DUMMYFUNCTION("""COMPUTED_VALUE"""),500)</f>
        <v>500</v>
      </c>
      <c r="E795" s="2">
        <f ca="1">IFERROR(__xludf.DUMMYFUNCTION("""COMPUTED_VALUE"""),200000)</f>
        <v>200000</v>
      </c>
      <c r="F795" s="2" t="str">
        <f ca="1">IFERROR(__xludf.DUMMYFUNCTION("""COMPUTED_VALUE"""),"Ajuste Arqueo 10/05/25")</f>
        <v>Ajuste Arqueo 10/05/25</v>
      </c>
      <c r="G795" s="2">
        <f ca="1">IFERROR(__xludf.DUMMYFUNCTION("""COMPUTED_VALUE"""),-8690)</f>
        <v>-8690</v>
      </c>
      <c r="H795" s="2">
        <f ca="1">IFERROR(__xludf.DUMMYFUNCTION("""COMPUTED_VALUE"""),-9690)</f>
        <v>-9690</v>
      </c>
      <c r="I795" s="2" t="str">
        <f ca="1">IFERROR(__xludf.DUMMYFUNCTION("""COMPUTED_VALUE"""),"ajuste faltaron 9.600 lts")</f>
        <v>ajuste faltaron 9.600 lts</v>
      </c>
      <c r="J795" s="2"/>
      <c r="K795" s="2" t="str">
        <f ca="1">IFERROR(__xludf.DUMMYFUNCTION("""COMPUTED_VALUE"""),"Terminado")</f>
        <v>Terminado</v>
      </c>
      <c r="L795" s="2"/>
      <c r="M795" s="2"/>
    </row>
    <row r="796" spans="1:13" x14ac:dyDescent="0.25">
      <c r="A796" s="2" t="str">
        <f ca="1">IFERROR(__xludf.DUMMYFUNCTION("""COMPUTED_VALUE"""),"c7c2db60")</f>
        <v>c7c2db60</v>
      </c>
      <c r="B796" s="2"/>
      <c r="C796" s="5">
        <f ca="1">IFERROR(__xludf.DUMMYFUNCTION("""COMPUTED_VALUE"""),45791.7204976851)</f>
        <v>45791.720497685099</v>
      </c>
      <c r="D796" s="2">
        <f ca="1">IFERROR(__xludf.DUMMYFUNCTION("""COMPUTED_VALUE"""),120)</f>
        <v>120</v>
      </c>
      <c r="E796" s="2">
        <f ca="1">IFERROR(__xludf.DUMMYFUNCTION("""COMPUTED_VALUE"""),88800)</f>
        <v>88800</v>
      </c>
      <c r="F796" s="2" t="str">
        <f ca="1">IFERROR(__xludf.DUMMYFUNCTION("""COMPUTED_VALUE"""),"Malbec Mec")</f>
        <v>Malbec Mec</v>
      </c>
      <c r="G796" s="2">
        <f ca="1">IFERROR(__xludf.DUMMYFUNCTION("""COMPUTED_VALUE"""),0)</f>
        <v>0</v>
      </c>
      <c r="H796" s="2">
        <f ca="1">IFERROR(__xludf.DUMMYFUNCTION("""COMPUTED_VALUE"""),85000)</f>
        <v>85000</v>
      </c>
      <c r="I796" s="2"/>
      <c r="J796" s="2"/>
      <c r="K796" s="2" t="str">
        <f ca="1">IFERROR(__xludf.DUMMYFUNCTION("""COMPUTED_VALUE"""),"1er Trasiego")</f>
        <v>1er Trasiego</v>
      </c>
      <c r="L796" s="2"/>
      <c r="M796" s="2"/>
    </row>
    <row r="797" spans="1:13" x14ac:dyDescent="0.25">
      <c r="A797" s="2" t="str">
        <f ca="1">IFERROR(__xludf.DUMMYFUNCTION("""COMPUTED_VALUE"""),"7b6d5389")</f>
        <v>7b6d5389</v>
      </c>
      <c r="B797" s="2"/>
      <c r="C797" s="5">
        <f ca="1">IFERROR(__xludf.DUMMYFUNCTION("""COMPUTED_VALUE"""),45791.720787037)</f>
        <v>45791.720787036997</v>
      </c>
      <c r="D797" s="2">
        <f ca="1">IFERROR(__xludf.DUMMYFUNCTION("""COMPUTED_VALUE"""),120)</f>
        <v>120</v>
      </c>
      <c r="E797" s="2">
        <f ca="1">IFERROR(__xludf.DUMMYFUNCTION("""COMPUTED_VALUE"""),88800)</f>
        <v>88800</v>
      </c>
      <c r="F797" s="2" t="str">
        <f ca="1">IFERROR(__xludf.DUMMYFUNCTION("""COMPUTED_VALUE"""),"Malbec Mec")</f>
        <v>Malbec Mec</v>
      </c>
      <c r="G797" s="2">
        <f ca="1">IFERROR(__xludf.DUMMYFUNCTION("""COMPUTED_VALUE"""),85000)</f>
        <v>85000</v>
      </c>
      <c r="H797" s="2">
        <f ca="1">IFERROR(__xludf.DUMMYFUNCTION("""COMPUTED_VALUE"""),88800)</f>
        <v>88800</v>
      </c>
      <c r="I797" s="2"/>
      <c r="J797" s="2"/>
      <c r="K797" s="2" t="str">
        <f ca="1">IFERROR(__xludf.DUMMYFUNCTION("""COMPUTED_VALUE"""),"1er Trasiego")</f>
        <v>1er Trasiego</v>
      </c>
      <c r="L797" s="2" t="str">
        <f ca="1">IFERROR(__xludf.DUMMYFUNCTION("""COMPUTED_VALUE"""),"2+")</f>
        <v>2+</v>
      </c>
      <c r="M797" s="2"/>
    </row>
    <row r="798" spans="1:13" x14ac:dyDescent="0.25">
      <c r="A798" s="2" t="str">
        <f ca="1">IFERROR(__xludf.DUMMYFUNCTION("""COMPUTED_VALUE"""),"c6964445")</f>
        <v>c6964445</v>
      </c>
      <c r="B798" s="2"/>
      <c r="C798" s="5">
        <f ca="1">IFERROR(__xludf.DUMMYFUNCTION("""COMPUTED_VALUE"""),45791.7223958333)</f>
        <v>45791.722395833298</v>
      </c>
      <c r="D798" s="2">
        <f ca="1">IFERROR(__xludf.DUMMYFUNCTION("""COMPUTED_VALUE"""),53)</f>
        <v>53</v>
      </c>
      <c r="E798" s="2">
        <f ca="1">IFERROR(__xludf.DUMMYFUNCTION("""COMPUTED_VALUE"""),22000)</f>
        <v>22000</v>
      </c>
      <c r="F798" s="2" t="str">
        <f ca="1">IFERROR(__xludf.DUMMYFUNCTION("""COMPUTED_VALUE"""),"Syrah")</f>
        <v>Syrah</v>
      </c>
      <c r="G798" s="2">
        <f ca="1">IFERROR(__xludf.DUMMYFUNCTION("""COMPUTED_VALUE"""),20000)</f>
        <v>20000</v>
      </c>
      <c r="H798" s="2">
        <f ca="1">IFERROR(__xludf.DUMMYFUNCTION("""COMPUTED_VALUE"""),22000)</f>
        <v>22000</v>
      </c>
      <c r="I798" s="2"/>
      <c r="J798" s="2"/>
      <c r="K798" s="2" t="str">
        <f ca="1">IFERROR(__xludf.DUMMYFUNCTION("""COMPUTED_VALUE"""),"1er Trasiego")</f>
        <v>1er Trasiego</v>
      </c>
      <c r="L798" s="2"/>
      <c r="M798" s="2"/>
    </row>
    <row r="799" spans="1:13" x14ac:dyDescent="0.25">
      <c r="A799" s="2" t="str">
        <f ca="1">IFERROR(__xludf.DUMMYFUNCTION("""COMPUTED_VALUE"""),"59034d88")</f>
        <v>59034d88</v>
      </c>
      <c r="B799" s="2"/>
      <c r="C799" s="5">
        <f ca="1">IFERROR(__xludf.DUMMYFUNCTION("""COMPUTED_VALUE"""),45791.725787037)</f>
        <v>45791.725787037001</v>
      </c>
      <c r="D799" s="2">
        <f ca="1">IFERROR(__xludf.DUMMYFUNCTION("""COMPUTED_VALUE"""),6)</f>
        <v>6</v>
      </c>
      <c r="E799" s="2">
        <f ca="1">IFERROR(__xludf.DUMMYFUNCTION("""COMPUTED_VALUE"""),32000)</f>
        <v>32000</v>
      </c>
      <c r="F799" s="2" t="str">
        <f ca="1">IFERROR(__xludf.DUMMYFUNCTION("""COMPUTED_VALUE"""),"Cabernet Sauvignon - Rectificado")</f>
        <v>Cabernet Sauvignon - Rectificado</v>
      </c>
      <c r="G799" s="2">
        <f ca="1">IFERROR(__xludf.DUMMYFUNCTION("""COMPUTED_VALUE"""),4200)</f>
        <v>4200</v>
      </c>
      <c r="H799" s="2">
        <f ca="1">IFERROR(__xludf.DUMMYFUNCTION("""COMPUTED_VALUE"""),25300)</f>
        <v>25300</v>
      </c>
      <c r="I799" s="2"/>
      <c r="J799" s="2"/>
      <c r="K799" s="2" t="str">
        <f ca="1">IFERROR(__xludf.DUMMYFUNCTION("""COMPUTED_VALUE"""),"Rectificado")</f>
        <v>Rectificado</v>
      </c>
      <c r="L799" s="2"/>
      <c r="M799" s="2"/>
    </row>
    <row r="800" spans="1:13" x14ac:dyDescent="0.25">
      <c r="A800" s="2" t="str">
        <f ca="1">IFERROR(__xludf.DUMMYFUNCTION("""COMPUTED_VALUE"""),"5b29cdd7")</f>
        <v>5b29cdd7</v>
      </c>
      <c r="B800" s="2"/>
      <c r="C800" s="5">
        <f ca="1">IFERROR(__xludf.DUMMYFUNCTION("""COMPUTED_VALUE"""),45791.7263310185)</f>
        <v>45791.726331018501</v>
      </c>
      <c r="D800" s="2">
        <f ca="1">IFERROR(__xludf.DUMMYFUNCTION("""COMPUTED_VALUE"""),6)</f>
        <v>6</v>
      </c>
      <c r="E800" s="2">
        <f ca="1">IFERROR(__xludf.DUMMYFUNCTION("""COMPUTED_VALUE"""),32000)</f>
        <v>32000</v>
      </c>
      <c r="F800" s="2" t="str">
        <f ca="1">IFERROR(__xludf.DUMMYFUNCTION("""COMPUTED_VALUE"""),"Cabernet Sauvignon - Rectificado")</f>
        <v>Cabernet Sauvignon - Rectificado</v>
      </c>
      <c r="G800" s="2">
        <f ca="1">IFERROR(__xludf.DUMMYFUNCTION("""COMPUTED_VALUE"""),25300)</f>
        <v>25300</v>
      </c>
      <c r="H800" s="2">
        <f ca="1">IFERROR(__xludf.DUMMYFUNCTION("""COMPUTED_VALUE"""),32000)</f>
        <v>32000</v>
      </c>
      <c r="I800" s="2"/>
      <c r="J800" s="2"/>
      <c r="K800" s="2" t="str">
        <f ca="1">IFERROR(__xludf.DUMMYFUNCTION("""COMPUTED_VALUE"""),"Rectificado")</f>
        <v>Rectificado</v>
      </c>
      <c r="L800" s="2"/>
      <c r="M800" s="2"/>
    </row>
    <row r="801" spans="1:13" x14ac:dyDescent="0.25">
      <c r="A801" s="2" t="str">
        <f ca="1">IFERROR(__xludf.DUMMYFUNCTION("""COMPUTED_VALUE"""),"b553478c")</f>
        <v>b553478c</v>
      </c>
      <c r="B801" s="2"/>
      <c r="C801" s="5">
        <f ca="1">IFERROR(__xludf.DUMMYFUNCTION("""COMPUTED_VALUE"""),45791.7267592592)</f>
        <v>45791.726759259203</v>
      </c>
      <c r="D801" s="2">
        <f ca="1">IFERROR(__xludf.DUMMYFUNCTION("""COMPUTED_VALUE"""),7)</f>
        <v>7</v>
      </c>
      <c r="E801" s="2">
        <f ca="1">IFERROR(__xludf.DUMMYFUNCTION("""COMPUTED_VALUE"""),30000)</f>
        <v>30000</v>
      </c>
      <c r="F801" s="2" t="str">
        <f ca="1">IFERROR(__xludf.DUMMYFUNCTION("""COMPUTED_VALUE"""),"Cabernet Sauvignon - Rectificado")</f>
        <v>Cabernet Sauvignon - Rectificado</v>
      </c>
      <c r="G801" s="2">
        <f ca="1">IFERROR(__xludf.DUMMYFUNCTION("""COMPUTED_VALUE"""),0)</f>
        <v>0</v>
      </c>
      <c r="H801" s="2">
        <f ca="1">IFERROR(__xludf.DUMMYFUNCTION("""COMPUTED_VALUE"""),24300)</f>
        <v>24300</v>
      </c>
      <c r="I801" s="2"/>
      <c r="J801" s="2"/>
      <c r="K801" s="2" t="str">
        <f ca="1">IFERROR(__xludf.DUMMYFUNCTION("""COMPUTED_VALUE"""),"Rectificado")</f>
        <v>Rectificado</v>
      </c>
      <c r="L801" s="2"/>
      <c r="M801" s="2"/>
    </row>
    <row r="802" spans="1:13" x14ac:dyDescent="0.25">
      <c r="A802" s="2" t="str">
        <f ca="1">IFERROR(__xludf.DUMMYFUNCTION("""COMPUTED_VALUE"""),"8a5cc2ae")</f>
        <v>8a5cc2ae</v>
      </c>
      <c r="B802" s="2"/>
      <c r="C802" s="5">
        <f ca="1">IFERROR(__xludf.DUMMYFUNCTION("""COMPUTED_VALUE"""),45792.3773379629)</f>
        <v>45792.377337962898</v>
      </c>
      <c r="D802" s="2">
        <f ca="1">IFERROR(__xludf.DUMMYFUNCTION("""COMPUTED_VALUE"""),15)</f>
        <v>15</v>
      </c>
      <c r="E802" s="2">
        <f ca="1">IFERROR(__xludf.DUMMYFUNCTION("""COMPUTED_VALUE"""),36500)</f>
        <v>36500</v>
      </c>
      <c r="F802" s="2" t="str">
        <f ca="1">IFERROR(__xludf.DUMMYFUNCTION("""COMPUTED_VALUE"""),"Bonarda")</f>
        <v>Bonarda</v>
      </c>
      <c r="G802" s="2">
        <f ca="1">IFERROR(__xludf.DUMMYFUNCTION("""COMPUTED_VALUE"""),0)</f>
        <v>0</v>
      </c>
      <c r="H802" s="2">
        <f ca="1">IFERROR(__xludf.DUMMYFUNCTION("""COMPUTED_VALUE"""),36500)</f>
        <v>36500</v>
      </c>
      <c r="I802" s="2"/>
      <c r="J802" s="2"/>
      <c r="K802" s="2" t="str">
        <f ca="1">IFERROR(__xludf.DUMMYFUNCTION("""COMPUTED_VALUE"""),"1er Trasiego")</f>
        <v>1er Trasiego</v>
      </c>
      <c r="L802" s="2" t="str">
        <f ca="1">IFERROR(__xludf.DUMMYFUNCTION("""COMPUTED_VALUE"""),"1")</f>
        <v>1</v>
      </c>
      <c r="M802" s="2"/>
    </row>
    <row r="803" spans="1:13" x14ac:dyDescent="0.25">
      <c r="A803" s="2" t="str">
        <f ca="1">IFERROR(__xludf.DUMMYFUNCTION("""COMPUTED_VALUE"""),"db062f06")</f>
        <v>db062f06</v>
      </c>
      <c r="B803" s="2"/>
      <c r="C803" s="5">
        <f ca="1">IFERROR(__xludf.DUMMYFUNCTION("""COMPUTED_VALUE"""),45792.3777430555)</f>
        <v>45792.377743055498</v>
      </c>
      <c r="D803" s="2">
        <f ca="1">IFERROR(__xludf.DUMMYFUNCTION("""COMPUTED_VALUE"""),80)</f>
        <v>80</v>
      </c>
      <c r="E803" s="2">
        <f ca="1">IFERROR(__xludf.DUMMYFUNCTION("""COMPUTED_VALUE"""),26100)</f>
        <v>26100</v>
      </c>
      <c r="F803" s="2" t="str">
        <f ca="1">IFERROR(__xludf.DUMMYFUNCTION("""COMPUTED_VALUE"""),"Borra")</f>
        <v>Borra</v>
      </c>
      <c r="G803" s="2">
        <f ca="1">IFERROR(__xludf.DUMMYFUNCTION("""COMPUTED_VALUE"""),6400)</f>
        <v>6400</v>
      </c>
      <c r="H803" s="2">
        <f ca="1">IFERROR(__xludf.DUMMYFUNCTION("""COMPUTED_VALUE"""),9400)</f>
        <v>9400</v>
      </c>
      <c r="I803" s="2"/>
      <c r="J803" s="2"/>
      <c r="K803" s="2" t="str">
        <f ca="1">IFERROR(__xludf.DUMMYFUNCTION("""COMPUTED_VALUE"""),"1er Trasiego")</f>
        <v>1er Trasiego</v>
      </c>
      <c r="L803" s="2"/>
      <c r="M803" s="2"/>
    </row>
    <row r="804" spans="1:13" x14ac:dyDescent="0.25">
      <c r="A804" s="2" t="str">
        <f ca="1">IFERROR(__xludf.DUMMYFUNCTION("""COMPUTED_VALUE"""),"545cf46a")</f>
        <v>545cf46a</v>
      </c>
      <c r="B804" s="2"/>
      <c r="C804" s="5">
        <f ca="1">IFERROR(__xludf.DUMMYFUNCTION("""COMPUTED_VALUE"""),45792.3785648148)</f>
        <v>45792.378564814797</v>
      </c>
      <c r="D804" s="2">
        <f ca="1">IFERROR(__xludf.DUMMYFUNCTION("""COMPUTED_VALUE"""),46)</f>
        <v>46</v>
      </c>
      <c r="E804" s="2">
        <f ca="1">IFERROR(__xludf.DUMMYFUNCTION("""COMPUTED_VALUE"""),29000)</f>
        <v>29000</v>
      </c>
      <c r="F804" s="2" t="str">
        <f ca="1">IFERROR(__xludf.DUMMYFUNCTION("""COMPUTED_VALUE"""),"Tanat")</f>
        <v>Tanat</v>
      </c>
      <c r="G804" s="2">
        <f ca="1">IFERROR(__xludf.DUMMYFUNCTION("""COMPUTED_VALUE"""),0)</f>
        <v>0</v>
      </c>
      <c r="H804" s="2">
        <f ca="1">IFERROR(__xludf.DUMMYFUNCTION("""COMPUTED_VALUE"""),3900)</f>
        <v>3900</v>
      </c>
      <c r="I804" s="2"/>
      <c r="J804" s="2"/>
      <c r="K804" s="2" t="str">
        <f ca="1">IFERROR(__xludf.DUMMYFUNCTION("""COMPUTED_VALUE"""),"1er Trasiego")</f>
        <v>1er Trasiego</v>
      </c>
      <c r="L804" s="2"/>
      <c r="M804" s="2"/>
    </row>
    <row r="805" spans="1:13" x14ac:dyDescent="0.25">
      <c r="A805" s="2" t="str">
        <f ca="1">IFERROR(__xludf.DUMMYFUNCTION("""COMPUTED_VALUE"""),"92f39eaf")</f>
        <v>92f39eaf</v>
      </c>
      <c r="B805" s="2"/>
      <c r="C805" s="5">
        <f ca="1">IFERROR(__xludf.DUMMYFUNCTION("""COMPUTED_VALUE"""),45792.3789699074)</f>
        <v>45792.378969907397</v>
      </c>
      <c r="D805" s="2">
        <f ca="1">IFERROR(__xludf.DUMMYFUNCTION("""COMPUTED_VALUE"""),46)</f>
        <v>46</v>
      </c>
      <c r="E805" s="2">
        <f ca="1">IFERROR(__xludf.DUMMYFUNCTION("""COMPUTED_VALUE"""),29000)</f>
        <v>29000</v>
      </c>
      <c r="F805" s="2" t="str">
        <f ca="1">IFERROR(__xludf.DUMMYFUNCTION("""COMPUTED_VALUE"""),"Tanat")</f>
        <v>Tanat</v>
      </c>
      <c r="G805" s="2">
        <f ca="1">IFERROR(__xludf.DUMMYFUNCTION("""COMPUTED_VALUE"""),3900)</f>
        <v>3900</v>
      </c>
      <c r="H805" s="2">
        <f ca="1">IFERROR(__xludf.DUMMYFUNCTION("""COMPUTED_VALUE"""),16900)</f>
        <v>16900</v>
      </c>
      <c r="I805" s="2"/>
      <c r="J805" s="2"/>
      <c r="K805" s="2" t="str">
        <f ca="1">IFERROR(__xludf.DUMMYFUNCTION("""COMPUTED_VALUE"""),"1er Trasiego")</f>
        <v>1er Trasiego</v>
      </c>
      <c r="L805" s="2"/>
      <c r="M805" s="2"/>
    </row>
    <row r="806" spans="1:13" x14ac:dyDescent="0.25">
      <c r="A806" s="2" t="str">
        <f ca="1">IFERROR(__xludf.DUMMYFUNCTION("""COMPUTED_VALUE"""),"b72016d2")</f>
        <v>b72016d2</v>
      </c>
      <c r="B806" s="2"/>
      <c r="C806" s="5">
        <f ca="1">IFERROR(__xludf.DUMMYFUNCTION("""COMPUTED_VALUE"""),45792.3792708333)</f>
        <v>45792.379270833299</v>
      </c>
      <c r="D806" s="2">
        <f ca="1">IFERROR(__xludf.DUMMYFUNCTION("""COMPUTED_VALUE"""),46)</f>
        <v>46</v>
      </c>
      <c r="E806" s="2">
        <f ca="1">IFERROR(__xludf.DUMMYFUNCTION("""COMPUTED_VALUE"""),29000)</f>
        <v>29000</v>
      </c>
      <c r="F806" s="2" t="str">
        <f ca="1">IFERROR(__xludf.DUMMYFUNCTION("""COMPUTED_VALUE"""),"Tanat")</f>
        <v>Tanat</v>
      </c>
      <c r="G806" s="2">
        <f ca="1">IFERROR(__xludf.DUMMYFUNCTION("""COMPUTED_VALUE"""),16900)</f>
        <v>16900</v>
      </c>
      <c r="H806" s="2">
        <f ca="1">IFERROR(__xludf.DUMMYFUNCTION("""COMPUTED_VALUE"""),29000)</f>
        <v>29000</v>
      </c>
      <c r="I806" s="2"/>
      <c r="J806" s="2"/>
      <c r="K806" s="2" t="str">
        <f ca="1">IFERROR(__xludf.DUMMYFUNCTION("""COMPUTED_VALUE"""),"1er Trasiego")</f>
        <v>1er Trasiego</v>
      </c>
      <c r="L806" s="2" t="str">
        <f ca="1">IFERROR(__xludf.DUMMYFUNCTION("""COMPUTED_VALUE"""),"1+")</f>
        <v>1+</v>
      </c>
      <c r="M806" s="2"/>
    </row>
    <row r="807" spans="1:13" x14ac:dyDescent="0.25">
      <c r="A807" s="2" t="str">
        <f ca="1">IFERROR(__xludf.DUMMYFUNCTION("""COMPUTED_VALUE"""),"a3608d6e")</f>
        <v>a3608d6e</v>
      </c>
      <c r="B807" s="2"/>
      <c r="C807" s="5">
        <f ca="1">IFERROR(__xludf.DUMMYFUNCTION("""COMPUTED_VALUE"""),45792.3797337963)</f>
        <v>45792.379733796297</v>
      </c>
      <c r="D807" s="2">
        <f ca="1">IFERROR(__xludf.DUMMYFUNCTION("""COMPUTED_VALUE"""),7)</f>
        <v>7</v>
      </c>
      <c r="E807" s="2">
        <f ca="1">IFERROR(__xludf.DUMMYFUNCTION("""COMPUTED_VALUE"""),30000)</f>
        <v>30000</v>
      </c>
      <c r="F807" s="2" t="str">
        <f ca="1">IFERROR(__xludf.DUMMYFUNCTION("""COMPUTED_VALUE"""),"Cabernet Sauvignon - Rectificado")</f>
        <v>Cabernet Sauvignon - Rectificado</v>
      </c>
      <c r="G807" s="2">
        <f ca="1">IFERROR(__xludf.DUMMYFUNCTION("""COMPUTED_VALUE"""),24300)</f>
        <v>24300</v>
      </c>
      <c r="H807" s="2">
        <f ca="1">IFERROR(__xludf.DUMMYFUNCTION("""COMPUTED_VALUE"""),25200)</f>
        <v>25200</v>
      </c>
      <c r="I807" s="2"/>
      <c r="J807" s="2"/>
      <c r="K807" s="2" t="str">
        <f ca="1">IFERROR(__xludf.DUMMYFUNCTION("""COMPUTED_VALUE"""),"Rectificado")</f>
        <v>Rectificado</v>
      </c>
      <c r="L807" s="2"/>
      <c r="M807" s="2"/>
    </row>
    <row r="808" spans="1:13" x14ac:dyDescent="0.25">
      <c r="A808" s="2" t="str">
        <f ca="1">IFERROR(__xludf.DUMMYFUNCTION("""COMPUTED_VALUE"""),"39eae928")</f>
        <v>39eae928</v>
      </c>
      <c r="B808" s="2"/>
      <c r="C808" s="5">
        <f ca="1">IFERROR(__xludf.DUMMYFUNCTION("""COMPUTED_VALUE"""),45792.3810416666)</f>
        <v>45792.381041666602</v>
      </c>
      <c r="D808" s="2">
        <f ca="1">IFERROR(__xludf.DUMMYFUNCTION("""COMPUTED_VALUE"""),91)</f>
        <v>91</v>
      </c>
      <c r="E808" s="2">
        <f ca="1">IFERROR(__xludf.DUMMYFUNCTION("""COMPUTED_VALUE"""),86000)</f>
        <v>86000</v>
      </c>
      <c r="F808" s="2" t="str">
        <f ca="1">IFERROR(__xludf.DUMMYFUNCTION("""COMPUTED_VALUE"""),"Tinto")</f>
        <v>Tinto</v>
      </c>
      <c r="G808" s="2">
        <f ca="1">IFERROR(__xludf.DUMMYFUNCTION("""COMPUTED_VALUE"""),81500)</f>
        <v>81500</v>
      </c>
      <c r="H808" s="2">
        <f ca="1">IFERROR(__xludf.DUMMYFUNCTION("""COMPUTED_VALUE"""),86000)</f>
        <v>86000</v>
      </c>
      <c r="I808" s="2"/>
      <c r="J808" s="2"/>
      <c r="K808" s="2" t="str">
        <f ca="1">IFERROR(__xludf.DUMMYFUNCTION("""COMPUTED_VALUE"""),"1er Trasiego")</f>
        <v>1er Trasiego</v>
      </c>
      <c r="L808" s="2"/>
      <c r="M808" s="2"/>
    </row>
    <row r="809" spans="1:13" x14ac:dyDescent="0.25">
      <c r="A809" s="2" t="str">
        <f ca="1">IFERROR(__xludf.DUMMYFUNCTION("""COMPUTED_VALUE"""),"65aa5ca5")</f>
        <v>65aa5ca5</v>
      </c>
      <c r="B809" s="2"/>
      <c r="C809" s="5">
        <f ca="1">IFERROR(__xludf.DUMMYFUNCTION("""COMPUTED_VALUE"""),45792.4156944444)</f>
        <v>45792.415694444397</v>
      </c>
      <c r="D809" s="2">
        <f ca="1">IFERROR(__xludf.DUMMYFUNCTION("""COMPUTED_VALUE"""),80)</f>
        <v>80</v>
      </c>
      <c r="E809" s="2">
        <f ca="1">IFERROR(__xludf.DUMMYFUNCTION("""COMPUTED_VALUE"""),26100)</f>
        <v>26100</v>
      </c>
      <c r="F809" s="2" t="str">
        <f ca="1">IFERROR(__xludf.DUMMYFUNCTION("""COMPUTED_VALUE"""),"Borra")</f>
        <v>Borra</v>
      </c>
      <c r="G809" s="2">
        <f ca="1">IFERROR(__xludf.DUMMYFUNCTION("""COMPUTED_VALUE"""),9400)</f>
        <v>9400</v>
      </c>
      <c r="H809" s="2">
        <f ca="1">IFERROR(__xludf.DUMMYFUNCTION("""COMPUTED_VALUE"""),16400)</f>
        <v>16400</v>
      </c>
      <c r="I809" s="2"/>
      <c r="J809" s="2"/>
      <c r="K809" s="2" t="str">
        <f ca="1">IFERROR(__xludf.DUMMYFUNCTION("""COMPUTED_VALUE"""),"1er Trasiego")</f>
        <v>1er Trasiego</v>
      </c>
      <c r="L809" s="2"/>
      <c r="M809" s="2"/>
    </row>
    <row r="810" spans="1:13" x14ac:dyDescent="0.25">
      <c r="A810" s="2" t="str">
        <f ca="1">IFERROR(__xludf.DUMMYFUNCTION("""COMPUTED_VALUE"""),"ae9d3290")</f>
        <v>ae9d3290</v>
      </c>
      <c r="B810" s="2"/>
      <c r="C810" s="5">
        <f ca="1">IFERROR(__xludf.DUMMYFUNCTION("""COMPUTED_VALUE"""),45792.6784143518)</f>
        <v>45792.678414351802</v>
      </c>
      <c r="D810" s="2">
        <f ca="1">IFERROR(__xludf.DUMMYFUNCTION("""COMPUTED_VALUE"""),54)</f>
        <v>54</v>
      </c>
      <c r="E810" s="2">
        <f ca="1">IFERROR(__xludf.DUMMYFUNCTION("""COMPUTED_VALUE"""),22900)</f>
        <v>22900</v>
      </c>
      <c r="F810" s="2" t="str">
        <f ca="1">IFERROR(__xludf.DUMMYFUNCTION("""COMPUTED_VALUE"""),"Tinto (Claro F)")</f>
        <v>Tinto (Claro F)</v>
      </c>
      <c r="G810" s="2">
        <f ca="1">IFERROR(__xludf.DUMMYFUNCTION("""COMPUTED_VALUE"""),0)</f>
        <v>0</v>
      </c>
      <c r="H810" s="2">
        <f ca="1">IFERROR(__xludf.DUMMYFUNCTION("""COMPUTED_VALUE"""),22900)</f>
        <v>22900</v>
      </c>
      <c r="I810" s="2"/>
      <c r="J810" s="2"/>
      <c r="K810" s="2" t="str">
        <f ca="1">IFERROR(__xludf.DUMMYFUNCTION("""COMPUTED_VALUE"""),"2do Trasiego")</f>
        <v>2do Trasiego</v>
      </c>
      <c r="L810" s="2" t="str">
        <f ca="1">IFERROR(__xludf.DUMMYFUNCTION("""COMPUTED_VALUE"""),"1")</f>
        <v>1</v>
      </c>
      <c r="M810" s="2"/>
    </row>
    <row r="811" spans="1:13" x14ac:dyDescent="0.25">
      <c r="A811" s="2" t="str">
        <f ca="1">IFERROR(__xludf.DUMMYFUNCTION("""COMPUTED_VALUE"""),"94fbbcb1")</f>
        <v>94fbbcb1</v>
      </c>
      <c r="B811" s="2"/>
      <c r="C811" s="5">
        <f ca="1">IFERROR(__xludf.DUMMYFUNCTION("""COMPUTED_VALUE"""),45792.6792013888)</f>
        <v>45792.679201388797</v>
      </c>
      <c r="D811" s="2">
        <f ca="1">IFERROR(__xludf.DUMMYFUNCTION("""COMPUTED_VALUE"""),51)</f>
        <v>51</v>
      </c>
      <c r="E811" s="2">
        <f ca="1">IFERROR(__xludf.DUMMYFUNCTION("""COMPUTED_VALUE"""),3900)</f>
        <v>3900</v>
      </c>
      <c r="F811" s="2" t="str">
        <f ca="1">IFERROR(__xludf.DUMMYFUNCTION("""COMPUTED_VALUE"""),"Tinto (Claro F)")</f>
        <v>Tinto (Claro F)</v>
      </c>
      <c r="G811" s="2">
        <f ca="1">IFERROR(__xludf.DUMMYFUNCTION("""COMPUTED_VALUE"""),0)</f>
        <v>0</v>
      </c>
      <c r="H811" s="2">
        <f ca="1">IFERROR(__xludf.DUMMYFUNCTION("""COMPUTED_VALUE"""),1600)</f>
        <v>1600</v>
      </c>
      <c r="I811" s="2"/>
      <c r="J811" s="2"/>
      <c r="K811" s="2" t="str">
        <f ca="1">IFERROR(__xludf.DUMMYFUNCTION("""COMPUTED_VALUE"""),"1er Trasiego")</f>
        <v>1er Trasiego</v>
      </c>
      <c r="L811" s="2" t="str">
        <f ca="1">IFERROR(__xludf.DUMMYFUNCTION("""COMPUTED_VALUE"""),"1")</f>
        <v>1</v>
      </c>
      <c r="M811" s="2"/>
    </row>
    <row r="812" spans="1:13" x14ac:dyDescent="0.25">
      <c r="A812" s="2" t="str">
        <f ca="1">IFERROR(__xludf.DUMMYFUNCTION("""COMPUTED_VALUE"""),"263cc8c0")</f>
        <v>263cc8c0</v>
      </c>
      <c r="B812" s="2"/>
      <c r="C812" s="5">
        <f ca="1">IFERROR(__xludf.DUMMYFUNCTION("""COMPUTED_VALUE"""),45793.5001157407)</f>
        <v>45793.500115740702</v>
      </c>
      <c r="D812" s="2">
        <f ca="1">IFERROR(__xludf.DUMMYFUNCTION("""COMPUTED_VALUE"""),95)</f>
        <v>95</v>
      </c>
      <c r="E812" s="2">
        <f ca="1">IFERROR(__xludf.DUMMYFUNCTION("""COMPUTED_VALUE"""),77100)</f>
        <v>77100</v>
      </c>
      <c r="F812" s="2" t="str">
        <f ca="1">IFERROR(__xludf.DUMMYFUNCTION("""COMPUTED_VALUE"""),"Syrah")</f>
        <v>Syrah</v>
      </c>
      <c r="G812" s="2">
        <f ca="1">IFERROR(__xludf.DUMMYFUNCTION("""COMPUTED_VALUE"""),0)</f>
        <v>0</v>
      </c>
      <c r="H812" s="2">
        <f ca="1">IFERROR(__xludf.DUMMYFUNCTION("""COMPUTED_VALUE"""),77100)</f>
        <v>77100</v>
      </c>
      <c r="I812" s="2"/>
      <c r="J812" s="2"/>
      <c r="K812" s="2" t="str">
        <f ca="1">IFERROR(__xludf.DUMMYFUNCTION("""COMPUTED_VALUE"""),"2do Trasiego")</f>
        <v>2do Trasiego</v>
      </c>
      <c r="L812" s="2" t="str">
        <f ca="1">IFERROR(__xludf.DUMMYFUNCTION("""COMPUTED_VALUE"""),"1")</f>
        <v>1</v>
      </c>
      <c r="M812" s="2"/>
    </row>
    <row r="813" spans="1:13" x14ac:dyDescent="0.25">
      <c r="A813" s="2" t="str">
        <f ca="1">IFERROR(__xludf.DUMMYFUNCTION("""COMPUTED_VALUE"""),"4b0ee075")</f>
        <v>4b0ee075</v>
      </c>
      <c r="B813" s="2"/>
      <c r="C813" s="5">
        <f ca="1">IFERROR(__xludf.DUMMYFUNCTION("""COMPUTED_VALUE"""),45793.5006018518)</f>
        <v>45793.500601851803</v>
      </c>
      <c r="D813" s="2">
        <f ca="1">IFERROR(__xludf.DUMMYFUNCTION("""COMPUTED_VALUE"""),96)</f>
        <v>96</v>
      </c>
      <c r="E813" s="2">
        <f ca="1">IFERROR(__xludf.DUMMYFUNCTION("""COMPUTED_VALUE"""),85600)</f>
        <v>85600</v>
      </c>
      <c r="F813" s="2" t="str">
        <f ca="1">IFERROR(__xludf.DUMMYFUNCTION("""COMPUTED_VALUE"""),"Syrah")</f>
        <v>Syrah</v>
      </c>
      <c r="G813" s="2">
        <f ca="1">IFERROR(__xludf.DUMMYFUNCTION("""COMPUTED_VALUE"""),0)</f>
        <v>0</v>
      </c>
      <c r="H813" s="2">
        <f ca="1">IFERROR(__xludf.DUMMYFUNCTION("""COMPUTED_VALUE"""),85600)</f>
        <v>85600</v>
      </c>
      <c r="I813" s="2"/>
      <c r="J813" s="2"/>
      <c r="K813" s="2" t="str">
        <f ca="1">IFERROR(__xludf.DUMMYFUNCTION("""COMPUTED_VALUE"""),"2do Trasiego")</f>
        <v>2do Trasiego</v>
      </c>
      <c r="L813" s="2" t="str">
        <f ca="1">IFERROR(__xludf.DUMMYFUNCTION("""COMPUTED_VALUE"""),"1")</f>
        <v>1</v>
      </c>
      <c r="M813" s="2"/>
    </row>
    <row r="814" spans="1:13" x14ac:dyDescent="0.25">
      <c r="A814" s="2" t="str">
        <f ca="1">IFERROR(__xludf.DUMMYFUNCTION("""COMPUTED_VALUE"""),"e44a0e79")</f>
        <v>e44a0e79</v>
      </c>
      <c r="B814" s="2"/>
      <c r="C814" s="5">
        <f ca="1">IFERROR(__xludf.DUMMYFUNCTION("""COMPUTED_VALUE"""),45793.5010185185)</f>
        <v>45793.501018518502</v>
      </c>
      <c r="D814" s="2">
        <f ca="1">IFERROR(__xludf.DUMMYFUNCTION("""COMPUTED_VALUE"""),45)</f>
        <v>45</v>
      </c>
      <c r="E814" s="2">
        <f ca="1">IFERROR(__xludf.DUMMYFUNCTION("""COMPUTED_VALUE"""),30000)</f>
        <v>30000</v>
      </c>
      <c r="F814" s="2" t="str">
        <f ca="1">IFERROR(__xludf.DUMMYFUNCTION("""COMPUTED_VALUE"""),"Syrah")</f>
        <v>Syrah</v>
      </c>
      <c r="G814" s="2">
        <f ca="1">IFERROR(__xludf.DUMMYFUNCTION("""COMPUTED_VALUE"""),0)</f>
        <v>0</v>
      </c>
      <c r="H814" s="2">
        <f ca="1">IFERROR(__xludf.DUMMYFUNCTION("""COMPUTED_VALUE"""),30000)</f>
        <v>30000</v>
      </c>
      <c r="I814" s="2"/>
      <c r="J814" s="2"/>
      <c r="K814" s="2" t="str">
        <f ca="1">IFERROR(__xludf.DUMMYFUNCTION("""COMPUTED_VALUE"""),"2do Trasiego")</f>
        <v>2do Trasiego</v>
      </c>
      <c r="L814" s="2" t="str">
        <f ca="1">IFERROR(__xludf.DUMMYFUNCTION("""COMPUTED_VALUE"""),"1")</f>
        <v>1</v>
      </c>
      <c r="M814" s="2"/>
    </row>
    <row r="815" spans="1:13" x14ac:dyDescent="0.25">
      <c r="A815" s="2" t="str">
        <f ca="1">IFERROR(__xludf.DUMMYFUNCTION("""COMPUTED_VALUE"""),"e869add7")</f>
        <v>e869add7</v>
      </c>
      <c r="B815" s="2"/>
      <c r="C815" s="5">
        <f ca="1">IFERROR(__xludf.DUMMYFUNCTION("""COMPUTED_VALUE"""),45793.5018287037)</f>
        <v>45793.501828703702</v>
      </c>
      <c r="D815" s="2">
        <f ca="1">IFERROR(__xludf.DUMMYFUNCTION("""COMPUTED_VALUE"""),68)</f>
        <v>68</v>
      </c>
      <c r="E815" s="2">
        <f ca="1">IFERROR(__xludf.DUMMYFUNCTION("""COMPUTED_VALUE"""),13000)</f>
        <v>13000</v>
      </c>
      <c r="F815" s="2" t="str">
        <f ca="1">IFERROR(__xludf.DUMMYFUNCTION("""COMPUTED_VALUE"""),"Syrah")</f>
        <v>Syrah</v>
      </c>
      <c r="G815" s="2">
        <f ca="1">IFERROR(__xludf.DUMMYFUNCTION("""COMPUTED_VALUE"""),0)</f>
        <v>0</v>
      </c>
      <c r="H815" s="2">
        <f ca="1">IFERROR(__xludf.DUMMYFUNCTION("""COMPUTED_VALUE"""),1600)</f>
        <v>1600</v>
      </c>
      <c r="I815" s="2"/>
      <c r="J815" s="2"/>
      <c r="K815" s="2" t="str">
        <f ca="1">IFERROR(__xludf.DUMMYFUNCTION("""COMPUTED_VALUE"""),"2do Trasiego")</f>
        <v>2do Trasiego</v>
      </c>
      <c r="L815" s="2"/>
      <c r="M815" s="2"/>
    </row>
    <row r="816" spans="1:13" x14ac:dyDescent="0.25">
      <c r="A816" s="2" t="str">
        <f ca="1">IFERROR(__xludf.DUMMYFUNCTION("""COMPUTED_VALUE"""),"10b87434")</f>
        <v>10b87434</v>
      </c>
      <c r="B816" s="2"/>
      <c r="C816" s="5">
        <f ca="1">IFERROR(__xludf.DUMMYFUNCTION("""COMPUTED_VALUE"""),45793.5044560185)</f>
        <v>45793.504456018498</v>
      </c>
      <c r="D816" s="2">
        <f ca="1">IFERROR(__xludf.DUMMYFUNCTION("""COMPUTED_VALUE"""),14)</f>
        <v>14</v>
      </c>
      <c r="E816" s="2">
        <f ca="1">IFERROR(__xludf.DUMMYFUNCTION("""COMPUTED_VALUE"""),37000)</f>
        <v>37000</v>
      </c>
      <c r="F816" s="2" t="str">
        <f ca="1">IFERROR(__xludf.DUMMYFUNCTION("""COMPUTED_VALUE"""),"Aspirant")</f>
        <v>Aspirant</v>
      </c>
      <c r="G816" s="2">
        <f ca="1">IFERROR(__xludf.DUMMYFUNCTION("""COMPUTED_VALUE"""),0)</f>
        <v>0</v>
      </c>
      <c r="H816" s="2">
        <f ca="1">IFERROR(__xludf.DUMMYFUNCTION("""COMPUTED_VALUE"""),37000)</f>
        <v>37000</v>
      </c>
      <c r="I816" s="2"/>
      <c r="J816" s="2"/>
      <c r="K816" s="2" t="str">
        <f ca="1">IFERROR(__xludf.DUMMYFUNCTION("""COMPUTED_VALUE"""),"2do Trasiego")</f>
        <v>2do Trasiego</v>
      </c>
      <c r="L816" s="2"/>
      <c r="M816" s="2" t="str">
        <f ca="1">IFERROR(__xludf.DUMMYFUNCTION("""COMPUTED_VALUE"""),"Tinto")</f>
        <v>Tinto</v>
      </c>
    </row>
    <row r="817" spans="1:13" x14ac:dyDescent="0.25">
      <c r="A817" s="2" t="str">
        <f ca="1">IFERROR(__xludf.DUMMYFUNCTION("""COMPUTED_VALUE"""),"bb793e4b")</f>
        <v>bb793e4b</v>
      </c>
      <c r="B817" s="2"/>
      <c r="C817" s="5">
        <f ca="1">IFERROR(__xludf.DUMMYFUNCTION("""COMPUTED_VALUE"""),45793.5049305555)</f>
        <v>45793.5049305555</v>
      </c>
      <c r="D817" s="2">
        <f ca="1">IFERROR(__xludf.DUMMYFUNCTION("""COMPUTED_VALUE"""),50)</f>
        <v>50</v>
      </c>
      <c r="E817" s="2">
        <f ca="1">IFERROR(__xludf.DUMMYFUNCTION("""COMPUTED_VALUE"""),5100)</f>
        <v>5100</v>
      </c>
      <c r="F817" s="2" t="str">
        <f ca="1">IFERROR(__xludf.DUMMYFUNCTION("""COMPUTED_VALUE"""),"Aspirant")</f>
        <v>Aspirant</v>
      </c>
      <c r="G817" s="2">
        <f ca="1">IFERROR(__xludf.DUMMYFUNCTION("""COMPUTED_VALUE"""),0)</f>
        <v>0</v>
      </c>
      <c r="H817" s="2">
        <f ca="1">IFERROR(__xludf.DUMMYFUNCTION("""COMPUTED_VALUE"""),2300)</f>
        <v>2300</v>
      </c>
      <c r="I817" s="2"/>
      <c r="J817" s="2"/>
      <c r="K817" s="2" t="str">
        <f ca="1">IFERROR(__xludf.DUMMYFUNCTION("""COMPUTED_VALUE"""),"2do Trasiego")</f>
        <v>2do Trasiego</v>
      </c>
      <c r="L817" s="2"/>
      <c r="M817" s="2"/>
    </row>
    <row r="818" spans="1:13" x14ac:dyDescent="0.25">
      <c r="A818" s="2" t="str">
        <f ca="1">IFERROR(__xludf.DUMMYFUNCTION("""COMPUTED_VALUE"""),"02391dea")</f>
        <v>02391dea</v>
      </c>
      <c r="B818" s="2"/>
      <c r="C818" s="5">
        <f ca="1">IFERROR(__xludf.DUMMYFUNCTION("""COMPUTED_VALUE"""),45793.5052546296)</f>
        <v>45793.505254629599</v>
      </c>
      <c r="D818" s="2">
        <f ca="1">IFERROR(__xludf.DUMMYFUNCTION("""COMPUTED_VALUE"""),41)</f>
        <v>41</v>
      </c>
      <c r="E818" s="2">
        <f ca="1">IFERROR(__xludf.DUMMYFUNCTION("""COMPUTED_VALUE"""),35100)</f>
        <v>35100</v>
      </c>
      <c r="F818" s="2" t="str">
        <f ca="1">IFERROR(__xludf.DUMMYFUNCTION("""COMPUTED_VALUE"""),"Aspirant Anccelota Gota")</f>
        <v>Aspirant Anccelota Gota</v>
      </c>
      <c r="G818" s="2">
        <f ca="1">IFERROR(__xludf.DUMMYFUNCTION("""COMPUTED_VALUE"""),0)</f>
        <v>0</v>
      </c>
      <c r="H818" s="2">
        <f ca="1">IFERROR(__xludf.DUMMYFUNCTION("""COMPUTED_VALUE"""),35100)</f>
        <v>35100</v>
      </c>
      <c r="I818" s="2"/>
      <c r="J818" s="2"/>
      <c r="K818" s="2" t="str">
        <f ca="1">IFERROR(__xludf.DUMMYFUNCTION("""COMPUTED_VALUE"""),"2do Trasiego")</f>
        <v>2do Trasiego</v>
      </c>
      <c r="L818" s="2"/>
      <c r="M818" s="2" t="str">
        <f ca="1">IFERROR(__xludf.DUMMYFUNCTION("""COMPUTED_VALUE"""),"Tinto")</f>
        <v>Tinto</v>
      </c>
    </row>
    <row r="819" spans="1:13" x14ac:dyDescent="0.25">
      <c r="A819" s="2" t="str">
        <f ca="1">IFERROR(__xludf.DUMMYFUNCTION("""COMPUTED_VALUE"""),"0973d1bc")</f>
        <v>0973d1bc</v>
      </c>
      <c r="B819" s="2"/>
      <c r="C819" s="5">
        <f ca="1">IFERROR(__xludf.DUMMYFUNCTION("""COMPUTED_VALUE"""),45793.5054166666)</f>
        <v>45793.505416666601</v>
      </c>
      <c r="D819" s="2">
        <f ca="1">IFERROR(__xludf.DUMMYFUNCTION("""COMPUTED_VALUE"""),50)</f>
        <v>50</v>
      </c>
      <c r="E819" s="2">
        <f ca="1">IFERROR(__xludf.DUMMYFUNCTION("""COMPUTED_VALUE"""),5100)</f>
        <v>5100</v>
      </c>
      <c r="F819" s="2" t="str">
        <f ca="1">IFERROR(__xludf.DUMMYFUNCTION("""COMPUTED_VALUE"""),"Aspirant Anccelota Gota")</f>
        <v>Aspirant Anccelota Gota</v>
      </c>
      <c r="G819" s="2">
        <f ca="1">IFERROR(__xludf.DUMMYFUNCTION("""COMPUTED_VALUE"""),2300)</f>
        <v>2300</v>
      </c>
      <c r="H819" s="2">
        <f ca="1">IFERROR(__xludf.DUMMYFUNCTION("""COMPUTED_VALUE"""),3100)</f>
        <v>3100</v>
      </c>
      <c r="I819" s="2"/>
      <c r="J819" s="2"/>
      <c r="K819" s="2" t="str">
        <f ca="1">IFERROR(__xludf.DUMMYFUNCTION("""COMPUTED_VALUE"""),"1er Trasiego")</f>
        <v>1er Trasiego</v>
      </c>
      <c r="L819" s="2"/>
      <c r="M819" s="2"/>
    </row>
    <row r="820" spans="1:13" x14ac:dyDescent="0.25">
      <c r="A820" s="2" t="str">
        <f ca="1">IFERROR(__xludf.DUMMYFUNCTION("""COMPUTED_VALUE"""),"2931c38f")</f>
        <v>2931c38f</v>
      </c>
      <c r="B820" s="2"/>
      <c r="C820" s="5">
        <f ca="1">IFERROR(__xludf.DUMMYFUNCTION("""COMPUTED_VALUE"""),45793.506875)</f>
        <v>45793.506874999999</v>
      </c>
      <c r="D820" s="2">
        <f ca="1">IFERROR(__xludf.DUMMYFUNCTION("""COMPUTED_VALUE"""),500)</f>
        <v>500</v>
      </c>
      <c r="E820" s="2">
        <f ca="1">IFERROR(__xludf.DUMMYFUNCTION("""COMPUTED_VALUE"""),200000)</f>
        <v>200000</v>
      </c>
      <c r="F820" s="2" t="str">
        <f ca="1">IFERROR(__xludf.DUMMYFUNCTION("""COMPUTED_VALUE"""),"Cabernet Sauv Millan 233")</f>
        <v>Cabernet Sauv Millan 233</v>
      </c>
      <c r="G820" s="2">
        <f ca="1">IFERROR(__xludf.DUMMYFUNCTION("""COMPUTED_VALUE"""),0)</f>
        <v>0</v>
      </c>
      <c r="H820" s="2">
        <f ca="1">IFERROR(__xludf.DUMMYFUNCTION("""COMPUTED_VALUE"""),13000)</f>
        <v>13000</v>
      </c>
      <c r="I820" s="2"/>
      <c r="J820" s="2"/>
      <c r="K820" s="2" t="str">
        <f ca="1">IFERROR(__xludf.DUMMYFUNCTION("""COMPUTED_VALUE"""),"Traslado Venta")</f>
        <v>Traslado Venta</v>
      </c>
      <c r="L820" s="2"/>
      <c r="M820" s="2"/>
    </row>
    <row r="821" spans="1:13" x14ac:dyDescent="0.25">
      <c r="A821" s="2" t="str">
        <f ca="1">IFERROR(__xludf.DUMMYFUNCTION("""COMPUTED_VALUE"""),"6d157016")</f>
        <v>6d157016</v>
      </c>
      <c r="B821" s="2"/>
      <c r="C821" s="5">
        <f ca="1">IFERROR(__xludf.DUMMYFUNCTION("""COMPUTED_VALUE"""),45793.5079282407)</f>
        <v>45793.507928240702</v>
      </c>
      <c r="D821" s="2">
        <f ca="1">IFERROR(__xludf.DUMMYFUNCTION("""COMPUTED_VALUE"""),500)</f>
        <v>500</v>
      </c>
      <c r="E821" s="2">
        <f ca="1">IFERROR(__xludf.DUMMYFUNCTION("""COMPUTED_VALUE"""),200000)</f>
        <v>200000</v>
      </c>
      <c r="F821" s="2" t="str">
        <f ca="1">IFERROR(__xludf.DUMMYFUNCTION("""COMPUTED_VALUE"""),"Cabernet Sauv Millan 233")</f>
        <v>Cabernet Sauv Millan 233</v>
      </c>
      <c r="G821" s="2">
        <f ca="1">IFERROR(__xludf.DUMMYFUNCTION("""COMPUTED_VALUE"""),13000)</f>
        <v>13000</v>
      </c>
      <c r="H821" s="2">
        <f ca="1">IFERROR(__xludf.DUMMYFUNCTION("""COMPUTED_VALUE"""),101000)</f>
        <v>101000</v>
      </c>
      <c r="I821" s="2"/>
      <c r="J821" s="2"/>
      <c r="K821" s="2" t="str">
        <f ca="1">IFERROR(__xludf.DUMMYFUNCTION("""COMPUTED_VALUE"""),"Traslado Venta")</f>
        <v>Traslado Venta</v>
      </c>
      <c r="L821" s="2"/>
      <c r="M821" s="2"/>
    </row>
    <row r="822" spans="1:13" x14ac:dyDescent="0.25">
      <c r="A822" s="2" t="str">
        <f ca="1">IFERROR(__xludf.DUMMYFUNCTION("""COMPUTED_VALUE"""),"1cdbd1a4")</f>
        <v>1cdbd1a4</v>
      </c>
      <c r="B822" s="2"/>
      <c r="C822" s="5">
        <f ca="1">IFERROR(__xludf.DUMMYFUNCTION("""COMPUTED_VALUE"""),45793.5089004629)</f>
        <v>45793.508900462897</v>
      </c>
      <c r="D822" s="2">
        <f ca="1">IFERROR(__xludf.DUMMYFUNCTION("""COMPUTED_VALUE"""),70)</f>
        <v>70</v>
      </c>
      <c r="E822" s="2">
        <f ca="1">IFERROR(__xludf.DUMMYFUNCTION("""COMPUTED_VALUE"""),13000)</f>
        <v>13000</v>
      </c>
      <c r="F822" s="2" t="str">
        <f ca="1">IFERROR(__xludf.DUMMYFUNCTION("""COMPUTED_VALUE"""),"Tinto G")</f>
        <v>Tinto G</v>
      </c>
      <c r="G822" s="2">
        <f ca="1">IFERROR(__xludf.DUMMYFUNCTION("""COMPUTED_VALUE"""),0)</f>
        <v>0</v>
      </c>
      <c r="H822" s="2">
        <f ca="1">IFERROR(__xludf.DUMMYFUNCTION("""COMPUTED_VALUE"""),13000)</f>
        <v>13000</v>
      </c>
      <c r="I822" s="2"/>
      <c r="J822" s="2"/>
      <c r="K822" s="2" t="str">
        <f ca="1">IFERROR(__xludf.DUMMYFUNCTION("""COMPUTED_VALUE"""),"2do Trasiego")</f>
        <v>2do Trasiego</v>
      </c>
      <c r="L822" s="2" t="str">
        <f ca="1">IFERROR(__xludf.DUMMYFUNCTION("""COMPUTED_VALUE"""),"2+")</f>
        <v>2+</v>
      </c>
      <c r="M822" s="2"/>
    </row>
    <row r="823" spans="1:13" x14ac:dyDescent="0.25">
      <c r="A823" s="2" t="str">
        <f ca="1">IFERROR(__xludf.DUMMYFUNCTION("""COMPUTED_VALUE"""),"2443e08d")</f>
        <v>2443e08d</v>
      </c>
      <c r="B823" s="2"/>
      <c r="C823" s="5">
        <f ca="1">IFERROR(__xludf.DUMMYFUNCTION("""COMPUTED_VALUE"""),45793.509224537)</f>
        <v>45793.509224537003</v>
      </c>
      <c r="D823" s="2">
        <f ca="1">IFERROR(__xludf.DUMMYFUNCTION("""COMPUTED_VALUE"""),125)</f>
        <v>125</v>
      </c>
      <c r="E823" s="2">
        <f ca="1">IFERROR(__xludf.DUMMYFUNCTION("""COMPUTED_VALUE"""),31000)</f>
        <v>31000</v>
      </c>
      <c r="F823" s="2" t="str">
        <f ca="1">IFERROR(__xludf.DUMMYFUNCTION("""COMPUTED_VALUE"""),"Tinto G")</f>
        <v>Tinto G</v>
      </c>
      <c r="G823" s="2">
        <f ca="1">IFERROR(__xludf.DUMMYFUNCTION("""COMPUTED_VALUE"""),0)</f>
        <v>0</v>
      </c>
      <c r="H823" s="2">
        <f ca="1">IFERROR(__xludf.DUMMYFUNCTION("""COMPUTED_VALUE"""),6500)</f>
        <v>6500</v>
      </c>
      <c r="I823" s="2"/>
      <c r="J823" s="2"/>
      <c r="K823" s="2" t="str">
        <f ca="1">IFERROR(__xludf.DUMMYFUNCTION("""COMPUTED_VALUE"""),"2do Trasiego")</f>
        <v>2do Trasiego</v>
      </c>
      <c r="L823" s="2"/>
      <c r="M823" s="2"/>
    </row>
    <row r="824" spans="1:13" x14ac:dyDescent="0.25">
      <c r="A824" s="2" t="str">
        <f ca="1">IFERROR(__xludf.DUMMYFUNCTION("""COMPUTED_VALUE"""),"47816ee0")</f>
        <v>47816ee0</v>
      </c>
      <c r="B824" s="2"/>
      <c r="C824" s="5">
        <f ca="1">IFERROR(__xludf.DUMMYFUNCTION("""COMPUTED_VALUE"""),45793.8332060185)</f>
        <v>45793.833206018498</v>
      </c>
      <c r="D824" s="2">
        <f ca="1">IFERROR(__xludf.DUMMYFUNCTION("""COMPUTED_VALUE"""),25)</f>
        <v>25</v>
      </c>
      <c r="E824" s="2">
        <f ca="1">IFERROR(__xludf.DUMMYFUNCTION("""COMPUTED_VALUE"""),194300)</f>
        <v>194300</v>
      </c>
      <c r="F824" s="2" t="str">
        <f ca="1">IFERROR(__xludf.DUMMYFUNCTION("""COMPUTED_VALUE"""),"Syrah")</f>
        <v>Syrah</v>
      </c>
      <c r="G824" s="2">
        <f ca="1">IFERROR(__xludf.DUMMYFUNCTION("""COMPUTED_VALUE"""),0)</f>
        <v>0</v>
      </c>
      <c r="H824" s="2">
        <f ca="1">IFERROR(__xludf.DUMMYFUNCTION("""COMPUTED_VALUE"""),194300)</f>
        <v>194300</v>
      </c>
      <c r="I824" s="2"/>
      <c r="J824" s="2"/>
      <c r="K824" s="2" t="str">
        <f ca="1">IFERROR(__xludf.DUMMYFUNCTION("""COMPUTED_VALUE"""),"2do Trasiego")</f>
        <v>2do Trasiego</v>
      </c>
      <c r="L824" s="2" t="str">
        <f ca="1">IFERROR(__xludf.DUMMYFUNCTION("""COMPUTED_VALUE"""),"1-")</f>
        <v>1-</v>
      </c>
      <c r="M824" s="2"/>
    </row>
    <row r="825" spans="1:13" x14ac:dyDescent="0.25">
      <c r="A825" s="2" t="str">
        <f ca="1">IFERROR(__xludf.DUMMYFUNCTION("""COMPUTED_VALUE"""),"e074b6e4")</f>
        <v>e074b6e4</v>
      </c>
      <c r="B825" s="2"/>
      <c r="C825" s="5">
        <f ca="1">IFERROR(__xludf.DUMMYFUNCTION("""COMPUTED_VALUE"""),45796.4905208333)</f>
        <v>45796.4905208333</v>
      </c>
      <c r="D825" s="2">
        <f ca="1">IFERROR(__xludf.DUMMYFUNCTION("""COMPUTED_VALUE"""),68)</f>
        <v>68</v>
      </c>
      <c r="E825" s="2">
        <f ca="1">IFERROR(__xludf.DUMMYFUNCTION("""COMPUTED_VALUE"""),13000)</f>
        <v>13000</v>
      </c>
      <c r="F825" s="2" t="str">
        <f ca="1">IFERROR(__xludf.DUMMYFUNCTION("""COMPUTED_VALUE"""),"Syrah")</f>
        <v>Syrah</v>
      </c>
      <c r="G825" s="2">
        <f ca="1">IFERROR(__xludf.DUMMYFUNCTION("""COMPUTED_VALUE"""),1600)</f>
        <v>1600</v>
      </c>
      <c r="H825" s="2">
        <f ca="1">IFERROR(__xludf.DUMMYFUNCTION("""COMPUTED_VALUE"""),13000)</f>
        <v>13000</v>
      </c>
      <c r="I825" s="2"/>
      <c r="J825" s="2"/>
      <c r="K825" s="2" t="str">
        <f ca="1">IFERROR(__xludf.DUMMYFUNCTION("""COMPUTED_VALUE"""),"2do Trasiego")</f>
        <v>2do Trasiego</v>
      </c>
      <c r="L825" s="2" t="str">
        <f ca="1">IFERROR(__xludf.DUMMYFUNCTION("""COMPUTED_VALUE"""),"1-")</f>
        <v>1-</v>
      </c>
      <c r="M825" s="2"/>
    </row>
    <row r="826" spans="1:13" x14ac:dyDescent="0.25">
      <c r="A826" s="2" t="str">
        <f ca="1">IFERROR(__xludf.DUMMYFUNCTION("""COMPUTED_VALUE"""),"7b7453a5")</f>
        <v>7b7453a5</v>
      </c>
      <c r="B826" s="2"/>
      <c r="C826" s="5">
        <f ca="1">IFERROR(__xludf.DUMMYFUNCTION("""COMPUTED_VALUE"""),45796.4913541666)</f>
        <v>45796.491354166603</v>
      </c>
      <c r="D826" s="2">
        <f ca="1">IFERROR(__xludf.DUMMYFUNCTION("""COMPUTED_VALUE"""),50)</f>
        <v>50</v>
      </c>
      <c r="E826" s="2">
        <f ca="1">IFERROR(__xludf.DUMMYFUNCTION("""COMPUTED_VALUE"""),5100)</f>
        <v>5100</v>
      </c>
      <c r="F826" s="2" t="str">
        <f ca="1">IFERROR(__xludf.DUMMYFUNCTION("""COMPUTED_VALUE"""),"Aspirant Anccelota Gota")</f>
        <v>Aspirant Anccelota Gota</v>
      </c>
      <c r="G826" s="2">
        <f ca="1">IFERROR(__xludf.DUMMYFUNCTION("""COMPUTED_VALUE"""),3100)</f>
        <v>3100</v>
      </c>
      <c r="H826" s="2">
        <f ca="1">IFERROR(__xludf.DUMMYFUNCTION("""COMPUTED_VALUE"""),5000)</f>
        <v>5000</v>
      </c>
      <c r="I826" s="2"/>
      <c r="J826" s="2"/>
      <c r="K826" s="2" t="str">
        <f ca="1">IFERROR(__xludf.DUMMYFUNCTION("""COMPUTED_VALUE"""),"1er Trasiego")</f>
        <v>1er Trasiego</v>
      </c>
      <c r="L826" s="2"/>
      <c r="M826" s="2" t="str">
        <f ca="1">IFERROR(__xludf.DUMMYFUNCTION("""COMPUTED_VALUE"""),"Tinto")</f>
        <v>Tinto</v>
      </c>
    </row>
    <row r="827" spans="1:13" x14ac:dyDescent="0.25">
      <c r="A827" s="2" t="str">
        <f ca="1">IFERROR(__xludf.DUMMYFUNCTION("""COMPUTED_VALUE"""),"49682afa")</f>
        <v>49682afa</v>
      </c>
      <c r="B827" s="2"/>
      <c r="C827" s="5">
        <f ca="1">IFERROR(__xludf.DUMMYFUNCTION("""COMPUTED_VALUE"""),45796.7097453703)</f>
        <v>45796.709745370303</v>
      </c>
      <c r="D827" s="2">
        <f ca="1">IFERROR(__xludf.DUMMYFUNCTION("""COMPUTED_VALUE"""),500)</f>
        <v>500</v>
      </c>
      <c r="E827" s="2">
        <f ca="1">IFERROR(__xludf.DUMMYFUNCTION("""COMPUTED_VALUE"""),200000)</f>
        <v>200000</v>
      </c>
      <c r="F827" s="2" t="str">
        <f ca="1">IFERROR(__xludf.DUMMYFUNCTION("""COMPUTED_VALUE"""),"Ajuste Arqueo 19/05/2025")</f>
        <v>Ajuste Arqueo 19/05/2025</v>
      </c>
      <c r="G827" s="2"/>
      <c r="H827" s="2">
        <f ca="1">IFERROR(__xludf.DUMMYFUNCTION("""COMPUTED_VALUE"""),1)</f>
        <v>1</v>
      </c>
      <c r="I827" s="2"/>
      <c r="J827" s="2"/>
      <c r="K827" s="2"/>
      <c r="L827" s="2"/>
      <c r="M827" s="2"/>
    </row>
    <row r="828" spans="1:13" x14ac:dyDescent="0.25">
      <c r="A828" s="2" t="str">
        <f ca="1">IFERROR(__xludf.DUMMYFUNCTION("""COMPUTED_VALUE"""),"01cf6615")</f>
        <v>01cf6615</v>
      </c>
      <c r="B828" s="2"/>
      <c r="C828" s="5">
        <f ca="1">IFERROR(__xludf.DUMMYFUNCTION("""COMPUTED_VALUE"""),45796.7175)</f>
        <v>45796.717499999999</v>
      </c>
      <c r="D828" s="2">
        <f ca="1">IFERROR(__xludf.DUMMYFUNCTION("""COMPUTED_VALUE"""),80)</f>
        <v>80</v>
      </c>
      <c r="E828" s="2">
        <f ca="1">IFERROR(__xludf.DUMMYFUNCTION("""COMPUTED_VALUE"""),26100)</f>
        <v>26100</v>
      </c>
      <c r="F828" s="2" t="str">
        <f ca="1">IFERROR(__xludf.DUMMYFUNCTION("""COMPUTED_VALUE"""),"Borra")</f>
        <v>Borra</v>
      </c>
      <c r="G828" s="2">
        <f ca="1">IFERROR(__xludf.DUMMYFUNCTION("""COMPUTED_VALUE"""),16400)</f>
        <v>16400</v>
      </c>
      <c r="H828" s="2">
        <f ca="1">IFERROR(__xludf.DUMMYFUNCTION("""COMPUTED_VALUE"""),22900)</f>
        <v>22900</v>
      </c>
      <c r="I828" s="2"/>
      <c r="J828" s="2"/>
      <c r="K828" s="2" t="str">
        <f ca="1">IFERROR(__xludf.DUMMYFUNCTION("""COMPUTED_VALUE"""),"1er Trasiego")</f>
        <v>1er Trasiego</v>
      </c>
      <c r="L828" s="2"/>
      <c r="M828" s="2"/>
    </row>
    <row r="829" spans="1:13" x14ac:dyDescent="0.25">
      <c r="A829" s="2" t="str">
        <f ca="1">IFERROR(__xludf.DUMMYFUNCTION("""COMPUTED_VALUE"""),"ea842d91")</f>
        <v>ea842d91</v>
      </c>
      <c r="B829" s="2"/>
      <c r="C829" s="5">
        <f ca="1">IFERROR(__xludf.DUMMYFUNCTION("""COMPUTED_VALUE"""),45796.7191319444)</f>
        <v>45796.719131944403</v>
      </c>
      <c r="D829" s="2">
        <f ca="1">IFERROR(__xludf.DUMMYFUNCTION("""COMPUTED_VALUE"""),80)</f>
        <v>80</v>
      </c>
      <c r="E829" s="2">
        <f ca="1">IFERROR(__xludf.DUMMYFUNCTION("""COMPUTED_VALUE"""),26100)</f>
        <v>26100</v>
      </c>
      <c r="F829" s="2" t="str">
        <f ca="1">IFERROR(__xludf.DUMMYFUNCTION("""COMPUTED_VALUE"""),"Borra")</f>
        <v>Borra</v>
      </c>
      <c r="G829" s="2">
        <f ca="1">IFERROR(__xludf.DUMMYFUNCTION("""COMPUTED_VALUE"""),22900)</f>
        <v>22900</v>
      </c>
      <c r="H829" s="2">
        <f ca="1">IFERROR(__xludf.DUMMYFUNCTION("""COMPUTED_VALUE"""),24000)</f>
        <v>24000</v>
      </c>
      <c r="I829" s="2"/>
      <c r="J829" s="2"/>
      <c r="K829" s="2" t="str">
        <f ca="1">IFERROR(__xludf.DUMMYFUNCTION("""COMPUTED_VALUE"""),"1er Trasiego")</f>
        <v>1er Trasiego</v>
      </c>
      <c r="L829" s="2"/>
      <c r="M829" s="2"/>
    </row>
    <row r="830" spans="1:13" x14ac:dyDescent="0.25">
      <c r="A830" s="2" t="str">
        <f ca="1">IFERROR(__xludf.DUMMYFUNCTION("""COMPUTED_VALUE"""),"a4bf5699")</f>
        <v>a4bf5699</v>
      </c>
      <c r="B830" s="2"/>
      <c r="C830" s="5">
        <f ca="1">IFERROR(__xludf.DUMMYFUNCTION("""COMPUTED_VALUE"""),45796.7193634259)</f>
        <v>45796.719363425902</v>
      </c>
      <c r="D830" s="2">
        <f ca="1">IFERROR(__xludf.DUMMYFUNCTION("""COMPUTED_VALUE"""),500)</f>
        <v>500</v>
      </c>
      <c r="E830" s="2">
        <f ca="1">IFERROR(__xludf.DUMMYFUNCTION("""COMPUTED_VALUE"""),200000)</f>
        <v>200000</v>
      </c>
      <c r="F830" s="2" t="str">
        <f ca="1">IFERROR(__xludf.DUMMYFUNCTION("""COMPUTED_VALUE"""),"Ajuste Arqueo 19/05/2025")</f>
        <v>Ajuste Arqueo 19/05/2025</v>
      </c>
      <c r="G830" s="2">
        <f ca="1">IFERROR(__xludf.DUMMYFUNCTION("""COMPUTED_VALUE"""),1)</f>
        <v>1</v>
      </c>
      <c r="H830" s="2">
        <f ca="1">IFERROR(__xludf.DUMMYFUNCTION("""COMPUTED_VALUE"""),2101)</f>
        <v>2101</v>
      </c>
      <c r="I830" s="2"/>
      <c r="J830" s="2"/>
      <c r="K830" s="2"/>
      <c r="L830" s="2"/>
      <c r="M830" s="2"/>
    </row>
    <row r="831" spans="1:13" x14ac:dyDescent="0.25">
      <c r="A831" s="2" t="str">
        <f ca="1">IFERROR(__xludf.DUMMYFUNCTION("""COMPUTED_VALUE"""),"d24b2834")</f>
        <v>d24b2834</v>
      </c>
      <c r="B831" s="2"/>
      <c r="C831" s="5">
        <f ca="1">IFERROR(__xludf.DUMMYFUNCTION("""COMPUTED_VALUE"""),45796.7199768518)</f>
        <v>45796.719976851797</v>
      </c>
      <c r="D831" s="2">
        <f ca="1">IFERROR(__xludf.DUMMYFUNCTION("""COMPUTED_VALUE"""),500)</f>
        <v>500</v>
      </c>
      <c r="E831" s="2">
        <f ca="1">IFERROR(__xludf.DUMMYFUNCTION("""COMPUTED_VALUE"""),200000)</f>
        <v>200000</v>
      </c>
      <c r="F831" s="2" t="str">
        <f ca="1">IFERROR(__xludf.DUMMYFUNCTION("""COMPUTED_VALUE"""),"Ajuste Arqueo 19/05/2025")</f>
        <v>Ajuste Arqueo 19/05/2025</v>
      </c>
      <c r="G831" s="2">
        <f ca="1">IFERROR(__xludf.DUMMYFUNCTION("""COMPUTED_VALUE"""),2101)</f>
        <v>2101</v>
      </c>
      <c r="H831" s="2">
        <f ca="1">IFERROR(__xludf.DUMMYFUNCTION("""COMPUTED_VALUE"""),2001)</f>
        <v>2001</v>
      </c>
      <c r="I831" s="2"/>
      <c r="J831" s="2"/>
      <c r="K831" s="2"/>
      <c r="L831" s="2"/>
      <c r="M831" s="2"/>
    </row>
    <row r="832" spans="1:13" x14ac:dyDescent="0.25">
      <c r="A832" s="2" t="str">
        <f ca="1">IFERROR(__xludf.DUMMYFUNCTION("""COMPUTED_VALUE"""),"b16ab165")</f>
        <v>b16ab165</v>
      </c>
      <c r="B832" s="2"/>
      <c r="C832" s="5">
        <f ca="1">IFERROR(__xludf.DUMMYFUNCTION("""COMPUTED_VALUE"""),45796.7208333333)</f>
        <v>45796.720833333296</v>
      </c>
      <c r="D832" s="2">
        <f ca="1">IFERROR(__xludf.DUMMYFUNCTION("""COMPUTED_VALUE"""),500)</f>
        <v>500</v>
      </c>
      <c r="E832" s="2">
        <f ca="1">IFERROR(__xludf.DUMMYFUNCTION("""COMPUTED_VALUE"""),200000)</f>
        <v>200000</v>
      </c>
      <c r="F832" s="2" t="str">
        <f ca="1">IFERROR(__xludf.DUMMYFUNCTION("""COMPUTED_VALUE"""),"Ajuste Arqueo 19/05/2025")</f>
        <v>Ajuste Arqueo 19/05/2025</v>
      </c>
      <c r="G832" s="2">
        <f ca="1">IFERROR(__xludf.DUMMYFUNCTION("""COMPUTED_VALUE"""),2001)</f>
        <v>2001</v>
      </c>
      <c r="H832" s="2">
        <f ca="1">IFERROR(__xludf.DUMMYFUNCTION("""COMPUTED_VALUE"""),2101)</f>
        <v>2101</v>
      </c>
      <c r="I832" s="2"/>
      <c r="J832" s="2"/>
      <c r="K832" s="2"/>
      <c r="L832" s="2"/>
      <c r="M832" s="2"/>
    </row>
    <row r="833" spans="1:13" x14ac:dyDescent="0.25">
      <c r="A833" s="2" t="str">
        <f ca="1">IFERROR(__xludf.DUMMYFUNCTION("""COMPUTED_VALUE"""),"b82badfa")</f>
        <v>b82badfa</v>
      </c>
      <c r="B833" s="2"/>
      <c r="C833" s="5">
        <f ca="1">IFERROR(__xludf.DUMMYFUNCTION("""COMPUTED_VALUE"""),45796.7211458333)</f>
        <v>45796.721145833297</v>
      </c>
      <c r="D833" s="2">
        <f ca="1">IFERROR(__xludf.DUMMYFUNCTION("""COMPUTED_VALUE"""),500)</f>
        <v>500</v>
      </c>
      <c r="E833" s="2">
        <f ca="1">IFERROR(__xludf.DUMMYFUNCTION("""COMPUTED_VALUE"""),200000)</f>
        <v>200000</v>
      </c>
      <c r="F833" s="2" t="str">
        <f ca="1">IFERROR(__xludf.DUMMYFUNCTION("""COMPUTED_VALUE"""),"Ajuste Arqueo 19/05/2025")</f>
        <v>Ajuste Arqueo 19/05/2025</v>
      </c>
      <c r="G833" s="2">
        <f ca="1">IFERROR(__xludf.DUMMYFUNCTION("""COMPUTED_VALUE"""),2101)</f>
        <v>2101</v>
      </c>
      <c r="H833" s="2">
        <f ca="1">IFERROR(__xludf.DUMMYFUNCTION("""COMPUTED_VALUE"""),2201)</f>
        <v>2201</v>
      </c>
      <c r="I833" s="2"/>
      <c r="J833" s="2"/>
      <c r="K833" s="2"/>
      <c r="L833" s="2"/>
      <c r="M833" s="2"/>
    </row>
    <row r="834" spans="1:13" x14ac:dyDescent="0.25">
      <c r="A834" s="2" t="str">
        <f ca="1">IFERROR(__xludf.DUMMYFUNCTION("""COMPUTED_VALUE"""),"9059a425")</f>
        <v>9059a425</v>
      </c>
      <c r="B834" s="2"/>
      <c r="C834" s="5">
        <f ca="1">IFERROR(__xludf.DUMMYFUNCTION("""COMPUTED_VALUE"""),45796.7214583333)</f>
        <v>45796.721458333297</v>
      </c>
      <c r="D834" s="2">
        <f ca="1">IFERROR(__xludf.DUMMYFUNCTION("""COMPUTED_VALUE"""),500)</f>
        <v>500</v>
      </c>
      <c r="E834" s="2">
        <f ca="1">IFERROR(__xludf.DUMMYFUNCTION("""COMPUTED_VALUE"""),200000)</f>
        <v>200000</v>
      </c>
      <c r="F834" s="2" t="str">
        <f ca="1">IFERROR(__xludf.DUMMYFUNCTION("""COMPUTED_VALUE"""),"Ajuste Arqueo 19/05/2025")</f>
        <v>Ajuste Arqueo 19/05/2025</v>
      </c>
      <c r="G834" s="2">
        <f ca="1">IFERROR(__xludf.DUMMYFUNCTION("""COMPUTED_VALUE"""),2201)</f>
        <v>2201</v>
      </c>
      <c r="H834" s="2">
        <f ca="1">IFERROR(__xludf.DUMMYFUNCTION("""COMPUTED_VALUE"""),2001)</f>
        <v>2001</v>
      </c>
      <c r="I834" s="2"/>
      <c r="J834" s="2"/>
      <c r="K834" s="2"/>
      <c r="L834" s="2"/>
      <c r="M834" s="2"/>
    </row>
    <row r="835" spans="1:13" x14ac:dyDescent="0.25">
      <c r="A835" s="2" t="str">
        <f ca="1">IFERROR(__xludf.DUMMYFUNCTION("""COMPUTED_VALUE"""),"e9659899")</f>
        <v>e9659899</v>
      </c>
      <c r="B835" s="2"/>
      <c r="C835" s="5">
        <f ca="1">IFERROR(__xludf.DUMMYFUNCTION("""COMPUTED_VALUE"""),45796.7219907407)</f>
        <v>45796.721990740698</v>
      </c>
      <c r="D835" s="2">
        <f ca="1">IFERROR(__xludf.DUMMYFUNCTION("""COMPUTED_VALUE"""),500)</f>
        <v>500</v>
      </c>
      <c r="E835" s="2">
        <f ca="1">IFERROR(__xludf.DUMMYFUNCTION("""COMPUTED_VALUE"""),200000)</f>
        <v>200000</v>
      </c>
      <c r="F835" s="2" t="str">
        <f ca="1">IFERROR(__xludf.DUMMYFUNCTION("""COMPUTED_VALUE"""),"Ajuste Arqueo 19/05/2025")</f>
        <v>Ajuste Arqueo 19/05/2025</v>
      </c>
      <c r="G835" s="2">
        <f ca="1">IFERROR(__xludf.DUMMYFUNCTION("""COMPUTED_VALUE"""),2001)</f>
        <v>2001</v>
      </c>
      <c r="H835" s="2">
        <f ca="1">IFERROR(__xludf.DUMMYFUNCTION("""COMPUTED_VALUE"""),-299)</f>
        <v>-299</v>
      </c>
      <c r="I835" s="2"/>
      <c r="J835" s="2"/>
      <c r="K835" s="2"/>
      <c r="L835" s="2"/>
      <c r="M835" s="2"/>
    </row>
    <row r="836" spans="1:13" x14ac:dyDescent="0.25">
      <c r="A836" s="2" t="str">
        <f ca="1">IFERROR(__xludf.DUMMYFUNCTION("""COMPUTED_VALUE"""),"b9348c96")</f>
        <v>b9348c96</v>
      </c>
      <c r="B836" s="2"/>
      <c r="C836" s="5">
        <f ca="1">IFERROR(__xludf.DUMMYFUNCTION("""COMPUTED_VALUE"""),45796.7224768518)</f>
        <v>45796.722476851799</v>
      </c>
      <c r="D836" s="2">
        <f ca="1">IFERROR(__xludf.DUMMYFUNCTION("""COMPUTED_VALUE"""),500)</f>
        <v>500</v>
      </c>
      <c r="E836" s="2">
        <f ca="1">IFERROR(__xludf.DUMMYFUNCTION("""COMPUTED_VALUE"""),200000)</f>
        <v>200000</v>
      </c>
      <c r="F836" s="2" t="str">
        <f ca="1">IFERROR(__xludf.DUMMYFUNCTION("""COMPUTED_VALUE"""),"Ajuste Arqueo 19/05/2025")</f>
        <v>Ajuste Arqueo 19/05/2025</v>
      </c>
      <c r="G836" s="2">
        <f ca="1">IFERROR(__xludf.DUMMYFUNCTION("""COMPUTED_VALUE"""),-299)</f>
        <v>-299</v>
      </c>
      <c r="H836" s="2">
        <f ca="1">IFERROR(__xludf.DUMMYFUNCTION("""COMPUTED_VALUE"""),201)</f>
        <v>201</v>
      </c>
      <c r="I836" s="2"/>
      <c r="J836" s="2"/>
      <c r="K836" s="2"/>
      <c r="L836" s="2"/>
      <c r="M836" s="2"/>
    </row>
    <row r="837" spans="1:13" x14ac:dyDescent="0.25">
      <c r="A837" s="2" t="str">
        <f ca="1">IFERROR(__xludf.DUMMYFUNCTION("""COMPUTED_VALUE"""),"2afd72e2")</f>
        <v>2afd72e2</v>
      </c>
      <c r="B837" s="2"/>
      <c r="C837" s="5">
        <f ca="1">IFERROR(__xludf.DUMMYFUNCTION("""COMPUTED_VALUE"""),45796.7227430555)</f>
        <v>45796.722743055499</v>
      </c>
      <c r="D837" s="2">
        <f ca="1">IFERROR(__xludf.DUMMYFUNCTION("""COMPUTED_VALUE"""),500)</f>
        <v>500</v>
      </c>
      <c r="E837" s="2">
        <f ca="1">IFERROR(__xludf.DUMMYFUNCTION("""COMPUTED_VALUE"""),200000)</f>
        <v>200000</v>
      </c>
      <c r="F837" s="2" t="str">
        <f ca="1">IFERROR(__xludf.DUMMYFUNCTION("""COMPUTED_VALUE"""),"Ajuste Arqueo 19/05/2025")</f>
        <v>Ajuste Arqueo 19/05/2025</v>
      </c>
      <c r="G837" s="2">
        <f ca="1">IFERROR(__xludf.DUMMYFUNCTION("""COMPUTED_VALUE"""),201)</f>
        <v>201</v>
      </c>
      <c r="H837" s="2">
        <f ca="1">IFERROR(__xludf.DUMMYFUNCTION("""COMPUTED_VALUE"""),701)</f>
        <v>701</v>
      </c>
      <c r="I837" s="2" t="str">
        <f ca="1">IFERROR(__xludf.DUMMYFUNCTION("""COMPUTED_VALUE"""),"Ajuste final solo 700 lts")</f>
        <v>Ajuste final solo 700 lts</v>
      </c>
      <c r="J837" s="2"/>
      <c r="K837" s="2"/>
      <c r="L837" s="2"/>
      <c r="M837" s="2"/>
    </row>
    <row r="838" spans="1:13" x14ac:dyDescent="0.25">
      <c r="A838" s="2" t="str">
        <f ca="1">IFERROR(__xludf.DUMMYFUNCTION("""COMPUTED_VALUE"""),"156fcfa6")</f>
        <v>156fcfa6</v>
      </c>
      <c r="B838" s="2"/>
      <c r="C838" s="5">
        <f ca="1">IFERROR(__xludf.DUMMYFUNCTION("""COMPUTED_VALUE"""),45796.7385879629)</f>
        <v>45796.7385879629</v>
      </c>
      <c r="D838" s="2">
        <f ca="1">IFERROR(__xludf.DUMMYFUNCTION("""COMPUTED_VALUE"""),26)</f>
        <v>26</v>
      </c>
      <c r="E838" s="2">
        <f ca="1">IFERROR(__xludf.DUMMYFUNCTION("""COMPUTED_VALUE"""),207600)</f>
        <v>207600</v>
      </c>
      <c r="F838" s="2" t="str">
        <f ca="1">IFERROR(__xludf.DUMMYFUNCTION("""COMPUTED_VALUE"""),"Tinto Venta Garbin")</f>
        <v>Tinto Venta Garbin</v>
      </c>
      <c r="G838" s="2">
        <f ca="1">IFERROR(__xludf.DUMMYFUNCTION("""COMPUTED_VALUE"""),0)</f>
        <v>0</v>
      </c>
      <c r="H838" s="2">
        <f ca="1">IFERROR(__xludf.DUMMYFUNCTION("""COMPUTED_VALUE"""),95000)</f>
        <v>95000</v>
      </c>
      <c r="I838" s="2"/>
      <c r="J838" s="2"/>
      <c r="K838" s="2"/>
      <c r="L838" s="2"/>
      <c r="M838" s="2"/>
    </row>
    <row r="839" spans="1:13" x14ac:dyDescent="0.25">
      <c r="A839" s="2" t="str">
        <f ca="1">IFERROR(__xludf.DUMMYFUNCTION("""COMPUTED_VALUE"""),"3fbc32d2")</f>
        <v>3fbc32d2</v>
      </c>
      <c r="B839" s="2"/>
      <c r="C839" s="5">
        <f ca="1">IFERROR(__xludf.DUMMYFUNCTION("""COMPUTED_VALUE"""),45796.7611111111)</f>
        <v>45796.761111111096</v>
      </c>
      <c r="D839" s="2">
        <f ca="1">IFERROR(__xludf.DUMMYFUNCTION("""COMPUTED_VALUE"""),26)</f>
        <v>26</v>
      </c>
      <c r="E839" s="2">
        <f ca="1">IFERROR(__xludf.DUMMYFUNCTION("""COMPUTED_VALUE"""),207600)</f>
        <v>207600</v>
      </c>
      <c r="F839" s="2" t="str">
        <f ca="1">IFERROR(__xludf.DUMMYFUNCTION("""COMPUTED_VALUE"""),"Tinto Venta Garbin")</f>
        <v>Tinto Venta Garbin</v>
      </c>
      <c r="G839" s="2">
        <f ca="1">IFERROR(__xludf.DUMMYFUNCTION("""COMPUTED_VALUE"""),95000)</f>
        <v>95000</v>
      </c>
      <c r="H839" s="2">
        <f ca="1">IFERROR(__xludf.DUMMYFUNCTION("""COMPUTED_VALUE"""),130000)</f>
        <v>130000</v>
      </c>
      <c r="I839" s="2"/>
      <c r="J839" s="2"/>
      <c r="K839" s="2"/>
      <c r="L839" s="2"/>
      <c r="M839" s="2"/>
    </row>
    <row r="840" spans="1:13" x14ac:dyDescent="0.25">
      <c r="A840" s="2" t="str">
        <f ca="1">IFERROR(__xludf.DUMMYFUNCTION("""COMPUTED_VALUE"""),"f3656dbf")</f>
        <v>f3656dbf</v>
      </c>
      <c r="B840" s="2"/>
      <c r="C840" s="5">
        <f ca="1">IFERROR(__xludf.DUMMYFUNCTION("""COMPUTED_VALUE"""),45796.7618287037)</f>
        <v>45796.761828703697</v>
      </c>
      <c r="D840" s="2">
        <f ca="1">IFERROR(__xludf.DUMMYFUNCTION("""COMPUTED_VALUE"""),26)</f>
        <v>26</v>
      </c>
      <c r="E840" s="2">
        <f ca="1">IFERROR(__xludf.DUMMYFUNCTION("""COMPUTED_VALUE"""),207600)</f>
        <v>207600</v>
      </c>
      <c r="F840" s="2" t="str">
        <f ca="1">IFERROR(__xludf.DUMMYFUNCTION("""COMPUTED_VALUE"""),"Tinto Venta Garbin")</f>
        <v>Tinto Venta Garbin</v>
      </c>
      <c r="G840" s="2">
        <f ca="1">IFERROR(__xludf.DUMMYFUNCTION("""COMPUTED_VALUE"""),130000)</f>
        <v>130000</v>
      </c>
      <c r="H840" s="2">
        <f ca="1">IFERROR(__xludf.DUMMYFUNCTION("""COMPUTED_VALUE"""),166000)</f>
        <v>166000</v>
      </c>
      <c r="I840" s="2"/>
      <c r="J840" s="2"/>
      <c r="K840" s="2"/>
      <c r="L840" s="2"/>
      <c r="M840" s="2"/>
    </row>
    <row r="841" spans="1:13" x14ac:dyDescent="0.25">
      <c r="A841" s="2" t="str">
        <f ca="1">IFERROR(__xludf.DUMMYFUNCTION("""COMPUTED_VALUE"""),"5c83ebb2")</f>
        <v>5c83ebb2</v>
      </c>
      <c r="B841" s="2"/>
      <c r="C841" s="5">
        <f ca="1">IFERROR(__xludf.DUMMYFUNCTION("""COMPUTED_VALUE"""),45796.7630208333)</f>
        <v>45796.763020833299</v>
      </c>
      <c r="D841" s="2">
        <f ca="1">IFERROR(__xludf.DUMMYFUNCTION("""COMPUTED_VALUE"""),26)</f>
        <v>26</v>
      </c>
      <c r="E841" s="2">
        <f ca="1">IFERROR(__xludf.DUMMYFUNCTION("""COMPUTED_VALUE"""),207600)</f>
        <v>207600</v>
      </c>
      <c r="F841" s="2" t="str">
        <f ca="1">IFERROR(__xludf.DUMMYFUNCTION("""COMPUTED_VALUE"""),"Tinto Venta Garbin")</f>
        <v>Tinto Venta Garbin</v>
      </c>
      <c r="G841" s="2">
        <f ca="1">IFERROR(__xludf.DUMMYFUNCTION("""COMPUTED_VALUE"""),166000)</f>
        <v>166000</v>
      </c>
      <c r="H841" s="2">
        <f ca="1">IFERROR(__xludf.DUMMYFUNCTION("""COMPUTED_VALUE"""),201000)</f>
        <v>201000</v>
      </c>
      <c r="I841" s="2"/>
      <c r="J841" s="2"/>
      <c r="K841" s="2"/>
      <c r="L841" s="2"/>
      <c r="M841" s="2"/>
    </row>
    <row r="842" spans="1:13" x14ac:dyDescent="0.25">
      <c r="A842" s="2" t="str">
        <f ca="1">IFERROR(__xludf.DUMMYFUNCTION("""COMPUTED_VALUE"""),"ebb87073")</f>
        <v>ebb87073</v>
      </c>
      <c r="B842" s="2"/>
      <c r="C842" s="5">
        <f ca="1">IFERROR(__xludf.DUMMYFUNCTION("""COMPUTED_VALUE"""),45796.7740162037)</f>
        <v>45796.774016203701</v>
      </c>
      <c r="D842" s="2">
        <f ca="1">IFERROR(__xludf.DUMMYFUNCTION("""COMPUTED_VALUE"""),80)</f>
        <v>80</v>
      </c>
      <c r="E842" s="2">
        <f ca="1">IFERROR(__xludf.DUMMYFUNCTION("""COMPUTED_VALUE"""),26100)</f>
        <v>26100</v>
      </c>
      <c r="F842" s="2" t="str">
        <f ca="1">IFERROR(__xludf.DUMMYFUNCTION("""COMPUTED_VALUE"""),"Borra")</f>
        <v>Borra</v>
      </c>
      <c r="G842" s="2">
        <f ca="1">IFERROR(__xludf.DUMMYFUNCTION("""COMPUTED_VALUE"""),24000)</f>
        <v>24000</v>
      </c>
      <c r="H842" s="2">
        <f ca="1">IFERROR(__xludf.DUMMYFUNCTION("""COMPUTED_VALUE"""),26100)</f>
        <v>26100</v>
      </c>
      <c r="I842" s="2"/>
      <c r="J842" s="2"/>
      <c r="K842" s="2" t="str">
        <f ca="1">IFERROR(__xludf.DUMMYFUNCTION("""COMPUTED_VALUE"""),"1er Trasiego")</f>
        <v>1er Trasiego</v>
      </c>
      <c r="L842" s="2"/>
      <c r="M842" s="2" t="str">
        <f ca="1">IFERROR(__xludf.DUMMYFUNCTION("""COMPUTED_VALUE"""),"Tinto")</f>
        <v>Tinto</v>
      </c>
    </row>
    <row r="843" spans="1:13" x14ac:dyDescent="0.25">
      <c r="A843" s="2" t="str">
        <f ca="1">IFERROR(__xludf.DUMMYFUNCTION("""COMPUTED_VALUE"""),"ab0df0a5")</f>
        <v>ab0df0a5</v>
      </c>
      <c r="B843" s="2"/>
      <c r="C843" s="5">
        <f ca="1">IFERROR(__xludf.DUMMYFUNCTION("""COMPUTED_VALUE"""),45796.776099537)</f>
        <v>45796.776099536997</v>
      </c>
      <c r="D843" s="2">
        <f ca="1">IFERROR(__xludf.DUMMYFUNCTION("""COMPUTED_VALUE"""),26)</f>
        <v>26</v>
      </c>
      <c r="E843" s="2">
        <f ca="1">IFERROR(__xludf.DUMMYFUNCTION("""COMPUTED_VALUE"""),207600)</f>
        <v>207600</v>
      </c>
      <c r="F843" s="2" t="str">
        <f ca="1">IFERROR(__xludf.DUMMYFUNCTION("""COMPUTED_VALUE"""),"Tinto Venta Garbin")</f>
        <v>Tinto Venta Garbin</v>
      </c>
      <c r="G843" s="2">
        <f ca="1">IFERROR(__xludf.DUMMYFUNCTION("""COMPUTED_VALUE"""),201000)</f>
        <v>201000</v>
      </c>
      <c r="H843" s="2">
        <f ca="1">IFERROR(__xludf.DUMMYFUNCTION("""COMPUTED_VALUE"""),201400)</f>
        <v>201400</v>
      </c>
      <c r="I843" s="2"/>
      <c r="J843" s="2"/>
      <c r="K843" s="2" t="str">
        <f ca="1">IFERROR(__xludf.DUMMYFUNCTION("""COMPUTED_VALUE"""),"Traslado Venta")</f>
        <v>Traslado Venta</v>
      </c>
      <c r="L843" s="2"/>
      <c r="M843" s="2"/>
    </row>
    <row r="844" spans="1:13" x14ac:dyDescent="0.25">
      <c r="A844" s="2" t="str">
        <f ca="1">IFERROR(__xludf.DUMMYFUNCTION("""COMPUTED_VALUE"""),"94013da4")</f>
        <v>94013da4</v>
      </c>
      <c r="B844" s="2"/>
      <c r="C844" s="5">
        <f ca="1">IFERROR(__xludf.DUMMYFUNCTION("""COMPUTED_VALUE"""),45796.8083101851)</f>
        <v>45796.808310185101</v>
      </c>
      <c r="D844" s="2">
        <f ca="1">IFERROR(__xludf.DUMMYFUNCTION("""COMPUTED_VALUE"""),500)</f>
        <v>500</v>
      </c>
      <c r="E844" s="2">
        <f ca="1">IFERROR(__xludf.DUMMYFUNCTION("""COMPUTED_VALUE"""),200000)</f>
        <v>200000</v>
      </c>
      <c r="F844" s="2"/>
      <c r="G844" s="2">
        <f ca="1">IFERROR(__xludf.DUMMYFUNCTION("""COMPUTED_VALUE"""),0)</f>
        <v>0</v>
      </c>
      <c r="H844" s="2">
        <f ca="1">IFERROR(__xludf.DUMMYFUNCTION("""COMPUTED_VALUE"""),7000)</f>
        <v>7000</v>
      </c>
      <c r="I844" s="2"/>
      <c r="J844" s="2"/>
      <c r="K844" s="2"/>
      <c r="L844" s="2"/>
      <c r="M844" s="2"/>
    </row>
    <row r="845" spans="1:13" x14ac:dyDescent="0.25">
      <c r="A845" s="2" t="str">
        <f ca="1">IFERROR(__xludf.DUMMYFUNCTION("""COMPUTED_VALUE"""),"8fa197ac")</f>
        <v>8fa197ac</v>
      </c>
      <c r="B845" s="2"/>
      <c r="C845" s="5">
        <f ca="1">IFERROR(__xludf.DUMMYFUNCTION("""COMPUTED_VALUE"""),45797.7438773148)</f>
        <v>45797.743877314802</v>
      </c>
      <c r="D845" s="2">
        <f ca="1">IFERROR(__xludf.DUMMYFUNCTION("""COMPUTED_VALUE"""),114)</f>
        <v>114</v>
      </c>
      <c r="E845" s="2">
        <f ca="1">IFERROR(__xludf.DUMMYFUNCTION("""COMPUTED_VALUE"""),125300)</f>
        <v>125300</v>
      </c>
      <c r="F845" s="2" t="str">
        <f ca="1">IFERROR(__xludf.DUMMYFUNCTION("""COMPUTED_VALUE"""),"Syrah Tempranillo")</f>
        <v>Syrah Tempranillo</v>
      </c>
      <c r="G845" s="2">
        <f ca="1">IFERROR(__xludf.DUMMYFUNCTION("""COMPUTED_VALUE"""),90300)</f>
        <v>90300</v>
      </c>
      <c r="H845" s="2">
        <f ca="1">IFERROR(__xludf.DUMMYFUNCTION("""COMPUTED_VALUE"""),120300)</f>
        <v>120300</v>
      </c>
      <c r="I845" s="2"/>
      <c r="J845" s="2"/>
      <c r="K845" s="2" t="str">
        <f ca="1">IFERROR(__xludf.DUMMYFUNCTION("""COMPUTED_VALUE"""),"2do Trasiego")</f>
        <v>2do Trasiego</v>
      </c>
      <c r="L845" s="2"/>
      <c r="M845" s="2"/>
    </row>
    <row r="846" spans="1:13" x14ac:dyDescent="0.25">
      <c r="A846" s="2" t="str">
        <f ca="1">IFERROR(__xludf.DUMMYFUNCTION("""COMPUTED_VALUE"""),"a9aa0086")</f>
        <v>a9aa0086</v>
      </c>
      <c r="B846" s="2"/>
      <c r="C846" s="5">
        <f ca="1">IFERROR(__xludf.DUMMYFUNCTION("""COMPUTED_VALUE"""),45797.7445949074)</f>
        <v>45797.744594907403</v>
      </c>
      <c r="D846" s="2">
        <f ca="1">IFERROR(__xludf.DUMMYFUNCTION("""COMPUTED_VALUE"""),114)</f>
        <v>114</v>
      </c>
      <c r="E846" s="2">
        <f ca="1">IFERROR(__xludf.DUMMYFUNCTION("""COMPUTED_VALUE"""),125300)</f>
        <v>125300</v>
      </c>
      <c r="F846" s="2" t="str">
        <f ca="1">IFERROR(__xludf.DUMMYFUNCTION("""COMPUTED_VALUE"""),"Syrah Tempranillo")</f>
        <v>Syrah Tempranillo</v>
      </c>
      <c r="G846" s="2">
        <f ca="1">IFERROR(__xludf.DUMMYFUNCTION("""COMPUTED_VALUE"""),120300)</f>
        <v>120300</v>
      </c>
      <c r="H846" s="2">
        <f ca="1">IFERROR(__xludf.DUMMYFUNCTION("""COMPUTED_VALUE"""),125300)</f>
        <v>125300</v>
      </c>
      <c r="I846" s="2" t="str">
        <f ca="1">IFERROR(__xludf.DUMMYFUNCTION("""COMPUTED_VALUE"""),"5/06  De todos los Syrah es el que mas gusto en la degustacion")</f>
        <v>5/06  De todos los Syrah es el que mas gusto en la degustacion</v>
      </c>
      <c r="J846" s="2"/>
      <c r="K846" s="2" t="str">
        <f ca="1">IFERROR(__xludf.DUMMYFUNCTION("""COMPUTED_VALUE"""),"2do Trasiego")</f>
        <v>2do Trasiego</v>
      </c>
      <c r="L846" s="2" t="str">
        <f ca="1">IFERROR(__xludf.DUMMYFUNCTION("""COMPUTED_VALUE"""),"1+")</f>
        <v>1+</v>
      </c>
      <c r="M846" s="2"/>
    </row>
    <row r="847" spans="1:13" x14ac:dyDescent="0.25">
      <c r="A847" s="2" t="str">
        <f ca="1">IFERROR(__xludf.DUMMYFUNCTION("""COMPUTED_VALUE"""),"853ab9c1")</f>
        <v>853ab9c1</v>
      </c>
      <c r="B847" s="2"/>
      <c r="C847" s="5">
        <f ca="1">IFERROR(__xludf.DUMMYFUNCTION("""COMPUTED_VALUE"""),45797.7452430555)</f>
        <v>45797.745243055499</v>
      </c>
      <c r="D847" s="2">
        <f ca="1">IFERROR(__xludf.DUMMYFUNCTION("""COMPUTED_VALUE"""),68)</f>
        <v>68</v>
      </c>
      <c r="E847" s="2">
        <f ca="1">IFERROR(__xludf.DUMMYFUNCTION("""COMPUTED_VALUE"""),13000)</f>
        <v>13000</v>
      </c>
      <c r="F847" s="2" t="str">
        <f ca="1">IFERROR(__xludf.DUMMYFUNCTION("""COMPUTED_VALUE"""),"Syrah")</f>
        <v>Syrah</v>
      </c>
      <c r="G847" s="2">
        <f ca="1">IFERROR(__xludf.DUMMYFUNCTION("""COMPUTED_VALUE"""),8000)</f>
        <v>8000</v>
      </c>
      <c r="H847" s="2">
        <f ca="1">IFERROR(__xludf.DUMMYFUNCTION("""COMPUTED_VALUE"""),7500)</f>
        <v>7500</v>
      </c>
      <c r="I847" s="2"/>
      <c r="J847" s="2"/>
      <c r="K847" s="2" t="str">
        <f ca="1">IFERROR(__xludf.DUMMYFUNCTION("""COMPUTED_VALUE"""),"2do Trasiego")</f>
        <v>2do Trasiego</v>
      </c>
      <c r="L847" s="2"/>
      <c r="M847" s="2"/>
    </row>
    <row r="848" spans="1:13" x14ac:dyDescent="0.25">
      <c r="A848" s="2" t="str">
        <f ca="1">IFERROR(__xludf.DUMMYFUNCTION("""COMPUTED_VALUE"""),"1fdf5dbd")</f>
        <v>1fdf5dbd</v>
      </c>
      <c r="B848" s="2"/>
      <c r="C848" s="5">
        <f ca="1">IFERROR(__xludf.DUMMYFUNCTION("""COMPUTED_VALUE"""),45797.7455671296)</f>
        <v>45797.745567129597</v>
      </c>
      <c r="D848" s="2">
        <f ca="1">IFERROR(__xludf.DUMMYFUNCTION("""COMPUTED_VALUE"""),68)</f>
        <v>68</v>
      </c>
      <c r="E848" s="2">
        <f ca="1">IFERROR(__xludf.DUMMYFUNCTION("""COMPUTED_VALUE"""),13000)</f>
        <v>13000</v>
      </c>
      <c r="F848" s="2" t="str">
        <f ca="1">IFERROR(__xludf.DUMMYFUNCTION("""COMPUTED_VALUE"""),"Syrah")</f>
        <v>Syrah</v>
      </c>
      <c r="G848" s="2">
        <f ca="1">IFERROR(__xludf.DUMMYFUNCTION("""COMPUTED_VALUE"""),7500)</f>
        <v>7500</v>
      </c>
      <c r="H848" s="2">
        <f ca="1">IFERROR(__xludf.DUMMYFUNCTION("""COMPUTED_VALUE"""),7000)</f>
        <v>7000</v>
      </c>
      <c r="I848" s="2"/>
      <c r="J848" s="2"/>
      <c r="K848" s="2" t="str">
        <f ca="1">IFERROR(__xludf.DUMMYFUNCTION("""COMPUTED_VALUE"""),"2do Trasiego")</f>
        <v>2do Trasiego</v>
      </c>
      <c r="L848" s="2"/>
      <c r="M848" s="2"/>
    </row>
    <row r="849" spans="1:13" x14ac:dyDescent="0.25">
      <c r="A849" s="2" t="str">
        <f ca="1">IFERROR(__xludf.DUMMYFUNCTION("""COMPUTED_VALUE"""),"c82e7f90")</f>
        <v>c82e7f90</v>
      </c>
      <c r="B849" s="2"/>
      <c r="C849" s="5">
        <f ca="1">IFERROR(__xludf.DUMMYFUNCTION("""COMPUTED_VALUE"""),45797.7492824074)</f>
        <v>45797.7492824074</v>
      </c>
      <c r="D849" s="2">
        <f ca="1">IFERROR(__xludf.DUMMYFUNCTION("""COMPUTED_VALUE"""),87)</f>
        <v>87</v>
      </c>
      <c r="E849" s="2">
        <f ca="1">IFERROR(__xludf.DUMMYFUNCTION("""COMPUTED_VALUE"""),93700)</f>
        <v>93700</v>
      </c>
      <c r="F849" s="2" t="str">
        <f ca="1">IFERROR(__xludf.DUMMYFUNCTION("""COMPUTED_VALUE"""),"Tinto")</f>
        <v>Tinto</v>
      </c>
      <c r="G849" s="2">
        <f ca="1">IFERROR(__xludf.DUMMYFUNCTION("""COMPUTED_VALUE"""),0)</f>
        <v>0</v>
      </c>
      <c r="H849" s="2">
        <f ca="1">IFERROR(__xludf.DUMMYFUNCTION("""COMPUTED_VALUE"""),48000)</f>
        <v>48000</v>
      </c>
      <c r="I849" s="2"/>
      <c r="J849" s="2"/>
      <c r="K849" s="2" t="str">
        <f ca="1">IFERROR(__xludf.DUMMYFUNCTION("""COMPUTED_VALUE"""),"2do Trasiego")</f>
        <v>2do Trasiego</v>
      </c>
      <c r="L849" s="2"/>
      <c r="M849" s="2"/>
    </row>
    <row r="850" spans="1:13" x14ac:dyDescent="0.25">
      <c r="A850" s="2" t="str">
        <f ca="1">IFERROR(__xludf.DUMMYFUNCTION("""COMPUTED_VALUE"""),"b04cae80")</f>
        <v>b04cae80</v>
      </c>
      <c r="B850" s="2"/>
      <c r="C850" s="5">
        <f ca="1">IFERROR(__xludf.DUMMYFUNCTION("""COMPUTED_VALUE"""),45797.7562037037)</f>
        <v>45797.756203703699</v>
      </c>
      <c r="D850" s="2">
        <f ca="1">IFERROR(__xludf.DUMMYFUNCTION("""COMPUTED_VALUE"""),87)</f>
        <v>87</v>
      </c>
      <c r="E850" s="2">
        <f ca="1">IFERROR(__xludf.DUMMYFUNCTION("""COMPUTED_VALUE"""),93700)</f>
        <v>93700</v>
      </c>
      <c r="F850" s="2" t="str">
        <f ca="1">IFERROR(__xludf.DUMMYFUNCTION("""COMPUTED_VALUE"""),"Tinto")</f>
        <v>Tinto</v>
      </c>
      <c r="G850" s="2">
        <f ca="1">IFERROR(__xludf.DUMMYFUNCTION("""COMPUTED_VALUE"""),48000)</f>
        <v>48000</v>
      </c>
      <c r="H850" s="2">
        <f ca="1">IFERROR(__xludf.DUMMYFUNCTION("""COMPUTED_VALUE"""),93700)</f>
        <v>93700</v>
      </c>
      <c r="I850" s="2"/>
      <c r="J850" s="2"/>
      <c r="K850" s="2" t="str">
        <f ca="1">IFERROR(__xludf.DUMMYFUNCTION("""COMPUTED_VALUE"""),"2do Trasiego")</f>
        <v>2do Trasiego</v>
      </c>
      <c r="L850" s="2" t="str">
        <f ca="1">IFERROR(__xludf.DUMMYFUNCTION("""COMPUTED_VALUE"""),"2+")</f>
        <v>2+</v>
      </c>
      <c r="M850" s="2"/>
    </row>
    <row r="851" spans="1:13" x14ac:dyDescent="0.25">
      <c r="A851" s="2" t="str">
        <f ca="1">IFERROR(__xludf.DUMMYFUNCTION("""COMPUTED_VALUE"""),"a6d11ad4")</f>
        <v>a6d11ad4</v>
      </c>
      <c r="B851" s="2"/>
      <c r="C851" s="5">
        <f ca="1">IFERROR(__xludf.DUMMYFUNCTION("""COMPUTED_VALUE"""),45797.7577314814)</f>
        <v>45797.757731481397</v>
      </c>
      <c r="D851" s="2">
        <f ca="1">IFERROR(__xludf.DUMMYFUNCTION("""COMPUTED_VALUE"""),45)</f>
        <v>45</v>
      </c>
      <c r="E851" s="2">
        <f ca="1">IFERROR(__xludf.DUMMYFUNCTION("""COMPUTED_VALUE"""),30000)</f>
        <v>30000</v>
      </c>
      <c r="F851" s="2" t="str">
        <f ca="1">IFERROR(__xludf.DUMMYFUNCTION("""COMPUTED_VALUE"""),"Tinto")</f>
        <v>Tinto</v>
      </c>
      <c r="G851" s="2">
        <f ca="1">IFERROR(__xludf.DUMMYFUNCTION("""COMPUTED_VALUE"""),0)</f>
        <v>0</v>
      </c>
      <c r="H851" s="2">
        <f ca="1">IFERROR(__xludf.DUMMYFUNCTION("""COMPUTED_VALUE"""),30000)</f>
        <v>30000</v>
      </c>
      <c r="I851" s="2"/>
      <c r="J851" s="2"/>
      <c r="K851" s="2" t="str">
        <f ca="1">IFERROR(__xludf.DUMMYFUNCTION("""COMPUTED_VALUE"""),"1er Trasiego")</f>
        <v>1er Trasiego</v>
      </c>
      <c r="L851" s="2" t="str">
        <f ca="1">IFERROR(__xludf.DUMMYFUNCTION("""COMPUTED_VALUE"""),"2+")</f>
        <v>2+</v>
      </c>
      <c r="M851" s="2"/>
    </row>
    <row r="852" spans="1:13" x14ac:dyDescent="0.25">
      <c r="A852" s="2" t="str">
        <f ca="1">IFERROR(__xludf.DUMMYFUNCTION("""COMPUTED_VALUE"""),"9dfda5e0")</f>
        <v>9dfda5e0</v>
      </c>
      <c r="B852" s="2"/>
      <c r="C852" s="5">
        <f ca="1">IFERROR(__xludf.DUMMYFUNCTION("""COMPUTED_VALUE"""),45797.7588425925)</f>
        <v>45797.758842592499</v>
      </c>
      <c r="D852" s="2">
        <f ca="1">IFERROR(__xludf.DUMMYFUNCTION("""COMPUTED_VALUE"""),68)</f>
        <v>68</v>
      </c>
      <c r="E852" s="2">
        <f ca="1">IFERROR(__xludf.DUMMYFUNCTION("""COMPUTED_VALUE"""),13000)</f>
        <v>13000</v>
      </c>
      <c r="F852" s="2" t="str">
        <f ca="1">IFERROR(__xludf.DUMMYFUNCTION("""COMPUTED_VALUE"""),"Tinto")</f>
        <v>Tinto</v>
      </c>
      <c r="G852" s="2">
        <f ca="1">IFERROR(__xludf.DUMMYFUNCTION("""COMPUTED_VALUE"""),7000)</f>
        <v>7000</v>
      </c>
      <c r="H852" s="2">
        <f ca="1">IFERROR(__xludf.DUMMYFUNCTION("""COMPUTED_VALUE"""),10200)</f>
        <v>10200</v>
      </c>
      <c r="I852" s="2"/>
      <c r="J852" s="2"/>
      <c r="K852" s="2" t="str">
        <f ca="1">IFERROR(__xludf.DUMMYFUNCTION("""COMPUTED_VALUE"""),"1er Trasiego")</f>
        <v>1er Trasiego</v>
      </c>
      <c r="L852" s="2"/>
      <c r="M852" s="2"/>
    </row>
    <row r="853" spans="1:13" x14ac:dyDescent="0.25">
      <c r="A853" s="2" t="str">
        <f ca="1">IFERROR(__xludf.DUMMYFUNCTION("""COMPUTED_VALUE"""),"530c9456")</f>
        <v>530c9456</v>
      </c>
      <c r="B853" s="2"/>
      <c r="C853" s="5">
        <f ca="1">IFERROR(__xludf.DUMMYFUNCTION("""COMPUTED_VALUE"""),45797.7596296296)</f>
        <v>45797.759629629603</v>
      </c>
      <c r="D853" s="2">
        <f ca="1">IFERROR(__xludf.DUMMYFUNCTION("""COMPUTED_VALUE"""),7)</f>
        <v>7</v>
      </c>
      <c r="E853" s="2">
        <f ca="1">IFERROR(__xludf.DUMMYFUNCTION("""COMPUTED_VALUE"""),30000)</f>
        <v>30000</v>
      </c>
      <c r="F853" s="2" t="str">
        <f ca="1">IFERROR(__xludf.DUMMYFUNCTION("""COMPUTED_VALUE"""),"Cabernet Sauvignon - Rectificado")</f>
        <v>Cabernet Sauvignon - Rectificado</v>
      </c>
      <c r="G853" s="2">
        <f ca="1">IFERROR(__xludf.DUMMYFUNCTION("""COMPUTED_VALUE"""),22000)</f>
        <v>22000</v>
      </c>
      <c r="H853" s="2">
        <f ca="1">IFERROR(__xludf.DUMMYFUNCTION("""COMPUTED_VALUE"""),30000)</f>
        <v>30000</v>
      </c>
      <c r="I853" s="2"/>
      <c r="J853" s="2"/>
      <c r="K853" s="2" t="str">
        <f ca="1">IFERROR(__xludf.DUMMYFUNCTION("""COMPUTED_VALUE"""),"Rectificado")</f>
        <v>Rectificado</v>
      </c>
      <c r="L853" s="2"/>
      <c r="M853" s="2"/>
    </row>
    <row r="854" spans="1:13" x14ac:dyDescent="0.25">
      <c r="A854" s="2" t="str">
        <f ca="1">IFERROR(__xludf.DUMMYFUNCTION("""COMPUTED_VALUE"""),"91ba2ba0")</f>
        <v>91ba2ba0</v>
      </c>
      <c r="B854" s="2"/>
      <c r="C854" s="5">
        <f ca="1">IFERROR(__xludf.DUMMYFUNCTION("""COMPUTED_VALUE"""),45797.7601273148)</f>
        <v>45797.760127314803</v>
      </c>
      <c r="D854" s="2">
        <f ca="1">IFERROR(__xludf.DUMMYFUNCTION("""COMPUTED_VALUE"""),49)</f>
        <v>49</v>
      </c>
      <c r="E854" s="2">
        <f ca="1">IFERROR(__xludf.DUMMYFUNCTION("""COMPUTED_VALUE"""),26000)</f>
        <v>26000</v>
      </c>
      <c r="F854" s="2" t="str">
        <f ca="1">IFERROR(__xludf.DUMMYFUNCTION("""COMPUTED_VALUE"""),"Malbec")</f>
        <v>Malbec</v>
      </c>
      <c r="G854" s="2">
        <f ca="1">IFERROR(__xludf.DUMMYFUNCTION("""COMPUTED_VALUE"""),0)</f>
        <v>0</v>
      </c>
      <c r="H854" s="2">
        <f ca="1">IFERROR(__xludf.DUMMYFUNCTION("""COMPUTED_VALUE"""),5000)</f>
        <v>5000</v>
      </c>
      <c r="I854" s="2"/>
      <c r="J854" s="2"/>
      <c r="K854" s="2" t="str">
        <f ca="1">IFERROR(__xludf.DUMMYFUNCTION("""COMPUTED_VALUE"""),"Rectificado")</f>
        <v>Rectificado</v>
      </c>
      <c r="L854" s="2"/>
      <c r="M854" s="2"/>
    </row>
    <row r="855" spans="1:13" x14ac:dyDescent="0.25">
      <c r="A855" s="2" t="str">
        <f ca="1">IFERROR(__xludf.DUMMYFUNCTION("""COMPUTED_VALUE"""),"cddb06a5")</f>
        <v>cddb06a5</v>
      </c>
      <c r="B855" s="2"/>
      <c r="C855" s="5">
        <f ca="1">IFERROR(__xludf.DUMMYFUNCTION("""COMPUTED_VALUE"""),45797.772199074)</f>
        <v>45797.772199074003</v>
      </c>
      <c r="D855" s="2">
        <f ca="1">IFERROR(__xludf.DUMMYFUNCTION("""COMPUTED_VALUE"""),90)</f>
        <v>90</v>
      </c>
      <c r="E855" s="2">
        <f ca="1">IFERROR(__xludf.DUMMYFUNCTION("""COMPUTED_VALUE"""),97500)</f>
        <v>97500</v>
      </c>
      <c r="F855" s="2" t="str">
        <f ca="1">IFERROR(__xludf.DUMMYFUNCTION("""COMPUTED_VALUE"""),"Bonarda")</f>
        <v>Bonarda</v>
      </c>
      <c r="G855" s="2">
        <f ca="1">IFERROR(__xludf.DUMMYFUNCTION("""COMPUTED_VALUE"""),0)</f>
        <v>0</v>
      </c>
      <c r="H855" s="2">
        <f ca="1">IFERROR(__xludf.DUMMYFUNCTION("""COMPUTED_VALUE"""),97500)</f>
        <v>97500</v>
      </c>
      <c r="I855" s="2"/>
      <c r="J855" s="2"/>
      <c r="K855" s="2" t="str">
        <f ca="1">IFERROR(__xludf.DUMMYFUNCTION("""COMPUTED_VALUE"""),"2do Trasiego")</f>
        <v>2do Trasiego</v>
      </c>
      <c r="L855" s="2" t="str">
        <f ca="1">IFERROR(__xludf.DUMMYFUNCTION("""COMPUTED_VALUE"""),"1")</f>
        <v>1</v>
      </c>
      <c r="M855" s="2"/>
    </row>
    <row r="856" spans="1:13" x14ac:dyDescent="0.25">
      <c r="A856" s="2" t="str">
        <f ca="1">IFERROR(__xludf.DUMMYFUNCTION("""COMPUTED_VALUE"""),"536eff33")</f>
        <v>536eff33</v>
      </c>
      <c r="B856" s="2"/>
      <c r="C856" s="5">
        <f ca="1">IFERROR(__xludf.DUMMYFUNCTION("""COMPUTED_VALUE"""),45797.7728819444)</f>
        <v>45797.772881944402</v>
      </c>
      <c r="D856" s="2">
        <f ca="1">IFERROR(__xludf.DUMMYFUNCTION("""COMPUTED_VALUE"""),68)</f>
        <v>68</v>
      </c>
      <c r="E856" s="2">
        <f ca="1">IFERROR(__xludf.DUMMYFUNCTION("""COMPUTED_VALUE"""),13000)</f>
        <v>13000</v>
      </c>
      <c r="F856" s="2" t="str">
        <f ca="1">IFERROR(__xludf.DUMMYFUNCTION("""COMPUTED_VALUE"""),"Tinto")</f>
        <v>Tinto</v>
      </c>
      <c r="G856" s="2">
        <f ca="1">IFERROR(__xludf.DUMMYFUNCTION("""COMPUTED_VALUE"""),10200)</f>
        <v>10200</v>
      </c>
      <c r="H856" s="2">
        <f ca="1">IFERROR(__xludf.DUMMYFUNCTION("""COMPUTED_VALUE"""),12300)</f>
        <v>12300</v>
      </c>
      <c r="I856" s="2"/>
      <c r="J856" s="2"/>
      <c r="K856" s="2" t="str">
        <f ca="1">IFERROR(__xludf.DUMMYFUNCTION("""COMPUTED_VALUE"""),"1er Trasiego")</f>
        <v>1er Trasiego</v>
      </c>
      <c r="L856" s="2"/>
      <c r="M856" s="2"/>
    </row>
    <row r="857" spans="1:13" x14ac:dyDescent="0.25">
      <c r="A857" s="2" t="str">
        <f ca="1">IFERROR(__xludf.DUMMYFUNCTION("""COMPUTED_VALUE"""),"e81f7a10")</f>
        <v>e81f7a10</v>
      </c>
      <c r="B857" s="2"/>
      <c r="C857" s="5">
        <f ca="1">IFERROR(__xludf.DUMMYFUNCTION("""COMPUTED_VALUE"""),45798.7610416666)</f>
        <v>45798.761041666599</v>
      </c>
      <c r="D857" s="2">
        <f ca="1">IFERROR(__xludf.DUMMYFUNCTION("""COMPUTED_VALUE"""),49)</f>
        <v>49</v>
      </c>
      <c r="E857" s="2">
        <f ca="1">IFERROR(__xludf.DUMMYFUNCTION("""COMPUTED_VALUE"""),26000)</f>
        <v>26000</v>
      </c>
      <c r="F857" s="2" t="str">
        <f ca="1">IFERROR(__xludf.DUMMYFUNCTION("""COMPUTED_VALUE"""),"Malbec")</f>
        <v>Malbec</v>
      </c>
      <c r="G857" s="2">
        <f ca="1">IFERROR(__xludf.DUMMYFUNCTION("""COMPUTED_VALUE"""),5000)</f>
        <v>5000</v>
      </c>
      <c r="H857" s="2">
        <f ca="1">IFERROR(__xludf.DUMMYFUNCTION("""COMPUTED_VALUE"""),17300)</f>
        <v>17300</v>
      </c>
      <c r="I857" s="2"/>
      <c r="J857" s="2"/>
      <c r="K857" s="2" t="str">
        <f ca="1">IFERROR(__xludf.DUMMYFUNCTION("""COMPUTED_VALUE"""),"Rectificado")</f>
        <v>Rectificado</v>
      </c>
      <c r="L857" s="2"/>
      <c r="M857" s="2"/>
    </row>
    <row r="858" spans="1:13" x14ac:dyDescent="0.25">
      <c r="A858" s="2" t="str">
        <f ca="1">IFERROR(__xludf.DUMMYFUNCTION("""COMPUTED_VALUE"""),"e375ee10")</f>
        <v>e375ee10</v>
      </c>
      <c r="B858" s="2"/>
      <c r="C858" s="5">
        <f ca="1">IFERROR(__xludf.DUMMYFUNCTION("""COMPUTED_VALUE"""),45798.7620138888)</f>
        <v>45798.762013888801</v>
      </c>
      <c r="D858" s="2">
        <f ca="1">IFERROR(__xludf.DUMMYFUNCTION("""COMPUTED_VALUE"""),127)</f>
        <v>127</v>
      </c>
      <c r="E858" s="2">
        <f ca="1">IFERROR(__xludf.DUMMYFUNCTION("""COMPUTED_VALUE"""),31000)</f>
        <v>31000</v>
      </c>
      <c r="F858" s="2" t="str">
        <f ca="1">IFERROR(__xludf.DUMMYFUNCTION("""COMPUTED_VALUE"""),"Bonarda")</f>
        <v>Bonarda</v>
      </c>
      <c r="G858" s="2">
        <f ca="1">IFERROR(__xludf.DUMMYFUNCTION("""COMPUTED_VALUE"""),0)</f>
        <v>0</v>
      </c>
      <c r="H858" s="2">
        <f ca="1">IFERROR(__xludf.DUMMYFUNCTION("""COMPUTED_VALUE"""),31000)</f>
        <v>31000</v>
      </c>
      <c r="I858" s="2"/>
      <c r="J858" s="2"/>
      <c r="K858" s="2" t="str">
        <f ca="1">IFERROR(__xludf.DUMMYFUNCTION("""COMPUTED_VALUE"""),"2do Trasiego")</f>
        <v>2do Trasiego</v>
      </c>
      <c r="L858" s="2"/>
      <c r="M858" s="2"/>
    </row>
    <row r="859" spans="1:13" x14ac:dyDescent="0.25">
      <c r="A859" s="2" t="str">
        <f ca="1">IFERROR(__xludf.DUMMYFUNCTION("""COMPUTED_VALUE"""),"755eca56")</f>
        <v>755eca56</v>
      </c>
      <c r="B859" s="2"/>
      <c r="C859" s="5">
        <f ca="1">IFERROR(__xludf.DUMMYFUNCTION("""COMPUTED_VALUE"""),45798.7677083333)</f>
        <v>45798.767708333296</v>
      </c>
      <c r="D859" s="2">
        <f ca="1">IFERROR(__xludf.DUMMYFUNCTION("""COMPUTED_VALUE"""),121)</f>
        <v>121</v>
      </c>
      <c r="E859" s="2">
        <f ca="1">IFERROR(__xludf.DUMMYFUNCTION("""COMPUTED_VALUE"""),85800)</f>
        <v>85800</v>
      </c>
      <c r="F859" s="2" t="str">
        <f ca="1">IFERROR(__xludf.DUMMYFUNCTION("""COMPUTED_VALUE"""),"Cabernet Sauvignon - Rectificado")</f>
        <v>Cabernet Sauvignon - Rectificado</v>
      </c>
      <c r="G859" s="2">
        <f ca="1">IFERROR(__xludf.DUMMYFUNCTION("""COMPUTED_VALUE"""),0)</f>
        <v>0</v>
      </c>
      <c r="H859" s="2">
        <f ca="1">IFERROR(__xludf.DUMMYFUNCTION("""COMPUTED_VALUE"""),10700)</f>
        <v>10700</v>
      </c>
      <c r="I859" s="2"/>
      <c r="J859" s="2"/>
      <c r="K859" s="2" t="str">
        <f ca="1">IFERROR(__xludf.DUMMYFUNCTION("""COMPUTED_VALUE"""),"Rectificado")</f>
        <v>Rectificado</v>
      </c>
      <c r="L859" s="2"/>
      <c r="M859" s="2"/>
    </row>
    <row r="860" spans="1:13" x14ac:dyDescent="0.25">
      <c r="A860" s="2" t="str">
        <f ca="1">IFERROR(__xludf.DUMMYFUNCTION("""COMPUTED_VALUE"""),"3b8e0d4f")</f>
        <v>3b8e0d4f</v>
      </c>
      <c r="B860" s="2"/>
      <c r="C860" s="5">
        <f ca="1">IFERROR(__xludf.DUMMYFUNCTION("""COMPUTED_VALUE"""),45798.7680555555)</f>
        <v>45798.768055555498</v>
      </c>
      <c r="D860" s="2">
        <f ca="1">IFERROR(__xludf.DUMMYFUNCTION("""COMPUTED_VALUE"""),116)</f>
        <v>116</v>
      </c>
      <c r="E860" s="2">
        <f ca="1">IFERROR(__xludf.DUMMYFUNCTION("""COMPUTED_VALUE"""),99600)</f>
        <v>99600</v>
      </c>
      <c r="F860" s="2" t="str">
        <f ca="1">IFERROR(__xludf.DUMMYFUNCTION("""COMPUTED_VALUE"""),"Cabernet Sauvignon - Rectificado")</f>
        <v>Cabernet Sauvignon - Rectificado</v>
      </c>
      <c r="G860" s="2">
        <f ca="1">IFERROR(__xludf.DUMMYFUNCTION("""COMPUTED_VALUE"""),0)</f>
        <v>0</v>
      </c>
      <c r="H860" s="2">
        <f ca="1">IFERROR(__xludf.DUMMYFUNCTION("""COMPUTED_VALUE"""),12900)</f>
        <v>12900</v>
      </c>
      <c r="I860" s="2"/>
      <c r="J860" s="2"/>
      <c r="K860" s="2" t="str">
        <f ca="1">IFERROR(__xludf.DUMMYFUNCTION("""COMPUTED_VALUE"""),"Rectificado")</f>
        <v>Rectificado</v>
      </c>
      <c r="L860" s="2"/>
      <c r="M860" s="2"/>
    </row>
    <row r="861" spans="1:13" x14ac:dyDescent="0.25">
      <c r="A861" s="2" t="str">
        <f ca="1">IFERROR(__xludf.DUMMYFUNCTION("""COMPUTED_VALUE"""),"9fec443b")</f>
        <v>9fec443b</v>
      </c>
      <c r="B861" s="2"/>
      <c r="C861" s="5">
        <f ca="1">IFERROR(__xludf.DUMMYFUNCTION("""COMPUTED_VALUE"""),45798.7714351851)</f>
        <v>45798.771435185103</v>
      </c>
      <c r="D861" s="2">
        <f ca="1">IFERROR(__xludf.DUMMYFUNCTION("""COMPUTED_VALUE"""),121)</f>
        <v>121</v>
      </c>
      <c r="E861" s="2">
        <f ca="1">IFERROR(__xludf.DUMMYFUNCTION("""COMPUTED_VALUE"""),85800)</f>
        <v>85800</v>
      </c>
      <c r="F861" s="2" t="str">
        <f ca="1">IFERROR(__xludf.DUMMYFUNCTION("""COMPUTED_VALUE"""),"Anccelotta")</f>
        <v>Anccelotta</v>
      </c>
      <c r="G861" s="2">
        <f ca="1">IFERROR(__xludf.DUMMYFUNCTION("""COMPUTED_VALUE"""),10700)</f>
        <v>10700</v>
      </c>
      <c r="H861" s="2">
        <f ca="1">IFERROR(__xludf.DUMMYFUNCTION("""COMPUTED_VALUE"""),14780)</f>
        <v>14780</v>
      </c>
      <c r="I861" s="2"/>
      <c r="J861" s="2"/>
      <c r="K861" s="2" t="str">
        <f ca="1">IFERROR(__xludf.DUMMYFUNCTION("""COMPUTED_VALUE"""),"1er Trasiego")</f>
        <v>1er Trasiego</v>
      </c>
      <c r="L861" s="2"/>
      <c r="M861" s="2"/>
    </row>
    <row r="862" spans="1:13" x14ac:dyDescent="0.25">
      <c r="A862" s="2" t="str">
        <f ca="1">IFERROR(__xludf.DUMMYFUNCTION("""COMPUTED_VALUE"""),"60712aa8")</f>
        <v>60712aa8</v>
      </c>
      <c r="B862" s="2"/>
      <c r="C862" s="5">
        <f ca="1">IFERROR(__xludf.DUMMYFUNCTION("""COMPUTED_VALUE"""),45798.7717361111)</f>
        <v>45798.771736111099</v>
      </c>
      <c r="D862" s="2">
        <f ca="1">IFERROR(__xludf.DUMMYFUNCTION("""COMPUTED_VALUE"""),116)</f>
        <v>116</v>
      </c>
      <c r="E862" s="2">
        <f ca="1">IFERROR(__xludf.DUMMYFUNCTION("""COMPUTED_VALUE"""),99600)</f>
        <v>99600</v>
      </c>
      <c r="F862" s="2" t="str">
        <f ca="1">IFERROR(__xludf.DUMMYFUNCTION("""COMPUTED_VALUE"""),"Anccelotta")</f>
        <v>Anccelotta</v>
      </c>
      <c r="G862" s="2">
        <f ca="1">IFERROR(__xludf.DUMMYFUNCTION("""COMPUTED_VALUE"""),12900)</f>
        <v>12900</v>
      </c>
      <c r="H862" s="2">
        <f ca="1">IFERROR(__xludf.DUMMYFUNCTION("""COMPUTED_VALUE"""),17900)</f>
        <v>17900</v>
      </c>
      <c r="I862" s="2"/>
      <c r="J862" s="2"/>
      <c r="K862" s="2" t="str">
        <f ca="1">IFERROR(__xludf.DUMMYFUNCTION("""COMPUTED_VALUE"""),"1er Trasiego")</f>
        <v>1er Trasiego</v>
      </c>
      <c r="L862" s="2"/>
      <c r="M862" s="2"/>
    </row>
    <row r="863" spans="1:13" x14ac:dyDescent="0.25">
      <c r="A863" s="2" t="str">
        <f ca="1">IFERROR(__xludf.DUMMYFUNCTION("""COMPUTED_VALUE"""),"e1971673")</f>
        <v>e1971673</v>
      </c>
      <c r="B863" s="2"/>
      <c r="C863" s="5">
        <f ca="1">IFERROR(__xludf.DUMMYFUNCTION("""COMPUTED_VALUE"""),45798.7725347222)</f>
        <v>45798.7725347222</v>
      </c>
      <c r="D863" s="2">
        <f ca="1">IFERROR(__xludf.DUMMYFUNCTION("""COMPUTED_VALUE"""),34)</f>
        <v>34</v>
      </c>
      <c r="E863" s="2">
        <f ca="1">IFERROR(__xludf.DUMMYFUNCTION("""COMPUTED_VALUE"""),39500)</f>
        <v>39500</v>
      </c>
      <c r="F863" s="2" t="str">
        <f ca="1">IFERROR(__xludf.DUMMYFUNCTION("""COMPUTED_VALUE"""),"Anccelotta")</f>
        <v>Anccelotta</v>
      </c>
      <c r="G863" s="2">
        <f ca="1">IFERROR(__xludf.DUMMYFUNCTION("""COMPUTED_VALUE"""),0)</f>
        <v>0</v>
      </c>
      <c r="H863" s="2">
        <f ca="1">IFERROR(__xludf.DUMMYFUNCTION("""COMPUTED_VALUE"""),2000)</f>
        <v>2000</v>
      </c>
      <c r="I863" s="2"/>
      <c r="J863" s="2"/>
      <c r="K863" s="2" t="str">
        <f ca="1">IFERROR(__xludf.DUMMYFUNCTION("""COMPUTED_VALUE"""),"1er Trasiego")</f>
        <v>1er Trasiego</v>
      </c>
      <c r="L863" s="2"/>
      <c r="M863" s="2"/>
    </row>
    <row r="864" spans="1:13" x14ac:dyDescent="0.25">
      <c r="A864" s="2" t="str">
        <f ca="1">IFERROR(__xludf.DUMMYFUNCTION("""COMPUTED_VALUE"""),"b4fedb16")</f>
        <v>b4fedb16</v>
      </c>
      <c r="B864" s="2"/>
      <c r="C864" s="5">
        <f ca="1">IFERROR(__xludf.DUMMYFUNCTION("""COMPUTED_VALUE"""),45798.7735648148)</f>
        <v>45798.773564814801</v>
      </c>
      <c r="D864" s="2">
        <f ca="1">IFERROR(__xludf.DUMMYFUNCTION("""COMPUTED_VALUE"""),116)</f>
        <v>116</v>
      </c>
      <c r="E864" s="2">
        <f ca="1">IFERROR(__xludf.DUMMYFUNCTION("""COMPUTED_VALUE"""),99600)</f>
        <v>99600</v>
      </c>
      <c r="F864" s="2" t="str">
        <f ca="1">IFERROR(__xludf.DUMMYFUNCTION("""COMPUTED_VALUE"""),"Malbec")</f>
        <v>Malbec</v>
      </c>
      <c r="G864" s="2">
        <f ca="1">IFERROR(__xludf.DUMMYFUNCTION("""COMPUTED_VALUE"""),17900)</f>
        <v>17900</v>
      </c>
      <c r="H864" s="2">
        <f ca="1">IFERROR(__xludf.DUMMYFUNCTION("""COMPUTED_VALUE"""),99600)</f>
        <v>99600</v>
      </c>
      <c r="I864" s="2"/>
      <c r="J864" s="2"/>
      <c r="K864" s="2" t="str">
        <f ca="1">IFERROR(__xludf.DUMMYFUNCTION("""COMPUTED_VALUE"""),"2do Trasiego")</f>
        <v>2do Trasiego</v>
      </c>
      <c r="L864" s="2" t="str">
        <f ca="1">IFERROR(__xludf.DUMMYFUNCTION("""COMPUTED_VALUE"""),"2+")</f>
        <v>2+</v>
      </c>
      <c r="M864" s="2" t="str">
        <f ca="1">IFERROR(__xludf.DUMMYFUNCTION("""COMPUTED_VALUE"""),"Tinto")</f>
        <v>Tinto</v>
      </c>
    </row>
    <row r="865" spans="1:13" x14ac:dyDescent="0.25">
      <c r="A865" s="2" t="str">
        <f ca="1">IFERROR(__xludf.DUMMYFUNCTION("""COMPUTED_VALUE"""),"589807bc")</f>
        <v>589807bc</v>
      </c>
      <c r="B865" s="2"/>
      <c r="C865" s="5">
        <f ca="1">IFERROR(__xludf.DUMMYFUNCTION("""COMPUTED_VALUE"""),45798.7741666666)</f>
        <v>45798.774166666597</v>
      </c>
      <c r="D865" s="2">
        <f ca="1">IFERROR(__xludf.DUMMYFUNCTION("""COMPUTED_VALUE"""),121)</f>
        <v>121</v>
      </c>
      <c r="E865" s="2">
        <f ca="1">IFERROR(__xludf.DUMMYFUNCTION("""COMPUTED_VALUE"""),85800)</f>
        <v>85800</v>
      </c>
      <c r="F865" s="2" t="str">
        <f ca="1">IFERROR(__xludf.DUMMYFUNCTION("""COMPUTED_VALUE"""),"Malbec")</f>
        <v>Malbec</v>
      </c>
      <c r="G865" s="2">
        <f ca="1">IFERROR(__xludf.DUMMYFUNCTION("""COMPUTED_VALUE"""),14780)</f>
        <v>14780</v>
      </c>
      <c r="H865" s="2">
        <f ca="1">IFERROR(__xludf.DUMMYFUNCTION("""COMPUTED_VALUE"""),85800)</f>
        <v>85800</v>
      </c>
      <c r="I865" s="2"/>
      <c r="J865" s="2"/>
      <c r="K865" s="2" t="str">
        <f ca="1">IFERROR(__xludf.DUMMYFUNCTION("""COMPUTED_VALUE"""),"2do Trasiego")</f>
        <v>2do Trasiego</v>
      </c>
      <c r="L865" s="2" t="str">
        <f ca="1">IFERROR(__xludf.DUMMYFUNCTION("""COMPUTED_VALUE"""),"1-")</f>
        <v>1-</v>
      </c>
      <c r="M865" s="2" t="str">
        <f ca="1">IFERROR(__xludf.DUMMYFUNCTION("""COMPUTED_VALUE"""),"Tinto")</f>
        <v>Tinto</v>
      </c>
    </row>
    <row r="866" spans="1:13" x14ac:dyDescent="0.25">
      <c r="A866" s="2" t="str">
        <f ca="1">IFERROR(__xludf.DUMMYFUNCTION("""COMPUTED_VALUE"""),"f213d575")</f>
        <v>f213d575</v>
      </c>
      <c r="B866" s="2"/>
      <c r="C866" s="5">
        <f ca="1">IFERROR(__xludf.DUMMYFUNCTION("""COMPUTED_VALUE"""),45798.7759837962)</f>
        <v>45798.7759837962</v>
      </c>
      <c r="D866" s="2">
        <f ca="1">IFERROR(__xludf.DUMMYFUNCTION("""COMPUTED_VALUE"""),34)</f>
        <v>34</v>
      </c>
      <c r="E866" s="2">
        <f ca="1">IFERROR(__xludf.DUMMYFUNCTION("""COMPUTED_VALUE"""),39500)</f>
        <v>39500</v>
      </c>
      <c r="F866" s="2" t="str">
        <f ca="1">IFERROR(__xludf.DUMMYFUNCTION("""COMPUTED_VALUE"""),"Malbec")</f>
        <v>Malbec</v>
      </c>
      <c r="G866" s="2">
        <f ca="1">IFERROR(__xludf.DUMMYFUNCTION("""COMPUTED_VALUE"""),2000)</f>
        <v>2000</v>
      </c>
      <c r="H866" s="2">
        <f ca="1">IFERROR(__xludf.DUMMYFUNCTION("""COMPUTED_VALUE"""),35880)</f>
        <v>35880</v>
      </c>
      <c r="I866" s="2"/>
      <c r="J866" s="2"/>
      <c r="K866" s="2" t="str">
        <f ca="1">IFERROR(__xludf.DUMMYFUNCTION("""COMPUTED_VALUE"""),"1er Trasiego")</f>
        <v>1er Trasiego</v>
      </c>
      <c r="L866" s="2"/>
      <c r="M866" s="2"/>
    </row>
    <row r="867" spans="1:13" x14ac:dyDescent="0.25">
      <c r="A867" s="2" t="str">
        <f ca="1">IFERROR(__xludf.DUMMYFUNCTION("""COMPUTED_VALUE"""),"fcd4899d")</f>
        <v>fcd4899d</v>
      </c>
      <c r="B867" s="2"/>
      <c r="C867" s="5">
        <f ca="1">IFERROR(__xludf.DUMMYFUNCTION("""COMPUTED_VALUE"""),45800.4260532407)</f>
        <v>45800.426053240699</v>
      </c>
      <c r="D867" s="2">
        <f ca="1">IFERROR(__xludf.DUMMYFUNCTION("""COMPUTED_VALUE"""),24)</f>
        <v>24</v>
      </c>
      <c r="E867" s="2">
        <f ca="1">IFERROR(__xludf.DUMMYFUNCTION("""COMPUTED_VALUE"""),186600)</f>
        <v>186600</v>
      </c>
      <c r="F867" s="2" t="str">
        <f ca="1">IFERROR(__xludf.DUMMYFUNCTION("""COMPUTED_VALUE"""),"Malbec")</f>
        <v>Malbec</v>
      </c>
      <c r="G867" s="2">
        <f ca="1">IFERROR(__xludf.DUMMYFUNCTION("""COMPUTED_VALUE"""),0)</f>
        <v>0</v>
      </c>
      <c r="H867" s="2">
        <f ca="1">IFERROR(__xludf.DUMMYFUNCTION("""COMPUTED_VALUE"""),44400)</f>
        <v>44400</v>
      </c>
      <c r="I867" s="2"/>
      <c r="J867" s="2"/>
      <c r="K867" s="2" t="str">
        <f ca="1">IFERROR(__xludf.DUMMYFUNCTION("""COMPUTED_VALUE"""),"2do Trasiego")</f>
        <v>2do Trasiego</v>
      </c>
      <c r="L867" s="2"/>
      <c r="M867" s="2"/>
    </row>
    <row r="868" spans="1:13" x14ac:dyDescent="0.25">
      <c r="A868" s="2" t="str">
        <f ca="1">IFERROR(__xludf.DUMMYFUNCTION("""COMPUTED_VALUE"""),"1c1b6466")</f>
        <v>1c1b6466</v>
      </c>
      <c r="B868" s="2"/>
      <c r="C868" s="5">
        <f ca="1">IFERROR(__xludf.DUMMYFUNCTION("""COMPUTED_VALUE"""),45800.4265972222)</f>
        <v>45800.426597222198</v>
      </c>
      <c r="D868" s="2">
        <f ca="1">IFERROR(__xludf.DUMMYFUNCTION("""COMPUTED_VALUE"""),24)</f>
        <v>24</v>
      </c>
      <c r="E868" s="2">
        <f ca="1">IFERROR(__xludf.DUMMYFUNCTION("""COMPUTED_VALUE"""),186600)</f>
        <v>186600</v>
      </c>
      <c r="F868" s="2" t="str">
        <f ca="1">IFERROR(__xludf.DUMMYFUNCTION("""COMPUTED_VALUE"""),"Malbec")</f>
        <v>Malbec</v>
      </c>
      <c r="G868" s="2">
        <f ca="1">IFERROR(__xludf.DUMMYFUNCTION("""COMPUTED_VALUE"""),44400)</f>
        <v>44400</v>
      </c>
      <c r="H868" s="2">
        <f ca="1">IFERROR(__xludf.DUMMYFUNCTION("""COMPUTED_VALUE"""),53900)</f>
        <v>53900</v>
      </c>
      <c r="I868" s="2"/>
      <c r="J868" s="2"/>
      <c r="K868" s="2" t="str">
        <f ca="1">IFERROR(__xludf.DUMMYFUNCTION("""COMPUTED_VALUE"""),"2do Trasiego")</f>
        <v>2do Trasiego</v>
      </c>
      <c r="L868" s="2"/>
      <c r="M868" s="2"/>
    </row>
    <row r="869" spans="1:13" x14ac:dyDescent="0.25">
      <c r="A869" s="2" t="str">
        <f ca="1">IFERROR(__xludf.DUMMYFUNCTION("""COMPUTED_VALUE"""),"3f1dcd1d")</f>
        <v>3f1dcd1d</v>
      </c>
      <c r="B869" s="2"/>
      <c r="C869" s="5">
        <f ca="1">IFERROR(__xludf.DUMMYFUNCTION("""COMPUTED_VALUE"""),45800.4270717592)</f>
        <v>45800.427071759201</v>
      </c>
      <c r="D869" s="2">
        <f ca="1">IFERROR(__xludf.DUMMYFUNCTION("""COMPUTED_VALUE"""),24)</f>
        <v>24</v>
      </c>
      <c r="E869" s="2">
        <f ca="1">IFERROR(__xludf.DUMMYFUNCTION("""COMPUTED_VALUE"""),186600)</f>
        <v>186600</v>
      </c>
      <c r="F869" s="2" t="str">
        <f ca="1">IFERROR(__xludf.DUMMYFUNCTION("""COMPUTED_VALUE"""),"Malbec")</f>
        <v>Malbec</v>
      </c>
      <c r="G869" s="2">
        <f ca="1">IFERROR(__xludf.DUMMYFUNCTION("""COMPUTED_VALUE"""),53900)</f>
        <v>53900</v>
      </c>
      <c r="H869" s="2">
        <f ca="1">IFERROR(__xludf.DUMMYFUNCTION("""COMPUTED_VALUE"""),72000)</f>
        <v>72000</v>
      </c>
      <c r="I869" s="2"/>
      <c r="J869" s="2"/>
      <c r="K869" s="2" t="str">
        <f ca="1">IFERROR(__xludf.DUMMYFUNCTION("""COMPUTED_VALUE"""),"2do Trasiego")</f>
        <v>2do Trasiego</v>
      </c>
      <c r="L869" s="2"/>
      <c r="M869" s="2"/>
    </row>
    <row r="870" spans="1:13" x14ac:dyDescent="0.25">
      <c r="A870" s="2" t="str">
        <f ca="1">IFERROR(__xludf.DUMMYFUNCTION("""COMPUTED_VALUE"""),"1f03bf4a")</f>
        <v>1f03bf4a</v>
      </c>
      <c r="B870" s="2"/>
      <c r="C870" s="5">
        <f ca="1">IFERROR(__xludf.DUMMYFUNCTION("""COMPUTED_VALUE"""),45800.427349537)</f>
        <v>45800.427349537</v>
      </c>
      <c r="D870" s="2">
        <f ca="1">IFERROR(__xludf.DUMMYFUNCTION("""COMPUTED_VALUE"""),24)</f>
        <v>24</v>
      </c>
      <c r="E870" s="2">
        <f ca="1">IFERROR(__xludf.DUMMYFUNCTION("""COMPUTED_VALUE"""),186600)</f>
        <v>186600</v>
      </c>
      <c r="F870" s="2" t="str">
        <f ca="1">IFERROR(__xludf.DUMMYFUNCTION("""COMPUTED_VALUE"""),"Malbec")</f>
        <v>Malbec</v>
      </c>
      <c r="G870" s="2">
        <f ca="1">IFERROR(__xludf.DUMMYFUNCTION("""COMPUTED_VALUE"""),72000)</f>
        <v>72000</v>
      </c>
      <c r="H870" s="2">
        <f ca="1">IFERROR(__xludf.DUMMYFUNCTION("""COMPUTED_VALUE"""),156000)</f>
        <v>156000</v>
      </c>
      <c r="I870" s="2"/>
      <c r="J870" s="2"/>
      <c r="K870" s="2" t="str">
        <f ca="1">IFERROR(__xludf.DUMMYFUNCTION("""COMPUTED_VALUE"""),"2do Trasiego")</f>
        <v>2do Trasiego</v>
      </c>
      <c r="L870" s="2"/>
      <c r="M870" s="2"/>
    </row>
    <row r="871" spans="1:13" x14ac:dyDescent="0.25">
      <c r="A871" s="2" t="str">
        <f ca="1">IFERROR(__xludf.DUMMYFUNCTION("""COMPUTED_VALUE"""),"b3a40361")</f>
        <v>b3a40361</v>
      </c>
      <c r="B871" s="2"/>
      <c r="C871" s="5">
        <f ca="1">IFERROR(__xludf.DUMMYFUNCTION("""COMPUTED_VALUE"""),45800.4296759259)</f>
        <v>45800.429675925901</v>
      </c>
      <c r="D871" s="2">
        <f ca="1">IFERROR(__xludf.DUMMYFUNCTION("""COMPUTED_VALUE"""),24)</f>
        <v>24</v>
      </c>
      <c r="E871" s="2">
        <f ca="1">IFERROR(__xludf.DUMMYFUNCTION("""COMPUTED_VALUE"""),186600)</f>
        <v>186600</v>
      </c>
      <c r="F871" s="2" t="str">
        <f ca="1">IFERROR(__xludf.DUMMYFUNCTION("""COMPUTED_VALUE"""),"Malbec")</f>
        <v>Malbec</v>
      </c>
      <c r="G871" s="2">
        <f ca="1">IFERROR(__xludf.DUMMYFUNCTION("""COMPUTED_VALUE"""),156000)</f>
        <v>156000</v>
      </c>
      <c r="H871" s="2">
        <f ca="1">IFERROR(__xludf.DUMMYFUNCTION("""COMPUTED_VALUE"""),186600)</f>
        <v>186600</v>
      </c>
      <c r="I871" s="2"/>
      <c r="J871" s="2"/>
      <c r="K871" s="2" t="str">
        <f ca="1">IFERROR(__xludf.DUMMYFUNCTION("""COMPUTED_VALUE"""),"2do Trasiego")</f>
        <v>2do Trasiego</v>
      </c>
      <c r="L871" s="2" t="str">
        <f ca="1">IFERROR(__xludf.DUMMYFUNCTION("""COMPUTED_VALUE"""),"1+")</f>
        <v>1+</v>
      </c>
      <c r="M871" s="2" t="str">
        <f ca="1">IFERROR(__xludf.DUMMYFUNCTION("""COMPUTED_VALUE"""),"Tinto")</f>
        <v>Tinto</v>
      </c>
    </row>
    <row r="872" spans="1:13" x14ac:dyDescent="0.25">
      <c r="A872" s="2" t="str">
        <f ca="1">IFERROR(__xludf.DUMMYFUNCTION("""COMPUTED_VALUE"""),"39adf883")</f>
        <v>39adf883</v>
      </c>
      <c r="B872" s="2"/>
      <c r="C872" s="5">
        <f ca="1">IFERROR(__xludf.DUMMYFUNCTION("""COMPUTED_VALUE"""),45800.7501736111)</f>
        <v>45800.750173611101</v>
      </c>
      <c r="D872" s="2">
        <f ca="1">IFERROR(__xludf.DUMMYFUNCTION("""COMPUTED_VALUE"""),500)</f>
        <v>500</v>
      </c>
      <c r="E872" s="2">
        <f ca="1">IFERROR(__xludf.DUMMYFUNCTION("""COMPUTED_VALUE"""),200000)</f>
        <v>200000</v>
      </c>
      <c r="F872" s="2" t="str">
        <f ca="1">IFERROR(__xludf.DUMMYFUNCTION("""COMPUTED_VALUE"""),"Ajustes 23/5/2025")</f>
        <v>Ajustes 23/5/2025</v>
      </c>
      <c r="G872" s="2"/>
      <c r="H872" s="2">
        <f ca="1">IFERROR(__xludf.DUMMYFUNCTION("""COMPUTED_VALUE"""),1)</f>
        <v>1</v>
      </c>
      <c r="I872" s="2"/>
      <c r="J872" s="2"/>
      <c r="K872" s="2"/>
      <c r="L872" s="2"/>
      <c r="M872" s="2"/>
    </row>
    <row r="873" spans="1:13" x14ac:dyDescent="0.25">
      <c r="A873" s="2" t="str">
        <f ca="1">IFERROR(__xludf.DUMMYFUNCTION("""COMPUTED_VALUE"""),"44074e3a")</f>
        <v>44074e3a</v>
      </c>
      <c r="B873" s="2"/>
      <c r="C873" s="5">
        <f ca="1">IFERROR(__xludf.DUMMYFUNCTION("""COMPUTED_VALUE"""),45800.7509027777)</f>
        <v>45800.750902777698</v>
      </c>
      <c r="D873" s="2">
        <f ca="1">IFERROR(__xludf.DUMMYFUNCTION("""COMPUTED_VALUE"""),500)</f>
        <v>500</v>
      </c>
      <c r="E873" s="2">
        <f ca="1">IFERROR(__xludf.DUMMYFUNCTION("""COMPUTED_VALUE"""),200000)</f>
        <v>200000</v>
      </c>
      <c r="F873" s="2" t="str">
        <f ca="1">IFERROR(__xludf.DUMMYFUNCTION("""COMPUTED_VALUE"""),"Ajustes 23/5/2025")</f>
        <v>Ajustes 23/5/2025</v>
      </c>
      <c r="G873" s="2">
        <f ca="1">IFERROR(__xludf.DUMMYFUNCTION("""COMPUTED_VALUE"""),1)</f>
        <v>1</v>
      </c>
      <c r="H873" s="2">
        <f ca="1">IFERROR(__xludf.DUMMYFUNCTION("""COMPUTED_VALUE"""),2901)</f>
        <v>2901</v>
      </c>
      <c r="I873" s="2"/>
      <c r="J873" s="2"/>
      <c r="K873" s="2"/>
      <c r="L873" s="2"/>
      <c r="M873" s="2"/>
    </row>
    <row r="874" spans="1:13" x14ac:dyDescent="0.25">
      <c r="A874" s="2" t="str">
        <f ca="1">IFERROR(__xludf.DUMMYFUNCTION("""COMPUTED_VALUE"""),"0c98b90d")</f>
        <v>0c98b90d</v>
      </c>
      <c r="B874" s="2"/>
      <c r="C874" s="5">
        <f ca="1">IFERROR(__xludf.DUMMYFUNCTION("""COMPUTED_VALUE"""),45800.751574074)</f>
        <v>45800.751574073998</v>
      </c>
      <c r="D874" s="2">
        <f ca="1">IFERROR(__xludf.DUMMYFUNCTION("""COMPUTED_VALUE"""),83)</f>
        <v>83</v>
      </c>
      <c r="E874" s="2">
        <f ca="1">IFERROR(__xludf.DUMMYFUNCTION("""COMPUTED_VALUE"""),81500)</f>
        <v>81500</v>
      </c>
      <c r="F874" s="2" t="str">
        <f ca="1">IFERROR(__xludf.DUMMYFUNCTION("""COMPUTED_VALUE"""),"Malbec")</f>
        <v>Malbec</v>
      </c>
      <c r="G874" s="2">
        <f ca="1">IFERROR(__xludf.DUMMYFUNCTION("""COMPUTED_VALUE"""),0)</f>
        <v>0</v>
      </c>
      <c r="H874" s="2">
        <f ca="1">IFERROR(__xludf.DUMMYFUNCTION("""COMPUTED_VALUE"""),2000)</f>
        <v>2000</v>
      </c>
      <c r="I874" s="2"/>
      <c r="J874" s="2"/>
      <c r="K874" s="2" t="str">
        <f ca="1">IFERROR(__xludf.DUMMYFUNCTION("""COMPUTED_VALUE"""),"2do Trasiego")</f>
        <v>2do Trasiego</v>
      </c>
      <c r="L874" s="2"/>
      <c r="M874" s="2"/>
    </row>
    <row r="875" spans="1:13" x14ac:dyDescent="0.25">
      <c r="A875" s="2" t="str">
        <f ca="1">IFERROR(__xludf.DUMMYFUNCTION("""COMPUTED_VALUE"""),"831c7ff8")</f>
        <v>831c7ff8</v>
      </c>
      <c r="B875" s="2"/>
      <c r="C875" s="5">
        <f ca="1">IFERROR(__xludf.DUMMYFUNCTION("""COMPUTED_VALUE"""),45800.751886574)</f>
        <v>45800.751886573998</v>
      </c>
      <c r="D875" s="2">
        <f ca="1">IFERROR(__xludf.DUMMYFUNCTION("""COMPUTED_VALUE"""),83)</f>
        <v>83</v>
      </c>
      <c r="E875" s="2">
        <f ca="1">IFERROR(__xludf.DUMMYFUNCTION("""COMPUTED_VALUE"""),81500)</f>
        <v>81500</v>
      </c>
      <c r="F875" s="2" t="str">
        <f ca="1">IFERROR(__xludf.DUMMYFUNCTION("""COMPUTED_VALUE"""),"Malbec")</f>
        <v>Malbec</v>
      </c>
      <c r="G875" s="2">
        <f ca="1">IFERROR(__xludf.DUMMYFUNCTION("""COMPUTED_VALUE"""),2000)</f>
        <v>2000</v>
      </c>
      <c r="H875" s="2">
        <f ca="1">IFERROR(__xludf.DUMMYFUNCTION("""COMPUTED_VALUE"""),25000)</f>
        <v>25000</v>
      </c>
      <c r="I875" s="2"/>
      <c r="J875" s="2"/>
      <c r="K875" s="2" t="str">
        <f ca="1">IFERROR(__xludf.DUMMYFUNCTION("""COMPUTED_VALUE"""),"2do Trasiego")</f>
        <v>2do Trasiego</v>
      </c>
      <c r="L875" s="2"/>
      <c r="M875" s="2"/>
    </row>
    <row r="876" spans="1:13" x14ac:dyDescent="0.25">
      <c r="A876" s="2" t="str">
        <f ca="1">IFERROR(__xludf.DUMMYFUNCTION("""COMPUTED_VALUE"""),"c5230377")</f>
        <v>c5230377</v>
      </c>
      <c r="B876" s="2"/>
      <c r="C876" s="5">
        <f ca="1">IFERROR(__xludf.DUMMYFUNCTION("""COMPUTED_VALUE"""),45800.7524884259)</f>
        <v>45800.752488425896</v>
      </c>
      <c r="D876" s="2">
        <f ca="1">IFERROR(__xludf.DUMMYFUNCTION("""COMPUTED_VALUE"""),83)</f>
        <v>83</v>
      </c>
      <c r="E876" s="2">
        <f ca="1">IFERROR(__xludf.DUMMYFUNCTION("""COMPUTED_VALUE"""),81500)</f>
        <v>81500</v>
      </c>
      <c r="F876" s="2" t="str">
        <f ca="1">IFERROR(__xludf.DUMMYFUNCTION("""COMPUTED_VALUE"""),"Malbec")</f>
        <v>Malbec</v>
      </c>
      <c r="G876" s="2">
        <f ca="1">IFERROR(__xludf.DUMMYFUNCTION("""COMPUTED_VALUE"""),25000)</f>
        <v>25000</v>
      </c>
      <c r="H876" s="2">
        <f ca="1">IFERROR(__xludf.DUMMYFUNCTION("""COMPUTED_VALUE"""),69400)</f>
        <v>69400</v>
      </c>
      <c r="I876" s="2"/>
      <c r="J876" s="2"/>
      <c r="K876" s="2" t="str">
        <f ca="1">IFERROR(__xludf.DUMMYFUNCTION("""COMPUTED_VALUE"""),"2do Trasiego")</f>
        <v>2do Trasiego</v>
      </c>
      <c r="L876" s="2"/>
      <c r="M876" s="2"/>
    </row>
    <row r="877" spans="1:13" x14ac:dyDescent="0.25">
      <c r="A877" s="2" t="str">
        <f ca="1">IFERROR(__xludf.DUMMYFUNCTION("""COMPUTED_VALUE"""),"08cd1438")</f>
        <v>08cd1438</v>
      </c>
      <c r="B877" s="2"/>
      <c r="C877" s="5">
        <f ca="1">IFERROR(__xludf.DUMMYFUNCTION("""COMPUTED_VALUE"""),45800.7544560185)</f>
        <v>45800.754456018498</v>
      </c>
      <c r="D877" s="2">
        <f ca="1">IFERROR(__xludf.DUMMYFUNCTION("""COMPUTED_VALUE"""),34)</f>
        <v>34</v>
      </c>
      <c r="E877" s="2">
        <f ca="1">IFERROR(__xludf.DUMMYFUNCTION("""COMPUTED_VALUE"""),39500)</f>
        <v>39500</v>
      </c>
      <c r="F877" s="2" t="str">
        <f ca="1">IFERROR(__xludf.DUMMYFUNCTION("""COMPUTED_VALUE"""),"Malbec")</f>
        <v>Malbec</v>
      </c>
      <c r="G877" s="2">
        <f ca="1">IFERROR(__xludf.DUMMYFUNCTION("""COMPUTED_VALUE"""),35880)</f>
        <v>35880</v>
      </c>
      <c r="H877" s="2">
        <f ca="1">IFERROR(__xludf.DUMMYFUNCTION("""COMPUTED_VALUE"""),39500)</f>
        <v>39500</v>
      </c>
      <c r="I877" s="2"/>
      <c r="J877" s="2"/>
      <c r="K877" s="2" t="str">
        <f ca="1">IFERROR(__xludf.DUMMYFUNCTION("""COMPUTED_VALUE"""),"2do Trasiego")</f>
        <v>2do Trasiego</v>
      </c>
      <c r="L877" s="2" t="str">
        <f ca="1">IFERROR(__xludf.DUMMYFUNCTION("""COMPUTED_VALUE"""),"1+")</f>
        <v>1+</v>
      </c>
      <c r="M877" s="2" t="str">
        <f ca="1">IFERROR(__xludf.DUMMYFUNCTION("""COMPUTED_VALUE"""),"Tinto")</f>
        <v>Tinto</v>
      </c>
    </row>
    <row r="878" spans="1:13" x14ac:dyDescent="0.25">
      <c r="A878" s="2" t="str">
        <f ca="1">IFERROR(__xludf.DUMMYFUNCTION("""COMPUTED_VALUE"""),"62ec9377")</f>
        <v>62ec9377</v>
      </c>
      <c r="B878" s="2"/>
      <c r="C878" s="5">
        <f ca="1">IFERROR(__xludf.DUMMYFUNCTION("""COMPUTED_VALUE"""),45800.760787037)</f>
        <v>45800.760787036997</v>
      </c>
      <c r="D878" s="2">
        <f ca="1">IFERROR(__xludf.DUMMYFUNCTION("""COMPUTED_VALUE"""),500)</f>
        <v>500</v>
      </c>
      <c r="E878" s="2">
        <f ca="1">IFERROR(__xludf.DUMMYFUNCTION("""COMPUTED_VALUE"""),200000)</f>
        <v>200000</v>
      </c>
      <c r="F878" s="2" t="str">
        <f ca="1">IFERROR(__xludf.DUMMYFUNCTION("""COMPUTED_VALUE"""),"Ajustes 23/5/2025")</f>
        <v>Ajustes 23/5/2025</v>
      </c>
      <c r="G878" s="2">
        <f ca="1">IFERROR(__xludf.DUMMYFUNCTION("""COMPUTED_VALUE"""),2901)</f>
        <v>2901</v>
      </c>
      <c r="H878" s="2">
        <f ca="1">IFERROR(__xludf.DUMMYFUNCTION("""COMPUTED_VALUE"""),7681)</f>
        <v>7681</v>
      </c>
      <c r="I878" s="2" t="str">
        <f ca="1">IFERROR(__xludf.DUMMYFUNCTION("""COMPUTED_VALUE"""),"Ajuste final de 7681 lts")</f>
        <v>Ajuste final de 7681 lts</v>
      </c>
      <c r="J878" s="2"/>
      <c r="K878" s="2" t="str">
        <f ca="1">IFERROR(__xludf.DUMMYFUNCTION("""COMPUTED_VALUE"""),"Terminado")</f>
        <v>Terminado</v>
      </c>
      <c r="L878" s="2"/>
      <c r="M878" s="2"/>
    </row>
    <row r="879" spans="1:13" x14ac:dyDescent="0.25">
      <c r="A879" s="2" t="str">
        <f ca="1">IFERROR(__xludf.DUMMYFUNCTION("""COMPUTED_VALUE"""),"9ad9bdea")</f>
        <v>9ad9bdea</v>
      </c>
      <c r="B879" s="2"/>
      <c r="C879" s="5">
        <f ca="1">IFERROR(__xludf.DUMMYFUNCTION("""COMPUTED_VALUE"""),45800.7637847222)</f>
        <v>45800.763784722199</v>
      </c>
      <c r="D879" s="2">
        <f ca="1">IFERROR(__xludf.DUMMYFUNCTION("""COMPUTED_VALUE"""),49)</f>
        <v>49</v>
      </c>
      <c r="E879" s="2">
        <f ca="1">IFERROR(__xludf.DUMMYFUNCTION("""COMPUTED_VALUE"""),26000)</f>
        <v>26000</v>
      </c>
      <c r="F879" s="2" t="str">
        <f ca="1">IFERROR(__xludf.DUMMYFUNCTION("""COMPUTED_VALUE"""),"Malbec")</f>
        <v>Malbec</v>
      </c>
      <c r="G879" s="2">
        <f ca="1">IFERROR(__xludf.DUMMYFUNCTION("""COMPUTED_VALUE"""),17300)</f>
        <v>17300</v>
      </c>
      <c r="H879" s="2">
        <f ca="1">IFERROR(__xludf.DUMMYFUNCTION("""COMPUTED_VALUE"""),26000)</f>
        <v>26000</v>
      </c>
      <c r="I879" s="2"/>
      <c r="J879" s="2"/>
      <c r="K879" s="2" t="str">
        <f ca="1">IFERROR(__xludf.DUMMYFUNCTION("""COMPUTED_VALUE"""),"Rectificado")</f>
        <v>Rectificado</v>
      </c>
      <c r="L879" s="2"/>
      <c r="M879" s="2"/>
    </row>
    <row r="880" spans="1:13" x14ac:dyDescent="0.25">
      <c r="A880" s="2" t="str">
        <f ca="1">IFERROR(__xludf.DUMMYFUNCTION("""COMPUTED_VALUE"""),"6f76277b")</f>
        <v>6f76277b</v>
      </c>
      <c r="B880" s="2"/>
      <c r="C880" s="5">
        <f ca="1">IFERROR(__xludf.DUMMYFUNCTION("""COMPUTED_VALUE"""),45800.7641550925)</f>
        <v>45800.764155092496</v>
      </c>
      <c r="D880" s="2">
        <f ca="1">IFERROR(__xludf.DUMMYFUNCTION("""COMPUTED_VALUE"""),6)</f>
        <v>6</v>
      </c>
      <c r="E880" s="2">
        <f ca="1">IFERROR(__xludf.DUMMYFUNCTION("""COMPUTED_VALUE"""),32000)</f>
        <v>32000</v>
      </c>
      <c r="F880" s="2" t="str">
        <f ca="1">IFERROR(__xludf.DUMMYFUNCTION("""COMPUTED_VALUE"""),"Bonarda Rect")</f>
        <v>Bonarda Rect</v>
      </c>
      <c r="G880" s="2">
        <f ca="1">IFERROR(__xludf.DUMMYFUNCTION("""COMPUTED_VALUE"""),0)</f>
        <v>0</v>
      </c>
      <c r="H880" s="2">
        <f ca="1">IFERROR(__xludf.DUMMYFUNCTION("""COMPUTED_VALUE"""),22300)</f>
        <v>22300</v>
      </c>
      <c r="I880" s="2"/>
      <c r="J880" s="2"/>
      <c r="K880" s="2" t="str">
        <f ca="1">IFERROR(__xludf.DUMMYFUNCTION("""COMPUTED_VALUE"""),"Rectificado")</f>
        <v>Rectificado</v>
      </c>
      <c r="L880" s="2"/>
      <c r="M880" s="2"/>
    </row>
    <row r="881" spans="1:13" x14ac:dyDescent="0.25">
      <c r="A881" s="2" t="str">
        <f ca="1">IFERROR(__xludf.DUMMYFUNCTION("""COMPUTED_VALUE"""),"434cf64c")</f>
        <v>434cf64c</v>
      </c>
      <c r="B881" s="2"/>
      <c r="C881" s="5">
        <f ca="1">IFERROR(__xludf.DUMMYFUNCTION("""COMPUTED_VALUE"""),45803.4697106481)</f>
        <v>45803.469710648104</v>
      </c>
      <c r="D881" s="2">
        <f ca="1">IFERROR(__xludf.DUMMYFUNCTION("""COMPUTED_VALUE"""),83)</f>
        <v>83</v>
      </c>
      <c r="E881" s="2">
        <f ca="1">IFERROR(__xludf.DUMMYFUNCTION("""COMPUTED_VALUE"""),81500)</f>
        <v>81500</v>
      </c>
      <c r="F881" s="2" t="str">
        <f ca="1">IFERROR(__xludf.DUMMYFUNCTION("""COMPUTED_VALUE"""),"Malbec")</f>
        <v>Malbec</v>
      </c>
      <c r="G881" s="2">
        <f ca="1">IFERROR(__xludf.DUMMYFUNCTION("""COMPUTED_VALUE"""),69400)</f>
        <v>69400</v>
      </c>
      <c r="H881" s="2">
        <f ca="1">IFERROR(__xludf.DUMMYFUNCTION("""COMPUTED_VALUE"""),81300)</f>
        <v>81300</v>
      </c>
      <c r="I881" s="2"/>
      <c r="J881" s="2"/>
      <c r="K881" s="2" t="str">
        <f ca="1">IFERROR(__xludf.DUMMYFUNCTION("""COMPUTED_VALUE"""),"2do Trasiego")</f>
        <v>2do Trasiego</v>
      </c>
      <c r="L881" s="2"/>
      <c r="M881" s="2"/>
    </row>
    <row r="882" spans="1:13" x14ac:dyDescent="0.25">
      <c r="A882" s="2" t="str">
        <f ca="1">IFERROR(__xludf.DUMMYFUNCTION("""COMPUTED_VALUE"""),"1031b227")</f>
        <v>1031b227</v>
      </c>
      <c r="B882" s="2"/>
      <c r="C882" s="5">
        <f ca="1">IFERROR(__xludf.DUMMYFUNCTION("""COMPUTED_VALUE"""),45803.4699652777)</f>
        <v>45803.469965277698</v>
      </c>
      <c r="D882" s="2">
        <f ca="1">IFERROR(__xludf.DUMMYFUNCTION("""COMPUTED_VALUE"""),83)</f>
        <v>83</v>
      </c>
      <c r="E882" s="2">
        <f ca="1">IFERROR(__xludf.DUMMYFUNCTION("""COMPUTED_VALUE"""),81500)</f>
        <v>81500</v>
      </c>
      <c r="F882" s="2" t="str">
        <f ca="1">IFERROR(__xludf.DUMMYFUNCTION("""COMPUTED_VALUE"""),"Malbec")</f>
        <v>Malbec</v>
      </c>
      <c r="G882" s="2">
        <f ca="1">IFERROR(__xludf.DUMMYFUNCTION("""COMPUTED_VALUE"""),81300)</f>
        <v>81300</v>
      </c>
      <c r="H882" s="2">
        <f ca="1">IFERROR(__xludf.DUMMYFUNCTION("""COMPUTED_VALUE"""),81500)</f>
        <v>81500</v>
      </c>
      <c r="I882" s="2"/>
      <c r="J882" s="2"/>
      <c r="K882" s="2" t="str">
        <f ca="1">IFERROR(__xludf.DUMMYFUNCTION("""COMPUTED_VALUE"""),"2do Trasiego")</f>
        <v>2do Trasiego</v>
      </c>
      <c r="L882" s="2" t="str">
        <f ca="1">IFERROR(__xludf.DUMMYFUNCTION("""COMPUTED_VALUE"""),"1-")</f>
        <v>1-</v>
      </c>
      <c r="M882" s="2" t="str">
        <f ca="1">IFERROR(__xludf.DUMMYFUNCTION("""COMPUTED_VALUE"""),"Tinto")</f>
        <v>Tinto</v>
      </c>
    </row>
    <row r="883" spans="1:13" x14ac:dyDescent="0.25">
      <c r="A883" s="2" t="str">
        <f ca="1">IFERROR(__xludf.DUMMYFUNCTION("""COMPUTED_VALUE"""),"b31c1ec9")</f>
        <v>b31c1ec9</v>
      </c>
      <c r="B883" s="2"/>
      <c r="C883" s="5">
        <f ca="1">IFERROR(__xludf.DUMMYFUNCTION("""COMPUTED_VALUE"""),45803.470636574)</f>
        <v>45803.470636573998</v>
      </c>
      <c r="D883" s="2">
        <f ca="1">IFERROR(__xludf.DUMMYFUNCTION("""COMPUTED_VALUE"""),67)</f>
        <v>67</v>
      </c>
      <c r="E883" s="2">
        <f ca="1">IFERROR(__xludf.DUMMYFUNCTION("""COMPUTED_VALUE"""),23000)</f>
        <v>23000</v>
      </c>
      <c r="F883" s="2" t="str">
        <f ca="1">IFERROR(__xludf.DUMMYFUNCTION("""COMPUTED_VALUE"""),"Anccelotta")</f>
        <v>Anccelotta</v>
      </c>
      <c r="G883" s="2">
        <f ca="1">IFERROR(__xludf.DUMMYFUNCTION("""COMPUTED_VALUE"""),0)</f>
        <v>0</v>
      </c>
      <c r="H883" s="2">
        <f ca="1">IFERROR(__xludf.DUMMYFUNCTION("""COMPUTED_VALUE"""),22020)</f>
        <v>22020</v>
      </c>
      <c r="I883" s="2"/>
      <c r="J883" s="2"/>
      <c r="K883" s="2" t="str">
        <f ca="1">IFERROR(__xludf.DUMMYFUNCTION("""COMPUTED_VALUE"""),"2do Trasiego")</f>
        <v>2do Trasiego</v>
      </c>
      <c r="L883" s="2"/>
      <c r="M883" s="2"/>
    </row>
    <row r="884" spans="1:13" x14ac:dyDescent="0.25">
      <c r="A884" s="2" t="str">
        <f ca="1">IFERROR(__xludf.DUMMYFUNCTION("""COMPUTED_VALUE"""),"654f35d0")</f>
        <v>654f35d0</v>
      </c>
      <c r="B884" s="2"/>
      <c r="C884" s="5">
        <f ca="1">IFERROR(__xludf.DUMMYFUNCTION("""COMPUTED_VALUE"""),45803.4709722222)</f>
        <v>45803.470972222203</v>
      </c>
      <c r="D884" s="2">
        <f ca="1">IFERROR(__xludf.DUMMYFUNCTION("""COMPUTED_VALUE"""),67)</f>
        <v>67</v>
      </c>
      <c r="E884" s="2">
        <f ca="1">IFERROR(__xludf.DUMMYFUNCTION("""COMPUTED_VALUE"""),23000)</f>
        <v>23000</v>
      </c>
      <c r="F884" s="2" t="str">
        <f ca="1">IFERROR(__xludf.DUMMYFUNCTION("""COMPUTED_VALUE"""),"Anccelotta")</f>
        <v>Anccelotta</v>
      </c>
      <c r="G884" s="2">
        <f ca="1">IFERROR(__xludf.DUMMYFUNCTION("""COMPUTED_VALUE"""),22020)</f>
        <v>22020</v>
      </c>
      <c r="H884" s="2">
        <f ca="1">IFERROR(__xludf.DUMMYFUNCTION("""COMPUTED_VALUE"""),23000)</f>
        <v>23000</v>
      </c>
      <c r="I884" s="2"/>
      <c r="J884" s="2"/>
      <c r="K884" s="2" t="str">
        <f ca="1">IFERROR(__xludf.DUMMYFUNCTION("""COMPUTED_VALUE"""),"2do Trasiego")</f>
        <v>2do Trasiego</v>
      </c>
      <c r="L884" s="2"/>
      <c r="M884" s="2"/>
    </row>
    <row r="885" spans="1:13" x14ac:dyDescent="0.25">
      <c r="A885" s="2" t="str">
        <f ca="1">IFERROR(__xludf.DUMMYFUNCTION("""COMPUTED_VALUE"""),"a9d727ca")</f>
        <v>a9d727ca</v>
      </c>
      <c r="B885" s="2"/>
      <c r="C885" s="5">
        <f ca="1">IFERROR(__xludf.DUMMYFUNCTION("""COMPUTED_VALUE"""),45804.4951041666)</f>
        <v>45804.495104166599</v>
      </c>
      <c r="D885" s="2">
        <f ca="1">IFERROR(__xludf.DUMMYFUNCTION("""COMPUTED_VALUE"""),104)</f>
        <v>104</v>
      </c>
      <c r="E885" s="2">
        <f ca="1">IFERROR(__xludf.DUMMYFUNCTION("""COMPUTED_VALUE"""),31000)</f>
        <v>31000</v>
      </c>
      <c r="F885" s="2" t="str">
        <f ca="1">IFERROR(__xludf.DUMMYFUNCTION("""COMPUTED_VALUE"""),"Bonarda Rect")</f>
        <v>Bonarda Rect</v>
      </c>
      <c r="G885" s="2">
        <f ca="1">IFERROR(__xludf.DUMMYFUNCTION("""COMPUTED_VALUE"""),0)</f>
        <v>0</v>
      </c>
      <c r="H885" s="2">
        <f ca="1">IFERROR(__xludf.DUMMYFUNCTION("""COMPUTED_VALUE"""),3000)</f>
        <v>3000</v>
      </c>
      <c r="I885" s="2"/>
      <c r="J885" s="2"/>
      <c r="K885" s="2" t="str">
        <f ca="1">IFERROR(__xludf.DUMMYFUNCTION("""COMPUTED_VALUE"""),"Rectificado")</f>
        <v>Rectificado</v>
      </c>
      <c r="L885" s="2"/>
      <c r="M885" s="2"/>
    </row>
    <row r="886" spans="1:13" x14ac:dyDescent="0.25">
      <c r="A886" s="2" t="str">
        <f ca="1">IFERROR(__xludf.DUMMYFUNCTION("""COMPUTED_VALUE"""),"029c104a")</f>
        <v>029c104a</v>
      </c>
      <c r="B886" s="2"/>
      <c r="C886" s="5">
        <f ca="1">IFERROR(__xludf.DUMMYFUNCTION("""COMPUTED_VALUE"""),45804.4956134259)</f>
        <v>45804.495613425897</v>
      </c>
      <c r="D886" s="2">
        <f ca="1">IFERROR(__xludf.DUMMYFUNCTION("""COMPUTED_VALUE"""),104)</f>
        <v>104</v>
      </c>
      <c r="E886" s="2">
        <f ca="1">IFERROR(__xludf.DUMMYFUNCTION("""COMPUTED_VALUE"""),31000)</f>
        <v>31000</v>
      </c>
      <c r="F886" s="2" t="str">
        <f ca="1">IFERROR(__xludf.DUMMYFUNCTION("""COMPUTED_VALUE"""),"Bonarda")</f>
        <v>Bonarda</v>
      </c>
      <c r="G886" s="2">
        <f ca="1">IFERROR(__xludf.DUMMYFUNCTION("""COMPUTED_VALUE"""),3000)</f>
        <v>3000</v>
      </c>
      <c r="H886" s="2">
        <f ca="1">IFERROR(__xludf.DUMMYFUNCTION("""COMPUTED_VALUE"""),31000)</f>
        <v>31000</v>
      </c>
      <c r="I886" s="2"/>
      <c r="J886" s="2"/>
      <c r="K886" s="2" t="str">
        <f ca="1">IFERROR(__xludf.DUMMYFUNCTION("""COMPUTED_VALUE"""),"2do Trasiego")</f>
        <v>2do Trasiego</v>
      </c>
      <c r="L886" s="2" t="str">
        <f ca="1">IFERROR(__xludf.DUMMYFUNCTION("""COMPUTED_VALUE"""),"1+")</f>
        <v>1+</v>
      </c>
      <c r="M886" s="2" t="str">
        <f ca="1">IFERROR(__xludf.DUMMYFUNCTION("""COMPUTED_VALUE"""),"Tinto")</f>
        <v>Tinto</v>
      </c>
    </row>
    <row r="887" spans="1:13" x14ac:dyDescent="0.25">
      <c r="A887" s="2" t="str">
        <f ca="1">IFERROR(__xludf.DUMMYFUNCTION("""COMPUTED_VALUE"""),"61948e2d")</f>
        <v>61948e2d</v>
      </c>
      <c r="B887" s="2"/>
      <c r="C887" s="5">
        <f ca="1">IFERROR(__xludf.DUMMYFUNCTION("""COMPUTED_VALUE"""),45804.5171875)</f>
        <v>45804.517187500001</v>
      </c>
      <c r="D887" s="2">
        <f ca="1">IFERROR(__xludf.DUMMYFUNCTION("""COMPUTED_VALUE"""),109)</f>
        <v>109</v>
      </c>
      <c r="E887" s="2">
        <f ca="1">IFERROR(__xludf.DUMMYFUNCTION("""COMPUTED_VALUE"""),15600)</f>
        <v>15600</v>
      </c>
      <c r="F887" s="2" t="str">
        <f ca="1">IFERROR(__xludf.DUMMYFUNCTION("""COMPUTED_VALUE"""),"Bonarda")</f>
        <v>Bonarda</v>
      </c>
      <c r="G887" s="2">
        <f ca="1">IFERROR(__xludf.DUMMYFUNCTION("""COMPUTED_VALUE"""),0)</f>
        <v>0</v>
      </c>
      <c r="H887" s="2">
        <f ca="1">IFERROR(__xludf.DUMMYFUNCTION("""COMPUTED_VALUE"""),3000)</f>
        <v>3000</v>
      </c>
      <c r="I887" s="2"/>
      <c r="J887" s="2"/>
      <c r="K887" s="2" t="str">
        <f ca="1">IFERROR(__xludf.DUMMYFUNCTION("""COMPUTED_VALUE"""),"2do Trasiego")</f>
        <v>2do Trasiego</v>
      </c>
      <c r="L887" s="2"/>
      <c r="M887" s="2"/>
    </row>
    <row r="888" spans="1:13" x14ac:dyDescent="0.25">
      <c r="A888" s="2" t="str">
        <f ca="1">IFERROR(__xludf.DUMMYFUNCTION("""COMPUTED_VALUE"""),"d1ac6d2d")</f>
        <v>d1ac6d2d</v>
      </c>
      <c r="B888" s="2"/>
      <c r="C888" s="5">
        <f ca="1">IFERROR(__xludf.DUMMYFUNCTION("""COMPUTED_VALUE"""),45804.5179861111)</f>
        <v>45804.517986111103</v>
      </c>
      <c r="D888" s="2">
        <f ca="1">IFERROR(__xludf.DUMMYFUNCTION("""COMPUTED_VALUE"""),102)</f>
        <v>102</v>
      </c>
      <c r="E888" s="2">
        <f ca="1">IFERROR(__xludf.DUMMYFUNCTION("""COMPUTED_VALUE"""),31000)</f>
        <v>31000</v>
      </c>
      <c r="F888" s="2" t="str">
        <f ca="1">IFERROR(__xludf.DUMMYFUNCTION("""COMPUTED_VALUE"""),"Bonarda Rect")</f>
        <v>Bonarda Rect</v>
      </c>
      <c r="G888" s="2">
        <f ca="1">IFERROR(__xludf.DUMMYFUNCTION("""COMPUTED_VALUE"""),0)</f>
        <v>0</v>
      </c>
      <c r="H888" s="2">
        <f ca="1">IFERROR(__xludf.DUMMYFUNCTION("""COMPUTED_VALUE"""),3000)</f>
        <v>3000</v>
      </c>
      <c r="I888" s="2"/>
      <c r="J888" s="2"/>
      <c r="K888" s="2" t="str">
        <f ca="1">IFERROR(__xludf.DUMMYFUNCTION("""COMPUTED_VALUE"""),"Rectificado")</f>
        <v>Rectificado</v>
      </c>
      <c r="L888" s="2"/>
      <c r="M888" s="2"/>
    </row>
    <row r="889" spans="1:13" x14ac:dyDescent="0.25">
      <c r="A889" s="2" t="str">
        <f ca="1">IFERROR(__xludf.DUMMYFUNCTION("""COMPUTED_VALUE"""),"5091788b")</f>
        <v>5091788b</v>
      </c>
      <c r="B889" s="2"/>
      <c r="C889" s="5">
        <f ca="1">IFERROR(__xludf.DUMMYFUNCTION("""COMPUTED_VALUE"""),45804.5185069444)</f>
        <v>45804.518506944398</v>
      </c>
      <c r="D889" s="2">
        <f ca="1">IFERROR(__xludf.DUMMYFUNCTION("""COMPUTED_VALUE"""),102)</f>
        <v>102</v>
      </c>
      <c r="E889" s="2">
        <f ca="1">IFERROR(__xludf.DUMMYFUNCTION("""COMPUTED_VALUE"""),31000)</f>
        <v>31000</v>
      </c>
      <c r="F889" s="2" t="str">
        <f ca="1">IFERROR(__xludf.DUMMYFUNCTION("""COMPUTED_VALUE"""),"Bonarda")</f>
        <v>Bonarda</v>
      </c>
      <c r="G889" s="2">
        <f ca="1">IFERROR(__xludf.DUMMYFUNCTION("""COMPUTED_VALUE"""),3000)</f>
        <v>3000</v>
      </c>
      <c r="H889" s="2">
        <f ca="1">IFERROR(__xludf.DUMMYFUNCTION("""COMPUTED_VALUE"""),31000)</f>
        <v>31000</v>
      </c>
      <c r="I889" s="2"/>
      <c r="J889" s="2"/>
      <c r="K889" s="2" t="str">
        <f ca="1">IFERROR(__xludf.DUMMYFUNCTION("""COMPUTED_VALUE"""),"2do Trasiego")</f>
        <v>2do Trasiego</v>
      </c>
      <c r="L889" s="2" t="str">
        <f ca="1">IFERROR(__xludf.DUMMYFUNCTION("""COMPUTED_VALUE"""),"1")</f>
        <v>1</v>
      </c>
      <c r="M889" s="2"/>
    </row>
    <row r="890" spans="1:13" x14ac:dyDescent="0.25">
      <c r="A890" s="2" t="str">
        <f ca="1">IFERROR(__xludf.DUMMYFUNCTION("""COMPUTED_VALUE"""),"4d16cc18")</f>
        <v>4d16cc18</v>
      </c>
      <c r="B890" s="2"/>
      <c r="C890" s="5">
        <f ca="1">IFERROR(__xludf.DUMMYFUNCTION("""COMPUTED_VALUE"""),45804.5187384259)</f>
        <v>45804.518738425897</v>
      </c>
      <c r="D890" s="2">
        <f ca="1">IFERROR(__xludf.DUMMYFUNCTION("""COMPUTED_VALUE"""),109)</f>
        <v>109</v>
      </c>
      <c r="E890" s="2">
        <f ca="1">IFERROR(__xludf.DUMMYFUNCTION("""COMPUTED_VALUE"""),15600)</f>
        <v>15600</v>
      </c>
      <c r="F890" s="2" t="str">
        <f ca="1">IFERROR(__xludf.DUMMYFUNCTION("""COMPUTED_VALUE"""),"Bonarda")</f>
        <v>Bonarda</v>
      </c>
      <c r="G890" s="2">
        <f ca="1">IFERROR(__xludf.DUMMYFUNCTION("""COMPUTED_VALUE"""),3000)</f>
        <v>3000</v>
      </c>
      <c r="H890" s="2">
        <f ca="1">IFERROR(__xludf.DUMMYFUNCTION("""COMPUTED_VALUE"""),6000)</f>
        <v>6000</v>
      </c>
      <c r="I890" s="2"/>
      <c r="J890" s="2"/>
      <c r="K890" s="2" t="str">
        <f ca="1">IFERROR(__xludf.DUMMYFUNCTION("""COMPUTED_VALUE"""),"2do Trasiego")</f>
        <v>2do Trasiego</v>
      </c>
      <c r="L890" s="2"/>
      <c r="M890" s="2"/>
    </row>
    <row r="891" spans="1:13" x14ac:dyDescent="0.25">
      <c r="A891" s="2" t="str">
        <f ca="1">IFERROR(__xludf.DUMMYFUNCTION("""COMPUTED_VALUE"""),"6468b679")</f>
        <v>6468b679</v>
      </c>
      <c r="B891" s="2"/>
      <c r="C891" s="5">
        <f ca="1">IFERROR(__xludf.DUMMYFUNCTION("""COMPUTED_VALUE"""),45804.5191782407)</f>
        <v>45804.519178240698</v>
      </c>
      <c r="D891" s="2">
        <f ca="1">IFERROR(__xludf.DUMMYFUNCTION("""COMPUTED_VALUE"""),103)</f>
        <v>103</v>
      </c>
      <c r="E891" s="2">
        <f ca="1">IFERROR(__xludf.DUMMYFUNCTION("""COMPUTED_VALUE"""),31000)</f>
        <v>31000</v>
      </c>
      <c r="F891" s="2" t="str">
        <f ca="1">IFERROR(__xludf.DUMMYFUNCTION("""COMPUTED_VALUE"""),"Bonarda Rect")</f>
        <v>Bonarda Rect</v>
      </c>
      <c r="G891" s="2">
        <f ca="1">IFERROR(__xludf.DUMMYFUNCTION("""COMPUTED_VALUE"""),0)</f>
        <v>0</v>
      </c>
      <c r="H891" s="2">
        <f ca="1">IFERROR(__xludf.DUMMYFUNCTION("""COMPUTED_VALUE"""),3000)</f>
        <v>3000</v>
      </c>
      <c r="I891" s="2"/>
      <c r="J891" s="2"/>
      <c r="K891" s="2" t="str">
        <f ca="1">IFERROR(__xludf.DUMMYFUNCTION("""COMPUTED_VALUE"""),"Rectificado")</f>
        <v>Rectificado</v>
      </c>
      <c r="L891" s="2"/>
      <c r="M891" s="2"/>
    </row>
    <row r="892" spans="1:13" x14ac:dyDescent="0.25">
      <c r="A892" s="2" t="str">
        <f ca="1">IFERROR(__xludf.DUMMYFUNCTION("""COMPUTED_VALUE"""),"eb5a88ac")</f>
        <v>eb5a88ac</v>
      </c>
      <c r="B892" s="2"/>
      <c r="C892" s="5">
        <f ca="1">IFERROR(__xludf.DUMMYFUNCTION("""COMPUTED_VALUE"""),45804.5195138888)</f>
        <v>45804.519513888801</v>
      </c>
      <c r="D892" s="2">
        <f ca="1">IFERROR(__xludf.DUMMYFUNCTION("""COMPUTED_VALUE"""),103)</f>
        <v>103</v>
      </c>
      <c r="E892" s="2">
        <f ca="1">IFERROR(__xludf.DUMMYFUNCTION("""COMPUTED_VALUE"""),31000)</f>
        <v>31000</v>
      </c>
      <c r="F892" s="2" t="str">
        <f ca="1">IFERROR(__xludf.DUMMYFUNCTION("""COMPUTED_VALUE"""),"Bonarda")</f>
        <v>Bonarda</v>
      </c>
      <c r="G892" s="2">
        <f ca="1">IFERROR(__xludf.DUMMYFUNCTION("""COMPUTED_VALUE"""),3000)</f>
        <v>3000</v>
      </c>
      <c r="H892" s="2">
        <f ca="1">IFERROR(__xludf.DUMMYFUNCTION("""COMPUTED_VALUE"""),31000)</f>
        <v>31000</v>
      </c>
      <c r="I892" s="2"/>
      <c r="J892" s="2"/>
      <c r="K892" s="2" t="str">
        <f ca="1">IFERROR(__xludf.DUMMYFUNCTION("""COMPUTED_VALUE"""),"2do Trasiego")</f>
        <v>2do Trasiego</v>
      </c>
      <c r="L892" s="2" t="str">
        <f ca="1">IFERROR(__xludf.DUMMYFUNCTION("""COMPUTED_VALUE"""),"1+")</f>
        <v>1+</v>
      </c>
      <c r="M892" s="2" t="str">
        <f ca="1">IFERROR(__xludf.DUMMYFUNCTION("""COMPUTED_VALUE"""),"Tinto")</f>
        <v>Tinto</v>
      </c>
    </row>
    <row r="893" spans="1:13" x14ac:dyDescent="0.25">
      <c r="A893" s="2" t="str">
        <f ca="1">IFERROR(__xludf.DUMMYFUNCTION("""COMPUTED_VALUE"""),"5621dc05")</f>
        <v>5621dc05</v>
      </c>
      <c r="B893" s="2"/>
      <c r="C893" s="5">
        <f ca="1">IFERROR(__xludf.DUMMYFUNCTION("""COMPUTED_VALUE"""),45804.5197106481)</f>
        <v>45804.519710648099</v>
      </c>
      <c r="D893" s="2">
        <f ca="1">IFERROR(__xludf.DUMMYFUNCTION("""COMPUTED_VALUE"""),109)</f>
        <v>109</v>
      </c>
      <c r="E893" s="2">
        <f ca="1">IFERROR(__xludf.DUMMYFUNCTION("""COMPUTED_VALUE"""),15600)</f>
        <v>15600</v>
      </c>
      <c r="F893" s="2" t="str">
        <f ca="1">IFERROR(__xludf.DUMMYFUNCTION("""COMPUTED_VALUE"""),"Bonarda")</f>
        <v>Bonarda</v>
      </c>
      <c r="G893" s="2">
        <f ca="1">IFERROR(__xludf.DUMMYFUNCTION("""COMPUTED_VALUE"""),6000)</f>
        <v>6000</v>
      </c>
      <c r="H893" s="2">
        <f ca="1">IFERROR(__xludf.DUMMYFUNCTION("""COMPUTED_VALUE"""),9000)</f>
        <v>9000</v>
      </c>
      <c r="I893" s="2"/>
      <c r="J893" s="2"/>
      <c r="K893" s="2" t="str">
        <f ca="1">IFERROR(__xludf.DUMMYFUNCTION("""COMPUTED_VALUE"""),"2do Trasiego")</f>
        <v>2do Trasiego</v>
      </c>
      <c r="L893" s="2"/>
      <c r="M893" s="2"/>
    </row>
    <row r="894" spans="1:13" x14ac:dyDescent="0.25">
      <c r="A894" s="2" t="str">
        <f ca="1">IFERROR(__xludf.DUMMYFUNCTION("""COMPUTED_VALUE"""),"9f20348c")</f>
        <v>9f20348c</v>
      </c>
      <c r="B894" s="2"/>
      <c r="C894" s="5">
        <f ca="1">IFERROR(__xludf.DUMMYFUNCTION("""COMPUTED_VALUE"""),45804.5201504629)</f>
        <v>45804.5201504629</v>
      </c>
      <c r="D894" s="2">
        <f ca="1">IFERROR(__xludf.DUMMYFUNCTION("""COMPUTED_VALUE"""),105)</f>
        <v>105</v>
      </c>
      <c r="E894" s="2">
        <f ca="1">IFERROR(__xludf.DUMMYFUNCTION("""COMPUTED_VALUE"""),31000)</f>
        <v>31000</v>
      </c>
      <c r="F894" s="2" t="str">
        <f ca="1">IFERROR(__xludf.DUMMYFUNCTION("""COMPUTED_VALUE"""),"Bonarda Rect")</f>
        <v>Bonarda Rect</v>
      </c>
      <c r="G894" s="2">
        <f ca="1">IFERROR(__xludf.DUMMYFUNCTION("""COMPUTED_VALUE"""),0)</f>
        <v>0</v>
      </c>
      <c r="H894" s="2">
        <f ca="1">IFERROR(__xludf.DUMMYFUNCTION("""COMPUTED_VALUE"""),3000)</f>
        <v>3000</v>
      </c>
      <c r="I894" s="2"/>
      <c r="J894" s="2"/>
      <c r="K894" s="2" t="str">
        <f ca="1">IFERROR(__xludf.DUMMYFUNCTION("""COMPUTED_VALUE"""),"Rectificado")</f>
        <v>Rectificado</v>
      </c>
      <c r="L894" s="2"/>
      <c r="M894" s="2"/>
    </row>
    <row r="895" spans="1:13" x14ac:dyDescent="0.25">
      <c r="A895" s="2" t="str">
        <f ca="1">IFERROR(__xludf.DUMMYFUNCTION("""COMPUTED_VALUE"""),"57a4fe30")</f>
        <v>57a4fe30</v>
      </c>
      <c r="B895" s="2"/>
      <c r="C895" s="5">
        <f ca="1">IFERROR(__xludf.DUMMYFUNCTION("""COMPUTED_VALUE"""),45804.5204166666)</f>
        <v>45804.520416666601</v>
      </c>
      <c r="D895" s="2">
        <f ca="1">IFERROR(__xludf.DUMMYFUNCTION("""COMPUTED_VALUE"""),105)</f>
        <v>105</v>
      </c>
      <c r="E895" s="2">
        <f ca="1">IFERROR(__xludf.DUMMYFUNCTION("""COMPUTED_VALUE"""),31000)</f>
        <v>31000</v>
      </c>
      <c r="F895" s="2" t="str">
        <f ca="1">IFERROR(__xludf.DUMMYFUNCTION("""COMPUTED_VALUE"""),"Bonarda")</f>
        <v>Bonarda</v>
      </c>
      <c r="G895" s="2">
        <f ca="1">IFERROR(__xludf.DUMMYFUNCTION("""COMPUTED_VALUE"""),3000)</f>
        <v>3000</v>
      </c>
      <c r="H895" s="2">
        <f ca="1">IFERROR(__xludf.DUMMYFUNCTION("""COMPUTED_VALUE"""),31000)</f>
        <v>31000</v>
      </c>
      <c r="I895" s="2"/>
      <c r="J895" s="2"/>
      <c r="K895" s="2" t="str">
        <f ca="1">IFERROR(__xludf.DUMMYFUNCTION("""COMPUTED_VALUE"""),"2do Trasiego")</f>
        <v>2do Trasiego</v>
      </c>
      <c r="L895" s="2" t="str">
        <f ca="1">IFERROR(__xludf.DUMMYFUNCTION("""COMPUTED_VALUE"""),"1+")</f>
        <v>1+</v>
      </c>
      <c r="M895" s="2" t="str">
        <f ca="1">IFERROR(__xludf.DUMMYFUNCTION("""COMPUTED_VALUE"""),"Tinto")</f>
        <v>Tinto</v>
      </c>
    </row>
    <row r="896" spans="1:13" x14ac:dyDescent="0.25">
      <c r="A896" s="2" t="str">
        <f ca="1">IFERROR(__xludf.DUMMYFUNCTION("""COMPUTED_VALUE"""),"0101284d")</f>
        <v>0101284d</v>
      </c>
      <c r="B896" s="2"/>
      <c r="C896" s="5">
        <f ca="1">IFERROR(__xludf.DUMMYFUNCTION("""COMPUTED_VALUE"""),45804.5207407406)</f>
        <v>45804.5207407407</v>
      </c>
      <c r="D896" s="2">
        <f ca="1">IFERROR(__xludf.DUMMYFUNCTION("""COMPUTED_VALUE"""),109)</f>
        <v>109</v>
      </c>
      <c r="E896" s="2">
        <f ca="1">IFERROR(__xludf.DUMMYFUNCTION("""COMPUTED_VALUE"""),15600)</f>
        <v>15600</v>
      </c>
      <c r="F896" s="2" t="str">
        <f ca="1">IFERROR(__xludf.DUMMYFUNCTION("""COMPUTED_VALUE"""),"Bonarda")</f>
        <v>Bonarda</v>
      </c>
      <c r="G896" s="2">
        <f ca="1">IFERROR(__xludf.DUMMYFUNCTION("""COMPUTED_VALUE"""),9000)</f>
        <v>9000</v>
      </c>
      <c r="H896" s="2">
        <f ca="1">IFERROR(__xludf.DUMMYFUNCTION("""COMPUTED_VALUE"""),12000)</f>
        <v>12000</v>
      </c>
      <c r="I896" s="2"/>
      <c r="J896" s="2"/>
      <c r="K896" s="2" t="str">
        <f ca="1">IFERROR(__xludf.DUMMYFUNCTION("""COMPUTED_VALUE"""),"2do Trasiego")</f>
        <v>2do Trasiego</v>
      </c>
      <c r="L896" s="2"/>
      <c r="M896" s="2"/>
    </row>
    <row r="897" spans="1:13" x14ac:dyDescent="0.25">
      <c r="A897" s="2" t="str">
        <f ca="1">IFERROR(__xludf.DUMMYFUNCTION("""COMPUTED_VALUE"""),"743ab7d6")</f>
        <v>743ab7d6</v>
      </c>
      <c r="B897" s="2"/>
      <c r="C897" s="5">
        <f ca="1">IFERROR(__xludf.DUMMYFUNCTION("""COMPUTED_VALUE"""),45804.5224305555)</f>
        <v>45804.522430555502</v>
      </c>
      <c r="D897" s="2">
        <f ca="1">IFERROR(__xludf.DUMMYFUNCTION("""COMPUTED_VALUE"""),107)</f>
        <v>107</v>
      </c>
      <c r="E897" s="2">
        <f ca="1">IFERROR(__xludf.DUMMYFUNCTION("""COMPUTED_VALUE"""),31000)</f>
        <v>31000</v>
      </c>
      <c r="F897" s="2" t="str">
        <f ca="1">IFERROR(__xludf.DUMMYFUNCTION("""COMPUTED_VALUE"""),"Bonarda Rect")</f>
        <v>Bonarda Rect</v>
      </c>
      <c r="G897" s="2">
        <f ca="1">IFERROR(__xludf.DUMMYFUNCTION("""COMPUTED_VALUE"""),0)</f>
        <v>0</v>
      </c>
      <c r="H897" s="2">
        <f ca="1">IFERROR(__xludf.DUMMYFUNCTION("""COMPUTED_VALUE"""),3000)</f>
        <v>3000</v>
      </c>
      <c r="I897" s="2"/>
      <c r="J897" s="2"/>
      <c r="K897" s="2" t="str">
        <f ca="1">IFERROR(__xludf.DUMMYFUNCTION("""COMPUTED_VALUE"""),"Rectificado")</f>
        <v>Rectificado</v>
      </c>
      <c r="L897" s="2"/>
      <c r="M897" s="2"/>
    </row>
    <row r="898" spans="1:13" x14ac:dyDescent="0.25">
      <c r="A898" s="2" t="str">
        <f ca="1">IFERROR(__xludf.DUMMYFUNCTION("""COMPUTED_VALUE"""),"3f5178fd")</f>
        <v>3f5178fd</v>
      </c>
      <c r="B898" s="2"/>
      <c r="C898" s="5">
        <f ca="1">IFERROR(__xludf.DUMMYFUNCTION("""COMPUTED_VALUE"""),45804.5227662037)</f>
        <v>45804.5227662037</v>
      </c>
      <c r="D898" s="2">
        <f ca="1">IFERROR(__xludf.DUMMYFUNCTION("""COMPUTED_VALUE"""),107)</f>
        <v>107</v>
      </c>
      <c r="E898" s="2">
        <f ca="1">IFERROR(__xludf.DUMMYFUNCTION("""COMPUTED_VALUE"""),31000)</f>
        <v>31000</v>
      </c>
      <c r="F898" s="2" t="str">
        <f ca="1">IFERROR(__xludf.DUMMYFUNCTION("""COMPUTED_VALUE"""),"Bonarda")</f>
        <v>Bonarda</v>
      </c>
      <c r="G898" s="2">
        <f ca="1">IFERROR(__xludf.DUMMYFUNCTION("""COMPUTED_VALUE"""),3000)</f>
        <v>3000</v>
      </c>
      <c r="H898" s="2">
        <f ca="1">IFERROR(__xludf.DUMMYFUNCTION("""COMPUTED_VALUE"""),31000)</f>
        <v>31000</v>
      </c>
      <c r="I898" s="2"/>
      <c r="J898" s="2"/>
      <c r="K898" s="2" t="str">
        <f ca="1">IFERROR(__xludf.DUMMYFUNCTION("""COMPUTED_VALUE"""),"2do Trasiego")</f>
        <v>2do Trasiego</v>
      </c>
      <c r="L898" s="2" t="str">
        <f ca="1">IFERROR(__xludf.DUMMYFUNCTION("""COMPUTED_VALUE"""),"1+")</f>
        <v>1+</v>
      </c>
      <c r="M898" s="2" t="str">
        <f ca="1">IFERROR(__xludf.DUMMYFUNCTION("""COMPUTED_VALUE"""),"Tinto")</f>
        <v>Tinto</v>
      </c>
    </row>
    <row r="899" spans="1:13" x14ac:dyDescent="0.25">
      <c r="A899" s="2" t="str">
        <f ca="1">IFERROR(__xludf.DUMMYFUNCTION("""COMPUTED_VALUE"""),"8cd3ea51")</f>
        <v>8cd3ea51</v>
      </c>
      <c r="B899" s="2"/>
      <c r="C899" s="5">
        <f ca="1">IFERROR(__xludf.DUMMYFUNCTION("""COMPUTED_VALUE"""),45804.5232638888)</f>
        <v>45804.523263888797</v>
      </c>
      <c r="D899" s="2">
        <f ca="1">IFERROR(__xludf.DUMMYFUNCTION("""COMPUTED_VALUE"""),109)</f>
        <v>109</v>
      </c>
      <c r="E899" s="2">
        <f ca="1">IFERROR(__xludf.DUMMYFUNCTION("""COMPUTED_VALUE"""),15600)</f>
        <v>15600</v>
      </c>
      <c r="F899" s="2" t="str">
        <f ca="1">IFERROR(__xludf.DUMMYFUNCTION("""COMPUTED_VALUE"""),"Bonarda")</f>
        <v>Bonarda</v>
      </c>
      <c r="G899" s="2">
        <f ca="1">IFERROR(__xludf.DUMMYFUNCTION("""COMPUTED_VALUE"""),12000)</f>
        <v>12000</v>
      </c>
      <c r="H899" s="2">
        <f ca="1">IFERROR(__xludf.DUMMYFUNCTION("""COMPUTED_VALUE"""),15000)</f>
        <v>15000</v>
      </c>
      <c r="I899" s="2"/>
      <c r="J899" s="2"/>
      <c r="K899" s="2" t="str">
        <f ca="1">IFERROR(__xludf.DUMMYFUNCTION("""COMPUTED_VALUE"""),"2do Trasiego")</f>
        <v>2do Trasiego</v>
      </c>
      <c r="L899" s="2"/>
      <c r="M899" s="2"/>
    </row>
    <row r="900" spans="1:13" x14ac:dyDescent="0.25">
      <c r="A900" s="2" t="str">
        <f ca="1">IFERROR(__xludf.DUMMYFUNCTION("""COMPUTED_VALUE"""),"dc8b07fe")</f>
        <v>dc8b07fe</v>
      </c>
      <c r="B900" s="2"/>
      <c r="C900" s="5">
        <f ca="1">IFERROR(__xludf.DUMMYFUNCTION("""COMPUTED_VALUE"""),45804.7923611111)</f>
        <v>45804.792361111096</v>
      </c>
      <c r="D900" s="2">
        <f ca="1">IFERROR(__xludf.DUMMYFUNCTION("""COMPUTED_VALUE"""),7)</f>
        <v>7</v>
      </c>
      <c r="E900" s="2">
        <f ca="1">IFERROR(__xludf.DUMMYFUNCTION("""COMPUTED_VALUE"""),30000)</f>
        <v>30000</v>
      </c>
      <c r="F900" s="2" t="str">
        <f ca="1">IFERROR(__xludf.DUMMYFUNCTION("""COMPUTED_VALUE"""),"Cabernet Sauvignon Rectificado")</f>
        <v>Cabernet Sauvignon Rectificado</v>
      </c>
      <c r="G900" s="2">
        <f ca="1">IFERROR(__xludf.DUMMYFUNCTION("""COMPUTED_VALUE"""),0)</f>
        <v>0</v>
      </c>
      <c r="H900" s="2">
        <f ca="1">IFERROR(__xludf.DUMMYFUNCTION("""COMPUTED_VALUE"""),25500)</f>
        <v>25500</v>
      </c>
      <c r="I900" s="2"/>
      <c r="J900" s="2"/>
      <c r="K900" s="2" t="str">
        <f ca="1">IFERROR(__xludf.DUMMYFUNCTION("""COMPUTED_VALUE"""),"Rectificado")</f>
        <v>Rectificado</v>
      </c>
      <c r="L900" s="2"/>
      <c r="M900" s="2"/>
    </row>
    <row r="901" spans="1:13" x14ac:dyDescent="0.25">
      <c r="A901" s="2" t="str">
        <f ca="1">IFERROR(__xludf.DUMMYFUNCTION("""COMPUTED_VALUE"""),"ec873f45")</f>
        <v>ec873f45</v>
      </c>
      <c r="B901" s="2"/>
      <c r="C901" s="5">
        <f ca="1">IFERROR(__xludf.DUMMYFUNCTION("""COMPUTED_VALUE"""),45804.7935532407)</f>
        <v>45804.793553240699</v>
      </c>
      <c r="D901" s="2">
        <f ca="1">IFERROR(__xludf.DUMMYFUNCTION("""COMPUTED_VALUE"""),125)</f>
        <v>125</v>
      </c>
      <c r="E901" s="2">
        <f ca="1">IFERROR(__xludf.DUMMYFUNCTION("""COMPUTED_VALUE"""),31000)</f>
        <v>31000</v>
      </c>
      <c r="F901" s="2" t="str">
        <f ca="1">IFERROR(__xludf.DUMMYFUNCTION("""COMPUTED_VALUE"""),"Tinto")</f>
        <v>Tinto</v>
      </c>
      <c r="G901" s="2">
        <f ca="1">IFERROR(__xludf.DUMMYFUNCTION("""COMPUTED_VALUE"""),0)</f>
        <v>0</v>
      </c>
      <c r="H901" s="2">
        <f ca="1">IFERROR(__xludf.DUMMYFUNCTION("""COMPUTED_VALUE"""),30000)</f>
        <v>30000</v>
      </c>
      <c r="I901" s="2"/>
      <c r="J901" s="2"/>
      <c r="K901" s="2" t="str">
        <f ca="1">IFERROR(__xludf.DUMMYFUNCTION("""COMPUTED_VALUE"""),"Rectificado")</f>
        <v>Rectificado</v>
      </c>
      <c r="L901" s="2"/>
      <c r="M901" s="2"/>
    </row>
    <row r="902" spans="1:13" x14ac:dyDescent="0.25">
      <c r="A902" s="2" t="str">
        <f ca="1">IFERROR(__xludf.DUMMYFUNCTION("""COMPUTED_VALUE"""),"9a261ef2")</f>
        <v>9a261ef2</v>
      </c>
      <c r="B902" s="2"/>
      <c r="C902" s="5">
        <f ca="1">IFERROR(__xludf.DUMMYFUNCTION("""COMPUTED_VALUE"""),45804.7959722222)</f>
        <v>45804.7959722222</v>
      </c>
      <c r="D902" s="2">
        <f ca="1">IFERROR(__xludf.DUMMYFUNCTION("""COMPUTED_VALUE"""),84)</f>
        <v>84</v>
      </c>
      <c r="E902" s="2">
        <f ca="1">IFERROR(__xludf.DUMMYFUNCTION("""COMPUTED_VALUE"""),83000)</f>
        <v>83000</v>
      </c>
      <c r="F902" s="2" t="str">
        <f ca="1">IFERROR(__xludf.DUMMYFUNCTION("""COMPUTED_VALUE"""),"Tinto")</f>
        <v>Tinto</v>
      </c>
      <c r="G902" s="2">
        <f ca="1">IFERROR(__xludf.DUMMYFUNCTION("""COMPUTED_VALUE"""),0)</f>
        <v>0</v>
      </c>
      <c r="H902" s="2">
        <f ca="1">IFERROR(__xludf.DUMMYFUNCTION("""COMPUTED_VALUE"""),83000)</f>
        <v>83000</v>
      </c>
      <c r="I902" s="2"/>
      <c r="J902" s="2"/>
      <c r="K902" s="2" t="str">
        <f ca="1">IFERROR(__xludf.DUMMYFUNCTION("""COMPUTED_VALUE"""),"2do Trasiego")</f>
        <v>2do Trasiego</v>
      </c>
      <c r="L902" s="2" t="str">
        <f ca="1">IFERROR(__xludf.DUMMYFUNCTION("""COMPUTED_VALUE"""),"1")</f>
        <v>1</v>
      </c>
      <c r="M902" s="2"/>
    </row>
    <row r="903" spans="1:13" x14ac:dyDescent="0.25">
      <c r="A903" s="2" t="str">
        <f ca="1">IFERROR(__xludf.DUMMYFUNCTION("""COMPUTED_VALUE"""),"317f770a")</f>
        <v>317f770a</v>
      </c>
      <c r="B903" s="2"/>
      <c r="C903" s="5">
        <f ca="1">IFERROR(__xludf.DUMMYFUNCTION("""COMPUTED_VALUE"""),45804.7970949074)</f>
        <v>45804.797094907401</v>
      </c>
      <c r="D903" s="2">
        <f ca="1">IFERROR(__xludf.DUMMYFUNCTION("""COMPUTED_VALUE"""),85)</f>
        <v>85</v>
      </c>
      <c r="E903" s="2">
        <f ca="1">IFERROR(__xludf.DUMMYFUNCTION("""COMPUTED_VALUE"""),84000)</f>
        <v>84000</v>
      </c>
      <c r="F903" s="2" t="str">
        <f ca="1">IFERROR(__xludf.DUMMYFUNCTION("""COMPUTED_VALUE"""),"Tinto")</f>
        <v>Tinto</v>
      </c>
      <c r="G903" s="2">
        <f ca="1">IFERROR(__xludf.DUMMYFUNCTION("""COMPUTED_VALUE"""),0)</f>
        <v>0</v>
      </c>
      <c r="H903" s="2">
        <f ca="1">IFERROR(__xludf.DUMMYFUNCTION("""COMPUTED_VALUE"""),72600)</f>
        <v>72600</v>
      </c>
      <c r="I903" s="2"/>
      <c r="J903" s="2"/>
      <c r="K903" s="2" t="str">
        <f ca="1">IFERROR(__xludf.DUMMYFUNCTION("""COMPUTED_VALUE"""),"2do Trasiego")</f>
        <v>2do Trasiego</v>
      </c>
      <c r="L903" s="2"/>
      <c r="M903" s="2"/>
    </row>
    <row r="904" spans="1:13" x14ac:dyDescent="0.25">
      <c r="A904" s="2" t="str">
        <f ca="1">IFERROR(__xludf.DUMMYFUNCTION("""COMPUTED_VALUE"""),"b7883137")</f>
        <v>b7883137</v>
      </c>
      <c r="B904" s="2"/>
      <c r="C904" s="5">
        <f ca="1">IFERROR(__xludf.DUMMYFUNCTION("""COMPUTED_VALUE"""),45804.7982291666)</f>
        <v>45804.798229166598</v>
      </c>
      <c r="D904" s="2">
        <f ca="1">IFERROR(__xludf.DUMMYFUNCTION("""COMPUTED_VALUE"""),85)</f>
        <v>85</v>
      </c>
      <c r="E904" s="2">
        <f ca="1">IFERROR(__xludf.DUMMYFUNCTION("""COMPUTED_VALUE"""),84000)</f>
        <v>84000</v>
      </c>
      <c r="F904" s="2" t="str">
        <f ca="1">IFERROR(__xludf.DUMMYFUNCTION("""COMPUTED_VALUE"""),"Tinto")</f>
        <v>Tinto</v>
      </c>
      <c r="G904" s="2">
        <f ca="1">IFERROR(__xludf.DUMMYFUNCTION("""COMPUTED_VALUE"""),72600)</f>
        <v>72600</v>
      </c>
      <c r="H904" s="2">
        <f ca="1">IFERROR(__xludf.DUMMYFUNCTION("""COMPUTED_VALUE"""),84000)</f>
        <v>84000</v>
      </c>
      <c r="I904" s="2"/>
      <c r="J904" s="2"/>
      <c r="K904" s="2" t="str">
        <f ca="1">IFERROR(__xludf.DUMMYFUNCTION("""COMPUTED_VALUE"""),"2do Trasiego")</f>
        <v>2do Trasiego</v>
      </c>
      <c r="L904" s="2" t="str">
        <f ca="1">IFERROR(__xludf.DUMMYFUNCTION("""COMPUTED_VALUE"""),"1")</f>
        <v>1</v>
      </c>
      <c r="M904" s="2"/>
    </row>
    <row r="905" spans="1:13" x14ac:dyDescent="0.25">
      <c r="A905" s="2" t="str">
        <f ca="1">IFERROR(__xludf.DUMMYFUNCTION("""COMPUTED_VALUE"""),"fbfff24a")</f>
        <v>fbfff24a</v>
      </c>
      <c r="B905" s="2"/>
      <c r="C905" s="5">
        <f ca="1">IFERROR(__xludf.DUMMYFUNCTION("""COMPUTED_VALUE"""),45804.7985532407)</f>
        <v>45804.798553240696</v>
      </c>
      <c r="D905" s="2">
        <f ca="1">IFERROR(__xludf.DUMMYFUNCTION("""COMPUTED_VALUE"""),92)</f>
        <v>92</v>
      </c>
      <c r="E905" s="2">
        <f ca="1">IFERROR(__xludf.DUMMYFUNCTION("""COMPUTED_VALUE"""),76000)</f>
        <v>76000</v>
      </c>
      <c r="F905" s="2" t="str">
        <f ca="1">IFERROR(__xludf.DUMMYFUNCTION("""COMPUTED_VALUE"""),"Tinto")</f>
        <v>Tinto</v>
      </c>
      <c r="G905" s="2">
        <f ca="1">IFERROR(__xludf.DUMMYFUNCTION("""COMPUTED_VALUE"""),0)</f>
        <v>0</v>
      </c>
      <c r="H905" s="2">
        <f ca="1">IFERROR(__xludf.DUMMYFUNCTION("""COMPUTED_VALUE"""),74600)</f>
        <v>74600</v>
      </c>
      <c r="I905" s="2"/>
      <c r="J905" s="2"/>
      <c r="K905" s="2" t="str">
        <f ca="1">IFERROR(__xludf.DUMMYFUNCTION("""COMPUTED_VALUE"""),"2do Trasiego")</f>
        <v>2do Trasiego</v>
      </c>
      <c r="L905" s="2" t="str">
        <f ca="1">IFERROR(__xludf.DUMMYFUNCTION("""COMPUTED_VALUE"""),"1")</f>
        <v>1</v>
      </c>
      <c r="M905" s="2"/>
    </row>
    <row r="906" spans="1:13" x14ac:dyDescent="0.25">
      <c r="A906" s="2" t="str">
        <f ca="1">IFERROR(__xludf.DUMMYFUNCTION("""COMPUTED_VALUE"""),"36493bbe")</f>
        <v>36493bbe</v>
      </c>
      <c r="B906" s="2"/>
      <c r="C906" s="5">
        <f ca="1">IFERROR(__xludf.DUMMYFUNCTION("""COMPUTED_VALUE"""),45804.799224537)</f>
        <v>45804.799224536997</v>
      </c>
      <c r="D906" s="2">
        <f ca="1">IFERROR(__xludf.DUMMYFUNCTION("""COMPUTED_VALUE"""),68)</f>
        <v>68</v>
      </c>
      <c r="E906" s="2">
        <f ca="1">IFERROR(__xludf.DUMMYFUNCTION("""COMPUTED_VALUE"""),13000)</f>
        <v>13000</v>
      </c>
      <c r="F906" s="2" t="str">
        <f ca="1">IFERROR(__xludf.DUMMYFUNCTION("""COMPUTED_VALUE"""),"Tinto (Ch)")</f>
        <v>Tinto (Ch)</v>
      </c>
      <c r="G906" s="2">
        <f ca="1">IFERROR(__xludf.DUMMYFUNCTION("""COMPUTED_VALUE"""),0)</f>
        <v>0</v>
      </c>
      <c r="H906" s="2">
        <f ca="1">IFERROR(__xludf.DUMMYFUNCTION("""COMPUTED_VALUE"""),13000)</f>
        <v>13000</v>
      </c>
      <c r="I906" s="2"/>
      <c r="J906" s="2"/>
      <c r="K906" s="2" t="str">
        <f ca="1">IFERROR(__xludf.DUMMYFUNCTION("""COMPUTED_VALUE"""),"2do Trasiego")</f>
        <v>2do Trasiego</v>
      </c>
      <c r="L906" s="2" t="str">
        <f ca="1">IFERROR(__xludf.DUMMYFUNCTION("""COMPUTED_VALUE"""),"2+")</f>
        <v>2+</v>
      </c>
      <c r="M906" s="2"/>
    </row>
    <row r="907" spans="1:13" x14ac:dyDescent="0.25">
      <c r="A907" s="2" t="str">
        <f ca="1">IFERROR(__xludf.DUMMYFUNCTION("""COMPUTED_VALUE"""),"34934edf")</f>
        <v>34934edf</v>
      </c>
      <c r="B907" s="2"/>
      <c r="C907" s="5">
        <f ca="1">IFERROR(__xludf.DUMMYFUNCTION("""COMPUTED_VALUE"""),45805.7368171296)</f>
        <v>45805.736817129597</v>
      </c>
      <c r="D907" s="2">
        <f ca="1">IFERROR(__xludf.DUMMYFUNCTION("""COMPUTED_VALUE"""),500)</f>
        <v>500</v>
      </c>
      <c r="E907" s="2">
        <f ca="1">IFERROR(__xludf.DUMMYFUNCTION("""COMPUTED_VALUE"""),200000)</f>
        <v>200000</v>
      </c>
      <c r="F907" s="2" t="str">
        <f ca="1">IFERROR(__xludf.DUMMYFUNCTION("""COMPUTED_VALUE"""),"Tinto Venta Garbin")</f>
        <v>Tinto Venta Garbin</v>
      </c>
      <c r="G907" s="2">
        <f ca="1">IFERROR(__xludf.DUMMYFUNCTION("""COMPUTED_VALUE"""),0)</f>
        <v>0</v>
      </c>
      <c r="H907" s="2">
        <f ca="1">IFERROR(__xludf.DUMMYFUNCTION("""COMPUTED_VALUE"""),200000)</f>
        <v>200000</v>
      </c>
      <c r="I907" s="2"/>
      <c r="J907" s="2"/>
      <c r="K907" s="2" t="str">
        <f ca="1">IFERROR(__xludf.DUMMYFUNCTION("""COMPUTED_VALUE"""),"Traslado Venta")</f>
        <v>Traslado Venta</v>
      </c>
      <c r="L907" s="2"/>
      <c r="M907" s="2"/>
    </row>
    <row r="908" spans="1:13" x14ac:dyDescent="0.25">
      <c r="A908" s="2" t="str">
        <f ca="1">IFERROR(__xludf.DUMMYFUNCTION("""COMPUTED_VALUE"""),"9d9d68cd")</f>
        <v>9d9d68cd</v>
      </c>
      <c r="B908" s="2"/>
      <c r="C908" s="5">
        <f ca="1">IFERROR(__xludf.DUMMYFUNCTION("""COMPUTED_VALUE"""),45805.7371643518)</f>
        <v>45805.737164351798</v>
      </c>
      <c r="D908" s="2">
        <f ca="1">IFERROR(__xludf.DUMMYFUNCTION("""COMPUTED_VALUE"""),73)</f>
        <v>73</v>
      </c>
      <c r="E908" s="2">
        <f ca="1">IFERROR(__xludf.DUMMYFUNCTION("""COMPUTED_VALUE"""),13000)</f>
        <v>13000</v>
      </c>
      <c r="F908" s="2" t="str">
        <f ca="1">IFERROR(__xludf.DUMMYFUNCTION("""COMPUTED_VALUE"""),"Tinto Venta Garbin")</f>
        <v>Tinto Venta Garbin</v>
      </c>
      <c r="G908" s="2">
        <f ca="1">IFERROR(__xludf.DUMMYFUNCTION("""COMPUTED_VALUE"""),0)</f>
        <v>0</v>
      </c>
      <c r="H908" s="2">
        <f ca="1">IFERROR(__xludf.DUMMYFUNCTION("""COMPUTED_VALUE"""),1400)</f>
        <v>1400</v>
      </c>
      <c r="I908" s="2"/>
      <c r="J908" s="2"/>
      <c r="K908" s="2" t="str">
        <f ca="1">IFERROR(__xludf.DUMMYFUNCTION("""COMPUTED_VALUE"""),"2do Trasiego")</f>
        <v>2do Trasiego</v>
      </c>
      <c r="L908" s="2"/>
      <c r="M908" s="2"/>
    </row>
    <row r="909" spans="1:13" x14ac:dyDescent="0.25">
      <c r="A909" s="2" t="str">
        <f ca="1">IFERROR(__xludf.DUMMYFUNCTION("""COMPUTED_VALUE"""),"bb3607ba")</f>
        <v>bb3607ba</v>
      </c>
      <c r="B909" s="2"/>
      <c r="C909" s="5">
        <f ca="1">IFERROR(__xludf.DUMMYFUNCTION("""COMPUTED_VALUE"""),45805.7377199074)</f>
        <v>45805.737719907404</v>
      </c>
      <c r="D909" s="2">
        <f ca="1">IFERROR(__xludf.DUMMYFUNCTION("""COMPUTED_VALUE"""),73)</f>
        <v>73</v>
      </c>
      <c r="E909" s="2">
        <f ca="1">IFERROR(__xludf.DUMMYFUNCTION("""COMPUTED_VALUE"""),13000)</f>
        <v>13000</v>
      </c>
      <c r="F909" s="2" t="str">
        <f ca="1">IFERROR(__xludf.DUMMYFUNCTION("""COMPUTED_VALUE"""),"Bonarda")</f>
        <v>Bonarda</v>
      </c>
      <c r="G909" s="2">
        <f ca="1">IFERROR(__xludf.DUMMYFUNCTION("""COMPUTED_VALUE"""),1400)</f>
        <v>1400</v>
      </c>
      <c r="H909" s="2">
        <f ca="1">IFERROR(__xludf.DUMMYFUNCTION("""COMPUTED_VALUE"""),2400)</f>
        <v>2400</v>
      </c>
      <c r="I909" s="2"/>
      <c r="J909" s="2"/>
      <c r="K909" s="2" t="str">
        <f ca="1">IFERROR(__xludf.DUMMYFUNCTION("""COMPUTED_VALUE"""),"2do Trasiego")</f>
        <v>2do Trasiego</v>
      </c>
      <c r="L909" s="2"/>
      <c r="M909" s="2"/>
    </row>
    <row r="910" spans="1:13" x14ac:dyDescent="0.25">
      <c r="A910" s="2" t="str">
        <f ca="1">IFERROR(__xludf.DUMMYFUNCTION("""COMPUTED_VALUE"""),"605416fd")</f>
        <v>605416fd</v>
      </c>
      <c r="B910" s="2"/>
      <c r="C910" s="5">
        <f ca="1">IFERROR(__xludf.DUMMYFUNCTION("""COMPUTED_VALUE"""),45805.7380787037)</f>
        <v>45805.738078703696</v>
      </c>
      <c r="D910" s="2">
        <f ca="1">IFERROR(__xludf.DUMMYFUNCTION("""COMPUTED_VALUE"""),109)</f>
        <v>109</v>
      </c>
      <c r="E910" s="2">
        <f ca="1">IFERROR(__xludf.DUMMYFUNCTION("""COMPUTED_VALUE"""),15600)</f>
        <v>15600</v>
      </c>
      <c r="F910" s="2" t="str">
        <f ca="1">IFERROR(__xludf.DUMMYFUNCTION("""COMPUTED_VALUE"""),"Bonarda")</f>
        <v>Bonarda</v>
      </c>
      <c r="G910" s="2">
        <f ca="1">IFERROR(__xludf.DUMMYFUNCTION("""COMPUTED_VALUE"""),14000)</f>
        <v>14000</v>
      </c>
      <c r="H910" s="2">
        <f ca="1">IFERROR(__xludf.DUMMYFUNCTION("""COMPUTED_VALUE"""),15600)</f>
        <v>15600</v>
      </c>
      <c r="I910" s="2"/>
      <c r="J910" s="2"/>
      <c r="K910" s="2" t="str">
        <f ca="1">IFERROR(__xludf.DUMMYFUNCTION("""COMPUTED_VALUE"""),"2do Trasiego")</f>
        <v>2do Trasiego</v>
      </c>
      <c r="L910" s="2"/>
      <c r="M910" s="2" t="str">
        <f ca="1">IFERROR(__xludf.DUMMYFUNCTION("""COMPUTED_VALUE"""),"Tinto")</f>
        <v>Tinto</v>
      </c>
    </row>
    <row r="911" spans="1:13" x14ac:dyDescent="0.25">
      <c r="A911" s="2" t="str">
        <f ca="1">IFERROR(__xludf.DUMMYFUNCTION("""COMPUTED_VALUE"""),"dfa54ee5")</f>
        <v>dfa54ee5</v>
      </c>
      <c r="B911" s="2"/>
      <c r="C911" s="5">
        <f ca="1">IFERROR(__xludf.DUMMYFUNCTION("""COMPUTED_VALUE"""),45805.7413078703)</f>
        <v>45805.741307870303</v>
      </c>
      <c r="D911" s="2">
        <f ca="1">IFERROR(__xludf.DUMMYFUNCTION("""COMPUTED_VALUE"""),7)</f>
        <v>7</v>
      </c>
      <c r="E911" s="2">
        <f ca="1">IFERROR(__xludf.DUMMYFUNCTION("""COMPUTED_VALUE"""),30000)</f>
        <v>30000</v>
      </c>
      <c r="F911" s="2" t="str">
        <f ca="1">IFERROR(__xludf.DUMMYFUNCTION("""COMPUTED_VALUE"""),"Cabernet Sauvignon Rectificado")</f>
        <v>Cabernet Sauvignon Rectificado</v>
      </c>
      <c r="G911" s="2">
        <f ca="1">IFERROR(__xludf.DUMMYFUNCTION("""COMPUTED_VALUE"""),25500)</f>
        <v>25500</v>
      </c>
      <c r="H911" s="2">
        <f ca="1">IFERROR(__xludf.DUMMYFUNCTION("""COMPUTED_VALUE"""),30000)</f>
        <v>30000</v>
      </c>
      <c r="I911" s="2"/>
      <c r="J911" s="2"/>
      <c r="K911" s="2" t="str">
        <f ca="1">IFERROR(__xludf.DUMMYFUNCTION("""COMPUTED_VALUE"""),"Rectificado")</f>
        <v>Rectificado</v>
      </c>
      <c r="L911" s="2"/>
      <c r="M911" s="2"/>
    </row>
    <row r="912" spans="1:13" x14ac:dyDescent="0.25">
      <c r="A912" s="2" t="str">
        <f ca="1">IFERROR(__xludf.DUMMYFUNCTION("""COMPUTED_VALUE"""),"2d4e2ede")</f>
        <v>2d4e2ede</v>
      </c>
      <c r="B912" s="2"/>
      <c r="C912" s="5">
        <f ca="1">IFERROR(__xludf.DUMMYFUNCTION("""COMPUTED_VALUE"""),45805.7417476851)</f>
        <v>45805.741747685097</v>
      </c>
      <c r="D912" s="2">
        <f ca="1">IFERROR(__xludf.DUMMYFUNCTION("""COMPUTED_VALUE"""),45)</f>
        <v>45</v>
      </c>
      <c r="E912" s="2">
        <f ca="1">IFERROR(__xludf.DUMMYFUNCTION("""COMPUTED_VALUE"""),30000)</f>
        <v>30000</v>
      </c>
      <c r="F912" s="2" t="str">
        <f ca="1">IFERROR(__xludf.DUMMYFUNCTION("""COMPUTED_VALUE"""),"Tinto")</f>
        <v>Tinto</v>
      </c>
      <c r="G912" s="2">
        <f ca="1">IFERROR(__xludf.DUMMYFUNCTION("""COMPUTED_VALUE"""),0)</f>
        <v>0</v>
      </c>
      <c r="H912" s="2">
        <f ca="1">IFERROR(__xludf.DUMMYFUNCTION("""COMPUTED_VALUE"""),25500)</f>
        <v>25500</v>
      </c>
      <c r="I912" s="2"/>
      <c r="J912" s="2"/>
      <c r="K912" s="2" t="str">
        <f ca="1">IFERROR(__xludf.DUMMYFUNCTION("""COMPUTED_VALUE"""),"Rectificado")</f>
        <v>Rectificado</v>
      </c>
      <c r="L912" s="2"/>
      <c r="M912" s="2"/>
    </row>
    <row r="913" spans="1:13" x14ac:dyDescent="0.25">
      <c r="A913" s="2" t="str">
        <f ca="1">IFERROR(__xludf.DUMMYFUNCTION("""COMPUTED_VALUE"""),"704cf4ee")</f>
        <v>704cf4ee</v>
      </c>
      <c r="B913" s="2"/>
      <c r="C913" s="5">
        <f ca="1">IFERROR(__xludf.DUMMYFUNCTION("""COMPUTED_VALUE"""),45805.7443287037)</f>
        <v>45805.744328703702</v>
      </c>
      <c r="D913" s="2">
        <f ca="1">IFERROR(__xludf.DUMMYFUNCTION("""COMPUTED_VALUE"""),118)</f>
        <v>118</v>
      </c>
      <c r="E913" s="2">
        <f ca="1">IFERROR(__xludf.DUMMYFUNCTION("""COMPUTED_VALUE"""),155600)</f>
        <v>155600</v>
      </c>
      <c r="F913" s="2" t="str">
        <f ca="1">IFERROR(__xludf.DUMMYFUNCTION("""COMPUTED_VALUE"""),"Cabernet Sauvignon")</f>
        <v>Cabernet Sauvignon</v>
      </c>
      <c r="G913" s="2">
        <f ca="1">IFERROR(__xludf.DUMMYFUNCTION("""COMPUTED_VALUE"""),0)</f>
        <v>0</v>
      </c>
      <c r="H913" s="2">
        <f ca="1">IFERROR(__xludf.DUMMYFUNCTION("""COMPUTED_VALUE"""),120200)</f>
        <v>120200</v>
      </c>
      <c r="I913" s="2"/>
      <c r="J913" s="2"/>
      <c r="K913" s="2" t="str">
        <f ca="1">IFERROR(__xludf.DUMMYFUNCTION("""COMPUTED_VALUE"""),"2do Trasiego")</f>
        <v>2do Trasiego</v>
      </c>
      <c r="L913" s="2"/>
      <c r="M913" s="2"/>
    </row>
    <row r="914" spans="1:13" x14ac:dyDescent="0.25">
      <c r="A914" s="2" t="str">
        <f ca="1">IFERROR(__xludf.DUMMYFUNCTION("""COMPUTED_VALUE"""),"179cf3c0")</f>
        <v>179cf3c0</v>
      </c>
      <c r="B914" s="2"/>
      <c r="C914" s="5">
        <f ca="1">IFERROR(__xludf.DUMMYFUNCTION("""COMPUTED_VALUE"""),45805.7458449074)</f>
        <v>45805.745844907397</v>
      </c>
      <c r="D914" s="2">
        <f ca="1">IFERROR(__xludf.DUMMYFUNCTION("""COMPUTED_VALUE"""),118)</f>
        <v>118</v>
      </c>
      <c r="E914" s="2">
        <f ca="1">IFERROR(__xludf.DUMMYFUNCTION("""COMPUTED_VALUE"""),155600)</f>
        <v>155600</v>
      </c>
      <c r="F914" s="2" t="str">
        <f ca="1">IFERROR(__xludf.DUMMYFUNCTION("""COMPUTED_VALUE"""),"Cabernet Sauvignon")</f>
        <v>Cabernet Sauvignon</v>
      </c>
      <c r="G914" s="2">
        <f ca="1">IFERROR(__xludf.DUMMYFUNCTION("""COMPUTED_VALUE"""),120200)</f>
        <v>120200</v>
      </c>
      <c r="H914" s="2">
        <f ca="1">IFERROR(__xludf.DUMMYFUNCTION("""COMPUTED_VALUE"""),150200)</f>
        <v>150200</v>
      </c>
      <c r="I914" s="2"/>
      <c r="J914" s="2"/>
      <c r="K914" s="2" t="str">
        <f ca="1">IFERROR(__xludf.DUMMYFUNCTION("""COMPUTED_VALUE"""),"2do Trasiego")</f>
        <v>2do Trasiego</v>
      </c>
      <c r="L914" s="2"/>
      <c r="M914" s="2"/>
    </row>
    <row r="915" spans="1:13" x14ac:dyDescent="0.25">
      <c r="A915" s="2" t="str">
        <f ca="1">IFERROR(__xludf.DUMMYFUNCTION("""COMPUTED_VALUE"""),"ea27bb38")</f>
        <v>ea27bb38</v>
      </c>
      <c r="B915" s="2"/>
      <c r="C915" s="5">
        <f ca="1">IFERROR(__xludf.DUMMYFUNCTION("""COMPUTED_VALUE"""),45805.7467129629)</f>
        <v>45805.7467129629</v>
      </c>
      <c r="D915" s="2">
        <f ca="1">IFERROR(__xludf.DUMMYFUNCTION("""COMPUTED_VALUE"""),118)</f>
        <v>118</v>
      </c>
      <c r="E915" s="2">
        <f ca="1">IFERROR(__xludf.DUMMYFUNCTION("""COMPUTED_VALUE"""),155600)</f>
        <v>155600</v>
      </c>
      <c r="F915" s="2" t="str">
        <f ca="1">IFERROR(__xludf.DUMMYFUNCTION("""COMPUTED_VALUE"""),"Cabernet Sauvignon")</f>
        <v>Cabernet Sauvignon</v>
      </c>
      <c r="G915" s="2">
        <f ca="1">IFERROR(__xludf.DUMMYFUNCTION("""COMPUTED_VALUE"""),150200)</f>
        <v>150200</v>
      </c>
      <c r="H915" s="2">
        <f ca="1">IFERROR(__xludf.DUMMYFUNCTION("""COMPUTED_VALUE"""),154720)</f>
        <v>154720</v>
      </c>
      <c r="I915" s="2"/>
      <c r="J915" s="2"/>
      <c r="K915" s="2" t="str">
        <f ca="1">IFERROR(__xludf.DUMMYFUNCTION("""COMPUTED_VALUE"""),"2do Trasiego")</f>
        <v>2do Trasiego</v>
      </c>
      <c r="L915" s="2" t="str">
        <f ca="1">IFERROR(__xludf.DUMMYFUNCTION("""COMPUTED_VALUE"""),"1")</f>
        <v>1</v>
      </c>
      <c r="M915" s="2" t="str">
        <f ca="1">IFERROR(__xludf.DUMMYFUNCTION("""COMPUTED_VALUE"""),"Tinto")</f>
        <v>Tinto</v>
      </c>
    </row>
    <row r="916" spans="1:13" x14ac:dyDescent="0.25">
      <c r="A916" s="2" t="str">
        <f ca="1">IFERROR(__xludf.DUMMYFUNCTION("""COMPUTED_VALUE"""),"f323c032")</f>
        <v>f323c032</v>
      </c>
      <c r="B916" s="2"/>
      <c r="C916" s="5">
        <f ca="1">IFERROR(__xludf.DUMMYFUNCTION("""COMPUTED_VALUE"""),45806.8209837962)</f>
        <v>45806.820983796199</v>
      </c>
      <c r="D916" s="2">
        <f ca="1">IFERROR(__xludf.DUMMYFUNCTION("""COMPUTED_VALUE"""),66)</f>
        <v>66</v>
      </c>
      <c r="E916" s="2">
        <f ca="1">IFERROR(__xludf.DUMMYFUNCTION("""COMPUTED_VALUE"""),23000)</f>
        <v>23000</v>
      </c>
      <c r="F916" s="2" t="str">
        <f ca="1">IFERROR(__xludf.DUMMYFUNCTION("""COMPUTED_VALUE"""),"Syrah")</f>
        <v>Syrah</v>
      </c>
      <c r="G916" s="2">
        <f ca="1">IFERROR(__xludf.DUMMYFUNCTION("""COMPUTED_VALUE"""),0)</f>
        <v>0</v>
      </c>
      <c r="H916" s="2">
        <f ca="1">IFERROR(__xludf.DUMMYFUNCTION("""COMPUTED_VALUE"""),22000)</f>
        <v>22000</v>
      </c>
      <c r="I916" s="2"/>
      <c r="J916" s="2"/>
      <c r="K916" s="2" t="str">
        <f ca="1">IFERROR(__xludf.DUMMYFUNCTION("""COMPUTED_VALUE"""),"2do Trasiego")</f>
        <v>2do Trasiego</v>
      </c>
      <c r="L916" s="2"/>
      <c r="M916" s="2"/>
    </row>
    <row r="917" spans="1:13" x14ac:dyDescent="0.25">
      <c r="A917" s="2" t="str">
        <f ca="1">IFERROR(__xludf.DUMMYFUNCTION("""COMPUTED_VALUE"""),"d3025708")</f>
        <v>d3025708</v>
      </c>
      <c r="B917" s="2"/>
      <c r="C917" s="5">
        <f ca="1">IFERROR(__xludf.DUMMYFUNCTION("""COMPUTED_VALUE"""),45806.8246527777)</f>
        <v>45806.824652777701</v>
      </c>
      <c r="D917" s="2">
        <f ca="1">IFERROR(__xludf.DUMMYFUNCTION("""COMPUTED_VALUE"""),53)</f>
        <v>53</v>
      </c>
      <c r="E917" s="2">
        <f ca="1">IFERROR(__xludf.DUMMYFUNCTION("""COMPUTED_VALUE"""),22000)</f>
        <v>22000</v>
      </c>
      <c r="F917" s="2" t="str">
        <f ca="1">IFERROR(__xludf.DUMMYFUNCTION("""COMPUTED_VALUE"""),"Tanat")</f>
        <v>Tanat</v>
      </c>
      <c r="G917" s="2">
        <f ca="1">IFERROR(__xludf.DUMMYFUNCTION("""COMPUTED_VALUE"""),0)</f>
        <v>0</v>
      </c>
      <c r="H917" s="2">
        <f ca="1">IFERROR(__xludf.DUMMYFUNCTION("""COMPUTED_VALUE"""),22000)</f>
        <v>22000</v>
      </c>
      <c r="I917" s="2"/>
      <c r="J917" s="2"/>
      <c r="K917" s="2" t="str">
        <f ca="1">IFERROR(__xludf.DUMMYFUNCTION("""COMPUTED_VALUE"""),"2do Trasiego")</f>
        <v>2do Trasiego</v>
      </c>
      <c r="L917" s="2" t="str">
        <f ca="1">IFERROR(__xludf.DUMMYFUNCTION("""COMPUTED_VALUE"""),"1+")</f>
        <v>1+</v>
      </c>
      <c r="M917" s="2"/>
    </row>
    <row r="918" spans="1:13" x14ac:dyDescent="0.25">
      <c r="A918" s="2" t="str">
        <f ca="1">IFERROR(__xludf.DUMMYFUNCTION("""COMPUTED_VALUE"""),"c2c76c11")</f>
        <v>c2c76c11</v>
      </c>
      <c r="B918" s="2"/>
      <c r="C918" s="5">
        <f ca="1">IFERROR(__xludf.DUMMYFUNCTION("""COMPUTED_VALUE"""),45806.9642013888)</f>
        <v>45806.964201388801</v>
      </c>
      <c r="D918" s="2">
        <f ca="1">IFERROR(__xludf.DUMMYFUNCTION("""COMPUTED_VALUE"""),75)</f>
        <v>75</v>
      </c>
      <c r="E918" s="2">
        <f ca="1">IFERROR(__xludf.DUMMYFUNCTION("""COMPUTED_VALUE"""),7000)</f>
        <v>7000</v>
      </c>
      <c r="F918" s="2" t="str">
        <f ca="1">IFERROR(__xludf.DUMMYFUNCTION("""COMPUTED_VALUE"""),"Tanat")</f>
        <v>Tanat</v>
      </c>
      <c r="G918" s="2">
        <f ca="1">IFERROR(__xludf.DUMMYFUNCTION("""COMPUTED_VALUE"""),0)</f>
        <v>0</v>
      </c>
      <c r="H918" s="2">
        <f ca="1">IFERROR(__xludf.DUMMYFUNCTION("""COMPUTED_VALUE"""),7000)</f>
        <v>7000</v>
      </c>
      <c r="I918" s="2"/>
      <c r="J918" s="2"/>
      <c r="K918" s="2" t="str">
        <f ca="1">IFERROR(__xludf.DUMMYFUNCTION("""COMPUTED_VALUE"""),"2do Trasiego")</f>
        <v>2do Trasiego</v>
      </c>
      <c r="L918" s="2"/>
      <c r="M918" s="2"/>
    </row>
    <row r="919" spans="1:13" x14ac:dyDescent="0.25">
      <c r="A919" s="2" t="str">
        <f ca="1">IFERROR(__xludf.DUMMYFUNCTION("""COMPUTED_VALUE"""),"2fa9b98c")</f>
        <v>2fa9b98c</v>
      </c>
      <c r="B919" s="2"/>
      <c r="C919" s="5">
        <f ca="1">IFERROR(__xludf.DUMMYFUNCTION("""COMPUTED_VALUE"""),45808.4805208333)</f>
        <v>45808.480520833298</v>
      </c>
      <c r="D919" s="2">
        <f ca="1">IFERROR(__xludf.DUMMYFUNCTION("""COMPUTED_VALUE"""),2)</f>
        <v>2</v>
      </c>
      <c r="E919" s="2">
        <f ca="1">IFERROR(__xludf.DUMMYFUNCTION("""COMPUTED_VALUE"""),8400)</f>
        <v>8400</v>
      </c>
      <c r="F919" s="2" t="str">
        <f ca="1">IFERROR(__xludf.DUMMYFUNCTION("""COMPUTED_VALUE"""),"Tacho Pl Torrontes")</f>
        <v>Tacho Pl Torrontes</v>
      </c>
      <c r="G919" s="2">
        <f ca="1">IFERROR(__xludf.DUMMYFUNCTION("""COMPUTED_VALUE"""),0)</f>
        <v>0</v>
      </c>
      <c r="H919" s="2">
        <f ca="1">IFERROR(__xludf.DUMMYFUNCTION("""COMPUTED_VALUE"""),2000)</f>
        <v>2000</v>
      </c>
      <c r="I919" s="2"/>
      <c r="J919" s="2"/>
      <c r="K919" s="2" t="str">
        <f ca="1">IFERROR(__xludf.DUMMYFUNCTION("""COMPUTED_VALUE"""),"Descubada")</f>
        <v>Descubada</v>
      </c>
      <c r="L919" s="2"/>
      <c r="M919" s="2"/>
    </row>
    <row r="920" spans="1:13" x14ac:dyDescent="0.25">
      <c r="A920" s="2" t="str">
        <f ca="1">IFERROR(__xludf.DUMMYFUNCTION("""COMPUTED_VALUE"""),"443026c5")</f>
        <v>443026c5</v>
      </c>
      <c r="B920" s="2"/>
      <c r="C920" s="5">
        <f ca="1">IFERROR(__xludf.DUMMYFUNCTION("""COMPUTED_VALUE"""),45808.4815162037)</f>
        <v>45808.481516203698</v>
      </c>
      <c r="D920" s="2">
        <f ca="1">IFERROR(__xludf.DUMMYFUNCTION("""COMPUTED_VALUE"""),500)</f>
        <v>500</v>
      </c>
      <c r="E920" s="2">
        <f ca="1">IFERROR(__xludf.DUMMYFUNCTION("""COMPUTED_VALUE"""),200000)</f>
        <v>200000</v>
      </c>
      <c r="F920" s="2" t="str">
        <f ca="1">IFERROR(__xludf.DUMMYFUNCTION("""COMPUTED_VALUE"""),"Ajuste Volumen 31/05/25")</f>
        <v>Ajuste Volumen 31/05/25</v>
      </c>
      <c r="G920" s="2"/>
      <c r="H920" s="2">
        <f ca="1">IFERROR(__xludf.DUMMYFUNCTION("""COMPUTED_VALUE"""),1)</f>
        <v>1</v>
      </c>
      <c r="I920" s="2"/>
      <c r="J920" s="2"/>
      <c r="K920" s="2"/>
      <c r="L920" s="2"/>
      <c r="M920" s="2"/>
    </row>
    <row r="921" spans="1:13" x14ac:dyDescent="0.25">
      <c r="A921" s="2" t="str">
        <f ca="1">IFERROR(__xludf.DUMMYFUNCTION("""COMPUTED_VALUE"""),"b0fab2d5")</f>
        <v>b0fab2d5</v>
      </c>
      <c r="B921" s="2"/>
      <c r="C921" s="5">
        <f ca="1">IFERROR(__xludf.DUMMYFUNCTION("""COMPUTED_VALUE"""),45808.4834722222)</f>
        <v>45808.4834722222</v>
      </c>
      <c r="D921" s="2">
        <f ca="1">IFERROR(__xludf.DUMMYFUNCTION("""COMPUTED_VALUE"""),500)</f>
        <v>500</v>
      </c>
      <c r="E921" s="2">
        <f ca="1">IFERROR(__xludf.DUMMYFUNCTION("""COMPUTED_VALUE"""),200000)</f>
        <v>200000</v>
      </c>
      <c r="F921" s="2" t="str">
        <f ca="1">IFERROR(__xludf.DUMMYFUNCTION("""COMPUTED_VALUE"""),"Ajuste Volumen 31/05/25")</f>
        <v>Ajuste Volumen 31/05/25</v>
      </c>
      <c r="G921" s="2">
        <f ca="1">IFERROR(__xludf.DUMMYFUNCTION("""COMPUTED_VALUE"""),1)</f>
        <v>1</v>
      </c>
      <c r="H921" s="2">
        <f ca="1">IFERROR(__xludf.DUMMYFUNCTION("""COMPUTED_VALUE"""),1001)</f>
        <v>1001</v>
      </c>
      <c r="I921" s="2"/>
      <c r="J921" s="2"/>
      <c r="K921" s="2"/>
      <c r="L921" s="2"/>
      <c r="M921" s="2"/>
    </row>
    <row r="922" spans="1:13" x14ac:dyDescent="0.25">
      <c r="A922" s="2" t="str">
        <f ca="1">IFERROR(__xludf.DUMMYFUNCTION("""COMPUTED_VALUE"""),"0b40d5e5")</f>
        <v>0b40d5e5</v>
      </c>
      <c r="B922" s="2"/>
      <c r="C922" s="5">
        <f ca="1">IFERROR(__xludf.DUMMYFUNCTION("""COMPUTED_VALUE"""),45808.4844560185)</f>
        <v>45808.484456018501</v>
      </c>
      <c r="D922" s="2">
        <f ca="1">IFERROR(__xludf.DUMMYFUNCTION("""COMPUTED_VALUE"""),500)</f>
        <v>500</v>
      </c>
      <c r="E922" s="2">
        <f ca="1">IFERROR(__xludf.DUMMYFUNCTION("""COMPUTED_VALUE"""),200000)</f>
        <v>200000</v>
      </c>
      <c r="F922" s="2" t="str">
        <f ca="1">IFERROR(__xludf.DUMMYFUNCTION("""COMPUTED_VALUE"""),"Ajuste Volumen 31/05/25")</f>
        <v>Ajuste Volumen 31/05/25</v>
      </c>
      <c r="G922" s="2">
        <f ca="1">IFERROR(__xludf.DUMMYFUNCTION("""COMPUTED_VALUE"""),1001)</f>
        <v>1001</v>
      </c>
      <c r="H922" s="2">
        <f ca="1">IFERROR(__xludf.DUMMYFUNCTION("""COMPUTED_VALUE"""),2001)</f>
        <v>2001</v>
      </c>
      <c r="I922" s="2"/>
      <c r="J922" s="2"/>
      <c r="K922" s="2" t="str">
        <f ca="1">IFERROR(__xludf.DUMMYFUNCTION("""COMPUTED_VALUE"""),"Terminado")</f>
        <v>Terminado</v>
      </c>
      <c r="L922" s="2"/>
      <c r="M922" s="2"/>
    </row>
    <row r="923" spans="1:13" x14ac:dyDescent="0.25">
      <c r="A923" s="2" t="str">
        <f ca="1">IFERROR(__xludf.DUMMYFUNCTION("""COMPUTED_VALUE"""),"c67f70aa")</f>
        <v>c67f70aa</v>
      </c>
      <c r="B923" s="2"/>
      <c r="C923" s="5">
        <f ca="1">IFERROR(__xludf.DUMMYFUNCTION("""COMPUTED_VALUE"""),45808.4852777777)</f>
        <v>45808.485277777698</v>
      </c>
      <c r="D923" s="2">
        <f ca="1">IFERROR(__xludf.DUMMYFUNCTION("""COMPUTED_VALUE"""),66)</f>
        <v>66</v>
      </c>
      <c r="E923" s="2">
        <f ca="1">IFERROR(__xludf.DUMMYFUNCTION("""COMPUTED_VALUE"""),23000)</f>
        <v>23000</v>
      </c>
      <c r="F923" s="2" t="str">
        <f ca="1">IFERROR(__xludf.DUMMYFUNCTION("""COMPUTED_VALUE"""),"Syrah")</f>
        <v>Syrah</v>
      </c>
      <c r="G923" s="2">
        <f ca="1">IFERROR(__xludf.DUMMYFUNCTION("""COMPUTED_VALUE"""),21000)</f>
        <v>21000</v>
      </c>
      <c r="H923" s="2">
        <f ca="1">IFERROR(__xludf.DUMMYFUNCTION("""COMPUTED_VALUE"""),23000)</f>
        <v>23000</v>
      </c>
      <c r="I923" s="2"/>
      <c r="J923" s="2"/>
      <c r="K923" s="2" t="str">
        <f ca="1">IFERROR(__xludf.DUMMYFUNCTION("""COMPUTED_VALUE"""),"2do Trasiego")</f>
        <v>2do Trasiego</v>
      </c>
      <c r="L923" s="2"/>
      <c r="M923" s="2"/>
    </row>
    <row r="924" spans="1:13" x14ac:dyDescent="0.25">
      <c r="A924" s="2" t="str">
        <f ca="1">IFERROR(__xludf.DUMMYFUNCTION("""COMPUTED_VALUE"""),"a5c09bfd")</f>
        <v>a5c09bfd</v>
      </c>
      <c r="B924" s="2"/>
      <c r="C924" s="5">
        <f ca="1">IFERROR(__xludf.DUMMYFUNCTION("""COMPUTED_VALUE"""),45808.4859837962)</f>
        <v>45808.485983796199</v>
      </c>
      <c r="D924" s="2">
        <f ca="1">IFERROR(__xludf.DUMMYFUNCTION("""COMPUTED_VALUE"""),53)</f>
        <v>53</v>
      </c>
      <c r="E924" s="2">
        <f ca="1">IFERROR(__xludf.DUMMYFUNCTION("""COMPUTED_VALUE"""),22000)</f>
        <v>22000</v>
      </c>
      <c r="F924" s="2" t="str">
        <f ca="1">IFERROR(__xludf.DUMMYFUNCTION("""COMPUTED_VALUE"""),"Tanat")</f>
        <v>Tanat</v>
      </c>
      <c r="G924" s="2">
        <f ca="1">IFERROR(__xludf.DUMMYFUNCTION("""COMPUTED_VALUE"""),20000)</f>
        <v>20000</v>
      </c>
      <c r="H924" s="2">
        <f ca="1">IFERROR(__xludf.DUMMYFUNCTION("""COMPUTED_VALUE"""),22000)</f>
        <v>22000</v>
      </c>
      <c r="I924" s="2"/>
      <c r="J924" s="2"/>
      <c r="K924" s="2" t="str">
        <f ca="1">IFERROR(__xludf.DUMMYFUNCTION("""COMPUTED_VALUE"""),"2do Trasiego")</f>
        <v>2do Trasiego</v>
      </c>
      <c r="L924" s="2"/>
      <c r="M924" s="2"/>
    </row>
    <row r="925" spans="1:13" x14ac:dyDescent="0.25">
      <c r="A925" s="2" t="str">
        <f ca="1">IFERROR(__xludf.DUMMYFUNCTION("""COMPUTED_VALUE"""),"309f9738")</f>
        <v>309f9738</v>
      </c>
      <c r="B925" s="2"/>
      <c r="C925" s="5">
        <f ca="1">IFERROR(__xludf.DUMMYFUNCTION("""COMPUTED_VALUE"""),45808.4898379629)</f>
        <v>45808.489837962901</v>
      </c>
      <c r="D925" s="2">
        <f ca="1">IFERROR(__xludf.DUMMYFUNCTION("""COMPUTED_VALUE"""),6)</f>
        <v>6</v>
      </c>
      <c r="E925" s="2">
        <f ca="1">IFERROR(__xludf.DUMMYFUNCTION("""COMPUTED_VALUE"""),32000)</f>
        <v>32000</v>
      </c>
      <c r="F925" s="2" t="str">
        <f ca="1">IFERROR(__xludf.DUMMYFUNCTION("""COMPUTED_VALUE"""),"Bonarda")</f>
        <v>Bonarda</v>
      </c>
      <c r="G925" s="2">
        <f ca="1">IFERROR(__xludf.DUMMYFUNCTION("""COMPUTED_VALUE"""),0)</f>
        <v>0</v>
      </c>
      <c r="H925" s="2">
        <f ca="1">IFERROR(__xludf.DUMMYFUNCTION("""COMPUTED_VALUE"""),2400)</f>
        <v>2400</v>
      </c>
      <c r="I925" s="2"/>
      <c r="J925" s="2"/>
      <c r="K925" s="2" t="str">
        <f ca="1">IFERROR(__xludf.DUMMYFUNCTION("""COMPUTED_VALUE"""),"Rectificado")</f>
        <v>Rectificado</v>
      </c>
      <c r="L925" s="2"/>
      <c r="M925" s="2"/>
    </row>
    <row r="926" spans="1:13" x14ac:dyDescent="0.25">
      <c r="A926" s="2" t="str">
        <f ca="1">IFERROR(__xludf.DUMMYFUNCTION("""COMPUTED_VALUE"""),"5bcfde25")</f>
        <v>5bcfde25</v>
      </c>
      <c r="B926" s="2"/>
      <c r="C926" s="5">
        <f ca="1">IFERROR(__xludf.DUMMYFUNCTION("""COMPUTED_VALUE"""),45811.3907638888)</f>
        <v>45811.390763888798</v>
      </c>
      <c r="D926" s="2">
        <f ca="1">IFERROR(__xludf.DUMMYFUNCTION("""COMPUTED_VALUE"""),500)</f>
        <v>500</v>
      </c>
      <c r="E926" s="2">
        <f ca="1">IFERROR(__xludf.DUMMYFUNCTION("""COMPUTED_VALUE"""),200000)</f>
        <v>200000</v>
      </c>
      <c r="F926" s="2" t="str">
        <f ca="1">IFERROR(__xludf.DUMMYFUNCTION("""COMPUTED_VALUE"""),"Ajuste Volumen 31/05/25")</f>
        <v>Ajuste Volumen 31/05/25</v>
      </c>
      <c r="G926" s="2">
        <f ca="1">IFERROR(__xludf.DUMMYFUNCTION("""COMPUTED_VALUE"""),2001)</f>
        <v>2001</v>
      </c>
      <c r="H926" s="2">
        <f ca="1">IFERROR(__xludf.DUMMYFUNCTION("""COMPUTED_VALUE"""),601)</f>
        <v>601</v>
      </c>
      <c r="I926" s="2"/>
      <c r="J926" s="2"/>
      <c r="K926" s="2" t="str">
        <f ca="1">IFERROR(__xludf.DUMMYFUNCTION("""COMPUTED_VALUE"""),"Terminado")</f>
        <v>Terminado</v>
      </c>
      <c r="L926" s="2"/>
      <c r="M926" s="2"/>
    </row>
    <row r="927" spans="1:13" x14ac:dyDescent="0.25">
      <c r="A927" s="2" t="str">
        <f ca="1">IFERROR(__xludf.DUMMYFUNCTION("""COMPUTED_VALUE"""),"282f2489")</f>
        <v>282f2489</v>
      </c>
      <c r="B927" s="2"/>
      <c r="C927" s="5">
        <f ca="1">IFERROR(__xludf.DUMMYFUNCTION("""COMPUTED_VALUE"""),45811.3909953703)</f>
        <v>45811.390995370297</v>
      </c>
      <c r="D927" s="2">
        <f ca="1">IFERROR(__xludf.DUMMYFUNCTION("""COMPUTED_VALUE"""),500)</f>
        <v>500</v>
      </c>
      <c r="E927" s="2">
        <f ca="1">IFERROR(__xludf.DUMMYFUNCTION("""COMPUTED_VALUE"""),200000)</f>
        <v>200000</v>
      </c>
      <c r="F927" s="2" t="str">
        <f ca="1">IFERROR(__xludf.DUMMYFUNCTION("""COMPUTED_VALUE"""),"Ajuste Volumen 31/05/25")</f>
        <v>Ajuste Volumen 31/05/25</v>
      </c>
      <c r="G927" s="2">
        <f ca="1">IFERROR(__xludf.DUMMYFUNCTION("""COMPUTED_VALUE"""),601)</f>
        <v>601</v>
      </c>
      <c r="H927" s="2">
        <f ca="1">IFERROR(__xludf.DUMMYFUNCTION("""COMPUTED_VALUE"""),-279)</f>
        <v>-279</v>
      </c>
      <c r="I927" s="2"/>
      <c r="J927" s="2"/>
      <c r="K927" s="2" t="str">
        <f ca="1">IFERROR(__xludf.DUMMYFUNCTION("""COMPUTED_VALUE"""),"Terminado")</f>
        <v>Terminado</v>
      </c>
      <c r="L927" s="2"/>
      <c r="M927" s="2"/>
    </row>
    <row r="928" spans="1:13" x14ac:dyDescent="0.25">
      <c r="A928" s="2" t="str">
        <f ca="1">IFERROR(__xludf.DUMMYFUNCTION("""COMPUTED_VALUE"""),"dccd4f5e")</f>
        <v>dccd4f5e</v>
      </c>
      <c r="B928" s="2"/>
      <c r="C928" s="5">
        <f ca="1">IFERROR(__xludf.DUMMYFUNCTION("""COMPUTED_VALUE"""),45818.3510416666)</f>
        <v>45818.351041666603</v>
      </c>
      <c r="D928" s="2">
        <f ca="1">IFERROR(__xludf.DUMMYFUNCTION("""COMPUTED_VALUE"""),42)</f>
        <v>42</v>
      </c>
      <c r="E928" s="2">
        <f ca="1">IFERROR(__xludf.DUMMYFUNCTION("""COMPUTED_VALUE"""),35900)</f>
        <v>35900</v>
      </c>
      <c r="F928" s="2" t="str">
        <f ca="1">IFERROR(__xludf.DUMMYFUNCTION("""COMPUTED_VALUE"""),"Bonarda")</f>
        <v>Bonarda</v>
      </c>
      <c r="G928" s="2">
        <f ca="1">IFERROR(__xludf.DUMMYFUNCTION("""COMPUTED_VALUE"""),0)</f>
        <v>0</v>
      </c>
      <c r="H928" s="2">
        <f ca="1">IFERROR(__xludf.DUMMYFUNCTION("""COMPUTED_VALUE"""),35900)</f>
        <v>35900</v>
      </c>
      <c r="I928" s="2"/>
      <c r="J928" s="2"/>
      <c r="K928" s="2" t="str">
        <f ca="1">IFERROR(__xludf.DUMMYFUNCTION("""COMPUTED_VALUE"""),"2do Trasiego")</f>
        <v>2do Trasiego</v>
      </c>
      <c r="L928" s="2" t="str">
        <f ca="1">IFERROR(__xludf.DUMMYFUNCTION("""COMPUTED_VALUE"""),"1")</f>
        <v>1</v>
      </c>
      <c r="M928" s="2" t="str">
        <f ca="1">IFERROR(__xludf.DUMMYFUNCTION("""COMPUTED_VALUE"""),"Tinto")</f>
        <v>Tinto</v>
      </c>
    </row>
    <row r="929" spans="1:13" x14ac:dyDescent="0.25">
      <c r="A929" s="2" t="str">
        <f ca="1">IFERROR(__xludf.DUMMYFUNCTION("""COMPUTED_VALUE"""),"ebd6326f")</f>
        <v>ebd6326f</v>
      </c>
      <c r="B929" s="2"/>
      <c r="C929" s="5">
        <f ca="1">IFERROR(__xludf.DUMMYFUNCTION("""COMPUTED_VALUE"""),45818.3529861111)</f>
        <v>45818.352986111102</v>
      </c>
      <c r="D929" s="2">
        <f ca="1">IFERROR(__xludf.DUMMYFUNCTION("""COMPUTED_VALUE"""),46)</f>
        <v>46</v>
      </c>
      <c r="E929" s="2">
        <f ca="1">IFERROR(__xludf.DUMMYFUNCTION("""COMPUTED_VALUE"""),29000)</f>
        <v>29000</v>
      </c>
      <c r="F929" s="2" t="str">
        <f ca="1">IFERROR(__xludf.DUMMYFUNCTION("""COMPUTED_VALUE"""),"Bonarda")</f>
        <v>Bonarda</v>
      </c>
      <c r="G929" s="2">
        <f ca="1">IFERROR(__xludf.DUMMYFUNCTION("""COMPUTED_VALUE"""),0)</f>
        <v>0</v>
      </c>
      <c r="H929" s="2">
        <f ca="1">IFERROR(__xludf.DUMMYFUNCTION("""COMPUTED_VALUE"""),15000)</f>
        <v>15000</v>
      </c>
      <c r="I929" s="2"/>
      <c r="J929" s="2"/>
      <c r="K929" s="2" t="str">
        <f ca="1">IFERROR(__xludf.DUMMYFUNCTION("""COMPUTED_VALUE"""),"2do Trasiego")</f>
        <v>2do Trasiego</v>
      </c>
      <c r="L929" s="2" t="str">
        <f ca="1">IFERROR(__xludf.DUMMYFUNCTION("""COMPUTED_VALUE"""),"1")</f>
        <v>1</v>
      </c>
      <c r="M929" s="2"/>
    </row>
    <row r="930" spans="1:13" x14ac:dyDescent="0.25">
      <c r="A930" s="2" t="str">
        <f ca="1">IFERROR(__xludf.DUMMYFUNCTION("""COMPUTED_VALUE"""),"bcb7028c")</f>
        <v>bcb7028c</v>
      </c>
      <c r="B930" s="2"/>
      <c r="C930" s="5">
        <f ca="1">IFERROR(__xludf.DUMMYFUNCTION("""COMPUTED_VALUE"""),45818.3554282407)</f>
        <v>45818.355428240699</v>
      </c>
      <c r="D930" s="2">
        <f ca="1">IFERROR(__xludf.DUMMYFUNCTION("""COMPUTED_VALUE"""),46)</f>
        <v>46</v>
      </c>
      <c r="E930" s="2">
        <f ca="1">IFERROR(__xludf.DUMMYFUNCTION("""COMPUTED_VALUE"""),29000)</f>
        <v>29000</v>
      </c>
      <c r="F930" s="2" t="str">
        <f ca="1">IFERROR(__xludf.DUMMYFUNCTION("""COMPUTED_VALUE"""),"Bonarda")</f>
        <v>Bonarda</v>
      </c>
      <c r="G930" s="2">
        <f ca="1">IFERROR(__xludf.DUMMYFUNCTION("""COMPUTED_VALUE"""),15000)</f>
        <v>15000</v>
      </c>
      <c r="H930" s="2">
        <f ca="1">IFERROR(__xludf.DUMMYFUNCTION("""COMPUTED_VALUE"""),17200)</f>
        <v>17200</v>
      </c>
      <c r="I930" s="2"/>
      <c r="J930" s="2"/>
      <c r="K930" s="2" t="str">
        <f ca="1">IFERROR(__xludf.DUMMYFUNCTION("""COMPUTED_VALUE"""),"2do Trasiego")</f>
        <v>2do Trasiego</v>
      </c>
      <c r="L930" s="2" t="str">
        <f ca="1">IFERROR(__xludf.DUMMYFUNCTION("""COMPUTED_VALUE"""),"1")</f>
        <v>1</v>
      </c>
      <c r="M930" s="2"/>
    </row>
    <row r="931" spans="1:13" x14ac:dyDescent="0.25">
      <c r="A931" s="2" t="str">
        <f ca="1">IFERROR(__xludf.DUMMYFUNCTION("""COMPUTED_VALUE"""),"7d603b31")</f>
        <v>7d603b31</v>
      </c>
      <c r="B931" s="2"/>
      <c r="C931" s="5">
        <f ca="1">IFERROR(__xludf.DUMMYFUNCTION("""COMPUTED_VALUE"""),45818.3556944444)</f>
        <v>45818.355694444399</v>
      </c>
      <c r="D931" s="2">
        <f ca="1">IFERROR(__xludf.DUMMYFUNCTION("""COMPUTED_VALUE"""),46)</f>
        <v>46</v>
      </c>
      <c r="E931" s="2">
        <f ca="1">IFERROR(__xludf.DUMMYFUNCTION("""COMPUTED_VALUE"""),29000)</f>
        <v>29000</v>
      </c>
      <c r="F931" s="2" t="str">
        <f ca="1">IFERROR(__xludf.DUMMYFUNCTION("""COMPUTED_VALUE"""),"Bonarda")</f>
        <v>Bonarda</v>
      </c>
      <c r="G931" s="2">
        <f ca="1">IFERROR(__xludf.DUMMYFUNCTION("""COMPUTED_VALUE"""),17200)</f>
        <v>17200</v>
      </c>
      <c r="H931" s="2">
        <f ca="1">IFERROR(__xludf.DUMMYFUNCTION("""COMPUTED_VALUE"""),19400)</f>
        <v>19400</v>
      </c>
      <c r="I931" s="2"/>
      <c r="J931" s="2"/>
      <c r="K931" s="2" t="str">
        <f ca="1">IFERROR(__xludf.DUMMYFUNCTION("""COMPUTED_VALUE"""),"2do Trasiego")</f>
        <v>2do Trasiego</v>
      </c>
      <c r="L931" s="2" t="str">
        <f ca="1">IFERROR(__xludf.DUMMYFUNCTION("""COMPUTED_VALUE"""),"1")</f>
        <v>1</v>
      </c>
      <c r="M931" s="2"/>
    </row>
    <row r="932" spans="1:13" x14ac:dyDescent="0.25">
      <c r="A932" s="2" t="str">
        <f ca="1">IFERROR(__xludf.DUMMYFUNCTION("""COMPUTED_VALUE"""),"55f15634")</f>
        <v>55f15634</v>
      </c>
      <c r="B932" s="2"/>
      <c r="C932" s="5">
        <f ca="1">IFERROR(__xludf.DUMMYFUNCTION("""COMPUTED_VALUE"""),45818.3564930555)</f>
        <v>45818.3564930555</v>
      </c>
      <c r="D932" s="2">
        <f ca="1">IFERROR(__xludf.DUMMYFUNCTION("""COMPUTED_VALUE"""),46)</f>
        <v>46</v>
      </c>
      <c r="E932" s="2">
        <f ca="1">IFERROR(__xludf.DUMMYFUNCTION("""COMPUTED_VALUE"""),29000)</f>
        <v>29000</v>
      </c>
      <c r="F932" s="2" t="str">
        <f ca="1">IFERROR(__xludf.DUMMYFUNCTION("""COMPUTED_VALUE"""),"Bonarda")</f>
        <v>Bonarda</v>
      </c>
      <c r="G932" s="2">
        <f ca="1">IFERROR(__xludf.DUMMYFUNCTION("""COMPUTED_VALUE"""),19400)</f>
        <v>19400</v>
      </c>
      <c r="H932" s="2">
        <f ca="1">IFERROR(__xludf.DUMMYFUNCTION("""COMPUTED_VALUE"""),21400)</f>
        <v>21400</v>
      </c>
      <c r="I932" s="2"/>
      <c r="J932" s="2"/>
      <c r="K932" s="2" t="str">
        <f ca="1">IFERROR(__xludf.DUMMYFUNCTION("""COMPUTED_VALUE"""),"2do Trasiego")</f>
        <v>2do Trasiego</v>
      </c>
      <c r="L932" s="2" t="str">
        <f ca="1">IFERROR(__xludf.DUMMYFUNCTION("""COMPUTED_VALUE"""),"1")</f>
        <v>1</v>
      </c>
      <c r="M932" s="2"/>
    </row>
    <row r="933" spans="1:13" x14ac:dyDescent="0.25">
      <c r="A933" s="2" t="str">
        <f ca="1">IFERROR(__xludf.DUMMYFUNCTION("""COMPUTED_VALUE"""),"e62f11a1")</f>
        <v>e62f11a1</v>
      </c>
      <c r="B933" s="2"/>
      <c r="C933" s="5">
        <f ca="1">IFERROR(__xludf.DUMMYFUNCTION("""COMPUTED_VALUE"""),45818.3581481481)</f>
        <v>45818.358148148101</v>
      </c>
      <c r="D933" s="2">
        <f ca="1">IFERROR(__xludf.DUMMYFUNCTION("""COMPUTED_VALUE"""),90)</f>
        <v>90</v>
      </c>
      <c r="E933" s="2">
        <f ca="1">IFERROR(__xludf.DUMMYFUNCTION("""COMPUTED_VALUE"""),97500)</f>
        <v>97500</v>
      </c>
      <c r="F933" s="2" t="str">
        <f ca="1">IFERROR(__xludf.DUMMYFUNCTION("""COMPUTED_VALUE"""),"Bonarda")</f>
        <v>Bonarda</v>
      </c>
      <c r="G933" s="2">
        <f ca="1">IFERROR(__xludf.DUMMYFUNCTION("""COMPUTED_VALUE"""),82500)</f>
        <v>82500</v>
      </c>
      <c r="H933" s="2">
        <f ca="1">IFERROR(__xludf.DUMMYFUNCTION("""COMPUTED_VALUE"""),97500)</f>
        <v>97500</v>
      </c>
      <c r="I933" s="2"/>
      <c r="J933" s="2"/>
      <c r="K933" s="2" t="str">
        <f ca="1">IFERROR(__xludf.DUMMYFUNCTION("""COMPUTED_VALUE"""),"2do Trasiego")</f>
        <v>2do Trasiego</v>
      </c>
      <c r="L933" s="2" t="str">
        <f ca="1">IFERROR(__xludf.DUMMYFUNCTION("""COMPUTED_VALUE"""),"1")</f>
        <v>1</v>
      </c>
      <c r="M933" s="2" t="str">
        <f ca="1">IFERROR(__xludf.DUMMYFUNCTION("""COMPUTED_VALUE"""),"Tinto")</f>
        <v>Tinto</v>
      </c>
    </row>
    <row r="934" spans="1:13" x14ac:dyDescent="0.25">
      <c r="A934" s="2" t="str">
        <f ca="1">IFERROR(__xludf.DUMMYFUNCTION("""COMPUTED_VALUE"""),"da5fcb21")</f>
        <v>da5fcb21</v>
      </c>
      <c r="B934" s="2"/>
      <c r="C934" s="5">
        <f ca="1">IFERROR(__xludf.DUMMYFUNCTION("""COMPUTED_VALUE"""),45818.3592013888)</f>
        <v>45818.359201388797</v>
      </c>
      <c r="D934" s="2">
        <f ca="1">IFERROR(__xludf.DUMMYFUNCTION("""COMPUTED_VALUE"""),53)</f>
        <v>53</v>
      </c>
      <c r="E934" s="2">
        <f ca="1">IFERROR(__xludf.DUMMYFUNCTION("""COMPUTED_VALUE"""),22000)</f>
        <v>22000</v>
      </c>
      <c r="F934" s="2" t="str">
        <f ca="1">IFERROR(__xludf.DUMMYFUNCTION("""COMPUTED_VALUE"""),"Tanat")</f>
        <v>Tanat</v>
      </c>
      <c r="G934" s="2">
        <f ca="1">IFERROR(__xludf.DUMMYFUNCTION("""COMPUTED_VALUE"""),19800)</f>
        <v>19800</v>
      </c>
      <c r="H934" s="2">
        <f ca="1">IFERROR(__xludf.DUMMYFUNCTION("""COMPUTED_VALUE"""),22000)</f>
        <v>22000</v>
      </c>
      <c r="I934" s="2"/>
      <c r="J934" s="2"/>
      <c r="K934" s="2" t="str">
        <f ca="1">IFERROR(__xludf.DUMMYFUNCTION("""COMPUTED_VALUE"""),"2do Trasiego")</f>
        <v>2do Trasiego</v>
      </c>
      <c r="L934" s="2" t="str">
        <f ca="1">IFERROR(__xludf.DUMMYFUNCTION("""COMPUTED_VALUE"""),"1")</f>
        <v>1</v>
      </c>
      <c r="M934" s="2" t="str">
        <f ca="1">IFERROR(__xludf.DUMMYFUNCTION("""COMPUTED_VALUE"""),"Tinto")</f>
        <v>Tinto</v>
      </c>
    </row>
    <row r="935" spans="1:13" x14ac:dyDescent="0.25">
      <c r="A935" s="2" t="str">
        <f ca="1">IFERROR(__xludf.DUMMYFUNCTION("""COMPUTED_VALUE"""),"eb6cce4f")</f>
        <v>eb6cce4f</v>
      </c>
      <c r="B935" s="2"/>
      <c r="C935" s="5">
        <f ca="1">IFERROR(__xludf.DUMMYFUNCTION("""COMPUTED_VALUE"""),45818.3593518518)</f>
        <v>45818.359351851803</v>
      </c>
      <c r="D935" s="2">
        <f ca="1">IFERROR(__xludf.DUMMYFUNCTION("""COMPUTED_VALUE"""),67)</f>
        <v>67</v>
      </c>
      <c r="E935" s="2">
        <f ca="1">IFERROR(__xludf.DUMMYFUNCTION("""COMPUTED_VALUE"""),23000)</f>
        <v>23000</v>
      </c>
      <c r="F935" s="2" t="str">
        <f ca="1">IFERROR(__xludf.DUMMYFUNCTION("""COMPUTED_VALUE"""),"Anccelotta")</f>
        <v>Anccelotta</v>
      </c>
      <c r="G935" s="2">
        <f ca="1">IFERROR(__xludf.DUMMYFUNCTION("""COMPUTED_VALUE"""),20800)</f>
        <v>20800</v>
      </c>
      <c r="H935" s="2">
        <f ca="1">IFERROR(__xludf.DUMMYFUNCTION("""COMPUTED_VALUE"""),23000)</f>
        <v>23000</v>
      </c>
      <c r="I935" s="2"/>
      <c r="J935" s="2"/>
      <c r="K935" s="2" t="str">
        <f ca="1">IFERROR(__xludf.DUMMYFUNCTION("""COMPUTED_VALUE"""),"2do Trasiego")</f>
        <v>2do Trasiego</v>
      </c>
      <c r="L935" s="2" t="str">
        <f ca="1">IFERROR(__xludf.DUMMYFUNCTION("""COMPUTED_VALUE"""),"1-")</f>
        <v>1-</v>
      </c>
      <c r="M935" s="2" t="str">
        <f ca="1">IFERROR(__xludf.DUMMYFUNCTION("""COMPUTED_VALUE"""),"Tinto")</f>
        <v>Tinto</v>
      </c>
    </row>
    <row r="936" spans="1:13" x14ac:dyDescent="0.25">
      <c r="A936" s="2" t="str">
        <f ca="1">IFERROR(__xludf.DUMMYFUNCTION("""COMPUTED_VALUE"""),"7a9e7f06")</f>
        <v>7a9e7f06</v>
      </c>
      <c r="B936" s="2"/>
      <c r="C936" s="5">
        <f ca="1">IFERROR(__xludf.DUMMYFUNCTION("""COMPUTED_VALUE"""),45818.3595023148)</f>
        <v>45818.359502314801</v>
      </c>
      <c r="D936" s="2">
        <f ca="1">IFERROR(__xludf.DUMMYFUNCTION("""COMPUTED_VALUE"""),75)</f>
        <v>75</v>
      </c>
      <c r="E936" s="2">
        <f ca="1">IFERROR(__xludf.DUMMYFUNCTION("""COMPUTED_VALUE"""),7000)</f>
        <v>7000</v>
      </c>
      <c r="F936" s="2" t="str">
        <f ca="1">IFERROR(__xludf.DUMMYFUNCTION("""COMPUTED_VALUE"""),"Tanat")</f>
        <v>Tanat</v>
      </c>
      <c r="G936" s="2">
        <f ca="1">IFERROR(__xludf.DUMMYFUNCTION("""COMPUTED_VALUE"""),5000)</f>
        <v>5000</v>
      </c>
      <c r="H936" s="2">
        <f ca="1">IFERROR(__xludf.DUMMYFUNCTION("""COMPUTED_VALUE"""),7000)</f>
        <v>7000</v>
      </c>
      <c r="I936" s="2"/>
      <c r="J936" s="2"/>
      <c r="K936" s="2" t="str">
        <f ca="1">IFERROR(__xludf.DUMMYFUNCTION("""COMPUTED_VALUE"""),"2do Trasiego")</f>
        <v>2do Trasiego</v>
      </c>
      <c r="L936" s="2"/>
      <c r="M936" s="2" t="str">
        <f ca="1">IFERROR(__xludf.DUMMYFUNCTION("""COMPUTED_VALUE"""),"Tinto")</f>
        <v>Tinto</v>
      </c>
    </row>
    <row r="937" spans="1:13" x14ac:dyDescent="0.25">
      <c r="A937" s="2" t="str">
        <f ca="1">IFERROR(__xludf.DUMMYFUNCTION("""COMPUTED_VALUE"""),"eca5b8cb")</f>
        <v>eca5b8cb</v>
      </c>
      <c r="B937" s="2"/>
      <c r="C937" s="5">
        <f ca="1">IFERROR(__xludf.DUMMYFUNCTION("""COMPUTED_VALUE"""),45818.359699074)</f>
        <v>45818.359699073997</v>
      </c>
      <c r="D937" s="2">
        <f ca="1">IFERROR(__xludf.DUMMYFUNCTION("""COMPUTED_VALUE"""),46)</f>
        <v>46</v>
      </c>
      <c r="E937" s="2">
        <f ca="1">IFERROR(__xludf.DUMMYFUNCTION("""COMPUTED_VALUE"""),29000)</f>
        <v>29000</v>
      </c>
      <c r="F937" s="2" t="str">
        <f ca="1">IFERROR(__xludf.DUMMYFUNCTION("""COMPUTED_VALUE"""),"Bonarda")</f>
        <v>Bonarda</v>
      </c>
      <c r="G937" s="2">
        <f ca="1">IFERROR(__xludf.DUMMYFUNCTION("""COMPUTED_VALUE"""),21400)</f>
        <v>21400</v>
      </c>
      <c r="H937" s="2">
        <f ca="1">IFERROR(__xludf.DUMMYFUNCTION("""COMPUTED_VALUE"""),24000)</f>
        <v>24000</v>
      </c>
      <c r="I937" s="2"/>
      <c r="J937" s="2"/>
      <c r="K937" s="2" t="str">
        <f ca="1">IFERROR(__xludf.DUMMYFUNCTION("""COMPUTED_VALUE"""),"2do Trasiego")</f>
        <v>2do Trasiego</v>
      </c>
      <c r="L937" s="2" t="str">
        <f ca="1">IFERROR(__xludf.DUMMYFUNCTION("""COMPUTED_VALUE"""),"1")</f>
        <v>1</v>
      </c>
      <c r="M937" s="2"/>
    </row>
    <row r="938" spans="1:13" x14ac:dyDescent="0.25">
      <c r="A938" s="2" t="str">
        <f ca="1">IFERROR(__xludf.DUMMYFUNCTION("""COMPUTED_VALUE"""),"7efc01f3")</f>
        <v>7efc01f3</v>
      </c>
      <c r="B938" s="2"/>
      <c r="C938" s="5">
        <f ca="1">IFERROR(__xludf.DUMMYFUNCTION("""COMPUTED_VALUE"""),45818.362199074)</f>
        <v>45818.362199073999</v>
      </c>
      <c r="D938" s="2">
        <f ca="1">IFERROR(__xludf.DUMMYFUNCTION("""COMPUTED_VALUE"""),46)</f>
        <v>46</v>
      </c>
      <c r="E938" s="2">
        <f ca="1">IFERROR(__xludf.DUMMYFUNCTION("""COMPUTED_VALUE"""),29000)</f>
        <v>29000</v>
      </c>
      <c r="F938" s="2" t="str">
        <f ca="1">IFERROR(__xludf.DUMMYFUNCTION("""COMPUTED_VALUE"""),"Bonarda")</f>
        <v>Bonarda</v>
      </c>
      <c r="G938" s="2">
        <f ca="1">IFERROR(__xludf.DUMMYFUNCTION("""COMPUTED_VALUE"""),24000)</f>
        <v>24000</v>
      </c>
      <c r="H938" s="2">
        <f ca="1">IFERROR(__xludf.DUMMYFUNCTION("""COMPUTED_VALUE"""),24600)</f>
        <v>24600</v>
      </c>
      <c r="I938" s="2"/>
      <c r="J938" s="2"/>
      <c r="K938" s="2" t="str">
        <f ca="1">IFERROR(__xludf.DUMMYFUNCTION("""COMPUTED_VALUE"""),"2do Trasiego")</f>
        <v>2do Trasiego</v>
      </c>
      <c r="L938" s="2" t="str">
        <f ca="1">IFERROR(__xludf.DUMMYFUNCTION("""COMPUTED_VALUE"""),"1")</f>
        <v>1</v>
      </c>
      <c r="M938" s="2"/>
    </row>
    <row r="939" spans="1:13" x14ac:dyDescent="0.25">
      <c r="A939" s="2" t="str">
        <f ca="1">IFERROR(__xludf.DUMMYFUNCTION("""COMPUTED_VALUE"""),"45e5cc8e")</f>
        <v>45e5cc8e</v>
      </c>
      <c r="B939" s="2"/>
      <c r="C939" s="5">
        <f ca="1">IFERROR(__xludf.DUMMYFUNCTION("""COMPUTED_VALUE"""),45818.3859722222)</f>
        <v>45818.385972222197</v>
      </c>
      <c r="D939" s="2">
        <f ca="1">IFERROR(__xludf.DUMMYFUNCTION("""COMPUTED_VALUE"""),500)</f>
        <v>500</v>
      </c>
      <c r="E939" s="2">
        <f ca="1">IFERROR(__xludf.DUMMYFUNCTION("""COMPUTED_VALUE"""),200000)</f>
        <v>200000</v>
      </c>
      <c r="F939" s="2" t="str">
        <f ca="1">IFERROR(__xludf.DUMMYFUNCTION("""COMPUTED_VALUE"""),"Chardonnay")</f>
        <v>Chardonnay</v>
      </c>
      <c r="G939" s="2">
        <f ca="1">IFERROR(__xludf.DUMMYFUNCTION("""COMPUTED_VALUE"""),0)</f>
        <v>0</v>
      </c>
      <c r="H939" s="2">
        <f ca="1">IFERROR(__xludf.DUMMYFUNCTION("""COMPUTED_VALUE"""),3000)</f>
        <v>3000</v>
      </c>
      <c r="I939" s="2"/>
      <c r="J939" s="2"/>
      <c r="K939" s="2" t="str">
        <f ca="1">IFERROR(__xludf.DUMMYFUNCTION("""COMPUTED_VALUE"""),"Traslado Venta")</f>
        <v>Traslado Venta</v>
      </c>
      <c r="L939" s="2" t="str">
        <f ca="1">IFERROR(__xludf.DUMMYFUNCTION("""COMPUTED_VALUE"""),"1")</f>
        <v>1</v>
      </c>
      <c r="M939" s="2"/>
    </row>
    <row r="940" spans="1:13" x14ac:dyDescent="0.25">
      <c r="A940" s="2" t="str">
        <f ca="1">IFERROR(__xludf.DUMMYFUNCTION("""COMPUTED_VALUE"""),"4da9d1b8")</f>
        <v>4da9d1b8</v>
      </c>
      <c r="B940" s="2"/>
      <c r="C940" s="5">
        <f ca="1">IFERROR(__xludf.DUMMYFUNCTION("""COMPUTED_VALUE"""),45818.386412037)</f>
        <v>45818.386412036998</v>
      </c>
      <c r="D940" s="2">
        <f ca="1">IFERROR(__xludf.DUMMYFUNCTION("""COMPUTED_VALUE"""),500)</f>
        <v>500</v>
      </c>
      <c r="E940" s="2">
        <f ca="1">IFERROR(__xludf.DUMMYFUNCTION("""COMPUTED_VALUE"""),200000)</f>
        <v>200000</v>
      </c>
      <c r="F940" s="2" t="str">
        <f ca="1">IFERROR(__xludf.DUMMYFUNCTION("""COMPUTED_VALUE"""),"Chardonnay Venta La Vendimia")</f>
        <v>Chardonnay Venta La Vendimia</v>
      </c>
      <c r="G940" s="2">
        <f ca="1">IFERROR(__xludf.DUMMYFUNCTION("""COMPUTED_VALUE"""),3000)</f>
        <v>3000</v>
      </c>
      <c r="H940" s="2">
        <f ca="1">IFERROR(__xludf.DUMMYFUNCTION("""COMPUTED_VALUE"""),6000)</f>
        <v>6000</v>
      </c>
      <c r="I940" s="2"/>
      <c r="J940" s="2"/>
      <c r="K940" s="2" t="str">
        <f ca="1">IFERROR(__xludf.DUMMYFUNCTION("""COMPUTED_VALUE"""),"Traslado Venta")</f>
        <v>Traslado Venta</v>
      </c>
      <c r="L940" s="2" t="str">
        <f ca="1">IFERROR(__xludf.DUMMYFUNCTION("""COMPUTED_VALUE"""),"1")</f>
        <v>1</v>
      </c>
      <c r="M940" s="2"/>
    </row>
    <row r="941" spans="1:13" x14ac:dyDescent="0.25">
      <c r="A941" s="2" t="str">
        <f ca="1">IFERROR(__xludf.DUMMYFUNCTION("""COMPUTED_VALUE"""),"ebf08055")</f>
        <v>ebf08055</v>
      </c>
      <c r="B941" s="2"/>
      <c r="C941" s="5">
        <f ca="1">IFERROR(__xludf.DUMMYFUNCTION("""COMPUTED_VALUE"""),45818.3867129629)</f>
        <v>45818.3867129629</v>
      </c>
      <c r="D941" s="2">
        <f ca="1">IFERROR(__xludf.DUMMYFUNCTION("""COMPUTED_VALUE"""),5)</f>
        <v>5</v>
      </c>
      <c r="E941" s="2">
        <f ca="1">IFERROR(__xludf.DUMMYFUNCTION("""COMPUTED_VALUE"""),30000)</f>
        <v>30000</v>
      </c>
      <c r="F941" s="2" t="str">
        <f ca="1">IFERROR(__xludf.DUMMYFUNCTION("""COMPUTED_VALUE"""),"Chardonnay")</f>
        <v>Chardonnay</v>
      </c>
      <c r="G941" s="2">
        <f ca="1">IFERROR(__xludf.DUMMYFUNCTION("""COMPUTED_VALUE"""),27000)</f>
        <v>27000</v>
      </c>
      <c r="H941" s="2">
        <f ca="1">IFERROR(__xludf.DUMMYFUNCTION("""COMPUTED_VALUE"""),30000)</f>
        <v>30000</v>
      </c>
      <c r="I941" s="2"/>
      <c r="J941" s="2"/>
      <c r="K941" s="2" t="str">
        <f ca="1">IFERROR(__xludf.DUMMYFUNCTION("""COMPUTED_VALUE"""),"Descubada")</f>
        <v>Descubada</v>
      </c>
      <c r="L941" s="2" t="str">
        <f ca="1">IFERROR(__xludf.DUMMYFUNCTION("""COMPUTED_VALUE"""),"1+")</f>
        <v>1+</v>
      </c>
      <c r="M941" s="2" t="str">
        <f ca="1">IFERROR(__xludf.DUMMYFUNCTION("""COMPUTED_VALUE"""),"Blanco")</f>
        <v>Blanco</v>
      </c>
    </row>
    <row r="942" spans="1:13" x14ac:dyDescent="0.25">
      <c r="A942" s="2" t="str">
        <f ca="1">IFERROR(__xludf.DUMMYFUNCTION("""COMPUTED_VALUE"""),"8eb3a624")</f>
        <v>8eb3a624</v>
      </c>
      <c r="B942" s="2"/>
      <c r="C942" s="5">
        <f ca="1">IFERROR(__xludf.DUMMYFUNCTION("""COMPUTED_VALUE"""),45818.3869907407)</f>
        <v>45818.386990740699</v>
      </c>
      <c r="D942" s="2">
        <f ca="1">IFERROR(__xludf.DUMMYFUNCTION("""COMPUTED_VALUE"""),11)</f>
        <v>11</v>
      </c>
      <c r="E942" s="2">
        <f ca="1">IFERROR(__xludf.DUMMYFUNCTION("""COMPUTED_VALUE"""),36000)</f>
        <v>36000</v>
      </c>
      <c r="F942" s="2" t="str">
        <f ca="1">IFERROR(__xludf.DUMMYFUNCTION("""COMPUTED_VALUE"""),"Chardonnay")</f>
        <v>Chardonnay</v>
      </c>
      <c r="G942" s="2">
        <f ca="1">IFERROR(__xludf.DUMMYFUNCTION("""COMPUTED_VALUE"""),0)</f>
        <v>0</v>
      </c>
      <c r="H942" s="2">
        <f ca="1">IFERROR(__xludf.DUMMYFUNCTION("""COMPUTED_VALUE"""),19700)</f>
        <v>19700</v>
      </c>
      <c r="I942" s="2"/>
      <c r="J942" s="2"/>
      <c r="K942" s="2" t="str">
        <f ca="1">IFERROR(__xludf.DUMMYFUNCTION("""COMPUTED_VALUE"""),"Descubada")</f>
        <v>Descubada</v>
      </c>
      <c r="L942" s="2"/>
      <c r="M942" s="2"/>
    </row>
    <row r="943" spans="1:13" x14ac:dyDescent="0.25">
      <c r="A943" s="2" t="str">
        <f ca="1">IFERROR(__xludf.DUMMYFUNCTION("""COMPUTED_VALUE"""),"dcaf5b39")</f>
        <v>dcaf5b39</v>
      </c>
      <c r="B943" s="2"/>
      <c r="C943" s="5">
        <f ca="1">IFERROR(__xludf.DUMMYFUNCTION("""COMPUTED_VALUE"""),45818.3874652777)</f>
        <v>45818.387465277701</v>
      </c>
      <c r="D943" s="2">
        <f ca="1">IFERROR(__xludf.DUMMYFUNCTION("""COMPUTED_VALUE"""),11)</f>
        <v>11</v>
      </c>
      <c r="E943" s="2">
        <f ca="1">IFERROR(__xludf.DUMMYFUNCTION("""COMPUTED_VALUE"""),36000)</f>
        <v>36000</v>
      </c>
      <c r="F943" s="2" t="str">
        <f ca="1">IFERROR(__xludf.DUMMYFUNCTION("""COMPUTED_VALUE"""),"Chardonnay")</f>
        <v>Chardonnay</v>
      </c>
      <c r="G943" s="2">
        <f ca="1">IFERROR(__xludf.DUMMYFUNCTION("""COMPUTED_VALUE"""),19700)</f>
        <v>19700</v>
      </c>
      <c r="H943" s="2">
        <f ca="1">IFERROR(__xludf.DUMMYFUNCTION("""COMPUTED_VALUE"""),36000)</f>
        <v>36000</v>
      </c>
      <c r="I943" s="2"/>
      <c r="J943" s="2"/>
      <c r="K943" s="2" t="str">
        <f ca="1">IFERROR(__xludf.DUMMYFUNCTION("""COMPUTED_VALUE"""),"1er Trasiego")</f>
        <v>1er Trasiego</v>
      </c>
      <c r="L943" s="2" t="str">
        <f ca="1">IFERROR(__xludf.DUMMYFUNCTION("""COMPUTED_VALUE"""),"1-")</f>
        <v>1-</v>
      </c>
      <c r="M943" s="2" t="str">
        <f ca="1">IFERROR(__xludf.DUMMYFUNCTION("""COMPUTED_VALUE"""),"Blanco")</f>
        <v>Blanco</v>
      </c>
    </row>
    <row r="944" spans="1:13" x14ac:dyDescent="0.25">
      <c r="A944" s="2" t="str">
        <f ca="1">IFERROR(__xludf.DUMMYFUNCTION("""COMPUTED_VALUE"""),"2d412906")</f>
        <v>2d412906</v>
      </c>
      <c r="B944" s="2"/>
      <c r="C944" s="5">
        <f ca="1">IFERROR(__xludf.DUMMYFUNCTION("""COMPUTED_VALUE"""),45818.3942129629)</f>
        <v>45818.394212962899</v>
      </c>
      <c r="D944" s="2">
        <f ca="1">IFERROR(__xludf.DUMMYFUNCTION("""COMPUTED_VALUE"""),55)</f>
        <v>55</v>
      </c>
      <c r="E944" s="2">
        <f ca="1">IFERROR(__xludf.DUMMYFUNCTION("""COMPUTED_VALUE"""),3000)</f>
        <v>3000</v>
      </c>
      <c r="F944" s="2" t="str">
        <f ca="1">IFERROR(__xludf.DUMMYFUNCTION("""COMPUTED_VALUE"""),"Chardonnay")</f>
        <v>Chardonnay</v>
      </c>
      <c r="G944" s="2">
        <f ca="1">IFERROR(__xludf.DUMMYFUNCTION("""COMPUTED_VALUE"""),0)</f>
        <v>0</v>
      </c>
      <c r="H944" s="2">
        <f ca="1">IFERROR(__xludf.DUMMYFUNCTION("""COMPUTED_VALUE"""),3000)</f>
        <v>3000</v>
      </c>
      <c r="I944" s="2"/>
      <c r="J944" s="2"/>
      <c r="K944" s="2" t="str">
        <f ca="1">IFERROR(__xludf.DUMMYFUNCTION("""COMPUTED_VALUE"""),"1er Trasiego")</f>
        <v>1er Trasiego</v>
      </c>
      <c r="L944" s="2" t="str">
        <f ca="1">IFERROR(__xludf.DUMMYFUNCTION("""COMPUTED_VALUE"""),"1-")</f>
        <v>1-</v>
      </c>
      <c r="M944" s="2" t="str">
        <f ca="1">IFERROR(__xludf.DUMMYFUNCTION("""COMPUTED_VALUE"""),"Blanco")</f>
        <v>Blanco</v>
      </c>
    </row>
    <row r="945" spans="1:13" x14ac:dyDescent="0.25">
      <c r="A945" s="2" t="str">
        <f ca="1">IFERROR(__xludf.DUMMYFUNCTION("""COMPUTED_VALUE"""),"8ea18b46")</f>
        <v>8ea18b46</v>
      </c>
      <c r="B945" s="2"/>
      <c r="C945" s="5">
        <f ca="1">IFERROR(__xludf.DUMMYFUNCTION("""COMPUTED_VALUE"""),45818.6516898148)</f>
        <v>45818.651689814797</v>
      </c>
      <c r="D945" s="2">
        <f ca="1">IFERROR(__xludf.DUMMYFUNCTION("""COMPUTED_VALUE"""),115)</f>
        <v>115</v>
      </c>
      <c r="E945" s="2">
        <f ca="1">IFERROR(__xludf.DUMMYFUNCTION("""COMPUTED_VALUE"""),120200)</f>
        <v>120200</v>
      </c>
      <c r="F945" s="2" t="str">
        <f ca="1">IFERROR(__xludf.DUMMYFUNCTION("""COMPUTED_VALUE"""),"Malbec Venta Lopez")</f>
        <v>Malbec Venta Lopez</v>
      </c>
      <c r="G945" s="2">
        <f ca="1">IFERROR(__xludf.DUMMYFUNCTION("""COMPUTED_VALUE"""),0)</f>
        <v>0</v>
      </c>
      <c r="H945" s="2">
        <f ca="1">IFERROR(__xludf.DUMMYFUNCTION("""COMPUTED_VALUE"""),15000)</f>
        <v>15000</v>
      </c>
      <c r="I945" s="2"/>
      <c r="J945" s="2"/>
      <c r="K945" s="2" t="str">
        <f ca="1">IFERROR(__xludf.DUMMYFUNCTION("""COMPUTED_VALUE"""),"2do Trasiego")</f>
        <v>2do Trasiego</v>
      </c>
      <c r="L945" s="2" t="str">
        <f ca="1">IFERROR(__xludf.DUMMYFUNCTION("""COMPUTED_VALUE"""),"1")</f>
        <v>1</v>
      </c>
      <c r="M945" s="2"/>
    </row>
    <row r="946" spans="1:13" x14ac:dyDescent="0.25">
      <c r="A946" s="2" t="str">
        <f ca="1">IFERROR(__xludf.DUMMYFUNCTION("""COMPUTED_VALUE"""),"909558a7")</f>
        <v>909558a7</v>
      </c>
      <c r="B946" s="2"/>
      <c r="C946" s="5">
        <f ca="1">IFERROR(__xludf.DUMMYFUNCTION("""COMPUTED_VALUE"""),45818.6529513888)</f>
        <v>45818.652951388802</v>
      </c>
      <c r="D946" s="2">
        <f ca="1">IFERROR(__xludf.DUMMYFUNCTION("""COMPUTED_VALUE"""),115)</f>
        <v>115</v>
      </c>
      <c r="E946" s="2">
        <f ca="1">IFERROR(__xludf.DUMMYFUNCTION("""COMPUTED_VALUE"""),120200)</f>
        <v>120200</v>
      </c>
      <c r="F946" s="2" t="str">
        <f ca="1">IFERROR(__xludf.DUMMYFUNCTION("""COMPUTED_VALUE"""),"Malbec Venta Lopez")</f>
        <v>Malbec Venta Lopez</v>
      </c>
      <c r="G946" s="2">
        <f ca="1">IFERROR(__xludf.DUMMYFUNCTION("""COMPUTED_VALUE"""),15000)</f>
        <v>15000</v>
      </c>
      <c r="H946" s="2">
        <f ca="1">IFERROR(__xludf.DUMMYFUNCTION("""COMPUTED_VALUE"""),46000)</f>
        <v>46000</v>
      </c>
      <c r="I946" s="2"/>
      <c r="J946" s="2"/>
      <c r="K946" s="2" t="str">
        <f ca="1">IFERROR(__xludf.DUMMYFUNCTION("""COMPUTED_VALUE"""),"Traslado Venta")</f>
        <v>Traslado Venta</v>
      </c>
      <c r="L946" s="2" t="str">
        <f ca="1">IFERROR(__xludf.DUMMYFUNCTION("""COMPUTED_VALUE"""),"1")</f>
        <v>1</v>
      </c>
      <c r="M946" s="2"/>
    </row>
    <row r="947" spans="1:13" x14ac:dyDescent="0.25">
      <c r="A947" s="2" t="str">
        <f ca="1">IFERROR(__xludf.DUMMYFUNCTION("""COMPUTED_VALUE"""),"39710208")</f>
        <v>39710208</v>
      </c>
      <c r="B947" s="2"/>
      <c r="C947" s="5">
        <f ca="1">IFERROR(__xludf.DUMMYFUNCTION("""COMPUTED_VALUE"""),45818.6542939814)</f>
        <v>45818.654293981403</v>
      </c>
      <c r="D947" s="2">
        <f ca="1">IFERROR(__xludf.DUMMYFUNCTION("""COMPUTED_VALUE"""),115)</f>
        <v>115</v>
      </c>
      <c r="E947" s="2">
        <f ca="1">IFERROR(__xludf.DUMMYFUNCTION("""COMPUTED_VALUE"""),120200)</f>
        <v>120200</v>
      </c>
      <c r="F947" s="2" t="str">
        <f ca="1">IFERROR(__xludf.DUMMYFUNCTION("""COMPUTED_VALUE"""),"Malbec Venta Lopez")</f>
        <v>Malbec Venta Lopez</v>
      </c>
      <c r="G947" s="2">
        <f ca="1">IFERROR(__xludf.DUMMYFUNCTION("""COMPUTED_VALUE"""),46000)</f>
        <v>46000</v>
      </c>
      <c r="H947" s="2">
        <f ca="1">IFERROR(__xludf.DUMMYFUNCTION("""COMPUTED_VALUE"""),76000)</f>
        <v>76000</v>
      </c>
      <c r="I947" s="2"/>
      <c r="J947" s="2"/>
      <c r="K947" s="2" t="str">
        <f ca="1">IFERROR(__xludf.DUMMYFUNCTION("""COMPUTED_VALUE"""),"Traslado Venta")</f>
        <v>Traslado Venta</v>
      </c>
      <c r="L947" s="2" t="str">
        <f ca="1">IFERROR(__xludf.DUMMYFUNCTION("""COMPUTED_VALUE"""),"1")</f>
        <v>1</v>
      </c>
      <c r="M947" s="2"/>
    </row>
    <row r="948" spans="1:13" x14ac:dyDescent="0.25">
      <c r="A948" s="2" t="str">
        <f ca="1">IFERROR(__xludf.DUMMYFUNCTION("""COMPUTED_VALUE"""),"9788a9f2")</f>
        <v>9788a9f2</v>
      </c>
      <c r="B948" s="2"/>
      <c r="C948" s="5">
        <f ca="1">IFERROR(__xludf.DUMMYFUNCTION("""COMPUTED_VALUE"""),45818.6549305555)</f>
        <v>45818.654930555502</v>
      </c>
      <c r="D948" s="2">
        <f ca="1">IFERROR(__xludf.DUMMYFUNCTION("""COMPUTED_VALUE"""),115)</f>
        <v>115</v>
      </c>
      <c r="E948" s="2">
        <f ca="1">IFERROR(__xludf.DUMMYFUNCTION("""COMPUTED_VALUE"""),120200)</f>
        <v>120200</v>
      </c>
      <c r="F948" s="2" t="str">
        <f ca="1">IFERROR(__xludf.DUMMYFUNCTION("""COMPUTED_VALUE"""),"Malbec Venta Lopez")</f>
        <v>Malbec Venta Lopez</v>
      </c>
      <c r="G948" s="2">
        <f ca="1">IFERROR(__xludf.DUMMYFUNCTION("""COMPUTED_VALUE"""),76000)</f>
        <v>76000</v>
      </c>
      <c r="H948" s="2">
        <f ca="1">IFERROR(__xludf.DUMMYFUNCTION("""COMPUTED_VALUE"""),100000)</f>
        <v>100000</v>
      </c>
      <c r="I948" s="2" t="str">
        <f ca="1">IFERROR(__xludf.DUMMYFUNCTION("""COMPUTED_VALUE"""),"Traslado realizado 11/06/25")</f>
        <v>Traslado realizado 11/06/25</v>
      </c>
      <c r="J948" s="2"/>
      <c r="K948" s="2" t="str">
        <f ca="1">IFERROR(__xludf.DUMMYFUNCTION("""COMPUTED_VALUE"""),"Traslado Venta")</f>
        <v>Traslado Venta</v>
      </c>
      <c r="L948" s="2" t="str">
        <f ca="1">IFERROR(__xludf.DUMMYFUNCTION("""COMPUTED_VALUE"""),"1")</f>
        <v>1</v>
      </c>
      <c r="M948" s="2"/>
    </row>
    <row r="949" spans="1:13" x14ac:dyDescent="0.25">
      <c r="A949" s="2" t="str">
        <f ca="1">IFERROR(__xludf.DUMMYFUNCTION("""COMPUTED_VALUE"""),"a985bb2d")</f>
        <v>a985bb2d</v>
      </c>
      <c r="B949" s="2"/>
      <c r="C949" s="5">
        <f ca="1">IFERROR(__xludf.DUMMYFUNCTION("""COMPUTED_VALUE"""),45819.6669560185)</f>
        <v>45819.666956018496</v>
      </c>
      <c r="D949" s="2">
        <f ca="1">IFERROR(__xludf.DUMMYFUNCTION("""COMPUTED_VALUE"""),26)</f>
        <v>26</v>
      </c>
      <c r="E949" s="2">
        <f ca="1">IFERROR(__xludf.DUMMYFUNCTION("""COMPUTED_VALUE"""),207600)</f>
        <v>207600</v>
      </c>
      <c r="F949" s="2" t="str">
        <f ca="1">IFERROR(__xludf.DUMMYFUNCTION("""COMPUTED_VALUE"""),"Tinto")</f>
        <v>Tinto</v>
      </c>
      <c r="G949" s="2">
        <f ca="1">IFERROR(__xludf.DUMMYFUNCTION("""COMPUTED_VALUE"""),0)</f>
        <v>0</v>
      </c>
      <c r="H949" s="2">
        <f ca="1">IFERROR(__xludf.DUMMYFUNCTION("""COMPUTED_VALUE"""),28600)</f>
        <v>28600</v>
      </c>
      <c r="I949" s="2"/>
      <c r="J949" s="2"/>
      <c r="K949" s="2" t="str">
        <f ca="1">IFERROR(__xludf.DUMMYFUNCTION("""COMPUTED_VALUE"""),"2do Trasiego")</f>
        <v>2do Trasiego</v>
      </c>
      <c r="L949" s="2" t="str">
        <f ca="1">IFERROR(__xludf.DUMMYFUNCTION("""COMPUTED_VALUE"""),"1")</f>
        <v>1</v>
      </c>
      <c r="M949" s="2"/>
    </row>
    <row r="950" spans="1:13" x14ac:dyDescent="0.25">
      <c r="A950" s="2" t="str">
        <f ca="1">IFERROR(__xludf.DUMMYFUNCTION("""COMPUTED_VALUE"""),"1c2d5fc0")</f>
        <v>1c2d5fc0</v>
      </c>
      <c r="B950" s="2"/>
      <c r="C950" s="5">
        <f ca="1">IFERROR(__xludf.DUMMYFUNCTION("""COMPUTED_VALUE"""),45819.6677893518)</f>
        <v>45819.667789351799</v>
      </c>
      <c r="D950" s="2">
        <f ca="1">IFERROR(__xludf.DUMMYFUNCTION("""COMPUTED_VALUE"""),26)</f>
        <v>26</v>
      </c>
      <c r="E950" s="2">
        <f ca="1">IFERROR(__xludf.DUMMYFUNCTION("""COMPUTED_VALUE"""),207600)</f>
        <v>207600</v>
      </c>
      <c r="F950" s="2" t="str">
        <f ca="1">IFERROR(__xludf.DUMMYFUNCTION("""COMPUTED_VALUE"""),"Tinto")</f>
        <v>Tinto</v>
      </c>
      <c r="G950" s="2">
        <f ca="1">IFERROR(__xludf.DUMMYFUNCTION("""COMPUTED_VALUE"""),28600)</f>
        <v>28600</v>
      </c>
      <c r="H950" s="2">
        <f ca="1">IFERROR(__xludf.DUMMYFUNCTION("""COMPUTED_VALUE"""),74800)</f>
        <v>74800</v>
      </c>
      <c r="I950" s="2"/>
      <c r="J950" s="2"/>
      <c r="K950" s="2" t="str">
        <f ca="1">IFERROR(__xludf.DUMMYFUNCTION("""COMPUTED_VALUE"""),"2do Trasiego")</f>
        <v>2do Trasiego</v>
      </c>
      <c r="L950" s="2" t="str">
        <f ca="1">IFERROR(__xludf.DUMMYFUNCTION("""COMPUTED_VALUE"""),"1")</f>
        <v>1</v>
      </c>
      <c r="M950" s="2"/>
    </row>
    <row r="951" spans="1:13" x14ac:dyDescent="0.25">
      <c r="A951" s="2" t="str">
        <f ca="1">IFERROR(__xludf.DUMMYFUNCTION("""COMPUTED_VALUE"""),"4eb11d7e")</f>
        <v>4eb11d7e</v>
      </c>
      <c r="B951" s="2"/>
      <c r="C951" s="5">
        <f ca="1">IFERROR(__xludf.DUMMYFUNCTION("""COMPUTED_VALUE"""),45819.6683680555)</f>
        <v>45819.6683680555</v>
      </c>
      <c r="D951" s="2">
        <f ca="1">IFERROR(__xludf.DUMMYFUNCTION("""COMPUTED_VALUE"""),26)</f>
        <v>26</v>
      </c>
      <c r="E951" s="2">
        <f ca="1">IFERROR(__xludf.DUMMYFUNCTION("""COMPUTED_VALUE"""),207600)</f>
        <v>207600</v>
      </c>
      <c r="F951" s="2" t="str">
        <f ca="1">IFERROR(__xludf.DUMMYFUNCTION("""COMPUTED_VALUE"""),"Tinto")</f>
        <v>Tinto</v>
      </c>
      <c r="G951" s="2">
        <f ca="1">IFERROR(__xludf.DUMMYFUNCTION("""COMPUTED_VALUE"""),74800)</f>
        <v>74800</v>
      </c>
      <c r="H951" s="2">
        <f ca="1">IFERROR(__xludf.DUMMYFUNCTION("""COMPUTED_VALUE"""),126300)</f>
        <v>126300</v>
      </c>
      <c r="I951" s="2"/>
      <c r="J951" s="2"/>
      <c r="K951" s="2" t="str">
        <f ca="1">IFERROR(__xludf.DUMMYFUNCTION("""COMPUTED_VALUE"""),"2do Trasiego")</f>
        <v>2do Trasiego</v>
      </c>
      <c r="L951" s="2" t="str">
        <f ca="1">IFERROR(__xludf.DUMMYFUNCTION("""COMPUTED_VALUE"""),"1")</f>
        <v>1</v>
      </c>
      <c r="M951" s="2"/>
    </row>
    <row r="952" spans="1:13" x14ac:dyDescent="0.25">
      <c r="A952" s="2" t="str">
        <f ca="1">IFERROR(__xludf.DUMMYFUNCTION("""COMPUTED_VALUE"""),"c1ded7f4")</f>
        <v>c1ded7f4</v>
      </c>
      <c r="B952" s="2"/>
      <c r="C952" s="5">
        <f ca="1">IFERROR(__xludf.DUMMYFUNCTION("""COMPUTED_VALUE"""),45819.6686458333)</f>
        <v>45819.668645833299</v>
      </c>
      <c r="D952" s="2"/>
      <c r="E952" s="2"/>
      <c r="F952" s="2"/>
      <c r="G952" s="2"/>
      <c r="H952" s="2">
        <f ca="1">IFERROR(__xludf.DUMMYFUNCTION("""COMPUTED_VALUE"""),33500)</f>
        <v>33500</v>
      </c>
      <c r="I952" s="2"/>
      <c r="J952" s="2"/>
      <c r="K952" s="2"/>
      <c r="L952" s="2"/>
      <c r="M952" s="2"/>
    </row>
    <row r="953" spans="1:13" x14ac:dyDescent="0.25">
      <c r="A953" s="2" t="str">
        <f ca="1">IFERROR(__xludf.DUMMYFUNCTION("""COMPUTED_VALUE"""),"347bb900")</f>
        <v>347bb900</v>
      </c>
      <c r="B953" s="2"/>
      <c r="C953" s="5">
        <f ca="1">IFERROR(__xludf.DUMMYFUNCTION("""COMPUTED_VALUE"""),45819.6696412037)</f>
        <v>45819.669641203698</v>
      </c>
      <c r="D953" s="2">
        <f ca="1">IFERROR(__xludf.DUMMYFUNCTION("""COMPUTED_VALUE"""),26)</f>
        <v>26</v>
      </c>
      <c r="E953" s="2">
        <f ca="1">IFERROR(__xludf.DUMMYFUNCTION("""COMPUTED_VALUE"""),207600)</f>
        <v>207600</v>
      </c>
      <c r="F953" s="2" t="str">
        <f ca="1">IFERROR(__xludf.DUMMYFUNCTION("""COMPUTED_VALUE"""),"Tinto")</f>
        <v>Tinto</v>
      </c>
      <c r="G953" s="2">
        <f ca="1">IFERROR(__xludf.DUMMYFUNCTION("""COMPUTED_VALUE"""),126300)</f>
        <v>126300</v>
      </c>
      <c r="H953" s="2">
        <f ca="1">IFERROR(__xludf.DUMMYFUNCTION("""COMPUTED_VALUE"""),142800)</f>
        <v>142800</v>
      </c>
      <c r="I953" s="2"/>
      <c r="J953" s="2"/>
      <c r="K953" s="2" t="str">
        <f ca="1">IFERROR(__xludf.DUMMYFUNCTION("""COMPUTED_VALUE"""),"2do Trasiego")</f>
        <v>2do Trasiego</v>
      </c>
      <c r="L953" s="2" t="str">
        <f ca="1">IFERROR(__xludf.DUMMYFUNCTION("""COMPUTED_VALUE"""),"1")</f>
        <v>1</v>
      </c>
      <c r="M953" s="2"/>
    </row>
    <row r="954" spans="1:13" x14ac:dyDescent="0.25">
      <c r="A954" s="2" t="str">
        <f ca="1">IFERROR(__xludf.DUMMYFUNCTION("""COMPUTED_VALUE"""),"0148e4b4")</f>
        <v>0148e4b4</v>
      </c>
      <c r="B954" s="2"/>
      <c r="C954" s="5">
        <f ca="1">IFERROR(__xludf.DUMMYFUNCTION("""COMPUTED_VALUE"""),45819.670011574)</f>
        <v>45819.670011574002</v>
      </c>
      <c r="D954" s="2">
        <f ca="1">IFERROR(__xludf.DUMMYFUNCTION("""COMPUTED_VALUE"""),26)</f>
        <v>26</v>
      </c>
      <c r="E954" s="2">
        <f ca="1">IFERROR(__xludf.DUMMYFUNCTION("""COMPUTED_VALUE"""),207600)</f>
        <v>207600</v>
      </c>
      <c r="F954" s="2" t="str">
        <f ca="1">IFERROR(__xludf.DUMMYFUNCTION("""COMPUTED_VALUE"""),"Tinto")</f>
        <v>Tinto</v>
      </c>
      <c r="G954" s="2">
        <f ca="1">IFERROR(__xludf.DUMMYFUNCTION("""COMPUTED_VALUE"""),142800)</f>
        <v>142800</v>
      </c>
      <c r="H954" s="2">
        <f ca="1">IFERROR(__xludf.DUMMYFUNCTION("""COMPUTED_VALUE"""),149900)</f>
        <v>149900</v>
      </c>
      <c r="I954" s="2"/>
      <c r="J954" s="2"/>
      <c r="K954" s="2" t="str">
        <f ca="1">IFERROR(__xludf.DUMMYFUNCTION("""COMPUTED_VALUE"""),"2do Trasiego")</f>
        <v>2do Trasiego</v>
      </c>
      <c r="L954" s="2" t="str">
        <f ca="1">IFERROR(__xludf.DUMMYFUNCTION("""COMPUTED_VALUE"""),"1")</f>
        <v>1</v>
      </c>
      <c r="M954" s="2"/>
    </row>
    <row r="955" spans="1:13" x14ac:dyDescent="0.25">
      <c r="A955" s="2" t="str">
        <f ca="1">IFERROR(__xludf.DUMMYFUNCTION("""COMPUTED_VALUE"""),"c93a8335")</f>
        <v>c93a8335</v>
      </c>
      <c r="B955" s="2"/>
      <c r="C955" s="5">
        <f ca="1">IFERROR(__xludf.DUMMYFUNCTION("""COMPUTED_VALUE"""),45819.6703472222)</f>
        <v>45819.6703472222</v>
      </c>
      <c r="D955" s="2">
        <f ca="1">IFERROR(__xludf.DUMMYFUNCTION("""COMPUTED_VALUE"""),26)</f>
        <v>26</v>
      </c>
      <c r="E955" s="2">
        <f ca="1">IFERROR(__xludf.DUMMYFUNCTION("""COMPUTED_VALUE"""),207600)</f>
        <v>207600</v>
      </c>
      <c r="F955" s="2" t="str">
        <f ca="1">IFERROR(__xludf.DUMMYFUNCTION("""COMPUTED_VALUE"""),"Tinto")</f>
        <v>Tinto</v>
      </c>
      <c r="G955" s="2">
        <f ca="1">IFERROR(__xludf.DUMMYFUNCTION("""COMPUTED_VALUE"""),149900)</f>
        <v>149900</v>
      </c>
      <c r="H955" s="2">
        <f ca="1">IFERROR(__xludf.DUMMYFUNCTION("""COMPUTED_VALUE"""),157000)</f>
        <v>157000</v>
      </c>
      <c r="I955" s="2"/>
      <c r="J955" s="2"/>
      <c r="K955" s="2" t="str">
        <f ca="1">IFERROR(__xludf.DUMMYFUNCTION("""COMPUTED_VALUE"""),"2do Trasiego")</f>
        <v>2do Trasiego</v>
      </c>
      <c r="L955" s="2" t="str">
        <f ca="1">IFERROR(__xludf.DUMMYFUNCTION("""COMPUTED_VALUE"""),"1")</f>
        <v>1</v>
      </c>
      <c r="M955" s="2"/>
    </row>
    <row r="956" spans="1:13" x14ac:dyDescent="0.25">
      <c r="A956" s="2" t="str">
        <f ca="1">IFERROR(__xludf.DUMMYFUNCTION("""COMPUTED_VALUE"""),"3f9e249f")</f>
        <v>3f9e249f</v>
      </c>
      <c r="B956" s="2"/>
      <c r="C956" s="5">
        <f ca="1">IFERROR(__xludf.DUMMYFUNCTION("""COMPUTED_VALUE"""),45819.6708333333)</f>
        <v>45819.670833333301</v>
      </c>
      <c r="D956" s="2">
        <f ca="1">IFERROR(__xludf.DUMMYFUNCTION("""COMPUTED_VALUE"""),26)</f>
        <v>26</v>
      </c>
      <c r="E956" s="2">
        <f ca="1">IFERROR(__xludf.DUMMYFUNCTION("""COMPUTED_VALUE"""),207600)</f>
        <v>207600</v>
      </c>
      <c r="F956" s="2" t="str">
        <f ca="1">IFERROR(__xludf.DUMMYFUNCTION("""COMPUTED_VALUE"""),"Tinto")</f>
        <v>Tinto</v>
      </c>
      <c r="G956" s="2">
        <f ca="1">IFERROR(__xludf.DUMMYFUNCTION("""COMPUTED_VALUE"""),157000)</f>
        <v>157000</v>
      </c>
      <c r="H956" s="2">
        <f ca="1">IFERROR(__xludf.DUMMYFUNCTION("""COMPUTED_VALUE"""),169500)</f>
        <v>169500</v>
      </c>
      <c r="I956" s="2"/>
      <c r="J956" s="2"/>
      <c r="K956" s="2" t="str">
        <f ca="1">IFERROR(__xludf.DUMMYFUNCTION("""COMPUTED_VALUE"""),"2do Trasiego")</f>
        <v>2do Trasiego</v>
      </c>
      <c r="L956" s="2" t="str">
        <f ca="1">IFERROR(__xludf.DUMMYFUNCTION("""COMPUTED_VALUE"""),"1")</f>
        <v>1</v>
      </c>
      <c r="M956" s="2"/>
    </row>
    <row r="957" spans="1:13" x14ac:dyDescent="0.25">
      <c r="A957" s="2" t="str">
        <f ca="1">IFERROR(__xludf.DUMMYFUNCTION("""COMPUTED_VALUE"""),"46e42ed3")</f>
        <v>46e42ed3</v>
      </c>
      <c r="B957" s="2"/>
      <c r="C957" s="5">
        <f ca="1">IFERROR(__xludf.DUMMYFUNCTION("""COMPUTED_VALUE"""),45819.6750810185)</f>
        <v>45819.675081018497</v>
      </c>
      <c r="D957" s="2">
        <f ca="1">IFERROR(__xludf.DUMMYFUNCTION("""COMPUTED_VALUE"""),26)</f>
        <v>26</v>
      </c>
      <c r="E957" s="2">
        <f ca="1">IFERROR(__xludf.DUMMYFUNCTION("""COMPUTED_VALUE"""),207600)</f>
        <v>207600</v>
      </c>
      <c r="F957" s="2" t="str">
        <f ca="1">IFERROR(__xludf.DUMMYFUNCTION("""COMPUTED_VALUE"""),"Tinto")</f>
        <v>Tinto</v>
      </c>
      <c r="G957" s="2">
        <f ca="1">IFERROR(__xludf.DUMMYFUNCTION("""COMPUTED_VALUE"""),169500)</f>
        <v>169500</v>
      </c>
      <c r="H957" s="2">
        <f ca="1">IFERROR(__xludf.DUMMYFUNCTION("""COMPUTED_VALUE"""),203000)</f>
        <v>203000</v>
      </c>
      <c r="I957" s="2"/>
      <c r="J957" s="2"/>
      <c r="K957" s="2" t="str">
        <f ca="1">IFERROR(__xludf.DUMMYFUNCTION("""COMPUTED_VALUE"""),"2do Trasiego")</f>
        <v>2do Trasiego</v>
      </c>
      <c r="L957" s="2" t="str">
        <f ca="1">IFERROR(__xludf.DUMMYFUNCTION("""COMPUTED_VALUE"""),"1")</f>
        <v>1</v>
      </c>
      <c r="M957" s="2"/>
    </row>
    <row r="958" spans="1:13" x14ac:dyDescent="0.25">
      <c r="A958" s="2" t="str">
        <f ca="1">IFERROR(__xludf.DUMMYFUNCTION("""COMPUTED_VALUE"""),"da997936")</f>
        <v>da997936</v>
      </c>
      <c r="B958" s="2"/>
      <c r="C958" s="5">
        <f ca="1">IFERROR(__xludf.DUMMYFUNCTION("""COMPUTED_VALUE"""),45820.4570486111)</f>
        <v>45820.457048611097</v>
      </c>
      <c r="D958" s="2">
        <f ca="1">IFERROR(__xludf.DUMMYFUNCTION("""COMPUTED_VALUE"""),2)</f>
        <v>2</v>
      </c>
      <c r="E958" s="2">
        <f ca="1">IFERROR(__xludf.DUMMYFUNCTION("""COMPUTED_VALUE"""),8400)</f>
        <v>8400</v>
      </c>
      <c r="F958" s="2" t="str">
        <f ca="1">IFERROR(__xludf.DUMMYFUNCTION("""COMPUTED_VALUE"""),"Chardonnay")</f>
        <v>Chardonnay</v>
      </c>
      <c r="G958" s="2">
        <f ca="1">IFERROR(__xludf.DUMMYFUNCTION("""COMPUTED_VALUE"""),2000)</f>
        <v>2000</v>
      </c>
      <c r="H958" s="2">
        <f ca="1">IFERROR(__xludf.DUMMYFUNCTION("""COMPUTED_VALUE"""),2200)</f>
        <v>2200</v>
      </c>
      <c r="I958" s="2"/>
      <c r="J958" s="2"/>
      <c r="K958" s="2" t="str">
        <f ca="1">IFERROR(__xludf.DUMMYFUNCTION("""COMPUTED_VALUE"""),"Descubada")</f>
        <v>Descubada</v>
      </c>
      <c r="L958" s="2" t="str">
        <f ca="1">IFERROR(__xludf.DUMMYFUNCTION("""COMPUTED_VALUE"""),"1-")</f>
        <v>1-</v>
      </c>
      <c r="M958" s="2" t="str">
        <f ca="1">IFERROR(__xludf.DUMMYFUNCTION("""COMPUTED_VALUE"""),"Blanco")</f>
        <v>Blanco</v>
      </c>
    </row>
    <row r="959" spans="1:13" x14ac:dyDescent="0.25">
      <c r="A959" s="2" t="str">
        <f ca="1">IFERROR(__xludf.DUMMYFUNCTION("""COMPUTED_VALUE"""),"dddbf851")</f>
        <v>dddbf851</v>
      </c>
      <c r="B959" s="2"/>
      <c r="C959" s="5">
        <f ca="1">IFERROR(__xludf.DUMMYFUNCTION("""COMPUTED_VALUE"""),45821.7395949074)</f>
        <v>45821.739594907398</v>
      </c>
      <c r="D959" s="2">
        <f ca="1">IFERROR(__xludf.DUMMYFUNCTION("""COMPUTED_VALUE"""),89)</f>
        <v>89</v>
      </c>
      <c r="E959" s="2">
        <f ca="1">IFERROR(__xludf.DUMMYFUNCTION("""COMPUTED_VALUE"""),83500)</f>
        <v>83500</v>
      </c>
      <c r="F959" s="2" t="str">
        <f ca="1">IFERROR(__xludf.DUMMYFUNCTION("""COMPUTED_VALUE"""),"Syrah Tempranillo")</f>
        <v>Syrah Tempranillo</v>
      </c>
      <c r="G959" s="2">
        <f ca="1">IFERROR(__xludf.DUMMYFUNCTION("""COMPUTED_VALUE"""),0)</f>
        <v>0</v>
      </c>
      <c r="H959" s="2">
        <f ca="1">IFERROR(__xludf.DUMMYFUNCTION("""COMPUTED_VALUE"""),83500)</f>
        <v>83500</v>
      </c>
      <c r="I959" s="2"/>
      <c r="J959" s="2"/>
      <c r="K959" s="2" t="str">
        <f ca="1">IFERROR(__xludf.DUMMYFUNCTION("""COMPUTED_VALUE"""),"2do Trasiego")</f>
        <v>2do Trasiego</v>
      </c>
      <c r="L959" s="2" t="str">
        <f ca="1">IFERROR(__xludf.DUMMYFUNCTION("""COMPUTED_VALUE"""),"1+")</f>
        <v>1+</v>
      </c>
      <c r="M959" s="2"/>
    </row>
    <row r="960" spans="1:13" x14ac:dyDescent="0.25">
      <c r="A960" s="2" t="str">
        <f ca="1">IFERROR(__xludf.DUMMYFUNCTION("""COMPUTED_VALUE"""),"fe6fc54b")</f>
        <v>fe6fc54b</v>
      </c>
      <c r="B960" s="2"/>
      <c r="C960" s="5">
        <f ca="1">IFERROR(__xludf.DUMMYFUNCTION("""COMPUTED_VALUE"""),45821.7398032407)</f>
        <v>45821.7398032407</v>
      </c>
      <c r="D960" s="2">
        <f ca="1">IFERROR(__xludf.DUMMYFUNCTION("""COMPUTED_VALUE"""),72)</f>
        <v>72</v>
      </c>
      <c r="E960" s="2">
        <f ca="1">IFERROR(__xludf.DUMMYFUNCTION("""COMPUTED_VALUE"""),13000)</f>
        <v>13000</v>
      </c>
      <c r="F960" s="2" t="str">
        <f ca="1">IFERROR(__xludf.DUMMYFUNCTION("""COMPUTED_VALUE"""),"Syrah Tempranillo")</f>
        <v>Syrah Tempranillo</v>
      </c>
      <c r="G960" s="2">
        <f ca="1">IFERROR(__xludf.DUMMYFUNCTION("""COMPUTED_VALUE"""),0)</f>
        <v>0</v>
      </c>
      <c r="H960" s="2">
        <f ca="1">IFERROR(__xludf.DUMMYFUNCTION("""COMPUTED_VALUE"""),11800)</f>
        <v>11800</v>
      </c>
      <c r="I960" s="2"/>
      <c r="J960" s="2"/>
      <c r="K960" s="2" t="str">
        <f ca="1">IFERROR(__xludf.DUMMYFUNCTION("""COMPUTED_VALUE"""),"2do Trasiego")</f>
        <v>2do Trasiego</v>
      </c>
      <c r="L960" s="2" t="str">
        <f ca="1">IFERROR(__xludf.DUMMYFUNCTION("""COMPUTED_VALUE"""),"1+")</f>
        <v>1+</v>
      </c>
      <c r="M960" s="2"/>
    </row>
    <row r="961" spans="1:13" x14ac:dyDescent="0.25">
      <c r="A961" s="2" t="str">
        <f ca="1">IFERROR(__xludf.DUMMYFUNCTION("""COMPUTED_VALUE"""),"397c9478")</f>
        <v>397c9478</v>
      </c>
      <c r="B961" s="2"/>
      <c r="C961" s="5">
        <f ca="1">IFERROR(__xludf.DUMMYFUNCTION("""COMPUTED_VALUE"""),45821.7415625)</f>
        <v>45821.741562499999</v>
      </c>
      <c r="D961" s="2">
        <f ca="1">IFERROR(__xludf.DUMMYFUNCTION("""COMPUTED_VALUE"""),6)</f>
        <v>6</v>
      </c>
      <c r="E961" s="2">
        <f ca="1">IFERROR(__xludf.DUMMYFUNCTION("""COMPUTED_VALUE"""),32000)</f>
        <v>32000</v>
      </c>
      <c r="F961" s="2" t="str">
        <f ca="1">IFERROR(__xludf.DUMMYFUNCTION("""COMPUTED_VALUE"""),"Syrah Rectificado")</f>
        <v>Syrah Rectificado</v>
      </c>
      <c r="G961" s="2">
        <f ca="1">IFERROR(__xludf.DUMMYFUNCTION("""COMPUTED_VALUE"""),2400)</f>
        <v>2400</v>
      </c>
      <c r="H961" s="2">
        <f ca="1">IFERROR(__xludf.DUMMYFUNCTION("""COMPUTED_VALUE"""),32000)</f>
        <v>32000</v>
      </c>
      <c r="I961" s="2"/>
      <c r="J961" s="2"/>
      <c r="K961" s="2" t="str">
        <f ca="1">IFERROR(__xludf.DUMMYFUNCTION("""COMPUTED_VALUE"""),"Rectificado")</f>
        <v>Rectificado</v>
      </c>
      <c r="L961" s="2" t="str">
        <f ca="1">IFERROR(__xludf.DUMMYFUNCTION("""COMPUTED_VALUE"""),"1")</f>
        <v>1</v>
      </c>
      <c r="M961" s="2"/>
    </row>
    <row r="962" spans="1:13" x14ac:dyDescent="0.25">
      <c r="A962" s="2" t="str">
        <f ca="1">IFERROR(__xludf.DUMMYFUNCTION("""COMPUTED_VALUE"""),"4bb0e577")</f>
        <v>4bb0e577</v>
      </c>
      <c r="B962" s="2"/>
      <c r="C962" s="5">
        <f ca="1">IFERROR(__xludf.DUMMYFUNCTION("""COMPUTED_VALUE"""),45821.7446527777)</f>
        <v>45821.744652777699</v>
      </c>
      <c r="D962" s="2">
        <f ca="1">IFERROR(__xludf.DUMMYFUNCTION("""COMPUTED_VALUE"""),115)</f>
        <v>115</v>
      </c>
      <c r="E962" s="2">
        <f ca="1">IFERROR(__xludf.DUMMYFUNCTION("""COMPUTED_VALUE"""),120200)</f>
        <v>120200</v>
      </c>
      <c r="F962" s="2" t="str">
        <f ca="1">IFERROR(__xludf.DUMMYFUNCTION("""COMPUTED_VALUE"""),"Tinto")</f>
        <v>Tinto</v>
      </c>
      <c r="G962" s="2">
        <f ca="1">IFERROR(__xludf.DUMMYFUNCTION("""COMPUTED_VALUE"""),0)</f>
        <v>0</v>
      </c>
      <c r="H962" s="2">
        <f ca="1">IFERROR(__xludf.DUMMYFUNCTION("""COMPUTED_VALUE"""),1200)</f>
        <v>1200</v>
      </c>
      <c r="I962" s="2"/>
      <c r="J962" s="2"/>
      <c r="K962" s="2" t="str">
        <f ca="1">IFERROR(__xludf.DUMMYFUNCTION("""COMPUTED_VALUE"""),"1er Trasiego")</f>
        <v>1er Trasiego</v>
      </c>
      <c r="L962" s="2" t="str">
        <f ca="1">IFERROR(__xludf.DUMMYFUNCTION("""COMPUTED_VALUE"""),"1")</f>
        <v>1</v>
      </c>
      <c r="M962" s="2"/>
    </row>
    <row r="963" spans="1:13" x14ac:dyDescent="0.25">
      <c r="A963" s="2" t="str">
        <f ca="1">IFERROR(__xludf.DUMMYFUNCTION("""COMPUTED_VALUE"""),"2cdc824f")</f>
        <v>2cdc824f</v>
      </c>
      <c r="B963" s="2"/>
      <c r="C963" s="5">
        <f ca="1">IFERROR(__xludf.DUMMYFUNCTION("""COMPUTED_VALUE"""),45821.7452893518)</f>
        <v>45821.745289351798</v>
      </c>
      <c r="D963" s="2">
        <f ca="1">IFERROR(__xludf.DUMMYFUNCTION("""COMPUTED_VALUE"""),54)</f>
        <v>54</v>
      </c>
      <c r="E963" s="2">
        <f ca="1">IFERROR(__xludf.DUMMYFUNCTION("""COMPUTED_VALUE"""),22900)</f>
        <v>22900</v>
      </c>
      <c r="F963" s="2" t="str">
        <f ca="1">IFERROR(__xludf.DUMMYFUNCTION("""COMPUTED_VALUE"""),"Tinto (Claro F)")</f>
        <v>Tinto (Claro F)</v>
      </c>
      <c r="G963" s="2">
        <f ca="1">IFERROR(__xludf.DUMMYFUNCTION("""COMPUTED_VALUE"""),10400)</f>
        <v>10400</v>
      </c>
      <c r="H963" s="2">
        <f ca="1">IFERROR(__xludf.DUMMYFUNCTION("""COMPUTED_VALUE"""),17600)</f>
        <v>17600</v>
      </c>
      <c r="I963" s="2"/>
      <c r="J963" s="2"/>
      <c r="K963" s="2" t="str">
        <f ca="1">IFERROR(__xludf.DUMMYFUNCTION("""COMPUTED_VALUE"""),"2do Trasiego")</f>
        <v>2do Trasiego</v>
      </c>
      <c r="L963" s="2" t="str">
        <f ca="1">IFERROR(__xludf.DUMMYFUNCTION("""COMPUTED_VALUE"""),"1")</f>
        <v>1</v>
      </c>
      <c r="M963" s="2"/>
    </row>
    <row r="964" spans="1:13" x14ac:dyDescent="0.25">
      <c r="A964" s="2" t="str">
        <f ca="1">IFERROR(__xludf.DUMMYFUNCTION("""COMPUTED_VALUE"""),"7df69242")</f>
        <v>7df69242</v>
      </c>
      <c r="B964" s="2"/>
      <c r="C964" s="5">
        <f ca="1">IFERROR(__xludf.DUMMYFUNCTION("""COMPUTED_VALUE"""),45821.7462731481)</f>
        <v>45821.746273148099</v>
      </c>
      <c r="D964" s="2">
        <f ca="1">IFERROR(__xludf.DUMMYFUNCTION("""COMPUTED_VALUE"""),115)</f>
        <v>115</v>
      </c>
      <c r="E964" s="2">
        <f ca="1">IFERROR(__xludf.DUMMYFUNCTION("""COMPUTED_VALUE"""),120200)</f>
        <v>120200</v>
      </c>
      <c r="F964" s="2" t="str">
        <f ca="1">IFERROR(__xludf.DUMMYFUNCTION("""COMPUTED_VALUE"""),"Tinto")</f>
        <v>Tinto</v>
      </c>
      <c r="G964" s="2">
        <f ca="1">IFERROR(__xludf.DUMMYFUNCTION("""COMPUTED_VALUE"""),1200)</f>
        <v>1200</v>
      </c>
      <c r="H964" s="2">
        <f ca="1">IFERROR(__xludf.DUMMYFUNCTION("""COMPUTED_VALUE"""),5200)</f>
        <v>5200</v>
      </c>
      <c r="I964" s="2"/>
      <c r="J964" s="2"/>
      <c r="K964" s="2" t="str">
        <f ca="1">IFERROR(__xludf.DUMMYFUNCTION("""COMPUTED_VALUE"""),"1er Trasiego")</f>
        <v>1er Trasiego</v>
      </c>
      <c r="L964" s="2" t="str">
        <f ca="1">IFERROR(__xludf.DUMMYFUNCTION("""COMPUTED_VALUE"""),"1")</f>
        <v>1</v>
      </c>
      <c r="M964" s="2"/>
    </row>
    <row r="965" spans="1:13" x14ac:dyDescent="0.25">
      <c r="A965" s="2" t="str">
        <f ca="1">IFERROR(__xludf.DUMMYFUNCTION("""COMPUTED_VALUE"""),"2b0750b6")</f>
        <v>2b0750b6</v>
      </c>
      <c r="B965" s="2"/>
      <c r="C965" s="5">
        <f ca="1">IFERROR(__xludf.DUMMYFUNCTION("""COMPUTED_VALUE"""),45821.746724537)</f>
        <v>45821.746724536999</v>
      </c>
      <c r="D965" s="2">
        <f ca="1">IFERROR(__xludf.DUMMYFUNCTION("""COMPUTED_VALUE"""),115)</f>
        <v>115</v>
      </c>
      <c r="E965" s="2">
        <f ca="1">IFERROR(__xludf.DUMMYFUNCTION("""COMPUTED_VALUE"""),120200)</f>
        <v>120200</v>
      </c>
      <c r="F965" s="2" t="str">
        <f ca="1">IFERROR(__xludf.DUMMYFUNCTION("""COMPUTED_VALUE"""),"Tinto")</f>
        <v>Tinto</v>
      </c>
      <c r="G965" s="2">
        <f ca="1">IFERROR(__xludf.DUMMYFUNCTION("""COMPUTED_VALUE"""),5200)</f>
        <v>5200</v>
      </c>
      <c r="H965" s="2">
        <f ca="1">IFERROR(__xludf.DUMMYFUNCTION("""COMPUTED_VALUE"""),9200)</f>
        <v>9200</v>
      </c>
      <c r="I965" s="2"/>
      <c r="J965" s="2"/>
      <c r="K965" s="2" t="str">
        <f ca="1">IFERROR(__xludf.DUMMYFUNCTION("""COMPUTED_VALUE"""),"1er Trasiego")</f>
        <v>1er Trasiego</v>
      </c>
      <c r="L965" s="2" t="str">
        <f ca="1">IFERROR(__xludf.DUMMYFUNCTION("""COMPUTED_VALUE"""),"1")</f>
        <v>1</v>
      </c>
      <c r="M965" s="2"/>
    </row>
    <row r="966" spans="1:13" x14ac:dyDescent="0.25">
      <c r="A966" s="2" t="str">
        <f ca="1">IFERROR(__xludf.DUMMYFUNCTION("""COMPUTED_VALUE"""),"2b981b3e")</f>
        <v>2b981b3e</v>
      </c>
      <c r="B966" s="2"/>
      <c r="C966" s="5">
        <f ca="1">IFERROR(__xludf.DUMMYFUNCTION("""COMPUTED_VALUE"""),45821.7482754629)</f>
        <v>45821.748275462902</v>
      </c>
      <c r="D966" s="2">
        <f ca="1">IFERROR(__xludf.DUMMYFUNCTION("""COMPUTED_VALUE"""),115)</f>
        <v>115</v>
      </c>
      <c r="E966" s="2">
        <f ca="1">IFERROR(__xludf.DUMMYFUNCTION("""COMPUTED_VALUE"""),120200)</f>
        <v>120200</v>
      </c>
      <c r="F966" s="2" t="str">
        <f ca="1">IFERROR(__xludf.DUMMYFUNCTION("""COMPUTED_VALUE"""),"Tinto")</f>
        <v>Tinto</v>
      </c>
      <c r="G966" s="2">
        <f ca="1">IFERROR(__xludf.DUMMYFUNCTION("""COMPUTED_VALUE"""),9200)</f>
        <v>9200</v>
      </c>
      <c r="H966" s="2">
        <f ca="1">IFERROR(__xludf.DUMMYFUNCTION("""COMPUTED_VALUE"""),25200)</f>
        <v>25200</v>
      </c>
      <c r="I966" s="2"/>
      <c r="J966" s="2"/>
      <c r="K966" s="2" t="str">
        <f ca="1">IFERROR(__xludf.DUMMYFUNCTION("""COMPUTED_VALUE"""),"1er Trasiego")</f>
        <v>1er Trasiego</v>
      </c>
      <c r="L966" s="2" t="str">
        <f ca="1">IFERROR(__xludf.DUMMYFUNCTION("""COMPUTED_VALUE"""),"1")</f>
        <v>1</v>
      </c>
      <c r="M966" s="2"/>
    </row>
    <row r="967" spans="1:13" x14ac:dyDescent="0.25">
      <c r="A967" s="2" t="str">
        <f ca="1">IFERROR(__xludf.DUMMYFUNCTION("""COMPUTED_VALUE"""),"97133f07")</f>
        <v>97133f07</v>
      </c>
      <c r="B967" s="2"/>
      <c r="C967" s="5">
        <f ca="1">IFERROR(__xludf.DUMMYFUNCTION("""COMPUTED_VALUE"""),45821.7486574074)</f>
        <v>45821.748657407399</v>
      </c>
      <c r="D967" s="2">
        <f ca="1">IFERROR(__xludf.DUMMYFUNCTION("""COMPUTED_VALUE"""),115)</f>
        <v>115</v>
      </c>
      <c r="E967" s="2">
        <f ca="1">IFERROR(__xludf.DUMMYFUNCTION("""COMPUTED_VALUE"""),120200)</f>
        <v>120200</v>
      </c>
      <c r="F967" s="2" t="str">
        <f ca="1">IFERROR(__xludf.DUMMYFUNCTION("""COMPUTED_VALUE"""),"Tinto")</f>
        <v>Tinto</v>
      </c>
      <c r="G967" s="2">
        <f ca="1">IFERROR(__xludf.DUMMYFUNCTION("""COMPUTED_VALUE"""),25200)</f>
        <v>25200</v>
      </c>
      <c r="H967" s="2">
        <f ca="1">IFERROR(__xludf.DUMMYFUNCTION("""COMPUTED_VALUE"""),51600)</f>
        <v>51600</v>
      </c>
      <c r="I967" s="2"/>
      <c r="J967" s="2"/>
      <c r="K967" s="2" t="str">
        <f ca="1">IFERROR(__xludf.DUMMYFUNCTION("""COMPUTED_VALUE"""),"1er Trasiego")</f>
        <v>1er Trasiego</v>
      </c>
      <c r="L967" s="2" t="str">
        <f ca="1">IFERROR(__xludf.DUMMYFUNCTION("""COMPUTED_VALUE"""),"1")</f>
        <v>1</v>
      </c>
      <c r="M967" s="2"/>
    </row>
    <row r="968" spans="1:13" x14ac:dyDescent="0.25">
      <c r="A968" s="2" t="str">
        <f ca="1">IFERROR(__xludf.DUMMYFUNCTION("""COMPUTED_VALUE"""),"28e0faf1")</f>
        <v>28e0faf1</v>
      </c>
      <c r="B968" s="2"/>
      <c r="C968" s="5">
        <f ca="1">IFERROR(__xludf.DUMMYFUNCTION("""COMPUTED_VALUE"""),45821.7491435185)</f>
        <v>45821.7491435185</v>
      </c>
      <c r="D968" s="2">
        <f ca="1">IFERROR(__xludf.DUMMYFUNCTION("""COMPUTED_VALUE"""),115)</f>
        <v>115</v>
      </c>
      <c r="E968" s="2">
        <f ca="1">IFERROR(__xludf.DUMMYFUNCTION("""COMPUTED_VALUE"""),120200)</f>
        <v>120200</v>
      </c>
      <c r="F968" s="2" t="str">
        <f ca="1">IFERROR(__xludf.DUMMYFUNCTION("""COMPUTED_VALUE"""),"Tinto")</f>
        <v>Tinto</v>
      </c>
      <c r="G968" s="2">
        <f ca="1">IFERROR(__xludf.DUMMYFUNCTION("""COMPUTED_VALUE"""),51600)</f>
        <v>51600</v>
      </c>
      <c r="H968" s="2">
        <f ca="1">IFERROR(__xludf.DUMMYFUNCTION("""COMPUTED_VALUE"""),81000)</f>
        <v>81000</v>
      </c>
      <c r="I968" s="2"/>
      <c r="J968" s="2"/>
      <c r="K968" s="2" t="str">
        <f ca="1">IFERROR(__xludf.DUMMYFUNCTION("""COMPUTED_VALUE"""),"1er Trasiego")</f>
        <v>1er Trasiego</v>
      </c>
      <c r="L968" s="2" t="str">
        <f ca="1">IFERROR(__xludf.DUMMYFUNCTION("""COMPUTED_VALUE"""),"1")</f>
        <v>1</v>
      </c>
      <c r="M968" s="2"/>
    </row>
    <row r="969" spans="1:13" x14ac:dyDescent="0.25">
      <c r="A969" s="2" t="str">
        <f ca="1">IFERROR(__xludf.DUMMYFUNCTION("""COMPUTED_VALUE"""),"07d0b231")</f>
        <v>07d0b231</v>
      </c>
      <c r="B969" s="2"/>
      <c r="C969" s="5">
        <f ca="1">IFERROR(__xludf.DUMMYFUNCTION("""COMPUTED_VALUE"""),45821.7501967592)</f>
        <v>45821.750196759203</v>
      </c>
      <c r="D969" s="2">
        <f ca="1">IFERROR(__xludf.DUMMYFUNCTION("""COMPUTED_VALUE"""),115)</f>
        <v>115</v>
      </c>
      <c r="E969" s="2">
        <f ca="1">IFERROR(__xludf.DUMMYFUNCTION("""COMPUTED_VALUE"""),120200)</f>
        <v>120200</v>
      </c>
      <c r="F969" s="2" t="str">
        <f ca="1">IFERROR(__xludf.DUMMYFUNCTION("""COMPUTED_VALUE"""),"Tinto")</f>
        <v>Tinto</v>
      </c>
      <c r="G969" s="2">
        <f ca="1">IFERROR(__xludf.DUMMYFUNCTION("""COMPUTED_VALUE"""),81000)</f>
        <v>81000</v>
      </c>
      <c r="H969" s="2">
        <f ca="1">IFERROR(__xludf.DUMMYFUNCTION("""COMPUTED_VALUE"""),90000)</f>
        <v>90000</v>
      </c>
      <c r="I969" s="2"/>
      <c r="J969" s="2"/>
      <c r="K969" s="2" t="str">
        <f ca="1">IFERROR(__xludf.DUMMYFUNCTION("""COMPUTED_VALUE"""),"1er Trasiego")</f>
        <v>1er Trasiego</v>
      </c>
      <c r="L969" s="2" t="str">
        <f ca="1">IFERROR(__xludf.DUMMYFUNCTION("""COMPUTED_VALUE"""),"1")</f>
        <v>1</v>
      </c>
      <c r="M969" s="2"/>
    </row>
    <row r="970" spans="1:13" x14ac:dyDescent="0.25">
      <c r="A970" s="2" t="str">
        <f ca="1">IFERROR(__xludf.DUMMYFUNCTION("""COMPUTED_VALUE"""),"72a3240d")</f>
        <v>72a3240d</v>
      </c>
      <c r="B970" s="2"/>
      <c r="C970" s="5">
        <f ca="1">IFERROR(__xludf.DUMMYFUNCTION("""COMPUTED_VALUE"""),45821.7507060185)</f>
        <v>45821.750706018502</v>
      </c>
      <c r="D970" s="2">
        <f ca="1">IFERROR(__xludf.DUMMYFUNCTION("""COMPUTED_VALUE"""),115)</f>
        <v>115</v>
      </c>
      <c r="E970" s="2">
        <f ca="1">IFERROR(__xludf.DUMMYFUNCTION("""COMPUTED_VALUE"""),120200)</f>
        <v>120200</v>
      </c>
      <c r="F970" s="2" t="str">
        <f ca="1">IFERROR(__xludf.DUMMYFUNCTION("""COMPUTED_VALUE"""),"Tinto")</f>
        <v>Tinto</v>
      </c>
      <c r="G970" s="2">
        <f ca="1">IFERROR(__xludf.DUMMYFUNCTION("""COMPUTED_VALUE"""),90000)</f>
        <v>90000</v>
      </c>
      <c r="H970" s="2">
        <f ca="1">IFERROR(__xludf.DUMMYFUNCTION("""COMPUTED_VALUE"""),109200)</f>
        <v>109200</v>
      </c>
      <c r="I970" s="2"/>
      <c r="J970" s="2"/>
      <c r="K970" s="2" t="str">
        <f ca="1">IFERROR(__xludf.DUMMYFUNCTION("""COMPUTED_VALUE"""),"1er Trasiego")</f>
        <v>1er Trasiego</v>
      </c>
      <c r="L970" s="2" t="str">
        <f ca="1">IFERROR(__xludf.DUMMYFUNCTION("""COMPUTED_VALUE"""),"1")</f>
        <v>1</v>
      </c>
      <c r="M970" s="2"/>
    </row>
    <row r="971" spans="1:13" x14ac:dyDescent="0.25">
      <c r="A971" s="2" t="str">
        <f ca="1">IFERROR(__xludf.DUMMYFUNCTION("""COMPUTED_VALUE"""),"5b15cadb")</f>
        <v>5b15cadb</v>
      </c>
      <c r="B971" s="2"/>
      <c r="C971" s="5">
        <f ca="1">IFERROR(__xludf.DUMMYFUNCTION("""COMPUTED_VALUE"""),45821.7551504629)</f>
        <v>45821.755150462901</v>
      </c>
      <c r="D971" s="2">
        <f ca="1">IFERROR(__xludf.DUMMYFUNCTION("""COMPUTED_VALUE"""),115)</f>
        <v>115</v>
      </c>
      <c r="E971" s="2">
        <f ca="1">IFERROR(__xludf.DUMMYFUNCTION("""COMPUTED_VALUE"""),120200)</f>
        <v>120200</v>
      </c>
      <c r="F971" s="2" t="str">
        <f ca="1">IFERROR(__xludf.DUMMYFUNCTION("""COMPUTED_VALUE"""),"Tinto")</f>
        <v>Tinto</v>
      </c>
      <c r="G971" s="2">
        <f ca="1">IFERROR(__xludf.DUMMYFUNCTION("""COMPUTED_VALUE"""),109200)</f>
        <v>109200</v>
      </c>
      <c r="H971" s="2">
        <f ca="1">IFERROR(__xludf.DUMMYFUNCTION("""COMPUTED_VALUE"""),120200)</f>
        <v>120200</v>
      </c>
      <c r="I971" s="2"/>
      <c r="J971" s="2"/>
      <c r="K971" s="2" t="str">
        <f ca="1">IFERROR(__xludf.DUMMYFUNCTION("""COMPUTED_VALUE"""),"2do Trasiego")</f>
        <v>2do Trasiego</v>
      </c>
      <c r="L971" s="2" t="str">
        <f ca="1">IFERROR(__xludf.DUMMYFUNCTION("""COMPUTED_VALUE"""),"1")</f>
        <v>1</v>
      </c>
      <c r="M971" s="2" t="str">
        <f ca="1">IFERROR(__xludf.DUMMYFUNCTION("""COMPUTED_VALUE"""),"Tinto")</f>
        <v>Tinto</v>
      </c>
    </row>
    <row r="972" spans="1:13" x14ac:dyDescent="0.25">
      <c r="A972" s="2" t="str">
        <f ca="1">IFERROR(__xludf.DUMMYFUNCTION("""COMPUTED_VALUE"""),"c18d0513")</f>
        <v>c18d0513</v>
      </c>
      <c r="B972" s="2"/>
      <c r="C972" s="5">
        <f ca="1">IFERROR(__xludf.DUMMYFUNCTION("""COMPUTED_VALUE"""),45821.7558101851)</f>
        <v>45821.755810185103</v>
      </c>
      <c r="D972" s="2">
        <f ca="1">IFERROR(__xludf.DUMMYFUNCTION("""COMPUTED_VALUE"""),82)</f>
        <v>82</v>
      </c>
      <c r="E972" s="2">
        <f ca="1">IFERROR(__xludf.DUMMYFUNCTION("""COMPUTED_VALUE"""),42600)</f>
        <v>42600</v>
      </c>
      <c r="F972" s="2" t="str">
        <f ca="1">IFERROR(__xludf.DUMMYFUNCTION("""COMPUTED_VALUE"""),"Tinto")</f>
        <v>Tinto</v>
      </c>
      <c r="G972" s="2">
        <f ca="1">IFERROR(__xludf.DUMMYFUNCTION("""COMPUTED_VALUE"""),0)</f>
        <v>0</v>
      </c>
      <c r="H972" s="2">
        <f ca="1">IFERROR(__xludf.DUMMYFUNCTION("""COMPUTED_VALUE"""),2700)</f>
        <v>2700</v>
      </c>
      <c r="I972" s="2"/>
      <c r="J972" s="2"/>
      <c r="K972" s="2" t="str">
        <f ca="1">IFERROR(__xludf.DUMMYFUNCTION("""COMPUTED_VALUE"""),"2do Trasiego")</f>
        <v>2do Trasiego</v>
      </c>
      <c r="L972" s="2" t="str">
        <f ca="1">IFERROR(__xludf.DUMMYFUNCTION("""COMPUTED_VALUE"""),"1")</f>
        <v>1</v>
      </c>
      <c r="M972" s="2"/>
    </row>
    <row r="973" spans="1:13" x14ac:dyDescent="0.25">
      <c r="A973" s="2" t="str">
        <f ca="1">IFERROR(__xludf.DUMMYFUNCTION("""COMPUTED_VALUE"""),"6ea6229d")</f>
        <v>6ea6229d</v>
      </c>
      <c r="B973" s="2"/>
      <c r="C973" s="5">
        <f ca="1">IFERROR(__xludf.DUMMYFUNCTION("""COMPUTED_VALUE"""),45821.7560185185)</f>
        <v>45821.756018518499</v>
      </c>
      <c r="D973" s="2">
        <f ca="1">IFERROR(__xludf.DUMMYFUNCTION("""COMPUTED_VALUE"""),82)</f>
        <v>82</v>
      </c>
      <c r="E973" s="2">
        <f ca="1">IFERROR(__xludf.DUMMYFUNCTION("""COMPUTED_VALUE"""),42600)</f>
        <v>42600</v>
      </c>
      <c r="F973" s="2" t="str">
        <f ca="1">IFERROR(__xludf.DUMMYFUNCTION("""COMPUTED_VALUE"""),"Tinto")</f>
        <v>Tinto</v>
      </c>
      <c r="G973" s="2">
        <f ca="1">IFERROR(__xludf.DUMMYFUNCTION("""COMPUTED_VALUE"""),2700)</f>
        <v>2700</v>
      </c>
      <c r="H973" s="2">
        <f ca="1">IFERROR(__xludf.DUMMYFUNCTION("""COMPUTED_VALUE"""),9300)</f>
        <v>9300</v>
      </c>
      <c r="I973" s="2"/>
      <c r="J973" s="2"/>
      <c r="K973" s="2" t="str">
        <f ca="1">IFERROR(__xludf.DUMMYFUNCTION("""COMPUTED_VALUE"""),"2do Trasiego")</f>
        <v>2do Trasiego</v>
      </c>
      <c r="L973" s="2" t="str">
        <f ca="1">IFERROR(__xludf.DUMMYFUNCTION("""COMPUTED_VALUE"""),"1")</f>
        <v>1</v>
      </c>
      <c r="M973" s="2"/>
    </row>
    <row r="974" spans="1:13" x14ac:dyDescent="0.25">
      <c r="A974" s="2" t="str">
        <f ca="1">IFERROR(__xludf.DUMMYFUNCTION("""COMPUTED_VALUE"""),"9aa777e2")</f>
        <v>9aa777e2</v>
      </c>
      <c r="B974" s="2"/>
      <c r="C974" s="5">
        <f ca="1">IFERROR(__xludf.DUMMYFUNCTION("""COMPUTED_VALUE"""),45821.7562962963)</f>
        <v>45821.756296296298</v>
      </c>
      <c r="D974" s="2">
        <f ca="1">IFERROR(__xludf.DUMMYFUNCTION("""COMPUTED_VALUE"""),82)</f>
        <v>82</v>
      </c>
      <c r="E974" s="2">
        <f ca="1">IFERROR(__xludf.DUMMYFUNCTION("""COMPUTED_VALUE"""),42600)</f>
        <v>42600</v>
      </c>
      <c r="F974" s="2" t="str">
        <f ca="1">IFERROR(__xludf.DUMMYFUNCTION("""COMPUTED_VALUE"""),"Tinto")</f>
        <v>Tinto</v>
      </c>
      <c r="G974" s="2">
        <f ca="1">IFERROR(__xludf.DUMMYFUNCTION("""COMPUTED_VALUE"""),9300)</f>
        <v>9300</v>
      </c>
      <c r="H974" s="2">
        <f ca="1">IFERROR(__xludf.DUMMYFUNCTION("""COMPUTED_VALUE"""),11200)</f>
        <v>11200</v>
      </c>
      <c r="I974" s="2"/>
      <c r="J974" s="2"/>
      <c r="K974" s="2" t="str">
        <f ca="1">IFERROR(__xludf.DUMMYFUNCTION("""COMPUTED_VALUE"""),"2do Trasiego")</f>
        <v>2do Trasiego</v>
      </c>
      <c r="L974" s="2" t="str">
        <f ca="1">IFERROR(__xludf.DUMMYFUNCTION("""COMPUTED_VALUE"""),"1")</f>
        <v>1</v>
      </c>
      <c r="M974" s="2"/>
    </row>
    <row r="975" spans="1:13" x14ac:dyDescent="0.25">
      <c r="A975" s="2" t="str">
        <f ca="1">IFERROR(__xludf.DUMMYFUNCTION("""COMPUTED_VALUE"""),"fd98c394")</f>
        <v>fd98c394</v>
      </c>
      <c r="B975" s="2"/>
      <c r="C975" s="5">
        <f ca="1">IFERROR(__xludf.DUMMYFUNCTION("""COMPUTED_VALUE"""),45821.7565277777)</f>
        <v>45821.756527777703</v>
      </c>
      <c r="D975" s="2">
        <f ca="1">IFERROR(__xludf.DUMMYFUNCTION("""COMPUTED_VALUE"""),82)</f>
        <v>82</v>
      </c>
      <c r="E975" s="2">
        <f ca="1">IFERROR(__xludf.DUMMYFUNCTION("""COMPUTED_VALUE"""),42600)</f>
        <v>42600</v>
      </c>
      <c r="F975" s="2" t="str">
        <f ca="1">IFERROR(__xludf.DUMMYFUNCTION("""COMPUTED_VALUE"""),"Tinto")</f>
        <v>Tinto</v>
      </c>
      <c r="G975" s="2">
        <f ca="1">IFERROR(__xludf.DUMMYFUNCTION("""COMPUTED_VALUE"""),11200)</f>
        <v>11200</v>
      </c>
      <c r="H975" s="2">
        <f ca="1">IFERROR(__xludf.DUMMYFUNCTION("""COMPUTED_VALUE"""),13100)</f>
        <v>13100</v>
      </c>
      <c r="I975" s="2"/>
      <c r="J975" s="2"/>
      <c r="K975" s="2" t="str">
        <f ca="1">IFERROR(__xludf.DUMMYFUNCTION("""COMPUTED_VALUE"""),"2do Trasiego")</f>
        <v>2do Trasiego</v>
      </c>
      <c r="L975" s="2" t="str">
        <f ca="1">IFERROR(__xludf.DUMMYFUNCTION("""COMPUTED_VALUE"""),"1")</f>
        <v>1</v>
      </c>
      <c r="M975" s="2"/>
    </row>
    <row r="976" spans="1:13" x14ac:dyDescent="0.25">
      <c r="A976" s="2" t="str">
        <f ca="1">IFERROR(__xludf.DUMMYFUNCTION("""COMPUTED_VALUE"""),"ec34455c")</f>
        <v>ec34455c</v>
      </c>
      <c r="B976" s="2"/>
      <c r="C976" s="5">
        <f ca="1">IFERROR(__xludf.DUMMYFUNCTION("""COMPUTED_VALUE"""),45821.7567708333)</f>
        <v>45821.756770833301</v>
      </c>
      <c r="D976" s="2">
        <f ca="1">IFERROR(__xludf.DUMMYFUNCTION("""COMPUTED_VALUE"""),82)</f>
        <v>82</v>
      </c>
      <c r="E976" s="2">
        <f ca="1">IFERROR(__xludf.DUMMYFUNCTION("""COMPUTED_VALUE"""),42600)</f>
        <v>42600</v>
      </c>
      <c r="F976" s="2" t="str">
        <f ca="1">IFERROR(__xludf.DUMMYFUNCTION("""COMPUTED_VALUE"""),"Tinto")</f>
        <v>Tinto</v>
      </c>
      <c r="G976" s="2">
        <f ca="1">IFERROR(__xludf.DUMMYFUNCTION("""COMPUTED_VALUE"""),13100)</f>
        <v>13100</v>
      </c>
      <c r="H976" s="2">
        <f ca="1">IFERROR(__xludf.DUMMYFUNCTION("""COMPUTED_VALUE"""),20500)</f>
        <v>20500</v>
      </c>
      <c r="I976" s="2"/>
      <c r="J976" s="2"/>
      <c r="K976" s="2" t="str">
        <f ca="1">IFERROR(__xludf.DUMMYFUNCTION("""COMPUTED_VALUE"""),"2do Trasiego")</f>
        <v>2do Trasiego</v>
      </c>
      <c r="L976" s="2" t="str">
        <f ca="1">IFERROR(__xludf.DUMMYFUNCTION("""COMPUTED_VALUE"""),"1")</f>
        <v>1</v>
      </c>
      <c r="M976" s="2"/>
    </row>
    <row r="977" spans="1:13" x14ac:dyDescent="0.25">
      <c r="A977" s="2" t="str">
        <f ca="1">IFERROR(__xludf.DUMMYFUNCTION("""COMPUTED_VALUE"""),"10a0557e")</f>
        <v>10a0557e</v>
      </c>
      <c r="B977" s="2"/>
      <c r="C977" s="5">
        <f ca="1">IFERROR(__xludf.DUMMYFUNCTION("""COMPUTED_VALUE"""),45821.7571643518)</f>
        <v>45821.757164351802</v>
      </c>
      <c r="D977" s="2">
        <f ca="1">IFERROR(__xludf.DUMMYFUNCTION("""COMPUTED_VALUE"""),82)</f>
        <v>82</v>
      </c>
      <c r="E977" s="2">
        <f ca="1">IFERROR(__xludf.DUMMYFUNCTION("""COMPUTED_VALUE"""),42600)</f>
        <v>42600</v>
      </c>
      <c r="F977" s="2" t="str">
        <f ca="1">IFERROR(__xludf.DUMMYFUNCTION("""COMPUTED_VALUE"""),"Tinto")</f>
        <v>Tinto</v>
      </c>
      <c r="G977" s="2">
        <f ca="1">IFERROR(__xludf.DUMMYFUNCTION("""COMPUTED_VALUE"""),20500)</f>
        <v>20500</v>
      </c>
      <c r="H977" s="2">
        <f ca="1">IFERROR(__xludf.DUMMYFUNCTION("""COMPUTED_VALUE"""),31900)</f>
        <v>31900</v>
      </c>
      <c r="I977" s="2"/>
      <c r="J977" s="2"/>
      <c r="K977" s="2" t="str">
        <f ca="1">IFERROR(__xludf.DUMMYFUNCTION("""COMPUTED_VALUE"""),"2do Trasiego")</f>
        <v>2do Trasiego</v>
      </c>
      <c r="L977" s="2" t="str">
        <f ca="1">IFERROR(__xludf.DUMMYFUNCTION("""COMPUTED_VALUE"""),"1")</f>
        <v>1</v>
      </c>
      <c r="M977" s="2"/>
    </row>
    <row r="978" spans="1:13" x14ac:dyDescent="0.25">
      <c r="A978" s="2" t="str">
        <f ca="1">IFERROR(__xludf.DUMMYFUNCTION("""COMPUTED_VALUE"""),"159aadce")</f>
        <v>159aadce</v>
      </c>
      <c r="B978" s="2"/>
      <c r="C978" s="5">
        <f ca="1">IFERROR(__xludf.DUMMYFUNCTION("""COMPUTED_VALUE"""),45821.7574305555)</f>
        <v>45821.757430555503</v>
      </c>
      <c r="D978" s="2">
        <f ca="1">IFERROR(__xludf.DUMMYFUNCTION("""COMPUTED_VALUE"""),82)</f>
        <v>82</v>
      </c>
      <c r="E978" s="2">
        <f ca="1">IFERROR(__xludf.DUMMYFUNCTION("""COMPUTED_VALUE"""),42600)</f>
        <v>42600</v>
      </c>
      <c r="F978" s="2" t="str">
        <f ca="1">IFERROR(__xludf.DUMMYFUNCTION("""COMPUTED_VALUE"""),"Tinto")</f>
        <v>Tinto</v>
      </c>
      <c r="G978" s="2">
        <f ca="1">IFERROR(__xludf.DUMMYFUNCTION("""COMPUTED_VALUE"""),31900)</f>
        <v>31900</v>
      </c>
      <c r="H978" s="2">
        <f ca="1">IFERROR(__xludf.DUMMYFUNCTION("""COMPUTED_VALUE"""),42600)</f>
        <v>42600</v>
      </c>
      <c r="I978" s="2"/>
      <c r="J978" s="2"/>
      <c r="K978" s="2" t="str">
        <f ca="1">IFERROR(__xludf.DUMMYFUNCTION("""COMPUTED_VALUE"""),"2do Trasiego")</f>
        <v>2do Trasiego</v>
      </c>
      <c r="L978" s="2" t="str">
        <f ca="1">IFERROR(__xludf.DUMMYFUNCTION("""COMPUTED_VALUE"""),"1")</f>
        <v>1</v>
      </c>
      <c r="M978" s="2"/>
    </row>
    <row r="979" spans="1:13" x14ac:dyDescent="0.25">
      <c r="A979" s="2" t="str">
        <f ca="1">IFERROR(__xludf.DUMMYFUNCTION("""COMPUTED_VALUE"""),"9b47717c")</f>
        <v>9b47717c</v>
      </c>
      <c r="B979" s="2"/>
      <c r="C979" s="5">
        <f ca="1">IFERROR(__xludf.DUMMYFUNCTION("""COMPUTED_VALUE"""),45821.7598842591)</f>
        <v>45821.759884259198</v>
      </c>
      <c r="D979" s="2">
        <f ca="1">IFERROR(__xludf.DUMMYFUNCTION("""COMPUTED_VALUE"""),46)</f>
        <v>46</v>
      </c>
      <c r="E979" s="2">
        <f ca="1">IFERROR(__xludf.DUMMYFUNCTION("""COMPUTED_VALUE"""),29000)</f>
        <v>29000</v>
      </c>
      <c r="F979" s="2" t="str">
        <f ca="1">IFERROR(__xludf.DUMMYFUNCTION("""COMPUTED_VALUE"""),"Bonarda")</f>
        <v>Bonarda</v>
      </c>
      <c r="G979" s="2">
        <f ca="1">IFERROR(__xludf.DUMMYFUNCTION("""COMPUTED_VALUE"""),24600)</f>
        <v>24600</v>
      </c>
      <c r="H979" s="2">
        <f ca="1">IFERROR(__xludf.DUMMYFUNCTION("""COMPUTED_VALUE"""),29000)</f>
        <v>29000</v>
      </c>
      <c r="I979" s="2"/>
      <c r="J979" s="2"/>
      <c r="K979" s="2" t="str">
        <f ca="1">IFERROR(__xludf.DUMMYFUNCTION("""COMPUTED_VALUE"""),"2do Trasiego")</f>
        <v>2do Trasiego</v>
      </c>
      <c r="L979" s="2" t="str">
        <f ca="1">IFERROR(__xludf.DUMMYFUNCTION("""COMPUTED_VALUE"""),"1")</f>
        <v>1</v>
      </c>
      <c r="M979" s="2" t="str">
        <f ca="1">IFERROR(__xludf.DUMMYFUNCTION("""COMPUTED_VALUE"""),"Tinto")</f>
        <v>Tinto</v>
      </c>
    </row>
    <row r="980" spans="1:13" x14ac:dyDescent="0.25">
      <c r="A980" s="2" t="str">
        <f ca="1">IFERROR(__xludf.DUMMYFUNCTION("""COMPUTED_VALUE"""),"5f7e8218")</f>
        <v>5f7e8218</v>
      </c>
      <c r="B980" s="2"/>
      <c r="C980" s="5">
        <f ca="1">IFERROR(__xludf.DUMMYFUNCTION("""COMPUTED_VALUE"""),45821.7600462962)</f>
        <v>45821.7600462962</v>
      </c>
      <c r="D980" s="2">
        <f ca="1">IFERROR(__xludf.DUMMYFUNCTION("""COMPUTED_VALUE"""),72)</f>
        <v>72</v>
      </c>
      <c r="E980" s="2">
        <f ca="1">IFERROR(__xludf.DUMMYFUNCTION("""COMPUTED_VALUE"""),13000)</f>
        <v>13000</v>
      </c>
      <c r="F980" s="2" t="str">
        <f ca="1">IFERROR(__xludf.DUMMYFUNCTION("""COMPUTED_VALUE"""),"Syrah Tempranillo")</f>
        <v>Syrah Tempranillo</v>
      </c>
      <c r="G980" s="2">
        <f ca="1">IFERROR(__xludf.DUMMYFUNCTION("""COMPUTED_VALUE"""),11800)</f>
        <v>11800</v>
      </c>
      <c r="H980" s="2">
        <f ca="1">IFERROR(__xludf.DUMMYFUNCTION("""COMPUTED_VALUE"""),13000)</f>
        <v>13000</v>
      </c>
      <c r="I980" s="2"/>
      <c r="J980" s="2"/>
      <c r="K980" s="2" t="str">
        <f ca="1">IFERROR(__xludf.DUMMYFUNCTION("""COMPUTED_VALUE"""),"2do Trasiego")</f>
        <v>2do Trasiego</v>
      </c>
      <c r="L980" s="2" t="str">
        <f ca="1">IFERROR(__xludf.DUMMYFUNCTION("""COMPUTED_VALUE"""),"1+")</f>
        <v>1+</v>
      </c>
      <c r="M980" s="2" t="str">
        <f ca="1">IFERROR(__xludf.DUMMYFUNCTION("""COMPUTED_VALUE"""),"Tinto")</f>
        <v>Tinto</v>
      </c>
    </row>
    <row r="981" spans="1:13" x14ac:dyDescent="0.25">
      <c r="A981" s="2" t="str">
        <f ca="1">IFERROR(__xludf.DUMMYFUNCTION("""COMPUTED_VALUE"""),"65584c29")</f>
        <v>65584c29</v>
      </c>
      <c r="B981" s="2"/>
      <c r="C981" s="5">
        <f ca="1">IFERROR(__xludf.DUMMYFUNCTION("""COMPUTED_VALUE"""),45821.7624768518)</f>
        <v>45821.7624768518</v>
      </c>
      <c r="D981" s="2">
        <f ca="1">IFERROR(__xludf.DUMMYFUNCTION("""COMPUTED_VALUE"""),26)</f>
        <v>26</v>
      </c>
      <c r="E981" s="2">
        <f ca="1">IFERROR(__xludf.DUMMYFUNCTION("""COMPUTED_VALUE"""),207600)</f>
        <v>207600</v>
      </c>
      <c r="F981" s="2" t="str">
        <f ca="1">IFERROR(__xludf.DUMMYFUNCTION("""COMPUTED_VALUE"""),"Tinto")</f>
        <v>Tinto</v>
      </c>
      <c r="G981" s="2">
        <f ca="1">IFERROR(__xludf.DUMMYFUNCTION("""COMPUTED_VALUE"""),203000)</f>
        <v>203000</v>
      </c>
      <c r="H981" s="2">
        <f ca="1">IFERROR(__xludf.DUMMYFUNCTION("""COMPUTED_VALUE"""),204400)</f>
        <v>204400</v>
      </c>
      <c r="I981" s="2"/>
      <c r="J981" s="2"/>
      <c r="K981" s="2" t="str">
        <f ca="1">IFERROR(__xludf.DUMMYFUNCTION("""COMPUTED_VALUE"""),"2do Trasiego")</f>
        <v>2do Trasiego</v>
      </c>
      <c r="L981" s="2" t="str">
        <f ca="1">IFERROR(__xludf.DUMMYFUNCTION("""COMPUTED_VALUE"""),"1")</f>
        <v>1</v>
      </c>
      <c r="M981" s="2"/>
    </row>
    <row r="982" spans="1:13" x14ac:dyDescent="0.25">
      <c r="A982" s="2" t="str">
        <f ca="1">IFERROR(__xludf.DUMMYFUNCTION("""COMPUTED_VALUE"""),"3b8e29c8")</f>
        <v>3b8e29c8</v>
      </c>
      <c r="B982" s="2"/>
      <c r="C982" s="5">
        <f ca="1">IFERROR(__xludf.DUMMYFUNCTION("""COMPUTED_VALUE"""),45821.7627777777)</f>
        <v>45821.762777777702</v>
      </c>
      <c r="D982" s="2">
        <f ca="1">IFERROR(__xludf.DUMMYFUNCTION("""COMPUTED_VALUE"""),26)</f>
        <v>26</v>
      </c>
      <c r="E982" s="2">
        <f ca="1">IFERROR(__xludf.DUMMYFUNCTION("""COMPUTED_VALUE"""),207600)</f>
        <v>207600</v>
      </c>
      <c r="F982" s="2" t="str">
        <f ca="1">IFERROR(__xludf.DUMMYFUNCTION("""COMPUTED_VALUE"""),"Tinto")</f>
        <v>Tinto</v>
      </c>
      <c r="G982" s="2">
        <f ca="1">IFERROR(__xludf.DUMMYFUNCTION("""COMPUTED_VALUE"""),204400)</f>
        <v>204400</v>
      </c>
      <c r="H982" s="2">
        <f ca="1">IFERROR(__xludf.DUMMYFUNCTION("""COMPUTED_VALUE"""),206500)</f>
        <v>206500</v>
      </c>
      <c r="I982" s="2"/>
      <c r="J982" s="2"/>
      <c r="K982" s="2" t="str">
        <f ca="1">IFERROR(__xludf.DUMMYFUNCTION("""COMPUTED_VALUE"""),"2do Trasiego")</f>
        <v>2do Trasiego</v>
      </c>
      <c r="L982" s="2" t="str">
        <f ca="1">IFERROR(__xludf.DUMMYFUNCTION("""COMPUTED_VALUE"""),"1")</f>
        <v>1</v>
      </c>
      <c r="M982" s="2"/>
    </row>
    <row r="983" spans="1:13" x14ac:dyDescent="0.25">
      <c r="A983" s="2" t="str">
        <f ca="1">IFERROR(__xludf.DUMMYFUNCTION("""COMPUTED_VALUE"""),"a37dae6b")</f>
        <v>a37dae6b</v>
      </c>
      <c r="B983" s="2"/>
      <c r="C983" s="5">
        <f ca="1">IFERROR(__xludf.DUMMYFUNCTION("""COMPUTED_VALUE"""),45821.7630324074)</f>
        <v>45821.763032407398</v>
      </c>
      <c r="D983" s="2">
        <f ca="1">IFERROR(__xludf.DUMMYFUNCTION("""COMPUTED_VALUE"""),26)</f>
        <v>26</v>
      </c>
      <c r="E983" s="2">
        <f ca="1">IFERROR(__xludf.DUMMYFUNCTION("""COMPUTED_VALUE"""),207600)</f>
        <v>207600</v>
      </c>
      <c r="F983" s="2" t="str">
        <f ca="1">IFERROR(__xludf.DUMMYFUNCTION("""COMPUTED_VALUE"""),"Tinto")</f>
        <v>Tinto</v>
      </c>
      <c r="G983" s="2">
        <f ca="1">IFERROR(__xludf.DUMMYFUNCTION("""COMPUTED_VALUE"""),206500)</f>
        <v>206500</v>
      </c>
      <c r="H983" s="2">
        <f ca="1">IFERROR(__xludf.DUMMYFUNCTION("""COMPUTED_VALUE"""),207600)</f>
        <v>207600</v>
      </c>
      <c r="I983" s="2"/>
      <c r="J983" s="2"/>
      <c r="K983" s="2" t="str">
        <f ca="1">IFERROR(__xludf.DUMMYFUNCTION("""COMPUTED_VALUE"""),"2do Trasiego")</f>
        <v>2do Trasiego</v>
      </c>
      <c r="L983" s="2" t="str">
        <f ca="1">IFERROR(__xludf.DUMMYFUNCTION("""COMPUTED_VALUE"""),"1")</f>
        <v>1</v>
      </c>
      <c r="M983" s="2" t="str">
        <f ca="1">IFERROR(__xludf.DUMMYFUNCTION("""COMPUTED_VALUE"""),"Tinto")</f>
        <v>Tinto</v>
      </c>
    </row>
    <row r="984" spans="1:13" x14ac:dyDescent="0.25">
      <c r="A984" s="2" t="str">
        <f ca="1">IFERROR(__xludf.DUMMYFUNCTION("""COMPUTED_VALUE"""),"1b1e47bd")</f>
        <v>1b1e47bd</v>
      </c>
      <c r="B984" s="2"/>
      <c r="C984" s="5">
        <f ca="1">IFERROR(__xludf.DUMMYFUNCTION("""COMPUTED_VALUE"""),45825.538761574)</f>
        <v>45825.538761573996</v>
      </c>
      <c r="D984" s="2">
        <f ca="1">IFERROR(__xludf.DUMMYFUNCTION("""COMPUTED_VALUE"""),500)</f>
        <v>500</v>
      </c>
      <c r="E984" s="2">
        <f ca="1">IFERROR(__xludf.DUMMYFUNCTION("""COMPUTED_VALUE"""),200000)</f>
        <v>200000</v>
      </c>
      <c r="F984" s="2" t="str">
        <f ca="1">IFERROR(__xludf.DUMMYFUNCTION("""COMPUTED_VALUE"""),"Ajuste Arqueo 17/06/2025")</f>
        <v>Ajuste Arqueo 17/06/2025</v>
      </c>
      <c r="G984" s="2"/>
      <c r="H984" s="2">
        <f ca="1">IFERROR(__xludf.DUMMYFUNCTION("""COMPUTED_VALUE"""),1)</f>
        <v>1</v>
      </c>
      <c r="I984" s="2"/>
      <c r="J984" s="2"/>
      <c r="K984" s="2"/>
      <c r="L984" s="2"/>
      <c r="M984" s="2"/>
    </row>
    <row r="985" spans="1:13" x14ac:dyDescent="0.25">
      <c r="A985" s="2" t="str">
        <f ca="1">IFERROR(__xludf.DUMMYFUNCTION("""COMPUTED_VALUE"""),"6998d133")</f>
        <v>6998d133</v>
      </c>
      <c r="B985" s="2"/>
      <c r="C985" s="5">
        <f ca="1">IFERROR(__xludf.DUMMYFUNCTION("""COMPUTED_VALUE"""),45825.54)</f>
        <v>45825.54</v>
      </c>
      <c r="D985" s="2">
        <f ca="1">IFERROR(__xludf.DUMMYFUNCTION("""COMPUTED_VALUE"""),500)</f>
        <v>500</v>
      </c>
      <c r="E985" s="2">
        <f ca="1">IFERROR(__xludf.DUMMYFUNCTION("""COMPUTED_VALUE"""),200000)</f>
        <v>200000</v>
      </c>
      <c r="F985" s="2" t="str">
        <f ca="1">IFERROR(__xludf.DUMMYFUNCTION("""COMPUTED_VALUE"""),"Ajuste Arqueo 17/06/2025")</f>
        <v>Ajuste Arqueo 17/06/2025</v>
      </c>
      <c r="G985" s="2">
        <f ca="1">IFERROR(__xludf.DUMMYFUNCTION("""COMPUTED_VALUE"""),1)</f>
        <v>1</v>
      </c>
      <c r="H985" s="2">
        <f ca="1">IFERROR(__xludf.DUMMYFUNCTION("""COMPUTED_VALUE"""),2701)</f>
        <v>2701</v>
      </c>
      <c r="I985" s="2"/>
      <c r="J985" s="2"/>
      <c r="K985" s="2"/>
      <c r="L985" s="2"/>
      <c r="M985" s="2"/>
    </row>
    <row r="986" spans="1:13" x14ac:dyDescent="0.25">
      <c r="A986" s="2" t="str">
        <f ca="1">IFERROR(__xludf.DUMMYFUNCTION("""COMPUTED_VALUE"""),"1a738e1d")</f>
        <v>1a738e1d</v>
      </c>
      <c r="B986" s="2"/>
      <c r="C986" s="5">
        <f ca="1">IFERROR(__xludf.DUMMYFUNCTION("""COMPUTED_VALUE"""),45825.5402777777)</f>
        <v>45825.540277777698</v>
      </c>
      <c r="D986" s="2">
        <f ca="1">IFERROR(__xludf.DUMMYFUNCTION("""COMPUTED_VALUE"""),500)</f>
        <v>500</v>
      </c>
      <c r="E986" s="2">
        <f ca="1">IFERROR(__xludf.DUMMYFUNCTION("""COMPUTED_VALUE"""),200000)</f>
        <v>200000</v>
      </c>
      <c r="F986" s="2" t="str">
        <f ca="1">IFERROR(__xludf.DUMMYFUNCTION("""COMPUTED_VALUE"""),"Ajuste Arqueo 17/06/2025")</f>
        <v>Ajuste Arqueo 17/06/2025</v>
      </c>
      <c r="G986" s="2">
        <f ca="1">IFERROR(__xludf.DUMMYFUNCTION("""COMPUTED_VALUE"""),2701)</f>
        <v>2701</v>
      </c>
      <c r="H986" s="2">
        <f ca="1">IFERROR(__xludf.DUMMYFUNCTION("""COMPUTED_VALUE"""),9901)</f>
        <v>9901</v>
      </c>
      <c r="I986" s="2" t="str">
        <f ca="1">IFERROR(__xludf.DUMMYFUNCTION("""COMPUTED_VALUE"""),"Diferencia Arqueo 17/6/25 faltaron 9900 lts, no esta claro porque?")</f>
        <v>Diferencia Arqueo 17/6/25 faltaron 9900 lts, no esta claro porque?</v>
      </c>
      <c r="J986" s="2"/>
      <c r="K986" s="2"/>
      <c r="L986" s="2"/>
      <c r="M986" s="2"/>
    </row>
    <row r="987" spans="1:13" x14ac:dyDescent="0.25">
      <c r="A987" s="2" t="str">
        <f ca="1">IFERROR(__xludf.DUMMYFUNCTION("""COMPUTED_VALUE"""),"539224d6")</f>
        <v>539224d6</v>
      </c>
      <c r="B987" s="2"/>
      <c r="C987" s="5">
        <f ca="1">IFERROR(__xludf.DUMMYFUNCTION("""COMPUTED_VALUE"""),45827.7640277777)</f>
        <v>45827.764027777703</v>
      </c>
      <c r="D987" s="2">
        <f ca="1">IFERROR(__xludf.DUMMYFUNCTION("""COMPUTED_VALUE"""),82)</f>
        <v>82</v>
      </c>
      <c r="E987" s="2">
        <f ca="1">IFERROR(__xludf.DUMMYFUNCTION("""COMPUTED_VALUE"""),42600)</f>
        <v>42600</v>
      </c>
      <c r="F987" s="2" t="str">
        <f ca="1">IFERROR(__xludf.DUMMYFUNCTION("""COMPUTED_VALUE"""),"Tinto")</f>
        <v>Tinto</v>
      </c>
      <c r="G987" s="2">
        <f ca="1">IFERROR(__xludf.DUMMYFUNCTION("""COMPUTED_VALUE"""),39900)</f>
        <v>39900</v>
      </c>
      <c r="H987" s="2">
        <f ca="1">IFERROR(__xludf.DUMMYFUNCTION("""COMPUTED_VALUE"""),42600)</f>
        <v>42600</v>
      </c>
      <c r="I987" s="2"/>
      <c r="J987" s="2"/>
      <c r="K987" s="2" t="str">
        <f ca="1">IFERROR(__xludf.DUMMYFUNCTION("""COMPUTED_VALUE"""),"2do Trasiego")</f>
        <v>2do Trasiego</v>
      </c>
      <c r="L987" s="2" t="str">
        <f ca="1">IFERROR(__xludf.DUMMYFUNCTION("""COMPUTED_VALUE"""),"1")</f>
        <v>1</v>
      </c>
      <c r="M987" s="2" t="str">
        <f ca="1">IFERROR(__xludf.DUMMYFUNCTION("""COMPUTED_VALUE"""),"Tinto")</f>
        <v>Tinto</v>
      </c>
    </row>
    <row r="988" spans="1:13" x14ac:dyDescent="0.25">
      <c r="A988" s="2" t="str">
        <f ca="1">IFERROR(__xludf.DUMMYFUNCTION("""COMPUTED_VALUE"""),"d93b980f")</f>
        <v>d93b980f</v>
      </c>
      <c r="B988" s="2"/>
      <c r="C988" s="5">
        <f ca="1">IFERROR(__xludf.DUMMYFUNCTION("""COMPUTED_VALUE"""),45827.7653125)</f>
        <v>45827.7653125</v>
      </c>
      <c r="D988" s="2">
        <f ca="1">IFERROR(__xludf.DUMMYFUNCTION("""COMPUTED_VALUE"""),500)</f>
        <v>500</v>
      </c>
      <c r="E988" s="2">
        <f ca="1">IFERROR(__xludf.DUMMYFUNCTION("""COMPUTED_VALUE"""),200000)</f>
        <v>200000</v>
      </c>
      <c r="F988" s="2" t="str">
        <f ca="1">IFERROR(__xludf.DUMMYFUNCTION("""COMPUTED_VALUE"""),"Malbec Montecepas 24 - fraccionamiento bolsas 3 lts x 100")</f>
        <v>Malbec Montecepas 24 - fraccionamiento bolsas 3 lts x 100</v>
      </c>
      <c r="G988" s="2">
        <f ca="1">IFERROR(__xludf.DUMMYFUNCTION("""COMPUTED_VALUE"""),0)</f>
        <v>0</v>
      </c>
      <c r="H988" s="2">
        <f ca="1">IFERROR(__xludf.DUMMYFUNCTION("""COMPUTED_VALUE"""),300)</f>
        <v>300</v>
      </c>
      <c r="I988" s="2" t="str">
        <f ca="1">IFERROR(__xludf.DUMMYFUNCTION("""COMPUTED_VALUE"""),"Malbec Montecepas 24 - fraccionamiento bolsas 3 lts x 100")</f>
        <v>Malbec Montecepas 24 - fraccionamiento bolsas 3 lts x 100</v>
      </c>
      <c r="J988" s="2"/>
      <c r="K988" s="2" t="str">
        <f ca="1">IFERROR(__xludf.DUMMYFUNCTION("""COMPUTED_VALUE"""),"Terminado")</f>
        <v>Terminado</v>
      </c>
      <c r="L988" s="2"/>
      <c r="M988" s="2"/>
    </row>
    <row r="989" spans="1:13" x14ac:dyDescent="0.25">
      <c r="A989" s="2" t="str">
        <f ca="1">IFERROR(__xludf.DUMMYFUNCTION("""COMPUTED_VALUE"""),"f5100dbb")</f>
        <v>f5100dbb</v>
      </c>
      <c r="B989" s="2"/>
      <c r="C989" s="5">
        <f ca="1">IFERROR(__xludf.DUMMYFUNCTION("""COMPUTED_VALUE"""),45827.7661342592)</f>
        <v>45827.766134259196</v>
      </c>
      <c r="D989" s="2">
        <f ca="1">IFERROR(__xludf.DUMMYFUNCTION("""COMPUTED_VALUE"""),6)</f>
        <v>6</v>
      </c>
      <c r="E989" s="2">
        <f ca="1">IFERROR(__xludf.DUMMYFUNCTION("""COMPUTED_VALUE"""),32000)</f>
        <v>32000</v>
      </c>
      <c r="F989" s="2" t="str">
        <f ca="1">IFERROR(__xludf.DUMMYFUNCTION("""COMPUTED_VALUE"""),"Syrah Rectificado")</f>
        <v>Syrah Rectificado</v>
      </c>
      <c r="G989" s="2">
        <f ca="1">IFERROR(__xludf.DUMMYFUNCTION("""COMPUTED_VALUE"""),29300)</f>
        <v>29300</v>
      </c>
      <c r="H989" s="2">
        <f ca="1">IFERROR(__xludf.DUMMYFUNCTION("""COMPUTED_VALUE"""),29000)</f>
        <v>29000</v>
      </c>
      <c r="I989" s="2"/>
      <c r="J989" s="2"/>
      <c r="K989" s="2" t="str">
        <f ca="1">IFERROR(__xludf.DUMMYFUNCTION("""COMPUTED_VALUE"""),"Rectificado")</f>
        <v>Rectificado</v>
      </c>
      <c r="L989" s="2" t="str">
        <f ca="1">IFERROR(__xludf.DUMMYFUNCTION("""COMPUTED_VALUE"""),"1")</f>
        <v>1</v>
      </c>
      <c r="M989" s="2"/>
    </row>
    <row r="990" spans="1:13" x14ac:dyDescent="0.25">
      <c r="A990" s="2" t="str">
        <f ca="1">IFERROR(__xludf.DUMMYFUNCTION("""COMPUTED_VALUE"""),"0749b537")</f>
        <v>0749b537</v>
      </c>
      <c r="B990" s="2"/>
      <c r="C990" s="5">
        <f ca="1">IFERROR(__xludf.DUMMYFUNCTION("""COMPUTED_VALUE"""),45827.7667824074)</f>
        <v>45827.766782407401</v>
      </c>
      <c r="D990" s="2">
        <f ca="1">IFERROR(__xludf.DUMMYFUNCTION("""COMPUTED_VALUE"""),6)</f>
        <v>6</v>
      </c>
      <c r="E990" s="2">
        <f ca="1">IFERROR(__xludf.DUMMYFUNCTION("""COMPUTED_VALUE"""),32000)</f>
        <v>32000</v>
      </c>
      <c r="F990" s="2" t="str">
        <f ca="1">IFERROR(__xludf.DUMMYFUNCTION("""COMPUTED_VALUE"""),"Syrah Rectificado")</f>
        <v>Syrah Rectificado</v>
      </c>
      <c r="G990" s="2">
        <f ca="1">IFERROR(__xludf.DUMMYFUNCTION("""COMPUTED_VALUE"""),29000)</f>
        <v>29000</v>
      </c>
      <c r="H990" s="2">
        <f ca="1">IFERROR(__xludf.DUMMYFUNCTION("""COMPUTED_VALUE"""),32000)</f>
        <v>32000</v>
      </c>
      <c r="I990" s="2"/>
      <c r="J990" s="2"/>
      <c r="K990" s="2" t="str">
        <f ca="1">IFERROR(__xludf.DUMMYFUNCTION("""COMPUTED_VALUE"""),"Rectificado")</f>
        <v>Rectificado</v>
      </c>
      <c r="L990" s="2" t="str">
        <f ca="1">IFERROR(__xludf.DUMMYFUNCTION("""COMPUTED_VALUE"""),"1")</f>
        <v>1</v>
      </c>
      <c r="M990" s="2"/>
    </row>
    <row r="991" spans="1:13" x14ac:dyDescent="0.25">
      <c r="A991" s="2" t="str">
        <f ca="1">IFERROR(__xludf.DUMMYFUNCTION("""COMPUTED_VALUE"""),"b05164fd")</f>
        <v>b05164fd</v>
      </c>
      <c r="B991" s="2"/>
      <c r="C991" s="5">
        <f ca="1">IFERROR(__xludf.DUMMYFUNCTION("""COMPUTED_VALUE"""),45834.3578703703)</f>
        <v>45834.357870370302</v>
      </c>
      <c r="D991" s="2">
        <f ca="1">IFERROR(__xludf.DUMMYFUNCTION("""COMPUTED_VALUE"""),87)</f>
        <v>87</v>
      </c>
      <c r="E991" s="2">
        <f ca="1">IFERROR(__xludf.DUMMYFUNCTION("""COMPUTED_VALUE"""),93700)</f>
        <v>93700</v>
      </c>
      <c r="F991" s="2" t="str">
        <f ca="1">IFERROR(__xludf.DUMMYFUNCTION("""COMPUTED_VALUE"""),"Syrah")</f>
        <v>Syrah</v>
      </c>
      <c r="G991" s="2">
        <f ca="1">IFERROR(__xludf.DUMMYFUNCTION("""COMPUTED_VALUE"""),0)</f>
        <v>0</v>
      </c>
      <c r="H991" s="2">
        <f ca="1">IFERROR(__xludf.DUMMYFUNCTION("""COMPUTED_VALUE"""),46600)</f>
        <v>46600</v>
      </c>
      <c r="I991" s="2"/>
      <c r="J991" s="2"/>
      <c r="K991" s="2" t="str">
        <f ca="1">IFERROR(__xludf.DUMMYFUNCTION("""COMPUTED_VALUE"""),"2do Trasiego")</f>
        <v>2do Trasiego</v>
      </c>
      <c r="L991" s="2" t="str">
        <f ca="1">IFERROR(__xludf.DUMMYFUNCTION("""COMPUTED_VALUE"""),"1-")</f>
        <v>1-</v>
      </c>
      <c r="M991" s="2"/>
    </row>
    <row r="992" spans="1:13" x14ac:dyDescent="0.25">
      <c r="A992" s="2" t="str">
        <f ca="1">IFERROR(__xludf.DUMMYFUNCTION("""COMPUTED_VALUE"""),"3caa5d42")</f>
        <v>3caa5d42</v>
      </c>
      <c r="B992" s="2"/>
      <c r="C992" s="5">
        <f ca="1">IFERROR(__xludf.DUMMYFUNCTION("""COMPUTED_VALUE"""),45834.3586805555)</f>
        <v>45834.358680555502</v>
      </c>
      <c r="D992" s="2">
        <f ca="1">IFERROR(__xludf.DUMMYFUNCTION("""COMPUTED_VALUE"""),86)</f>
        <v>86</v>
      </c>
      <c r="E992" s="2">
        <f ca="1">IFERROR(__xludf.DUMMYFUNCTION("""COMPUTED_VALUE"""),88000)</f>
        <v>88000</v>
      </c>
      <c r="F992" s="2" t="str">
        <f ca="1">IFERROR(__xludf.DUMMYFUNCTION("""COMPUTED_VALUE"""),"Syrah")</f>
        <v>Syrah</v>
      </c>
      <c r="G992" s="2">
        <f ca="1">IFERROR(__xludf.DUMMYFUNCTION("""COMPUTED_VALUE"""),0)</f>
        <v>0</v>
      </c>
      <c r="H992" s="2">
        <f ca="1">IFERROR(__xludf.DUMMYFUNCTION("""COMPUTED_VALUE"""),44600)</f>
        <v>44600</v>
      </c>
      <c r="I992" s="2"/>
      <c r="J992" s="2"/>
      <c r="K992" s="2" t="str">
        <f ca="1">IFERROR(__xludf.DUMMYFUNCTION("""COMPUTED_VALUE"""),"2do Trasiego")</f>
        <v>2do Trasiego</v>
      </c>
      <c r="L992" s="2" t="str">
        <f ca="1">IFERROR(__xludf.DUMMYFUNCTION("""COMPUTED_VALUE"""),"1-")</f>
        <v>1-</v>
      </c>
      <c r="M992" s="2"/>
    </row>
    <row r="993" spans="1:13" x14ac:dyDescent="0.25">
      <c r="A993" s="2" t="str">
        <f ca="1">IFERROR(__xludf.DUMMYFUNCTION("""COMPUTED_VALUE"""),"9bf6cbc3")</f>
        <v>9bf6cbc3</v>
      </c>
      <c r="B993" s="2"/>
      <c r="C993" s="5">
        <f ca="1">IFERROR(__xludf.DUMMYFUNCTION("""COMPUTED_VALUE"""),45834.3593634259)</f>
        <v>45834.359363425901</v>
      </c>
      <c r="D993" s="2">
        <f ca="1">IFERROR(__xludf.DUMMYFUNCTION("""COMPUTED_VALUE"""),87)</f>
        <v>87</v>
      </c>
      <c r="E993" s="2">
        <f ca="1">IFERROR(__xludf.DUMMYFUNCTION("""COMPUTED_VALUE"""),93700)</f>
        <v>93700</v>
      </c>
      <c r="F993" s="2" t="str">
        <f ca="1">IFERROR(__xludf.DUMMYFUNCTION("""COMPUTED_VALUE"""),"Syrah")</f>
        <v>Syrah</v>
      </c>
      <c r="G993" s="2">
        <f ca="1">IFERROR(__xludf.DUMMYFUNCTION("""COMPUTED_VALUE"""),46600)</f>
        <v>46600</v>
      </c>
      <c r="H993" s="2">
        <f ca="1">IFERROR(__xludf.DUMMYFUNCTION("""COMPUTED_VALUE"""),67100)</f>
        <v>67100</v>
      </c>
      <c r="I993" s="2"/>
      <c r="J993" s="2"/>
      <c r="K993" s="2" t="str">
        <f ca="1">IFERROR(__xludf.DUMMYFUNCTION("""COMPUTED_VALUE"""),"2do Trasiego")</f>
        <v>2do Trasiego</v>
      </c>
      <c r="L993" s="2" t="str">
        <f ca="1">IFERROR(__xludf.DUMMYFUNCTION("""COMPUTED_VALUE"""),"1-")</f>
        <v>1-</v>
      </c>
      <c r="M993" s="2"/>
    </row>
    <row r="994" spans="1:13" x14ac:dyDescent="0.25">
      <c r="A994" s="2" t="str">
        <f ca="1">IFERROR(__xludf.DUMMYFUNCTION("""COMPUTED_VALUE"""),"dc00855e")</f>
        <v>dc00855e</v>
      </c>
      <c r="B994" s="2"/>
      <c r="C994" s="5">
        <f ca="1">IFERROR(__xludf.DUMMYFUNCTION("""COMPUTED_VALUE"""),45834.3604282407)</f>
        <v>45834.360428240703</v>
      </c>
      <c r="D994" s="2">
        <f ca="1">IFERROR(__xludf.DUMMYFUNCTION("""COMPUTED_VALUE"""),86)</f>
        <v>86</v>
      </c>
      <c r="E994" s="2">
        <f ca="1">IFERROR(__xludf.DUMMYFUNCTION("""COMPUTED_VALUE"""),88000)</f>
        <v>88000</v>
      </c>
      <c r="F994" s="2" t="str">
        <f ca="1">IFERROR(__xludf.DUMMYFUNCTION("""COMPUTED_VALUE"""),"Syrah")</f>
        <v>Syrah</v>
      </c>
      <c r="G994" s="2">
        <f ca="1">IFERROR(__xludf.DUMMYFUNCTION("""COMPUTED_VALUE"""),44600)</f>
        <v>44600</v>
      </c>
      <c r="H994" s="2">
        <f ca="1">IFERROR(__xludf.DUMMYFUNCTION("""COMPUTED_VALUE"""),64200)</f>
        <v>64200</v>
      </c>
      <c r="I994" s="2"/>
      <c r="J994" s="2"/>
      <c r="K994" s="2" t="str">
        <f ca="1">IFERROR(__xludf.DUMMYFUNCTION("""COMPUTED_VALUE"""),"2do Trasiego")</f>
        <v>2do Trasiego</v>
      </c>
      <c r="L994" s="2" t="str">
        <f ca="1">IFERROR(__xludf.DUMMYFUNCTION("""COMPUTED_VALUE"""),"1-")</f>
        <v>1-</v>
      </c>
      <c r="M994" s="2"/>
    </row>
    <row r="995" spans="1:13" x14ac:dyDescent="0.25">
      <c r="A995" s="2" t="str">
        <f ca="1">IFERROR(__xludf.DUMMYFUNCTION("""COMPUTED_VALUE"""),"0eb090f9")</f>
        <v>0eb090f9</v>
      </c>
      <c r="B995" s="2"/>
      <c r="C995" s="5">
        <f ca="1">IFERROR(__xludf.DUMMYFUNCTION("""COMPUTED_VALUE"""),45834.3609027777)</f>
        <v>45834.360902777698</v>
      </c>
      <c r="D995" s="2">
        <f ca="1">IFERROR(__xludf.DUMMYFUNCTION("""COMPUTED_VALUE"""),87)</f>
        <v>87</v>
      </c>
      <c r="E995" s="2">
        <f ca="1">IFERROR(__xludf.DUMMYFUNCTION("""COMPUTED_VALUE"""),93700)</f>
        <v>93700</v>
      </c>
      <c r="F995" s="2" t="str">
        <f ca="1">IFERROR(__xludf.DUMMYFUNCTION("""COMPUTED_VALUE"""),"Syrah")</f>
        <v>Syrah</v>
      </c>
      <c r="G995" s="2">
        <f ca="1">IFERROR(__xludf.DUMMYFUNCTION("""COMPUTED_VALUE"""),67100)</f>
        <v>67100</v>
      </c>
      <c r="H995" s="2">
        <f ca="1">IFERROR(__xludf.DUMMYFUNCTION("""COMPUTED_VALUE"""),72600)</f>
        <v>72600</v>
      </c>
      <c r="I995" s="2"/>
      <c r="J995" s="2"/>
      <c r="K995" s="2" t="str">
        <f ca="1">IFERROR(__xludf.DUMMYFUNCTION("""COMPUTED_VALUE"""),"2do Trasiego")</f>
        <v>2do Trasiego</v>
      </c>
      <c r="L995" s="2" t="str">
        <f ca="1">IFERROR(__xludf.DUMMYFUNCTION("""COMPUTED_VALUE"""),"1-")</f>
        <v>1-</v>
      </c>
      <c r="M995" s="2"/>
    </row>
    <row r="996" spans="1:13" x14ac:dyDescent="0.25">
      <c r="A996" s="2" t="str">
        <f ca="1">IFERROR(__xludf.DUMMYFUNCTION("""COMPUTED_VALUE"""),"d6036b7a")</f>
        <v>d6036b7a</v>
      </c>
      <c r="B996" s="2"/>
      <c r="C996" s="5">
        <f ca="1">IFERROR(__xludf.DUMMYFUNCTION("""COMPUTED_VALUE"""),45834.3617013888)</f>
        <v>45834.3617013888</v>
      </c>
      <c r="D996" s="2">
        <f ca="1">IFERROR(__xludf.DUMMYFUNCTION("""COMPUTED_VALUE"""),86)</f>
        <v>86</v>
      </c>
      <c r="E996" s="2">
        <f ca="1">IFERROR(__xludf.DUMMYFUNCTION("""COMPUTED_VALUE"""),88000)</f>
        <v>88000</v>
      </c>
      <c r="F996" s="2" t="str">
        <f ca="1">IFERROR(__xludf.DUMMYFUNCTION("""COMPUTED_VALUE"""),"Syrah")</f>
        <v>Syrah</v>
      </c>
      <c r="G996" s="2">
        <f ca="1">IFERROR(__xludf.DUMMYFUNCTION("""COMPUTED_VALUE"""),64200)</f>
        <v>64200</v>
      </c>
      <c r="H996" s="2">
        <f ca="1">IFERROR(__xludf.DUMMYFUNCTION("""COMPUTED_VALUE"""),69400)</f>
        <v>69400</v>
      </c>
      <c r="I996" s="2"/>
      <c r="J996" s="2"/>
      <c r="K996" s="2" t="str">
        <f ca="1">IFERROR(__xludf.DUMMYFUNCTION("""COMPUTED_VALUE"""),"2do Trasiego")</f>
        <v>2do Trasiego</v>
      </c>
      <c r="L996" s="2" t="str">
        <f ca="1">IFERROR(__xludf.DUMMYFUNCTION("""COMPUTED_VALUE"""),"1-")</f>
        <v>1-</v>
      </c>
      <c r="M996" s="2"/>
    </row>
    <row r="997" spans="1:13" x14ac:dyDescent="0.25">
      <c r="A997" s="2" t="str">
        <f ca="1">IFERROR(__xludf.DUMMYFUNCTION("""COMPUTED_VALUE"""),"5e53321b")</f>
        <v>5e53321b</v>
      </c>
      <c r="B997" s="2"/>
      <c r="C997" s="5">
        <f ca="1">IFERROR(__xludf.DUMMYFUNCTION("""COMPUTED_VALUE"""),45834.3624768518)</f>
        <v>45834.362476851798</v>
      </c>
      <c r="D997" s="2">
        <f ca="1">IFERROR(__xludf.DUMMYFUNCTION("""COMPUTED_VALUE"""),25)</f>
        <v>25</v>
      </c>
      <c r="E997" s="2">
        <f ca="1">IFERROR(__xludf.DUMMYFUNCTION("""COMPUTED_VALUE"""),194300)</f>
        <v>194300</v>
      </c>
      <c r="F997" s="2" t="str">
        <f ca="1">IFERROR(__xludf.DUMMYFUNCTION("""COMPUTED_VALUE"""),"Syrah")</f>
        <v>Syrah</v>
      </c>
      <c r="G997" s="2">
        <f ca="1">IFERROR(__xludf.DUMMYFUNCTION("""COMPUTED_VALUE"""),103100)</f>
        <v>103100</v>
      </c>
      <c r="H997" s="2">
        <f ca="1">IFERROR(__xludf.DUMMYFUNCTION("""COMPUTED_VALUE"""),148600)</f>
        <v>148600</v>
      </c>
      <c r="I997" s="2"/>
      <c r="J997" s="2"/>
      <c r="K997" s="2" t="str">
        <f ca="1">IFERROR(__xludf.DUMMYFUNCTION("""COMPUTED_VALUE"""),"2do Trasiego")</f>
        <v>2do Trasiego</v>
      </c>
      <c r="L997" s="2" t="str">
        <f ca="1">IFERROR(__xludf.DUMMYFUNCTION("""COMPUTED_VALUE"""),"1-")</f>
        <v>1-</v>
      </c>
      <c r="M997" s="2"/>
    </row>
    <row r="998" spans="1:13" x14ac:dyDescent="0.25">
      <c r="A998" s="2" t="str">
        <f ca="1">IFERROR(__xludf.DUMMYFUNCTION("""COMPUTED_VALUE"""),"744b9f5f")</f>
        <v>744b9f5f</v>
      </c>
      <c r="B998" s="2"/>
      <c r="C998" s="5">
        <f ca="1">IFERROR(__xludf.DUMMYFUNCTION("""COMPUTED_VALUE"""),45834.3628125)</f>
        <v>45834.362812500003</v>
      </c>
      <c r="D998" s="2">
        <f ca="1">IFERROR(__xludf.DUMMYFUNCTION("""COMPUTED_VALUE"""),25)</f>
        <v>25</v>
      </c>
      <c r="E998" s="2">
        <f ca="1">IFERROR(__xludf.DUMMYFUNCTION("""COMPUTED_VALUE"""),194300)</f>
        <v>194300</v>
      </c>
      <c r="F998" s="2" t="str">
        <f ca="1">IFERROR(__xludf.DUMMYFUNCTION("""COMPUTED_VALUE"""),"Syrah")</f>
        <v>Syrah</v>
      </c>
      <c r="G998" s="2">
        <f ca="1">IFERROR(__xludf.DUMMYFUNCTION("""COMPUTED_VALUE"""),148600)</f>
        <v>148600</v>
      </c>
      <c r="H998" s="2">
        <f ca="1">IFERROR(__xludf.DUMMYFUNCTION("""COMPUTED_VALUE"""),160900)</f>
        <v>160900</v>
      </c>
      <c r="I998" s="2"/>
      <c r="J998" s="2"/>
      <c r="K998" s="2" t="str">
        <f ca="1">IFERROR(__xludf.DUMMYFUNCTION("""COMPUTED_VALUE"""),"2do Trasiego")</f>
        <v>2do Trasiego</v>
      </c>
      <c r="L998" s="2" t="str">
        <f ca="1">IFERROR(__xludf.DUMMYFUNCTION("""COMPUTED_VALUE"""),"1-")</f>
        <v>1-</v>
      </c>
      <c r="M998" s="2"/>
    </row>
    <row r="999" spans="1:13" x14ac:dyDescent="0.25">
      <c r="A999" s="2" t="str">
        <f ca="1">IFERROR(__xludf.DUMMYFUNCTION("""COMPUTED_VALUE"""),"4466c2c4")</f>
        <v>4466c2c4</v>
      </c>
      <c r="B999" s="2"/>
      <c r="C999" s="5">
        <f ca="1">IFERROR(__xludf.DUMMYFUNCTION("""COMPUTED_VALUE"""),45834.3634837962)</f>
        <v>45834.363483796202</v>
      </c>
      <c r="D999" s="2">
        <f ca="1">IFERROR(__xludf.DUMMYFUNCTION("""COMPUTED_VALUE"""),25)</f>
        <v>25</v>
      </c>
      <c r="E999" s="2">
        <f ca="1">IFERROR(__xludf.DUMMYFUNCTION("""COMPUTED_VALUE"""),194300)</f>
        <v>194300</v>
      </c>
      <c r="F999" s="2" t="str">
        <f ca="1">IFERROR(__xludf.DUMMYFUNCTION("""COMPUTED_VALUE"""),"Syrah")</f>
        <v>Syrah</v>
      </c>
      <c r="G999" s="2">
        <f ca="1">IFERROR(__xludf.DUMMYFUNCTION("""COMPUTED_VALUE"""),160900)</f>
        <v>160900</v>
      </c>
      <c r="H999" s="2">
        <f ca="1">IFERROR(__xludf.DUMMYFUNCTION("""COMPUTED_VALUE"""),180900)</f>
        <v>180900</v>
      </c>
      <c r="I999" s="2"/>
      <c r="J999" s="2"/>
      <c r="K999" s="2" t="str">
        <f ca="1">IFERROR(__xludf.DUMMYFUNCTION("""COMPUTED_VALUE"""),"2do Trasiego")</f>
        <v>2do Trasiego</v>
      </c>
      <c r="L999" s="2" t="str">
        <f ca="1">IFERROR(__xludf.DUMMYFUNCTION("""COMPUTED_VALUE"""),"1-")</f>
        <v>1-</v>
      </c>
      <c r="M999" s="2"/>
    </row>
    <row r="1000" spans="1:13" x14ac:dyDescent="0.25">
      <c r="A1000" s="2" t="str">
        <f ca="1">IFERROR(__xludf.DUMMYFUNCTION("""COMPUTED_VALUE"""),"20f6d1c5")</f>
        <v>20f6d1c5</v>
      </c>
      <c r="B1000" s="2"/>
      <c r="C1000" s="5">
        <f ca="1">IFERROR(__xludf.DUMMYFUNCTION("""COMPUTED_VALUE"""),45834.3640509259)</f>
        <v>45834.364050925898</v>
      </c>
      <c r="D1000" s="2">
        <f ca="1">IFERROR(__xludf.DUMMYFUNCTION("""COMPUTED_VALUE"""),87)</f>
        <v>87</v>
      </c>
      <c r="E1000" s="2">
        <f ca="1">IFERROR(__xludf.DUMMYFUNCTION("""COMPUTED_VALUE"""),93700)</f>
        <v>93700</v>
      </c>
      <c r="F1000" s="2" t="str">
        <f ca="1">IFERROR(__xludf.DUMMYFUNCTION("""COMPUTED_VALUE"""),"Syrah")</f>
        <v>Syrah</v>
      </c>
      <c r="G1000" s="2">
        <f ca="1">IFERROR(__xludf.DUMMYFUNCTION("""COMPUTED_VALUE"""),72600)</f>
        <v>72600</v>
      </c>
      <c r="H1000" s="2">
        <f ca="1">IFERROR(__xludf.DUMMYFUNCTION("""COMPUTED_VALUE"""),82000)</f>
        <v>82000</v>
      </c>
      <c r="I1000" s="2"/>
      <c r="J1000" s="2"/>
      <c r="K1000" s="2" t="str">
        <f ca="1">IFERROR(__xludf.DUMMYFUNCTION("""COMPUTED_VALUE"""),"2do Trasiego")</f>
        <v>2do Trasiego</v>
      </c>
      <c r="L1000" s="2" t="str">
        <f ca="1">IFERROR(__xludf.DUMMYFUNCTION("""COMPUTED_VALUE"""),"1-")</f>
        <v>1-</v>
      </c>
      <c r="M1000" s="2"/>
    </row>
    <row r="1001" spans="1:13" x14ac:dyDescent="0.25">
      <c r="A1001" s="2" t="str">
        <f ca="1">IFERROR(__xludf.DUMMYFUNCTION("""COMPUTED_VALUE"""),"e298408d")</f>
        <v>e298408d</v>
      </c>
      <c r="B1001" s="2"/>
      <c r="C1001" s="5">
        <f ca="1">IFERROR(__xludf.DUMMYFUNCTION("""COMPUTED_VALUE"""),45834.3645486111)</f>
        <v>45834.364548611098</v>
      </c>
      <c r="D1001" s="2">
        <f ca="1">IFERROR(__xludf.DUMMYFUNCTION("""COMPUTED_VALUE"""),86)</f>
        <v>86</v>
      </c>
      <c r="E1001" s="2">
        <f ca="1">IFERROR(__xludf.DUMMYFUNCTION("""COMPUTED_VALUE"""),88000)</f>
        <v>88000</v>
      </c>
      <c r="F1001" s="2" t="str">
        <f ca="1">IFERROR(__xludf.DUMMYFUNCTION("""COMPUTED_VALUE"""),"Syrah")</f>
        <v>Syrah</v>
      </c>
      <c r="G1001" s="2">
        <f ca="1">IFERROR(__xludf.DUMMYFUNCTION("""COMPUTED_VALUE"""),69400)</f>
        <v>69400</v>
      </c>
      <c r="H1001" s="2">
        <f ca="1">IFERROR(__xludf.DUMMYFUNCTION("""COMPUTED_VALUE"""),72000)</f>
        <v>72000</v>
      </c>
      <c r="I1001" s="2"/>
      <c r="J1001" s="2"/>
      <c r="K1001" s="2" t="str">
        <f ca="1">IFERROR(__xludf.DUMMYFUNCTION("""COMPUTED_VALUE"""),"2do Trasiego")</f>
        <v>2do Trasiego</v>
      </c>
      <c r="L1001" s="2" t="str">
        <f ca="1">IFERROR(__xludf.DUMMYFUNCTION("""COMPUTED_VALUE"""),"1-")</f>
        <v>1-</v>
      </c>
      <c r="M1001" s="2"/>
    </row>
    <row r="1002" spans="1:13" x14ac:dyDescent="0.25">
      <c r="A1002" s="2" t="str">
        <f ca="1">IFERROR(__xludf.DUMMYFUNCTION("""COMPUTED_VALUE"""),"710b5805")</f>
        <v>710b5805</v>
      </c>
      <c r="B1002" s="2"/>
      <c r="C1002" s="5">
        <f ca="1">IFERROR(__xludf.DUMMYFUNCTION("""COMPUTED_VALUE"""),45834.3836342592)</f>
        <v>45834.383634259197</v>
      </c>
      <c r="D1002" s="2">
        <f ca="1">IFERROR(__xludf.DUMMYFUNCTION("""COMPUTED_VALUE"""),7)</f>
        <v>7</v>
      </c>
      <c r="E1002" s="2">
        <f ca="1">IFERROR(__xludf.DUMMYFUNCTION("""COMPUTED_VALUE"""),30000)</f>
        <v>30000</v>
      </c>
      <c r="F1002" s="2" t="str">
        <f ca="1">IFERROR(__xludf.DUMMYFUNCTION("""COMPUTED_VALUE"""),"Syrah Rect")</f>
        <v>Syrah Rect</v>
      </c>
      <c r="G1002" s="2">
        <f ca="1">IFERROR(__xludf.DUMMYFUNCTION("""COMPUTED_VALUE"""),0)</f>
        <v>0</v>
      </c>
      <c r="H1002" s="2">
        <f ca="1">IFERROR(__xludf.DUMMYFUNCTION("""COMPUTED_VALUE"""),12000)</f>
        <v>12000</v>
      </c>
      <c r="I1002" s="2"/>
      <c r="J1002" s="2"/>
      <c r="K1002" s="2" t="str">
        <f ca="1">IFERROR(__xludf.DUMMYFUNCTION("""COMPUTED_VALUE"""),"Rectificado")</f>
        <v>Rectificado</v>
      </c>
      <c r="L1002" s="2" t="str">
        <f ca="1">IFERROR(__xludf.DUMMYFUNCTION("""COMPUTED_VALUE"""),"1")</f>
        <v>1</v>
      </c>
      <c r="M1002" s="2"/>
    </row>
    <row r="1003" spans="1:13" x14ac:dyDescent="0.25">
      <c r="A1003" s="2" t="str">
        <f ca="1">IFERROR(__xludf.DUMMYFUNCTION("""COMPUTED_VALUE"""),"bb5f3ffb")</f>
        <v>bb5f3ffb</v>
      </c>
      <c r="B1003" s="2"/>
      <c r="C1003" s="5">
        <f ca="1">IFERROR(__xludf.DUMMYFUNCTION("""COMPUTED_VALUE"""),45834.3865625)</f>
        <v>45834.386562500003</v>
      </c>
      <c r="D1003" s="2">
        <f ca="1">IFERROR(__xludf.DUMMYFUNCTION("""COMPUTED_VALUE"""),86)</f>
        <v>86</v>
      </c>
      <c r="E1003" s="2">
        <f ca="1">IFERROR(__xludf.DUMMYFUNCTION("""COMPUTED_VALUE"""),88000)</f>
        <v>88000</v>
      </c>
      <c r="F1003" s="2" t="str">
        <f ca="1">IFERROR(__xludf.DUMMYFUNCTION("""COMPUTED_VALUE"""),"Syrah")</f>
        <v>Syrah</v>
      </c>
      <c r="G1003" s="2">
        <f ca="1">IFERROR(__xludf.DUMMYFUNCTION("""COMPUTED_VALUE"""),72000)</f>
        <v>72000</v>
      </c>
      <c r="H1003" s="2">
        <f ca="1">IFERROR(__xludf.DUMMYFUNCTION("""COMPUTED_VALUE"""),77000)</f>
        <v>77000</v>
      </c>
      <c r="I1003" s="2"/>
      <c r="J1003" s="2"/>
      <c r="K1003" s="2" t="str">
        <f ca="1">IFERROR(__xludf.DUMMYFUNCTION("""COMPUTED_VALUE"""),"2do Trasiego")</f>
        <v>2do Trasiego</v>
      </c>
      <c r="L1003" s="2" t="str">
        <f ca="1">IFERROR(__xludf.DUMMYFUNCTION("""COMPUTED_VALUE"""),"1-")</f>
        <v>1-</v>
      </c>
      <c r="M1003" s="2"/>
    </row>
    <row r="1004" spans="1:13" x14ac:dyDescent="0.25">
      <c r="A1004" s="2" t="str">
        <f ca="1">IFERROR(__xludf.DUMMYFUNCTION("""COMPUTED_VALUE"""),"d8fb0b2f")</f>
        <v>d8fb0b2f</v>
      </c>
      <c r="B1004" s="2"/>
      <c r="C1004" s="5">
        <f ca="1">IFERROR(__xludf.DUMMYFUNCTION("""COMPUTED_VALUE"""),45834.3878125)</f>
        <v>45834.387812499997</v>
      </c>
      <c r="D1004" s="2">
        <f ca="1">IFERROR(__xludf.DUMMYFUNCTION("""COMPUTED_VALUE"""),25)</f>
        <v>25</v>
      </c>
      <c r="E1004" s="2">
        <f ca="1">IFERROR(__xludf.DUMMYFUNCTION("""COMPUTED_VALUE"""),194300)</f>
        <v>194300</v>
      </c>
      <c r="F1004" s="2" t="str">
        <f ca="1">IFERROR(__xludf.DUMMYFUNCTION("""COMPUTED_VALUE"""),"Syrah")</f>
        <v>Syrah</v>
      </c>
      <c r="G1004" s="2">
        <f ca="1">IFERROR(__xludf.DUMMYFUNCTION("""COMPUTED_VALUE"""),180900)</f>
        <v>180900</v>
      </c>
      <c r="H1004" s="2">
        <f ca="1">IFERROR(__xludf.DUMMYFUNCTION("""COMPUTED_VALUE"""),194300)</f>
        <v>194300</v>
      </c>
      <c r="I1004" s="2"/>
      <c r="J1004" s="2"/>
      <c r="K1004" s="2" t="str">
        <f ca="1">IFERROR(__xludf.DUMMYFUNCTION("""COMPUTED_VALUE"""),"2do Trasiego")</f>
        <v>2do Trasiego</v>
      </c>
      <c r="L1004" s="2" t="str">
        <f ca="1">IFERROR(__xludf.DUMMYFUNCTION("""COMPUTED_VALUE"""),"1")</f>
        <v>1</v>
      </c>
      <c r="M1004" s="2" t="str">
        <f ca="1">IFERROR(__xludf.DUMMYFUNCTION("""COMPUTED_VALUE"""),"Tinto")</f>
        <v>Tinto</v>
      </c>
    </row>
    <row r="1005" spans="1:13" x14ac:dyDescent="0.25">
      <c r="A1005" s="2" t="str">
        <f ca="1">IFERROR(__xludf.DUMMYFUNCTION("""COMPUTED_VALUE"""),"aa02cc0a")</f>
        <v>aa02cc0a</v>
      </c>
      <c r="B1005" s="2"/>
      <c r="C1005" s="5">
        <f ca="1">IFERROR(__xludf.DUMMYFUNCTION("""COMPUTED_VALUE"""),45834.3888425925)</f>
        <v>45834.388842592503</v>
      </c>
      <c r="D1005" s="2">
        <f ca="1">IFERROR(__xludf.DUMMYFUNCTION("""COMPUTED_VALUE"""),86)</f>
        <v>86</v>
      </c>
      <c r="E1005" s="2">
        <f ca="1">IFERROR(__xludf.DUMMYFUNCTION("""COMPUTED_VALUE"""),88000)</f>
        <v>88000</v>
      </c>
      <c r="F1005" s="2" t="str">
        <f ca="1">IFERROR(__xludf.DUMMYFUNCTION("""COMPUTED_VALUE"""),"Syrah")</f>
        <v>Syrah</v>
      </c>
      <c r="G1005" s="2">
        <f ca="1">IFERROR(__xludf.DUMMYFUNCTION("""COMPUTED_VALUE"""),77000)</f>
        <v>77000</v>
      </c>
      <c r="H1005" s="2">
        <f ca="1">IFERROR(__xludf.DUMMYFUNCTION("""COMPUTED_VALUE"""),88000)</f>
        <v>88000</v>
      </c>
      <c r="I1005" s="2"/>
      <c r="J1005" s="2"/>
      <c r="K1005" s="2" t="str">
        <f ca="1">IFERROR(__xludf.DUMMYFUNCTION("""COMPUTED_VALUE"""),"2do Trasiego")</f>
        <v>2do Trasiego</v>
      </c>
      <c r="L1005" s="2" t="str">
        <f ca="1">IFERROR(__xludf.DUMMYFUNCTION("""COMPUTED_VALUE"""),"1-")</f>
        <v>1-</v>
      </c>
      <c r="M1005" s="2" t="str">
        <f ca="1">IFERROR(__xludf.DUMMYFUNCTION("""COMPUTED_VALUE"""),"Tinto")</f>
        <v>Tinto</v>
      </c>
    </row>
    <row r="1006" spans="1:13" x14ac:dyDescent="0.25">
      <c r="A1006" s="2" t="str">
        <f ca="1">IFERROR(__xludf.DUMMYFUNCTION("""COMPUTED_VALUE"""),"a8a4b52d")</f>
        <v>a8a4b52d</v>
      </c>
      <c r="B1006" s="2"/>
      <c r="C1006" s="5">
        <f ca="1">IFERROR(__xludf.DUMMYFUNCTION("""COMPUTED_VALUE"""),45834.3891550925)</f>
        <v>45834.389155092496</v>
      </c>
      <c r="D1006" s="2">
        <f ca="1">IFERROR(__xludf.DUMMYFUNCTION("""COMPUTED_VALUE"""),87)</f>
        <v>87</v>
      </c>
      <c r="E1006" s="2">
        <f ca="1">IFERROR(__xludf.DUMMYFUNCTION("""COMPUTED_VALUE"""),93700)</f>
        <v>93700</v>
      </c>
      <c r="F1006" s="2" t="str">
        <f ca="1">IFERROR(__xludf.DUMMYFUNCTION("""COMPUTED_VALUE"""),"Syrah")</f>
        <v>Syrah</v>
      </c>
      <c r="G1006" s="2">
        <f ca="1">IFERROR(__xludf.DUMMYFUNCTION("""COMPUTED_VALUE"""),82000)</f>
        <v>82000</v>
      </c>
      <c r="H1006" s="2">
        <f ca="1">IFERROR(__xludf.DUMMYFUNCTION("""COMPUTED_VALUE"""),90100)</f>
        <v>90100</v>
      </c>
      <c r="I1006" s="2"/>
      <c r="J1006" s="2"/>
      <c r="K1006" s="2" t="str">
        <f ca="1">IFERROR(__xludf.DUMMYFUNCTION("""COMPUTED_VALUE"""),"2do Trasiego")</f>
        <v>2do Trasiego</v>
      </c>
      <c r="L1006" s="2" t="str">
        <f ca="1">IFERROR(__xludf.DUMMYFUNCTION("""COMPUTED_VALUE"""),"1-")</f>
        <v>1-</v>
      </c>
      <c r="M1006" s="2"/>
    </row>
    <row r="1007" spans="1:13" x14ac:dyDescent="0.25">
      <c r="A1007" s="2" t="str">
        <f ca="1">IFERROR(__xludf.DUMMYFUNCTION("""COMPUTED_VALUE"""),"502df566")</f>
        <v>502df566</v>
      </c>
      <c r="B1007" s="2"/>
      <c r="C1007" s="5">
        <f ca="1">IFERROR(__xludf.DUMMYFUNCTION("""COMPUTED_VALUE"""),45835.3963425925)</f>
        <v>45835.396342592503</v>
      </c>
      <c r="D1007" s="2">
        <f ca="1">IFERROR(__xludf.DUMMYFUNCTION("""COMPUTED_VALUE"""),87)</f>
        <v>87</v>
      </c>
      <c r="E1007" s="2">
        <f ca="1">IFERROR(__xludf.DUMMYFUNCTION("""COMPUTED_VALUE"""),93700)</f>
        <v>93700</v>
      </c>
      <c r="F1007" s="2" t="str">
        <f ca="1">IFERROR(__xludf.DUMMYFUNCTION("""COMPUTED_VALUE"""),"Syrah")</f>
        <v>Syrah</v>
      </c>
      <c r="G1007" s="2">
        <f ca="1">IFERROR(__xludf.DUMMYFUNCTION("""COMPUTED_VALUE"""),90100)</f>
        <v>90100</v>
      </c>
      <c r="H1007" s="2">
        <f ca="1">IFERROR(__xludf.DUMMYFUNCTION("""COMPUTED_VALUE"""),93700)</f>
        <v>93700</v>
      </c>
      <c r="I1007" s="2"/>
      <c r="J1007" s="2"/>
      <c r="K1007" s="2" t="str">
        <f ca="1">IFERROR(__xludf.DUMMYFUNCTION("""COMPUTED_VALUE"""),"2do Trasiego")</f>
        <v>2do Trasiego</v>
      </c>
      <c r="L1007" s="2" t="str">
        <f ca="1">IFERROR(__xludf.DUMMYFUNCTION("""COMPUTED_VALUE"""),"1-")</f>
        <v>1-</v>
      </c>
      <c r="M1007" s="2" t="str">
        <f ca="1">IFERROR(__xludf.DUMMYFUNCTION("""COMPUTED_VALUE"""),"Tinto")</f>
        <v>Tinto</v>
      </c>
    </row>
    <row r="1008" spans="1:13" x14ac:dyDescent="0.25">
      <c r="A1008" s="2" t="str">
        <f ca="1">IFERROR(__xludf.DUMMYFUNCTION("""COMPUTED_VALUE"""),"eed09ba0")</f>
        <v>eed09ba0</v>
      </c>
      <c r="B1008" s="2"/>
      <c r="C1008" s="5">
        <f ca="1">IFERROR(__xludf.DUMMYFUNCTION("""COMPUTED_VALUE"""),45835.3968402777)</f>
        <v>45835.396840277703</v>
      </c>
      <c r="D1008" s="2">
        <f ca="1">IFERROR(__xludf.DUMMYFUNCTION("""COMPUTED_VALUE"""),89)</f>
        <v>89</v>
      </c>
      <c r="E1008" s="2">
        <f ca="1">IFERROR(__xludf.DUMMYFUNCTION("""COMPUTED_VALUE"""),83500)</f>
        <v>83500</v>
      </c>
      <c r="F1008" s="2" t="str">
        <f ca="1">IFERROR(__xludf.DUMMYFUNCTION("""COMPUTED_VALUE"""),"Syrah Tempranillo")</f>
        <v>Syrah Tempranillo</v>
      </c>
      <c r="G1008" s="2">
        <f ca="1">IFERROR(__xludf.DUMMYFUNCTION("""COMPUTED_VALUE"""),79900)</f>
        <v>79900</v>
      </c>
      <c r="H1008" s="2">
        <f ca="1">IFERROR(__xludf.DUMMYFUNCTION("""COMPUTED_VALUE"""),83500)</f>
        <v>83500</v>
      </c>
      <c r="I1008" s="2"/>
      <c r="J1008" s="2"/>
      <c r="K1008" s="2" t="str">
        <f ca="1">IFERROR(__xludf.DUMMYFUNCTION("""COMPUTED_VALUE"""),"2do Trasiego")</f>
        <v>2do Trasiego</v>
      </c>
      <c r="L1008" s="2" t="str">
        <f ca="1">IFERROR(__xludf.DUMMYFUNCTION("""COMPUTED_VALUE"""),"1+")</f>
        <v>1+</v>
      </c>
      <c r="M1008" s="2" t="str">
        <f ca="1">IFERROR(__xludf.DUMMYFUNCTION("""COMPUTED_VALUE"""),"Tinto")</f>
        <v>Tinto</v>
      </c>
    </row>
    <row r="1009" spans="1:13" x14ac:dyDescent="0.25">
      <c r="A1009" s="2" t="str">
        <f ca="1">IFERROR(__xludf.DUMMYFUNCTION("""COMPUTED_VALUE"""),"aa0c81d4")</f>
        <v>aa0c81d4</v>
      </c>
      <c r="B1009" s="2"/>
      <c r="C1009" s="5">
        <f ca="1">IFERROR(__xludf.DUMMYFUNCTION("""COMPUTED_VALUE"""),45835.3976504629)</f>
        <v>45835.397650462903</v>
      </c>
      <c r="D1009" s="2">
        <f ca="1">IFERROR(__xludf.DUMMYFUNCTION("""COMPUTED_VALUE"""),500)</f>
        <v>500</v>
      </c>
      <c r="E1009" s="2">
        <f ca="1">IFERROR(__xludf.DUMMYFUNCTION("""COMPUTED_VALUE"""),200000)</f>
        <v>200000</v>
      </c>
      <c r="F1009" s="2" t="str">
        <f ca="1">IFERROR(__xludf.DUMMYFUNCTION("""COMPUTED_VALUE"""),"Ajuste 27/06/25")</f>
        <v>Ajuste 27/06/25</v>
      </c>
      <c r="G1009" s="2"/>
      <c r="H1009" s="2">
        <f ca="1">IFERROR(__xludf.DUMMYFUNCTION("""COMPUTED_VALUE"""),1)</f>
        <v>1</v>
      </c>
      <c r="I1009" s="2" t="str">
        <f ca="1">IFERROR(__xludf.DUMMYFUNCTION("""COMPUTED_VALUE"""),"Sobró vino rectificado")</f>
        <v>Sobró vino rectificado</v>
      </c>
      <c r="J1009" s="2"/>
      <c r="K1009" s="2"/>
      <c r="L1009" s="2"/>
      <c r="M1009" s="2"/>
    </row>
    <row r="1010" spans="1:13" x14ac:dyDescent="0.25">
      <c r="A1010" s="2" t="str">
        <f ca="1">IFERROR(__xludf.DUMMYFUNCTION("""COMPUTED_VALUE"""),"7794d5a9")</f>
        <v>7794d5a9</v>
      </c>
      <c r="B1010" s="2"/>
      <c r="C1010" s="5">
        <f ca="1">IFERROR(__xludf.DUMMYFUNCTION("""COMPUTED_VALUE"""),45835.3985300925)</f>
        <v>45835.398530092498</v>
      </c>
      <c r="D1010" s="2">
        <f ca="1">IFERROR(__xludf.DUMMYFUNCTION("""COMPUTED_VALUE"""),500)</f>
        <v>500</v>
      </c>
      <c r="E1010" s="2">
        <f ca="1">IFERROR(__xludf.DUMMYFUNCTION("""COMPUTED_VALUE"""),200000)</f>
        <v>200000</v>
      </c>
      <c r="F1010" s="2" t="str">
        <f ca="1">IFERROR(__xludf.DUMMYFUNCTION("""COMPUTED_VALUE"""),"Ajuste 27/06/25")</f>
        <v>Ajuste 27/06/25</v>
      </c>
      <c r="G1010" s="2">
        <f ca="1">IFERROR(__xludf.DUMMYFUNCTION("""COMPUTED_VALUE"""),1)</f>
        <v>1</v>
      </c>
      <c r="H1010" s="2">
        <f ca="1">IFERROR(__xludf.DUMMYFUNCTION("""COMPUTED_VALUE"""),3401)</f>
        <v>3401</v>
      </c>
      <c r="I1010" s="2"/>
      <c r="J1010" s="2"/>
      <c r="K1010" s="2" t="str">
        <f ca="1">IFERROR(__xludf.DUMMYFUNCTION("""COMPUTED_VALUE"""),"Terminado")</f>
        <v>Terminado</v>
      </c>
      <c r="L1010" s="2"/>
      <c r="M1010" s="2" t="str">
        <f ca="1">IFERROR(__xludf.DUMMYFUNCTION("""COMPUTED_VALUE"""),"Tinto")</f>
        <v>Tinto</v>
      </c>
    </row>
    <row r="1011" spans="1:13" x14ac:dyDescent="0.25">
      <c r="A1011" s="2" t="str">
        <f ca="1">IFERROR(__xludf.DUMMYFUNCTION("""COMPUTED_VALUE"""),"c441bbfa")</f>
        <v>c441bbfa</v>
      </c>
      <c r="B1011" s="2"/>
      <c r="C1011" s="5">
        <f ca="1">IFERROR(__xludf.DUMMYFUNCTION("""COMPUTED_VALUE"""),45841.3602083333)</f>
        <v>45841.360208333303</v>
      </c>
      <c r="D1011" s="2">
        <f ca="1">IFERROR(__xludf.DUMMYFUNCTION("""COMPUTED_VALUE"""),12)</f>
        <v>12</v>
      </c>
      <c r="E1011" s="2">
        <f ca="1">IFERROR(__xludf.DUMMYFUNCTION("""COMPUTED_VALUE"""),35300)</f>
        <v>35300</v>
      </c>
      <c r="F1011" s="2" t="str">
        <f ca="1">IFERROR(__xludf.DUMMYFUNCTION("""COMPUTED_VALUE"""),"Claro de Filtro")</f>
        <v>Claro de Filtro</v>
      </c>
      <c r="G1011" s="2">
        <f ca="1">IFERROR(__xludf.DUMMYFUNCTION("""COMPUTED_VALUE"""),0)</f>
        <v>0</v>
      </c>
      <c r="H1011" s="2">
        <f ca="1">IFERROR(__xludf.DUMMYFUNCTION("""COMPUTED_VALUE"""),20000)</f>
        <v>20000</v>
      </c>
      <c r="I1011" s="2"/>
      <c r="J1011" s="2"/>
      <c r="K1011" s="2" t="str">
        <f ca="1">IFERROR(__xludf.DUMMYFUNCTION("""COMPUTED_VALUE"""),"2do Trasiego")</f>
        <v>2do Trasiego</v>
      </c>
      <c r="L1011" s="2"/>
      <c r="M1011" s="2" t="str">
        <f ca="1">IFERROR(__xludf.DUMMYFUNCTION("""COMPUTED_VALUE"""),"Tinto")</f>
        <v>Tinto</v>
      </c>
    </row>
    <row r="1012" spans="1:13" x14ac:dyDescent="0.25">
      <c r="A1012" s="2" t="str">
        <f ca="1">IFERROR(__xludf.DUMMYFUNCTION("""COMPUTED_VALUE"""),"15c039be")</f>
        <v>15c039be</v>
      </c>
      <c r="B1012" s="2"/>
      <c r="C1012" s="5">
        <f ca="1">IFERROR(__xludf.DUMMYFUNCTION("""COMPUTED_VALUE"""),45849.7067592592)</f>
        <v>45849.706759259199</v>
      </c>
      <c r="D1012" s="2">
        <f ca="1">IFERROR(__xludf.DUMMYFUNCTION("""COMPUTED_VALUE"""),500)</f>
        <v>500</v>
      </c>
      <c r="E1012" s="2">
        <f ca="1">IFERROR(__xludf.DUMMYFUNCTION("""COMPUTED_VALUE"""),200000)</f>
        <v>200000</v>
      </c>
      <c r="F1012" s="2" t="str">
        <f ca="1">IFERROR(__xludf.DUMMYFUNCTION("""COMPUTED_VALUE"""),"Borra Seca")</f>
        <v>Borra Seca</v>
      </c>
      <c r="G1012" s="2"/>
      <c r="H1012" s="2">
        <f ca="1">IFERROR(__xludf.DUMMYFUNCTION("""COMPUTED_VALUE"""),200000)</f>
        <v>200000</v>
      </c>
      <c r="I1012" s="2"/>
      <c r="J1012" s="2"/>
      <c r="K1012" s="2"/>
      <c r="L1012" s="2"/>
      <c r="M1012" s="2"/>
    </row>
    <row r="1013" spans="1:13" x14ac:dyDescent="0.25">
      <c r="A1013" s="2" t="str">
        <f ca="1">IFERROR(__xludf.DUMMYFUNCTION("""COMPUTED_VALUE"""),"ae993fbd")</f>
        <v>ae993fbd</v>
      </c>
      <c r="B1013" s="2"/>
      <c r="C1013" s="5">
        <f ca="1">IFERROR(__xludf.DUMMYFUNCTION("""COMPUTED_VALUE"""),45849.7074537037)</f>
        <v>45849.707453703697</v>
      </c>
      <c r="D1013" s="2">
        <f ca="1">IFERROR(__xludf.DUMMYFUNCTION("""COMPUTED_VALUE"""),12)</f>
        <v>12</v>
      </c>
      <c r="E1013" s="2">
        <f ca="1">IFERROR(__xludf.DUMMYFUNCTION("""COMPUTED_VALUE"""),35300)</f>
        <v>35300</v>
      </c>
      <c r="F1013" s="2" t="str">
        <f ca="1">IFERROR(__xludf.DUMMYFUNCTION("""COMPUTED_VALUE"""),"Claro de Filtro")</f>
        <v>Claro de Filtro</v>
      </c>
      <c r="G1013" s="2">
        <f ca="1">IFERROR(__xludf.DUMMYFUNCTION("""COMPUTED_VALUE"""),20000)</f>
        <v>20000</v>
      </c>
      <c r="H1013" s="2">
        <f ca="1">IFERROR(__xludf.DUMMYFUNCTION("""COMPUTED_VALUE"""),23000)</f>
        <v>23000</v>
      </c>
      <c r="I1013" s="2"/>
      <c r="J1013" s="2"/>
      <c r="K1013" s="2" t="str">
        <f ca="1">IFERROR(__xludf.DUMMYFUNCTION("""COMPUTED_VALUE"""),"2do Trasiego")</f>
        <v>2do Trasiego</v>
      </c>
      <c r="L1013" s="2"/>
      <c r="M1013" s="2"/>
    </row>
    <row r="1014" spans="1:13" x14ac:dyDescent="0.25">
      <c r="A1014" s="2" t="str">
        <f ca="1">IFERROR(__xludf.DUMMYFUNCTION("""COMPUTED_VALUE"""),"0ff5560e")</f>
        <v>0ff5560e</v>
      </c>
      <c r="B1014" s="2"/>
      <c r="C1014" s="5">
        <f ca="1">IFERROR(__xludf.DUMMYFUNCTION("""COMPUTED_VALUE"""),45849.707662037)</f>
        <v>45849.707662036999</v>
      </c>
      <c r="D1014" s="2">
        <f ca="1">IFERROR(__xludf.DUMMYFUNCTION("""COMPUTED_VALUE"""),500)</f>
        <v>500</v>
      </c>
      <c r="E1014" s="2">
        <f ca="1">IFERROR(__xludf.DUMMYFUNCTION("""COMPUTED_VALUE"""),200000)</f>
        <v>200000</v>
      </c>
      <c r="F1014" s="2" t="str">
        <f ca="1">IFERROR(__xludf.DUMMYFUNCTION("""COMPUTED_VALUE"""),"Borra Seca")</f>
        <v>Borra Seca</v>
      </c>
      <c r="G1014" s="2">
        <f ca="1">IFERROR(__xludf.DUMMYFUNCTION("""COMPUTED_VALUE"""),0)</f>
        <v>0</v>
      </c>
      <c r="H1014" s="2">
        <f ca="1">IFERROR(__xludf.DUMMYFUNCTION("""COMPUTED_VALUE"""),1)</f>
        <v>1</v>
      </c>
      <c r="I1014" s="2"/>
      <c r="J1014" s="2"/>
      <c r="K1014" s="2"/>
      <c r="L1014" s="2"/>
      <c r="M1014" s="2"/>
    </row>
    <row r="1015" spans="1:13" x14ac:dyDescent="0.25">
      <c r="A1015" s="2" t="str">
        <f ca="1">IFERROR(__xludf.DUMMYFUNCTION("""COMPUTED_VALUE"""),"ece3c136")</f>
        <v>ece3c136</v>
      </c>
      <c r="B1015" s="2"/>
      <c r="C1015" s="5">
        <f ca="1">IFERROR(__xludf.DUMMYFUNCTION("""COMPUTED_VALUE"""),45849.7119328703)</f>
        <v>45849.711932870297</v>
      </c>
      <c r="D1015" s="2">
        <f ca="1">IFERROR(__xludf.DUMMYFUNCTION("""COMPUTED_VALUE"""),500)</f>
        <v>500</v>
      </c>
      <c r="E1015" s="2">
        <f ca="1">IFERROR(__xludf.DUMMYFUNCTION("""COMPUTED_VALUE"""),200000)</f>
        <v>200000</v>
      </c>
      <c r="F1015" s="2" t="str">
        <f ca="1">IFERROR(__xludf.DUMMYFUNCTION("""COMPUTED_VALUE"""),"Borra Seca")</f>
        <v>Borra Seca</v>
      </c>
      <c r="G1015" s="2">
        <f ca="1">IFERROR(__xludf.DUMMYFUNCTION("""COMPUTED_VALUE"""),1)</f>
        <v>1</v>
      </c>
      <c r="H1015" s="2">
        <f ca="1">IFERROR(__xludf.DUMMYFUNCTION("""COMPUTED_VALUE"""),10001)</f>
        <v>10001</v>
      </c>
      <c r="I1015" s="2"/>
      <c r="J1015" s="2"/>
      <c r="K1015" s="2"/>
      <c r="L1015" s="2"/>
      <c r="M1015" s="2"/>
    </row>
    <row r="1016" spans="1:13" x14ac:dyDescent="0.25">
      <c r="A1016" s="2" t="str">
        <f ca="1">IFERROR(__xludf.DUMMYFUNCTION("""COMPUTED_VALUE"""),"af74f307")</f>
        <v>af74f307</v>
      </c>
      <c r="B1016" s="2"/>
      <c r="C1016" s="5">
        <f ca="1">IFERROR(__xludf.DUMMYFUNCTION("""COMPUTED_VALUE"""),45849.7123842592)</f>
        <v>45849.712384259197</v>
      </c>
      <c r="D1016" s="2">
        <f ca="1">IFERROR(__xludf.DUMMYFUNCTION("""COMPUTED_VALUE"""),500)</f>
        <v>500</v>
      </c>
      <c r="E1016" s="2">
        <f ca="1">IFERROR(__xludf.DUMMYFUNCTION("""COMPUTED_VALUE"""),200000)</f>
        <v>200000</v>
      </c>
      <c r="F1016" s="2" t="str">
        <f ca="1">IFERROR(__xludf.DUMMYFUNCTION("""COMPUTED_VALUE"""),"Borra Seca")</f>
        <v>Borra Seca</v>
      </c>
      <c r="G1016" s="2">
        <f ca="1">IFERROR(__xludf.DUMMYFUNCTION("""COMPUTED_VALUE"""),10001)</f>
        <v>10001</v>
      </c>
      <c r="H1016" s="2">
        <f ca="1">IFERROR(__xludf.DUMMYFUNCTION("""COMPUTED_VALUE"""),16101)</f>
        <v>16101</v>
      </c>
      <c r="I1016" s="2"/>
      <c r="J1016" s="2"/>
      <c r="K1016" s="2"/>
      <c r="L1016" s="2"/>
      <c r="M1016" s="2"/>
    </row>
    <row r="1017" spans="1:13" x14ac:dyDescent="0.25">
      <c r="A1017" s="2" t="str">
        <f ca="1">IFERROR(__xludf.DUMMYFUNCTION("""COMPUTED_VALUE"""),"90fc33de")</f>
        <v>90fc33de</v>
      </c>
      <c r="B1017" s="2"/>
      <c r="C1017" s="5">
        <f ca="1">IFERROR(__xludf.DUMMYFUNCTION("""COMPUTED_VALUE"""),45849.7131018518)</f>
        <v>45849.713101851798</v>
      </c>
      <c r="D1017" s="2">
        <f ca="1">IFERROR(__xludf.DUMMYFUNCTION("""COMPUTED_VALUE"""),931)</f>
        <v>931</v>
      </c>
      <c r="E1017" s="2">
        <f ca="1">IFERROR(__xludf.DUMMYFUNCTION("""COMPUTED_VALUE"""),11200)</f>
        <v>11200</v>
      </c>
      <c r="F1017" s="2" t="str">
        <f ca="1">IFERROR(__xludf.DUMMYFUNCTION("""COMPUTED_VALUE"""),"Claro de Filtro")</f>
        <v>Claro de Filtro</v>
      </c>
      <c r="G1017" s="2">
        <f ca="1">IFERROR(__xludf.DUMMYFUNCTION("""COMPUTED_VALUE"""),0)</f>
        <v>0</v>
      </c>
      <c r="H1017" s="2">
        <f ca="1">IFERROR(__xludf.DUMMYFUNCTION("""COMPUTED_VALUE"""),11200)</f>
        <v>11200</v>
      </c>
      <c r="I1017" s="2"/>
      <c r="J1017" s="2"/>
      <c r="K1017" s="2" t="str">
        <f ca="1">IFERROR(__xludf.DUMMYFUNCTION("""COMPUTED_VALUE"""),"2do Trasiego")</f>
        <v>2do Trasiego</v>
      </c>
      <c r="L1017" s="2"/>
      <c r="M1017" s="2" t="str">
        <f ca="1">IFERROR(__xludf.DUMMYFUNCTION("""COMPUTED_VALUE"""),"Tinto")</f>
        <v>Tinto</v>
      </c>
    </row>
    <row r="1018" spans="1:13" x14ac:dyDescent="0.25">
      <c r="A1018" s="2" t="str">
        <f ca="1">IFERROR(__xludf.DUMMYFUNCTION("""COMPUTED_VALUE"""),"a774778b")</f>
        <v>a774778b</v>
      </c>
      <c r="B1018" s="2"/>
      <c r="C1018" s="5">
        <f ca="1">IFERROR(__xludf.DUMMYFUNCTION("""COMPUTED_VALUE"""),45849.7132175925)</f>
        <v>45849.7132175925</v>
      </c>
      <c r="D1018" s="2">
        <f ca="1">IFERROR(__xludf.DUMMYFUNCTION("""COMPUTED_VALUE"""),935)</f>
        <v>935</v>
      </c>
      <c r="E1018" s="2">
        <f ca="1">IFERROR(__xludf.DUMMYFUNCTION("""COMPUTED_VALUE"""),11200)</f>
        <v>11200</v>
      </c>
      <c r="F1018" s="2" t="str">
        <f ca="1">IFERROR(__xludf.DUMMYFUNCTION("""COMPUTED_VALUE"""),"Claro de Filtro")</f>
        <v>Claro de Filtro</v>
      </c>
      <c r="G1018" s="2">
        <f ca="1">IFERROR(__xludf.DUMMYFUNCTION("""COMPUTED_VALUE"""),0)</f>
        <v>0</v>
      </c>
      <c r="H1018" s="2">
        <f ca="1">IFERROR(__xludf.DUMMYFUNCTION("""COMPUTED_VALUE"""),11200)</f>
        <v>11200</v>
      </c>
      <c r="I1018" s="2"/>
      <c r="J1018" s="2"/>
      <c r="K1018" s="2" t="str">
        <f ca="1">IFERROR(__xludf.DUMMYFUNCTION("""COMPUTED_VALUE"""),"2do Trasiego")</f>
        <v>2do Trasiego</v>
      </c>
      <c r="L1018" s="2"/>
      <c r="M1018" s="2" t="str">
        <f ca="1">IFERROR(__xludf.DUMMYFUNCTION("""COMPUTED_VALUE"""),"Tinto")</f>
        <v>Tinto</v>
      </c>
    </row>
    <row r="1019" spans="1:13" x14ac:dyDescent="0.25">
      <c r="A1019" s="2" t="str">
        <f ca="1">IFERROR(__xludf.DUMMYFUNCTION("""COMPUTED_VALUE"""),"c0887c05")</f>
        <v>c0887c05</v>
      </c>
      <c r="B1019" s="2"/>
      <c r="C1019" s="5">
        <f ca="1">IFERROR(__xludf.DUMMYFUNCTION("""COMPUTED_VALUE"""),45849.7135763888)</f>
        <v>45849.7135763888</v>
      </c>
      <c r="D1019" s="2">
        <f ca="1">IFERROR(__xludf.DUMMYFUNCTION("""COMPUTED_VALUE"""),51)</f>
        <v>51</v>
      </c>
      <c r="E1019" s="2">
        <f ca="1">IFERROR(__xludf.DUMMYFUNCTION("""COMPUTED_VALUE"""),3900)</f>
        <v>3900</v>
      </c>
      <c r="F1019" s="2" t="str">
        <f ca="1">IFERROR(__xludf.DUMMYFUNCTION("""COMPUTED_VALUE"""),"Claro de Filtro")</f>
        <v>Claro de Filtro</v>
      </c>
      <c r="G1019" s="2">
        <f ca="1">IFERROR(__xludf.DUMMYFUNCTION("""COMPUTED_VALUE"""),0)</f>
        <v>0</v>
      </c>
      <c r="H1019" s="2">
        <f ca="1">IFERROR(__xludf.DUMMYFUNCTION("""COMPUTED_VALUE"""),600)</f>
        <v>600</v>
      </c>
      <c r="I1019" s="2"/>
      <c r="J1019" s="2"/>
      <c r="K1019" s="2" t="str">
        <f ca="1">IFERROR(__xludf.DUMMYFUNCTION("""COMPUTED_VALUE"""),"2do Trasiego")</f>
        <v>2do Trasiego</v>
      </c>
      <c r="L1019" s="2"/>
      <c r="M1019" s="2"/>
    </row>
    <row r="1020" spans="1:13" x14ac:dyDescent="0.25">
      <c r="A1020" s="2" t="str">
        <f ca="1">IFERROR(__xludf.DUMMYFUNCTION("""COMPUTED_VALUE"""),"22a75cd4")</f>
        <v>22a75cd4</v>
      </c>
      <c r="B1020" s="2"/>
      <c r="C1020" s="5">
        <f ca="1">IFERROR(__xludf.DUMMYFUNCTION("""COMPUTED_VALUE"""),45859.658125)</f>
        <v>45859.658125000002</v>
      </c>
      <c r="D1020" s="2">
        <f ca="1">IFERROR(__xludf.DUMMYFUNCTION("""COMPUTED_VALUE"""),68)</f>
        <v>68</v>
      </c>
      <c r="E1020" s="2">
        <f ca="1">IFERROR(__xludf.DUMMYFUNCTION("""COMPUTED_VALUE"""),13000)</f>
        <v>13000</v>
      </c>
      <c r="F1020" s="2" t="str">
        <f ca="1">IFERROR(__xludf.DUMMYFUNCTION("""COMPUTED_VALUE"""),"Malbec Montecepas 24")</f>
        <v>Malbec Montecepas 24</v>
      </c>
      <c r="G1020" s="2">
        <f ca="1">IFERROR(__xludf.DUMMYFUNCTION("""COMPUTED_VALUE"""),0)</f>
        <v>0</v>
      </c>
      <c r="H1020" s="2">
        <f ca="1">IFERROR(__xludf.DUMMYFUNCTION("""COMPUTED_VALUE"""),13000)</f>
        <v>13000</v>
      </c>
      <c r="I1020" s="2"/>
      <c r="J1020" s="2"/>
      <c r="K1020" s="2" t="str">
        <f ca="1">IFERROR(__xludf.DUMMYFUNCTION("""COMPUTED_VALUE"""),"Filtrado Tang")</f>
        <v>Filtrado Tang</v>
      </c>
      <c r="L1020" s="2" t="str">
        <f ca="1">IFERROR(__xludf.DUMMYFUNCTION("""COMPUTED_VALUE"""),"1+")</f>
        <v>1+</v>
      </c>
      <c r="M1020" s="2" t="str">
        <f ca="1">IFERROR(__xludf.DUMMYFUNCTION("""COMPUTED_VALUE"""),"Tinto")</f>
        <v>Tinto</v>
      </c>
    </row>
    <row r="1021" spans="1:13" x14ac:dyDescent="0.25">
      <c r="A1021" s="2" t="str">
        <f ca="1">IFERROR(__xludf.DUMMYFUNCTION("""COMPUTED_VALUE"""),"2ab540d2")</f>
        <v>2ab540d2</v>
      </c>
      <c r="B1021" s="2"/>
      <c r="C1021" s="5">
        <f ca="1">IFERROR(__xludf.DUMMYFUNCTION("""COMPUTED_VALUE"""),45859.6591319444)</f>
        <v>45859.659131944398</v>
      </c>
      <c r="D1021" s="2">
        <f ca="1">IFERROR(__xludf.DUMMYFUNCTION("""COMPUTED_VALUE"""),69)</f>
        <v>69</v>
      </c>
      <c r="E1021" s="2">
        <f ca="1">IFERROR(__xludf.DUMMYFUNCTION("""COMPUTED_VALUE"""),13000)</f>
        <v>13000</v>
      </c>
      <c r="F1021" s="2" t="str">
        <f ca="1">IFERROR(__xludf.DUMMYFUNCTION("""COMPUTED_VALUE"""),"Malbec Magneta")</f>
        <v>Malbec Magneta</v>
      </c>
      <c r="G1021" s="2">
        <f ca="1">IFERROR(__xludf.DUMMYFUNCTION("""COMPUTED_VALUE"""),0)</f>
        <v>0</v>
      </c>
      <c r="H1021" s="2">
        <f ca="1">IFERROR(__xludf.DUMMYFUNCTION("""COMPUTED_VALUE"""),4000)</f>
        <v>4000</v>
      </c>
      <c r="I1021" s="2"/>
      <c r="J1021" s="2"/>
      <c r="K1021" s="2" t="str">
        <f ca="1">IFERROR(__xludf.DUMMYFUNCTION("""COMPUTED_VALUE"""),"Terminado")</f>
        <v>Terminado</v>
      </c>
      <c r="L1021" s="2"/>
      <c r="M1021" s="2"/>
    </row>
    <row r="1022" spans="1:13" x14ac:dyDescent="0.25">
      <c r="A1022" s="2" t="str">
        <f ca="1">IFERROR(__xludf.DUMMYFUNCTION("""COMPUTED_VALUE"""),"f8287724")</f>
        <v>f8287724</v>
      </c>
      <c r="B1022" s="2"/>
      <c r="C1022" s="5">
        <f ca="1">IFERROR(__xludf.DUMMYFUNCTION("""COMPUTED_VALUE"""),45859.6597800925)</f>
        <v>45859.659780092501</v>
      </c>
      <c r="D1022" s="2">
        <f ca="1">IFERROR(__xludf.DUMMYFUNCTION("""COMPUTED_VALUE"""),111)</f>
        <v>111</v>
      </c>
      <c r="E1022" s="2">
        <f ca="1">IFERROR(__xludf.DUMMYFUNCTION("""COMPUTED_VALUE"""),4000)</f>
        <v>4000</v>
      </c>
      <c r="F1022" s="2" t="str">
        <f ca="1">IFERROR(__xludf.DUMMYFUNCTION("""COMPUTED_VALUE"""),"Malbec Magneta")</f>
        <v>Malbec Magneta</v>
      </c>
      <c r="G1022" s="2">
        <f ca="1">IFERROR(__xludf.DUMMYFUNCTION("""COMPUTED_VALUE"""),0)</f>
        <v>0</v>
      </c>
      <c r="H1022" s="2">
        <f ca="1">IFERROR(__xludf.DUMMYFUNCTION("""COMPUTED_VALUE"""),4000)</f>
        <v>4000</v>
      </c>
      <c r="I1022" s="2"/>
      <c r="J1022" s="2"/>
      <c r="K1022" s="2" t="str">
        <f ca="1">IFERROR(__xludf.DUMMYFUNCTION("""COMPUTED_VALUE"""),"Filtrado Tang")</f>
        <v>Filtrado Tang</v>
      </c>
      <c r="L1022" s="2"/>
      <c r="M1022" s="2" t="str">
        <f ca="1">IFERROR(__xludf.DUMMYFUNCTION("""COMPUTED_VALUE"""),"Tinto")</f>
        <v>Tinto</v>
      </c>
    </row>
    <row r="1023" spans="1:13" x14ac:dyDescent="0.25">
      <c r="A1023" s="2" t="str">
        <f ca="1">IFERROR(__xludf.DUMMYFUNCTION("""COMPUTED_VALUE"""),"32a3c024")</f>
        <v>32a3c024</v>
      </c>
      <c r="B1023" s="2"/>
      <c r="C1023" s="5">
        <f ca="1">IFERROR(__xludf.DUMMYFUNCTION("""COMPUTED_VALUE"""),45860.7392824074)</f>
        <v>45860.739282407398</v>
      </c>
      <c r="D1023" s="2">
        <f ca="1">IFERROR(__xludf.DUMMYFUNCTION("""COMPUTED_VALUE"""),114)</f>
        <v>114</v>
      </c>
      <c r="E1023" s="2">
        <f ca="1">IFERROR(__xludf.DUMMYFUNCTION("""COMPUTED_VALUE"""),125300)</f>
        <v>125300</v>
      </c>
      <c r="F1023" s="2" t="str">
        <f ca="1">IFERROR(__xludf.DUMMYFUNCTION("""COMPUTED_VALUE"""),"Cabernet Sauvignon")</f>
        <v>Cabernet Sauvignon</v>
      </c>
      <c r="G1023" s="2">
        <f ca="1">IFERROR(__xludf.DUMMYFUNCTION("""COMPUTED_VALUE"""),0)</f>
        <v>0</v>
      </c>
      <c r="H1023" s="2">
        <f ca="1">IFERROR(__xludf.DUMMYFUNCTION("""COMPUTED_VALUE"""),22000)</f>
        <v>22000</v>
      </c>
      <c r="I1023" s="2"/>
      <c r="J1023" s="2"/>
      <c r="K1023" s="2" t="str">
        <f ca="1">IFERROR(__xludf.DUMMYFUNCTION("""COMPUTED_VALUE"""),"Filtrado Tang")</f>
        <v>Filtrado Tang</v>
      </c>
      <c r="L1023" s="2" t="str">
        <f ca="1">IFERROR(__xludf.DUMMYFUNCTION("""COMPUTED_VALUE"""),"1")</f>
        <v>1</v>
      </c>
      <c r="M1023" s="2"/>
    </row>
    <row r="1024" spans="1:13" x14ac:dyDescent="0.25">
      <c r="A1024" s="2" t="str">
        <f ca="1">IFERROR(__xludf.DUMMYFUNCTION("""COMPUTED_VALUE"""),"7906df75")</f>
        <v>7906df75</v>
      </c>
      <c r="B1024" s="2"/>
      <c r="C1024" s="5">
        <f ca="1">IFERROR(__xludf.DUMMYFUNCTION("""COMPUTED_VALUE"""),45861.7154513888)</f>
        <v>45861.715451388802</v>
      </c>
      <c r="D1024" s="2">
        <f ca="1">IFERROR(__xludf.DUMMYFUNCTION("""COMPUTED_VALUE"""),114)</f>
        <v>114</v>
      </c>
      <c r="E1024" s="2">
        <f ca="1">IFERROR(__xludf.DUMMYFUNCTION("""COMPUTED_VALUE"""),125300)</f>
        <v>125300</v>
      </c>
      <c r="F1024" s="2" t="str">
        <f ca="1">IFERROR(__xludf.DUMMYFUNCTION("""COMPUTED_VALUE"""),"Cabernet Sauvignon")</f>
        <v>Cabernet Sauvignon</v>
      </c>
      <c r="G1024" s="2">
        <f ca="1">IFERROR(__xludf.DUMMYFUNCTION("""COMPUTED_VALUE"""),22000)</f>
        <v>22000</v>
      </c>
      <c r="H1024" s="2">
        <f ca="1">IFERROR(__xludf.DUMMYFUNCTION("""COMPUTED_VALUE"""),59000)</f>
        <v>59000</v>
      </c>
      <c r="I1024" s="2"/>
      <c r="J1024" s="2"/>
      <c r="K1024" s="2" t="str">
        <f ca="1">IFERROR(__xludf.DUMMYFUNCTION("""COMPUTED_VALUE"""),"Filtrado Tang")</f>
        <v>Filtrado Tang</v>
      </c>
      <c r="L1024" s="2" t="str">
        <f ca="1">IFERROR(__xludf.DUMMYFUNCTION("""COMPUTED_VALUE"""),"1")</f>
        <v>1</v>
      </c>
      <c r="M1024" s="2"/>
    </row>
    <row r="1025" spans="1:13" x14ac:dyDescent="0.25">
      <c r="A1025" s="2" t="str">
        <f ca="1">IFERROR(__xludf.DUMMYFUNCTION("""COMPUTED_VALUE"""),"dd40b3a0")</f>
        <v>dd40b3a0</v>
      </c>
      <c r="B1025" s="2"/>
      <c r="C1025" s="5">
        <f ca="1">IFERROR(__xludf.DUMMYFUNCTION("""COMPUTED_VALUE"""),45862.7156481481)</f>
        <v>45862.7156481481</v>
      </c>
      <c r="D1025" s="2">
        <f ca="1">IFERROR(__xludf.DUMMYFUNCTION("""COMPUTED_VALUE"""),114)</f>
        <v>114</v>
      </c>
      <c r="E1025" s="2">
        <f ca="1">IFERROR(__xludf.DUMMYFUNCTION("""COMPUTED_VALUE"""),125300)</f>
        <v>125300</v>
      </c>
      <c r="F1025" s="2" t="str">
        <f ca="1">IFERROR(__xludf.DUMMYFUNCTION("""COMPUTED_VALUE"""),"Cabernet Sauvignon")</f>
        <v>Cabernet Sauvignon</v>
      </c>
      <c r="G1025" s="2">
        <f ca="1">IFERROR(__xludf.DUMMYFUNCTION("""COMPUTED_VALUE"""),59000)</f>
        <v>59000</v>
      </c>
      <c r="H1025" s="2">
        <f ca="1">IFERROR(__xludf.DUMMYFUNCTION("""COMPUTED_VALUE"""),81000)</f>
        <v>81000</v>
      </c>
      <c r="I1025" s="2"/>
      <c r="J1025" s="2"/>
      <c r="K1025" s="2" t="str">
        <f ca="1">IFERROR(__xludf.DUMMYFUNCTION("""COMPUTED_VALUE"""),"Filtrado Tang")</f>
        <v>Filtrado Tang</v>
      </c>
      <c r="L1025" s="2" t="str">
        <f ca="1">IFERROR(__xludf.DUMMYFUNCTION("""COMPUTED_VALUE"""),"1")</f>
        <v>1</v>
      </c>
      <c r="M1025" s="2"/>
    </row>
    <row r="1026" spans="1:13" x14ac:dyDescent="0.25">
      <c r="A1026" s="2" t="str">
        <f ca="1">IFERROR(__xludf.DUMMYFUNCTION("""COMPUTED_VALUE"""),"0e2a111b")</f>
        <v>0e2a111b</v>
      </c>
      <c r="B1026" s="2"/>
      <c r="C1026" s="5">
        <f ca="1">IFERROR(__xludf.DUMMYFUNCTION("""COMPUTED_VALUE"""),45862.7164699074)</f>
        <v>45862.716469907398</v>
      </c>
      <c r="D1026" s="2">
        <f ca="1">IFERROR(__xludf.DUMMYFUNCTION("""COMPUTED_VALUE"""),114)</f>
        <v>114</v>
      </c>
      <c r="E1026" s="2">
        <f ca="1">IFERROR(__xludf.DUMMYFUNCTION("""COMPUTED_VALUE"""),125300)</f>
        <v>125300</v>
      </c>
      <c r="F1026" s="2" t="str">
        <f ca="1">IFERROR(__xludf.DUMMYFUNCTION("""COMPUTED_VALUE"""),"Cabernet Sauvignon")</f>
        <v>Cabernet Sauvignon</v>
      </c>
      <c r="G1026" s="2">
        <f ca="1">IFERROR(__xludf.DUMMYFUNCTION("""COMPUTED_VALUE"""),81000)</f>
        <v>81000</v>
      </c>
      <c r="H1026" s="2">
        <f ca="1">IFERROR(__xludf.DUMMYFUNCTION("""COMPUTED_VALUE"""),100000)</f>
        <v>100000</v>
      </c>
      <c r="I1026" s="2"/>
      <c r="J1026" s="2"/>
      <c r="K1026" s="2" t="str">
        <f ca="1">IFERROR(__xludf.DUMMYFUNCTION("""COMPUTED_VALUE"""),"Filtrado Tang")</f>
        <v>Filtrado Tang</v>
      </c>
      <c r="L1026" s="2" t="str">
        <f ca="1">IFERROR(__xludf.DUMMYFUNCTION("""COMPUTED_VALUE"""),"1")</f>
        <v>1</v>
      </c>
      <c r="M1026" s="2"/>
    </row>
    <row r="1027" spans="1:13" x14ac:dyDescent="0.25">
      <c r="A1027" s="2" t="str">
        <f ca="1">IFERROR(__xludf.DUMMYFUNCTION("""COMPUTED_VALUE"""),"2f7b2de3")</f>
        <v>2f7b2de3</v>
      </c>
      <c r="B1027" s="2"/>
      <c r="C1027" s="5">
        <f ca="1">IFERROR(__xludf.DUMMYFUNCTION("""COMPUTED_VALUE"""),45866.6636921296)</f>
        <v>45866.663692129601</v>
      </c>
      <c r="D1027" s="2">
        <f ca="1">IFERROR(__xludf.DUMMYFUNCTION("""COMPUTED_VALUE"""),114)</f>
        <v>114</v>
      </c>
      <c r="E1027" s="2">
        <f ca="1">IFERROR(__xludf.DUMMYFUNCTION("""COMPUTED_VALUE"""),125300)</f>
        <v>125300</v>
      </c>
      <c r="F1027" s="2" t="str">
        <f ca="1">IFERROR(__xludf.DUMMYFUNCTION("""COMPUTED_VALUE"""),"Cabernet Sauvignon")</f>
        <v>Cabernet Sauvignon</v>
      </c>
      <c r="G1027" s="2">
        <f ca="1">IFERROR(__xludf.DUMMYFUNCTION("""COMPUTED_VALUE"""),100000)</f>
        <v>100000</v>
      </c>
      <c r="H1027" s="2">
        <f ca="1">IFERROR(__xludf.DUMMYFUNCTION("""COMPUTED_VALUE"""),125300)</f>
        <v>125300</v>
      </c>
      <c r="I1027" s="2"/>
      <c r="J1027" s="2"/>
      <c r="K1027" s="2" t="str">
        <f ca="1">IFERROR(__xludf.DUMMYFUNCTION("""COMPUTED_VALUE"""),"Filtrado Tang")</f>
        <v>Filtrado Tang</v>
      </c>
      <c r="L1027" s="2" t="str">
        <f ca="1">IFERROR(__xludf.DUMMYFUNCTION("""COMPUTED_VALUE"""),"1")</f>
        <v>1</v>
      </c>
      <c r="M1027" s="2" t="str">
        <f ca="1">IFERROR(__xludf.DUMMYFUNCTION("""COMPUTED_VALUE"""),"Tinto")</f>
        <v>Tinto</v>
      </c>
    </row>
    <row r="1028" spans="1:13" x14ac:dyDescent="0.25">
      <c r="A1028" s="2" t="str">
        <f ca="1">IFERROR(__xludf.DUMMYFUNCTION("""COMPUTED_VALUE"""),"c25a65f8")</f>
        <v>c25a65f8</v>
      </c>
      <c r="B1028" s="2"/>
      <c r="C1028" s="5">
        <f ca="1">IFERROR(__xludf.DUMMYFUNCTION("""COMPUTED_VALUE"""),45867.5340277777)</f>
        <v>45867.5340277777</v>
      </c>
      <c r="D1028" s="2">
        <f ca="1">IFERROR(__xludf.DUMMYFUNCTION("""COMPUTED_VALUE"""),65)</f>
        <v>65</v>
      </c>
      <c r="E1028" s="2">
        <f ca="1">IFERROR(__xludf.DUMMYFUNCTION("""COMPUTED_VALUE"""),35500)</f>
        <v>35500</v>
      </c>
      <c r="F1028" s="2" t="str">
        <f ca="1">IFERROR(__xludf.DUMMYFUNCTION("""COMPUTED_VALUE"""),"Cabernet Sauvignon")</f>
        <v>Cabernet Sauvignon</v>
      </c>
      <c r="G1028" s="2">
        <f ca="1">IFERROR(__xludf.DUMMYFUNCTION("""COMPUTED_VALUE"""),0)</f>
        <v>0</v>
      </c>
      <c r="H1028" s="2">
        <f ca="1">IFERROR(__xludf.DUMMYFUNCTION("""COMPUTED_VALUE"""),30000)</f>
        <v>30000</v>
      </c>
      <c r="I1028" s="2"/>
      <c r="J1028" s="2"/>
      <c r="K1028" s="2" t="str">
        <f ca="1">IFERROR(__xludf.DUMMYFUNCTION("""COMPUTED_VALUE"""),"Filtrado Tang")</f>
        <v>Filtrado Tang</v>
      </c>
      <c r="L1028" s="2" t="str">
        <f ca="1">IFERROR(__xludf.DUMMYFUNCTION("""COMPUTED_VALUE"""),"1")</f>
        <v>1</v>
      </c>
      <c r="M1028" s="2"/>
    </row>
    <row r="1029" spans="1:13" x14ac:dyDescent="0.25">
      <c r="A1029" s="2" t="str">
        <f ca="1">IFERROR(__xludf.DUMMYFUNCTION("""COMPUTED_VALUE"""),"78e4849f")</f>
        <v>78e4849f</v>
      </c>
      <c r="B1029" s="2"/>
      <c r="C1029" s="5">
        <f ca="1">IFERROR(__xludf.DUMMYFUNCTION("""COMPUTED_VALUE"""),45867.5345833333)</f>
        <v>45867.534583333298</v>
      </c>
      <c r="D1029" s="2">
        <f ca="1">IFERROR(__xludf.DUMMYFUNCTION("""COMPUTED_VALUE"""),66)</f>
        <v>66</v>
      </c>
      <c r="E1029" s="2">
        <f ca="1">IFERROR(__xludf.DUMMYFUNCTION("""COMPUTED_VALUE"""),23000)</f>
        <v>23000</v>
      </c>
      <c r="F1029" s="2" t="str">
        <f ca="1">IFERROR(__xludf.DUMMYFUNCTION("""COMPUTED_VALUE"""),"Cabernet Sauvignon")</f>
        <v>Cabernet Sauvignon</v>
      </c>
      <c r="G1029" s="2">
        <f ca="1">IFERROR(__xludf.DUMMYFUNCTION("""COMPUTED_VALUE"""),0)</f>
        <v>0</v>
      </c>
      <c r="H1029" s="2">
        <f ca="1">IFERROR(__xludf.DUMMYFUNCTION("""COMPUTED_VALUE"""),13500)</f>
        <v>13500</v>
      </c>
      <c r="I1029" s="2"/>
      <c r="J1029" s="2"/>
      <c r="K1029" s="2" t="str">
        <f ca="1">IFERROR(__xludf.DUMMYFUNCTION("""COMPUTED_VALUE"""),"Filtrado Tang")</f>
        <v>Filtrado Tang</v>
      </c>
      <c r="L1029" s="2" t="str">
        <f ca="1">IFERROR(__xludf.DUMMYFUNCTION("""COMPUTED_VALUE"""),"1")</f>
        <v>1</v>
      </c>
      <c r="M1029" s="2"/>
    </row>
    <row r="1030" spans="1:13" x14ac:dyDescent="0.25">
      <c r="A1030" s="2" t="str">
        <f ca="1">IFERROR(__xludf.DUMMYFUNCTION("""COMPUTED_VALUE"""),"7b50f0b5")</f>
        <v>7b50f0b5</v>
      </c>
      <c r="B1030" s="2"/>
      <c r="C1030" s="5">
        <f ca="1">IFERROR(__xludf.DUMMYFUNCTION("""COMPUTED_VALUE"""),45867.5353935185)</f>
        <v>45867.535393518498</v>
      </c>
      <c r="D1030" s="2">
        <f ca="1">IFERROR(__xludf.DUMMYFUNCTION("""COMPUTED_VALUE"""),51)</f>
        <v>51</v>
      </c>
      <c r="E1030" s="2">
        <f ca="1">IFERROR(__xludf.DUMMYFUNCTION("""COMPUTED_VALUE"""),3900)</f>
        <v>3900</v>
      </c>
      <c r="F1030" s="2" t="str">
        <f ca="1">IFERROR(__xludf.DUMMYFUNCTION("""COMPUTED_VALUE"""),"Claro de Filtro")</f>
        <v>Claro de Filtro</v>
      </c>
      <c r="G1030" s="2">
        <f ca="1">IFERROR(__xludf.DUMMYFUNCTION("""COMPUTED_VALUE"""),600)</f>
        <v>600</v>
      </c>
      <c r="H1030" s="2">
        <f ca="1">IFERROR(__xludf.DUMMYFUNCTION("""COMPUTED_VALUE"""),2300)</f>
        <v>2300</v>
      </c>
      <c r="I1030" s="2"/>
      <c r="J1030" s="2"/>
      <c r="K1030" s="2" t="str">
        <f ca="1">IFERROR(__xludf.DUMMYFUNCTION("""COMPUTED_VALUE"""),"2do Trasiego")</f>
        <v>2do Trasiego</v>
      </c>
      <c r="L1030" s="2"/>
      <c r="M1030" s="2"/>
    </row>
    <row r="1031" spans="1:13" x14ac:dyDescent="0.25">
      <c r="A1031" s="2" t="str">
        <f ca="1">IFERROR(__xludf.DUMMYFUNCTION("""COMPUTED_VALUE"""),"8bd3684f")</f>
        <v>8bd3684f</v>
      </c>
      <c r="B1031" s="2"/>
      <c r="C1031" s="5">
        <f ca="1">IFERROR(__xludf.DUMMYFUNCTION("""COMPUTED_VALUE"""),45867.5365162037)</f>
        <v>45867.536516203698</v>
      </c>
      <c r="D1031" s="2">
        <f ca="1">IFERROR(__xludf.DUMMYFUNCTION("""COMPUTED_VALUE"""),51)</f>
        <v>51</v>
      </c>
      <c r="E1031" s="2">
        <f ca="1">IFERROR(__xludf.DUMMYFUNCTION("""COMPUTED_VALUE"""),3900)</f>
        <v>3900</v>
      </c>
      <c r="F1031" s="2" t="str">
        <f ca="1">IFERROR(__xludf.DUMMYFUNCTION("""COMPUTED_VALUE"""),"Cabernet Sauvignon")</f>
        <v>Cabernet Sauvignon</v>
      </c>
      <c r="G1031" s="2">
        <f ca="1">IFERROR(__xludf.DUMMYFUNCTION("""COMPUTED_VALUE"""),2300)</f>
        <v>2300</v>
      </c>
      <c r="H1031" s="2">
        <f ca="1">IFERROR(__xludf.DUMMYFUNCTION("""COMPUTED_VALUE"""),3900)</f>
        <v>3900</v>
      </c>
      <c r="I1031" s="2"/>
      <c r="J1031" s="2"/>
      <c r="K1031" s="2" t="str">
        <f ca="1">IFERROR(__xludf.DUMMYFUNCTION("""COMPUTED_VALUE"""),"2do Trasiego")</f>
        <v>2do Trasiego</v>
      </c>
      <c r="L1031" s="2" t="str">
        <f ca="1">IFERROR(__xludf.DUMMYFUNCTION("""COMPUTED_VALUE"""),"1")</f>
        <v>1</v>
      </c>
      <c r="M1031" s="2"/>
    </row>
    <row r="1032" spans="1:13" x14ac:dyDescent="0.25">
      <c r="A1032" s="2" t="str">
        <f ca="1">IFERROR(__xludf.DUMMYFUNCTION("""COMPUTED_VALUE"""),"f952d789")</f>
        <v>f952d789</v>
      </c>
      <c r="B1032" s="2"/>
      <c r="C1032" s="5">
        <f ca="1">IFERROR(__xludf.DUMMYFUNCTION("""COMPUTED_VALUE"""),45867.5367013888)</f>
        <v>45867.536701388803</v>
      </c>
      <c r="D1032" s="2">
        <f ca="1">IFERROR(__xludf.DUMMYFUNCTION("""COMPUTED_VALUE"""),500)</f>
        <v>500</v>
      </c>
      <c r="E1032" s="2">
        <f ca="1">IFERROR(__xludf.DUMMYFUNCTION("""COMPUTED_VALUE"""),200000)</f>
        <v>200000</v>
      </c>
      <c r="F1032" s="2" t="str">
        <f ca="1">IFERROR(__xludf.DUMMYFUNCTION("""COMPUTED_VALUE"""),"Ajuste de filtrado Tang y rellenos 29/7/25")</f>
        <v>Ajuste de filtrado Tang y rellenos 29/7/25</v>
      </c>
      <c r="G1032" s="2"/>
      <c r="H1032" s="2">
        <f ca="1">IFERROR(__xludf.DUMMYFUNCTION("""COMPUTED_VALUE"""),1)</f>
        <v>1</v>
      </c>
      <c r="I1032" s="2"/>
      <c r="J1032" s="2"/>
      <c r="K1032" s="2"/>
      <c r="L1032" s="2"/>
      <c r="M1032" s="2"/>
    </row>
    <row r="1033" spans="1:13" x14ac:dyDescent="0.25">
      <c r="A1033" s="2" t="str">
        <f ca="1">IFERROR(__xludf.DUMMYFUNCTION("""COMPUTED_VALUE"""),"e4144c4c")</f>
        <v>e4144c4c</v>
      </c>
      <c r="B1033" s="2"/>
      <c r="C1033" s="5">
        <f ca="1">IFERROR(__xludf.DUMMYFUNCTION("""COMPUTED_VALUE"""),45867.5372916666)</f>
        <v>45867.537291666602</v>
      </c>
      <c r="D1033" s="2">
        <f ca="1">IFERROR(__xludf.DUMMYFUNCTION("""COMPUTED_VALUE"""),500)</f>
        <v>500</v>
      </c>
      <c r="E1033" s="2">
        <f ca="1">IFERROR(__xludf.DUMMYFUNCTION("""COMPUTED_VALUE"""),200000)</f>
        <v>200000</v>
      </c>
      <c r="F1033" s="2" t="str">
        <f ca="1">IFERROR(__xludf.DUMMYFUNCTION("""COMPUTED_VALUE"""),"Ajuste de filtrado Tang y rellenos 29/7/25")</f>
        <v>Ajuste de filtrado Tang y rellenos 29/7/25</v>
      </c>
      <c r="G1033" s="2">
        <f ca="1">IFERROR(__xludf.DUMMYFUNCTION("""COMPUTED_VALUE"""),1)</f>
        <v>1</v>
      </c>
      <c r="H1033" s="2">
        <f ca="1">IFERROR(__xludf.DUMMYFUNCTION("""COMPUTED_VALUE"""),2501)</f>
        <v>2501</v>
      </c>
      <c r="I1033" s="2"/>
      <c r="J1033" s="2"/>
      <c r="K1033" s="2" t="str">
        <f ca="1">IFERROR(__xludf.DUMMYFUNCTION("""COMPUTED_VALUE"""),"Terminado")</f>
        <v>Terminado</v>
      </c>
      <c r="L1033" s="2"/>
      <c r="M1033" s="2"/>
    </row>
    <row r="1034" spans="1:13" x14ac:dyDescent="0.25">
      <c r="A1034" s="2" t="str">
        <f ca="1">IFERROR(__xludf.DUMMYFUNCTION("""COMPUTED_VALUE"""),"4d3f24b6")</f>
        <v>4d3f24b6</v>
      </c>
      <c r="B1034" s="2"/>
      <c r="C1034" s="5">
        <f ca="1">IFERROR(__xludf.DUMMYFUNCTION("""COMPUTED_VALUE"""),45868.6770138888)</f>
        <v>45868.677013888802</v>
      </c>
      <c r="D1034" s="2">
        <f ca="1">IFERROR(__xludf.DUMMYFUNCTION("""COMPUTED_VALUE"""),65)</f>
        <v>65</v>
      </c>
      <c r="E1034" s="2">
        <f ca="1">IFERROR(__xludf.DUMMYFUNCTION("""COMPUTED_VALUE"""),35500)</f>
        <v>35500</v>
      </c>
      <c r="F1034" s="2" t="str">
        <f ca="1">IFERROR(__xludf.DUMMYFUNCTION("""COMPUTED_VALUE"""),"Cabernet Sauvignon")</f>
        <v>Cabernet Sauvignon</v>
      </c>
      <c r="G1034" s="2">
        <f ca="1">IFERROR(__xludf.DUMMYFUNCTION("""COMPUTED_VALUE"""),30000)</f>
        <v>30000</v>
      </c>
      <c r="H1034" s="2">
        <f ca="1">IFERROR(__xludf.DUMMYFUNCTION("""COMPUTED_VALUE"""),35500)</f>
        <v>35500</v>
      </c>
      <c r="I1034" s="2"/>
      <c r="J1034" s="2"/>
      <c r="K1034" s="2" t="str">
        <f ca="1">IFERROR(__xludf.DUMMYFUNCTION("""COMPUTED_VALUE"""),"Filtrado Tang")</f>
        <v>Filtrado Tang</v>
      </c>
      <c r="L1034" s="2" t="str">
        <f ca="1">IFERROR(__xludf.DUMMYFUNCTION("""COMPUTED_VALUE"""),"1")</f>
        <v>1</v>
      </c>
      <c r="M1034" s="2" t="str">
        <f ca="1">IFERROR(__xludf.DUMMYFUNCTION("""COMPUTED_VALUE"""),"Tinto")</f>
        <v>Tinto</v>
      </c>
    </row>
    <row r="1035" spans="1:13" x14ac:dyDescent="0.25">
      <c r="A1035" s="2" t="str">
        <f ca="1">IFERROR(__xludf.DUMMYFUNCTION("""COMPUTED_VALUE"""),"32d80802")</f>
        <v>32d80802</v>
      </c>
      <c r="B1035" s="2"/>
      <c r="C1035" s="5">
        <f ca="1">IFERROR(__xludf.DUMMYFUNCTION("""COMPUTED_VALUE"""),45868.6778935185)</f>
        <v>45868.677893518499</v>
      </c>
      <c r="D1035" s="2">
        <f ca="1">IFERROR(__xludf.DUMMYFUNCTION("""COMPUTED_VALUE"""),66)</f>
        <v>66</v>
      </c>
      <c r="E1035" s="2">
        <f ca="1">IFERROR(__xludf.DUMMYFUNCTION("""COMPUTED_VALUE"""),23000)</f>
        <v>23000</v>
      </c>
      <c r="F1035" s="2" t="str">
        <f ca="1">IFERROR(__xludf.DUMMYFUNCTION("""COMPUTED_VALUE"""),"Cabernet Sauvignon")</f>
        <v>Cabernet Sauvignon</v>
      </c>
      <c r="G1035" s="2">
        <f ca="1">IFERROR(__xludf.DUMMYFUNCTION("""COMPUTED_VALUE"""),13500)</f>
        <v>13500</v>
      </c>
      <c r="H1035" s="2">
        <f ca="1">IFERROR(__xludf.DUMMYFUNCTION("""COMPUTED_VALUE"""),16900)</f>
        <v>16900</v>
      </c>
      <c r="I1035" s="2"/>
      <c r="J1035" s="2"/>
      <c r="K1035" s="2" t="str">
        <f ca="1">IFERROR(__xludf.DUMMYFUNCTION("""COMPUTED_VALUE"""),"Filtrado Tang")</f>
        <v>Filtrado Tang</v>
      </c>
      <c r="L1035" s="2" t="str">
        <f ca="1">IFERROR(__xludf.DUMMYFUNCTION("""COMPUTED_VALUE"""),"1")</f>
        <v>1</v>
      </c>
      <c r="M1035" s="2"/>
    </row>
    <row r="1036" spans="1:13" x14ac:dyDescent="0.25">
      <c r="A1036" s="2" t="str">
        <f ca="1">IFERROR(__xludf.DUMMYFUNCTION("""COMPUTED_VALUE"""),"ffb1e0f0")</f>
        <v>ffb1e0f0</v>
      </c>
      <c r="B1036" s="2"/>
      <c r="C1036" s="5">
        <f ca="1">IFERROR(__xludf.DUMMYFUNCTION("""COMPUTED_VALUE"""),45868.6785648148)</f>
        <v>45868.6785648148</v>
      </c>
      <c r="D1036" s="2">
        <f ca="1">IFERROR(__xludf.DUMMYFUNCTION("""COMPUTED_VALUE"""),69)</f>
        <v>69</v>
      </c>
      <c r="E1036" s="2">
        <f ca="1">IFERROR(__xludf.DUMMYFUNCTION("""COMPUTED_VALUE"""),13000)</f>
        <v>13000</v>
      </c>
      <c r="F1036" s="2" t="str">
        <f ca="1">IFERROR(__xludf.DUMMYFUNCTION("""COMPUTED_VALUE"""),"Aspirant 24")</f>
        <v>Aspirant 24</v>
      </c>
      <c r="G1036" s="2">
        <f ca="1">IFERROR(__xludf.DUMMYFUNCTION("""COMPUTED_VALUE"""),0)</f>
        <v>0</v>
      </c>
      <c r="H1036" s="2">
        <f ca="1">IFERROR(__xludf.DUMMYFUNCTION("""COMPUTED_VALUE"""),10900)</f>
        <v>10900</v>
      </c>
      <c r="I1036" s="2"/>
      <c r="J1036" s="2"/>
      <c r="K1036" s="2" t="str">
        <f ca="1">IFERROR(__xludf.DUMMYFUNCTION("""COMPUTED_VALUE"""),"Filtrado Tang")</f>
        <v>Filtrado Tang</v>
      </c>
      <c r="L1036" s="2"/>
      <c r="M1036" s="2"/>
    </row>
    <row r="1037" spans="1:13" x14ac:dyDescent="0.25">
      <c r="A1037" s="2" t="str">
        <f ca="1">IFERROR(__xludf.DUMMYFUNCTION("""COMPUTED_VALUE"""),"9b0ba02e")</f>
        <v>9b0ba02e</v>
      </c>
      <c r="B1037" s="2"/>
      <c r="C1037" s="5">
        <f ca="1">IFERROR(__xludf.DUMMYFUNCTION("""COMPUTED_VALUE"""),45869.7471412037)</f>
        <v>45869.747141203698</v>
      </c>
      <c r="D1037" s="2">
        <f ca="1">IFERROR(__xludf.DUMMYFUNCTION("""COMPUTED_VALUE"""),85)</f>
        <v>85</v>
      </c>
      <c r="E1037" s="2">
        <f ca="1">IFERROR(__xludf.DUMMYFUNCTION("""COMPUTED_VALUE"""),84000)</f>
        <v>84000</v>
      </c>
      <c r="F1037" s="2" t="str">
        <f ca="1">IFERROR(__xludf.DUMMYFUNCTION("""COMPUTED_VALUE"""),"Malbec")</f>
        <v>Malbec</v>
      </c>
      <c r="G1037" s="2">
        <f ca="1">IFERROR(__xludf.DUMMYFUNCTION("""COMPUTED_VALUE"""),0)</f>
        <v>0</v>
      </c>
      <c r="H1037" s="2">
        <f ca="1">IFERROR(__xludf.DUMMYFUNCTION("""COMPUTED_VALUE"""),50000)</f>
        <v>50000</v>
      </c>
      <c r="I1037" s="2"/>
      <c r="J1037" s="2"/>
      <c r="K1037" s="2" t="str">
        <f ca="1">IFERROR(__xludf.DUMMYFUNCTION("""COMPUTED_VALUE"""),"Filtrado Tang")</f>
        <v>Filtrado Tang</v>
      </c>
      <c r="L1037" s="2" t="str">
        <f ca="1">IFERROR(__xludf.DUMMYFUNCTION("""COMPUTED_VALUE"""),"1-")</f>
        <v>1-</v>
      </c>
      <c r="M1037" s="2"/>
    </row>
    <row r="1038" spans="1:13" x14ac:dyDescent="0.25">
      <c r="A1038" s="2" t="str">
        <f ca="1">IFERROR(__xludf.DUMMYFUNCTION("""COMPUTED_VALUE"""),"1443e2f4")</f>
        <v>1443e2f4</v>
      </c>
      <c r="B1038" s="2"/>
      <c r="C1038" s="5">
        <f ca="1">IFERROR(__xludf.DUMMYFUNCTION("""COMPUTED_VALUE"""),45869.7480902777)</f>
        <v>45869.748090277702</v>
      </c>
      <c r="D1038" s="2">
        <f ca="1">IFERROR(__xludf.DUMMYFUNCTION("""COMPUTED_VALUE"""),106)</f>
        <v>106</v>
      </c>
      <c r="E1038" s="2">
        <f ca="1">IFERROR(__xludf.DUMMYFUNCTION("""COMPUTED_VALUE"""),11000)</f>
        <v>11000</v>
      </c>
      <c r="F1038" s="2" t="str">
        <f ca="1">IFERROR(__xludf.DUMMYFUNCTION("""COMPUTED_VALUE"""),"Aspirant 24")</f>
        <v>Aspirant 24</v>
      </c>
      <c r="G1038" s="2">
        <f ca="1">IFERROR(__xludf.DUMMYFUNCTION("""COMPUTED_VALUE"""),0)</f>
        <v>0</v>
      </c>
      <c r="H1038" s="2">
        <f ca="1">IFERROR(__xludf.DUMMYFUNCTION("""COMPUTED_VALUE"""),10900)</f>
        <v>10900</v>
      </c>
      <c r="I1038" s="2"/>
      <c r="J1038" s="2"/>
      <c r="K1038" s="2" t="str">
        <f ca="1">IFERROR(__xludf.DUMMYFUNCTION("""COMPUTED_VALUE"""),"Filtrado Tang")</f>
        <v>Filtrado Tang</v>
      </c>
      <c r="L1038" s="2"/>
      <c r="M1038" s="2"/>
    </row>
    <row r="1039" spans="1:13" x14ac:dyDescent="0.25">
      <c r="A1039" s="2" t="str">
        <f ca="1">IFERROR(__xludf.DUMMYFUNCTION("""COMPUTED_VALUE"""),"32fe7ee0")</f>
        <v>32fe7ee0</v>
      </c>
      <c r="B1039" s="2"/>
      <c r="C1039" s="5">
        <f ca="1">IFERROR(__xludf.DUMMYFUNCTION("""COMPUTED_VALUE"""),45869.7485879629)</f>
        <v>45869.748587962902</v>
      </c>
      <c r="D1039" s="2">
        <f ca="1">IFERROR(__xludf.DUMMYFUNCTION("""COMPUTED_VALUE"""),106)</f>
        <v>106</v>
      </c>
      <c r="E1039" s="2">
        <f ca="1">IFERROR(__xludf.DUMMYFUNCTION("""COMPUTED_VALUE"""),11000)</f>
        <v>11000</v>
      </c>
      <c r="F1039" s="2" t="str">
        <f ca="1">IFERROR(__xludf.DUMMYFUNCTION("""COMPUTED_VALUE"""),"Aspirant 24")</f>
        <v>Aspirant 24</v>
      </c>
      <c r="G1039" s="2">
        <f ca="1">IFERROR(__xludf.DUMMYFUNCTION("""COMPUTED_VALUE"""),10900)</f>
        <v>10900</v>
      </c>
      <c r="H1039" s="2">
        <f ca="1">IFERROR(__xludf.DUMMYFUNCTION("""COMPUTED_VALUE"""),11000)</f>
        <v>11000</v>
      </c>
      <c r="I1039" s="2"/>
      <c r="J1039" s="2"/>
      <c r="K1039" s="2" t="str">
        <f ca="1">IFERROR(__xludf.DUMMYFUNCTION("""COMPUTED_VALUE"""),"Filtrado Tang")</f>
        <v>Filtrado Tang</v>
      </c>
      <c r="L1039" s="2"/>
      <c r="M1039" s="2" t="str">
        <f ca="1">IFERROR(__xludf.DUMMYFUNCTION("""COMPUTED_VALUE"""),"Tinto")</f>
        <v>Tinto</v>
      </c>
    </row>
    <row r="1040" spans="1:13" x14ac:dyDescent="0.25">
      <c r="A1040" s="2" t="str">
        <f ca="1">IFERROR(__xludf.DUMMYFUNCTION("""COMPUTED_VALUE"""),"68dcdcc2")</f>
        <v>68dcdcc2</v>
      </c>
      <c r="B1040" s="2"/>
      <c r="C1040" s="5">
        <f ca="1">IFERROR(__xludf.DUMMYFUNCTION("""COMPUTED_VALUE"""),45874.4655671296)</f>
        <v>45874.465567129599</v>
      </c>
      <c r="D1040" s="2">
        <f ca="1">IFERROR(__xludf.DUMMYFUNCTION("""COMPUTED_VALUE"""),85)</f>
        <v>85</v>
      </c>
      <c r="E1040" s="2">
        <f ca="1">IFERROR(__xludf.DUMMYFUNCTION("""COMPUTED_VALUE"""),84000)</f>
        <v>84000</v>
      </c>
      <c r="F1040" s="2" t="str">
        <f ca="1">IFERROR(__xludf.DUMMYFUNCTION("""COMPUTED_VALUE"""),"Malbec")</f>
        <v>Malbec</v>
      </c>
      <c r="G1040" s="2">
        <f ca="1">IFERROR(__xludf.DUMMYFUNCTION("""COMPUTED_VALUE"""),50000)</f>
        <v>50000</v>
      </c>
      <c r="H1040" s="2">
        <f ca="1">IFERROR(__xludf.DUMMYFUNCTION("""COMPUTED_VALUE"""),78700)</f>
        <v>78700</v>
      </c>
      <c r="I1040" s="2"/>
      <c r="J1040" s="2"/>
      <c r="K1040" s="2" t="str">
        <f ca="1">IFERROR(__xludf.DUMMYFUNCTION("""COMPUTED_VALUE"""),"Filtrado Tang")</f>
        <v>Filtrado Tang</v>
      </c>
      <c r="L1040" s="2" t="str">
        <f ca="1">IFERROR(__xludf.DUMMYFUNCTION("""COMPUTED_VALUE"""),"1-")</f>
        <v>1-</v>
      </c>
      <c r="M1040" s="2"/>
    </row>
    <row r="1041" spans="1:13" x14ac:dyDescent="0.25">
      <c r="A1041" s="2" t="str">
        <f ca="1">IFERROR(__xludf.DUMMYFUNCTION("""COMPUTED_VALUE"""),"99b9424e")</f>
        <v>99b9424e</v>
      </c>
      <c r="B1041" s="2"/>
      <c r="C1041" s="5">
        <f ca="1">IFERROR(__xludf.DUMMYFUNCTION("""COMPUTED_VALUE"""),45874.4685416666)</f>
        <v>45874.468541666603</v>
      </c>
      <c r="D1041" s="2">
        <f ca="1">IFERROR(__xludf.DUMMYFUNCTION("""COMPUTED_VALUE"""),85)</f>
        <v>85</v>
      </c>
      <c r="E1041" s="2">
        <f ca="1">IFERROR(__xludf.DUMMYFUNCTION("""COMPUTED_VALUE"""),84000)</f>
        <v>84000</v>
      </c>
      <c r="F1041" s="2" t="str">
        <f ca="1">IFERROR(__xludf.DUMMYFUNCTION("""COMPUTED_VALUE"""),"Malbec")</f>
        <v>Malbec</v>
      </c>
      <c r="G1041" s="2">
        <f ca="1">IFERROR(__xludf.DUMMYFUNCTION("""COMPUTED_VALUE"""),78700)</f>
        <v>78700</v>
      </c>
      <c r="H1041" s="2">
        <f ca="1">IFERROR(__xludf.DUMMYFUNCTION("""COMPUTED_VALUE"""),80700)</f>
        <v>80700</v>
      </c>
      <c r="I1041" s="2"/>
      <c r="J1041" s="2"/>
      <c r="K1041" s="2" t="str">
        <f ca="1">IFERROR(__xludf.DUMMYFUNCTION("""COMPUTED_VALUE"""),"Filtrado Tang")</f>
        <v>Filtrado Tang</v>
      </c>
      <c r="L1041" s="2" t="str">
        <f ca="1">IFERROR(__xludf.DUMMYFUNCTION("""COMPUTED_VALUE"""),"1-")</f>
        <v>1-</v>
      </c>
      <c r="M1041" s="2"/>
    </row>
    <row r="1042" spans="1:13" x14ac:dyDescent="0.25">
      <c r="A1042" s="2" t="str">
        <f ca="1">IFERROR(__xludf.DUMMYFUNCTION("""COMPUTED_VALUE"""),"dc08aecd")</f>
        <v>dc08aecd</v>
      </c>
      <c r="B1042" s="2"/>
      <c r="C1042" s="5">
        <f ca="1">IFERROR(__xludf.DUMMYFUNCTION("""COMPUTED_VALUE"""),45874.4690856481)</f>
        <v>45874.469085648103</v>
      </c>
      <c r="D1042" s="2">
        <f ca="1">IFERROR(__xludf.DUMMYFUNCTION("""COMPUTED_VALUE"""),85)</f>
        <v>85</v>
      </c>
      <c r="E1042" s="2">
        <f ca="1">IFERROR(__xludf.DUMMYFUNCTION("""COMPUTED_VALUE"""),84000)</f>
        <v>84000</v>
      </c>
      <c r="F1042" s="2" t="str">
        <f ca="1">IFERROR(__xludf.DUMMYFUNCTION("""COMPUTED_VALUE"""),"Malbec")</f>
        <v>Malbec</v>
      </c>
      <c r="G1042" s="2">
        <f ca="1">IFERROR(__xludf.DUMMYFUNCTION("""COMPUTED_VALUE"""),80700)</f>
        <v>80700</v>
      </c>
      <c r="H1042" s="2">
        <f ca="1">IFERROR(__xludf.DUMMYFUNCTION("""COMPUTED_VALUE"""),84000)</f>
        <v>84000</v>
      </c>
      <c r="I1042" s="2"/>
      <c r="J1042" s="2"/>
      <c r="K1042" s="2" t="str">
        <f ca="1">IFERROR(__xludf.DUMMYFUNCTION("""COMPUTED_VALUE"""),"Filtrado Tang")</f>
        <v>Filtrado Tang</v>
      </c>
      <c r="L1042" s="2" t="str">
        <f ca="1">IFERROR(__xludf.DUMMYFUNCTION("""COMPUTED_VALUE"""),"1-")</f>
        <v>1-</v>
      </c>
      <c r="M1042" s="2" t="str">
        <f ca="1">IFERROR(__xludf.DUMMYFUNCTION("""COMPUTED_VALUE"""),"Tinto")</f>
        <v>Tinto</v>
      </c>
    </row>
    <row r="1043" spans="1:13" x14ac:dyDescent="0.25">
      <c r="A1043" s="2" t="str">
        <f ca="1">IFERROR(__xludf.DUMMYFUNCTION("""COMPUTED_VALUE"""),"8a500155")</f>
        <v>8a500155</v>
      </c>
      <c r="B1043" s="2"/>
      <c r="C1043" s="5">
        <f ca="1">IFERROR(__xludf.DUMMYFUNCTION("""COMPUTED_VALUE"""),45874.4695949074)</f>
        <v>45874.469594907401</v>
      </c>
      <c r="D1043" s="2">
        <f ca="1">IFERROR(__xludf.DUMMYFUNCTION("""COMPUTED_VALUE"""),84)</f>
        <v>84</v>
      </c>
      <c r="E1043" s="2">
        <f ca="1">IFERROR(__xludf.DUMMYFUNCTION("""COMPUTED_VALUE"""),83000)</f>
        <v>83000</v>
      </c>
      <c r="F1043" s="2" t="str">
        <f ca="1">IFERROR(__xludf.DUMMYFUNCTION("""COMPUTED_VALUE"""),"Malbec")</f>
        <v>Malbec</v>
      </c>
      <c r="G1043" s="2">
        <f ca="1">IFERROR(__xludf.DUMMYFUNCTION("""COMPUTED_VALUE"""),0)</f>
        <v>0</v>
      </c>
      <c r="H1043" s="2">
        <f ca="1">IFERROR(__xludf.DUMMYFUNCTION("""COMPUTED_VALUE"""),34700)</f>
        <v>34700</v>
      </c>
      <c r="I1043" s="2"/>
      <c r="J1043" s="2"/>
      <c r="K1043" s="2" t="str">
        <f ca="1">IFERROR(__xludf.DUMMYFUNCTION("""COMPUTED_VALUE"""),"Filtrado Tang")</f>
        <v>Filtrado Tang</v>
      </c>
      <c r="L1043" s="2" t="str">
        <f ca="1">IFERROR(__xludf.DUMMYFUNCTION("""COMPUTED_VALUE"""),"2+")</f>
        <v>2+</v>
      </c>
      <c r="M1043" s="2"/>
    </row>
    <row r="1044" spans="1:13" x14ac:dyDescent="0.25">
      <c r="A1044" s="2" t="str">
        <f ca="1">IFERROR(__xludf.DUMMYFUNCTION("""COMPUTED_VALUE"""),"64504a57")</f>
        <v>64504a57</v>
      </c>
      <c r="B1044" s="2"/>
      <c r="C1044" s="5">
        <f ca="1">IFERROR(__xludf.DUMMYFUNCTION("""COMPUTED_VALUE"""),45874.4721064814)</f>
        <v>45874.4721064814</v>
      </c>
      <c r="D1044" s="2">
        <f ca="1">IFERROR(__xludf.DUMMYFUNCTION("""COMPUTED_VALUE"""),84)</f>
        <v>84</v>
      </c>
      <c r="E1044" s="2">
        <f ca="1">IFERROR(__xludf.DUMMYFUNCTION("""COMPUTED_VALUE"""),83000)</f>
        <v>83000</v>
      </c>
      <c r="F1044" s="2" t="str">
        <f ca="1">IFERROR(__xludf.DUMMYFUNCTION("""COMPUTED_VALUE"""),"Malbec")</f>
        <v>Malbec</v>
      </c>
      <c r="G1044" s="2">
        <f ca="1">IFERROR(__xludf.DUMMYFUNCTION("""COMPUTED_VALUE"""),34700)</f>
        <v>34700</v>
      </c>
      <c r="H1044" s="2">
        <f ca="1">IFERROR(__xludf.DUMMYFUNCTION("""COMPUTED_VALUE"""),69700)</f>
        <v>69700</v>
      </c>
      <c r="I1044" s="2"/>
      <c r="J1044" s="2"/>
      <c r="K1044" s="2" t="str">
        <f ca="1">IFERROR(__xludf.DUMMYFUNCTION("""COMPUTED_VALUE"""),"Filtrado Tang")</f>
        <v>Filtrado Tang</v>
      </c>
      <c r="L1044" s="2" t="str">
        <f ca="1">IFERROR(__xludf.DUMMYFUNCTION("""COMPUTED_VALUE"""),"2+")</f>
        <v>2+</v>
      </c>
      <c r="M1044" s="2"/>
    </row>
    <row r="1045" spans="1:13" x14ac:dyDescent="0.25">
      <c r="A1045" s="2" t="str">
        <f ca="1">IFERROR(__xludf.DUMMYFUNCTION("""COMPUTED_VALUE"""),"d56d1e16")</f>
        <v>d56d1e16</v>
      </c>
      <c r="B1045" s="2"/>
      <c r="C1045" s="5">
        <f ca="1">IFERROR(__xludf.DUMMYFUNCTION("""COMPUTED_VALUE"""),45874.472662037)</f>
        <v>45874.472662036998</v>
      </c>
      <c r="D1045" s="2">
        <f ca="1">IFERROR(__xludf.DUMMYFUNCTION("""COMPUTED_VALUE"""),500)</f>
        <v>500</v>
      </c>
      <c r="E1045" s="2">
        <f ca="1">IFERROR(__xludf.DUMMYFUNCTION("""COMPUTED_VALUE"""),200000)</f>
        <v>200000</v>
      </c>
      <c r="F1045" s="2" t="str">
        <f ca="1">IFERROR(__xludf.DUMMYFUNCTION("""COMPUTED_VALUE"""),"Malbec")</f>
        <v>Malbec</v>
      </c>
      <c r="G1045" s="2">
        <f ca="1">IFERROR(__xludf.DUMMYFUNCTION("""COMPUTED_VALUE"""),2501)</f>
        <v>2501</v>
      </c>
      <c r="H1045" s="2">
        <f ca="1">IFERROR(__xludf.DUMMYFUNCTION("""COMPUTED_VALUE"""),3201)</f>
        <v>3201</v>
      </c>
      <c r="I1045" s="2"/>
      <c r="J1045" s="2"/>
      <c r="K1045" s="2" t="str">
        <f ca="1">IFERROR(__xludf.DUMMYFUNCTION("""COMPUTED_VALUE"""),"2do Trasiego")</f>
        <v>2do Trasiego</v>
      </c>
      <c r="L1045" s="2" t="str">
        <f ca="1">IFERROR(__xludf.DUMMYFUNCTION("""COMPUTED_VALUE"""),"1-")</f>
        <v>1-</v>
      </c>
      <c r="M1045" s="2"/>
    </row>
    <row r="1046" spans="1:13" x14ac:dyDescent="0.25">
      <c r="A1046" s="2" t="str">
        <f ca="1">IFERROR(__xludf.DUMMYFUNCTION("""COMPUTED_VALUE"""),"a2e5798e")</f>
        <v>a2e5798e</v>
      </c>
      <c r="B1046" s="2"/>
      <c r="C1046" s="5">
        <f ca="1">IFERROR(__xludf.DUMMYFUNCTION("""COMPUTED_VALUE"""),45874.4765856481)</f>
        <v>45874.476585648103</v>
      </c>
      <c r="D1046" s="2">
        <f ca="1">IFERROR(__xludf.DUMMYFUNCTION("""COMPUTED_VALUE"""),118)</f>
        <v>118</v>
      </c>
      <c r="E1046" s="2">
        <f ca="1">IFERROR(__xludf.DUMMYFUNCTION("""COMPUTED_VALUE"""),155600)</f>
        <v>155600</v>
      </c>
      <c r="F1046" s="2" t="str">
        <f ca="1">IFERROR(__xludf.DUMMYFUNCTION("""COMPUTED_VALUE"""),"Malbec Lopez")</f>
        <v>Malbec Lopez</v>
      </c>
      <c r="G1046" s="2">
        <f ca="1">IFERROR(__xludf.DUMMYFUNCTION("""COMPUTED_VALUE"""),0)</f>
        <v>0</v>
      </c>
      <c r="H1046" s="2">
        <f ca="1">IFERROR(__xludf.DUMMYFUNCTION("""COMPUTED_VALUE"""),27000)</f>
        <v>27000</v>
      </c>
      <c r="I1046" s="2"/>
      <c r="J1046" s="2"/>
      <c r="K1046" s="2" t="str">
        <f ca="1">IFERROR(__xludf.DUMMYFUNCTION("""COMPUTED_VALUE"""),"Terminado")</f>
        <v>Terminado</v>
      </c>
      <c r="L1046" s="2" t="str">
        <f ca="1">IFERROR(__xludf.DUMMYFUNCTION("""COMPUTED_VALUE"""),"1")</f>
        <v>1</v>
      </c>
      <c r="M1046" s="2"/>
    </row>
    <row r="1047" spans="1:13" x14ac:dyDescent="0.25">
      <c r="A1047" s="2" t="str">
        <f ca="1">IFERROR(__xludf.DUMMYFUNCTION("""COMPUTED_VALUE"""),"83d74d31")</f>
        <v>83d74d31</v>
      </c>
      <c r="B1047" s="2"/>
      <c r="C1047" s="5">
        <f ca="1">IFERROR(__xludf.DUMMYFUNCTION("""COMPUTED_VALUE"""),45874.4793287037)</f>
        <v>45874.479328703703</v>
      </c>
      <c r="D1047" s="2">
        <f ca="1">IFERROR(__xludf.DUMMYFUNCTION("""COMPUTED_VALUE"""),118)</f>
        <v>118</v>
      </c>
      <c r="E1047" s="2">
        <f ca="1">IFERROR(__xludf.DUMMYFUNCTION("""COMPUTED_VALUE"""),155600)</f>
        <v>155600</v>
      </c>
      <c r="F1047" s="2" t="str">
        <f ca="1">IFERROR(__xludf.DUMMYFUNCTION("""COMPUTED_VALUE"""),"Malbec Lopez")</f>
        <v>Malbec Lopez</v>
      </c>
      <c r="G1047" s="2">
        <f ca="1">IFERROR(__xludf.DUMMYFUNCTION("""COMPUTED_VALUE"""),27000)</f>
        <v>27000</v>
      </c>
      <c r="H1047" s="2">
        <f ca="1">IFERROR(__xludf.DUMMYFUNCTION("""COMPUTED_VALUE"""),45000)</f>
        <v>45000</v>
      </c>
      <c r="I1047" s="2"/>
      <c r="J1047" s="2"/>
      <c r="K1047" s="2" t="str">
        <f ca="1">IFERROR(__xludf.DUMMYFUNCTION("""COMPUTED_VALUE"""),"Terminado")</f>
        <v>Terminado</v>
      </c>
      <c r="L1047" s="2" t="str">
        <f ca="1">IFERROR(__xludf.DUMMYFUNCTION("""COMPUTED_VALUE"""),"1")</f>
        <v>1</v>
      </c>
      <c r="M1047" s="2"/>
    </row>
    <row r="1048" spans="1:13" x14ac:dyDescent="0.25">
      <c r="A1048" s="2" t="str">
        <f ca="1">IFERROR(__xludf.DUMMYFUNCTION("""COMPUTED_VALUE"""),"93609069")</f>
        <v>93609069</v>
      </c>
      <c r="B1048" s="2"/>
      <c r="C1048" s="5">
        <f ca="1">IFERROR(__xludf.DUMMYFUNCTION("""COMPUTED_VALUE"""),45874.4798148148)</f>
        <v>45874.479814814797</v>
      </c>
      <c r="D1048" s="2">
        <f ca="1">IFERROR(__xludf.DUMMYFUNCTION("""COMPUTED_VALUE"""),118)</f>
        <v>118</v>
      </c>
      <c r="E1048" s="2">
        <f ca="1">IFERROR(__xludf.DUMMYFUNCTION("""COMPUTED_VALUE"""),155600)</f>
        <v>155600</v>
      </c>
      <c r="F1048" s="2" t="str">
        <f ca="1">IFERROR(__xludf.DUMMYFUNCTION("""COMPUTED_VALUE"""),"Malbec Lopez")</f>
        <v>Malbec Lopez</v>
      </c>
      <c r="G1048" s="2">
        <f ca="1">IFERROR(__xludf.DUMMYFUNCTION("""COMPUTED_VALUE"""),45000)</f>
        <v>45000</v>
      </c>
      <c r="H1048" s="2">
        <f ca="1">IFERROR(__xludf.DUMMYFUNCTION("""COMPUTED_VALUE"""),52000)</f>
        <v>52000</v>
      </c>
      <c r="I1048" s="2"/>
      <c r="J1048" s="2"/>
      <c r="K1048" s="2" t="str">
        <f ca="1">IFERROR(__xludf.DUMMYFUNCTION("""COMPUTED_VALUE"""),"Terminado")</f>
        <v>Terminado</v>
      </c>
      <c r="L1048" s="2" t="str">
        <f ca="1">IFERROR(__xludf.DUMMYFUNCTION("""COMPUTED_VALUE"""),"1")</f>
        <v>1</v>
      </c>
      <c r="M1048" s="2"/>
    </row>
    <row r="1049" spans="1:13" x14ac:dyDescent="0.25">
      <c r="A1049" s="2" t="str">
        <f ca="1">IFERROR(__xludf.DUMMYFUNCTION("""COMPUTED_VALUE"""),"db0fbb38")</f>
        <v>db0fbb38</v>
      </c>
      <c r="B1049" s="2"/>
      <c r="C1049" s="5">
        <f ca="1">IFERROR(__xludf.DUMMYFUNCTION("""COMPUTED_VALUE"""),45874.4803472222)</f>
        <v>45874.480347222197</v>
      </c>
      <c r="D1049" s="2">
        <f ca="1">IFERROR(__xludf.DUMMYFUNCTION("""COMPUTED_VALUE"""),118)</f>
        <v>118</v>
      </c>
      <c r="E1049" s="2">
        <f ca="1">IFERROR(__xludf.DUMMYFUNCTION("""COMPUTED_VALUE"""),155600)</f>
        <v>155600</v>
      </c>
      <c r="F1049" s="2" t="str">
        <f ca="1">IFERROR(__xludf.DUMMYFUNCTION("""COMPUTED_VALUE"""),"Malbec Lopez")</f>
        <v>Malbec Lopez</v>
      </c>
      <c r="G1049" s="2">
        <f ca="1">IFERROR(__xludf.DUMMYFUNCTION("""COMPUTED_VALUE"""),52000)</f>
        <v>52000</v>
      </c>
      <c r="H1049" s="2">
        <f ca="1">IFERROR(__xludf.DUMMYFUNCTION("""COMPUTED_VALUE"""),87000)</f>
        <v>87000</v>
      </c>
      <c r="I1049" s="2"/>
      <c r="J1049" s="2"/>
      <c r="K1049" s="2" t="str">
        <f ca="1">IFERROR(__xludf.DUMMYFUNCTION("""COMPUTED_VALUE"""),"Terminado")</f>
        <v>Terminado</v>
      </c>
      <c r="L1049" s="2" t="str">
        <f ca="1">IFERROR(__xludf.DUMMYFUNCTION("""COMPUTED_VALUE"""),"1")</f>
        <v>1</v>
      </c>
      <c r="M1049" s="2"/>
    </row>
    <row r="1050" spans="1:13" x14ac:dyDescent="0.25">
      <c r="A1050" s="2" t="str">
        <f ca="1">IFERROR(__xludf.DUMMYFUNCTION("""COMPUTED_VALUE"""),"cc6978c9")</f>
        <v>cc6978c9</v>
      </c>
      <c r="B1050" s="2"/>
      <c r="C1050" s="5">
        <f ca="1">IFERROR(__xludf.DUMMYFUNCTION("""COMPUTED_VALUE"""),45874.4809143518)</f>
        <v>45874.4809143518</v>
      </c>
      <c r="D1050" s="2">
        <f ca="1">IFERROR(__xludf.DUMMYFUNCTION("""COMPUTED_VALUE"""),118)</f>
        <v>118</v>
      </c>
      <c r="E1050" s="2">
        <f ca="1">IFERROR(__xludf.DUMMYFUNCTION("""COMPUTED_VALUE"""),155600)</f>
        <v>155600</v>
      </c>
      <c r="F1050" s="2" t="str">
        <f ca="1">IFERROR(__xludf.DUMMYFUNCTION("""COMPUTED_VALUE"""),"Malbec Lopez")</f>
        <v>Malbec Lopez</v>
      </c>
      <c r="G1050" s="2">
        <f ca="1">IFERROR(__xludf.DUMMYFUNCTION("""COMPUTED_VALUE"""),87000)</f>
        <v>87000</v>
      </c>
      <c r="H1050" s="2">
        <f ca="1">IFERROR(__xludf.DUMMYFUNCTION("""COMPUTED_VALUE"""),100000)</f>
        <v>100000</v>
      </c>
      <c r="I1050" s="2"/>
      <c r="J1050" s="2"/>
      <c r="K1050" s="2" t="str">
        <f ca="1">IFERROR(__xludf.DUMMYFUNCTION("""COMPUTED_VALUE"""),"Terminado")</f>
        <v>Terminado</v>
      </c>
      <c r="L1050" s="2" t="str">
        <f ca="1">IFERROR(__xludf.DUMMYFUNCTION("""COMPUTED_VALUE"""),"1")</f>
        <v>1</v>
      </c>
      <c r="M1050" s="2"/>
    </row>
    <row r="1051" spans="1:13" x14ac:dyDescent="0.25">
      <c r="A1051" s="2" t="str">
        <f ca="1">IFERROR(__xludf.DUMMYFUNCTION("""COMPUTED_VALUE"""),"a2728d01")</f>
        <v>a2728d01</v>
      </c>
      <c r="B1051" s="2"/>
      <c r="C1051" s="5">
        <f ca="1">IFERROR(__xludf.DUMMYFUNCTION("""COMPUTED_VALUE"""),45874.483599537)</f>
        <v>45874.483599537001</v>
      </c>
      <c r="D1051" s="2">
        <f ca="1">IFERROR(__xludf.DUMMYFUNCTION("""COMPUTED_VALUE"""),25)</f>
        <v>25</v>
      </c>
      <c r="E1051" s="2">
        <f ca="1">IFERROR(__xludf.DUMMYFUNCTION("""COMPUTED_VALUE"""),194300)</f>
        <v>194300</v>
      </c>
      <c r="F1051" s="2" t="str">
        <f ca="1">IFERROR(__xludf.DUMMYFUNCTION("""COMPUTED_VALUE"""),"Syrah")</f>
        <v>Syrah</v>
      </c>
      <c r="G1051" s="2">
        <f ca="1">IFERROR(__xludf.DUMMYFUNCTION("""COMPUTED_VALUE"""),167300)</f>
        <v>167300</v>
      </c>
      <c r="H1051" s="2">
        <f ca="1">IFERROR(__xludf.DUMMYFUNCTION("""COMPUTED_VALUE"""),194300)</f>
        <v>194300</v>
      </c>
      <c r="I1051" s="2"/>
      <c r="J1051" s="2"/>
      <c r="K1051" s="2" t="str">
        <f ca="1">IFERROR(__xludf.DUMMYFUNCTION("""COMPUTED_VALUE"""),"2do Trasiego")</f>
        <v>2do Trasiego</v>
      </c>
      <c r="L1051" s="2" t="str">
        <f ca="1">IFERROR(__xludf.DUMMYFUNCTION("""COMPUTED_VALUE"""),"1")</f>
        <v>1</v>
      </c>
      <c r="M1051" s="2" t="str">
        <f ca="1">IFERROR(__xludf.DUMMYFUNCTION("""COMPUTED_VALUE"""),"Tinto")</f>
        <v>Tinto</v>
      </c>
    </row>
    <row r="1052" spans="1:13" x14ac:dyDescent="0.25">
      <c r="A1052" s="2" t="str">
        <f ca="1">IFERROR(__xludf.DUMMYFUNCTION("""COMPUTED_VALUE"""),"686fc77a")</f>
        <v>686fc77a</v>
      </c>
      <c r="B1052" s="2"/>
      <c r="C1052" s="5">
        <f ca="1">IFERROR(__xludf.DUMMYFUNCTION("""COMPUTED_VALUE"""),45874.4840162037)</f>
        <v>45874.4840162037</v>
      </c>
      <c r="D1052" s="2">
        <f ca="1">IFERROR(__xludf.DUMMYFUNCTION("""COMPUTED_VALUE"""),90)</f>
        <v>90</v>
      </c>
      <c r="E1052" s="2">
        <f ca="1">IFERROR(__xludf.DUMMYFUNCTION("""COMPUTED_VALUE"""),97500)</f>
        <v>97500</v>
      </c>
      <c r="F1052" s="2" t="str">
        <f ca="1">IFERROR(__xludf.DUMMYFUNCTION("""COMPUTED_VALUE"""),"Bonarda")</f>
        <v>Bonarda</v>
      </c>
      <c r="G1052" s="2">
        <f ca="1">IFERROR(__xludf.DUMMYFUNCTION("""COMPUTED_VALUE"""),79500)</f>
        <v>79500</v>
      </c>
      <c r="H1052" s="2">
        <f ca="1">IFERROR(__xludf.DUMMYFUNCTION("""COMPUTED_VALUE"""),97500)</f>
        <v>97500</v>
      </c>
      <c r="I1052" s="2"/>
      <c r="J1052" s="2"/>
      <c r="K1052" s="2" t="str">
        <f ca="1">IFERROR(__xludf.DUMMYFUNCTION("""COMPUTED_VALUE"""),"2do Trasiego")</f>
        <v>2do Trasiego</v>
      </c>
      <c r="L1052" s="2" t="str">
        <f ca="1">IFERROR(__xludf.DUMMYFUNCTION("""COMPUTED_VALUE"""),"1")</f>
        <v>1</v>
      </c>
      <c r="M1052" s="2" t="str">
        <f ca="1">IFERROR(__xludf.DUMMYFUNCTION("""COMPUTED_VALUE"""),"Tinto")</f>
        <v>Tinto</v>
      </c>
    </row>
    <row r="1053" spans="1:13" x14ac:dyDescent="0.25">
      <c r="A1053" s="2" t="str">
        <f ca="1">IFERROR(__xludf.DUMMYFUNCTION("""COMPUTED_VALUE"""),"5c87f162")</f>
        <v>5c87f162</v>
      </c>
      <c r="B1053" s="2"/>
      <c r="C1053" s="5">
        <f ca="1">IFERROR(__xludf.DUMMYFUNCTION("""COMPUTED_VALUE"""),45874.4842592592)</f>
        <v>45874.484259259203</v>
      </c>
      <c r="D1053" s="2">
        <f ca="1">IFERROR(__xludf.DUMMYFUNCTION("""COMPUTED_VALUE"""),54)</f>
        <v>54</v>
      </c>
      <c r="E1053" s="2">
        <f ca="1">IFERROR(__xludf.DUMMYFUNCTION("""COMPUTED_VALUE"""),22900)</f>
        <v>22900</v>
      </c>
      <c r="F1053" s="2" t="str">
        <f ca="1">IFERROR(__xludf.DUMMYFUNCTION("""COMPUTED_VALUE"""),"Syrah")</f>
        <v>Syrah</v>
      </c>
      <c r="G1053" s="2">
        <f ca="1">IFERROR(__xludf.DUMMYFUNCTION("""COMPUTED_VALUE"""),0)</f>
        <v>0</v>
      </c>
      <c r="H1053" s="2">
        <f ca="1">IFERROR(__xludf.DUMMYFUNCTION("""COMPUTED_VALUE"""),22900)</f>
        <v>22900</v>
      </c>
      <c r="I1053" s="2"/>
      <c r="J1053" s="2"/>
      <c r="K1053" s="2" t="str">
        <f ca="1">IFERROR(__xludf.DUMMYFUNCTION("""COMPUTED_VALUE"""),"2do Trasiego")</f>
        <v>2do Trasiego</v>
      </c>
      <c r="L1053" s="2" t="str">
        <f ca="1">IFERROR(__xludf.DUMMYFUNCTION("""COMPUTED_VALUE"""),"1+")</f>
        <v>1+</v>
      </c>
      <c r="M1053" s="2" t="str">
        <f ca="1">IFERROR(__xludf.DUMMYFUNCTION("""COMPUTED_VALUE"""),"Tinto")</f>
        <v>Tinto</v>
      </c>
    </row>
    <row r="1054" spans="1:13" x14ac:dyDescent="0.25">
      <c r="A1054" s="2" t="str">
        <f ca="1">IFERROR(__xludf.DUMMYFUNCTION("""COMPUTED_VALUE"""),"869e8a1b")</f>
        <v>869e8a1b</v>
      </c>
      <c r="B1054" s="2"/>
      <c r="C1054" s="5">
        <f ca="1">IFERROR(__xludf.DUMMYFUNCTION("""COMPUTED_VALUE"""),45874.4849305555)</f>
        <v>45874.484930555504</v>
      </c>
      <c r="D1054" s="2">
        <f ca="1">IFERROR(__xludf.DUMMYFUNCTION("""COMPUTED_VALUE"""),16)</f>
        <v>16</v>
      </c>
      <c r="E1054" s="2">
        <f ca="1">IFERROR(__xludf.DUMMYFUNCTION("""COMPUTED_VALUE"""),19500)</f>
        <v>19500</v>
      </c>
      <c r="F1054" s="2" t="str">
        <f ca="1">IFERROR(__xludf.DUMMYFUNCTION("""COMPUTED_VALUE"""),"Syrah")</f>
        <v>Syrah</v>
      </c>
      <c r="G1054" s="2">
        <f ca="1">IFERROR(__xludf.DUMMYFUNCTION("""COMPUTED_VALUE"""),0)</f>
        <v>0</v>
      </c>
      <c r="H1054" s="2">
        <f ca="1">IFERROR(__xludf.DUMMYFUNCTION("""COMPUTED_VALUE"""),19500)</f>
        <v>19500</v>
      </c>
      <c r="I1054" s="2"/>
      <c r="J1054" s="2"/>
      <c r="K1054" s="2" t="str">
        <f ca="1">IFERROR(__xludf.DUMMYFUNCTION("""COMPUTED_VALUE"""),"2do Trasiego")</f>
        <v>2do Trasiego</v>
      </c>
      <c r="L1054" s="2" t="str">
        <f ca="1">IFERROR(__xludf.DUMMYFUNCTION("""COMPUTED_VALUE"""),"1-")</f>
        <v>1-</v>
      </c>
      <c r="M1054" s="2" t="str">
        <f ca="1">IFERROR(__xludf.DUMMYFUNCTION("""COMPUTED_VALUE"""),"Tinto")</f>
        <v>Tinto</v>
      </c>
    </row>
    <row r="1055" spans="1:13" x14ac:dyDescent="0.25">
      <c r="A1055" s="2" t="str">
        <f ca="1">IFERROR(__xludf.DUMMYFUNCTION("""COMPUTED_VALUE"""),"4136ccb7")</f>
        <v>4136ccb7</v>
      </c>
      <c r="B1055" s="2"/>
      <c r="C1055" s="5">
        <f ca="1">IFERROR(__xludf.DUMMYFUNCTION("""COMPUTED_VALUE"""),45874.4863888888)</f>
        <v>45874.486388888799</v>
      </c>
      <c r="D1055" s="2">
        <f ca="1">IFERROR(__xludf.DUMMYFUNCTION("""COMPUTED_VALUE"""),6)</f>
        <v>6</v>
      </c>
      <c r="E1055" s="2">
        <f ca="1">IFERROR(__xludf.DUMMYFUNCTION("""COMPUTED_VALUE"""),32000)</f>
        <v>32000</v>
      </c>
      <c r="F1055" s="2" t="str">
        <f ca="1">IFERROR(__xludf.DUMMYFUNCTION("""COMPUTED_VALUE"""),"Aspirant Anccelota Gota")</f>
        <v>Aspirant Anccelota Gota</v>
      </c>
      <c r="G1055" s="2">
        <f ca="1">IFERROR(__xludf.DUMMYFUNCTION("""COMPUTED_VALUE"""),0)</f>
        <v>0</v>
      </c>
      <c r="H1055" s="2">
        <f ca="1">IFERROR(__xludf.DUMMYFUNCTION("""COMPUTED_VALUE"""),28100)</f>
        <v>28100</v>
      </c>
      <c r="I1055" s="2"/>
      <c r="J1055" s="2"/>
      <c r="K1055" s="2" t="str">
        <f ca="1">IFERROR(__xludf.DUMMYFUNCTION("""COMPUTED_VALUE"""),"2do Trasiego")</f>
        <v>2do Trasiego</v>
      </c>
      <c r="L1055" s="2"/>
      <c r="M1055" s="2"/>
    </row>
    <row r="1056" spans="1:13" x14ac:dyDescent="0.25">
      <c r="A1056" s="2" t="str">
        <f ca="1">IFERROR(__xludf.DUMMYFUNCTION("""COMPUTED_VALUE"""),"63b0e73c")</f>
        <v>63b0e73c</v>
      </c>
      <c r="B1056" s="2"/>
      <c r="C1056" s="5">
        <f ca="1">IFERROR(__xludf.DUMMYFUNCTION("""COMPUTED_VALUE"""),45874.4899537037)</f>
        <v>45874.489953703698</v>
      </c>
      <c r="D1056" s="2">
        <f ca="1">IFERROR(__xludf.DUMMYFUNCTION("""COMPUTED_VALUE"""),6)</f>
        <v>6</v>
      </c>
      <c r="E1056" s="2">
        <f ca="1">IFERROR(__xludf.DUMMYFUNCTION("""COMPUTED_VALUE"""),32000)</f>
        <v>32000</v>
      </c>
      <c r="F1056" s="2" t="str">
        <f ca="1">IFERROR(__xludf.DUMMYFUNCTION("""COMPUTED_VALUE"""),"Aspirant Anccelota Gota")</f>
        <v>Aspirant Anccelota Gota</v>
      </c>
      <c r="G1056" s="2">
        <f ca="1">IFERROR(__xludf.DUMMYFUNCTION("""COMPUTED_VALUE"""),28100)</f>
        <v>28100</v>
      </c>
      <c r="H1056" s="2">
        <f ca="1">IFERROR(__xludf.DUMMYFUNCTION("""COMPUTED_VALUE"""),32000)</f>
        <v>32000</v>
      </c>
      <c r="I1056" s="2"/>
      <c r="J1056" s="2"/>
      <c r="K1056" s="2" t="str">
        <f ca="1">IFERROR(__xludf.DUMMYFUNCTION("""COMPUTED_VALUE"""),"2do Trasiego")</f>
        <v>2do Trasiego</v>
      </c>
      <c r="L1056" s="2"/>
      <c r="M1056" s="2" t="str">
        <f ca="1">IFERROR(__xludf.DUMMYFUNCTION("""COMPUTED_VALUE"""),"Tinto")</f>
        <v>Tinto</v>
      </c>
    </row>
    <row r="1057" spans="1:13" x14ac:dyDescent="0.25">
      <c r="A1057" s="2" t="str">
        <f ca="1">IFERROR(__xludf.DUMMYFUNCTION("""COMPUTED_VALUE"""),"52e2d0ea")</f>
        <v>52e2d0ea</v>
      </c>
      <c r="B1057" s="2"/>
      <c r="C1057" s="5">
        <f ca="1">IFERROR(__xludf.DUMMYFUNCTION("""COMPUTED_VALUE"""),45875.4670833333)</f>
        <v>45875.4670833333</v>
      </c>
      <c r="D1057" s="2">
        <f ca="1">IFERROR(__xludf.DUMMYFUNCTION("""COMPUTED_VALUE"""),84)</f>
        <v>84</v>
      </c>
      <c r="E1057" s="2">
        <f ca="1">IFERROR(__xludf.DUMMYFUNCTION("""COMPUTED_VALUE"""),83000)</f>
        <v>83000</v>
      </c>
      <c r="F1057" s="2" t="str">
        <f ca="1">IFERROR(__xludf.DUMMYFUNCTION("""COMPUTED_VALUE"""),"Malbec")</f>
        <v>Malbec</v>
      </c>
      <c r="G1057" s="2">
        <f ca="1">IFERROR(__xludf.DUMMYFUNCTION("""COMPUTED_VALUE"""),69700)</f>
        <v>69700</v>
      </c>
      <c r="H1057" s="2">
        <f ca="1">IFERROR(__xludf.DUMMYFUNCTION("""COMPUTED_VALUE"""),83000)</f>
        <v>83000</v>
      </c>
      <c r="I1057" s="2"/>
      <c r="J1057" s="2"/>
      <c r="K1057" s="2" t="str">
        <f ca="1">IFERROR(__xludf.DUMMYFUNCTION("""COMPUTED_VALUE"""),"Filtrado Tang")</f>
        <v>Filtrado Tang</v>
      </c>
      <c r="L1057" s="2" t="str">
        <f ca="1">IFERROR(__xludf.DUMMYFUNCTION("""COMPUTED_VALUE"""),"2+")</f>
        <v>2+</v>
      </c>
      <c r="M1057" s="2" t="str">
        <f ca="1">IFERROR(__xludf.DUMMYFUNCTION("""COMPUTED_VALUE"""),"Tinto")</f>
        <v>Tinto</v>
      </c>
    </row>
    <row r="1058" spans="1:13" x14ac:dyDescent="0.25">
      <c r="A1058" s="2" t="str">
        <f ca="1">IFERROR(__xludf.DUMMYFUNCTION("""COMPUTED_VALUE"""),"d8db7956")</f>
        <v>d8db7956</v>
      </c>
      <c r="B1058" s="2"/>
      <c r="C1058" s="5">
        <f ca="1">IFERROR(__xludf.DUMMYFUNCTION("""COMPUTED_VALUE"""),45875.467349537)</f>
        <v>45875.467349537001</v>
      </c>
      <c r="D1058" s="2">
        <f ca="1">IFERROR(__xludf.DUMMYFUNCTION("""COMPUTED_VALUE"""),83)</f>
        <v>83</v>
      </c>
      <c r="E1058" s="2">
        <f ca="1">IFERROR(__xludf.DUMMYFUNCTION("""COMPUTED_VALUE"""),81500)</f>
        <v>81500</v>
      </c>
      <c r="F1058" s="2" t="str">
        <f ca="1">IFERROR(__xludf.DUMMYFUNCTION("""COMPUTED_VALUE"""),"Malbec")</f>
        <v>Malbec</v>
      </c>
      <c r="G1058" s="2">
        <f ca="1">IFERROR(__xludf.DUMMYFUNCTION("""COMPUTED_VALUE"""),0)</f>
        <v>0</v>
      </c>
      <c r="H1058" s="2">
        <f ca="1">IFERROR(__xludf.DUMMYFUNCTION("""COMPUTED_VALUE"""),13300)</f>
        <v>13300</v>
      </c>
      <c r="I1058" s="2"/>
      <c r="J1058" s="2"/>
      <c r="K1058" s="2" t="str">
        <f ca="1">IFERROR(__xludf.DUMMYFUNCTION("""COMPUTED_VALUE"""),"Filtrado Tang")</f>
        <v>Filtrado Tang</v>
      </c>
      <c r="L1058" s="2" t="str">
        <f ca="1">IFERROR(__xludf.DUMMYFUNCTION("""COMPUTED_VALUE"""),"2+")</f>
        <v>2+</v>
      </c>
      <c r="M1058" s="2"/>
    </row>
    <row r="1059" spans="1:13" x14ac:dyDescent="0.25">
      <c r="A1059" s="2" t="str">
        <f ca="1">IFERROR(__xludf.DUMMYFUNCTION("""COMPUTED_VALUE"""),"8e0dc7e2")</f>
        <v>8e0dc7e2</v>
      </c>
      <c r="B1059" s="2"/>
      <c r="C1059" s="5">
        <f ca="1">IFERROR(__xludf.DUMMYFUNCTION("""COMPUTED_VALUE"""),45875.4677314814)</f>
        <v>45875.467731481403</v>
      </c>
      <c r="D1059" s="2">
        <f ca="1">IFERROR(__xludf.DUMMYFUNCTION("""COMPUTED_VALUE"""),83)</f>
        <v>83</v>
      </c>
      <c r="E1059" s="2">
        <f ca="1">IFERROR(__xludf.DUMMYFUNCTION("""COMPUTED_VALUE"""),81500)</f>
        <v>81500</v>
      </c>
      <c r="F1059" s="2" t="str">
        <f ca="1">IFERROR(__xludf.DUMMYFUNCTION("""COMPUTED_VALUE"""),"Malbec")</f>
        <v>Malbec</v>
      </c>
      <c r="G1059" s="2">
        <f ca="1">IFERROR(__xludf.DUMMYFUNCTION("""COMPUTED_VALUE"""),13300)</f>
        <v>13300</v>
      </c>
      <c r="H1059" s="2">
        <f ca="1">IFERROR(__xludf.DUMMYFUNCTION("""COMPUTED_VALUE"""),28300)</f>
        <v>28300</v>
      </c>
      <c r="I1059" s="2"/>
      <c r="J1059" s="2"/>
      <c r="K1059" s="2" t="str">
        <f ca="1">IFERROR(__xludf.DUMMYFUNCTION("""COMPUTED_VALUE"""),"Filtrado Tang")</f>
        <v>Filtrado Tang</v>
      </c>
      <c r="L1059" s="2" t="str">
        <f ca="1">IFERROR(__xludf.DUMMYFUNCTION("""COMPUTED_VALUE"""),"2+")</f>
        <v>2+</v>
      </c>
      <c r="M1059" s="2"/>
    </row>
    <row r="1060" spans="1:13" x14ac:dyDescent="0.25">
      <c r="A1060" s="2" t="str">
        <f ca="1">IFERROR(__xludf.DUMMYFUNCTION("""COMPUTED_VALUE"""),"19567056")</f>
        <v>19567056</v>
      </c>
      <c r="B1060" s="2"/>
      <c r="C1060" s="5">
        <f ca="1">IFERROR(__xludf.DUMMYFUNCTION("""COMPUTED_VALUE"""),45875.6683217592)</f>
        <v>45875.6683217592</v>
      </c>
      <c r="D1060" s="2">
        <f ca="1">IFERROR(__xludf.DUMMYFUNCTION("""COMPUTED_VALUE"""),115)</f>
        <v>115</v>
      </c>
      <c r="E1060" s="2">
        <f ca="1">IFERROR(__xludf.DUMMYFUNCTION("""COMPUTED_VALUE"""),120200)</f>
        <v>120200</v>
      </c>
      <c r="F1060" s="2" t="str">
        <f ca="1">IFERROR(__xludf.DUMMYFUNCTION("""COMPUTED_VALUE"""),"Tinto")</f>
        <v>Tinto</v>
      </c>
      <c r="G1060" s="2">
        <f ca="1">IFERROR(__xludf.DUMMYFUNCTION("""COMPUTED_VALUE"""),85200)</f>
        <v>85200</v>
      </c>
      <c r="H1060" s="2">
        <f ca="1">IFERROR(__xludf.DUMMYFUNCTION("""COMPUTED_VALUE"""),120200)</f>
        <v>120200</v>
      </c>
      <c r="I1060" s="2"/>
      <c r="J1060" s="2"/>
      <c r="K1060" s="2" t="str">
        <f ca="1">IFERROR(__xludf.DUMMYFUNCTION("""COMPUTED_VALUE"""),"2do Trasiego")</f>
        <v>2do Trasiego</v>
      </c>
      <c r="L1060" s="2" t="str">
        <f ca="1">IFERROR(__xludf.DUMMYFUNCTION("""COMPUTED_VALUE"""),"1")</f>
        <v>1</v>
      </c>
      <c r="M1060" s="2" t="str">
        <f ca="1">IFERROR(__xludf.DUMMYFUNCTION("""COMPUTED_VALUE"""),"Tinto")</f>
        <v>Tinto</v>
      </c>
    </row>
    <row r="1061" spans="1:13" x14ac:dyDescent="0.25">
      <c r="A1061" s="2" t="str">
        <f ca="1">IFERROR(__xludf.DUMMYFUNCTION("""COMPUTED_VALUE"""),"dd0a11e8")</f>
        <v>dd0a11e8</v>
      </c>
      <c r="B1061" s="2"/>
      <c r="C1061" s="5">
        <f ca="1">IFERROR(__xludf.DUMMYFUNCTION("""COMPUTED_VALUE"""),45875.6690393518)</f>
        <v>45875.6690393518</v>
      </c>
      <c r="D1061" s="2">
        <f ca="1">IFERROR(__xludf.DUMMYFUNCTION("""COMPUTED_VALUE"""),71)</f>
        <v>71</v>
      </c>
      <c r="E1061" s="2">
        <f ca="1">IFERROR(__xludf.DUMMYFUNCTION("""COMPUTED_VALUE"""),13000)</f>
        <v>13000</v>
      </c>
      <c r="F1061" s="2" t="str">
        <f ca="1">IFERROR(__xludf.DUMMYFUNCTION("""COMPUTED_VALUE"""),"Tinto")</f>
        <v>Tinto</v>
      </c>
      <c r="G1061" s="2">
        <f ca="1">IFERROR(__xludf.DUMMYFUNCTION("""COMPUTED_VALUE"""),0)</f>
        <v>0</v>
      </c>
      <c r="H1061" s="2">
        <f ca="1">IFERROR(__xludf.DUMMYFUNCTION("""COMPUTED_VALUE"""),7600)</f>
        <v>7600</v>
      </c>
      <c r="I1061" s="2"/>
      <c r="J1061" s="2"/>
      <c r="K1061" s="2" t="str">
        <f ca="1">IFERROR(__xludf.DUMMYFUNCTION("""COMPUTED_VALUE"""),"2do Trasiego")</f>
        <v>2do Trasiego</v>
      </c>
      <c r="L1061" s="2" t="str">
        <f ca="1">IFERROR(__xludf.DUMMYFUNCTION("""COMPUTED_VALUE"""),"1")</f>
        <v>1</v>
      </c>
      <c r="M1061" s="2"/>
    </row>
    <row r="1062" spans="1:13" x14ac:dyDescent="0.25">
      <c r="A1062" s="2" t="str">
        <f ca="1">IFERROR(__xludf.DUMMYFUNCTION("""COMPUTED_VALUE"""),"7a61df09")</f>
        <v>7a61df09</v>
      </c>
      <c r="B1062" s="2"/>
      <c r="C1062" s="5">
        <f ca="1">IFERROR(__xludf.DUMMYFUNCTION("""COMPUTED_VALUE"""),45875.669537037)</f>
        <v>45875.669537037</v>
      </c>
      <c r="D1062" s="2">
        <f ca="1">IFERROR(__xludf.DUMMYFUNCTION("""COMPUTED_VALUE"""),71)</f>
        <v>71</v>
      </c>
      <c r="E1062" s="2">
        <f ca="1">IFERROR(__xludf.DUMMYFUNCTION("""COMPUTED_VALUE"""),13000)</f>
        <v>13000</v>
      </c>
      <c r="F1062" s="2" t="str">
        <f ca="1">IFERROR(__xludf.DUMMYFUNCTION("""COMPUTED_VALUE"""),"Tinto")</f>
        <v>Tinto</v>
      </c>
      <c r="G1062" s="2">
        <f ca="1">IFERROR(__xludf.DUMMYFUNCTION("""COMPUTED_VALUE"""),7600)</f>
        <v>7600</v>
      </c>
      <c r="H1062" s="2">
        <f ca="1">IFERROR(__xludf.DUMMYFUNCTION("""COMPUTED_VALUE"""),11500)</f>
        <v>11500</v>
      </c>
      <c r="I1062" s="2"/>
      <c r="J1062" s="2"/>
      <c r="K1062" s="2" t="str">
        <f ca="1">IFERROR(__xludf.DUMMYFUNCTION("""COMPUTED_VALUE"""),"2do Trasiego")</f>
        <v>2do Trasiego</v>
      </c>
      <c r="L1062" s="2" t="str">
        <f ca="1">IFERROR(__xludf.DUMMYFUNCTION("""COMPUTED_VALUE"""),"1")</f>
        <v>1</v>
      </c>
      <c r="M1062" s="2" t="str">
        <f ca="1">IFERROR(__xludf.DUMMYFUNCTION("""COMPUTED_VALUE"""),"Tinto")</f>
        <v>Tinto</v>
      </c>
    </row>
    <row r="1063" spans="1:13" x14ac:dyDescent="0.25">
      <c r="A1063" s="2" t="str">
        <f ca="1">IFERROR(__xludf.DUMMYFUNCTION("""COMPUTED_VALUE"""),"5c2023e8")</f>
        <v>5c2023e8</v>
      </c>
      <c r="B1063" s="2"/>
      <c r="C1063" s="5">
        <f ca="1">IFERROR(__xludf.DUMMYFUNCTION("""COMPUTED_VALUE"""),45880.7048726851)</f>
        <v>45880.704872685099</v>
      </c>
      <c r="D1063" s="2">
        <f ca="1">IFERROR(__xludf.DUMMYFUNCTION("""COMPUTED_VALUE"""),500)</f>
        <v>500</v>
      </c>
      <c r="E1063" s="2">
        <f ca="1">IFERROR(__xludf.DUMMYFUNCTION("""COMPUTED_VALUE"""),200000)</f>
        <v>200000</v>
      </c>
      <c r="F1063" s="2" t="str">
        <f ca="1">IFERROR(__xludf.DUMMYFUNCTION("""COMPUTED_VALUE"""),"Malbec Lopez")</f>
        <v>Malbec Lopez</v>
      </c>
      <c r="G1063" s="2">
        <f ca="1">IFERROR(__xludf.DUMMYFUNCTION("""COMPUTED_VALUE"""),0)</f>
        <v>0</v>
      </c>
      <c r="H1063" s="2">
        <f ca="1">IFERROR(__xludf.DUMMYFUNCTION("""COMPUTED_VALUE"""),100000)</f>
        <v>100000</v>
      </c>
      <c r="I1063" s="2"/>
      <c r="J1063" s="2"/>
      <c r="K1063" s="2" t="str">
        <f ca="1">IFERROR(__xludf.DUMMYFUNCTION("""COMPUTED_VALUE"""),"Traslado Venta")</f>
        <v>Traslado Venta</v>
      </c>
      <c r="L1063" s="2" t="str">
        <f ca="1">IFERROR(__xludf.DUMMYFUNCTION("""COMPUTED_VALUE"""),"1")</f>
        <v>1</v>
      </c>
      <c r="M1063" s="2"/>
    </row>
    <row r="1064" spans="1:13" x14ac:dyDescent="0.25">
      <c r="A1064" s="2" t="str">
        <f ca="1">IFERROR(__xludf.DUMMYFUNCTION("""COMPUTED_VALUE"""),"5da633b1")</f>
        <v>5da633b1</v>
      </c>
      <c r="B1064" s="2"/>
      <c r="C1064" s="5">
        <f ca="1">IFERROR(__xludf.DUMMYFUNCTION("""COMPUTED_VALUE"""),45880.7069097222)</f>
        <v>45880.706909722197</v>
      </c>
      <c r="D1064" s="2">
        <f ca="1">IFERROR(__xludf.DUMMYFUNCTION("""COMPUTED_VALUE"""),500)</f>
        <v>500</v>
      </c>
      <c r="E1064" s="2">
        <f ca="1">IFERROR(__xludf.DUMMYFUNCTION("""COMPUTED_VALUE"""),200000)</f>
        <v>200000</v>
      </c>
      <c r="F1064" s="2" t="str">
        <f ca="1">IFERROR(__xludf.DUMMYFUNCTION("""COMPUTED_VALUE"""),"Chardonnay Calia Venta")</f>
        <v>Chardonnay Calia Venta</v>
      </c>
      <c r="G1064" s="2">
        <f ca="1">IFERROR(__xludf.DUMMYFUNCTION("""COMPUTED_VALUE"""),0)</f>
        <v>0</v>
      </c>
      <c r="H1064" s="2">
        <f ca="1">IFERROR(__xludf.DUMMYFUNCTION("""COMPUTED_VALUE"""),30000)</f>
        <v>30000</v>
      </c>
      <c r="I1064" s="2"/>
      <c r="J1064" s="2"/>
      <c r="K1064" s="2" t="str">
        <f ca="1">IFERROR(__xludf.DUMMYFUNCTION("""COMPUTED_VALUE"""),"Traslado Venta")</f>
        <v>Traslado Venta</v>
      </c>
      <c r="L1064" s="2" t="str">
        <f ca="1">IFERROR(__xludf.DUMMYFUNCTION("""COMPUTED_VALUE"""),"1+")</f>
        <v>1+</v>
      </c>
      <c r="M1064" s="2"/>
    </row>
    <row r="1065" spans="1:13" x14ac:dyDescent="0.25">
      <c r="A1065" s="2" t="str">
        <f ca="1">IFERROR(__xludf.DUMMYFUNCTION("""COMPUTED_VALUE"""),"65fa0dbb")</f>
        <v>65fa0dbb</v>
      </c>
      <c r="B1065" s="2"/>
      <c r="C1065" s="5">
        <f ca="1">IFERROR(__xludf.DUMMYFUNCTION("""COMPUTED_VALUE"""),45880.7071875)</f>
        <v>45880.707187499997</v>
      </c>
      <c r="D1065" s="2">
        <f ca="1">IFERROR(__xludf.DUMMYFUNCTION("""COMPUTED_VALUE"""),500)</f>
        <v>500</v>
      </c>
      <c r="E1065" s="2">
        <f ca="1">IFERROR(__xludf.DUMMYFUNCTION("""COMPUTED_VALUE"""),200000)</f>
        <v>200000</v>
      </c>
      <c r="F1065" s="2" t="str">
        <f ca="1">IFERROR(__xludf.DUMMYFUNCTION("""COMPUTED_VALUE"""),"Chardonnay Calia Venta")</f>
        <v>Chardonnay Calia Venta</v>
      </c>
      <c r="G1065" s="2">
        <f ca="1">IFERROR(__xludf.DUMMYFUNCTION("""COMPUTED_VALUE"""),30000)</f>
        <v>30000</v>
      </c>
      <c r="H1065" s="2">
        <f ca="1">IFERROR(__xludf.DUMMYFUNCTION("""COMPUTED_VALUE"""),54000)</f>
        <v>54000</v>
      </c>
      <c r="I1065" s="2"/>
      <c r="J1065" s="2"/>
      <c r="K1065" s="2" t="str">
        <f ca="1">IFERROR(__xludf.DUMMYFUNCTION("""COMPUTED_VALUE"""),"Traslado Venta")</f>
        <v>Traslado Venta</v>
      </c>
      <c r="L1065" s="2" t="str">
        <f ca="1">IFERROR(__xludf.DUMMYFUNCTION("""COMPUTED_VALUE"""),"1+")</f>
        <v>1+</v>
      </c>
      <c r="M1065" s="2"/>
    </row>
    <row r="1066" spans="1:13" x14ac:dyDescent="0.25">
      <c r="A1066" s="2" t="str">
        <f ca="1">IFERROR(__xludf.DUMMYFUNCTION("""COMPUTED_VALUE"""),"2a8efe4b")</f>
        <v>2a8efe4b</v>
      </c>
      <c r="B1066" s="2"/>
      <c r="C1066" s="5">
        <f ca="1">IFERROR(__xludf.DUMMYFUNCTION("""COMPUTED_VALUE"""),45880.7075810185)</f>
        <v>45880.707581018498</v>
      </c>
      <c r="D1066" s="2">
        <f ca="1">IFERROR(__xludf.DUMMYFUNCTION("""COMPUTED_VALUE"""),500)</f>
        <v>500</v>
      </c>
      <c r="E1066" s="2">
        <f ca="1">IFERROR(__xludf.DUMMYFUNCTION("""COMPUTED_VALUE"""),200000)</f>
        <v>200000</v>
      </c>
      <c r="F1066" s="2" t="str">
        <f ca="1">IFERROR(__xludf.DUMMYFUNCTION("""COMPUTED_VALUE"""),"Chardonnay Calia Venta")</f>
        <v>Chardonnay Calia Venta</v>
      </c>
      <c r="G1066" s="2">
        <f ca="1">IFERROR(__xludf.DUMMYFUNCTION("""COMPUTED_VALUE"""),54000)</f>
        <v>54000</v>
      </c>
      <c r="H1066" s="2">
        <f ca="1">IFERROR(__xludf.DUMMYFUNCTION("""COMPUTED_VALUE"""),90300)</f>
        <v>90300</v>
      </c>
      <c r="I1066" s="2"/>
      <c r="J1066" s="2"/>
      <c r="K1066" s="2" t="str">
        <f ca="1">IFERROR(__xludf.DUMMYFUNCTION("""COMPUTED_VALUE"""),"Traslado Venta")</f>
        <v>Traslado Venta</v>
      </c>
      <c r="L1066" s="2" t="str">
        <f ca="1">IFERROR(__xludf.DUMMYFUNCTION("""COMPUTED_VALUE"""),"1+")</f>
        <v>1+</v>
      </c>
      <c r="M1066" s="2"/>
    </row>
    <row r="1067" spans="1:13" x14ac:dyDescent="0.25">
      <c r="A1067" s="2" t="str">
        <f ca="1">IFERROR(__xludf.DUMMYFUNCTION("""COMPUTED_VALUE"""),"e8a80129")</f>
        <v>e8a80129</v>
      </c>
      <c r="B1067" s="2"/>
      <c r="C1067" s="5">
        <f ca="1">IFERROR(__xludf.DUMMYFUNCTION("""COMPUTED_VALUE"""),45880.7081481481)</f>
        <v>45880.7081481481</v>
      </c>
      <c r="D1067" s="2">
        <f ca="1">IFERROR(__xludf.DUMMYFUNCTION("""COMPUTED_VALUE"""),500)</f>
        <v>500</v>
      </c>
      <c r="E1067" s="2">
        <f ca="1">IFERROR(__xludf.DUMMYFUNCTION("""COMPUTED_VALUE"""),200000)</f>
        <v>200000</v>
      </c>
      <c r="F1067" s="2" t="str">
        <f ca="1">IFERROR(__xludf.DUMMYFUNCTION("""COMPUTED_VALUE"""),"Chardonnay Calia Venta")</f>
        <v>Chardonnay Calia Venta</v>
      </c>
      <c r="G1067" s="2">
        <f ca="1">IFERROR(__xludf.DUMMYFUNCTION("""COMPUTED_VALUE"""),90300)</f>
        <v>90300</v>
      </c>
      <c r="H1067" s="2">
        <f ca="1">IFERROR(__xludf.DUMMYFUNCTION("""COMPUTED_VALUE"""),110300)</f>
        <v>110300</v>
      </c>
      <c r="I1067" s="2"/>
      <c r="J1067" s="2"/>
      <c r="K1067" s="2" t="str">
        <f ca="1">IFERROR(__xludf.DUMMYFUNCTION("""COMPUTED_VALUE"""),"Traslado Venta")</f>
        <v>Traslado Venta</v>
      </c>
      <c r="L1067" s="2" t="str">
        <f ca="1">IFERROR(__xludf.DUMMYFUNCTION("""COMPUTED_VALUE"""),"1+")</f>
        <v>1+</v>
      </c>
      <c r="M1067" s="2"/>
    </row>
    <row r="1068" spans="1:13" x14ac:dyDescent="0.25">
      <c r="A1068" s="2" t="str">
        <f ca="1">IFERROR(__xludf.DUMMYFUNCTION("""COMPUTED_VALUE"""),"86648be2")</f>
        <v>86648be2</v>
      </c>
      <c r="B1068" s="2"/>
      <c r="C1068" s="5">
        <f ca="1">IFERROR(__xludf.DUMMYFUNCTION("""COMPUTED_VALUE"""),45880.7084259259)</f>
        <v>45880.708425925899</v>
      </c>
      <c r="D1068" s="2">
        <f ca="1">IFERROR(__xludf.DUMMYFUNCTION("""COMPUTED_VALUE"""),500)</f>
        <v>500</v>
      </c>
      <c r="E1068" s="2">
        <f ca="1">IFERROR(__xludf.DUMMYFUNCTION("""COMPUTED_VALUE"""),200000)</f>
        <v>200000</v>
      </c>
      <c r="F1068" s="2" t="str">
        <f ca="1">IFERROR(__xludf.DUMMYFUNCTION("""COMPUTED_VALUE"""),"Chardonnay Calia Venta")</f>
        <v>Chardonnay Calia Venta</v>
      </c>
      <c r="G1068" s="2">
        <f ca="1">IFERROR(__xludf.DUMMYFUNCTION("""COMPUTED_VALUE"""),110300)</f>
        <v>110300</v>
      </c>
      <c r="H1068" s="2">
        <f ca="1">IFERROR(__xludf.DUMMYFUNCTION("""COMPUTED_VALUE"""),135300)</f>
        <v>135300</v>
      </c>
      <c r="I1068" s="2"/>
      <c r="J1068" s="2"/>
      <c r="K1068" s="2" t="str">
        <f ca="1">IFERROR(__xludf.DUMMYFUNCTION("""COMPUTED_VALUE"""),"Traslado Venta")</f>
        <v>Traslado Venta</v>
      </c>
      <c r="L1068" s="2" t="str">
        <f ca="1">IFERROR(__xludf.DUMMYFUNCTION("""COMPUTED_VALUE"""),"1+")</f>
        <v>1+</v>
      </c>
      <c r="M1068" s="2"/>
    </row>
    <row r="1069" spans="1:13" x14ac:dyDescent="0.25">
      <c r="A1069" s="2" t="str">
        <f ca="1">IFERROR(__xludf.DUMMYFUNCTION("""COMPUTED_VALUE"""),"2ec84947")</f>
        <v>2ec84947</v>
      </c>
      <c r="B1069" s="2"/>
      <c r="C1069" s="5">
        <f ca="1">IFERROR(__xludf.DUMMYFUNCTION("""COMPUTED_VALUE"""),45880.7134027777)</f>
        <v>45880.713402777699</v>
      </c>
      <c r="D1069" s="2">
        <f ca="1">IFERROR(__xludf.DUMMYFUNCTION("""COMPUTED_VALUE"""),83)</f>
        <v>83</v>
      </c>
      <c r="E1069" s="2">
        <f ca="1">IFERROR(__xludf.DUMMYFUNCTION("""COMPUTED_VALUE"""),81500)</f>
        <v>81500</v>
      </c>
      <c r="F1069" s="2" t="str">
        <f ca="1">IFERROR(__xludf.DUMMYFUNCTION("""COMPUTED_VALUE"""),"Malbec")</f>
        <v>Malbec</v>
      </c>
      <c r="G1069" s="2">
        <f ca="1">IFERROR(__xludf.DUMMYFUNCTION("""COMPUTED_VALUE"""),28300)</f>
        <v>28300</v>
      </c>
      <c r="H1069" s="2">
        <f ca="1">IFERROR(__xludf.DUMMYFUNCTION("""COMPUTED_VALUE"""),50300)</f>
        <v>50300</v>
      </c>
      <c r="I1069" s="2"/>
      <c r="J1069" s="2"/>
      <c r="K1069" s="2" t="str">
        <f ca="1">IFERROR(__xludf.DUMMYFUNCTION("""COMPUTED_VALUE"""),"Filtrado Tang")</f>
        <v>Filtrado Tang</v>
      </c>
      <c r="L1069" s="2" t="str">
        <f ca="1">IFERROR(__xludf.DUMMYFUNCTION("""COMPUTED_VALUE"""),"2+")</f>
        <v>2+</v>
      </c>
      <c r="M1069" s="2"/>
    </row>
    <row r="1070" spans="1:13" x14ac:dyDescent="0.25">
      <c r="A1070" s="2" t="str">
        <f ca="1">IFERROR(__xludf.DUMMYFUNCTION("""COMPUTED_VALUE"""),"c9bdb7c9")</f>
        <v>c9bdb7c9</v>
      </c>
      <c r="B1070" s="2"/>
      <c r="C1070" s="5">
        <f ca="1">IFERROR(__xludf.DUMMYFUNCTION("""COMPUTED_VALUE"""),45880.7137268518)</f>
        <v>45880.713726851798</v>
      </c>
      <c r="D1070" s="2">
        <f ca="1">IFERROR(__xludf.DUMMYFUNCTION("""COMPUTED_VALUE"""),83)</f>
        <v>83</v>
      </c>
      <c r="E1070" s="2">
        <f ca="1">IFERROR(__xludf.DUMMYFUNCTION("""COMPUTED_VALUE"""),81500)</f>
        <v>81500</v>
      </c>
      <c r="F1070" s="2" t="str">
        <f ca="1">IFERROR(__xludf.DUMMYFUNCTION("""COMPUTED_VALUE"""),"Malbec")</f>
        <v>Malbec</v>
      </c>
      <c r="G1070" s="2">
        <f ca="1">IFERROR(__xludf.DUMMYFUNCTION("""COMPUTED_VALUE"""),50300)</f>
        <v>50300</v>
      </c>
      <c r="H1070" s="2">
        <f ca="1">IFERROR(__xludf.DUMMYFUNCTION("""COMPUTED_VALUE"""),81300)</f>
        <v>81300</v>
      </c>
      <c r="I1070" s="2"/>
      <c r="J1070" s="2"/>
      <c r="K1070" s="2" t="str">
        <f ca="1">IFERROR(__xludf.DUMMYFUNCTION("""COMPUTED_VALUE"""),"Filtrado Tang")</f>
        <v>Filtrado Tang</v>
      </c>
      <c r="L1070" s="2" t="str">
        <f ca="1">IFERROR(__xludf.DUMMYFUNCTION("""COMPUTED_VALUE"""),"2+")</f>
        <v>2+</v>
      </c>
      <c r="M1070" s="2"/>
    </row>
    <row r="1071" spans="1:13" x14ac:dyDescent="0.25">
      <c r="A1071" s="2" t="str">
        <f ca="1">IFERROR(__xludf.DUMMYFUNCTION("""COMPUTED_VALUE"""),"32396d27")</f>
        <v>32396d27</v>
      </c>
      <c r="B1071" s="2"/>
      <c r="C1071" s="5">
        <f ca="1">IFERROR(__xludf.DUMMYFUNCTION("""COMPUTED_VALUE"""),45880.7146412037)</f>
        <v>45880.714641203696</v>
      </c>
      <c r="D1071" s="2">
        <f ca="1">IFERROR(__xludf.DUMMYFUNCTION("""COMPUTED_VALUE"""),83)</f>
        <v>83</v>
      </c>
      <c r="E1071" s="2">
        <f ca="1">IFERROR(__xludf.DUMMYFUNCTION("""COMPUTED_VALUE"""),81500)</f>
        <v>81500</v>
      </c>
      <c r="F1071" s="2" t="str">
        <f ca="1">IFERROR(__xludf.DUMMYFUNCTION("""COMPUTED_VALUE"""),"Malbec")</f>
        <v>Malbec</v>
      </c>
      <c r="G1071" s="2">
        <f ca="1">IFERROR(__xludf.DUMMYFUNCTION("""COMPUTED_VALUE"""),81300)</f>
        <v>81300</v>
      </c>
      <c r="H1071" s="2">
        <f ca="1">IFERROR(__xludf.DUMMYFUNCTION("""COMPUTED_VALUE"""),81500)</f>
        <v>81500</v>
      </c>
      <c r="I1071" s="2"/>
      <c r="J1071" s="2"/>
      <c r="K1071" s="2" t="str">
        <f ca="1">IFERROR(__xludf.DUMMYFUNCTION("""COMPUTED_VALUE"""),"Filtrado Tang")</f>
        <v>Filtrado Tang</v>
      </c>
      <c r="L1071" s="2" t="str">
        <f ca="1">IFERROR(__xludf.DUMMYFUNCTION("""COMPUTED_VALUE"""),"2+")</f>
        <v>2+</v>
      </c>
      <c r="M1071" s="2" t="str">
        <f ca="1">IFERROR(__xludf.DUMMYFUNCTION("""COMPUTED_VALUE"""),"Tinto")</f>
        <v>Tinto</v>
      </c>
    </row>
    <row r="1072" spans="1:13" x14ac:dyDescent="0.25">
      <c r="A1072" s="2" t="str">
        <f ca="1">IFERROR(__xludf.DUMMYFUNCTION("""COMPUTED_VALUE"""),"30c122f9")</f>
        <v>30c122f9</v>
      </c>
      <c r="B1072" s="2"/>
      <c r="C1072" s="5">
        <f ca="1">IFERROR(__xludf.DUMMYFUNCTION("""COMPUTED_VALUE"""),45880.7196875)</f>
        <v>45880.719687500001</v>
      </c>
      <c r="D1072" s="2">
        <f ca="1">IFERROR(__xludf.DUMMYFUNCTION("""COMPUTED_VALUE"""),500)</f>
        <v>500</v>
      </c>
      <c r="E1072" s="2">
        <f ca="1">IFERROR(__xludf.DUMMYFUNCTION("""COMPUTED_VALUE"""),200000)</f>
        <v>200000</v>
      </c>
      <c r="F1072" s="2" t="str">
        <f ca="1">IFERROR(__xludf.DUMMYFUNCTION("""COMPUTED_VALUE"""),"Ajuste 11/08/25")</f>
        <v>Ajuste 11/08/25</v>
      </c>
      <c r="G1072" s="2"/>
      <c r="H1072" s="2">
        <f ca="1">IFERROR(__xludf.DUMMYFUNCTION("""COMPUTED_VALUE"""),200000)</f>
        <v>200000</v>
      </c>
      <c r="I1072" s="2"/>
      <c r="J1072" s="2"/>
      <c r="K1072" s="2" t="str">
        <f ca="1">IFERROR(__xludf.DUMMYFUNCTION("""COMPUTED_VALUE"""),"Terminado")</f>
        <v>Terminado</v>
      </c>
      <c r="L1072" s="2"/>
      <c r="M1072" s="2"/>
    </row>
    <row r="1073" spans="1:13" x14ac:dyDescent="0.25">
      <c r="A1073" s="2" t="str">
        <f ca="1">IFERROR(__xludf.DUMMYFUNCTION("""COMPUTED_VALUE"""),"21674f90")</f>
        <v>21674f90</v>
      </c>
      <c r="B1073" s="2"/>
      <c r="C1073" s="5">
        <f ca="1">IFERROR(__xludf.DUMMYFUNCTION("""COMPUTED_VALUE"""),45880.7204050925)</f>
        <v>45880.720405092499</v>
      </c>
      <c r="D1073" s="2">
        <f ca="1">IFERROR(__xludf.DUMMYFUNCTION("""COMPUTED_VALUE"""),500)</f>
        <v>500</v>
      </c>
      <c r="E1073" s="2">
        <f ca="1">IFERROR(__xludf.DUMMYFUNCTION("""COMPUTED_VALUE"""),200000)</f>
        <v>200000</v>
      </c>
      <c r="F1073" s="2" t="str">
        <f ca="1">IFERROR(__xludf.DUMMYFUNCTION("""COMPUTED_VALUE"""),"Ajuste 11/08/25")</f>
        <v>Ajuste 11/08/25</v>
      </c>
      <c r="G1073" s="2">
        <f ca="1">IFERROR(__xludf.DUMMYFUNCTION("""COMPUTED_VALUE"""),1)</f>
        <v>1</v>
      </c>
      <c r="H1073" s="2">
        <f ca="1">IFERROR(__xludf.DUMMYFUNCTION("""COMPUTED_VALUE"""),201000)</f>
        <v>201000</v>
      </c>
      <c r="I1073" s="2"/>
      <c r="J1073" s="2"/>
      <c r="K1073" s="2" t="str">
        <f ca="1">IFERROR(__xludf.DUMMYFUNCTION("""COMPUTED_VALUE"""),"Terminado")</f>
        <v>Terminado</v>
      </c>
      <c r="L1073" s="2"/>
      <c r="M1073" s="2"/>
    </row>
    <row r="1074" spans="1:13" x14ac:dyDescent="0.25">
      <c r="A1074" s="2" t="str">
        <f ca="1">IFERROR(__xludf.DUMMYFUNCTION("""COMPUTED_VALUE"""),"19243587")</f>
        <v>19243587</v>
      </c>
      <c r="B1074" s="2"/>
      <c r="C1074" s="5">
        <f ca="1">IFERROR(__xludf.DUMMYFUNCTION("""COMPUTED_VALUE"""),45880.7224074074)</f>
        <v>45880.722407407397</v>
      </c>
      <c r="D1074" s="2">
        <f ca="1">IFERROR(__xludf.DUMMYFUNCTION("""COMPUTED_VALUE"""),500)</f>
        <v>500</v>
      </c>
      <c r="E1074" s="2">
        <f ca="1">IFERROR(__xludf.DUMMYFUNCTION("""COMPUTED_VALUE"""),200000)</f>
        <v>200000</v>
      </c>
      <c r="F1074" s="2" t="str">
        <f ca="1">IFERROR(__xludf.DUMMYFUNCTION("""COMPUTED_VALUE"""),"Ajuste 11/08/25")</f>
        <v>Ajuste 11/08/25</v>
      </c>
      <c r="G1074" s="2">
        <f ca="1">IFERROR(__xludf.DUMMYFUNCTION("""COMPUTED_VALUE"""),1)</f>
        <v>1</v>
      </c>
      <c r="H1074" s="2">
        <f ca="1">IFERROR(__xludf.DUMMYFUNCTION("""COMPUTED_VALUE"""),600)</f>
        <v>600</v>
      </c>
      <c r="I1074" s="2"/>
      <c r="J1074" s="2"/>
      <c r="K1074" s="2" t="str">
        <f ca="1">IFERROR(__xludf.DUMMYFUNCTION("""COMPUTED_VALUE"""),"Terminado")</f>
        <v>Terminado</v>
      </c>
      <c r="L1074" s="2"/>
      <c r="M1074" s="2"/>
    </row>
    <row r="1075" spans="1:13" x14ac:dyDescent="0.25">
      <c r="A1075" s="2" t="str">
        <f ca="1">IFERROR(__xludf.DUMMYFUNCTION("""COMPUTED_VALUE"""),"613e2a90")</f>
        <v>613e2a90</v>
      </c>
      <c r="B1075" s="2"/>
      <c r="C1075" s="5">
        <f ca="1">IFERROR(__xludf.DUMMYFUNCTION("""COMPUTED_VALUE"""),45880.7244675925)</f>
        <v>45880.724467592503</v>
      </c>
      <c r="D1075" s="2">
        <f ca="1">IFERROR(__xludf.DUMMYFUNCTION("""COMPUTED_VALUE"""),500)</f>
        <v>500</v>
      </c>
      <c r="E1075" s="2">
        <f ca="1">IFERROR(__xludf.DUMMYFUNCTION("""COMPUTED_VALUE"""),200000)</f>
        <v>200000</v>
      </c>
      <c r="F1075" s="2" t="str">
        <f ca="1">IFERROR(__xludf.DUMMYFUNCTION("""COMPUTED_VALUE"""),"Ajuste 11/08/25")</f>
        <v>Ajuste 11/08/25</v>
      </c>
      <c r="G1075" s="2">
        <f ca="1">IFERROR(__xludf.DUMMYFUNCTION("""COMPUTED_VALUE"""),600)</f>
        <v>600</v>
      </c>
      <c r="H1075" s="2">
        <f ca="1">IFERROR(__xludf.DUMMYFUNCTION("""COMPUTED_VALUE"""),2200)</f>
        <v>2200</v>
      </c>
      <c r="I1075" s="2"/>
      <c r="J1075" s="2"/>
      <c r="K1075" s="2" t="str">
        <f ca="1">IFERROR(__xludf.DUMMYFUNCTION("""COMPUTED_VALUE"""),"Terminado")</f>
        <v>Terminado</v>
      </c>
      <c r="L1075" s="2"/>
      <c r="M1075" s="2"/>
    </row>
    <row r="1076" spans="1:13" x14ac:dyDescent="0.25">
      <c r="A1076" s="2" t="str">
        <f ca="1">IFERROR(__xludf.DUMMYFUNCTION("""COMPUTED_VALUE"""),"02df7859")</f>
        <v>02df7859</v>
      </c>
      <c r="B1076" s="2"/>
      <c r="C1076" s="5">
        <f ca="1">IFERROR(__xludf.DUMMYFUNCTION("""COMPUTED_VALUE"""),45880.725162037)</f>
        <v>45880.725162037001</v>
      </c>
      <c r="D1076" s="2">
        <f ca="1">IFERROR(__xludf.DUMMYFUNCTION("""COMPUTED_VALUE"""),86)</f>
        <v>86</v>
      </c>
      <c r="E1076" s="2">
        <f ca="1">IFERROR(__xludf.DUMMYFUNCTION("""COMPUTED_VALUE"""),88000)</f>
        <v>88000</v>
      </c>
      <c r="F1076" s="2" t="str">
        <f ca="1">IFERROR(__xludf.DUMMYFUNCTION("""COMPUTED_VALUE"""),"Malbec")</f>
        <v>Malbec</v>
      </c>
      <c r="G1076" s="2">
        <f ca="1">IFERROR(__xludf.DUMMYFUNCTION("""COMPUTED_VALUE"""),0)</f>
        <v>0</v>
      </c>
      <c r="H1076" s="2">
        <f ca="1">IFERROR(__xludf.DUMMYFUNCTION("""COMPUTED_VALUE"""),17600)</f>
        <v>17600</v>
      </c>
      <c r="I1076" s="2"/>
      <c r="J1076" s="2"/>
      <c r="K1076" s="2" t="str">
        <f ca="1">IFERROR(__xludf.DUMMYFUNCTION("""COMPUTED_VALUE"""),"Filtrado Tang")</f>
        <v>Filtrado Tang</v>
      </c>
      <c r="L1076" s="2" t="str">
        <f ca="1">IFERROR(__xludf.DUMMYFUNCTION("""COMPUTED_VALUE"""),"1-")</f>
        <v>1-</v>
      </c>
      <c r="M1076" s="2"/>
    </row>
    <row r="1077" spans="1:13" x14ac:dyDescent="0.25">
      <c r="A1077" s="2" t="str">
        <f ca="1">IFERROR(__xludf.DUMMYFUNCTION("""COMPUTED_VALUE"""),"a520ce5e")</f>
        <v>a520ce5e</v>
      </c>
      <c r="B1077" s="2"/>
      <c r="C1077" s="5">
        <f ca="1">IFERROR(__xludf.DUMMYFUNCTION("""COMPUTED_VALUE"""),45882.7209375)</f>
        <v>45882.720937500002</v>
      </c>
      <c r="D1077" s="2">
        <f ca="1">IFERROR(__xludf.DUMMYFUNCTION("""COMPUTED_VALUE"""),86)</f>
        <v>86</v>
      </c>
      <c r="E1077" s="2">
        <f ca="1">IFERROR(__xludf.DUMMYFUNCTION("""COMPUTED_VALUE"""),88000)</f>
        <v>88000</v>
      </c>
      <c r="F1077" s="2" t="str">
        <f ca="1">IFERROR(__xludf.DUMMYFUNCTION("""COMPUTED_VALUE"""),"Malbec")</f>
        <v>Malbec</v>
      </c>
      <c r="G1077" s="2">
        <f ca="1">IFERROR(__xludf.DUMMYFUNCTION("""COMPUTED_VALUE"""),17600)</f>
        <v>17600</v>
      </c>
      <c r="H1077" s="2">
        <f ca="1">IFERROR(__xludf.DUMMYFUNCTION("""COMPUTED_VALUE"""),69600)</f>
        <v>69600</v>
      </c>
      <c r="I1077" s="2"/>
      <c r="J1077" s="2"/>
      <c r="K1077" s="2" t="str">
        <f ca="1">IFERROR(__xludf.DUMMYFUNCTION("""COMPUTED_VALUE"""),"Filtrado Tang")</f>
        <v>Filtrado Tang</v>
      </c>
      <c r="L1077" s="2" t="str">
        <f ca="1">IFERROR(__xludf.DUMMYFUNCTION("""COMPUTED_VALUE"""),"1-")</f>
        <v>1-</v>
      </c>
      <c r="M1077" s="2"/>
    </row>
    <row r="1078" spans="1:13" x14ac:dyDescent="0.25">
      <c r="A1078" s="2" t="str">
        <f ca="1">IFERROR(__xludf.DUMMYFUNCTION("""COMPUTED_VALUE"""),"734aedeb")</f>
        <v>734aedeb</v>
      </c>
      <c r="B1078" s="2"/>
      <c r="C1078" s="5">
        <f ca="1">IFERROR(__xludf.DUMMYFUNCTION("""COMPUTED_VALUE"""),45882.7214467592)</f>
        <v>45882.721446759198</v>
      </c>
      <c r="D1078" s="2">
        <f ca="1">IFERROR(__xludf.DUMMYFUNCTION("""COMPUTED_VALUE"""),86)</f>
        <v>86</v>
      </c>
      <c r="E1078" s="2">
        <f ca="1">IFERROR(__xludf.DUMMYFUNCTION("""COMPUTED_VALUE"""),88000)</f>
        <v>88000</v>
      </c>
      <c r="F1078" s="2" t="str">
        <f ca="1">IFERROR(__xludf.DUMMYFUNCTION("""COMPUTED_VALUE"""),"Malbec")</f>
        <v>Malbec</v>
      </c>
      <c r="G1078" s="2">
        <f ca="1">IFERROR(__xludf.DUMMYFUNCTION("""COMPUTED_VALUE"""),69600)</f>
        <v>69600</v>
      </c>
      <c r="H1078" s="2">
        <f ca="1">IFERROR(__xludf.DUMMYFUNCTION("""COMPUTED_VALUE"""),88000)</f>
        <v>88000</v>
      </c>
      <c r="I1078" s="2"/>
      <c r="J1078" s="2"/>
      <c r="K1078" s="2" t="str">
        <f ca="1">IFERROR(__xludf.DUMMYFUNCTION("""COMPUTED_VALUE"""),"Filtrado Tang")</f>
        <v>Filtrado Tang</v>
      </c>
      <c r="L1078" s="2" t="str">
        <f ca="1">IFERROR(__xludf.DUMMYFUNCTION("""COMPUTED_VALUE"""),"1+")</f>
        <v>1+</v>
      </c>
      <c r="M1078" s="2" t="str">
        <f ca="1">IFERROR(__xludf.DUMMYFUNCTION("""COMPUTED_VALUE"""),"Tinto")</f>
        <v>Tinto</v>
      </c>
    </row>
    <row r="1079" spans="1:13" x14ac:dyDescent="0.25">
      <c r="A1079" s="2" t="str">
        <f ca="1">IFERROR(__xludf.DUMMYFUNCTION("""COMPUTED_VALUE"""),"4567a24d")</f>
        <v>4567a24d</v>
      </c>
      <c r="B1079" s="2"/>
      <c r="C1079" s="5">
        <f ca="1">IFERROR(__xludf.DUMMYFUNCTION("""COMPUTED_VALUE"""),45882.7218981481)</f>
        <v>45882.721898148098</v>
      </c>
      <c r="D1079" s="2">
        <f ca="1">IFERROR(__xludf.DUMMYFUNCTION("""COMPUTED_VALUE"""),121)</f>
        <v>121</v>
      </c>
      <c r="E1079" s="2">
        <f ca="1">IFERROR(__xludf.DUMMYFUNCTION("""COMPUTED_VALUE"""),85800)</f>
        <v>85800</v>
      </c>
      <c r="F1079" s="2" t="str">
        <f ca="1">IFERROR(__xludf.DUMMYFUNCTION("""COMPUTED_VALUE"""),"Malbec")</f>
        <v>Malbec</v>
      </c>
      <c r="G1079" s="2">
        <f ca="1">IFERROR(__xludf.DUMMYFUNCTION("""COMPUTED_VALUE"""),0)</f>
        <v>0</v>
      </c>
      <c r="H1079" s="2">
        <f ca="1">IFERROR(__xludf.DUMMYFUNCTION("""COMPUTED_VALUE"""),30000)</f>
        <v>30000</v>
      </c>
      <c r="I1079" s="2"/>
      <c r="J1079" s="2"/>
      <c r="K1079" s="2" t="str">
        <f ca="1">IFERROR(__xludf.DUMMYFUNCTION("""COMPUTED_VALUE"""),"Filtrado Tang")</f>
        <v>Filtrado Tang</v>
      </c>
      <c r="L1079" s="2" t="str">
        <f ca="1">IFERROR(__xludf.DUMMYFUNCTION("""COMPUTED_VALUE"""),"1+")</f>
        <v>1+</v>
      </c>
      <c r="M1079" s="2" t="str">
        <f ca="1">IFERROR(__xludf.DUMMYFUNCTION("""COMPUTED_VALUE"""),"Tinto")</f>
        <v>Tinto</v>
      </c>
    </row>
    <row r="1080" spans="1:13" x14ac:dyDescent="0.25">
      <c r="A1080" s="2" t="str">
        <f ca="1">IFERROR(__xludf.DUMMYFUNCTION("""COMPUTED_VALUE"""),"fdb74546")</f>
        <v>fdb74546</v>
      </c>
      <c r="B1080" s="2"/>
      <c r="C1080" s="5">
        <f ca="1">IFERROR(__xludf.DUMMYFUNCTION("""COMPUTED_VALUE"""),45882.7267824074)</f>
        <v>45882.726782407401</v>
      </c>
      <c r="D1080" s="2">
        <f ca="1">IFERROR(__xludf.DUMMYFUNCTION("""COMPUTED_VALUE"""),69)</f>
        <v>69</v>
      </c>
      <c r="E1080" s="2">
        <f ca="1">IFERROR(__xludf.DUMMYFUNCTION("""COMPUTED_VALUE"""),13000)</f>
        <v>13000</v>
      </c>
      <c r="F1080" s="2" t="str">
        <f ca="1">IFERROR(__xludf.DUMMYFUNCTION("""COMPUTED_VALUE"""),"Chardonnay")</f>
        <v>Chardonnay</v>
      </c>
      <c r="G1080" s="2">
        <f ca="1">IFERROR(__xludf.DUMMYFUNCTION("""COMPUTED_VALUE"""),0)</f>
        <v>0</v>
      </c>
      <c r="H1080" s="2">
        <f ca="1">IFERROR(__xludf.DUMMYFUNCTION("""COMPUTED_VALUE"""),13000)</f>
        <v>13000</v>
      </c>
      <c r="I1080" s="2"/>
      <c r="J1080" s="2"/>
      <c r="K1080" s="2" t="str">
        <f ca="1">IFERROR(__xludf.DUMMYFUNCTION("""COMPUTED_VALUE"""),"1er Trasiego")</f>
        <v>1er Trasiego</v>
      </c>
      <c r="L1080" s="2" t="str">
        <f ca="1">IFERROR(__xludf.DUMMYFUNCTION("""COMPUTED_VALUE"""),"1-")</f>
        <v>1-</v>
      </c>
      <c r="M1080" s="2" t="str">
        <f ca="1">IFERROR(__xludf.DUMMYFUNCTION("""COMPUTED_VALUE"""),"Blanco")</f>
        <v>Blanco</v>
      </c>
    </row>
    <row r="1081" spans="1:13" x14ac:dyDescent="0.25">
      <c r="A1081" s="2" t="str">
        <f ca="1">IFERROR(__xludf.DUMMYFUNCTION("""COMPUTED_VALUE"""),"d52c4944")</f>
        <v>d52c4944</v>
      </c>
      <c r="B1081" s="2"/>
      <c r="C1081" s="5">
        <f ca="1">IFERROR(__xludf.DUMMYFUNCTION("""COMPUTED_VALUE"""),45882.7390972222)</f>
        <v>45882.739097222198</v>
      </c>
      <c r="D1081" s="2">
        <f ca="1">IFERROR(__xludf.DUMMYFUNCTION("""COMPUTED_VALUE"""),66)</f>
        <v>66</v>
      </c>
      <c r="E1081" s="2">
        <f ca="1">IFERROR(__xludf.DUMMYFUNCTION("""COMPUTED_VALUE"""),23000)</f>
        <v>23000</v>
      </c>
      <c r="F1081" s="2" t="str">
        <f ca="1">IFERROR(__xludf.DUMMYFUNCTION("""COMPUTED_VALUE"""),"Cabernet Sauvignon")</f>
        <v>Cabernet Sauvignon</v>
      </c>
      <c r="G1081" s="2">
        <f ca="1">IFERROR(__xludf.DUMMYFUNCTION("""COMPUTED_VALUE"""),16900)</f>
        <v>16900</v>
      </c>
      <c r="H1081" s="2">
        <f ca="1">IFERROR(__xludf.DUMMYFUNCTION("""COMPUTED_VALUE"""),23000)</f>
        <v>23000</v>
      </c>
      <c r="I1081" s="2"/>
      <c r="J1081" s="2"/>
      <c r="K1081" s="2" t="str">
        <f ca="1">IFERROR(__xludf.DUMMYFUNCTION("""COMPUTED_VALUE"""),"Filtrado Tang")</f>
        <v>Filtrado Tang</v>
      </c>
      <c r="L1081" s="2" t="str">
        <f ca="1">IFERROR(__xludf.DUMMYFUNCTION("""COMPUTED_VALUE"""),"1")</f>
        <v>1</v>
      </c>
      <c r="M1081" s="2" t="str">
        <f ca="1">IFERROR(__xludf.DUMMYFUNCTION("""COMPUTED_VALUE"""),"Tinto")</f>
        <v>Tinto</v>
      </c>
    </row>
    <row r="1082" spans="1:13" x14ac:dyDescent="0.25">
      <c r="A1082" s="2" t="str">
        <f ca="1">IFERROR(__xludf.DUMMYFUNCTION("""COMPUTED_VALUE"""),"ef0406f8")</f>
        <v>ef0406f8</v>
      </c>
      <c r="B1082" s="2"/>
      <c r="C1082" s="5">
        <f ca="1">IFERROR(__xludf.DUMMYFUNCTION("""COMPUTED_VALUE"""),45884.7322106481)</f>
        <v>45884.732210648101</v>
      </c>
      <c r="D1082" s="2">
        <f ca="1">IFERROR(__xludf.DUMMYFUNCTION("""COMPUTED_VALUE"""),121)</f>
        <v>121</v>
      </c>
      <c r="E1082" s="2">
        <f ca="1">IFERROR(__xludf.DUMMYFUNCTION("""COMPUTED_VALUE"""),85800)</f>
        <v>85800</v>
      </c>
      <c r="F1082" s="2" t="str">
        <f ca="1">IFERROR(__xludf.DUMMYFUNCTION("""COMPUTED_VALUE"""),"Malbec")</f>
        <v>Malbec</v>
      </c>
      <c r="G1082" s="2">
        <f ca="1">IFERROR(__xludf.DUMMYFUNCTION("""COMPUTED_VALUE"""),30000)</f>
        <v>30000</v>
      </c>
      <c r="H1082" s="2">
        <f ca="1">IFERROR(__xludf.DUMMYFUNCTION("""COMPUTED_VALUE"""),75000)</f>
        <v>75000</v>
      </c>
      <c r="I1082" s="2"/>
      <c r="J1082" s="2"/>
      <c r="K1082" s="2" t="str">
        <f ca="1">IFERROR(__xludf.DUMMYFUNCTION("""COMPUTED_VALUE"""),"Filtrado Tang")</f>
        <v>Filtrado Tang</v>
      </c>
      <c r="L1082" s="2" t="str">
        <f ca="1">IFERROR(__xludf.DUMMYFUNCTION("""COMPUTED_VALUE"""),"1+")</f>
        <v>1+</v>
      </c>
      <c r="M1082" s="2"/>
    </row>
    <row r="1083" spans="1:13" x14ac:dyDescent="0.25">
      <c r="A1083" s="2" t="str">
        <f ca="1">IFERROR(__xludf.DUMMYFUNCTION("""COMPUTED_VALUE"""),"887268c3")</f>
        <v>887268c3</v>
      </c>
      <c r="B1083" s="2"/>
      <c r="C1083" s="5">
        <f ca="1">IFERROR(__xludf.DUMMYFUNCTION("""COMPUTED_VALUE"""),45884.7324768518)</f>
        <v>45884.732476851801</v>
      </c>
      <c r="D1083" s="2">
        <f ca="1">IFERROR(__xludf.DUMMYFUNCTION("""COMPUTED_VALUE"""),121)</f>
        <v>121</v>
      </c>
      <c r="E1083" s="2">
        <f ca="1">IFERROR(__xludf.DUMMYFUNCTION("""COMPUTED_VALUE"""),85800)</f>
        <v>85800</v>
      </c>
      <c r="F1083" s="2" t="str">
        <f ca="1">IFERROR(__xludf.DUMMYFUNCTION("""COMPUTED_VALUE"""),"Malbec")</f>
        <v>Malbec</v>
      </c>
      <c r="G1083" s="2">
        <f ca="1">IFERROR(__xludf.DUMMYFUNCTION("""COMPUTED_VALUE"""),75000)</f>
        <v>75000</v>
      </c>
      <c r="H1083" s="2">
        <f ca="1">IFERROR(__xludf.DUMMYFUNCTION("""COMPUTED_VALUE"""),85800)</f>
        <v>85800</v>
      </c>
      <c r="I1083" s="2"/>
      <c r="J1083" s="2"/>
      <c r="K1083" s="2" t="str">
        <f ca="1">IFERROR(__xludf.DUMMYFUNCTION("""COMPUTED_VALUE"""),"Filtrado Tang")</f>
        <v>Filtrado Tang</v>
      </c>
      <c r="L1083" s="2" t="str">
        <f ca="1">IFERROR(__xludf.DUMMYFUNCTION("""COMPUTED_VALUE"""),"1")</f>
        <v>1</v>
      </c>
      <c r="M1083" s="2" t="str">
        <f ca="1">IFERROR(__xludf.DUMMYFUNCTION("""COMPUTED_VALUE"""),"Tinto")</f>
        <v>Tinto</v>
      </c>
    </row>
    <row r="1084" spans="1:13" x14ac:dyDescent="0.25">
      <c r="A1084" s="2" t="str">
        <f ca="1">IFERROR(__xludf.DUMMYFUNCTION("""COMPUTED_VALUE"""),"95271efc")</f>
        <v>95271efc</v>
      </c>
      <c r="B1084" s="2"/>
      <c r="C1084" s="5">
        <f ca="1">IFERROR(__xludf.DUMMYFUNCTION("""COMPUTED_VALUE"""),45884.7329976851)</f>
        <v>45884.732997685103</v>
      </c>
      <c r="D1084" s="2">
        <f ca="1">IFERROR(__xludf.DUMMYFUNCTION("""COMPUTED_VALUE"""),116)</f>
        <v>116</v>
      </c>
      <c r="E1084" s="2">
        <f ca="1">IFERROR(__xludf.DUMMYFUNCTION("""COMPUTED_VALUE"""),99600)</f>
        <v>99600</v>
      </c>
      <c r="F1084" s="2" t="str">
        <f ca="1">IFERROR(__xludf.DUMMYFUNCTION("""COMPUTED_VALUE"""),"Malbec")</f>
        <v>Malbec</v>
      </c>
      <c r="G1084" s="2">
        <f ca="1">IFERROR(__xludf.DUMMYFUNCTION("""COMPUTED_VALUE"""),0)</f>
        <v>0</v>
      </c>
      <c r="H1084" s="2">
        <f ca="1">IFERROR(__xludf.DUMMYFUNCTION("""COMPUTED_VALUE"""),22000)</f>
        <v>22000</v>
      </c>
      <c r="I1084" s="2"/>
      <c r="J1084" s="2"/>
      <c r="K1084" s="2" t="str">
        <f ca="1">IFERROR(__xludf.DUMMYFUNCTION("""COMPUTED_VALUE"""),"Filtrado Tang")</f>
        <v>Filtrado Tang</v>
      </c>
      <c r="L1084" s="2" t="str">
        <f ca="1">IFERROR(__xludf.DUMMYFUNCTION("""COMPUTED_VALUE"""),"1+")</f>
        <v>1+</v>
      </c>
      <c r="M1084" s="2"/>
    </row>
    <row r="1085" spans="1:13" x14ac:dyDescent="0.25">
      <c r="A1085" s="2" t="str">
        <f ca="1">IFERROR(__xludf.DUMMYFUNCTION("""COMPUTED_VALUE"""),"56916efb")</f>
        <v>56916efb</v>
      </c>
      <c r="B1085" s="2"/>
      <c r="C1085" s="5">
        <f ca="1">IFERROR(__xludf.DUMMYFUNCTION("""COMPUTED_VALUE"""),45884.7343287037)</f>
        <v>45884.7343287037</v>
      </c>
      <c r="D1085" s="2">
        <f ca="1">IFERROR(__xludf.DUMMYFUNCTION("""COMPUTED_VALUE"""),116)</f>
        <v>116</v>
      </c>
      <c r="E1085" s="2">
        <f ca="1">IFERROR(__xludf.DUMMYFUNCTION("""COMPUTED_VALUE"""),99600)</f>
        <v>99600</v>
      </c>
      <c r="F1085" s="2" t="str">
        <f ca="1">IFERROR(__xludf.DUMMYFUNCTION("""COMPUTED_VALUE"""),"Malbec")</f>
        <v>Malbec</v>
      </c>
      <c r="G1085" s="2">
        <f ca="1">IFERROR(__xludf.DUMMYFUNCTION("""COMPUTED_VALUE"""),22000)</f>
        <v>22000</v>
      </c>
      <c r="H1085" s="2">
        <f ca="1">IFERROR(__xludf.DUMMYFUNCTION("""COMPUTED_VALUE"""),29845)</f>
        <v>29845</v>
      </c>
      <c r="I1085" s="2"/>
      <c r="J1085" s="2"/>
      <c r="K1085" s="2" t="str">
        <f ca="1">IFERROR(__xludf.DUMMYFUNCTION("""COMPUTED_VALUE"""),"Filtrado Tang")</f>
        <v>Filtrado Tang</v>
      </c>
      <c r="L1085" s="2" t="str">
        <f ca="1">IFERROR(__xludf.DUMMYFUNCTION("""COMPUTED_VALUE"""),"1+")</f>
        <v>1+</v>
      </c>
      <c r="M1085" s="2"/>
    </row>
    <row r="1086" spans="1:13" x14ac:dyDescent="0.25">
      <c r="A1086" s="2" t="str">
        <f ca="1">IFERROR(__xludf.DUMMYFUNCTION("""COMPUTED_VALUE"""),"a9a1224c")</f>
        <v>a9a1224c</v>
      </c>
      <c r="B1086" s="2"/>
      <c r="C1086" s="5">
        <f ca="1">IFERROR(__xludf.DUMMYFUNCTION("""COMPUTED_VALUE"""),45884.7351273148)</f>
        <v>45884.735127314802</v>
      </c>
      <c r="D1086" s="2">
        <f ca="1">IFERROR(__xludf.DUMMYFUNCTION("""COMPUTED_VALUE"""),500)</f>
        <v>500</v>
      </c>
      <c r="E1086" s="2">
        <f ca="1">IFERROR(__xludf.DUMMYFUNCTION("""COMPUTED_VALUE"""),200000)</f>
        <v>200000</v>
      </c>
      <c r="F1086" s="2" t="str">
        <f ca="1">IFERROR(__xludf.DUMMYFUNCTION("""COMPUTED_VALUE"""),"Ajuste 11/08/25")</f>
        <v>Ajuste 11/08/25</v>
      </c>
      <c r="G1086" s="2">
        <f ca="1">IFERROR(__xludf.DUMMYFUNCTION("""COMPUTED_VALUE"""),-3900)</f>
        <v>-3900</v>
      </c>
      <c r="H1086" s="2">
        <f ca="1">IFERROR(__xludf.DUMMYFUNCTION("""COMPUTED_VALUE"""),-3345)</f>
        <v>-3345</v>
      </c>
      <c r="I1086" s="2"/>
      <c r="J1086" s="2"/>
      <c r="K1086" s="2" t="str">
        <f ca="1">IFERROR(__xludf.DUMMYFUNCTION("""COMPUTED_VALUE"""),"Terminado")</f>
        <v>Terminado</v>
      </c>
      <c r="L1086" s="2"/>
      <c r="M1086" s="2"/>
    </row>
    <row r="1087" spans="1:13" x14ac:dyDescent="0.25">
      <c r="A1087" s="2" t="str">
        <f ca="1">IFERROR(__xludf.DUMMYFUNCTION("""COMPUTED_VALUE"""),"a324303d")</f>
        <v>a324303d</v>
      </c>
      <c r="B1087" s="2"/>
      <c r="C1087" s="5">
        <f ca="1">IFERROR(__xludf.DUMMYFUNCTION("""COMPUTED_VALUE"""),45884.7574305555)</f>
        <v>45884.757430555503</v>
      </c>
      <c r="D1087" s="2">
        <f ca="1">IFERROR(__xludf.DUMMYFUNCTION("""COMPUTED_VALUE"""),6)</f>
        <v>6</v>
      </c>
      <c r="E1087" s="2">
        <f ca="1">IFERROR(__xludf.DUMMYFUNCTION("""COMPUTED_VALUE"""),32000)</f>
        <v>32000</v>
      </c>
      <c r="F1087" s="2" t="str">
        <f ca="1">IFERROR(__xludf.DUMMYFUNCTION("""COMPUTED_VALUE"""),"Aspirant Anccelota Gota")</f>
        <v>Aspirant Anccelota Gota</v>
      </c>
      <c r="G1087" s="2">
        <f ca="1">IFERROR(__xludf.DUMMYFUNCTION("""COMPUTED_VALUE"""),31000)</f>
        <v>31000</v>
      </c>
      <c r="H1087" s="2">
        <f ca="1">IFERROR(__xludf.DUMMYFUNCTION("""COMPUTED_VALUE"""),32000)</f>
        <v>32000</v>
      </c>
      <c r="I1087" s="2"/>
      <c r="J1087" s="2"/>
      <c r="K1087" s="2" t="str">
        <f ca="1">IFERROR(__xludf.DUMMYFUNCTION("""COMPUTED_VALUE"""),"2do Trasiego")</f>
        <v>2do Trasiego</v>
      </c>
      <c r="L1087" s="2"/>
      <c r="M1087" s="2"/>
    </row>
    <row r="1088" spans="1:13" x14ac:dyDescent="0.25">
      <c r="A1088" s="2" t="str">
        <f ca="1">IFERROR(__xludf.DUMMYFUNCTION("""COMPUTED_VALUE"""),"ae07f26a")</f>
        <v>ae07f26a</v>
      </c>
      <c r="B1088" s="2"/>
      <c r="C1088" s="5">
        <f ca="1">IFERROR(__xludf.DUMMYFUNCTION("""COMPUTED_VALUE"""),45884.7623611111)</f>
        <v>45884.762361111098</v>
      </c>
      <c r="D1088" s="2">
        <f ca="1">IFERROR(__xludf.DUMMYFUNCTION("""COMPUTED_VALUE"""),50)</f>
        <v>50</v>
      </c>
      <c r="E1088" s="2">
        <f ca="1">IFERROR(__xludf.DUMMYFUNCTION("""COMPUTED_VALUE"""),5100)</f>
        <v>5100</v>
      </c>
      <c r="F1088" s="2" t="str">
        <f ca="1">IFERROR(__xludf.DUMMYFUNCTION("""COMPUTED_VALUE"""),"Malbec Medrano L 5223")</f>
        <v>Malbec Medrano L 5223</v>
      </c>
      <c r="G1088" s="2">
        <f ca="1">IFERROR(__xludf.DUMMYFUNCTION("""COMPUTED_VALUE"""),0)</f>
        <v>0</v>
      </c>
      <c r="H1088" s="2">
        <f ca="1">IFERROR(__xludf.DUMMYFUNCTION("""COMPUTED_VALUE"""),2700)</f>
        <v>2700</v>
      </c>
      <c r="I1088" s="2"/>
      <c r="J1088" s="2"/>
      <c r="K1088" s="2" t="str">
        <f ca="1">IFERROR(__xludf.DUMMYFUNCTION("""COMPUTED_VALUE"""),"2do Trasiego")</f>
        <v>2do Trasiego</v>
      </c>
      <c r="L1088" s="2" t="str">
        <f ca="1">IFERROR(__xludf.DUMMYFUNCTION("""COMPUTED_VALUE"""),"1+")</f>
        <v>1+</v>
      </c>
      <c r="M1088" s="2"/>
    </row>
    <row r="1089" spans="1:13" x14ac:dyDescent="0.25">
      <c r="A1089" s="2" t="str">
        <f ca="1">IFERROR(__xludf.DUMMYFUNCTION("""COMPUTED_VALUE"""),"20dba0dd")</f>
        <v>20dba0dd</v>
      </c>
      <c r="B1089" s="2"/>
      <c r="C1089" s="5">
        <f ca="1">IFERROR(__xludf.DUMMYFUNCTION("""COMPUTED_VALUE"""),45884.7626851851)</f>
        <v>45884.762685185102</v>
      </c>
      <c r="D1089" s="2">
        <f ca="1">IFERROR(__xludf.DUMMYFUNCTION("""COMPUTED_VALUE"""),50)</f>
        <v>50</v>
      </c>
      <c r="E1089" s="2">
        <f ca="1">IFERROR(__xludf.DUMMYFUNCTION("""COMPUTED_VALUE"""),5100)</f>
        <v>5100</v>
      </c>
      <c r="F1089" s="2" t="str">
        <f ca="1">IFERROR(__xludf.DUMMYFUNCTION("""COMPUTED_VALUE"""),"Malbec Medrano L 5223")</f>
        <v>Malbec Medrano L 5223</v>
      </c>
      <c r="G1089" s="2">
        <f ca="1">IFERROR(__xludf.DUMMYFUNCTION("""COMPUTED_VALUE"""),2700)</f>
        <v>2700</v>
      </c>
      <c r="H1089" s="2">
        <f ca="1">IFERROR(__xludf.DUMMYFUNCTION("""COMPUTED_VALUE"""),5100)</f>
        <v>5100</v>
      </c>
      <c r="I1089" s="2"/>
      <c r="J1089" s="2"/>
      <c r="K1089" s="2" t="str">
        <f ca="1">IFERROR(__xludf.DUMMYFUNCTION("""COMPUTED_VALUE"""),"Filtrado Tang")</f>
        <v>Filtrado Tang</v>
      </c>
      <c r="L1089" s="2" t="str">
        <f ca="1">IFERROR(__xludf.DUMMYFUNCTION("""COMPUTED_VALUE"""),"1+")</f>
        <v>1+</v>
      </c>
      <c r="M1089" s="2"/>
    </row>
    <row r="1090" spans="1:13" x14ac:dyDescent="0.25">
      <c r="A1090" s="2" t="str">
        <f ca="1">IFERROR(__xludf.DUMMYFUNCTION("""COMPUTED_VALUE"""),"4cb5f547")</f>
        <v>4cb5f547</v>
      </c>
      <c r="B1090" s="2"/>
      <c r="C1090" s="5">
        <f ca="1">IFERROR(__xludf.DUMMYFUNCTION("""COMPUTED_VALUE"""),45884.7639467592)</f>
        <v>45884.763946759202</v>
      </c>
      <c r="D1090" s="2">
        <f ca="1">IFERROR(__xludf.DUMMYFUNCTION("""COMPUTED_VALUE"""),103)</f>
        <v>103</v>
      </c>
      <c r="E1090" s="2">
        <f ca="1">IFERROR(__xludf.DUMMYFUNCTION("""COMPUTED_VALUE"""),31000)</f>
        <v>31000</v>
      </c>
      <c r="F1090" s="2" t="str">
        <f ca="1">IFERROR(__xludf.DUMMYFUNCTION("""COMPUTED_VALUE"""),"Bonarda")</f>
        <v>Bonarda</v>
      </c>
      <c r="G1090" s="2">
        <f ca="1">IFERROR(__xludf.DUMMYFUNCTION("""COMPUTED_VALUE"""),28300)</f>
        <v>28300</v>
      </c>
      <c r="H1090" s="2">
        <f ca="1">IFERROR(__xludf.DUMMYFUNCTION("""COMPUTED_VALUE"""),31000)</f>
        <v>31000</v>
      </c>
      <c r="I1090" s="2"/>
      <c r="J1090" s="2"/>
      <c r="K1090" s="2" t="str">
        <f ca="1">IFERROR(__xludf.DUMMYFUNCTION("""COMPUTED_VALUE"""),"2do Trasiego")</f>
        <v>2do Trasiego</v>
      </c>
      <c r="L1090" s="2" t="str">
        <f ca="1">IFERROR(__xludf.DUMMYFUNCTION("""COMPUTED_VALUE"""),"1+")</f>
        <v>1+</v>
      </c>
      <c r="M1090" s="2"/>
    </row>
    <row r="1091" spans="1:13" x14ac:dyDescent="0.25">
      <c r="A1091" s="2" t="str">
        <f ca="1">IFERROR(__xludf.DUMMYFUNCTION("""COMPUTED_VALUE"""),"6d97827a")</f>
        <v>6d97827a</v>
      </c>
      <c r="B1091" s="2"/>
      <c r="C1091" s="5">
        <f ca="1">IFERROR(__xludf.DUMMYFUNCTION("""COMPUTED_VALUE"""),45884.7640509259)</f>
        <v>45884.7640509259</v>
      </c>
      <c r="D1091" s="2">
        <f ca="1">IFERROR(__xludf.DUMMYFUNCTION("""COMPUTED_VALUE"""),89)</f>
        <v>89</v>
      </c>
      <c r="E1091" s="2">
        <f ca="1">IFERROR(__xludf.DUMMYFUNCTION("""COMPUTED_VALUE"""),83500)</f>
        <v>83500</v>
      </c>
      <c r="F1091" s="2" t="str">
        <f ca="1">IFERROR(__xludf.DUMMYFUNCTION("""COMPUTED_VALUE"""),"Syrah Tempranillo")</f>
        <v>Syrah Tempranillo</v>
      </c>
      <c r="G1091" s="2">
        <f ca="1">IFERROR(__xludf.DUMMYFUNCTION("""COMPUTED_VALUE"""),81100)</f>
        <v>81100</v>
      </c>
      <c r="H1091" s="2">
        <f ca="1">IFERROR(__xludf.DUMMYFUNCTION("""COMPUTED_VALUE"""),83500)</f>
        <v>83500</v>
      </c>
      <c r="I1091" s="2"/>
      <c r="J1091" s="2"/>
      <c r="K1091" s="2" t="str">
        <f ca="1">IFERROR(__xludf.DUMMYFUNCTION("""COMPUTED_VALUE"""),"2do Trasiego")</f>
        <v>2do Trasiego</v>
      </c>
      <c r="L1091" s="2" t="str">
        <f ca="1">IFERROR(__xludf.DUMMYFUNCTION("""COMPUTED_VALUE"""),"1+")</f>
        <v>1+</v>
      </c>
      <c r="M1091" s="2"/>
    </row>
    <row r="1092" spans="1:13" x14ac:dyDescent="0.25">
      <c r="A1092" s="2" t="str">
        <f ca="1">IFERROR(__xludf.DUMMYFUNCTION("""COMPUTED_VALUE"""),"99a4f454")</f>
        <v>99a4f454</v>
      </c>
      <c r="B1092" s="2"/>
      <c r="C1092" s="5">
        <f ca="1">IFERROR(__xludf.DUMMYFUNCTION("""COMPUTED_VALUE"""),45884.7823263888)</f>
        <v>45884.782326388799</v>
      </c>
      <c r="D1092" s="2">
        <f ca="1">IFERROR(__xludf.DUMMYFUNCTION("""COMPUTED_VALUE"""),500)</f>
        <v>500</v>
      </c>
      <c r="E1092" s="2">
        <f ca="1">IFERROR(__xludf.DUMMYFUNCTION("""COMPUTED_VALUE"""),200000)</f>
        <v>200000</v>
      </c>
      <c r="F1092" s="2" t="str">
        <f ca="1">IFERROR(__xludf.DUMMYFUNCTION("""COMPUTED_VALUE"""),"Malbec Medrano L 5223 - Fraccionado")</f>
        <v>Malbec Medrano L 5223 - Fraccionado</v>
      </c>
      <c r="G1092" s="2">
        <f ca="1">IFERROR(__xludf.DUMMYFUNCTION("""COMPUTED_VALUE"""),0)</f>
        <v>0</v>
      </c>
      <c r="H1092" s="2">
        <f ca="1">IFERROR(__xludf.DUMMYFUNCTION("""COMPUTED_VALUE"""),2250)</f>
        <v>2250</v>
      </c>
      <c r="I1092" s="2"/>
      <c r="J1092" s="2"/>
      <c r="K1092" s="2" t="str">
        <f ca="1">IFERROR(__xludf.DUMMYFUNCTION("""COMPUTED_VALUE"""),"Traslado Venta")</f>
        <v>Traslado Venta</v>
      </c>
      <c r="L1092" s="2" t="str">
        <f ca="1">IFERROR(__xludf.DUMMYFUNCTION("""COMPUTED_VALUE"""),"1+")</f>
        <v>1+</v>
      </c>
      <c r="M1092" s="2"/>
    </row>
    <row r="1093" spans="1:13" x14ac:dyDescent="0.25">
      <c r="A1093" s="2" t="str">
        <f ca="1">IFERROR(__xludf.DUMMYFUNCTION("""COMPUTED_VALUE"""),"26f083cf")</f>
        <v>26f083cf</v>
      </c>
      <c r="B1093" s="2"/>
      <c r="C1093" s="5">
        <f ca="1">IFERROR(__xludf.DUMMYFUNCTION("""COMPUTED_VALUE"""),45884.782974537)</f>
        <v>45884.782974537004</v>
      </c>
      <c r="D1093" s="2">
        <f ca="1">IFERROR(__xludf.DUMMYFUNCTION("""COMPUTED_VALUE"""),51)</f>
        <v>51</v>
      </c>
      <c r="E1093" s="2">
        <f ca="1">IFERROR(__xludf.DUMMYFUNCTION("""COMPUTED_VALUE"""),3900)</f>
        <v>3900</v>
      </c>
      <c r="F1093" s="2" t="str">
        <f ca="1">IFERROR(__xludf.DUMMYFUNCTION("""COMPUTED_VALUE"""),"Malbec Medrano L 5223")</f>
        <v>Malbec Medrano L 5223</v>
      </c>
      <c r="G1093" s="2">
        <f ca="1">IFERROR(__xludf.DUMMYFUNCTION("""COMPUTED_VALUE"""),0)</f>
        <v>0</v>
      </c>
      <c r="H1093" s="2">
        <f ca="1">IFERROR(__xludf.DUMMYFUNCTION("""COMPUTED_VALUE"""),600)</f>
        <v>600</v>
      </c>
      <c r="I1093" s="2"/>
      <c r="J1093" s="2"/>
      <c r="K1093" s="2" t="str">
        <f ca="1">IFERROR(__xludf.DUMMYFUNCTION("""COMPUTED_VALUE"""),"Filtrado Tang")</f>
        <v>Filtrado Tang</v>
      </c>
      <c r="L1093" s="2" t="str">
        <f ca="1">IFERROR(__xludf.DUMMYFUNCTION("""COMPUTED_VALUE"""),"1+")</f>
        <v>1+</v>
      </c>
      <c r="M1093" s="2"/>
    </row>
    <row r="1094" spans="1:13" x14ac:dyDescent="0.25">
      <c r="A1094" s="2" t="str">
        <f ca="1">IFERROR(__xludf.DUMMYFUNCTION("""COMPUTED_VALUE"""),"5db7be38")</f>
        <v>5db7be38</v>
      </c>
      <c r="B1094" s="2"/>
      <c r="C1094" s="5">
        <f ca="1">IFERROR(__xludf.DUMMYFUNCTION("""COMPUTED_VALUE"""),45884.7833912037)</f>
        <v>45884.783391203702</v>
      </c>
      <c r="D1094" s="2">
        <f ca="1">IFERROR(__xludf.DUMMYFUNCTION("""COMPUTED_VALUE"""),50)</f>
        <v>50</v>
      </c>
      <c r="E1094" s="2">
        <f ca="1">IFERROR(__xludf.DUMMYFUNCTION("""COMPUTED_VALUE"""),5100)</f>
        <v>5100</v>
      </c>
      <c r="F1094" s="2" t="str">
        <f ca="1">IFERROR(__xludf.DUMMYFUNCTION("""COMPUTED_VALUE"""),"Malbec Montecepas L 5223")</f>
        <v>Malbec Montecepas L 5223</v>
      </c>
      <c r="G1094" s="2">
        <f ca="1">IFERROR(__xludf.DUMMYFUNCTION("""COMPUTED_VALUE"""),2250)</f>
        <v>2250</v>
      </c>
      <c r="H1094" s="2">
        <f ca="1">IFERROR(__xludf.DUMMYFUNCTION("""COMPUTED_VALUE"""),5100)</f>
        <v>5100</v>
      </c>
      <c r="I1094" s="2"/>
      <c r="J1094" s="2"/>
      <c r="K1094" s="2" t="str">
        <f ca="1">IFERROR(__xludf.DUMMYFUNCTION("""COMPUTED_VALUE"""),"Filtrado Tang")</f>
        <v>Filtrado Tang</v>
      </c>
      <c r="L1094" s="2" t="str">
        <f ca="1">IFERROR(__xludf.DUMMYFUNCTION("""COMPUTED_VALUE"""),"1+")</f>
        <v>1+</v>
      </c>
      <c r="M1094" s="2"/>
    </row>
    <row r="1095" spans="1:13" x14ac:dyDescent="0.25">
      <c r="A1095" s="2" t="str">
        <f ca="1">IFERROR(__xludf.DUMMYFUNCTION("""COMPUTED_VALUE"""),"b7784dc8")</f>
        <v>b7784dc8</v>
      </c>
      <c r="B1095" s="2"/>
      <c r="C1095" s="5">
        <f ca="1">IFERROR(__xludf.DUMMYFUNCTION("""COMPUTED_VALUE"""),45884.7836111111)</f>
        <v>45884.783611111103</v>
      </c>
      <c r="D1095" s="2">
        <f ca="1">IFERROR(__xludf.DUMMYFUNCTION("""COMPUTED_VALUE"""),51)</f>
        <v>51</v>
      </c>
      <c r="E1095" s="2">
        <f ca="1">IFERROR(__xludf.DUMMYFUNCTION("""COMPUTED_VALUE"""),3900)</f>
        <v>3900</v>
      </c>
      <c r="F1095" s="2" t="str">
        <f ca="1">IFERROR(__xludf.DUMMYFUNCTION("""COMPUTED_VALUE"""),"Malbec Montecepas 24")</f>
        <v>Malbec Montecepas 24</v>
      </c>
      <c r="G1095" s="2">
        <f ca="1">IFERROR(__xludf.DUMMYFUNCTION("""COMPUTED_VALUE"""),600)</f>
        <v>600</v>
      </c>
      <c r="H1095" s="2">
        <f ca="1">IFERROR(__xludf.DUMMYFUNCTION("""COMPUTED_VALUE"""),3900)</f>
        <v>3900</v>
      </c>
      <c r="I1095" s="2"/>
      <c r="J1095" s="2"/>
      <c r="K1095" s="2" t="str">
        <f ca="1">IFERROR(__xludf.DUMMYFUNCTION("""COMPUTED_VALUE"""),"Filtrado Tang")</f>
        <v>Filtrado Tang</v>
      </c>
      <c r="L1095" s="2" t="str">
        <f ca="1">IFERROR(__xludf.DUMMYFUNCTION("""COMPUTED_VALUE"""),"1+")</f>
        <v>1+</v>
      </c>
      <c r="M1095" s="2"/>
    </row>
    <row r="1096" spans="1:13" x14ac:dyDescent="0.25">
      <c r="A1096" s="2" t="str">
        <f ca="1">IFERROR(__xludf.DUMMYFUNCTION("""COMPUTED_VALUE"""),"df10fd91")</f>
        <v>df10fd91</v>
      </c>
      <c r="B1096" s="2"/>
      <c r="C1096" s="5">
        <f ca="1">IFERROR(__xludf.DUMMYFUNCTION("""COMPUTED_VALUE"""),45884.7846875)</f>
        <v>45884.784687500003</v>
      </c>
      <c r="D1096" s="2">
        <f ca="1">IFERROR(__xludf.DUMMYFUNCTION("""COMPUTED_VALUE"""),500)</f>
        <v>500</v>
      </c>
      <c r="E1096" s="2">
        <f ca="1">IFERROR(__xludf.DUMMYFUNCTION("""COMPUTED_VALUE"""),200000)</f>
        <v>200000</v>
      </c>
      <c r="F1096" s="2" t="str">
        <f ca="1">IFERROR(__xludf.DUMMYFUNCTION("""COMPUTED_VALUE"""),"Malbec Magneta Fraccionado L 5223")</f>
        <v>Malbec Magneta Fraccionado L 5223</v>
      </c>
      <c r="G1096" s="2">
        <f ca="1">IFERROR(__xludf.DUMMYFUNCTION("""COMPUTED_VALUE"""),0)</f>
        <v>0</v>
      </c>
      <c r="H1096" s="2">
        <f ca="1">IFERROR(__xludf.DUMMYFUNCTION("""COMPUTED_VALUE"""),4000)</f>
        <v>4000</v>
      </c>
      <c r="I1096" s="2"/>
      <c r="J1096" s="2"/>
      <c r="K1096" s="2" t="str">
        <f ca="1">IFERROR(__xludf.DUMMYFUNCTION("""COMPUTED_VALUE"""),"Traslado Venta")</f>
        <v>Traslado Venta</v>
      </c>
      <c r="L1096" s="2"/>
      <c r="M1096" s="2"/>
    </row>
    <row r="1097" spans="1:13" x14ac:dyDescent="0.25">
      <c r="A1097" s="2" t="str">
        <f ca="1">IFERROR(__xludf.DUMMYFUNCTION("""COMPUTED_VALUE"""),"aa688500")</f>
        <v>aa688500</v>
      </c>
      <c r="B1097" s="2"/>
      <c r="C1097" s="5">
        <f ca="1">IFERROR(__xludf.DUMMYFUNCTION("""COMPUTED_VALUE"""),45888.3783564814)</f>
        <v>45888.3783564814</v>
      </c>
      <c r="D1097" s="2">
        <f ca="1">IFERROR(__xludf.DUMMYFUNCTION("""COMPUTED_VALUE"""),500)</f>
        <v>500</v>
      </c>
      <c r="E1097" s="2">
        <f ca="1">IFERROR(__xludf.DUMMYFUNCTION("""COMPUTED_VALUE"""),200000)</f>
        <v>200000</v>
      </c>
      <c r="F1097" s="2" t="str">
        <f ca="1">IFERROR(__xludf.DUMMYFUNCTION("""COMPUTED_VALUE"""),"Malbec Montecepas L 5223 - Fraccionado")</f>
        <v>Malbec Montecepas L 5223 - Fraccionado</v>
      </c>
      <c r="G1097" s="2">
        <f ca="1">IFERROR(__xludf.DUMMYFUNCTION("""COMPUTED_VALUE"""),0)</f>
        <v>0</v>
      </c>
      <c r="H1097" s="2">
        <f ca="1">IFERROR(__xludf.DUMMYFUNCTION("""COMPUTED_VALUE"""),5100)</f>
        <v>5100</v>
      </c>
      <c r="I1097" s="2"/>
      <c r="J1097" s="2"/>
      <c r="K1097" s="2" t="str">
        <f ca="1">IFERROR(__xludf.DUMMYFUNCTION("""COMPUTED_VALUE"""),"Filtrado Tang")</f>
        <v>Filtrado Tang</v>
      </c>
      <c r="L1097" s="2" t="str">
        <f ca="1">IFERROR(__xludf.DUMMYFUNCTION("""COMPUTED_VALUE"""),"1+")</f>
        <v>1+</v>
      </c>
      <c r="M1097" s="2"/>
    </row>
    <row r="1098" spans="1:13" x14ac:dyDescent="0.25">
      <c r="A1098" s="2" t="str">
        <f ca="1">IFERROR(__xludf.DUMMYFUNCTION("""COMPUTED_VALUE"""),"cbc84b48")</f>
        <v>cbc84b48</v>
      </c>
      <c r="B1098" s="2"/>
      <c r="C1098" s="5">
        <f ca="1">IFERROR(__xludf.DUMMYFUNCTION("""COMPUTED_VALUE"""),45888.37875)</f>
        <v>45888.378750000003</v>
      </c>
      <c r="D1098" s="2">
        <f ca="1">IFERROR(__xludf.DUMMYFUNCTION("""COMPUTED_VALUE"""),500)</f>
        <v>500</v>
      </c>
      <c r="E1098" s="2">
        <f ca="1">IFERROR(__xludf.DUMMYFUNCTION("""COMPUTED_VALUE"""),200000)</f>
        <v>200000</v>
      </c>
      <c r="F1098" s="2" t="str">
        <f ca="1">IFERROR(__xludf.DUMMYFUNCTION("""COMPUTED_VALUE"""),"Malbec Montecepas L 5223 - Fraccionado")</f>
        <v>Malbec Montecepas L 5223 - Fraccionado</v>
      </c>
      <c r="G1098" s="2">
        <f ca="1">IFERROR(__xludf.DUMMYFUNCTION("""COMPUTED_VALUE"""),5100)</f>
        <v>5100</v>
      </c>
      <c r="H1098" s="2">
        <f ca="1">IFERROR(__xludf.DUMMYFUNCTION("""COMPUTED_VALUE"""),6900)</f>
        <v>6900</v>
      </c>
      <c r="I1098" s="2"/>
      <c r="J1098" s="2"/>
      <c r="K1098" s="2" t="str">
        <f ca="1">IFERROR(__xludf.DUMMYFUNCTION("""COMPUTED_VALUE"""),"Filtrado Tang")</f>
        <v>Filtrado Tang</v>
      </c>
      <c r="L1098" s="2" t="str">
        <f ca="1">IFERROR(__xludf.DUMMYFUNCTION("""COMPUTED_VALUE"""),"1+")</f>
        <v>1+</v>
      </c>
      <c r="M1098" s="2"/>
    </row>
    <row r="1099" spans="1:13" x14ac:dyDescent="0.25">
      <c r="A1099" s="2" t="str">
        <f ca="1">IFERROR(__xludf.DUMMYFUNCTION("""COMPUTED_VALUE"""),"8347bdfc")</f>
        <v>8347bdfc</v>
      </c>
      <c r="B1099" s="2"/>
      <c r="C1099" s="5">
        <f ca="1">IFERROR(__xludf.DUMMYFUNCTION("""COMPUTED_VALUE"""),45888.3804861111)</f>
        <v>45888.380486111098</v>
      </c>
      <c r="D1099" s="2">
        <f ca="1">IFERROR(__xludf.DUMMYFUNCTION("""COMPUTED_VALUE"""),116)</f>
        <v>116</v>
      </c>
      <c r="E1099" s="2">
        <f ca="1">IFERROR(__xludf.DUMMYFUNCTION("""COMPUTED_VALUE"""),99600)</f>
        <v>99600</v>
      </c>
      <c r="F1099" s="2" t="str">
        <f ca="1">IFERROR(__xludf.DUMMYFUNCTION("""COMPUTED_VALUE"""),"Malbec")</f>
        <v>Malbec</v>
      </c>
      <c r="G1099" s="2">
        <f ca="1">IFERROR(__xludf.DUMMYFUNCTION("""COMPUTED_VALUE"""),29845)</f>
        <v>29845</v>
      </c>
      <c r="H1099" s="2">
        <f ca="1">IFERROR(__xludf.DUMMYFUNCTION("""COMPUTED_VALUE"""),38845)</f>
        <v>38845</v>
      </c>
      <c r="I1099" s="2"/>
      <c r="J1099" s="2"/>
      <c r="K1099" s="2" t="str">
        <f ca="1">IFERROR(__xludf.DUMMYFUNCTION("""COMPUTED_VALUE"""),"Filtrado Tang")</f>
        <v>Filtrado Tang</v>
      </c>
      <c r="L1099" s="2" t="str">
        <f ca="1">IFERROR(__xludf.DUMMYFUNCTION("""COMPUTED_VALUE"""),"1+")</f>
        <v>1+</v>
      </c>
      <c r="M1099" s="2"/>
    </row>
    <row r="1100" spans="1:13" x14ac:dyDescent="0.25">
      <c r="A1100" s="2" t="str">
        <f ca="1">IFERROR(__xludf.DUMMYFUNCTION("""COMPUTED_VALUE"""),"b4b9d373")</f>
        <v>b4b9d373</v>
      </c>
      <c r="B1100" s="2"/>
      <c r="C1100" s="5">
        <f ca="1">IFERROR(__xludf.DUMMYFUNCTION("""COMPUTED_VALUE"""),45890.6421527777)</f>
        <v>45890.642152777698</v>
      </c>
      <c r="D1100" s="2">
        <f ca="1">IFERROR(__xludf.DUMMYFUNCTION("""COMPUTED_VALUE"""),24)</f>
        <v>24</v>
      </c>
      <c r="E1100" s="2">
        <f ca="1">IFERROR(__xludf.DUMMYFUNCTION("""COMPUTED_VALUE"""),186600)</f>
        <v>186600</v>
      </c>
      <c r="F1100" s="2" t="str">
        <f ca="1">IFERROR(__xludf.DUMMYFUNCTION("""COMPUTED_VALUE"""),"Tinto Garbin Millan")</f>
        <v>Tinto Garbin Millan</v>
      </c>
      <c r="G1100" s="2">
        <f ca="1">IFERROR(__xludf.DUMMYFUNCTION("""COMPUTED_VALUE"""),0)</f>
        <v>0</v>
      </c>
      <c r="H1100" s="2">
        <f ca="1">IFERROR(__xludf.DUMMYFUNCTION("""COMPUTED_VALUE"""),33500)</f>
        <v>33500</v>
      </c>
      <c r="I1100" s="2"/>
      <c r="J1100" s="2"/>
      <c r="K1100" s="2" t="str">
        <f ca="1">IFERROR(__xludf.DUMMYFUNCTION("""COMPUTED_VALUE"""),"Terminado")</f>
        <v>Terminado</v>
      </c>
      <c r="L1100" s="2" t="str">
        <f ca="1">IFERROR(__xludf.DUMMYFUNCTION("""COMPUTED_VALUE"""),"1")</f>
        <v>1</v>
      </c>
      <c r="M1100" s="2"/>
    </row>
    <row r="1101" spans="1:13" x14ac:dyDescent="0.25">
      <c r="A1101" s="2" t="str">
        <f ca="1">IFERROR(__xludf.DUMMYFUNCTION("""COMPUTED_VALUE"""),"eeb0e3cc")</f>
        <v>eeb0e3cc</v>
      </c>
      <c r="B1101" s="2"/>
      <c r="C1101" s="5">
        <f ca="1">IFERROR(__xludf.DUMMYFUNCTION("""COMPUTED_VALUE"""),45890.6424884259)</f>
        <v>45890.642488425903</v>
      </c>
      <c r="D1101" s="2">
        <f ca="1">IFERROR(__xludf.DUMMYFUNCTION("""COMPUTED_VALUE"""),24)</f>
        <v>24</v>
      </c>
      <c r="E1101" s="2">
        <f ca="1">IFERROR(__xludf.DUMMYFUNCTION("""COMPUTED_VALUE"""),186600)</f>
        <v>186600</v>
      </c>
      <c r="F1101" s="2" t="str">
        <f ca="1">IFERROR(__xludf.DUMMYFUNCTION("""COMPUTED_VALUE"""),"Tinto Garbin Millan")</f>
        <v>Tinto Garbin Millan</v>
      </c>
      <c r="G1101" s="2">
        <f ca="1">IFERROR(__xludf.DUMMYFUNCTION("""COMPUTED_VALUE"""),33500)</f>
        <v>33500</v>
      </c>
      <c r="H1101" s="2">
        <f ca="1">IFERROR(__xludf.DUMMYFUNCTION("""COMPUTED_VALUE"""),57700)</f>
        <v>57700</v>
      </c>
      <c r="I1101" s="2"/>
      <c r="J1101" s="2"/>
      <c r="K1101" s="2" t="str">
        <f ca="1">IFERROR(__xludf.DUMMYFUNCTION("""COMPUTED_VALUE"""),"Terminado")</f>
        <v>Terminado</v>
      </c>
      <c r="L1101" s="2" t="str">
        <f ca="1">IFERROR(__xludf.DUMMYFUNCTION("""COMPUTED_VALUE"""),"1")</f>
        <v>1</v>
      </c>
      <c r="M1101" s="2"/>
    </row>
    <row r="1102" spans="1:13" x14ac:dyDescent="0.25">
      <c r="A1102" s="2" t="str">
        <f ca="1">IFERROR(__xludf.DUMMYFUNCTION("""COMPUTED_VALUE"""),"e7f2e4d8")</f>
        <v>e7f2e4d8</v>
      </c>
      <c r="B1102" s="2"/>
      <c r="C1102" s="5">
        <f ca="1">IFERROR(__xludf.DUMMYFUNCTION("""COMPUTED_VALUE"""),45890.642824074)</f>
        <v>45890.642824073999</v>
      </c>
      <c r="D1102" s="2">
        <f ca="1">IFERROR(__xludf.DUMMYFUNCTION("""COMPUTED_VALUE"""),24)</f>
        <v>24</v>
      </c>
      <c r="E1102" s="2">
        <f ca="1">IFERROR(__xludf.DUMMYFUNCTION("""COMPUTED_VALUE"""),186600)</f>
        <v>186600</v>
      </c>
      <c r="F1102" s="2" t="str">
        <f ca="1">IFERROR(__xludf.DUMMYFUNCTION("""COMPUTED_VALUE"""),"Tinto Garbin Millan")</f>
        <v>Tinto Garbin Millan</v>
      </c>
      <c r="G1102" s="2">
        <f ca="1">IFERROR(__xludf.DUMMYFUNCTION("""COMPUTED_VALUE"""),57700)</f>
        <v>57700</v>
      </c>
      <c r="H1102" s="2">
        <f ca="1">IFERROR(__xludf.DUMMYFUNCTION("""COMPUTED_VALUE"""),70700)</f>
        <v>70700</v>
      </c>
      <c r="I1102" s="2"/>
      <c r="J1102" s="2"/>
      <c r="K1102" s="2" t="str">
        <f ca="1">IFERROR(__xludf.DUMMYFUNCTION("""COMPUTED_VALUE"""),"Terminado")</f>
        <v>Terminado</v>
      </c>
      <c r="L1102" s="2" t="str">
        <f ca="1">IFERROR(__xludf.DUMMYFUNCTION("""COMPUTED_VALUE"""),"1")</f>
        <v>1</v>
      </c>
      <c r="M1102" s="2"/>
    </row>
    <row r="1103" spans="1:13" x14ac:dyDescent="0.25">
      <c r="A1103" s="2" t="str">
        <f ca="1">IFERROR(__xludf.DUMMYFUNCTION("""COMPUTED_VALUE"""),"aa31c842")</f>
        <v>aa31c842</v>
      </c>
      <c r="B1103" s="2"/>
      <c r="C1103" s="5">
        <f ca="1">IFERROR(__xludf.DUMMYFUNCTION("""COMPUTED_VALUE"""),45890.6432175925)</f>
        <v>45890.6432175925</v>
      </c>
      <c r="D1103" s="2">
        <f ca="1">IFERROR(__xludf.DUMMYFUNCTION("""COMPUTED_VALUE"""),24)</f>
        <v>24</v>
      </c>
      <c r="E1103" s="2">
        <f ca="1">IFERROR(__xludf.DUMMYFUNCTION("""COMPUTED_VALUE"""),186600)</f>
        <v>186600</v>
      </c>
      <c r="F1103" s="2" t="str">
        <f ca="1">IFERROR(__xludf.DUMMYFUNCTION("""COMPUTED_VALUE"""),"Tinto Garbin Millan")</f>
        <v>Tinto Garbin Millan</v>
      </c>
      <c r="G1103" s="2">
        <f ca="1">IFERROR(__xludf.DUMMYFUNCTION("""COMPUTED_VALUE"""),70700)</f>
        <v>70700</v>
      </c>
      <c r="H1103" s="2">
        <f ca="1">IFERROR(__xludf.DUMMYFUNCTION("""COMPUTED_VALUE"""),135800)</f>
        <v>135800</v>
      </c>
      <c r="I1103" s="2"/>
      <c r="J1103" s="2"/>
      <c r="K1103" s="2" t="str">
        <f ca="1">IFERROR(__xludf.DUMMYFUNCTION("""COMPUTED_VALUE"""),"Terminado")</f>
        <v>Terminado</v>
      </c>
      <c r="L1103" s="2" t="str">
        <f ca="1">IFERROR(__xludf.DUMMYFUNCTION("""COMPUTED_VALUE"""),"1")</f>
        <v>1</v>
      </c>
      <c r="M1103" s="2"/>
    </row>
    <row r="1104" spans="1:13" x14ac:dyDescent="0.25">
      <c r="A1104" s="2" t="str">
        <f ca="1">IFERROR(__xludf.DUMMYFUNCTION("""COMPUTED_VALUE"""),"edf6771c")</f>
        <v>edf6771c</v>
      </c>
      <c r="B1104" s="2"/>
      <c r="C1104" s="5">
        <f ca="1">IFERROR(__xludf.DUMMYFUNCTION("""COMPUTED_VALUE"""),45890.6437384259)</f>
        <v>45890.643738425897</v>
      </c>
      <c r="D1104" s="2">
        <f ca="1">IFERROR(__xludf.DUMMYFUNCTION("""COMPUTED_VALUE"""),24)</f>
        <v>24</v>
      </c>
      <c r="E1104" s="2">
        <f ca="1">IFERROR(__xludf.DUMMYFUNCTION("""COMPUTED_VALUE"""),186600)</f>
        <v>186600</v>
      </c>
      <c r="F1104" s="2" t="str">
        <f ca="1">IFERROR(__xludf.DUMMYFUNCTION("""COMPUTED_VALUE"""),"Tinto Garbin Millan")</f>
        <v>Tinto Garbin Millan</v>
      </c>
      <c r="G1104" s="2">
        <f ca="1">IFERROR(__xludf.DUMMYFUNCTION("""COMPUTED_VALUE"""),135800)</f>
        <v>135800</v>
      </c>
      <c r="H1104" s="2">
        <f ca="1">IFERROR(__xludf.DUMMYFUNCTION("""COMPUTED_VALUE"""),186600)</f>
        <v>186600</v>
      </c>
      <c r="I1104" s="2"/>
      <c r="J1104" s="2"/>
      <c r="K1104" s="2" t="str">
        <f ca="1">IFERROR(__xludf.DUMMYFUNCTION("""COMPUTED_VALUE"""),"Terminado")</f>
        <v>Terminado</v>
      </c>
      <c r="L1104" s="2" t="str">
        <f ca="1">IFERROR(__xludf.DUMMYFUNCTION("""COMPUTED_VALUE"""),"1")</f>
        <v>1</v>
      </c>
      <c r="M1104" s="2"/>
    </row>
    <row r="1105" spans="1:13" x14ac:dyDescent="0.25">
      <c r="A1105" s="2" t="str">
        <f ca="1">IFERROR(__xludf.DUMMYFUNCTION("""COMPUTED_VALUE"""),"452b9c20")</f>
        <v>452b9c20</v>
      </c>
      <c r="B1105" s="2"/>
      <c r="C1105" s="5">
        <f ca="1">IFERROR(__xludf.DUMMYFUNCTION("""COMPUTED_VALUE"""),45890.6444212962)</f>
        <v>45890.644421296201</v>
      </c>
      <c r="D1105" s="2">
        <f ca="1">IFERROR(__xludf.DUMMYFUNCTION("""COMPUTED_VALUE"""),500)</f>
        <v>500</v>
      </c>
      <c r="E1105" s="2">
        <f ca="1">IFERROR(__xludf.DUMMYFUNCTION("""COMPUTED_VALUE"""),200000)</f>
        <v>200000</v>
      </c>
      <c r="F1105" s="2" t="str">
        <f ca="1">IFERROR(__xludf.DUMMYFUNCTION("""COMPUTED_VALUE"""),"Tinto Garbin Venta")</f>
        <v>Tinto Garbin Venta</v>
      </c>
      <c r="G1105" s="2">
        <f ca="1">IFERROR(__xludf.DUMMYFUNCTION("""COMPUTED_VALUE"""),0)</f>
        <v>0</v>
      </c>
      <c r="H1105" s="2">
        <f ca="1">IFERROR(__xludf.DUMMYFUNCTION("""COMPUTED_VALUE"""),59000)</f>
        <v>59000</v>
      </c>
      <c r="I1105" s="2"/>
      <c r="J1105" s="2"/>
      <c r="K1105" s="2" t="str">
        <f ca="1">IFERROR(__xludf.DUMMYFUNCTION("""COMPUTED_VALUE"""),"Terminado")</f>
        <v>Terminado</v>
      </c>
      <c r="L1105" s="2" t="str">
        <f ca="1">IFERROR(__xludf.DUMMYFUNCTION("""COMPUTED_VALUE"""),"1")</f>
        <v>1</v>
      </c>
      <c r="M1105" s="2"/>
    </row>
    <row r="1106" spans="1:13" x14ac:dyDescent="0.25">
      <c r="A1106" s="2" t="str">
        <f ca="1">IFERROR(__xludf.DUMMYFUNCTION("""COMPUTED_VALUE"""),"76a79a76")</f>
        <v>76a79a76</v>
      </c>
      <c r="B1106" s="2"/>
      <c r="C1106" s="5">
        <f ca="1">IFERROR(__xludf.DUMMYFUNCTION("""COMPUTED_VALUE"""),45891.4057754629)</f>
        <v>45891.405775462903</v>
      </c>
      <c r="D1106" s="2">
        <f ca="1">IFERROR(__xludf.DUMMYFUNCTION("""COMPUTED_VALUE"""),116)</f>
        <v>116</v>
      </c>
      <c r="E1106" s="2">
        <f ca="1">IFERROR(__xludf.DUMMYFUNCTION("""COMPUTED_VALUE"""),99600)</f>
        <v>99600</v>
      </c>
      <c r="F1106" s="2" t="str">
        <f ca="1">IFERROR(__xludf.DUMMYFUNCTION("""COMPUTED_VALUE"""),"Malbec")</f>
        <v>Malbec</v>
      </c>
      <c r="G1106" s="2">
        <f ca="1">IFERROR(__xludf.DUMMYFUNCTION("""COMPUTED_VALUE"""),38845)</f>
        <v>38845</v>
      </c>
      <c r="H1106" s="2">
        <f ca="1">IFERROR(__xludf.DUMMYFUNCTION("""COMPUTED_VALUE"""),47845)</f>
        <v>47845</v>
      </c>
      <c r="I1106" s="2"/>
      <c r="J1106" s="2"/>
      <c r="K1106" s="2" t="str">
        <f ca="1">IFERROR(__xludf.DUMMYFUNCTION("""COMPUTED_VALUE"""),"Filtrado Tang")</f>
        <v>Filtrado Tang</v>
      </c>
      <c r="L1106" s="2" t="str">
        <f ca="1">IFERROR(__xludf.DUMMYFUNCTION("""COMPUTED_VALUE"""),"1+")</f>
        <v>1+</v>
      </c>
      <c r="M1106" s="2"/>
    </row>
    <row r="1107" spans="1:13" x14ac:dyDescent="0.25">
      <c r="A1107" s="2" t="str">
        <f ca="1">IFERROR(__xludf.DUMMYFUNCTION("""COMPUTED_VALUE"""),"0a6c15e9")</f>
        <v>0a6c15e9</v>
      </c>
      <c r="B1107" s="2"/>
      <c r="C1107" s="5">
        <f ca="1">IFERROR(__xludf.DUMMYFUNCTION("""COMPUTED_VALUE"""),45891.4077893518)</f>
        <v>45891.407789351797</v>
      </c>
      <c r="D1107" s="2">
        <f ca="1">IFERROR(__xludf.DUMMYFUNCTION("""COMPUTED_VALUE"""),12)</f>
        <v>12</v>
      </c>
      <c r="E1107" s="2">
        <f ca="1">IFERROR(__xludf.DUMMYFUNCTION("""COMPUTED_VALUE"""),35300)</f>
        <v>35300</v>
      </c>
      <c r="F1107" s="2" t="str">
        <f ca="1">IFERROR(__xludf.DUMMYFUNCTION("""COMPUTED_VALUE"""),"Tinto (cl Filt)")</f>
        <v>Tinto (cl Filt)</v>
      </c>
      <c r="G1107" s="2">
        <f ca="1">IFERROR(__xludf.DUMMYFUNCTION("""COMPUTED_VALUE"""),0)</f>
        <v>0</v>
      </c>
      <c r="H1107" s="2">
        <f ca="1">IFERROR(__xludf.DUMMYFUNCTION("""COMPUTED_VALUE"""),11200)</f>
        <v>11200</v>
      </c>
      <c r="I1107" s="2"/>
      <c r="J1107" s="2"/>
      <c r="K1107" s="2" t="str">
        <f ca="1">IFERROR(__xludf.DUMMYFUNCTION("""COMPUTED_VALUE"""),"Filtrado Tang")</f>
        <v>Filtrado Tang</v>
      </c>
      <c r="L1107" s="2"/>
      <c r="M1107" s="2"/>
    </row>
    <row r="1108" spans="1:13" x14ac:dyDescent="0.25">
      <c r="A1108" s="2" t="str">
        <f ca="1">IFERROR(__xludf.DUMMYFUNCTION("""COMPUTED_VALUE"""),"12a63e85")</f>
        <v>12a63e85</v>
      </c>
      <c r="B1108" s="2"/>
      <c r="C1108" s="5">
        <f ca="1">IFERROR(__xludf.DUMMYFUNCTION("""COMPUTED_VALUE"""),45891.4085416666)</f>
        <v>45891.408541666598</v>
      </c>
      <c r="D1108" s="2">
        <f ca="1">IFERROR(__xludf.DUMMYFUNCTION("""COMPUTED_VALUE"""),12)</f>
        <v>12</v>
      </c>
      <c r="E1108" s="2">
        <f ca="1">IFERROR(__xludf.DUMMYFUNCTION("""COMPUTED_VALUE"""),35300)</f>
        <v>35300</v>
      </c>
      <c r="F1108" s="2" t="str">
        <f ca="1">IFERROR(__xludf.DUMMYFUNCTION("""COMPUTED_VALUE"""),"Tinto (cl Filt)")</f>
        <v>Tinto (cl Filt)</v>
      </c>
      <c r="G1108" s="2">
        <f ca="1">IFERROR(__xludf.DUMMYFUNCTION("""COMPUTED_VALUE"""),11200)</f>
        <v>11200</v>
      </c>
      <c r="H1108" s="2">
        <f ca="1">IFERROR(__xludf.DUMMYFUNCTION("""COMPUTED_VALUE"""),22400)</f>
        <v>22400</v>
      </c>
      <c r="I1108" s="2"/>
      <c r="J1108" s="2"/>
      <c r="K1108" s="2" t="str">
        <f ca="1">IFERROR(__xludf.DUMMYFUNCTION("""COMPUTED_VALUE"""),"Filtrado Tang")</f>
        <v>Filtrado Tang</v>
      </c>
      <c r="L1108" s="2"/>
      <c r="M1108" s="2"/>
    </row>
    <row r="1109" spans="1:13" x14ac:dyDescent="0.25">
      <c r="A1109" s="2" t="str">
        <f ca="1">IFERROR(__xludf.DUMMYFUNCTION("""COMPUTED_VALUE"""),"27cc4b6e")</f>
        <v>27cc4b6e</v>
      </c>
      <c r="B1109" s="2"/>
      <c r="C1109" s="5">
        <f ca="1">IFERROR(__xludf.DUMMYFUNCTION("""COMPUTED_VALUE"""),45891.4096412037)</f>
        <v>45891.409641203703</v>
      </c>
      <c r="D1109" s="2">
        <f ca="1">IFERROR(__xludf.DUMMYFUNCTION("""COMPUTED_VALUE"""),116)</f>
        <v>116</v>
      </c>
      <c r="E1109" s="2">
        <f ca="1">IFERROR(__xludf.DUMMYFUNCTION("""COMPUTED_VALUE"""),99600)</f>
        <v>99600</v>
      </c>
      <c r="F1109" s="2" t="str">
        <f ca="1">IFERROR(__xludf.DUMMYFUNCTION("""COMPUTED_VALUE"""),"Malbec")</f>
        <v>Malbec</v>
      </c>
      <c r="G1109" s="2">
        <f ca="1">IFERROR(__xludf.DUMMYFUNCTION("""COMPUTED_VALUE"""),47845)</f>
        <v>47845</v>
      </c>
      <c r="H1109" s="2">
        <f ca="1">IFERROR(__xludf.DUMMYFUNCTION("""COMPUTED_VALUE"""),69145)</f>
        <v>69145</v>
      </c>
      <c r="I1109" s="2"/>
      <c r="J1109" s="2"/>
      <c r="K1109" s="2" t="str">
        <f ca="1">IFERROR(__xludf.DUMMYFUNCTION("""COMPUTED_VALUE"""),"Filtrado Tang")</f>
        <v>Filtrado Tang</v>
      </c>
      <c r="L1109" s="2" t="str">
        <f ca="1">IFERROR(__xludf.DUMMYFUNCTION("""COMPUTED_VALUE"""),"1+")</f>
        <v>1+</v>
      </c>
      <c r="M1109" s="2"/>
    </row>
    <row r="1110" spans="1:13" x14ac:dyDescent="0.25">
      <c r="A1110" s="2" t="str">
        <f ca="1">IFERROR(__xludf.DUMMYFUNCTION("""COMPUTED_VALUE"""),"7dcab225")</f>
        <v>7dcab225</v>
      </c>
      <c r="B1110" s="2"/>
      <c r="C1110" s="5">
        <f ca="1">IFERROR(__xludf.DUMMYFUNCTION("""COMPUTED_VALUE"""),45891.4106018518)</f>
        <v>45891.4106018518</v>
      </c>
      <c r="D1110" s="2">
        <f ca="1">IFERROR(__xludf.DUMMYFUNCTION("""COMPUTED_VALUE"""),500)</f>
        <v>500</v>
      </c>
      <c r="E1110" s="2">
        <f ca="1">IFERROR(__xludf.DUMMYFUNCTION("""COMPUTED_VALUE"""),200000)</f>
        <v>200000</v>
      </c>
      <c r="F1110" s="2" t="str">
        <f ca="1">IFERROR(__xludf.DUMMYFUNCTION("""COMPUTED_VALUE"""),"Malbec para Despacho 15/08/25")</f>
        <v>Malbec para Despacho 15/08/25</v>
      </c>
      <c r="G1110" s="2">
        <f ca="1">IFERROR(__xludf.DUMMYFUNCTION("""COMPUTED_VALUE"""),0)</f>
        <v>0</v>
      </c>
      <c r="H1110" s="2">
        <f ca="1">IFERROR(__xludf.DUMMYFUNCTION("""COMPUTED_VALUE"""),500)</f>
        <v>500</v>
      </c>
      <c r="I1110" s="2"/>
      <c r="J1110" s="2"/>
      <c r="K1110" s="2" t="str">
        <f ca="1">IFERROR(__xludf.DUMMYFUNCTION("""COMPUTED_VALUE"""),"Filtrado Tang")</f>
        <v>Filtrado Tang</v>
      </c>
      <c r="L1110" s="2" t="str">
        <f ca="1">IFERROR(__xludf.DUMMYFUNCTION("""COMPUTED_VALUE"""),"1+")</f>
        <v>1+</v>
      </c>
      <c r="M1110" s="2"/>
    </row>
    <row r="1111" spans="1:13" x14ac:dyDescent="0.25">
      <c r="A1111" s="2" t="str">
        <f ca="1">IFERROR(__xludf.DUMMYFUNCTION("""COMPUTED_VALUE"""),"2678debf")</f>
        <v>2678debf</v>
      </c>
      <c r="B1111" s="2"/>
      <c r="C1111" s="5">
        <f ca="1">IFERROR(__xludf.DUMMYFUNCTION("""COMPUTED_VALUE"""),45891.4112847222)</f>
        <v>45891.411284722199</v>
      </c>
      <c r="D1111" s="2">
        <f ca="1">IFERROR(__xludf.DUMMYFUNCTION("""COMPUTED_VALUE"""),12)</f>
        <v>12</v>
      </c>
      <c r="E1111" s="2">
        <f ca="1">IFERROR(__xludf.DUMMYFUNCTION("""COMPUTED_VALUE"""),35300)</f>
        <v>35300</v>
      </c>
      <c r="F1111" s="2" t="str">
        <f ca="1">IFERROR(__xludf.DUMMYFUNCTION("""COMPUTED_VALUE"""),"Tinto (cl Filt)")</f>
        <v>Tinto (cl Filt)</v>
      </c>
      <c r="G1111" s="2">
        <f ca="1">IFERROR(__xludf.DUMMYFUNCTION("""COMPUTED_VALUE"""),22400)</f>
        <v>22400</v>
      </c>
      <c r="H1111" s="2">
        <f ca="1">IFERROR(__xludf.DUMMYFUNCTION("""COMPUTED_VALUE"""),33900)</f>
        <v>33900</v>
      </c>
      <c r="I1111" s="2"/>
      <c r="J1111" s="2"/>
      <c r="K1111" s="2" t="str">
        <f ca="1">IFERROR(__xludf.DUMMYFUNCTION("""COMPUTED_VALUE"""),"Filtrado Tang")</f>
        <v>Filtrado Tang</v>
      </c>
      <c r="L1111" s="2"/>
      <c r="M1111" s="2"/>
    </row>
    <row r="1112" spans="1:13" x14ac:dyDescent="0.25">
      <c r="A1112" s="2" t="str">
        <f ca="1">IFERROR(__xludf.DUMMYFUNCTION("""COMPUTED_VALUE"""),"f42e90c8")</f>
        <v>f42e90c8</v>
      </c>
      <c r="B1112" s="2"/>
      <c r="C1112" s="5">
        <f ca="1">IFERROR(__xludf.DUMMYFUNCTION("""COMPUTED_VALUE"""),45891.411875)</f>
        <v>45891.411874999998</v>
      </c>
      <c r="D1112" s="2">
        <f ca="1">IFERROR(__xludf.DUMMYFUNCTION("""COMPUTED_VALUE"""),12)</f>
        <v>12</v>
      </c>
      <c r="E1112" s="2">
        <f ca="1">IFERROR(__xludf.DUMMYFUNCTION("""COMPUTED_VALUE"""),35300)</f>
        <v>35300</v>
      </c>
      <c r="F1112" s="2" t="str">
        <f ca="1">IFERROR(__xludf.DUMMYFUNCTION("""COMPUTED_VALUE"""),"Tinto (cl Filt)")</f>
        <v>Tinto (cl Filt)</v>
      </c>
      <c r="G1112" s="2">
        <f ca="1">IFERROR(__xludf.DUMMYFUNCTION("""COMPUTED_VALUE"""),33900)</f>
        <v>33900</v>
      </c>
      <c r="H1112" s="2">
        <f ca="1">IFERROR(__xludf.DUMMYFUNCTION("""COMPUTED_VALUE"""),35300)</f>
        <v>35300</v>
      </c>
      <c r="I1112" s="2"/>
      <c r="J1112" s="2"/>
      <c r="K1112" s="2" t="str">
        <f ca="1">IFERROR(__xludf.DUMMYFUNCTION("""COMPUTED_VALUE"""),"Filtrado Tang")</f>
        <v>Filtrado Tang</v>
      </c>
      <c r="L1112" s="2"/>
      <c r="M1112" s="2"/>
    </row>
    <row r="1113" spans="1:13" x14ac:dyDescent="0.25">
      <c r="A1113" s="2" t="str">
        <f ca="1">IFERROR(__xludf.DUMMYFUNCTION("""COMPUTED_VALUE"""),"e399ef8c")</f>
        <v>e399ef8c</v>
      </c>
      <c r="B1113" s="2"/>
      <c r="C1113" s="5">
        <f ca="1">IFERROR(__xludf.DUMMYFUNCTION("""COMPUTED_VALUE"""),45891.4125347222)</f>
        <v>45891.4125347222</v>
      </c>
      <c r="D1113" s="2">
        <f ca="1">IFERROR(__xludf.DUMMYFUNCTION("""COMPUTED_VALUE"""),9)</f>
        <v>9</v>
      </c>
      <c r="E1113" s="2">
        <f ca="1">IFERROR(__xludf.DUMMYFUNCTION("""COMPUTED_VALUE"""),30000)</f>
        <v>30000</v>
      </c>
      <c r="F1113" s="2" t="str">
        <f ca="1">IFERROR(__xludf.DUMMYFUNCTION("""COMPUTED_VALUE"""),"Tanat")</f>
        <v>Tanat</v>
      </c>
      <c r="G1113" s="2">
        <f ca="1">IFERROR(__xludf.DUMMYFUNCTION("""COMPUTED_VALUE"""),0)</f>
        <v>0</v>
      </c>
      <c r="H1113" s="2">
        <f ca="1">IFERROR(__xludf.DUMMYFUNCTION("""COMPUTED_VALUE"""),7000)</f>
        <v>7000</v>
      </c>
      <c r="I1113" s="2"/>
      <c r="J1113" s="2"/>
      <c r="K1113" s="2" t="str">
        <f ca="1">IFERROR(__xludf.DUMMYFUNCTION("""COMPUTED_VALUE"""),"Filtrado Tang")</f>
        <v>Filtrado Tang</v>
      </c>
      <c r="L1113" s="2"/>
      <c r="M1113" s="2"/>
    </row>
    <row r="1114" spans="1:13" x14ac:dyDescent="0.25">
      <c r="A1114" s="2" t="str">
        <f ca="1">IFERROR(__xludf.DUMMYFUNCTION("""COMPUTED_VALUE"""),"358957f4")</f>
        <v>358957f4</v>
      </c>
      <c r="B1114" s="2"/>
      <c r="C1114" s="5">
        <f ca="1">IFERROR(__xludf.DUMMYFUNCTION("""COMPUTED_VALUE"""),45891.4130092592)</f>
        <v>45891.413009259202</v>
      </c>
      <c r="D1114" s="2">
        <f ca="1">IFERROR(__xludf.DUMMYFUNCTION("""COMPUTED_VALUE"""),9)</f>
        <v>9</v>
      </c>
      <c r="E1114" s="2">
        <f ca="1">IFERROR(__xludf.DUMMYFUNCTION("""COMPUTED_VALUE"""),30000)</f>
        <v>30000</v>
      </c>
      <c r="F1114" s="2" t="str">
        <f ca="1">IFERROR(__xludf.DUMMYFUNCTION("""COMPUTED_VALUE"""),"Tanat")</f>
        <v>Tanat</v>
      </c>
      <c r="G1114" s="2">
        <f ca="1">IFERROR(__xludf.DUMMYFUNCTION("""COMPUTED_VALUE"""),7000)</f>
        <v>7000</v>
      </c>
      <c r="H1114" s="2">
        <f ca="1">IFERROR(__xludf.DUMMYFUNCTION("""COMPUTED_VALUE"""),29000)</f>
        <v>29000</v>
      </c>
      <c r="I1114" s="2"/>
      <c r="J1114" s="2"/>
      <c r="K1114" s="2" t="str">
        <f ca="1">IFERROR(__xludf.DUMMYFUNCTION("""COMPUTED_VALUE"""),"Filtrado Tang")</f>
        <v>Filtrado Tang</v>
      </c>
      <c r="L1114" s="2"/>
      <c r="M1114" s="2"/>
    </row>
    <row r="1115" spans="1:13" x14ac:dyDescent="0.25">
      <c r="A1115" s="2" t="str">
        <f ca="1">IFERROR(__xludf.DUMMYFUNCTION("""COMPUTED_VALUE"""),"dd14e723")</f>
        <v>dd14e723</v>
      </c>
      <c r="B1115" s="2"/>
      <c r="C1115" s="5">
        <f ca="1">IFERROR(__xludf.DUMMYFUNCTION("""COMPUTED_VALUE"""),45891.4199421296)</f>
        <v>45891.4199421296</v>
      </c>
      <c r="D1115" s="2">
        <f ca="1">IFERROR(__xludf.DUMMYFUNCTION("""COMPUTED_VALUE"""),24)</f>
        <v>24</v>
      </c>
      <c r="E1115" s="2">
        <f ca="1">IFERROR(__xludf.DUMMYFUNCTION("""COMPUTED_VALUE"""),186600)</f>
        <v>186600</v>
      </c>
      <c r="F1115" s="2" t="str">
        <f ca="1">IFERROR(__xludf.DUMMYFUNCTION("""COMPUTED_VALUE"""),"Tinto Garbin Millan")</f>
        <v>Tinto Garbin Millan</v>
      </c>
      <c r="G1115" s="2">
        <f ca="1">IFERROR(__xludf.DUMMYFUNCTION("""COMPUTED_VALUE"""),127600)</f>
        <v>127600</v>
      </c>
      <c r="H1115" s="2">
        <f ca="1">IFERROR(__xludf.DUMMYFUNCTION("""COMPUTED_VALUE"""),135300)</f>
        <v>135300</v>
      </c>
      <c r="I1115" s="2"/>
      <c r="J1115" s="2"/>
      <c r="K1115" s="2" t="str">
        <f ca="1">IFERROR(__xludf.DUMMYFUNCTION("""COMPUTED_VALUE"""),"Terminado")</f>
        <v>Terminado</v>
      </c>
      <c r="L1115" s="2" t="str">
        <f ca="1">IFERROR(__xludf.DUMMYFUNCTION("""COMPUTED_VALUE"""),"1")</f>
        <v>1</v>
      </c>
      <c r="M1115" s="2"/>
    </row>
    <row r="1116" spans="1:13" x14ac:dyDescent="0.25">
      <c r="A1116" s="2" t="str">
        <f ca="1">IFERROR(__xludf.DUMMYFUNCTION("""COMPUTED_VALUE"""),"45bd7b61")</f>
        <v>45bd7b61</v>
      </c>
      <c r="B1116" s="2"/>
      <c r="C1116" s="5">
        <f ca="1">IFERROR(__xludf.DUMMYFUNCTION("""COMPUTED_VALUE"""),45891.4205671296)</f>
        <v>45891.4205671296</v>
      </c>
      <c r="D1116" s="2">
        <f ca="1">IFERROR(__xludf.DUMMYFUNCTION("""COMPUTED_VALUE"""),24)</f>
        <v>24</v>
      </c>
      <c r="E1116" s="2">
        <f ca="1">IFERROR(__xludf.DUMMYFUNCTION("""COMPUTED_VALUE"""),186600)</f>
        <v>186600</v>
      </c>
      <c r="F1116" s="2" t="str">
        <f ca="1">IFERROR(__xludf.DUMMYFUNCTION("""COMPUTED_VALUE"""),"Tinto Garbin Millan")</f>
        <v>Tinto Garbin Millan</v>
      </c>
      <c r="G1116" s="2">
        <f ca="1">IFERROR(__xludf.DUMMYFUNCTION("""COMPUTED_VALUE"""),135300)</f>
        <v>135300</v>
      </c>
      <c r="H1116" s="2">
        <f ca="1">IFERROR(__xludf.DUMMYFUNCTION("""COMPUTED_VALUE"""),151300)</f>
        <v>151300</v>
      </c>
      <c r="I1116" s="2"/>
      <c r="J1116" s="2"/>
      <c r="K1116" s="2" t="str">
        <f ca="1">IFERROR(__xludf.DUMMYFUNCTION("""COMPUTED_VALUE"""),"Terminado")</f>
        <v>Terminado</v>
      </c>
      <c r="L1116" s="2" t="str">
        <f ca="1">IFERROR(__xludf.DUMMYFUNCTION("""COMPUTED_VALUE"""),"1")</f>
        <v>1</v>
      </c>
      <c r="M1116" s="2"/>
    </row>
    <row r="1117" spans="1:13" x14ac:dyDescent="0.25">
      <c r="A1117" s="2" t="str">
        <f ca="1">IFERROR(__xludf.DUMMYFUNCTION("""COMPUTED_VALUE"""),"ee052141")</f>
        <v>ee052141</v>
      </c>
      <c r="B1117" s="2"/>
      <c r="C1117" s="5">
        <f ca="1">IFERROR(__xludf.DUMMYFUNCTION("""COMPUTED_VALUE"""),45891.4209837963)</f>
        <v>45891.420983796299</v>
      </c>
      <c r="D1117" s="2">
        <f ca="1">IFERROR(__xludf.DUMMYFUNCTION("""COMPUTED_VALUE"""),24)</f>
        <v>24</v>
      </c>
      <c r="E1117" s="2">
        <f ca="1">IFERROR(__xludf.DUMMYFUNCTION("""COMPUTED_VALUE"""),186600)</f>
        <v>186600</v>
      </c>
      <c r="F1117" s="2" t="str">
        <f ca="1">IFERROR(__xludf.DUMMYFUNCTION("""COMPUTED_VALUE"""),"Tinto Garbin Millan")</f>
        <v>Tinto Garbin Millan</v>
      </c>
      <c r="G1117" s="2">
        <f ca="1">IFERROR(__xludf.DUMMYFUNCTION("""COMPUTED_VALUE"""),151300)</f>
        <v>151300</v>
      </c>
      <c r="H1117" s="2">
        <f ca="1">IFERROR(__xludf.DUMMYFUNCTION("""COMPUTED_VALUE"""),161900)</f>
        <v>161900</v>
      </c>
      <c r="I1117" s="2"/>
      <c r="J1117" s="2"/>
      <c r="K1117" s="2" t="str">
        <f ca="1">IFERROR(__xludf.DUMMYFUNCTION("""COMPUTED_VALUE"""),"Terminado")</f>
        <v>Terminado</v>
      </c>
      <c r="L1117" s="2" t="str">
        <f ca="1">IFERROR(__xludf.DUMMYFUNCTION("""COMPUTED_VALUE"""),"1")</f>
        <v>1</v>
      </c>
      <c r="M1117" s="2"/>
    </row>
    <row r="1118" spans="1:13" x14ac:dyDescent="0.25">
      <c r="A1118" s="2" t="str">
        <f ca="1">IFERROR(__xludf.DUMMYFUNCTION("""COMPUTED_VALUE"""),"fb0f0577")</f>
        <v>fb0f0577</v>
      </c>
      <c r="B1118" s="2"/>
      <c r="C1118" s="5">
        <f ca="1">IFERROR(__xludf.DUMMYFUNCTION("""COMPUTED_VALUE"""),45891.4213194444)</f>
        <v>45891.421319444402</v>
      </c>
      <c r="D1118" s="2">
        <f ca="1">IFERROR(__xludf.DUMMYFUNCTION("""COMPUTED_VALUE"""),24)</f>
        <v>24</v>
      </c>
      <c r="E1118" s="2">
        <f ca="1">IFERROR(__xludf.DUMMYFUNCTION("""COMPUTED_VALUE"""),186600)</f>
        <v>186600</v>
      </c>
      <c r="F1118" s="2" t="str">
        <f ca="1">IFERROR(__xludf.DUMMYFUNCTION("""COMPUTED_VALUE"""),"Tinto Garbin Millan")</f>
        <v>Tinto Garbin Millan</v>
      </c>
      <c r="G1118" s="2">
        <f ca="1">IFERROR(__xludf.DUMMYFUNCTION("""COMPUTED_VALUE"""),161900)</f>
        <v>161900</v>
      </c>
      <c r="H1118" s="2">
        <f ca="1">IFERROR(__xludf.DUMMYFUNCTION("""COMPUTED_VALUE"""),182500)</f>
        <v>182500</v>
      </c>
      <c r="I1118" s="2"/>
      <c r="J1118" s="2"/>
      <c r="K1118" s="2" t="str">
        <f ca="1">IFERROR(__xludf.DUMMYFUNCTION("""COMPUTED_VALUE"""),"Terminado")</f>
        <v>Terminado</v>
      </c>
      <c r="L1118" s="2" t="str">
        <f ca="1">IFERROR(__xludf.DUMMYFUNCTION("""COMPUTED_VALUE"""),"1")</f>
        <v>1</v>
      </c>
      <c r="M1118" s="2"/>
    </row>
    <row r="1119" spans="1:13" x14ac:dyDescent="0.25">
      <c r="A1119" s="2" t="str">
        <f ca="1">IFERROR(__xludf.DUMMYFUNCTION("""COMPUTED_VALUE"""),"e3e34051")</f>
        <v>e3e34051</v>
      </c>
      <c r="B1119" s="2"/>
      <c r="C1119" s="5">
        <f ca="1">IFERROR(__xludf.DUMMYFUNCTION("""COMPUTED_VALUE"""),45891.4215972222)</f>
        <v>45891.421597222201</v>
      </c>
      <c r="D1119" s="2">
        <f ca="1">IFERROR(__xludf.DUMMYFUNCTION("""COMPUTED_VALUE"""),24)</f>
        <v>24</v>
      </c>
      <c r="E1119" s="2">
        <f ca="1">IFERROR(__xludf.DUMMYFUNCTION("""COMPUTED_VALUE"""),186600)</f>
        <v>186600</v>
      </c>
      <c r="F1119" s="2" t="str">
        <f ca="1">IFERROR(__xludf.DUMMYFUNCTION("""COMPUTED_VALUE"""),"Tinto Garbin Millan")</f>
        <v>Tinto Garbin Millan</v>
      </c>
      <c r="G1119" s="2">
        <f ca="1">IFERROR(__xludf.DUMMYFUNCTION("""COMPUTED_VALUE"""),182500)</f>
        <v>182500</v>
      </c>
      <c r="H1119" s="2">
        <f ca="1">IFERROR(__xludf.DUMMYFUNCTION("""COMPUTED_VALUE"""),186600)</f>
        <v>186600</v>
      </c>
      <c r="I1119" s="2"/>
      <c r="J1119" s="2"/>
      <c r="K1119" s="2" t="str">
        <f ca="1">IFERROR(__xludf.DUMMYFUNCTION("""COMPUTED_VALUE"""),"Terminado")</f>
        <v>Terminado</v>
      </c>
      <c r="L1119" s="2" t="str">
        <f ca="1">IFERROR(__xludf.DUMMYFUNCTION("""COMPUTED_VALUE"""),"1")</f>
        <v>1</v>
      </c>
      <c r="M1119" s="2"/>
    </row>
    <row r="1120" spans="1:13" x14ac:dyDescent="0.25">
      <c r="A1120" s="2" t="str">
        <f ca="1">IFERROR(__xludf.DUMMYFUNCTION("""COMPUTED_VALUE"""),"009b8898")</f>
        <v>009b8898</v>
      </c>
      <c r="B1120" s="2"/>
      <c r="C1120" s="5">
        <f ca="1">IFERROR(__xludf.DUMMYFUNCTION("""COMPUTED_VALUE"""),45891.4273726851)</f>
        <v>45891.427372685102</v>
      </c>
      <c r="D1120" s="2">
        <f ca="1">IFERROR(__xludf.DUMMYFUNCTION("""COMPUTED_VALUE"""),118)</f>
        <v>118</v>
      </c>
      <c r="E1120" s="2">
        <f ca="1">IFERROR(__xludf.DUMMYFUNCTION("""COMPUTED_VALUE"""),155600)</f>
        <v>155600</v>
      </c>
      <c r="F1120" s="2" t="str">
        <f ca="1">IFERROR(__xludf.DUMMYFUNCTION("""COMPUTED_VALUE"""),"Syrah")</f>
        <v>Syrah</v>
      </c>
      <c r="G1120" s="2">
        <f ca="1">IFERROR(__xludf.DUMMYFUNCTION("""COMPUTED_VALUE"""),0)</f>
        <v>0</v>
      </c>
      <c r="H1120" s="2">
        <f ca="1">IFERROR(__xludf.DUMMYFUNCTION("""COMPUTED_VALUE"""),127500)</f>
        <v>127500</v>
      </c>
      <c r="I1120" s="2"/>
      <c r="J1120" s="2"/>
      <c r="K1120" s="2" t="str">
        <f ca="1">IFERROR(__xludf.DUMMYFUNCTION("""COMPUTED_VALUE"""),"2do Trasiego")</f>
        <v>2do Trasiego</v>
      </c>
      <c r="L1120" s="2" t="str">
        <f ca="1">IFERROR(__xludf.DUMMYFUNCTION("""COMPUTED_VALUE"""),"1")</f>
        <v>1</v>
      </c>
      <c r="M1120" s="2"/>
    </row>
    <row r="1121" spans="1:13" x14ac:dyDescent="0.25">
      <c r="A1121" s="2" t="str">
        <f ca="1">IFERROR(__xludf.DUMMYFUNCTION("""COMPUTED_VALUE"""),"df5a7884")</f>
        <v>df5a7884</v>
      </c>
      <c r="B1121" s="2"/>
      <c r="C1121" s="5">
        <f ca="1">IFERROR(__xludf.DUMMYFUNCTION("""COMPUTED_VALUE"""),45891.4277893518)</f>
        <v>45891.427789351801</v>
      </c>
      <c r="D1121" s="2">
        <f ca="1">IFERROR(__xludf.DUMMYFUNCTION("""COMPUTED_VALUE"""),9)</f>
        <v>9</v>
      </c>
      <c r="E1121" s="2">
        <f ca="1">IFERROR(__xludf.DUMMYFUNCTION("""COMPUTED_VALUE"""),30000)</f>
        <v>30000</v>
      </c>
      <c r="F1121" s="2" t="str">
        <f ca="1">IFERROR(__xludf.DUMMYFUNCTION("""COMPUTED_VALUE"""),"Tanat")</f>
        <v>Tanat</v>
      </c>
      <c r="G1121" s="2">
        <f ca="1">IFERROR(__xludf.DUMMYFUNCTION("""COMPUTED_VALUE"""),29000)</f>
        <v>29000</v>
      </c>
      <c r="H1121" s="2">
        <f ca="1">IFERROR(__xludf.DUMMYFUNCTION("""COMPUTED_VALUE"""),30000)</f>
        <v>30000</v>
      </c>
      <c r="I1121" s="2"/>
      <c r="J1121" s="2"/>
      <c r="K1121" s="2" t="str">
        <f ca="1">IFERROR(__xludf.DUMMYFUNCTION("""COMPUTED_VALUE"""),"Filtrado Tang")</f>
        <v>Filtrado Tang</v>
      </c>
      <c r="L1121" s="2"/>
      <c r="M1121" s="2"/>
    </row>
    <row r="1122" spans="1:13" x14ac:dyDescent="0.25">
      <c r="A1122" s="2" t="str">
        <f ca="1">IFERROR(__xludf.DUMMYFUNCTION("""COMPUTED_VALUE"""),"893ca699")</f>
        <v>893ca699</v>
      </c>
      <c r="B1122" s="2"/>
      <c r="C1122" s="5">
        <f ca="1">IFERROR(__xludf.DUMMYFUNCTION("""COMPUTED_VALUE"""),45891.4281944444)</f>
        <v>45891.428194444401</v>
      </c>
      <c r="D1122" s="2">
        <f ca="1">IFERROR(__xludf.DUMMYFUNCTION("""COMPUTED_VALUE"""),82)</f>
        <v>82</v>
      </c>
      <c r="E1122" s="2">
        <f ca="1">IFERROR(__xludf.DUMMYFUNCTION("""COMPUTED_VALUE"""),42600)</f>
        <v>42600</v>
      </c>
      <c r="F1122" s="2" t="str">
        <f ca="1">IFERROR(__xludf.DUMMYFUNCTION("""COMPUTED_VALUE"""),"Syrah")</f>
        <v>Syrah</v>
      </c>
      <c r="G1122" s="2">
        <f ca="1">IFERROR(__xludf.DUMMYFUNCTION("""COMPUTED_VALUE"""),0)</f>
        <v>0</v>
      </c>
      <c r="H1122" s="2">
        <f ca="1">IFERROR(__xludf.DUMMYFUNCTION("""COMPUTED_VALUE"""),12000)</f>
        <v>12000</v>
      </c>
      <c r="I1122" s="2"/>
      <c r="J1122" s="2"/>
      <c r="K1122" s="2" t="str">
        <f ca="1">IFERROR(__xludf.DUMMYFUNCTION("""COMPUTED_VALUE"""),"Filtrado Tang")</f>
        <v>Filtrado Tang</v>
      </c>
      <c r="L1122" s="2" t="str">
        <f ca="1">IFERROR(__xludf.DUMMYFUNCTION("""COMPUTED_VALUE"""),"1")</f>
        <v>1</v>
      </c>
      <c r="M1122" s="2"/>
    </row>
    <row r="1123" spans="1:13" x14ac:dyDescent="0.25">
      <c r="A1123" s="2" t="str">
        <f ca="1">IFERROR(__xludf.DUMMYFUNCTION("""COMPUTED_VALUE"""),"9bde5a5a")</f>
        <v>9bde5a5a</v>
      </c>
      <c r="B1123" s="2"/>
      <c r="C1123" s="5">
        <f ca="1">IFERROR(__xludf.DUMMYFUNCTION("""COMPUTED_VALUE"""),45895.6238310185)</f>
        <v>45895.6238310185</v>
      </c>
      <c r="D1123" s="2">
        <f ca="1">IFERROR(__xludf.DUMMYFUNCTION("""COMPUTED_VALUE"""),116)</f>
        <v>116</v>
      </c>
      <c r="E1123" s="2">
        <f ca="1">IFERROR(__xludf.DUMMYFUNCTION("""COMPUTED_VALUE"""),99600)</f>
        <v>99600</v>
      </c>
      <c r="F1123" s="2" t="str">
        <f ca="1">IFERROR(__xludf.DUMMYFUNCTION("""COMPUTED_VALUE"""),"Malbec")</f>
        <v>Malbec</v>
      </c>
      <c r="G1123" s="2">
        <f ca="1">IFERROR(__xludf.DUMMYFUNCTION("""COMPUTED_VALUE"""),69145)</f>
        <v>69145</v>
      </c>
      <c r="H1123" s="2">
        <f ca="1">IFERROR(__xludf.DUMMYFUNCTION("""COMPUTED_VALUE"""),87900)</f>
        <v>87900</v>
      </c>
      <c r="I1123" s="2"/>
      <c r="J1123" s="2"/>
      <c r="K1123" s="2" t="str">
        <f ca="1">IFERROR(__xludf.DUMMYFUNCTION("""COMPUTED_VALUE"""),"Filtrado Tang")</f>
        <v>Filtrado Tang</v>
      </c>
      <c r="L1123" s="2" t="str">
        <f ca="1">IFERROR(__xludf.DUMMYFUNCTION("""COMPUTED_VALUE"""),"1+")</f>
        <v>1+</v>
      </c>
      <c r="M1123" s="2"/>
    </row>
    <row r="1124" spans="1:13" x14ac:dyDescent="0.25">
      <c r="A1124" s="2" t="str">
        <f ca="1">IFERROR(__xludf.DUMMYFUNCTION("""COMPUTED_VALUE"""),"872fc1c6")</f>
        <v>872fc1c6</v>
      </c>
      <c r="B1124" s="2"/>
      <c r="C1124" s="5">
        <f ca="1">IFERROR(__xludf.DUMMYFUNCTION("""COMPUTED_VALUE"""),45895.6265393518)</f>
        <v>45895.626539351797</v>
      </c>
      <c r="D1124" s="2">
        <f ca="1">IFERROR(__xludf.DUMMYFUNCTION("""COMPUTED_VALUE"""),82)</f>
        <v>82</v>
      </c>
      <c r="E1124" s="2">
        <f ca="1">IFERROR(__xludf.DUMMYFUNCTION("""COMPUTED_VALUE"""),42600)</f>
        <v>42600</v>
      </c>
      <c r="F1124" s="2" t="str">
        <f ca="1">IFERROR(__xludf.DUMMYFUNCTION("""COMPUTED_VALUE"""),"Syrah")</f>
        <v>Syrah</v>
      </c>
      <c r="G1124" s="2">
        <f ca="1">IFERROR(__xludf.DUMMYFUNCTION("""COMPUTED_VALUE"""),12000)</f>
        <v>12000</v>
      </c>
      <c r="H1124" s="2">
        <f ca="1">IFERROR(__xludf.DUMMYFUNCTION("""COMPUTED_VALUE"""),42600)</f>
        <v>42600</v>
      </c>
      <c r="I1124" s="2"/>
      <c r="J1124" s="2"/>
      <c r="K1124" s="2" t="str">
        <f ca="1">IFERROR(__xludf.DUMMYFUNCTION("""COMPUTED_VALUE"""),"Filtrado Tang")</f>
        <v>Filtrado Tang</v>
      </c>
      <c r="L1124" s="2" t="str">
        <f ca="1">IFERROR(__xludf.DUMMYFUNCTION("""COMPUTED_VALUE"""),"1")</f>
        <v>1</v>
      </c>
      <c r="M1124" s="2"/>
    </row>
    <row r="1125" spans="1:13" x14ac:dyDescent="0.25">
      <c r="A1125" s="2" t="str">
        <f ca="1">IFERROR(__xludf.DUMMYFUNCTION("""COMPUTED_VALUE"""),"4c7a46ae")</f>
        <v>4c7a46ae</v>
      </c>
      <c r="B1125" s="2"/>
      <c r="C1125" s="5">
        <f ca="1">IFERROR(__xludf.DUMMYFUNCTION("""COMPUTED_VALUE"""),45896.6707175925)</f>
        <v>45896.670717592497</v>
      </c>
      <c r="D1125" s="2">
        <f ca="1">IFERROR(__xludf.DUMMYFUNCTION("""COMPUTED_VALUE"""),25)</f>
        <v>25</v>
      </c>
      <c r="E1125" s="2">
        <f ca="1">IFERROR(__xludf.DUMMYFUNCTION("""COMPUTED_VALUE"""),194300)</f>
        <v>194300</v>
      </c>
      <c r="F1125" s="2" t="str">
        <f ca="1">IFERROR(__xludf.DUMMYFUNCTION("""COMPUTED_VALUE"""),"Tinto")</f>
        <v>Tinto</v>
      </c>
      <c r="G1125" s="2">
        <f ca="1">IFERROR(__xludf.DUMMYFUNCTION("""COMPUTED_VALUE"""),0)</f>
        <v>0</v>
      </c>
      <c r="H1125" s="2">
        <f ca="1">IFERROR(__xludf.DUMMYFUNCTION("""COMPUTED_VALUE"""),29100)</f>
        <v>29100</v>
      </c>
      <c r="I1125" s="2"/>
      <c r="J1125" s="2"/>
      <c r="K1125" s="2" t="str">
        <f ca="1">IFERROR(__xludf.DUMMYFUNCTION("""COMPUTED_VALUE"""),"2do Trasiego")</f>
        <v>2do Trasiego</v>
      </c>
      <c r="L1125" s="2" t="str">
        <f ca="1">IFERROR(__xludf.DUMMYFUNCTION("""COMPUTED_VALUE"""),"1")</f>
        <v>1</v>
      </c>
      <c r="M1125" s="2"/>
    </row>
    <row r="1126" spans="1:13" x14ac:dyDescent="0.25">
      <c r="A1126" s="2" t="str">
        <f ca="1">IFERROR(__xludf.DUMMYFUNCTION("""COMPUTED_VALUE"""),"eda92067")</f>
        <v>eda92067</v>
      </c>
      <c r="B1126" s="2"/>
      <c r="C1126" s="5">
        <f ca="1">IFERROR(__xludf.DUMMYFUNCTION("""COMPUTED_VALUE"""),45896.6714814814)</f>
        <v>45896.671481481397</v>
      </c>
      <c r="D1126" s="2">
        <f ca="1">IFERROR(__xludf.DUMMYFUNCTION("""COMPUTED_VALUE"""),25)</f>
        <v>25</v>
      </c>
      <c r="E1126" s="2">
        <f ca="1">IFERROR(__xludf.DUMMYFUNCTION("""COMPUTED_VALUE"""),194300)</f>
        <v>194300</v>
      </c>
      <c r="F1126" s="2" t="str">
        <f ca="1">IFERROR(__xludf.DUMMYFUNCTION("""COMPUTED_VALUE"""),"Tinto")</f>
        <v>Tinto</v>
      </c>
      <c r="G1126" s="2">
        <f ca="1">IFERROR(__xludf.DUMMYFUNCTION("""COMPUTED_VALUE"""),29100)</f>
        <v>29100</v>
      </c>
      <c r="H1126" s="2">
        <f ca="1">IFERROR(__xludf.DUMMYFUNCTION("""COMPUTED_VALUE"""),33100)</f>
        <v>33100</v>
      </c>
      <c r="I1126" s="2"/>
      <c r="J1126" s="2"/>
      <c r="K1126" s="2" t="str">
        <f ca="1">IFERROR(__xludf.DUMMYFUNCTION("""COMPUTED_VALUE"""),"2do Trasiego")</f>
        <v>2do Trasiego</v>
      </c>
      <c r="L1126" s="2" t="str">
        <f ca="1">IFERROR(__xludf.DUMMYFUNCTION("""COMPUTED_VALUE"""),"1")</f>
        <v>1</v>
      </c>
      <c r="M1126" s="2"/>
    </row>
    <row r="1127" spans="1:13" x14ac:dyDescent="0.25">
      <c r="A1127" s="2" t="str">
        <f ca="1">IFERROR(__xludf.DUMMYFUNCTION("""COMPUTED_VALUE"""),"803a2a0f")</f>
        <v>803a2a0f</v>
      </c>
      <c r="B1127" s="2"/>
      <c r="C1127" s="5">
        <f ca="1">IFERROR(__xludf.DUMMYFUNCTION("""COMPUTED_VALUE"""),45896.6745486111)</f>
        <v>45896.674548611103</v>
      </c>
      <c r="D1127" s="2">
        <f ca="1">IFERROR(__xludf.DUMMYFUNCTION("""COMPUTED_VALUE"""),72)</f>
        <v>72</v>
      </c>
      <c r="E1127" s="2">
        <f ca="1">IFERROR(__xludf.DUMMYFUNCTION("""COMPUTED_VALUE"""),13000)</f>
        <v>13000</v>
      </c>
      <c r="F1127" s="2" t="str">
        <f ca="1">IFERROR(__xludf.DUMMYFUNCTION("""COMPUTED_VALUE"""),"Aspirant Anccelota Gota")</f>
        <v>Aspirant Anccelota Gota</v>
      </c>
      <c r="G1127" s="2">
        <f ca="1">IFERROR(__xludf.DUMMYFUNCTION("""COMPUTED_VALUE"""),0)</f>
        <v>0</v>
      </c>
      <c r="H1127" s="2">
        <f ca="1">IFERROR(__xludf.DUMMYFUNCTION("""COMPUTED_VALUE"""),12000)</f>
        <v>12000</v>
      </c>
      <c r="I1127" s="2"/>
      <c r="J1127" s="2"/>
      <c r="K1127" s="2" t="str">
        <f ca="1">IFERROR(__xludf.DUMMYFUNCTION("""COMPUTED_VALUE"""),"2do Trasiego")</f>
        <v>2do Trasiego</v>
      </c>
      <c r="L1127" s="2"/>
      <c r="M1127" s="2"/>
    </row>
    <row r="1128" spans="1:13" x14ac:dyDescent="0.25">
      <c r="A1128" s="2" t="str">
        <f ca="1">IFERROR(__xludf.DUMMYFUNCTION("""COMPUTED_VALUE"""),"1f53451b")</f>
        <v>1f53451b</v>
      </c>
      <c r="B1128" s="2"/>
      <c r="C1128" s="5">
        <f ca="1">IFERROR(__xludf.DUMMYFUNCTION("""COMPUTED_VALUE"""),45896.6766203703)</f>
        <v>45896.676620370301</v>
      </c>
      <c r="D1128" s="2">
        <f ca="1">IFERROR(__xludf.DUMMYFUNCTION("""COMPUTED_VALUE"""),68)</f>
        <v>68</v>
      </c>
      <c r="E1128" s="2">
        <f ca="1">IFERROR(__xludf.DUMMYFUNCTION("""COMPUTED_VALUE"""),13000)</f>
        <v>13000</v>
      </c>
      <c r="F1128" s="2" t="str">
        <f ca="1">IFERROR(__xludf.DUMMYFUNCTION("""COMPUTED_VALUE"""),"Malbec Montecepas 24")</f>
        <v>Malbec Montecepas 24</v>
      </c>
      <c r="G1128" s="2">
        <f ca="1">IFERROR(__xludf.DUMMYFUNCTION("""COMPUTED_VALUE"""),6850)</f>
        <v>6850</v>
      </c>
      <c r="H1128" s="2">
        <f ca="1">IFERROR(__xludf.DUMMYFUNCTION("""COMPUTED_VALUE"""),8950)</f>
        <v>8950</v>
      </c>
      <c r="I1128" s="2"/>
      <c r="J1128" s="2"/>
      <c r="K1128" s="2" t="str">
        <f ca="1">IFERROR(__xludf.DUMMYFUNCTION("""COMPUTED_VALUE"""),"Filtrado Tang")</f>
        <v>Filtrado Tang</v>
      </c>
      <c r="L1128" s="2" t="str">
        <f ca="1">IFERROR(__xludf.DUMMYFUNCTION("""COMPUTED_VALUE"""),"1+")</f>
        <v>1+</v>
      </c>
      <c r="M1128" s="2"/>
    </row>
    <row r="1129" spans="1:13" x14ac:dyDescent="0.25">
      <c r="A1129" s="2" t="str">
        <f ca="1">IFERROR(__xludf.DUMMYFUNCTION("""COMPUTED_VALUE"""),"1ec2fae4")</f>
        <v>1ec2fae4</v>
      </c>
      <c r="B1129" s="2"/>
      <c r="C1129" s="5">
        <f ca="1">IFERROR(__xludf.DUMMYFUNCTION("""COMPUTED_VALUE"""),45896.6774537037)</f>
        <v>45896.677453703698</v>
      </c>
      <c r="D1129" s="2">
        <f ca="1">IFERROR(__xludf.DUMMYFUNCTION("""COMPUTED_VALUE"""),75)</f>
        <v>75</v>
      </c>
      <c r="E1129" s="2">
        <f ca="1">IFERROR(__xludf.DUMMYFUNCTION("""COMPUTED_VALUE"""),7000)</f>
        <v>7000</v>
      </c>
      <c r="F1129" s="2" t="str">
        <f ca="1">IFERROR(__xludf.DUMMYFUNCTION("""COMPUTED_VALUE"""),"Malbec Montecepas 24")</f>
        <v>Malbec Montecepas 24</v>
      </c>
      <c r="G1129" s="2">
        <f ca="1">IFERROR(__xludf.DUMMYFUNCTION("""COMPUTED_VALUE"""),0)</f>
        <v>0</v>
      </c>
      <c r="H1129" s="2">
        <f ca="1">IFERROR(__xludf.DUMMYFUNCTION("""COMPUTED_VALUE"""),7000)</f>
        <v>7000</v>
      </c>
      <c r="I1129" s="2"/>
      <c r="J1129" s="2"/>
      <c r="K1129" s="2" t="str">
        <f ca="1">IFERROR(__xludf.DUMMYFUNCTION("""COMPUTED_VALUE"""),"Filtrado Tang")</f>
        <v>Filtrado Tang</v>
      </c>
      <c r="L1129" s="2" t="str">
        <f ca="1">IFERROR(__xludf.DUMMYFUNCTION("""COMPUTED_VALUE"""),"1+")</f>
        <v>1+</v>
      </c>
      <c r="M1129" s="2"/>
    </row>
    <row r="1130" spans="1:13" x14ac:dyDescent="0.25">
      <c r="A1130" s="2" t="str">
        <f ca="1">IFERROR(__xludf.DUMMYFUNCTION("""COMPUTED_VALUE"""),"c0adfb80")</f>
        <v>c0adfb80</v>
      </c>
      <c r="B1130" s="2"/>
      <c r="C1130" s="5">
        <f ca="1">IFERROR(__xludf.DUMMYFUNCTION("""COMPUTED_VALUE"""),45896.677824074)</f>
        <v>45896.677824074002</v>
      </c>
      <c r="D1130" s="2">
        <f ca="1">IFERROR(__xludf.DUMMYFUNCTION("""COMPUTED_VALUE"""),50)</f>
        <v>50</v>
      </c>
      <c r="E1130" s="2">
        <f ca="1">IFERROR(__xludf.DUMMYFUNCTION("""COMPUTED_VALUE"""),5100)</f>
        <v>5100</v>
      </c>
      <c r="F1130" s="2" t="str">
        <f ca="1">IFERROR(__xludf.DUMMYFUNCTION("""COMPUTED_VALUE"""),"Malbec Montecepas 24")</f>
        <v>Malbec Montecepas 24</v>
      </c>
      <c r="G1130" s="2">
        <f ca="1">IFERROR(__xludf.DUMMYFUNCTION("""COMPUTED_VALUE"""),0)</f>
        <v>0</v>
      </c>
      <c r="H1130" s="2">
        <f ca="1">IFERROR(__xludf.DUMMYFUNCTION("""COMPUTED_VALUE"""),1950)</f>
        <v>1950</v>
      </c>
      <c r="I1130" s="2"/>
      <c r="J1130" s="2"/>
      <c r="K1130" s="2" t="str">
        <f ca="1">IFERROR(__xludf.DUMMYFUNCTION("""COMPUTED_VALUE"""),"Filtrado Tang")</f>
        <v>Filtrado Tang</v>
      </c>
      <c r="L1130" s="2" t="str">
        <f ca="1">IFERROR(__xludf.DUMMYFUNCTION("""COMPUTED_VALUE"""),"1+")</f>
        <v>1+</v>
      </c>
      <c r="M1130" s="2"/>
    </row>
    <row r="1131" spans="1:13" x14ac:dyDescent="0.25">
      <c r="A1131" s="2" t="str">
        <f ca="1">IFERROR(__xludf.DUMMYFUNCTION("""COMPUTED_VALUE"""),"6bf63b30")</f>
        <v>6bf63b30</v>
      </c>
      <c r="B1131" s="2"/>
      <c r="C1131" s="5">
        <f ca="1">IFERROR(__xludf.DUMMYFUNCTION("""COMPUTED_VALUE"""),45896.6784027777)</f>
        <v>45896.678402777703</v>
      </c>
      <c r="D1131" s="2">
        <f ca="1">IFERROR(__xludf.DUMMYFUNCTION("""COMPUTED_VALUE"""),51)</f>
        <v>51</v>
      </c>
      <c r="E1131" s="2">
        <f ca="1">IFERROR(__xludf.DUMMYFUNCTION("""COMPUTED_VALUE"""),3900)</f>
        <v>3900</v>
      </c>
      <c r="F1131" s="2" t="str">
        <f ca="1">IFERROR(__xludf.DUMMYFUNCTION("""COMPUTED_VALUE"""),"Cabernet Sauv Carricondo")</f>
        <v>Cabernet Sauv Carricondo</v>
      </c>
      <c r="G1131" s="2">
        <f ca="1">IFERROR(__xludf.DUMMYFUNCTION("""COMPUTED_VALUE"""),0)</f>
        <v>0</v>
      </c>
      <c r="H1131" s="2">
        <f ca="1">IFERROR(__xludf.DUMMYFUNCTION("""COMPUTED_VALUE"""),3900)</f>
        <v>3900</v>
      </c>
      <c r="I1131" s="2"/>
      <c r="J1131" s="2"/>
      <c r="K1131" s="2" t="str">
        <f ca="1">IFERROR(__xludf.DUMMYFUNCTION("""COMPUTED_VALUE"""),"Terminado")</f>
        <v>Terminado</v>
      </c>
      <c r="L1131" s="2" t="str">
        <f ca="1">IFERROR(__xludf.DUMMYFUNCTION("""COMPUTED_VALUE"""),"1")</f>
        <v>1</v>
      </c>
      <c r="M1131" s="2"/>
    </row>
    <row r="1132" spans="1:13" x14ac:dyDescent="0.25">
      <c r="A1132" s="2" t="str">
        <f ca="1">IFERROR(__xludf.DUMMYFUNCTION("""COMPUTED_VALUE"""),"3367c913")</f>
        <v>3367c913</v>
      </c>
      <c r="B1132" s="2"/>
      <c r="C1132" s="5">
        <f ca="1">IFERROR(__xludf.DUMMYFUNCTION("""COMPUTED_VALUE"""),45896.679074074)</f>
        <v>45896.679074074003</v>
      </c>
      <c r="D1132" s="2">
        <f ca="1">IFERROR(__xludf.DUMMYFUNCTION("""COMPUTED_VALUE"""),500)</f>
        <v>500</v>
      </c>
      <c r="E1132" s="2">
        <f ca="1">IFERROR(__xludf.DUMMYFUNCTION("""COMPUTED_VALUE"""),200000)</f>
        <v>200000</v>
      </c>
      <c r="F1132" s="2" t="str">
        <f ca="1">IFERROR(__xludf.DUMMYFUNCTION("""COMPUTED_VALUE"""),"Traslado Tinto Millan")</f>
        <v>Traslado Tinto Millan</v>
      </c>
      <c r="G1132" s="2">
        <f ca="1">IFERROR(__xludf.DUMMYFUNCTION("""COMPUTED_VALUE"""),0)</f>
        <v>0</v>
      </c>
      <c r="H1132" s="2">
        <f ca="1">IFERROR(__xludf.DUMMYFUNCTION("""COMPUTED_VALUE"""),182700)</f>
        <v>182700</v>
      </c>
      <c r="I1132" s="2"/>
      <c r="J1132" s="2"/>
      <c r="K1132" s="2" t="str">
        <f ca="1">IFERROR(__xludf.DUMMYFUNCTION("""COMPUTED_VALUE"""),"Terminado")</f>
        <v>Terminado</v>
      </c>
      <c r="L1132" s="2" t="str">
        <f ca="1">IFERROR(__xludf.DUMMYFUNCTION("""COMPUTED_VALUE"""),"1")</f>
        <v>1</v>
      </c>
      <c r="M1132" s="2"/>
    </row>
    <row r="1133" spans="1:13" x14ac:dyDescent="0.25">
      <c r="A1133" s="2" t="str">
        <f ca="1">IFERROR(__xludf.DUMMYFUNCTION("""COMPUTED_VALUE"""),"f4f237ac")</f>
        <v>f4f237ac</v>
      </c>
      <c r="B1133" s="2"/>
      <c r="C1133" s="5">
        <f ca="1">IFERROR(__xludf.DUMMYFUNCTION("""COMPUTED_VALUE"""),45896.6810300925)</f>
        <v>45896.681030092499</v>
      </c>
      <c r="D1133" s="2">
        <f ca="1">IFERROR(__xludf.DUMMYFUNCTION("""COMPUTED_VALUE"""),16)</f>
        <v>16</v>
      </c>
      <c r="E1133" s="2">
        <f ca="1">IFERROR(__xludf.DUMMYFUNCTION("""COMPUTED_VALUE"""),19500)</f>
        <v>19500</v>
      </c>
      <c r="F1133" s="2" t="str">
        <f ca="1">IFERROR(__xludf.DUMMYFUNCTION("""COMPUTED_VALUE"""),"Syrah")</f>
        <v>Syrah</v>
      </c>
      <c r="G1133" s="2">
        <f ca="1">IFERROR(__xludf.DUMMYFUNCTION("""COMPUTED_VALUE"""),14400)</f>
        <v>14400</v>
      </c>
      <c r="H1133" s="2">
        <f ca="1">IFERROR(__xludf.DUMMYFUNCTION("""COMPUTED_VALUE"""),19500)</f>
        <v>19500</v>
      </c>
      <c r="I1133" s="2"/>
      <c r="J1133" s="2"/>
      <c r="K1133" s="2" t="str">
        <f ca="1">IFERROR(__xludf.DUMMYFUNCTION("""COMPUTED_VALUE"""),"2do Trasiego")</f>
        <v>2do Trasiego</v>
      </c>
      <c r="L1133" s="2" t="str">
        <f ca="1">IFERROR(__xludf.DUMMYFUNCTION("""COMPUTED_VALUE"""),"1-")</f>
        <v>1-</v>
      </c>
      <c r="M1133" s="2"/>
    </row>
    <row r="1134" spans="1:13" x14ac:dyDescent="0.25">
      <c r="A1134" s="2" t="str">
        <f ca="1">IFERROR(__xludf.DUMMYFUNCTION("""COMPUTED_VALUE"""),"1a06cc05")</f>
        <v>1a06cc05</v>
      </c>
      <c r="B1134" s="2"/>
      <c r="C1134" s="5">
        <f ca="1">IFERROR(__xludf.DUMMYFUNCTION("""COMPUTED_VALUE"""),45896.6833680555)</f>
        <v>45896.683368055499</v>
      </c>
      <c r="D1134" s="2">
        <f ca="1">IFERROR(__xludf.DUMMYFUNCTION("""COMPUTED_VALUE"""),90)</f>
        <v>90</v>
      </c>
      <c r="E1134" s="2">
        <f ca="1">IFERROR(__xludf.DUMMYFUNCTION("""COMPUTED_VALUE"""),97500)</f>
        <v>97500</v>
      </c>
      <c r="F1134" s="2" t="str">
        <f ca="1">IFERROR(__xludf.DUMMYFUNCTION("""COMPUTED_VALUE"""),"Bonarda")</f>
        <v>Bonarda</v>
      </c>
      <c r="G1134" s="2">
        <f ca="1">IFERROR(__xludf.DUMMYFUNCTION("""COMPUTED_VALUE"""),53400)</f>
        <v>53400</v>
      </c>
      <c r="H1134" s="2">
        <f ca="1">IFERROR(__xludf.DUMMYFUNCTION("""COMPUTED_VALUE"""),82400)</f>
        <v>82400</v>
      </c>
      <c r="I1134" s="2"/>
      <c r="J1134" s="2"/>
      <c r="K1134" s="2" t="str">
        <f ca="1">IFERROR(__xludf.DUMMYFUNCTION("""COMPUTED_VALUE"""),"2do Trasiego")</f>
        <v>2do Trasiego</v>
      </c>
      <c r="L1134" s="2" t="str">
        <f ca="1">IFERROR(__xludf.DUMMYFUNCTION("""COMPUTED_VALUE"""),"1")</f>
        <v>1</v>
      </c>
      <c r="M1134" s="2"/>
    </row>
    <row r="1135" spans="1:13" x14ac:dyDescent="0.25">
      <c r="A1135" s="2" t="str">
        <f ca="1">IFERROR(__xludf.DUMMYFUNCTION("""COMPUTED_VALUE"""),"f8ffe3ae")</f>
        <v>f8ffe3ae</v>
      </c>
      <c r="B1135" s="2"/>
      <c r="C1135" s="5">
        <f ca="1">IFERROR(__xludf.DUMMYFUNCTION("""COMPUTED_VALUE"""),45896.6844560184)</f>
        <v>45896.684456018498</v>
      </c>
      <c r="D1135" s="2">
        <f ca="1">IFERROR(__xludf.DUMMYFUNCTION("""COMPUTED_VALUE"""),89)</f>
        <v>89</v>
      </c>
      <c r="E1135" s="2">
        <f ca="1">IFERROR(__xludf.DUMMYFUNCTION("""COMPUTED_VALUE"""),83500)</f>
        <v>83500</v>
      </c>
      <c r="F1135" s="2" t="str">
        <f ca="1">IFERROR(__xludf.DUMMYFUNCTION("""COMPUTED_VALUE"""),"Syrah")</f>
        <v>Syrah</v>
      </c>
      <c r="G1135" s="2">
        <f ca="1">IFERROR(__xludf.DUMMYFUNCTION("""COMPUTED_VALUE"""),51600)</f>
        <v>51600</v>
      </c>
      <c r="H1135" s="2">
        <f ca="1">IFERROR(__xludf.DUMMYFUNCTION("""COMPUTED_VALUE"""),83500)</f>
        <v>83500</v>
      </c>
      <c r="I1135" s="2"/>
      <c r="J1135" s="2"/>
      <c r="K1135" s="2" t="str">
        <f ca="1">IFERROR(__xludf.DUMMYFUNCTION("""COMPUTED_VALUE"""),"2do Trasiego")</f>
        <v>2do Trasiego</v>
      </c>
      <c r="L1135" s="2" t="str">
        <f ca="1">IFERROR(__xludf.DUMMYFUNCTION("""COMPUTED_VALUE"""),"1")</f>
        <v>1</v>
      </c>
      <c r="M1135" s="2"/>
    </row>
    <row r="1136" spans="1:13" x14ac:dyDescent="0.25">
      <c r="A1136" s="2" t="str">
        <f ca="1">IFERROR(__xludf.DUMMYFUNCTION("""COMPUTED_VALUE"""),"bda36e57")</f>
        <v>bda36e57</v>
      </c>
      <c r="B1136" s="2"/>
      <c r="C1136" s="5">
        <f ca="1">IFERROR(__xludf.DUMMYFUNCTION("""COMPUTED_VALUE"""),45896.6846875)</f>
        <v>45896.684687499997</v>
      </c>
      <c r="D1136" s="2">
        <f ca="1">IFERROR(__xludf.DUMMYFUNCTION("""COMPUTED_VALUE"""),90)</f>
        <v>90</v>
      </c>
      <c r="E1136" s="2">
        <f ca="1">IFERROR(__xludf.DUMMYFUNCTION("""COMPUTED_VALUE"""),97500)</f>
        <v>97500</v>
      </c>
      <c r="F1136" s="2" t="str">
        <f ca="1">IFERROR(__xludf.DUMMYFUNCTION("""COMPUTED_VALUE"""),"Bonarda")</f>
        <v>Bonarda</v>
      </c>
      <c r="G1136" s="2">
        <f ca="1">IFERROR(__xludf.DUMMYFUNCTION("""COMPUTED_VALUE"""),82400)</f>
        <v>82400</v>
      </c>
      <c r="H1136" s="2">
        <f ca="1">IFERROR(__xludf.DUMMYFUNCTION("""COMPUTED_VALUE"""),97500)</f>
        <v>97500</v>
      </c>
      <c r="I1136" s="2"/>
      <c r="J1136" s="2"/>
      <c r="K1136" s="2" t="str">
        <f ca="1">IFERROR(__xludf.DUMMYFUNCTION("""COMPUTED_VALUE"""),"2do Trasiego")</f>
        <v>2do Trasiego</v>
      </c>
      <c r="L1136" s="2" t="str">
        <f ca="1">IFERROR(__xludf.DUMMYFUNCTION("""COMPUTED_VALUE"""),"1")</f>
        <v>1</v>
      </c>
      <c r="M1136" s="2"/>
    </row>
    <row r="1137" spans="1:13" x14ac:dyDescent="0.25">
      <c r="A1137" s="2" t="str">
        <f ca="1">IFERROR(__xludf.DUMMYFUNCTION("""COMPUTED_VALUE"""),"bf1abf21")</f>
        <v>bf1abf21</v>
      </c>
      <c r="B1137" s="2"/>
      <c r="C1137" s="5">
        <f ca="1">IFERROR(__xludf.DUMMYFUNCTION("""COMPUTED_VALUE"""),45896.6871064814)</f>
        <v>45896.687106481397</v>
      </c>
      <c r="D1137" s="2">
        <f ca="1">IFERROR(__xludf.DUMMYFUNCTION("""COMPUTED_VALUE"""),116)</f>
        <v>116</v>
      </c>
      <c r="E1137" s="2">
        <f ca="1">IFERROR(__xludf.DUMMYFUNCTION("""COMPUTED_VALUE"""),99600)</f>
        <v>99600</v>
      </c>
      <c r="F1137" s="2" t="str">
        <f ca="1">IFERROR(__xludf.DUMMYFUNCTION("""COMPUTED_VALUE"""),"Malbec")</f>
        <v>Malbec</v>
      </c>
      <c r="G1137" s="2">
        <f ca="1">IFERROR(__xludf.DUMMYFUNCTION("""COMPUTED_VALUE"""),87900)</f>
        <v>87900</v>
      </c>
      <c r="H1137" s="2">
        <f ca="1">IFERROR(__xludf.DUMMYFUNCTION("""COMPUTED_VALUE"""),99600)</f>
        <v>99600</v>
      </c>
      <c r="I1137" s="2"/>
      <c r="J1137" s="2"/>
      <c r="K1137" s="2" t="str">
        <f ca="1">IFERROR(__xludf.DUMMYFUNCTION("""COMPUTED_VALUE"""),"Filtrado Tang")</f>
        <v>Filtrado Tang</v>
      </c>
      <c r="L1137" s="2" t="str">
        <f ca="1">IFERROR(__xludf.DUMMYFUNCTION("""COMPUTED_VALUE"""),"1")</f>
        <v>1</v>
      </c>
      <c r="M1137" s="2"/>
    </row>
    <row r="1138" spans="1:13" x14ac:dyDescent="0.25">
      <c r="A1138" s="2" t="str">
        <f ca="1">IFERROR(__xludf.DUMMYFUNCTION("""COMPUTED_VALUE"""),"f4fb5076")</f>
        <v>f4fb5076</v>
      </c>
      <c r="B1138" s="2"/>
      <c r="C1138" s="5">
        <f ca="1">IFERROR(__xludf.DUMMYFUNCTION("""COMPUTED_VALUE"""),45896.6878935185)</f>
        <v>45896.687893518501</v>
      </c>
      <c r="D1138" s="2">
        <f ca="1">IFERROR(__xludf.DUMMYFUNCTION("""COMPUTED_VALUE"""),115)</f>
        <v>115</v>
      </c>
      <c r="E1138" s="2">
        <f ca="1">IFERROR(__xludf.DUMMYFUNCTION("""COMPUTED_VALUE"""),120200)</f>
        <v>120200</v>
      </c>
      <c r="F1138" s="2" t="str">
        <f ca="1">IFERROR(__xludf.DUMMYFUNCTION("""COMPUTED_VALUE"""),"Syrah")</f>
        <v>Syrah</v>
      </c>
      <c r="G1138" s="2">
        <f ca="1">IFERROR(__xludf.DUMMYFUNCTION("""COMPUTED_VALUE"""),0)</f>
        <v>0</v>
      </c>
      <c r="H1138" s="2">
        <f ca="1">IFERROR(__xludf.DUMMYFUNCTION("""COMPUTED_VALUE"""),1345)</f>
        <v>1345</v>
      </c>
      <c r="I1138" s="2"/>
      <c r="J1138" s="2"/>
      <c r="K1138" s="2" t="str">
        <f ca="1">IFERROR(__xludf.DUMMYFUNCTION("""COMPUTED_VALUE"""),"Filtrado Tang")</f>
        <v>Filtrado Tang</v>
      </c>
      <c r="L1138" s="2" t="str">
        <f ca="1">IFERROR(__xludf.DUMMYFUNCTION("""COMPUTED_VALUE"""),"1")</f>
        <v>1</v>
      </c>
      <c r="M1138" s="2"/>
    </row>
    <row r="1139" spans="1:13" x14ac:dyDescent="0.25">
      <c r="A1139" s="2" t="str">
        <f ca="1">IFERROR(__xludf.DUMMYFUNCTION("""COMPUTED_VALUE"""),"4a88e5dc")</f>
        <v>4a88e5dc</v>
      </c>
      <c r="B1139" s="2"/>
      <c r="C1139" s="5">
        <f ca="1">IFERROR(__xludf.DUMMYFUNCTION("""COMPUTED_VALUE"""),45896.688599537)</f>
        <v>45896.688599537003</v>
      </c>
      <c r="D1139" s="2">
        <f ca="1">IFERROR(__xludf.DUMMYFUNCTION("""COMPUTED_VALUE"""),500)</f>
        <v>500</v>
      </c>
      <c r="E1139" s="2">
        <f ca="1">IFERROR(__xludf.DUMMYFUNCTION("""COMPUTED_VALUE"""),200000)</f>
        <v>200000</v>
      </c>
      <c r="F1139" s="2" t="str">
        <f ca="1">IFERROR(__xludf.DUMMYFUNCTION("""COMPUTED_VALUE"""),"Syrah")</f>
        <v>Syrah</v>
      </c>
      <c r="G1139" s="2">
        <f ca="1">IFERROR(__xludf.DUMMYFUNCTION("""COMPUTED_VALUE"""),182700)</f>
        <v>182700</v>
      </c>
      <c r="H1139" s="2">
        <f ca="1">IFERROR(__xludf.DUMMYFUNCTION("""COMPUTED_VALUE"""),200000)</f>
        <v>200000</v>
      </c>
      <c r="I1139" s="2"/>
      <c r="J1139" s="2"/>
      <c r="K1139" s="2" t="str">
        <f ca="1">IFERROR(__xludf.DUMMYFUNCTION("""COMPUTED_VALUE"""),"2do Trasiego")</f>
        <v>2do Trasiego</v>
      </c>
      <c r="L1139" s="2" t="str">
        <f ca="1">IFERROR(__xludf.DUMMYFUNCTION("""COMPUTED_VALUE"""),"1-")</f>
        <v>1-</v>
      </c>
      <c r="M1139" s="2"/>
    </row>
    <row r="1140" spans="1:13" x14ac:dyDescent="0.25">
      <c r="A1140" s="2" t="str">
        <f ca="1">IFERROR(__xludf.DUMMYFUNCTION("""COMPUTED_VALUE"""),"4f131760")</f>
        <v>4f131760</v>
      </c>
      <c r="B1140" s="2"/>
      <c r="C1140" s="5">
        <f ca="1">IFERROR(__xludf.DUMMYFUNCTION("""COMPUTED_VALUE"""),45896.6888194444)</f>
        <v>45896.688819444404</v>
      </c>
      <c r="D1140" s="2">
        <f ca="1">IFERROR(__xludf.DUMMYFUNCTION("""COMPUTED_VALUE"""),115)</f>
        <v>115</v>
      </c>
      <c r="E1140" s="2">
        <f ca="1">IFERROR(__xludf.DUMMYFUNCTION("""COMPUTED_VALUE"""),120200)</f>
        <v>120200</v>
      </c>
      <c r="F1140" s="2" t="str">
        <f ca="1">IFERROR(__xludf.DUMMYFUNCTION("""COMPUTED_VALUE"""),"Syrah")</f>
        <v>Syrah</v>
      </c>
      <c r="G1140" s="2">
        <f ca="1">IFERROR(__xludf.DUMMYFUNCTION("""COMPUTED_VALUE"""),1345)</f>
        <v>1345</v>
      </c>
      <c r="H1140" s="2">
        <f ca="1">IFERROR(__xludf.DUMMYFUNCTION("""COMPUTED_VALUE"""),3545)</f>
        <v>3545</v>
      </c>
      <c r="I1140" s="2"/>
      <c r="J1140" s="2"/>
      <c r="K1140" s="2" t="str">
        <f ca="1">IFERROR(__xludf.DUMMYFUNCTION("""COMPUTED_VALUE"""),"Filtrado Tang")</f>
        <v>Filtrado Tang</v>
      </c>
      <c r="L1140" s="2" t="str">
        <f ca="1">IFERROR(__xludf.DUMMYFUNCTION("""COMPUTED_VALUE"""),"1")</f>
        <v>1</v>
      </c>
      <c r="M1140" s="2"/>
    </row>
    <row r="1141" spans="1:13" x14ac:dyDescent="0.25">
      <c r="A1141" s="2" t="str">
        <f ca="1">IFERROR(__xludf.DUMMYFUNCTION("""COMPUTED_VALUE"""),"74af8465")</f>
        <v>74af8465</v>
      </c>
      <c r="B1141" s="2"/>
      <c r="C1141" s="5">
        <f ca="1">IFERROR(__xludf.DUMMYFUNCTION("""COMPUTED_VALUE"""),45896.6890162037)</f>
        <v>45896.689016203702</v>
      </c>
      <c r="D1141" s="2">
        <f ca="1">IFERROR(__xludf.DUMMYFUNCTION("""COMPUTED_VALUE"""),115)</f>
        <v>115</v>
      </c>
      <c r="E1141" s="2">
        <f ca="1">IFERROR(__xludf.DUMMYFUNCTION("""COMPUTED_VALUE"""),120200)</f>
        <v>120200</v>
      </c>
      <c r="F1141" s="2" t="str">
        <f ca="1">IFERROR(__xludf.DUMMYFUNCTION("""COMPUTED_VALUE"""),"Syrah")</f>
        <v>Syrah</v>
      </c>
      <c r="G1141" s="2">
        <f ca="1">IFERROR(__xludf.DUMMYFUNCTION("""COMPUTED_VALUE"""),3545)</f>
        <v>3545</v>
      </c>
      <c r="H1141" s="2">
        <f ca="1">IFERROR(__xludf.DUMMYFUNCTION("""COMPUTED_VALUE"""),6445)</f>
        <v>6445</v>
      </c>
      <c r="I1141" s="2"/>
      <c r="J1141" s="2"/>
      <c r="K1141" s="2" t="str">
        <f ca="1">IFERROR(__xludf.DUMMYFUNCTION("""COMPUTED_VALUE"""),"Filtrado Tang")</f>
        <v>Filtrado Tang</v>
      </c>
      <c r="L1141" s="2" t="str">
        <f ca="1">IFERROR(__xludf.DUMMYFUNCTION("""COMPUTED_VALUE"""),"1")</f>
        <v>1</v>
      </c>
      <c r="M1141" s="2"/>
    </row>
    <row r="1142" spans="1:13" x14ac:dyDescent="0.25">
      <c r="A1142" s="2" t="str">
        <f ca="1">IFERROR(__xludf.DUMMYFUNCTION("""COMPUTED_VALUE"""),"c071e804")</f>
        <v>c071e804</v>
      </c>
      <c r="B1142" s="2"/>
      <c r="C1142" s="5">
        <f ca="1">IFERROR(__xludf.DUMMYFUNCTION("""COMPUTED_VALUE"""),45896.690011574)</f>
        <v>45896.690011573999</v>
      </c>
      <c r="D1142" s="2">
        <f ca="1">IFERROR(__xludf.DUMMYFUNCTION("""COMPUTED_VALUE"""),115)</f>
        <v>115</v>
      </c>
      <c r="E1142" s="2">
        <f ca="1">IFERROR(__xludf.DUMMYFUNCTION("""COMPUTED_VALUE"""),120200)</f>
        <v>120200</v>
      </c>
      <c r="F1142" s="2" t="str">
        <f ca="1">IFERROR(__xludf.DUMMYFUNCTION("""COMPUTED_VALUE"""),"Syrah")</f>
        <v>Syrah</v>
      </c>
      <c r="G1142" s="2">
        <f ca="1">IFERROR(__xludf.DUMMYFUNCTION("""COMPUTED_VALUE"""),6445)</f>
        <v>6445</v>
      </c>
      <c r="H1142" s="2">
        <f ca="1">IFERROR(__xludf.DUMMYFUNCTION("""COMPUTED_VALUE"""),36445)</f>
        <v>36445</v>
      </c>
      <c r="I1142" s="2"/>
      <c r="J1142" s="2"/>
      <c r="K1142" s="2" t="str">
        <f ca="1">IFERROR(__xludf.DUMMYFUNCTION("""COMPUTED_VALUE"""),"Filtrado Tang")</f>
        <v>Filtrado Tang</v>
      </c>
      <c r="L1142" s="2" t="str">
        <f ca="1">IFERROR(__xludf.DUMMYFUNCTION("""COMPUTED_VALUE"""),"1")</f>
        <v>1</v>
      </c>
      <c r="M1142" s="2"/>
    </row>
    <row r="1143" spans="1:13" x14ac:dyDescent="0.25">
      <c r="A1143" s="2" t="str">
        <f ca="1">IFERROR(__xludf.DUMMYFUNCTION("""COMPUTED_VALUE"""),"77b5a0aa")</f>
        <v>77b5a0aa</v>
      </c>
      <c r="B1143" s="2"/>
      <c r="C1143" s="5">
        <f ca="1">IFERROR(__xludf.DUMMYFUNCTION("""COMPUTED_VALUE"""),45896.6922569444)</f>
        <v>45896.6922569444</v>
      </c>
      <c r="D1143" s="2">
        <f ca="1">IFERROR(__xludf.DUMMYFUNCTION("""COMPUTED_VALUE"""),25)</f>
        <v>25</v>
      </c>
      <c r="E1143" s="2">
        <f ca="1">IFERROR(__xludf.DUMMYFUNCTION("""COMPUTED_VALUE"""),194300)</f>
        <v>194300</v>
      </c>
      <c r="F1143" s="2" t="str">
        <f ca="1">IFERROR(__xludf.DUMMYFUNCTION("""COMPUTED_VALUE"""),"Tinto")</f>
        <v>Tinto</v>
      </c>
      <c r="G1143" s="2">
        <f ca="1">IFERROR(__xludf.DUMMYFUNCTION("""COMPUTED_VALUE"""),33100)</f>
        <v>33100</v>
      </c>
      <c r="H1143" s="2">
        <f ca="1">IFERROR(__xludf.DUMMYFUNCTION("""COMPUTED_VALUE"""),159200)</f>
        <v>159200</v>
      </c>
      <c r="I1143" s="2"/>
      <c r="J1143" s="2"/>
      <c r="K1143" s="2" t="str">
        <f ca="1">IFERROR(__xludf.DUMMYFUNCTION("""COMPUTED_VALUE"""),"2do Trasiego")</f>
        <v>2do Trasiego</v>
      </c>
      <c r="L1143" s="2" t="str">
        <f ca="1">IFERROR(__xludf.DUMMYFUNCTION("""COMPUTED_VALUE"""),"1")</f>
        <v>1</v>
      </c>
      <c r="M1143" s="2"/>
    </row>
    <row r="1144" spans="1:13" x14ac:dyDescent="0.25">
      <c r="A1144" s="2" t="str">
        <f ca="1">IFERROR(__xludf.DUMMYFUNCTION("""COMPUTED_VALUE"""),"8c690ba3")</f>
        <v>8c690ba3</v>
      </c>
      <c r="B1144" s="2"/>
      <c r="C1144" s="5">
        <f ca="1">IFERROR(__xludf.DUMMYFUNCTION("""COMPUTED_VALUE"""),45896.6926273148)</f>
        <v>45896.692627314798</v>
      </c>
      <c r="D1144" s="2">
        <f ca="1">IFERROR(__xludf.DUMMYFUNCTION("""COMPUTED_VALUE"""),25)</f>
        <v>25</v>
      </c>
      <c r="E1144" s="2">
        <f ca="1">IFERROR(__xludf.DUMMYFUNCTION("""COMPUTED_VALUE"""),194300)</f>
        <v>194300</v>
      </c>
      <c r="F1144" s="2" t="str">
        <f ca="1">IFERROR(__xludf.DUMMYFUNCTION("""COMPUTED_VALUE"""),"Tinto Millan")</f>
        <v>Tinto Millan</v>
      </c>
      <c r="G1144" s="2">
        <f ca="1">IFERROR(__xludf.DUMMYFUNCTION("""COMPUTED_VALUE"""),159200)</f>
        <v>159200</v>
      </c>
      <c r="H1144" s="2">
        <f ca="1">IFERROR(__xludf.DUMMYFUNCTION("""COMPUTED_VALUE"""),190200)</f>
        <v>190200</v>
      </c>
      <c r="I1144" s="2"/>
      <c r="J1144" s="2"/>
      <c r="K1144" s="2" t="str">
        <f ca="1">IFERROR(__xludf.DUMMYFUNCTION("""COMPUTED_VALUE"""),"2do Trasiego")</f>
        <v>2do Trasiego</v>
      </c>
      <c r="L1144" s="2" t="str">
        <f ca="1">IFERROR(__xludf.DUMMYFUNCTION("""COMPUTED_VALUE"""),"1")</f>
        <v>1</v>
      </c>
      <c r="M1144" s="2"/>
    </row>
    <row r="1145" spans="1:13" x14ac:dyDescent="0.25">
      <c r="A1145" s="2" t="str">
        <f ca="1">IFERROR(__xludf.DUMMYFUNCTION("""COMPUTED_VALUE"""),"517dcebd")</f>
        <v>517dcebd</v>
      </c>
      <c r="B1145" s="2"/>
      <c r="C1145" s="5">
        <f ca="1">IFERROR(__xludf.DUMMYFUNCTION("""COMPUTED_VALUE"""),45896.6929282407)</f>
        <v>45896.6929282407</v>
      </c>
      <c r="D1145" s="2">
        <f ca="1">IFERROR(__xludf.DUMMYFUNCTION("""COMPUTED_VALUE"""),25)</f>
        <v>25</v>
      </c>
      <c r="E1145" s="2">
        <f ca="1">IFERROR(__xludf.DUMMYFUNCTION("""COMPUTED_VALUE"""),194300)</f>
        <v>194300</v>
      </c>
      <c r="F1145" s="2" t="str">
        <f ca="1">IFERROR(__xludf.DUMMYFUNCTION("""COMPUTED_VALUE"""),"Tinto Millan")</f>
        <v>Tinto Millan</v>
      </c>
      <c r="G1145" s="2">
        <f ca="1">IFERROR(__xludf.DUMMYFUNCTION("""COMPUTED_VALUE"""),190200)</f>
        <v>190200</v>
      </c>
      <c r="H1145" s="2">
        <f ca="1">IFERROR(__xludf.DUMMYFUNCTION("""COMPUTED_VALUE"""),194300)</f>
        <v>194300</v>
      </c>
      <c r="I1145" s="2"/>
      <c r="J1145" s="2"/>
      <c r="K1145" s="2" t="str">
        <f ca="1">IFERROR(__xludf.DUMMYFUNCTION("""COMPUTED_VALUE"""),"2do Trasiego")</f>
        <v>2do Trasiego</v>
      </c>
      <c r="L1145" s="2" t="str">
        <f ca="1">IFERROR(__xludf.DUMMYFUNCTION("""COMPUTED_VALUE"""),"1")</f>
        <v>1</v>
      </c>
      <c r="M1145" s="2"/>
    </row>
    <row r="1146" spans="1:13" x14ac:dyDescent="0.25">
      <c r="A1146" s="2" t="str">
        <f ca="1">IFERROR(__xludf.DUMMYFUNCTION("""COMPUTED_VALUE"""),"93cc40dc")</f>
        <v>93cc40dc</v>
      </c>
      <c r="B1146" s="2"/>
      <c r="C1146" s="5">
        <f ca="1">IFERROR(__xludf.DUMMYFUNCTION("""COMPUTED_VALUE"""),45896.6937384259)</f>
        <v>45896.6937384259</v>
      </c>
      <c r="D1146" s="2">
        <f ca="1">IFERROR(__xludf.DUMMYFUNCTION("""COMPUTED_VALUE"""),500)</f>
        <v>500</v>
      </c>
      <c r="E1146" s="2">
        <f ca="1">IFERROR(__xludf.DUMMYFUNCTION("""COMPUTED_VALUE"""),200000)</f>
        <v>200000</v>
      </c>
      <c r="F1146" s="2" t="str">
        <f ca="1">IFERROR(__xludf.DUMMYFUNCTION("""COMPUTED_VALUE"""),"Tinto Millan - TRASLADO")</f>
        <v>Tinto Millan - TRASLADO</v>
      </c>
      <c r="G1146" s="2">
        <f ca="1">IFERROR(__xludf.DUMMYFUNCTION("""COMPUTED_VALUE"""),0)</f>
        <v>0</v>
      </c>
      <c r="H1146" s="2">
        <f ca="1">IFERROR(__xludf.DUMMYFUNCTION("""COMPUTED_VALUE"""),194300)</f>
        <v>194300</v>
      </c>
      <c r="I1146" s="2"/>
      <c r="J1146" s="2"/>
      <c r="K1146" s="2" t="str">
        <f ca="1">IFERROR(__xludf.DUMMYFUNCTION("""COMPUTED_VALUE"""),"Traslado Venta")</f>
        <v>Traslado Venta</v>
      </c>
      <c r="L1146" s="2" t="str">
        <f ca="1">IFERROR(__xludf.DUMMYFUNCTION("""COMPUTED_VALUE"""),"1")</f>
        <v>1</v>
      </c>
      <c r="M1146" s="2"/>
    </row>
    <row r="1147" spans="1:13" x14ac:dyDescent="0.25">
      <c r="A1147" s="2" t="str">
        <f ca="1">IFERROR(__xludf.DUMMYFUNCTION("""COMPUTED_VALUE"""),"6077ee35")</f>
        <v>6077ee35</v>
      </c>
      <c r="B1147" s="2"/>
      <c r="C1147" s="5">
        <f ca="1">IFERROR(__xludf.DUMMYFUNCTION("""COMPUTED_VALUE"""),45896.6943402777)</f>
        <v>45896.694340277703</v>
      </c>
      <c r="D1147" s="2">
        <f ca="1">IFERROR(__xludf.DUMMYFUNCTION("""COMPUTED_VALUE"""),500)</f>
        <v>500</v>
      </c>
      <c r="E1147" s="2">
        <f ca="1">IFERROR(__xludf.DUMMYFUNCTION("""COMPUTED_VALUE"""),200000)</f>
        <v>200000</v>
      </c>
      <c r="F1147" s="2" t="str">
        <f ca="1">IFERROR(__xludf.DUMMYFUNCTION("""COMPUTED_VALUE"""),"Tinto Millan - TRASLADO")</f>
        <v>Tinto Millan - TRASLADO</v>
      </c>
      <c r="G1147" s="2">
        <f ca="1">IFERROR(__xludf.DUMMYFUNCTION("""COMPUTED_VALUE"""),194300)</f>
        <v>194300</v>
      </c>
      <c r="H1147" s="2">
        <f ca="1">IFERROR(__xludf.DUMMYFUNCTION("""COMPUTED_VALUE"""),200000)</f>
        <v>200000</v>
      </c>
      <c r="I1147" s="2"/>
      <c r="J1147" s="2"/>
      <c r="K1147" s="2" t="str">
        <f ca="1">IFERROR(__xludf.DUMMYFUNCTION("""COMPUTED_VALUE"""),"Traslado Venta")</f>
        <v>Traslado Venta</v>
      </c>
      <c r="L1147" s="2" t="str">
        <f ca="1">IFERROR(__xludf.DUMMYFUNCTION("""COMPUTED_VALUE"""),"1")</f>
        <v>1</v>
      </c>
      <c r="M1147" s="2"/>
    </row>
    <row r="1148" spans="1:13" x14ac:dyDescent="0.25">
      <c r="A1148" s="2" t="str">
        <f ca="1">IFERROR(__xludf.DUMMYFUNCTION("""COMPUTED_VALUE"""),"441eeee9")</f>
        <v>441eeee9</v>
      </c>
      <c r="B1148" s="2"/>
      <c r="C1148" s="5">
        <f ca="1">IFERROR(__xludf.DUMMYFUNCTION("""COMPUTED_VALUE"""),45896.6951157407)</f>
        <v>45896.695115740702</v>
      </c>
      <c r="D1148" s="2">
        <f ca="1">IFERROR(__xludf.DUMMYFUNCTION("""COMPUTED_VALUE"""),500)</f>
        <v>500</v>
      </c>
      <c r="E1148" s="2">
        <f ca="1">IFERROR(__xludf.DUMMYFUNCTION("""COMPUTED_VALUE"""),200000)</f>
        <v>200000</v>
      </c>
      <c r="F1148" s="2" t="str">
        <f ca="1">IFERROR(__xludf.DUMMYFUNCTION("""COMPUTED_VALUE"""),"Tinto Millan - TRASLADO")</f>
        <v>Tinto Millan - TRASLADO</v>
      </c>
      <c r="G1148" s="2">
        <f ca="1">IFERROR(__xludf.DUMMYFUNCTION("""COMPUTED_VALUE"""),200000)</f>
        <v>200000</v>
      </c>
      <c r="H1148" s="2">
        <f ca="1">IFERROR(__xludf.DUMMYFUNCTION("""COMPUTED_VALUE"""),201000)</f>
        <v>201000</v>
      </c>
      <c r="I1148" s="2"/>
      <c r="J1148" s="2"/>
      <c r="K1148" s="2" t="str">
        <f ca="1">IFERROR(__xludf.DUMMYFUNCTION("""COMPUTED_VALUE"""),"Traslado Venta")</f>
        <v>Traslado Venta</v>
      </c>
      <c r="L1148" s="2" t="str">
        <f ca="1">IFERROR(__xludf.DUMMYFUNCTION("""COMPUTED_VALUE"""),"1")</f>
        <v>1</v>
      </c>
      <c r="M1148" s="2"/>
    </row>
    <row r="1149" spans="1:13" x14ac:dyDescent="0.25">
      <c r="A1149" s="2" t="str">
        <f ca="1">IFERROR(__xludf.DUMMYFUNCTION("""COMPUTED_VALUE"""),"ee79ce4b")</f>
        <v>ee79ce4b</v>
      </c>
      <c r="B1149" s="2"/>
      <c r="C1149" s="5">
        <f ca="1">IFERROR(__xludf.DUMMYFUNCTION("""COMPUTED_VALUE"""),45896.6968634259)</f>
        <v>45896.696863425903</v>
      </c>
      <c r="D1149" s="2">
        <f ca="1">IFERROR(__xludf.DUMMYFUNCTION("""COMPUTED_VALUE"""),118)</f>
        <v>118</v>
      </c>
      <c r="E1149" s="2">
        <f ca="1">IFERROR(__xludf.DUMMYFUNCTION("""COMPUTED_VALUE"""),155600)</f>
        <v>155600</v>
      </c>
      <c r="F1149" s="2" t="str">
        <f ca="1">IFERROR(__xludf.DUMMYFUNCTION("""COMPUTED_VALUE"""),"Tinto")</f>
        <v>Tinto</v>
      </c>
      <c r="G1149" s="2">
        <f ca="1">IFERROR(__xludf.DUMMYFUNCTION("""COMPUTED_VALUE"""),0)</f>
        <v>0</v>
      </c>
      <c r="H1149" s="2">
        <f ca="1">IFERROR(__xludf.DUMMYFUNCTION("""COMPUTED_VALUE"""),75800)</f>
        <v>75800</v>
      </c>
      <c r="I1149" s="2"/>
      <c r="J1149" s="2"/>
      <c r="K1149" s="2" t="str">
        <f ca="1">IFERROR(__xludf.DUMMYFUNCTION("""COMPUTED_VALUE"""),"2do Trasiego")</f>
        <v>2do Trasiego</v>
      </c>
      <c r="L1149" s="2" t="str">
        <f ca="1">IFERROR(__xludf.DUMMYFUNCTION("""COMPUTED_VALUE"""),"1")</f>
        <v>1</v>
      </c>
      <c r="M1149" s="2"/>
    </row>
    <row r="1150" spans="1:13" x14ac:dyDescent="0.25">
      <c r="A1150" s="2" t="str">
        <f ca="1">IFERROR(__xludf.DUMMYFUNCTION("""COMPUTED_VALUE"""),"bb1b6c7c")</f>
        <v>bb1b6c7c</v>
      </c>
      <c r="B1150" s="2"/>
      <c r="C1150" s="5">
        <f ca="1">IFERROR(__xludf.DUMMYFUNCTION("""COMPUTED_VALUE"""),45896.6974305555)</f>
        <v>45896.697430555498</v>
      </c>
      <c r="D1150" s="2">
        <f ca="1">IFERROR(__xludf.DUMMYFUNCTION("""COMPUTED_VALUE"""),118)</f>
        <v>118</v>
      </c>
      <c r="E1150" s="2">
        <f ca="1">IFERROR(__xludf.DUMMYFUNCTION("""COMPUTED_VALUE"""),155600)</f>
        <v>155600</v>
      </c>
      <c r="F1150" s="2" t="str">
        <f ca="1">IFERROR(__xludf.DUMMYFUNCTION("""COMPUTED_VALUE"""),"Tinto Oferta")</f>
        <v>Tinto Oferta</v>
      </c>
      <c r="G1150" s="2">
        <f ca="1">IFERROR(__xludf.DUMMYFUNCTION("""COMPUTED_VALUE"""),75800)</f>
        <v>75800</v>
      </c>
      <c r="H1150" s="2">
        <f ca="1">IFERROR(__xludf.DUMMYFUNCTION("""COMPUTED_VALUE"""),111100)</f>
        <v>111100</v>
      </c>
      <c r="I1150" s="2"/>
      <c r="J1150" s="2"/>
      <c r="K1150" s="2" t="str">
        <f ca="1">IFERROR(__xludf.DUMMYFUNCTION("""COMPUTED_VALUE"""),"2do Trasiego")</f>
        <v>2do Trasiego</v>
      </c>
      <c r="L1150" s="2" t="str">
        <f ca="1">IFERROR(__xludf.DUMMYFUNCTION("""COMPUTED_VALUE"""),"1")</f>
        <v>1</v>
      </c>
      <c r="M1150" s="2"/>
    </row>
    <row r="1151" spans="1:13" x14ac:dyDescent="0.25">
      <c r="A1151" s="2" t="str">
        <f ca="1">IFERROR(__xludf.DUMMYFUNCTION("""COMPUTED_VALUE"""),"9bd59a13")</f>
        <v>9bd59a13</v>
      </c>
      <c r="B1151" s="2"/>
      <c r="C1151" s="5">
        <f ca="1">IFERROR(__xludf.DUMMYFUNCTION("""COMPUTED_VALUE"""),45896.6982754629)</f>
        <v>45896.698275462899</v>
      </c>
      <c r="D1151" s="2">
        <f ca="1">IFERROR(__xludf.DUMMYFUNCTION("""COMPUTED_VALUE"""),118)</f>
        <v>118</v>
      </c>
      <c r="E1151" s="2">
        <f ca="1">IFERROR(__xludf.DUMMYFUNCTION("""COMPUTED_VALUE"""),155600)</f>
        <v>155600</v>
      </c>
      <c r="F1151" s="2" t="str">
        <f ca="1">IFERROR(__xludf.DUMMYFUNCTION("""COMPUTED_VALUE"""),"Tinto Oferta")</f>
        <v>Tinto Oferta</v>
      </c>
      <c r="G1151" s="2">
        <f ca="1">IFERROR(__xludf.DUMMYFUNCTION("""COMPUTED_VALUE"""),111100)</f>
        <v>111100</v>
      </c>
      <c r="H1151" s="2">
        <f ca="1">IFERROR(__xludf.DUMMYFUNCTION("""COMPUTED_VALUE"""),138000)</f>
        <v>138000</v>
      </c>
      <c r="I1151" s="2"/>
      <c r="J1151" s="2"/>
      <c r="K1151" s="2" t="str">
        <f ca="1">IFERROR(__xludf.DUMMYFUNCTION("""COMPUTED_VALUE"""),"2do Trasiego")</f>
        <v>2do Trasiego</v>
      </c>
      <c r="L1151" s="2" t="str">
        <f ca="1">IFERROR(__xludf.DUMMYFUNCTION("""COMPUTED_VALUE"""),"1")</f>
        <v>1</v>
      </c>
      <c r="M1151" s="2"/>
    </row>
    <row r="1152" spans="1:13" x14ac:dyDescent="0.25">
      <c r="A1152" s="2" t="str">
        <f ca="1">IFERROR(__xludf.DUMMYFUNCTION("""COMPUTED_VALUE"""),"76fe7029")</f>
        <v>76fe7029</v>
      </c>
      <c r="B1152" s="2"/>
      <c r="C1152" s="5">
        <f ca="1">IFERROR(__xludf.DUMMYFUNCTION("""COMPUTED_VALUE"""),45896.6986111111)</f>
        <v>45896.698611111096</v>
      </c>
      <c r="D1152" s="2">
        <f ca="1">IFERROR(__xludf.DUMMYFUNCTION("""COMPUTED_VALUE"""),118)</f>
        <v>118</v>
      </c>
      <c r="E1152" s="2">
        <f ca="1">IFERROR(__xludf.DUMMYFUNCTION("""COMPUTED_VALUE"""),155600)</f>
        <v>155600</v>
      </c>
      <c r="F1152" s="2" t="str">
        <f ca="1">IFERROR(__xludf.DUMMYFUNCTION("""COMPUTED_VALUE"""),"Tinto")</f>
        <v>Tinto</v>
      </c>
      <c r="G1152" s="2">
        <f ca="1">IFERROR(__xludf.DUMMYFUNCTION("""COMPUTED_VALUE"""),138000)</f>
        <v>138000</v>
      </c>
      <c r="H1152" s="2">
        <f ca="1">IFERROR(__xludf.DUMMYFUNCTION("""COMPUTED_VALUE"""),155600)</f>
        <v>155600</v>
      </c>
      <c r="I1152" s="2"/>
      <c r="J1152" s="2"/>
      <c r="K1152" s="2" t="str">
        <f ca="1">IFERROR(__xludf.DUMMYFUNCTION("""COMPUTED_VALUE"""),"2do Trasiego")</f>
        <v>2do Trasiego</v>
      </c>
      <c r="L1152" s="2" t="str">
        <f ca="1">IFERROR(__xludf.DUMMYFUNCTION("""COMPUTED_VALUE"""),"1+")</f>
        <v>1+</v>
      </c>
      <c r="M1152" s="2"/>
    </row>
    <row r="1153" spans="1:13" x14ac:dyDescent="0.25">
      <c r="A1153" s="2" t="str">
        <f ca="1">IFERROR(__xludf.DUMMYFUNCTION("""COMPUTED_VALUE"""),"8750949f")</f>
        <v>8750949f</v>
      </c>
      <c r="B1153" s="2"/>
      <c r="C1153" s="5">
        <f ca="1">IFERROR(__xludf.DUMMYFUNCTION("""COMPUTED_VALUE"""),45898.4167824074)</f>
        <v>45898.416782407403</v>
      </c>
      <c r="D1153" s="2">
        <f ca="1">IFERROR(__xludf.DUMMYFUNCTION("""COMPUTED_VALUE"""),115)</f>
        <v>115</v>
      </c>
      <c r="E1153" s="2">
        <f ca="1">IFERROR(__xludf.DUMMYFUNCTION("""COMPUTED_VALUE"""),120200)</f>
        <v>120200</v>
      </c>
      <c r="F1153" s="2" t="str">
        <f ca="1">IFERROR(__xludf.DUMMYFUNCTION("""COMPUTED_VALUE"""),"Syrah")</f>
        <v>Syrah</v>
      </c>
      <c r="G1153" s="2">
        <f ca="1">IFERROR(__xludf.DUMMYFUNCTION("""COMPUTED_VALUE"""),35445)</f>
        <v>35445</v>
      </c>
      <c r="H1153" s="2">
        <f ca="1">IFERROR(__xludf.DUMMYFUNCTION("""COMPUTED_VALUE"""),65445)</f>
        <v>65445</v>
      </c>
      <c r="I1153" s="2"/>
      <c r="J1153" s="2"/>
      <c r="K1153" s="2" t="str">
        <f ca="1">IFERROR(__xludf.DUMMYFUNCTION("""COMPUTED_VALUE"""),"Filtrado Tang")</f>
        <v>Filtrado Tang</v>
      </c>
      <c r="L1153" s="2" t="str">
        <f ca="1">IFERROR(__xludf.DUMMYFUNCTION("""COMPUTED_VALUE"""),"1")</f>
        <v>1</v>
      </c>
      <c r="M1153" s="2"/>
    </row>
    <row r="1154" spans="1:13" x14ac:dyDescent="0.25">
      <c r="A1154" s="2" t="str">
        <f ca="1">IFERROR(__xludf.DUMMYFUNCTION("""COMPUTED_VALUE"""),"8ef62a8f")</f>
        <v>8ef62a8f</v>
      </c>
      <c r="B1154" s="2"/>
      <c r="C1154" s="5">
        <f ca="1">IFERROR(__xludf.DUMMYFUNCTION("""COMPUTED_VALUE"""),45898.417199074)</f>
        <v>45898.417199074</v>
      </c>
      <c r="D1154" s="2">
        <f ca="1">IFERROR(__xludf.DUMMYFUNCTION("""COMPUTED_VALUE"""),115)</f>
        <v>115</v>
      </c>
      <c r="E1154" s="2">
        <f ca="1">IFERROR(__xludf.DUMMYFUNCTION("""COMPUTED_VALUE"""),120200)</f>
        <v>120200</v>
      </c>
      <c r="F1154" s="2" t="str">
        <f ca="1">IFERROR(__xludf.DUMMYFUNCTION("""COMPUTED_VALUE"""),"Syrah")</f>
        <v>Syrah</v>
      </c>
      <c r="G1154" s="2">
        <f ca="1">IFERROR(__xludf.DUMMYFUNCTION("""COMPUTED_VALUE"""),65445)</f>
        <v>65445</v>
      </c>
      <c r="H1154" s="2">
        <f ca="1">IFERROR(__xludf.DUMMYFUNCTION("""COMPUTED_VALUE"""),94445)</f>
        <v>94445</v>
      </c>
      <c r="I1154" s="2"/>
      <c r="J1154" s="2"/>
      <c r="K1154" s="2" t="str">
        <f ca="1">IFERROR(__xludf.DUMMYFUNCTION("""COMPUTED_VALUE"""),"Filtrado Tang")</f>
        <v>Filtrado Tang</v>
      </c>
      <c r="L1154" s="2" t="str">
        <f ca="1">IFERROR(__xludf.DUMMYFUNCTION("""COMPUTED_VALUE"""),"1")</f>
        <v>1</v>
      </c>
      <c r="M1154" s="2"/>
    </row>
    <row r="1155" spans="1:13" x14ac:dyDescent="0.25">
      <c r="A1155" s="2" t="str">
        <f ca="1">IFERROR(__xludf.DUMMYFUNCTION("""COMPUTED_VALUE"""),"10c2b4f5")</f>
        <v>10c2b4f5</v>
      </c>
      <c r="B1155" s="2"/>
      <c r="C1155" s="5">
        <f ca="1">IFERROR(__xludf.DUMMYFUNCTION("""COMPUTED_VALUE"""),45898.4176504629)</f>
        <v>45898.417650462899</v>
      </c>
      <c r="D1155" s="2">
        <f ca="1">IFERROR(__xludf.DUMMYFUNCTION("""COMPUTED_VALUE"""),500)</f>
        <v>500</v>
      </c>
      <c r="E1155" s="2">
        <f ca="1">IFERROR(__xludf.DUMMYFUNCTION("""COMPUTED_VALUE"""),200000)</f>
        <v>200000</v>
      </c>
      <c r="F1155" s="2" t="str">
        <f ca="1">IFERROR(__xludf.DUMMYFUNCTION("""COMPUTED_VALUE"""),"Tinto Millan - TRASLADO")</f>
        <v>Tinto Millan - TRASLADO</v>
      </c>
      <c r="G1155" s="2">
        <f ca="1">IFERROR(__xludf.DUMMYFUNCTION("""COMPUTED_VALUE"""),201000)</f>
        <v>201000</v>
      </c>
      <c r="H1155" s="2">
        <f ca="1">IFERROR(__xludf.DUMMYFUNCTION("""COMPUTED_VALUE"""),202000)</f>
        <v>202000</v>
      </c>
      <c r="I1155" s="2"/>
      <c r="J1155" s="2"/>
      <c r="K1155" s="2" t="str">
        <f ca="1">IFERROR(__xludf.DUMMYFUNCTION("""COMPUTED_VALUE"""),"Traslado Venta")</f>
        <v>Traslado Venta</v>
      </c>
      <c r="L1155" s="2" t="str">
        <f ca="1">IFERROR(__xludf.DUMMYFUNCTION("""COMPUTED_VALUE"""),"1")</f>
        <v>1</v>
      </c>
      <c r="M1155" s="2"/>
    </row>
    <row r="1156" spans="1:13" x14ac:dyDescent="0.25">
      <c r="A1156" s="2" t="str">
        <f ca="1">IFERROR(__xludf.DUMMYFUNCTION("""COMPUTED_VALUE"""),"b9a9005f")</f>
        <v>b9a9005f</v>
      </c>
      <c r="B1156" s="2"/>
      <c r="C1156" s="5">
        <f ca="1">IFERROR(__xludf.DUMMYFUNCTION("""COMPUTED_VALUE"""),45898.4577777777)</f>
        <v>45898.457777777701</v>
      </c>
      <c r="D1156" s="2">
        <f ca="1">IFERROR(__xludf.DUMMYFUNCTION("""COMPUTED_VALUE"""),72)</f>
        <v>72</v>
      </c>
      <c r="E1156" s="2">
        <f ca="1">IFERROR(__xludf.DUMMYFUNCTION("""COMPUTED_VALUE"""),13000)</f>
        <v>13000</v>
      </c>
      <c r="F1156" s="2" t="str">
        <f ca="1">IFERROR(__xludf.DUMMYFUNCTION("""COMPUTED_VALUE"""),"Aspirant Anccelota Gota")</f>
        <v>Aspirant Anccelota Gota</v>
      </c>
      <c r="G1156" s="2">
        <f ca="1">IFERROR(__xludf.DUMMYFUNCTION("""COMPUTED_VALUE"""),12000)</f>
        <v>12000</v>
      </c>
      <c r="H1156" s="2">
        <f ca="1">IFERROR(__xludf.DUMMYFUNCTION("""COMPUTED_VALUE"""),13000)</f>
        <v>13000</v>
      </c>
      <c r="I1156" s="2"/>
      <c r="J1156" s="2"/>
      <c r="K1156" s="2" t="str">
        <f ca="1">IFERROR(__xludf.DUMMYFUNCTION("""COMPUTED_VALUE"""),"2do Trasiego")</f>
        <v>2do Trasiego</v>
      </c>
      <c r="L1156" s="2"/>
      <c r="M1156" s="2"/>
    </row>
    <row r="1157" spans="1:13" x14ac:dyDescent="0.25">
      <c r="A1157" s="2" t="str">
        <f ca="1">IFERROR(__xludf.DUMMYFUNCTION("""COMPUTED_VALUE"""),"cbf6ba5a")</f>
        <v>cbf6ba5a</v>
      </c>
      <c r="B1157" s="2"/>
      <c r="C1157" s="5">
        <f ca="1">IFERROR(__xludf.DUMMYFUNCTION("""COMPUTED_VALUE"""),45901.7198611111)</f>
        <v>45901.719861111102</v>
      </c>
      <c r="D1157" s="2">
        <f ca="1">IFERROR(__xludf.DUMMYFUNCTION("""COMPUTED_VALUE"""),115)</f>
        <v>115</v>
      </c>
      <c r="E1157" s="2">
        <f ca="1">IFERROR(__xludf.DUMMYFUNCTION("""COMPUTED_VALUE"""),120200)</f>
        <v>120200</v>
      </c>
      <c r="F1157" s="2" t="str">
        <f ca="1">IFERROR(__xludf.DUMMYFUNCTION("""COMPUTED_VALUE"""),"Syrah")</f>
        <v>Syrah</v>
      </c>
      <c r="G1157" s="2">
        <f ca="1">IFERROR(__xludf.DUMMYFUNCTION("""COMPUTED_VALUE"""),94445)</f>
        <v>94445</v>
      </c>
      <c r="H1157" s="2">
        <f ca="1">IFERROR(__xludf.DUMMYFUNCTION("""COMPUTED_VALUE"""),97145)</f>
        <v>97145</v>
      </c>
      <c r="I1157" s="2"/>
      <c r="J1157" s="2"/>
      <c r="K1157" s="2" t="str">
        <f ca="1">IFERROR(__xludf.DUMMYFUNCTION("""COMPUTED_VALUE"""),"Filtrado Tang")</f>
        <v>Filtrado Tang</v>
      </c>
      <c r="L1157" s="2" t="str">
        <f ca="1">IFERROR(__xludf.DUMMYFUNCTION("""COMPUTED_VALUE"""),"1")</f>
        <v>1</v>
      </c>
      <c r="M1157" s="2"/>
    </row>
    <row r="1158" spans="1:13" x14ac:dyDescent="0.25">
      <c r="A1158" s="2" t="str">
        <f ca="1">IFERROR(__xludf.DUMMYFUNCTION("""COMPUTED_VALUE"""),"1a994530")</f>
        <v>1a994530</v>
      </c>
      <c r="B1158" s="2"/>
      <c r="C1158" s="5">
        <f ca="1">IFERROR(__xludf.DUMMYFUNCTION("""COMPUTED_VALUE"""),45901.7205208333)</f>
        <v>45901.720520833303</v>
      </c>
      <c r="D1158" s="2">
        <f ca="1">IFERROR(__xludf.DUMMYFUNCTION("""COMPUTED_VALUE"""),115)</f>
        <v>115</v>
      </c>
      <c r="E1158" s="2">
        <f ca="1">IFERROR(__xludf.DUMMYFUNCTION("""COMPUTED_VALUE"""),120200)</f>
        <v>120200</v>
      </c>
      <c r="F1158" s="2" t="str">
        <f ca="1">IFERROR(__xludf.DUMMYFUNCTION("""COMPUTED_VALUE"""),"Syrah")</f>
        <v>Syrah</v>
      </c>
      <c r="G1158" s="2">
        <f ca="1">IFERROR(__xludf.DUMMYFUNCTION("""COMPUTED_VALUE"""),97145)</f>
        <v>97145</v>
      </c>
      <c r="H1158" s="2">
        <f ca="1">IFERROR(__xludf.DUMMYFUNCTION("""COMPUTED_VALUE"""),108050)</f>
        <v>108050</v>
      </c>
      <c r="I1158" s="2"/>
      <c r="J1158" s="2"/>
      <c r="K1158" s="2" t="str">
        <f ca="1">IFERROR(__xludf.DUMMYFUNCTION("""COMPUTED_VALUE"""),"Filtrado Tang")</f>
        <v>Filtrado Tang</v>
      </c>
      <c r="L1158" s="2" t="str">
        <f ca="1">IFERROR(__xludf.DUMMYFUNCTION("""COMPUTED_VALUE"""),"1")</f>
        <v>1</v>
      </c>
      <c r="M1158" s="2"/>
    </row>
    <row r="1159" spans="1:13" x14ac:dyDescent="0.25">
      <c r="A1159" s="2" t="str">
        <f ca="1">IFERROR(__xludf.DUMMYFUNCTION("""COMPUTED_VALUE"""),"182229c6")</f>
        <v>182229c6</v>
      </c>
      <c r="B1159" s="2"/>
      <c r="C1159" s="5">
        <f ca="1">IFERROR(__xludf.DUMMYFUNCTION("""COMPUTED_VALUE"""),45901.7214236111)</f>
        <v>45901.721423611103</v>
      </c>
      <c r="D1159" s="2">
        <f ca="1">IFERROR(__xludf.DUMMYFUNCTION("""COMPUTED_VALUE"""),500)</f>
        <v>500</v>
      </c>
      <c r="E1159" s="2">
        <f ca="1">IFERROR(__xludf.DUMMYFUNCTION("""COMPUTED_VALUE"""),200000)</f>
        <v>200000</v>
      </c>
      <c r="F1159" s="2" t="str">
        <f ca="1">IFERROR(__xludf.DUMMYFUNCTION("""COMPUTED_VALUE"""),"Ajuste Arqueo 01/09/25")</f>
        <v>Ajuste Arqueo 01/09/25</v>
      </c>
      <c r="G1159" s="2"/>
      <c r="H1159" s="2">
        <f ca="1">IFERROR(__xludf.DUMMYFUNCTION("""COMPUTED_VALUE"""),0)</f>
        <v>0</v>
      </c>
      <c r="I1159" s="2"/>
      <c r="J1159" s="2"/>
      <c r="K1159" s="2"/>
      <c r="L1159" s="2"/>
      <c r="M1159" s="2"/>
    </row>
    <row r="1160" spans="1:13" x14ac:dyDescent="0.25">
      <c r="A1160" s="2" t="str">
        <f ca="1">IFERROR(__xludf.DUMMYFUNCTION("""COMPUTED_VALUE"""),"69104da7")</f>
        <v>69104da7</v>
      </c>
      <c r="B1160" s="2"/>
      <c r="C1160" s="5">
        <f ca="1">IFERROR(__xludf.DUMMYFUNCTION("""COMPUTED_VALUE"""),45901.7220254629)</f>
        <v>45901.722025462899</v>
      </c>
      <c r="D1160" s="2">
        <f ca="1">IFERROR(__xludf.DUMMYFUNCTION("""COMPUTED_VALUE"""),500)</f>
        <v>500</v>
      </c>
      <c r="E1160" s="2">
        <f ca="1">IFERROR(__xludf.DUMMYFUNCTION("""COMPUTED_VALUE"""),200000)</f>
        <v>200000</v>
      </c>
      <c r="F1160" s="2" t="str">
        <f ca="1">IFERROR(__xludf.DUMMYFUNCTION("""COMPUTED_VALUE"""),"Ajuste Arqueo 01/09/25")</f>
        <v>Ajuste Arqueo 01/09/25</v>
      </c>
      <c r="G1160" s="2">
        <f ca="1">IFERROR(__xludf.DUMMYFUNCTION("""COMPUTED_VALUE"""),0)</f>
        <v>0</v>
      </c>
      <c r="H1160" s="2">
        <f ca="1">IFERROR(__xludf.DUMMYFUNCTION("""COMPUTED_VALUE"""),2495)</f>
        <v>2495</v>
      </c>
      <c r="I1160" s="2"/>
      <c r="J1160" s="2"/>
      <c r="K1160" s="2"/>
      <c r="L1160" s="2"/>
      <c r="M1160" s="2"/>
    </row>
    <row r="1161" spans="1:13" x14ac:dyDescent="0.25">
      <c r="A1161" s="2" t="str">
        <f ca="1">IFERROR(__xludf.DUMMYFUNCTION("""COMPUTED_VALUE"""),"9490b256")</f>
        <v>9490b256</v>
      </c>
      <c r="B1161" s="2"/>
      <c r="C1161" s="5">
        <f ca="1">IFERROR(__xludf.DUMMYFUNCTION("""COMPUTED_VALUE"""),45901.7225)</f>
        <v>45901.722500000003</v>
      </c>
      <c r="D1161" s="2">
        <f ca="1">IFERROR(__xludf.DUMMYFUNCTION("""COMPUTED_VALUE"""),115)</f>
        <v>115</v>
      </c>
      <c r="E1161" s="2">
        <f ca="1">IFERROR(__xludf.DUMMYFUNCTION("""COMPUTED_VALUE"""),120200)</f>
        <v>120200</v>
      </c>
      <c r="F1161" s="2" t="str">
        <f ca="1">IFERROR(__xludf.DUMMYFUNCTION("""COMPUTED_VALUE"""),"Syrah")</f>
        <v>Syrah</v>
      </c>
      <c r="G1161" s="2">
        <f ca="1">IFERROR(__xludf.DUMMYFUNCTION("""COMPUTED_VALUE"""),108050)</f>
        <v>108050</v>
      </c>
      <c r="H1161" s="2">
        <f ca="1">IFERROR(__xludf.DUMMYFUNCTION("""COMPUTED_VALUE"""),117200)</f>
        <v>117200</v>
      </c>
      <c r="I1161" s="2"/>
      <c r="J1161" s="2"/>
      <c r="K1161" s="2" t="str">
        <f ca="1">IFERROR(__xludf.DUMMYFUNCTION("""COMPUTED_VALUE"""),"Filtrado Tang")</f>
        <v>Filtrado Tang</v>
      </c>
      <c r="L1161" s="2" t="str">
        <f ca="1">IFERROR(__xludf.DUMMYFUNCTION("""COMPUTED_VALUE"""),"1")</f>
        <v>1</v>
      </c>
      <c r="M1161" s="2"/>
    </row>
    <row r="1162" spans="1:13" x14ac:dyDescent="0.25">
      <c r="A1162" s="2" t="str">
        <f ca="1">IFERROR(__xludf.DUMMYFUNCTION("""COMPUTED_VALUE"""),"0fba2ec5")</f>
        <v>0fba2ec5</v>
      </c>
      <c r="B1162" s="2"/>
      <c r="C1162" s="5">
        <f ca="1">IFERROR(__xludf.DUMMYFUNCTION("""COMPUTED_VALUE"""),45901.7348263888)</f>
        <v>45901.734826388798</v>
      </c>
      <c r="D1162" s="2">
        <f ca="1">IFERROR(__xludf.DUMMYFUNCTION("""COMPUTED_VALUE"""),115)</f>
        <v>115</v>
      </c>
      <c r="E1162" s="2">
        <f ca="1">IFERROR(__xludf.DUMMYFUNCTION("""COMPUTED_VALUE"""),120200)</f>
        <v>120200</v>
      </c>
      <c r="F1162" s="2" t="str">
        <f ca="1">IFERROR(__xludf.DUMMYFUNCTION("""COMPUTED_VALUE"""),"Syrah")</f>
        <v>Syrah</v>
      </c>
      <c r="G1162" s="2">
        <f ca="1">IFERROR(__xludf.DUMMYFUNCTION("""COMPUTED_VALUE"""),117200)</f>
        <v>117200</v>
      </c>
      <c r="H1162" s="2">
        <f ca="1">IFERROR(__xludf.DUMMYFUNCTION("""COMPUTED_VALUE"""),119695)</f>
        <v>119695</v>
      </c>
      <c r="I1162" s="2"/>
      <c r="J1162" s="2"/>
      <c r="K1162" s="2" t="str">
        <f ca="1">IFERROR(__xludf.DUMMYFUNCTION("""COMPUTED_VALUE"""),"Filtrado Tang")</f>
        <v>Filtrado Tang</v>
      </c>
      <c r="L1162" s="2" t="str">
        <f ca="1">IFERROR(__xludf.DUMMYFUNCTION("""COMPUTED_VALUE"""),"1")</f>
        <v>1</v>
      </c>
      <c r="M1162" s="2"/>
    </row>
    <row r="1163" spans="1:13" x14ac:dyDescent="0.25">
      <c r="A1163" s="2" t="str">
        <f ca="1">IFERROR(__xludf.DUMMYFUNCTION("""COMPUTED_VALUE"""),"ea0da787")</f>
        <v>ea0da787</v>
      </c>
      <c r="B1163" s="2"/>
      <c r="C1163" s="5">
        <f ca="1">IFERROR(__xludf.DUMMYFUNCTION("""COMPUTED_VALUE"""),45901.7387731481)</f>
        <v>45901.738773148099</v>
      </c>
      <c r="D1163" s="2">
        <f ca="1">IFERROR(__xludf.DUMMYFUNCTION("""COMPUTED_VALUE"""),51)</f>
        <v>51</v>
      </c>
      <c r="E1163" s="2">
        <f ca="1">IFERROR(__xludf.DUMMYFUNCTION("""COMPUTED_VALUE"""),3900)</f>
        <v>3900</v>
      </c>
      <c r="F1163" s="2" t="str">
        <f ca="1">IFERROR(__xludf.DUMMYFUNCTION("""COMPUTED_VALUE"""),"Cabernet Sauv Carricondo")</f>
        <v>Cabernet Sauv Carricondo</v>
      </c>
      <c r="G1163" s="2">
        <f ca="1">IFERROR(__xludf.DUMMYFUNCTION("""COMPUTED_VALUE"""),3900)</f>
        <v>3900</v>
      </c>
      <c r="H1163" s="2">
        <f ca="1">IFERROR(__xludf.DUMMYFUNCTION("""COMPUTED_VALUE"""),5000)</f>
        <v>5000</v>
      </c>
      <c r="I1163" s="2"/>
      <c r="J1163" s="2"/>
      <c r="K1163" s="2" t="str">
        <f ca="1">IFERROR(__xludf.DUMMYFUNCTION("""COMPUTED_VALUE"""),"Traslado Venta")</f>
        <v>Traslado Venta</v>
      </c>
      <c r="L1163" s="2" t="str">
        <f ca="1">IFERROR(__xludf.DUMMYFUNCTION("""COMPUTED_VALUE"""),"1")</f>
        <v>1</v>
      </c>
      <c r="M1163" s="2"/>
    </row>
    <row r="1164" spans="1:13" x14ac:dyDescent="0.25">
      <c r="A1164" s="2" t="str">
        <f ca="1">IFERROR(__xludf.DUMMYFUNCTION("""COMPUTED_VALUE"""),"97e4f782")</f>
        <v>97e4f782</v>
      </c>
      <c r="B1164" s="2"/>
      <c r="C1164" s="5">
        <f ca="1">IFERROR(__xludf.DUMMYFUNCTION("""COMPUTED_VALUE"""),45903.7184375)</f>
        <v>45903.7184375</v>
      </c>
      <c r="D1164" s="2">
        <f ca="1">IFERROR(__xludf.DUMMYFUNCTION("""COMPUTED_VALUE"""),115)</f>
        <v>115</v>
      </c>
      <c r="E1164" s="2">
        <f ca="1">IFERROR(__xludf.DUMMYFUNCTION("""COMPUTED_VALUE"""),120200)</f>
        <v>120200</v>
      </c>
      <c r="F1164" s="2" t="str">
        <f ca="1">IFERROR(__xludf.DUMMYFUNCTION("""COMPUTED_VALUE"""),"Syrah")</f>
        <v>Syrah</v>
      </c>
      <c r="G1164" s="2">
        <f ca="1">IFERROR(__xludf.DUMMYFUNCTION("""COMPUTED_VALUE"""),119695)</f>
        <v>119695</v>
      </c>
      <c r="H1164" s="2">
        <f ca="1">IFERROR(__xludf.DUMMYFUNCTION("""COMPUTED_VALUE"""),120200)</f>
        <v>120200</v>
      </c>
      <c r="I1164" s="2"/>
      <c r="J1164" s="2"/>
      <c r="K1164" s="2" t="str">
        <f ca="1">IFERROR(__xludf.DUMMYFUNCTION("""COMPUTED_VALUE"""),"Filtrado Tang")</f>
        <v>Filtrado Tang</v>
      </c>
      <c r="L1164" s="2" t="str">
        <f ca="1">IFERROR(__xludf.DUMMYFUNCTION("""COMPUTED_VALUE"""),"1")</f>
        <v>1</v>
      </c>
      <c r="M1164" s="2"/>
    </row>
    <row r="1165" spans="1:13" x14ac:dyDescent="0.25">
      <c r="A1165" s="2" t="str">
        <f ca="1">IFERROR(__xludf.DUMMYFUNCTION("""COMPUTED_VALUE"""),"1f3b2dab")</f>
        <v>1f3b2dab</v>
      </c>
      <c r="B1165" s="2"/>
      <c r="C1165" s="5">
        <f ca="1">IFERROR(__xludf.DUMMYFUNCTION("""COMPUTED_VALUE"""),45903.7192592592)</f>
        <v>45903.719259259196</v>
      </c>
      <c r="D1165" s="2">
        <f ca="1">IFERROR(__xludf.DUMMYFUNCTION("""COMPUTED_VALUE"""),88)</f>
        <v>88</v>
      </c>
      <c r="E1165" s="2">
        <f ca="1">IFERROR(__xludf.DUMMYFUNCTION("""COMPUTED_VALUE"""),78900)</f>
        <v>78900</v>
      </c>
      <c r="F1165" s="2" t="str">
        <f ca="1">IFERROR(__xludf.DUMMYFUNCTION("""COMPUTED_VALUE"""),"Bonarda")</f>
        <v>Bonarda</v>
      </c>
      <c r="G1165" s="2">
        <f ca="1">IFERROR(__xludf.DUMMYFUNCTION("""COMPUTED_VALUE"""),0)</f>
        <v>0</v>
      </c>
      <c r="H1165" s="2">
        <f ca="1">IFERROR(__xludf.DUMMYFUNCTION("""COMPUTED_VALUE"""),37000)</f>
        <v>37000</v>
      </c>
      <c r="I1165" s="2"/>
      <c r="J1165" s="2"/>
      <c r="K1165" s="2" t="str">
        <f ca="1">IFERROR(__xludf.DUMMYFUNCTION("""COMPUTED_VALUE"""),"Filtrado Tang")</f>
        <v>Filtrado Tang</v>
      </c>
      <c r="L1165" s="2" t="str">
        <f ca="1">IFERROR(__xludf.DUMMYFUNCTION("""COMPUTED_VALUE"""),"1")</f>
        <v>1</v>
      </c>
      <c r="M1165" s="2"/>
    </row>
    <row r="1166" spans="1:13" x14ac:dyDescent="0.25">
      <c r="A1166" s="2" t="str">
        <f ca="1">IFERROR(__xludf.DUMMYFUNCTION("""COMPUTED_VALUE"""),"ee5b5592")</f>
        <v>ee5b5592</v>
      </c>
      <c r="B1166" s="2"/>
      <c r="C1166" s="5">
        <f ca="1">IFERROR(__xludf.DUMMYFUNCTION("""COMPUTED_VALUE"""),45903.7220717592)</f>
        <v>45903.722071759199</v>
      </c>
      <c r="D1166" s="2">
        <f ca="1">IFERROR(__xludf.DUMMYFUNCTION("""COMPUTED_VALUE"""),88)</f>
        <v>88</v>
      </c>
      <c r="E1166" s="2">
        <f ca="1">IFERROR(__xludf.DUMMYFUNCTION("""COMPUTED_VALUE"""),78900)</f>
        <v>78900</v>
      </c>
      <c r="F1166" s="2" t="str">
        <f ca="1">IFERROR(__xludf.DUMMYFUNCTION("""COMPUTED_VALUE"""),"Bonarda")</f>
        <v>Bonarda</v>
      </c>
      <c r="G1166" s="2">
        <f ca="1">IFERROR(__xludf.DUMMYFUNCTION("""COMPUTED_VALUE"""),37000)</f>
        <v>37000</v>
      </c>
      <c r="H1166" s="2">
        <f ca="1">IFERROR(__xludf.DUMMYFUNCTION("""COMPUTED_VALUE"""),78900)</f>
        <v>78900</v>
      </c>
      <c r="I1166" s="2"/>
      <c r="J1166" s="2"/>
      <c r="K1166" s="2" t="str">
        <f ca="1">IFERROR(__xludf.DUMMYFUNCTION("""COMPUTED_VALUE"""),"Filtrado Tang")</f>
        <v>Filtrado Tang</v>
      </c>
      <c r="L1166" s="2" t="str">
        <f ca="1">IFERROR(__xludf.DUMMYFUNCTION("""COMPUTED_VALUE"""),"1")</f>
        <v>1</v>
      </c>
      <c r="M1166" s="2" t="str">
        <f ca="1">IFERROR(__xludf.DUMMYFUNCTION("""COMPUTED_VALUE"""),"Tinto")</f>
        <v>Tinto</v>
      </c>
    </row>
    <row r="1167" spans="1:13" x14ac:dyDescent="0.25">
      <c r="A1167" s="2" t="str">
        <f ca="1">IFERROR(__xludf.DUMMYFUNCTION("""COMPUTED_VALUE"""),"698994ec")</f>
        <v>698994ec</v>
      </c>
      <c r="B1167" s="2"/>
      <c r="C1167" s="5">
        <f ca="1">IFERROR(__xludf.DUMMYFUNCTION("""COMPUTED_VALUE"""),45903.7233217592)</f>
        <v>45903.7233217592</v>
      </c>
      <c r="D1167" s="2">
        <f ca="1">IFERROR(__xludf.DUMMYFUNCTION("""COMPUTED_VALUE"""),87)</f>
        <v>87</v>
      </c>
      <c r="E1167" s="2">
        <f ca="1">IFERROR(__xludf.DUMMYFUNCTION("""COMPUTED_VALUE"""),93700)</f>
        <v>93700</v>
      </c>
      <c r="F1167" s="2" t="str">
        <f ca="1">IFERROR(__xludf.DUMMYFUNCTION("""COMPUTED_VALUE"""),"Syrah")</f>
        <v>Syrah</v>
      </c>
      <c r="G1167" s="2">
        <f ca="1">IFERROR(__xludf.DUMMYFUNCTION("""COMPUTED_VALUE"""),0)</f>
        <v>0</v>
      </c>
      <c r="H1167" s="2">
        <f ca="1">IFERROR(__xludf.DUMMYFUNCTION("""COMPUTED_VALUE"""),7845)</f>
        <v>7845</v>
      </c>
      <c r="I1167" s="2"/>
      <c r="J1167" s="2"/>
      <c r="K1167" s="2" t="str">
        <f ca="1">IFERROR(__xludf.DUMMYFUNCTION("""COMPUTED_VALUE"""),"Filtrado Tang")</f>
        <v>Filtrado Tang</v>
      </c>
      <c r="L1167" s="2" t="str">
        <f ca="1">IFERROR(__xludf.DUMMYFUNCTION("""COMPUTED_VALUE"""),"1+")</f>
        <v>1+</v>
      </c>
      <c r="M1167" s="2"/>
    </row>
    <row r="1168" spans="1:13" x14ac:dyDescent="0.25">
      <c r="A1168" s="2" t="str">
        <f ca="1">IFERROR(__xludf.DUMMYFUNCTION("""COMPUTED_VALUE"""),"8a76371b")</f>
        <v>8a76371b</v>
      </c>
      <c r="B1168" s="2"/>
      <c r="C1168" s="5">
        <f ca="1">IFERROR(__xludf.DUMMYFUNCTION("""COMPUTED_VALUE"""),45905.6671296296)</f>
        <v>45905.667129629597</v>
      </c>
      <c r="D1168" s="2">
        <f ca="1">IFERROR(__xludf.DUMMYFUNCTION("""COMPUTED_VALUE"""),87)</f>
        <v>87</v>
      </c>
      <c r="E1168" s="2">
        <f ca="1">IFERROR(__xludf.DUMMYFUNCTION("""COMPUTED_VALUE"""),93700)</f>
        <v>93700</v>
      </c>
      <c r="F1168" s="2" t="str">
        <f ca="1">IFERROR(__xludf.DUMMYFUNCTION("""COMPUTED_VALUE"""),"Syrah")</f>
        <v>Syrah</v>
      </c>
      <c r="G1168" s="2">
        <f ca="1">IFERROR(__xludf.DUMMYFUNCTION("""COMPUTED_VALUE"""),7845)</f>
        <v>7845</v>
      </c>
      <c r="H1168" s="2">
        <f ca="1">IFERROR(__xludf.DUMMYFUNCTION("""COMPUTED_VALUE"""),40845)</f>
        <v>40845</v>
      </c>
      <c r="I1168" s="2"/>
      <c r="J1168" s="2"/>
      <c r="K1168" s="2" t="str">
        <f ca="1">IFERROR(__xludf.DUMMYFUNCTION("""COMPUTED_VALUE"""),"2do Trasiego")</f>
        <v>2do Trasiego</v>
      </c>
      <c r="L1168" s="2" t="str">
        <f ca="1">IFERROR(__xludf.DUMMYFUNCTION("""COMPUTED_VALUE"""),"1")</f>
        <v>1</v>
      </c>
      <c r="M1168" s="2"/>
    </row>
    <row r="1169" spans="1:13" x14ac:dyDescent="0.25">
      <c r="A1169" s="2" t="str">
        <f ca="1">IFERROR(__xludf.DUMMYFUNCTION("""COMPUTED_VALUE"""),"e57c87e1")</f>
        <v>e57c87e1</v>
      </c>
      <c r="B1169" s="2"/>
      <c r="C1169" s="5">
        <f ca="1">IFERROR(__xludf.DUMMYFUNCTION("""COMPUTED_VALUE"""),45905.6677314814)</f>
        <v>45905.667731481401</v>
      </c>
      <c r="D1169" s="2">
        <f ca="1">IFERROR(__xludf.DUMMYFUNCTION("""COMPUTED_VALUE"""),87)</f>
        <v>87</v>
      </c>
      <c r="E1169" s="2">
        <f ca="1">IFERROR(__xludf.DUMMYFUNCTION("""COMPUTED_VALUE"""),93700)</f>
        <v>93700</v>
      </c>
      <c r="F1169" s="2" t="str">
        <f ca="1">IFERROR(__xludf.DUMMYFUNCTION("""COMPUTED_VALUE"""),"Syrah")</f>
        <v>Syrah</v>
      </c>
      <c r="G1169" s="2">
        <f ca="1">IFERROR(__xludf.DUMMYFUNCTION("""COMPUTED_VALUE"""),40845)</f>
        <v>40845</v>
      </c>
      <c r="H1169" s="2">
        <f ca="1">IFERROR(__xludf.DUMMYFUNCTION("""COMPUTED_VALUE"""),65845)</f>
        <v>65845</v>
      </c>
      <c r="I1169" s="2"/>
      <c r="J1169" s="2"/>
      <c r="K1169" s="2" t="str">
        <f ca="1">IFERROR(__xludf.DUMMYFUNCTION("""COMPUTED_VALUE"""),"Filtrado Tang")</f>
        <v>Filtrado Tang</v>
      </c>
      <c r="L1169" s="2" t="str">
        <f ca="1">IFERROR(__xludf.DUMMYFUNCTION("""COMPUTED_VALUE"""),"1")</f>
        <v>1</v>
      </c>
      <c r="M1169" s="2"/>
    </row>
    <row r="1170" spans="1:13" x14ac:dyDescent="0.25">
      <c r="A1170" s="2" t="str">
        <f ca="1">IFERROR(__xludf.DUMMYFUNCTION("""COMPUTED_VALUE"""),"59bbdce0")</f>
        <v>59bbdce0</v>
      </c>
      <c r="B1170" s="2"/>
      <c r="C1170" s="5">
        <f ca="1">IFERROR(__xludf.DUMMYFUNCTION("""COMPUTED_VALUE"""),45909.6711921296)</f>
        <v>45909.671192129601</v>
      </c>
      <c r="D1170" s="2">
        <f ca="1">IFERROR(__xludf.DUMMYFUNCTION("""COMPUTED_VALUE"""),87)</f>
        <v>87</v>
      </c>
      <c r="E1170" s="2">
        <f ca="1">IFERROR(__xludf.DUMMYFUNCTION("""COMPUTED_VALUE"""),93700)</f>
        <v>93700</v>
      </c>
      <c r="F1170" s="2" t="str">
        <f ca="1">IFERROR(__xludf.DUMMYFUNCTION("""COMPUTED_VALUE"""),"Syrah")</f>
        <v>Syrah</v>
      </c>
      <c r="G1170" s="2">
        <f ca="1">IFERROR(__xludf.DUMMYFUNCTION("""COMPUTED_VALUE"""),65845)</f>
        <v>65845</v>
      </c>
      <c r="H1170" s="2">
        <f ca="1">IFERROR(__xludf.DUMMYFUNCTION("""COMPUTED_VALUE"""),84645)</f>
        <v>84645</v>
      </c>
      <c r="I1170" s="2"/>
      <c r="J1170" s="2"/>
      <c r="K1170" s="2" t="str">
        <f ca="1">IFERROR(__xludf.DUMMYFUNCTION("""COMPUTED_VALUE"""),"Filtrado Tang")</f>
        <v>Filtrado Tang</v>
      </c>
      <c r="L1170" s="2" t="str">
        <f ca="1">IFERROR(__xludf.DUMMYFUNCTION("""COMPUTED_VALUE"""),"1")</f>
        <v>1</v>
      </c>
      <c r="M1170" s="2"/>
    </row>
    <row r="1171" spans="1:13" x14ac:dyDescent="0.25">
      <c r="A1171" s="2" t="str">
        <f ca="1">IFERROR(__xludf.DUMMYFUNCTION("""COMPUTED_VALUE"""),"b6edaacc")</f>
        <v>b6edaacc</v>
      </c>
      <c r="B1171" s="2"/>
      <c r="C1171" s="5">
        <f ca="1">IFERROR(__xludf.DUMMYFUNCTION("""COMPUTED_VALUE"""),45909.6726736111)</f>
        <v>45909.672673611101</v>
      </c>
      <c r="D1171" s="2">
        <f ca="1">IFERROR(__xludf.DUMMYFUNCTION("""COMPUTED_VALUE"""),76)</f>
        <v>76</v>
      </c>
      <c r="E1171" s="2">
        <f ca="1">IFERROR(__xludf.DUMMYFUNCTION("""COMPUTED_VALUE"""),25500)</f>
        <v>25500</v>
      </c>
      <c r="F1171" s="2" t="str">
        <f ca="1">IFERROR(__xludf.DUMMYFUNCTION("""COMPUTED_VALUE"""),"Tinto Caroyense")</f>
        <v>Tinto Caroyense</v>
      </c>
      <c r="G1171" s="2">
        <f ca="1">IFERROR(__xludf.DUMMYFUNCTION("""COMPUTED_VALUE"""),0)</f>
        <v>0</v>
      </c>
      <c r="H1171" s="2">
        <f ca="1">IFERROR(__xludf.DUMMYFUNCTION("""COMPUTED_VALUE"""),25500)</f>
        <v>25500</v>
      </c>
      <c r="I1171" s="2"/>
      <c r="J1171" s="2"/>
      <c r="K1171" s="2" t="str">
        <f ca="1">IFERROR(__xludf.DUMMYFUNCTION("""COMPUTED_VALUE"""),"Filtrado Tang")</f>
        <v>Filtrado Tang</v>
      </c>
      <c r="L1171" s="2" t="str">
        <f ca="1">IFERROR(__xludf.DUMMYFUNCTION("""COMPUTED_VALUE"""),"1+")</f>
        <v>1+</v>
      </c>
      <c r="M1171" s="2"/>
    </row>
    <row r="1172" spans="1:13" x14ac:dyDescent="0.25">
      <c r="A1172" s="2" t="str">
        <f ca="1">IFERROR(__xludf.DUMMYFUNCTION("""COMPUTED_VALUE"""),"82553e9b")</f>
        <v>82553e9b</v>
      </c>
      <c r="B1172" s="2"/>
      <c r="C1172" s="5">
        <f ca="1">IFERROR(__xludf.DUMMYFUNCTION("""COMPUTED_VALUE"""),45909.673449074)</f>
        <v>45909.673449073998</v>
      </c>
      <c r="D1172" s="2">
        <f ca="1">IFERROR(__xludf.DUMMYFUNCTION("""COMPUTED_VALUE"""),74)</f>
        <v>74</v>
      </c>
      <c r="E1172" s="2">
        <f ca="1">IFERROR(__xludf.DUMMYFUNCTION("""COMPUTED_VALUE"""),13000)</f>
        <v>13000</v>
      </c>
      <c r="F1172" s="2" t="str">
        <f ca="1">IFERROR(__xludf.DUMMYFUNCTION("""COMPUTED_VALUE"""),"Tinto Caroyense")</f>
        <v>Tinto Caroyense</v>
      </c>
      <c r="G1172" s="2">
        <f ca="1">IFERROR(__xludf.DUMMYFUNCTION("""COMPUTED_VALUE"""),0)</f>
        <v>0</v>
      </c>
      <c r="H1172" s="2">
        <f ca="1">IFERROR(__xludf.DUMMYFUNCTION("""COMPUTED_VALUE"""),13000)</f>
        <v>13000</v>
      </c>
      <c r="I1172" s="2"/>
      <c r="J1172" s="2"/>
      <c r="K1172" s="2" t="str">
        <f ca="1">IFERROR(__xludf.DUMMYFUNCTION("""COMPUTED_VALUE"""),"Filtrado Tang")</f>
        <v>Filtrado Tang</v>
      </c>
      <c r="L1172" s="2" t="str">
        <f ca="1">IFERROR(__xludf.DUMMYFUNCTION("""COMPUTED_VALUE"""),"1+")</f>
        <v>1+</v>
      </c>
      <c r="M1172" s="2"/>
    </row>
    <row r="1173" spans="1:13" x14ac:dyDescent="0.25">
      <c r="A1173" s="2" t="str">
        <f ca="1">IFERROR(__xludf.DUMMYFUNCTION("""COMPUTED_VALUE"""),"4ecb7cfe")</f>
        <v>4ecb7cfe</v>
      </c>
      <c r="B1173" s="2"/>
      <c r="C1173" s="5">
        <f ca="1">IFERROR(__xludf.DUMMYFUNCTION("""COMPUTED_VALUE"""),45909.6756828703)</f>
        <v>45909.6756828703</v>
      </c>
      <c r="D1173" s="2">
        <f ca="1">IFERROR(__xludf.DUMMYFUNCTION("""COMPUTED_VALUE"""),87)</f>
        <v>87</v>
      </c>
      <c r="E1173" s="2">
        <f ca="1">IFERROR(__xludf.DUMMYFUNCTION("""COMPUTED_VALUE"""),93700)</f>
        <v>93700</v>
      </c>
      <c r="F1173" s="2" t="str">
        <f ca="1">IFERROR(__xludf.DUMMYFUNCTION("""COMPUTED_VALUE"""),"Syrah")</f>
        <v>Syrah</v>
      </c>
      <c r="G1173" s="2">
        <f ca="1">IFERROR(__xludf.DUMMYFUNCTION("""COMPUTED_VALUE"""),84645)</f>
        <v>84645</v>
      </c>
      <c r="H1173" s="2">
        <f ca="1">IFERROR(__xludf.DUMMYFUNCTION("""COMPUTED_VALUE"""),93700)</f>
        <v>93700</v>
      </c>
      <c r="I1173" s="2"/>
      <c r="J1173" s="2"/>
      <c r="K1173" s="2" t="str">
        <f ca="1">IFERROR(__xludf.DUMMYFUNCTION("""COMPUTED_VALUE"""),"Filtrado Tang")</f>
        <v>Filtrado Tang</v>
      </c>
      <c r="L1173" s="2" t="str">
        <f ca="1">IFERROR(__xludf.DUMMYFUNCTION("""COMPUTED_VALUE"""),"1")</f>
        <v>1</v>
      </c>
      <c r="M1173" s="2"/>
    </row>
    <row r="1174" spans="1:13" x14ac:dyDescent="0.25">
      <c r="A1174" s="2" t="str">
        <f ca="1">IFERROR(__xludf.DUMMYFUNCTION("""COMPUTED_VALUE"""),"7d3d98eb")</f>
        <v>7d3d98eb</v>
      </c>
      <c r="B1174" s="2"/>
      <c r="C1174" s="5">
        <f ca="1">IFERROR(__xludf.DUMMYFUNCTION("""COMPUTED_VALUE"""),45909.6764699073)</f>
        <v>45909.676469907397</v>
      </c>
      <c r="D1174" s="2">
        <f ca="1">IFERROR(__xludf.DUMMYFUNCTION("""COMPUTED_VALUE"""),95)</f>
        <v>95</v>
      </c>
      <c r="E1174" s="2">
        <f ca="1">IFERROR(__xludf.DUMMYFUNCTION("""COMPUTED_VALUE"""),77100)</f>
        <v>77100</v>
      </c>
      <c r="F1174" s="2" t="str">
        <f ca="1">IFERROR(__xludf.DUMMYFUNCTION("""COMPUTED_VALUE"""),"Malbec Montecepas 24")</f>
        <v>Malbec Montecepas 24</v>
      </c>
      <c r="G1174" s="2">
        <f ca="1">IFERROR(__xludf.DUMMYFUNCTION("""COMPUTED_VALUE"""),0)</f>
        <v>0</v>
      </c>
      <c r="H1174" s="2">
        <f ca="1">IFERROR(__xludf.DUMMYFUNCTION("""COMPUTED_VALUE"""),7000)</f>
        <v>7000</v>
      </c>
      <c r="I1174" s="2"/>
      <c r="J1174" s="2"/>
      <c r="K1174" s="2" t="str">
        <f ca="1">IFERROR(__xludf.DUMMYFUNCTION("""COMPUTED_VALUE"""),"Filtrado Tang")</f>
        <v>Filtrado Tang</v>
      </c>
      <c r="L1174" s="2" t="str">
        <f ca="1">IFERROR(__xludf.DUMMYFUNCTION("""COMPUTED_VALUE"""),"1+")</f>
        <v>1+</v>
      </c>
      <c r="M1174" s="2"/>
    </row>
    <row r="1175" spans="1:13" x14ac:dyDescent="0.25">
      <c r="A1175" s="2" t="str">
        <f ca="1">IFERROR(__xludf.DUMMYFUNCTION("""COMPUTED_VALUE"""),"8d1105d6")</f>
        <v>8d1105d6</v>
      </c>
      <c r="B1175" s="2"/>
      <c r="C1175" s="5">
        <f ca="1">IFERROR(__xludf.DUMMYFUNCTION("""COMPUTED_VALUE"""),45909.6771296296)</f>
        <v>45909.677129629599</v>
      </c>
      <c r="D1175" s="2">
        <f ca="1">IFERROR(__xludf.DUMMYFUNCTION("""COMPUTED_VALUE"""),95)</f>
        <v>95</v>
      </c>
      <c r="E1175" s="2">
        <f ca="1">IFERROR(__xludf.DUMMYFUNCTION("""COMPUTED_VALUE"""),77100)</f>
        <v>77100</v>
      </c>
      <c r="F1175" s="2" t="str">
        <f ca="1">IFERROR(__xludf.DUMMYFUNCTION("""COMPUTED_VALUE"""),"Malbec Bonarda Monte")</f>
        <v>Malbec Bonarda Monte</v>
      </c>
      <c r="G1175" s="2">
        <f ca="1">IFERROR(__xludf.DUMMYFUNCTION("""COMPUTED_VALUE"""),7000)</f>
        <v>7000</v>
      </c>
      <c r="H1175" s="2">
        <f ca="1">IFERROR(__xludf.DUMMYFUNCTION("""COMPUTED_VALUE"""),13545)</f>
        <v>13545</v>
      </c>
      <c r="I1175" s="2"/>
      <c r="J1175" s="2"/>
      <c r="K1175" s="2" t="str">
        <f ca="1">IFERROR(__xludf.DUMMYFUNCTION("""COMPUTED_VALUE"""),"Filtrado Tang")</f>
        <v>Filtrado Tang</v>
      </c>
      <c r="L1175" s="2" t="str">
        <f ca="1">IFERROR(__xludf.DUMMYFUNCTION("""COMPUTED_VALUE"""),"1+")</f>
        <v>1+</v>
      </c>
      <c r="M1175" s="2"/>
    </row>
    <row r="1176" spans="1:13" x14ac:dyDescent="0.25">
      <c r="A1176" s="2" t="str">
        <f ca="1">IFERROR(__xludf.DUMMYFUNCTION("""COMPUTED_VALUE"""),"b8260d1d")</f>
        <v>b8260d1d</v>
      </c>
      <c r="B1176" s="2"/>
      <c r="C1176" s="5">
        <f ca="1">IFERROR(__xludf.DUMMYFUNCTION("""COMPUTED_VALUE"""),45909.684074074)</f>
        <v>45909.684074074001</v>
      </c>
      <c r="D1176" s="2">
        <f ca="1">IFERROR(__xludf.DUMMYFUNCTION("""COMPUTED_VALUE"""),95)</f>
        <v>95</v>
      </c>
      <c r="E1176" s="2">
        <f ca="1">IFERROR(__xludf.DUMMYFUNCTION("""COMPUTED_VALUE"""),77100)</f>
        <v>77100</v>
      </c>
      <c r="F1176" s="2" t="str">
        <f ca="1">IFERROR(__xludf.DUMMYFUNCTION("""COMPUTED_VALUE"""),"Bonarda")</f>
        <v>Bonarda</v>
      </c>
      <c r="G1176" s="2">
        <f ca="1">IFERROR(__xludf.DUMMYFUNCTION("""COMPUTED_VALUE"""),13545)</f>
        <v>13545</v>
      </c>
      <c r="H1176" s="2">
        <f ca="1">IFERROR(__xludf.DUMMYFUNCTION("""COMPUTED_VALUE"""),49445)</f>
        <v>49445</v>
      </c>
      <c r="I1176" s="2"/>
      <c r="J1176" s="2"/>
      <c r="K1176" s="2" t="str">
        <f ca="1">IFERROR(__xludf.DUMMYFUNCTION("""COMPUTED_VALUE"""),"Filtrado Tang")</f>
        <v>Filtrado Tang</v>
      </c>
      <c r="L1176" s="2" t="str">
        <f ca="1">IFERROR(__xludf.DUMMYFUNCTION("""COMPUTED_VALUE"""),"1+")</f>
        <v>1+</v>
      </c>
      <c r="M1176" s="2"/>
    </row>
    <row r="1177" spans="1:13" x14ac:dyDescent="0.25">
      <c r="A1177" s="2" t="str">
        <f ca="1">IFERROR(__xludf.DUMMYFUNCTION("""COMPUTED_VALUE"""),"f0de3c6a")</f>
        <v>f0de3c6a</v>
      </c>
      <c r="B1177" s="2"/>
      <c r="C1177" s="5">
        <f ca="1">IFERROR(__xludf.DUMMYFUNCTION("""COMPUTED_VALUE"""),45910.6636689814)</f>
        <v>45910.663668981397</v>
      </c>
      <c r="D1177" s="2">
        <f ca="1">IFERROR(__xludf.DUMMYFUNCTION("""COMPUTED_VALUE"""),95)</f>
        <v>95</v>
      </c>
      <c r="E1177" s="2">
        <f ca="1">IFERROR(__xludf.DUMMYFUNCTION("""COMPUTED_VALUE"""),77100)</f>
        <v>77100</v>
      </c>
      <c r="F1177" s="2" t="str">
        <f ca="1">IFERROR(__xludf.DUMMYFUNCTION("""COMPUTED_VALUE"""),"Bonarda")</f>
        <v>Bonarda</v>
      </c>
      <c r="G1177" s="2">
        <f ca="1">IFERROR(__xludf.DUMMYFUNCTION("""COMPUTED_VALUE"""),49445)</f>
        <v>49445</v>
      </c>
      <c r="H1177" s="2">
        <f ca="1">IFERROR(__xludf.DUMMYFUNCTION("""COMPUTED_VALUE"""),72345)</f>
        <v>72345</v>
      </c>
      <c r="I1177" s="2"/>
      <c r="J1177" s="2"/>
      <c r="K1177" s="2" t="str">
        <f ca="1">IFERROR(__xludf.DUMMYFUNCTION("""COMPUTED_VALUE"""),"Filtrado Tang")</f>
        <v>Filtrado Tang</v>
      </c>
      <c r="L1177" s="2" t="str">
        <f ca="1">IFERROR(__xludf.DUMMYFUNCTION("""COMPUTED_VALUE"""),"1+")</f>
        <v>1+</v>
      </c>
      <c r="M1177" s="2"/>
    </row>
    <row r="1178" spans="1:13" x14ac:dyDescent="0.25">
      <c r="A1178" s="2" t="str">
        <f ca="1">IFERROR(__xludf.DUMMYFUNCTION("""COMPUTED_VALUE"""),"3817159a")</f>
        <v>3817159a</v>
      </c>
      <c r="B1178" s="2"/>
      <c r="C1178" s="5">
        <f ca="1">IFERROR(__xludf.DUMMYFUNCTION("""COMPUTED_VALUE"""),45910.7404050925)</f>
        <v>45910.740405092503</v>
      </c>
      <c r="D1178" s="2">
        <f ca="1">IFERROR(__xludf.DUMMYFUNCTION("""COMPUTED_VALUE"""),95)</f>
        <v>95</v>
      </c>
      <c r="E1178" s="2">
        <f ca="1">IFERROR(__xludf.DUMMYFUNCTION("""COMPUTED_VALUE"""),77100)</f>
        <v>77100</v>
      </c>
      <c r="F1178" s="2" t="str">
        <f ca="1">IFERROR(__xludf.DUMMYFUNCTION("""COMPUTED_VALUE"""),"Bonarda")</f>
        <v>Bonarda</v>
      </c>
      <c r="G1178" s="2">
        <f ca="1">IFERROR(__xludf.DUMMYFUNCTION("""COMPUTED_VALUE"""),72345)</f>
        <v>72345</v>
      </c>
      <c r="H1178" s="2">
        <f ca="1">IFERROR(__xludf.DUMMYFUNCTION("""COMPUTED_VALUE"""),77100)</f>
        <v>77100</v>
      </c>
      <c r="I1178" s="2"/>
      <c r="J1178" s="2"/>
      <c r="K1178" s="2" t="str">
        <f ca="1">IFERROR(__xludf.DUMMYFUNCTION("""COMPUTED_VALUE"""),"Filtrado Tang")</f>
        <v>Filtrado Tang</v>
      </c>
      <c r="L1178" s="2" t="str">
        <f ca="1">IFERROR(__xludf.DUMMYFUNCTION("""COMPUTED_VALUE"""),"1+")</f>
        <v>1+</v>
      </c>
      <c r="M1178" s="2"/>
    </row>
    <row r="1179" spans="1:13" x14ac:dyDescent="0.25">
      <c r="A1179" s="2" t="str">
        <f ca="1">IFERROR(__xludf.DUMMYFUNCTION("""COMPUTED_VALUE"""),"6c8e752a")</f>
        <v>6c8e752a</v>
      </c>
      <c r="B1179" s="2"/>
      <c r="C1179" s="5">
        <f ca="1">IFERROR(__xludf.DUMMYFUNCTION("""COMPUTED_VALUE"""),45910.7410300925)</f>
        <v>45910.741030092497</v>
      </c>
      <c r="D1179" s="2">
        <f ca="1">IFERROR(__xludf.DUMMYFUNCTION("""COMPUTED_VALUE"""),50)</f>
        <v>50</v>
      </c>
      <c r="E1179" s="2">
        <f ca="1">IFERROR(__xludf.DUMMYFUNCTION("""COMPUTED_VALUE"""),5100)</f>
        <v>5100</v>
      </c>
      <c r="F1179" s="2" t="str">
        <f ca="1">IFERROR(__xludf.DUMMYFUNCTION("""COMPUTED_VALUE"""),"Syrah")</f>
        <v>Syrah</v>
      </c>
      <c r="G1179" s="2">
        <f ca="1">IFERROR(__xludf.DUMMYFUNCTION("""COMPUTED_VALUE"""),1950)</f>
        <v>1950</v>
      </c>
      <c r="H1179" s="2">
        <f ca="1">IFERROR(__xludf.DUMMYFUNCTION("""COMPUTED_VALUE"""),3895)</f>
        <v>3895</v>
      </c>
      <c r="I1179" s="2"/>
      <c r="J1179" s="2"/>
      <c r="K1179" s="2" t="str">
        <f ca="1">IFERROR(__xludf.DUMMYFUNCTION("""COMPUTED_VALUE"""),"2do Trasiego")</f>
        <v>2do Trasiego</v>
      </c>
      <c r="L1179" s="2" t="str">
        <f ca="1">IFERROR(__xludf.DUMMYFUNCTION("""COMPUTED_VALUE"""),"1")</f>
        <v>1</v>
      </c>
      <c r="M1179" s="2"/>
    </row>
    <row r="1180" spans="1:13" x14ac:dyDescent="0.25">
      <c r="A1180" s="2" t="str">
        <f ca="1">IFERROR(__xludf.DUMMYFUNCTION("""COMPUTED_VALUE"""),"84f483bd")</f>
        <v>84f483bd</v>
      </c>
      <c r="B1180" s="2"/>
      <c r="C1180" s="5">
        <f ca="1">IFERROR(__xludf.DUMMYFUNCTION("""COMPUTED_VALUE"""),45911.4546643518)</f>
        <v>45911.454664351797</v>
      </c>
      <c r="D1180" s="2">
        <f ca="1">IFERROR(__xludf.DUMMYFUNCTION("""COMPUTED_VALUE"""),50)</f>
        <v>50</v>
      </c>
      <c r="E1180" s="2">
        <f ca="1">IFERROR(__xludf.DUMMYFUNCTION("""COMPUTED_VALUE"""),5100)</f>
        <v>5100</v>
      </c>
      <c r="F1180" s="2" t="str">
        <f ca="1">IFERROR(__xludf.DUMMYFUNCTION("""COMPUTED_VALUE"""),"Syrah")</f>
        <v>Syrah</v>
      </c>
      <c r="G1180" s="2">
        <f ca="1">IFERROR(__xludf.DUMMYFUNCTION("""COMPUTED_VALUE"""),3895)</f>
        <v>3895</v>
      </c>
      <c r="H1180" s="2">
        <f ca="1">IFERROR(__xludf.DUMMYFUNCTION("""COMPUTED_VALUE"""),5100)</f>
        <v>5100</v>
      </c>
      <c r="I1180" s="2"/>
      <c r="J1180" s="2"/>
      <c r="K1180" s="2" t="str">
        <f ca="1">IFERROR(__xludf.DUMMYFUNCTION("""COMPUTED_VALUE"""),"Filtrado Tang")</f>
        <v>Filtrado Tang</v>
      </c>
      <c r="L1180" s="2" t="str">
        <f ca="1">IFERROR(__xludf.DUMMYFUNCTION("""COMPUTED_VALUE"""),"1")</f>
        <v>1</v>
      </c>
      <c r="M1180" s="2"/>
    </row>
    <row r="1181" spans="1:13" x14ac:dyDescent="0.25">
      <c r="A1181" s="2" t="str">
        <f ca="1">IFERROR(__xludf.DUMMYFUNCTION("""COMPUTED_VALUE"""),"c205e72b")</f>
        <v>c205e72b</v>
      </c>
      <c r="B1181" s="2"/>
      <c r="C1181" s="5">
        <f ca="1">IFERROR(__xludf.DUMMYFUNCTION("""COMPUTED_VALUE"""),45911.4549537037)</f>
        <v>45911.454953703702</v>
      </c>
      <c r="D1181" s="2">
        <f ca="1">IFERROR(__xludf.DUMMYFUNCTION("""COMPUTED_VALUE"""),46)</f>
        <v>46</v>
      </c>
      <c r="E1181" s="2">
        <f ca="1">IFERROR(__xludf.DUMMYFUNCTION("""COMPUTED_VALUE"""),29000)</f>
        <v>29000</v>
      </c>
      <c r="F1181" s="2" t="str">
        <f ca="1">IFERROR(__xludf.DUMMYFUNCTION("""COMPUTED_VALUE"""),"Bonarda")</f>
        <v>Bonarda</v>
      </c>
      <c r="G1181" s="2">
        <f ca="1">IFERROR(__xludf.DUMMYFUNCTION("""COMPUTED_VALUE"""),0)</f>
        <v>0</v>
      </c>
      <c r="H1181" s="2">
        <f ca="1">IFERROR(__xludf.DUMMYFUNCTION("""COMPUTED_VALUE"""),29000)</f>
        <v>29000</v>
      </c>
      <c r="I1181" s="2"/>
      <c r="J1181" s="2"/>
      <c r="K1181" s="2" t="str">
        <f ca="1">IFERROR(__xludf.DUMMYFUNCTION("""COMPUTED_VALUE"""),"Filtrado Tang")</f>
        <v>Filtrado Tang</v>
      </c>
      <c r="L1181" s="2" t="str">
        <f ca="1">IFERROR(__xludf.DUMMYFUNCTION("""COMPUTED_VALUE"""),"1+")</f>
        <v>1+</v>
      </c>
      <c r="M1181" s="2" t="str">
        <f ca="1">IFERROR(__xludf.DUMMYFUNCTION("""COMPUTED_VALUE"""),"Tinto")</f>
        <v>Tinto</v>
      </c>
    </row>
    <row r="1182" spans="1:13" x14ac:dyDescent="0.25">
      <c r="A1182" s="2" t="str">
        <f ca="1">IFERROR(__xludf.DUMMYFUNCTION("""COMPUTED_VALUE"""),"a2a6a2b9")</f>
        <v>a2a6a2b9</v>
      </c>
      <c r="B1182" s="2"/>
      <c r="C1182" s="5">
        <f ca="1">IFERROR(__xludf.DUMMYFUNCTION("""COMPUTED_VALUE"""),45911.4560879629)</f>
        <v>45911.456087962899</v>
      </c>
      <c r="D1182" s="2">
        <f ca="1">IFERROR(__xludf.DUMMYFUNCTION("""COMPUTED_VALUE"""),92)</f>
        <v>92</v>
      </c>
      <c r="E1182" s="2">
        <f ca="1">IFERROR(__xludf.DUMMYFUNCTION("""COMPUTED_VALUE"""),76000)</f>
        <v>76000</v>
      </c>
      <c r="F1182" s="2" t="str">
        <f ca="1">IFERROR(__xludf.DUMMYFUNCTION("""COMPUTED_VALUE"""),"Bonarda")</f>
        <v>Bonarda</v>
      </c>
      <c r="G1182" s="2">
        <f ca="1">IFERROR(__xludf.DUMMYFUNCTION("""COMPUTED_VALUE"""),0)</f>
        <v>0</v>
      </c>
      <c r="H1182" s="2">
        <f ca="1">IFERROR(__xludf.DUMMYFUNCTION("""COMPUTED_VALUE"""),795)</f>
        <v>795</v>
      </c>
      <c r="I1182" s="2"/>
      <c r="J1182" s="2"/>
      <c r="K1182" s="2" t="str">
        <f ca="1">IFERROR(__xludf.DUMMYFUNCTION("""COMPUTED_VALUE"""),"Filtrado Tang")</f>
        <v>Filtrado Tang</v>
      </c>
      <c r="L1182" s="2" t="str">
        <f ca="1">IFERROR(__xludf.DUMMYFUNCTION("""COMPUTED_VALUE"""),"1+")</f>
        <v>1+</v>
      </c>
      <c r="M1182" s="2"/>
    </row>
    <row r="1183" spans="1:13" x14ac:dyDescent="0.25">
      <c r="A1183" s="2" t="str">
        <f ca="1">IFERROR(__xludf.DUMMYFUNCTION("""COMPUTED_VALUE"""),"02c07273")</f>
        <v>02c07273</v>
      </c>
      <c r="B1183" s="2"/>
      <c r="C1183" s="5">
        <f ca="1">IFERROR(__xludf.DUMMYFUNCTION("""COMPUTED_VALUE"""),45911.4565046296)</f>
        <v>45911.456504629597</v>
      </c>
      <c r="D1183" s="2">
        <f ca="1">IFERROR(__xludf.DUMMYFUNCTION("""COMPUTED_VALUE"""),92)</f>
        <v>92</v>
      </c>
      <c r="E1183" s="2">
        <f ca="1">IFERROR(__xludf.DUMMYFUNCTION("""COMPUTED_VALUE"""),76000)</f>
        <v>76000</v>
      </c>
      <c r="F1183" s="2" t="str">
        <f ca="1">IFERROR(__xludf.DUMMYFUNCTION("""COMPUTED_VALUE"""),"Anccelotta")</f>
        <v>Anccelotta</v>
      </c>
      <c r="G1183" s="2">
        <f ca="1">IFERROR(__xludf.DUMMYFUNCTION("""COMPUTED_VALUE"""),795)</f>
        <v>795</v>
      </c>
      <c r="H1183" s="2">
        <f ca="1">IFERROR(__xludf.DUMMYFUNCTION("""COMPUTED_VALUE"""),23795)</f>
        <v>23795</v>
      </c>
      <c r="I1183" s="2"/>
      <c r="J1183" s="2"/>
      <c r="K1183" s="2" t="str">
        <f ca="1">IFERROR(__xludf.DUMMYFUNCTION("""COMPUTED_VALUE"""),"Filtrado Tang")</f>
        <v>Filtrado Tang</v>
      </c>
      <c r="L1183" s="2" t="str">
        <f ca="1">IFERROR(__xludf.DUMMYFUNCTION("""COMPUTED_VALUE"""),"1-")</f>
        <v>1-</v>
      </c>
      <c r="M1183" s="2"/>
    </row>
    <row r="1184" spans="1:13" x14ac:dyDescent="0.25">
      <c r="A1184" s="2" t="str">
        <f ca="1">IFERROR(__xludf.DUMMYFUNCTION("""COMPUTED_VALUE"""),"b8c6e35d")</f>
        <v>b8c6e35d</v>
      </c>
      <c r="B1184" s="2"/>
      <c r="C1184" s="5">
        <f ca="1">IFERROR(__xludf.DUMMYFUNCTION("""COMPUTED_VALUE"""),45911.4571643518)</f>
        <v>45911.457164351799</v>
      </c>
      <c r="D1184" s="2">
        <f ca="1">IFERROR(__xludf.DUMMYFUNCTION("""COMPUTED_VALUE"""),92)</f>
        <v>92</v>
      </c>
      <c r="E1184" s="2">
        <f ca="1">IFERROR(__xludf.DUMMYFUNCTION("""COMPUTED_VALUE"""),76000)</f>
        <v>76000</v>
      </c>
      <c r="F1184" s="2" t="str">
        <f ca="1">IFERROR(__xludf.DUMMYFUNCTION("""COMPUTED_VALUE"""),"Anccelotta Aspirant")</f>
        <v>Anccelotta Aspirant</v>
      </c>
      <c r="G1184" s="2">
        <f ca="1">IFERROR(__xludf.DUMMYFUNCTION("""COMPUTED_VALUE"""),23795)</f>
        <v>23795</v>
      </c>
      <c r="H1184" s="2">
        <f ca="1">IFERROR(__xludf.DUMMYFUNCTION("""COMPUTED_VALUE"""),60795)</f>
        <v>60795</v>
      </c>
      <c r="I1184" s="2"/>
      <c r="J1184" s="2"/>
      <c r="K1184" s="2" t="str">
        <f ca="1">IFERROR(__xludf.DUMMYFUNCTION("""COMPUTED_VALUE"""),"Filtrado Tang")</f>
        <v>Filtrado Tang</v>
      </c>
      <c r="L1184" s="2" t="str">
        <f ca="1">IFERROR(__xludf.DUMMYFUNCTION("""COMPUTED_VALUE"""),"1-")</f>
        <v>1-</v>
      </c>
      <c r="M1184" s="2"/>
    </row>
    <row r="1185" spans="1:13" x14ac:dyDescent="0.25">
      <c r="A1185" s="2" t="str">
        <f ca="1">IFERROR(__xludf.DUMMYFUNCTION("""COMPUTED_VALUE"""),"3669b5de")</f>
        <v>3669b5de</v>
      </c>
      <c r="B1185" s="2"/>
      <c r="C1185" s="5">
        <f ca="1">IFERROR(__xludf.DUMMYFUNCTION("""COMPUTED_VALUE"""),45911.5300925925)</f>
        <v>45911.530092592497</v>
      </c>
      <c r="D1185" s="2">
        <f ca="1">IFERROR(__xludf.DUMMYFUNCTION("""COMPUTED_VALUE"""),500)</f>
        <v>500</v>
      </c>
      <c r="E1185" s="2">
        <f ca="1">IFERROR(__xludf.DUMMYFUNCTION("""COMPUTED_VALUE"""),200000)</f>
        <v>200000</v>
      </c>
      <c r="F1185" s="2" t="str">
        <f ca="1">IFERROR(__xludf.DUMMYFUNCTION("""COMPUTED_VALUE"""),"Tinto Caroyense - Traslado")</f>
        <v>Tinto Caroyense - Traslado</v>
      </c>
      <c r="G1185" s="2">
        <f ca="1">IFERROR(__xludf.DUMMYFUNCTION("""COMPUTED_VALUE"""),0)</f>
        <v>0</v>
      </c>
      <c r="H1185" s="2">
        <f ca="1">IFERROR(__xludf.DUMMYFUNCTION("""COMPUTED_VALUE"""),13000)</f>
        <v>13000</v>
      </c>
      <c r="I1185" s="2"/>
      <c r="J1185" s="2"/>
      <c r="K1185" s="2" t="str">
        <f ca="1">IFERROR(__xludf.DUMMYFUNCTION("""COMPUTED_VALUE"""),"Traslado Venta")</f>
        <v>Traslado Venta</v>
      </c>
      <c r="L1185" s="2" t="str">
        <f ca="1">IFERROR(__xludf.DUMMYFUNCTION("""COMPUTED_VALUE"""),"1+")</f>
        <v>1+</v>
      </c>
      <c r="M1185" s="2"/>
    </row>
    <row r="1186" spans="1:13" x14ac:dyDescent="0.25">
      <c r="A1186" s="2" t="str">
        <f ca="1">IFERROR(__xludf.DUMMYFUNCTION("""COMPUTED_VALUE"""),"dfcd9aa9")</f>
        <v>dfcd9aa9</v>
      </c>
      <c r="B1186" s="2"/>
      <c r="C1186" s="5">
        <f ca="1">IFERROR(__xludf.DUMMYFUNCTION("""COMPUTED_VALUE"""),45911.5306481481)</f>
        <v>45911.530648148102</v>
      </c>
      <c r="D1186" s="2">
        <f ca="1">IFERROR(__xludf.DUMMYFUNCTION("""COMPUTED_VALUE"""),500)</f>
        <v>500</v>
      </c>
      <c r="E1186" s="2">
        <f ca="1">IFERROR(__xludf.DUMMYFUNCTION("""COMPUTED_VALUE"""),200000)</f>
        <v>200000</v>
      </c>
      <c r="F1186" s="2" t="str">
        <f ca="1">IFERROR(__xludf.DUMMYFUNCTION("""COMPUTED_VALUE"""),"Tinto Caroyense - Traslado")</f>
        <v>Tinto Caroyense - Traslado</v>
      </c>
      <c r="G1186" s="2">
        <f ca="1">IFERROR(__xludf.DUMMYFUNCTION("""COMPUTED_VALUE"""),13000)</f>
        <v>13000</v>
      </c>
      <c r="H1186" s="2">
        <f ca="1">IFERROR(__xludf.DUMMYFUNCTION("""COMPUTED_VALUE"""),36600)</f>
        <v>36600</v>
      </c>
      <c r="I1186" s="2"/>
      <c r="J1186" s="2"/>
      <c r="K1186" s="2" t="str">
        <f ca="1">IFERROR(__xludf.DUMMYFUNCTION("""COMPUTED_VALUE"""),"Traslado Venta")</f>
        <v>Traslado Venta</v>
      </c>
      <c r="L1186" s="2" t="str">
        <f ca="1">IFERROR(__xludf.DUMMYFUNCTION("""COMPUTED_VALUE"""),"1+")</f>
        <v>1+</v>
      </c>
      <c r="M1186" s="2"/>
    </row>
    <row r="1187" spans="1:13" x14ac:dyDescent="0.25">
      <c r="A1187" s="2" t="str">
        <f ca="1">IFERROR(__xludf.DUMMYFUNCTION("""COMPUTED_VALUE"""),"2a30273c")</f>
        <v>2a30273c</v>
      </c>
      <c r="B1187" s="2"/>
      <c r="C1187" s="5">
        <f ca="1">IFERROR(__xludf.DUMMYFUNCTION("""COMPUTED_VALUE"""),45911.5309606481)</f>
        <v>45911.530960648102</v>
      </c>
      <c r="D1187" s="2">
        <f ca="1">IFERROR(__xludf.DUMMYFUNCTION("""COMPUTED_VALUE"""),118)</f>
        <v>118</v>
      </c>
      <c r="E1187" s="2">
        <f ca="1">IFERROR(__xludf.DUMMYFUNCTION("""COMPUTED_VALUE"""),155600)</f>
        <v>155600</v>
      </c>
      <c r="F1187" s="2" t="str">
        <f ca="1">IFERROR(__xludf.DUMMYFUNCTION("""COMPUTED_VALUE"""),"Tinto")</f>
        <v>Tinto</v>
      </c>
      <c r="G1187" s="2">
        <f ca="1">IFERROR(__xludf.DUMMYFUNCTION("""COMPUTED_VALUE"""),117100)</f>
        <v>117100</v>
      </c>
      <c r="H1187" s="2">
        <f ca="1">IFERROR(__xludf.DUMMYFUNCTION("""COMPUTED_VALUE"""),119000)</f>
        <v>119000</v>
      </c>
      <c r="I1187" s="2"/>
      <c r="J1187" s="2"/>
      <c r="K1187" s="2" t="str">
        <f ca="1">IFERROR(__xludf.DUMMYFUNCTION("""COMPUTED_VALUE"""),"2do Trasiego")</f>
        <v>2do Trasiego</v>
      </c>
      <c r="L1187" s="2" t="str">
        <f ca="1">IFERROR(__xludf.DUMMYFUNCTION("""COMPUTED_VALUE"""),"1+")</f>
        <v>1+</v>
      </c>
      <c r="M1187" s="2"/>
    </row>
    <row r="1188" spans="1:13" x14ac:dyDescent="0.25">
      <c r="A1188" s="2" t="str">
        <f ca="1">IFERROR(__xludf.DUMMYFUNCTION("""COMPUTED_VALUE"""),"44fc8cef")</f>
        <v>44fc8cef</v>
      </c>
      <c r="B1188" s="2"/>
      <c r="C1188" s="5">
        <f ca="1">IFERROR(__xludf.DUMMYFUNCTION("""COMPUTED_VALUE"""),45912.719386574)</f>
        <v>45912.719386573997</v>
      </c>
      <c r="D1188" s="2">
        <f ca="1">IFERROR(__xludf.DUMMYFUNCTION("""COMPUTED_VALUE"""),500)</f>
        <v>500</v>
      </c>
      <c r="E1188" s="2">
        <f ca="1">IFERROR(__xludf.DUMMYFUNCTION("""COMPUTED_VALUE"""),200000)</f>
        <v>200000</v>
      </c>
      <c r="F1188" s="2" t="str">
        <f ca="1">IFERROR(__xludf.DUMMYFUNCTION("""COMPUTED_VALUE"""),"Tinto Traslado Almabras")</f>
        <v>Tinto Traslado Almabras</v>
      </c>
      <c r="G1188" s="2">
        <f ca="1">IFERROR(__xludf.DUMMYFUNCTION("""COMPUTED_VALUE"""),0)</f>
        <v>0</v>
      </c>
      <c r="H1188" s="2">
        <f ca="1">IFERROR(__xludf.DUMMYFUNCTION("""COMPUTED_VALUE"""),119000)</f>
        <v>119000</v>
      </c>
      <c r="I1188" s="2"/>
      <c r="J1188" s="2"/>
      <c r="K1188" s="2" t="str">
        <f ca="1">IFERROR(__xludf.DUMMYFUNCTION("""COMPUTED_VALUE"""),"2do Trasiego")</f>
        <v>2do Trasiego</v>
      </c>
      <c r="L1188" s="2" t="str">
        <f ca="1">IFERROR(__xludf.DUMMYFUNCTION("""COMPUTED_VALUE"""),"1+")</f>
        <v>1+</v>
      </c>
      <c r="M1188" s="2"/>
    </row>
    <row r="1189" spans="1:13" x14ac:dyDescent="0.25">
      <c r="A1189" s="2" t="str">
        <f ca="1">IFERROR(__xludf.DUMMYFUNCTION("""COMPUTED_VALUE"""),"18e218b5")</f>
        <v>18e218b5</v>
      </c>
      <c r="B1189" s="2"/>
      <c r="C1189" s="5">
        <f ca="1">IFERROR(__xludf.DUMMYFUNCTION("""COMPUTED_VALUE"""),45912.7199768518)</f>
        <v>45912.719976851797</v>
      </c>
      <c r="D1189" s="2">
        <f ca="1">IFERROR(__xludf.DUMMYFUNCTION("""COMPUTED_VALUE"""),500)</f>
        <v>500</v>
      </c>
      <c r="E1189" s="2">
        <f ca="1">IFERROR(__xludf.DUMMYFUNCTION("""COMPUTED_VALUE"""),200000)</f>
        <v>200000</v>
      </c>
      <c r="F1189" s="2" t="str">
        <f ca="1">IFERROR(__xludf.DUMMYFUNCTION("""COMPUTED_VALUE"""),"Tinto Traslado Almabras")</f>
        <v>Tinto Traslado Almabras</v>
      </c>
      <c r="G1189" s="2">
        <f ca="1">IFERROR(__xludf.DUMMYFUNCTION("""COMPUTED_VALUE"""),119000)</f>
        <v>119000</v>
      </c>
      <c r="H1189" s="2">
        <f ca="1">IFERROR(__xludf.DUMMYFUNCTION("""COMPUTED_VALUE"""),121700)</f>
        <v>121700</v>
      </c>
      <c r="I1189" s="2"/>
      <c r="J1189" s="2"/>
      <c r="K1189" s="2" t="str">
        <f ca="1">IFERROR(__xludf.DUMMYFUNCTION("""COMPUTED_VALUE"""),"2do Trasiego")</f>
        <v>2do Trasiego</v>
      </c>
      <c r="L1189" s="2" t="str">
        <f ca="1">IFERROR(__xludf.DUMMYFUNCTION("""COMPUTED_VALUE"""),"1+")</f>
        <v>1+</v>
      </c>
      <c r="M1189" s="2"/>
    </row>
    <row r="1190" spans="1:13" x14ac:dyDescent="0.25">
      <c r="A1190" s="2" t="str">
        <f ca="1">IFERROR(__xludf.DUMMYFUNCTION("""COMPUTED_VALUE"""),"f04b5872")</f>
        <v>f04b5872</v>
      </c>
      <c r="B1190" s="2"/>
      <c r="C1190" s="5">
        <f ca="1">IFERROR(__xludf.DUMMYFUNCTION("""COMPUTED_VALUE"""),45918.5280555555)</f>
        <v>45918.5280555555</v>
      </c>
      <c r="D1190" s="2">
        <f ca="1">IFERROR(__xludf.DUMMYFUNCTION("""COMPUTED_VALUE"""),26)</f>
        <v>26</v>
      </c>
      <c r="E1190" s="2">
        <f ca="1">IFERROR(__xludf.DUMMYFUNCTION("""COMPUTED_VALUE"""),207600)</f>
        <v>207600</v>
      </c>
      <c r="F1190" s="2" t="str">
        <f ca="1">IFERROR(__xludf.DUMMYFUNCTION("""COMPUTED_VALUE"""),"Malbec")</f>
        <v>Malbec</v>
      </c>
      <c r="G1190" s="2">
        <f ca="1">IFERROR(__xludf.DUMMYFUNCTION("""COMPUTED_VALUE"""),0)</f>
        <v>0</v>
      </c>
      <c r="H1190" s="2">
        <f ca="1">IFERROR(__xludf.DUMMYFUNCTION("""COMPUTED_VALUE"""),52000)</f>
        <v>52000</v>
      </c>
      <c r="I1190" s="2"/>
      <c r="J1190" s="2"/>
      <c r="K1190" s="2" t="str">
        <f ca="1">IFERROR(__xludf.DUMMYFUNCTION("""COMPUTED_VALUE"""),"Filtrado Tang")</f>
        <v>Filtrado Tang</v>
      </c>
      <c r="L1190" s="2" t="str">
        <f ca="1">IFERROR(__xludf.DUMMYFUNCTION("""COMPUTED_VALUE"""),"1+")</f>
        <v>1+</v>
      </c>
      <c r="M1190" s="2"/>
    </row>
    <row r="1191" spans="1:13" x14ac:dyDescent="0.25">
      <c r="A1191" s="2" t="str">
        <f ca="1">IFERROR(__xludf.DUMMYFUNCTION("""COMPUTED_VALUE"""),"113a60bd")</f>
        <v>113a60bd</v>
      </c>
      <c r="B1191" s="2"/>
      <c r="C1191" s="5">
        <f ca="1">IFERROR(__xludf.DUMMYFUNCTION("""COMPUTED_VALUE"""),45918.5285532406)</f>
        <v>45918.5285532407</v>
      </c>
      <c r="D1191" s="2">
        <f ca="1">IFERROR(__xludf.DUMMYFUNCTION("""COMPUTED_VALUE"""),26)</f>
        <v>26</v>
      </c>
      <c r="E1191" s="2">
        <f ca="1">IFERROR(__xludf.DUMMYFUNCTION("""COMPUTED_VALUE"""),207600)</f>
        <v>207600</v>
      </c>
      <c r="F1191" s="2" t="str">
        <f ca="1">IFERROR(__xludf.DUMMYFUNCTION("""COMPUTED_VALUE"""),"Malbec")</f>
        <v>Malbec</v>
      </c>
      <c r="G1191" s="2">
        <f ca="1">IFERROR(__xludf.DUMMYFUNCTION("""COMPUTED_VALUE"""),52000)</f>
        <v>52000</v>
      </c>
      <c r="H1191" s="2">
        <f ca="1">IFERROR(__xludf.DUMMYFUNCTION("""COMPUTED_VALUE"""),129100)</f>
        <v>129100</v>
      </c>
      <c r="I1191" s="2"/>
      <c r="J1191" s="2"/>
      <c r="K1191" s="2" t="str">
        <f ca="1">IFERROR(__xludf.DUMMYFUNCTION("""COMPUTED_VALUE"""),"Filtrado Tang")</f>
        <v>Filtrado Tang</v>
      </c>
      <c r="L1191" s="2" t="str">
        <f ca="1">IFERROR(__xludf.DUMMYFUNCTION("""COMPUTED_VALUE"""),"1+")</f>
        <v>1+</v>
      </c>
      <c r="M1191" s="2"/>
    </row>
    <row r="1192" spans="1:13" x14ac:dyDescent="0.25">
      <c r="A1192" s="2" t="str">
        <f ca="1">IFERROR(__xludf.DUMMYFUNCTION("""COMPUTED_VALUE"""),"242455c6")</f>
        <v>242455c6</v>
      </c>
      <c r="B1192" s="2"/>
      <c r="C1192" s="5">
        <f ca="1">IFERROR(__xludf.DUMMYFUNCTION("""COMPUTED_VALUE"""),45918.5289583333)</f>
        <v>45918.5289583333</v>
      </c>
      <c r="D1192" s="2">
        <f ca="1">IFERROR(__xludf.DUMMYFUNCTION("""COMPUTED_VALUE"""),26)</f>
        <v>26</v>
      </c>
      <c r="E1192" s="2">
        <f ca="1">IFERROR(__xludf.DUMMYFUNCTION("""COMPUTED_VALUE"""),207600)</f>
        <v>207600</v>
      </c>
      <c r="F1192" s="2" t="str">
        <f ca="1">IFERROR(__xludf.DUMMYFUNCTION("""COMPUTED_VALUE"""),"Malbec")</f>
        <v>Malbec</v>
      </c>
      <c r="G1192" s="2">
        <f ca="1">IFERROR(__xludf.DUMMYFUNCTION("""COMPUTED_VALUE"""),129100)</f>
        <v>129100</v>
      </c>
      <c r="H1192" s="2">
        <f ca="1">IFERROR(__xludf.DUMMYFUNCTION("""COMPUTED_VALUE"""),207600)</f>
        <v>207600</v>
      </c>
      <c r="I1192" s="2"/>
      <c r="J1192" s="2"/>
      <c r="K1192" s="2" t="str">
        <f ca="1">IFERROR(__xludf.DUMMYFUNCTION("""COMPUTED_VALUE"""),"Filtrado Tang")</f>
        <v>Filtrado Tang</v>
      </c>
      <c r="L1192" s="2" t="str">
        <f ca="1">IFERROR(__xludf.DUMMYFUNCTION("""COMPUTED_VALUE"""),"1+")</f>
        <v>1+</v>
      </c>
      <c r="M1192" s="2"/>
    </row>
    <row r="1193" spans="1:13" x14ac:dyDescent="0.25">
      <c r="A1193" s="2" t="str">
        <f ca="1">IFERROR(__xludf.DUMMYFUNCTION("""COMPUTED_VALUE"""),"3a99e2de")</f>
        <v>3a99e2de</v>
      </c>
      <c r="B1193" s="2"/>
      <c r="C1193" s="5">
        <f ca="1">IFERROR(__xludf.DUMMYFUNCTION("""COMPUTED_VALUE"""),45919.4669791666)</f>
        <v>45919.466979166602</v>
      </c>
      <c r="D1193" s="2">
        <f ca="1">IFERROR(__xludf.DUMMYFUNCTION("""COMPUTED_VALUE"""),95)</f>
        <v>95</v>
      </c>
      <c r="E1193" s="2">
        <f ca="1">IFERROR(__xludf.DUMMYFUNCTION("""COMPUTED_VALUE"""),77100)</f>
        <v>77100</v>
      </c>
      <c r="F1193" s="2" t="str">
        <f ca="1">IFERROR(__xludf.DUMMYFUNCTION("""COMPUTED_VALUE"""),"Syrah")</f>
        <v>Syrah</v>
      </c>
      <c r="G1193" s="2">
        <f ca="1">IFERROR(__xludf.DUMMYFUNCTION("""COMPUTED_VALUE"""),0)</f>
        <v>0</v>
      </c>
      <c r="H1193" s="2">
        <f ca="1">IFERROR(__xludf.DUMMYFUNCTION("""COMPUTED_VALUE"""),41700)</f>
        <v>41700</v>
      </c>
      <c r="I1193" s="2"/>
      <c r="J1193" s="2"/>
      <c r="K1193" s="2" t="str">
        <f ca="1">IFERROR(__xludf.DUMMYFUNCTION("""COMPUTED_VALUE"""),"Filtrado Tang")</f>
        <v>Filtrado Tang</v>
      </c>
      <c r="L1193" s="2" t="str">
        <f ca="1">IFERROR(__xludf.DUMMYFUNCTION("""COMPUTED_VALUE"""),"1")</f>
        <v>1</v>
      </c>
      <c r="M1193" s="2"/>
    </row>
    <row r="1194" spans="1:13" x14ac:dyDescent="0.25">
      <c r="A1194" s="2" t="str">
        <f ca="1">IFERROR(__xludf.DUMMYFUNCTION("""COMPUTED_VALUE"""),"83dc62c7")</f>
        <v>83dc62c7</v>
      </c>
      <c r="B1194" s="2"/>
      <c r="C1194" s="5">
        <f ca="1">IFERROR(__xludf.DUMMYFUNCTION("""COMPUTED_VALUE"""),45919.4680439814)</f>
        <v>45919.468043981396</v>
      </c>
      <c r="D1194" s="2">
        <f ca="1">IFERROR(__xludf.DUMMYFUNCTION("""COMPUTED_VALUE"""),95)</f>
        <v>95</v>
      </c>
      <c r="E1194" s="2">
        <f ca="1">IFERROR(__xludf.DUMMYFUNCTION("""COMPUTED_VALUE"""),77100)</f>
        <v>77100</v>
      </c>
      <c r="F1194" s="2" t="str">
        <f ca="1">IFERROR(__xludf.DUMMYFUNCTION("""COMPUTED_VALUE"""),"Malbec")</f>
        <v>Malbec</v>
      </c>
      <c r="G1194" s="2">
        <f ca="1">IFERROR(__xludf.DUMMYFUNCTION("""COMPUTED_VALUE"""),41700)</f>
        <v>41700</v>
      </c>
      <c r="H1194" s="2">
        <f ca="1">IFERROR(__xludf.DUMMYFUNCTION("""COMPUTED_VALUE"""),77100)</f>
        <v>77100</v>
      </c>
      <c r="I1194" s="2" t="str">
        <f ca="1">IFERROR(__xludf.DUMMYFUNCTION("""COMPUTED_VALUE"""),"Antes estaba como Syrah")</f>
        <v>Antes estaba como Syrah</v>
      </c>
      <c r="J1194" s="2"/>
      <c r="K1194" s="2" t="str">
        <f ca="1">IFERROR(__xludf.DUMMYFUNCTION("""COMPUTED_VALUE"""),"Filtrado Tang")</f>
        <v>Filtrado Tang</v>
      </c>
      <c r="L1194" s="2" t="str">
        <f ca="1">IFERROR(__xludf.DUMMYFUNCTION("""COMPUTED_VALUE"""),"1")</f>
        <v>1</v>
      </c>
      <c r="M1194" s="2" t="str">
        <f ca="1">IFERROR(__xludf.DUMMYFUNCTION("""COMPUTED_VALUE"""),"Tinto")</f>
        <v>Tinto</v>
      </c>
    </row>
    <row r="1195" spans="1:13" x14ac:dyDescent="0.25">
      <c r="A1195" s="2" t="str">
        <f ca="1">IFERROR(__xludf.DUMMYFUNCTION("""COMPUTED_VALUE"""),"f56d94be")</f>
        <v>f56d94be</v>
      </c>
      <c r="B1195" s="2"/>
      <c r="C1195" s="5">
        <f ca="1">IFERROR(__xludf.DUMMYFUNCTION("""COMPUTED_VALUE"""),45919.471412037)</f>
        <v>45919.471412036997</v>
      </c>
      <c r="D1195" s="2">
        <f ca="1">IFERROR(__xludf.DUMMYFUNCTION("""COMPUTED_VALUE"""),92)</f>
        <v>92</v>
      </c>
      <c r="E1195" s="2">
        <f ca="1">IFERROR(__xludf.DUMMYFUNCTION("""COMPUTED_VALUE"""),76000)</f>
        <v>76000</v>
      </c>
      <c r="F1195" s="2" t="str">
        <f ca="1">IFERROR(__xludf.DUMMYFUNCTION("""COMPUTED_VALUE"""),"Anccelotta Aspirant")</f>
        <v>Anccelotta Aspirant</v>
      </c>
      <c r="G1195" s="2">
        <f ca="1">IFERROR(__xludf.DUMMYFUNCTION("""COMPUTED_VALUE"""),60795)</f>
        <v>60795</v>
      </c>
      <c r="H1195" s="2">
        <f ca="1">IFERROR(__xludf.DUMMYFUNCTION("""COMPUTED_VALUE"""),73795)</f>
        <v>73795</v>
      </c>
      <c r="I1195" s="2"/>
      <c r="J1195" s="2"/>
      <c r="K1195" s="2" t="str">
        <f ca="1">IFERROR(__xludf.DUMMYFUNCTION("""COMPUTED_VALUE"""),"Filtrado Tang")</f>
        <v>Filtrado Tang</v>
      </c>
      <c r="L1195" s="2" t="str">
        <f ca="1">IFERROR(__xludf.DUMMYFUNCTION("""COMPUTED_VALUE"""),"1-")</f>
        <v>1-</v>
      </c>
      <c r="M1195" s="2"/>
    </row>
    <row r="1196" spans="1:13" x14ac:dyDescent="0.25">
      <c r="A1196" s="2" t="str">
        <f ca="1">IFERROR(__xludf.DUMMYFUNCTION("""COMPUTED_VALUE"""),"98de285d")</f>
        <v>98de285d</v>
      </c>
      <c r="B1196" s="2"/>
      <c r="C1196" s="5">
        <f ca="1">IFERROR(__xludf.DUMMYFUNCTION("""COMPUTED_VALUE"""),45919.4721643518)</f>
        <v>45919.472164351799</v>
      </c>
      <c r="D1196" s="2">
        <f ca="1">IFERROR(__xludf.DUMMYFUNCTION("""COMPUTED_VALUE"""),92)</f>
        <v>92</v>
      </c>
      <c r="E1196" s="2">
        <f ca="1">IFERROR(__xludf.DUMMYFUNCTION("""COMPUTED_VALUE"""),76000)</f>
        <v>76000</v>
      </c>
      <c r="F1196" s="2" t="str">
        <f ca="1">IFERROR(__xludf.DUMMYFUNCTION("""COMPUTED_VALUE"""),"Anccelotta Aspirant")</f>
        <v>Anccelotta Aspirant</v>
      </c>
      <c r="G1196" s="2">
        <f ca="1">IFERROR(__xludf.DUMMYFUNCTION("""COMPUTED_VALUE"""),73795)</f>
        <v>73795</v>
      </c>
      <c r="H1196" s="2">
        <f ca="1">IFERROR(__xludf.DUMMYFUNCTION("""COMPUTED_VALUE"""),76000)</f>
        <v>76000</v>
      </c>
      <c r="I1196" s="2"/>
      <c r="J1196" s="2"/>
      <c r="K1196" s="2" t="str">
        <f ca="1">IFERROR(__xludf.DUMMYFUNCTION("""COMPUTED_VALUE"""),"Filtrado Tang")</f>
        <v>Filtrado Tang</v>
      </c>
      <c r="L1196" s="2" t="str">
        <f ca="1">IFERROR(__xludf.DUMMYFUNCTION("""COMPUTED_VALUE"""),"1-")</f>
        <v>1-</v>
      </c>
      <c r="M1196" s="2" t="str">
        <f ca="1">IFERROR(__xludf.DUMMYFUNCTION("""COMPUTED_VALUE"""),"Tinto")</f>
        <v>Tinto</v>
      </c>
    </row>
    <row r="1197" spans="1:13" x14ac:dyDescent="0.25">
      <c r="A1197" s="2" t="str">
        <f ca="1">IFERROR(__xludf.DUMMYFUNCTION("""COMPUTED_VALUE"""),"bb76a106")</f>
        <v>bb76a106</v>
      </c>
      <c r="B1197" s="2"/>
      <c r="C1197" s="5">
        <f ca="1">IFERROR(__xludf.DUMMYFUNCTION("""COMPUTED_VALUE"""),45919.4800462962)</f>
        <v>45919.480046296201</v>
      </c>
      <c r="D1197" s="2">
        <f ca="1">IFERROR(__xludf.DUMMYFUNCTION("""COMPUTED_VALUE"""),500)</f>
        <v>500</v>
      </c>
      <c r="E1197" s="2">
        <f ca="1">IFERROR(__xludf.DUMMYFUNCTION("""COMPUTED_VALUE"""),200000)</f>
        <v>200000</v>
      </c>
      <c r="F1197" s="2" t="str">
        <f ca="1">IFERROR(__xludf.DUMMYFUNCTION("""COMPUTED_VALUE"""),"Tinto Traslado Almabras")</f>
        <v>Tinto Traslado Almabras</v>
      </c>
      <c r="G1197" s="2">
        <f ca="1">IFERROR(__xludf.DUMMYFUNCTION("""COMPUTED_VALUE"""),121700)</f>
        <v>121700</v>
      </c>
      <c r="H1197" s="2">
        <f ca="1">IFERROR(__xludf.DUMMYFUNCTION("""COMPUTED_VALUE"""),124100)</f>
        <v>124100</v>
      </c>
      <c r="I1197" s="2"/>
      <c r="J1197" s="2"/>
      <c r="K1197" s="2" t="str">
        <f ca="1">IFERROR(__xludf.DUMMYFUNCTION("""COMPUTED_VALUE"""),"Traslado Venta")</f>
        <v>Traslado Venta</v>
      </c>
      <c r="L1197" s="2" t="str">
        <f ca="1">IFERROR(__xludf.DUMMYFUNCTION("""COMPUTED_VALUE"""),"1+")</f>
        <v>1+</v>
      </c>
      <c r="M1197" s="2"/>
    </row>
    <row r="1198" spans="1:13" x14ac:dyDescent="0.25">
      <c r="A1198" s="2" t="str">
        <f ca="1">IFERROR(__xludf.DUMMYFUNCTION("""COMPUTED_VALUE"""),"ffcf4de6")</f>
        <v>ffcf4de6</v>
      </c>
      <c r="B1198" s="2"/>
      <c r="C1198" s="5">
        <f ca="1">IFERROR(__xludf.DUMMYFUNCTION("""COMPUTED_VALUE"""),45919.4814814814)</f>
        <v>45919.481481481402</v>
      </c>
      <c r="D1198" s="2">
        <f ca="1">IFERROR(__xludf.DUMMYFUNCTION("""COMPUTED_VALUE"""),50)</f>
        <v>50</v>
      </c>
      <c r="E1198" s="2">
        <f ca="1">IFERROR(__xludf.DUMMYFUNCTION("""COMPUTED_VALUE"""),5100)</f>
        <v>5100</v>
      </c>
      <c r="F1198" s="2" t="str">
        <f ca="1">IFERROR(__xludf.DUMMYFUNCTION("""COMPUTED_VALUE"""),"Aspirant 24")</f>
        <v>Aspirant 24</v>
      </c>
      <c r="G1198" s="2">
        <f ca="1">IFERROR(__xludf.DUMMYFUNCTION("""COMPUTED_VALUE"""),0)</f>
        <v>0</v>
      </c>
      <c r="H1198" s="2">
        <f ca="1">IFERROR(__xludf.DUMMYFUNCTION("""COMPUTED_VALUE"""),5100)</f>
        <v>5100</v>
      </c>
      <c r="I1198" s="2" t="str">
        <f ca="1">IFERROR(__xludf.DUMMYFUNCTION("""COMPUTED_VALUE"""),"este lo probamos con Genaro")</f>
        <v>este lo probamos con Genaro</v>
      </c>
      <c r="J1198" s="2"/>
      <c r="K1198" s="2" t="str">
        <f ca="1">IFERROR(__xludf.DUMMYFUNCTION("""COMPUTED_VALUE"""),"Filtrado Tang")</f>
        <v>Filtrado Tang</v>
      </c>
      <c r="L1198" s="2" t="str">
        <f ca="1">IFERROR(__xludf.DUMMYFUNCTION("""COMPUTED_VALUE"""),"2+")</f>
        <v>2+</v>
      </c>
      <c r="M1198" s="2"/>
    </row>
    <row r="1199" spans="1:13" x14ac:dyDescent="0.25">
      <c r="A1199" s="2" t="str">
        <f ca="1">IFERROR(__xludf.DUMMYFUNCTION("""COMPUTED_VALUE"""),"b14f6c87")</f>
        <v>b14f6c87</v>
      </c>
      <c r="B1199" s="2"/>
      <c r="C1199" s="5">
        <f ca="1">IFERROR(__xludf.DUMMYFUNCTION("""COMPUTED_VALUE"""),45919.4816435185)</f>
        <v>45919.481643518498</v>
      </c>
      <c r="D1199" s="2">
        <f ca="1">IFERROR(__xludf.DUMMYFUNCTION("""COMPUTED_VALUE"""),51)</f>
        <v>51</v>
      </c>
      <c r="E1199" s="2">
        <f ca="1">IFERROR(__xludf.DUMMYFUNCTION("""COMPUTED_VALUE"""),3900)</f>
        <v>3900</v>
      </c>
      <c r="F1199" s="2" t="str">
        <f ca="1">IFERROR(__xludf.DUMMYFUNCTION("""COMPUTED_VALUE"""),"Aspirant 24")</f>
        <v>Aspirant 24</v>
      </c>
      <c r="G1199" s="2">
        <f ca="1">IFERROR(__xludf.DUMMYFUNCTION("""COMPUTED_VALUE"""),0)</f>
        <v>0</v>
      </c>
      <c r="H1199" s="2">
        <f ca="1">IFERROR(__xludf.DUMMYFUNCTION("""COMPUTED_VALUE"""),3695)</f>
        <v>3695</v>
      </c>
      <c r="I1199" s="2"/>
      <c r="J1199" s="2"/>
      <c r="K1199" s="2" t="str">
        <f ca="1">IFERROR(__xludf.DUMMYFUNCTION("""COMPUTED_VALUE"""),"Filtrado Tang")</f>
        <v>Filtrado Tang</v>
      </c>
      <c r="L1199" s="2"/>
      <c r="M1199" s="2"/>
    </row>
    <row r="1200" spans="1:13" x14ac:dyDescent="0.25">
      <c r="A1200" s="2" t="str">
        <f ca="1">IFERROR(__xludf.DUMMYFUNCTION("""COMPUTED_VALUE"""),"e0180365")</f>
        <v>e0180365</v>
      </c>
      <c r="B1200" s="2"/>
      <c r="C1200" s="5">
        <f ca="1">IFERROR(__xludf.DUMMYFUNCTION("""COMPUTED_VALUE"""),45924.5493981481)</f>
        <v>45924.549398148098</v>
      </c>
      <c r="D1200" s="2">
        <f ca="1">IFERROR(__xludf.DUMMYFUNCTION("""COMPUTED_VALUE"""),500)</f>
        <v>500</v>
      </c>
      <c r="E1200" s="2">
        <f ca="1">IFERROR(__xludf.DUMMYFUNCTION("""COMPUTED_VALUE"""),200000)</f>
        <v>200000</v>
      </c>
      <c r="F1200" s="2" t="str">
        <f ca="1">IFERROR(__xludf.DUMMYFUNCTION("""COMPUTED_VALUE"""),"Malbec Arizu traslado")</f>
        <v>Malbec Arizu traslado</v>
      </c>
      <c r="G1200" s="2">
        <f ca="1">IFERROR(__xludf.DUMMYFUNCTION("""COMPUTED_VALUE"""),0)</f>
        <v>0</v>
      </c>
      <c r="H1200" s="2">
        <f ca="1">IFERROR(__xludf.DUMMYFUNCTION("""COMPUTED_VALUE"""),84000)</f>
        <v>84000</v>
      </c>
      <c r="I1200" s="2"/>
      <c r="J1200" s="2"/>
      <c r="K1200" s="2" t="str">
        <f ca="1">IFERROR(__xludf.DUMMYFUNCTION("""COMPUTED_VALUE"""),"Traslado Venta")</f>
        <v>Traslado Venta</v>
      </c>
      <c r="L1200" s="2" t="str">
        <f ca="1">IFERROR(__xludf.DUMMYFUNCTION("""COMPUTED_VALUE"""),"1+")</f>
        <v>1+</v>
      </c>
      <c r="M1200" s="2"/>
    </row>
    <row r="1201" spans="1:13" x14ac:dyDescent="0.25">
      <c r="A1201" s="2" t="str">
        <f ca="1">IFERROR(__xludf.DUMMYFUNCTION("""COMPUTED_VALUE"""),"5c576664")</f>
        <v>5c576664</v>
      </c>
      <c r="B1201" s="2"/>
      <c r="C1201" s="5">
        <f ca="1">IFERROR(__xludf.DUMMYFUNCTION("""COMPUTED_VALUE"""),45924.5505555555)</f>
        <v>45924.550555555499</v>
      </c>
      <c r="D1201" s="2">
        <f ca="1">IFERROR(__xludf.DUMMYFUNCTION("""COMPUTED_VALUE"""),115)</f>
        <v>115</v>
      </c>
      <c r="E1201" s="2">
        <f ca="1">IFERROR(__xludf.DUMMYFUNCTION("""COMPUTED_VALUE"""),120200)</f>
        <v>120200</v>
      </c>
      <c r="F1201" s="2" t="str">
        <f ca="1">IFERROR(__xludf.DUMMYFUNCTION("""COMPUTED_VALUE"""),"Malbec")</f>
        <v>Malbec</v>
      </c>
      <c r="G1201" s="2">
        <f ca="1">IFERROR(__xludf.DUMMYFUNCTION("""COMPUTED_VALUE"""),0)</f>
        <v>0</v>
      </c>
      <c r="H1201" s="2">
        <f ca="1">IFERROR(__xludf.DUMMYFUNCTION("""COMPUTED_VALUE"""),120200)</f>
        <v>120200</v>
      </c>
      <c r="I1201" s="2"/>
      <c r="J1201" s="2"/>
      <c r="K1201" s="2" t="str">
        <f ca="1">IFERROR(__xludf.DUMMYFUNCTION("""COMPUTED_VALUE"""),"Filtrado Tang")</f>
        <v>Filtrado Tang</v>
      </c>
      <c r="L1201" s="2" t="str">
        <f ca="1">IFERROR(__xludf.DUMMYFUNCTION("""COMPUTED_VALUE"""),"1+")</f>
        <v>1+</v>
      </c>
      <c r="M1201" s="2"/>
    </row>
    <row r="1202" spans="1:13" x14ac:dyDescent="0.25">
      <c r="A1202" s="2" t="str">
        <f ca="1">IFERROR(__xludf.DUMMYFUNCTION("""COMPUTED_VALUE"""),"7471d673")</f>
        <v>7471d673</v>
      </c>
      <c r="B1202" s="2"/>
      <c r="C1202" s="5">
        <f ca="1">IFERROR(__xludf.DUMMYFUNCTION("""COMPUTED_VALUE"""),45924.5520601851)</f>
        <v>45924.552060185102</v>
      </c>
      <c r="D1202" s="2">
        <f ca="1">IFERROR(__xludf.DUMMYFUNCTION("""COMPUTED_VALUE"""),6)</f>
        <v>6</v>
      </c>
      <c r="E1202" s="2">
        <f ca="1">IFERROR(__xludf.DUMMYFUNCTION("""COMPUTED_VALUE"""),32000)</f>
        <v>32000</v>
      </c>
      <c r="F1202" s="2" t="str">
        <f ca="1">IFERROR(__xludf.DUMMYFUNCTION("""COMPUTED_VALUE"""),"Cabernet Sauvignon")</f>
        <v>Cabernet Sauvignon</v>
      </c>
      <c r="G1202" s="2">
        <f ca="1">IFERROR(__xludf.DUMMYFUNCTION("""COMPUTED_VALUE"""),0)</f>
        <v>0</v>
      </c>
      <c r="H1202" s="2">
        <f ca="1">IFERROR(__xludf.DUMMYFUNCTION("""COMPUTED_VALUE"""),32000)</f>
        <v>32000</v>
      </c>
      <c r="I1202" s="2"/>
      <c r="J1202" s="2"/>
      <c r="K1202" s="2" t="str">
        <f ca="1">IFERROR(__xludf.DUMMYFUNCTION("""COMPUTED_VALUE"""),"Rectificado")</f>
        <v>Rectificado</v>
      </c>
      <c r="L1202" s="2" t="str">
        <f ca="1">IFERROR(__xludf.DUMMYFUNCTION("""COMPUTED_VALUE"""),"1")</f>
        <v>1</v>
      </c>
      <c r="M1202" s="2"/>
    </row>
    <row r="1203" spans="1:13" x14ac:dyDescent="0.25">
      <c r="A1203" s="2" t="str">
        <f ca="1">IFERROR(__xludf.DUMMYFUNCTION("""COMPUTED_VALUE"""),"42250e4d")</f>
        <v>42250e4d</v>
      </c>
      <c r="B1203" s="2"/>
      <c r="C1203" s="5">
        <f ca="1">IFERROR(__xludf.DUMMYFUNCTION("""COMPUTED_VALUE"""),45924.5522453703)</f>
        <v>45924.552245370302</v>
      </c>
      <c r="D1203" s="2">
        <f ca="1">IFERROR(__xludf.DUMMYFUNCTION("""COMPUTED_VALUE"""),7)</f>
        <v>7</v>
      </c>
      <c r="E1203" s="2">
        <f ca="1">IFERROR(__xludf.DUMMYFUNCTION("""COMPUTED_VALUE"""),30000)</f>
        <v>30000</v>
      </c>
      <c r="F1203" s="2" t="str">
        <f ca="1">IFERROR(__xludf.DUMMYFUNCTION("""COMPUTED_VALUE"""),"Cabernet Sauvignon")</f>
        <v>Cabernet Sauvignon</v>
      </c>
      <c r="G1203" s="2">
        <f ca="1">IFERROR(__xludf.DUMMYFUNCTION("""COMPUTED_VALUE"""),0)</f>
        <v>0</v>
      </c>
      <c r="H1203" s="2">
        <f ca="1">IFERROR(__xludf.DUMMYFUNCTION("""COMPUTED_VALUE"""),3500)</f>
        <v>3500</v>
      </c>
      <c r="I1203" s="2"/>
      <c r="J1203" s="2"/>
      <c r="K1203" s="2" t="str">
        <f ca="1">IFERROR(__xludf.DUMMYFUNCTION("""COMPUTED_VALUE"""),"Rectificado")</f>
        <v>Rectificado</v>
      </c>
      <c r="L1203" s="2" t="str">
        <f ca="1">IFERROR(__xludf.DUMMYFUNCTION("""COMPUTED_VALUE"""),"1")</f>
        <v>1</v>
      </c>
      <c r="M1203" s="2"/>
    </row>
    <row r="1204" spans="1:13" x14ac:dyDescent="0.25">
      <c r="A1204" s="2" t="str">
        <f ca="1">IFERROR(__xludf.DUMMYFUNCTION("""COMPUTED_VALUE"""),"83110987")</f>
        <v>83110987</v>
      </c>
      <c r="B1204" s="2"/>
      <c r="C1204" s="5">
        <f ca="1">IFERROR(__xludf.DUMMYFUNCTION("""COMPUTED_VALUE"""),45924.552511574)</f>
        <v>45924.552511574002</v>
      </c>
      <c r="D1204" s="2">
        <f ca="1">IFERROR(__xludf.DUMMYFUNCTION("""COMPUTED_VALUE"""),7)</f>
        <v>7</v>
      </c>
      <c r="E1204" s="2">
        <f ca="1">IFERROR(__xludf.DUMMYFUNCTION("""COMPUTED_VALUE"""),30000)</f>
        <v>30000</v>
      </c>
      <c r="F1204" s="2" t="str">
        <f ca="1">IFERROR(__xludf.DUMMYFUNCTION("""COMPUTED_VALUE"""),"Cabernet Sauvignon")</f>
        <v>Cabernet Sauvignon</v>
      </c>
      <c r="G1204" s="2">
        <f ca="1">IFERROR(__xludf.DUMMYFUNCTION("""COMPUTED_VALUE"""),3500)</f>
        <v>3500</v>
      </c>
      <c r="H1204" s="2">
        <f ca="1">IFERROR(__xludf.DUMMYFUNCTION("""COMPUTED_VALUE"""),6900)</f>
        <v>6900</v>
      </c>
      <c r="I1204" s="2"/>
      <c r="J1204" s="2"/>
      <c r="K1204" s="2" t="str">
        <f ca="1">IFERROR(__xludf.DUMMYFUNCTION("""COMPUTED_VALUE"""),"Rectificado")</f>
        <v>Rectificado</v>
      </c>
      <c r="L1204" s="2" t="str">
        <f ca="1">IFERROR(__xludf.DUMMYFUNCTION("""COMPUTED_VALUE"""),"1")</f>
        <v>1</v>
      </c>
      <c r="M1204" s="2"/>
    </row>
    <row r="1205" spans="1:13" x14ac:dyDescent="0.25">
      <c r="A1205" s="2" t="str">
        <f ca="1">IFERROR(__xludf.DUMMYFUNCTION("""COMPUTED_VALUE"""),"bf5eb775")</f>
        <v>bf5eb775</v>
      </c>
      <c r="B1205" s="2"/>
      <c r="C1205" s="5">
        <f ca="1">IFERROR(__xludf.DUMMYFUNCTION("""COMPUTED_VALUE"""),45924.552824074)</f>
        <v>45924.552824074002</v>
      </c>
      <c r="D1205" s="2">
        <f ca="1">IFERROR(__xludf.DUMMYFUNCTION("""COMPUTED_VALUE"""),7)</f>
        <v>7</v>
      </c>
      <c r="E1205" s="2">
        <f ca="1">IFERROR(__xludf.DUMMYFUNCTION("""COMPUTED_VALUE"""),30000)</f>
        <v>30000</v>
      </c>
      <c r="F1205" s="2" t="str">
        <f ca="1">IFERROR(__xludf.DUMMYFUNCTION("""COMPUTED_VALUE"""),"Malbec Rect")</f>
        <v>Malbec Rect</v>
      </c>
      <c r="G1205" s="2">
        <f ca="1">IFERROR(__xludf.DUMMYFUNCTION("""COMPUTED_VALUE"""),6900)</f>
        <v>6900</v>
      </c>
      <c r="H1205" s="2">
        <f ca="1">IFERROR(__xludf.DUMMYFUNCTION("""COMPUTED_VALUE"""),30000)</f>
        <v>30000</v>
      </c>
      <c r="I1205" s="2"/>
      <c r="J1205" s="2"/>
      <c r="K1205" s="2" t="str">
        <f ca="1">IFERROR(__xludf.DUMMYFUNCTION("""COMPUTED_VALUE"""),"Rectificado")</f>
        <v>Rectificado</v>
      </c>
      <c r="L1205" s="2" t="str">
        <f ca="1">IFERROR(__xludf.DUMMYFUNCTION("""COMPUTED_VALUE"""),"1")</f>
        <v>1</v>
      </c>
      <c r="M1205" s="2" t="str">
        <f ca="1">IFERROR(__xludf.DUMMYFUNCTION("""COMPUTED_VALUE"""),"Tinto")</f>
        <v>Tinto</v>
      </c>
    </row>
    <row r="1206" spans="1:13" x14ac:dyDescent="0.25">
      <c r="A1206" s="2" t="str">
        <f ca="1">IFERROR(__xludf.DUMMYFUNCTION("""COMPUTED_VALUE"""),"baafd29f")</f>
        <v>baafd29f</v>
      </c>
      <c r="B1206" s="2"/>
      <c r="C1206" s="5">
        <f ca="1">IFERROR(__xludf.DUMMYFUNCTION("""COMPUTED_VALUE"""),45924.5532407407)</f>
        <v>45924.553240740701</v>
      </c>
      <c r="D1206" s="2">
        <f ca="1">IFERROR(__xludf.DUMMYFUNCTION("""COMPUTED_VALUE"""),45)</f>
        <v>45</v>
      </c>
      <c r="E1206" s="2">
        <f ca="1">IFERROR(__xludf.DUMMYFUNCTION("""COMPUTED_VALUE"""),30000)</f>
        <v>30000</v>
      </c>
      <c r="F1206" s="2" t="str">
        <f ca="1">IFERROR(__xludf.DUMMYFUNCTION("""COMPUTED_VALUE"""),"Malbec")</f>
        <v>Malbec</v>
      </c>
      <c r="G1206" s="2">
        <f ca="1">IFERROR(__xludf.DUMMYFUNCTION("""COMPUTED_VALUE"""),0)</f>
        <v>0</v>
      </c>
      <c r="H1206" s="2">
        <f ca="1">IFERROR(__xludf.DUMMYFUNCTION("""COMPUTED_VALUE"""),10000)</f>
        <v>10000</v>
      </c>
      <c r="I1206" s="2"/>
      <c r="J1206" s="2"/>
      <c r="K1206" s="2" t="str">
        <f ca="1">IFERROR(__xludf.DUMMYFUNCTION("""COMPUTED_VALUE"""),"Rectificado")</f>
        <v>Rectificado</v>
      </c>
      <c r="L1206" s="2" t="str">
        <f ca="1">IFERROR(__xludf.DUMMYFUNCTION("""COMPUTED_VALUE"""),"2+")</f>
        <v>2+</v>
      </c>
      <c r="M1206" s="2"/>
    </row>
    <row r="1207" spans="1:13" x14ac:dyDescent="0.25">
      <c r="A1207" s="2" t="str">
        <f ca="1">IFERROR(__xludf.DUMMYFUNCTION("""COMPUTED_VALUE"""),"cdc2548e")</f>
        <v>cdc2548e</v>
      </c>
      <c r="B1207" s="2"/>
      <c r="C1207" s="5">
        <f ca="1">IFERROR(__xludf.DUMMYFUNCTION("""COMPUTED_VALUE"""),45929.7022916666)</f>
        <v>45929.702291666603</v>
      </c>
      <c r="D1207" s="2">
        <f ca="1">IFERROR(__xludf.DUMMYFUNCTION("""COMPUTED_VALUE"""),500)</f>
        <v>500</v>
      </c>
      <c r="E1207" s="2">
        <f ca="1">IFERROR(__xludf.DUMMYFUNCTION("""COMPUTED_VALUE"""),200000)</f>
        <v>200000</v>
      </c>
      <c r="F1207" s="2" t="str">
        <f ca="1">IFERROR(__xludf.DUMMYFUNCTION("""COMPUTED_VALUE"""),"Tanat traslado Belasco")</f>
        <v>Tanat traslado Belasco</v>
      </c>
      <c r="G1207" s="2">
        <f ca="1">IFERROR(__xludf.DUMMYFUNCTION("""COMPUTED_VALUE"""),0)</f>
        <v>0</v>
      </c>
      <c r="H1207" s="2">
        <f ca="1">IFERROR(__xludf.DUMMYFUNCTION("""COMPUTED_VALUE"""),4000)</f>
        <v>4000</v>
      </c>
      <c r="I1207" s="2"/>
      <c r="J1207" s="2"/>
      <c r="K1207" s="2" t="str">
        <f ca="1">IFERROR(__xludf.DUMMYFUNCTION("""COMPUTED_VALUE"""),"Traslado Venta")</f>
        <v>Traslado Venta</v>
      </c>
      <c r="L1207" s="2"/>
      <c r="M1207" s="2"/>
    </row>
    <row r="1208" spans="1:13" x14ac:dyDescent="0.25">
      <c r="A1208" s="2" t="str">
        <f ca="1">IFERROR(__xludf.DUMMYFUNCTION("""COMPUTED_VALUE"""),"65f2cddd")</f>
        <v>65f2cddd</v>
      </c>
      <c r="B1208" s="2"/>
      <c r="C1208" s="5">
        <f ca="1">IFERROR(__xludf.DUMMYFUNCTION("""COMPUTED_VALUE"""),45929.7073726851)</f>
        <v>45929.707372685101</v>
      </c>
      <c r="D1208" s="2">
        <f ca="1">IFERROR(__xludf.DUMMYFUNCTION("""COMPUTED_VALUE"""),500)</f>
        <v>500</v>
      </c>
      <c r="E1208" s="2">
        <f ca="1">IFERROR(__xludf.DUMMYFUNCTION("""COMPUTED_VALUE"""),200000)</f>
        <v>200000</v>
      </c>
      <c r="F1208" s="2" t="str">
        <f ca="1">IFERROR(__xludf.DUMMYFUNCTION("""COMPUTED_VALUE"""),"Cabernet Sauvignon traslado Belasco")</f>
        <v>Cabernet Sauvignon traslado Belasco</v>
      </c>
      <c r="G1208" s="2">
        <f ca="1">IFERROR(__xludf.DUMMYFUNCTION("""COMPUTED_VALUE"""),0)</f>
        <v>0</v>
      </c>
      <c r="H1208" s="2">
        <f ca="1">IFERROR(__xludf.DUMMYFUNCTION("""COMPUTED_VALUE"""),8500)</f>
        <v>8500</v>
      </c>
      <c r="I1208" s="2"/>
      <c r="J1208" s="2"/>
      <c r="K1208" s="2" t="str">
        <f ca="1">IFERROR(__xludf.DUMMYFUNCTION("""COMPUTED_VALUE"""),"Traslado Venta")</f>
        <v>Traslado Venta</v>
      </c>
      <c r="L1208" s="2" t="str">
        <f ca="1">IFERROR(__xludf.DUMMYFUNCTION("""COMPUTED_VALUE"""),"1")</f>
        <v>1</v>
      </c>
      <c r="M1208" s="2"/>
    </row>
    <row r="1209" spans="1:13" x14ac:dyDescent="0.25">
      <c r="A1209" s="2" t="str">
        <f ca="1">IFERROR(__xludf.DUMMYFUNCTION("""COMPUTED_VALUE"""),"e454d4b3")</f>
        <v>e454d4b3</v>
      </c>
      <c r="B1209" s="2"/>
      <c r="C1209" s="5">
        <f ca="1">IFERROR(__xludf.DUMMYFUNCTION("""COMPUTED_VALUE"""),45929.7080555555)</f>
        <v>45929.7080555555</v>
      </c>
      <c r="D1209" s="2">
        <f ca="1">IFERROR(__xludf.DUMMYFUNCTION("""COMPUTED_VALUE"""),76)</f>
        <v>76</v>
      </c>
      <c r="E1209" s="2">
        <f ca="1">IFERROR(__xludf.DUMMYFUNCTION("""COMPUTED_VALUE"""),25500)</f>
        <v>25500</v>
      </c>
      <c r="F1209" s="2" t="str">
        <f ca="1">IFERROR(__xludf.DUMMYFUNCTION("""COMPUTED_VALUE"""),"Tannat venta ARIZU")</f>
        <v>Tannat venta ARIZU</v>
      </c>
      <c r="G1209" s="2">
        <f ca="1">IFERROR(__xludf.DUMMYFUNCTION("""COMPUTED_VALUE"""),0)</f>
        <v>0</v>
      </c>
      <c r="H1209" s="2">
        <f ca="1">IFERROR(__xludf.DUMMYFUNCTION("""COMPUTED_VALUE"""),25500)</f>
        <v>25500</v>
      </c>
      <c r="I1209" s="2"/>
      <c r="J1209" s="2"/>
      <c r="K1209" s="2" t="str">
        <f ca="1">IFERROR(__xludf.DUMMYFUNCTION("""COMPUTED_VALUE"""),"Traslado Venta")</f>
        <v>Traslado Venta</v>
      </c>
      <c r="L1209" s="2" t="str">
        <f ca="1">IFERROR(__xludf.DUMMYFUNCTION("""COMPUTED_VALUE"""),"1")</f>
        <v>1</v>
      </c>
      <c r="M1209" s="2" t="str">
        <f ca="1">IFERROR(__xludf.DUMMYFUNCTION("""COMPUTED_VALUE"""),"Tinto")</f>
        <v>Tinto</v>
      </c>
    </row>
    <row r="1210" spans="1:13" x14ac:dyDescent="0.25">
      <c r="A1210" s="2" t="str">
        <f ca="1">IFERROR(__xludf.DUMMYFUNCTION("""COMPUTED_VALUE"""),"cdfb4c74")</f>
        <v>cdfb4c74</v>
      </c>
      <c r="B1210" s="2"/>
      <c r="C1210" s="5">
        <f ca="1">IFERROR(__xludf.DUMMYFUNCTION("""COMPUTED_VALUE"""),45929.7085185185)</f>
        <v>45929.708518518499</v>
      </c>
      <c r="D1210" s="2">
        <f ca="1">IFERROR(__xludf.DUMMYFUNCTION("""COMPUTED_VALUE"""),74)</f>
        <v>74</v>
      </c>
      <c r="E1210" s="2">
        <f ca="1">IFERROR(__xludf.DUMMYFUNCTION("""COMPUTED_VALUE"""),13000)</f>
        <v>13000</v>
      </c>
      <c r="F1210" s="2" t="str">
        <f ca="1">IFERROR(__xludf.DUMMYFUNCTION("""COMPUTED_VALUE"""),"Cabernet Sauvignon")</f>
        <v>Cabernet Sauvignon</v>
      </c>
      <c r="G1210" s="2">
        <f ca="1">IFERROR(__xludf.DUMMYFUNCTION("""COMPUTED_VALUE"""),0)</f>
        <v>0</v>
      </c>
      <c r="H1210" s="2">
        <f ca="1">IFERROR(__xludf.DUMMYFUNCTION("""COMPUTED_VALUE"""),13000)</f>
        <v>13000</v>
      </c>
      <c r="I1210" s="2" t="str">
        <f ca="1">IFERROR(__xludf.DUMMYFUNCTION("""COMPUTED_VALUE"""),"26/12 la degustamos y tenia paño.  Vimos que tiene bajo SO2")</f>
        <v>26/12 la degustamos y tenia paño.  Vimos que tiene bajo SO2</v>
      </c>
      <c r="J1210" s="2"/>
      <c r="K1210" s="2" t="str">
        <f ca="1">IFERROR(__xludf.DUMMYFUNCTION("""COMPUTED_VALUE"""),"Filtrado Tang")</f>
        <v>Filtrado Tang</v>
      </c>
      <c r="L1210" s="2" t="str">
        <f ca="1">IFERROR(__xludf.DUMMYFUNCTION("""COMPUTED_VALUE"""),"1")</f>
        <v>1</v>
      </c>
      <c r="M1210" s="2" t="str">
        <f ca="1">IFERROR(__xludf.DUMMYFUNCTION("""COMPUTED_VALUE"""),"Tinto")</f>
        <v>Tinto</v>
      </c>
    </row>
    <row r="1211" spans="1:13" x14ac:dyDescent="0.25">
      <c r="A1211" s="2" t="str">
        <f ca="1">IFERROR(__xludf.DUMMYFUNCTION("""COMPUTED_VALUE"""),"695e7e53")</f>
        <v>695e7e53</v>
      </c>
      <c r="B1211" s="2"/>
      <c r="C1211" s="5">
        <f ca="1">IFERROR(__xludf.DUMMYFUNCTION("""COMPUTED_VALUE"""),45929.7264467592)</f>
        <v>45929.726446759203</v>
      </c>
      <c r="D1211" s="2">
        <f ca="1">IFERROR(__xludf.DUMMYFUNCTION("""COMPUTED_VALUE"""),45)</f>
        <v>45</v>
      </c>
      <c r="E1211" s="2">
        <f ca="1">IFERROR(__xludf.DUMMYFUNCTION("""COMPUTED_VALUE"""),30000)</f>
        <v>30000</v>
      </c>
      <c r="F1211" s="2" t="str">
        <f ca="1">IFERROR(__xludf.DUMMYFUNCTION("""COMPUTED_VALUE"""),"Malbec")</f>
        <v>Malbec</v>
      </c>
      <c r="G1211" s="2">
        <f ca="1">IFERROR(__xludf.DUMMYFUNCTION("""COMPUTED_VALUE"""),10000)</f>
        <v>10000</v>
      </c>
      <c r="H1211" s="2">
        <f ca="1">IFERROR(__xludf.DUMMYFUNCTION("""COMPUTED_VALUE"""),10600)</f>
        <v>10600</v>
      </c>
      <c r="I1211" s="2"/>
      <c r="J1211" s="2"/>
      <c r="K1211" s="2" t="str">
        <f ca="1">IFERROR(__xludf.DUMMYFUNCTION("""COMPUTED_VALUE"""),"Rectificado")</f>
        <v>Rectificado</v>
      </c>
      <c r="L1211" s="2" t="str">
        <f ca="1">IFERROR(__xludf.DUMMYFUNCTION("""COMPUTED_VALUE"""),"2+")</f>
        <v>2+</v>
      </c>
      <c r="M1211" s="2"/>
    </row>
    <row r="1212" spans="1:13" x14ac:dyDescent="0.25">
      <c r="A1212" s="2" t="str">
        <f ca="1">IFERROR(__xludf.DUMMYFUNCTION("""COMPUTED_VALUE"""),"56985b33")</f>
        <v>56985b33</v>
      </c>
      <c r="B1212" s="2"/>
      <c r="C1212" s="5">
        <f ca="1">IFERROR(__xludf.DUMMYFUNCTION("""COMPUTED_VALUE"""),45929.7271875)</f>
        <v>45929.727187500001</v>
      </c>
      <c r="D1212" s="2">
        <f ca="1">IFERROR(__xludf.DUMMYFUNCTION("""COMPUTED_VALUE"""),45)</f>
        <v>45</v>
      </c>
      <c r="E1212" s="2">
        <f ca="1">IFERROR(__xludf.DUMMYFUNCTION("""COMPUTED_VALUE"""),30000)</f>
        <v>30000</v>
      </c>
      <c r="F1212" s="2" t="str">
        <f ca="1">IFERROR(__xludf.DUMMYFUNCTION("""COMPUTED_VALUE"""),"Malbec Rect")</f>
        <v>Malbec Rect</v>
      </c>
      <c r="G1212" s="2">
        <f ca="1">IFERROR(__xludf.DUMMYFUNCTION("""COMPUTED_VALUE"""),10600)</f>
        <v>10600</v>
      </c>
      <c r="H1212" s="2">
        <f ca="1">IFERROR(__xludf.DUMMYFUNCTION("""COMPUTED_VALUE"""),30000)</f>
        <v>30000</v>
      </c>
      <c r="I1212" s="2"/>
      <c r="J1212" s="2"/>
      <c r="K1212" s="2" t="str">
        <f ca="1">IFERROR(__xludf.DUMMYFUNCTION("""COMPUTED_VALUE"""),"Rectificado")</f>
        <v>Rectificado</v>
      </c>
      <c r="L1212" s="2" t="str">
        <f ca="1">IFERROR(__xludf.DUMMYFUNCTION("""COMPUTED_VALUE"""),"2+")</f>
        <v>2+</v>
      </c>
      <c r="M1212" s="2" t="str">
        <f ca="1">IFERROR(__xludf.DUMMYFUNCTION("""COMPUTED_VALUE"""),"Tinto")</f>
        <v>Tinto</v>
      </c>
    </row>
    <row r="1213" spans="1:13" x14ac:dyDescent="0.25">
      <c r="A1213" s="2" t="str">
        <f ca="1">IFERROR(__xludf.DUMMYFUNCTION("""COMPUTED_VALUE"""),"d70f95c0")</f>
        <v>d70f95c0</v>
      </c>
      <c r="B1213" s="2"/>
      <c r="C1213" s="5">
        <f ca="1">IFERROR(__xludf.DUMMYFUNCTION("""COMPUTED_VALUE"""),45929.7278587962)</f>
        <v>45929.727858796199</v>
      </c>
      <c r="D1213" s="2">
        <f ca="1">IFERROR(__xludf.DUMMYFUNCTION("""COMPUTED_VALUE"""),49)</f>
        <v>49</v>
      </c>
      <c r="E1213" s="2">
        <f ca="1">IFERROR(__xludf.DUMMYFUNCTION("""COMPUTED_VALUE"""),26000)</f>
        <v>26000</v>
      </c>
      <c r="F1213" s="2" t="str">
        <f ca="1">IFERROR(__xludf.DUMMYFUNCTION("""COMPUTED_VALUE"""),"Malbec Rectificado")</f>
        <v>Malbec Rectificado</v>
      </c>
      <c r="G1213" s="2">
        <f ca="1">IFERROR(__xludf.DUMMYFUNCTION("""COMPUTED_VALUE"""),0)</f>
        <v>0</v>
      </c>
      <c r="H1213" s="2">
        <f ca="1">IFERROR(__xludf.DUMMYFUNCTION("""COMPUTED_VALUE"""),500)</f>
        <v>500</v>
      </c>
      <c r="I1213" s="2"/>
      <c r="J1213" s="2"/>
      <c r="K1213" s="2" t="str">
        <f ca="1">IFERROR(__xludf.DUMMYFUNCTION("""COMPUTED_VALUE"""),"Rectificado")</f>
        <v>Rectificado</v>
      </c>
      <c r="L1213" s="2"/>
      <c r="M1213" s="2"/>
    </row>
    <row r="1214" spans="1:13" x14ac:dyDescent="0.25">
      <c r="A1214" s="2" t="str">
        <f ca="1">IFERROR(__xludf.DUMMYFUNCTION("""COMPUTED_VALUE"""),"d420eb11")</f>
        <v>d420eb11</v>
      </c>
      <c r="B1214" s="2"/>
      <c r="C1214" s="5">
        <f ca="1">IFERROR(__xludf.DUMMYFUNCTION("""COMPUTED_VALUE"""),45929.7283217592)</f>
        <v>45929.728321759198</v>
      </c>
      <c r="D1214" s="2">
        <f ca="1">IFERROR(__xludf.DUMMYFUNCTION("""COMPUTED_VALUE"""),49)</f>
        <v>49</v>
      </c>
      <c r="E1214" s="2">
        <f ca="1">IFERROR(__xludf.DUMMYFUNCTION("""COMPUTED_VALUE"""),26000)</f>
        <v>26000</v>
      </c>
      <c r="F1214" s="2" t="str">
        <f ca="1">IFERROR(__xludf.DUMMYFUNCTION("""COMPUTED_VALUE"""),"Malbec Rectificado")</f>
        <v>Malbec Rectificado</v>
      </c>
      <c r="G1214" s="2">
        <f ca="1">IFERROR(__xludf.DUMMYFUNCTION("""COMPUTED_VALUE"""),500)</f>
        <v>500</v>
      </c>
      <c r="H1214" s="2">
        <f ca="1">IFERROR(__xludf.DUMMYFUNCTION("""COMPUTED_VALUE"""),2000)</f>
        <v>2000</v>
      </c>
      <c r="I1214" s="2"/>
      <c r="J1214" s="2"/>
      <c r="K1214" s="2" t="str">
        <f ca="1">IFERROR(__xludf.DUMMYFUNCTION("""COMPUTED_VALUE"""),"Rectificado")</f>
        <v>Rectificado</v>
      </c>
      <c r="L1214" s="2"/>
      <c r="M1214" s="2"/>
    </row>
    <row r="1215" spans="1:13" x14ac:dyDescent="0.25">
      <c r="A1215" s="2" t="str">
        <f ca="1">IFERROR(__xludf.DUMMYFUNCTION("""COMPUTED_VALUE"""),"80e8c28e")</f>
        <v>80e8c28e</v>
      </c>
      <c r="B1215" s="2"/>
      <c r="C1215" s="5">
        <f ca="1">IFERROR(__xludf.DUMMYFUNCTION("""COMPUTED_VALUE"""),45929.7289004629)</f>
        <v>45929.728900462898</v>
      </c>
      <c r="D1215" s="2">
        <f ca="1">IFERROR(__xludf.DUMMYFUNCTION("""COMPUTED_VALUE"""),51)</f>
        <v>51</v>
      </c>
      <c r="E1215" s="2">
        <f ca="1">IFERROR(__xludf.DUMMYFUNCTION("""COMPUTED_VALUE"""),3900)</f>
        <v>3900</v>
      </c>
      <c r="F1215" s="2" t="str">
        <f ca="1">IFERROR(__xludf.DUMMYFUNCTION("""COMPUTED_VALUE"""),"Aspirant 24")</f>
        <v>Aspirant 24</v>
      </c>
      <c r="G1215" s="2">
        <f ca="1">IFERROR(__xludf.DUMMYFUNCTION("""COMPUTED_VALUE"""),3695)</f>
        <v>3695</v>
      </c>
      <c r="H1215" s="2">
        <f ca="1">IFERROR(__xludf.DUMMYFUNCTION("""COMPUTED_VALUE"""),3900)</f>
        <v>3900</v>
      </c>
      <c r="I1215" s="2"/>
      <c r="J1215" s="2"/>
      <c r="K1215" s="2" t="str">
        <f ca="1">IFERROR(__xludf.DUMMYFUNCTION("""COMPUTED_VALUE"""),"Filtrado Tang")</f>
        <v>Filtrado Tang</v>
      </c>
      <c r="L1215" s="2" t="str">
        <f ca="1">IFERROR(__xludf.DUMMYFUNCTION("""COMPUTED_VALUE"""),"2+")</f>
        <v>2+</v>
      </c>
      <c r="M1215" s="2"/>
    </row>
    <row r="1216" spans="1:13" x14ac:dyDescent="0.25">
      <c r="A1216" s="2" t="str">
        <f ca="1">IFERROR(__xludf.DUMMYFUNCTION("""COMPUTED_VALUE"""),"ee0770a6")</f>
        <v>ee0770a6</v>
      </c>
      <c r="B1216" s="2"/>
      <c r="C1216" s="5">
        <f ca="1">IFERROR(__xludf.DUMMYFUNCTION("""COMPUTED_VALUE"""),45933.753287037)</f>
        <v>45933.753287036998</v>
      </c>
      <c r="D1216" s="2">
        <f ca="1">IFERROR(__xludf.DUMMYFUNCTION("""COMPUTED_VALUE"""),49)</f>
        <v>49</v>
      </c>
      <c r="E1216" s="2">
        <f ca="1">IFERROR(__xludf.DUMMYFUNCTION("""COMPUTED_VALUE"""),26000)</f>
        <v>26000</v>
      </c>
      <c r="F1216" s="2" t="str">
        <f ca="1">IFERROR(__xludf.DUMMYFUNCTION("""COMPUTED_VALUE"""),"Malbec Rectificado")</f>
        <v>Malbec Rectificado</v>
      </c>
      <c r="G1216" s="2">
        <f ca="1">IFERROR(__xludf.DUMMYFUNCTION("""COMPUTED_VALUE"""),2000)</f>
        <v>2000</v>
      </c>
      <c r="H1216" s="2">
        <f ca="1">IFERROR(__xludf.DUMMYFUNCTION("""COMPUTED_VALUE"""),26000)</f>
        <v>26000</v>
      </c>
      <c r="I1216" s="2"/>
      <c r="J1216" s="2"/>
      <c r="K1216" s="2" t="str">
        <f ca="1">IFERROR(__xludf.DUMMYFUNCTION("""COMPUTED_VALUE"""),"Rectificado")</f>
        <v>Rectificado</v>
      </c>
      <c r="L1216" s="2" t="str">
        <f ca="1">IFERROR(__xludf.DUMMYFUNCTION("""COMPUTED_VALUE"""),"1")</f>
        <v>1</v>
      </c>
      <c r="M1216" s="2" t="str">
        <f ca="1">IFERROR(__xludf.DUMMYFUNCTION("""COMPUTED_VALUE"""),"Tinto")</f>
        <v>Tinto</v>
      </c>
    </row>
    <row r="1217" spans="1:13" x14ac:dyDescent="0.25">
      <c r="A1217" s="2" t="str">
        <f ca="1">IFERROR(__xludf.DUMMYFUNCTION("""COMPUTED_VALUE"""),"f1d435a7")</f>
        <v>f1d435a7</v>
      </c>
      <c r="B1217" s="2"/>
      <c r="C1217" s="5">
        <f ca="1">IFERROR(__xludf.DUMMYFUNCTION("""COMPUTED_VALUE"""),45933.7561111111)</f>
        <v>45933.756111111099</v>
      </c>
      <c r="D1217" s="2">
        <f ca="1">IFERROR(__xludf.DUMMYFUNCTION("""COMPUTED_VALUE"""),44)</f>
        <v>44</v>
      </c>
      <c r="E1217" s="2">
        <f ca="1">IFERROR(__xludf.DUMMYFUNCTION("""COMPUTED_VALUE"""),19100)</f>
        <v>19100</v>
      </c>
      <c r="F1217" s="2" t="str">
        <f ca="1">IFERROR(__xludf.DUMMYFUNCTION("""COMPUTED_VALUE"""),"Malbec")</f>
        <v>Malbec</v>
      </c>
      <c r="G1217" s="2">
        <f ca="1">IFERROR(__xludf.DUMMYFUNCTION("""COMPUTED_VALUE"""),0)</f>
        <v>0</v>
      </c>
      <c r="H1217" s="2">
        <f ca="1">IFERROR(__xludf.DUMMYFUNCTION("""COMPUTED_VALUE"""),4795)</f>
        <v>4795</v>
      </c>
      <c r="I1217" s="2"/>
      <c r="J1217" s="2"/>
      <c r="K1217" s="2" t="str">
        <f ca="1">IFERROR(__xludf.DUMMYFUNCTION("""COMPUTED_VALUE"""),"Rectificado")</f>
        <v>Rectificado</v>
      </c>
      <c r="L1217" s="2" t="str">
        <f ca="1">IFERROR(__xludf.DUMMYFUNCTION("""COMPUTED_VALUE"""),"2+")</f>
        <v>2+</v>
      </c>
      <c r="M1217" s="2"/>
    </row>
    <row r="1218" spans="1:13" x14ac:dyDescent="0.25">
      <c r="A1218" s="2" t="str">
        <f ca="1">IFERROR(__xludf.DUMMYFUNCTION("""COMPUTED_VALUE"""),"f9167fb8")</f>
        <v>f9167fb8</v>
      </c>
      <c r="B1218" s="2"/>
      <c r="C1218" s="5">
        <f ca="1">IFERROR(__xludf.DUMMYFUNCTION("""COMPUTED_VALUE"""),45945.6911342592)</f>
        <v>45945.691134259199</v>
      </c>
      <c r="D1218" s="2">
        <f ca="1">IFERROR(__xludf.DUMMYFUNCTION("""COMPUTED_VALUE"""),500)</f>
        <v>500</v>
      </c>
      <c r="E1218" s="2">
        <f ca="1">IFERROR(__xludf.DUMMYFUNCTION("""COMPUTED_VALUE"""),200000)</f>
        <v>200000</v>
      </c>
      <c r="F1218" s="2" t="str">
        <f ca="1">IFERROR(__xludf.DUMMYFUNCTION("""COMPUTED_VALUE"""),"Chardonnay Traslado Almic")</f>
        <v>Chardonnay Traslado Almic</v>
      </c>
      <c r="G1218" s="2">
        <f ca="1">IFERROR(__xludf.DUMMYFUNCTION("""COMPUTED_VALUE"""),0)</f>
        <v>0</v>
      </c>
      <c r="H1218" s="2">
        <f ca="1">IFERROR(__xludf.DUMMYFUNCTION("""COMPUTED_VALUE"""),5000)</f>
        <v>5000</v>
      </c>
      <c r="I1218" s="2"/>
      <c r="J1218" s="2"/>
      <c r="K1218" s="2" t="str">
        <f ca="1">IFERROR(__xludf.DUMMYFUNCTION("""COMPUTED_VALUE"""),"Traslado Venta")</f>
        <v>Traslado Venta</v>
      </c>
      <c r="L1218" s="2" t="str">
        <f ca="1">IFERROR(__xludf.DUMMYFUNCTION("""COMPUTED_VALUE"""),"1")</f>
        <v>1</v>
      </c>
      <c r="M1218" s="2"/>
    </row>
    <row r="1219" spans="1:13" x14ac:dyDescent="0.25">
      <c r="A1219" s="2" t="str">
        <f ca="1">IFERROR(__xludf.DUMMYFUNCTION("""COMPUTED_VALUE"""),"26eed108")</f>
        <v>26eed108</v>
      </c>
      <c r="B1219" s="2"/>
      <c r="C1219" s="5">
        <f ca="1">IFERROR(__xludf.DUMMYFUNCTION("""COMPUTED_VALUE"""),45945.6916782407)</f>
        <v>45945.691678240699</v>
      </c>
      <c r="D1219" s="2">
        <f ca="1">IFERROR(__xludf.DUMMYFUNCTION("""COMPUTED_VALUE"""),8)</f>
        <v>8</v>
      </c>
      <c r="E1219" s="2">
        <f ca="1">IFERROR(__xludf.DUMMYFUNCTION("""COMPUTED_VALUE"""),22000)</f>
        <v>22000</v>
      </c>
      <c r="F1219" s="2" t="str">
        <f ca="1">IFERROR(__xludf.DUMMYFUNCTION("""COMPUTED_VALUE"""),"Chardonnay")</f>
        <v>Chardonnay</v>
      </c>
      <c r="G1219" s="2">
        <f ca="1">IFERROR(__xludf.DUMMYFUNCTION("""COMPUTED_VALUE"""),17000)</f>
        <v>17000</v>
      </c>
      <c r="H1219" s="2">
        <f ca="1">IFERROR(__xludf.DUMMYFUNCTION("""COMPUTED_VALUE"""),22000)</f>
        <v>22000</v>
      </c>
      <c r="I1219" s="2"/>
      <c r="J1219" s="2"/>
      <c r="K1219" s="2" t="str">
        <f ca="1">IFERROR(__xludf.DUMMYFUNCTION("""COMPUTED_VALUE"""),"Descubada")</f>
        <v>Descubada</v>
      </c>
      <c r="L1219" s="2" t="str">
        <f ca="1">IFERROR(__xludf.DUMMYFUNCTION("""COMPUTED_VALUE"""),"1")</f>
        <v>1</v>
      </c>
      <c r="M1219" s="2"/>
    </row>
    <row r="1220" spans="1:13" x14ac:dyDescent="0.25">
      <c r="A1220" s="2" t="str">
        <f ca="1">IFERROR(__xludf.DUMMYFUNCTION("""COMPUTED_VALUE"""),"9faa1a2e")</f>
        <v>9faa1a2e</v>
      </c>
      <c r="B1220" s="2"/>
      <c r="C1220" s="5">
        <f ca="1">IFERROR(__xludf.DUMMYFUNCTION("""COMPUTED_VALUE"""),45945.691886574)</f>
        <v>45945.691886574001</v>
      </c>
      <c r="D1220" s="2">
        <f ca="1">IFERROR(__xludf.DUMMYFUNCTION("""COMPUTED_VALUE"""),75)</f>
        <v>75</v>
      </c>
      <c r="E1220" s="2">
        <f ca="1">IFERROR(__xludf.DUMMYFUNCTION("""COMPUTED_VALUE"""),7000)</f>
        <v>7000</v>
      </c>
      <c r="F1220" s="2" t="str">
        <f ca="1">IFERROR(__xludf.DUMMYFUNCTION("""COMPUTED_VALUE"""),"Chardonnay")</f>
        <v>Chardonnay</v>
      </c>
      <c r="G1220" s="2">
        <f ca="1">IFERROR(__xludf.DUMMYFUNCTION("""COMPUTED_VALUE"""),0)</f>
        <v>0</v>
      </c>
      <c r="H1220" s="2">
        <f ca="1">IFERROR(__xludf.DUMMYFUNCTION("""COMPUTED_VALUE"""),7000)</f>
        <v>7000</v>
      </c>
      <c r="I1220" s="2"/>
      <c r="J1220" s="2"/>
      <c r="K1220" s="2" t="str">
        <f ca="1">IFERROR(__xludf.DUMMYFUNCTION("""COMPUTED_VALUE"""),"1er Trasiego")</f>
        <v>1er Trasiego</v>
      </c>
      <c r="L1220" s="2" t="str">
        <f ca="1">IFERROR(__xludf.DUMMYFUNCTION("""COMPUTED_VALUE"""),"1-")</f>
        <v>1-</v>
      </c>
      <c r="M1220" s="2"/>
    </row>
    <row r="1221" spans="1:13" x14ac:dyDescent="0.25">
      <c r="A1221" s="2" t="str">
        <f ca="1">IFERROR(__xludf.DUMMYFUNCTION("""COMPUTED_VALUE"""),"525b3c8f")</f>
        <v>525b3c8f</v>
      </c>
      <c r="B1221" s="2"/>
      <c r="C1221" s="5">
        <f ca="1">IFERROR(__xludf.DUMMYFUNCTION("""COMPUTED_VALUE"""),45945.6929976851)</f>
        <v>45945.692997685102</v>
      </c>
      <c r="D1221" s="2">
        <f ca="1">IFERROR(__xludf.DUMMYFUNCTION("""COMPUTED_VALUE"""),500)</f>
        <v>500</v>
      </c>
      <c r="E1221" s="2">
        <f ca="1">IFERROR(__xludf.DUMMYFUNCTION("""COMPUTED_VALUE"""),200000)</f>
        <v>200000</v>
      </c>
      <c r="F1221" s="2" t="str">
        <f ca="1">IFERROR(__xludf.DUMMYFUNCTION("""COMPUTED_VALUE"""),"Chardonnay ajuste")</f>
        <v>Chardonnay ajuste</v>
      </c>
      <c r="G1221" s="2">
        <f ca="1">IFERROR(__xludf.DUMMYFUNCTION("""COMPUTED_VALUE"""),0)</f>
        <v>0</v>
      </c>
      <c r="H1221" s="2">
        <f ca="1">IFERROR(__xludf.DUMMYFUNCTION("""COMPUTED_VALUE"""),1000)</f>
        <v>1000</v>
      </c>
      <c r="I1221" s="2"/>
      <c r="J1221" s="2"/>
      <c r="K1221" s="2" t="str">
        <f ca="1">IFERROR(__xludf.DUMMYFUNCTION("""COMPUTED_VALUE"""),"1er Trasiego")</f>
        <v>1er Trasiego</v>
      </c>
      <c r="L1221" s="2" t="str">
        <f ca="1">IFERROR(__xludf.DUMMYFUNCTION("""COMPUTED_VALUE"""),"1-")</f>
        <v>1-</v>
      </c>
      <c r="M1221" s="2"/>
    </row>
    <row r="1222" spans="1:13" x14ac:dyDescent="0.25">
      <c r="A1222" s="2" t="str">
        <f ca="1">IFERROR(__xludf.DUMMYFUNCTION("""COMPUTED_VALUE"""),"ce425e68")</f>
        <v>ce425e68</v>
      </c>
      <c r="B1222" s="2"/>
      <c r="C1222" s="5">
        <f ca="1">IFERROR(__xludf.DUMMYFUNCTION("""COMPUTED_VALUE"""),45947.8095138888)</f>
        <v>45947.809513888802</v>
      </c>
      <c r="D1222" s="2">
        <f ca="1">IFERROR(__xludf.DUMMYFUNCTION("""COMPUTED_VALUE"""),500)</f>
        <v>500</v>
      </c>
      <c r="E1222" s="2">
        <f ca="1">IFERROR(__xludf.DUMMYFUNCTION("""COMPUTED_VALUE"""),200000)</f>
        <v>200000</v>
      </c>
      <c r="F1222" s="2" t="str">
        <f ca="1">IFERROR(__xludf.DUMMYFUNCTION("""COMPUTED_VALUE"""),"Chardonnay Traslado Millan")</f>
        <v>Chardonnay Traslado Millan</v>
      </c>
      <c r="G1222" s="2">
        <f ca="1">IFERROR(__xludf.DUMMYFUNCTION("""COMPUTED_VALUE"""),0)</f>
        <v>0</v>
      </c>
      <c r="H1222" s="2">
        <f ca="1">IFERROR(__xludf.DUMMYFUNCTION("""COMPUTED_VALUE"""),30000)</f>
        <v>30000</v>
      </c>
      <c r="I1222" s="2"/>
      <c r="J1222" s="2"/>
      <c r="K1222" s="2" t="str">
        <f ca="1">IFERROR(__xludf.DUMMYFUNCTION("""COMPUTED_VALUE"""),"Traslado Venta")</f>
        <v>Traslado Venta</v>
      </c>
      <c r="L1222" s="2" t="str">
        <f ca="1">IFERROR(__xludf.DUMMYFUNCTION("""COMPUTED_VALUE"""),"1+")</f>
        <v>1+</v>
      </c>
      <c r="M1222" s="2"/>
    </row>
    <row r="1223" spans="1:13" x14ac:dyDescent="0.25">
      <c r="A1223" s="2" t="str">
        <f ca="1">IFERROR(__xludf.DUMMYFUNCTION("""COMPUTED_VALUE"""),"a88c6559")</f>
        <v>a88c6559</v>
      </c>
      <c r="B1223" s="2"/>
      <c r="C1223" s="5">
        <f ca="1">IFERROR(__xludf.DUMMYFUNCTION("""COMPUTED_VALUE"""),45947.8097800925)</f>
        <v>45947.809780092502</v>
      </c>
      <c r="D1223" s="2"/>
      <c r="E1223" s="2"/>
      <c r="F1223" s="2"/>
      <c r="G1223" s="2"/>
      <c r="H1223" s="2">
        <f ca="1">IFERROR(__xludf.DUMMYFUNCTION("""COMPUTED_VALUE"""),11000)</f>
        <v>11000</v>
      </c>
      <c r="I1223" s="2"/>
      <c r="J1223" s="2"/>
      <c r="K1223" s="2"/>
      <c r="L1223" s="2"/>
      <c r="M1223" s="2"/>
    </row>
    <row r="1224" spans="1:13" x14ac:dyDescent="0.25">
      <c r="A1224" s="2" t="str">
        <f ca="1">IFERROR(__xludf.DUMMYFUNCTION("""COMPUTED_VALUE"""),"d61b14c5")</f>
        <v>d61b14c5</v>
      </c>
      <c r="B1224" s="2"/>
      <c r="C1224" s="5">
        <f ca="1">IFERROR(__xludf.DUMMYFUNCTION("""COMPUTED_VALUE"""),45947.8104166666)</f>
        <v>45947.810416666602</v>
      </c>
      <c r="D1224" s="2">
        <f ca="1">IFERROR(__xludf.DUMMYFUNCTION("""COMPUTED_VALUE"""),500)</f>
        <v>500</v>
      </c>
      <c r="E1224" s="2">
        <f ca="1">IFERROR(__xludf.DUMMYFUNCTION("""COMPUTED_VALUE"""),200000)</f>
        <v>200000</v>
      </c>
      <c r="F1224" s="2" t="str">
        <f ca="1">IFERROR(__xludf.DUMMYFUNCTION("""COMPUTED_VALUE"""),"Chardonnay Traslado Millan")</f>
        <v>Chardonnay Traslado Millan</v>
      </c>
      <c r="G1224" s="2">
        <f ca="1">IFERROR(__xludf.DUMMYFUNCTION("""COMPUTED_VALUE"""),30000)</f>
        <v>30000</v>
      </c>
      <c r="H1224" s="2">
        <f ca="1">IFERROR(__xludf.DUMMYFUNCTION("""COMPUTED_VALUE"""),41000)</f>
        <v>41000</v>
      </c>
      <c r="I1224" s="2"/>
      <c r="J1224" s="2"/>
      <c r="K1224" s="2" t="str">
        <f ca="1">IFERROR(__xludf.DUMMYFUNCTION("""COMPUTED_VALUE"""),"Traslado Venta")</f>
        <v>Traslado Venta</v>
      </c>
      <c r="L1224" s="2" t="str">
        <f ca="1">IFERROR(__xludf.DUMMYFUNCTION("""COMPUTED_VALUE"""),"1+")</f>
        <v>1+</v>
      </c>
      <c r="M1224" s="2"/>
    </row>
    <row r="1225" spans="1:13" x14ac:dyDescent="0.25">
      <c r="A1225" s="2" t="str">
        <f ca="1">IFERROR(__xludf.DUMMYFUNCTION("""COMPUTED_VALUE"""),"246c5af1")</f>
        <v>246c5af1</v>
      </c>
      <c r="B1225" s="2"/>
      <c r="C1225" s="5">
        <f ca="1">IFERROR(__xludf.DUMMYFUNCTION("""COMPUTED_VALUE"""),45947.810636574)</f>
        <v>45947.810636574002</v>
      </c>
      <c r="D1225" s="2">
        <f ca="1">IFERROR(__xludf.DUMMYFUNCTION("""COMPUTED_VALUE"""),500)</f>
        <v>500</v>
      </c>
      <c r="E1225" s="2">
        <f ca="1">IFERROR(__xludf.DUMMYFUNCTION("""COMPUTED_VALUE"""),200000)</f>
        <v>200000</v>
      </c>
      <c r="F1225" s="2" t="str">
        <f ca="1">IFERROR(__xludf.DUMMYFUNCTION("""COMPUTED_VALUE"""),"Chardonnay Traslado Millan")</f>
        <v>Chardonnay Traslado Millan</v>
      </c>
      <c r="G1225" s="2">
        <f ca="1">IFERROR(__xludf.DUMMYFUNCTION("""COMPUTED_VALUE"""),41000)</f>
        <v>41000</v>
      </c>
      <c r="H1225" s="2">
        <f ca="1">IFERROR(__xludf.DUMMYFUNCTION("""COMPUTED_VALUE"""),62000)</f>
        <v>62000</v>
      </c>
      <c r="I1225" s="2"/>
      <c r="J1225" s="2"/>
      <c r="K1225" s="2" t="str">
        <f ca="1">IFERROR(__xludf.DUMMYFUNCTION("""COMPUTED_VALUE"""),"Traslado Venta")</f>
        <v>Traslado Venta</v>
      </c>
      <c r="L1225" s="2" t="str">
        <f ca="1">IFERROR(__xludf.DUMMYFUNCTION("""COMPUTED_VALUE"""),"1+")</f>
        <v>1+</v>
      </c>
      <c r="M1225" s="2"/>
    </row>
    <row r="1226" spans="1:13" x14ac:dyDescent="0.25">
      <c r="A1226" s="2" t="str">
        <f ca="1">IFERROR(__xludf.DUMMYFUNCTION("""COMPUTED_VALUE"""),"a5e5c2b2")</f>
        <v>a5e5c2b2</v>
      </c>
      <c r="B1226" s="2"/>
      <c r="C1226" s="5">
        <f ca="1">IFERROR(__xludf.DUMMYFUNCTION("""COMPUTED_VALUE"""),45947.8108680555)</f>
        <v>45947.810868055501</v>
      </c>
      <c r="D1226" s="2">
        <f ca="1">IFERROR(__xludf.DUMMYFUNCTION("""COMPUTED_VALUE"""),500)</f>
        <v>500</v>
      </c>
      <c r="E1226" s="2">
        <f ca="1">IFERROR(__xludf.DUMMYFUNCTION("""COMPUTED_VALUE"""),200000)</f>
        <v>200000</v>
      </c>
      <c r="F1226" s="2" t="str">
        <f ca="1">IFERROR(__xludf.DUMMYFUNCTION("""COMPUTED_VALUE"""),"Chardonnay Traslado Millan")</f>
        <v>Chardonnay Traslado Millan</v>
      </c>
      <c r="G1226" s="2">
        <f ca="1">IFERROR(__xludf.DUMMYFUNCTION("""COMPUTED_VALUE"""),62000)</f>
        <v>62000</v>
      </c>
      <c r="H1226" s="2">
        <f ca="1">IFERROR(__xludf.DUMMYFUNCTION("""COMPUTED_VALUE"""),87300)</f>
        <v>87300</v>
      </c>
      <c r="I1226" s="2"/>
      <c r="J1226" s="2"/>
      <c r="K1226" s="2" t="str">
        <f ca="1">IFERROR(__xludf.DUMMYFUNCTION("""COMPUTED_VALUE"""),"Traslado Venta")</f>
        <v>Traslado Venta</v>
      </c>
      <c r="L1226" s="2" t="str">
        <f ca="1">IFERROR(__xludf.DUMMYFUNCTION("""COMPUTED_VALUE"""),"1+")</f>
        <v>1+</v>
      </c>
      <c r="M1226" s="2"/>
    </row>
    <row r="1227" spans="1:13" x14ac:dyDescent="0.25">
      <c r="A1227" s="2" t="str">
        <f ca="1">IFERROR(__xludf.DUMMYFUNCTION("""COMPUTED_VALUE"""),"2fe3cd09")</f>
        <v>2fe3cd09</v>
      </c>
      <c r="B1227" s="2"/>
      <c r="C1227" s="5">
        <f ca="1">IFERROR(__xludf.DUMMYFUNCTION("""COMPUTED_VALUE"""),45947.8112384259)</f>
        <v>45947.8112384259</v>
      </c>
      <c r="D1227" s="2">
        <f ca="1">IFERROR(__xludf.DUMMYFUNCTION("""COMPUTED_VALUE"""),500)</f>
        <v>500</v>
      </c>
      <c r="E1227" s="2">
        <f ca="1">IFERROR(__xludf.DUMMYFUNCTION("""COMPUTED_VALUE"""),200000)</f>
        <v>200000</v>
      </c>
      <c r="F1227" s="2" t="str">
        <f ca="1">IFERROR(__xludf.DUMMYFUNCTION("""COMPUTED_VALUE"""),"Chardonnay Traslado Millan")</f>
        <v>Chardonnay Traslado Millan</v>
      </c>
      <c r="G1227" s="2">
        <f ca="1">IFERROR(__xludf.DUMMYFUNCTION("""COMPUTED_VALUE"""),87300)</f>
        <v>87300</v>
      </c>
      <c r="H1227" s="2">
        <f ca="1">IFERROR(__xludf.DUMMYFUNCTION("""COMPUTED_VALUE"""),106800)</f>
        <v>106800</v>
      </c>
      <c r="I1227" s="2"/>
      <c r="J1227" s="2"/>
      <c r="K1227" s="2" t="str">
        <f ca="1">IFERROR(__xludf.DUMMYFUNCTION("""COMPUTED_VALUE"""),"Traslado Venta")</f>
        <v>Traslado Venta</v>
      </c>
      <c r="L1227" s="2" t="str">
        <f ca="1">IFERROR(__xludf.DUMMYFUNCTION("""COMPUTED_VALUE"""),"1+")</f>
        <v>1+</v>
      </c>
      <c r="M1227" s="2"/>
    </row>
    <row r="1228" spans="1:13" x14ac:dyDescent="0.25">
      <c r="A1228" s="2" t="str">
        <f ca="1">IFERROR(__xludf.DUMMYFUNCTION("""COMPUTED_VALUE"""),"63addc25")</f>
        <v>63addc25</v>
      </c>
      <c r="B1228" s="2"/>
      <c r="C1228" s="5">
        <f ca="1">IFERROR(__xludf.DUMMYFUNCTION("""COMPUTED_VALUE"""),45950.7216550925)</f>
        <v>45950.7216550925</v>
      </c>
      <c r="D1228" s="2">
        <f ca="1">IFERROR(__xludf.DUMMYFUNCTION("""COMPUTED_VALUE"""),52)</f>
        <v>52</v>
      </c>
      <c r="E1228" s="2">
        <f ca="1">IFERROR(__xludf.DUMMYFUNCTION("""COMPUTED_VALUE"""),27000)</f>
        <v>27000</v>
      </c>
      <c r="F1228" s="2" t="str">
        <f ca="1">IFERROR(__xludf.DUMMYFUNCTION("""COMPUTED_VALUE"""),"Chardonnay")</f>
        <v>Chardonnay</v>
      </c>
      <c r="G1228" s="2">
        <f ca="1">IFERROR(__xludf.DUMMYFUNCTION("""COMPUTED_VALUE"""),0)</f>
        <v>0</v>
      </c>
      <c r="H1228" s="2">
        <f ca="1">IFERROR(__xludf.DUMMYFUNCTION("""COMPUTED_VALUE"""),3000)</f>
        <v>3000</v>
      </c>
      <c r="I1228" s="2"/>
      <c r="J1228" s="2"/>
      <c r="K1228" s="2" t="str">
        <f ca="1">IFERROR(__xludf.DUMMYFUNCTION("""COMPUTED_VALUE"""),"2do Trasiego")</f>
        <v>2do Trasiego</v>
      </c>
      <c r="L1228" s="2" t="str">
        <f ca="1">IFERROR(__xludf.DUMMYFUNCTION("""COMPUTED_VALUE"""),"1-")</f>
        <v>1-</v>
      </c>
      <c r="M1228" s="2"/>
    </row>
    <row r="1229" spans="1:13" x14ac:dyDescent="0.25">
      <c r="A1229" s="2" t="str">
        <f ca="1">IFERROR(__xludf.DUMMYFUNCTION("""COMPUTED_VALUE"""),"842053b1")</f>
        <v>842053b1</v>
      </c>
      <c r="B1229" s="2"/>
      <c r="C1229" s="5">
        <f ca="1">IFERROR(__xludf.DUMMYFUNCTION("""COMPUTED_VALUE"""),45950.7218634259)</f>
        <v>45950.721863425897</v>
      </c>
      <c r="D1229" s="2">
        <f ca="1">IFERROR(__xludf.DUMMYFUNCTION("""COMPUTED_VALUE"""),52)</f>
        <v>52</v>
      </c>
      <c r="E1229" s="2">
        <f ca="1">IFERROR(__xludf.DUMMYFUNCTION("""COMPUTED_VALUE"""),27000)</f>
        <v>27000</v>
      </c>
      <c r="F1229" s="2" t="str">
        <f ca="1">IFERROR(__xludf.DUMMYFUNCTION("""COMPUTED_VALUE"""),"Chardonnay")</f>
        <v>Chardonnay</v>
      </c>
      <c r="G1229" s="2">
        <f ca="1">IFERROR(__xludf.DUMMYFUNCTION("""COMPUTED_VALUE"""),3000)</f>
        <v>3000</v>
      </c>
      <c r="H1229" s="2">
        <f ca="1">IFERROR(__xludf.DUMMYFUNCTION("""COMPUTED_VALUE"""),9500)</f>
        <v>9500</v>
      </c>
      <c r="I1229" s="2"/>
      <c r="J1229" s="2"/>
      <c r="K1229" s="2" t="str">
        <f ca="1">IFERROR(__xludf.DUMMYFUNCTION("""COMPUTED_VALUE"""),"2do Trasiego")</f>
        <v>2do Trasiego</v>
      </c>
      <c r="L1229" s="2" t="str">
        <f ca="1">IFERROR(__xludf.DUMMYFUNCTION("""COMPUTED_VALUE"""),"1-")</f>
        <v>1-</v>
      </c>
      <c r="M1229" s="2"/>
    </row>
    <row r="1230" spans="1:13" x14ac:dyDescent="0.25">
      <c r="A1230" s="2" t="str">
        <f ca="1">IFERROR(__xludf.DUMMYFUNCTION("""COMPUTED_VALUE"""),"d3be37e4")</f>
        <v>d3be37e4</v>
      </c>
      <c r="B1230" s="2"/>
      <c r="C1230" s="5">
        <f ca="1">IFERROR(__xludf.DUMMYFUNCTION("""COMPUTED_VALUE"""),45950.7220717592)</f>
        <v>45950.722071759199</v>
      </c>
      <c r="D1230" s="2">
        <f ca="1">IFERROR(__xludf.DUMMYFUNCTION("""COMPUTED_VALUE"""),52)</f>
        <v>52</v>
      </c>
      <c r="E1230" s="2">
        <f ca="1">IFERROR(__xludf.DUMMYFUNCTION("""COMPUTED_VALUE"""),27000)</f>
        <v>27000</v>
      </c>
      <c r="F1230" s="2" t="str">
        <f ca="1">IFERROR(__xludf.DUMMYFUNCTION("""COMPUTED_VALUE"""),"Chardonnay")</f>
        <v>Chardonnay</v>
      </c>
      <c r="G1230" s="2">
        <f ca="1">IFERROR(__xludf.DUMMYFUNCTION("""COMPUTED_VALUE"""),9500)</f>
        <v>9500</v>
      </c>
      <c r="H1230" s="2">
        <f ca="1">IFERROR(__xludf.DUMMYFUNCTION("""COMPUTED_VALUE"""),16500)</f>
        <v>16500</v>
      </c>
      <c r="I1230" s="2"/>
      <c r="J1230" s="2"/>
      <c r="K1230" s="2" t="str">
        <f ca="1">IFERROR(__xludf.DUMMYFUNCTION("""COMPUTED_VALUE"""),"2do Trasiego")</f>
        <v>2do Trasiego</v>
      </c>
      <c r="L1230" s="2" t="str">
        <f ca="1">IFERROR(__xludf.DUMMYFUNCTION("""COMPUTED_VALUE"""),"1-")</f>
        <v>1-</v>
      </c>
      <c r="M1230" s="2"/>
    </row>
    <row r="1231" spans="1:13" x14ac:dyDescent="0.25">
      <c r="A1231" s="2" t="str">
        <f ca="1">IFERROR(__xludf.DUMMYFUNCTION("""COMPUTED_VALUE"""),"57cfae09")</f>
        <v>57cfae09</v>
      </c>
      <c r="B1231" s="2"/>
      <c r="C1231" s="5">
        <f ca="1">IFERROR(__xludf.DUMMYFUNCTION("""COMPUTED_VALUE"""),45950.7230208333)</f>
        <v>45950.723020833299</v>
      </c>
      <c r="D1231" s="2">
        <f ca="1">IFERROR(__xludf.DUMMYFUNCTION("""COMPUTED_VALUE"""),52)</f>
        <v>52</v>
      </c>
      <c r="E1231" s="2">
        <f ca="1">IFERROR(__xludf.DUMMYFUNCTION("""COMPUTED_VALUE"""),27000)</f>
        <v>27000</v>
      </c>
      <c r="F1231" s="2" t="str">
        <f ca="1">IFERROR(__xludf.DUMMYFUNCTION("""COMPUTED_VALUE"""),"Chardonnay")</f>
        <v>Chardonnay</v>
      </c>
      <c r="G1231" s="2">
        <f ca="1">IFERROR(__xludf.DUMMYFUNCTION("""COMPUTED_VALUE"""),16500)</f>
        <v>16500</v>
      </c>
      <c r="H1231" s="2">
        <f ca="1">IFERROR(__xludf.DUMMYFUNCTION("""COMPUTED_VALUE"""),27000)</f>
        <v>27000</v>
      </c>
      <c r="I1231" s="2"/>
      <c r="J1231" s="2"/>
      <c r="K1231" s="2" t="str">
        <f ca="1">IFERROR(__xludf.DUMMYFUNCTION("""COMPUTED_VALUE"""),"2do Trasiego")</f>
        <v>2do Trasiego</v>
      </c>
      <c r="L1231" s="2" t="str">
        <f ca="1">IFERROR(__xludf.DUMMYFUNCTION("""COMPUTED_VALUE"""),"1-")</f>
        <v>1-</v>
      </c>
      <c r="M1231" s="2"/>
    </row>
    <row r="1232" spans="1:13" x14ac:dyDescent="0.25">
      <c r="A1232" s="2" t="str">
        <f ca="1">IFERROR(__xludf.DUMMYFUNCTION("""COMPUTED_VALUE"""),"ce6ad572")</f>
        <v>ce6ad572</v>
      </c>
      <c r="B1232" s="2"/>
      <c r="C1232" s="5">
        <f ca="1">IFERROR(__xludf.DUMMYFUNCTION("""COMPUTED_VALUE"""),45950.7238425925)</f>
        <v>45950.723842592502</v>
      </c>
      <c r="D1232" s="2">
        <f ca="1">IFERROR(__xludf.DUMMYFUNCTION("""COMPUTED_VALUE"""),44)</f>
        <v>44</v>
      </c>
      <c r="E1232" s="2">
        <f ca="1">IFERROR(__xludf.DUMMYFUNCTION("""COMPUTED_VALUE"""),19100)</f>
        <v>19100</v>
      </c>
      <c r="F1232" s="2" t="str">
        <f ca="1">IFERROR(__xludf.DUMMYFUNCTION("""COMPUTED_VALUE"""),"Malbec")</f>
        <v>Malbec</v>
      </c>
      <c r="G1232" s="2">
        <f ca="1">IFERROR(__xludf.DUMMYFUNCTION("""COMPUTED_VALUE"""),4795)</f>
        <v>4795</v>
      </c>
      <c r="H1232" s="2">
        <f ca="1">IFERROR(__xludf.DUMMYFUNCTION("""COMPUTED_VALUE"""),5295)</f>
        <v>5295</v>
      </c>
      <c r="I1232" s="2"/>
      <c r="J1232" s="2"/>
      <c r="K1232" s="2" t="str">
        <f ca="1">IFERROR(__xludf.DUMMYFUNCTION("""COMPUTED_VALUE"""),"Rectificado")</f>
        <v>Rectificado</v>
      </c>
      <c r="L1232" s="2" t="str">
        <f ca="1">IFERROR(__xludf.DUMMYFUNCTION("""COMPUTED_VALUE"""),"2+")</f>
        <v>2+</v>
      </c>
      <c r="M1232" s="2"/>
    </row>
    <row r="1233" spans="1:13" x14ac:dyDescent="0.25">
      <c r="A1233" s="2" t="str">
        <f ca="1">IFERROR(__xludf.DUMMYFUNCTION("""COMPUTED_VALUE"""),"086af607")</f>
        <v>086af607</v>
      </c>
      <c r="B1233" s="2"/>
      <c r="C1233" s="5">
        <f ca="1">IFERROR(__xludf.DUMMYFUNCTION("""COMPUTED_VALUE"""),45954.4917129629)</f>
        <v>45954.491712962903</v>
      </c>
      <c r="D1233" s="2">
        <f ca="1">IFERROR(__xludf.DUMMYFUNCTION("""COMPUTED_VALUE"""),111)</f>
        <v>111</v>
      </c>
      <c r="E1233" s="2">
        <f ca="1">IFERROR(__xludf.DUMMYFUNCTION("""COMPUTED_VALUE"""),4000)</f>
        <v>4000</v>
      </c>
      <c r="F1233" s="2" t="str">
        <f ca="1">IFERROR(__xludf.DUMMYFUNCTION("""COMPUTED_VALUE"""),"Syrah con Madera")</f>
        <v>Syrah con Madera</v>
      </c>
      <c r="G1233" s="2">
        <f ca="1">IFERROR(__xludf.DUMMYFUNCTION("""COMPUTED_VALUE"""),0)</f>
        <v>0</v>
      </c>
      <c r="H1233" s="2">
        <f ca="1">IFERROR(__xludf.DUMMYFUNCTION("""COMPUTED_VALUE"""),4000)</f>
        <v>4000</v>
      </c>
      <c r="I1233" s="2"/>
      <c r="J1233" s="2"/>
      <c r="K1233" s="2" t="str">
        <f ca="1">IFERROR(__xludf.DUMMYFUNCTION("""COMPUTED_VALUE"""),"Filtrado Tang")</f>
        <v>Filtrado Tang</v>
      </c>
      <c r="L1233" s="2" t="str">
        <f ca="1">IFERROR(__xludf.DUMMYFUNCTION("""COMPUTED_VALUE"""),"1")</f>
        <v>1</v>
      </c>
      <c r="M1233" s="2"/>
    </row>
    <row r="1234" spans="1:13" x14ac:dyDescent="0.25">
      <c r="A1234" s="2" t="str">
        <f ca="1">IFERROR(__xludf.DUMMYFUNCTION("""COMPUTED_VALUE"""),"93a8c465")</f>
        <v>93a8c465</v>
      </c>
      <c r="B1234" s="2"/>
      <c r="C1234" s="5">
        <f ca="1">IFERROR(__xludf.DUMMYFUNCTION("""COMPUTED_VALUE"""),45954.4924189814)</f>
        <v>45954.492418981397</v>
      </c>
      <c r="D1234" s="2">
        <f ca="1">IFERROR(__xludf.DUMMYFUNCTION("""COMPUTED_VALUE"""),82)</f>
        <v>82</v>
      </c>
      <c r="E1234" s="2">
        <f ca="1">IFERROR(__xludf.DUMMYFUNCTION("""COMPUTED_VALUE"""),42600)</f>
        <v>42600</v>
      </c>
      <c r="F1234" s="2" t="str">
        <f ca="1">IFERROR(__xludf.DUMMYFUNCTION("""COMPUTED_VALUE"""),"Syrah")</f>
        <v>Syrah</v>
      </c>
      <c r="G1234" s="2">
        <f ca="1">IFERROR(__xludf.DUMMYFUNCTION("""COMPUTED_VALUE"""),38600)</f>
        <v>38600</v>
      </c>
      <c r="H1234" s="2">
        <f ca="1">IFERROR(__xludf.DUMMYFUNCTION("""COMPUTED_VALUE"""),42600)</f>
        <v>42600</v>
      </c>
      <c r="I1234" s="2"/>
      <c r="J1234" s="2"/>
      <c r="K1234" s="2" t="str">
        <f ca="1">IFERROR(__xludf.DUMMYFUNCTION("""COMPUTED_VALUE"""),"Filtrado Tang")</f>
        <v>Filtrado Tang</v>
      </c>
      <c r="L1234" s="2" t="str">
        <f ca="1">IFERROR(__xludf.DUMMYFUNCTION("""COMPUTED_VALUE"""),"1")</f>
        <v>1</v>
      </c>
      <c r="M1234" s="2"/>
    </row>
    <row r="1235" spans="1:13" x14ac:dyDescent="0.25">
      <c r="A1235" s="2" t="str">
        <f ca="1">IFERROR(__xludf.DUMMYFUNCTION("""COMPUTED_VALUE"""),"f98c39b0")</f>
        <v>f98c39b0</v>
      </c>
      <c r="B1235" s="2"/>
      <c r="C1235" s="5">
        <f ca="1">IFERROR(__xludf.DUMMYFUNCTION("""COMPUTED_VALUE"""),45954.4965972222)</f>
        <v>45954.496597222198</v>
      </c>
      <c r="D1235" s="2">
        <f ca="1">IFERROR(__xludf.DUMMYFUNCTION("""COMPUTED_VALUE"""),48)</f>
        <v>48</v>
      </c>
      <c r="E1235" s="2">
        <f ca="1">IFERROR(__xludf.DUMMYFUNCTION("""COMPUTED_VALUE"""),26000)</f>
        <v>26000</v>
      </c>
      <c r="F1235" s="2" t="str">
        <f ca="1">IFERROR(__xludf.DUMMYFUNCTION("""COMPUTED_VALUE"""),"Cabernet Sauvignon Rect")</f>
        <v>Cabernet Sauvignon Rect</v>
      </c>
      <c r="G1235" s="2">
        <f ca="1">IFERROR(__xludf.DUMMYFUNCTION("""COMPUTED_VALUE"""),0)</f>
        <v>0</v>
      </c>
      <c r="H1235" s="2">
        <f ca="1">IFERROR(__xludf.DUMMYFUNCTION("""COMPUTED_VALUE"""),26000)</f>
        <v>26000</v>
      </c>
      <c r="I1235" s="2"/>
      <c r="J1235" s="2"/>
      <c r="K1235" s="2" t="str">
        <f ca="1">IFERROR(__xludf.DUMMYFUNCTION("""COMPUTED_VALUE"""),"Rectificado")</f>
        <v>Rectificado</v>
      </c>
      <c r="L1235" s="2" t="str">
        <f ca="1">IFERROR(__xludf.DUMMYFUNCTION("""COMPUTED_VALUE"""),"1")</f>
        <v>1</v>
      </c>
      <c r="M1235" s="2" t="str">
        <f ca="1">IFERROR(__xludf.DUMMYFUNCTION("""COMPUTED_VALUE"""),"Tinto")</f>
        <v>Tinto</v>
      </c>
    </row>
    <row r="1236" spans="1:13" x14ac:dyDescent="0.25">
      <c r="A1236" s="2" t="str">
        <f ca="1">IFERROR(__xludf.DUMMYFUNCTION("""COMPUTED_VALUE"""),"7e87134c")</f>
        <v>7e87134c</v>
      </c>
      <c r="B1236" s="2"/>
      <c r="C1236" s="5">
        <f ca="1">IFERROR(__xludf.DUMMYFUNCTION("""COMPUTED_VALUE"""),45954.4968171296)</f>
        <v>45954.496817129599</v>
      </c>
      <c r="D1236" s="2">
        <f ca="1">IFERROR(__xludf.DUMMYFUNCTION("""COMPUTED_VALUE"""),47)</f>
        <v>47</v>
      </c>
      <c r="E1236" s="2">
        <f ca="1">IFERROR(__xludf.DUMMYFUNCTION("""COMPUTED_VALUE"""),20000)</f>
        <v>20000</v>
      </c>
      <c r="F1236" s="2" t="str">
        <f ca="1">IFERROR(__xludf.DUMMYFUNCTION("""COMPUTED_VALUE"""),"Cabernet Sauvignon Rect")</f>
        <v>Cabernet Sauvignon Rect</v>
      </c>
      <c r="G1236" s="2">
        <f ca="1">IFERROR(__xludf.DUMMYFUNCTION("""COMPUTED_VALUE"""),0)</f>
        <v>0</v>
      </c>
      <c r="H1236" s="2">
        <f ca="1">IFERROR(__xludf.DUMMYFUNCTION("""COMPUTED_VALUE"""),20000)</f>
        <v>20000</v>
      </c>
      <c r="I1236" s="2"/>
      <c r="J1236" s="2"/>
      <c r="K1236" s="2" t="str">
        <f ca="1">IFERROR(__xludf.DUMMYFUNCTION("""COMPUTED_VALUE"""),"Rectificado")</f>
        <v>Rectificado</v>
      </c>
      <c r="L1236" s="2" t="str">
        <f ca="1">IFERROR(__xludf.DUMMYFUNCTION("""COMPUTED_VALUE"""),"1")</f>
        <v>1</v>
      </c>
      <c r="M1236" s="2" t="str">
        <f ca="1">IFERROR(__xludf.DUMMYFUNCTION("""COMPUTED_VALUE"""),"Tinto")</f>
        <v>Tinto</v>
      </c>
    </row>
    <row r="1237" spans="1:13" x14ac:dyDescent="0.25">
      <c r="A1237" s="2" t="str">
        <f ca="1">IFERROR(__xludf.DUMMYFUNCTION("""COMPUTED_VALUE"""),"2205db11")</f>
        <v>2205db11</v>
      </c>
      <c r="B1237" s="2"/>
      <c r="C1237" s="5">
        <f ca="1">IFERROR(__xludf.DUMMYFUNCTION("""COMPUTED_VALUE"""),45954.497824074)</f>
        <v>45954.497824074002</v>
      </c>
      <c r="D1237" s="2">
        <f ca="1">IFERROR(__xludf.DUMMYFUNCTION("""COMPUTED_VALUE"""),500)</f>
        <v>500</v>
      </c>
      <c r="E1237" s="2">
        <f ca="1">IFERROR(__xludf.DUMMYFUNCTION("""COMPUTED_VALUE"""),200000)</f>
        <v>200000</v>
      </c>
      <c r="F1237" s="2" t="str">
        <f ca="1">IFERROR(__xludf.DUMMYFUNCTION("""COMPUTED_VALUE"""),"Malbec Traslado Millan")</f>
        <v>Malbec Traslado Millan</v>
      </c>
      <c r="G1237" s="2">
        <f ca="1">IFERROR(__xludf.DUMMYFUNCTION("""COMPUTED_VALUE"""),0)</f>
        <v>0</v>
      </c>
      <c r="H1237" s="2">
        <f ca="1">IFERROR(__xludf.DUMMYFUNCTION("""COMPUTED_VALUE"""),119250)</f>
        <v>119250</v>
      </c>
      <c r="I1237" s="2"/>
      <c r="J1237" s="2"/>
      <c r="K1237" s="2" t="str">
        <f ca="1">IFERROR(__xludf.DUMMYFUNCTION("""COMPUTED_VALUE"""),"Traslado Venta")</f>
        <v>Traslado Venta</v>
      </c>
      <c r="L1237" s="2" t="str">
        <f ca="1">IFERROR(__xludf.DUMMYFUNCTION("""COMPUTED_VALUE"""),"1+")</f>
        <v>1+</v>
      </c>
      <c r="M1237" s="2"/>
    </row>
    <row r="1238" spans="1:13" x14ac:dyDescent="0.25">
      <c r="A1238" s="2" t="str">
        <f ca="1">IFERROR(__xludf.DUMMYFUNCTION("""COMPUTED_VALUE"""),"ddfde07f")</f>
        <v>ddfde07f</v>
      </c>
      <c r="B1238" s="2"/>
      <c r="C1238" s="5">
        <f ca="1">IFERROR(__xludf.DUMMYFUNCTION("""COMPUTED_VALUE"""),45954.4985069444)</f>
        <v>45954.498506944401</v>
      </c>
      <c r="D1238" s="2">
        <f ca="1">IFERROR(__xludf.DUMMYFUNCTION("""COMPUTED_VALUE"""),114)</f>
        <v>114</v>
      </c>
      <c r="E1238" s="2">
        <f ca="1">IFERROR(__xludf.DUMMYFUNCTION("""COMPUTED_VALUE"""),125300)</f>
        <v>125300</v>
      </c>
      <c r="F1238" s="2" t="str">
        <f ca="1">IFERROR(__xludf.DUMMYFUNCTION("""COMPUTED_VALUE"""),"Cabernet Sauvignon")</f>
        <v>Cabernet Sauvignon</v>
      </c>
      <c r="G1238" s="2">
        <f ca="1">IFERROR(__xludf.DUMMYFUNCTION("""COMPUTED_VALUE"""),75300)</f>
        <v>75300</v>
      </c>
      <c r="H1238" s="2">
        <f ca="1">IFERROR(__xludf.DUMMYFUNCTION("""COMPUTED_VALUE"""),76250)</f>
        <v>76250</v>
      </c>
      <c r="I1238" s="2"/>
      <c r="J1238" s="2"/>
      <c r="K1238" s="2" t="str">
        <f ca="1">IFERROR(__xludf.DUMMYFUNCTION("""COMPUTED_VALUE"""),"Filtrado Tang")</f>
        <v>Filtrado Tang</v>
      </c>
      <c r="L1238" s="2" t="str">
        <f ca="1">IFERROR(__xludf.DUMMYFUNCTION("""COMPUTED_VALUE"""),"1")</f>
        <v>1</v>
      </c>
      <c r="M1238" s="2"/>
    </row>
    <row r="1239" spans="1:13" x14ac:dyDescent="0.25">
      <c r="A1239" s="2" t="str">
        <f ca="1">IFERROR(__xludf.DUMMYFUNCTION("""COMPUTED_VALUE"""),"200f92f0")</f>
        <v>200f92f0</v>
      </c>
      <c r="B1239" s="2"/>
      <c r="C1239" s="5">
        <f ca="1">IFERROR(__xludf.DUMMYFUNCTION("""COMPUTED_VALUE"""),45964.7057754629)</f>
        <v>45964.705775462899</v>
      </c>
      <c r="D1239" s="2">
        <f ca="1">IFERROR(__xludf.DUMMYFUNCTION("""COMPUTED_VALUE"""),5)</f>
        <v>5</v>
      </c>
      <c r="E1239" s="2">
        <f ca="1">IFERROR(__xludf.DUMMYFUNCTION("""COMPUTED_VALUE"""),30000)</f>
        <v>30000</v>
      </c>
      <c r="F1239" s="2" t="str">
        <f ca="1">IFERROR(__xludf.DUMMYFUNCTION("""COMPUTED_VALUE"""),"Cabernet Sauvignon Rect")</f>
        <v>Cabernet Sauvignon Rect</v>
      </c>
      <c r="G1239" s="2">
        <f ca="1">IFERROR(__xludf.DUMMYFUNCTION("""COMPUTED_VALUE"""),0)</f>
        <v>0</v>
      </c>
      <c r="H1239" s="2">
        <f ca="1">IFERROR(__xludf.DUMMYFUNCTION("""COMPUTED_VALUE"""),30000)</f>
        <v>30000</v>
      </c>
      <c r="I1239" s="2"/>
      <c r="J1239" s="2"/>
      <c r="K1239" s="2" t="str">
        <f ca="1">IFERROR(__xludf.DUMMYFUNCTION("""COMPUTED_VALUE"""),"Rectificado")</f>
        <v>Rectificado</v>
      </c>
      <c r="L1239" s="2" t="str">
        <f ca="1">IFERROR(__xludf.DUMMYFUNCTION("""COMPUTED_VALUE"""),"1")</f>
        <v>1</v>
      </c>
      <c r="M1239" s="2" t="str">
        <f ca="1">IFERROR(__xludf.DUMMYFUNCTION("""COMPUTED_VALUE"""),"Tinto")</f>
        <v>Tinto</v>
      </c>
    </row>
    <row r="1240" spans="1:13" x14ac:dyDescent="0.25">
      <c r="A1240" s="2" t="str">
        <f ca="1">IFERROR(__xludf.DUMMYFUNCTION("""COMPUTED_VALUE"""),"6130a7df")</f>
        <v>6130a7df</v>
      </c>
      <c r="B1240" s="2"/>
      <c r="C1240" s="5">
        <f ca="1">IFERROR(__xludf.DUMMYFUNCTION("""COMPUTED_VALUE"""),45964.7065046296)</f>
        <v>45964.706504629597</v>
      </c>
      <c r="D1240" s="2">
        <f ca="1">IFERROR(__xludf.DUMMYFUNCTION("""COMPUTED_VALUE"""),44)</f>
        <v>44</v>
      </c>
      <c r="E1240" s="2">
        <f ca="1">IFERROR(__xludf.DUMMYFUNCTION("""COMPUTED_VALUE"""),19100)</f>
        <v>19100</v>
      </c>
      <c r="F1240" s="2" t="str">
        <f ca="1">IFERROR(__xludf.DUMMYFUNCTION("""COMPUTED_VALUE"""),"Cabernet Sauvignon")</f>
        <v>Cabernet Sauvignon</v>
      </c>
      <c r="G1240" s="2">
        <f ca="1">IFERROR(__xludf.DUMMYFUNCTION("""COMPUTED_VALUE"""),5295)</f>
        <v>5295</v>
      </c>
      <c r="H1240" s="2">
        <f ca="1">IFERROR(__xludf.DUMMYFUNCTION("""COMPUTED_VALUE"""),7295)</f>
        <v>7295</v>
      </c>
      <c r="I1240" s="2"/>
      <c r="J1240" s="2"/>
      <c r="K1240" s="2" t="str">
        <f ca="1">IFERROR(__xludf.DUMMYFUNCTION("""COMPUTED_VALUE"""),"Rectificado")</f>
        <v>Rectificado</v>
      </c>
      <c r="L1240" s="2" t="str">
        <f ca="1">IFERROR(__xludf.DUMMYFUNCTION("""COMPUTED_VALUE"""),"2+")</f>
        <v>2+</v>
      </c>
      <c r="M1240" s="2"/>
    </row>
    <row r="1241" spans="1:13" x14ac:dyDescent="0.25">
      <c r="A1241" s="2" t="str">
        <f ca="1">IFERROR(__xludf.DUMMYFUNCTION("""COMPUTED_VALUE"""),"4bdef056")</f>
        <v>4bdef056</v>
      </c>
      <c r="B1241" s="2"/>
      <c r="C1241" s="5">
        <f ca="1">IFERROR(__xludf.DUMMYFUNCTION("""COMPUTED_VALUE"""),45964.706875)</f>
        <v>45964.706875000003</v>
      </c>
      <c r="D1241" s="2">
        <f ca="1">IFERROR(__xludf.DUMMYFUNCTION("""COMPUTED_VALUE"""),44)</f>
        <v>44</v>
      </c>
      <c r="E1241" s="2">
        <f ca="1">IFERROR(__xludf.DUMMYFUNCTION("""COMPUTED_VALUE"""),19100)</f>
        <v>19100</v>
      </c>
      <c r="F1241" s="2" t="str">
        <f ca="1">IFERROR(__xludf.DUMMYFUNCTION("""COMPUTED_VALUE"""),"Cabernet Sauvignon")</f>
        <v>Cabernet Sauvignon</v>
      </c>
      <c r="G1241" s="2">
        <f ca="1">IFERROR(__xludf.DUMMYFUNCTION("""COMPUTED_VALUE"""),7295)</f>
        <v>7295</v>
      </c>
      <c r="H1241" s="2">
        <f ca="1">IFERROR(__xludf.DUMMYFUNCTION("""COMPUTED_VALUE"""),19100)</f>
        <v>19100</v>
      </c>
      <c r="I1241" s="2"/>
      <c r="J1241" s="2"/>
      <c r="K1241" s="2" t="str">
        <f ca="1">IFERROR(__xludf.DUMMYFUNCTION("""COMPUTED_VALUE"""),"Rectificado")</f>
        <v>Rectificado</v>
      </c>
      <c r="L1241" s="2" t="str">
        <f ca="1">IFERROR(__xludf.DUMMYFUNCTION("""COMPUTED_VALUE"""),"2+")</f>
        <v>2+</v>
      </c>
      <c r="M1241" s="2" t="str">
        <f ca="1">IFERROR(__xludf.DUMMYFUNCTION("""COMPUTED_VALUE"""),"Tinto")</f>
        <v>Tinto</v>
      </c>
    </row>
    <row r="1242" spans="1:13" x14ac:dyDescent="0.25">
      <c r="A1242" s="2" t="str">
        <f ca="1">IFERROR(__xludf.DUMMYFUNCTION("""COMPUTED_VALUE"""),"f2d3bd3e")</f>
        <v>f2d3bd3e</v>
      </c>
      <c r="B1242" s="2"/>
      <c r="C1242" s="5">
        <f ca="1">IFERROR(__xludf.DUMMYFUNCTION("""COMPUTED_VALUE"""),45964.7148958333)</f>
        <v>45964.714895833298</v>
      </c>
      <c r="D1242" s="2">
        <f ca="1">IFERROR(__xludf.DUMMYFUNCTION("""COMPUTED_VALUE"""),10)</f>
        <v>10</v>
      </c>
      <c r="E1242" s="2">
        <f ca="1">IFERROR(__xludf.DUMMYFUNCTION("""COMPUTED_VALUE"""),21000)</f>
        <v>21000</v>
      </c>
      <c r="F1242" s="2" t="str">
        <f ca="1">IFERROR(__xludf.DUMMYFUNCTION("""COMPUTED_VALUE"""),"Cabernet Sauvignon")</f>
        <v>Cabernet Sauvignon</v>
      </c>
      <c r="G1242" s="2">
        <f ca="1">IFERROR(__xludf.DUMMYFUNCTION("""COMPUTED_VALUE"""),0)</f>
        <v>0</v>
      </c>
      <c r="H1242" s="2">
        <f ca="1">IFERROR(__xludf.DUMMYFUNCTION("""COMPUTED_VALUE"""),15000)</f>
        <v>15000</v>
      </c>
      <c r="I1242" s="2"/>
      <c r="J1242" s="2"/>
      <c r="K1242" s="2" t="str">
        <f ca="1">IFERROR(__xludf.DUMMYFUNCTION("""COMPUTED_VALUE"""),"Rectificado")</f>
        <v>Rectificado</v>
      </c>
      <c r="L1242" s="2" t="str">
        <f ca="1">IFERROR(__xludf.DUMMYFUNCTION("""COMPUTED_VALUE"""),"1")</f>
        <v>1</v>
      </c>
      <c r="M1242" s="2"/>
    </row>
    <row r="1243" spans="1:13" x14ac:dyDescent="0.25">
      <c r="A1243" s="2" t="str">
        <f ca="1">IFERROR(__xludf.DUMMYFUNCTION("""COMPUTED_VALUE"""),"bf803f5c")</f>
        <v>bf803f5c</v>
      </c>
      <c r="B1243" s="2"/>
      <c r="C1243" s="5">
        <f ca="1">IFERROR(__xludf.DUMMYFUNCTION("""COMPUTED_VALUE"""),45975.5096875)</f>
        <v>45975.509687500002</v>
      </c>
      <c r="D1243" s="2">
        <f ca="1">IFERROR(__xludf.DUMMYFUNCTION("""COMPUTED_VALUE"""),10)</f>
        <v>10</v>
      </c>
      <c r="E1243" s="2">
        <f ca="1">IFERROR(__xludf.DUMMYFUNCTION("""COMPUTED_VALUE"""),21000)</f>
        <v>21000</v>
      </c>
      <c r="F1243" s="2" t="str">
        <f ca="1">IFERROR(__xludf.DUMMYFUNCTION("""COMPUTED_VALUE"""),"Cabernet Sauvignon Rect")</f>
        <v>Cabernet Sauvignon Rect</v>
      </c>
      <c r="G1243" s="2">
        <f ca="1">IFERROR(__xludf.DUMMYFUNCTION("""COMPUTED_VALUE"""),15000)</f>
        <v>15000</v>
      </c>
      <c r="H1243" s="2">
        <f ca="1">IFERROR(__xludf.DUMMYFUNCTION("""COMPUTED_VALUE"""),21000)</f>
        <v>21000</v>
      </c>
      <c r="I1243" s="2"/>
      <c r="J1243" s="2"/>
      <c r="K1243" s="2" t="str">
        <f ca="1">IFERROR(__xludf.DUMMYFUNCTION("""COMPUTED_VALUE"""),"Rectificado")</f>
        <v>Rectificado</v>
      </c>
      <c r="L1243" s="2" t="str">
        <f ca="1">IFERROR(__xludf.DUMMYFUNCTION("""COMPUTED_VALUE"""),"1")</f>
        <v>1</v>
      </c>
      <c r="M1243" s="2" t="str">
        <f ca="1">IFERROR(__xludf.DUMMYFUNCTION("""COMPUTED_VALUE"""),"Tinto")</f>
        <v>Tinto</v>
      </c>
    </row>
    <row r="1244" spans="1:13" x14ac:dyDescent="0.25">
      <c r="A1244" s="2" t="str">
        <f ca="1">IFERROR(__xludf.DUMMYFUNCTION("""COMPUTED_VALUE"""),"9b04723e")</f>
        <v>9b04723e</v>
      </c>
      <c r="B1244" s="2"/>
      <c r="C1244" s="5">
        <f ca="1">IFERROR(__xludf.DUMMYFUNCTION("""COMPUTED_VALUE"""),45975.5108796296)</f>
        <v>45975.510879629597</v>
      </c>
      <c r="D1244" s="2">
        <f ca="1">IFERROR(__xludf.DUMMYFUNCTION("""COMPUTED_VALUE"""),54)</f>
        <v>54</v>
      </c>
      <c r="E1244" s="2">
        <f ca="1">IFERROR(__xludf.DUMMYFUNCTION("""COMPUTED_VALUE"""),22900)</f>
        <v>22900</v>
      </c>
      <c r="F1244" s="2" t="str">
        <f ca="1">IFERROR(__xludf.DUMMYFUNCTION("""COMPUTED_VALUE"""),"Cabernet Sauvignon Rect")</f>
        <v>Cabernet Sauvignon Rect</v>
      </c>
      <c r="G1244" s="2">
        <f ca="1">IFERROR(__xludf.DUMMYFUNCTION("""COMPUTED_VALUE"""),0)</f>
        <v>0</v>
      </c>
      <c r="H1244" s="2">
        <f ca="1">IFERROR(__xludf.DUMMYFUNCTION("""COMPUTED_VALUE"""),22900)</f>
        <v>22900</v>
      </c>
      <c r="I1244" s="2"/>
      <c r="J1244" s="2"/>
      <c r="K1244" s="2" t="str">
        <f ca="1">IFERROR(__xludf.DUMMYFUNCTION("""COMPUTED_VALUE"""),"Rectificado")</f>
        <v>Rectificado</v>
      </c>
      <c r="L1244" s="2" t="str">
        <f ca="1">IFERROR(__xludf.DUMMYFUNCTION("""COMPUTED_VALUE"""),"1")</f>
        <v>1</v>
      </c>
      <c r="M1244" s="2" t="str">
        <f ca="1">IFERROR(__xludf.DUMMYFUNCTION("""COMPUTED_VALUE"""),"Tinto")</f>
        <v>Tinto</v>
      </c>
    </row>
    <row r="1245" spans="1:13" x14ac:dyDescent="0.25">
      <c r="A1245" s="2" t="str">
        <f ca="1">IFERROR(__xludf.DUMMYFUNCTION("""COMPUTED_VALUE"""),"33102bed")</f>
        <v>33102bed</v>
      </c>
      <c r="B1245" s="2"/>
      <c r="C1245" s="5">
        <f ca="1">IFERROR(__xludf.DUMMYFUNCTION("""COMPUTED_VALUE"""),45975.5111574074)</f>
        <v>45975.511157407404</v>
      </c>
      <c r="D1245" s="2">
        <f ca="1">IFERROR(__xludf.DUMMYFUNCTION("""COMPUTED_VALUE"""),53)</f>
        <v>53</v>
      </c>
      <c r="E1245" s="2">
        <f ca="1">IFERROR(__xludf.DUMMYFUNCTION("""COMPUTED_VALUE"""),22000)</f>
        <v>22000</v>
      </c>
      <c r="F1245" s="2" t="str">
        <f ca="1">IFERROR(__xludf.DUMMYFUNCTION("""COMPUTED_VALUE"""),"Cabernet Sauvignon Rect")</f>
        <v>Cabernet Sauvignon Rect</v>
      </c>
      <c r="G1245" s="2">
        <f ca="1">IFERROR(__xludf.DUMMYFUNCTION("""COMPUTED_VALUE"""),0)</f>
        <v>0</v>
      </c>
      <c r="H1245" s="2">
        <f ca="1">IFERROR(__xludf.DUMMYFUNCTION("""COMPUTED_VALUE"""),20545)</f>
        <v>20545</v>
      </c>
      <c r="I1245" s="2"/>
      <c r="J1245" s="2"/>
      <c r="K1245" s="2" t="str">
        <f ca="1">IFERROR(__xludf.DUMMYFUNCTION("""COMPUTED_VALUE"""),"Rectificado")</f>
        <v>Rectificado</v>
      </c>
      <c r="L1245" s="2" t="str">
        <f ca="1">IFERROR(__xludf.DUMMYFUNCTION("""COMPUTED_VALUE"""),"1")</f>
        <v>1</v>
      </c>
      <c r="M1245" s="2"/>
    </row>
    <row r="1246" spans="1:13" x14ac:dyDescent="0.25">
      <c r="A1246" s="2" t="str">
        <f ca="1">IFERROR(__xludf.DUMMYFUNCTION("""COMPUTED_VALUE"""),"bf060836")</f>
        <v>bf060836</v>
      </c>
      <c r="B1246" s="2"/>
      <c r="C1246" s="5">
        <f ca="1">IFERROR(__xludf.DUMMYFUNCTION("""COMPUTED_VALUE"""),45975.5118981481)</f>
        <v>45975.511898148099</v>
      </c>
      <c r="D1246" s="2">
        <f ca="1">IFERROR(__xludf.DUMMYFUNCTION("""COMPUTED_VALUE"""),53)</f>
        <v>53</v>
      </c>
      <c r="E1246" s="2">
        <f ca="1">IFERROR(__xludf.DUMMYFUNCTION("""COMPUTED_VALUE"""),22000)</f>
        <v>22000</v>
      </c>
      <c r="F1246" s="2" t="str">
        <f ca="1">IFERROR(__xludf.DUMMYFUNCTION("""COMPUTED_VALUE"""),"Cabernet Sauvignon Rect")</f>
        <v>Cabernet Sauvignon Rect</v>
      </c>
      <c r="G1246" s="2">
        <f ca="1">IFERROR(__xludf.DUMMYFUNCTION("""COMPUTED_VALUE"""),20545)</f>
        <v>20545</v>
      </c>
      <c r="H1246" s="2">
        <f ca="1">IFERROR(__xludf.DUMMYFUNCTION("""COMPUTED_VALUE"""),22000)</f>
        <v>22000</v>
      </c>
      <c r="I1246" s="2"/>
      <c r="J1246" s="2"/>
      <c r="K1246" s="2" t="str">
        <f ca="1">IFERROR(__xludf.DUMMYFUNCTION("""COMPUTED_VALUE"""),"Rectificado")</f>
        <v>Rectificado</v>
      </c>
      <c r="L1246" s="2" t="str">
        <f ca="1">IFERROR(__xludf.DUMMYFUNCTION("""COMPUTED_VALUE"""),"1")</f>
        <v>1</v>
      </c>
      <c r="M1246" s="2"/>
    </row>
    <row r="1247" spans="1:13" x14ac:dyDescent="0.25">
      <c r="A1247" s="2" t="str">
        <f ca="1">IFERROR(__xludf.DUMMYFUNCTION("""COMPUTED_VALUE"""),"8c8c2ed7")</f>
        <v>8c8c2ed7</v>
      </c>
      <c r="B1247" s="2"/>
      <c r="C1247" s="5">
        <f ca="1">IFERROR(__xludf.DUMMYFUNCTION("""COMPUTED_VALUE"""),45975.5121759259)</f>
        <v>45975.512175925898</v>
      </c>
      <c r="D1247" s="2">
        <f ca="1">IFERROR(__xludf.DUMMYFUNCTION("""COMPUTED_VALUE"""),9)</f>
        <v>9</v>
      </c>
      <c r="E1247" s="2">
        <f ca="1">IFERROR(__xludf.DUMMYFUNCTION("""COMPUTED_VALUE"""),30000)</f>
        <v>30000</v>
      </c>
      <c r="F1247" s="2" t="str">
        <f ca="1">IFERROR(__xludf.DUMMYFUNCTION("""COMPUTED_VALUE"""),"Malbec Rect")</f>
        <v>Malbec Rect</v>
      </c>
      <c r="G1247" s="2">
        <f ca="1">IFERROR(__xludf.DUMMYFUNCTION("""COMPUTED_VALUE"""),0)</f>
        <v>0</v>
      </c>
      <c r="H1247" s="2">
        <f ca="1">IFERROR(__xludf.DUMMYFUNCTION("""COMPUTED_VALUE"""),30000)</f>
        <v>30000</v>
      </c>
      <c r="I1247" s="2"/>
      <c r="J1247" s="2"/>
      <c r="K1247" s="2" t="str">
        <f ca="1">IFERROR(__xludf.DUMMYFUNCTION("""COMPUTED_VALUE"""),"Rectificado")</f>
        <v>Rectificado</v>
      </c>
      <c r="L1247" s="2" t="str">
        <f ca="1">IFERROR(__xludf.DUMMYFUNCTION("""COMPUTED_VALUE"""),"1-")</f>
        <v>1-</v>
      </c>
      <c r="M1247" s="2" t="str">
        <f ca="1">IFERROR(__xludf.DUMMYFUNCTION("""COMPUTED_VALUE"""),"Tinto")</f>
        <v>Tinto</v>
      </c>
    </row>
    <row r="1248" spans="1:13" x14ac:dyDescent="0.25">
      <c r="A1248" s="2" t="str">
        <f ca="1">IFERROR(__xludf.DUMMYFUNCTION("""COMPUTED_VALUE"""),"ebd1f758")</f>
        <v>ebd1f758</v>
      </c>
      <c r="B1248" s="2"/>
      <c r="C1248" s="5">
        <f ca="1">IFERROR(__xludf.DUMMYFUNCTION("""COMPUTED_VALUE"""),45975.7902893518)</f>
        <v>45975.790289351797</v>
      </c>
      <c r="D1248" s="2">
        <f ca="1">IFERROR(__xludf.DUMMYFUNCTION("""COMPUTED_VALUE"""),8)</f>
        <v>8</v>
      </c>
      <c r="E1248" s="2">
        <f ca="1">IFERROR(__xludf.DUMMYFUNCTION("""COMPUTED_VALUE"""),22000)</f>
        <v>22000</v>
      </c>
      <c r="F1248" s="2" t="str">
        <f ca="1">IFERROR(__xludf.DUMMYFUNCTION("""COMPUTED_VALUE"""),"Malbec Rect")</f>
        <v>Malbec Rect</v>
      </c>
      <c r="G1248" s="2">
        <f ca="1">IFERROR(__xludf.DUMMYFUNCTION("""COMPUTED_VALUE"""),0)</f>
        <v>0</v>
      </c>
      <c r="H1248" s="2">
        <f ca="1">IFERROR(__xludf.DUMMYFUNCTION("""COMPUTED_VALUE"""),10000)</f>
        <v>10000</v>
      </c>
      <c r="I1248" s="2"/>
      <c r="J1248" s="2"/>
      <c r="K1248" s="2" t="str">
        <f ca="1">IFERROR(__xludf.DUMMYFUNCTION("""COMPUTED_VALUE"""),"Rectificado")</f>
        <v>Rectificado</v>
      </c>
      <c r="L1248" s="2" t="str">
        <f ca="1">IFERROR(__xludf.DUMMYFUNCTION("""COMPUTED_VALUE"""),"1-")</f>
        <v>1-</v>
      </c>
      <c r="M1248" s="2"/>
    </row>
    <row r="1249" spans="1:13" x14ac:dyDescent="0.25">
      <c r="A1249" s="2" t="str">
        <f ca="1">IFERROR(__xludf.DUMMYFUNCTION("""COMPUTED_VALUE"""),"2ec8ae5c")</f>
        <v>2ec8ae5c</v>
      </c>
      <c r="B1249" s="2"/>
      <c r="C1249" s="5">
        <f ca="1">IFERROR(__xludf.DUMMYFUNCTION("""COMPUTED_VALUE"""),45975.7997569444)</f>
        <v>45975.799756944398</v>
      </c>
      <c r="D1249" s="2">
        <f ca="1">IFERROR(__xludf.DUMMYFUNCTION("""COMPUTED_VALUE"""),6)</f>
        <v>6</v>
      </c>
      <c r="E1249" s="2">
        <f ca="1">IFERROR(__xludf.DUMMYFUNCTION("""COMPUTED_VALUE"""),32000)</f>
        <v>32000</v>
      </c>
      <c r="F1249" s="2" t="str">
        <f ca="1">IFERROR(__xludf.DUMMYFUNCTION("""COMPUTED_VALUE"""),"Cabernet Sauvignon Rect")</f>
        <v>Cabernet Sauvignon Rect</v>
      </c>
      <c r="G1249" s="2">
        <f ca="1">IFERROR(__xludf.DUMMYFUNCTION("""COMPUTED_VALUE"""),0)</f>
        <v>0</v>
      </c>
      <c r="H1249" s="2">
        <f ca="1">IFERROR(__xludf.DUMMYFUNCTION("""COMPUTED_VALUE"""),22000)</f>
        <v>22000</v>
      </c>
      <c r="I1249" s="2"/>
      <c r="J1249" s="2"/>
      <c r="K1249" s="2" t="str">
        <f ca="1">IFERROR(__xludf.DUMMYFUNCTION("""COMPUTED_VALUE"""),"Rectificado")</f>
        <v>Rectificado</v>
      </c>
      <c r="L1249" s="2" t="str">
        <f ca="1">IFERROR(__xludf.DUMMYFUNCTION("""COMPUTED_VALUE"""),"1")</f>
        <v>1</v>
      </c>
      <c r="M1249" s="2"/>
    </row>
    <row r="1250" spans="1:13" x14ac:dyDescent="0.25">
      <c r="A1250" s="2" t="str">
        <f ca="1">IFERROR(__xludf.DUMMYFUNCTION("""COMPUTED_VALUE"""),"4e87c697")</f>
        <v>4e87c697</v>
      </c>
      <c r="B1250" s="2"/>
      <c r="C1250" s="5">
        <f ca="1">IFERROR(__xludf.DUMMYFUNCTION("""COMPUTED_VALUE"""),45975.8001041666)</f>
        <v>45975.800104166599</v>
      </c>
      <c r="D1250" s="2">
        <f ca="1">IFERROR(__xludf.DUMMYFUNCTION("""COMPUTED_VALUE"""),6)</f>
        <v>6</v>
      </c>
      <c r="E1250" s="2">
        <f ca="1">IFERROR(__xludf.DUMMYFUNCTION("""COMPUTED_VALUE"""),32000)</f>
        <v>32000</v>
      </c>
      <c r="F1250" s="2" t="str">
        <f ca="1">IFERROR(__xludf.DUMMYFUNCTION("""COMPUTED_VALUE"""),"Cabernet Sauvignon Rect")</f>
        <v>Cabernet Sauvignon Rect</v>
      </c>
      <c r="G1250" s="2">
        <f ca="1">IFERROR(__xludf.DUMMYFUNCTION("""COMPUTED_VALUE"""),22000)</f>
        <v>22000</v>
      </c>
      <c r="H1250" s="2">
        <f ca="1">IFERROR(__xludf.DUMMYFUNCTION("""COMPUTED_VALUE"""),32000)</f>
        <v>32000</v>
      </c>
      <c r="I1250" s="2"/>
      <c r="J1250" s="2"/>
      <c r="K1250" s="2" t="str">
        <f ca="1">IFERROR(__xludf.DUMMYFUNCTION("""COMPUTED_VALUE"""),"Rectificado")</f>
        <v>Rectificado</v>
      </c>
      <c r="L1250" s="2" t="str">
        <f ca="1">IFERROR(__xludf.DUMMYFUNCTION("""COMPUTED_VALUE"""),"1")</f>
        <v>1</v>
      </c>
      <c r="M1250" s="2" t="str">
        <f ca="1">IFERROR(__xludf.DUMMYFUNCTION("""COMPUTED_VALUE"""),"Tinto")</f>
        <v>Tinto</v>
      </c>
    </row>
    <row r="1251" spans="1:13" x14ac:dyDescent="0.25">
      <c r="A1251" s="2" t="str">
        <f ca="1">IFERROR(__xludf.DUMMYFUNCTION("""COMPUTED_VALUE"""),"6831c95d")</f>
        <v>6831c95d</v>
      </c>
      <c r="B1251" s="2"/>
      <c r="C1251" s="5">
        <f ca="1">IFERROR(__xludf.DUMMYFUNCTION("""COMPUTED_VALUE"""),45975.8005787037)</f>
        <v>45975.800578703696</v>
      </c>
      <c r="D1251" s="2">
        <f ca="1">IFERROR(__xludf.DUMMYFUNCTION("""COMPUTED_VALUE"""),53)</f>
        <v>53</v>
      </c>
      <c r="E1251" s="2">
        <f ca="1">IFERROR(__xludf.DUMMYFUNCTION("""COMPUTED_VALUE"""),22000)</f>
        <v>22000</v>
      </c>
      <c r="F1251" s="2" t="str">
        <f ca="1">IFERROR(__xludf.DUMMYFUNCTION("""COMPUTED_VALUE"""),"Malbec Rect")</f>
        <v>Malbec Rect</v>
      </c>
      <c r="G1251" s="2">
        <f ca="1">IFERROR(__xludf.DUMMYFUNCTION("""COMPUTED_VALUE"""),0)</f>
        <v>0</v>
      </c>
      <c r="H1251" s="2">
        <f ca="1">IFERROR(__xludf.DUMMYFUNCTION("""COMPUTED_VALUE"""),22000)</f>
        <v>22000</v>
      </c>
      <c r="I1251" s="2"/>
      <c r="J1251" s="2"/>
      <c r="K1251" s="2" t="str">
        <f ca="1">IFERROR(__xludf.DUMMYFUNCTION("""COMPUTED_VALUE"""),"Rectificado")</f>
        <v>Rectificado</v>
      </c>
      <c r="L1251" s="2" t="str">
        <f ca="1">IFERROR(__xludf.DUMMYFUNCTION("""COMPUTED_VALUE"""),"1-")</f>
        <v>1-</v>
      </c>
      <c r="M1251" s="2"/>
    </row>
    <row r="1252" spans="1:13" x14ac:dyDescent="0.25">
      <c r="A1252" s="2" t="str">
        <f ca="1">IFERROR(__xludf.DUMMYFUNCTION("""COMPUTED_VALUE"""),"8efff8e7")</f>
        <v>8efff8e7</v>
      </c>
      <c r="B1252" s="2"/>
      <c r="C1252" s="5">
        <f ca="1">IFERROR(__xludf.DUMMYFUNCTION("""COMPUTED_VALUE"""),45979.6430439813)</f>
        <v>45979.643043981399</v>
      </c>
      <c r="D1252" s="2">
        <f ca="1">IFERROR(__xludf.DUMMYFUNCTION("""COMPUTED_VALUE"""),31)</f>
        <v>31</v>
      </c>
      <c r="E1252" s="2">
        <f ca="1">IFERROR(__xludf.DUMMYFUNCTION("""COMPUTED_VALUE"""),25700)</f>
        <v>25700</v>
      </c>
      <c r="F1252" s="2" t="str">
        <f ca="1">IFERROR(__xludf.DUMMYFUNCTION("""COMPUTED_VALUE"""),"Bonarda")</f>
        <v>Bonarda</v>
      </c>
      <c r="G1252" s="2"/>
      <c r="H1252" s="2">
        <f ca="1">IFERROR(__xludf.DUMMYFUNCTION("""COMPUTED_VALUE"""),23300)</f>
        <v>23300</v>
      </c>
      <c r="I1252" s="2"/>
      <c r="J1252" s="2" t="str">
        <f ca="1">IFERROR(__xludf.DUMMYFUNCTION("""COMPUTED_VALUE"""),"5951 , 5952 , 5954")</f>
        <v>5951 , 5952 , 5954</v>
      </c>
      <c r="K1252" s="2" t="str">
        <f ca="1">IFERROR(__xludf.DUMMYFUNCTION("""COMPUTED_VALUE"""),"Fermentando")</f>
        <v>Fermentando</v>
      </c>
      <c r="L1252" s="2"/>
      <c r="M1252" s="2" t="str">
        <f ca="1">IFERROR(__xludf.DUMMYFUNCTION("""COMPUTED_VALUE"""),"Tinto")</f>
        <v>Tinto</v>
      </c>
    </row>
    <row r="1253" spans="1:13" x14ac:dyDescent="0.25">
      <c r="A1253" s="2" t="str">
        <f ca="1">IFERROR(__xludf.DUMMYFUNCTION("""COMPUTED_VALUE"""),"18e2d8e5")</f>
        <v>18e2d8e5</v>
      </c>
      <c r="B1253" s="2"/>
      <c r="C1253" s="5">
        <f ca="1">IFERROR(__xludf.DUMMYFUNCTION("""COMPUTED_VALUE"""),45979.6535416666)</f>
        <v>45979.653541666601</v>
      </c>
      <c r="D1253" s="2">
        <f ca="1">IFERROR(__xludf.DUMMYFUNCTION("""COMPUTED_VALUE"""),12)</f>
        <v>12</v>
      </c>
      <c r="E1253" s="2">
        <f ca="1">IFERROR(__xludf.DUMMYFUNCTION("""COMPUTED_VALUE"""),35300)</f>
        <v>35300</v>
      </c>
      <c r="F1253" s="2" t="str">
        <f ca="1">IFERROR(__xludf.DUMMYFUNCTION("""COMPUTED_VALUE"""),"Bonarda")</f>
        <v>Bonarda</v>
      </c>
      <c r="G1253" s="2">
        <f ca="1">IFERROR(__xludf.DUMMYFUNCTION("""COMPUTED_VALUE"""),0)</f>
        <v>0</v>
      </c>
      <c r="H1253" s="2">
        <f ca="1">IFERROR(__xludf.DUMMYFUNCTION("""COMPUTED_VALUE"""),5000)</f>
        <v>5000</v>
      </c>
      <c r="I1253" s="2"/>
      <c r="J1253" s="2"/>
      <c r="K1253" s="2" t="str">
        <f ca="1">IFERROR(__xludf.DUMMYFUNCTION("""COMPUTED_VALUE"""),"Descubada")</f>
        <v>Descubada</v>
      </c>
      <c r="L1253" s="2"/>
      <c r="M1253" s="2"/>
    </row>
    <row r="1254" spans="1:13" x14ac:dyDescent="0.25">
      <c r="A1254" s="2" t="str">
        <f ca="1">IFERROR(__xludf.DUMMYFUNCTION("""COMPUTED_VALUE"""),"aa047cbf")</f>
        <v>aa047cbf</v>
      </c>
      <c r="B1254" s="2"/>
      <c r="C1254" s="5">
        <f ca="1">IFERROR(__xludf.DUMMYFUNCTION("""COMPUTED_VALUE"""),45979.744074074)</f>
        <v>45979.744074073998</v>
      </c>
      <c r="D1254" s="2">
        <f ca="1">IFERROR(__xludf.DUMMYFUNCTION("""COMPUTED_VALUE"""),500)</f>
        <v>500</v>
      </c>
      <c r="E1254" s="2">
        <f ca="1">IFERROR(__xludf.DUMMYFUNCTION("""COMPUTED_VALUE"""),200000)</f>
        <v>200000</v>
      </c>
      <c r="F1254" s="2" t="str">
        <f ca="1">IFERROR(__xludf.DUMMYFUNCTION("""COMPUTED_VALUE"""),"Malbec - Ajuste despacho semanal de varios meses")</f>
        <v>Malbec - Ajuste despacho semanal de varios meses</v>
      </c>
      <c r="G1254" s="2">
        <f ca="1">IFERROR(__xludf.DUMMYFUNCTION("""COMPUTED_VALUE"""),0)</f>
        <v>0</v>
      </c>
      <c r="H1254" s="2">
        <f ca="1">IFERROR(__xludf.DUMMYFUNCTION("""COMPUTED_VALUE"""),10545)</f>
        <v>10545</v>
      </c>
      <c r="I1254" s="2"/>
      <c r="J1254" s="2"/>
      <c r="K1254" s="2" t="str">
        <f ca="1">IFERROR(__xludf.DUMMYFUNCTION("""COMPUTED_VALUE"""),"Traslado Venta")</f>
        <v>Traslado Venta</v>
      </c>
      <c r="L1254" s="2" t="str">
        <f ca="1">IFERROR(__xludf.DUMMYFUNCTION("""COMPUTED_VALUE"""),"1-")</f>
        <v>1-</v>
      </c>
      <c r="M1254" s="2"/>
    </row>
    <row r="1255" spans="1:13" x14ac:dyDescent="0.25">
      <c r="A1255" s="2" t="str">
        <f ca="1">IFERROR(__xludf.DUMMYFUNCTION("""COMPUTED_VALUE"""),"d619258d")</f>
        <v>d619258d</v>
      </c>
      <c r="B1255" s="2"/>
      <c r="C1255" s="5">
        <f ca="1">IFERROR(__xludf.DUMMYFUNCTION("""COMPUTED_VALUE"""),45979.7448379629)</f>
        <v>45979.744837962899</v>
      </c>
      <c r="D1255" s="2">
        <f ca="1">IFERROR(__xludf.DUMMYFUNCTION("""COMPUTED_VALUE"""),500)</f>
        <v>500</v>
      </c>
      <c r="E1255" s="2">
        <f ca="1">IFERROR(__xludf.DUMMYFUNCTION("""COMPUTED_VALUE"""),200000)</f>
        <v>200000</v>
      </c>
      <c r="F1255" s="2" t="str">
        <f ca="1">IFERROR(__xludf.DUMMYFUNCTION("""COMPUTED_VALUE"""),"Malbec Rect")</f>
        <v>Malbec Rect</v>
      </c>
      <c r="G1255" s="2">
        <f ca="1">IFERROR(__xludf.DUMMYFUNCTION("""COMPUTED_VALUE"""),10545)</f>
        <v>10545</v>
      </c>
      <c r="H1255" s="2">
        <f ca="1">IFERROR(__xludf.DUMMYFUNCTION("""COMPUTED_VALUE"""),11445)</f>
        <v>11445</v>
      </c>
      <c r="I1255" s="2"/>
      <c r="J1255" s="2"/>
      <c r="K1255" s="2" t="str">
        <f ca="1">IFERROR(__xludf.DUMMYFUNCTION("""COMPUTED_VALUE"""),"Rectificado")</f>
        <v>Rectificado</v>
      </c>
      <c r="L1255" s="2" t="str">
        <f ca="1">IFERROR(__xludf.DUMMYFUNCTION("""COMPUTED_VALUE"""),"1-")</f>
        <v>1-</v>
      </c>
      <c r="M1255" s="2"/>
    </row>
    <row r="1256" spans="1:13" x14ac:dyDescent="0.25">
      <c r="A1256" s="2" t="str">
        <f ca="1">IFERROR(__xludf.DUMMYFUNCTION("""COMPUTED_VALUE"""),"f736b47b")</f>
        <v>f736b47b</v>
      </c>
      <c r="B1256" s="2"/>
      <c r="C1256" s="5">
        <f ca="1">IFERROR(__xludf.DUMMYFUNCTION("""COMPUTED_VALUE"""),45989.4135069444)</f>
        <v>45989.413506944402</v>
      </c>
      <c r="D1256" s="2">
        <f ca="1">IFERROR(__xludf.DUMMYFUNCTION("""COMPUTED_VALUE"""),500)</f>
        <v>500</v>
      </c>
      <c r="E1256" s="2">
        <f ca="1">IFERROR(__xludf.DUMMYFUNCTION("""COMPUTED_VALUE"""),200000)</f>
        <v>200000</v>
      </c>
      <c r="F1256" s="2" t="str">
        <f ca="1">IFERROR(__xludf.DUMMYFUNCTION("""COMPUTED_VALUE"""),"Syrah con madera a fraccionar SEDIENTO")</f>
        <v>Syrah con madera a fraccionar SEDIENTO</v>
      </c>
      <c r="G1256" s="2">
        <f ca="1">IFERROR(__xludf.DUMMYFUNCTION("""COMPUTED_VALUE"""),0)</f>
        <v>0</v>
      </c>
      <c r="H1256" s="2">
        <f ca="1">IFERROR(__xludf.DUMMYFUNCTION("""COMPUTED_VALUE"""),2000)</f>
        <v>2000</v>
      </c>
      <c r="I1256" s="2"/>
      <c r="J1256" s="2"/>
      <c r="K1256" s="2" t="str">
        <f ca="1">IFERROR(__xludf.DUMMYFUNCTION("""COMPUTED_VALUE"""),"Filtrado Tang")</f>
        <v>Filtrado Tang</v>
      </c>
      <c r="L1256" s="2" t="str">
        <f ca="1">IFERROR(__xludf.DUMMYFUNCTION("""COMPUTED_VALUE"""),"1")</f>
        <v>1</v>
      </c>
      <c r="M1256" s="2"/>
    </row>
    <row r="1257" spans="1:13" x14ac:dyDescent="0.25">
      <c r="A1257" s="2" t="str">
        <f ca="1">IFERROR(__xludf.DUMMYFUNCTION("""COMPUTED_VALUE"""),"3ba92525")</f>
        <v>3ba92525</v>
      </c>
      <c r="B1257" s="2"/>
      <c r="C1257" s="5">
        <f ca="1">IFERROR(__xludf.DUMMYFUNCTION("""COMPUTED_VALUE"""),45989.4148842592)</f>
        <v>45989.414884259197</v>
      </c>
      <c r="D1257" s="2">
        <f ca="1">IFERROR(__xludf.DUMMYFUNCTION("""COMPUTED_VALUE"""),111)</f>
        <v>111</v>
      </c>
      <c r="E1257" s="2">
        <f ca="1">IFERROR(__xludf.DUMMYFUNCTION("""COMPUTED_VALUE"""),4000)</f>
        <v>4000</v>
      </c>
      <c r="F1257" s="2" t="str">
        <f ca="1">IFERROR(__xludf.DUMMYFUNCTION("""COMPUTED_VALUE"""),"Syrah con Madera")</f>
        <v>Syrah con Madera</v>
      </c>
      <c r="G1257" s="2">
        <f ca="1">IFERROR(__xludf.DUMMYFUNCTION("""COMPUTED_VALUE"""),2000)</f>
        <v>2000</v>
      </c>
      <c r="H1257" s="2">
        <f ca="1">IFERROR(__xludf.DUMMYFUNCTION("""COMPUTED_VALUE"""),4000)</f>
        <v>4000</v>
      </c>
      <c r="I1257" s="2" t="str">
        <f ca="1">IFERROR(__xludf.DUMMYFUNCTION("""COMPUTED_VALUE"""),"05/12 Sacar chips del tanque")</f>
        <v>05/12 Sacar chips del tanque</v>
      </c>
      <c r="J1257" s="2"/>
      <c r="K1257" s="2" t="str">
        <f ca="1">IFERROR(__xludf.DUMMYFUNCTION("""COMPUTED_VALUE"""),"Terminado")</f>
        <v>Terminado</v>
      </c>
      <c r="L1257" s="2" t="str">
        <f ca="1">IFERROR(__xludf.DUMMYFUNCTION("""COMPUTED_VALUE"""),"1")</f>
        <v>1</v>
      </c>
      <c r="M1257" s="2" t="str">
        <f ca="1">IFERROR(__xludf.DUMMYFUNCTION("""COMPUTED_VALUE"""),"Tinto")</f>
        <v>Tinto</v>
      </c>
    </row>
    <row r="1258" spans="1:13" x14ac:dyDescent="0.25">
      <c r="A1258" s="2" t="str">
        <f ca="1">IFERROR(__xludf.DUMMYFUNCTION("""COMPUTED_VALUE"""),"4b104a69")</f>
        <v>4b104a69</v>
      </c>
      <c r="B1258" s="2"/>
      <c r="C1258" s="5">
        <f ca="1">IFERROR(__xludf.DUMMYFUNCTION("""COMPUTED_VALUE"""),45989.4152893518)</f>
        <v>45989.415289351797</v>
      </c>
      <c r="D1258" s="2">
        <f ca="1">IFERROR(__xludf.DUMMYFUNCTION("""COMPUTED_VALUE"""),79)</f>
        <v>79</v>
      </c>
      <c r="E1258" s="2">
        <f ca="1">IFERROR(__xludf.DUMMYFUNCTION("""COMPUTED_VALUE"""),26000)</f>
        <v>26000</v>
      </c>
      <c r="F1258" s="2" t="str">
        <f ca="1">IFERROR(__xludf.DUMMYFUNCTION("""COMPUTED_VALUE"""),"Malbec Rect")</f>
        <v>Malbec Rect</v>
      </c>
      <c r="G1258" s="2">
        <f ca="1">IFERROR(__xludf.DUMMYFUNCTION("""COMPUTED_VALUE"""),0)</f>
        <v>0</v>
      </c>
      <c r="H1258" s="2">
        <f ca="1">IFERROR(__xludf.DUMMYFUNCTION("""COMPUTED_VALUE"""),9100)</f>
        <v>9100</v>
      </c>
      <c r="I1258" s="2"/>
      <c r="J1258" s="2"/>
      <c r="K1258" s="2" t="str">
        <f ca="1">IFERROR(__xludf.DUMMYFUNCTION("""COMPUTED_VALUE"""),"Rectificado")</f>
        <v>Rectificado</v>
      </c>
      <c r="L1258" s="2" t="str">
        <f ca="1">IFERROR(__xludf.DUMMYFUNCTION("""COMPUTED_VALUE"""),"1-")</f>
        <v>1-</v>
      </c>
      <c r="M1258" s="2"/>
    </row>
    <row r="1259" spans="1:13" x14ac:dyDescent="0.25">
      <c r="A1259" s="2" t="str">
        <f ca="1">IFERROR(__xludf.DUMMYFUNCTION("""COMPUTED_VALUE"""),"aa2704ae")</f>
        <v>aa2704ae</v>
      </c>
      <c r="B1259" s="2"/>
      <c r="C1259" s="5">
        <f ca="1">IFERROR(__xludf.DUMMYFUNCTION("""COMPUTED_VALUE"""),45989.4155902777)</f>
        <v>45989.415590277698</v>
      </c>
      <c r="D1259" s="2">
        <f ca="1">IFERROR(__xludf.DUMMYFUNCTION("""COMPUTED_VALUE"""),79)</f>
        <v>79</v>
      </c>
      <c r="E1259" s="2">
        <f ca="1">IFERROR(__xludf.DUMMYFUNCTION("""COMPUTED_VALUE"""),26000)</f>
        <v>26000</v>
      </c>
      <c r="F1259" s="2" t="str">
        <f ca="1">IFERROR(__xludf.DUMMYFUNCTION("""COMPUTED_VALUE"""),"Malbec Rect")</f>
        <v>Malbec Rect</v>
      </c>
      <c r="G1259" s="2">
        <f ca="1">IFERROR(__xludf.DUMMYFUNCTION("""COMPUTED_VALUE"""),9100)</f>
        <v>9100</v>
      </c>
      <c r="H1259" s="2">
        <f ca="1">IFERROR(__xludf.DUMMYFUNCTION("""COMPUTED_VALUE"""),26000)</f>
        <v>26000</v>
      </c>
      <c r="I1259" s="2"/>
      <c r="J1259" s="2"/>
      <c r="K1259" s="2" t="str">
        <f ca="1">IFERROR(__xludf.DUMMYFUNCTION("""COMPUTED_VALUE"""),"Rectificado")</f>
        <v>Rectificado</v>
      </c>
      <c r="L1259" s="2" t="str">
        <f ca="1">IFERROR(__xludf.DUMMYFUNCTION("""COMPUTED_VALUE"""),"1-")</f>
        <v>1-</v>
      </c>
      <c r="M1259" s="2" t="str">
        <f ca="1">IFERROR(__xludf.DUMMYFUNCTION("""COMPUTED_VALUE"""),"Tinto")</f>
        <v>Tinto</v>
      </c>
    </row>
    <row r="1260" spans="1:13" x14ac:dyDescent="0.25">
      <c r="A1260" s="2" t="str">
        <f ca="1">IFERROR(__xludf.DUMMYFUNCTION("""COMPUTED_VALUE"""),"f3a40125")</f>
        <v>f3a40125</v>
      </c>
      <c r="B1260" s="2"/>
      <c r="C1260" s="5">
        <f ca="1">IFERROR(__xludf.DUMMYFUNCTION("""COMPUTED_VALUE"""),45989.4160763888)</f>
        <v>45989.416076388799</v>
      </c>
      <c r="D1260" s="2">
        <f ca="1">IFERROR(__xludf.DUMMYFUNCTION("""COMPUTED_VALUE"""),82)</f>
        <v>82</v>
      </c>
      <c r="E1260" s="2">
        <f ca="1">IFERROR(__xludf.DUMMYFUNCTION("""COMPUTED_VALUE"""),42600)</f>
        <v>42600</v>
      </c>
      <c r="F1260" s="2" t="str">
        <f ca="1">IFERROR(__xludf.DUMMYFUNCTION("""COMPUTED_VALUE"""),"Syrah")</f>
        <v>Syrah</v>
      </c>
      <c r="G1260" s="2">
        <f ca="1">IFERROR(__xludf.DUMMYFUNCTION("""COMPUTED_VALUE"""),40600)</f>
        <v>40600</v>
      </c>
      <c r="H1260" s="2">
        <f ca="1">IFERROR(__xludf.DUMMYFUNCTION("""COMPUTED_VALUE"""),42600)</f>
        <v>42600</v>
      </c>
      <c r="I1260" s="2"/>
      <c r="J1260" s="2"/>
      <c r="K1260" s="2" t="str">
        <f ca="1">IFERROR(__xludf.DUMMYFUNCTION("""COMPUTED_VALUE"""),"Filtrado Tang")</f>
        <v>Filtrado Tang</v>
      </c>
      <c r="L1260" s="2" t="str">
        <f ca="1">IFERROR(__xludf.DUMMYFUNCTION("""COMPUTED_VALUE"""),"1")</f>
        <v>1</v>
      </c>
      <c r="M1260" s="2" t="str">
        <f ca="1">IFERROR(__xludf.DUMMYFUNCTION("""COMPUTED_VALUE"""),"Tinto")</f>
        <v>Tinto</v>
      </c>
    </row>
    <row r="1261" spans="1:13" x14ac:dyDescent="0.25">
      <c r="A1261" s="2" t="str">
        <f ca="1">IFERROR(__xludf.DUMMYFUNCTION("""COMPUTED_VALUE"""),"b177a7f8")</f>
        <v>b177a7f8</v>
      </c>
      <c r="B1261" s="2"/>
      <c r="C1261" s="5">
        <f ca="1">IFERROR(__xludf.DUMMYFUNCTION("""COMPUTED_VALUE"""),45989.4179861111)</f>
        <v>45989.417986111097</v>
      </c>
      <c r="D1261" s="2">
        <f ca="1">IFERROR(__xludf.DUMMYFUNCTION("""COMPUTED_VALUE"""),75)</f>
        <v>75</v>
      </c>
      <c r="E1261" s="2">
        <f ca="1">IFERROR(__xludf.DUMMYFUNCTION("""COMPUTED_VALUE"""),7000)</f>
        <v>7000</v>
      </c>
      <c r="F1261" s="2" t="str">
        <f ca="1">IFERROR(__xludf.DUMMYFUNCTION("""COMPUTED_VALUE"""),"Malbec Rect")</f>
        <v>Malbec Rect</v>
      </c>
      <c r="G1261" s="2">
        <f ca="1">IFERROR(__xludf.DUMMYFUNCTION("""COMPUTED_VALUE"""),0)</f>
        <v>0</v>
      </c>
      <c r="H1261" s="2">
        <f ca="1">IFERROR(__xludf.DUMMYFUNCTION("""COMPUTED_VALUE"""),3100)</f>
        <v>3100</v>
      </c>
      <c r="I1261" s="2"/>
      <c r="J1261" s="2"/>
      <c r="K1261" s="2" t="str">
        <f ca="1">IFERROR(__xludf.DUMMYFUNCTION("""COMPUTED_VALUE"""),"Rectificado")</f>
        <v>Rectificado</v>
      </c>
      <c r="L1261" s="2" t="str">
        <f ca="1">IFERROR(__xludf.DUMMYFUNCTION("""COMPUTED_VALUE"""),"1-")</f>
        <v>1-</v>
      </c>
      <c r="M1261" s="2"/>
    </row>
    <row r="1262" spans="1:13" x14ac:dyDescent="0.25">
      <c r="A1262" s="2" t="str">
        <f ca="1">IFERROR(__xludf.DUMMYFUNCTION("""COMPUTED_VALUE"""),"15c4b406")</f>
        <v>15c4b406</v>
      </c>
      <c r="B1262" s="2"/>
      <c r="C1262" s="5">
        <f ca="1">IFERROR(__xludf.DUMMYFUNCTION("""COMPUTED_VALUE"""),45989.5091319444)</f>
        <v>45989.509131944404</v>
      </c>
      <c r="D1262" s="2">
        <f ca="1">IFERROR(__xludf.DUMMYFUNCTION("""COMPUTED_VALUE"""),67)</f>
        <v>67</v>
      </c>
      <c r="E1262" s="2">
        <f ca="1">IFERROR(__xludf.DUMMYFUNCTION("""COMPUTED_VALUE"""),23000)</f>
        <v>23000</v>
      </c>
      <c r="F1262" s="2" t="str">
        <f ca="1">IFERROR(__xludf.DUMMYFUNCTION("""COMPUTED_VALUE"""),"Chardonnay")</f>
        <v>Chardonnay</v>
      </c>
      <c r="G1262" s="2">
        <f ca="1">IFERROR(__xludf.DUMMYFUNCTION("""COMPUTED_VALUE"""),0)</f>
        <v>0</v>
      </c>
      <c r="H1262" s="2">
        <f ca="1">IFERROR(__xludf.DUMMYFUNCTION("""COMPUTED_VALUE"""),23000)</f>
        <v>23000</v>
      </c>
      <c r="I1262" s="2"/>
      <c r="J1262" s="2"/>
      <c r="K1262" s="2" t="str">
        <f ca="1">IFERROR(__xludf.DUMMYFUNCTION("""COMPUTED_VALUE"""),"Terminado")</f>
        <v>Terminado</v>
      </c>
      <c r="L1262" s="2" t="str">
        <f ca="1">IFERROR(__xludf.DUMMYFUNCTION("""COMPUTED_VALUE"""),"1-")</f>
        <v>1-</v>
      </c>
      <c r="M1262" s="2" t="str">
        <f ca="1">IFERROR(__xludf.DUMMYFUNCTION("""COMPUTED_VALUE"""),"Blanco")</f>
        <v>Blanco</v>
      </c>
    </row>
    <row r="1263" spans="1:13" x14ac:dyDescent="0.25">
      <c r="A1263" s="2" t="str">
        <f ca="1">IFERROR(__xludf.DUMMYFUNCTION("""COMPUTED_VALUE"""),"5931c7b9")</f>
        <v>5931c7b9</v>
      </c>
      <c r="B1263" s="2"/>
      <c r="C1263" s="5">
        <f ca="1">IFERROR(__xludf.DUMMYFUNCTION("""COMPUTED_VALUE"""),45989.5099305555)</f>
        <v>45989.509930555498</v>
      </c>
      <c r="D1263" s="2">
        <f ca="1">IFERROR(__xludf.DUMMYFUNCTION("""COMPUTED_VALUE"""),500)</f>
        <v>500</v>
      </c>
      <c r="E1263" s="2">
        <f ca="1">IFERROR(__xludf.DUMMYFUNCTION("""COMPUTED_VALUE"""),200000)</f>
        <v>200000</v>
      </c>
      <c r="F1263" s="2" t="str">
        <f ca="1">IFERROR(__xludf.DUMMYFUNCTION("""COMPUTED_VALUE"""),"Chardonnay Fraccionamiento Brasil")</f>
        <v>Chardonnay Fraccionamiento Brasil</v>
      </c>
      <c r="G1263" s="2">
        <f ca="1">IFERROR(__xludf.DUMMYFUNCTION("""COMPUTED_VALUE"""),0)</f>
        <v>0</v>
      </c>
      <c r="H1263" s="2">
        <f ca="1">IFERROR(__xludf.DUMMYFUNCTION("""COMPUTED_VALUE"""),2000)</f>
        <v>2000</v>
      </c>
      <c r="I1263" s="2"/>
      <c r="J1263" s="2"/>
      <c r="K1263" s="2" t="str">
        <f ca="1">IFERROR(__xludf.DUMMYFUNCTION("""COMPUTED_VALUE"""),"Traslado Venta")</f>
        <v>Traslado Venta</v>
      </c>
      <c r="L1263" s="2" t="str">
        <f ca="1">IFERROR(__xludf.DUMMYFUNCTION("""COMPUTED_VALUE"""),"1-")</f>
        <v>1-</v>
      </c>
      <c r="M1263" s="2"/>
    </row>
    <row r="1264" spans="1:13" x14ac:dyDescent="0.25">
      <c r="A1264" s="2" t="str">
        <f ca="1">IFERROR(__xludf.DUMMYFUNCTION("""COMPUTED_VALUE"""),"6b68acc1")</f>
        <v>6b68acc1</v>
      </c>
      <c r="B1264" s="2"/>
      <c r="C1264" s="5">
        <f ca="1">IFERROR(__xludf.DUMMYFUNCTION("""COMPUTED_VALUE"""),45989.5104861111)</f>
        <v>45989.510486111103</v>
      </c>
      <c r="D1264" s="2">
        <f ca="1">IFERROR(__xludf.DUMMYFUNCTION("""COMPUTED_VALUE"""),75)</f>
        <v>75</v>
      </c>
      <c r="E1264" s="2">
        <f ca="1">IFERROR(__xludf.DUMMYFUNCTION("""COMPUTED_VALUE"""),7000)</f>
        <v>7000</v>
      </c>
      <c r="F1264" s="2" t="str">
        <f ca="1">IFERROR(__xludf.DUMMYFUNCTION("""COMPUTED_VALUE"""),"Malbec Rect")</f>
        <v>Malbec Rect</v>
      </c>
      <c r="G1264" s="2">
        <f ca="1">IFERROR(__xludf.DUMMYFUNCTION("""COMPUTED_VALUE"""),3100)</f>
        <v>3100</v>
      </c>
      <c r="H1264" s="2">
        <f ca="1">IFERROR(__xludf.DUMMYFUNCTION("""COMPUTED_VALUE"""),5100)</f>
        <v>5100</v>
      </c>
      <c r="I1264" s="2"/>
      <c r="J1264" s="2"/>
      <c r="K1264" s="2" t="str">
        <f ca="1">IFERROR(__xludf.DUMMYFUNCTION("""COMPUTED_VALUE"""),"Rectificado")</f>
        <v>Rectificado</v>
      </c>
      <c r="L1264" s="2" t="str">
        <f ca="1">IFERROR(__xludf.DUMMYFUNCTION("""COMPUTED_VALUE"""),"1-")</f>
        <v>1-</v>
      </c>
      <c r="M1264" s="2"/>
    </row>
    <row r="1265" spans="1:13" x14ac:dyDescent="0.25">
      <c r="A1265" s="2" t="str">
        <f ca="1">IFERROR(__xludf.DUMMYFUNCTION("""COMPUTED_VALUE"""),"5eb0ebea")</f>
        <v>5eb0ebea</v>
      </c>
      <c r="B1265" s="2"/>
      <c r="C1265" s="5">
        <f ca="1">IFERROR(__xludf.DUMMYFUNCTION("""COMPUTED_VALUE"""),45994.6934027777)</f>
        <v>45994.693402777702</v>
      </c>
      <c r="D1265" s="2">
        <f ca="1">IFERROR(__xludf.DUMMYFUNCTION("""COMPUTED_VALUE"""),96)</f>
        <v>96</v>
      </c>
      <c r="E1265" s="2">
        <f ca="1">IFERROR(__xludf.DUMMYFUNCTION("""COMPUTED_VALUE"""),85600)</f>
        <v>85600</v>
      </c>
      <c r="F1265" s="2" t="str">
        <f ca="1">IFERROR(__xludf.DUMMYFUNCTION("""COMPUTED_VALUE"""),"Syrah")</f>
        <v>Syrah</v>
      </c>
      <c r="G1265" s="2">
        <f ca="1">IFERROR(__xludf.DUMMYFUNCTION("""COMPUTED_VALUE"""),0)</f>
        <v>0</v>
      </c>
      <c r="H1265" s="2">
        <f ca="1">IFERROR(__xludf.DUMMYFUNCTION("""COMPUTED_VALUE"""),85600)</f>
        <v>85600</v>
      </c>
      <c r="I1265" s="2"/>
      <c r="J1265" s="2"/>
      <c r="K1265" s="2" t="str">
        <f ca="1">IFERROR(__xludf.DUMMYFUNCTION("""COMPUTED_VALUE"""),"Filtrado Tang")</f>
        <v>Filtrado Tang</v>
      </c>
      <c r="L1265" s="2" t="str">
        <f ca="1">IFERROR(__xludf.DUMMYFUNCTION("""COMPUTED_VALUE"""),"1")</f>
        <v>1</v>
      </c>
      <c r="M1265" s="2" t="str">
        <f ca="1">IFERROR(__xludf.DUMMYFUNCTION("""COMPUTED_VALUE"""),"Tinto")</f>
        <v>Tinto</v>
      </c>
    </row>
    <row r="1266" spans="1:13" x14ac:dyDescent="0.25">
      <c r="A1266" s="2" t="str">
        <f ca="1">IFERROR(__xludf.DUMMYFUNCTION("""COMPUTED_VALUE"""),"8f02ff60")</f>
        <v>8f02ff60</v>
      </c>
      <c r="B1266" s="2"/>
      <c r="C1266" s="5">
        <f ca="1">IFERROR(__xludf.DUMMYFUNCTION("""COMPUTED_VALUE"""),45994.6935879629)</f>
        <v>45994.693587962902</v>
      </c>
      <c r="D1266" s="2">
        <f ca="1">IFERROR(__xludf.DUMMYFUNCTION("""COMPUTED_VALUE"""),94)</f>
        <v>94</v>
      </c>
      <c r="E1266" s="2">
        <f ca="1">IFERROR(__xludf.DUMMYFUNCTION("""COMPUTED_VALUE"""),11600)</f>
        <v>11600</v>
      </c>
      <c r="F1266" s="2" t="str">
        <f ca="1">IFERROR(__xludf.DUMMYFUNCTION("""COMPUTED_VALUE"""),"Syrah")</f>
        <v>Syrah</v>
      </c>
      <c r="G1266" s="2">
        <f ca="1">IFERROR(__xludf.DUMMYFUNCTION("""COMPUTED_VALUE"""),0)</f>
        <v>0</v>
      </c>
      <c r="H1266" s="2">
        <f ca="1">IFERROR(__xludf.DUMMYFUNCTION("""COMPUTED_VALUE"""),8100)</f>
        <v>8100</v>
      </c>
      <c r="I1266" s="2"/>
      <c r="J1266" s="2"/>
      <c r="K1266" s="2" t="str">
        <f ca="1">IFERROR(__xludf.DUMMYFUNCTION("""COMPUTED_VALUE"""),"Filtrado Tang")</f>
        <v>Filtrado Tang</v>
      </c>
      <c r="L1266" s="2" t="str">
        <f ca="1">IFERROR(__xludf.DUMMYFUNCTION("""COMPUTED_VALUE"""),"1")</f>
        <v>1</v>
      </c>
      <c r="M1266" s="2"/>
    </row>
    <row r="1267" spans="1:13" x14ac:dyDescent="0.25">
      <c r="A1267" s="2" t="str">
        <f ca="1">IFERROR(__xludf.DUMMYFUNCTION("""COMPUTED_VALUE"""),"974d59a2")</f>
        <v>974d59a2</v>
      </c>
      <c r="B1267" s="2"/>
      <c r="C1267" s="5">
        <f ca="1">IFERROR(__xludf.DUMMYFUNCTION("""COMPUTED_VALUE"""),45994.6940856481)</f>
        <v>45994.694085648101</v>
      </c>
      <c r="D1267" s="2">
        <f ca="1">IFERROR(__xludf.DUMMYFUNCTION("""COMPUTED_VALUE"""),90)</f>
        <v>90</v>
      </c>
      <c r="E1267" s="2">
        <f ca="1">IFERROR(__xludf.DUMMYFUNCTION("""COMPUTED_VALUE"""),97500)</f>
        <v>97500</v>
      </c>
      <c r="F1267" s="2" t="str">
        <f ca="1">IFERROR(__xludf.DUMMYFUNCTION("""COMPUTED_VALUE"""),"Malbec")</f>
        <v>Malbec</v>
      </c>
      <c r="G1267" s="2">
        <f ca="1">IFERROR(__xludf.DUMMYFUNCTION("""COMPUTED_VALUE"""),0)</f>
        <v>0</v>
      </c>
      <c r="H1267" s="2">
        <f ca="1">IFERROR(__xludf.DUMMYFUNCTION("""COMPUTED_VALUE"""),97500)</f>
        <v>97500</v>
      </c>
      <c r="I1267" s="2"/>
      <c r="J1267" s="2"/>
      <c r="K1267" s="2" t="str">
        <f ca="1">IFERROR(__xludf.DUMMYFUNCTION("""COMPUTED_VALUE"""),"Filtrado Tang")</f>
        <v>Filtrado Tang</v>
      </c>
      <c r="L1267" s="2" t="str">
        <f ca="1">IFERROR(__xludf.DUMMYFUNCTION("""COMPUTED_VALUE"""),"1")</f>
        <v>1</v>
      </c>
      <c r="M1267" s="2" t="str">
        <f ca="1">IFERROR(__xludf.DUMMYFUNCTION("""COMPUTED_VALUE"""),"Tinto")</f>
        <v>Tinto</v>
      </c>
    </row>
    <row r="1268" spans="1:13" x14ac:dyDescent="0.25">
      <c r="A1268" s="2" t="str">
        <f ca="1">IFERROR(__xludf.DUMMYFUNCTION("""COMPUTED_VALUE"""),"7da5825a")</f>
        <v>7da5825a</v>
      </c>
      <c r="B1268" s="2"/>
      <c r="C1268" s="5">
        <f ca="1">IFERROR(__xludf.DUMMYFUNCTION("""COMPUTED_VALUE"""),45994.6943634259)</f>
        <v>45994.694363425901</v>
      </c>
      <c r="D1268" s="2">
        <f ca="1">IFERROR(__xludf.DUMMYFUNCTION("""COMPUTED_VALUE"""),94)</f>
        <v>94</v>
      </c>
      <c r="E1268" s="2">
        <f ca="1">IFERROR(__xludf.DUMMYFUNCTION("""COMPUTED_VALUE"""),11600)</f>
        <v>11600</v>
      </c>
      <c r="F1268" s="2" t="str">
        <f ca="1">IFERROR(__xludf.DUMMYFUNCTION("""COMPUTED_VALUE"""),"Malbec")</f>
        <v>Malbec</v>
      </c>
      <c r="G1268" s="2">
        <f ca="1">IFERROR(__xludf.DUMMYFUNCTION("""COMPUTED_VALUE"""),8100)</f>
        <v>8100</v>
      </c>
      <c r="H1268" s="2">
        <f ca="1">IFERROR(__xludf.DUMMYFUNCTION("""COMPUTED_VALUE"""),10200)</f>
        <v>10200</v>
      </c>
      <c r="I1268" s="2"/>
      <c r="J1268" s="2"/>
      <c r="K1268" s="2" t="str">
        <f ca="1">IFERROR(__xludf.DUMMYFUNCTION("""COMPUTED_VALUE"""),"Filtrado Tang")</f>
        <v>Filtrado Tang</v>
      </c>
      <c r="L1268" s="2" t="str">
        <f ca="1">IFERROR(__xludf.DUMMYFUNCTION("""COMPUTED_VALUE"""),"1")</f>
        <v>1</v>
      </c>
      <c r="M1268" s="2" t="str">
        <f ca="1">IFERROR(__xludf.DUMMYFUNCTION("""COMPUTED_VALUE"""),"Tinto")</f>
        <v>Tinto</v>
      </c>
    </row>
    <row r="1269" spans="1:13" x14ac:dyDescent="0.25">
      <c r="A1269" s="2" t="str">
        <f ca="1">IFERROR(__xludf.DUMMYFUNCTION("""COMPUTED_VALUE"""),"ab285986")</f>
        <v>ab285986</v>
      </c>
      <c r="B1269" s="2"/>
      <c r="C1269" s="5">
        <f ca="1">IFERROR(__xludf.DUMMYFUNCTION("""COMPUTED_VALUE"""),45994.6949189814)</f>
        <v>45994.694918981397</v>
      </c>
      <c r="D1269" s="2">
        <f ca="1">IFERROR(__xludf.DUMMYFUNCTION("""COMPUTED_VALUE"""),8)</f>
        <v>8</v>
      </c>
      <c r="E1269" s="2">
        <f ca="1">IFERROR(__xludf.DUMMYFUNCTION("""COMPUTED_VALUE"""),22000)</f>
        <v>22000</v>
      </c>
      <c r="F1269" s="2" t="str">
        <f ca="1">IFERROR(__xludf.DUMMYFUNCTION("""COMPUTED_VALUE"""),"Aspirant Rect")</f>
        <v>Aspirant Rect</v>
      </c>
      <c r="G1269" s="2">
        <f ca="1">IFERROR(__xludf.DUMMYFUNCTION("""COMPUTED_VALUE"""),0)</f>
        <v>0</v>
      </c>
      <c r="H1269" s="2">
        <f ca="1">IFERROR(__xludf.DUMMYFUNCTION("""COMPUTED_VALUE"""),5100)</f>
        <v>5100</v>
      </c>
      <c r="I1269" s="2"/>
      <c r="J1269" s="2"/>
      <c r="K1269" s="2" t="str">
        <f ca="1">IFERROR(__xludf.DUMMYFUNCTION("""COMPUTED_VALUE"""),"Rectificado")</f>
        <v>Rectificado</v>
      </c>
      <c r="L1269" s="2" t="str">
        <f ca="1">IFERROR(__xludf.DUMMYFUNCTION("""COMPUTED_VALUE"""),"2+")</f>
        <v>2+</v>
      </c>
      <c r="M1269" s="2"/>
    </row>
    <row r="1270" spans="1:13" x14ac:dyDescent="0.25">
      <c r="A1270" s="2" t="str">
        <f ca="1">IFERROR(__xludf.DUMMYFUNCTION("""COMPUTED_VALUE"""),"ba739393")</f>
        <v>ba739393</v>
      </c>
      <c r="B1270" s="2"/>
      <c r="C1270" s="5">
        <f ca="1">IFERROR(__xludf.DUMMYFUNCTION("""COMPUTED_VALUE"""),45994.6951851851)</f>
        <v>45994.695185185097</v>
      </c>
      <c r="D1270" s="2">
        <f ca="1">IFERROR(__xludf.DUMMYFUNCTION("""COMPUTED_VALUE"""),8)</f>
        <v>8</v>
      </c>
      <c r="E1270" s="2">
        <f ca="1">IFERROR(__xludf.DUMMYFUNCTION("""COMPUTED_VALUE"""),22000)</f>
        <v>22000</v>
      </c>
      <c r="F1270" s="2" t="str">
        <f ca="1">IFERROR(__xludf.DUMMYFUNCTION("""COMPUTED_VALUE"""),"Aspirant Rect")</f>
        <v>Aspirant Rect</v>
      </c>
      <c r="G1270" s="2">
        <f ca="1">IFERROR(__xludf.DUMMYFUNCTION("""COMPUTED_VALUE"""),5100)</f>
        <v>5100</v>
      </c>
      <c r="H1270" s="2">
        <f ca="1">IFERROR(__xludf.DUMMYFUNCTION("""COMPUTED_VALUE"""),9000)</f>
        <v>9000</v>
      </c>
      <c r="I1270" s="2"/>
      <c r="J1270" s="2"/>
      <c r="K1270" s="2" t="str">
        <f ca="1">IFERROR(__xludf.DUMMYFUNCTION("""COMPUTED_VALUE"""),"Rectificado")</f>
        <v>Rectificado</v>
      </c>
      <c r="L1270" s="2" t="str">
        <f ca="1">IFERROR(__xludf.DUMMYFUNCTION("""COMPUTED_VALUE"""),"2+")</f>
        <v>2+</v>
      </c>
      <c r="M1270" s="2"/>
    </row>
    <row r="1271" spans="1:13" x14ac:dyDescent="0.25">
      <c r="A1271" s="2" t="str">
        <f ca="1">IFERROR(__xludf.DUMMYFUNCTION("""COMPUTED_VALUE"""),"6f9ccf13")</f>
        <v>6f9ccf13</v>
      </c>
      <c r="B1271" s="2"/>
      <c r="C1271" s="5">
        <f ca="1">IFERROR(__xludf.DUMMYFUNCTION("""COMPUTED_VALUE"""),45994.6957523148)</f>
        <v>45994.695752314801</v>
      </c>
      <c r="D1271" s="2">
        <f ca="1">IFERROR(__xludf.DUMMYFUNCTION("""COMPUTED_VALUE"""),8)</f>
        <v>8</v>
      </c>
      <c r="E1271" s="2">
        <f ca="1">IFERROR(__xludf.DUMMYFUNCTION("""COMPUTED_VALUE"""),22000)</f>
        <v>22000</v>
      </c>
      <c r="F1271" s="2" t="str">
        <f ca="1">IFERROR(__xludf.DUMMYFUNCTION("""COMPUTED_VALUE"""),"Aspirant  Malbec Rect")</f>
        <v>Aspirant  Malbec Rect</v>
      </c>
      <c r="G1271" s="2">
        <f ca="1">IFERROR(__xludf.DUMMYFUNCTION("""COMPUTED_VALUE"""),9000)</f>
        <v>9000</v>
      </c>
      <c r="H1271" s="2">
        <f ca="1">IFERROR(__xludf.DUMMYFUNCTION("""COMPUTED_VALUE"""),14100)</f>
        <v>14100</v>
      </c>
      <c r="I1271" s="2"/>
      <c r="J1271" s="2"/>
      <c r="K1271" s="2" t="str">
        <f ca="1">IFERROR(__xludf.DUMMYFUNCTION("""COMPUTED_VALUE"""),"Rectificado")</f>
        <v>Rectificado</v>
      </c>
      <c r="L1271" s="2" t="str">
        <f ca="1">IFERROR(__xludf.DUMMYFUNCTION("""COMPUTED_VALUE"""),"2+")</f>
        <v>2+</v>
      </c>
      <c r="M1271" s="2"/>
    </row>
    <row r="1272" spans="1:13" x14ac:dyDescent="0.25">
      <c r="A1272" s="2" t="str">
        <f ca="1">IFERROR(__xludf.DUMMYFUNCTION("""COMPUTED_VALUE"""),"af8d0a82")</f>
        <v>af8d0a82</v>
      </c>
      <c r="B1272" s="2"/>
      <c r="C1272" s="5">
        <f ca="1">IFERROR(__xludf.DUMMYFUNCTION("""COMPUTED_VALUE"""),46003.7111574074)</f>
        <v>46003.711157407401</v>
      </c>
      <c r="D1272" s="2">
        <f ca="1">IFERROR(__xludf.DUMMYFUNCTION("""COMPUTED_VALUE"""),68)</f>
        <v>68</v>
      </c>
      <c r="E1272" s="2">
        <f ca="1">IFERROR(__xludf.DUMMYFUNCTION("""COMPUTED_VALUE"""),13000)</f>
        <v>13000</v>
      </c>
      <c r="F1272" s="2" t="str">
        <f ca="1">IFERROR(__xludf.DUMMYFUNCTION("""COMPUTED_VALUE"""),"Aspirant  Malbec Rect")</f>
        <v>Aspirant  Malbec Rect</v>
      </c>
      <c r="G1272" s="2">
        <f ca="1">IFERROR(__xludf.DUMMYFUNCTION("""COMPUTED_VALUE"""),0)</f>
        <v>0</v>
      </c>
      <c r="H1272" s="2">
        <f ca="1">IFERROR(__xludf.DUMMYFUNCTION("""COMPUTED_VALUE"""),13000)</f>
        <v>13000</v>
      </c>
      <c r="I1272" s="2"/>
      <c r="J1272" s="2"/>
      <c r="K1272" s="2" t="str">
        <f ca="1">IFERROR(__xludf.DUMMYFUNCTION("""COMPUTED_VALUE"""),"Rectificado")</f>
        <v>Rectificado</v>
      </c>
      <c r="L1272" s="2" t="str">
        <f ca="1">IFERROR(__xludf.DUMMYFUNCTION("""COMPUTED_VALUE"""),"2+")</f>
        <v>2+</v>
      </c>
      <c r="M1272" s="2" t="str">
        <f ca="1">IFERROR(__xludf.DUMMYFUNCTION("""COMPUTED_VALUE"""),"Tinto")</f>
        <v>Tinto</v>
      </c>
    </row>
    <row r="1273" spans="1:13" x14ac:dyDescent="0.25">
      <c r="A1273" s="2" t="str">
        <f ca="1">IFERROR(__xludf.DUMMYFUNCTION("""COMPUTED_VALUE"""),"f05a61a1")</f>
        <v>f05a61a1</v>
      </c>
      <c r="B1273" s="2"/>
      <c r="C1273" s="5">
        <f ca="1">IFERROR(__xludf.DUMMYFUNCTION("""COMPUTED_VALUE"""),46003.7114351851)</f>
        <v>46003.711435185098</v>
      </c>
      <c r="D1273" s="2">
        <f ca="1">IFERROR(__xludf.DUMMYFUNCTION("""COMPUTED_VALUE"""),11)</f>
        <v>11</v>
      </c>
      <c r="E1273" s="2">
        <f ca="1">IFERROR(__xludf.DUMMYFUNCTION("""COMPUTED_VALUE"""),36000)</f>
        <v>36000</v>
      </c>
      <c r="F1273" s="2" t="str">
        <f ca="1">IFERROR(__xludf.DUMMYFUNCTION("""COMPUTED_VALUE"""),"Aspirant  Malbec Rect")</f>
        <v>Aspirant  Malbec Rect</v>
      </c>
      <c r="G1273" s="2">
        <f ca="1">IFERROR(__xludf.DUMMYFUNCTION("""COMPUTED_VALUE"""),0)</f>
        <v>0</v>
      </c>
      <c r="H1273" s="2">
        <f ca="1">IFERROR(__xludf.DUMMYFUNCTION("""COMPUTED_VALUE"""),1100)</f>
        <v>1100</v>
      </c>
      <c r="I1273" s="2"/>
      <c r="J1273" s="2"/>
      <c r="K1273" s="2" t="str">
        <f ca="1">IFERROR(__xludf.DUMMYFUNCTION("""COMPUTED_VALUE"""),"Rectificado")</f>
        <v>Rectificado</v>
      </c>
      <c r="L1273" s="2" t="str">
        <f ca="1">IFERROR(__xludf.DUMMYFUNCTION("""COMPUTED_VALUE"""),"2+")</f>
        <v>2+</v>
      </c>
      <c r="M1273" s="2"/>
    </row>
    <row r="1274" spans="1:13" x14ac:dyDescent="0.25">
      <c r="A1274" s="2" t="str">
        <f ca="1">IFERROR(__xludf.DUMMYFUNCTION("""COMPUTED_VALUE"""),"f063695a")</f>
        <v>f063695a</v>
      </c>
      <c r="B1274" s="2"/>
      <c r="C1274" s="5">
        <f ca="1">IFERROR(__xludf.DUMMYFUNCTION("""COMPUTED_VALUE"""),46003.713449074)</f>
        <v>46003.713449073999</v>
      </c>
      <c r="D1274" s="2">
        <f ca="1">IFERROR(__xludf.DUMMYFUNCTION("""COMPUTED_VALUE"""),11)</f>
        <v>11</v>
      </c>
      <c r="E1274" s="2">
        <f ca="1">IFERROR(__xludf.DUMMYFUNCTION("""COMPUTED_VALUE"""),36000)</f>
        <v>36000</v>
      </c>
      <c r="F1274" s="2" t="str">
        <f ca="1">IFERROR(__xludf.DUMMYFUNCTION("""COMPUTED_VALUE"""),"Anccellota Aspirant Rect")</f>
        <v>Anccellota Aspirant Rect</v>
      </c>
      <c r="G1274" s="2">
        <f ca="1">IFERROR(__xludf.DUMMYFUNCTION("""COMPUTED_VALUE"""),1100)</f>
        <v>1100</v>
      </c>
      <c r="H1274" s="2">
        <f ca="1">IFERROR(__xludf.DUMMYFUNCTION("""COMPUTED_VALUE"""),36000)</f>
        <v>36000</v>
      </c>
      <c r="I1274" s="2"/>
      <c r="J1274" s="2"/>
      <c r="K1274" s="2" t="str">
        <f ca="1">IFERROR(__xludf.DUMMYFUNCTION("""COMPUTED_VALUE"""),"Rectificado")</f>
        <v>Rectificado</v>
      </c>
      <c r="L1274" s="2" t="str">
        <f ca="1">IFERROR(__xludf.DUMMYFUNCTION("""COMPUTED_VALUE"""),"2+")</f>
        <v>2+</v>
      </c>
      <c r="M1274" s="2" t="str">
        <f ca="1">IFERROR(__xludf.DUMMYFUNCTION("""COMPUTED_VALUE"""),"Tinto")</f>
        <v>Tinto</v>
      </c>
    </row>
    <row r="1275" spans="1:13" x14ac:dyDescent="0.25">
      <c r="A1275" s="2" t="str">
        <f ca="1">IFERROR(__xludf.DUMMYFUNCTION("""COMPUTED_VALUE"""),"1be83b5d")</f>
        <v>1be83b5d</v>
      </c>
      <c r="B1275" s="2"/>
      <c r="C1275" s="5">
        <f ca="1">IFERROR(__xludf.DUMMYFUNCTION("""COMPUTED_VALUE"""),46003.7147222222)</f>
        <v>46003.714722222197</v>
      </c>
      <c r="D1275" s="2">
        <f ca="1">IFERROR(__xludf.DUMMYFUNCTION("""COMPUTED_VALUE"""),500)</f>
        <v>500</v>
      </c>
      <c r="E1275" s="2">
        <f ca="1">IFERROR(__xludf.DUMMYFUNCTION("""COMPUTED_VALUE"""),200000)</f>
        <v>200000</v>
      </c>
      <c r="F1275" s="2" t="str">
        <f ca="1">IFERROR(__xludf.DUMMYFUNCTION("""COMPUTED_VALUE"""),"Anccelotta Aspirant Relleno ventas y maderizar")</f>
        <v>Anccelotta Aspirant Relleno ventas y maderizar</v>
      </c>
      <c r="G1275" s="2">
        <f ca="1">IFERROR(__xludf.DUMMYFUNCTION("""COMPUTED_VALUE"""),0)</f>
        <v>0</v>
      </c>
      <c r="H1275" s="2">
        <f ca="1">IFERROR(__xludf.DUMMYFUNCTION("""COMPUTED_VALUE"""),2000)</f>
        <v>2000</v>
      </c>
      <c r="I1275" s="2"/>
      <c r="J1275" s="2"/>
      <c r="K1275" s="2" t="str">
        <f ca="1">IFERROR(__xludf.DUMMYFUNCTION("""COMPUTED_VALUE"""),"Traslado Venta")</f>
        <v>Traslado Venta</v>
      </c>
      <c r="L1275" s="2" t="str">
        <f ca="1">IFERROR(__xludf.DUMMYFUNCTION("""COMPUTED_VALUE"""),"1-")</f>
        <v>1-</v>
      </c>
      <c r="M1275" s="2"/>
    </row>
    <row r="1276" spans="1:13" x14ac:dyDescent="0.25">
      <c r="A1276" s="2" t="str">
        <f ca="1">IFERROR(__xludf.DUMMYFUNCTION("""COMPUTED_VALUE"""),"cda56963")</f>
        <v>cda56963</v>
      </c>
      <c r="B1276" s="2"/>
      <c r="C1276" s="5">
        <f ca="1">IFERROR(__xludf.DUMMYFUNCTION("""COMPUTED_VALUE"""),46017.5100347222)</f>
        <v>46017.510034722203</v>
      </c>
      <c r="D1276" s="2">
        <f ca="1">IFERROR(__xludf.DUMMYFUNCTION("""COMPUTED_VALUE"""),15)</f>
        <v>15</v>
      </c>
      <c r="E1276" s="2">
        <f ca="1">IFERROR(__xludf.DUMMYFUNCTION("""COMPUTED_VALUE"""),36500)</f>
        <v>36500</v>
      </c>
      <c r="F1276" s="2" t="str">
        <f ca="1">IFERROR(__xludf.DUMMYFUNCTION("""COMPUTED_VALUE"""),"Anccelotta Aspirant")</f>
        <v>Anccelotta Aspirant</v>
      </c>
      <c r="G1276" s="2">
        <f ca="1">IFERROR(__xludf.DUMMYFUNCTION("""COMPUTED_VALUE"""),0)</f>
        <v>0</v>
      </c>
      <c r="H1276" s="2">
        <f ca="1">IFERROR(__xludf.DUMMYFUNCTION("""COMPUTED_VALUE"""),33000)</f>
        <v>33000</v>
      </c>
      <c r="I1276" s="2"/>
      <c r="J1276" s="2"/>
      <c r="K1276" s="2" t="str">
        <f ca="1">IFERROR(__xludf.DUMMYFUNCTION("""COMPUTED_VALUE"""),"Filtrado Tang")</f>
        <v>Filtrado Tang</v>
      </c>
      <c r="L1276" s="2" t="str">
        <f ca="1">IFERROR(__xludf.DUMMYFUNCTION("""COMPUTED_VALUE"""),"1-")</f>
        <v>1-</v>
      </c>
      <c r="M1276" s="2"/>
    </row>
    <row r="1277" spans="1:13" x14ac:dyDescent="0.25">
      <c r="A1277" s="2" t="str">
        <f ca="1">IFERROR(__xludf.DUMMYFUNCTION("""COMPUTED_VALUE"""),"a04a1c06")</f>
        <v>a04a1c06</v>
      </c>
      <c r="B1277" s="2"/>
      <c r="C1277" s="5">
        <f ca="1">IFERROR(__xludf.DUMMYFUNCTION("""COMPUTED_VALUE"""),46017.510162037)</f>
        <v>46017.510162036997</v>
      </c>
      <c r="D1277" s="2">
        <f ca="1">IFERROR(__xludf.DUMMYFUNCTION("""COMPUTED_VALUE"""),500)</f>
        <v>500</v>
      </c>
      <c r="E1277" s="2">
        <f ca="1">IFERROR(__xludf.DUMMYFUNCTION("""COMPUTED_VALUE"""),200000)</f>
        <v>200000</v>
      </c>
      <c r="F1277" s="2" t="str">
        <f ca="1">IFERROR(__xludf.DUMMYFUNCTION("""COMPUTED_VALUE"""),"Ajuste por despacho y otras cosas 26/12/25")</f>
        <v>Ajuste por despacho y otras cosas 26/12/25</v>
      </c>
      <c r="G1277" s="2"/>
      <c r="H1277" s="2">
        <f ca="1">IFERROR(__xludf.DUMMYFUNCTION("""COMPUTED_VALUE"""),1)</f>
        <v>1</v>
      </c>
      <c r="I1277" s="2"/>
      <c r="J1277" s="2"/>
      <c r="K1277" s="2"/>
      <c r="L1277" s="2"/>
      <c r="M1277" s="2"/>
    </row>
    <row r="1278" spans="1:13" x14ac:dyDescent="0.25">
      <c r="A1278" s="2" t="str">
        <f ca="1">IFERROR(__xludf.DUMMYFUNCTION("""COMPUTED_VALUE"""),"237696ba")</f>
        <v>237696ba</v>
      </c>
      <c r="B1278" s="2"/>
      <c r="C1278" s="5">
        <f ca="1">IFERROR(__xludf.DUMMYFUNCTION("""COMPUTED_VALUE"""),46017.511261574)</f>
        <v>46017.511261574</v>
      </c>
      <c r="D1278" s="2">
        <f ca="1">IFERROR(__xludf.DUMMYFUNCTION("""COMPUTED_VALUE"""),92)</f>
        <v>92</v>
      </c>
      <c r="E1278" s="2">
        <f ca="1">IFERROR(__xludf.DUMMYFUNCTION("""COMPUTED_VALUE"""),76000)</f>
        <v>76000</v>
      </c>
      <c r="F1278" s="2" t="str">
        <f ca="1">IFERROR(__xludf.DUMMYFUNCTION("""COMPUTED_VALUE"""),"Malbec")</f>
        <v>Malbec</v>
      </c>
      <c r="G1278" s="2">
        <f ca="1">IFERROR(__xludf.DUMMYFUNCTION("""COMPUTED_VALUE"""),6100)</f>
        <v>6100</v>
      </c>
      <c r="H1278" s="2">
        <f ca="1">IFERROR(__xludf.DUMMYFUNCTION("""COMPUTED_VALUE"""),4700)</f>
        <v>4700</v>
      </c>
      <c r="I1278" s="2"/>
      <c r="J1278" s="2"/>
      <c r="K1278" s="2" t="str">
        <f ca="1">IFERROR(__xludf.DUMMYFUNCTION("""COMPUTED_VALUE"""),"Filtrado Tang")</f>
        <v>Filtrado Tang</v>
      </c>
      <c r="L1278" s="2" t="str">
        <f ca="1">IFERROR(__xludf.DUMMYFUNCTION("""COMPUTED_VALUE"""),"1")</f>
        <v>1</v>
      </c>
      <c r="M1278" s="2"/>
    </row>
    <row r="1279" spans="1:13" x14ac:dyDescent="0.25">
      <c r="A1279" s="2" t="str">
        <f ca="1">IFERROR(__xludf.DUMMYFUNCTION("""COMPUTED_VALUE"""),"ddc221ae")</f>
        <v>ddc221ae</v>
      </c>
      <c r="B1279" s="2"/>
      <c r="C1279" s="5">
        <f ca="1">IFERROR(__xludf.DUMMYFUNCTION("""COMPUTED_VALUE"""),46017.5116435185)</f>
        <v>46017.511643518497</v>
      </c>
      <c r="D1279" s="2">
        <f ca="1">IFERROR(__xludf.DUMMYFUNCTION("""COMPUTED_VALUE"""),500)</f>
        <v>500</v>
      </c>
      <c r="E1279" s="2">
        <f ca="1">IFERROR(__xludf.DUMMYFUNCTION("""COMPUTED_VALUE"""),200000)</f>
        <v>200000</v>
      </c>
      <c r="F1279" s="2"/>
      <c r="G1279" s="2">
        <f ca="1">IFERROR(__xludf.DUMMYFUNCTION("""COMPUTED_VALUE"""),0)</f>
        <v>0</v>
      </c>
      <c r="H1279" s="2">
        <f ca="1">IFERROR(__xludf.DUMMYFUNCTION("""COMPUTED_VALUE"""),4700)</f>
        <v>4700</v>
      </c>
      <c r="I1279" s="2"/>
      <c r="J1279" s="2"/>
      <c r="K1279" s="2"/>
      <c r="L1279" s="2"/>
      <c r="M1279" s="2"/>
    </row>
    <row r="1280" spans="1:13" x14ac:dyDescent="0.25">
      <c r="A1280" s="2" t="str">
        <f ca="1">IFERROR(__xludf.DUMMYFUNCTION("""COMPUTED_VALUE"""),"1abe3664")</f>
        <v>1abe3664</v>
      </c>
      <c r="B1280" s="2"/>
      <c r="C1280" s="5">
        <f ca="1">IFERROR(__xludf.DUMMYFUNCTION("""COMPUTED_VALUE"""),46048.7378009259)</f>
        <v>46048.737800925897</v>
      </c>
      <c r="D1280" s="2">
        <f ca="1">IFERROR(__xludf.DUMMYFUNCTION("""COMPUTED_VALUE"""),120)</f>
        <v>120</v>
      </c>
      <c r="E1280" s="2">
        <f ca="1">IFERROR(__xludf.DUMMYFUNCTION("""COMPUTED_VALUE"""),88800)</f>
        <v>88800</v>
      </c>
      <c r="F1280" s="2" t="str">
        <f ca="1">IFERROR(__xludf.DUMMYFUNCTION("""COMPUTED_VALUE"""),"Malbec Lopez")</f>
        <v>Malbec Lopez</v>
      </c>
      <c r="G1280" s="2">
        <f ca="1">IFERROR(__xludf.DUMMYFUNCTION("""COMPUTED_VALUE"""),0)</f>
        <v>0</v>
      </c>
      <c r="H1280" s="2">
        <f ca="1">IFERROR(__xludf.DUMMYFUNCTION("""COMPUTED_VALUE"""),48400)</f>
        <v>48400</v>
      </c>
      <c r="I1280" s="2"/>
      <c r="J1280" s="2"/>
      <c r="K1280" s="2" t="str">
        <f ca="1">IFERROR(__xludf.DUMMYFUNCTION("""COMPUTED_VALUE"""),"Filtrado Tang")</f>
        <v>Filtrado Tang</v>
      </c>
      <c r="L1280" s="2" t="str">
        <f ca="1">IFERROR(__xludf.DUMMYFUNCTION("""COMPUTED_VALUE"""),"1")</f>
        <v>1</v>
      </c>
      <c r="M1280" s="2"/>
    </row>
    <row r="1281" spans="1:13" x14ac:dyDescent="0.25">
      <c r="A1281" s="2" t="str">
        <f ca="1">IFERROR(__xludf.DUMMYFUNCTION("""COMPUTED_VALUE"""),"2b3bc276")</f>
        <v>2b3bc276</v>
      </c>
      <c r="B1281" s="2"/>
      <c r="C1281" s="5">
        <f ca="1">IFERROR(__xludf.DUMMYFUNCTION("""COMPUTED_VALUE"""),46048.7382638888)</f>
        <v>46048.738263888801</v>
      </c>
      <c r="D1281" s="2">
        <f ca="1">IFERROR(__xludf.DUMMYFUNCTION("""COMPUTED_VALUE"""),69)</f>
        <v>69</v>
      </c>
      <c r="E1281" s="2">
        <f ca="1">IFERROR(__xludf.DUMMYFUNCTION("""COMPUTED_VALUE"""),13000)</f>
        <v>13000</v>
      </c>
      <c r="F1281" s="2" t="str">
        <f ca="1">IFERROR(__xludf.DUMMYFUNCTION("""COMPUTED_VALUE"""),"Malbec Lopez")</f>
        <v>Malbec Lopez</v>
      </c>
      <c r="G1281" s="2">
        <f ca="1">IFERROR(__xludf.DUMMYFUNCTION("""COMPUTED_VALUE"""),0)</f>
        <v>0</v>
      </c>
      <c r="H1281" s="2">
        <f ca="1">IFERROR(__xludf.DUMMYFUNCTION("""COMPUTED_VALUE"""),8000)</f>
        <v>8000</v>
      </c>
      <c r="I1281" s="2"/>
      <c r="J1281" s="2"/>
      <c r="K1281" s="2" t="str">
        <f ca="1">IFERROR(__xludf.DUMMYFUNCTION("""COMPUTED_VALUE"""),"Filtrado Tang")</f>
        <v>Filtrado Tang</v>
      </c>
      <c r="L1281" s="2" t="str">
        <f ca="1">IFERROR(__xludf.DUMMYFUNCTION("""COMPUTED_VALUE"""),"1")</f>
        <v>1</v>
      </c>
      <c r="M1281" s="2"/>
    </row>
    <row r="1282" spans="1:13" x14ac:dyDescent="0.25">
      <c r="A1282" s="2" t="str">
        <f ca="1">IFERROR(__xludf.DUMMYFUNCTION("""COMPUTED_VALUE"""),"a8637490")</f>
        <v>a8637490</v>
      </c>
      <c r="B1282" s="2"/>
      <c r="C1282" s="5">
        <f ca="1">IFERROR(__xludf.DUMMYFUNCTION("""COMPUTED_VALUE"""),46048.7387847222)</f>
        <v>46048.738784722198</v>
      </c>
      <c r="D1282" s="2">
        <f ca="1">IFERROR(__xludf.DUMMYFUNCTION("""COMPUTED_VALUE"""),120)</f>
        <v>120</v>
      </c>
      <c r="E1282" s="2">
        <f ca="1">IFERROR(__xludf.DUMMYFUNCTION("""COMPUTED_VALUE"""),88800)</f>
        <v>88800</v>
      </c>
      <c r="F1282" s="2" t="str">
        <f ca="1">IFERROR(__xludf.DUMMYFUNCTION("""COMPUTED_VALUE"""),"Malbec Lopez")</f>
        <v>Malbec Lopez</v>
      </c>
      <c r="G1282" s="2">
        <f ca="1">IFERROR(__xludf.DUMMYFUNCTION("""COMPUTED_VALUE"""),48400)</f>
        <v>48400</v>
      </c>
      <c r="H1282" s="2">
        <f ca="1">IFERROR(__xludf.DUMMYFUNCTION("""COMPUTED_VALUE"""),70400)</f>
        <v>70400</v>
      </c>
      <c r="I1282" s="2"/>
      <c r="J1282" s="2"/>
      <c r="K1282" s="2" t="str">
        <f ca="1">IFERROR(__xludf.DUMMYFUNCTION("""COMPUTED_VALUE"""),"Filtrado Tang")</f>
        <v>Filtrado Tang</v>
      </c>
      <c r="L1282" s="2" t="str">
        <f ca="1">IFERROR(__xludf.DUMMYFUNCTION("""COMPUTED_VALUE"""),"1")</f>
        <v>1</v>
      </c>
      <c r="M1282" s="2"/>
    </row>
    <row r="1283" spans="1:13" x14ac:dyDescent="0.25">
      <c r="A1283" s="2" t="str">
        <f ca="1">IFERROR(__xludf.DUMMYFUNCTION("""COMPUTED_VALUE"""),"aab08ba2")</f>
        <v>aab08ba2</v>
      </c>
      <c r="B1283" s="2"/>
      <c r="C1283" s="5">
        <f ca="1">IFERROR(__xludf.DUMMYFUNCTION("""COMPUTED_VALUE"""),46048.7390509259)</f>
        <v>46048.739050925898</v>
      </c>
      <c r="D1283" s="2">
        <f ca="1">IFERROR(__xludf.DUMMYFUNCTION("""COMPUTED_VALUE"""),69)</f>
        <v>69</v>
      </c>
      <c r="E1283" s="2">
        <f ca="1">IFERROR(__xludf.DUMMYFUNCTION("""COMPUTED_VALUE"""),13000)</f>
        <v>13000</v>
      </c>
      <c r="F1283" s="2" t="str">
        <f ca="1">IFERROR(__xludf.DUMMYFUNCTION("""COMPUTED_VALUE"""),"Malbec Lopez")</f>
        <v>Malbec Lopez</v>
      </c>
      <c r="G1283" s="2">
        <f ca="1">IFERROR(__xludf.DUMMYFUNCTION("""COMPUTED_VALUE"""),8000)</f>
        <v>8000</v>
      </c>
      <c r="H1283" s="2">
        <f ca="1">IFERROR(__xludf.DUMMYFUNCTION("""COMPUTED_VALUE"""),11200)</f>
        <v>11200</v>
      </c>
      <c r="I1283" s="2"/>
      <c r="J1283" s="2"/>
      <c r="K1283" s="2" t="str">
        <f ca="1">IFERROR(__xludf.DUMMYFUNCTION("""COMPUTED_VALUE"""),"Filtrado Tang")</f>
        <v>Filtrado Tang</v>
      </c>
      <c r="L1283" s="2" t="str">
        <f ca="1">IFERROR(__xludf.DUMMYFUNCTION("""COMPUTED_VALUE"""),"1")</f>
        <v>1</v>
      </c>
      <c r="M1283" s="2"/>
    </row>
    <row r="1284" spans="1:13" x14ac:dyDescent="0.25">
      <c r="A1284" s="2" t="str">
        <f ca="1">IFERROR(__xludf.DUMMYFUNCTION("""COMPUTED_VALUE"""),"7c3114b2")</f>
        <v>7c3114b2</v>
      </c>
      <c r="B1284" s="2"/>
      <c r="C1284" s="5">
        <f ca="1">IFERROR(__xludf.DUMMYFUNCTION("""COMPUTED_VALUE"""),46048.7400231481)</f>
        <v>46048.740023148101</v>
      </c>
      <c r="D1284" s="2">
        <f ca="1">IFERROR(__xludf.DUMMYFUNCTION("""COMPUTED_VALUE"""),120)</f>
        <v>120</v>
      </c>
      <c r="E1284" s="2">
        <f ca="1">IFERROR(__xludf.DUMMYFUNCTION("""COMPUTED_VALUE"""),88800)</f>
        <v>88800</v>
      </c>
      <c r="F1284" s="2" t="str">
        <f ca="1">IFERROR(__xludf.DUMMYFUNCTION("""COMPUTED_VALUE"""),"Malbec Lopez")</f>
        <v>Malbec Lopez</v>
      </c>
      <c r="G1284" s="2">
        <f ca="1">IFERROR(__xludf.DUMMYFUNCTION("""COMPUTED_VALUE"""),70400)</f>
        <v>70400</v>
      </c>
      <c r="H1284" s="2">
        <f ca="1">IFERROR(__xludf.DUMMYFUNCTION("""COMPUTED_VALUE"""),88800)</f>
        <v>88800</v>
      </c>
      <c r="I1284" s="2"/>
      <c r="J1284" s="2"/>
      <c r="K1284" s="2" t="str">
        <f ca="1">IFERROR(__xludf.DUMMYFUNCTION("""COMPUTED_VALUE"""),"Filtrado Tang")</f>
        <v>Filtrado Tang</v>
      </c>
      <c r="L1284" s="2" t="str">
        <f ca="1">IFERROR(__xludf.DUMMYFUNCTION("""COMPUTED_VALUE"""),"1")</f>
        <v>1</v>
      </c>
      <c r="M1284" s="2"/>
    </row>
    <row r="1285" spans="1:13" x14ac:dyDescent="0.25">
      <c r="A1285" s="2" t="str">
        <f ca="1">IFERROR(__xludf.DUMMYFUNCTION("""COMPUTED_VALUE"""),"f0fa3c18")</f>
        <v>f0fa3c18</v>
      </c>
      <c r="B1285" s="2"/>
      <c r="C1285" s="5">
        <f ca="1">IFERROR(__xludf.DUMMYFUNCTION("""COMPUTED_VALUE"""),46048.7408680555)</f>
        <v>46048.740868055502</v>
      </c>
      <c r="D1285" s="2">
        <f ca="1">IFERROR(__xludf.DUMMYFUNCTION("""COMPUTED_VALUE"""),69)</f>
        <v>69</v>
      </c>
      <c r="E1285" s="2">
        <f ca="1">IFERROR(__xludf.DUMMYFUNCTION("""COMPUTED_VALUE"""),13000)</f>
        <v>13000</v>
      </c>
      <c r="F1285" s="2" t="str">
        <f ca="1">IFERROR(__xludf.DUMMYFUNCTION("""COMPUTED_VALUE"""),"Malbec Lopez")</f>
        <v>Malbec Lopez</v>
      </c>
      <c r="G1285" s="2">
        <f ca="1">IFERROR(__xludf.DUMMYFUNCTION("""COMPUTED_VALUE"""),11200)</f>
        <v>11200</v>
      </c>
      <c r="H1285" s="2">
        <f ca="1">IFERROR(__xludf.DUMMYFUNCTION("""COMPUTED_VALUE"""),13000)</f>
        <v>13000</v>
      </c>
      <c r="I1285" s="2"/>
      <c r="J1285" s="2"/>
      <c r="K1285" s="2" t="str">
        <f ca="1">IFERROR(__xludf.DUMMYFUNCTION("""COMPUTED_VALUE"""),"Filtrado Tang")</f>
        <v>Filtrado Tang</v>
      </c>
      <c r="L1285" s="2" t="str">
        <f ca="1">IFERROR(__xludf.DUMMYFUNCTION("""COMPUTED_VALUE"""),"1")</f>
        <v>1</v>
      </c>
      <c r="M1285" s="2"/>
    </row>
    <row r="1286" spans="1:13" x14ac:dyDescent="0.25">
      <c r="A1286" s="2" t="str">
        <f ca="1">IFERROR(__xludf.DUMMYFUNCTION("""COMPUTED_VALUE"""),"20db0b86")</f>
        <v>20db0b86</v>
      </c>
      <c r="B1286" s="2"/>
      <c r="C1286" s="5">
        <f ca="1">IFERROR(__xludf.DUMMYFUNCTION("""COMPUTED_VALUE"""),46048.7414583333)</f>
        <v>46048.741458333301</v>
      </c>
      <c r="D1286" s="2">
        <f ca="1">IFERROR(__xludf.DUMMYFUNCTION("""COMPUTED_VALUE"""),116)</f>
        <v>116</v>
      </c>
      <c r="E1286" s="2">
        <f ca="1">IFERROR(__xludf.DUMMYFUNCTION("""COMPUTED_VALUE"""),99600)</f>
        <v>99600</v>
      </c>
      <c r="F1286" s="2" t="str">
        <f ca="1">IFERROR(__xludf.DUMMYFUNCTION("""COMPUTED_VALUE"""),"Malbec Lopez")</f>
        <v>Malbec Lopez</v>
      </c>
      <c r="G1286" s="2">
        <f ca="1">IFERROR(__xludf.DUMMYFUNCTION("""COMPUTED_VALUE"""),0)</f>
        <v>0</v>
      </c>
      <c r="H1286" s="2">
        <f ca="1">IFERROR(__xludf.DUMMYFUNCTION("""COMPUTED_VALUE"""),88800)</f>
        <v>88800</v>
      </c>
      <c r="I1286" s="2"/>
      <c r="J1286" s="2"/>
      <c r="K1286" s="2" t="str">
        <f ca="1">IFERROR(__xludf.DUMMYFUNCTION("""COMPUTED_VALUE"""),"Filtrado Tang")</f>
        <v>Filtrado Tang</v>
      </c>
      <c r="L1286" s="2" t="str">
        <f ca="1">IFERROR(__xludf.DUMMYFUNCTION("""COMPUTED_VALUE"""),"1")</f>
        <v>1</v>
      </c>
      <c r="M1286" s="2"/>
    </row>
    <row r="1287" spans="1:13" x14ac:dyDescent="0.25">
      <c r="A1287" s="2" t="str">
        <f ca="1">IFERROR(__xludf.DUMMYFUNCTION("""COMPUTED_VALUE"""),"cc790276")</f>
        <v>cc790276</v>
      </c>
      <c r="B1287" s="2"/>
      <c r="C1287" s="5">
        <f ca="1">IFERROR(__xludf.DUMMYFUNCTION("""COMPUTED_VALUE"""),46048.7417129629)</f>
        <v>46048.741712962903</v>
      </c>
      <c r="D1287" s="2">
        <f ca="1">IFERROR(__xludf.DUMMYFUNCTION("""COMPUTED_VALUE"""),116)</f>
        <v>116</v>
      </c>
      <c r="E1287" s="2">
        <f ca="1">IFERROR(__xludf.DUMMYFUNCTION("""COMPUTED_VALUE"""),99600)</f>
        <v>99600</v>
      </c>
      <c r="F1287" s="2" t="str">
        <f ca="1">IFERROR(__xludf.DUMMYFUNCTION("""COMPUTED_VALUE"""),"Malbec Lopez")</f>
        <v>Malbec Lopez</v>
      </c>
      <c r="G1287" s="2">
        <f ca="1">IFERROR(__xludf.DUMMYFUNCTION("""COMPUTED_VALUE"""),88800)</f>
        <v>88800</v>
      </c>
      <c r="H1287" s="2">
        <f ca="1">IFERROR(__xludf.DUMMYFUNCTION("""COMPUTED_VALUE"""),99600)</f>
        <v>99600</v>
      </c>
      <c r="I1287" s="2"/>
      <c r="J1287" s="2"/>
      <c r="K1287" s="2" t="str">
        <f ca="1">IFERROR(__xludf.DUMMYFUNCTION("""COMPUTED_VALUE"""),"Filtrado Tang")</f>
        <v>Filtrado Tang</v>
      </c>
      <c r="L1287" s="2" t="str">
        <f ca="1">IFERROR(__xludf.DUMMYFUNCTION("""COMPUTED_VALUE"""),"1")</f>
        <v>1</v>
      </c>
      <c r="M1287" s="2" t="str">
        <f ca="1">IFERROR(__xludf.DUMMYFUNCTION("""COMPUTED_VALUE"""),"Tinto")</f>
        <v>Tinto</v>
      </c>
    </row>
    <row r="1288" spans="1:13" x14ac:dyDescent="0.25">
      <c r="A1288" s="2" t="str">
        <f ca="1">IFERROR(__xludf.DUMMYFUNCTION("""COMPUTED_VALUE"""),"9aa674e1")</f>
        <v>9aa674e1</v>
      </c>
      <c r="B1288" s="2"/>
      <c r="C1288" s="5">
        <f ca="1">IFERROR(__xludf.DUMMYFUNCTION("""COMPUTED_VALUE"""),46049.732974537)</f>
        <v>46049.732974537001</v>
      </c>
      <c r="D1288" s="2">
        <f ca="1">IFERROR(__xludf.DUMMYFUNCTION("""COMPUTED_VALUE"""),34)</f>
        <v>34</v>
      </c>
      <c r="E1288" s="2">
        <f ca="1">IFERROR(__xludf.DUMMYFUNCTION("""COMPUTED_VALUE"""),39500)</f>
        <v>39500</v>
      </c>
      <c r="F1288" s="2" t="str">
        <f ca="1">IFERROR(__xludf.DUMMYFUNCTION("""COMPUTED_VALUE"""),"Syrah")</f>
        <v>Syrah</v>
      </c>
      <c r="G1288" s="2">
        <f ca="1">IFERROR(__xludf.DUMMYFUNCTION("""COMPUTED_VALUE"""),0)</f>
        <v>0</v>
      </c>
      <c r="H1288" s="2">
        <f ca="1">IFERROR(__xludf.DUMMYFUNCTION("""COMPUTED_VALUE"""),29200)</f>
        <v>29200</v>
      </c>
      <c r="I1288" s="2"/>
      <c r="J1288" s="2"/>
      <c r="K1288" s="2" t="str">
        <f ca="1">IFERROR(__xludf.DUMMYFUNCTION("""COMPUTED_VALUE"""),"Filtrado Tang")</f>
        <v>Filtrado Tang</v>
      </c>
      <c r="L1288" s="2" t="str">
        <f ca="1">IFERROR(__xludf.DUMMYFUNCTION("""COMPUTED_VALUE"""),"1")</f>
        <v>1</v>
      </c>
      <c r="M1288" s="2"/>
    </row>
    <row r="1289" spans="1:13" x14ac:dyDescent="0.25">
      <c r="A1289" s="2" t="str">
        <f ca="1">IFERROR(__xludf.DUMMYFUNCTION("""COMPUTED_VALUE"""),"8ad61521")</f>
        <v>8ad61521</v>
      </c>
      <c r="B1289" s="2"/>
      <c r="C1289" s="5">
        <f ca="1">IFERROR(__xludf.DUMMYFUNCTION("""COMPUTED_VALUE"""),46049.7334375)</f>
        <v>46049.733437499999</v>
      </c>
      <c r="D1289" s="2">
        <f ca="1">IFERROR(__xludf.DUMMYFUNCTION("""COMPUTED_VALUE"""),34)</f>
        <v>34</v>
      </c>
      <c r="E1289" s="2">
        <f ca="1">IFERROR(__xludf.DUMMYFUNCTION("""COMPUTED_VALUE"""),39500)</f>
        <v>39500</v>
      </c>
      <c r="F1289" s="2" t="str">
        <f ca="1">IFERROR(__xludf.DUMMYFUNCTION("""COMPUTED_VALUE"""),"Malbec")</f>
        <v>Malbec</v>
      </c>
      <c r="G1289" s="2">
        <f ca="1">IFERROR(__xludf.DUMMYFUNCTION("""COMPUTED_VALUE"""),29200)</f>
        <v>29200</v>
      </c>
      <c r="H1289" s="2">
        <f ca="1">IFERROR(__xludf.DUMMYFUNCTION("""COMPUTED_VALUE"""),33000)</f>
        <v>33000</v>
      </c>
      <c r="I1289" s="2"/>
      <c r="J1289" s="2"/>
      <c r="K1289" s="2" t="str">
        <f ca="1">IFERROR(__xludf.DUMMYFUNCTION("""COMPUTED_VALUE"""),"Filtrado Tang")</f>
        <v>Filtrado Tang</v>
      </c>
      <c r="L1289" s="2" t="str">
        <f ca="1">IFERROR(__xludf.DUMMYFUNCTION("""COMPUTED_VALUE"""),"1")</f>
        <v>1</v>
      </c>
      <c r="M1289" s="2"/>
    </row>
    <row r="1290" spans="1:13" x14ac:dyDescent="0.25">
      <c r="A1290" s="2" t="str">
        <f ca="1">IFERROR(__xludf.DUMMYFUNCTION("""COMPUTED_VALUE"""),"ef525c55")</f>
        <v>ef525c55</v>
      </c>
      <c r="B1290" s="2"/>
      <c r="C1290" s="5">
        <f ca="1">IFERROR(__xludf.DUMMYFUNCTION("""COMPUTED_VALUE"""),46049.7338657407)</f>
        <v>46049.733865740702</v>
      </c>
      <c r="D1290" s="2">
        <f ca="1">IFERROR(__xludf.DUMMYFUNCTION("""COMPUTED_VALUE"""),34)</f>
        <v>34</v>
      </c>
      <c r="E1290" s="2">
        <f ca="1">IFERROR(__xludf.DUMMYFUNCTION("""COMPUTED_VALUE"""),39500)</f>
        <v>39500</v>
      </c>
      <c r="F1290" s="2" t="str">
        <f ca="1">IFERROR(__xludf.DUMMYFUNCTION("""COMPUTED_VALUE"""),"Malbec")</f>
        <v>Malbec</v>
      </c>
      <c r="G1290" s="2">
        <f ca="1">IFERROR(__xludf.DUMMYFUNCTION("""COMPUTED_VALUE"""),33000)</f>
        <v>33000</v>
      </c>
      <c r="H1290" s="2">
        <f ca="1">IFERROR(__xludf.DUMMYFUNCTION("""COMPUTED_VALUE"""),39500)</f>
        <v>39500</v>
      </c>
      <c r="I1290" s="2"/>
      <c r="J1290" s="2"/>
      <c r="K1290" s="2" t="str">
        <f ca="1">IFERROR(__xludf.DUMMYFUNCTION("""COMPUTED_VALUE"""),"Filtrado Tang")</f>
        <v>Filtrado Tang</v>
      </c>
      <c r="L1290" s="2" t="str">
        <f ca="1">IFERROR(__xludf.DUMMYFUNCTION("""COMPUTED_VALUE"""),"1")</f>
        <v>1</v>
      </c>
      <c r="M1290" s="2" t="str">
        <f ca="1">IFERROR(__xludf.DUMMYFUNCTION("""COMPUTED_VALUE"""),"Tinto")</f>
        <v>Tinto</v>
      </c>
    </row>
    <row r="1291" spans="1:13" x14ac:dyDescent="0.25">
      <c r="A1291" s="2" t="str">
        <f ca="1">IFERROR(__xludf.DUMMYFUNCTION("""COMPUTED_VALUE"""),"2a1b9079")</f>
        <v>2a1b9079</v>
      </c>
      <c r="B1291" s="2"/>
      <c r="C1291" s="5">
        <f ca="1">IFERROR(__xludf.DUMMYFUNCTION("""COMPUTED_VALUE"""),46049.7341319444)</f>
        <v>46049.734131944402</v>
      </c>
      <c r="D1291" s="2">
        <f ca="1">IFERROR(__xludf.DUMMYFUNCTION("""COMPUTED_VALUE"""),35)</f>
        <v>35</v>
      </c>
      <c r="E1291" s="2">
        <f ca="1">IFERROR(__xludf.DUMMYFUNCTION("""COMPUTED_VALUE"""),39300)</f>
        <v>39300</v>
      </c>
      <c r="F1291" s="2" t="str">
        <f ca="1">IFERROR(__xludf.DUMMYFUNCTION("""COMPUTED_VALUE"""),"Malbec")</f>
        <v>Malbec</v>
      </c>
      <c r="G1291" s="2">
        <f ca="1">IFERROR(__xludf.DUMMYFUNCTION("""COMPUTED_VALUE"""),0)</f>
        <v>0</v>
      </c>
      <c r="H1291" s="2">
        <f ca="1">IFERROR(__xludf.DUMMYFUNCTION("""COMPUTED_VALUE"""),39300)</f>
        <v>39300</v>
      </c>
      <c r="I1291" s="2"/>
      <c r="J1291" s="2"/>
      <c r="K1291" s="2" t="str">
        <f ca="1">IFERROR(__xludf.DUMMYFUNCTION("""COMPUTED_VALUE"""),"Filtrado Tang")</f>
        <v>Filtrado Tang</v>
      </c>
      <c r="L1291" s="2" t="str">
        <f ca="1">IFERROR(__xludf.DUMMYFUNCTION("""COMPUTED_VALUE"""),"2+")</f>
        <v>2+</v>
      </c>
      <c r="M1291" s="2" t="str">
        <f ca="1">IFERROR(__xludf.DUMMYFUNCTION("""COMPUTED_VALUE"""),"Tinto")</f>
        <v>Tinto</v>
      </c>
    </row>
    <row r="1292" spans="1:13" x14ac:dyDescent="0.25">
      <c r="A1292" s="2" t="str">
        <f ca="1">IFERROR(__xludf.DUMMYFUNCTION("""COMPUTED_VALUE"""),"3afe1644")</f>
        <v>3afe1644</v>
      </c>
      <c r="B1292" s="2"/>
      <c r="C1292" s="5">
        <f ca="1">IFERROR(__xludf.DUMMYFUNCTION("""COMPUTED_VALUE"""),46049.7342939814)</f>
        <v>46049.734293981397</v>
      </c>
      <c r="D1292" s="2">
        <f ca="1">IFERROR(__xludf.DUMMYFUNCTION("""COMPUTED_VALUE"""),33)</f>
        <v>33</v>
      </c>
      <c r="E1292" s="2">
        <f ca="1">IFERROR(__xludf.DUMMYFUNCTION("""COMPUTED_VALUE"""),25300)</f>
        <v>25300</v>
      </c>
      <c r="F1292" s="2" t="str">
        <f ca="1">IFERROR(__xludf.DUMMYFUNCTION("""COMPUTED_VALUE"""),"Malbec")</f>
        <v>Malbec</v>
      </c>
      <c r="G1292" s="2">
        <f ca="1">IFERROR(__xludf.DUMMYFUNCTION("""COMPUTED_VALUE"""),0)</f>
        <v>0</v>
      </c>
      <c r="H1292" s="2">
        <f ca="1">IFERROR(__xludf.DUMMYFUNCTION("""COMPUTED_VALUE"""),17000)</f>
        <v>17000</v>
      </c>
      <c r="I1292" s="2"/>
      <c r="J1292" s="2"/>
      <c r="K1292" s="2" t="str">
        <f ca="1">IFERROR(__xludf.DUMMYFUNCTION("""COMPUTED_VALUE"""),"Filtrado Tang")</f>
        <v>Filtrado Tang</v>
      </c>
      <c r="L1292" s="2" t="str">
        <f ca="1">IFERROR(__xludf.DUMMYFUNCTION("""COMPUTED_VALUE"""),"2+")</f>
        <v>2+</v>
      </c>
      <c r="M1292" s="2"/>
    </row>
    <row r="1293" spans="1:13" x14ac:dyDescent="0.25">
      <c r="A1293" s="2" t="str">
        <f ca="1">IFERROR(__xludf.DUMMYFUNCTION("""COMPUTED_VALUE"""),"60d69641")</f>
        <v>60d69641</v>
      </c>
      <c r="B1293" s="2"/>
      <c r="C1293" s="5">
        <f ca="1">IFERROR(__xludf.DUMMYFUNCTION("""COMPUTED_VALUE"""),46049.7354976851)</f>
        <v>46049.735497685098</v>
      </c>
      <c r="D1293" s="2">
        <f ca="1">IFERROR(__xludf.DUMMYFUNCTION("""COMPUTED_VALUE"""),52)</f>
        <v>52</v>
      </c>
      <c r="E1293" s="2">
        <f ca="1">IFERROR(__xludf.DUMMYFUNCTION("""COMPUTED_VALUE"""),27000)</f>
        <v>27000</v>
      </c>
      <c r="F1293" s="2" t="str">
        <f ca="1">IFERROR(__xludf.DUMMYFUNCTION("""COMPUTED_VALUE"""),"Anccelotta Aspirant")</f>
        <v>Anccelotta Aspirant</v>
      </c>
      <c r="G1293" s="2">
        <f ca="1">IFERROR(__xludf.DUMMYFUNCTION("""COMPUTED_VALUE"""),0)</f>
        <v>0</v>
      </c>
      <c r="H1293" s="2">
        <f ca="1">IFERROR(__xludf.DUMMYFUNCTION("""COMPUTED_VALUE"""),27000)</f>
        <v>27000</v>
      </c>
      <c r="I1293" s="2"/>
      <c r="J1293" s="2"/>
      <c r="K1293" s="2" t="str">
        <f ca="1">IFERROR(__xludf.DUMMYFUNCTION("""COMPUTED_VALUE"""),"Filtrado Tang")</f>
        <v>Filtrado Tang</v>
      </c>
      <c r="L1293" s="2" t="str">
        <f ca="1">IFERROR(__xludf.DUMMYFUNCTION("""COMPUTED_VALUE"""),"1-")</f>
        <v>1-</v>
      </c>
      <c r="M1293" s="2" t="str">
        <f ca="1">IFERROR(__xludf.DUMMYFUNCTION("""COMPUTED_VALUE"""),"Tinto")</f>
        <v>Tinto</v>
      </c>
    </row>
    <row r="1294" spans="1:13" x14ac:dyDescent="0.25">
      <c r="A1294" s="2" t="str">
        <f ca="1">IFERROR(__xludf.DUMMYFUNCTION("""COMPUTED_VALUE"""),"27f50d27")</f>
        <v>27f50d27</v>
      </c>
      <c r="B1294" s="2"/>
      <c r="C1294" s="5">
        <f ca="1">IFERROR(__xludf.DUMMYFUNCTION("""COMPUTED_VALUE"""),46049.7357060185)</f>
        <v>46049.735706018502</v>
      </c>
      <c r="D1294" s="2">
        <f ca="1">IFERROR(__xludf.DUMMYFUNCTION("""COMPUTED_VALUE"""),51)</f>
        <v>51</v>
      </c>
      <c r="E1294" s="2">
        <f ca="1">IFERROR(__xludf.DUMMYFUNCTION("""COMPUTED_VALUE"""),3900)</f>
        <v>3900</v>
      </c>
      <c r="F1294" s="2" t="str">
        <f ca="1">IFERROR(__xludf.DUMMYFUNCTION("""COMPUTED_VALUE"""),"Anccelotta Aspirant")</f>
        <v>Anccelotta Aspirant</v>
      </c>
      <c r="G1294" s="2">
        <f ca="1">IFERROR(__xludf.DUMMYFUNCTION("""COMPUTED_VALUE"""),0)</f>
        <v>0</v>
      </c>
      <c r="H1294" s="2">
        <f ca="1">IFERROR(__xludf.DUMMYFUNCTION("""COMPUTED_VALUE"""),3900)</f>
        <v>3900</v>
      </c>
      <c r="I1294" s="2"/>
      <c r="J1294" s="2"/>
      <c r="K1294" s="2" t="str">
        <f ca="1">IFERROR(__xludf.DUMMYFUNCTION("""COMPUTED_VALUE"""),"Filtrado Tang")</f>
        <v>Filtrado Tang</v>
      </c>
      <c r="L1294" s="2" t="str">
        <f ca="1">IFERROR(__xludf.DUMMYFUNCTION("""COMPUTED_VALUE"""),"1-")</f>
        <v>1-</v>
      </c>
      <c r="M1294" s="2" t="str">
        <f ca="1">IFERROR(__xludf.DUMMYFUNCTION("""COMPUTED_VALUE"""),"Tinto")</f>
        <v>Tinto</v>
      </c>
    </row>
    <row r="1295" spans="1:13" x14ac:dyDescent="0.25">
      <c r="A1295" s="2" t="str">
        <f ca="1">IFERROR(__xludf.DUMMYFUNCTION("""COMPUTED_VALUE"""),"af91eee8")</f>
        <v>af91eee8</v>
      </c>
      <c r="B1295" s="2"/>
      <c r="C1295" s="5">
        <f ca="1">IFERROR(__xludf.DUMMYFUNCTION("""COMPUTED_VALUE"""),46049.7367129629)</f>
        <v>46049.736712962898</v>
      </c>
      <c r="D1295" s="2">
        <f ca="1">IFERROR(__xludf.DUMMYFUNCTION("""COMPUTED_VALUE"""),33)</f>
        <v>33</v>
      </c>
      <c r="E1295" s="2">
        <f ca="1">IFERROR(__xludf.DUMMYFUNCTION("""COMPUTED_VALUE"""),25300)</f>
        <v>25300</v>
      </c>
      <c r="F1295" s="2" t="str">
        <f ca="1">IFERROR(__xludf.DUMMYFUNCTION("""COMPUTED_VALUE"""),"Malbec Lopez")</f>
        <v>Malbec Lopez</v>
      </c>
      <c r="G1295" s="2">
        <f ca="1">IFERROR(__xludf.DUMMYFUNCTION("""COMPUTED_VALUE"""),17000)</f>
        <v>17000</v>
      </c>
      <c r="H1295" s="2">
        <f ca="1">IFERROR(__xludf.DUMMYFUNCTION("""COMPUTED_VALUE"""),19200)</f>
        <v>19200</v>
      </c>
      <c r="I1295" s="2"/>
      <c r="J1295" s="2"/>
      <c r="K1295" s="2" t="str">
        <f ca="1">IFERROR(__xludf.DUMMYFUNCTION("""COMPUTED_VALUE"""),"Filtrado Tang")</f>
        <v>Filtrado Tang</v>
      </c>
      <c r="L1295" s="2" t="str">
        <f ca="1">IFERROR(__xludf.DUMMYFUNCTION("""COMPUTED_VALUE"""),"1")</f>
        <v>1</v>
      </c>
      <c r="M1295" s="2"/>
    </row>
    <row r="1296" spans="1:13" x14ac:dyDescent="0.25">
      <c r="A1296" s="2" t="str">
        <f ca="1">IFERROR(__xludf.DUMMYFUNCTION("""COMPUTED_VALUE"""),"26df23e4")</f>
        <v>26df23e4</v>
      </c>
      <c r="B1296" s="2"/>
      <c r="C1296" s="5">
        <f ca="1">IFERROR(__xludf.DUMMYFUNCTION("""COMPUTED_VALUE"""),46049.7370023148)</f>
        <v>46049.737002314803</v>
      </c>
      <c r="D1296" s="2">
        <f ca="1">IFERROR(__xludf.DUMMYFUNCTION("""COMPUTED_VALUE"""),33)</f>
        <v>33</v>
      </c>
      <c r="E1296" s="2">
        <f ca="1">IFERROR(__xludf.DUMMYFUNCTION("""COMPUTED_VALUE"""),25300)</f>
        <v>25300</v>
      </c>
      <c r="F1296" s="2" t="str">
        <f ca="1">IFERROR(__xludf.DUMMYFUNCTION("""COMPUTED_VALUE"""),"Malbec")</f>
        <v>Malbec</v>
      </c>
      <c r="G1296" s="2">
        <f ca="1">IFERROR(__xludf.DUMMYFUNCTION("""COMPUTED_VALUE"""),19200)</f>
        <v>19200</v>
      </c>
      <c r="H1296" s="2">
        <f ca="1">IFERROR(__xludf.DUMMYFUNCTION("""COMPUTED_VALUE"""),25300)</f>
        <v>25300</v>
      </c>
      <c r="I1296" s="2"/>
      <c r="J1296" s="2"/>
      <c r="K1296" s="2" t="str">
        <f ca="1">IFERROR(__xludf.DUMMYFUNCTION("""COMPUTED_VALUE"""),"Filtrado Tang")</f>
        <v>Filtrado Tang</v>
      </c>
      <c r="L1296" s="2" t="str">
        <f ca="1">IFERROR(__xludf.DUMMYFUNCTION("""COMPUTED_VALUE"""),"1")</f>
        <v>1</v>
      </c>
      <c r="M1296" s="2" t="str">
        <f ca="1">IFERROR(__xludf.DUMMYFUNCTION("""COMPUTED_VALUE"""),"Tinto")</f>
        <v>Tinto</v>
      </c>
    </row>
    <row r="1297" spans="1:13" x14ac:dyDescent="0.25">
      <c r="A1297" s="2" t="str">
        <f ca="1">IFERROR(__xludf.DUMMYFUNCTION("""COMPUTED_VALUE"""),"44605148")</f>
        <v>44605148</v>
      </c>
      <c r="B1297" s="2"/>
      <c r="C1297" s="5">
        <f ca="1">IFERROR(__xludf.DUMMYFUNCTION("""COMPUTED_VALUE"""),46049.7373958333)</f>
        <v>46049.737395833297</v>
      </c>
      <c r="D1297" s="2">
        <f ca="1">IFERROR(__xludf.DUMMYFUNCTION("""COMPUTED_VALUE"""),500)</f>
        <v>500</v>
      </c>
      <c r="E1297" s="2">
        <f ca="1">IFERROR(__xludf.DUMMYFUNCTION("""COMPUTED_VALUE"""),200000)</f>
        <v>200000</v>
      </c>
      <c r="F1297" s="2" t="str">
        <f ca="1">IFERROR(__xludf.DUMMYFUNCTION("""COMPUTED_VALUE"""),"Malbec")</f>
        <v>Malbec</v>
      </c>
      <c r="G1297" s="2">
        <f ca="1">IFERROR(__xludf.DUMMYFUNCTION("""COMPUTED_VALUE"""),4700)</f>
        <v>4700</v>
      </c>
      <c r="H1297" s="2">
        <f ca="1">IFERROR(__xludf.DUMMYFUNCTION("""COMPUTED_VALUE"""),10200)</f>
        <v>10200</v>
      </c>
      <c r="I1297" s="2"/>
      <c r="J1297" s="2"/>
      <c r="K1297" s="2" t="str">
        <f ca="1">IFERROR(__xludf.DUMMYFUNCTION("""COMPUTED_VALUE"""),"Filtrado Tang")</f>
        <v>Filtrado Tang</v>
      </c>
      <c r="L1297" s="2" t="str">
        <f ca="1">IFERROR(__xludf.DUMMYFUNCTION("""COMPUTED_VALUE"""),"1")</f>
        <v>1</v>
      </c>
      <c r="M1297" s="2"/>
    </row>
    <row r="1298" spans="1:13" x14ac:dyDescent="0.25">
      <c r="A1298" s="2" t="str">
        <f ca="1">IFERROR(__xludf.DUMMYFUNCTION("""COMPUTED_VALUE"""),"a17d4d76")</f>
        <v>a17d4d76</v>
      </c>
      <c r="B1298" s="2"/>
      <c r="C1298" s="5">
        <f ca="1">IFERROR(__xludf.DUMMYFUNCTION("""COMPUTED_VALUE"""),46049.7391087963)</f>
        <v>46049.739108796297</v>
      </c>
      <c r="D1298" s="2">
        <f ca="1">IFERROR(__xludf.DUMMYFUNCTION("""COMPUTED_VALUE"""),500)</f>
        <v>500</v>
      </c>
      <c r="E1298" s="2">
        <f ca="1">IFERROR(__xludf.DUMMYFUNCTION("""COMPUTED_VALUE"""),200000)</f>
        <v>200000</v>
      </c>
      <c r="F1298" s="2" t="str">
        <f ca="1">IFERROR(__xludf.DUMMYFUNCTION("""COMPUTED_VALUE"""),"Ajuste Venta")</f>
        <v>Ajuste Venta</v>
      </c>
      <c r="G1298" s="2">
        <f ca="1">IFERROR(__xludf.DUMMYFUNCTION("""COMPUTED_VALUE"""),10200)</f>
        <v>10200</v>
      </c>
      <c r="H1298" s="2">
        <f ca="1">IFERROR(__xludf.DUMMYFUNCTION("""COMPUTED_VALUE"""),12300)</f>
        <v>12300</v>
      </c>
      <c r="I1298" s="2"/>
      <c r="J1298" s="2"/>
      <c r="K1298" s="2" t="str">
        <f ca="1">IFERROR(__xludf.DUMMYFUNCTION("""COMPUTED_VALUE"""),"Filtrado Tang")</f>
        <v>Filtrado Tang</v>
      </c>
      <c r="L1298" s="2" t="str">
        <f ca="1">IFERROR(__xludf.DUMMYFUNCTION("""COMPUTED_VALUE"""),"1-")</f>
        <v>1-</v>
      </c>
      <c r="M1298" s="2"/>
    </row>
    <row r="1299" spans="1:13" x14ac:dyDescent="0.25">
      <c r="A1299" s="2" t="str">
        <f ca="1">IFERROR(__xludf.DUMMYFUNCTION("""COMPUTED_VALUE"""),"b46fc490")</f>
        <v>b46fc490</v>
      </c>
      <c r="B1299" s="2"/>
      <c r="C1299" s="5">
        <f ca="1">IFERROR(__xludf.DUMMYFUNCTION("""COMPUTED_VALUE"""),46049.740474537)</f>
        <v>46049.740474537</v>
      </c>
      <c r="D1299" s="2">
        <f ca="1">IFERROR(__xludf.DUMMYFUNCTION("""COMPUTED_VALUE"""),500)</f>
        <v>500</v>
      </c>
      <c r="E1299" s="2">
        <f ca="1">IFERROR(__xludf.DUMMYFUNCTION("""COMPUTED_VALUE"""),200000)</f>
        <v>200000</v>
      </c>
      <c r="F1299" s="2" t="str">
        <f ca="1">IFERROR(__xludf.DUMMYFUNCTION("""COMPUTED_VALUE"""),"Ajuste Venta")</f>
        <v>Ajuste Venta</v>
      </c>
      <c r="G1299" s="2">
        <f ca="1">IFERROR(__xludf.DUMMYFUNCTION("""COMPUTED_VALUE"""),12300)</f>
        <v>12300</v>
      </c>
      <c r="H1299" s="2">
        <f ca="1">IFERROR(__xludf.DUMMYFUNCTION("""COMPUTED_VALUE"""),12800)</f>
        <v>12800</v>
      </c>
      <c r="I1299" s="2"/>
      <c r="J1299" s="2"/>
      <c r="K1299" s="2" t="str">
        <f ca="1">IFERROR(__xludf.DUMMYFUNCTION("""COMPUTED_VALUE"""),"Filtrado Tang")</f>
        <v>Filtrado Tang</v>
      </c>
      <c r="L1299" s="2" t="str">
        <f ca="1">IFERROR(__xludf.DUMMYFUNCTION("""COMPUTED_VALUE"""),"1-")</f>
        <v>1-</v>
      </c>
      <c r="M1299" s="2"/>
    </row>
    <row r="1300" spans="1:13" x14ac:dyDescent="0.25">
      <c r="A1300" s="2" t="str">
        <f ca="1">IFERROR(__xludf.DUMMYFUNCTION("""COMPUTED_VALUE"""),"4c4ed750")</f>
        <v>4c4ed750</v>
      </c>
      <c r="B1300" s="2"/>
      <c r="C1300" s="5">
        <f ca="1">IFERROR(__xludf.DUMMYFUNCTION("""COMPUTED_VALUE"""),46059.4693055555)</f>
        <v>46059.469305555504</v>
      </c>
      <c r="D1300" s="2">
        <f ca="1">IFERROR(__xludf.DUMMYFUNCTION("""COMPUTED_VALUE"""),125)</f>
        <v>125</v>
      </c>
      <c r="E1300" s="2">
        <f ca="1">IFERROR(__xludf.DUMMYFUNCTION("""COMPUTED_VALUE"""),31000)</f>
        <v>31000</v>
      </c>
      <c r="F1300" s="2" t="str">
        <f ca="1">IFERROR(__xludf.DUMMYFUNCTION("""COMPUTED_VALUE"""),"Chardonnay Mosto a Flotar")</f>
        <v>Chardonnay Mosto a Flotar</v>
      </c>
      <c r="G1300" s="2"/>
      <c r="H1300" s="2">
        <f ca="1">IFERROR(__xludf.DUMMYFUNCTION("""COMPUTED_VALUE"""),22000)</f>
        <v>22000</v>
      </c>
      <c r="I1300" s="2"/>
      <c r="J1300" s="2" t="str">
        <f ca="1">IFERROR(__xludf.DUMMYFUNCTION("""COMPUTED_VALUE"""),"6189 , 6190 , 6191")</f>
        <v>6189 , 6190 , 6191</v>
      </c>
      <c r="K1300" s="2"/>
      <c r="L1300" s="2"/>
      <c r="M1300" s="2" t="str">
        <f ca="1">IFERROR(__xludf.DUMMYFUNCTION("""COMPUTED_VALUE"""),"Blanco")</f>
        <v>Blanco</v>
      </c>
    </row>
    <row r="1301" spans="1:13" x14ac:dyDescent="0.25">
      <c r="A1301" s="2" t="str">
        <f ca="1">IFERROR(__xludf.DUMMYFUNCTION("""COMPUTED_VALUE"""),"bc31113b")</f>
        <v>bc31113b</v>
      </c>
      <c r="B1301" s="2"/>
      <c r="C1301" s="5">
        <f ca="1">IFERROR(__xludf.DUMMYFUNCTION("""COMPUTED_VALUE"""),46059.4720949074)</f>
        <v>46059.472094907404</v>
      </c>
      <c r="D1301" s="2">
        <f ca="1">IFERROR(__xludf.DUMMYFUNCTION("""COMPUTED_VALUE"""),8)</f>
        <v>8</v>
      </c>
      <c r="E1301" s="2">
        <f ca="1">IFERROR(__xludf.DUMMYFUNCTION("""COMPUTED_VALUE"""),22000)</f>
        <v>22000</v>
      </c>
      <c r="F1301" s="2" t="str">
        <f ca="1">IFERROR(__xludf.DUMMYFUNCTION("""COMPUTED_VALUE"""),"Chardonnay Mosto Rect")</f>
        <v>Chardonnay Mosto Rect</v>
      </c>
      <c r="G1301" s="2">
        <f ca="1">IFERROR(__xludf.DUMMYFUNCTION("""COMPUTED_VALUE"""),0)</f>
        <v>0</v>
      </c>
      <c r="H1301" s="2">
        <f ca="1">IFERROR(__xludf.DUMMYFUNCTION("""COMPUTED_VALUE"""),20000)</f>
        <v>20000</v>
      </c>
      <c r="I1301" s="2"/>
      <c r="J1301" s="2"/>
      <c r="K1301" s="2" t="str">
        <f ca="1">IFERROR(__xludf.DUMMYFUNCTION("""COMPUTED_VALUE"""),"Rectificado")</f>
        <v>Rectificado</v>
      </c>
      <c r="L1301" s="2"/>
      <c r="M1301" s="2" t="str">
        <f ca="1">IFERROR(__xludf.DUMMYFUNCTION("""COMPUTED_VALUE"""),"Blanco")</f>
        <v>Blanco</v>
      </c>
    </row>
    <row r="1302" spans="1:13" x14ac:dyDescent="0.25">
      <c r="A1302" s="2" t="str">
        <f ca="1">IFERROR(__xludf.DUMMYFUNCTION("""COMPUTED_VALUE"""),"0ca9d715")</f>
        <v>0ca9d715</v>
      </c>
      <c r="B1302" s="2"/>
      <c r="C1302" s="5">
        <f ca="1">IFERROR(__xludf.DUMMYFUNCTION("""COMPUTED_VALUE"""),46059.4727662037)</f>
        <v>46059.472766203697</v>
      </c>
      <c r="D1302" s="2">
        <f ca="1">IFERROR(__xludf.DUMMYFUNCTION("""COMPUTED_VALUE"""),73)</f>
        <v>73</v>
      </c>
      <c r="E1302" s="2">
        <f ca="1">IFERROR(__xludf.DUMMYFUNCTION("""COMPUTED_VALUE"""),13000)</f>
        <v>13000</v>
      </c>
      <c r="F1302" s="2" t="str">
        <f ca="1">IFERROR(__xludf.DUMMYFUNCTION("""COMPUTED_VALUE"""),"Chardonnay Mosto Borra")</f>
        <v>Chardonnay Mosto Borra</v>
      </c>
      <c r="G1302" s="2">
        <f ca="1">IFERROR(__xludf.DUMMYFUNCTION("""COMPUTED_VALUE"""),0)</f>
        <v>0</v>
      </c>
      <c r="H1302" s="2">
        <f ca="1">IFERROR(__xludf.DUMMYFUNCTION("""COMPUTED_VALUE"""),2000)</f>
        <v>2000</v>
      </c>
      <c r="I1302" s="2"/>
      <c r="J1302" s="2"/>
      <c r="K1302" s="2"/>
      <c r="L1302" s="2"/>
      <c r="M1302" s="2" t="str">
        <f ca="1">IFERROR(__xludf.DUMMYFUNCTION("""COMPUTED_VALUE"""),"Blanco")</f>
        <v>Blanco</v>
      </c>
    </row>
    <row r="1303" spans="1:13" x14ac:dyDescent="0.25">
      <c r="A1303" s="2" t="str">
        <f ca="1">IFERROR(__xludf.DUMMYFUNCTION("""COMPUTED_VALUE"""),"70dfdd05")</f>
        <v>70dfdd05</v>
      </c>
      <c r="B1303" s="2"/>
      <c r="C1303" s="5">
        <f ca="1">IFERROR(__xludf.DUMMYFUNCTION("""COMPUTED_VALUE"""),46062.7400810185)</f>
        <v>46062.740081018499</v>
      </c>
      <c r="D1303" s="2">
        <f ca="1">IFERROR(__xludf.DUMMYFUNCTION("""COMPUTED_VALUE"""),77)</f>
        <v>77</v>
      </c>
      <c r="E1303" s="2">
        <f ca="1">IFERROR(__xludf.DUMMYFUNCTION("""COMPUTED_VALUE"""),26000)</f>
        <v>26000</v>
      </c>
      <c r="F1303" s="2" t="str">
        <f ca="1">IFERROR(__xludf.DUMMYFUNCTION("""COMPUTED_VALUE"""),"Chardonnay")</f>
        <v>Chardonnay</v>
      </c>
      <c r="G1303" s="2"/>
      <c r="H1303" s="2">
        <f ca="1">IFERROR(__xludf.DUMMYFUNCTION("""COMPUTED_VALUE"""),19800)</f>
        <v>19800</v>
      </c>
      <c r="I1303" s="2"/>
      <c r="J1303" s="2" t="str">
        <f ca="1">IFERROR(__xludf.DUMMYFUNCTION("""COMPUTED_VALUE"""),"6192 , 6193 , 6194")</f>
        <v>6192 , 6193 , 6194</v>
      </c>
      <c r="K1303" s="2" t="str">
        <f ca="1">IFERROR(__xludf.DUMMYFUNCTION("""COMPUTED_VALUE"""),"Fermentando")</f>
        <v>Fermentando</v>
      </c>
      <c r="L1303" s="2"/>
      <c r="M1303" s="2"/>
    </row>
    <row r="1304" spans="1:13" x14ac:dyDescent="0.25">
      <c r="A1304" s="2" t="str">
        <f ca="1">IFERROR(__xludf.DUMMYFUNCTION("""COMPUTED_VALUE"""),"28602ed3")</f>
        <v>28602ed3</v>
      </c>
      <c r="B1304" s="2"/>
      <c r="C1304" s="5">
        <f ca="1">IFERROR(__xludf.DUMMYFUNCTION("""COMPUTED_VALUE"""),46062.7425347222)</f>
        <v>46062.742534722202</v>
      </c>
      <c r="D1304" s="2">
        <f ca="1">IFERROR(__xludf.DUMMYFUNCTION("""COMPUTED_VALUE"""),8)</f>
        <v>8</v>
      </c>
      <c r="E1304" s="2">
        <f ca="1">IFERROR(__xludf.DUMMYFUNCTION("""COMPUTED_VALUE"""),22000)</f>
        <v>22000</v>
      </c>
      <c r="F1304" s="2" t="str">
        <f ca="1">IFERROR(__xludf.DUMMYFUNCTION("""COMPUTED_VALUE"""),"Chardonnay")</f>
        <v>Chardonnay</v>
      </c>
      <c r="G1304" s="2">
        <f ca="1">IFERROR(__xludf.DUMMYFUNCTION("""COMPUTED_VALUE"""),20000)</f>
        <v>20000</v>
      </c>
      <c r="H1304" s="2">
        <f ca="1">IFERROR(__xludf.DUMMYFUNCTION("""COMPUTED_VALUE"""),21800)</f>
        <v>21800</v>
      </c>
      <c r="I1304" s="2"/>
      <c r="J1304" s="2"/>
      <c r="K1304" s="2" t="str">
        <f ca="1">IFERROR(__xludf.DUMMYFUNCTION("""COMPUTED_VALUE"""),"Rectificado")</f>
        <v>Rectificado</v>
      </c>
      <c r="L1304" s="2"/>
      <c r="M1304" s="2" t="str">
        <f ca="1">IFERROR(__xludf.DUMMYFUNCTION("""COMPUTED_VALUE"""),"Blanco")</f>
        <v>Blanco</v>
      </c>
    </row>
    <row r="1305" spans="1:13" x14ac:dyDescent="0.25">
      <c r="A1305" s="2" t="str">
        <f ca="1">IFERROR(__xludf.DUMMYFUNCTION("""COMPUTED_VALUE"""),"403b7669")</f>
        <v>403b7669</v>
      </c>
      <c r="B1305" s="2"/>
      <c r="C1305" s="5">
        <f ca="1">IFERROR(__xludf.DUMMYFUNCTION("""COMPUTED_VALUE"""),46063.7747569444)</f>
        <v>46063.774756944404</v>
      </c>
      <c r="D1305" s="2">
        <f ca="1">IFERROR(__xludf.DUMMYFUNCTION("""COMPUTED_VALUE"""),78)</f>
        <v>78</v>
      </c>
      <c r="E1305" s="2">
        <f ca="1">IFERROR(__xludf.DUMMYFUNCTION("""COMPUTED_VALUE"""),25800)</f>
        <v>25800</v>
      </c>
      <c r="F1305" s="2" t="str">
        <f ca="1">IFERROR(__xludf.DUMMYFUNCTION("""COMPUTED_VALUE"""),"Chardonnay")</f>
        <v>Chardonnay</v>
      </c>
      <c r="G1305" s="2"/>
      <c r="H1305" s="2">
        <f ca="1">IFERROR(__xludf.DUMMYFUNCTION("""COMPUTED_VALUE"""),21000)</f>
        <v>21000</v>
      </c>
      <c r="I1305" s="2"/>
      <c r="J1305" s="2" t="str">
        <f ca="1">IFERROR(__xludf.DUMMYFUNCTION("""COMPUTED_VALUE"""),"6195 , 6196 , 6197 , 61970")</f>
        <v>6195 , 6196 , 6197 , 61970</v>
      </c>
      <c r="K1305" s="2" t="str">
        <f ca="1">IFERROR(__xludf.DUMMYFUNCTION("""COMPUTED_VALUE"""),"Fermentando")</f>
        <v>Fermentando</v>
      </c>
      <c r="L1305" s="2"/>
      <c r="M1305" s="2" t="str">
        <f ca="1">IFERROR(__xludf.DUMMYFUNCTION("""COMPUTED_VALUE"""),"Blanco")</f>
        <v>Blanco</v>
      </c>
    </row>
    <row r="1306" spans="1:13" x14ac:dyDescent="0.25">
      <c r="A1306" s="2" t="str">
        <f ca="1">IFERROR(__xludf.DUMMYFUNCTION("""COMPUTED_VALUE"""),"f47daeb3")</f>
        <v>f47daeb3</v>
      </c>
      <c r="B1306" s="2"/>
      <c r="C1306" s="5">
        <f ca="1">IFERROR(__xludf.DUMMYFUNCTION("""COMPUTED_VALUE"""),46063.7841666666)</f>
        <v>46063.784166666599</v>
      </c>
      <c r="D1306" s="2">
        <f ca="1">IFERROR(__xludf.DUMMYFUNCTION("""COMPUTED_VALUE"""),46)</f>
        <v>46</v>
      </c>
      <c r="E1306" s="2">
        <f ca="1">IFERROR(__xludf.DUMMYFUNCTION("""COMPUTED_VALUE"""),29000)</f>
        <v>29000</v>
      </c>
      <c r="F1306" s="2" t="str">
        <f ca="1">IFERROR(__xludf.DUMMYFUNCTION("""COMPUTED_VALUE"""),"Chardonnay Mosto Rect")</f>
        <v>Chardonnay Mosto Rect</v>
      </c>
      <c r="G1306" s="2">
        <f ca="1">IFERROR(__xludf.DUMMYFUNCTION("""COMPUTED_VALUE"""),0)</f>
        <v>0</v>
      </c>
      <c r="H1306" s="2">
        <f ca="1">IFERROR(__xludf.DUMMYFUNCTION("""COMPUTED_VALUE"""),21800)</f>
        <v>21800</v>
      </c>
      <c r="I1306" s="2"/>
      <c r="J1306" s="2"/>
      <c r="K1306" s="2" t="str">
        <f ca="1">IFERROR(__xludf.DUMMYFUNCTION("""COMPUTED_VALUE"""),"Rectificado")</f>
        <v>Rectificado</v>
      </c>
      <c r="L1306" s="2"/>
      <c r="M1306" s="2" t="str">
        <f ca="1">IFERROR(__xludf.DUMMYFUNCTION("""COMPUTED_VALUE"""),"Blanco")</f>
        <v>Blanco</v>
      </c>
    </row>
    <row r="1307" spans="1:13" x14ac:dyDescent="0.25">
      <c r="A1307" s="2" t="str">
        <f ca="1">IFERROR(__xludf.DUMMYFUNCTION("""COMPUTED_VALUE"""),"6925ca3a")</f>
        <v>6925ca3a</v>
      </c>
      <c r="B1307" s="2"/>
      <c r="C1307" s="5">
        <f ca="1">IFERROR(__xludf.DUMMYFUNCTION("""COMPUTED_VALUE"""),46063.7849652777)</f>
        <v>46063.7849652777</v>
      </c>
      <c r="D1307" s="2">
        <f ca="1">IFERROR(__xludf.DUMMYFUNCTION("""COMPUTED_VALUE"""),77)</f>
        <v>77</v>
      </c>
      <c r="E1307" s="2">
        <f ca="1">IFERROR(__xludf.DUMMYFUNCTION("""COMPUTED_VALUE"""),26000)</f>
        <v>26000</v>
      </c>
      <c r="F1307" s="2" t="str">
        <f ca="1">IFERROR(__xludf.DUMMYFUNCTION("""COMPUTED_VALUE"""),"Chardonnay")</f>
        <v>Chardonnay</v>
      </c>
      <c r="G1307" s="2">
        <f ca="1">IFERROR(__xludf.DUMMYFUNCTION("""COMPUTED_VALUE"""),19800)</f>
        <v>19800</v>
      </c>
      <c r="H1307" s="2">
        <f ca="1">IFERROR(__xludf.DUMMYFUNCTION("""COMPUTED_VALUE"""),25500)</f>
        <v>25500</v>
      </c>
      <c r="I1307" s="2"/>
      <c r="J1307" s="2"/>
      <c r="K1307" s="2" t="str">
        <f ca="1">IFERROR(__xludf.DUMMYFUNCTION("""COMPUTED_VALUE"""),"Fermentando")</f>
        <v>Fermentando</v>
      </c>
      <c r="L1307" s="2"/>
      <c r="M1307" s="2" t="str">
        <f ca="1">IFERROR(__xludf.DUMMYFUNCTION("""COMPUTED_VALUE"""),"Blanco")</f>
        <v>Blanco</v>
      </c>
    </row>
    <row r="1308" spans="1:13" x14ac:dyDescent="0.25">
      <c r="A1308" s="2" t="str">
        <f ca="1">IFERROR(__xludf.DUMMYFUNCTION("""COMPUTED_VALUE"""),"bdb48937")</f>
        <v>bdb48937</v>
      </c>
      <c r="B1308" s="2"/>
      <c r="C1308" s="5">
        <f ca="1">IFERROR(__xludf.DUMMYFUNCTION("""COMPUTED_VALUE"""),46064.5140393518)</f>
        <v>46064.514039351801</v>
      </c>
      <c r="D1308" s="2">
        <f ca="1">IFERROR(__xludf.DUMMYFUNCTION("""COMPUTED_VALUE"""),80)</f>
        <v>80</v>
      </c>
      <c r="E1308" s="2">
        <f ca="1">IFERROR(__xludf.DUMMYFUNCTION("""COMPUTED_VALUE"""),26100)</f>
        <v>26100</v>
      </c>
      <c r="F1308" s="2" t="str">
        <f ca="1">IFERROR(__xludf.DUMMYFUNCTION("""COMPUTED_VALUE"""),"Chardonnay")</f>
        <v>Chardonnay</v>
      </c>
      <c r="G1308" s="2"/>
      <c r="H1308" s="2">
        <f ca="1">IFERROR(__xludf.DUMMYFUNCTION("""COMPUTED_VALUE"""),18100)</f>
        <v>18100</v>
      </c>
      <c r="I1308" s="2"/>
      <c r="J1308" s="2" t="str">
        <f ca="1">IFERROR(__xludf.DUMMYFUNCTION("""COMPUTED_VALUE"""),"6198 , 6199 , 6200")</f>
        <v>6198 , 6199 , 6200</v>
      </c>
      <c r="K1308" s="2" t="str">
        <f ca="1">IFERROR(__xludf.DUMMYFUNCTION("""COMPUTED_VALUE"""),"Fermentando")</f>
        <v>Fermentando</v>
      </c>
      <c r="L1308" s="2"/>
      <c r="M1308" s="2" t="str">
        <f ca="1">IFERROR(__xludf.DUMMYFUNCTION("""COMPUTED_VALUE"""),"Blanco")</f>
        <v>Blanco</v>
      </c>
    </row>
    <row r="1309" spans="1:13" x14ac:dyDescent="0.25">
      <c r="A1309" s="2" t="str">
        <f ca="1">IFERROR(__xludf.DUMMYFUNCTION("""COMPUTED_VALUE"""),"6394eca7")</f>
        <v>6394eca7</v>
      </c>
      <c r="B1309" s="2"/>
      <c r="C1309" s="5">
        <f ca="1">IFERROR(__xludf.DUMMYFUNCTION("""COMPUTED_VALUE"""),46064.5169328703)</f>
        <v>46064.516932870298</v>
      </c>
      <c r="D1309" s="2">
        <f ca="1">IFERROR(__xludf.DUMMYFUNCTION("""COMPUTED_VALUE"""),69)</f>
        <v>69</v>
      </c>
      <c r="E1309" s="2">
        <f ca="1">IFERROR(__xludf.DUMMYFUNCTION("""COMPUTED_VALUE"""),13000)</f>
        <v>13000</v>
      </c>
      <c r="F1309" s="2" t="str">
        <f ca="1">IFERROR(__xludf.DUMMYFUNCTION("""COMPUTED_VALUE"""),"Chardonnay")</f>
        <v>Chardonnay</v>
      </c>
      <c r="G1309" s="2"/>
      <c r="H1309" s="2">
        <f ca="1">IFERROR(__xludf.DUMMYFUNCTION("""COMPUTED_VALUE"""),9000)</f>
        <v>9000</v>
      </c>
      <c r="I1309" s="2"/>
      <c r="J1309" s="2" t="str">
        <f ca="1">IFERROR(__xludf.DUMMYFUNCTION("""COMPUTED_VALUE"""),"6201 , 6202")</f>
        <v>6201 , 6202</v>
      </c>
      <c r="K1309" s="2" t="str">
        <f ca="1">IFERROR(__xludf.DUMMYFUNCTION("""COMPUTED_VALUE"""),"Fermentando")</f>
        <v>Fermentando</v>
      </c>
      <c r="L1309" s="2"/>
      <c r="M1309" s="2" t="str">
        <f ca="1">IFERROR(__xludf.DUMMYFUNCTION("""COMPUTED_VALUE"""),"Blanco")</f>
        <v>Blanco</v>
      </c>
    </row>
    <row r="1310" spans="1:13" x14ac:dyDescent="0.25">
      <c r="A1310" s="2" t="str">
        <f ca="1">IFERROR(__xludf.DUMMYFUNCTION("""COMPUTED_VALUE"""),"eb29fd07")</f>
        <v>eb29fd07</v>
      </c>
      <c r="B1310" s="2"/>
      <c r="C1310" s="5">
        <f ca="1">IFERROR(__xludf.DUMMYFUNCTION("""COMPUTED_VALUE"""),46064.5267361111)</f>
        <v>46064.526736111096</v>
      </c>
      <c r="D1310" s="2">
        <f ca="1">IFERROR(__xludf.DUMMYFUNCTION("""COMPUTED_VALUE"""),73)</f>
        <v>73</v>
      </c>
      <c r="E1310" s="2">
        <f ca="1">IFERROR(__xludf.DUMMYFUNCTION("""COMPUTED_VALUE"""),13000)</f>
        <v>13000</v>
      </c>
      <c r="F1310" s="2" t="str">
        <f ca="1">IFERROR(__xludf.DUMMYFUNCTION("""COMPUTED_VALUE"""),"Chardonnay Mosto Borra")</f>
        <v>Chardonnay Mosto Borra</v>
      </c>
      <c r="G1310" s="2">
        <f ca="1">IFERROR(__xludf.DUMMYFUNCTION("""COMPUTED_VALUE"""),200)</f>
        <v>200</v>
      </c>
      <c r="H1310" s="2">
        <f ca="1">IFERROR(__xludf.DUMMYFUNCTION("""COMPUTED_VALUE"""),600)</f>
        <v>600</v>
      </c>
      <c r="I1310" s="2"/>
      <c r="J1310" s="2"/>
      <c r="K1310" s="2"/>
      <c r="L1310" s="2"/>
      <c r="M1310" s="2"/>
    </row>
    <row r="1311" spans="1:13" x14ac:dyDescent="0.25">
      <c r="A1311" s="2" t="str">
        <f ca="1">IFERROR(__xludf.DUMMYFUNCTION("""COMPUTED_VALUE"""),"f3de4bc0")</f>
        <v>f3de4bc0</v>
      </c>
      <c r="B1311" s="2"/>
      <c r="C1311" s="5">
        <f ca="1">IFERROR(__xludf.DUMMYFUNCTION("""COMPUTED_VALUE"""),46065.4473611111)</f>
        <v>46065.447361111103</v>
      </c>
      <c r="D1311" s="2">
        <f ca="1">IFERROR(__xludf.DUMMYFUNCTION("""COMPUTED_VALUE"""),81)</f>
        <v>81</v>
      </c>
      <c r="E1311" s="2">
        <f ca="1">IFERROR(__xludf.DUMMYFUNCTION("""COMPUTED_VALUE"""),26500)</f>
        <v>26500</v>
      </c>
      <c r="F1311" s="2" t="str">
        <f ca="1">IFERROR(__xludf.DUMMYFUNCTION("""COMPUTED_VALUE"""),"Merlot")</f>
        <v>Merlot</v>
      </c>
      <c r="G1311" s="2"/>
      <c r="H1311" s="2">
        <f ca="1">IFERROR(__xludf.DUMMYFUNCTION("""COMPUTED_VALUE"""),20400)</f>
        <v>20400</v>
      </c>
      <c r="I1311" s="2" t="str">
        <f ca="1">IFERROR(__xludf.DUMMYFUNCTION("""COMPUTED_VALUE"""),"24/2
Ya deberíamos prensarlo. Faltan los registros de remontajes")</f>
        <v>24/2
Ya deberíamos prensarlo. Faltan los registros de remontajes</v>
      </c>
      <c r="J1311" s="2" t="str">
        <f ca="1">IFERROR(__xludf.DUMMYFUNCTION("""COMPUTED_VALUE"""),"6208 , 6210 , 6212")</f>
        <v>6208 , 6210 , 6212</v>
      </c>
      <c r="K1311" s="2" t="str">
        <f ca="1">IFERROR(__xludf.DUMMYFUNCTION("""COMPUTED_VALUE"""),"Fermentando")</f>
        <v>Fermentando</v>
      </c>
      <c r="L1311" s="2"/>
      <c r="M1311" s="2" t="str">
        <f ca="1">IFERROR(__xludf.DUMMYFUNCTION("""COMPUTED_VALUE"""),"Tinto")</f>
        <v>Tinto</v>
      </c>
    </row>
    <row r="1312" spans="1:13" x14ac:dyDescent="0.25">
      <c r="A1312" s="2" t="str">
        <f ca="1">IFERROR(__xludf.DUMMYFUNCTION("""COMPUTED_VALUE"""),"5b2fb85c")</f>
        <v>5b2fb85c</v>
      </c>
      <c r="B1312" s="2"/>
      <c r="C1312" s="5">
        <f ca="1">IFERROR(__xludf.DUMMYFUNCTION("""COMPUTED_VALUE"""),46065.4533912037)</f>
        <v>46065.4533912037</v>
      </c>
      <c r="D1312" s="2">
        <f ca="1">IFERROR(__xludf.DUMMYFUNCTION("""COMPUTED_VALUE"""),65)</f>
        <v>65</v>
      </c>
      <c r="E1312" s="2">
        <f ca="1">IFERROR(__xludf.DUMMYFUNCTION("""COMPUTED_VALUE"""),35500)</f>
        <v>35500</v>
      </c>
      <c r="F1312" s="2" t="str">
        <f ca="1">IFERROR(__xludf.DUMMYFUNCTION("""COMPUTED_VALUE"""),"Chardonnay Ch")</f>
        <v>Chardonnay Ch</v>
      </c>
      <c r="G1312" s="2"/>
      <c r="H1312" s="2">
        <f ca="1">IFERROR(__xludf.DUMMYFUNCTION("""COMPUTED_VALUE"""),34600)</f>
        <v>34600</v>
      </c>
      <c r="I1312" s="2"/>
      <c r="J1312" s="2" t="str">
        <f ca="1">IFERROR(__xludf.DUMMYFUNCTION("""COMPUTED_VALUE"""),"6203 , 6204 , 6205 , 6206 , 6207")</f>
        <v>6203 , 6204 , 6205 , 6206 , 6207</v>
      </c>
      <c r="K1312" s="2" t="str">
        <f ca="1">IFERROR(__xludf.DUMMYFUNCTION("""COMPUTED_VALUE"""),"Mosto")</f>
        <v>Mosto</v>
      </c>
      <c r="L1312" s="2"/>
      <c r="M1312" s="2" t="str">
        <f ca="1">IFERROR(__xludf.DUMMYFUNCTION("""COMPUTED_VALUE"""),"Blanco")</f>
        <v>Blanco</v>
      </c>
    </row>
    <row r="1313" spans="1:13" x14ac:dyDescent="0.25">
      <c r="A1313" s="2" t="str">
        <f ca="1">IFERROR(__xludf.DUMMYFUNCTION("""COMPUTED_VALUE"""),"f239cd0f")</f>
        <v>f239cd0f</v>
      </c>
      <c r="B1313" s="2"/>
      <c r="C1313" s="5">
        <f ca="1">IFERROR(__xludf.DUMMYFUNCTION("""COMPUTED_VALUE"""),46065.471099537)</f>
        <v>46065.471099536997</v>
      </c>
      <c r="D1313" s="2">
        <f ca="1">IFERROR(__xludf.DUMMYFUNCTION("""COMPUTED_VALUE"""),8)</f>
        <v>8</v>
      </c>
      <c r="E1313" s="2">
        <f ca="1">IFERROR(__xludf.DUMMYFUNCTION("""COMPUTED_VALUE"""),22000)</f>
        <v>22000</v>
      </c>
      <c r="F1313" s="2" t="str">
        <f ca="1">IFERROR(__xludf.DUMMYFUNCTION("""COMPUTED_VALUE"""),"Chardonnay Ch")</f>
        <v>Chardonnay Ch</v>
      </c>
      <c r="G1313" s="2">
        <f ca="1">IFERROR(__xludf.DUMMYFUNCTION("""COMPUTED_VALUE"""),0)</f>
        <v>0</v>
      </c>
      <c r="H1313" s="2">
        <f ca="1">IFERROR(__xludf.DUMMYFUNCTION("""COMPUTED_VALUE"""),20000)</f>
        <v>20000</v>
      </c>
      <c r="I1313" s="2"/>
      <c r="J1313" s="2"/>
      <c r="K1313" s="2" t="str">
        <f ca="1">IFERROR(__xludf.DUMMYFUNCTION("""COMPUTED_VALUE"""),"Rectificado")</f>
        <v>Rectificado</v>
      </c>
      <c r="L1313" s="2"/>
      <c r="M1313" s="2" t="str">
        <f ca="1">IFERROR(__xludf.DUMMYFUNCTION("""COMPUTED_VALUE"""),"Blanco")</f>
        <v>Blanco</v>
      </c>
    </row>
    <row r="1314" spans="1:13" x14ac:dyDescent="0.25">
      <c r="A1314" s="2" t="str">
        <f ca="1">IFERROR(__xludf.DUMMYFUNCTION("""COMPUTED_VALUE"""),"fcac940b")</f>
        <v>fcac940b</v>
      </c>
      <c r="B1314" s="2"/>
      <c r="C1314" s="5">
        <f ca="1">IFERROR(__xludf.DUMMYFUNCTION("""COMPUTED_VALUE"""),46065.4727777777)</f>
        <v>46065.472777777701</v>
      </c>
      <c r="D1314" s="2">
        <f ca="1">IFERROR(__xludf.DUMMYFUNCTION("""COMPUTED_VALUE"""),70)</f>
        <v>70</v>
      </c>
      <c r="E1314" s="2">
        <f ca="1">IFERROR(__xludf.DUMMYFUNCTION("""COMPUTED_VALUE"""),13000)</f>
        <v>13000</v>
      </c>
      <c r="F1314" s="2" t="str">
        <f ca="1">IFERROR(__xludf.DUMMYFUNCTION("""COMPUTED_VALUE"""),"Chardonnay Ch")</f>
        <v>Chardonnay Ch</v>
      </c>
      <c r="G1314" s="2">
        <f ca="1">IFERROR(__xludf.DUMMYFUNCTION("""COMPUTED_VALUE"""),0)</f>
        <v>0</v>
      </c>
      <c r="H1314" s="2">
        <f ca="1">IFERROR(__xludf.DUMMYFUNCTION("""COMPUTED_VALUE"""),9500)</f>
        <v>9500</v>
      </c>
      <c r="I1314" s="2"/>
      <c r="J1314" s="2"/>
      <c r="K1314" s="2" t="str">
        <f ca="1">IFERROR(__xludf.DUMMYFUNCTION("""COMPUTED_VALUE"""),"Fermentando")</f>
        <v>Fermentando</v>
      </c>
      <c r="L1314" s="2"/>
      <c r="M1314" s="2"/>
    </row>
    <row r="1315" spans="1:13" x14ac:dyDescent="0.25">
      <c r="A1315" s="2" t="str">
        <f ca="1">IFERROR(__xludf.DUMMYFUNCTION("""COMPUTED_VALUE"""),"98184b4c")</f>
        <v>98184b4c</v>
      </c>
      <c r="B1315" s="2"/>
      <c r="C1315" s="5">
        <f ca="1">IFERROR(__xludf.DUMMYFUNCTION("""COMPUTED_VALUE"""),46065.4767361111)</f>
        <v>46065.476736111101</v>
      </c>
      <c r="D1315" s="2">
        <f ca="1">IFERROR(__xludf.DUMMYFUNCTION("""COMPUTED_VALUE"""),70)</f>
        <v>70</v>
      </c>
      <c r="E1315" s="2">
        <f ca="1">IFERROR(__xludf.DUMMYFUNCTION("""COMPUTED_VALUE"""),13000)</f>
        <v>13000</v>
      </c>
      <c r="F1315" s="2" t="str">
        <f ca="1">IFERROR(__xludf.DUMMYFUNCTION("""COMPUTED_VALUE"""),"Chardonnay Ch")</f>
        <v>Chardonnay Ch</v>
      </c>
      <c r="G1315" s="2">
        <f ca="1">IFERROR(__xludf.DUMMYFUNCTION("""COMPUTED_VALUE"""),9500)</f>
        <v>9500</v>
      </c>
      <c r="H1315" s="2">
        <f ca="1">IFERROR(__xludf.DUMMYFUNCTION("""COMPUTED_VALUE"""),10100)</f>
        <v>10100</v>
      </c>
      <c r="I1315" s="2"/>
      <c r="J1315" s="2"/>
      <c r="K1315" s="2" t="str">
        <f ca="1">IFERROR(__xludf.DUMMYFUNCTION("""COMPUTED_VALUE"""),"Fermentando")</f>
        <v>Fermentando</v>
      </c>
      <c r="L1315" s="2"/>
      <c r="M1315" s="2" t="str">
        <f ca="1">IFERROR(__xludf.DUMMYFUNCTION("""COMPUTED_VALUE"""),"Blanco")</f>
        <v>Blanco</v>
      </c>
    </row>
    <row r="1316" spans="1:13" x14ac:dyDescent="0.25">
      <c r="A1316" s="2" t="str">
        <f ca="1">IFERROR(__xludf.DUMMYFUNCTION("""COMPUTED_VALUE"""),"8cc08351")</f>
        <v>8cc08351</v>
      </c>
      <c r="B1316" s="2"/>
      <c r="C1316" s="5">
        <f ca="1">IFERROR(__xludf.DUMMYFUNCTION("""COMPUTED_VALUE"""),46065.4788541666)</f>
        <v>46065.478854166598</v>
      </c>
      <c r="D1316" s="2">
        <f ca="1">IFERROR(__xludf.DUMMYFUNCTION("""COMPUTED_VALUE"""),14)</f>
        <v>14</v>
      </c>
      <c r="E1316" s="2">
        <f ca="1">IFERROR(__xludf.DUMMYFUNCTION("""COMPUTED_VALUE"""),37000)</f>
        <v>37000</v>
      </c>
      <c r="F1316" s="2" t="str">
        <f ca="1">IFERROR(__xludf.DUMMYFUNCTION("""COMPUTED_VALUE"""),"Chardonnay Borra")</f>
        <v>Chardonnay Borra</v>
      </c>
      <c r="G1316" s="2">
        <f ca="1">IFERROR(__xludf.DUMMYFUNCTION("""COMPUTED_VALUE"""),0)</f>
        <v>0</v>
      </c>
      <c r="H1316" s="2">
        <f ca="1">IFERROR(__xludf.DUMMYFUNCTION("""COMPUTED_VALUE"""),3000)</f>
        <v>3000</v>
      </c>
      <c r="I1316" s="2"/>
      <c r="J1316" s="2"/>
      <c r="K1316" s="2" t="str">
        <f ca="1">IFERROR(__xludf.DUMMYFUNCTION("""COMPUTED_VALUE"""),"Mosto")</f>
        <v>Mosto</v>
      </c>
      <c r="L1316" s="2"/>
      <c r="M1316" s="2" t="str">
        <f ca="1">IFERROR(__xludf.DUMMYFUNCTION("""COMPUTED_VALUE"""),"Blanco")</f>
        <v>Blanco</v>
      </c>
    </row>
    <row r="1317" spans="1:13" x14ac:dyDescent="0.25">
      <c r="A1317" s="2" t="str">
        <f ca="1">IFERROR(__xludf.DUMMYFUNCTION("""COMPUTED_VALUE"""),"093bfec7")</f>
        <v>093bfec7</v>
      </c>
      <c r="B1317" s="2"/>
      <c r="C1317" s="5">
        <f ca="1">IFERROR(__xludf.DUMMYFUNCTION("""COMPUTED_VALUE"""),46066.693599537)</f>
        <v>46066.693599537</v>
      </c>
      <c r="D1317" s="2">
        <f ca="1">IFERROR(__xludf.DUMMYFUNCTION("""COMPUTED_VALUE"""),31)</f>
        <v>31</v>
      </c>
      <c r="E1317" s="2">
        <f ca="1">IFERROR(__xludf.DUMMYFUNCTION("""COMPUTED_VALUE"""),25700)</f>
        <v>25700</v>
      </c>
      <c r="F1317" s="2" t="str">
        <f ca="1">IFERROR(__xludf.DUMMYFUNCTION("""COMPUTED_VALUE"""),"Malbec Rect")</f>
        <v>Malbec Rect</v>
      </c>
      <c r="G1317" s="2">
        <f ca="1">IFERROR(__xludf.DUMMYFUNCTION("""COMPUTED_VALUE"""),0)</f>
        <v>0</v>
      </c>
      <c r="H1317" s="2">
        <f ca="1">IFERROR(__xludf.DUMMYFUNCTION("""COMPUTED_VALUE"""),25700)</f>
        <v>25700</v>
      </c>
      <c r="I1317" s="2"/>
      <c r="J1317" s="2"/>
      <c r="K1317" s="2" t="str">
        <f ca="1">IFERROR(__xludf.DUMMYFUNCTION("""COMPUTED_VALUE"""),"Rectificado")</f>
        <v>Rectificado</v>
      </c>
      <c r="L1317" s="2" t="str">
        <f ca="1">IFERROR(__xludf.DUMMYFUNCTION("""COMPUTED_VALUE"""),"1-")</f>
        <v>1-</v>
      </c>
      <c r="M1317" s="2" t="str">
        <f ca="1">IFERROR(__xludf.DUMMYFUNCTION("""COMPUTED_VALUE"""),"Tinto")</f>
        <v>Tinto</v>
      </c>
    </row>
    <row r="1318" spans="1:13" x14ac:dyDescent="0.25">
      <c r="A1318" s="2" t="str">
        <f ca="1">IFERROR(__xludf.DUMMYFUNCTION("""COMPUTED_VALUE"""),"7675d704")</f>
        <v>7675d704</v>
      </c>
      <c r="B1318" s="2"/>
      <c r="C1318" s="5">
        <f ca="1">IFERROR(__xludf.DUMMYFUNCTION("""COMPUTED_VALUE"""),46066.6939236111)</f>
        <v>46066.693923611099</v>
      </c>
      <c r="D1318" s="2">
        <f ca="1">IFERROR(__xludf.DUMMYFUNCTION("""COMPUTED_VALUE"""),32)</f>
        <v>32</v>
      </c>
      <c r="E1318" s="2">
        <f ca="1">IFERROR(__xludf.DUMMYFUNCTION("""COMPUTED_VALUE"""),36300)</f>
        <v>36300</v>
      </c>
      <c r="F1318" s="2" t="str">
        <f ca="1">IFERROR(__xludf.DUMMYFUNCTION("""COMPUTED_VALUE"""),"Malbec Rect")</f>
        <v>Malbec Rect</v>
      </c>
      <c r="G1318" s="2">
        <f ca="1">IFERROR(__xludf.DUMMYFUNCTION("""COMPUTED_VALUE"""),0)</f>
        <v>0</v>
      </c>
      <c r="H1318" s="2">
        <f ca="1">IFERROR(__xludf.DUMMYFUNCTION("""COMPUTED_VALUE"""),300)</f>
        <v>300</v>
      </c>
      <c r="I1318" s="2"/>
      <c r="J1318" s="2"/>
      <c r="K1318" s="2" t="str">
        <f ca="1">IFERROR(__xludf.DUMMYFUNCTION("""COMPUTED_VALUE"""),"Rectificado")</f>
        <v>Rectificado</v>
      </c>
      <c r="L1318" s="2" t="str">
        <f ca="1">IFERROR(__xludf.DUMMYFUNCTION("""COMPUTED_VALUE"""),"1-")</f>
        <v>1-</v>
      </c>
      <c r="M1318" s="2"/>
    </row>
    <row r="1319" spans="1:13" x14ac:dyDescent="0.25">
      <c r="A1319" s="2" t="str">
        <f ca="1">IFERROR(__xludf.DUMMYFUNCTION("""COMPUTED_VALUE"""),"6f8f8dff")</f>
        <v>6f8f8dff</v>
      </c>
      <c r="B1319" s="2"/>
      <c r="C1319" s="5">
        <f ca="1">IFERROR(__xludf.DUMMYFUNCTION("""COMPUTED_VALUE"""),46066.694386574)</f>
        <v>46066.694386574003</v>
      </c>
      <c r="D1319" s="2">
        <f ca="1">IFERROR(__xludf.DUMMYFUNCTION("""COMPUTED_VALUE"""),32)</f>
        <v>32</v>
      </c>
      <c r="E1319" s="2">
        <f ca="1">IFERROR(__xludf.DUMMYFUNCTION("""COMPUTED_VALUE"""),36300)</f>
        <v>36300</v>
      </c>
      <c r="F1319" s="2" t="str">
        <f ca="1">IFERROR(__xludf.DUMMYFUNCTION("""COMPUTED_VALUE"""),"Syrah")</f>
        <v>Syrah</v>
      </c>
      <c r="G1319" s="2">
        <f ca="1">IFERROR(__xludf.DUMMYFUNCTION("""COMPUTED_VALUE"""),300)</f>
        <v>300</v>
      </c>
      <c r="H1319" s="2">
        <f ca="1">IFERROR(__xludf.DUMMYFUNCTION("""COMPUTED_VALUE"""),36300)</f>
        <v>36300</v>
      </c>
      <c r="I1319" s="2"/>
      <c r="J1319" s="2"/>
      <c r="K1319" s="2" t="str">
        <f ca="1">IFERROR(__xludf.DUMMYFUNCTION("""COMPUTED_VALUE"""),"Filtrado Tang")</f>
        <v>Filtrado Tang</v>
      </c>
      <c r="L1319" s="2" t="str">
        <f ca="1">IFERROR(__xludf.DUMMYFUNCTION("""COMPUTED_VALUE"""),"1")</f>
        <v>1</v>
      </c>
      <c r="M1319" s="2" t="str">
        <f ca="1">IFERROR(__xludf.DUMMYFUNCTION("""COMPUTED_VALUE"""),"Tinto")</f>
        <v>Tinto</v>
      </c>
    </row>
    <row r="1320" spans="1:13" x14ac:dyDescent="0.25">
      <c r="A1320" s="2" t="str">
        <f ca="1">IFERROR(__xludf.DUMMYFUNCTION("""COMPUTED_VALUE"""),"4cd7ad7c")</f>
        <v>4cd7ad7c</v>
      </c>
      <c r="B1320" s="2"/>
      <c r="C1320" s="5">
        <f ca="1">IFERROR(__xludf.DUMMYFUNCTION("""COMPUTED_VALUE"""),46066.6946527777)</f>
        <v>46066.694652777704</v>
      </c>
      <c r="D1320" s="2">
        <f ca="1">IFERROR(__xludf.DUMMYFUNCTION("""COMPUTED_VALUE"""),50)</f>
        <v>50</v>
      </c>
      <c r="E1320" s="2">
        <f ca="1">IFERROR(__xludf.DUMMYFUNCTION("""COMPUTED_VALUE"""),5100)</f>
        <v>5100</v>
      </c>
      <c r="F1320" s="2" t="str">
        <f ca="1">IFERROR(__xludf.DUMMYFUNCTION("""COMPUTED_VALUE"""),"Syrah")</f>
        <v>Syrah</v>
      </c>
      <c r="G1320" s="2">
        <f ca="1">IFERROR(__xludf.DUMMYFUNCTION("""COMPUTED_VALUE"""),0)</f>
        <v>0</v>
      </c>
      <c r="H1320" s="2">
        <f ca="1">IFERROR(__xludf.DUMMYFUNCTION("""COMPUTED_VALUE"""),5100)</f>
        <v>5100</v>
      </c>
      <c r="I1320" s="2"/>
      <c r="J1320" s="2"/>
      <c r="K1320" s="2" t="str">
        <f ca="1">IFERROR(__xludf.DUMMYFUNCTION("""COMPUTED_VALUE"""),"Filtrado Tang")</f>
        <v>Filtrado Tang</v>
      </c>
      <c r="L1320" s="2" t="str">
        <f ca="1">IFERROR(__xludf.DUMMYFUNCTION("""COMPUTED_VALUE"""),"1")</f>
        <v>1</v>
      </c>
      <c r="M1320" s="2" t="str">
        <f ca="1">IFERROR(__xludf.DUMMYFUNCTION("""COMPUTED_VALUE"""),"Tinto")</f>
        <v>Tinto</v>
      </c>
    </row>
    <row r="1321" spans="1:13" x14ac:dyDescent="0.25">
      <c r="A1321" s="2" t="str">
        <f ca="1">IFERROR(__xludf.DUMMYFUNCTION("""COMPUTED_VALUE"""),"fc2ef45c")</f>
        <v>fc2ef45c</v>
      </c>
      <c r="B1321" s="2"/>
      <c r="C1321" s="5">
        <f ca="1">IFERROR(__xludf.DUMMYFUNCTION("""COMPUTED_VALUE"""),46066.6948726851)</f>
        <v>46066.694872685097</v>
      </c>
      <c r="D1321" s="2">
        <f ca="1">IFERROR(__xludf.DUMMYFUNCTION("""COMPUTED_VALUE"""),150)</f>
        <v>150</v>
      </c>
      <c r="E1321" s="2">
        <f ca="1">IFERROR(__xludf.DUMMYFUNCTION("""COMPUTED_VALUE"""),200000)</f>
        <v>200000</v>
      </c>
      <c r="F1321" s="2" t="str">
        <f ca="1">IFERROR(__xludf.DUMMYFUNCTION("""COMPUTED_VALUE"""),"Pileta Correcion")</f>
        <v>Pileta Correcion</v>
      </c>
      <c r="G1321" s="2"/>
      <c r="H1321" s="2">
        <f ca="1">IFERROR(__xludf.DUMMYFUNCTION("""COMPUTED_VALUE"""),1)</f>
        <v>1</v>
      </c>
      <c r="I1321" s="2"/>
      <c r="J1321" s="2"/>
      <c r="K1321" s="2" t="str">
        <f ca="1">IFERROR(__xludf.DUMMYFUNCTION("""COMPUTED_VALUE"""),"Terminado")</f>
        <v>Terminado</v>
      </c>
      <c r="L1321" s="2"/>
      <c r="M1321" s="2"/>
    </row>
    <row r="1322" spans="1:13" x14ac:dyDescent="0.25">
      <c r="A1322" s="2" t="str">
        <f ca="1">IFERROR(__xludf.DUMMYFUNCTION("""COMPUTED_VALUE"""),"921ce04e")</f>
        <v>921ce04e</v>
      </c>
      <c r="B1322" s="2"/>
      <c r="C1322" s="5">
        <f ca="1">IFERROR(__xludf.DUMMYFUNCTION("""COMPUTED_VALUE"""),46066.7334953703)</f>
        <v>46066.733495370303</v>
      </c>
      <c r="D1322" s="2">
        <f ca="1">IFERROR(__xludf.DUMMYFUNCTION("""COMPUTED_VALUE"""),76)</f>
        <v>76</v>
      </c>
      <c r="E1322" s="2">
        <f ca="1">IFERROR(__xludf.DUMMYFUNCTION("""COMPUTED_VALUE"""),25500)</f>
        <v>25500</v>
      </c>
      <c r="F1322" s="2" t="str">
        <f ca="1">IFERROR(__xludf.DUMMYFUNCTION("""COMPUTED_VALUE"""),"Chardonnay Ch")</f>
        <v>Chardonnay Ch</v>
      </c>
      <c r="G1322" s="2">
        <f ca="1">IFERROR(__xludf.DUMMYFUNCTION("""COMPUTED_VALUE"""),0)</f>
        <v>0</v>
      </c>
      <c r="H1322" s="2">
        <f ca="1">IFERROR(__xludf.DUMMYFUNCTION("""COMPUTED_VALUE"""),2100)</f>
        <v>2100</v>
      </c>
      <c r="I1322" s="2"/>
      <c r="J1322" s="2"/>
      <c r="K1322" s="2" t="str">
        <f ca="1">IFERROR(__xludf.DUMMYFUNCTION("""COMPUTED_VALUE"""),"Mosto")</f>
        <v>Mosto</v>
      </c>
      <c r="L1322" s="2"/>
      <c r="M1322" s="2"/>
    </row>
    <row r="1323" spans="1:13" x14ac:dyDescent="0.25">
      <c r="A1323" s="2" t="str">
        <f ca="1">IFERROR(__xludf.DUMMYFUNCTION("""COMPUTED_VALUE"""),"e3ccc0b6")</f>
        <v>e3ccc0b6</v>
      </c>
      <c r="B1323" s="2"/>
      <c r="C1323" s="5">
        <f ca="1">IFERROR(__xludf.DUMMYFUNCTION("""COMPUTED_VALUE"""),46066.7348379629)</f>
        <v>46066.734837962897</v>
      </c>
      <c r="D1323" s="2">
        <f ca="1">IFERROR(__xludf.DUMMYFUNCTION("""COMPUTED_VALUE"""),125)</f>
        <v>125</v>
      </c>
      <c r="E1323" s="2">
        <f ca="1">IFERROR(__xludf.DUMMYFUNCTION("""COMPUTED_VALUE"""),31000)</f>
        <v>31000</v>
      </c>
      <c r="F1323" s="2" t="str">
        <f ca="1">IFERROR(__xludf.DUMMYFUNCTION("""COMPUTED_VALUE"""),"Chardonnay")</f>
        <v>Chardonnay</v>
      </c>
      <c r="G1323" s="2"/>
      <c r="H1323" s="2">
        <f ca="1">IFERROR(__xludf.DUMMYFUNCTION("""COMPUTED_VALUE"""),9900)</f>
        <v>9900</v>
      </c>
      <c r="I1323" s="2"/>
      <c r="J1323" s="2" t="str">
        <f ca="1">IFERROR(__xludf.DUMMYFUNCTION("""COMPUTED_VALUE"""),"6209 , 6211")</f>
        <v>6209 , 6211</v>
      </c>
      <c r="K1323" s="2" t="str">
        <f ca="1">IFERROR(__xludf.DUMMYFUNCTION("""COMPUTED_VALUE"""),"Fermentando")</f>
        <v>Fermentando</v>
      </c>
      <c r="L1323" s="2"/>
      <c r="M1323" s="2" t="str">
        <f ca="1">IFERROR(__xludf.DUMMYFUNCTION("""COMPUTED_VALUE"""),"Blanco")</f>
        <v>Blanco</v>
      </c>
    </row>
    <row r="1324" spans="1:13" x14ac:dyDescent="0.25">
      <c r="A1324" s="2" t="str">
        <f ca="1">IFERROR(__xludf.DUMMYFUNCTION("""COMPUTED_VALUE"""),"ab479d1e")</f>
        <v>ab479d1e</v>
      </c>
      <c r="B1324" s="2"/>
      <c r="C1324" s="5">
        <f ca="1">IFERROR(__xludf.DUMMYFUNCTION("""COMPUTED_VALUE"""),46066.7359259259)</f>
        <v>46066.735925925903</v>
      </c>
      <c r="D1324" s="2">
        <f ca="1">IFERROR(__xludf.DUMMYFUNCTION("""COMPUTED_VALUE"""),76)</f>
        <v>76</v>
      </c>
      <c r="E1324" s="2">
        <f ca="1">IFERROR(__xludf.DUMMYFUNCTION("""COMPUTED_VALUE"""),25500)</f>
        <v>25500</v>
      </c>
      <c r="F1324" s="2" t="str">
        <f ca="1">IFERROR(__xludf.DUMMYFUNCTION("""COMPUTED_VALUE"""),"Chardonnay")</f>
        <v>Chardonnay</v>
      </c>
      <c r="G1324" s="2">
        <f ca="1">IFERROR(__xludf.DUMMYFUNCTION("""COMPUTED_VALUE"""),2100)</f>
        <v>2100</v>
      </c>
      <c r="H1324" s="2">
        <f ca="1">IFERROR(__xludf.DUMMYFUNCTION("""COMPUTED_VALUE"""),12000)</f>
        <v>12000</v>
      </c>
      <c r="I1324" s="2"/>
      <c r="J1324" s="2"/>
      <c r="K1324" s="2" t="str">
        <f ca="1">IFERROR(__xludf.DUMMYFUNCTION("""COMPUTED_VALUE"""),"Fermentando")</f>
        <v>Fermentando</v>
      </c>
      <c r="L1324" s="2"/>
      <c r="M1324" s="2" t="str">
        <f ca="1">IFERROR(__xludf.DUMMYFUNCTION("""COMPUTED_VALUE"""),"Blanco")</f>
        <v>Blanco</v>
      </c>
    </row>
    <row r="1325" spans="1:13" x14ac:dyDescent="0.25">
      <c r="A1325" s="2" t="str">
        <f ca="1">IFERROR(__xludf.DUMMYFUNCTION("""COMPUTED_VALUE"""),"c83c39f8")</f>
        <v>c83c39f8</v>
      </c>
      <c r="B1325" s="2"/>
      <c r="C1325" s="5">
        <f ca="1">IFERROR(__xludf.DUMMYFUNCTION("""COMPUTED_VALUE"""),46066.7378819444)</f>
        <v>46066.737881944398</v>
      </c>
      <c r="D1325" s="2">
        <f ca="1">IFERROR(__xludf.DUMMYFUNCTION("""COMPUTED_VALUE"""),79)</f>
        <v>79</v>
      </c>
      <c r="E1325" s="2">
        <f ca="1">IFERROR(__xludf.DUMMYFUNCTION("""COMPUTED_VALUE"""),26000)</f>
        <v>26000</v>
      </c>
      <c r="F1325" s="2" t="str">
        <f ca="1">IFERROR(__xludf.DUMMYFUNCTION("""COMPUTED_VALUE"""),"Aspirant")</f>
        <v>Aspirant</v>
      </c>
      <c r="G1325" s="2"/>
      <c r="H1325" s="2">
        <f ca="1">IFERROR(__xludf.DUMMYFUNCTION("""COMPUTED_VALUE"""),14800)</f>
        <v>14800</v>
      </c>
      <c r="I1325" s="2" t="str">
        <f ca="1">IFERROR(__xludf.DUMMYFUNCTION("""COMPUTED_VALUE"""),"24/2
Salado en boca. Sangre. Ya está para desvinar y recargar")</f>
        <v>24/2
Salado en boca. Sangre. Ya está para desvinar y recargar</v>
      </c>
      <c r="J1325" s="2" t="str">
        <f ca="1">IFERROR(__xludf.DUMMYFUNCTION("""COMPUTED_VALUE"""),"6213 , 6215")</f>
        <v>6213 , 6215</v>
      </c>
      <c r="K1325" s="2" t="str">
        <f ca="1">IFERROR(__xludf.DUMMYFUNCTION("""COMPUTED_VALUE"""),"Fermentando")</f>
        <v>Fermentando</v>
      </c>
      <c r="L1325" s="2"/>
      <c r="M1325" s="2" t="str">
        <f ca="1">IFERROR(__xludf.DUMMYFUNCTION("""COMPUTED_VALUE"""),"Tinto")</f>
        <v>Tinto</v>
      </c>
    </row>
    <row r="1326" spans="1:13" x14ac:dyDescent="0.25">
      <c r="A1326" s="2" t="str">
        <f ca="1">IFERROR(__xludf.DUMMYFUNCTION("""COMPUTED_VALUE"""),"d0e76b7a")</f>
        <v>d0e76b7a</v>
      </c>
      <c r="B1326" s="2"/>
      <c r="C1326" s="5">
        <f ca="1">IFERROR(__xludf.DUMMYFUNCTION("""COMPUTED_VALUE"""),46066.7515277777)</f>
        <v>46066.751527777698</v>
      </c>
      <c r="D1326" s="2">
        <f ca="1">IFERROR(__xludf.DUMMYFUNCTION("""COMPUTED_VALUE"""),76)</f>
        <v>76</v>
      </c>
      <c r="E1326" s="2">
        <f ca="1">IFERROR(__xludf.DUMMYFUNCTION("""COMPUTED_VALUE"""),25500)</f>
        <v>25500</v>
      </c>
      <c r="F1326" s="2" t="str">
        <f ca="1">IFERROR(__xludf.DUMMYFUNCTION("""COMPUTED_VALUE"""),"Chardonnay")</f>
        <v>Chardonnay</v>
      </c>
      <c r="G1326" s="2">
        <f ca="1">IFERROR(__xludf.DUMMYFUNCTION("""COMPUTED_VALUE"""),12000)</f>
        <v>12000</v>
      </c>
      <c r="H1326" s="2">
        <f ca="1">IFERROR(__xludf.DUMMYFUNCTION("""COMPUTED_VALUE"""),15000)</f>
        <v>15000</v>
      </c>
      <c r="I1326" s="2"/>
      <c r="J1326" s="2"/>
      <c r="K1326" s="2" t="str">
        <f ca="1">IFERROR(__xludf.DUMMYFUNCTION("""COMPUTED_VALUE"""),"Fermentando")</f>
        <v>Fermentando</v>
      </c>
      <c r="L1326" s="2"/>
      <c r="M1326" s="2" t="str">
        <f ca="1">IFERROR(__xludf.DUMMYFUNCTION("""COMPUTED_VALUE"""),"Blanco")</f>
        <v>Blanco</v>
      </c>
    </row>
    <row r="1327" spans="1:13" x14ac:dyDescent="0.25">
      <c r="A1327" s="2" t="str">
        <f ca="1">IFERROR(__xludf.DUMMYFUNCTION("""COMPUTED_VALUE"""),"6a7977c1")</f>
        <v>6a7977c1</v>
      </c>
      <c r="B1327" s="2"/>
      <c r="C1327" s="5">
        <f ca="1">IFERROR(__xludf.DUMMYFUNCTION("""COMPUTED_VALUE"""),46066.7556481481)</f>
        <v>46066.755648148101</v>
      </c>
      <c r="D1327" s="2">
        <f ca="1">IFERROR(__xludf.DUMMYFUNCTION("""COMPUTED_VALUE"""),500)</f>
        <v>500</v>
      </c>
      <c r="E1327" s="2">
        <f ca="1">IFERROR(__xludf.DUMMYFUNCTION("""COMPUTED_VALUE"""),200000)</f>
        <v>200000</v>
      </c>
      <c r="F1327" s="2" t="str">
        <f ca="1">IFERROR(__xludf.DUMMYFUNCTION("""COMPUTED_VALUE"""),"Ajuste semana 13/02/2025")</f>
        <v>Ajuste semana 13/02/2025</v>
      </c>
      <c r="G1327" s="2"/>
      <c r="H1327" s="2">
        <f ca="1">IFERROR(__xludf.DUMMYFUNCTION("""COMPUTED_VALUE"""),1)</f>
        <v>1</v>
      </c>
      <c r="I1327" s="2"/>
      <c r="J1327" s="2"/>
      <c r="K1327" s="2" t="str">
        <f ca="1">IFERROR(__xludf.DUMMYFUNCTION("""COMPUTED_VALUE"""),"Terminado")</f>
        <v>Terminado</v>
      </c>
      <c r="L1327" s="2"/>
      <c r="M1327" s="2"/>
    </row>
    <row r="1328" spans="1:13" x14ac:dyDescent="0.25">
      <c r="A1328" s="2" t="str">
        <f ca="1">IFERROR(__xludf.DUMMYFUNCTION("""COMPUTED_VALUE"""),"19fe9290")</f>
        <v>19fe9290</v>
      </c>
      <c r="B1328" s="2"/>
      <c r="C1328" s="5">
        <f ca="1">IFERROR(__xludf.DUMMYFUNCTION("""COMPUTED_VALUE"""),46066.7590277777)</f>
        <v>46066.759027777698</v>
      </c>
      <c r="D1328" s="2">
        <f ca="1">IFERROR(__xludf.DUMMYFUNCTION("""COMPUTED_VALUE"""),500)</f>
        <v>500</v>
      </c>
      <c r="E1328" s="2">
        <f ca="1">IFERROR(__xludf.DUMMYFUNCTION("""COMPUTED_VALUE"""),200000)</f>
        <v>200000</v>
      </c>
      <c r="F1328" s="2" t="str">
        <f ca="1">IFERROR(__xludf.DUMMYFUNCTION("""COMPUTED_VALUE"""),"Ajuste semana 13/02/2025")</f>
        <v>Ajuste semana 13/02/2025</v>
      </c>
      <c r="G1328" s="2">
        <f ca="1">IFERROR(__xludf.DUMMYFUNCTION("""COMPUTED_VALUE"""),1)</f>
        <v>1</v>
      </c>
      <c r="H1328" s="2">
        <f ca="1">IFERROR(__xludf.DUMMYFUNCTION("""COMPUTED_VALUE"""),-3999)</f>
        <v>-3999</v>
      </c>
      <c r="I1328" s="2"/>
      <c r="J1328" s="2"/>
      <c r="K1328" s="2" t="str">
        <f ca="1">IFERROR(__xludf.DUMMYFUNCTION("""COMPUTED_VALUE"""),"Terminado")</f>
        <v>Terminado</v>
      </c>
      <c r="L1328" s="2"/>
      <c r="M1328" s="2"/>
    </row>
    <row r="1329" spans="1:13" x14ac:dyDescent="0.25">
      <c r="A1329" s="2" t="str">
        <f ca="1">IFERROR(__xludf.DUMMYFUNCTION("""COMPUTED_VALUE"""),"d23d4169")</f>
        <v>d23d4169</v>
      </c>
      <c r="B1329" s="2"/>
      <c r="C1329" s="5">
        <f ca="1">IFERROR(__xludf.DUMMYFUNCTION("""COMPUTED_VALUE"""),46066.7593634259)</f>
        <v>46066.759363425903</v>
      </c>
      <c r="D1329" s="2">
        <f ca="1">IFERROR(__xludf.DUMMYFUNCTION("""COMPUTED_VALUE"""),500)</f>
        <v>500</v>
      </c>
      <c r="E1329" s="2">
        <f ca="1">IFERROR(__xludf.DUMMYFUNCTION("""COMPUTED_VALUE"""),200000)</f>
        <v>200000</v>
      </c>
      <c r="F1329" s="2" t="str">
        <f ca="1">IFERROR(__xludf.DUMMYFUNCTION("""COMPUTED_VALUE"""),"Ajuste semana 13/02/2025")</f>
        <v>Ajuste semana 13/02/2025</v>
      </c>
      <c r="G1329" s="2">
        <f ca="1">IFERROR(__xludf.DUMMYFUNCTION("""COMPUTED_VALUE"""),-3999)</f>
        <v>-3999</v>
      </c>
      <c r="H1329" s="2">
        <f ca="1">IFERROR(__xludf.DUMMYFUNCTION("""COMPUTED_VALUE"""),-3499)</f>
        <v>-3499</v>
      </c>
      <c r="I1329" s="2"/>
      <c r="J1329" s="2"/>
      <c r="K1329" s="2" t="str">
        <f ca="1">IFERROR(__xludf.DUMMYFUNCTION("""COMPUTED_VALUE"""),"Terminado")</f>
        <v>Terminado</v>
      </c>
      <c r="L1329" s="2"/>
      <c r="M1329" s="2"/>
    </row>
    <row r="1330" spans="1:13" x14ac:dyDescent="0.25">
      <c r="A1330" s="2" t="str">
        <f ca="1">IFERROR(__xludf.DUMMYFUNCTION("""COMPUTED_VALUE"""),"ab922e34")</f>
        <v>ab922e34</v>
      </c>
      <c r="B1330" s="2"/>
      <c r="C1330" s="5">
        <f ca="1">IFERROR(__xludf.DUMMYFUNCTION("""COMPUTED_VALUE"""),46066.7597569444)</f>
        <v>46066.759756944397</v>
      </c>
      <c r="D1330" s="2">
        <f ca="1">IFERROR(__xludf.DUMMYFUNCTION("""COMPUTED_VALUE"""),500)</f>
        <v>500</v>
      </c>
      <c r="E1330" s="2">
        <f ca="1">IFERROR(__xludf.DUMMYFUNCTION("""COMPUTED_VALUE"""),200000)</f>
        <v>200000</v>
      </c>
      <c r="F1330" s="2" t="str">
        <f ca="1">IFERROR(__xludf.DUMMYFUNCTION("""COMPUTED_VALUE"""),"Ajuste semana 13/02/2025")</f>
        <v>Ajuste semana 13/02/2025</v>
      </c>
      <c r="G1330" s="2">
        <f ca="1">IFERROR(__xludf.DUMMYFUNCTION("""COMPUTED_VALUE"""),-3499)</f>
        <v>-3499</v>
      </c>
      <c r="H1330" s="2">
        <f ca="1">IFERROR(__xludf.DUMMYFUNCTION("""COMPUTED_VALUE"""),-7499)</f>
        <v>-7499</v>
      </c>
      <c r="I1330" s="2"/>
      <c r="J1330" s="2"/>
      <c r="K1330" s="2" t="str">
        <f ca="1">IFERROR(__xludf.DUMMYFUNCTION("""COMPUTED_VALUE"""),"Terminado")</f>
        <v>Terminado</v>
      </c>
      <c r="L1330" s="2"/>
      <c r="M1330" s="2"/>
    </row>
    <row r="1331" spans="1:13" x14ac:dyDescent="0.25">
      <c r="A1331" s="2" t="str">
        <f ca="1">IFERROR(__xludf.DUMMYFUNCTION("""COMPUTED_VALUE"""),"0cdacc9c")</f>
        <v>0cdacc9c</v>
      </c>
      <c r="B1331" s="2"/>
      <c r="C1331" s="5">
        <f ca="1">IFERROR(__xludf.DUMMYFUNCTION("""COMPUTED_VALUE"""),46066.7601504629)</f>
        <v>46066.760150462898</v>
      </c>
      <c r="D1331" s="2">
        <f ca="1">IFERROR(__xludf.DUMMYFUNCTION("""COMPUTED_VALUE"""),500)</f>
        <v>500</v>
      </c>
      <c r="E1331" s="2">
        <f ca="1">IFERROR(__xludf.DUMMYFUNCTION("""COMPUTED_VALUE"""),200000)</f>
        <v>200000</v>
      </c>
      <c r="F1331" s="2" t="str">
        <f ca="1">IFERROR(__xludf.DUMMYFUNCTION("""COMPUTED_VALUE"""),"Ajuste semana 13/02/2025")</f>
        <v>Ajuste semana 13/02/2025</v>
      </c>
      <c r="G1331" s="2">
        <f ca="1">IFERROR(__xludf.DUMMYFUNCTION("""COMPUTED_VALUE"""),-7499)</f>
        <v>-7499</v>
      </c>
      <c r="H1331" s="2">
        <f ca="1">IFERROR(__xludf.DUMMYFUNCTION("""COMPUTED_VALUE"""),-8999)</f>
        <v>-8999</v>
      </c>
      <c r="I1331" s="2"/>
      <c r="J1331" s="2"/>
      <c r="K1331" s="2" t="str">
        <f ca="1">IFERROR(__xludf.DUMMYFUNCTION("""COMPUTED_VALUE"""),"Terminado")</f>
        <v>Terminado</v>
      </c>
      <c r="L1331" s="2"/>
      <c r="M1331" s="2"/>
    </row>
    <row r="1332" spans="1:13" x14ac:dyDescent="0.25">
      <c r="A1332" s="2" t="str">
        <f ca="1">IFERROR(__xludf.DUMMYFUNCTION("""COMPUTED_VALUE"""),"982ba269")</f>
        <v>982ba269</v>
      </c>
      <c r="B1332" s="2"/>
      <c r="C1332" s="5">
        <f ca="1">IFERROR(__xludf.DUMMYFUNCTION("""COMPUTED_VALUE"""),46066.760949074)</f>
        <v>46066.760949074</v>
      </c>
      <c r="D1332" s="2">
        <f ca="1">IFERROR(__xludf.DUMMYFUNCTION("""COMPUTED_VALUE"""),500)</f>
        <v>500</v>
      </c>
      <c r="E1332" s="2">
        <f ca="1">IFERROR(__xludf.DUMMYFUNCTION("""COMPUTED_VALUE"""),200000)</f>
        <v>200000</v>
      </c>
      <c r="F1332" s="2" t="str">
        <f ca="1">IFERROR(__xludf.DUMMYFUNCTION("""COMPUTED_VALUE"""),"Ajuste semana 13/02/2025")</f>
        <v>Ajuste semana 13/02/2025</v>
      </c>
      <c r="G1332" s="2">
        <f ca="1">IFERROR(__xludf.DUMMYFUNCTION("""COMPUTED_VALUE"""),-8999)</f>
        <v>-8999</v>
      </c>
      <c r="H1332" s="2">
        <f ca="1">IFERROR(__xludf.DUMMYFUNCTION("""COMPUTED_VALUE"""),-9999)</f>
        <v>-9999</v>
      </c>
      <c r="I1332" s="2"/>
      <c r="J1332" s="2"/>
      <c r="K1332" s="2" t="str">
        <f ca="1">IFERROR(__xludf.DUMMYFUNCTION("""COMPUTED_VALUE"""),"Terminado")</f>
        <v>Terminado</v>
      </c>
      <c r="L1332" s="2"/>
      <c r="M1332" s="2"/>
    </row>
    <row r="1333" spans="1:13" x14ac:dyDescent="0.25">
      <c r="A1333" s="2" t="str">
        <f ca="1">IFERROR(__xludf.DUMMYFUNCTION("""COMPUTED_VALUE"""),"8f971f39")</f>
        <v>8f971f39</v>
      </c>
      <c r="B1333" s="2"/>
      <c r="C1333" s="5">
        <f ca="1">IFERROR(__xludf.DUMMYFUNCTION("""COMPUTED_VALUE"""),46066.7611921296)</f>
        <v>46066.761192129597</v>
      </c>
      <c r="D1333" s="2">
        <f ca="1">IFERROR(__xludf.DUMMYFUNCTION("""COMPUTED_VALUE"""),500)</f>
        <v>500</v>
      </c>
      <c r="E1333" s="2">
        <f ca="1">IFERROR(__xludf.DUMMYFUNCTION("""COMPUTED_VALUE"""),200000)</f>
        <v>200000</v>
      </c>
      <c r="F1333" s="2" t="str">
        <f ca="1">IFERROR(__xludf.DUMMYFUNCTION("""COMPUTED_VALUE"""),"Ajuste semana 13/02/2025")</f>
        <v>Ajuste semana 13/02/2025</v>
      </c>
      <c r="G1333" s="2">
        <f ca="1">IFERROR(__xludf.DUMMYFUNCTION("""COMPUTED_VALUE"""),-9999)</f>
        <v>-9999</v>
      </c>
      <c r="H1333" s="2">
        <f ca="1">IFERROR(__xludf.DUMMYFUNCTION("""COMPUTED_VALUE"""),-12399)</f>
        <v>-12399</v>
      </c>
      <c r="I1333" s="2"/>
      <c r="J1333" s="2"/>
      <c r="K1333" s="2" t="str">
        <f ca="1">IFERROR(__xludf.DUMMYFUNCTION("""COMPUTED_VALUE"""),"Terminado")</f>
        <v>Terminado</v>
      </c>
      <c r="L1333" s="2"/>
      <c r="M1333" s="2"/>
    </row>
    <row r="1334" spans="1:13" x14ac:dyDescent="0.25">
      <c r="A1334" s="2" t="str">
        <f ca="1">IFERROR(__xludf.DUMMYFUNCTION("""COMPUTED_VALUE"""),"44074f99")</f>
        <v>44074f99</v>
      </c>
      <c r="B1334" s="2"/>
      <c r="C1334" s="5">
        <f ca="1">IFERROR(__xludf.DUMMYFUNCTION("""COMPUTED_VALUE"""),46066.8068518518)</f>
        <v>46066.806851851798</v>
      </c>
      <c r="D1334" s="2">
        <f ca="1">IFERROR(__xludf.DUMMYFUNCTION("""COMPUTED_VALUE"""),66)</f>
        <v>66</v>
      </c>
      <c r="E1334" s="2">
        <f ca="1">IFERROR(__xludf.DUMMYFUNCTION("""COMPUTED_VALUE"""),23000)</f>
        <v>23000</v>
      </c>
      <c r="F1334" s="2" t="str">
        <f ca="1">IFERROR(__xludf.DUMMYFUNCTION("""COMPUTED_VALUE"""),"Aspirant")</f>
        <v>Aspirant</v>
      </c>
      <c r="G1334" s="2"/>
      <c r="H1334" s="2">
        <f ca="1">IFERROR(__xludf.DUMMYFUNCTION("""COMPUTED_VALUE"""),11800)</f>
        <v>11800</v>
      </c>
      <c r="I1334" s="2"/>
      <c r="J1334" s="2" t="str">
        <f ca="1">IFERROR(__xludf.DUMMYFUNCTION("""COMPUTED_VALUE"""),"6217 , 6219")</f>
        <v>6217 , 6219</v>
      </c>
      <c r="K1334" s="2" t="str">
        <f ca="1">IFERROR(__xludf.DUMMYFUNCTION("""COMPUTED_VALUE"""),"Fermentando")</f>
        <v>Fermentando</v>
      </c>
      <c r="L1334" s="2"/>
      <c r="M1334" s="2" t="str">
        <f ca="1">IFERROR(__xludf.DUMMYFUNCTION("""COMPUTED_VALUE"""),"Tinto")</f>
        <v>Tinto</v>
      </c>
    </row>
    <row r="1335" spans="1:13" x14ac:dyDescent="0.25">
      <c r="A1335" s="2" t="str">
        <f ca="1">IFERROR(__xludf.DUMMYFUNCTION("""COMPUTED_VALUE"""),"3ab1fef1")</f>
        <v>3ab1fef1</v>
      </c>
      <c r="B1335" s="2"/>
      <c r="C1335" s="5">
        <f ca="1">IFERROR(__xludf.DUMMYFUNCTION("""COMPUTED_VALUE"""),46067.3936458333)</f>
        <v>46067.393645833297</v>
      </c>
      <c r="D1335" s="2">
        <f ca="1">IFERROR(__xludf.DUMMYFUNCTION("""COMPUTED_VALUE"""),65)</f>
        <v>65</v>
      </c>
      <c r="E1335" s="2">
        <f ca="1">IFERROR(__xludf.DUMMYFUNCTION("""COMPUTED_VALUE"""),35500)</f>
        <v>35500</v>
      </c>
      <c r="F1335" s="2" t="str">
        <f ca="1">IFERROR(__xludf.DUMMYFUNCTION("""COMPUTED_VALUE"""),"Chardonnay")</f>
        <v>Chardonnay</v>
      </c>
      <c r="G1335" s="2"/>
      <c r="H1335" s="2">
        <f ca="1">IFERROR(__xludf.DUMMYFUNCTION("""COMPUTED_VALUE"""),25200)</f>
        <v>25200</v>
      </c>
      <c r="I1335" s="2"/>
      <c r="J1335" s="2" t="str">
        <f ca="1">IFERROR(__xludf.DUMMYFUNCTION("""COMPUTED_VALUE"""),"6214 , 6216 , 6218 , 6220")</f>
        <v>6214 , 6216 , 6218 , 6220</v>
      </c>
      <c r="K1335" s="2" t="str">
        <f ca="1">IFERROR(__xludf.DUMMYFUNCTION("""COMPUTED_VALUE"""),"Fermentando")</f>
        <v>Fermentando</v>
      </c>
      <c r="L1335" s="2"/>
      <c r="M1335" s="2" t="str">
        <f ca="1">IFERROR(__xludf.DUMMYFUNCTION("""COMPUTED_VALUE"""),"Blanco")</f>
        <v>Blanco</v>
      </c>
    </row>
    <row r="1336" spans="1:13" x14ac:dyDescent="0.25">
      <c r="A1336" s="2" t="str">
        <f ca="1">IFERROR(__xludf.DUMMYFUNCTION("""COMPUTED_VALUE"""),"f1b2bb46")</f>
        <v>f1b2bb46</v>
      </c>
      <c r="B1336" s="2"/>
      <c r="C1336" s="5">
        <f ca="1">IFERROR(__xludf.DUMMYFUNCTION("""COMPUTED_VALUE"""),46067.3991666666)</f>
        <v>46067.399166666597</v>
      </c>
      <c r="D1336" s="2">
        <f ca="1">IFERROR(__xludf.DUMMYFUNCTION("""COMPUTED_VALUE"""),500)</f>
        <v>500</v>
      </c>
      <c r="E1336" s="2">
        <f ca="1">IFERROR(__xludf.DUMMYFUNCTION("""COMPUTED_VALUE"""),200000)</f>
        <v>200000</v>
      </c>
      <c r="F1336" s="2" t="str">
        <f ca="1">IFERROR(__xludf.DUMMYFUNCTION("""COMPUTED_VALUE"""),"Ajuste semana 13/02/2025")</f>
        <v>Ajuste semana 13/02/2025</v>
      </c>
      <c r="G1336" s="2">
        <f ca="1">IFERROR(__xludf.DUMMYFUNCTION("""COMPUTED_VALUE"""),-12399)</f>
        <v>-12399</v>
      </c>
      <c r="H1336" s="2">
        <f ca="1">IFERROR(__xludf.DUMMYFUNCTION("""COMPUTED_VALUE"""),-8399)</f>
        <v>-8399</v>
      </c>
      <c r="I1336" s="2"/>
      <c r="J1336" s="2"/>
      <c r="K1336" s="2" t="str">
        <f ca="1">IFERROR(__xludf.DUMMYFUNCTION("""COMPUTED_VALUE"""),"Terminado")</f>
        <v>Terminado</v>
      </c>
      <c r="L1336" s="2"/>
      <c r="M1336" s="2"/>
    </row>
    <row r="1337" spans="1:13" x14ac:dyDescent="0.25">
      <c r="A1337" s="2" t="str">
        <f ca="1">IFERROR(__xludf.DUMMYFUNCTION("""COMPUTED_VALUE"""),"879ad271")</f>
        <v>879ad271</v>
      </c>
      <c r="B1337" s="2"/>
      <c r="C1337" s="5">
        <f ca="1">IFERROR(__xludf.DUMMYFUNCTION("""COMPUTED_VALUE"""),46067.3997337962)</f>
        <v>46067.399733796199</v>
      </c>
      <c r="D1337" s="2">
        <f ca="1">IFERROR(__xludf.DUMMYFUNCTION("""COMPUTED_VALUE"""),78)</f>
        <v>78</v>
      </c>
      <c r="E1337" s="2">
        <f ca="1">IFERROR(__xludf.DUMMYFUNCTION("""COMPUTED_VALUE"""),25800)</f>
        <v>25800</v>
      </c>
      <c r="F1337" s="2" t="str">
        <f ca="1">IFERROR(__xludf.DUMMYFUNCTION("""COMPUTED_VALUE"""),"Chardonnay")</f>
        <v>Chardonnay</v>
      </c>
      <c r="G1337" s="2">
        <f ca="1">IFERROR(__xludf.DUMMYFUNCTION("""COMPUTED_VALUE"""),21000)</f>
        <v>21000</v>
      </c>
      <c r="H1337" s="2">
        <f ca="1">IFERROR(__xludf.DUMMYFUNCTION("""COMPUTED_VALUE"""),25000)</f>
        <v>25000</v>
      </c>
      <c r="I1337" s="2"/>
      <c r="J1337" s="2"/>
      <c r="K1337" s="2" t="str">
        <f ca="1">IFERROR(__xludf.DUMMYFUNCTION("""COMPUTED_VALUE"""),"Fermentando")</f>
        <v>Fermentando</v>
      </c>
      <c r="L1337" s="2"/>
      <c r="M1337" s="2" t="str">
        <f ca="1">IFERROR(__xludf.DUMMYFUNCTION("""COMPUTED_VALUE"""),"Blanco")</f>
        <v>Blanco</v>
      </c>
    </row>
    <row r="1338" spans="1:13" x14ac:dyDescent="0.25">
      <c r="A1338" s="2" t="str">
        <f ca="1">IFERROR(__xludf.DUMMYFUNCTION("""COMPUTED_VALUE"""),"b338a7a2")</f>
        <v>b338a7a2</v>
      </c>
      <c r="B1338" s="2"/>
      <c r="C1338" s="5">
        <f ca="1">IFERROR(__xludf.DUMMYFUNCTION("""COMPUTED_VALUE"""),46067.4005671296)</f>
        <v>46067.400567129604</v>
      </c>
      <c r="D1338" s="2">
        <f ca="1">IFERROR(__xludf.DUMMYFUNCTION("""COMPUTED_VALUE"""),500)</f>
        <v>500</v>
      </c>
      <c r="E1338" s="2">
        <f ca="1">IFERROR(__xludf.DUMMYFUNCTION("""COMPUTED_VALUE"""),200000)</f>
        <v>200000</v>
      </c>
      <c r="F1338" s="2" t="str">
        <f ca="1">IFERROR(__xludf.DUMMYFUNCTION("""COMPUTED_VALUE"""),"Ajuste semana 13/02/2025")</f>
        <v>Ajuste semana 13/02/2025</v>
      </c>
      <c r="G1338" s="2">
        <f ca="1">IFERROR(__xludf.DUMMYFUNCTION("""COMPUTED_VALUE"""),-8399)</f>
        <v>-8399</v>
      </c>
      <c r="H1338" s="2">
        <f ca="1">IFERROR(__xludf.DUMMYFUNCTION("""COMPUTED_VALUE"""),-5999)</f>
        <v>-5999</v>
      </c>
      <c r="I1338" s="2"/>
      <c r="J1338" s="2"/>
      <c r="K1338" s="2" t="str">
        <f ca="1">IFERROR(__xludf.DUMMYFUNCTION("""COMPUTED_VALUE"""),"Terminado")</f>
        <v>Terminado</v>
      </c>
      <c r="L1338" s="2"/>
      <c r="M1338" s="2"/>
    </row>
    <row r="1339" spans="1:13" x14ac:dyDescent="0.25">
      <c r="A1339" s="2" t="str">
        <f ca="1">IFERROR(__xludf.DUMMYFUNCTION("""COMPUTED_VALUE"""),"579168cd")</f>
        <v>579168cd</v>
      </c>
      <c r="B1339" s="2"/>
      <c r="C1339" s="5">
        <f ca="1">IFERROR(__xludf.DUMMYFUNCTION("""COMPUTED_VALUE"""),46067.4014583333)</f>
        <v>46067.401458333297</v>
      </c>
      <c r="D1339" s="2">
        <f ca="1">IFERROR(__xludf.DUMMYFUNCTION("""COMPUTED_VALUE"""),70)</f>
        <v>70</v>
      </c>
      <c r="E1339" s="2">
        <f ca="1">IFERROR(__xludf.DUMMYFUNCTION("""COMPUTED_VALUE"""),13000)</f>
        <v>13000</v>
      </c>
      <c r="F1339" s="2" t="str">
        <f ca="1">IFERROR(__xludf.DUMMYFUNCTION("""COMPUTED_VALUE"""),"Chardonnay Ch")</f>
        <v>Chardonnay Ch</v>
      </c>
      <c r="G1339" s="2">
        <f ca="1">IFERROR(__xludf.DUMMYFUNCTION("""COMPUTED_VALUE"""),10100)</f>
        <v>10100</v>
      </c>
      <c r="H1339" s="2">
        <f ca="1">IFERROR(__xludf.DUMMYFUNCTION("""COMPUTED_VALUE"""),12500)</f>
        <v>12500</v>
      </c>
      <c r="I1339" s="2" t="str">
        <f ca="1">IFERROR(__xludf.DUMMYFUNCTION("""COMPUTED_VALUE"""),"Está pileta fermento con levadura indígena")</f>
        <v>Está pileta fermento con levadura indígena</v>
      </c>
      <c r="J1339" s="2"/>
      <c r="K1339" s="2" t="str">
        <f ca="1">IFERROR(__xludf.DUMMYFUNCTION("""COMPUTED_VALUE"""),"Fermentando")</f>
        <v>Fermentando</v>
      </c>
      <c r="L1339" s="2"/>
      <c r="M1339" s="2" t="str">
        <f ca="1">IFERROR(__xludf.DUMMYFUNCTION("""COMPUTED_VALUE"""),"Blanco")</f>
        <v>Blanco</v>
      </c>
    </row>
    <row r="1340" spans="1:13" x14ac:dyDescent="0.25">
      <c r="A1340" s="2" t="str">
        <f ca="1">IFERROR(__xludf.DUMMYFUNCTION("""COMPUTED_VALUE"""),"d2d0ea53")</f>
        <v>d2d0ea53</v>
      </c>
      <c r="B1340" s="2"/>
      <c r="C1340" s="5">
        <f ca="1">IFERROR(__xludf.DUMMYFUNCTION("""COMPUTED_VALUE"""),46067.4084259259)</f>
        <v>46067.408425925903</v>
      </c>
      <c r="D1340" s="2">
        <f ca="1">IFERROR(__xludf.DUMMYFUNCTION("""COMPUTED_VALUE"""),500)</f>
        <v>500</v>
      </c>
      <c r="E1340" s="2">
        <f ca="1">IFERROR(__xludf.DUMMYFUNCTION("""COMPUTED_VALUE"""),200000)</f>
        <v>200000</v>
      </c>
      <c r="F1340" s="2" t="str">
        <f ca="1">IFERROR(__xludf.DUMMYFUNCTION("""COMPUTED_VALUE"""),"Ajuste semana 13/02/2025")</f>
        <v>Ajuste semana 13/02/2025</v>
      </c>
      <c r="G1340" s="2">
        <f ca="1">IFERROR(__xludf.DUMMYFUNCTION("""COMPUTED_VALUE"""),-5999)</f>
        <v>-5999</v>
      </c>
      <c r="H1340" s="2">
        <f ca="1">IFERROR(__xludf.DUMMYFUNCTION("""COMPUTED_VALUE"""),-4299)</f>
        <v>-4299</v>
      </c>
      <c r="I1340" s="2"/>
      <c r="J1340" s="2"/>
      <c r="K1340" s="2" t="str">
        <f ca="1">IFERROR(__xludf.DUMMYFUNCTION("""COMPUTED_VALUE"""),"Terminado")</f>
        <v>Terminado</v>
      </c>
      <c r="L1340" s="2"/>
      <c r="M1340" s="2"/>
    </row>
    <row r="1341" spans="1:13" x14ac:dyDescent="0.25">
      <c r="A1341" s="2" t="str">
        <f ca="1">IFERROR(__xludf.DUMMYFUNCTION("""COMPUTED_VALUE"""),"f4ea0ff6")</f>
        <v>f4ea0ff6</v>
      </c>
      <c r="B1341" s="2"/>
      <c r="C1341" s="5">
        <f ca="1">IFERROR(__xludf.DUMMYFUNCTION("""COMPUTED_VALUE"""),46070.4758564814)</f>
        <v>46070.475856481396</v>
      </c>
      <c r="D1341" s="2">
        <f ca="1">IFERROR(__xludf.DUMMYFUNCTION("""COMPUTED_VALUE"""),46)</f>
        <v>46</v>
      </c>
      <c r="E1341" s="2">
        <f ca="1">IFERROR(__xludf.DUMMYFUNCTION("""COMPUTED_VALUE"""),29000)</f>
        <v>29000</v>
      </c>
      <c r="F1341" s="2" t="str">
        <f ca="1">IFERROR(__xludf.DUMMYFUNCTION("""COMPUTED_VALUE"""),"Chardonnay Mosto Rect")</f>
        <v>Chardonnay Mosto Rect</v>
      </c>
      <c r="G1341" s="2">
        <f ca="1">IFERROR(__xludf.DUMMYFUNCTION("""COMPUTED_VALUE"""),-5000)</f>
        <v>-5000</v>
      </c>
      <c r="H1341" s="2">
        <f ca="1">IFERROR(__xludf.DUMMYFUNCTION("""COMPUTED_VALUE"""),14000)</f>
        <v>14000</v>
      </c>
      <c r="I1341" s="2"/>
      <c r="J1341" s="2"/>
      <c r="K1341" s="2" t="str">
        <f ca="1">IFERROR(__xludf.DUMMYFUNCTION("""COMPUTED_VALUE"""),"Rectificado")</f>
        <v>Rectificado</v>
      </c>
      <c r="L1341" s="2"/>
      <c r="M1341" s="2"/>
    </row>
    <row r="1342" spans="1:13" x14ac:dyDescent="0.25">
      <c r="A1342" s="2" t="str">
        <f ca="1">IFERROR(__xludf.DUMMYFUNCTION("""COMPUTED_VALUE"""),"898c9d40")</f>
        <v>898c9d40</v>
      </c>
      <c r="B1342" s="2"/>
      <c r="C1342" s="5">
        <f ca="1">IFERROR(__xludf.DUMMYFUNCTION("""COMPUTED_VALUE"""),46070.4780092592)</f>
        <v>46070.478009259197</v>
      </c>
      <c r="D1342" s="2">
        <f ca="1">IFERROR(__xludf.DUMMYFUNCTION("""COMPUTED_VALUE"""),46)</f>
        <v>46</v>
      </c>
      <c r="E1342" s="2">
        <f ca="1">IFERROR(__xludf.DUMMYFUNCTION("""COMPUTED_VALUE"""),29000)</f>
        <v>29000</v>
      </c>
      <c r="F1342" s="2" t="str">
        <f ca="1">IFERROR(__xludf.DUMMYFUNCTION("""COMPUTED_VALUE"""),"Chardonnay Mosto Rect")</f>
        <v>Chardonnay Mosto Rect</v>
      </c>
      <c r="G1342" s="2">
        <f ca="1">IFERROR(__xludf.DUMMYFUNCTION("""COMPUTED_VALUE"""),14000)</f>
        <v>14000</v>
      </c>
      <c r="H1342" s="2">
        <f ca="1">IFERROR(__xludf.DUMMYFUNCTION("""COMPUTED_VALUE"""),9200)</f>
        <v>9200</v>
      </c>
      <c r="I1342" s="2"/>
      <c r="J1342" s="2"/>
      <c r="K1342" s="2" t="str">
        <f ca="1">IFERROR(__xludf.DUMMYFUNCTION("""COMPUTED_VALUE"""),"Rectificado")</f>
        <v>Rectificado</v>
      </c>
      <c r="L1342" s="2"/>
      <c r="M1342" s="2"/>
    </row>
    <row r="1343" spans="1:13" x14ac:dyDescent="0.25">
      <c r="A1343" s="2" t="str">
        <f ca="1">IFERROR(__xludf.DUMMYFUNCTION("""COMPUTED_VALUE"""),"75f02c0d")</f>
        <v>75f02c0d</v>
      </c>
      <c r="B1343" s="2"/>
      <c r="C1343" s="5">
        <f ca="1">IFERROR(__xludf.DUMMYFUNCTION("""COMPUTED_VALUE"""),46070.4949884259)</f>
        <v>46070.494988425897</v>
      </c>
      <c r="D1343" s="2">
        <f ca="1">IFERROR(__xludf.DUMMYFUNCTION("""COMPUTED_VALUE"""),46)</f>
        <v>46</v>
      </c>
      <c r="E1343" s="2">
        <f ca="1">IFERROR(__xludf.DUMMYFUNCTION("""COMPUTED_VALUE"""),29000)</f>
        <v>29000</v>
      </c>
      <c r="F1343" s="2" t="str">
        <f ca="1">IFERROR(__xludf.DUMMYFUNCTION("""COMPUTED_VALUE"""),"Chardonnay Mosto Rect")</f>
        <v>Chardonnay Mosto Rect</v>
      </c>
      <c r="G1343" s="2">
        <f ca="1">IFERROR(__xludf.DUMMYFUNCTION("""COMPUTED_VALUE"""),9200)</f>
        <v>9200</v>
      </c>
      <c r="H1343" s="2">
        <f ca="1">IFERROR(__xludf.DUMMYFUNCTION("""COMPUTED_VALUE"""),6900)</f>
        <v>6900</v>
      </c>
      <c r="I1343" s="2"/>
      <c r="J1343" s="2"/>
      <c r="K1343" s="2" t="str">
        <f ca="1">IFERROR(__xludf.DUMMYFUNCTION("""COMPUTED_VALUE"""),"Rectificado")</f>
        <v>Rectificado</v>
      </c>
      <c r="L1343" s="2"/>
      <c r="M1343" s="2"/>
    </row>
    <row r="1344" spans="1:13" x14ac:dyDescent="0.25">
      <c r="A1344" s="2" t="str">
        <f ca="1">IFERROR(__xludf.DUMMYFUNCTION("""COMPUTED_VALUE"""),"ed91ab12")</f>
        <v>ed91ab12</v>
      </c>
      <c r="B1344" s="2"/>
      <c r="C1344" s="5">
        <f ca="1">IFERROR(__xludf.DUMMYFUNCTION("""COMPUTED_VALUE"""),46070.5071759259)</f>
        <v>46070.507175925901</v>
      </c>
      <c r="D1344" s="2">
        <f ca="1">IFERROR(__xludf.DUMMYFUNCTION("""COMPUTED_VALUE"""),44)</f>
        <v>44</v>
      </c>
      <c r="E1344" s="2">
        <f ca="1">IFERROR(__xludf.DUMMYFUNCTION("""COMPUTED_VALUE"""),19100)</f>
        <v>19100</v>
      </c>
      <c r="F1344" s="2" t="str">
        <f ca="1">IFERROR(__xludf.DUMMYFUNCTION("""COMPUTED_VALUE"""),"Cabernet Sauvignon")</f>
        <v>Cabernet Sauvignon</v>
      </c>
      <c r="G1344" s="2">
        <f ca="1">IFERROR(__xludf.DUMMYFUNCTION("""COMPUTED_VALUE"""),19100)</f>
        <v>19100</v>
      </c>
      <c r="H1344" s="2">
        <f ca="1">IFERROR(__xludf.DUMMYFUNCTION("""COMPUTED_VALUE"""),16400)</f>
        <v>16400</v>
      </c>
      <c r="I1344" s="2"/>
      <c r="J1344" s="2"/>
      <c r="K1344" s="2" t="str">
        <f ca="1">IFERROR(__xludf.DUMMYFUNCTION("""COMPUTED_VALUE"""),"Rectificado")</f>
        <v>Rectificado</v>
      </c>
      <c r="L1344" s="2" t="str">
        <f ca="1">IFERROR(__xludf.DUMMYFUNCTION("""COMPUTED_VALUE"""),"2+")</f>
        <v>2+</v>
      </c>
      <c r="M1344" s="2"/>
    </row>
    <row r="1345" spans="1:13" x14ac:dyDescent="0.25">
      <c r="A1345" s="2" t="str">
        <f ca="1">IFERROR(__xludf.DUMMYFUNCTION("""COMPUTED_VALUE"""),"38377731")</f>
        <v>38377731</v>
      </c>
      <c r="B1345" s="2"/>
      <c r="C1345" s="5">
        <f ca="1">IFERROR(__xludf.DUMMYFUNCTION("""COMPUTED_VALUE"""),46070.5097337962)</f>
        <v>46070.5097337962</v>
      </c>
      <c r="D1345" s="2">
        <f ca="1">IFERROR(__xludf.DUMMYFUNCTION("""COMPUTED_VALUE"""),44)</f>
        <v>44</v>
      </c>
      <c r="E1345" s="2">
        <f ca="1">IFERROR(__xludf.DUMMYFUNCTION("""COMPUTED_VALUE"""),19100)</f>
        <v>19100</v>
      </c>
      <c r="F1345" s="2" t="str">
        <f ca="1">IFERROR(__xludf.DUMMYFUNCTION("""COMPUTED_VALUE"""),"Cabernet Sauvignon")</f>
        <v>Cabernet Sauvignon</v>
      </c>
      <c r="G1345" s="2">
        <f ca="1">IFERROR(__xludf.DUMMYFUNCTION("""COMPUTED_VALUE"""),16400)</f>
        <v>16400</v>
      </c>
      <c r="H1345" s="2">
        <f ca="1">IFERROR(__xludf.DUMMYFUNCTION("""COMPUTED_VALUE"""),13700)</f>
        <v>13700</v>
      </c>
      <c r="I1345" s="2"/>
      <c r="J1345" s="2"/>
      <c r="K1345" s="2" t="str">
        <f ca="1">IFERROR(__xludf.DUMMYFUNCTION("""COMPUTED_VALUE"""),"Rectificado")</f>
        <v>Rectificado</v>
      </c>
      <c r="L1345" s="2" t="str">
        <f ca="1">IFERROR(__xludf.DUMMYFUNCTION("""COMPUTED_VALUE"""),"2+")</f>
        <v>2+</v>
      </c>
      <c r="M1345" s="2"/>
    </row>
    <row r="1346" spans="1:13" x14ac:dyDescent="0.25">
      <c r="A1346" s="2" t="str">
        <f ca="1">IFERROR(__xludf.DUMMYFUNCTION("""COMPUTED_VALUE"""),"3cfb7b2e")</f>
        <v>3cfb7b2e</v>
      </c>
      <c r="B1346" s="2"/>
      <c r="C1346" s="5">
        <f ca="1">IFERROR(__xludf.DUMMYFUNCTION("""COMPUTED_VALUE"""),46070.5143402777)</f>
        <v>46070.514340277703</v>
      </c>
      <c r="D1346" s="2">
        <f ca="1">IFERROR(__xludf.DUMMYFUNCTION("""COMPUTED_VALUE"""),8)</f>
        <v>8</v>
      </c>
      <c r="E1346" s="2">
        <f ca="1">IFERROR(__xludf.DUMMYFUNCTION("""COMPUTED_VALUE"""),22000)</f>
        <v>22000</v>
      </c>
      <c r="F1346" s="2" t="str">
        <f ca="1">IFERROR(__xludf.DUMMYFUNCTION("""COMPUTED_VALUE"""),"Chardonnay Ch Most Rect")</f>
        <v>Chardonnay Ch Most Rect</v>
      </c>
      <c r="G1346" s="2">
        <f ca="1">IFERROR(__xludf.DUMMYFUNCTION("""COMPUTED_VALUE"""),20000)</f>
        <v>20000</v>
      </c>
      <c r="H1346" s="2">
        <f ca="1">IFERROR(__xludf.DUMMYFUNCTION("""COMPUTED_VALUE"""),15600)</f>
        <v>15600</v>
      </c>
      <c r="I1346" s="2"/>
      <c r="J1346" s="2"/>
      <c r="K1346" s="2" t="str">
        <f ca="1">IFERROR(__xludf.DUMMYFUNCTION("""COMPUTED_VALUE"""),"Rectificado")</f>
        <v>Rectificado</v>
      </c>
      <c r="L1346" s="2"/>
      <c r="M1346" s="2" t="str">
        <f ca="1">IFERROR(__xludf.DUMMYFUNCTION("""COMPUTED_VALUE"""),"Blanco")</f>
        <v>Blanco</v>
      </c>
    </row>
    <row r="1347" spans="1:13" x14ac:dyDescent="0.25">
      <c r="A1347" s="2" t="str">
        <f ca="1">IFERROR(__xludf.DUMMYFUNCTION("""COMPUTED_VALUE"""),"b9a490b9")</f>
        <v>b9a490b9</v>
      </c>
      <c r="B1347" s="2"/>
      <c r="C1347" s="5">
        <f ca="1">IFERROR(__xludf.DUMMYFUNCTION("""COMPUTED_VALUE"""),46070.7195486111)</f>
        <v>46070.719548611101</v>
      </c>
      <c r="D1347" s="2">
        <f ca="1">IFERROR(__xludf.DUMMYFUNCTION("""COMPUTED_VALUE"""),74)</f>
        <v>74</v>
      </c>
      <c r="E1347" s="2">
        <f ca="1">IFERROR(__xludf.DUMMYFUNCTION("""COMPUTED_VALUE"""),13000)</f>
        <v>13000</v>
      </c>
      <c r="F1347" s="2" t="str">
        <f ca="1">IFERROR(__xludf.DUMMYFUNCTION("""COMPUTED_VALUE"""),"Cabernet Sauvignon")</f>
        <v>Cabernet Sauvignon</v>
      </c>
      <c r="G1347" s="2">
        <f ca="1">IFERROR(__xludf.DUMMYFUNCTION("""COMPUTED_VALUE"""),12500)</f>
        <v>12500</v>
      </c>
      <c r="H1347" s="2">
        <f ca="1">IFERROR(__xludf.DUMMYFUNCTION("""COMPUTED_VALUE"""),13000)</f>
        <v>13000</v>
      </c>
      <c r="I1347" s="2"/>
      <c r="J1347" s="2"/>
      <c r="K1347" s="2" t="str">
        <f ca="1">IFERROR(__xludf.DUMMYFUNCTION("""COMPUTED_VALUE"""),"Filtrado Tang")</f>
        <v>Filtrado Tang</v>
      </c>
      <c r="L1347" s="2" t="str">
        <f ca="1">IFERROR(__xludf.DUMMYFUNCTION("""COMPUTED_VALUE"""),"1")</f>
        <v>1</v>
      </c>
      <c r="M1347" s="2"/>
    </row>
    <row r="1348" spans="1:13" x14ac:dyDescent="0.25">
      <c r="A1348" s="2" t="str">
        <f ca="1">IFERROR(__xludf.DUMMYFUNCTION("""COMPUTED_VALUE"""),"3e1b3fb2")</f>
        <v>3e1b3fb2</v>
      </c>
      <c r="B1348" s="2"/>
      <c r="C1348" s="5">
        <f ca="1">IFERROR(__xludf.DUMMYFUNCTION("""COMPUTED_VALUE"""),46070.7198958333)</f>
        <v>46070.719895833303</v>
      </c>
      <c r="D1348" s="2">
        <f ca="1">IFERROR(__xludf.DUMMYFUNCTION("""COMPUTED_VALUE"""),500)</f>
        <v>500</v>
      </c>
      <c r="E1348" s="2">
        <f ca="1">IFERROR(__xludf.DUMMYFUNCTION("""COMPUTED_VALUE"""),200000)</f>
        <v>200000</v>
      </c>
      <c r="F1348" s="2" t="str">
        <f ca="1">IFERROR(__xludf.DUMMYFUNCTION("""COMPUTED_VALUE"""),"Ajuste semana 13/02/2025")</f>
        <v>Ajuste semana 13/02/2025</v>
      </c>
      <c r="G1348" s="2">
        <f ca="1">IFERROR(__xludf.DUMMYFUNCTION("""COMPUTED_VALUE"""),-4299)</f>
        <v>-4299</v>
      </c>
      <c r="H1348" s="2">
        <f ca="1">IFERROR(__xludf.DUMMYFUNCTION("""COMPUTED_VALUE"""),-3299)</f>
        <v>-3299</v>
      </c>
      <c r="I1348" s="2"/>
      <c r="J1348" s="2"/>
      <c r="K1348" s="2" t="str">
        <f ca="1">IFERROR(__xludf.DUMMYFUNCTION("""COMPUTED_VALUE"""),"Terminado")</f>
        <v>Terminado</v>
      </c>
      <c r="L1348" s="2"/>
      <c r="M1348" s="2"/>
    </row>
    <row r="1349" spans="1:13" x14ac:dyDescent="0.25">
      <c r="A1349" s="2" t="str">
        <f ca="1">IFERROR(__xludf.DUMMYFUNCTION("""COMPUTED_VALUE"""),"5a47168a")</f>
        <v>5a47168a</v>
      </c>
      <c r="B1349" s="2"/>
      <c r="C1349" s="5">
        <f ca="1">IFERROR(__xludf.DUMMYFUNCTION("""COMPUTED_VALUE"""),46070.7425810185)</f>
        <v>46070.742581018501</v>
      </c>
      <c r="D1349" s="2">
        <f ca="1">IFERROR(__xludf.DUMMYFUNCTION("""COMPUTED_VALUE"""),66)</f>
        <v>66</v>
      </c>
      <c r="E1349" s="2">
        <f ca="1">IFERROR(__xludf.DUMMYFUNCTION("""COMPUTED_VALUE"""),23000)</f>
        <v>23000</v>
      </c>
      <c r="F1349" s="2" t="str">
        <f ca="1">IFERROR(__xludf.DUMMYFUNCTION("""COMPUTED_VALUE"""),"Aspirant")</f>
        <v>Aspirant</v>
      </c>
      <c r="G1349" s="2">
        <f ca="1">IFERROR(__xludf.DUMMYFUNCTION("""COMPUTED_VALUE"""),14500)</f>
        <v>14500</v>
      </c>
      <c r="H1349" s="2">
        <f ca="1">IFERROR(__xludf.DUMMYFUNCTION("""COMPUTED_VALUE"""),15500)</f>
        <v>15500</v>
      </c>
      <c r="I1349" s="2" t="str">
        <f ca="1">IFERROR(__xludf.DUMMYFUNCTION("""COMPUTED_VALUE"""),"24/2
Notas de fruta., más que la 79. 
Está para descubar y recargar")</f>
        <v>24/2
Notas de fruta., más que la 79. 
Está para descubar y recargar</v>
      </c>
      <c r="J1349" s="2"/>
      <c r="K1349" s="2" t="str">
        <f ca="1">IFERROR(__xludf.DUMMYFUNCTION("""COMPUTED_VALUE"""),"Fermentando")</f>
        <v>Fermentando</v>
      </c>
      <c r="L1349" s="2"/>
      <c r="M1349" s="2" t="str">
        <f ca="1">IFERROR(__xludf.DUMMYFUNCTION("""COMPUTED_VALUE"""),"Tinto")</f>
        <v>Tinto</v>
      </c>
    </row>
    <row r="1350" spans="1:13" x14ac:dyDescent="0.25">
      <c r="A1350" s="2" t="str">
        <f ca="1">IFERROR(__xludf.DUMMYFUNCTION("""COMPUTED_VALUE"""),"b1fc79bf")</f>
        <v>b1fc79bf</v>
      </c>
      <c r="B1350" s="2"/>
      <c r="C1350" s="5">
        <f ca="1">IFERROR(__xludf.DUMMYFUNCTION("""COMPUTED_VALUE"""),46070.742974537)</f>
        <v>46070.742974537003</v>
      </c>
      <c r="D1350" s="2">
        <f ca="1">IFERROR(__xludf.DUMMYFUNCTION("""COMPUTED_VALUE"""),44)</f>
        <v>44</v>
      </c>
      <c r="E1350" s="2">
        <f ca="1">IFERROR(__xludf.DUMMYFUNCTION("""COMPUTED_VALUE"""),19100)</f>
        <v>19100</v>
      </c>
      <c r="F1350" s="2" t="str">
        <f ca="1">IFERROR(__xludf.DUMMYFUNCTION("""COMPUTED_VALUE"""),"Cabernet Sauvignon Rect")</f>
        <v>Cabernet Sauvignon Rect</v>
      </c>
      <c r="G1350" s="2">
        <f ca="1">IFERROR(__xludf.DUMMYFUNCTION("""COMPUTED_VALUE"""),13700)</f>
        <v>13700</v>
      </c>
      <c r="H1350" s="2">
        <f ca="1">IFERROR(__xludf.DUMMYFUNCTION("""COMPUTED_VALUE"""),13000)</f>
        <v>13000</v>
      </c>
      <c r="I1350" s="2"/>
      <c r="J1350" s="2"/>
      <c r="K1350" s="2" t="str">
        <f ca="1">IFERROR(__xludf.DUMMYFUNCTION("""COMPUTED_VALUE"""),"Rectificado")</f>
        <v>Rectificado</v>
      </c>
      <c r="L1350" s="2" t="str">
        <f ca="1">IFERROR(__xludf.DUMMYFUNCTION("""COMPUTED_VALUE"""),"2+")</f>
        <v>2+</v>
      </c>
      <c r="M1350" s="2" t="str">
        <f ca="1">IFERROR(__xludf.DUMMYFUNCTION("""COMPUTED_VALUE"""),"Tinto")</f>
        <v>Tinto</v>
      </c>
    </row>
    <row r="1351" spans="1:13" x14ac:dyDescent="0.25">
      <c r="A1351" s="2" t="str">
        <f ca="1">IFERROR(__xludf.DUMMYFUNCTION("""COMPUTED_VALUE"""),"e3758573")</f>
        <v>e3758573</v>
      </c>
      <c r="B1351" s="2"/>
      <c r="C1351" s="5">
        <f ca="1">IFERROR(__xludf.DUMMYFUNCTION("""COMPUTED_VALUE"""),46070.7739467592)</f>
        <v>46070.773946759196</v>
      </c>
      <c r="D1351" s="2">
        <f ca="1">IFERROR(__xludf.DUMMYFUNCTION("""COMPUTED_VALUE"""),500)</f>
        <v>500</v>
      </c>
      <c r="E1351" s="2">
        <f ca="1">IFERROR(__xludf.DUMMYFUNCTION("""COMPUTED_VALUE"""),200000)</f>
        <v>200000</v>
      </c>
      <c r="F1351" s="2" t="str">
        <f ca="1">IFERROR(__xludf.DUMMYFUNCTION("""COMPUTED_VALUE"""),"Ajuste semana 13/02/2025")</f>
        <v>Ajuste semana 13/02/2025</v>
      </c>
      <c r="G1351" s="2">
        <f ca="1">IFERROR(__xludf.DUMMYFUNCTION("""COMPUTED_VALUE"""),-3299)</f>
        <v>-3299</v>
      </c>
      <c r="H1351" s="2">
        <f ca="1">IFERROR(__xludf.DUMMYFUNCTION("""COMPUTED_VALUE"""),3601)</f>
        <v>3601</v>
      </c>
      <c r="I1351" s="2"/>
      <c r="J1351" s="2"/>
      <c r="K1351" s="2" t="str">
        <f ca="1">IFERROR(__xludf.DUMMYFUNCTION("""COMPUTED_VALUE"""),"Terminado")</f>
        <v>Terminado</v>
      </c>
      <c r="L1351" s="2"/>
      <c r="M1351" s="2"/>
    </row>
    <row r="1352" spans="1:13" x14ac:dyDescent="0.25">
      <c r="A1352" s="2" t="str">
        <f ca="1">IFERROR(__xludf.DUMMYFUNCTION("""COMPUTED_VALUE"""),"fca5e4c9")</f>
        <v>fca5e4c9</v>
      </c>
      <c r="B1352" s="2"/>
      <c r="C1352" s="5">
        <f ca="1">IFERROR(__xludf.DUMMYFUNCTION("""COMPUTED_VALUE"""),46070.7816087962)</f>
        <v>46070.781608796198</v>
      </c>
      <c r="D1352" s="2">
        <f ca="1">IFERROR(__xludf.DUMMYFUNCTION("""COMPUTED_VALUE"""),500)</f>
        <v>500</v>
      </c>
      <c r="E1352" s="2">
        <f ca="1">IFERROR(__xludf.DUMMYFUNCTION("""COMPUTED_VALUE"""),200000)</f>
        <v>200000</v>
      </c>
      <c r="F1352" s="2" t="str">
        <f ca="1">IFERROR(__xludf.DUMMYFUNCTION("""COMPUTED_VALUE"""),"Ajuste semana 13/02/2025")</f>
        <v>Ajuste semana 13/02/2025</v>
      </c>
      <c r="G1352" s="2">
        <f ca="1">IFERROR(__xludf.DUMMYFUNCTION("""COMPUTED_VALUE"""),3601)</f>
        <v>3601</v>
      </c>
      <c r="H1352" s="2">
        <f ca="1">IFERROR(__xludf.DUMMYFUNCTION("""COMPUTED_VALUE"""),11401)</f>
        <v>11401</v>
      </c>
      <c r="I1352" s="2"/>
      <c r="J1352" s="2"/>
      <c r="K1352" s="2" t="str">
        <f ca="1">IFERROR(__xludf.DUMMYFUNCTION("""COMPUTED_VALUE"""),"Terminado")</f>
        <v>Terminado</v>
      </c>
      <c r="L1352" s="2"/>
      <c r="M1352" s="2"/>
    </row>
    <row r="1353" spans="1:13" x14ac:dyDescent="0.25">
      <c r="A1353" s="2" t="str">
        <f ca="1">IFERROR(__xludf.DUMMYFUNCTION("""COMPUTED_VALUE"""),"6135feaa")</f>
        <v>6135feaa</v>
      </c>
      <c r="B1353" s="2"/>
      <c r="C1353" s="5">
        <f ca="1">IFERROR(__xludf.DUMMYFUNCTION("""COMPUTED_VALUE"""),46070.7820254629)</f>
        <v>46070.782025462897</v>
      </c>
      <c r="D1353" s="2">
        <f ca="1">IFERROR(__xludf.DUMMYFUNCTION("""COMPUTED_VALUE"""),500)</f>
        <v>500</v>
      </c>
      <c r="E1353" s="2">
        <f ca="1">IFERROR(__xludf.DUMMYFUNCTION("""COMPUTED_VALUE"""),200000)</f>
        <v>200000</v>
      </c>
      <c r="F1353" s="2" t="str">
        <f ca="1">IFERROR(__xludf.DUMMYFUNCTION("""COMPUTED_VALUE"""),"Ajuste semana 13/02/2025")</f>
        <v>Ajuste semana 13/02/2025</v>
      </c>
      <c r="G1353" s="2">
        <f ca="1">IFERROR(__xludf.DUMMYFUNCTION("""COMPUTED_VALUE"""),11401)</f>
        <v>11401</v>
      </c>
      <c r="H1353" s="2">
        <f ca="1">IFERROR(__xludf.DUMMYFUNCTION("""COMPUTED_VALUE"""),12101)</f>
        <v>12101</v>
      </c>
      <c r="I1353" s="2"/>
      <c r="J1353" s="2"/>
      <c r="K1353" s="2" t="str">
        <f ca="1">IFERROR(__xludf.DUMMYFUNCTION("""COMPUTED_VALUE"""),"Terminado")</f>
        <v>Terminado</v>
      </c>
      <c r="L1353" s="2"/>
      <c r="M1353" s="2"/>
    </row>
    <row r="1354" spans="1:13" x14ac:dyDescent="0.25">
      <c r="A1354" s="2" t="str">
        <f ca="1">IFERROR(__xludf.DUMMYFUNCTION("""COMPUTED_VALUE"""),"a2937c66")</f>
        <v>a2937c66</v>
      </c>
      <c r="B1354" s="2"/>
      <c r="C1354" s="5">
        <f ca="1">IFERROR(__xludf.DUMMYFUNCTION("""COMPUTED_VALUE"""),46070.7823958333)</f>
        <v>46070.782395833303</v>
      </c>
      <c r="D1354" s="2">
        <f ca="1">IFERROR(__xludf.DUMMYFUNCTION("""COMPUTED_VALUE"""),500)</f>
        <v>500</v>
      </c>
      <c r="E1354" s="2">
        <f ca="1">IFERROR(__xludf.DUMMYFUNCTION("""COMPUTED_VALUE"""),200000)</f>
        <v>200000</v>
      </c>
      <c r="F1354" s="2" t="str">
        <f ca="1">IFERROR(__xludf.DUMMYFUNCTION("""COMPUTED_VALUE"""),"Ajuste semana 13/02/2025")</f>
        <v>Ajuste semana 13/02/2025</v>
      </c>
      <c r="G1354" s="2">
        <f ca="1">IFERROR(__xludf.DUMMYFUNCTION("""COMPUTED_VALUE"""),12101)</f>
        <v>12101</v>
      </c>
      <c r="H1354" s="2">
        <f ca="1">IFERROR(__xludf.DUMMYFUNCTION("""COMPUTED_VALUE"""),11401)</f>
        <v>11401</v>
      </c>
      <c r="I1354" s="2"/>
      <c r="J1354" s="2"/>
      <c r="K1354" s="2" t="str">
        <f ca="1">IFERROR(__xludf.DUMMYFUNCTION("""COMPUTED_VALUE"""),"Terminado")</f>
        <v>Terminado</v>
      </c>
      <c r="L1354" s="2"/>
      <c r="M1354" s="2"/>
    </row>
    <row r="1355" spans="1:13" x14ac:dyDescent="0.25">
      <c r="A1355" s="2" t="str">
        <f ca="1">IFERROR(__xludf.DUMMYFUNCTION("""COMPUTED_VALUE"""),"5250cb36")</f>
        <v>5250cb36</v>
      </c>
      <c r="B1355" s="2"/>
      <c r="C1355" s="5">
        <f ca="1">IFERROR(__xludf.DUMMYFUNCTION("""COMPUTED_VALUE"""),46070.7830439814)</f>
        <v>46070.783043981399</v>
      </c>
      <c r="D1355" s="2">
        <f ca="1">IFERROR(__xludf.DUMMYFUNCTION("""COMPUTED_VALUE"""),500)</f>
        <v>500</v>
      </c>
      <c r="E1355" s="2">
        <f ca="1">IFERROR(__xludf.DUMMYFUNCTION("""COMPUTED_VALUE"""),200000)</f>
        <v>200000</v>
      </c>
      <c r="F1355" s="2" t="str">
        <f ca="1">IFERROR(__xludf.DUMMYFUNCTION("""COMPUTED_VALUE"""),"Ajuste semana 13/02/2025")</f>
        <v>Ajuste semana 13/02/2025</v>
      </c>
      <c r="G1355" s="2">
        <f ca="1">IFERROR(__xludf.DUMMYFUNCTION("""COMPUTED_VALUE"""),11401)</f>
        <v>11401</v>
      </c>
      <c r="H1355" s="2">
        <f ca="1">IFERROR(__xludf.DUMMYFUNCTION("""COMPUTED_VALUE"""),12001)</f>
        <v>12001</v>
      </c>
      <c r="I1355" s="2"/>
      <c r="J1355" s="2"/>
      <c r="K1355" s="2" t="str">
        <f ca="1">IFERROR(__xludf.DUMMYFUNCTION("""COMPUTED_VALUE"""),"Terminado")</f>
        <v>Terminado</v>
      </c>
      <c r="L1355" s="2"/>
      <c r="M1355" s="2"/>
    </row>
    <row r="1356" spans="1:13" x14ac:dyDescent="0.25">
      <c r="A1356" s="2" t="str">
        <f ca="1">IFERROR(__xludf.DUMMYFUNCTION("""COMPUTED_VALUE"""),"36b020e6")</f>
        <v>36b020e6</v>
      </c>
      <c r="B1356" s="2"/>
      <c r="C1356" s="5">
        <f ca="1">IFERROR(__xludf.DUMMYFUNCTION("""COMPUTED_VALUE"""),46070.7833796296)</f>
        <v>46070.783379629604</v>
      </c>
      <c r="D1356" s="2">
        <f ca="1">IFERROR(__xludf.DUMMYFUNCTION("""COMPUTED_VALUE"""),500)</f>
        <v>500</v>
      </c>
      <c r="E1356" s="2">
        <f ca="1">IFERROR(__xludf.DUMMYFUNCTION("""COMPUTED_VALUE"""),200000)</f>
        <v>200000</v>
      </c>
      <c r="F1356" s="2" t="str">
        <f ca="1">IFERROR(__xludf.DUMMYFUNCTION("""COMPUTED_VALUE"""),"Ajuste semana 13/02/2025")</f>
        <v>Ajuste semana 13/02/2025</v>
      </c>
      <c r="G1356" s="2">
        <f ca="1">IFERROR(__xludf.DUMMYFUNCTION("""COMPUTED_VALUE"""),12001)</f>
        <v>12001</v>
      </c>
      <c r="H1356" s="2">
        <f ca="1">IFERROR(__xludf.DUMMYFUNCTION("""COMPUTED_VALUE"""),11501)</f>
        <v>11501</v>
      </c>
      <c r="I1356" s="2"/>
      <c r="J1356" s="2"/>
      <c r="K1356" s="2" t="str">
        <f ca="1">IFERROR(__xludf.DUMMYFUNCTION("""COMPUTED_VALUE"""),"Terminado")</f>
        <v>Terminado</v>
      </c>
      <c r="L1356" s="2"/>
      <c r="M1356" s="2"/>
    </row>
    <row r="1357" spans="1:13" x14ac:dyDescent="0.25">
      <c r="A1357" s="2" t="str">
        <f ca="1">IFERROR(__xludf.DUMMYFUNCTION("""COMPUTED_VALUE"""),"d92bfa4c")</f>
        <v>d92bfa4c</v>
      </c>
      <c r="B1357" s="2"/>
      <c r="C1357" s="5">
        <f ca="1">IFERROR(__xludf.DUMMYFUNCTION("""COMPUTED_VALUE"""),46070.7843518518)</f>
        <v>46070.784351851798</v>
      </c>
      <c r="D1357" s="2">
        <f ca="1">IFERROR(__xludf.DUMMYFUNCTION("""COMPUTED_VALUE"""),500)</f>
        <v>500</v>
      </c>
      <c r="E1357" s="2">
        <f ca="1">IFERROR(__xludf.DUMMYFUNCTION("""COMPUTED_VALUE"""),200000)</f>
        <v>200000</v>
      </c>
      <c r="F1357" s="2" t="str">
        <f ca="1">IFERROR(__xludf.DUMMYFUNCTION("""COMPUTED_VALUE"""),"Ajuste semana 13/02/2025")</f>
        <v>Ajuste semana 13/02/2025</v>
      </c>
      <c r="G1357" s="2">
        <f ca="1">IFERROR(__xludf.DUMMYFUNCTION("""COMPUTED_VALUE"""),11501)</f>
        <v>11501</v>
      </c>
      <c r="H1357" s="2">
        <f ca="1">IFERROR(__xludf.DUMMYFUNCTION("""COMPUTED_VALUE"""),12501)</f>
        <v>12501</v>
      </c>
      <c r="I1357" s="2"/>
      <c r="J1357" s="2"/>
      <c r="K1357" s="2" t="str">
        <f ca="1">IFERROR(__xludf.DUMMYFUNCTION("""COMPUTED_VALUE"""),"Terminado")</f>
        <v>Terminado</v>
      </c>
      <c r="L1357" s="2"/>
      <c r="M1357" s="2"/>
    </row>
    <row r="1358" spans="1:13" x14ac:dyDescent="0.25">
      <c r="A1358" s="2" t="str">
        <f ca="1">IFERROR(__xludf.DUMMYFUNCTION("""COMPUTED_VALUE"""),"9f89ed5b")</f>
        <v>9f89ed5b</v>
      </c>
      <c r="B1358" s="2"/>
      <c r="C1358" s="5">
        <f ca="1">IFERROR(__xludf.DUMMYFUNCTION("""COMPUTED_VALUE"""),46070.7852430555)</f>
        <v>46070.785243055499</v>
      </c>
      <c r="D1358" s="2">
        <f ca="1">IFERROR(__xludf.DUMMYFUNCTION("""COMPUTED_VALUE"""),500)</f>
        <v>500</v>
      </c>
      <c r="E1358" s="2">
        <f ca="1">IFERROR(__xludf.DUMMYFUNCTION("""COMPUTED_VALUE"""),200000)</f>
        <v>200000</v>
      </c>
      <c r="F1358" s="2" t="str">
        <f ca="1">IFERROR(__xludf.DUMMYFUNCTION("""COMPUTED_VALUE"""),"Ajuste semana 13/02/2025")</f>
        <v>Ajuste semana 13/02/2025</v>
      </c>
      <c r="G1358" s="2">
        <f ca="1">IFERROR(__xludf.DUMMYFUNCTION("""COMPUTED_VALUE"""),12501)</f>
        <v>12501</v>
      </c>
      <c r="H1358" s="2">
        <f ca="1">IFERROR(__xludf.DUMMYFUNCTION("""COMPUTED_VALUE"""),15501)</f>
        <v>15501</v>
      </c>
      <c r="I1358" s="2"/>
      <c r="J1358" s="2"/>
      <c r="K1358" s="2" t="str">
        <f ca="1">IFERROR(__xludf.DUMMYFUNCTION("""COMPUTED_VALUE"""),"Terminado")</f>
        <v>Terminado</v>
      </c>
      <c r="L1358" s="2"/>
      <c r="M1358" s="2"/>
    </row>
    <row r="1359" spans="1:13" x14ac:dyDescent="0.25">
      <c r="A1359" s="2" t="str">
        <f ca="1">IFERROR(__xludf.DUMMYFUNCTION("""COMPUTED_VALUE"""),"6cd2c023")</f>
        <v>6cd2c023</v>
      </c>
      <c r="B1359" s="2"/>
      <c r="C1359" s="5">
        <f ca="1">IFERROR(__xludf.DUMMYFUNCTION("""COMPUTED_VALUE"""),46070.7855439814)</f>
        <v>46070.785543981401</v>
      </c>
      <c r="D1359" s="2">
        <f ca="1">IFERROR(__xludf.DUMMYFUNCTION("""COMPUTED_VALUE"""),500)</f>
        <v>500</v>
      </c>
      <c r="E1359" s="2">
        <f ca="1">IFERROR(__xludf.DUMMYFUNCTION("""COMPUTED_VALUE"""),200000)</f>
        <v>200000</v>
      </c>
      <c r="F1359" s="2" t="str">
        <f ca="1">IFERROR(__xludf.DUMMYFUNCTION("""COMPUTED_VALUE"""),"Ajuste semana 13/02/2025")</f>
        <v>Ajuste semana 13/02/2025</v>
      </c>
      <c r="G1359" s="2">
        <f ca="1">IFERROR(__xludf.DUMMYFUNCTION("""COMPUTED_VALUE"""),15501)</f>
        <v>15501</v>
      </c>
      <c r="H1359" s="2">
        <f ca="1">IFERROR(__xludf.DUMMYFUNCTION("""COMPUTED_VALUE"""),15001)</f>
        <v>15001</v>
      </c>
      <c r="I1359" s="2"/>
      <c r="J1359" s="2"/>
      <c r="K1359" s="2" t="str">
        <f ca="1">IFERROR(__xludf.DUMMYFUNCTION("""COMPUTED_VALUE"""),"Terminado")</f>
        <v>Terminado</v>
      </c>
      <c r="L1359" s="2"/>
      <c r="M1359" s="2"/>
    </row>
    <row r="1360" spans="1:13" x14ac:dyDescent="0.25">
      <c r="A1360" s="2" t="str">
        <f ca="1">IFERROR(__xludf.DUMMYFUNCTION("""COMPUTED_VALUE"""),"9d8917d5")</f>
        <v>9d8917d5</v>
      </c>
      <c r="B1360" s="2"/>
      <c r="C1360" s="5">
        <f ca="1">IFERROR(__xludf.DUMMYFUNCTION("""COMPUTED_VALUE"""),46070.7858101851)</f>
        <v>46070.785810185102</v>
      </c>
      <c r="D1360" s="2">
        <f ca="1">IFERROR(__xludf.DUMMYFUNCTION("""COMPUTED_VALUE"""),500)</f>
        <v>500</v>
      </c>
      <c r="E1360" s="2">
        <f ca="1">IFERROR(__xludf.DUMMYFUNCTION("""COMPUTED_VALUE"""),200000)</f>
        <v>200000</v>
      </c>
      <c r="F1360" s="2" t="str">
        <f ca="1">IFERROR(__xludf.DUMMYFUNCTION("""COMPUTED_VALUE"""),"Ajuste semana 13/02/2025")</f>
        <v>Ajuste semana 13/02/2025</v>
      </c>
      <c r="G1360" s="2">
        <f ca="1">IFERROR(__xludf.DUMMYFUNCTION("""COMPUTED_VALUE"""),15001)</f>
        <v>15001</v>
      </c>
      <c r="H1360" s="2">
        <f ca="1">IFERROR(__xludf.DUMMYFUNCTION("""COMPUTED_VALUE"""),14701)</f>
        <v>14701</v>
      </c>
      <c r="I1360" s="2"/>
      <c r="J1360" s="2"/>
      <c r="K1360" s="2" t="str">
        <f ca="1">IFERROR(__xludf.DUMMYFUNCTION("""COMPUTED_VALUE"""),"Terminado")</f>
        <v>Terminado</v>
      </c>
      <c r="L1360" s="2"/>
      <c r="M1360" s="2"/>
    </row>
    <row r="1361" spans="1:13" x14ac:dyDescent="0.25">
      <c r="A1361" s="2" t="str">
        <f ca="1">IFERROR(__xludf.DUMMYFUNCTION("""COMPUTED_VALUE"""),"e92a5fc2")</f>
        <v>e92a5fc2</v>
      </c>
      <c r="B1361" s="2"/>
      <c r="C1361" s="5">
        <f ca="1">IFERROR(__xludf.DUMMYFUNCTION("""COMPUTED_VALUE"""),46070.7860763888)</f>
        <v>46070.786076388802</v>
      </c>
      <c r="D1361" s="2">
        <f ca="1">IFERROR(__xludf.DUMMYFUNCTION("""COMPUTED_VALUE"""),500)</f>
        <v>500</v>
      </c>
      <c r="E1361" s="2">
        <f ca="1">IFERROR(__xludf.DUMMYFUNCTION("""COMPUTED_VALUE"""),200000)</f>
        <v>200000</v>
      </c>
      <c r="F1361" s="2" t="str">
        <f ca="1">IFERROR(__xludf.DUMMYFUNCTION("""COMPUTED_VALUE"""),"Ajuste semana 13/02/2025")</f>
        <v>Ajuste semana 13/02/2025</v>
      </c>
      <c r="G1361" s="2">
        <f ca="1">IFERROR(__xludf.DUMMYFUNCTION("""COMPUTED_VALUE"""),14701)</f>
        <v>14701</v>
      </c>
      <c r="H1361" s="2">
        <f ca="1">IFERROR(__xludf.DUMMYFUNCTION("""COMPUTED_VALUE"""),15701)</f>
        <v>15701</v>
      </c>
      <c r="I1361" s="2"/>
      <c r="J1361" s="2"/>
      <c r="K1361" s="2" t="str">
        <f ca="1">IFERROR(__xludf.DUMMYFUNCTION("""COMPUTED_VALUE"""),"Terminado")</f>
        <v>Terminado</v>
      </c>
      <c r="L1361" s="2"/>
      <c r="M1361" s="2"/>
    </row>
    <row r="1362" spans="1:13" x14ac:dyDescent="0.25">
      <c r="A1362" s="2" t="str">
        <f ca="1">IFERROR(__xludf.DUMMYFUNCTION("""COMPUTED_VALUE"""),"08d352aa")</f>
        <v>08d352aa</v>
      </c>
      <c r="B1362" s="2"/>
      <c r="C1362" s="5">
        <f ca="1">IFERROR(__xludf.DUMMYFUNCTION("""COMPUTED_VALUE"""),46070.7864814814)</f>
        <v>46070.786481481402</v>
      </c>
      <c r="D1362" s="2">
        <f ca="1">IFERROR(__xludf.DUMMYFUNCTION("""COMPUTED_VALUE"""),500)</f>
        <v>500</v>
      </c>
      <c r="E1362" s="2">
        <f ca="1">IFERROR(__xludf.DUMMYFUNCTION("""COMPUTED_VALUE"""),200000)</f>
        <v>200000</v>
      </c>
      <c r="F1362" s="2" t="str">
        <f ca="1">IFERROR(__xludf.DUMMYFUNCTION("""COMPUTED_VALUE"""),"Ajuste semana 13/02/2025")</f>
        <v>Ajuste semana 13/02/2025</v>
      </c>
      <c r="G1362" s="2">
        <f ca="1">IFERROR(__xludf.DUMMYFUNCTION("""COMPUTED_VALUE"""),15701)</f>
        <v>15701</v>
      </c>
      <c r="H1362" s="2">
        <f ca="1">IFERROR(__xludf.DUMMYFUNCTION("""COMPUTED_VALUE"""),17201)</f>
        <v>17201</v>
      </c>
      <c r="I1362" s="2"/>
      <c r="J1362" s="2"/>
      <c r="K1362" s="2" t="str">
        <f ca="1">IFERROR(__xludf.DUMMYFUNCTION("""COMPUTED_VALUE"""),"Terminado")</f>
        <v>Terminado</v>
      </c>
      <c r="L1362" s="2"/>
      <c r="M1362" s="2"/>
    </row>
    <row r="1363" spans="1:13" x14ac:dyDescent="0.25">
      <c r="A1363" s="2" t="str">
        <f ca="1">IFERROR(__xludf.DUMMYFUNCTION("""COMPUTED_VALUE"""),"b0ecf72f")</f>
        <v>b0ecf72f</v>
      </c>
      <c r="B1363" s="2"/>
      <c r="C1363" s="5">
        <f ca="1">IFERROR(__xludf.DUMMYFUNCTION("""COMPUTED_VALUE"""),46070.7868287037)</f>
        <v>46070.786828703698</v>
      </c>
      <c r="D1363" s="2">
        <f ca="1">IFERROR(__xludf.DUMMYFUNCTION("""COMPUTED_VALUE"""),500)</f>
        <v>500</v>
      </c>
      <c r="E1363" s="2">
        <f ca="1">IFERROR(__xludf.DUMMYFUNCTION("""COMPUTED_VALUE"""),200000)</f>
        <v>200000</v>
      </c>
      <c r="F1363" s="2" t="str">
        <f ca="1">IFERROR(__xludf.DUMMYFUNCTION("""COMPUTED_VALUE"""),"Ajuste semana 13/02/2025")</f>
        <v>Ajuste semana 13/02/2025</v>
      </c>
      <c r="G1363" s="2">
        <f ca="1">IFERROR(__xludf.DUMMYFUNCTION("""COMPUTED_VALUE"""),17201)</f>
        <v>17201</v>
      </c>
      <c r="H1363" s="2">
        <f ca="1">IFERROR(__xludf.DUMMYFUNCTION("""COMPUTED_VALUE"""),14901)</f>
        <v>14901</v>
      </c>
      <c r="I1363" s="2"/>
      <c r="J1363" s="2"/>
      <c r="K1363" s="2" t="str">
        <f ca="1">IFERROR(__xludf.DUMMYFUNCTION("""COMPUTED_VALUE"""),"Terminado")</f>
        <v>Terminado</v>
      </c>
      <c r="L1363" s="2"/>
      <c r="M1363" s="2"/>
    </row>
    <row r="1364" spans="1:13" x14ac:dyDescent="0.25">
      <c r="A1364" s="2" t="str">
        <f ca="1">IFERROR(__xludf.DUMMYFUNCTION("""COMPUTED_VALUE"""),"27d2815f")</f>
        <v>27d2815f</v>
      </c>
      <c r="B1364" s="2"/>
      <c r="C1364" s="5">
        <f ca="1">IFERROR(__xludf.DUMMYFUNCTION("""COMPUTED_VALUE"""),46070.7872800925)</f>
        <v>46070.787280092503</v>
      </c>
      <c r="D1364" s="2">
        <f ca="1">IFERROR(__xludf.DUMMYFUNCTION("""COMPUTED_VALUE"""),500)</f>
        <v>500</v>
      </c>
      <c r="E1364" s="2">
        <f ca="1">IFERROR(__xludf.DUMMYFUNCTION("""COMPUTED_VALUE"""),200000)</f>
        <v>200000</v>
      </c>
      <c r="F1364" s="2" t="str">
        <f ca="1">IFERROR(__xludf.DUMMYFUNCTION("""COMPUTED_VALUE"""),"Ajuste semana 13/02/2025")</f>
        <v>Ajuste semana 13/02/2025</v>
      </c>
      <c r="G1364" s="2">
        <f ca="1">IFERROR(__xludf.DUMMYFUNCTION("""COMPUTED_VALUE"""),14901)</f>
        <v>14901</v>
      </c>
      <c r="H1364" s="2">
        <f ca="1">IFERROR(__xludf.DUMMYFUNCTION("""COMPUTED_VALUE"""),16001)</f>
        <v>16001</v>
      </c>
      <c r="I1364" s="2"/>
      <c r="J1364" s="2"/>
      <c r="K1364" s="2" t="str">
        <f ca="1">IFERROR(__xludf.DUMMYFUNCTION("""COMPUTED_VALUE"""),"Terminado")</f>
        <v>Terminado</v>
      </c>
      <c r="L1364" s="2"/>
      <c r="M1364" s="2"/>
    </row>
    <row r="1365" spans="1:13" x14ac:dyDescent="0.25">
      <c r="A1365" s="2" t="str">
        <f ca="1">IFERROR(__xludf.DUMMYFUNCTION("""COMPUTED_VALUE"""),"0c02f3ad")</f>
        <v>0c02f3ad</v>
      </c>
      <c r="B1365" s="2"/>
      <c r="C1365" s="5">
        <f ca="1">IFERROR(__xludf.DUMMYFUNCTION("""COMPUTED_VALUE"""),46070.7882523148)</f>
        <v>46070.7882523148</v>
      </c>
      <c r="D1365" s="2">
        <f ca="1">IFERROR(__xludf.DUMMYFUNCTION("""COMPUTED_VALUE"""),82)</f>
        <v>82</v>
      </c>
      <c r="E1365" s="2">
        <f ca="1">IFERROR(__xludf.DUMMYFUNCTION("""COMPUTED_VALUE"""),42600)</f>
        <v>42600</v>
      </c>
      <c r="F1365" s="2" t="str">
        <f ca="1">IFERROR(__xludf.DUMMYFUNCTION("""COMPUTED_VALUE"""),"Aspirant Ancc")</f>
        <v>Aspirant Ancc</v>
      </c>
      <c r="G1365" s="2"/>
      <c r="H1365" s="2">
        <f ca="1">IFERROR(__xludf.DUMMYFUNCTION("""COMPUTED_VALUE"""),28500)</f>
        <v>28500</v>
      </c>
      <c r="I1365" s="2" t="str">
        <f ca="1">IFERROR(__xludf.DUMMYFUNCTION("""COMPUTED_VALUE"""),"24/2
Notas más verdes. Pero bien")</f>
        <v>24/2
Notas más verdes. Pero bien</v>
      </c>
      <c r="J1365" s="2" t="str">
        <f ca="1">IFERROR(__xludf.DUMMYFUNCTION("""COMPUTED_VALUE"""),"6221 , 6222 , 6223 , 6224")</f>
        <v>6221 , 6222 , 6223 , 6224</v>
      </c>
      <c r="K1365" s="2" t="str">
        <f ca="1">IFERROR(__xludf.DUMMYFUNCTION("""COMPUTED_VALUE"""),"Fermentando")</f>
        <v>Fermentando</v>
      </c>
      <c r="L1365" s="2"/>
      <c r="M1365" s="2" t="str">
        <f ca="1">IFERROR(__xludf.DUMMYFUNCTION("""COMPUTED_VALUE"""),"Tinto")</f>
        <v>Tinto</v>
      </c>
    </row>
    <row r="1366" spans="1:13" x14ac:dyDescent="0.25">
      <c r="A1366" s="2" t="str">
        <f ca="1">IFERROR(__xludf.DUMMYFUNCTION("""COMPUTED_VALUE"""),"6666d5b4")</f>
        <v>6666d5b4</v>
      </c>
      <c r="B1366" s="2"/>
      <c r="C1366" s="5">
        <f ca="1">IFERROR(__xludf.DUMMYFUNCTION("""COMPUTED_VALUE"""),46071.8367592592)</f>
        <v>46071.836759259197</v>
      </c>
      <c r="D1366" s="2">
        <f ca="1">IFERROR(__xludf.DUMMYFUNCTION("""COMPUTED_VALUE"""),83)</f>
        <v>83</v>
      </c>
      <c r="E1366" s="2">
        <f ca="1">IFERROR(__xludf.DUMMYFUNCTION("""COMPUTED_VALUE"""),81500)</f>
        <v>81500</v>
      </c>
      <c r="F1366" s="2" t="str">
        <f ca="1">IFERROR(__xludf.DUMMYFUNCTION("""COMPUTED_VALUE"""),"Aspirant Anccelota PC")</f>
        <v>Aspirant Anccelota PC</v>
      </c>
      <c r="G1366" s="2"/>
      <c r="H1366" s="2">
        <f ca="1">IFERROR(__xludf.DUMMYFUNCTION("""COMPUTED_VALUE"""),37600)</f>
        <v>37600</v>
      </c>
      <c r="I1366" s="2" t="str">
        <f ca="1">IFERROR(__xludf.DUMMYFUNCTION("""COMPUTED_VALUE"""),"24/2 tiene pie de Cuba")</f>
        <v>24/2 tiene pie de Cuba</v>
      </c>
      <c r="J1366" s="2" t="str">
        <f ca="1">IFERROR(__xludf.DUMMYFUNCTION("""COMPUTED_VALUE"""),"6225 , 6227 , 6228 , 6229 , 6230")</f>
        <v>6225 , 6227 , 6228 , 6229 , 6230</v>
      </c>
      <c r="K1366" s="2" t="str">
        <f ca="1">IFERROR(__xludf.DUMMYFUNCTION("""COMPUTED_VALUE"""),"Fermentando")</f>
        <v>Fermentando</v>
      </c>
      <c r="L1366" s="2"/>
      <c r="M1366" s="2" t="str">
        <f ca="1">IFERROR(__xludf.DUMMYFUNCTION("""COMPUTED_VALUE"""),"Tinto")</f>
        <v>Tinto</v>
      </c>
    </row>
    <row r="1367" spans="1:13" x14ac:dyDescent="0.25">
      <c r="A1367" s="2" t="str">
        <f ca="1">IFERROR(__xludf.DUMMYFUNCTION("""COMPUTED_VALUE"""),"521adffa")</f>
        <v>521adffa</v>
      </c>
      <c r="B1367" s="2"/>
      <c r="C1367" s="5">
        <f ca="1">IFERROR(__xludf.DUMMYFUNCTION("""COMPUTED_VALUE"""),46071.8398032407)</f>
        <v>46071.839803240699</v>
      </c>
      <c r="D1367" s="2">
        <f ca="1">IFERROR(__xludf.DUMMYFUNCTION("""COMPUTED_VALUE"""),8)</f>
        <v>8</v>
      </c>
      <c r="E1367" s="2">
        <f ca="1">IFERROR(__xludf.DUMMYFUNCTION("""COMPUTED_VALUE"""),22000)</f>
        <v>22000</v>
      </c>
      <c r="F1367" s="2" t="str">
        <f ca="1">IFERROR(__xludf.DUMMYFUNCTION("""COMPUTED_VALUE"""),"Chardonnay Ch Most Rect")</f>
        <v>Chardonnay Ch Most Rect</v>
      </c>
      <c r="G1367" s="2">
        <f ca="1">IFERROR(__xludf.DUMMYFUNCTION("""COMPUTED_VALUE"""),7800)</f>
        <v>7800</v>
      </c>
      <c r="H1367" s="2">
        <f ca="1">IFERROR(__xludf.DUMMYFUNCTION("""COMPUTED_VALUE"""),3000)</f>
        <v>3000</v>
      </c>
      <c r="I1367" s="2"/>
      <c r="J1367" s="2"/>
      <c r="K1367" s="2" t="str">
        <f ca="1">IFERROR(__xludf.DUMMYFUNCTION("""COMPUTED_VALUE"""),"Rectificado")</f>
        <v>Rectificado</v>
      </c>
      <c r="L1367" s="2"/>
      <c r="M1367" s="2"/>
    </row>
    <row r="1368" spans="1:13" x14ac:dyDescent="0.25">
      <c r="A1368" s="2" t="str">
        <f ca="1">IFERROR(__xludf.DUMMYFUNCTION("""COMPUTED_VALUE"""),"a5f14d91")</f>
        <v>a5f14d91</v>
      </c>
      <c r="B1368" s="2"/>
      <c r="C1368" s="5">
        <f ca="1">IFERROR(__xludf.DUMMYFUNCTION("""COMPUTED_VALUE"""),46072.7702083333)</f>
        <v>46072.770208333299</v>
      </c>
      <c r="D1368" s="2">
        <f ca="1">IFERROR(__xludf.DUMMYFUNCTION("""COMPUTED_VALUE"""),71)</f>
        <v>71</v>
      </c>
      <c r="E1368" s="2">
        <f ca="1">IFERROR(__xludf.DUMMYFUNCTION("""COMPUTED_VALUE"""),13000)</f>
        <v>13000</v>
      </c>
      <c r="F1368" s="2" t="str">
        <f ca="1">IFERROR(__xludf.DUMMYFUNCTION("""COMPUTED_VALUE"""),"Chardonnay")</f>
        <v>Chardonnay</v>
      </c>
      <c r="G1368" s="2"/>
      <c r="H1368" s="2">
        <f ca="1">IFERROR(__xludf.DUMMYFUNCTION("""COMPUTED_VALUE"""),6500)</f>
        <v>6500</v>
      </c>
      <c r="I1368" s="2"/>
      <c r="J1368" s="2">
        <f ca="1">IFERROR(__xludf.DUMMYFUNCTION("""COMPUTED_VALUE"""),6226)</f>
        <v>6226</v>
      </c>
      <c r="K1368" s="2" t="str">
        <f ca="1">IFERROR(__xludf.DUMMYFUNCTION("""COMPUTED_VALUE"""),"Fermentando")</f>
        <v>Fermentando</v>
      </c>
      <c r="L1368" s="2"/>
      <c r="M1368" s="2" t="str">
        <f ca="1">IFERROR(__xludf.DUMMYFUNCTION("""COMPUTED_VALUE"""),"Blanco")</f>
        <v>Blanco</v>
      </c>
    </row>
    <row r="1369" spans="1:13" x14ac:dyDescent="0.25">
      <c r="A1369" s="2" t="str">
        <f ca="1">IFERROR(__xludf.DUMMYFUNCTION("""COMPUTED_VALUE"""),"84d6a310")</f>
        <v>84d6a310</v>
      </c>
      <c r="B1369" s="2"/>
      <c r="C1369" s="5">
        <f ca="1">IFERROR(__xludf.DUMMYFUNCTION("""COMPUTED_VALUE"""),46074.4941319444)</f>
        <v>46074.494131944397</v>
      </c>
      <c r="D1369" s="2">
        <f ca="1">IFERROR(__xludf.DUMMYFUNCTION("""COMPUTED_VALUE"""),84)</f>
        <v>84</v>
      </c>
      <c r="E1369" s="2">
        <f ca="1">IFERROR(__xludf.DUMMYFUNCTION("""COMPUTED_VALUE"""),83000)</f>
        <v>83000</v>
      </c>
      <c r="F1369" s="2" t="str">
        <f ca="1">IFERROR(__xludf.DUMMYFUNCTION("""COMPUTED_VALUE"""),"Aspirant Ancelotta")</f>
        <v>Aspirant Ancelotta</v>
      </c>
      <c r="G1369" s="2"/>
      <c r="H1369" s="2">
        <f ca="1">IFERROR(__xludf.DUMMYFUNCTION("""COMPUTED_VALUE"""),33800)</f>
        <v>33800</v>
      </c>
      <c r="I1369" s="2" t="str">
        <f ca="1">IFERROR(__xludf.DUMMYFUNCTION("""COMPUTED_VALUE"""),"24/2
Notas a rosas. 
Tiene 2 Be, ya está para recargar")</f>
        <v>24/2
Notas a rosas. 
Tiene 2 Be, ya está para recargar</v>
      </c>
      <c r="J1369" s="2" t="str">
        <f ca="1">IFERROR(__xludf.DUMMYFUNCTION("""COMPUTED_VALUE"""),"6235 , 6231 , 6232 , 6233 , 6234")</f>
        <v>6235 , 6231 , 6232 , 6233 , 6234</v>
      </c>
      <c r="K1369" s="2" t="str">
        <f ca="1">IFERROR(__xludf.DUMMYFUNCTION("""COMPUTED_VALUE"""),"Fermentando")</f>
        <v>Fermentando</v>
      </c>
      <c r="L1369" s="2"/>
      <c r="M1369" s="2" t="str">
        <f ca="1">IFERROR(__xludf.DUMMYFUNCTION("""COMPUTED_VALUE"""),"Tinto")</f>
        <v>Tinto</v>
      </c>
    </row>
    <row r="1370" spans="1:13" x14ac:dyDescent="0.25">
      <c r="A1370" s="2" t="str">
        <f ca="1">IFERROR(__xludf.DUMMYFUNCTION("""COMPUTED_VALUE"""),"e63f7130")</f>
        <v>e63f7130</v>
      </c>
      <c r="B1370" s="2"/>
      <c r="C1370" s="5">
        <f ca="1">IFERROR(__xludf.DUMMYFUNCTION("""COMPUTED_VALUE"""),46074.4994907407)</f>
        <v>46074.499490740702</v>
      </c>
      <c r="D1370" s="2">
        <f ca="1">IFERROR(__xludf.DUMMYFUNCTION("""COMPUTED_VALUE"""),8)</f>
        <v>8</v>
      </c>
      <c r="E1370" s="2">
        <f ca="1">IFERROR(__xludf.DUMMYFUNCTION("""COMPUTED_VALUE"""),22000)</f>
        <v>22000</v>
      </c>
      <c r="F1370" s="2" t="str">
        <f ca="1">IFERROR(__xludf.DUMMYFUNCTION("""COMPUTED_VALUE"""),"Chardonnay Ch Most Rect")</f>
        <v>Chardonnay Ch Most Rect</v>
      </c>
      <c r="G1370" s="2">
        <f ca="1">IFERROR(__xludf.DUMMYFUNCTION("""COMPUTED_VALUE"""),3000)</f>
        <v>3000</v>
      </c>
      <c r="H1370" s="2">
        <f ca="1">IFERROR(__xludf.DUMMYFUNCTION("""COMPUTED_VALUE"""),0)</f>
        <v>0</v>
      </c>
      <c r="I1370" s="2"/>
      <c r="J1370" s="2"/>
      <c r="K1370" s="2" t="str">
        <f ca="1">IFERROR(__xludf.DUMMYFUNCTION("""COMPUTED_VALUE"""),"Rectificado")</f>
        <v>Rectificado</v>
      </c>
      <c r="L1370" s="2"/>
      <c r="M1370" s="2"/>
    </row>
    <row r="1371" spans="1:13" x14ac:dyDescent="0.25">
      <c r="A1371" s="2" t="str">
        <f ca="1">IFERROR(__xludf.DUMMYFUNCTION("""COMPUTED_VALUE"""),"bb65fd1b")</f>
        <v>bb65fd1b</v>
      </c>
      <c r="B1371" s="2"/>
      <c r="C1371" s="5">
        <f ca="1">IFERROR(__xludf.DUMMYFUNCTION("""COMPUTED_VALUE"""),46074.5005439814)</f>
        <v>46074.500543981398</v>
      </c>
      <c r="D1371" s="2">
        <f ca="1">IFERROR(__xludf.DUMMYFUNCTION("""COMPUTED_VALUE"""),77)</f>
        <v>77</v>
      </c>
      <c r="E1371" s="2">
        <f ca="1">IFERROR(__xludf.DUMMYFUNCTION("""COMPUTED_VALUE"""),26000)</f>
        <v>26000</v>
      </c>
      <c r="F1371" s="2" t="str">
        <f ca="1">IFERROR(__xludf.DUMMYFUNCTION("""COMPUTED_VALUE"""),"Chardonnay")</f>
        <v>Chardonnay</v>
      </c>
      <c r="G1371" s="2">
        <f ca="1">IFERROR(__xludf.DUMMYFUNCTION("""COMPUTED_VALUE"""),25300)</f>
        <v>25300</v>
      </c>
      <c r="H1371" s="2">
        <f ca="1">IFERROR(__xludf.DUMMYFUNCTION("""COMPUTED_VALUE"""),26000)</f>
        <v>26000</v>
      </c>
      <c r="I1371" s="2"/>
      <c r="J1371" s="2"/>
      <c r="K1371" s="2" t="str">
        <f ca="1">IFERROR(__xludf.DUMMYFUNCTION("""COMPUTED_VALUE"""),"Fermentando")</f>
        <v>Fermentando</v>
      </c>
      <c r="L1371" s="2"/>
      <c r="M1371" s="2" t="str">
        <f ca="1">IFERROR(__xludf.DUMMYFUNCTION("""COMPUTED_VALUE"""),"Blanco")</f>
        <v>Blanco</v>
      </c>
    </row>
    <row r="1372" spans="1:13" x14ac:dyDescent="0.25">
      <c r="A1372" s="2" t="str">
        <f ca="1">IFERROR(__xludf.DUMMYFUNCTION("""COMPUTED_VALUE"""),"1301e66e")</f>
        <v>1301e66e</v>
      </c>
      <c r="B1372" s="2"/>
      <c r="C1372" s="5">
        <f ca="1">IFERROR(__xludf.DUMMYFUNCTION("""COMPUTED_VALUE"""),46074.5007523148)</f>
        <v>46074.500752314802</v>
      </c>
      <c r="D1372" s="2">
        <f ca="1">IFERROR(__xludf.DUMMYFUNCTION("""COMPUTED_VALUE"""),78)</f>
        <v>78</v>
      </c>
      <c r="E1372" s="2">
        <f ca="1">IFERROR(__xludf.DUMMYFUNCTION("""COMPUTED_VALUE"""),25800)</f>
        <v>25800</v>
      </c>
      <c r="F1372" s="2" t="str">
        <f ca="1">IFERROR(__xludf.DUMMYFUNCTION("""COMPUTED_VALUE"""),"Chardonnay")</f>
        <v>Chardonnay</v>
      </c>
      <c r="G1372" s="2">
        <f ca="1">IFERROR(__xludf.DUMMYFUNCTION("""COMPUTED_VALUE"""),24000)</f>
        <v>24000</v>
      </c>
      <c r="H1372" s="2">
        <f ca="1">IFERROR(__xludf.DUMMYFUNCTION("""COMPUTED_VALUE"""),25800)</f>
        <v>25800</v>
      </c>
      <c r="I1372" s="2"/>
      <c r="J1372" s="2"/>
      <c r="K1372" s="2" t="str">
        <f ca="1">IFERROR(__xludf.DUMMYFUNCTION("""COMPUTED_VALUE"""),"Fermentando")</f>
        <v>Fermentando</v>
      </c>
      <c r="L1372" s="2"/>
      <c r="M1372" s="2" t="str">
        <f ca="1">IFERROR(__xludf.DUMMYFUNCTION("""COMPUTED_VALUE"""),"Blanco")</f>
        <v>Blanco</v>
      </c>
    </row>
    <row r="1373" spans="1:13" x14ac:dyDescent="0.25">
      <c r="A1373" s="2" t="str">
        <f ca="1">IFERROR(__xludf.DUMMYFUNCTION("""COMPUTED_VALUE"""),"47145fe4")</f>
        <v>47145fe4</v>
      </c>
      <c r="B1373" s="2"/>
      <c r="C1373" s="5">
        <f ca="1">IFERROR(__xludf.DUMMYFUNCTION("""COMPUTED_VALUE"""),46074.5045601851)</f>
        <v>46074.504560185102</v>
      </c>
      <c r="D1373" s="2">
        <f ca="1">IFERROR(__xludf.DUMMYFUNCTION("""COMPUTED_VALUE"""),44)</f>
        <v>44</v>
      </c>
      <c r="E1373" s="2">
        <f ca="1">IFERROR(__xludf.DUMMYFUNCTION("""COMPUTED_VALUE"""),19100)</f>
        <v>19100</v>
      </c>
      <c r="F1373" s="2" t="str">
        <f ca="1">IFERROR(__xludf.DUMMYFUNCTION("""COMPUTED_VALUE"""),"Cabernet Sauvignon Rect")</f>
        <v>Cabernet Sauvignon Rect</v>
      </c>
      <c r="G1373" s="2">
        <f ca="1">IFERROR(__xludf.DUMMYFUNCTION("""COMPUTED_VALUE"""),13000)</f>
        <v>13000</v>
      </c>
      <c r="H1373" s="2">
        <f ca="1">IFERROR(__xludf.DUMMYFUNCTION("""COMPUTED_VALUE"""),7800)</f>
        <v>7800</v>
      </c>
      <c r="I1373" s="2"/>
      <c r="J1373" s="2"/>
      <c r="K1373" s="2" t="str">
        <f ca="1">IFERROR(__xludf.DUMMYFUNCTION("""COMPUTED_VALUE"""),"Rectificado")</f>
        <v>Rectificado</v>
      </c>
      <c r="L1373" s="2" t="str">
        <f ca="1">IFERROR(__xludf.DUMMYFUNCTION("""COMPUTED_VALUE"""),"2+")</f>
        <v>2+</v>
      </c>
      <c r="M1373" s="2"/>
    </row>
    <row r="1374" spans="1:13" x14ac:dyDescent="0.25">
      <c r="A1374" s="2" t="str">
        <f ca="1">IFERROR(__xludf.DUMMYFUNCTION("""COMPUTED_VALUE"""),"6d677a82")</f>
        <v>6d677a82</v>
      </c>
      <c r="B1374" s="2"/>
      <c r="C1374" s="5">
        <f ca="1">IFERROR(__xludf.DUMMYFUNCTION("""COMPUTED_VALUE"""),46076.4686689814)</f>
        <v>46076.468668981397</v>
      </c>
      <c r="D1374" s="2">
        <f ca="1">IFERROR(__xludf.DUMMYFUNCTION("""COMPUTED_VALUE"""),24)</f>
        <v>24</v>
      </c>
      <c r="E1374" s="2">
        <f ca="1">IFERROR(__xludf.DUMMYFUNCTION("""COMPUTED_VALUE"""),186600)</f>
        <v>186600</v>
      </c>
      <c r="F1374" s="2" t="str">
        <f ca="1">IFERROR(__xludf.DUMMYFUNCTION("""COMPUTED_VALUE"""),"Tinto Varietal A")</f>
        <v>Tinto Varietal A</v>
      </c>
      <c r="G1374" s="2">
        <f ca="1">IFERROR(__xludf.DUMMYFUNCTION("""COMPUTED_VALUE"""),0)</f>
        <v>0</v>
      </c>
      <c r="H1374" s="2">
        <f ca="1">IFERROR(__xludf.DUMMYFUNCTION("""COMPUTED_VALUE"""),13500)</f>
        <v>13500</v>
      </c>
      <c r="I1374" s="2"/>
      <c r="J1374" s="2"/>
      <c r="K1374" s="2" t="str">
        <f ca="1">IFERROR(__xludf.DUMMYFUNCTION("""COMPUTED_VALUE"""),"Filtrado Tang")</f>
        <v>Filtrado Tang</v>
      </c>
      <c r="L1374" s="2" t="str">
        <f ca="1">IFERROR(__xludf.DUMMYFUNCTION("""COMPUTED_VALUE"""),"1-")</f>
        <v>1-</v>
      </c>
      <c r="M1374" s="2"/>
    </row>
    <row r="1375" spans="1:13" x14ac:dyDescent="0.25">
      <c r="A1375" s="2" t="str">
        <f ca="1">IFERROR(__xludf.DUMMYFUNCTION("""COMPUTED_VALUE"""),"36ed0a44")</f>
        <v>36ed0a44</v>
      </c>
      <c r="B1375" s="2"/>
      <c r="C1375" s="5">
        <f ca="1">IFERROR(__xludf.DUMMYFUNCTION("""COMPUTED_VALUE"""),46076.4689236111)</f>
        <v>46076.468923611101</v>
      </c>
      <c r="D1375" s="2">
        <f ca="1">IFERROR(__xludf.DUMMYFUNCTION("""COMPUTED_VALUE"""),24)</f>
        <v>24</v>
      </c>
      <c r="E1375" s="2">
        <f ca="1">IFERROR(__xludf.DUMMYFUNCTION("""COMPUTED_VALUE"""),186600)</f>
        <v>186600</v>
      </c>
      <c r="F1375" s="2" t="str">
        <f ca="1">IFERROR(__xludf.DUMMYFUNCTION("""COMPUTED_VALUE"""),"Tinto Varietal A")</f>
        <v>Tinto Varietal A</v>
      </c>
      <c r="G1375" s="2">
        <f ca="1">IFERROR(__xludf.DUMMYFUNCTION("""COMPUTED_VALUE"""),13500)</f>
        <v>13500</v>
      </c>
      <c r="H1375" s="2">
        <f ca="1">IFERROR(__xludf.DUMMYFUNCTION("""COMPUTED_VALUE"""),53000)</f>
        <v>53000</v>
      </c>
      <c r="I1375" s="2"/>
      <c r="J1375" s="2"/>
      <c r="K1375" s="2" t="str">
        <f ca="1">IFERROR(__xludf.DUMMYFUNCTION("""COMPUTED_VALUE"""),"Filtrado Tang")</f>
        <v>Filtrado Tang</v>
      </c>
      <c r="L1375" s="2" t="str">
        <f ca="1">IFERROR(__xludf.DUMMYFUNCTION("""COMPUTED_VALUE"""),"1-")</f>
        <v>1-</v>
      </c>
      <c r="M1375" s="2"/>
    </row>
    <row r="1376" spans="1:13" x14ac:dyDescent="0.25">
      <c r="A1376" s="2" t="str">
        <f ca="1">IFERROR(__xludf.DUMMYFUNCTION("""COMPUTED_VALUE"""),"e6405ec8")</f>
        <v>e6405ec8</v>
      </c>
      <c r="B1376" s="2"/>
      <c r="C1376" s="5">
        <f ca="1">IFERROR(__xludf.DUMMYFUNCTION("""COMPUTED_VALUE"""),46076.4704629629)</f>
        <v>46076.470462962898</v>
      </c>
      <c r="D1376" s="2">
        <f ca="1">IFERROR(__xludf.DUMMYFUNCTION("""COMPUTED_VALUE"""),24)</f>
        <v>24</v>
      </c>
      <c r="E1376" s="2">
        <f ca="1">IFERROR(__xludf.DUMMYFUNCTION("""COMPUTED_VALUE"""),186600)</f>
        <v>186600</v>
      </c>
      <c r="F1376" s="2" t="str">
        <f ca="1">IFERROR(__xludf.DUMMYFUNCTION("""COMPUTED_VALUE"""),"Tinto Varietal A")</f>
        <v>Tinto Varietal A</v>
      </c>
      <c r="G1376" s="2">
        <f ca="1">IFERROR(__xludf.DUMMYFUNCTION("""COMPUTED_VALUE"""),53000)</f>
        <v>53000</v>
      </c>
      <c r="H1376" s="2">
        <f ca="1">IFERROR(__xludf.DUMMYFUNCTION("""COMPUTED_VALUE"""),131900)</f>
        <v>131900</v>
      </c>
      <c r="I1376" s="2"/>
      <c r="J1376" s="2"/>
      <c r="K1376" s="2" t="str">
        <f ca="1">IFERROR(__xludf.DUMMYFUNCTION("""COMPUTED_VALUE"""),"Filtrado Tang")</f>
        <v>Filtrado Tang</v>
      </c>
      <c r="L1376" s="2" t="str">
        <f ca="1">IFERROR(__xludf.DUMMYFUNCTION("""COMPUTED_VALUE"""),"1-")</f>
        <v>1-</v>
      </c>
      <c r="M1376" s="2"/>
    </row>
    <row r="1377" spans="1:13" x14ac:dyDescent="0.25">
      <c r="A1377" s="2" t="str">
        <f ca="1">IFERROR(__xludf.DUMMYFUNCTION("""COMPUTED_VALUE"""),"d1f6795d")</f>
        <v>d1f6795d</v>
      </c>
      <c r="B1377" s="2"/>
      <c r="C1377" s="5">
        <f ca="1">IFERROR(__xludf.DUMMYFUNCTION("""COMPUTED_VALUE"""),46076.4707986111)</f>
        <v>46076.470798611103</v>
      </c>
      <c r="D1377" s="2">
        <f ca="1">IFERROR(__xludf.DUMMYFUNCTION("""COMPUTED_VALUE"""),24)</f>
        <v>24</v>
      </c>
      <c r="E1377" s="2">
        <f ca="1">IFERROR(__xludf.DUMMYFUNCTION("""COMPUTED_VALUE"""),186600)</f>
        <v>186600</v>
      </c>
      <c r="F1377" s="2" t="str">
        <f ca="1">IFERROR(__xludf.DUMMYFUNCTION("""COMPUTED_VALUE"""),"Tinto Varietal A")</f>
        <v>Tinto Varietal A</v>
      </c>
      <c r="G1377" s="2">
        <f ca="1">IFERROR(__xludf.DUMMYFUNCTION("""COMPUTED_VALUE"""),131900)</f>
        <v>131900</v>
      </c>
      <c r="H1377" s="2">
        <f ca="1">IFERROR(__xludf.DUMMYFUNCTION("""COMPUTED_VALUE"""),168200)</f>
        <v>168200</v>
      </c>
      <c r="I1377" s="2"/>
      <c r="J1377" s="2"/>
      <c r="K1377" s="2" t="str">
        <f ca="1">IFERROR(__xludf.DUMMYFUNCTION("""COMPUTED_VALUE"""),"Filtrado Tang")</f>
        <v>Filtrado Tang</v>
      </c>
      <c r="L1377" s="2" t="str">
        <f ca="1">IFERROR(__xludf.DUMMYFUNCTION("""COMPUTED_VALUE"""),"1-")</f>
        <v>1-</v>
      </c>
      <c r="M1377" s="2"/>
    </row>
    <row r="1378" spans="1:13" x14ac:dyDescent="0.25">
      <c r="A1378" s="2" t="str">
        <f ca="1">IFERROR(__xludf.DUMMYFUNCTION("""COMPUTED_VALUE"""),"797c1148")</f>
        <v>797c1148</v>
      </c>
      <c r="B1378" s="2"/>
      <c r="C1378" s="5">
        <f ca="1">IFERROR(__xludf.DUMMYFUNCTION("""COMPUTED_VALUE"""),46076.4711342592)</f>
        <v>46076.471134259198</v>
      </c>
      <c r="D1378" s="2">
        <f ca="1">IFERROR(__xludf.DUMMYFUNCTION("""COMPUTED_VALUE"""),24)</f>
        <v>24</v>
      </c>
      <c r="E1378" s="2">
        <f ca="1">IFERROR(__xludf.DUMMYFUNCTION("""COMPUTED_VALUE"""),186600)</f>
        <v>186600</v>
      </c>
      <c r="F1378" s="2" t="str">
        <f ca="1">IFERROR(__xludf.DUMMYFUNCTION("""COMPUTED_VALUE"""),"Tinto Varietal A")</f>
        <v>Tinto Varietal A</v>
      </c>
      <c r="G1378" s="2">
        <f ca="1">IFERROR(__xludf.DUMMYFUNCTION("""COMPUTED_VALUE"""),168200)</f>
        <v>168200</v>
      </c>
      <c r="H1378" s="2">
        <f ca="1">IFERROR(__xludf.DUMMYFUNCTION("""COMPUTED_VALUE"""),186600)</f>
        <v>186600</v>
      </c>
      <c r="I1378" s="2" t="str">
        <f ca="1">IFERROR(__xludf.DUMMYFUNCTION("""COMPUTED_VALUE"""),"24/2
Le hizo bien el movimiento. Se siente muy bien.")</f>
        <v>24/2
Le hizo bien el movimiento. Se siente muy bien.</v>
      </c>
      <c r="J1378" s="2"/>
      <c r="K1378" s="2" t="str">
        <f ca="1">IFERROR(__xludf.DUMMYFUNCTION("""COMPUTED_VALUE"""),"Terminado")</f>
        <v>Terminado</v>
      </c>
      <c r="L1378" s="2" t="str">
        <f ca="1">IFERROR(__xludf.DUMMYFUNCTION("""COMPUTED_VALUE"""),"1")</f>
        <v>1</v>
      </c>
      <c r="M1378" s="2" t="str">
        <f ca="1">IFERROR(__xludf.DUMMYFUNCTION("""COMPUTED_VALUE"""),"Tinto")</f>
        <v>Tinto</v>
      </c>
    </row>
    <row r="1379" spans="1:13" x14ac:dyDescent="0.25">
      <c r="A1379" s="2" t="str">
        <f ca="1">IFERROR(__xludf.DUMMYFUNCTION("""COMPUTED_VALUE"""),"5314e50c")</f>
        <v>5314e50c</v>
      </c>
      <c r="B1379" s="2"/>
      <c r="C1379" s="5">
        <f ca="1">IFERROR(__xludf.DUMMYFUNCTION("""COMPUTED_VALUE"""),46076.4888310185)</f>
        <v>46076.488831018498</v>
      </c>
      <c r="D1379" s="2">
        <f ca="1">IFERROR(__xludf.DUMMYFUNCTION("""COMPUTED_VALUE"""),45)</f>
        <v>45</v>
      </c>
      <c r="E1379" s="2">
        <f ca="1">IFERROR(__xludf.DUMMYFUNCTION("""COMPUTED_VALUE"""),30000)</f>
        <v>30000</v>
      </c>
      <c r="F1379" s="2" t="str">
        <f ca="1">IFERROR(__xludf.DUMMYFUNCTION("""COMPUTED_VALUE"""),"Malbec Rect")</f>
        <v>Malbec Rect</v>
      </c>
      <c r="G1379" s="2">
        <f ca="1">IFERROR(__xludf.DUMMYFUNCTION("""COMPUTED_VALUE"""),30000)</f>
        <v>30000</v>
      </c>
      <c r="H1379" s="2">
        <f ca="1">IFERROR(__xludf.DUMMYFUNCTION("""COMPUTED_VALUE"""),23200)</f>
        <v>23200</v>
      </c>
      <c r="I1379" s="2"/>
      <c r="J1379" s="2"/>
      <c r="K1379" s="2" t="str">
        <f ca="1">IFERROR(__xludf.DUMMYFUNCTION("""COMPUTED_VALUE"""),"Rectificado")</f>
        <v>Rectificado</v>
      </c>
      <c r="L1379" s="2" t="str">
        <f ca="1">IFERROR(__xludf.DUMMYFUNCTION("""COMPUTED_VALUE"""),"2+")</f>
        <v>2+</v>
      </c>
      <c r="M1379" s="2"/>
    </row>
    <row r="1380" spans="1:13" x14ac:dyDescent="0.25">
      <c r="A1380" s="2" t="str">
        <f ca="1">IFERROR(__xludf.DUMMYFUNCTION("""COMPUTED_VALUE"""),"b34f5692")</f>
        <v>b34f5692</v>
      </c>
      <c r="B1380" s="2"/>
      <c r="C1380" s="5">
        <f ca="1">IFERROR(__xludf.DUMMYFUNCTION("""COMPUTED_VALUE"""),46076.7418402777)</f>
        <v>46076.741840277697</v>
      </c>
      <c r="D1380" s="2">
        <f ca="1">IFERROR(__xludf.DUMMYFUNCTION("""COMPUTED_VALUE"""),44)</f>
        <v>44</v>
      </c>
      <c r="E1380" s="2">
        <f ca="1">IFERROR(__xludf.DUMMYFUNCTION("""COMPUTED_VALUE"""),19100)</f>
        <v>19100</v>
      </c>
      <c r="F1380" s="2" t="str">
        <f ca="1">IFERROR(__xludf.DUMMYFUNCTION("""COMPUTED_VALUE"""),"Cabernet Sauvignon Rect")</f>
        <v>Cabernet Sauvignon Rect</v>
      </c>
      <c r="G1380" s="2">
        <f ca="1">IFERROR(__xludf.DUMMYFUNCTION("""COMPUTED_VALUE"""),7800)</f>
        <v>7800</v>
      </c>
      <c r="H1380" s="2">
        <f ca="1">IFERROR(__xludf.DUMMYFUNCTION("""COMPUTED_VALUE"""),0)</f>
        <v>0</v>
      </c>
      <c r="I1380" s="2"/>
      <c r="J1380" s="2"/>
      <c r="K1380" s="2" t="str">
        <f ca="1">IFERROR(__xludf.DUMMYFUNCTION("""COMPUTED_VALUE"""),"Rectificado")</f>
        <v>Rectificado</v>
      </c>
      <c r="L1380" s="2" t="str">
        <f ca="1">IFERROR(__xludf.DUMMYFUNCTION("""COMPUTED_VALUE"""),"2+")</f>
        <v>2+</v>
      </c>
      <c r="M1380" s="2"/>
    </row>
    <row r="1381" spans="1:13" x14ac:dyDescent="0.25">
      <c r="A1381" s="2" t="str">
        <f ca="1">IFERROR(__xludf.DUMMYFUNCTION("""COMPUTED_VALUE"""),"564607ff")</f>
        <v>564607ff</v>
      </c>
      <c r="B1381" s="2"/>
      <c r="C1381" s="5">
        <f ca="1">IFERROR(__xludf.DUMMYFUNCTION("""COMPUTED_VALUE"""),46077.7494791666)</f>
        <v>46077.749479166603</v>
      </c>
      <c r="D1381" s="2">
        <f ca="1">IFERROR(__xludf.DUMMYFUNCTION("""COMPUTED_VALUE"""),85)</f>
        <v>85</v>
      </c>
      <c r="E1381" s="2">
        <f ca="1">IFERROR(__xludf.DUMMYFUNCTION("""COMPUTED_VALUE"""),84000)</f>
        <v>84000</v>
      </c>
      <c r="F1381" s="2" t="str">
        <f ca="1">IFERROR(__xludf.DUMMYFUNCTION("""COMPUTED_VALUE"""),"Syrah")</f>
        <v>Syrah</v>
      </c>
      <c r="G1381" s="2"/>
      <c r="H1381" s="2">
        <f ca="1">IFERROR(__xludf.DUMMYFUNCTION("""COMPUTED_VALUE"""),31800)</f>
        <v>31800</v>
      </c>
      <c r="I1381" s="2"/>
      <c r="J1381" s="2" t="str">
        <f ca="1">IFERROR(__xludf.DUMMYFUNCTION("""COMPUTED_VALUE"""),"6239 , 6245 , 6247 , 6249")</f>
        <v>6239 , 6245 , 6247 , 6249</v>
      </c>
      <c r="K1381" s="2" t="str">
        <f ca="1">IFERROR(__xludf.DUMMYFUNCTION("""COMPUTED_VALUE"""),"Fermentando")</f>
        <v>Fermentando</v>
      </c>
      <c r="L1381" s="2"/>
      <c r="M1381" s="2" t="str">
        <f ca="1">IFERROR(__xludf.DUMMYFUNCTION("""COMPUTED_VALUE"""),"Tinto")</f>
        <v>Tinto</v>
      </c>
    </row>
    <row r="1382" spans="1:13" x14ac:dyDescent="0.25">
      <c r="A1382" s="2" t="str">
        <f ca="1">IFERROR(__xludf.DUMMYFUNCTION("""COMPUTED_VALUE"""),"e636c09f")</f>
        <v>e636c09f</v>
      </c>
      <c r="B1382" s="2"/>
      <c r="C1382" s="5">
        <f ca="1">IFERROR(__xludf.DUMMYFUNCTION("""COMPUTED_VALUE"""),46077.7499768518)</f>
        <v>46077.749976851803</v>
      </c>
      <c r="D1382" s="2">
        <f ca="1">IFERROR(__xludf.DUMMYFUNCTION("""COMPUTED_VALUE"""),86)</f>
        <v>86</v>
      </c>
      <c r="E1382" s="2">
        <f ca="1">IFERROR(__xludf.DUMMYFUNCTION("""COMPUTED_VALUE"""),88000)</f>
        <v>88000</v>
      </c>
      <c r="F1382" s="2" t="str">
        <f ca="1">IFERROR(__xludf.DUMMYFUNCTION("""COMPUTED_VALUE"""),"Aspirant Anccelota")</f>
        <v>Aspirant Anccelota</v>
      </c>
      <c r="G1382" s="2"/>
      <c r="H1382" s="2">
        <f ca="1">IFERROR(__xludf.DUMMYFUNCTION("""COMPUTED_VALUE"""),39900)</f>
        <v>39900</v>
      </c>
      <c r="I1382" s="2"/>
      <c r="J1382" s="2" t="str">
        <f ca="1">IFERROR(__xludf.DUMMYFUNCTION("""COMPUTED_VALUE"""),"6240 , 6238 , 6237 , 6236 , 6244 , 6242 , 6252")</f>
        <v>6240 , 6238 , 6237 , 6236 , 6244 , 6242 , 6252</v>
      </c>
      <c r="K1382" s="2" t="str">
        <f ca="1">IFERROR(__xludf.DUMMYFUNCTION("""COMPUTED_VALUE"""),"Fermentando")</f>
        <v>Fermentando</v>
      </c>
      <c r="L1382" s="2"/>
      <c r="M1382" s="2" t="str">
        <f ca="1">IFERROR(__xludf.DUMMYFUNCTION("""COMPUTED_VALUE"""),"Tinto")</f>
        <v>Tinto</v>
      </c>
    </row>
    <row r="1383" spans="1:13" x14ac:dyDescent="0.25">
      <c r="A1383" s="2" t="str">
        <f ca="1">IFERROR(__xludf.DUMMYFUNCTION("""COMPUTED_VALUE"""),"4f1c28ac")</f>
        <v>4f1c28ac</v>
      </c>
      <c r="B1383" s="2"/>
      <c r="C1383" s="5">
        <f ca="1">IFERROR(__xludf.DUMMYFUNCTION("""COMPUTED_VALUE"""),46077.7789004629)</f>
        <v>46077.778900462901</v>
      </c>
      <c r="D1383" s="2">
        <f ca="1">IFERROR(__xludf.DUMMYFUNCTION("""COMPUTED_VALUE"""),83)</f>
        <v>83</v>
      </c>
      <c r="E1383" s="2">
        <f ca="1">IFERROR(__xludf.DUMMYFUNCTION("""COMPUTED_VALUE"""),81500)</f>
        <v>81500</v>
      </c>
      <c r="F1383" s="2" t="str">
        <f ca="1">IFERROR(__xludf.DUMMYFUNCTION("""COMPUTED_VALUE"""),"Aspirant Anccelota PC")</f>
        <v>Aspirant Anccelota PC</v>
      </c>
      <c r="G1383" s="2">
        <f ca="1">IFERROR(__xludf.DUMMYFUNCTION("""COMPUTED_VALUE"""),45400)</f>
        <v>45400</v>
      </c>
      <c r="H1383" s="2">
        <f ca="1">IFERROR(__xludf.DUMMYFUNCTION("""COMPUTED_VALUE"""),51100)</f>
        <v>51100</v>
      </c>
      <c r="I1383" s="2"/>
      <c r="J1383" s="2"/>
      <c r="K1383" s="2" t="str">
        <f ca="1">IFERROR(__xludf.DUMMYFUNCTION("""COMPUTED_VALUE"""),"Fermentando")</f>
        <v>Fermentando</v>
      </c>
      <c r="L1383" s="2"/>
      <c r="M1383" s="2" t="str">
        <f ca="1">IFERROR(__xludf.DUMMYFUNCTION("""COMPUTED_VALUE"""),"Tinto")</f>
        <v>Tinto</v>
      </c>
    </row>
    <row r="1384" spans="1:13" x14ac:dyDescent="0.25">
      <c r="A1384" s="2" t="str">
        <f ca="1">IFERROR(__xludf.DUMMYFUNCTION("""COMPUTED_VALUE"""),"a1800caf")</f>
        <v>a1800caf</v>
      </c>
      <c r="B1384" s="2"/>
      <c r="C1384" s="5">
        <f ca="1">IFERROR(__xludf.DUMMYFUNCTION("""COMPUTED_VALUE"""),46077.7795138888)</f>
        <v>46077.779513888803</v>
      </c>
      <c r="D1384" s="2">
        <f ca="1">IFERROR(__xludf.DUMMYFUNCTION("""COMPUTED_VALUE"""),500)</f>
        <v>500</v>
      </c>
      <c r="E1384" s="2">
        <f ca="1">IFERROR(__xludf.DUMMYFUNCTION("""COMPUTED_VALUE"""),200000)</f>
        <v>200000</v>
      </c>
      <c r="F1384" s="2" t="str">
        <f ca="1">IFERROR(__xludf.DUMMYFUNCTION("""COMPUTED_VALUE"""),"Ajuste semana 13/02/2025")</f>
        <v>Ajuste semana 13/02/2025</v>
      </c>
      <c r="G1384" s="2">
        <f ca="1">IFERROR(__xludf.DUMMYFUNCTION("""COMPUTED_VALUE"""),16001)</f>
        <v>16001</v>
      </c>
      <c r="H1384" s="2">
        <f ca="1">IFERROR(__xludf.DUMMYFUNCTION("""COMPUTED_VALUE"""),19101)</f>
        <v>19101</v>
      </c>
      <c r="I1384" s="2"/>
      <c r="J1384" s="2"/>
      <c r="K1384" s="2" t="str">
        <f ca="1">IFERROR(__xludf.DUMMYFUNCTION("""COMPUTED_VALUE"""),"Terminado")</f>
        <v>Terminado</v>
      </c>
      <c r="L1384" s="2"/>
      <c r="M1384" s="2"/>
    </row>
    <row r="1385" spans="1:13" x14ac:dyDescent="0.25">
      <c r="A1385" s="2" t="str">
        <f ca="1">IFERROR(__xludf.DUMMYFUNCTION("""COMPUTED_VALUE"""),"ff77b926")</f>
        <v>ff77b926</v>
      </c>
      <c r="B1385" s="2"/>
      <c r="C1385" s="5">
        <f ca="1">IFERROR(__xludf.DUMMYFUNCTION("""COMPUTED_VALUE"""),46077.7806134259)</f>
        <v>46077.780613425901</v>
      </c>
      <c r="D1385" s="2">
        <f ca="1">IFERROR(__xludf.DUMMYFUNCTION("""COMPUTED_VALUE"""),500)</f>
        <v>500</v>
      </c>
      <c r="E1385" s="2">
        <f ca="1">IFERROR(__xludf.DUMMYFUNCTION("""COMPUTED_VALUE"""),200000)</f>
        <v>200000</v>
      </c>
      <c r="F1385" s="2" t="str">
        <f ca="1">IFERROR(__xludf.DUMMYFUNCTION("""COMPUTED_VALUE"""),"Ajuste semana 13/02/2025")</f>
        <v>Ajuste semana 13/02/2025</v>
      </c>
      <c r="G1385" s="2">
        <f ca="1">IFERROR(__xludf.DUMMYFUNCTION("""COMPUTED_VALUE"""),19101)</f>
        <v>19101</v>
      </c>
      <c r="H1385" s="2">
        <f ca="1">IFERROR(__xludf.DUMMYFUNCTION("""COMPUTED_VALUE"""),11701)</f>
        <v>11701</v>
      </c>
      <c r="I1385" s="2"/>
      <c r="J1385" s="2"/>
      <c r="K1385" s="2" t="str">
        <f ca="1">IFERROR(__xludf.DUMMYFUNCTION("""COMPUTED_VALUE"""),"Terminado")</f>
        <v>Terminado</v>
      </c>
      <c r="L1385" s="2"/>
      <c r="M1385" s="2"/>
    </row>
    <row r="1386" spans="1:13" x14ac:dyDescent="0.25">
      <c r="A1386" s="2" t="str">
        <f ca="1">IFERROR(__xludf.DUMMYFUNCTION("""COMPUTED_VALUE"""),"63973d1f")</f>
        <v>63973d1f</v>
      </c>
      <c r="B1386" s="2"/>
      <c r="C1386" s="5">
        <f ca="1">IFERROR(__xludf.DUMMYFUNCTION("""COMPUTED_VALUE"""),46077.78125)</f>
        <v>46077.78125</v>
      </c>
      <c r="D1386" s="2">
        <f ca="1">IFERROR(__xludf.DUMMYFUNCTION("""COMPUTED_VALUE"""),500)</f>
        <v>500</v>
      </c>
      <c r="E1386" s="2">
        <f ca="1">IFERROR(__xludf.DUMMYFUNCTION("""COMPUTED_VALUE"""),200000)</f>
        <v>200000</v>
      </c>
      <c r="F1386" s="2" t="str">
        <f ca="1">IFERROR(__xludf.DUMMYFUNCTION("""COMPUTED_VALUE"""),"Ajuste semana 13/02/2025")</f>
        <v>Ajuste semana 13/02/2025</v>
      </c>
      <c r="G1386" s="2">
        <f ca="1">IFERROR(__xludf.DUMMYFUNCTION("""COMPUTED_VALUE"""),11701)</f>
        <v>11701</v>
      </c>
      <c r="H1386" s="2">
        <f ca="1">IFERROR(__xludf.DUMMYFUNCTION("""COMPUTED_VALUE"""),12701)</f>
        <v>12701</v>
      </c>
      <c r="I1386" s="2"/>
      <c r="J1386" s="2"/>
      <c r="K1386" s="2" t="str">
        <f ca="1">IFERROR(__xludf.DUMMYFUNCTION("""COMPUTED_VALUE"""),"Terminado")</f>
        <v>Terminado</v>
      </c>
      <c r="L1386" s="2"/>
      <c r="M1386" s="2"/>
    </row>
    <row r="1387" spans="1:13" x14ac:dyDescent="0.25">
      <c r="A1387" s="2" t="str">
        <f ca="1">IFERROR(__xludf.DUMMYFUNCTION("""COMPUTED_VALUE"""),"c3af7a78")</f>
        <v>c3af7a78</v>
      </c>
      <c r="B1387" s="2"/>
      <c r="C1387" s="5">
        <f ca="1">IFERROR(__xludf.DUMMYFUNCTION("""COMPUTED_VALUE"""),46077.781875)</f>
        <v>46077.781875000001</v>
      </c>
      <c r="D1387" s="2">
        <f ca="1">IFERROR(__xludf.DUMMYFUNCTION("""COMPUTED_VALUE"""),500)</f>
        <v>500</v>
      </c>
      <c r="E1387" s="2">
        <f ca="1">IFERROR(__xludf.DUMMYFUNCTION("""COMPUTED_VALUE"""),200000)</f>
        <v>200000</v>
      </c>
      <c r="F1387" s="2" t="str">
        <f ca="1">IFERROR(__xludf.DUMMYFUNCTION("""COMPUTED_VALUE"""),"Ajuste semana 13/02/2025")</f>
        <v>Ajuste semana 13/02/2025</v>
      </c>
      <c r="G1387" s="2">
        <f ca="1">IFERROR(__xludf.DUMMYFUNCTION("""COMPUTED_VALUE"""),12701)</f>
        <v>12701</v>
      </c>
      <c r="H1387" s="2">
        <f ca="1">IFERROR(__xludf.DUMMYFUNCTION("""COMPUTED_VALUE"""),11701)</f>
        <v>11701</v>
      </c>
      <c r="I1387" s="2"/>
      <c r="J1387" s="2"/>
      <c r="K1387" s="2" t="str">
        <f ca="1">IFERROR(__xludf.DUMMYFUNCTION("""COMPUTED_VALUE"""),"Terminado")</f>
        <v>Terminado</v>
      </c>
      <c r="L1387" s="2"/>
      <c r="M1387" s="2"/>
    </row>
    <row r="1388" spans="1:13" x14ac:dyDescent="0.25">
      <c r="A1388" s="2" t="str">
        <f ca="1">IFERROR(__xludf.DUMMYFUNCTION("""COMPUTED_VALUE"""),"574426dd")</f>
        <v>574426dd</v>
      </c>
      <c r="B1388" s="2"/>
      <c r="C1388" s="5">
        <f ca="1">IFERROR(__xludf.DUMMYFUNCTION("""COMPUTED_VALUE"""),46077.7829282407)</f>
        <v>46077.782928240696</v>
      </c>
      <c r="D1388" s="2">
        <f ca="1">IFERROR(__xludf.DUMMYFUNCTION("""COMPUTED_VALUE"""),500)</f>
        <v>500</v>
      </c>
      <c r="E1388" s="2">
        <f ca="1">IFERROR(__xludf.DUMMYFUNCTION("""COMPUTED_VALUE"""),200000)</f>
        <v>200000</v>
      </c>
      <c r="F1388" s="2" t="str">
        <f ca="1">IFERROR(__xludf.DUMMYFUNCTION("""COMPUTED_VALUE"""),"Ajuste semana 13/02/2025")</f>
        <v>Ajuste semana 13/02/2025</v>
      </c>
      <c r="G1388" s="2">
        <f ca="1">IFERROR(__xludf.DUMMYFUNCTION("""COMPUTED_VALUE"""),11701)</f>
        <v>11701</v>
      </c>
      <c r="H1388" s="2">
        <f ca="1">IFERROR(__xludf.DUMMYFUNCTION("""COMPUTED_VALUE"""),10701)</f>
        <v>10701</v>
      </c>
      <c r="I1388" s="2"/>
      <c r="J1388" s="2"/>
      <c r="K1388" s="2" t="str">
        <f ca="1">IFERROR(__xludf.DUMMYFUNCTION("""COMPUTED_VALUE"""),"Terminado")</f>
        <v>Terminado</v>
      </c>
      <c r="L1388" s="2"/>
      <c r="M1388" s="2"/>
    </row>
    <row r="1389" spans="1:13" x14ac:dyDescent="0.25">
      <c r="A1389" s="2" t="str">
        <f ca="1">IFERROR(__xludf.DUMMYFUNCTION("""COMPUTED_VALUE"""),"d0a5731e")</f>
        <v>d0a5731e</v>
      </c>
      <c r="B1389" s="2"/>
      <c r="C1389" s="5">
        <f ca="1">IFERROR(__xludf.DUMMYFUNCTION("""COMPUTED_VALUE"""),46077.7836342592)</f>
        <v>46077.783634259198</v>
      </c>
      <c r="D1389" s="2">
        <f ca="1">IFERROR(__xludf.DUMMYFUNCTION("""COMPUTED_VALUE"""),500)</f>
        <v>500</v>
      </c>
      <c r="E1389" s="2">
        <f ca="1">IFERROR(__xludf.DUMMYFUNCTION("""COMPUTED_VALUE"""),200000)</f>
        <v>200000</v>
      </c>
      <c r="F1389" s="2" t="str">
        <f ca="1">IFERROR(__xludf.DUMMYFUNCTION("""COMPUTED_VALUE"""),"Ajuste semana 13/02/2025")</f>
        <v>Ajuste semana 13/02/2025</v>
      </c>
      <c r="G1389" s="2">
        <f ca="1">IFERROR(__xludf.DUMMYFUNCTION("""COMPUTED_VALUE"""),10701)</f>
        <v>10701</v>
      </c>
      <c r="H1389" s="2">
        <f ca="1">IFERROR(__xludf.DUMMYFUNCTION("""COMPUTED_VALUE"""),9701)</f>
        <v>9701</v>
      </c>
      <c r="I1389" s="2"/>
      <c r="J1389" s="2"/>
      <c r="K1389" s="2" t="str">
        <f ca="1">IFERROR(__xludf.DUMMYFUNCTION("""COMPUTED_VALUE"""),"Terminado")</f>
        <v>Terminado</v>
      </c>
      <c r="L1389" s="2"/>
      <c r="M1389" s="2"/>
    </row>
    <row r="1390" spans="1:13" x14ac:dyDescent="0.25">
      <c r="A1390" s="2" t="str">
        <f ca="1">IFERROR(__xludf.DUMMYFUNCTION("""COMPUTED_VALUE"""),"6179d31d")</f>
        <v>6179d31d</v>
      </c>
      <c r="B1390" s="2"/>
      <c r="C1390" s="5">
        <f ca="1">IFERROR(__xludf.DUMMYFUNCTION("""COMPUTED_VALUE"""),46077.7847916666)</f>
        <v>46077.7847916666</v>
      </c>
      <c r="D1390" s="2">
        <f ca="1">IFERROR(__xludf.DUMMYFUNCTION("""COMPUTED_VALUE"""),500)</f>
        <v>500</v>
      </c>
      <c r="E1390" s="2">
        <f ca="1">IFERROR(__xludf.DUMMYFUNCTION("""COMPUTED_VALUE"""),200000)</f>
        <v>200000</v>
      </c>
      <c r="F1390" s="2" t="str">
        <f ca="1">IFERROR(__xludf.DUMMYFUNCTION("""COMPUTED_VALUE"""),"Ajuste semana 13/02/2025")</f>
        <v>Ajuste semana 13/02/2025</v>
      </c>
      <c r="G1390" s="2">
        <f ca="1">IFERROR(__xludf.DUMMYFUNCTION("""COMPUTED_VALUE"""),9701)</f>
        <v>9701</v>
      </c>
      <c r="H1390" s="2">
        <f ca="1">IFERROR(__xludf.DUMMYFUNCTION("""COMPUTED_VALUE"""),12901)</f>
        <v>12901</v>
      </c>
      <c r="I1390" s="2"/>
      <c r="J1390" s="2"/>
      <c r="K1390" s="2" t="str">
        <f ca="1">IFERROR(__xludf.DUMMYFUNCTION("""COMPUTED_VALUE"""),"Terminado")</f>
        <v>Terminado</v>
      </c>
      <c r="L1390" s="2"/>
      <c r="M1390" s="2"/>
    </row>
    <row r="1391" spans="1:13" x14ac:dyDescent="0.25">
      <c r="A1391" s="2" t="str">
        <f ca="1">IFERROR(__xludf.DUMMYFUNCTION("""COMPUTED_VALUE"""),"edc34769")</f>
        <v>edc34769</v>
      </c>
      <c r="B1391" s="2"/>
      <c r="C1391" s="5">
        <f ca="1">IFERROR(__xludf.DUMMYFUNCTION("""COMPUTED_VALUE"""),46077.7871759259)</f>
        <v>46077.7871759259</v>
      </c>
      <c r="D1391" s="2">
        <f ca="1">IFERROR(__xludf.DUMMYFUNCTION("""COMPUTED_VALUE"""),25)</f>
        <v>25</v>
      </c>
      <c r="E1391" s="2">
        <f ca="1">IFERROR(__xludf.DUMMYFUNCTION("""COMPUTED_VALUE"""),194300)</f>
        <v>194300</v>
      </c>
      <c r="F1391" s="2" t="str">
        <f ca="1">IFERROR(__xludf.DUMMYFUNCTION("""COMPUTED_VALUE"""),"Tinto Varietal B")</f>
        <v>Tinto Varietal B</v>
      </c>
      <c r="G1391" s="2">
        <f ca="1">IFERROR(__xludf.DUMMYFUNCTION("""COMPUTED_VALUE"""),0)</f>
        <v>0</v>
      </c>
      <c r="H1391" s="2">
        <f ca="1">IFERROR(__xludf.DUMMYFUNCTION("""COMPUTED_VALUE"""),12650)</f>
        <v>12650</v>
      </c>
      <c r="I1391" s="2"/>
      <c r="J1391" s="2"/>
      <c r="K1391" s="2" t="str">
        <f ca="1">IFERROR(__xludf.DUMMYFUNCTION("""COMPUTED_VALUE"""),"Filtrado Tang")</f>
        <v>Filtrado Tang</v>
      </c>
      <c r="L1391" s="2" t="str">
        <f ca="1">IFERROR(__xludf.DUMMYFUNCTION("""COMPUTED_VALUE"""),"1")</f>
        <v>1</v>
      </c>
      <c r="M1391" s="2"/>
    </row>
    <row r="1392" spans="1:13" x14ac:dyDescent="0.25">
      <c r="A1392" s="2" t="str">
        <f ca="1">IFERROR(__xludf.DUMMYFUNCTION("""COMPUTED_VALUE"""),"a777b47f")</f>
        <v>a777b47f</v>
      </c>
      <c r="B1392" s="2"/>
      <c r="C1392" s="5">
        <f ca="1">IFERROR(__xludf.DUMMYFUNCTION("""COMPUTED_VALUE"""),46077.7875347222)</f>
        <v>46077.7875347222</v>
      </c>
      <c r="D1392" s="2">
        <f ca="1">IFERROR(__xludf.DUMMYFUNCTION("""COMPUTED_VALUE"""),26)</f>
        <v>26</v>
      </c>
      <c r="E1392" s="2">
        <f ca="1">IFERROR(__xludf.DUMMYFUNCTION("""COMPUTED_VALUE"""),207600)</f>
        <v>207600</v>
      </c>
      <c r="F1392" s="2" t="str">
        <f ca="1">IFERROR(__xludf.DUMMYFUNCTION("""COMPUTED_VALUE"""),"Tinto Varietal B")</f>
        <v>Tinto Varietal B</v>
      </c>
      <c r="G1392" s="2">
        <f ca="1">IFERROR(__xludf.DUMMYFUNCTION("""COMPUTED_VALUE"""),0)</f>
        <v>0</v>
      </c>
      <c r="H1392" s="2">
        <f ca="1">IFERROR(__xludf.DUMMYFUNCTION("""COMPUTED_VALUE"""),12650)</f>
        <v>12650</v>
      </c>
      <c r="I1392" s="2"/>
      <c r="J1392" s="2"/>
      <c r="K1392" s="2" t="str">
        <f ca="1">IFERROR(__xludf.DUMMYFUNCTION("""COMPUTED_VALUE"""),"Filtrado Tang")</f>
        <v>Filtrado Tang</v>
      </c>
      <c r="L1392" s="2" t="str">
        <f ca="1">IFERROR(__xludf.DUMMYFUNCTION("""COMPUTED_VALUE"""),"1")</f>
        <v>1</v>
      </c>
      <c r="M1392" s="2"/>
    </row>
    <row r="1393" spans="1:13" x14ac:dyDescent="0.25">
      <c r="A1393" s="2" t="str">
        <f ca="1">IFERROR(__xludf.DUMMYFUNCTION("""COMPUTED_VALUE"""),"1c14b6c9")</f>
        <v>1c14b6c9</v>
      </c>
      <c r="B1393" s="2"/>
      <c r="C1393" s="5">
        <f ca="1">IFERROR(__xludf.DUMMYFUNCTION("""COMPUTED_VALUE"""),46077.787824074)</f>
        <v>46077.787824074003</v>
      </c>
      <c r="D1393" s="2">
        <f ca="1">IFERROR(__xludf.DUMMYFUNCTION("""COMPUTED_VALUE"""),25)</f>
        <v>25</v>
      </c>
      <c r="E1393" s="2">
        <f ca="1">IFERROR(__xludf.DUMMYFUNCTION("""COMPUTED_VALUE"""),194300)</f>
        <v>194300</v>
      </c>
      <c r="F1393" s="2" t="str">
        <f ca="1">IFERROR(__xludf.DUMMYFUNCTION("""COMPUTED_VALUE"""),"Tinto Varietal B")</f>
        <v>Tinto Varietal B</v>
      </c>
      <c r="G1393" s="2">
        <f ca="1">IFERROR(__xludf.DUMMYFUNCTION("""COMPUTED_VALUE"""),12650)</f>
        <v>12650</v>
      </c>
      <c r="H1393" s="2">
        <f ca="1">IFERROR(__xludf.DUMMYFUNCTION("""COMPUTED_VALUE"""),32300)</f>
        <v>32300</v>
      </c>
      <c r="I1393" s="2"/>
      <c r="J1393" s="2"/>
      <c r="K1393" s="2" t="str">
        <f ca="1">IFERROR(__xludf.DUMMYFUNCTION("""COMPUTED_VALUE"""),"Filtrado Tang")</f>
        <v>Filtrado Tang</v>
      </c>
      <c r="L1393" s="2" t="str">
        <f ca="1">IFERROR(__xludf.DUMMYFUNCTION("""COMPUTED_VALUE"""),"1")</f>
        <v>1</v>
      </c>
      <c r="M1393" s="2"/>
    </row>
    <row r="1394" spans="1:13" x14ac:dyDescent="0.25">
      <c r="A1394" s="2" t="str">
        <f ca="1">IFERROR(__xludf.DUMMYFUNCTION("""COMPUTED_VALUE"""),"a70d7cfb")</f>
        <v>a70d7cfb</v>
      </c>
      <c r="B1394" s="2"/>
      <c r="C1394" s="5">
        <f ca="1">IFERROR(__xludf.DUMMYFUNCTION("""COMPUTED_VALUE"""),46077.7880092592)</f>
        <v>46077.788009259202</v>
      </c>
      <c r="D1394" s="2">
        <f ca="1">IFERROR(__xludf.DUMMYFUNCTION("""COMPUTED_VALUE"""),26)</f>
        <v>26</v>
      </c>
      <c r="E1394" s="2">
        <f ca="1">IFERROR(__xludf.DUMMYFUNCTION("""COMPUTED_VALUE"""),207600)</f>
        <v>207600</v>
      </c>
      <c r="F1394" s="2" t="str">
        <f ca="1">IFERROR(__xludf.DUMMYFUNCTION("""COMPUTED_VALUE"""),"Tinto Varietal B")</f>
        <v>Tinto Varietal B</v>
      </c>
      <c r="G1394" s="2">
        <f ca="1">IFERROR(__xludf.DUMMYFUNCTION("""COMPUTED_VALUE"""),12650)</f>
        <v>12650</v>
      </c>
      <c r="H1394" s="2">
        <f ca="1">IFERROR(__xludf.DUMMYFUNCTION("""COMPUTED_VALUE"""),32300)</f>
        <v>32300</v>
      </c>
      <c r="I1394" s="2"/>
      <c r="J1394" s="2"/>
      <c r="K1394" s="2" t="str">
        <f ca="1">IFERROR(__xludf.DUMMYFUNCTION("""COMPUTED_VALUE"""),"Filtrado Tang")</f>
        <v>Filtrado Tang</v>
      </c>
      <c r="L1394" s="2" t="str">
        <f ca="1">IFERROR(__xludf.DUMMYFUNCTION("""COMPUTED_VALUE"""),"1")</f>
        <v>1</v>
      </c>
      <c r="M1394" s="2"/>
    </row>
    <row r="1395" spans="1:13" x14ac:dyDescent="0.25">
      <c r="A1395" s="2" t="str">
        <f ca="1">IFERROR(__xludf.DUMMYFUNCTION("""COMPUTED_VALUE"""),"fe027397")</f>
        <v>fe027397</v>
      </c>
      <c r="B1395" s="2"/>
      <c r="C1395" s="5">
        <f ca="1">IFERROR(__xludf.DUMMYFUNCTION("""COMPUTED_VALUE"""),46077.7882407407)</f>
        <v>46077.788240740701</v>
      </c>
      <c r="D1395" s="2">
        <f ca="1">IFERROR(__xludf.DUMMYFUNCTION("""COMPUTED_VALUE"""),25)</f>
        <v>25</v>
      </c>
      <c r="E1395" s="2">
        <f ca="1">IFERROR(__xludf.DUMMYFUNCTION("""COMPUTED_VALUE"""),194300)</f>
        <v>194300</v>
      </c>
      <c r="F1395" s="2" t="str">
        <f ca="1">IFERROR(__xludf.DUMMYFUNCTION("""COMPUTED_VALUE"""),"Tinto Varietal B")</f>
        <v>Tinto Varietal B</v>
      </c>
      <c r="G1395" s="2">
        <f ca="1">IFERROR(__xludf.DUMMYFUNCTION("""COMPUTED_VALUE"""),32300)</f>
        <v>32300</v>
      </c>
      <c r="H1395" s="2">
        <f ca="1">IFERROR(__xludf.DUMMYFUNCTION("""COMPUTED_VALUE"""),34800)</f>
        <v>34800</v>
      </c>
      <c r="I1395" s="2"/>
      <c r="J1395" s="2"/>
      <c r="K1395" s="2" t="str">
        <f ca="1">IFERROR(__xludf.DUMMYFUNCTION("""COMPUTED_VALUE"""),"Filtrado Tang")</f>
        <v>Filtrado Tang</v>
      </c>
      <c r="L1395" s="2" t="str">
        <f ca="1">IFERROR(__xludf.DUMMYFUNCTION("""COMPUTED_VALUE"""),"1")</f>
        <v>1</v>
      </c>
      <c r="M1395" s="2"/>
    </row>
    <row r="1396" spans="1:13" x14ac:dyDescent="0.25">
      <c r="A1396" s="2" t="str">
        <f ca="1">IFERROR(__xludf.DUMMYFUNCTION("""COMPUTED_VALUE"""),"ab2f6072")</f>
        <v>ab2f6072</v>
      </c>
      <c r="B1396" s="2"/>
      <c r="C1396" s="5">
        <f ca="1">IFERROR(__xludf.DUMMYFUNCTION("""COMPUTED_VALUE"""),46077.7883796296)</f>
        <v>46077.788379629601</v>
      </c>
      <c r="D1396" s="2">
        <f ca="1">IFERROR(__xludf.DUMMYFUNCTION("""COMPUTED_VALUE"""),26)</f>
        <v>26</v>
      </c>
      <c r="E1396" s="2">
        <f ca="1">IFERROR(__xludf.DUMMYFUNCTION("""COMPUTED_VALUE"""),207600)</f>
        <v>207600</v>
      </c>
      <c r="F1396" s="2" t="str">
        <f ca="1">IFERROR(__xludf.DUMMYFUNCTION("""COMPUTED_VALUE"""),"Tinto Varietal B")</f>
        <v>Tinto Varietal B</v>
      </c>
      <c r="G1396" s="2">
        <f ca="1">IFERROR(__xludf.DUMMYFUNCTION("""COMPUTED_VALUE"""),32300)</f>
        <v>32300</v>
      </c>
      <c r="H1396" s="2">
        <f ca="1">IFERROR(__xludf.DUMMYFUNCTION("""COMPUTED_VALUE"""),34900)</f>
        <v>34900</v>
      </c>
      <c r="I1396" s="2"/>
      <c r="J1396" s="2"/>
      <c r="K1396" s="2" t="str">
        <f ca="1">IFERROR(__xludf.DUMMYFUNCTION("""COMPUTED_VALUE"""),"Filtrado Tang")</f>
        <v>Filtrado Tang</v>
      </c>
      <c r="L1396" s="2" t="str">
        <f ca="1">IFERROR(__xludf.DUMMYFUNCTION("""COMPUTED_VALUE"""),"1")</f>
        <v>1</v>
      </c>
      <c r="M1396" s="2"/>
    </row>
    <row r="1397" spans="1:13" x14ac:dyDescent="0.25">
      <c r="A1397" s="2" t="str">
        <f ca="1">IFERROR(__xludf.DUMMYFUNCTION("""COMPUTED_VALUE"""),"c842d562")</f>
        <v>c842d562</v>
      </c>
      <c r="B1397" s="2"/>
      <c r="C1397" s="5">
        <f ca="1">IFERROR(__xludf.DUMMYFUNCTION("""COMPUTED_VALUE"""),46077.7886921296)</f>
        <v>46077.788692129601</v>
      </c>
      <c r="D1397" s="2">
        <f ca="1">IFERROR(__xludf.DUMMYFUNCTION("""COMPUTED_VALUE"""),25)</f>
        <v>25</v>
      </c>
      <c r="E1397" s="2">
        <f ca="1">IFERROR(__xludf.DUMMYFUNCTION("""COMPUTED_VALUE"""),194300)</f>
        <v>194300</v>
      </c>
      <c r="F1397" s="2" t="str">
        <f ca="1">IFERROR(__xludf.DUMMYFUNCTION("""COMPUTED_VALUE"""),"Tinto Varietal B")</f>
        <v>Tinto Varietal B</v>
      </c>
      <c r="G1397" s="2">
        <f ca="1">IFERROR(__xludf.DUMMYFUNCTION("""COMPUTED_VALUE"""),34800)</f>
        <v>34800</v>
      </c>
      <c r="H1397" s="2">
        <f ca="1">IFERROR(__xludf.DUMMYFUNCTION("""COMPUTED_VALUE"""),36750)</f>
        <v>36750</v>
      </c>
      <c r="I1397" s="2"/>
      <c r="J1397" s="2"/>
      <c r="K1397" s="2" t="str">
        <f ca="1">IFERROR(__xludf.DUMMYFUNCTION("""COMPUTED_VALUE"""),"Filtrado Tang")</f>
        <v>Filtrado Tang</v>
      </c>
      <c r="L1397" s="2" t="str">
        <f ca="1">IFERROR(__xludf.DUMMYFUNCTION("""COMPUTED_VALUE"""),"1")</f>
        <v>1</v>
      </c>
      <c r="M1397" s="2"/>
    </row>
    <row r="1398" spans="1:13" x14ac:dyDescent="0.25">
      <c r="A1398" s="2" t="str">
        <f ca="1">IFERROR(__xludf.DUMMYFUNCTION("""COMPUTED_VALUE"""),"3310e6c9")</f>
        <v>3310e6c9</v>
      </c>
      <c r="B1398" s="2"/>
      <c r="C1398" s="5">
        <f ca="1">IFERROR(__xludf.DUMMYFUNCTION("""COMPUTED_VALUE"""),46077.7888657407)</f>
        <v>46077.788865740702</v>
      </c>
      <c r="D1398" s="2">
        <f ca="1">IFERROR(__xludf.DUMMYFUNCTION("""COMPUTED_VALUE"""),26)</f>
        <v>26</v>
      </c>
      <c r="E1398" s="2">
        <f ca="1">IFERROR(__xludf.DUMMYFUNCTION("""COMPUTED_VALUE"""),207600)</f>
        <v>207600</v>
      </c>
      <c r="F1398" s="2" t="str">
        <f ca="1">IFERROR(__xludf.DUMMYFUNCTION("""COMPUTED_VALUE"""),"Tinto Varietal B")</f>
        <v>Tinto Varietal B</v>
      </c>
      <c r="G1398" s="2">
        <f ca="1">IFERROR(__xludf.DUMMYFUNCTION("""COMPUTED_VALUE"""),34900)</f>
        <v>34900</v>
      </c>
      <c r="H1398" s="2">
        <f ca="1">IFERROR(__xludf.DUMMYFUNCTION("""COMPUTED_VALUE"""),36850)</f>
        <v>36850</v>
      </c>
      <c r="I1398" s="2"/>
      <c r="J1398" s="2"/>
      <c r="K1398" s="2" t="str">
        <f ca="1">IFERROR(__xludf.DUMMYFUNCTION("""COMPUTED_VALUE"""),"Filtrado Tang")</f>
        <v>Filtrado Tang</v>
      </c>
      <c r="L1398" s="2" t="str">
        <f ca="1">IFERROR(__xludf.DUMMYFUNCTION("""COMPUTED_VALUE"""),"1")</f>
        <v>1</v>
      </c>
      <c r="M1398" s="2"/>
    </row>
    <row r="1399" spans="1:13" x14ac:dyDescent="0.25">
      <c r="A1399" s="2" t="str">
        <f ca="1">IFERROR(__xludf.DUMMYFUNCTION("""COMPUTED_VALUE"""),"942e38dd")</f>
        <v>942e38dd</v>
      </c>
      <c r="B1399" s="2"/>
      <c r="C1399" s="5">
        <f ca="1">IFERROR(__xludf.DUMMYFUNCTION("""COMPUTED_VALUE"""),46077.789224537)</f>
        <v>46077.789224537002</v>
      </c>
      <c r="D1399" s="2">
        <f ca="1">IFERROR(__xludf.DUMMYFUNCTION("""COMPUTED_VALUE"""),25)</f>
        <v>25</v>
      </c>
      <c r="E1399" s="2">
        <f ca="1">IFERROR(__xludf.DUMMYFUNCTION("""COMPUTED_VALUE"""),194300)</f>
        <v>194300</v>
      </c>
      <c r="F1399" s="2" t="str">
        <f ca="1">IFERROR(__xludf.DUMMYFUNCTION("""COMPUTED_VALUE"""),"Tinto Varietal B")</f>
        <v>Tinto Varietal B</v>
      </c>
      <c r="G1399" s="2">
        <f ca="1">IFERROR(__xludf.DUMMYFUNCTION("""COMPUTED_VALUE"""),36750)</f>
        <v>36750</v>
      </c>
      <c r="H1399" s="2">
        <f ca="1">IFERROR(__xludf.DUMMYFUNCTION("""COMPUTED_VALUE"""),43450)</f>
        <v>43450</v>
      </c>
      <c r="I1399" s="2"/>
      <c r="J1399" s="2"/>
      <c r="K1399" s="2" t="str">
        <f ca="1">IFERROR(__xludf.DUMMYFUNCTION("""COMPUTED_VALUE"""),"Filtrado Tang")</f>
        <v>Filtrado Tang</v>
      </c>
      <c r="L1399" s="2" t="str">
        <f ca="1">IFERROR(__xludf.DUMMYFUNCTION("""COMPUTED_VALUE"""),"1")</f>
        <v>1</v>
      </c>
      <c r="M1399" s="2"/>
    </row>
    <row r="1400" spans="1:13" x14ac:dyDescent="0.25">
      <c r="A1400" s="2" t="str">
        <f ca="1">IFERROR(__xludf.DUMMYFUNCTION("""COMPUTED_VALUE"""),"6f46463d")</f>
        <v>6f46463d</v>
      </c>
      <c r="B1400" s="2"/>
      <c r="C1400" s="5">
        <f ca="1">IFERROR(__xludf.DUMMYFUNCTION("""COMPUTED_VALUE"""),46077.7893634259)</f>
        <v>46077.789363425902</v>
      </c>
      <c r="D1400" s="2">
        <f ca="1">IFERROR(__xludf.DUMMYFUNCTION("""COMPUTED_VALUE"""),26)</f>
        <v>26</v>
      </c>
      <c r="E1400" s="2">
        <f ca="1">IFERROR(__xludf.DUMMYFUNCTION("""COMPUTED_VALUE"""),207600)</f>
        <v>207600</v>
      </c>
      <c r="F1400" s="2" t="str">
        <f ca="1">IFERROR(__xludf.DUMMYFUNCTION("""COMPUTED_VALUE"""),"Tinto Varietal B")</f>
        <v>Tinto Varietal B</v>
      </c>
      <c r="G1400" s="2">
        <f ca="1">IFERROR(__xludf.DUMMYFUNCTION("""COMPUTED_VALUE"""),36850)</f>
        <v>36850</v>
      </c>
      <c r="H1400" s="2">
        <f ca="1">IFERROR(__xludf.DUMMYFUNCTION("""COMPUTED_VALUE"""),43650)</f>
        <v>43650</v>
      </c>
      <c r="I1400" s="2"/>
      <c r="J1400" s="2"/>
      <c r="K1400" s="2" t="str">
        <f ca="1">IFERROR(__xludf.DUMMYFUNCTION("""COMPUTED_VALUE"""),"Filtrado Tang")</f>
        <v>Filtrado Tang</v>
      </c>
      <c r="L1400" s="2" t="str">
        <f ca="1">IFERROR(__xludf.DUMMYFUNCTION("""COMPUTED_VALUE"""),"1")</f>
        <v>1</v>
      </c>
      <c r="M1400" s="2"/>
    </row>
    <row r="1401" spans="1:13" x14ac:dyDescent="0.25">
      <c r="A1401" s="2" t="str">
        <f ca="1">IFERROR(__xludf.DUMMYFUNCTION("""COMPUTED_VALUE"""),"f41fab4c")</f>
        <v>f41fab4c</v>
      </c>
      <c r="B1401" s="2"/>
      <c r="C1401" s="5">
        <f ca="1">IFERROR(__xludf.DUMMYFUNCTION("""COMPUTED_VALUE"""),46077.7897916666)</f>
        <v>46077.789791666597</v>
      </c>
      <c r="D1401" s="2">
        <f ca="1">IFERROR(__xludf.DUMMYFUNCTION("""COMPUTED_VALUE"""),25)</f>
        <v>25</v>
      </c>
      <c r="E1401" s="2">
        <f ca="1">IFERROR(__xludf.DUMMYFUNCTION("""COMPUTED_VALUE"""),194300)</f>
        <v>194300</v>
      </c>
      <c r="F1401" s="2" t="str">
        <f ca="1">IFERROR(__xludf.DUMMYFUNCTION("""COMPUTED_VALUE"""),"Tinto Varietal B")</f>
        <v>Tinto Varietal B</v>
      </c>
      <c r="G1401" s="2">
        <f ca="1">IFERROR(__xludf.DUMMYFUNCTION("""COMPUTED_VALUE"""),43450)</f>
        <v>43450</v>
      </c>
      <c r="H1401" s="2">
        <f ca="1">IFERROR(__xludf.DUMMYFUNCTION("""COMPUTED_VALUE"""),48450)</f>
        <v>48450</v>
      </c>
      <c r="I1401" s="2"/>
      <c r="J1401" s="2"/>
      <c r="K1401" s="2" t="str">
        <f ca="1">IFERROR(__xludf.DUMMYFUNCTION("""COMPUTED_VALUE"""),"Filtrado Tang")</f>
        <v>Filtrado Tang</v>
      </c>
      <c r="L1401" s="2" t="str">
        <f ca="1">IFERROR(__xludf.DUMMYFUNCTION("""COMPUTED_VALUE"""),"1")</f>
        <v>1</v>
      </c>
      <c r="M1401" s="2"/>
    </row>
    <row r="1402" spans="1:13" x14ac:dyDescent="0.25">
      <c r="A1402" s="2" t="str">
        <f ca="1">IFERROR(__xludf.DUMMYFUNCTION("""COMPUTED_VALUE"""),"347d083c")</f>
        <v>347d083c</v>
      </c>
      <c r="B1402" s="2"/>
      <c r="C1402" s="5">
        <f ca="1">IFERROR(__xludf.DUMMYFUNCTION("""COMPUTED_VALUE"""),46077.7899652777)</f>
        <v>46077.789965277698</v>
      </c>
      <c r="D1402" s="2">
        <f ca="1">IFERROR(__xludf.DUMMYFUNCTION("""COMPUTED_VALUE"""),26)</f>
        <v>26</v>
      </c>
      <c r="E1402" s="2">
        <f ca="1">IFERROR(__xludf.DUMMYFUNCTION("""COMPUTED_VALUE"""),207600)</f>
        <v>207600</v>
      </c>
      <c r="F1402" s="2" t="str">
        <f ca="1">IFERROR(__xludf.DUMMYFUNCTION("""COMPUTED_VALUE"""),"Tinto Varietal B")</f>
        <v>Tinto Varietal B</v>
      </c>
      <c r="G1402" s="2">
        <f ca="1">IFERROR(__xludf.DUMMYFUNCTION("""COMPUTED_VALUE"""),43650)</f>
        <v>43650</v>
      </c>
      <c r="H1402" s="2">
        <f ca="1">IFERROR(__xludf.DUMMYFUNCTION("""COMPUTED_VALUE"""),48650)</f>
        <v>48650</v>
      </c>
      <c r="I1402" s="2"/>
      <c r="J1402" s="2"/>
      <c r="K1402" s="2" t="str">
        <f ca="1">IFERROR(__xludf.DUMMYFUNCTION("""COMPUTED_VALUE"""),"Filtrado Tang")</f>
        <v>Filtrado Tang</v>
      </c>
      <c r="L1402" s="2" t="str">
        <f ca="1">IFERROR(__xludf.DUMMYFUNCTION("""COMPUTED_VALUE"""),"1")</f>
        <v>1</v>
      </c>
      <c r="M1402" s="2"/>
    </row>
    <row r="1403" spans="1:13" x14ac:dyDescent="0.25">
      <c r="A1403" s="2" t="str">
        <f ca="1">IFERROR(__xludf.DUMMYFUNCTION("""COMPUTED_VALUE"""),"b26b9e00")</f>
        <v>b26b9e00</v>
      </c>
      <c r="B1403" s="2"/>
      <c r="C1403" s="5">
        <f ca="1">IFERROR(__xludf.DUMMYFUNCTION("""COMPUTED_VALUE"""),46077.7904629629)</f>
        <v>46077.790462962897</v>
      </c>
      <c r="D1403" s="2">
        <f ca="1">IFERROR(__xludf.DUMMYFUNCTION("""COMPUTED_VALUE"""),25)</f>
        <v>25</v>
      </c>
      <c r="E1403" s="2">
        <f ca="1">IFERROR(__xludf.DUMMYFUNCTION("""COMPUTED_VALUE"""),194300)</f>
        <v>194300</v>
      </c>
      <c r="F1403" s="2" t="str">
        <f ca="1">IFERROR(__xludf.DUMMYFUNCTION("""COMPUTED_VALUE"""),"Tinto Varietal B")</f>
        <v>Tinto Varietal B</v>
      </c>
      <c r="G1403" s="2">
        <f ca="1">IFERROR(__xludf.DUMMYFUNCTION("""COMPUTED_VALUE"""),48450)</f>
        <v>48450</v>
      </c>
      <c r="H1403" s="2">
        <f ca="1">IFERROR(__xludf.DUMMYFUNCTION("""COMPUTED_VALUE"""),97200)</f>
        <v>97200</v>
      </c>
      <c r="I1403" s="2"/>
      <c r="J1403" s="2"/>
      <c r="K1403" s="2" t="str">
        <f ca="1">IFERROR(__xludf.DUMMYFUNCTION("""COMPUTED_VALUE"""),"Filtrado Tang")</f>
        <v>Filtrado Tang</v>
      </c>
      <c r="L1403" s="2" t="str">
        <f ca="1">IFERROR(__xludf.DUMMYFUNCTION("""COMPUTED_VALUE"""),"1")</f>
        <v>1</v>
      </c>
      <c r="M1403" s="2"/>
    </row>
    <row r="1404" spans="1:13" x14ac:dyDescent="0.25">
      <c r="A1404" s="2" t="str">
        <f ca="1">IFERROR(__xludf.DUMMYFUNCTION("""COMPUTED_VALUE"""),"d96391c3")</f>
        <v>d96391c3</v>
      </c>
      <c r="B1404" s="2"/>
      <c r="C1404" s="5">
        <f ca="1">IFERROR(__xludf.DUMMYFUNCTION("""COMPUTED_VALUE"""),46077.7910648148)</f>
        <v>46077.791064814803</v>
      </c>
      <c r="D1404" s="2">
        <f ca="1">IFERROR(__xludf.DUMMYFUNCTION("""COMPUTED_VALUE"""),26)</f>
        <v>26</v>
      </c>
      <c r="E1404" s="2">
        <f ca="1">IFERROR(__xludf.DUMMYFUNCTION("""COMPUTED_VALUE"""),207600)</f>
        <v>207600</v>
      </c>
      <c r="F1404" s="2" t="str">
        <f ca="1">IFERROR(__xludf.DUMMYFUNCTION("""COMPUTED_VALUE"""),"Malbec")</f>
        <v>Malbec</v>
      </c>
      <c r="G1404" s="2">
        <f ca="1">IFERROR(__xludf.DUMMYFUNCTION("""COMPUTED_VALUE"""),48650)</f>
        <v>48650</v>
      </c>
      <c r="H1404" s="2">
        <f ca="1">IFERROR(__xludf.DUMMYFUNCTION("""COMPUTED_VALUE"""),97400)</f>
        <v>97400</v>
      </c>
      <c r="I1404" s="2"/>
      <c r="J1404" s="2"/>
      <c r="K1404" s="2" t="str">
        <f ca="1">IFERROR(__xludf.DUMMYFUNCTION("""COMPUTED_VALUE"""),"Filtrado Tang")</f>
        <v>Filtrado Tang</v>
      </c>
      <c r="L1404" s="2" t="str">
        <f ca="1">IFERROR(__xludf.DUMMYFUNCTION("""COMPUTED_VALUE"""),"1")</f>
        <v>1</v>
      </c>
      <c r="M1404" s="2"/>
    </row>
    <row r="1405" spans="1:13" x14ac:dyDescent="0.25">
      <c r="A1405" s="2" t="str">
        <f ca="1">IFERROR(__xludf.DUMMYFUNCTION("""COMPUTED_VALUE"""),"2737b08b")</f>
        <v>2737b08b</v>
      </c>
      <c r="B1405" s="2"/>
      <c r="C1405" s="5">
        <f ca="1">IFERROR(__xludf.DUMMYFUNCTION("""COMPUTED_VALUE"""),46077.7918981481)</f>
        <v>46077.791898148098</v>
      </c>
      <c r="D1405" s="2">
        <f ca="1">IFERROR(__xludf.DUMMYFUNCTION("""COMPUTED_VALUE"""),25)</f>
        <v>25</v>
      </c>
      <c r="E1405" s="2">
        <f ca="1">IFERROR(__xludf.DUMMYFUNCTION("""COMPUTED_VALUE"""),194300)</f>
        <v>194300</v>
      </c>
      <c r="F1405" s="2" t="str">
        <f ca="1">IFERROR(__xludf.DUMMYFUNCTION("""COMPUTED_VALUE"""),"Tinto Varietal B")</f>
        <v>Tinto Varietal B</v>
      </c>
      <c r="G1405" s="2">
        <f ca="1">IFERROR(__xludf.DUMMYFUNCTION("""COMPUTED_VALUE"""),97200)</f>
        <v>97200</v>
      </c>
      <c r="H1405" s="2">
        <f ca="1">IFERROR(__xludf.DUMMYFUNCTION("""COMPUTED_VALUE"""),147000)</f>
        <v>147000</v>
      </c>
      <c r="I1405" s="2"/>
      <c r="J1405" s="2"/>
      <c r="K1405" s="2" t="str">
        <f ca="1">IFERROR(__xludf.DUMMYFUNCTION("""COMPUTED_VALUE"""),"Filtrado Tang")</f>
        <v>Filtrado Tang</v>
      </c>
      <c r="L1405" s="2" t="str">
        <f ca="1">IFERROR(__xludf.DUMMYFUNCTION("""COMPUTED_VALUE"""),"1")</f>
        <v>1</v>
      </c>
      <c r="M1405" s="2"/>
    </row>
    <row r="1406" spans="1:13" x14ac:dyDescent="0.25">
      <c r="A1406" s="2" t="str">
        <f ca="1">IFERROR(__xludf.DUMMYFUNCTION("""COMPUTED_VALUE"""),"fa437f2d")</f>
        <v>fa437f2d</v>
      </c>
      <c r="B1406" s="2"/>
      <c r="C1406" s="5">
        <f ca="1">IFERROR(__xludf.DUMMYFUNCTION("""COMPUTED_VALUE"""),46077.7924189814)</f>
        <v>46077.7924189814</v>
      </c>
      <c r="D1406" s="2">
        <f ca="1">IFERROR(__xludf.DUMMYFUNCTION("""COMPUTED_VALUE"""),26)</f>
        <v>26</v>
      </c>
      <c r="E1406" s="2">
        <f ca="1">IFERROR(__xludf.DUMMYFUNCTION("""COMPUTED_VALUE"""),207600)</f>
        <v>207600</v>
      </c>
      <c r="F1406" s="2" t="str">
        <f ca="1">IFERROR(__xludf.DUMMYFUNCTION("""COMPUTED_VALUE"""),"Tinto Varietal B")</f>
        <v>Tinto Varietal B</v>
      </c>
      <c r="G1406" s="2">
        <f ca="1">IFERROR(__xludf.DUMMYFUNCTION("""COMPUTED_VALUE"""),97400)</f>
        <v>97400</v>
      </c>
      <c r="H1406" s="2">
        <f ca="1">IFERROR(__xludf.DUMMYFUNCTION("""COMPUTED_VALUE"""),147200)</f>
        <v>147200</v>
      </c>
      <c r="I1406" s="2"/>
      <c r="J1406" s="2"/>
      <c r="K1406" s="2" t="str">
        <f ca="1">IFERROR(__xludf.DUMMYFUNCTION("""COMPUTED_VALUE"""),"Filtrado Tang")</f>
        <v>Filtrado Tang</v>
      </c>
      <c r="L1406" s="2" t="str">
        <f ca="1">IFERROR(__xludf.DUMMYFUNCTION("""COMPUTED_VALUE"""),"1")</f>
        <v>1</v>
      </c>
      <c r="M1406" s="2"/>
    </row>
    <row r="1407" spans="1:13" x14ac:dyDescent="0.25">
      <c r="A1407" s="2" t="str">
        <f ca="1">IFERROR(__xludf.DUMMYFUNCTION("""COMPUTED_VALUE"""),"bdab86ee")</f>
        <v>bdab86ee</v>
      </c>
      <c r="B1407" s="2"/>
      <c r="C1407" s="5">
        <f ca="1">IFERROR(__xludf.DUMMYFUNCTION("""COMPUTED_VALUE"""),46077.7936805555)</f>
        <v>46077.7936805555</v>
      </c>
      <c r="D1407" s="2">
        <f ca="1">IFERROR(__xludf.DUMMYFUNCTION("""COMPUTED_VALUE"""),25)</f>
        <v>25</v>
      </c>
      <c r="E1407" s="2">
        <f ca="1">IFERROR(__xludf.DUMMYFUNCTION("""COMPUTED_VALUE"""),194300)</f>
        <v>194300</v>
      </c>
      <c r="F1407" s="2" t="str">
        <f ca="1">IFERROR(__xludf.DUMMYFUNCTION("""COMPUTED_VALUE"""),"Tinto Varietal B")</f>
        <v>Tinto Varietal B</v>
      </c>
      <c r="G1407" s="2">
        <f ca="1">IFERROR(__xludf.DUMMYFUNCTION("""COMPUTED_VALUE"""),147000)</f>
        <v>147000</v>
      </c>
      <c r="H1407" s="2">
        <f ca="1">IFERROR(__xludf.DUMMYFUNCTION("""COMPUTED_VALUE"""),180700)</f>
        <v>180700</v>
      </c>
      <c r="I1407" s="2"/>
      <c r="J1407" s="2"/>
      <c r="K1407" s="2" t="str">
        <f ca="1">IFERROR(__xludf.DUMMYFUNCTION("""COMPUTED_VALUE"""),"Filtrado Tang")</f>
        <v>Filtrado Tang</v>
      </c>
      <c r="L1407" s="2" t="str">
        <f ca="1">IFERROR(__xludf.DUMMYFUNCTION("""COMPUTED_VALUE"""),"1")</f>
        <v>1</v>
      </c>
      <c r="M1407" s="2"/>
    </row>
    <row r="1408" spans="1:13" x14ac:dyDescent="0.25">
      <c r="A1408" s="2" t="str">
        <f ca="1">IFERROR(__xludf.DUMMYFUNCTION("""COMPUTED_VALUE"""),"daa32bcc")</f>
        <v>daa32bcc</v>
      </c>
      <c r="B1408" s="2"/>
      <c r="C1408" s="5">
        <f ca="1">IFERROR(__xludf.DUMMYFUNCTION("""COMPUTED_VALUE"""),46077.7937847222)</f>
        <v>46077.793784722198</v>
      </c>
      <c r="D1408" s="2">
        <f ca="1">IFERROR(__xludf.DUMMYFUNCTION("""COMPUTED_VALUE"""),26)</f>
        <v>26</v>
      </c>
      <c r="E1408" s="2">
        <f ca="1">IFERROR(__xludf.DUMMYFUNCTION("""COMPUTED_VALUE"""),207600)</f>
        <v>207600</v>
      </c>
      <c r="F1408" s="2" t="str">
        <f ca="1">IFERROR(__xludf.DUMMYFUNCTION("""COMPUTED_VALUE"""),"Tinto Varietal B")</f>
        <v>Tinto Varietal B</v>
      </c>
      <c r="G1408" s="2">
        <f ca="1">IFERROR(__xludf.DUMMYFUNCTION("""COMPUTED_VALUE"""),147200)</f>
        <v>147200</v>
      </c>
      <c r="H1408" s="2">
        <f ca="1">IFERROR(__xludf.DUMMYFUNCTION("""COMPUTED_VALUE"""),180900)</f>
        <v>180900</v>
      </c>
      <c r="I1408" s="2"/>
      <c r="J1408" s="2"/>
      <c r="K1408" s="2" t="str">
        <f ca="1">IFERROR(__xludf.DUMMYFUNCTION("""COMPUTED_VALUE"""),"Filtrado Tang")</f>
        <v>Filtrado Tang</v>
      </c>
      <c r="L1408" s="2" t="str">
        <f ca="1">IFERROR(__xludf.DUMMYFUNCTION("""COMPUTED_VALUE"""),"1")</f>
        <v>1</v>
      </c>
      <c r="M1408" s="2"/>
    </row>
    <row r="1409" spans="1:13" x14ac:dyDescent="0.25">
      <c r="A1409" s="2" t="str">
        <f ca="1">IFERROR(__xludf.DUMMYFUNCTION("""COMPUTED_VALUE"""),"9373e0cf")</f>
        <v>9373e0cf</v>
      </c>
      <c r="B1409" s="2"/>
      <c r="C1409" s="5">
        <f ca="1">IFERROR(__xludf.DUMMYFUNCTION("""COMPUTED_VALUE"""),46077.7951388888)</f>
        <v>46077.795138888803</v>
      </c>
      <c r="D1409" s="2">
        <f ca="1">IFERROR(__xludf.DUMMYFUNCTION("""COMPUTED_VALUE"""),25)</f>
        <v>25</v>
      </c>
      <c r="E1409" s="2">
        <f ca="1">IFERROR(__xludf.DUMMYFUNCTION("""COMPUTED_VALUE"""),194300)</f>
        <v>194300</v>
      </c>
      <c r="F1409" s="2" t="str">
        <f ca="1">IFERROR(__xludf.DUMMYFUNCTION("""COMPUTED_VALUE"""),"Tinto Varietal B")</f>
        <v>Tinto Varietal B</v>
      </c>
      <c r="G1409" s="2">
        <f ca="1">IFERROR(__xludf.DUMMYFUNCTION("""COMPUTED_VALUE"""),180700)</f>
        <v>180700</v>
      </c>
      <c r="H1409" s="2">
        <f ca="1">IFERROR(__xludf.DUMMYFUNCTION("""COMPUTED_VALUE"""),194300)</f>
        <v>194300</v>
      </c>
      <c r="I1409" s="2"/>
      <c r="J1409" s="2"/>
      <c r="K1409" s="2" t="str">
        <f ca="1">IFERROR(__xludf.DUMMYFUNCTION("""COMPUTED_VALUE"""),"Terminado")</f>
        <v>Terminado</v>
      </c>
      <c r="L1409" s="2" t="str">
        <f ca="1">IFERROR(__xludf.DUMMYFUNCTION("""COMPUTED_VALUE"""),"1")</f>
        <v>1</v>
      </c>
      <c r="M1409" s="2" t="str">
        <f ca="1">IFERROR(__xludf.DUMMYFUNCTION("""COMPUTED_VALUE"""),"Tinto")</f>
        <v>Tinto</v>
      </c>
    </row>
    <row r="1410" spans="1:13" x14ac:dyDescent="0.25">
      <c r="A1410" s="2" t="str">
        <f ca="1">IFERROR(__xludf.DUMMYFUNCTION("""COMPUTED_VALUE"""),"d588820c")</f>
        <v>d588820c</v>
      </c>
      <c r="B1410" s="2"/>
      <c r="C1410" s="5">
        <f ca="1">IFERROR(__xludf.DUMMYFUNCTION("""COMPUTED_VALUE"""),46077.7952430555)</f>
        <v>46077.795243055501</v>
      </c>
      <c r="D1410" s="2">
        <f ca="1">IFERROR(__xludf.DUMMYFUNCTION("""COMPUTED_VALUE"""),26)</f>
        <v>26</v>
      </c>
      <c r="E1410" s="2">
        <f ca="1">IFERROR(__xludf.DUMMYFUNCTION("""COMPUTED_VALUE"""),207600)</f>
        <v>207600</v>
      </c>
      <c r="F1410" s="2" t="str">
        <f ca="1">IFERROR(__xludf.DUMMYFUNCTION("""COMPUTED_VALUE"""),"Tinto Varietal B")</f>
        <v>Tinto Varietal B</v>
      </c>
      <c r="G1410" s="2">
        <f ca="1">IFERROR(__xludf.DUMMYFUNCTION("""COMPUTED_VALUE"""),180900)</f>
        <v>180900</v>
      </c>
      <c r="H1410" s="2">
        <f ca="1">IFERROR(__xludf.DUMMYFUNCTION("""COMPUTED_VALUE"""),207600)</f>
        <v>207600</v>
      </c>
      <c r="I1410" s="2"/>
      <c r="J1410" s="2"/>
      <c r="K1410" s="2" t="str">
        <f ca="1">IFERROR(__xludf.DUMMYFUNCTION("""COMPUTED_VALUE"""),"Terminado")</f>
        <v>Terminado</v>
      </c>
      <c r="L1410" s="2" t="str">
        <f ca="1">IFERROR(__xludf.DUMMYFUNCTION("""COMPUTED_VALUE"""),"1")</f>
        <v>1</v>
      </c>
      <c r="M1410" s="2" t="str">
        <f ca="1">IFERROR(__xludf.DUMMYFUNCTION("""COMPUTED_VALUE"""),"Tinto")</f>
        <v>Tinto</v>
      </c>
    </row>
    <row r="1411" spans="1:13" x14ac:dyDescent="0.25">
      <c r="A1411" s="2" t="str">
        <f ca="1">IFERROR(__xludf.DUMMYFUNCTION("""COMPUTED_VALUE"""),"fbdd5288")</f>
        <v>fbdd5288</v>
      </c>
      <c r="B1411" s="2"/>
      <c r="C1411" s="5">
        <f ca="1">IFERROR(__xludf.DUMMYFUNCTION("""COMPUTED_VALUE"""),46078.6882754629)</f>
        <v>46078.688275462897</v>
      </c>
      <c r="D1411" s="2">
        <f ca="1">IFERROR(__xludf.DUMMYFUNCTION("""COMPUTED_VALUE"""),72)</f>
        <v>72</v>
      </c>
      <c r="E1411" s="2">
        <f ca="1">IFERROR(__xludf.DUMMYFUNCTION("""COMPUTED_VALUE"""),13000)</f>
        <v>13000</v>
      </c>
      <c r="F1411" s="2" t="str">
        <f ca="1">IFERROR(__xludf.DUMMYFUNCTION("""COMPUTED_VALUE"""),"Chardonnay Mosto")</f>
        <v>Chardonnay Mosto</v>
      </c>
      <c r="G1411" s="2"/>
      <c r="H1411" s="2">
        <f ca="1">IFERROR(__xludf.DUMMYFUNCTION("""COMPUTED_VALUE"""),14500)</f>
        <v>14500</v>
      </c>
      <c r="I1411" s="2"/>
      <c r="J1411" s="2" t="str">
        <f ca="1">IFERROR(__xludf.DUMMYFUNCTION("""COMPUTED_VALUE"""),"6243 , 6241")</f>
        <v>6243 , 6241</v>
      </c>
      <c r="K1411" s="2" t="str">
        <f ca="1">IFERROR(__xludf.DUMMYFUNCTION("""COMPUTED_VALUE"""),"Mosto")</f>
        <v>Mosto</v>
      </c>
      <c r="L1411" s="2"/>
      <c r="M1411" s="2" t="str">
        <f ca="1">IFERROR(__xludf.DUMMYFUNCTION("""COMPUTED_VALUE"""),"Blanco")</f>
        <v>Blanco</v>
      </c>
    </row>
    <row r="1412" spans="1:13" x14ac:dyDescent="0.25">
      <c r="A1412" s="2" t="str">
        <f ca="1">IFERROR(__xludf.DUMMYFUNCTION("""COMPUTED_VALUE"""),"0103419e")</f>
        <v>0103419e</v>
      </c>
      <c r="B1412" s="2"/>
      <c r="C1412" s="5">
        <f ca="1">IFERROR(__xludf.DUMMYFUNCTION("""COMPUTED_VALUE"""),46078.8669444444)</f>
        <v>46078.866944444402</v>
      </c>
      <c r="D1412" s="2">
        <f ca="1">IFERROR(__xludf.DUMMYFUNCTION("""COMPUTED_VALUE"""),8)</f>
        <v>8</v>
      </c>
      <c r="E1412" s="2">
        <f ca="1">IFERROR(__xludf.DUMMYFUNCTION("""COMPUTED_VALUE"""),22000)</f>
        <v>22000</v>
      </c>
      <c r="F1412" s="2" t="str">
        <f ca="1">IFERROR(__xludf.DUMMYFUNCTION("""COMPUTED_VALUE"""),"Chardonnay Mosto Rect")</f>
        <v>Chardonnay Mosto Rect</v>
      </c>
      <c r="G1412" s="2">
        <f ca="1">IFERROR(__xludf.DUMMYFUNCTION("""COMPUTED_VALUE"""),0)</f>
        <v>0</v>
      </c>
      <c r="H1412" s="2">
        <f ca="1">IFERROR(__xludf.DUMMYFUNCTION("""COMPUTED_VALUE"""),14500)</f>
        <v>14500</v>
      </c>
      <c r="I1412" s="2"/>
      <c r="J1412" s="2"/>
      <c r="K1412" s="2" t="str">
        <f ca="1">IFERROR(__xludf.DUMMYFUNCTION("""COMPUTED_VALUE"""),"Rectificado")</f>
        <v>Rectificado</v>
      </c>
      <c r="L1412" s="2"/>
      <c r="M1412" s="2" t="str">
        <f ca="1">IFERROR(__xludf.DUMMYFUNCTION("""COMPUTED_VALUE"""),"Blanco")</f>
        <v>Blanco</v>
      </c>
    </row>
    <row r="1413" spans="1:13" x14ac:dyDescent="0.25">
      <c r="A1413" s="2" t="str">
        <f ca="1">IFERROR(__xludf.DUMMYFUNCTION("""COMPUTED_VALUE"""),"4df62b7e")</f>
        <v>4df62b7e</v>
      </c>
      <c r="B1413" s="2"/>
      <c r="C1413" s="5">
        <f ca="1">IFERROR(__xludf.DUMMYFUNCTION("""COMPUTED_VALUE"""),46078.8742592592)</f>
        <v>46078.874259259203</v>
      </c>
      <c r="D1413" s="2">
        <f ca="1">IFERROR(__xludf.DUMMYFUNCTION("""COMPUTED_VALUE"""),80)</f>
        <v>80</v>
      </c>
      <c r="E1413" s="2">
        <f ca="1">IFERROR(__xludf.DUMMYFUNCTION("""COMPUTED_VALUE"""),26100)</f>
        <v>26100</v>
      </c>
      <c r="F1413" s="2" t="str">
        <f ca="1">IFERROR(__xludf.DUMMYFUNCTION("""COMPUTED_VALUE"""),"Chardonnay")</f>
        <v>Chardonnay</v>
      </c>
      <c r="G1413" s="2">
        <f ca="1">IFERROR(__xludf.DUMMYFUNCTION("""COMPUTED_VALUE"""),22800)</f>
        <v>22800</v>
      </c>
      <c r="H1413" s="2">
        <f ca="1">IFERROR(__xludf.DUMMYFUNCTION("""COMPUTED_VALUE"""),26100)</f>
        <v>26100</v>
      </c>
      <c r="I1413" s="2"/>
      <c r="J1413" s="2"/>
      <c r="K1413" s="2" t="str">
        <f ca="1">IFERROR(__xludf.DUMMYFUNCTION("""COMPUTED_VALUE"""),"Fermentando")</f>
        <v>Fermentando</v>
      </c>
      <c r="L1413" s="2"/>
      <c r="M1413" s="2" t="str">
        <f ca="1">IFERROR(__xludf.DUMMYFUNCTION("""COMPUTED_VALUE"""),"Blanco")</f>
        <v>Blanco</v>
      </c>
    </row>
    <row r="1414" spans="1:13" x14ac:dyDescent="0.25">
      <c r="A1414" s="2" t="str">
        <f ca="1">IFERROR(__xludf.DUMMYFUNCTION("""COMPUTED_VALUE"""),"a15f1bfe")</f>
        <v>a15f1bfe</v>
      </c>
      <c r="B1414" s="2"/>
      <c r="C1414" s="5">
        <f ca="1">IFERROR(__xludf.DUMMYFUNCTION("""COMPUTED_VALUE"""),46078.8744560185)</f>
        <v>46078.8744560185</v>
      </c>
      <c r="D1414" s="2">
        <f ca="1">IFERROR(__xludf.DUMMYFUNCTION("""COMPUTED_VALUE"""),69)</f>
        <v>69</v>
      </c>
      <c r="E1414" s="2">
        <f ca="1">IFERROR(__xludf.DUMMYFUNCTION("""COMPUTED_VALUE"""),13000)</f>
        <v>13000</v>
      </c>
      <c r="F1414" s="2" t="str">
        <f ca="1">IFERROR(__xludf.DUMMYFUNCTION("""COMPUTED_VALUE"""),"Chardonnay")</f>
        <v>Chardonnay</v>
      </c>
      <c r="G1414" s="2">
        <f ca="1">IFERROR(__xludf.DUMMYFUNCTION("""COMPUTED_VALUE"""),12300)</f>
        <v>12300</v>
      </c>
      <c r="H1414" s="2">
        <f ca="1">IFERROR(__xludf.DUMMYFUNCTION("""COMPUTED_VALUE"""),13000)</f>
        <v>13000</v>
      </c>
      <c r="I1414" s="2"/>
      <c r="J1414" s="2"/>
      <c r="K1414" s="2" t="str">
        <f ca="1">IFERROR(__xludf.DUMMYFUNCTION("""COMPUTED_VALUE"""),"Fermentando")</f>
        <v>Fermentando</v>
      </c>
      <c r="L1414" s="2"/>
      <c r="M1414" s="2" t="str">
        <f ca="1">IFERROR(__xludf.DUMMYFUNCTION("""COMPUTED_VALUE"""),"Blanco")</f>
        <v>Blanco</v>
      </c>
    </row>
    <row r="1415" spans="1:13" x14ac:dyDescent="0.25">
      <c r="A1415" s="2" t="str">
        <f ca="1">IFERROR(__xludf.DUMMYFUNCTION("""COMPUTED_VALUE"""),"8229fc7d")</f>
        <v>8229fc7d</v>
      </c>
      <c r="B1415" s="2"/>
      <c r="C1415" s="5">
        <f ca="1">IFERROR(__xludf.DUMMYFUNCTION("""COMPUTED_VALUE"""),46078.8748263888)</f>
        <v>46078.874826388797</v>
      </c>
      <c r="D1415" s="2">
        <f ca="1">IFERROR(__xludf.DUMMYFUNCTION("""COMPUTED_VALUE"""),70)</f>
        <v>70</v>
      </c>
      <c r="E1415" s="2">
        <f ca="1">IFERROR(__xludf.DUMMYFUNCTION("""COMPUTED_VALUE"""),13000)</f>
        <v>13000</v>
      </c>
      <c r="F1415" s="2" t="str">
        <f ca="1">IFERROR(__xludf.DUMMYFUNCTION("""COMPUTED_VALUE"""),"Chardonnay Ch")</f>
        <v>Chardonnay Ch</v>
      </c>
      <c r="G1415" s="2">
        <f ca="1">IFERROR(__xludf.DUMMYFUNCTION("""COMPUTED_VALUE"""),12500)</f>
        <v>12500</v>
      </c>
      <c r="H1415" s="2">
        <f ca="1">IFERROR(__xludf.DUMMYFUNCTION("""COMPUTED_VALUE"""),13000)</f>
        <v>13000</v>
      </c>
      <c r="I1415" s="2"/>
      <c r="J1415" s="2"/>
      <c r="K1415" s="2" t="str">
        <f ca="1">IFERROR(__xludf.DUMMYFUNCTION("""COMPUTED_VALUE"""),"Fermentando")</f>
        <v>Fermentando</v>
      </c>
      <c r="L1415" s="2"/>
      <c r="M1415" s="2" t="str">
        <f ca="1">IFERROR(__xludf.DUMMYFUNCTION("""COMPUTED_VALUE"""),"Blanco")</f>
        <v>Blanco</v>
      </c>
    </row>
    <row r="1416" spans="1:13" x14ac:dyDescent="0.25">
      <c r="A1416" s="2" t="str">
        <f ca="1">IFERROR(__xludf.DUMMYFUNCTION("""COMPUTED_VALUE"""),"32880d74")</f>
        <v>32880d74</v>
      </c>
      <c r="B1416" s="2"/>
      <c r="C1416" s="5">
        <f ca="1">IFERROR(__xludf.DUMMYFUNCTION("""COMPUTED_VALUE"""),46078.8750694444)</f>
        <v>46078.875069444402</v>
      </c>
      <c r="D1416" s="2">
        <f ca="1">IFERROR(__xludf.DUMMYFUNCTION("""COMPUTED_VALUE"""),65)</f>
        <v>65</v>
      </c>
      <c r="E1416" s="2">
        <f ca="1">IFERROR(__xludf.DUMMYFUNCTION("""COMPUTED_VALUE"""),35500)</f>
        <v>35500</v>
      </c>
      <c r="F1416" s="2" t="str">
        <f ca="1">IFERROR(__xludf.DUMMYFUNCTION("""COMPUTED_VALUE"""),"Chardonnay")</f>
        <v>Chardonnay</v>
      </c>
      <c r="G1416" s="2">
        <f ca="1">IFERROR(__xludf.DUMMYFUNCTION("""COMPUTED_VALUE"""),33800)</f>
        <v>33800</v>
      </c>
      <c r="H1416" s="2">
        <f ca="1">IFERROR(__xludf.DUMMYFUNCTION("""COMPUTED_VALUE"""),35500)</f>
        <v>35500</v>
      </c>
      <c r="I1416" s="2"/>
      <c r="J1416" s="2"/>
      <c r="K1416" s="2" t="str">
        <f ca="1">IFERROR(__xludf.DUMMYFUNCTION("""COMPUTED_VALUE"""),"Fermentando")</f>
        <v>Fermentando</v>
      </c>
      <c r="L1416" s="2"/>
      <c r="M1416" s="2" t="str">
        <f ca="1">IFERROR(__xludf.DUMMYFUNCTION("""COMPUTED_VALUE"""),"Blanco")</f>
        <v>Blanco</v>
      </c>
    </row>
    <row r="1417" spans="1:13" x14ac:dyDescent="0.25">
      <c r="A1417" s="2" t="str">
        <f ca="1">IFERROR(__xludf.DUMMYFUNCTION("""COMPUTED_VALUE"""),"d78107c8")</f>
        <v>d78107c8</v>
      </c>
      <c r="B1417" s="2"/>
      <c r="C1417" s="5">
        <f ca="1">IFERROR(__xludf.DUMMYFUNCTION("""COMPUTED_VALUE"""),46079.679849537)</f>
        <v>46079.679849537002</v>
      </c>
      <c r="D1417" s="2">
        <f ca="1">IFERROR(__xludf.DUMMYFUNCTION("""COMPUTED_VALUE"""),44)</f>
        <v>44</v>
      </c>
      <c r="E1417" s="2">
        <f ca="1">IFERROR(__xludf.DUMMYFUNCTION("""COMPUTED_VALUE"""),19100)</f>
        <v>19100</v>
      </c>
      <c r="F1417" s="2" t="str">
        <f ca="1">IFERROR(__xludf.DUMMYFUNCTION("""COMPUTED_VALUE"""),"Chardonnay")</f>
        <v>Chardonnay</v>
      </c>
      <c r="G1417" s="2">
        <f ca="1">IFERROR(__xludf.DUMMYFUNCTION("""COMPUTED_VALUE"""),0)</f>
        <v>0</v>
      </c>
      <c r="H1417" s="2">
        <f ca="1">IFERROR(__xludf.DUMMYFUNCTION("""COMPUTED_VALUE"""),18300)</f>
        <v>18300</v>
      </c>
      <c r="I1417" s="2"/>
      <c r="J1417" s="2"/>
      <c r="K1417" s="2" t="str">
        <f ca="1">IFERROR(__xludf.DUMMYFUNCTION("""COMPUTED_VALUE"""),"Fermentando")</f>
        <v>Fermentando</v>
      </c>
      <c r="L1417" s="2"/>
      <c r="M1417" s="2" t="str">
        <f ca="1">IFERROR(__xludf.DUMMYFUNCTION("""COMPUTED_VALUE"""),"Blanco")</f>
        <v>Blanco</v>
      </c>
    </row>
    <row r="1418" spans="1:13" x14ac:dyDescent="0.25">
      <c r="A1418" s="2" t="str">
        <f ca="1">IFERROR(__xludf.DUMMYFUNCTION("""COMPUTED_VALUE"""),"f6241d08")</f>
        <v>f6241d08</v>
      </c>
      <c r="B1418" s="2"/>
      <c r="C1418" s="5">
        <f ca="1">IFERROR(__xludf.DUMMYFUNCTION("""COMPUTED_VALUE"""),46079.6801273148)</f>
        <v>46079.680127314801</v>
      </c>
      <c r="D1418" s="2">
        <f ca="1">IFERROR(__xludf.DUMMYFUNCTION("""COMPUTED_VALUE"""),76)</f>
        <v>76</v>
      </c>
      <c r="E1418" s="2">
        <f ca="1">IFERROR(__xludf.DUMMYFUNCTION("""COMPUTED_VALUE"""),25500)</f>
        <v>25500</v>
      </c>
      <c r="F1418" s="2" t="str">
        <f ca="1">IFERROR(__xludf.DUMMYFUNCTION("""COMPUTED_VALUE"""),"Chardonnay")</f>
        <v>Chardonnay</v>
      </c>
      <c r="G1418" s="2"/>
      <c r="H1418" s="2">
        <f ca="1">IFERROR(__xludf.DUMMYFUNCTION("""COMPUTED_VALUE"""),14500)</f>
        <v>14500</v>
      </c>
      <c r="I1418" s="2"/>
      <c r="J1418" s="2" t="str">
        <f ca="1">IFERROR(__xludf.DUMMYFUNCTION("""COMPUTED_VALUE"""),"6246 , 6248")</f>
        <v>6246 , 6248</v>
      </c>
      <c r="K1418" s="2" t="str">
        <f ca="1">IFERROR(__xludf.DUMMYFUNCTION("""COMPUTED_VALUE"""),"Fermentando")</f>
        <v>Fermentando</v>
      </c>
      <c r="L1418" s="2"/>
      <c r="M1418" s="2" t="str">
        <f ca="1">IFERROR(__xludf.DUMMYFUNCTION("""COMPUTED_VALUE"""),"Blanco")</f>
        <v>Blanco</v>
      </c>
    </row>
    <row r="1419" spans="1:13" x14ac:dyDescent="0.25">
      <c r="A1419" s="2" t="str">
        <f ca="1">IFERROR(__xludf.DUMMYFUNCTION("""COMPUTED_VALUE"""),"24592bd2")</f>
        <v>24592bd2</v>
      </c>
      <c r="B1419" s="2"/>
      <c r="C1419" s="5">
        <f ca="1">IFERROR(__xludf.DUMMYFUNCTION("""COMPUTED_VALUE"""),46079.6875925925)</f>
        <v>46079.687592592498</v>
      </c>
      <c r="D1419" s="2">
        <f ca="1">IFERROR(__xludf.DUMMYFUNCTION("""COMPUTED_VALUE"""),76)</f>
        <v>76</v>
      </c>
      <c r="E1419" s="2">
        <f ca="1">IFERROR(__xludf.DUMMYFUNCTION("""COMPUTED_VALUE"""),25500)</f>
        <v>25500</v>
      </c>
      <c r="F1419" s="2" t="str">
        <f ca="1">IFERROR(__xludf.DUMMYFUNCTION("""COMPUTED_VALUE"""),"Chardonnay")</f>
        <v>Chardonnay</v>
      </c>
      <c r="G1419" s="2">
        <f ca="1">IFERROR(__xludf.DUMMYFUNCTION("""COMPUTED_VALUE"""),14500)</f>
        <v>14500</v>
      </c>
      <c r="H1419" s="2">
        <f ca="1">IFERROR(__xludf.DUMMYFUNCTION("""COMPUTED_VALUE"""),17000)</f>
        <v>17000</v>
      </c>
      <c r="I1419" s="2" t="str">
        <f ca="1">IFERROR(__xludf.DUMMYFUNCTION("""COMPUTED_VALUE"""),"17/3
mas ácido, lindo, corregido, controlar")</f>
        <v>17/3
mas ácido, lindo, corregido, controlar</v>
      </c>
      <c r="J1419" s="2"/>
      <c r="K1419" s="2" t="str">
        <f ca="1">IFERROR(__xludf.DUMMYFUNCTION("""COMPUTED_VALUE"""),"Fermentando")</f>
        <v>Fermentando</v>
      </c>
      <c r="L1419" s="2" t="str">
        <f ca="1">IFERROR(__xludf.DUMMYFUNCTION("""COMPUTED_VALUE"""),"1")</f>
        <v>1</v>
      </c>
      <c r="M1419" s="2" t="str">
        <f ca="1">IFERROR(__xludf.DUMMYFUNCTION("""COMPUTED_VALUE"""),"Blanco")</f>
        <v>Blanco</v>
      </c>
    </row>
    <row r="1420" spans="1:13" x14ac:dyDescent="0.25">
      <c r="A1420" s="2" t="str">
        <f ca="1">IFERROR(__xludf.DUMMYFUNCTION("""COMPUTED_VALUE"""),"fb826632")</f>
        <v>fb826632</v>
      </c>
      <c r="B1420" s="2"/>
      <c r="C1420" s="5">
        <f ca="1">IFERROR(__xludf.DUMMYFUNCTION("""COMPUTED_VALUE"""),46079.6880324074)</f>
        <v>46079.688032407401</v>
      </c>
      <c r="D1420" s="2">
        <f ca="1">IFERROR(__xludf.DUMMYFUNCTION("""COMPUTED_VALUE"""),85)</f>
        <v>85</v>
      </c>
      <c r="E1420" s="2">
        <f ca="1">IFERROR(__xludf.DUMMYFUNCTION("""COMPUTED_VALUE"""),84000)</f>
        <v>84000</v>
      </c>
      <c r="F1420" s="2" t="str">
        <f ca="1">IFERROR(__xludf.DUMMYFUNCTION("""COMPUTED_VALUE"""),"Syrah")</f>
        <v>Syrah</v>
      </c>
      <c r="G1420" s="2">
        <f ca="1">IFERROR(__xludf.DUMMYFUNCTION("""COMPUTED_VALUE"""),31800)</f>
        <v>31800</v>
      </c>
      <c r="H1420" s="2">
        <f ca="1">IFERROR(__xludf.DUMMYFUNCTION("""COMPUTED_VALUE"""),56000)</f>
        <v>56000</v>
      </c>
      <c r="I1420" s="2" t="str">
        <f ca="1">IFERROR(__xludf.DUMMYFUNCTION("""COMPUTED_VALUE"""),"Me falta dar destino a esto que esta quedando.")</f>
        <v>Me falta dar destino a esto que esta quedando.</v>
      </c>
      <c r="J1420" s="2" t="str">
        <f ca="1">IFERROR(__xludf.DUMMYFUNCTION("""COMPUTED_VALUE"""),"6250 , 6253")</f>
        <v>6250 , 6253</v>
      </c>
      <c r="K1420" s="2" t="str">
        <f ca="1">IFERROR(__xludf.DUMMYFUNCTION("""COMPUTED_VALUE"""),"Fermentando")</f>
        <v>Fermentando</v>
      </c>
      <c r="L1420" s="2"/>
      <c r="M1420" s="2" t="str">
        <f ca="1">IFERROR(__xludf.DUMMYFUNCTION("""COMPUTED_VALUE"""),"Tinto")</f>
        <v>Tinto</v>
      </c>
    </row>
    <row r="1421" spans="1:13" x14ac:dyDescent="0.25">
      <c r="A1421" s="2" t="str">
        <f ca="1">IFERROR(__xludf.DUMMYFUNCTION("""COMPUTED_VALUE"""),"6251eade")</f>
        <v>6251eade</v>
      </c>
      <c r="B1421" s="2"/>
      <c r="C1421" s="5">
        <f ca="1">IFERROR(__xludf.DUMMYFUNCTION("""COMPUTED_VALUE"""),46079.6897106481)</f>
        <v>46079.689710648097</v>
      </c>
      <c r="D1421" s="2">
        <f ca="1">IFERROR(__xludf.DUMMYFUNCTION("""COMPUTED_VALUE"""),45)</f>
        <v>45</v>
      </c>
      <c r="E1421" s="2">
        <f ca="1">IFERROR(__xludf.DUMMYFUNCTION("""COMPUTED_VALUE"""),30000)</f>
        <v>30000</v>
      </c>
      <c r="F1421" s="2" t="str">
        <f ca="1">IFERROR(__xludf.DUMMYFUNCTION("""COMPUTED_VALUE"""),"Malbec Rect")</f>
        <v>Malbec Rect</v>
      </c>
      <c r="G1421" s="2">
        <f ca="1">IFERROR(__xludf.DUMMYFUNCTION("""COMPUTED_VALUE"""),20000)</f>
        <v>20000</v>
      </c>
      <c r="H1421" s="2">
        <f ca="1">IFERROR(__xludf.DUMMYFUNCTION("""COMPUTED_VALUE"""),13200)</f>
        <v>13200</v>
      </c>
      <c r="I1421" s="2"/>
      <c r="J1421" s="2"/>
      <c r="K1421" s="2" t="str">
        <f ca="1">IFERROR(__xludf.DUMMYFUNCTION("""COMPUTED_VALUE"""),"Rectificado")</f>
        <v>Rectificado</v>
      </c>
      <c r="L1421" s="2" t="str">
        <f ca="1">IFERROR(__xludf.DUMMYFUNCTION("""COMPUTED_VALUE"""),"2+")</f>
        <v>2+</v>
      </c>
      <c r="M1421" s="2" t="str">
        <f ca="1">IFERROR(__xludf.DUMMYFUNCTION("""COMPUTED_VALUE"""),"Tinto")</f>
        <v>Tinto</v>
      </c>
    </row>
    <row r="1422" spans="1:13" x14ac:dyDescent="0.25">
      <c r="A1422" s="2" t="str">
        <f ca="1">IFERROR(__xludf.DUMMYFUNCTION("""COMPUTED_VALUE"""),"b4d0796a")</f>
        <v>b4d0796a</v>
      </c>
      <c r="B1422" s="2"/>
      <c r="C1422" s="5">
        <f ca="1">IFERROR(__xludf.DUMMYFUNCTION("""COMPUTED_VALUE"""),46080.5146759259)</f>
        <v>46080.514675925901</v>
      </c>
      <c r="D1422" s="2">
        <f ca="1">IFERROR(__xludf.DUMMYFUNCTION("""COMPUTED_VALUE"""),44)</f>
        <v>44</v>
      </c>
      <c r="E1422" s="2">
        <f ca="1">IFERROR(__xludf.DUMMYFUNCTION("""COMPUTED_VALUE"""),19100)</f>
        <v>19100</v>
      </c>
      <c r="F1422" s="2" t="str">
        <f ca="1">IFERROR(__xludf.DUMMYFUNCTION("""COMPUTED_VALUE"""),"Chardonnay")</f>
        <v>Chardonnay</v>
      </c>
      <c r="G1422" s="2">
        <f ca="1">IFERROR(__xludf.DUMMYFUNCTION("""COMPUTED_VALUE"""),18300)</f>
        <v>18300</v>
      </c>
      <c r="H1422" s="2">
        <f ca="1">IFERROR(__xludf.DUMMYFUNCTION("""COMPUTED_VALUE"""),19100)</f>
        <v>19100</v>
      </c>
      <c r="I1422" s="2"/>
      <c r="J1422" s="2"/>
      <c r="K1422" s="2" t="str">
        <f ca="1">IFERROR(__xludf.DUMMYFUNCTION("""COMPUTED_VALUE"""),"Descubada")</f>
        <v>Descubada</v>
      </c>
      <c r="L1422" s="2"/>
      <c r="M1422" s="2" t="str">
        <f ca="1">IFERROR(__xludf.DUMMYFUNCTION("""COMPUTED_VALUE"""),"Blanco")</f>
        <v>Blanco</v>
      </c>
    </row>
    <row r="1423" spans="1:13" x14ac:dyDescent="0.25">
      <c r="A1423" s="2" t="str">
        <f ca="1">IFERROR(__xludf.DUMMYFUNCTION("""COMPUTED_VALUE"""),"946c563d")</f>
        <v>946c563d</v>
      </c>
      <c r="B1423" s="2"/>
      <c r="C1423" s="5">
        <f ca="1">IFERROR(__xludf.DUMMYFUNCTION("""COMPUTED_VALUE"""),46080.5149305555)</f>
        <v>46080.514930555502</v>
      </c>
      <c r="D1423" s="2">
        <f ca="1">IFERROR(__xludf.DUMMYFUNCTION("""COMPUTED_VALUE"""),33)</f>
        <v>33</v>
      </c>
      <c r="E1423" s="2">
        <f ca="1">IFERROR(__xludf.DUMMYFUNCTION("""COMPUTED_VALUE"""),25300)</f>
        <v>25300</v>
      </c>
      <c r="F1423" s="2" t="str">
        <f ca="1">IFERROR(__xludf.DUMMYFUNCTION("""COMPUTED_VALUE"""),"Chardonnay")</f>
        <v>Chardonnay</v>
      </c>
      <c r="G1423" s="2">
        <f ca="1">IFERROR(__xludf.DUMMYFUNCTION("""COMPUTED_VALUE"""),0)</f>
        <v>0</v>
      </c>
      <c r="H1423" s="2">
        <f ca="1">IFERROR(__xludf.DUMMYFUNCTION("""COMPUTED_VALUE"""),25200)</f>
        <v>25200</v>
      </c>
      <c r="I1423" s="2"/>
      <c r="J1423" s="2"/>
      <c r="K1423" s="2" t="str">
        <f ca="1">IFERROR(__xludf.DUMMYFUNCTION("""COMPUTED_VALUE"""),"Descubada")</f>
        <v>Descubada</v>
      </c>
      <c r="L1423" s="2"/>
      <c r="M1423" s="2"/>
    </row>
    <row r="1424" spans="1:13" x14ac:dyDescent="0.25">
      <c r="A1424" s="2" t="str">
        <f ca="1">IFERROR(__xludf.DUMMYFUNCTION("""COMPUTED_VALUE"""),"7a77b210")</f>
        <v>7a77b210</v>
      </c>
      <c r="B1424" s="2"/>
      <c r="C1424" s="5">
        <f ca="1">IFERROR(__xludf.DUMMYFUNCTION("""COMPUTED_VALUE"""),46080.5151736111)</f>
        <v>46080.5151736111</v>
      </c>
      <c r="D1424" s="2">
        <f ca="1">IFERROR(__xludf.DUMMYFUNCTION("""COMPUTED_VALUE"""),33)</f>
        <v>33</v>
      </c>
      <c r="E1424" s="2">
        <f ca="1">IFERROR(__xludf.DUMMYFUNCTION("""COMPUTED_VALUE"""),25300)</f>
        <v>25300</v>
      </c>
      <c r="F1424" s="2" t="str">
        <f ca="1">IFERROR(__xludf.DUMMYFUNCTION("""COMPUTED_VALUE"""),"Chardonnay")</f>
        <v>Chardonnay</v>
      </c>
      <c r="G1424" s="2">
        <f ca="1">IFERROR(__xludf.DUMMYFUNCTION("""COMPUTED_VALUE"""),25200)</f>
        <v>25200</v>
      </c>
      <c r="H1424" s="2">
        <f ca="1">IFERROR(__xludf.DUMMYFUNCTION("""COMPUTED_VALUE"""),25300)</f>
        <v>25300</v>
      </c>
      <c r="I1424" s="2" t="str">
        <f ca="1">IFERROR(__xludf.DUMMYFUNCTION("""COMPUTED_VALUE"""),"Se nota el SB")</f>
        <v>Se nota el SB</v>
      </c>
      <c r="J1424" s="2"/>
      <c r="K1424" s="2" t="str">
        <f ca="1">IFERROR(__xludf.DUMMYFUNCTION("""COMPUTED_VALUE"""),"Descubada")</f>
        <v>Descubada</v>
      </c>
      <c r="L1424" s="2" t="str">
        <f ca="1">IFERROR(__xludf.DUMMYFUNCTION("""COMPUTED_VALUE"""),"1+")</f>
        <v>1+</v>
      </c>
      <c r="M1424" s="2" t="str">
        <f ca="1">IFERROR(__xludf.DUMMYFUNCTION("""COMPUTED_VALUE"""),"Blanco")</f>
        <v>Blanco</v>
      </c>
    </row>
    <row r="1425" spans="1:13" x14ac:dyDescent="0.25">
      <c r="A1425" s="2" t="str">
        <f ca="1">IFERROR(__xludf.DUMMYFUNCTION("""COMPUTED_VALUE"""),"547f7e13")</f>
        <v>547f7e13</v>
      </c>
      <c r="B1425" s="2"/>
      <c r="C1425" s="5">
        <f ca="1">IFERROR(__xludf.DUMMYFUNCTION("""COMPUTED_VALUE"""),46080.5161226851)</f>
        <v>46080.516122685098</v>
      </c>
      <c r="D1425" s="2">
        <f ca="1">IFERROR(__xludf.DUMMYFUNCTION("""COMPUTED_VALUE"""),40)</f>
        <v>40</v>
      </c>
      <c r="E1425" s="2">
        <f ca="1">IFERROR(__xludf.DUMMYFUNCTION("""COMPUTED_VALUE"""),24000)</f>
        <v>24000</v>
      </c>
      <c r="F1425" s="2" t="str">
        <f ca="1">IFERROR(__xludf.DUMMYFUNCTION("""COMPUTED_VALUE"""),"Chardonnay")</f>
        <v>Chardonnay</v>
      </c>
      <c r="G1425" s="2">
        <f ca="1">IFERROR(__xludf.DUMMYFUNCTION("""COMPUTED_VALUE"""),0)</f>
        <v>0</v>
      </c>
      <c r="H1425" s="2">
        <f ca="1">IFERROR(__xludf.DUMMYFUNCTION("""COMPUTED_VALUE"""),22000)</f>
        <v>22000</v>
      </c>
      <c r="I1425" s="2"/>
      <c r="J1425" s="2"/>
      <c r="K1425" s="2" t="str">
        <f ca="1">IFERROR(__xludf.DUMMYFUNCTION("""COMPUTED_VALUE"""),"Descubada")</f>
        <v>Descubada</v>
      </c>
      <c r="L1425" s="2"/>
      <c r="M1425" s="2" t="str">
        <f ca="1">IFERROR(__xludf.DUMMYFUNCTION("""COMPUTED_VALUE"""),"Blanco")</f>
        <v>Blanco</v>
      </c>
    </row>
    <row r="1426" spans="1:13" x14ac:dyDescent="0.25">
      <c r="A1426" s="2" t="str">
        <f ca="1">IFERROR(__xludf.DUMMYFUNCTION("""COMPUTED_VALUE"""),"e7e533ed")</f>
        <v>e7e533ed</v>
      </c>
      <c r="B1426" s="2"/>
      <c r="C1426" s="5">
        <f ca="1">IFERROR(__xludf.DUMMYFUNCTION("""COMPUTED_VALUE"""),46080.5164236111)</f>
        <v>46080.516423611101</v>
      </c>
      <c r="D1426" s="2">
        <f ca="1">IFERROR(__xludf.DUMMYFUNCTION("""COMPUTED_VALUE"""),500)</f>
        <v>500</v>
      </c>
      <c r="E1426" s="2">
        <f ca="1">IFERROR(__xludf.DUMMYFUNCTION("""COMPUTED_VALUE"""),200000)</f>
        <v>200000</v>
      </c>
      <c r="F1426" s="2" t="str">
        <f ca="1">IFERROR(__xludf.DUMMYFUNCTION("""COMPUTED_VALUE"""),"Ajuste semana 13/02/2025")</f>
        <v>Ajuste semana 13/02/2025</v>
      </c>
      <c r="G1426" s="2">
        <f ca="1">IFERROR(__xludf.DUMMYFUNCTION("""COMPUTED_VALUE"""),12901)</f>
        <v>12901</v>
      </c>
      <c r="H1426" s="2">
        <f ca="1">IFERROR(__xludf.DUMMYFUNCTION("""COMPUTED_VALUE"""),16601)</f>
        <v>16601</v>
      </c>
      <c r="I1426" s="2"/>
      <c r="J1426" s="2"/>
      <c r="K1426" s="2" t="str">
        <f ca="1">IFERROR(__xludf.DUMMYFUNCTION("""COMPUTED_VALUE"""),"Terminado")</f>
        <v>Terminado</v>
      </c>
      <c r="L1426" s="2"/>
      <c r="M1426" s="2"/>
    </row>
    <row r="1427" spans="1:13" x14ac:dyDescent="0.25">
      <c r="A1427" s="2" t="str">
        <f ca="1">IFERROR(__xludf.DUMMYFUNCTION("""COMPUTED_VALUE"""),"49306261")</f>
        <v>49306261</v>
      </c>
      <c r="B1427" s="2"/>
      <c r="C1427" s="5">
        <f ca="1">IFERROR(__xludf.DUMMYFUNCTION("""COMPUTED_VALUE"""),46080.5166435185)</f>
        <v>46080.516643518502</v>
      </c>
      <c r="D1427" s="2">
        <f ca="1">IFERROR(__xludf.DUMMYFUNCTION("""COMPUTED_VALUE"""),77)</f>
        <v>77</v>
      </c>
      <c r="E1427" s="2">
        <f ca="1">IFERROR(__xludf.DUMMYFUNCTION("""COMPUTED_VALUE"""),26000)</f>
        <v>26000</v>
      </c>
      <c r="F1427" s="2" t="str">
        <f ca="1">IFERROR(__xludf.DUMMYFUNCTION("""COMPUTED_VALUE"""),"Chardonnay")</f>
        <v>Chardonnay</v>
      </c>
      <c r="G1427" s="2"/>
      <c r="H1427" s="2">
        <f ca="1">IFERROR(__xludf.DUMMYFUNCTION("""COMPUTED_VALUE"""),12700)</f>
        <v>12700</v>
      </c>
      <c r="I1427" s="2"/>
      <c r="J1427" s="2" t="str">
        <f ca="1">IFERROR(__xludf.DUMMYFUNCTION("""COMPUTED_VALUE"""),"6251 , 6254")</f>
        <v>6251 , 6254</v>
      </c>
      <c r="K1427" s="2" t="str">
        <f ca="1">IFERROR(__xludf.DUMMYFUNCTION("""COMPUTED_VALUE"""),"Fermentando")</f>
        <v>Fermentando</v>
      </c>
      <c r="L1427" s="2"/>
      <c r="M1427" s="2" t="str">
        <f ca="1">IFERROR(__xludf.DUMMYFUNCTION("""COMPUTED_VALUE"""),"Blanco")</f>
        <v>Blanco</v>
      </c>
    </row>
    <row r="1428" spans="1:13" x14ac:dyDescent="0.25">
      <c r="A1428" s="2" t="str">
        <f ca="1">IFERROR(__xludf.DUMMYFUNCTION("""COMPUTED_VALUE"""),"3d1614e3")</f>
        <v>3d1614e3</v>
      </c>
      <c r="B1428" s="2"/>
      <c r="C1428" s="5">
        <f ca="1">IFERROR(__xludf.DUMMYFUNCTION("""COMPUTED_VALUE"""),46080.5175925925)</f>
        <v>46080.5175925925</v>
      </c>
      <c r="D1428" s="2">
        <f ca="1">IFERROR(__xludf.DUMMYFUNCTION("""COMPUTED_VALUE"""),87)</f>
        <v>87</v>
      </c>
      <c r="E1428" s="2">
        <f ca="1">IFERROR(__xludf.DUMMYFUNCTION("""COMPUTED_VALUE"""),93700)</f>
        <v>93700</v>
      </c>
      <c r="F1428" s="2" t="str">
        <f ca="1">IFERROR(__xludf.DUMMYFUNCTION("""COMPUTED_VALUE"""),"Syrah")</f>
        <v>Syrah</v>
      </c>
      <c r="G1428" s="2"/>
      <c r="H1428" s="2">
        <f ca="1">IFERROR(__xludf.DUMMYFUNCTION("""COMPUTED_VALUE"""),30000)</f>
        <v>30000</v>
      </c>
      <c r="I1428" s="2"/>
      <c r="J1428" s="2" t="str">
        <f ca="1">IFERROR(__xludf.DUMMYFUNCTION("""COMPUTED_VALUE"""),"6255 , 6256 , 6260 , 6261")</f>
        <v>6255 , 6256 , 6260 , 6261</v>
      </c>
      <c r="K1428" s="2" t="str">
        <f ca="1">IFERROR(__xludf.DUMMYFUNCTION("""COMPUTED_VALUE"""),"Fermentando")</f>
        <v>Fermentando</v>
      </c>
      <c r="L1428" s="2"/>
      <c r="M1428" s="2" t="str">
        <f ca="1">IFERROR(__xludf.DUMMYFUNCTION("""COMPUTED_VALUE"""),"Tinto")</f>
        <v>Tinto</v>
      </c>
    </row>
    <row r="1429" spans="1:13" x14ac:dyDescent="0.25">
      <c r="A1429" s="2" t="str">
        <f ca="1">IFERROR(__xludf.DUMMYFUNCTION("""COMPUTED_VALUE"""),"df8c63ee")</f>
        <v>df8c63ee</v>
      </c>
      <c r="B1429" s="2"/>
      <c r="C1429" s="5">
        <f ca="1">IFERROR(__xludf.DUMMYFUNCTION("""COMPUTED_VALUE"""),46080.7791550925)</f>
        <v>46080.779155092503</v>
      </c>
      <c r="D1429" s="2">
        <f ca="1">IFERROR(__xludf.DUMMYFUNCTION("""COMPUTED_VALUE"""),78)</f>
        <v>78</v>
      </c>
      <c r="E1429" s="2">
        <f ca="1">IFERROR(__xludf.DUMMYFUNCTION("""COMPUTED_VALUE"""),25800)</f>
        <v>25800</v>
      </c>
      <c r="F1429" s="2" t="str">
        <f ca="1">IFERROR(__xludf.DUMMYFUNCTION("""COMPUTED_VALUE"""),"Torrontes Viog")</f>
        <v>Torrontes Viog</v>
      </c>
      <c r="G1429" s="2"/>
      <c r="H1429" s="2">
        <f ca="1">IFERROR(__xludf.DUMMYFUNCTION("""COMPUTED_VALUE"""),19000)</f>
        <v>19000</v>
      </c>
      <c r="I1429" s="2"/>
      <c r="J1429" s="2" t="str">
        <f ca="1">IFERROR(__xludf.DUMMYFUNCTION("""COMPUTED_VALUE"""),"6257 , 6258 , 6259")</f>
        <v>6257 , 6258 , 6259</v>
      </c>
      <c r="K1429" s="2" t="str">
        <f ca="1">IFERROR(__xludf.DUMMYFUNCTION("""COMPUTED_VALUE"""),"Mosto")</f>
        <v>Mosto</v>
      </c>
      <c r="L1429" s="2"/>
      <c r="M1429" s="2" t="str">
        <f ca="1">IFERROR(__xludf.DUMMYFUNCTION("""COMPUTED_VALUE"""),"Blanco")</f>
        <v>Blanco</v>
      </c>
    </row>
    <row r="1430" spans="1:13" x14ac:dyDescent="0.25">
      <c r="A1430" s="2" t="str">
        <f ca="1">IFERROR(__xludf.DUMMYFUNCTION("""COMPUTED_VALUE"""),"593fae57")</f>
        <v>593fae57</v>
      </c>
      <c r="B1430" s="2"/>
      <c r="C1430" s="5">
        <f ca="1">IFERROR(__xludf.DUMMYFUNCTION("""COMPUTED_VALUE"""),46083.4978125)</f>
        <v>46083.497812499998</v>
      </c>
      <c r="D1430" s="2">
        <f ca="1">IFERROR(__xludf.DUMMYFUNCTION("""COMPUTED_VALUE"""),30)</f>
        <v>30</v>
      </c>
      <c r="E1430" s="2">
        <f ca="1">IFERROR(__xludf.DUMMYFUNCTION("""COMPUTED_VALUE"""),38800)</f>
        <v>38800</v>
      </c>
      <c r="F1430" s="2" t="str">
        <f ca="1">IFERROR(__xludf.DUMMYFUNCTION("""COMPUTED_VALUE"""),"Chardonnay Ch")</f>
        <v>Chardonnay Ch</v>
      </c>
      <c r="G1430" s="2">
        <f ca="1">IFERROR(__xludf.DUMMYFUNCTION("""COMPUTED_VALUE"""),0)</f>
        <v>0</v>
      </c>
      <c r="H1430" s="2">
        <f ca="1">IFERROR(__xludf.DUMMYFUNCTION("""COMPUTED_VALUE"""),13000)</f>
        <v>13000</v>
      </c>
      <c r="I1430" s="2"/>
      <c r="J1430" s="2"/>
      <c r="K1430" s="2" t="str">
        <f ca="1">IFERROR(__xludf.DUMMYFUNCTION("""COMPUTED_VALUE"""),"Descubada")</f>
        <v>Descubada</v>
      </c>
      <c r="L1430" s="2"/>
      <c r="M1430" s="2"/>
    </row>
    <row r="1431" spans="1:13" x14ac:dyDescent="0.25">
      <c r="A1431" s="2" t="str">
        <f ca="1">IFERROR(__xludf.DUMMYFUNCTION("""COMPUTED_VALUE"""),"a2f33e47")</f>
        <v>a2f33e47</v>
      </c>
      <c r="B1431" s="2"/>
      <c r="C1431" s="5">
        <f ca="1">IFERROR(__xludf.DUMMYFUNCTION("""COMPUTED_VALUE"""),46083.4984259259)</f>
        <v>46083.4984259259</v>
      </c>
      <c r="D1431" s="2">
        <f ca="1">IFERROR(__xludf.DUMMYFUNCTION("""COMPUTED_VALUE"""),30)</f>
        <v>30</v>
      </c>
      <c r="E1431" s="2">
        <f ca="1">IFERROR(__xludf.DUMMYFUNCTION("""COMPUTED_VALUE"""),38800)</f>
        <v>38800</v>
      </c>
      <c r="F1431" s="2" t="str">
        <f ca="1">IFERROR(__xludf.DUMMYFUNCTION("""COMPUTED_VALUE"""),"Chardonnay Ch")</f>
        <v>Chardonnay Ch</v>
      </c>
      <c r="G1431" s="2">
        <f ca="1">IFERROR(__xludf.DUMMYFUNCTION("""COMPUTED_VALUE"""),13000)</f>
        <v>13000</v>
      </c>
      <c r="H1431" s="2">
        <f ca="1">IFERROR(__xludf.DUMMYFUNCTION("""COMPUTED_VALUE"""),26000)</f>
        <v>26000</v>
      </c>
      <c r="I1431" s="2"/>
      <c r="J1431" s="2"/>
      <c r="K1431" s="2" t="str">
        <f ca="1">IFERROR(__xludf.DUMMYFUNCTION("""COMPUTED_VALUE"""),"Descubada")</f>
        <v>Descubada</v>
      </c>
      <c r="L1431" s="2"/>
      <c r="M1431" s="2"/>
    </row>
    <row r="1432" spans="1:13" x14ac:dyDescent="0.25">
      <c r="A1432" s="2" t="str">
        <f ca="1">IFERROR(__xludf.DUMMYFUNCTION("""COMPUTED_VALUE"""),"a2e5db02")</f>
        <v>a2e5db02</v>
      </c>
      <c r="B1432" s="2"/>
      <c r="C1432" s="5">
        <f ca="1">IFERROR(__xludf.DUMMYFUNCTION("""COMPUTED_VALUE"""),46083.8048611111)</f>
        <v>46083.804861111101</v>
      </c>
      <c r="D1432" s="2">
        <f ca="1">IFERROR(__xludf.DUMMYFUNCTION("""COMPUTED_VALUE"""),46)</f>
        <v>46</v>
      </c>
      <c r="E1432" s="2">
        <f ca="1">IFERROR(__xludf.DUMMYFUNCTION("""COMPUTED_VALUE"""),29000)</f>
        <v>29000</v>
      </c>
      <c r="F1432" s="2" t="str">
        <f ca="1">IFERROR(__xludf.DUMMYFUNCTION("""COMPUTED_VALUE"""),"Aspirant")</f>
        <v>Aspirant</v>
      </c>
      <c r="G1432" s="2">
        <f ca="1">IFERROR(__xludf.DUMMYFUNCTION("""COMPUTED_VALUE"""),0)</f>
        <v>0</v>
      </c>
      <c r="H1432" s="2">
        <f ca="1">IFERROR(__xludf.DUMMYFUNCTION("""COMPUTED_VALUE"""),12750)</f>
        <v>12750</v>
      </c>
      <c r="I1432" s="2"/>
      <c r="J1432" s="2"/>
      <c r="K1432" s="2" t="str">
        <f ca="1">IFERROR(__xludf.DUMMYFUNCTION("""COMPUTED_VALUE"""),"Descubada")</f>
        <v>Descubada</v>
      </c>
      <c r="L1432" s="2"/>
      <c r="M1432" s="2" t="str">
        <f ca="1">IFERROR(__xludf.DUMMYFUNCTION("""COMPUTED_VALUE"""),"Tinto")</f>
        <v>Tinto</v>
      </c>
    </row>
    <row r="1433" spans="1:13" x14ac:dyDescent="0.25">
      <c r="A1433" s="2" t="str">
        <f ca="1">IFERROR(__xludf.DUMMYFUNCTION("""COMPUTED_VALUE"""),"bfa7866a")</f>
        <v>bfa7866a</v>
      </c>
      <c r="B1433" s="2"/>
      <c r="C1433" s="5">
        <f ca="1">IFERROR(__xludf.DUMMYFUNCTION("""COMPUTED_VALUE"""),46083.8051273148)</f>
        <v>46083.805127314801</v>
      </c>
      <c r="D1433" s="2">
        <f ca="1">IFERROR(__xludf.DUMMYFUNCTION("""COMPUTED_VALUE"""),46)</f>
        <v>46</v>
      </c>
      <c r="E1433" s="2">
        <f ca="1">IFERROR(__xludf.DUMMYFUNCTION("""COMPUTED_VALUE"""),29000)</f>
        <v>29000</v>
      </c>
      <c r="F1433" s="2" t="str">
        <f ca="1">IFERROR(__xludf.DUMMYFUNCTION("""COMPUTED_VALUE"""),"Aspirant")</f>
        <v>Aspirant</v>
      </c>
      <c r="G1433" s="2">
        <f ca="1">IFERROR(__xludf.DUMMYFUNCTION("""COMPUTED_VALUE"""),12750)</f>
        <v>12750</v>
      </c>
      <c r="H1433" s="2">
        <f ca="1">IFERROR(__xludf.DUMMYFUNCTION("""COMPUTED_VALUE"""),24750)</f>
        <v>24750</v>
      </c>
      <c r="I1433" s="2"/>
      <c r="J1433" s="2"/>
      <c r="K1433" s="2" t="str">
        <f ca="1">IFERROR(__xludf.DUMMYFUNCTION("""COMPUTED_VALUE"""),"Descubada")</f>
        <v>Descubada</v>
      </c>
      <c r="L1433" s="2"/>
      <c r="M1433" s="2"/>
    </row>
    <row r="1434" spans="1:13" x14ac:dyDescent="0.25">
      <c r="A1434" s="2" t="str">
        <f ca="1">IFERROR(__xludf.DUMMYFUNCTION("""COMPUTED_VALUE"""),"6a732a3e")</f>
        <v>6a732a3e</v>
      </c>
      <c r="B1434" s="2"/>
      <c r="C1434" s="5">
        <f ca="1">IFERROR(__xludf.DUMMYFUNCTION("""COMPUTED_VALUE"""),46083.8060416666)</f>
        <v>46083.806041666598</v>
      </c>
      <c r="D1434" s="2">
        <f ca="1">IFERROR(__xludf.DUMMYFUNCTION("""COMPUTED_VALUE"""),45)</f>
        <v>45</v>
      </c>
      <c r="E1434" s="2">
        <f ca="1">IFERROR(__xludf.DUMMYFUNCTION("""COMPUTED_VALUE"""),30000)</f>
        <v>30000</v>
      </c>
      <c r="F1434" s="2" t="str">
        <f ca="1">IFERROR(__xludf.DUMMYFUNCTION("""COMPUTED_VALUE"""),"Malbec Rect")</f>
        <v>Malbec Rect</v>
      </c>
      <c r="G1434" s="2">
        <f ca="1">IFERROR(__xludf.DUMMYFUNCTION("""COMPUTED_VALUE"""),13200)</f>
        <v>13200</v>
      </c>
      <c r="H1434" s="2">
        <f ca="1">IFERROR(__xludf.DUMMYFUNCTION("""COMPUTED_VALUE"""),6400)</f>
        <v>6400</v>
      </c>
      <c r="I1434" s="2"/>
      <c r="J1434" s="2"/>
      <c r="K1434" s="2" t="str">
        <f ca="1">IFERROR(__xludf.DUMMYFUNCTION("""COMPUTED_VALUE"""),"Rectificado")</f>
        <v>Rectificado</v>
      </c>
      <c r="L1434" s="2" t="str">
        <f ca="1">IFERROR(__xludf.DUMMYFUNCTION("""COMPUTED_VALUE"""),"2+")</f>
        <v>2+</v>
      </c>
      <c r="M1434" s="2" t="str">
        <f ca="1">IFERROR(__xludf.DUMMYFUNCTION("""COMPUTED_VALUE"""),"Tinto")</f>
        <v>Tinto</v>
      </c>
    </row>
    <row r="1435" spans="1:13" x14ac:dyDescent="0.25">
      <c r="A1435" s="2" t="str">
        <f ca="1">IFERROR(__xludf.DUMMYFUNCTION("""COMPUTED_VALUE"""),"3d2b21c3")</f>
        <v>3d2b21c3</v>
      </c>
      <c r="B1435" s="2"/>
      <c r="C1435" s="5">
        <f ca="1">IFERROR(__xludf.DUMMYFUNCTION("""COMPUTED_VALUE"""),46083.8128356481)</f>
        <v>46083.812835648103</v>
      </c>
      <c r="D1435" s="2">
        <f ca="1">IFERROR(__xludf.DUMMYFUNCTION("""COMPUTED_VALUE"""),8)</f>
        <v>8</v>
      </c>
      <c r="E1435" s="2">
        <f ca="1">IFERROR(__xludf.DUMMYFUNCTION("""COMPUTED_VALUE"""),22000)</f>
        <v>22000</v>
      </c>
      <c r="F1435" s="2" t="str">
        <f ca="1">IFERROR(__xludf.DUMMYFUNCTION("""COMPUTED_VALUE"""),"Chardonnay Mosto Rect")</f>
        <v>Chardonnay Mosto Rect</v>
      </c>
      <c r="G1435" s="2">
        <f ca="1">IFERROR(__xludf.DUMMYFUNCTION("""COMPUTED_VALUE"""),14500)</f>
        <v>14500</v>
      </c>
      <c r="H1435" s="2">
        <f ca="1">IFERROR(__xludf.DUMMYFUNCTION("""COMPUTED_VALUE"""),22000)</f>
        <v>22000</v>
      </c>
      <c r="I1435" s="2"/>
      <c r="J1435" s="2"/>
      <c r="K1435" s="2" t="str">
        <f ca="1">IFERROR(__xludf.DUMMYFUNCTION("""COMPUTED_VALUE"""),"Rectificado")</f>
        <v>Rectificado</v>
      </c>
      <c r="L1435" s="2"/>
      <c r="M1435" s="2"/>
    </row>
    <row r="1436" spans="1:13" x14ac:dyDescent="0.25">
      <c r="A1436" s="2" t="str">
        <f ca="1">IFERROR(__xludf.DUMMYFUNCTION("""COMPUTED_VALUE"""),"8589d4e4")</f>
        <v>8589d4e4</v>
      </c>
      <c r="B1436" s="2"/>
      <c r="C1436" s="5">
        <f ca="1">IFERROR(__xludf.DUMMYFUNCTION("""COMPUTED_VALUE"""),46083.8206597222)</f>
        <v>46083.820659722202</v>
      </c>
      <c r="D1436" s="2">
        <f ca="1">IFERROR(__xludf.DUMMYFUNCTION("""COMPUTED_VALUE"""),66)</f>
        <v>66</v>
      </c>
      <c r="E1436" s="2">
        <f ca="1">IFERROR(__xludf.DUMMYFUNCTION("""COMPUTED_VALUE"""),23000)</f>
        <v>23000</v>
      </c>
      <c r="F1436" s="2" t="str">
        <f ca="1">IFERROR(__xludf.DUMMYFUNCTION("""COMPUTED_VALUE"""),"Merlot s/Asp")</f>
        <v>Merlot s/Asp</v>
      </c>
      <c r="G1436" s="2">
        <f ca="1">IFERROR(__xludf.DUMMYFUNCTION("""COMPUTED_VALUE"""),4000)</f>
        <v>4000</v>
      </c>
      <c r="H1436" s="2">
        <f ca="1">IFERROR(__xludf.DUMMYFUNCTION("""COMPUTED_VALUE"""),13500)</f>
        <v>13500</v>
      </c>
      <c r="I1436" s="2"/>
      <c r="J1436" s="2"/>
      <c r="K1436" s="2" t="str">
        <f ca="1">IFERROR(__xludf.DUMMYFUNCTION("""COMPUTED_VALUE"""),"Fermentando")</f>
        <v>Fermentando</v>
      </c>
      <c r="L1436" s="2"/>
      <c r="M1436" s="2"/>
    </row>
    <row r="1437" spans="1:13" x14ac:dyDescent="0.25">
      <c r="A1437" s="2" t="str">
        <f ca="1">IFERROR(__xludf.DUMMYFUNCTION("""COMPUTED_VALUE"""),"3fd40691")</f>
        <v>3fd40691</v>
      </c>
      <c r="B1437" s="2"/>
      <c r="C1437" s="5">
        <f ca="1">IFERROR(__xludf.DUMMYFUNCTION("""COMPUTED_VALUE"""),46083.8211342592)</f>
        <v>46083.821134259197</v>
      </c>
      <c r="D1437" s="2">
        <f ca="1">IFERROR(__xludf.DUMMYFUNCTION("""COMPUTED_VALUE"""),79)</f>
        <v>79</v>
      </c>
      <c r="E1437" s="2">
        <f ca="1">IFERROR(__xludf.DUMMYFUNCTION("""COMPUTED_VALUE"""),26000)</f>
        <v>26000</v>
      </c>
      <c r="F1437" s="2" t="str">
        <f ca="1">IFERROR(__xludf.DUMMYFUNCTION("""COMPUTED_VALUE"""),"Merlot s/Asp")</f>
        <v>Merlot s/Asp</v>
      </c>
      <c r="G1437" s="2">
        <f ca="1">IFERROR(__xludf.DUMMYFUNCTION("""COMPUTED_VALUE"""),4250)</f>
        <v>4250</v>
      </c>
      <c r="H1437" s="2">
        <f ca="1">IFERROR(__xludf.DUMMYFUNCTION("""COMPUTED_VALUE"""),13750)</f>
        <v>13750</v>
      </c>
      <c r="I1437" s="2"/>
      <c r="J1437" s="2"/>
      <c r="K1437" s="2" t="str">
        <f ca="1">IFERROR(__xludf.DUMMYFUNCTION("""COMPUTED_VALUE"""),"Descubada")</f>
        <v>Descubada</v>
      </c>
      <c r="L1437" s="2"/>
      <c r="M1437" s="2"/>
    </row>
    <row r="1438" spans="1:13" x14ac:dyDescent="0.25">
      <c r="A1438" s="2" t="str">
        <f ca="1">IFERROR(__xludf.DUMMYFUNCTION("""COMPUTED_VALUE"""),"864244ea")</f>
        <v>864244ea</v>
      </c>
      <c r="B1438" s="2"/>
      <c r="C1438" s="5">
        <f ca="1">IFERROR(__xludf.DUMMYFUNCTION("""COMPUTED_VALUE"""),46083.825)</f>
        <v>46083.824999999997</v>
      </c>
      <c r="D1438" s="2">
        <f ca="1">IFERROR(__xludf.DUMMYFUNCTION("""COMPUTED_VALUE"""),74)</f>
        <v>74</v>
      </c>
      <c r="E1438" s="2">
        <f ca="1">IFERROR(__xludf.DUMMYFUNCTION("""COMPUTED_VALUE"""),13000)</f>
        <v>13000</v>
      </c>
      <c r="F1438" s="2"/>
      <c r="G1438" s="2">
        <f ca="1">IFERROR(__xludf.DUMMYFUNCTION("""COMPUTED_VALUE"""),0)</f>
        <v>0</v>
      </c>
      <c r="H1438" s="2">
        <f ca="1">IFERROR(__xludf.DUMMYFUNCTION("""COMPUTED_VALUE"""),10500)</f>
        <v>10500</v>
      </c>
      <c r="I1438" s="2"/>
      <c r="J1438" s="2"/>
      <c r="K1438" s="2"/>
      <c r="L1438" s="2"/>
      <c r="M1438" s="2"/>
    </row>
    <row r="1439" spans="1:13" x14ac:dyDescent="0.25">
      <c r="A1439" s="2" t="str">
        <f ca="1">IFERROR(__xludf.DUMMYFUNCTION("""COMPUTED_VALUE"""),"f5ce46f7")</f>
        <v>f5ce46f7</v>
      </c>
      <c r="B1439" s="2"/>
      <c r="C1439" s="5">
        <f ca="1">IFERROR(__xludf.DUMMYFUNCTION("""COMPUTED_VALUE"""),46083.8253935185)</f>
        <v>46083.825393518498</v>
      </c>
      <c r="D1439" s="2">
        <f ca="1">IFERROR(__xludf.DUMMYFUNCTION("""COMPUTED_VALUE"""),74)</f>
        <v>74</v>
      </c>
      <c r="E1439" s="2">
        <f ca="1">IFERROR(__xludf.DUMMYFUNCTION("""COMPUTED_VALUE"""),13000)</f>
        <v>13000</v>
      </c>
      <c r="F1439" s="2" t="str">
        <f ca="1">IFERROR(__xludf.DUMMYFUNCTION("""COMPUTED_VALUE"""),"Merlot s/Asp")</f>
        <v>Merlot s/Asp</v>
      </c>
      <c r="G1439" s="2">
        <f ca="1">IFERROR(__xludf.DUMMYFUNCTION("""COMPUTED_VALUE"""),10500)</f>
        <v>10500</v>
      </c>
      <c r="H1439" s="2">
        <f ca="1">IFERROR(__xludf.DUMMYFUNCTION("""COMPUTED_VALUE"""),13000)</f>
        <v>13000</v>
      </c>
      <c r="I1439" s="2"/>
      <c r="J1439" s="2"/>
      <c r="K1439" s="2" t="str">
        <f ca="1">IFERROR(__xludf.DUMMYFUNCTION("""COMPUTED_VALUE"""),"Descubada")</f>
        <v>Descubada</v>
      </c>
      <c r="L1439" s="2"/>
      <c r="M1439" s="2" t="str">
        <f ca="1">IFERROR(__xludf.DUMMYFUNCTION("""COMPUTED_VALUE"""),"Tinto")</f>
        <v>Tinto</v>
      </c>
    </row>
    <row r="1440" spans="1:13" x14ac:dyDescent="0.25">
      <c r="A1440" s="2" t="str">
        <f ca="1">IFERROR(__xludf.DUMMYFUNCTION("""COMPUTED_VALUE"""),"555ad119")</f>
        <v>555ad119</v>
      </c>
      <c r="B1440" s="2"/>
      <c r="C1440" s="5">
        <f ca="1">IFERROR(__xludf.DUMMYFUNCTION("""COMPUTED_VALUE"""),46083.8270254629)</f>
        <v>46083.827025462902</v>
      </c>
      <c r="D1440" s="2">
        <f ca="1">IFERROR(__xludf.DUMMYFUNCTION("""COMPUTED_VALUE"""),46)</f>
        <v>46</v>
      </c>
      <c r="E1440" s="2">
        <f ca="1">IFERROR(__xludf.DUMMYFUNCTION("""COMPUTED_VALUE"""),29000)</f>
        <v>29000</v>
      </c>
      <c r="F1440" s="2" t="str">
        <f ca="1">IFERROR(__xludf.DUMMYFUNCTION("""COMPUTED_VALUE"""),"Aspirant")</f>
        <v>Aspirant</v>
      </c>
      <c r="G1440" s="2">
        <f ca="1">IFERROR(__xludf.DUMMYFUNCTION("""COMPUTED_VALUE"""),24750)</f>
        <v>24750</v>
      </c>
      <c r="H1440" s="2">
        <f ca="1">IFERROR(__xludf.DUMMYFUNCTION("""COMPUTED_VALUE"""),29000)</f>
        <v>29000</v>
      </c>
      <c r="I1440" s="2"/>
      <c r="J1440" s="2"/>
      <c r="K1440" s="2" t="str">
        <f ca="1">IFERROR(__xludf.DUMMYFUNCTION("""COMPUTED_VALUE"""),"Descubada")</f>
        <v>Descubada</v>
      </c>
      <c r="L1440" s="2"/>
      <c r="M1440" s="2" t="str">
        <f ca="1">IFERROR(__xludf.DUMMYFUNCTION("""COMPUTED_VALUE"""),"Tinto")</f>
        <v>Tinto</v>
      </c>
    </row>
    <row r="1441" spans="1:13" x14ac:dyDescent="0.25">
      <c r="A1441" s="2" t="str">
        <f ca="1">IFERROR(__xludf.DUMMYFUNCTION("""COMPUTED_VALUE"""),"59dbc8fe")</f>
        <v>59dbc8fe</v>
      </c>
      <c r="B1441" s="2"/>
      <c r="C1441" s="5">
        <f ca="1">IFERROR(__xludf.DUMMYFUNCTION("""COMPUTED_VALUE"""),46083.8292592592)</f>
        <v>46083.829259259197</v>
      </c>
      <c r="D1441" s="2">
        <f ca="1">IFERROR(__xludf.DUMMYFUNCTION("""COMPUTED_VALUE"""),16)</f>
        <v>16</v>
      </c>
      <c r="E1441" s="2">
        <f ca="1">IFERROR(__xludf.DUMMYFUNCTION("""COMPUTED_VALUE"""),19500)</f>
        <v>19500</v>
      </c>
      <c r="F1441" s="2" t="str">
        <f ca="1">IFERROR(__xludf.DUMMYFUNCTION("""COMPUTED_VALUE"""),"Aspirant Ancc")</f>
        <v>Aspirant Ancc</v>
      </c>
      <c r="G1441" s="2">
        <f ca="1">IFERROR(__xludf.DUMMYFUNCTION("""COMPUTED_VALUE"""),0)</f>
        <v>0</v>
      </c>
      <c r="H1441" s="2">
        <f ca="1">IFERROR(__xludf.DUMMYFUNCTION("""COMPUTED_VALUE"""),14000)</f>
        <v>14000</v>
      </c>
      <c r="I1441" s="2"/>
      <c r="J1441" s="2"/>
      <c r="K1441" s="2" t="str">
        <f ca="1">IFERROR(__xludf.DUMMYFUNCTION("""COMPUTED_VALUE"""),"Descubada")</f>
        <v>Descubada</v>
      </c>
      <c r="L1441" s="2"/>
      <c r="M1441" s="2" t="str">
        <f ca="1">IFERROR(__xludf.DUMMYFUNCTION("""COMPUTED_VALUE"""),"Tinto")</f>
        <v>Tinto</v>
      </c>
    </row>
    <row r="1442" spans="1:13" x14ac:dyDescent="0.25">
      <c r="A1442" s="2" t="str">
        <f ca="1">IFERROR(__xludf.DUMMYFUNCTION("""COMPUTED_VALUE"""),"8d429f4c")</f>
        <v>8d429f4c</v>
      </c>
      <c r="B1442" s="2"/>
      <c r="C1442" s="5">
        <f ca="1">IFERROR(__xludf.DUMMYFUNCTION("""COMPUTED_VALUE"""),46083.8335648148)</f>
        <v>46083.833564814799</v>
      </c>
      <c r="D1442" s="2">
        <f ca="1">IFERROR(__xludf.DUMMYFUNCTION("""COMPUTED_VALUE"""),82)</f>
        <v>82</v>
      </c>
      <c r="E1442" s="2">
        <f ca="1">IFERROR(__xludf.DUMMYFUNCTION("""COMPUTED_VALUE"""),42600)</f>
        <v>42600</v>
      </c>
      <c r="F1442" s="2" t="str">
        <f ca="1">IFERROR(__xludf.DUMMYFUNCTION("""COMPUTED_VALUE"""),"Syrah s/Asp")</f>
        <v>Syrah s/Asp</v>
      </c>
      <c r="G1442" s="2">
        <f ca="1">IFERROR(__xludf.DUMMYFUNCTION("""COMPUTED_VALUE"""),9750)</f>
        <v>9750</v>
      </c>
      <c r="H1442" s="2">
        <f ca="1">IFERROR(__xludf.DUMMYFUNCTION("""COMPUTED_VALUE"""),19750)</f>
        <v>19750</v>
      </c>
      <c r="I1442" s="2"/>
      <c r="J1442" s="2"/>
      <c r="K1442" s="2" t="str">
        <f ca="1">IFERROR(__xludf.DUMMYFUNCTION("""COMPUTED_VALUE"""),"Fermentando")</f>
        <v>Fermentando</v>
      </c>
      <c r="L1442" s="2"/>
      <c r="M1442" s="2"/>
    </row>
    <row r="1443" spans="1:13" x14ac:dyDescent="0.25">
      <c r="A1443" s="2" t="str">
        <f ca="1">IFERROR(__xludf.DUMMYFUNCTION("""COMPUTED_VALUE"""),"d7315025")</f>
        <v>d7315025</v>
      </c>
      <c r="B1443" s="2"/>
      <c r="C1443" s="5">
        <f ca="1">IFERROR(__xludf.DUMMYFUNCTION("""COMPUTED_VALUE"""),46083.8339699074)</f>
        <v>46083.833969907399</v>
      </c>
      <c r="D1443" s="2">
        <f ca="1">IFERROR(__xludf.DUMMYFUNCTION("""COMPUTED_VALUE"""),79)</f>
        <v>79</v>
      </c>
      <c r="E1443" s="2">
        <f ca="1">IFERROR(__xludf.DUMMYFUNCTION("""COMPUTED_VALUE"""),26000)</f>
        <v>26000</v>
      </c>
      <c r="F1443" s="2" t="str">
        <f ca="1">IFERROR(__xludf.DUMMYFUNCTION("""COMPUTED_VALUE"""),"Syrah s/Asp 2")</f>
        <v>Syrah s/Asp 2</v>
      </c>
      <c r="G1443" s="2">
        <f ca="1">IFERROR(__xludf.DUMMYFUNCTION("""COMPUTED_VALUE"""),11250)</f>
        <v>11250</v>
      </c>
      <c r="H1443" s="2">
        <f ca="1">IFERROR(__xludf.DUMMYFUNCTION("""COMPUTED_VALUE"""),18250)</f>
        <v>18250</v>
      </c>
      <c r="I1443" s="2"/>
      <c r="J1443" s="2"/>
      <c r="K1443" s="2" t="str">
        <f ca="1">IFERROR(__xludf.DUMMYFUNCTION("""COMPUTED_VALUE"""),"Fermentando")</f>
        <v>Fermentando</v>
      </c>
      <c r="L1443" s="2"/>
      <c r="M1443" s="2"/>
    </row>
    <row r="1444" spans="1:13" x14ac:dyDescent="0.25">
      <c r="A1444" s="2" t="str">
        <f ca="1">IFERROR(__xludf.DUMMYFUNCTION("""COMPUTED_VALUE"""),"fdccbcf1")</f>
        <v>fdccbcf1</v>
      </c>
      <c r="B1444" s="2"/>
      <c r="C1444" s="5">
        <f ca="1">IFERROR(__xludf.DUMMYFUNCTION("""COMPUTED_VALUE"""),46083.8346643518)</f>
        <v>46083.834664351802</v>
      </c>
      <c r="D1444" s="2">
        <f ca="1">IFERROR(__xludf.DUMMYFUNCTION("""COMPUTED_VALUE"""),66)</f>
        <v>66</v>
      </c>
      <c r="E1444" s="2">
        <f ca="1">IFERROR(__xludf.DUMMYFUNCTION("""COMPUTED_VALUE"""),23000)</f>
        <v>23000</v>
      </c>
      <c r="F1444" s="2" t="str">
        <f ca="1">IFERROR(__xludf.DUMMYFUNCTION("""COMPUTED_VALUE"""),"Syrah s/Asp 2")</f>
        <v>Syrah s/Asp 2</v>
      </c>
      <c r="G1444" s="2">
        <f ca="1">IFERROR(__xludf.DUMMYFUNCTION("""COMPUTED_VALUE"""),3000)</f>
        <v>3000</v>
      </c>
      <c r="H1444" s="2">
        <f ca="1">IFERROR(__xludf.DUMMYFUNCTION("""COMPUTED_VALUE"""),19000)</f>
        <v>19000</v>
      </c>
      <c r="I1444" s="2"/>
      <c r="J1444" s="2"/>
      <c r="K1444" s="2" t="str">
        <f ca="1">IFERROR(__xludf.DUMMYFUNCTION("""COMPUTED_VALUE"""),"Fermentando")</f>
        <v>Fermentando</v>
      </c>
      <c r="L1444" s="2"/>
      <c r="M1444" s="2" t="str">
        <f ca="1">IFERROR(__xludf.DUMMYFUNCTION("""COMPUTED_VALUE"""),"Tinto")</f>
        <v>Tinto</v>
      </c>
    </row>
    <row r="1445" spans="1:13" x14ac:dyDescent="0.25">
      <c r="A1445" s="2" t="str">
        <f ca="1">IFERROR(__xludf.DUMMYFUNCTION("""COMPUTED_VALUE"""),"d9c4d0aa")</f>
        <v>d9c4d0aa</v>
      </c>
      <c r="B1445" s="2"/>
      <c r="C1445" s="5">
        <f ca="1">IFERROR(__xludf.DUMMYFUNCTION("""COMPUTED_VALUE"""),46083.8351851851)</f>
        <v>46083.835185185097</v>
      </c>
      <c r="D1445" s="2">
        <f ca="1">IFERROR(__xludf.DUMMYFUNCTION("""COMPUTED_VALUE"""),82)</f>
        <v>82</v>
      </c>
      <c r="E1445" s="2">
        <f ca="1">IFERROR(__xludf.DUMMYFUNCTION("""COMPUTED_VALUE"""),42600)</f>
        <v>42600</v>
      </c>
      <c r="F1445" s="2" t="str">
        <f ca="1">IFERROR(__xludf.DUMMYFUNCTION("""COMPUTED_VALUE"""),"Syrah s/Asp")</f>
        <v>Syrah s/Asp</v>
      </c>
      <c r="G1445" s="2">
        <f ca="1">IFERROR(__xludf.DUMMYFUNCTION("""COMPUTED_VALUE"""),19750)</f>
        <v>19750</v>
      </c>
      <c r="H1445" s="2">
        <f ca="1">IFERROR(__xludf.DUMMYFUNCTION("""COMPUTED_VALUE"""),36750)</f>
        <v>36750</v>
      </c>
      <c r="I1445" s="2"/>
      <c r="J1445" s="2"/>
      <c r="K1445" s="2" t="str">
        <f ca="1">IFERROR(__xludf.DUMMYFUNCTION("""COMPUTED_VALUE"""),"Fermentando")</f>
        <v>Fermentando</v>
      </c>
      <c r="L1445" s="2"/>
      <c r="M1445" s="2" t="str">
        <f ca="1">IFERROR(__xludf.DUMMYFUNCTION("""COMPUTED_VALUE"""),"Tinto")</f>
        <v>Tinto</v>
      </c>
    </row>
    <row r="1446" spans="1:13" x14ac:dyDescent="0.25">
      <c r="A1446" s="2" t="str">
        <f ca="1">IFERROR(__xludf.DUMMYFUNCTION("""COMPUTED_VALUE"""),"5fb8b8c6")</f>
        <v>5fb8b8c6</v>
      </c>
      <c r="B1446" s="2"/>
      <c r="C1446" s="5">
        <f ca="1">IFERROR(__xludf.DUMMYFUNCTION("""COMPUTED_VALUE"""),46083.8355439814)</f>
        <v>46083.835543981397</v>
      </c>
      <c r="D1446" s="2">
        <f ca="1">IFERROR(__xludf.DUMMYFUNCTION("""COMPUTED_VALUE"""),79)</f>
        <v>79</v>
      </c>
      <c r="E1446" s="2">
        <f ca="1">IFERROR(__xludf.DUMMYFUNCTION("""COMPUTED_VALUE"""),26000)</f>
        <v>26000</v>
      </c>
      <c r="F1446" s="2" t="str">
        <f ca="1">IFERROR(__xludf.DUMMYFUNCTION("""COMPUTED_VALUE"""),"Syrah s/Asp 2")</f>
        <v>Syrah s/Asp 2</v>
      </c>
      <c r="G1446" s="2">
        <f ca="1">IFERROR(__xludf.DUMMYFUNCTION("""COMPUTED_VALUE"""),18250)</f>
        <v>18250</v>
      </c>
      <c r="H1446" s="2">
        <f ca="1">IFERROR(__xludf.DUMMYFUNCTION("""COMPUTED_VALUE"""),21750)</f>
        <v>21750</v>
      </c>
      <c r="I1446" s="2"/>
      <c r="J1446" s="2"/>
      <c r="K1446" s="2" t="str">
        <f ca="1">IFERROR(__xludf.DUMMYFUNCTION("""COMPUTED_VALUE"""),"Fermentando")</f>
        <v>Fermentando</v>
      </c>
      <c r="L1446" s="2"/>
      <c r="M1446" s="2" t="str">
        <f ca="1">IFERROR(__xludf.DUMMYFUNCTION("""COMPUTED_VALUE"""),"Tinto")</f>
        <v>Tinto</v>
      </c>
    </row>
    <row r="1447" spans="1:13" x14ac:dyDescent="0.25">
      <c r="A1447" s="2" t="str">
        <f ca="1">IFERROR(__xludf.DUMMYFUNCTION("""COMPUTED_VALUE"""),"964bb1ba")</f>
        <v>964bb1ba</v>
      </c>
      <c r="B1447" s="2"/>
      <c r="C1447" s="5">
        <f ca="1">IFERROR(__xludf.DUMMYFUNCTION("""COMPUTED_VALUE"""),46083.8392939814)</f>
        <v>46083.8392939814</v>
      </c>
      <c r="D1447" s="2">
        <f ca="1">IFERROR(__xludf.DUMMYFUNCTION("""COMPUTED_VALUE"""),40)</f>
        <v>40</v>
      </c>
      <c r="E1447" s="2">
        <f ca="1">IFERROR(__xludf.DUMMYFUNCTION("""COMPUTED_VALUE"""),24000)</f>
        <v>24000</v>
      </c>
      <c r="F1447" s="2" t="str">
        <f ca="1">IFERROR(__xludf.DUMMYFUNCTION("""COMPUTED_VALUE"""),"Chardonnay")</f>
        <v>Chardonnay</v>
      </c>
      <c r="G1447" s="2">
        <f ca="1">IFERROR(__xludf.DUMMYFUNCTION("""COMPUTED_VALUE"""),22000)</f>
        <v>22000</v>
      </c>
      <c r="H1447" s="2">
        <f ca="1">IFERROR(__xludf.DUMMYFUNCTION("""COMPUTED_VALUE"""),24000)</f>
        <v>24000</v>
      </c>
      <c r="I1447" s="2" t="str">
        <f ca="1">IFERROR(__xludf.DUMMYFUNCTION("""COMPUTED_VALUE"""),"13/3
Muy rico")</f>
        <v>13/3
Muy rico</v>
      </c>
      <c r="J1447" s="2"/>
      <c r="K1447" s="2" t="str">
        <f ca="1">IFERROR(__xludf.DUMMYFUNCTION("""COMPUTED_VALUE"""),"Descubada")</f>
        <v>Descubada</v>
      </c>
      <c r="L1447" s="2"/>
      <c r="M1447" s="2" t="str">
        <f ca="1">IFERROR(__xludf.DUMMYFUNCTION("""COMPUTED_VALUE"""),"Blanco")</f>
        <v>Blanco</v>
      </c>
    </row>
    <row r="1448" spans="1:13" x14ac:dyDescent="0.25">
      <c r="A1448" s="2" t="str">
        <f ca="1">IFERROR(__xludf.DUMMYFUNCTION("""COMPUTED_VALUE"""),"05a173ae")</f>
        <v>05a173ae</v>
      </c>
      <c r="B1448" s="2"/>
      <c r="C1448" s="5">
        <f ca="1">IFERROR(__xludf.DUMMYFUNCTION("""COMPUTED_VALUE"""),46083.839537037)</f>
        <v>46083.839537036998</v>
      </c>
      <c r="D1448" s="2">
        <f ca="1">IFERROR(__xludf.DUMMYFUNCTION("""COMPUTED_VALUE"""),30)</f>
        <v>30</v>
      </c>
      <c r="E1448" s="2">
        <f ca="1">IFERROR(__xludf.DUMMYFUNCTION("""COMPUTED_VALUE"""),38800)</f>
        <v>38800</v>
      </c>
      <c r="F1448" s="2" t="str">
        <f ca="1">IFERROR(__xludf.DUMMYFUNCTION("""COMPUTED_VALUE"""),"Chardonnay Ch")</f>
        <v>Chardonnay Ch</v>
      </c>
      <c r="G1448" s="2">
        <f ca="1">IFERROR(__xludf.DUMMYFUNCTION("""COMPUTED_VALUE"""),26000)</f>
        <v>26000</v>
      </c>
      <c r="H1448" s="2">
        <f ca="1">IFERROR(__xludf.DUMMYFUNCTION("""COMPUTED_VALUE"""),31000)</f>
        <v>31000</v>
      </c>
      <c r="I1448" s="2"/>
      <c r="J1448" s="2"/>
      <c r="K1448" s="2" t="str">
        <f ca="1">IFERROR(__xludf.DUMMYFUNCTION("""COMPUTED_VALUE"""),"Descubada")</f>
        <v>Descubada</v>
      </c>
      <c r="L1448" s="2"/>
      <c r="M1448" s="2" t="str">
        <f ca="1">IFERROR(__xludf.DUMMYFUNCTION("""COMPUTED_VALUE"""),"Blanco")</f>
        <v>Blanco</v>
      </c>
    </row>
    <row r="1449" spans="1:13" x14ac:dyDescent="0.25">
      <c r="A1449" s="2" t="str">
        <f ca="1">IFERROR(__xludf.DUMMYFUNCTION("""COMPUTED_VALUE"""),"af88deee")</f>
        <v>af88deee</v>
      </c>
      <c r="B1449" s="2"/>
      <c r="C1449" s="5">
        <f ca="1">IFERROR(__xludf.DUMMYFUNCTION("""COMPUTED_VALUE"""),46083.8435069444)</f>
        <v>46083.843506944402</v>
      </c>
      <c r="D1449" s="2">
        <f ca="1">IFERROR(__xludf.DUMMYFUNCTION("""COMPUTED_VALUE"""),78)</f>
        <v>78</v>
      </c>
      <c r="E1449" s="2">
        <f ca="1">IFERROR(__xludf.DUMMYFUNCTION("""COMPUTED_VALUE"""),25800)</f>
        <v>25800</v>
      </c>
      <c r="F1449" s="2" t="str">
        <f ca="1">IFERROR(__xludf.DUMMYFUNCTION("""COMPUTED_VALUE"""),"Torrontes Viog")</f>
        <v>Torrontes Viog</v>
      </c>
      <c r="G1449" s="2">
        <f ca="1">IFERROR(__xludf.DUMMYFUNCTION("""COMPUTED_VALUE"""),19000)</f>
        <v>19000</v>
      </c>
      <c r="H1449" s="2">
        <f ca="1">IFERROR(__xludf.DUMMYFUNCTION("""COMPUTED_VALUE"""),20000)</f>
        <v>20000</v>
      </c>
      <c r="I1449" s="2" t="str">
        <f ca="1">IFERROR(__xludf.DUMMYFUNCTION("""COMPUTED_VALUE"""),"17/3
Acerado, limpio, muy correcto")</f>
        <v>17/3
Acerado, limpio, muy correcto</v>
      </c>
      <c r="J1449" s="2"/>
      <c r="K1449" s="2" t="str">
        <f ca="1">IFERROR(__xludf.DUMMYFUNCTION("""COMPUTED_VALUE"""),"Fermentando")</f>
        <v>Fermentando</v>
      </c>
      <c r="L1449" s="2" t="str">
        <f ca="1">IFERROR(__xludf.DUMMYFUNCTION("""COMPUTED_VALUE"""),"1+")</f>
        <v>1+</v>
      </c>
      <c r="M1449" s="2" t="str">
        <f ca="1">IFERROR(__xludf.DUMMYFUNCTION("""COMPUTED_VALUE"""),"Blanco")</f>
        <v>Blanco</v>
      </c>
    </row>
    <row r="1450" spans="1:13" x14ac:dyDescent="0.25">
      <c r="A1450" s="2" t="str">
        <f ca="1">IFERROR(__xludf.DUMMYFUNCTION("""COMPUTED_VALUE"""),"ca9c5562")</f>
        <v>ca9c5562</v>
      </c>
      <c r="B1450" s="2"/>
      <c r="C1450" s="5">
        <f ca="1">IFERROR(__xludf.DUMMYFUNCTION("""COMPUTED_VALUE"""),46083.8448611111)</f>
        <v>46083.844861111102</v>
      </c>
      <c r="D1450" s="2">
        <f ca="1">IFERROR(__xludf.DUMMYFUNCTION("""COMPUTED_VALUE"""),72)</f>
        <v>72</v>
      </c>
      <c r="E1450" s="2">
        <f ca="1">IFERROR(__xludf.DUMMYFUNCTION("""COMPUTED_VALUE"""),13000)</f>
        <v>13000</v>
      </c>
      <c r="F1450" s="2" t="str">
        <f ca="1">IFERROR(__xludf.DUMMYFUNCTION("""COMPUTED_VALUE"""),"Chardonnay")</f>
        <v>Chardonnay</v>
      </c>
      <c r="G1450" s="2">
        <f ca="1">IFERROR(__xludf.DUMMYFUNCTION("""COMPUTED_VALUE"""),0)</f>
        <v>0</v>
      </c>
      <c r="H1450" s="2">
        <f ca="1">IFERROR(__xludf.DUMMYFUNCTION("""COMPUTED_VALUE"""),5200)</f>
        <v>5200</v>
      </c>
      <c r="I1450" s="2"/>
      <c r="J1450" s="2"/>
      <c r="K1450" s="2" t="str">
        <f ca="1">IFERROR(__xludf.DUMMYFUNCTION("""COMPUTED_VALUE"""),"Fermentando")</f>
        <v>Fermentando</v>
      </c>
      <c r="L1450" s="2"/>
      <c r="M1450" s="2"/>
    </row>
    <row r="1451" spans="1:13" x14ac:dyDescent="0.25">
      <c r="A1451" s="2" t="str">
        <f ca="1">IFERROR(__xludf.DUMMYFUNCTION("""COMPUTED_VALUE"""),"69720bda")</f>
        <v>69720bda</v>
      </c>
      <c r="B1451" s="2"/>
      <c r="C1451" s="5">
        <f ca="1">IFERROR(__xludf.DUMMYFUNCTION("""COMPUTED_VALUE"""),46083.8454050925)</f>
        <v>46083.845405092499</v>
      </c>
      <c r="D1451" s="2">
        <f ca="1">IFERROR(__xludf.DUMMYFUNCTION("""COMPUTED_VALUE"""),72)</f>
        <v>72</v>
      </c>
      <c r="E1451" s="2">
        <f ca="1">IFERROR(__xludf.DUMMYFUNCTION("""COMPUTED_VALUE"""),13000)</f>
        <v>13000</v>
      </c>
      <c r="F1451" s="2" t="str">
        <f ca="1">IFERROR(__xludf.DUMMYFUNCTION("""COMPUTED_VALUE"""),"Chardonnay")</f>
        <v>Chardonnay</v>
      </c>
      <c r="G1451" s="2">
        <f ca="1">IFERROR(__xludf.DUMMYFUNCTION("""COMPUTED_VALUE"""),5200)</f>
        <v>5200</v>
      </c>
      <c r="H1451" s="2">
        <f ca="1">IFERROR(__xludf.DUMMYFUNCTION("""COMPUTED_VALUE"""),8200)</f>
        <v>8200</v>
      </c>
      <c r="I1451" s="2"/>
      <c r="J1451" s="2"/>
      <c r="K1451" s="2" t="str">
        <f ca="1">IFERROR(__xludf.DUMMYFUNCTION("""COMPUTED_VALUE"""),"Fermentando")</f>
        <v>Fermentando</v>
      </c>
      <c r="L1451" s="2"/>
      <c r="M1451" s="2"/>
    </row>
    <row r="1452" spans="1:13" x14ac:dyDescent="0.25">
      <c r="A1452" s="2" t="str">
        <f ca="1">IFERROR(__xludf.DUMMYFUNCTION("""COMPUTED_VALUE"""),"d0f8eef2")</f>
        <v>d0f8eef2</v>
      </c>
      <c r="B1452" s="2"/>
      <c r="C1452" s="5">
        <f ca="1">IFERROR(__xludf.DUMMYFUNCTION("""COMPUTED_VALUE"""),46083.845787037)</f>
        <v>46083.845787036997</v>
      </c>
      <c r="D1452" s="2">
        <f ca="1">IFERROR(__xludf.DUMMYFUNCTION("""COMPUTED_VALUE"""),72)</f>
        <v>72</v>
      </c>
      <c r="E1452" s="2">
        <f ca="1">IFERROR(__xludf.DUMMYFUNCTION("""COMPUTED_VALUE"""),13000)</f>
        <v>13000</v>
      </c>
      <c r="F1452" s="2" t="str">
        <f ca="1">IFERROR(__xludf.DUMMYFUNCTION("""COMPUTED_VALUE"""),"Chardonnay Oak")</f>
        <v>Chardonnay Oak</v>
      </c>
      <c r="G1452" s="2">
        <f ca="1">IFERROR(__xludf.DUMMYFUNCTION("""COMPUTED_VALUE"""),8200)</f>
        <v>8200</v>
      </c>
      <c r="H1452" s="2">
        <f ca="1">IFERROR(__xludf.DUMMYFUNCTION("""COMPUTED_VALUE"""),9200)</f>
        <v>9200</v>
      </c>
      <c r="I1452" s="2" t="str">
        <f ca="1">IFERROR(__xludf.DUMMYFUNCTION("""COMPUTED_VALUE"""),"17/3
lleno, corregido, controlar")</f>
        <v>17/3
lleno, corregido, controlar</v>
      </c>
      <c r="J1452" s="2"/>
      <c r="K1452" s="2" t="str">
        <f ca="1">IFERROR(__xludf.DUMMYFUNCTION("""COMPUTED_VALUE"""),"Fermentando")</f>
        <v>Fermentando</v>
      </c>
      <c r="L1452" s="2" t="str">
        <f ca="1">IFERROR(__xludf.DUMMYFUNCTION("""COMPUTED_VALUE"""),"1+")</f>
        <v>1+</v>
      </c>
      <c r="M1452" s="2" t="str">
        <f ca="1">IFERROR(__xludf.DUMMYFUNCTION("""COMPUTED_VALUE"""),"Blanco")</f>
        <v>Blanco</v>
      </c>
    </row>
    <row r="1453" spans="1:13" x14ac:dyDescent="0.25">
      <c r="A1453" s="2" t="str">
        <f ca="1">IFERROR(__xludf.DUMMYFUNCTION("""COMPUTED_VALUE"""),"5be257f8")</f>
        <v>5be257f8</v>
      </c>
      <c r="B1453" s="2"/>
      <c r="C1453" s="5">
        <f ca="1">IFERROR(__xludf.DUMMYFUNCTION("""COMPUTED_VALUE"""),46083.8464236111)</f>
        <v>46083.846423611103</v>
      </c>
      <c r="D1453" s="2">
        <f ca="1">IFERROR(__xludf.DUMMYFUNCTION("""COMPUTED_VALUE"""),8)</f>
        <v>8</v>
      </c>
      <c r="E1453" s="2">
        <f ca="1">IFERROR(__xludf.DUMMYFUNCTION("""COMPUTED_VALUE"""),22000)</f>
        <v>22000</v>
      </c>
      <c r="F1453" s="2" t="str">
        <f ca="1">IFERROR(__xludf.DUMMYFUNCTION("""COMPUTED_VALUE"""),"Chardonnay Mosto Rect")</f>
        <v>Chardonnay Mosto Rect</v>
      </c>
      <c r="G1453" s="2">
        <f ca="1">IFERROR(__xludf.DUMMYFUNCTION("""COMPUTED_VALUE"""),22000)</f>
        <v>22000</v>
      </c>
      <c r="H1453" s="2">
        <f ca="1">IFERROR(__xludf.DUMMYFUNCTION("""COMPUTED_VALUE"""),17000)</f>
        <v>17000</v>
      </c>
      <c r="I1453" s="2"/>
      <c r="J1453" s="2"/>
      <c r="K1453" s="2" t="str">
        <f ca="1">IFERROR(__xludf.DUMMYFUNCTION("""COMPUTED_VALUE"""),"Rectificado")</f>
        <v>Rectificado</v>
      </c>
      <c r="L1453" s="2"/>
      <c r="M1453" s="2"/>
    </row>
    <row r="1454" spans="1:13" x14ac:dyDescent="0.25">
      <c r="A1454" s="2" t="str">
        <f ca="1">IFERROR(__xludf.DUMMYFUNCTION("""COMPUTED_VALUE"""),"678b4b09")</f>
        <v>678b4b09</v>
      </c>
      <c r="B1454" s="2"/>
      <c r="C1454" s="5">
        <f ca="1">IFERROR(__xludf.DUMMYFUNCTION("""COMPUTED_VALUE"""),46083.8466782407)</f>
        <v>46083.846678240698</v>
      </c>
      <c r="D1454" s="2">
        <f ca="1">IFERROR(__xludf.DUMMYFUNCTION("""COMPUTED_VALUE"""),8)</f>
        <v>8</v>
      </c>
      <c r="E1454" s="2">
        <f ca="1">IFERROR(__xludf.DUMMYFUNCTION("""COMPUTED_VALUE"""),22000)</f>
        <v>22000</v>
      </c>
      <c r="F1454" s="2" t="str">
        <f ca="1">IFERROR(__xludf.DUMMYFUNCTION("""COMPUTED_VALUE"""),"Chardonnay Mosto Rect")</f>
        <v>Chardonnay Mosto Rect</v>
      </c>
      <c r="G1454" s="2">
        <f ca="1">IFERROR(__xludf.DUMMYFUNCTION("""COMPUTED_VALUE"""),17000)</f>
        <v>17000</v>
      </c>
      <c r="H1454" s="2">
        <f ca="1">IFERROR(__xludf.DUMMYFUNCTION("""COMPUTED_VALUE"""),14000)</f>
        <v>14000</v>
      </c>
      <c r="I1454" s="2"/>
      <c r="J1454" s="2"/>
      <c r="K1454" s="2" t="str">
        <f ca="1">IFERROR(__xludf.DUMMYFUNCTION("""COMPUTED_VALUE"""),"Rectificado")</f>
        <v>Rectificado</v>
      </c>
      <c r="L1454" s="2"/>
      <c r="M1454" s="2"/>
    </row>
    <row r="1455" spans="1:13" x14ac:dyDescent="0.25">
      <c r="A1455" s="2" t="str">
        <f ca="1">IFERROR(__xludf.DUMMYFUNCTION("""COMPUTED_VALUE"""),"239f8a8d")</f>
        <v>239f8a8d</v>
      </c>
      <c r="B1455" s="2"/>
      <c r="C1455" s="5">
        <f ca="1">IFERROR(__xludf.DUMMYFUNCTION("""COMPUTED_VALUE"""),46083.8469444444)</f>
        <v>46083.846944444398</v>
      </c>
      <c r="D1455" s="2">
        <f ca="1">IFERROR(__xludf.DUMMYFUNCTION("""COMPUTED_VALUE"""),8)</f>
        <v>8</v>
      </c>
      <c r="E1455" s="2">
        <f ca="1">IFERROR(__xludf.DUMMYFUNCTION("""COMPUTED_VALUE"""),22000)</f>
        <v>22000</v>
      </c>
      <c r="F1455" s="2" t="str">
        <f ca="1">IFERROR(__xludf.DUMMYFUNCTION("""COMPUTED_VALUE"""),"Chardonnay Mosto Rect")</f>
        <v>Chardonnay Mosto Rect</v>
      </c>
      <c r="G1455" s="2">
        <f ca="1">IFERROR(__xludf.DUMMYFUNCTION("""COMPUTED_VALUE"""),14000)</f>
        <v>14000</v>
      </c>
      <c r="H1455" s="2">
        <f ca="1">IFERROR(__xludf.DUMMYFUNCTION("""COMPUTED_VALUE"""),9000)</f>
        <v>9000</v>
      </c>
      <c r="I1455" s="2"/>
      <c r="J1455" s="2"/>
      <c r="K1455" s="2" t="str">
        <f ca="1">IFERROR(__xludf.DUMMYFUNCTION("""COMPUTED_VALUE"""),"Rectificado")</f>
        <v>Rectificado</v>
      </c>
      <c r="L1455" s="2"/>
      <c r="M1455" s="2" t="str">
        <f ca="1">IFERROR(__xludf.DUMMYFUNCTION("""COMPUTED_VALUE"""),"Blanco")</f>
        <v>Blanco</v>
      </c>
    </row>
    <row r="1456" spans="1:13" x14ac:dyDescent="0.25">
      <c r="A1456" s="2" t="str">
        <f ca="1">IFERROR(__xludf.DUMMYFUNCTION("""COMPUTED_VALUE"""),"39f8c1f8")</f>
        <v>39f8c1f8</v>
      </c>
      <c r="B1456" s="2"/>
      <c r="C1456" s="5">
        <f ca="1">IFERROR(__xludf.DUMMYFUNCTION("""COMPUTED_VALUE"""),46083.851875)</f>
        <v>46083.851875</v>
      </c>
      <c r="D1456" s="2">
        <f ca="1">IFERROR(__xludf.DUMMYFUNCTION("""COMPUTED_VALUE"""),89)</f>
        <v>89</v>
      </c>
      <c r="E1456" s="2">
        <f ca="1">IFERROR(__xludf.DUMMYFUNCTION("""COMPUTED_VALUE"""),83500)</f>
        <v>83500</v>
      </c>
      <c r="F1456" s="2" t="str">
        <f ca="1">IFERROR(__xludf.DUMMYFUNCTION("""COMPUTED_VALUE"""),"Syrah Anc")</f>
        <v>Syrah Anc</v>
      </c>
      <c r="G1456" s="2"/>
      <c r="H1456" s="2">
        <f ca="1">IFERROR(__xludf.DUMMYFUNCTION("""COMPUTED_VALUE"""),45000)</f>
        <v>45000</v>
      </c>
      <c r="I1456" s="2"/>
      <c r="J1456" s="2" t="str">
        <f ca="1">IFERROR(__xludf.DUMMYFUNCTION("""COMPUTED_VALUE"""),"6262 , 6264 , 6266 , 6268 , 6270 , 6273")</f>
        <v>6262 , 6264 , 6266 , 6268 , 6270 , 6273</v>
      </c>
      <c r="K1456" s="2" t="str">
        <f ca="1">IFERROR(__xludf.DUMMYFUNCTION("""COMPUTED_VALUE"""),"Fermentando")</f>
        <v>Fermentando</v>
      </c>
      <c r="L1456" s="2"/>
      <c r="M1456" s="2" t="str">
        <f ca="1">IFERROR(__xludf.DUMMYFUNCTION("""COMPUTED_VALUE"""),"Tinto")</f>
        <v>Tinto</v>
      </c>
    </row>
    <row r="1457" spans="1:13" x14ac:dyDescent="0.25">
      <c r="A1457" s="2" t="str">
        <f ca="1">IFERROR(__xludf.DUMMYFUNCTION("""COMPUTED_VALUE"""),"6bb3342c")</f>
        <v>6bb3342c</v>
      </c>
      <c r="B1457" s="2"/>
      <c r="C1457" s="5">
        <f ca="1">IFERROR(__xludf.DUMMYFUNCTION("""COMPUTED_VALUE"""),46083.853125)</f>
        <v>46083.853125000001</v>
      </c>
      <c r="D1457" s="2">
        <f ca="1">IFERROR(__xludf.DUMMYFUNCTION("""COMPUTED_VALUE"""),88)</f>
        <v>88</v>
      </c>
      <c r="E1457" s="2">
        <f ca="1">IFERROR(__xludf.DUMMYFUNCTION("""COMPUTED_VALUE"""),78900)</f>
        <v>78900</v>
      </c>
      <c r="F1457" s="2" t="str">
        <f ca="1">IFERROR(__xludf.DUMMYFUNCTION("""COMPUTED_VALUE"""),"Malbec Mer")</f>
        <v>Malbec Mer</v>
      </c>
      <c r="G1457" s="2"/>
      <c r="H1457" s="2">
        <f ca="1">IFERROR(__xludf.DUMMYFUNCTION("""COMPUTED_VALUE"""),41600)</f>
        <v>41600</v>
      </c>
      <c r="I1457" s="2"/>
      <c r="J1457" s="2" t="str">
        <f ca="1">IFERROR(__xludf.DUMMYFUNCTION("""COMPUTED_VALUE"""),"6263 , 6265 , 6267 , 6269 , 6271 , 6272")</f>
        <v>6263 , 6265 , 6267 , 6269 , 6271 , 6272</v>
      </c>
      <c r="K1457" s="2" t="str">
        <f ca="1">IFERROR(__xludf.DUMMYFUNCTION("""COMPUTED_VALUE"""),"Fermentando")</f>
        <v>Fermentando</v>
      </c>
      <c r="L1457" s="2"/>
      <c r="M1457" s="2" t="str">
        <f ca="1">IFERROR(__xludf.DUMMYFUNCTION("""COMPUTED_VALUE"""),"Tinto")</f>
        <v>Tinto</v>
      </c>
    </row>
    <row r="1458" spans="1:13" x14ac:dyDescent="0.25">
      <c r="A1458" s="2" t="str">
        <f ca="1">IFERROR(__xludf.DUMMYFUNCTION("""COMPUTED_VALUE"""),"ba3fa42f")</f>
        <v>ba3fa42f</v>
      </c>
      <c r="B1458" s="2"/>
      <c r="C1458" s="5">
        <f ca="1">IFERROR(__xludf.DUMMYFUNCTION("""COMPUTED_VALUE"""),46084.7529050925)</f>
        <v>46084.7529050925</v>
      </c>
      <c r="D1458" s="2">
        <f ca="1">IFERROR(__xludf.DUMMYFUNCTION("""COMPUTED_VALUE"""),121)</f>
        <v>121</v>
      </c>
      <c r="E1458" s="2">
        <f ca="1">IFERROR(__xludf.DUMMYFUNCTION("""COMPUTED_VALUE"""),85800)</f>
        <v>85800</v>
      </c>
      <c r="F1458" s="2" t="str">
        <f ca="1">IFERROR(__xludf.DUMMYFUNCTION("""COMPUTED_VALUE"""),"Aspirant Anccelota PC")</f>
        <v>Aspirant Anccelota PC</v>
      </c>
      <c r="G1458" s="2">
        <f ca="1">IFERROR(__xludf.DUMMYFUNCTION("""COMPUTED_VALUE"""),0)</f>
        <v>0</v>
      </c>
      <c r="H1458" s="2">
        <f ca="1">IFERROR(__xludf.DUMMYFUNCTION("""COMPUTED_VALUE"""),27400)</f>
        <v>27400</v>
      </c>
      <c r="I1458" s="2"/>
      <c r="J1458" s="2"/>
      <c r="K1458" s="2" t="str">
        <f ca="1">IFERROR(__xludf.DUMMYFUNCTION("""COMPUTED_VALUE"""),"Descubada")</f>
        <v>Descubada</v>
      </c>
      <c r="L1458" s="2"/>
      <c r="M1458" s="2" t="str">
        <f ca="1">IFERROR(__xludf.DUMMYFUNCTION("""COMPUTED_VALUE"""),"Tinto")</f>
        <v>Tinto</v>
      </c>
    </row>
    <row r="1459" spans="1:13" x14ac:dyDescent="0.25">
      <c r="A1459" s="2" t="str">
        <f ca="1">IFERROR(__xludf.DUMMYFUNCTION("""COMPUTED_VALUE"""),"a0e117b7")</f>
        <v>a0e117b7</v>
      </c>
      <c r="B1459" s="2"/>
      <c r="C1459" s="5">
        <f ca="1">IFERROR(__xludf.DUMMYFUNCTION("""COMPUTED_VALUE"""),46084.7591435185)</f>
        <v>46084.759143518502</v>
      </c>
      <c r="D1459" s="2">
        <f ca="1">IFERROR(__xludf.DUMMYFUNCTION("""COMPUTED_VALUE"""),45)</f>
        <v>45</v>
      </c>
      <c r="E1459" s="2">
        <f ca="1">IFERROR(__xludf.DUMMYFUNCTION("""COMPUTED_VALUE"""),30000)</f>
        <v>30000</v>
      </c>
      <c r="F1459" s="2" t="str">
        <f ca="1">IFERROR(__xludf.DUMMYFUNCTION("""COMPUTED_VALUE"""),"Malbec Rect")</f>
        <v>Malbec Rect</v>
      </c>
      <c r="G1459" s="2">
        <f ca="1">IFERROR(__xludf.DUMMYFUNCTION("""COMPUTED_VALUE"""),6400)</f>
        <v>6400</v>
      </c>
      <c r="H1459" s="2">
        <f ca="1">IFERROR(__xludf.DUMMYFUNCTION("""COMPUTED_VALUE"""),15400)</f>
        <v>15400</v>
      </c>
      <c r="I1459" s="2"/>
      <c r="J1459" s="2"/>
      <c r="K1459" s="2" t="str">
        <f ca="1">IFERROR(__xludf.DUMMYFUNCTION("""COMPUTED_VALUE"""),"Rectificado")</f>
        <v>Rectificado</v>
      </c>
      <c r="L1459" s="2" t="str">
        <f ca="1">IFERROR(__xludf.DUMMYFUNCTION("""COMPUTED_VALUE"""),"2+")</f>
        <v>2+</v>
      </c>
      <c r="M1459" s="2"/>
    </row>
    <row r="1460" spans="1:13" x14ac:dyDescent="0.25">
      <c r="A1460" s="2" t="str">
        <f ca="1">IFERROR(__xludf.DUMMYFUNCTION("""COMPUTED_VALUE"""),"580a55ff")</f>
        <v>580a55ff</v>
      </c>
      <c r="B1460" s="2"/>
      <c r="C1460" s="5">
        <f ca="1">IFERROR(__xludf.DUMMYFUNCTION("""COMPUTED_VALUE"""),46084.7747222222)</f>
        <v>46084.774722222202</v>
      </c>
      <c r="D1460" s="2">
        <f ca="1">IFERROR(__xludf.DUMMYFUNCTION("""COMPUTED_VALUE"""),45)</f>
        <v>45</v>
      </c>
      <c r="E1460" s="2">
        <f ca="1">IFERROR(__xludf.DUMMYFUNCTION("""COMPUTED_VALUE"""),30000)</f>
        <v>30000</v>
      </c>
      <c r="F1460" s="2" t="str">
        <f ca="1">IFERROR(__xludf.DUMMYFUNCTION("""COMPUTED_VALUE"""),"Malbec Rect")</f>
        <v>Malbec Rect</v>
      </c>
      <c r="G1460" s="2">
        <f ca="1">IFERROR(__xludf.DUMMYFUNCTION("""COMPUTED_VALUE"""),15400)</f>
        <v>15400</v>
      </c>
      <c r="H1460" s="2">
        <f ca="1">IFERROR(__xludf.DUMMYFUNCTION("""COMPUTED_VALUE"""),800)</f>
        <v>800</v>
      </c>
      <c r="I1460" s="2"/>
      <c r="J1460" s="2"/>
      <c r="K1460" s="2" t="str">
        <f ca="1">IFERROR(__xludf.DUMMYFUNCTION("""COMPUTED_VALUE"""),"Rectificado")</f>
        <v>Rectificado</v>
      </c>
      <c r="L1460" s="2" t="str">
        <f ca="1">IFERROR(__xludf.DUMMYFUNCTION("""COMPUTED_VALUE"""),"2+")</f>
        <v>2+</v>
      </c>
      <c r="M1460" s="2" t="str">
        <f ca="1">IFERROR(__xludf.DUMMYFUNCTION("""COMPUTED_VALUE"""),"Tinto")</f>
        <v>Tinto</v>
      </c>
    </row>
    <row r="1461" spans="1:13" x14ac:dyDescent="0.25">
      <c r="A1461" s="2" t="str">
        <f ca="1">IFERROR(__xludf.DUMMYFUNCTION("""COMPUTED_VALUE"""),"c17f715b")</f>
        <v>c17f715b</v>
      </c>
      <c r="B1461" s="2"/>
      <c r="C1461" s="5">
        <f ca="1">IFERROR(__xludf.DUMMYFUNCTION("""COMPUTED_VALUE"""),46084.7759722222)</f>
        <v>46084.775972222204</v>
      </c>
      <c r="D1461" s="2">
        <f ca="1">IFERROR(__xludf.DUMMYFUNCTION("""COMPUTED_VALUE"""),89)</f>
        <v>89</v>
      </c>
      <c r="E1461" s="2">
        <f ca="1">IFERROR(__xludf.DUMMYFUNCTION("""COMPUTED_VALUE"""),83500)</f>
        <v>83500</v>
      </c>
      <c r="F1461" s="2" t="str">
        <f ca="1">IFERROR(__xludf.DUMMYFUNCTION("""COMPUTED_VALUE"""),"Syrah Anc PC")</f>
        <v>Syrah Anc PC</v>
      </c>
      <c r="G1461" s="2">
        <f ca="1">IFERROR(__xludf.DUMMYFUNCTION("""COMPUTED_VALUE"""),45000)</f>
        <v>45000</v>
      </c>
      <c r="H1461" s="2">
        <f ca="1">IFERROR(__xludf.DUMMYFUNCTION("""COMPUTED_VALUE"""),53000)</f>
        <v>53000</v>
      </c>
      <c r="I1461" s="2" t="str">
        <f ca="1">IFERROR(__xludf.DUMMYFUNCTION("""COMPUTED_VALUE"""),"6/3 está para prensar")</f>
        <v>6/3 está para prensar</v>
      </c>
      <c r="J1461" s="2"/>
      <c r="K1461" s="2" t="str">
        <f ca="1">IFERROR(__xludf.DUMMYFUNCTION("""COMPUTED_VALUE"""),"Fermentando")</f>
        <v>Fermentando</v>
      </c>
      <c r="L1461" s="2"/>
      <c r="M1461" s="2" t="str">
        <f ca="1">IFERROR(__xludf.DUMMYFUNCTION("""COMPUTED_VALUE"""),"Tinto")</f>
        <v>Tinto</v>
      </c>
    </row>
    <row r="1462" spans="1:13" x14ac:dyDescent="0.25">
      <c r="A1462" s="2" t="str">
        <f ca="1">IFERROR(__xludf.DUMMYFUNCTION("""COMPUTED_VALUE"""),"5dace063")</f>
        <v>5dace063</v>
      </c>
      <c r="B1462" s="2"/>
      <c r="C1462" s="5">
        <f ca="1">IFERROR(__xludf.DUMMYFUNCTION("""COMPUTED_VALUE"""),46084.7802893518)</f>
        <v>46084.780289351802</v>
      </c>
      <c r="D1462" s="2">
        <f ca="1">IFERROR(__xludf.DUMMYFUNCTION("""COMPUTED_VALUE"""),83)</f>
        <v>83</v>
      </c>
      <c r="E1462" s="2">
        <f ca="1">IFERROR(__xludf.DUMMYFUNCTION("""COMPUTED_VALUE"""),81500)</f>
        <v>81500</v>
      </c>
      <c r="F1462" s="2" t="str">
        <f ca="1">IFERROR(__xludf.DUMMYFUNCTION("""COMPUTED_VALUE"""),"Syrah s/Asp 1")</f>
        <v>Syrah s/Asp 1</v>
      </c>
      <c r="G1462" s="2">
        <f ca="1">IFERROR(__xludf.DUMMYFUNCTION("""COMPUTED_VALUE"""),20600)</f>
        <v>20600</v>
      </c>
      <c r="H1462" s="2">
        <f ca="1">IFERROR(__xludf.DUMMYFUNCTION("""COMPUTED_VALUE"""),48200)</f>
        <v>48200</v>
      </c>
      <c r="I1462" s="2"/>
      <c r="J1462" s="2"/>
      <c r="K1462" s="2" t="str">
        <f ca="1">IFERROR(__xludf.DUMMYFUNCTION("""COMPUTED_VALUE"""),"Fermentando")</f>
        <v>Fermentando</v>
      </c>
      <c r="L1462" s="2"/>
      <c r="M1462" s="2" t="str">
        <f ca="1">IFERROR(__xludf.DUMMYFUNCTION("""COMPUTED_VALUE"""),"Tinto")</f>
        <v>Tinto</v>
      </c>
    </row>
    <row r="1463" spans="1:13" x14ac:dyDescent="0.25">
      <c r="A1463" s="2" t="str">
        <f ca="1">IFERROR(__xludf.DUMMYFUNCTION("""COMPUTED_VALUE"""),"ba499da1")</f>
        <v>ba499da1</v>
      </c>
      <c r="B1463" s="2"/>
      <c r="C1463" s="5">
        <f ca="1">IFERROR(__xludf.DUMMYFUNCTION("""COMPUTED_VALUE"""),46084.7811342592)</f>
        <v>46084.781134259203</v>
      </c>
      <c r="D1463" s="2">
        <f ca="1">IFERROR(__xludf.DUMMYFUNCTION("""COMPUTED_VALUE"""),53)</f>
        <v>53</v>
      </c>
      <c r="E1463" s="2">
        <f ca="1">IFERROR(__xludf.DUMMYFUNCTION("""COMPUTED_VALUE"""),22000)</f>
        <v>22000</v>
      </c>
      <c r="F1463" s="2" t="str">
        <f ca="1">IFERROR(__xludf.DUMMYFUNCTION("""COMPUTED_VALUE"""),"Malbec")</f>
        <v>Malbec</v>
      </c>
      <c r="G1463" s="2">
        <f ca="1">IFERROR(__xludf.DUMMYFUNCTION("""COMPUTED_VALUE"""),0)</f>
        <v>0</v>
      </c>
      <c r="H1463" s="2">
        <f ca="1">IFERROR(__xludf.DUMMYFUNCTION("""COMPUTED_VALUE"""),22000)</f>
        <v>22000</v>
      </c>
      <c r="I1463" s="2"/>
      <c r="J1463" s="2"/>
      <c r="K1463" s="2" t="str">
        <f ca="1">IFERROR(__xludf.DUMMYFUNCTION("""COMPUTED_VALUE"""),"Terminado")</f>
        <v>Terminado</v>
      </c>
      <c r="L1463" s="2" t="str">
        <f ca="1">IFERROR(__xludf.DUMMYFUNCTION("""COMPUTED_VALUE"""),"1")</f>
        <v>1</v>
      </c>
      <c r="M1463" s="2" t="str">
        <f ca="1">IFERROR(__xludf.DUMMYFUNCTION("""COMPUTED_VALUE"""),"Tinto")</f>
        <v>Tinto</v>
      </c>
    </row>
    <row r="1464" spans="1:13" x14ac:dyDescent="0.25">
      <c r="A1464" s="2" t="str">
        <f ca="1">IFERROR(__xludf.DUMMYFUNCTION("""COMPUTED_VALUE"""),"fa9988f0")</f>
        <v>fa9988f0</v>
      </c>
      <c r="B1464" s="2"/>
      <c r="C1464" s="5">
        <f ca="1">IFERROR(__xludf.DUMMYFUNCTION("""COMPUTED_VALUE"""),46084.7813310185)</f>
        <v>46084.781331018501</v>
      </c>
      <c r="D1464" s="2">
        <f ca="1">IFERROR(__xludf.DUMMYFUNCTION("""COMPUTED_VALUE"""),50)</f>
        <v>50</v>
      </c>
      <c r="E1464" s="2">
        <f ca="1">IFERROR(__xludf.DUMMYFUNCTION("""COMPUTED_VALUE"""),5100)</f>
        <v>5100</v>
      </c>
      <c r="F1464" s="2" t="str">
        <f ca="1">IFERROR(__xludf.DUMMYFUNCTION("""COMPUTED_VALUE"""),"Malbec")</f>
        <v>Malbec</v>
      </c>
      <c r="G1464" s="2">
        <f ca="1">IFERROR(__xludf.DUMMYFUNCTION("""COMPUTED_VALUE"""),0)</f>
        <v>0</v>
      </c>
      <c r="H1464" s="2">
        <f ca="1">IFERROR(__xludf.DUMMYFUNCTION("""COMPUTED_VALUE"""),5100)</f>
        <v>5100</v>
      </c>
      <c r="I1464" s="2"/>
      <c r="J1464" s="2"/>
      <c r="K1464" s="2" t="str">
        <f ca="1">IFERROR(__xludf.DUMMYFUNCTION("""COMPUTED_VALUE"""),"Terminado")</f>
        <v>Terminado</v>
      </c>
      <c r="L1464" s="2" t="str">
        <f ca="1">IFERROR(__xludf.DUMMYFUNCTION("""COMPUTED_VALUE"""),"1-")</f>
        <v>1-</v>
      </c>
      <c r="M1464" s="2" t="str">
        <f ca="1">IFERROR(__xludf.DUMMYFUNCTION("""COMPUTED_VALUE"""),"Tinto")</f>
        <v>Tinto</v>
      </c>
    </row>
    <row r="1465" spans="1:13" x14ac:dyDescent="0.25">
      <c r="A1465" s="2" t="str">
        <f ca="1">IFERROR(__xludf.DUMMYFUNCTION("""COMPUTED_VALUE"""),"661c51ce")</f>
        <v>661c51ce</v>
      </c>
      <c r="B1465" s="2"/>
      <c r="C1465" s="5">
        <f ca="1">IFERROR(__xludf.DUMMYFUNCTION("""COMPUTED_VALUE"""),46084.7815046296)</f>
        <v>46084.781504629602</v>
      </c>
      <c r="D1465" s="2">
        <f ca="1">IFERROR(__xludf.DUMMYFUNCTION("""COMPUTED_VALUE"""),51)</f>
        <v>51</v>
      </c>
      <c r="E1465" s="2">
        <f ca="1">IFERROR(__xludf.DUMMYFUNCTION("""COMPUTED_VALUE"""),3900)</f>
        <v>3900</v>
      </c>
      <c r="F1465" s="2" t="str">
        <f ca="1">IFERROR(__xludf.DUMMYFUNCTION("""COMPUTED_VALUE"""),"Malbec")</f>
        <v>Malbec</v>
      </c>
      <c r="G1465" s="2">
        <f ca="1">IFERROR(__xludf.DUMMYFUNCTION("""COMPUTED_VALUE"""),0)</f>
        <v>0</v>
      </c>
      <c r="H1465" s="2">
        <f ca="1">IFERROR(__xludf.DUMMYFUNCTION("""COMPUTED_VALUE"""),3900)</f>
        <v>3900</v>
      </c>
      <c r="I1465" s="2"/>
      <c r="J1465" s="2"/>
      <c r="K1465" s="2" t="str">
        <f ca="1">IFERROR(__xludf.DUMMYFUNCTION("""COMPUTED_VALUE"""),"Filtrado Tang")</f>
        <v>Filtrado Tang</v>
      </c>
      <c r="L1465" s="2" t="str">
        <f ca="1">IFERROR(__xludf.DUMMYFUNCTION("""COMPUTED_VALUE"""),"1")</f>
        <v>1</v>
      </c>
      <c r="M1465" s="2" t="str">
        <f ca="1">IFERROR(__xludf.DUMMYFUNCTION("""COMPUTED_VALUE"""),"Tinto")</f>
        <v>Tinto</v>
      </c>
    </row>
    <row r="1466" spans="1:13" x14ac:dyDescent="0.25">
      <c r="A1466" s="2" t="str">
        <f ca="1">IFERROR(__xludf.DUMMYFUNCTION("""COMPUTED_VALUE"""),"313f8966")</f>
        <v>313f8966</v>
      </c>
      <c r="B1466" s="2"/>
      <c r="C1466" s="5">
        <f ca="1">IFERROR(__xludf.DUMMYFUNCTION("""COMPUTED_VALUE"""),46085.7520254629)</f>
        <v>46085.752025462898</v>
      </c>
      <c r="D1466" s="2">
        <f ca="1">IFERROR(__xludf.DUMMYFUNCTION("""COMPUTED_VALUE"""),85)</f>
        <v>85</v>
      </c>
      <c r="E1466" s="2">
        <f ca="1">IFERROR(__xludf.DUMMYFUNCTION("""COMPUTED_VALUE"""),84000)</f>
        <v>84000</v>
      </c>
      <c r="F1466" s="2" t="str">
        <f ca="1">IFERROR(__xludf.DUMMYFUNCTION("""COMPUTED_VALUE"""),"Syrah")</f>
        <v>Syrah</v>
      </c>
      <c r="G1466" s="2">
        <f ca="1">IFERROR(__xludf.DUMMYFUNCTION("""COMPUTED_VALUE"""),9300)</f>
        <v>9300</v>
      </c>
      <c r="H1466" s="2">
        <f ca="1">IFERROR(__xludf.DUMMYFUNCTION("""COMPUTED_VALUE"""),0)</f>
        <v>0</v>
      </c>
      <c r="I1466" s="2"/>
      <c r="J1466" s="2"/>
      <c r="K1466" s="2" t="str">
        <f ca="1">IFERROR(__xludf.DUMMYFUNCTION("""COMPUTED_VALUE"""),"Fermentando")</f>
        <v>Fermentando</v>
      </c>
      <c r="L1466" s="2"/>
      <c r="M1466" s="2"/>
    </row>
    <row r="1467" spans="1:13" x14ac:dyDescent="0.25">
      <c r="A1467" s="2" t="str">
        <f ca="1">IFERROR(__xludf.DUMMYFUNCTION("""COMPUTED_VALUE"""),"b0ae0a62")</f>
        <v>b0ae0a62</v>
      </c>
      <c r="B1467" s="2"/>
      <c r="C1467" s="5">
        <f ca="1">IFERROR(__xludf.DUMMYFUNCTION("""COMPUTED_VALUE"""),46085.7522337962)</f>
        <v>46085.7522337962</v>
      </c>
      <c r="D1467" s="2">
        <f ca="1">IFERROR(__xludf.DUMMYFUNCTION("""COMPUTED_VALUE"""),85)</f>
        <v>85</v>
      </c>
      <c r="E1467" s="2">
        <f ca="1">IFERROR(__xludf.DUMMYFUNCTION("""COMPUTED_VALUE"""),84000)</f>
        <v>84000</v>
      </c>
      <c r="F1467" s="2" t="str">
        <f ca="1">IFERROR(__xludf.DUMMYFUNCTION("""COMPUTED_VALUE"""),"Syrah Malbec")</f>
        <v>Syrah Malbec</v>
      </c>
      <c r="G1467" s="2"/>
      <c r="H1467" s="2">
        <f ca="1">IFERROR(__xludf.DUMMYFUNCTION("""COMPUTED_VALUE"""),53000)</f>
        <v>53000</v>
      </c>
      <c r="I1467" s="2"/>
      <c r="J1467" s="2" t="str">
        <f ca="1">IFERROR(__xludf.DUMMYFUNCTION("""COMPUTED_VALUE"""),"6274 , 6275 , 6276 , 6277 , 6278 , 6279 , 6280")</f>
        <v>6274 , 6275 , 6276 , 6277 , 6278 , 6279 , 6280</v>
      </c>
      <c r="K1467" s="2" t="str">
        <f ca="1">IFERROR(__xludf.DUMMYFUNCTION("""COMPUTED_VALUE"""),"Fermentando")</f>
        <v>Fermentando</v>
      </c>
      <c r="L1467" s="2"/>
      <c r="M1467" s="2" t="str">
        <f ca="1">IFERROR(__xludf.DUMMYFUNCTION("""COMPUTED_VALUE"""),"Tinto")</f>
        <v>Tinto</v>
      </c>
    </row>
    <row r="1468" spans="1:13" x14ac:dyDescent="0.25">
      <c r="A1468" s="2" t="str">
        <f ca="1">IFERROR(__xludf.DUMMYFUNCTION("""COMPUTED_VALUE"""),"e8d6b776")</f>
        <v>e8d6b776</v>
      </c>
      <c r="B1468" s="2"/>
      <c r="C1468" s="5">
        <f ca="1">IFERROR(__xludf.DUMMYFUNCTION("""COMPUTED_VALUE"""),46086.8058333333)</f>
        <v>46086.805833333303</v>
      </c>
      <c r="D1468" s="2">
        <f ca="1">IFERROR(__xludf.DUMMYFUNCTION("""COMPUTED_VALUE"""),8)</f>
        <v>8</v>
      </c>
      <c r="E1468" s="2">
        <f ca="1">IFERROR(__xludf.DUMMYFUNCTION("""COMPUTED_VALUE"""),22000)</f>
        <v>22000</v>
      </c>
      <c r="F1468" s="2" t="str">
        <f ca="1">IFERROR(__xludf.DUMMYFUNCTION("""COMPUTED_VALUE"""),"Chardonnay Mosto Rect")</f>
        <v>Chardonnay Mosto Rect</v>
      </c>
      <c r="G1468" s="2">
        <f ca="1">IFERROR(__xludf.DUMMYFUNCTION("""COMPUTED_VALUE"""),9000)</f>
        <v>9000</v>
      </c>
      <c r="H1468" s="2">
        <f ca="1">IFERROR(__xludf.DUMMYFUNCTION("""COMPUTED_VALUE"""),5500)</f>
        <v>5500</v>
      </c>
      <c r="I1468" s="2"/>
      <c r="J1468" s="2"/>
      <c r="K1468" s="2" t="str">
        <f ca="1">IFERROR(__xludf.DUMMYFUNCTION("""COMPUTED_VALUE"""),"Rectificado")</f>
        <v>Rectificado</v>
      </c>
      <c r="L1468" s="2"/>
      <c r="M1468" s="2"/>
    </row>
    <row r="1469" spans="1:13" x14ac:dyDescent="0.25">
      <c r="A1469" s="2" t="str">
        <f ca="1">IFERROR(__xludf.DUMMYFUNCTION("""COMPUTED_VALUE"""),"b550c76d")</f>
        <v>b550c76d</v>
      </c>
      <c r="B1469" s="2"/>
      <c r="C1469" s="5">
        <f ca="1">IFERROR(__xludf.DUMMYFUNCTION("""COMPUTED_VALUE"""),46086.806412037)</f>
        <v>46086.806412037004</v>
      </c>
      <c r="D1469" s="2">
        <f ca="1">IFERROR(__xludf.DUMMYFUNCTION("""COMPUTED_VALUE"""),8)</f>
        <v>8</v>
      </c>
      <c r="E1469" s="2">
        <f ca="1">IFERROR(__xludf.DUMMYFUNCTION("""COMPUTED_VALUE"""),22000)</f>
        <v>22000</v>
      </c>
      <c r="F1469" s="2" t="str">
        <f ca="1">IFERROR(__xludf.DUMMYFUNCTION("""COMPUTED_VALUE"""),"Chardonnay Mosto Rect")</f>
        <v>Chardonnay Mosto Rect</v>
      </c>
      <c r="G1469" s="2">
        <f ca="1">IFERROR(__xludf.DUMMYFUNCTION("""COMPUTED_VALUE"""),5500)</f>
        <v>5500</v>
      </c>
      <c r="H1469" s="2">
        <f ca="1">IFERROR(__xludf.DUMMYFUNCTION("""COMPUTED_VALUE"""),2900)</f>
        <v>2900</v>
      </c>
      <c r="I1469" s="2"/>
      <c r="J1469" s="2"/>
      <c r="K1469" s="2" t="str">
        <f ca="1">IFERROR(__xludf.DUMMYFUNCTION("""COMPUTED_VALUE"""),"Rectificado")</f>
        <v>Rectificado</v>
      </c>
      <c r="L1469" s="2"/>
      <c r="M1469" s="2" t="str">
        <f ca="1">IFERROR(__xludf.DUMMYFUNCTION("""COMPUTED_VALUE"""),"Blanco")</f>
        <v>Blanco</v>
      </c>
    </row>
    <row r="1470" spans="1:13" x14ac:dyDescent="0.25">
      <c r="A1470" s="2" t="str">
        <f ca="1">IFERROR(__xludf.DUMMYFUNCTION("""COMPUTED_VALUE"""),"8e292d12")</f>
        <v>8e292d12</v>
      </c>
      <c r="B1470" s="2"/>
      <c r="C1470" s="5">
        <f ca="1">IFERROR(__xludf.DUMMYFUNCTION("""COMPUTED_VALUE"""),46086.8077199074)</f>
        <v>46086.807719907403</v>
      </c>
      <c r="D1470" s="2">
        <f ca="1">IFERROR(__xludf.DUMMYFUNCTION("""COMPUTED_VALUE"""),73)</f>
        <v>73</v>
      </c>
      <c r="E1470" s="2">
        <f ca="1">IFERROR(__xludf.DUMMYFUNCTION("""COMPUTED_VALUE"""),13000)</f>
        <v>13000</v>
      </c>
      <c r="F1470" s="2" t="str">
        <f ca="1">IFERROR(__xludf.DUMMYFUNCTION("""COMPUTED_VALUE"""),"Syrah s/Asp 2")</f>
        <v>Syrah s/Asp 2</v>
      </c>
      <c r="G1470" s="2">
        <f ca="1">IFERROR(__xludf.DUMMYFUNCTION("""COMPUTED_VALUE"""),0)</f>
        <v>0</v>
      </c>
      <c r="H1470" s="2">
        <f ca="1">IFERROR(__xludf.DUMMYFUNCTION("""COMPUTED_VALUE"""),9000)</f>
        <v>9000</v>
      </c>
      <c r="I1470" s="2"/>
      <c r="J1470" s="2"/>
      <c r="K1470" s="2" t="str">
        <f ca="1">IFERROR(__xludf.DUMMYFUNCTION("""COMPUTED_VALUE"""),"Descubada")</f>
        <v>Descubada</v>
      </c>
      <c r="L1470" s="2"/>
      <c r="M1470" s="2"/>
    </row>
    <row r="1471" spans="1:13" x14ac:dyDescent="0.25">
      <c r="A1471" s="2" t="str">
        <f ca="1">IFERROR(__xludf.DUMMYFUNCTION("""COMPUTED_VALUE"""),"95936008")</f>
        <v>95936008</v>
      </c>
      <c r="B1471" s="2"/>
      <c r="C1471" s="5">
        <f ca="1">IFERROR(__xludf.DUMMYFUNCTION("""COMPUTED_VALUE"""),46086.8082407407)</f>
        <v>46086.808240740698</v>
      </c>
      <c r="D1471" s="2">
        <f ca="1">IFERROR(__xludf.DUMMYFUNCTION("""COMPUTED_VALUE"""),73)</f>
        <v>73</v>
      </c>
      <c r="E1471" s="2">
        <f ca="1">IFERROR(__xludf.DUMMYFUNCTION("""COMPUTED_VALUE"""),13000)</f>
        <v>13000</v>
      </c>
      <c r="F1471" s="2" t="str">
        <f ca="1">IFERROR(__xludf.DUMMYFUNCTION("""COMPUTED_VALUE"""),"Syrah s/Asp 2")</f>
        <v>Syrah s/Asp 2</v>
      </c>
      <c r="G1471" s="2">
        <f ca="1">IFERROR(__xludf.DUMMYFUNCTION("""COMPUTED_VALUE"""),9000)</f>
        <v>9000</v>
      </c>
      <c r="H1471" s="2">
        <f ca="1">IFERROR(__xludf.DUMMYFUNCTION("""COMPUTED_VALUE"""),13000)</f>
        <v>13000</v>
      </c>
      <c r="I1471" s="2"/>
      <c r="J1471" s="2"/>
      <c r="K1471" s="2" t="str">
        <f ca="1">IFERROR(__xludf.DUMMYFUNCTION("""COMPUTED_VALUE"""),"Descubada")</f>
        <v>Descubada</v>
      </c>
      <c r="L1471" s="2" t="str">
        <f ca="1">IFERROR(__xludf.DUMMYFUNCTION("""COMPUTED_VALUE"""),"1")</f>
        <v>1</v>
      </c>
      <c r="M1471" s="2" t="str">
        <f ca="1">IFERROR(__xludf.DUMMYFUNCTION("""COMPUTED_VALUE"""),"Tinto")</f>
        <v>Tinto</v>
      </c>
    </row>
    <row r="1472" spans="1:13" x14ac:dyDescent="0.25">
      <c r="A1472" s="2" t="str">
        <f ca="1">IFERROR(__xludf.DUMMYFUNCTION("""COMPUTED_VALUE"""),"be3ca69c")</f>
        <v>be3ca69c</v>
      </c>
      <c r="B1472" s="2"/>
      <c r="C1472" s="5">
        <f ca="1">IFERROR(__xludf.DUMMYFUNCTION("""COMPUTED_VALUE"""),46086.8086689814)</f>
        <v>46086.808668981401</v>
      </c>
      <c r="D1472" s="2">
        <f ca="1">IFERROR(__xludf.DUMMYFUNCTION("""COMPUTED_VALUE"""),71)</f>
        <v>71</v>
      </c>
      <c r="E1472" s="2">
        <f ca="1">IFERROR(__xludf.DUMMYFUNCTION("""COMPUTED_VALUE"""),13000)</f>
        <v>13000</v>
      </c>
      <c r="F1472" s="2" t="str">
        <f ca="1">IFERROR(__xludf.DUMMYFUNCTION("""COMPUTED_VALUE"""),"Syrah s/Asp 2")</f>
        <v>Syrah s/Asp 2</v>
      </c>
      <c r="G1472" s="2">
        <f ca="1">IFERROR(__xludf.DUMMYFUNCTION("""COMPUTED_VALUE"""),0)</f>
        <v>0</v>
      </c>
      <c r="H1472" s="2">
        <f ca="1">IFERROR(__xludf.DUMMYFUNCTION("""COMPUTED_VALUE"""),6000)</f>
        <v>6000</v>
      </c>
      <c r="I1472" s="2"/>
      <c r="J1472" s="2"/>
      <c r="K1472" s="2" t="str">
        <f ca="1">IFERROR(__xludf.DUMMYFUNCTION("""COMPUTED_VALUE"""),"Descubada")</f>
        <v>Descubada</v>
      </c>
      <c r="L1472" s="2"/>
      <c r="M1472" s="2"/>
    </row>
    <row r="1473" spans="1:13" x14ac:dyDescent="0.25">
      <c r="A1473" s="2" t="str">
        <f ca="1">IFERROR(__xludf.DUMMYFUNCTION("""COMPUTED_VALUE"""),"f45cc2c7")</f>
        <v>f45cc2c7</v>
      </c>
      <c r="B1473" s="2"/>
      <c r="C1473" s="5">
        <f ca="1">IFERROR(__xludf.DUMMYFUNCTION("""COMPUTED_VALUE"""),46086.8105208333)</f>
        <v>46086.8105208333</v>
      </c>
      <c r="D1473" s="2">
        <f ca="1">IFERROR(__xludf.DUMMYFUNCTION("""COMPUTED_VALUE"""),66)</f>
        <v>66</v>
      </c>
      <c r="E1473" s="2">
        <f ca="1">IFERROR(__xludf.DUMMYFUNCTION("""COMPUTED_VALUE"""),23000)</f>
        <v>23000</v>
      </c>
      <c r="F1473" s="2" t="str">
        <f ca="1">IFERROR(__xludf.DUMMYFUNCTION("""COMPUTED_VALUE"""),"Syrah Anc PC s/Asp 3")</f>
        <v>Syrah Anc PC s/Asp 3</v>
      </c>
      <c r="G1473" s="2">
        <f ca="1">IFERROR(__xludf.DUMMYFUNCTION("""COMPUTED_VALUE"""),10000)</f>
        <v>10000</v>
      </c>
      <c r="H1473" s="2">
        <f ca="1">IFERROR(__xludf.DUMMYFUNCTION("""COMPUTED_VALUE"""),19000)</f>
        <v>19000</v>
      </c>
      <c r="I1473" s="2"/>
      <c r="J1473" s="2"/>
      <c r="K1473" s="2" t="str">
        <f ca="1">IFERROR(__xludf.DUMMYFUNCTION("""COMPUTED_VALUE"""),"Fermentando")</f>
        <v>Fermentando</v>
      </c>
      <c r="L1473" s="2"/>
      <c r="M1473" s="2"/>
    </row>
    <row r="1474" spans="1:13" x14ac:dyDescent="0.25">
      <c r="A1474" s="2" t="str">
        <f ca="1">IFERROR(__xludf.DUMMYFUNCTION("""COMPUTED_VALUE"""),"aeb3f134")</f>
        <v>aeb3f134</v>
      </c>
      <c r="B1474" s="2"/>
      <c r="C1474" s="5">
        <f ca="1">IFERROR(__xludf.DUMMYFUNCTION("""COMPUTED_VALUE"""),46086.8113425925)</f>
        <v>46086.811342592497</v>
      </c>
      <c r="D1474" s="2">
        <f ca="1">IFERROR(__xludf.DUMMYFUNCTION("""COMPUTED_VALUE"""),79)</f>
        <v>79</v>
      </c>
      <c r="E1474" s="2">
        <f ca="1">IFERROR(__xludf.DUMMYFUNCTION("""COMPUTED_VALUE"""),26000)</f>
        <v>26000</v>
      </c>
      <c r="F1474" s="2" t="str">
        <f ca="1">IFERROR(__xludf.DUMMYFUNCTION("""COMPUTED_VALUE"""),"Malbec Mer s/Asp 3")</f>
        <v>Malbec Mer s/Asp 3</v>
      </c>
      <c r="G1474" s="2">
        <f ca="1">IFERROR(__xludf.DUMMYFUNCTION("""COMPUTED_VALUE"""),11750)</f>
        <v>11750</v>
      </c>
      <c r="H1474" s="2">
        <f ca="1">IFERROR(__xludf.DUMMYFUNCTION("""COMPUTED_VALUE"""),20750)</f>
        <v>20750</v>
      </c>
      <c r="I1474" s="2"/>
      <c r="J1474" s="2"/>
      <c r="K1474" s="2" t="str">
        <f ca="1">IFERROR(__xludf.DUMMYFUNCTION("""COMPUTED_VALUE"""),"Fermentando")</f>
        <v>Fermentando</v>
      </c>
      <c r="L1474" s="2"/>
      <c r="M1474" s="2"/>
    </row>
    <row r="1475" spans="1:13" x14ac:dyDescent="0.25">
      <c r="A1475" s="2" t="str">
        <f ca="1">IFERROR(__xludf.DUMMYFUNCTION("""COMPUTED_VALUE"""),"7161f26d")</f>
        <v>7161f26d</v>
      </c>
      <c r="B1475" s="2"/>
      <c r="C1475" s="5">
        <f ca="1">IFERROR(__xludf.DUMMYFUNCTION("""COMPUTED_VALUE"""),46086.8119560185)</f>
        <v>46086.8119560185</v>
      </c>
      <c r="D1475" s="2">
        <f ca="1">IFERROR(__xludf.DUMMYFUNCTION("""COMPUTED_VALUE"""),49)</f>
        <v>49</v>
      </c>
      <c r="E1475" s="2">
        <f ca="1">IFERROR(__xludf.DUMMYFUNCTION("""COMPUTED_VALUE"""),26000)</f>
        <v>26000</v>
      </c>
      <c r="F1475" s="2" t="str">
        <f ca="1">IFERROR(__xludf.DUMMYFUNCTION("""COMPUTED_VALUE"""),"Malbec Rectificado")</f>
        <v>Malbec Rectificado</v>
      </c>
      <c r="G1475" s="2">
        <f ca="1">IFERROR(__xludf.DUMMYFUNCTION("""COMPUTED_VALUE"""),26000)</f>
        <v>26000</v>
      </c>
      <c r="H1475" s="2">
        <f ca="1">IFERROR(__xludf.DUMMYFUNCTION("""COMPUTED_VALUE"""),18000)</f>
        <v>18000</v>
      </c>
      <c r="I1475" s="2"/>
      <c r="J1475" s="2"/>
      <c r="K1475" s="2" t="str">
        <f ca="1">IFERROR(__xludf.DUMMYFUNCTION("""COMPUTED_VALUE"""),"Rectificado")</f>
        <v>Rectificado</v>
      </c>
      <c r="L1475" s="2" t="str">
        <f ca="1">IFERROR(__xludf.DUMMYFUNCTION("""COMPUTED_VALUE"""),"1")</f>
        <v>1</v>
      </c>
      <c r="M1475" s="2"/>
    </row>
    <row r="1476" spans="1:13" x14ac:dyDescent="0.25">
      <c r="A1476" s="2" t="str">
        <f ca="1">IFERROR(__xludf.DUMMYFUNCTION("""COMPUTED_VALUE"""),"099cbce1")</f>
        <v>099cbce1</v>
      </c>
      <c r="B1476" s="2"/>
      <c r="C1476" s="5">
        <f ca="1">IFERROR(__xludf.DUMMYFUNCTION("""COMPUTED_VALUE"""),46086.8122916666)</f>
        <v>46086.812291666603</v>
      </c>
      <c r="D1476" s="2">
        <f ca="1">IFERROR(__xludf.DUMMYFUNCTION("""COMPUTED_VALUE"""),49)</f>
        <v>49</v>
      </c>
      <c r="E1476" s="2">
        <f ca="1">IFERROR(__xludf.DUMMYFUNCTION("""COMPUTED_VALUE"""),26000)</f>
        <v>26000</v>
      </c>
      <c r="F1476" s="2" t="str">
        <f ca="1">IFERROR(__xludf.DUMMYFUNCTION("""COMPUTED_VALUE"""),"Malbec Rectificado")</f>
        <v>Malbec Rectificado</v>
      </c>
      <c r="G1476" s="2">
        <f ca="1">IFERROR(__xludf.DUMMYFUNCTION("""COMPUTED_VALUE"""),18000)</f>
        <v>18000</v>
      </c>
      <c r="H1476" s="2">
        <f ca="1">IFERROR(__xludf.DUMMYFUNCTION("""COMPUTED_VALUE"""),10000)</f>
        <v>10000</v>
      </c>
      <c r="I1476" s="2"/>
      <c r="J1476" s="2"/>
      <c r="K1476" s="2" t="str">
        <f ca="1">IFERROR(__xludf.DUMMYFUNCTION("""COMPUTED_VALUE"""),"Rectificado")</f>
        <v>Rectificado</v>
      </c>
      <c r="L1476" s="2" t="str">
        <f ca="1">IFERROR(__xludf.DUMMYFUNCTION("""COMPUTED_VALUE"""),"1")</f>
        <v>1</v>
      </c>
      <c r="M1476" s="2"/>
    </row>
    <row r="1477" spans="1:13" x14ac:dyDescent="0.25">
      <c r="A1477" s="2" t="str">
        <f ca="1">IFERROR(__xludf.DUMMYFUNCTION("""COMPUTED_VALUE"""),"38762156")</f>
        <v>38762156</v>
      </c>
      <c r="B1477" s="2"/>
      <c r="C1477" s="5">
        <f ca="1">IFERROR(__xludf.DUMMYFUNCTION("""COMPUTED_VALUE"""),46087.3859027777)</f>
        <v>46087.3859027777</v>
      </c>
      <c r="D1477" s="2">
        <f ca="1">IFERROR(__xludf.DUMMYFUNCTION("""COMPUTED_VALUE"""),87)</f>
        <v>87</v>
      </c>
      <c r="E1477" s="2">
        <f ca="1">IFERROR(__xludf.DUMMYFUNCTION("""COMPUTED_VALUE"""),93700)</f>
        <v>93700</v>
      </c>
      <c r="F1477" s="2" t="str">
        <f ca="1">IFERROR(__xludf.DUMMYFUNCTION("""COMPUTED_VALUE"""),"Syrah Merlot")</f>
        <v>Syrah Merlot</v>
      </c>
      <c r="G1477" s="2"/>
      <c r="H1477" s="2">
        <f ca="1">IFERROR(__xludf.DUMMYFUNCTION("""COMPUTED_VALUE"""),55000)</f>
        <v>55000</v>
      </c>
      <c r="I1477" s="2"/>
      <c r="J1477" s="2" t="str">
        <f ca="1">IFERROR(__xludf.DUMMYFUNCTION("""COMPUTED_VALUE"""),"6281 , 6282 , 6283 , 6284 , 6285 , 6286 , 6287 , 6288")</f>
        <v>6281 , 6282 , 6283 , 6284 , 6285 , 6286 , 6287 , 6288</v>
      </c>
      <c r="K1477" s="2" t="str">
        <f ca="1">IFERROR(__xludf.DUMMYFUNCTION("""COMPUTED_VALUE"""),"Fermentando")</f>
        <v>Fermentando</v>
      </c>
      <c r="L1477" s="2"/>
      <c r="M1477" s="2" t="str">
        <f ca="1">IFERROR(__xludf.DUMMYFUNCTION("""COMPUTED_VALUE"""),"Tinto")</f>
        <v>Tinto</v>
      </c>
    </row>
    <row r="1478" spans="1:13" x14ac:dyDescent="0.25">
      <c r="A1478" s="2" t="str">
        <f ca="1">IFERROR(__xludf.DUMMYFUNCTION("""COMPUTED_VALUE"""),"c9f8a480")</f>
        <v>c9f8a480</v>
      </c>
      <c r="B1478" s="2"/>
      <c r="C1478" s="5">
        <f ca="1">IFERROR(__xludf.DUMMYFUNCTION("""COMPUTED_VALUE"""),46087.7831018518)</f>
        <v>46087.783101851797</v>
      </c>
      <c r="D1478" s="2">
        <f ca="1">IFERROR(__xludf.DUMMYFUNCTION("""COMPUTED_VALUE"""),81)</f>
        <v>81</v>
      </c>
      <c r="E1478" s="2">
        <f ca="1">IFERROR(__xludf.DUMMYFUNCTION("""COMPUTED_VALUE"""),26500)</f>
        <v>26500</v>
      </c>
      <c r="F1478" s="2" t="str">
        <f ca="1">IFERROR(__xludf.DUMMYFUNCTION("""COMPUTED_VALUE"""),"Syrah")</f>
        <v>Syrah</v>
      </c>
      <c r="G1478" s="2"/>
      <c r="H1478" s="2">
        <f ca="1">IFERROR(__xludf.DUMMYFUNCTION("""COMPUTED_VALUE"""),15000)</f>
        <v>15000</v>
      </c>
      <c r="I1478" s="2"/>
      <c r="J1478" s="2" t="str">
        <f ca="1">IFERROR(__xludf.DUMMYFUNCTION("""COMPUTED_VALUE"""),"6290 , 6289")</f>
        <v>6290 , 6289</v>
      </c>
      <c r="K1478" s="2"/>
      <c r="L1478" s="2"/>
      <c r="M1478" s="2"/>
    </row>
    <row r="1479" spans="1:13" x14ac:dyDescent="0.25">
      <c r="A1479" s="2" t="str">
        <f ca="1">IFERROR(__xludf.DUMMYFUNCTION("""COMPUTED_VALUE"""),"d9f9bd56")</f>
        <v>d9f9bd56</v>
      </c>
      <c r="B1479" s="2"/>
      <c r="C1479" s="5">
        <f ca="1">IFERROR(__xludf.DUMMYFUNCTION("""COMPUTED_VALUE"""),46087.7892476851)</f>
        <v>46087.789247685098</v>
      </c>
      <c r="D1479" s="2">
        <f ca="1">IFERROR(__xludf.DUMMYFUNCTION("""COMPUTED_VALUE"""),121)</f>
        <v>121</v>
      </c>
      <c r="E1479" s="2">
        <f ca="1">IFERROR(__xludf.DUMMYFUNCTION("""COMPUTED_VALUE"""),85800)</f>
        <v>85800</v>
      </c>
      <c r="F1479" s="2" t="str">
        <f ca="1">IFERROR(__xludf.DUMMYFUNCTION("""COMPUTED_VALUE"""),"Aspirant Anccelota PC")</f>
        <v>Aspirant Anccelota PC</v>
      </c>
      <c r="G1479" s="2">
        <f ca="1">IFERROR(__xludf.DUMMYFUNCTION("""COMPUTED_VALUE"""),27400)</f>
        <v>27400</v>
      </c>
      <c r="H1479" s="2">
        <f ca="1">IFERROR(__xludf.DUMMYFUNCTION("""COMPUTED_VALUE"""),54800)</f>
        <v>54800</v>
      </c>
      <c r="I1479" s="2"/>
      <c r="J1479" s="2"/>
      <c r="K1479" s="2" t="str">
        <f ca="1">IFERROR(__xludf.DUMMYFUNCTION("""COMPUTED_VALUE"""),"Descubada")</f>
        <v>Descubada</v>
      </c>
      <c r="L1479" s="2"/>
      <c r="M1479" s="2"/>
    </row>
    <row r="1480" spans="1:13" x14ac:dyDescent="0.25">
      <c r="A1480" s="2" t="str">
        <f ca="1">IFERROR(__xludf.DUMMYFUNCTION("""COMPUTED_VALUE"""),"e00d7591")</f>
        <v>e00d7591</v>
      </c>
      <c r="B1480" s="2"/>
      <c r="C1480" s="5">
        <f ca="1">IFERROR(__xludf.DUMMYFUNCTION("""COMPUTED_VALUE"""),46087.7897569444)</f>
        <v>46087.789756944403</v>
      </c>
      <c r="D1480" s="2">
        <f ca="1">IFERROR(__xludf.DUMMYFUNCTION("""COMPUTED_VALUE"""),121)</f>
        <v>121</v>
      </c>
      <c r="E1480" s="2">
        <f ca="1">IFERROR(__xludf.DUMMYFUNCTION("""COMPUTED_VALUE"""),85800)</f>
        <v>85800</v>
      </c>
      <c r="F1480" s="2" t="str">
        <f ca="1">IFERROR(__xludf.DUMMYFUNCTION("""COMPUTED_VALUE"""),"Aspirant Anccelota PC")</f>
        <v>Aspirant Anccelota PC</v>
      </c>
      <c r="G1480" s="2">
        <f ca="1">IFERROR(__xludf.DUMMYFUNCTION("""COMPUTED_VALUE"""),54800)</f>
        <v>54800</v>
      </c>
      <c r="H1480" s="2">
        <f ca="1">IFERROR(__xludf.DUMMYFUNCTION("""COMPUTED_VALUE"""),74800)</f>
        <v>74800</v>
      </c>
      <c r="I1480" s="2"/>
      <c r="J1480" s="2"/>
      <c r="K1480" s="2" t="str">
        <f ca="1">IFERROR(__xludf.DUMMYFUNCTION("""COMPUTED_VALUE"""),"Descubada")</f>
        <v>Descubada</v>
      </c>
      <c r="L1480" s="2"/>
      <c r="M1480" s="2"/>
    </row>
    <row r="1481" spans="1:13" x14ac:dyDescent="0.25">
      <c r="A1481" s="2" t="str">
        <f ca="1">IFERROR(__xludf.DUMMYFUNCTION("""COMPUTED_VALUE"""),"6c73bc22")</f>
        <v>6c73bc22</v>
      </c>
      <c r="B1481" s="2"/>
      <c r="C1481" s="5">
        <f ca="1">IFERROR(__xludf.DUMMYFUNCTION("""COMPUTED_VALUE"""),46087.7911111111)</f>
        <v>46087.791111111103</v>
      </c>
      <c r="D1481" s="2">
        <f ca="1">IFERROR(__xludf.DUMMYFUNCTION("""COMPUTED_VALUE"""),84)</f>
        <v>84</v>
      </c>
      <c r="E1481" s="2">
        <f ca="1">IFERROR(__xludf.DUMMYFUNCTION("""COMPUTED_VALUE"""),83000)</f>
        <v>83000</v>
      </c>
      <c r="F1481" s="2" t="str">
        <f ca="1">IFERROR(__xludf.DUMMYFUNCTION("""COMPUTED_VALUE"""),"Malbec Mer s/Asp")</f>
        <v>Malbec Mer s/Asp</v>
      </c>
      <c r="G1481" s="2">
        <f ca="1">IFERROR(__xludf.DUMMYFUNCTION("""COMPUTED_VALUE"""),20600)</f>
        <v>20600</v>
      </c>
      <c r="H1481" s="2">
        <f ca="1">IFERROR(__xludf.DUMMYFUNCTION("""COMPUTED_VALUE"""),48000)</f>
        <v>48000</v>
      </c>
      <c r="I1481" s="2"/>
      <c r="J1481" s="2"/>
      <c r="K1481" s="2" t="str">
        <f ca="1">IFERROR(__xludf.DUMMYFUNCTION("""COMPUTED_VALUE"""),"Fermentando")</f>
        <v>Fermentando</v>
      </c>
      <c r="L1481" s="2"/>
      <c r="M1481" s="2"/>
    </row>
    <row r="1482" spans="1:13" x14ac:dyDescent="0.25">
      <c r="A1482" s="2" t="str">
        <f ca="1">IFERROR(__xludf.DUMMYFUNCTION("""COMPUTED_VALUE"""),"f607b045")</f>
        <v>f607b045</v>
      </c>
      <c r="B1482" s="2"/>
      <c r="C1482" s="5">
        <f ca="1">IFERROR(__xludf.DUMMYFUNCTION("""COMPUTED_VALUE"""),46087.7924305555)</f>
        <v>46087.792430555499</v>
      </c>
      <c r="D1482" s="2">
        <f ca="1">IFERROR(__xludf.DUMMYFUNCTION("""COMPUTED_VALUE"""),84)</f>
        <v>84</v>
      </c>
      <c r="E1482" s="2">
        <f ca="1">IFERROR(__xludf.DUMMYFUNCTION("""COMPUTED_VALUE"""),83000)</f>
        <v>83000</v>
      </c>
      <c r="F1482" s="2" t="str">
        <f ca="1">IFERROR(__xludf.DUMMYFUNCTION("""COMPUTED_VALUE"""),"Malbec Mer s/Asp")</f>
        <v>Malbec Mer s/Asp</v>
      </c>
      <c r="G1482" s="2">
        <f ca="1">IFERROR(__xludf.DUMMYFUNCTION("""COMPUTED_VALUE"""),48000)</f>
        <v>48000</v>
      </c>
      <c r="H1482" s="2">
        <f ca="1">IFERROR(__xludf.DUMMYFUNCTION("""COMPUTED_VALUE"""),59500)</f>
        <v>59500</v>
      </c>
      <c r="I1482" s="2"/>
      <c r="J1482" s="2"/>
      <c r="K1482" s="2" t="str">
        <f ca="1">IFERROR(__xludf.DUMMYFUNCTION("""COMPUTED_VALUE"""),"Fermentando")</f>
        <v>Fermentando</v>
      </c>
      <c r="L1482" s="2"/>
      <c r="M1482" s="2"/>
    </row>
    <row r="1483" spans="1:13" x14ac:dyDescent="0.25">
      <c r="A1483" s="2" t="str">
        <f ca="1">IFERROR(__xludf.DUMMYFUNCTION("""COMPUTED_VALUE"""),"d54f843c")</f>
        <v>d54f843c</v>
      </c>
      <c r="B1483" s="2"/>
      <c r="C1483" s="5">
        <f ca="1">IFERROR(__xludf.DUMMYFUNCTION("""COMPUTED_VALUE"""),46087.7930092592)</f>
        <v>46087.7930092592</v>
      </c>
      <c r="D1483" s="2">
        <f ca="1">IFERROR(__xludf.DUMMYFUNCTION("""COMPUTED_VALUE"""),86)</f>
        <v>86</v>
      </c>
      <c r="E1483" s="2">
        <f ca="1">IFERROR(__xludf.DUMMYFUNCTION("""COMPUTED_VALUE"""),88000)</f>
        <v>88000</v>
      </c>
      <c r="F1483" s="2" t="str">
        <f ca="1">IFERROR(__xludf.DUMMYFUNCTION("""COMPUTED_VALUE"""),"Malbec Mer s/Asp")</f>
        <v>Malbec Mer s/Asp</v>
      </c>
      <c r="G1483" s="2">
        <f ca="1">IFERROR(__xludf.DUMMYFUNCTION("""COMPUTED_VALUE"""),20700)</f>
        <v>20700</v>
      </c>
      <c r="H1483" s="2">
        <f ca="1">IFERROR(__xludf.DUMMYFUNCTION("""COMPUTED_VALUE"""),31700)</f>
        <v>31700</v>
      </c>
      <c r="I1483" s="2"/>
      <c r="J1483" s="2"/>
      <c r="K1483" s="2" t="str">
        <f ca="1">IFERROR(__xludf.DUMMYFUNCTION("""COMPUTED_VALUE"""),"Fermentando")</f>
        <v>Fermentando</v>
      </c>
      <c r="L1483" s="2"/>
      <c r="M1483" s="2"/>
    </row>
    <row r="1484" spans="1:13" x14ac:dyDescent="0.25">
      <c r="A1484" s="2" t="str">
        <f ca="1">IFERROR(__xludf.DUMMYFUNCTION("""COMPUTED_VALUE"""),"1e90a5fc")</f>
        <v>1e90a5fc</v>
      </c>
      <c r="B1484" s="2"/>
      <c r="C1484" s="5">
        <f ca="1">IFERROR(__xludf.DUMMYFUNCTION("""COMPUTED_VALUE"""),46090.8202083333)</f>
        <v>46090.820208333302</v>
      </c>
      <c r="D1484" s="2">
        <f ca="1">IFERROR(__xludf.DUMMYFUNCTION("""COMPUTED_VALUE"""),86)</f>
        <v>86</v>
      </c>
      <c r="E1484" s="2">
        <f ca="1">IFERROR(__xludf.DUMMYFUNCTION("""COMPUTED_VALUE"""),88000)</f>
        <v>88000</v>
      </c>
      <c r="F1484" s="2" t="str">
        <f ca="1">IFERROR(__xludf.DUMMYFUNCTION("""COMPUTED_VALUE"""),"Syrah Anc s/Asp 2")</f>
        <v>Syrah Anc s/Asp 2</v>
      </c>
      <c r="G1484" s="2">
        <f ca="1">IFERROR(__xludf.DUMMYFUNCTION("""COMPUTED_VALUE"""),31700)</f>
        <v>31700</v>
      </c>
      <c r="H1484" s="2">
        <f ca="1">IFERROR(__xludf.DUMMYFUNCTION("""COMPUTED_VALUE"""),60000)</f>
        <v>60000</v>
      </c>
      <c r="I1484" s="2"/>
      <c r="J1484" s="2"/>
      <c r="K1484" s="2" t="str">
        <f ca="1">IFERROR(__xludf.DUMMYFUNCTION("""COMPUTED_VALUE"""),"Fermentando")</f>
        <v>Fermentando</v>
      </c>
      <c r="L1484" s="2"/>
      <c r="M1484" s="2"/>
    </row>
    <row r="1485" spans="1:13" x14ac:dyDescent="0.25">
      <c r="A1485" s="2" t="str">
        <f ca="1">IFERROR(__xludf.DUMMYFUNCTION("""COMPUTED_VALUE"""),"aad6a585")</f>
        <v>aad6a585</v>
      </c>
      <c r="B1485" s="2"/>
      <c r="C1485" s="5">
        <f ca="1">IFERROR(__xludf.DUMMYFUNCTION("""COMPUTED_VALUE"""),46090.8217013888)</f>
        <v>46090.821701388799</v>
      </c>
      <c r="D1485" s="2">
        <f ca="1">IFERROR(__xludf.DUMMYFUNCTION("""COMPUTED_VALUE"""),83)</f>
        <v>83</v>
      </c>
      <c r="E1485" s="2">
        <f ca="1">IFERROR(__xludf.DUMMYFUNCTION("""COMPUTED_VALUE"""),81500)</f>
        <v>81500</v>
      </c>
      <c r="F1485" s="2" t="str">
        <f ca="1">IFERROR(__xludf.DUMMYFUNCTION("""COMPUTED_VALUE"""),"Syrah Anc PC s/Asp 2")</f>
        <v>Syrah Anc PC s/Asp 2</v>
      </c>
      <c r="G1485" s="2">
        <f ca="1">IFERROR(__xludf.DUMMYFUNCTION("""COMPUTED_VALUE"""),48200)</f>
        <v>48200</v>
      </c>
      <c r="H1485" s="2">
        <f ca="1">IFERROR(__xludf.DUMMYFUNCTION("""COMPUTED_VALUE"""),71900)</f>
        <v>71900</v>
      </c>
      <c r="I1485" s="2"/>
      <c r="J1485" s="2"/>
      <c r="K1485" s="2" t="str">
        <f ca="1">IFERROR(__xludf.DUMMYFUNCTION("""COMPUTED_VALUE"""),"Fermentando")</f>
        <v>Fermentando</v>
      </c>
      <c r="L1485" s="2"/>
      <c r="M1485" s="2"/>
    </row>
    <row r="1486" spans="1:13" x14ac:dyDescent="0.25">
      <c r="A1486" s="2" t="str">
        <f ca="1">IFERROR(__xludf.DUMMYFUNCTION("""COMPUTED_VALUE"""),"d598321b")</f>
        <v>d598321b</v>
      </c>
      <c r="B1486" s="2"/>
      <c r="C1486" s="5">
        <f ca="1">IFERROR(__xludf.DUMMYFUNCTION("""COMPUTED_VALUE"""),46090.8259606481)</f>
        <v>46090.825960648101</v>
      </c>
      <c r="D1486" s="2">
        <f ca="1">IFERROR(__xludf.DUMMYFUNCTION("""COMPUTED_VALUE"""),41)</f>
        <v>41</v>
      </c>
      <c r="E1486" s="2">
        <f ca="1">IFERROR(__xludf.DUMMYFUNCTION("""COMPUTED_VALUE"""),35100)</f>
        <v>35100</v>
      </c>
      <c r="F1486" s="2" t="str">
        <f ca="1">IFERROR(__xludf.DUMMYFUNCTION("""COMPUTED_VALUE"""),"Malbec Mer s/Asp 3")</f>
        <v>Malbec Mer s/Asp 3</v>
      </c>
      <c r="G1486" s="2">
        <f ca="1">IFERROR(__xludf.DUMMYFUNCTION("""COMPUTED_VALUE"""),0)</f>
        <v>0</v>
      </c>
      <c r="H1486" s="2">
        <f ca="1">IFERROR(__xludf.DUMMYFUNCTION("""COMPUTED_VALUE"""),20750)</f>
        <v>20750</v>
      </c>
      <c r="I1486" s="2"/>
      <c r="J1486" s="2"/>
      <c r="K1486" s="2" t="str">
        <f ca="1">IFERROR(__xludf.DUMMYFUNCTION("""COMPUTED_VALUE"""),"Descubada")</f>
        <v>Descubada</v>
      </c>
      <c r="L1486" s="2"/>
      <c r="M1486" s="2"/>
    </row>
    <row r="1487" spans="1:13" x14ac:dyDescent="0.25">
      <c r="A1487" s="2" t="str">
        <f ca="1">IFERROR(__xludf.DUMMYFUNCTION("""COMPUTED_VALUE"""),"37b886cf")</f>
        <v>37b886cf</v>
      </c>
      <c r="B1487" s="2"/>
      <c r="C1487" s="5">
        <f ca="1">IFERROR(__xludf.DUMMYFUNCTION("""COMPUTED_VALUE"""),46090.8262384259)</f>
        <v>46090.8262384259</v>
      </c>
      <c r="D1487" s="2">
        <f ca="1">IFERROR(__xludf.DUMMYFUNCTION("""COMPUTED_VALUE"""),41)</f>
        <v>41</v>
      </c>
      <c r="E1487" s="2">
        <f ca="1">IFERROR(__xludf.DUMMYFUNCTION("""COMPUTED_VALUE"""),35100)</f>
        <v>35100</v>
      </c>
      <c r="F1487" s="2" t="str">
        <f ca="1">IFERROR(__xludf.DUMMYFUNCTION("""COMPUTED_VALUE"""),"Malbec Mer s/Asp 3")</f>
        <v>Malbec Mer s/Asp 3</v>
      </c>
      <c r="G1487" s="2">
        <f ca="1">IFERROR(__xludf.DUMMYFUNCTION("""COMPUTED_VALUE"""),20750)</f>
        <v>20750</v>
      </c>
      <c r="H1487" s="2">
        <f ca="1">IFERROR(__xludf.DUMMYFUNCTION("""COMPUTED_VALUE"""),35100)</f>
        <v>35100</v>
      </c>
      <c r="I1487" s="2"/>
      <c r="J1487" s="2"/>
      <c r="K1487" s="2" t="str">
        <f ca="1">IFERROR(__xludf.DUMMYFUNCTION("""COMPUTED_VALUE"""),"Descubada")</f>
        <v>Descubada</v>
      </c>
      <c r="L1487" s="2"/>
      <c r="M1487" s="2"/>
    </row>
    <row r="1488" spans="1:13" x14ac:dyDescent="0.25">
      <c r="A1488" s="2" t="str">
        <f ca="1">IFERROR(__xludf.DUMMYFUNCTION("""COMPUTED_VALUE"""),"b4099d8b")</f>
        <v>b4099d8b</v>
      </c>
      <c r="B1488" s="2"/>
      <c r="C1488" s="5">
        <f ca="1">IFERROR(__xludf.DUMMYFUNCTION("""COMPUTED_VALUE"""),46090.8265046296)</f>
        <v>46090.8265046296</v>
      </c>
      <c r="D1488" s="2">
        <f ca="1">IFERROR(__xludf.DUMMYFUNCTION("""COMPUTED_VALUE"""),42)</f>
        <v>42</v>
      </c>
      <c r="E1488" s="2">
        <f ca="1">IFERROR(__xludf.DUMMYFUNCTION("""COMPUTED_VALUE"""),35900)</f>
        <v>35900</v>
      </c>
      <c r="F1488" s="2" t="str">
        <f ca="1">IFERROR(__xludf.DUMMYFUNCTION("""COMPUTED_VALUE"""),"Syrah Anc PC s/Asp 3")</f>
        <v>Syrah Anc PC s/Asp 3</v>
      </c>
      <c r="G1488" s="2">
        <f ca="1">IFERROR(__xludf.DUMMYFUNCTION("""COMPUTED_VALUE"""),0)</f>
        <v>0</v>
      </c>
      <c r="H1488" s="2">
        <f ca="1">IFERROR(__xludf.DUMMYFUNCTION("""COMPUTED_VALUE"""),4650)</f>
        <v>4650</v>
      </c>
      <c r="I1488" s="2"/>
      <c r="J1488" s="2"/>
      <c r="K1488" s="2" t="str">
        <f ca="1">IFERROR(__xludf.DUMMYFUNCTION("""COMPUTED_VALUE"""),"Descubada")</f>
        <v>Descubada</v>
      </c>
      <c r="L1488" s="2"/>
      <c r="M1488" s="2"/>
    </row>
    <row r="1489" spans="1:13" x14ac:dyDescent="0.25">
      <c r="A1489" s="2" t="str">
        <f ca="1">IFERROR(__xludf.DUMMYFUNCTION("""COMPUTED_VALUE"""),"f6e3f327")</f>
        <v>f6e3f327</v>
      </c>
      <c r="B1489" s="2"/>
      <c r="C1489" s="5">
        <f ca="1">IFERROR(__xludf.DUMMYFUNCTION("""COMPUTED_VALUE"""),46090.8271296296)</f>
        <v>46090.827129629601</v>
      </c>
      <c r="D1489" s="2">
        <f ca="1">IFERROR(__xludf.DUMMYFUNCTION("""COMPUTED_VALUE"""),49)</f>
        <v>49</v>
      </c>
      <c r="E1489" s="2">
        <f ca="1">IFERROR(__xludf.DUMMYFUNCTION("""COMPUTED_VALUE"""),26000)</f>
        <v>26000</v>
      </c>
      <c r="F1489" s="2" t="str">
        <f ca="1">IFERROR(__xludf.DUMMYFUNCTION("""COMPUTED_VALUE"""),"Malbec Rectificado")</f>
        <v>Malbec Rectificado</v>
      </c>
      <c r="G1489" s="2">
        <f ca="1">IFERROR(__xludf.DUMMYFUNCTION("""COMPUTED_VALUE"""),10000)</f>
        <v>10000</v>
      </c>
      <c r="H1489" s="2">
        <f ca="1">IFERROR(__xludf.DUMMYFUNCTION("""COMPUTED_VALUE"""),0)</f>
        <v>0</v>
      </c>
      <c r="I1489" s="2"/>
      <c r="J1489" s="2"/>
      <c r="K1489" s="2" t="str">
        <f ca="1">IFERROR(__xludf.DUMMYFUNCTION("""COMPUTED_VALUE"""),"Rectificado")</f>
        <v>Rectificado</v>
      </c>
      <c r="L1489" s="2" t="str">
        <f ca="1">IFERROR(__xludf.DUMMYFUNCTION("""COMPUTED_VALUE"""),"1")</f>
        <v>1</v>
      </c>
      <c r="M1489" s="2"/>
    </row>
    <row r="1490" spans="1:13" x14ac:dyDescent="0.25">
      <c r="A1490" s="2" t="str">
        <f ca="1">IFERROR(__xludf.DUMMYFUNCTION("""COMPUTED_VALUE"""),"ffc45ae1")</f>
        <v>ffc45ae1</v>
      </c>
      <c r="B1490" s="2"/>
      <c r="C1490" s="5">
        <f ca="1">IFERROR(__xludf.DUMMYFUNCTION("""COMPUTED_VALUE"""),46090.8274189814)</f>
        <v>46090.827418981396</v>
      </c>
      <c r="D1490" s="2">
        <f ca="1">IFERROR(__xludf.DUMMYFUNCTION("""COMPUTED_VALUE"""),48)</f>
        <v>48</v>
      </c>
      <c r="E1490" s="2">
        <f ca="1">IFERROR(__xludf.DUMMYFUNCTION("""COMPUTED_VALUE"""),26000)</f>
        <v>26000</v>
      </c>
      <c r="F1490" s="2" t="str">
        <f ca="1">IFERROR(__xludf.DUMMYFUNCTION("""COMPUTED_VALUE"""),"Cabernet Sauvignon Rect")</f>
        <v>Cabernet Sauvignon Rect</v>
      </c>
      <c r="G1490" s="2">
        <f ca="1">IFERROR(__xludf.DUMMYFUNCTION("""COMPUTED_VALUE"""),26000)</f>
        <v>26000</v>
      </c>
      <c r="H1490" s="2">
        <f ca="1">IFERROR(__xludf.DUMMYFUNCTION("""COMPUTED_VALUE"""),23000)</f>
        <v>23000</v>
      </c>
      <c r="I1490" s="2"/>
      <c r="J1490" s="2"/>
      <c r="K1490" s="2" t="str">
        <f ca="1">IFERROR(__xludf.DUMMYFUNCTION("""COMPUTED_VALUE"""),"Rectificado")</f>
        <v>Rectificado</v>
      </c>
      <c r="L1490" s="2" t="str">
        <f ca="1">IFERROR(__xludf.DUMMYFUNCTION("""COMPUTED_VALUE"""),"1")</f>
        <v>1</v>
      </c>
      <c r="M1490" s="2"/>
    </row>
    <row r="1491" spans="1:13" x14ac:dyDescent="0.25">
      <c r="A1491" s="2" t="str">
        <f ca="1">IFERROR(__xludf.DUMMYFUNCTION("""COMPUTED_VALUE"""),"0432aaa0")</f>
        <v>0432aaa0</v>
      </c>
      <c r="B1491" s="2"/>
      <c r="C1491" s="5">
        <f ca="1">IFERROR(__xludf.DUMMYFUNCTION("""COMPUTED_VALUE"""),46090.8282754629)</f>
        <v>46090.828275462904</v>
      </c>
      <c r="D1491" s="2">
        <f ca="1">IFERROR(__xludf.DUMMYFUNCTION("""COMPUTED_VALUE"""),30)</f>
        <v>30</v>
      </c>
      <c r="E1491" s="2">
        <f ca="1">IFERROR(__xludf.DUMMYFUNCTION("""COMPUTED_VALUE"""),38800)</f>
        <v>38800</v>
      </c>
      <c r="F1491" s="2" t="str">
        <f ca="1">IFERROR(__xludf.DUMMYFUNCTION("""COMPUTED_VALUE"""),"Chardonnay Ch")</f>
        <v>Chardonnay Ch</v>
      </c>
      <c r="G1491" s="2">
        <f ca="1">IFERROR(__xludf.DUMMYFUNCTION("""COMPUTED_VALUE"""),31000)</f>
        <v>31000</v>
      </c>
      <c r="H1491" s="2">
        <f ca="1">IFERROR(__xludf.DUMMYFUNCTION("""COMPUTED_VALUE"""),38800)</f>
        <v>38800</v>
      </c>
      <c r="I1491" s="2"/>
      <c r="J1491" s="2"/>
      <c r="K1491" s="2" t="str">
        <f ca="1">IFERROR(__xludf.DUMMYFUNCTION("""COMPUTED_VALUE"""),"Descubada")</f>
        <v>Descubada</v>
      </c>
      <c r="L1491" s="2" t="str">
        <f ca="1">IFERROR(__xludf.DUMMYFUNCTION("""COMPUTED_VALUE"""),"1")</f>
        <v>1</v>
      </c>
      <c r="M1491" s="2" t="str">
        <f ca="1">IFERROR(__xludf.DUMMYFUNCTION("""COMPUTED_VALUE"""),"Blanco")</f>
        <v>Blanco</v>
      </c>
    </row>
    <row r="1492" spans="1:13" x14ac:dyDescent="0.25">
      <c r="A1492" s="2" t="str">
        <f ca="1">IFERROR(__xludf.DUMMYFUNCTION("""COMPUTED_VALUE"""),"a6b9e2bc")</f>
        <v>a6b9e2bc</v>
      </c>
      <c r="B1492" s="2"/>
      <c r="C1492" s="5">
        <f ca="1">IFERROR(__xludf.DUMMYFUNCTION("""COMPUTED_VALUE"""),46090.8305555555)</f>
        <v>46090.830555555498</v>
      </c>
      <c r="D1492" s="2">
        <f ca="1">IFERROR(__xludf.DUMMYFUNCTION("""COMPUTED_VALUE"""),45)</f>
        <v>45</v>
      </c>
      <c r="E1492" s="2">
        <f ca="1">IFERROR(__xludf.DUMMYFUNCTION("""COMPUTED_VALUE"""),30000)</f>
        <v>30000</v>
      </c>
      <c r="F1492" s="2" t="str">
        <f ca="1">IFERROR(__xludf.DUMMYFUNCTION("""COMPUTED_VALUE"""),"Malbec Rect")</f>
        <v>Malbec Rect</v>
      </c>
      <c r="G1492" s="2">
        <f ca="1">IFERROR(__xludf.DUMMYFUNCTION("""COMPUTED_VALUE"""),800)</f>
        <v>800</v>
      </c>
      <c r="H1492" s="2">
        <f ca="1">IFERROR(__xludf.DUMMYFUNCTION("""COMPUTED_VALUE"""),0)</f>
        <v>0</v>
      </c>
      <c r="I1492" s="2"/>
      <c r="J1492" s="2"/>
      <c r="K1492" s="2" t="str">
        <f ca="1">IFERROR(__xludf.DUMMYFUNCTION("""COMPUTED_VALUE"""),"Rectificado")</f>
        <v>Rectificado</v>
      </c>
      <c r="L1492" s="2" t="str">
        <f ca="1">IFERROR(__xludf.DUMMYFUNCTION("""COMPUTED_VALUE"""),"2+")</f>
        <v>2+</v>
      </c>
      <c r="M1492" s="2"/>
    </row>
    <row r="1493" spans="1:13" x14ac:dyDescent="0.25">
      <c r="A1493" s="2" t="str">
        <f ca="1">IFERROR(__xludf.DUMMYFUNCTION("""COMPUTED_VALUE"""),"780e80e3")</f>
        <v>780e80e3</v>
      </c>
      <c r="B1493" s="2"/>
      <c r="C1493" s="5">
        <f ca="1">IFERROR(__xludf.DUMMYFUNCTION("""COMPUTED_VALUE"""),46091.5292013888)</f>
        <v>46091.529201388803</v>
      </c>
      <c r="D1493" s="2">
        <f ca="1">IFERROR(__xludf.DUMMYFUNCTION("""COMPUTED_VALUE"""),500)</f>
        <v>500</v>
      </c>
      <c r="E1493" s="2">
        <f ca="1">IFERROR(__xludf.DUMMYFUNCTION("""COMPUTED_VALUE"""),200000)</f>
        <v>200000</v>
      </c>
      <c r="F1493" s="2" t="str">
        <f ca="1">IFERROR(__xludf.DUMMYFUNCTION("""COMPUTED_VALUE"""),"Ajuste semana 13/02/2025")</f>
        <v>Ajuste semana 13/02/2025</v>
      </c>
      <c r="G1493" s="2">
        <f ca="1">IFERROR(__xludf.DUMMYFUNCTION("""COMPUTED_VALUE"""),16601)</f>
        <v>16601</v>
      </c>
      <c r="H1493" s="2">
        <f ca="1">IFERROR(__xludf.DUMMYFUNCTION("""COMPUTED_VALUE"""),19001)</f>
        <v>19001</v>
      </c>
      <c r="I1493" s="2"/>
      <c r="J1493" s="2"/>
      <c r="K1493" s="2" t="str">
        <f ca="1">IFERROR(__xludf.DUMMYFUNCTION("""COMPUTED_VALUE"""),"Terminado")</f>
        <v>Terminado</v>
      </c>
      <c r="L1493" s="2"/>
      <c r="M1493" s="2"/>
    </row>
    <row r="1494" spans="1:13" x14ac:dyDescent="0.25">
      <c r="A1494" s="2" t="str">
        <f ca="1">IFERROR(__xludf.DUMMYFUNCTION("""COMPUTED_VALUE"""),"aab7f215")</f>
        <v>aab7f215</v>
      </c>
      <c r="B1494" s="2"/>
      <c r="C1494" s="5">
        <f ca="1">IFERROR(__xludf.DUMMYFUNCTION("""COMPUTED_VALUE"""),46091.5295486111)</f>
        <v>46091.529548611099</v>
      </c>
      <c r="D1494" s="2">
        <f ca="1">IFERROR(__xludf.DUMMYFUNCTION("""COMPUTED_VALUE"""),500)</f>
        <v>500</v>
      </c>
      <c r="E1494" s="2">
        <f ca="1">IFERROR(__xludf.DUMMYFUNCTION("""COMPUTED_VALUE"""),200000)</f>
        <v>200000</v>
      </c>
      <c r="F1494" s="2" t="str">
        <f ca="1">IFERROR(__xludf.DUMMYFUNCTION("""COMPUTED_VALUE"""),"Ajuste semana 13/02/2025")</f>
        <v>Ajuste semana 13/02/2025</v>
      </c>
      <c r="G1494" s="2">
        <f ca="1">IFERROR(__xludf.DUMMYFUNCTION("""COMPUTED_VALUE"""),19001)</f>
        <v>19001</v>
      </c>
      <c r="H1494" s="2">
        <f ca="1">IFERROR(__xludf.DUMMYFUNCTION("""COMPUTED_VALUE"""),22901)</f>
        <v>22901</v>
      </c>
      <c r="I1494" s="2"/>
      <c r="J1494" s="2"/>
      <c r="K1494" s="2" t="str">
        <f ca="1">IFERROR(__xludf.DUMMYFUNCTION("""COMPUTED_VALUE"""),"Terminado")</f>
        <v>Terminado</v>
      </c>
      <c r="L1494" s="2"/>
      <c r="M1494" s="2"/>
    </row>
    <row r="1495" spans="1:13" x14ac:dyDescent="0.25">
      <c r="A1495" s="2" t="str">
        <f ca="1">IFERROR(__xludf.DUMMYFUNCTION("""COMPUTED_VALUE"""),"284109a2")</f>
        <v>284109a2</v>
      </c>
      <c r="B1495" s="2"/>
      <c r="C1495" s="5">
        <f ca="1">IFERROR(__xludf.DUMMYFUNCTION("""COMPUTED_VALUE"""),46090.777662037)</f>
        <v>46090.777662036999</v>
      </c>
      <c r="D1495" s="2">
        <f ca="1">IFERROR(__xludf.DUMMYFUNCTION("""COMPUTED_VALUE"""),88)</f>
        <v>88</v>
      </c>
      <c r="E1495" s="2">
        <f ca="1">IFERROR(__xludf.DUMMYFUNCTION("""COMPUTED_VALUE"""),78900)</f>
        <v>78900</v>
      </c>
      <c r="F1495" s="2" t="str">
        <f ca="1">IFERROR(__xludf.DUMMYFUNCTION("""COMPUTED_VALUE"""),"Syrah")</f>
        <v>Syrah</v>
      </c>
      <c r="G1495" s="2"/>
      <c r="H1495" s="2">
        <f ca="1">IFERROR(__xludf.DUMMYFUNCTION("""COMPUTED_VALUE"""),42800)</f>
        <v>42800</v>
      </c>
      <c r="I1495" s="2"/>
      <c r="J1495" s="2" t="str">
        <f ca="1">IFERROR(__xludf.DUMMYFUNCTION("""COMPUTED_VALUE"""),"6291 , 6292 , 6293 , 6294 , 6295 , 6296")</f>
        <v>6291 , 6292 , 6293 , 6294 , 6295 , 6296</v>
      </c>
      <c r="K1495" s="2" t="str">
        <f ca="1">IFERROR(__xludf.DUMMYFUNCTION("""COMPUTED_VALUE"""),"Fermentando")</f>
        <v>Fermentando</v>
      </c>
      <c r="L1495" s="2"/>
      <c r="M1495" s="2" t="str">
        <f ca="1">IFERROR(__xludf.DUMMYFUNCTION("""COMPUTED_VALUE"""),"Tinto")</f>
        <v>Tinto</v>
      </c>
    </row>
    <row r="1496" spans="1:13" x14ac:dyDescent="0.25">
      <c r="A1496" s="2" t="str">
        <f ca="1">IFERROR(__xludf.DUMMYFUNCTION("""COMPUTED_VALUE"""),"eb988d4a")</f>
        <v>eb988d4a</v>
      </c>
      <c r="B1496" s="2"/>
      <c r="C1496" s="5">
        <f ca="1">IFERROR(__xludf.DUMMYFUNCTION("""COMPUTED_VALUE"""),46091.7836226851)</f>
        <v>46091.7836226851</v>
      </c>
      <c r="D1496" s="2">
        <f ca="1">IFERROR(__xludf.DUMMYFUNCTION("""COMPUTED_VALUE"""),500)</f>
        <v>500</v>
      </c>
      <c r="E1496" s="2">
        <f ca="1">IFERROR(__xludf.DUMMYFUNCTION("""COMPUTED_VALUE"""),200000)</f>
        <v>200000</v>
      </c>
      <c r="F1496" s="2" t="str">
        <f ca="1">IFERROR(__xludf.DUMMYFUNCTION("""COMPUTED_VALUE"""),"Ajuste semana 13/02/2025")</f>
        <v>Ajuste semana 13/02/2025</v>
      </c>
      <c r="G1496" s="2">
        <f ca="1">IFERROR(__xludf.DUMMYFUNCTION("""COMPUTED_VALUE"""),22901)</f>
        <v>22901</v>
      </c>
      <c r="H1496" s="2">
        <f ca="1">IFERROR(__xludf.DUMMYFUNCTION("""COMPUTED_VALUE"""),18901)</f>
        <v>18901</v>
      </c>
      <c r="I1496" s="2"/>
      <c r="J1496" s="2"/>
      <c r="K1496" s="2" t="str">
        <f ca="1">IFERROR(__xludf.DUMMYFUNCTION("""COMPUTED_VALUE"""),"Terminado")</f>
        <v>Terminado</v>
      </c>
      <c r="L1496" s="2"/>
      <c r="M1496" s="2"/>
    </row>
    <row r="1497" spans="1:13" x14ac:dyDescent="0.25">
      <c r="A1497" s="2" t="str">
        <f ca="1">IFERROR(__xludf.DUMMYFUNCTION("""COMPUTED_VALUE"""),"9408ddeb")</f>
        <v>9408ddeb</v>
      </c>
      <c r="B1497" s="2"/>
      <c r="C1497" s="5">
        <f ca="1">IFERROR(__xludf.DUMMYFUNCTION("""COMPUTED_VALUE"""),46091.7839467592)</f>
        <v>46091.783946759198</v>
      </c>
      <c r="D1497" s="2">
        <f ca="1">IFERROR(__xludf.DUMMYFUNCTION("""COMPUTED_VALUE"""),500)</f>
        <v>500</v>
      </c>
      <c r="E1497" s="2">
        <f ca="1">IFERROR(__xludf.DUMMYFUNCTION("""COMPUTED_VALUE"""),200000)</f>
        <v>200000</v>
      </c>
      <c r="F1497" s="2" t="str">
        <f ca="1">IFERROR(__xludf.DUMMYFUNCTION("""COMPUTED_VALUE"""),"Ajuste semana 13/02/2025")</f>
        <v>Ajuste semana 13/02/2025</v>
      </c>
      <c r="G1497" s="2">
        <f ca="1">IFERROR(__xludf.DUMMYFUNCTION("""COMPUTED_VALUE"""),18901)</f>
        <v>18901</v>
      </c>
      <c r="H1497" s="2">
        <f ca="1">IFERROR(__xludf.DUMMYFUNCTION("""COMPUTED_VALUE"""),23551)</f>
        <v>23551</v>
      </c>
      <c r="I1497" s="2"/>
      <c r="J1497" s="2"/>
      <c r="K1497" s="2" t="str">
        <f ca="1">IFERROR(__xludf.DUMMYFUNCTION("""COMPUTED_VALUE"""),"Terminado")</f>
        <v>Terminado</v>
      </c>
      <c r="L1497" s="2"/>
      <c r="M1497" s="2"/>
    </row>
    <row r="1498" spans="1:13" x14ac:dyDescent="0.25">
      <c r="A1498" s="2" t="str">
        <f ca="1">IFERROR(__xludf.DUMMYFUNCTION("""COMPUTED_VALUE"""),"942bbcb8")</f>
        <v>942bbcb8</v>
      </c>
      <c r="B1498" s="2"/>
      <c r="C1498" s="5">
        <f ca="1">IFERROR(__xludf.DUMMYFUNCTION("""COMPUTED_VALUE"""),46091.7844328703)</f>
        <v>46091.784432870299</v>
      </c>
      <c r="D1498" s="2">
        <f ca="1">IFERROR(__xludf.DUMMYFUNCTION("""COMPUTED_VALUE"""),500)</f>
        <v>500</v>
      </c>
      <c r="E1498" s="2">
        <f ca="1">IFERROR(__xludf.DUMMYFUNCTION("""COMPUTED_VALUE"""),200000)</f>
        <v>200000</v>
      </c>
      <c r="F1498" s="2" t="str">
        <f ca="1">IFERROR(__xludf.DUMMYFUNCTION("""COMPUTED_VALUE"""),"Ajuste semana 13/02/2025")</f>
        <v>Ajuste semana 13/02/2025</v>
      </c>
      <c r="G1498" s="2">
        <f ca="1">IFERROR(__xludf.DUMMYFUNCTION("""COMPUTED_VALUE"""),23551)</f>
        <v>23551</v>
      </c>
      <c r="H1498" s="2">
        <f ca="1">IFERROR(__xludf.DUMMYFUNCTION("""COMPUTED_VALUE"""),30651)</f>
        <v>30651</v>
      </c>
      <c r="I1498" s="2"/>
      <c r="J1498" s="2"/>
      <c r="K1498" s="2" t="str">
        <f ca="1">IFERROR(__xludf.DUMMYFUNCTION("""COMPUTED_VALUE"""),"Terminado")</f>
        <v>Terminado</v>
      </c>
      <c r="L1498" s="2"/>
      <c r="M1498" s="2"/>
    </row>
    <row r="1499" spans="1:13" x14ac:dyDescent="0.25">
      <c r="A1499" s="2" t="str">
        <f ca="1">IFERROR(__xludf.DUMMYFUNCTION("""COMPUTED_VALUE"""),"fa24ada7")</f>
        <v>fa24ada7</v>
      </c>
      <c r="B1499" s="2"/>
      <c r="C1499" s="5">
        <f ca="1">IFERROR(__xludf.DUMMYFUNCTION("""COMPUTED_VALUE"""),46091.7864467592)</f>
        <v>46091.786446759201</v>
      </c>
      <c r="D1499" s="2">
        <f ca="1">IFERROR(__xludf.DUMMYFUNCTION("""COMPUTED_VALUE"""),81)</f>
        <v>81</v>
      </c>
      <c r="E1499" s="2">
        <f ca="1">IFERROR(__xludf.DUMMYFUNCTION("""COMPUTED_VALUE"""),26500)</f>
        <v>26500</v>
      </c>
      <c r="F1499" s="2" t="str">
        <f ca="1">IFERROR(__xludf.DUMMYFUNCTION("""COMPUTED_VALUE"""),"Syrah")</f>
        <v>Syrah</v>
      </c>
      <c r="G1499" s="2">
        <f ca="1">IFERROR(__xludf.DUMMYFUNCTION("""COMPUTED_VALUE"""),15000)</f>
        <v>15000</v>
      </c>
      <c r="H1499" s="2">
        <f ca="1">IFERROR(__xludf.DUMMYFUNCTION("""COMPUTED_VALUE"""),18000)</f>
        <v>18000</v>
      </c>
      <c r="I1499" s="2" t="str">
        <f ca="1">IFERROR(__xludf.DUMMYFUNCTION("""COMPUTED_VALUE"""),"17/3
No llega a ser 1 pero esta bien como 1-/+. Verde pero tiene fruta")</f>
        <v>17/3
No llega a ser 1 pero esta bien como 1-/+. Verde pero tiene fruta</v>
      </c>
      <c r="J1499" s="2"/>
      <c r="K1499" s="2" t="str">
        <f ca="1">IFERROR(__xludf.DUMMYFUNCTION("""COMPUTED_VALUE"""),"Fermentando")</f>
        <v>Fermentando</v>
      </c>
      <c r="L1499" s="2" t="str">
        <f ca="1">IFERROR(__xludf.DUMMYFUNCTION("""COMPUTED_VALUE"""),"1-")</f>
        <v>1-</v>
      </c>
      <c r="M1499" s="2" t="str">
        <f ca="1">IFERROR(__xludf.DUMMYFUNCTION("""COMPUTED_VALUE"""),"Tinto")</f>
        <v>Tinto</v>
      </c>
    </row>
    <row r="1500" spans="1:13" x14ac:dyDescent="0.25">
      <c r="A1500" s="2" t="str">
        <f ca="1">IFERROR(__xludf.DUMMYFUNCTION("""COMPUTED_VALUE"""),"16486a58")</f>
        <v>16486a58</v>
      </c>
      <c r="B1500" s="2"/>
      <c r="C1500" s="5">
        <f ca="1">IFERROR(__xludf.DUMMYFUNCTION("""COMPUTED_VALUE"""),46091.7899652777)</f>
        <v>46091.789965277698</v>
      </c>
      <c r="D1500" s="2">
        <f ca="1">IFERROR(__xludf.DUMMYFUNCTION("""COMPUTED_VALUE"""),120)</f>
        <v>120</v>
      </c>
      <c r="E1500" s="2">
        <f ca="1">IFERROR(__xludf.DUMMYFUNCTION("""COMPUTED_VALUE"""),88800)</f>
        <v>88800</v>
      </c>
      <c r="F1500" s="2" t="str">
        <f ca="1">IFERROR(__xludf.DUMMYFUNCTION("""COMPUTED_VALUE"""),"Syrah Anc PC s/Asp 2")</f>
        <v>Syrah Anc PC s/Asp 2</v>
      </c>
      <c r="G1500" s="2">
        <f ca="1">IFERROR(__xludf.DUMMYFUNCTION("""COMPUTED_VALUE"""),0)</f>
        <v>0</v>
      </c>
      <c r="H1500" s="2">
        <f ca="1">IFERROR(__xludf.DUMMYFUNCTION("""COMPUTED_VALUE"""),42000)</f>
        <v>42000</v>
      </c>
      <c r="I1500" s="2"/>
      <c r="J1500" s="2"/>
      <c r="K1500" s="2" t="str">
        <f ca="1">IFERROR(__xludf.DUMMYFUNCTION("""COMPUTED_VALUE"""),"Descubada")</f>
        <v>Descubada</v>
      </c>
      <c r="L1500" s="2"/>
      <c r="M1500" s="2"/>
    </row>
    <row r="1501" spans="1:13" x14ac:dyDescent="0.25">
      <c r="A1501" s="2" t="str">
        <f ca="1">IFERROR(__xludf.DUMMYFUNCTION("""COMPUTED_VALUE"""),"f6a1da38")</f>
        <v>f6a1da38</v>
      </c>
      <c r="B1501" s="2"/>
      <c r="C1501" s="5">
        <f ca="1">IFERROR(__xludf.DUMMYFUNCTION("""COMPUTED_VALUE"""),46091.7904050925)</f>
        <v>46091.790405092499</v>
      </c>
      <c r="D1501" s="2">
        <f ca="1">IFERROR(__xludf.DUMMYFUNCTION("""COMPUTED_VALUE"""),120)</f>
        <v>120</v>
      </c>
      <c r="E1501" s="2">
        <f ca="1">IFERROR(__xludf.DUMMYFUNCTION("""COMPUTED_VALUE"""),88800)</f>
        <v>88800</v>
      </c>
      <c r="F1501" s="2" t="str">
        <f ca="1">IFERROR(__xludf.DUMMYFUNCTION("""COMPUTED_VALUE"""),"Syrah Anc PC s/Asp 2")</f>
        <v>Syrah Anc PC s/Asp 2</v>
      </c>
      <c r="G1501" s="2">
        <f ca="1">IFERROR(__xludf.DUMMYFUNCTION("""COMPUTED_VALUE"""),42000)</f>
        <v>42000</v>
      </c>
      <c r="H1501" s="2">
        <f ca="1">IFERROR(__xludf.DUMMYFUNCTION("""COMPUTED_VALUE"""),78000)</f>
        <v>78000</v>
      </c>
      <c r="I1501" s="2"/>
      <c r="J1501" s="2"/>
      <c r="K1501" s="2" t="str">
        <f ca="1">IFERROR(__xludf.DUMMYFUNCTION("""COMPUTED_VALUE"""),"Descubada")</f>
        <v>Descubada</v>
      </c>
      <c r="L1501" s="2"/>
      <c r="M1501" s="2"/>
    </row>
    <row r="1502" spans="1:13" x14ac:dyDescent="0.25">
      <c r="A1502" s="2" t="str">
        <f ca="1">IFERROR(__xludf.DUMMYFUNCTION("""COMPUTED_VALUE"""),"ffe03d20")</f>
        <v>ffe03d20</v>
      </c>
      <c r="B1502" s="2"/>
      <c r="C1502" s="5">
        <f ca="1">IFERROR(__xludf.DUMMYFUNCTION("""COMPUTED_VALUE"""),46091.791099537)</f>
        <v>46091.791099536997</v>
      </c>
      <c r="D1502" s="2"/>
      <c r="E1502" s="2"/>
      <c r="F1502" s="2"/>
      <c r="G1502" s="2"/>
      <c r="H1502" s="2">
        <f ca="1">IFERROR(__xludf.DUMMYFUNCTION("""COMPUTED_VALUE"""),8000)</f>
        <v>8000</v>
      </c>
      <c r="I1502" s="2"/>
      <c r="J1502" s="2"/>
      <c r="K1502" s="2"/>
      <c r="L1502" s="2"/>
      <c r="M1502" s="2"/>
    </row>
    <row r="1503" spans="1:13" x14ac:dyDescent="0.25">
      <c r="A1503" s="2" t="str">
        <f ca="1">IFERROR(__xludf.DUMMYFUNCTION("""COMPUTED_VALUE"""),"1bc4049f")</f>
        <v>1bc4049f</v>
      </c>
      <c r="B1503" s="2"/>
      <c r="C1503" s="5">
        <f ca="1">IFERROR(__xludf.DUMMYFUNCTION("""COMPUTED_VALUE"""),46091.7914930555)</f>
        <v>46091.791493055498</v>
      </c>
      <c r="D1503" s="2">
        <f ca="1">IFERROR(__xludf.DUMMYFUNCTION("""COMPUTED_VALUE"""),120)</f>
        <v>120</v>
      </c>
      <c r="E1503" s="2">
        <f ca="1">IFERROR(__xludf.DUMMYFUNCTION("""COMPUTED_VALUE"""),88800)</f>
        <v>88800</v>
      </c>
      <c r="F1503" s="2" t="str">
        <f ca="1">IFERROR(__xludf.DUMMYFUNCTION("""COMPUTED_VALUE"""),"Syrah Anc PC s/Asp 2")</f>
        <v>Syrah Anc PC s/Asp 2</v>
      </c>
      <c r="G1503" s="2">
        <f ca="1">IFERROR(__xludf.DUMMYFUNCTION("""COMPUTED_VALUE"""),78000)</f>
        <v>78000</v>
      </c>
      <c r="H1503" s="2">
        <f ca="1">IFERROR(__xludf.DUMMYFUNCTION("""COMPUTED_VALUE"""),83000)</f>
        <v>83000</v>
      </c>
      <c r="I1503" s="2"/>
      <c r="J1503" s="2"/>
      <c r="K1503" s="2" t="str">
        <f ca="1">IFERROR(__xludf.DUMMYFUNCTION("""COMPUTED_VALUE"""),"Descubada")</f>
        <v>Descubada</v>
      </c>
      <c r="L1503" s="2"/>
      <c r="M1503" s="2"/>
    </row>
    <row r="1504" spans="1:13" x14ac:dyDescent="0.25">
      <c r="A1504" s="2" t="str">
        <f ca="1">IFERROR(__xludf.DUMMYFUNCTION("""COMPUTED_VALUE"""),"ca20431c")</f>
        <v>ca20431c</v>
      </c>
      <c r="B1504" s="2"/>
      <c r="C1504" s="5">
        <f ca="1">IFERROR(__xludf.DUMMYFUNCTION("""COMPUTED_VALUE"""),46091.7930902777)</f>
        <v>46091.793090277701</v>
      </c>
      <c r="D1504" s="2">
        <f ca="1">IFERROR(__xludf.DUMMYFUNCTION("""COMPUTED_VALUE"""),120)</f>
        <v>120</v>
      </c>
      <c r="E1504" s="2">
        <f ca="1">IFERROR(__xludf.DUMMYFUNCTION("""COMPUTED_VALUE"""),88800)</f>
        <v>88800</v>
      </c>
      <c r="F1504" s="2" t="str">
        <f ca="1">IFERROR(__xludf.DUMMYFUNCTION("""COMPUTED_VALUE"""),"Syrah Anc PC s/Asp 2")</f>
        <v>Syrah Anc PC s/Asp 2</v>
      </c>
      <c r="G1504" s="2">
        <f ca="1">IFERROR(__xludf.DUMMYFUNCTION("""COMPUTED_VALUE"""),83000)</f>
        <v>83000</v>
      </c>
      <c r="H1504" s="2">
        <f ca="1">IFERROR(__xludf.DUMMYFUNCTION("""COMPUTED_VALUE"""),86800)</f>
        <v>86800</v>
      </c>
      <c r="I1504" s="2"/>
      <c r="J1504" s="2"/>
      <c r="K1504" s="2" t="str">
        <f ca="1">IFERROR(__xludf.DUMMYFUNCTION("""COMPUTED_VALUE"""),"Descubada")</f>
        <v>Descubada</v>
      </c>
      <c r="L1504" s="2"/>
      <c r="M1504" s="2"/>
    </row>
    <row r="1505" spans="1:13" x14ac:dyDescent="0.25">
      <c r="A1505" s="2" t="str">
        <f ca="1">IFERROR(__xludf.DUMMYFUNCTION("""COMPUTED_VALUE"""),"9c60e76b")</f>
        <v>9c60e76b</v>
      </c>
      <c r="B1505" s="2"/>
      <c r="C1505" s="5">
        <f ca="1">IFERROR(__xludf.DUMMYFUNCTION("""COMPUTED_VALUE"""),46091.7961342592)</f>
        <v>46091.796134259203</v>
      </c>
      <c r="D1505" s="2">
        <f ca="1">IFERROR(__xludf.DUMMYFUNCTION("""COMPUTED_VALUE"""),83)</f>
        <v>83</v>
      </c>
      <c r="E1505" s="2">
        <f ca="1">IFERROR(__xludf.DUMMYFUNCTION("""COMPUTED_VALUE"""),60500)</f>
        <v>60500</v>
      </c>
      <c r="F1505" s="2" t="str">
        <f ca="1">IFERROR(__xludf.DUMMYFUNCTION("""COMPUTED_VALUE"""),"Syrah Merlot s/Asp 3")</f>
        <v>Syrah Merlot s/Asp 3</v>
      </c>
      <c r="G1505" s="2">
        <f ca="1">IFERROR(__xludf.DUMMYFUNCTION("""COMPUTED_VALUE"""),18100)</f>
        <v>18100</v>
      </c>
      <c r="H1505" s="2">
        <f ca="1">IFERROR(__xludf.DUMMYFUNCTION("""COMPUTED_VALUE"""),81500)</f>
        <v>81500</v>
      </c>
      <c r="I1505" s="2"/>
      <c r="J1505" s="2"/>
      <c r="K1505" s="2" t="str">
        <f ca="1">IFERROR(__xludf.DUMMYFUNCTION("""COMPUTED_VALUE"""),"Fermentando")</f>
        <v>Fermentando</v>
      </c>
      <c r="L1505" s="2" t="str">
        <f ca="1">IFERROR(__xludf.DUMMYFUNCTION("""COMPUTED_VALUE"""),"1")</f>
        <v>1</v>
      </c>
      <c r="M1505" s="2" t="str">
        <f ca="1">IFERROR(__xludf.DUMMYFUNCTION("""COMPUTED_VALUE"""),"Tinto")</f>
        <v>Tinto</v>
      </c>
    </row>
    <row r="1506" spans="1:13" x14ac:dyDescent="0.25">
      <c r="A1506" s="2" t="str">
        <f ca="1">IFERROR(__xludf.DUMMYFUNCTION("""COMPUTED_VALUE"""),"3b6cbb3c")</f>
        <v>3b6cbb3c</v>
      </c>
      <c r="B1506" s="2"/>
      <c r="C1506" s="5">
        <f ca="1">IFERROR(__xludf.DUMMYFUNCTION("""COMPUTED_VALUE"""),46091.7983101851)</f>
        <v>46091.798310185099</v>
      </c>
      <c r="D1506" s="2">
        <f ca="1">IFERROR(__xludf.DUMMYFUNCTION("""COMPUTED_VALUE"""),84)</f>
        <v>84</v>
      </c>
      <c r="E1506" s="2">
        <f ca="1">IFERROR(__xludf.DUMMYFUNCTION("""COMPUTED_VALUE"""),83000)</f>
        <v>83000</v>
      </c>
      <c r="F1506" s="2" t="str">
        <f ca="1">IFERROR(__xludf.DUMMYFUNCTION("""COMPUTED_VALUE"""),"Syrah Merlot s/Asp 2")</f>
        <v>Syrah Merlot s/Asp 2</v>
      </c>
      <c r="G1506" s="2">
        <f ca="1">IFERROR(__xludf.DUMMYFUNCTION("""COMPUTED_VALUE"""),18500)</f>
        <v>18500</v>
      </c>
      <c r="H1506" s="2">
        <f ca="1">IFERROR(__xludf.DUMMYFUNCTION("""COMPUTED_VALUE"""),40900)</f>
        <v>40900</v>
      </c>
      <c r="I1506" s="2"/>
      <c r="J1506" s="2"/>
      <c r="K1506" s="2" t="str">
        <f ca="1">IFERROR(__xludf.DUMMYFUNCTION("""COMPUTED_VALUE"""),"Fermentando")</f>
        <v>Fermentando</v>
      </c>
      <c r="L1506" s="2"/>
      <c r="M1506" s="2" t="str">
        <f ca="1">IFERROR(__xludf.DUMMYFUNCTION("""COMPUTED_VALUE"""),"Tinto")</f>
        <v>Tinto</v>
      </c>
    </row>
    <row r="1507" spans="1:13" x14ac:dyDescent="0.25">
      <c r="A1507" s="2" t="str">
        <f ca="1">IFERROR(__xludf.DUMMYFUNCTION("""COMPUTED_VALUE"""),"194ca8c2")</f>
        <v>194ca8c2</v>
      </c>
      <c r="B1507" s="2"/>
      <c r="C1507" s="5">
        <f ca="1">IFERROR(__xludf.DUMMYFUNCTION("""COMPUTED_VALUE"""),46091.8005208333)</f>
        <v>46091.800520833298</v>
      </c>
      <c r="D1507" s="2">
        <f ca="1">IFERROR(__xludf.DUMMYFUNCTION("""COMPUTED_VALUE"""),48)</f>
        <v>48</v>
      </c>
      <c r="E1507" s="2">
        <f ca="1">IFERROR(__xludf.DUMMYFUNCTION("""COMPUTED_VALUE"""),26000)</f>
        <v>26000</v>
      </c>
      <c r="F1507" s="2" t="str">
        <f ca="1">IFERROR(__xludf.DUMMYFUNCTION("""COMPUTED_VALUE"""),"Cabernet Sauvignon Rect")</f>
        <v>Cabernet Sauvignon Rect</v>
      </c>
      <c r="G1507" s="2">
        <f ca="1">IFERROR(__xludf.DUMMYFUNCTION("""COMPUTED_VALUE"""),23000)</f>
        <v>23000</v>
      </c>
      <c r="H1507" s="2">
        <f ca="1">IFERROR(__xludf.DUMMYFUNCTION("""COMPUTED_VALUE"""),12500)</f>
        <v>12500</v>
      </c>
      <c r="I1507" s="2"/>
      <c r="J1507" s="2"/>
      <c r="K1507" s="2" t="str">
        <f ca="1">IFERROR(__xludf.DUMMYFUNCTION("""COMPUTED_VALUE"""),"Rectificado")</f>
        <v>Rectificado</v>
      </c>
      <c r="L1507" s="2" t="str">
        <f ca="1">IFERROR(__xludf.DUMMYFUNCTION("""COMPUTED_VALUE"""),"1")</f>
        <v>1</v>
      </c>
      <c r="M1507" s="2"/>
    </row>
    <row r="1508" spans="1:13" x14ac:dyDescent="0.25">
      <c r="A1508" s="2" t="str">
        <f ca="1">IFERROR(__xludf.DUMMYFUNCTION("""COMPUTED_VALUE"""),"b41b9422")</f>
        <v>b41b9422</v>
      </c>
      <c r="B1508" s="2"/>
      <c r="C1508" s="5">
        <f ca="1">IFERROR(__xludf.DUMMYFUNCTION("""COMPUTED_VALUE"""),46091.8014467592)</f>
        <v>46091.8014467592</v>
      </c>
      <c r="D1508" s="2">
        <f ca="1">IFERROR(__xludf.DUMMYFUNCTION("""COMPUTED_VALUE"""),121)</f>
        <v>121</v>
      </c>
      <c r="E1508" s="2">
        <f ca="1">IFERROR(__xludf.DUMMYFUNCTION("""COMPUTED_VALUE"""),85800)</f>
        <v>85800</v>
      </c>
      <c r="F1508" s="2" t="str">
        <f ca="1">IFERROR(__xludf.DUMMYFUNCTION("""COMPUTED_VALUE"""),"Aspirant Anccelota PC")</f>
        <v>Aspirant Anccelota PC</v>
      </c>
      <c r="G1508" s="2">
        <f ca="1">IFERROR(__xludf.DUMMYFUNCTION("""COMPUTED_VALUE"""),74800)</f>
        <v>74800</v>
      </c>
      <c r="H1508" s="2">
        <f ca="1">IFERROR(__xludf.DUMMYFUNCTION("""COMPUTED_VALUE"""),85800)</f>
        <v>85800</v>
      </c>
      <c r="I1508" s="2"/>
      <c r="J1508" s="2"/>
      <c r="K1508" s="2" t="str">
        <f ca="1">IFERROR(__xludf.DUMMYFUNCTION("""COMPUTED_VALUE"""),"Descubada")</f>
        <v>Descubada</v>
      </c>
      <c r="L1508" s="2"/>
      <c r="M1508" s="2" t="str">
        <f ca="1">IFERROR(__xludf.DUMMYFUNCTION("""COMPUTED_VALUE"""),"Tinto")</f>
        <v>Tinto</v>
      </c>
    </row>
    <row r="1509" spans="1:13" x14ac:dyDescent="0.25">
      <c r="A1509" s="2" t="str">
        <f ca="1">IFERROR(__xludf.DUMMYFUNCTION("""COMPUTED_VALUE"""),"0763aa8e")</f>
        <v>0763aa8e</v>
      </c>
      <c r="B1509" s="2"/>
      <c r="C1509" s="5">
        <f ca="1">IFERROR(__xludf.DUMMYFUNCTION("""COMPUTED_VALUE"""),46091.8016087963)</f>
        <v>46091.801608796297</v>
      </c>
      <c r="D1509" s="2">
        <f ca="1">IFERROR(__xludf.DUMMYFUNCTION("""COMPUTED_VALUE"""),120)</f>
        <v>120</v>
      </c>
      <c r="E1509" s="2">
        <f ca="1">IFERROR(__xludf.DUMMYFUNCTION("""COMPUTED_VALUE"""),88800)</f>
        <v>88800</v>
      </c>
      <c r="F1509" s="2" t="str">
        <f ca="1">IFERROR(__xludf.DUMMYFUNCTION("""COMPUTED_VALUE"""),"Syrah Anc PC s/Asp 2")</f>
        <v>Syrah Anc PC s/Asp 2</v>
      </c>
      <c r="G1509" s="2">
        <f ca="1">IFERROR(__xludf.DUMMYFUNCTION("""COMPUTED_VALUE"""),86800)</f>
        <v>86800</v>
      </c>
      <c r="H1509" s="2">
        <f ca="1">IFERROR(__xludf.DUMMYFUNCTION("""COMPUTED_VALUE"""),88800)</f>
        <v>88800</v>
      </c>
      <c r="I1509" s="2"/>
      <c r="J1509" s="2"/>
      <c r="K1509" s="2" t="str">
        <f ca="1">IFERROR(__xludf.DUMMYFUNCTION("""COMPUTED_VALUE"""),"Descubada")</f>
        <v>Descubada</v>
      </c>
      <c r="L1509" s="2"/>
      <c r="M1509" s="2" t="str">
        <f ca="1">IFERROR(__xludf.DUMMYFUNCTION("""COMPUTED_VALUE"""),"Tinto")</f>
        <v>Tinto</v>
      </c>
    </row>
    <row r="1510" spans="1:13" x14ac:dyDescent="0.25">
      <c r="A1510" s="2" t="str">
        <f ca="1">IFERROR(__xludf.DUMMYFUNCTION("""COMPUTED_VALUE"""),"9cbd78b9")</f>
        <v>9cbd78b9</v>
      </c>
      <c r="B1510" s="2"/>
      <c r="C1510" s="5">
        <f ca="1">IFERROR(__xludf.DUMMYFUNCTION("""COMPUTED_VALUE"""),46091.8018402777)</f>
        <v>46091.801840277702</v>
      </c>
      <c r="D1510" s="2">
        <f ca="1">IFERROR(__xludf.DUMMYFUNCTION("""COMPUTED_VALUE"""),71)</f>
        <v>71</v>
      </c>
      <c r="E1510" s="2">
        <f ca="1">IFERROR(__xludf.DUMMYFUNCTION("""COMPUTED_VALUE"""),13000)</f>
        <v>13000</v>
      </c>
      <c r="F1510" s="2" t="str">
        <f ca="1">IFERROR(__xludf.DUMMYFUNCTION("""COMPUTED_VALUE"""),"Syrah s/Asp 2")</f>
        <v>Syrah s/Asp 2</v>
      </c>
      <c r="G1510" s="2">
        <f ca="1">IFERROR(__xludf.DUMMYFUNCTION("""COMPUTED_VALUE"""),10000)</f>
        <v>10000</v>
      </c>
      <c r="H1510" s="2">
        <f ca="1">IFERROR(__xludf.DUMMYFUNCTION("""COMPUTED_VALUE"""),11000)</f>
        <v>11000</v>
      </c>
      <c r="I1510" s="2"/>
      <c r="J1510" s="2"/>
      <c r="K1510" s="2" t="str">
        <f ca="1">IFERROR(__xludf.DUMMYFUNCTION("""COMPUTED_VALUE"""),"Descubada")</f>
        <v>Descubada</v>
      </c>
      <c r="L1510" s="2"/>
      <c r="M1510" s="2" t="str">
        <f ca="1">IFERROR(__xludf.DUMMYFUNCTION("""COMPUTED_VALUE"""),"Tinto")</f>
        <v>Tinto</v>
      </c>
    </row>
    <row r="1511" spans="1:13" x14ac:dyDescent="0.25">
      <c r="A1511" s="2" t="str">
        <f ca="1">IFERROR(__xludf.DUMMYFUNCTION("""COMPUTED_VALUE"""),"95b82903")</f>
        <v>95b82903</v>
      </c>
      <c r="B1511" s="2"/>
      <c r="C1511" s="5">
        <f ca="1">IFERROR(__xludf.DUMMYFUNCTION("""COMPUTED_VALUE"""),46091.8421296296)</f>
        <v>46091.8421296296</v>
      </c>
      <c r="D1511" s="2">
        <f ca="1">IFERROR(__xludf.DUMMYFUNCTION("""COMPUTED_VALUE"""),89)</f>
        <v>89</v>
      </c>
      <c r="E1511" s="2">
        <f ca="1">IFERROR(__xludf.DUMMYFUNCTION("""COMPUTED_VALUE"""),83500)</f>
        <v>83500</v>
      </c>
      <c r="F1511" s="2" t="str">
        <f ca="1">IFERROR(__xludf.DUMMYFUNCTION("""COMPUTED_VALUE"""),"Syrah")</f>
        <v>Syrah</v>
      </c>
      <c r="G1511" s="2"/>
      <c r="H1511" s="2">
        <f ca="1">IFERROR(__xludf.DUMMYFUNCTION("""COMPUTED_VALUE"""),38200)</f>
        <v>38200</v>
      </c>
      <c r="I1511" s="2"/>
      <c r="J1511" s="2" t="str">
        <f ca="1">IFERROR(__xludf.DUMMYFUNCTION("""COMPUTED_VALUE"""),"6297 , 6298 , 6299 , 6300 , 6301 , 6302")</f>
        <v>6297 , 6298 , 6299 , 6300 , 6301 , 6302</v>
      </c>
      <c r="K1511" s="2" t="str">
        <f ca="1">IFERROR(__xludf.DUMMYFUNCTION("""COMPUTED_VALUE"""),"Fermentando")</f>
        <v>Fermentando</v>
      </c>
      <c r="L1511" s="2"/>
      <c r="M1511" s="2" t="str">
        <f ca="1">IFERROR(__xludf.DUMMYFUNCTION("""COMPUTED_VALUE"""),"Tinto")</f>
        <v>Tinto</v>
      </c>
    </row>
    <row r="1512" spans="1:13" x14ac:dyDescent="0.25">
      <c r="A1512" s="2" t="str">
        <f ca="1">IFERROR(__xludf.DUMMYFUNCTION("""COMPUTED_VALUE"""),"3dc51f5a")</f>
        <v>3dc51f5a</v>
      </c>
      <c r="B1512" s="2"/>
      <c r="C1512" s="5">
        <f ca="1">IFERROR(__xludf.DUMMYFUNCTION("""COMPUTED_VALUE"""),46092.7910300925)</f>
        <v>46092.7910300925</v>
      </c>
      <c r="D1512" s="2">
        <f ca="1">IFERROR(__xludf.DUMMYFUNCTION("""COMPUTED_VALUE"""),49)</f>
        <v>49</v>
      </c>
      <c r="E1512" s="2">
        <f ca="1">IFERROR(__xludf.DUMMYFUNCTION("""COMPUTED_VALUE"""),26000)</f>
        <v>26000</v>
      </c>
      <c r="F1512" s="2" t="str">
        <f ca="1">IFERROR(__xludf.DUMMYFUNCTION("""COMPUTED_VALUE"""),"Chardonnay")</f>
        <v>Chardonnay</v>
      </c>
      <c r="G1512" s="2">
        <f ca="1">IFERROR(__xludf.DUMMYFUNCTION("""COMPUTED_VALUE"""),0)</f>
        <v>0</v>
      </c>
      <c r="H1512" s="2">
        <f ca="1">IFERROR(__xludf.DUMMYFUNCTION("""COMPUTED_VALUE"""),18300)</f>
        <v>18300</v>
      </c>
      <c r="I1512" s="2"/>
      <c r="J1512" s="2"/>
      <c r="K1512" s="2" t="str">
        <f ca="1">IFERROR(__xludf.DUMMYFUNCTION("""COMPUTED_VALUE"""),"Descubada")</f>
        <v>Descubada</v>
      </c>
      <c r="L1512" s="2"/>
      <c r="M1512" s="2" t="str">
        <f ca="1">IFERROR(__xludf.DUMMYFUNCTION("""COMPUTED_VALUE"""),"Blanco")</f>
        <v>Blanco</v>
      </c>
    </row>
    <row r="1513" spans="1:13" x14ac:dyDescent="0.25">
      <c r="A1513" s="2" t="str">
        <f ca="1">IFERROR(__xludf.DUMMYFUNCTION("""COMPUTED_VALUE"""),"f2237628")</f>
        <v>f2237628</v>
      </c>
      <c r="B1513" s="2"/>
      <c r="C1513" s="5">
        <f ca="1">IFERROR(__xludf.DUMMYFUNCTION("""COMPUTED_VALUE"""),46092.7913425925)</f>
        <v>46092.7913425925</v>
      </c>
      <c r="D1513" s="2">
        <f ca="1">IFERROR(__xludf.DUMMYFUNCTION("""COMPUTED_VALUE"""),49)</f>
        <v>49</v>
      </c>
      <c r="E1513" s="2">
        <f ca="1">IFERROR(__xludf.DUMMYFUNCTION("""COMPUTED_VALUE"""),26000)</f>
        <v>26000</v>
      </c>
      <c r="F1513" s="2" t="str">
        <f ca="1">IFERROR(__xludf.DUMMYFUNCTION("""COMPUTED_VALUE"""),"Chardonnay")</f>
        <v>Chardonnay</v>
      </c>
      <c r="G1513" s="2">
        <f ca="1">IFERROR(__xludf.DUMMYFUNCTION("""COMPUTED_VALUE"""),18300)</f>
        <v>18300</v>
      </c>
      <c r="H1513" s="2">
        <f ca="1">IFERROR(__xludf.DUMMYFUNCTION("""COMPUTED_VALUE"""),26000)</f>
        <v>26000</v>
      </c>
      <c r="I1513" s="2" t="str">
        <f ca="1">IFERROR(__xludf.DUMMYFUNCTION("""COMPUTED_VALUE"""),"13/3
Mas expresivo que el 52")</f>
        <v>13/3
Mas expresivo que el 52</v>
      </c>
      <c r="J1513" s="2"/>
      <c r="K1513" s="2" t="str">
        <f ca="1">IFERROR(__xludf.DUMMYFUNCTION("""COMPUTED_VALUE"""),"Descubada")</f>
        <v>Descubada</v>
      </c>
      <c r="L1513" s="2"/>
      <c r="M1513" s="2" t="str">
        <f ca="1">IFERROR(__xludf.DUMMYFUNCTION("""COMPUTED_VALUE"""),"Blanco")</f>
        <v>Blanco</v>
      </c>
    </row>
    <row r="1514" spans="1:13" x14ac:dyDescent="0.25">
      <c r="A1514" s="2" t="str">
        <f ca="1">IFERROR(__xludf.DUMMYFUNCTION("""COMPUTED_VALUE"""),"057306c8")</f>
        <v>057306c8</v>
      </c>
      <c r="B1514" s="2"/>
      <c r="C1514" s="5">
        <f ca="1">IFERROR(__xludf.DUMMYFUNCTION("""COMPUTED_VALUE"""),46092.7915972222)</f>
        <v>46092.791597222204</v>
      </c>
      <c r="D1514" s="2">
        <f ca="1">IFERROR(__xludf.DUMMYFUNCTION("""COMPUTED_VALUE"""),52)</f>
        <v>52</v>
      </c>
      <c r="E1514" s="2">
        <f ca="1">IFERROR(__xludf.DUMMYFUNCTION("""COMPUTED_VALUE"""),27000)</f>
        <v>27000</v>
      </c>
      <c r="F1514" s="2" t="str">
        <f ca="1">IFERROR(__xludf.DUMMYFUNCTION("""COMPUTED_VALUE"""),"Chardonnay")</f>
        <v>Chardonnay</v>
      </c>
      <c r="G1514" s="2">
        <f ca="1">IFERROR(__xludf.DUMMYFUNCTION("""COMPUTED_VALUE"""),0)</f>
        <v>0</v>
      </c>
      <c r="H1514" s="2">
        <f ca="1">IFERROR(__xludf.DUMMYFUNCTION("""COMPUTED_VALUE"""),27000)</f>
        <v>27000</v>
      </c>
      <c r="I1514" s="2" t="str">
        <f ca="1">IFERROR(__xludf.DUMMYFUNCTION("""COMPUTED_VALUE"""),"13/3
Muy rico")</f>
        <v>13/3
Muy rico</v>
      </c>
      <c r="J1514" s="2"/>
      <c r="K1514" s="2" t="str">
        <f ca="1">IFERROR(__xludf.DUMMYFUNCTION("""COMPUTED_VALUE"""),"Descubada")</f>
        <v>Descubada</v>
      </c>
      <c r="L1514" s="2"/>
      <c r="M1514" s="2" t="str">
        <f ca="1">IFERROR(__xludf.DUMMYFUNCTION("""COMPUTED_VALUE"""),"Blanco")</f>
        <v>Blanco</v>
      </c>
    </row>
    <row r="1515" spans="1:13" x14ac:dyDescent="0.25">
      <c r="A1515" s="2" t="str">
        <f ca="1">IFERROR(__xludf.DUMMYFUNCTION("""COMPUTED_VALUE"""),"67f965b5")</f>
        <v>67f965b5</v>
      </c>
      <c r="B1515" s="2"/>
      <c r="C1515" s="5">
        <f ca="1">IFERROR(__xludf.DUMMYFUNCTION("""COMPUTED_VALUE"""),46092.7917939814)</f>
        <v>46092.7917939814</v>
      </c>
      <c r="D1515" s="2">
        <f ca="1">IFERROR(__xludf.DUMMYFUNCTION("""COMPUTED_VALUE"""),51)</f>
        <v>51</v>
      </c>
      <c r="E1515" s="2">
        <f ca="1">IFERROR(__xludf.DUMMYFUNCTION("""COMPUTED_VALUE"""),3900)</f>
        <v>3900</v>
      </c>
      <c r="F1515" s="2" t="str">
        <f ca="1">IFERROR(__xludf.DUMMYFUNCTION("""COMPUTED_VALUE"""),"Chardonnay")</f>
        <v>Chardonnay</v>
      </c>
      <c r="G1515" s="2">
        <f ca="1">IFERROR(__xludf.DUMMYFUNCTION("""COMPUTED_VALUE"""),0)</f>
        <v>0</v>
      </c>
      <c r="H1515" s="2">
        <f ca="1">IFERROR(__xludf.DUMMYFUNCTION("""COMPUTED_VALUE"""),800)</f>
        <v>800</v>
      </c>
      <c r="I1515" s="2"/>
      <c r="J1515" s="2"/>
      <c r="K1515" s="2" t="str">
        <f ca="1">IFERROR(__xludf.DUMMYFUNCTION("""COMPUTED_VALUE"""),"Descubada")</f>
        <v>Descubada</v>
      </c>
      <c r="L1515" s="2"/>
      <c r="M1515" s="2" t="str">
        <f ca="1">IFERROR(__xludf.DUMMYFUNCTION("""COMPUTED_VALUE"""),"Blanco")</f>
        <v>Blanco</v>
      </c>
    </row>
    <row r="1516" spans="1:13" x14ac:dyDescent="0.25">
      <c r="A1516" s="2" t="str">
        <f ca="1">IFERROR(__xludf.DUMMYFUNCTION("""COMPUTED_VALUE"""),"ee47bf75")</f>
        <v>ee47bf75</v>
      </c>
      <c r="B1516" s="2"/>
      <c r="C1516" s="5">
        <f ca="1">IFERROR(__xludf.DUMMYFUNCTION("""COMPUTED_VALUE"""),46092.7962847222)</f>
        <v>46092.796284722201</v>
      </c>
      <c r="D1516" s="2">
        <f ca="1">IFERROR(__xludf.DUMMYFUNCTION("""COMPUTED_VALUE"""),41)</f>
        <v>41</v>
      </c>
      <c r="E1516" s="2">
        <f ca="1">IFERROR(__xludf.DUMMYFUNCTION("""COMPUTED_VALUE"""),35100)</f>
        <v>35100</v>
      </c>
      <c r="F1516" s="2" t="str">
        <f ca="1">IFERROR(__xludf.DUMMYFUNCTION("""COMPUTED_VALUE"""),"Malbec Mer s/Asp 3")</f>
        <v>Malbec Mer s/Asp 3</v>
      </c>
      <c r="G1516" s="2">
        <f ca="1">IFERROR(__xludf.DUMMYFUNCTION("""COMPUTED_VALUE"""),28000)</f>
        <v>28000</v>
      </c>
      <c r="H1516" s="2">
        <f ca="1">IFERROR(__xludf.DUMMYFUNCTION("""COMPUTED_VALUE"""),35100)</f>
        <v>35100</v>
      </c>
      <c r="I1516" s="2"/>
      <c r="J1516" s="2"/>
      <c r="K1516" s="2" t="str">
        <f ca="1">IFERROR(__xludf.DUMMYFUNCTION("""COMPUTED_VALUE"""),"Descubada")</f>
        <v>Descubada</v>
      </c>
      <c r="L1516" s="2"/>
      <c r="M1516" s="2" t="str">
        <f ca="1">IFERROR(__xludf.DUMMYFUNCTION("""COMPUTED_VALUE"""),"Tinto")</f>
        <v>Tinto</v>
      </c>
    </row>
    <row r="1517" spans="1:13" x14ac:dyDescent="0.25">
      <c r="A1517" s="2" t="str">
        <f ca="1">IFERROR(__xludf.DUMMYFUNCTION("""COMPUTED_VALUE"""),"15c1aa14")</f>
        <v>15c1aa14</v>
      </c>
      <c r="B1517" s="2"/>
      <c r="C1517" s="5">
        <f ca="1">IFERROR(__xludf.DUMMYFUNCTION("""COMPUTED_VALUE"""),46092.8026273148)</f>
        <v>46092.802627314799</v>
      </c>
      <c r="D1517" s="2">
        <f ca="1">IFERROR(__xludf.DUMMYFUNCTION("""COMPUTED_VALUE"""),102)</f>
        <v>102</v>
      </c>
      <c r="E1517" s="2">
        <f ca="1">IFERROR(__xludf.DUMMYFUNCTION("""COMPUTED_VALUE"""),31000)</f>
        <v>31000</v>
      </c>
      <c r="F1517" s="2" t="str">
        <f ca="1">IFERROR(__xludf.DUMMYFUNCTION("""COMPUTED_VALUE"""),"Syrah Anc s/Asp 2")</f>
        <v>Syrah Anc s/Asp 2</v>
      </c>
      <c r="G1517" s="2">
        <f ca="1">IFERROR(__xludf.DUMMYFUNCTION("""COMPUTED_VALUE"""),0)</f>
        <v>0</v>
      </c>
      <c r="H1517" s="2">
        <f ca="1">IFERROR(__xludf.DUMMYFUNCTION("""COMPUTED_VALUE"""),31000)</f>
        <v>31000</v>
      </c>
      <c r="I1517" s="2"/>
      <c r="J1517" s="2"/>
      <c r="K1517" s="2" t="str">
        <f ca="1">IFERROR(__xludf.DUMMYFUNCTION("""COMPUTED_VALUE"""),"Descubada")</f>
        <v>Descubada</v>
      </c>
      <c r="L1517" s="2" t="str">
        <f ca="1">IFERROR(__xludf.DUMMYFUNCTION("""COMPUTED_VALUE"""),"1+")</f>
        <v>1+</v>
      </c>
      <c r="M1517" s="2" t="str">
        <f ca="1">IFERROR(__xludf.DUMMYFUNCTION("""COMPUTED_VALUE"""),"Tinto")</f>
        <v>Tinto</v>
      </c>
    </row>
    <row r="1518" spans="1:13" x14ac:dyDescent="0.25">
      <c r="A1518" s="2" t="str">
        <f ca="1">IFERROR(__xludf.DUMMYFUNCTION("""COMPUTED_VALUE"""),"81b2ba61")</f>
        <v>81b2ba61</v>
      </c>
      <c r="B1518" s="2"/>
      <c r="C1518" s="5">
        <f ca="1">IFERROR(__xludf.DUMMYFUNCTION("""COMPUTED_VALUE"""),46092.8045138888)</f>
        <v>46092.804513888797</v>
      </c>
      <c r="D1518" s="2">
        <f ca="1">IFERROR(__xludf.DUMMYFUNCTION("""COMPUTED_VALUE"""),103)</f>
        <v>103</v>
      </c>
      <c r="E1518" s="2">
        <f ca="1">IFERROR(__xludf.DUMMYFUNCTION("""COMPUTED_VALUE"""),31000)</f>
        <v>31000</v>
      </c>
      <c r="F1518" s="2" t="str">
        <f ca="1">IFERROR(__xludf.DUMMYFUNCTION("""COMPUTED_VALUE"""),"Syrah Anc s/Asp 2")</f>
        <v>Syrah Anc s/Asp 2</v>
      </c>
      <c r="G1518" s="2">
        <f ca="1">IFERROR(__xludf.DUMMYFUNCTION("""COMPUTED_VALUE"""),0)</f>
        <v>0</v>
      </c>
      <c r="H1518" s="2">
        <f ca="1">IFERROR(__xludf.DUMMYFUNCTION("""COMPUTED_VALUE"""),3000)</f>
        <v>3000</v>
      </c>
      <c r="I1518" s="2"/>
      <c r="J1518" s="2"/>
      <c r="K1518" s="2" t="str">
        <f ca="1">IFERROR(__xludf.DUMMYFUNCTION("""COMPUTED_VALUE"""),"Descubada")</f>
        <v>Descubada</v>
      </c>
      <c r="L1518" s="2"/>
      <c r="M1518" s="2"/>
    </row>
    <row r="1519" spans="1:13" x14ac:dyDescent="0.25">
      <c r="A1519" s="2" t="str">
        <f ca="1">IFERROR(__xludf.DUMMYFUNCTION("""COMPUTED_VALUE"""),"5e27b625")</f>
        <v>5e27b625</v>
      </c>
      <c r="B1519" s="2"/>
      <c r="C1519" s="5">
        <f ca="1">IFERROR(__xludf.DUMMYFUNCTION("""COMPUTED_VALUE"""),46092.8053587962)</f>
        <v>46092.805358796199</v>
      </c>
      <c r="D1519" s="2">
        <f ca="1">IFERROR(__xludf.DUMMYFUNCTION("""COMPUTED_VALUE"""),103)</f>
        <v>103</v>
      </c>
      <c r="E1519" s="2">
        <f ca="1">IFERROR(__xludf.DUMMYFUNCTION("""COMPUTED_VALUE"""),31000)</f>
        <v>31000</v>
      </c>
      <c r="F1519" s="2" t="str">
        <f ca="1">IFERROR(__xludf.DUMMYFUNCTION("""COMPUTED_VALUE"""),"Syrah Anc s/Asp 2")</f>
        <v>Syrah Anc s/Asp 2</v>
      </c>
      <c r="G1519" s="2">
        <f ca="1">IFERROR(__xludf.DUMMYFUNCTION("""COMPUTED_VALUE"""),3000)</f>
        <v>3000</v>
      </c>
      <c r="H1519" s="2">
        <f ca="1">IFERROR(__xludf.DUMMYFUNCTION("""COMPUTED_VALUE"""),20000)</f>
        <v>20000</v>
      </c>
      <c r="I1519" s="2"/>
      <c r="J1519" s="2"/>
      <c r="K1519" s="2" t="str">
        <f ca="1">IFERROR(__xludf.DUMMYFUNCTION("""COMPUTED_VALUE"""),"Descubada")</f>
        <v>Descubada</v>
      </c>
      <c r="L1519" s="2"/>
      <c r="M1519" s="2"/>
    </row>
    <row r="1520" spans="1:13" x14ac:dyDescent="0.25">
      <c r="A1520" s="2" t="str">
        <f ca="1">IFERROR(__xludf.DUMMYFUNCTION("""COMPUTED_VALUE"""),"85dfc886")</f>
        <v>85dfc886</v>
      </c>
      <c r="B1520" s="2"/>
      <c r="C1520" s="5">
        <f ca="1">IFERROR(__xludf.DUMMYFUNCTION("""COMPUTED_VALUE"""),46092.8083449074)</f>
        <v>46092.808344907397</v>
      </c>
      <c r="D1520" s="2">
        <f ca="1">IFERROR(__xludf.DUMMYFUNCTION("""COMPUTED_VALUE"""),103)</f>
        <v>103</v>
      </c>
      <c r="E1520" s="2">
        <f ca="1">IFERROR(__xludf.DUMMYFUNCTION("""COMPUTED_VALUE"""),31000)</f>
        <v>31000</v>
      </c>
      <c r="F1520" s="2" t="str">
        <f ca="1">IFERROR(__xludf.DUMMYFUNCTION("""COMPUTED_VALUE"""),"Syrah Anc s/Asp 2")</f>
        <v>Syrah Anc s/Asp 2</v>
      </c>
      <c r="G1520" s="2">
        <f ca="1">IFERROR(__xludf.DUMMYFUNCTION("""COMPUTED_VALUE"""),20000)</f>
        <v>20000</v>
      </c>
      <c r="H1520" s="2">
        <f ca="1">IFERROR(__xludf.DUMMYFUNCTION("""COMPUTED_VALUE"""),23000)</f>
        <v>23000</v>
      </c>
      <c r="I1520" s="2"/>
      <c r="J1520" s="2"/>
      <c r="K1520" s="2" t="str">
        <f ca="1">IFERROR(__xludf.DUMMYFUNCTION("""COMPUTED_VALUE"""),"Descubada")</f>
        <v>Descubada</v>
      </c>
      <c r="L1520" s="2"/>
      <c r="M1520" s="2"/>
    </row>
    <row r="1521" spans="1:13" x14ac:dyDescent="0.25">
      <c r="A1521" s="2" t="str">
        <f ca="1">IFERROR(__xludf.DUMMYFUNCTION("""COMPUTED_VALUE"""),"a8f01ef9")</f>
        <v>a8f01ef9</v>
      </c>
      <c r="B1521" s="2"/>
      <c r="C1521" s="5">
        <f ca="1">IFERROR(__xludf.DUMMYFUNCTION("""COMPUTED_VALUE"""),46092.8087037037)</f>
        <v>46092.808703703697</v>
      </c>
      <c r="D1521" s="2">
        <f ca="1">IFERROR(__xludf.DUMMYFUNCTION("""COMPUTED_VALUE"""),103)</f>
        <v>103</v>
      </c>
      <c r="E1521" s="2">
        <f ca="1">IFERROR(__xludf.DUMMYFUNCTION("""COMPUTED_VALUE"""),31000)</f>
        <v>31000</v>
      </c>
      <c r="F1521" s="2" t="str">
        <f ca="1">IFERROR(__xludf.DUMMYFUNCTION("""COMPUTED_VALUE"""),"Syrah Anc s/Asp 2")</f>
        <v>Syrah Anc s/Asp 2</v>
      </c>
      <c r="G1521" s="2">
        <f ca="1">IFERROR(__xludf.DUMMYFUNCTION("""COMPUTED_VALUE"""),23000)</f>
        <v>23000</v>
      </c>
      <c r="H1521" s="2">
        <f ca="1">IFERROR(__xludf.DUMMYFUNCTION("""COMPUTED_VALUE"""),28000)</f>
        <v>28000</v>
      </c>
      <c r="I1521" s="2"/>
      <c r="J1521" s="2"/>
      <c r="K1521" s="2" t="str">
        <f ca="1">IFERROR(__xludf.DUMMYFUNCTION("""COMPUTED_VALUE"""),"Descubada")</f>
        <v>Descubada</v>
      </c>
      <c r="L1521" s="2" t="str">
        <f ca="1">IFERROR(__xludf.DUMMYFUNCTION("""COMPUTED_VALUE"""),"1+")</f>
        <v>1+</v>
      </c>
      <c r="M1521" s="2" t="str">
        <f ca="1">IFERROR(__xludf.DUMMYFUNCTION("""COMPUTED_VALUE"""),"Tinto")</f>
        <v>Tinto</v>
      </c>
    </row>
    <row r="1522" spans="1:13" x14ac:dyDescent="0.25">
      <c r="A1522" s="2" t="str">
        <f ca="1">IFERROR(__xludf.DUMMYFUNCTION("""COMPUTED_VALUE"""),"d08aca8e")</f>
        <v>d08aca8e</v>
      </c>
      <c r="B1522" s="2"/>
      <c r="C1522" s="5">
        <f ca="1">IFERROR(__xludf.DUMMYFUNCTION("""COMPUTED_VALUE"""),46092.8095138888)</f>
        <v>46092.809513888802</v>
      </c>
      <c r="D1522" s="2">
        <f ca="1">IFERROR(__xludf.DUMMYFUNCTION("""COMPUTED_VALUE"""),86)</f>
        <v>86</v>
      </c>
      <c r="E1522" s="2">
        <f ca="1">IFERROR(__xludf.DUMMYFUNCTION("""COMPUTED_VALUE"""),88000)</f>
        <v>88000</v>
      </c>
      <c r="F1522" s="2" t="str">
        <f ca="1">IFERROR(__xludf.DUMMYFUNCTION("""COMPUTED_VALUE"""),"Syrah Malbec s/Asp 2")</f>
        <v>Syrah Malbec s/Asp 2</v>
      </c>
      <c r="G1522" s="2">
        <f ca="1">IFERROR(__xludf.DUMMYFUNCTION("""COMPUTED_VALUE"""),13900)</f>
        <v>13900</v>
      </c>
      <c r="H1522" s="2">
        <f ca="1">IFERROR(__xludf.DUMMYFUNCTION("""COMPUTED_VALUE"""),61900)</f>
        <v>61900</v>
      </c>
      <c r="I1522" s="2"/>
      <c r="J1522" s="2"/>
      <c r="K1522" s="2" t="str">
        <f ca="1">IFERROR(__xludf.DUMMYFUNCTION("""COMPUTED_VALUE"""),"Fermentando")</f>
        <v>Fermentando</v>
      </c>
      <c r="L1522" s="2"/>
      <c r="M1522" s="2" t="str">
        <f ca="1">IFERROR(__xludf.DUMMYFUNCTION("""COMPUTED_VALUE"""),"Tinto")</f>
        <v>Tinto</v>
      </c>
    </row>
    <row r="1523" spans="1:13" x14ac:dyDescent="0.25">
      <c r="A1523" s="2" t="str">
        <f ca="1">IFERROR(__xludf.DUMMYFUNCTION("""COMPUTED_VALUE"""),"6a072a2b")</f>
        <v>6a072a2b</v>
      </c>
      <c r="B1523" s="2"/>
      <c r="C1523" s="5">
        <f ca="1">IFERROR(__xludf.DUMMYFUNCTION("""COMPUTED_VALUE"""),46092.8104166666)</f>
        <v>46092.810416666602</v>
      </c>
      <c r="D1523" s="2">
        <f ca="1">IFERROR(__xludf.DUMMYFUNCTION("""COMPUTED_VALUE"""),82)</f>
        <v>82</v>
      </c>
      <c r="E1523" s="2">
        <f ca="1">IFERROR(__xludf.DUMMYFUNCTION("""COMPUTED_VALUE"""),42600)</f>
        <v>42600</v>
      </c>
      <c r="F1523" s="2" t="str">
        <f ca="1">IFERROR(__xludf.DUMMYFUNCTION("""COMPUTED_VALUE"""),"Syrah Malbec s/Asp 2")</f>
        <v>Syrah Malbec s/Asp 2</v>
      </c>
      <c r="G1523" s="2">
        <f ca="1">IFERROR(__xludf.DUMMYFUNCTION("""COMPUTED_VALUE"""),19750)</f>
        <v>19750</v>
      </c>
      <c r="H1523" s="2">
        <f ca="1">IFERROR(__xludf.DUMMYFUNCTION("""COMPUTED_VALUE"""),35250)</f>
        <v>35250</v>
      </c>
      <c r="I1523" s="2"/>
      <c r="J1523" s="2"/>
      <c r="K1523" s="2" t="str">
        <f ca="1">IFERROR(__xludf.DUMMYFUNCTION("""COMPUTED_VALUE"""),"Fermentando")</f>
        <v>Fermentando</v>
      </c>
      <c r="L1523" s="2" t="str">
        <f ca="1">IFERROR(__xludf.DUMMYFUNCTION("""COMPUTED_VALUE"""),"1-")</f>
        <v>1-</v>
      </c>
      <c r="M1523" s="2" t="str">
        <f ca="1">IFERROR(__xludf.DUMMYFUNCTION("""COMPUTED_VALUE"""),"Tinto")</f>
        <v>Tinto</v>
      </c>
    </row>
    <row r="1524" spans="1:13" x14ac:dyDescent="0.25">
      <c r="A1524" s="2" t="str">
        <f ca="1">IFERROR(__xludf.DUMMYFUNCTION("""COMPUTED_VALUE"""),"c4e0169e")</f>
        <v>c4e0169e</v>
      </c>
      <c r="B1524" s="2"/>
      <c r="C1524" s="5">
        <f ca="1">IFERROR(__xludf.DUMMYFUNCTION("""COMPUTED_VALUE"""),46092.8124652777)</f>
        <v>46092.812465277697</v>
      </c>
      <c r="D1524" s="2">
        <f ca="1">IFERROR(__xludf.DUMMYFUNCTION("""COMPUTED_VALUE"""),48)</f>
        <v>48</v>
      </c>
      <c r="E1524" s="2">
        <f ca="1">IFERROR(__xludf.DUMMYFUNCTION("""COMPUTED_VALUE"""),26000)</f>
        <v>26000</v>
      </c>
      <c r="F1524" s="2" t="str">
        <f ca="1">IFERROR(__xludf.DUMMYFUNCTION("""COMPUTED_VALUE"""),"Cabernet Sauvignon Rect")</f>
        <v>Cabernet Sauvignon Rect</v>
      </c>
      <c r="G1524" s="2">
        <f ca="1">IFERROR(__xludf.DUMMYFUNCTION("""COMPUTED_VALUE"""),12500)</f>
        <v>12500</v>
      </c>
      <c r="H1524" s="2">
        <f ca="1">IFERROR(__xludf.DUMMYFUNCTION("""COMPUTED_VALUE"""),8500)</f>
        <v>8500</v>
      </c>
      <c r="I1524" s="2"/>
      <c r="J1524" s="2"/>
      <c r="K1524" s="2" t="str">
        <f ca="1">IFERROR(__xludf.DUMMYFUNCTION("""COMPUTED_VALUE"""),"Rectificado")</f>
        <v>Rectificado</v>
      </c>
      <c r="L1524" s="2" t="str">
        <f ca="1">IFERROR(__xludf.DUMMYFUNCTION("""COMPUTED_VALUE"""),"1")</f>
        <v>1</v>
      </c>
      <c r="M1524" s="2" t="str">
        <f ca="1">IFERROR(__xludf.DUMMYFUNCTION("""COMPUTED_VALUE"""),"Tinto")</f>
        <v>Tinto</v>
      </c>
    </row>
    <row r="1525" spans="1:13" x14ac:dyDescent="0.25">
      <c r="A1525" s="2" t="str">
        <f ca="1">IFERROR(__xludf.DUMMYFUNCTION("""COMPUTED_VALUE"""),"d03cb183")</f>
        <v>d03cb183</v>
      </c>
      <c r="B1525" s="2"/>
      <c r="C1525" s="5">
        <f ca="1">IFERROR(__xludf.DUMMYFUNCTION("""COMPUTED_VALUE"""),46092.8164814814)</f>
        <v>46092.816481481401</v>
      </c>
      <c r="D1525" s="2">
        <f ca="1">IFERROR(__xludf.DUMMYFUNCTION("""COMPUTED_VALUE"""),87)</f>
        <v>87</v>
      </c>
      <c r="E1525" s="2">
        <f ca="1">IFERROR(__xludf.DUMMYFUNCTION("""COMPUTED_VALUE"""),93700)</f>
        <v>93700</v>
      </c>
      <c r="F1525" s="2" t="str">
        <f ca="1">IFERROR(__xludf.DUMMYFUNCTION("""COMPUTED_VALUE"""),"Syrah Tempranillo")</f>
        <v>Syrah Tempranillo</v>
      </c>
      <c r="G1525" s="2"/>
      <c r="H1525" s="2">
        <f ca="1">IFERROR(__xludf.DUMMYFUNCTION("""COMPUTED_VALUE"""),43800)</f>
        <v>43800</v>
      </c>
      <c r="I1525" s="2"/>
      <c r="J1525" s="2" t="str">
        <f ca="1">IFERROR(__xludf.DUMMYFUNCTION("""COMPUTED_VALUE"""),"6303 , 6304 , 6305 , 6306 , 6307 , 6308")</f>
        <v>6303 , 6304 , 6305 , 6306 , 6307 , 6308</v>
      </c>
      <c r="K1525" s="2" t="str">
        <f ca="1">IFERROR(__xludf.DUMMYFUNCTION("""COMPUTED_VALUE"""),"Fermentando")</f>
        <v>Fermentando</v>
      </c>
      <c r="L1525" s="2" t="str">
        <f ca="1">IFERROR(__xludf.DUMMYFUNCTION("""COMPUTED_VALUE"""),"1+")</f>
        <v>1+</v>
      </c>
      <c r="M1525" s="2" t="str">
        <f ca="1">IFERROR(__xludf.DUMMYFUNCTION("""COMPUTED_VALUE"""),"Tinto")</f>
        <v>Tinto</v>
      </c>
    </row>
    <row r="1526" spans="1:13" x14ac:dyDescent="0.25">
      <c r="A1526" s="2" t="str">
        <f ca="1">IFERROR(__xludf.DUMMYFUNCTION("""COMPUTED_VALUE"""),"a2e0d2ff")</f>
        <v>a2e0d2ff</v>
      </c>
      <c r="B1526" s="2"/>
      <c r="C1526" s="5">
        <f ca="1">IFERROR(__xludf.DUMMYFUNCTION("""COMPUTED_VALUE"""),46093.8169791666)</f>
        <v>46093.816979166601</v>
      </c>
      <c r="D1526" s="2">
        <f ca="1">IFERROR(__xludf.DUMMYFUNCTION("""COMPUTED_VALUE"""),95)</f>
        <v>95</v>
      </c>
      <c r="E1526" s="2">
        <f ca="1">IFERROR(__xludf.DUMMYFUNCTION("""COMPUTED_VALUE"""),77100)</f>
        <v>77100</v>
      </c>
      <c r="F1526" s="2" t="str">
        <f ca="1">IFERROR(__xludf.DUMMYFUNCTION("""COMPUTED_VALUE"""),"Corte Millan")</f>
        <v>Corte Millan</v>
      </c>
      <c r="G1526" s="2">
        <f ca="1">IFERROR(__xludf.DUMMYFUNCTION("""COMPUTED_VALUE"""),5800)</f>
        <v>5800</v>
      </c>
      <c r="H1526" s="2">
        <f ca="1">IFERROR(__xludf.DUMMYFUNCTION("""COMPUTED_VALUE"""),82900)</f>
        <v>82900</v>
      </c>
      <c r="I1526" s="2"/>
      <c r="J1526" s="2"/>
      <c r="K1526" s="2" t="str">
        <f ca="1">IFERROR(__xludf.DUMMYFUNCTION("""COMPUTED_VALUE"""),"Terminado")</f>
        <v>Terminado</v>
      </c>
      <c r="L1526" s="2" t="str">
        <f ca="1">IFERROR(__xludf.DUMMYFUNCTION("""COMPUTED_VALUE"""),"1")</f>
        <v>1</v>
      </c>
      <c r="M1526" s="2" t="str">
        <f ca="1">IFERROR(__xludf.DUMMYFUNCTION("""COMPUTED_VALUE"""),"Tinto")</f>
        <v>Tinto</v>
      </c>
    </row>
    <row r="1527" spans="1:13" x14ac:dyDescent="0.25">
      <c r="A1527" s="2" t="str">
        <f ca="1">IFERROR(__xludf.DUMMYFUNCTION("""COMPUTED_VALUE"""),"e6286b68")</f>
        <v>e6286b68</v>
      </c>
      <c r="B1527" s="2"/>
      <c r="C1527" s="5">
        <f ca="1">IFERROR(__xludf.DUMMYFUNCTION("""COMPUTED_VALUE"""),46093.8175347222)</f>
        <v>46093.817534722199</v>
      </c>
      <c r="D1527" s="2">
        <f ca="1">IFERROR(__xludf.DUMMYFUNCTION("""COMPUTED_VALUE"""),96)</f>
        <v>96</v>
      </c>
      <c r="E1527" s="2">
        <f ca="1">IFERROR(__xludf.DUMMYFUNCTION("""COMPUTED_VALUE"""),85600)</f>
        <v>85600</v>
      </c>
      <c r="F1527" s="2" t="str">
        <f ca="1">IFERROR(__xludf.DUMMYFUNCTION("""COMPUTED_VALUE"""),"Tinto Varietal B")</f>
        <v>Tinto Varietal B</v>
      </c>
      <c r="G1527" s="2">
        <f ca="1">IFERROR(__xludf.DUMMYFUNCTION("""COMPUTED_VALUE"""),0)</f>
        <v>0</v>
      </c>
      <c r="H1527" s="2">
        <f ca="1">IFERROR(__xludf.DUMMYFUNCTION("""COMPUTED_VALUE"""),85600)</f>
        <v>85600</v>
      </c>
      <c r="I1527" s="2"/>
      <c r="J1527" s="2"/>
      <c r="K1527" s="2" t="str">
        <f ca="1">IFERROR(__xludf.DUMMYFUNCTION("""COMPUTED_VALUE"""),"Terminado")</f>
        <v>Terminado</v>
      </c>
      <c r="L1527" s="2" t="str">
        <f ca="1">IFERROR(__xludf.DUMMYFUNCTION("""COMPUTED_VALUE"""),"1")</f>
        <v>1</v>
      </c>
      <c r="M1527" s="2" t="str">
        <f ca="1">IFERROR(__xludf.DUMMYFUNCTION("""COMPUTED_VALUE"""),"Tinto")</f>
        <v>Tinto</v>
      </c>
    </row>
    <row r="1528" spans="1:13" x14ac:dyDescent="0.25">
      <c r="A1528" s="2" t="str">
        <f ca="1">IFERROR(__xludf.DUMMYFUNCTION("""COMPUTED_VALUE"""),"ef7d4d6c")</f>
        <v>ef7d4d6c</v>
      </c>
      <c r="B1528" s="2"/>
      <c r="C1528" s="5">
        <f ca="1">IFERROR(__xludf.DUMMYFUNCTION("""COMPUTED_VALUE"""),46093.8178935185)</f>
        <v>46093.817893518499</v>
      </c>
      <c r="D1528" s="2">
        <f ca="1">IFERROR(__xludf.DUMMYFUNCTION("""COMPUTED_VALUE"""),92)</f>
        <v>92</v>
      </c>
      <c r="E1528" s="2">
        <f ca="1">IFERROR(__xludf.DUMMYFUNCTION("""COMPUTED_VALUE"""),76000)</f>
        <v>76000</v>
      </c>
      <c r="F1528" s="2" t="str">
        <f ca="1">IFERROR(__xludf.DUMMYFUNCTION("""COMPUTED_VALUE"""),"Corte Millan")</f>
        <v>Corte Millan</v>
      </c>
      <c r="G1528" s="2">
        <f ca="1">IFERROR(__xludf.DUMMYFUNCTION("""COMPUTED_VALUE"""),0)</f>
        <v>0</v>
      </c>
      <c r="H1528" s="2">
        <f ca="1">IFERROR(__xludf.DUMMYFUNCTION("""COMPUTED_VALUE"""),70000)</f>
        <v>70000</v>
      </c>
      <c r="I1528" s="2"/>
      <c r="J1528" s="2"/>
      <c r="K1528" s="2" t="str">
        <f ca="1">IFERROR(__xludf.DUMMYFUNCTION("""COMPUTED_VALUE"""),"Terminado")</f>
        <v>Terminado</v>
      </c>
      <c r="L1528" s="2" t="str">
        <f ca="1">IFERROR(__xludf.DUMMYFUNCTION("""COMPUTED_VALUE"""),"1")</f>
        <v>1</v>
      </c>
      <c r="M1528" s="2" t="str">
        <f ca="1">IFERROR(__xludf.DUMMYFUNCTION("""COMPUTED_VALUE"""),"Tinto")</f>
        <v>Tinto</v>
      </c>
    </row>
    <row r="1529" spans="1:13" x14ac:dyDescent="0.25">
      <c r="A1529" s="2" t="str">
        <f ca="1">IFERROR(__xludf.DUMMYFUNCTION("""COMPUTED_VALUE"""),"aae66af0")</f>
        <v>aae66af0</v>
      </c>
      <c r="B1529" s="2"/>
      <c r="C1529" s="5">
        <f ca="1">IFERROR(__xludf.DUMMYFUNCTION("""COMPUTED_VALUE"""),46093.8197800925)</f>
        <v>46093.819780092497</v>
      </c>
      <c r="D1529" s="2">
        <f ca="1">IFERROR(__xludf.DUMMYFUNCTION("""COMPUTED_VALUE"""),25)</f>
        <v>25</v>
      </c>
      <c r="E1529" s="2">
        <f ca="1">IFERROR(__xludf.DUMMYFUNCTION("""COMPUTED_VALUE"""),194300)</f>
        <v>194300</v>
      </c>
      <c r="F1529" s="2" t="str">
        <f ca="1">IFERROR(__xludf.DUMMYFUNCTION("""COMPUTED_VALUE"""),"Corte Millan")</f>
        <v>Corte Millan</v>
      </c>
      <c r="G1529" s="2">
        <f ca="1">IFERROR(__xludf.DUMMYFUNCTION("""COMPUTED_VALUE"""),38700)</f>
        <v>38700</v>
      </c>
      <c r="H1529" s="2">
        <f ca="1">IFERROR(__xludf.DUMMYFUNCTION("""COMPUTED_VALUE"""),115800)</f>
        <v>115800</v>
      </c>
      <c r="I1529" s="2"/>
      <c r="J1529" s="2"/>
      <c r="K1529" s="2" t="str">
        <f ca="1">IFERROR(__xludf.DUMMYFUNCTION("""COMPUTED_VALUE"""),"Terminado")</f>
        <v>Terminado</v>
      </c>
      <c r="L1529" s="2" t="str">
        <f ca="1">IFERROR(__xludf.DUMMYFUNCTION("""COMPUTED_VALUE"""),"1")</f>
        <v>1</v>
      </c>
      <c r="M1529" s="2"/>
    </row>
    <row r="1530" spans="1:13" x14ac:dyDescent="0.25">
      <c r="A1530" s="2" t="str">
        <f ca="1">IFERROR(__xludf.DUMMYFUNCTION("""COMPUTED_VALUE"""),"bf019425")</f>
        <v>bf019425</v>
      </c>
      <c r="B1530" s="2"/>
      <c r="C1530" s="5">
        <f ca="1">IFERROR(__xludf.DUMMYFUNCTION("""COMPUTED_VALUE"""),46093.8200925925)</f>
        <v>46093.820092592498</v>
      </c>
      <c r="D1530" s="2">
        <f ca="1">IFERROR(__xludf.DUMMYFUNCTION("""COMPUTED_VALUE"""),24)</f>
        <v>24</v>
      </c>
      <c r="E1530" s="2">
        <f ca="1">IFERROR(__xludf.DUMMYFUNCTION("""COMPUTED_VALUE"""),186600)</f>
        <v>186600</v>
      </c>
      <c r="F1530" s="2" t="str">
        <f ca="1">IFERROR(__xludf.DUMMYFUNCTION("""COMPUTED_VALUE"""),"Corte Millan")</f>
        <v>Corte Millan</v>
      </c>
      <c r="G1530" s="2">
        <f ca="1">IFERROR(__xludf.DUMMYFUNCTION("""COMPUTED_VALUE"""),109500)</f>
        <v>109500</v>
      </c>
      <c r="H1530" s="2">
        <f ca="1">IFERROR(__xludf.DUMMYFUNCTION("""COMPUTED_VALUE"""),115300)</f>
        <v>115300</v>
      </c>
      <c r="I1530" s="2"/>
      <c r="J1530" s="2"/>
      <c r="K1530" s="2" t="str">
        <f ca="1">IFERROR(__xludf.DUMMYFUNCTION("""COMPUTED_VALUE"""),"Terminado")</f>
        <v>Terminado</v>
      </c>
      <c r="L1530" s="2" t="str">
        <f ca="1">IFERROR(__xludf.DUMMYFUNCTION("""COMPUTED_VALUE"""),"1")</f>
        <v>1</v>
      </c>
      <c r="M1530" s="2"/>
    </row>
    <row r="1531" spans="1:13" x14ac:dyDescent="0.25">
      <c r="A1531" s="2" t="str">
        <f ca="1">IFERROR(__xludf.DUMMYFUNCTION("""COMPUTED_VALUE"""),"bc466ce0")</f>
        <v>bc466ce0</v>
      </c>
      <c r="B1531" s="2"/>
      <c r="C1531" s="5">
        <f ca="1">IFERROR(__xludf.DUMMYFUNCTION("""COMPUTED_VALUE"""),46093.8204513888)</f>
        <v>46093.820451388798</v>
      </c>
      <c r="D1531" s="2">
        <f ca="1">IFERROR(__xludf.DUMMYFUNCTION("""COMPUTED_VALUE"""),25)</f>
        <v>25</v>
      </c>
      <c r="E1531" s="2">
        <f ca="1">IFERROR(__xludf.DUMMYFUNCTION("""COMPUTED_VALUE"""),194300)</f>
        <v>194300</v>
      </c>
      <c r="F1531" s="2" t="str">
        <f ca="1">IFERROR(__xludf.DUMMYFUNCTION("""COMPUTED_VALUE"""),"Corte Millan")</f>
        <v>Corte Millan</v>
      </c>
      <c r="G1531" s="2">
        <f ca="1">IFERROR(__xludf.DUMMYFUNCTION("""COMPUTED_VALUE"""),115800)</f>
        <v>115800</v>
      </c>
      <c r="H1531" s="2">
        <f ca="1">IFERROR(__xludf.DUMMYFUNCTION("""COMPUTED_VALUE"""),125600)</f>
        <v>125600</v>
      </c>
      <c r="I1531" s="2"/>
      <c r="J1531" s="2"/>
      <c r="K1531" s="2" t="str">
        <f ca="1">IFERROR(__xludf.DUMMYFUNCTION("""COMPUTED_VALUE"""),"Terminado")</f>
        <v>Terminado</v>
      </c>
      <c r="L1531" s="2" t="str">
        <f ca="1">IFERROR(__xludf.DUMMYFUNCTION("""COMPUTED_VALUE"""),"1")</f>
        <v>1</v>
      </c>
      <c r="M1531" s="2"/>
    </row>
    <row r="1532" spans="1:13" x14ac:dyDescent="0.25">
      <c r="A1532" s="2" t="str">
        <f ca="1">IFERROR(__xludf.DUMMYFUNCTION("""COMPUTED_VALUE"""),"b942d2a0")</f>
        <v>b942d2a0</v>
      </c>
      <c r="B1532" s="2"/>
      <c r="C1532" s="5">
        <f ca="1">IFERROR(__xludf.DUMMYFUNCTION("""COMPUTED_VALUE"""),46093.8208564814)</f>
        <v>46093.820856481398</v>
      </c>
      <c r="D1532" s="2">
        <f ca="1">IFERROR(__xludf.DUMMYFUNCTION("""COMPUTED_VALUE"""),25)</f>
        <v>25</v>
      </c>
      <c r="E1532" s="2">
        <f ca="1">IFERROR(__xludf.DUMMYFUNCTION("""COMPUTED_VALUE"""),194300)</f>
        <v>194300</v>
      </c>
      <c r="F1532" s="2" t="str">
        <f ca="1">IFERROR(__xludf.DUMMYFUNCTION("""COMPUTED_VALUE"""),"Corte Millan")</f>
        <v>Corte Millan</v>
      </c>
      <c r="G1532" s="2">
        <f ca="1">IFERROR(__xludf.DUMMYFUNCTION("""COMPUTED_VALUE"""),125600)</f>
        <v>125600</v>
      </c>
      <c r="H1532" s="2">
        <f ca="1">IFERROR(__xludf.DUMMYFUNCTION("""COMPUTED_VALUE"""),132400)</f>
        <v>132400</v>
      </c>
      <c r="I1532" s="2"/>
      <c r="J1532" s="2"/>
      <c r="K1532" s="2" t="str">
        <f ca="1">IFERROR(__xludf.DUMMYFUNCTION("""COMPUTED_VALUE"""),"Terminado")</f>
        <v>Terminado</v>
      </c>
      <c r="L1532" s="2" t="str">
        <f ca="1">IFERROR(__xludf.DUMMYFUNCTION("""COMPUTED_VALUE"""),"1")</f>
        <v>1</v>
      </c>
      <c r="M1532" s="2"/>
    </row>
    <row r="1533" spans="1:13" x14ac:dyDescent="0.25">
      <c r="A1533" s="2" t="str">
        <f ca="1">IFERROR(__xludf.DUMMYFUNCTION("""COMPUTED_VALUE"""),"e7f421ba")</f>
        <v>e7f421ba</v>
      </c>
      <c r="B1533" s="2"/>
      <c r="C1533" s="5">
        <f ca="1">IFERROR(__xludf.DUMMYFUNCTION("""COMPUTED_VALUE"""),46093.8211342592)</f>
        <v>46093.821134259197</v>
      </c>
      <c r="D1533" s="2">
        <f ca="1">IFERROR(__xludf.DUMMYFUNCTION("""COMPUTED_VALUE"""),25)</f>
        <v>25</v>
      </c>
      <c r="E1533" s="2">
        <f ca="1">IFERROR(__xludf.DUMMYFUNCTION("""COMPUTED_VALUE"""),194300)</f>
        <v>194300</v>
      </c>
      <c r="F1533" s="2" t="str">
        <f ca="1">IFERROR(__xludf.DUMMYFUNCTION("""COMPUTED_VALUE"""),"Corte Millan")</f>
        <v>Corte Millan</v>
      </c>
      <c r="G1533" s="2">
        <f ca="1">IFERROR(__xludf.DUMMYFUNCTION("""COMPUTED_VALUE"""),132400)</f>
        <v>132400</v>
      </c>
      <c r="H1533" s="2">
        <f ca="1">IFERROR(__xludf.DUMMYFUNCTION("""COMPUTED_VALUE"""),133700)</f>
        <v>133700</v>
      </c>
      <c r="I1533" s="2"/>
      <c r="J1533" s="2"/>
      <c r="K1533" s="2" t="str">
        <f ca="1">IFERROR(__xludf.DUMMYFUNCTION("""COMPUTED_VALUE"""),"Terminado")</f>
        <v>Terminado</v>
      </c>
      <c r="L1533" s="2" t="str">
        <f ca="1">IFERROR(__xludf.DUMMYFUNCTION("""COMPUTED_VALUE"""),"1")</f>
        <v>1</v>
      </c>
      <c r="M1533" s="2"/>
    </row>
    <row r="1534" spans="1:13" x14ac:dyDescent="0.25">
      <c r="A1534" s="2" t="str">
        <f ca="1">IFERROR(__xludf.DUMMYFUNCTION("""COMPUTED_VALUE"""),"950ee469")</f>
        <v>950ee469</v>
      </c>
      <c r="B1534" s="2"/>
      <c r="C1534" s="5">
        <f ca="1">IFERROR(__xludf.DUMMYFUNCTION("""COMPUTED_VALUE"""),46093.8215856481)</f>
        <v>46093.821585648097</v>
      </c>
      <c r="D1534" s="2">
        <f ca="1">IFERROR(__xludf.DUMMYFUNCTION("""COMPUTED_VALUE"""),24)</f>
        <v>24</v>
      </c>
      <c r="E1534" s="2">
        <f ca="1">IFERROR(__xludf.DUMMYFUNCTION("""COMPUTED_VALUE"""),186600)</f>
        <v>186600</v>
      </c>
      <c r="F1534" s="2" t="str">
        <f ca="1">IFERROR(__xludf.DUMMYFUNCTION("""COMPUTED_VALUE"""),"Corte Millan")</f>
        <v>Corte Millan</v>
      </c>
      <c r="G1534" s="2">
        <f ca="1">IFERROR(__xludf.DUMMYFUNCTION("""COMPUTED_VALUE"""),115300)</f>
        <v>115300</v>
      </c>
      <c r="H1534" s="2">
        <f ca="1">IFERROR(__xludf.DUMMYFUNCTION("""COMPUTED_VALUE"""),165800)</f>
        <v>165800</v>
      </c>
      <c r="I1534" s="2"/>
      <c r="J1534" s="2"/>
      <c r="K1534" s="2" t="str">
        <f ca="1">IFERROR(__xludf.DUMMYFUNCTION("""COMPUTED_VALUE"""),"Terminado")</f>
        <v>Terminado</v>
      </c>
      <c r="L1534" s="2" t="str">
        <f ca="1">IFERROR(__xludf.DUMMYFUNCTION("""COMPUTED_VALUE"""),"1")</f>
        <v>1</v>
      </c>
      <c r="M1534" s="2"/>
    </row>
    <row r="1535" spans="1:13" x14ac:dyDescent="0.25">
      <c r="A1535" s="2" t="str">
        <f ca="1">IFERROR(__xludf.DUMMYFUNCTION("""COMPUTED_VALUE"""),"b798319f")</f>
        <v>b798319f</v>
      </c>
      <c r="B1535" s="2"/>
      <c r="C1535" s="5">
        <f ca="1">IFERROR(__xludf.DUMMYFUNCTION("""COMPUTED_VALUE"""),46093.8218402777)</f>
        <v>46093.821840277698</v>
      </c>
      <c r="D1535" s="2">
        <f ca="1">IFERROR(__xludf.DUMMYFUNCTION("""COMPUTED_VALUE"""),24)</f>
        <v>24</v>
      </c>
      <c r="E1535" s="2">
        <f ca="1">IFERROR(__xludf.DUMMYFUNCTION("""COMPUTED_VALUE"""),186600)</f>
        <v>186600</v>
      </c>
      <c r="F1535" s="2" t="str">
        <f ca="1">IFERROR(__xludf.DUMMYFUNCTION("""COMPUTED_VALUE"""),"Corte Millan")</f>
        <v>Corte Millan</v>
      </c>
      <c r="G1535" s="2">
        <f ca="1">IFERROR(__xludf.DUMMYFUNCTION("""COMPUTED_VALUE"""),165800)</f>
        <v>165800</v>
      </c>
      <c r="H1535" s="2">
        <f ca="1">IFERROR(__xludf.DUMMYFUNCTION("""COMPUTED_VALUE"""),179000)</f>
        <v>179000</v>
      </c>
      <c r="I1535" s="2"/>
      <c r="J1535" s="2"/>
      <c r="K1535" s="2" t="str">
        <f ca="1">IFERROR(__xludf.DUMMYFUNCTION("""COMPUTED_VALUE"""),"Terminado")</f>
        <v>Terminado</v>
      </c>
      <c r="L1535" s="2" t="str">
        <f ca="1">IFERROR(__xludf.DUMMYFUNCTION("""COMPUTED_VALUE"""),"1")</f>
        <v>1</v>
      </c>
      <c r="M1535" s="2"/>
    </row>
    <row r="1536" spans="1:13" x14ac:dyDescent="0.25">
      <c r="A1536" s="2" t="str">
        <f ca="1">IFERROR(__xludf.DUMMYFUNCTION("""COMPUTED_VALUE"""),"4ecbdfc2")</f>
        <v>4ecbdfc2</v>
      </c>
      <c r="B1536" s="2"/>
      <c r="C1536" s="5">
        <f ca="1">IFERROR(__xludf.DUMMYFUNCTION("""COMPUTED_VALUE"""),46093.8250231481)</f>
        <v>46093.8250231481</v>
      </c>
      <c r="D1536" s="2">
        <f ca="1">IFERROR(__xludf.DUMMYFUNCTION("""COMPUTED_VALUE"""),24)</f>
        <v>24</v>
      </c>
      <c r="E1536" s="2">
        <f ca="1">IFERROR(__xludf.DUMMYFUNCTION("""COMPUTED_VALUE"""),186600)</f>
        <v>186600</v>
      </c>
      <c r="F1536" s="2" t="str">
        <f ca="1">IFERROR(__xludf.DUMMYFUNCTION("""COMPUTED_VALUE"""),"Corte Millan")</f>
        <v>Corte Millan</v>
      </c>
      <c r="G1536" s="2">
        <f ca="1">IFERROR(__xludf.DUMMYFUNCTION("""COMPUTED_VALUE"""),179000)</f>
        <v>179000</v>
      </c>
      <c r="H1536" s="2">
        <f ca="1">IFERROR(__xludf.DUMMYFUNCTION("""COMPUTED_VALUE"""),186600)</f>
        <v>186600</v>
      </c>
      <c r="I1536" s="2"/>
      <c r="J1536" s="2"/>
      <c r="K1536" s="2" t="str">
        <f ca="1">IFERROR(__xludf.DUMMYFUNCTION("""COMPUTED_VALUE"""),"Terminado")</f>
        <v>Terminado</v>
      </c>
      <c r="L1536" s="2" t="str">
        <f ca="1">IFERROR(__xludf.DUMMYFUNCTION("""COMPUTED_VALUE"""),"1")</f>
        <v>1</v>
      </c>
      <c r="M1536" s="2"/>
    </row>
    <row r="1537" spans="1:13" x14ac:dyDescent="0.25">
      <c r="A1537" s="2" t="str">
        <f ca="1">IFERROR(__xludf.DUMMYFUNCTION("""COMPUTED_VALUE"""),"b6717cc2")</f>
        <v>b6717cc2</v>
      </c>
      <c r="B1537" s="2"/>
      <c r="C1537" s="5">
        <f ca="1">IFERROR(__xludf.DUMMYFUNCTION("""COMPUTED_VALUE"""),46093.8252546295)</f>
        <v>46093.825254629599</v>
      </c>
      <c r="D1537" s="2">
        <f ca="1">IFERROR(__xludf.DUMMYFUNCTION("""COMPUTED_VALUE"""),25)</f>
        <v>25</v>
      </c>
      <c r="E1537" s="2">
        <f ca="1">IFERROR(__xludf.DUMMYFUNCTION("""COMPUTED_VALUE"""),194300)</f>
        <v>194300</v>
      </c>
      <c r="F1537" s="2" t="str">
        <f ca="1">IFERROR(__xludf.DUMMYFUNCTION("""COMPUTED_VALUE"""),"Corte Millan")</f>
        <v>Corte Millan</v>
      </c>
      <c r="G1537" s="2">
        <f ca="1">IFERROR(__xludf.DUMMYFUNCTION("""COMPUTED_VALUE"""),133700)</f>
        <v>133700</v>
      </c>
      <c r="H1537" s="2">
        <f ca="1">IFERROR(__xludf.DUMMYFUNCTION("""COMPUTED_VALUE"""),135100)</f>
        <v>135100</v>
      </c>
      <c r="I1537" s="2"/>
      <c r="J1537" s="2"/>
      <c r="K1537" s="2" t="str">
        <f ca="1">IFERROR(__xludf.DUMMYFUNCTION("""COMPUTED_VALUE"""),"Terminado")</f>
        <v>Terminado</v>
      </c>
      <c r="L1537" s="2" t="str">
        <f ca="1">IFERROR(__xludf.DUMMYFUNCTION("""COMPUTED_VALUE"""),"1")</f>
        <v>1</v>
      </c>
      <c r="M1537" s="2"/>
    </row>
    <row r="1538" spans="1:13" x14ac:dyDescent="0.25">
      <c r="A1538" s="2" t="str">
        <f ca="1">IFERROR(__xludf.DUMMYFUNCTION("""COMPUTED_VALUE"""),"d6a24ea6")</f>
        <v>d6a24ea6</v>
      </c>
      <c r="B1538" s="2"/>
      <c r="C1538" s="5">
        <f ca="1">IFERROR(__xludf.DUMMYFUNCTION("""COMPUTED_VALUE"""),46093.8255787037)</f>
        <v>46093.825578703698</v>
      </c>
      <c r="D1538" s="2">
        <f ca="1">IFERROR(__xludf.DUMMYFUNCTION("""COMPUTED_VALUE"""),25)</f>
        <v>25</v>
      </c>
      <c r="E1538" s="2">
        <f ca="1">IFERROR(__xludf.DUMMYFUNCTION("""COMPUTED_VALUE"""),194300)</f>
        <v>194300</v>
      </c>
      <c r="F1538" s="2" t="str">
        <f ca="1">IFERROR(__xludf.DUMMYFUNCTION("""COMPUTED_VALUE"""),"Corte Millan")</f>
        <v>Corte Millan</v>
      </c>
      <c r="G1538" s="2">
        <f ca="1">IFERROR(__xludf.DUMMYFUNCTION("""COMPUTED_VALUE"""),135100)</f>
        <v>135100</v>
      </c>
      <c r="H1538" s="2">
        <f ca="1">IFERROR(__xludf.DUMMYFUNCTION("""COMPUTED_VALUE"""),136800)</f>
        <v>136800</v>
      </c>
      <c r="I1538" s="2"/>
      <c r="J1538" s="2"/>
      <c r="K1538" s="2" t="str">
        <f ca="1">IFERROR(__xludf.DUMMYFUNCTION("""COMPUTED_VALUE"""),"Terminado")</f>
        <v>Terminado</v>
      </c>
      <c r="L1538" s="2" t="str">
        <f ca="1">IFERROR(__xludf.DUMMYFUNCTION("""COMPUTED_VALUE"""),"1")</f>
        <v>1</v>
      </c>
      <c r="M1538" s="2" t="str">
        <f ca="1">IFERROR(__xludf.DUMMYFUNCTION("""COMPUTED_VALUE"""),"Tinto")</f>
        <v>Tinto</v>
      </c>
    </row>
    <row r="1539" spans="1:13" x14ac:dyDescent="0.25">
      <c r="A1539" s="2" t="str">
        <f ca="1">IFERROR(__xludf.DUMMYFUNCTION("""COMPUTED_VALUE"""),"bc268948")</f>
        <v>bc268948</v>
      </c>
      <c r="B1539" s="2"/>
      <c r="C1539" s="5">
        <f ca="1">IFERROR(__xludf.DUMMYFUNCTION("""COMPUTED_VALUE"""),46093.8322222222)</f>
        <v>46093.832222222198</v>
      </c>
      <c r="D1539" s="2"/>
      <c r="E1539" s="2"/>
      <c r="F1539" s="2" t="str">
        <f ca="1">IFERROR(__xludf.DUMMYFUNCTION("""COMPUTED_VALUE"""),"Corte Millan")</f>
        <v>Corte Millan</v>
      </c>
      <c r="G1539" s="2"/>
      <c r="H1539" s="2">
        <f ca="1">IFERROR(__xludf.DUMMYFUNCTION("""COMPUTED_VALUE"""),186600)</f>
        <v>186600</v>
      </c>
      <c r="I1539" s="2"/>
      <c r="J1539" s="2"/>
      <c r="K1539" s="2" t="str">
        <f ca="1">IFERROR(__xludf.DUMMYFUNCTION("""COMPUTED_VALUE"""),"Terminado")</f>
        <v>Terminado</v>
      </c>
      <c r="L1539" s="2" t="str">
        <f ca="1">IFERROR(__xludf.DUMMYFUNCTION("""COMPUTED_VALUE"""),"1")</f>
        <v>1</v>
      </c>
      <c r="M1539" s="2"/>
    </row>
    <row r="1540" spans="1:13" x14ac:dyDescent="0.25">
      <c r="A1540" s="2" t="str">
        <f ca="1">IFERROR(__xludf.DUMMYFUNCTION("""COMPUTED_VALUE"""),"bc2a2a7e")</f>
        <v>bc2a2a7e</v>
      </c>
      <c r="B1540" s="2"/>
      <c r="C1540" s="5">
        <f ca="1">IFERROR(__xludf.DUMMYFUNCTION("""COMPUTED_VALUE"""),46093.8328009259)</f>
        <v>46093.832800925898</v>
      </c>
      <c r="D1540" s="2"/>
      <c r="E1540" s="2"/>
      <c r="F1540" s="2" t="str">
        <f ca="1">IFERROR(__xludf.DUMMYFUNCTION("""COMPUTED_VALUE"""),"Corte Millan")</f>
        <v>Corte Millan</v>
      </c>
      <c r="G1540" s="2"/>
      <c r="H1540" s="2">
        <f ca="1">IFERROR(__xludf.DUMMYFUNCTION("""COMPUTED_VALUE"""),130400)</f>
        <v>130400</v>
      </c>
      <c r="I1540" s="2"/>
      <c r="J1540" s="2"/>
      <c r="K1540" s="2" t="str">
        <f ca="1">IFERROR(__xludf.DUMMYFUNCTION("""COMPUTED_VALUE"""),"Traslado Venta")</f>
        <v>Traslado Venta</v>
      </c>
      <c r="L1540" s="2" t="str">
        <f ca="1">IFERROR(__xludf.DUMMYFUNCTION("""COMPUTED_VALUE"""),"1")</f>
        <v>1</v>
      </c>
      <c r="M1540" s="2"/>
    </row>
    <row r="1541" spans="1:13" x14ac:dyDescent="0.25">
      <c r="A1541" s="2" t="str">
        <f ca="1">IFERROR(__xludf.DUMMYFUNCTION("""COMPUTED_VALUE"""),"69a8bead")</f>
        <v>69a8bead</v>
      </c>
      <c r="B1541" s="2"/>
      <c r="C1541" s="5">
        <f ca="1">IFERROR(__xludf.DUMMYFUNCTION("""COMPUTED_VALUE"""),46093.836099537)</f>
        <v>46093.836099537002</v>
      </c>
      <c r="D1541" s="2">
        <f ca="1">IFERROR(__xludf.DUMMYFUNCTION("""COMPUTED_VALUE"""),88)</f>
        <v>88</v>
      </c>
      <c r="E1541" s="2">
        <f ca="1">IFERROR(__xludf.DUMMYFUNCTION("""COMPUTED_VALUE"""),78900)</f>
        <v>78900</v>
      </c>
      <c r="F1541" s="2" t="str">
        <f ca="1">IFERROR(__xludf.DUMMYFUNCTION("""COMPUTED_VALUE"""),"Syrah pc")</f>
        <v>Syrah pc</v>
      </c>
      <c r="G1541" s="2">
        <f ca="1">IFERROR(__xludf.DUMMYFUNCTION("""COMPUTED_VALUE"""),42800)</f>
        <v>42800</v>
      </c>
      <c r="H1541" s="2">
        <f ca="1">IFERROR(__xludf.DUMMYFUNCTION("""COMPUTED_VALUE"""),46800)</f>
        <v>46800</v>
      </c>
      <c r="I1541" s="2"/>
      <c r="J1541" s="2"/>
      <c r="K1541" s="2" t="str">
        <f ca="1">IFERROR(__xludf.DUMMYFUNCTION("""COMPUTED_VALUE"""),"Fermentando")</f>
        <v>Fermentando</v>
      </c>
      <c r="L1541" s="2" t="str">
        <f ca="1">IFERROR(__xludf.DUMMYFUNCTION("""COMPUTED_VALUE"""),"1+")</f>
        <v>1+</v>
      </c>
      <c r="M1541" s="2" t="str">
        <f ca="1">IFERROR(__xludf.DUMMYFUNCTION("""COMPUTED_VALUE"""),"Tinto")</f>
        <v>Tinto</v>
      </c>
    </row>
    <row r="1542" spans="1:13" x14ac:dyDescent="0.25">
      <c r="A1542" s="2" t="str">
        <f ca="1">IFERROR(__xludf.DUMMYFUNCTION("""COMPUTED_VALUE"""),"ed448032")</f>
        <v>ed448032</v>
      </c>
      <c r="B1542" s="2"/>
      <c r="C1542" s="5">
        <f ca="1">IFERROR(__xludf.DUMMYFUNCTION("""COMPUTED_VALUE"""),46093.8368402777)</f>
        <v>46093.836840277698</v>
      </c>
      <c r="D1542" s="2">
        <f ca="1">IFERROR(__xludf.DUMMYFUNCTION("""COMPUTED_VALUE"""),89)</f>
        <v>89</v>
      </c>
      <c r="E1542" s="2">
        <f ca="1">IFERROR(__xludf.DUMMYFUNCTION("""COMPUTED_VALUE"""),83500)</f>
        <v>83500</v>
      </c>
      <c r="F1542" s="2" t="str">
        <f ca="1">IFERROR(__xludf.DUMMYFUNCTION("""COMPUTED_VALUE"""),"Syrah pc")</f>
        <v>Syrah pc</v>
      </c>
      <c r="G1542" s="2">
        <f ca="1">IFERROR(__xludf.DUMMYFUNCTION("""COMPUTED_VALUE"""),38200)</f>
        <v>38200</v>
      </c>
      <c r="H1542" s="2">
        <f ca="1">IFERROR(__xludf.DUMMYFUNCTION("""COMPUTED_VALUE"""),42200)</f>
        <v>42200</v>
      </c>
      <c r="I1542" s="2" t="str">
        <f ca="1">IFERROR(__xludf.DUMMYFUNCTION("""COMPUTED_VALUE"""),"17/3
reducido")</f>
        <v>17/3
reducido</v>
      </c>
      <c r="J1542" s="2"/>
      <c r="K1542" s="2" t="str">
        <f ca="1">IFERROR(__xludf.DUMMYFUNCTION("""COMPUTED_VALUE"""),"Fermentando")</f>
        <v>Fermentando</v>
      </c>
      <c r="L1542" s="2" t="str">
        <f ca="1">IFERROR(__xludf.DUMMYFUNCTION("""COMPUTED_VALUE"""),"1+")</f>
        <v>1+</v>
      </c>
      <c r="M1542" s="2" t="str">
        <f ca="1">IFERROR(__xludf.DUMMYFUNCTION("""COMPUTED_VALUE"""),"Tinto")</f>
        <v>Tinto</v>
      </c>
    </row>
    <row r="1543" spans="1:13" x14ac:dyDescent="0.25">
      <c r="A1543" s="2" t="str">
        <f ca="1">IFERROR(__xludf.DUMMYFUNCTION("""COMPUTED_VALUE"""),"1670daf6")</f>
        <v>1670daf6</v>
      </c>
      <c r="B1543" s="2"/>
      <c r="C1543" s="5">
        <f ca="1">IFERROR(__xludf.DUMMYFUNCTION("""COMPUTED_VALUE"""),46093.8465046296)</f>
        <v>46093.846504629597</v>
      </c>
      <c r="D1543" s="2">
        <f ca="1">IFERROR(__xludf.DUMMYFUNCTION("""COMPUTED_VALUE"""),85)</f>
        <v>85</v>
      </c>
      <c r="E1543" s="2">
        <f ca="1">IFERROR(__xludf.DUMMYFUNCTION("""COMPUTED_VALUE"""),84000)</f>
        <v>84000</v>
      </c>
      <c r="F1543" s="2" t="str">
        <f ca="1">IFERROR(__xludf.DUMMYFUNCTION("""COMPUTED_VALUE"""),"Syrah")</f>
        <v>Syrah</v>
      </c>
      <c r="G1543" s="2"/>
      <c r="H1543" s="2">
        <f ca="1">IFERROR(__xludf.DUMMYFUNCTION("""COMPUTED_VALUE"""),55100)</f>
        <v>55100</v>
      </c>
      <c r="I1543" s="2" t="str">
        <f ca="1">IFERROR(__xludf.DUMMYFUNCTION("""COMPUTED_VALUE"""),"17/3
Reducido")</f>
        <v>17/3
Reducido</v>
      </c>
      <c r="J1543" s="2" t="str">
        <f ca="1">IFERROR(__xludf.DUMMYFUNCTION("""COMPUTED_VALUE"""),"6309 , 6310 , 6311 , 6312 , 6313 , 6314 , 6315")</f>
        <v>6309 , 6310 , 6311 , 6312 , 6313 , 6314 , 6315</v>
      </c>
      <c r="K1543" s="2" t="str">
        <f ca="1">IFERROR(__xludf.DUMMYFUNCTION("""COMPUTED_VALUE"""),"Fermentando")</f>
        <v>Fermentando</v>
      </c>
      <c r="L1543" s="2" t="str">
        <f ca="1">IFERROR(__xludf.DUMMYFUNCTION("""COMPUTED_VALUE"""),"1+")</f>
        <v>1+</v>
      </c>
      <c r="M1543" s="2" t="str">
        <f ca="1">IFERROR(__xludf.DUMMYFUNCTION("""COMPUTED_VALUE"""),"Tinto")</f>
        <v>Tinto</v>
      </c>
    </row>
    <row r="1544" spans="1:13" x14ac:dyDescent="0.25">
      <c r="A1544" s="2" t="str">
        <f ca="1">IFERROR(__xludf.DUMMYFUNCTION("""COMPUTED_VALUE"""),"c85ad333")</f>
        <v>c85ad333</v>
      </c>
      <c r="B1544" s="2"/>
      <c r="C1544" s="5">
        <f ca="1">IFERROR(__xludf.DUMMYFUNCTION("""COMPUTED_VALUE"""),46094.5206828703)</f>
        <v>46094.520682870301</v>
      </c>
      <c r="D1544" s="2">
        <f ca="1">IFERROR(__xludf.DUMMYFUNCTION("""COMPUTED_VALUE"""),104)</f>
        <v>104</v>
      </c>
      <c r="E1544" s="2">
        <f ca="1">IFERROR(__xludf.DUMMYFUNCTION("""COMPUTED_VALUE"""),31000)</f>
        <v>31000</v>
      </c>
      <c r="F1544" s="2" t="str">
        <f ca="1">IFERROR(__xludf.DUMMYFUNCTION("""COMPUTED_VALUE"""),"Syrah s/Asp")</f>
        <v>Syrah s/Asp</v>
      </c>
      <c r="G1544" s="2">
        <f ca="1">IFERROR(__xludf.DUMMYFUNCTION("""COMPUTED_VALUE"""),0)</f>
        <v>0</v>
      </c>
      <c r="H1544" s="2">
        <f ca="1">IFERROR(__xludf.DUMMYFUNCTION("""COMPUTED_VALUE"""),9000)</f>
        <v>9000</v>
      </c>
      <c r="I1544" s="2"/>
      <c r="J1544" s="2"/>
      <c r="K1544" s="2" t="str">
        <f ca="1">IFERROR(__xludf.DUMMYFUNCTION("""COMPUTED_VALUE"""),"Descubada")</f>
        <v>Descubada</v>
      </c>
      <c r="L1544" s="2"/>
      <c r="M1544" s="2" t="str">
        <f ca="1">IFERROR(__xludf.DUMMYFUNCTION("""COMPUTED_VALUE"""),"Tinto")</f>
        <v>Tinto</v>
      </c>
    </row>
    <row r="1545" spans="1:13" x14ac:dyDescent="0.25">
      <c r="A1545" s="2" t="str">
        <f ca="1">IFERROR(__xludf.DUMMYFUNCTION("""COMPUTED_VALUE"""),"914ccdca")</f>
        <v>914ccdca</v>
      </c>
      <c r="B1545" s="2"/>
      <c r="C1545" s="5">
        <f ca="1">IFERROR(__xludf.DUMMYFUNCTION("""COMPUTED_VALUE"""),46094.7284375)</f>
        <v>46094.728437500002</v>
      </c>
      <c r="D1545" s="2">
        <f ca="1">IFERROR(__xludf.DUMMYFUNCTION("""COMPUTED_VALUE"""),47)</f>
        <v>47</v>
      </c>
      <c r="E1545" s="2">
        <f ca="1">IFERROR(__xludf.DUMMYFUNCTION("""COMPUTED_VALUE"""),20000)</f>
        <v>20000</v>
      </c>
      <c r="F1545" s="2" t="str">
        <f ca="1">IFERROR(__xludf.DUMMYFUNCTION("""COMPUTED_VALUE"""),"Cabernet Sauvignon Rect")</f>
        <v>Cabernet Sauvignon Rect</v>
      </c>
      <c r="G1545" s="2">
        <f ca="1">IFERROR(__xludf.DUMMYFUNCTION("""COMPUTED_VALUE"""),20000)</f>
        <v>20000</v>
      </c>
      <c r="H1545" s="2">
        <f ca="1">IFERROR(__xludf.DUMMYFUNCTION("""COMPUTED_VALUE"""),10700)</f>
        <v>10700</v>
      </c>
      <c r="I1545" s="2"/>
      <c r="J1545" s="2"/>
      <c r="K1545" s="2" t="str">
        <f ca="1">IFERROR(__xludf.DUMMYFUNCTION("""COMPUTED_VALUE"""),"Rectificado")</f>
        <v>Rectificado</v>
      </c>
      <c r="L1545" s="2" t="str">
        <f ca="1">IFERROR(__xludf.DUMMYFUNCTION("""COMPUTED_VALUE"""),"1")</f>
        <v>1</v>
      </c>
      <c r="M1545" s="2" t="str">
        <f ca="1">IFERROR(__xludf.DUMMYFUNCTION("""COMPUTED_VALUE"""),"Tinto")</f>
        <v>Tinto</v>
      </c>
    </row>
    <row r="1546" spans="1:13" x14ac:dyDescent="0.25">
      <c r="A1546" s="2" t="str">
        <f ca="1">IFERROR(__xludf.DUMMYFUNCTION("""COMPUTED_VALUE"""),"b8788e91")</f>
        <v>b8788e91</v>
      </c>
      <c r="B1546" s="2"/>
      <c r="C1546" s="5">
        <f ca="1">IFERROR(__xludf.DUMMYFUNCTION("""COMPUTED_VALUE"""),46094.7290509259)</f>
        <v>46094.729050925896</v>
      </c>
      <c r="D1546" s="2">
        <f ca="1">IFERROR(__xludf.DUMMYFUNCTION("""COMPUTED_VALUE"""),48)</f>
        <v>48</v>
      </c>
      <c r="E1546" s="2">
        <f ca="1">IFERROR(__xludf.DUMMYFUNCTION("""COMPUTED_VALUE"""),26000)</f>
        <v>26000</v>
      </c>
      <c r="F1546" s="2" t="str">
        <f ca="1">IFERROR(__xludf.DUMMYFUNCTION("""COMPUTED_VALUE"""),"Cabernet Sauvignon Rect")</f>
        <v>Cabernet Sauvignon Rect</v>
      </c>
      <c r="G1546" s="2">
        <f ca="1">IFERROR(__xludf.DUMMYFUNCTION("""COMPUTED_VALUE"""),8500)</f>
        <v>8500</v>
      </c>
      <c r="H1546" s="2">
        <f ca="1">IFERROR(__xludf.DUMMYFUNCTION("""COMPUTED_VALUE"""),0)</f>
        <v>0</v>
      </c>
      <c r="I1546" s="2"/>
      <c r="J1546" s="2"/>
      <c r="K1546" s="2" t="str">
        <f ca="1">IFERROR(__xludf.DUMMYFUNCTION("""COMPUTED_VALUE"""),"Rectificado")</f>
        <v>Rectificado</v>
      </c>
      <c r="L1546" s="2" t="str">
        <f ca="1">IFERROR(__xludf.DUMMYFUNCTION("""COMPUTED_VALUE"""),"1")</f>
        <v>1</v>
      </c>
      <c r="M1546" s="2" t="str">
        <f ca="1">IFERROR(__xludf.DUMMYFUNCTION("""COMPUTED_VALUE"""),"Tinto")</f>
        <v>Tinto</v>
      </c>
    </row>
    <row r="1547" spans="1:13" x14ac:dyDescent="0.25">
      <c r="A1547" s="2" t="str">
        <f ca="1">IFERROR(__xludf.DUMMYFUNCTION("""COMPUTED_VALUE"""),"20ea01bd")</f>
        <v>20ea01bd</v>
      </c>
      <c r="B1547" s="2"/>
      <c r="C1547" s="5">
        <f ca="1">IFERROR(__xludf.DUMMYFUNCTION("""COMPUTED_VALUE"""),46094.7295717592)</f>
        <v>46094.729571759199</v>
      </c>
      <c r="D1547" s="2">
        <f ca="1">IFERROR(__xludf.DUMMYFUNCTION("""COMPUTED_VALUE"""),47)</f>
        <v>47</v>
      </c>
      <c r="E1547" s="2">
        <f ca="1">IFERROR(__xludf.DUMMYFUNCTION("""COMPUTED_VALUE"""),20000)</f>
        <v>20000</v>
      </c>
      <c r="F1547" s="2" t="str">
        <f ca="1">IFERROR(__xludf.DUMMYFUNCTION("""COMPUTED_VALUE"""),"Cabernet Sauvignon Rect")</f>
        <v>Cabernet Sauvignon Rect</v>
      </c>
      <c r="G1547" s="2">
        <f ca="1">IFERROR(__xludf.DUMMYFUNCTION("""COMPUTED_VALUE"""),10700)</f>
        <v>10700</v>
      </c>
      <c r="H1547" s="2">
        <f ca="1">IFERROR(__xludf.DUMMYFUNCTION("""COMPUTED_VALUE"""),9700)</f>
        <v>9700</v>
      </c>
      <c r="I1547" s="2"/>
      <c r="J1547" s="2"/>
      <c r="K1547" s="2" t="str">
        <f ca="1">IFERROR(__xludf.DUMMYFUNCTION("""COMPUTED_VALUE"""),"Rectificado")</f>
        <v>Rectificado</v>
      </c>
      <c r="L1547" s="2" t="str">
        <f ca="1">IFERROR(__xludf.DUMMYFUNCTION("""COMPUTED_VALUE"""),"1")</f>
        <v>1</v>
      </c>
      <c r="M1547" s="2" t="str">
        <f ca="1">IFERROR(__xludf.DUMMYFUNCTION("""COMPUTED_VALUE"""),"Tinto")</f>
        <v>Tinto</v>
      </c>
    </row>
    <row r="1548" spans="1:13" x14ac:dyDescent="0.25">
      <c r="A1548" s="2" t="str">
        <f ca="1">IFERROR(__xludf.DUMMYFUNCTION("""COMPUTED_VALUE"""),"9b75624d")</f>
        <v>9b75624d</v>
      </c>
      <c r="B1548" s="2"/>
      <c r="C1548" s="5">
        <f ca="1">IFERROR(__xludf.DUMMYFUNCTION("""COMPUTED_VALUE"""),46094.7598148148)</f>
        <v>46094.759814814803</v>
      </c>
      <c r="D1548" s="2">
        <f ca="1">IFERROR(__xludf.DUMMYFUNCTION("""COMPUTED_VALUE"""),92)</f>
        <v>92</v>
      </c>
      <c r="E1548" s="2">
        <f ca="1">IFERROR(__xludf.DUMMYFUNCTION("""COMPUTED_VALUE"""),76000)</f>
        <v>76000</v>
      </c>
      <c r="F1548" s="2" t="str">
        <f ca="1">IFERROR(__xludf.DUMMYFUNCTION("""COMPUTED_VALUE"""),"Corte Millan")</f>
        <v>Corte Millan</v>
      </c>
      <c r="G1548" s="2">
        <f ca="1">IFERROR(__xludf.DUMMYFUNCTION("""COMPUTED_VALUE"""),19500)</f>
        <v>19500</v>
      </c>
      <c r="H1548" s="2">
        <f ca="1">IFERROR(__xludf.DUMMYFUNCTION("""COMPUTED_VALUE"""),25900)</f>
        <v>25900</v>
      </c>
      <c r="I1548" s="2"/>
      <c r="J1548" s="2"/>
      <c r="K1548" s="2" t="str">
        <f ca="1">IFERROR(__xludf.DUMMYFUNCTION("""COMPUTED_VALUE"""),"Terminado")</f>
        <v>Terminado</v>
      </c>
      <c r="L1548" s="2" t="str">
        <f ca="1">IFERROR(__xludf.DUMMYFUNCTION("""COMPUTED_VALUE"""),"1")</f>
        <v>1</v>
      </c>
      <c r="M1548" s="2" t="str">
        <f ca="1">IFERROR(__xludf.DUMMYFUNCTION("""COMPUTED_VALUE"""),"Tinto")</f>
        <v>Tinto</v>
      </c>
    </row>
    <row r="1549" spans="1:13" x14ac:dyDescent="0.25">
      <c r="A1549" s="2" t="str">
        <f ca="1">IFERROR(__xludf.DUMMYFUNCTION("""COMPUTED_VALUE"""),"181268cf")</f>
        <v>181268cf</v>
      </c>
      <c r="B1549" s="2"/>
      <c r="C1549" s="5">
        <f ca="1">IFERROR(__xludf.DUMMYFUNCTION("""COMPUTED_VALUE"""),46095.3610069444)</f>
        <v>46095.361006944397</v>
      </c>
      <c r="D1549" s="2">
        <f ca="1">IFERROR(__xludf.DUMMYFUNCTION("""COMPUTED_VALUE"""),65)</f>
        <v>65</v>
      </c>
      <c r="E1549" s="2">
        <f ca="1">IFERROR(__xludf.DUMMYFUNCTION("""COMPUTED_VALUE"""),35500)</f>
        <v>35500</v>
      </c>
      <c r="F1549" s="2" t="str">
        <f ca="1">IFERROR(__xludf.DUMMYFUNCTION("""COMPUTED_VALUE"""),"Syrah Temp")</f>
        <v>Syrah Temp</v>
      </c>
      <c r="G1549" s="2"/>
      <c r="H1549" s="2">
        <f ca="1">IFERROR(__xludf.DUMMYFUNCTION("""COMPUTED_VALUE"""),20100)</f>
        <v>20100</v>
      </c>
      <c r="I1549" s="2"/>
      <c r="J1549" s="2" t="str">
        <f ca="1">IFERROR(__xludf.DUMMYFUNCTION("""COMPUTED_VALUE"""),"6316 , 6317 , 6318")</f>
        <v>6316 , 6317 , 6318</v>
      </c>
      <c r="K1549" s="2" t="str">
        <f ca="1">IFERROR(__xludf.DUMMYFUNCTION("""COMPUTED_VALUE"""),"Fermentando")</f>
        <v>Fermentando</v>
      </c>
      <c r="L1549" s="2" t="str">
        <f ca="1">IFERROR(__xludf.DUMMYFUNCTION("""COMPUTED_VALUE"""),"1+")</f>
        <v>1+</v>
      </c>
      <c r="M1549" s="2" t="str">
        <f ca="1">IFERROR(__xludf.DUMMYFUNCTION("""COMPUTED_VALUE"""),"Tinto")</f>
        <v>Tinto</v>
      </c>
    </row>
    <row r="1550" spans="1:13" x14ac:dyDescent="0.25">
      <c r="A1550" s="2" t="str">
        <f ca="1">IFERROR(__xludf.DUMMYFUNCTION("""COMPUTED_VALUE"""),"f3173f78")</f>
        <v>f3173f78</v>
      </c>
      <c r="B1550" s="2"/>
      <c r="C1550" s="5">
        <f ca="1">IFERROR(__xludf.DUMMYFUNCTION("""COMPUTED_VALUE"""),46095.3619675925)</f>
        <v>46095.3619675925</v>
      </c>
      <c r="D1550" s="2">
        <f ca="1">IFERROR(__xludf.DUMMYFUNCTION("""COMPUTED_VALUE"""),67)</f>
        <v>67</v>
      </c>
      <c r="E1550" s="2">
        <f ca="1">IFERROR(__xludf.DUMMYFUNCTION("""COMPUTED_VALUE"""),23000)</f>
        <v>23000</v>
      </c>
      <c r="F1550" s="2" t="str">
        <f ca="1">IFERROR(__xludf.DUMMYFUNCTION("""COMPUTED_VALUE"""),"Bonarda Sy")</f>
        <v>Bonarda Sy</v>
      </c>
      <c r="G1550" s="2"/>
      <c r="H1550" s="2">
        <f ca="1">IFERROR(__xludf.DUMMYFUNCTION("""COMPUTED_VALUE"""),11500)</f>
        <v>11500</v>
      </c>
      <c r="I1550" s="2" t="str">
        <f ca="1">IFERROR(__xludf.DUMMYFUNCTION("""COMPUTED_VALUE"""),"17/3
Liviano
Fue medio viaje del remito 6320")</f>
        <v>17/3
Liviano
Fue medio viaje del remito 6320</v>
      </c>
      <c r="J1550" s="2" t="str">
        <f ca="1">IFERROR(__xludf.DUMMYFUNCTION("""COMPUTED_VALUE"""),"6319 , 6320")</f>
        <v>6319 , 6320</v>
      </c>
      <c r="K1550" s="2" t="str">
        <f ca="1">IFERROR(__xludf.DUMMYFUNCTION("""COMPUTED_VALUE"""),"Fermentando")</f>
        <v>Fermentando</v>
      </c>
      <c r="L1550" s="2" t="str">
        <f ca="1">IFERROR(__xludf.DUMMYFUNCTION("""COMPUTED_VALUE"""),"2+")</f>
        <v>2+</v>
      </c>
      <c r="M1550" s="2" t="str">
        <f ca="1">IFERROR(__xludf.DUMMYFUNCTION("""COMPUTED_VALUE"""),"Tinto")</f>
        <v>Tinto</v>
      </c>
    </row>
    <row r="1551" spans="1:13" x14ac:dyDescent="0.25">
      <c r="A1551" s="2" t="str">
        <f ca="1">IFERROR(__xludf.DUMMYFUNCTION("""COMPUTED_VALUE"""),"94ab543f")</f>
        <v>94ab543f</v>
      </c>
      <c r="B1551" s="2"/>
      <c r="C1551" s="5">
        <f ca="1">IFERROR(__xludf.DUMMYFUNCTION("""COMPUTED_VALUE"""),46095.3633333333)</f>
        <v>46095.363333333298</v>
      </c>
      <c r="D1551" s="2">
        <f ca="1">IFERROR(__xludf.DUMMYFUNCTION("""COMPUTED_VALUE"""),66)</f>
        <v>66</v>
      </c>
      <c r="E1551" s="2">
        <f ca="1">IFERROR(__xludf.DUMMYFUNCTION("""COMPUTED_VALUE"""),23000)</f>
        <v>23000</v>
      </c>
      <c r="F1551" s="2" t="str">
        <f ca="1">IFERROR(__xludf.DUMMYFUNCTION("""COMPUTED_VALUE"""),"Bonarda")</f>
        <v>Bonarda</v>
      </c>
      <c r="G1551" s="2"/>
      <c r="H1551" s="2">
        <f ca="1">IFERROR(__xludf.DUMMYFUNCTION("""COMPUTED_VALUE"""),11500)</f>
        <v>11500</v>
      </c>
      <c r="I1551" s="2" t="str">
        <f ca="1">IFERROR(__xludf.DUMMYFUNCTION("""COMPUTED_VALUE"""),"Fue medio viaje del remito 6320")</f>
        <v>Fue medio viaje del remito 6320</v>
      </c>
      <c r="J1551" s="2" t="str">
        <f ca="1">IFERROR(__xludf.DUMMYFUNCTION("""COMPUTED_VALUE"""),"6320 , 6321")</f>
        <v>6320 , 6321</v>
      </c>
      <c r="K1551" s="2" t="str">
        <f ca="1">IFERROR(__xludf.DUMMYFUNCTION("""COMPUTED_VALUE"""),"Fermentando")</f>
        <v>Fermentando</v>
      </c>
      <c r="L1551" s="2" t="str">
        <f ca="1">IFERROR(__xludf.DUMMYFUNCTION("""COMPUTED_VALUE"""),"1")</f>
        <v>1</v>
      </c>
      <c r="M1551" s="2" t="str">
        <f ca="1">IFERROR(__xludf.DUMMYFUNCTION("""COMPUTED_VALUE"""),"Tinto")</f>
        <v>Tinto</v>
      </c>
    </row>
    <row r="1552" spans="1:13" x14ac:dyDescent="0.25">
      <c r="A1552" s="2" t="str">
        <f ca="1">IFERROR(__xludf.DUMMYFUNCTION("""COMPUTED_VALUE"""),"9aa08336")</f>
        <v>9aa08336</v>
      </c>
      <c r="B1552" s="2"/>
      <c r="C1552" s="5">
        <f ca="1">IFERROR(__xludf.DUMMYFUNCTION("""COMPUTED_VALUE"""),46097.5042708333)</f>
        <v>46097.504270833299</v>
      </c>
      <c r="D1552" s="2">
        <f ca="1">IFERROR(__xludf.DUMMYFUNCTION("""COMPUTED_VALUE"""),47)</f>
        <v>47</v>
      </c>
      <c r="E1552" s="2">
        <f ca="1">IFERROR(__xludf.DUMMYFUNCTION("""COMPUTED_VALUE"""),20000)</f>
        <v>20000</v>
      </c>
      <c r="F1552" s="2" t="str">
        <f ca="1">IFERROR(__xludf.DUMMYFUNCTION("""COMPUTED_VALUE"""),"Cabernet Sauvignon Rect")</f>
        <v>Cabernet Sauvignon Rect</v>
      </c>
      <c r="G1552" s="2">
        <f ca="1">IFERROR(__xludf.DUMMYFUNCTION("""COMPUTED_VALUE"""),9700)</f>
        <v>9700</v>
      </c>
      <c r="H1552" s="2">
        <f ca="1">IFERROR(__xludf.DUMMYFUNCTION("""COMPUTED_VALUE"""),0)</f>
        <v>0</v>
      </c>
      <c r="I1552" s="2"/>
      <c r="J1552" s="2"/>
      <c r="K1552" s="2" t="str">
        <f ca="1">IFERROR(__xludf.DUMMYFUNCTION("""COMPUTED_VALUE"""),"Rectificado")</f>
        <v>Rectificado</v>
      </c>
      <c r="L1552" s="2" t="str">
        <f ca="1">IFERROR(__xludf.DUMMYFUNCTION("""COMPUTED_VALUE"""),"1")</f>
        <v>1</v>
      </c>
      <c r="M1552" s="2" t="str">
        <f ca="1">IFERROR(__xludf.DUMMYFUNCTION("""COMPUTED_VALUE"""),"Tinto")</f>
        <v>Tinto</v>
      </c>
    </row>
    <row r="1553" spans="1:13" x14ac:dyDescent="0.25">
      <c r="A1553" s="2" t="str">
        <f ca="1">IFERROR(__xludf.DUMMYFUNCTION("""COMPUTED_VALUE"""),"eed6b107")</f>
        <v>eed6b107</v>
      </c>
      <c r="B1553" s="2"/>
      <c r="C1553" s="5">
        <f ca="1">IFERROR(__xludf.DUMMYFUNCTION("""COMPUTED_VALUE"""),46097.5049189814)</f>
        <v>46097.504918981402</v>
      </c>
      <c r="D1553" s="2">
        <f ca="1">IFERROR(__xludf.DUMMYFUNCTION("""COMPUTED_VALUE"""),16)</f>
        <v>16</v>
      </c>
      <c r="E1553" s="2">
        <f ca="1">IFERROR(__xludf.DUMMYFUNCTION("""COMPUTED_VALUE"""),19500)</f>
        <v>19500</v>
      </c>
      <c r="F1553" s="2" t="str">
        <f ca="1">IFERROR(__xludf.DUMMYFUNCTION("""COMPUTED_VALUE"""),"Tinto Varielta (corte Millan)")</f>
        <v>Tinto Varielta (corte Millan)</v>
      </c>
      <c r="G1553" s="2">
        <f ca="1">IFERROR(__xludf.DUMMYFUNCTION("""COMPUTED_VALUE"""),0)</f>
        <v>0</v>
      </c>
      <c r="H1553" s="2">
        <f ca="1">IFERROR(__xludf.DUMMYFUNCTION("""COMPUTED_VALUE"""),19500)</f>
        <v>19500</v>
      </c>
      <c r="I1553" s="2"/>
      <c r="J1553" s="2"/>
      <c r="K1553" s="2" t="str">
        <f ca="1">IFERROR(__xludf.DUMMYFUNCTION("""COMPUTED_VALUE"""),"Terminado")</f>
        <v>Terminado</v>
      </c>
      <c r="L1553" s="2" t="str">
        <f ca="1">IFERROR(__xludf.DUMMYFUNCTION("""COMPUTED_VALUE"""),"1")</f>
        <v>1</v>
      </c>
      <c r="M1553" s="2" t="str">
        <f ca="1">IFERROR(__xludf.DUMMYFUNCTION("""COMPUTED_VALUE"""),"Tinto")</f>
        <v>Tinto</v>
      </c>
    </row>
    <row r="1554" spans="1:13" x14ac:dyDescent="0.25">
      <c r="A1554" s="2" t="str">
        <f ca="1">IFERROR(__xludf.DUMMYFUNCTION("""COMPUTED_VALUE"""),"e5f7b9d7")</f>
        <v>e5f7b9d7</v>
      </c>
      <c r="B1554" s="2"/>
      <c r="C1554" s="5">
        <f ca="1">IFERROR(__xludf.DUMMYFUNCTION("""COMPUTED_VALUE"""),46097.5055324074)</f>
        <v>46097.505532407398</v>
      </c>
      <c r="D1554" s="2">
        <f ca="1">IFERROR(__xludf.DUMMYFUNCTION("""COMPUTED_VALUE"""),11)</f>
        <v>11</v>
      </c>
      <c r="E1554" s="2">
        <f ca="1">IFERROR(__xludf.DUMMYFUNCTION("""COMPUTED_VALUE"""),36000)</f>
        <v>36000</v>
      </c>
      <c r="F1554" s="2" t="str">
        <f ca="1">IFERROR(__xludf.DUMMYFUNCTION("""COMPUTED_VALUE"""),"Anccellota Aspirant Rect")</f>
        <v>Anccellota Aspirant Rect</v>
      </c>
      <c r="G1554" s="2">
        <f ca="1">IFERROR(__xludf.DUMMYFUNCTION("""COMPUTED_VALUE"""),20200)</f>
        <v>20200</v>
      </c>
      <c r="H1554" s="2">
        <f ca="1">IFERROR(__xludf.DUMMYFUNCTION("""COMPUTED_VALUE"""),26600)</f>
        <v>26600</v>
      </c>
      <c r="I1554" s="2"/>
      <c r="J1554" s="2"/>
      <c r="K1554" s="2" t="str">
        <f ca="1">IFERROR(__xludf.DUMMYFUNCTION("""COMPUTED_VALUE"""),"Rectificado")</f>
        <v>Rectificado</v>
      </c>
      <c r="L1554" s="2" t="str">
        <f ca="1">IFERROR(__xludf.DUMMYFUNCTION("""COMPUTED_VALUE"""),"2+")</f>
        <v>2+</v>
      </c>
      <c r="M1554" s="2" t="str">
        <f ca="1">IFERROR(__xludf.DUMMYFUNCTION("""COMPUTED_VALUE"""),"Tinto")</f>
        <v>Tinto</v>
      </c>
    </row>
    <row r="1555" spans="1:13" x14ac:dyDescent="0.25">
      <c r="A1555" s="2" t="str">
        <f ca="1">IFERROR(__xludf.DUMMYFUNCTION("""COMPUTED_VALUE"""),"7831ca4f")</f>
        <v>7831ca4f</v>
      </c>
      <c r="B1555" s="2"/>
      <c r="C1555" s="5">
        <f ca="1">IFERROR(__xludf.DUMMYFUNCTION("""COMPUTED_VALUE"""),46097.5060069444)</f>
        <v>46097.506006944401</v>
      </c>
      <c r="D1555" s="2">
        <f ca="1">IFERROR(__xludf.DUMMYFUNCTION("""COMPUTED_VALUE"""),104)</f>
        <v>104</v>
      </c>
      <c r="E1555" s="2">
        <f ca="1">IFERROR(__xludf.DUMMYFUNCTION("""COMPUTED_VALUE"""),31000)</f>
        <v>31000</v>
      </c>
      <c r="F1555" s="2" t="str">
        <f ca="1">IFERROR(__xludf.DUMMYFUNCTION("""COMPUTED_VALUE"""),"Syrah s/Asp")</f>
        <v>Syrah s/Asp</v>
      </c>
      <c r="G1555" s="2">
        <f ca="1">IFERROR(__xludf.DUMMYFUNCTION("""COMPUTED_VALUE"""),9000)</f>
        <v>9000</v>
      </c>
      <c r="H1555" s="2">
        <f ca="1">IFERROR(__xludf.DUMMYFUNCTION("""COMPUTED_VALUE"""),31000)</f>
        <v>31000</v>
      </c>
      <c r="I1555" s="2" t="str">
        <f ca="1">IFERROR(__xludf.DUMMYFUNCTION("""COMPUTED_VALUE"""),"17/3
Calificacion muy buena 1++")</f>
        <v>17/3
Calificacion muy buena 1++</v>
      </c>
      <c r="J1555" s="2"/>
      <c r="K1555" s="2" t="str">
        <f ca="1">IFERROR(__xludf.DUMMYFUNCTION("""COMPUTED_VALUE"""),"Descubada")</f>
        <v>Descubada</v>
      </c>
      <c r="L1555" s="2" t="str">
        <f ca="1">IFERROR(__xludf.DUMMYFUNCTION("""COMPUTED_VALUE"""),"1+")</f>
        <v>1+</v>
      </c>
      <c r="M1555" s="2" t="str">
        <f ca="1">IFERROR(__xludf.DUMMYFUNCTION("""COMPUTED_VALUE"""),"Tinto")</f>
        <v>Tinto</v>
      </c>
    </row>
    <row r="1556" spans="1:13" x14ac:dyDescent="0.25">
      <c r="A1556" s="2" t="str">
        <f ca="1">IFERROR(__xludf.DUMMYFUNCTION("""COMPUTED_VALUE"""),"0f375d43")</f>
        <v>0f375d43</v>
      </c>
      <c r="B1556" s="2"/>
      <c r="C1556" s="5">
        <f ca="1">IFERROR(__xludf.DUMMYFUNCTION("""COMPUTED_VALUE"""),46097.5064004629)</f>
        <v>46097.506400462902</v>
      </c>
      <c r="D1556" s="2">
        <f ca="1">IFERROR(__xludf.DUMMYFUNCTION("""COMPUTED_VALUE"""),46)</f>
        <v>46</v>
      </c>
      <c r="E1556" s="2">
        <f ca="1">IFERROR(__xludf.DUMMYFUNCTION("""COMPUTED_VALUE"""),29000)</f>
        <v>29000</v>
      </c>
      <c r="F1556" s="2" t="str">
        <f ca="1">IFERROR(__xludf.DUMMYFUNCTION("""COMPUTED_VALUE"""),"Aspirant")</f>
        <v>Aspirant</v>
      </c>
      <c r="G1556" s="2">
        <f ca="1">IFERROR(__xludf.DUMMYFUNCTION("""COMPUTED_VALUE"""),26000)</f>
        <v>26000</v>
      </c>
      <c r="H1556" s="2">
        <f ca="1">IFERROR(__xludf.DUMMYFUNCTION("""COMPUTED_VALUE"""),29000)</f>
        <v>29000</v>
      </c>
      <c r="I1556" s="2"/>
      <c r="J1556" s="2"/>
      <c r="K1556" s="2" t="str">
        <f ca="1">IFERROR(__xludf.DUMMYFUNCTION("""COMPUTED_VALUE"""),"Descubada")</f>
        <v>Descubada</v>
      </c>
      <c r="L1556" s="2"/>
      <c r="M1556" s="2" t="str">
        <f ca="1">IFERROR(__xludf.DUMMYFUNCTION("""COMPUTED_VALUE"""),"Tinto")</f>
        <v>Tinto</v>
      </c>
    </row>
    <row r="1557" spans="1:13" x14ac:dyDescent="0.25">
      <c r="A1557" s="2" t="str">
        <f ca="1">IFERROR(__xludf.DUMMYFUNCTION("""COMPUTED_VALUE"""),"42662ec0")</f>
        <v>42662ec0</v>
      </c>
      <c r="B1557" s="2"/>
      <c r="C1557" s="5">
        <f ca="1">IFERROR(__xludf.DUMMYFUNCTION("""COMPUTED_VALUE"""),46097.5065856481)</f>
        <v>46097.506585648101</v>
      </c>
      <c r="D1557" s="2">
        <f ca="1">IFERROR(__xludf.DUMMYFUNCTION("""COMPUTED_VALUE"""),71)</f>
        <v>71</v>
      </c>
      <c r="E1557" s="2">
        <f ca="1">IFERROR(__xludf.DUMMYFUNCTION("""COMPUTED_VALUE"""),13000)</f>
        <v>13000</v>
      </c>
      <c r="F1557" s="2" t="str">
        <f ca="1">IFERROR(__xludf.DUMMYFUNCTION("""COMPUTED_VALUE"""),"Syrah s/Asp 2")</f>
        <v>Syrah s/Asp 2</v>
      </c>
      <c r="G1557" s="2">
        <f ca="1">IFERROR(__xludf.DUMMYFUNCTION("""COMPUTED_VALUE"""),11000)</f>
        <v>11000</v>
      </c>
      <c r="H1557" s="2">
        <f ca="1">IFERROR(__xludf.DUMMYFUNCTION("""COMPUTED_VALUE"""),13000)</f>
        <v>13000</v>
      </c>
      <c r="I1557" s="2"/>
      <c r="J1557" s="2"/>
      <c r="K1557" s="2" t="str">
        <f ca="1">IFERROR(__xludf.DUMMYFUNCTION("""COMPUTED_VALUE"""),"Descubada")</f>
        <v>Descubada</v>
      </c>
      <c r="L1557" s="2" t="str">
        <f ca="1">IFERROR(__xludf.DUMMYFUNCTION("""COMPUTED_VALUE"""),"1")</f>
        <v>1</v>
      </c>
      <c r="M1557" s="2" t="str">
        <f ca="1">IFERROR(__xludf.DUMMYFUNCTION("""COMPUTED_VALUE"""),"Tinto")</f>
        <v>Tinto</v>
      </c>
    </row>
    <row r="1558" spans="1:13" x14ac:dyDescent="0.25">
      <c r="A1558" s="2" t="str">
        <f ca="1">IFERROR(__xludf.DUMMYFUNCTION("""COMPUTED_VALUE"""),"b78c78e8")</f>
        <v>b78c78e8</v>
      </c>
      <c r="B1558" s="2"/>
      <c r="C1558" s="5">
        <f ca="1">IFERROR(__xludf.DUMMYFUNCTION("""COMPUTED_VALUE"""),46097.5068634259)</f>
        <v>46097.506863425901</v>
      </c>
      <c r="D1558" s="2">
        <f ca="1">IFERROR(__xludf.DUMMYFUNCTION("""COMPUTED_VALUE"""),11)</f>
        <v>11</v>
      </c>
      <c r="E1558" s="2">
        <f ca="1">IFERROR(__xludf.DUMMYFUNCTION("""COMPUTED_VALUE"""),36000)</f>
        <v>36000</v>
      </c>
      <c r="F1558" s="2" t="str">
        <f ca="1">IFERROR(__xludf.DUMMYFUNCTION("""COMPUTED_VALUE"""),"Anccellota Aspirant Rect")</f>
        <v>Anccellota Aspirant Rect</v>
      </c>
      <c r="G1558" s="2">
        <f ca="1">IFERROR(__xludf.DUMMYFUNCTION("""COMPUTED_VALUE"""),26600)</f>
        <v>26600</v>
      </c>
      <c r="H1558" s="2">
        <f ca="1">IFERROR(__xludf.DUMMYFUNCTION("""COMPUTED_VALUE"""),36000)</f>
        <v>36000</v>
      </c>
      <c r="I1558" s="2"/>
      <c r="J1558" s="2"/>
      <c r="K1558" s="2" t="str">
        <f ca="1">IFERROR(__xludf.DUMMYFUNCTION("""COMPUTED_VALUE"""),"Rectificado")</f>
        <v>Rectificado</v>
      </c>
      <c r="L1558" s="2" t="str">
        <f ca="1">IFERROR(__xludf.DUMMYFUNCTION("""COMPUTED_VALUE"""),"2+")</f>
        <v>2+</v>
      </c>
      <c r="M1558" s="2" t="str">
        <f ca="1">IFERROR(__xludf.DUMMYFUNCTION("""COMPUTED_VALUE"""),"Tinto")</f>
        <v>Tinto</v>
      </c>
    </row>
    <row r="1559" spans="1:13" x14ac:dyDescent="0.25">
      <c r="A1559" s="2" t="str">
        <f ca="1">IFERROR(__xludf.DUMMYFUNCTION("""COMPUTED_VALUE"""),"14bf31ed")</f>
        <v>14bf31ed</v>
      </c>
      <c r="B1559" s="2"/>
      <c r="C1559" s="5">
        <f ca="1">IFERROR(__xludf.DUMMYFUNCTION("""COMPUTED_VALUE"""),46097.5074189814)</f>
        <v>46097.507418981397</v>
      </c>
      <c r="D1559" s="2">
        <f ca="1">IFERROR(__xludf.DUMMYFUNCTION("""COMPUTED_VALUE"""),105)</f>
        <v>105</v>
      </c>
      <c r="E1559" s="2">
        <f ca="1">IFERROR(__xludf.DUMMYFUNCTION("""COMPUTED_VALUE"""),31000)</f>
        <v>31000</v>
      </c>
      <c r="F1559" s="2" t="str">
        <f ca="1">IFERROR(__xludf.DUMMYFUNCTION("""COMPUTED_VALUE"""),"Syrah Merlot s/Asp 2")</f>
        <v>Syrah Merlot s/Asp 2</v>
      </c>
      <c r="G1559" s="2">
        <f ca="1">IFERROR(__xludf.DUMMYFUNCTION("""COMPUTED_VALUE"""),0)</f>
        <v>0</v>
      </c>
      <c r="H1559" s="2">
        <f ca="1">IFERROR(__xludf.DUMMYFUNCTION("""COMPUTED_VALUE"""),4500)</f>
        <v>4500</v>
      </c>
      <c r="I1559" s="2"/>
      <c r="J1559" s="2"/>
      <c r="K1559" s="2" t="str">
        <f ca="1">IFERROR(__xludf.DUMMYFUNCTION("""COMPUTED_VALUE"""),"Descubada")</f>
        <v>Descubada</v>
      </c>
      <c r="L1559" s="2"/>
      <c r="M1559" s="2" t="str">
        <f ca="1">IFERROR(__xludf.DUMMYFUNCTION("""COMPUTED_VALUE"""),"Tinto")</f>
        <v>Tinto</v>
      </c>
    </row>
    <row r="1560" spans="1:13" x14ac:dyDescent="0.25">
      <c r="A1560" s="2" t="str">
        <f ca="1">IFERROR(__xludf.DUMMYFUNCTION("""COMPUTED_VALUE"""),"5c2c4485")</f>
        <v>5c2c4485</v>
      </c>
      <c r="B1560" s="2"/>
      <c r="C1560" s="5">
        <f ca="1">IFERROR(__xludf.DUMMYFUNCTION("""COMPUTED_VALUE"""),46097.5122569444)</f>
        <v>46097.512256944399</v>
      </c>
      <c r="D1560" s="2">
        <f ca="1">IFERROR(__xludf.DUMMYFUNCTION("""COMPUTED_VALUE"""),5)</f>
        <v>5</v>
      </c>
      <c r="E1560" s="2">
        <f ca="1">IFERROR(__xludf.DUMMYFUNCTION("""COMPUTED_VALUE"""),30000)</f>
        <v>30000</v>
      </c>
      <c r="F1560" s="2" t="str">
        <f ca="1">IFERROR(__xludf.DUMMYFUNCTION("""COMPUTED_VALUE"""),"Cabernet Sauvignon Rect")</f>
        <v>Cabernet Sauvignon Rect</v>
      </c>
      <c r="G1560" s="2">
        <f ca="1">IFERROR(__xludf.DUMMYFUNCTION("""COMPUTED_VALUE"""),30000)</f>
        <v>30000</v>
      </c>
      <c r="H1560" s="2">
        <f ca="1">IFERROR(__xludf.DUMMYFUNCTION("""COMPUTED_VALUE"""),21500)</f>
        <v>21500</v>
      </c>
      <c r="I1560" s="2"/>
      <c r="J1560" s="2"/>
      <c r="K1560" s="2" t="str">
        <f ca="1">IFERROR(__xludf.DUMMYFUNCTION("""COMPUTED_VALUE"""),"Rectificado")</f>
        <v>Rectificado</v>
      </c>
      <c r="L1560" s="2" t="str">
        <f ca="1">IFERROR(__xludf.DUMMYFUNCTION("""COMPUTED_VALUE"""),"1")</f>
        <v>1</v>
      </c>
      <c r="M1560" s="2" t="str">
        <f ca="1">IFERROR(__xludf.DUMMYFUNCTION("""COMPUTED_VALUE"""),"Tinto")</f>
        <v>Tinto</v>
      </c>
    </row>
    <row r="1561" spans="1:13" x14ac:dyDescent="0.25">
      <c r="A1561" s="2" t="str">
        <f ca="1">IFERROR(__xludf.DUMMYFUNCTION("""COMPUTED_VALUE"""),"a1c6829b")</f>
        <v>a1c6829b</v>
      </c>
      <c r="B1561" s="2"/>
      <c r="C1561" s="5">
        <f ca="1">IFERROR(__xludf.DUMMYFUNCTION("""COMPUTED_VALUE"""),46097.5126157407)</f>
        <v>46097.512615740699</v>
      </c>
      <c r="D1561" s="2">
        <f ca="1">IFERROR(__xludf.DUMMYFUNCTION("""COMPUTED_VALUE"""),5)</f>
        <v>5</v>
      </c>
      <c r="E1561" s="2">
        <f ca="1">IFERROR(__xludf.DUMMYFUNCTION("""COMPUTED_VALUE"""),30000)</f>
        <v>30000</v>
      </c>
      <c r="F1561" s="2" t="str">
        <f ca="1">IFERROR(__xludf.DUMMYFUNCTION("""COMPUTED_VALUE"""),"Cabernet Sauvignon Rect")</f>
        <v>Cabernet Sauvignon Rect</v>
      </c>
      <c r="G1561" s="2">
        <f ca="1">IFERROR(__xludf.DUMMYFUNCTION("""COMPUTED_VALUE"""),21500)</f>
        <v>21500</v>
      </c>
      <c r="H1561" s="2">
        <f ca="1">IFERROR(__xludf.DUMMYFUNCTION("""COMPUTED_VALUE"""),18000)</f>
        <v>18000</v>
      </c>
      <c r="I1561" s="2"/>
      <c r="J1561" s="2"/>
      <c r="K1561" s="2" t="str">
        <f ca="1">IFERROR(__xludf.DUMMYFUNCTION("""COMPUTED_VALUE"""),"Rectificado")</f>
        <v>Rectificado</v>
      </c>
      <c r="L1561" s="2" t="str">
        <f ca="1">IFERROR(__xludf.DUMMYFUNCTION("""COMPUTED_VALUE"""),"1")</f>
        <v>1</v>
      </c>
      <c r="M1561" s="2" t="str">
        <f ca="1">IFERROR(__xludf.DUMMYFUNCTION("""COMPUTED_VALUE"""),"Tinto")</f>
        <v>Tinto</v>
      </c>
    </row>
    <row r="1562" spans="1:13" x14ac:dyDescent="0.25">
      <c r="A1562" s="2" t="str">
        <f ca="1">IFERROR(__xludf.DUMMYFUNCTION("""COMPUTED_VALUE"""),"8c34d28b")</f>
        <v>8c34d28b</v>
      </c>
      <c r="B1562" s="2"/>
      <c r="C1562" s="5">
        <f ca="1">IFERROR(__xludf.DUMMYFUNCTION("""COMPUTED_VALUE"""),46097.512824074)</f>
        <v>46097.512824074001</v>
      </c>
      <c r="D1562" s="2">
        <f ca="1">IFERROR(__xludf.DUMMYFUNCTION("""COMPUTED_VALUE"""),5)</f>
        <v>5</v>
      </c>
      <c r="E1562" s="2">
        <f ca="1">IFERROR(__xludf.DUMMYFUNCTION("""COMPUTED_VALUE"""),30000)</f>
        <v>30000</v>
      </c>
      <c r="F1562" s="2" t="str">
        <f ca="1">IFERROR(__xludf.DUMMYFUNCTION("""COMPUTED_VALUE"""),"Cabernet Sauvignon Rect")</f>
        <v>Cabernet Sauvignon Rect</v>
      </c>
      <c r="G1562" s="2">
        <f ca="1">IFERROR(__xludf.DUMMYFUNCTION("""COMPUTED_VALUE"""),18000)</f>
        <v>18000</v>
      </c>
      <c r="H1562" s="2">
        <f ca="1">IFERROR(__xludf.DUMMYFUNCTION("""COMPUTED_VALUE"""),14500)</f>
        <v>14500</v>
      </c>
      <c r="I1562" s="2"/>
      <c r="J1562" s="2"/>
      <c r="K1562" s="2" t="str">
        <f ca="1">IFERROR(__xludf.DUMMYFUNCTION("""COMPUTED_VALUE"""),"Rectificado")</f>
        <v>Rectificado</v>
      </c>
      <c r="L1562" s="2" t="str">
        <f ca="1">IFERROR(__xludf.DUMMYFUNCTION("""COMPUTED_VALUE"""),"1")</f>
        <v>1</v>
      </c>
      <c r="M1562" s="2" t="str">
        <f ca="1">IFERROR(__xludf.DUMMYFUNCTION("""COMPUTED_VALUE"""),"Tinto")</f>
        <v>Tinto</v>
      </c>
    </row>
    <row r="1563" spans="1:13" x14ac:dyDescent="0.25">
      <c r="A1563" s="2" t="str">
        <f ca="1">IFERROR(__xludf.DUMMYFUNCTION("""COMPUTED_VALUE"""),"730fdcb9")</f>
        <v>730fdcb9</v>
      </c>
      <c r="B1563" s="2"/>
      <c r="C1563" s="5">
        <f ca="1">IFERROR(__xludf.DUMMYFUNCTION("""COMPUTED_VALUE"""),46097.5132175925)</f>
        <v>46097.513217592503</v>
      </c>
      <c r="D1563" s="2">
        <f ca="1">IFERROR(__xludf.DUMMYFUNCTION("""COMPUTED_VALUE"""),5)</f>
        <v>5</v>
      </c>
      <c r="E1563" s="2">
        <f ca="1">IFERROR(__xludf.DUMMYFUNCTION("""COMPUTED_VALUE"""),30000)</f>
        <v>30000</v>
      </c>
      <c r="F1563" s="2" t="str">
        <f ca="1">IFERROR(__xludf.DUMMYFUNCTION("""COMPUTED_VALUE"""),"Cabernet Sauvignon Rect")</f>
        <v>Cabernet Sauvignon Rect</v>
      </c>
      <c r="G1563" s="2">
        <f ca="1">IFERROR(__xludf.DUMMYFUNCTION("""COMPUTED_VALUE"""),14500)</f>
        <v>14500</v>
      </c>
      <c r="H1563" s="2">
        <f ca="1">IFERROR(__xludf.DUMMYFUNCTION("""COMPUTED_VALUE"""),11000)</f>
        <v>11000</v>
      </c>
      <c r="I1563" s="2"/>
      <c r="J1563" s="2"/>
      <c r="K1563" s="2" t="str">
        <f ca="1">IFERROR(__xludf.DUMMYFUNCTION("""COMPUTED_VALUE"""),"Rectificado")</f>
        <v>Rectificado</v>
      </c>
      <c r="L1563" s="2" t="str">
        <f ca="1">IFERROR(__xludf.DUMMYFUNCTION("""COMPUTED_VALUE"""),"1")</f>
        <v>1</v>
      </c>
      <c r="M1563" s="2" t="str">
        <f ca="1">IFERROR(__xludf.DUMMYFUNCTION("""COMPUTED_VALUE"""),"Tinto")</f>
        <v>Tinto</v>
      </c>
    </row>
    <row r="1564" spans="1:13" x14ac:dyDescent="0.25">
      <c r="A1564" s="2" t="str">
        <f ca="1">IFERROR(__xludf.DUMMYFUNCTION("""COMPUTED_VALUE"""),"bd7e87d6")</f>
        <v>bd7e87d6</v>
      </c>
      <c r="B1564" s="2"/>
      <c r="C1564" s="5">
        <f ca="1">IFERROR(__xludf.DUMMYFUNCTION("""COMPUTED_VALUE"""),46097.7845023148)</f>
        <v>46097.784502314797</v>
      </c>
      <c r="D1564" s="2">
        <f ca="1">IFERROR(__xludf.DUMMYFUNCTION("""COMPUTED_VALUE"""),51)</f>
        <v>51</v>
      </c>
      <c r="E1564" s="2">
        <f ca="1">IFERROR(__xludf.DUMMYFUNCTION("""COMPUTED_VALUE"""),3900)</f>
        <v>3900</v>
      </c>
      <c r="F1564" s="2" t="str">
        <f ca="1">IFERROR(__xludf.DUMMYFUNCTION("""COMPUTED_VALUE"""),"Chardonnay")</f>
        <v>Chardonnay</v>
      </c>
      <c r="G1564" s="2">
        <f ca="1">IFERROR(__xludf.DUMMYFUNCTION("""COMPUTED_VALUE"""),800)</f>
        <v>800</v>
      </c>
      <c r="H1564" s="2">
        <f ca="1">IFERROR(__xludf.DUMMYFUNCTION("""COMPUTED_VALUE"""),0)</f>
        <v>0</v>
      </c>
      <c r="I1564" s="2"/>
      <c r="J1564" s="2"/>
      <c r="K1564" s="2" t="str">
        <f ca="1">IFERROR(__xludf.DUMMYFUNCTION("""COMPUTED_VALUE"""),"Descubada")</f>
        <v>Descubada</v>
      </c>
      <c r="L1564" s="2"/>
      <c r="M1564" s="2" t="str">
        <f ca="1">IFERROR(__xludf.DUMMYFUNCTION("""COMPUTED_VALUE"""),"Blanco")</f>
        <v>Blanco</v>
      </c>
    </row>
    <row r="1565" spans="1:13" x14ac:dyDescent="0.25">
      <c r="A1565" s="2" t="str">
        <f ca="1">IFERROR(__xludf.DUMMYFUNCTION("""COMPUTED_VALUE"""),"5ffbec67")</f>
        <v>5ffbec67</v>
      </c>
      <c r="B1565" s="2"/>
      <c r="C1565" s="5">
        <f ca="1">IFERROR(__xludf.DUMMYFUNCTION("""COMPUTED_VALUE"""),46097.785949074)</f>
        <v>46097.785949074001</v>
      </c>
      <c r="D1565" s="2">
        <f ca="1">IFERROR(__xludf.DUMMYFUNCTION("""COMPUTED_VALUE"""),500)</f>
        <v>500</v>
      </c>
      <c r="E1565" s="2">
        <f ca="1">IFERROR(__xludf.DUMMYFUNCTION("""COMPUTED_VALUE"""),200000)</f>
        <v>200000</v>
      </c>
      <c r="F1565" s="2" t="str">
        <f ca="1">IFERROR(__xludf.DUMMYFUNCTION("""COMPUTED_VALUE"""),"Ajuste semana 13/02/2025")</f>
        <v>Ajuste semana 13/02/2025</v>
      </c>
      <c r="G1565" s="2">
        <f ca="1">IFERROR(__xludf.DUMMYFUNCTION("""COMPUTED_VALUE"""),21651)</f>
        <v>21651</v>
      </c>
      <c r="H1565" s="2">
        <f ca="1">IFERROR(__xludf.DUMMYFUNCTION("""COMPUTED_VALUE"""),20851)</f>
        <v>20851</v>
      </c>
      <c r="I1565" s="2"/>
      <c r="J1565" s="2"/>
      <c r="K1565" s="2" t="str">
        <f ca="1">IFERROR(__xludf.DUMMYFUNCTION("""COMPUTED_VALUE"""),"Terminado")</f>
        <v>Terminado</v>
      </c>
      <c r="L1565" s="2"/>
      <c r="M1565" s="2"/>
    </row>
    <row r="1566" spans="1:13" x14ac:dyDescent="0.25">
      <c r="A1566" s="2" t="str">
        <f ca="1">IFERROR(__xludf.DUMMYFUNCTION("""COMPUTED_VALUE"""),"bca1092d")</f>
        <v>bca1092d</v>
      </c>
      <c r="B1566" s="2"/>
      <c r="C1566" s="5">
        <f ca="1">IFERROR(__xludf.DUMMYFUNCTION("""COMPUTED_VALUE"""),46097.7864236111)</f>
        <v>46097.786423611098</v>
      </c>
      <c r="D1566" s="2">
        <f ca="1">IFERROR(__xludf.DUMMYFUNCTION("""COMPUTED_VALUE"""),500)</f>
        <v>500</v>
      </c>
      <c r="E1566" s="2">
        <f ca="1">IFERROR(__xludf.DUMMYFUNCTION("""COMPUTED_VALUE"""),200000)</f>
        <v>200000</v>
      </c>
      <c r="F1566" s="2" t="str">
        <f ca="1">IFERROR(__xludf.DUMMYFUNCTION("""COMPUTED_VALUE"""),"Ajuste semana 13/02/2025")</f>
        <v>Ajuste semana 13/02/2025</v>
      </c>
      <c r="G1566" s="2">
        <f ca="1">IFERROR(__xludf.DUMMYFUNCTION("""COMPUTED_VALUE"""),20851)</f>
        <v>20851</v>
      </c>
      <c r="H1566" s="2">
        <f ca="1">IFERROR(__xludf.DUMMYFUNCTION("""COMPUTED_VALUE"""),19651)</f>
        <v>19651</v>
      </c>
      <c r="I1566" s="2"/>
      <c r="J1566" s="2"/>
      <c r="K1566" s="2" t="str">
        <f ca="1">IFERROR(__xludf.DUMMYFUNCTION("""COMPUTED_VALUE"""),"Terminado")</f>
        <v>Terminado</v>
      </c>
      <c r="L1566" s="2"/>
      <c r="M1566" s="2"/>
    </row>
    <row r="1567" spans="1:13" x14ac:dyDescent="0.25">
      <c r="A1567" s="2" t="str">
        <f ca="1">IFERROR(__xludf.DUMMYFUNCTION("""COMPUTED_VALUE"""),"9d77188e")</f>
        <v>9d77188e</v>
      </c>
      <c r="B1567" s="2"/>
      <c r="C1567" s="5">
        <f ca="1">IFERROR(__xludf.DUMMYFUNCTION("""COMPUTED_VALUE"""),46097.7866666666)</f>
        <v>46097.786666666601</v>
      </c>
      <c r="D1567" s="2">
        <f ca="1">IFERROR(__xludf.DUMMYFUNCTION("""COMPUTED_VALUE"""),500)</f>
        <v>500</v>
      </c>
      <c r="E1567" s="2">
        <f ca="1">IFERROR(__xludf.DUMMYFUNCTION("""COMPUTED_VALUE"""),200000)</f>
        <v>200000</v>
      </c>
      <c r="F1567" s="2" t="str">
        <f ca="1">IFERROR(__xludf.DUMMYFUNCTION("""COMPUTED_VALUE"""),"Ajuste semana 13/02/2025")</f>
        <v>Ajuste semana 13/02/2025</v>
      </c>
      <c r="G1567" s="2">
        <f ca="1">IFERROR(__xludf.DUMMYFUNCTION("""COMPUTED_VALUE"""),19651)</f>
        <v>19651</v>
      </c>
      <c r="H1567" s="2">
        <f ca="1">IFERROR(__xludf.DUMMYFUNCTION("""COMPUTED_VALUE"""),18451)</f>
        <v>18451</v>
      </c>
      <c r="I1567" s="2"/>
      <c r="J1567" s="2"/>
      <c r="K1567" s="2" t="str">
        <f ca="1">IFERROR(__xludf.DUMMYFUNCTION("""COMPUTED_VALUE"""),"Terminado")</f>
        <v>Terminado</v>
      </c>
      <c r="L1567" s="2"/>
      <c r="M1567" s="2"/>
    </row>
    <row r="1568" spans="1:13" x14ac:dyDescent="0.25">
      <c r="A1568" s="2" t="str">
        <f ca="1">IFERROR(__xludf.DUMMYFUNCTION("""COMPUTED_VALUE"""),"796974ce")</f>
        <v>796974ce</v>
      </c>
      <c r="B1568" s="2"/>
      <c r="C1568" s="5">
        <f ca="1">IFERROR(__xludf.DUMMYFUNCTION("""COMPUTED_VALUE"""),46097.7977083333)</f>
        <v>46097.797708333303</v>
      </c>
      <c r="D1568" s="2">
        <f ca="1">IFERROR(__xludf.DUMMYFUNCTION("""COMPUTED_VALUE"""),500)</f>
        <v>500</v>
      </c>
      <c r="E1568" s="2">
        <f ca="1">IFERROR(__xludf.DUMMYFUNCTION("""COMPUTED_VALUE"""),200000)</f>
        <v>200000</v>
      </c>
      <c r="F1568" s="2" t="str">
        <f ca="1">IFERROR(__xludf.DUMMYFUNCTION("""COMPUTED_VALUE"""),"Ajuste semana 13/02/2025")</f>
        <v>Ajuste semana 13/02/2025</v>
      </c>
      <c r="G1568" s="2">
        <f ca="1">IFERROR(__xludf.DUMMYFUNCTION("""COMPUTED_VALUE"""),18451)</f>
        <v>18451</v>
      </c>
      <c r="H1568" s="2">
        <f ca="1">IFERROR(__xludf.DUMMYFUNCTION("""COMPUTED_VALUE"""),11451)</f>
        <v>11451</v>
      </c>
      <c r="I1568" s="2"/>
      <c r="J1568" s="2"/>
      <c r="K1568" s="2" t="str">
        <f ca="1">IFERROR(__xludf.DUMMYFUNCTION("""COMPUTED_VALUE"""),"Terminado")</f>
        <v>Terminado</v>
      </c>
      <c r="L1568" s="2"/>
      <c r="M1568" s="2"/>
    </row>
    <row r="1569" spans="1:13" x14ac:dyDescent="0.25">
      <c r="A1569" s="2" t="str">
        <f ca="1">IFERROR(__xludf.DUMMYFUNCTION("""COMPUTED_VALUE"""),"4fd8e613")</f>
        <v>4fd8e613</v>
      </c>
      <c r="B1569" s="2"/>
      <c r="C1569" s="5">
        <f ca="1">IFERROR(__xludf.DUMMYFUNCTION("""COMPUTED_VALUE"""),46097.7983680555)</f>
        <v>46097.798368055497</v>
      </c>
      <c r="D1569" s="2">
        <f ca="1">IFERROR(__xludf.DUMMYFUNCTION("""COMPUTED_VALUE"""),500)</f>
        <v>500</v>
      </c>
      <c r="E1569" s="2">
        <f ca="1">IFERROR(__xludf.DUMMYFUNCTION("""COMPUTED_VALUE"""),200000)</f>
        <v>200000</v>
      </c>
      <c r="F1569" s="2" t="str">
        <f ca="1">IFERROR(__xludf.DUMMYFUNCTION("""COMPUTED_VALUE"""),"Ajuste semana 13/02/2025")</f>
        <v>Ajuste semana 13/02/2025</v>
      </c>
      <c r="G1569" s="2">
        <f ca="1">IFERROR(__xludf.DUMMYFUNCTION("""COMPUTED_VALUE"""),11451)</f>
        <v>11451</v>
      </c>
      <c r="H1569" s="2">
        <f ca="1">IFERROR(__xludf.DUMMYFUNCTION("""COMPUTED_VALUE"""),9051)</f>
        <v>9051</v>
      </c>
      <c r="I1569" s="2"/>
      <c r="J1569" s="2"/>
      <c r="K1569" s="2" t="str">
        <f ca="1">IFERROR(__xludf.DUMMYFUNCTION("""COMPUTED_VALUE"""),"Terminado")</f>
        <v>Terminado</v>
      </c>
      <c r="L1569" s="2"/>
      <c r="M1569" s="2"/>
    </row>
    <row r="1570" spans="1:13" x14ac:dyDescent="0.25">
      <c r="A1570" s="2" t="str">
        <f ca="1">IFERROR(__xludf.DUMMYFUNCTION("""COMPUTED_VALUE"""),"635f5fd0")</f>
        <v>635f5fd0</v>
      </c>
      <c r="B1570" s="2"/>
      <c r="C1570" s="5">
        <f ca="1">IFERROR(__xludf.DUMMYFUNCTION("""COMPUTED_VALUE"""),46097.7995601851)</f>
        <v>46097.7995601851</v>
      </c>
      <c r="D1570" s="2">
        <f ca="1">IFERROR(__xludf.DUMMYFUNCTION("""COMPUTED_VALUE"""),500)</f>
        <v>500</v>
      </c>
      <c r="E1570" s="2">
        <f ca="1">IFERROR(__xludf.DUMMYFUNCTION("""COMPUTED_VALUE"""),200000)</f>
        <v>200000</v>
      </c>
      <c r="F1570" s="2" t="str">
        <f ca="1">IFERROR(__xludf.DUMMYFUNCTION("""COMPUTED_VALUE"""),"Ajuste semana 13/02/2025")</f>
        <v>Ajuste semana 13/02/2025</v>
      </c>
      <c r="G1570" s="2">
        <f ca="1">IFERROR(__xludf.DUMMYFUNCTION("""COMPUTED_VALUE"""),9051)</f>
        <v>9051</v>
      </c>
      <c r="H1570" s="2">
        <f ca="1">IFERROR(__xludf.DUMMYFUNCTION("""COMPUTED_VALUE"""),14301)</f>
        <v>14301</v>
      </c>
      <c r="I1570" s="2"/>
      <c r="J1570" s="2"/>
      <c r="K1570" s="2" t="str">
        <f ca="1">IFERROR(__xludf.DUMMYFUNCTION("""COMPUTED_VALUE"""),"Terminado")</f>
        <v>Terminado</v>
      </c>
      <c r="L1570" s="2"/>
      <c r="M1570" s="2"/>
    </row>
    <row r="1571" spans="1:13" x14ac:dyDescent="0.25">
      <c r="A1571" s="2" t="str">
        <f ca="1">IFERROR(__xludf.DUMMYFUNCTION("""COMPUTED_VALUE"""),"1a7f3ce0")</f>
        <v>1a7f3ce0</v>
      </c>
      <c r="B1571" s="2"/>
      <c r="C1571" s="5">
        <f ca="1">IFERROR(__xludf.DUMMYFUNCTION("""COMPUTED_VALUE"""),46097.8017013888)</f>
        <v>46097.801701388802</v>
      </c>
      <c r="D1571" s="2">
        <f ca="1">IFERROR(__xludf.DUMMYFUNCTION("""COMPUTED_VALUE"""),500)</f>
        <v>500</v>
      </c>
      <c r="E1571" s="2">
        <f ca="1">IFERROR(__xludf.DUMMYFUNCTION("""COMPUTED_VALUE"""),200000)</f>
        <v>200000</v>
      </c>
      <c r="F1571" s="2" t="str">
        <f ca="1">IFERROR(__xludf.DUMMYFUNCTION("""COMPUTED_VALUE"""),"Ajuste semana 13/02/2025")</f>
        <v>Ajuste semana 13/02/2025</v>
      </c>
      <c r="G1571" s="2">
        <f ca="1">IFERROR(__xludf.DUMMYFUNCTION("""COMPUTED_VALUE"""),14301)</f>
        <v>14301</v>
      </c>
      <c r="H1571" s="2">
        <f ca="1">IFERROR(__xludf.DUMMYFUNCTION("""COMPUTED_VALUE"""),42800)</f>
        <v>42800</v>
      </c>
      <c r="I1571" s="2"/>
      <c r="J1571" s="2"/>
      <c r="K1571" s="2" t="str">
        <f ca="1">IFERROR(__xludf.DUMMYFUNCTION("""COMPUTED_VALUE"""),"Terminado")</f>
        <v>Terminado</v>
      </c>
      <c r="L1571" s="2"/>
      <c r="M1571" s="2"/>
    </row>
    <row r="1572" spans="1:13" x14ac:dyDescent="0.25">
      <c r="A1572" s="2" t="str">
        <f ca="1">IFERROR(__xludf.DUMMYFUNCTION("""COMPUTED_VALUE"""),"af70c08b")</f>
        <v>af70c08b</v>
      </c>
      <c r="B1572" s="2"/>
      <c r="C1572" s="5">
        <f ca="1">IFERROR(__xludf.DUMMYFUNCTION("""COMPUTED_VALUE"""),46097.8033333333)</f>
        <v>46097.803333333301</v>
      </c>
      <c r="D1572" s="2">
        <f ca="1">IFERROR(__xludf.DUMMYFUNCTION("""COMPUTED_VALUE"""),500)</f>
        <v>500</v>
      </c>
      <c r="E1572" s="2">
        <f ca="1">IFERROR(__xludf.DUMMYFUNCTION("""COMPUTED_VALUE"""),200000)</f>
        <v>200000</v>
      </c>
      <c r="F1572" s="2" t="str">
        <f ca="1">IFERROR(__xludf.DUMMYFUNCTION("""COMPUTED_VALUE"""),"Ajuste semana 13/02/2025")</f>
        <v>Ajuste semana 13/02/2025</v>
      </c>
      <c r="G1572" s="2">
        <f ca="1">IFERROR(__xludf.DUMMYFUNCTION("""COMPUTED_VALUE"""),42800)</f>
        <v>42800</v>
      </c>
      <c r="H1572" s="2">
        <f ca="1">IFERROR(__xludf.DUMMYFUNCTION("""COMPUTED_VALUE"""),47400)</f>
        <v>47400</v>
      </c>
      <c r="I1572" s="2"/>
      <c r="J1572" s="2"/>
      <c r="K1572" s="2" t="str">
        <f ca="1">IFERROR(__xludf.DUMMYFUNCTION("""COMPUTED_VALUE"""),"Terminado")</f>
        <v>Terminado</v>
      </c>
      <c r="L1572" s="2"/>
      <c r="M1572" s="2"/>
    </row>
    <row r="1573" spans="1:13" x14ac:dyDescent="0.25">
      <c r="A1573" s="2" t="str">
        <f ca="1">IFERROR(__xludf.DUMMYFUNCTION("""COMPUTED_VALUE"""),"5cb0d539")</f>
        <v>5cb0d539</v>
      </c>
      <c r="B1573" s="2"/>
      <c r="C1573" s="5">
        <f ca="1">IFERROR(__xludf.DUMMYFUNCTION("""COMPUTED_VALUE"""),46097.8038194444)</f>
        <v>46097.803819444402</v>
      </c>
      <c r="D1573" s="2">
        <f ca="1">IFERROR(__xludf.DUMMYFUNCTION("""COMPUTED_VALUE"""),500)</f>
        <v>500</v>
      </c>
      <c r="E1573" s="2">
        <f ca="1">IFERROR(__xludf.DUMMYFUNCTION("""COMPUTED_VALUE"""),200000)</f>
        <v>200000</v>
      </c>
      <c r="F1573" s="2" t="str">
        <f ca="1">IFERROR(__xludf.DUMMYFUNCTION("""COMPUTED_VALUE"""),"Ajuste semana 13/02/2025")</f>
        <v>Ajuste semana 13/02/2025</v>
      </c>
      <c r="G1573" s="2">
        <f ca="1">IFERROR(__xludf.DUMMYFUNCTION("""COMPUTED_VALUE"""),47400)</f>
        <v>47400</v>
      </c>
      <c r="H1573" s="2">
        <f ca="1">IFERROR(__xludf.DUMMYFUNCTION("""COMPUTED_VALUE"""),51300)</f>
        <v>51300</v>
      </c>
      <c r="I1573" s="2"/>
      <c r="J1573" s="2"/>
      <c r="K1573" s="2" t="str">
        <f ca="1">IFERROR(__xludf.DUMMYFUNCTION("""COMPUTED_VALUE"""),"Terminado")</f>
        <v>Terminado</v>
      </c>
      <c r="L1573" s="2"/>
      <c r="M1573" s="2"/>
    </row>
    <row r="1574" spans="1:13" x14ac:dyDescent="0.25">
      <c r="A1574" s="2" t="str">
        <f ca="1">IFERROR(__xludf.DUMMYFUNCTION("""COMPUTED_VALUE"""),"71e2ebbf")</f>
        <v>71e2ebbf</v>
      </c>
      <c r="B1574" s="2"/>
      <c r="C1574" s="5">
        <f ca="1">IFERROR(__xludf.DUMMYFUNCTION("""COMPUTED_VALUE"""),46097.8041666666)</f>
        <v>46097.804166666603</v>
      </c>
      <c r="D1574" s="2">
        <f ca="1">IFERROR(__xludf.DUMMYFUNCTION("""COMPUTED_VALUE"""),500)</f>
        <v>500</v>
      </c>
      <c r="E1574" s="2">
        <f ca="1">IFERROR(__xludf.DUMMYFUNCTION("""COMPUTED_VALUE"""),200000)</f>
        <v>200000</v>
      </c>
      <c r="F1574" s="2" t="str">
        <f ca="1">IFERROR(__xludf.DUMMYFUNCTION("""COMPUTED_VALUE"""),"Ajuste semana 13/02/2025")</f>
        <v>Ajuste semana 13/02/2025</v>
      </c>
      <c r="G1574" s="2">
        <f ca="1">IFERROR(__xludf.DUMMYFUNCTION("""COMPUTED_VALUE"""),51300)</f>
        <v>51300</v>
      </c>
      <c r="H1574" s="2">
        <f ca="1">IFERROR(__xludf.DUMMYFUNCTION("""COMPUTED_VALUE"""),56800)</f>
        <v>56800</v>
      </c>
      <c r="I1574" s="2"/>
      <c r="J1574" s="2"/>
      <c r="K1574" s="2" t="str">
        <f ca="1">IFERROR(__xludf.DUMMYFUNCTION("""COMPUTED_VALUE"""),"Terminado")</f>
        <v>Terminado</v>
      </c>
      <c r="L1574" s="2"/>
      <c r="M1574" s="2"/>
    </row>
    <row r="1575" spans="1:13" x14ac:dyDescent="0.25">
      <c r="A1575" s="2" t="str">
        <f ca="1">IFERROR(__xludf.DUMMYFUNCTION("""COMPUTED_VALUE"""),"6126cb4a")</f>
        <v>6126cb4a</v>
      </c>
      <c r="B1575" s="2"/>
      <c r="C1575" s="5">
        <f ca="1">IFERROR(__xludf.DUMMYFUNCTION("""COMPUTED_VALUE"""),46097.8044444444)</f>
        <v>46097.804444444402</v>
      </c>
      <c r="D1575" s="2">
        <f ca="1">IFERROR(__xludf.DUMMYFUNCTION("""COMPUTED_VALUE"""),500)</f>
        <v>500</v>
      </c>
      <c r="E1575" s="2">
        <f ca="1">IFERROR(__xludf.DUMMYFUNCTION("""COMPUTED_VALUE"""),200000)</f>
        <v>200000</v>
      </c>
      <c r="F1575" s="2" t="str">
        <f ca="1">IFERROR(__xludf.DUMMYFUNCTION("""COMPUTED_VALUE"""),"Ajuste semana 13/02/2025")</f>
        <v>Ajuste semana 13/02/2025</v>
      </c>
      <c r="G1575" s="2">
        <f ca="1">IFERROR(__xludf.DUMMYFUNCTION("""COMPUTED_VALUE"""),56800)</f>
        <v>56800</v>
      </c>
      <c r="H1575" s="2">
        <f ca="1">IFERROR(__xludf.DUMMYFUNCTION("""COMPUTED_VALUE"""),59900)</f>
        <v>59900</v>
      </c>
      <c r="I1575" s="2"/>
      <c r="J1575" s="2"/>
      <c r="K1575" s="2" t="str">
        <f ca="1">IFERROR(__xludf.DUMMYFUNCTION("""COMPUTED_VALUE"""),"Terminado")</f>
        <v>Terminado</v>
      </c>
      <c r="L1575" s="2"/>
      <c r="M1575" s="2"/>
    </row>
    <row r="1576" spans="1:13" x14ac:dyDescent="0.25">
      <c r="A1576" s="2" t="str">
        <f ca="1">IFERROR(__xludf.DUMMYFUNCTION("""COMPUTED_VALUE"""),"92c57fbe")</f>
        <v>92c57fbe</v>
      </c>
      <c r="B1576" s="2"/>
      <c r="C1576" s="5">
        <f ca="1">IFERROR(__xludf.DUMMYFUNCTION("""COMPUTED_VALUE"""),46097.8046643518)</f>
        <v>46097.804664351803</v>
      </c>
      <c r="D1576" s="2">
        <f ca="1">IFERROR(__xludf.DUMMYFUNCTION("""COMPUTED_VALUE"""),500)</f>
        <v>500</v>
      </c>
      <c r="E1576" s="2">
        <f ca="1">IFERROR(__xludf.DUMMYFUNCTION("""COMPUTED_VALUE"""),200000)</f>
        <v>200000</v>
      </c>
      <c r="F1576" s="2" t="str">
        <f ca="1">IFERROR(__xludf.DUMMYFUNCTION("""COMPUTED_VALUE"""),"Ajuste semana 13/02/2025")</f>
        <v>Ajuste semana 13/02/2025</v>
      </c>
      <c r="G1576" s="2">
        <f ca="1">IFERROR(__xludf.DUMMYFUNCTION("""COMPUTED_VALUE"""),59900)</f>
        <v>59900</v>
      </c>
      <c r="H1576" s="2">
        <f ca="1">IFERROR(__xludf.DUMMYFUNCTION("""COMPUTED_VALUE"""),57600)</f>
        <v>57600</v>
      </c>
      <c r="I1576" s="2"/>
      <c r="J1576" s="2"/>
      <c r="K1576" s="2" t="str">
        <f ca="1">IFERROR(__xludf.DUMMYFUNCTION("""COMPUTED_VALUE"""),"Terminado")</f>
        <v>Terminado</v>
      </c>
      <c r="L1576" s="2"/>
      <c r="M1576" s="2"/>
    </row>
    <row r="1577" spans="1:13" x14ac:dyDescent="0.25">
      <c r="A1577" s="2" t="str">
        <f ca="1">IFERROR(__xludf.DUMMYFUNCTION("""COMPUTED_VALUE"""),"30e20ade")</f>
        <v>30e20ade</v>
      </c>
      <c r="B1577" s="2"/>
      <c r="C1577" s="5">
        <f ca="1">IFERROR(__xludf.DUMMYFUNCTION("""COMPUTED_VALUE"""),46097.8051851851)</f>
        <v>46097.805185185098</v>
      </c>
      <c r="D1577" s="2">
        <f ca="1">IFERROR(__xludf.DUMMYFUNCTION("""COMPUTED_VALUE"""),105)</f>
        <v>105</v>
      </c>
      <c r="E1577" s="2">
        <f ca="1">IFERROR(__xludf.DUMMYFUNCTION("""COMPUTED_VALUE"""),31000)</f>
        <v>31000</v>
      </c>
      <c r="F1577" s="2" t="str">
        <f ca="1">IFERROR(__xludf.DUMMYFUNCTION("""COMPUTED_VALUE"""),"Syrah Merlot s/Asp 2")</f>
        <v>Syrah Merlot s/Asp 2</v>
      </c>
      <c r="G1577" s="2">
        <f ca="1">IFERROR(__xludf.DUMMYFUNCTION("""COMPUTED_VALUE"""),4500)</f>
        <v>4500</v>
      </c>
      <c r="H1577" s="2">
        <f ca="1">IFERROR(__xludf.DUMMYFUNCTION("""COMPUTED_VALUE"""),7500)</f>
        <v>7500</v>
      </c>
      <c r="I1577" s="2" t="str">
        <f ca="1">IFERROR(__xludf.DUMMYFUNCTION("""COMPUTED_VALUE"""),"17/3
Calificacion muy buena 1++")</f>
        <v>17/3
Calificacion muy buena 1++</v>
      </c>
      <c r="J1577" s="2"/>
      <c r="K1577" s="2" t="str">
        <f ca="1">IFERROR(__xludf.DUMMYFUNCTION("""COMPUTED_VALUE"""),"Descubada")</f>
        <v>Descubada</v>
      </c>
      <c r="L1577" s="2" t="str">
        <f ca="1">IFERROR(__xludf.DUMMYFUNCTION("""COMPUTED_VALUE"""),"1+")</f>
        <v>1+</v>
      </c>
      <c r="M1577" s="2" t="str">
        <f ca="1">IFERROR(__xludf.DUMMYFUNCTION("""COMPUTED_VALUE"""),"Tinto")</f>
        <v>Tinto</v>
      </c>
    </row>
    <row r="1578" spans="1:13" x14ac:dyDescent="0.25">
      <c r="A1578" s="2" t="str">
        <f ca="1">IFERROR(__xludf.DUMMYFUNCTION("""COMPUTED_VALUE"""),"990d3af1")</f>
        <v>990d3af1</v>
      </c>
      <c r="B1578" s="2"/>
      <c r="C1578" s="5">
        <f ca="1">IFERROR(__xludf.DUMMYFUNCTION("""COMPUTED_VALUE"""),46097.8108449074)</f>
        <v>46097.810844907399</v>
      </c>
      <c r="D1578" s="2">
        <f ca="1">IFERROR(__xludf.DUMMYFUNCTION("""COMPUTED_VALUE"""),90)</f>
        <v>90</v>
      </c>
      <c r="E1578" s="2">
        <f ca="1">IFERROR(__xludf.DUMMYFUNCTION("""COMPUTED_VALUE"""),97500)</f>
        <v>97500</v>
      </c>
      <c r="F1578" s="2" t="str">
        <f ca="1">IFERROR(__xludf.DUMMYFUNCTION("""COMPUTED_VALUE"""),"Syrah Bonarda")</f>
        <v>Syrah Bonarda</v>
      </c>
      <c r="G1578" s="2"/>
      <c r="H1578" s="2">
        <f ca="1">IFERROR(__xludf.DUMMYFUNCTION("""COMPUTED_VALUE"""),50600)</f>
        <v>50600</v>
      </c>
      <c r="I1578" s="2"/>
      <c r="J1578" s="2" t="str">
        <f ca="1">IFERROR(__xludf.DUMMYFUNCTION("""COMPUTED_VALUE"""),"6322 , 6323 , 6324 , 6325 , 6331 , 6332 , 6340")</f>
        <v>6322 , 6323 , 6324 , 6325 , 6331 , 6332 , 6340</v>
      </c>
      <c r="K1578" s="2" t="str">
        <f ca="1">IFERROR(__xludf.DUMMYFUNCTION("""COMPUTED_VALUE"""),"Fermentando")</f>
        <v>Fermentando</v>
      </c>
      <c r="L1578" s="2" t="str">
        <f ca="1">IFERROR(__xludf.DUMMYFUNCTION("""COMPUTED_VALUE"""),"1")</f>
        <v>1</v>
      </c>
      <c r="M1578" s="2" t="str">
        <f ca="1">IFERROR(__xludf.DUMMYFUNCTION("""COMPUTED_VALUE"""),"Tinto")</f>
        <v>Tinto</v>
      </c>
    </row>
    <row r="1579" spans="1:13" x14ac:dyDescent="0.25">
      <c r="A1579" s="2" t="str">
        <f ca="1">IFERROR(__xludf.DUMMYFUNCTION("""COMPUTED_VALUE"""),"d12e5727")</f>
        <v>d12e5727</v>
      </c>
      <c r="B1579" s="2"/>
      <c r="C1579" s="5">
        <f ca="1">IFERROR(__xludf.DUMMYFUNCTION("""COMPUTED_VALUE"""),46099.7563425925)</f>
        <v>46099.756342592496</v>
      </c>
      <c r="D1579" s="2">
        <f ca="1">IFERROR(__xludf.DUMMYFUNCTION("""COMPUTED_VALUE"""),77)</f>
        <v>77</v>
      </c>
      <c r="E1579" s="2">
        <f ca="1">IFERROR(__xludf.DUMMYFUNCTION("""COMPUTED_VALUE"""),26000)</f>
        <v>26000</v>
      </c>
      <c r="F1579" s="2" t="str">
        <f ca="1">IFERROR(__xludf.DUMMYFUNCTION("""COMPUTED_VALUE"""),"Torrontes")</f>
        <v>Torrontes</v>
      </c>
      <c r="G1579" s="2"/>
      <c r="H1579" s="2">
        <f ca="1">IFERROR(__xludf.DUMMYFUNCTION("""COMPUTED_VALUE"""),30100)</f>
        <v>30100</v>
      </c>
      <c r="I1579" s="2" t="str">
        <f ca="1">IFERROR(__xludf.DUMMYFUNCTION("""COMPUTED_VALUE"""),"Agregar un kilo de fosfato para reforzar fermentación")</f>
        <v>Agregar un kilo de fosfato para reforzar fermentación</v>
      </c>
      <c r="J1579" s="2" t="str">
        <f ca="1">IFERROR(__xludf.DUMMYFUNCTION("""COMPUTED_VALUE"""),"6326 , 6327 , 6328 , 6329 , 6330")</f>
        <v>6326 , 6327 , 6328 , 6329 , 6330</v>
      </c>
      <c r="K1579" s="2" t="str">
        <f ca="1">IFERROR(__xludf.DUMMYFUNCTION("""COMPUTED_VALUE"""),"Fermentando")</f>
        <v>Fermentando</v>
      </c>
      <c r="L1579" s="2" t="str">
        <f ca="1">IFERROR(__xludf.DUMMYFUNCTION("""COMPUTED_VALUE"""),"1-")</f>
        <v>1-</v>
      </c>
      <c r="M1579" s="2" t="str">
        <f ca="1">IFERROR(__xludf.DUMMYFUNCTION("""COMPUTED_VALUE"""),"Blanco")</f>
        <v>Blanco</v>
      </c>
    </row>
    <row r="1580" spans="1:13" x14ac:dyDescent="0.25">
      <c r="A1580" s="2" t="str">
        <f ca="1">IFERROR(__xludf.DUMMYFUNCTION("""COMPUTED_VALUE"""),"83d2d6b4")</f>
        <v>83d2d6b4</v>
      </c>
      <c r="B1580" s="2"/>
      <c r="C1580" s="5">
        <f ca="1">IFERROR(__xludf.DUMMYFUNCTION("""COMPUTED_VALUE"""),46099.7609143518)</f>
        <v>46099.760914351798</v>
      </c>
      <c r="D1580" s="2">
        <f ca="1">IFERROR(__xludf.DUMMYFUNCTION("""COMPUTED_VALUE"""),14)</f>
        <v>14</v>
      </c>
      <c r="E1580" s="2">
        <f ca="1">IFERROR(__xludf.DUMMYFUNCTION("""COMPUTED_VALUE"""),37000)</f>
        <v>37000</v>
      </c>
      <c r="F1580" s="2" t="str">
        <f ca="1">IFERROR(__xludf.DUMMYFUNCTION("""COMPUTED_VALUE"""),"Borra Torrontes")</f>
        <v>Borra Torrontes</v>
      </c>
      <c r="G1580" s="2">
        <f ca="1">IFERROR(__xludf.DUMMYFUNCTION("""COMPUTED_VALUE"""),0)</f>
        <v>0</v>
      </c>
      <c r="H1580" s="2">
        <f ca="1">IFERROR(__xludf.DUMMYFUNCTION("""COMPUTED_VALUE"""),2000)</f>
        <v>2000</v>
      </c>
      <c r="I1580" s="2"/>
      <c r="J1580" s="2"/>
      <c r="K1580" s="2" t="str">
        <f ca="1">IFERROR(__xludf.DUMMYFUNCTION("""COMPUTED_VALUE"""),"Fermentando")</f>
        <v>Fermentando</v>
      </c>
      <c r="L1580" s="2"/>
      <c r="M1580" s="2" t="str">
        <f ca="1">IFERROR(__xludf.DUMMYFUNCTION("""COMPUTED_VALUE"""),"Blanco")</f>
        <v>Blanco</v>
      </c>
    </row>
    <row r="1581" spans="1:13" x14ac:dyDescent="0.25">
      <c r="A1581" s="2" t="str">
        <f ca="1">IFERROR(__xludf.DUMMYFUNCTION("""COMPUTED_VALUE"""),"8ea83d94")</f>
        <v>8ea83d94</v>
      </c>
      <c r="B1581" s="2"/>
      <c r="C1581" s="5">
        <f ca="1">IFERROR(__xludf.DUMMYFUNCTION("""COMPUTED_VALUE"""),46099.761261574)</f>
        <v>46099.761261574</v>
      </c>
      <c r="D1581" s="2">
        <f ca="1">IFERROR(__xludf.DUMMYFUNCTION("""COMPUTED_VALUE"""),75)</f>
        <v>75</v>
      </c>
      <c r="E1581" s="2">
        <f ca="1">IFERROR(__xludf.DUMMYFUNCTION("""COMPUTED_VALUE"""),7000)</f>
        <v>7000</v>
      </c>
      <c r="F1581" s="2" t="str">
        <f ca="1">IFERROR(__xludf.DUMMYFUNCTION("""COMPUTED_VALUE"""),"Torrontes")</f>
        <v>Torrontes</v>
      </c>
      <c r="G1581" s="2">
        <f ca="1">IFERROR(__xludf.DUMMYFUNCTION("""COMPUTED_VALUE"""),0)</f>
        <v>0</v>
      </c>
      <c r="H1581" s="2">
        <f ca="1">IFERROR(__xludf.DUMMYFUNCTION("""COMPUTED_VALUE"""),4000)</f>
        <v>4000</v>
      </c>
      <c r="I1581" s="2"/>
      <c r="J1581" s="2"/>
      <c r="K1581" s="2" t="str">
        <f ca="1">IFERROR(__xludf.DUMMYFUNCTION("""COMPUTED_VALUE"""),"Fermentando")</f>
        <v>Fermentando</v>
      </c>
      <c r="L1581" s="2"/>
      <c r="M1581" s="2" t="str">
        <f ca="1">IFERROR(__xludf.DUMMYFUNCTION("""COMPUTED_VALUE"""),"Blanco")</f>
        <v>Blanco</v>
      </c>
    </row>
    <row r="1582" spans="1:13" x14ac:dyDescent="0.25">
      <c r="A1582" s="2" t="str">
        <f ca="1">IFERROR(__xludf.DUMMYFUNCTION("""COMPUTED_VALUE"""),"b21af4e4")</f>
        <v>b21af4e4</v>
      </c>
      <c r="B1582" s="2"/>
      <c r="C1582" s="5">
        <f ca="1">IFERROR(__xludf.DUMMYFUNCTION("""COMPUTED_VALUE"""),46099.771412037)</f>
        <v>46099.771412037</v>
      </c>
      <c r="D1582" s="2">
        <f ca="1">IFERROR(__xludf.DUMMYFUNCTION("""COMPUTED_VALUE"""),84)</f>
        <v>84</v>
      </c>
      <c r="E1582" s="2">
        <f ca="1">IFERROR(__xludf.DUMMYFUNCTION("""COMPUTED_VALUE"""),83000)</f>
        <v>83000</v>
      </c>
      <c r="F1582" s="2" t="str">
        <f ca="1">IFERROR(__xludf.DUMMYFUNCTION("""COMPUTED_VALUE"""),"Malbec Man")</f>
        <v>Malbec Man</v>
      </c>
      <c r="G1582" s="2"/>
      <c r="H1582" s="2">
        <f ca="1">IFERROR(__xludf.DUMMYFUNCTION("""COMPUTED_VALUE"""),51200)</f>
        <v>51200</v>
      </c>
      <c r="I1582" s="2"/>
      <c r="J1582" s="2" t="str">
        <f ca="1">IFERROR(__xludf.DUMMYFUNCTION("""COMPUTED_VALUE"""),"6336 , 6335 , 6339 , 6341 , 6343 , 6346 , 6349 , 6352")</f>
        <v>6336 , 6335 , 6339 , 6341 , 6343 , 6346 , 6349 , 6352</v>
      </c>
      <c r="K1582" s="2" t="str">
        <f ca="1">IFERROR(__xludf.DUMMYFUNCTION("""COMPUTED_VALUE"""),"Fermentando")</f>
        <v>Fermentando</v>
      </c>
      <c r="L1582" s="2" t="str">
        <f ca="1">IFERROR(__xludf.DUMMYFUNCTION("""COMPUTED_VALUE"""),"1")</f>
        <v>1</v>
      </c>
      <c r="M1582" s="2" t="str">
        <f ca="1">IFERROR(__xludf.DUMMYFUNCTION("""COMPUTED_VALUE"""),"Tinto")</f>
        <v>Tinto</v>
      </c>
    </row>
    <row r="1583" spans="1:13" x14ac:dyDescent="0.25">
      <c r="A1583" s="2" t="str">
        <f ca="1">IFERROR(__xludf.DUMMYFUNCTION("""COMPUTED_VALUE"""),"77b128c1")</f>
        <v>77b128c1</v>
      </c>
      <c r="B1583" s="2"/>
      <c r="C1583" s="5">
        <f ca="1">IFERROR(__xludf.DUMMYFUNCTION("""COMPUTED_VALUE"""),46099.7722685185)</f>
        <v>46099.7722685185</v>
      </c>
      <c r="D1583" s="2">
        <f ca="1">IFERROR(__xludf.DUMMYFUNCTION("""COMPUTED_VALUE"""),91)</f>
        <v>91</v>
      </c>
      <c r="E1583" s="2">
        <f ca="1">IFERROR(__xludf.DUMMYFUNCTION("""COMPUTED_VALUE"""),86000)</f>
        <v>86000</v>
      </c>
      <c r="F1583" s="2" t="str">
        <f ca="1">IFERROR(__xludf.DUMMYFUNCTION("""COMPUTED_VALUE"""),"Cabernet Sauvignon")</f>
        <v>Cabernet Sauvignon</v>
      </c>
      <c r="G1583" s="2"/>
      <c r="H1583" s="2">
        <f ca="1">IFERROR(__xludf.DUMMYFUNCTION("""COMPUTED_VALUE"""),1)</f>
        <v>1</v>
      </c>
      <c r="I1583" s="2"/>
      <c r="J1583" s="2">
        <f ca="1">IFERROR(__xludf.DUMMYFUNCTION("""COMPUTED_VALUE"""),6337)</f>
        <v>6337</v>
      </c>
      <c r="K1583" s="2" t="str">
        <f ca="1">IFERROR(__xludf.DUMMYFUNCTION("""COMPUTED_VALUE"""),"Fermentando")</f>
        <v>Fermentando</v>
      </c>
      <c r="L1583" s="2"/>
      <c r="M1583" s="2" t="str">
        <f ca="1">IFERROR(__xludf.DUMMYFUNCTION("""COMPUTED_VALUE"""),"Tinto")</f>
        <v>Tinto</v>
      </c>
    </row>
    <row r="1584" spans="1:13" x14ac:dyDescent="0.25">
      <c r="A1584" s="2" t="str">
        <f ca="1">IFERROR(__xludf.DUMMYFUNCTION("""COMPUTED_VALUE"""),"b6cb38ec")</f>
        <v>b6cb38ec</v>
      </c>
      <c r="B1584" s="2"/>
      <c r="C1584" s="5">
        <f ca="1">IFERROR(__xludf.DUMMYFUNCTION("""COMPUTED_VALUE"""),46099.7733333333)</f>
        <v>46099.773333333302</v>
      </c>
      <c r="D1584" s="2">
        <f ca="1">IFERROR(__xludf.DUMMYFUNCTION("""COMPUTED_VALUE"""),80)</f>
        <v>80</v>
      </c>
      <c r="E1584" s="2">
        <f ca="1">IFERROR(__xludf.DUMMYFUNCTION("""COMPUTED_VALUE"""),26100)</f>
        <v>26100</v>
      </c>
      <c r="F1584" s="2" t="str">
        <f ca="1">IFERROR(__xludf.DUMMYFUNCTION("""COMPUTED_VALUE"""),"Pedro Gimenez")</f>
        <v>Pedro Gimenez</v>
      </c>
      <c r="G1584" s="2"/>
      <c r="H1584" s="2">
        <f ca="1">IFERROR(__xludf.DUMMYFUNCTION("""COMPUTED_VALUE"""),16000)</f>
        <v>16000</v>
      </c>
      <c r="I1584" s="2"/>
      <c r="J1584" s="2" t="str">
        <f ca="1">IFERROR(__xludf.DUMMYFUNCTION("""COMPUTED_VALUE"""),"6334 , 6333 , 6338")</f>
        <v>6334 , 6333 , 6338</v>
      </c>
      <c r="K1584" s="2" t="str">
        <f ca="1">IFERROR(__xludf.DUMMYFUNCTION("""COMPUTED_VALUE"""),"Fermentando")</f>
        <v>Fermentando</v>
      </c>
      <c r="L1584" s="2"/>
      <c r="M1584" s="2" t="str">
        <f ca="1">IFERROR(__xludf.DUMMYFUNCTION("""COMPUTED_VALUE"""),"Blanco")</f>
        <v>Blanco</v>
      </c>
    </row>
    <row r="1585" spans="1:13" x14ac:dyDescent="0.25">
      <c r="A1585" s="2" t="str">
        <f ca="1">IFERROR(__xludf.DUMMYFUNCTION("""COMPUTED_VALUE"""),"44461346")</f>
        <v>44461346</v>
      </c>
      <c r="B1585" s="2"/>
      <c r="C1585" s="5">
        <f ca="1">IFERROR(__xludf.DUMMYFUNCTION("""COMPUTED_VALUE"""),46100.8284027777)</f>
        <v>46100.828402777697</v>
      </c>
      <c r="D1585" s="2">
        <f ca="1">IFERROR(__xludf.DUMMYFUNCTION("""COMPUTED_VALUE"""),91)</f>
        <v>91</v>
      </c>
      <c r="E1585" s="2">
        <f ca="1">IFERROR(__xludf.DUMMYFUNCTION("""COMPUTED_VALUE"""),86000)</f>
        <v>86000</v>
      </c>
      <c r="F1585" s="2" t="str">
        <f ca="1">IFERROR(__xludf.DUMMYFUNCTION("""COMPUTED_VALUE"""),"Cabernet Sauv")</f>
        <v>Cabernet Sauv</v>
      </c>
      <c r="G1585" s="2"/>
      <c r="H1585" s="2">
        <f ca="1">IFERROR(__xludf.DUMMYFUNCTION("""COMPUTED_VALUE"""),43400)</f>
        <v>43400</v>
      </c>
      <c r="I1585" s="2"/>
      <c r="J1585" s="2" t="str">
        <f ca="1">IFERROR(__xludf.DUMMYFUNCTION("""COMPUTED_VALUE"""),"6342 , 6347 , 6348 , 6351 , 6353 , 6354")</f>
        <v>6342 , 6347 , 6348 , 6351 , 6353 , 6354</v>
      </c>
      <c r="K1585" s="2" t="str">
        <f ca="1">IFERROR(__xludf.DUMMYFUNCTION("""COMPUTED_VALUE"""),"Fermentando")</f>
        <v>Fermentando</v>
      </c>
      <c r="L1585" s="2" t="str">
        <f ca="1">IFERROR(__xludf.DUMMYFUNCTION("""COMPUTED_VALUE"""),"1-")</f>
        <v>1-</v>
      </c>
      <c r="M1585" s="2" t="str">
        <f ca="1">IFERROR(__xludf.DUMMYFUNCTION("""COMPUTED_VALUE"""),"Tinto")</f>
        <v>Tinto</v>
      </c>
    </row>
    <row r="1586" spans="1:13" x14ac:dyDescent="0.25">
      <c r="A1586" s="2" t="str">
        <f ca="1">IFERROR(__xludf.DUMMYFUNCTION("""COMPUTED_VALUE"""),"207f29ea")</f>
        <v>207f29ea</v>
      </c>
      <c r="B1586" s="2"/>
      <c r="C1586" s="5">
        <f ca="1">IFERROR(__xludf.DUMMYFUNCTION("""COMPUTED_VALUE"""),46100.8321064814)</f>
        <v>46100.832106481401</v>
      </c>
      <c r="D1586" s="2">
        <f ca="1">IFERROR(__xludf.DUMMYFUNCTION("""COMPUTED_VALUE"""),500)</f>
        <v>500</v>
      </c>
      <c r="E1586" s="2">
        <f ca="1">IFERROR(__xludf.DUMMYFUNCTION("""COMPUTED_VALUE"""),200000)</f>
        <v>200000</v>
      </c>
      <c r="F1586" s="2" t="str">
        <f ca="1">IFERROR(__xludf.DUMMYFUNCTION("""COMPUTED_VALUE"""),"Ajuste semana 13/02/2025")</f>
        <v>Ajuste semana 13/02/2025</v>
      </c>
      <c r="G1586" s="2">
        <f ca="1">IFERROR(__xludf.DUMMYFUNCTION("""COMPUTED_VALUE"""),57600)</f>
        <v>57600</v>
      </c>
      <c r="H1586" s="2">
        <f ca="1">IFERROR(__xludf.DUMMYFUNCTION("""COMPUTED_VALUE"""),60500)</f>
        <v>60500</v>
      </c>
      <c r="I1586" s="2"/>
      <c r="J1586" s="2"/>
      <c r="K1586" s="2" t="str">
        <f ca="1">IFERROR(__xludf.DUMMYFUNCTION("""COMPUTED_VALUE"""),"Terminado")</f>
        <v>Terminado</v>
      </c>
      <c r="L1586" s="2"/>
      <c r="M1586" s="2"/>
    </row>
    <row r="1587" spans="1:13" x14ac:dyDescent="0.25">
      <c r="A1587" s="2" t="str">
        <f ca="1">IFERROR(__xludf.DUMMYFUNCTION("""COMPUTED_VALUE"""),"c8c0b1ea")</f>
        <v>c8c0b1ea</v>
      </c>
      <c r="B1587" s="2"/>
      <c r="C1587" s="5">
        <f ca="1">IFERROR(__xludf.DUMMYFUNCTION("""COMPUTED_VALUE"""),46100.8327314814)</f>
        <v>46100.832731481401</v>
      </c>
      <c r="D1587" s="2">
        <f ca="1">IFERROR(__xludf.DUMMYFUNCTION("""COMPUTED_VALUE"""),8)</f>
        <v>8</v>
      </c>
      <c r="E1587" s="2">
        <f ca="1">IFERROR(__xludf.DUMMYFUNCTION("""COMPUTED_VALUE"""),22000)</f>
        <v>22000</v>
      </c>
      <c r="F1587" s="2" t="str">
        <f ca="1">IFERROR(__xludf.DUMMYFUNCTION("""COMPUTED_VALUE"""),"Torrontes Rect")</f>
        <v>Torrontes Rect</v>
      </c>
      <c r="G1587" s="2">
        <f ca="1">IFERROR(__xludf.DUMMYFUNCTION("""COMPUTED_VALUE"""),0)</f>
        <v>0</v>
      </c>
      <c r="H1587" s="2">
        <f ca="1">IFERROR(__xludf.DUMMYFUNCTION("""COMPUTED_VALUE"""),4000)</f>
        <v>4000</v>
      </c>
      <c r="I1587" s="2"/>
      <c r="J1587" s="2"/>
      <c r="K1587" s="2" t="str">
        <f ca="1">IFERROR(__xludf.DUMMYFUNCTION("""COMPUTED_VALUE"""),"Rectificado")</f>
        <v>Rectificado</v>
      </c>
      <c r="L1587" s="2"/>
      <c r="M1587" s="2" t="str">
        <f ca="1">IFERROR(__xludf.DUMMYFUNCTION("""COMPUTED_VALUE"""),"Blanco")</f>
        <v>Blanco</v>
      </c>
    </row>
    <row r="1588" spans="1:13" x14ac:dyDescent="0.25">
      <c r="A1588" s="2" t="str">
        <f ca="1">IFERROR(__xludf.DUMMYFUNCTION("""COMPUTED_VALUE"""),"b6ab5b2e")</f>
        <v>b6ab5b2e</v>
      </c>
      <c r="B1588" s="2"/>
      <c r="C1588" s="5">
        <f ca="1">IFERROR(__xludf.DUMMYFUNCTION("""COMPUTED_VALUE"""),46100.8332060185)</f>
        <v>46100.833206018498</v>
      </c>
      <c r="D1588" s="2">
        <f ca="1">IFERROR(__xludf.DUMMYFUNCTION("""COMPUTED_VALUE"""),8)</f>
        <v>8</v>
      </c>
      <c r="E1588" s="2">
        <f ca="1">IFERROR(__xludf.DUMMYFUNCTION("""COMPUTED_VALUE"""),22000)</f>
        <v>22000</v>
      </c>
      <c r="F1588" s="2" t="str">
        <f ca="1">IFERROR(__xludf.DUMMYFUNCTION("""COMPUTED_VALUE"""),"Torrontes Rect")</f>
        <v>Torrontes Rect</v>
      </c>
      <c r="G1588" s="2">
        <f ca="1">IFERROR(__xludf.DUMMYFUNCTION("""COMPUTED_VALUE"""),4000)</f>
        <v>4000</v>
      </c>
      <c r="H1588" s="2">
        <f ca="1">IFERROR(__xludf.DUMMYFUNCTION("""COMPUTED_VALUE"""),12000)</f>
        <v>12000</v>
      </c>
      <c r="I1588" s="2"/>
      <c r="J1588" s="2"/>
      <c r="K1588" s="2" t="str">
        <f ca="1">IFERROR(__xludf.DUMMYFUNCTION("""COMPUTED_VALUE"""),"Rectificado")</f>
        <v>Rectificado</v>
      </c>
      <c r="L1588" s="2"/>
      <c r="M1588" s="2" t="str">
        <f ca="1">IFERROR(__xludf.DUMMYFUNCTION("""COMPUTED_VALUE"""),"Blanco")</f>
        <v>Blanco</v>
      </c>
    </row>
    <row r="1589" spans="1:13" x14ac:dyDescent="0.25">
      <c r="A1589" s="2" t="str">
        <f ca="1">IFERROR(__xludf.DUMMYFUNCTION("""COMPUTED_VALUE"""),"3a5b57ea")</f>
        <v>3a5b57ea</v>
      </c>
      <c r="B1589" s="2"/>
      <c r="C1589" s="5">
        <f ca="1">IFERROR(__xludf.DUMMYFUNCTION("""COMPUTED_VALUE"""),46100.8350578703)</f>
        <v>46100.835057870303</v>
      </c>
      <c r="D1589" s="2">
        <f ca="1">IFERROR(__xludf.DUMMYFUNCTION("""COMPUTED_VALUE"""),48)</f>
        <v>48</v>
      </c>
      <c r="E1589" s="2">
        <f ca="1">IFERROR(__xludf.DUMMYFUNCTION("""COMPUTED_VALUE"""),26000)</f>
        <v>26000</v>
      </c>
      <c r="F1589" s="2" t="str">
        <f ca="1">IFERROR(__xludf.DUMMYFUNCTION("""COMPUTED_VALUE"""),"Torrontes Viog")</f>
        <v>Torrontes Viog</v>
      </c>
      <c r="G1589" s="2">
        <f ca="1">IFERROR(__xludf.DUMMYFUNCTION("""COMPUTED_VALUE"""),0)</f>
        <v>0</v>
      </c>
      <c r="H1589" s="2">
        <f ca="1">IFERROR(__xludf.DUMMYFUNCTION("""COMPUTED_VALUE"""),25800)</f>
        <v>25800</v>
      </c>
      <c r="I1589" s="2"/>
      <c r="J1589" s="2"/>
      <c r="K1589" s="2" t="str">
        <f ca="1">IFERROR(__xludf.DUMMYFUNCTION("""COMPUTED_VALUE"""),"Descubada")</f>
        <v>Descubada</v>
      </c>
      <c r="L1589" s="2" t="str">
        <f ca="1">IFERROR(__xludf.DUMMYFUNCTION("""COMPUTED_VALUE"""),"1+")</f>
        <v>1+</v>
      </c>
      <c r="M1589" s="2" t="str">
        <f ca="1">IFERROR(__xludf.DUMMYFUNCTION("""COMPUTED_VALUE"""),"Blanco")</f>
        <v>Blanco</v>
      </c>
    </row>
    <row r="1590" spans="1:13" x14ac:dyDescent="0.25">
      <c r="A1590" s="2" t="str">
        <f ca="1">IFERROR(__xludf.DUMMYFUNCTION("""COMPUTED_VALUE"""),"7cb704de")</f>
        <v>7cb704de</v>
      </c>
      <c r="B1590" s="2"/>
      <c r="C1590" s="5">
        <f ca="1">IFERROR(__xludf.DUMMYFUNCTION("""COMPUTED_VALUE"""),46100.8355208333)</f>
        <v>46100.835520833301</v>
      </c>
      <c r="D1590" s="2">
        <f ca="1">IFERROR(__xludf.DUMMYFUNCTION("""COMPUTED_VALUE"""),48)</f>
        <v>48</v>
      </c>
      <c r="E1590" s="2">
        <f ca="1">IFERROR(__xludf.DUMMYFUNCTION("""COMPUTED_VALUE"""),26000)</f>
        <v>26000</v>
      </c>
      <c r="F1590" s="2" t="str">
        <f ca="1">IFERROR(__xludf.DUMMYFUNCTION("""COMPUTED_VALUE"""),"Torrontes Viog")</f>
        <v>Torrontes Viog</v>
      </c>
      <c r="G1590" s="2">
        <f ca="1">IFERROR(__xludf.DUMMYFUNCTION("""COMPUTED_VALUE"""),25800)</f>
        <v>25800</v>
      </c>
      <c r="H1590" s="2">
        <f ca="1">IFERROR(__xludf.DUMMYFUNCTION("""COMPUTED_VALUE"""),26000)</f>
        <v>26000</v>
      </c>
      <c r="I1590" s="2"/>
      <c r="J1590" s="2"/>
      <c r="K1590" s="2" t="str">
        <f ca="1">IFERROR(__xludf.DUMMYFUNCTION("""COMPUTED_VALUE"""),"Descubada")</f>
        <v>Descubada</v>
      </c>
      <c r="L1590" s="2" t="str">
        <f ca="1">IFERROR(__xludf.DUMMYFUNCTION("""COMPUTED_VALUE"""),"1+")</f>
        <v>1+</v>
      </c>
      <c r="M1590" s="2" t="str">
        <f ca="1">IFERROR(__xludf.DUMMYFUNCTION("""COMPUTED_VALUE"""),"Blanco")</f>
        <v>Blanco</v>
      </c>
    </row>
    <row r="1591" spans="1:13" x14ac:dyDescent="0.25">
      <c r="A1591" s="2" t="str">
        <f ca="1">IFERROR(__xludf.DUMMYFUNCTION("""COMPUTED_VALUE"""),"5d1f812a")</f>
        <v>5d1f812a</v>
      </c>
      <c r="B1591" s="2"/>
      <c r="C1591" s="5">
        <f ca="1">IFERROR(__xludf.DUMMYFUNCTION("""COMPUTED_VALUE"""),46100.8357523148)</f>
        <v>46100.835752314801</v>
      </c>
      <c r="D1591" s="2">
        <f ca="1">IFERROR(__xludf.DUMMYFUNCTION("""COMPUTED_VALUE"""),47)</f>
        <v>47</v>
      </c>
      <c r="E1591" s="2">
        <f ca="1">IFERROR(__xludf.DUMMYFUNCTION("""COMPUTED_VALUE"""),20000)</f>
        <v>20000</v>
      </c>
      <c r="F1591" s="2" t="str">
        <f ca="1">IFERROR(__xludf.DUMMYFUNCTION("""COMPUTED_VALUE"""),"Chardonnay")</f>
        <v>Chardonnay</v>
      </c>
      <c r="G1591" s="2">
        <f ca="1">IFERROR(__xludf.DUMMYFUNCTION("""COMPUTED_VALUE"""),0)</f>
        <v>0</v>
      </c>
      <c r="H1591" s="2">
        <f ca="1">IFERROR(__xludf.DUMMYFUNCTION("""COMPUTED_VALUE"""),20000)</f>
        <v>20000</v>
      </c>
      <c r="I1591" s="2"/>
      <c r="J1591" s="2"/>
      <c r="K1591" s="2" t="str">
        <f ca="1">IFERROR(__xludf.DUMMYFUNCTION("""COMPUTED_VALUE"""),"Descubada")</f>
        <v>Descubada</v>
      </c>
      <c r="L1591" s="2" t="str">
        <f ca="1">IFERROR(__xludf.DUMMYFUNCTION("""COMPUTED_VALUE"""),"1")</f>
        <v>1</v>
      </c>
      <c r="M1591" s="2" t="str">
        <f ca="1">IFERROR(__xludf.DUMMYFUNCTION("""COMPUTED_VALUE"""),"Blanco")</f>
        <v>Blanco</v>
      </c>
    </row>
    <row r="1592" spans="1:13" x14ac:dyDescent="0.25">
      <c r="A1592" s="2" t="str">
        <f ca="1">IFERROR(__xludf.DUMMYFUNCTION("""COMPUTED_VALUE"""),"c77c499a")</f>
        <v>c77c499a</v>
      </c>
      <c r="B1592" s="2"/>
      <c r="C1592" s="5">
        <f ca="1">IFERROR(__xludf.DUMMYFUNCTION("""COMPUTED_VALUE"""),46100.8363078703)</f>
        <v>46100.836307870297</v>
      </c>
      <c r="D1592" s="2">
        <f ca="1">IFERROR(__xludf.DUMMYFUNCTION("""COMPUTED_VALUE"""),51)</f>
        <v>51</v>
      </c>
      <c r="E1592" s="2">
        <f ca="1">IFERROR(__xludf.DUMMYFUNCTION("""COMPUTED_VALUE"""),3900)</f>
        <v>3900</v>
      </c>
      <c r="F1592" s="2" t="str">
        <f ca="1">IFERROR(__xludf.DUMMYFUNCTION("""COMPUTED_VALUE"""),"Chardonnay")</f>
        <v>Chardonnay</v>
      </c>
      <c r="G1592" s="2">
        <f ca="1">IFERROR(__xludf.DUMMYFUNCTION("""COMPUTED_VALUE"""),0)</f>
        <v>0</v>
      </c>
      <c r="H1592" s="2">
        <f ca="1">IFERROR(__xludf.DUMMYFUNCTION("""COMPUTED_VALUE"""),3500)</f>
        <v>3500</v>
      </c>
      <c r="I1592" s="2"/>
      <c r="J1592" s="2"/>
      <c r="K1592" s="2" t="str">
        <f ca="1">IFERROR(__xludf.DUMMYFUNCTION("""COMPUTED_VALUE"""),"Fermentando")</f>
        <v>Fermentando</v>
      </c>
      <c r="L1592" s="2" t="str">
        <f ca="1">IFERROR(__xludf.DUMMYFUNCTION("""COMPUTED_VALUE"""),"1")</f>
        <v>1</v>
      </c>
      <c r="M1592" s="2" t="str">
        <f ca="1">IFERROR(__xludf.DUMMYFUNCTION("""COMPUTED_VALUE"""),"Blanco")</f>
        <v>Blanco</v>
      </c>
    </row>
    <row r="1593" spans="1:13" x14ac:dyDescent="0.25">
      <c r="A1593" s="2" t="str">
        <f ca="1">IFERROR(__xludf.DUMMYFUNCTION("""COMPUTED_VALUE"""),"0354076e")</f>
        <v>0354076e</v>
      </c>
      <c r="B1593" s="2"/>
      <c r="C1593" s="5">
        <f ca="1">IFERROR(__xludf.DUMMYFUNCTION("""COMPUTED_VALUE"""),46100.8367824074)</f>
        <v>46100.836782407401</v>
      </c>
      <c r="D1593" s="2">
        <f ca="1">IFERROR(__xludf.DUMMYFUNCTION("""COMPUTED_VALUE"""),500)</f>
        <v>500</v>
      </c>
      <c r="E1593" s="2">
        <f ca="1">IFERROR(__xludf.DUMMYFUNCTION("""COMPUTED_VALUE"""),200000)</f>
        <v>200000</v>
      </c>
      <c r="F1593" s="2" t="str">
        <f ca="1">IFERROR(__xludf.DUMMYFUNCTION("""COMPUTED_VALUE"""),"Chardonnay")</f>
        <v>Chardonnay</v>
      </c>
      <c r="G1593" s="2">
        <f ca="1">IFERROR(__xludf.DUMMYFUNCTION("""COMPUTED_VALUE"""),60500)</f>
        <v>60500</v>
      </c>
      <c r="H1593" s="2">
        <f ca="1">IFERROR(__xludf.DUMMYFUNCTION("""COMPUTED_VALUE"""),62300)</f>
        <v>62300</v>
      </c>
      <c r="I1593" s="2"/>
      <c r="J1593" s="2"/>
      <c r="K1593" s="2" t="str">
        <f ca="1">IFERROR(__xludf.DUMMYFUNCTION("""COMPUTED_VALUE"""),"Fermentando")</f>
        <v>Fermentando</v>
      </c>
      <c r="L1593" s="2" t="str">
        <f ca="1">IFERROR(__xludf.DUMMYFUNCTION("""COMPUTED_VALUE"""),"1")</f>
        <v>1</v>
      </c>
      <c r="M1593" s="2" t="str">
        <f ca="1">IFERROR(__xludf.DUMMYFUNCTION("""COMPUTED_VALUE"""),"Blanco")</f>
        <v>Blanco</v>
      </c>
    </row>
    <row r="1594" spans="1:13" x14ac:dyDescent="0.25">
      <c r="A1594" s="2" t="str">
        <f ca="1">IFERROR(__xludf.DUMMYFUNCTION("""COMPUTED_VALUE"""),"515ed17d")</f>
        <v>515ed17d</v>
      </c>
      <c r="B1594" s="2"/>
      <c r="C1594" s="5">
        <f ca="1">IFERROR(__xludf.DUMMYFUNCTION("""COMPUTED_VALUE"""),46100.8386111111)</f>
        <v>46100.838611111103</v>
      </c>
      <c r="D1594" s="2">
        <f ca="1">IFERROR(__xludf.DUMMYFUNCTION("""COMPUTED_VALUE"""),42)</f>
        <v>42</v>
      </c>
      <c r="E1594" s="2">
        <f ca="1">IFERROR(__xludf.DUMMYFUNCTION("""COMPUTED_VALUE"""),35900)</f>
        <v>35900</v>
      </c>
      <c r="F1594" s="2" t="str">
        <f ca="1">IFERROR(__xludf.DUMMYFUNCTION("""COMPUTED_VALUE"""),"Pedro Gimenez Rect")</f>
        <v>Pedro Gimenez Rect</v>
      </c>
      <c r="G1594" s="2">
        <f ca="1">IFERROR(__xludf.DUMMYFUNCTION("""COMPUTED_VALUE"""),0)</f>
        <v>0</v>
      </c>
      <c r="H1594" s="2">
        <f ca="1">IFERROR(__xludf.DUMMYFUNCTION("""COMPUTED_VALUE"""),7000)</f>
        <v>7000</v>
      </c>
      <c r="I1594" s="2"/>
      <c r="J1594" s="2"/>
      <c r="K1594" s="2" t="str">
        <f ca="1">IFERROR(__xludf.DUMMYFUNCTION("""COMPUTED_VALUE"""),"Rectificado")</f>
        <v>Rectificado</v>
      </c>
      <c r="L1594" s="2"/>
      <c r="M1594" s="2" t="str">
        <f ca="1">IFERROR(__xludf.DUMMYFUNCTION("""COMPUTED_VALUE"""),"Blanco")</f>
        <v>Blanco</v>
      </c>
    </row>
    <row r="1595" spans="1:13" x14ac:dyDescent="0.25">
      <c r="A1595" s="2" t="str">
        <f ca="1">IFERROR(__xludf.DUMMYFUNCTION("""COMPUTED_VALUE"""),"6f795374")</f>
        <v>6f795374</v>
      </c>
      <c r="B1595" s="2"/>
      <c r="C1595" s="5">
        <f ca="1">IFERROR(__xludf.DUMMYFUNCTION("""COMPUTED_VALUE"""),46100.8397569444)</f>
        <v>46100.839756944399</v>
      </c>
      <c r="D1595" s="2">
        <f ca="1">IFERROR(__xludf.DUMMYFUNCTION("""COMPUTED_VALUE"""),80)</f>
        <v>80</v>
      </c>
      <c r="E1595" s="2">
        <f ca="1">IFERROR(__xludf.DUMMYFUNCTION("""COMPUTED_VALUE"""),26100)</f>
        <v>26100</v>
      </c>
      <c r="F1595" s="2" t="str">
        <f ca="1">IFERROR(__xludf.DUMMYFUNCTION("""COMPUTED_VALUE"""),"Pedro Gimenez")</f>
        <v>Pedro Gimenez</v>
      </c>
      <c r="G1595" s="2">
        <f ca="1">IFERROR(__xludf.DUMMYFUNCTION("""COMPUTED_VALUE"""),9000)</f>
        <v>9000</v>
      </c>
      <c r="H1595" s="2">
        <f ca="1">IFERROR(__xludf.DUMMYFUNCTION("""COMPUTED_VALUE"""),11000)</f>
        <v>11000</v>
      </c>
      <c r="I1595" s="2"/>
      <c r="J1595" s="2"/>
      <c r="K1595" s="2" t="str">
        <f ca="1">IFERROR(__xludf.DUMMYFUNCTION("""COMPUTED_VALUE"""),"Fermentando")</f>
        <v>Fermentando</v>
      </c>
      <c r="L1595" s="2"/>
      <c r="M1595" s="2" t="str">
        <f ca="1">IFERROR(__xludf.DUMMYFUNCTION("""COMPUTED_VALUE"""),"Blanco")</f>
        <v>Blanco</v>
      </c>
    </row>
    <row r="1596" spans="1:13" x14ac:dyDescent="0.25">
      <c r="A1596" s="2" t="str">
        <f ca="1">IFERROR(__xludf.DUMMYFUNCTION("""COMPUTED_VALUE"""),"54b0a239")</f>
        <v>54b0a239</v>
      </c>
      <c r="B1596" s="2"/>
      <c r="C1596" s="5">
        <f ca="1">IFERROR(__xludf.DUMMYFUNCTION("""COMPUTED_VALUE"""),46100.8401967592)</f>
        <v>46100.8401967592</v>
      </c>
      <c r="D1596" s="2">
        <f ca="1">IFERROR(__xludf.DUMMYFUNCTION("""COMPUTED_VALUE"""),80)</f>
        <v>80</v>
      </c>
      <c r="E1596" s="2">
        <f ca="1">IFERROR(__xludf.DUMMYFUNCTION("""COMPUTED_VALUE"""),26100)</f>
        <v>26100</v>
      </c>
      <c r="F1596" s="2" t="str">
        <f ca="1">IFERROR(__xludf.DUMMYFUNCTION("""COMPUTED_VALUE"""),"Pedro Gimenez")</f>
        <v>Pedro Gimenez</v>
      </c>
      <c r="G1596" s="2">
        <f ca="1">IFERROR(__xludf.DUMMYFUNCTION("""COMPUTED_VALUE"""),11000)</f>
        <v>11000</v>
      </c>
      <c r="H1596" s="2">
        <f ca="1">IFERROR(__xludf.DUMMYFUNCTION("""COMPUTED_VALUE"""),13000)</f>
        <v>13000</v>
      </c>
      <c r="I1596" s="2"/>
      <c r="J1596" s="2"/>
      <c r="K1596" s="2" t="str">
        <f ca="1">IFERROR(__xludf.DUMMYFUNCTION("""COMPUTED_VALUE"""),"Fermentando")</f>
        <v>Fermentando</v>
      </c>
      <c r="L1596" s="2" t="str">
        <f ca="1">IFERROR(__xludf.DUMMYFUNCTION("""COMPUTED_VALUE"""),"1")</f>
        <v>1</v>
      </c>
      <c r="M1596" s="2" t="str">
        <f ca="1">IFERROR(__xludf.DUMMYFUNCTION("""COMPUTED_VALUE"""),"Blanco")</f>
        <v>Blanco</v>
      </c>
    </row>
    <row r="1597" spans="1:13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</row>
    <row r="1598" spans="1:13" x14ac:dyDescent="0.25">
      <c r="A1598" s="2" t="str">
        <f ca="1">IFERROR(__xludf.DUMMYFUNCTION("""COMPUTED_VALUE"""),"067d11e7")</f>
        <v>067d11e7</v>
      </c>
      <c r="B1598" s="2"/>
      <c r="C1598" s="5">
        <f ca="1">IFERROR(__xludf.DUMMYFUNCTION("""COMPUTED_VALUE"""),46101.7034375)</f>
        <v>46101.7034375</v>
      </c>
      <c r="D1598" s="2">
        <f ca="1">IFERROR(__xludf.DUMMYFUNCTION("""COMPUTED_VALUE"""),92)</f>
        <v>92</v>
      </c>
      <c r="E1598" s="2">
        <f ca="1">IFERROR(__xludf.DUMMYFUNCTION("""COMPUTED_VALUE"""),76000)</f>
        <v>76000</v>
      </c>
      <c r="F1598" s="2" t="str">
        <f ca="1">IFERROR(__xludf.DUMMYFUNCTION("""COMPUTED_VALUE"""),"Cabernet Sauv")</f>
        <v>Cabernet Sauv</v>
      </c>
      <c r="G1598" s="2"/>
      <c r="H1598" s="2">
        <f ca="1">IFERROR(__xludf.DUMMYFUNCTION("""COMPUTED_VALUE"""),48000)</f>
        <v>48000</v>
      </c>
      <c r="I1598" s="2" t="str">
        <f ca="1">IFERROR(__xludf.DUMMYFUNCTION("""COMPUTED_VALUE"""),"Descubar el sabado")</f>
        <v>Descubar el sabado</v>
      </c>
      <c r="J1598" s="2" t="str">
        <f ca="1">IFERROR(__xludf.DUMMYFUNCTION("""COMPUTED_VALUE"""),"6354 , 6355 , 6356 , 6357 , 6358 , 6359")</f>
        <v>6354 , 6355 , 6356 , 6357 , 6358 , 6359</v>
      </c>
      <c r="K1598" s="2" t="str">
        <f ca="1">IFERROR(__xludf.DUMMYFUNCTION("""COMPUTED_VALUE"""),"Fermentando")</f>
        <v>Fermentando</v>
      </c>
      <c r="L1598" s="2" t="str">
        <f ca="1">IFERROR(__xludf.DUMMYFUNCTION("""COMPUTED_VALUE"""),"1")</f>
        <v>1</v>
      </c>
      <c r="M1598" s="2" t="str">
        <f ca="1">IFERROR(__xludf.DUMMYFUNCTION("""COMPUTED_VALUE"""),"Tinto")</f>
        <v>Tinto</v>
      </c>
    </row>
    <row r="1599" spans="1:13" x14ac:dyDescent="0.25">
      <c r="A1599" s="2" t="str">
        <f ca="1">IFERROR(__xludf.DUMMYFUNCTION("""COMPUTED_VALUE"""),"69222465")</f>
        <v>69222465</v>
      </c>
      <c r="B1599" s="2"/>
      <c r="C1599" s="5">
        <f ca="1">IFERROR(__xludf.DUMMYFUNCTION("""COMPUTED_VALUE"""),46101.7235879629)</f>
        <v>46101.723587962901</v>
      </c>
      <c r="D1599" s="2">
        <f ca="1">IFERROR(__xludf.DUMMYFUNCTION("""COMPUTED_VALUE"""),95)</f>
        <v>95</v>
      </c>
      <c r="E1599" s="2">
        <f ca="1">IFERROR(__xludf.DUMMYFUNCTION("""COMPUTED_VALUE"""),77100)</f>
        <v>77100</v>
      </c>
      <c r="F1599" s="2" t="str">
        <f ca="1">IFERROR(__xludf.DUMMYFUNCTION("""COMPUTED_VALUE"""),"Cabernet Sauvignon")</f>
        <v>Cabernet Sauvignon</v>
      </c>
      <c r="G1599" s="2">
        <f ca="1">IFERROR(__xludf.DUMMYFUNCTION("""COMPUTED_VALUE"""),0)</f>
        <v>0</v>
      </c>
      <c r="H1599" s="2">
        <f ca="1">IFERROR(__xludf.DUMMYFUNCTION("""COMPUTED_VALUE"""),4900)</f>
        <v>4900</v>
      </c>
      <c r="I1599" s="2"/>
      <c r="J1599" s="2" t="str">
        <f ca="1">IFERROR(__xludf.DUMMYFUNCTION("""COMPUTED_VALUE"""),"6360 , 6361")</f>
        <v>6360 , 6361</v>
      </c>
      <c r="K1599" s="2" t="str">
        <f ca="1">IFERROR(__xludf.DUMMYFUNCTION("""COMPUTED_VALUE"""),"Fermentando")</f>
        <v>Fermentando</v>
      </c>
      <c r="L1599" s="2"/>
      <c r="M1599" s="2" t="str">
        <f ca="1">IFERROR(__xludf.DUMMYFUNCTION("""COMPUTED_VALUE"""),"Tinto")</f>
        <v>Tinto</v>
      </c>
    </row>
    <row r="1600" spans="1:13" x14ac:dyDescent="0.25">
      <c r="A1600" s="2" t="str">
        <f ca="1">IFERROR(__xludf.DUMMYFUNCTION("""COMPUTED_VALUE"""),"c904d65f")</f>
        <v>c904d65f</v>
      </c>
      <c r="B1600" s="2"/>
      <c r="C1600" s="5">
        <f ca="1">IFERROR(__xludf.DUMMYFUNCTION("""COMPUTED_VALUE"""),46101.7305902777)</f>
        <v>46101.730590277701</v>
      </c>
      <c r="D1600" s="2">
        <f ca="1">IFERROR(__xludf.DUMMYFUNCTION("""COMPUTED_VALUE"""),105)</f>
        <v>105</v>
      </c>
      <c r="E1600" s="2">
        <f ca="1">IFERROR(__xludf.DUMMYFUNCTION("""COMPUTED_VALUE"""),31000)</f>
        <v>31000</v>
      </c>
      <c r="F1600" s="2" t="str">
        <f ca="1">IFERROR(__xludf.DUMMYFUNCTION("""COMPUTED_VALUE"""),"Syrah Merlot s/Asp 3")</f>
        <v>Syrah Merlot s/Asp 3</v>
      </c>
      <c r="G1600" s="2">
        <f ca="1">IFERROR(__xludf.DUMMYFUNCTION("""COMPUTED_VALUE"""),7500)</f>
        <v>7500</v>
      </c>
      <c r="H1600" s="2">
        <f ca="1">IFERROR(__xludf.DUMMYFUNCTION("""COMPUTED_VALUE"""),29000)</f>
        <v>29000</v>
      </c>
      <c r="I1600" s="2"/>
      <c r="J1600" s="2"/>
      <c r="K1600" s="2" t="str">
        <f ca="1">IFERROR(__xludf.DUMMYFUNCTION("""COMPUTED_VALUE"""),"Descubada")</f>
        <v>Descubada</v>
      </c>
      <c r="L1600" s="2" t="str">
        <f ca="1">IFERROR(__xludf.DUMMYFUNCTION("""COMPUTED_VALUE"""),"1")</f>
        <v>1</v>
      </c>
      <c r="M1600" s="2" t="str">
        <f ca="1">IFERROR(__xludf.DUMMYFUNCTION("""COMPUTED_VALUE"""),"Tinto")</f>
        <v>Tinto</v>
      </c>
    </row>
    <row r="1601" spans="1:13" x14ac:dyDescent="0.25">
      <c r="A1601" s="2" t="str">
        <f ca="1">IFERROR(__xludf.DUMMYFUNCTION("""COMPUTED_VALUE"""),"34abe2cd")</f>
        <v>34abe2cd</v>
      </c>
      <c r="B1601" s="2"/>
      <c r="C1601" s="5">
        <f ca="1">IFERROR(__xludf.DUMMYFUNCTION("""COMPUTED_VALUE"""),46101.7310879629)</f>
        <v>46101.7310879629</v>
      </c>
      <c r="D1601" s="2">
        <f ca="1">IFERROR(__xludf.DUMMYFUNCTION("""COMPUTED_VALUE"""),106)</f>
        <v>106</v>
      </c>
      <c r="E1601" s="2">
        <f ca="1">IFERROR(__xludf.DUMMYFUNCTION("""COMPUTED_VALUE"""),11000)</f>
        <v>11000</v>
      </c>
      <c r="F1601" s="2" t="str">
        <f ca="1">IFERROR(__xludf.DUMMYFUNCTION("""COMPUTED_VALUE"""),"Syrah Merlot s/Asp 3")</f>
        <v>Syrah Merlot s/Asp 3</v>
      </c>
      <c r="G1601" s="2">
        <f ca="1">IFERROR(__xludf.DUMMYFUNCTION("""COMPUTED_VALUE"""),0)</f>
        <v>0</v>
      </c>
      <c r="H1601" s="2">
        <f ca="1">IFERROR(__xludf.DUMMYFUNCTION("""COMPUTED_VALUE"""),10)</f>
        <v>10</v>
      </c>
      <c r="I1601" s="2"/>
      <c r="J1601" s="2"/>
      <c r="K1601" s="2" t="str">
        <f ca="1">IFERROR(__xludf.DUMMYFUNCTION("""COMPUTED_VALUE"""),"Descubada")</f>
        <v>Descubada</v>
      </c>
      <c r="L1601" s="2" t="str">
        <f ca="1">IFERROR(__xludf.DUMMYFUNCTION("""COMPUTED_VALUE"""),"1")</f>
        <v>1</v>
      </c>
      <c r="M1601" s="2" t="str">
        <f ca="1">IFERROR(__xludf.DUMMYFUNCTION("""COMPUTED_VALUE"""),"Tinto")</f>
        <v>Tinto</v>
      </c>
    </row>
    <row r="1602" spans="1:13" x14ac:dyDescent="0.25">
      <c r="A1602" s="2" t="str">
        <f ca="1">IFERROR(__xludf.DUMMYFUNCTION("""COMPUTED_VALUE"""),"5b072ae5")</f>
        <v>5b072ae5</v>
      </c>
      <c r="B1602" s="2"/>
      <c r="C1602" s="5">
        <f ca="1">IFERROR(__xludf.DUMMYFUNCTION("""COMPUTED_VALUE"""),46101.7314699074)</f>
        <v>46101.731469907398</v>
      </c>
      <c r="D1602" s="2">
        <f ca="1">IFERROR(__xludf.DUMMYFUNCTION("""COMPUTED_VALUE"""),107)</f>
        <v>107</v>
      </c>
      <c r="E1602" s="2">
        <f ca="1">IFERROR(__xludf.DUMMYFUNCTION("""COMPUTED_VALUE"""),31000)</f>
        <v>31000</v>
      </c>
      <c r="F1602" s="2" t="str">
        <f ca="1">IFERROR(__xludf.DUMMYFUNCTION("""COMPUTED_VALUE"""),"Syrah Merlot s/Asp 3")</f>
        <v>Syrah Merlot s/Asp 3</v>
      </c>
      <c r="G1602" s="2">
        <f ca="1">IFERROR(__xludf.DUMMYFUNCTION("""COMPUTED_VALUE"""),0)</f>
        <v>0</v>
      </c>
      <c r="H1602" s="2">
        <f ca="1">IFERROR(__xludf.DUMMYFUNCTION("""COMPUTED_VALUE"""),29000)</f>
        <v>29000</v>
      </c>
      <c r="I1602" s="2"/>
      <c r="J1602" s="2"/>
      <c r="K1602" s="2" t="str">
        <f ca="1">IFERROR(__xludf.DUMMYFUNCTION("""COMPUTED_VALUE"""),"Descubada")</f>
        <v>Descubada</v>
      </c>
      <c r="L1602" s="2" t="str">
        <f ca="1">IFERROR(__xludf.DUMMYFUNCTION("""COMPUTED_VALUE"""),"1")</f>
        <v>1</v>
      </c>
      <c r="M1602" s="2" t="str">
        <f ca="1">IFERROR(__xludf.DUMMYFUNCTION("""COMPUTED_VALUE"""),"Tinto")</f>
        <v>Tinto</v>
      </c>
    </row>
    <row r="1603" spans="1:13" x14ac:dyDescent="0.25">
      <c r="A1603" s="2" t="str">
        <f ca="1">IFERROR(__xludf.DUMMYFUNCTION("""COMPUTED_VALUE"""),"fcdf31e8")</f>
        <v>fcdf31e8</v>
      </c>
      <c r="B1603" s="2"/>
      <c r="C1603" s="5">
        <f ca="1">IFERROR(__xludf.DUMMYFUNCTION("""COMPUTED_VALUE"""),46101.7320138888)</f>
        <v>46101.732013888803</v>
      </c>
      <c r="D1603" s="2">
        <f ca="1">IFERROR(__xludf.DUMMYFUNCTION("""COMPUTED_VALUE"""),108)</f>
        <v>108</v>
      </c>
      <c r="E1603" s="2">
        <f ca="1">IFERROR(__xludf.DUMMYFUNCTION("""COMPUTED_VALUE"""),31000)</f>
        <v>31000</v>
      </c>
      <c r="F1603" s="2" t="str">
        <f ca="1">IFERROR(__xludf.DUMMYFUNCTION("""COMPUTED_VALUE"""),"Syrah Merlot s/Asp 3")</f>
        <v>Syrah Merlot s/Asp 3</v>
      </c>
      <c r="G1603" s="2">
        <f ca="1">IFERROR(__xludf.DUMMYFUNCTION("""COMPUTED_VALUE"""),0)</f>
        <v>0</v>
      </c>
      <c r="H1603" s="2">
        <f ca="1">IFERROR(__xludf.DUMMYFUNCTION("""COMPUTED_VALUE"""),2490)</f>
        <v>2490</v>
      </c>
      <c r="I1603" s="2"/>
      <c r="J1603" s="2"/>
      <c r="K1603" s="2" t="str">
        <f ca="1">IFERROR(__xludf.DUMMYFUNCTION("""COMPUTED_VALUE"""),"Descubada")</f>
        <v>Descubada</v>
      </c>
      <c r="L1603" s="2" t="str">
        <f ca="1">IFERROR(__xludf.DUMMYFUNCTION("""COMPUTED_VALUE"""),"1")</f>
        <v>1</v>
      </c>
      <c r="M1603" s="2" t="str">
        <f ca="1">IFERROR(__xludf.DUMMYFUNCTION("""COMPUTED_VALUE"""),"Tinto")</f>
        <v>Tinto</v>
      </c>
    </row>
    <row r="1604" spans="1:13" x14ac:dyDescent="0.25">
      <c r="A1604" s="2" t="str">
        <f ca="1">IFERROR(__xludf.DUMMYFUNCTION("""COMPUTED_VALUE"""),"411e1a11")</f>
        <v>411e1a11</v>
      </c>
      <c r="B1604" s="2"/>
      <c r="C1604" s="5">
        <f ca="1">IFERROR(__xludf.DUMMYFUNCTION("""COMPUTED_VALUE"""),46104.5080324074)</f>
        <v>46104.508032407401</v>
      </c>
      <c r="D1604" s="2">
        <f ca="1">IFERROR(__xludf.DUMMYFUNCTION("""COMPUTED_VALUE"""),8)</f>
        <v>8</v>
      </c>
      <c r="E1604" s="2">
        <f ca="1">IFERROR(__xludf.DUMMYFUNCTION("""COMPUTED_VALUE"""),22000)</f>
        <v>22000</v>
      </c>
      <c r="F1604" s="2" t="str">
        <f ca="1">IFERROR(__xludf.DUMMYFUNCTION("""COMPUTED_VALUE"""),"Torrontes Rect")</f>
        <v>Torrontes Rect</v>
      </c>
      <c r="G1604" s="2">
        <f ca="1">IFERROR(__xludf.DUMMYFUNCTION("""COMPUTED_VALUE"""),10000)</f>
        <v>10000</v>
      </c>
      <c r="H1604" s="2">
        <f ca="1">IFERROR(__xludf.DUMMYFUNCTION("""COMPUTED_VALUE"""),1100)</f>
        <v>1100</v>
      </c>
      <c r="I1604" s="2"/>
      <c r="J1604" s="2"/>
      <c r="K1604" s="2" t="str">
        <f ca="1">IFERROR(__xludf.DUMMYFUNCTION("""COMPUTED_VALUE"""),"Rectificado")</f>
        <v>Rectificado</v>
      </c>
      <c r="L1604" s="2"/>
      <c r="M1604" s="2" t="str">
        <f ca="1">IFERROR(__xludf.DUMMYFUNCTION("""COMPUTED_VALUE"""),"Blanco")</f>
        <v>Blanco</v>
      </c>
    </row>
    <row r="1605" spans="1:13" x14ac:dyDescent="0.25">
      <c r="A1605" s="2" t="str">
        <f ca="1">IFERROR(__xludf.DUMMYFUNCTION("""COMPUTED_VALUE"""),"0684c059")</f>
        <v>0684c059</v>
      </c>
      <c r="B1605" s="2"/>
      <c r="C1605" s="5">
        <f ca="1">IFERROR(__xludf.DUMMYFUNCTION("""COMPUTED_VALUE"""),46104.5102662037)</f>
        <v>46104.510266203702</v>
      </c>
      <c r="D1605" s="2">
        <f ca="1">IFERROR(__xludf.DUMMYFUNCTION("""COMPUTED_VALUE"""),95)</f>
        <v>95</v>
      </c>
      <c r="E1605" s="2">
        <f ca="1">IFERROR(__xludf.DUMMYFUNCTION("""COMPUTED_VALUE"""),77100)</f>
        <v>77100</v>
      </c>
      <c r="F1605" s="2" t="str">
        <f ca="1">IFERROR(__xludf.DUMMYFUNCTION("""COMPUTED_VALUE"""),"Cabernet Sauvignon")</f>
        <v>Cabernet Sauvignon</v>
      </c>
      <c r="G1605" s="2">
        <f ca="1">IFERROR(__xludf.DUMMYFUNCTION("""COMPUTED_VALUE"""),4900)</f>
        <v>4900</v>
      </c>
      <c r="H1605" s="2">
        <f ca="1">IFERROR(__xludf.DUMMYFUNCTION("""COMPUTED_VALUE"""),38000)</f>
        <v>38000</v>
      </c>
      <c r="I1605" s="2"/>
      <c r="J1605" s="2" t="str">
        <f ca="1">IFERROR(__xludf.DUMMYFUNCTION("""COMPUTED_VALUE"""),"6362 , 6363 , 6364 , 6361 , 6360")</f>
        <v>6362 , 6363 , 6364 , 6361 , 6360</v>
      </c>
      <c r="K1605" s="2" t="str">
        <f ca="1">IFERROR(__xludf.DUMMYFUNCTION("""COMPUTED_VALUE"""),"Fermentando")</f>
        <v>Fermentando</v>
      </c>
      <c r="L1605" s="2" t="str">
        <f ca="1">IFERROR(__xludf.DUMMYFUNCTION("""COMPUTED_VALUE"""),"1+")</f>
        <v>1+</v>
      </c>
      <c r="M1605" s="2" t="str">
        <f ca="1">IFERROR(__xludf.DUMMYFUNCTION("""COMPUTED_VALUE"""),"Tinto")</f>
        <v>Tinto</v>
      </c>
    </row>
    <row r="1606" spans="1:13" x14ac:dyDescent="0.25">
      <c r="A1606" s="2" t="str">
        <f ca="1">IFERROR(__xludf.DUMMYFUNCTION("""COMPUTED_VALUE"""),"5acc54c9")</f>
        <v>5acc54c9</v>
      </c>
      <c r="B1606" s="2"/>
      <c r="C1606" s="5">
        <f ca="1">IFERROR(__xludf.DUMMYFUNCTION("""COMPUTED_VALUE"""),46104.5106481481)</f>
        <v>46104.510648148098</v>
      </c>
      <c r="D1606" s="2">
        <f ca="1">IFERROR(__xludf.DUMMYFUNCTION("""COMPUTED_VALUE"""),8)</f>
        <v>8</v>
      </c>
      <c r="E1606" s="2">
        <f ca="1">IFERROR(__xludf.DUMMYFUNCTION("""COMPUTED_VALUE"""),22000)</f>
        <v>22000</v>
      </c>
      <c r="F1606" s="2" t="str">
        <f ca="1">IFERROR(__xludf.DUMMYFUNCTION("""COMPUTED_VALUE"""),"Torrontes Rect")</f>
        <v>Torrontes Rect</v>
      </c>
      <c r="G1606" s="2">
        <f ca="1">IFERROR(__xludf.DUMMYFUNCTION("""COMPUTED_VALUE"""),1100)</f>
        <v>1100</v>
      </c>
      <c r="H1606" s="2">
        <f ca="1">IFERROR(__xludf.DUMMYFUNCTION("""COMPUTED_VALUE"""),0)</f>
        <v>0</v>
      </c>
      <c r="I1606" s="2"/>
      <c r="J1606" s="2"/>
      <c r="K1606" s="2" t="str">
        <f ca="1">IFERROR(__xludf.DUMMYFUNCTION("""COMPUTED_VALUE"""),"Rectificado")</f>
        <v>Rectificado</v>
      </c>
      <c r="L1606" s="2"/>
      <c r="M1606" s="2" t="str">
        <f ca="1">IFERROR(__xludf.DUMMYFUNCTION("""COMPUTED_VALUE"""),"Blanco")</f>
        <v>Blanco</v>
      </c>
    </row>
    <row r="1607" spans="1:13" x14ac:dyDescent="0.25">
      <c r="A1607" s="2" t="str">
        <f ca="1">IFERROR(__xludf.DUMMYFUNCTION("""COMPUTED_VALUE"""),"27c5f3b0")</f>
        <v>27c5f3b0</v>
      </c>
      <c r="B1607" s="2"/>
      <c r="C1607" s="5">
        <f ca="1">IFERROR(__xludf.DUMMYFUNCTION("""COMPUTED_VALUE"""),46104.5115393518)</f>
        <v>46104.511539351799</v>
      </c>
      <c r="D1607" s="2">
        <f ca="1">IFERROR(__xludf.DUMMYFUNCTION("""COMPUTED_VALUE"""),42)</f>
        <v>42</v>
      </c>
      <c r="E1607" s="2">
        <f ca="1">IFERROR(__xludf.DUMMYFUNCTION("""COMPUTED_VALUE"""),35900)</f>
        <v>35900</v>
      </c>
      <c r="F1607" s="2" t="str">
        <f ca="1">IFERROR(__xludf.DUMMYFUNCTION("""COMPUTED_VALUE"""),"Pedro Gimenez Rect")</f>
        <v>Pedro Gimenez Rect</v>
      </c>
      <c r="G1607" s="2">
        <f ca="1">IFERROR(__xludf.DUMMYFUNCTION("""COMPUTED_VALUE"""),7000)</f>
        <v>7000</v>
      </c>
      <c r="H1607" s="2">
        <f ca="1">IFERROR(__xludf.DUMMYFUNCTION("""COMPUTED_VALUE"""),0)</f>
        <v>0</v>
      </c>
      <c r="I1607" s="2"/>
      <c r="J1607" s="2"/>
      <c r="K1607" s="2" t="str">
        <f ca="1">IFERROR(__xludf.DUMMYFUNCTION("""COMPUTED_VALUE"""),"Rectificado")</f>
        <v>Rectificado</v>
      </c>
      <c r="L1607" s="2"/>
      <c r="M1607" s="2" t="str">
        <f ca="1">IFERROR(__xludf.DUMMYFUNCTION("""COMPUTED_VALUE"""),"Blanco")</f>
        <v>Blanco</v>
      </c>
    </row>
    <row r="1608" spans="1:13" x14ac:dyDescent="0.25">
      <c r="A1608" s="2" t="str">
        <f ca="1">IFERROR(__xludf.DUMMYFUNCTION("""COMPUTED_VALUE"""),"1f1e547e")</f>
        <v>1f1e547e</v>
      </c>
      <c r="B1608" s="2"/>
      <c r="C1608" s="5">
        <f ca="1">IFERROR(__xludf.DUMMYFUNCTION("""COMPUTED_VALUE"""),46104.5147916666)</f>
        <v>46104.514791666603</v>
      </c>
      <c r="D1608" s="2">
        <f ca="1">IFERROR(__xludf.DUMMYFUNCTION("""COMPUTED_VALUE"""),36)</f>
        <v>36</v>
      </c>
      <c r="E1608" s="2">
        <f ca="1">IFERROR(__xludf.DUMMYFUNCTION("""COMPUTED_VALUE"""),19700)</f>
        <v>19700</v>
      </c>
      <c r="F1608" s="2" t="str">
        <f ca="1">IFERROR(__xludf.DUMMYFUNCTION("""COMPUTED_VALUE"""),"Criolla Rectificado")</f>
        <v>Criolla Rectificado</v>
      </c>
      <c r="G1608" s="2">
        <f ca="1">IFERROR(__xludf.DUMMYFUNCTION("""COMPUTED_VALUE"""),0)</f>
        <v>0</v>
      </c>
      <c r="H1608" s="2">
        <f ca="1">IFERROR(__xludf.DUMMYFUNCTION("""COMPUTED_VALUE"""),10000)</f>
        <v>10000</v>
      </c>
      <c r="I1608" s="2"/>
      <c r="J1608" s="2"/>
      <c r="K1608" s="2" t="str">
        <f ca="1">IFERROR(__xludf.DUMMYFUNCTION("""COMPUTED_VALUE"""),"Rectificado")</f>
        <v>Rectificado</v>
      </c>
      <c r="L1608" s="2"/>
      <c r="M1608" s="2" t="str">
        <f ca="1">IFERROR(__xludf.DUMMYFUNCTION("""COMPUTED_VALUE"""),"Blanco")</f>
        <v>Blanco</v>
      </c>
    </row>
    <row r="1609" spans="1:13" x14ac:dyDescent="0.25">
      <c r="A1609" s="2" t="str">
        <f ca="1">IFERROR(__xludf.DUMMYFUNCTION("""COMPUTED_VALUE"""),"773a0f55")</f>
        <v>773a0f55</v>
      </c>
      <c r="B1609" s="2"/>
      <c r="C1609" s="5">
        <f ca="1">IFERROR(__xludf.DUMMYFUNCTION("""COMPUTED_VALUE"""),46104.5150810185)</f>
        <v>46104.5150810185</v>
      </c>
      <c r="D1609" s="2">
        <f ca="1">IFERROR(__xludf.DUMMYFUNCTION("""COMPUTED_VALUE"""),36)</f>
        <v>36</v>
      </c>
      <c r="E1609" s="2">
        <f ca="1">IFERROR(__xludf.DUMMYFUNCTION("""COMPUTED_VALUE"""),19700)</f>
        <v>19700</v>
      </c>
      <c r="F1609" s="2" t="str">
        <f ca="1">IFERROR(__xludf.DUMMYFUNCTION("""COMPUTED_VALUE"""),"Criolla Rectificado")</f>
        <v>Criolla Rectificado</v>
      </c>
      <c r="G1609" s="2">
        <f ca="1">IFERROR(__xludf.DUMMYFUNCTION("""COMPUTED_VALUE"""),10000)</f>
        <v>10000</v>
      </c>
      <c r="H1609" s="2">
        <f ca="1">IFERROR(__xludf.DUMMYFUNCTION("""COMPUTED_VALUE"""),0)</f>
        <v>0</v>
      </c>
      <c r="I1609" s="2"/>
      <c r="J1609" s="2"/>
      <c r="K1609" s="2" t="str">
        <f ca="1">IFERROR(__xludf.DUMMYFUNCTION("""COMPUTED_VALUE"""),"Rectificado")</f>
        <v>Rectificado</v>
      </c>
      <c r="L1609" s="2"/>
      <c r="M1609" s="2" t="str">
        <f ca="1">IFERROR(__xludf.DUMMYFUNCTION("""COMPUTED_VALUE"""),"Blanco")</f>
        <v>Blanco</v>
      </c>
    </row>
    <row r="1610" spans="1:13" x14ac:dyDescent="0.25">
      <c r="A1610" s="2" t="str">
        <f ca="1">IFERROR(__xludf.DUMMYFUNCTION("""COMPUTED_VALUE"""),"65cf741f")</f>
        <v>65cf741f</v>
      </c>
      <c r="B1610" s="2"/>
      <c r="C1610" s="5">
        <f ca="1">IFERROR(__xludf.DUMMYFUNCTION("""COMPUTED_VALUE"""),46104.5171759259)</f>
        <v>46104.517175925903</v>
      </c>
      <c r="D1610" s="2">
        <f ca="1">IFERROR(__xludf.DUMMYFUNCTION("""COMPUTED_VALUE"""),102)</f>
        <v>102</v>
      </c>
      <c r="E1610" s="2">
        <f ca="1">IFERROR(__xludf.DUMMYFUNCTION("""COMPUTED_VALUE"""),31000)</f>
        <v>31000</v>
      </c>
      <c r="F1610" s="2" t="str">
        <f ca="1">IFERROR(__xludf.DUMMYFUNCTION("""COMPUTED_VALUE"""),"Syrah Anc s/Asp 2")</f>
        <v>Syrah Anc s/Asp 2</v>
      </c>
      <c r="G1610" s="2">
        <f ca="1">IFERROR(__xludf.DUMMYFUNCTION("""COMPUTED_VALUE"""),28000)</f>
        <v>28000</v>
      </c>
      <c r="H1610" s="2">
        <f ca="1">IFERROR(__xludf.DUMMYFUNCTION("""COMPUTED_VALUE"""),25000)</f>
        <v>25000</v>
      </c>
      <c r="I1610" s="2"/>
      <c r="J1610" s="2"/>
      <c r="K1610" s="2" t="str">
        <f ca="1">IFERROR(__xludf.DUMMYFUNCTION("""COMPUTED_VALUE"""),"Descubada")</f>
        <v>Descubada</v>
      </c>
      <c r="L1610" s="2" t="str">
        <f ca="1">IFERROR(__xludf.DUMMYFUNCTION("""COMPUTED_VALUE"""),"1+")</f>
        <v>1+</v>
      </c>
      <c r="M1610" s="2" t="str">
        <f ca="1">IFERROR(__xludf.DUMMYFUNCTION("""COMPUTED_VALUE"""),"Tinto")</f>
        <v>Tinto</v>
      </c>
    </row>
    <row r="1611" spans="1:13" x14ac:dyDescent="0.25">
      <c r="A1611" s="2" t="str">
        <f ca="1">IFERROR(__xludf.DUMMYFUNCTION("""COMPUTED_VALUE"""),"65f5f277")</f>
        <v>65f5f277</v>
      </c>
      <c r="B1611" s="2"/>
      <c r="C1611" s="5">
        <f ca="1">IFERROR(__xludf.DUMMYFUNCTION("""COMPUTED_VALUE"""),46104.5174189814)</f>
        <v>46104.517418981399</v>
      </c>
      <c r="D1611" s="2">
        <f ca="1">IFERROR(__xludf.DUMMYFUNCTION("""COMPUTED_VALUE"""),102)</f>
        <v>102</v>
      </c>
      <c r="E1611" s="2">
        <f ca="1">IFERROR(__xludf.DUMMYFUNCTION("""COMPUTED_VALUE"""),31000)</f>
        <v>31000</v>
      </c>
      <c r="F1611" s="2" t="str">
        <f ca="1">IFERROR(__xludf.DUMMYFUNCTION("""COMPUTED_VALUE"""),"Syrah Anc s/Asp 2")</f>
        <v>Syrah Anc s/Asp 2</v>
      </c>
      <c r="G1611" s="2">
        <f ca="1">IFERROR(__xludf.DUMMYFUNCTION("""COMPUTED_VALUE"""),25000)</f>
        <v>25000</v>
      </c>
      <c r="H1611" s="2">
        <f ca="1">IFERROR(__xludf.DUMMYFUNCTION("""COMPUTED_VALUE"""),28000)</f>
        <v>28000</v>
      </c>
      <c r="I1611" s="2"/>
      <c r="J1611" s="2"/>
      <c r="K1611" s="2" t="str">
        <f ca="1">IFERROR(__xludf.DUMMYFUNCTION("""COMPUTED_VALUE"""),"Descubada")</f>
        <v>Descubada</v>
      </c>
      <c r="L1611" s="2" t="str">
        <f ca="1">IFERROR(__xludf.DUMMYFUNCTION("""COMPUTED_VALUE"""),"1+")</f>
        <v>1+</v>
      </c>
      <c r="M1611" s="2" t="str">
        <f ca="1">IFERROR(__xludf.DUMMYFUNCTION("""COMPUTED_VALUE"""),"Tinto")</f>
        <v>Tinto</v>
      </c>
    </row>
    <row r="1612" spans="1:13" x14ac:dyDescent="0.25">
      <c r="A1612" s="2" t="str">
        <f ca="1">IFERROR(__xludf.DUMMYFUNCTION("""COMPUTED_VALUE"""),"4249bc66")</f>
        <v>4249bc66</v>
      </c>
      <c r="B1612" s="2"/>
      <c r="C1612" s="5">
        <f ca="1">IFERROR(__xludf.DUMMYFUNCTION("""COMPUTED_VALUE"""),46104.5176504629)</f>
        <v>46104.517650462898</v>
      </c>
      <c r="D1612" s="2">
        <f ca="1">IFERROR(__xludf.DUMMYFUNCTION("""COMPUTED_VALUE"""),102)</f>
        <v>102</v>
      </c>
      <c r="E1612" s="2">
        <f ca="1">IFERROR(__xludf.DUMMYFUNCTION("""COMPUTED_VALUE"""),31000)</f>
        <v>31000</v>
      </c>
      <c r="F1612" s="2" t="str">
        <f ca="1">IFERROR(__xludf.DUMMYFUNCTION("""COMPUTED_VALUE"""),"Syrah Anc s/Asp 2")</f>
        <v>Syrah Anc s/Asp 2</v>
      </c>
      <c r="G1612" s="2">
        <f ca="1">IFERROR(__xludf.DUMMYFUNCTION("""COMPUTED_VALUE"""),28000)</f>
        <v>28000</v>
      </c>
      <c r="H1612" s="2">
        <f ca="1">IFERROR(__xludf.DUMMYFUNCTION("""COMPUTED_VALUE"""),26000)</f>
        <v>26000</v>
      </c>
      <c r="I1612" s="2"/>
      <c r="J1612" s="2"/>
      <c r="K1612" s="2" t="str">
        <f ca="1">IFERROR(__xludf.DUMMYFUNCTION("""COMPUTED_VALUE"""),"Descubada")</f>
        <v>Descubada</v>
      </c>
      <c r="L1612" s="2" t="str">
        <f ca="1">IFERROR(__xludf.DUMMYFUNCTION("""COMPUTED_VALUE"""),"1+")</f>
        <v>1+</v>
      </c>
      <c r="M1612" s="2" t="str">
        <f ca="1">IFERROR(__xludf.DUMMYFUNCTION("""COMPUTED_VALUE"""),"Tinto")</f>
        <v>Tinto</v>
      </c>
    </row>
    <row r="1613" spans="1:13" x14ac:dyDescent="0.25">
      <c r="A1613" s="2" t="str">
        <f ca="1">IFERROR(__xludf.DUMMYFUNCTION("""COMPUTED_VALUE"""),"84a00b94")</f>
        <v>84a00b94</v>
      </c>
      <c r="B1613" s="2"/>
      <c r="C1613" s="5">
        <f ca="1">IFERROR(__xludf.DUMMYFUNCTION("""COMPUTED_VALUE"""),46104.5180671296)</f>
        <v>46104.518067129597</v>
      </c>
      <c r="D1613" s="2">
        <f ca="1">IFERROR(__xludf.DUMMYFUNCTION("""COMPUTED_VALUE"""),102)</f>
        <v>102</v>
      </c>
      <c r="E1613" s="2">
        <f ca="1">IFERROR(__xludf.DUMMYFUNCTION("""COMPUTED_VALUE"""),31000)</f>
        <v>31000</v>
      </c>
      <c r="F1613" s="2" t="str">
        <f ca="1">IFERROR(__xludf.DUMMYFUNCTION("""COMPUTED_VALUE"""),"Syrah Anc s/Asp 2")</f>
        <v>Syrah Anc s/Asp 2</v>
      </c>
      <c r="G1613" s="2">
        <f ca="1">IFERROR(__xludf.DUMMYFUNCTION("""COMPUTED_VALUE"""),26000)</f>
        <v>26000</v>
      </c>
      <c r="H1613" s="2">
        <f ca="1">IFERROR(__xludf.DUMMYFUNCTION("""COMPUTED_VALUE"""),20000)</f>
        <v>20000</v>
      </c>
      <c r="I1613" s="2"/>
      <c r="J1613" s="2"/>
      <c r="K1613" s="2" t="str">
        <f ca="1">IFERROR(__xludf.DUMMYFUNCTION("""COMPUTED_VALUE"""),"Descubada")</f>
        <v>Descubada</v>
      </c>
      <c r="L1613" s="2" t="str">
        <f ca="1">IFERROR(__xludf.DUMMYFUNCTION("""COMPUTED_VALUE"""),"1+")</f>
        <v>1+</v>
      </c>
      <c r="M1613" s="2" t="str">
        <f ca="1">IFERROR(__xludf.DUMMYFUNCTION("""COMPUTED_VALUE"""),"Tinto")</f>
        <v>Tinto</v>
      </c>
    </row>
    <row r="1614" spans="1:13" x14ac:dyDescent="0.25">
      <c r="A1614" s="2" t="str">
        <f ca="1">IFERROR(__xludf.DUMMYFUNCTION("""COMPUTED_VALUE"""),"a55a2b1c")</f>
        <v>a55a2b1c</v>
      </c>
      <c r="B1614" s="2"/>
      <c r="C1614" s="5">
        <f ca="1">IFERROR(__xludf.DUMMYFUNCTION("""COMPUTED_VALUE"""),46104.5213657407)</f>
        <v>46104.5213657407</v>
      </c>
      <c r="D1614" s="2">
        <f ca="1">IFERROR(__xludf.DUMMYFUNCTION("""COMPUTED_VALUE"""),106)</f>
        <v>106</v>
      </c>
      <c r="E1614" s="2">
        <f ca="1">IFERROR(__xludf.DUMMYFUNCTION("""COMPUTED_VALUE"""),11000)</f>
        <v>11000</v>
      </c>
      <c r="F1614" s="2" t="str">
        <f ca="1">IFERROR(__xludf.DUMMYFUNCTION("""COMPUTED_VALUE"""),"Syrah Merlot s/Asp 3")</f>
        <v>Syrah Merlot s/Asp 3</v>
      </c>
      <c r="G1614" s="2">
        <f ca="1">IFERROR(__xludf.DUMMYFUNCTION("""COMPUTED_VALUE"""),10)</f>
        <v>10</v>
      </c>
      <c r="H1614" s="2">
        <f ca="1">IFERROR(__xludf.DUMMYFUNCTION("""COMPUTED_VALUE"""),10010)</f>
        <v>10010</v>
      </c>
      <c r="I1614" s="2"/>
      <c r="J1614" s="2"/>
      <c r="K1614" s="2" t="str">
        <f ca="1">IFERROR(__xludf.DUMMYFUNCTION("""COMPUTED_VALUE"""),"Descubada")</f>
        <v>Descubada</v>
      </c>
      <c r="L1614" s="2" t="str">
        <f ca="1">IFERROR(__xludf.DUMMYFUNCTION("""COMPUTED_VALUE"""),"1")</f>
        <v>1</v>
      </c>
      <c r="M1614" s="2" t="str">
        <f ca="1">IFERROR(__xludf.DUMMYFUNCTION("""COMPUTED_VALUE"""),"Tinto")</f>
        <v>Tinto</v>
      </c>
    </row>
    <row r="1615" spans="1:13" x14ac:dyDescent="0.25">
      <c r="A1615" s="2" t="str">
        <f ca="1">IFERROR(__xludf.DUMMYFUNCTION("""COMPUTED_VALUE"""),"8cabfa9f")</f>
        <v>8cabfa9f</v>
      </c>
      <c r="B1615" s="2"/>
      <c r="C1615" s="5">
        <f ca="1">IFERROR(__xludf.DUMMYFUNCTION("""COMPUTED_VALUE"""),46104.522349537)</f>
        <v>46104.522349537001</v>
      </c>
      <c r="D1615" s="2">
        <f ca="1">IFERROR(__xludf.DUMMYFUNCTION("""COMPUTED_VALUE"""),108)</f>
        <v>108</v>
      </c>
      <c r="E1615" s="2">
        <f ca="1">IFERROR(__xludf.DUMMYFUNCTION("""COMPUTED_VALUE"""),31000)</f>
        <v>31000</v>
      </c>
      <c r="F1615" s="2" t="str">
        <f ca="1">IFERROR(__xludf.DUMMYFUNCTION("""COMPUTED_VALUE"""),"Syrah Malbec s/Asp 2")</f>
        <v>Syrah Malbec s/Asp 2</v>
      </c>
      <c r="G1615" s="2">
        <f ca="1">IFERROR(__xludf.DUMMYFUNCTION("""COMPUTED_VALUE"""),2490)</f>
        <v>2490</v>
      </c>
      <c r="H1615" s="2">
        <f ca="1">IFERROR(__xludf.DUMMYFUNCTION("""COMPUTED_VALUE"""),29490)</f>
        <v>29490</v>
      </c>
      <c r="I1615" s="2"/>
      <c r="J1615" s="2"/>
      <c r="K1615" s="2" t="str">
        <f ca="1">IFERROR(__xludf.DUMMYFUNCTION("""COMPUTED_VALUE"""),"Descubada")</f>
        <v>Descubada</v>
      </c>
      <c r="L1615" s="2"/>
      <c r="M1615" s="2" t="str">
        <f ca="1">IFERROR(__xludf.DUMMYFUNCTION("""COMPUTED_VALUE"""),"Tinto")</f>
        <v>Tinto</v>
      </c>
    </row>
    <row r="1616" spans="1:13" x14ac:dyDescent="0.25">
      <c r="A1616" s="2" t="str">
        <f ca="1">IFERROR(__xludf.DUMMYFUNCTION("""COMPUTED_VALUE"""),"61b89555")</f>
        <v>61b89555</v>
      </c>
      <c r="B1616" s="2"/>
      <c r="C1616" s="5">
        <f ca="1">IFERROR(__xludf.DUMMYFUNCTION("""COMPUTED_VALUE"""),46104.5240046296)</f>
        <v>46104.524004629602</v>
      </c>
      <c r="D1616" s="2">
        <f ca="1">IFERROR(__xludf.DUMMYFUNCTION("""COMPUTED_VALUE"""),109)</f>
        <v>109</v>
      </c>
      <c r="E1616" s="2">
        <f ca="1">IFERROR(__xludf.DUMMYFUNCTION("""COMPUTED_VALUE"""),15600)</f>
        <v>15600</v>
      </c>
      <c r="F1616" s="2" t="str">
        <f ca="1">IFERROR(__xludf.DUMMYFUNCTION("""COMPUTED_VALUE"""),"Syrah Malbec s/Asp 2")</f>
        <v>Syrah Malbec s/Asp 2</v>
      </c>
      <c r="G1616" s="2">
        <f ca="1">IFERROR(__xludf.DUMMYFUNCTION("""COMPUTED_VALUE"""),0)</f>
        <v>0</v>
      </c>
      <c r="H1616" s="2">
        <f ca="1">IFERROR(__xludf.DUMMYFUNCTION("""COMPUTED_VALUE"""),15600)</f>
        <v>15600</v>
      </c>
      <c r="I1616" s="2"/>
      <c r="J1616" s="2"/>
      <c r="K1616" s="2" t="str">
        <f ca="1">IFERROR(__xludf.DUMMYFUNCTION("""COMPUTED_VALUE"""),"Descubada")</f>
        <v>Descubada</v>
      </c>
      <c r="L1616" s="2"/>
      <c r="M1616" s="2" t="str">
        <f ca="1">IFERROR(__xludf.DUMMYFUNCTION("""COMPUTED_VALUE"""),"Tinto")</f>
        <v>Tinto</v>
      </c>
    </row>
    <row r="1617" spans="1:13" x14ac:dyDescent="0.25">
      <c r="A1617" s="2" t="str">
        <f ca="1">IFERROR(__xludf.DUMMYFUNCTION("""COMPUTED_VALUE"""),"851837dd")</f>
        <v>851837dd</v>
      </c>
      <c r="B1617" s="2"/>
      <c r="C1617" s="5">
        <f ca="1">IFERROR(__xludf.DUMMYFUNCTION("""COMPUTED_VALUE"""),46104.5249305555)</f>
        <v>46104.524930555497</v>
      </c>
      <c r="D1617" s="2">
        <f ca="1">IFERROR(__xludf.DUMMYFUNCTION("""COMPUTED_VALUE"""),102)</f>
        <v>102</v>
      </c>
      <c r="E1617" s="2">
        <f ca="1">IFERROR(__xludf.DUMMYFUNCTION("""COMPUTED_VALUE"""),31000)</f>
        <v>31000</v>
      </c>
      <c r="F1617" s="2" t="str">
        <f ca="1">IFERROR(__xludf.DUMMYFUNCTION("""COMPUTED_VALUE"""),"Syrah Anc s/Asp 2")</f>
        <v>Syrah Anc s/Asp 2</v>
      </c>
      <c r="G1617" s="2">
        <f ca="1">IFERROR(__xludf.DUMMYFUNCTION("""COMPUTED_VALUE"""),20000)</f>
        <v>20000</v>
      </c>
      <c r="H1617" s="2">
        <f ca="1">IFERROR(__xludf.DUMMYFUNCTION("""COMPUTED_VALUE"""),19010)</f>
        <v>19010</v>
      </c>
      <c r="I1617" s="2"/>
      <c r="J1617" s="2"/>
      <c r="K1617" s="2" t="str">
        <f ca="1">IFERROR(__xludf.DUMMYFUNCTION("""COMPUTED_VALUE"""),"Descubada")</f>
        <v>Descubada</v>
      </c>
      <c r="L1617" s="2" t="str">
        <f ca="1">IFERROR(__xludf.DUMMYFUNCTION("""COMPUTED_VALUE"""),"1+")</f>
        <v>1+</v>
      </c>
      <c r="M1617" s="2" t="str">
        <f ca="1">IFERROR(__xludf.DUMMYFUNCTION("""COMPUTED_VALUE"""),"Tinto")</f>
        <v>Tinto</v>
      </c>
    </row>
    <row r="1618" spans="1:13" x14ac:dyDescent="0.25">
      <c r="A1618" s="2" t="str">
        <f ca="1">IFERROR(__xludf.DUMMYFUNCTION("""COMPUTED_VALUE"""),"4dabc8dc")</f>
        <v>4dabc8dc</v>
      </c>
      <c r="B1618" s="2"/>
      <c r="C1618" s="5">
        <f ca="1">IFERROR(__xludf.DUMMYFUNCTION("""COMPUTED_VALUE"""),46104.5251736111)</f>
        <v>46104.525173611102</v>
      </c>
      <c r="D1618" s="2">
        <f ca="1">IFERROR(__xludf.DUMMYFUNCTION("""COMPUTED_VALUE"""),102)</f>
        <v>102</v>
      </c>
      <c r="E1618" s="2">
        <f ca="1">IFERROR(__xludf.DUMMYFUNCTION("""COMPUTED_VALUE"""),31000)</f>
        <v>31000</v>
      </c>
      <c r="F1618" s="2" t="str">
        <f ca="1">IFERROR(__xludf.DUMMYFUNCTION("""COMPUTED_VALUE"""),"Syrah Anc s/Asp 2")</f>
        <v>Syrah Anc s/Asp 2</v>
      </c>
      <c r="G1618" s="2">
        <f ca="1">IFERROR(__xludf.DUMMYFUNCTION("""COMPUTED_VALUE"""),19010)</f>
        <v>19010</v>
      </c>
      <c r="H1618" s="2">
        <f ca="1">IFERROR(__xludf.DUMMYFUNCTION("""COMPUTED_VALUE"""),17010)</f>
        <v>17010</v>
      </c>
      <c r="I1618" s="2"/>
      <c r="J1618" s="2"/>
      <c r="K1618" s="2" t="str">
        <f ca="1">IFERROR(__xludf.DUMMYFUNCTION("""COMPUTED_VALUE"""),"Descubada")</f>
        <v>Descubada</v>
      </c>
      <c r="L1618" s="2" t="str">
        <f ca="1">IFERROR(__xludf.DUMMYFUNCTION("""COMPUTED_VALUE"""),"1+")</f>
        <v>1+</v>
      </c>
      <c r="M1618" s="2" t="str">
        <f ca="1">IFERROR(__xludf.DUMMYFUNCTION("""COMPUTED_VALUE"""),"Tinto")</f>
        <v>Tinto</v>
      </c>
    </row>
    <row r="1619" spans="1:13" x14ac:dyDescent="0.25">
      <c r="A1619" s="2" t="str">
        <f ca="1">IFERROR(__xludf.DUMMYFUNCTION("""COMPUTED_VALUE"""),"d093bb1f")</f>
        <v>d093bb1f</v>
      </c>
      <c r="B1619" s="2"/>
      <c r="C1619" s="5">
        <f ca="1">IFERROR(__xludf.DUMMYFUNCTION("""COMPUTED_VALUE"""),46104.5254629629)</f>
        <v>46104.525462962898</v>
      </c>
      <c r="D1619" s="2">
        <f ca="1">IFERROR(__xludf.DUMMYFUNCTION("""COMPUTED_VALUE"""),102)</f>
        <v>102</v>
      </c>
      <c r="E1619" s="2">
        <f ca="1">IFERROR(__xludf.DUMMYFUNCTION("""COMPUTED_VALUE"""),31000)</f>
        <v>31000</v>
      </c>
      <c r="F1619" s="2" t="str">
        <f ca="1">IFERROR(__xludf.DUMMYFUNCTION("""COMPUTED_VALUE"""),"Syrah Anc s/Asp 2")</f>
        <v>Syrah Anc s/Asp 2</v>
      </c>
      <c r="G1619" s="2">
        <f ca="1">IFERROR(__xludf.DUMMYFUNCTION("""COMPUTED_VALUE"""),17010)</f>
        <v>17010</v>
      </c>
      <c r="H1619" s="2">
        <f ca="1">IFERROR(__xludf.DUMMYFUNCTION("""COMPUTED_VALUE"""),15500)</f>
        <v>15500</v>
      </c>
      <c r="I1619" s="2"/>
      <c r="J1619" s="2"/>
      <c r="K1619" s="2" t="str">
        <f ca="1">IFERROR(__xludf.DUMMYFUNCTION("""COMPUTED_VALUE"""),"Descubada")</f>
        <v>Descubada</v>
      </c>
      <c r="L1619" s="2" t="str">
        <f ca="1">IFERROR(__xludf.DUMMYFUNCTION("""COMPUTED_VALUE"""),"1+")</f>
        <v>1+</v>
      </c>
      <c r="M1619" s="2" t="str">
        <f ca="1">IFERROR(__xludf.DUMMYFUNCTION("""COMPUTED_VALUE"""),"Tinto")</f>
        <v>Tinto</v>
      </c>
    </row>
    <row r="1620" spans="1:13" x14ac:dyDescent="0.25">
      <c r="A1620" s="2" t="str">
        <f ca="1">IFERROR(__xludf.DUMMYFUNCTION("""COMPUTED_VALUE"""),"6d46c98d")</f>
        <v>6d46c98d</v>
      </c>
      <c r="B1620" s="2"/>
      <c r="C1620" s="5">
        <f ca="1">IFERROR(__xludf.DUMMYFUNCTION("""COMPUTED_VALUE"""),46104.5257175925)</f>
        <v>46104.5257175925</v>
      </c>
      <c r="D1620" s="2">
        <f ca="1">IFERROR(__xludf.DUMMYFUNCTION("""COMPUTED_VALUE"""),102)</f>
        <v>102</v>
      </c>
      <c r="E1620" s="2">
        <f ca="1">IFERROR(__xludf.DUMMYFUNCTION("""COMPUTED_VALUE"""),31000)</f>
        <v>31000</v>
      </c>
      <c r="F1620" s="2" t="str">
        <f ca="1">IFERROR(__xludf.DUMMYFUNCTION("""COMPUTED_VALUE"""),"Syrah Anc s/Asp 2")</f>
        <v>Syrah Anc s/Asp 2</v>
      </c>
      <c r="G1620" s="2">
        <f ca="1">IFERROR(__xludf.DUMMYFUNCTION("""COMPUTED_VALUE"""),15500)</f>
        <v>15500</v>
      </c>
      <c r="H1620" s="2">
        <f ca="1">IFERROR(__xludf.DUMMYFUNCTION("""COMPUTED_VALUE"""),20900)</f>
        <v>20900</v>
      </c>
      <c r="I1620" s="2"/>
      <c r="J1620" s="2"/>
      <c r="K1620" s="2" t="str">
        <f ca="1">IFERROR(__xludf.DUMMYFUNCTION("""COMPUTED_VALUE"""),"Descubada")</f>
        <v>Descubada</v>
      </c>
      <c r="L1620" s="2" t="str">
        <f ca="1">IFERROR(__xludf.DUMMYFUNCTION("""COMPUTED_VALUE"""),"1+")</f>
        <v>1+</v>
      </c>
      <c r="M1620" s="2" t="str">
        <f ca="1">IFERROR(__xludf.DUMMYFUNCTION("""COMPUTED_VALUE"""),"Tinto")</f>
        <v>Tinto</v>
      </c>
    </row>
    <row r="1621" spans="1:13" x14ac:dyDescent="0.25">
      <c r="A1621" s="2" t="str">
        <f ca="1">IFERROR(__xludf.DUMMYFUNCTION("""COMPUTED_VALUE"""),"0ed2cf2b")</f>
        <v>0ed2cf2b</v>
      </c>
      <c r="B1621" s="2"/>
      <c r="C1621" s="5">
        <f ca="1">IFERROR(__xludf.DUMMYFUNCTION("""COMPUTED_VALUE"""),46104.5298611111)</f>
        <v>46104.529861111099</v>
      </c>
      <c r="D1621" s="2">
        <f ca="1">IFERROR(__xludf.DUMMYFUNCTION("""COMPUTED_VALUE"""),9)</f>
        <v>9</v>
      </c>
      <c r="E1621" s="2">
        <f ca="1">IFERROR(__xludf.DUMMYFUNCTION("""COMPUTED_VALUE"""),30000)</f>
        <v>30000</v>
      </c>
      <c r="F1621" s="2" t="str">
        <f ca="1">IFERROR(__xludf.DUMMYFUNCTION("""COMPUTED_VALUE"""),"Malbec Rect")</f>
        <v>Malbec Rect</v>
      </c>
      <c r="G1621" s="2">
        <f ca="1">IFERROR(__xludf.DUMMYFUNCTION("""COMPUTED_VALUE"""),30000)</f>
        <v>30000</v>
      </c>
      <c r="H1621" s="2">
        <f ca="1">IFERROR(__xludf.DUMMYFUNCTION("""COMPUTED_VALUE"""),21500)</f>
        <v>21500</v>
      </c>
      <c r="I1621" s="2"/>
      <c r="J1621" s="2"/>
      <c r="K1621" s="2" t="str">
        <f ca="1">IFERROR(__xludf.DUMMYFUNCTION("""COMPUTED_VALUE"""),"Rectificado")</f>
        <v>Rectificado</v>
      </c>
      <c r="L1621" s="2" t="str">
        <f ca="1">IFERROR(__xludf.DUMMYFUNCTION("""COMPUTED_VALUE"""),"1-")</f>
        <v>1-</v>
      </c>
      <c r="M1621" s="2" t="str">
        <f ca="1">IFERROR(__xludf.DUMMYFUNCTION("""COMPUTED_VALUE"""),"Tinto")</f>
        <v>Tinto</v>
      </c>
    </row>
    <row r="1622" spans="1:13" x14ac:dyDescent="0.25">
      <c r="A1622" s="2" t="str">
        <f ca="1">IFERROR(__xludf.DUMMYFUNCTION("""COMPUTED_VALUE"""),"e935964c")</f>
        <v>e935964c</v>
      </c>
      <c r="B1622" s="2"/>
      <c r="C1622" s="5">
        <f ca="1">IFERROR(__xludf.DUMMYFUNCTION("""COMPUTED_VALUE"""),46104.5304166666)</f>
        <v>46104.530416666603</v>
      </c>
      <c r="D1622" s="2">
        <f ca="1">IFERROR(__xludf.DUMMYFUNCTION("""COMPUTED_VALUE"""),5)</f>
        <v>5</v>
      </c>
      <c r="E1622" s="2">
        <f ca="1">IFERROR(__xludf.DUMMYFUNCTION("""COMPUTED_VALUE"""),30000)</f>
        <v>30000</v>
      </c>
      <c r="F1622" s="2" t="str">
        <f ca="1">IFERROR(__xludf.DUMMYFUNCTION("""COMPUTED_VALUE"""),"Cabernet Sauvignon Rect")</f>
        <v>Cabernet Sauvignon Rect</v>
      </c>
      <c r="G1622" s="2">
        <f ca="1">IFERROR(__xludf.DUMMYFUNCTION("""COMPUTED_VALUE"""),18000)</f>
        <v>18000</v>
      </c>
      <c r="H1622" s="2">
        <f ca="1">IFERROR(__xludf.DUMMYFUNCTION("""COMPUTED_VALUE"""),6100)</f>
        <v>6100</v>
      </c>
      <c r="I1622" s="2"/>
      <c r="J1622" s="2"/>
      <c r="K1622" s="2" t="str">
        <f ca="1">IFERROR(__xludf.DUMMYFUNCTION("""COMPUTED_VALUE"""),"Rectificado")</f>
        <v>Rectificado</v>
      </c>
      <c r="L1622" s="2" t="str">
        <f ca="1">IFERROR(__xludf.DUMMYFUNCTION("""COMPUTED_VALUE"""),"1")</f>
        <v>1</v>
      </c>
      <c r="M1622" s="2" t="str">
        <f ca="1">IFERROR(__xludf.DUMMYFUNCTION("""COMPUTED_VALUE"""),"Tinto")</f>
        <v>Tinto</v>
      </c>
    </row>
    <row r="1623" spans="1:13" x14ac:dyDescent="0.25">
      <c r="A1623" s="2" t="str">
        <f ca="1">IFERROR(__xludf.DUMMYFUNCTION("""COMPUTED_VALUE"""),"bc1c84db")</f>
        <v>bc1c84db</v>
      </c>
      <c r="B1623" s="2"/>
      <c r="C1623" s="5">
        <f ca="1">IFERROR(__xludf.DUMMYFUNCTION("""COMPUTED_VALUE"""),46104.5315509259)</f>
        <v>46104.531550925902</v>
      </c>
      <c r="D1623" s="2">
        <f ca="1">IFERROR(__xludf.DUMMYFUNCTION("""COMPUTED_VALUE"""),102)</f>
        <v>102</v>
      </c>
      <c r="E1623" s="2">
        <f ca="1">IFERROR(__xludf.DUMMYFUNCTION("""COMPUTED_VALUE"""),31000)</f>
        <v>31000</v>
      </c>
      <c r="F1623" s="2" t="str">
        <f ca="1">IFERROR(__xludf.DUMMYFUNCTION("""COMPUTED_VALUE"""),"Syrah Anc s/Asp 2")</f>
        <v>Syrah Anc s/Asp 2</v>
      </c>
      <c r="G1623" s="2">
        <f ca="1">IFERROR(__xludf.DUMMYFUNCTION("""COMPUTED_VALUE"""),20900)</f>
        <v>20900</v>
      </c>
      <c r="H1623" s="2">
        <f ca="1">IFERROR(__xludf.DUMMYFUNCTION("""COMPUTED_VALUE"""),31000)</f>
        <v>31000</v>
      </c>
      <c r="I1623" s="2"/>
      <c r="J1623" s="2"/>
      <c r="K1623" s="2" t="str">
        <f ca="1">IFERROR(__xludf.DUMMYFUNCTION("""COMPUTED_VALUE"""),"Descubada")</f>
        <v>Descubada</v>
      </c>
      <c r="L1623" s="2" t="str">
        <f ca="1">IFERROR(__xludf.DUMMYFUNCTION("""COMPUTED_VALUE"""),"1+")</f>
        <v>1+</v>
      </c>
      <c r="M1623" s="2" t="str">
        <f ca="1">IFERROR(__xludf.DUMMYFUNCTION("""COMPUTED_VALUE"""),"Tinto")</f>
        <v>Tinto</v>
      </c>
    </row>
    <row r="1624" spans="1:13" x14ac:dyDescent="0.25">
      <c r="A1624" s="2" t="str">
        <f ca="1">IFERROR(__xludf.DUMMYFUNCTION("""COMPUTED_VALUE"""),"8a8cc2d8")</f>
        <v>8a8cc2d8</v>
      </c>
      <c r="B1624" s="2"/>
      <c r="C1624" s="5">
        <f ca="1">IFERROR(__xludf.DUMMYFUNCTION("""COMPUTED_VALUE"""),46104.5323032407)</f>
        <v>46104.532303240703</v>
      </c>
      <c r="D1624" s="2">
        <f ca="1">IFERROR(__xludf.DUMMYFUNCTION("""COMPUTED_VALUE"""),110)</f>
        <v>110</v>
      </c>
      <c r="E1624" s="2">
        <f ca="1">IFERROR(__xludf.DUMMYFUNCTION("""COMPUTED_VALUE"""),15600)</f>
        <v>15600</v>
      </c>
      <c r="F1624" s="2" t="str">
        <f ca="1">IFERROR(__xludf.DUMMYFUNCTION("""COMPUTED_VALUE"""),"Syrah Malbec s/Asp 2")</f>
        <v>Syrah Malbec s/Asp 2</v>
      </c>
      <c r="G1624" s="2">
        <f ca="1">IFERROR(__xludf.DUMMYFUNCTION("""COMPUTED_VALUE"""),0)</f>
        <v>0</v>
      </c>
      <c r="H1624" s="2">
        <f ca="1">IFERROR(__xludf.DUMMYFUNCTION("""COMPUTED_VALUE"""),15600)</f>
        <v>15600</v>
      </c>
      <c r="I1624" s="2"/>
      <c r="J1624" s="2"/>
      <c r="K1624" s="2" t="str">
        <f ca="1">IFERROR(__xludf.DUMMYFUNCTION("""COMPUTED_VALUE"""),"Descubada")</f>
        <v>Descubada</v>
      </c>
      <c r="L1624" s="2" t="str">
        <f ca="1">IFERROR(__xludf.DUMMYFUNCTION("""COMPUTED_VALUE"""),"1-")</f>
        <v>1-</v>
      </c>
      <c r="M1624" s="2" t="str">
        <f ca="1">IFERROR(__xludf.DUMMYFUNCTION("""COMPUTED_VALUE"""),"Tinto")</f>
        <v>Tinto</v>
      </c>
    </row>
    <row r="1625" spans="1:13" x14ac:dyDescent="0.25">
      <c r="A1625" s="2" t="str">
        <f ca="1">IFERROR(__xludf.DUMMYFUNCTION("""COMPUTED_VALUE"""),"2b6e52af")</f>
        <v>2b6e52af</v>
      </c>
      <c r="B1625" s="2"/>
      <c r="C1625" s="5">
        <f ca="1">IFERROR(__xludf.DUMMYFUNCTION("""COMPUTED_VALUE"""),46104.5330787037)</f>
        <v>46104.533078703702</v>
      </c>
      <c r="D1625" s="2">
        <f ca="1">IFERROR(__xludf.DUMMYFUNCTION("""COMPUTED_VALUE"""),114)</f>
        <v>114</v>
      </c>
      <c r="E1625" s="2">
        <f ca="1">IFERROR(__xludf.DUMMYFUNCTION("""COMPUTED_VALUE"""),125300)</f>
        <v>125300</v>
      </c>
      <c r="F1625" s="2" t="str">
        <f ca="1">IFERROR(__xludf.DUMMYFUNCTION("""COMPUTED_VALUE"""),"Syrah Malbec s/Asp 2")</f>
        <v>Syrah Malbec s/Asp 2</v>
      </c>
      <c r="G1625" s="2">
        <f ca="1">IFERROR(__xludf.DUMMYFUNCTION("""COMPUTED_VALUE"""),0)</f>
        <v>0</v>
      </c>
      <c r="H1625" s="2">
        <f ca="1">IFERROR(__xludf.DUMMYFUNCTION("""COMPUTED_VALUE"""),4300)</f>
        <v>4300</v>
      </c>
      <c r="I1625" s="2"/>
      <c r="J1625" s="2"/>
      <c r="K1625" s="2" t="str">
        <f ca="1">IFERROR(__xludf.DUMMYFUNCTION("""COMPUTED_VALUE"""),"Descubada")</f>
        <v>Descubada</v>
      </c>
      <c r="L1625" s="2" t="str">
        <f ca="1">IFERROR(__xludf.DUMMYFUNCTION("""COMPUTED_VALUE"""),"1-")</f>
        <v>1-</v>
      </c>
      <c r="M1625" s="2" t="str">
        <f ca="1">IFERROR(__xludf.DUMMYFUNCTION("""COMPUTED_VALUE"""),"Tinto")</f>
        <v>Tinto</v>
      </c>
    </row>
    <row r="1626" spans="1:13" x14ac:dyDescent="0.25">
      <c r="A1626" s="2" t="str">
        <f ca="1">IFERROR(__xludf.DUMMYFUNCTION("""COMPUTED_VALUE"""),"51284a24")</f>
        <v>51284a24</v>
      </c>
      <c r="B1626" s="2"/>
      <c r="C1626" s="5">
        <f ca="1">IFERROR(__xludf.DUMMYFUNCTION("""COMPUTED_VALUE"""),46104.5335879629)</f>
        <v>46104.533587962898</v>
      </c>
      <c r="D1626" s="2">
        <f ca="1">IFERROR(__xludf.DUMMYFUNCTION("""COMPUTED_VALUE"""),114)</f>
        <v>114</v>
      </c>
      <c r="E1626" s="2">
        <f ca="1">IFERROR(__xludf.DUMMYFUNCTION("""COMPUTED_VALUE"""),125300)</f>
        <v>125300</v>
      </c>
      <c r="F1626" s="2" t="str">
        <f ca="1">IFERROR(__xludf.DUMMYFUNCTION("""COMPUTED_VALUE"""),"Syrah")</f>
        <v>Syrah</v>
      </c>
      <c r="G1626" s="2">
        <f ca="1">IFERROR(__xludf.DUMMYFUNCTION("""COMPUTED_VALUE"""),4300)</f>
        <v>4300</v>
      </c>
      <c r="H1626" s="2">
        <f ca="1">IFERROR(__xludf.DUMMYFUNCTION("""COMPUTED_VALUE"""),18300)</f>
        <v>18300</v>
      </c>
      <c r="I1626" s="2"/>
      <c r="J1626" s="2"/>
      <c r="K1626" s="2" t="str">
        <f ca="1">IFERROR(__xludf.DUMMYFUNCTION("""COMPUTED_VALUE"""),"Descubada")</f>
        <v>Descubada</v>
      </c>
      <c r="L1626" s="2" t="str">
        <f ca="1">IFERROR(__xludf.DUMMYFUNCTION("""COMPUTED_VALUE"""),"1-")</f>
        <v>1-</v>
      </c>
      <c r="M1626" s="2" t="str">
        <f ca="1">IFERROR(__xludf.DUMMYFUNCTION("""COMPUTED_VALUE"""),"Tinto")</f>
        <v>Tinto</v>
      </c>
    </row>
    <row r="1627" spans="1:13" x14ac:dyDescent="0.25">
      <c r="A1627" s="2" t="str">
        <f ca="1">IFERROR(__xludf.DUMMYFUNCTION("""COMPUTED_VALUE"""),"1eef661b")</f>
        <v>1eef661b</v>
      </c>
      <c r="B1627" s="2"/>
      <c r="C1627" s="5">
        <f ca="1">IFERROR(__xludf.DUMMYFUNCTION("""COMPUTED_VALUE"""),46104.5340509259)</f>
        <v>46104.534050925897</v>
      </c>
      <c r="D1627" s="2">
        <f ca="1">IFERROR(__xludf.DUMMYFUNCTION("""COMPUTED_VALUE"""),114)</f>
        <v>114</v>
      </c>
      <c r="E1627" s="2">
        <f ca="1">IFERROR(__xludf.DUMMYFUNCTION("""COMPUTED_VALUE"""),125300)</f>
        <v>125300</v>
      </c>
      <c r="F1627" s="2" t="str">
        <f ca="1">IFERROR(__xludf.DUMMYFUNCTION("""COMPUTED_VALUE"""),"Syrah")</f>
        <v>Syrah</v>
      </c>
      <c r="G1627" s="2">
        <f ca="1">IFERROR(__xludf.DUMMYFUNCTION("""COMPUTED_VALUE"""),18300)</f>
        <v>18300</v>
      </c>
      <c r="H1627" s="2">
        <f ca="1">IFERROR(__xludf.DUMMYFUNCTION("""COMPUTED_VALUE"""),71300)</f>
        <v>71300</v>
      </c>
      <c r="I1627" s="2"/>
      <c r="J1627" s="2"/>
      <c r="K1627" s="2" t="str">
        <f ca="1">IFERROR(__xludf.DUMMYFUNCTION("""COMPUTED_VALUE"""),"Descubada")</f>
        <v>Descubada</v>
      </c>
      <c r="L1627" s="2" t="str">
        <f ca="1">IFERROR(__xludf.DUMMYFUNCTION("""COMPUTED_VALUE"""),"1-")</f>
        <v>1-</v>
      </c>
      <c r="M1627" s="2" t="str">
        <f ca="1">IFERROR(__xludf.DUMMYFUNCTION("""COMPUTED_VALUE"""),"Tinto")</f>
        <v>Tinto</v>
      </c>
    </row>
    <row r="1628" spans="1:13" x14ac:dyDescent="0.25">
      <c r="A1628" s="2" t="str">
        <f ca="1">IFERROR(__xludf.DUMMYFUNCTION("""COMPUTED_VALUE"""),"363011be")</f>
        <v>363011be</v>
      </c>
      <c r="B1628" s="2"/>
      <c r="C1628" s="5">
        <f ca="1">IFERROR(__xludf.DUMMYFUNCTION("""COMPUTED_VALUE"""),46104.5349652777)</f>
        <v>46104.5349652777</v>
      </c>
      <c r="D1628" s="2">
        <f ca="1">IFERROR(__xludf.DUMMYFUNCTION("""COMPUTED_VALUE"""),9)</f>
        <v>9</v>
      </c>
      <c r="E1628" s="2">
        <f ca="1">IFERROR(__xludf.DUMMYFUNCTION("""COMPUTED_VALUE"""),30000)</f>
        <v>30000</v>
      </c>
      <c r="F1628" s="2" t="str">
        <f ca="1">IFERROR(__xludf.DUMMYFUNCTION("""COMPUTED_VALUE"""),"Malbec Rect")</f>
        <v>Malbec Rect</v>
      </c>
      <c r="G1628" s="2">
        <f ca="1">IFERROR(__xludf.DUMMYFUNCTION("""COMPUTED_VALUE"""),21500)</f>
        <v>21500</v>
      </c>
      <c r="H1628" s="2">
        <f ca="1">IFERROR(__xludf.DUMMYFUNCTION("""COMPUTED_VALUE"""),13900)</f>
        <v>13900</v>
      </c>
      <c r="I1628" s="2"/>
      <c r="J1628" s="2"/>
      <c r="K1628" s="2" t="str">
        <f ca="1">IFERROR(__xludf.DUMMYFUNCTION("""COMPUTED_VALUE"""),"Rectificado")</f>
        <v>Rectificado</v>
      </c>
      <c r="L1628" s="2" t="str">
        <f ca="1">IFERROR(__xludf.DUMMYFUNCTION("""COMPUTED_VALUE"""),"1-")</f>
        <v>1-</v>
      </c>
      <c r="M1628" s="2" t="str">
        <f ca="1">IFERROR(__xludf.DUMMYFUNCTION("""COMPUTED_VALUE"""),"Tinto")</f>
        <v>Tinto</v>
      </c>
    </row>
    <row r="1629" spans="1:13" x14ac:dyDescent="0.25">
      <c r="A1629" s="2" t="str">
        <f ca="1">IFERROR(__xludf.DUMMYFUNCTION("""COMPUTED_VALUE"""),"9b8bf2d4")</f>
        <v>9b8bf2d4</v>
      </c>
      <c r="B1629" s="2"/>
      <c r="C1629" s="5">
        <f ca="1">IFERROR(__xludf.DUMMYFUNCTION("""COMPUTED_VALUE"""),46104.5357986111)</f>
        <v>46104.535798611098</v>
      </c>
      <c r="D1629" s="2">
        <f ca="1">IFERROR(__xludf.DUMMYFUNCTION("""COMPUTED_VALUE"""),9)</f>
        <v>9</v>
      </c>
      <c r="E1629" s="2">
        <f ca="1">IFERROR(__xludf.DUMMYFUNCTION("""COMPUTED_VALUE"""),30000)</f>
        <v>30000</v>
      </c>
      <c r="F1629" s="2" t="str">
        <f ca="1">IFERROR(__xludf.DUMMYFUNCTION("""COMPUTED_VALUE"""),"Malbec Rect")</f>
        <v>Malbec Rect</v>
      </c>
      <c r="G1629" s="2">
        <f ca="1">IFERROR(__xludf.DUMMYFUNCTION("""COMPUTED_VALUE"""),13900)</f>
        <v>13900</v>
      </c>
      <c r="H1629" s="2">
        <f ca="1">IFERROR(__xludf.DUMMYFUNCTION("""COMPUTED_VALUE"""),9900)</f>
        <v>9900</v>
      </c>
      <c r="I1629" s="2"/>
      <c r="J1629" s="2"/>
      <c r="K1629" s="2" t="str">
        <f ca="1">IFERROR(__xludf.DUMMYFUNCTION("""COMPUTED_VALUE"""),"Rectificado")</f>
        <v>Rectificado</v>
      </c>
      <c r="L1629" s="2" t="str">
        <f ca="1">IFERROR(__xludf.DUMMYFUNCTION("""COMPUTED_VALUE"""),"1-")</f>
        <v>1-</v>
      </c>
      <c r="M1629" s="2" t="str">
        <f ca="1">IFERROR(__xludf.DUMMYFUNCTION("""COMPUTED_VALUE"""),"Tinto")</f>
        <v>Tinto</v>
      </c>
    </row>
    <row r="1630" spans="1:13" x14ac:dyDescent="0.25">
      <c r="A1630" s="2" t="str">
        <f ca="1">IFERROR(__xludf.DUMMYFUNCTION("""COMPUTED_VALUE"""),"a0c53502")</f>
        <v>a0c53502</v>
      </c>
      <c r="B1630" s="2"/>
      <c r="C1630" s="5">
        <f ca="1">IFERROR(__xludf.DUMMYFUNCTION("""COMPUTED_VALUE"""),46106.3728819444)</f>
        <v>46106.3728819444</v>
      </c>
      <c r="D1630" s="2">
        <f ca="1">IFERROR(__xludf.DUMMYFUNCTION("""COMPUTED_VALUE"""),83)</f>
        <v>83</v>
      </c>
      <c r="E1630" s="2">
        <f ca="1">IFERROR(__xludf.DUMMYFUNCTION("""COMPUTED_VALUE"""),81500)</f>
        <v>81500</v>
      </c>
      <c r="F1630" s="2" t="str">
        <f ca="1">IFERROR(__xludf.DUMMYFUNCTION("""COMPUTED_VALUE"""),"Cabernet Sau")</f>
        <v>Cabernet Sau</v>
      </c>
      <c r="G1630" s="2"/>
      <c r="H1630" s="2">
        <f ca="1">IFERROR(__xludf.DUMMYFUNCTION("""COMPUTED_VALUE"""),36600)</f>
        <v>36600</v>
      </c>
      <c r="I1630" s="2"/>
      <c r="J1630" s="2" t="str">
        <f ca="1">IFERROR(__xludf.DUMMYFUNCTION("""COMPUTED_VALUE"""),"6365 , 6366 , 6367 , 6368 , 6369 , 6370")</f>
        <v>6365 , 6366 , 6367 , 6368 , 6369 , 6370</v>
      </c>
      <c r="K1630" s="2" t="str">
        <f ca="1">IFERROR(__xludf.DUMMYFUNCTION("""COMPUTED_VALUE"""),"Fermentando")</f>
        <v>Fermentando</v>
      </c>
      <c r="L1630" s="2"/>
      <c r="M1630" s="2" t="str">
        <f ca="1">IFERROR(__xludf.DUMMYFUNCTION("""COMPUTED_VALUE"""),"Tinto")</f>
        <v>Tinto</v>
      </c>
    </row>
    <row r="1631" spans="1:13" x14ac:dyDescent="0.25">
      <c r="A1631" s="2" t="str">
        <f ca="1">IFERROR(__xludf.DUMMYFUNCTION("""COMPUTED_VALUE"""),"7de2b9cd")</f>
        <v>7de2b9cd</v>
      </c>
      <c r="B1631" s="2"/>
      <c r="C1631" s="5">
        <f ca="1">IFERROR(__xludf.DUMMYFUNCTION("""COMPUTED_VALUE"""),46107.3798148148)</f>
        <v>46107.379814814798</v>
      </c>
      <c r="D1631" s="2">
        <f ca="1">IFERROR(__xludf.DUMMYFUNCTION("""COMPUTED_VALUE"""),86)</f>
        <v>86</v>
      </c>
      <c r="E1631" s="2">
        <f ca="1">IFERROR(__xludf.DUMMYFUNCTION("""COMPUTED_VALUE"""),88000)</f>
        <v>88000</v>
      </c>
      <c r="F1631" s="2" t="str">
        <f ca="1">IFERROR(__xludf.DUMMYFUNCTION("""COMPUTED_VALUE"""),"Malbec")</f>
        <v>Malbec</v>
      </c>
      <c r="G1631" s="2"/>
      <c r="H1631" s="2">
        <f ca="1">IFERROR(__xludf.DUMMYFUNCTION("""COMPUTED_VALUE"""),40600)</f>
        <v>40600</v>
      </c>
      <c r="I1631" s="2"/>
      <c r="J1631" s="2" t="str">
        <f ca="1">IFERROR(__xludf.DUMMYFUNCTION("""COMPUTED_VALUE"""),"6372 , 6374 , 6375 , 6378 , 6380 , 6381")</f>
        <v>6372 , 6374 , 6375 , 6378 , 6380 , 6381</v>
      </c>
      <c r="K1631" s="2" t="str">
        <f ca="1">IFERROR(__xludf.DUMMYFUNCTION("""COMPUTED_VALUE"""),"Fermentando")</f>
        <v>Fermentando</v>
      </c>
      <c r="L1631" s="2"/>
      <c r="M1631" s="2" t="str">
        <f ca="1">IFERROR(__xludf.DUMMYFUNCTION("""COMPUTED_VALUE"""),"Tinto")</f>
        <v>Tinto</v>
      </c>
    </row>
    <row r="1632" spans="1:13" x14ac:dyDescent="0.25">
      <c r="A1632" s="2" t="str">
        <f ca="1">IFERROR(__xludf.DUMMYFUNCTION("""COMPUTED_VALUE"""),"bb0d3dc1")</f>
        <v>bb0d3dc1</v>
      </c>
      <c r="B1632" s="2"/>
      <c r="C1632" s="5">
        <f ca="1">IFERROR(__xludf.DUMMYFUNCTION("""COMPUTED_VALUE"""),46107.3812731481)</f>
        <v>46107.381273148101</v>
      </c>
      <c r="D1632" s="2">
        <f ca="1">IFERROR(__xludf.DUMMYFUNCTION("""COMPUTED_VALUE"""),79)</f>
        <v>79</v>
      </c>
      <c r="E1632" s="2">
        <f ca="1">IFERROR(__xludf.DUMMYFUNCTION("""COMPUTED_VALUE"""),26000)</f>
        <v>26000</v>
      </c>
      <c r="F1632" s="2" t="str">
        <f ca="1">IFERROR(__xludf.DUMMYFUNCTION("""COMPUTED_VALUE"""),"Criolla")</f>
        <v>Criolla</v>
      </c>
      <c r="G1632" s="2"/>
      <c r="H1632" s="2">
        <f ca="1">IFERROR(__xludf.DUMMYFUNCTION("""COMPUTED_VALUE"""),37800)</f>
        <v>37800</v>
      </c>
      <c r="I1632" s="2"/>
      <c r="J1632" s="2" t="str">
        <f ca="1">IFERROR(__xludf.DUMMYFUNCTION("""COMPUTED_VALUE"""),"6371 , 6373 , 6376 , 6377 , 6379")</f>
        <v>6371 , 6373 , 6376 , 6377 , 6379</v>
      </c>
      <c r="K1632" s="2" t="str">
        <f ca="1">IFERROR(__xludf.DUMMYFUNCTION("""COMPUTED_VALUE"""),"Fermentando")</f>
        <v>Fermentando</v>
      </c>
      <c r="L1632" s="2"/>
      <c r="M1632" s="2" t="str">
        <f ca="1">IFERROR(__xludf.DUMMYFUNCTION("""COMPUTED_VALUE"""),"Tinto")</f>
        <v>Tinto</v>
      </c>
    </row>
    <row r="1633" spans="1:13" x14ac:dyDescent="0.25">
      <c r="A1633" s="2" t="str">
        <f ca="1">IFERROR(__xludf.DUMMYFUNCTION("""COMPUTED_VALUE"""),"e6f6d6ba")</f>
        <v>e6f6d6ba</v>
      </c>
      <c r="B1633" s="2"/>
      <c r="C1633" s="5">
        <f ca="1">IFERROR(__xludf.DUMMYFUNCTION("""COMPUTED_VALUE"""),46107.387824074)</f>
        <v>46107.387824074001</v>
      </c>
      <c r="D1633" s="2">
        <f ca="1">IFERROR(__xludf.DUMMYFUNCTION("""COMPUTED_VALUE"""),114)</f>
        <v>114</v>
      </c>
      <c r="E1633" s="2">
        <f ca="1">IFERROR(__xludf.DUMMYFUNCTION("""COMPUTED_VALUE"""),125300)</f>
        <v>125300</v>
      </c>
      <c r="F1633" s="2" t="str">
        <f ca="1">IFERROR(__xludf.DUMMYFUNCTION("""COMPUTED_VALUE"""),"Syrah")</f>
        <v>Syrah</v>
      </c>
      <c r="G1633" s="2">
        <f ca="1">IFERROR(__xludf.DUMMYFUNCTION("""COMPUTED_VALUE"""),71300)</f>
        <v>71300</v>
      </c>
      <c r="H1633" s="2">
        <f ca="1">IFERROR(__xludf.DUMMYFUNCTION("""COMPUTED_VALUE"""),86300)</f>
        <v>86300</v>
      </c>
      <c r="I1633" s="2"/>
      <c r="J1633" s="2"/>
      <c r="K1633" s="2" t="str">
        <f ca="1">IFERROR(__xludf.DUMMYFUNCTION("""COMPUTED_VALUE"""),"Descubada")</f>
        <v>Descubada</v>
      </c>
      <c r="L1633" s="2" t="str">
        <f ca="1">IFERROR(__xludf.DUMMYFUNCTION("""COMPUTED_VALUE"""),"1-")</f>
        <v>1-</v>
      </c>
      <c r="M1633" s="2" t="str">
        <f ca="1">IFERROR(__xludf.DUMMYFUNCTION("""COMPUTED_VALUE"""),"Tinto")</f>
        <v>Tinto</v>
      </c>
    </row>
    <row r="1634" spans="1:13" x14ac:dyDescent="0.25">
      <c r="A1634" s="2" t="str">
        <f ca="1">IFERROR(__xludf.DUMMYFUNCTION("""COMPUTED_VALUE"""),"99baf285")</f>
        <v>99baf285</v>
      </c>
      <c r="B1634" s="2"/>
      <c r="C1634" s="5">
        <f ca="1">IFERROR(__xludf.DUMMYFUNCTION("""COMPUTED_VALUE"""),46107.3883101851)</f>
        <v>46107.388310185102</v>
      </c>
      <c r="D1634" s="2">
        <f ca="1">IFERROR(__xludf.DUMMYFUNCTION("""COMPUTED_VALUE"""),114)</f>
        <v>114</v>
      </c>
      <c r="E1634" s="2">
        <f ca="1">IFERROR(__xludf.DUMMYFUNCTION("""COMPUTED_VALUE"""),125300)</f>
        <v>125300</v>
      </c>
      <c r="F1634" s="2" t="str">
        <f ca="1">IFERROR(__xludf.DUMMYFUNCTION("""COMPUTED_VALUE"""),"Syrah")</f>
        <v>Syrah</v>
      </c>
      <c r="G1634" s="2">
        <f ca="1">IFERROR(__xludf.DUMMYFUNCTION("""COMPUTED_VALUE"""),86300)</f>
        <v>86300</v>
      </c>
      <c r="H1634" s="2">
        <f ca="1">IFERROR(__xludf.DUMMYFUNCTION("""COMPUTED_VALUE"""),101300)</f>
        <v>101300</v>
      </c>
      <c r="I1634" s="2"/>
      <c r="J1634" s="2"/>
      <c r="K1634" s="2" t="str">
        <f ca="1">IFERROR(__xludf.DUMMYFUNCTION("""COMPUTED_VALUE"""),"Descubada")</f>
        <v>Descubada</v>
      </c>
      <c r="L1634" s="2" t="str">
        <f ca="1">IFERROR(__xludf.DUMMYFUNCTION("""COMPUTED_VALUE"""),"1-")</f>
        <v>1-</v>
      </c>
      <c r="M1634" s="2" t="str">
        <f ca="1">IFERROR(__xludf.DUMMYFUNCTION("""COMPUTED_VALUE"""),"Tinto")</f>
        <v>Tinto</v>
      </c>
    </row>
    <row r="1635" spans="1:13" x14ac:dyDescent="0.25">
      <c r="A1635" s="2" t="str">
        <f ca="1">IFERROR(__xludf.DUMMYFUNCTION("""COMPUTED_VALUE"""),"f3f41b27")</f>
        <v>f3f41b27</v>
      </c>
      <c r="B1635" s="2"/>
      <c r="C1635" s="5">
        <f ca="1">IFERROR(__xludf.DUMMYFUNCTION("""COMPUTED_VALUE"""),46107.4429282407)</f>
        <v>46107.4429282407</v>
      </c>
      <c r="D1635" s="2">
        <f ca="1">IFERROR(__xludf.DUMMYFUNCTION("""COMPUTED_VALUE"""),79)</f>
        <v>79</v>
      </c>
      <c r="E1635" s="2">
        <f ca="1">IFERROR(__xludf.DUMMYFUNCTION("""COMPUTED_VALUE"""),26000)</f>
        <v>26000</v>
      </c>
      <c r="F1635" s="2" t="str">
        <f ca="1">IFERROR(__xludf.DUMMYFUNCTION("""COMPUTED_VALUE"""),"Criolla")</f>
        <v>Criolla</v>
      </c>
      <c r="G1635" s="2"/>
      <c r="H1635" s="2">
        <f ca="1">IFERROR(__xludf.DUMMYFUNCTION("""COMPUTED_VALUE"""),31820)</f>
        <v>31820</v>
      </c>
      <c r="I1635" s="2"/>
      <c r="J1635" s="2" t="str">
        <f ca="1">IFERROR(__xludf.DUMMYFUNCTION("""COMPUTED_VALUE"""),"6371 , 6373 , 6376 , 6377 , 6379")</f>
        <v>6371 , 6373 , 6376 , 6377 , 6379</v>
      </c>
      <c r="K1635" s="2" t="str">
        <f ca="1">IFERROR(__xludf.DUMMYFUNCTION("""COMPUTED_VALUE"""),"Fermentando")</f>
        <v>Fermentando</v>
      </c>
      <c r="L1635" s="2"/>
      <c r="M1635" s="2" t="str">
        <f ca="1">IFERROR(__xludf.DUMMYFUNCTION("""COMPUTED_VALUE"""),"Tinto")</f>
        <v>Tinto</v>
      </c>
    </row>
    <row r="1636" spans="1:13" x14ac:dyDescent="0.25">
      <c r="A1636" s="2" t="str">
        <f ca="1">IFERROR(__xludf.DUMMYFUNCTION("""COMPUTED_VALUE"""),"c027f71f")</f>
        <v>c027f71f</v>
      </c>
      <c r="B1636" s="2"/>
      <c r="C1636" s="5">
        <f ca="1">IFERROR(__xludf.DUMMYFUNCTION("""COMPUTED_VALUE"""),46107.4465393518)</f>
        <v>46107.446539351797</v>
      </c>
      <c r="D1636" s="2">
        <f ca="1">IFERROR(__xludf.DUMMYFUNCTION("""COMPUTED_VALUE"""),12)</f>
        <v>12</v>
      </c>
      <c r="E1636" s="2">
        <f ca="1">IFERROR(__xludf.DUMMYFUNCTION("""COMPUTED_VALUE"""),35300)</f>
        <v>35300</v>
      </c>
      <c r="F1636" s="2" t="str">
        <f ca="1">IFERROR(__xludf.DUMMYFUNCTION("""COMPUTED_VALUE"""),"Criolla Rectificada")</f>
        <v>Criolla Rectificada</v>
      </c>
      <c r="G1636" s="2">
        <f ca="1">IFERROR(__xludf.DUMMYFUNCTION("""COMPUTED_VALUE"""),0)</f>
        <v>0</v>
      </c>
      <c r="H1636" s="2">
        <f ca="1">IFERROR(__xludf.DUMMYFUNCTION("""COMPUTED_VALUE"""),7600)</f>
        <v>7600</v>
      </c>
      <c r="I1636" s="2"/>
      <c r="J1636" s="2"/>
      <c r="K1636" s="2" t="str">
        <f ca="1">IFERROR(__xludf.DUMMYFUNCTION("""COMPUTED_VALUE"""),"Rectificado")</f>
        <v>Rectificado</v>
      </c>
      <c r="L1636" s="2"/>
      <c r="M1636" s="2" t="str">
        <f ca="1">IFERROR(__xludf.DUMMYFUNCTION("""COMPUTED_VALUE"""),"Tinto")</f>
        <v>Tinto</v>
      </c>
    </row>
    <row r="1637" spans="1:13" x14ac:dyDescent="0.25">
      <c r="A1637" s="2" t="str">
        <f ca="1">IFERROR(__xludf.DUMMYFUNCTION("""COMPUTED_VALUE"""),"de620113")</f>
        <v>de620113</v>
      </c>
      <c r="B1637" s="2"/>
      <c r="C1637" s="5">
        <f ca="1">IFERROR(__xludf.DUMMYFUNCTION("""COMPUTED_VALUE"""),46107.4468287037)</f>
        <v>46107.446828703702</v>
      </c>
      <c r="D1637" s="2">
        <f ca="1">IFERROR(__xludf.DUMMYFUNCTION("""COMPUTED_VALUE"""),75)</f>
        <v>75</v>
      </c>
      <c r="E1637" s="2">
        <f ca="1">IFERROR(__xludf.DUMMYFUNCTION("""COMPUTED_VALUE"""),7000)</f>
        <v>7000</v>
      </c>
      <c r="F1637" s="2" t="str">
        <f ca="1">IFERROR(__xludf.DUMMYFUNCTION("""COMPUTED_VALUE"""),"Criolla")</f>
        <v>Criolla</v>
      </c>
      <c r="G1637" s="2">
        <f ca="1">IFERROR(__xludf.DUMMYFUNCTION("""COMPUTED_VALUE"""),0)</f>
        <v>0</v>
      </c>
      <c r="H1637" s="2">
        <f ca="1">IFERROR(__xludf.DUMMYFUNCTION("""COMPUTED_VALUE"""),5000)</f>
        <v>5000</v>
      </c>
      <c r="I1637" s="2"/>
      <c r="J1637" s="2"/>
      <c r="K1637" s="2" t="str">
        <f ca="1">IFERROR(__xludf.DUMMYFUNCTION("""COMPUTED_VALUE"""),"Fermentando")</f>
        <v>Fermentando</v>
      </c>
      <c r="L1637" s="2"/>
      <c r="M1637" s="2" t="str">
        <f ca="1">IFERROR(__xludf.DUMMYFUNCTION("""COMPUTED_VALUE"""),"Tinto")</f>
        <v>Tinto</v>
      </c>
    </row>
    <row r="1638" spans="1:13" x14ac:dyDescent="0.25">
      <c r="A1638" s="2" t="str">
        <f ca="1">IFERROR(__xludf.DUMMYFUNCTION("""COMPUTED_VALUE"""),"4930e6d3")</f>
        <v>4930e6d3</v>
      </c>
      <c r="B1638" s="2"/>
      <c r="C1638" s="5">
        <f ca="1">IFERROR(__xludf.DUMMYFUNCTION("""COMPUTED_VALUE"""),46107.8152546296)</f>
        <v>46107.815254629597</v>
      </c>
      <c r="D1638" s="2">
        <f ca="1">IFERROR(__xludf.DUMMYFUNCTION("""COMPUTED_VALUE"""),88)</f>
        <v>88</v>
      </c>
      <c r="E1638" s="2">
        <f ca="1">IFERROR(__xludf.DUMMYFUNCTION("""COMPUTED_VALUE"""),78900)</f>
        <v>78900</v>
      </c>
      <c r="F1638" s="2" t="str">
        <f ca="1">IFERROR(__xludf.DUMMYFUNCTION("""COMPUTED_VALUE"""),"Malbec")</f>
        <v>Malbec</v>
      </c>
      <c r="G1638" s="2"/>
      <c r="H1638" s="2">
        <f ca="1">IFERROR(__xludf.DUMMYFUNCTION("""COMPUTED_VALUE"""),40000)</f>
        <v>40000</v>
      </c>
      <c r="I1638" s="2" t="str">
        <f ca="1">IFERROR(__xludf.DUMMYFUNCTION("""COMPUTED_VALUE"""),"Notas orégano, hierba seca.")</f>
        <v>Notas orégano, hierba seca.</v>
      </c>
      <c r="J1638" s="2" t="str">
        <f ca="1">IFERROR(__xludf.DUMMYFUNCTION("""COMPUTED_VALUE"""),"6382 , 6383 , 6384 , 6385 , 6386 , 6387")</f>
        <v>6382 , 6383 , 6384 , 6385 , 6386 , 6387</v>
      </c>
      <c r="K1638" s="2" t="str">
        <f ca="1">IFERROR(__xludf.DUMMYFUNCTION("""COMPUTED_VALUE"""),"Fermentando")</f>
        <v>Fermentando</v>
      </c>
      <c r="L1638" s="2" t="str">
        <f ca="1">IFERROR(__xludf.DUMMYFUNCTION("""COMPUTED_VALUE"""),"1")</f>
        <v>1</v>
      </c>
      <c r="M1638" s="2" t="str">
        <f ca="1">IFERROR(__xludf.DUMMYFUNCTION("""COMPUTED_VALUE"""),"Tinto")</f>
        <v>Tinto</v>
      </c>
    </row>
    <row r="1639" spans="1:13" x14ac:dyDescent="0.25">
      <c r="A1639" s="2" t="str">
        <f ca="1">IFERROR(__xludf.DUMMYFUNCTION("""COMPUTED_VALUE"""),"9e280bc6")</f>
        <v>9e280bc6</v>
      </c>
      <c r="B1639" s="2"/>
      <c r="C1639" s="5">
        <f ca="1">IFERROR(__xludf.DUMMYFUNCTION("""COMPUTED_VALUE"""),46107.8261689814)</f>
        <v>46107.826168981403</v>
      </c>
      <c r="D1639" s="2">
        <f ca="1">IFERROR(__xludf.DUMMYFUNCTION("""COMPUTED_VALUE"""),114)</f>
        <v>114</v>
      </c>
      <c r="E1639" s="2">
        <f ca="1">IFERROR(__xludf.DUMMYFUNCTION("""COMPUTED_VALUE"""),125300)</f>
        <v>125300</v>
      </c>
      <c r="F1639" s="2" t="str">
        <f ca="1">IFERROR(__xludf.DUMMYFUNCTION("""COMPUTED_VALUE"""),"Syrah")</f>
        <v>Syrah</v>
      </c>
      <c r="G1639" s="2">
        <f ca="1">IFERROR(__xludf.DUMMYFUNCTION("""COMPUTED_VALUE"""),101300)</f>
        <v>101300</v>
      </c>
      <c r="H1639" s="2">
        <f ca="1">IFERROR(__xludf.DUMMYFUNCTION("""COMPUTED_VALUE"""),125300)</f>
        <v>125300</v>
      </c>
      <c r="I1639" s="2" t="str">
        <f ca="1">IFERROR(__xludf.DUMMYFUNCTION("""COMPUTED_VALUE"""),"Muy limpio. Rico")</f>
        <v>Muy limpio. Rico</v>
      </c>
      <c r="J1639" s="2"/>
      <c r="K1639" s="2" t="str">
        <f ca="1">IFERROR(__xludf.DUMMYFUNCTION("""COMPUTED_VALUE"""),"Descubada")</f>
        <v>Descubada</v>
      </c>
      <c r="L1639" s="2" t="str">
        <f ca="1">IFERROR(__xludf.DUMMYFUNCTION("""COMPUTED_VALUE"""),"1")</f>
        <v>1</v>
      </c>
      <c r="M1639" s="2" t="str">
        <f ca="1">IFERROR(__xludf.DUMMYFUNCTION("""COMPUTED_VALUE"""),"Tinto")</f>
        <v>Tinto</v>
      </c>
    </row>
    <row r="1640" spans="1:13" x14ac:dyDescent="0.25">
      <c r="A1640" s="2" t="str">
        <f ca="1">IFERROR(__xludf.DUMMYFUNCTION("""COMPUTED_VALUE"""),"2d5185da")</f>
        <v>2d5185da</v>
      </c>
      <c r="B1640" s="2"/>
      <c r="C1640" s="5">
        <f ca="1">IFERROR(__xludf.DUMMYFUNCTION("""COMPUTED_VALUE"""),46107.8264930555)</f>
        <v>46107.826493055501</v>
      </c>
      <c r="D1640" s="2">
        <f ca="1">IFERROR(__xludf.DUMMYFUNCTION("""COMPUTED_VALUE"""),115)</f>
        <v>115</v>
      </c>
      <c r="E1640" s="2">
        <f ca="1">IFERROR(__xludf.DUMMYFUNCTION("""COMPUTED_VALUE"""),120200)</f>
        <v>120200</v>
      </c>
      <c r="F1640" s="2" t="str">
        <f ca="1">IFERROR(__xludf.DUMMYFUNCTION("""COMPUTED_VALUE"""),"Syrah pc")</f>
        <v>Syrah pc</v>
      </c>
      <c r="G1640" s="2">
        <f ca="1">IFERROR(__xludf.DUMMYFUNCTION("""COMPUTED_VALUE"""),0)</f>
        <v>0</v>
      </c>
      <c r="H1640" s="2">
        <f ca="1">IFERROR(__xludf.DUMMYFUNCTION("""COMPUTED_VALUE"""),30000)</f>
        <v>30000</v>
      </c>
      <c r="I1640" s="2"/>
      <c r="J1640" s="2"/>
      <c r="K1640" s="2" t="str">
        <f ca="1">IFERROR(__xludf.DUMMYFUNCTION("""COMPUTED_VALUE"""),"Descubada")</f>
        <v>Descubada</v>
      </c>
      <c r="L1640" s="2" t="str">
        <f ca="1">IFERROR(__xludf.DUMMYFUNCTION("""COMPUTED_VALUE"""),"1+")</f>
        <v>1+</v>
      </c>
      <c r="M1640" s="2" t="str">
        <f ca="1">IFERROR(__xludf.DUMMYFUNCTION("""COMPUTED_VALUE"""),"Tinto")</f>
        <v>Tinto</v>
      </c>
    </row>
    <row r="1641" spans="1:13" x14ac:dyDescent="0.25">
      <c r="A1641" s="2" t="str">
        <f ca="1">IFERROR(__xludf.DUMMYFUNCTION("""COMPUTED_VALUE"""),"e8af8964")</f>
        <v>e8af8964</v>
      </c>
      <c r="B1641" s="2"/>
      <c r="C1641" s="5">
        <f ca="1">IFERROR(__xludf.DUMMYFUNCTION("""COMPUTED_VALUE"""),46100.8310648148)</f>
        <v>46100.831064814804</v>
      </c>
      <c r="D1641" s="2">
        <f ca="1">IFERROR(__xludf.DUMMYFUNCTION("""COMPUTED_VALUE"""),78)</f>
        <v>78</v>
      </c>
      <c r="E1641" s="2">
        <f ca="1">IFERROR(__xludf.DUMMYFUNCTION("""COMPUTED_VALUE"""),25800)</f>
        <v>25800</v>
      </c>
      <c r="F1641" s="2" t="str">
        <f ca="1">IFERROR(__xludf.DUMMYFUNCTION("""COMPUTED_VALUE"""),"Rosado Criolla")</f>
        <v>Rosado Criolla</v>
      </c>
      <c r="G1641" s="2"/>
      <c r="H1641" s="2">
        <f ca="1">IFERROR(__xludf.DUMMYFUNCTION("""COMPUTED_VALUE"""),23000)</f>
        <v>23000</v>
      </c>
      <c r="I1641" s="2"/>
      <c r="J1641" s="2" t="str">
        <f ca="1">IFERROR(__xludf.DUMMYFUNCTION("""COMPUTED_VALUE"""),"6344 , 6345 , 6350")</f>
        <v>6344 , 6345 , 6350</v>
      </c>
      <c r="K1641" s="2" t="str">
        <f ca="1">IFERROR(__xludf.DUMMYFUNCTION("""COMPUTED_VALUE"""),"Fermentando")</f>
        <v>Fermentando</v>
      </c>
      <c r="L1641" s="2" t="str">
        <f ca="1">IFERROR(__xludf.DUMMYFUNCTION("""COMPUTED_VALUE"""),"1")</f>
        <v>1</v>
      </c>
      <c r="M1641" s="2" t="str">
        <f ca="1">IFERROR(__xludf.DUMMYFUNCTION("""COMPUTED_VALUE"""),"Tinto")</f>
        <v>Tinto</v>
      </c>
    </row>
    <row r="1642" spans="1:13" x14ac:dyDescent="0.25">
      <c r="A1642" s="2" t="str">
        <f ca="1">IFERROR(__xludf.DUMMYFUNCTION("""COMPUTED_VALUE"""),"3528ca74")</f>
        <v>3528ca74</v>
      </c>
      <c r="B1642" s="2"/>
      <c r="C1642" s="5">
        <f ca="1">IFERROR(__xludf.DUMMYFUNCTION("""COMPUTED_VALUE"""),46107.8344675925)</f>
        <v>46107.834467592496</v>
      </c>
      <c r="D1642" s="2">
        <f ca="1">IFERROR(__xludf.DUMMYFUNCTION("""COMPUTED_VALUE"""),36)</f>
        <v>36</v>
      </c>
      <c r="E1642" s="2">
        <f ca="1">IFERROR(__xludf.DUMMYFUNCTION("""COMPUTED_VALUE"""),19700)</f>
        <v>19700</v>
      </c>
      <c r="F1642" s="2" t="str">
        <f ca="1">IFERROR(__xludf.DUMMYFUNCTION("""COMPUTED_VALUE"""),"Criolla Rectificado")</f>
        <v>Criolla Rectificado</v>
      </c>
      <c r="G1642" s="2">
        <f ca="1">IFERROR(__xludf.DUMMYFUNCTION("""COMPUTED_VALUE"""),0)</f>
        <v>0</v>
      </c>
      <c r="H1642" s="2">
        <f ca="1">IFERROR(__xludf.DUMMYFUNCTION("""COMPUTED_VALUE"""),8000)</f>
        <v>8000</v>
      </c>
      <c r="I1642" s="2"/>
      <c r="J1642" s="2"/>
      <c r="K1642" s="2" t="str">
        <f ca="1">IFERROR(__xludf.DUMMYFUNCTION("""COMPUTED_VALUE"""),"Rectificado")</f>
        <v>Rectificado</v>
      </c>
      <c r="L1642" s="2"/>
      <c r="M1642" s="2" t="str">
        <f ca="1">IFERROR(__xludf.DUMMYFUNCTION("""COMPUTED_VALUE"""),"Tinto")</f>
        <v>Tinto</v>
      </c>
    </row>
    <row r="1643" spans="1:13" x14ac:dyDescent="0.25">
      <c r="A1643" s="2" t="str">
        <f ca="1">IFERROR(__xludf.DUMMYFUNCTION("""COMPUTED_VALUE"""),"464dda8d")</f>
        <v>464dda8d</v>
      </c>
      <c r="B1643" s="2"/>
      <c r="C1643" s="5">
        <f ca="1">IFERROR(__xludf.DUMMYFUNCTION("""COMPUTED_VALUE"""),46107.8350347222)</f>
        <v>46107.8350347222</v>
      </c>
      <c r="D1643" s="2">
        <f ca="1">IFERROR(__xludf.DUMMYFUNCTION("""COMPUTED_VALUE"""),36)</f>
        <v>36</v>
      </c>
      <c r="E1643" s="2">
        <f ca="1">IFERROR(__xludf.DUMMYFUNCTION("""COMPUTED_VALUE"""),19700)</f>
        <v>19700</v>
      </c>
      <c r="F1643" s="2" t="str">
        <f ca="1">IFERROR(__xludf.DUMMYFUNCTION("""COMPUTED_VALUE"""),"Criolla Rectificado")</f>
        <v>Criolla Rectificado</v>
      </c>
      <c r="G1643" s="2">
        <f ca="1">IFERROR(__xludf.DUMMYFUNCTION("""COMPUTED_VALUE"""),8000)</f>
        <v>8000</v>
      </c>
      <c r="H1643" s="2">
        <f ca="1">IFERROR(__xludf.DUMMYFUNCTION("""COMPUTED_VALUE"""),0)</f>
        <v>0</v>
      </c>
      <c r="I1643" s="2"/>
      <c r="J1643" s="2"/>
      <c r="K1643" s="2" t="str">
        <f ca="1">IFERROR(__xludf.DUMMYFUNCTION("""COMPUTED_VALUE"""),"Rectificado")</f>
        <v>Rectificado</v>
      </c>
      <c r="L1643" s="2"/>
      <c r="M1643" s="2" t="str">
        <f ca="1">IFERROR(__xludf.DUMMYFUNCTION("""COMPUTED_VALUE"""),"Tinto")</f>
        <v>Tinto</v>
      </c>
    </row>
    <row r="1644" spans="1:13" x14ac:dyDescent="0.25">
      <c r="A1644" s="2" t="str">
        <f ca="1">IFERROR(__xludf.DUMMYFUNCTION("""COMPUTED_VALUE"""),"b715f41c")</f>
        <v>b715f41c</v>
      </c>
      <c r="B1644" s="2"/>
      <c r="C1644" s="5">
        <f ca="1">IFERROR(__xludf.DUMMYFUNCTION("""COMPUTED_VALUE"""),46107.8370717592)</f>
        <v>46107.837071759197</v>
      </c>
      <c r="D1644" s="2">
        <f ca="1">IFERROR(__xludf.DUMMYFUNCTION("""COMPUTED_VALUE"""),9)</f>
        <v>9</v>
      </c>
      <c r="E1644" s="2">
        <f ca="1">IFERROR(__xludf.DUMMYFUNCTION("""COMPUTED_VALUE"""),30000)</f>
        <v>30000</v>
      </c>
      <c r="F1644" s="2" t="str">
        <f ca="1">IFERROR(__xludf.DUMMYFUNCTION("""COMPUTED_VALUE"""),"Malbec Rect")</f>
        <v>Malbec Rect</v>
      </c>
      <c r="G1644" s="2">
        <f ca="1">IFERROR(__xludf.DUMMYFUNCTION("""COMPUTED_VALUE"""),9900)</f>
        <v>9900</v>
      </c>
      <c r="H1644" s="2">
        <f ca="1">IFERROR(__xludf.DUMMYFUNCTION("""COMPUTED_VALUE"""),2900)</f>
        <v>2900</v>
      </c>
      <c r="I1644" s="2"/>
      <c r="J1644" s="2"/>
      <c r="K1644" s="2" t="str">
        <f ca="1">IFERROR(__xludf.DUMMYFUNCTION("""COMPUTED_VALUE"""),"Rectificado")</f>
        <v>Rectificado</v>
      </c>
      <c r="L1644" s="2" t="str">
        <f ca="1">IFERROR(__xludf.DUMMYFUNCTION("""COMPUTED_VALUE"""),"1-")</f>
        <v>1-</v>
      </c>
      <c r="M1644" s="2" t="str">
        <f ca="1">IFERROR(__xludf.DUMMYFUNCTION("""COMPUTED_VALUE"""),"Tinto")</f>
        <v>Tinto</v>
      </c>
    </row>
    <row r="1645" spans="1:13" x14ac:dyDescent="0.25">
      <c r="A1645" s="2" t="str">
        <f ca="1">IFERROR(__xludf.DUMMYFUNCTION("""COMPUTED_VALUE"""),"53cc4912")</f>
        <v>53cc4912</v>
      </c>
      <c r="B1645" s="2"/>
      <c r="C1645" s="5">
        <f ca="1">IFERROR(__xludf.DUMMYFUNCTION("""COMPUTED_VALUE"""),46107.8389930555)</f>
        <v>46107.838993055499</v>
      </c>
      <c r="D1645" s="2">
        <f ca="1">IFERROR(__xludf.DUMMYFUNCTION("""COMPUTED_VALUE"""),86)</f>
        <v>86</v>
      </c>
      <c r="E1645" s="2">
        <f ca="1">IFERROR(__xludf.DUMMYFUNCTION("""COMPUTED_VALUE"""),88000)</f>
        <v>88000</v>
      </c>
      <c r="F1645" s="2" t="str">
        <f ca="1">IFERROR(__xludf.DUMMYFUNCTION("""COMPUTED_VALUE"""),"Malbec PC")</f>
        <v>Malbec PC</v>
      </c>
      <c r="G1645" s="2">
        <f ca="1">IFERROR(__xludf.DUMMYFUNCTION("""COMPUTED_VALUE"""),40600)</f>
        <v>40600</v>
      </c>
      <c r="H1645" s="2">
        <f ca="1">IFERROR(__xludf.DUMMYFUNCTION("""COMPUTED_VALUE"""),46600)</f>
        <v>46600</v>
      </c>
      <c r="I1645" s="2"/>
      <c r="J1645" s="2"/>
      <c r="K1645" s="2" t="str">
        <f ca="1">IFERROR(__xludf.DUMMYFUNCTION("""COMPUTED_VALUE"""),"Fermentando")</f>
        <v>Fermentando</v>
      </c>
      <c r="L1645" s="2"/>
      <c r="M1645" s="2" t="str">
        <f ca="1">IFERROR(__xludf.DUMMYFUNCTION("""COMPUTED_VALUE"""),"Tinto")</f>
        <v>Tinto</v>
      </c>
    </row>
    <row r="1646" spans="1:13" x14ac:dyDescent="0.25">
      <c r="A1646" s="2" t="str">
        <f ca="1">IFERROR(__xludf.DUMMYFUNCTION("""COMPUTED_VALUE"""),"29e47de6")</f>
        <v>29e47de6</v>
      </c>
      <c r="B1646" s="2"/>
      <c r="C1646" s="5">
        <f ca="1">IFERROR(__xludf.DUMMYFUNCTION("""COMPUTED_VALUE"""),46107.844699074)</f>
        <v>46107.844699073998</v>
      </c>
      <c r="D1646" s="2">
        <f ca="1">IFERROR(__xludf.DUMMYFUNCTION("""COMPUTED_VALUE"""),12)</f>
        <v>12</v>
      </c>
      <c r="E1646" s="2">
        <f ca="1">IFERROR(__xludf.DUMMYFUNCTION("""COMPUTED_VALUE"""),35300)</f>
        <v>35300</v>
      </c>
      <c r="F1646" s="2" t="str">
        <f ca="1">IFERROR(__xludf.DUMMYFUNCTION("""COMPUTED_VALUE"""),"Criolla")</f>
        <v>Criolla</v>
      </c>
      <c r="G1646" s="2">
        <f ca="1">IFERROR(__xludf.DUMMYFUNCTION("""COMPUTED_VALUE"""),7600)</f>
        <v>7600</v>
      </c>
      <c r="H1646" s="2">
        <f ca="1">IFERROR(__xludf.DUMMYFUNCTION("""COMPUTED_VALUE"""),1600)</f>
        <v>1600</v>
      </c>
      <c r="I1646" s="2"/>
      <c r="J1646" s="2"/>
      <c r="K1646" s="2" t="str">
        <f ca="1">IFERROR(__xludf.DUMMYFUNCTION("""COMPUTED_VALUE"""),"Fermentando")</f>
        <v>Fermentando</v>
      </c>
      <c r="L1646" s="2"/>
      <c r="M1646" s="2" t="str">
        <f ca="1">IFERROR(__xludf.DUMMYFUNCTION("""COMPUTED_VALUE"""),"Tinto")</f>
        <v>Tinto</v>
      </c>
    </row>
    <row r="1647" spans="1:13" x14ac:dyDescent="0.25">
      <c r="A1647" s="2" t="str">
        <f ca="1">IFERROR(__xludf.DUMMYFUNCTION("""COMPUTED_VALUE"""),"6fdc6312")</f>
        <v>6fdc6312</v>
      </c>
      <c r="B1647" s="2"/>
      <c r="C1647" s="5">
        <f ca="1">IFERROR(__xludf.DUMMYFUNCTION("""COMPUTED_VALUE"""),46107.8455439814)</f>
        <v>46107.845543981399</v>
      </c>
      <c r="D1647" s="2">
        <f ca="1">IFERROR(__xludf.DUMMYFUNCTION("""COMPUTED_VALUE"""),70)</f>
        <v>70</v>
      </c>
      <c r="E1647" s="2">
        <f ca="1">IFERROR(__xludf.DUMMYFUNCTION("""COMPUTED_VALUE"""),13000)</f>
        <v>13000</v>
      </c>
      <c r="F1647" s="2" t="str">
        <f ca="1">IFERROR(__xludf.DUMMYFUNCTION("""COMPUTED_VALUE"""),"Criolla Filt")</f>
        <v>Criolla Filt</v>
      </c>
      <c r="G1647" s="2">
        <f ca="1">IFERROR(__xludf.DUMMYFUNCTION("""COMPUTED_VALUE"""),0)</f>
        <v>0</v>
      </c>
      <c r="H1647" s="2">
        <f ca="1">IFERROR(__xludf.DUMMYFUNCTION("""COMPUTED_VALUE"""),5000)</f>
        <v>5000</v>
      </c>
      <c r="I1647" s="2"/>
      <c r="J1647" s="2"/>
      <c r="K1647" s="2" t="str">
        <f ca="1">IFERROR(__xludf.DUMMYFUNCTION("""COMPUTED_VALUE"""),"Fermentando")</f>
        <v>Fermentando</v>
      </c>
      <c r="L1647" s="2"/>
      <c r="M1647" s="2" t="str">
        <f ca="1">IFERROR(__xludf.DUMMYFUNCTION("""COMPUTED_VALUE"""),"Tinto")</f>
        <v>Tinto</v>
      </c>
    </row>
    <row r="1648" spans="1:13" x14ac:dyDescent="0.25">
      <c r="A1648" s="2" t="str">
        <f ca="1">IFERROR(__xludf.DUMMYFUNCTION("""COMPUTED_VALUE"""),"31c21fdb")</f>
        <v>31c21fdb</v>
      </c>
      <c r="B1648" s="2"/>
      <c r="C1648" s="5">
        <f ca="1">IFERROR(__xludf.DUMMYFUNCTION("""COMPUTED_VALUE"""),46107.8458449074)</f>
        <v>46107.845844907402</v>
      </c>
      <c r="D1648" s="2">
        <f ca="1">IFERROR(__xludf.DUMMYFUNCTION("""COMPUTED_VALUE"""),70)</f>
        <v>70</v>
      </c>
      <c r="E1648" s="2">
        <f ca="1">IFERROR(__xludf.DUMMYFUNCTION("""COMPUTED_VALUE"""),13000)</f>
        <v>13000</v>
      </c>
      <c r="F1648" s="2" t="str">
        <f ca="1">IFERROR(__xludf.DUMMYFUNCTION("""COMPUTED_VALUE"""),"Criolla Filt")</f>
        <v>Criolla Filt</v>
      </c>
      <c r="G1648" s="2">
        <f ca="1">IFERROR(__xludf.DUMMYFUNCTION("""COMPUTED_VALUE"""),5000)</f>
        <v>5000</v>
      </c>
      <c r="H1648" s="2">
        <f ca="1">IFERROR(__xludf.DUMMYFUNCTION("""COMPUTED_VALUE"""),6600)</f>
        <v>6600</v>
      </c>
      <c r="I1648" s="2"/>
      <c r="J1648" s="2"/>
      <c r="K1648" s="2" t="str">
        <f ca="1">IFERROR(__xludf.DUMMYFUNCTION("""COMPUTED_VALUE"""),"Fermentando")</f>
        <v>Fermentando</v>
      </c>
      <c r="L1648" s="2" t="str">
        <f ca="1">IFERROR(__xludf.DUMMYFUNCTION("""COMPUTED_VALUE"""),"1")</f>
        <v>1</v>
      </c>
      <c r="M1648" s="2" t="str">
        <f ca="1">IFERROR(__xludf.DUMMYFUNCTION("""COMPUTED_VALUE"""),"Tinto")</f>
        <v>Tinto</v>
      </c>
    </row>
    <row r="1649" spans="1:13" x14ac:dyDescent="0.25">
      <c r="A1649" s="2" t="str">
        <f ca="1">IFERROR(__xludf.DUMMYFUNCTION("""COMPUTED_VALUE"""),"7f660062")</f>
        <v>7f660062</v>
      </c>
      <c r="B1649" s="2"/>
      <c r="C1649" s="5">
        <f ca="1">IFERROR(__xludf.DUMMYFUNCTION("""COMPUTED_VALUE"""),46108.761875)</f>
        <v>46108.761874999997</v>
      </c>
      <c r="D1649" s="2">
        <f ca="1">IFERROR(__xludf.DUMMYFUNCTION("""COMPUTED_VALUE"""),115)</f>
        <v>115</v>
      </c>
      <c r="E1649" s="2">
        <f ca="1">IFERROR(__xludf.DUMMYFUNCTION("""COMPUTED_VALUE"""),120200)</f>
        <v>120200</v>
      </c>
      <c r="F1649" s="2" t="str">
        <f ca="1">IFERROR(__xludf.DUMMYFUNCTION("""COMPUTED_VALUE"""),"Syrah")</f>
        <v>Syrah</v>
      </c>
      <c r="G1649" s="2">
        <f ca="1">IFERROR(__xludf.DUMMYFUNCTION("""COMPUTED_VALUE"""),30000)</f>
        <v>30000</v>
      </c>
      <c r="H1649" s="2">
        <f ca="1">IFERROR(__xludf.DUMMYFUNCTION("""COMPUTED_VALUE"""),78000)</f>
        <v>78000</v>
      </c>
      <c r="I1649" s="2"/>
      <c r="J1649" s="2"/>
      <c r="K1649" s="2" t="str">
        <f ca="1">IFERROR(__xludf.DUMMYFUNCTION("""COMPUTED_VALUE"""),"Descubada")</f>
        <v>Descubada</v>
      </c>
      <c r="L1649" s="2" t="str">
        <f ca="1">IFERROR(__xludf.DUMMYFUNCTION("""COMPUTED_VALUE"""),"1+")</f>
        <v>1+</v>
      </c>
      <c r="M1649" s="2" t="str">
        <f ca="1">IFERROR(__xludf.DUMMYFUNCTION("""COMPUTED_VALUE"""),"Tinto")</f>
        <v>Tinto</v>
      </c>
    </row>
    <row r="1650" spans="1:13" x14ac:dyDescent="0.25">
      <c r="A1650" s="2" t="str">
        <f ca="1">IFERROR(__xludf.DUMMYFUNCTION("""COMPUTED_VALUE"""),"51258d47")</f>
        <v>51258d47</v>
      </c>
      <c r="B1650" s="2"/>
      <c r="C1650" s="5">
        <f ca="1">IFERROR(__xludf.DUMMYFUNCTION("""COMPUTED_VALUE"""),46107.4029976851)</f>
        <v>46107.402997685102</v>
      </c>
      <c r="D1650" s="2">
        <f ca="1">IFERROR(__xludf.DUMMYFUNCTION("""COMPUTED_VALUE"""),81)</f>
        <v>81</v>
      </c>
      <c r="E1650" s="2">
        <f ca="1">IFERROR(__xludf.DUMMYFUNCTION("""COMPUTED_VALUE"""),26500)</f>
        <v>26500</v>
      </c>
      <c r="F1650" s="2" t="str">
        <f ca="1">IFERROR(__xludf.DUMMYFUNCTION("""COMPUTED_VALUE"""),"Malbec")</f>
        <v>Malbec</v>
      </c>
      <c r="G1650" s="2"/>
      <c r="H1650" s="2">
        <f ca="1">IFERROR(__xludf.DUMMYFUNCTION("""COMPUTED_VALUE"""),14500)</f>
        <v>14500</v>
      </c>
      <c r="I1650" s="2"/>
      <c r="J1650" s="2" t="str">
        <f ca="1">IFERROR(__xludf.DUMMYFUNCTION("""COMPUTED_VALUE"""),"6388 , 6389 , 6397")</f>
        <v>6388 , 6389 , 6397</v>
      </c>
      <c r="K1650" s="2" t="str">
        <f ca="1">IFERROR(__xludf.DUMMYFUNCTION("""COMPUTED_VALUE"""),"Fermentando")</f>
        <v>Fermentando</v>
      </c>
      <c r="L1650" s="2"/>
      <c r="M1650" s="2" t="str">
        <f ca="1">IFERROR(__xludf.DUMMYFUNCTION("""COMPUTED_VALUE"""),"Tinto")</f>
        <v>Tinto</v>
      </c>
    </row>
    <row r="1651" spans="1:13" x14ac:dyDescent="0.25">
      <c r="A1651" s="2" t="str">
        <f ca="1">IFERROR(__xludf.DUMMYFUNCTION("""COMPUTED_VALUE"""),"aedafca4")</f>
        <v>aedafca4</v>
      </c>
      <c r="B1651" s="2"/>
      <c r="C1651" s="5">
        <f ca="1">IFERROR(__xludf.DUMMYFUNCTION("""COMPUTED_VALUE"""),46108.4045138888)</f>
        <v>46108.404513888803</v>
      </c>
      <c r="D1651" s="2">
        <f ca="1">IFERROR(__xludf.DUMMYFUNCTION("""COMPUTED_VALUE"""),89)</f>
        <v>89</v>
      </c>
      <c r="E1651" s="2">
        <f ca="1">IFERROR(__xludf.DUMMYFUNCTION("""COMPUTED_VALUE"""),83500)</f>
        <v>83500</v>
      </c>
      <c r="F1651" s="2" t="str">
        <f ca="1">IFERROR(__xludf.DUMMYFUNCTION("""COMPUTED_VALUE"""),"Malbec")</f>
        <v>Malbec</v>
      </c>
      <c r="G1651" s="2"/>
      <c r="H1651" s="2">
        <f ca="1">IFERROR(__xludf.DUMMYFUNCTION("""COMPUTED_VALUE"""),34400)</f>
        <v>34400</v>
      </c>
      <c r="I1651" s="2"/>
      <c r="J1651" s="2" t="str">
        <f ca="1">IFERROR(__xludf.DUMMYFUNCTION("""COMPUTED_VALUE"""),"6392 , 6393 , 6396 , 6399 , 6398")</f>
        <v>6392 , 6393 , 6396 , 6399 , 6398</v>
      </c>
      <c r="K1651" s="2" t="str">
        <f ca="1">IFERROR(__xludf.DUMMYFUNCTION("""COMPUTED_VALUE"""),"Fermentando")</f>
        <v>Fermentando</v>
      </c>
      <c r="L1651" s="2"/>
      <c r="M1651" s="2" t="str">
        <f ca="1">IFERROR(__xludf.DUMMYFUNCTION("""COMPUTED_VALUE"""),"Tinto")</f>
        <v>Tinto</v>
      </c>
    </row>
    <row r="1652" spans="1:13" x14ac:dyDescent="0.25">
      <c r="A1652" s="2" t="str">
        <f ca="1">IFERROR(__xludf.DUMMYFUNCTION("""COMPUTED_VALUE"""),"a08798fe")</f>
        <v>a08798fe</v>
      </c>
      <c r="B1652" s="2"/>
      <c r="C1652" s="5">
        <f ca="1">IFERROR(__xludf.DUMMYFUNCTION("""COMPUTED_VALUE"""),46109.4088888888)</f>
        <v>46109.4088888888</v>
      </c>
      <c r="D1652" s="2">
        <f ca="1">IFERROR(__xludf.DUMMYFUNCTION("""COMPUTED_VALUE"""),67)</f>
        <v>67</v>
      </c>
      <c r="E1652" s="2">
        <f ca="1">IFERROR(__xludf.DUMMYFUNCTION("""COMPUTED_VALUE"""),23000)</f>
        <v>23000</v>
      </c>
      <c r="F1652" s="2" t="str">
        <f ca="1">IFERROR(__xludf.DUMMYFUNCTION("""COMPUTED_VALUE"""),"Bonarda")</f>
        <v>Bonarda</v>
      </c>
      <c r="G1652" s="2"/>
      <c r="H1652" s="2">
        <f ca="1">IFERROR(__xludf.DUMMYFUNCTION("""COMPUTED_VALUE"""),15100)</f>
        <v>15100</v>
      </c>
      <c r="I1652" s="2"/>
      <c r="J1652" s="2" t="str">
        <f ca="1">IFERROR(__xludf.DUMMYFUNCTION("""COMPUTED_VALUE"""),"6400 , 6402")</f>
        <v>6400 , 6402</v>
      </c>
      <c r="K1652" s="2" t="str">
        <f ca="1">IFERROR(__xludf.DUMMYFUNCTION("""COMPUTED_VALUE"""),"Fermentando")</f>
        <v>Fermentando</v>
      </c>
      <c r="L1652" s="2"/>
      <c r="M1652" s="2" t="str">
        <f ca="1">IFERROR(__xludf.DUMMYFUNCTION("""COMPUTED_VALUE"""),"Tinto")</f>
        <v>Tinto</v>
      </c>
    </row>
    <row r="1653" spans="1:13" x14ac:dyDescent="0.25">
      <c r="A1653" s="2" t="str">
        <f ca="1">IFERROR(__xludf.DUMMYFUNCTION("""COMPUTED_VALUE"""),"8923dcaa")</f>
        <v>8923dcaa</v>
      </c>
      <c r="B1653" s="2"/>
      <c r="C1653" s="5">
        <f ca="1">IFERROR(__xludf.DUMMYFUNCTION("""COMPUTED_VALUE"""),46111.6551504629)</f>
        <v>46111.655150462902</v>
      </c>
      <c r="D1653" s="2">
        <f ca="1">IFERROR(__xludf.DUMMYFUNCTION("""COMPUTED_VALUE"""),115)</f>
        <v>115</v>
      </c>
      <c r="E1653" s="2">
        <f ca="1">IFERROR(__xludf.DUMMYFUNCTION("""COMPUTED_VALUE"""),120200)</f>
        <v>120200</v>
      </c>
      <c r="F1653" s="2" t="str">
        <f ca="1">IFERROR(__xludf.DUMMYFUNCTION("""COMPUTED_VALUE"""),"Syrah")</f>
        <v>Syrah</v>
      </c>
      <c r="G1653" s="2">
        <f ca="1">IFERROR(__xludf.DUMMYFUNCTION("""COMPUTED_VALUE"""),78000)</f>
        <v>78000</v>
      </c>
      <c r="H1653" s="2">
        <f ca="1">IFERROR(__xludf.DUMMYFUNCTION("""COMPUTED_VALUE"""),120200)</f>
        <v>120200</v>
      </c>
      <c r="I1653" s="2" t="str">
        <f ca="1">IFERROR(__xludf.DUMMYFUNCTION("""COMPUTED_VALUE"""),"Más estructura. Muy buena")</f>
        <v>Más estructura. Muy buena</v>
      </c>
      <c r="J1653" s="2"/>
      <c r="K1653" s="2" t="str">
        <f ca="1">IFERROR(__xludf.DUMMYFUNCTION("""COMPUTED_VALUE"""),"Descubada")</f>
        <v>Descubada</v>
      </c>
      <c r="L1653" s="2" t="str">
        <f ca="1">IFERROR(__xludf.DUMMYFUNCTION("""COMPUTED_VALUE"""),"1+")</f>
        <v>1+</v>
      </c>
      <c r="M1653" s="2" t="str">
        <f ca="1">IFERROR(__xludf.DUMMYFUNCTION("""COMPUTED_VALUE"""),"Tinto")</f>
        <v>Tinto</v>
      </c>
    </row>
    <row r="1654" spans="1:13" x14ac:dyDescent="0.25">
      <c r="A1654" s="2" t="str">
        <f ca="1">IFERROR(__xludf.DUMMYFUNCTION("""COMPUTED_VALUE"""),"685824c7")</f>
        <v>685824c7</v>
      </c>
      <c r="B1654" s="2"/>
      <c r="C1654" s="5">
        <f ca="1">IFERROR(__xludf.DUMMYFUNCTION("""COMPUTED_VALUE"""),46111.7434606481)</f>
        <v>46111.743460648097</v>
      </c>
      <c r="D1654" s="2">
        <f ca="1">IFERROR(__xludf.DUMMYFUNCTION("""COMPUTED_VALUE"""),5)</f>
        <v>5</v>
      </c>
      <c r="E1654" s="2">
        <f ca="1">IFERROR(__xludf.DUMMYFUNCTION("""COMPUTED_VALUE"""),30000)</f>
        <v>30000</v>
      </c>
      <c r="F1654" s="2" t="str">
        <f ca="1">IFERROR(__xludf.DUMMYFUNCTION("""COMPUTED_VALUE"""),"Cabernet Sauvignon Rect")</f>
        <v>Cabernet Sauvignon Rect</v>
      </c>
      <c r="G1654" s="2">
        <f ca="1">IFERROR(__xludf.DUMMYFUNCTION("""COMPUTED_VALUE"""),6100)</f>
        <v>6100</v>
      </c>
      <c r="H1654" s="2">
        <f ca="1">IFERROR(__xludf.DUMMYFUNCTION("""COMPUTED_VALUE"""),0)</f>
        <v>0</v>
      </c>
      <c r="I1654" s="2"/>
      <c r="J1654" s="2"/>
      <c r="K1654" s="2" t="str">
        <f ca="1">IFERROR(__xludf.DUMMYFUNCTION("""COMPUTED_VALUE"""),"Rectificado")</f>
        <v>Rectificado</v>
      </c>
      <c r="L1654" s="2" t="str">
        <f ca="1">IFERROR(__xludf.DUMMYFUNCTION("""COMPUTED_VALUE"""),"1")</f>
        <v>1</v>
      </c>
      <c r="M1654" s="2" t="str">
        <f ca="1">IFERROR(__xludf.DUMMYFUNCTION("""COMPUTED_VALUE"""),"Tinto")</f>
        <v>Tinto</v>
      </c>
    </row>
    <row r="1655" spans="1:13" x14ac:dyDescent="0.25">
      <c r="A1655" s="2" t="str">
        <f ca="1">IFERROR(__xludf.DUMMYFUNCTION("""COMPUTED_VALUE"""),"4f1e42df")</f>
        <v>4f1e42df</v>
      </c>
      <c r="B1655" s="2"/>
      <c r="C1655" s="5">
        <f ca="1">IFERROR(__xludf.DUMMYFUNCTION("""COMPUTED_VALUE"""),46111.7446643518)</f>
        <v>46111.744664351798</v>
      </c>
      <c r="D1655" s="2">
        <f ca="1">IFERROR(__xludf.DUMMYFUNCTION("""COMPUTED_VALUE"""),5)</f>
        <v>5</v>
      </c>
      <c r="E1655" s="2">
        <f ca="1">IFERROR(__xludf.DUMMYFUNCTION("""COMPUTED_VALUE"""),30000)</f>
        <v>30000</v>
      </c>
      <c r="F1655" s="2" t="str">
        <f ca="1">IFERROR(__xludf.DUMMYFUNCTION("""COMPUTED_VALUE"""),"Syrah")</f>
        <v>Syrah</v>
      </c>
      <c r="G1655" s="2">
        <f ca="1">IFERROR(__xludf.DUMMYFUNCTION("""COMPUTED_VALUE"""),0)</f>
        <v>0</v>
      </c>
      <c r="H1655" s="2">
        <f ca="1">IFERROR(__xludf.DUMMYFUNCTION("""COMPUTED_VALUE"""),16800)</f>
        <v>16800</v>
      </c>
      <c r="I1655" s="2"/>
      <c r="J1655" s="2"/>
      <c r="K1655" s="2" t="str">
        <f ca="1">IFERROR(__xludf.DUMMYFUNCTION("""COMPUTED_VALUE"""),"Descubada")</f>
        <v>Descubada</v>
      </c>
      <c r="L1655" s="2" t="str">
        <f ca="1">IFERROR(__xludf.DUMMYFUNCTION("""COMPUTED_VALUE"""),"1+")</f>
        <v>1+</v>
      </c>
      <c r="M1655" s="2" t="str">
        <f ca="1">IFERROR(__xludf.DUMMYFUNCTION("""COMPUTED_VALUE"""),"Tinto")</f>
        <v>Tinto</v>
      </c>
    </row>
    <row r="1656" spans="1:13" x14ac:dyDescent="0.25">
      <c r="A1656" s="2" t="str">
        <f ca="1">IFERROR(__xludf.DUMMYFUNCTION("""COMPUTED_VALUE"""),"5c732619")</f>
        <v>5c732619</v>
      </c>
      <c r="B1656" s="2"/>
      <c r="C1656" s="5">
        <f ca="1">IFERROR(__xludf.DUMMYFUNCTION("""COMPUTED_VALUE"""),46111.7523842592)</f>
        <v>46111.752384259198</v>
      </c>
      <c r="D1656" s="2">
        <f ca="1">IFERROR(__xludf.DUMMYFUNCTION("""COMPUTED_VALUE"""),82)</f>
        <v>82</v>
      </c>
      <c r="E1656" s="2">
        <f ca="1">IFERROR(__xludf.DUMMYFUNCTION("""COMPUTED_VALUE"""),42600)</f>
        <v>42600</v>
      </c>
      <c r="F1656" s="2" t="str">
        <f ca="1">IFERROR(__xludf.DUMMYFUNCTION("""COMPUTED_VALUE"""),"Bonarda")</f>
        <v>Bonarda</v>
      </c>
      <c r="G1656" s="2"/>
      <c r="H1656" s="2">
        <f ca="1">IFERROR(__xludf.DUMMYFUNCTION("""COMPUTED_VALUE"""),29000)</f>
        <v>29000</v>
      </c>
      <c r="I1656" s="2"/>
      <c r="J1656" s="2" t="str">
        <f ca="1">IFERROR(__xludf.DUMMYFUNCTION("""COMPUTED_VALUE"""),"6394 , 6390 , 6391 , 6395")</f>
        <v>6394 , 6390 , 6391 , 6395</v>
      </c>
      <c r="K1656" s="2" t="str">
        <f ca="1">IFERROR(__xludf.DUMMYFUNCTION("""COMPUTED_VALUE"""),"Fermentando")</f>
        <v>Fermentando</v>
      </c>
      <c r="L1656" s="2"/>
      <c r="M1656" s="2" t="str">
        <f ca="1">IFERROR(__xludf.DUMMYFUNCTION("""COMPUTED_VALUE"""),"Tinto")</f>
        <v>Tinto</v>
      </c>
    </row>
    <row r="1657" spans="1:13" x14ac:dyDescent="0.25">
      <c r="A1657" s="2" t="str">
        <f ca="1">IFERROR(__xludf.DUMMYFUNCTION("""COMPUTED_VALUE"""),"3c4bd290")</f>
        <v>3c4bd290</v>
      </c>
      <c r="B1657" s="2"/>
      <c r="C1657" s="5">
        <f ca="1">IFERROR(__xludf.DUMMYFUNCTION("""COMPUTED_VALUE"""),46111.7656481481)</f>
        <v>46111.765648148103</v>
      </c>
      <c r="D1657" s="2">
        <f ca="1">IFERROR(__xludf.DUMMYFUNCTION("""COMPUTED_VALUE"""),89)</f>
        <v>89</v>
      </c>
      <c r="E1657" s="2">
        <f ca="1">IFERROR(__xludf.DUMMYFUNCTION("""COMPUTED_VALUE"""),83500)</f>
        <v>83500</v>
      </c>
      <c r="F1657" s="2" t="str">
        <f ca="1">IFERROR(__xludf.DUMMYFUNCTION("""COMPUTED_VALUE"""),"Malbec pc")</f>
        <v>Malbec pc</v>
      </c>
      <c r="G1657" s="2">
        <f ca="1">IFERROR(__xludf.DUMMYFUNCTION("""COMPUTED_VALUE"""),34400)</f>
        <v>34400</v>
      </c>
      <c r="H1657" s="2">
        <f ca="1">IFERROR(__xludf.DUMMYFUNCTION("""COMPUTED_VALUE"""),39400)</f>
        <v>39400</v>
      </c>
      <c r="I1657" s="2" t="str">
        <f ca="1">IFERROR(__xludf.DUMMYFUNCTION("""COMPUTED_VALUE"""),"7/4 bien. Ya para sacar")</f>
        <v>7/4 bien. Ya para sacar</v>
      </c>
      <c r="J1657" s="2"/>
      <c r="K1657" s="2" t="str">
        <f ca="1">IFERROR(__xludf.DUMMYFUNCTION("""COMPUTED_VALUE"""),"Fermentando")</f>
        <v>Fermentando</v>
      </c>
      <c r="L1657" s="2" t="str">
        <f ca="1">IFERROR(__xludf.DUMMYFUNCTION("""COMPUTED_VALUE"""),"1")</f>
        <v>1</v>
      </c>
      <c r="M1657" s="2" t="str">
        <f ca="1">IFERROR(__xludf.DUMMYFUNCTION("""COMPUTED_VALUE"""),"Tinto")</f>
        <v>Tinto</v>
      </c>
    </row>
    <row r="1658" spans="1:13" x14ac:dyDescent="0.25">
      <c r="A1658" s="2" t="str">
        <f ca="1">IFERROR(__xludf.DUMMYFUNCTION("""COMPUTED_VALUE"""),"4a77f14f")</f>
        <v>4a77f14f</v>
      </c>
      <c r="B1658" s="2"/>
      <c r="C1658" s="5">
        <f ca="1">IFERROR(__xludf.DUMMYFUNCTION("""COMPUTED_VALUE"""),46111.7661574074)</f>
        <v>46111.766157407401</v>
      </c>
      <c r="D1658" s="2">
        <f ca="1">IFERROR(__xludf.DUMMYFUNCTION("""COMPUTED_VALUE"""),82)</f>
        <v>82</v>
      </c>
      <c r="E1658" s="2">
        <f ca="1">IFERROR(__xludf.DUMMYFUNCTION("""COMPUTED_VALUE"""),42600)</f>
        <v>42600</v>
      </c>
      <c r="F1658" s="2" t="str">
        <f ca="1">IFERROR(__xludf.DUMMYFUNCTION("""COMPUTED_VALUE"""),"Bonarda PC")</f>
        <v>Bonarda PC</v>
      </c>
      <c r="G1658" s="2">
        <f ca="1">IFERROR(__xludf.DUMMYFUNCTION("""COMPUTED_VALUE"""),29000)</f>
        <v>29000</v>
      </c>
      <c r="H1658" s="2">
        <f ca="1">IFERROR(__xludf.DUMMYFUNCTION("""COMPUTED_VALUE"""),31500)</f>
        <v>31500</v>
      </c>
      <c r="I1658" s="2"/>
      <c r="J1658" s="2"/>
      <c r="K1658" s="2" t="str">
        <f ca="1">IFERROR(__xludf.DUMMYFUNCTION("""COMPUTED_VALUE"""),"Fermentando")</f>
        <v>Fermentando</v>
      </c>
      <c r="L1658" s="2" t="str">
        <f ca="1">IFERROR(__xludf.DUMMYFUNCTION("""COMPUTED_VALUE"""),"1+")</f>
        <v>1+</v>
      </c>
      <c r="M1658" s="2" t="str">
        <f ca="1">IFERROR(__xludf.DUMMYFUNCTION("""COMPUTED_VALUE"""),"Tinto")</f>
        <v>Tinto</v>
      </c>
    </row>
    <row r="1659" spans="1:13" x14ac:dyDescent="0.25">
      <c r="A1659" s="2" t="str">
        <f ca="1">IFERROR(__xludf.DUMMYFUNCTION("""COMPUTED_VALUE"""),"cd07b237")</f>
        <v>cd07b237</v>
      </c>
      <c r="B1659" s="2"/>
      <c r="C1659" s="5">
        <f ca="1">IFERROR(__xludf.DUMMYFUNCTION("""COMPUTED_VALUE"""),46111.7665625)</f>
        <v>46111.766562500001</v>
      </c>
      <c r="D1659" s="2">
        <f ca="1">IFERROR(__xludf.DUMMYFUNCTION("""COMPUTED_VALUE"""),81)</f>
        <v>81</v>
      </c>
      <c r="E1659" s="2">
        <f ca="1">IFERROR(__xludf.DUMMYFUNCTION("""COMPUTED_VALUE"""),26500)</f>
        <v>26500</v>
      </c>
      <c r="F1659" s="2" t="str">
        <f ca="1">IFERROR(__xludf.DUMMYFUNCTION("""COMPUTED_VALUE"""),"Malbec PC")</f>
        <v>Malbec PC</v>
      </c>
      <c r="G1659" s="2">
        <f ca="1">IFERROR(__xludf.DUMMYFUNCTION("""COMPUTED_VALUE"""),14500)</f>
        <v>14500</v>
      </c>
      <c r="H1659" s="2">
        <f ca="1">IFERROR(__xludf.DUMMYFUNCTION("""COMPUTED_VALUE"""),16500)</f>
        <v>16500</v>
      </c>
      <c r="I1659" s="2" t="str">
        <f ca="1">IFERROR(__xludf.DUMMYFUNCTION("""COMPUTED_VALUE"""),"Margarita, malvon")</f>
        <v>Margarita, malvon</v>
      </c>
      <c r="J1659" s="2"/>
      <c r="K1659" s="2" t="str">
        <f ca="1">IFERROR(__xludf.DUMMYFUNCTION("""COMPUTED_VALUE"""),"Fermentando")</f>
        <v>Fermentando</v>
      </c>
      <c r="L1659" s="2"/>
      <c r="M1659" s="2" t="str">
        <f ca="1">IFERROR(__xludf.DUMMYFUNCTION("""COMPUTED_VALUE"""),"Tinto")</f>
        <v>Tinto</v>
      </c>
    </row>
    <row r="1660" spans="1:13" x14ac:dyDescent="0.25">
      <c r="A1660" s="2" t="str">
        <f ca="1">IFERROR(__xludf.DUMMYFUNCTION("""COMPUTED_VALUE"""),"8267c94a")</f>
        <v>8267c94a</v>
      </c>
      <c r="B1660" s="2"/>
      <c r="C1660" s="5">
        <f ca="1">IFERROR(__xludf.DUMMYFUNCTION("""COMPUTED_VALUE"""),46111.7805671296)</f>
        <v>46111.780567129601</v>
      </c>
      <c r="D1660" s="2">
        <f ca="1">IFERROR(__xludf.DUMMYFUNCTION("""COMPUTED_VALUE"""),67)</f>
        <v>67</v>
      </c>
      <c r="E1660" s="2">
        <f ca="1">IFERROR(__xludf.DUMMYFUNCTION("""COMPUTED_VALUE"""),23000)</f>
        <v>23000</v>
      </c>
      <c r="F1660" s="2" t="str">
        <f ca="1">IFERROR(__xludf.DUMMYFUNCTION("""COMPUTED_VALUE"""),"Bonarda PC")</f>
        <v>Bonarda PC</v>
      </c>
      <c r="G1660" s="2">
        <f ca="1">IFERROR(__xludf.DUMMYFUNCTION("""COMPUTED_VALUE"""),15100)</f>
        <v>15100</v>
      </c>
      <c r="H1660" s="2">
        <f ca="1">IFERROR(__xludf.DUMMYFUNCTION("""COMPUTED_VALUE"""),17100)</f>
        <v>17100</v>
      </c>
      <c r="I1660" s="2" t="str">
        <f ca="1">IFERROR(__xludf.DUMMYFUNCTION("""COMPUTED_VALUE"""),"Hay que desvinar 116 para recargar")</f>
        <v>Hay que desvinar 116 para recargar</v>
      </c>
      <c r="J1660" s="2"/>
      <c r="K1660" s="2" t="str">
        <f ca="1">IFERROR(__xludf.DUMMYFUNCTION("""COMPUTED_VALUE"""),"Fermentando")</f>
        <v>Fermentando</v>
      </c>
      <c r="L1660" s="2" t="str">
        <f ca="1">IFERROR(__xludf.DUMMYFUNCTION("""COMPUTED_VALUE"""),"1")</f>
        <v>1</v>
      </c>
      <c r="M1660" s="2" t="str">
        <f ca="1">IFERROR(__xludf.DUMMYFUNCTION("""COMPUTED_VALUE"""),"Tinto")</f>
        <v>Tinto</v>
      </c>
    </row>
    <row r="1661" spans="1:13" x14ac:dyDescent="0.25">
      <c r="A1661" s="2" t="str">
        <f ca="1">IFERROR(__xludf.DUMMYFUNCTION("""COMPUTED_VALUE"""),"b8a1b7b0")</f>
        <v>b8a1b7b0</v>
      </c>
      <c r="B1661" s="2"/>
      <c r="C1661" s="5">
        <f ca="1">IFERROR(__xludf.DUMMYFUNCTION("""COMPUTED_VALUE"""),46111.7813541666)</f>
        <v>46111.781354166596</v>
      </c>
      <c r="D1661" s="2">
        <f ca="1">IFERROR(__xludf.DUMMYFUNCTION("""COMPUTED_VALUE"""),9)</f>
        <v>9</v>
      </c>
      <c r="E1661" s="2">
        <f ca="1">IFERROR(__xludf.DUMMYFUNCTION("""COMPUTED_VALUE"""),30000)</f>
        <v>30000</v>
      </c>
      <c r="F1661" s="2" t="str">
        <f ca="1">IFERROR(__xludf.DUMMYFUNCTION("""COMPUTED_VALUE"""),"Malbec Rect")</f>
        <v>Malbec Rect</v>
      </c>
      <c r="G1661" s="2">
        <f ca="1">IFERROR(__xludf.DUMMYFUNCTION("""COMPUTED_VALUE"""),2900)</f>
        <v>2900</v>
      </c>
      <c r="H1661" s="2">
        <f ca="1">IFERROR(__xludf.DUMMYFUNCTION("""COMPUTED_VALUE"""),-3100)</f>
        <v>-3100</v>
      </c>
      <c r="I1661" s="2"/>
      <c r="J1661" s="2"/>
      <c r="K1661" s="2" t="str">
        <f ca="1">IFERROR(__xludf.DUMMYFUNCTION("""COMPUTED_VALUE"""),"Rectificado")</f>
        <v>Rectificado</v>
      </c>
      <c r="L1661" s="2" t="str">
        <f ca="1">IFERROR(__xludf.DUMMYFUNCTION("""COMPUTED_VALUE"""),"1-")</f>
        <v>1-</v>
      </c>
      <c r="M1661" s="2" t="str">
        <f ca="1">IFERROR(__xludf.DUMMYFUNCTION("""COMPUTED_VALUE"""),"Tinto")</f>
        <v>Tinto</v>
      </c>
    </row>
    <row r="1662" spans="1:13" x14ac:dyDescent="0.25">
      <c r="A1662" s="2" t="str">
        <f ca="1">IFERROR(__xludf.DUMMYFUNCTION("""COMPUTED_VALUE"""),"13d2ef6f")</f>
        <v>13d2ef6f</v>
      </c>
      <c r="B1662" s="2"/>
      <c r="C1662" s="5">
        <f ca="1">IFERROR(__xludf.DUMMYFUNCTION("""COMPUTED_VALUE"""),46111.7821759259)</f>
        <v>46111.782175925902</v>
      </c>
      <c r="D1662" s="2">
        <f ca="1">IFERROR(__xludf.DUMMYFUNCTION("""COMPUTED_VALUE"""),5)</f>
        <v>5</v>
      </c>
      <c r="E1662" s="2">
        <f ca="1">IFERROR(__xludf.DUMMYFUNCTION("""COMPUTED_VALUE"""),30000)</f>
        <v>30000</v>
      </c>
      <c r="F1662" s="2" t="str">
        <f ca="1">IFERROR(__xludf.DUMMYFUNCTION("""COMPUTED_VALUE"""),"Syrah")</f>
        <v>Syrah</v>
      </c>
      <c r="G1662" s="2">
        <f ca="1">IFERROR(__xludf.DUMMYFUNCTION("""COMPUTED_VALUE"""),16800)</f>
        <v>16800</v>
      </c>
      <c r="H1662" s="2">
        <f ca="1">IFERROR(__xludf.DUMMYFUNCTION("""COMPUTED_VALUE"""),30000)</f>
        <v>30000</v>
      </c>
      <c r="I1662" s="2"/>
      <c r="J1662" s="2"/>
      <c r="K1662" s="2" t="str">
        <f ca="1">IFERROR(__xludf.DUMMYFUNCTION("""COMPUTED_VALUE"""),"Descubada")</f>
        <v>Descubada</v>
      </c>
      <c r="L1662" s="2" t="str">
        <f ca="1">IFERROR(__xludf.DUMMYFUNCTION("""COMPUTED_VALUE"""),"1+")</f>
        <v>1+</v>
      </c>
      <c r="M1662" s="2" t="str">
        <f ca="1">IFERROR(__xludf.DUMMYFUNCTION("""COMPUTED_VALUE"""),"Tinto")</f>
        <v>Tinto</v>
      </c>
    </row>
    <row r="1663" spans="1:13" x14ac:dyDescent="0.25">
      <c r="A1663" s="2" t="str">
        <f ca="1">IFERROR(__xludf.DUMMYFUNCTION("""COMPUTED_VALUE"""),"52f88149")</f>
        <v>52f88149</v>
      </c>
      <c r="B1663" s="2"/>
      <c r="C1663" s="5">
        <f ca="1">IFERROR(__xludf.DUMMYFUNCTION("""COMPUTED_VALUE"""),46111.7824189814)</f>
        <v>46111.782418981398</v>
      </c>
      <c r="D1663" s="2">
        <f ca="1">IFERROR(__xludf.DUMMYFUNCTION("""COMPUTED_VALUE"""),118)</f>
        <v>118</v>
      </c>
      <c r="E1663" s="2">
        <f ca="1">IFERROR(__xludf.DUMMYFUNCTION("""COMPUTED_VALUE"""),155600)</f>
        <v>155600</v>
      </c>
      <c r="F1663" s="2" t="str">
        <f ca="1">IFERROR(__xludf.DUMMYFUNCTION("""COMPUTED_VALUE"""),"Syrah Bonarda")</f>
        <v>Syrah Bonarda</v>
      </c>
      <c r="G1663" s="2">
        <f ca="1">IFERROR(__xludf.DUMMYFUNCTION("""COMPUTED_VALUE"""),0)</f>
        <v>0</v>
      </c>
      <c r="H1663" s="2">
        <f ca="1">IFERROR(__xludf.DUMMYFUNCTION("""COMPUTED_VALUE"""),55400)</f>
        <v>55400</v>
      </c>
      <c r="I1663" s="2"/>
      <c r="J1663" s="2"/>
      <c r="K1663" s="2" t="str">
        <f ca="1">IFERROR(__xludf.DUMMYFUNCTION("""COMPUTED_VALUE"""),"Descubada")</f>
        <v>Descubada</v>
      </c>
      <c r="L1663" s="2" t="str">
        <f ca="1">IFERROR(__xludf.DUMMYFUNCTION("""COMPUTED_VALUE"""),"1")</f>
        <v>1</v>
      </c>
      <c r="M1663" s="2" t="str">
        <f ca="1">IFERROR(__xludf.DUMMYFUNCTION("""COMPUTED_VALUE"""),"Tinto")</f>
        <v>Tinto</v>
      </c>
    </row>
    <row r="1664" spans="1:13" x14ac:dyDescent="0.25">
      <c r="A1664" s="2" t="str">
        <f ca="1">IFERROR(__xludf.DUMMYFUNCTION("""COMPUTED_VALUE"""),"9f8f93c1")</f>
        <v>9f8f93c1</v>
      </c>
      <c r="B1664" s="2"/>
      <c r="C1664" s="5">
        <f ca="1">IFERROR(__xludf.DUMMYFUNCTION("""COMPUTED_VALUE"""),46111.7834606481)</f>
        <v>46111.783460648097</v>
      </c>
      <c r="D1664" s="2">
        <f ca="1">IFERROR(__xludf.DUMMYFUNCTION("""COMPUTED_VALUE"""),9)</f>
        <v>9</v>
      </c>
      <c r="E1664" s="2">
        <f ca="1">IFERROR(__xludf.DUMMYFUNCTION("""COMPUTED_VALUE"""),30000)</f>
        <v>30000</v>
      </c>
      <c r="F1664" s="2" t="str">
        <f ca="1">IFERROR(__xludf.DUMMYFUNCTION("""COMPUTED_VALUE"""),"Malbec Rect")</f>
        <v>Malbec Rect</v>
      </c>
      <c r="G1664" s="2">
        <f ca="1">IFERROR(__xludf.DUMMYFUNCTION("""COMPUTED_VALUE"""),-3100)</f>
        <v>-3100</v>
      </c>
      <c r="H1664" s="2">
        <f ca="1">IFERROR(__xludf.DUMMYFUNCTION("""COMPUTED_VALUE"""),15000)</f>
        <v>15000</v>
      </c>
      <c r="I1664" s="2"/>
      <c r="J1664" s="2"/>
      <c r="K1664" s="2" t="str">
        <f ca="1">IFERROR(__xludf.DUMMYFUNCTION("""COMPUTED_VALUE"""),"Rectificado")</f>
        <v>Rectificado</v>
      </c>
      <c r="L1664" s="2" t="str">
        <f ca="1">IFERROR(__xludf.DUMMYFUNCTION("""COMPUTED_VALUE"""),"1-")</f>
        <v>1-</v>
      </c>
      <c r="M1664" s="2" t="str">
        <f ca="1">IFERROR(__xludf.DUMMYFUNCTION("""COMPUTED_VALUE"""),"Tinto")</f>
        <v>Tinto</v>
      </c>
    </row>
    <row r="1665" spans="1:13" x14ac:dyDescent="0.25">
      <c r="A1665" s="2" t="str">
        <f ca="1">IFERROR(__xludf.DUMMYFUNCTION("""COMPUTED_VALUE"""),"1dab84ab")</f>
        <v>1dab84ab</v>
      </c>
      <c r="B1665" s="2"/>
      <c r="C1665" s="5">
        <f ca="1">IFERROR(__xludf.DUMMYFUNCTION("""COMPUTED_VALUE"""),46111.7843518518)</f>
        <v>46111.784351851798</v>
      </c>
      <c r="D1665" s="2">
        <f ca="1">IFERROR(__xludf.DUMMYFUNCTION("""COMPUTED_VALUE"""),6)</f>
        <v>6</v>
      </c>
      <c r="E1665" s="2">
        <f ca="1">IFERROR(__xludf.DUMMYFUNCTION("""COMPUTED_VALUE"""),32000)</f>
        <v>32000</v>
      </c>
      <c r="F1665" s="2" t="str">
        <f ca="1">IFERROR(__xludf.DUMMYFUNCTION("""COMPUTED_VALUE"""),"Cabernet Sauvignon Rect")</f>
        <v>Cabernet Sauvignon Rect</v>
      </c>
      <c r="G1665" s="2">
        <f ca="1">IFERROR(__xludf.DUMMYFUNCTION("""COMPUTED_VALUE"""),32000)</f>
        <v>32000</v>
      </c>
      <c r="H1665" s="2">
        <f ca="1">IFERROR(__xludf.DUMMYFUNCTION("""COMPUTED_VALUE"""),23500)</f>
        <v>23500</v>
      </c>
      <c r="I1665" s="2"/>
      <c r="J1665" s="2"/>
      <c r="K1665" s="2" t="str">
        <f ca="1">IFERROR(__xludf.DUMMYFUNCTION("""COMPUTED_VALUE"""),"Rectificado")</f>
        <v>Rectificado</v>
      </c>
      <c r="L1665" s="2" t="str">
        <f ca="1">IFERROR(__xludf.DUMMYFUNCTION("""COMPUTED_VALUE"""),"1")</f>
        <v>1</v>
      </c>
      <c r="M1665" s="2" t="str">
        <f ca="1">IFERROR(__xludf.DUMMYFUNCTION("""COMPUTED_VALUE"""),"Tinto")</f>
        <v>Tinto</v>
      </c>
    </row>
    <row r="1666" spans="1:13" x14ac:dyDescent="0.25">
      <c r="A1666" s="2" t="str">
        <f ca="1">IFERROR(__xludf.DUMMYFUNCTION("""COMPUTED_VALUE"""),"7acfc2b2")</f>
        <v>7acfc2b2</v>
      </c>
      <c r="B1666" s="2"/>
      <c r="C1666" s="5">
        <f ca="1">IFERROR(__xludf.DUMMYFUNCTION("""COMPUTED_VALUE"""),46111.7867939814)</f>
        <v>46111.786793981402</v>
      </c>
      <c r="D1666" s="2">
        <f ca="1">IFERROR(__xludf.DUMMYFUNCTION("""COMPUTED_VALUE"""),6)</f>
        <v>6</v>
      </c>
      <c r="E1666" s="2">
        <f ca="1">IFERROR(__xludf.DUMMYFUNCTION("""COMPUTED_VALUE"""),32000)</f>
        <v>32000</v>
      </c>
      <c r="F1666" s="2" t="str">
        <f ca="1">IFERROR(__xludf.DUMMYFUNCTION("""COMPUTED_VALUE"""),"Cabernet Sauvignon Rect")</f>
        <v>Cabernet Sauvignon Rect</v>
      </c>
      <c r="G1666" s="2">
        <f ca="1">IFERROR(__xludf.DUMMYFUNCTION("""COMPUTED_VALUE"""),23500)</f>
        <v>23500</v>
      </c>
      <c r="H1666" s="2">
        <f ca="1">IFERROR(__xludf.DUMMYFUNCTION("""COMPUTED_VALUE"""),17000)</f>
        <v>17000</v>
      </c>
      <c r="I1666" s="2"/>
      <c r="J1666" s="2"/>
      <c r="K1666" s="2" t="str">
        <f ca="1">IFERROR(__xludf.DUMMYFUNCTION("""COMPUTED_VALUE"""),"Rectificado")</f>
        <v>Rectificado</v>
      </c>
      <c r="L1666" s="2" t="str">
        <f ca="1">IFERROR(__xludf.DUMMYFUNCTION("""COMPUTED_VALUE"""),"1")</f>
        <v>1</v>
      </c>
      <c r="M1666" s="2" t="str">
        <f ca="1">IFERROR(__xludf.DUMMYFUNCTION("""COMPUTED_VALUE"""),"Tinto")</f>
        <v>Tinto</v>
      </c>
    </row>
    <row r="1667" spans="1:13" x14ac:dyDescent="0.25">
      <c r="A1667" s="2" t="str">
        <f ca="1">IFERROR(__xludf.DUMMYFUNCTION("""COMPUTED_VALUE"""),"885a1594")</f>
        <v>885a1594</v>
      </c>
      <c r="B1667" s="2"/>
      <c r="C1667" s="5">
        <f ca="1">IFERROR(__xludf.DUMMYFUNCTION("""COMPUTED_VALUE"""),46111.7872916666)</f>
        <v>46111.787291666602</v>
      </c>
      <c r="D1667" s="2">
        <f ca="1">IFERROR(__xludf.DUMMYFUNCTION("""COMPUTED_VALUE"""),6)</f>
        <v>6</v>
      </c>
      <c r="E1667" s="2">
        <f ca="1">IFERROR(__xludf.DUMMYFUNCTION("""COMPUTED_VALUE"""),32000)</f>
        <v>32000</v>
      </c>
      <c r="F1667" s="2" t="str">
        <f ca="1">IFERROR(__xludf.DUMMYFUNCTION("""COMPUTED_VALUE"""),"Cabernet Sauvignon Rect")</f>
        <v>Cabernet Sauvignon Rect</v>
      </c>
      <c r="G1667" s="2">
        <f ca="1">IFERROR(__xludf.DUMMYFUNCTION("""COMPUTED_VALUE"""),17000)</f>
        <v>17000</v>
      </c>
      <c r="H1667" s="2">
        <f ca="1">IFERROR(__xludf.DUMMYFUNCTION("""COMPUTED_VALUE"""),11900)</f>
        <v>11900</v>
      </c>
      <c r="I1667" s="2"/>
      <c r="J1667" s="2"/>
      <c r="K1667" s="2" t="str">
        <f ca="1">IFERROR(__xludf.DUMMYFUNCTION("""COMPUTED_VALUE"""),"Rectificado")</f>
        <v>Rectificado</v>
      </c>
      <c r="L1667" s="2" t="str">
        <f ca="1">IFERROR(__xludf.DUMMYFUNCTION("""COMPUTED_VALUE"""),"1")</f>
        <v>1</v>
      </c>
      <c r="M1667" s="2" t="str">
        <f ca="1">IFERROR(__xludf.DUMMYFUNCTION("""COMPUTED_VALUE"""),"Tinto")</f>
        <v>Tinto</v>
      </c>
    </row>
    <row r="1668" spans="1:13" x14ac:dyDescent="0.25">
      <c r="A1668" s="2" t="str">
        <f ca="1">IFERROR(__xludf.DUMMYFUNCTION("""COMPUTED_VALUE"""),"6368132b")</f>
        <v>6368132b</v>
      </c>
      <c r="B1668" s="2"/>
      <c r="C1668" s="5">
        <f ca="1">IFERROR(__xludf.DUMMYFUNCTION("""COMPUTED_VALUE"""),46111.7877777777)</f>
        <v>46111.787777777703</v>
      </c>
      <c r="D1668" s="2">
        <f ca="1">IFERROR(__xludf.DUMMYFUNCTION("""COMPUTED_VALUE"""),6)</f>
        <v>6</v>
      </c>
      <c r="E1668" s="2">
        <f ca="1">IFERROR(__xludf.DUMMYFUNCTION("""COMPUTED_VALUE"""),32000)</f>
        <v>32000</v>
      </c>
      <c r="F1668" s="2" t="str">
        <f ca="1">IFERROR(__xludf.DUMMYFUNCTION("""COMPUTED_VALUE"""),"Cabernet Sauvignon Rect")</f>
        <v>Cabernet Sauvignon Rect</v>
      </c>
      <c r="G1668" s="2">
        <f ca="1">IFERROR(__xludf.DUMMYFUNCTION("""COMPUTED_VALUE"""),11900)</f>
        <v>11900</v>
      </c>
      <c r="H1668" s="2">
        <f ca="1">IFERROR(__xludf.DUMMYFUNCTION("""COMPUTED_VALUE"""),6800)</f>
        <v>6800</v>
      </c>
      <c r="I1668" s="2"/>
      <c r="J1668" s="2"/>
      <c r="K1668" s="2" t="str">
        <f ca="1">IFERROR(__xludf.DUMMYFUNCTION("""COMPUTED_VALUE"""),"Rectificado")</f>
        <v>Rectificado</v>
      </c>
      <c r="L1668" s="2" t="str">
        <f ca="1">IFERROR(__xludf.DUMMYFUNCTION("""COMPUTED_VALUE"""),"1")</f>
        <v>1</v>
      </c>
      <c r="M1668" s="2" t="str">
        <f ca="1">IFERROR(__xludf.DUMMYFUNCTION("""COMPUTED_VALUE"""),"Tinto")</f>
        <v>Tinto</v>
      </c>
    </row>
    <row r="1669" spans="1:13" x14ac:dyDescent="0.25">
      <c r="A1669" s="2" t="str">
        <f ca="1">IFERROR(__xludf.DUMMYFUNCTION("""COMPUTED_VALUE"""),"d7a4a599")</f>
        <v>d7a4a599</v>
      </c>
      <c r="B1669" s="2"/>
      <c r="C1669" s="5">
        <f ca="1">IFERROR(__xludf.DUMMYFUNCTION("""COMPUTED_VALUE"""),46112.7663888888)</f>
        <v>46112.766388888798</v>
      </c>
      <c r="D1669" s="2">
        <f ca="1">IFERROR(__xludf.DUMMYFUNCTION("""COMPUTED_VALUE"""),9)</f>
        <v>9</v>
      </c>
      <c r="E1669" s="2">
        <f ca="1">IFERROR(__xludf.DUMMYFUNCTION("""COMPUTED_VALUE"""),30000)</f>
        <v>30000</v>
      </c>
      <c r="F1669" s="2" t="str">
        <f ca="1">IFERROR(__xludf.DUMMYFUNCTION("""COMPUTED_VALUE"""),"Malbec Rect")</f>
        <v>Malbec Rect</v>
      </c>
      <c r="G1669" s="2">
        <f ca="1">IFERROR(__xludf.DUMMYFUNCTION("""COMPUTED_VALUE"""),15000)</f>
        <v>15000</v>
      </c>
      <c r="H1669" s="2">
        <f ca="1">IFERROR(__xludf.DUMMYFUNCTION("""COMPUTED_VALUE"""),12100)</f>
        <v>12100</v>
      </c>
      <c r="I1669" s="2"/>
      <c r="J1669" s="2"/>
      <c r="K1669" s="2" t="str">
        <f ca="1">IFERROR(__xludf.DUMMYFUNCTION("""COMPUTED_VALUE"""),"Rectificado")</f>
        <v>Rectificado</v>
      </c>
      <c r="L1669" s="2" t="str">
        <f ca="1">IFERROR(__xludf.DUMMYFUNCTION("""COMPUTED_VALUE"""),"1-")</f>
        <v>1-</v>
      </c>
      <c r="M1669" s="2" t="str">
        <f ca="1">IFERROR(__xludf.DUMMYFUNCTION("""COMPUTED_VALUE"""),"Tinto")</f>
        <v>Tinto</v>
      </c>
    </row>
    <row r="1670" spans="1:13" x14ac:dyDescent="0.25">
      <c r="A1670" s="2" t="str">
        <f ca="1">IFERROR(__xludf.DUMMYFUNCTION("""COMPUTED_VALUE"""),"a11e74d9")</f>
        <v>a11e74d9</v>
      </c>
      <c r="B1670" s="2"/>
      <c r="C1670" s="5">
        <f ca="1">IFERROR(__xludf.DUMMYFUNCTION("""COMPUTED_VALUE"""),46112.7755787037)</f>
        <v>46112.775578703702</v>
      </c>
      <c r="D1670" s="2">
        <f ca="1">IFERROR(__xludf.DUMMYFUNCTION("""COMPUTED_VALUE"""),500)</f>
        <v>500</v>
      </c>
      <c r="E1670" s="2">
        <f ca="1">IFERROR(__xludf.DUMMYFUNCTION("""COMPUTED_VALUE"""),200000)</f>
        <v>200000</v>
      </c>
      <c r="F1670" s="2" t="str">
        <f ca="1">IFERROR(__xludf.DUMMYFUNCTION("""COMPUTED_VALUE"""),"AJUSTE COSECHA 2026")</f>
        <v>AJUSTE COSECHA 2026</v>
      </c>
      <c r="G1670" s="2">
        <f ca="1">IFERROR(__xludf.DUMMYFUNCTION("""COMPUTED_VALUE"""),62300)</f>
        <v>62300</v>
      </c>
      <c r="H1670" s="2">
        <f ca="1">IFERROR(__xludf.DUMMYFUNCTION("""COMPUTED_VALUE"""),67400)</f>
        <v>67400</v>
      </c>
      <c r="I1670" s="2"/>
      <c r="J1670" s="2"/>
      <c r="K1670" s="2" t="str">
        <f ca="1">IFERROR(__xludf.DUMMYFUNCTION("""COMPUTED_VALUE"""),"Fermentando")</f>
        <v>Fermentando</v>
      </c>
      <c r="L1670" s="2" t="str">
        <f ca="1">IFERROR(__xludf.DUMMYFUNCTION("""COMPUTED_VALUE"""),"1")</f>
        <v>1</v>
      </c>
      <c r="M1670" s="2" t="str">
        <f ca="1">IFERROR(__xludf.DUMMYFUNCTION("""COMPUTED_VALUE"""),"Blanco")</f>
        <v>Blanco</v>
      </c>
    </row>
    <row r="1671" spans="1:13" x14ac:dyDescent="0.25">
      <c r="A1671" s="2" t="str">
        <f ca="1">IFERROR(__xludf.DUMMYFUNCTION("""COMPUTED_VALUE"""),"2030aa82")</f>
        <v>2030aa82</v>
      </c>
      <c r="B1671" s="2"/>
      <c r="C1671" s="5">
        <f ca="1">IFERROR(__xludf.DUMMYFUNCTION("""COMPUTED_VALUE"""),46112.7847569444)</f>
        <v>46112.784756944398</v>
      </c>
      <c r="D1671" s="2">
        <f ca="1">IFERROR(__xludf.DUMMYFUNCTION("""COMPUTED_VALUE"""),500)</f>
        <v>500</v>
      </c>
      <c r="E1671" s="2">
        <f ca="1">IFERROR(__xludf.DUMMYFUNCTION("""COMPUTED_VALUE"""),200000)</f>
        <v>200000</v>
      </c>
      <c r="F1671" s="2" t="str">
        <f ca="1">IFERROR(__xludf.DUMMYFUNCTION("""COMPUTED_VALUE"""),"AJUSTE COSECHA 2026")</f>
        <v>AJUSTE COSECHA 2026</v>
      </c>
      <c r="G1671" s="2">
        <f ca="1">IFERROR(__xludf.DUMMYFUNCTION("""COMPUTED_VALUE"""),67400)</f>
        <v>67400</v>
      </c>
      <c r="H1671" s="2">
        <f ca="1">IFERROR(__xludf.DUMMYFUNCTION("""COMPUTED_VALUE"""),68500)</f>
        <v>68500</v>
      </c>
      <c r="I1671" s="2"/>
      <c r="J1671" s="2"/>
      <c r="K1671" s="2" t="str">
        <f ca="1">IFERROR(__xludf.DUMMYFUNCTION("""COMPUTED_VALUE"""),"Fermentando")</f>
        <v>Fermentando</v>
      </c>
      <c r="L1671" s="2" t="str">
        <f ca="1">IFERROR(__xludf.DUMMYFUNCTION("""COMPUTED_VALUE"""),"1")</f>
        <v>1</v>
      </c>
      <c r="M1671" s="2" t="str">
        <f ca="1">IFERROR(__xludf.DUMMYFUNCTION("""COMPUTED_VALUE"""),"Blanco")</f>
        <v>Blanco</v>
      </c>
    </row>
    <row r="1672" spans="1:13" x14ac:dyDescent="0.25">
      <c r="A1672" s="2" t="str">
        <f ca="1">IFERROR(__xludf.DUMMYFUNCTION("""COMPUTED_VALUE"""),"d353d4f6")</f>
        <v>d353d4f6</v>
      </c>
      <c r="B1672" s="2"/>
      <c r="C1672" s="5">
        <f ca="1">IFERROR(__xludf.DUMMYFUNCTION("""COMPUTED_VALUE"""),46112.7871064814)</f>
        <v>46112.787106481403</v>
      </c>
      <c r="D1672" s="2">
        <f ca="1">IFERROR(__xludf.DUMMYFUNCTION("""COMPUTED_VALUE"""),500)</f>
        <v>500</v>
      </c>
      <c r="E1672" s="2">
        <f ca="1">IFERROR(__xludf.DUMMYFUNCTION("""COMPUTED_VALUE"""),200000)</f>
        <v>200000</v>
      </c>
      <c r="F1672" s="2" t="str">
        <f ca="1">IFERROR(__xludf.DUMMYFUNCTION("""COMPUTED_VALUE"""),"AJUSTE COSECHA 2026")</f>
        <v>AJUSTE COSECHA 2026</v>
      </c>
      <c r="G1672" s="2">
        <f ca="1">IFERROR(__xludf.DUMMYFUNCTION("""COMPUTED_VALUE"""),68500)</f>
        <v>68500</v>
      </c>
      <c r="H1672" s="2">
        <f ca="1">IFERROR(__xludf.DUMMYFUNCTION("""COMPUTED_VALUE"""),63100)</f>
        <v>63100</v>
      </c>
      <c r="I1672" s="2"/>
      <c r="J1672" s="2"/>
      <c r="K1672" s="2" t="str">
        <f ca="1">IFERROR(__xludf.DUMMYFUNCTION("""COMPUTED_VALUE"""),"Fermentando")</f>
        <v>Fermentando</v>
      </c>
      <c r="L1672" s="2" t="str">
        <f ca="1">IFERROR(__xludf.DUMMYFUNCTION("""COMPUTED_VALUE"""),"1")</f>
        <v>1</v>
      </c>
      <c r="M1672" s="2" t="str">
        <f ca="1">IFERROR(__xludf.DUMMYFUNCTION("""COMPUTED_VALUE"""),"Blanco")</f>
        <v>Blanco</v>
      </c>
    </row>
    <row r="1673" spans="1:13" x14ac:dyDescent="0.25">
      <c r="A1673" s="2" t="str">
        <f ca="1">IFERROR(__xludf.DUMMYFUNCTION("""COMPUTED_VALUE"""),"c82493e8")</f>
        <v>c82493e8</v>
      </c>
      <c r="B1673" s="2"/>
      <c r="C1673" s="5">
        <f ca="1">IFERROR(__xludf.DUMMYFUNCTION("""COMPUTED_VALUE"""),46112.787974537)</f>
        <v>46112.787974537001</v>
      </c>
      <c r="D1673" s="2">
        <f ca="1">IFERROR(__xludf.DUMMYFUNCTION("""COMPUTED_VALUE"""),500)</f>
        <v>500</v>
      </c>
      <c r="E1673" s="2">
        <f ca="1">IFERROR(__xludf.DUMMYFUNCTION("""COMPUTED_VALUE"""),200000)</f>
        <v>200000</v>
      </c>
      <c r="F1673" s="2" t="str">
        <f ca="1">IFERROR(__xludf.DUMMYFUNCTION("""COMPUTED_VALUE"""),"AJUSTE COSECHA 2026")</f>
        <v>AJUSTE COSECHA 2026</v>
      </c>
      <c r="G1673" s="2">
        <f ca="1">IFERROR(__xludf.DUMMYFUNCTION("""COMPUTED_VALUE"""),63100)</f>
        <v>63100</v>
      </c>
      <c r="H1673" s="2">
        <f ca="1">IFERROR(__xludf.DUMMYFUNCTION("""COMPUTED_VALUE"""),61100)</f>
        <v>61100</v>
      </c>
      <c r="I1673" s="2"/>
      <c r="J1673" s="2"/>
      <c r="K1673" s="2" t="str">
        <f ca="1">IFERROR(__xludf.DUMMYFUNCTION("""COMPUTED_VALUE"""),"Fermentando")</f>
        <v>Fermentando</v>
      </c>
      <c r="L1673" s="2" t="str">
        <f ca="1">IFERROR(__xludf.DUMMYFUNCTION("""COMPUTED_VALUE"""),"1")</f>
        <v>1</v>
      </c>
      <c r="M1673" s="2" t="str">
        <f ca="1">IFERROR(__xludf.DUMMYFUNCTION("""COMPUTED_VALUE"""),"Blanco")</f>
        <v>Blanco</v>
      </c>
    </row>
    <row r="1674" spans="1:13" x14ac:dyDescent="0.25">
      <c r="A1674" s="2" t="str">
        <f ca="1">IFERROR(__xludf.DUMMYFUNCTION("""COMPUTED_VALUE"""),"1fd69a4e")</f>
        <v>1fd69a4e</v>
      </c>
      <c r="B1674" s="2"/>
      <c r="C1674" s="5">
        <f ca="1">IFERROR(__xludf.DUMMYFUNCTION("""COMPUTED_VALUE"""),46112.7889814814)</f>
        <v>46112.788981481397</v>
      </c>
      <c r="D1674" s="2">
        <f ca="1">IFERROR(__xludf.DUMMYFUNCTION("""COMPUTED_VALUE"""),500)</f>
        <v>500</v>
      </c>
      <c r="E1674" s="2">
        <f ca="1">IFERROR(__xludf.DUMMYFUNCTION("""COMPUTED_VALUE"""),200000)</f>
        <v>200000</v>
      </c>
      <c r="F1674" s="2" t="str">
        <f ca="1">IFERROR(__xludf.DUMMYFUNCTION("""COMPUTED_VALUE"""),"AJUSTE COSECHA 2026")</f>
        <v>AJUSTE COSECHA 2026</v>
      </c>
      <c r="G1674" s="2">
        <f ca="1">IFERROR(__xludf.DUMMYFUNCTION("""COMPUTED_VALUE"""),61100)</f>
        <v>61100</v>
      </c>
      <c r="H1674" s="2">
        <f ca="1">IFERROR(__xludf.DUMMYFUNCTION("""COMPUTED_VALUE"""),75100)</f>
        <v>75100</v>
      </c>
      <c r="I1674" s="2"/>
      <c r="J1674" s="2"/>
      <c r="K1674" s="2" t="str">
        <f ca="1">IFERROR(__xludf.DUMMYFUNCTION("""COMPUTED_VALUE"""),"Fermentando")</f>
        <v>Fermentando</v>
      </c>
      <c r="L1674" s="2" t="str">
        <f ca="1">IFERROR(__xludf.DUMMYFUNCTION("""COMPUTED_VALUE"""),"1")</f>
        <v>1</v>
      </c>
      <c r="M1674" s="2" t="str">
        <f ca="1">IFERROR(__xludf.DUMMYFUNCTION("""COMPUTED_VALUE"""),"Blanco")</f>
        <v>Blanco</v>
      </c>
    </row>
    <row r="1675" spans="1:13" x14ac:dyDescent="0.25">
      <c r="A1675" s="2" t="str">
        <f ca="1">IFERROR(__xludf.DUMMYFUNCTION("""COMPUTED_VALUE"""),"c47bd837")</f>
        <v>c47bd837</v>
      </c>
      <c r="B1675" s="2"/>
      <c r="C1675" s="5">
        <f ca="1">IFERROR(__xludf.DUMMYFUNCTION("""COMPUTED_VALUE"""),46112.8166319444)</f>
        <v>46112.816631944399</v>
      </c>
      <c r="D1675" s="2">
        <f ca="1">IFERROR(__xludf.DUMMYFUNCTION("""COMPUTED_VALUE"""),500)</f>
        <v>500</v>
      </c>
      <c r="E1675" s="2">
        <f ca="1">IFERROR(__xludf.DUMMYFUNCTION("""COMPUTED_VALUE"""),200000)</f>
        <v>200000</v>
      </c>
      <c r="F1675" s="2" t="str">
        <f ca="1">IFERROR(__xludf.DUMMYFUNCTION("""COMPUTED_VALUE"""),"AJUSTE COSECHA 2026")</f>
        <v>AJUSTE COSECHA 2026</v>
      </c>
      <c r="G1675" s="2">
        <f ca="1">IFERROR(__xludf.DUMMYFUNCTION("""COMPUTED_VALUE"""),75100)</f>
        <v>75100</v>
      </c>
      <c r="H1675" s="2">
        <f ca="1">IFERROR(__xludf.DUMMYFUNCTION("""COMPUTED_VALUE"""),73100)</f>
        <v>73100</v>
      </c>
      <c r="I1675" s="2"/>
      <c r="J1675" s="2"/>
      <c r="K1675" s="2" t="str">
        <f ca="1">IFERROR(__xludf.DUMMYFUNCTION("""COMPUTED_VALUE"""),"Fermentando")</f>
        <v>Fermentando</v>
      </c>
      <c r="L1675" s="2" t="str">
        <f ca="1">IFERROR(__xludf.DUMMYFUNCTION("""COMPUTED_VALUE"""),"1")</f>
        <v>1</v>
      </c>
      <c r="M1675" s="2" t="str">
        <f ca="1">IFERROR(__xludf.DUMMYFUNCTION("""COMPUTED_VALUE"""),"Blanco")</f>
        <v>Blanco</v>
      </c>
    </row>
    <row r="1676" spans="1:13" x14ac:dyDescent="0.25">
      <c r="A1676" s="2" t="str">
        <f ca="1">IFERROR(__xludf.DUMMYFUNCTION("""COMPUTED_VALUE"""),"ca789fd6")</f>
        <v>ca789fd6</v>
      </c>
      <c r="B1676" s="2"/>
      <c r="C1676" s="5">
        <f ca="1">IFERROR(__xludf.DUMMYFUNCTION("""COMPUTED_VALUE"""),46112.8182754629)</f>
        <v>46112.818275462902</v>
      </c>
      <c r="D1676" s="2">
        <f ca="1">IFERROR(__xludf.DUMMYFUNCTION("""COMPUTED_VALUE"""),500)</f>
        <v>500</v>
      </c>
      <c r="E1676" s="2">
        <f ca="1">IFERROR(__xludf.DUMMYFUNCTION("""COMPUTED_VALUE"""),200000)</f>
        <v>200000</v>
      </c>
      <c r="F1676" s="2" t="str">
        <f ca="1">IFERROR(__xludf.DUMMYFUNCTION("""COMPUTED_VALUE"""),"AJUSTE COSECHA 2026")</f>
        <v>AJUSTE COSECHA 2026</v>
      </c>
      <c r="G1676" s="2">
        <f ca="1">IFERROR(__xludf.DUMMYFUNCTION("""COMPUTED_VALUE"""),73100)</f>
        <v>73100</v>
      </c>
      <c r="H1676" s="2">
        <f ca="1">IFERROR(__xludf.DUMMYFUNCTION("""COMPUTED_VALUE"""),55100)</f>
        <v>55100</v>
      </c>
      <c r="I1676" s="2"/>
      <c r="J1676" s="2"/>
      <c r="K1676" s="2" t="str">
        <f ca="1">IFERROR(__xludf.DUMMYFUNCTION("""COMPUTED_VALUE"""),"Fermentando")</f>
        <v>Fermentando</v>
      </c>
      <c r="L1676" s="2" t="str">
        <f ca="1">IFERROR(__xludf.DUMMYFUNCTION("""COMPUTED_VALUE"""),"1")</f>
        <v>1</v>
      </c>
      <c r="M1676" s="2" t="str">
        <f ca="1">IFERROR(__xludf.DUMMYFUNCTION("""COMPUTED_VALUE"""),"Blanco")</f>
        <v>Blanco</v>
      </c>
    </row>
    <row r="1677" spans="1:13" x14ac:dyDescent="0.25">
      <c r="A1677" s="2" t="str">
        <f ca="1">IFERROR(__xludf.DUMMYFUNCTION("""COMPUTED_VALUE"""),"9dafdb04")</f>
        <v>9dafdb04</v>
      </c>
      <c r="B1677" s="2"/>
      <c r="C1677" s="5">
        <f ca="1">IFERROR(__xludf.DUMMYFUNCTION("""COMPUTED_VALUE"""),46111.8308680555)</f>
        <v>46111.830868055498</v>
      </c>
      <c r="D1677" s="2">
        <f ca="1">IFERROR(__xludf.DUMMYFUNCTION("""COMPUTED_VALUE"""),85)</f>
        <v>85</v>
      </c>
      <c r="E1677" s="2">
        <f ca="1">IFERROR(__xludf.DUMMYFUNCTION("""COMPUTED_VALUE"""),84000)</f>
        <v>84000</v>
      </c>
      <c r="F1677" s="2" t="str">
        <f ca="1">IFERROR(__xludf.DUMMYFUNCTION("""COMPUTED_VALUE"""),"Bonarda")</f>
        <v>Bonarda</v>
      </c>
      <c r="G1677" s="2"/>
      <c r="H1677" s="2">
        <f ca="1">IFERROR(__xludf.DUMMYFUNCTION("""COMPUTED_VALUE"""),38000)</f>
        <v>38000</v>
      </c>
      <c r="I1677" s="2" t="str">
        <f ca="1">IFERROR(__xludf.DUMMYFUNCTION("""COMPUTED_VALUE"""),"Rico")</f>
        <v>Rico</v>
      </c>
      <c r="J1677" s="2" t="str">
        <f ca="1">IFERROR(__xludf.DUMMYFUNCTION("""COMPUTED_VALUE"""),"6403 , 6406 , 6409 , 6417 , 6415 , 6411")</f>
        <v>6403 , 6406 , 6409 , 6417 , 6415 , 6411</v>
      </c>
      <c r="K1677" s="2" t="str">
        <f ca="1">IFERROR(__xludf.DUMMYFUNCTION("""COMPUTED_VALUE"""),"Fermentando")</f>
        <v>Fermentando</v>
      </c>
      <c r="L1677" s="2" t="str">
        <f ca="1">IFERROR(__xludf.DUMMYFUNCTION("""COMPUTED_VALUE"""),"1")</f>
        <v>1</v>
      </c>
      <c r="M1677" s="2" t="str">
        <f ca="1">IFERROR(__xludf.DUMMYFUNCTION("""COMPUTED_VALUE"""),"Tinto")</f>
        <v>Tinto</v>
      </c>
    </row>
    <row r="1678" spans="1:13" x14ac:dyDescent="0.25">
      <c r="A1678" s="2" t="str">
        <f ca="1">IFERROR(__xludf.DUMMYFUNCTION("""COMPUTED_VALUE"""),"608410f5")</f>
        <v>608410f5</v>
      </c>
      <c r="B1678" s="2"/>
      <c r="C1678" s="5">
        <f ca="1">IFERROR(__xludf.DUMMYFUNCTION("""COMPUTED_VALUE"""),46111.8324537037)</f>
        <v>46111.832453703697</v>
      </c>
      <c r="D1678" s="2">
        <f ca="1">IFERROR(__xludf.DUMMYFUNCTION("""COMPUTED_VALUE"""),87)</f>
        <v>87</v>
      </c>
      <c r="E1678" s="2">
        <f ca="1">IFERROR(__xludf.DUMMYFUNCTION("""COMPUTED_VALUE"""),93700)</f>
        <v>93700</v>
      </c>
      <c r="F1678" s="2" t="str">
        <f ca="1">IFERROR(__xludf.DUMMYFUNCTION("""COMPUTED_VALUE"""),"Malbec")</f>
        <v>Malbec</v>
      </c>
      <c r="G1678" s="2"/>
      <c r="H1678" s="2">
        <f ca="1">IFERROR(__xludf.DUMMYFUNCTION("""COMPUTED_VALUE"""),34500)</f>
        <v>34500</v>
      </c>
      <c r="I1678" s="2" t="str">
        <f ca="1">IFERROR(__xludf.DUMMYFUNCTION("""COMPUTED_VALUE"""),"No tiene notas de Malvon y es maquina")</f>
        <v>No tiene notas de Malvon y es maquina</v>
      </c>
      <c r="J1678" s="2" t="str">
        <f ca="1">IFERROR(__xludf.DUMMYFUNCTION("""COMPUTED_VALUE"""),"6404 , 64040 , 6405 , 6407 , 6408 , 6410 , 6412")</f>
        <v>6404 , 64040 , 6405 , 6407 , 6408 , 6410 , 6412</v>
      </c>
      <c r="K1678" s="2" t="str">
        <f ca="1">IFERROR(__xludf.DUMMYFUNCTION("""COMPUTED_VALUE"""),"Fermentando")</f>
        <v>Fermentando</v>
      </c>
      <c r="L1678" s="2"/>
      <c r="M1678" s="2" t="str">
        <f ca="1">IFERROR(__xludf.DUMMYFUNCTION("""COMPUTED_VALUE"""),"Tinto")</f>
        <v>Tinto</v>
      </c>
    </row>
    <row r="1679" spans="1:13" x14ac:dyDescent="0.25">
      <c r="A1679" s="2" t="str">
        <f ca="1">IFERROR(__xludf.DUMMYFUNCTION("""COMPUTED_VALUE"""),"b6a0e793")</f>
        <v>b6a0e793</v>
      </c>
      <c r="B1679" s="2"/>
      <c r="C1679" s="5">
        <f ca="1">IFERROR(__xludf.DUMMYFUNCTION("""COMPUTED_VALUE"""),46112.8575694444)</f>
        <v>46112.857569444401</v>
      </c>
      <c r="D1679" s="2">
        <f ca="1">IFERROR(__xludf.DUMMYFUNCTION("""COMPUTED_VALUE"""),90)</f>
        <v>90</v>
      </c>
      <c r="E1679" s="2">
        <f ca="1">IFERROR(__xludf.DUMMYFUNCTION("""COMPUTED_VALUE"""),97500)</f>
        <v>97500</v>
      </c>
      <c r="F1679" s="2" t="str">
        <f ca="1">IFERROR(__xludf.DUMMYFUNCTION("""COMPUTED_VALUE"""),"Malbec")</f>
        <v>Malbec</v>
      </c>
      <c r="G1679" s="2"/>
      <c r="H1679" s="2">
        <f ca="1">IFERROR(__xludf.DUMMYFUNCTION("""COMPUTED_VALUE"""),53500)</f>
        <v>53500</v>
      </c>
      <c r="I1679" s="2"/>
      <c r="J1679" s="2" t="str">
        <f ca="1">IFERROR(__xludf.DUMMYFUNCTION("""COMPUTED_VALUE"""),"6413 , 6416 , 6418 , 6420 , 6422 , 6424")</f>
        <v>6413 , 6416 , 6418 , 6420 , 6422 , 6424</v>
      </c>
      <c r="K1679" s="2" t="str">
        <f ca="1">IFERROR(__xludf.DUMMYFUNCTION("""COMPUTED_VALUE"""),"Fermentando")</f>
        <v>Fermentando</v>
      </c>
      <c r="L1679" s="2"/>
      <c r="M1679" s="2" t="str">
        <f ca="1">IFERROR(__xludf.DUMMYFUNCTION("""COMPUTED_VALUE"""),"Tinto")</f>
        <v>Tinto</v>
      </c>
    </row>
    <row r="1680" spans="1:13" x14ac:dyDescent="0.25">
      <c r="A1680" s="2" t="str">
        <f ca="1">IFERROR(__xludf.DUMMYFUNCTION("""COMPUTED_VALUE"""),"7cc65679")</f>
        <v>7cc65679</v>
      </c>
      <c r="B1680" s="2"/>
      <c r="C1680" s="5">
        <f ca="1">IFERROR(__xludf.DUMMYFUNCTION("""COMPUTED_VALUE"""),46112.8611805555)</f>
        <v>46112.861180555497</v>
      </c>
      <c r="D1680" s="2">
        <f ca="1">IFERROR(__xludf.DUMMYFUNCTION("""COMPUTED_VALUE"""),66)</f>
        <v>66</v>
      </c>
      <c r="E1680" s="2">
        <f ca="1">IFERROR(__xludf.DUMMYFUNCTION("""COMPUTED_VALUE"""),23000)</f>
        <v>23000</v>
      </c>
      <c r="F1680" s="2" t="str">
        <f ca="1">IFERROR(__xludf.DUMMYFUNCTION("""COMPUTED_VALUE"""),"Malbec")</f>
        <v>Malbec</v>
      </c>
      <c r="G1680" s="2"/>
      <c r="H1680" s="2">
        <f ca="1">IFERROR(__xludf.DUMMYFUNCTION("""COMPUTED_VALUE"""),16800)</f>
        <v>16800</v>
      </c>
      <c r="I1680" s="2"/>
      <c r="J1680" s="2" t="str">
        <f ca="1">IFERROR(__xludf.DUMMYFUNCTION("""COMPUTED_VALUE"""),"6426 , 6427 , 6428")</f>
        <v>6426 , 6427 , 6428</v>
      </c>
      <c r="K1680" s="2" t="str">
        <f ca="1">IFERROR(__xludf.DUMMYFUNCTION("""COMPUTED_VALUE"""),"Fermentando")</f>
        <v>Fermentando</v>
      </c>
      <c r="L1680" s="2"/>
      <c r="M1680" s="2" t="str">
        <f ca="1">IFERROR(__xludf.DUMMYFUNCTION("""COMPUTED_VALUE"""),"Tinto")</f>
        <v>Tinto</v>
      </c>
    </row>
    <row r="1681" spans="1:13" x14ac:dyDescent="0.25">
      <c r="A1681" s="2" t="str">
        <f ca="1">IFERROR(__xludf.DUMMYFUNCTION("""COMPUTED_VALUE"""),"f66c787f")</f>
        <v>f66c787f</v>
      </c>
      <c r="B1681" s="2"/>
      <c r="C1681" s="5">
        <f ca="1">IFERROR(__xludf.DUMMYFUNCTION("""COMPUTED_VALUE"""),46112.863125)</f>
        <v>46112.863125000003</v>
      </c>
      <c r="D1681" s="2">
        <f ca="1">IFERROR(__xludf.DUMMYFUNCTION("""COMPUTED_VALUE"""),125)</f>
        <v>125</v>
      </c>
      <c r="E1681" s="2">
        <f ca="1">IFERROR(__xludf.DUMMYFUNCTION("""COMPUTED_VALUE"""),31000)</f>
        <v>31000</v>
      </c>
      <c r="F1681" s="2" t="str">
        <f ca="1">IFERROR(__xludf.DUMMYFUNCTION("""COMPUTED_VALUE"""),"Criolla Mosto")</f>
        <v>Criolla Mosto</v>
      </c>
      <c r="G1681" s="2"/>
      <c r="H1681" s="2">
        <f ca="1">IFERROR(__xludf.DUMMYFUNCTION("""COMPUTED_VALUE"""),29600)</f>
        <v>29600</v>
      </c>
      <c r="I1681" s="2"/>
      <c r="J1681" s="2" t="str">
        <f ca="1">IFERROR(__xludf.DUMMYFUNCTION("""COMPUTED_VALUE"""),"6414 , 6419 , 6421 , 6423")</f>
        <v>6414 , 6419 , 6421 , 6423</v>
      </c>
      <c r="K1681" s="2" t="str">
        <f ca="1">IFERROR(__xludf.DUMMYFUNCTION("""COMPUTED_VALUE"""),"Mosto")</f>
        <v>Mosto</v>
      </c>
      <c r="L1681" s="2"/>
      <c r="M1681" s="2" t="str">
        <f ca="1">IFERROR(__xludf.DUMMYFUNCTION("""COMPUTED_VALUE"""),"Tinto")</f>
        <v>Tinto</v>
      </c>
    </row>
    <row r="1682" spans="1:13" x14ac:dyDescent="0.25">
      <c r="A1682" s="2" t="str">
        <f ca="1">IFERROR(__xludf.DUMMYFUNCTION("""COMPUTED_VALUE"""),"91eb4b2e")</f>
        <v>91eb4b2e</v>
      </c>
      <c r="B1682" s="2"/>
      <c r="C1682" s="5">
        <f ca="1">IFERROR(__xludf.DUMMYFUNCTION("""COMPUTED_VALUE"""),46112.8886921296)</f>
        <v>46112.8886921296</v>
      </c>
      <c r="D1682" s="2">
        <f ca="1">IFERROR(__xludf.DUMMYFUNCTION("""COMPUTED_VALUE"""),500)</f>
        <v>500</v>
      </c>
      <c r="E1682" s="2">
        <f ca="1">IFERROR(__xludf.DUMMYFUNCTION("""COMPUTED_VALUE"""),200000)</f>
        <v>200000</v>
      </c>
      <c r="F1682" s="2" t="str">
        <f ca="1">IFERROR(__xludf.DUMMYFUNCTION("""COMPUTED_VALUE"""),"AJUSTE COSECHA 2026")</f>
        <v>AJUSTE COSECHA 2026</v>
      </c>
      <c r="G1682" s="2">
        <f ca="1">IFERROR(__xludf.DUMMYFUNCTION("""COMPUTED_VALUE"""),55100)</f>
        <v>55100</v>
      </c>
      <c r="H1682" s="2">
        <f ca="1">IFERROR(__xludf.DUMMYFUNCTION("""COMPUTED_VALUE"""),42300)</f>
        <v>42300</v>
      </c>
      <c r="I1682" s="2"/>
      <c r="J1682" s="2"/>
      <c r="K1682" s="2" t="str">
        <f ca="1">IFERROR(__xludf.DUMMYFUNCTION("""COMPUTED_VALUE"""),"Fermentando")</f>
        <v>Fermentando</v>
      </c>
      <c r="L1682" s="2" t="str">
        <f ca="1">IFERROR(__xludf.DUMMYFUNCTION("""COMPUTED_VALUE"""),"1")</f>
        <v>1</v>
      </c>
      <c r="M1682" s="2" t="str">
        <f ca="1">IFERROR(__xludf.DUMMYFUNCTION("""COMPUTED_VALUE"""),"Blanco")</f>
        <v>Blanco</v>
      </c>
    </row>
    <row r="1683" spans="1:13" x14ac:dyDescent="0.25">
      <c r="A1683" s="2" t="str">
        <f ca="1">IFERROR(__xludf.DUMMYFUNCTION("""COMPUTED_VALUE"""),"cade6b9a")</f>
        <v>cade6b9a</v>
      </c>
      <c r="B1683" s="2"/>
      <c r="C1683" s="5">
        <f ca="1">IFERROR(__xludf.DUMMYFUNCTION("""COMPUTED_VALUE"""),46113.5107175925)</f>
        <v>46113.5107175925</v>
      </c>
      <c r="D1683" s="2">
        <f ca="1">IFERROR(__xludf.DUMMYFUNCTION("""COMPUTED_VALUE"""),126)</f>
        <v>126</v>
      </c>
      <c r="E1683" s="2">
        <f ca="1">IFERROR(__xludf.DUMMYFUNCTION("""COMPUTED_VALUE"""),31000)</f>
        <v>31000</v>
      </c>
      <c r="F1683" s="2" t="str">
        <f ca="1">IFERROR(__xludf.DUMMYFUNCTION("""COMPUTED_VALUE"""),"Criolla Mosto")</f>
        <v>Criolla Mosto</v>
      </c>
      <c r="G1683" s="2">
        <f ca="1">IFERROR(__xludf.DUMMYFUNCTION("""COMPUTED_VALUE"""),0)</f>
        <v>0</v>
      </c>
      <c r="H1683" s="2">
        <f ca="1">IFERROR(__xludf.DUMMYFUNCTION("""COMPUTED_VALUE"""),29600)</f>
        <v>29600</v>
      </c>
      <c r="I1683" s="2"/>
      <c r="J1683" s="2"/>
      <c r="K1683" s="2" t="str">
        <f ca="1">IFERROR(__xludf.DUMMYFUNCTION("""COMPUTED_VALUE"""),"Mosto")</f>
        <v>Mosto</v>
      </c>
      <c r="L1683" s="2"/>
      <c r="M1683" s="2" t="str">
        <f ca="1">IFERROR(__xludf.DUMMYFUNCTION("""COMPUTED_VALUE"""),"Tinto")</f>
        <v>Tinto</v>
      </c>
    </row>
    <row r="1684" spans="1:13" x14ac:dyDescent="0.25">
      <c r="A1684" s="2" t="str">
        <f ca="1">IFERROR(__xludf.DUMMYFUNCTION("""COMPUTED_VALUE"""),"6493978c")</f>
        <v>6493978c</v>
      </c>
      <c r="B1684" s="2"/>
      <c r="C1684" s="5">
        <f ca="1">IFERROR(__xludf.DUMMYFUNCTION("""COMPUTED_VALUE"""),46113.5112847222)</f>
        <v>46113.511284722197</v>
      </c>
      <c r="D1684" s="2">
        <f ca="1">IFERROR(__xludf.DUMMYFUNCTION("""COMPUTED_VALUE"""),8)</f>
        <v>8</v>
      </c>
      <c r="E1684" s="2">
        <f ca="1">IFERROR(__xludf.DUMMYFUNCTION("""COMPUTED_VALUE"""),22000)</f>
        <v>22000</v>
      </c>
      <c r="F1684" s="2" t="str">
        <f ca="1">IFERROR(__xludf.DUMMYFUNCTION("""COMPUTED_VALUE"""),"Criolla Mosto Rect")</f>
        <v>Criolla Mosto Rect</v>
      </c>
      <c r="G1684" s="2">
        <f ca="1">IFERROR(__xludf.DUMMYFUNCTION("""COMPUTED_VALUE"""),0)</f>
        <v>0</v>
      </c>
      <c r="H1684" s="2">
        <f ca="1">IFERROR(__xludf.DUMMYFUNCTION("""COMPUTED_VALUE"""),22000)</f>
        <v>22000</v>
      </c>
      <c r="I1684" s="2"/>
      <c r="J1684" s="2"/>
      <c r="K1684" s="2" t="str">
        <f ca="1">IFERROR(__xludf.DUMMYFUNCTION("""COMPUTED_VALUE"""),"Rectificado")</f>
        <v>Rectificado</v>
      </c>
      <c r="L1684" s="2"/>
      <c r="M1684" s="2" t="str">
        <f ca="1">IFERROR(__xludf.DUMMYFUNCTION("""COMPUTED_VALUE"""),"Tinto")</f>
        <v>Tinto</v>
      </c>
    </row>
    <row r="1685" spans="1:13" x14ac:dyDescent="0.25">
      <c r="A1685" s="2" t="str">
        <f ca="1">IFERROR(__xludf.DUMMYFUNCTION("""COMPUTED_VALUE"""),"ba82b2bc")</f>
        <v>ba82b2bc</v>
      </c>
      <c r="B1685" s="2"/>
      <c r="C1685" s="5">
        <f ca="1">IFERROR(__xludf.DUMMYFUNCTION("""COMPUTED_VALUE"""),46113.512199074)</f>
        <v>46113.512199074001</v>
      </c>
      <c r="D1685" s="2">
        <f ca="1">IFERROR(__xludf.DUMMYFUNCTION("""COMPUTED_VALUE"""),127)</f>
        <v>127</v>
      </c>
      <c r="E1685" s="2">
        <f ca="1">IFERROR(__xludf.DUMMYFUNCTION("""COMPUTED_VALUE"""),31000)</f>
        <v>31000</v>
      </c>
      <c r="F1685" s="2" t="str">
        <f ca="1">IFERROR(__xludf.DUMMYFUNCTION("""COMPUTED_VALUE"""),"Criolla")</f>
        <v>Criolla</v>
      </c>
      <c r="G1685" s="2">
        <f ca="1">IFERROR(__xludf.DUMMYFUNCTION("""COMPUTED_VALUE"""),0)</f>
        <v>0</v>
      </c>
      <c r="H1685" s="2">
        <f ca="1">IFERROR(__xludf.DUMMYFUNCTION("""COMPUTED_VALUE"""),24020)</f>
        <v>24020</v>
      </c>
      <c r="I1685" s="2"/>
      <c r="J1685" s="2"/>
      <c r="K1685" s="2" t="str">
        <f ca="1">IFERROR(__xludf.DUMMYFUNCTION("""COMPUTED_VALUE"""),"Fermentando")</f>
        <v>Fermentando</v>
      </c>
      <c r="L1685" s="2"/>
      <c r="M1685" s="2" t="str">
        <f ca="1">IFERROR(__xludf.DUMMYFUNCTION("""COMPUTED_VALUE"""),"Tinto")</f>
        <v>Tinto</v>
      </c>
    </row>
    <row r="1686" spans="1:13" x14ac:dyDescent="0.25">
      <c r="A1686" s="2" t="str">
        <f ca="1">IFERROR(__xludf.DUMMYFUNCTION("""COMPUTED_VALUE"""),"2c1f7013")</f>
        <v>2c1f7013</v>
      </c>
      <c r="B1686" s="2"/>
      <c r="C1686" s="5">
        <f ca="1">IFERROR(__xludf.DUMMYFUNCTION("""COMPUTED_VALUE"""),46113.5128472222)</f>
        <v>46113.512847222199</v>
      </c>
      <c r="D1686" s="2">
        <f ca="1">IFERROR(__xludf.DUMMYFUNCTION("""COMPUTED_VALUE"""),42)</f>
        <v>42</v>
      </c>
      <c r="E1686" s="2">
        <f ca="1">IFERROR(__xludf.DUMMYFUNCTION("""COMPUTED_VALUE"""),35900)</f>
        <v>35900</v>
      </c>
      <c r="F1686" s="2" t="str">
        <f ca="1">IFERROR(__xludf.DUMMYFUNCTION("""COMPUTED_VALUE"""),"Tinto Varietal B")</f>
        <v>Tinto Varietal B</v>
      </c>
      <c r="G1686" s="2">
        <f ca="1">IFERROR(__xludf.DUMMYFUNCTION("""COMPUTED_VALUE"""),0)</f>
        <v>0</v>
      </c>
      <c r="H1686" s="2">
        <f ca="1">IFERROR(__xludf.DUMMYFUNCTION("""COMPUTED_VALUE"""),35900)</f>
        <v>35900</v>
      </c>
      <c r="I1686" s="2"/>
      <c r="J1686" s="2"/>
      <c r="K1686" s="2" t="str">
        <f ca="1">IFERROR(__xludf.DUMMYFUNCTION("""COMPUTED_VALUE"""),"Terminado")</f>
        <v>Terminado</v>
      </c>
      <c r="L1686" s="2" t="str">
        <f ca="1">IFERROR(__xludf.DUMMYFUNCTION("""COMPUTED_VALUE"""),"1")</f>
        <v>1</v>
      </c>
      <c r="M1686" s="2" t="str">
        <f ca="1">IFERROR(__xludf.DUMMYFUNCTION("""COMPUTED_VALUE"""),"Tinto")</f>
        <v>Tinto</v>
      </c>
    </row>
    <row r="1687" spans="1:13" x14ac:dyDescent="0.25">
      <c r="A1687" s="2" t="str">
        <f ca="1">IFERROR(__xludf.DUMMYFUNCTION("""COMPUTED_VALUE"""),"f5732c0d")</f>
        <v>f5732c0d</v>
      </c>
      <c r="B1687" s="2"/>
      <c r="C1687" s="5">
        <f ca="1">IFERROR(__xludf.DUMMYFUNCTION("""COMPUTED_VALUE"""),46113.5129976851)</f>
        <v>46113.512997685102</v>
      </c>
      <c r="D1687" s="2">
        <f ca="1">IFERROR(__xludf.DUMMYFUNCTION("""COMPUTED_VALUE"""),36)</f>
        <v>36</v>
      </c>
      <c r="E1687" s="2">
        <f ca="1">IFERROR(__xludf.DUMMYFUNCTION("""COMPUTED_VALUE"""),19700)</f>
        <v>19700</v>
      </c>
      <c r="F1687" s="2" t="str">
        <f ca="1">IFERROR(__xludf.DUMMYFUNCTION("""COMPUTED_VALUE"""),"Tinto Varietal B")</f>
        <v>Tinto Varietal B</v>
      </c>
      <c r="G1687" s="2">
        <f ca="1">IFERROR(__xludf.DUMMYFUNCTION("""COMPUTED_VALUE"""),0)</f>
        <v>0</v>
      </c>
      <c r="H1687" s="2">
        <f ca="1">IFERROR(__xludf.DUMMYFUNCTION("""COMPUTED_VALUE"""),19700)</f>
        <v>19700</v>
      </c>
      <c r="I1687" s="2"/>
      <c r="J1687" s="2"/>
      <c r="K1687" s="2" t="str">
        <f ca="1">IFERROR(__xludf.DUMMYFUNCTION("""COMPUTED_VALUE"""),"Terminado")</f>
        <v>Terminado</v>
      </c>
      <c r="L1687" s="2" t="str">
        <f ca="1">IFERROR(__xludf.DUMMYFUNCTION("""COMPUTED_VALUE"""),"1")</f>
        <v>1</v>
      </c>
      <c r="M1687" s="2" t="str">
        <f ca="1">IFERROR(__xludf.DUMMYFUNCTION("""COMPUTED_VALUE"""),"Tinto")</f>
        <v>Tinto</v>
      </c>
    </row>
    <row r="1688" spans="1:13" x14ac:dyDescent="0.25">
      <c r="A1688" s="2" t="str">
        <f ca="1">IFERROR(__xludf.DUMMYFUNCTION("""COMPUTED_VALUE"""),"34d5df80")</f>
        <v>34d5df80</v>
      </c>
      <c r="B1688" s="2"/>
      <c r="C1688" s="5">
        <f ca="1">IFERROR(__xludf.DUMMYFUNCTION("""COMPUTED_VALUE"""),46113.5131828703)</f>
        <v>46113.513182870302</v>
      </c>
      <c r="D1688" s="2">
        <f ca="1">IFERROR(__xludf.DUMMYFUNCTION("""COMPUTED_VALUE"""),45)</f>
        <v>45</v>
      </c>
      <c r="E1688" s="2">
        <f ca="1">IFERROR(__xludf.DUMMYFUNCTION("""COMPUTED_VALUE"""),30000)</f>
        <v>30000</v>
      </c>
      <c r="F1688" s="2" t="str">
        <f ca="1">IFERROR(__xludf.DUMMYFUNCTION("""COMPUTED_VALUE"""),"Tinto Varietal B")</f>
        <v>Tinto Varietal B</v>
      </c>
      <c r="G1688" s="2">
        <f ca="1">IFERROR(__xludf.DUMMYFUNCTION("""COMPUTED_VALUE"""),0)</f>
        <v>0</v>
      </c>
      <c r="H1688" s="2">
        <f ca="1">IFERROR(__xludf.DUMMYFUNCTION("""COMPUTED_VALUE"""),30000)</f>
        <v>30000</v>
      </c>
      <c r="I1688" s="2"/>
      <c r="J1688" s="2"/>
      <c r="K1688" s="2" t="str">
        <f ca="1">IFERROR(__xludf.DUMMYFUNCTION("""COMPUTED_VALUE"""),"Terminado")</f>
        <v>Terminado</v>
      </c>
      <c r="L1688" s="2" t="str">
        <f ca="1">IFERROR(__xludf.DUMMYFUNCTION("""COMPUTED_VALUE"""),"1")</f>
        <v>1</v>
      </c>
      <c r="M1688" s="2" t="str">
        <f ca="1">IFERROR(__xludf.DUMMYFUNCTION("""COMPUTED_VALUE"""),"Tinto")</f>
        <v>Tinto</v>
      </c>
    </row>
    <row r="1689" spans="1:13" x14ac:dyDescent="0.25">
      <c r="A1689" s="2" t="str">
        <f ca="1">IFERROR(__xludf.DUMMYFUNCTION("""COMPUTED_VALUE"""),"75903343")</f>
        <v>75903343</v>
      </c>
      <c r="B1689" s="2"/>
      <c r="C1689" s="5">
        <f ca="1">IFERROR(__xludf.DUMMYFUNCTION("""COMPUTED_VALUE"""),46113.5138657407)</f>
        <v>46113.513865740701</v>
      </c>
      <c r="D1689" s="2">
        <f ca="1">IFERROR(__xludf.DUMMYFUNCTION("""COMPUTED_VALUE"""),118)</f>
        <v>118</v>
      </c>
      <c r="E1689" s="2">
        <f ca="1">IFERROR(__xludf.DUMMYFUNCTION("""COMPUTED_VALUE"""),155600)</f>
        <v>155600</v>
      </c>
      <c r="F1689" s="2" t="str">
        <f ca="1">IFERROR(__xludf.DUMMYFUNCTION("""COMPUTED_VALUE"""),"Syrah Bonarda")</f>
        <v>Syrah Bonarda</v>
      </c>
      <c r="G1689" s="2">
        <f ca="1">IFERROR(__xludf.DUMMYFUNCTION("""COMPUTED_VALUE"""),55400)</f>
        <v>55400</v>
      </c>
      <c r="H1689" s="2">
        <f ca="1">IFERROR(__xludf.DUMMYFUNCTION("""COMPUTED_VALUE"""),111000)</f>
        <v>111000</v>
      </c>
      <c r="I1689" s="2"/>
      <c r="J1689" s="2"/>
      <c r="K1689" s="2" t="str">
        <f ca="1">IFERROR(__xludf.DUMMYFUNCTION("""COMPUTED_VALUE"""),"Descubada")</f>
        <v>Descubada</v>
      </c>
      <c r="L1689" s="2" t="str">
        <f ca="1">IFERROR(__xludf.DUMMYFUNCTION("""COMPUTED_VALUE"""),"1")</f>
        <v>1</v>
      </c>
      <c r="M1689" s="2" t="str">
        <f ca="1">IFERROR(__xludf.DUMMYFUNCTION("""COMPUTED_VALUE"""),"Tinto")</f>
        <v>Tinto</v>
      </c>
    </row>
    <row r="1690" spans="1:13" x14ac:dyDescent="0.25">
      <c r="A1690" s="2" t="str">
        <f ca="1">IFERROR(__xludf.DUMMYFUNCTION("""COMPUTED_VALUE"""),"a5156e38")</f>
        <v>a5156e38</v>
      </c>
      <c r="B1690" s="2"/>
      <c r="C1690" s="5">
        <f ca="1">IFERROR(__xludf.DUMMYFUNCTION("""COMPUTED_VALUE"""),46113.5141666666)</f>
        <v>46113.514166666602</v>
      </c>
      <c r="D1690" s="2">
        <f ca="1">IFERROR(__xludf.DUMMYFUNCTION("""COMPUTED_VALUE"""),118)</f>
        <v>118</v>
      </c>
      <c r="E1690" s="2">
        <f ca="1">IFERROR(__xludf.DUMMYFUNCTION("""COMPUTED_VALUE"""),155600)</f>
        <v>155600</v>
      </c>
      <c r="F1690" s="2" t="str">
        <f ca="1">IFERROR(__xludf.DUMMYFUNCTION("""COMPUTED_VALUE"""),"Syrah Temp")</f>
        <v>Syrah Temp</v>
      </c>
      <c r="G1690" s="2">
        <f ca="1">IFERROR(__xludf.DUMMYFUNCTION("""COMPUTED_VALUE"""),111000)</f>
        <v>111000</v>
      </c>
      <c r="H1690" s="2">
        <f ca="1">IFERROR(__xludf.DUMMYFUNCTION("""COMPUTED_VALUE"""),137500)</f>
        <v>137500</v>
      </c>
      <c r="I1690" s="2"/>
      <c r="J1690" s="2"/>
      <c r="K1690" s="2" t="str">
        <f ca="1">IFERROR(__xludf.DUMMYFUNCTION("""COMPUTED_VALUE"""),"Fermentando")</f>
        <v>Fermentando</v>
      </c>
      <c r="L1690" s="2" t="str">
        <f ca="1">IFERROR(__xludf.DUMMYFUNCTION("""COMPUTED_VALUE"""),"1")</f>
        <v>1</v>
      </c>
      <c r="M1690" s="2" t="str">
        <f ca="1">IFERROR(__xludf.DUMMYFUNCTION("""COMPUTED_VALUE"""),"Tinto")</f>
        <v>Tinto</v>
      </c>
    </row>
    <row r="1691" spans="1:13" x14ac:dyDescent="0.25">
      <c r="A1691" s="2" t="str">
        <f ca="1">IFERROR(__xludf.DUMMYFUNCTION("""COMPUTED_VALUE"""),"7180c38d")</f>
        <v>7180c38d</v>
      </c>
      <c r="B1691" s="2"/>
      <c r="C1691" s="5">
        <f ca="1">IFERROR(__xludf.DUMMYFUNCTION("""COMPUTED_VALUE"""),46113.5295023148)</f>
        <v>46113.529502314799</v>
      </c>
      <c r="D1691" s="2">
        <f ca="1">IFERROR(__xludf.DUMMYFUNCTION("""COMPUTED_VALUE"""),96)</f>
        <v>96</v>
      </c>
      <c r="E1691" s="2">
        <f ca="1">IFERROR(__xludf.DUMMYFUNCTION("""COMPUTED_VALUE"""),85600)</f>
        <v>85600</v>
      </c>
      <c r="F1691" s="2" t="str">
        <f ca="1">IFERROR(__xludf.DUMMYFUNCTION("""COMPUTED_VALUE"""),"Bonarda NG - Cabernet Sa")</f>
        <v>Bonarda NG - Cabernet Sa</v>
      </c>
      <c r="G1691" s="2"/>
      <c r="H1691" s="2">
        <f ca="1">IFERROR(__xludf.DUMMYFUNCTION("""COMPUTED_VALUE"""),40000)</f>
        <v>40000</v>
      </c>
      <c r="I1691" s="2"/>
      <c r="J1691" s="2" t="str">
        <f ca="1">IFERROR(__xludf.DUMMYFUNCTION("""COMPUTED_VALUE"""),"6429 , 6430 , 6432 , 6433 , 6434 , 6435")</f>
        <v>6429 , 6430 , 6432 , 6433 , 6434 , 6435</v>
      </c>
      <c r="K1691" s="2" t="str">
        <f ca="1">IFERROR(__xludf.DUMMYFUNCTION("""COMPUTED_VALUE"""),"Fermentando")</f>
        <v>Fermentando</v>
      </c>
      <c r="L1691" s="2"/>
      <c r="M1691" s="2" t="str">
        <f ca="1">IFERROR(__xludf.DUMMYFUNCTION("""COMPUTED_VALUE"""),"Tinto")</f>
        <v>Tinto</v>
      </c>
    </row>
    <row r="1692" spans="1:13" x14ac:dyDescent="0.25">
      <c r="A1692" s="2" t="str">
        <f ca="1">IFERROR(__xludf.DUMMYFUNCTION("""COMPUTED_VALUE"""),"2a72924d")</f>
        <v>2a72924d</v>
      </c>
      <c r="B1692" s="2"/>
      <c r="C1692" s="5">
        <f ca="1">IFERROR(__xludf.DUMMYFUNCTION("""COMPUTED_VALUE"""),46113.7886458333)</f>
        <v>46113.788645833301</v>
      </c>
      <c r="D1692" s="2">
        <f ca="1">IFERROR(__xludf.DUMMYFUNCTION("""COMPUTED_VALUE"""),79)</f>
        <v>79</v>
      </c>
      <c r="E1692" s="2">
        <f ca="1">IFERROR(__xludf.DUMMYFUNCTION("""COMPUTED_VALUE"""),26000)</f>
        <v>26000</v>
      </c>
      <c r="F1692" s="2" t="str">
        <f ca="1">IFERROR(__xludf.DUMMYFUNCTION("""COMPUTED_VALUE"""),"Malbec Maq")</f>
        <v>Malbec Maq</v>
      </c>
      <c r="G1692" s="2"/>
      <c r="H1692" s="2">
        <f ca="1">IFERROR(__xludf.DUMMYFUNCTION("""COMPUTED_VALUE"""),9000)</f>
        <v>9000</v>
      </c>
      <c r="I1692" s="2"/>
      <c r="J1692" s="2">
        <f ca="1">IFERROR(__xludf.DUMMYFUNCTION("""COMPUTED_VALUE"""),6431)</f>
        <v>6431</v>
      </c>
      <c r="K1692" s="2" t="str">
        <f ca="1">IFERROR(__xludf.DUMMYFUNCTION("""COMPUTED_VALUE"""),"Fermentando")</f>
        <v>Fermentando</v>
      </c>
      <c r="L1692" s="2"/>
      <c r="M1692" s="2" t="str">
        <f ca="1">IFERROR(__xludf.DUMMYFUNCTION("""COMPUTED_VALUE"""),"Tinto")</f>
        <v>Tinto</v>
      </c>
    </row>
    <row r="1693" spans="1:13" x14ac:dyDescent="0.25">
      <c r="A1693" s="2" t="str">
        <f ca="1">IFERROR(__xludf.DUMMYFUNCTION("""COMPUTED_VALUE"""),"86b4e029")</f>
        <v>86b4e029</v>
      </c>
      <c r="B1693" s="2"/>
      <c r="C1693" s="5">
        <f ca="1">IFERROR(__xludf.DUMMYFUNCTION("""COMPUTED_VALUE"""),46113.8573958333)</f>
        <v>46113.8573958333</v>
      </c>
      <c r="D1693" s="2">
        <f ca="1">IFERROR(__xludf.DUMMYFUNCTION("""COMPUTED_VALUE"""),76)</f>
        <v>76</v>
      </c>
      <c r="E1693" s="2">
        <f ca="1">IFERROR(__xludf.DUMMYFUNCTION("""COMPUTED_VALUE"""),25500)</f>
        <v>25500</v>
      </c>
      <c r="F1693" s="2" t="str">
        <f ca="1">IFERROR(__xludf.DUMMYFUNCTION("""COMPUTED_VALUE"""),"Malbec")</f>
        <v>Malbec</v>
      </c>
      <c r="G1693" s="2"/>
      <c r="H1693" s="2">
        <f ca="1">IFERROR(__xludf.DUMMYFUNCTION("""COMPUTED_VALUE"""),15000)</f>
        <v>15000</v>
      </c>
      <c r="I1693" s="2"/>
      <c r="J1693" s="2">
        <f ca="1">IFERROR(__xludf.DUMMYFUNCTION("""COMPUTED_VALUE"""),6438)</f>
        <v>6438</v>
      </c>
      <c r="K1693" s="2" t="str">
        <f ca="1">IFERROR(__xludf.DUMMYFUNCTION("""COMPUTED_VALUE"""),"Fermentando")</f>
        <v>Fermentando</v>
      </c>
      <c r="L1693" s="2"/>
      <c r="M1693" s="2" t="str">
        <f ca="1">IFERROR(__xludf.DUMMYFUNCTION("""COMPUTED_VALUE"""),"Tinto")</f>
        <v>Tinto</v>
      </c>
    </row>
    <row r="1694" spans="1:13" x14ac:dyDescent="0.25">
      <c r="A1694" s="2" t="str">
        <f ca="1">IFERROR(__xludf.DUMMYFUNCTION("""COMPUTED_VALUE"""),"1ba01bfa")</f>
        <v>1ba01bfa</v>
      </c>
      <c r="B1694" s="2"/>
      <c r="C1694" s="5">
        <f ca="1">IFERROR(__xludf.DUMMYFUNCTION("""COMPUTED_VALUE"""),46114.5057175925)</f>
        <v>46114.505717592503</v>
      </c>
      <c r="D1694" s="2">
        <f ca="1">IFERROR(__xludf.DUMMYFUNCTION("""COMPUTED_VALUE"""),90)</f>
        <v>90</v>
      </c>
      <c r="E1694" s="2">
        <f ca="1">IFERROR(__xludf.DUMMYFUNCTION("""COMPUTED_VALUE"""),97500)</f>
        <v>97500</v>
      </c>
      <c r="F1694" s="2" t="str">
        <f ca="1">IFERROR(__xludf.DUMMYFUNCTION("""COMPUTED_VALUE"""),"Malbec PC")</f>
        <v>Malbec PC</v>
      </c>
      <c r="G1694" s="2">
        <f ca="1">IFERROR(__xludf.DUMMYFUNCTION("""COMPUTED_VALUE"""),53500)</f>
        <v>53500</v>
      </c>
      <c r="H1694" s="2">
        <f ca="1">IFERROR(__xludf.DUMMYFUNCTION("""COMPUTED_VALUE"""),58500)</f>
        <v>58500</v>
      </c>
      <c r="I1694" s="2"/>
      <c r="J1694" s="2"/>
      <c r="K1694" s="2" t="str">
        <f ca="1">IFERROR(__xludf.DUMMYFUNCTION("""COMPUTED_VALUE"""),"Fermentando")</f>
        <v>Fermentando</v>
      </c>
      <c r="L1694" s="2" t="str">
        <f ca="1">IFERROR(__xludf.DUMMYFUNCTION("""COMPUTED_VALUE"""),"1")</f>
        <v>1</v>
      </c>
      <c r="M1694" s="2" t="str">
        <f ca="1">IFERROR(__xludf.DUMMYFUNCTION("""COMPUTED_VALUE"""),"Tinto")</f>
        <v>Tinto</v>
      </c>
    </row>
    <row r="1695" spans="1:13" x14ac:dyDescent="0.25">
      <c r="A1695" s="2" t="str">
        <f ca="1">IFERROR(__xludf.DUMMYFUNCTION("""COMPUTED_VALUE"""),"9a4dc22a")</f>
        <v>9a4dc22a</v>
      </c>
      <c r="B1695" s="2"/>
      <c r="C1695" s="5">
        <f ca="1">IFERROR(__xludf.DUMMYFUNCTION("""COMPUTED_VALUE"""),46114.5064236111)</f>
        <v>46114.506423611099</v>
      </c>
      <c r="D1695" s="2">
        <f ca="1">IFERROR(__xludf.DUMMYFUNCTION("""COMPUTED_VALUE"""),79)</f>
        <v>79</v>
      </c>
      <c r="E1695" s="2">
        <f ca="1">IFERROR(__xludf.DUMMYFUNCTION("""COMPUTED_VALUE"""),26000)</f>
        <v>26000</v>
      </c>
      <c r="F1695" s="2" t="str">
        <f ca="1">IFERROR(__xludf.DUMMYFUNCTION("""COMPUTED_VALUE"""),"Malbec Maq PC")</f>
        <v>Malbec Maq PC</v>
      </c>
      <c r="G1695" s="2">
        <f ca="1">IFERROR(__xludf.DUMMYFUNCTION("""COMPUTED_VALUE"""),9000)</f>
        <v>9000</v>
      </c>
      <c r="H1695" s="2">
        <f ca="1">IFERROR(__xludf.DUMMYFUNCTION("""COMPUTED_VALUE"""),10000)</f>
        <v>10000</v>
      </c>
      <c r="I1695" s="2"/>
      <c r="J1695" s="2"/>
      <c r="K1695" s="2" t="str">
        <f ca="1">IFERROR(__xludf.DUMMYFUNCTION("""COMPUTED_VALUE"""),"Fermentando")</f>
        <v>Fermentando</v>
      </c>
      <c r="L1695" s="2"/>
      <c r="M1695" s="2" t="str">
        <f ca="1">IFERROR(__xludf.DUMMYFUNCTION("""COMPUTED_VALUE"""),"Tinto")</f>
        <v>Tinto</v>
      </c>
    </row>
    <row r="1696" spans="1:13" x14ac:dyDescent="0.25">
      <c r="A1696" s="2" t="str">
        <f ca="1">IFERROR(__xludf.DUMMYFUNCTION("""COMPUTED_VALUE"""),"a2de3afc")</f>
        <v>a2de3afc</v>
      </c>
      <c r="B1696" s="2"/>
      <c r="C1696" s="5">
        <f ca="1">IFERROR(__xludf.DUMMYFUNCTION("""COMPUTED_VALUE"""),46114.5071296296)</f>
        <v>46114.507129629601</v>
      </c>
      <c r="D1696" s="2">
        <f ca="1">IFERROR(__xludf.DUMMYFUNCTION("""COMPUTED_VALUE"""),96)</f>
        <v>96</v>
      </c>
      <c r="E1696" s="2">
        <f ca="1">IFERROR(__xludf.DUMMYFUNCTION("""COMPUTED_VALUE"""),85600)</f>
        <v>85600</v>
      </c>
      <c r="F1696" s="2" t="str">
        <f ca="1">IFERROR(__xludf.DUMMYFUNCTION("""COMPUTED_VALUE"""),"Bonarda NV - Cabernet Sau PC")</f>
        <v>Bonarda NV - Cabernet Sau PC</v>
      </c>
      <c r="G1696" s="2">
        <f ca="1">IFERROR(__xludf.DUMMYFUNCTION("""COMPUTED_VALUE"""),40000)</f>
        <v>40000</v>
      </c>
      <c r="H1696" s="2">
        <f ca="1">IFERROR(__xludf.DUMMYFUNCTION("""COMPUTED_VALUE"""),46000)</f>
        <v>46000</v>
      </c>
      <c r="I1696" s="2" t="str">
        <f ca="1">IFERROR(__xludf.DUMMYFUNCTION("""COMPUTED_VALUE"""),"Muy rico. Falta rectif")</f>
        <v>Muy rico. Falta rectif</v>
      </c>
      <c r="J1696" s="2"/>
      <c r="K1696" s="2" t="str">
        <f ca="1">IFERROR(__xludf.DUMMYFUNCTION("""COMPUTED_VALUE"""),"Fermentando")</f>
        <v>Fermentando</v>
      </c>
      <c r="L1696" s="2" t="str">
        <f ca="1">IFERROR(__xludf.DUMMYFUNCTION("""COMPUTED_VALUE"""),"1")</f>
        <v>1</v>
      </c>
      <c r="M1696" s="2" t="str">
        <f ca="1">IFERROR(__xludf.DUMMYFUNCTION("""COMPUTED_VALUE"""),"Tinto")</f>
        <v>Tinto</v>
      </c>
    </row>
    <row r="1697" spans="1:13" x14ac:dyDescent="0.25">
      <c r="A1697" s="2" t="str">
        <f ca="1">IFERROR(__xludf.DUMMYFUNCTION("""COMPUTED_VALUE"""),"291d7fe7")</f>
        <v>291d7fe7</v>
      </c>
      <c r="B1697" s="2"/>
      <c r="C1697" s="5">
        <f ca="1">IFERROR(__xludf.DUMMYFUNCTION("""COMPUTED_VALUE"""),46114.5084259259)</f>
        <v>46114.508425925902</v>
      </c>
      <c r="D1697" s="2">
        <f ca="1">IFERROR(__xludf.DUMMYFUNCTION("""COMPUTED_VALUE"""),6)</f>
        <v>6</v>
      </c>
      <c r="E1697" s="2">
        <f ca="1">IFERROR(__xludf.DUMMYFUNCTION("""COMPUTED_VALUE"""),32000)</f>
        <v>32000</v>
      </c>
      <c r="F1697" s="2" t="str">
        <f ca="1">IFERROR(__xludf.DUMMYFUNCTION("""COMPUTED_VALUE"""),"Cabernet Sauvignon Rect")</f>
        <v>Cabernet Sauvignon Rect</v>
      </c>
      <c r="G1697" s="2">
        <f ca="1">IFERROR(__xludf.DUMMYFUNCTION("""COMPUTED_VALUE"""),6800)</f>
        <v>6800</v>
      </c>
      <c r="H1697" s="2">
        <f ca="1">IFERROR(__xludf.DUMMYFUNCTION("""COMPUTED_VALUE"""),0)</f>
        <v>0</v>
      </c>
      <c r="I1697" s="2"/>
      <c r="J1697" s="2"/>
      <c r="K1697" s="2" t="str">
        <f ca="1">IFERROR(__xludf.DUMMYFUNCTION("""COMPUTED_VALUE"""),"Rectificado")</f>
        <v>Rectificado</v>
      </c>
      <c r="L1697" s="2" t="str">
        <f ca="1">IFERROR(__xludf.DUMMYFUNCTION("""COMPUTED_VALUE"""),"1")</f>
        <v>1</v>
      </c>
      <c r="M1697" s="2" t="str">
        <f ca="1">IFERROR(__xludf.DUMMYFUNCTION("""COMPUTED_VALUE"""),"Tinto")</f>
        <v>Tinto</v>
      </c>
    </row>
    <row r="1698" spans="1:13" x14ac:dyDescent="0.25">
      <c r="A1698" s="2" t="str">
        <f ca="1">IFERROR(__xludf.DUMMYFUNCTION("""COMPUTED_VALUE"""),"3e1a0b39")</f>
        <v>3e1a0b39</v>
      </c>
      <c r="B1698" s="2"/>
      <c r="C1698" s="5">
        <f ca="1">IFERROR(__xludf.DUMMYFUNCTION("""COMPUTED_VALUE"""),46114.508912037)</f>
        <v>46114.508912037003</v>
      </c>
      <c r="D1698" s="2">
        <f ca="1">IFERROR(__xludf.DUMMYFUNCTION("""COMPUTED_VALUE"""),7)</f>
        <v>7</v>
      </c>
      <c r="E1698" s="2">
        <f ca="1">IFERROR(__xludf.DUMMYFUNCTION("""COMPUTED_VALUE"""),30000)</f>
        <v>30000</v>
      </c>
      <c r="F1698" s="2" t="str">
        <f ca="1">IFERROR(__xludf.DUMMYFUNCTION("""COMPUTED_VALUE"""),"Malbec Rect")</f>
        <v>Malbec Rect</v>
      </c>
      <c r="G1698" s="2">
        <f ca="1">IFERROR(__xludf.DUMMYFUNCTION("""COMPUTED_VALUE"""),30000)</f>
        <v>30000</v>
      </c>
      <c r="H1698" s="2">
        <f ca="1">IFERROR(__xludf.DUMMYFUNCTION("""COMPUTED_VALUE"""),26500)</f>
        <v>26500</v>
      </c>
      <c r="I1698" s="2"/>
      <c r="J1698" s="2"/>
      <c r="K1698" s="2" t="str">
        <f ca="1">IFERROR(__xludf.DUMMYFUNCTION("""COMPUTED_VALUE"""),"Rectificado")</f>
        <v>Rectificado</v>
      </c>
      <c r="L1698" s="2" t="str">
        <f ca="1">IFERROR(__xludf.DUMMYFUNCTION("""COMPUTED_VALUE"""),"1")</f>
        <v>1</v>
      </c>
      <c r="M1698" s="2" t="str">
        <f ca="1">IFERROR(__xludf.DUMMYFUNCTION("""COMPUTED_VALUE"""),"Tinto")</f>
        <v>Tinto</v>
      </c>
    </row>
    <row r="1699" spans="1:13" x14ac:dyDescent="0.25">
      <c r="A1699" s="2" t="str">
        <f ca="1">IFERROR(__xludf.DUMMYFUNCTION("""COMPUTED_VALUE"""),"4ddd8538")</f>
        <v>4ddd8538</v>
      </c>
      <c r="B1699" s="2"/>
      <c r="C1699" s="5">
        <f ca="1">IFERROR(__xludf.DUMMYFUNCTION("""COMPUTED_VALUE"""),46114.5096412037)</f>
        <v>46114.509641203702</v>
      </c>
      <c r="D1699" s="2">
        <f ca="1">IFERROR(__xludf.DUMMYFUNCTION("""COMPUTED_VALUE"""),7)</f>
        <v>7</v>
      </c>
      <c r="E1699" s="2">
        <f ca="1">IFERROR(__xludf.DUMMYFUNCTION("""COMPUTED_VALUE"""),30000)</f>
        <v>30000</v>
      </c>
      <c r="F1699" s="2" t="str">
        <f ca="1">IFERROR(__xludf.DUMMYFUNCTION("""COMPUTED_VALUE"""),"Malbec Rect")</f>
        <v>Malbec Rect</v>
      </c>
      <c r="G1699" s="2">
        <f ca="1">IFERROR(__xludf.DUMMYFUNCTION("""COMPUTED_VALUE"""),26500)</f>
        <v>26500</v>
      </c>
      <c r="H1699" s="2">
        <f ca="1">IFERROR(__xludf.DUMMYFUNCTION("""COMPUTED_VALUE"""),18000)</f>
        <v>18000</v>
      </c>
      <c r="I1699" s="2"/>
      <c r="J1699" s="2"/>
      <c r="K1699" s="2" t="str">
        <f ca="1">IFERROR(__xludf.DUMMYFUNCTION("""COMPUTED_VALUE"""),"Rectificado")</f>
        <v>Rectificado</v>
      </c>
      <c r="L1699" s="2" t="str">
        <f ca="1">IFERROR(__xludf.DUMMYFUNCTION("""COMPUTED_VALUE"""),"1")</f>
        <v>1</v>
      </c>
      <c r="M1699" s="2" t="str">
        <f ca="1">IFERROR(__xludf.DUMMYFUNCTION("""COMPUTED_VALUE"""),"Tinto")</f>
        <v>Tinto</v>
      </c>
    </row>
    <row r="1700" spans="1:13" x14ac:dyDescent="0.25">
      <c r="A1700" s="2" t="str">
        <f ca="1">IFERROR(__xludf.DUMMYFUNCTION("""COMPUTED_VALUE"""),"d381a136")</f>
        <v>d381a136</v>
      </c>
      <c r="B1700" s="2"/>
      <c r="C1700" s="5">
        <f ca="1">IFERROR(__xludf.DUMMYFUNCTION("""COMPUTED_VALUE"""),46114.5103587962)</f>
        <v>46114.5103587962</v>
      </c>
      <c r="D1700" s="2">
        <f ca="1">IFERROR(__xludf.DUMMYFUNCTION("""COMPUTED_VALUE"""),66)</f>
        <v>66</v>
      </c>
      <c r="E1700" s="2">
        <f ca="1">IFERROR(__xludf.DUMMYFUNCTION("""COMPUTED_VALUE"""),23000)</f>
        <v>23000</v>
      </c>
      <c r="F1700" s="2" t="str">
        <f ca="1">IFERROR(__xludf.DUMMYFUNCTION("""COMPUTED_VALUE"""),"Malbec PC")</f>
        <v>Malbec PC</v>
      </c>
      <c r="G1700" s="2">
        <f ca="1">IFERROR(__xludf.DUMMYFUNCTION("""COMPUTED_VALUE"""),16800)</f>
        <v>16800</v>
      </c>
      <c r="H1700" s="2">
        <f ca="1">IFERROR(__xludf.DUMMYFUNCTION("""COMPUTED_VALUE"""),18800)</f>
        <v>18800</v>
      </c>
      <c r="I1700" s="2"/>
      <c r="J1700" s="2"/>
      <c r="K1700" s="2" t="str">
        <f ca="1">IFERROR(__xludf.DUMMYFUNCTION("""COMPUTED_VALUE"""),"Fermentando")</f>
        <v>Fermentando</v>
      </c>
      <c r="L1700" s="2"/>
      <c r="M1700" s="2" t="str">
        <f ca="1">IFERROR(__xludf.DUMMYFUNCTION("""COMPUTED_VALUE"""),"Tinto")</f>
        <v>Tinto</v>
      </c>
    </row>
    <row r="1701" spans="1:13" x14ac:dyDescent="0.25">
      <c r="A1701" s="2" t="str">
        <f ca="1">IFERROR(__xludf.DUMMYFUNCTION("""COMPUTED_VALUE"""),"e19785aa")</f>
        <v>e19785aa</v>
      </c>
      <c r="B1701" s="2"/>
      <c r="C1701" s="5">
        <f ca="1">IFERROR(__xludf.DUMMYFUNCTION("""COMPUTED_VALUE"""),46114.7418171296)</f>
        <v>46114.741817129601</v>
      </c>
      <c r="D1701" s="2">
        <f ca="1">IFERROR(__xludf.DUMMYFUNCTION("""COMPUTED_VALUE"""),92)</f>
        <v>92</v>
      </c>
      <c r="E1701" s="2">
        <f ca="1">IFERROR(__xludf.DUMMYFUNCTION("""COMPUTED_VALUE"""),76000)</f>
        <v>76000</v>
      </c>
      <c r="F1701" s="2" t="str">
        <f ca="1">IFERROR(__xludf.DUMMYFUNCTION("""COMPUTED_VALUE"""),"Malbec")</f>
        <v>Malbec</v>
      </c>
      <c r="G1701" s="2"/>
      <c r="H1701" s="2">
        <f ca="1">IFERROR(__xludf.DUMMYFUNCTION("""COMPUTED_VALUE"""),34200)</f>
        <v>34200</v>
      </c>
      <c r="I1701" s="2" t="str">
        <f ca="1">IFERROR(__xludf.DUMMYFUNCTION("""COMPUTED_VALUE"""),"Orégano.
Mejoro de la última degustación")</f>
        <v>Orégano.
Mejoro de la última degustación</v>
      </c>
      <c r="J1701" s="2" t="str">
        <f ca="1">IFERROR(__xludf.DUMMYFUNCTION("""COMPUTED_VALUE"""),"6436 , 6440 , 6441 , 6442 , 6439")</f>
        <v>6436 , 6440 , 6441 , 6442 , 6439</v>
      </c>
      <c r="K1701" s="2" t="str">
        <f ca="1">IFERROR(__xludf.DUMMYFUNCTION("""COMPUTED_VALUE"""),"Fermentando")</f>
        <v>Fermentando</v>
      </c>
      <c r="L1701" s="2" t="str">
        <f ca="1">IFERROR(__xludf.DUMMYFUNCTION("""COMPUTED_VALUE"""),"1-")</f>
        <v>1-</v>
      </c>
      <c r="M1701" s="2" t="str">
        <f ca="1">IFERROR(__xludf.DUMMYFUNCTION("""COMPUTED_VALUE"""),"Tinto")</f>
        <v>Tinto</v>
      </c>
    </row>
    <row r="1702" spans="1:13" x14ac:dyDescent="0.25">
      <c r="A1702" s="2" t="str">
        <f ca="1">IFERROR(__xludf.DUMMYFUNCTION("""COMPUTED_VALUE"""),"0b5822a7")</f>
        <v>0b5822a7</v>
      </c>
      <c r="B1702" s="2"/>
      <c r="C1702" s="5">
        <f ca="1">IFERROR(__xludf.DUMMYFUNCTION("""COMPUTED_VALUE"""),46114.7444212962)</f>
        <v>46114.7444212962</v>
      </c>
      <c r="D1702" s="2">
        <f ca="1">IFERROR(__xludf.DUMMYFUNCTION("""COMPUTED_VALUE"""),69)</f>
        <v>69</v>
      </c>
      <c r="E1702" s="2">
        <f ca="1">IFERROR(__xludf.DUMMYFUNCTION("""COMPUTED_VALUE"""),13000)</f>
        <v>13000</v>
      </c>
      <c r="F1702" s="2" t="str">
        <f ca="1">IFERROR(__xludf.DUMMYFUNCTION("""COMPUTED_VALUE"""),"Criolla Ft")</f>
        <v>Criolla Ft</v>
      </c>
      <c r="G1702" s="2">
        <f ca="1">IFERROR(__xludf.DUMMYFUNCTION("""COMPUTED_VALUE"""),0)</f>
        <v>0</v>
      </c>
      <c r="H1702" s="2">
        <f ca="1">IFERROR(__xludf.DUMMYFUNCTION("""COMPUTED_VALUE"""),13000)</f>
        <v>13000</v>
      </c>
      <c r="I1702" s="2"/>
      <c r="J1702" s="2"/>
      <c r="K1702" s="2" t="str">
        <f ca="1">IFERROR(__xludf.DUMMYFUNCTION("""COMPUTED_VALUE"""),"Fermentando")</f>
        <v>Fermentando</v>
      </c>
      <c r="L1702" s="2"/>
      <c r="M1702" s="2" t="str">
        <f ca="1">IFERROR(__xludf.DUMMYFUNCTION("""COMPUTED_VALUE"""),"Tinto")</f>
        <v>Tinto</v>
      </c>
    </row>
    <row r="1703" spans="1:13" x14ac:dyDescent="0.25">
      <c r="A1703" s="2" t="str">
        <f ca="1">IFERROR(__xludf.DUMMYFUNCTION("""COMPUTED_VALUE"""),"ca101950")</f>
        <v>ca101950</v>
      </c>
      <c r="B1703" s="2"/>
      <c r="C1703" s="5">
        <f ca="1">IFERROR(__xludf.DUMMYFUNCTION("""COMPUTED_VALUE"""),46114.7470833333)</f>
        <v>46114.747083333299</v>
      </c>
      <c r="D1703" s="2">
        <f ca="1">IFERROR(__xludf.DUMMYFUNCTION("""COMPUTED_VALUE"""),69)</f>
        <v>69</v>
      </c>
      <c r="E1703" s="2">
        <f ca="1">IFERROR(__xludf.DUMMYFUNCTION("""COMPUTED_VALUE"""),13000)</f>
        <v>13000</v>
      </c>
      <c r="F1703" s="2" t="str">
        <f ca="1">IFERROR(__xludf.DUMMYFUNCTION("""COMPUTED_VALUE"""),"Criolla Filt")</f>
        <v>Criolla Filt</v>
      </c>
      <c r="G1703" s="2">
        <f ca="1">IFERROR(__xludf.DUMMYFUNCTION("""COMPUTED_VALUE"""),0)</f>
        <v>0</v>
      </c>
      <c r="H1703" s="2">
        <f ca="1">IFERROR(__xludf.DUMMYFUNCTION("""COMPUTED_VALUE"""),7600)</f>
        <v>7600</v>
      </c>
      <c r="I1703" s="2" t="str">
        <f ca="1">IFERROR(__xludf.DUMMYFUNCTION("""COMPUTED_VALUE"""),"Nota de filtro")</f>
        <v>Nota de filtro</v>
      </c>
      <c r="J1703" s="2"/>
      <c r="K1703" s="2" t="str">
        <f ca="1">IFERROR(__xludf.DUMMYFUNCTION("""COMPUTED_VALUE"""),"Fermentando")</f>
        <v>Fermentando</v>
      </c>
      <c r="L1703" s="2" t="str">
        <f ca="1">IFERROR(__xludf.DUMMYFUNCTION("""COMPUTED_VALUE"""),"1")</f>
        <v>1</v>
      </c>
      <c r="M1703" s="2" t="str">
        <f ca="1">IFERROR(__xludf.DUMMYFUNCTION("""COMPUTED_VALUE"""),"Tinto")</f>
        <v>Tinto</v>
      </c>
    </row>
    <row r="1704" spans="1:13" x14ac:dyDescent="0.25">
      <c r="A1704" s="2" t="str">
        <f ca="1">IFERROR(__xludf.DUMMYFUNCTION("""COMPUTED_VALUE"""),"3afd7948")</f>
        <v>3afd7948</v>
      </c>
      <c r="B1704" s="2"/>
      <c r="C1704" s="5">
        <f ca="1">IFERROR(__xludf.DUMMYFUNCTION("""COMPUTED_VALUE"""),46114.7474884259)</f>
        <v>46114.747488425899</v>
      </c>
      <c r="D1704" s="2">
        <f ca="1">IFERROR(__xludf.DUMMYFUNCTION("""COMPUTED_VALUE"""),8)</f>
        <v>8</v>
      </c>
      <c r="E1704" s="2">
        <f ca="1">IFERROR(__xludf.DUMMYFUNCTION("""COMPUTED_VALUE"""),22000)</f>
        <v>22000</v>
      </c>
      <c r="F1704" s="2" t="str">
        <f ca="1">IFERROR(__xludf.DUMMYFUNCTION("""COMPUTED_VALUE"""),"Criolla Mosto Rect")</f>
        <v>Criolla Mosto Rect</v>
      </c>
      <c r="G1704" s="2">
        <f ca="1">IFERROR(__xludf.DUMMYFUNCTION("""COMPUTED_VALUE"""),22000)</f>
        <v>22000</v>
      </c>
      <c r="H1704" s="2">
        <f ca="1">IFERROR(__xludf.DUMMYFUNCTION("""COMPUTED_VALUE"""),15400)</f>
        <v>15400</v>
      </c>
      <c r="I1704" s="2"/>
      <c r="J1704" s="2"/>
      <c r="K1704" s="2" t="str">
        <f ca="1">IFERROR(__xludf.DUMMYFUNCTION("""COMPUTED_VALUE"""),"Fermentando")</f>
        <v>Fermentando</v>
      </c>
      <c r="L1704" s="2"/>
      <c r="M1704" s="2" t="str">
        <f ca="1">IFERROR(__xludf.DUMMYFUNCTION("""COMPUTED_VALUE"""),"Tinto")</f>
        <v>Tinto</v>
      </c>
    </row>
    <row r="1705" spans="1:13" x14ac:dyDescent="0.25">
      <c r="A1705" s="2" t="str">
        <f ca="1">IFERROR(__xludf.DUMMYFUNCTION("""COMPUTED_VALUE"""),"0a92c842")</f>
        <v>0a92c842</v>
      </c>
      <c r="B1705" s="2"/>
      <c r="C1705" s="5">
        <f ca="1">IFERROR(__xludf.DUMMYFUNCTION("""COMPUTED_VALUE"""),46116.5043171296)</f>
        <v>46116.504317129598</v>
      </c>
      <c r="D1705" s="2">
        <f ca="1">IFERROR(__xludf.DUMMYFUNCTION("""COMPUTED_VALUE"""),7)</f>
        <v>7</v>
      </c>
      <c r="E1705" s="2">
        <f ca="1">IFERROR(__xludf.DUMMYFUNCTION("""COMPUTED_VALUE"""),30000)</f>
        <v>30000</v>
      </c>
      <c r="F1705" s="2" t="str">
        <f ca="1">IFERROR(__xludf.DUMMYFUNCTION("""COMPUTED_VALUE"""),"Malbec Rect")</f>
        <v>Malbec Rect</v>
      </c>
      <c r="G1705" s="2">
        <f ca="1">IFERROR(__xludf.DUMMYFUNCTION("""COMPUTED_VALUE"""),18000)</f>
        <v>18000</v>
      </c>
      <c r="H1705" s="2">
        <f ca="1">IFERROR(__xludf.DUMMYFUNCTION("""COMPUTED_VALUE"""),8000)</f>
        <v>8000</v>
      </c>
      <c r="I1705" s="2"/>
      <c r="J1705" s="2"/>
      <c r="K1705" s="2" t="str">
        <f ca="1">IFERROR(__xludf.DUMMYFUNCTION("""COMPUTED_VALUE"""),"Rectificado")</f>
        <v>Rectificado</v>
      </c>
      <c r="L1705" s="2" t="str">
        <f ca="1">IFERROR(__xludf.DUMMYFUNCTION("""COMPUTED_VALUE"""),"1")</f>
        <v>1</v>
      </c>
      <c r="M1705" s="2" t="str">
        <f ca="1">IFERROR(__xludf.DUMMYFUNCTION("""COMPUTED_VALUE"""),"Tinto")</f>
        <v>Tinto</v>
      </c>
    </row>
    <row r="1706" spans="1:13" x14ac:dyDescent="0.25">
      <c r="A1706" s="2" t="str">
        <f ca="1">IFERROR(__xludf.DUMMYFUNCTION("""COMPUTED_VALUE"""),"22490f6b")</f>
        <v>22490f6b</v>
      </c>
      <c r="B1706" s="2"/>
      <c r="C1706" s="5">
        <f ca="1">IFERROR(__xludf.DUMMYFUNCTION("""COMPUTED_VALUE"""),46116.5054861111)</f>
        <v>46116.505486111098</v>
      </c>
      <c r="D1706" s="2">
        <f ca="1">IFERROR(__xludf.DUMMYFUNCTION("""COMPUTED_VALUE"""),15)</f>
        <v>15</v>
      </c>
      <c r="E1706" s="2">
        <f ca="1">IFERROR(__xludf.DUMMYFUNCTION("""COMPUTED_VALUE"""),36500)</f>
        <v>36500</v>
      </c>
      <c r="F1706" s="2" t="str">
        <f ca="1">IFERROR(__xludf.DUMMYFUNCTION("""COMPUTED_VALUE"""),"Cabernet Sauv G")</f>
        <v>Cabernet Sauv G</v>
      </c>
      <c r="G1706" s="2">
        <f ca="1">IFERROR(__xludf.DUMMYFUNCTION("""COMPUTED_VALUE"""),0)</f>
        <v>0</v>
      </c>
      <c r="H1706" s="2">
        <f ca="1">IFERROR(__xludf.DUMMYFUNCTION("""COMPUTED_VALUE"""),36500)</f>
        <v>36500</v>
      </c>
      <c r="I1706" s="2"/>
      <c r="J1706" s="2"/>
      <c r="K1706" s="2" t="str">
        <f ca="1">IFERROR(__xludf.DUMMYFUNCTION("""COMPUTED_VALUE"""),"Descubada")</f>
        <v>Descubada</v>
      </c>
      <c r="L1706" s="2" t="str">
        <f ca="1">IFERROR(__xludf.DUMMYFUNCTION("""COMPUTED_VALUE"""),"1-")</f>
        <v>1-</v>
      </c>
      <c r="M1706" s="2" t="str">
        <f ca="1">IFERROR(__xludf.DUMMYFUNCTION("""COMPUTED_VALUE"""),"Tinto")</f>
        <v>Tinto</v>
      </c>
    </row>
    <row r="1707" spans="1:13" x14ac:dyDescent="0.25">
      <c r="A1707" s="2" t="str">
        <f ca="1">IFERROR(__xludf.DUMMYFUNCTION("""COMPUTED_VALUE"""),"1c09841b")</f>
        <v>1c09841b</v>
      </c>
      <c r="B1707" s="2"/>
      <c r="C1707" s="5">
        <f ca="1">IFERROR(__xludf.DUMMYFUNCTION("""COMPUTED_VALUE"""),46116.5057754629)</f>
        <v>46116.505775462902</v>
      </c>
      <c r="D1707" s="2">
        <f ca="1">IFERROR(__xludf.DUMMYFUNCTION("""COMPUTED_VALUE"""),32)</f>
        <v>32</v>
      </c>
      <c r="E1707" s="2">
        <f ca="1">IFERROR(__xludf.DUMMYFUNCTION("""COMPUTED_VALUE"""),36300)</f>
        <v>36300</v>
      </c>
      <c r="F1707" s="2" t="str">
        <f ca="1">IFERROR(__xludf.DUMMYFUNCTION("""COMPUTED_VALUE"""),"Cabernet Sauv")</f>
        <v>Cabernet Sauv</v>
      </c>
      <c r="G1707" s="2">
        <f ca="1">IFERROR(__xludf.DUMMYFUNCTION("""COMPUTED_VALUE"""),0)</f>
        <v>0</v>
      </c>
      <c r="H1707" s="2">
        <f ca="1">IFERROR(__xludf.DUMMYFUNCTION("""COMPUTED_VALUE"""),6900)</f>
        <v>6900</v>
      </c>
      <c r="I1707" s="2"/>
      <c r="J1707" s="2"/>
      <c r="K1707" s="2" t="str">
        <f ca="1">IFERROR(__xludf.DUMMYFUNCTION("""COMPUTED_VALUE"""),"Descubada")</f>
        <v>Descubada</v>
      </c>
      <c r="L1707" s="2" t="str">
        <f ca="1">IFERROR(__xludf.DUMMYFUNCTION("""COMPUTED_VALUE"""),"1-")</f>
        <v>1-</v>
      </c>
      <c r="M1707" s="2" t="str">
        <f ca="1">IFERROR(__xludf.DUMMYFUNCTION("""COMPUTED_VALUE"""),"Tinto")</f>
        <v>Tinto</v>
      </c>
    </row>
    <row r="1708" spans="1:13" x14ac:dyDescent="0.25">
      <c r="A1708" s="2" t="str">
        <f ca="1">IFERROR(__xludf.DUMMYFUNCTION("""COMPUTED_VALUE"""),"239e649e")</f>
        <v>239e649e</v>
      </c>
      <c r="B1708" s="2"/>
      <c r="C1708" s="5">
        <f ca="1">IFERROR(__xludf.DUMMYFUNCTION("""COMPUTED_VALUE"""),46116.5068171296)</f>
        <v>46116.506817129601</v>
      </c>
      <c r="D1708" s="2">
        <f ca="1">IFERROR(__xludf.DUMMYFUNCTION("""COMPUTED_VALUE"""),51)</f>
        <v>51</v>
      </c>
      <c r="E1708" s="2">
        <f ca="1">IFERROR(__xludf.DUMMYFUNCTION("""COMPUTED_VALUE"""),3900)</f>
        <v>3900</v>
      </c>
      <c r="F1708" s="2" t="str">
        <f ca="1">IFERROR(__xludf.DUMMYFUNCTION("""COMPUTED_VALUE"""),"Chardonnay")</f>
        <v>Chardonnay</v>
      </c>
      <c r="G1708" s="2">
        <f ca="1">IFERROR(__xludf.DUMMYFUNCTION("""COMPUTED_VALUE"""),3500)</f>
        <v>3500</v>
      </c>
      <c r="H1708" s="2">
        <f ca="1">IFERROR(__xludf.DUMMYFUNCTION("""COMPUTED_VALUE"""),3900)</f>
        <v>3900</v>
      </c>
      <c r="I1708" s="2"/>
      <c r="J1708" s="2"/>
      <c r="K1708" s="2" t="str">
        <f ca="1">IFERROR(__xludf.DUMMYFUNCTION("""COMPUTED_VALUE"""),"Descubada")</f>
        <v>Descubada</v>
      </c>
      <c r="L1708" s="2" t="str">
        <f ca="1">IFERROR(__xludf.DUMMYFUNCTION("""COMPUTED_VALUE"""),"1")</f>
        <v>1</v>
      </c>
      <c r="M1708" s="2" t="str">
        <f ca="1">IFERROR(__xludf.DUMMYFUNCTION("""COMPUTED_VALUE"""),"Blanco")</f>
        <v>Blanco</v>
      </c>
    </row>
    <row r="1709" spans="1:13" x14ac:dyDescent="0.25">
      <c r="A1709" s="2" t="str">
        <f ca="1">IFERROR(__xludf.DUMMYFUNCTION("""COMPUTED_VALUE"""),"eeabd5d4")</f>
        <v>eeabd5d4</v>
      </c>
      <c r="B1709" s="2"/>
      <c r="C1709" s="5">
        <f ca="1">IFERROR(__xludf.DUMMYFUNCTION("""COMPUTED_VALUE"""),46118.7921875)</f>
        <v>46118.792187500003</v>
      </c>
      <c r="D1709" s="2">
        <f ca="1">IFERROR(__xludf.DUMMYFUNCTION("""COMPUTED_VALUE"""),25)</f>
        <v>25</v>
      </c>
      <c r="E1709" s="2">
        <f ca="1">IFERROR(__xludf.DUMMYFUNCTION("""COMPUTED_VALUE"""),194300)</f>
        <v>194300</v>
      </c>
      <c r="F1709" s="2" t="str">
        <f ca="1">IFERROR(__xludf.DUMMYFUNCTION("""COMPUTED_VALUE"""),"Malbec Man")</f>
        <v>Malbec Man</v>
      </c>
      <c r="G1709" s="2">
        <f ca="1">IFERROR(__xludf.DUMMYFUNCTION("""COMPUTED_VALUE"""),0)</f>
        <v>0</v>
      </c>
      <c r="H1709" s="2">
        <f ca="1">IFERROR(__xludf.DUMMYFUNCTION("""COMPUTED_VALUE"""),59700)</f>
        <v>59700</v>
      </c>
      <c r="I1709" s="2"/>
      <c r="J1709" s="2"/>
      <c r="K1709" s="2" t="str">
        <f ca="1">IFERROR(__xludf.DUMMYFUNCTION("""COMPUTED_VALUE"""),"Descubada")</f>
        <v>Descubada</v>
      </c>
      <c r="L1709" s="2" t="str">
        <f ca="1">IFERROR(__xludf.DUMMYFUNCTION("""COMPUTED_VALUE"""),"1")</f>
        <v>1</v>
      </c>
      <c r="M1709" s="2" t="str">
        <f ca="1">IFERROR(__xludf.DUMMYFUNCTION("""COMPUTED_VALUE"""),"Tinto")</f>
        <v>Tinto</v>
      </c>
    </row>
    <row r="1710" spans="1:13" x14ac:dyDescent="0.25">
      <c r="A1710" s="2" t="str">
        <f ca="1">IFERROR(__xludf.DUMMYFUNCTION("""COMPUTED_VALUE"""),"17666613")</f>
        <v>17666613</v>
      </c>
      <c r="B1710" s="2"/>
      <c r="C1710" s="5">
        <f ca="1">IFERROR(__xludf.DUMMYFUNCTION("""COMPUTED_VALUE"""),46118.7926967592)</f>
        <v>46118.792696759199</v>
      </c>
      <c r="D1710" s="2">
        <f ca="1">IFERROR(__xludf.DUMMYFUNCTION("""COMPUTED_VALUE"""),25)</f>
        <v>25</v>
      </c>
      <c r="E1710" s="2">
        <f ca="1">IFERROR(__xludf.DUMMYFUNCTION("""COMPUTED_VALUE"""),194300)</f>
        <v>194300</v>
      </c>
      <c r="F1710" s="2" t="str">
        <f ca="1">IFERROR(__xludf.DUMMYFUNCTION("""COMPUTED_VALUE"""),"Malbec Man")</f>
        <v>Malbec Man</v>
      </c>
      <c r="G1710" s="2">
        <f ca="1">IFERROR(__xludf.DUMMYFUNCTION("""COMPUTED_VALUE"""),59700)</f>
        <v>59700</v>
      </c>
      <c r="H1710" s="2">
        <f ca="1">IFERROR(__xludf.DUMMYFUNCTION("""COMPUTED_VALUE"""),93800)</f>
        <v>93800</v>
      </c>
      <c r="I1710" s="2"/>
      <c r="J1710" s="2"/>
      <c r="K1710" s="2" t="str">
        <f ca="1">IFERROR(__xludf.DUMMYFUNCTION("""COMPUTED_VALUE"""),"Descubada")</f>
        <v>Descubada</v>
      </c>
      <c r="L1710" s="2" t="str">
        <f ca="1">IFERROR(__xludf.DUMMYFUNCTION("""COMPUTED_VALUE"""),"1")</f>
        <v>1</v>
      </c>
      <c r="M1710" s="2" t="str">
        <f ca="1">IFERROR(__xludf.DUMMYFUNCTION("""COMPUTED_VALUE"""),"Tinto")</f>
        <v>Tinto</v>
      </c>
    </row>
    <row r="1711" spans="1:13" x14ac:dyDescent="0.25">
      <c r="A1711" s="2" t="str">
        <f ca="1">IFERROR(__xludf.DUMMYFUNCTION("""COMPUTED_VALUE"""),"5c110d27")</f>
        <v>5c110d27</v>
      </c>
      <c r="B1711" s="2"/>
      <c r="C1711" s="5">
        <f ca="1">IFERROR(__xludf.DUMMYFUNCTION("""COMPUTED_VALUE"""),46118.7952430555)</f>
        <v>46118.795243055501</v>
      </c>
      <c r="D1711" s="2">
        <f ca="1">IFERROR(__xludf.DUMMYFUNCTION("""COMPUTED_VALUE"""),7)</f>
        <v>7</v>
      </c>
      <c r="E1711" s="2">
        <f ca="1">IFERROR(__xludf.DUMMYFUNCTION("""COMPUTED_VALUE"""),30000)</f>
        <v>30000</v>
      </c>
      <c r="F1711" s="2" t="str">
        <f ca="1">IFERROR(__xludf.DUMMYFUNCTION("""COMPUTED_VALUE"""),"Malbec Rect")</f>
        <v>Malbec Rect</v>
      </c>
      <c r="G1711" s="2">
        <f ca="1">IFERROR(__xludf.DUMMYFUNCTION("""COMPUTED_VALUE"""),8000)</f>
        <v>8000</v>
      </c>
      <c r="H1711" s="2">
        <f ca="1">IFERROR(__xludf.DUMMYFUNCTION("""COMPUTED_VALUE"""),1200)</f>
        <v>1200</v>
      </c>
      <c r="I1711" s="2"/>
      <c r="J1711" s="2"/>
      <c r="K1711" s="2" t="str">
        <f ca="1">IFERROR(__xludf.DUMMYFUNCTION("""COMPUTED_VALUE"""),"Rectificado")</f>
        <v>Rectificado</v>
      </c>
      <c r="L1711" s="2" t="str">
        <f ca="1">IFERROR(__xludf.DUMMYFUNCTION("""COMPUTED_VALUE"""),"1")</f>
        <v>1</v>
      </c>
      <c r="M1711" s="2" t="str">
        <f ca="1">IFERROR(__xludf.DUMMYFUNCTION("""COMPUTED_VALUE"""),"Tinto")</f>
        <v>Tinto</v>
      </c>
    </row>
    <row r="1712" spans="1:13" x14ac:dyDescent="0.25">
      <c r="A1712" s="2" t="str">
        <f ca="1">IFERROR(__xludf.DUMMYFUNCTION("""COMPUTED_VALUE"""),"0cee4951")</f>
        <v>0cee4951</v>
      </c>
      <c r="B1712" s="2"/>
      <c r="C1712" s="5">
        <f ca="1">IFERROR(__xludf.DUMMYFUNCTION("""COMPUTED_VALUE"""),46118.7988310185)</f>
        <v>46118.798831018503</v>
      </c>
      <c r="D1712" s="2">
        <f ca="1">IFERROR(__xludf.DUMMYFUNCTION("""COMPUTED_VALUE"""),118)</f>
        <v>118</v>
      </c>
      <c r="E1712" s="2">
        <f ca="1">IFERROR(__xludf.DUMMYFUNCTION("""COMPUTED_VALUE"""),155600)</f>
        <v>155600</v>
      </c>
      <c r="F1712" s="2" t="str">
        <f ca="1">IFERROR(__xludf.DUMMYFUNCTION("""COMPUTED_VALUE"""),"Syrah Temp")</f>
        <v>Syrah Temp</v>
      </c>
      <c r="G1712" s="2">
        <f ca="1">IFERROR(__xludf.DUMMYFUNCTION("""COMPUTED_VALUE"""),137500)</f>
        <v>137500</v>
      </c>
      <c r="H1712" s="2">
        <f ca="1">IFERROR(__xludf.DUMMYFUNCTION("""COMPUTED_VALUE"""),155600)</f>
        <v>155600</v>
      </c>
      <c r="I1712" s="2"/>
      <c r="J1712" s="2"/>
      <c r="K1712" s="2" t="str">
        <f ca="1">IFERROR(__xludf.DUMMYFUNCTION("""COMPUTED_VALUE"""),"Descubada")</f>
        <v>Descubada</v>
      </c>
      <c r="L1712" s="2" t="str">
        <f ca="1">IFERROR(__xludf.DUMMYFUNCTION("""COMPUTED_VALUE"""),"1")</f>
        <v>1</v>
      </c>
      <c r="M1712" s="2" t="str">
        <f ca="1">IFERROR(__xludf.DUMMYFUNCTION("""COMPUTED_VALUE"""),"Tinto")</f>
        <v>Tinto</v>
      </c>
    </row>
    <row r="1713" spans="1:13" x14ac:dyDescent="0.25">
      <c r="A1713" s="2" t="str">
        <f ca="1">IFERROR(__xludf.DUMMYFUNCTION("""COMPUTED_VALUE"""),"62dbc574")</f>
        <v>62dbc574</v>
      </c>
      <c r="B1713" s="2"/>
      <c r="C1713" s="5">
        <f ca="1">IFERROR(__xludf.DUMMYFUNCTION("""COMPUTED_VALUE"""),46118.7998611111)</f>
        <v>46118.799861111103</v>
      </c>
      <c r="D1713" s="2">
        <f ca="1">IFERROR(__xludf.DUMMYFUNCTION("""COMPUTED_VALUE"""),32)</f>
        <v>32</v>
      </c>
      <c r="E1713" s="2">
        <f ca="1">IFERROR(__xludf.DUMMYFUNCTION("""COMPUTED_VALUE"""),36300)</f>
        <v>36300</v>
      </c>
      <c r="F1713" s="2" t="str">
        <f ca="1">IFERROR(__xludf.DUMMYFUNCTION("""COMPUTED_VALUE"""),"Cabernet Sauv")</f>
        <v>Cabernet Sauv</v>
      </c>
      <c r="G1713" s="2">
        <f ca="1">IFERROR(__xludf.DUMMYFUNCTION("""COMPUTED_VALUE"""),6900)</f>
        <v>6900</v>
      </c>
      <c r="H1713" s="2">
        <f ca="1">IFERROR(__xludf.DUMMYFUNCTION("""COMPUTED_VALUE"""),36300)</f>
        <v>36300</v>
      </c>
      <c r="I1713" s="2"/>
      <c r="J1713" s="2"/>
      <c r="K1713" s="2" t="str">
        <f ca="1">IFERROR(__xludf.DUMMYFUNCTION("""COMPUTED_VALUE"""),"Descubada")</f>
        <v>Descubada</v>
      </c>
      <c r="L1713" s="2" t="str">
        <f ca="1">IFERROR(__xludf.DUMMYFUNCTION("""COMPUTED_VALUE"""),"1-")</f>
        <v>1-</v>
      </c>
      <c r="M1713" s="2" t="str">
        <f ca="1">IFERROR(__xludf.DUMMYFUNCTION("""COMPUTED_VALUE"""),"Tinto")</f>
        <v>Tinto</v>
      </c>
    </row>
    <row r="1714" spans="1:13" x14ac:dyDescent="0.25">
      <c r="A1714" s="2" t="str">
        <f ca="1">IFERROR(__xludf.DUMMYFUNCTION("""COMPUTED_VALUE"""),"61b24dce")</f>
        <v>61b24dce</v>
      </c>
      <c r="B1714" s="2"/>
      <c r="C1714" s="5">
        <f ca="1">IFERROR(__xludf.DUMMYFUNCTION("""COMPUTED_VALUE"""),46118.8361111111)</f>
        <v>46118.836111111101</v>
      </c>
      <c r="D1714" s="2">
        <f ca="1">IFERROR(__xludf.DUMMYFUNCTION("""COMPUTED_VALUE"""),500)</f>
        <v>500</v>
      </c>
      <c r="E1714" s="2">
        <f ca="1">IFERROR(__xludf.DUMMYFUNCTION("""COMPUTED_VALUE"""),200000)</f>
        <v>200000</v>
      </c>
      <c r="F1714" s="2" t="str">
        <f ca="1">IFERROR(__xludf.DUMMYFUNCTION("""COMPUTED_VALUE"""),"AJUSTE COSECHA 2026")</f>
        <v>AJUSTE COSECHA 2026</v>
      </c>
      <c r="G1714" s="2">
        <f ca="1">IFERROR(__xludf.DUMMYFUNCTION("""COMPUTED_VALUE"""),42300)</f>
        <v>42300</v>
      </c>
      <c r="H1714" s="2">
        <f ca="1">IFERROR(__xludf.DUMMYFUNCTION("""COMPUTED_VALUE"""),48800)</f>
        <v>48800</v>
      </c>
      <c r="I1714" s="2"/>
      <c r="J1714" s="2"/>
      <c r="K1714" s="2" t="str">
        <f ca="1">IFERROR(__xludf.DUMMYFUNCTION("""COMPUTED_VALUE"""),"Fermentando")</f>
        <v>Fermentando</v>
      </c>
      <c r="L1714" s="2" t="str">
        <f ca="1">IFERROR(__xludf.DUMMYFUNCTION("""COMPUTED_VALUE"""),"1")</f>
        <v>1</v>
      </c>
      <c r="M1714" s="2" t="str">
        <f ca="1">IFERROR(__xludf.DUMMYFUNCTION("""COMPUTED_VALUE"""),"Blanco")</f>
        <v>Blanco</v>
      </c>
    </row>
    <row r="1715" spans="1:13" x14ac:dyDescent="0.25">
      <c r="A1715" s="2" t="str">
        <f ca="1">IFERROR(__xludf.DUMMYFUNCTION("""COMPUTED_VALUE"""),"3c409283")</f>
        <v>3c409283</v>
      </c>
      <c r="B1715" s="2"/>
      <c r="C1715" s="5">
        <f ca="1">IFERROR(__xludf.DUMMYFUNCTION("""COMPUTED_VALUE"""),46118.8363078703)</f>
        <v>46118.836307870297</v>
      </c>
      <c r="D1715" s="2">
        <f ca="1">IFERROR(__xludf.DUMMYFUNCTION("""COMPUTED_VALUE"""),500)</f>
        <v>500</v>
      </c>
      <c r="E1715" s="2">
        <f ca="1">IFERROR(__xludf.DUMMYFUNCTION("""COMPUTED_VALUE"""),200000)</f>
        <v>200000</v>
      </c>
      <c r="F1715" s="2" t="str">
        <f ca="1">IFERROR(__xludf.DUMMYFUNCTION("""COMPUTED_VALUE"""),"AJUSTE COSECHA 2026")</f>
        <v>AJUSTE COSECHA 2026</v>
      </c>
      <c r="G1715" s="2">
        <f ca="1">IFERROR(__xludf.DUMMYFUNCTION("""COMPUTED_VALUE"""),48800)</f>
        <v>48800</v>
      </c>
      <c r="H1715" s="2">
        <f ca="1">IFERROR(__xludf.DUMMYFUNCTION("""COMPUTED_VALUE"""),45800)</f>
        <v>45800</v>
      </c>
      <c r="I1715" s="2"/>
      <c r="J1715" s="2"/>
      <c r="K1715" s="2" t="str">
        <f ca="1">IFERROR(__xludf.DUMMYFUNCTION("""COMPUTED_VALUE"""),"Fermentando")</f>
        <v>Fermentando</v>
      </c>
      <c r="L1715" s="2" t="str">
        <f ca="1">IFERROR(__xludf.DUMMYFUNCTION("""COMPUTED_VALUE"""),"1")</f>
        <v>1</v>
      </c>
      <c r="M1715" s="2" t="str">
        <f ca="1">IFERROR(__xludf.DUMMYFUNCTION("""COMPUTED_VALUE"""),"Blanco")</f>
        <v>Blanco</v>
      </c>
    </row>
    <row r="1716" spans="1:13" x14ac:dyDescent="0.25">
      <c r="A1716" s="2" t="str">
        <f ca="1">IFERROR(__xludf.DUMMYFUNCTION("""COMPUTED_VALUE"""),"fc482da6")</f>
        <v>fc482da6</v>
      </c>
      <c r="B1716" s="2"/>
      <c r="C1716" s="5">
        <f ca="1">IFERROR(__xludf.DUMMYFUNCTION("""COMPUTED_VALUE"""),46118.8377083333)</f>
        <v>46118.837708333303</v>
      </c>
      <c r="D1716" s="2">
        <f ca="1">IFERROR(__xludf.DUMMYFUNCTION("""COMPUTED_VALUE"""),9)</f>
        <v>9</v>
      </c>
      <c r="E1716" s="2">
        <f ca="1">IFERROR(__xludf.DUMMYFUNCTION("""COMPUTED_VALUE"""),30000)</f>
        <v>30000</v>
      </c>
      <c r="F1716" s="2" t="str">
        <f ca="1">IFERROR(__xludf.DUMMYFUNCTION("""COMPUTED_VALUE"""),"Malbec Rect")</f>
        <v>Malbec Rect</v>
      </c>
      <c r="G1716" s="2">
        <f ca="1">IFERROR(__xludf.DUMMYFUNCTION("""COMPUTED_VALUE"""),12100)</f>
        <v>12100</v>
      </c>
      <c r="H1716" s="2">
        <f ca="1">IFERROR(__xludf.DUMMYFUNCTION("""COMPUTED_VALUE"""),5100)</f>
        <v>5100</v>
      </c>
      <c r="I1716" s="2"/>
      <c r="J1716" s="2"/>
      <c r="K1716" s="2" t="str">
        <f ca="1">IFERROR(__xludf.DUMMYFUNCTION("""COMPUTED_VALUE"""),"Rectificado")</f>
        <v>Rectificado</v>
      </c>
      <c r="L1716" s="2" t="str">
        <f ca="1">IFERROR(__xludf.DUMMYFUNCTION("""COMPUTED_VALUE"""),"1-")</f>
        <v>1-</v>
      </c>
      <c r="M1716" s="2" t="str">
        <f ca="1">IFERROR(__xludf.DUMMYFUNCTION("""COMPUTED_VALUE"""),"Tinto")</f>
        <v>Tinto</v>
      </c>
    </row>
    <row r="1717" spans="1:13" x14ac:dyDescent="0.25">
      <c r="A1717" s="2" t="str">
        <f ca="1">IFERROR(__xludf.DUMMYFUNCTION("""COMPUTED_VALUE"""),"f8c54c62")</f>
        <v>f8c54c62</v>
      </c>
      <c r="B1717" s="2"/>
      <c r="C1717" s="5">
        <f ca="1">IFERROR(__xludf.DUMMYFUNCTION("""COMPUTED_VALUE"""),46118.8384953703)</f>
        <v>46118.838495370299</v>
      </c>
      <c r="D1717" s="2">
        <f ca="1">IFERROR(__xludf.DUMMYFUNCTION("""COMPUTED_VALUE"""),500)</f>
        <v>500</v>
      </c>
      <c r="E1717" s="2">
        <f ca="1">IFERROR(__xludf.DUMMYFUNCTION("""COMPUTED_VALUE"""),200000)</f>
        <v>200000</v>
      </c>
      <c r="F1717" s="2" t="str">
        <f ca="1">IFERROR(__xludf.DUMMYFUNCTION("""COMPUTED_VALUE"""),"AJUSTE COSECHA 2026")</f>
        <v>AJUSTE COSECHA 2026</v>
      </c>
      <c r="G1717" s="2">
        <f ca="1">IFERROR(__xludf.DUMMYFUNCTION("""COMPUTED_VALUE"""),45800)</f>
        <v>45800</v>
      </c>
      <c r="H1717" s="2">
        <f ca="1">IFERROR(__xludf.DUMMYFUNCTION("""COMPUTED_VALUE"""),31700)</f>
        <v>31700</v>
      </c>
      <c r="I1717" s="2"/>
      <c r="J1717" s="2"/>
      <c r="K1717" s="2" t="str">
        <f ca="1">IFERROR(__xludf.DUMMYFUNCTION("""COMPUTED_VALUE"""),"Fermentando")</f>
        <v>Fermentando</v>
      </c>
      <c r="L1717" s="2" t="str">
        <f ca="1">IFERROR(__xludf.DUMMYFUNCTION("""COMPUTED_VALUE"""),"1")</f>
        <v>1</v>
      </c>
      <c r="M1717" s="2" t="str">
        <f ca="1">IFERROR(__xludf.DUMMYFUNCTION("""COMPUTED_VALUE"""),"Blanco")</f>
        <v>Blanco</v>
      </c>
    </row>
    <row r="1718" spans="1:13" x14ac:dyDescent="0.25">
      <c r="A1718" s="2" t="str">
        <f ca="1">IFERROR(__xludf.DUMMYFUNCTION("""COMPUTED_VALUE"""),"e1d2b1a5")</f>
        <v>e1d2b1a5</v>
      </c>
      <c r="B1718" s="2"/>
      <c r="C1718" s="5">
        <f ca="1">IFERROR(__xludf.DUMMYFUNCTION("""COMPUTED_VALUE"""),46118.8389467592)</f>
        <v>46118.838946759199</v>
      </c>
      <c r="D1718" s="2">
        <f ca="1">IFERROR(__xludf.DUMMYFUNCTION("""COMPUTED_VALUE"""),500)</f>
        <v>500</v>
      </c>
      <c r="E1718" s="2">
        <f ca="1">IFERROR(__xludf.DUMMYFUNCTION("""COMPUTED_VALUE"""),200000)</f>
        <v>200000</v>
      </c>
      <c r="F1718" s="2" t="str">
        <f ca="1">IFERROR(__xludf.DUMMYFUNCTION("""COMPUTED_VALUE"""),"AJUSTE COSECHA 2026")</f>
        <v>AJUSTE COSECHA 2026</v>
      </c>
      <c r="G1718" s="2">
        <f ca="1">IFERROR(__xludf.DUMMYFUNCTION("""COMPUTED_VALUE"""),31700)</f>
        <v>31700</v>
      </c>
      <c r="H1718" s="2">
        <f ca="1">IFERROR(__xludf.DUMMYFUNCTION("""COMPUTED_VALUE"""),30200)</f>
        <v>30200</v>
      </c>
      <c r="I1718" s="2"/>
      <c r="J1718" s="2"/>
      <c r="K1718" s="2" t="str">
        <f ca="1">IFERROR(__xludf.DUMMYFUNCTION("""COMPUTED_VALUE"""),"Fermentando")</f>
        <v>Fermentando</v>
      </c>
      <c r="L1718" s="2" t="str">
        <f ca="1">IFERROR(__xludf.DUMMYFUNCTION("""COMPUTED_VALUE"""),"1")</f>
        <v>1</v>
      </c>
      <c r="M1718" s="2" t="str">
        <f ca="1">IFERROR(__xludf.DUMMYFUNCTION("""COMPUTED_VALUE"""),"Blanco")</f>
        <v>Blanco</v>
      </c>
    </row>
    <row r="1719" spans="1:13" x14ac:dyDescent="0.25">
      <c r="A1719" s="2" t="str">
        <f ca="1">IFERROR(__xludf.DUMMYFUNCTION("""COMPUTED_VALUE"""),"6bf1688c")</f>
        <v>6bf1688c</v>
      </c>
      <c r="B1719" s="2"/>
      <c r="C1719" s="5">
        <f ca="1">IFERROR(__xludf.DUMMYFUNCTION("""COMPUTED_VALUE"""),46118.8449768518)</f>
        <v>46118.844976851797</v>
      </c>
      <c r="D1719" s="2">
        <f ca="1">IFERROR(__xludf.DUMMYFUNCTION("""COMPUTED_VALUE"""),500)</f>
        <v>500</v>
      </c>
      <c r="E1719" s="2">
        <f ca="1">IFERROR(__xludf.DUMMYFUNCTION("""COMPUTED_VALUE"""),200000)</f>
        <v>200000</v>
      </c>
      <c r="F1719" s="2" t="str">
        <f ca="1">IFERROR(__xludf.DUMMYFUNCTION("""COMPUTED_VALUE"""),"AJUSTE COSECHA 2026")</f>
        <v>AJUSTE COSECHA 2026</v>
      </c>
      <c r="G1719" s="2">
        <f ca="1">IFERROR(__xludf.DUMMYFUNCTION("""COMPUTED_VALUE"""),30200)</f>
        <v>30200</v>
      </c>
      <c r="H1719" s="2">
        <f ca="1">IFERROR(__xludf.DUMMYFUNCTION("""COMPUTED_VALUE"""),21700)</f>
        <v>21700</v>
      </c>
      <c r="I1719" s="2"/>
      <c r="J1719" s="2"/>
      <c r="K1719" s="2" t="str">
        <f ca="1">IFERROR(__xludf.DUMMYFUNCTION("""COMPUTED_VALUE"""),"Fermentando")</f>
        <v>Fermentando</v>
      </c>
      <c r="L1719" s="2" t="str">
        <f ca="1">IFERROR(__xludf.DUMMYFUNCTION("""COMPUTED_VALUE"""),"1")</f>
        <v>1</v>
      </c>
      <c r="M1719" s="2" t="str">
        <f ca="1">IFERROR(__xludf.DUMMYFUNCTION("""COMPUTED_VALUE"""),"Blanco")</f>
        <v>Blanco</v>
      </c>
    </row>
    <row r="1720" spans="1:13" x14ac:dyDescent="0.25">
      <c r="A1720" s="2" t="str">
        <f ca="1">IFERROR(__xludf.DUMMYFUNCTION("""COMPUTED_VALUE"""),"bf64e514")</f>
        <v>bf64e514</v>
      </c>
      <c r="B1720" s="2"/>
      <c r="C1720" s="5">
        <f ca="1">IFERROR(__xludf.DUMMYFUNCTION("""COMPUTED_VALUE"""),46118.8460532407)</f>
        <v>46118.846053240697</v>
      </c>
      <c r="D1720" s="2">
        <f ca="1">IFERROR(__xludf.DUMMYFUNCTION("""COMPUTED_VALUE"""),25)</f>
        <v>25</v>
      </c>
      <c r="E1720" s="2">
        <f ca="1">IFERROR(__xludf.DUMMYFUNCTION("""COMPUTED_VALUE"""),194300)</f>
        <v>194300</v>
      </c>
      <c r="F1720" s="2" t="str">
        <f ca="1">IFERROR(__xludf.DUMMYFUNCTION("""COMPUTED_VALUE"""),"Malbec Man")</f>
        <v>Malbec Man</v>
      </c>
      <c r="G1720" s="2">
        <f ca="1">IFERROR(__xludf.DUMMYFUNCTION("""COMPUTED_VALUE"""),93800)</f>
        <v>93800</v>
      </c>
      <c r="H1720" s="2">
        <f ca="1">IFERROR(__xludf.DUMMYFUNCTION("""COMPUTED_VALUE"""),146900)</f>
        <v>146900</v>
      </c>
      <c r="I1720" s="2"/>
      <c r="J1720" s="2"/>
      <c r="K1720" s="2" t="str">
        <f ca="1">IFERROR(__xludf.DUMMYFUNCTION("""COMPUTED_VALUE"""),"Descubada")</f>
        <v>Descubada</v>
      </c>
      <c r="L1720" s="2" t="str">
        <f ca="1">IFERROR(__xludf.DUMMYFUNCTION("""COMPUTED_VALUE"""),"1")</f>
        <v>1</v>
      </c>
      <c r="M1720" s="2" t="str">
        <f ca="1">IFERROR(__xludf.DUMMYFUNCTION("""COMPUTED_VALUE"""),"Tinto")</f>
        <v>Tinto</v>
      </c>
    </row>
    <row r="1721" spans="1:13" x14ac:dyDescent="0.25">
      <c r="A1721" s="2" t="str">
        <f ca="1">IFERROR(__xludf.DUMMYFUNCTION("""COMPUTED_VALUE"""),"72915c2d")</f>
        <v>72915c2d</v>
      </c>
      <c r="B1721" s="2"/>
      <c r="C1721" s="5">
        <f ca="1">IFERROR(__xludf.DUMMYFUNCTION("""COMPUTED_VALUE"""),46118.8468981481)</f>
        <v>46118.846898148098</v>
      </c>
      <c r="D1721" s="2">
        <f ca="1">IFERROR(__xludf.DUMMYFUNCTION("""COMPUTED_VALUE"""),500)</f>
        <v>500</v>
      </c>
      <c r="E1721" s="2">
        <f ca="1">IFERROR(__xludf.DUMMYFUNCTION("""COMPUTED_VALUE"""),200000)</f>
        <v>200000</v>
      </c>
      <c r="F1721" s="2" t="str">
        <f ca="1">IFERROR(__xludf.DUMMYFUNCTION("""COMPUTED_VALUE"""),"AJUSTE COSECHA 2026")</f>
        <v>AJUSTE COSECHA 2026</v>
      </c>
      <c r="G1721" s="2">
        <f ca="1">IFERROR(__xludf.DUMMYFUNCTION("""COMPUTED_VALUE"""),21700)</f>
        <v>21700</v>
      </c>
      <c r="H1721" s="2">
        <f ca="1">IFERROR(__xludf.DUMMYFUNCTION("""COMPUTED_VALUE"""),28300)</f>
        <v>28300</v>
      </c>
      <c r="I1721" s="2"/>
      <c r="J1721" s="2"/>
      <c r="K1721" s="2" t="str">
        <f ca="1">IFERROR(__xludf.DUMMYFUNCTION("""COMPUTED_VALUE"""),"Fermentando")</f>
        <v>Fermentando</v>
      </c>
      <c r="L1721" s="2" t="str">
        <f ca="1">IFERROR(__xludf.DUMMYFUNCTION("""COMPUTED_VALUE"""),"1")</f>
        <v>1</v>
      </c>
      <c r="M1721" s="2" t="str">
        <f ca="1">IFERROR(__xludf.DUMMYFUNCTION("""COMPUTED_VALUE"""),"Blanco")</f>
        <v>Blanco</v>
      </c>
    </row>
    <row r="1722" spans="1:13" x14ac:dyDescent="0.25">
      <c r="A1722" s="2" t="str">
        <f ca="1">IFERROR(__xludf.DUMMYFUNCTION("""COMPUTED_VALUE"""),"56074493")</f>
        <v>56074493</v>
      </c>
      <c r="B1722" s="2"/>
      <c r="C1722" s="5">
        <f ca="1">IFERROR(__xludf.DUMMYFUNCTION("""COMPUTED_VALUE"""),46118.847511574)</f>
        <v>46118.847511574</v>
      </c>
      <c r="D1722" s="2">
        <f ca="1">IFERROR(__xludf.DUMMYFUNCTION("""COMPUTED_VALUE"""),500)</f>
        <v>500</v>
      </c>
      <c r="E1722" s="2">
        <f ca="1">IFERROR(__xludf.DUMMYFUNCTION("""COMPUTED_VALUE"""),200000)</f>
        <v>200000</v>
      </c>
      <c r="F1722" s="2" t="str">
        <f ca="1">IFERROR(__xludf.DUMMYFUNCTION("""COMPUTED_VALUE"""),"AJUSTE COSECHA 2026")</f>
        <v>AJUSTE COSECHA 2026</v>
      </c>
      <c r="G1722" s="2">
        <f ca="1">IFERROR(__xludf.DUMMYFUNCTION("""COMPUTED_VALUE"""),28300)</f>
        <v>28300</v>
      </c>
      <c r="H1722" s="2">
        <f ca="1">IFERROR(__xludf.DUMMYFUNCTION("""COMPUTED_VALUE"""),40900)</f>
        <v>40900</v>
      </c>
      <c r="I1722" s="2"/>
      <c r="J1722" s="2"/>
      <c r="K1722" s="2" t="str">
        <f ca="1">IFERROR(__xludf.DUMMYFUNCTION("""COMPUTED_VALUE"""),"Fermentando")</f>
        <v>Fermentando</v>
      </c>
      <c r="L1722" s="2" t="str">
        <f ca="1">IFERROR(__xludf.DUMMYFUNCTION("""COMPUTED_VALUE"""),"1")</f>
        <v>1</v>
      </c>
      <c r="M1722" s="2" t="str">
        <f ca="1">IFERROR(__xludf.DUMMYFUNCTION("""COMPUTED_VALUE"""),"Blanco")</f>
        <v>Blanco</v>
      </c>
    </row>
    <row r="1723" spans="1:13" x14ac:dyDescent="0.25">
      <c r="A1723" s="2" t="str">
        <f ca="1">IFERROR(__xludf.DUMMYFUNCTION("""COMPUTED_VALUE"""),"60bdcedb")</f>
        <v>60bdcedb</v>
      </c>
      <c r="B1723" s="2"/>
      <c r="C1723" s="5">
        <f ca="1">IFERROR(__xludf.DUMMYFUNCTION("""COMPUTED_VALUE"""),46118.8479976851)</f>
        <v>46118.847997685101</v>
      </c>
      <c r="D1723" s="2">
        <f ca="1">IFERROR(__xludf.DUMMYFUNCTION("""COMPUTED_VALUE"""),500)</f>
        <v>500</v>
      </c>
      <c r="E1723" s="2">
        <f ca="1">IFERROR(__xludf.DUMMYFUNCTION("""COMPUTED_VALUE"""),200000)</f>
        <v>200000</v>
      </c>
      <c r="F1723" s="2" t="str">
        <f ca="1">IFERROR(__xludf.DUMMYFUNCTION("""COMPUTED_VALUE"""),"AJUSTE COSECHA 2026")</f>
        <v>AJUSTE COSECHA 2026</v>
      </c>
      <c r="G1723" s="2">
        <f ca="1">IFERROR(__xludf.DUMMYFUNCTION("""COMPUTED_VALUE"""),40900)</f>
        <v>40900</v>
      </c>
      <c r="H1723" s="2">
        <f ca="1">IFERROR(__xludf.DUMMYFUNCTION("""COMPUTED_VALUE"""),28300)</f>
        <v>28300</v>
      </c>
      <c r="I1723" s="2"/>
      <c r="J1723" s="2"/>
      <c r="K1723" s="2" t="str">
        <f ca="1">IFERROR(__xludf.DUMMYFUNCTION("""COMPUTED_VALUE"""),"Fermentando")</f>
        <v>Fermentando</v>
      </c>
      <c r="L1723" s="2" t="str">
        <f ca="1">IFERROR(__xludf.DUMMYFUNCTION("""COMPUTED_VALUE"""),"1")</f>
        <v>1</v>
      </c>
      <c r="M1723" s="2" t="str">
        <f ca="1">IFERROR(__xludf.DUMMYFUNCTION("""COMPUTED_VALUE"""),"Blanco")</f>
        <v>Blanco</v>
      </c>
    </row>
    <row r="1724" spans="1:13" x14ac:dyDescent="0.25">
      <c r="A1724" s="2" t="str">
        <f ca="1">IFERROR(__xludf.DUMMYFUNCTION("""COMPUTED_VALUE"""),"27f7a919")</f>
        <v>27f7a919</v>
      </c>
      <c r="B1724" s="2"/>
      <c r="C1724" s="5">
        <f ca="1">IFERROR(__xludf.DUMMYFUNCTION("""COMPUTED_VALUE"""),46118.8484953703)</f>
        <v>46118.848495370301</v>
      </c>
      <c r="D1724" s="2">
        <f ca="1">IFERROR(__xludf.DUMMYFUNCTION("""COMPUTED_VALUE"""),500)</f>
        <v>500</v>
      </c>
      <c r="E1724" s="2">
        <f ca="1">IFERROR(__xludf.DUMMYFUNCTION("""COMPUTED_VALUE"""),200000)</f>
        <v>200000</v>
      </c>
      <c r="F1724" s="2" t="str">
        <f ca="1">IFERROR(__xludf.DUMMYFUNCTION("""COMPUTED_VALUE"""),"AJUSTE COSECHA 2026")</f>
        <v>AJUSTE COSECHA 2026</v>
      </c>
      <c r="G1724" s="2">
        <f ca="1">IFERROR(__xludf.DUMMYFUNCTION("""COMPUTED_VALUE"""),28300)</f>
        <v>28300</v>
      </c>
      <c r="H1724" s="2">
        <f ca="1">IFERROR(__xludf.DUMMYFUNCTION("""COMPUTED_VALUE"""),31900)</f>
        <v>31900</v>
      </c>
      <c r="I1724" s="2"/>
      <c r="J1724" s="2"/>
      <c r="K1724" s="2" t="str">
        <f ca="1">IFERROR(__xludf.DUMMYFUNCTION("""COMPUTED_VALUE"""),"Fermentando")</f>
        <v>Fermentando</v>
      </c>
      <c r="L1724" s="2" t="str">
        <f ca="1">IFERROR(__xludf.DUMMYFUNCTION("""COMPUTED_VALUE"""),"1")</f>
        <v>1</v>
      </c>
      <c r="M1724" s="2" t="str">
        <f ca="1">IFERROR(__xludf.DUMMYFUNCTION("""COMPUTED_VALUE"""),"Blanco")</f>
        <v>Blanco</v>
      </c>
    </row>
    <row r="1725" spans="1:13" x14ac:dyDescent="0.25">
      <c r="A1725" s="2" t="str">
        <f ca="1">IFERROR(__xludf.DUMMYFUNCTION("""COMPUTED_VALUE"""),"c5d1c334")</f>
        <v>c5d1c334</v>
      </c>
      <c r="B1725" s="2"/>
      <c r="C1725" s="5">
        <f ca="1">IFERROR(__xludf.DUMMYFUNCTION("""COMPUTED_VALUE"""),46118.8491319444)</f>
        <v>46118.8491319444</v>
      </c>
      <c r="D1725" s="2">
        <f ca="1">IFERROR(__xludf.DUMMYFUNCTION("""COMPUTED_VALUE"""),500)</f>
        <v>500</v>
      </c>
      <c r="E1725" s="2">
        <f ca="1">IFERROR(__xludf.DUMMYFUNCTION("""COMPUTED_VALUE"""),200000)</f>
        <v>200000</v>
      </c>
      <c r="F1725" s="2" t="str">
        <f ca="1">IFERROR(__xludf.DUMMYFUNCTION("""COMPUTED_VALUE"""),"AJUSTE COSECHA 2026")</f>
        <v>AJUSTE COSECHA 2026</v>
      </c>
      <c r="G1725" s="2">
        <f ca="1">IFERROR(__xludf.DUMMYFUNCTION("""COMPUTED_VALUE"""),31900)</f>
        <v>31900</v>
      </c>
      <c r="H1725" s="2">
        <f ca="1">IFERROR(__xludf.DUMMYFUNCTION("""COMPUTED_VALUE"""),25900)</f>
        <v>25900</v>
      </c>
      <c r="I1725" s="2"/>
      <c r="J1725" s="2"/>
      <c r="K1725" s="2" t="str">
        <f ca="1">IFERROR(__xludf.DUMMYFUNCTION("""COMPUTED_VALUE"""),"Fermentando")</f>
        <v>Fermentando</v>
      </c>
      <c r="L1725" s="2" t="str">
        <f ca="1">IFERROR(__xludf.DUMMYFUNCTION("""COMPUTED_VALUE"""),"1")</f>
        <v>1</v>
      </c>
      <c r="M1725" s="2" t="str">
        <f ca="1">IFERROR(__xludf.DUMMYFUNCTION("""COMPUTED_VALUE"""),"Blanco")</f>
        <v>Blanco</v>
      </c>
    </row>
    <row r="1726" spans="1:13" x14ac:dyDescent="0.25">
      <c r="A1726" s="2" t="str">
        <f ca="1">IFERROR(__xludf.DUMMYFUNCTION("""COMPUTED_VALUE"""),"30a63601")</f>
        <v>30a63601</v>
      </c>
      <c r="B1726" s="2"/>
      <c r="C1726" s="5">
        <f ca="1">IFERROR(__xludf.DUMMYFUNCTION("""COMPUTED_VALUE"""),46118.8495601851)</f>
        <v>46118.849560185103</v>
      </c>
      <c r="D1726" s="2">
        <f ca="1">IFERROR(__xludf.DUMMYFUNCTION("""COMPUTED_VALUE"""),500)</f>
        <v>500</v>
      </c>
      <c r="E1726" s="2">
        <f ca="1">IFERROR(__xludf.DUMMYFUNCTION("""COMPUTED_VALUE"""),200000)</f>
        <v>200000</v>
      </c>
      <c r="F1726" s="2" t="str">
        <f ca="1">IFERROR(__xludf.DUMMYFUNCTION("""COMPUTED_VALUE"""),"AJUSTE COSECHA 2026")</f>
        <v>AJUSTE COSECHA 2026</v>
      </c>
      <c r="G1726" s="2">
        <f ca="1">IFERROR(__xludf.DUMMYFUNCTION("""COMPUTED_VALUE"""),25900)</f>
        <v>25900</v>
      </c>
      <c r="H1726" s="2">
        <f ca="1">IFERROR(__xludf.DUMMYFUNCTION("""COMPUTED_VALUE"""),28700)</f>
        <v>28700</v>
      </c>
      <c r="I1726" s="2"/>
      <c r="J1726" s="2"/>
      <c r="K1726" s="2" t="str">
        <f ca="1">IFERROR(__xludf.DUMMYFUNCTION("""COMPUTED_VALUE"""),"Fermentando")</f>
        <v>Fermentando</v>
      </c>
      <c r="L1726" s="2" t="str">
        <f ca="1">IFERROR(__xludf.DUMMYFUNCTION("""COMPUTED_VALUE"""),"1")</f>
        <v>1</v>
      </c>
      <c r="M1726" s="2" t="str">
        <f ca="1">IFERROR(__xludf.DUMMYFUNCTION("""COMPUTED_VALUE"""),"Blanco")</f>
        <v>Blanco</v>
      </c>
    </row>
    <row r="1727" spans="1:13" x14ac:dyDescent="0.25">
      <c r="A1727" s="2" t="str">
        <f ca="1">IFERROR(__xludf.DUMMYFUNCTION("""COMPUTED_VALUE"""),"29ec178c")</f>
        <v>29ec178c</v>
      </c>
      <c r="B1727" s="2"/>
      <c r="C1727" s="5">
        <f ca="1">IFERROR(__xludf.DUMMYFUNCTION("""COMPUTED_VALUE"""),46118.8497569444)</f>
        <v>46118.849756944401</v>
      </c>
      <c r="D1727" s="2">
        <f ca="1">IFERROR(__xludf.DUMMYFUNCTION("""COMPUTED_VALUE"""),500)</f>
        <v>500</v>
      </c>
      <c r="E1727" s="2">
        <f ca="1">IFERROR(__xludf.DUMMYFUNCTION("""COMPUTED_VALUE"""),200000)</f>
        <v>200000</v>
      </c>
      <c r="F1727" s="2" t="str">
        <f ca="1">IFERROR(__xludf.DUMMYFUNCTION("""COMPUTED_VALUE"""),"AJUSTE COSECHA 2026")</f>
        <v>AJUSTE COSECHA 2026</v>
      </c>
      <c r="G1727" s="2">
        <f ca="1">IFERROR(__xludf.DUMMYFUNCTION("""COMPUTED_VALUE"""),28700)</f>
        <v>28700</v>
      </c>
      <c r="H1727" s="2">
        <f ca="1">IFERROR(__xludf.DUMMYFUNCTION("""COMPUTED_VALUE"""),30700)</f>
        <v>30700</v>
      </c>
      <c r="I1727" s="2"/>
      <c r="J1727" s="2"/>
      <c r="K1727" s="2" t="str">
        <f ca="1">IFERROR(__xludf.DUMMYFUNCTION("""COMPUTED_VALUE"""),"Fermentando")</f>
        <v>Fermentando</v>
      </c>
      <c r="L1727" s="2" t="str">
        <f ca="1">IFERROR(__xludf.DUMMYFUNCTION("""COMPUTED_VALUE"""),"1")</f>
        <v>1</v>
      </c>
      <c r="M1727" s="2" t="str">
        <f ca="1">IFERROR(__xludf.DUMMYFUNCTION("""COMPUTED_VALUE"""),"Blanco")</f>
        <v>Blanco</v>
      </c>
    </row>
    <row r="1728" spans="1:13" x14ac:dyDescent="0.25">
      <c r="A1728" s="2" t="str">
        <f ca="1">IFERROR(__xludf.DUMMYFUNCTION("""COMPUTED_VALUE"""),"a40b9fa7")</f>
        <v>a40b9fa7</v>
      </c>
      <c r="B1728" s="2"/>
      <c r="C1728" s="5">
        <f ca="1">IFERROR(__xludf.DUMMYFUNCTION("""COMPUTED_VALUE"""),46118.8506597222)</f>
        <v>46118.8506597222</v>
      </c>
      <c r="D1728" s="2">
        <f ca="1">IFERROR(__xludf.DUMMYFUNCTION("""COMPUTED_VALUE"""),500)</f>
        <v>500</v>
      </c>
      <c r="E1728" s="2">
        <f ca="1">IFERROR(__xludf.DUMMYFUNCTION("""COMPUTED_VALUE"""),200000)</f>
        <v>200000</v>
      </c>
      <c r="F1728" s="2" t="str">
        <f ca="1">IFERROR(__xludf.DUMMYFUNCTION("""COMPUTED_VALUE"""),"AJUSTE COSECHA 2026")</f>
        <v>AJUSTE COSECHA 2026</v>
      </c>
      <c r="G1728" s="2">
        <f ca="1">IFERROR(__xludf.DUMMYFUNCTION("""COMPUTED_VALUE"""),30700)</f>
        <v>30700</v>
      </c>
      <c r="H1728" s="2">
        <f ca="1">IFERROR(__xludf.DUMMYFUNCTION("""COMPUTED_VALUE"""),61000)</f>
        <v>61000</v>
      </c>
      <c r="I1728" s="2"/>
      <c r="J1728" s="2"/>
      <c r="K1728" s="2" t="str">
        <f ca="1">IFERROR(__xludf.DUMMYFUNCTION("""COMPUTED_VALUE"""),"Fermentando")</f>
        <v>Fermentando</v>
      </c>
      <c r="L1728" s="2" t="str">
        <f ca="1">IFERROR(__xludf.DUMMYFUNCTION("""COMPUTED_VALUE"""),"1")</f>
        <v>1</v>
      </c>
      <c r="M1728" s="2" t="str">
        <f ca="1">IFERROR(__xludf.DUMMYFUNCTION("""COMPUTED_VALUE"""),"Blanco")</f>
        <v>Blanco</v>
      </c>
    </row>
    <row r="1729" spans="1:13" x14ac:dyDescent="0.25">
      <c r="A1729" s="2" t="str">
        <f ca="1">IFERROR(__xludf.DUMMYFUNCTION("""COMPUTED_VALUE"""),"38741cb2")</f>
        <v>38741cb2</v>
      </c>
      <c r="B1729" s="2"/>
      <c r="C1729" s="5">
        <f ca="1">IFERROR(__xludf.DUMMYFUNCTION("""COMPUTED_VALUE"""),46118.8539583333)</f>
        <v>46118.853958333297</v>
      </c>
      <c r="D1729" s="2">
        <f ca="1">IFERROR(__xludf.DUMMYFUNCTION("""COMPUTED_VALUE"""),91)</f>
        <v>91</v>
      </c>
      <c r="E1729" s="2">
        <f ca="1">IFERROR(__xludf.DUMMYFUNCTION("""COMPUTED_VALUE"""),86000)</f>
        <v>86000</v>
      </c>
      <c r="F1729" s="2" t="str">
        <f ca="1">IFERROR(__xludf.DUMMYFUNCTION("""COMPUTED_VALUE"""),"Bonarda Maq")</f>
        <v>Bonarda Maq</v>
      </c>
      <c r="G1729" s="2"/>
      <c r="H1729" s="2">
        <f ca="1">IFERROR(__xludf.DUMMYFUNCTION("""COMPUTED_VALUE"""),51500)</f>
        <v>51500</v>
      </c>
      <c r="I1729" s="2"/>
      <c r="J1729" s="2" t="str">
        <f ca="1">IFERROR(__xludf.DUMMYFUNCTION("""COMPUTED_VALUE"""),"6445 , 6446 , 6447 , 6449 , 6450 , 6455 , 6456")</f>
        <v>6445 , 6446 , 6447 , 6449 , 6450 , 6455 , 6456</v>
      </c>
      <c r="K1729" s="2" t="str">
        <f ca="1">IFERROR(__xludf.DUMMYFUNCTION("""COMPUTED_VALUE"""),"Fermentando")</f>
        <v>Fermentando</v>
      </c>
      <c r="L1729" s="2"/>
      <c r="M1729" s="2" t="str">
        <f ca="1">IFERROR(__xludf.DUMMYFUNCTION("""COMPUTED_VALUE"""),"Tinto")</f>
        <v>Tinto</v>
      </c>
    </row>
    <row r="1730" spans="1:13" x14ac:dyDescent="0.25">
      <c r="A1730" s="2" t="str">
        <f ca="1">IFERROR(__xludf.DUMMYFUNCTION("""COMPUTED_VALUE"""),"e835b1c0")</f>
        <v>e835b1c0</v>
      </c>
      <c r="B1730" s="2"/>
      <c r="C1730" s="5">
        <f ca="1">IFERROR(__xludf.DUMMYFUNCTION("""COMPUTED_VALUE"""),46118.8560763888)</f>
        <v>46118.856076388802</v>
      </c>
      <c r="D1730" s="2">
        <f ca="1">IFERROR(__xludf.DUMMYFUNCTION("""COMPUTED_VALUE"""),95)</f>
        <v>95</v>
      </c>
      <c r="E1730" s="2">
        <f ca="1">IFERROR(__xludf.DUMMYFUNCTION("""COMPUTED_VALUE"""),77100)</f>
        <v>77100</v>
      </c>
      <c r="F1730" s="2" t="str">
        <f ca="1">IFERROR(__xludf.DUMMYFUNCTION("""COMPUTED_VALUE"""),"Bonarda C2")</f>
        <v>Bonarda C2</v>
      </c>
      <c r="G1730" s="2"/>
      <c r="H1730" s="2">
        <f ca="1">IFERROR(__xludf.DUMMYFUNCTION("""COMPUTED_VALUE"""),36800)</f>
        <v>36800</v>
      </c>
      <c r="I1730" s="2" t="str">
        <f ca="1">IFERROR(__xludf.DUMMYFUNCTION("""COMPUTED_VALUE"""),"Reducido")</f>
        <v>Reducido</v>
      </c>
      <c r="J1730" s="2" t="str">
        <f ca="1">IFERROR(__xludf.DUMMYFUNCTION("""COMPUTED_VALUE"""),"6443 , 6444 , 6448 , 6453 , 6463")</f>
        <v>6443 , 6444 , 6448 , 6453 , 6463</v>
      </c>
      <c r="K1730" s="2" t="str">
        <f ca="1">IFERROR(__xludf.DUMMYFUNCTION("""COMPUTED_VALUE"""),"Fermentando")</f>
        <v>Fermentando</v>
      </c>
      <c r="L1730" s="2"/>
      <c r="M1730" s="2" t="str">
        <f ca="1">IFERROR(__xludf.DUMMYFUNCTION("""COMPUTED_VALUE"""),"Tinto")</f>
        <v>Tinto</v>
      </c>
    </row>
    <row r="1731" spans="1:13" x14ac:dyDescent="0.25">
      <c r="A1731" s="2" t="str">
        <f ca="1">IFERROR(__xludf.DUMMYFUNCTION("""COMPUTED_VALUE"""),"1acd483b")</f>
        <v>1acd483b</v>
      </c>
      <c r="B1731" s="2"/>
      <c r="C1731" s="5">
        <f ca="1">IFERROR(__xludf.DUMMYFUNCTION("""COMPUTED_VALUE"""),46118.858287037)</f>
        <v>46118.858287037001</v>
      </c>
      <c r="D1731" s="2">
        <f ca="1">IFERROR(__xludf.DUMMYFUNCTION("""COMPUTED_VALUE"""),500)</f>
        <v>500</v>
      </c>
      <c r="E1731" s="2">
        <f ca="1">IFERROR(__xludf.DUMMYFUNCTION("""COMPUTED_VALUE"""),200000)</f>
        <v>200000</v>
      </c>
      <c r="F1731" s="2" t="str">
        <f ca="1">IFERROR(__xludf.DUMMYFUNCTION("""COMPUTED_VALUE"""),"AJUSTE COSECHA 2026")</f>
        <v>AJUSTE COSECHA 2026</v>
      </c>
      <c r="G1731" s="2">
        <f ca="1">IFERROR(__xludf.DUMMYFUNCTION("""COMPUTED_VALUE"""),61000)</f>
        <v>61000</v>
      </c>
      <c r="H1731" s="2">
        <f ca="1">IFERROR(__xludf.DUMMYFUNCTION("""COMPUTED_VALUE"""),81000)</f>
        <v>81000</v>
      </c>
      <c r="I1731" s="2"/>
      <c r="J1731" s="2"/>
      <c r="K1731" s="2" t="str">
        <f ca="1">IFERROR(__xludf.DUMMYFUNCTION("""COMPUTED_VALUE"""),"Fermentando")</f>
        <v>Fermentando</v>
      </c>
      <c r="L1731" s="2" t="str">
        <f ca="1">IFERROR(__xludf.DUMMYFUNCTION("""COMPUTED_VALUE"""),"1")</f>
        <v>1</v>
      </c>
      <c r="M1731" s="2" t="str">
        <f ca="1">IFERROR(__xludf.DUMMYFUNCTION("""COMPUTED_VALUE"""),"Blanco")</f>
        <v>Blanco</v>
      </c>
    </row>
    <row r="1732" spans="1:13" x14ac:dyDescent="0.25">
      <c r="A1732" s="2" t="str">
        <f ca="1">IFERROR(__xludf.DUMMYFUNCTION("""COMPUTED_VALUE"""),"8fd0424b")</f>
        <v>8fd0424b</v>
      </c>
      <c r="B1732" s="2"/>
      <c r="C1732" s="5">
        <f ca="1">IFERROR(__xludf.DUMMYFUNCTION("""COMPUTED_VALUE"""),46119.8463888888)</f>
        <v>46119.8463888888</v>
      </c>
      <c r="D1732" s="2">
        <f ca="1">IFERROR(__xludf.DUMMYFUNCTION("""COMPUTED_VALUE"""),84)</f>
        <v>84</v>
      </c>
      <c r="E1732" s="2">
        <f ca="1">IFERROR(__xludf.DUMMYFUNCTION("""COMPUTED_VALUE"""),83000)</f>
        <v>83000</v>
      </c>
      <c r="F1732" s="2" t="str">
        <f ca="1">IFERROR(__xludf.DUMMYFUNCTION("""COMPUTED_VALUE"""),"Bonarda")</f>
        <v>Bonarda</v>
      </c>
      <c r="G1732" s="2"/>
      <c r="H1732" s="2">
        <f ca="1">IFERROR(__xludf.DUMMYFUNCTION("""COMPUTED_VALUE"""),54000)</f>
        <v>54000</v>
      </c>
      <c r="I1732" s="2"/>
      <c r="J1732" s="2" t="str">
        <f ca="1">IFERROR(__xludf.DUMMYFUNCTION("""COMPUTED_VALUE"""),"6457 , 6458 , 6464 , 6462 , 6461")</f>
        <v>6457 , 6458 , 6464 , 6462 , 6461</v>
      </c>
      <c r="K1732" s="2" t="str">
        <f ca="1">IFERROR(__xludf.DUMMYFUNCTION("""COMPUTED_VALUE"""),"Fermentando")</f>
        <v>Fermentando</v>
      </c>
      <c r="L1732" s="2"/>
      <c r="M1732" s="2" t="str">
        <f ca="1">IFERROR(__xludf.DUMMYFUNCTION("""COMPUTED_VALUE"""),"Tinto")</f>
        <v>Tinto</v>
      </c>
    </row>
    <row r="1733" spans="1:13" x14ac:dyDescent="0.25">
      <c r="A1733" s="2" t="str">
        <f ca="1">IFERROR(__xludf.DUMMYFUNCTION("""COMPUTED_VALUE"""),"64ffdaa1")</f>
        <v>64ffdaa1</v>
      </c>
      <c r="B1733" s="2"/>
      <c r="C1733" s="5">
        <f ca="1">IFERROR(__xludf.DUMMYFUNCTION("""COMPUTED_VALUE"""),46119.8861226851)</f>
        <v>46119.8861226851</v>
      </c>
      <c r="D1733" s="2">
        <f ca="1">IFERROR(__xludf.DUMMYFUNCTION("""COMPUTED_VALUE"""),83)</f>
        <v>83</v>
      </c>
      <c r="E1733" s="2">
        <f ca="1">IFERROR(__xludf.DUMMYFUNCTION("""COMPUTED_VALUE"""),81500)</f>
        <v>81500</v>
      </c>
      <c r="F1733" s="2" t="str">
        <f ca="1">IFERROR(__xludf.DUMMYFUNCTION("""COMPUTED_VALUE"""),"Bonarda")</f>
        <v>Bonarda</v>
      </c>
      <c r="G1733" s="2"/>
      <c r="H1733" s="2">
        <f ca="1">IFERROR(__xludf.DUMMYFUNCTION("""COMPUTED_VALUE"""),53000)</f>
        <v>53000</v>
      </c>
      <c r="I1733" s="2"/>
      <c r="J1733" s="2" t="str">
        <f ca="1">IFERROR(__xludf.DUMMYFUNCTION("""COMPUTED_VALUE"""),"6466 , 6465 , 6468 , 6472 , 6473 , 6474 , 6477")</f>
        <v>6466 , 6465 , 6468 , 6472 , 6473 , 6474 , 6477</v>
      </c>
      <c r="K1733" s="2" t="str">
        <f ca="1">IFERROR(__xludf.DUMMYFUNCTION("""COMPUTED_VALUE"""),"Fermentando")</f>
        <v>Fermentando</v>
      </c>
      <c r="L1733" s="2"/>
      <c r="M1733" s="2" t="str">
        <f ca="1">IFERROR(__xludf.DUMMYFUNCTION("""COMPUTED_VALUE"""),"Tinto")</f>
        <v>Tinto</v>
      </c>
    </row>
    <row r="1734" spans="1:13" x14ac:dyDescent="0.25">
      <c r="A1734" s="2" t="str">
        <f ca="1">IFERROR(__xludf.DUMMYFUNCTION("""COMPUTED_VALUE"""),"56c846cb")</f>
        <v>56c846cb</v>
      </c>
      <c r="B1734" s="2"/>
      <c r="C1734" s="5">
        <f ca="1">IFERROR(__xludf.DUMMYFUNCTION("""COMPUTED_VALUE"""),46119.892974537)</f>
        <v>46119.892974536997</v>
      </c>
      <c r="D1734" s="2">
        <f ca="1">IFERROR(__xludf.DUMMYFUNCTION("""COMPUTED_VALUE"""),25)</f>
        <v>25</v>
      </c>
      <c r="E1734" s="2">
        <f ca="1">IFERROR(__xludf.DUMMYFUNCTION("""COMPUTED_VALUE"""),194300)</f>
        <v>194300</v>
      </c>
      <c r="F1734" s="2" t="str">
        <f ca="1">IFERROR(__xludf.DUMMYFUNCTION("""COMPUTED_VALUE"""),"Malbec Man")</f>
        <v>Malbec Man</v>
      </c>
      <c r="G1734" s="2">
        <f ca="1">IFERROR(__xludf.DUMMYFUNCTION("""COMPUTED_VALUE"""),126900)</f>
        <v>126900</v>
      </c>
      <c r="H1734" s="2">
        <f ca="1">IFERROR(__xludf.DUMMYFUNCTION("""COMPUTED_VALUE"""),176900)</f>
        <v>176900</v>
      </c>
      <c r="I1734" s="2"/>
      <c r="J1734" s="2"/>
      <c r="K1734" s="2" t="str">
        <f ca="1">IFERROR(__xludf.DUMMYFUNCTION("""COMPUTED_VALUE"""),"Descubada")</f>
        <v>Descubada</v>
      </c>
      <c r="L1734" s="2" t="str">
        <f ca="1">IFERROR(__xludf.DUMMYFUNCTION("""COMPUTED_VALUE"""),"1")</f>
        <v>1</v>
      </c>
      <c r="M1734" s="2" t="str">
        <f ca="1">IFERROR(__xludf.DUMMYFUNCTION("""COMPUTED_VALUE"""),"Tinto")</f>
        <v>Tinto</v>
      </c>
    </row>
    <row r="1735" spans="1:13" x14ac:dyDescent="0.25">
      <c r="A1735" s="2" t="str">
        <f ca="1">IFERROR(__xludf.DUMMYFUNCTION("""COMPUTED_VALUE"""),"65f72a8b")</f>
        <v>65f72a8b</v>
      </c>
      <c r="B1735" s="2"/>
      <c r="C1735" s="5">
        <f ca="1">IFERROR(__xludf.DUMMYFUNCTION("""COMPUTED_VALUE"""),46119.8941087962)</f>
        <v>46119.894108796201</v>
      </c>
      <c r="D1735" s="2">
        <f ca="1">IFERROR(__xludf.DUMMYFUNCTION("""COMPUTED_VALUE"""),125)</f>
        <v>125</v>
      </c>
      <c r="E1735" s="2">
        <f ca="1">IFERROR(__xludf.DUMMYFUNCTION("""COMPUTED_VALUE"""),31000)</f>
        <v>31000</v>
      </c>
      <c r="F1735" s="2" t="str">
        <f ca="1">IFERROR(__xludf.DUMMYFUNCTION("""COMPUTED_VALUE"""),"Criolla Mosto")</f>
        <v>Criolla Mosto</v>
      </c>
      <c r="G1735" s="2"/>
      <c r="H1735" s="2">
        <f ca="1">IFERROR(__xludf.DUMMYFUNCTION("""COMPUTED_VALUE"""),36000)</f>
        <v>36000</v>
      </c>
      <c r="I1735" s="2"/>
      <c r="J1735" s="2" t="str">
        <f ca="1">IFERROR(__xludf.DUMMYFUNCTION("""COMPUTED_VALUE"""),"6451 , 6452 , 6454 , 6459 , 6460")</f>
        <v>6451 , 6452 , 6454 , 6459 , 6460</v>
      </c>
      <c r="K1735" s="2" t="str">
        <f ca="1">IFERROR(__xludf.DUMMYFUNCTION("""COMPUTED_VALUE"""),"Mosto")</f>
        <v>Mosto</v>
      </c>
      <c r="L1735" s="2"/>
      <c r="M1735" s="2" t="str">
        <f ca="1">IFERROR(__xludf.DUMMYFUNCTION("""COMPUTED_VALUE"""),"Tinto")</f>
        <v>Tinto</v>
      </c>
    </row>
    <row r="1736" spans="1:13" x14ac:dyDescent="0.25">
      <c r="A1736" s="2" t="str">
        <f ca="1">IFERROR(__xludf.DUMMYFUNCTION("""COMPUTED_VALUE"""),"81695a7e")</f>
        <v>81695a7e</v>
      </c>
      <c r="B1736" s="2"/>
      <c r="C1736" s="5">
        <f ca="1">IFERROR(__xludf.DUMMYFUNCTION("""COMPUTED_VALUE"""),46120.766261574)</f>
        <v>46120.766261573997</v>
      </c>
      <c r="D1736" s="2">
        <f ca="1">IFERROR(__xludf.DUMMYFUNCTION("""COMPUTED_VALUE"""),126)</f>
        <v>126</v>
      </c>
      <c r="E1736" s="2">
        <f ca="1">IFERROR(__xludf.DUMMYFUNCTION("""COMPUTED_VALUE"""),31000)</f>
        <v>31000</v>
      </c>
      <c r="F1736" s="2" t="str">
        <f ca="1">IFERROR(__xludf.DUMMYFUNCTION("""COMPUTED_VALUE"""),"Criolla Mosto")</f>
        <v>Criolla Mosto</v>
      </c>
      <c r="G1736" s="2">
        <f ca="1">IFERROR(__xludf.DUMMYFUNCTION("""COMPUTED_VALUE"""),0)</f>
        <v>0</v>
      </c>
      <c r="H1736" s="2">
        <f ca="1">IFERROR(__xludf.DUMMYFUNCTION("""COMPUTED_VALUE"""),20000)</f>
        <v>20000</v>
      </c>
      <c r="I1736" s="2"/>
      <c r="J1736" s="2"/>
      <c r="K1736" s="2" t="str">
        <f ca="1">IFERROR(__xludf.DUMMYFUNCTION("""COMPUTED_VALUE"""),"Fermentando")</f>
        <v>Fermentando</v>
      </c>
      <c r="L1736" s="2"/>
      <c r="M1736" s="2" t="str">
        <f ca="1">IFERROR(__xludf.DUMMYFUNCTION("""COMPUTED_VALUE"""),"Tinto")</f>
        <v>Tinto</v>
      </c>
    </row>
    <row r="1737" spans="1:13" x14ac:dyDescent="0.25">
      <c r="A1737" s="2" t="str">
        <f ca="1">IFERROR(__xludf.DUMMYFUNCTION("""COMPUTED_VALUE"""),"5297538b")</f>
        <v>5297538b</v>
      </c>
      <c r="B1737" s="2"/>
      <c r="C1737" s="5">
        <f ca="1">IFERROR(__xludf.DUMMYFUNCTION("""COMPUTED_VALUE"""),46120.7666666666)</f>
        <v>46120.766666666597</v>
      </c>
      <c r="D1737" s="2">
        <f ca="1">IFERROR(__xludf.DUMMYFUNCTION("""COMPUTED_VALUE"""),126)</f>
        <v>126</v>
      </c>
      <c r="E1737" s="2">
        <f ca="1">IFERROR(__xludf.DUMMYFUNCTION("""COMPUTED_VALUE"""),31000)</f>
        <v>31000</v>
      </c>
      <c r="F1737" s="2" t="str">
        <f ca="1">IFERROR(__xludf.DUMMYFUNCTION("""COMPUTED_VALUE"""),"Criolla Mosto")</f>
        <v>Criolla Mosto</v>
      </c>
      <c r="G1737" s="2">
        <f ca="1">IFERROR(__xludf.DUMMYFUNCTION("""COMPUTED_VALUE"""),20000)</f>
        <v>20000</v>
      </c>
      <c r="H1737" s="2">
        <f ca="1">IFERROR(__xludf.DUMMYFUNCTION("""COMPUTED_VALUE"""),25000)</f>
        <v>25000</v>
      </c>
      <c r="I1737" s="2"/>
      <c r="J1737" s="2"/>
      <c r="K1737" s="2" t="str">
        <f ca="1">IFERROR(__xludf.DUMMYFUNCTION("""COMPUTED_VALUE"""),"Fermentando")</f>
        <v>Fermentando</v>
      </c>
      <c r="L1737" s="2"/>
      <c r="M1737" s="2" t="str">
        <f ca="1">IFERROR(__xludf.DUMMYFUNCTION("""COMPUTED_VALUE"""),"Tinto")</f>
        <v>Tinto</v>
      </c>
    </row>
    <row r="1738" spans="1:13" x14ac:dyDescent="0.25">
      <c r="A1738" s="2" t="str">
        <f ca="1">IFERROR(__xludf.DUMMYFUNCTION("""COMPUTED_VALUE"""),"21fc2cc1")</f>
        <v>21fc2cc1</v>
      </c>
      <c r="B1738" s="2"/>
      <c r="C1738" s="5">
        <f ca="1">IFERROR(__xludf.DUMMYFUNCTION("""COMPUTED_VALUE"""),46120.767349537)</f>
        <v>46120.767349537004</v>
      </c>
      <c r="D1738" s="2">
        <f ca="1">IFERROR(__xludf.DUMMYFUNCTION("""COMPUTED_VALUE"""),126)</f>
        <v>126</v>
      </c>
      <c r="E1738" s="2">
        <f ca="1">IFERROR(__xludf.DUMMYFUNCTION("""COMPUTED_VALUE"""),31000)</f>
        <v>31000</v>
      </c>
      <c r="F1738" s="2" t="str">
        <f ca="1">IFERROR(__xludf.DUMMYFUNCTION("""COMPUTED_VALUE"""),"Criolla PC")</f>
        <v>Criolla PC</v>
      </c>
      <c r="G1738" s="2">
        <f ca="1">IFERROR(__xludf.DUMMYFUNCTION("""COMPUTED_VALUE"""),25000)</f>
        <v>25000</v>
      </c>
      <c r="H1738" s="2">
        <f ca="1">IFERROR(__xludf.DUMMYFUNCTION("""COMPUTED_VALUE"""),30000)</f>
        <v>30000</v>
      </c>
      <c r="I1738" s="2"/>
      <c r="J1738" s="2"/>
      <c r="K1738" s="2" t="str">
        <f ca="1">IFERROR(__xludf.DUMMYFUNCTION("""COMPUTED_VALUE"""),"Fermentando")</f>
        <v>Fermentando</v>
      </c>
      <c r="L1738" s="2"/>
      <c r="M1738" s="2" t="str">
        <f ca="1">IFERROR(__xludf.DUMMYFUNCTION("""COMPUTED_VALUE"""),"Tinto")</f>
        <v>Tinto</v>
      </c>
    </row>
    <row r="1739" spans="1:13" x14ac:dyDescent="0.25">
      <c r="A1739" s="2" t="str">
        <f ca="1">IFERROR(__xludf.DUMMYFUNCTION("""COMPUTED_VALUE"""),"78ecdc36")</f>
        <v>78ecdc36</v>
      </c>
      <c r="B1739" s="2"/>
      <c r="C1739" s="5">
        <f ca="1">IFERROR(__xludf.DUMMYFUNCTION("""COMPUTED_VALUE"""),46120.7675694444)</f>
        <v>46120.767569444397</v>
      </c>
      <c r="D1739" s="2">
        <f ca="1">IFERROR(__xludf.DUMMYFUNCTION("""COMPUTED_VALUE"""),65)</f>
        <v>65</v>
      </c>
      <c r="E1739" s="2">
        <f ca="1">IFERROR(__xludf.DUMMYFUNCTION("""COMPUTED_VALUE"""),35500)</f>
        <v>35500</v>
      </c>
      <c r="F1739" s="2" t="str">
        <f ca="1">IFERROR(__xludf.DUMMYFUNCTION("""COMPUTED_VALUE"""),"Criolla Mosto Rect")</f>
        <v>Criolla Mosto Rect</v>
      </c>
      <c r="G1739" s="2">
        <f ca="1">IFERROR(__xludf.DUMMYFUNCTION("""COMPUTED_VALUE"""),0)</f>
        <v>0</v>
      </c>
      <c r="H1739" s="2">
        <f ca="1">IFERROR(__xludf.DUMMYFUNCTION("""COMPUTED_VALUE"""),10400)</f>
        <v>10400</v>
      </c>
      <c r="I1739" s="2"/>
      <c r="J1739" s="2"/>
      <c r="K1739" s="2" t="str">
        <f ca="1">IFERROR(__xludf.DUMMYFUNCTION("""COMPUTED_VALUE"""),"Fermentando")</f>
        <v>Fermentando</v>
      </c>
      <c r="L1739" s="2"/>
      <c r="M1739" s="2" t="str">
        <f ca="1">IFERROR(__xludf.DUMMYFUNCTION("""COMPUTED_VALUE"""),"Tinto")</f>
        <v>Tinto</v>
      </c>
    </row>
    <row r="1740" spans="1:13" x14ac:dyDescent="0.25">
      <c r="A1740" s="2" t="str">
        <f ca="1">IFERROR(__xludf.DUMMYFUNCTION("""COMPUTED_VALUE"""),"e494b3e1")</f>
        <v>e494b3e1</v>
      </c>
      <c r="B1740" s="2"/>
      <c r="C1740" s="5">
        <f ca="1">IFERROR(__xludf.DUMMYFUNCTION("""COMPUTED_VALUE"""),46120.7683217592)</f>
        <v>46120.768321759198</v>
      </c>
      <c r="D1740" s="2">
        <f ca="1">IFERROR(__xludf.DUMMYFUNCTION("""COMPUTED_VALUE"""),65)</f>
        <v>65</v>
      </c>
      <c r="E1740" s="2">
        <f ca="1">IFERROR(__xludf.DUMMYFUNCTION("""COMPUTED_VALUE"""),35500)</f>
        <v>35500</v>
      </c>
      <c r="F1740" s="2" t="str">
        <f ca="1">IFERROR(__xludf.DUMMYFUNCTION("""COMPUTED_VALUE"""),"Criolla PC")</f>
        <v>Criolla PC</v>
      </c>
      <c r="G1740" s="2">
        <f ca="1">IFERROR(__xludf.DUMMYFUNCTION("""COMPUTED_VALUE"""),10400)</f>
        <v>10400</v>
      </c>
      <c r="H1740" s="2">
        <f ca="1">IFERROR(__xludf.DUMMYFUNCTION("""COMPUTED_VALUE"""),21400)</f>
        <v>21400</v>
      </c>
      <c r="I1740" s="2"/>
      <c r="J1740" s="2"/>
      <c r="K1740" s="2" t="str">
        <f ca="1">IFERROR(__xludf.DUMMYFUNCTION("""COMPUTED_VALUE"""),"Fermentando")</f>
        <v>Fermentando</v>
      </c>
      <c r="L1740" s="2"/>
      <c r="M1740" s="2" t="str">
        <f ca="1">IFERROR(__xludf.DUMMYFUNCTION("""COMPUTED_VALUE"""),"Tinto")</f>
        <v>Tinto</v>
      </c>
    </row>
    <row r="1741" spans="1:13" x14ac:dyDescent="0.25">
      <c r="A1741" s="2" t="str">
        <f ca="1">IFERROR(__xludf.DUMMYFUNCTION("""COMPUTED_VALUE"""),"feffca11")</f>
        <v>feffca11</v>
      </c>
      <c r="B1741" s="2"/>
      <c r="C1741" s="5">
        <f ca="1">IFERROR(__xludf.DUMMYFUNCTION("""COMPUTED_VALUE"""),46120.7890393518)</f>
        <v>46120.789039351803</v>
      </c>
      <c r="D1741" s="2">
        <f ca="1">IFERROR(__xludf.DUMMYFUNCTION("""COMPUTED_VALUE"""),34)</f>
        <v>34</v>
      </c>
      <c r="E1741" s="2">
        <f ca="1">IFERROR(__xludf.DUMMYFUNCTION("""COMPUTED_VALUE"""),39500)</f>
        <v>39500</v>
      </c>
      <c r="F1741" s="2" t="str">
        <f ca="1">IFERROR(__xludf.DUMMYFUNCTION("""COMPUTED_VALUE"""),"Criolla")</f>
        <v>Criolla</v>
      </c>
      <c r="G1741" s="2">
        <f ca="1">IFERROR(__xludf.DUMMYFUNCTION("""COMPUTED_VALUE"""),0)</f>
        <v>0</v>
      </c>
      <c r="H1741" s="2">
        <f ca="1">IFERROR(__xludf.DUMMYFUNCTION("""COMPUTED_VALUE"""),24020)</f>
        <v>24020</v>
      </c>
      <c r="I1741" s="2"/>
      <c r="J1741" s="2"/>
      <c r="K1741" s="2" t="str">
        <f ca="1">IFERROR(__xludf.DUMMYFUNCTION("""COMPUTED_VALUE"""),"Descubada")</f>
        <v>Descubada</v>
      </c>
      <c r="L1741" s="2"/>
      <c r="M1741" s="2" t="str">
        <f ca="1">IFERROR(__xludf.DUMMYFUNCTION("""COMPUTED_VALUE"""),"Tinto")</f>
        <v>Tinto</v>
      </c>
    </row>
    <row r="1742" spans="1:13" x14ac:dyDescent="0.25">
      <c r="A1742" s="2" t="str">
        <f ca="1">IFERROR(__xludf.DUMMYFUNCTION("""COMPUTED_VALUE"""),"76379bb5")</f>
        <v>76379bb5</v>
      </c>
      <c r="B1742" s="2"/>
      <c r="C1742" s="5">
        <f ca="1">IFERROR(__xludf.DUMMYFUNCTION("""COMPUTED_VALUE"""),46120.7910185185)</f>
        <v>46120.791018518503</v>
      </c>
      <c r="D1742" s="2">
        <f ca="1">IFERROR(__xludf.DUMMYFUNCTION("""COMPUTED_VALUE"""),8)</f>
        <v>8</v>
      </c>
      <c r="E1742" s="2">
        <f ca="1">IFERROR(__xludf.DUMMYFUNCTION("""COMPUTED_VALUE"""),22000)</f>
        <v>22000</v>
      </c>
      <c r="F1742" s="2" t="str">
        <f ca="1">IFERROR(__xludf.DUMMYFUNCTION("""COMPUTED_VALUE"""),"Pedro Gimenez")</f>
        <v>Pedro Gimenez</v>
      </c>
      <c r="G1742" s="2">
        <f ca="1">IFERROR(__xludf.DUMMYFUNCTION("""COMPUTED_VALUE"""),0)</f>
        <v>0</v>
      </c>
      <c r="H1742" s="2">
        <f ca="1">IFERROR(__xludf.DUMMYFUNCTION("""COMPUTED_VALUE"""),21600)</f>
        <v>21600</v>
      </c>
      <c r="I1742" s="2"/>
      <c r="J1742" s="2"/>
      <c r="K1742" s="2" t="str">
        <f ca="1">IFERROR(__xludf.DUMMYFUNCTION("""COMPUTED_VALUE"""),"Descubada")</f>
        <v>Descubada</v>
      </c>
      <c r="L1742" s="2" t="str">
        <f ca="1">IFERROR(__xludf.DUMMYFUNCTION("""COMPUTED_VALUE"""),"1+")</f>
        <v>1+</v>
      </c>
      <c r="M1742" s="2" t="str">
        <f ca="1">IFERROR(__xludf.DUMMYFUNCTION("""COMPUTED_VALUE"""),"Blanco")</f>
        <v>Blanco</v>
      </c>
    </row>
    <row r="1743" spans="1:13" x14ac:dyDescent="0.25">
      <c r="A1743" s="2" t="str">
        <f ca="1">IFERROR(__xludf.DUMMYFUNCTION("""COMPUTED_VALUE"""),"072a8a51")</f>
        <v>072a8a51</v>
      </c>
      <c r="B1743" s="2"/>
      <c r="C1743" s="5">
        <f ca="1">IFERROR(__xludf.DUMMYFUNCTION("""COMPUTED_VALUE"""),46120.7925925925)</f>
        <v>46120.792592592501</v>
      </c>
      <c r="D1743" s="2">
        <f ca="1">IFERROR(__xludf.DUMMYFUNCTION("""COMPUTED_VALUE"""),25)</f>
        <v>25</v>
      </c>
      <c r="E1743" s="2">
        <f ca="1">IFERROR(__xludf.DUMMYFUNCTION("""COMPUTED_VALUE"""),194300)</f>
        <v>194300</v>
      </c>
      <c r="F1743" s="2" t="str">
        <f ca="1">IFERROR(__xludf.DUMMYFUNCTION("""COMPUTED_VALUE"""),"Malbec")</f>
        <v>Malbec</v>
      </c>
      <c r="G1743" s="2">
        <f ca="1">IFERROR(__xludf.DUMMYFUNCTION("""COMPUTED_VALUE"""),176900)</f>
        <v>176900</v>
      </c>
      <c r="H1743" s="2">
        <f ca="1">IFERROR(__xludf.DUMMYFUNCTION("""COMPUTED_VALUE"""),194300)</f>
        <v>194300</v>
      </c>
      <c r="I1743" s="2"/>
      <c r="J1743" s="2"/>
      <c r="K1743" s="2" t="str">
        <f ca="1">IFERROR(__xludf.DUMMYFUNCTION("""COMPUTED_VALUE"""),"Descubada")</f>
        <v>Descubada</v>
      </c>
      <c r="L1743" s="2" t="str">
        <f ca="1">IFERROR(__xludf.DUMMYFUNCTION("""COMPUTED_VALUE"""),"1")</f>
        <v>1</v>
      </c>
      <c r="M1743" s="2" t="str">
        <f ca="1">IFERROR(__xludf.DUMMYFUNCTION("""COMPUTED_VALUE"""),"Tinto")</f>
        <v>Tinto</v>
      </c>
    </row>
    <row r="1744" spans="1:13" x14ac:dyDescent="0.25">
      <c r="A1744" s="2" t="str">
        <f ca="1">IFERROR(__xludf.DUMMYFUNCTION("""COMPUTED_VALUE"""),"b7ca37d7")</f>
        <v>b7ca37d7</v>
      </c>
      <c r="B1744" s="2"/>
      <c r="C1744" s="5">
        <f ca="1">IFERROR(__xludf.DUMMYFUNCTION("""COMPUTED_VALUE"""),46120.7928472222)</f>
        <v>46120.792847222197</v>
      </c>
      <c r="D1744" s="2">
        <f ca="1">IFERROR(__xludf.DUMMYFUNCTION("""COMPUTED_VALUE"""),24)</f>
        <v>24</v>
      </c>
      <c r="E1744" s="2">
        <f ca="1">IFERROR(__xludf.DUMMYFUNCTION("""COMPUTED_VALUE"""),186600)</f>
        <v>186600</v>
      </c>
      <c r="F1744" s="2" t="str">
        <f ca="1">IFERROR(__xludf.DUMMYFUNCTION("""COMPUTED_VALUE"""),"Malbec pc")</f>
        <v>Malbec pc</v>
      </c>
      <c r="G1744" s="2">
        <f ca="1">IFERROR(__xludf.DUMMYFUNCTION("""COMPUTED_VALUE"""),0)</f>
        <v>0</v>
      </c>
      <c r="H1744" s="2">
        <f ca="1">IFERROR(__xludf.DUMMYFUNCTION("""COMPUTED_VALUE"""),42600)</f>
        <v>42600</v>
      </c>
      <c r="I1744" s="2"/>
      <c r="J1744" s="2"/>
      <c r="K1744" s="2" t="str">
        <f ca="1">IFERROR(__xludf.DUMMYFUNCTION("""COMPUTED_VALUE"""),"Descubada")</f>
        <v>Descubada</v>
      </c>
      <c r="L1744" s="2" t="str">
        <f ca="1">IFERROR(__xludf.DUMMYFUNCTION("""COMPUTED_VALUE"""),"1")</f>
        <v>1</v>
      </c>
      <c r="M1744" s="2" t="str">
        <f ca="1">IFERROR(__xludf.DUMMYFUNCTION("""COMPUTED_VALUE"""),"Tinto")</f>
        <v>Tinto</v>
      </c>
    </row>
    <row r="1745" spans="1:13" x14ac:dyDescent="0.25">
      <c r="A1745" s="2" t="str">
        <f ca="1">IFERROR(__xludf.DUMMYFUNCTION("""COMPUTED_VALUE"""),"6d19079d")</f>
        <v>6d19079d</v>
      </c>
      <c r="B1745" s="2"/>
      <c r="C1745" s="5">
        <f ca="1">IFERROR(__xludf.DUMMYFUNCTION("""COMPUTED_VALUE"""),46120.8335879629)</f>
        <v>46120.833587962901</v>
      </c>
      <c r="D1745" s="2">
        <f ca="1">IFERROR(__xludf.DUMMYFUNCTION("""COMPUTED_VALUE"""),125)</f>
        <v>125</v>
      </c>
      <c r="E1745" s="2">
        <f ca="1">IFERROR(__xludf.DUMMYFUNCTION("""COMPUTED_VALUE"""),31000)</f>
        <v>31000</v>
      </c>
      <c r="F1745" s="2" t="str">
        <f ca="1">IFERROR(__xludf.DUMMYFUNCTION("""COMPUTED_VALUE"""),"Criolla Mosto")</f>
        <v>Criolla Mosto</v>
      </c>
      <c r="G1745" s="2"/>
      <c r="H1745" s="2">
        <f ca="1">IFERROR(__xludf.DUMMYFUNCTION("""COMPUTED_VALUE"""),36800)</f>
        <v>36800</v>
      </c>
      <c r="I1745" s="2"/>
      <c r="J1745" s="2" t="str">
        <f ca="1">IFERROR(__xludf.DUMMYFUNCTION("""COMPUTED_VALUE"""),"6467 , 6475 , 6476 , 6471 , 6470")</f>
        <v>6467 , 6475 , 6476 , 6471 , 6470</v>
      </c>
      <c r="K1745" s="2" t="str">
        <f ca="1">IFERROR(__xludf.DUMMYFUNCTION("""COMPUTED_VALUE"""),"Mosto")</f>
        <v>Mosto</v>
      </c>
      <c r="L1745" s="2"/>
      <c r="M1745" s="2" t="str">
        <f ca="1">IFERROR(__xludf.DUMMYFUNCTION("""COMPUTED_VALUE"""),"Tinto")</f>
        <v>Tinto</v>
      </c>
    </row>
    <row r="1746" spans="1:13" x14ac:dyDescent="0.25">
      <c r="A1746" s="2" t="str">
        <f ca="1">IFERROR(__xludf.DUMMYFUNCTION("""COMPUTED_VALUE"""),"b601078c")</f>
        <v>b601078c</v>
      </c>
      <c r="B1746" s="2"/>
      <c r="C1746" s="5">
        <f ca="1">IFERROR(__xludf.DUMMYFUNCTION("""COMPUTED_VALUE"""),46120.8361342592)</f>
        <v>46120.836134259203</v>
      </c>
      <c r="D1746" s="2">
        <f ca="1">IFERROR(__xludf.DUMMYFUNCTION("""COMPUTED_VALUE"""),86)</f>
        <v>86</v>
      </c>
      <c r="E1746" s="2">
        <f ca="1">IFERROR(__xludf.DUMMYFUNCTION("""COMPUTED_VALUE"""),88000)</f>
        <v>88000</v>
      </c>
      <c r="F1746" s="2" t="str">
        <f ca="1">IFERROR(__xludf.DUMMYFUNCTION("""COMPUTED_VALUE"""),"Bonarda")</f>
        <v>Bonarda</v>
      </c>
      <c r="G1746" s="2"/>
      <c r="H1746" s="2">
        <f ca="1">IFERROR(__xludf.DUMMYFUNCTION("""COMPUTED_VALUE"""),44500)</f>
        <v>44500</v>
      </c>
      <c r="I1746" s="2"/>
      <c r="J1746" s="2" t="str">
        <f ca="1">IFERROR(__xludf.DUMMYFUNCTION("""COMPUTED_VALUE"""),"6478 , 6479 , 6480 , 6481 , 6482 , 6483")</f>
        <v>6478 , 6479 , 6480 , 6481 , 6482 , 6483</v>
      </c>
      <c r="K1746" s="2" t="str">
        <f ca="1">IFERROR(__xludf.DUMMYFUNCTION("""COMPUTED_VALUE"""),"Fermentando")</f>
        <v>Fermentando</v>
      </c>
      <c r="L1746" s="2"/>
      <c r="M1746" s="2" t="str">
        <f ca="1">IFERROR(__xludf.DUMMYFUNCTION("""COMPUTED_VALUE"""),"Tinto")</f>
        <v>Tinto</v>
      </c>
    </row>
    <row r="1747" spans="1:13" x14ac:dyDescent="0.25">
      <c r="A1747" s="2" t="str">
        <f ca="1">IFERROR(__xludf.DUMMYFUNCTION("""COMPUTED_VALUE"""),"d932789c")</f>
        <v>d932789c</v>
      </c>
      <c r="B1747" s="2"/>
      <c r="C1747" s="5">
        <f ca="1">IFERROR(__xludf.DUMMYFUNCTION("""COMPUTED_VALUE"""),46121.7877662037)</f>
        <v>46121.787766203699</v>
      </c>
      <c r="D1747" s="2">
        <f ca="1">IFERROR(__xludf.DUMMYFUNCTION("""COMPUTED_VALUE"""),65)</f>
        <v>65</v>
      </c>
      <c r="E1747" s="2">
        <f ca="1">IFERROR(__xludf.DUMMYFUNCTION("""COMPUTED_VALUE"""),35500)</f>
        <v>35500</v>
      </c>
      <c r="F1747" s="2" t="str">
        <f ca="1">IFERROR(__xludf.DUMMYFUNCTION("""COMPUTED_VALUE"""),"Criolla PC")</f>
        <v>Criolla PC</v>
      </c>
      <c r="G1747" s="2">
        <f ca="1">IFERROR(__xludf.DUMMYFUNCTION("""COMPUTED_VALUE"""),21400)</f>
        <v>21400</v>
      </c>
      <c r="H1747" s="2">
        <f ca="1">IFERROR(__xludf.DUMMYFUNCTION("""COMPUTED_VALUE"""),34400)</f>
        <v>34400</v>
      </c>
      <c r="I1747" s="2"/>
      <c r="J1747" s="2"/>
      <c r="K1747" s="2" t="str">
        <f ca="1">IFERROR(__xludf.DUMMYFUNCTION("""COMPUTED_VALUE"""),"Fermentando")</f>
        <v>Fermentando</v>
      </c>
      <c r="L1747" s="2" t="str">
        <f ca="1">IFERROR(__xludf.DUMMYFUNCTION("""COMPUTED_VALUE"""),"1-")</f>
        <v>1-</v>
      </c>
      <c r="M1747" s="2" t="str">
        <f ca="1">IFERROR(__xludf.DUMMYFUNCTION("""COMPUTED_VALUE"""),"Tinto")</f>
        <v>Tinto</v>
      </c>
    </row>
    <row r="1748" spans="1:13" x14ac:dyDescent="0.25">
      <c r="A1748" s="2" t="str">
        <f ca="1">IFERROR(__xludf.DUMMYFUNCTION("""COMPUTED_VALUE"""),"06d085dd")</f>
        <v>06d085dd</v>
      </c>
      <c r="B1748" s="2"/>
      <c r="C1748" s="5">
        <f ca="1">IFERROR(__xludf.DUMMYFUNCTION("""COMPUTED_VALUE"""),46121.7883796296)</f>
        <v>46121.788379629601</v>
      </c>
      <c r="D1748" s="2">
        <f ca="1">IFERROR(__xludf.DUMMYFUNCTION("""COMPUTED_VALUE"""),127)</f>
        <v>127</v>
      </c>
      <c r="E1748" s="2">
        <f ca="1">IFERROR(__xludf.DUMMYFUNCTION("""COMPUTED_VALUE"""),31000)</f>
        <v>31000</v>
      </c>
      <c r="F1748" s="2" t="str">
        <f ca="1">IFERROR(__xludf.DUMMYFUNCTION("""COMPUTED_VALUE"""),"Criolla Mosto")</f>
        <v>Criolla Mosto</v>
      </c>
      <c r="G1748" s="2">
        <f ca="1">IFERROR(__xludf.DUMMYFUNCTION("""COMPUTED_VALUE"""),0)</f>
        <v>0</v>
      </c>
      <c r="H1748" s="2">
        <f ca="1">IFERROR(__xludf.DUMMYFUNCTION("""COMPUTED_VALUE"""),3000)</f>
        <v>3000</v>
      </c>
      <c r="I1748" s="2"/>
      <c r="J1748" s="2"/>
      <c r="K1748" s="2" t="str">
        <f ca="1">IFERROR(__xludf.DUMMYFUNCTION("""COMPUTED_VALUE"""),"Fermentando")</f>
        <v>Fermentando</v>
      </c>
      <c r="L1748" s="2" t="str">
        <f ca="1">IFERROR(__xludf.DUMMYFUNCTION("""COMPUTED_VALUE"""),"1")</f>
        <v>1</v>
      </c>
      <c r="M1748" s="2" t="str">
        <f ca="1">IFERROR(__xludf.DUMMYFUNCTION("""COMPUTED_VALUE"""),"Tinto")</f>
        <v>Tinto</v>
      </c>
    </row>
    <row r="1749" spans="1:13" x14ac:dyDescent="0.25">
      <c r="A1749" s="2" t="str">
        <f ca="1">IFERROR(__xludf.DUMMYFUNCTION("""COMPUTED_VALUE"""),"142f3fa8")</f>
        <v>142f3fa8</v>
      </c>
      <c r="B1749" s="2"/>
      <c r="C1749" s="5">
        <f ca="1">IFERROR(__xludf.DUMMYFUNCTION("""COMPUTED_VALUE"""),46121.7887037037)</f>
        <v>46121.7887037037</v>
      </c>
      <c r="D1749" s="2">
        <f ca="1">IFERROR(__xludf.DUMMYFUNCTION("""COMPUTED_VALUE"""),12)</f>
        <v>12</v>
      </c>
      <c r="E1749" s="2">
        <f ca="1">IFERROR(__xludf.DUMMYFUNCTION("""COMPUTED_VALUE"""),35300)</f>
        <v>35300</v>
      </c>
      <c r="F1749" s="2" t="str">
        <f ca="1">IFERROR(__xludf.DUMMYFUNCTION("""COMPUTED_VALUE"""),"Criolla Mosto con borra")</f>
        <v>Criolla Mosto con borra</v>
      </c>
      <c r="G1749" s="2">
        <f ca="1">IFERROR(__xludf.DUMMYFUNCTION("""COMPUTED_VALUE"""),0)</f>
        <v>0</v>
      </c>
      <c r="H1749" s="2">
        <f ca="1">IFERROR(__xludf.DUMMYFUNCTION("""COMPUTED_VALUE"""),20800)</f>
        <v>20800</v>
      </c>
      <c r="I1749" s="2"/>
      <c r="J1749" s="2"/>
      <c r="K1749" s="2" t="str">
        <f ca="1">IFERROR(__xludf.DUMMYFUNCTION("""COMPUTED_VALUE"""),"Mosto")</f>
        <v>Mosto</v>
      </c>
      <c r="L1749" s="2"/>
      <c r="M1749" s="2" t="str">
        <f ca="1">IFERROR(__xludf.DUMMYFUNCTION("""COMPUTED_VALUE"""),"Tinto")</f>
        <v>Tinto</v>
      </c>
    </row>
    <row r="1750" spans="1:13" x14ac:dyDescent="0.25">
      <c r="A1750" s="2" t="str">
        <f ca="1">IFERROR(__xludf.DUMMYFUNCTION("""COMPUTED_VALUE"""),"8a001ceb")</f>
        <v>8a001ceb</v>
      </c>
      <c r="B1750" s="2"/>
      <c r="C1750" s="5">
        <f ca="1">IFERROR(__xludf.DUMMYFUNCTION("""COMPUTED_VALUE"""),46121.7903356481)</f>
        <v>46121.790335648097</v>
      </c>
      <c r="D1750" s="2">
        <f ca="1">IFERROR(__xludf.DUMMYFUNCTION("""COMPUTED_VALUE"""),32)</f>
        <v>32</v>
      </c>
      <c r="E1750" s="2">
        <f ca="1">IFERROR(__xludf.DUMMYFUNCTION("""COMPUTED_VALUE"""),36300)</f>
        <v>36300</v>
      </c>
      <c r="F1750" s="2" t="str">
        <f ca="1">IFERROR(__xludf.DUMMYFUNCTION("""COMPUTED_VALUE"""),"Malbec")</f>
        <v>Malbec</v>
      </c>
      <c r="G1750" s="2">
        <f ca="1">IFERROR(__xludf.DUMMYFUNCTION("""COMPUTED_VALUE"""),6000)</f>
        <v>6000</v>
      </c>
      <c r="H1750" s="2">
        <f ca="1">IFERROR(__xludf.DUMMYFUNCTION("""COMPUTED_VALUE"""),36300)</f>
        <v>36300</v>
      </c>
      <c r="I1750" s="2"/>
      <c r="J1750" s="2"/>
      <c r="K1750" s="2" t="str">
        <f ca="1">IFERROR(__xludf.DUMMYFUNCTION("""COMPUTED_VALUE"""),"Descubada")</f>
        <v>Descubada</v>
      </c>
      <c r="L1750" s="2"/>
      <c r="M1750" s="2" t="str">
        <f ca="1">IFERROR(__xludf.DUMMYFUNCTION("""COMPUTED_VALUE"""),"Tinto")</f>
        <v>Tinto</v>
      </c>
    </row>
    <row r="1751" spans="1:13" x14ac:dyDescent="0.25">
      <c r="A1751" s="2" t="str">
        <f ca="1">IFERROR(__xludf.DUMMYFUNCTION("""COMPUTED_VALUE"""),"b2d27cc1")</f>
        <v>b2d27cc1</v>
      </c>
      <c r="B1751" s="2"/>
      <c r="C1751" s="5">
        <f ca="1">IFERROR(__xludf.DUMMYFUNCTION("""COMPUTED_VALUE"""),46121.7906712962)</f>
        <v>46121.790671296199</v>
      </c>
      <c r="D1751" s="2">
        <f ca="1">IFERROR(__xludf.DUMMYFUNCTION("""COMPUTED_VALUE"""),24)</f>
        <v>24</v>
      </c>
      <c r="E1751" s="2">
        <f ca="1">IFERROR(__xludf.DUMMYFUNCTION("""COMPUTED_VALUE"""),186600)</f>
        <v>186600</v>
      </c>
      <c r="F1751" s="2" t="str">
        <f ca="1">IFERROR(__xludf.DUMMYFUNCTION("""COMPUTED_VALUE"""),"Malbec pc")</f>
        <v>Malbec pc</v>
      </c>
      <c r="G1751" s="2">
        <f ca="1">IFERROR(__xludf.DUMMYFUNCTION("""COMPUTED_VALUE"""),42600)</f>
        <v>42600</v>
      </c>
      <c r="H1751" s="2">
        <f ca="1">IFERROR(__xludf.DUMMYFUNCTION("""COMPUTED_VALUE"""),43100)</f>
        <v>43100</v>
      </c>
      <c r="I1751" s="2"/>
      <c r="J1751" s="2"/>
      <c r="K1751" s="2" t="str">
        <f ca="1">IFERROR(__xludf.DUMMYFUNCTION("""COMPUTED_VALUE"""),"Descubada")</f>
        <v>Descubada</v>
      </c>
      <c r="L1751" s="2" t="str">
        <f ca="1">IFERROR(__xludf.DUMMYFUNCTION("""COMPUTED_VALUE"""),"1")</f>
        <v>1</v>
      </c>
      <c r="M1751" s="2" t="str">
        <f ca="1">IFERROR(__xludf.DUMMYFUNCTION("""COMPUTED_VALUE"""),"Tinto")</f>
        <v>Tinto</v>
      </c>
    </row>
    <row r="1752" spans="1:13" x14ac:dyDescent="0.25">
      <c r="A1752" s="2" t="str">
        <f ca="1">IFERROR(__xludf.DUMMYFUNCTION("""COMPUTED_VALUE"""),"8018808a")</f>
        <v>8018808a</v>
      </c>
      <c r="B1752" s="2"/>
      <c r="C1752" s="5">
        <f ca="1">IFERROR(__xludf.DUMMYFUNCTION("""COMPUTED_VALUE"""),46121.8402662037)</f>
        <v>46121.840266203697</v>
      </c>
      <c r="D1752" s="2">
        <f ca="1">IFERROR(__xludf.DUMMYFUNCTION("""COMPUTED_VALUE"""),88)</f>
        <v>88</v>
      </c>
      <c r="E1752" s="2">
        <f ca="1">IFERROR(__xludf.DUMMYFUNCTION("""COMPUTED_VALUE"""),78900)</f>
        <v>78900</v>
      </c>
      <c r="F1752" s="2" t="str">
        <f ca="1">IFERROR(__xludf.DUMMYFUNCTION("""COMPUTED_VALUE"""),"Bonarda")</f>
        <v>Bonarda</v>
      </c>
      <c r="G1752" s="2"/>
      <c r="H1752" s="2">
        <f ca="1">IFERROR(__xludf.DUMMYFUNCTION("""COMPUTED_VALUE"""),48300)</f>
        <v>48300</v>
      </c>
      <c r="I1752" s="2"/>
      <c r="J1752" s="2" t="str">
        <f ca="1">IFERROR(__xludf.DUMMYFUNCTION("""COMPUTED_VALUE"""),"6485 , 6486 , 6488 , 6490 , 6491 , 6492")</f>
        <v>6485 , 6486 , 6488 , 6490 , 6491 , 6492</v>
      </c>
      <c r="K1752" s="2" t="str">
        <f ca="1">IFERROR(__xludf.DUMMYFUNCTION("""COMPUTED_VALUE"""),"Fermentando")</f>
        <v>Fermentando</v>
      </c>
      <c r="L1752" s="2" t="str">
        <f ca="1">IFERROR(__xludf.DUMMYFUNCTION("""COMPUTED_VALUE"""),"1")</f>
        <v>1</v>
      </c>
      <c r="M1752" s="2" t="str">
        <f ca="1">IFERROR(__xludf.DUMMYFUNCTION("""COMPUTED_VALUE"""),"Tinto")</f>
        <v>Tinto</v>
      </c>
    </row>
    <row r="1753" spans="1:13" x14ac:dyDescent="0.25">
      <c r="A1753" s="2" t="str">
        <f ca="1">IFERROR(__xludf.DUMMYFUNCTION("""COMPUTED_VALUE"""),"cf68c2c6")</f>
        <v>cf68c2c6</v>
      </c>
      <c r="B1753" s="2"/>
      <c r="C1753" s="5">
        <f ca="1">IFERROR(__xludf.DUMMYFUNCTION("""COMPUTED_VALUE"""),46121.8458217591)</f>
        <v>46121.845821759198</v>
      </c>
      <c r="D1753" s="2">
        <f ca="1">IFERROR(__xludf.DUMMYFUNCTION("""COMPUTED_VALUE"""),89)</f>
        <v>89</v>
      </c>
      <c r="E1753" s="2">
        <f ca="1">IFERROR(__xludf.DUMMYFUNCTION("""COMPUTED_VALUE"""),83500)</f>
        <v>83500</v>
      </c>
      <c r="F1753" s="2" t="str">
        <f ca="1">IFERROR(__xludf.DUMMYFUNCTION("""COMPUTED_VALUE"""),"Bonarda")</f>
        <v>Bonarda</v>
      </c>
      <c r="G1753" s="2"/>
      <c r="H1753" s="2">
        <f ca="1">IFERROR(__xludf.DUMMYFUNCTION("""COMPUTED_VALUE"""),50000)</f>
        <v>50000</v>
      </c>
      <c r="I1753" s="2" t="str">
        <f ca="1">IFERROR(__xludf.DUMMYFUNCTION("""COMPUTED_VALUE"""),"Revisar si tiene rectificado. Ver Ph")</f>
        <v>Revisar si tiene rectificado. Ver Ph</v>
      </c>
      <c r="J1753" s="2" t="str">
        <f ca="1">IFERROR(__xludf.DUMMYFUNCTION("""COMPUTED_VALUE"""),"6493 , 6496 , 6497 , 6498 , 6499 , 6500 , 6501")</f>
        <v>6493 , 6496 , 6497 , 6498 , 6499 , 6500 , 6501</v>
      </c>
      <c r="K1753" s="2" t="str">
        <f ca="1">IFERROR(__xludf.DUMMYFUNCTION("""COMPUTED_VALUE"""),"Fermentando")</f>
        <v>Fermentando</v>
      </c>
      <c r="L1753" s="2"/>
      <c r="M1753" s="2" t="str">
        <f ca="1">IFERROR(__xludf.DUMMYFUNCTION("""COMPUTED_VALUE"""),"Tinto")</f>
        <v>Tinto</v>
      </c>
    </row>
    <row r="1754" spans="1:13" x14ac:dyDescent="0.25">
      <c r="A1754" s="2" t="str">
        <f ca="1">IFERROR(__xludf.DUMMYFUNCTION("""COMPUTED_VALUE"""),"2caf6785")</f>
        <v>2caf6785</v>
      </c>
      <c r="B1754" s="2"/>
      <c r="C1754" s="5">
        <f ca="1">IFERROR(__xludf.DUMMYFUNCTION("""COMPUTED_VALUE"""),46122.4629282407)</f>
        <v>46122.462928240697</v>
      </c>
      <c r="D1754" s="2">
        <f ca="1">IFERROR(__xludf.DUMMYFUNCTION("""COMPUTED_VALUE"""),500)</f>
        <v>500</v>
      </c>
      <c r="E1754" s="2">
        <f ca="1">IFERROR(__xludf.DUMMYFUNCTION("""COMPUTED_VALUE"""),200000)</f>
        <v>200000</v>
      </c>
      <c r="F1754" s="2" t="str">
        <f ca="1">IFERROR(__xludf.DUMMYFUNCTION("""COMPUTED_VALUE"""),"AJUSTE COSECHA 2026")</f>
        <v>AJUSTE COSECHA 2026</v>
      </c>
      <c r="G1754" s="2">
        <f ca="1">IFERROR(__xludf.DUMMYFUNCTION("""COMPUTED_VALUE"""),81000)</f>
        <v>81000</v>
      </c>
      <c r="H1754" s="2">
        <f ca="1">IFERROR(__xludf.DUMMYFUNCTION("""COMPUTED_VALUE"""),80600)</f>
        <v>80600</v>
      </c>
      <c r="I1754" s="2"/>
      <c r="J1754" s="2"/>
      <c r="K1754" s="2" t="str">
        <f ca="1">IFERROR(__xludf.DUMMYFUNCTION("""COMPUTED_VALUE"""),"Fermentando")</f>
        <v>Fermentando</v>
      </c>
      <c r="L1754" s="2" t="str">
        <f ca="1">IFERROR(__xludf.DUMMYFUNCTION("""COMPUTED_VALUE"""),"1")</f>
        <v>1</v>
      </c>
      <c r="M1754" s="2" t="str">
        <f ca="1">IFERROR(__xludf.DUMMYFUNCTION("""COMPUTED_VALUE"""),"Blanco")</f>
        <v>Blanco</v>
      </c>
    </row>
    <row r="1755" spans="1:13" x14ac:dyDescent="0.25">
      <c r="A1755" s="2" t="str">
        <f ca="1">IFERROR(__xludf.DUMMYFUNCTION("""COMPUTED_VALUE"""),"97ec467a")</f>
        <v>97ec467a</v>
      </c>
      <c r="B1755" s="2"/>
      <c r="C1755" s="5">
        <f ca="1">IFERROR(__xludf.DUMMYFUNCTION("""COMPUTED_VALUE"""),46122.8558217592)</f>
        <v>46122.8558217592</v>
      </c>
      <c r="D1755" s="2">
        <f ca="1">IFERROR(__xludf.DUMMYFUNCTION("""COMPUTED_VALUE"""),24)</f>
        <v>24</v>
      </c>
      <c r="E1755" s="2">
        <f ca="1">IFERROR(__xludf.DUMMYFUNCTION("""COMPUTED_VALUE"""),186600)</f>
        <v>186600</v>
      </c>
      <c r="F1755" s="2" t="str">
        <f ca="1">IFERROR(__xludf.DUMMYFUNCTION("""COMPUTED_VALUE"""),"Malbec pc")</f>
        <v>Malbec pc</v>
      </c>
      <c r="G1755" s="2">
        <f ca="1">IFERROR(__xludf.DUMMYFUNCTION("""COMPUTED_VALUE"""),43100)</f>
        <v>43100</v>
      </c>
      <c r="H1755" s="2">
        <f ca="1">IFERROR(__xludf.DUMMYFUNCTION("""COMPUTED_VALUE"""),111600)</f>
        <v>111600</v>
      </c>
      <c r="I1755" s="2"/>
      <c r="J1755" s="2"/>
      <c r="K1755" s="2" t="str">
        <f ca="1">IFERROR(__xludf.DUMMYFUNCTION("""COMPUTED_VALUE"""),"Descubada")</f>
        <v>Descubada</v>
      </c>
      <c r="L1755" s="2" t="str">
        <f ca="1">IFERROR(__xludf.DUMMYFUNCTION("""COMPUTED_VALUE"""),"1")</f>
        <v>1</v>
      </c>
      <c r="M1755" s="2" t="str">
        <f ca="1">IFERROR(__xludf.DUMMYFUNCTION("""COMPUTED_VALUE"""),"Tinto")</f>
        <v>Tinto</v>
      </c>
    </row>
    <row r="1756" spans="1:13" x14ac:dyDescent="0.25">
      <c r="A1756" s="2" t="str">
        <f ca="1">IFERROR(__xludf.DUMMYFUNCTION("""COMPUTED_VALUE"""),"e9938d85")</f>
        <v>e9938d85</v>
      </c>
      <c r="B1756" s="2"/>
      <c r="C1756" s="5">
        <f ca="1">IFERROR(__xludf.DUMMYFUNCTION("""COMPUTED_VALUE"""),46121.8565046295)</f>
        <v>46121.856504629599</v>
      </c>
      <c r="D1756" s="2">
        <f ca="1">IFERROR(__xludf.DUMMYFUNCTION("""COMPUTED_VALUE"""),125)</f>
        <v>125</v>
      </c>
      <c r="E1756" s="2">
        <f ca="1">IFERROR(__xludf.DUMMYFUNCTION("""COMPUTED_VALUE"""),31000)</f>
        <v>31000</v>
      </c>
      <c r="F1756" s="2" t="str">
        <f ca="1">IFERROR(__xludf.DUMMYFUNCTION("""COMPUTED_VALUE"""),"Criolla")</f>
        <v>Criolla</v>
      </c>
      <c r="G1756" s="2"/>
      <c r="H1756" s="2">
        <f ca="1">IFERROR(__xludf.DUMMYFUNCTION("""COMPUTED_VALUE"""),36000)</f>
        <v>36000</v>
      </c>
      <c r="I1756" s="2"/>
      <c r="J1756" s="2" t="str">
        <f ca="1">IFERROR(__xludf.DUMMYFUNCTION("""COMPUTED_VALUE"""),"6484 , 6487 , 6489 , 6494 , 6495")</f>
        <v>6484 , 6487 , 6489 , 6494 , 6495</v>
      </c>
      <c r="K1756" s="2" t="str">
        <f ca="1">IFERROR(__xludf.DUMMYFUNCTION("""COMPUTED_VALUE"""),"Mosto")</f>
        <v>Mosto</v>
      </c>
      <c r="L1756" s="2"/>
      <c r="M1756" s="2" t="str">
        <f ca="1">IFERROR(__xludf.DUMMYFUNCTION("""COMPUTED_VALUE"""),"Tinto")</f>
        <v>Tinto</v>
      </c>
    </row>
    <row r="1757" spans="1:13" x14ac:dyDescent="0.25">
      <c r="A1757" s="2" t="str">
        <f ca="1">IFERROR(__xludf.DUMMYFUNCTION("""COMPUTED_VALUE"""),"87285660")</f>
        <v>87285660</v>
      </c>
      <c r="B1757" s="2"/>
      <c r="C1757" s="5">
        <f ca="1">IFERROR(__xludf.DUMMYFUNCTION("""COMPUTED_VALUE"""),46122.8584606481)</f>
        <v>46122.858460648102</v>
      </c>
      <c r="D1757" s="2">
        <f ca="1">IFERROR(__xludf.DUMMYFUNCTION("""COMPUTED_VALUE"""),127)</f>
        <v>127</v>
      </c>
      <c r="E1757" s="2">
        <f ca="1">IFERROR(__xludf.DUMMYFUNCTION("""COMPUTED_VALUE"""),31000)</f>
        <v>31000</v>
      </c>
      <c r="F1757" s="2" t="str">
        <f ca="1">IFERROR(__xludf.DUMMYFUNCTION("""COMPUTED_VALUE"""),"Criolla Mosto")</f>
        <v>Criolla Mosto</v>
      </c>
      <c r="G1757" s="2">
        <f ca="1">IFERROR(__xludf.DUMMYFUNCTION("""COMPUTED_VALUE"""),3000)</f>
        <v>3000</v>
      </c>
      <c r="H1757" s="2">
        <f ca="1">IFERROR(__xludf.DUMMYFUNCTION("""COMPUTED_VALUE"""),30000)</f>
        <v>30000</v>
      </c>
      <c r="I1757" s="2"/>
      <c r="J1757" s="2"/>
      <c r="K1757" s="2" t="str">
        <f ca="1">IFERROR(__xludf.DUMMYFUNCTION("""COMPUTED_VALUE"""),"Fermentando")</f>
        <v>Fermentando</v>
      </c>
      <c r="L1757" s="2" t="str">
        <f ca="1">IFERROR(__xludf.DUMMYFUNCTION("""COMPUTED_VALUE"""),"1")</f>
        <v>1</v>
      </c>
      <c r="M1757" s="2" t="str">
        <f ca="1">IFERROR(__xludf.DUMMYFUNCTION("""COMPUTED_VALUE"""),"Tinto")</f>
        <v>Tinto</v>
      </c>
    </row>
    <row r="1758" spans="1:13" x14ac:dyDescent="0.25">
      <c r="A1758" s="2" t="str">
        <f ca="1">IFERROR(__xludf.DUMMYFUNCTION("""COMPUTED_VALUE"""),"cff8ae6b")</f>
        <v>cff8ae6b</v>
      </c>
      <c r="B1758" s="2"/>
      <c r="C1758" s="5">
        <f ca="1">IFERROR(__xludf.DUMMYFUNCTION("""COMPUTED_VALUE"""),46122.8588194444)</f>
        <v>46122.858819444402</v>
      </c>
      <c r="D1758" s="2">
        <f ca="1">IFERROR(__xludf.DUMMYFUNCTION("""COMPUTED_VALUE"""),80)</f>
        <v>80</v>
      </c>
      <c r="E1758" s="2">
        <f ca="1">IFERROR(__xludf.DUMMYFUNCTION("""COMPUTED_VALUE"""),26100)</f>
        <v>26100</v>
      </c>
      <c r="F1758" s="2" t="str">
        <f ca="1">IFERROR(__xludf.DUMMYFUNCTION("""COMPUTED_VALUE"""),"Criolla")</f>
        <v>Criolla</v>
      </c>
      <c r="G1758" s="2">
        <f ca="1">IFERROR(__xludf.DUMMYFUNCTION("""COMPUTED_VALUE"""),0)</f>
        <v>0</v>
      </c>
      <c r="H1758" s="2">
        <f ca="1">IFERROR(__xludf.DUMMYFUNCTION("""COMPUTED_VALUE"""),9000)</f>
        <v>9000</v>
      </c>
      <c r="I1758" s="2"/>
      <c r="J1758" s="2"/>
      <c r="K1758" s="2" t="str">
        <f ca="1">IFERROR(__xludf.DUMMYFUNCTION("""COMPUTED_VALUE"""),"Fermentando")</f>
        <v>Fermentando</v>
      </c>
      <c r="L1758" s="2"/>
      <c r="M1758" s="2" t="str">
        <f ca="1">IFERROR(__xludf.DUMMYFUNCTION("""COMPUTED_VALUE"""),"Tinto")</f>
        <v>Tinto</v>
      </c>
    </row>
    <row r="1759" spans="1:13" x14ac:dyDescent="0.25">
      <c r="A1759" s="2" t="str">
        <f ca="1">IFERROR(__xludf.DUMMYFUNCTION("""COMPUTED_VALUE"""),"006dbf5a")</f>
        <v>006dbf5a</v>
      </c>
      <c r="B1759" s="2"/>
      <c r="C1759" s="5">
        <f ca="1">IFERROR(__xludf.DUMMYFUNCTION("""COMPUTED_VALUE"""),46122.859386574)</f>
        <v>46122.859386573997</v>
      </c>
      <c r="D1759" s="2">
        <f ca="1">IFERROR(__xludf.DUMMYFUNCTION("""COMPUTED_VALUE"""),80)</f>
        <v>80</v>
      </c>
      <c r="E1759" s="2">
        <f ca="1">IFERROR(__xludf.DUMMYFUNCTION("""COMPUTED_VALUE"""),26100)</f>
        <v>26100</v>
      </c>
      <c r="F1759" s="2" t="str">
        <f ca="1">IFERROR(__xludf.DUMMYFUNCTION("""COMPUTED_VALUE"""),"Criolla")</f>
        <v>Criolla</v>
      </c>
      <c r="G1759" s="2">
        <f ca="1">IFERROR(__xludf.DUMMYFUNCTION("""COMPUTED_VALUE"""),9000)</f>
        <v>9000</v>
      </c>
      <c r="H1759" s="2">
        <f ca="1">IFERROR(__xludf.DUMMYFUNCTION("""COMPUTED_VALUE"""),21000)</f>
        <v>21000</v>
      </c>
      <c r="I1759" s="2"/>
      <c r="J1759" s="2"/>
      <c r="K1759" s="2" t="str">
        <f ca="1">IFERROR(__xludf.DUMMYFUNCTION("""COMPUTED_VALUE"""),"Fermentando")</f>
        <v>Fermentando</v>
      </c>
      <c r="L1759" s="2"/>
      <c r="M1759" s="2" t="str">
        <f ca="1">IFERROR(__xludf.DUMMYFUNCTION("""COMPUTED_VALUE"""),"Tinto")</f>
        <v>Tinto</v>
      </c>
    </row>
    <row r="1760" spans="1:13" x14ac:dyDescent="0.25">
      <c r="A1760" s="2" t="str">
        <f ca="1">IFERROR(__xludf.DUMMYFUNCTION("""COMPUTED_VALUE"""),"00da080a")</f>
        <v>00da080a</v>
      </c>
      <c r="B1760" s="2"/>
      <c r="C1760" s="5">
        <f ca="1">IFERROR(__xludf.DUMMYFUNCTION("""COMPUTED_VALUE"""),46122.8597222222)</f>
        <v>46122.859722222202</v>
      </c>
      <c r="D1760" s="2">
        <f ca="1">IFERROR(__xludf.DUMMYFUNCTION("""COMPUTED_VALUE"""),87)</f>
        <v>87</v>
      </c>
      <c r="E1760" s="2">
        <f ca="1">IFERROR(__xludf.DUMMYFUNCTION("""COMPUTED_VALUE"""),93700)</f>
        <v>93700</v>
      </c>
      <c r="F1760" s="2" t="str">
        <f ca="1">IFERROR(__xludf.DUMMYFUNCTION("""COMPUTED_VALUE"""),"Bonarda c/criolla")</f>
        <v>Bonarda c/criolla</v>
      </c>
      <c r="G1760" s="2">
        <f ca="1">IFERROR(__xludf.DUMMYFUNCTION("""COMPUTED_VALUE"""),0)</f>
        <v>0</v>
      </c>
      <c r="H1760" s="2">
        <f ca="1">IFERROR(__xludf.DUMMYFUNCTION("""COMPUTED_VALUE"""),45500)</f>
        <v>45500</v>
      </c>
      <c r="I1760" s="2"/>
      <c r="J1760" s="2" t="str">
        <f ca="1">IFERROR(__xludf.DUMMYFUNCTION("""COMPUTED_VALUE"""),"6503 , 6507 , 6508 , 6510 , 6511 , 6512")</f>
        <v>6503 , 6507 , 6508 , 6510 , 6511 , 6512</v>
      </c>
      <c r="K1760" s="2" t="str">
        <f ca="1">IFERROR(__xludf.DUMMYFUNCTION("""COMPUTED_VALUE"""),"Fermentando")</f>
        <v>Fermentando</v>
      </c>
      <c r="L1760" s="2"/>
      <c r="M1760" s="2" t="str">
        <f ca="1">IFERROR(__xludf.DUMMYFUNCTION("""COMPUTED_VALUE"""),"Tinto")</f>
        <v>Tinto</v>
      </c>
    </row>
    <row r="1761" spans="1:13" x14ac:dyDescent="0.25">
      <c r="A1761" s="2" t="str">
        <f ca="1">IFERROR(__xludf.DUMMYFUNCTION("""COMPUTED_VALUE"""),"2a8ad284")</f>
        <v>2a8ad284</v>
      </c>
      <c r="B1761" s="2"/>
      <c r="C1761" s="5">
        <f ca="1">IFERROR(__xludf.DUMMYFUNCTION("""COMPUTED_VALUE"""),46122.8630555555)</f>
        <v>46122.863055555499</v>
      </c>
      <c r="D1761" s="2">
        <f ca="1">IFERROR(__xludf.DUMMYFUNCTION("""COMPUTED_VALUE"""),9)</f>
        <v>9</v>
      </c>
      <c r="E1761" s="2">
        <f ca="1">IFERROR(__xludf.DUMMYFUNCTION("""COMPUTED_VALUE"""),30000)</f>
        <v>30000</v>
      </c>
      <c r="F1761" s="2" t="str">
        <f ca="1">IFERROR(__xludf.DUMMYFUNCTION("""COMPUTED_VALUE"""),"Malbec Rect")</f>
        <v>Malbec Rect</v>
      </c>
      <c r="G1761" s="2">
        <f ca="1">IFERROR(__xludf.DUMMYFUNCTION("""COMPUTED_VALUE"""),5100)</f>
        <v>5100</v>
      </c>
      <c r="H1761" s="2">
        <f ca="1">IFERROR(__xludf.DUMMYFUNCTION("""COMPUTED_VALUE"""),0)</f>
        <v>0</v>
      </c>
      <c r="I1761" s="2"/>
      <c r="J1761" s="2"/>
      <c r="K1761" s="2" t="str">
        <f ca="1">IFERROR(__xludf.DUMMYFUNCTION("""COMPUTED_VALUE"""),"Rectificado")</f>
        <v>Rectificado</v>
      </c>
      <c r="L1761" s="2" t="str">
        <f ca="1">IFERROR(__xludf.DUMMYFUNCTION("""COMPUTED_VALUE"""),"1-")</f>
        <v>1-</v>
      </c>
      <c r="M1761" s="2" t="str">
        <f ca="1">IFERROR(__xludf.DUMMYFUNCTION("""COMPUTED_VALUE"""),"Tinto")</f>
        <v>Tinto</v>
      </c>
    </row>
    <row r="1762" spans="1:13" x14ac:dyDescent="0.25">
      <c r="A1762" s="2" t="str">
        <f ca="1">IFERROR(__xludf.DUMMYFUNCTION("""COMPUTED_VALUE"""),"52c5fd16")</f>
        <v>52c5fd16</v>
      </c>
      <c r="B1762" s="2"/>
      <c r="C1762" s="5">
        <f ca="1">IFERROR(__xludf.DUMMYFUNCTION("""COMPUTED_VALUE"""),46122.8636805555)</f>
        <v>46122.8636805555</v>
      </c>
      <c r="D1762" s="2">
        <f ca="1">IFERROR(__xludf.DUMMYFUNCTION("""COMPUTED_VALUE"""),31)</f>
        <v>31</v>
      </c>
      <c r="E1762" s="2">
        <f ca="1">IFERROR(__xludf.DUMMYFUNCTION("""COMPUTED_VALUE"""),25700)</f>
        <v>25700</v>
      </c>
      <c r="F1762" s="2" t="str">
        <f ca="1">IFERROR(__xludf.DUMMYFUNCTION("""COMPUTED_VALUE"""),"Malbec Rect")</f>
        <v>Malbec Rect</v>
      </c>
      <c r="G1762" s="2">
        <f ca="1">IFERROR(__xludf.DUMMYFUNCTION("""COMPUTED_VALUE"""),25700)</f>
        <v>25700</v>
      </c>
      <c r="H1762" s="2">
        <f ca="1">IFERROR(__xludf.DUMMYFUNCTION("""COMPUTED_VALUE"""),15700)</f>
        <v>15700</v>
      </c>
      <c r="I1762" s="2"/>
      <c r="J1762" s="2"/>
      <c r="K1762" s="2" t="str">
        <f ca="1">IFERROR(__xludf.DUMMYFUNCTION("""COMPUTED_VALUE"""),"Rectificado")</f>
        <v>Rectificado</v>
      </c>
      <c r="L1762" s="2" t="str">
        <f ca="1">IFERROR(__xludf.DUMMYFUNCTION("""COMPUTED_VALUE"""),"1-")</f>
        <v>1-</v>
      </c>
      <c r="M1762" s="2" t="str">
        <f ca="1">IFERROR(__xludf.DUMMYFUNCTION("""COMPUTED_VALUE"""),"Tinto")</f>
        <v>Tinto</v>
      </c>
    </row>
    <row r="1763" spans="1:13" x14ac:dyDescent="0.25">
      <c r="A1763" s="2" t="str">
        <f ca="1">IFERROR(__xludf.DUMMYFUNCTION("""COMPUTED_VALUE"""),"5e54c4d5")</f>
        <v>5e54c4d5</v>
      </c>
      <c r="B1763" s="2"/>
      <c r="C1763" s="5">
        <f ca="1">IFERROR(__xludf.DUMMYFUNCTION("""COMPUTED_VALUE"""),46122.8641782407)</f>
        <v>46122.864178240699</v>
      </c>
      <c r="D1763" s="2">
        <f ca="1">IFERROR(__xludf.DUMMYFUNCTION("""COMPUTED_VALUE"""),31)</f>
        <v>31</v>
      </c>
      <c r="E1763" s="2">
        <f ca="1">IFERROR(__xludf.DUMMYFUNCTION("""COMPUTED_VALUE"""),25700)</f>
        <v>25700</v>
      </c>
      <c r="F1763" s="2" t="str">
        <f ca="1">IFERROR(__xludf.DUMMYFUNCTION("""COMPUTED_VALUE"""),"Malbec Rect")</f>
        <v>Malbec Rect</v>
      </c>
      <c r="G1763" s="2">
        <f ca="1">IFERROR(__xludf.DUMMYFUNCTION("""COMPUTED_VALUE"""),15700)</f>
        <v>15700</v>
      </c>
      <c r="H1763" s="2">
        <f ca="1">IFERROR(__xludf.DUMMYFUNCTION("""COMPUTED_VALUE"""),12500)</f>
        <v>12500</v>
      </c>
      <c r="I1763" s="2"/>
      <c r="J1763" s="2"/>
      <c r="K1763" s="2" t="str">
        <f ca="1">IFERROR(__xludf.DUMMYFUNCTION("""COMPUTED_VALUE"""),"Rectificado")</f>
        <v>Rectificado</v>
      </c>
      <c r="L1763" s="2" t="str">
        <f ca="1">IFERROR(__xludf.DUMMYFUNCTION("""COMPUTED_VALUE"""),"1-")</f>
        <v>1-</v>
      </c>
      <c r="M1763" s="2" t="str">
        <f ca="1">IFERROR(__xludf.DUMMYFUNCTION("""COMPUTED_VALUE"""),"Tinto")</f>
        <v>Tinto</v>
      </c>
    </row>
    <row r="1764" spans="1:13" x14ac:dyDescent="0.25">
      <c r="A1764" s="2" t="str">
        <f ca="1">IFERROR(__xludf.DUMMYFUNCTION("""COMPUTED_VALUE"""),"5ddbc6bd")</f>
        <v>5ddbc6bd</v>
      </c>
      <c r="B1764" s="2"/>
      <c r="C1764" s="5">
        <f ca="1">IFERROR(__xludf.DUMMYFUNCTION("""COMPUTED_VALUE"""),46122.8644097222)</f>
        <v>46122.864409722199</v>
      </c>
      <c r="D1764" s="2">
        <f ca="1">IFERROR(__xludf.DUMMYFUNCTION("""COMPUTED_VALUE"""),7)</f>
        <v>7</v>
      </c>
      <c r="E1764" s="2">
        <f ca="1">IFERROR(__xludf.DUMMYFUNCTION("""COMPUTED_VALUE"""),30000)</f>
        <v>30000</v>
      </c>
      <c r="F1764" s="2" t="str">
        <f ca="1">IFERROR(__xludf.DUMMYFUNCTION("""COMPUTED_VALUE"""),"Malbec Rect")</f>
        <v>Malbec Rect</v>
      </c>
      <c r="G1764" s="2">
        <f ca="1">IFERROR(__xludf.DUMMYFUNCTION("""COMPUTED_VALUE"""),1200)</f>
        <v>1200</v>
      </c>
      <c r="H1764" s="2">
        <f ca="1">IFERROR(__xludf.DUMMYFUNCTION("""COMPUTED_VALUE"""),0)</f>
        <v>0</v>
      </c>
      <c r="I1764" s="2"/>
      <c r="J1764" s="2"/>
      <c r="K1764" s="2" t="str">
        <f ca="1">IFERROR(__xludf.DUMMYFUNCTION("""COMPUTED_VALUE"""),"Rectificado")</f>
        <v>Rectificado</v>
      </c>
      <c r="L1764" s="2" t="str">
        <f ca="1">IFERROR(__xludf.DUMMYFUNCTION("""COMPUTED_VALUE"""),"1")</f>
        <v>1</v>
      </c>
      <c r="M1764" s="2" t="str">
        <f ca="1">IFERROR(__xludf.DUMMYFUNCTION("""COMPUTED_VALUE"""),"Tinto")</f>
        <v>Tinto</v>
      </c>
    </row>
    <row r="1765" spans="1:13" x14ac:dyDescent="0.25">
      <c r="A1765" s="2" t="str">
        <f ca="1">IFERROR(__xludf.DUMMYFUNCTION("""COMPUTED_VALUE"""),"7f5d2834")</f>
        <v>7f5d2834</v>
      </c>
      <c r="B1765" s="2"/>
      <c r="C1765" s="5">
        <f ca="1">IFERROR(__xludf.DUMMYFUNCTION("""COMPUTED_VALUE"""),46122.8647222222)</f>
        <v>46122.864722222199</v>
      </c>
      <c r="D1765" s="2">
        <f ca="1">IFERROR(__xludf.DUMMYFUNCTION("""COMPUTED_VALUE"""),79)</f>
        <v>79</v>
      </c>
      <c r="E1765" s="2">
        <f ca="1">IFERROR(__xludf.DUMMYFUNCTION("""COMPUTED_VALUE"""),26000)</f>
        <v>26000</v>
      </c>
      <c r="F1765" s="2" t="str">
        <f ca="1">IFERROR(__xludf.DUMMYFUNCTION("""COMPUTED_VALUE"""),"Malbec Maq PC")</f>
        <v>Malbec Maq PC</v>
      </c>
      <c r="G1765" s="2">
        <f ca="1">IFERROR(__xludf.DUMMYFUNCTION("""COMPUTED_VALUE"""),16000)</f>
        <v>16000</v>
      </c>
      <c r="H1765" s="2">
        <f ca="1">IFERROR(__xludf.DUMMYFUNCTION("""COMPUTED_VALUE"""),12800)</f>
        <v>12800</v>
      </c>
      <c r="I1765" s="2" t="str">
        <f ca="1">IFERROR(__xludf.DUMMYFUNCTION("""COMPUTED_VALUE"""),"Falta desvinar 116 para recargar")</f>
        <v>Falta desvinar 116 para recargar</v>
      </c>
      <c r="J1765" s="2"/>
      <c r="K1765" s="2" t="str">
        <f ca="1">IFERROR(__xludf.DUMMYFUNCTION("""COMPUTED_VALUE"""),"Fermentando")</f>
        <v>Fermentando</v>
      </c>
      <c r="L1765" s="2"/>
      <c r="M1765" s="2" t="str">
        <f ca="1">IFERROR(__xludf.DUMMYFUNCTION("""COMPUTED_VALUE"""),"Tinto")</f>
        <v>Tinto</v>
      </c>
    </row>
    <row r="1766" spans="1:13" x14ac:dyDescent="0.25">
      <c r="A1766" s="2" t="str">
        <f ca="1">IFERROR(__xludf.DUMMYFUNCTION("""COMPUTED_VALUE"""),"28e5e08c")</f>
        <v>28e5e08c</v>
      </c>
      <c r="B1766" s="2"/>
      <c r="C1766" s="5">
        <f ca="1">IFERROR(__xludf.DUMMYFUNCTION("""COMPUTED_VALUE"""),46122.8650810185)</f>
        <v>46122.865081018499</v>
      </c>
      <c r="D1766" s="2">
        <f ca="1">IFERROR(__xludf.DUMMYFUNCTION("""COMPUTED_VALUE"""),10)</f>
        <v>10</v>
      </c>
      <c r="E1766" s="2">
        <f ca="1">IFERROR(__xludf.DUMMYFUNCTION("""COMPUTED_VALUE"""),21000)</f>
        <v>21000</v>
      </c>
      <c r="F1766" s="2" t="str">
        <f ca="1">IFERROR(__xludf.DUMMYFUNCTION("""COMPUTED_VALUE"""),"Cabernet Sauvignon Rect")</f>
        <v>Cabernet Sauvignon Rect</v>
      </c>
      <c r="G1766" s="2">
        <f ca="1">IFERROR(__xludf.DUMMYFUNCTION("""COMPUTED_VALUE"""),21000)</f>
        <v>21000</v>
      </c>
      <c r="H1766" s="2">
        <f ca="1">IFERROR(__xludf.DUMMYFUNCTION("""COMPUTED_VALUE"""),11000)</f>
        <v>11000</v>
      </c>
      <c r="I1766" s="2"/>
      <c r="J1766" s="2"/>
      <c r="K1766" s="2" t="str">
        <f ca="1">IFERROR(__xludf.DUMMYFUNCTION("""COMPUTED_VALUE"""),"Rectificado")</f>
        <v>Rectificado</v>
      </c>
      <c r="L1766" s="2" t="str">
        <f ca="1">IFERROR(__xludf.DUMMYFUNCTION("""COMPUTED_VALUE"""),"1")</f>
        <v>1</v>
      </c>
      <c r="M1766" s="2" t="str">
        <f ca="1">IFERROR(__xludf.DUMMYFUNCTION("""COMPUTED_VALUE"""),"Tinto")</f>
        <v>Tinto</v>
      </c>
    </row>
    <row r="1767" spans="1:13" x14ac:dyDescent="0.25">
      <c r="A1767" s="2" t="str">
        <f ca="1">IFERROR(__xludf.DUMMYFUNCTION("""COMPUTED_VALUE"""),"c73a1a4e")</f>
        <v>c73a1a4e</v>
      </c>
      <c r="B1767" s="2"/>
      <c r="C1767" s="5">
        <f ca="1">IFERROR(__xludf.DUMMYFUNCTION("""COMPUTED_VALUE"""),46122.865474537)</f>
        <v>46122.865474537</v>
      </c>
      <c r="D1767" s="2">
        <f ca="1">IFERROR(__xludf.DUMMYFUNCTION("""COMPUTED_VALUE"""),68)</f>
        <v>68</v>
      </c>
      <c r="E1767" s="2">
        <f ca="1">IFERROR(__xludf.DUMMYFUNCTION("""COMPUTED_VALUE"""),13000)</f>
        <v>13000</v>
      </c>
      <c r="F1767" s="2" t="str">
        <f ca="1">IFERROR(__xludf.DUMMYFUNCTION("""COMPUTED_VALUE"""),"Aspirant  Malbec Rect")</f>
        <v>Aspirant  Malbec Rect</v>
      </c>
      <c r="G1767" s="2">
        <f ca="1">IFERROR(__xludf.DUMMYFUNCTION("""COMPUTED_VALUE"""),13000)</f>
        <v>13000</v>
      </c>
      <c r="H1767" s="2">
        <f ca="1">IFERROR(__xludf.DUMMYFUNCTION("""COMPUTED_VALUE"""),6000)</f>
        <v>6000</v>
      </c>
      <c r="I1767" s="2"/>
      <c r="J1767" s="2"/>
      <c r="K1767" s="2" t="str">
        <f ca="1">IFERROR(__xludf.DUMMYFUNCTION("""COMPUTED_VALUE"""),"Rectificado")</f>
        <v>Rectificado</v>
      </c>
      <c r="L1767" s="2" t="str">
        <f ca="1">IFERROR(__xludf.DUMMYFUNCTION("""COMPUTED_VALUE"""),"2+")</f>
        <v>2+</v>
      </c>
      <c r="M1767" s="2" t="str">
        <f ca="1">IFERROR(__xludf.DUMMYFUNCTION("""COMPUTED_VALUE"""),"Tinto")</f>
        <v>Tinto</v>
      </c>
    </row>
    <row r="1768" spans="1:13" x14ac:dyDescent="0.25">
      <c r="A1768" s="2" t="str">
        <f ca="1">IFERROR(__xludf.DUMMYFUNCTION("""COMPUTED_VALUE"""),"6fb40aed")</f>
        <v>6fb40aed</v>
      </c>
      <c r="B1768" s="2"/>
      <c r="C1768" s="5">
        <f ca="1">IFERROR(__xludf.DUMMYFUNCTION("""COMPUTED_VALUE"""),46122.8659722222)</f>
        <v>46122.8659722222</v>
      </c>
      <c r="D1768" s="2">
        <f ca="1">IFERROR(__xludf.DUMMYFUNCTION("""COMPUTED_VALUE"""),54)</f>
        <v>54</v>
      </c>
      <c r="E1768" s="2">
        <f ca="1">IFERROR(__xludf.DUMMYFUNCTION("""COMPUTED_VALUE"""),22900)</f>
        <v>22900</v>
      </c>
      <c r="F1768" s="2" t="str">
        <f ca="1">IFERROR(__xludf.DUMMYFUNCTION("""COMPUTED_VALUE"""),"Cabernet Sauvignon Rect")</f>
        <v>Cabernet Sauvignon Rect</v>
      </c>
      <c r="G1768" s="2">
        <f ca="1">IFERROR(__xludf.DUMMYFUNCTION("""COMPUTED_VALUE"""),22900)</f>
        <v>22900</v>
      </c>
      <c r="H1768" s="2">
        <f ca="1">IFERROR(__xludf.DUMMYFUNCTION("""COMPUTED_VALUE"""),12400)</f>
        <v>12400</v>
      </c>
      <c r="I1768" s="2"/>
      <c r="J1768" s="2"/>
      <c r="K1768" s="2" t="str">
        <f ca="1">IFERROR(__xludf.DUMMYFUNCTION("""COMPUTED_VALUE"""),"Rectificado")</f>
        <v>Rectificado</v>
      </c>
      <c r="L1768" s="2" t="str">
        <f ca="1">IFERROR(__xludf.DUMMYFUNCTION("""COMPUTED_VALUE"""),"1")</f>
        <v>1</v>
      </c>
      <c r="M1768" s="2" t="str">
        <f ca="1">IFERROR(__xludf.DUMMYFUNCTION("""COMPUTED_VALUE"""),"Tinto")</f>
        <v>Tinto</v>
      </c>
    </row>
    <row r="1769" spans="1:13" x14ac:dyDescent="0.25">
      <c r="A1769" s="2" t="str">
        <f ca="1">IFERROR(__xludf.DUMMYFUNCTION("""COMPUTED_VALUE"""),"aed16735")</f>
        <v>aed16735</v>
      </c>
      <c r="B1769" s="2"/>
      <c r="C1769" s="5">
        <f ca="1">IFERROR(__xludf.DUMMYFUNCTION("""COMPUTED_VALUE"""),46122.8667824074)</f>
        <v>46122.8667824074</v>
      </c>
      <c r="D1769" s="2">
        <f ca="1">IFERROR(__xludf.DUMMYFUNCTION("""COMPUTED_VALUE"""),86)</f>
        <v>86</v>
      </c>
      <c r="E1769" s="2">
        <f ca="1">IFERROR(__xludf.DUMMYFUNCTION("""COMPUTED_VALUE"""),88000)</f>
        <v>88000</v>
      </c>
      <c r="F1769" s="2" t="str">
        <f ca="1">IFERROR(__xludf.DUMMYFUNCTION("""COMPUTED_VALUE"""),"Bonarda PC")</f>
        <v>Bonarda PC</v>
      </c>
      <c r="G1769" s="2">
        <f ca="1">IFERROR(__xludf.DUMMYFUNCTION("""COMPUTED_VALUE"""),44500)</f>
        <v>44500</v>
      </c>
      <c r="H1769" s="2">
        <f ca="1">IFERROR(__xludf.DUMMYFUNCTION("""COMPUTED_VALUE"""),49500)</f>
        <v>49500</v>
      </c>
      <c r="I1769" s="2"/>
      <c r="J1769" s="2"/>
      <c r="K1769" s="2" t="str">
        <f ca="1">IFERROR(__xludf.DUMMYFUNCTION("""COMPUTED_VALUE"""),"Fermentando")</f>
        <v>Fermentando</v>
      </c>
      <c r="L1769" s="2"/>
      <c r="M1769" s="2" t="str">
        <f ca="1">IFERROR(__xludf.DUMMYFUNCTION("""COMPUTED_VALUE"""),"Tinto")</f>
        <v>Tinto</v>
      </c>
    </row>
    <row r="1770" spans="1:13" x14ac:dyDescent="0.25">
      <c r="A1770" s="2" t="str">
        <f ca="1">IFERROR(__xludf.DUMMYFUNCTION("""COMPUTED_VALUE"""),"085d8481")</f>
        <v>085d8481</v>
      </c>
      <c r="B1770" s="2"/>
      <c r="C1770" s="5">
        <f ca="1">IFERROR(__xludf.DUMMYFUNCTION("""COMPUTED_VALUE"""),46125.7969560185)</f>
        <v>46125.796956018501</v>
      </c>
      <c r="D1770" s="2">
        <f ca="1">IFERROR(__xludf.DUMMYFUNCTION("""COMPUTED_VALUE"""),88)</f>
        <v>88</v>
      </c>
      <c r="E1770" s="2">
        <f ca="1">IFERROR(__xludf.DUMMYFUNCTION("""COMPUTED_VALUE"""),78900)</f>
        <v>78900</v>
      </c>
      <c r="F1770" s="2" t="str">
        <f ca="1">IFERROR(__xludf.DUMMYFUNCTION("""COMPUTED_VALUE"""),"Bonarda PC")</f>
        <v>Bonarda PC</v>
      </c>
      <c r="G1770" s="2">
        <f ca="1">IFERROR(__xludf.DUMMYFUNCTION("""COMPUTED_VALUE"""),48300)</f>
        <v>48300</v>
      </c>
      <c r="H1770" s="2">
        <f ca="1">IFERROR(__xludf.DUMMYFUNCTION("""COMPUTED_VALUE"""),58300)</f>
        <v>58300</v>
      </c>
      <c r="I1770" s="2"/>
      <c r="J1770" s="2"/>
      <c r="K1770" s="2" t="str">
        <f ca="1">IFERROR(__xludf.DUMMYFUNCTION("""COMPUTED_VALUE"""),"Fermentando")</f>
        <v>Fermentando</v>
      </c>
      <c r="L1770" s="2" t="str">
        <f ca="1">IFERROR(__xludf.DUMMYFUNCTION("""COMPUTED_VALUE"""),"1+")</f>
        <v>1+</v>
      </c>
      <c r="M1770" s="2" t="str">
        <f ca="1">IFERROR(__xludf.DUMMYFUNCTION("""COMPUTED_VALUE"""),"Tinto")</f>
        <v>Tinto</v>
      </c>
    </row>
    <row r="1771" spans="1:13" x14ac:dyDescent="0.25">
      <c r="A1771" s="2" t="str">
        <f ca="1">IFERROR(__xludf.DUMMYFUNCTION("""COMPUTED_VALUE"""),"92cb02dd")</f>
        <v>92cb02dd</v>
      </c>
      <c r="B1771" s="2"/>
      <c r="C1771" s="5">
        <f ca="1">IFERROR(__xludf.DUMMYFUNCTION("""COMPUTED_VALUE"""),46125.7976851851)</f>
        <v>46125.797685185098</v>
      </c>
      <c r="D1771" s="2">
        <f ca="1">IFERROR(__xludf.DUMMYFUNCTION("""COMPUTED_VALUE"""),83)</f>
        <v>83</v>
      </c>
      <c r="E1771" s="2">
        <f ca="1">IFERROR(__xludf.DUMMYFUNCTION("""COMPUTED_VALUE"""),81500)</f>
        <v>81500</v>
      </c>
      <c r="F1771" s="2" t="str">
        <f ca="1">IFERROR(__xludf.DUMMYFUNCTION("""COMPUTED_VALUE"""),"Bonarda PC")</f>
        <v>Bonarda PC</v>
      </c>
      <c r="G1771" s="2">
        <f ca="1">IFERROR(__xludf.DUMMYFUNCTION("""COMPUTED_VALUE"""),53000)</f>
        <v>53000</v>
      </c>
      <c r="H1771" s="2">
        <f ca="1">IFERROR(__xludf.DUMMYFUNCTION("""COMPUTED_VALUE"""),63000)</f>
        <v>63000</v>
      </c>
      <c r="I1771" s="2"/>
      <c r="J1771" s="2"/>
      <c r="K1771" s="2" t="str">
        <f ca="1">IFERROR(__xludf.DUMMYFUNCTION("""COMPUTED_VALUE"""),"Fermentando")</f>
        <v>Fermentando</v>
      </c>
      <c r="L1771" s="2"/>
      <c r="M1771" s="2" t="str">
        <f ca="1">IFERROR(__xludf.DUMMYFUNCTION("""COMPUTED_VALUE"""),"Tinto")</f>
        <v>Tinto</v>
      </c>
    </row>
    <row r="1772" spans="1:13" x14ac:dyDescent="0.25">
      <c r="A1772" s="2" t="str">
        <f ca="1">IFERROR(__xludf.DUMMYFUNCTION("""COMPUTED_VALUE"""),"e4485081")</f>
        <v>e4485081</v>
      </c>
      <c r="B1772" s="2"/>
      <c r="C1772" s="5">
        <f ca="1">IFERROR(__xludf.DUMMYFUNCTION("""COMPUTED_VALUE"""),46125.7995949074)</f>
        <v>46125.799594907403</v>
      </c>
      <c r="D1772" s="2">
        <f ca="1">IFERROR(__xludf.DUMMYFUNCTION("""COMPUTED_VALUE"""),24)</f>
        <v>24</v>
      </c>
      <c r="E1772" s="2">
        <f ca="1">IFERROR(__xludf.DUMMYFUNCTION("""COMPUTED_VALUE"""),186600)</f>
        <v>186600</v>
      </c>
      <c r="F1772" s="2" t="str">
        <f ca="1">IFERROR(__xludf.DUMMYFUNCTION("""COMPUTED_VALUE"""),"Malbec pc")</f>
        <v>Malbec pc</v>
      </c>
      <c r="G1772" s="2">
        <f ca="1">IFERROR(__xludf.DUMMYFUNCTION("""COMPUTED_VALUE"""),111600)</f>
        <v>111600</v>
      </c>
      <c r="H1772" s="2">
        <f ca="1">IFERROR(__xludf.DUMMYFUNCTION("""COMPUTED_VALUE"""),131600)</f>
        <v>131600</v>
      </c>
      <c r="I1772" s="2"/>
      <c r="J1772" s="2"/>
      <c r="K1772" s="2" t="str">
        <f ca="1">IFERROR(__xludf.DUMMYFUNCTION("""COMPUTED_VALUE"""),"Descubada")</f>
        <v>Descubada</v>
      </c>
      <c r="L1772" s="2" t="str">
        <f ca="1">IFERROR(__xludf.DUMMYFUNCTION("""COMPUTED_VALUE"""),"1")</f>
        <v>1</v>
      </c>
      <c r="M1772" s="2" t="str">
        <f ca="1">IFERROR(__xludf.DUMMYFUNCTION("""COMPUTED_VALUE"""),"Tinto")</f>
        <v>Tinto</v>
      </c>
    </row>
    <row r="1773" spans="1:13" x14ac:dyDescent="0.25">
      <c r="A1773" s="2" t="str">
        <f ca="1">IFERROR(__xludf.DUMMYFUNCTION("""COMPUTED_VALUE"""),"4c079f49")</f>
        <v>4c079f49</v>
      </c>
      <c r="B1773" s="2"/>
      <c r="C1773" s="5">
        <f ca="1">IFERROR(__xludf.DUMMYFUNCTION("""COMPUTED_VALUE"""),46125.8008333333)</f>
        <v>46125.800833333298</v>
      </c>
      <c r="D1773" s="2">
        <f ca="1">IFERROR(__xludf.DUMMYFUNCTION("""COMPUTED_VALUE"""),24)</f>
        <v>24</v>
      </c>
      <c r="E1773" s="2">
        <f ca="1">IFERROR(__xludf.DUMMYFUNCTION("""COMPUTED_VALUE"""),186600)</f>
        <v>186600</v>
      </c>
      <c r="F1773" s="2" t="str">
        <f ca="1">IFERROR(__xludf.DUMMYFUNCTION("""COMPUTED_VALUE"""),"Malbec pc")</f>
        <v>Malbec pc</v>
      </c>
      <c r="G1773" s="2">
        <f ca="1">IFERROR(__xludf.DUMMYFUNCTION("""COMPUTED_VALUE"""),131600)</f>
        <v>131600</v>
      </c>
      <c r="H1773" s="2">
        <f ca="1">IFERROR(__xludf.DUMMYFUNCTION("""COMPUTED_VALUE"""),171600)</f>
        <v>171600</v>
      </c>
      <c r="I1773" s="2"/>
      <c r="J1773" s="2"/>
      <c r="K1773" s="2" t="str">
        <f ca="1">IFERROR(__xludf.DUMMYFUNCTION("""COMPUTED_VALUE"""),"Descubada")</f>
        <v>Descubada</v>
      </c>
      <c r="L1773" s="2" t="str">
        <f ca="1">IFERROR(__xludf.DUMMYFUNCTION("""COMPUTED_VALUE"""),"1+")</f>
        <v>1+</v>
      </c>
      <c r="M1773" s="2" t="str">
        <f ca="1">IFERROR(__xludf.DUMMYFUNCTION("""COMPUTED_VALUE"""),"Tinto")</f>
        <v>Tinto</v>
      </c>
    </row>
    <row r="1774" spans="1:13" x14ac:dyDescent="0.25">
      <c r="A1774" s="2" t="str">
        <f ca="1">IFERROR(__xludf.DUMMYFUNCTION("""COMPUTED_VALUE"""),"b264a03d")</f>
        <v>b264a03d</v>
      </c>
      <c r="B1774" s="2"/>
      <c r="C1774" s="5">
        <f ca="1">IFERROR(__xludf.DUMMYFUNCTION("""COMPUTED_VALUE"""),46122.8653472222)</f>
        <v>46122.865347222199</v>
      </c>
      <c r="D1774" s="2">
        <f ca="1">IFERROR(__xludf.DUMMYFUNCTION("""COMPUTED_VALUE"""),9)</f>
        <v>9</v>
      </c>
      <c r="E1774" s="2">
        <f ca="1">IFERROR(__xludf.DUMMYFUNCTION("""COMPUTED_VALUE"""),30000)</f>
        <v>30000</v>
      </c>
      <c r="F1774" s="2" t="str">
        <f ca="1">IFERROR(__xludf.DUMMYFUNCTION("""COMPUTED_VALUE"""),"Criolla")</f>
        <v>Criolla</v>
      </c>
      <c r="G1774" s="2"/>
      <c r="H1774" s="2">
        <f ca="1">IFERROR(__xludf.DUMMYFUNCTION("""COMPUTED_VALUE"""),39500)</f>
        <v>39500</v>
      </c>
      <c r="I1774" s="2"/>
      <c r="J1774" s="2" t="str">
        <f ca="1">IFERROR(__xludf.DUMMYFUNCTION("""COMPUTED_VALUE"""),"6505 , 6504 , 6502 , 6509 , 6506")</f>
        <v>6505 , 6504 , 6502 , 6509 , 6506</v>
      </c>
      <c r="K1774" s="2" t="str">
        <f ca="1">IFERROR(__xludf.DUMMYFUNCTION("""COMPUTED_VALUE"""),"Mosto")</f>
        <v>Mosto</v>
      </c>
      <c r="L1774" s="2"/>
      <c r="M1774" s="2" t="str">
        <f ca="1">IFERROR(__xludf.DUMMYFUNCTION("""COMPUTED_VALUE"""),"Tinto")</f>
        <v>Tinto</v>
      </c>
    </row>
    <row r="1775" spans="1:13" x14ac:dyDescent="0.25">
      <c r="A1775" s="2" t="str">
        <f ca="1">IFERROR(__xludf.DUMMYFUNCTION("""COMPUTED_VALUE"""),"a816c3ff")</f>
        <v>a816c3ff</v>
      </c>
      <c r="B1775" s="2"/>
      <c r="C1775" s="5">
        <f ca="1">IFERROR(__xludf.DUMMYFUNCTION("""COMPUTED_VALUE"""),46125.8674768518)</f>
        <v>46125.867476851803</v>
      </c>
      <c r="D1775" s="2">
        <f ca="1">IFERROR(__xludf.DUMMYFUNCTION("""COMPUTED_VALUE"""),80)</f>
        <v>80</v>
      </c>
      <c r="E1775" s="2">
        <f ca="1">IFERROR(__xludf.DUMMYFUNCTION("""COMPUTED_VALUE"""),26100)</f>
        <v>26100</v>
      </c>
      <c r="F1775" s="2" t="str">
        <f ca="1">IFERROR(__xludf.DUMMYFUNCTION("""COMPUTED_VALUE"""),"Criolla")</f>
        <v>Criolla</v>
      </c>
      <c r="G1775" s="2">
        <f ca="1">IFERROR(__xludf.DUMMYFUNCTION("""COMPUTED_VALUE"""),21000)</f>
        <v>21000</v>
      </c>
      <c r="H1775" s="2">
        <f ca="1">IFERROR(__xludf.DUMMYFUNCTION("""COMPUTED_VALUE"""),24000)</f>
        <v>24000</v>
      </c>
      <c r="I1775" s="2"/>
      <c r="J1775" s="2"/>
      <c r="K1775" s="2" t="str">
        <f ca="1">IFERROR(__xludf.DUMMYFUNCTION("""COMPUTED_VALUE"""),"Fermentando")</f>
        <v>Fermentando</v>
      </c>
      <c r="L1775" s="2" t="str">
        <f ca="1">IFERROR(__xludf.DUMMYFUNCTION("""COMPUTED_VALUE"""),"1-")</f>
        <v>1-</v>
      </c>
      <c r="M1775" s="2" t="str">
        <f ca="1">IFERROR(__xludf.DUMMYFUNCTION("""COMPUTED_VALUE"""),"Tinto")</f>
        <v>Tinto</v>
      </c>
    </row>
    <row r="1776" spans="1:13" x14ac:dyDescent="0.25">
      <c r="A1776" s="2" t="str">
        <f ca="1">IFERROR(__xludf.DUMMYFUNCTION("""COMPUTED_VALUE"""),"71ea6a8a")</f>
        <v>71ea6a8a</v>
      </c>
      <c r="B1776" s="2"/>
      <c r="C1776" s="5">
        <f ca="1">IFERROR(__xludf.DUMMYFUNCTION("""COMPUTED_VALUE"""),46125.8680555555)</f>
        <v>46125.868055555497</v>
      </c>
      <c r="D1776" s="2">
        <f ca="1">IFERROR(__xludf.DUMMYFUNCTION("""COMPUTED_VALUE"""),14)</f>
        <v>14</v>
      </c>
      <c r="E1776" s="2">
        <f ca="1">IFERROR(__xludf.DUMMYFUNCTION("""COMPUTED_VALUE"""),37000)</f>
        <v>37000</v>
      </c>
      <c r="F1776" s="2" t="str">
        <f ca="1">IFERROR(__xludf.DUMMYFUNCTION("""COMPUTED_VALUE"""),"Criolla con Claro filtro")</f>
        <v>Criolla con Claro filtro</v>
      </c>
      <c r="G1776" s="2">
        <f ca="1">IFERROR(__xludf.DUMMYFUNCTION("""COMPUTED_VALUE"""),0)</f>
        <v>0</v>
      </c>
      <c r="H1776" s="2">
        <f ca="1">IFERROR(__xludf.DUMMYFUNCTION("""COMPUTED_VALUE"""),19000)</f>
        <v>19000</v>
      </c>
      <c r="I1776" s="2"/>
      <c r="J1776" s="2"/>
      <c r="K1776" s="2" t="str">
        <f ca="1">IFERROR(__xludf.DUMMYFUNCTION("""COMPUTED_VALUE"""),"Fermentando")</f>
        <v>Fermentando</v>
      </c>
      <c r="L1776" s="2"/>
      <c r="M1776" s="2" t="str">
        <f ca="1">IFERROR(__xludf.DUMMYFUNCTION("""COMPUTED_VALUE"""),"Tinto")</f>
        <v>Tinto</v>
      </c>
    </row>
    <row r="1777" spans="1:13" x14ac:dyDescent="0.25">
      <c r="A1777" s="2" t="str">
        <f ca="1">IFERROR(__xludf.DUMMYFUNCTION("""COMPUTED_VALUE"""),"688b1ee4")</f>
        <v>688b1ee4</v>
      </c>
      <c r="B1777" s="2"/>
      <c r="C1777" s="5">
        <f ca="1">IFERROR(__xludf.DUMMYFUNCTION("""COMPUTED_VALUE"""),46125.8695138888)</f>
        <v>46125.8695138888</v>
      </c>
      <c r="D1777" s="2">
        <f ca="1">IFERROR(__xludf.DUMMYFUNCTION("""COMPUTED_VALUE"""),14)</f>
        <v>14</v>
      </c>
      <c r="E1777" s="2">
        <f ca="1">IFERROR(__xludf.DUMMYFUNCTION("""COMPUTED_VALUE"""),37000)</f>
        <v>37000</v>
      </c>
      <c r="F1777" s="2" t="str">
        <f ca="1">IFERROR(__xludf.DUMMYFUNCTION("""COMPUTED_VALUE"""),"Criolla")</f>
        <v>Criolla</v>
      </c>
      <c r="G1777" s="2">
        <f ca="1">IFERROR(__xludf.DUMMYFUNCTION("""COMPUTED_VALUE"""),19000)</f>
        <v>19000</v>
      </c>
      <c r="H1777" s="2">
        <f ca="1">IFERROR(__xludf.DUMMYFUNCTION("""COMPUTED_VALUE"""),0)</f>
        <v>0</v>
      </c>
      <c r="I1777" s="2"/>
      <c r="J1777" s="2"/>
      <c r="K1777" s="2" t="str">
        <f ca="1">IFERROR(__xludf.DUMMYFUNCTION("""COMPUTED_VALUE"""),"Fermentando")</f>
        <v>Fermentando</v>
      </c>
      <c r="L1777" s="2"/>
      <c r="M1777" s="2" t="str">
        <f ca="1">IFERROR(__xludf.DUMMYFUNCTION("""COMPUTED_VALUE"""),"Tinto")</f>
        <v>Tinto</v>
      </c>
    </row>
    <row r="1778" spans="1:13" x14ac:dyDescent="0.25">
      <c r="A1778" s="2" t="str">
        <f ca="1">IFERROR(__xludf.DUMMYFUNCTION("""COMPUTED_VALUE"""),"69434c5a")</f>
        <v>69434c5a</v>
      </c>
      <c r="B1778" s="2"/>
      <c r="C1778" s="5">
        <f ca="1">IFERROR(__xludf.DUMMYFUNCTION("""COMPUTED_VALUE"""),46126.0077430555)</f>
        <v>46126.007743055503</v>
      </c>
      <c r="D1778" s="2">
        <f ca="1">IFERROR(__xludf.DUMMYFUNCTION("""COMPUTED_VALUE"""),31)</f>
        <v>31</v>
      </c>
      <c r="E1778" s="2">
        <f ca="1">IFERROR(__xludf.DUMMYFUNCTION("""COMPUTED_VALUE"""),25700)</f>
        <v>25700</v>
      </c>
      <c r="F1778" s="2" t="str">
        <f ca="1">IFERROR(__xludf.DUMMYFUNCTION("""COMPUTED_VALUE"""),"Malbec Rect")</f>
        <v>Malbec Rect</v>
      </c>
      <c r="G1778" s="2">
        <f ca="1">IFERROR(__xludf.DUMMYFUNCTION("""COMPUTED_VALUE"""),12500)</f>
        <v>12500</v>
      </c>
      <c r="H1778" s="2">
        <f ca="1">IFERROR(__xludf.DUMMYFUNCTION("""COMPUTED_VALUE"""),6000)</f>
        <v>6000</v>
      </c>
      <c r="I1778" s="2"/>
      <c r="J1778" s="2"/>
      <c r="K1778" s="2" t="str">
        <f ca="1">IFERROR(__xludf.DUMMYFUNCTION("""COMPUTED_VALUE"""),"Rectificado")</f>
        <v>Rectificado</v>
      </c>
      <c r="L1778" s="2" t="str">
        <f ca="1">IFERROR(__xludf.DUMMYFUNCTION("""COMPUTED_VALUE"""),"1-")</f>
        <v>1-</v>
      </c>
      <c r="M1778" s="2" t="str">
        <f ca="1">IFERROR(__xludf.DUMMYFUNCTION("""COMPUTED_VALUE"""),"Tinto")</f>
        <v>Tinto</v>
      </c>
    </row>
    <row r="1779" spans="1:13" x14ac:dyDescent="0.25">
      <c r="A1779" s="2" t="str">
        <f ca="1">IFERROR(__xludf.DUMMYFUNCTION("""COMPUTED_VALUE"""),"35db27f7")</f>
        <v>35db27f7</v>
      </c>
      <c r="B1779" s="2"/>
      <c r="C1779" s="5">
        <f ca="1">IFERROR(__xludf.DUMMYFUNCTION("""COMPUTED_VALUE"""),46126.0079513888)</f>
        <v>46126.007951388798</v>
      </c>
      <c r="D1779" s="2">
        <f ca="1">IFERROR(__xludf.DUMMYFUNCTION("""COMPUTED_VALUE"""),31)</f>
        <v>31</v>
      </c>
      <c r="E1779" s="2">
        <f ca="1">IFERROR(__xludf.DUMMYFUNCTION("""COMPUTED_VALUE"""),25700)</f>
        <v>25700</v>
      </c>
      <c r="F1779" s="2" t="str">
        <f ca="1">IFERROR(__xludf.DUMMYFUNCTION("""COMPUTED_VALUE"""),"Malbec Rect")</f>
        <v>Malbec Rect</v>
      </c>
      <c r="G1779" s="2">
        <f ca="1">IFERROR(__xludf.DUMMYFUNCTION("""COMPUTED_VALUE"""),6000)</f>
        <v>6000</v>
      </c>
      <c r="H1779" s="2">
        <f ca="1">IFERROR(__xludf.DUMMYFUNCTION("""COMPUTED_VALUE"""),0)</f>
        <v>0</v>
      </c>
      <c r="I1779" s="2"/>
      <c r="J1779" s="2"/>
      <c r="K1779" s="2" t="str">
        <f ca="1">IFERROR(__xludf.DUMMYFUNCTION("""COMPUTED_VALUE"""),"Rectificado")</f>
        <v>Rectificado</v>
      </c>
      <c r="L1779" s="2" t="str">
        <f ca="1">IFERROR(__xludf.DUMMYFUNCTION("""COMPUTED_VALUE"""),"1-")</f>
        <v>1-</v>
      </c>
      <c r="M1779" s="2" t="str">
        <f ca="1">IFERROR(__xludf.DUMMYFUNCTION("""COMPUTED_VALUE"""),"Tinto")</f>
        <v>Tinto</v>
      </c>
    </row>
    <row r="1780" spans="1:13" x14ac:dyDescent="0.25">
      <c r="A1780" s="2" t="str">
        <f ca="1">IFERROR(__xludf.DUMMYFUNCTION("""COMPUTED_VALUE"""),"fed1f4a1")</f>
        <v>fed1f4a1</v>
      </c>
      <c r="B1780" s="2"/>
      <c r="C1780" s="5">
        <f ca="1">IFERROR(__xludf.DUMMYFUNCTION("""COMPUTED_VALUE"""),46126.0093402777)</f>
        <v>46126.009340277698</v>
      </c>
      <c r="D1780" s="2">
        <f ca="1">IFERROR(__xludf.DUMMYFUNCTION("""COMPUTED_VALUE"""),31)</f>
        <v>31</v>
      </c>
      <c r="E1780" s="2">
        <f ca="1">IFERROR(__xludf.DUMMYFUNCTION("""COMPUTED_VALUE"""),25700)</f>
        <v>25700</v>
      </c>
      <c r="F1780" s="2" t="str">
        <f ca="1">IFERROR(__xludf.DUMMYFUNCTION("""COMPUTED_VALUE"""),"Torrontes")</f>
        <v>Torrontes</v>
      </c>
      <c r="G1780" s="2">
        <f ca="1">IFERROR(__xludf.DUMMYFUNCTION("""COMPUTED_VALUE"""),0)</f>
        <v>0</v>
      </c>
      <c r="H1780" s="2">
        <f ca="1">IFERROR(__xludf.DUMMYFUNCTION("""COMPUTED_VALUE"""),25000)</f>
        <v>25000</v>
      </c>
      <c r="I1780" s="2"/>
      <c r="J1780" s="2"/>
      <c r="K1780" s="2" t="str">
        <f ca="1">IFERROR(__xludf.DUMMYFUNCTION("""COMPUTED_VALUE"""),"Descubada")</f>
        <v>Descubada</v>
      </c>
      <c r="L1780" s="2" t="str">
        <f ca="1">IFERROR(__xludf.DUMMYFUNCTION("""COMPUTED_VALUE"""),"1")</f>
        <v>1</v>
      </c>
      <c r="M1780" s="2" t="str">
        <f ca="1">IFERROR(__xludf.DUMMYFUNCTION("""COMPUTED_VALUE"""),"Blanco")</f>
        <v>Blanco</v>
      </c>
    </row>
    <row r="1781" spans="1:13" x14ac:dyDescent="0.25">
      <c r="A1781" s="2" t="str">
        <f ca="1">IFERROR(__xludf.DUMMYFUNCTION("""COMPUTED_VALUE"""),"bb84046b")</f>
        <v>bb84046b</v>
      </c>
      <c r="B1781" s="2"/>
      <c r="C1781" s="5">
        <f ca="1">IFERROR(__xludf.DUMMYFUNCTION("""COMPUTED_VALUE"""),46126.5364583333)</f>
        <v>46126.536458333299</v>
      </c>
      <c r="D1781" s="2">
        <f ca="1">IFERROR(__xludf.DUMMYFUNCTION("""COMPUTED_VALUE"""),68)</f>
        <v>68</v>
      </c>
      <c r="E1781" s="2">
        <f ca="1">IFERROR(__xludf.DUMMYFUNCTION("""COMPUTED_VALUE"""),13000)</f>
        <v>13000</v>
      </c>
      <c r="F1781" s="2" t="str">
        <f ca="1">IFERROR(__xludf.DUMMYFUNCTION("""COMPUTED_VALUE"""),"Aspirant  Malbec Rect")</f>
        <v>Aspirant  Malbec Rect</v>
      </c>
      <c r="G1781" s="2">
        <f ca="1">IFERROR(__xludf.DUMMYFUNCTION("""COMPUTED_VALUE"""),6000)</f>
        <v>6000</v>
      </c>
      <c r="H1781" s="2">
        <f ca="1">IFERROR(__xludf.DUMMYFUNCTION("""COMPUTED_VALUE"""),0)</f>
        <v>0</v>
      </c>
      <c r="I1781" s="2"/>
      <c r="J1781" s="2"/>
      <c r="K1781" s="2" t="str">
        <f ca="1">IFERROR(__xludf.DUMMYFUNCTION("""COMPUTED_VALUE"""),"Rectificado")</f>
        <v>Rectificado</v>
      </c>
      <c r="L1781" s="2" t="str">
        <f ca="1">IFERROR(__xludf.DUMMYFUNCTION("""COMPUTED_VALUE"""),"2+")</f>
        <v>2+</v>
      </c>
      <c r="M1781" s="2" t="str">
        <f ca="1">IFERROR(__xludf.DUMMYFUNCTION("""COMPUTED_VALUE"""),"Tinto")</f>
        <v>Tinto</v>
      </c>
    </row>
    <row r="1782" spans="1:13" x14ac:dyDescent="0.25">
      <c r="A1782" s="2" t="str">
        <f ca="1">IFERROR(__xludf.DUMMYFUNCTION("""COMPUTED_VALUE"""),"d9b8f530")</f>
        <v>d9b8f530</v>
      </c>
      <c r="B1782" s="2"/>
      <c r="C1782" s="5">
        <f ca="1">IFERROR(__xludf.DUMMYFUNCTION("""COMPUTED_VALUE"""),46126.7869560185)</f>
        <v>46126.786956018499</v>
      </c>
      <c r="D1782" s="2">
        <f ca="1">IFERROR(__xludf.DUMMYFUNCTION("""COMPUTED_VALUE"""),500)</f>
        <v>500</v>
      </c>
      <c r="E1782" s="2">
        <f ca="1">IFERROR(__xludf.DUMMYFUNCTION("""COMPUTED_VALUE"""),200000)</f>
        <v>200000</v>
      </c>
      <c r="F1782" s="2" t="str">
        <f ca="1">IFERROR(__xludf.DUMMYFUNCTION("""COMPUTED_VALUE"""),"AJUSTE COSECHA 2026")</f>
        <v>AJUSTE COSECHA 2026</v>
      </c>
      <c r="G1782" s="2">
        <f ca="1">IFERROR(__xludf.DUMMYFUNCTION("""COMPUTED_VALUE"""),80600)</f>
        <v>80600</v>
      </c>
      <c r="H1782" s="2">
        <f ca="1">IFERROR(__xludf.DUMMYFUNCTION("""COMPUTED_VALUE"""),70100)</f>
        <v>70100</v>
      </c>
      <c r="I1782" s="2"/>
      <c r="J1782" s="2"/>
      <c r="K1782" s="2" t="str">
        <f ca="1">IFERROR(__xludf.DUMMYFUNCTION("""COMPUTED_VALUE"""),"Fermentando")</f>
        <v>Fermentando</v>
      </c>
      <c r="L1782" s="2" t="str">
        <f ca="1">IFERROR(__xludf.DUMMYFUNCTION("""COMPUTED_VALUE"""),"1")</f>
        <v>1</v>
      </c>
      <c r="M1782" s="2" t="str">
        <f ca="1">IFERROR(__xludf.DUMMYFUNCTION("""COMPUTED_VALUE"""),"Blanco")</f>
        <v>Blanco</v>
      </c>
    </row>
    <row r="1783" spans="1:13" x14ac:dyDescent="0.25">
      <c r="A1783" s="2" t="str">
        <f ca="1">IFERROR(__xludf.DUMMYFUNCTION("""COMPUTED_VALUE"""),"d774ca96")</f>
        <v>d774ca96</v>
      </c>
      <c r="B1783" s="2"/>
      <c r="C1783" s="5">
        <f ca="1">IFERROR(__xludf.DUMMYFUNCTION("""COMPUTED_VALUE"""),46126.7874189814)</f>
        <v>46126.787418981403</v>
      </c>
      <c r="D1783" s="2">
        <f ca="1">IFERROR(__xludf.DUMMYFUNCTION("""COMPUTED_VALUE"""),500)</f>
        <v>500</v>
      </c>
      <c r="E1783" s="2">
        <f ca="1">IFERROR(__xludf.DUMMYFUNCTION("""COMPUTED_VALUE"""),200000)</f>
        <v>200000</v>
      </c>
      <c r="F1783" s="2" t="str">
        <f ca="1">IFERROR(__xludf.DUMMYFUNCTION("""COMPUTED_VALUE"""),"AJUSTE COSECHA 2026")</f>
        <v>AJUSTE COSECHA 2026</v>
      </c>
      <c r="G1783" s="2">
        <f ca="1">IFERROR(__xludf.DUMMYFUNCTION("""COMPUTED_VALUE"""),70100)</f>
        <v>70100</v>
      </c>
      <c r="H1783" s="2">
        <f ca="1">IFERROR(__xludf.DUMMYFUNCTION("""COMPUTED_VALUE"""),57100)</f>
        <v>57100</v>
      </c>
      <c r="I1783" s="2"/>
      <c r="J1783" s="2"/>
      <c r="K1783" s="2" t="str">
        <f ca="1">IFERROR(__xludf.DUMMYFUNCTION("""COMPUTED_VALUE"""),"Fermentando")</f>
        <v>Fermentando</v>
      </c>
      <c r="L1783" s="2" t="str">
        <f ca="1">IFERROR(__xludf.DUMMYFUNCTION("""COMPUTED_VALUE"""),"1")</f>
        <v>1</v>
      </c>
      <c r="M1783" s="2" t="str">
        <f ca="1">IFERROR(__xludf.DUMMYFUNCTION("""COMPUTED_VALUE"""),"Blanco")</f>
        <v>Blanco</v>
      </c>
    </row>
    <row r="1784" spans="1:13" x14ac:dyDescent="0.25">
      <c r="A1784" s="2" t="str">
        <f ca="1">IFERROR(__xludf.DUMMYFUNCTION("""COMPUTED_VALUE"""),"32422fdf")</f>
        <v>32422fdf</v>
      </c>
      <c r="B1784" s="2"/>
      <c r="C1784" s="5">
        <f ca="1">IFERROR(__xludf.DUMMYFUNCTION("""COMPUTED_VALUE"""),46126.812662037)</f>
        <v>46126.812662037002</v>
      </c>
      <c r="D1784" s="2">
        <f ca="1">IFERROR(__xludf.DUMMYFUNCTION("""COMPUTED_VALUE"""),9)</f>
        <v>9</v>
      </c>
      <c r="E1784" s="2">
        <f ca="1">IFERROR(__xludf.DUMMYFUNCTION("""COMPUTED_VALUE"""),30000)</f>
        <v>30000</v>
      </c>
      <c r="F1784" s="2" t="str">
        <f ca="1">IFERROR(__xludf.DUMMYFUNCTION("""COMPUTED_VALUE"""),"Criolla")</f>
        <v>Criolla</v>
      </c>
      <c r="G1784" s="2">
        <f ca="1">IFERROR(__xludf.DUMMYFUNCTION("""COMPUTED_VALUE"""),17500)</f>
        <v>17500</v>
      </c>
      <c r="H1784" s="2">
        <f ca="1">IFERROR(__xludf.DUMMYFUNCTION("""COMPUTED_VALUE"""),12500)</f>
        <v>12500</v>
      </c>
      <c r="I1784" s="2"/>
      <c r="J1784" s="2"/>
      <c r="K1784" s="2" t="str">
        <f ca="1">IFERROR(__xludf.DUMMYFUNCTION("""COMPUTED_VALUE"""),"Fermentando")</f>
        <v>Fermentando</v>
      </c>
      <c r="L1784" s="2"/>
      <c r="M1784" s="2" t="str">
        <f ca="1">IFERROR(__xludf.DUMMYFUNCTION("""COMPUTED_VALUE"""),"Tinto")</f>
        <v>Tinto</v>
      </c>
    </row>
    <row r="1785" spans="1:13" x14ac:dyDescent="0.25">
      <c r="A1785" s="2" t="str">
        <f ca="1">IFERROR(__xludf.DUMMYFUNCTION("""COMPUTED_VALUE"""),"989bf939")</f>
        <v>989bf939</v>
      </c>
      <c r="B1785" s="2"/>
      <c r="C1785" s="5">
        <f ca="1">IFERROR(__xludf.DUMMYFUNCTION("""COMPUTED_VALUE"""),46126.8215972222)</f>
        <v>46126.821597222202</v>
      </c>
      <c r="D1785" s="2">
        <f ca="1">IFERROR(__xludf.DUMMYFUNCTION("""COMPUTED_VALUE"""),77)</f>
        <v>77</v>
      </c>
      <c r="E1785" s="2">
        <f ca="1">IFERROR(__xludf.DUMMYFUNCTION("""COMPUTED_VALUE"""),26000)</f>
        <v>26000</v>
      </c>
      <c r="F1785" s="2" t="str">
        <f ca="1">IFERROR(__xludf.DUMMYFUNCTION("""COMPUTED_VALUE"""),"Criolla")</f>
        <v>Criolla</v>
      </c>
      <c r="G1785" s="2">
        <f ca="1">IFERROR(__xludf.DUMMYFUNCTION("""COMPUTED_VALUE"""),0)</f>
        <v>0</v>
      </c>
      <c r="H1785" s="2">
        <f ca="1">IFERROR(__xludf.DUMMYFUNCTION("""COMPUTED_VALUE"""),12500)</f>
        <v>12500</v>
      </c>
      <c r="I1785" s="2"/>
      <c r="J1785" s="2"/>
      <c r="K1785" s="2" t="str">
        <f ca="1">IFERROR(__xludf.DUMMYFUNCTION("""COMPUTED_VALUE"""),"Fermentando")</f>
        <v>Fermentando</v>
      </c>
      <c r="L1785" s="2" t="str">
        <f ca="1">IFERROR(__xludf.DUMMYFUNCTION("""COMPUTED_VALUE"""),"1-")</f>
        <v>1-</v>
      </c>
      <c r="M1785" s="2" t="str">
        <f ca="1">IFERROR(__xludf.DUMMYFUNCTION("""COMPUTED_VALUE"""),"Tinto")</f>
        <v>Tinto</v>
      </c>
    </row>
    <row r="1786" spans="1:13" x14ac:dyDescent="0.25">
      <c r="A1786" s="2" t="str">
        <f ca="1">IFERROR(__xludf.DUMMYFUNCTION("""COMPUTED_VALUE"""),"4346a623")</f>
        <v>4346a623</v>
      </c>
      <c r="B1786" s="2"/>
      <c r="C1786" s="5">
        <f ca="1">IFERROR(__xludf.DUMMYFUNCTION("""COMPUTED_VALUE"""),46126.8313541666)</f>
        <v>46126.831354166599</v>
      </c>
      <c r="D1786" s="2">
        <f ca="1">IFERROR(__xludf.DUMMYFUNCTION("""COMPUTED_VALUE"""),500)</f>
        <v>500</v>
      </c>
      <c r="E1786" s="2">
        <f ca="1">IFERROR(__xludf.DUMMYFUNCTION("""COMPUTED_VALUE"""),200000)</f>
        <v>200000</v>
      </c>
      <c r="F1786" s="2" t="str">
        <f ca="1">IFERROR(__xludf.DUMMYFUNCTION("""COMPUTED_VALUE"""),"AJUSTE COSECHA 2026")</f>
        <v>AJUSTE COSECHA 2026</v>
      </c>
      <c r="G1786" s="2">
        <f ca="1">IFERROR(__xludf.DUMMYFUNCTION("""COMPUTED_VALUE"""),57100)</f>
        <v>57100</v>
      </c>
      <c r="H1786" s="2">
        <f ca="1">IFERROR(__xludf.DUMMYFUNCTION("""COMPUTED_VALUE"""),42100)</f>
        <v>42100</v>
      </c>
      <c r="I1786" s="2"/>
      <c r="J1786" s="2"/>
      <c r="K1786" s="2" t="str">
        <f ca="1">IFERROR(__xludf.DUMMYFUNCTION("""COMPUTED_VALUE"""),"Fermentando")</f>
        <v>Fermentando</v>
      </c>
      <c r="L1786" s="2" t="str">
        <f ca="1">IFERROR(__xludf.DUMMYFUNCTION("""COMPUTED_VALUE"""),"1")</f>
        <v>1</v>
      </c>
      <c r="M1786" s="2" t="str">
        <f ca="1">IFERROR(__xludf.DUMMYFUNCTION("""COMPUTED_VALUE"""),"Blanco")</f>
        <v>Blanco</v>
      </c>
    </row>
    <row r="1787" spans="1:13" x14ac:dyDescent="0.25">
      <c r="A1787" s="2" t="str">
        <f ca="1">IFERROR(__xludf.DUMMYFUNCTION("""COMPUTED_VALUE"""),"c7326218")</f>
        <v>c7326218</v>
      </c>
      <c r="B1787" s="2"/>
      <c r="C1787" s="5">
        <f ca="1">IFERROR(__xludf.DUMMYFUNCTION("""COMPUTED_VALUE"""),46126.8322800925)</f>
        <v>46126.832280092502</v>
      </c>
      <c r="D1787" s="2">
        <f ca="1">IFERROR(__xludf.DUMMYFUNCTION("""COMPUTED_VALUE"""),500)</f>
        <v>500</v>
      </c>
      <c r="E1787" s="2">
        <f ca="1">IFERROR(__xludf.DUMMYFUNCTION("""COMPUTED_VALUE"""),200000)</f>
        <v>200000</v>
      </c>
      <c r="F1787" s="2" t="str">
        <f ca="1">IFERROR(__xludf.DUMMYFUNCTION("""COMPUTED_VALUE"""),"AJUSTE COSECHA 2026")</f>
        <v>AJUSTE COSECHA 2026</v>
      </c>
      <c r="G1787" s="2">
        <f ca="1">IFERROR(__xludf.DUMMYFUNCTION("""COMPUTED_VALUE"""),42100)</f>
        <v>42100</v>
      </c>
      <c r="H1787" s="2">
        <f ca="1">IFERROR(__xludf.DUMMYFUNCTION("""COMPUTED_VALUE"""),41000)</f>
        <v>41000</v>
      </c>
      <c r="I1787" s="2"/>
      <c r="J1787" s="2"/>
      <c r="K1787" s="2" t="str">
        <f ca="1">IFERROR(__xludf.DUMMYFUNCTION("""COMPUTED_VALUE"""),"Fermentando")</f>
        <v>Fermentando</v>
      </c>
      <c r="L1787" s="2" t="str">
        <f ca="1">IFERROR(__xludf.DUMMYFUNCTION("""COMPUTED_VALUE"""),"1")</f>
        <v>1</v>
      </c>
      <c r="M1787" s="2" t="str">
        <f ca="1">IFERROR(__xludf.DUMMYFUNCTION("""COMPUTED_VALUE"""),"Blanco")</f>
        <v>Blanco</v>
      </c>
    </row>
    <row r="1788" spans="1:13" x14ac:dyDescent="0.25">
      <c r="A1788" s="2" t="str">
        <f ca="1">IFERROR(__xludf.DUMMYFUNCTION("""COMPUTED_VALUE"""),"edb1f705")</f>
        <v>edb1f705</v>
      </c>
      <c r="B1788" s="2"/>
      <c r="C1788" s="5">
        <f ca="1">IFERROR(__xludf.DUMMYFUNCTION("""COMPUTED_VALUE"""),46126.8329976851)</f>
        <v>46126.832997685102</v>
      </c>
      <c r="D1788" s="2">
        <f ca="1">IFERROR(__xludf.DUMMYFUNCTION("""COMPUTED_VALUE"""),500)</f>
        <v>500</v>
      </c>
      <c r="E1788" s="2">
        <f ca="1">IFERROR(__xludf.DUMMYFUNCTION("""COMPUTED_VALUE"""),200000)</f>
        <v>200000</v>
      </c>
      <c r="F1788" s="2" t="str">
        <f ca="1">IFERROR(__xludf.DUMMYFUNCTION("""COMPUTED_VALUE"""),"AJUSTE COSECHA 2026")</f>
        <v>AJUSTE COSECHA 2026</v>
      </c>
      <c r="G1788" s="2">
        <f ca="1">IFERROR(__xludf.DUMMYFUNCTION("""COMPUTED_VALUE"""),41000)</f>
        <v>41000</v>
      </c>
      <c r="H1788" s="2">
        <f ca="1">IFERROR(__xludf.DUMMYFUNCTION("""COMPUTED_VALUE"""),45400)</f>
        <v>45400</v>
      </c>
      <c r="I1788" s="2"/>
      <c r="J1788" s="2"/>
      <c r="K1788" s="2" t="str">
        <f ca="1">IFERROR(__xludf.DUMMYFUNCTION("""COMPUTED_VALUE"""),"Fermentando")</f>
        <v>Fermentando</v>
      </c>
      <c r="L1788" s="2" t="str">
        <f ca="1">IFERROR(__xludf.DUMMYFUNCTION("""COMPUTED_VALUE"""),"1")</f>
        <v>1</v>
      </c>
      <c r="M1788" s="2" t="str">
        <f ca="1">IFERROR(__xludf.DUMMYFUNCTION("""COMPUTED_VALUE"""),"Blanco")</f>
        <v>Blanco</v>
      </c>
    </row>
    <row r="1789" spans="1:13" x14ac:dyDescent="0.25">
      <c r="A1789" s="2" t="str">
        <f ca="1">IFERROR(__xludf.DUMMYFUNCTION("""COMPUTED_VALUE"""),"4db4b4ac")</f>
        <v>4db4b4ac</v>
      </c>
      <c r="B1789" s="2"/>
      <c r="C1789" s="5">
        <f ca="1">IFERROR(__xludf.DUMMYFUNCTION("""COMPUTED_VALUE"""),46126.8337384259)</f>
        <v>46126.833738425899</v>
      </c>
      <c r="D1789" s="2">
        <f ca="1">IFERROR(__xludf.DUMMYFUNCTION("""COMPUTED_VALUE"""),500)</f>
        <v>500</v>
      </c>
      <c r="E1789" s="2">
        <f ca="1">IFERROR(__xludf.DUMMYFUNCTION("""COMPUTED_VALUE"""),200000)</f>
        <v>200000</v>
      </c>
      <c r="F1789" s="2" t="str">
        <f ca="1">IFERROR(__xludf.DUMMYFUNCTION("""COMPUTED_VALUE"""),"AJUSTE COSECHA 2026")</f>
        <v>AJUSTE COSECHA 2026</v>
      </c>
      <c r="G1789" s="2">
        <f ca="1">IFERROR(__xludf.DUMMYFUNCTION("""COMPUTED_VALUE"""),45400)</f>
        <v>45400</v>
      </c>
      <c r="H1789" s="2">
        <f ca="1">IFERROR(__xludf.DUMMYFUNCTION("""COMPUTED_VALUE"""),33900)</f>
        <v>33900</v>
      </c>
      <c r="I1789" s="2"/>
      <c r="J1789" s="2"/>
      <c r="K1789" s="2" t="str">
        <f ca="1">IFERROR(__xludf.DUMMYFUNCTION("""COMPUTED_VALUE"""),"Fermentando")</f>
        <v>Fermentando</v>
      </c>
      <c r="L1789" s="2" t="str">
        <f ca="1">IFERROR(__xludf.DUMMYFUNCTION("""COMPUTED_VALUE"""),"1")</f>
        <v>1</v>
      </c>
      <c r="M1789" s="2" t="str">
        <f ca="1">IFERROR(__xludf.DUMMYFUNCTION("""COMPUTED_VALUE"""),"Blanco")</f>
        <v>Blanco</v>
      </c>
    </row>
    <row r="1790" spans="1:13" x14ac:dyDescent="0.25">
      <c r="A1790" s="2" t="str">
        <f ca="1">IFERROR(__xludf.DUMMYFUNCTION("""COMPUTED_VALUE"""),"8df72b57")</f>
        <v>8df72b57</v>
      </c>
      <c r="B1790" s="2"/>
      <c r="C1790" s="5">
        <f ca="1">IFERROR(__xludf.DUMMYFUNCTION("""COMPUTED_VALUE"""),46126.8350578703)</f>
        <v>46126.835057870303</v>
      </c>
      <c r="D1790" s="2">
        <f ca="1">IFERROR(__xludf.DUMMYFUNCTION("""COMPUTED_VALUE"""),500)</f>
        <v>500</v>
      </c>
      <c r="E1790" s="2">
        <f ca="1">IFERROR(__xludf.DUMMYFUNCTION("""COMPUTED_VALUE"""),200000)</f>
        <v>200000</v>
      </c>
      <c r="F1790" s="2" t="str">
        <f ca="1">IFERROR(__xludf.DUMMYFUNCTION("""COMPUTED_VALUE"""),"AJUSTE COSECHA 2026")</f>
        <v>AJUSTE COSECHA 2026</v>
      </c>
      <c r="G1790" s="2">
        <f ca="1">IFERROR(__xludf.DUMMYFUNCTION("""COMPUTED_VALUE"""),33900)</f>
        <v>33900</v>
      </c>
      <c r="H1790" s="2">
        <f ca="1">IFERROR(__xludf.DUMMYFUNCTION("""COMPUTED_VALUE"""),23900)</f>
        <v>23900</v>
      </c>
      <c r="I1790" s="2"/>
      <c r="J1790" s="2"/>
      <c r="K1790" s="2" t="str">
        <f ca="1">IFERROR(__xludf.DUMMYFUNCTION("""COMPUTED_VALUE"""),"Fermentando")</f>
        <v>Fermentando</v>
      </c>
      <c r="L1790" s="2" t="str">
        <f ca="1">IFERROR(__xludf.DUMMYFUNCTION("""COMPUTED_VALUE"""),"1")</f>
        <v>1</v>
      </c>
      <c r="M1790" s="2" t="str">
        <f ca="1">IFERROR(__xludf.DUMMYFUNCTION("""COMPUTED_VALUE"""),"Blanco")</f>
        <v>Blanco</v>
      </c>
    </row>
    <row r="1791" spans="1:13" x14ac:dyDescent="0.25">
      <c r="A1791" s="2" t="str">
        <f ca="1">IFERROR(__xludf.DUMMYFUNCTION("""COMPUTED_VALUE"""),"383a8d69")</f>
        <v>383a8d69</v>
      </c>
      <c r="B1791" s="2"/>
      <c r="C1791" s="5">
        <f ca="1">IFERROR(__xludf.DUMMYFUNCTION("""COMPUTED_VALUE"""),46126.8357407407)</f>
        <v>46126.835740740702</v>
      </c>
      <c r="D1791" s="2">
        <f ca="1">IFERROR(__xludf.DUMMYFUNCTION("""COMPUTED_VALUE"""),51)</f>
        <v>51</v>
      </c>
      <c r="E1791" s="2">
        <f ca="1">IFERROR(__xludf.DUMMYFUNCTION("""COMPUTED_VALUE"""),3900)</f>
        <v>3900</v>
      </c>
      <c r="F1791" s="2" t="str">
        <f ca="1">IFERROR(__xludf.DUMMYFUNCTION("""COMPUTED_VALUE"""),"Chardonnay")</f>
        <v>Chardonnay</v>
      </c>
      <c r="G1791" s="2">
        <f ca="1">IFERROR(__xludf.DUMMYFUNCTION("""COMPUTED_VALUE"""),3900)</f>
        <v>3900</v>
      </c>
      <c r="H1791" s="2">
        <f ca="1">IFERROR(__xludf.DUMMYFUNCTION("""COMPUTED_VALUE"""),3200)</f>
        <v>3200</v>
      </c>
      <c r="I1791" s="2"/>
      <c r="J1791" s="2"/>
      <c r="K1791" s="2" t="str">
        <f ca="1">IFERROR(__xludf.DUMMYFUNCTION("""COMPUTED_VALUE"""),"Descubada")</f>
        <v>Descubada</v>
      </c>
      <c r="L1791" s="2" t="str">
        <f ca="1">IFERROR(__xludf.DUMMYFUNCTION("""COMPUTED_VALUE"""),"1")</f>
        <v>1</v>
      </c>
      <c r="M1791" s="2" t="str">
        <f ca="1">IFERROR(__xludf.DUMMYFUNCTION("""COMPUTED_VALUE"""),"Blanco")</f>
        <v>Blanco</v>
      </c>
    </row>
    <row r="1792" spans="1:13" x14ac:dyDescent="0.25">
      <c r="A1792" s="2" t="str">
        <f ca="1">IFERROR(__xludf.DUMMYFUNCTION("""COMPUTED_VALUE"""),"04f2febf")</f>
        <v>04f2febf</v>
      </c>
      <c r="B1792" s="2"/>
      <c r="C1792" s="5">
        <f ca="1">IFERROR(__xludf.DUMMYFUNCTION("""COMPUTED_VALUE"""),46126.8369791666)</f>
        <v>46126.836979166597</v>
      </c>
      <c r="D1792" s="2">
        <f ca="1">IFERROR(__xludf.DUMMYFUNCTION("""COMPUTED_VALUE"""),500)</f>
        <v>500</v>
      </c>
      <c r="E1792" s="2">
        <f ca="1">IFERROR(__xludf.DUMMYFUNCTION("""COMPUTED_VALUE"""),200000)</f>
        <v>200000</v>
      </c>
      <c r="F1792" s="2" t="str">
        <f ca="1">IFERROR(__xludf.DUMMYFUNCTION("""COMPUTED_VALUE"""),"AJUSTE COSECHA 2026")</f>
        <v>AJUSTE COSECHA 2026</v>
      </c>
      <c r="G1792" s="2">
        <f ca="1">IFERROR(__xludf.DUMMYFUNCTION("""COMPUTED_VALUE"""),23900)</f>
        <v>23900</v>
      </c>
      <c r="H1792" s="2">
        <f ca="1">IFERROR(__xludf.DUMMYFUNCTION("""COMPUTED_VALUE"""),30500)</f>
        <v>30500</v>
      </c>
      <c r="I1792" s="2"/>
      <c r="J1792" s="2"/>
      <c r="K1792" s="2" t="str">
        <f ca="1">IFERROR(__xludf.DUMMYFUNCTION("""COMPUTED_VALUE"""),"Fermentando")</f>
        <v>Fermentando</v>
      </c>
      <c r="L1792" s="2" t="str">
        <f ca="1">IFERROR(__xludf.DUMMYFUNCTION("""COMPUTED_VALUE"""),"1")</f>
        <v>1</v>
      </c>
      <c r="M1792" s="2" t="str">
        <f ca="1">IFERROR(__xludf.DUMMYFUNCTION("""COMPUTED_VALUE"""),"Blanco")</f>
        <v>Blanco</v>
      </c>
    </row>
    <row r="1793" spans="1:13" x14ac:dyDescent="0.25">
      <c r="A1793" s="2" t="str">
        <f ca="1">IFERROR(__xludf.DUMMYFUNCTION("""COMPUTED_VALUE"""),"6738bd2f")</f>
        <v>6738bd2f</v>
      </c>
      <c r="B1793" s="2"/>
      <c r="C1793" s="5">
        <f ca="1">IFERROR(__xludf.DUMMYFUNCTION("""COMPUTED_VALUE"""),46126.8386574074)</f>
        <v>46126.838657407403</v>
      </c>
      <c r="D1793" s="2">
        <f ca="1">IFERROR(__xludf.DUMMYFUNCTION("""COMPUTED_VALUE"""),54)</f>
        <v>54</v>
      </c>
      <c r="E1793" s="2">
        <f ca="1">IFERROR(__xludf.DUMMYFUNCTION("""COMPUTED_VALUE"""),22900)</f>
        <v>22900</v>
      </c>
      <c r="F1793" s="2" t="str">
        <f ca="1">IFERROR(__xludf.DUMMYFUNCTION("""COMPUTED_VALUE"""),"Cabernet Sauvignon Rect")</f>
        <v>Cabernet Sauvignon Rect</v>
      </c>
      <c r="G1793" s="2">
        <f ca="1">IFERROR(__xludf.DUMMYFUNCTION("""COMPUTED_VALUE"""),22900)</f>
        <v>22900</v>
      </c>
      <c r="H1793" s="2">
        <f ca="1">IFERROR(__xludf.DUMMYFUNCTION("""COMPUTED_VALUE"""),17100)</f>
        <v>17100</v>
      </c>
      <c r="I1793" s="2"/>
      <c r="J1793" s="2"/>
      <c r="K1793" s="2" t="str">
        <f ca="1">IFERROR(__xludf.DUMMYFUNCTION("""COMPUTED_VALUE"""),"Rectificado")</f>
        <v>Rectificado</v>
      </c>
      <c r="L1793" s="2" t="str">
        <f ca="1">IFERROR(__xludf.DUMMYFUNCTION("""COMPUTED_VALUE"""),"1")</f>
        <v>1</v>
      </c>
      <c r="M1793" s="2" t="str">
        <f ca="1">IFERROR(__xludf.DUMMYFUNCTION("""COMPUTED_VALUE"""),"Tinto")</f>
        <v>Tinto</v>
      </c>
    </row>
    <row r="1794" spans="1:13" x14ac:dyDescent="0.25">
      <c r="A1794" s="2" t="str">
        <f ca="1">IFERROR(__xludf.DUMMYFUNCTION("""COMPUTED_VALUE"""),"310b45c2")</f>
        <v>310b45c2</v>
      </c>
      <c r="B1794" s="2"/>
      <c r="C1794" s="5">
        <f ca="1">IFERROR(__xludf.DUMMYFUNCTION("""COMPUTED_VALUE"""),46126.8396759259)</f>
        <v>46126.839675925898</v>
      </c>
      <c r="D1794" s="2">
        <f ca="1">IFERROR(__xludf.DUMMYFUNCTION("""COMPUTED_VALUE"""),68)</f>
        <v>68</v>
      </c>
      <c r="E1794" s="2">
        <f ca="1">IFERROR(__xludf.DUMMYFUNCTION("""COMPUTED_VALUE"""),13000)</f>
        <v>13000</v>
      </c>
      <c r="F1794" s="2" t="str">
        <f ca="1">IFERROR(__xludf.DUMMYFUNCTION("""COMPUTED_VALUE"""),"Aspirant  Malbec Rect")</f>
        <v>Aspirant  Malbec Rect</v>
      </c>
      <c r="G1794" s="2">
        <f ca="1">IFERROR(__xludf.DUMMYFUNCTION("""COMPUTED_VALUE"""),13000)</f>
        <v>13000</v>
      </c>
      <c r="H1794" s="2">
        <f ca="1">IFERROR(__xludf.DUMMYFUNCTION("""COMPUTED_VALUE"""),7500)</f>
        <v>7500</v>
      </c>
      <c r="I1794" s="2"/>
      <c r="J1794" s="2"/>
      <c r="K1794" s="2" t="str">
        <f ca="1">IFERROR(__xludf.DUMMYFUNCTION("""COMPUTED_VALUE"""),"Rectificado")</f>
        <v>Rectificado</v>
      </c>
      <c r="L1794" s="2" t="str">
        <f ca="1">IFERROR(__xludf.DUMMYFUNCTION("""COMPUTED_VALUE"""),"2+")</f>
        <v>2+</v>
      </c>
      <c r="M1794" s="2" t="str">
        <f ca="1">IFERROR(__xludf.DUMMYFUNCTION("""COMPUTED_VALUE"""),"Tinto")</f>
        <v>Tinto</v>
      </c>
    </row>
    <row r="1795" spans="1:13" x14ac:dyDescent="0.25">
      <c r="A1795" s="2" t="str">
        <f ca="1">IFERROR(__xludf.DUMMYFUNCTION("""COMPUTED_VALUE"""),"952512d3")</f>
        <v>952512d3</v>
      </c>
      <c r="B1795" s="2"/>
      <c r="C1795" s="5">
        <f ca="1">IFERROR(__xludf.DUMMYFUNCTION("""COMPUTED_VALUE"""),46126.840636574)</f>
        <v>46126.840636574001</v>
      </c>
      <c r="D1795" s="2">
        <f ca="1">IFERROR(__xludf.DUMMYFUNCTION("""COMPUTED_VALUE"""),500)</f>
        <v>500</v>
      </c>
      <c r="E1795" s="2">
        <f ca="1">IFERROR(__xludf.DUMMYFUNCTION("""COMPUTED_VALUE"""),200000)</f>
        <v>200000</v>
      </c>
      <c r="F1795" s="2" t="str">
        <f ca="1">IFERROR(__xludf.DUMMYFUNCTION("""COMPUTED_VALUE"""),"AJUSTE COSECHA 2026")</f>
        <v>AJUSTE COSECHA 2026</v>
      </c>
      <c r="G1795" s="2">
        <f ca="1">IFERROR(__xludf.DUMMYFUNCTION("""COMPUTED_VALUE"""),30500)</f>
        <v>30500</v>
      </c>
      <c r="H1795" s="2">
        <f ca="1">IFERROR(__xludf.DUMMYFUNCTION("""COMPUTED_VALUE"""),38000)</f>
        <v>38000</v>
      </c>
      <c r="I1795" s="2"/>
      <c r="J1795" s="2"/>
      <c r="K1795" s="2" t="str">
        <f ca="1">IFERROR(__xludf.DUMMYFUNCTION("""COMPUTED_VALUE"""),"Fermentando")</f>
        <v>Fermentando</v>
      </c>
      <c r="L1795" s="2" t="str">
        <f ca="1">IFERROR(__xludf.DUMMYFUNCTION("""COMPUTED_VALUE"""),"1")</f>
        <v>1</v>
      </c>
      <c r="M1795" s="2" t="str">
        <f ca="1">IFERROR(__xludf.DUMMYFUNCTION("""COMPUTED_VALUE"""),"Blanco")</f>
        <v>Blanco</v>
      </c>
    </row>
    <row r="1796" spans="1:13" x14ac:dyDescent="0.25">
      <c r="A1796" s="2" t="str">
        <f ca="1">IFERROR(__xludf.DUMMYFUNCTION("""COMPUTED_VALUE"""),"5d71e564")</f>
        <v>5d71e564</v>
      </c>
      <c r="B1796" s="2"/>
      <c r="C1796" s="5">
        <f ca="1">IFERROR(__xludf.DUMMYFUNCTION("""COMPUTED_VALUE"""),46126.8468634259)</f>
        <v>46126.846863425897</v>
      </c>
      <c r="D1796" s="2">
        <f ca="1">IFERROR(__xludf.DUMMYFUNCTION("""COMPUTED_VALUE"""),119)</f>
        <v>119</v>
      </c>
      <c r="E1796" s="2">
        <f ca="1">IFERROR(__xludf.DUMMYFUNCTION("""COMPUTED_VALUE"""),159800)</f>
        <v>159800</v>
      </c>
      <c r="F1796" s="2" t="str">
        <f ca="1">IFERROR(__xludf.DUMMYFUNCTION("""COMPUTED_VALUE"""),"Criolla Mosto")</f>
        <v>Criolla Mosto</v>
      </c>
      <c r="G1796" s="2"/>
      <c r="H1796" s="2">
        <f ca="1">IFERROR(__xludf.DUMMYFUNCTION("""COMPUTED_VALUE"""),64000)</f>
        <v>64000</v>
      </c>
      <c r="I1796" s="2"/>
      <c r="J1796" s="2" t="str">
        <f ca="1">IFERROR(__xludf.DUMMYFUNCTION("""COMPUTED_VALUE"""),"6514 , 6515 , 6516 , 6517 , 6519 , 6520 , 6521 , 6524")</f>
        <v>6514 , 6515 , 6516 , 6517 , 6519 , 6520 , 6521 , 6524</v>
      </c>
      <c r="K1796" s="2" t="str">
        <f ca="1">IFERROR(__xludf.DUMMYFUNCTION("""COMPUTED_VALUE"""),"Mosto")</f>
        <v>Mosto</v>
      </c>
      <c r="L1796" s="2"/>
      <c r="M1796" s="2" t="str">
        <f ca="1">IFERROR(__xludf.DUMMYFUNCTION("""COMPUTED_VALUE"""),"Tinto")</f>
        <v>Tinto</v>
      </c>
    </row>
    <row r="1797" spans="1:13" x14ac:dyDescent="0.25">
      <c r="A1797" s="2" t="str">
        <f ca="1">IFERROR(__xludf.DUMMYFUNCTION("""COMPUTED_VALUE"""),"8ecf1241")</f>
        <v>8ecf1241</v>
      </c>
      <c r="B1797" s="2"/>
      <c r="C1797" s="5">
        <f ca="1">IFERROR(__xludf.DUMMYFUNCTION("""COMPUTED_VALUE"""),46126.8488310185)</f>
        <v>46126.848831018498</v>
      </c>
      <c r="D1797" s="2">
        <f ca="1">IFERROR(__xludf.DUMMYFUNCTION("""COMPUTED_VALUE"""),500)</f>
        <v>500</v>
      </c>
      <c r="E1797" s="2">
        <f ca="1">IFERROR(__xludf.DUMMYFUNCTION("""COMPUTED_VALUE"""),200000)</f>
        <v>200000</v>
      </c>
      <c r="F1797" s="2" t="str">
        <f ca="1">IFERROR(__xludf.DUMMYFUNCTION("""COMPUTED_VALUE"""),"AJUSTE COSECHA 2026")</f>
        <v>AJUSTE COSECHA 2026</v>
      </c>
      <c r="G1797" s="2">
        <f ca="1">IFERROR(__xludf.DUMMYFUNCTION("""COMPUTED_VALUE"""),38000)</f>
        <v>38000</v>
      </c>
      <c r="H1797" s="2">
        <f ca="1">IFERROR(__xludf.DUMMYFUNCTION("""COMPUTED_VALUE"""),31400)</f>
        <v>31400</v>
      </c>
      <c r="I1797" s="2"/>
      <c r="J1797" s="2"/>
      <c r="K1797" s="2" t="str">
        <f ca="1">IFERROR(__xludf.DUMMYFUNCTION("""COMPUTED_VALUE"""),"Terminado")</f>
        <v>Terminado</v>
      </c>
      <c r="L1797" s="2" t="str">
        <f ca="1">IFERROR(__xludf.DUMMYFUNCTION("""COMPUTED_VALUE"""),"1")</f>
        <v>1</v>
      </c>
      <c r="M1797" s="2" t="str">
        <f ca="1">IFERROR(__xludf.DUMMYFUNCTION("""COMPUTED_VALUE"""),"Tinto")</f>
        <v>Tinto</v>
      </c>
    </row>
    <row r="1798" spans="1:13" x14ac:dyDescent="0.25">
      <c r="A1798" s="2" t="str">
        <f ca="1">IFERROR(__xludf.DUMMYFUNCTION("""COMPUTED_VALUE"""),"b22066db")</f>
        <v>b22066db</v>
      </c>
      <c r="B1798" s="2"/>
      <c r="C1798" s="5">
        <f ca="1">IFERROR(__xludf.DUMMYFUNCTION("""COMPUTED_VALUE"""),46126.850474537)</f>
        <v>46126.850474537001</v>
      </c>
      <c r="D1798" s="2">
        <f ca="1">IFERROR(__xludf.DUMMYFUNCTION("""COMPUTED_VALUE"""),85)</f>
        <v>85</v>
      </c>
      <c r="E1798" s="2">
        <f ca="1">IFERROR(__xludf.DUMMYFUNCTION("""COMPUTED_VALUE"""),84000)</f>
        <v>84000</v>
      </c>
      <c r="F1798" s="2" t="str">
        <f ca="1">IFERROR(__xludf.DUMMYFUNCTION("""COMPUTED_VALUE"""),"Criolla Recarga")</f>
        <v>Criolla Recarga</v>
      </c>
      <c r="G1798" s="2">
        <f ca="1">IFERROR(__xludf.DUMMYFUNCTION("""COMPUTED_VALUE"""),15000)</f>
        <v>15000</v>
      </c>
      <c r="H1798" s="2">
        <f ca="1">IFERROR(__xludf.DUMMYFUNCTION("""COMPUTED_VALUE"""),30000)</f>
        <v>30000</v>
      </c>
      <c r="I1798" s="2" t="str">
        <f ca="1">IFERROR(__xludf.DUMMYFUNCTION("""COMPUTED_VALUE"""),"Volumen debiera ser 40000")</f>
        <v>Volumen debiera ser 40000</v>
      </c>
      <c r="J1798" s="2"/>
      <c r="K1798" s="2" t="str">
        <f ca="1">IFERROR(__xludf.DUMMYFUNCTION("""COMPUTED_VALUE"""),"Recarga Fermentando")</f>
        <v>Recarga Fermentando</v>
      </c>
      <c r="L1798" s="2"/>
      <c r="M1798" s="2" t="str">
        <f ca="1">IFERROR(__xludf.DUMMYFUNCTION("""COMPUTED_VALUE"""),"Tinto")</f>
        <v>Tinto</v>
      </c>
    </row>
    <row r="1799" spans="1:13" x14ac:dyDescent="0.25">
      <c r="A1799" s="2" t="str">
        <f ca="1">IFERROR(__xludf.DUMMYFUNCTION("""COMPUTED_VALUE"""),"bfcedb73")</f>
        <v>bfcedb73</v>
      </c>
      <c r="B1799" s="2"/>
      <c r="C1799" s="5">
        <f ca="1">IFERROR(__xludf.DUMMYFUNCTION("""COMPUTED_VALUE"""),46126.8507523148)</f>
        <v>46126.8507523148</v>
      </c>
      <c r="D1799" s="2">
        <f ca="1">IFERROR(__xludf.DUMMYFUNCTION("""COMPUTED_VALUE"""),82)</f>
        <v>82</v>
      </c>
      <c r="E1799" s="2">
        <f ca="1">IFERROR(__xludf.DUMMYFUNCTION("""COMPUTED_VALUE"""),42600)</f>
        <v>42600</v>
      </c>
      <c r="F1799" s="2" t="str">
        <f ca="1">IFERROR(__xludf.DUMMYFUNCTION("""COMPUTED_VALUE"""),"Criolla Recarga")</f>
        <v>Criolla Recarga</v>
      </c>
      <c r="G1799" s="2">
        <f ca="1">IFERROR(__xludf.DUMMYFUNCTION("""COMPUTED_VALUE"""),10000)</f>
        <v>10000</v>
      </c>
      <c r="H1799" s="2">
        <f ca="1">IFERROR(__xludf.DUMMYFUNCTION("""COMPUTED_VALUE"""),25000)</f>
        <v>25000</v>
      </c>
      <c r="I1799" s="2"/>
      <c r="J1799" s="2"/>
      <c r="K1799" s="2" t="str">
        <f ca="1">IFERROR(__xludf.DUMMYFUNCTION("""COMPUTED_VALUE"""),"Recarga Fermentando")</f>
        <v>Recarga Fermentando</v>
      </c>
      <c r="L1799" s="2"/>
      <c r="M1799" s="2" t="str">
        <f ca="1">IFERROR(__xludf.DUMMYFUNCTION("""COMPUTED_VALUE"""),"Tinto")</f>
        <v>Tinto</v>
      </c>
    </row>
    <row r="1800" spans="1:13" x14ac:dyDescent="0.25">
      <c r="A1800" s="2" t="str">
        <f ca="1">IFERROR(__xludf.DUMMYFUNCTION("""COMPUTED_VALUE"""),"d84b7088")</f>
        <v>d84b7088</v>
      </c>
      <c r="B1800" s="2"/>
      <c r="C1800" s="5">
        <f ca="1">IFERROR(__xludf.DUMMYFUNCTION("""COMPUTED_VALUE"""),46126.8515509259)</f>
        <v>46126.851550925901</v>
      </c>
      <c r="D1800" s="2">
        <f ca="1">IFERROR(__xludf.DUMMYFUNCTION("""COMPUTED_VALUE"""),67)</f>
        <v>67</v>
      </c>
      <c r="E1800" s="2">
        <f ca="1">IFERROR(__xludf.DUMMYFUNCTION("""COMPUTED_VALUE"""),23000)</f>
        <v>23000</v>
      </c>
      <c r="F1800" s="2" t="str">
        <f ca="1">IFERROR(__xludf.DUMMYFUNCTION("""COMPUTED_VALUE"""),"Criolla Recarga")</f>
        <v>Criolla Recarga</v>
      </c>
      <c r="G1800" s="2">
        <f ca="1">IFERROR(__xludf.DUMMYFUNCTION("""COMPUTED_VALUE"""),16000)</f>
        <v>16000</v>
      </c>
      <c r="H1800" s="2">
        <f ca="1">IFERROR(__xludf.DUMMYFUNCTION("""COMPUTED_VALUE"""),32000)</f>
        <v>32000</v>
      </c>
      <c r="I1800" s="2"/>
      <c r="J1800" s="2"/>
      <c r="K1800" s="2" t="str">
        <f ca="1">IFERROR(__xludf.DUMMYFUNCTION("""COMPUTED_VALUE"""),"Recarga Fermentando")</f>
        <v>Recarga Fermentando</v>
      </c>
      <c r="L1800" s="2"/>
      <c r="M1800" s="2" t="str">
        <f ca="1">IFERROR(__xludf.DUMMYFUNCTION("""COMPUTED_VALUE"""),"Tinto")</f>
        <v>Tinto</v>
      </c>
    </row>
    <row r="1801" spans="1:13" x14ac:dyDescent="0.25">
      <c r="A1801" s="2" t="str">
        <f ca="1">IFERROR(__xludf.DUMMYFUNCTION("""COMPUTED_VALUE"""),"985b08d3")</f>
        <v>985b08d3</v>
      </c>
      <c r="B1801" s="2"/>
      <c r="C1801" s="5">
        <f ca="1">IFERROR(__xludf.DUMMYFUNCTION("""COMPUTED_VALUE"""),46126.8539583333)</f>
        <v>46126.853958333297</v>
      </c>
      <c r="D1801" s="2">
        <f ca="1">IFERROR(__xludf.DUMMYFUNCTION("""COMPUTED_VALUE"""),116)</f>
        <v>116</v>
      </c>
      <c r="E1801" s="2">
        <f ca="1">IFERROR(__xludf.DUMMYFUNCTION("""COMPUTED_VALUE"""),99600)</f>
        <v>99600</v>
      </c>
      <c r="F1801" s="2"/>
      <c r="G1801" s="2">
        <f ca="1">IFERROR(__xludf.DUMMYFUNCTION("""COMPUTED_VALUE"""),0)</f>
        <v>0</v>
      </c>
      <c r="H1801" s="2">
        <f ca="1">IFERROR(__xludf.DUMMYFUNCTION("""COMPUTED_VALUE"""),15000)</f>
        <v>15000</v>
      </c>
      <c r="I1801" s="2"/>
      <c r="J1801" s="2"/>
      <c r="K1801" s="2"/>
      <c r="L1801" s="2"/>
      <c r="M1801" s="2"/>
    </row>
    <row r="1802" spans="1:13" x14ac:dyDescent="0.25">
      <c r="A1802" s="2" t="str">
        <f ca="1">IFERROR(__xludf.DUMMYFUNCTION("""COMPUTED_VALUE"""),"bad2ded4")</f>
        <v>bad2ded4</v>
      </c>
      <c r="B1802" s="2"/>
      <c r="C1802" s="5">
        <f ca="1">IFERROR(__xludf.DUMMYFUNCTION("""COMPUTED_VALUE"""),46126.8555671296)</f>
        <v>46126.855567129598</v>
      </c>
      <c r="D1802" s="2">
        <f ca="1">IFERROR(__xludf.DUMMYFUNCTION("""COMPUTED_VALUE"""),116)</f>
        <v>116</v>
      </c>
      <c r="E1802" s="2">
        <f ca="1">IFERROR(__xludf.DUMMYFUNCTION("""COMPUTED_VALUE"""),99600)</f>
        <v>99600</v>
      </c>
      <c r="F1802" s="2" t="str">
        <f ca="1">IFERROR(__xludf.DUMMYFUNCTION("""COMPUTED_VALUE"""),"Bonarda")</f>
        <v>Bonarda</v>
      </c>
      <c r="G1802" s="2">
        <f ca="1">IFERROR(__xludf.DUMMYFUNCTION("""COMPUTED_VALUE"""),15000)</f>
        <v>15000</v>
      </c>
      <c r="H1802" s="2">
        <f ca="1">IFERROR(__xludf.DUMMYFUNCTION("""COMPUTED_VALUE"""),25000)</f>
        <v>25000</v>
      </c>
      <c r="I1802" s="2"/>
      <c r="J1802" s="2"/>
      <c r="K1802" s="2"/>
      <c r="L1802" s="2"/>
      <c r="M1802" s="2"/>
    </row>
    <row r="1803" spans="1:13" x14ac:dyDescent="0.25">
      <c r="A1803" s="2" t="str">
        <f ca="1">IFERROR(__xludf.DUMMYFUNCTION("""COMPUTED_VALUE"""),"27cd6e8f")</f>
        <v>27cd6e8f</v>
      </c>
      <c r="B1803" s="2"/>
      <c r="C1803" s="5">
        <f ca="1">IFERROR(__xludf.DUMMYFUNCTION("""COMPUTED_VALUE"""),46126.8567361111)</f>
        <v>46126.856736111098</v>
      </c>
      <c r="D1803" s="2">
        <f ca="1">IFERROR(__xludf.DUMMYFUNCTION("""COMPUTED_VALUE"""),67)</f>
        <v>67</v>
      </c>
      <c r="E1803" s="2">
        <f ca="1">IFERROR(__xludf.DUMMYFUNCTION("""COMPUTED_VALUE"""),23000)</f>
        <v>23000</v>
      </c>
      <c r="F1803" s="2" t="str">
        <f ca="1">IFERROR(__xludf.DUMMYFUNCTION("""COMPUTED_VALUE"""),"Criolla Recarga")</f>
        <v>Criolla Recarga</v>
      </c>
      <c r="G1803" s="2">
        <f ca="1">IFERROR(__xludf.DUMMYFUNCTION("""COMPUTED_VALUE"""),6000)</f>
        <v>6000</v>
      </c>
      <c r="H1803" s="2">
        <f ca="1">IFERROR(__xludf.DUMMYFUNCTION("""COMPUTED_VALUE"""),20000)</f>
        <v>20000</v>
      </c>
      <c r="I1803" s="2"/>
      <c r="J1803" s="2"/>
      <c r="K1803" s="2" t="str">
        <f ca="1">IFERROR(__xludf.DUMMYFUNCTION("""COMPUTED_VALUE"""),"Recarga Fermentando")</f>
        <v>Recarga Fermentando</v>
      </c>
      <c r="L1803" s="2"/>
      <c r="M1803" s="2" t="str">
        <f ca="1">IFERROR(__xludf.DUMMYFUNCTION("""COMPUTED_VALUE"""),"Tinto")</f>
        <v>Tinto</v>
      </c>
    </row>
    <row r="1804" spans="1:13" x14ac:dyDescent="0.25">
      <c r="A1804" s="2" t="str">
        <f ca="1">IFERROR(__xludf.DUMMYFUNCTION("""COMPUTED_VALUE"""),"91372a0c")</f>
        <v>91372a0c</v>
      </c>
      <c r="B1804" s="2"/>
      <c r="C1804" s="5">
        <f ca="1">IFERROR(__xludf.DUMMYFUNCTION("""COMPUTED_VALUE"""),46126.8570833333)</f>
        <v>46126.8570833333</v>
      </c>
      <c r="D1804" s="2">
        <f ca="1">IFERROR(__xludf.DUMMYFUNCTION("""COMPUTED_VALUE"""),79)</f>
        <v>79</v>
      </c>
      <c r="E1804" s="2">
        <f ca="1">IFERROR(__xludf.DUMMYFUNCTION("""COMPUTED_VALUE"""),26000)</f>
        <v>26000</v>
      </c>
      <c r="F1804" s="2" t="str">
        <f ca="1">IFERROR(__xludf.DUMMYFUNCTION("""COMPUTED_VALUE"""),"Criolla Recarga")</f>
        <v>Criolla Recarga</v>
      </c>
      <c r="G1804" s="2">
        <f ca="1">IFERROR(__xludf.DUMMYFUNCTION("""COMPUTED_VALUE"""),3800)</f>
        <v>3800</v>
      </c>
      <c r="H1804" s="2">
        <f ca="1">IFERROR(__xludf.DUMMYFUNCTION("""COMPUTED_VALUE"""),23800)</f>
        <v>23800</v>
      </c>
      <c r="I1804" s="2"/>
      <c r="J1804" s="2"/>
      <c r="K1804" s="2" t="str">
        <f ca="1">IFERROR(__xludf.DUMMYFUNCTION("""COMPUTED_VALUE"""),"Recarga Fermentando")</f>
        <v>Recarga Fermentando</v>
      </c>
      <c r="L1804" s="2"/>
      <c r="M1804" s="2" t="str">
        <f ca="1">IFERROR(__xludf.DUMMYFUNCTION("""COMPUTED_VALUE"""),"Tinto")</f>
        <v>Tinto</v>
      </c>
    </row>
    <row r="1805" spans="1:13" x14ac:dyDescent="0.25">
      <c r="A1805" s="2" t="str">
        <f ca="1">IFERROR(__xludf.DUMMYFUNCTION("""COMPUTED_VALUE"""),"3c9ad7dc")</f>
        <v>3c9ad7dc</v>
      </c>
      <c r="B1805" s="2"/>
      <c r="C1805" s="5">
        <f ca="1">IFERROR(__xludf.DUMMYFUNCTION("""COMPUTED_VALUE"""),46125.8574768518)</f>
        <v>46125.857476851801</v>
      </c>
      <c r="D1805" s="2">
        <f ca="1">IFERROR(__xludf.DUMMYFUNCTION("""COMPUTED_VALUE"""),90)</f>
        <v>90</v>
      </c>
      <c r="E1805" s="2">
        <f ca="1">IFERROR(__xludf.DUMMYFUNCTION("""COMPUTED_VALUE"""),97500)</f>
        <v>97500</v>
      </c>
      <c r="F1805" s="2" t="str">
        <f ca="1">IFERROR(__xludf.DUMMYFUNCTION("""COMPUTED_VALUE"""),"Bonarda")</f>
        <v>Bonarda</v>
      </c>
      <c r="G1805" s="2"/>
      <c r="H1805" s="2">
        <f ca="1">IFERROR(__xludf.DUMMYFUNCTION("""COMPUTED_VALUE"""),44000)</f>
        <v>44000</v>
      </c>
      <c r="I1805" s="2"/>
      <c r="J1805" s="2" t="str">
        <f ca="1">IFERROR(__xludf.DUMMYFUNCTION("""COMPUTED_VALUE"""),"6513 , 6522 , 6523 , 6526 , 6532 , 6533 , 6538")</f>
        <v>6513 , 6522 , 6523 , 6526 , 6532 , 6533 , 6538</v>
      </c>
      <c r="K1805" s="2" t="str">
        <f ca="1">IFERROR(__xludf.DUMMYFUNCTION("""COMPUTED_VALUE"""),"Fermentando")</f>
        <v>Fermentando</v>
      </c>
      <c r="L1805" s="2"/>
      <c r="M1805" s="2" t="str">
        <f ca="1">IFERROR(__xludf.DUMMYFUNCTION("""COMPUTED_VALUE"""),"Tinto")</f>
        <v>Tinto</v>
      </c>
    </row>
    <row r="1806" spans="1:13" x14ac:dyDescent="0.25">
      <c r="A1806" s="2" t="str">
        <f ca="1">IFERROR(__xludf.DUMMYFUNCTION("""COMPUTED_VALUE"""),"6b94586d")</f>
        <v>6b94586d</v>
      </c>
      <c r="B1806" s="2"/>
      <c r="C1806" s="5">
        <f ca="1">IFERROR(__xludf.DUMMYFUNCTION("""COMPUTED_VALUE"""),46126.8593981481)</f>
        <v>46126.859398148103</v>
      </c>
      <c r="D1806" s="2">
        <f ca="1">IFERROR(__xludf.DUMMYFUNCTION("""COMPUTED_VALUE"""),35)</f>
        <v>35</v>
      </c>
      <c r="E1806" s="2">
        <f ca="1">IFERROR(__xludf.DUMMYFUNCTION("""COMPUTED_VALUE"""),39300)</f>
        <v>39300</v>
      </c>
      <c r="F1806" s="2"/>
      <c r="G1806" s="2">
        <f ca="1">IFERROR(__xludf.DUMMYFUNCTION("""COMPUTED_VALUE"""),0)</f>
        <v>0</v>
      </c>
      <c r="H1806" s="2">
        <f ca="1">IFERROR(__xludf.DUMMYFUNCTION("""COMPUTED_VALUE"""),12000)</f>
        <v>12000</v>
      </c>
      <c r="I1806" s="2"/>
      <c r="J1806" s="2"/>
      <c r="K1806" s="2"/>
      <c r="L1806" s="2"/>
      <c r="M1806" s="2"/>
    </row>
    <row r="1807" spans="1:13" x14ac:dyDescent="0.25">
      <c r="A1807" s="2" t="str">
        <f ca="1">IFERROR(__xludf.DUMMYFUNCTION("""COMPUTED_VALUE"""),"33dde63a")</f>
        <v>33dde63a</v>
      </c>
      <c r="B1807" s="2"/>
      <c r="C1807" s="5">
        <f ca="1">IFERROR(__xludf.DUMMYFUNCTION("""COMPUTED_VALUE"""),46126.8599421296)</f>
        <v>46126.859942129602</v>
      </c>
      <c r="D1807" s="2">
        <f ca="1">IFERROR(__xludf.DUMMYFUNCTION("""COMPUTED_VALUE"""),35)</f>
        <v>35</v>
      </c>
      <c r="E1807" s="2">
        <f ca="1">IFERROR(__xludf.DUMMYFUNCTION("""COMPUTED_VALUE"""),39300)</f>
        <v>39300</v>
      </c>
      <c r="F1807" s="2" t="str">
        <f ca="1">IFERROR(__xludf.DUMMYFUNCTION("""COMPUTED_VALUE"""),"Malbec")</f>
        <v>Malbec</v>
      </c>
      <c r="G1807" s="2">
        <f ca="1">IFERROR(__xludf.DUMMYFUNCTION("""COMPUTED_VALUE"""),12000)</f>
        <v>12000</v>
      </c>
      <c r="H1807" s="2">
        <f ca="1">IFERROR(__xludf.DUMMYFUNCTION("""COMPUTED_VALUE"""),22000)</f>
        <v>22000</v>
      </c>
      <c r="I1807" s="2"/>
      <c r="J1807" s="2"/>
      <c r="K1807" s="2" t="str">
        <f ca="1">IFERROR(__xludf.DUMMYFUNCTION("""COMPUTED_VALUE"""),"Descubada")</f>
        <v>Descubada</v>
      </c>
      <c r="L1807" s="2"/>
      <c r="M1807" s="2" t="str">
        <f ca="1">IFERROR(__xludf.DUMMYFUNCTION("""COMPUTED_VALUE"""),"Tinto")</f>
        <v>Tinto</v>
      </c>
    </row>
    <row r="1808" spans="1:13" x14ac:dyDescent="0.25">
      <c r="A1808" s="2" t="str">
        <f ca="1">IFERROR(__xludf.DUMMYFUNCTION("""COMPUTED_VALUE"""),"a232f267")</f>
        <v>a232f267</v>
      </c>
      <c r="B1808" s="2"/>
      <c r="C1808" s="5">
        <f ca="1">IFERROR(__xludf.DUMMYFUNCTION("""COMPUTED_VALUE"""),46126.8603472222)</f>
        <v>46126.860347222202</v>
      </c>
      <c r="D1808" s="2">
        <f ca="1">IFERROR(__xludf.DUMMYFUNCTION("""COMPUTED_VALUE"""),35)</f>
        <v>35</v>
      </c>
      <c r="E1808" s="2">
        <f ca="1">IFERROR(__xludf.DUMMYFUNCTION("""COMPUTED_VALUE"""),39300)</f>
        <v>39300</v>
      </c>
      <c r="F1808" s="2" t="str">
        <f ca="1">IFERROR(__xludf.DUMMYFUNCTION("""COMPUTED_VALUE"""),"Malbec Veg")</f>
        <v>Malbec Veg</v>
      </c>
      <c r="G1808" s="2">
        <f ca="1">IFERROR(__xludf.DUMMYFUNCTION("""COMPUTED_VALUE"""),22000)</f>
        <v>22000</v>
      </c>
      <c r="H1808" s="2">
        <f ca="1">IFERROR(__xludf.DUMMYFUNCTION("""COMPUTED_VALUE"""),39300)</f>
        <v>39300</v>
      </c>
      <c r="I1808" s="2" t="str">
        <f ca="1">IFERROR(__xludf.DUMMYFUNCTION("""COMPUTED_VALUE"""),"30/4
Mejoro pero persisten las notas de verde
20/4
Tenía notas de Malvon y se le agrego carbón para limpiarlo")</f>
        <v>30/4
Mejoro pero persisten las notas de verde
20/4
Tenía notas de Malvon y se le agrego carbón para limpiarlo</v>
      </c>
      <c r="J1808" s="2"/>
      <c r="K1808" s="2" t="str">
        <f ca="1">IFERROR(__xludf.DUMMYFUNCTION("""COMPUTED_VALUE"""),"Descubada")</f>
        <v>Descubada</v>
      </c>
      <c r="L1808" s="2"/>
      <c r="M1808" s="2" t="str">
        <f ca="1">IFERROR(__xludf.DUMMYFUNCTION("""COMPUTED_VALUE"""),"Tinto")</f>
        <v>Tinto</v>
      </c>
    </row>
    <row r="1809" spans="1:13" x14ac:dyDescent="0.25">
      <c r="A1809" s="2" t="str">
        <f ca="1">IFERROR(__xludf.DUMMYFUNCTION("""COMPUTED_VALUE"""),"2071cd43")</f>
        <v>2071cd43</v>
      </c>
      <c r="B1809" s="2"/>
      <c r="C1809" s="5">
        <f ca="1">IFERROR(__xludf.DUMMYFUNCTION("""COMPUTED_VALUE"""),46126.861099537)</f>
        <v>46126.861099537004</v>
      </c>
      <c r="D1809" s="2">
        <f ca="1">IFERROR(__xludf.DUMMYFUNCTION("""COMPUTED_VALUE"""),116)</f>
        <v>116</v>
      </c>
      <c r="E1809" s="2">
        <f ca="1">IFERROR(__xludf.DUMMYFUNCTION("""COMPUTED_VALUE"""),99600)</f>
        <v>99600</v>
      </c>
      <c r="F1809" s="2" t="str">
        <f ca="1">IFERROR(__xludf.DUMMYFUNCTION("""COMPUTED_VALUE"""),"Bonarda")</f>
        <v>Bonarda</v>
      </c>
      <c r="G1809" s="2">
        <f ca="1">IFERROR(__xludf.DUMMYFUNCTION("""COMPUTED_VALUE"""),25000)</f>
        <v>25000</v>
      </c>
      <c r="H1809" s="2">
        <f ca="1">IFERROR(__xludf.DUMMYFUNCTION("""COMPUTED_VALUE"""),75000)</f>
        <v>75000</v>
      </c>
      <c r="I1809" s="2"/>
      <c r="J1809" s="2"/>
      <c r="K1809" s="2" t="str">
        <f ca="1">IFERROR(__xludf.DUMMYFUNCTION("""COMPUTED_VALUE"""),"Descubada")</f>
        <v>Descubada</v>
      </c>
      <c r="L1809" s="2"/>
      <c r="M1809" s="2" t="str">
        <f ca="1">IFERROR(__xludf.DUMMYFUNCTION("""COMPUTED_VALUE"""),"Tinto")</f>
        <v>Tinto</v>
      </c>
    </row>
    <row r="1810" spans="1:13" x14ac:dyDescent="0.25">
      <c r="A1810" s="2" t="str">
        <f ca="1">IFERROR(__xludf.DUMMYFUNCTION("""COMPUTED_VALUE"""),"59187353")</f>
        <v>59187353</v>
      </c>
      <c r="B1810" s="2"/>
      <c r="C1810" s="5">
        <f ca="1">IFERROR(__xludf.DUMMYFUNCTION("""COMPUTED_VALUE"""),46126.8036226851)</f>
        <v>46126.803622685104</v>
      </c>
      <c r="D1810" s="2">
        <f ca="1">IFERROR(__xludf.DUMMYFUNCTION("""COMPUTED_VALUE"""),117)</f>
        <v>117</v>
      </c>
      <c r="E1810" s="2">
        <f ca="1">IFERROR(__xludf.DUMMYFUNCTION("""COMPUTED_VALUE"""),96600)</f>
        <v>96600</v>
      </c>
      <c r="F1810" s="2" t="str">
        <f ca="1">IFERROR(__xludf.DUMMYFUNCTION("""COMPUTED_VALUE"""),"Criolla Mosto")</f>
        <v>Criolla Mosto</v>
      </c>
      <c r="G1810" s="2"/>
      <c r="H1810" s="2">
        <f ca="1">IFERROR(__xludf.DUMMYFUNCTION("""COMPUTED_VALUE"""),57000)</f>
        <v>57000</v>
      </c>
      <c r="I1810" s="2"/>
      <c r="J1810" s="2" t="str">
        <f ca="1">IFERROR(__xludf.DUMMYFUNCTION("""COMPUTED_VALUE"""),"6525 , 6527 , 6528 , 6529 , 6530 , 6531 , 6534 , 6535")</f>
        <v>6525 , 6527 , 6528 , 6529 , 6530 , 6531 , 6534 , 6535</v>
      </c>
      <c r="K1810" s="2" t="str">
        <f ca="1">IFERROR(__xludf.DUMMYFUNCTION("""COMPUTED_VALUE"""),"Mosto")</f>
        <v>Mosto</v>
      </c>
      <c r="L1810" s="2"/>
      <c r="M1810" s="2" t="str">
        <f ca="1">IFERROR(__xludf.DUMMYFUNCTION("""COMPUTED_VALUE"""),"Tinto")</f>
        <v>Tinto</v>
      </c>
    </row>
    <row r="1811" spans="1:13" x14ac:dyDescent="0.25">
      <c r="A1811" s="2" t="str">
        <f ca="1">IFERROR(__xludf.DUMMYFUNCTION("""COMPUTED_VALUE"""),"cb11cfe9")</f>
        <v>cb11cfe9</v>
      </c>
      <c r="B1811" s="2"/>
      <c r="C1811" s="5">
        <f ca="1">IFERROR(__xludf.DUMMYFUNCTION("""COMPUTED_VALUE"""),46127.8095486111)</f>
        <v>46127.809548611098</v>
      </c>
      <c r="D1811" s="2">
        <f ca="1">IFERROR(__xludf.DUMMYFUNCTION("""COMPUTED_VALUE"""),81)</f>
        <v>81</v>
      </c>
      <c r="E1811" s="2">
        <f ca="1">IFERROR(__xludf.DUMMYFUNCTION("""COMPUTED_VALUE"""),26500)</f>
        <v>26500</v>
      </c>
      <c r="F1811" s="2" t="str">
        <f ca="1">IFERROR(__xludf.DUMMYFUNCTION("""COMPUTED_VALUE"""),"Criolla Recarga")</f>
        <v>Criolla Recarga</v>
      </c>
      <c r="G1811" s="2">
        <f ca="1">IFERROR(__xludf.DUMMYFUNCTION("""COMPUTED_VALUE"""),6000)</f>
        <v>6000</v>
      </c>
      <c r="H1811" s="2">
        <f ca="1">IFERROR(__xludf.DUMMYFUNCTION("""COMPUTED_VALUE"""),21000)</f>
        <v>21000</v>
      </c>
      <c r="I1811" s="2"/>
      <c r="J1811" s="2"/>
      <c r="K1811" s="2" t="str">
        <f ca="1">IFERROR(__xludf.DUMMYFUNCTION("""COMPUTED_VALUE"""),"Recarga Fermentando")</f>
        <v>Recarga Fermentando</v>
      </c>
      <c r="L1811" s="2"/>
      <c r="M1811" s="2" t="str">
        <f ca="1">IFERROR(__xludf.DUMMYFUNCTION("""COMPUTED_VALUE"""),"Tinto")</f>
        <v>Tinto</v>
      </c>
    </row>
    <row r="1812" spans="1:13" x14ac:dyDescent="0.25">
      <c r="A1812" s="2" t="str">
        <f ca="1">IFERROR(__xludf.DUMMYFUNCTION("""COMPUTED_VALUE"""),"2d6c9111")</f>
        <v>2d6c9111</v>
      </c>
      <c r="B1812" s="2"/>
      <c r="C1812" s="5">
        <f ca="1">IFERROR(__xludf.DUMMYFUNCTION("""COMPUTED_VALUE"""),46127.8099768518)</f>
        <v>46127.8099768518</v>
      </c>
      <c r="D1812" s="2">
        <f ca="1">IFERROR(__xludf.DUMMYFUNCTION("""COMPUTED_VALUE"""),76)</f>
        <v>76</v>
      </c>
      <c r="E1812" s="2">
        <f ca="1">IFERROR(__xludf.DUMMYFUNCTION("""COMPUTED_VALUE"""),25500)</f>
        <v>25500</v>
      </c>
      <c r="F1812" s="2" t="str">
        <f ca="1">IFERROR(__xludf.DUMMYFUNCTION("""COMPUTED_VALUE"""),"Criolla Recarga")</f>
        <v>Criolla Recarga</v>
      </c>
      <c r="G1812" s="2">
        <f ca="1">IFERROR(__xludf.DUMMYFUNCTION("""COMPUTED_VALUE"""),2800)</f>
        <v>2800</v>
      </c>
      <c r="H1812" s="2">
        <f ca="1">IFERROR(__xludf.DUMMYFUNCTION("""COMPUTED_VALUE"""),19800)</f>
        <v>19800</v>
      </c>
      <c r="I1812" s="2"/>
      <c r="J1812" s="2"/>
      <c r="K1812" s="2" t="str">
        <f ca="1">IFERROR(__xludf.DUMMYFUNCTION("""COMPUTED_VALUE"""),"Recarga Fermentando")</f>
        <v>Recarga Fermentando</v>
      </c>
      <c r="L1812" s="2"/>
      <c r="M1812" s="2" t="str">
        <f ca="1">IFERROR(__xludf.DUMMYFUNCTION("""COMPUTED_VALUE"""),"Tinto")</f>
        <v>Tinto</v>
      </c>
    </row>
    <row r="1813" spans="1:13" x14ac:dyDescent="0.25">
      <c r="A1813" s="2" t="str">
        <f ca="1">IFERROR(__xludf.DUMMYFUNCTION("""COMPUTED_VALUE"""),"a2a6d407")</f>
        <v>a2a6d407</v>
      </c>
      <c r="B1813" s="2"/>
      <c r="C1813" s="5">
        <f ca="1">IFERROR(__xludf.DUMMYFUNCTION("""COMPUTED_VALUE"""),46127.8102430555)</f>
        <v>46127.810243055501</v>
      </c>
      <c r="D1813" s="2">
        <f ca="1">IFERROR(__xludf.DUMMYFUNCTION("""COMPUTED_VALUE"""),66)</f>
        <v>66</v>
      </c>
      <c r="E1813" s="2">
        <f ca="1">IFERROR(__xludf.DUMMYFUNCTION("""COMPUTED_VALUE"""),23000)</f>
        <v>23000</v>
      </c>
      <c r="F1813" s="2" t="str">
        <f ca="1">IFERROR(__xludf.DUMMYFUNCTION("""COMPUTED_VALUE"""),"Criolla Recarga")</f>
        <v>Criolla Recarga</v>
      </c>
      <c r="G1813" s="2">
        <f ca="1">IFERROR(__xludf.DUMMYFUNCTION("""COMPUTED_VALUE"""),6000)</f>
        <v>6000</v>
      </c>
      <c r="H1813" s="2">
        <f ca="1">IFERROR(__xludf.DUMMYFUNCTION("""COMPUTED_VALUE"""),20000)</f>
        <v>20000</v>
      </c>
      <c r="I1813" s="2"/>
      <c r="J1813" s="2"/>
      <c r="K1813" s="2" t="str">
        <f ca="1">IFERROR(__xludf.DUMMYFUNCTION("""COMPUTED_VALUE"""),"Recarga Fermentando")</f>
        <v>Recarga Fermentando</v>
      </c>
      <c r="L1813" s="2"/>
      <c r="M1813" s="2" t="str">
        <f ca="1">IFERROR(__xludf.DUMMYFUNCTION("""COMPUTED_VALUE"""),"Tinto")</f>
        <v>Tinto</v>
      </c>
    </row>
    <row r="1814" spans="1:13" x14ac:dyDescent="0.25">
      <c r="A1814" s="2" t="str">
        <f ca="1">IFERROR(__xludf.DUMMYFUNCTION("""COMPUTED_VALUE"""),"dbe2e636")</f>
        <v>dbe2e636</v>
      </c>
      <c r="B1814" s="2"/>
      <c r="C1814" s="5">
        <f ca="1">IFERROR(__xludf.DUMMYFUNCTION("""COMPUTED_VALUE"""),46127.810625)</f>
        <v>46127.810624999998</v>
      </c>
      <c r="D1814" s="2">
        <f ca="1">IFERROR(__xludf.DUMMYFUNCTION("""COMPUTED_VALUE"""),96)</f>
        <v>96</v>
      </c>
      <c r="E1814" s="2">
        <f ca="1">IFERROR(__xludf.DUMMYFUNCTION("""COMPUTED_VALUE"""),85600)</f>
        <v>85600</v>
      </c>
      <c r="F1814" s="2" t="str">
        <f ca="1">IFERROR(__xludf.DUMMYFUNCTION("""COMPUTED_VALUE"""),"Criolla Recarga")</f>
        <v>Criolla Recarga</v>
      </c>
      <c r="G1814" s="2">
        <f ca="1">IFERROR(__xludf.DUMMYFUNCTION("""COMPUTED_VALUE"""),15500)</f>
        <v>15500</v>
      </c>
      <c r="H1814" s="2">
        <f ca="1">IFERROR(__xludf.DUMMYFUNCTION("""COMPUTED_VALUE"""),26500)</f>
        <v>26500</v>
      </c>
      <c r="I1814" s="2"/>
      <c r="J1814" s="2"/>
      <c r="K1814" s="2" t="str">
        <f ca="1">IFERROR(__xludf.DUMMYFUNCTION("""COMPUTED_VALUE"""),"Recarga Fermentando")</f>
        <v>Recarga Fermentando</v>
      </c>
      <c r="L1814" s="2"/>
      <c r="M1814" s="2" t="str">
        <f ca="1">IFERROR(__xludf.DUMMYFUNCTION("""COMPUTED_VALUE"""),"Tinto")</f>
        <v>Tinto</v>
      </c>
    </row>
    <row r="1815" spans="1:13" x14ac:dyDescent="0.25">
      <c r="A1815" s="2" t="str">
        <f ca="1">IFERROR(__xludf.DUMMYFUNCTION("""COMPUTED_VALUE"""),"aeeb8799")</f>
        <v>aeeb8799</v>
      </c>
      <c r="B1815" s="2"/>
      <c r="C1815" s="5">
        <f ca="1">IFERROR(__xludf.DUMMYFUNCTION("""COMPUTED_VALUE"""),46127.8123032407)</f>
        <v>46127.812303240702</v>
      </c>
      <c r="D1815" s="2">
        <f ca="1">IFERROR(__xludf.DUMMYFUNCTION("""COMPUTED_VALUE"""),96)</f>
        <v>96</v>
      </c>
      <c r="E1815" s="2">
        <f ca="1">IFERROR(__xludf.DUMMYFUNCTION("""COMPUTED_VALUE"""),85600)</f>
        <v>85600</v>
      </c>
      <c r="F1815" s="2" t="str">
        <f ca="1">IFERROR(__xludf.DUMMYFUNCTION("""COMPUTED_VALUE"""),"Criolla Recarga PC")</f>
        <v>Criolla Recarga PC</v>
      </c>
      <c r="G1815" s="2">
        <f ca="1">IFERROR(__xludf.DUMMYFUNCTION("""COMPUTED_VALUE"""),26500)</f>
        <v>26500</v>
      </c>
      <c r="H1815" s="2">
        <f ca="1">IFERROR(__xludf.DUMMYFUNCTION("""COMPUTED_VALUE"""),28500)</f>
        <v>28500</v>
      </c>
      <c r="I1815" s="2"/>
      <c r="J1815" s="2"/>
      <c r="K1815" s="2" t="str">
        <f ca="1">IFERROR(__xludf.DUMMYFUNCTION("""COMPUTED_VALUE"""),"Recarga Fermentando")</f>
        <v>Recarga Fermentando</v>
      </c>
      <c r="L1815" s="2"/>
      <c r="M1815" s="2" t="str">
        <f ca="1">IFERROR(__xludf.DUMMYFUNCTION("""COMPUTED_VALUE"""),"Tinto")</f>
        <v>Tinto</v>
      </c>
    </row>
    <row r="1816" spans="1:13" x14ac:dyDescent="0.25">
      <c r="A1816" s="2" t="str">
        <f ca="1">IFERROR(__xludf.DUMMYFUNCTION("""COMPUTED_VALUE"""),"d083b80a")</f>
        <v>d083b80a</v>
      </c>
      <c r="B1816" s="2"/>
      <c r="C1816" s="5">
        <f ca="1">IFERROR(__xludf.DUMMYFUNCTION("""COMPUTED_VALUE"""),46127.8126273148)</f>
        <v>46127.812627314801</v>
      </c>
      <c r="D1816" s="2">
        <f ca="1">IFERROR(__xludf.DUMMYFUNCTION("""COMPUTED_VALUE"""),67)</f>
        <v>67</v>
      </c>
      <c r="E1816" s="2">
        <f ca="1">IFERROR(__xludf.DUMMYFUNCTION("""COMPUTED_VALUE"""),23000)</f>
        <v>23000</v>
      </c>
      <c r="F1816" s="2" t="str">
        <f ca="1">IFERROR(__xludf.DUMMYFUNCTION("""COMPUTED_VALUE"""),"Criolla Recarga PC")</f>
        <v>Criolla Recarga PC</v>
      </c>
      <c r="G1816" s="2">
        <f ca="1">IFERROR(__xludf.DUMMYFUNCTION("""COMPUTED_VALUE"""),20000)</f>
        <v>20000</v>
      </c>
      <c r="H1816" s="2">
        <f ca="1">IFERROR(__xludf.DUMMYFUNCTION("""COMPUTED_VALUE"""),21500)</f>
        <v>21500</v>
      </c>
      <c r="I1816" s="2"/>
      <c r="J1816" s="2"/>
      <c r="K1816" s="2" t="str">
        <f ca="1">IFERROR(__xludf.DUMMYFUNCTION("""COMPUTED_VALUE"""),"Recarga Fermentando")</f>
        <v>Recarga Fermentando</v>
      </c>
      <c r="L1816" s="2"/>
      <c r="M1816" s="2" t="str">
        <f ca="1">IFERROR(__xludf.DUMMYFUNCTION("""COMPUTED_VALUE"""),"Tinto")</f>
        <v>Tinto</v>
      </c>
    </row>
    <row r="1817" spans="1:13" x14ac:dyDescent="0.25">
      <c r="A1817" s="2" t="str">
        <f ca="1">IFERROR(__xludf.DUMMYFUNCTION("""COMPUTED_VALUE"""),"a65efef7")</f>
        <v>a65efef7</v>
      </c>
      <c r="B1817" s="2"/>
      <c r="C1817" s="5">
        <f ca="1">IFERROR(__xludf.DUMMYFUNCTION("""COMPUTED_VALUE"""),46127.8128587962)</f>
        <v>46127.812858796198</v>
      </c>
      <c r="D1817" s="2">
        <f ca="1">IFERROR(__xludf.DUMMYFUNCTION("""COMPUTED_VALUE"""),79)</f>
        <v>79</v>
      </c>
      <c r="E1817" s="2">
        <f ca="1">IFERROR(__xludf.DUMMYFUNCTION("""COMPUTED_VALUE"""),26000)</f>
        <v>26000</v>
      </c>
      <c r="F1817" s="2" t="str">
        <f ca="1">IFERROR(__xludf.DUMMYFUNCTION("""COMPUTED_VALUE"""),"Criolla Recarga PC")</f>
        <v>Criolla Recarga PC</v>
      </c>
      <c r="G1817" s="2">
        <f ca="1">IFERROR(__xludf.DUMMYFUNCTION("""COMPUTED_VALUE"""),23800)</f>
        <v>23800</v>
      </c>
      <c r="H1817" s="2">
        <f ca="1">IFERROR(__xludf.DUMMYFUNCTION("""COMPUTED_VALUE"""),25800)</f>
        <v>25800</v>
      </c>
      <c r="I1817" s="2"/>
      <c r="J1817" s="2"/>
      <c r="K1817" s="2" t="str">
        <f ca="1">IFERROR(__xludf.DUMMYFUNCTION("""COMPUTED_VALUE"""),"Recarga Fermentando")</f>
        <v>Recarga Fermentando</v>
      </c>
      <c r="L1817" s="2"/>
      <c r="M1817" s="2" t="str">
        <f ca="1">IFERROR(__xludf.DUMMYFUNCTION("""COMPUTED_VALUE"""),"Tinto")</f>
        <v>Tinto</v>
      </c>
    </row>
    <row r="1818" spans="1:13" x14ac:dyDescent="0.25">
      <c r="A1818" s="2" t="str">
        <f ca="1">IFERROR(__xludf.DUMMYFUNCTION("""COMPUTED_VALUE"""),"9abdd345")</f>
        <v>9abdd345</v>
      </c>
      <c r="B1818" s="2"/>
      <c r="C1818" s="5">
        <f ca="1">IFERROR(__xludf.DUMMYFUNCTION("""COMPUTED_VALUE"""),46127.8131018518)</f>
        <v>46127.813101851803</v>
      </c>
      <c r="D1818" s="2">
        <f ca="1">IFERROR(__xludf.DUMMYFUNCTION("""COMPUTED_VALUE"""),81)</f>
        <v>81</v>
      </c>
      <c r="E1818" s="2">
        <f ca="1">IFERROR(__xludf.DUMMYFUNCTION("""COMPUTED_VALUE"""),26500)</f>
        <v>26500</v>
      </c>
      <c r="F1818" s="2" t="str">
        <f ca="1">IFERROR(__xludf.DUMMYFUNCTION("""COMPUTED_VALUE"""),"Criolla Recarga PC")</f>
        <v>Criolla Recarga PC</v>
      </c>
      <c r="G1818" s="2">
        <f ca="1">IFERROR(__xludf.DUMMYFUNCTION("""COMPUTED_VALUE"""),21000)</f>
        <v>21000</v>
      </c>
      <c r="H1818" s="2">
        <f ca="1">IFERROR(__xludf.DUMMYFUNCTION("""COMPUTED_VALUE"""),23000)</f>
        <v>23000</v>
      </c>
      <c r="I1818" s="2"/>
      <c r="J1818" s="2"/>
      <c r="K1818" s="2" t="str">
        <f ca="1">IFERROR(__xludf.DUMMYFUNCTION("""COMPUTED_VALUE"""),"Recarga Fermentando")</f>
        <v>Recarga Fermentando</v>
      </c>
      <c r="L1818" s="2"/>
      <c r="M1818" s="2" t="str">
        <f ca="1">IFERROR(__xludf.DUMMYFUNCTION("""COMPUTED_VALUE"""),"Tinto")</f>
        <v>Tinto</v>
      </c>
    </row>
    <row r="1819" spans="1:13" x14ac:dyDescent="0.25">
      <c r="A1819" s="2" t="str">
        <f ca="1">IFERROR(__xludf.DUMMYFUNCTION("""COMPUTED_VALUE"""),"2365fc81")</f>
        <v>2365fc81</v>
      </c>
      <c r="B1819" s="2"/>
      <c r="C1819" s="5">
        <f ca="1">IFERROR(__xludf.DUMMYFUNCTION("""COMPUTED_VALUE"""),46127.8139583333)</f>
        <v>46127.813958333303</v>
      </c>
      <c r="D1819" s="2">
        <f ca="1">IFERROR(__xludf.DUMMYFUNCTION("""COMPUTED_VALUE"""),66)</f>
        <v>66</v>
      </c>
      <c r="E1819" s="2">
        <f ca="1">IFERROR(__xludf.DUMMYFUNCTION("""COMPUTED_VALUE"""),23000)</f>
        <v>23000</v>
      </c>
      <c r="F1819" s="2" t="str">
        <f ca="1">IFERROR(__xludf.DUMMYFUNCTION("""COMPUTED_VALUE"""),"Criolla Recarga PC")</f>
        <v>Criolla Recarga PC</v>
      </c>
      <c r="G1819" s="2">
        <f ca="1">IFERROR(__xludf.DUMMYFUNCTION("""COMPUTED_VALUE"""),20000)</f>
        <v>20000</v>
      </c>
      <c r="H1819" s="2">
        <f ca="1">IFERROR(__xludf.DUMMYFUNCTION("""COMPUTED_VALUE"""),21500)</f>
        <v>21500</v>
      </c>
      <c r="I1819" s="2"/>
      <c r="J1819" s="2"/>
      <c r="K1819" s="2" t="str">
        <f ca="1">IFERROR(__xludf.DUMMYFUNCTION("""COMPUTED_VALUE"""),"Recarga Fermentando")</f>
        <v>Recarga Fermentando</v>
      </c>
      <c r="L1819" s="2"/>
      <c r="M1819" s="2" t="str">
        <f ca="1">IFERROR(__xludf.DUMMYFUNCTION("""COMPUTED_VALUE"""),"Tinto")</f>
        <v>Tinto</v>
      </c>
    </row>
    <row r="1820" spans="1:13" x14ac:dyDescent="0.25">
      <c r="A1820" s="2" t="str">
        <f ca="1">IFERROR(__xludf.DUMMYFUNCTION("""COMPUTED_VALUE"""),"7509d70b")</f>
        <v>7509d70b</v>
      </c>
      <c r="B1820" s="2"/>
      <c r="C1820" s="5">
        <f ca="1">IFERROR(__xludf.DUMMYFUNCTION("""COMPUTED_VALUE"""),46127.8142939814)</f>
        <v>46127.814293981399</v>
      </c>
      <c r="D1820" s="2">
        <f ca="1">IFERROR(__xludf.DUMMYFUNCTION("""COMPUTED_VALUE"""),76)</f>
        <v>76</v>
      </c>
      <c r="E1820" s="2">
        <f ca="1">IFERROR(__xludf.DUMMYFUNCTION("""COMPUTED_VALUE"""),25500)</f>
        <v>25500</v>
      </c>
      <c r="F1820" s="2" t="str">
        <f ca="1">IFERROR(__xludf.DUMMYFUNCTION("""COMPUTED_VALUE"""),"Criolla Recarga PC")</f>
        <v>Criolla Recarga PC</v>
      </c>
      <c r="G1820" s="2">
        <f ca="1">IFERROR(__xludf.DUMMYFUNCTION("""COMPUTED_VALUE"""),19800)</f>
        <v>19800</v>
      </c>
      <c r="H1820" s="2">
        <f ca="1">IFERROR(__xludf.DUMMYFUNCTION("""COMPUTED_VALUE"""),21800)</f>
        <v>21800</v>
      </c>
      <c r="I1820" s="2"/>
      <c r="J1820" s="2"/>
      <c r="K1820" s="2" t="str">
        <f ca="1">IFERROR(__xludf.DUMMYFUNCTION("""COMPUTED_VALUE"""),"Recarga Fermentando")</f>
        <v>Recarga Fermentando</v>
      </c>
      <c r="L1820" s="2"/>
      <c r="M1820" s="2" t="str">
        <f ca="1">IFERROR(__xludf.DUMMYFUNCTION("""COMPUTED_VALUE"""),"Tinto")</f>
        <v>Tinto</v>
      </c>
    </row>
    <row r="1821" spans="1:13" x14ac:dyDescent="0.25">
      <c r="A1821" s="2" t="str">
        <f ca="1">IFERROR(__xludf.DUMMYFUNCTION("""COMPUTED_VALUE"""),"2e2886b4")</f>
        <v>2e2886b4</v>
      </c>
      <c r="B1821" s="2"/>
      <c r="C1821" s="5">
        <f ca="1">IFERROR(__xludf.DUMMYFUNCTION("""COMPUTED_VALUE"""),46127.8167939814)</f>
        <v>46127.816793981401</v>
      </c>
      <c r="D1821" s="2">
        <f ca="1">IFERROR(__xludf.DUMMYFUNCTION("""COMPUTED_VALUE"""),116)</f>
        <v>116</v>
      </c>
      <c r="E1821" s="2">
        <f ca="1">IFERROR(__xludf.DUMMYFUNCTION("""COMPUTED_VALUE"""),99600)</f>
        <v>99600</v>
      </c>
      <c r="F1821" s="2" t="str">
        <f ca="1">IFERROR(__xludf.DUMMYFUNCTION("""COMPUTED_VALUE"""),"Bonarda")</f>
        <v>Bonarda</v>
      </c>
      <c r="G1821" s="2">
        <f ca="1">IFERROR(__xludf.DUMMYFUNCTION("""COMPUTED_VALUE"""),75000)</f>
        <v>75000</v>
      </c>
      <c r="H1821" s="2">
        <f ca="1">IFERROR(__xludf.DUMMYFUNCTION("""COMPUTED_VALUE"""),99600)</f>
        <v>99600</v>
      </c>
      <c r="I1821" s="2"/>
      <c r="J1821" s="2"/>
      <c r="K1821" s="2" t="str">
        <f ca="1">IFERROR(__xludf.DUMMYFUNCTION("""COMPUTED_VALUE"""),"Descubada")</f>
        <v>Descubada</v>
      </c>
      <c r="L1821" s="2"/>
      <c r="M1821" s="2" t="str">
        <f ca="1">IFERROR(__xludf.DUMMYFUNCTION("""COMPUTED_VALUE"""),"Tinto")</f>
        <v>Tinto</v>
      </c>
    </row>
    <row r="1822" spans="1:13" x14ac:dyDescent="0.25">
      <c r="A1822" s="2" t="str">
        <f ca="1">IFERROR(__xludf.DUMMYFUNCTION("""COMPUTED_VALUE"""),"414dde72")</f>
        <v>414dde72</v>
      </c>
      <c r="B1822" s="2"/>
      <c r="C1822" s="5">
        <f ca="1">IFERROR(__xludf.DUMMYFUNCTION("""COMPUTED_VALUE"""),46128.8358101851)</f>
        <v>46128.835810185097</v>
      </c>
      <c r="D1822" s="2">
        <f ca="1">IFERROR(__xludf.DUMMYFUNCTION("""COMPUTED_VALUE"""),28)</f>
        <v>28</v>
      </c>
      <c r="E1822" s="2">
        <f ca="1">IFERROR(__xludf.DUMMYFUNCTION("""COMPUTED_VALUE"""),216000)</f>
        <v>216000</v>
      </c>
      <c r="F1822" s="2" t="str">
        <f ca="1">IFERROR(__xludf.DUMMYFUNCTION("""COMPUTED_VALUE"""),"Bonarda Maq")</f>
        <v>Bonarda Maq</v>
      </c>
      <c r="G1822" s="2">
        <f ca="1">IFERROR(__xludf.DUMMYFUNCTION("""COMPUTED_VALUE"""),0)</f>
        <v>0</v>
      </c>
      <c r="H1822" s="2">
        <f ca="1">IFERROR(__xludf.DUMMYFUNCTION("""COMPUTED_VALUE"""),36000)</f>
        <v>36000</v>
      </c>
      <c r="I1822" s="2"/>
      <c r="J1822" s="2"/>
      <c r="K1822" s="2" t="str">
        <f ca="1">IFERROR(__xludf.DUMMYFUNCTION("""COMPUTED_VALUE"""),"Descubada")</f>
        <v>Descubada</v>
      </c>
      <c r="L1822" s="2"/>
      <c r="M1822" s="2" t="str">
        <f ca="1">IFERROR(__xludf.DUMMYFUNCTION("""COMPUTED_VALUE"""),"Tinto")</f>
        <v>Tinto</v>
      </c>
    </row>
    <row r="1823" spans="1:13" x14ac:dyDescent="0.25">
      <c r="A1823" s="2" t="str">
        <f ca="1">IFERROR(__xludf.DUMMYFUNCTION("""COMPUTED_VALUE"""),"d3360e8f")</f>
        <v>d3360e8f</v>
      </c>
      <c r="B1823" s="2"/>
      <c r="C1823" s="5">
        <f ca="1">IFERROR(__xludf.DUMMYFUNCTION("""COMPUTED_VALUE"""),46128.8363773148)</f>
        <v>46128.836377314801</v>
      </c>
      <c r="D1823" s="2">
        <f ca="1">IFERROR(__xludf.DUMMYFUNCTION("""COMPUTED_VALUE"""),28)</f>
        <v>28</v>
      </c>
      <c r="E1823" s="2">
        <f ca="1">IFERROR(__xludf.DUMMYFUNCTION("""COMPUTED_VALUE"""),216000)</f>
        <v>216000</v>
      </c>
      <c r="F1823" s="2" t="str">
        <f ca="1">IFERROR(__xludf.DUMMYFUNCTION("""COMPUTED_VALUE"""),"Bonarda Maq")</f>
        <v>Bonarda Maq</v>
      </c>
      <c r="G1823" s="2">
        <f ca="1">IFERROR(__xludf.DUMMYFUNCTION("""COMPUTED_VALUE"""),36000)</f>
        <v>36000</v>
      </c>
      <c r="H1823" s="2">
        <f ca="1">IFERROR(__xludf.DUMMYFUNCTION("""COMPUTED_VALUE"""),80500)</f>
        <v>80500</v>
      </c>
      <c r="I1823" s="2"/>
      <c r="J1823" s="2"/>
      <c r="K1823" s="2" t="str">
        <f ca="1">IFERROR(__xludf.DUMMYFUNCTION("""COMPUTED_VALUE"""),"Descubada")</f>
        <v>Descubada</v>
      </c>
      <c r="L1823" s="2"/>
      <c r="M1823" s="2" t="str">
        <f ca="1">IFERROR(__xludf.DUMMYFUNCTION("""COMPUTED_VALUE"""),"Tinto")</f>
        <v>Tinto</v>
      </c>
    </row>
    <row r="1824" spans="1:13" x14ac:dyDescent="0.25">
      <c r="A1824" s="2" t="str">
        <f ca="1">IFERROR(__xludf.DUMMYFUNCTION("""COMPUTED_VALUE"""),"0e31125c")</f>
        <v>0e31125c</v>
      </c>
      <c r="B1824" s="2"/>
      <c r="C1824" s="5">
        <f ca="1">IFERROR(__xludf.DUMMYFUNCTION("""COMPUTED_VALUE"""),46128.8401273148)</f>
        <v>46128.840127314797</v>
      </c>
      <c r="D1824" s="2">
        <f ca="1">IFERROR(__xludf.DUMMYFUNCTION("""COMPUTED_VALUE"""),54)</f>
        <v>54</v>
      </c>
      <c r="E1824" s="2">
        <f ca="1">IFERROR(__xludf.DUMMYFUNCTION("""COMPUTED_VALUE"""),22900)</f>
        <v>22900</v>
      </c>
      <c r="F1824" s="2" t="str">
        <f ca="1">IFERROR(__xludf.DUMMYFUNCTION("""COMPUTED_VALUE"""),"Cabernet Sauvignon Rect")</f>
        <v>Cabernet Sauvignon Rect</v>
      </c>
      <c r="G1824" s="2">
        <f ca="1">IFERROR(__xludf.DUMMYFUNCTION("""COMPUTED_VALUE"""),17100)</f>
        <v>17100</v>
      </c>
      <c r="H1824" s="2">
        <f ca="1">IFERROR(__xludf.DUMMYFUNCTION("""COMPUTED_VALUE"""),15100)</f>
        <v>15100</v>
      </c>
      <c r="I1824" s="2"/>
      <c r="J1824" s="2"/>
      <c r="K1824" s="2" t="str">
        <f ca="1">IFERROR(__xludf.DUMMYFUNCTION("""COMPUTED_VALUE"""),"Rectificado")</f>
        <v>Rectificado</v>
      </c>
      <c r="L1824" s="2" t="str">
        <f ca="1">IFERROR(__xludf.DUMMYFUNCTION("""COMPUTED_VALUE"""),"1")</f>
        <v>1</v>
      </c>
      <c r="M1824" s="2" t="str">
        <f ca="1">IFERROR(__xludf.DUMMYFUNCTION("""COMPUTED_VALUE"""),"Tinto")</f>
        <v>Tinto</v>
      </c>
    </row>
    <row r="1825" spans="1:13" x14ac:dyDescent="0.25">
      <c r="A1825" s="2" t="str">
        <f ca="1">IFERROR(__xludf.DUMMYFUNCTION("""COMPUTED_VALUE"""),"f3a4db59")</f>
        <v>f3a4db59</v>
      </c>
      <c r="B1825" s="2"/>
      <c r="C1825" s="5">
        <f ca="1">IFERROR(__xludf.DUMMYFUNCTION("""COMPUTED_VALUE"""),46128.8403587962)</f>
        <v>46128.840358796297</v>
      </c>
      <c r="D1825" s="2">
        <f ca="1">IFERROR(__xludf.DUMMYFUNCTION("""COMPUTED_VALUE"""),54)</f>
        <v>54</v>
      </c>
      <c r="E1825" s="2">
        <f ca="1">IFERROR(__xludf.DUMMYFUNCTION("""COMPUTED_VALUE"""),22900)</f>
        <v>22900</v>
      </c>
      <c r="F1825" s="2" t="str">
        <f ca="1">IFERROR(__xludf.DUMMYFUNCTION("""COMPUTED_VALUE"""),"Cabernet Sauvignon Rect")</f>
        <v>Cabernet Sauvignon Rect</v>
      </c>
      <c r="G1825" s="2">
        <f ca="1">IFERROR(__xludf.DUMMYFUNCTION("""COMPUTED_VALUE"""),15100)</f>
        <v>15100</v>
      </c>
      <c r="H1825" s="2">
        <f ca="1">IFERROR(__xludf.DUMMYFUNCTION("""COMPUTED_VALUE"""),13100)</f>
        <v>13100</v>
      </c>
      <c r="I1825" s="2"/>
      <c r="J1825" s="2"/>
      <c r="K1825" s="2" t="str">
        <f ca="1">IFERROR(__xludf.DUMMYFUNCTION("""COMPUTED_VALUE"""),"Rectificado")</f>
        <v>Rectificado</v>
      </c>
      <c r="L1825" s="2" t="str">
        <f ca="1">IFERROR(__xludf.DUMMYFUNCTION("""COMPUTED_VALUE"""),"1")</f>
        <v>1</v>
      </c>
      <c r="M1825" s="2" t="str">
        <f ca="1">IFERROR(__xludf.DUMMYFUNCTION("""COMPUTED_VALUE"""),"Tinto")</f>
        <v>Tinto</v>
      </c>
    </row>
    <row r="1826" spans="1:13" x14ac:dyDescent="0.25">
      <c r="A1826" s="2" t="str">
        <f ca="1">IFERROR(__xludf.DUMMYFUNCTION("""COMPUTED_VALUE"""),"d24cdc82")</f>
        <v>d24cdc82</v>
      </c>
      <c r="B1826" s="2"/>
      <c r="C1826" s="5">
        <f ca="1">IFERROR(__xludf.DUMMYFUNCTION("""COMPUTED_VALUE"""),46128.840636574)</f>
        <v>46128.840636574001</v>
      </c>
      <c r="D1826" s="2">
        <f ca="1">IFERROR(__xludf.DUMMYFUNCTION("""COMPUTED_VALUE"""),54)</f>
        <v>54</v>
      </c>
      <c r="E1826" s="2">
        <f ca="1">IFERROR(__xludf.DUMMYFUNCTION("""COMPUTED_VALUE"""),22900)</f>
        <v>22900</v>
      </c>
      <c r="F1826" s="2" t="str">
        <f ca="1">IFERROR(__xludf.DUMMYFUNCTION("""COMPUTED_VALUE"""),"Cabernet Sauvignon Rect")</f>
        <v>Cabernet Sauvignon Rect</v>
      </c>
      <c r="G1826" s="2">
        <f ca="1">IFERROR(__xludf.DUMMYFUNCTION("""COMPUTED_VALUE"""),13100)</f>
        <v>13100</v>
      </c>
      <c r="H1826" s="2">
        <f ca="1">IFERROR(__xludf.DUMMYFUNCTION("""COMPUTED_VALUE"""),11100)</f>
        <v>11100</v>
      </c>
      <c r="I1826" s="2"/>
      <c r="J1826" s="2"/>
      <c r="K1826" s="2" t="str">
        <f ca="1">IFERROR(__xludf.DUMMYFUNCTION("""COMPUTED_VALUE"""),"Rectificado")</f>
        <v>Rectificado</v>
      </c>
      <c r="L1826" s="2" t="str">
        <f ca="1">IFERROR(__xludf.DUMMYFUNCTION("""COMPUTED_VALUE"""),"1")</f>
        <v>1</v>
      </c>
      <c r="M1826" s="2" t="str">
        <f ca="1">IFERROR(__xludf.DUMMYFUNCTION("""COMPUTED_VALUE"""),"Tinto")</f>
        <v>Tinto</v>
      </c>
    </row>
    <row r="1827" spans="1:13" x14ac:dyDescent="0.25">
      <c r="A1827" s="2" t="str">
        <f ca="1">IFERROR(__xludf.DUMMYFUNCTION("""COMPUTED_VALUE"""),"2ea78e63")</f>
        <v>2ea78e63</v>
      </c>
      <c r="B1827" s="2"/>
      <c r="C1827" s="5">
        <f ca="1">IFERROR(__xludf.DUMMYFUNCTION("""COMPUTED_VALUE"""),46128.8410185185)</f>
        <v>46128.841018518498</v>
      </c>
      <c r="D1827" s="2">
        <f ca="1">IFERROR(__xludf.DUMMYFUNCTION("""COMPUTED_VALUE"""),54)</f>
        <v>54</v>
      </c>
      <c r="E1827" s="2">
        <f ca="1">IFERROR(__xludf.DUMMYFUNCTION("""COMPUTED_VALUE"""),22900)</f>
        <v>22900</v>
      </c>
      <c r="F1827" s="2" t="str">
        <f ca="1">IFERROR(__xludf.DUMMYFUNCTION("""COMPUTED_VALUE"""),"Cabernet Sauvignon Rect")</f>
        <v>Cabernet Sauvignon Rect</v>
      </c>
      <c r="G1827" s="2">
        <f ca="1">IFERROR(__xludf.DUMMYFUNCTION("""COMPUTED_VALUE"""),11100)</f>
        <v>11100</v>
      </c>
      <c r="H1827" s="2">
        <f ca="1">IFERROR(__xludf.DUMMYFUNCTION("""COMPUTED_VALUE"""),10100)</f>
        <v>10100</v>
      </c>
      <c r="I1827" s="2"/>
      <c r="J1827" s="2"/>
      <c r="K1827" s="2" t="str">
        <f ca="1">IFERROR(__xludf.DUMMYFUNCTION("""COMPUTED_VALUE"""),"Rectificado")</f>
        <v>Rectificado</v>
      </c>
      <c r="L1827" s="2" t="str">
        <f ca="1">IFERROR(__xludf.DUMMYFUNCTION("""COMPUTED_VALUE"""),"1")</f>
        <v>1</v>
      </c>
      <c r="M1827" s="2" t="str">
        <f ca="1">IFERROR(__xludf.DUMMYFUNCTION("""COMPUTED_VALUE"""),"Tinto")</f>
        <v>Tinto</v>
      </c>
    </row>
    <row r="1828" spans="1:13" x14ac:dyDescent="0.25">
      <c r="A1828" s="2" t="str">
        <f ca="1">IFERROR(__xludf.DUMMYFUNCTION("""COMPUTED_VALUE"""),"27c9b381")</f>
        <v>27c9b381</v>
      </c>
      <c r="B1828" s="2"/>
      <c r="C1828" s="5">
        <f ca="1">IFERROR(__xludf.DUMMYFUNCTION("""COMPUTED_VALUE"""),46128.8412962963)</f>
        <v>46128.841296296298</v>
      </c>
      <c r="D1828" s="2">
        <f ca="1">IFERROR(__xludf.DUMMYFUNCTION("""COMPUTED_VALUE"""),54)</f>
        <v>54</v>
      </c>
      <c r="E1828" s="2">
        <f ca="1">IFERROR(__xludf.DUMMYFUNCTION("""COMPUTED_VALUE"""),22900)</f>
        <v>22900</v>
      </c>
      <c r="F1828" s="2" t="str">
        <f ca="1">IFERROR(__xludf.DUMMYFUNCTION("""COMPUTED_VALUE"""),"Cabernet Sauvignon Rect")</f>
        <v>Cabernet Sauvignon Rect</v>
      </c>
      <c r="G1828" s="2">
        <f ca="1">IFERROR(__xludf.DUMMYFUNCTION("""COMPUTED_VALUE"""),10100)</f>
        <v>10100</v>
      </c>
      <c r="H1828" s="2">
        <f ca="1">IFERROR(__xludf.DUMMYFUNCTION("""COMPUTED_VALUE"""),8100)</f>
        <v>8100</v>
      </c>
      <c r="I1828" s="2"/>
      <c r="J1828" s="2"/>
      <c r="K1828" s="2" t="str">
        <f ca="1">IFERROR(__xludf.DUMMYFUNCTION("""COMPUTED_VALUE"""),"Rectificado")</f>
        <v>Rectificado</v>
      </c>
      <c r="L1828" s="2" t="str">
        <f ca="1">IFERROR(__xludf.DUMMYFUNCTION("""COMPUTED_VALUE"""),"1")</f>
        <v>1</v>
      </c>
      <c r="M1828" s="2" t="str">
        <f ca="1">IFERROR(__xludf.DUMMYFUNCTION("""COMPUTED_VALUE"""),"Tinto")</f>
        <v>Tinto</v>
      </c>
    </row>
    <row r="1829" spans="1:13" x14ac:dyDescent="0.25">
      <c r="A1829" s="2" t="str">
        <f ca="1">IFERROR(__xludf.DUMMYFUNCTION("""COMPUTED_VALUE"""),"e849909d")</f>
        <v>e849909d</v>
      </c>
      <c r="B1829" s="2"/>
      <c r="C1829" s="5">
        <f ca="1">IFERROR(__xludf.DUMMYFUNCTION("""COMPUTED_VALUE"""),46128.841724537)</f>
        <v>46128.841724537</v>
      </c>
      <c r="D1829" s="2">
        <f ca="1">IFERROR(__xludf.DUMMYFUNCTION("""COMPUTED_VALUE"""),54)</f>
        <v>54</v>
      </c>
      <c r="E1829" s="2">
        <f ca="1">IFERROR(__xludf.DUMMYFUNCTION("""COMPUTED_VALUE"""),22900)</f>
        <v>22900</v>
      </c>
      <c r="F1829" s="2" t="str">
        <f ca="1">IFERROR(__xludf.DUMMYFUNCTION("""COMPUTED_VALUE"""),"Cabernet Sauvignon Rect")</f>
        <v>Cabernet Sauvignon Rect</v>
      </c>
      <c r="G1829" s="2">
        <f ca="1">IFERROR(__xludf.DUMMYFUNCTION("""COMPUTED_VALUE"""),8100)</f>
        <v>8100</v>
      </c>
      <c r="H1829" s="2">
        <f ca="1">IFERROR(__xludf.DUMMYFUNCTION("""COMPUTED_VALUE"""),5100)</f>
        <v>5100</v>
      </c>
      <c r="I1829" s="2"/>
      <c r="J1829" s="2"/>
      <c r="K1829" s="2" t="str">
        <f ca="1">IFERROR(__xludf.DUMMYFUNCTION("""COMPUTED_VALUE"""),"Rectificado")</f>
        <v>Rectificado</v>
      </c>
      <c r="L1829" s="2" t="str">
        <f ca="1">IFERROR(__xludf.DUMMYFUNCTION("""COMPUTED_VALUE"""),"1")</f>
        <v>1</v>
      </c>
      <c r="M1829" s="2" t="str">
        <f ca="1">IFERROR(__xludf.DUMMYFUNCTION("""COMPUTED_VALUE"""),"Tinto")</f>
        <v>Tinto</v>
      </c>
    </row>
    <row r="1830" spans="1:13" x14ac:dyDescent="0.25">
      <c r="A1830" s="2" t="str">
        <f ca="1">IFERROR(__xludf.DUMMYFUNCTION("""COMPUTED_VALUE"""),"05b13639")</f>
        <v>05b13639</v>
      </c>
      <c r="B1830" s="2"/>
      <c r="C1830" s="5">
        <f ca="1">IFERROR(__xludf.DUMMYFUNCTION("""COMPUTED_VALUE"""),46128.8422337963)</f>
        <v>46128.842233796298</v>
      </c>
      <c r="D1830" s="2">
        <f ca="1">IFERROR(__xludf.DUMMYFUNCTION("""COMPUTED_VALUE"""),54)</f>
        <v>54</v>
      </c>
      <c r="E1830" s="2">
        <f ca="1">IFERROR(__xludf.DUMMYFUNCTION("""COMPUTED_VALUE"""),22900)</f>
        <v>22900</v>
      </c>
      <c r="F1830" s="2" t="str">
        <f ca="1">IFERROR(__xludf.DUMMYFUNCTION("""COMPUTED_VALUE"""),"Cabernet Sauvignon Rect")</f>
        <v>Cabernet Sauvignon Rect</v>
      </c>
      <c r="G1830" s="2">
        <f ca="1">IFERROR(__xludf.DUMMYFUNCTION("""COMPUTED_VALUE"""),5100)</f>
        <v>5100</v>
      </c>
      <c r="H1830" s="2">
        <f ca="1">IFERROR(__xludf.DUMMYFUNCTION("""COMPUTED_VALUE"""),2100)</f>
        <v>2100</v>
      </c>
      <c r="I1830" s="2"/>
      <c r="J1830" s="2"/>
      <c r="K1830" s="2" t="str">
        <f ca="1">IFERROR(__xludf.DUMMYFUNCTION("""COMPUTED_VALUE"""),"Rectificado")</f>
        <v>Rectificado</v>
      </c>
      <c r="L1830" s="2" t="str">
        <f ca="1">IFERROR(__xludf.DUMMYFUNCTION("""COMPUTED_VALUE"""),"1")</f>
        <v>1</v>
      </c>
      <c r="M1830" s="2" t="str">
        <f ca="1">IFERROR(__xludf.DUMMYFUNCTION("""COMPUTED_VALUE"""),"Tinto")</f>
        <v>Tinto</v>
      </c>
    </row>
    <row r="1831" spans="1:13" x14ac:dyDescent="0.25">
      <c r="A1831" s="2" t="str">
        <f ca="1">IFERROR(__xludf.DUMMYFUNCTION("""COMPUTED_VALUE"""),"e9d22477")</f>
        <v>e9d22477</v>
      </c>
      <c r="B1831" s="2"/>
      <c r="C1831" s="5">
        <f ca="1">IFERROR(__xludf.DUMMYFUNCTION("""COMPUTED_VALUE"""),46128.842511574)</f>
        <v>46128.842511574003</v>
      </c>
      <c r="D1831" s="2">
        <f ca="1">IFERROR(__xludf.DUMMYFUNCTION("""COMPUTED_VALUE"""),54)</f>
        <v>54</v>
      </c>
      <c r="E1831" s="2">
        <f ca="1">IFERROR(__xludf.DUMMYFUNCTION("""COMPUTED_VALUE"""),22900)</f>
        <v>22900</v>
      </c>
      <c r="F1831" s="2" t="str">
        <f ca="1">IFERROR(__xludf.DUMMYFUNCTION("""COMPUTED_VALUE"""),"Cabernet Sauvignon Rect")</f>
        <v>Cabernet Sauvignon Rect</v>
      </c>
      <c r="G1831" s="2">
        <f ca="1">IFERROR(__xludf.DUMMYFUNCTION("""COMPUTED_VALUE"""),2100)</f>
        <v>2100</v>
      </c>
      <c r="H1831" s="2">
        <f ca="1">IFERROR(__xludf.DUMMYFUNCTION("""COMPUTED_VALUE"""),0)</f>
        <v>0</v>
      </c>
      <c r="I1831" s="2"/>
      <c r="J1831" s="2"/>
      <c r="K1831" s="2" t="str">
        <f ca="1">IFERROR(__xludf.DUMMYFUNCTION("""COMPUTED_VALUE"""),"Rectificado")</f>
        <v>Rectificado</v>
      </c>
      <c r="L1831" s="2" t="str">
        <f ca="1">IFERROR(__xludf.DUMMYFUNCTION("""COMPUTED_VALUE"""),"1")</f>
        <v>1</v>
      </c>
      <c r="M1831" s="2" t="str">
        <f ca="1">IFERROR(__xludf.DUMMYFUNCTION("""COMPUTED_VALUE"""),"Tinto")</f>
        <v>Tinto</v>
      </c>
    </row>
    <row r="1832" spans="1:13" x14ac:dyDescent="0.25">
      <c r="A1832" s="2" t="str">
        <f ca="1">IFERROR(__xludf.DUMMYFUNCTION("""COMPUTED_VALUE"""),"f9c4a069")</f>
        <v>f9c4a069</v>
      </c>
      <c r="B1832" s="2"/>
      <c r="C1832" s="5">
        <f ca="1">IFERROR(__xludf.DUMMYFUNCTION("""COMPUTED_VALUE"""),46128.8437731481)</f>
        <v>46128.843773148103</v>
      </c>
      <c r="D1832" s="2">
        <f ca="1">IFERROR(__xludf.DUMMYFUNCTION("""COMPUTED_VALUE"""),96)</f>
        <v>96</v>
      </c>
      <c r="E1832" s="2">
        <f ca="1">IFERROR(__xludf.DUMMYFUNCTION("""COMPUTED_VALUE"""),85600)</f>
        <v>85600</v>
      </c>
      <c r="F1832" s="2" t="str">
        <f ca="1">IFERROR(__xludf.DUMMYFUNCTION("""COMPUTED_VALUE"""),"Criolla Recarga PC")</f>
        <v>Criolla Recarga PC</v>
      </c>
      <c r="G1832" s="2">
        <f ca="1">IFERROR(__xludf.DUMMYFUNCTION("""COMPUTED_VALUE"""),31500)</f>
        <v>31500</v>
      </c>
      <c r="H1832" s="2">
        <f ca="1">IFERROR(__xludf.DUMMYFUNCTION("""COMPUTED_VALUE"""),29500)</f>
        <v>29500</v>
      </c>
      <c r="I1832" s="2"/>
      <c r="J1832" s="2"/>
      <c r="K1832" s="2" t="str">
        <f ca="1">IFERROR(__xludf.DUMMYFUNCTION("""COMPUTED_VALUE"""),"Recarga Fermentando")</f>
        <v>Recarga Fermentando</v>
      </c>
      <c r="L1832" s="2"/>
      <c r="M1832" s="2" t="str">
        <f ca="1">IFERROR(__xludf.DUMMYFUNCTION("""COMPUTED_VALUE"""),"Tinto")</f>
        <v>Tinto</v>
      </c>
    </row>
    <row r="1833" spans="1:13" x14ac:dyDescent="0.25">
      <c r="A1833" s="2" t="str">
        <f ca="1">IFERROR(__xludf.DUMMYFUNCTION("""COMPUTED_VALUE"""),"b823331d")</f>
        <v>b823331d</v>
      </c>
      <c r="B1833" s="2"/>
      <c r="C1833" s="5">
        <f ca="1">IFERROR(__xludf.DUMMYFUNCTION("""COMPUTED_VALUE"""),46127.8458333333)</f>
        <v>46127.845833333296</v>
      </c>
      <c r="D1833" s="2">
        <f ca="1">IFERROR(__xludf.DUMMYFUNCTION("""COMPUTED_VALUE"""),117)</f>
        <v>117</v>
      </c>
      <c r="E1833" s="2">
        <f ca="1">IFERROR(__xludf.DUMMYFUNCTION("""COMPUTED_VALUE"""),96600)</f>
        <v>96600</v>
      </c>
      <c r="F1833" s="2" t="str">
        <f ca="1">IFERROR(__xludf.DUMMYFUNCTION("""COMPUTED_VALUE"""),"Criolla Mosto")</f>
        <v>Criolla Mosto</v>
      </c>
      <c r="G1833" s="2"/>
      <c r="H1833" s="2">
        <f ca="1">IFERROR(__xludf.DUMMYFUNCTION("""COMPUTED_VALUE"""),32000)</f>
        <v>32000</v>
      </c>
      <c r="I1833" s="2"/>
      <c r="J1833" s="2" t="str">
        <f ca="1">IFERROR(__xludf.DUMMYFUNCTION("""COMPUTED_VALUE"""),"6536 , 6537 , 6539 , 6540 , 6541")</f>
        <v>6536 , 6537 , 6539 , 6540 , 6541</v>
      </c>
      <c r="K1833" s="2" t="str">
        <f ca="1">IFERROR(__xludf.DUMMYFUNCTION("""COMPUTED_VALUE"""),"Mosto")</f>
        <v>Mosto</v>
      </c>
      <c r="L1833" s="2"/>
      <c r="M1833" s="2" t="str">
        <f ca="1">IFERROR(__xludf.DUMMYFUNCTION("""COMPUTED_VALUE"""),"Tinto")</f>
        <v>Tinto</v>
      </c>
    </row>
    <row r="1834" spans="1:13" x14ac:dyDescent="0.25">
      <c r="A1834" s="2" t="str">
        <f ca="1">IFERROR(__xludf.DUMMYFUNCTION("""COMPUTED_VALUE"""),"0639975d")</f>
        <v>0639975d</v>
      </c>
      <c r="B1834" s="2"/>
      <c r="C1834" s="5">
        <f ca="1">IFERROR(__xludf.DUMMYFUNCTION("""COMPUTED_VALUE"""),46128.8536458333)</f>
        <v>46128.853645833296</v>
      </c>
      <c r="D1834" s="2">
        <f ca="1">IFERROR(__xludf.DUMMYFUNCTION("""COMPUTED_VALUE"""),34)</f>
        <v>34</v>
      </c>
      <c r="E1834" s="2">
        <f ca="1">IFERROR(__xludf.DUMMYFUNCTION("""COMPUTED_VALUE"""),39500)</f>
        <v>39500</v>
      </c>
      <c r="F1834" s="2" t="str">
        <f ca="1">IFERROR(__xludf.DUMMYFUNCTION("""COMPUTED_VALUE"""),"Criolla")</f>
        <v>Criolla</v>
      </c>
      <c r="G1834" s="2">
        <f ca="1">IFERROR(__xludf.DUMMYFUNCTION("""COMPUTED_VALUE"""),24020)</f>
        <v>24020</v>
      </c>
      <c r="H1834" s="2">
        <f ca="1">IFERROR(__xludf.DUMMYFUNCTION("""COMPUTED_VALUE"""),36020)</f>
        <v>36020</v>
      </c>
      <c r="I1834" s="2"/>
      <c r="J1834" s="2"/>
      <c r="K1834" s="2" t="str">
        <f ca="1">IFERROR(__xludf.DUMMYFUNCTION("""COMPUTED_VALUE"""),"Descubada")</f>
        <v>Descubada</v>
      </c>
      <c r="L1834" s="2"/>
      <c r="M1834" s="2" t="str">
        <f ca="1">IFERROR(__xludf.DUMMYFUNCTION("""COMPUTED_VALUE"""),"Tinto")</f>
        <v>Tinto</v>
      </c>
    </row>
    <row r="1835" spans="1:13" x14ac:dyDescent="0.25">
      <c r="A1835" s="2" t="str">
        <f ca="1">IFERROR(__xludf.DUMMYFUNCTION("""COMPUTED_VALUE"""),"4c8bfcfe")</f>
        <v>4c8bfcfe</v>
      </c>
      <c r="B1835" s="2"/>
      <c r="C1835" s="5">
        <f ca="1">IFERROR(__xludf.DUMMYFUNCTION("""COMPUTED_VALUE"""),46128.853761574)</f>
        <v>46128.853761573999</v>
      </c>
      <c r="D1835" s="2">
        <f ca="1">IFERROR(__xludf.DUMMYFUNCTION("""COMPUTED_VALUE"""),34)</f>
        <v>34</v>
      </c>
      <c r="E1835" s="2">
        <f ca="1">IFERROR(__xludf.DUMMYFUNCTION("""COMPUTED_VALUE"""),39500)</f>
        <v>39500</v>
      </c>
      <c r="F1835" s="2" t="str">
        <f ca="1">IFERROR(__xludf.DUMMYFUNCTION("""COMPUTED_VALUE"""),"Criolla")</f>
        <v>Criolla</v>
      </c>
      <c r="G1835" s="2">
        <f ca="1">IFERROR(__xludf.DUMMYFUNCTION("""COMPUTED_VALUE"""),36020)</f>
        <v>36020</v>
      </c>
      <c r="H1835" s="2">
        <f ca="1">IFERROR(__xludf.DUMMYFUNCTION("""COMPUTED_VALUE"""),39500)</f>
        <v>39500</v>
      </c>
      <c r="I1835" s="2"/>
      <c r="J1835" s="2"/>
      <c r="K1835" s="2" t="str">
        <f ca="1">IFERROR(__xludf.DUMMYFUNCTION("""COMPUTED_VALUE"""),"Descubada")</f>
        <v>Descubada</v>
      </c>
      <c r="L1835" s="2" t="str">
        <f ca="1">IFERROR(__xludf.DUMMYFUNCTION("""COMPUTED_VALUE"""),"1")</f>
        <v>1</v>
      </c>
      <c r="M1835" s="2" t="str">
        <f ca="1">IFERROR(__xludf.DUMMYFUNCTION("""COMPUTED_VALUE"""),"Tinto")</f>
        <v>Tinto</v>
      </c>
    </row>
    <row r="1836" spans="1:13" x14ac:dyDescent="0.25">
      <c r="A1836" s="2" t="str">
        <f ca="1">IFERROR(__xludf.DUMMYFUNCTION("""COMPUTED_VALUE"""),"01d16622")</f>
        <v>01d16622</v>
      </c>
      <c r="B1836" s="2"/>
      <c r="C1836" s="5">
        <f ca="1">IFERROR(__xludf.DUMMYFUNCTION("""COMPUTED_VALUE"""),46128.8572453703)</f>
        <v>46128.857245370302</v>
      </c>
      <c r="D1836" s="2">
        <f ca="1">IFERROR(__xludf.DUMMYFUNCTION("""COMPUTED_VALUE"""),92)</f>
        <v>92</v>
      </c>
      <c r="E1836" s="2">
        <f ca="1">IFERROR(__xludf.DUMMYFUNCTION("""COMPUTED_VALUE"""),76000)</f>
        <v>76000</v>
      </c>
      <c r="F1836" s="2" t="str">
        <f ca="1">IFERROR(__xludf.DUMMYFUNCTION("""COMPUTED_VALUE"""),"Criolla Recarga")</f>
        <v>Criolla Recarga</v>
      </c>
      <c r="G1836" s="2">
        <f ca="1">IFERROR(__xludf.DUMMYFUNCTION("""COMPUTED_VALUE"""),26400)</f>
        <v>26400</v>
      </c>
      <c r="H1836" s="2">
        <f ca="1">IFERROR(__xludf.DUMMYFUNCTION("""COMPUTED_VALUE"""),53400)</f>
        <v>53400</v>
      </c>
      <c r="I1836" s="2"/>
      <c r="J1836" s="2"/>
      <c r="K1836" s="2" t="str">
        <f ca="1">IFERROR(__xludf.DUMMYFUNCTION("""COMPUTED_VALUE"""),"Recarga Fermentando")</f>
        <v>Recarga Fermentando</v>
      </c>
      <c r="L1836" s="2"/>
      <c r="M1836" s="2" t="str">
        <f ca="1">IFERROR(__xludf.DUMMYFUNCTION("""COMPUTED_VALUE"""),"Tinto")</f>
        <v>Tinto</v>
      </c>
    </row>
    <row r="1837" spans="1:13" x14ac:dyDescent="0.25">
      <c r="A1837" s="2" t="str">
        <f ca="1">IFERROR(__xludf.DUMMYFUNCTION("""COMPUTED_VALUE"""),"531869ce")</f>
        <v>531869ce</v>
      </c>
      <c r="B1837" s="2"/>
      <c r="C1837" s="5">
        <f ca="1">IFERROR(__xludf.DUMMYFUNCTION("""COMPUTED_VALUE"""),46128.8576388888)</f>
        <v>46128.857638888803</v>
      </c>
      <c r="D1837" s="2">
        <f ca="1">IFERROR(__xludf.DUMMYFUNCTION("""COMPUTED_VALUE"""),14)</f>
        <v>14</v>
      </c>
      <c r="E1837" s="2">
        <f ca="1">IFERROR(__xludf.DUMMYFUNCTION("""COMPUTED_VALUE"""),37000)</f>
        <v>37000</v>
      </c>
      <c r="F1837" s="2" t="str">
        <f ca="1">IFERROR(__xludf.DUMMYFUNCTION("""COMPUTED_VALUE"""),"Criolla con Claro filtro")</f>
        <v>Criolla con Claro filtro</v>
      </c>
      <c r="G1837" s="2">
        <f ca="1">IFERROR(__xludf.DUMMYFUNCTION("""COMPUTED_VALUE"""),19000)</f>
        <v>19000</v>
      </c>
      <c r="H1837" s="2">
        <f ca="1">IFERROR(__xludf.DUMMYFUNCTION("""COMPUTED_VALUE"""),24000)</f>
        <v>24000</v>
      </c>
      <c r="I1837" s="2"/>
      <c r="J1837" s="2"/>
      <c r="K1837" s="2" t="str">
        <f ca="1">IFERROR(__xludf.DUMMYFUNCTION("""COMPUTED_VALUE"""),"Fermentando")</f>
        <v>Fermentando</v>
      </c>
      <c r="L1837" s="2"/>
      <c r="M1837" s="2" t="str">
        <f ca="1">IFERROR(__xludf.DUMMYFUNCTION("""COMPUTED_VALUE"""),"Tinto")</f>
        <v>Tinto</v>
      </c>
    </row>
    <row r="1838" spans="1:13" x14ac:dyDescent="0.25">
      <c r="A1838" s="2" t="str">
        <f ca="1">IFERROR(__xludf.DUMMYFUNCTION("""COMPUTED_VALUE"""),"4d0ffeff")</f>
        <v>4d0ffeff</v>
      </c>
      <c r="B1838" s="2"/>
      <c r="C1838" s="5">
        <f ca="1">IFERROR(__xludf.DUMMYFUNCTION("""COMPUTED_VALUE"""),46128.8616782407)</f>
        <v>46128.861678240697</v>
      </c>
      <c r="D1838" s="2">
        <f ca="1">IFERROR(__xludf.DUMMYFUNCTION("""COMPUTED_VALUE"""),125)</f>
        <v>125</v>
      </c>
      <c r="E1838" s="2">
        <f ca="1">IFERROR(__xludf.DUMMYFUNCTION("""COMPUTED_VALUE"""),31000)</f>
        <v>31000</v>
      </c>
      <c r="F1838" s="2" t="str">
        <f ca="1">IFERROR(__xludf.DUMMYFUNCTION("""COMPUTED_VALUE"""),"Criolla Mosto")</f>
        <v>Criolla Mosto</v>
      </c>
      <c r="G1838" s="2"/>
      <c r="H1838" s="2">
        <f ca="1">IFERROR(__xludf.DUMMYFUNCTION("""COMPUTED_VALUE"""),27000)</f>
        <v>27000</v>
      </c>
      <c r="I1838" s="2"/>
      <c r="J1838" s="2" t="str">
        <f ca="1">IFERROR(__xludf.DUMMYFUNCTION("""COMPUTED_VALUE"""),"6542 , 6543 , 6544 , 6545")</f>
        <v>6542 , 6543 , 6544 , 6545</v>
      </c>
      <c r="K1838" s="2" t="str">
        <f ca="1">IFERROR(__xludf.DUMMYFUNCTION("""COMPUTED_VALUE"""),"Mosto")</f>
        <v>Mosto</v>
      </c>
      <c r="L1838" s="2"/>
      <c r="M1838" s="2" t="str">
        <f ca="1">IFERROR(__xludf.DUMMYFUNCTION("""COMPUTED_VALUE"""),"Tinto")</f>
        <v>Tinto</v>
      </c>
    </row>
    <row r="1839" spans="1:13" x14ac:dyDescent="0.25">
      <c r="A1839" s="2" t="str">
        <f ca="1">IFERROR(__xludf.DUMMYFUNCTION("""COMPUTED_VALUE"""),"7f528a7d")</f>
        <v>7f528a7d</v>
      </c>
      <c r="B1839" s="2"/>
      <c r="C1839" s="5">
        <f ca="1">IFERROR(__xludf.DUMMYFUNCTION("""COMPUTED_VALUE"""),46128.8634606481)</f>
        <v>46128.863460648099</v>
      </c>
      <c r="D1839" s="2">
        <f ca="1">IFERROR(__xludf.DUMMYFUNCTION("""COMPUTED_VALUE"""),91)</f>
        <v>91</v>
      </c>
      <c r="E1839" s="2">
        <f ca="1">IFERROR(__xludf.DUMMYFUNCTION("""COMPUTED_VALUE"""),86000)</f>
        <v>86000</v>
      </c>
      <c r="F1839" s="2" t="str">
        <f ca="1">IFERROR(__xludf.DUMMYFUNCTION("""COMPUTED_VALUE"""),"Criolla Recarga")</f>
        <v>Criolla Recarga</v>
      </c>
      <c r="G1839" s="2">
        <f ca="1">IFERROR(__xludf.DUMMYFUNCTION("""COMPUTED_VALUE"""),20500)</f>
        <v>20500</v>
      </c>
      <c r="H1839" s="2">
        <f ca="1">IFERROR(__xludf.DUMMYFUNCTION("""COMPUTED_VALUE"""),47500)</f>
        <v>47500</v>
      </c>
      <c r="I1839" s="2"/>
      <c r="J1839" s="2"/>
      <c r="K1839" s="2" t="str">
        <f ca="1">IFERROR(__xludf.DUMMYFUNCTION("""COMPUTED_VALUE"""),"Recarga Fermentando")</f>
        <v>Recarga Fermentando</v>
      </c>
      <c r="L1839" s="2"/>
      <c r="M1839" s="2" t="str">
        <f ca="1">IFERROR(__xludf.DUMMYFUNCTION("""COMPUTED_VALUE"""),"Tinto")</f>
        <v>Tinto</v>
      </c>
    </row>
    <row r="1840" spans="1:13" x14ac:dyDescent="0.25">
      <c r="A1840" s="2" t="str">
        <f ca="1">IFERROR(__xludf.DUMMYFUNCTION("""COMPUTED_VALUE"""),"0b275cb3")</f>
        <v>0b275cb3</v>
      </c>
      <c r="B1840" s="2"/>
      <c r="C1840" s="5">
        <f ca="1">IFERROR(__xludf.DUMMYFUNCTION("""COMPUTED_VALUE"""),46129.7526388888)</f>
        <v>46129.7526388888</v>
      </c>
      <c r="D1840" s="2">
        <f ca="1">IFERROR(__xludf.DUMMYFUNCTION("""COMPUTED_VALUE"""),12)</f>
        <v>12</v>
      </c>
      <c r="E1840" s="2">
        <f ca="1">IFERROR(__xludf.DUMMYFUNCTION("""COMPUTED_VALUE"""),35300)</f>
        <v>35300</v>
      </c>
      <c r="F1840" s="2" t="str">
        <f ca="1">IFERROR(__xludf.DUMMYFUNCTION("""COMPUTED_VALUE"""),"Bonarda C2")</f>
        <v>Bonarda C2</v>
      </c>
      <c r="G1840" s="2">
        <f ca="1">IFERROR(__xludf.DUMMYFUNCTION("""COMPUTED_VALUE"""),0)</f>
        <v>0</v>
      </c>
      <c r="H1840" s="2">
        <f ca="1">IFERROR(__xludf.DUMMYFUNCTION("""COMPUTED_VALUE"""),35300)</f>
        <v>35300</v>
      </c>
      <c r="I1840" s="2"/>
      <c r="J1840" s="2"/>
      <c r="K1840" s="2" t="str">
        <f ca="1">IFERROR(__xludf.DUMMYFUNCTION("""COMPUTED_VALUE"""),"Descubada")</f>
        <v>Descubada</v>
      </c>
      <c r="L1840" s="2"/>
      <c r="M1840" s="2" t="str">
        <f ca="1">IFERROR(__xludf.DUMMYFUNCTION("""COMPUTED_VALUE"""),"Tinto")</f>
        <v>Tinto</v>
      </c>
    </row>
    <row r="1841" spans="1:13" x14ac:dyDescent="0.25">
      <c r="A1841" s="2" t="str">
        <f ca="1">IFERROR(__xludf.DUMMYFUNCTION("""COMPUTED_VALUE"""),"11cf7001")</f>
        <v>11cf7001</v>
      </c>
      <c r="B1841" s="2"/>
      <c r="C1841" s="5">
        <f ca="1">IFERROR(__xludf.DUMMYFUNCTION("""COMPUTED_VALUE"""),46129.755011574)</f>
        <v>46129.755011574001</v>
      </c>
      <c r="D1841" s="2">
        <f ca="1">IFERROR(__xludf.DUMMYFUNCTION("""COMPUTED_VALUE"""),28)</f>
        <v>28</v>
      </c>
      <c r="E1841" s="2">
        <f ca="1">IFERROR(__xludf.DUMMYFUNCTION("""COMPUTED_VALUE"""),216000)</f>
        <v>216000</v>
      </c>
      <c r="F1841" s="2" t="str">
        <f ca="1">IFERROR(__xludf.DUMMYFUNCTION("""COMPUTED_VALUE"""),"Bonarda C2")</f>
        <v>Bonarda C2</v>
      </c>
      <c r="G1841" s="2">
        <f ca="1">IFERROR(__xludf.DUMMYFUNCTION("""COMPUTED_VALUE"""),80500)</f>
        <v>80500</v>
      </c>
      <c r="H1841" s="2">
        <f ca="1">IFERROR(__xludf.DUMMYFUNCTION("""COMPUTED_VALUE"""),89000)</f>
        <v>89000</v>
      </c>
      <c r="I1841" s="2"/>
      <c r="J1841" s="2"/>
      <c r="K1841" s="2" t="str">
        <f ca="1">IFERROR(__xludf.DUMMYFUNCTION("""COMPUTED_VALUE"""),"Fermentando")</f>
        <v>Fermentando</v>
      </c>
      <c r="L1841" s="2"/>
      <c r="M1841" s="2" t="str">
        <f ca="1">IFERROR(__xludf.DUMMYFUNCTION("""COMPUTED_VALUE"""),"Tinto")</f>
        <v>Tinto</v>
      </c>
    </row>
    <row r="1842" spans="1:13" x14ac:dyDescent="0.25">
      <c r="A1842" s="2" t="str">
        <f ca="1">IFERROR(__xludf.DUMMYFUNCTION("""COMPUTED_VALUE"""),"51395f5d")</f>
        <v>51395f5d</v>
      </c>
      <c r="B1842" s="2"/>
      <c r="C1842" s="5">
        <f ca="1">IFERROR(__xludf.DUMMYFUNCTION("""COMPUTED_VALUE"""),46132.9527777777)</f>
        <v>46132.952777777697</v>
      </c>
      <c r="D1842" s="2">
        <f ca="1">IFERROR(__xludf.DUMMYFUNCTION("""COMPUTED_VALUE"""),28)</f>
        <v>28</v>
      </c>
      <c r="E1842" s="2">
        <f ca="1">IFERROR(__xludf.DUMMYFUNCTION("""COMPUTED_VALUE"""),216000)</f>
        <v>216000</v>
      </c>
      <c r="F1842" s="2" t="str">
        <f ca="1">IFERROR(__xludf.DUMMYFUNCTION("""COMPUTED_VALUE"""),"Bonarda C2")</f>
        <v>Bonarda C2</v>
      </c>
      <c r="G1842" s="2">
        <f ca="1">IFERROR(__xludf.DUMMYFUNCTION("""COMPUTED_VALUE"""),89000)</f>
        <v>89000</v>
      </c>
      <c r="H1842" s="2">
        <f ca="1">IFERROR(__xludf.DUMMYFUNCTION("""COMPUTED_VALUE"""),134000)</f>
        <v>134000</v>
      </c>
      <c r="I1842" s="2"/>
      <c r="J1842" s="2"/>
      <c r="K1842" s="2" t="str">
        <f ca="1">IFERROR(__xludf.DUMMYFUNCTION("""COMPUTED_VALUE"""),"Fermentando")</f>
        <v>Fermentando</v>
      </c>
      <c r="L1842" s="2"/>
      <c r="M1842" s="2" t="str">
        <f ca="1">IFERROR(__xludf.DUMMYFUNCTION("""COMPUTED_VALUE"""),"Tinto")</f>
        <v>Tinto</v>
      </c>
    </row>
    <row r="1843" spans="1:13" x14ac:dyDescent="0.25">
      <c r="A1843" s="2" t="str">
        <f ca="1">IFERROR(__xludf.DUMMYFUNCTION("""COMPUTED_VALUE"""),"804a467b")</f>
        <v>804a467b</v>
      </c>
      <c r="B1843" s="2"/>
      <c r="C1843" s="5">
        <f ca="1">IFERROR(__xludf.DUMMYFUNCTION("""COMPUTED_VALUE"""),46132.9538541666)</f>
        <v>46132.953854166597</v>
      </c>
      <c r="D1843" s="2">
        <f ca="1">IFERROR(__xludf.DUMMYFUNCTION("""COMPUTED_VALUE"""),125)</f>
        <v>125</v>
      </c>
      <c r="E1843" s="2">
        <f ca="1">IFERROR(__xludf.DUMMYFUNCTION("""COMPUTED_VALUE"""),31000)</f>
        <v>31000</v>
      </c>
      <c r="F1843" s="2" t="str">
        <f ca="1">IFERROR(__xludf.DUMMYFUNCTION("""COMPUTED_VALUE"""),"Criolla Mosto")</f>
        <v>Criolla Mosto</v>
      </c>
      <c r="G1843" s="2"/>
      <c r="H1843" s="2">
        <f ca="1">IFERROR(__xludf.DUMMYFUNCTION("""COMPUTED_VALUE"""),26000)</f>
        <v>26000</v>
      </c>
      <c r="I1843" s="2"/>
      <c r="J1843" s="2" t="str">
        <f ca="1">IFERROR(__xludf.DUMMYFUNCTION("""COMPUTED_VALUE"""),"6551 , 6552 , 6553 , 6554")</f>
        <v>6551 , 6552 , 6553 , 6554</v>
      </c>
      <c r="K1843" s="2" t="str">
        <f ca="1">IFERROR(__xludf.DUMMYFUNCTION("""COMPUTED_VALUE"""),"Mosto")</f>
        <v>Mosto</v>
      </c>
      <c r="L1843" s="2"/>
      <c r="M1843" s="2" t="str">
        <f ca="1">IFERROR(__xludf.DUMMYFUNCTION("""COMPUTED_VALUE"""),"Tinto")</f>
        <v>Tinto</v>
      </c>
    </row>
    <row r="1844" spans="1:13" x14ac:dyDescent="0.25">
      <c r="A1844" s="2" t="str">
        <f ca="1">IFERROR(__xludf.DUMMYFUNCTION("""COMPUTED_VALUE"""),"3c72c6cd")</f>
        <v>3c72c6cd</v>
      </c>
      <c r="B1844" s="2"/>
      <c r="C1844" s="5">
        <f ca="1">IFERROR(__xludf.DUMMYFUNCTION("""COMPUTED_VALUE"""),46133.0505787037)</f>
        <v>46133.050578703696</v>
      </c>
      <c r="D1844" s="2">
        <f ca="1">IFERROR(__xludf.DUMMYFUNCTION("""COMPUTED_VALUE"""),91)</f>
        <v>91</v>
      </c>
      <c r="E1844" s="2">
        <f ca="1">IFERROR(__xludf.DUMMYFUNCTION("""COMPUTED_VALUE"""),86000)</f>
        <v>86000</v>
      </c>
      <c r="F1844" s="2" t="str">
        <f ca="1">IFERROR(__xludf.DUMMYFUNCTION("""COMPUTED_VALUE"""),"Criolla Recarga PC")</f>
        <v>Criolla Recarga PC</v>
      </c>
      <c r="G1844" s="2">
        <f ca="1">IFERROR(__xludf.DUMMYFUNCTION("""COMPUTED_VALUE"""),47500)</f>
        <v>47500</v>
      </c>
      <c r="H1844" s="2">
        <f ca="1">IFERROR(__xludf.DUMMYFUNCTION("""COMPUTED_VALUE"""),51500)</f>
        <v>51500</v>
      </c>
      <c r="I1844" s="2"/>
      <c r="J1844" s="2"/>
      <c r="K1844" s="2" t="str">
        <f ca="1">IFERROR(__xludf.DUMMYFUNCTION("""COMPUTED_VALUE"""),"Recarga Fermentando")</f>
        <v>Recarga Fermentando</v>
      </c>
      <c r="L1844" s="2"/>
      <c r="M1844" s="2" t="str">
        <f ca="1">IFERROR(__xludf.DUMMYFUNCTION("""COMPUTED_VALUE"""),"Tinto")</f>
        <v>Tinto</v>
      </c>
    </row>
    <row r="1845" spans="1:13" x14ac:dyDescent="0.25">
      <c r="A1845" s="2" t="str">
        <f ca="1">IFERROR(__xludf.DUMMYFUNCTION("""COMPUTED_VALUE"""),"1f4095e5")</f>
        <v>1f4095e5</v>
      </c>
      <c r="B1845" s="2"/>
      <c r="C1845" s="5">
        <f ca="1">IFERROR(__xludf.DUMMYFUNCTION("""COMPUTED_VALUE"""),46129.3708333333)</f>
        <v>46129.370833333298</v>
      </c>
      <c r="D1845" s="2">
        <f ca="1">IFERROR(__xludf.DUMMYFUNCTION("""COMPUTED_VALUE"""),119)</f>
        <v>119</v>
      </c>
      <c r="E1845" s="2">
        <f ca="1">IFERROR(__xludf.DUMMYFUNCTION("""COMPUTED_VALUE"""),159800)</f>
        <v>159800</v>
      </c>
      <c r="F1845" s="2" t="str">
        <f ca="1">IFERROR(__xludf.DUMMYFUNCTION("""COMPUTED_VALUE"""),"Criolla Mosto")</f>
        <v>Criolla Mosto</v>
      </c>
      <c r="G1845" s="2"/>
      <c r="H1845" s="2">
        <f ca="1">IFERROR(__xludf.DUMMYFUNCTION("""COMPUTED_VALUE"""),31900)</f>
        <v>31900</v>
      </c>
      <c r="I1845" s="2"/>
      <c r="J1845" s="2" t="str">
        <f ca="1">IFERROR(__xludf.DUMMYFUNCTION("""COMPUTED_VALUE"""),"6546 , 6547 , 6548 , 6549 , 6550")</f>
        <v>6546 , 6547 , 6548 , 6549 , 6550</v>
      </c>
      <c r="K1845" s="2" t="str">
        <f ca="1">IFERROR(__xludf.DUMMYFUNCTION("""COMPUTED_VALUE"""),"Mosto")</f>
        <v>Mosto</v>
      </c>
      <c r="L1845" s="2"/>
      <c r="M1845" s="2" t="str">
        <f ca="1">IFERROR(__xludf.DUMMYFUNCTION("""COMPUTED_VALUE"""),"Tinto")</f>
        <v>Tinto</v>
      </c>
    </row>
    <row r="1846" spans="1:13" x14ac:dyDescent="0.25">
      <c r="A1846" s="2" t="str">
        <f ca="1">IFERROR(__xludf.DUMMYFUNCTION("""COMPUTED_VALUE"""),"973c96fb")</f>
        <v>973c96fb</v>
      </c>
      <c r="B1846" s="2"/>
      <c r="C1846" s="5">
        <f ca="1">IFERROR(__xludf.DUMMYFUNCTION("""COMPUTED_VALUE"""),46133.3981134259)</f>
        <v>46133.398113425901</v>
      </c>
      <c r="D1846" s="2">
        <f ca="1">IFERROR(__xludf.DUMMYFUNCTION("""COMPUTED_VALUE"""),91)</f>
        <v>91</v>
      </c>
      <c r="E1846" s="2">
        <f ca="1">IFERROR(__xludf.DUMMYFUNCTION("""COMPUTED_VALUE"""),86000)</f>
        <v>86000</v>
      </c>
      <c r="F1846" s="2" t="str">
        <f ca="1">IFERROR(__xludf.DUMMYFUNCTION("""COMPUTED_VALUE"""),"Criolla Recarga PC")</f>
        <v>Criolla Recarga PC</v>
      </c>
      <c r="G1846" s="2">
        <f ca="1">IFERROR(__xludf.DUMMYFUNCTION("""COMPUTED_VALUE"""),51500)</f>
        <v>51500</v>
      </c>
      <c r="H1846" s="2">
        <f ca="1">IFERROR(__xludf.DUMMYFUNCTION("""COMPUTED_VALUE"""),63500)</f>
        <v>63500</v>
      </c>
      <c r="I1846" s="2"/>
      <c r="J1846" s="2"/>
      <c r="K1846" s="2" t="str">
        <f ca="1">IFERROR(__xludf.DUMMYFUNCTION("""COMPUTED_VALUE"""),"Recarga Fermentando")</f>
        <v>Recarga Fermentando</v>
      </c>
      <c r="L1846" s="2"/>
      <c r="M1846" s="2" t="str">
        <f ca="1">IFERROR(__xludf.DUMMYFUNCTION("""COMPUTED_VALUE"""),"Tinto")</f>
        <v>Tinto</v>
      </c>
    </row>
    <row r="1847" spans="1:13" x14ac:dyDescent="0.25">
      <c r="A1847" s="2" t="str">
        <f ca="1">IFERROR(__xludf.DUMMYFUNCTION("""COMPUTED_VALUE"""),"b1ede5bc")</f>
        <v>b1ede5bc</v>
      </c>
      <c r="B1847" s="2"/>
      <c r="C1847" s="5">
        <f ca="1">IFERROR(__xludf.DUMMYFUNCTION("""COMPUTED_VALUE"""),46133.3987152777)</f>
        <v>46133.398715277697</v>
      </c>
      <c r="D1847" s="2">
        <f ca="1">IFERROR(__xludf.DUMMYFUNCTION("""COMPUTED_VALUE"""),68)</f>
        <v>68</v>
      </c>
      <c r="E1847" s="2">
        <f ca="1">IFERROR(__xludf.DUMMYFUNCTION("""COMPUTED_VALUE"""),13000)</f>
        <v>13000</v>
      </c>
      <c r="F1847" s="2" t="str">
        <f ca="1">IFERROR(__xludf.DUMMYFUNCTION("""COMPUTED_VALUE"""),"Criolla Mosto")</f>
        <v>Criolla Mosto</v>
      </c>
      <c r="G1847" s="2">
        <f ca="1">IFERROR(__xludf.DUMMYFUNCTION("""COMPUTED_VALUE"""),0)</f>
        <v>0</v>
      </c>
      <c r="H1847" s="2">
        <f ca="1">IFERROR(__xludf.DUMMYFUNCTION("""COMPUTED_VALUE"""),11000)</f>
        <v>11000</v>
      </c>
      <c r="I1847" s="2"/>
      <c r="J1847" s="2"/>
      <c r="K1847" s="2" t="str">
        <f ca="1">IFERROR(__xludf.DUMMYFUNCTION("""COMPUTED_VALUE"""),"Fermentando")</f>
        <v>Fermentando</v>
      </c>
      <c r="L1847" s="2"/>
      <c r="M1847" s="2" t="str">
        <f ca="1">IFERROR(__xludf.DUMMYFUNCTION("""COMPUTED_VALUE"""),"Tinto")</f>
        <v>Tinto</v>
      </c>
    </row>
    <row r="1848" spans="1:13" x14ac:dyDescent="0.25">
      <c r="A1848" s="2" t="str">
        <f ca="1">IFERROR(__xludf.DUMMYFUNCTION("""COMPUTED_VALUE"""),"bebcd666")</f>
        <v>bebcd666</v>
      </c>
      <c r="B1848" s="2"/>
      <c r="C1848" s="5">
        <f ca="1">IFERROR(__xludf.DUMMYFUNCTION("""COMPUTED_VALUE"""),46133.4005439814)</f>
        <v>46133.400543981399</v>
      </c>
      <c r="D1848" s="2">
        <f ca="1">IFERROR(__xludf.DUMMYFUNCTION("""COMPUTED_VALUE"""),91)</f>
        <v>91</v>
      </c>
      <c r="E1848" s="2">
        <f ca="1">IFERROR(__xludf.DUMMYFUNCTION("""COMPUTED_VALUE"""),86000)</f>
        <v>86000</v>
      </c>
      <c r="F1848" s="2" t="str">
        <f ca="1">IFERROR(__xludf.DUMMYFUNCTION("""COMPUTED_VALUE"""),"Criolla Recarga PC")</f>
        <v>Criolla Recarga PC</v>
      </c>
      <c r="G1848" s="2">
        <f ca="1">IFERROR(__xludf.DUMMYFUNCTION("""COMPUTED_VALUE"""),63500)</f>
        <v>63500</v>
      </c>
      <c r="H1848" s="2">
        <f ca="1">IFERROR(__xludf.DUMMYFUNCTION("""COMPUTED_VALUE"""),72400)</f>
        <v>72400</v>
      </c>
      <c r="I1848" s="2"/>
      <c r="J1848" s="2"/>
      <c r="K1848" s="2" t="str">
        <f ca="1">IFERROR(__xludf.DUMMYFUNCTION("""COMPUTED_VALUE"""),"Recarga Fermentando")</f>
        <v>Recarga Fermentando</v>
      </c>
      <c r="L1848" s="2"/>
      <c r="M1848" s="2" t="str">
        <f ca="1">IFERROR(__xludf.DUMMYFUNCTION("""COMPUTED_VALUE"""),"Tinto")</f>
        <v>Tinto</v>
      </c>
    </row>
    <row r="1849" spans="1:13" x14ac:dyDescent="0.25">
      <c r="A1849" s="2" t="str">
        <f ca="1">IFERROR(__xludf.DUMMYFUNCTION("""COMPUTED_VALUE"""),"77fc6ec8")</f>
        <v>77fc6ec8</v>
      </c>
      <c r="B1849" s="2"/>
      <c r="C1849" s="5">
        <f ca="1">IFERROR(__xludf.DUMMYFUNCTION("""COMPUTED_VALUE"""),46133.4121643518)</f>
        <v>46133.412164351801</v>
      </c>
      <c r="D1849" s="2">
        <f ca="1">IFERROR(__xludf.DUMMYFUNCTION("""COMPUTED_VALUE"""),28)</f>
        <v>28</v>
      </c>
      <c r="E1849" s="2">
        <f ca="1">IFERROR(__xludf.DUMMYFUNCTION("""COMPUTED_VALUE"""),216000)</f>
        <v>216000</v>
      </c>
      <c r="F1849" s="2" t="str">
        <f ca="1">IFERROR(__xludf.DUMMYFUNCTION("""COMPUTED_VALUE"""),"Bonarda C2")</f>
        <v>Bonarda C2</v>
      </c>
      <c r="G1849" s="2">
        <f ca="1">IFERROR(__xludf.DUMMYFUNCTION("""COMPUTED_VALUE"""),134000)</f>
        <v>134000</v>
      </c>
      <c r="H1849" s="2">
        <f ca="1">IFERROR(__xludf.DUMMYFUNCTION("""COMPUTED_VALUE"""),197000)</f>
        <v>197000</v>
      </c>
      <c r="I1849" s="2"/>
      <c r="J1849" s="2"/>
      <c r="K1849" s="2" t="str">
        <f ca="1">IFERROR(__xludf.DUMMYFUNCTION("""COMPUTED_VALUE"""),"Descubada")</f>
        <v>Descubada</v>
      </c>
      <c r="L1849" s="2"/>
      <c r="M1849" s="2" t="str">
        <f ca="1">IFERROR(__xludf.DUMMYFUNCTION("""COMPUTED_VALUE"""),"Tinto")</f>
        <v>Tinto</v>
      </c>
    </row>
    <row r="1850" spans="1:13" x14ac:dyDescent="0.25">
      <c r="A1850" s="2" t="str">
        <f ca="1">IFERROR(__xludf.DUMMYFUNCTION("""COMPUTED_VALUE"""),"3a62302c")</f>
        <v>3a62302c</v>
      </c>
      <c r="B1850" s="2"/>
      <c r="C1850" s="5">
        <f ca="1">IFERROR(__xludf.DUMMYFUNCTION("""COMPUTED_VALUE"""),46133.4149884259)</f>
        <v>46133.414988425902</v>
      </c>
      <c r="D1850" s="2">
        <f ca="1">IFERROR(__xludf.DUMMYFUNCTION("""COMPUTED_VALUE"""),91)</f>
        <v>91</v>
      </c>
      <c r="E1850" s="2">
        <f ca="1">IFERROR(__xludf.DUMMYFUNCTION("""COMPUTED_VALUE"""),86000)</f>
        <v>86000</v>
      </c>
      <c r="F1850" s="2" t="str">
        <f ca="1">IFERROR(__xludf.DUMMYFUNCTION("""COMPUTED_VALUE"""),"Criolla Recarga PC")</f>
        <v>Criolla Recarga PC</v>
      </c>
      <c r="G1850" s="2">
        <f ca="1">IFERROR(__xludf.DUMMYFUNCTION("""COMPUTED_VALUE"""),72400)</f>
        <v>72400</v>
      </c>
      <c r="H1850" s="2">
        <f ca="1">IFERROR(__xludf.DUMMYFUNCTION("""COMPUTED_VALUE"""),83400)</f>
        <v>83400</v>
      </c>
      <c r="I1850" s="2"/>
      <c r="J1850" s="2"/>
      <c r="K1850" s="2" t="str">
        <f ca="1">IFERROR(__xludf.DUMMYFUNCTION("""COMPUTED_VALUE"""),"Recarga Fermentando")</f>
        <v>Recarga Fermentando</v>
      </c>
      <c r="L1850" s="2"/>
      <c r="M1850" s="2" t="str">
        <f ca="1">IFERROR(__xludf.DUMMYFUNCTION("""COMPUTED_VALUE"""),"Tinto")</f>
        <v>Tinto</v>
      </c>
    </row>
    <row r="1851" spans="1:13" x14ac:dyDescent="0.25">
      <c r="A1851" s="2" t="str">
        <f ca="1">IFERROR(__xludf.DUMMYFUNCTION("""COMPUTED_VALUE"""),"20a7407a")</f>
        <v>20a7407a</v>
      </c>
      <c r="B1851" s="2"/>
      <c r="C1851" s="5">
        <f ca="1">IFERROR(__xludf.DUMMYFUNCTION("""COMPUTED_VALUE"""),46135.4874421296)</f>
        <v>46135.487442129597</v>
      </c>
      <c r="D1851" s="2">
        <f ca="1">IFERROR(__xludf.DUMMYFUNCTION("""COMPUTED_VALUE"""),86)</f>
        <v>86</v>
      </c>
      <c r="E1851" s="2">
        <f ca="1">IFERROR(__xludf.DUMMYFUNCTION("""COMPUTED_VALUE"""),88000)</f>
        <v>88000</v>
      </c>
      <c r="F1851" s="2" t="str">
        <f ca="1">IFERROR(__xludf.DUMMYFUNCTION("""COMPUTED_VALUE"""),"Criolla Recarga")</f>
        <v>Criolla Recarga</v>
      </c>
      <c r="G1851" s="2">
        <f ca="1">IFERROR(__xludf.DUMMYFUNCTION("""COMPUTED_VALUE"""),16000)</f>
        <v>16000</v>
      </c>
      <c r="H1851" s="2">
        <f ca="1">IFERROR(__xludf.DUMMYFUNCTION("""COMPUTED_VALUE"""),42000)</f>
        <v>42000</v>
      </c>
      <c r="I1851" s="2"/>
      <c r="J1851" s="2"/>
      <c r="K1851" s="2" t="str">
        <f ca="1">IFERROR(__xludf.DUMMYFUNCTION("""COMPUTED_VALUE"""),"Recarga Fermentando")</f>
        <v>Recarga Fermentando</v>
      </c>
      <c r="L1851" s="2"/>
      <c r="M1851" s="2" t="str">
        <f ca="1">IFERROR(__xludf.DUMMYFUNCTION("""COMPUTED_VALUE"""),"Tinto")</f>
        <v>Tinto</v>
      </c>
    </row>
    <row r="1852" spans="1:13" x14ac:dyDescent="0.25">
      <c r="A1852" s="2" t="str">
        <f ca="1">IFERROR(__xludf.DUMMYFUNCTION("""COMPUTED_VALUE"""),"9bdb98e8")</f>
        <v>9bdb98e8</v>
      </c>
      <c r="B1852" s="2"/>
      <c r="C1852" s="5">
        <f ca="1">IFERROR(__xludf.DUMMYFUNCTION("""COMPUTED_VALUE"""),46135.4903356481)</f>
        <v>46135.490335648101</v>
      </c>
      <c r="D1852" s="2">
        <f ca="1">IFERROR(__xludf.DUMMYFUNCTION("""COMPUTED_VALUE"""),84)</f>
        <v>84</v>
      </c>
      <c r="E1852" s="2">
        <f ca="1">IFERROR(__xludf.DUMMYFUNCTION("""COMPUTED_VALUE"""),83000)</f>
        <v>83000</v>
      </c>
      <c r="F1852" s="2" t="str">
        <f ca="1">IFERROR(__xludf.DUMMYFUNCTION("""COMPUTED_VALUE"""),"Bonarda")</f>
        <v>Bonarda</v>
      </c>
      <c r="G1852" s="2"/>
      <c r="H1852" s="2">
        <f ca="1">IFERROR(__xludf.DUMMYFUNCTION("""COMPUTED_VALUE"""),37800)</f>
        <v>37800</v>
      </c>
      <c r="I1852" s="2"/>
      <c r="J1852" s="2" t="str">
        <f ca="1">IFERROR(__xludf.DUMMYFUNCTION("""COMPUTED_VALUE"""),"6555 , 6556 , 6557 , 6558 , 6563 , 6564")</f>
        <v>6555 , 6556 , 6557 , 6558 , 6563 , 6564</v>
      </c>
      <c r="K1852" s="2" t="str">
        <f ca="1">IFERROR(__xludf.DUMMYFUNCTION("""COMPUTED_VALUE"""),"Fermentando")</f>
        <v>Fermentando</v>
      </c>
      <c r="L1852" s="2"/>
      <c r="M1852" s="2" t="str">
        <f ca="1">IFERROR(__xludf.DUMMYFUNCTION("""COMPUTED_VALUE"""),"Tinto")</f>
        <v>Tinto</v>
      </c>
    </row>
    <row r="1853" spans="1:13" x14ac:dyDescent="0.25">
      <c r="A1853" s="2" t="str">
        <f ca="1">IFERROR(__xludf.DUMMYFUNCTION("""COMPUTED_VALUE"""),"7c4c9bc1")</f>
        <v>7c4c9bc1</v>
      </c>
      <c r="B1853" s="2"/>
      <c r="C1853" s="5">
        <f ca="1">IFERROR(__xludf.DUMMYFUNCTION("""COMPUTED_VALUE"""),46135.5143055555)</f>
        <v>46135.514305555502</v>
      </c>
      <c r="D1853" s="2">
        <f ca="1">IFERROR(__xludf.DUMMYFUNCTION("""COMPUTED_VALUE"""),95)</f>
        <v>95</v>
      </c>
      <c r="E1853" s="2">
        <f ca="1">IFERROR(__xludf.DUMMYFUNCTION("""COMPUTED_VALUE"""),77100)</f>
        <v>77100</v>
      </c>
      <c r="F1853" s="2" t="str">
        <f ca="1">IFERROR(__xludf.DUMMYFUNCTION("""COMPUTED_VALUE"""),"Criolla Recarga")</f>
        <v>Criolla Recarga</v>
      </c>
      <c r="G1853" s="2">
        <f ca="1">IFERROR(__xludf.DUMMYFUNCTION("""COMPUTED_VALUE"""),0)</f>
        <v>0</v>
      </c>
      <c r="H1853" s="2">
        <f ca="1">IFERROR(__xludf.DUMMYFUNCTION("""COMPUTED_VALUE"""),26000)</f>
        <v>26000</v>
      </c>
      <c r="I1853" s="2"/>
      <c r="J1853" s="2"/>
      <c r="K1853" s="2" t="str">
        <f ca="1">IFERROR(__xludf.DUMMYFUNCTION("""COMPUTED_VALUE"""),"Descubada")</f>
        <v>Descubada</v>
      </c>
      <c r="L1853" s="2"/>
      <c r="M1853" s="2" t="str">
        <f ca="1">IFERROR(__xludf.DUMMYFUNCTION("""COMPUTED_VALUE"""),"Tinto")</f>
        <v>Tinto</v>
      </c>
    </row>
    <row r="1854" spans="1:13" x14ac:dyDescent="0.25">
      <c r="A1854" s="2" t="str">
        <f ca="1">IFERROR(__xludf.DUMMYFUNCTION("""COMPUTED_VALUE"""),"1457a37c")</f>
        <v>1457a37c</v>
      </c>
      <c r="B1854" s="2"/>
      <c r="C1854" s="5">
        <f ca="1">IFERROR(__xludf.DUMMYFUNCTION("""COMPUTED_VALUE"""),46135.5145833333)</f>
        <v>46135.514583333301</v>
      </c>
      <c r="D1854" s="2">
        <f ca="1">IFERROR(__xludf.DUMMYFUNCTION("""COMPUTED_VALUE"""),95)</f>
        <v>95</v>
      </c>
      <c r="E1854" s="2">
        <f ca="1">IFERROR(__xludf.DUMMYFUNCTION("""COMPUTED_VALUE"""),77100)</f>
        <v>77100</v>
      </c>
      <c r="F1854" s="2" t="str">
        <f ca="1">IFERROR(__xludf.DUMMYFUNCTION("""COMPUTED_VALUE"""),"Criolla Recarga")</f>
        <v>Criolla Recarga</v>
      </c>
      <c r="G1854" s="2">
        <f ca="1">IFERROR(__xludf.DUMMYFUNCTION("""COMPUTED_VALUE"""),26000)</f>
        <v>26000</v>
      </c>
      <c r="H1854" s="2">
        <f ca="1">IFERROR(__xludf.DUMMYFUNCTION("""COMPUTED_VALUE"""),51000)</f>
        <v>51000</v>
      </c>
      <c r="I1854" s="2"/>
      <c r="J1854" s="2"/>
      <c r="K1854" s="2" t="str">
        <f ca="1">IFERROR(__xludf.DUMMYFUNCTION("""COMPUTED_VALUE"""),"Descubada")</f>
        <v>Descubada</v>
      </c>
      <c r="L1854" s="2"/>
      <c r="M1854" s="2" t="str">
        <f ca="1">IFERROR(__xludf.DUMMYFUNCTION("""COMPUTED_VALUE"""),"Tinto")</f>
        <v>Tinto</v>
      </c>
    </row>
    <row r="1855" spans="1:13" x14ac:dyDescent="0.25">
      <c r="A1855" s="2" t="str">
        <f ca="1">IFERROR(__xludf.DUMMYFUNCTION("""COMPUTED_VALUE"""),"b9f7c6aa")</f>
        <v>b9f7c6aa</v>
      </c>
      <c r="B1855" s="2"/>
      <c r="C1855" s="5">
        <f ca="1">IFERROR(__xludf.DUMMYFUNCTION("""COMPUTED_VALUE"""),46135.5148726851)</f>
        <v>46135.514872685097</v>
      </c>
      <c r="D1855" s="2">
        <f ca="1">IFERROR(__xludf.DUMMYFUNCTION("""COMPUTED_VALUE"""),95)</f>
        <v>95</v>
      </c>
      <c r="E1855" s="2">
        <f ca="1">IFERROR(__xludf.DUMMYFUNCTION("""COMPUTED_VALUE"""),77100)</f>
        <v>77100</v>
      </c>
      <c r="F1855" s="2" t="str">
        <f ca="1">IFERROR(__xludf.DUMMYFUNCTION("""COMPUTED_VALUE"""),"Criolla Recarga")</f>
        <v>Criolla Recarga</v>
      </c>
      <c r="G1855" s="2">
        <f ca="1">IFERROR(__xludf.DUMMYFUNCTION("""COMPUTED_VALUE"""),51000)</f>
        <v>51000</v>
      </c>
      <c r="H1855" s="2">
        <f ca="1">IFERROR(__xludf.DUMMYFUNCTION("""COMPUTED_VALUE"""),74500)</f>
        <v>74500</v>
      </c>
      <c r="I1855" s="2"/>
      <c r="J1855" s="2"/>
      <c r="K1855" s="2" t="str">
        <f ca="1">IFERROR(__xludf.DUMMYFUNCTION("""COMPUTED_VALUE"""),"Descubada")</f>
        <v>Descubada</v>
      </c>
      <c r="L1855" s="2"/>
      <c r="M1855" s="2" t="str">
        <f ca="1">IFERROR(__xludf.DUMMYFUNCTION("""COMPUTED_VALUE"""),"Tinto")</f>
        <v>Tinto</v>
      </c>
    </row>
    <row r="1856" spans="1:13" x14ac:dyDescent="0.25">
      <c r="A1856" s="2" t="str">
        <f ca="1">IFERROR(__xludf.DUMMYFUNCTION("""COMPUTED_VALUE"""),"f9653f2a")</f>
        <v>f9653f2a</v>
      </c>
      <c r="B1856" s="2"/>
      <c r="C1856" s="5">
        <f ca="1">IFERROR(__xludf.DUMMYFUNCTION("""COMPUTED_VALUE"""),46135.5247569444)</f>
        <v>46135.524756944404</v>
      </c>
      <c r="D1856" s="2">
        <f ca="1">IFERROR(__xludf.DUMMYFUNCTION("""COMPUTED_VALUE"""),95)</f>
        <v>95</v>
      </c>
      <c r="E1856" s="2">
        <f ca="1">IFERROR(__xludf.DUMMYFUNCTION("""COMPUTED_VALUE"""),77100)</f>
        <v>77100</v>
      </c>
      <c r="F1856" s="2" t="str">
        <f ca="1">IFERROR(__xludf.DUMMYFUNCTION("""COMPUTED_VALUE"""),"Criolla Recarga")</f>
        <v>Criolla Recarga</v>
      </c>
      <c r="G1856" s="2">
        <f ca="1">IFERROR(__xludf.DUMMYFUNCTION("""COMPUTED_VALUE"""),74500)</f>
        <v>74500</v>
      </c>
      <c r="H1856" s="2">
        <f ca="1">IFERROR(__xludf.DUMMYFUNCTION("""COMPUTED_VALUE"""),77100)</f>
        <v>77100</v>
      </c>
      <c r="I1856" s="2"/>
      <c r="J1856" s="2"/>
      <c r="K1856" s="2" t="str">
        <f ca="1">IFERROR(__xludf.DUMMYFUNCTION("""COMPUTED_VALUE"""),"Descubada")</f>
        <v>Descubada</v>
      </c>
      <c r="L1856" s="2" t="str">
        <f ca="1">IFERROR(__xludf.DUMMYFUNCTION("""COMPUTED_VALUE"""),"1")</f>
        <v>1</v>
      </c>
      <c r="M1856" s="2" t="str">
        <f ca="1">IFERROR(__xludf.DUMMYFUNCTION("""COMPUTED_VALUE"""),"Tinto")</f>
        <v>Tinto</v>
      </c>
    </row>
    <row r="1857" spans="1:13" x14ac:dyDescent="0.25">
      <c r="A1857" s="2" t="str">
        <f ca="1">IFERROR(__xludf.DUMMYFUNCTION("""COMPUTED_VALUE"""),"9cd0e67f")</f>
        <v>9cd0e67f</v>
      </c>
      <c r="B1857" s="2"/>
      <c r="C1857" s="5">
        <f ca="1">IFERROR(__xludf.DUMMYFUNCTION("""COMPUTED_VALUE"""),46135.525949074)</f>
        <v>46135.525949073999</v>
      </c>
      <c r="D1857" s="2">
        <f ca="1">IFERROR(__xludf.DUMMYFUNCTION("""COMPUTED_VALUE"""),83)</f>
        <v>83</v>
      </c>
      <c r="E1857" s="2">
        <f ca="1">IFERROR(__xludf.DUMMYFUNCTION("""COMPUTED_VALUE"""),81500)</f>
        <v>81500</v>
      </c>
      <c r="F1857" s="2" t="str">
        <f ca="1">IFERROR(__xludf.DUMMYFUNCTION("""COMPUTED_VALUE"""),"Criolla Recarga")</f>
        <v>Criolla Recarga</v>
      </c>
      <c r="G1857" s="2">
        <f ca="1">IFERROR(__xludf.DUMMYFUNCTION("""COMPUTED_VALUE"""),0)</f>
        <v>0</v>
      </c>
      <c r="H1857" s="2">
        <f ca="1">IFERROR(__xludf.DUMMYFUNCTION("""COMPUTED_VALUE"""),22400)</f>
        <v>22400</v>
      </c>
      <c r="I1857" s="2"/>
      <c r="J1857" s="2"/>
      <c r="K1857" s="2" t="str">
        <f ca="1">IFERROR(__xludf.DUMMYFUNCTION("""COMPUTED_VALUE"""),"Descubada")</f>
        <v>Descubada</v>
      </c>
      <c r="L1857" s="2"/>
      <c r="M1857" s="2" t="str">
        <f ca="1">IFERROR(__xludf.DUMMYFUNCTION("""COMPUTED_VALUE"""),"Tinto")</f>
        <v>Tinto</v>
      </c>
    </row>
    <row r="1858" spans="1:13" x14ac:dyDescent="0.25">
      <c r="A1858" s="2" t="str">
        <f ca="1">IFERROR(__xludf.DUMMYFUNCTION("""COMPUTED_VALUE"""),"82743b25")</f>
        <v>82743b25</v>
      </c>
      <c r="B1858" s="2"/>
      <c r="C1858" s="5">
        <f ca="1">IFERROR(__xludf.DUMMYFUNCTION("""COMPUTED_VALUE"""),46135.5263773148)</f>
        <v>46135.526377314804</v>
      </c>
      <c r="D1858" s="2">
        <f ca="1">IFERROR(__xludf.DUMMYFUNCTION("""COMPUTED_VALUE"""),83)</f>
        <v>83</v>
      </c>
      <c r="E1858" s="2">
        <f ca="1">IFERROR(__xludf.DUMMYFUNCTION("""COMPUTED_VALUE"""),81500)</f>
        <v>81500</v>
      </c>
      <c r="F1858" s="2" t="str">
        <f ca="1">IFERROR(__xludf.DUMMYFUNCTION("""COMPUTED_VALUE"""),"Criolla Recarga")</f>
        <v>Criolla Recarga</v>
      </c>
      <c r="G1858" s="2">
        <f ca="1">IFERROR(__xludf.DUMMYFUNCTION("""COMPUTED_VALUE"""),22400)</f>
        <v>22400</v>
      </c>
      <c r="H1858" s="2">
        <f ca="1">IFERROR(__xludf.DUMMYFUNCTION("""COMPUTED_VALUE"""),44900)</f>
        <v>44900</v>
      </c>
      <c r="I1858" s="2"/>
      <c r="J1858" s="2"/>
      <c r="K1858" s="2" t="str">
        <f ca="1">IFERROR(__xludf.DUMMYFUNCTION("""COMPUTED_VALUE"""),"Descubada")</f>
        <v>Descubada</v>
      </c>
      <c r="L1858" s="2"/>
      <c r="M1858" s="2" t="str">
        <f ca="1">IFERROR(__xludf.DUMMYFUNCTION("""COMPUTED_VALUE"""),"Tinto")</f>
        <v>Tinto</v>
      </c>
    </row>
    <row r="1859" spans="1:13" x14ac:dyDescent="0.25">
      <c r="A1859" s="2" t="str">
        <f ca="1">IFERROR(__xludf.DUMMYFUNCTION("""COMPUTED_VALUE"""),"9e7c9d78")</f>
        <v>9e7c9d78</v>
      </c>
      <c r="B1859" s="2"/>
      <c r="C1859" s="5">
        <f ca="1">IFERROR(__xludf.DUMMYFUNCTION("""COMPUTED_VALUE"""),46135.5267013888)</f>
        <v>46135.526701388801</v>
      </c>
      <c r="D1859" s="2">
        <f ca="1">IFERROR(__xludf.DUMMYFUNCTION("""COMPUTED_VALUE"""),83)</f>
        <v>83</v>
      </c>
      <c r="E1859" s="2">
        <f ca="1">IFERROR(__xludf.DUMMYFUNCTION("""COMPUTED_VALUE"""),81500)</f>
        <v>81500</v>
      </c>
      <c r="F1859" s="2" t="str">
        <f ca="1">IFERROR(__xludf.DUMMYFUNCTION("""COMPUTED_VALUE"""),"Criolla Recarga")</f>
        <v>Criolla Recarga</v>
      </c>
      <c r="G1859" s="2">
        <f ca="1">IFERROR(__xludf.DUMMYFUNCTION("""COMPUTED_VALUE"""),44900)</f>
        <v>44900</v>
      </c>
      <c r="H1859" s="2">
        <f ca="1">IFERROR(__xludf.DUMMYFUNCTION("""COMPUTED_VALUE"""),68700)</f>
        <v>68700</v>
      </c>
      <c r="I1859" s="2"/>
      <c r="J1859" s="2"/>
      <c r="K1859" s="2" t="str">
        <f ca="1">IFERROR(__xludf.DUMMYFUNCTION("""COMPUTED_VALUE"""),"Descubada")</f>
        <v>Descubada</v>
      </c>
      <c r="L1859" s="2"/>
      <c r="M1859" s="2" t="str">
        <f ca="1">IFERROR(__xludf.DUMMYFUNCTION("""COMPUTED_VALUE"""),"Tinto")</f>
        <v>Tinto</v>
      </c>
    </row>
    <row r="1860" spans="1:13" x14ac:dyDescent="0.25">
      <c r="A1860" s="2" t="str">
        <f ca="1">IFERROR(__xludf.DUMMYFUNCTION("""COMPUTED_VALUE"""),"3659102b")</f>
        <v>3659102b</v>
      </c>
      <c r="B1860" s="2"/>
      <c r="C1860" s="5">
        <f ca="1">IFERROR(__xludf.DUMMYFUNCTION("""COMPUTED_VALUE"""),46135.5270717592)</f>
        <v>46135.527071759199</v>
      </c>
      <c r="D1860" s="2">
        <f ca="1">IFERROR(__xludf.DUMMYFUNCTION("""COMPUTED_VALUE"""),83)</f>
        <v>83</v>
      </c>
      <c r="E1860" s="2">
        <f ca="1">IFERROR(__xludf.DUMMYFUNCTION("""COMPUTED_VALUE"""),81500)</f>
        <v>81500</v>
      </c>
      <c r="F1860" s="2" t="str">
        <f ca="1">IFERROR(__xludf.DUMMYFUNCTION("""COMPUTED_VALUE"""),"Criolla Recarga PC")</f>
        <v>Criolla Recarga PC</v>
      </c>
      <c r="G1860" s="2">
        <f ca="1">IFERROR(__xludf.DUMMYFUNCTION("""COMPUTED_VALUE"""),68700)</f>
        <v>68700</v>
      </c>
      <c r="H1860" s="2">
        <f ca="1">IFERROR(__xludf.DUMMYFUNCTION("""COMPUTED_VALUE"""),81500)</f>
        <v>81500</v>
      </c>
      <c r="I1860" s="2"/>
      <c r="J1860" s="2"/>
      <c r="K1860" s="2" t="str">
        <f ca="1">IFERROR(__xludf.DUMMYFUNCTION("""COMPUTED_VALUE"""),"Descubada")</f>
        <v>Descubada</v>
      </c>
      <c r="L1860" s="2" t="str">
        <f ca="1">IFERROR(__xludf.DUMMYFUNCTION("""COMPUTED_VALUE"""),"1-")</f>
        <v>1-</v>
      </c>
      <c r="M1860" s="2" t="str">
        <f ca="1">IFERROR(__xludf.DUMMYFUNCTION("""COMPUTED_VALUE"""),"Tinto")</f>
        <v>Tinto</v>
      </c>
    </row>
    <row r="1861" spans="1:13" x14ac:dyDescent="0.25">
      <c r="A1861" s="2" t="str">
        <f ca="1">IFERROR(__xludf.DUMMYFUNCTION("""COMPUTED_VALUE"""),"0a6a2e5b")</f>
        <v>0a6a2e5b</v>
      </c>
      <c r="B1861" s="2"/>
      <c r="C1861" s="5">
        <f ca="1">IFERROR(__xludf.DUMMYFUNCTION("""COMPUTED_VALUE"""),46135.5283333333)</f>
        <v>46135.528333333299</v>
      </c>
      <c r="D1861" s="2">
        <f ca="1">IFERROR(__xludf.DUMMYFUNCTION("""COMPUTED_VALUE"""),126)</f>
        <v>126</v>
      </c>
      <c r="E1861" s="2">
        <f ca="1">IFERROR(__xludf.DUMMYFUNCTION("""COMPUTED_VALUE"""),31000)</f>
        <v>31000</v>
      </c>
      <c r="F1861" s="2" t="str">
        <f ca="1">IFERROR(__xludf.DUMMYFUNCTION("""COMPUTED_VALUE"""),"Criolla Filt")</f>
        <v>Criolla Filt</v>
      </c>
      <c r="G1861" s="2">
        <f ca="1">IFERROR(__xludf.DUMMYFUNCTION("""COMPUTED_VALUE"""),30000)</f>
        <v>30000</v>
      </c>
      <c r="H1861" s="2">
        <f ca="1">IFERROR(__xludf.DUMMYFUNCTION("""COMPUTED_VALUE"""),31000)</f>
        <v>31000</v>
      </c>
      <c r="I1861" s="2"/>
      <c r="J1861" s="2"/>
      <c r="K1861" s="2" t="str">
        <f ca="1">IFERROR(__xludf.DUMMYFUNCTION("""COMPUTED_VALUE"""),"Fermentando")</f>
        <v>Fermentando</v>
      </c>
      <c r="L1861" s="2" t="str">
        <f ca="1">IFERROR(__xludf.DUMMYFUNCTION("""COMPUTED_VALUE"""),"1")</f>
        <v>1</v>
      </c>
      <c r="M1861" s="2" t="str">
        <f ca="1">IFERROR(__xludf.DUMMYFUNCTION("""COMPUTED_VALUE"""),"Tinto")</f>
        <v>Tinto</v>
      </c>
    </row>
    <row r="1862" spans="1:13" x14ac:dyDescent="0.25">
      <c r="A1862" s="2" t="str">
        <f ca="1">IFERROR(__xludf.DUMMYFUNCTION("""COMPUTED_VALUE"""),"e515b905")</f>
        <v>e515b905</v>
      </c>
      <c r="B1862" s="2"/>
      <c r="C1862" s="5">
        <f ca="1">IFERROR(__xludf.DUMMYFUNCTION("""COMPUTED_VALUE"""),46135.5288310185)</f>
        <v>46135.528831018499</v>
      </c>
      <c r="D1862" s="2">
        <f ca="1">IFERROR(__xludf.DUMMYFUNCTION("""COMPUTED_VALUE"""),127)</f>
        <v>127</v>
      </c>
      <c r="E1862" s="2">
        <f ca="1">IFERROR(__xludf.DUMMYFUNCTION("""COMPUTED_VALUE"""),31000)</f>
        <v>31000</v>
      </c>
      <c r="F1862" s="2" t="str">
        <f ca="1">IFERROR(__xludf.DUMMYFUNCTION("""COMPUTED_VALUE"""),"Criolla")</f>
        <v>Criolla</v>
      </c>
      <c r="G1862" s="2">
        <f ca="1">IFERROR(__xludf.DUMMYFUNCTION("""COMPUTED_VALUE"""),30000)</f>
        <v>30000</v>
      </c>
      <c r="H1862" s="2">
        <f ca="1">IFERROR(__xludf.DUMMYFUNCTION("""COMPUTED_VALUE"""),31000)</f>
        <v>31000</v>
      </c>
      <c r="I1862" s="2"/>
      <c r="J1862" s="2"/>
      <c r="K1862" s="2" t="str">
        <f ca="1">IFERROR(__xludf.DUMMYFUNCTION("""COMPUTED_VALUE"""),"Fermentando")</f>
        <v>Fermentando</v>
      </c>
      <c r="L1862" s="2" t="str">
        <f ca="1">IFERROR(__xludf.DUMMYFUNCTION("""COMPUTED_VALUE"""),"1")</f>
        <v>1</v>
      </c>
      <c r="M1862" s="2" t="str">
        <f ca="1">IFERROR(__xludf.DUMMYFUNCTION("""COMPUTED_VALUE"""),"Tinto")</f>
        <v>Tinto</v>
      </c>
    </row>
    <row r="1863" spans="1:13" x14ac:dyDescent="0.25">
      <c r="A1863" s="2" t="str">
        <f ca="1">IFERROR(__xludf.DUMMYFUNCTION("""COMPUTED_VALUE"""),"cffb7fdd")</f>
        <v>cffb7fdd</v>
      </c>
      <c r="B1863" s="2"/>
      <c r="C1863" s="5">
        <f ca="1">IFERROR(__xludf.DUMMYFUNCTION("""COMPUTED_VALUE"""),46135.8009375)</f>
        <v>46135.800937499997</v>
      </c>
      <c r="D1863" s="2">
        <f ca="1">IFERROR(__xludf.DUMMYFUNCTION("""COMPUTED_VALUE"""),27)</f>
        <v>27</v>
      </c>
      <c r="E1863" s="2">
        <f ca="1">IFERROR(__xludf.DUMMYFUNCTION("""COMPUTED_VALUE"""),207100)</f>
        <v>207100</v>
      </c>
      <c r="F1863" s="2" t="str">
        <f ca="1">IFERROR(__xludf.DUMMYFUNCTION("""COMPUTED_VALUE"""),"Tinto Varietal Garbin")</f>
        <v>Tinto Varietal Garbin</v>
      </c>
      <c r="G1863" s="2">
        <f ca="1">IFERROR(__xludf.DUMMYFUNCTION("""COMPUTED_VALUE"""),0)</f>
        <v>0</v>
      </c>
      <c r="H1863" s="2">
        <f ca="1">IFERROR(__xludf.DUMMYFUNCTION("""COMPUTED_VALUE"""),62500)</f>
        <v>62500</v>
      </c>
      <c r="I1863" s="2"/>
      <c r="J1863" s="2"/>
      <c r="K1863" s="2" t="str">
        <f ca="1">IFERROR(__xludf.DUMMYFUNCTION("""COMPUTED_VALUE"""),"Terminado")</f>
        <v>Terminado</v>
      </c>
      <c r="L1863" s="2" t="str">
        <f ca="1">IFERROR(__xludf.DUMMYFUNCTION("""COMPUTED_VALUE"""),"1")</f>
        <v>1</v>
      </c>
      <c r="M1863" s="2" t="str">
        <f ca="1">IFERROR(__xludf.DUMMYFUNCTION("""COMPUTED_VALUE"""),"Tinto")</f>
        <v>Tinto</v>
      </c>
    </row>
    <row r="1864" spans="1:13" x14ac:dyDescent="0.25">
      <c r="A1864" s="2" t="str">
        <f ca="1">IFERROR(__xludf.DUMMYFUNCTION("""COMPUTED_VALUE"""),"340e3ab7")</f>
        <v>340e3ab7</v>
      </c>
      <c r="B1864" s="2"/>
      <c r="C1864" s="5">
        <f ca="1">IFERROR(__xludf.DUMMYFUNCTION("""COMPUTED_VALUE"""),46135.8013888888)</f>
        <v>46135.801388888802</v>
      </c>
      <c r="D1864" s="2">
        <f ca="1">IFERROR(__xludf.DUMMYFUNCTION("""COMPUTED_VALUE"""),27)</f>
        <v>27</v>
      </c>
      <c r="E1864" s="2">
        <f ca="1">IFERROR(__xludf.DUMMYFUNCTION("""COMPUTED_VALUE"""),207100)</f>
        <v>207100</v>
      </c>
      <c r="F1864" s="2" t="str">
        <f ca="1">IFERROR(__xludf.DUMMYFUNCTION("""COMPUTED_VALUE"""),"Tinto Varietal Garbin")</f>
        <v>Tinto Varietal Garbin</v>
      </c>
      <c r="G1864" s="2">
        <f ca="1">IFERROR(__xludf.DUMMYFUNCTION("""COMPUTED_VALUE"""),62500)</f>
        <v>62500</v>
      </c>
      <c r="H1864" s="2">
        <f ca="1">IFERROR(__xludf.DUMMYFUNCTION("""COMPUTED_VALUE"""),71500)</f>
        <v>71500</v>
      </c>
      <c r="I1864" s="2"/>
      <c r="J1864" s="2"/>
      <c r="K1864" s="2" t="str">
        <f ca="1">IFERROR(__xludf.DUMMYFUNCTION("""COMPUTED_VALUE"""),"Terminado")</f>
        <v>Terminado</v>
      </c>
      <c r="L1864" s="2" t="str">
        <f ca="1">IFERROR(__xludf.DUMMYFUNCTION("""COMPUTED_VALUE"""),"1")</f>
        <v>1</v>
      </c>
      <c r="M1864" s="2" t="str">
        <f ca="1">IFERROR(__xludf.DUMMYFUNCTION("""COMPUTED_VALUE"""),"Tinto")</f>
        <v>Tinto</v>
      </c>
    </row>
    <row r="1865" spans="1:13" x14ac:dyDescent="0.25">
      <c r="A1865" s="2" t="str">
        <f ca="1">IFERROR(__xludf.DUMMYFUNCTION("""COMPUTED_VALUE"""),"f46f4bb4")</f>
        <v>f46f4bb4</v>
      </c>
      <c r="B1865" s="2"/>
      <c r="C1865" s="5">
        <f ca="1">IFERROR(__xludf.DUMMYFUNCTION("""COMPUTED_VALUE"""),46135.8028935185)</f>
        <v>46135.802893518499</v>
      </c>
      <c r="D1865" s="2">
        <f ca="1">IFERROR(__xludf.DUMMYFUNCTION("""COMPUTED_VALUE"""),26)</f>
        <v>26</v>
      </c>
      <c r="E1865" s="2">
        <f ca="1">IFERROR(__xludf.DUMMYFUNCTION("""COMPUTED_VALUE"""),207600)</f>
        <v>207600</v>
      </c>
      <c r="F1865" s="2" t="str">
        <f ca="1">IFERROR(__xludf.DUMMYFUNCTION("""COMPUTED_VALUE"""),"Tinto Varietal B")</f>
        <v>Tinto Varietal B</v>
      </c>
      <c r="G1865" s="2">
        <f ca="1">IFERROR(__xludf.DUMMYFUNCTION("""COMPUTED_VALUE"""),145100)</f>
        <v>145100</v>
      </c>
      <c r="H1865" s="2">
        <f ca="1">IFERROR(__xludf.DUMMYFUNCTION("""COMPUTED_VALUE"""),166100)</f>
        <v>166100</v>
      </c>
      <c r="I1865" s="2"/>
      <c r="J1865" s="2"/>
      <c r="K1865" s="2" t="str">
        <f ca="1">IFERROR(__xludf.DUMMYFUNCTION("""COMPUTED_VALUE"""),"Terminado")</f>
        <v>Terminado</v>
      </c>
      <c r="L1865" s="2" t="str">
        <f ca="1">IFERROR(__xludf.DUMMYFUNCTION("""COMPUTED_VALUE"""),"1")</f>
        <v>1</v>
      </c>
      <c r="M1865" s="2" t="str">
        <f ca="1">IFERROR(__xludf.DUMMYFUNCTION("""COMPUTED_VALUE"""),"Tinto")</f>
        <v>Tinto</v>
      </c>
    </row>
    <row r="1866" spans="1:13" x14ac:dyDescent="0.25">
      <c r="A1866" s="2" t="str">
        <f ca="1">IFERROR(__xludf.DUMMYFUNCTION("""COMPUTED_VALUE"""),"bbfdef55")</f>
        <v>bbfdef55</v>
      </c>
      <c r="B1866" s="2"/>
      <c r="C1866" s="5">
        <f ca="1">IFERROR(__xludf.DUMMYFUNCTION("""COMPUTED_VALUE"""),46135.8031597222)</f>
        <v>46135.8031597222</v>
      </c>
      <c r="D1866" s="2">
        <f ca="1">IFERROR(__xludf.DUMMYFUNCTION("""COMPUTED_VALUE"""),27)</f>
        <v>27</v>
      </c>
      <c r="E1866" s="2">
        <f ca="1">IFERROR(__xludf.DUMMYFUNCTION("""COMPUTED_VALUE"""),207100)</f>
        <v>207100</v>
      </c>
      <c r="F1866" s="2" t="str">
        <f ca="1">IFERROR(__xludf.DUMMYFUNCTION("""COMPUTED_VALUE"""),"Tinto Varietal Garbin")</f>
        <v>Tinto Varietal Garbin</v>
      </c>
      <c r="G1866" s="2">
        <f ca="1">IFERROR(__xludf.DUMMYFUNCTION("""COMPUTED_VALUE"""),71500)</f>
        <v>71500</v>
      </c>
      <c r="H1866" s="2">
        <f ca="1">IFERROR(__xludf.DUMMYFUNCTION("""COMPUTED_VALUE"""),80500)</f>
        <v>80500</v>
      </c>
      <c r="I1866" s="2"/>
      <c r="J1866" s="2"/>
      <c r="K1866" s="2" t="str">
        <f ca="1">IFERROR(__xludf.DUMMYFUNCTION("""COMPUTED_VALUE"""),"Terminado")</f>
        <v>Terminado</v>
      </c>
      <c r="L1866" s="2" t="str">
        <f ca="1">IFERROR(__xludf.DUMMYFUNCTION("""COMPUTED_VALUE"""),"1")</f>
        <v>1</v>
      </c>
      <c r="M1866" s="2" t="str">
        <f ca="1">IFERROR(__xludf.DUMMYFUNCTION("""COMPUTED_VALUE"""),"Tinto")</f>
        <v>Tinto</v>
      </c>
    </row>
    <row r="1867" spans="1:13" x14ac:dyDescent="0.25">
      <c r="A1867" s="2" t="str">
        <f ca="1">IFERROR(__xludf.DUMMYFUNCTION("""COMPUTED_VALUE"""),"0d57755b")</f>
        <v>0d57755b</v>
      </c>
      <c r="B1867" s="2"/>
      <c r="C1867" s="5">
        <f ca="1">IFERROR(__xludf.DUMMYFUNCTION("""COMPUTED_VALUE"""),46135.8034375)</f>
        <v>46135.803437499999</v>
      </c>
      <c r="D1867" s="2">
        <f ca="1">IFERROR(__xludf.DUMMYFUNCTION("""COMPUTED_VALUE"""),26)</f>
        <v>26</v>
      </c>
      <c r="E1867" s="2">
        <f ca="1">IFERROR(__xludf.DUMMYFUNCTION("""COMPUTED_VALUE"""),207600)</f>
        <v>207600</v>
      </c>
      <c r="F1867" s="2" t="str">
        <f ca="1">IFERROR(__xludf.DUMMYFUNCTION("""COMPUTED_VALUE"""),"Tinto Varietal B")</f>
        <v>Tinto Varietal B</v>
      </c>
      <c r="G1867" s="2">
        <f ca="1">IFERROR(__xludf.DUMMYFUNCTION("""COMPUTED_VALUE"""),166100)</f>
        <v>166100</v>
      </c>
      <c r="H1867" s="2">
        <f ca="1">IFERROR(__xludf.DUMMYFUNCTION("""COMPUTED_VALUE"""),193000)</f>
        <v>193000</v>
      </c>
      <c r="I1867" s="2"/>
      <c r="J1867" s="2"/>
      <c r="K1867" s="2" t="str">
        <f ca="1">IFERROR(__xludf.DUMMYFUNCTION("""COMPUTED_VALUE"""),"Terminado")</f>
        <v>Terminado</v>
      </c>
      <c r="L1867" s="2" t="str">
        <f ca="1">IFERROR(__xludf.DUMMYFUNCTION("""COMPUTED_VALUE"""),"1")</f>
        <v>1</v>
      </c>
      <c r="M1867" s="2" t="str">
        <f ca="1">IFERROR(__xludf.DUMMYFUNCTION("""COMPUTED_VALUE"""),"Tinto")</f>
        <v>Tinto</v>
      </c>
    </row>
    <row r="1868" spans="1:13" x14ac:dyDescent="0.25">
      <c r="A1868" s="2" t="str">
        <f ca="1">IFERROR(__xludf.DUMMYFUNCTION("""COMPUTED_VALUE"""),"ba88be2f")</f>
        <v>ba88be2f</v>
      </c>
      <c r="B1868" s="2"/>
      <c r="C1868" s="5">
        <f ca="1">IFERROR(__xludf.DUMMYFUNCTION("""COMPUTED_VALUE"""),46135.8038194444)</f>
        <v>46135.803819444402</v>
      </c>
      <c r="D1868" s="2">
        <f ca="1">IFERROR(__xludf.DUMMYFUNCTION("""COMPUTED_VALUE"""),27)</f>
        <v>27</v>
      </c>
      <c r="E1868" s="2">
        <f ca="1">IFERROR(__xludf.DUMMYFUNCTION("""COMPUTED_VALUE"""),207100)</f>
        <v>207100</v>
      </c>
      <c r="F1868" s="2" t="str">
        <f ca="1">IFERROR(__xludf.DUMMYFUNCTION("""COMPUTED_VALUE"""),"Tinto Varietal Garbin")</f>
        <v>Tinto Varietal Garbin</v>
      </c>
      <c r="G1868" s="2">
        <f ca="1">IFERROR(__xludf.DUMMYFUNCTION("""COMPUTED_VALUE"""),80500)</f>
        <v>80500</v>
      </c>
      <c r="H1868" s="2">
        <f ca="1">IFERROR(__xludf.DUMMYFUNCTION("""COMPUTED_VALUE"""),86500)</f>
        <v>86500</v>
      </c>
      <c r="I1868" s="2"/>
      <c r="J1868" s="2"/>
      <c r="K1868" s="2" t="str">
        <f ca="1">IFERROR(__xludf.DUMMYFUNCTION("""COMPUTED_VALUE"""),"Terminado")</f>
        <v>Terminado</v>
      </c>
      <c r="L1868" s="2" t="str">
        <f ca="1">IFERROR(__xludf.DUMMYFUNCTION("""COMPUTED_VALUE"""),"1")</f>
        <v>1</v>
      </c>
      <c r="M1868" s="2" t="str">
        <f ca="1">IFERROR(__xludf.DUMMYFUNCTION("""COMPUTED_VALUE"""),"Tinto")</f>
        <v>Tinto</v>
      </c>
    </row>
    <row r="1869" spans="1:13" x14ac:dyDescent="0.25">
      <c r="A1869" s="2" t="str">
        <f ca="1">IFERROR(__xludf.DUMMYFUNCTION("""COMPUTED_VALUE"""),"60850275")</f>
        <v>60850275</v>
      </c>
      <c r="B1869" s="2"/>
      <c r="C1869" s="5">
        <f ca="1">IFERROR(__xludf.DUMMYFUNCTION("""COMPUTED_VALUE"""),46135.8040625)</f>
        <v>46135.804062499999</v>
      </c>
      <c r="D1869" s="2">
        <f ca="1">IFERROR(__xludf.DUMMYFUNCTION("""COMPUTED_VALUE"""),26)</f>
        <v>26</v>
      </c>
      <c r="E1869" s="2">
        <f ca="1">IFERROR(__xludf.DUMMYFUNCTION("""COMPUTED_VALUE"""),207600)</f>
        <v>207600</v>
      </c>
      <c r="F1869" s="2" t="str">
        <f ca="1">IFERROR(__xludf.DUMMYFUNCTION("""COMPUTED_VALUE"""),"Tinto Varietal B")</f>
        <v>Tinto Varietal B</v>
      </c>
      <c r="G1869" s="2">
        <f ca="1">IFERROR(__xludf.DUMMYFUNCTION("""COMPUTED_VALUE"""),193000)</f>
        <v>193000</v>
      </c>
      <c r="H1869" s="2">
        <f ca="1">IFERROR(__xludf.DUMMYFUNCTION("""COMPUTED_VALUE"""),206500)</f>
        <v>206500</v>
      </c>
      <c r="I1869" s="2"/>
      <c r="J1869" s="2"/>
      <c r="K1869" s="2" t="str">
        <f ca="1">IFERROR(__xludf.DUMMYFUNCTION("""COMPUTED_VALUE"""),"Terminado")</f>
        <v>Terminado</v>
      </c>
      <c r="L1869" s="2" t="str">
        <f ca="1">IFERROR(__xludf.DUMMYFUNCTION("""COMPUTED_VALUE"""),"1")</f>
        <v>1</v>
      </c>
      <c r="M1869" s="2" t="str">
        <f ca="1">IFERROR(__xludf.DUMMYFUNCTION("""COMPUTED_VALUE"""),"Tinto")</f>
        <v>Tinto</v>
      </c>
    </row>
    <row r="1870" spans="1:13" x14ac:dyDescent="0.25">
      <c r="A1870" s="2" t="str">
        <f ca="1">IFERROR(__xludf.DUMMYFUNCTION("""COMPUTED_VALUE"""),"abee7119")</f>
        <v>abee7119</v>
      </c>
      <c r="B1870" s="2"/>
      <c r="C1870" s="5">
        <f ca="1">IFERROR(__xludf.DUMMYFUNCTION("""COMPUTED_VALUE"""),46135.8044212963)</f>
        <v>46135.8044212963</v>
      </c>
      <c r="D1870" s="2">
        <f ca="1">IFERROR(__xludf.DUMMYFUNCTION("""COMPUTED_VALUE"""),27)</f>
        <v>27</v>
      </c>
      <c r="E1870" s="2">
        <f ca="1">IFERROR(__xludf.DUMMYFUNCTION("""COMPUTED_VALUE"""),207100)</f>
        <v>207100</v>
      </c>
      <c r="F1870" s="2" t="str">
        <f ca="1">IFERROR(__xludf.DUMMYFUNCTION("""COMPUTED_VALUE"""),"Tinto Varietal Garbin")</f>
        <v>Tinto Varietal Garbin</v>
      </c>
      <c r="G1870" s="2">
        <f ca="1">IFERROR(__xludf.DUMMYFUNCTION("""COMPUTED_VALUE"""),86500)</f>
        <v>86500</v>
      </c>
      <c r="H1870" s="2">
        <f ca="1">IFERROR(__xludf.DUMMYFUNCTION("""COMPUTED_VALUE"""),92500)</f>
        <v>92500</v>
      </c>
      <c r="I1870" s="2"/>
      <c r="J1870" s="2"/>
      <c r="K1870" s="2" t="str">
        <f ca="1">IFERROR(__xludf.DUMMYFUNCTION("""COMPUTED_VALUE"""),"Terminado")</f>
        <v>Terminado</v>
      </c>
      <c r="L1870" s="2" t="str">
        <f ca="1">IFERROR(__xludf.DUMMYFUNCTION("""COMPUTED_VALUE"""),"1")</f>
        <v>1</v>
      </c>
      <c r="M1870" s="2" t="str">
        <f ca="1">IFERROR(__xludf.DUMMYFUNCTION("""COMPUTED_VALUE"""),"Tinto")</f>
        <v>Tinto</v>
      </c>
    </row>
    <row r="1871" spans="1:13" x14ac:dyDescent="0.25">
      <c r="A1871" s="2" t="str">
        <f ca="1">IFERROR(__xludf.DUMMYFUNCTION("""COMPUTED_VALUE"""),"deec46bc")</f>
        <v>deec46bc</v>
      </c>
      <c r="B1871" s="2"/>
      <c r="C1871" s="5">
        <f ca="1">IFERROR(__xludf.DUMMYFUNCTION("""COMPUTED_VALUE"""),46135.8049652777)</f>
        <v>46135.804965277697</v>
      </c>
      <c r="D1871" s="2">
        <f ca="1">IFERROR(__xludf.DUMMYFUNCTION("""COMPUTED_VALUE"""),26)</f>
        <v>26</v>
      </c>
      <c r="E1871" s="2">
        <f ca="1">IFERROR(__xludf.DUMMYFUNCTION("""COMPUTED_VALUE"""),207600)</f>
        <v>207600</v>
      </c>
      <c r="F1871" s="2" t="str">
        <f ca="1">IFERROR(__xludf.DUMMYFUNCTION("""COMPUTED_VALUE"""),"Tinto Varietal B")</f>
        <v>Tinto Varietal B</v>
      </c>
      <c r="G1871" s="2">
        <f ca="1">IFERROR(__xludf.DUMMYFUNCTION("""COMPUTED_VALUE"""),206500)</f>
        <v>206500</v>
      </c>
      <c r="H1871" s="2">
        <f ca="1">IFERROR(__xludf.DUMMYFUNCTION("""COMPUTED_VALUE"""),207600)</f>
        <v>207600</v>
      </c>
      <c r="I1871" s="2"/>
      <c r="J1871" s="2"/>
      <c r="K1871" s="2" t="str">
        <f ca="1">IFERROR(__xludf.DUMMYFUNCTION("""COMPUTED_VALUE"""),"Terminado")</f>
        <v>Terminado</v>
      </c>
      <c r="L1871" s="2" t="str">
        <f ca="1">IFERROR(__xludf.DUMMYFUNCTION("""COMPUTED_VALUE"""),"1")</f>
        <v>1</v>
      </c>
      <c r="M1871" s="2" t="str">
        <f ca="1">IFERROR(__xludf.DUMMYFUNCTION("""COMPUTED_VALUE"""),"Tinto")</f>
        <v>Tinto</v>
      </c>
    </row>
    <row r="1872" spans="1:13" x14ac:dyDescent="0.25">
      <c r="A1872" s="2" t="str">
        <f ca="1">IFERROR(__xludf.DUMMYFUNCTION("""COMPUTED_VALUE"""),"98f8bbd2")</f>
        <v>98f8bbd2</v>
      </c>
      <c r="B1872" s="2"/>
      <c r="C1872" s="5">
        <f ca="1">IFERROR(__xludf.DUMMYFUNCTION("""COMPUTED_VALUE"""),46135.8243402777)</f>
        <v>46135.824340277701</v>
      </c>
      <c r="D1872" s="2">
        <f ca="1">IFERROR(__xludf.DUMMYFUNCTION("""COMPUTED_VALUE"""),125)</f>
        <v>125</v>
      </c>
      <c r="E1872" s="2">
        <f ca="1">IFERROR(__xludf.DUMMYFUNCTION("""COMPUTED_VALUE"""),31000)</f>
        <v>31000</v>
      </c>
      <c r="F1872" s="2" t="str">
        <f ca="1">IFERROR(__xludf.DUMMYFUNCTION("""COMPUTED_VALUE"""),"Criolla Mosto")</f>
        <v>Criolla Mosto</v>
      </c>
      <c r="G1872" s="2"/>
      <c r="H1872" s="2">
        <f ca="1">IFERROR(__xludf.DUMMYFUNCTION("""COMPUTED_VALUE"""),25000)</f>
        <v>25000</v>
      </c>
      <c r="I1872" s="2"/>
      <c r="J1872" s="2" t="str">
        <f ca="1">IFERROR(__xludf.DUMMYFUNCTION("""COMPUTED_VALUE"""),"6562 , 6561 , 6560 , 6559")</f>
        <v>6562 , 6561 , 6560 , 6559</v>
      </c>
      <c r="K1872" s="2"/>
      <c r="L1872" s="2"/>
      <c r="M1872" s="2" t="str">
        <f ca="1">IFERROR(__xludf.DUMMYFUNCTION("""COMPUTED_VALUE"""),"Tinto")</f>
        <v>Tinto</v>
      </c>
    </row>
    <row r="1873" spans="1:13" x14ac:dyDescent="0.25">
      <c r="A1873" s="2" t="str">
        <f ca="1">IFERROR(__xludf.DUMMYFUNCTION("""COMPUTED_VALUE"""),"d8ca72fa")</f>
        <v>d8ca72fa</v>
      </c>
      <c r="B1873" s="2"/>
      <c r="C1873" s="5">
        <f ca="1">IFERROR(__xludf.DUMMYFUNCTION("""COMPUTED_VALUE"""),46135.8267129629)</f>
        <v>46135.826712962902</v>
      </c>
      <c r="D1873" s="2">
        <f ca="1">IFERROR(__xludf.DUMMYFUNCTION("""COMPUTED_VALUE"""),500)</f>
        <v>500</v>
      </c>
      <c r="E1873" s="2">
        <f ca="1">IFERROR(__xludf.DUMMYFUNCTION("""COMPUTED_VALUE"""),200000)</f>
        <v>200000</v>
      </c>
      <c r="F1873" s="2" t="str">
        <f ca="1">IFERROR(__xludf.DUMMYFUNCTION("""COMPUTED_VALUE"""),"AJUSTE COSECHA 2026")</f>
        <v>AJUSTE COSECHA 2026</v>
      </c>
      <c r="G1873" s="2">
        <f ca="1">IFERROR(__xludf.DUMMYFUNCTION("""COMPUTED_VALUE"""),31400)</f>
        <v>31400</v>
      </c>
      <c r="H1873" s="2">
        <f ca="1">IFERROR(__xludf.DUMMYFUNCTION("""COMPUTED_VALUE"""),46400)</f>
        <v>46400</v>
      </c>
      <c r="I1873" s="2"/>
      <c r="J1873" s="2"/>
      <c r="K1873" s="2" t="str">
        <f ca="1">IFERROR(__xludf.DUMMYFUNCTION("""COMPUTED_VALUE"""),"Terminado")</f>
        <v>Terminado</v>
      </c>
      <c r="L1873" s="2" t="str">
        <f ca="1">IFERROR(__xludf.DUMMYFUNCTION("""COMPUTED_VALUE"""),"1")</f>
        <v>1</v>
      </c>
      <c r="M1873" s="2" t="str">
        <f ca="1">IFERROR(__xludf.DUMMYFUNCTION("""COMPUTED_VALUE"""),"Tinto")</f>
        <v>Tinto</v>
      </c>
    </row>
    <row r="1874" spans="1:13" x14ac:dyDescent="0.25">
      <c r="A1874" s="2" t="str">
        <f ca="1">IFERROR(__xludf.DUMMYFUNCTION("""COMPUTED_VALUE"""),"94c98a03")</f>
        <v>94c98a03</v>
      </c>
      <c r="B1874" s="2"/>
      <c r="C1874" s="5">
        <f ca="1">IFERROR(__xludf.DUMMYFUNCTION("""COMPUTED_VALUE"""),46135.8281597222)</f>
        <v>46135.828159722201</v>
      </c>
      <c r="D1874" s="2">
        <f ca="1">IFERROR(__xludf.DUMMYFUNCTION("""COMPUTED_VALUE"""),79)</f>
        <v>79</v>
      </c>
      <c r="E1874" s="2">
        <f ca="1">IFERROR(__xludf.DUMMYFUNCTION("""COMPUTED_VALUE"""),26000)</f>
        <v>26000</v>
      </c>
      <c r="F1874" s="2" t="str">
        <f ca="1">IFERROR(__xludf.DUMMYFUNCTION("""COMPUTED_VALUE"""),"Criolla")</f>
        <v>Criolla</v>
      </c>
      <c r="G1874" s="2">
        <f ca="1">IFERROR(__xludf.DUMMYFUNCTION("""COMPUTED_VALUE"""),0)</f>
        <v>0</v>
      </c>
      <c r="H1874" s="2">
        <f ca="1">IFERROR(__xludf.DUMMYFUNCTION("""COMPUTED_VALUE"""),23000)</f>
        <v>23000</v>
      </c>
      <c r="I1874" s="2"/>
      <c r="J1874" s="2"/>
      <c r="K1874" s="2" t="str">
        <f ca="1">IFERROR(__xludf.DUMMYFUNCTION("""COMPUTED_VALUE"""),"Fermentando")</f>
        <v>Fermentando</v>
      </c>
      <c r="L1874" s="2"/>
      <c r="M1874" s="2" t="str">
        <f ca="1">IFERROR(__xludf.DUMMYFUNCTION("""COMPUTED_VALUE"""),"Tinto")</f>
        <v>Tinto</v>
      </c>
    </row>
    <row r="1875" spans="1:13" x14ac:dyDescent="0.25">
      <c r="A1875" s="2" t="str">
        <f ca="1">IFERROR(__xludf.DUMMYFUNCTION("""COMPUTED_VALUE"""),"d90a205b")</f>
        <v>d90a205b</v>
      </c>
      <c r="B1875" s="2"/>
      <c r="C1875" s="5">
        <f ca="1">IFERROR(__xludf.DUMMYFUNCTION("""COMPUTED_VALUE"""),46136.705324074)</f>
        <v>46136.705324073999</v>
      </c>
      <c r="D1875" s="2">
        <f ca="1">IFERROR(__xludf.DUMMYFUNCTION("""COMPUTED_VALUE"""),500)</f>
        <v>500</v>
      </c>
      <c r="E1875" s="2">
        <f ca="1">IFERROR(__xludf.DUMMYFUNCTION("""COMPUTED_VALUE"""),200000)</f>
        <v>200000</v>
      </c>
      <c r="F1875" s="2" t="str">
        <f ca="1">IFERROR(__xludf.DUMMYFUNCTION("""COMPUTED_VALUE"""),"AJUSTE COSECHA 2026")</f>
        <v>AJUSTE COSECHA 2026</v>
      </c>
      <c r="G1875" s="2">
        <f ca="1">IFERROR(__xludf.DUMMYFUNCTION("""COMPUTED_VALUE"""),46400)</f>
        <v>46400</v>
      </c>
      <c r="H1875" s="2">
        <f ca="1">IFERROR(__xludf.DUMMYFUNCTION("""COMPUTED_VALUE"""),52920)</f>
        <v>52920</v>
      </c>
      <c r="I1875" s="2"/>
      <c r="J1875" s="2"/>
      <c r="K1875" s="2" t="str">
        <f ca="1">IFERROR(__xludf.DUMMYFUNCTION("""COMPUTED_VALUE"""),"Terminado")</f>
        <v>Terminado</v>
      </c>
      <c r="L1875" s="2" t="str">
        <f ca="1">IFERROR(__xludf.DUMMYFUNCTION("""COMPUTED_VALUE"""),"1")</f>
        <v>1</v>
      </c>
      <c r="M1875" s="2" t="str">
        <f ca="1">IFERROR(__xludf.DUMMYFUNCTION("""COMPUTED_VALUE"""),"Tinto")</f>
        <v>Tinto</v>
      </c>
    </row>
    <row r="1876" spans="1:13" x14ac:dyDescent="0.25">
      <c r="A1876" s="2" t="str">
        <f ca="1">IFERROR(__xludf.DUMMYFUNCTION("""COMPUTED_VALUE"""),"a21e63a2")</f>
        <v>a21e63a2</v>
      </c>
      <c r="B1876" s="2"/>
      <c r="C1876" s="5">
        <f ca="1">IFERROR(__xludf.DUMMYFUNCTION("""COMPUTED_VALUE"""),46136.8623148148)</f>
        <v>46136.862314814804</v>
      </c>
      <c r="D1876" s="2">
        <f ca="1">IFERROR(__xludf.DUMMYFUNCTION("""COMPUTED_VALUE"""),82)</f>
        <v>82</v>
      </c>
      <c r="E1876" s="2">
        <f ca="1">IFERROR(__xludf.DUMMYFUNCTION("""COMPUTED_VALUE"""),42600)</f>
        <v>42600</v>
      </c>
      <c r="F1876" s="2" t="str">
        <f ca="1">IFERROR(__xludf.DUMMYFUNCTION("""COMPUTED_VALUE"""),"Bonarda c/criolla")</f>
        <v>Bonarda c/criolla</v>
      </c>
      <c r="G1876" s="2">
        <f ca="1">IFERROR(__xludf.DUMMYFUNCTION("""COMPUTED_VALUE"""),0)</f>
        <v>0</v>
      </c>
      <c r="H1876" s="2">
        <f ca="1">IFERROR(__xludf.DUMMYFUNCTION("""COMPUTED_VALUE"""),42600)</f>
        <v>42600</v>
      </c>
      <c r="I1876" s="2"/>
      <c r="J1876" s="2"/>
      <c r="K1876" s="2" t="str">
        <f ca="1">IFERROR(__xludf.DUMMYFUNCTION("""COMPUTED_VALUE"""),"Descubada")</f>
        <v>Descubada</v>
      </c>
      <c r="L1876" s="2" t="str">
        <f ca="1">IFERROR(__xludf.DUMMYFUNCTION("""COMPUTED_VALUE"""),"1+")</f>
        <v>1+</v>
      </c>
      <c r="M1876" s="2" t="str">
        <f ca="1">IFERROR(__xludf.DUMMYFUNCTION("""COMPUTED_VALUE"""),"Tinto")</f>
        <v>Tinto</v>
      </c>
    </row>
    <row r="1877" spans="1:13" x14ac:dyDescent="0.25">
      <c r="A1877" s="2" t="str">
        <f ca="1">IFERROR(__xludf.DUMMYFUNCTION("""COMPUTED_VALUE"""),"95c357c0")</f>
        <v>95c357c0</v>
      </c>
      <c r="B1877" s="2"/>
      <c r="C1877" s="5">
        <f ca="1">IFERROR(__xludf.DUMMYFUNCTION("""COMPUTED_VALUE"""),46136.8625231481)</f>
        <v>46136.862523148098</v>
      </c>
      <c r="D1877" s="2">
        <f ca="1">IFERROR(__xludf.DUMMYFUNCTION("""COMPUTED_VALUE"""),81)</f>
        <v>81</v>
      </c>
      <c r="E1877" s="2">
        <f ca="1">IFERROR(__xludf.DUMMYFUNCTION("""COMPUTED_VALUE"""),26500)</f>
        <v>26500</v>
      </c>
      <c r="F1877" s="2" t="str">
        <f ca="1">IFERROR(__xludf.DUMMYFUNCTION("""COMPUTED_VALUE"""),"Bonarda c/criolla")</f>
        <v>Bonarda c/criolla</v>
      </c>
      <c r="G1877" s="2">
        <f ca="1">IFERROR(__xludf.DUMMYFUNCTION("""COMPUTED_VALUE"""),0)</f>
        <v>0</v>
      </c>
      <c r="H1877" s="2">
        <f ca="1">IFERROR(__xludf.DUMMYFUNCTION("""COMPUTED_VALUE"""),13400)</f>
        <v>13400</v>
      </c>
      <c r="I1877" s="2"/>
      <c r="J1877" s="2"/>
      <c r="K1877" s="2" t="str">
        <f ca="1">IFERROR(__xludf.DUMMYFUNCTION("""COMPUTED_VALUE"""),"Descubada")</f>
        <v>Descubada</v>
      </c>
      <c r="L1877" s="2"/>
      <c r="M1877" s="2" t="str">
        <f ca="1">IFERROR(__xludf.DUMMYFUNCTION("""COMPUTED_VALUE"""),"Tinto")</f>
        <v>Tinto</v>
      </c>
    </row>
    <row r="1878" spans="1:13" x14ac:dyDescent="0.25">
      <c r="A1878" s="2" t="str">
        <f ca="1">IFERROR(__xludf.DUMMYFUNCTION("""COMPUTED_VALUE"""),"b078fbc6")</f>
        <v>b078fbc6</v>
      </c>
      <c r="B1878" s="2"/>
      <c r="C1878" s="5">
        <f ca="1">IFERROR(__xludf.DUMMYFUNCTION("""COMPUTED_VALUE"""),46136.8628356481)</f>
        <v>46136.862835648099</v>
      </c>
      <c r="D1878" s="2">
        <f ca="1">IFERROR(__xludf.DUMMYFUNCTION("""COMPUTED_VALUE"""),76)</f>
        <v>76</v>
      </c>
      <c r="E1878" s="2">
        <f ca="1">IFERROR(__xludf.DUMMYFUNCTION("""COMPUTED_VALUE"""),25500)</f>
        <v>25500</v>
      </c>
      <c r="F1878" s="2" t="str">
        <f ca="1">IFERROR(__xludf.DUMMYFUNCTION("""COMPUTED_VALUE"""),"Bonarda")</f>
        <v>Bonarda</v>
      </c>
      <c r="G1878" s="2"/>
      <c r="H1878" s="2">
        <f ca="1">IFERROR(__xludf.DUMMYFUNCTION("""COMPUTED_VALUE"""),18000)</f>
        <v>18000</v>
      </c>
      <c r="I1878" s="2"/>
      <c r="J1878" s="2" t="str">
        <f ca="1">IFERROR(__xludf.DUMMYFUNCTION("""COMPUTED_VALUE"""),"6565 , 6566 , 6567")</f>
        <v>6565 , 6566 , 6567</v>
      </c>
      <c r="K1878" s="2" t="str">
        <f ca="1">IFERROR(__xludf.DUMMYFUNCTION("""COMPUTED_VALUE"""),"Fermentando")</f>
        <v>Fermentando</v>
      </c>
      <c r="L1878" s="2"/>
      <c r="M1878" s="2" t="str">
        <f ca="1">IFERROR(__xludf.DUMMYFUNCTION("""COMPUTED_VALUE"""),"Tinto")</f>
        <v>Tinto</v>
      </c>
    </row>
    <row r="1879" spans="1:13" x14ac:dyDescent="0.25">
      <c r="A1879" s="2" t="str">
        <f ca="1">IFERROR(__xludf.DUMMYFUNCTION("""COMPUTED_VALUE"""),"c8c4fa38")</f>
        <v>c8c4fa38</v>
      </c>
      <c r="B1879" s="2"/>
      <c r="C1879" s="5">
        <f ca="1">IFERROR(__xludf.DUMMYFUNCTION("""COMPUTED_VALUE"""),46136.865636574)</f>
        <v>46136.865636574003</v>
      </c>
      <c r="D1879" s="2">
        <f ca="1">IFERROR(__xludf.DUMMYFUNCTION("""COMPUTED_VALUE"""),87)</f>
        <v>87</v>
      </c>
      <c r="E1879" s="2">
        <f ca="1">IFERROR(__xludf.DUMMYFUNCTION("""COMPUTED_VALUE"""),93700)</f>
        <v>93700</v>
      </c>
      <c r="F1879" s="2" t="str">
        <f ca="1">IFERROR(__xludf.DUMMYFUNCTION("""COMPUTED_VALUE"""),"Criolla Recarga PC")</f>
        <v>Criolla Recarga PC</v>
      </c>
      <c r="G1879" s="2">
        <f ca="1">IFERROR(__xludf.DUMMYFUNCTION("""COMPUTED_VALUE"""),0)</f>
        <v>0</v>
      </c>
      <c r="H1879" s="2">
        <f ca="1">IFERROR(__xludf.DUMMYFUNCTION("""COMPUTED_VALUE"""),29500)</f>
        <v>29500</v>
      </c>
      <c r="I1879" s="2"/>
      <c r="J1879" s="2"/>
      <c r="K1879" s="2" t="str">
        <f ca="1">IFERROR(__xludf.DUMMYFUNCTION("""COMPUTED_VALUE"""),"Descubada")</f>
        <v>Descubada</v>
      </c>
      <c r="L1879" s="2"/>
      <c r="M1879" s="2" t="str">
        <f ca="1">IFERROR(__xludf.DUMMYFUNCTION("""COMPUTED_VALUE"""),"Tinto")</f>
        <v>Tinto</v>
      </c>
    </row>
    <row r="1880" spans="1:13" x14ac:dyDescent="0.25">
      <c r="A1880" s="2" t="str">
        <f ca="1">IFERROR(__xludf.DUMMYFUNCTION("""COMPUTED_VALUE"""),"253bec17")</f>
        <v>253bec17</v>
      </c>
      <c r="B1880" s="2"/>
      <c r="C1880" s="5">
        <f ca="1">IFERROR(__xludf.DUMMYFUNCTION("""COMPUTED_VALUE"""),46136.8663310185)</f>
        <v>46136.8663310185</v>
      </c>
      <c r="D1880" s="2">
        <f ca="1">IFERROR(__xludf.DUMMYFUNCTION("""COMPUTED_VALUE"""),81)</f>
        <v>81</v>
      </c>
      <c r="E1880" s="2">
        <f ca="1">IFERROR(__xludf.DUMMYFUNCTION("""COMPUTED_VALUE"""),26500)</f>
        <v>26500</v>
      </c>
      <c r="F1880" s="2" t="str">
        <f ca="1">IFERROR(__xludf.DUMMYFUNCTION("""COMPUTED_VALUE"""),"Bonarda")</f>
        <v>Bonarda</v>
      </c>
      <c r="G1880" s="2">
        <f ca="1">IFERROR(__xludf.DUMMYFUNCTION("""COMPUTED_VALUE"""),13400)</f>
        <v>13400</v>
      </c>
      <c r="H1880" s="2">
        <f ca="1">IFERROR(__xludf.DUMMYFUNCTION("""COMPUTED_VALUE"""),26500)</f>
        <v>26500</v>
      </c>
      <c r="I1880" s="2"/>
      <c r="J1880" s="2"/>
      <c r="K1880" s="2" t="str">
        <f ca="1">IFERROR(__xludf.DUMMYFUNCTION("""COMPUTED_VALUE"""),"Descubada")</f>
        <v>Descubada</v>
      </c>
      <c r="L1880" s="2" t="str">
        <f ca="1">IFERROR(__xludf.DUMMYFUNCTION("""COMPUTED_VALUE"""),"1+")</f>
        <v>1+</v>
      </c>
      <c r="M1880" s="2" t="str">
        <f ca="1">IFERROR(__xludf.DUMMYFUNCTION("""COMPUTED_VALUE"""),"Tinto")</f>
        <v>Tinto</v>
      </c>
    </row>
    <row r="1881" spans="1:13" x14ac:dyDescent="0.25">
      <c r="A1881" s="2" t="str">
        <f ca="1">IFERROR(__xludf.DUMMYFUNCTION("""COMPUTED_VALUE"""),"267e3ee0")</f>
        <v>267e3ee0</v>
      </c>
      <c r="B1881" s="2"/>
      <c r="C1881" s="5">
        <f ca="1">IFERROR(__xludf.DUMMYFUNCTION("""COMPUTED_VALUE"""),46136.8673611111)</f>
        <v>46136.867361111101</v>
      </c>
      <c r="D1881" s="2">
        <f ca="1">IFERROR(__xludf.DUMMYFUNCTION("""COMPUTED_VALUE"""),67)</f>
        <v>67</v>
      </c>
      <c r="E1881" s="2">
        <f ca="1">IFERROR(__xludf.DUMMYFUNCTION("""COMPUTED_VALUE"""),23000)</f>
        <v>23000</v>
      </c>
      <c r="F1881" s="2" t="str">
        <f ca="1">IFERROR(__xludf.DUMMYFUNCTION("""COMPUTED_VALUE"""),"Bonarda")</f>
        <v>Bonarda</v>
      </c>
      <c r="G1881" s="2">
        <f ca="1">IFERROR(__xludf.DUMMYFUNCTION("""COMPUTED_VALUE"""),0)</f>
        <v>0</v>
      </c>
      <c r="H1881" s="2">
        <f ca="1">IFERROR(__xludf.DUMMYFUNCTION("""COMPUTED_VALUE"""),16000)</f>
        <v>16000</v>
      </c>
      <c r="I1881" s="2"/>
      <c r="J1881" s="2"/>
      <c r="K1881" s="2" t="str">
        <f ca="1">IFERROR(__xludf.DUMMYFUNCTION("""COMPUTED_VALUE"""),"Descubada")</f>
        <v>Descubada</v>
      </c>
      <c r="L1881" s="2"/>
      <c r="M1881" s="2" t="str">
        <f ca="1">IFERROR(__xludf.DUMMYFUNCTION("""COMPUTED_VALUE"""),"Tinto")</f>
        <v>Tinto</v>
      </c>
    </row>
    <row r="1882" spans="1:13" x14ac:dyDescent="0.25">
      <c r="A1882" s="2" t="str">
        <f ca="1">IFERROR(__xludf.DUMMYFUNCTION("""COMPUTED_VALUE"""),"b4b1b66c")</f>
        <v>b4b1b66c</v>
      </c>
      <c r="B1882" s="2"/>
      <c r="C1882" s="5">
        <f ca="1">IFERROR(__xludf.DUMMYFUNCTION("""COMPUTED_VALUE"""),46136.8680555555)</f>
        <v>46136.868055555497</v>
      </c>
      <c r="D1882" s="2">
        <f ca="1">IFERROR(__xludf.DUMMYFUNCTION("""COMPUTED_VALUE"""),89)</f>
        <v>89</v>
      </c>
      <c r="E1882" s="2">
        <f ca="1">IFERROR(__xludf.DUMMYFUNCTION("""COMPUTED_VALUE"""),83500)</f>
        <v>83500</v>
      </c>
      <c r="F1882" s="2" t="str">
        <f ca="1">IFERROR(__xludf.DUMMYFUNCTION("""COMPUTED_VALUE"""),"Criolla Recarga")</f>
        <v>Criolla Recarga</v>
      </c>
      <c r="G1882" s="2">
        <f ca="1">IFERROR(__xludf.DUMMYFUNCTION("""COMPUTED_VALUE"""),15900)</f>
        <v>15900</v>
      </c>
      <c r="H1882" s="2">
        <f ca="1">IFERROR(__xludf.DUMMYFUNCTION("""COMPUTED_VALUE"""),38900)</f>
        <v>38900</v>
      </c>
      <c r="I1882" s="2"/>
      <c r="J1882" s="2"/>
      <c r="K1882" s="2" t="str">
        <f ca="1">IFERROR(__xludf.DUMMYFUNCTION("""COMPUTED_VALUE"""),"Recarga Fermentando")</f>
        <v>Recarga Fermentando</v>
      </c>
      <c r="L1882" s="2" t="str">
        <f ca="1">IFERROR(__xludf.DUMMYFUNCTION("""COMPUTED_VALUE"""),"1+")</f>
        <v>1+</v>
      </c>
      <c r="M1882" s="2" t="str">
        <f ca="1">IFERROR(__xludf.DUMMYFUNCTION("""COMPUTED_VALUE"""),"Tinto")</f>
        <v>Tinto</v>
      </c>
    </row>
    <row r="1883" spans="1:13" x14ac:dyDescent="0.25">
      <c r="A1883" s="2" t="str">
        <f ca="1">IFERROR(__xludf.DUMMYFUNCTION("""COMPUTED_VALUE"""),"ffc3af1d")</f>
        <v>ffc3af1d</v>
      </c>
      <c r="B1883" s="2"/>
      <c r="C1883" s="5">
        <f ca="1">IFERROR(__xludf.DUMMYFUNCTION("""COMPUTED_VALUE"""),46139.3074884259)</f>
        <v>46139.307488425897</v>
      </c>
      <c r="D1883" s="2">
        <f ca="1">IFERROR(__xludf.DUMMYFUNCTION("""COMPUTED_VALUE"""),79)</f>
        <v>79</v>
      </c>
      <c r="E1883" s="2">
        <f ca="1">IFERROR(__xludf.DUMMYFUNCTION("""COMPUTED_VALUE"""),26000)</f>
        <v>26000</v>
      </c>
      <c r="F1883" s="2" t="str">
        <f ca="1">IFERROR(__xludf.DUMMYFUNCTION("""COMPUTED_VALUE"""),"Criolla")</f>
        <v>Criolla</v>
      </c>
      <c r="G1883" s="2">
        <f ca="1">IFERROR(__xludf.DUMMYFUNCTION("""COMPUTED_VALUE"""),0)</f>
        <v>0</v>
      </c>
      <c r="H1883" s="2">
        <f ca="1">IFERROR(__xludf.DUMMYFUNCTION("""COMPUTED_VALUE"""),2000)</f>
        <v>2000</v>
      </c>
      <c r="I1883" s="2"/>
      <c r="J1883" s="2"/>
      <c r="K1883" s="2" t="str">
        <f ca="1">IFERROR(__xludf.DUMMYFUNCTION("""COMPUTED_VALUE"""),"Fermentando")</f>
        <v>Fermentando</v>
      </c>
      <c r="L1883" s="2"/>
      <c r="M1883" s="2" t="str">
        <f ca="1">IFERROR(__xludf.DUMMYFUNCTION("""COMPUTED_VALUE"""),"Tinto")</f>
        <v>Tinto</v>
      </c>
    </row>
    <row r="1884" spans="1:13" x14ac:dyDescent="0.25">
      <c r="A1884" s="2" t="str">
        <f ca="1">IFERROR(__xludf.DUMMYFUNCTION("""COMPUTED_VALUE"""),"0f7ec44b")</f>
        <v>0f7ec44b</v>
      </c>
      <c r="B1884" s="2"/>
      <c r="C1884" s="5">
        <f ca="1">IFERROR(__xludf.DUMMYFUNCTION("""COMPUTED_VALUE"""),46139.7827662037)</f>
        <v>46139.782766203702</v>
      </c>
      <c r="D1884" s="2">
        <f ca="1">IFERROR(__xludf.DUMMYFUNCTION("""COMPUTED_VALUE"""),87)</f>
        <v>87</v>
      </c>
      <c r="E1884" s="2">
        <f ca="1">IFERROR(__xludf.DUMMYFUNCTION("""COMPUTED_VALUE"""),93700)</f>
        <v>93700</v>
      </c>
      <c r="F1884" s="2" t="str">
        <f ca="1">IFERROR(__xludf.DUMMYFUNCTION("""COMPUTED_VALUE"""),"Criolla Recarga PC")</f>
        <v>Criolla Recarga PC</v>
      </c>
      <c r="G1884" s="2">
        <f ca="1">IFERROR(__xludf.DUMMYFUNCTION("""COMPUTED_VALUE"""),29500)</f>
        <v>29500</v>
      </c>
      <c r="H1884" s="2">
        <f ca="1">IFERROR(__xludf.DUMMYFUNCTION("""COMPUTED_VALUE"""),82900)</f>
        <v>82900</v>
      </c>
      <c r="I1884" s="2"/>
      <c r="J1884" s="2"/>
      <c r="K1884" s="2" t="str">
        <f ca="1">IFERROR(__xludf.DUMMYFUNCTION("""COMPUTED_VALUE"""),"Descubada")</f>
        <v>Descubada</v>
      </c>
      <c r="L1884" s="2" t="str">
        <f ca="1">IFERROR(__xludf.DUMMYFUNCTION("""COMPUTED_VALUE"""),"1+")</f>
        <v>1+</v>
      </c>
      <c r="M1884" s="2" t="str">
        <f ca="1">IFERROR(__xludf.DUMMYFUNCTION("""COMPUTED_VALUE"""),"Tinto")</f>
        <v>Tinto</v>
      </c>
    </row>
    <row r="1885" spans="1:13" x14ac:dyDescent="0.25">
      <c r="A1885" s="2" t="str">
        <f ca="1">IFERROR(__xludf.DUMMYFUNCTION("""COMPUTED_VALUE"""),"686997c5")</f>
        <v>686997c5</v>
      </c>
      <c r="B1885" s="2"/>
      <c r="C1885" s="5">
        <f ca="1">IFERROR(__xludf.DUMMYFUNCTION("""COMPUTED_VALUE"""),46139.7841319444)</f>
        <v>46139.784131944398</v>
      </c>
      <c r="D1885" s="2">
        <f ca="1">IFERROR(__xludf.DUMMYFUNCTION("""COMPUTED_VALUE"""),10)</f>
        <v>10</v>
      </c>
      <c r="E1885" s="2">
        <f ca="1">IFERROR(__xludf.DUMMYFUNCTION("""COMPUTED_VALUE"""),21000)</f>
        <v>21000</v>
      </c>
      <c r="F1885" s="2" t="str">
        <f ca="1">IFERROR(__xludf.DUMMYFUNCTION("""COMPUTED_VALUE"""),"Cabernet Sauvignon Rect")</f>
        <v>Cabernet Sauvignon Rect</v>
      </c>
      <c r="G1885" s="2">
        <f ca="1">IFERROR(__xludf.DUMMYFUNCTION("""COMPUTED_VALUE"""),21000)</f>
        <v>21000</v>
      </c>
      <c r="H1885" s="2">
        <f ca="1">IFERROR(__xludf.DUMMYFUNCTION("""COMPUTED_VALUE"""),14000)</f>
        <v>14000</v>
      </c>
      <c r="I1885" s="2"/>
      <c r="J1885" s="2"/>
      <c r="K1885" s="2" t="str">
        <f ca="1">IFERROR(__xludf.DUMMYFUNCTION("""COMPUTED_VALUE"""),"Rectificado")</f>
        <v>Rectificado</v>
      </c>
      <c r="L1885" s="2" t="str">
        <f ca="1">IFERROR(__xludf.DUMMYFUNCTION("""COMPUTED_VALUE"""),"1")</f>
        <v>1</v>
      </c>
      <c r="M1885" s="2" t="str">
        <f ca="1">IFERROR(__xludf.DUMMYFUNCTION("""COMPUTED_VALUE"""),"Tinto")</f>
        <v>Tinto</v>
      </c>
    </row>
    <row r="1886" spans="1:13" x14ac:dyDescent="0.25">
      <c r="A1886" s="2" t="str">
        <f ca="1">IFERROR(__xludf.DUMMYFUNCTION("""COMPUTED_VALUE"""),"2c516729")</f>
        <v>2c516729</v>
      </c>
      <c r="B1886" s="2"/>
      <c r="C1886" s="5">
        <f ca="1">IFERROR(__xludf.DUMMYFUNCTION("""COMPUTED_VALUE"""),46139.7845717592)</f>
        <v>46139.784571759199</v>
      </c>
      <c r="D1886" s="2">
        <f ca="1">IFERROR(__xludf.DUMMYFUNCTION("""COMPUTED_VALUE"""),10)</f>
        <v>10</v>
      </c>
      <c r="E1886" s="2">
        <f ca="1">IFERROR(__xludf.DUMMYFUNCTION("""COMPUTED_VALUE"""),21000)</f>
        <v>21000</v>
      </c>
      <c r="F1886" s="2" t="str">
        <f ca="1">IFERROR(__xludf.DUMMYFUNCTION("""COMPUTED_VALUE"""),"Cabernet Sauvignon Rect")</f>
        <v>Cabernet Sauvignon Rect</v>
      </c>
      <c r="G1886" s="2">
        <f ca="1">IFERROR(__xludf.DUMMYFUNCTION("""COMPUTED_VALUE"""),14000)</f>
        <v>14000</v>
      </c>
      <c r="H1886" s="2">
        <f ca="1">IFERROR(__xludf.DUMMYFUNCTION("""COMPUTED_VALUE"""),10000)</f>
        <v>10000</v>
      </c>
      <c r="I1886" s="2"/>
      <c r="J1886" s="2"/>
      <c r="K1886" s="2" t="str">
        <f ca="1">IFERROR(__xludf.DUMMYFUNCTION("""COMPUTED_VALUE"""),"Rectificado")</f>
        <v>Rectificado</v>
      </c>
      <c r="L1886" s="2" t="str">
        <f ca="1">IFERROR(__xludf.DUMMYFUNCTION("""COMPUTED_VALUE"""),"1")</f>
        <v>1</v>
      </c>
      <c r="M1886" s="2" t="str">
        <f ca="1">IFERROR(__xludf.DUMMYFUNCTION("""COMPUTED_VALUE"""),"Tinto")</f>
        <v>Tinto</v>
      </c>
    </row>
    <row r="1887" spans="1:13" x14ac:dyDescent="0.25">
      <c r="A1887" s="2" t="str">
        <f ca="1">IFERROR(__xludf.DUMMYFUNCTION("""COMPUTED_VALUE"""),"00a0cc09")</f>
        <v>00a0cc09</v>
      </c>
      <c r="B1887" s="2"/>
      <c r="C1887" s="5">
        <f ca="1">IFERROR(__xludf.DUMMYFUNCTION("""COMPUTED_VALUE"""),46139.785011574)</f>
        <v>46139.785011574</v>
      </c>
      <c r="D1887" s="2">
        <f ca="1">IFERROR(__xludf.DUMMYFUNCTION("""COMPUTED_VALUE"""),10)</f>
        <v>10</v>
      </c>
      <c r="E1887" s="2">
        <f ca="1">IFERROR(__xludf.DUMMYFUNCTION("""COMPUTED_VALUE"""),21000)</f>
        <v>21000</v>
      </c>
      <c r="F1887" s="2" t="str">
        <f ca="1">IFERROR(__xludf.DUMMYFUNCTION("""COMPUTED_VALUE"""),"Cabernet Rectificado")</f>
        <v>Cabernet Rectificado</v>
      </c>
      <c r="G1887" s="2">
        <f ca="1">IFERROR(__xludf.DUMMYFUNCTION("""COMPUTED_VALUE"""),10000)</f>
        <v>10000</v>
      </c>
      <c r="H1887" s="2">
        <f ca="1">IFERROR(__xludf.DUMMYFUNCTION("""COMPUTED_VALUE"""),5500)</f>
        <v>5500</v>
      </c>
      <c r="I1887" s="2"/>
      <c r="J1887" s="2"/>
      <c r="K1887" s="2" t="str">
        <f ca="1">IFERROR(__xludf.DUMMYFUNCTION("""COMPUTED_VALUE"""),"Rectificado")</f>
        <v>Rectificado</v>
      </c>
      <c r="L1887" s="2"/>
      <c r="M1887" s="2" t="str">
        <f ca="1">IFERROR(__xludf.DUMMYFUNCTION("""COMPUTED_VALUE"""),"Tinto")</f>
        <v>Tinto</v>
      </c>
    </row>
    <row r="1888" spans="1:13" x14ac:dyDescent="0.25">
      <c r="A1888" s="2" t="str">
        <f ca="1">IFERROR(__xludf.DUMMYFUNCTION("""COMPUTED_VALUE"""),"9688c372")</f>
        <v>9688c372</v>
      </c>
      <c r="B1888" s="2"/>
      <c r="C1888" s="5">
        <f ca="1">IFERROR(__xludf.DUMMYFUNCTION("""COMPUTED_VALUE"""),46139.7867013888)</f>
        <v>46139.786701388803</v>
      </c>
      <c r="D1888" s="2">
        <f ca="1">IFERROR(__xludf.DUMMYFUNCTION("""COMPUTED_VALUE"""),10)</f>
        <v>10</v>
      </c>
      <c r="E1888" s="2">
        <f ca="1">IFERROR(__xludf.DUMMYFUNCTION("""COMPUTED_VALUE"""),21000)</f>
        <v>21000</v>
      </c>
      <c r="F1888" s="2" t="str">
        <f ca="1">IFERROR(__xludf.DUMMYFUNCTION("""COMPUTED_VALUE"""),"Cabernet Rectificado")</f>
        <v>Cabernet Rectificado</v>
      </c>
      <c r="G1888" s="2">
        <f ca="1">IFERROR(__xludf.DUMMYFUNCTION("""COMPUTED_VALUE"""),5500)</f>
        <v>5500</v>
      </c>
      <c r="H1888" s="2">
        <f ca="1">IFERROR(__xludf.DUMMYFUNCTION("""COMPUTED_VALUE"""),4000)</f>
        <v>4000</v>
      </c>
      <c r="I1888" s="2"/>
      <c r="J1888" s="2"/>
      <c r="K1888" s="2" t="str">
        <f ca="1">IFERROR(__xludf.DUMMYFUNCTION("""COMPUTED_VALUE"""),"Rectificado")</f>
        <v>Rectificado</v>
      </c>
      <c r="L1888" s="2"/>
      <c r="M1888" s="2" t="str">
        <f ca="1">IFERROR(__xludf.DUMMYFUNCTION("""COMPUTED_VALUE"""),"Tinto")</f>
        <v>Tinto</v>
      </c>
    </row>
    <row r="1889" spans="1:13" x14ac:dyDescent="0.25">
      <c r="A1889" s="2" t="str">
        <f ca="1">IFERROR(__xludf.DUMMYFUNCTION("""COMPUTED_VALUE"""),"f358a541")</f>
        <v>f358a541</v>
      </c>
      <c r="B1889" s="2"/>
      <c r="C1889" s="5">
        <f ca="1">IFERROR(__xludf.DUMMYFUNCTION("""COMPUTED_VALUE"""),46139.7905324074)</f>
        <v>46139.790532407402</v>
      </c>
      <c r="D1889" s="2"/>
      <c r="E1889" s="2"/>
      <c r="F1889" s="2" t="str">
        <f ca="1">IFERROR(__xludf.DUMMYFUNCTION("""COMPUTED_VALUE"""),"Tinto Varietal Garbin")</f>
        <v>Tinto Varietal Garbin</v>
      </c>
      <c r="G1889" s="2"/>
      <c r="H1889" s="2">
        <f ca="1">IFERROR(__xludf.DUMMYFUNCTION("""COMPUTED_VALUE"""),90000)</f>
        <v>90000</v>
      </c>
      <c r="I1889" s="2"/>
      <c r="J1889" s="2"/>
      <c r="K1889" s="2" t="str">
        <f ca="1">IFERROR(__xludf.DUMMYFUNCTION("""COMPUTED_VALUE"""),"Traslado Venta")</f>
        <v>Traslado Venta</v>
      </c>
      <c r="L1889" s="2" t="str">
        <f ca="1">IFERROR(__xludf.DUMMYFUNCTION("""COMPUTED_VALUE"""),"1")</f>
        <v>1</v>
      </c>
      <c r="M1889" s="2" t="str">
        <f ca="1">IFERROR(__xludf.DUMMYFUNCTION("""COMPUTED_VALUE"""),"Tinto")</f>
        <v>Tinto</v>
      </c>
    </row>
    <row r="1890" spans="1:13" x14ac:dyDescent="0.25">
      <c r="A1890" s="2" t="str">
        <f ca="1">IFERROR(__xludf.DUMMYFUNCTION("""COMPUTED_VALUE"""),"c91f293f")</f>
        <v>c91f293f</v>
      </c>
      <c r="B1890" s="2"/>
      <c r="C1890" s="5">
        <f ca="1">IFERROR(__xludf.DUMMYFUNCTION("""COMPUTED_VALUE"""),46139.791574074)</f>
        <v>46139.791574073999</v>
      </c>
      <c r="D1890" s="2">
        <f ca="1">IFERROR(__xludf.DUMMYFUNCTION("""COMPUTED_VALUE"""),68)</f>
        <v>68</v>
      </c>
      <c r="E1890" s="2">
        <f ca="1">IFERROR(__xludf.DUMMYFUNCTION("""COMPUTED_VALUE"""),13000)</f>
        <v>13000</v>
      </c>
      <c r="F1890" s="2" t="str">
        <f ca="1">IFERROR(__xludf.DUMMYFUNCTION("""COMPUTED_VALUE"""),"Tinto Varietal B")</f>
        <v>Tinto Varietal B</v>
      </c>
      <c r="G1890" s="2">
        <f ca="1">IFERROR(__xludf.DUMMYFUNCTION("""COMPUTED_VALUE"""),0)</f>
        <v>0</v>
      </c>
      <c r="H1890" s="2">
        <f ca="1">IFERROR(__xludf.DUMMYFUNCTION("""COMPUTED_VALUE"""),9000)</f>
        <v>9000</v>
      </c>
      <c r="I1890" s="2"/>
      <c r="J1890" s="2"/>
      <c r="K1890" s="2" t="str">
        <f ca="1">IFERROR(__xludf.DUMMYFUNCTION("""COMPUTED_VALUE"""),"Terminado")</f>
        <v>Terminado</v>
      </c>
      <c r="L1890" s="2" t="str">
        <f ca="1">IFERROR(__xludf.DUMMYFUNCTION("""COMPUTED_VALUE"""),"1")</f>
        <v>1</v>
      </c>
      <c r="M1890" s="2" t="str">
        <f ca="1">IFERROR(__xludf.DUMMYFUNCTION("""COMPUTED_VALUE"""),"Tinto")</f>
        <v>Tinto</v>
      </c>
    </row>
    <row r="1891" spans="1:13" x14ac:dyDescent="0.25">
      <c r="A1891" s="2" t="str">
        <f ca="1">IFERROR(__xludf.DUMMYFUNCTION("""COMPUTED_VALUE"""),"8250b31d")</f>
        <v>8250b31d</v>
      </c>
      <c r="B1891" s="2"/>
      <c r="C1891" s="5">
        <f ca="1">IFERROR(__xludf.DUMMYFUNCTION("""COMPUTED_VALUE"""),46139.7917939814)</f>
        <v>46139.7917939814</v>
      </c>
      <c r="D1891" s="2">
        <f ca="1">IFERROR(__xludf.DUMMYFUNCTION("""COMPUTED_VALUE"""),500)</f>
        <v>500</v>
      </c>
      <c r="E1891" s="2">
        <f ca="1">IFERROR(__xludf.DUMMYFUNCTION("""COMPUTED_VALUE"""),200000)</f>
        <v>200000</v>
      </c>
      <c r="F1891" s="2" t="str">
        <f ca="1">IFERROR(__xludf.DUMMYFUNCTION("""COMPUTED_VALUE"""),"AJUSTE COSECHA 2026")</f>
        <v>AJUSTE COSECHA 2026</v>
      </c>
      <c r="G1891" s="2">
        <f ca="1">IFERROR(__xludf.DUMMYFUNCTION("""COMPUTED_VALUE"""),52920)</f>
        <v>52920</v>
      </c>
      <c r="H1891" s="2">
        <f ca="1">IFERROR(__xludf.DUMMYFUNCTION("""COMPUTED_VALUE"""),56520)</f>
        <v>56520</v>
      </c>
      <c r="I1891" s="2"/>
      <c r="J1891" s="2"/>
      <c r="K1891" s="2" t="str">
        <f ca="1">IFERROR(__xludf.DUMMYFUNCTION("""COMPUTED_VALUE"""),"Terminado")</f>
        <v>Terminado</v>
      </c>
      <c r="L1891" s="2" t="str">
        <f ca="1">IFERROR(__xludf.DUMMYFUNCTION("""COMPUTED_VALUE"""),"1")</f>
        <v>1</v>
      </c>
      <c r="M1891" s="2" t="str">
        <f ca="1">IFERROR(__xludf.DUMMYFUNCTION("""COMPUTED_VALUE"""),"Tinto")</f>
        <v>Tinto</v>
      </c>
    </row>
    <row r="1892" spans="1:13" x14ac:dyDescent="0.25">
      <c r="A1892" s="2" t="str">
        <f ca="1">IFERROR(__xludf.DUMMYFUNCTION("""COMPUTED_VALUE"""),"5d55b488")</f>
        <v>5d55b488</v>
      </c>
      <c r="B1892" s="2"/>
      <c r="C1892" s="5">
        <f ca="1">IFERROR(__xludf.DUMMYFUNCTION("""COMPUTED_VALUE"""),46139.7941087963)</f>
        <v>46139.794108796297</v>
      </c>
      <c r="D1892" s="2">
        <f ca="1">IFERROR(__xludf.DUMMYFUNCTION("""COMPUTED_VALUE"""),500)</f>
        <v>500</v>
      </c>
      <c r="E1892" s="2">
        <f ca="1">IFERROR(__xludf.DUMMYFUNCTION("""COMPUTED_VALUE"""),200000)</f>
        <v>200000</v>
      </c>
      <c r="F1892" s="2" t="str">
        <f ca="1">IFERROR(__xludf.DUMMYFUNCTION("""COMPUTED_VALUE"""),"AJUSTE COSECHA 2026")</f>
        <v>AJUSTE COSECHA 2026</v>
      </c>
      <c r="G1892" s="2">
        <f ca="1">IFERROR(__xludf.DUMMYFUNCTION("""COMPUTED_VALUE"""),56520)</f>
        <v>56520</v>
      </c>
      <c r="H1892" s="2">
        <f ca="1">IFERROR(__xludf.DUMMYFUNCTION("""COMPUTED_VALUE"""),58520)</f>
        <v>58520</v>
      </c>
      <c r="I1892" s="2"/>
      <c r="J1892" s="2"/>
      <c r="K1892" s="2" t="str">
        <f ca="1">IFERROR(__xludf.DUMMYFUNCTION("""COMPUTED_VALUE"""),"Terminado")</f>
        <v>Terminado</v>
      </c>
      <c r="L1892" s="2" t="str">
        <f ca="1">IFERROR(__xludf.DUMMYFUNCTION("""COMPUTED_VALUE"""),"1")</f>
        <v>1</v>
      </c>
      <c r="M1892" s="2" t="str">
        <f ca="1">IFERROR(__xludf.DUMMYFUNCTION("""COMPUTED_VALUE"""),"Tinto")</f>
        <v>Tinto</v>
      </c>
    </row>
    <row r="1893" spans="1:13" x14ac:dyDescent="0.25">
      <c r="A1893" s="2" t="str">
        <f ca="1">IFERROR(__xludf.DUMMYFUNCTION("""COMPUTED_VALUE"""),"b7f77ddb")</f>
        <v>b7f77ddb</v>
      </c>
      <c r="B1893" s="2"/>
      <c r="C1893" s="5">
        <f ca="1">IFERROR(__xludf.DUMMYFUNCTION("""COMPUTED_VALUE"""),46139.7945601851)</f>
        <v>46139.794560185102</v>
      </c>
      <c r="D1893" s="2">
        <f ca="1">IFERROR(__xludf.DUMMYFUNCTION("""COMPUTED_VALUE"""),500)</f>
        <v>500</v>
      </c>
      <c r="E1893" s="2">
        <f ca="1">IFERROR(__xludf.DUMMYFUNCTION("""COMPUTED_VALUE"""),200000)</f>
        <v>200000</v>
      </c>
      <c r="F1893" s="2" t="str">
        <f ca="1">IFERROR(__xludf.DUMMYFUNCTION("""COMPUTED_VALUE"""),"AJUSTE COSECHA 2026")</f>
        <v>AJUSTE COSECHA 2026</v>
      </c>
      <c r="G1893" s="2">
        <f ca="1">IFERROR(__xludf.DUMMYFUNCTION("""COMPUTED_VALUE"""),58520)</f>
        <v>58520</v>
      </c>
      <c r="H1893" s="2">
        <f ca="1">IFERROR(__xludf.DUMMYFUNCTION("""COMPUTED_VALUE"""),49120)</f>
        <v>49120</v>
      </c>
      <c r="I1893" s="2"/>
      <c r="J1893" s="2"/>
      <c r="K1893" s="2" t="str">
        <f ca="1">IFERROR(__xludf.DUMMYFUNCTION("""COMPUTED_VALUE"""),"Terminado")</f>
        <v>Terminado</v>
      </c>
      <c r="L1893" s="2" t="str">
        <f ca="1">IFERROR(__xludf.DUMMYFUNCTION("""COMPUTED_VALUE"""),"1")</f>
        <v>1</v>
      </c>
      <c r="M1893" s="2" t="str">
        <f ca="1">IFERROR(__xludf.DUMMYFUNCTION("""COMPUTED_VALUE"""),"Tinto")</f>
        <v>Tinto</v>
      </c>
    </row>
    <row r="1894" spans="1:13" x14ac:dyDescent="0.25">
      <c r="A1894" s="2" t="str">
        <f ca="1">IFERROR(__xludf.DUMMYFUNCTION("""COMPUTED_VALUE"""),"d3d95ffe")</f>
        <v>d3d95ffe</v>
      </c>
      <c r="B1894" s="2"/>
      <c r="C1894" s="5">
        <f ca="1">IFERROR(__xludf.DUMMYFUNCTION("""COMPUTED_VALUE"""),46139.7949074074)</f>
        <v>46139.794907407399</v>
      </c>
      <c r="D1894" s="2">
        <f ca="1">IFERROR(__xludf.DUMMYFUNCTION("""COMPUTED_VALUE"""),500)</f>
        <v>500</v>
      </c>
      <c r="E1894" s="2">
        <f ca="1">IFERROR(__xludf.DUMMYFUNCTION("""COMPUTED_VALUE"""),200000)</f>
        <v>200000</v>
      </c>
      <c r="F1894" s="2" t="str">
        <f ca="1">IFERROR(__xludf.DUMMYFUNCTION("""COMPUTED_VALUE"""),"AJUSTE COSECHA 2026")</f>
        <v>AJUSTE COSECHA 2026</v>
      </c>
      <c r="G1894" s="2">
        <f ca="1">IFERROR(__xludf.DUMMYFUNCTION("""COMPUTED_VALUE"""),49120)</f>
        <v>49120</v>
      </c>
      <c r="H1894" s="2">
        <f ca="1">IFERROR(__xludf.DUMMYFUNCTION("""COMPUTED_VALUE"""),48120)</f>
        <v>48120</v>
      </c>
      <c r="I1894" s="2"/>
      <c r="J1894" s="2"/>
      <c r="K1894" s="2" t="str">
        <f ca="1">IFERROR(__xludf.DUMMYFUNCTION("""COMPUTED_VALUE"""),"Terminado")</f>
        <v>Terminado</v>
      </c>
      <c r="L1894" s="2" t="str">
        <f ca="1">IFERROR(__xludf.DUMMYFUNCTION("""COMPUTED_VALUE"""),"1")</f>
        <v>1</v>
      </c>
      <c r="M1894" s="2" t="str">
        <f ca="1">IFERROR(__xludf.DUMMYFUNCTION("""COMPUTED_VALUE"""),"Tinto")</f>
        <v>Tinto</v>
      </c>
    </row>
    <row r="1895" spans="1:13" x14ac:dyDescent="0.25">
      <c r="A1895" s="2" t="str">
        <f ca="1">IFERROR(__xludf.DUMMYFUNCTION("""COMPUTED_VALUE"""),"79d0d5e3")</f>
        <v>79d0d5e3</v>
      </c>
      <c r="B1895" s="2"/>
      <c r="C1895" s="5">
        <f ca="1">IFERROR(__xludf.DUMMYFUNCTION("""COMPUTED_VALUE"""),46139.7951851851)</f>
        <v>46139.795185185103</v>
      </c>
      <c r="D1895" s="2"/>
      <c r="E1895" s="2"/>
      <c r="F1895" s="2"/>
      <c r="G1895" s="2"/>
      <c r="H1895" s="2">
        <f ca="1">IFERROR(__xludf.DUMMYFUNCTION("""COMPUTED_VALUE"""),-18000)</f>
        <v>-18000</v>
      </c>
      <c r="I1895" s="2"/>
      <c r="J1895" s="2"/>
      <c r="K1895" s="2"/>
      <c r="L1895" s="2"/>
      <c r="M1895" s="2"/>
    </row>
    <row r="1896" spans="1:13" x14ac:dyDescent="0.25">
      <c r="A1896" s="2" t="str">
        <f ca="1">IFERROR(__xludf.DUMMYFUNCTION("""COMPUTED_VALUE"""),"ca8f77d8")</f>
        <v>ca8f77d8</v>
      </c>
      <c r="B1896" s="2"/>
      <c r="C1896" s="5">
        <f ca="1">IFERROR(__xludf.DUMMYFUNCTION("""COMPUTED_VALUE"""),46139.7956597222)</f>
        <v>46139.7956597222</v>
      </c>
      <c r="D1896" s="2">
        <f ca="1">IFERROR(__xludf.DUMMYFUNCTION("""COMPUTED_VALUE"""),500)</f>
        <v>500</v>
      </c>
      <c r="E1896" s="2">
        <f ca="1">IFERROR(__xludf.DUMMYFUNCTION("""COMPUTED_VALUE"""),200000)</f>
        <v>200000</v>
      </c>
      <c r="F1896" s="2" t="str">
        <f ca="1">IFERROR(__xludf.DUMMYFUNCTION("""COMPUTED_VALUE"""),"AJUSTE COSECHA 2026")</f>
        <v>AJUSTE COSECHA 2026</v>
      </c>
      <c r="G1896" s="2">
        <f ca="1">IFERROR(__xludf.DUMMYFUNCTION("""COMPUTED_VALUE"""),48120)</f>
        <v>48120</v>
      </c>
      <c r="H1896" s="2">
        <f ca="1">IFERROR(__xludf.DUMMYFUNCTION("""COMPUTED_VALUE"""),42020)</f>
        <v>42020</v>
      </c>
      <c r="I1896" s="2"/>
      <c r="J1896" s="2"/>
      <c r="K1896" s="2" t="str">
        <f ca="1">IFERROR(__xludf.DUMMYFUNCTION("""COMPUTED_VALUE"""),"Terminado")</f>
        <v>Terminado</v>
      </c>
      <c r="L1896" s="2" t="str">
        <f ca="1">IFERROR(__xludf.DUMMYFUNCTION("""COMPUTED_VALUE"""),"1")</f>
        <v>1</v>
      </c>
      <c r="M1896" s="2" t="str">
        <f ca="1">IFERROR(__xludf.DUMMYFUNCTION("""COMPUTED_VALUE"""),"Tinto")</f>
        <v>Tinto</v>
      </c>
    </row>
    <row r="1897" spans="1:13" x14ac:dyDescent="0.25">
      <c r="A1897" s="2" t="str">
        <f ca="1">IFERROR(__xludf.DUMMYFUNCTION("""COMPUTED_VALUE"""),"9e6e5db5")</f>
        <v>9e6e5db5</v>
      </c>
      <c r="B1897" s="2"/>
      <c r="C1897" s="5">
        <f ca="1">IFERROR(__xludf.DUMMYFUNCTION("""COMPUTED_VALUE"""),46139.7960416666)</f>
        <v>46139.796041666603</v>
      </c>
      <c r="D1897" s="2">
        <f ca="1">IFERROR(__xludf.DUMMYFUNCTION("""COMPUTED_VALUE"""),500)</f>
        <v>500</v>
      </c>
      <c r="E1897" s="2">
        <f ca="1">IFERROR(__xludf.DUMMYFUNCTION("""COMPUTED_VALUE"""),200000)</f>
        <v>200000</v>
      </c>
      <c r="F1897" s="2" t="str">
        <f ca="1">IFERROR(__xludf.DUMMYFUNCTION("""COMPUTED_VALUE"""),"AJUSTE COSECHA 2026")</f>
        <v>AJUSTE COSECHA 2026</v>
      </c>
      <c r="G1897" s="2">
        <f ca="1">IFERROR(__xludf.DUMMYFUNCTION("""COMPUTED_VALUE"""),42020)</f>
        <v>42020</v>
      </c>
      <c r="H1897" s="2">
        <f ca="1">IFERROR(__xludf.DUMMYFUNCTION("""COMPUTED_VALUE"""),74420)</f>
        <v>74420</v>
      </c>
      <c r="I1897" s="2"/>
      <c r="J1897" s="2"/>
      <c r="K1897" s="2" t="str">
        <f ca="1">IFERROR(__xludf.DUMMYFUNCTION("""COMPUTED_VALUE"""),"Terminado")</f>
        <v>Terminado</v>
      </c>
      <c r="L1897" s="2" t="str">
        <f ca="1">IFERROR(__xludf.DUMMYFUNCTION("""COMPUTED_VALUE"""),"1")</f>
        <v>1</v>
      </c>
      <c r="M1897" s="2" t="str">
        <f ca="1">IFERROR(__xludf.DUMMYFUNCTION("""COMPUTED_VALUE"""),"Tinto")</f>
        <v>Tinto</v>
      </c>
    </row>
    <row r="1898" spans="1:13" x14ac:dyDescent="0.25">
      <c r="A1898" s="2" t="str">
        <f ca="1">IFERROR(__xludf.DUMMYFUNCTION("""COMPUTED_VALUE"""),"a3b7415d")</f>
        <v>a3b7415d</v>
      </c>
      <c r="B1898" s="2"/>
      <c r="C1898" s="5">
        <f ca="1">IFERROR(__xludf.DUMMYFUNCTION("""COMPUTED_VALUE"""),46139.796574074)</f>
        <v>46139.796574073996</v>
      </c>
      <c r="D1898" s="2">
        <f ca="1">IFERROR(__xludf.DUMMYFUNCTION("""COMPUTED_VALUE"""),500)</f>
        <v>500</v>
      </c>
      <c r="E1898" s="2">
        <f ca="1">IFERROR(__xludf.DUMMYFUNCTION("""COMPUTED_VALUE"""),200000)</f>
        <v>200000</v>
      </c>
      <c r="F1898" s="2" t="str">
        <f ca="1">IFERROR(__xludf.DUMMYFUNCTION("""COMPUTED_VALUE"""),"AJUSTE COSECHA 2026")</f>
        <v>AJUSTE COSECHA 2026</v>
      </c>
      <c r="G1898" s="2">
        <f ca="1">IFERROR(__xludf.DUMMYFUNCTION("""COMPUTED_VALUE"""),74420)</f>
        <v>74420</v>
      </c>
      <c r="H1898" s="2">
        <f ca="1">IFERROR(__xludf.DUMMYFUNCTION("""COMPUTED_VALUE"""),78420)</f>
        <v>78420</v>
      </c>
      <c r="I1898" s="2"/>
      <c r="J1898" s="2"/>
      <c r="K1898" s="2" t="str">
        <f ca="1">IFERROR(__xludf.DUMMYFUNCTION("""COMPUTED_VALUE"""),"Terminado")</f>
        <v>Terminado</v>
      </c>
      <c r="L1898" s="2" t="str">
        <f ca="1">IFERROR(__xludf.DUMMYFUNCTION("""COMPUTED_VALUE"""),"1")</f>
        <v>1</v>
      </c>
      <c r="M1898" s="2" t="str">
        <f ca="1">IFERROR(__xludf.DUMMYFUNCTION("""COMPUTED_VALUE"""),"Tinto")</f>
        <v>Tinto</v>
      </c>
    </row>
    <row r="1899" spans="1:13" x14ac:dyDescent="0.25">
      <c r="A1899" s="2" t="str">
        <f ca="1">IFERROR(__xludf.DUMMYFUNCTION("""COMPUTED_VALUE"""),"5a26c0b1")</f>
        <v>5a26c0b1</v>
      </c>
      <c r="B1899" s="2"/>
      <c r="C1899" s="5">
        <f ca="1">IFERROR(__xludf.DUMMYFUNCTION("""COMPUTED_VALUE"""),46139.7973726851)</f>
        <v>46139.797372685098</v>
      </c>
      <c r="D1899" s="2">
        <f ca="1">IFERROR(__xludf.DUMMYFUNCTION("""COMPUTED_VALUE"""),500)</f>
        <v>500</v>
      </c>
      <c r="E1899" s="2">
        <f ca="1">IFERROR(__xludf.DUMMYFUNCTION("""COMPUTED_VALUE"""),200000)</f>
        <v>200000</v>
      </c>
      <c r="F1899" s="2" t="str">
        <f ca="1">IFERROR(__xludf.DUMMYFUNCTION("""COMPUTED_VALUE"""),"AJUSTE COSECHA 2026")</f>
        <v>AJUSTE COSECHA 2026</v>
      </c>
      <c r="G1899" s="2">
        <f ca="1">IFERROR(__xludf.DUMMYFUNCTION("""COMPUTED_VALUE"""),78420)</f>
        <v>78420</v>
      </c>
      <c r="H1899" s="2">
        <f ca="1">IFERROR(__xludf.DUMMYFUNCTION("""COMPUTED_VALUE"""),70420)</f>
        <v>70420</v>
      </c>
      <c r="I1899" s="2"/>
      <c r="J1899" s="2"/>
      <c r="K1899" s="2" t="str">
        <f ca="1">IFERROR(__xludf.DUMMYFUNCTION("""COMPUTED_VALUE"""),"Terminado")</f>
        <v>Terminado</v>
      </c>
      <c r="L1899" s="2" t="str">
        <f ca="1">IFERROR(__xludf.DUMMYFUNCTION("""COMPUTED_VALUE"""),"1")</f>
        <v>1</v>
      </c>
      <c r="M1899" s="2" t="str">
        <f ca="1">IFERROR(__xludf.DUMMYFUNCTION("""COMPUTED_VALUE"""),"Tinto")</f>
        <v>Tinto</v>
      </c>
    </row>
    <row r="1900" spans="1:13" x14ac:dyDescent="0.25">
      <c r="A1900" s="2" t="str">
        <f ca="1">IFERROR(__xludf.DUMMYFUNCTION("""COMPUTED_VALUE"""),"74c4ef7c")</f>
        <v>74c4ef7c</v>
      </c>
      <c r="B1900" s="2"/>
      <c r="C1900" s="5">
        <f ca="1">IFERROR(__xludf.DUMMYFUNCTION("""COMPUTED_VALUE"""),46139.7980902777)</f>
        <v>46139.798090277698</v>
      </c>
      <c r="D1900" s="2">
        <f ca="1">IFERROR(__xludf.DUMMYFUNCTION("""COMPUTED_VALUE"""),500)</f>
        <v>500</v>
      </c>
      <c r="E1900" s="2">
        <f ca="1">IFERROR(__xludf.DUMMYFUNCTION("""COMPUTED_VALUE"""),200000)</f>
        <v>200000</v>
      </c>
      <c r="F1900" s="2" t="str">
        <f ca="1">IFERROR(__xludf.DUMMYFUNCTION("""COMPUTED_VALUE"""),"AJUSTE COSECHA 2026")</f>
        <v>AJUSTE COSECHA 2026</v>
      </c>
      <c r="G1900" s="2">
        <f ca="1">IFERROR(__xludf.DUMMYFUNCTION("""COMPUTED_VALUE"""),70420)</f>
        <v>70420</v>
      </c>
      <c r="H1900" s="2">
        <f ca="1">IFERROR(__xludf.DUMMYFUNCTION("""COMPUTED_VALUE"""),73620)</f>
        <v>73620</v>
      </c>
      <c r="I1900" s="2"/>
      <c r="J1900" s="2"/>
      <c r="K1900" s="2" t="str">
        <f ca="1">IFERROR(__xludf.DUMMYFUNCTION("""COMPUTED_VALUE"""),"Terminado")</f>
        <v>Terminado</v>
      </c>
      <c r="L1900" s="2" t="str">
        <f ca="1">IFERROR(__xludf.DUMMYFUNCTION("""COMPUTED_VALUE"""),"1")</f>
        <v>1</v>
      </c>
      <c r="M1900" s="2" t="str">
        <f ca="1">IFERROR(__xludf.DUMMYFUNCTION("""COMPUTED_VALUE"""),"Tinto")</f>
        <v>Tinto</v>
      </c>
    </row>
    <row r="1901" spans="1:13" x14ac:dyDescent="0.25">
      <c r="A1901" s="2" t="str">
        <f ca="1">IFERROR(__xludf.DUMMYFUNCTION("""COMPUTED_VALUE"""),"5fdc27be")</f>
        <v>5fdc27be</v>
      </c>
      <c r="B1901" s="2"/>
      <c r="C1901" s="5">
        <f ca="1">IFERROR(__xludf.DUMMYFUNCTION("""COMPUTED_VALUE"""),46139.7983564814)</f>
        <v>46139.798356481399</v>
      </c>
      <c r="D1901" s="2">
        <f ca="1">IFERROR(__xludf.DUMMYFUNCTION("""COMPUTED_VALUE"""),51)</f>
        <v>51</v>
      </c>
      <c r="E1901" s="2">
        <f ca="1">IFERROR(__xludf.DUMMYFUNCTION("""COMPUTED_VALUE"""),3900)</f>
        <v>3900</v>
      </c>
      <c r="F1901" s="2" t="str">
        <f ca="1">IFERROR(__xludf.DUMMYFUNCTION("""COMPUTED_VALUE"""),"Tinto Varietal Garbin")</f>
        <v>Tinto Varietal Garbin</v>
      </c>
      <c r="G1901" s="2">
        <f ca="1">IFERROR(__xludf.DUMMYFUNCTION("""COMPUTED_VALUE"""),0)</f>
        <v>0</v>
      </c>
      <c r="H1901" s="2">
        <f ca="1">IFERROR(__xludf.DUMMYFUNCTION("""COMPUTED_VALUE"""),2500)</f>
        <v>2500</v>
      </c>
      <c r="I1901" s="2"/>
      <c r="J1901" s="2"/>
      <c r="K1901" s="2" t="str">
        <f ca="1">IFERROR(__xludf.DUMMYFUNCTION("""COMPUTED_VALUE"""),"Terminado")</f>
        <v>Terminado</v>
      </c>
      <c r="L1901" s="2" t="str">
        <f ca="1">IFERROR(__xludf.DUMMYFUNCTION("""COMPUTED_VALUE"""),"1")</f>
        <v>1</v>
      </c>
      <c r="M1901" s="2" t="str">
        <f ca="1">IFERROR(__xludf.DUMMYFUNCTION("""COMPUTED_VALUE"""),"Tinto")</f>
        <v>Tinto</v>
      </c>
    </row>
    <row r="1902" spans="1:13" x14ac:dyDescent="0.25">
      <c r="A1902" s="2" t="str">
        <f ca="1">IFERROR(__xludf.DUMMYFUNCTION("""COMPUTED_VALUE"""),"a3c86e02")</f>
        <v>a3c86e02</v>
      </c>
      <c r="B1902" s="2"/>
      <c r="C1902" s="5">
        <f ca="1">IFERROR(__xludf.DUMMYFUNCTION("""COMPUTED_VALUE"""),46139.7986805555)</f>
        <v>46139.798680555497</v>
      </c>
      <c r="D1902" s="2">
        <f ca="1">IFERROR(__xludf.DUMMYFUNCTION("""COMPUTED_VALUE"""),500)</f>
        <v>500</v>
      </c>
      <c r="E1902" s="2">
        <f ca="1">IFERROR(__xludf.DUMMYFUNCTION("""COMPUTED_VALUE"""),200000)</f>
        <v>200000</v>
      </c>
      <c r="F1902" s="2" t="str">
        <f ca="1">IFERROR(__xludf.DUMMYFUNCTION("""COMPUTED_VALUE"""),"AJUSTE COSECHA 2026")</f>
        <v>AJUSTE COSECHA 2026</v>
      </c>
      <c r="G1902" s="2">
        <f ca="1">IFERROR(__xludf.DUMMYFUNCTION("""COMPUTED_VALUE"""),73620)</f>
        <v>73620</v>
      </c>
      <c r="H1902" s="2">
        <f ca="1">IFERROR(__xludf.DUMMYFUNCTION("""COMPUTED_VALUE"""),72220)</f>
        <v>72220</v>
      </c>
      <c r="I1902" s="2"/>
      <c r="J1902" s="2"/>
      <c r="K1902" s="2" t="str">
        <f ca="1">IFERROR(__xludf.DUMMYFUNCTION("""COMPUTED_VALUE"""),"Terminado")</f>
        <v>Terminado</v>
      </c>
      <c r="L1902" s="2" t="str">
        <f ca="1">IFERROR(__xludf.DUMMYFUNCTION("""COMPUTED_VALUE"""),"1")</f>
        <v>1</v>
      </c>
      <c r="M1902" s="2" t="str">
        <f ca="1">IFERROR(__xludf.DUMMYFUNCTION("""COMPUTED_VALUE"""),"Tinto")</f>
        <v>Tinto</v>
      </c>
    </row>
    <row r="1903" spans="1:13" x14ac:dyDescent="0.25">
      <c r="A1903" s="2" t="str">
        <f ca="1">IFERROR(__xludf.DUMMYFUNCTION("""COMPUTED_VALUE"""),"a2d639ed")</f>
        <v>a2d639ed</v>
      </c>
      <c r="B1903" s="2"/>
      <c r="C1903" s="5">
        <f ca="1">IFERROR(__xludf.DUMMYFUNCTION("""COMPUTED_VALUE"""),46139.8011111111)</f>
        <v>46139.801111111097</v>
      </c>
      <c r="D1903" s="2">
        <f ca="1">IFERROR(__xludf.DUMMYFUNCTION("""COMPUTED_VALUE"""),500)</f>
        <v>500</v>
      </c>
      <c r="E1903" s="2">
        <f ca="1">IFERROR(__xludf.DUMMYFUNCTION("""COMPUTED_VALUE"""),200000)</f>
        <v>200000</v>
      </c>
      <c r="F1903" s="2" t="str">
        <f ca="1">IFERROR(__xludf.DUMMYFUNCTION("""COMPUTED_VALUE"""),"AJUSTE COSECHA 2026")</f>
        <v>AJUSTE COSECHA 2026</v>
      </c>
      <c r="G1903" s="2">
        <f ca="1">IFERROR(__xludf.DUMMYFUNCTION("""COMPUTED_VALUE"""),72220)</f>
        <v>72220</v>
      </c>
      <c r="H1903" s="2">
        <f ca="1">IFERROR(__xludf.DUMMYFUNCTION("""COMPUTED_VALUE"""),62520)</f>
        <v>62520</v>
      </c>
      <c r="I1903" s="2"/>
      <c r="J1903" s="2"/>
      <c r="K1903" s="2" t="str">
        <f ca="1">IFERROR(__xludf.DUMMYFUNCTION("""COMPUTED_VALUE"""),"Terminado")</f>
        <v>Terminado</v>
      </c>
      <c r="L1903" s="2" t="str">
        <f ca="1">IFERROR(__xludf.DUMMYFUNCTION("""COMPUTED_VALUE"""),"1")</f>
        <v>1</v>
      </c>
      <c r="M1903" s="2" t="str">
        <f ca="1">IFERROR(__xludf.DUMMYFUNCTION("""COMPUTED_VALUE"""),"Tinto")</f>
        <v>Tinto</v>
      </c>
    </row>
    <row r="1904" spans="1:13" x14ac:dyDescent="0.25">
      <c r="A1904" s="2" t="str">
        <f ca="1">IFERROR(__xludf.DUMMYFUNCTION("""COMPUTED_VALUE"""),"d4bcb1c5")</f>
        <v>d4bcb1c5</v>
      </c>
      <c r="B1904" s="2"/>
      <c r="C1904" s="5">
        <f ca="1">IFERROR(__xludf.DUMMYFUNCTION("""COMPUTED_VALUE"""),46139.8021412037)</f>
        <v>46139.802141203698</v>
      </c>
      <c r="D1904" s="2">
        <f ca="1">IFERROR(__xludf.DUMMYFUNCTION("""COMPUTED_VALUE"""),500)</f>
        <v>500</v>
      </c>
      <c r="E1904" s="2">
        <f ca="1">IFERROR(__xludf.DUMMYFUNCTION("""COMPUTED_VALUE"""),200000)</f>
        <v>200000</v>
      </c>
      <c r="F1904" s="2" t="str">
        <f ca="1">IFERROR(__xludf.DUMMYFUNCTION("""COMPUTED_VALUE"""),"AJUSTE COSECHA 2026")</f>
        <v>AJUSTE COSECHA 2026</v>
      </c>
      <c r="G1904" s="2">
        <f ca="1">IFERROR(__xludf.DUMMYFUNCTION("""COMPUTED_VALUE"""),62520)</f>
        <v>62520</v>
      </c>
      <c r="H1904" s="2">
        <f ca="1">IFERROR(__xludf.DUMMYFUNCTION("""COMPUTED_VALUE"""),42520)</f>
        <v>42520</v>
      </c>
      <c r="I1904" s="2"/>
      <c r="J1904" s="2"/>
      <c r="K1904" s="2" t="str">
        <f ca="1">IFERROR(__xludf.DUMMYFUNCTION("""COMPUTED_VALUE"""),"Terminado")</f>
        <v>Terminado</v>
      </c>
      <c r="L1904" s="2" t="str">
        <f ca="1">IFERROR(__xludf.DUMMYFUNCTION("""COMPUTED_VALUE"""),"1")</f>
        <v>1</v>
      </c>
      <c r="M1904" s="2" t="str">
        <f ca="1">IFERROR(__xludf.DUMMYFUNCTION("""COMPUTED_VALUE"""),"Tinto")</f>
        <v>Tinto</v>
      </c>
    </row>
    <row r="1905" spans="1:13" x14ac:dyDescent="0.25">
      <c r="A1905" s="2" t="str">
        <f ca="1">IFERROR(__xludf.DUMMYFUNCTION("""COMPUTED_VALUE"""),"d12d20f3")</f>
        <v>d12d20f3</v>
      </c>
      <c r="B1905" s="2"/>
      <c r="C1905" s="5">
        <f ca="1">IFERROR(__xludf.DUMMYFUNCTION("""COMPUTED_VALUE"""),46139.715949074)</f>
        <v>46139.715949074001</v>
      </c>
      <c r="D1905" s="2">
        <f ca="1">IFERROR(__xludf.DUMMYFUNCTION("""COMPUTED_VALUE"""),85)</f>
        <v>85</v>
      </c>
      <c r="E1905" s="2">
        <f ca="1">IFERROR(__xludf.DUMMYFUNCTION("""COMPUTED_VALUE"""),84000)</f>
        <v>84000</v>
      </c>
      <c r="F1905" s="2" t="str">
        <f ca="1">IFERROR(__xludf.DUMMYFUNCTION("""COMPUTED_VALUE"""),"Bonarda")</f>
        <v>Bonarda</v>
      </c>
      <c r="G1905" s="2"/>
      <c r="H1905" s="2">
        <f ca="1">IFERROR(__xludf.DUMMYFUNCTION("""COMPUTED_VALUE"""),48000)</f>
        <v>48000</v>
      </c>
      <c r="I1905" s="2"/>
      <c r="J1905" s="2" t="str">
        <f ca="1">IFERROR(__xludf.DUMMYFUNCTION("""COMPUTED_VALUE"""),"6568 , 6569 , 6570 , 6571 , 6572 , 6573 , 6574")</f>
        <v>6568 , 6569 , 6570 , 6571 , 6572 , 6573 , 6574</v>
      </c>
      <c r="K1905" s="2" t="str">
        <f ca="1">IFERROR(__xludf.DUMMYFUNCTION("""COMPUTED_VALUE"""),"Fermentando")</f>
        <v>Fermentando</v>
      </c>
      <c r="L1905" s="2" t="str">
        <f ca="1">IFERROR(__xludf.DUMMYFUNCTION("""COMPUTED_VALUE"""),"1-")</f>
        <v>1-</v>
      </c>
      <c r="M1905" s="2" t="str">
        <f ca="1">IFERROR(__xludf.DUMMYFUNCTION("""COMPUTED_VALUE"""),"Tinto")</f>
        <v>Tinto</v>
      </c>
    </row>
    <row r="1906" spans="1:13" x14ac:dyDescent="0.25">
      <c r="A1906" s="2" t="str">
        <f ca="1">IFERROR(__xludf.DUMMYFUNCTION("""COMPUTED_VALUE"""),"780b261a")</f>
        <v>780b261a</v>
      </c>
      <c r="B1906" s="2"/>
      <c r="C1906" s="5">
        <f ca="1">IFERROR(__xludf.DUMMYFUNCTION("""COMPUTED_VALUE"""),46140.7210879629)</f>
        <v>46140.721087962898</v>
      </c>
      <c r="D1906" s="2">
        <f ca="1">IFERROR(__xludf.DUMMYFUNCTION("""COMPUTED_VALUE"""),96)</f>
        <v>96</v>
      </c>
      <c r="E1906" s="2">
        <f ca="1">IFERROR(__xludf.DUMMYFUNCTION("""COMPUTED_VALUE"""),85600)</f>
        <v>85600</v>
      </c>
      <c r="F1906" s="2" t="str">
        <f ca="1">IFERROR(__xludf.DUMMYFUNCTION("""COMPUTED_VALUE"""),"Criolla Recarga")</f>
        <v>Criolla Recarga</v>
      </c>
      <c r="G1906" s="2">
        <f ca="1">IFERROR(__xludf.DUMMYFUNCTION("""COMPUTED_VALUE"""),0)</f>
        <v>0</v>
      </c>
      <c r="H1906" s="2">
        <f ca="1">IFERROR(__xludf.DUMMYFUNCTION("""COMPUTED_VALUE"""),51000)</f>
        <v>51000</v>
      </c>
      <c r="I1906" s="2"/>
      <c r="J1906" s="2"/>
      <c r="K1906" s="2" t="str">
        <f ca="1">IFERROR(__xludf.DUMMYFUNCTION("""COMPUTED_VALUE"""),"Descubada")</f>
        <v>Descubada</v>
      </c>
      <c r="L1906" s="2"/>
      <c r="M1906" s="2" t="str">
        <f ca="1">IFERROR(__xludf.DUMMYFUNCTION("""COMPUTED_VALUE"""),"Tinto")</f>
        <v>Tinto</v>
      </c>
    </row>
    <row r="1907" spans="1:13" x14ac:dyDescent="0.25">
      <c r="A1907" s="2" t="str">
        <f ca="1">IFERROR(__xludf.DUMMYFUNCTION("""COMPUTED_VALUE"""),"26d61091")</f>
        <v>26d61091</v>
      </c>
      <c r="B1907" s="2"/>
      <c r="C1907" s="5">
        <f ca="1">IFERROR(__xludf.DUMMYFUNCTION("""COMPUTED_VALUE"""),46140.7223032407)</f>
        <v>46140.722303240698</v>
      </c>
      <c r="D1907" s="2">
        <f ca="1">IFERROR(__xludf.DUMMYFUNCTION("""COMPUTED_VALUE"""),9)</f>
        <v>9</v>
      </c>
      <c r="E1907" s="2">
        <f ca="1">IFERROR(__xludf.DUMMYFUNCTION("""COMPUTED_VALUE"""),30000)</f>
        <v>30000</v>
      </c>
      <c r="F1907" s="2" t="str">
        <f ca="1">IFERROR(__xludf.DUMMYFUNCTION("""COMPUTED_VALUE"""),"Criolla")</f>
        <v>Criolla</v>
      </c>
      <c r="G1907" s="2">
        <f ca="1">IFERROR(__xludf.DUMMYFUNCTION("""COMPUTED_VALUE"""),0)</f>
        <v>0</v>
      </c>
      <c r="H1907" s="2">
        <f ca="1">IFERROR(__xludf.DUMMYFUNCTION("""COMPUTED_VALUE"""),30000)</f>
        <v>30000</v>
      </c>
      <c r="I1907" s="2"/>
      <c r="J1907" s="2"/>
      <c r="K1907" s="2" t="str">
        <f ca="1">IFERROR(__xludf.DUMMYFUNCTION("""COMPUTED_VALUE"""),"Descubada")</f>
        <v>Descubada</v>
      </c>
      <c r="L1907" s="2" t="str">
        <f ca="1">IFERROR(__xludf.DUMMYFUNCTION("""COMPUTED_VALUE"""),"1")</f>
        <v>1</v>
      </c>
      <c r="M1907" s="2" t="str">
        <f ca="1">IFERROR(__xludf.DUMMYFUNCTION("""COMPUTED_VALUE"""),"Tinto")</f>
        <v>Tinto</v>
      </c>
    </row>
    <row r="1908" spans="1:13" x14ac:dyDescent="0.25">
      <c r="A1908" s="2" t="str">
        <f ca="1">IFERROR(__xludf.DUMMYFUNCTION("""COMPUTED_VALUE"""),"32ecefdc")</f>
        <v>32ecefdc</v>
      </c>
      <c r="B1908" s="2"/>
      <c r="C1908" s="5">
        <f ca="1">IFERROR(__xludf.DUMMYFUNCTION("""COMPUTED_VALUE"""),46140.7228009259)</f>
        <v>46140.722800925898</v>
      </c>
      <c r="D1908" s="2">
        <f ca="1">IFERROR(__xludf.DUMMYFUNCTION("""COMPUTED_VALUE"""),7)</f>
        <v>7</v>
      </c>
      <c r="E1908" s="2">
        <f ca="1">IFERROR(__xludf.DUMMYFUNCTION("""COMPUTED_VALUE"""),30000)</f>
        <v>30000</v>
      </c>
      <c r="F1908" s="2" t="str">
        <f ca="1">IFERROR(__xludf.DUMMYFUNCTION("""COMPUTED_VALUE"""),"Criolla")</f>
        <v>Criolla</v>
      </c>
      <c r="G1908" s="2">
        <f ca="1">IFERROR(__xludf.DUMMYFUNCTION("""COMPUTED_VALUE"""),0)</f>
        <v>0</v>
      </c>
      <c r="H1908" s="2">
        <f ca="1">IFERROR(__xludf.DUMMYFUNCTION("""COMPUTED_VALUE"""),30000)</f>
        <v>30000</v>
      </c>
      <c r="I1908" s="2"/>
      <c r="J1908" s="2"/>
      <c r="K1908" s="2" t="str">
        <f ca="1">IFERROR(__xludf.DUMMYFUNCTION("""COMPUTED_VALUE"""),"Descubada")</f>
        <v>Descubada</v>
      </c>
      <c r="L1908" s="2" t="str">
        <f ca="1">IFERROR(__xludf.DUMMYFUNCTION("""COMPUTED_VALUE"""),"1+")</f>
        <v>1+</v>
      </c>
      <c r="M1908" s="2" t="str">
        <f ca="1">IFERROR(__xludf.DUMMYFUNCTION("""COMPUTED_VALUE"""),"Tinto")</f>
        <v>Tinto</v>
      </c>
    </row>
    <row r="1909" spans="1:13" x14ac:dyDescent="0.25">
      <c r="A1909" s="2" t="str">
        <f ca="1">IFERROR(__xludf.DUMMYFUNCTION("""COMPUTED_VALUE"""),"162f9462")</f>
        <v>162f9462</v>
      </c>
      <c r="B1909" s="2"/>
      <c r="C1909" s="5">
        <f ca="1">IFERROR(__xludf.DUMMYFUNCTION("""COMPUTED_VALUE"""),46140.723761574)</f>
        <v>46140.723761574001</v>
      </c>
      <c r="D1909" s="2">
        <f ca="1">IFERROR(__xludf.DUMMYFUNCTION("""COMPUTED_VALUE"""),68)</f>
        <v>68</v>
      </c>
      <c r="E1909" s="2">
        <f ca="1">IFERROR(__xludf.DUMMYFUNCTION("""COMPUTED_VALUE"""),13000)</f>
        <v>13000</v>
      </c>
      <c r="F1909" s="2" t="str">
        <f ca="1">IFERROR(__xludf.DUMMYFUNCTION("""COMPUTED_VALUE"""),"Tinto Varietal B")</f>
        <v>Tinto Varietal B</v>
      </c>
      <c r="G1909" s="2">
        <f ca="1">IFERROR(__xludf.DUMMYFUNCTION("""COMPUTED_VALUE"""),9000)</f>
        <v>9000</v>
      </c>
      <c r="H1909" s="2">
        <f ca="1">IFERROR(__xludf.DUMMYFUNCTION("""COMPUTED_VALUE"""),12900)</f>
        <v>12900</v>
      </c>
      <c r="I1909" s="2"/>
      <c r="J1909" s="2"/>
      <c r="K1909" s="2" t="str">
        <f ca="1">IFERROR(__xludf.DUMMYFUNCTION("""COMPUTED_VALUE"""),"Terminado")</f>
        <v>Terminado</v>
      </c>
      <c r="L1909" s="2" t="str">
        <f ca="1">IFERROR(__xludf.DUMMYFUNCTION("""COMPUTED_VALUE"""),"1")</f>
        <v>1</v>
      </c>
      <c r="M1909" s="2" t="str">
        <f ca="1">IFERROR(__xludf.DUMMYFUNCTION("""COMPUTED_VALUE"""),"Tinto")</f>
        <v>Tinto</v>
      </c>
    </row>
    <row r="1910" spans="1:13" x14ac:dyDescent="0.25">
      <c r="A1910" s="2" t="str">
        <f ca="1">IFERROR(__xludf.DUMMYFUNCTION("""COMPUTED_VALUE"""),"d3b48c4c")</f>
        <v>d3b48c4c</v>
      </c>
      <c r="B1910" s="2"/>
      <c r="C1910" s="5">
        <f ca="1">IFERROR(__xludf.DUMMYFUNCTION("""COMPUTED_VALUE"""),46140.7245023148)</f>
        <v>46140.724502314799</v>
      </c>
      <c r="D1910" s="2">
        <f ca="1">IFERROR(__xludf.DUMMYFUNCTION("""COMPUTED_VALUE"""),500)</f>
        <v>500</v>
      </c>
      <c r="E1910" s="2">
        <f ca="1">IFERROR(__xludf.DUMMYFUNCTION("""COMPUTED_VALUE"""),200000)</f>
        <v>200000</v>
      </c>
      <c r="F1910" s="2" t="str">
        <f ca="1">IFERROR(__xludf.DUMMYFUNCTION("""COMPUTED_VALUE"""),"AJUSTE COSECHA 2026")</f>
        <v>AJUSTE COSECHA 2026</v>
      </c>
      <c r="G1910" s="2">
        <f ca="1">IFERROR(__xludf.DUMMYFUNCTION("""COMPUTED_VALUE"""),42520)</f>
        <v>42520</v>
      </c>
      <c r="H1910" s="2">
        <f ca="1">IFERROR(__xludf.DUMMYFUNCTION("""COMPUTED_VALUE"""),43520)</f>
        <v>43520</v>
      </c>
      <c r="I1910" s="2"/>
      <c r="J1910" s="2"/>
      <c r="K1910" s="2" t="str">
        <f ca="1">IFERROR(__xludf.DUMMYFUNCTION("""COMPUTED_VALUE"""),"Terminado")</f>
        <v>Terminado</v>
      </c>
      <c r="L1910" s="2" t="str">
        <f ca="1">IFERROR(__xludf.DUMMYFUNCTION("""COMPUTED_VALUE"""),"1")</f>
        <v>1</v>
      </c>
      <c r="M1910" s="2" t="str">
        <f ca="1">IFERROR(__xludf.DUMMYFUNCTION("""COMPUTED_VALUE"""),"Tinto")</f>
        <v>Tinto</v>
      </c>
    </row>
    <row r="1911" spans="1:13" x14ac:dyDescent="0.25">
      <c r="A1911" s="2" t="str">
        <f ca="1">IFERROR(__xludf.DUMMYFUNCTION("""COMPUTED_VALUE"""),"1d29e77e")</f>
        <v>1d29e77e</v>
      </c>
      <c r="B1911" s="2"/>
      <c r="C1911" s="5">
        <f ca="1">IFERROR(__xludf.DUMMYFUNCTION("""COMPUTED_VALUE"""),46141.4095254629)</f>
        <v>46141.409525462899</v>
      </c>
      <c r="D1911" s="2">
        <f ca="1">IFERROR(__xludf.DUMMYFUNCTION("""COMPUTED_VALUE"""),67)</f>
        <v>67</v>
      </c>
      <c r="E1911" s="2">
        <f ca="1">IFERROR(__xludf.DUMMYFUNCTION("""COMPUTED_VALUE"""),23000)</f>
        <v>23000</v>
      </c>
      <c r="F1911" s="2" t="str">
        <f ca="1">IFERROR(__xludf.DUMMYFUNCTION("""COMPUTED_VALUE"""),"Bonarda")</f>
        <v>Bonarda</v>
      </c>
      <c r="G1911" s="2">
        <f ca="1">IFERROR(__xludf.DUMMYFUNCTION("""COMPUTED_VALUE"""),16000)</f>
        <v>16000</v>
      </c>
      <c r="H1911" s="2">
        <f ca="1">IFERROR(__xludf.DUMMYFUNCTION("""COMPUTED_VALUE"""),23000)</f>
        <v>23000</v>
      </c>
      <c r="I1911" s="2"/>
      <c r="J1911" s="2"/>
      <c r="K1911" s="2" t="str">
        <f ca="1">IFERROR(__xludf.DUMMYFUNCTION("""COMPUTED_VALUE"""),"Descubada")</f>
        <v>Descubada</v>
      </c>
      <c r="L1911" s="2" t="str">
        <f ca="1">IFERROR(__xludf.DUMMYFUNCTION("""COMPUTED_VALUE"""),"1+")</f>
        <v>1+</v>
      </c>
      <c r="M1911" s="2" t="str">
        <f ca="1">IFERROR(__xludf.DUMMYFUNCTION("""COMPUTED_VALUE"""),"Tinto")</f>
        <v>Tinto</v>
      </c>
    </row>
    <row r="1912" spans="1:13" x14ac:dyDescent="0.25">
      <c r="A1912" s="2" t="str">
        <f ca="1">IFERROR(__xludf.DUMMYFUNCTION("""COMPUTED_VALUE"""),"e8a55daf")</f>
        <v>e8a55daf</v>
      </c>
      <c r="B1912" s="2"/>
      <c r="C1912" s="5">
        <f ca="1">IFERROR(__xludf.DUMMYFUNCTION("""COMPUTED_VALUE"""),46141.4105902777)</f>
        <v>46141.410590277701</v>
      </c>
      <c r="D1912" s="2">
        <f ca="1">IFERROR(__xludf.DUMMYFUNCTION("""COMPUTED_VALUE"""),500)</f>
        <v>500</v>
      </c>
      <c r="E1912" s="2">
        <f ca="1">IFERROR(__xludf.DUMMYFUNCTION("""COMPUTED_VALUE"""),200000)</f>
        <v>200000</v>
      </c>
      <c r="F1912" s="2" t="str">
        <f ca="1">IFERROR(__xludf.DUMMYFUNCTION("""COMPUTED_VALUE"""),"AJUSTE COSECHA 2026")</f>
        <v>AJUSTE COSECHA 2026</v>
      </c>
      <c r="G1912" s="2">
        <f ca="1">IFERROR(__xludf.DUMMYFUNCTION("""COMPUTED_VALUE"""),43520)</f>
        <v>43520</v>
      </c>
      <c r="H1912" s="2">
        <f ca="1">IFERROR(__xludf.DUMMYFUNCTION("""COMPUTED_VALUE"""),38820)</f>
        <v>38820</v>
      </c>
      <c r="I1912" s="2"/>
      <c r="J1912" s="2"/>
      <c r="K1912" s="2" t="str">
        <f ca="1">IFERROR(__xludf.DUMMYFUNCTION("""COMPUTED_VALUE"""),"Terminado")</f>
        <v>Terminado</v>
      </c>
      <c r="L1912" s="2" t="str">
        <f ca="1">IFERROR(__xludf.DUMMYFUNCTION("""COMPUTED_VALUE"""),"1")</f>
        <v>1</v>
      </c>
      <c r="M1912" s="2" t="str">
        <f ca="1">IFERROR(__xludf.DUMMYFUNCTION("""COMPUTED_VALUE"""),"Tinto")</f>
        <v>Tinto</v>
      </c>
    </row>
    <row r="1913" spans="1:13" x14ac:dyDescent="0.25">
      <c r="A1913" s="2" t="str">
        <f ca="1">IFERROR(__xludf.DUMMYFUNCTION("""COMPUTED_VALUE"""),"ae299cc9")</f>
        <v>ae299cc9</v>
      </c>
      <c r="B1913" s="2"/>
      <c r="C1913" s="5">
        <f ca="1">IFERROR(__xludf.DUMMYFUNCTION("""COMPUTED_VALUE"""),46141.4189930555)</f>
        <v>46141.4189930555</v>
      </c>
      <c r="D1913" s="2">
        <f ca="1">IFERROR(__xludf.DUMMYFUNCTION("""COMPUTED_VALUE"""),66)</f>
        <v>66</v>
      </c>
      <c r="E1913" s="2">
        <f ca="1">IFERROR(__xludf.DUMMYFUNCTION("""COMPUTED_VALUE"""),23000)</f>
        <v>23000</v>
      </c>
      <c r="F1913" s="2" t="str">
        <f ca="1">IFERROR(__xludf.DUMMYFUNCTION("""COMPUTED_VALUE"""),"Bonarda PC")</f>
        <v>Bonarda PC</v>
      </c>
      <c r="G1913" s="2">
        <f ca="1">IFERROR(__xludf.DUMMYFUNCTION("""COMPUTED_VALUE"""),0)</f>
        <v>0</v>
      </c>
      <c r="H1913" s="2">
        <f ca="1">IFERROR(__xludf.DUMMYFUNCTION("""COMPUTED_VALUE"""),23000)</f>
        <v>23000</v>
      </c>
      <c r="I1913" s="2"/>
      <c r="J1913" s="2"/>
      <c r="K1913" s="2" t="str">
        <f ca="1">IFERROR(__xludf.DUMMYFUNCTION("""COMPUTED_VALUE"""),"Descubada")</f>
        <v>Descubada</v>
      </c>
      <c r="L1913" s="2" t="str">
        <f ca="1">IFERROR(__xludf.DUMMYFUNCTION("""COMPUTED_VALUE"""),"1+")</f>
        <v>1+</v>
      </c>
      <c r="M1913" s="2" t="str">
        <f ca="1">IFERROR(__xludf.DUMMYFUNCTION("""COMPUTED_VALUE"""),"Tinto")</f>
        <v>Tinto</v>
      </c>
    </row>
    <row r="1914" spans="1:13" x14ac:dyDescent="0.25">
      <c r="A1914" s="2" t="str">
        <f ca="1">IFERROR(__xludf.DUMMYFUNCTION("""COMPUTED_VALUE"""),"a9a582bf")</f>
        <v>a9a582bf</v>
      </c>
      <c r="B1914" s="2"/>
      <c r="C1914" s="5">
        <f ca="1">IFERROR(__xludf.DUMMYFUNCTION("""COMPUTED_VALUE"""),46141.4193402777)</f>
        <v>46141.419340277702</v>
      </c>
      <c r="D1914" s="2">
        <f ca="1">IFERROR(__xludf.DUMMYFUNCTION("""COMPUTED_VALUE"""),45)</f>
        <v>45</v>
      </c>
      <c r="E1914" s="2">
        <f ca="1">IFERROR(__xludf.DUMMYFUNCTION("""COMPUTED_VALUE"""),30000)</f>
        <v>30000</v>
      </c>
      <c r="F1914" s="2" t="str">
        <f ca="1">IFERROR(__xludf.DUMMYFUNCTION("""COMPUTED_VALUE"""),"Bonarda PC")</f>
        <v>Bonarda PC</v>
      </c>
      <c r="G1914" s="2">
        <f ca="1">IFERROR(__xludf.DUMMYFUNCTION("""COMPUTED_VALUE"""),0)</f>
        <v>0</v>
      </c>
      <c r="H1914" s="2">
        <f ca="1">IFERROR(__xludf.DUMMYFUNCTION("""COMPUTED_VALUE"""),5100)</f>
        <v>5100</v>
      </c>
      <c r="I1914" s="2"/>
      <c r="J1914" s="2"/>
      <c r="K1914" s="2" t="str">
        <f ca="1">IFERROR(__xludf.DUMMYFUNCTION("""COMPUTED_VALUE"""),"Descubada")</f>
        <v>Descubada</v>
      </c>
      <c r="L1914" s="2" t="str">
        <f ca="1">IFERROR(__xludf.DUMMYFUNCTION("""COMPUTED_VALUE"""),"1+")</f>
        <v>1+</v>
      </c>
      <c r="M1914" s="2" t="str">
        <f ca="1">IFERROR(__xludf.DUMMYFUNCTION("""COMPUTED_VALUE"""),"Tinto")</f>
        <v>Tinto</v>
      </c>
    </row>
    <row r="1915" spans="1:13" x14ac:dyDescent="0.25">
      <c r="A1915" s="2" t="str">
        <f ca="1">IFERROR(__xludf.DUMMYFUNCTION("""COMPUTED_VALUE"""),"3f401895")</f>
        <v>3f401895</v>
      </c>
      <c r="B1915" s="2"/>
      <c r="C1915" s="5">
        <f ca="1">IFERROR(__xludf.DUMMYFUNCTION("""COMPUTED_VALUE"""),46141.8857291666)</f>
        <v>46141.885729166599</v>
      </c>
      <c r="D1915" s="2">
        <f ca="1">IFERROR(__xludf.DUMMYFUNCTION("""COMPUTED_VALUE"""),45)</f>
        <v>45</v>
      </c>
      <c r="E1915" s="2">
        <f ca="1">IFERROR(__xludf.DUMMYFUNCTION("""COMPUTED_VALUE"""),30000)</f>
        <v>30000</v>
      </c>
      <c r="F1915" s="2" t="str">
        <f ca="1">IFERROR(__xludf.DUMMYFUNCTION("""COMPUTED_VALUE"""),"Bonarda PC")</f>
        <v>Bonarda PC</v>
      </c>
      <c r="G1915" s="2">
        <f ca="1">IFERROR(__xludf.DUMMYFUNCTION("""COMPUTED_VALUE"""),5100)</f>
        <v>5100</v>
      </c>
      <c r="H1915" s="2">
        <f ca="1">IFERROR(__xludf.DUMMYFUNCTION("""COMPUTED_VALUE"""),30000)</f>
        <v>30000</v>
      </c>
      <c r="I1915" s="2"/>
      <c r="J1915" s="2"/>
      <c r="K1915" s="2" t="str">
        <f ca="1">IFERROR(__xludf.DUMMYFUNCTION("""COMPUTED_VALUE"""),"Descubada")</f>
        <v>Descubada</v>
      </c>
      <c r="L1915" s="2" t="str">
        <f ca="1">IFERROR(__xludf.DUMMYFUNCTION("""COMPUTED_VALUE"""),"1+")</f>
        <v>1+</v>
      </c>
      <c r="M1915" s="2" t="str">
        <f ca="1">IFERROR(__xludf.DUMMYFUNCTION("""COMPUTED_VALUE"""),"Tinto")</f>
        <v>Tinto</v>
      </c>
    </row>
    <row r="1916" spans="1:13" x14ac:dyDescent="0.25">
      <c r="A1916" s="2" t="str">
        <f ca="1">IFERROR(__xludf.DUMMYFUNCTION("""COMPUTED_VALUE"""),"759766f6")</f>
        <v>759766f6</v>
      </c>
      <c r="B1916" s="2"/>
      <c r="C1916" s="5">
        <f ca="1">IFERROR(__xludf.DUMMYFUNCTION("""COMPUTED_VALUE"""),46141.8859606481)</f>
        <v>46141.885960648098</v>
      </c>
      <c r="D1916" s="2">
        <f ca="1">IFERROR(__xludf.DUMMYFUNCTION("""COMPUTED_VALUE"""),42)</f>
        <v>42</v>
      </c>
      <c r="E1916" s="2">
        <f ca="1">IFERROR(__xludf.DUMMYFUNCTION("""COMPUTED_VALUE"""),35900)</f>
        <v>35900</v>
      </c>
      <c r="F1916" s="2" t="str">
        <f ca="1">IFERROR(__xludf.DUMMYFUNCTION("""COMPUTED_VALUE"""),"Bonarda")</f>
        <v>Bonarda</v>
      </c>
      <c r="G1916" s="2">
        <f ca="1">IFERROR(__xludf.DUMMYFUNCTION("""COMPUTED_VALUE"""),0)</f>
        <v>0</v>
      </c>
      <c r="H1916" s="2">
        <f ca="1">IFERROR(__xludf.DUMMYFUNCTION("""COMPUTED_VALUE"""),35900)</f>
        <v>35900</v>
      </c>
      <c r="I1916" s="2"/>
      <c r="J1916" s="2"/>
      <c r="K1916" s="2" t="str">
        <f ca="1">IFERROR(__xludf.DUMMYFUNCTION("""COMPUTED_VALUE"""),"Descubada")</f>
        <v>Descubada</v>
      </c>
      <c r="L1916" s="2"/>
      <c r="M1916" s="2" t="str">
        <f ca="1">IFERROR(__xludf.DUMMYFUNCTION("""COMPUTED_VALUE"""),"Tinto")</f>
        <v>Tinto</v>
      </c>
    </row>
    <row r="1917" spans="1:13" x14ac:dyDescent="0.25">
      <c r="A1917" s="2" t="str">
        <f ca="1">IFERROR(__xludf.DUMMYFUNCTION("""COMPUTED_VALUE"""),"56cc386b")</f>
        <v>56cc386b</v>
      </c>
      <c r="B1917" s="2"/>
      <c r="C1917" s="5">
        <f ca="1">IFERROR(__xludf.DUMMYFUNCTION("""COMPUTED_VALUE"""),46141.887511574)</f>
        <v>46141.887511574001</v>
      </c>
      <c r="D1917" s="2">
        <f ca="1">IFERROR(__xludf.DUMMYFUNCTION("""COMPUTED_VALUE"""),10)</f>
        <v>10</v>
      </c>
      <c r="E1917" s="2">
        <f ca="1">IFERROR(__xludf.DUMMYFUNCTION("""COMPUTED_VALUE"""),21000)</f>
        <v>21000</v>
      </c>
      <c r="F1917" s="2" t="str">
        <f ca="1">IFERROR(__xludf.DUMMYFUNCTION("""COMPUTED_VALUE"""),"Cabernet Rectificado")</f>
        <v>Cabernet Rectificado</v>
      </c>
      <c r="G1917" s="2">
        <f ca="1">IFERROR(__xludf.DUMMYFUNCTION("""COMPUTED_VALUE"""),4000)</f>
        <v>4000</v>
      </c>
      <c r="H1917" s="2">
        <f ca="1">IFERROR(__xludf.DUMMYFUNCTION("""COMPUTED_VALUE"""),0)</f>
        <v>0</v>
      </c>
      <c r="I1917" s="2"/>
      <c r="J1917" s="2"/>
      <c r="K1917" s="2" t="str">
        <f ca="1">IFERROR(__xludf.DUMMYFUNCTION("""COMPUTED_VALUE"""),"Rectificado")</f>
        <v>Rectificado</v>
      </c>
      <c r="L1917" s="2"/>
      <c r="M1917" s="2" t="str">
        <f ca="1">IFERROR(__xludf.DUMMYFUNCTION("""COMPUTED_VALUE"""),"Tinto")</f>
        <v>Tinto</v>
      </c>
    </row>
    <row r="1918" spans="1:13" x14ac:dyDescent="0.25">
      <c r="A1918" s="2" t="str">
        <f ca="1">IFERROR(__xludf.DUMMYFUNCTION("""COMPUTED_VALUE"""),"8ee1438e")</f>
        <v>8ee1438e</v>
      </c>
      <c r="B1918" s="2"/>
      <c r="C1918" s="5">
        <f ca="1">IFERROR(__xludf.DUMMYFUNCTION("""COMPUTED_VALUE"""),46142.4613310185)</f>
        <v>46142.461331018501</v>
      </c>
      <c r="D1918" s="2">
        <f ca="1">IFERROR(__xludf.DUMMYFUNCTION("""COMPUTED_VALUE"""),127)</f>
        <v>127</v>
      </c>
      <c r="E1918" s="2">
        <f ca="1">IFERROR(__xludf.DUMMYFUNCTION("""COMPUTED_VALUE"""),31000)</f>
        <v>31000</v>
      </c>
      <c r="F1918" s="2" t="str">
        <f ca="1">IFERROR(__xludf.DUMMYFUNCTION("""COMPUTED_VALUE"""),"Criolla Vol")</f>
        <v>Criolla Vol</v>
      </c>
      <c r="G1918" s="2">
        <f ca="1">IFERROR(__xludf.DUMMYFUNCTION("""COMPUTED_VALUE"""),0)</f>
        <v>0</v>
      </c>
      <c r="H1918" s="2">
        <f ca="1">IFERROR(__xludf.DUMMYFUNCTION("""COMPUTED_VALUE"""),31000)</f>
        <v>31000</v>
      </c>
      <c r="I1918" s="2"/>
      <c r="J1918" s="2"/>
      <c r="K1918" s="2" t="str">
        <f ca="1">IFERROR(__xludf.DUMMYFUNCTION("""COMPUTED_VALUE"""),"Descubada")</f>
        <v>Descubada</v>
      </c>
      <c r="L1918" s="2" t="str">
        <f ca="1">IFERROR(__xludf.DUMMYFUNCTION("""COMPUTED_VALUE"""),"1-")</f>
        <v>1-</v>
      </c>
      <c r="M1918" s="2" t="str">
        <f ca="1">IFERROR(__xludf.DUMMYFUNCTION("""COMPUTED_VALUE"""),"Tinto")</f>
        <v>Tinto</v>
      </c>
    </row>
    <row r="1919" spans="1:13" x14ac:dyDescent="0.25">
      <c r="A1919" s="2" t="str">
        <f ca="1">IFERROR(__xludf.DUMMYFUNCTION("""COMPUTED_VALUE"""),"2f82461c")</f>
        <v>2f82461c</v>
      </c>
      <c r="B1919" s="2"/>
      <c r="C1919" s="5">
        <f ca="1">IFERROR(__xludf.DUMMYFUNCTION("""COMPUTED_VALUE"""),46142.4617129629)</f>
        <v>46142.461712962897</v>
      </c>
      <c r="D1919" s="2">
        <f ca="1">IFERROR(__xludf.DUMMYFUNCTION("""COMPUTED_VALUE"""),51)</f>
        <v>51</v>
      </c>
      <c r="E1919" s="2">
        <f ca="1">IFERROR(__xludf.DUMMYFUNCTION("""COMPUTED_VALUE"""),3900)</f>
        <v>3900</v>
      </c>
      <c r="F1919" s="2" t="str">
        <f ca="1">IFERROR(__xludf.DUMMYFUNCTION("""COMPUTED_VALUE"""),"Criolla Vol")</f>
        <v>Criolla Vol</v>
      </c>
      <c r="G1919" s="2">
        <f ca="1">IFERROR(__xludf.DUMMYFUNCTION("""COMPUTED_VALUE"""),0)</f>
        <v>0</v>
      </c>
      <c r="H1919" s="2">
        <f ca="1">IFERROR(__xludf.DUMMYFUNCTION("""COMPUTED_VALUE"""),1000)</f>
        <v>1000</v>
      </c>
      <c r="I1919" s="2"/>
      <c r="J1919" s="2"/>
      <c r="K1919" s="2" t="str">
        <f ca="1">IFERROR(__xludf.DUMMYFUNCTION("""COMPUTED_VALUE"""),"Descubada")</f>
        <v>Descubada</v>
      </c>
      <c r="L1919" s="2"/>
      <c r="M1919" s="2" t="str">
        <f ca="1">IFERROR(__xludf.DUMMYFUNCTION("""COMPUTED_VALUE"""),"Tinto")</f>
        <v>Tinto</v>
      </c>
    </row>
    <row r="1920" spans="1:13" x14ac:dyDescent="0.25">
      <c r="A1920" s="2" t="str">
        <f ca="1">IFERROR(__xludf.DUMMYFUNCTION("""COMPUTED_VALUE"""),"71f14d09")</f>
        <v>71f14d09</v>
      </c>
      <c r="B1920" s="2"/>
      <c r="C1920" s="5">
        <f ca="1">IFERROR(__xludf.DUMMYFUNCTION("""COMPUTED_VALUE"""),46147.353125)</f>
        <v>46147.353125000001</v>
      </c>
      <c r="D1920" s="2">
        <f ca="1">IFERROR(__xludf.DUMMYFUNCTION("""COMPUTED_VALUE"""),92)</f>
        <v>92</v>
      </c>
      <c r="E1920" s="2">
        <f ca="1">IFERROR(__xludf.DUMMYFUNCTION("""COMPUTED_VALUE"""),76000)</f>
        <v>76000</v>
      </c>
      <c r="F1920" s="2" t="str">
        <f ca="1">IFERROR(__xludf.DUMMYFUNCTION("""COMPUTED_VALUE"""),"Criolla Recarga")</f>
        <v>Criolla Recarga</v>
      </c>
      <c r="G1920" s="2">
        <f ca="1">IFERROR(__xludf.DUMMYFUNCTION("""COMPUTED_VALUE"""),0)</f>
        <v>0</v>
      </c>
      <c r="H1920" s="2">
        <f ca="1">IFERROR(__xludf.DUMMYFUNCTION("""COMPUTED_VALUE"""),60000)</f>
        <v>60000</v>
      </c>
      <c r="I1920" s="2"/>
      <c r="J1920" s="2"/>
      <c r="K1920" s="2" t="str">
        <f ca="1">IFERROR(__xludf.DUMMYFUNCTION("""COMPUTED_VALUE"""),"Descubada")</f>
        <v>Descubada</v>
      </c>
      <c r="L1920" s="2"/>
      <c r="M1920" s="2" t="str">
        <f ca="1">IFERROR(__xludf.DUMMYFUNCTION("""COMPUTED_VALUE"""),"Tinto")</f>
        <v>Tinto</v>
      </c>
    </row>
    <row r="1921" spans="1:13" x14ac:dyDescent="0.25">
      <c r="A1921" s="2" t="str">
        <f ca="1">IFERROR(__xludf.DUMMYFUNCTION("""COMPUTED_VALUE"""),"33d07dd0")</f>
        <v>33d07dd0</v>
      </c>
      <c r="B1921" s="2"/>
      <c r="C1921" s="5">
        <f ca="1">IFERROR(__xludf.DUMMYFUNCTION("""COMPUTED_VALUE"""),46147.3593171296)</f>
        <v>46147.359317129602</v>
      </c>
      <c r="D1921" s="2">
        <f ca="1">IFERROR(__xludf.DUMMYFUNCTION("""COMPUTED_VALUE"""),90)</f>
        <v>90</v>
      </c>
      <c r="E1921" s="2">
        <f ca="1">IFERROR(__xludf.DUMMYFUNCTION("""COMPUTED_VALUE"""),97500)</f>
        <v>97500</v>
      </c>
      <c r="F1921" s="2" t="str">
        <f ca="1">IFERROR(__xludf.DUMMYFUNCTION("""COMPUTED_VALUE"""),"Bonarda")</f>
        <v>Bonarda</v>
      </c>
      <c r="G1921" s="2">
        <f ca="1">IFERROR(__xludf.DUMMYFUNCTION("""COMPUTED_VALUE"""),3200)</f>
        <v>3200</v>
      </c>
      <c r="H1921" s="2">
        <f ca="1">IFERROR(__xludf.DUMMYFUNCTION("""COMPUTED_VALUE"""),97500)</f>
        <v>97500</v>
      </c>
      <c r="I1921" s="2"/>
      <c r="J1921" s="2"/>
      <c r="K1921" s="2" t="str">
        <f ca="1">IFERROR(__xludf.DUMMYFUNCTION("""COMPUTED_VALUE"""),"1er Trasiego")</f>
        <v>1er Trasiego</v>
      </c>
      <c r="L1921" s="2" t="str">
        <f ca="1">IFERROR(__xludf.DUMMYFUNCTION("""COMPUTED_VALUE"""),"1-")</f>
        <v>1-</v>
      </c>
      <c r="M1921" s="2" t="str">
        <f ca="1">IFERROR(__xludf.DUMMYFUNCTION("""COMPUTED_VALUE"""),"Tinto")</f>
        <v>Tinto</v>
      </c>
    </row>
    <row r="1922" spans="1:13" x14ac:dyDescent="0.25">
      <c r="A1922" s="2" t="str">
        <f ca="1">IFERROR(__xludf.DUMMYFUNCTION("""COMPUTED_VALUE"""),"34fa2752")</f>
        <v>34fa2752</v>
      </c>
      <c r="B1922" s="2"/>
      <c r="C1922" s="5">
        <f ca="1">IFERROR(__xludf.DUMMYFUNCTION("""COMPUTED_VALUE"""),46147.3597685185)</f>
        <v>46147.359768518501</v>
      </c>
      <c r="D1922" s="2">
        <f ca="1">IFERROR(__xludf.DUMMYFUNCTION("""COMPUTED_VALUE"""),91)</f>
        <v>91</v>
      </c>
      <c r="E1922" s="2">
        <f ca="1">IFERROR(__xludf.DUMMYFUNCTION("""COMPUTED_VALUE"""),86000)</f>
        <v>86000</v>
      </c>
      <c r="F1922" s="2" t="str">
        <f ca="1">IFERROR(__xludf.DUMMYFUNCTION("""COMPUTED_VALUE"""),"Bonarda C2")</f>
        <v>Bonarda C2</v>
      </c>
      <c r="G1922" s="2">
        <f ca="1">IFERROR(__xludf.DUMMYFUNCTION("""COMPUTED_VALUE"""),0)</f>
        <v>0</v>
      </c>
      <c r="H1922" s="2">
        <f ca="1">IFERROR(__xludf.DUMMYFUNCTION("""COMPUTED_VALUE"""),86000)</f>
        <v>86000</v>
      </c>
      <c r="I1922" s="2"/>
      <c r="J1922" s="2"/>
      <c r="K1922" s="2" t="str">
        <f ca="1">IFERROR(__xludf.DUMMYFUNCTION("""COMPUTED_VALUE"""),"1er Trasiego")</f>
        <v>1er Trasiego</v>
      </c>
      <c r="L1922" s="2" t="str">
        <f ca="1">IFERROR(__xludf.DUMMYFUNCTION("""COMPUTED_VALUE"""),"1")</f>
        <v>1</v>
      </c>
      <c r="M1922" s="2" t="str">
        <f ca="1">IFERROR(__xludf.DUMMYFUNCTION("""COMPUTED_VALUE"""),"Tinto")</f>
        <v>Tinto</v>
      </c>
    </row>
    <row r="1923" spans="1:13" x14ac:dyDescent="0.25">
      <c r="A1923" s="2" t="str">
        <f ca="1">IFERROR(__xludf.DUMMYFUNCTION("""COMPUTED_VALUE"""),"6ccca7d0")</f>
        <v>6ccca7d0</v>
      </c>
      <c r="B1923" s="2"/>
      <c r="C1923" s="5">
        <f ca="1">IFERROR(__xludf.DUMMYFUNCTION("""COMPUTED_VALUE"""),46147.3624537037)</f>
        <v>46147.362453703703</v>
      </c>
      <c r="D1923" s="2">
        <f ca="1">IFERROR(__xludf.DUMMYFUNCTION("""COMPUTED_VALUE"""),96)</f>
        <v>96</v>
      </c>
      <c r="E1923" s="2">
        <f ca="1">IFERROR(__xludf.DUMMYFUNCTION("""COMPUTED_VALUE"""),85600)</f>
        <v>85600</v>
      </c>
      <c r="F1923" s="2" t="str">
        <f ca="1">IFERROR(__xludf.DUMMYFUNCTION("""COMPUTED_VALUE"""),"Criolla Recarga")</f>
        <v>Criolla Recarga</v>
      </c>
      <c r="G1923" s="2">
        <f ca="1">IFERROR(__xludf.DUMMYFUNCTION("""COMPUTED_VALUE"""),51000)</f>
        <v>51000</v>
      </c>
      <c r="H1923" s="2">
        <f ca="1">IFERROR(__xludf.DUMMYFUNCTION("""COMPUTED_VALUE"""),85600)</f>
        <v>85600</v>
      </c>
      <c r="I1923" s="2"/>
      <c r="J1923" s="2"/>
      <c r="K1923" s="2" t="str">
        <f ca="1">IFERROR(__xludf.DUMMYFUNCTION("""COMPUTED_VALUE"""),"Descubada")</f>
        <v>Descubada</v>
      </c>
      <c r="L1923" s="2"/>
      <c r="M1923" s="2" t="str">
        <f ca="1">IFERROR(__xludf.DUMMYFUNCTION("""COMPUTED_VALUE"""),"Tinto")</f>
        <v>Tinto</v>
      </c>
    </row>
    <row r="1924" spans="1:13" x14ac:dyDescent="0.25">
      <c r="A1924" s="2" t="str">
        <f ca="1">IFERROR(__xludf.DUMMYFUNCTION("""COMPUTED_VALUE"""),"ea65ad9a")</f>
        <v>ea65ad9a</v>
      </c>
      <c r="B1924" s="2"/>
      <c r="C1924" s="5">
        <f ca="1">IFERROR(__xludf.DUMMYFUNCTION("""COMPUTED_VALUE"""),46147.3627546296)</f>
        <v>46147.362754629597</v>
      </c>
      <c r="D1924" s="2">
        <f ca="1">IFERROR(__xludf.DUMMYFUNCTION("""COMPUTED_VALUE"""),6)</f>
        <v>6</v>
      </c>
      <c r="E1924" s="2">
        <f ca="1">IFERROR(__xludf.DUMMYFUNCTION("""COMPUTED_VALUE"""),32000)</f>
        <v>32000</v>
      </c>
      <c r="F1924" s="2" t="str">
        <f ca="1">IFERROR(__xludf.DUMMYFUNCTION("""COMPUTED_VALUE"""),"Criolla Recarga")</f>
        <v>Criolla Recarga</v>
      </c>
      <c r="G1924" s="2">
        <f ca="1">IFERROR(__xludf.DUMMYFUNCTION("""COMPUTED_VALUE"""),0)</f>
        <v>0</v>
      </c>
      <c r="H1924" s="2">
        <f ca="1">IFERROR(__xludf.DUMMYFUNCTION("""COMPUTED_VALUE"""),8300)</f>
        <v>8300</v>
      </c>
      <c r="I1924" s="2"/>
      <c r="J1924" s="2"/>
      <c r="K1924" s="2" t="str">
        <f ca="1">IFERROR(__xludf.DUMMYFUNCTION("""COMPUTED_VALUE"""),"Descubada")</f>
        <v>Descubada</v>
      </c>
      <c r="L1924" s="2" t="str">
        <f ca="1">IFERROR(__xludf.DUMMYFUNCTION("""COMPUTED_VALUE"""),"1+")</f>
        <v>1+</v>
      </c>
      <c r="M1924" s="2" t="str">
        <f ca="1">IFERROR(__xludf.DUMMYFUNCTION("""COMPUTED_VALUE"""),"Tinto")</f>
        <v>Tinto</v>
      </c>
    </row>
    <row r="1925" spans="1:13" x14ac:dyDescent="0.25">
      <c r="A1925" s="2" t="str">
        <f ca="1">IFERROR(__xludf.DUMMYFUNCTION("""COMPUTED_VALUE"""),"8763fe64")</f>
        <v>8763fe64</v>
      </c>
      <c r="B1925" s="2"/>
      <c r="C1925" s="5">
        <f ca="1">IFERROR(__xludf.DUMMYFUNCTION("""COMPUTED_VALUE"""),46147.3776157407)</f>
        <v>46147.377615740697</v>
      </c>
      <c r="D1925" s="2">
        <f ca="1">IFERROR(__xludf.DUMMYFUNCTION("""COMPUTED_VALUE"""),125)</f>
        <v>125</v>
      </c>
      <c r="E1925" s="2">
        <f ca="1">IFERROR(__xludf.DUMMYFUNCTION("""COMPUTED_VALUE"""),31000)</f>
        <v>31000</v>
      </c>
      <c r="F1925" s="2" t="str">
        <f ca="1">IFERROR(__xludf.DUMMYFUNCTION("""COMPUTED_VALUE"""),"Criolla Mosto")</f>
        <v>Criolla Mosto</v>
      </c>
      <c r="G1925" s="2"/>
      <c r="H1925" s="2">
        <f ca="1">IFERROR(__xludf.DUMMYFUNCTION("""COMPUTED_VALUE"""),22900)</f>
        <v>22900</v>
      </c>
      <c r="I1925" s="2"/>
      <c r="J1925" s="2" t="str">
        <f ca="1">IFERROR(__xludf.DUMMYFUNCTION("""COMPUTED_VALUE"""),"6575 , 6576 , 6577")</f>
        <v>6575 , 6576 , 6577</v>
      </c>
      <c r="K1925" s="2" t="str">
        <f ca="1">IFERROR(__xludf.DUMMYFUNCTION("""COMPUTED_VALUE"""),"Mosto")</f>
        <v>Mosto</v>
      </c>
      <c r="L1925" s="2"/>
      <c r="M1925" s="2" t="str">
        <f ca="1">IFERROR(__xludf.DUMMYFUNCTION("""COMPUTED_VALUE"""),"Tinto")</f>
        <v>Tinto</v>
      </c>
    </row>
    <row r="1926" spans="1:13" x14ac:dyDescent="0.25">
      <c r="A1926" s="2" t="str">
        <f ca="1">IFERROR(__xludf.DUMMYFUNCTION("""COMPUTED_VALUE"""),"21d47579")</f>
        <v>21d47579</v>
      </c>
      <c r="B1926" s="2"/>
      <c r="C1926" s="5">
        <f ca="1">IFERROR(__xludf.DUMMYFUNCTION("""COMPUTED_VALUE"""),46147.3794328703)</f>
        <v>46147.379432870301</v>
      </c>
      <c r="D1926" s="2">
        <f ca="1">IFERROR(__xludf.DUMMYFUNCTION("""COMPUTED_VALUE"""),88)</f>
        <v>88</v>
      </c>
      <c r="E1926" s="2">
        <f ca="1">IFERROR(__xludf.DUMMYFUNCTION("""COMPUTED_VALUE"""),78900)</f>
        <v>78900</v>
      </c>
      <c r="F1926" s="2" t="str">
        <f ca="1">IFERROR(__xludf.DUMMYFUNCTION("""COMPUTED_VALUE"""),"Criolla Recarga")</f>
        <v>Criolla Recarga</v>
      </c>
      <c r="G1926" s="2">
        <f ca="1">IFERROR(__xludf.DUMMYFUNCTION("""COMPUTED_VALUE"""),29000)</f>
        <v>29000</v>
      </c>
      <c r="H1926" s="2">
        <f ca="1">IFERROR(__xludf.DUMMYFUNCTION("""COMPUTED_VALUE"""),51900)</f>
        <v>51900</v>
      </c>
      <c r="I1926" s="2"/>
      <c r="J1926" s="2"/>
      <c r="K1926" s="2" t="str">
        <f ca="1">IFERROR(__xludf.DUMMYFUNCTION("""COMPUTED_VALUE"""),"Recarga Fermentando")</f>
        <v>Recarga Fermentando</v>
      </c>
      <c r="L1926" s="2"/>
      <c r="M1926" s="2" t="str">
        <f ca="1">IFERROR(__xludf.DUMMYFUNCTION("""COMPUTED_VALUE"""),"Tinto")</f>
        <v>Tinto</v>
      </c>
    </row>
    <row r="1927" spans="1:13" x14ac:dyDescent="0.25">
      <c r="A1927" s="2" t="str">
        <f ca="1">IFERROR(__xludf.DUMMYFUNCTION("""COMPUTED_VALUE"""),"2be33c71")</f>
        <v>2be33c71</v>
      </c>
      <c r="B1927" s="2"/>
      <c r="C1927" s="5">
        <f ca="1">IFERROR(__xludf.DUMMYFUNCTION("""COMPUTED_VALUE"""),46148.3802430555)</f>
        <v>46148.380243055501</v>
      </c>
      <c r="D1927" s="2">
        <f ca="1">IFERROR(__xludf.DUMMYFUNCTION("""COMPUTED_VALUE"""),14)</f>
        <v>14</v>
      </c>
      <c r="E1927" s="2">
        <f ca="1">IFERROR(__xludf.DUMMYFUNCTION("""COMPUTED_VALUE"""),37000)</f>
        <v>37000</v>
      </c>
      <c r="F1927" s="2" t="str">
        <f ca="1">IFERROR(__xludf.DUMMYFUNCTION("""COMPUTED_VALUE"""),"Bonarda")</f>
        <v>Bonarda</v>
      </c>
      <c r="G1927" s="2">
        <f ca="1">IFERROR(__xludf.DUMMYFUNCTION("""COMPUTED_VALUE"""),0)</f>
        <v>0</v>
      </c>
      <c r="H1927" s="2">
        <f ca="1">IFERROR(__xludf.DUMMYFUNCTION("""COMPUTED_VALUE"""),37000)</f>
        <v>37000</v>
      </c>
      <c r="I1927" s="2"/>
      <c r="J1927" s="2"/>
      <c r="K1927" s="2" t="str">
        <f ca="1">IFERROR(__xludf.DUMMYFUNCTION("""COMPUTED_VALUE"""),"Descubada")</f>
        <v>Descubada</v>
      </c>
      <c r="L1927" s="2"/>
      <c r="M1927" s="2" t="str">
        <f ca="1">IFERROR(__xludf.DUMMYFUNCTION("""COMPUTED_VALUE"""),"Tinto")</f>
        <v>Tinto</v>
      </c>
    </row>
    <row r="1928" spans="1:13" x14ac:dyDescent="0.25">
      <c r="A1928" s="2" t="str">
        <f ca="1">IFERROR(__xludf.DUMMYFUNCTION("""COMPUTED_VALUE"""),"75fa80cd")</f>
        <v>75fa80cd</v>
      </c>
      <c r="B1928" s="2"/>
      <c r="C1928" s="5">
        <f ca="1">IFERROR(__xludf.DUMMYFUNCTION("""COMPUTED_VALUE"""),46148.3804398148)</f>
        <v>46148.380439814799</v>
      </c>
      <c r="D1928" s="2">
        <f ca="1">IFERROR(__xludf.DUMMYFUNCTION("""COMPUTED_VALUE"""),10)</f>
        <v>10</v>
      </c>
      <c r="E1928" s="2">
        <f ca="1">IFERROR(__xludf.DUMMYFUNCTION("""COMPUTED_VALUE"""),21000)</f>
        <v>21000</v>
      </c>
      <c r="F1928" s="2" t="str">
        <f ca="1">IFERROR(__xludf.DUMMYFUNCTION("""COMPUTED_VALUE"""),"Bonarda")</f>
        <v>Bonarda</v>
      </c>
      <c r="G1928" s="2">
        <f ca="1">IFERROR(__xludf.DUMMYFUNCTION("""COMPUTED_VALUE"""),0)</f>
        <v>0</v>
      </c>
      <c r="H1928" s="2">
        <f ca="1">IFERROR(__xludf.DUMMYFUNCTION("""COMPUTED_VALUE"""),19000)</f>
        <v>19000</v>
      </c>
      <c r="I1928" s="2"/>
      <c r="J1928" s="2"/>
      <c r="K1928" s="2" t="str">
        <f ca="1">IFERROR(__xludf.DUMMYFUNCTION("""COMPUTED_VALUE"""),"Descubada")</f>
        <v>Descubada</v>
      </c>
      <c r="L1928" s="2"/>
      <c r="M1928" s="2" t="str">
        <f ca="1">IFERROR(__xludf.DUMMYFUNCTION("""COMPUTED_VALUE"""),"Tinto")</f>
        <v>Tinto</v>
      </c>
    </row>
    <row r="1929" spans="1:13" x14ac:dyDescent="0.25">
      <c r="A1929" s="2" t="str">
        <f ca="1">IFERROR(__xludf.DUMMYFUNCTION("""COMPUTED_VALUE"""),"3dbf6d25")</f>
        <v>3dbf6d25</v>
      </c>
      <c r="B1929" s="2"/>
      <c r="C1929" s="5">
        <f ca="1">IFERROR(__xludf.DUMMYFUNCTION("""COMPUTED_VALUE"""),46148.3816782407)</f>
        <v>46148.381678240701</v>
      </c>
      <c r="D1929" s="2">
        <f ca="1">IFERROR(__xludf.DUMMYFUNCTION("""COMPUTED_VALUE"""),86)</f>
        <v>86</v>
      </c>
      <c r="E1929" s="2">
        <f ca="1">IFERROR(__xludf.DUMMYFUNCTION("""COMPUTED_VALUE"""),88000)</f>
        <v>88000</v>
      </c>
      <c r="F1929" s="2" t="str">
        <f ca="1">IFERROR(__xludf.DUMMYFUNCTION("""COMPUTED_VALUE"""),"Syrah Anc PC s/Asp 2")</f>
        <v>Syrah Anc PC s/Asp 2</v>
      </c>
      <c r="G1929" s="2">
        <f ca="1">IFERROR(__xludf.DUMMYFUNCTION("""COMPUTED_VALUE"""),0)</f>
        <v>0</v>
      </c>
      <c r="H1929" s="2">
        <f ca="1">IFERROR(__xludf.DUMMYFUNCTION("""COMPUTED_VALUE"""),88000)</f>
        <v>88000</v>
      </c>
      <c r="I1929" s="2"/>
      <c r="J1929" s="2"/>
      <c r="K1929" s="2" t="str">
        <f ca="1">IFERROR(__xludf.DUMMYFUNCTION("""COMPUTED_VALUE"""),"1er Trasiego")</f>
        <v>1er Trasiego</v>
      </c>
      <c r="L1929" s="2" t="str">
        <f ca="1">IFERROR(__xludf.DUMMYFUNCTION("""COMPUTED_VALUE"""),"1")</f>
        <v>1</v>
      </c>
      <c r="M1929" s="2" t="str">
        <f ca="1">IFERROR(__xludf.DUMMYFUNCTION("""COMPUTED_VALUE"""),"Tinto")</f>
        <v>Tinto</v>
      </c>
    </row>
    <row r="1930" spans="1:13" x14ac:dyDescent="0.25">
      <c r="A1930" s="2" t="str">
        <f ca="1">IFERROR(__xludf.DUMMYFUNCTION("""COMPUTED_VALUE"""),"56cb7230")</f>
        <v>56cb7230</v>
      </c>
      <c r="B1930" s="2"/>
      <c r="C1930" s="5">
        <f ca="1">IFERROR(__xludf.DUMMYFUNCTION("""COMPUTED_VALUE"""),46148.3820949074)</f>
        <v>46148.3820949074</v>
      </c>
      <c r="D1930" s="2">
        <f ca="1">IFERROR(__xludf.DUMMYFUNCTION("""COMPUTED_VALUE"""),69)</f>
        <v>69</v>
      </c>
      <c r="E1930" s="2">
        <f ca="1">IFERROR(__xludf.DUMMYFUNCTION("""COMPUTED_VALUE"""),13000)</f>
        <v>13000</v>
      </c>
      <c r="F1930" s="2" t="str">
        <f ca="1">IFERROR(__xludf.DUMMYFUNCTION("""COMPUTED_VALUE"""),"Borra")</f>
        <v>Borra</v>
      </c>
      <c r="G1930" s="2">
        <f ca="1">IFERROR(__xludf.DUMMYFUNCTION("""COMPUTED_VALUE"""),0)</f>
        <v>0</v>
      </c>
      <c r="H1930" s="2">
        <f ca="1">IFERROR(__xludf.DUMMYFUNCTION("""COMPUTED_VALUE"""),800)</f>
        <v>800</v>
      </c>
      <c r="I1930" s="2"/>
      <c r="J1930" s="2"/>
      <c r="K1930" s="2" t="str">
        <f ca="1">IFERROR(__xludf.DUMMYFUNCTION("""COMPUTED_VALUE"""),"1er Trasiego")</f>
        <v>1er Trasiego</v>
      </c>
      <c r="L1930" s="2"/>
      <c r="M1930" s="2" t="str">
        <f ca="1">IFERROR(__xludf.DUMMYFUNCTION("""COMPUTED_VALUE"""),"Tinto")</f>
        <v>Tinto</v>
      </c>
    </row>
    <row r="1931" spans="1:13" x14ac:dyDescent="0.25">
      <c r="A1931" s="2" t="str">
        <f ca="1">IFERROR(__xludf.DUMMYFUNCTION("""COMPUTED_VALUE"""),"e72d58cb")</f>
        <v>e72d58cb</v>
      </c>
      <c r="B1931" s="2"/>
      <c r="C1931" s="5">
        <f ca="1">IFERROR(__xludf.DUMMYFUNCTION("""COMPUTED_VALUE"""),46148.3826157407)</f>
        <v>46148.382615740702</v>
      </c>
      <c r="D1931" s="2">
        <f ca="1">IFERROR(__xludf.DUMMYFUNCTION("""COMPUTED_VALUE"""),126)</f>
        <v>126</v>
      </c>
      <c r="E1931" s="2">
        <f ca="1">IFERROR(__xludf.DUMMYFUNCTION("""COMPUTED_VALUE"""),31000)</f>
        <v>31000</v>
      </c>
      <c r="F1931" s="2" t="str">
        <f ca="1">IFERROR(__xludf.DUMMYFUNCTION("""COMPUTED_VALUE"""),"Syrah Anc s/Asp 2")</f>
        <v>Syrah Anc s/Asp 2</v>
      </c>
      <c r="G1931" s="2">
        <f ca="1">IFERROR(__xludf.DUMMYFUNCTION("""COMPUTED_VALUE"""),0)</f>
        <v>0</v>
      </c>
      <c r="H1931" s="2">
        <f ca="1">IFERROR(__xludf.DUMMYFUNCTION("""COMPUTED_VALUE"""),27000)</f>
        <v>27000</v>
      </c>
      <c r="I1931" s="2"/>
      <c r="J1931" s="2"/>
      <c r="K1931" s="2" t="str">
        <f ca="1">IFERROR(__xludf.DUMMYFUNCTION("""COMPUTED_VALUE"""),"1er Trasiego")</f>
        <v>1er Trasiego</v>
      </c>
      <c r="L1931" s="2" t="str">
        <f ca="1">IFERROR(__xludf.DUMMYFUNCTION("""COMPUTED_VALUE"""),"1+")</f>
        <v>1+</v>
      </c>
      <c r="M1931" s="2" t="str">
        <f ca="1">IFERROR(__xludf.DUMMYFUNCTION("""COMPUTED_VALUE"""),"Tinto")</f>
        <v>Tinto</v>
      </c>
    </row>
    <row r="1932" spans="1:13" x14ac:dyDescent="0.25">
      <c r="A1932" s="2" t="str">
        <f ca="1">IFERROR(__xludf.DUMMYFUNCTION("""COMPUTED_VALUE"""),"50c7cf74")</f>
        <v>50c7cf74</v>
      </c>
      <c r="B1932" s="2"/>
      <c r="C1932" s="5">
        <f ca="1">IFERROR(__xludf.DUMMYFUNCTION("""COMPUTED_VALUE"""),46148.3828819444)</f>
        <v>46148.382881944402</v>
      </c>
      <c r="D1932" s="2">
        <f ca="1">IFERROR(__xludf.DUMMYFUNCTION("""COMPUTED_VALUE"""),126)</f>
        <v>126</v>
      </c>
      <c r="E1932" s="2">
        <f ca="1">IFERROR(__xludf.DUMMYFUNCTION("""COMPUTED_VALUE"""),31000)</f>
        <v>31000</v>
      </c>
      <c r="F1932" s="2" t="str">
        <f ca="1">IFERROR(__xludf.DUMMYFUNCTION("""COMPUTED_VALUE"""),"Syrah Anc s/Asp 2")</f>
        <v>Syrah Anc s/Asp 2</v>
      </c>
      <c r="G1932" s="2">
        <f ca="1">IFERROR(__xludf.DUMMYFUNCTION("""COMPUTED_VALUE"""),27000)</f>
        <v>27000</v>
      </c>
      <c r="H1932" s="2">
        <f ca="1">IFERROR(__xludf.DUMMYFUNCTION("""COMPUTED_VALUE"""),31000)</f>
        <v>31000</v>
      </c>
      <c r="I1932" s="2"/>
      <c r="J1932" s="2"/>
      <c r="K1932" s="2" t="str">
        <f ca="1">IFERROR(__xludf.DUMMYFUNCTION("""COMPUTED_VALUE"""),"1er Trasiego")</f>
        <v>1er Trasiego</v>
      </c>
      <c r="L1932" s="2" t="str">
        <f ca="1">IFERROR(__xludf.DUMMYFUNCTION("""COMPUTED_VALUE"""),"1+")</f>
        <v>1+</v>
      </c>
      <c r="M1932" s="2" t="str">
        <f ca="1">IFERROR(__xludf.DUMMYFUNCTION("""COMPUTED_VALUE"""),"Tinto")</f>
        <v>Tinto</v>
      </c>
    </row>
    <row r="1933" spans="1:13" x14ac:dyDescent="0.25">
      <c r="A1933" s="2" t="str">
        <f ca="1">IFERROR(__xludf.DUMMYFUNCTION("""COMPUTED_VALUE"""),"d692801e")</f>
        <v>d692801e</v>
      </c>
      <c r="B1933" s="2"/>
      <c r="C1933" s="5">
        <f ca="1">IFERROR(__xludf.DUMMYFUNCTION("""COMPUTED_VALUE"""),46148.3840509259)</f>
        <v>46148.384050925903</v>
      </c>
      <c r="D1933" s="2">
        <f ca="1">IFERROR(__xludf.DUMMYFUNCTION("""COMPUTED_VALUE"""),102)</f>
        <v>102</v>
      </c>
      <c r="E1933" s="2">
        <f ca="1">IFERROR(__xludf.DUMMYFUNCTION("""COMPUTED_VALUE"""),31000)</f>
        <v>31000</v>
      </c>
      <c r="F1933" s="2" t="str">
        <f ca="1">IFERROR(__xludf.DUMMYFUNCTION("""COMPUTED_VALUE"""),"Syrah Anc s/Asp 2")</f>
        <v>Syrah Anc s/Asp 2</v>
      </c>
      <c r="G1933" s="2">
        <f ca="1">IFERROR(__xludf.DUMMYFUNCTION("""COMPUTED_VALUE"""),0)</f>
        <v>0</v>
      </c>
      <c r="H1933" s="2">
        <f ca="1">IFERROR(__xludf.DUMMYFUNCTION("""COMPUTED_VALUE"""),31000)</f>
        <v>31000</v>
      </c>
      <c r="I1933" s="2"/>
      <c r="J1933" s="2"/>
      <c r="K1933" s="2" t="str">
        <f ca="1">IFERROR(__xludf.DUMMYFUNCTION("""COMPUTED_VALUE"""),"1er Trasiego")</f>
        <v>1er Trasiego</v>
      </c>
      <c r="L1933" s="2" t="str">
        <f ca="1">IFERROR(__xludf.DUMMYFUNCTION("""COMPUTED_VALUE"""),"1+")</f>
        <v>1+</v>
      </c>
      <c r="M1933" s="2" t="str">
        <f ca="1">IFERROR(__xludf.DUMMYFUNCTION("""COMPUTED_VALUE"""),"Tinto")</f>
        <v>Tinto</v>
      </c>
    </row>
    <row r="1934" spans="1:13" x14ac:dyDescent="0.25">
      <c r="A1934" s="2" t="str">
        <f ca="1">IFERROR(__xludf.DUMMYFUNCTION("""COMPUTED_VALUE"""),"aa8077cb")</f>
        <v>aa8077cb</v>
      </c>
      <c r="B1934" s="2"/>
      <c r="C1934" s="5">
        <f ca="1">IFERROR(__xludf.DUMMYFUNCTION("""COMPUTED_VALUE"""),46148.3852083333)</f>
        <v>46148.385208333297</v>
      </c>
      <c r="D1934" s="2">
        <f ca="1">IFERROR(__xludf.DUMMYFUNCTION("""COMPUTED_VALUE"""),120)</f>
        <v>120</v>
      </c>
      <c r="E1934" s="2">
        <f ca="1">IFERROR(__xludf.DUMMYFUNCTION("""COMPUTED_VALUE"""),88800)</f>
        <v>88800</v>
      </c>
      <c r="F1934" s="2" t="str">
        <f ca="1">IFERROR(__xludf.DUMMYFUNCTION("""COMPUTED_VALUE"""),"Aspirant Anccelota PC")</f>
        <v>Aspirant Anccelota PC</v>
      </c>
      <c r="G1934" s="2">
        <f ca="1">IFERROR(__xludf.DUMMYFUNCTION("""COMPUTED_VALUE"""),0)</f>
        <v>0</v>
      </c>
      <c r="H1934" s="2">
        <f ca="1">IFERROR(__xludf.DUMMYFUNCTION("""COMPUTED_VALUE"""),85800)</f>
        <v>85800</v>
      </c>
      <c r="I1934" s="2"/>
      <c r="J1934" s="2"/>
      <c r="K1934" s="2" t="str">
        <f ca="1">IFERROR(__xludf.DUMMYFUNCTION("""COMPUTED_VALUE"""),"1er Trasiego")</f>
        <v>1er Trasiego</v>
      </c>
      <c r="L1934" s="2"/>
      <c r="M1934" s="2" t="str">
        <f ca="1">IFERROR(__xludf.DUMMYFUNCTION("""COMPUTED_VALUE"""),"Tinto")</f>
        <v>Tinto</v>
      </c>
    </row>
    <row r="1935" spans="1:13" x14ac:dyDescent="0.25">
      <c r="A1935" s="2" t="str">
        <f ca="1">IFERROR(__xludf.DUMMYFUNCTION("""COMPUTED_VALUE"""),"d3b686a2")</f>
        <v>d3b686a2</v>
      </c>
      <c r="B1935" s="2"/>
      <c r="C1935" s="5">
        <f ca="1">IFERROR(__xludf.DUMMYFUNCTION("""COMPUTED_VALUE"""),46148.3858796296)</f>
        <v>46148.385879629597</v>
      </c>
      <c r="D1935" s="2">
        <f ca="1">IFERROR(__xludf.DUMMYFUNCTION("""COMPUTED_VALUE"""),16)</f>
        <v>16</v>
      </c>
      <c r="E1935" s="2">
        <f ca="1">IFERROR(__xludf.DUMMYFUNCTION("""COMPUTED_VALUE"""),19500)</f>
        <v>19500</v>
      </c>
      <c r="F1935" s="2" t="str">
        <f ca="1">IFERROR(__xludf.DUMMYFUNCTION("""COMPUTED_VALUE"""),"Criolla")</f>
        <v>Criolla</v>
      </c>
      <c r="G1935" s="2">
        <f ca="1">IFERROR(__xludf.DUMMYFUNCTION("""COMPUTED_VALUE"""),0)</f>
        <v>0</v>
      </c>
      <c r="H1935" s="2">
        <f ca="1">IFERROR(__xludf.DUMMYFUNCTION("""COMPUTED_VALUE"""),19000)</f>
        <v>19000</v>
      </c>
      <c r="I1935" s="2"/>
      <c r="J1935" s="2"/>
      <c r="K1935" s="2" t="str">
        <f ca="1">IFERROR(__xludf.DUMMYFUNCTION("""COMPUTED_VALUE"""),"Descubada")</f>
        <v>Descubada</v>
      </c>
      <c r="L1935" s="2" t="str">
        <f ca="1">IFERROR(__xludf.DUMMYFUNCTION("""COMPUTED_VALUE"""),"1-")</f>
        <v>1-</v>
      </c>
      <c r="M1935" s="2" t="str">
        <f ca="1">IFERROR(__xludf.DUMMYFUNCTION("""COMPUTED_VALUE"""),"Tinto")</f>
        <v>Tinto</v>
      </c>
    </row>
    <row r="1936" spans="1:13" x14ac:dyDescent="0.25">
      <c r="A1936" s="2" t="str">
        <f ca="1">IFERROR(__xludf.DUMMYFUNCTION("""COMPUTED_VALUE"""),"4b5e9bfd")</f>
        <v>4b5e9bfd</v>
      </c>
      <c r="B1936" s="2"/>
      <c r="C1936" s="5">
        <f ca="1">IFERROR(__xludf.DUMMYFUNCTION("""COMPUTED_VALUE"""),46148.3862037037)</f>
        <v>46148.386203703703</v>
      </c>
      <c r="D1936" s="2">
        <f ca="1">IFERROR(__xludf.DUMMYFUNCTION("""COMPUTED_VALUE"""),69)</f>
        <v>69</v>
      </c>
      <c r="E1936" s="2">
        <f ca="1">IFERROR(__xludf.DUMMYFUNCTION("""COMPUTED_VALUE"""),13000)</f>
        <v>13000</v>
      </c>
      <c r="F1936" s="2" t="str">
        <f ca="1">IFERROR(__xludf.DUMMYFUNCTION("""COMPUTED_VALUE"""),"Borra")</f>
        <v>Borra</v>
      </c>
      <c r="G1936" s="2">
        <f ca="1">IFERROR(__xludf.DUMMYFUNCTION("""COMPUTED_VALUE"""),800)</f>
        <v>800</v>
      </c>
      <c r="H1936" s="2">
        <f ca="1">IFERROR(__xludf.DUMMYFUNCTION("""COMPUTED_VALUE"""),5300)</f>
        <v>5300</v>
      </c>
      <c r="I1936" s="2"/>
      <c r="J1936" s="2"/>
      <c r="K1936" s="2" t="str">
        <f ca="1">IFERROR(__xludf.DUMMYFUNCTION("""COMPUTED_VALUE"""),"1er Trasiego")</f>
        <v>1er Trasiego</v>
      </c>
      <c r="L1936" s="2"/>
      <c r="M1936" s="2" t="str">
        <f ca="1">IFERROR(__xludf.DUMMYFUNCTION("""COMPUTED_VALUE"""),"Tinto")</f>
        <v>Tinto</v>
      </c>
    </row>
    <row r="1937" spans="1:13" x14ac:dyDescent="0.25">
      <c r="A1937" s="2" t="str">
        <f ca="1">IFERROR(__xludf.DUMMYFUNCTION("""COMPUTED_VALUE"""),"3574f330")</f>
        <v>3574f330</v>
      </c>
      <c r="B1937" s="2"/>
      <c r="C1937" s="5">
        <f ca="1">IFERROR(__xludf.DUMMYFUNCTION("""COMPUTED_VALUE"""),46149.4662037037)</f>
        <v>46149.466203703698</v>
      </c>
      <c r="D1937" s="2">
        <f ca="1">IFERROR(__xludf.DUMMYFUNCTION("""COMPUTED_VALUE"""),125)</f>
        <v>125</v>
      </c>
      <c r="E1937" s="2">
        <f ca="1">IFERROR(__xludf.DUMMYFUNCTION("""COMPUTED_VALUE"""),31000)</f>
        <v>31000</v>
      </c>
      <c r="F1937" s="2" t="str">
        <f ca="1">IFERROR(__xludf.DUMMYFUNCTION("""COMPUTED_VALUE"""),"Syrah Anc s/Asp 2")</f>
        <v>Syrah Anc s/Asp 2</v>
      </c>
      <c r="G1937" s="2">
        <f ca="1">IFERROR(__xludf.DUMMYFUNCTION("""COMPUTED_VALUE"""),0)</f>
        <v>0</v>
      </c>
      <c r="H1937" s="2">
        <f ca="1">IFERROR(__xludf.DUMMYFUNCTION("""COMPUTED_VALUE"""),31000)</f>
        <v>31000</v>
      </c>
      <c r="I1937" s="2"/>
      <c r="J1937" s="2"/>
      <c r="K1937" s="2" t="str">
        <f ca="1">IFERROR(__xludf.DUMMYFUNCTION("""COMPUTED_VALUE"""),"1er Trasiego")</f>
        <v>1er Trasiego</v>
      </c>
      <c r="L1937" s="2" t="str">
        <f ca="1">IFERROR(__xludf.DUMMYFUNCTION("""COMPUTED_VALUE"""),"1+")</f>
        <v>1+</v>
      </c>
      <c r="M1937" s="2" t="str">
        <f ca="1">IFERROR(__xludf.DUMMYFUNCTION("""COMPUTED_VALUE"""),"Tinto")</f>
        <v>Tinto</v>
      </c>
    </row>
    <row r="1938" spans="1:13" x14ac:dyDescent="0.25">
      <c r="A1938" s="2" t="str">
        <f ca="1">IFERROR(__xludf.DUMMYFUNCTION("""COMPUTED_VALUE"""),"3f8a4231")</f>
        <v>3f8a4231</v>
      </c>
      <c r="B1938" s="2"/>
      <c r="C1938" s="5">
        <f ca="1">IFERROR(__xludf.DUMMYFUNCTION("""COMPUTED_VALUE"""),46149.4691435185)</f>
        <v>46149.469143518501</v>
      </c>
      <c r="D1938" s="2">
        <f ca="1">IFERROR(__xludf.DUMMYFUNCTION("""COMPUTED_VALUE"""),54)</f>
        <v>54</v>
      </c>
      <c r="E1938" s="2">
        <f ca="1">IFERROR(__xludf.DUMMYFUNCTION("""COMPUTED_VALUE"""),22900)</f>
        <v>22900</v>
      </c>
      <c r="F1938" s="2" t="str">
        <f ca="1">IFERROR(__xludf.DUMMYFUNCTION("""COMPUTED_VALUE"""),"Criolla Recarga")</f>
        <v>Criolla Recarga</v>
      </c>
      <c r="G1938" s="2">
        <f ca="1">IFERROR(__xludf.DUMMYFUNCTION("""COMPUTED_VALUE"""),0)</f>
        <v>0</v>
      </c>
      <c r="H1938" s="2">
        <f ca="1">IFERROR(__xludf.DUMMYFUNCTION("""COMPUTED_VALUE"""),22900)</f>
        <v>22900</v>
      </c>
      <c r="I1938" s="2"/>
      <c r="J1938" s="2"/>
      <c r="K1938" s="2" t="str">
        <f ca="1">IFERROR(__xludf.DUMMYFUNCTION("""COMPUTED_VALUE"""),"Descubada")</f>
        <v>Descubada</v>
      </c>
      <c r="L1938" s="2"/>
      <c r="M1938" s="2" t="str">
        <f ca="1">IFERROR(__xludf.DUMMYFUNCTION("""COMPUTED_VALUE"""),"Tinto")</f>
        <v>Tinto</v>
      </c>
    </row>
    <row r="1939" spans="1:13" x14ac:dyDescent="0.25">
      <c r="A1939" s="2" t="str">
        <f ca="1">IFERROR(__xludf.DUMMYFUNCTION("""COMPUTED_VALUE"""),"cf5c2a34")</f>
        <v>cf5c2a34</v>
      </c>
      <c r="B1939" s="2"/>
      <c r="C1939" s="5">
        <f ca="1">IFERROR(__xludf.DUMMYFUNCTION("""COMPUTED_VALUE"""),46149.4694212962)</f>
        <v>46149.469421296199</v>
      </c>
      <c r="D1939" s="2">
        <f ca="1">IFERROR(__xludf.DUMMYFUNCTION("""COMPUTED_VALUE"""),77)</f>
        <v>77</v>
      </c>
      <c r="E1939" s="2">
        <f ca="1">IFERROR(__xludf.DUMMYFUNCTION("""COMPUTED_VALUE"""),26000)</f>
        <v>26000</v>
      </c>
      <c r="F1939" s="2" t="str">
        <f ca="1">IFERROR(__xludf.DUMMYFUNCTION("""COMPUTED_VALUE"""),"Criolla Recarga")</f>
        <v>Criolla Recarga</v>
      </c>
      <c r="G1939" s="2">
        <f ca="1">IFERROR(__xludf.DUMMYFUNCTION("""COMPUTED_VALUE"""),0)</f>
        <v>0</v>
      </c>
      <c r="H1939" s="2">
        <f ca="1">IFERROR(__xludf.DUMMYFUNCTION("""COMPUTED_VALUE"""),26000)</f>
        <v>26000</v>
      </c>
      <c r="I1939" s="2"/>
      <c r="J1939" s="2"/>
      <c r="K1939" s="2" t="str">
        <f ca="1">IFERROR(__xludf.DUMMYFUNCTION("""COMPUTED_VALUE"""),"Descubada")</f>
        <v>Descubada</v>
      </c>
      <c r="L1939" s="2"/>
      <c r="M1939" s="2" t="str">
        <f ca="1">IFERROR(__xludf.DUMMYFUNCTION("""COMPUTED_VALUE"""),"Tinto")</f>
        <v>Tinto</v>
      </c>
    </row>
    <row r="1940" spans="1:13" x14ac:dyDescent="0.25">
      <c r="A1940" s="2" t="str">
        <f ca="1">IFERROR(__xludf.DUMMYFUNCTION("""COMPUTED_VALUE"""),"081b56e7")</f>
        <v>081b56e7</v>
      </c>
      <c r="B1940" s="2"/>
      <c r="C1940" s="5">
        <f ca="1">IFERROR(__xludf.DUMMYFUNCTION("""COMPUTED_VALUE"""),46149.4696064814)</f>
        <v>46149.469606481398</v>
      </c>
      <c r="D1940" s="2">
        <f ca="1">IFERROR(__xludf.DUMMYFUNCTION("""COMPUTED_VALUE"""),69)</f>
        <v>69</v>
      </c>
      <c r="E1940" s="2">
        <f ca="1">IFERROR(__xludf.DUMMYFUNCTION("""COMPUTED_VALUE"""),13000)</f>
        <v>13000</v>
      </c>
      <c r="F1940" s="2" t="str">
        <f ca="1">IFERROR(__xludf.DUMMYFUNCTION("""COMPUTED_VALUE"""),"Borra")</f>
        <v>Borra</v>
      </c>
      <c r="G1940" s="2">
        <f ca="1">IFERROR(__xludf.DUMMYFUNCTION("""COMPUTED_VALUE"""),5300)</f>
        <v>5300</v>
      </c>
      <c r="H1940" s="2">
        <f ca="1">IFERROR(__xludf.DUMMYFUNCTION("""COMPUTED_VALUE"""),8300)</f>
        <v>8300</v>
      </c>
      <c r="I1940" s="2"/>
      <c r="J1940" s="2"/>
      <c r="K1940" s="2" t="str">
        <f ca="1">IFERROR(__xludf.DUMMYFUNCTION("""COMPUTED_VALUE"""),"1er Trasiego")</f>
        <v>1er Trasiego</v>
      </c>
      <c r="L1940" s="2"/>
      <c r="M1940" s="2" t="str">
        <f ca="1">IFERROR(__xludf.DUMMYFUNCTION("""COMPUTED_VALUE"""),"Tinto")</f>
        <v>Tinto</v>
      </c>
    </row>
    <row r="1941" spans="1:13" x14ac:dyDescent="0.25">
      <c r="A1941" s="2" t="str">
        <f ca="1">IFERROR(__xludf.DUMMYFUNCTION("""COMPUTED_VALUE"""),"a9c64acb")</f>
        <v>a9c64acb</v>
      </c>
      <c r="B1941" s="2"/>
      <c r="C1941" s="5">
        <f ca="1">IFERROR(__xludf.DUMMYFUNCTION("""COMPUTED_VALUE"""),46149.4711805555)</f>
        <v>46149.471180555498</v>
      </c>
      <c r="D1941" s="2">
        <f ca="1">IFERROR(__xludf.DUMMYFUNCTION("""COMPUTED_VALUE"""),103)</f>
        <v>103</v>
      </c>
      <c r="E1941" s="2">
        <f ca="1">IFERROR(__xludf.DUMMYFUNCTION("""COMPUTED_VALUE"""),31000)</f>
        <v>31000</v>
      </c>
      <c r="F1941" s="2" t="str">
        <f ca="1">IFERROR(__xludf.DUMMYFUNCTION("""COMPUTED_VALUE"""),"Syrah s/Asp")</f>
        <v>Syrah s/Asp</v>
      </c>
      <c r="G1941" s="2">
        <f ca="1">IFERROR(__xludf.DUMMYFUNCTION("""COMPUTED_VALUE"""),0)</f>
        <v>0</v>
      </c>
      <c r="H1941" s="2">
        <f ca="1">IFERROR(__xludf.DUMMYFUNCTION("""COMPUTED_VALUE"""),31000)</f>
        <v>31000</v>
      </c>
      <c r="I1941" s="2"/>
      <c r="J1941" s="2"/>
      <c r="K1941" s="2" t="str">
        <f ca="1">IFERROR(__xludf.DUMMYFUNCTION("""COMPUTED_VALUE"""),"1er Trasiego")</f>
        <v>1er Trasiego</v>
      </c>
      <c r="L1941" s="2" t="str">
        <f ca="1">IFERROR(__xludf.DUMMYFUNCTION("""COMPUTED_VALUE"""),"1+")</f>
        <v>1+</v>
      </c>
      <c r="M1941" s="2" t="str">
        <f ca="1">IFERROR(__xludf.DUMMYFUNCTION("""COMPUTED_VALUE"""),"Tinto")</f>
        <v>Tinto</v>
      </c>
    </row>
    <row r="1942" spans="1:13" x14ac:dyDescent="0.25">
      <c r="A1942" s="2" t="str">
        <f ca="1">IFERROR(__xludf.DUMMYFUNCTION("""COMPUTED_VALUE"""),"0a8c721d")</f>
        <v>0a8c721d</v>
      </c>
      <c r="B1942" s="2"/>
      <c r="C1942" s="5">
        <f ca="1">IFERROR(__xludf.DUMMYFUNCTION("""COMPUTED_VALUE"""),46149.4714930555)</f>
        <v>46149.471493055498</v>
      </c>
      <c r="D1942" s="2">
        <f ca="1">IFERROR(__xludf.DUMMYFUNCTION("""COMPUTED_VALUE"""),104)</f>
        <v>104</v>
      </c>
      <c r="E1942" s="2">
        <f ca="1">IFERROR(__xludf.DUMMYFUNCTION("""COMPUTED_VALUE"""),31000)</f>
        <v>31000</v>
      </c>
      <c r="F1942" s="2" t="str">
        <f ca="1">IFERROR(__xludf.DUMMYFUNCTION("""COMPUTED_VALUE"""),"Syrah Merlot s/Asp 3")</f>
        <v>Syrah Merlot s/Asp 3</v>
      </c>
      <c r="G1942" s="2">
        <f ca="1">IFERROR(__xludf.DUMMYFUNCTION("""COMPUTED_VALUE"""),0)</f>
        <v>0</v>
      </c>
      <c r="H1942" s="2">
        <f ca="1">IFERROR(__xludf.DUMMYFUNCTION("""COMPUTED_VALUE"""),31000)</f>
        <v>31000</v>
      </c>
      <c r="I1942" s="2"/>
      <c r="J1942" s="2"/>
      <c r="K1942" s="2" t="str">
        <f ca="1">IFERROR(__xludf.DUMMYFUNCTION("""COMPUTED_VALUE"""),"1er Trasiego")</f>
        <v>1er Trasiego</v>
      </c>
      <c r="L1942" s="2" t="str">
        <f ca="1">IFERROR(__xludf.DUMMYFUNCTION("""COMPUTED_VALUE"""),"1")</f>
        <v>1</v>
      </c>
      <c r="M1942" s="2" t="str">
        <f ca="1">IFERROR(__xludf.DUMMYFUNCTION("""COMPUTED_VALUE"""),"Tinto")</f>
        <v>Tinto</v>
      </c>
    </row>
    <row r="1943" spans="1:13" x14ac:dyDescent="0.25">
      <c r="A1943" s="2" t="str">
        <f ca="1">IFERROR(__xludf.DUMMYFUNCTION("""COMPUTED_VALUE"""),"ea92c15b")</f>
        <v>ea92c15b</v>
      </c>
      <c r="B1943" s="2"/>
      <c r="C1943" s="5">
        <f ca="1">IFERROR(__xludf.DUMMYFUNCTION("""COMPUTED_VALUE"""),46149.4719328703)</f>
        <v>46149.471932870299</v>
      </c>
      <c r="D1943" s="2">
        <f ca="1">IFERROR(__xludf.DUMMYFUNCTION("""COMPUTED_VALUE"""),105)</f>
        <v>105</v>
      </c>
      <c r="E1943" s="2">
        <f ca="1">IFERROR(__xludf.DUMMYFUNCTION("""COMPUTED_VALUE"""),31000)</f>
        <v>31000</v>
      </c>
      <c r="F1943" s="2" t="str">
        <f ca="1">IFERROR(__xludf.DUMMYFUNCTION("""COMPUTED_VALUE"""),"Syrah Merlot s/Asp 3")</f>
        <v>Syrah Merlot s/Asp 3</v>
      </c>
      <c r="G1943" s="2">
        <f ca="1">IFERROR(__xludf.DUMMYFUNCTION("""COMPUTED_VALUE"""),0)</f>
        <v>0</v>
      </c>
      <c r="H1943" s="2">
        <f ca="1">IFERROR(__xludf.DUMMYFUNCTION("""COMPUTED_VALUE"""),31000)</f>
        <v>31000</v>
      </c>
      <c r="I1943" s="2"/>
      <c r="J1943" s="2"/>
      <c r="K1943" s="2" t="str">
        <f ca="1">IFERROR(__xludf.DUMMYFUNCTION("""COMPUTED_VALUE"""),"1er Trasiego")</f>
        <v>1er Trasiego</v>
      </c>
      <c r="L1943" s="2" t="str">
        <f ca="1">IFERROR(__xludf.DUMMYFUNCTION("""COMPUTED_VALUE"""),"1+")</f>
        <v>1+</v>
      </c>
      <c r="M1943" s="2" t="str">
        <f ca="1">IFERROR(__xludf.DUMMYFUNCTION("""COMPUTED_VALUE"""),"Tinto")</f>
        <v>Tinto</v>
      </c>
    </row>
    <row r="1944" spans="1:13" x14ac:dyDescent="0.25">
      <c r="A1944" s="2" t="str">
        <f ca="1">IFERROR(__xludf.DUMMYFUNCTION("""COMPUTED_VALUE"""),"99ab0a68")</f>
        <v>99ab0a68</v>
      </c>
      <c r="B1944" s="2"/>
      <c r="C1944" s="5">
        <f ca="1">IFERROR(__xludf.DUMMYFUNCTION("""COMPUTED_VALUE"""),46149.4723148148)</f>
        <v>46149.472314814797</v>
      </c>
      <c r="D1944" s="2">
        <f ca="1">IFERROR(__xludf.DUMMYFUNCTION("""COMPUTED_VALUE"""),107)</f>
        <v>107</v>
      </c>
      <c r="E1944" s="2">
        <f ca="1">IFERROR(__xludf.DUMMYFUNCTION("""COMPUTED_VALUE"""),31000)</f>
        <v>31000</v>
      </c>
      <c r="F1944" s="2" t="str">
        <f ca="1">IFERROR(__xludf.DUMMYFUNCTION("""COMPUTED_VALUE"""),"Syrah Malbec s/Asp 2")</f>
        <v>Syrah Malbec s/Asp 2</v>
      </c>
      <c r="G1944" s="2">
        <f ca="1">IFERROR(__xludf.DUMMYFUNCTION("""COMPUTED_VALUE"""),0)</f>
        <v>0</v>
      </c>
      <c r="H1944" s="2">
        <f ca="1">IFERROR(__xludf.DUMMYFUNCTION("""COMPUTED_VALUE"""),31000)</f>
        <v>31000</v>
      </c>
      <c r="I1944" s="2"/>
      <c r="J1944" s="2"/>
      <c r="K1944" s="2" t="str">
        <f ca="1">IFERROR(__xludf.DUMMYFUNCTION("""COMPUTED_VALUE"""),"1er Trasiego")</f>
        <v>1er Trasiego</v>
      </c>
      <c r="L1944" s="2" t="str">
        <f ca="1">IFERROR(__xludf.DUMMYFUNCTION("""COMPUTED_VALUE"""),"1+")</f>
        <v>1+</v>
      </c>
      <c r="M1944" s="2" t="str">
        <f ca="1">IFERROR(__xludf.DUMMYFUNCTION("""COMPUTED_VALUE"""),"Tinto")</f>
        <v>Tinto</v>
      </c>
    </row>
    <row r="1945" spans="1:13" x14ac:dyDescent="0.25">
      <c r="A1945" s="2" t="str">
        <f ca="1">IFERROR(__xludf.DUMMYFUNCTION("""COMPUTED_VALUE"""),"5e10969c")</f>
        <v>5e10969c</v>
      </c>
      <c r="B1945" s="2"/>
      <c r="C1945" s="5">
        <f ca="1">IFERROR(__xludf.DUMMYFUNCTION("""COMPUTED_VALUE"""),46150.4407754629)</f>
        <v>46150.440775462899</v>
      </c>
      <c r="D1945" s="2">
        <f ca="1">IFERROR(__xludf.DUMMYFUNCTION("""COMPUTED_VALUE"""),68)</f>
        <v>68</v>
      </c>
      <c r="E1945" s="2">
        <f ca="1">IFERROR(__xludf.DUMMYFUNCTION("""COMPUTED_VALUE"""),13000)</f>
        <v>13000</v>
      </c>
      <c r="F1945" s="2" t="str">
        <f ca="1">IFERROR(__xludf.DUMMYFUNCTION("""COMPUTED_VALUE"""),"Tinto Varietal B")</f>
        <v>Tinto Varietal B</v>
      </c>
      <c r="G1945" s="2">
        <f ca="1">IFERROR(__xludf.DUMMYFUNCTION("""COMPUTED_VALUE"""),12900)</f>
        <v>12900</v>
      </c>
      <c r="H1945" s="2">
        <f ca="1">IFERROR(__xludf.DUMMYFUNCTION("""COMPUTED_VALUE"""),13000)</f>
        <v>13000</v>
      </c>
      <c r="I1945" s="2"/>
      <c r="J1945" s="2"/>
      <c r="K1945" s="2" t="str">
        <f ca="1">IFERROR(__xludf.DUMMYFUNCTION("""COMPUTED_VALUE"""),"Terminado")</f>
        <v>Terminado</v>
      </c>
      <c r="L1945" s="2" t="str">
        <f ca="1">IFERROR(__xludf.DUMMYFUNCTION("""COMPUTED_VALUE"""),"1")</f>
        <v>1</v>
      </c>
      <c r="M1945" s="2" t="str">
        <f ca="1">IFERROR(__xludf.DUMMYFUNCTION("""COMPUTED_VALUE"""),"Tinto")</f>
        <v>Tinto</v>
      </c>
    </row>
    <row r="1946" spans="1:13" x14ac:dyDescent="0.25">
      <c r="A1946" s="2" t="str">
        <f ca="1">IFERROR(__xludf.DUMMYFUNCTION("""COMPUTED_VALUE"""),"8d4b92f4")</f>
        <v>8d4b92f4</v>
      </c>
      <c r="B1946" s="2"/>
      <c r="C1946" s="5">
        <f ca="1">IFERROR(__xludf.DUMMYFUNCTION("""COMPUTED_VALUE"""),46150.4418171296)</f>
        <v>46150.441817129598</v>
      </c>
      <c r="D1946" s="2">
        <f ca="1">IFERROR(__xludf.DUMMYFUNCTION("""COMPUTED_VALUE"""),11)</f>
        <v>11</v>
      </c>
      <c r="E1946" s="2">
        <f ca="1">IFERROR(__xludf.DUMMYFUNCTION("""COMPUTED_VALUE"""),36000)</f>
        <v>36000</v>
      </c>
      <c r="F1946" s="2" t="str">
        <f ca="1">IFERROR(__xludf.DUMMYFUNCTION("""COMPUTED_VALUE"""),"Anccellota Aspirant Rect")</f>
        <v>Anccellota Aspirant Rect</v>
      </c>
      <c r="G1946" s="2">
        <f ca="1">IFERROR(__xludf.DUMMYFUNCTION("""COMPUTED_VALUE"""),35900)</f>
        <v>35900</v>
      </c>
      <c r="H1946" s="2">
        <f ca="1">IFERROR(__xludf.DUMMYFUNCTION("""COMPUTED_VALUE"""),32900)</f>
        <v>32900</v>
      </c>
      <c r="I1946" s="2"/>
      <c r="J1946" s="2"/>
      <c r="K1946" s="2" t="str">
        <f ca="1">IFERROR(__xludf.DUMMYFUNCTION("""COMPUTED_VALUE"""),"Rectificado")</f>
        <v>Rectificado</v>
      </c>
      <c r="L1946" s="2" t="str">
        <f ca="1">IFERROR(__xludf.DUMMYFUNCTION("""COMPUTED_VALUE"""),"2+")</f>
        <v>2+</v>
      </c>
      <c r="M1946" s="2" t="str">
        <f ca="1">IFERROR(__xludf.DUMMYFUNCTION("""COMPUTED_VALUE"""),"Tinto")</f>
        <v>Tinto</v>
      </c>
    </row>
    <row r="1947" spans="1:13" x14ac:dyDescent="0.25">
      <c r="A1947" s="2" t="str">
        <f ca="1">IFERROR(__xludf.DUMMYFUNCTION("""COMPUTED_VALUE"""),"b5cd66a6")</f>
        <v>b5cd66a6</v>
      </c>
      <c r="B1947" s="2"/>
      <c r="C1947" s="5">
        <f ca="1">IFERROR(__xludf.DUMMYFUNCTION("""COMPUTED_VALUE"""),46150.4421064814)</f>
        <v>46150.442106481401</v>
      </c>
      <c r="D1947" s="2">
        <f ca="1">IFERROR(__xludf.DUMMYFUNCTION("""COMPUTED_VALUE"""),11)</f>
        <v>11</v>
      </c>
      <c r="E1947" s="2">
        <f ca="1">IFERROR(__xludf.DUMMYFUNCTION("""COMPUTED_VALUE"""),36000)</f>
        <v>36000</v>
      </c>
      <c r="F1947" s="2" t="str">
        <f ca="1">IFERROR(__xludf.DUMMYFUNCTION("""COMPUTED_VALUE"""),"Anccellota Aspirant Rect")</f>
        <v>Anccellota Aspirant Rect</v>
      </c>
      <c r="G1947" s="2">
        <f ca="1">IFERROR(__xludf.DUMMYFUNCTION("""COMPUTED_VALUE"""),32900)</f>
        <v>32900</v>
      </c>
      <c r="H1947" s="2">
        <f ca="1">IFERROR(__xludf.DUMMYFUNCTION("""COMPUTED_VALUE"""),32400)</f>
        <v>32400</v>
      </c>
      <c r="I1947" s="2"/>
      <c r="J1947" s="2"/>
      <c r="K1947" s="2" t="str">
        <f ca="1">IFERROR(__xludf.DUMMYFUNCTION("""COMPUTED_VALUE"""),"Rectificado")</f>
        <v>Rectificado</v>
      </c>
      <c r="L1947" s="2" t="str">
        <f ca="1">IFERROR(__xludf.DUMMYFUNCTION("""COMPUTED_VALUE"""),"2+")</f>
        <v>2+</v>
      </c>
      <c r="M1947" s="2" t="str">
        <f ca="1">IFERROR(__xludf.DUMMYFUNCTION("""COMPUTED_VALUE"""),"Tinto")</f>
        <v>Tinto</v>
      </c>
    </row>
    <row r="1948" spans="1:13" x14ac:dyDescent="0.25">
      <c r="A1948" s="2" t="str">
        <f ca="1">IFERROR(__xludf.DUMMYFUNCTION("""COMPUTED_VALUE"""),"775addbb")</f>
        <v>775addbb</v>
      </c>
      <c r="B1948" s="2"/>
      <c r="C1948" s="5">
        <f ca="1">IFERROR(__xludf.DUMMYFUNCTION("""COMPUTED_VALUE"""),46150.5297453703)</f>
        <v>46150.529745370302</v>
      </c>
      <c r="D1948" s="2">
        <f ca="1">IFERROR(__xludf.DUMMYFUNCTION("""COMPUTED_VALUE"""),108)</f>
        <v>108</v>
      </c>
      <c r="E1948" s="2">
        <f ca="1">IFERROR(__xludf.DUMMYFUNCTION("""COMPUTED_VALUE"""),31000)</f>
        <v>31000</v>
      </c>
      <c r="F1948" s="2" t="str">
        <f ca="1">IFERROR(__xludf.DUMMYFUNCTION("""COMPUTED_VALUE"""),"Syrah Malbec s/Asp 2")</f>
        <v>Syrah Malbec s/Asp 2</v>
      </c>
      <c r="G1948" s="2">
        <f ca="1">IFERROR(__xludf.DUMMYFUNCTION("""COMPUTED_VALUE"""),0)</f>
        <v>0</v>
      </c>
      <c r="H1948" s="2">
        <f ca="1">IFERROR(__xludf.DUMMYFUNCTION("""COMPUTED_VALUE"""),15000)</f>
        <v>15000</v>
      </c>
      <c r="I1948" s="2"/>
      <c r="J1948" s="2"/>
      <c r="K1948" s="2" t="str">
        <f ca="1">IFERROR(__xludf.DUMMYFUNCTION("""COMPUTED_VALUE"""),"1er Trasiego")</f>
        <v>1er Trasiego</v>
      </c>
      <c r="L1948" s="2"/>
      <c r="M1948" s="2" t="str">
        <f ca="1">IFERROR(__xludf.DUMMYFUNCTION("""COMPUTED_VALUE"""),"Tinto")</f>
        <v>Tinto</v>
      </c>
    </row>
    <row r="1949" spans="1:13" x14ac:dyDescent="0.25">
      <c r="A1949" s="2" t="str">
        <f ca="1">IFERROR(__xludf.DUMMYFUNCTION("""COMPUTED_VALUE"""),"1948cbb7")</f>
        <v>1948cbb7</v>
      </c>
      <c r="B1949" s="2"/>
      <c r="C1949" s="5">
        <f ca="1">IFERROR(__xludf.DUMMYFUNCTION("""COMPUTED_VALUE"""),46150.5305787037)</f>
        <v>46150.5305787037</v>
      </c>
      <c r="D1949" s="2">
        <f ca="1">IFERROR(__xludf.DUMMYFUNCTION("""COMPUTED_VALUE"""),70)</f>
        <v>70</v>
      </c>
      <c r="E1949" s="2">
        <f ca="1">IFERROR(__xludf.DUMMYFUNCTION("""COMPUTED_VALUE"""),13000)</f>
        <v>13000</v>
      </c>
      <c r="F1949" s="2" t="str">
        <f ca="1">IFERROR(__xludf.DUMMYFUNCTION("""COMPUTED_VALUE"""),"Borra trasiego")</f>
        <v>Borra trasiego</v>
      </c>
      <c r="G1949" s="2">
        <f ca="1">IFERROR(__xludf.DUMMYFUNCTION("""COMPUTED_VALUE"""),0)</f>
        <v>0</v>
      </c>
      <c r="H1949" s="2">
        <f ca="1">IFERROR(__xludf.DUMMYFUNCTION("""COMPUTED_VALUE"""),600)</f>
        <v>600</v>
      </c>
      <c r="I1949" s="2"/>
      <c r="J1949" s="2"/>
      <c r="K1949" s="2" t="str">
        <f ca="1">IFERROR(__xludf.DUMMYFUNCTION("""COMPUTED_VALUE"""),"1er Trasiego")</f>
        <v>1er Trasiego</v>
      </c>
      <c r="L1949" s="2"/>
      <c r="M1949" s="2" t="str">
        <f ca="1">IFERROR(__xludf.DUMMYFUNCTION("""COMPUTED_VALUE"""),"Tinto")</f>
        <v>Tinto</v>
      </c>
    </row>
    <row r="1950" spans="1:13" x14ac:dyDescent="0.25">
      <c r="A1950" s="2" t="str">
        <f ca="1">IFERROR(__xludf.DUMMYFUNCTION("""COMPUTED_VALUE"""),"a9bc2dea")</f>
        <v>a9bc2dea</v>
      </c>
      <c r="B1950" s="2"/>
      <c r="C1950" s="5">
        <f ca="1">IFERROR(__xludf.DUMMYFUNCTION("""COMPUTED_VALUE"""),46150.5310648148)</f>
        <v>46150.531064814801</v>
      </c>
      <c r="D1950" s="2">
        <f ca="1">IFERROR(__xludf.DUMMYFUNCTION("""COMPUTED_VALUE"""),500)</f>
        <v>500</v>
      </c>
      <c r="E1950" s="2">
        <f ca="1">IFERROR(__xludf.DUMMYFUNCTION("""COMPUTED_VALUE"""),200000)</f>
        <v>200000</v>
      </c>
      <c r="F1950" s="2" t="str">
        <f ca="1">IFERROR(__xludf.DUMMYFUNCTION("""COMPUTED_VALUE"""),"AJUSTE COSECHA 2026")</f>
        <v>AJUSTE COSECHA 2026</v>
      </c>
      <c r="G1950" s="2">
        <f ca="1">IFERROR(__xludf.DUMMYFUNCTION("""COMPUTED_VALUE"""),38820)</f>
        <v>38820</v>
      </c>
      <c r="H1950" s="2">
        <f ca="1">IFERROR(__xludf.DUMMYFUNCTION("""COMPUTED_VALUE"""),34120)</f>
        <v>34120</v>
      </c>
      <c r="I1950" s="2"/>
      <c r="J1950" s="2"/>
      <c r="K1950" s="2" t="str">
        <f ca="1">IFERROR(__xludf.DUMMYFUNCTION("""COMPUTED_VALUE"""),"Terminado")</f>
        <v>Terminado</v>
      </c>
      <c r="L1950" s="2" t="str">
        <f ca="1">IFERROR(__xludf.DUMMYFUNCTION("""COMPUTED_VALUE"""),"1")</f>
        <v>1</v>
      </c>
      <c r="M1950" s="2" t="str">
        <f ca="1">IFERROR(__xludf.DUMMYFUNCTION("""COMPUTED_VALUE"""),"Tinto")</f>
        <v>Tinto</v>
      </c>
    </row>
    <row r="1951" spans="1:13" x14ac:dyDescent="0.25">
      <c r="A1951" s="2" t="str">
        <f ca="1">IFERROR(__xludf.DUMMYFUNCTION("""COMPUTED_VALUE"""),"16af5c61")</f>
        <v>16af5c61</v>
      </c>
      <c r="B1951" s="2"/>
      <c r="C1951" s="5">
        <f ca="1">IFERROR(__xludf.DUMMYFUNCTION("""COMPUTED_VALUE"""),46153.6834259259)</f>
        <v>46153.683425925898</v>
      </c>
      <c r="D1951" s="2">
        <f ca="1">IFERROR(__xludf.DUMMYFUNCTION("""COMPUTED_VALUE"""),84)</f>
        <v>84</v>
      </c>
      <c r="E1951" s="2">
        <f ca="1">IFERROR(__xludf.DUMMYFUNCTION("""COMPUTED_VALUE"""),83000)</f>
        <v>83000</v>
      </c>
      <c r="F1951" s="2" t="str">
        <f ca="1">IFERROR(__xludf.DUMMYFUNCTION("""COMPUTED_VALUE"""),"Chardonnay Reac")</f>
        <v>Chardonnay Reac</v>
      </c>
      <c r="G1951" s="2">
        <f ca="1">IFERROR(__xludf.DUMMYFUNCTION("""COMPUTED_VALUE"""),0)</f>
        <v>0</v>
      </c>
      <c r="H1951" s="2">
        <f ca="1">IFERROR(__xludf.DUMMYFUNCTION("""COMPUTED_VALUE"""),10000)</f>
        <v>10000</v>
      </c>
      <c r="I1951" s="2"/>
      <c r="J1951" s="2"/>
      <c r="K1951" s="2" t="str">
        <f ca="1">IFERROR(__xludf.DUMMYFUNCTION("""COMPUTED_VALUE"""),"1er Trasiego")</f>
        <v>1er Trasiego</v>
      </c>
      <c r="L1951" s="2" t="str">
        <f ca="1">IFERROR(__xludf.DUMMYFUNCTION("""COMPUTED_VALUE"""),"1")</f>
        <v>1</v>
      </c>
      <c r="M1951" s="2" t="str">
        <f ca="1">IFERROR(__xludf.DUMMYFUNCTION("""COMPUTED_VALUE"""),"Blanco")</f>
        <v>Blanco</v>
      </c>
    </row>
    <row r="1952" spans="1:13" x14ac:dyDescent="0.25">
      <c r="A1952" s="2" t="str">
        <f ca="1">IFERROR(__xludf.DUMMYFUNCTION("""COMPUTED_VALUE"""),"35f9cfa7")</f>
        <v>35f9cfa7</v>
      </c>
      <c r="B1952" s="2"/>
      <c r="C1952" s="5">
        <f ca="1">IFERROR(__xludf.DUMMYFUNCTION("""COMPUTED_VALUE"""),46153.6839467592)</f>
        <v>46153.6839467592</v>
      </c>
      <c r="D1952" s="2">
        <f ca="1">IFERROR(__xludf.DUMMYFUNCTION("""COMPUTED_VALUE"""),84)</f>
        <v>84</v>
      </c>
      <c r="E1952" s="2">
        <f ca="1">IFERROR(__xludf.DUMMYFUNCTION("""COMPUTED_VALUE"""),83000)</f>
        <v>83000</v>
      </c>
      <c r="F1952" s="2" t="str">
        <f ca="1">IFERROR(__xludf.DUMMYFUNCTION("""COMPUTED_VALUE"""),"Chardonnay Reac")</f>
        <v>Chardonnay Reac</v>
      </c>
      <c r="G1952" s="2">
        <f ca="1">IFERROR(__xludf.DUMMYFUNCTION("""COMPUTED_VALUE"""),10000)</f>
        <v>10000</v>
      </c>
      <c r="H1952" s="2">
        <f ca="1">IFERROR(__xludf.DUMMYFUNCTION("""COMPUTED_VALUE"""),16600)</f>
        <v>16600</v>
      </c>
      <c r="I1952" s="2"/>
      <c r="J1952" s="2"/>
      <c r="K1952" s="2" t="str">
        <f ca="1">IFERROR(__xludf.DUMMYFUNCTION("""COMPUTED_VALUE"""),"1er Trasiego")</f>
        <v>1er Trasiego</v>
      </c>
      <c r="L1952" s="2" t="str">
        <f ca="1">IFERROR(__xludf.DUMMYFUNCTION("""COMPUTED_VALUE"""),"1")</f>
        <v>1</v>
      </c>
      <c r="M1952" s="2" t="str">
        <f ca="1">IFERROR(__xludf.DUMMYFUNCTION("""COMPUTED_VALUE"""),"Blanco")</f>
        <v>Blanco</v>
      </c>
    </row>
    <row r="1953" spans="1:13" x14ac:dyDescent="0.25">
      <c r="A1953" s="2" t="str">
        <f ca="1">IFERROR(__xludf.DUMMYFUNCTION("""COMPUTED_VALUE"""),"24e9e6b5")</f>
        <v>24e9e6b5</v>
      </c>
      <c r="B1953" s="2"/>
      <c r="C1953" s="5">
        <f ca="1">IFERROR(__xludf.DUMMYFUNCTION("""COMPUTED_VALUE"""),46153.6848379629)</f>
        <v>46153.684837962901</v>
      </c>
      <c r="D1953" s="2">
        <f ca="1">IFERROR(__xludf.DUMMYFUNCTION("""COMPUTED_VALUE"""),84)</f>
        <v>84</v>
      </c>
      <c r="E1953" s="2">
        <f ca="1">IFERROR(__xludf.DUMMYFUNCTION("""COMPUTED_VALUE"""),83000)</f>
        <v>83000</v>
      </c>
      <c r="F1953" s="2" t="str">
        <f ca="1">IFERROR(__xludf.DUMMYFUNCTION("""COMPUTED_VALUE"""),"Chardonnay Reac")</f>
        <v>Chardonnay Reac</v>
      </c>
      <c r="G1953" s="2">
        <f ca="1">IFERROR(__xludf.DUMMYFUNCTION("""COMPUTED_VALUE"""),16600)</f>
        <v>16600</v>
      </c>
      <c r="H1953" s="2">
        <f ca="1">IFERROR(__xludf.DUMMYFUNCTION("""COMPUTED_VALUE"""),23200)</f>
        <v>23200</v>
      </c>
      <c r="I1953" s="2"/>
      <c r="J1953" s="2"/>
      <c r="K1953" s="2" t="str">
        <f ca="1">IFERROR(__xludf.DUMMYFUNCTION("""COMPUTED_VALUE"""),"1er Trasiego")</f>
        <v>1er Trasiego</v>
      </c>
      <c r="L1953" s="2" t="str">
        <f ca="1">IFERROR(__xludf.DUMMYFUNCTION("""COMPUTED_VALUE"""),"1")</f>
        <v>1</v>
      </c>
      <c r="M1953" s="2" t="str">
        <f ca="1">IFERROR(__xludf.DUMMYFUNCTION("""COMPUTED_VALUE"""),"Blanco")</f>
        <v>Blanco</v>
      </c>
    </row>
    <row r="1954" spans="1:13" x14ac:dyDescent="0.25">
      <c r="A1954" s="2" t="str">
        <f ca="1">IFERROR(__xludf.DUMMYFUNCTION("""COMPUTED_VALUE"""),"400f3901")</f>
        <v>400f3901</v>
      </c>
      <c r="B1954" s="2"/>
      <c r="C1954" s="5">
        <f ca="1">IFERROR(__xludf.DUMMYFUNCTION("""COMPUTED_VALUE"""),46153.6851736111)</f>
        <v>46153.685173611098</v>
      </c>
      <c r="D1954" s="2">
        <f ca="1">IFERROR(__xludf.DUMMYFUNCTION("""COMPUTED_VALUE"""),84)</f>
        <v>84</v>
      </c>
      <c r="E1954" s="2">
        <f ca="1">IFERROR(__xludf.DUMMYFUNCTION("""COMPUTED_VALUE"""),83000)</f>
        <v>83000</v>
      </c>
      <c r="F1954" s="2" t="str">
        <f ca="1">IFERROR(__xludf.DUMMYFUNCTION("""COMPUTED_VALUE"""),"Chardonnay Reac")</f>
        <v>Chardonnay Reac</v>
      </c>
      <c r="G1954" s="2">
        <f ca="1">IFERROR(__xludf.DUMMYFUNCTION("""COMPUTED_VALUE"""),23200)</f>
        <v>23200</v>
      </c>
      <c r="H1954" s="2">
        <f ca="1">IFERROR(__xludf.DUMMYFUNCTION("""COMPUTED_VALUE"""),28000)</f>
        <v>28000</v>
      </c>
      <c r="I1954" s="2"/>
      <c r="J1954" s="2"/>
      <c r="K1954" s="2" t="str">
        <f ca="1">IFERROR(__xludf.DUMMYFUNCTION("""COMPUTED_VALUE"""),"1er Trasiego")</f>
        <v>1er Trasiego</v>
      </c>
      <c r="L1954" s="2" t="str">
        <f ca="1">IFERROR(__xludf.DUMMYFUNCTION("""COMPUTED_VALUE"""),"1")</f>
        <v>1</v>
      </c>
      <c r="M1954" s="2" t="str">
        <f ca="1">IFERROR(__xludf.DUMMYFUNCTION("""COMPUTED_VALUE"""),"Blanco")</f>
        <v>Blanco</v>
      </c>
    </row>
    <row r="1955" spans="1:13" x14ac:dyDescent="0.25">
      <c r="A1955" s="2" t="str">
        <f ca="1">IFERROR(__xludf.DUMMYFUNCTION("""COMPUTED_VALUE"""),"f46804b4")</f>
        <v>f46804b4</v>
      </c>
      <c r="B1955" s="2"/>
      <c r="C1955" s="5">
        <f ca="1">IFERROR(__xludf.DUMMYFUNCTION("""COMPUTED_VALUE"""),46153.6855902777)</f>
        <v>46153.685590277702</v>
      </c>
      <c r="D1955" s="2">
        <f ca="1">IFERROR(__xludf.DUMMYFUNCTION("""COMPUTED_VALUE"""),84)</f>
        <v>84</v>
      </c>
      <c r="E1955" s="2">
        <f ca="1">IFERROR(__xludf.DUMMYFUNCTION("""COMPUTED_VALUE"""),83000)</f>
        <v>83000</v>
      </c>
      <c r="F1955" s="2" t="str">
        <f ca="1">IFERROR(__xludf.DUMMYFUNCTION("""COMPUTED_VALUE"""),"Chardonnay Reac")</f>
        <v>Chardonnay Reac</v>
      </c>
      <c r="G1955" s="2">
        <f ca="1">IFERROR(__xludf.DUMMYFUNCTION("""COMPUTED_VALUE"""),28000)</f>
        <v>28000</v>
      </c>
      <c r="H1955" s="2">
        <f ca="1">IFERROR(__xludf.DUMMYFUNCTION("""COMPUTED_VALUE"""),33100)</f>
        <v>33100</v>
      </c>
      <c r="I1955" s="2"/>
      <c r="J1955" s="2"/>
      <c r="K1955" s="2" t="str">
        <f ca="1">IFERROR(__xludf.DUMMYFUNCTION("""COMPUTED_VALUE"""),"1er Trasiego")</f>
        <v>1er Trasiego</v>
      </c>
      <c r="L1955" s="2" t="str">
        <f ca="1">IFERROR(__xludf.DUMMYFUNCTION("""COMPUTED_VALUE"""),"1")</f>
        <v>1</v>
      </c>
      <c r="M1955" s="2" t="str">
        <f ca="1">IFERROR(__xludf.DUMMYFUNCTION("""COMPUTED_VALUE"""),"Blanco")</f>
        <v>Blanco</v>
      </c>
    </row>
    <row r="1956" spans="1:13" x14ac:dyDescent="0.25">
      <c r="A1956" s="2" t="str">
        <f ca="1">IFERROR(__xludf.DUMMYFUNCTION("""COMPUTED_VALUE"""),"2f043489")</f>
        <v>2f043489</v>
      </c>
      <c r="B1956" s="2"/>
      <c r="C1956" s="5">
        <f ca="1">IFERROR(__xludf.DUMMYFUNCTION("""COMPUTED_VALUE"""),46153.6859143518)</f>
        <v>46153.685914351801</v>
      </c>
      <c r="D1956" s="2">
        <f ca="1">IFERROR(__xludf.DUMMYFUNCTION("""COMPUTED_VALUE"""),84)</f>
        <v>84</v>
      </c>
      <c r="E1956" s="2">
        <f ca="1">IFERROR(__xludf.DUMMYFUNCTION("""COMPUTED_VALUE"""),83000)</f>
        <v>83000</v>
      </c>
      <c r="F1956" s="2" t="str">
        <f ca="1">IFERROR(__xludf.DUMMYFUNCTION("""COMPUTED_VALUE"""),"Chardonnay Reac")</f>
        <v>Chardonnay Reac</v>
      </c>
      <c r="G1956" s="2">
        <f ca="1">IFERROR(__xludf.DUMMYFUNCTION("""COMPUTED_VALUE"""),33100)</f>
        <v>33100</v>
      </c>
      <c r="H1956" s="2">
        <f ca="1">IFERROR(__xludf.DUMMYFUNCTION("""COMPUTED_VALUE"""),39700)</f>
        <v>39700</v>
      </c>
      <c r="I1956" s="2"/>
      <c r="J1956" s="2"/>
      <c r="K1956" s="2" t="str">
        <f ca="1">IFERROR(__xludf.DUMMYFUNCTION("""COMPUTED_VALUE"""),"1er Trasiego")</f>
        <v>1er Trasiego</v>
      </c>
      <c r="L1956" s="2" t="str">
        <f ca="1">IFERROR(__xludf.DUMMYFUNCTION("""COMPUTED_VALUE"""),"1")</f>
        <v>1</v>
      </c>
      <c r="M1956" s="2" t="str">
        <f ca="1">IFERROR(__xludf.DUMMYFUNCTION("""COMPUTED_VALUE"""),"Blanco")</f>
        <v>Blanco</v>
      </c>
    </row>
    <row r="1957" spans="1:13" x14ac:dyDescent="0.25">
      <c r="A1957" s="2" t="str">
        <f ca="1">IFERROR(__xludf.DUMMYFUNCTION("""COMPUTED_VALUE"""),"7f0929fd")</f>
        <v>7f0929fd</v>
      </c>
      <c r="B1957" s="2"/>
      <c r="C1957" s="5">
        <f ca="1">IFERROR(__xludf.DUMMYFUNCTION("""COMPUTED_VALUE"""),46153.6862268518)</f>
        <v>46153.686226851802</v>
      </c>
      <c r="D1957" s="2">
        <f ca="1">IFERROR(__xludf.DUMMYFUNCTION("""COMPUTED_VALUE"""),84)</f>
        <v>84</v>
      </c>
      <c r="E1957" s="2">
        <f ca="1">IFERROR(__xludf.DUMMYFUNCTION("""COMPUTED_VALUE"""),83000)</f>
        <v>83000</v>
      </c>
      <c r="F1957" s="2" t="str">
        <f ca="1">IFERROR(__xludf.DUMMYFUNCTION("""COMPUTED_VALUE"""),"Chardonnay Reac")</f>
        <v>Chardonnay Reac</v>
      </c>
      <c r="G1957" s="2">
        <f ca="1">IFERROR(__xludf.DUMMYFUNCTION("""COMPUTED_VALUE"""),39700)</f>
        <v>39700</v>
      </c>
      <c r="H1957" s="2">
        <f ca="1">IFERROR(__xludf.DUMMYFUNCTION("""COMPUTED_VALUE"""),46700)</f>
        <v>46700</v>
      </c>
      <c r="I1957" s="2"/>
      <c r="J1957" s="2"/>
      <c r="K1957" s="2" t="str">
        <f ca="1">IFERROR(__xludf.DUMMYFUNCTION("""COMPUTED_VALUE"""),"1er Trasiego")</f>
        <v>1er Trasiego</v>
      </c>
      <c r="L1957" s="2" t="str">
        <f ca="1">IFERROR(__xludf.DUMMYFUNCTION("""COMPUTED_VALUE"""),"1")</f>
        <v>1</v>
      </c>
      <c r="M1957" s="2" t="str">
        <f ca="1">IFERROR(__xludf.DUMMYFUNCTION("""COMPUTED_VALUE"""),"Blanco")</f>
        <v>Blanco</v>
      </c>
    </row>
    <row r="1958" spans="1:13" x14ac:dyDescent="0.25">
      <c r="A1958" s="2" t="str">
        <f ca="1">IFERROR(__xludf.DUMMYFUNCTION("""COMPUTED_VALUE"""),"bf0decd7")</f>
        <v>bf0decd7</v>
      </c>
      <c r="B1958" s="2"/>
      <c r="C1958" s="5">
        <f ca="1">IFERROR(__xludf.DUMMYFUNCTION("""COMPUTED_VALUE"""),46153.6866550925)</f>
        <v>46153.686655092497</v>
      </c>
      <c r="D1958" s="2">
        <f ca="1">IFERROR(__xludf.DUMMYFUNCTION("""COMPUTED_VALUE"""),84)</f>
        <v>84</v>
      </c>
      <c r="E1958" s="2">
        <f ca="1">IFERROR(__xludf.DUMMYFUNCTION("""COMPUTED_VALUE"""),83000)</f>
        <v>83000</v>
      </c>
      <c r="F1958" s="2" t="str">
        <f ca="1">IFERROR(__xludf.DUMMYFUNCTION("""COMPUTED_VALUE"""),"Chardonnay Reac")</f>
        <v>Chardonnay Reac</v>
      </c>
      <c r="G1958" s="2">
        <f ca="1">IFERROR(__xludf.DUMMYFUNCTION("""COMPUTED_VALUE"""),46700)</f>
        <v>46700</v>
      </c>
      <c r="H1958" s="2">
        <f ca="1">IFERROR(__xludf.DUMMYFUNCTION("""COMPUTED_VALUE"""),50400)</f>
        <v>50400</v>
      </c>
      <c r="I1958" s="2"/>
      <c r="J1958" s="2"/>
      <c r="K1958" s="2" t="str">
        <f ca="1">IFERROR(__xludf.DUMMYFUNCTION("""COMPUTED_VALUE"""),"1er Trasiego")</f>
        <v>1er Trasiego</v>
      </c>
      <c r="L1958" s="2" t="str">
        <f ca="1">IFERROR(__xludf.DUMMYFUNCTION("""COMPUTED_VALUE"""),"1")</f>
        <v>1</v>
      </c>
      <c r="M1958" s="2" t="str">
        <f ca="1">IFERROR(__xludf.DUMMYFUNCTION("""COMPUTED_VALUE"""),"Blanco")</f>
        <v>Blanco</v>
      </c>
    </row>
    <row r="1959" spans="1:13" x14ac:dyDescent="0.25">
      <c r="A1959" s="2" t="str">
        <f ca="1">IFERROR(__xludf.DUMMYFUNCTION("""COMPUTED_VALUE"""),"028d4ed0")</f>
        <v>028d4ed0</v>
      </c>
      <c r="B1959" s="2"/>
      <c r="C1959" s="5">
        <f ca="1">IFERROR(__xludf.DUMMYFUNCTION("""COMPUTED_VALUE"""),46153.6890856481)</f>
        <v>46153.689085648097</v>
      </c>
      <c r="D1959" s="2">
        <f ca="1">IFERROR(__xludf.DUMMYFUNCTION("""COMPUTED_VALUE"""),88)</f>
        <v>88</v>
      </c>
      <c r="E1959" s="2">
        <f ca="1">IFERROR(__xludf.DUMMYFUNCTION("""COMPUTED_VALUE"""),78900)</f>
        <v>78900</v>
      </c>
      <c r="F1959" s="2" t="str">
        <f ca="1">IFERROR(__xludf.DUMMYFUNCTION("""COMPUTED_VALUE"""),"Syrah Temp")</f>
        <v>Syrah Temp</v>
      </c>
      <c r="G1959" s="2">
        <f ca="1">IFERROR(__xludf.DUMMYFUNCTION("""COMPUTED_VALUE"""),0)</f>
        <v>0</v>
      </c>
      <c r="H1959" s="2">
        <f ca="1">IFERROR(__xludf.DUMMYFUNCTION("""COMPUTED_VALUE"""),78900)</f>
        <v>78900</v>
      </c>
      <c r="I1959" s="2"/>
      <c r="J1959" s="2"/>
      <c r="K1959" s="2" t="str">
        <f ca="1">IFERROR(__xludf.DUMMYFUNCTION("""COMPUTED_VALUE"""),"1er Trasiego")</f>
        <v>1er Trasiego</v>
      </c>
      <c r="L1959" s="2" t="str">
        <f ca="1">IFERROR(__xludf.DUMMYFUNCTION("""COMPUTED_VALUE"""),"1+")</f>
        <v>1+</v>
      </c>
      <c r="M1959" s="2" t="str">
        <f ca="1">IFERROR(__xludf.DUMMYFUNCTION("""COMPUTED_VALUE"""),"Tinto")</f>
        <v>Tinto</v>
      </c>
    </row>
    <row r="1960" spans="1:13" x14ac:dyDescent="0.25">
      <c r="A1960" s="2" t="str">
        <f ca="1">IFERROR(__xludf.DUMMYFUNCTION("""COMPUTED_VALUE"""),"0443b3f9")</f>
        <v>0443b3f9</v>
      </c>
      <c r="B1960" s="2"/>
      <c r="C1960" s="5">
        <f ca="1">IFERROR(__xludf.DUMMYFUNCTION("""COMPUTED_VALUE"""),46153.6894444444)</f>
        <v>46153.689444444397</v>
      </c>
      <c r="D1960" s="2">
        <f ca="1">IFERROR(__xludf.DUMMYFUNCTION("""COMPUTED_VALUE"""),89)</f>
        <v>89</v>
      </c>
      <c r="E1960" s="2">
        <f ca="1">IFERROR(__xludf.DUMMYFUNCTION("""COMPUTED_VALUE"""),83500)</f>
        <v>83500</v>
      </c>
      <c r="F1960" s="2" t="str">
        <f ca="1">IFERROR(__xludf.DUMMYFUNCTION("""COMPUTED_VALUE"""),"Syrah Temp")</f>
        <v>Syrah Temp</v>
      </c>
      <c r="G1960" s="2">
        <f ca="1">IFERROR(__xludf.DUMMYFUNCTION("""COMPUTED_VALUE"""),0)</f>
        <v>0</v>
      </c>
      <c r="H1960" s="2">
        <f ca="1">IFERROR(__xludf.DUMMYFUNCTION("""COMPUTED_VALUE"""),76700)</f>
        <v>76700</v>
      </c>
      <c r="I1960" s="2"/>
      <c r="J1960" s="2"/>
      <c r="K1960" s="2" t="str">
        <f ca="1">IFERROR(__xludf.DUMMYFUNCTION("""COMPUTED_VALUE"""),"1er Trasiego")</f>
        <v>1er Trasiego</v>
      </c>
      <c r="L1960" s="2" t="str">
        <f ca="1">IFERROR(__xludf.DUMMYFUNCTION("""COMPUTED_VALUE"""),"1")</f>
        <v>1</v>
      </c>
      <c r="M1960" s="2" t="str">
        <f ca="1">IFERROR(__xludf.DUMMYFUNCTION("""COMPUTED_VALUE"""),"Tinto")</f>
        <v>Tinto</v>
      </c>
    </row>
    <row r="1961" spans="1:13" x14ac:dyDescent="0.25">
      <c r="A1961" s="2" t="str">
        <f ca="1">IFERROR(__xludf.DUMMYFUNCTION("""COMPUTED_VALUE"""),"4bd7782a")</f>
        <v>4bd7782a</v>
      </c>
      <c r="B1961" s="2"/>
      <c r="C1961" s="5">
        <f ca="1">IFERROR(__xludf.DUMMYFUNCTION("""COMPUTED_VALUE"""),46153.6916319444)</f>
        <v>46153.691631944399</v>
      </c>
      <c r="D1961" s="2">
        <f ca="1">IFERROR(__xludf.DUMMYFUNCTION("""COMPUTED_VALUE"""),121)</f>
        <v>121</v>
      </c>
      <c r="E1961" s="2">
        <f ca="1">IFERROR(__xludf.DUMMYFUNCTION("""COMPUTED_VALUE"""),85800)</f>
        <v>85800</v>
      </c>
      <c r="F1961" s="2" t="str">
        <f ca="1">IFERROR(__xludf.DUMMYFUNCTION("""COMPUTED_VALUE"""),"Chardonnay Ch")</f>
        <v>Chardonnay Ch</v>
      </c>
      <c r="G1961" s="2">
        <f ca="1">IFERROR(__xludf.DUMMYFUNCTION("""COMPUTED_VALUE"""),0)</f>
        <v>0</v>
      </c>
      <c r="H1961" s="2">
        <f ca="1">IFERROR(__xludf.DUMMYFUNCTION("""COMPUTED_VALUE"""),10000)</f>
        <v>10000</v>
      </c>
      <c r="I1961" s="2"/>
      <c r="J1961" s="2"/>
      <c r="K1961" s="2" t="str">
        <f ca="1">IFERROR(__xludf.DUMMYFUNCTION("""COMPUTED_VALUE"""),"1er Trasiego")</f>
        <v>1er Trasiego</v>
      </c>
      <c r="L1961" s="2" t="str">
        <f ca="1">IFERROR(__xludf.DUMMYFUNCTION("""COMPUTED_VALUE"""),"1")</f>
        <v>1</v>
      </c>
      <c r="M1961" s="2" t="str">
        <f ca="1">IFERROR(__xludf.DUMMYFUNCTION("""COMPUTED_VALUE"""),"Blanco")</f>
        <v>Blanco</v>
      </c>
    </row>
    <row r="1962" spans="1:13" x14ac:dyDescent="0.25">
      <c r="A1962" s="2" t="str">
        <f ca="1">IFERROR(__xludf.DUMMYFUNCTION("""COMPUTED_VALUE"""),"f7c8ff89")</f>
        <v>f7c8ff89</v>
      </c>
      <c r="B1962" s="2"/>
      <c r="C1962" s="5">
        <f ca="1">IFERROR(__xludf.DUMMYFUNCTION("""COMPUTED_VALUE"""),46153.6920601851)</f>
        <v>46153.692060185102</v>
      </c>
      <c r="D1962" s="2">
        <f ca="1">IFERROR(__xludf.DUMMYFUNCTION("""COMPUTED_VALUE"""),121)</f>
        <v>121</v>
      </c>
      <c r="E1962" s="2">
        <f ca="1">IFERROR(__xludf.DUMMYFUNCTION("""COMPUTED_VALUE"""),85800)</f>
        <v>85800</v>
      </c>
      <c r="F1962" s="2" t="str">
        <f ca="1">IFERROR(__xludf.DUMMYFUNCTION("""COMPUTED_VALUE"""),"Chardonnay Ch")</f>
        <v>Chardonnay Ch</v>
      </c>
      <c r="G1962" s="2">
        <f ca="1">IFERROR(__xludf.DUMMYFUNCTION("""COMPUTED_VALUE"""),10000)</f>
        <v>10000</v>
      </c>
      <c r="H1962" s="2">
        <f ca="1">IFERROR(__xludf.DUMMYFUNCTION("""COMPUTED_VALUE"""),16600)</f>
        <v>16600</v>
      </c>
      <c r="I1962" s="2"/>
      <c r="J1962" s="2"/>
      <c r="K1962" s="2" t="str">
        <f ca="1">IFERROR(__xludf.DUMMYFUNCTION("""COMPUTED_VALUE"""),"1er Trasiego")</f>
        <v>1er Trasiego</v>
      </c>
      <c r="L1962" s="2" t="str">
        <f ca="1">IFERROR(__xludf.DUMMYFUNCTION("""COMPUTED_VALUE"""),"1")</f>
        <v>1</v>
      </c>
      <c r="M1962" s="2" t="str">
        <f ca="1">IFERROR(__xludf.DUMMYFUNCTION("""COMPUTED_VALUE"""),"Blanco")</f>
        <v>Blanco</v>
      </c>
    </row>
    <row r="1963" spans="1:13" x14ac:dyDescent="0.25">
      <c r="A1963" s="2" t="str">
        <f ca="1">IFERROR(__xludf.DUMMYFUNCTION("""COMPUTED_VALUE"""),"d3a2543c")</f>
        <v>d3a2543c</v>
      </c>
      <c r="B1963" s="2"/>
      <c r="C1963" s="5">
        <f ca="1">IFERROR(__xludf.DUMMYFUNCTION("""COMPUTED_VALUE"""),46153.6925694444)</f>
        <v>46153.6925694444</v>
      </c>
      <c r="D1963" s="2">
        <f ca="1">IFERROR(__xludf.DUMMYFUNCTION("""COMPUTED_VALUE"""),121)</f>
        <v>121</v>
      </c>
      <c r="E1963" s="2">
        <f ca="1">IFERROR(__xludf.DUMMYFUNCTION("""COMPUTED_VALUE"""),85800)</f>
        <v>85800</v>
      </c>
      <c r="F1963" s="2" t="str">
        <f ca="1">IFERROR(__xludf.DUMMYFUNCTION("""COMPUTED_VALUE"""),"Chardonnay Ch")</f>
        <v>Chardonnay Ch</v>
      </c>
      <c r="G1963" s="2">
        <f ca="1">IFERROR(__xludf.DUMMYFUNCTION("""COMPUTED_VALUE"""),16600)</f>
        <v>16600</v>
      </c>
      <c r="H1963" s="2">
        <f ca="1">IFERROR(__xludf.DUMMYFUNCTION("""COMPUTED_VALUE"""),23200)</f>
        <v>23200</v>
      </c>
      <c r="I1963" s="2"/>
      <c r="J1963" s="2"/>
      <c r="K1963" s="2" t="str">
        <f ca="1">IFERROR(__xludf.DUMMYFUNCTION("""COMPUTED_VALUE"""),"1er Trasiego")</f>
        <v>1er Trasiego</v>
      </c>
      <c r="L1963" s="2" t="str">
        <f ca="1">IFERROR(__xludf.DUMMYFUNCTION("""COMPUTED_VALUE"""),"1")</f>
        <v>1</v>
      </c>
      <c r="M1963" s="2" t="str">
        <f ca="1">IFERROR(__xludf.DUMMYFUNCTION("""COMPUTED_VALUE"""),"Blanco")</f>
        <v>Blanco</v>
      </c>
    </row>
    <row r="1964" spans="1:13" x14ac:dyDescent="0.25">
      <c r="A1964" s="2" t="str">
        <f ca="1">IFERROR(__xludf.DUMMYFUNCTION("""COMPUTED_VALUE"""),"07f16fa3")</f>
        <v>07f16fa3</v>
      </c>
      <c r="B1964" s="2"/>
      <c r="C1964" s="5">
        <f ca="1">IFERROR(__xludf.DUMMYFUNCTION("""COMPUTED_VALUE"""),46153.6929282407)</f>
        <v>46153.6929282407</v>
      </c>
      <c r="D1964" s="2">
        <f ca="1">IFERROR(__xludf.DUMMYFUNCTION("""COMPUTED_VALUE"""),121)</f>
        <v>121</v>
      </c>
      <c r="E1964" s="2">
        <f ca="1">IFERROR(__xludf.DUMMYFUNCTION("""COMPUTED_VALUE"""),85800)</f>
        <v>85800</v>
      </c>
      <c r="F1964" s="2" t="str">
        <f ca="1">IFERROR(__xludf.DUMMYFUNCTION("""COMPUTED_VALUE"""),"Chardonnay Ch")</f>
        <v>Chardonnay Ch</v>
      </c>
      <c r="G1964" s="2">
        <f ca="1">IFERROR(__xludf.DUMMYFUNCTION("""COMPUTED_VALUE"""),23200)</f>
        <v>23200</v>
      </c>
      <c r="H1964" s="2">
        <f ca="1">IFERROR(__xludf.DUMMYFUNCTION("""COMPUTED_VALUE"""),28000)</f>
        <v>28000</v>
      </c>
      <c r="I1964" s="2"/>
      <c r="J1964" s="2"/>
      <c r="K1964" s="2" t="str">
        <f ca="1">IFERROR(__xludf.DUMMYFUNCTION("""COMPUTED_VALUE"""),"1er Trasiego")</f>
        <v>1er Trasiego</v>
      </c>
      <c r="L1964" s="2" t="str">
        <f ca="1">IFERROR(__xludf.DUMMYFUNCTION("""COMPUTED_VALUE"""),"1")</f>
        <v>1</v>
      </c>
      <c r="M1964" s="2" t="str">
        <f ca="1">IFERROR(__xludf.DUMMYFUNCTION("""COMPUTED_VALUE"""),"Blanco")</f>
        <v>Blanco</v>
      </c>
    </row>
    <row r="1965" spans="1:13" x14ac:dyDescent="0.25">
      <c r="A1965" s="2" t="str">
        <f ca="1">IFERROR(__xludf.DUMMYFUNCTION("""COMPUTED_VALUE"""),"d048630b")</f>
        <v>d048630b</v>
      </c>
      <c r="B1965" s="2"/>
      <c r="C1965" s="5">
        <f ca="1">IFERROR(__xludf.DUMMYFUNCTION("""COMPUTED_VALUE"""),46153.6932523148)</f>
        <v>46153.693252314799</v>
      </c>
      <c r="D1965" s="2">
        <f ca="1">IFERROR(__xludf.DUMMYFUNCTION("""COMPUTED_VALUE"""),121)</f>
        <v>121</v>
      </c>
      <c r="E1965" s="2">
        <f ca="1">IFERROR(__xludf.DUMMYFUNCTION("""COMPUTED_VALUE"""),85800)</f>
        <v>85800</v>
      </c>
      <c r="F1965" s="2" t="str">
        <f ca="1">IFERROR(__xludf.DUMMYFUNCTION("""COMPUTED_VALUE"""),"Chardonnay Ch")</f>
        <v>Chardonnay Ch</v>
      </c>
      <c r="G1965" s="2">
        <f ca="1">IFERROR(__xludf.DUMMYFUNCTION("""COMPUTED_VALUE"""),28000)</f>
        <v>28000</v>
      </c>
      <c r="H1965" s="2">
        <f ca="1">IFERROR(__xludf.DUMMYFUNCTION("""COMPUTED_VALUE"""),33100)</f>
        <v>33100</v>
      </c>
      <c r="I1965" s="2"/>
      <c r="J1965" s="2"/>
      <c r="K1965" s="2" t="str">
        <f ca="1">IFERROR(__xludf.DUMMYFUNCTION("""COMPUTED_VALUE"""),"1er Trasiego")</f>
        <v>1er Trasiego</v>
      </c>
      <c r="L1965" s="2" t="str">
        <f ca="1">IFERROR(__xludf.DUMMYFUNCTION("""COMPUTED_VALUE"""),"1")</f>
        <v>1</v>
      </c>
      <c r="M1965" s="2" t="str">
        <f ca="1">IFERROR(__xludf.DUMMYFUNCTION("""COMPUTED_VALUE"""),"Blanco")</f>
        <v>Blanco</v>
      </c>
    </row>
    <row r="1966" spans="1:13" x14ac:dyDescent="0.25">
      <c r="A1966" s="2" t="str">
        <f ca="1">IFERROR(__xludf.DUMMYFUNCTION("""COMPUTED_VALUE"""),"903dff61")</f>
        <v>903dff61</v>
      </c>
      <c r="B1966" s="2"/>
      <c r="C1966" s="5">
        <f ca="1">IFERROR(__xludf.DUMMYFUNCTION("""COMPUTED_VALUE"""),46153.6955902777)</f>
        <v>46153.695590277697</v>
      </c>
      <c r="D1966" s="2">
        <f ca="1">IFERROR(__xludf.DUMMYFUNCTION("""COMPUTED_VALUE"""),121)</f>
        <v>121</v>
      </c>
      <c r="E1966" s="2">
        <f ca="1">IFERROR(__xludf.DUMMYFUNCTION("""COMPUTED_VALUE"""),85800)</f>
        <v>85800</v>
      </c>
      <c r="F1966" s="2" t="str">
        <f ca="1">IFERROR(__xludf.DUMMYFUNCTION("""COMPUTED_VALUE"""),"Chardonnay Ch")</f>
        <v>Chardonnay Ch</v>
      </c>
      <c r="G1966" s="2">
        <f ca="1">IFERROR(__xludf.DUMMYFUNCTION("""COMPUTED_VALUE"""),33100)</f>
        <v>33100</v>
      </c>
      <c r="H1966" s="2">
        <f ca="1">IFERROR(__xludf.DUMMYFUNCTION("""COMPUTED_VALUE"""),39700)</f>
        <v>39700</v>
      </c>
      <c r="I1966" s="2"/>
      <c r="J1966" s="2"/>
      <c r="K1966" s="2" t="str">
        <f ca="1">IFERROR(__xludf.DUMMYFUNCTION("""COMPUTED_VALUE"""),"1er Trasiego")</f>
        <v>1er Trasiego</v>
      </c>
      <c r="L1966" s="2" t="str">
        <f ca="1">IFERROR(__xludf.DUMMYFUNCTION("""COMPUTED_VALUE"""),"1")</f>
        <v>1</v>
      </c>
      <c r="M1966" s="2" t="str">
        <f ca="1">IFERROR(__xludf.DUMMYFUNCTION("""COMPUTED_VALUE"""),"Blanco")</f>
        <v>Blanco</v>
      </c>
    </row>
    <row r="1967" spans="1:13" x14ac:dyDescent="0.25">
      <c r="A1967" s="2" t="str">
        <f ca="1">IFERROR(__xludf.DUMMYFUNCTION("""COMPUTED_VALUE"""),"26b7e88e")</f>
        <v>26b7e88e</v>
      </c>
      <c r="B1967" s="2"/>
      <c r="C1967" s="5">
        <f ca="1">IFERROR(__xludf.DUMMYFUNCTION("""COMPUTED_VALUE"""),46153.6960648148)</f>
        <v>46153.696064814802</v>
      </c>
      <c r="D1967" s="2">
        <f ca="1">IFERROR(__xludf.DUMMYFUNCTION("""COMPUTED_VALUE"""),121)</f>
        <v>121</v>
      </c>
      <c r="E1967" s="2">
        <f ca="1">IFERROR(__xludf.DUMMYFUNCTION("""COMPUTED_VALUE"""),85800)</f>
        <v>85800</v>
      </c>
      <c r="F1967" s="2" t="str">
        <f ca="1">IFERROR(__xludf.DUMMYFUNCTION("""COMPUTED_VALUE"""),"Chardonnay Ch")</f>
        <v>Chardonnay Ch</v>
      </c>
      <c r="G1967" s="2">
        <f ca="1">IFERROR(__xludf.DUMMYFUNCTION("""COMPUTED_VALUE"""),39700)</f>
        <v>39700</v>
      </c>
      <c r="H1967" s="2">
        <f ca="1">IFERROR(__xludf.DUMMYFUNCTION("""COMPUTED_VALUE"""),46700)</f>
        <v>46700</v>
      </c>
      <c r="I1967" s="2"/>
      <c r="J1967" s="2"/>
      <c r="K1967" s="2" t="str">
        <f ca="1">IFERROR(__xludf.DUMMYFUNCTION("""COMPUTED_VALUE"""),"1er Trasiego")</f>
        <v>1er Trasiego</v>
      </c>
      <c r="L1967" s="2" t="str">
        <f ca="1">IFERROR(__xludf.DUMMYFUNCTION("""COMPUTED_VALUE"""),"1")</f>
        <v>1</v>
      </c>
      <c r="M1967" s="2" t="str">
        <f ca="1">IFERROR(__xludf.DUMMYFUNCTION("""COMPUTED_VALUE"""),"Blanco")</f>
        <v>Blanco</v>
      </c>
    </row>
    <row r="1968" spans="1:13" x14ac:dyDescent="0.25">
      <c r="A1968" s="2" t="str">
        <f ca="1">IFERROR(__xludf.DUMMYFUNCTION("""COMPUTED_VALUE"""),"fd6b0834")</f>
        <v>fd6b0834</v>
      </c>
      <c r="B1968" s="2"/>
      <c r="C1968" s="5">
        <f ca="1">IFERROR(__xludf.DUMMYFUNCTION("""COMPUTED_VALUE"""),46153.6965972222)</f>
        <v>46153.696597222202</v>
      </c>
      <c r="D1968" s="2">
        <f ca="1">IFERROR(__xludf.DUMMYFUNCTION("""COMPUTED_VALUE"""),121)</f>
        <v>121</v>
      </c>
      <c r="E1968" s="2">
        <f ca="1">IFERROR(__xludf.DUMMYFUNCTION("""COMPUTED_VALUE"""),85800)</f>
        <v>85800</v>
      </c>
      <c r="F1968" s="2" t="str">
        <f ca="1">IFERROR(__xludf.DUMMYFUNCTION("""COMPUTED_VALUE"""),"Chardonnay Salentein")</f>
        <v>Chardonnay Salentein</v>
      </c>
      <c r="G1968" s="2">
        <f ca="1">IFERROR(__xludf.DUMMYFUNCTION("""COMPUTED_VALUE"""),46700)</f>
        <v>46700</v>
      </c>
      <c r="H1968" s="2">
        <f ca="1">IFERROR(__xludf.DUMMYFUNCTION("""COMPUTED_VALUE"""),50400)</f>
        <v>50400</v>
      </c>
      <c r="I1968" s="2"/>
      <c r="J1968" s="2"/>
      <c r="K1968" s="2" t="str">
        <f ca="1">IFERROR(__xludf.DUMMYFUNCTION("""COMPUTED_VALUE"""),"1er Trasiego")</f>
        <v>1er Trasiego</v>
      </c>
      <c r="L1968" s="2" t="str">
        <f ca="1">IFERROR(__xludf.DUMMYFUNCTION("""COMPUTED_VALUE"""),"1")</f>
        <v>1</v>
      </c>
      <c r="M1968" s="2" t="str">
        <f ca="1">IFERROR(__xludf.DUMMYFUNCTION("""COMPUTED_VALUE"""),"Blanco")</f>
        <v>Blanco</v>
      </c>
    </row>
    <row r="1969" spans="1:13" x14ac:dyDescent="0.25">
      <c r="A1969" s="2" t="str">
        <f ca="1">IFERROR(__xludf.DUMMYFUNCTION("""COMPUTED_VALUE"""),"d174ba9b")</f>
        <v>d174ba9b</v>
      </c>
      <c r="B1969" s="2"/>
      <c r="C1969" s="5">
        <f ca="1">IFERROR(__xludf.DUMMYFUNCTION("""COMPUTED_VALUE"""),46153.6972222222)</f>
        <v>46153.697222222203</v>
      </c>
      <c r="D1969" s="2">
        <f ca="1">IFERROR(__xludf.DUMMYFUNCTION("""COMPUTED_VALUE"""),49)</f>
        <v>49</v>
      </c>
      <c r="E1969" s="2">
        <f ca="1">IFERROR(__xludf.DUMMYFUNCTION("""COMPUTED_VALUE"""),26000)</f>
        <v>26000</v>
      </c>
      <c r="F1969" s="2" t="str">
        <f ca="1">IFERROR(__xludf.DUMMYFUNCTION("""COMPUTED_VALUE"""),"Chardonnay")</f>
        <v>Chardonnay</v>
      </c>
      <c r="G1969" s="2">
        <f ca="1">IFERROR(__xludf.DUMMYFUNCTION("""COMPUTED_VALUE"""),5800)</f>
        <v>5800</v>
      </c>
      <c r="H1969" s="2">
        <f ca="1">IFERROR(__xludf.DUMMYFUNCTION("""COMPUTED_VALUE"""),12800)</f>
        <v>12800</v>
      </c>
      <c r="I1969" s="2"/>
      <c r="J1969" s="2"/>
      <c r="K1969" s="2" t="str">
        <f ca="1">IFERROR(__xludf.DUMMYFUNCTION("""COMPUTED_VALUE"""),"Descubada")</f>
        <v>Descubada</v>
      </c>
      <c r="L1969" s="2"/>
      <c r="M1969" s="2" t="str">
        <f ca="1">IFERROR(__xludf.DUMMYFUNCTION("""COMPUTED_VALUE"""),"Blanco")</f>
        <v>Blanco</v>
      </c>
    </row>
    <row r="1970" spans="1:13" x14ac:dyDescent="0.25">
      <c r="A1970" s="2" t="str">
        <f ca="1">IFERROR(__xludf.DUMMYFUNCTION("""COMPUTED_VALUE"""),"317ed02c")</f>
        <v>317ed02c</v>
      </c>
      <c r="B1970" s="2"/>
      <c r="C1970" s="5">
        <f ca="1">IFERROR(__xludf.DUMMYFUNCTION("""COMPUTED_VALUE"""),46155.4193518518)</f>
        <v>46155.4193518518</v>
      </c>
      <c r="D1970" s="2">
        <f ca="1">IFERROR(__xludf.DUMMYFUNCTION("""COMPUTED_VALUE"""),126)</f>
        <v>126</v>
      </c>
      <c r="E1970" s="2">
        <f ca="1">IFERROR(__xludf.DUMMYFUNCTION("""COMPUTED_VALUE"""),31000)</f>
        <v>31000</v>
      </c>
      <c r="F1970" s="2" t="str">
        <f ca="1">IFERROR(__xludf.DUMMYFUNCTION("""COMPUTED_VALUE"""),"Bonarda")</f>
        <v>Bonarda</v>
      </c>
      <c r="G1970" s="2">
        <f ca="1">IFERROR(__xludf.DUMMYFUNCTION("""COMPUTED_VALUE"""),0)</f>
        <v>0</v>
      </c>
      <c r="H1970" s="2">
        <f ca="1">IFERROR(__xludf.DUMMYFUNCTION("""COMPUTED_VALUE"""),22500)</f>
        <v>22500</v>
      </c>
      <c r="I1970" s="2"/>
      <c r="J1970" s="2"/>
      <c r="K1970" s="2" t="str">
        <f ca="1">IFERROR(__xludf.DUMMYFUNCTION("""COMPUTED_VALUE"""),"Descubada")</f>
        <v>Descubada</v>
      </c>
      <c r="L1970" s="2"/>
      <c r="M1970" s="2" t="str">
        <f ca="1">IFERROR(__xludf.DUMMYFUNCTION("""COMPUTED_VALUE"""),"Tinto")</f>
        <v>Tinto</v>
      </c>
    </row>
    <row r="1971" spans="1:13" x14ac:dyDescent="0.25">
      <c r="A1971" s="2" t="str">
        <f ca="1">IFERROR(__xludf.DUMMYFUNCTION("""COMPUTED_VALUE"""),"69dea9c1")</f>
        <v>69dea9c1</v>
      </c>
      <c r="B1971" s="2"/>
      <c r="C1971" s="5">
        <f ca="1">IFERROR(__xludf.DUMMYFUNCTION("""COMPUTED_VALUE"""),46155.4206828703)</f>
        <v>46155.420682870303</v>
      </c>
      <c r="D1971" s="2">
        <f ca="1">IFERROR(__xludf.DUMMYFUNCTION("""COMPUTED_VALUE"""),126)</f>
        <v>126</v>
      </c>
      <c r="E1971" s="2">
        <f ca="1">IFERROR(__xludf.DUMMYFUNCTION("""COMPUTED_VALUE"""),31000)</f>
        <v>31000</v>
      </c>
      <c r="F1971" s="2" t="str">
        <f ca="1">IFERROR(__xludf.DUMMYFUNCTION("""COMPUTED_VALUE"""),"Bonarda")</f>
        <v>Bonarda</v>
      </c>
      <c r="G1971" s="2">
        <f ca="1">IFERROR(__xludf.DUMMYFUNCTION("""COMPUTED_VALUE"""),22500)</f>
        <v>22500</v>
      </c>
      <c r="H1971" s="2">
        <f ca="1">IFERROR(__xludf.DUMMYFUNCTION("""COMPUTED_VALUE"""),31000)</f>
        <v>31000</v>
      </c>
      <c r="I1971" s="2"/>
      <c r="J1971" s="2"/>
      <c r="K1971" s="2" t="str">
        <f ca="1">IFERROR(__xludf.DUMMYFUNCTION("""COMPUTED_VALUE"""),"Descubada")</f>
        <v>Descubada</v>
      </c>
      <c r="L1971" s="2"/>
      <c r="M1971" s="2" t="str">
        <f ca="1">IFERROR(__xludf.DUMMYFUNCTION("""COMPUTED_VALUE"""),"Tinto")</f>
        <v>Tinto</v>
      </c>
    </row>
    <row r="1972" spans="1:13" x14ac:dyDescent="0.25">
      <c r="A1972" s="2" t="str">
        <f ca="1">IFERROR(__xludf.DUMMYFUNCTION("""COMPUTED_VALUE"""),"f97aa62d")</f>
        <v>f97aa62d</v>
      </c>
      <c r="B1972" s="2"/>
      <c r="C1972" s="5">
        <f ca="1">IFERROR(__xludf.DUMMYFUNCTION("""COMPUTED_VALUE"""),46155.421574074)</f>
        <v>46155.421574073996</v>
      </c>
      <c r="D1972" s="2">
        <f ca="1">IFERROR(__xludf.DUMMYFUNCTION("""COMPUTED_VALUE"""),79)</f>
        <v>79</v>
      </c>
      <c r="E1972" s="2">
        <f ca="1">IFERROR(__xludf.DUMMYFUNCTION("""COMPUTED_VALUE"""),26000)</f>
        <v>26000</v>
      </c>
      <c r="F1972" s="2" t="str">
        <f ca="1">IFERROR(__xludf.DUMMYFUNCTION("""COMPUTED_VALUE"""),"Bonarda")</f>
        <v>Bonarda</v>
      </c>
      <c r="G1972" s="2">
        <f ca="1">IFERROR(__xludf.DUMMYFUNCTION("""COMPUTED_VALUE"""),0)</f>
        <v>0</v>
      </c>
      <c r="H1972" s="2">
        <f ca="1">IFERROR(__xludf.DUMMYFUNCTION("""COMPUTED_VALUE"""),26000)</f>
        <v>26000</v>
      </c>
      <c r="I1972" s="2"/>
      <c r="J1972" s="2"/>
      <c r="K1972" s="2" t="str">
        <f ca="1">IFERROR(__xludf.DUMMYFUNCTION("""COMPUTED_VALUE"""),"Descubada")</f>
        <v>Descubada</v>
      </c>
      <c r="L1972" s="2" t="str">
        <f ca="1">IFERROR(__xludf.DUMMYFUNCTION("""COMPUTED_VALUE"""),"1-")</f>
        <v>1-</v>
      </c>
      <c r="M1972" s="2" t="str">
        <f ca="1">IFERROR(__xludf.DUMMYFUNCTION("""COMPUTED_VALUE"""),"Tinto")</f>
        <v>Tinto</v>
      </c>
    </row>
    <row r="1973" spans="1:13" x14ac:dyDescent="0.25">
      <c r="A1973" s="2" t="str">
        <f ca="1">IFERROR(__xludf.DUMMYFUNCTION("""COMPUTED_VALUE"""),"ac97825f")</f>
        <v>ac97825f</v>
      </c>
      <c r="B1973" s="2"/>
      <c r="C1973" s="5">
        <f ca="1">IFERROR(__xludf.DUMMYFUNCTION("""COMPUTED_VALUE"""),46155.4248958333)</f>
        <v>46155.424895833297</v>
      </c>
      <c r="D1973" s="2">
        <f ca="1">IFERROR(__xludf.DUMMYFUNCTION("""COMPUTED_VALUE"""),89)</f>
        <v>89</v>
      </c>
      <c r="E1973" s="2">
        <f ca="1">IFERROR(__xludf.DUMMYFUNCTION("""COMPUTED_VALUE"""),83500)</f>
        <v>83500</v>
      </c>
      <c r="F1973" s="2" t="str">
        <f ca="1">IFERROR(__xludf.DUMMYFUNCTION("""COMPUTED_VALUE"""),"Syrah Temp")</f>
        <v>Syrah Temp</v>
      </c>
      <c r="G1973" s="2">
        <f ca="1">IFERROR(__xludf.DUMMYFUNCTION("""COMPUTED_VALUE"""),76700)</f>
        <v>76700</v>
      </c>
      <c r="H1973" s="2">
        <f ca="1">IFERROR(__xludf.DUMMYFUNCTION("""COMPUTED_VALUE"""),83500)</f>
        <v>83500</v>
      </c>
      <c r="I1973" s="2"/>
      <c r="J1973" s="2"/>
      <c r="K1973" s="2" t="str">
        <f ca="1">IFERROR(__xludf.DUMMYFUNCTION("""COMPUTED_VALUE"""),"1er Trasiego")</f>
        <v>1er Trasiego</v>
      </c>
      <c r="L1973" s="2" t="str">
        <f ca="1">IFERROR(__xludf.DUMMYFUNCTION("""COMPUTED_VALUE"""),"1")</f>
        <v>1</v>
      </c>
      <c r="M1973" s="2" t="str">
        <f ca="1">IFERROR(__xludf.DUMMYFUNCTION("""COMPUTED_VALUE"""),"Tinto")</f>
        <v>Tinto</v>
      </c>
    </row>
    <row r="1974" spans="1:13" x14ac:dyDescent="0.25">
      <c r="A1974" s="2" t="str">
        <f ca="1">IFERROR(__xludf.DUMMYFUNCTION("""COMPUTED_VALUE"""),"62813463")</f>
        <v>62813463</v>
      </c>
      <c r="B1974" s="2"/>
      <c r="C1974" s="5">
        <f ca="1">IFERROR(__xludf.DUMMYFUNCTION("""COMPUTED_VALUE"""),46155.4253125)</f>
        <v>46155.425312500003</v>
      </c>
      <c r="D1974" s="2">
        <f ca="1">IFERROR(__xludf.DUMMYFUNCTION("""COMPUTED_VALUE"""),118)</f>
        <v>118</v>
      </c>
      <c r="E1974" s="2">
        <f ca="1">IFERROR(__xludf.DUMMYFUNCTION("""COMPUTED_VALUE"""),155600)</f>
        <v>155600</v>
      </c>
      <c r="F1974" s="2" t="str">
        <f ca="1">IFERROR(__xludf.DUMMYFUNCTION("""COMPUTED_VALUE"""),"Syrah")</f>
        <v>Syrah</v>
      </c>
      <c r="G1974" s="2">
        <f ca="1">IFERROR(__xludf.DUMMYFUNCTION("""COMPUTED_VALUE"""),0)</f>
        <v>0</v>
      </c>
      <c r="H1974" s="2">
        <f ca="1">IFERROR(__xludf.DUMMYFUNCTION("""COMPUTED_VALUE"""),118500)</f>
        <v>118500</v>
      </c>
      <c r="I1974" s="2"/>
      <c r="J1974" s="2"/>
      <c r="K1974" s="2" t="str">
        <f ca="1">IFERROR(__xludf.DUMMYFUNCTION("""COMPUTED_VALUE"""),"1er Trasiego")</f>
        <v>1er Trasiego</v>
      </c>
      <c r="L1974" s="2" t="str">
        <f ca="1">IFERROR(__xludf.DUMMYFUNCTION("""COMPUTED_VALUE"""),"1")</f>
        <v>1</v>
      </c>
      <c r="M1974" s="2" t="str">
        <f ca="1">IFERROR(__xludf.DUMMYFUNCTION("""COMPUTED_VALUE"""),"Tinto")</f>
        <v>Tinto</v>
      </c>
    </row>
    <row r="1975" spans="1:13" x14ac:dyDescent="0.25">
      <c r="A1975" s="2" t="str">
        <f ca="1">IFERROR(__xludf.DUMMYFUNCTION("""COMPUTED_VALUE"""),"37dfb150")</f>
        <v>37dfb150</v>
      </c>
      <c r="B1975" s="2"/>
      <c r="C1975" s="5">
        <f ca="1">IFERROR(__xludf.DUMMYFUNCTION("""COMPUTED_VALUE"""),46155.4257291666)</f>
        <v>46155.4257291666</v>
      </c>
      <c r="D1975" s="2">
        <f ca="1">IFERROR(__xludf.DUMMYFUNCTION("""COMPUTED_VALUE"""),118)</f>
        <v>118</v>
      </c>
      <c r="E1975" s="2">
        <f ca="1">IFERROR(__xludf.DUMMYFUNCTION("""COMPUTED_VALUE"""),155600)</f>
        <v>155600</v>
      </c>
      <c r="F1975" s="2" t="str">
        <f ca="1">IFERROR(__xludf.DUMMYFUNCTION("""COMPUTED_VALUE"""),"Syrah")</f>
        <v>Syrah</v>
      </c>
      <c r="G1975" s="2">
        <f ca="1">IFERROR(__xludf.DUMMYFUNCTION("""COMPUTED_VALUE"""),118500)</f>
        <v>118500</v>
      </c>
      <c r="H1975" s="2">
        <f ca="1">IFERROR(__xludf.DUMMYFUNCTION("""COMPUTED_VALUE"""),155600)</f>
        <v>155600</v>
      </c>
      <c r="I1975" s="2"/>
      <c r="J1975" s="2"/>
      <c r="K1975" s="2" t="str">
        <f ca="1">IFERROR(__xludf.DUMMYFUNCTION("""COMPUTED_VALUE"""),"1er Trasiego")</f>
        <v>1er Trasiego</v>
      </c>
      <c r="L1975" s="2" t="str">
        <f ca="1">IFERROR(__xludf.DUMMYFUNCTION("""COMPUTED_VALUE"""),"1")</f>
        <v>1</v>
      </c>
      <c r="M1975" s="2" t="str">
        <f ca="1">IFERROR(__xludf.DUMMYFUNCTION("""COMPUTED_VALUE"""),"Tinto")</f>
        <v>Tinto</v>
      </c>
    </row>
    <row r="1976" spans="1:13" x14ac:dyDescent="0.25">
      <c r="A1976" s="2" t="str">
        <f ca="1">IFERROR(__xludf.DUMMYFUNCTION("""COMPUTED_VALUE"""),"b72aa464")</f>
        <v>b72aa464</v>
      </c>
      <c r="B1976" s="2"/>
      <c r="C1976" s="5">
        <f ca="1">IFERROR(__xludf.DUMMYFUNCTION("""COMPUTED_VALUE"""),46155.4260069444)</f>
        <v>46155.426006944399</v>
      </c>
      <c r="D1976" s="2">
        <f ca="1">IFERROR(__xludf.DUMMYFUNCTION("""COMPUTED_VALUE"""),114)</f>
        <v>114</v>
      </c>
      <c r="E1976" s="2">
        <f ca="1">IFERROR(__xludf.DUMMYFUNCTION("""COMPUTED_VALUE"""),125300)</f>
        <v>125300</v>
      </c>
      <c r="F1976" s="2" t="str">
        <f ca="1">IFERROR(__xludf.DUMMYFUNCTION("""COMPUTED_VALUE"""),"Syrah")</f>
        <v>Syrah</v>
      </c>
      <c r="G1976" s="2">
        <f ca="1">IFERROR(__xludf.DUMMYFUNCTION("""COMPUTED_VALUE"""),0)</f>
        <v>0</v>
      </c>
      <c r="H1976" s="2">
        <f ca="1">IFERROR(__xludf.DUMMYFUNCTION("""COMPUTED_VALUE"""),83100)</f>
        <v>83100</v>
      </c>
      <c r="I1976" s="2"/>
      <c r="J1976" s="2"/>
      <c r="K1976" s="2" t="str">
        <f ca="1">IFERROR(__xludf.DUMMYFUNCTION("""COMPUTED_VALUE"""),"1er Trasiego")</f>
        <v>1er Trasiego</v>
      </c>
      <c r="L1976" s="2" t="str">
        <f ca="1">IFERROR(__xludf.DUMMYFUNCTION("""COMPUTED_VALUE"""),"1+")</f>
        <v>1+</v>
      </c>
      <c r="M1976" s="2" t="str">
        <f ca="1">IFERROR(__xludf.DUMMYFUNCTION("""COMPUTED_VALUE"""),"Tinto")</f>
        <v>Tinto</v>
      </c>
    </row>
    <row r="1977" spans="1:13" x14ac:dyDescent="0.25">
      <c r="A1977" s="2" t="str">
        <f ca="1">IFERROR(__xludf.DUMMYFUNCTION("""COMPUTED_VALUE"""),"eb6cf98d")</f>
        <v>eb6cf98d</v>
      </c>
      <c r="B1977" s="2"/>
      <c r="C1977" s="5">
        <f ca="1">IFERROR(__xludf.DUMMYFUNCTION("""COMPUTED_VALUE"""),46155.4264814814)</f>
        <v>46155.426481481401</v>
      </c>
      <c r="D1977" s="2">
        <f ca="1">IFERROR(__xludf.DUMMYFUNCTION("""COMPUTED_VALUE"""),114)</f>
        <v>114</v>
      </c>
      <c r="E1977" s="2">
        <f ca="1">IFERROR(__xludf.DUMMYFUNCTION("""COMPUTED_VALUE"""),125300)</f>
        <v>125300</v>
      </c>
      <c r="F1977" s="2" t="str">
        <f ca="1">IFERROR(__xludf.DUMMYFUNCTION("""COMPUTED_VALUE"""),"Syrah")</f>
        <v>Syrah</v>
      </c>
      <c r="G1977" s="2">
        <f ca="1">IFERROR(__xludf.DUMMYFUNCTION("""COMPUTED_VALUE"""),83100)</f>
        <v>83100</v>
      </c>
      <c r="H1977" s="2">
        <f ca="1">IFERROR(__xludf.DUMMYFUNCTION("""COMPUTED_VALUE"""),125300)</f>
        <v>125300</v>
      </c>
      <c r="I1977" s="2"/>
      <c r="J1977" s="2"/>
      <c r="K1977" s="2" t="str">
        <f ca="1">IFERROR(__xludf.DUMMYFUNCTION("""COMPUTED_VALUE"""),"1er Trasiego")</f>
        <v>1er Trasiego</v>
      </c>
      <c r="L1977" s="2" t="str">
        <f ca="1">IFERROR(__xludf.DUMMYFUNCTION("""COMPUTED_VALUE"""),"1+")</f>
        <v>1+</v>
      </c>
      <c r="M1977" s="2" t="str">
        <f ca="1">IFERROR(__xludf.DUMMYFUNCTION("""COMPUTED_VALUE"""),"Tinto")</f>
        <v>Tinto</v>
      </c>
    </row>
    <row r="1978" spans="1:13" x14ac:dyDescent="0.25">
      <c r="A1978" s="2" t="str">
        <f ca="1">IFERROR(__xludf.DUMMYFUNCTION("""COMPUTED_VALUE"""),"b014e9e9")</f>
        <v>b014e9e9</v>
      </c>
      <c r="B1978" s="2"/>
      <c r="C1978" s="5">
        <f ca="1">IFERROR(__xludf.DUMMYFUNCTION("""COMPUTED_VALUE"""),46155.4520717592)</f>
        <v>46155.452071759202</v>
      </c>
      <c r="D1978" s="2">
        <f ca="1">IFERROR(__xludf.DUMMYFUNCTION("""COMPUTED_VALUE"""),30)</f>
        <v>30</v>
      </c>
      <c r="E1978" s="2">
        <f ca="1">IFERROR(__xludf.DUMMYFUNCTION("""COMPUTED_VALUE"""),38800)</f>
        <v>38800</v>
      </c>
      <c r="F1978" s="2" t="str">
        <f ca="1">IFERROR(__xludf.DUMMYFUNCTION("""COMPUTED_VALUE"""),"Chardonnay Ch")</f>
        <v>Chardonnay Ch</v>
      </c>
      <c r="G1978" s="2">
        <f ca="1">IFERROR(__xludf.DUMMYFUNCTION("""COMPUTED_VALUE"""),18800)</f>
        <v>18800</v>
      </c>
      <c r="H1978" s="2">
        <f ca="1">IFERROR(__xludf.DUMMYFUNCTION("""COMPUTED_VALUE"""),24400)</f>
        <v>24400</v>
      </c>
      <c r="I1978" s="2"/>
      <c r="J1978" s="2"/>
      <c r="K1978" s="2" t="str">
        <f ca="1">IFERROR(__xludf.DUMMYFUNCTION("""COMPUTED_VALUE"""),"Descubada")</f>
        <v>Descubada</v>
      </c>
      <c r="L1978" s="2" t="str">
        <f ca="1">IFERROR(__xludf.DUMMYFUNCTION("""COMPUTED_VALUE"""),"1")</f>
        <v>1</v>
      </c>
      <c r="M1978" s="2" t="str">
        <f ca="1">IFERROR(__xludf.DUMMYFUNCTION("""COMPUTED_VALUE"""),"Blanco")</f>
        <v>Blanco</v>
      </c>
    </row>
    <row r="1979" spans="1:13" x14ac:dyDescent="0.25">
      <c r="A1979" s="2" t="str">
        <f ca="1">IFERROR(__xludf.DUMMYFUNCTION("""COMPUTED_VALUE"""),"9d672e58")</f>
        <v>9d672e58</v>
      </c>
      <c r="B1979" s="2"/>
      <c r="C1979" s="5">
        <f ca="1">IFERROR(__xludf.DUMMYFUNCTION("""COMPUTED_VALUE"""),46155.4524768518)</f>
        <v>46155.452476851802</v>
      </c>
      <c r="D1979" s="2">
        <f ca="1">IFERROR(__xludf.DUMMYFUNCTION("""COMPUTED_VALUE"""),30)</f>
        <v>30</v>
      </c>
      <c r="E1979" s="2">
        <f ca="1">IFERROR(__xludf.DUMMYFUNCTION("""COMPUTED_VALUE"""),38800)</f>
        <v>38800</v>
      </c>
      <c r="F1979" s="2" t="str">
        <f ca="1">IFERROR(__xludf.DUMMYFUNCTION("""COMPUTED_VALUE"""),"Chardonnay Ch")</f>
        <v>Chardonnay Ch</v>
      </c>
      <c r="G1979" s="2">
        <f ca="1">IFERROR(__xludf.DUMMYFUNCTION("""COMPUTED_VALUE"""),24400)</f>
        <v>24400</v>
      </c>
      <c r="H1979" s="2">
        <f ca="1">IFERROR(__xludf.DUMMYFUNCTION("""COMPUTED_VALUE"""),37400)</f>
        <v>37400</v>
      </c>
      <c r="I1979" s="2"/>
      <c r="J1979" s="2"/>
      <c r="K1979" s="2" t="str">
        <f ca="1">IFERROR(__xludf.DUMMYFUNCTION("""COMPUTED_VALUE"""),"Descubada")</f>
        <v>Descubada</v>
      </c>
      <c r="L1979" s="2" t="str">
        <f ca="1">IFERROR(__xludf.DUMMYFUNCTION("""COMPUTED_VALUE"""),"1")</f>
        <v>1</v>
      </c>
      <c r="M1979" s="2" t="str">
        <f ca="1">IFERROR(__xludf.DUMMYFUNCTION("""COMPUTED_VALUE"""),"Blanco")</f>
        <v>Blanco</v>
      </c>
    </row>
    <row r="1980" spans="1:13" x14ac:dyDescent="0.25">
      <c r="A1980" s="2" t="str">
        <f ca="1">IFERROR(__xludf.DUMMYFUNCTION("""COMPUTED_VALUE"""),"ed08a2c0")</f>
        <v>ed08a2c0</v>
      </c>
      <c r="B1980" s="2"/>
      <c r="C1980" s="5">
        <f ca="1">IFERROR(__xludf.DUMMYFUNCTION("""COMPUTED_VALUE"""),46155.4545023148)</f>
        <v>46155.454502314802</v>
      </c>
      <c r="D1980" s="2">
        <f ca="1">IFERROR(__xludf.DUMMYFUNCTION("""COMPUTED_VALUE"""),33)</f>
        <v>33</v>
      </c>
      <c r="E1980" s="2">
        <f ca="1">IFERROR(__xludf.DUMMYFUNCTION("""COMPUTED_VALUE"""),25300)</f>
        <v>25300</v>
      </c>
      <c r="F1980" s="2" t="str">
        <f ca="1">IFERROR(__xludf.DUMMYFUNCTION("""COMPUTED_VALUE"""),"Chardonnay")</f>
        <v>Chardonnay</v>
      </c>
      <c r="G1980" s="2">
        <f ca="1">IFERROR(__xludf.DUMMYFUNCTION("""COMPUTED_VALUE"""),18700)</f>
        <v>18700</v>
      </c>
      <c r="H1980" s="2">
        <f ca="1">IFERROR(__xludf.DUMMYFUNCTION("""COMPUTED_VALUE"""),25300)</f>
        <v>25300</v>
      </c>
      <c r="I1980" s="2"/>
      <c r="J1980" s="2"/>
      <c r="K1980" s="2" t="str">
        <f ca="1">IFERROR(__xludf.DUMMYFUNCTION("""COMPUTED_VALUE"""),"Descubada")</f>
        <v>Descubada</v>
      </c>
      <c r="L1980" s="2" t="str">
        <f ca="1">IFERROR(__xludf.DUMMYFUNCTION("""COMPUTED_VALUE"""),"1+")</f>
        <v>1+</v>
      </c>
      <c r="M1980" s="2" t="str">
        <f ca="1">IFERROR(__xludf.DUMMYFUNCTION("""COMPUTED_VALUE"""),"Blanco")</f>
        <v>Blanco</v>
      </c>
    </row>
    <row r="1981" spans="1:13" x14ac:dyDescent="0.25">
      <c r="A1981" s="2" t="str">
        <f ca="1">IFERROR(__xludf.DUMMYFUNCTION("""COMPUTED_VALUE"""),"13feafe6")</f>
        <v>13feafe6</v>
      </c>
      <c r="B1981" s="2"/>
      <c r="C1981" s="5">
        <f ca="1">IFERROR(__xludf.DUMMYFUNCTION("""COMPUTED_VALUE"""),46155.4551736111)</f>
        <v>46155.455173611103</v>
      </c>
      <c r="D1981" s="2">
        <f ca="1">IFERROR(__xludf.DUMMYFUNCTION("""COMPUTED_VALUE"""),44)</f>
        <v>44</v>
      </c>
      <c r="E1981" s="2">
        <f ca="1">IFERROR(__xludf.DUMMYFUNCTION("""COMPUTED_VALUE"""),19100)</f>
        <v>19100</v>
      </c>
      <c r="F1981" s="2" t="str">
        <f ca="1">IFERROR(__xludf.DUMMYFUNCTION("""COMPUTED_VALUE"""),"Chardonnay")</f>
        <v>Chardonnay</v>
      </c>
      <c r="G1981" s="2">
        <f ca="1">IFERROR(__xludf.DUMMYFUNCTION("""COMPUTED_VALUE"""),9500)</f>
        <v>9500</v>
      </c>
      <c r="H1981" s="2">
        <f ca="1">IFERROR(__xludf.DUMMYFUNCTION("""COMPUTED_VALUE"""),15700)</f>
        <v>15700</v>
      </c>
      <c r="I1981" s="2"/>
      <c r="J1981" s="2"/>
      <c r="K1981" s="2" t="str">
        <f ca="1">IFERROR(__xludf.DUMMYFUNCTION("""COMPUTED_VALUE"""),"1er Trasiego")</f>
        <v>1er Trasiego</v>
      </c>
      <c r="L1981" s="2"/>
      <c r="M1981" s="2" t="str">
        <f ca="1">IFERROR(__xludf.DUMMYFUNCTION("""COMPUTED_VALUE"""),"Blanco")</f>
        <v>Blanco</v>
      </c>
    </row>
    <row r="1982" spans="1:13" x14ac:dyDescent="0.25">
      <c r="A1982" s="2" t="str">
        <f ca="1">IFERROR(__xludf.DUMMYFUNCTION("""COMPUTED_VALUE"""),"4a70a363")</f>
        <v>4a70a363</v>
      </c>
      <c r="B1982" s="2"/>
      <c r="C1982" s="5">
        <f ca="1">IFERROR(__xludf.DUMMYFUNCTION("""COMPUTED_VALUE"""),46155.4554629629)</f>
        <v>46155.455462962898</v>
      </c>
      <c r="D1982" s="2">
        <f ca="1">IFERROR(__xludf.DUMMYFUNCTION("""COMPUTED_VALUE"""),44)</f>
        <v>44</v>
      </c>
      <c r="E1982" s="2">
        <f ca="1">IFERROR(__xludf.DUMMYFUNCTION("""COMPUTED_VALUE"""),19100)</f>
        <v>19100</v>
      </c>
      <c r="F1982" s="2" t="str">
        <f ca="1">IFERROR(__xludf.DUMMYFUNCTION("""COMPUTED_VALUE"""),"Chardonnay")</f>
        <v>Chardonnay</v>
      </c>
      <c r="G1982" s="2">
        <f ca="1">IFERROR(__xludf.DUMMYFUNCTION("""COMPUTED_VALUE"""),15700)</f>
        <v>15700</v>
      </c>
      <c r="H1982" s="2">
        <f ca="1">IFERROR(__xludf.DUMMYFUNCTION("""COMPUTED_VALUE"""),19100)</f>
        <v>19100</v>
      </c>
      <c r="I1982" s="2"/>
      <c r="J1982" s="2"/>
      <c r="K1982" s="2" t="str">
        <f ca="1">IFERROR(__xludf.DUMMYFUNCTION("""COMPUTED_VALUE"""),"1er Trasiego")</f>
        <v>1er Trasiego</v>
      </c>
      <c r="L1982" s="2" t="str">
        <f ca="1">IFERROR(__xludf.DUMMYFUNCTION("""COMPUTED_VALUE"""),"1")</f>
        <v>1</v>
      </c>
      <c r="M1982" s="2" t="str">
        <f ca="1">IFERROR(__xludf.DUMMYFUNCTION("""COMPUTED_VALUE"""),"Blanco")</f>
        <v>Blanco</v>
      </c>
    </row>
    <row r="1983" spans="1:13" x14ac:dyDescent="0.25">
      <c r="A1983" s="2" t="str">
        <f ca="1">IFERROR(__xludf.DUMMYFUNCTION("""COMPUTED_VALUE"""),"92f3b287")</f>
        <v>92f3b287</v>
      </c>
      <c r="B1983" s="2"/>
      <c r="C1983" s="5">
        <f ca="1">IFERROR(__xludf.DUMMYFUNCTION("""COMPUTED_VALUE"""),46155.4557291666)</f>
        <v>46155.455729166599</v>
      </c>
      <c r="D1983" s="2">
        <f ca="1">IFERROR(__xludf.DUMMYFUNCTION("""COMPUTED_VALUE"""),72)</f>
        <v>72</v>
      </c>
      <c r="E1983" s="2">
        <f ca="1">IFERROR(__xludf.DUMMYFUNCTION("""COMPUTED_VALUE"""),13000)</f>
        <v>13000</v>
      </c>
      <c r="F1983" s="2" t="str">
        <f ca="1">IFERROR(__xludf.DUMMYFUNCTION("""COMPUTED_VALUE"""),"Chardonnay")</f>
        <v>Chardonnay</v>
      </c>
      <c r="G1983" s="2">
        <f ca="1">IFERROR(__xludf.DUMMYFUNCTION("""COMPUTED_VALUE"""),0)</f>
        <v>0</v>
      </c>
      <c r="H1983" s="2">
        <f ca="1">IFERROR(__xludf.DUMMYFUNCTION("""COMPUTED_VALUE"""),7400)</f>
        <v>7400</v>
      </c>
      <c r="I1983" s="2"/>
      <c r="J1983" s="2"/>
      <c r="K1983" s="2" t="str">
        <f ca="1">IFERROR(__xludf.DUMMYFUNCTION("""COMPUTED_VALUE"""),"1er Trasiego")</f>
        <v>1er Trasiego</v>
      </c>
      <c r="L1983" s="2"/>
      <c r="M1983" s="2" t="str">
        <f ca="1">IFERROR(__xludf.DUMMYFUNCTION("""COMPUTED_VALUE"""),"Blanco")</f>
        <v>Blanco</v>
      </c>
    </row>
    <row r="1984" spans="1:13" x14ac:dyDescent="0.25">
      <c r="A1984" s="2" t="str">
        <f ca="1">IFERROR(__xludf.DUMMYFUNCTION("""COMPUTED_VALUE"""),"794ce23f")</f>
        <v>794ce23f</v>
      </c>
      <c r="B1984" s="2"/>
      <c r="C1984" s="5">
        <f ca="1">IFERROR(__xludf.DUMMYFUNCTION("""COMPUTED_VALUE"""),46155.4559259259)</f>
        <v>46155.455925925897</v>
      </c>
      <c r="D1984" s="2">
        <f ca="1">IFERROR(__xludf.DUMMYFUNCTION("""COMPUTED_VALUE"""),72)</f>
        <v>72</v>
      </c>
      <c r="E1984" s="2">
        <f ca="1">IFERROR(__xludf.DUMMYFUNCTION("""COMPUTED_VALUE"""),13000)</f>
        <v>13000</v>
      </c>
      <c r="F1984" s="2" t="str">
        <f ca="1">IFERROR(__xludf.DUMMYFUNCTION("""COMPUTED_VALUE"""),"Chardonnay")</f>
        <v>Chardonnay</v>
      </c>
      <c r="G1984" s="2">
        <f ca="1">IFERROR(__xludf.DUMMYFUNCTION("""COMPUTED_VALUE"""),7400)</f>
        <v>7400</v>
      </c>
      <c r="H1984" s="2">
        <f ca="1">IFERROR(__xludf.DUMMYFUNCTION("""COMPUTED_VALUE"""),13000)</f>
        <v>13000</v>
      </c>
      <c r="I1984" s="2"/>
      <c r="J1984" s="2"/>
      <c r="K1984" s="2" t="str">
        <f ca="1">IFERROR(__xludf.DUMMYFUNCTION("""COMPUTED_VALUE"""),"1er Trasiego")</f>
        <v>1er Trasiego</v>
      </c>
      <c r="L1984" s="2" t="str">
        <f ca="1">IFERROR(__xludf.DUMMYFUNCTION("""COMPUTED_VALUE"""),"1")</f>
        <v>1</v>
      </c>
      <c r="M1984" s="2" t="str">
        <f ca="1">IFERROR(__xludf.DUMMYFUNCTION("""COMPUTED_VALUE"""),"Blanco")</f>
        <v>Blanco</v>
      </c>
    </row>
    <row r="1985" spans="1:13" x14ac:dyDescent="0.25">
      <c r="A1985" s="2" t="str">
        <f ca="1">IFERROR(__xludf.DUMMYFUNCTION("""COMPUTED_VALUE"""),"e2480819")</f>
        <v>e2480819</v>
      </c>
      <c r="B1985" s="2"/>
      <c r="C1985" s="5">
        <f ca="1">IFERROR(__xludf.DUMMYFUNCTION("""COMPUTED_VALUE"""),46155.4567592592)</f>
        <v>46155.456759259199</v>
      </c>
      <c r="D1985" s="2"/>
      <c r="E1985" s="2"/>
      <c r="F1985" s="2" t="str">
        <f ca="1">IFERROR(__xludf.DUMMYFUNCTION("""COMPUTED_VALUE"""),"Chardonnay Salentein")</f>
        <v>Chardonnay Salentein</v>
      </c>
      <c r="G1985" s="2"/>
      <c r="H1985" s="2">
        <f ca="1">IFERROR(__xludf.DUMMYFUNCTION("""COMPUTED_VALUE"""),50400)</f>
        <v>50400</v>
      </c>
      <c r="I1985" s="2"/>
      <c r="J1985" s="2"/>
      <c r="K1985" s="2" t="str">
        <f ca="1">IFERROR(__xludf.DUMMYFUNCTION("""COMPUTED_VALUE"""),"Traslado Venta")</f>
        <v>Traslado Venta</v>
      </c>
      <c r="L1985" s="2" t="str">
        <f ca="1">IFERROR(__xludf.DUMMYFUNCTION("""COMPUTED_VALUE"""),"1")</f>
        <v>1</v>
      </c>
      <c r="M1985" s="2" t="str">
        <f ca="1">IFERROR(__xludf.DUMMYFUNCTION("""COMPUTED_VALUE"""),"Blanco")</f>
        <v>Blanco</v>
      </c>
    </row>
    <row r="1986" spans="1:13" x14ac:dyDescent="0.25">
      <c r="A1986" s="2" t="str">
        <f ca="1">IFERROR(__xludf.DUMMYFUNCTION("""COMPUTED_VALUE"""),"7925389c")</f>
        <v>7925389c</v>
      </c>
      <c r="B1986" s="2"/>
      <c r="C1986" s="5">
        <f ca="1">IFERROR(__xludf.DUMMYFUNCTION("""COMPUTED_VALUE"""),46155.5137384259)</f>
        <v>46155.5137384259</v>
      </c>
      <c r="D1986" s="2">
        <f ca="1">IFERROR(__xludf.DUMMYFUNCTION("""COMPUTED_VALUE"""),30)</f>
        <v>30</v>
      </c>
      <c r="E1986" s="2">
        <f ca="1">IFERROR(__xludf.DUMMYFUNCTION("""COMPUTED_VALUE"""),38800)</f>
        <v>38800</v>
      </c>
      <c r="F1986" s="2" t="str">
        <f ca="1">IFERROR(__xludf.DUMMYFUNCTION("""COMPUTED_VALUE"""),"Chardonnay Ch")</f>
        <v>Chardonnay Ch</v>
      </c>
      <c r="G1986" s="2">
        <f ca="1">IFERROR(__xludf.DUMMYFUNCTION("""COMPUTED_VALUE"""),37400)</f>
        <v>37400</v>
      </c>
      <c r="H1986" s="2">
        <f ca="1">IFERROR(__xludf.DUMMYFUNCTION("""COMPUTED_VALUE"""),38800)</f>
        <v>38800</v>
      </c>
      <c r="I1986" s="2"/>
      <c r="J1986" s="2"/>
      <c r="K1986" s="2" t="str">
        <f ca="1">IFERROR(__xludf.DUMMYFUNCTION("""COMPUTED_VALUE"""),"Descubada")</f>
        <v>Descubada</v>
      </c>
      <c r="L1986" s="2" t="str">
        <f ca="1">IFERROR(__xludf.DUMMYFUNCTION("""COMPUTED_VALUE"""),"1")</f>
        <v>1</v>
      </c>
      <c r="M1986" s="2" t="str">
        <f ca="1">IFERROR(__xludf.DUMMYFUNCTION("""COMPUTED_VALUE"""),"Blanco")</f>
        <v>Blanco</v>
      </c>
    </row>
    <row r="1987" spans="1:13" x14ac:dyDescent="0.25">
      <c r="A1987" s="2" t="str">
        <f ca="1">IFERROR(__xludf.DUMMYFUNCTION("""COMPUTED_VALUE"""),"88061827")</f>
        <v>88061827</v>
      </c>
      <c r="B1987" s="2"/>
      <c r="C1987" s="5">
        <f ca="1">IFERROR(__xludf.DUMMYFUNCTION("""COMPUTED_VALUE"""),46155.5140046296)</f>
        <v>46155.5140046296</v>
      </c>
      <c r="D1987" s="2">
        <f ca="1">IFERROR(__xludf.DUMMYFUNCTION("""COMPUTED_VALUE"""),40)</f>
        <v>40</v>
      </c>
      <c r="E1987" s="2">
        <f ca="1">IFERROR(__xludf.DUMMYFUNCTION("""COMPUTED_VALUE"""),24000)</f>
        <v>24000</v>
      </c>
      <c r="F1987" s="2" t="str">
        <f ca="1">IFERROR(__xludf.DUMMYFUNCTION("""COMPUTED_VALUE"""),"Chardonnay")</f>
        <v>Chardonnay</v>
      </c>
      <c r="G1987" s="2">
        <f ca="1">IFERROR(__xludf.DUMMYFUNCTION("""COMPUTED_VALUE"""),0)</f>
        <v>0</v>
      </c>
      <c r="H1987" s="2">
        <f ca="1">IFERROR(__xludf.DUMMYFUNCTION("""COMPUTED_VALUE"""),2800)</f>
        <v>2800</v>
      </c>
      <c r="I1987" s="2"/>
      <c r="J1987" s="2"/>
      <c r="K1987" s="2" t="str">
        <f ca="1">IFERROR(__xludf.DUMMYFUNCTION("""COMPUTED_VALUE"""),"1er Trasiego")</f>
        <v>1er Trasiego</v>
      </c>
      <c r="L1987" s="2" t="str">
        <f ca="1">IFERROR(__xludf.DUMMYFUNCTION("""COMPUTED_VALUE"""),"1")</f>
        <v>1</v>
      </c>
      <c r="M1987" s="2" t="str">
        <f ca="1">IFERROR(__xludf.DUMMYFUNCTION("""COMPUTED_VALUE"""),"Blanco")</f>
        <v>Blanco</v>
      </c>
    </row>
    <row r="1988" spans="1:13" x14ac:dyDescent="0.25">
      <c r="A1988" s="2" t="str">
        <f ca="1">IFERROR(__xludf.DUMMYFUNCTION("""COMPUTED_VALUE"""),"d094cdee")</f>
        <v>d094cdee</v>
      </c>
      <c r="B1988" s="2"/>
      <c r="C1988" s="5">
        <f ca="1">IFERROR(__xludf.DUMMYFUNCTION("""COMPUTED_VALUE"""),46155.5147569444)</f>
        <v>46155.514756944402</v>
      </c>
      <c r="D1988" s="2">
        <f ca="1">IFERROR(__xludf.DUMMYFUNCTION("""COMPUTED_VALUE"""),76)</f>
        <v>76</v>
      </c>
      <c r="E1988" s="2">
        <f ca="1">IFERROR(__xludf.DUMMYFUNCTION("""COMPUTED_VALUE"""),25500)</f>
        <v>25500</v>
      </c>
      <c r="F1988" s="2" t="str">
        <f ca="1">IFERROR(__xludf.DUMMYFUNCTION("""COMPUTED_VALUE"""),"Bonarda")</f>
        <v>Bonarda</v>
      </c>
      <c r="G1988" s="2">
        <f ca="1">IFERROR(__xludf.DUMMYFUNCTION("""COMPUTED_VALUE"""),0)</f>
        <v>0</v>
      </c>
      <c r="H1988" s="2">
        <f ca="1">IFERROR(__xludf.DUMMYFUNCTION("""COMPUTED_VALUE"""),17500)</f>
        <v>17500</v>
      </c>
      <c r="I1988" s="2"/>
      <c r="J1988" s="2"/>
      <c r="K1988" s="2" t="str">
        <f ca="1">IFERROR(__xludf.DUMMYFUNCTION("""COMPUTED_VALUE"""),"Descubada")</f>
        <v>Descubada</v>
      </c>
      <c r="L1988" s="2" t="str">
        <f ca="1">IFERROR(__xludf.DUMMYFUNCTION("""COMPUTED_VALUE"""),"1-")</f>
        <v>1-</v>
      </c>
      <c r="M1988" s="2" t="str">
        <f ca="1">IFERROR(__xludf.DUMMYFUNCTION("""COMPUTED_VALUE"""),"Tinto")</f>
        <v>Tinto</v>
      </c>
    </row>
    <row r="1989" spans="1:13" x14ac:dyDescent="0.25">
      <c r="A1989" s="2" t="str">
        <f ca="1">IFERROR(__xludf.DUMMYFUNCTION("""COMPUTED_VALUE"""),"8335a590")</f>
        <v>8335a590</v>
      </c>
      <c r="B1989" s="2"/>
      <c r="C1989" s="5">
        <f ca="1">IFERROR(__xludf.DUMMYFUNCTION("""COMPUTED_VALUE"""),46157.4404629629)</f>
        <v>46157.440462962899</v>
      </c>
      <c r="D1989" s="2">
        <f ca="1">IFERROR(__xludf.DUMMYFUNCTION("""COMPUTED_VALUE"""),49)</f>
        <v>49</v>
      </c>
      <c r="E1989" s="2">
        <f ca="1">IFERROR(__xludf.DUMMYFUNCTION("""COMPUTED_VALUE"""),26000)</f>
        <v>26000</v>
      </c>
      <c r="F1989" s="2" t="str">
        <f ca="1">IFERROR(__xludf.DUMMYFUNCTION("""COMPUTED_VALUE"""),"Chardonnay Reac")</f>
        <v>Chardonnay Reac</v>
      </c>
      <c r="G1989" s="2">
        <f ca="1">IFERROR(__xludf.DUMMYFUNCTION("""COMPUTED_VALUE"""),0)</f>
        <v>0</v>
      </c>
      <c r="H1989" s="2">
        <f ca="1">IFERROR(__xludf.DUMMYFUNCTION("""COMPUTED_VALUE"""),26000)</f>
        <v>26000</v>
      </c>
      <c r="I1989" s="2"/>
      <c r="J1989" s="2"/>
      <c r="K1989" s="2" t="str">
        <f ca="1">IFERROR(__xludf.DUMMYFUNCTION("""COMPUTED_VALUE"""),"1er Trasiego")</f>
        <v>1er Trasiego</v>
      </c>
      <c r="L1989" s="2" t="str">
        <f ca="1">IFERROR(__xludf.DUMMYFUNCTION("""COMPUTED_VALUE"""),"1")</f>
        <v>1</v>
      </c>
      <c r="M1989" s="2" t="str">
        <f ca="1">IFERROR(__xludf.DUMMYFUNCTION("""COMPUTED_VALUE"""),"Blanco")</f>
        <v>Blanco</v>
      </c>
    </row>
    <row r="1990" spans="1:13" x14ac:dyDescent="0.25">
      <c r="A1990" s="2" t="str">
        <f ca="1">IFERROR(__xludf.DUMMYFUNCTION("""COMPUTED_VALUE"""),"1f31c1f9")</f>
        <v>1f31c1f9</v>
      </c>
      <c r="B1990" s="2"/>
      <c r="C1990" s="5">
        <f ca="1">IFERROR(__xludf.DUMMYFUNCTION("""COMPUTED_VALUE"""),46157.4409953703)</f>
        <v>46157.4409953703</v>
      </c>
      <c r="D1990" s="2">
        <f ca="1">IFERROR(__xludf.DUMMYFUNCTION("""COMPUTED_VALUE"""),40)</f>
        <v>40</v>
      </c>
      <c r="E1990" s="2">
        <f ca="1">IFERROR(__xludf.DUMMYFUNCTION("""COMPUTED_VALUE"""),24000)</f>
        <v>24000</v>
      </c>
      <c r="F1990" s="2" t="str">
        <f ca="1">IFERROR(__xludf.DUMMYFUNCTION("""COMPUTED_VALUE"""),"Chardonnay Reac")</f>
        <v>Chardonnay Reac</v>
      </c>
      <c r="G1990" s="2">
        <f ca="1">IFERROR(__xludf.DUMMYFUNCTION("""COMPUTED_VALUE"""),2800)</f>
        <v>2800</v>
      </c>
      <c r="H1990" s="2">
        <f ca="1">IFERROR(__xludf.DUMMYFUNCTION("""COMPUTED_VALUE"""),24000)</f>
        <v>24000</v>
      </c>
      <c r="I1990" s="2"/>
      <c r="J1990" s="2"/>
      <c r="K1990" s="2" t="str">
        <f ca="1">IFERROR(__xludf.DUMMYFUNCTION("""COMPUTED_VALUE"""),"1er Trasiego")</f>
        <v>1er Trasiego</v>
      </c>
      <c r="L1990" s="2" t="str">
        <f ca="1">IFERROR(__xludf.DUMMYFUNCTION("""COMPUTED_VALUE"""),"1-")</f>
        <v>1-</v>
      </c>
      <c r="M1990" s="2" t="str">
        <f ca="1">IFERROR(__xludf.DUMMYFUNCTION("""COMPUTED_VALUE"""),"Blanco")</f>
        <v>Blanco</v>
      </c>
    </row>
    <row r="1991" spans="1:13" x14ac:dyDescent="0.25">
      <c r="A1991" s="2" t="str">
        <f ca="1">IFERROR(__xludf.DUMMYFUNCTION("""COMPUTED_VALUE"""),"5488ed13")</f>
        <v>5488ed13</v>
      </c>
      <c r="B1991" s="2"/>
      <c r="C1991" s="5">
        <f ca="1">IFERROR(__xludf.DUMMYFUNCTION("""COMPUTED_VALUE"""),46157.4414351851)</f>
        <v>46157.441435185101</v>
      </c>
      <c r="D1991" s="2">
        <f ca="1">IFERROR(__xludf.DUMMYFUNCTION("""COMPUTED_VALUE"""),55)</f>
        <v>55</v>
      </c>
      <c r="E1991" s="2">
        <f ca="1">IFERROR(__xludf.DUMMYFUNCTION("""COMPUTED_VALUE"""),3000)</f>
        <v>3000</v>
      </c>
      <c r="F1991" s="2" t="str">
        <f ca="1">IFERROR(__xludf.DUMMYFUNCTION("""COMPUTED_VALUE"""),"Chardonnay Reac")</f>
        <v>Chardonnay Reac</v>
      </c>
      <c r="G1991" s="2">
        <f ca="1">IFERROR(__xludf.DUMMYFUNCTION("""COMPUTED_VALUE"""),0)</f>
        <v>0</v>
      </c>
      <c r="H1991" s="2">
        <f ca="1">IFERROR(__xludf.DUMMYFUNCTION("""COMPUTED_VALUE"""),3000)</f>
        <v>3000</v>
      </c>
      <c r="I1991" s="2"/>
      <c r="J1991" s="2"/>
      <c r="K1991" s="2" t="str">
        <f ca="1">IFERROR(__xludf.DUMMYFUNCTION("""COMPUTED_VALUE"""),"1er Trasiego")</f>
        <v>1er Trasiego</v>
      </c>
      <c r="L1991" s="2" t="str">
        <f ca="1">IFERROR(__xludf.DUMMYFUNCTION("""COMPUTED_VALUE"""),"1")</f>
        <v>1</v>
      </c>
      <c r="M1991" s="2" t="str">
        <f ca="1">IFERROR(__xludf.DUMMYFUNCTION("""COMPUTED_VALUE"""),"Blanco")</f>
        <v>Blanco</v>
      </c>
    </row>
    <row r="1992" spans="1:13" x14ac:dyDescent="0.25">
      <c r="A1992" s="2" t="str">
        <f ca="1">IFERROR(__xludf.DUMMYFUNCTION("""COMPUTED_VALUE"""),"bcf7be01")</f>
        <v>bcf7be01</v>
      </c>
      <c r="B1992" s="2"/>
      <c r="C1992" s="5">
        <f ca="1">IFERROR(__xludf.DUMMYFUNCTION("""COMPUTED_VALUE"""),46157.4416666666)</f>
        <v>46157.4416666666</v>
      </c>
      <c r="D1992" s="2">
        <f ca="1">IFERROR(__xludf.DUMMYFUNCTION("""COMPUTED_VALUE"""),70)</f>
        <v>70</v>
      </c>
      <c r="E1992" s="2">
        <f ca="1">IFERROR(__xludf.DUMMYFUNCTION("""COMPUTED_VALUE"""),13000)</f>
        <v>13000</v>
      </c>
      <c r="F1992" s="2" t="str">
        <f ca="1">IFERROR(__xludf.DUMMYFUNCTION("""COMPUTED_VALUE"""),"Borra trasiego")</f>
        <v>Borra trasiego</v>
      </c>
      <c r="G1992" s="2">
        <f ca="1">IFERROR(__xludf.DUMMYFUNCTION("""COMPUTED_VALUE"""),600)</f>
        <v>600</v>
      </c>
      <c r="H1992" s="2">
        <f ca="1">IFERROR(__xludf.DUMMYFUNCTION("""COMPUTED_VALUE"""),800)</f>
        <v>800</v>
      </c>
      <c r="I1992" s="2"/>
      <c r="J1992" s="2"/>
      <c r="K1992" s="2" t="str">
        <f ca="1">IFERROR(__xludf.DUMMYFUNCTION("""COMPUTED_VALUE"""),"1er Trasiego")</f>
        <v>1er Trasiego</v>
      </c>
      <c r="L1992" s="2"/>
      <c r="M1992" s="2" t="str">
        <f ca="1">IFERROR(__xludf.DUMMYFUNCTION("""COMPUTED_VALUE"""),"Tinto")</f>
        <v>Tinto</v>
      </c>
    </row>
    <row r="1993" spans="1:13" x14ac:dyDescent="0.25">
      <c r="A1993" s="2" t="str">
        <f ca="1">IFERROR(__xludf.DUMMYFUNCTION("""COMPUTED_VALUE"""),"1ec5d4ff")</f>
        <v>1ec5d4ff</v>
      </c>
      <c r="B1993" s="2"/>
      <c r="C1993" s="5">
        <f ca="1">IFERROR(__xludf.DUMMYFUNCTION("""COMPUTED_VALUE"""),46157.4756481481)</f>
        <v>46157.475648148102</v>
      </c>
      <c r="D1993" s="2">
        <f ca="1">IFERROR(__xludf.DUMMYFUNCTION("""COMPUTED_VALUE"""),115)</f>
        <v>115</v>
      </c>
      <c r="E1993" s="2">
        <f ca="1">IFERROR(__xludf.DUMMYFUNCTION("""COMPUTED_VALUE"""),120200)</f>
        <v>120200</v>
      </c>
      <c r="F1993" s="2" t="str">
        <f ca="1">IFERROR(__xludf.DUMMYFUNCTION("""COMPUTED_VALUE"""),"Malbec pc")</f>
        <v>Malbec pc</v>
      </c>
      <c r="G1993" s="2">
        <f ca="1">IFERROR(__xludf.DUMMYFUNCTION("""COMPUTED_VALUE"""),0)</f>
        <v>0</v>
      </c>
      <c r="H1993" s="2">
        <f ca="1">IFERROR(__xludf.DUMMYFUNCTION("""COMPUTED_VALUE"""),120200)</f>
        <v>120200</v>
      </c>
      <c r="I1993" s="2"/>
      <c r="J1993" s="2"/>
      <c r="K1993" s="2" t="str">
        <f ca="1">IFERROR(__xludf.DUMMYFUNCTION("""COMPUTED_VALUE"""),"1er Trasiego")</f>
        <v>1er Trasiego</v>
      </c>
      <c r="L1993" s="2" t="str">
        <f ca="1">IFERROR(__xludf.DUMMYFUNCTION("""COMPUTED_VALUE"""),"1+")</f>
        <v>1+</v>
      </c>
      <c r="M1993" s="2" t="str">
        <f ca="1">IFERROR(__xludf.DUMMYFUNCTION("""COMPUTED_VALUE"""),"Tinto")</f>
        <v>Tinto</v>
      </c>
    </row>
    <row r="1994" spans="1:13" x14ac:dyDescent="0.25">
      <c r="A1994" s="2" t="str">
        <f ca="1">IFERROR(__xludf.DUMMYFUNCTION("""COMPUTED_VALUE"""),"d89e9a7b")</f>
        <v>d89e9a7b</v>
      </c>
      <c r="B1994" s="2"/>
      <c r="C1994" s="5">
        <f ca="1">IFERROR(__xludf.DUMMYFUNCTION("""COMPUTED_VALUE"""),46157.4760532407)</f>
        <v>46157.476053240702</v>
      </c>
      <c r="D1994" s="2">
        <f ca="1">IFERROR(__xludf.DUMMYFUNCTION("""COMPUTED_VALUE"""),84)</f>
        <v>84</v>
      </c>
      <c r="E1994" s="2">
        <f ca="1">IFERROR(__xludf.DUMMYFUNCTION("""COMPUTED_VALUE"""),83000)</f>
        <v>83000</v>
      </c>
      <c r="F1994" s="2" t="str">
        <f ca="1">IFERROR(__xludf.DUMMYFUNCTION("""COMPUTED_VALUE"""),"Malbec pc")</f>
        <v>Malbec pc</v>
      </c>
      <c r="G1994" s="2">
        <f ca="1">IFERROR(__xludf.DUMMYFUNCTION("""COMPUTED_VALUE"""),0)</f>
        <v>0</v>
      </c>
      <c r="H1994" s="2">
        <f ca="1">IFERROR(__xludf.DUMMYFUNCTION("""COMPUTED_VALUE"""),66400)</f>
        <v>66400</v>
      </c>
      <c r="I1994" s="2"/>
      <c r="J1994" s="2"/>
      <c r="K1994" s="2" t="str">
        <f ca="1">IFERROR(__xludf.DUMMYFUNCTION("""COMPUTED_VALUE"""),"1er Trasiego")</f>
        <v>1er Trasiego</v>
      </c>
      <c r="L1994" s="2" t="str">
        <f ca="1">IFERROR(__xludf.DUMMYFUNCTION("""COMPUTED_VALUE"""),"1+")</f>
        <v>1+</v>
      </c>
      <c r="M1994" s="2" t="str">
        <f ca="1">IFERROR(__xludf.DUMMYFUNCTION("""COMPUTED_VALUE"""),"Tinto")</f>
        <v>Tinto</v>
      </c>
    </row>
    <row r="1995" spans="1:13" x14ac:dyDescent="0.25">
      <c r="A1995" s="2" t="str">
        <f ca="1">IFERROR(__xludf.DUMMYFUNCTION("""COMPUTED_VALUE"""),"fc498499")</f>
        <v>fc498499</v>
      </c>
      <c r="B1995" s="2"/>
      <c r="C1995" s="5">
        <f ca="1">IFERROR(__xludf.DUMMYFUNCTION("""COMPUTED_VALUE"""),46157.4770601851)</f>
        <v>46157.477060185098</v>
      </c>
      <c r="D1995" s="2">
        <f ca="1">IFERROR(__xludf.DUMMYFUNCTION("""COMPUTED_VALUE"""),36)</f>
        <v>36</v>
      </c>
      <c r="E1995" s="2">
        <f ca="1">IFERROR(__xludf.DUMMYFUNCTION("""COMPUTED_VALUE"""),19700)</f>
        <v>19700</v>
      </c>
      <c r="F1995" s="2" t="str">
        <f ca="1">IFERROR(__xludf.DUMMYFUNCTION("""COMPUTED_VALUE"""),"Criolla Vol")</f>
        <v>Criolla Vol</v>
      </c>
      <c r="G1995" s="2">
        <f ca="1">IFERROR(__xludf.DUMMYFUNCTION("""COMPUTED_VALUE"""),0)</f>
        <v>0</v>
      </c>
      <c r="H1995" s="2">
        <f ca="1">IFERROR(__xludf.DUMMYFUNCTION("""COMPUTED_VALUE"""),19700)</f>
        <v>19700</v>
      </c>
      <c r="I1995" s="2"/>
      <c r="J1995" s="2"/>
      <c r="K1995" s="2" t="str">
        <f ca="1">IFERROR(__xludf.DUMMYFUNCTION("""COMPUTED_VALUE"""),"Rectificado")</f>
        <v>Rectificado</v>
      </c>
      <c r="L1995" s="2" t="str">
        <f ca="1">IFERROR(__xludf.DUMMYFUNCTION("""COMPUTED_VALUE"""),"1-")</f>
        <v>1-</v>
      </c>
      <c r="M1995" s="2" t="str">
        <f ca="1">IFERROR(__xludf.DUMMYFUNCTION("""COMPUTED_VALUE"""),"Tinto")</f>
        <v>Tinto</v>
      </c>
    </row>
    <row r="1996" spans="1:13" x14ac:dyDescent="0.25">
      <c r="A1996" s="2" t="str">
        <f ca="1">IFERROR(__xludf.DUMMYFUNCTION("""COMPUTED_VALUE"""),"ed49752c")</f>
        <v>ed49752c</v>
      </c>
      <c r="B1996" s="2"/>
      <c r="C1996" s="5">
        <f ca="1">IFERROR(__xludf.DUMMYFUNCTION("""COMPUTED_VALUE"""),46157.6953125)</f>
        <v>46157.6953125</v>
      </c>
      <c r="D1996" s="2">
        <f ca="1">IFERROR(__xludf.DUMMYFUNCTION("""COMPUTED_VALUE"""),84)</f>
        <v>84</v>
      </c>
      <c r="E1996" s="2">
        <f ca="1">IFERROR(__xludf.DUMMYFUNCTION("""COMPUTED_VALUE"""),83000)</f>
        <v>83000</v>
      </c>
      <c r="F1996" s="2" t="str">
        <f ca="1">IFERROR(__xludf.DUMMYFUNCTION("""COMPUTED_VALUE"""),"Malbec pc")</f>
        <v>Malbec pc</v>
      </c>
      <c r="G1996" s="2">
        <f ca="1">IFERROR(__xludf.DUMMYFUNCTION("""COMPUTED_VALUE"""),66400)</f>
        <v>66400</v>
      </c>
      <c r="H1996" s="2">
        <f ca="1">IFERROR(__xludf.DUMMYFUNCTION("""COMPUTED_VALUE"""),83000)</f>
        <v>83000</v>
      </c>
      <c r="I1996" s="2"/>
      <c r="J1996" s="2"/>
      <c r="K1996" s="2" t="str">
        <f ca="1">IFERROR(__xludf.DUMMYFUNCTION("""COMPUTED_VALUE"""),"1er Trasiego")</f>
        <v>1er Trasiego</v>
      </c>
      <c r="L1996" s="2" t="str">
        <f ca="1">IFERROR(__xludf.DUMMYFUNCTION("""COMPUTED_VALUE"""),"1+")</f>
        <v>1+</v>
      </c>
      <c r="M1996" s="2" t="str">
        <f ca="1">IFERROR(__xludf.DUMMYFUNCTION("""COMPUTED_VALUE"""),"Tinto")</f>
        <v>Tinto</v>
      </c>
    </row>
    <row r="1997" spans="1:13" x14ac:dyDescent="0.25">
      <c r="A1997" s="2" t="str">
        <f ca="1">IFERROR(__xludf.DUMMYFUNCTION("""COMPUTED_VALUE"""),"efc339be")</f>
        <v>efc339be</v>
      </c>
      <c r="B1997" s="2"/>
      <c r="C1997" s="5">
        <f ca="1">IFERROR(__xludf.DUMMYFUNCTION("""COMPUTED_VALUE"""),46157.7077199073)</f>
        <v>46157.707719907397</v>
      </c>
      <c r="D1997" s="2">
        <f ca="1">IFERROR(__xludf.DUMMYFUNCTION("""COMPUTED_VALUE"""),85)</f>
        <v>85</v>
      </c>
      <c r="E1997" s="2">
        <f ca="1">IFERROR(__xludf.DUMMYFUNCTION("""COMPUTED_VALUE"""),84000)</f>
        <v>84000</v>
      </c>
      <c r="F1997" s="2" t="str">
        <f ca="1">IFERROR(__xludf.DUMMYFUNCTION("""COMPUTED_VALUE"""),"Malbec pc")</f>
        <v>Malbec pc</v>
      </c>
      <c r="G1997" s="2">
        <f ca="1">IFERROR(__xludf.DUMMYFUNCTION("""COMPUTED_VALUE"""),0)</f>
        <v>0</v>
      </c>
      <c r="H1997" s="2">
        <f ca="1">IFERROR(__xludf.DUMMYFUNCTION("""COMPUTED_VALUE"""),40000)</f>
        <v>40000</v>
      </c>
      <c r="I1997" s="2"/>
      <c r="J1997" s="2"/>
      <c r="K1997" s="2" t="str">
        <f ca="1">IFERROR(__xludf.DUMMYFUNCTION("""COMPUTED_VALUE"""),"1er Trasiego")</f>
        <v>1er Trasiego</v>
      </c>
      <c r="L1997" s="2" t="str">
        <f ca="1">IFERROR(__xludf.DUMMYFUNCTION("""COMPUTED_VALUE"""),"1+")</f>
        <v>1+</v>
      </c>
      <c r="M1997" s="2" t="str">
        <f ca="1">IFERROR(__xludf.DUMMYFUNCTION("""COMPUTED_VALUE"""),"Tinto")</f>
        <v>Tinto</v>
      </c>
    </row>
    <row r="1998" spans="1:13" x14ac:dyDescent="0.25">
      <c r="A1998" s="2" t="str">
        <f ca="1">IFERROR(__xludf.DUMMYFUNCTION("""COMPUTED_VALUE"""),"7ec3170e")</f>
        <v>7ec3170e</v>
      </c>
      <c r="B1998" s="2"/>
      <c r="C1998" s="5">
        <f ca="1">IFERROR(__xludf.DUMMYFUNCTION("""COMPUTED_VALUE"""),46157.7086111111)</f>
        <v>46157.708611111098</v>
      </c>
      <c r="D1998" s="2">
        <f ca="1">IFERROR(__xludf.DUMMYFUNCTION("""COMPUTED_VALUE"""),85)</f>
        <v>85</v>
      </c>
      <c r="E1998" s="2">
        <f ca="1">IFERROR(__xludf.DUMMYFUNCTION("""COMPUTED_VALUE"""),84000)</f>
        <v>84000</v>
      </c>
      <c r="F1998" s="2" t="str">
        <f ca="1">IFERROR(__xludf.DUMMYFUNCTION("""COMPUTED_VALUE"""),"Malbec pc")</f>
        <v>Malbec pc</v>
      </c>
      <c r="G1998" s="2">
        <f ca="1">IFERROR(__xludf.DUMMYFUNCTION("""COMPUTED_VALUE"""),40000)</f>
        <v>40000</v>
      </c>
      <c r="H1998" s="2">
        <f ca="1">IFERROR(__xludf.DUMMYFUNCTION("""COMPUTED_VALUE"""),84000)</f>
        <v>84000</v>
      </c>
      <c r="I1998" s="2"/>
      <c r="J1998" s="2"/>
      <c r="K1998" s="2" t="str">
        <f ca="1">IFERROR(__xludf.DUMMYFUNCTION("""COMPUTED_VALUE"""),"1er Trasiego")</f>
        <v>1er Trasiego</v>
      </c>
      <c r="L1998" s="2" t="str">
        <f ca="1">IFERROR(__xludf.DUMMYFUNCTION("""COMPUTED_VALUE"""),"1")</f>
        <v>1</v>
      </c>
      <c r="M1998" s="2" t="str">
        <f ca="1">IFERROR(__xludf.DUMMYFUNCTION("""COMPUTED_VALUE"""),"Tinto")</f>
        <v>Tinto</v>
      </c>
    </row>
    <row r="1999" spans="1:13" x14ac:dyDescent="0.25">
      <c r="A1999" s="2" t="str">
        <f ca="1">IFERROR(__xludf.DUMMYFUNCTION("""COMPUTED_VALUE"""),"bd824973")</f>
        <v>bd824973</v>
      </c>
      <c r="B1999" s="2"/>
      <c r="C1999" s="5">
        <f ca="1">IFERROR(__xludf.DUMMYFUNCTION("""COMPUTED_VALUE"""),46157.7092013888)</f>
        <v>46157.709201388803</v>
      </c>
      <c r="D1999" s="2">
        <f ca="1">IFERROR(__xludf.DUMMYFUNCTION("""COMPUTED_VALUE"""),115)</f>
        <v>115</v>
      </c>
      <c r="E1999" s="2">
        <f ca="1">IFERROR(__xludf.DUMMYFUNCTION("""COMPUTED_VALUE"""),120200)</f>
        <v>120200</v>
      </c>
      <c r="F1999" s="2" t="str">
        <f ca="1">IFERROR(__xludf.DUMMYFUNCTION("""COMPUTED_VALUE"""),"Malbec")</f>
        <v>Malbec</v>
      </c>
      <c r="G1999" s="2">
        <f ca="1">IFERROR(__xludf.DUMMYFUNCTION("""COMPUTED_VALUE"""),76200)</f>
        <v>76200</v>
      </c>
      <c r="H1999" s="2">
        <f ca="1">IFERROR(__xludf.DUMMYFUNCTION("""COMPUTED_VALUE"""),120200)</f>
        <v>120200</v>
      </c>
      <c r="I1999" s="2"/>
      <c r="J1999" s="2"/>
      <c r="K1999" s="2" t="str">
        <f ca="1">IFERROR(__xludf.DUMMYFUNCTION("""COMPUTED_VALUE"""),"1er Trasiego")</f>
        <v>1er Trasiego</v>
      </c>
      <c r="L1999" s="2" t="str">
        <f ca="1">IFERROR(__xludf.DUMMYFUNCTION("""COMPUTED_VALUE"""),"1+")</f>
        <v>1+</v>
      </c>
      <c r="M1999" s="2" t="str">
        <f ca="1">IFERROR(__xludf.DUMMYFUNCTION("""COMPUTED_VALUE"""),"Tinto")</f>
        <v>Tinto</v>
      </c>
    </row>
    <row r="2000" spans="1:13" x14ac:dyDescent="0.25">
      <c r="A2000" s="2" t="str">
        <f ca="1">IFERROR(__xludf.DUMMYFUNCTION("""COMPUTED_VALUE"""),"b95c7e74")</f>
        <v>b95c7e74</v>
      </c>
      <c r="B2000" s="2"/>
      <c r="C2000" s="5">
        <f ca="1">IFERROR(__xludf.DUMMYFUNCTION("""COMPUTED_VALUE"""),46157.7098958333)</f>
        <v>46157.709895833301</v>
      </c>
      <c r="D2000" s="2">
        <f ca="1">IFERROR(__xludf.DUMMYFUNCTION("""COMPUTED_VALUE"""),500)</f>
        <v>500</v>
      </c>
      <c r="E2000" s="2">
        <f ca="1">IFERROR(__xludf.DUMMYFUNCTION("""COMPUTED_VALUE"""),200000)</f>
        <v>200000</v>
      </c>
      <c r="F2000" s="2" t="str">
        <f ca="1">IFERROR(__xludf.DUMMYFUNCTION("""COMPUTED_VALUE"""),"AJUSTE COSECHA 2026")</f>
        <v>AJUSTE COSECHA 2026</v>
      </c>
      <c r="G2000" s="2">
        <f ca="1">IFERROR(__xludf.DUMMYFUNCTION("""COMPUTED_VALUE"""),34120)</f>
        <v>34120</v>
      </c>
      <c r="H2000" s="2">
        <f ca="1">IFERROR(__xludf.DUMMYFUNCTION("""COMPUTED_VALUE"""),47520)</f>
        <v>47520</v>
      </c>
      <c r="I2000" s="2"/>
      <c r="J2000" s="2"/>
      <c r="K2000" s="2" t="str">
        <f ca="1">IFERROR(__xludf.DUMMYFUNCTION("""COMPUTED_VALUE"""),"Terminado")</f>
        <v>Terminado</v>
      </c>
      <c r="L2000" s="2" t="str">
        <f ca="1">IFERROR(__xludf.DUMMYFUNCTION("""COMPUTED_VALUE"""),"1")</f>
        <v>1</v>
      </c>
      <c r="M2000" s="2" t="str">
        <f ca="1">IFERROR(__xludf.DUMMYFUNCTION("""COMPUTED_VALUE"""),"Tinto")</f>
        <v>Tinto</v>
      </c>
    </row>
    <row r="2001" spans="1:13" x14ac:dyDescent="0.25">
      <c r="A2001" s="2" t="str">
        <f ca="1">IFERROR(__xludf.DUMMYFUNCTION("""COMPUTED_VALUE"""),"606a2ad7")</f>
        <v>606a2ad7</v>
      </c>
      <c r="B2001" s="2"/>
      <c r="C2001" s="5">
        <f ca="1">IFERROR(__xludf.DUMMYFUNCTION("""COMPUTED_VALUE"""),46157.7108333333)</f>
        <v>46157.710833333302</v>
      </c>
      <c r="D2001" s="2">
        <f ca="1">IFERROR(__xludf.DUMMYFUNCTION("""COMPUTED_VALUE"""),116)</f>
        <v>116</v>
      </c>
      <c r="E2001" s="2">
        <f ca="1">IFERROR(__xludf.DUMMYFUNCTION("""COMPUTED_VALUE"""),99600)</f>
        <v>99600</v>
      </c>
      <c r="F2001" s="2" t="str">
        <f ca="1">IFERROR(__xludf.DUMMYFUNCTION("""COMPUTED_VALUE"""),"Malbec")</f>
        <v>Malbec</v>
      </c>
      <c r="G2001" s="2">
        <f ca="1">IFERROR(__xludf.DUMMYFUNCTION("""COMPUTED_VALUE"""),0)</f>
        <v>0</v>
      </c>
      <c r="H2001" s="2">
        <f ca="1">IFERROR(__xludf.DUMMYFUNCTION("""COMPUTED_VALUE"""),99600)</f>
        <v>99600</v>
      </c>
      <c r="I2001" s="2"/>
      <c r="J2001" s="2"/>
      <c r="K2001" s="2" t="str">
        <f ca="1">IFERROR(__xludf.DUMMYFUNCTION("""COMPUTED_VALUE"""),"1er Trasiego")</f>
        <v>1er Trasiego</v>
      </c>
      <c r="L2001" s="2" t="str">
        <f ca="1">IFERROR(__xludf.DUMMYFUNCTION("""COMPUTED_VALUE"""),"1")</f>
        <v>1</v>
      </c>
      <c r="M2001" s="2" t="str">
        <f ca="1">IFERROR(__xludf.DUMMYFUNCTION("""COMPUTED_VALUE"""),"Tinto")</f>
        <v>Tinto</v>
      </c>
    </row>
    <row r="2002" spans="1:13" x14ac:dyDescent="0.25">
      <c r="A2002" s="2" t="str">
        <f ca="1">IFERROR(__xludf.DUMMYFUNCTION("""COMPUTED_VALUE"""),"4f56ab94")</f>
        <v>4f56ab94</v>
      </c>
      <c r="B2002" s="2"/>
      <c r="C2002" s="5">
        <f ca="1">IFERROR(__xludf.DUMMYFUNCTION("""COMPUTED_VALUE"""),46157.7426967592)</f>
        <v>46157.742696759196</v>
      </c>
      <c r="D2002" s="2">
        <f ca="1">IFERROR(__xludf.DUMMYFUNCTION("""COMPUTED_VALUE"""),108)</f>
        <v>108</v>
      </c>
      <c r="E2002" s="2">
        <f ca="1">IFERROR(__xludf.DUMMYFUNCTION("""COMPUTED_VALUE"""),31000)</f>
        <v>31000</v>
      </c>
      <c r="F2002" s="2" t="str">
        <f ca="1">IFERROR(__xludf.DUMMYFUNCTION("""COMPUTED_VALUE"""),"Syrah Malbec s/Asp 2")</f>
        <v>Syrah Malbec s/Asp 2</v>
      </c>
      <c r="G2002" s="2">
        <f ca="1">IFERROR(__xludf.DUMMYFUNCTION("""COMPUTED_VALUE"""),15000)</f>
        <v>15000</v>
      </c>
      <c r="H2002" s="2">
        <f ca="1">IFERROR(__xludf.DUMMYFUNCTION("""COMPUTED_VALUE"""),30600)</f>
        <v>30600</v>
      </c>
      <c r="I2002" s="2"/>
      <c r="J2002" s="2"/>
      <c r="K2002" s="2" t="str">
        <f ca="1">IFERROR(__xludf.DUMMYFUNCTION("""COMPUTED_VALUE"""),"1er Trasiego")</f>
        <v>1er Trasiego</v>
      </c>
      <c r="L2002" s="2"/>
      <c r="M2002" s="2" t="str">
        <f ca="1">IFERROR(__xludf.DUMMYFUNCTION("""COMPUTED_VALUE"""),"Tinto")</f>
        <v>Tinto</v>
      </c>
    </row>
    <row r="2003" spans="1:13" x14ac:dyDescent="0.25">
      <c r="A2003" s="2" t="str">
        <f ca="1">IFERROR(__xludf.DUMMYFUNCTION("""COMPUTED_VALUE"""),"20d24f3c")</f>
        <v>20d24f3c</v>
      </c>
      <c r="B2003" s="2"/>
      <c r="C2003" s="5">
        <f ca="1">IFERROR(__xludf.DUMMYFUNCTION("""COMPUTED_VALUE"""),46157.7459837962)</f>
        <v>46157.745983796201</v>
      </c>
      <c r="D2003" s="2">
        <f ca="1">IFERROR(__xludf.DUMMYFUNCTION("""COMPUTED_VALUE"""),34)</f>
        <v>34</v>
      </c>
      <c r="E2003" s="2">
        <f ca="1">IFERROR(__xludf.DUMMYFUNCTION("""COMPUTED_VALUE"""),39500)</f>
        <v>39500</v>
      </c>
      <c r="F2003" s="2" t="str">
        <f ca="1">IFERROR(__xludf.DUMMYFUNCTION("""COMPUTED_VALUE"""),"Criolla")</f>
        <v>Criolla</v>
      </c>
      <c r="G2003" s="2">
        <f ca="1">IFERROR(__xludf.DUMMYFUNCTION("""COMPUTED_VALUE"""),32900)</f>
        <v>32900</v>
      </c>
      <c r="H2003" s="2">
        <f ca="1">IFERROR(__xludf.DUMMYFUNCTION("""COMPUTED_VALUE"""),39500)</f>
        <v>39500</v>
      </c>
      <c r="I2003" s="2"/>
      <c r="J2003" s="2"/>
      <c r="K2003" s="2" t="str">
        <f ca="1">IFERROR(__xludf.DUMMYFUNCTION("""COMPUTED_VALUE"""),"Descubada")</f>
        <v>Descubada</v>
      </c>
      <c r="L2003" s="2" t="str">
        <f ca="1">IFERROR(__xludf.DUMMYFUNCTION("""COMPUTED_VALUE"""),"1")</f>
        <v>1</v>
      </c>
      <c r="M2003" s="2" t="str">
        <f ca="1">IFERROR(__xludf.DUMMYFUNCTION("""COMPUTED_VALUE"""),"Tinto")</f>
        <v>Tinto</v>
      </c>
    </row>
    <row r="2004" spans="1:13" x14ac:dyDescent="0.25">
      <c r="A2004" s="2" t="str">
        <f ca="1">IFERROR(__xludf.DUMMYFUNCTION("""COMPUTED_VALUE"""),"cf52dbc2")</f>
        <v>cf52dbc2</v>
      </c>
      <c r="B2004" s="2"/>
      <c r="C2004" s="5">
        <f ca="1">IFERROR(__xludf.DUMMYFUNCTION("""COMPUTED_VALUE"""),46157.7463078703)</f>
        <v>46157.7463078703</v>
      </c>
      <c r="D2004" s="2">
        <f ca="1">IFERROR(__xludf.DUMMYFUNCTION("""COMPUTED_VALUE"""),52)</f>
        <v>52</v>
      </c>
      <c r="E2004" s="2">
        <f ca="1">IFERROR(__xludf.DUMMYFUNCTION("""COMPUTED_VALUE"""),27000)</f>
        <v>27000</v>
      </c>
      <c r="F2004" s="2" t="str">
        <f ca="1">IFERROR(__xludf.DUMMYFUNCTION("""COMPUTED_VALUE"""),"Criolla Vol")</f>
        <v>Criolla Vol</v>
      </c>
      <c r="G2004" s="2">
        <f ca="1">IFERROR(__xludf.DUMMYFUNCTION("""COMPUTED_VALUE"""),0)</f>
        <v>0</v>
      </c>
      <c r="H2004" s="2">
        <f ca="1">IFERROR(__xludf.DUMMYFUNCTION("""COMPUTED_VALUE"""),4700)</f>
        <v>4700</v>
      </c>
      <c r="I2004" s="2"/>
      <c r="J2004" s="2"/>
      <c r="K2004" s="2" t="str">
        <f ca="1">IFERROR(__xludf.DUMMYFUNCTION("""COMPUTED_VALUE"""),"Rectificado")</f>
        <v>Rectificado</v>
      </c>
      <c r="L2004" s="2" t="str">
        <f ca="1">IFERROR(__xludf.DUMMYFUNCTION("""COMPUTED_VALUE"""),"1-")</f>
        <v>1-</v>
      </c>
      <c r="M2004" s="2" t="str">
        <f ca="1">IFERROR(__xludf.DUMMYFUNCTION("""COMPUTED_VALUE"""),"Tinto")</f>
        <v>Tinto</v>
      </c>
    </row>
    <row r="2005" spans="1:13" x14ac:dyDescent="0.25">
      <c r="A2005" s="2" t="str">
        <f ca="1">IFERROR(__xludf.DUMMYFUNCTION("""COMPUTED_VALUE"""),"1fc63228")</f>
        <v>1fc63228</v>
      </c>
      <c r="B2005" s="2"/>
      <c r="C2005" s="5">
        <f ca="1">IFERROR(__xludf.DUMMYFUNCTION("""COMPUTED_VALUE"""),46157.7486921296)</f>
        <v>46157.7486921296</v>
      </c>
      <c r="D2005" s="2">
        <f ca="1">IFERROR(__xludf.DUMMYFUNCTION("""COMPUTED_VALUE"""),70)</f>
        <v>70</v>
      </c>
      <c r="E2005" s="2">
        <f ca="1">IFERROR(__xludf.DUMMYFUNCTION("""COMPUTED_VALUE"""),13000)</f>
        <v>13000</v>
      </c>
      <c r="F2005" s="2" t="str">
        <f ca="1">IFERROR(__xludf.DUMMYFUNCTION("""COMPUTED_VALUE"""),"Borra trasiego")</f>
        <v>Borra trasiego</v>
      </c>
      <c r="G2005" s="2">
        <f ca="1">IFERROR(__xludf.DUMMYFUNCTION("""COMPUTED_VALUE"""),800)</f>
        <v>800</v>
      </c>
      <c r="H2005" s="2">
        <f ca="1">IFERROR(__xludf.DUMMYFUNCTION("""COMPUTED_VALUE"""),7800)</f>
        <v>7800</v>
      </c>
      <c r="I2005" s="2"/>
      <c r="J2005" s="2"/>
      <c r="K2005" s="2" t="str">
        <f ca="1">IFERROR(__xludf.DUMMYFUNCTION("""COMPUTED_VALUE"""),"1er Trasiego")</f>
        <v>1er Trasiego</v>
      </c>
      <c r="L2005" s="2"/>
      <c r="M2005" s="2" t="str">
        <f ca="1">IFERROR(__xludf.DUMMYFUNCTION("""COMPUTED_VALUE"""),"Tinto")</f>
        <v>Tinto</v>
      </c>
    </row>
    <row r="2006" spans="1:13" x14ac:dyDescent="0.25">
      <c r="A2006" s="2" t="str">
        <f ca="1">IFERROR(__xludf.DUMMYFUNCTION("""COMPUTED_VALUE"""),"cc55ff02")</f>
        <v>cc55ff02</v>
      </c>
      <c r="B2006" s="2"/>
      <c r="C2006" s="5">
        <f ca="1">IFERROR(__xludf.DUMMYFUNCTION("""COMPUTED_VALUE"""),46160.6742129629)</f>
        <v>46160.674212962898</v>
      </c>
      <c r="D2006" s="2">
        <f ca="1">IFERROR(__xludf.DUMMYFUNCTION("""COMPUTED_VALUE"""),121)</f>
        <v>121</v>
      </c>
      <c r="E2006" s="2">
        <f ca="1">IFERROR(__xludf.DUMMYFUNCTION("""COMPUTED_VALUE"""),85800)</f>
        <v>85800</v>
      </c>
      <c r="F2006" s="2" t="str">
        <f ca="1">IFERROR(__xludf.DUMMYFUNCTION("""COMPUTED_VALUE"""),"Malbec")</f>
        <v>Malbec</v>
      </c>
      <c r="G2006" s="2">
        <f ca="1">IFERROR(__xludf.DUMMYFUNCTION("""COMPUTED_VALUE"""),0)</f>
        <v>0</v>
      </c>
      <c r="H2006" s="2">
        <f ca="1">IFERROR(__xludf.DUMMYFUNCTION("""COMPUTED_VALUE"""),31000)</f>
        <v>31000</v>
      </c>
      <c r="I2006" s="2"/>
      <c r="J2006" s="2"/>
      <c r="K2006" s="2" t="str">
        <f ca="1">IFERROR(__xludf.DUMMYFUNCTION("""COMPUTED_VALUE"""),"Descubada")</f>
        <v>Descubada</v>
      </c>
      <c r="L2006" s="2" t="str">
        <f ca="1">IFERROR(__xludf.DUMMYFUNCTION("""COMPUTED_VALUE"""),"1")</f>
        <v>1</v>
      </c>
      <c r="M2006" s="2" t="str">
        <f ca="1">IFERROR(__xludf.DUMMYFUNCTION("""COMPUTED_VALUE"""),"Tinto")</f>
        <v>Tinto</v>
      </c>
    </row>
    <row r="2007" spans="1:13" x14ac:dyDescent="0.25">
      <c r="A2007" s="2" t="str">
        <f ca="1">IFERROR(__xludf.DUMMYFUNCTION("""COMPUTED_VALUE"""),"55047269")</f>
        <v>55047269</v>
      </c>
      <c r="B2007" s="2"/>
      <c r="C2007" s="5">
        <f ca="1">IFERROR(__xludf.DUMMYFUNCTION("""COMPUTED_VALUE"""),46160.6906134259)</f>
        <v>46160.690613425897</v>
      </c>
      <c r="D2007" s="2">
        <f ca="1">IFERROR(__xludf.DUMMYFUNCTION("""COMPUTED_VALUE"""),84)</f>
        <v>84</v>
      </c>
      <c r="E2007" s="2">
        <f ca="1">IFERROR(__xludf.DUMMYFUNCTION("""COMPUTED_VALUE"""),83000)</f>
        <v>83000</v>
      </c>
      <c r="F2007" s="2" t="str">
        <f ca="1">IFERROR(__xludf.DUMMYFUNCTION("""COMPUTED_VALUE"""),"Malbec pc")</f>
        <v>Malbec pc</v>
      </c>
      <c r="G2007" s="2">
        <f ca="1">IFERROR(__xludf.DUMMYFUNCTION("""COMPUTED_VALUE"""),43000)</f>
        <v>43000</v>
      </c>
      <c r="H2007" s="2">
        <f ca="1">IFERROR(__xludf.DUMMYFUNCTION("""COMPUTED_VALUE"""),83000)</f>
        <v>83000</v>
      </c>
      <c r="I2007" s="2"/>
      <c r="J2007" s="2"/>
      <c r="K2007" s="2" t="str">
        <f ca="1">IFERROR(__xludf.DUMMYFUNCTION("""COMPUTED_VALUE"""),"1er Trasiego")</f>
        <v>1er Trasiego</v>
      </c>
      <c r="L2007" s="2" t="str">
        <f ca="1">IFERROR(__xludf.DUMMYFUNCTION("""COMPUTED_VALUE"""),"1+")</f>
        <v>1+</v>
      </c>
      <c r="M2007" s="2" t="str">
        <f ca="1">IFERROR(__xludf.DUMMYFUNCTION("""COMPUTED_VALUE"""),"Tinto")</f>
        <v>Tinto</v>
      </c>
    </row>
    <row r="2008" spans="1:13" x14ac:dyDescent="0.25">
      <c r="A2008" s="2" t="str">
        <f ca="1">IFERROR(__xludf.DUMMYFUNCTION("""COMPUTED_VALUE"""),"f7f712c7")</f>
        <v>f7f712c7</v>
      </c>
      <c r="B2008" s="2"/>
      <c r="C2008" s="5">
        <f ca="1">IFERROR(__xludf.DUMMYFUNCTION("""COMPUTED_VALUE"""),46160.6913310185)</f>
        <v>46160.691331018497</v>
      </c>
      <c r="D2008" s="2">
        <f ca="1">IFERROR(__xludf.DUMMYFUNCTION("""COMPUTED_VALUE"""),931)</f>
        <v>931</v>
      </c>
      <c r="E2008" s="2">
        <f ca="1">IFERROR(__xludf.DUMMYFUNCTION("""COMPUTED_VALUE"""),11200)</f>
        <v>11200</v>
      </c>
      <c r="F2008" s="2" t="str">
        <f ca="1">IFERROR(__xludf.DUMMYFUNCTION("""COMPUTED_VALUE"""),"Borra")</f>
        <v>Borra</v>
      </c>
      <c r="G2008" s="2">
        <f ca="1">IFERROR(__xludf.DUMMYFUNCTION("""COMPUTED_VALUE"""),0)</f>
        <v>0</v>
      </c>
      <c r="H2008" s="2">
        <f ca="1">IFERROR(__xludf.DUMMYFUNCTION("""COMPUTED_VALUE"""),7100)</f>
        <v>7100</v>
      </c>
      <c r="I2008" s="2"/>
      <c r="J2008" s="2"/>
      <c r="K2008" s="2" t="str">
        <f ca="1">IFERROR(__xludf.DUMMYFUNCTION("""COMPUTED_VALUE"""),"1er Trasiego")</f>
        <v>1er Trasiego</v>
      </c>
      <c r="L2008" s="2" t="str">
        <f ca="1">IFERROR(__xludf.DUMMYFUNCTION("""COMPUTED_VALUE"""),"1")</f>
        <v>1</v>
      </c>
      <c r="M2008" s="2" t="str">
        <f ca="1">IFERROR(__xludf.DUMMYFUNCTION("""COMPUTED_VALUE"""),"Tinto")</f>
        <v>Tinto</v>
      </c>
    </row>
    <row r="2009" spans="1:13" x14ac:dyDescent="0.25">
      <c r="A2009" s="2" t="str">
        <f ca="1">IFERROR(__xludf.DUMMYFUNCTION("""COMPUTED_VALUE"""),"6f3cd259")</f>
        <v>6f3cd259</v>
      </c>
      <c r="B2009" s="2"/>
      <c r="C2009" s="5">
        <f ca="1">IFERROR(__xludf.DUMMYFUNCTION("""COMPUTED_VALUE"""),46160.6958217592)</f>
        <v>46160.695821759196</v>
      </c>
      <c r="D2009" s="2">
        <f ca="1">IFERROR(__xludf.DUMMYFUNCTION("""COMPUTED_VALUE"""),70)</f>
        <v>70</v>
      </c>
      <c r="E2009" s="2">
        <f ca="1">IFERROR(__xludf.DUMMYFUNCTION("""COMPUTED_VALUE"""),13000)</f>
        <v>13000</v>
      </c>
      <c r="F2009" s="2" t="str">
        <f ca="1">IFERROR(__xludf.DUMMYFUNCTION("""COMPUTED_VALUE"""),"Borra trasiego")</f>
        <v>Borra trasiego</v>
      </c>
      <c r="G2009" s="2">
        <f ca="1">IFERROR(__xludf.DUMMYFUNCTION("""COMPUTED_VALUE"""),7800)</f>
        <v>7800</v>
      </c>
      <c r="H2009" s="2">
        <f ca="1">IFERROR(__xludf.DUMMYFUNCTION("""COMPUTED_VALUE"""),13000)</f>
        <v>13000</v>
      </c>
      <c r="I2009" s="2"/>
      <c r="J2009" s="2"/>
      <c r="K2009" s="2" t="str">
        <f ca="1">IFERROR(__xludf.DUMMYFUNCTION("""COMPUTED_VALUE"""),"1er Trasiego")</f>
        <v>1er Trasiego</v>
      </c>
      <c r="L2009" s="2"/>
      <c r="M2009" s="2" t="str">
        <f ca="1">IFERROR(__xludf.DUMMYFUNCTION("""COMPUTED_VALUE"""),"Tinto")</f>
        <v>Tinto</v>
      </c>
    </row>
    <row r="2010" spans="1:13" x14ac:dyDescent="0.25">
      <c r="A2010" s="2" t="str">
        <f ca="1">IFERROR(__xludf.DUMMYFUNCTION("""COMPUTED_VALUE"""),"9d61d4ee")</f>
        <v>9d61d4ee</v>
      </c>
      <c r="B2010" s="2"/>
      <c r="C2010" s="5">
        <f ca="1">IFERROR(__xludf.DUMMYFUNCTION("""COMPUTED_VALUE"""),46160.6961111111)</f>
        <v>46160.696111111101</v>
      </c>
      <c r="D2010" s="2">
        <f ca="1">IFERROR(__xludf.DUMMYFUNCTION("""COMPUTED_VALUE"""),931)</f>
        <v>931</v>
      </c>
      <c r="E2010" s="2">
        <f ca="1">IFERROR(__xludf.DUMMYFUNCTION("""COMPUTED_VALUE"""),11200)</f>
        <v>11200</v>
      </c>
      <c r="F2010" s="2" t="str">
        <f ca="1">IFERROR(__xludf.DUMMYFUNCTION("""COMPUTED_VALUE"""),"Borra")</f>
        <v>Borra</v>
      </c>
      <c r="G2010" s="2">
        <f ca="1">IFERROR(__xludf.DUMMYFUNCTION("""COMPUTED_VALUE"""),7100)</f>
        <v>7100</v>
      </c>
      <c r="H2010" s="2">
        <f ca="1">IFERROR(__xludf.DUMMYFUNCTION("""COMPUTED_VALUE"""),10000)</f>
        <v>10000</v>
      </c>
      <c r="I2010" s="2"/>
      <c r="J2010" s="2"/>
      <c r="K2010" s="2" t="str">
        <f ca="1">IFERROR(__xludf.DUMMYFUNCTION("""COMPUTED_VALUE"""),"1er Trasiego")</f>
        <v>1er Trasiego</v>
      </c>
      <c r="L2010" s="2" t="str">
        <f ca="1">IFERROR(__xludf.DUMMYFUNCTION("""COMPUTED_VALUE"""),"1")</f>
        <v>1</v>
      </c>
      <c r="M2010" s="2" t="str">
        <f ca="1">IFERROR(__xludf.DUMMYFUNCTION("""COMPUTED_VALUE"""),"Tinto")</f>
        <v>Tinto</v>
      </c>
    </row>
    <row r="2011" spans="1:13" x14ac:dyDescent="0.25">
      <c r="A2011" s="2" t="str">
        <f ca="1">IFERROR(__xludf.DUMMYFUNCTION("""COMPUTED_VALUE"""),"6ef49e0e")</f>
        <v>6ef49e0e</v>
      </c>
      <c r="B2011" s="2"/>
      <c r="C2011" s="5">
        <f ca="1">IFERROR(__xludf.DUMMYFUNCTION("""COMPUTED_VALUE"""),46160.7158912037)</f>
        <v>46160.715891203698</v>
      </c>
      <c r="D2011" s="2">
        <f ca="1">IFERROR(__xludf.DUMMYFUNCTION("""COMPUTED_VALUE"""),931)</f>
        <v>931</v>
      </c>
      <c r="E2011" s="2">
        <f ca="1">IFERROR(__xludf.DUMMYFUNCTION("""COMPUTED_VALUE"""),11200)</f>
        <v>11200</v>
      </c>
      <c r="F2011" s="2" t="str">
        <f ca="1">IFERROR(__xludf.DUMMYFUNCTION("""COMPUTED_VALUE"""),"Borra")</f>
        <v>Borra</v>
      </c>
      <c r="G2011" s="2">
        <f ca="1">IFERROR(__xludf.DUMMYFUNCTION("""COMPUTED_VALUE"""),10000)</f>
        <v>10000</v>
      </c>
      <c r="H2011" s="2">
        <f ca="1">IFERROR(__xludf.DUMMYFUNCTION("""COMPUTED_VALUE"""),11200)</f>
        <v>11200</v>
      </c>
      <c r="I2011" s="2"/>
      <c r="J2011" s="2"/>
      <c r="K2011" s="2" t="str">
        <f ca="1">IFERROR(__xludf.DUMMYFUNCTION("""COMPUTED_VALUE"""),"1er Trasiego")</f>
        <v>1er Trasiego</v>
      </c>
      <c r="L2011" s="2" t="str">
        <f ca="1">IFERROR(__xludf.DUMMYFUNCTION("""COMPUTED_VALUE"""),"1")</f>
        <v>1</v>
      </c>
      <c r="M2011" s="2" t="str">
        <f ca="1">IFERROR(__xludf.DUMMYFUNCTION("""COMPUTED_VALUE"""),"Tinto")</f>
        <v>Tinto</v>
      </c>
    </row>
    <row r="2012" spans="1:13" x14ac:dyDescent="0.25">
      <c r="A2012" s="2" t="str">
        <f ca="1">IFERROR(__xludf.DUMMYFUNCTION("""COMPUTED_VALUE"""),"87842814")</f>
        <v>87842814</v>
      </c>
      <c r="B2012" s="2"/>
      <c r="C2012" s="5">
        <f ca="1">IFERROR(__xludf.DUMMYFUNCTION("""COMPUTED_VALUE"""),46160.7161689814)</f>
        <v>46160.716168981402</v>
      </c>
      <c r="D2012" s="2">
        <f ca="1">IFERROR(__xludf.DUMMYFUNCTION("""COMPUTED_VALUE"""),935)</f>
        <v>935</v>
      </c>
      <c r="E2012" s="2">
        <f ca="1">IFERROR(__xludf.DUMMYFUNCTION("""COMPUTED_VALUE"""),11200)</f>
        <v>11200</v>
      </c>
      <c r="F2012" s="2" t="str">
        <f ca="1">IFERROR(__xludf.DUMMYFUNCTION("""COMPUTED_VALUE"""),"Borra")</f>
        <v>Borra</v>
      </c>
      <c r="G2012" s="2">
        <f ca="1">IFERROR(__xludf.DUMMYFUNCTION("""COMPUTED_VALUE"""),0)</f>
        <v>0</v>
      </c>
      <c r="H2012" s="2">
        <f ca="1">IFERROR(__xludf.DUMMYFUNCTION("""COMPUTED_VALUE"""),7400)</f>
        <v>7400</v>
      </c>
      <c r="I2012" s="2"/>
      <c r="J2012" s="2"/>
      <c r="K2012" s="2" t="str">
        <f ca="1">IFERROR(__xludf.DUMMYFUNCTION("""COMPUTED_VALUE"""),"1er Trasiego")</f>
        <v>1er Trasiego</v>
      </c>
      <c r="L2012" s="2"/>
      <c r="M2012" s="2" t="str">
        <f ca="1">IFERROR(__xludf.DUMMYFUNCTION("""COMPUTED_VALUE"""),"Tinto")</f>
        <v>Tinto</v>
      </c>
    </row>
    <row r="2013" spans="1:13" x14ac:dyDescent="0.25">
      <c r="A2013" s="2" t="str">
        <f ca="1">IFERROR(__xludf.DUMMYFUNCTION("""COMPUTED_VALUE"""),"30153f06")</f>
        <v>30153f06</v>
      </c>
      <c r="B2013" s="2"/>
      <c r="C2013" s="5">
        <f ca="1">IFERROR(__xludf.DUMMYFUNCTION("""COMPUTED_VALUE"""),46161.7016319444)</f>
        <v>46161.701631944401</v>
      </c>
      <c r="D2013" s="2">
        <f ca="1">IFERROR(__xludf.DUMMYFUNCTION("""COMPUTED_VALUE"""),500)</f>
        <v>500</v>
      </c>
      <c r="E2013" s="2">
        <f ca="1">IFERROR(__xludf.DUMMYFUNCTION("""COMPUTED_VALUE"""),200000)</f>
        <v>200000</v>
      </c>
      <c r="F2013" s="2" t="str">
        <f ca="1">IFERROR(__xludf.DUMMYFUNCTION("""COMPUTED_VALUE"""),"AJUSTE COSECHA 2026")</f>
        <v>AJUSTE COSECHA 2026</v>
      </c>
      <c r="G2013" s="2">
        <f ca="1">IFERROR(__xludf.DUMMYFUNCTION("""COMPUTED_VALUE"""),47520)</f>
        <v>47520</v>
      </c>
      <c r="H2013" s="2">
        <f ca="1">IFERROR(__xludf.DUMMYFUNCTION("""COMPUTED_VALUE"""),23820)</f>
        <v>23820</v>
      </c>
      <c r="I2013" s="2"/>
      <c r="J2013" s="2"/>
      <c r="K2013" s="2" t="str">
        <f ca="1">IFERROR(__xludf.DUMMYFUNCTION("""COMPUTED_VALUE"""),"Terminado")</f>
        <v>Terminado</v>
      </c>
      <c r="L2013" s="2" t="str">
        <f ca="1">IFERROR(__xludf.DUMMYFUNCTION("""COMPUTED_VALUE"""),"1")</f>
        <v>1</v>
      </c>
      <c r="M2013" s="2" t="str">
        <f ca="1">IFERROR(__xludf.DUMMYFUNCTION("""COMPUTED_VALUE"""),"Tinto")</f>
        <v>Tinto</v>
      </c>
    </row>
    <row r="2014" spans="1:13" x14ac:dyDescent="0.25">
      <c r="A2014" s="2" t="str">
        <f ca="1">IFERROR(__xludf.DUMMYFUNCTION("""COMPUTED_VALUE"""),"c1425ddc")</f>
        <v>c1425ddc</v>
      </c>
      <c r="B2014" s="2"/>
      <c r="C2014" s="5">
        <f ca="1">IFERROR(__xludf.DUMMYFUNCTION("""COMPUTED_VALUE"""),46161.7019675925)</f>
        <v>46161.701967592497</v>
      </c>
      <c r="D2014" s="2">
        <f ca="1">IFERROR(__xludf.DUMMYFUNCTION("""COMPUTED_VALUE"""),500)</f>
        <v>500</v>
      </c>
      <c r="E2014" s="2">
        <f ca="1">IFERROR(__xludf.DUMMYFUNCTION("""COMPUTED_VALUE"""),200000)</f>
        <v>200000</v>
      </c>
      <c r="F2014" s="2" t="str">
        <f ca="1">IFERROR(__xludf.DUMMYFUNCTION("""COMPUTED_VALUE"""),"AJUSTE COSECHA 2026")</f>
        <v>AJUSTE COSECHA 2026</v>
      </c>
      <c r="G2014" s="2">
        <f ca="1">IFERROR(__xludf.DUMMYFUNCTION("""COMPUTED_VALUE"""),23820)</f>
        <v>23820</v>
      </c>
      <c r="H2014" s="2">
        <f ca="1">IFERROR(__xludf.DUMMYFUNCTION("""COMPUTED_VALUE"""),27820)</f>
        <v>27820</v>
      </c>
      <c r="I2014" s="2"/>
      <c r="J2014" s="2"/>
      <c r="K2014" s="2" t="str">
        <f ca="1">IFERROR(__xludf.DUMMYFUNCTION("""COMPUTED_VALUE"""),"Terminado")</f>
        <v>Terminado</v>
      </c>
      <c r="L2014" s="2" t="str">
        <f ca="1">IFERROR(__xludf.DUMMYFUNCTION("""COMPUTED_VALUE"""),"1")</f>
        <v>1</v>
      </c>
      <c r="M2014" s="2" t="str">
        <f ca="1">IFERROR(__xludf.DUMMYFUNCTION("""COMPUTED_VALUE"""),"Tinto")</f>
        <v>Tinto</v>
      </c>
    </row>
    <row r="2015" spans="1:13" x14ac:dyDescent="0.25">
      <c r="A2015" s="2" t="str">
        <f ca="1">IFERROR(__xludf.DUMMYFUNCTION("""COMPUTED_VALUE"""),"4c06e4c6")</f>
        <v>4c06e4c6</v>
      </c>
      <c r="B2015" s="2"/>
      <c r="C2015" s="5">
        <f ca="1">IFERROR(__xludf.DUMMYFUNCTION("""COMPUTED_VALUE"""),46161.7023263887)</f>
        <v>46161.702326388797</v>
      </c>
      <c r="D2015" s="2">
        <f ca="1">IFERROR(__xludf.DUMMYFUNCTION("""COMPUTED_VALUE"""),500)</f>
        <v>500</v>
      </c>
      <c r="E2015" s="2">
        <f ca="1">IFERROR(__xludf.DUMMYFUNCTION("""COMPUTED_VALUE"""),200000)</f>
        <v>200000</v>
      </c>
      <c r="F2015" s="2" t="str">
        <f ca="1">IFERROR(__xludf.DUMMYFUNCTION("""COMPUTED_VALUE"""),"AJUSTE COSECHA 2026")</f>
        <v>AJUSTE COSECHA 2026</v>
      </c>
      <c r="G2015" s="2">
        <f ca="1">IFERROR(__xludf.DUMMYFUNCTION("""COMPUTED_VALUE"""),27820)</f>
        <v>27820</v>
      </c>
      <c r="H2015" s="2">
        <f ca="1">IFERROR(__xludf.DUMMYFUNCTION("""COMPUTED_VALUE"""),30220)</f>
        <v>30220</v>
      </c>
      <c r="I2015" s="2"/>
      <c r="J2015" s="2"/>
      <c r="K2015" s="2" t="str">
        <f ca="1">IFERROR(__xludf.DUMMYFUNCTION("""COMPUTED_VALUE"""),"Terminado")</f>
        <v>Terminado</v>
      </c>
      <c r="L2015" s="2" t="str">
        <f ca="1">IFERROR(__xludf.DUMMYFUNCTION("""COMPUTED_VALUE"""),"1")</f>
        <v>1</v>
      </c>
      <c r="M2015" s="2" t="str">
        <f ca="1">IFERROR(__xludf.DUMMYFUNCTION("""COMPUTED_VALUE"""),"Tinto")</f>
        <v>Tinto</v>
      </c>
    </row>
    <row r="2016" spans="1:13" x14ac:dyDescent="0.25">
      <c r="A2016" s="2" t="str">
        <f ca="1">IFERROR(__xludf.DUMMYFUNCTION("""COMPUTED_VALUE"""),"4a28c426")</f>
        <v>4a28c426</v>
      </c>
      <c r="B2016" s="2"/>
      <c r="C2016" s="5">
        <f ca="1">IFERROR(__xludf.DUMMYFUNCTION("""COMPUTED_VALUE"""),46161.7025925925)</f>
        <v>46161.702592592497</v>
      </c>
      <c r="D2016" s="2">
        <f ca="1">IFERROR(__xludf.DUMMYFUNCTION("""COMPUTED_VALUE"""),500)</f>
        <v>500</v>
      </c>
      <c r="E2016" s="2">
        <f ca="1">IFERROR(__xludf.DUMMYFUNCTION("""COMPUTED_VALUE"""),200000)</f>
        <v>200000</v>
      </c>
      <c r="F2016" s="2" t="str">
        <f ca="1">IFERROR(__xludf.DUMMYFUNCTION("""COMPUTED_VALUE"""),"AJUSTE COSECHA 2026")</f>
        <v>AJUSTE COSECHA 2026</v>
      </c>
      <c r="G2016" s="2">
        <f ca="1">IFERROR(__xludf.DUMMYFUNCTION("""COMPUTED_VALUE"""),30220)</f>
        <v>30220</v>
      </c>
      <c r="H2016" s="2">
        <f ca="1">IFERROR(__xludf.DUMMYFUNCTION("""COMPUTED_VALUE"""),30720)</f>
        <v>30720</v>
      </c>
      <c r="I2016" s="2"/>
      <c r="J2016" s="2"/>
      <c r="K2016" s="2" t="str">
        <f ca="1">IFERROR(__xludf.DUMMYFUNCTION("""COMPUTED_VALUE"""),"Terminado")</f>
        <v>Terminado</v>
      </c>
      <c r="L2016" s="2" t="str">
        <f ca="1">IFERROR(__xludf.DUMMYFUNCTION("""COMPUTED_VALUE"""),"1")</f>
        <v>1</v>
      </c>
      <c r="M2016" s="2" t="str">
        <f ca="1">IFERROR(__xludf.DUMMYFUNCTION("""COMPUTED_VALUE"""),"Tinto")</f>
        <v>Tinto</v>
      </c>
    </row>
    <row r="2017" spans="1:13" x14ac:dyDescent="0.25">
      <c r="A2017" s="2" t="str">
        <f ca="1">IFERROR(__xludf.DUMMYFUNCTION("""COMPUTED_VALUE"""),"9ce6d689")</f>
        <v>9ce6d689</v>
      </c>
      <c r="B2017" s="2"/>
      <c r="C2017" s="5">
        <f ca="1">IFERROR(__xludf.DUMMYFUNCTION("""COMPUTED_VALUE"""),46161.7028587963)</f>
        <v>46161.7028587963</v>
      </c>
      <c r="D2017" s="2">
        <f ca="1">IFERROR(__xludf.DUMMYFUNCTION("""COMPUTED_VALUE"""),500)</f>
        <v>500</v>
      </c>
      <c r="E2017" s="2">
        <f ca="1">IFERROR(__xludf.DUMMYFUNCTION("""COMPUTED_VALUE"""),200000)</f>
        <v>200000</v>
      </c>
      <c r="F2017" s="2" t="str">
        <f ca="1">IFERROR(__xludf.DUMMYFUNCTION("""COMPUTED_VALUE"""),"AJUSTE COSECHA 2026")</f>
        <v>AJUSTE COSECHA 2026</v>
      </c>
      <c r="G2017" s="2">
        <f ca="1">IFERROR(__xludf.DUMMYFUNCTION("""COMPUTED_VALUE"""),30720)</f>
        <v>30720</v>
      </c>
      <c r="H2017" s="2">
        <f ca="1">IFERROR(__xludf.DUMMYFUNCTION("""COMPUTED_VALUE"""),31620)</f>
        <v>31620</v>
      </c>
      <c r="I2017" s="2"/>
      <c r="J2017" s="2"/>
      <c r="K2017" s="2" t="str">
        <f ca="1">IFERROR(__xludf.DUMMYFUNCTION("""COMPUTED_VALUE"""),"Terminado")</f>
        <v>Terminado</v>
      </c>
      <c r="L2017" s="2" t="str">
        <f ca="1">IFERROR(__xludf.DUMMYFUNCTION("""COMPUTED_VALUE"""),"1")</f>
        <v>1</v>
      </c>
      <c r="M2017" s="2" t="str">
        <f ca="1">IFERROR(__xludf.DUMMYFUNCTION("""COMPUTED_VALUE"""),"Tinto")</f>
        <v>Tinto</v>
      </c>
    </row>
    <row r="2018" spans="1:13" x14ac:dyDescent="0.25">
      <c r="A2018" s="2" t="str">
        <f ca="1">IFERROR(__xludf.DUMMYFUNCTION("""COMPUTED_VALUE"""),"af6853c1")</f>
        <v>af6853c1</v>
      </c>
      <c r="B2018" s="2"/>
      <c r="C2018" s="5">
        <f ca="1">IFERROR(__xludf.DUMMYFUNCTION("""COMPUTED_VALUE"""),46161.7031018518)</f>
        <v>46161.703101851803</v>
      </c>
      <c r="D2018" s="2">
        <f ca="1">IFERROR(__xludf.DUMMYFUNCTION("""COMPUTED_VALUE"""),500)</f>
        <v>500</v>
      </c>
      <c r="E2018" s="2">
        <f ca="1">IFERROR(__xludf.DUMMYFUNCTION("""COMPUTED_VALUE"""),200000)</f>
        <v>200000</v>
      </c>
      <c r="F2018" s="2" t="str">
        <f ca="1">IFERROR(__xludf.DUMMYFUNCTION("""COMPUTED_VALUE"""),"AJUSTE COSECHA 2026")</f>
        <v>AJUSTE COSECHA 2026</v>
      </c>
      <c r="G2018" s="2">
        <f ca="1">IFERROR(__xludf.DUMMYFUNCTION("""COMPUTED_VALUE"""),31620)</f>
        <v>31620</v>
      </c>
      <c r="H2018" s="2">
        <f ca="1">IFERROR(__xludf.DUMMYFUNCTION("""COMPUTED_VALUE"""),28720)</f>
        <v>28720</v>
      </c>
      <c r="I2018" s="2"/>
      <c r="J2018" s="2"/>
      <c r="K2018" s="2" t="str">
        <f ca="1">IFERROR(__xludf.DUMMYFUNCTION("""COMPUTED_VALUE"""),"Terminado")</f>
        <v>Terminado</v>
      </c>
      <c r="L2018" s="2" t="str">
        <f ca="1">IFERROR(__xludf.DUMMYFUNCTION("""COMPUTED_VALUE"""),"1")</f>
        <v>1</v>
      </c>
      <c r="M2018" s="2" t="str">
        <f ca="1">IFERROR(__xludf.DUMMYFUNCTION("""COMPUTED_VALUE"""),"Tinto")</f>
        <v>Tinto</v>
      </c>
    </row>
    <row r="2019" spans="1:13" x14ac:dyDescent="0.25">
      <c r="A2019" s="2" t="str">
        <f ca="1">IFERROR(__xludf.DUMMYFUNCTION("""COMPUTED_VALUE"""),"4d8f2044")</f>
        <v>4d8f2044</v>
      </c>
      <c r="B2019" s="2"/>
      <c r="C2019" s="5">
        <f ca="1">IFERROR(__xludf.DUMMYFUNCTION("""COMPUTED_VALUE"""),46161.703599537)</f>
        <v>46161.703599537002</v>
      </c>
      <c r="D2019" s="2">
        <f ca="1">IFERROR(__xludf.DUMMYFUNCTION("""COMPUTED_VALUE"""),500)</f>
        <v>500</v>
      </c>
      <c r="E2019" s="2">
        <f ca="1">IFERROR(__xludf.DUMMYFUNCTION("""COMPUTED_VALUE"""),200000)</f>
        <v>200000</v>
      </c>
      <c r="F2019" s="2" t="str">
        <f ca="1">IFERROR(__xludf.DUMMYFUNCTION("""COMPUTED_VALUE"""),"AJUSTE COSECHA 2026")</f>
        <v>AJUSTE COSECHA 2026</v>
      </c>
      <c r="G2019" s="2">
        <f ca="1">IFERROR(__xludf.DUMMYFUNCTION("""COMPUTED_VALUE"""),28720)</f>
        <v>28720</v>
      </c>
      <c r="H2019" s="2">
        <f ca="1">IFERROR(__xludf.DUMMYFUNCTION("""COMPUTED_VALUE"""),27620)</f>
        <v>27620</v>
      </c>
      <c r="I2019" s="2"/>
      <c r="J2019" s="2"/>
      <c r="K2019" s="2" t="str">
        <f ca="1">IFERROR(__xludf.DUMMYFUNCTION("""COMPUTED_VALUE"""),"Terminado")</f>
        <v>Terminado</v>
      </c>
      <c r="L2019" s="2" t="str">
        <f ca="1">IFERROR(__xludf.DUMMYFUNCTION("""COMPUTED_VALUE"""),"1")</f>
        <v>1</v>
      </c>
      <c r="M2019" s="2" t="str">
        <f ca="1">IFERROR(__xludf.DUMMYFUNCTION("""COMPUTED_VALUE"""),"Tinto")</f>
        <v>Tinto</v>
      </c>
    </row>
    <row r="2020" spans="1:13" x14ac:dyDescent="0.25">
      <c r="A2020" s="2" t="str">
        <f ca="1">IFERROR(__xludf.DUMMYFUNCTION("""COMPUTED_VALUE"""),"014739a1")</f>
        <v>014739a1</v>
      </c>
      <c r="B2020" s="2"/>
      <c r="C2020" s="5">
        <f ca="1">IFERROR(__xludf.DUMMYFUNCTION("""COMPUTED_VALUE"""),46161.7039004629)</f>
        <v>46161.703900462897</v>
      </c>
      <c r="D2020" s="2">
        <f ca="1">IFERROR(__xludf.DUMMYFUNCTION("""COMPUTED_VALUE"""),500)</f>
        <v>500</v>
      </c>
      <c r="E2020" s="2">
        <f ca="1">IFERROR(__xludf.DUMMYFUNCTION("""COMPUTED_VALUE"""),200000)</f>
        <v>200000</v>
      </c>
      <c r="F2020" s="2" t="str">
        <f ca="1">IFERROR(__xludf.DUMMYFUNCTION("""COMPUTED_VALUE"""),"AJUSTE COSECHA 2026")</f>
        <v>AJUSTE COSECHA 2026</v>
      </c>
      <c r="G2020" s="2">
        <f ca="1">IFERROR(__xludf.DUMMYFUNCTION("""COMPUTED_VALUE"""),27620)</f>
        <v>27620</v>
      </c>
      <c r="H2020" s="2">
        <f ca="1">IFERROR(__xludf.DUMMYFUNCTION("""COMPUTED_VALUE"""),28620)</f>
        <v>28620</v>
      </c>
      <c r="I2020" s="2"/>
      <c r="J2020" s="2"/>
      <c r="K2020" s="2" t="str">
        <f ca="1">IFERROR(__xludf.DUMMYFUNCTION("""COMPUTED_VALUE"""),"Terminado")</f>
        <v>Terminado</v>
      </c>
      <c r="L2020" s="2" t="str">
        <f ca="1">IFERROR(__xludf.DUMMYFUNCTION("""COMPUTED_VALUE"""),"1")</f>
        <v>1</v>
      </c>
      <c r="M2020" s="2" t="str">
        <f ca="1">IFERROR(__xludf.DUMMYFUNCTION("""COMPUTED_VALUE"""),"Tinto")</f>
        <v>Tinto</v>
      </c>
    </row>
    <row r="2021" spans="1:13" x14ac:dyDescent="0.25">
      <c r="A2021" s="2" t="str">
        <f ca="1">IFERROR(__xludf.DUMMYFUNCTION("""COMPUTED_VALUE"""),"22aecc3c")</f>
        <v>22aecc3c</v>
      </c>
      <c r="B2021" s="2"/>
      <c r="C2021" s="5">
        <f ca="1">IFERROR(__xludf.DUMMYFUNCTION("""COMPUTED_VALUE"""),46161.7045949074)</f>
        <v>46161.704594907402</v>
      </c>
      <c r="D2021" s="2">
        <f ca="1">IFERROR(__xludf.DUMMYFUNCTION("""COMPUTED_VALUE"""),500)</f>
        <v>500</v>
      </c>
      <c r="E2021" s="2">
        <f ca="1">IFERROR(__xludf.DUMMYFUNCTION("""COMPUTED_VALUE"""),200000)</f>
        <v>200000</v>
      </c>
      <c r="F2021" s="2" t="str">
        <f ca="1">IFERROR(__xludf.DUMMYFUNCTION("""COMPUTED_VALUE"""),"AJUSTE COSECHA 2026")</f>
        <v>AJUSTE COSECHA 2026</v>
      </c>
      <c r="G2021" s="2">
        <f ca="1">IFERROR(__xludf.DUMMYFUNCTION("""COMPUTED_VALUE"""),28620)</f>
        <v>28620</v>
      </c>
      <c r="H2021" s="2">
        <f ca="1">IFERROR(__xludf.DUMMYFUNCTION("""COMPUTED_VALUE"""),31620)</f>
        <v>31620</v>
      </c>
      <c r="I2021" s="2"/>
      <c r="J2021" s="2"/>
      <c r="K2021" s="2" t="str">
        <f ca="1">IFERROR(__xludf.DUMMYFUNCTION("""COMPUTED_VALUE"""),"Terminado")</f>
        <v>Terminado</v>
      </c>
      <c r="L2021" s="2" t="str">
        <f ca="1">IFERROR(__xludf.DUMMYFUNCTION("""COMPUTED_VALUE"""),"1")</f>
        <v>1</v>
      </c>
      <c r="M2021" s="2" t="str">
        <f ca="1">IFERROR(__xludf.DUMMYFUNCTION("""COMPUTED_VALUE"""),"Tinto")</f>
        <v>Tinto</v>
      </c>
    </row>
    <row r="2022" spans="1:13" x14ac:dyDescent="0.25">
      <c r="A2022" s="2" t="str">
        <f ca="1">IFERROR(__xludf.DUMMYFUNCTION("""COMPUTED_VALUE"""),"a3ebbc6f")</f>
        <v>a3ebbc6f</v>
      </c>
      <c r="B2022" s="2"/>
      <c r="C2022" s="5">
        <f ca="1">IFERROR(__xludf.DUMMYFUNCTION("""COMPUTED_VALUE"""),46161.7103703703)</f>
        <v>46161.710370370303</v>
      </c>
      <c r="D2022" s="2">
        <f ca="1">IFERROR(__xludf.DUMMYFUNCTION("""COMPUTED_VALUE"""),24)</f>
        <v>24</v>
      </c>
      <c r="E2022" s="2">
        <f ca="1">IFERROR(__xludf.DUMMYFUNCTION("""COMPUTED_VALUE"""),186600)</f>
        <v>186600</v>
      </c>
      <c r="F2022" s="2" t="str">
        <f ca="1">IFERROR(__xludf.DUMMYFUNCTION("""COMPUTED_VALUE"""),"Criolla")</f>
        <v>Criolla</v>
      </c>
      <c r="G2022" s="2">
        <f ca="1">IFERROR(__xludf.DUMMYFUNCTION("""COMPUTED_VALUE"""),0)</f>
        <v>0</v>
      </c>
      <c r="H2022" s="2">
        <f ca="1">IFERROR(__xludf.DUMMYFUNCTION("""COMPUTED_VALUE"""),30000)</f>
        <v>30000</v>
      </c>
      <c r="I2022" s="2"/>
      <c r="J2022" s="2"/>
      <c r="K2022" s="2" t="str">
        <f ca="1">IFERROR(__xludf.DUMMYFUNCTION("""COMPUTED_VALUE"""),"1er Trasiego")</f>
        <v>1er Trasiego</v>
      </c>
      <c r="L2022" s="2" t="str">
        <f ca="1">IFERROR(__xludf.DUMMYFUNCTION("""COMPUTED_VALUE"""),"1+")</f>
        <v>1+</v>
      </c>
      <c r="M2022" s="2" t="str">
        <f ca="1">IFERROR(__xludf.DUMMYFUNCTION("""COMPUTED_VALUE"""),"Tinto")</f>
        <v>Tinto</v>
      </c>
    </row>
    <row r="2023" spans="1:13" x14ac:dyDescent="0.25">
      <c r="A2023" s="2" t="str">
        <f ca="1">IFERROR(__xludf.DUMMYFUNCTION("""COMPUTED_VALUE"""),"de6ff9c7")</f>
        <v>de6ff9c7</v>
      </c>
      <c r="B2023" s="2"/>
      <c r="C2023" s="5">
        <f ca="1">IFERROR(__xludf.DUMMYFUNCTION("""COMPUTED_VALUE"""),46161.7106944444)</f>
        <v>46161.710694444402</v>
      </c>
      <c r="D2023" s="2">
        <f ca="1">IFERROR(__xludf.DUMMYFUNCTION("""COMPUTED_VALUE"""),24)</f>
        <v>24</v>
      </c>
      <c r="E2023" s="2">
        <f ca="1">IFERROR(__xludf.DUMMYFUNCTION("""COMPUTED_VALUE"""),186600)</f>
        <v>186600</v>
      </c>
      <c r="F2023" s="2" t="str">
        <f ca="1">IFERROR(__xludf.DUMMYFUNCTION("""COMPUTED_VALUE"""),"Criolla")</f>
        <v>Criolla</v>
      </c>
      <c r="G2023" s="2">
        <f ca="1">IFERROR(__xludf.DUMMYFUNCTION("""COMPUTED_VALUE"""),30000)</f>
        <v>30000</v>
      </c>
      <c r="H2023" s="2">
        <f ca="1">IFERROR(__xludf.DUMMYFUNCTION("""COMPUTED_VALUE"""),60000)</f>
        <v>60000</v>
      </c>
      <c r="I2023" s="2"/>
      <c r="J2023" s="2"/>
      <c r="K2023" s="2" t="str">
        <f ca="1">IFERROR(__xludf.DUMMYFUNCTION("""COMPUTED_VALUE"""),"1er Trasiego")</f>
        <v>1er Trasiego</v>
      </c>
      <c r="L2023" s="2" t="str">
        <f ca="1">IFERROR(__xludf.DUMMYFUNCTION("""COMPUTED_VALUE"""),"1+")</f>
        <v>1+</v>
      </c>
      <c r="M2023" s="2" t="str">
        <f ca="1">IFERROR(__xludf.DUMMYFUNCTION("""COMPUTED_VALUE"""),"Tinto")</f>
        <v>Tinto</v>
      </c>
    </row>
    <row r="2024" spans="1:13" x14ac:dyDescent="0.25">
      <c r="A2024" s="2" t="str">
        <f ca="1">IFERROR(__xludf.DUMMYFUNCTION("""COMPUTED_VALUE"""),"a5a271ff")</f>
        <v>a5a271ff</v>
      </c>
      <c r="B2024" s="2"/>
      <c r="C2024" s="5">
        <f ca="1">IFERROR(__xludf.DUMMYFUNCTION("""COMPUTED_VALUE"""),46161.7109375)</f>
        <v>46161.7109375</v>
      </c>
      <c r="D2024" s="2">
        <f ca="1">IFERROR(__xludf.DUMMYFUNCTION("""COMPUTED_VALUE"""),24)</f>
        <v>24</v>
      </c>
      <c r="E2024" s="2">
        <f ca="1">IFERROR(__xludf.DUMMYFUNCTION("""COMPUTED_VALUE"""),186600)</f>
        <v>186600</v>
      </c>
      <c r="F2024" s="2" t="str">
        <f ca="1">IFERROR(__xludf.DUMMYFUNCTION("""COMPUTED_VALUE"""),"Criolla")</f>
        <v>Criolla</v>
      </c>
      <c r="G2024" s="2">
        <f ca="1">IFERROR(__xludf.DUMMYFUNCTION("""COMPUTED_VALUE"""),60000)</f>
        <v>60000</v>
      </c>
      <c r="H2024" s="2">
        <f ca="1">IFERROR(__xludf.DUMMYFUNCTION("""COMPUTED_VALUE"""),79500)</f>
        <v>79500</v>
      </c>
      <c r="I2024" s="2"/>
      <c r="J2024" s="2"/>
      <c r="K2024" s="2" t="str">
        <f ca="1">IFERROR(__xludf.DUMMYFUNCTION("""COMPUTED_VALUE"""),"1er Trasiego")</f>
        <v>1er Trasiego</v>
      </c>
      <c r="L2024" s="2" t="str">
        <f ca="1">IFERROR(__xludf.DUMMYFUNCTION("""COMPUTED_VALUE"""),"1+")</f>
        <v>1+</v>
      </c>
      <c r="M2024" s="2" t="str">
        <f ca="1">IFERROR(__xludf.DUMMYFUNCTION("""COMPUTED_VALUE"""),"Tinto")</f>
        <v>Tinto</v>
      </c>
    </row>
    <row r="2025" spans="1:13" x14ac:dyDescent="0.25">
      <c r="A2025" s="2" t="str">
        <f ca="1">IFERROR(__xludf.DUMMYFUNCTION("""COMPUTED_VALUE"""),"32ba1e32")</f>
        <v>32ba1e32</v>
      </c>
      <c r="B2025" s="2"/>
      <c r="C2025" s="5">
        <f ca="1">IFERROR(__xludf.DUMMYFUNCTION("""COMPUTED_VALUE"""),46161.7112731481)</f>
        <v>46161.711273148103</v>
      </c>
      <c r="D2025" s="2">
        <f ca="1">IFERROR(__xludf.DUMMYFUNCTION("""COMPUTED_VALUE"""),24)</f>
        <v>24</v>
      </c>
      <c r="E2025" s="2">
        <f ca="1">IFERROR(__xludf.DUMMYFUNCTION("""COMPUTED_VALUE"""),186600)</f>
        <v>186600</v>
      </c>
      <c r="F2025" s="2" t="str">
        <f ca="1">IFERROR(__xludf.DUMMYFUNCTION("""COMPUTED_VALUE"""),"Criolla")</f>
        <v>Criolla</v>
      </c>
      <c r="G2025" s="2">
        <f ca="1">IFERROR(__xludf.DUMMYFUNCTION("""COMPUTED_VALUE"""),79500)</f>
        <v>79500</v>
      </c>
      <c r="H2025" s="2">
        <f ca="1">IFERROR(__xludf.DUMMYFUNCTION("""COMPUTED_VALUE"""),119000)</f>
        <v>119000</v>
      </c>
      <c r="I2025" s="2"/>
      <c r="J2025" s="2"/>
      <c r="K2025" s="2" t="str">
        <f ca="1">IFERROR(__xludf.DUMMYFUNCTION("""COMPUTED_VALUE"""),"1er Trasiego")</f>
        <v>1er Trasiego</v>
      </c>
      <c r="L2025" s="2" t="str">
        <f ca="1">IFERROR(__xludf.DUMMYFUNCTION("""COMPUTED_VALUE"""),"1+")</f>
        <v>1+</v>
      </c>
      <c r="M2025" s="2" t="str">
        <f ca="1">IFERROR(__xludf.DUMMYFUNCTION("""COMPUTED_VALUE"""),"Tinto")</f>
        <v>Tinto</v>
      </c>
    </row>
    <row r="2026" spans="1:13" x14ac:dyDescent="0.25">
      <c r="A2026" s="2" t="str">
        <f ca="1">IFERROR(__xludf.DUMMYFUNCTION("""COMPUTED_VALUE"""),"dd7f3396")</f>
        <v>dd7f3396</v>
      </c>
      <c r="B2026" s="2"/>
      <c r="C2026" s="5">
        <f ca="1">IFERROR(__xludf.DUMMYFUNCTION("""COMPUTED_VALUE"""),46161.7116319444)</f>
        <v>46161.711631944403</v>
      </c>
      <c r="D2026" s="2">
        <f ca="1">IFERROR(__xludf.DUMMYFUNCTION("""COMPUTED_VALUE"""),24)</f>
        <v>24</v>
      </c>
      <c r="E2026" s="2">
        <f ca="1">IFERROR(__xludf.DUMMYFUNCTION("""COMPUTED_VALUE"""),186600)</f>
        <v>186600</v>
      </c>
      <c r="F2026" s="2" t="str">
        <f ca="1">IFERROR(__xludf.DUMMYFUNCTION("""COMPUTED_VALUE"""),"Criolla")</f>
        <v>Criolla</v>
      </c>
      <c r="G2026" s="2">
        <f ca="1">IFERROR(__xludf.DUMMYFUNCTION("""COMPUTED_VALUE"""),119000)</f>
        <v>119000</v>
      </c>
      <c r="H2026" s="2">
        <f ca="1">IFERROR(__xludf.DUMMYFUNCTION("""COMPUTED_VALUE"""),154500)</f>
        <v>154500</v>
      </c>
      <c r="I2026" s="2"/>
      <c r="J2026" s="2"/>
      <c r="K2026" s="2" t="str">
        <f ca="1">IFERROR(__xludf.DUMMYFUNCTION("""COMPUTED_VALUE"""),"1er Trasiego")</f>
        <v>1er Trasiego</v>
      </c>
      <c r="L2026" s="2" t="str">
        <f ca="1">IFERROR(__xludf.DUMMYFUNCTION("""COMPUTED_VALUE"""),"1+")</f>
        <v>1+</v>
      </c>
      <c r="M2026" s="2" t="str">
        <f ca="1">IFERROR(__xludf.DUMMYFUNCTION("""COMPUTED_VALUE"""),"Tinto")</f>
        <v>Tinto</v>
      </c>
    </row>
    <row r="2027" spans="1:13" x14ac:dyDescent="0.25">
      <c r="A2027" s="2" t="str">
        <f ca="1">IFERROR(__xludf.DUMMYFUNCTION("""COMPUTED_VALUE"""),"0e75af49")</f>
        <v>0e75af49</v>
      </c>
      <c r="B2027" s="2"/>
      <c r="C2027" s="5">
        <f ca="1">IFERROR(__xludf.DUMMYFUNCTION("""COMPUTED_VALUE"""),46161.7118402777)</f>
        <v>46161.711840277698</v>
      </c>
      <c r="D2027" s="2">
        <f ca="1">IFERROR(__xludf.DUMMYFUNCTION("""COMPUTED_VALUE"""),24)</f>
        <v>24</v>
      </c>
      <c r="E2027" s="2">
        <f ca="1">IFERROR(__xludf.DUMMYFUNCTION("""COMPUTED_VALUE"""),186600)</f>
        <v>186600</v>
      </c>
      <c r="F2027" s="2" t="str">
        <f ca="1">IFERROR(__xludf.DUMMYFUNCTION("""COMPUTED_VALUE"""),"Criolla Vol")</f>
        <v>Criolla Vol</v>
      </c>
      <c r="G2027" s="2">
        <f ca="1">IFERROR(__xludf.DUMMYFUNCTION("""COMPUTED_VALUE"""),154500)</f>
        <v>154500</v>
      </c>
      <c r="H2027" s="2">
        <f ca="1">IFERROR(__xludf.DUMMYFUNCTION("""COMPUTED_VALUE"""),159200)</f>
        <v>159200</v>
      </c>
      <c r="I2027" s="2"/>
      <c r="J2027" s="2"/>
      <c r="K2027" s="2" t="str">
        <f ca="1">IFERROR(__xludf.DUMMYFUNCTION("""COMPUTED_VALUE"""),"Rectificado")</f>
        <v>Rectificado</v>
      </c>
      <c r="L2027" s="2" t="str">
        <f ca="1">IFERROR(__xludf.DUMMYFUNCTION("""COMPUTED_VALUE"""),"1-")</f>
        <v>1-</v>
      </c>
      <c r="M2027" s="2" t="str">
        <f ca="1">IFERROR(__xludf.DUMMYFUNCTION("""COMPUTED_VALUE"""),"Tinto")</f>
        <v>Tinto</v>
      </c>
    </row>
    <row r="2028" spans="1:13" x14ac:dyDescent="0.25">
      <c r="A2028" s="2" t="str">
        <f ca="1">IFERROR(__xludf.DUMMYFUNCTION("""COMPUTED_VALUE"""),"2c1bae95")</f>
        <v>2c1bae95</v>
      </c>
      <c r="B2028" s="2"/>
      <c r="C2028" s="5">
        <f ca="1">IFERROR(__xludf.DUMMYFUNCTION("""COMPUTED_VALUE"""),46161.7120833333)</f>
        <v>46161.712083333303</v>
      </c>
      <c r="D2028" s="2">
        <f ca="1">IFERROR(__xludf.DUMMYFUNCTION("""COMPUTED_VALUE"""),24)</f>
        <v>24</v>
      </c>
      <c r="E2028" s="2">
        <f ca="1">IFERROR(__xludf.DUMMYFUNCTION("""COMPUTED_VALUE"""),186600)</f>
        <v>186600</v>
      </c>
      <c r="F2028" s="2" t="str">
        <f ca="1">IFERROR(__xludf.DUMMYFUNCTION("""COMPUTED_VALUE"""),"Criolla")</f>
        <v>Criolla</v>
      </c>
      <c r="G2028" s="2">
        <f ca="1">IFERROR(__xludf.DUMMYFUNCTION("""COMPUTED_VALUE"""),159200)</f>
        <v>159200</v>
      </c>
      <c r="H2028" s="2">
        <f ca="1">IFERROR(__xludf.DUMMYFUNCTION("""COMPUTED_VALUE"""),184200)</f>
        <v>184200</v>
      </c>
      <c r="I2028" s="2"/>
      <c r="J2028" s="2"/>
      <c r="K2028" s="2" t="str">
        <f ca="1">IFERROR(__xludf.DUMMYFUNCTION("""COMPUTED_VALUE"""),"1er Trasiego")</f>
        <v>1er Trasiego</v>
      </c>
      <c r="L2028" s="2"/>
      <c r="M2028" s="2" t="str">
        <f ca="1">IFERROR(__xludf.DUMMYFUNCTION("""COMPUTED_VALUE"""),"Tinto")</f>
        <v>Tinto</v>
      </c>
    </row>
    <row r="2029" spans="1:13" x14ac:dyDescent="0.25">
      <c r="A2029" s="2" t="str">
        <f ca="1">IFERROR(__xludf.DUMMYFUNCTION("""COMPUTED_VALUE"""),"ac319851")</f>
        <v>ac319851</v>
      </c>
      <c r="B2029" s="2"/>
      <c r="C2029" s="5">
        <f ca="1">IFERROR(__xludf.DUMMYFUNCTION("""COMPUTED_VALUE"""),46161.7185185185)</f>
        <v>46161.718518518501</v>
      </c>
      <c r="D2029" s="2">
        <f ca="1">IFERROR(__xludf.DUMMYFUNCTION("""COMPUTED_VALUE"""),121)</f>
        <v>121</v>
      </c>
      <c r="E2029" s="2">
        <f ca="1">IFERROR(__xludf.DUMMYFUNCTION("""COMPUTED_VALUE"""),85800)</f>
        <v>85800</v>
      </c>
      <c r="F2029" s="2" t="str">
        <f ca="1">IFERROR(__xludf.DUMMYFUNCTION("""COMPUTED_VALUE"""),"Malbec")</f>
        <v>Malbec</v>
      </c>
      <c r="G2029" s="2">
        <f ca="1">IFERROR(__xludf.DUMMYFUNCTION("""COMPUTED_VALUE"""),31000)</f>
        <v>31000</v>
      </c>
      <c r="H2029" s="2">
        <f ca="1">IFERROR(__xludf.DUMMYFUNCTION("""COMPUTED_VALUE"""),67300)</f>
        <v>67300</v>
      </c>
      <c r="I2029" s="2"/>
      <c r="J2029" s="2"/>
      <c r="K2029" s="2" t="str">
        <f ca="1">IFERROR(__xludf.DUMMYFUNCTION("""COMPUTED_VALUE"""),"1er Trasiego")</f>
        <v>1er Trasiego</v>
      </c>
      <c r="L2029" s="2"/>
      <c r="M2029" s="2" t="str">
        <f ca="1">IFERROR(__xludf.DUMMYFUNCTION("""COMPUTED_VALUE"""),"Tinto")</f>
        <v>Tinto</v>
      </c>
    </row>
    <row r="2030" spans="1:13" x14ac:dyDescent="0.25">
      <c r="A2030" s="2" t="str">
        <f ca="1">IFERROR(__xludf.DUMMYFUNCTION("""COMPUTED_VALUE"""),"2f111639")</f>
        <v>2f111639</v>
      </c>
      <c r="B2030" s="2"/>
      <c r="C2030" s="5">
        <f ca="1">IFERROR(__xludf.DUMMYFUNCTION("""COMPUTED_VALUE"""),46161.7188773148)</f>
        <v>46161.718877314801</v>
      </c>
      <c r="D2030" s="2">
        <f ca="1">IFERROR(__xludf.DUMMYFUNCTION("""COMPUTED_VALUE"""),121)</f>
        <v>121</v>
      </c>
      <c r="E2030" s="2">
        <f ca="1">IFERROR(__xludf.DUMMYFUNCTION("""COMPUTED_VALUE"""),85800)</f>
        <v>85800</v>
      </c>
      <c r="F2030" s="2" t="str">
        <f ca="1">IFERROR(__xludf.DUMMYFUNCTION("""COMPUTED_VALUE"""),"Malbec")</f>
        <v>Malbec</v>
      </c>
      <c r="G2030" s="2">
        <f ca="1">IFERROR(__xludf.DUMMYFUNCTION("""COMPUTED_VALUE"""),67300)</f>
        <v>67300</v>
      </c>
      <c r="H2030" s="2">
        <f ca="1">IFERROR(__xludf.DUMMYFUNCTION("""COMPUTED_VALUE"""),85800)</f>
        <v>85800</v>
      </c>
      <c r="I2030" s="2"/>
      <c r="J2030" s="2"/>
      <c r="K2030" s="2" t="str">
        <f ca="1">IFERROR(__xludf.DUMMYFUNCTION("""COMPUTED_VALUE"""),"1er Trasiego")</f>
        <v>1er Trasiego</v>
      </c>
      <c r="L2030" s="2" t="str">
        <f ca="1">IFERROR(__xludf.DUMMYFUNCTION("""COMPUTED_VALUE"""),"1")</f>
        <v>1</v>
      </c>
      <c r="M2030" s="2" t="str">
        <f ca="1">IFERROR(__xludf.DUMMYFUNCTION("""COMPUTED_VALUE"""),"Tinto")</f>
        <v>Tinto</v>
      </c>
    </row>
    <row r="2031" spans="1:13" x14ac:dyDescent="0.25">
      <c r="A2031" s="2" t="str">
        <f ca="1">IFERROR(__xludf.DUMMYFUNCTION("""COMPUTED_VALUE"""),"f4f50fc1")</f>
        <v>f4f50fc1</v>
      </c>
      <c r="B2031" s="2"/>
      <c r="C2031" s="5">
        <f ca="1">IFERROR(__xludf.DUMMYFUNCTION("""COMPUTED_VALUE"""),46161.7192129629)</f>
        <v>46161.719212962897</v>
      </c>
      <c r="D2031" s="2">
        <f ca="1">IFERROR(__xludf.DUMMYFUNCTION("""COMPUTED_VALUE"""),108)</f>
        <v>108</v>
      </c>
      <c r="E2031" s="2">
        <f ca="1">IFERROR(__xludf.DUMMYFUNCTION("""COMPUTED_VALUE"""),31000)</f>
        <v>31000</v>
      </c>
      <c r="F2031" s="2" t="str">
        <f ca="1">IFERROR(__xludf.DUMMYFUNCTION("""COMPUTED_VALUE"""),"Syrah Malbec s/Asp 2")</f>
        <v>Syrah Malbec s/Asp 2</v>
      </c>
      <c r="G2031" s="2">
        <f ca="1">IFERROR(__xludf.DUMMYFUNCTION("""COMPUTED_VALUE"""),30600)</f>
        <v>30600</v>
      </c>
      <c r="H2031" s="2">
        <f ca="1">IFERROR(__xludf.DUMMYFUNCTION("""COMPUTED_VALUE"""),31000)</f>
        <v>31000</v>
      </c>
      <c r="I2031" s="2"/>
      <c r="J2031" s="2"/>
      <c r="K2031" s="2" t="str">
        <f ca="1">IFERROR(__xludf.DUMMYFUNCTION("""COMPUTED_VALUE"""),"1er Trasiego")</f>
        <v>1er Trasiego</v>
      </c>
      <c r="L2031" s="2" t="str">
        <f ca="1">IFERROR(__xludf.DUMMYFUNCTION("""COMPUTED_VALUE"""),"1+")</f>
        <v>1+</v>
      </c>
      <c r="M2031" s="2" t="str">
        <f ca="1">IFERROR(__xludf.DUMMYFUNCTION("""COMPUTED_VALUE"""),"Tinto")</f>
        <v>Tinto</v>
      </c>
    </row>
    <row r="2032" spans="1:13" x14ac:dyDescent="0.25">
      <c r="A2032" s="2" t="str">
        <f ca="1">IFERROR(__xludf.DUMMYFUNCTION("""COMPUTED_VALUE"""),"33054c4c")</f>
        <v>33054c4c</v>
      </c>
      <c r="B2032" s="2"/>
      <c r="C2032" s="5">
        <f ca="1">IFERROR(__xludf.DUMMYFUNCTION("""COMPUTED_VALUE"""),46161.7194907407)</f>
        <v>46161.719490740703</v>
      </c>
      <c r="D2032" s="2">
        <f ca="1">IFERROR(__xludf.DUMMYFUNCTION("""COMPUTED_VALUE"""),106)</f>
        <v>106</v>
      </c>
      <c r="E2032" s="2">
        <f ca="1">IFERROR(__xludf.DUMMYFUNCTION("""COMPUTED_VALUE"""),11000)</f>
        <v>11000</v>
      </c>
      <c r="F2032" s="2" t="str">
        <f ca="1">IFERROR(__xludf.DUMMYFUNCTION("""COMPUTED_VALUE"""),"Malbec Mer s/Asp 3")</f>
        <v>Malbec Mer s/Asp 3</v>
      </c>
      <c r="G2032" s="2">
        <f ca="1">IFERROR(__xludf.DUMMYFUNCTION("""COMPUTED_VALUE"""),0)</f>
        <v>0</v>
      </c>
      <c r="H2032" s="2">
        <f ca="1">IFERROR(__xludf.DUMMYFUNCTION("""COMPUTED_VALUE"""),11000)</f>
        <v>11000</v>
      </c>
      <c r="I2032" s="2"/>
      <c r="J2032" s="2"/>
      <c r="K2032" s="2" t="str">
        <f ca="1">IFERROR(__xludf.DUMMYFUNCTION("""COMPUTED_VALUE"""),"1er Trasiego")</f>
        <v>1er Trasiego</v>
      </c>
      <c r="L2032" s="2" t="str">
        <f ca="1">IFERROR(__xludf.DUMMYFUNCTION("""COMPUTED_VALUE"""),"1+")</f>
        <v>1+</v>
      </c>
      <c r="M2032" s="2" t="str">
        <f ca="1">IFERROR(__xludf.DUMMYFUNCTION("""COMPUTED_VALUE"""),"Tinto")</f>
        <v>Tinto</v>
      </c>
    </row>
    <row r="2033" spans="1:13" x14ac:dyDescent="0.25">
      <c r="A2033" s="2" t="str">
        <f ca="1">IFERROR(__xludf.DUMMYFUNCTION("""COMPUTED_VALUE"""),"173d8e07")</f>
        <v>173d8e07</v>
      </c>
      <c r="B2033" s="2"/>
      <c r="C2033" s="5">
        <f ca="1">IFERROR(__xludf.DUMMYFUNCTION("""COMPUTED_VALUE"""),46161.7200810185)</f>
        <v>46161.720081018502</v>
      </c>
      <c r="D2033" s="2">
        <f ca="1">IFERROR(__xludf.DUMMYFUNCTION("""COMPUTED_VALUE"""),109)</f>
        <v>109</v>
      </c>
      <c r="E2033" s="2">
        <f ca="1">IFERROR(__xludf.DUMMYFUNCTION("""COMPUTED_VALUE"""),15600)</f>
        <v>15600</v>
      </c>
      <c r="F2033" s="2" t="str">
        <f ca="1">IFERROR(__xludf.DUMMYFUNCTION("""COMPUTED_VALUE"""),"Malbec Mer s/Asp 3")</f>
        <v>Malbec Mer s/Asp 3</v>
      </c>
      <c r="G2033" s="2">
        <f ca="1">IFERROR(__xludf.DUMMYFUNCTION("""COMPUTED_VALUE"""),0)</f>
        <v>0</v>
      </c>
      <c r="H2033" s="2">
        <f ca="1">IFERROR(__xludf.DUMMYFUNCTION("""COMPUTED_VALUE"""),2000)</f>
        <v>2000</v>
      </c>
      <c r="I2033" s="2"/>
      <c r="J2033" s="2"/>
      <c r="K2033" s="2" t="str">
        <f ca="1">IFERROR(__xludf.DUMMYFUNCTION("""COMPUTED_VALUE"""),"1er Trasiego")</f>
        <v>1er Trasiego</v>
      </c>
      <c r="L2033" s="2"/>
      <c r="M2033" s="2" t="str">
        <f ca="1">IFERROR(__xludf.DUMMYFUNCTION("""COMPUTED_VALUE"""),"Tinto")</f>
        <v>Tinto</v>
      </c>
    </row>
    <row r="2034" spans="1:13" x14ac:dyDescent="0.25">
      <c r="A2034" s="2" t="str">
        <f ca="1">IFERROR(__xludf.DUMMYFUNCTION("""COMPUTED_VALUE"""),"7ee6c7e5")</f>
        <v>7ee6c7e5</v>
      </c>
      <c r="B2034" s="2"/>
      <c r="C2034" s="5">
        <f ca="1">IFERROR(__xludf.DUMMYFUNCTION("""COMPUTED_VALUE"""),46161.7203356481)</f>
        <v>46161.720335648097</v>
      </c>
      <c r="D2034" s="2">
        <f ca="1">IFERROR(__xludf.DUMMYFUNCTION("""COMPUTED_VALUE"""),935)</f>
        <v>935</v>
      </c>
      <c r="E2034" s="2">
        <f ca="1">IFERROR(__xludf.DUMMYFUNCTION("""COMPUTED_VALUE"""),11200)</f>
        <v>11200</v>
      </c>
      <c r="F2034" s="2" t="str">
        <f ca="1">IFERROR(__xludf.DUMMYFUNCTION("""COMPUTED_VALUE"""),"Borra")</f>
        <v>Borra</v>
      </c>
      <c r="G2034" s="2">
        <f ca="1">IFERROR(__xludf.DUMMYFUNCTION("""COMPUTED_VALUE"""),7400)</f>
        <v>7400</v>
      </c>
      <c r="H2034" s="2">
        <f ca="1">IFERROR(__xludf.DUMMYFUNCTION("""COMPUTED_VALUE"""),10600)</f>
        <v>10600</v>
      </c>
      <c r="I2034" s="2"/>
      <c r="J2034" s="2"/>
      <c r="K2034" s="2" t="str">
        <f ca="1">IFERROR(__xludf.DUMMYFUNCTION("""COMPUTED_VALUE"""),"1er Trasiego")</f>
        <v>1er Trasiego</v>
      </c>
      <c r="L2034" s="2"/>
      <c r="M2034" s="2" t="str">
        <f ca="1">IFERROR(__xludf.DUMMYFUNCTION("""COMPUTED_VALUE"""),"Tinto")</f>
        <v>Tinto</v>
      </c>
    </row>
    <row r="2035" spans="1:13" x14ac:dyDescent="0.25">
      <c r="A2035" s="2" t="str">
        <f ca="1">IFERROR(__xludf.DUMMYFUNCTION("""COMPUTED_VALUE"""),"36c93198")</f>
        <v>36c93198</v>
      </c>
      <c r="B2035" s="2"/>
      <c r="C2035" s="5">
        <f ca="1">IFERROR(__xludf.DUMMYFUNCTION("""COMPUTED_VALUE"""),46161.7211342592)</f>
        <v>46161.721134259198</v>
      </c>
      <c r="D2035" s="2">
        <f ca="1">IFERROR(__xludf.DUMMYFUNCTION("""COMPUTED_VALUE"""),109)</f>
        <v>109</v>
      </c>
      <c r="E2035" s="2">
        <f ca="1">IFERROR(__xludf.DUMMYFUNCTION("""COMPUTED_VALUE"""),15600)</f>
        <v>15600</v>
      </c>
      <c r="F2035" s="2" t="str">
        <f ca="1">IFERROR(__xludf.DUMMYFUNCTION("""COMPUTED_VALUE"""),"Aspirant Rect 2025")</f>
        <v>Aspirant Rect 2025</v>
      </c>
      <c r="G2035" s="2">
        <f ca="1">IFERROR(__xludf.DUMMYFUNCTION("""COMPUTED_VALUE"""),2000)</f>
        <v>2000</v>
      </c>
      <c r="H2035" s="2">
        <f ca="1">IFERROR(__xludf.DUMMYFUNCTION("""COMPUTED_VALUE"""),15600)</f>
        <v>15600</v>
      </c>
      <c r="I2035" s="2"/>
      <c r="J2035" s="2"/>
      <c r="K2035" s="2" t="str">
        <f ca="1">IFERROR(__xludf.DUMMYFUNCTION("""COMPUTED_VALUE"""),"Rectificado")</f>
        <v>Rectificado</v>
      </c>
      <c r="L2035" s="2" t="str">
        <f ca="1">IFERROR(__xludf.DUMMYFUNCTION("""COMPUTED_VALUE"""),"2+")</f>
        <v>2+</v>
      </c>
      <c r="M2035" s="2" t="str">
        <f ca="1">IFERROR(__xludf.DUMMYFUNCTION("""COMPUTED_VALUE"""),"Tinto")</f>
        <v>Tinto</v>
      </c>
    </row>
    <row r="2036" spans="1:13" x14ac:dyDescent="0.25">
      <c r="A2036" s="2" t="str">
        <f ca="1">IFERROR(__xludf.DUMMYFUNCTION("""COMPUTED_VALUE"""),"436f0ad4")</f>
        <v>436f0ad4</v>
      </c>
      <c r="B2036" s="2"/>
      <c r="C2036" s="5">
        <f ca="1">IFERROR(__xludf.DUMMYFUNCTION("""COMPUTED_VALUE"""),46161.7214004629)</f>
        <v>46161.721400462899</v>
      </c>
      <c r="D2036" s="2">
        <f ca="1">IFERROR(__xludf.DUMMYFUNCTION("""COMPUTED_VALUE"""),110)</f>
        <v>110</v>
      </c>
      <c r="E2036" s="2">
        <f ca="1">IFERROR(__xludf.DUMMYFUNCTION("""COMPUTED_VALUE"""),15600)</f>
        <v>15600</v>
      </c>
      <c r="F2036" s="2" t="str">
        <f ca="1">IFERROR(__xludf.DUMMYFUNCTION("""COMPUTED_VALUE"""),"Aspirant Rect 2025")</f>
        <v>Aspirant Rect 2025</v>
      </c>
      <c r="G2036" s="2">
        <f ca="1">IFERROR(__xludf.DUMMYFUNCTION("""COMPUTED_VALUE"""),0)</f>
        <v>0</v>
      </c>
      <c r="H2036" s="2">
        <f ca="1">IFERROR(__xludf.DUMMYFUNCTION("""COMPUTED_VALUE"""),15600)</f>
        <v>15600</v>
      </c>
      <c r="I2036" s="2"/>
      <c r="J2036" s="2"/>
      <c r="K2036" s="2" t="str">
        <f ca="1">IFERROR(__xludf.DUMMYFUNCTION("""COMPUTED_VALUE"""),"Rectificado")</f>
        <v>Rectificado</v>
      </c>
      <c r="L2036" s="2" t="str">
        <f ca="1">IFERROR(__xludf.DUMMYFUNCTION("""COMPUTED_VALUE"""),"2+")</f>
        <v>2+</v>
      </c>
      <c r="M2036" s="2" t="str">
        <f ca="1">IFERROR(__xludf.DUMMYFUNCTION("""COMPUTED_VALUE"""),"Tinto")</f>
        <v>Tinto</v>
      </c>
    </row>
    <row r="2037" spans="1:13" x14ac:dyDescent="0.25">
      <c r="A2037" s="2" t="str">
        <f ca="1">IFERROR(__xludf.DUMMYFUNCTION("""COMPUTED_VALUE"""),"fefa8dcc")</f>
        <v>fefa8dcc</v>
      </c>
      <c r="B2037" s="2"/>
      <c r="C2037" s="5">
        <f ca="1">IFERROR(__xludf.DUMMYFUNCTION("""COMPUTED_VALUE"""),46161.7215972222)</f>
        <v>46161.721597222197</v>
      </c>
      <c r="D2037" s="2">
        <f ca="1">IFERROR(__xludf.DUMMYFUNCTION("""COMPUTED_VALUE"""),25)</f>
        <v>25</v>
      </c>
      <c r="E2037" s="2">
        <f ca="1">IFERROR(__xludf.DUMMYFUNCTION("""COMPUTED_VALUE"""),194300)</f>
        <v>194300</v>
      </c>
      <c r="F2037" s="2" t="str">
        <f ca="1">IFERROR(__xludf.DUMMYFUNCTION("""COMPUTED_VALUE"""),"Anccellota Aspirant Rect")</f>
        <v>Anccellota Aspirant Rect</v>
      </c>
      <c r="G2037" s="2">
        <f ca="1">IFERROR(__xludf.DUMMYFUNCTION("""COMPUTED_VALUE"""),0)</f>
        <v>0</v>
      </c>
      <c r="H2037" s="2">
        <f ca="1">IFERROR(__xludf.DUMMYFUNCTION("""COMPUTED_VALUE"""),800)</f>
        <v>800</v>
      </c>
      <c r="I2037" s="2"/>
      <c r="J2037" s="2"/>
      <c r="K2037" s="2" t="str">
        <f ca="1">IFERROR(__xludf.DUMMYFUNCTION("""COMPUTED_VALUE"""),"Rectificado")</f>
        <v>Rectificado</v>
      </c>
      <c r="L2037" s="2" t="str">
        <f ca="1">IFERROR(__xludf.DUMMYFUNCTION("""COMPUTED_VALUE"""),"2+")</f>
        <v>2+</v>
      </c>
      <c r="M2037" s="2" t="str">
        <f ca="1">IFERROR(__xludf.DUMMYFUNCTION("""COMPUTED_VALUE"""),"Tinto")</f>
        <v>Tinto</v>
      </c>
    </row>
    <row r="2038" spans="1:13" x14ac:dyDescent="0.25">
      <c r="A2038" s="2" t="str">
        <f ca="1">IFERROR(__xludf.DUMMYFUNCTION("""COMPUTED_VALUE"""),"2a673d5e")</f>
        <v>2a673d5e</v>
      </c>
      <c r="B2038" s="2"/>
      <c r="C2038" s="5">
        <f ca="1">IFERROR(__xludf.DUMMYFUNCTION("""COMPUTED_VALUE"""),46161.7297222222)</f>
        <v>46161.729722222197</v>
      </c>
      <c r="D2038" s="2">
        <f ca="1">IFERROR(__xludf.DUMMYFUNCTION("""COMPUTED_VALUE"""),25)</f>
        <v>25</v>
      </c>
      <c r="E2038" s="2">
        <f ca="1">IFERROR(__xludf.DUMMYFUNCTION("""COMPUTED_VALUE"""),194300)</f>
        <v>194300</v>
      </c>
      <c r="F2038" s="2" t="str">
        <f ca="1">IFERROR(__xludf.DUMMYFUNCTION("""COMPUTED_VALUE"""),"Anccellota Aspirant Rect")</f>
        <v>Anccellota Aspirant Rect</v>
      </c>
      <c r="G2038" s="2">
        <f ca="1">IFERROR(__xludf.DUMMYFUNCTION("""COMPUTED_VALUE"""),800)</f>
        <v>800</v>
      </c>
      <c r="H2038" s="2">
        <f ca="1">IFERROR(__xludf.DUMMYFUNCTION("""COMPUTED_VALUE"""),94500)</f>
        <v>94500</v>
      </c>
      <c r="I2038" s="2"/>
      <c r="J2038" s="2"/>
      <c r="K2038" s="2" t="str">
        <f ca="1">IFERROR(__xludf.DUMMYFUNCTION("""COMPUTED_VALUE"""),"Rectificado")</f>
        <v>Rectificado</v>
      </c>
      <c r="L2038" s="2" t="str">
        <f ca="1">IFERROR(__xludf.DUMMYFUNCTION("""COMPUTED_VALUE"""),"2+")</f>
        <v>2+</v>
      </c>
      <c r="M2038" s="2" t="str">
        <f ca="1">IFERROR(__xludf.DUMMYFUNCTION("""COMPUTED_VALUE"""),"Tinto")</f>
        <v>Tinto</v>
      </c>
    </row>
    <row r="2039" spans="1:13" x14ac:dyDescent="0.25">
      <c r="A2039" s="2" t="str">
        <f ca="1">IFERROR(__xludf.DUMMYFUNCTION("""COMPUTED_VALUE"""),"8cacf6f7")</f>
        <v>8cacf6f7</v>
      </c>
      <c r="B2039" s="2"/>
      <c r="C2039" s="5">
        <f ca="1">IFERROR(__xludf.DUMMYFUNCTION("""COMPUTED_VALUE"""),46161.7301504629)</f>
        <v>46161.730150462899</v>
      </c>
      <c r="D2039" s="2">
        <f ca="1">IFERROR(__xludf.DUMMYFUNCTION("""COMPUTED_VALUE"""),25)</f>
        <v>25</v>
      </c>
      <c r="E2039" s="2">
        <f ca="1">IFERROR(__xludf.DUMMYFUNCTION("""COMPUTED_VALUE"""),194300)</f>
        <v>194300</v>
      </c>
      <c r="F2039" s="2" t="str">
        <f ca="1">IFERROR(__xludf.DUMMYFUNCTION("""COMPUTED_VALUE"""),"Criolla Recarga")</f>
        <v>Criolla Recarga</v>
      </c>
      <c r="G2039" s="2">
        <f ca="1">IFERROR(__xludf.DUMMYFUNCTION("""COMPUTED_VALUE"""),94500)</f>
        <v>94500</v>
      </c>
      <c r="H2039" s="2">
        <f ca="1">IFERROR(__xludf.DUMMYFUNCTION("""COMPUTED_VALUE"""),171600)</f>
        <v>171600</v>
      </c>
      <c r="I2039" s="2"/>
      <c r="J2039" s="2"/>
      <c r="K2039" s="2" t="str">
        <f ca="1">IFERROR(__xludf.DUMMYFUNCTION("""COMPUTED_VALUE"""),"1er Trasiego")</f>
        <v>1er Trasiego</v>
      </c>
      <c r="L2039" s="2" t="str">
        <f ca="1">IFERROR(__xludf.DUMMYFUNCTION("""COMPUTED_VALUE"""),"1")</f>
        <v>1</v>
      </c>
      <c r="M2039" s="2" t="str">
        <f ca="1">IFERROR(__xludf.DUMMYFUNCTION("""COMPUTED_VALUE"""),"Tinto")</f>
        <v>Tinto</v>
      </c>
    </row>
    <row r="2040" spans="1:13" x14ac:dyDescent="0.25">
      <c r="A2040" s="2" t="str">
        <f ca="1">IFERROR(__xludf.DUMMYFUNCTION("""COMPUTED_VALUE"""),"fc0f53f2")</f>
        <v>fc0f53f2</v>
      </c>
      <c r="B2040" s="2"/>
      <c r="C2040" s="5">
        <f ca="1">IFERROR(__xludf.DUMMYFUNCTION("""COMPUTED_VALUE"""),46162.7274884259)</f>
        <v>46162.727488425902</v>
      </c>
      <c r="D2040" s="2">
        <f ca="1">IFERROR(__xludf.DUMMYFUNCTION("""COMPUTED_VALUE"""),25)</f>
        <v>25</v>
      </c>
      <c r="E2040" s="2">
        <f ca="1">IFERROR(__xludf.DUMMYFUNCTION("""COMPUTED_VALUE"""),194300)</f>
        <v>194300</v>
      </c>
      <c r="F2040" s="2" t="str">
        <f ca="1">IFERROR(__xludf.DUMMYFUNCTION("""COMPUTED_VALUE"""),"Criolla Recarga")</f>
        <v>Criolla Recarga</v>
      </c>
      <c r="G2040" s="2">
        <f ca="1">IFERROR(__xludf.DUMMYFUNCTION("""COMPUTED_VALUE"""),171600)</f>
        <v>171600</v>
      </c>
      <c r="H2040" s="2">
        <f ca="1">IFERROR(__xludf.DUMMYFUNCTION("""COMPUTED_VALUE"""),187600)</f>
        <v>187600</v>
      </c>
      <c r="I2040" s="2"/>
      <c r="J2040" s="2"/>
      <c r="K2040" s="2" t="str">
        <f ca="1">IFERROR(__xludf.DUMMYFUNCTION("""COMPUTED_VALUE"""),"1er Trasiego")</f>
        <v>1er Trasiego</v>
      </c>
      <c r="L2040" s="2" t="str">
        <f ca="1">IFERROR(__xludf.DUMMYFUNCTION("""COMPUTED_VALUE"""),"1")</f>
        <v>1</v>
      </c>
      <c r="M2040" s="2" t="str">
        <f ca="1">IFERROR(__xludf.DUMMYFUNCTION("""COMPUTED_VALUE"""),"Tinto")</f>
        <v>Tinto</v>
      </c>
    </row>
    <row r="2041" spans="1:13" x14ac:dyDescent="0.25">
      <c r="A2041" s="2" t="str">
        <f ca="1">IFERROR(__xludf.DUMMYFUNCTION("""COMPUTED_VALUE"""),"9c52bb08")</f>
        <v>9c52bb08</v>
      </c>
      <c r="B2041" s="2"/>
      <c r="C2041" s="5">
        <f ca="1">IFERROR(__xludf.DUMMYFUNCTION("""COMPUTED_VALUE"""),46162.7281018518)</f>
        <v>46162.728101851797</v>
      </c>
      <c r="D2041" s="2">
        <f ca="1">IFERROR(__xludf.DUMMYFUNCTION("""COMPUTED_VALUE"""),95)</f>
        <v>95</v>
      </c>
      <c r="E2041" s="2">
        <f ca="1">IFERROR(__xludf.DUMMYFUNCTION("""COMPUTED_VALUE"""),77100)</f>
        <v>77100</v>
      </c>
      <c r="F2041" s="2" t="str">
        <f ca="1">IFERROR(__xludf.DUMMYFUNCTION("""COMPUTED_VALUE"""),"Criolla Recarga")</f>
        <v>Criolla Recarga</v>
      </c>
      <c r="G2041" s="2">
        <f ca="1">IFERROR(__xludf.DUMMYFUNCTION("""COMPUTED_VALUE"""),0)</f>
        <v>0</v>
      </c>
      <c r="H2041" s="2">
        <f ca="1">IFERROR(__xludf.DUMMYFUNCTION("""COMPUTED_VALUE"""),66600)</f>
        <v>66600</v>
      </c>
      <c r="I2041" s="2"/>
      <c r="J2041" s="2"/>
      <c r="K2041" s="2" t="str">
        <f ca="1">IFERROR(__xludf.DUMMYFUNCTION("""COMPUTED_VALUE"""),"1er Trasiego")</f>
        <v>1er Trasiego</v>
      </c>
      <c r="L2041" s="2"/>
      <c r="M2041" s="2" t="str">
        <f ca="1">IFERROR(__xludf.DUMMYFUNCTION("""COMPUTED_VALUE"""),"Tinto")</f>
        <v>Tinto</v>
      </c>
    </row>
    <row r="2042" spans="1:13" x14ac:dyDescent="0.25">
      <c r="A2042" s="2" t="str">
        <f ca="1">IFERROR(__xludf.DUMMYFUNCTION("""COMPUTED_VALUE"""),"c0248330")</f>
        <v>c0248330</v>
      </c>
      <c r="B2042" s="2"/>
      <c r="C2042" s="5">
        <f ca="1">IFERROR(__xludf.DUMMYFUNCTION("""COMPUTED_VALUE"""),46162.7284375)</f>
        <v>46162.728437500002</v>
      </c>
      <c r="D2042" s="2">
        <f ca="1">IFERROR(__xludf.DUMMYFUNCTION("""COMPUTED_VALUE"""),94)</f>
        <v>94</v>
      </c>
      <c r="E2042" s="2">
        <f ca="1">IFERROR(__xludf.DUMMYFUNCTION("""COMPUTED_VALUE"""),11600)</f>
        <v>11600</v>
      </c>
      <c r="F2042" s="2" t="str">
        <f ca="1">IFERROR(__xludf.DUMMYFUNCTION("""COMPUTED_VALUE"""),"Borra")</f>
        <v>Borra</v>
      </c>
      <c r="G2042" s="2">
        <f ca="1">IFERROR(__xludf.DUMMYFUNCTION("""COMPUTED_VALUE"""),0)</f>
        <v>0</v>
      </c>
      <c r="H2042" s="2">
        <f ca="1">IFERROR(__xludf.DUMMYFUNCTION("""COMPUTED_VALUE"""),3000)</f>
        <v>3000</v>
      </c>
      <c r="I2042" s="2"/>
      <c r="J2042" s="2"/>
      <c r="K2042" s="2" t="str">
        <f ca="1">IFERROR(__xludf.DUMMYFUNCTION("""COMPUTED_VALUE"""),"1er Trasiego")</f>
        <v>1er Trasiego</v>
      </c>
      <c r="L2042" s="2"/>
      <c r="M2042" s="2" t="str">
        <f ca="1">IFERROR(__xludf.DUMMYFUNCTION("""COMPUTED_VALUE"""),"Tinto")</f>
        <v>Tinto</v>
      </c>
    </row>
    <row r="2043" spans="1:13" x14ac:dyDescent="0.25">
      <c r="A2043" s="2" t="str">
        <f ca="1">IFERROR(__xludf.DUMMYFUNCTION("""COMPUTED_VALUE"""),"ee2f1b47")</f>
        <v>ee2f1b47</v>
      </c>
      <c r="B2043" s="2"/>
      <c r="C2043" s="5">
        <f ca="1">IFERROR(__xludf.DUMMYFUNCTION("""COMPUTED_VALUE"""),46162.729224537)</f>
        <v>46162.729224536997</v>
      </c>
      <c r="D2043" s="2">
        <f ca="1">IFERROR(__xludf.DUMMYFUNCTION("""COMPUTED_VALUE"""),95)</f>
        <v>95</v>
      </c>
      <c r="E2043" s="2">
        <f ca="1">IFERROR(__xludf.DUMMYFUNCTION("""COMPUTED_VALUE"""),77100)</f>
        <v>77100</v>
      </c>
      <c r="F2043" s="2" t="str">
        <f ca="1">IFERROR(__xludf.DUMMYFUNCTION("""COMPUTED_VALUE"""),"Criolla Recarga")</f>
        <v>Criolla Recarga</v>
      </c>
      <c r="G2043" s="2">
        <f ca="1">IFERROR(__xludf.DUMMYFUNCTION("""COMPUTED_VALUE"""),66600)</f>
        <v>66600</v>
      </c>
      <c r="H2043" s="2">
        <f ca="1">IFERROR(__xludf.DUMMYFUNCTION("""COMPUTED_VALUE"""),77100)</f>
        <v>77100</v>
      </c>
      <c r="I2043" s="2"/>
      <c r="J2043" s="2"/>
      <c r="K2043" s="2" t="str">
        <f ca="1">IFERROR(__xludf.DUMMYFUNCTION("""COMPUTED_VALUE"""),"1er Trasiego")</f>
        <v>1er Trasiego</v>
      </c>
      <c r="L2043" s="2" t="str">
        <f ca="1">IFERROR(__xludf.DUMMYFUNCTION("""COMPUTED_VALUE"""),"1-")</f>
        <v>1-</v>
      </c>
      <c r="M2043" s="2" t="str">
        <f ca="1">IFERROR(__xludf.DUMMYFUNCTION("""COMPUTED_VALUE"""),"Tinto")</f>
        <v>Tinto</v>
      </c>
    </row>
    <row r="2044" spans="1:13" x14ac:dyDescent="0.25">
      <c r="A2044" s="2" t="str">
        <f ca="1">IFERROR(__xludf.DUMMYFUNCTION("""COMPUTED_VALUE"""),"926ef9e8")</f>
        <v>926ef9e8</v>
      </c>
      <c r="B2044" s="2"/>
      <c r="C2044" s="5">
        <f ca="1">IFERROR(__xludf.DUMMYFUNCTION("""COMPUTED_VALUE"""),46162.7318634259)</f>
        <v>46162.731863425899</v>
      </c>
      <c r="D2044" s="2">
        <f ca="1">IFERROR(__xludf.DUMMYFUNCTION("""COMPUTED_VALUE"""),87)</f>
        <v>87</v>
      </c>
      <c r="E2044" s="2">
        <f ca="1">IFERROR(__xludf.DUMMYFUNCTION("""COMPUTED_VALUE"""),93700)</f>
        <v>93700</v>
      </c>
      <c r="F2044" s="2" t="str">
        <f ca="1">IFERROR(__xludf.DUMMYFUNCTION("""COMPUTED_VALUE"""),"Criolla Recarga")</f>
        <v>Criolla Recarga</v>
      </c>
      <c r="G2044" s="2">
        <f ca="1">IFERROR(__xludf.DUMMYFUNCTION("""COMPUTED_VALUE"""),0)</f>
        <v>0</v>
      </c>
      <c r="H2044" s="2">
        <f ca="1">IFERROR(__xludf.DUMMYFUNCTION("""COMPUTED_VALUE"""),49500)</f>
        <v>49500</v>
      </c>
      <c r="I2044" s="2"/>
      <c r="J2044" s="2"/>
      <c r="K2044" s="2" t="str">
        <f ca="1">IFERROR(__xludf.DUMMYFUNCTION("""COMPUTED_VALUE"""),"1er Trasiego")</f>
        <v>1er Trasiego</v>
      </c>
      <c r="L2044" s="2"/>
      <c r="M2044" s="2" t="str">
        <f ca="1">IFERROR(__xludf.DUMMYFUNCTION("""COMPUTED_VALUE"""),"Tinto")</f>
        <v>Tinto</v>
      </c>
    </row>
    <row r="2045" spans="1:13" x14ac:dyDescent="0.25">
      <c r="A2045" s="2" t="str">
        <f ca="1">IFERROR(__xludf.DUMMYFUNCTION("""COMPUTED_VALUE"""),"fb58e5d8")</f>
        <v>fb58e5d8</v>
      </c>
      <c r="B2045" s="2"/>
      <c r="C2045" s="5">
        <f ca="1">IFERROR(__xludf.DUMMYFUNCTION("""COMPUTED_VALUE"""),46162.7324074074)</f>
        <v>46162.732407407399</v>
      </c>
      <c r="D2045" s="2">
        <f ca="1">IFERROR(__xludf.DUMMYFUNCTION("""COMPUTED_VALUE"""),80)</f>
        <v>80</v>
      </c>
      <c r="E2045" s="2">
        <f ca="1">IFERROR(__xludf.DUMMYFUNCTION("""COMPUTED_VALUE"""),26100)</f>
        <v>26100</v>
      </c>
      <c r="F2045" s="2" t="str">
        <f ca="1">IFERROR(__xludf.DUMMYFUNCTION("""COMPUTED_VALUE"""),"Rosado Criolla")</f>
        <v>Rosado Criolla</v>
      </c>
      <c r="G2045" s="2">
        <f ca="1">IFERROR(__xludf.DUMMYFUNCTION("""COMPUTED_VALUE"""),0)</f>
        <v>0</v>
      </c>
      <c r="H2045" s="2">
        <f ca="1">IFERROR(__xludf.DUMMYFUNCTION("""COMPUTED_VALUE"""),25000)</f>
        <v>25000</v>
      </c>
      <c r="I2045" s="2"/>
      <c r="J2045" s="2"/>
      <c r="K2045" s="2" t="str">
        <f ca="1">IFERROR(__xludf.DUMMYFUNCTION("""COMPUTED_VALUE"""),"1er Trasiego")</f>
        <v>1er Trasiego</v>
      </c>
      <c r="L2045" s="2" t="str">
        <f ca="1">IFERROR(__xludf.DUMMYFUNCTION("""COMPUTED_VALUE"""),"1")</f>
        <v>1</v>
      </c>
      <c r="M2045" s="2" t="str">
        <f ca="1">IFERROR(__xludf.DUMMYFUNCTION("""COMPUTED_VALUE"""),"Tinto")</f>
        <v>Tinto</v>
      </c>
    </row>
    <row r="2046" spans="1:13" x14ac:dyDescent="0.25">
      <c r="A2046" s="2" t="str">
        <f ca="1">IFERROR(__xludf.DUMMYFUNCTION("""COMPUTED_VALUE"""),"3e58fb6a")</f>
        <v>3e58fb6a</v>
      </c>
      <c r="B2046" s="2"/>
      <c r="C2046" s="5">
        <f ca="1">IFERROR(__xludf.DUMMYFUNCTION("""COMPUTED_VALUE"""),46162.7345601851)</f>
        <v>46162.734560185098</v>
      </c>
      <c r="D2046" s="2">
        <f ca="1">IFERROR(__xludf.DUMMYFUNCTION("""COMPUTED_VALUE"""),80)</f>
        <v>80</v>
      </c>
      <c r="E2046" s="2">
        <f ca="1">IFERROR(__xludf.DUMMYFUNCTION("""COMPUTED_VALUE"""),26100)</f>
        <v>26100</v>
      </c>
      <c r="F2046" s="2" t="str">
        <f ca="1">IFERROR(__xludf.DUMMYFUNCTION("""COMPUTED_VALUE"""),"Rosado Criolla")</f>
        <v>Rosado Criolla</v>
      </c>
      <c r="G2046" s="2">
        <f ca="1">IFERROR(__xludf.DUMMYFUNCTION("""COMPUTED_VALUE"""),25000)</f>
        <v>25000</v>
      </c>
      <c r="H2046" s="2">
        <f ca="1">IFERROR(__xludf.DUMMYFUNCTION("""COMPUTED_VALUE"""),26100)</f>
        <v>26100</v>
      </c>
      <c r="I2046" s="2"/>
      <c r="J2046" s="2"/>
      <c r="K2046" s="2" t="str">
        <f ca="1">IFERROR(__xludf.DUMMYFUNCTION("""COMPUTED_VALUE"""),"1er Trasiego")</f>
        <v>1er Trasiego</v>
      </c>
      <c r="L2046" s="2" t="str">
        <f ca="1">IFERROR(__xludf.DUMMYFUNCTION("""COMPUTED_VALUE"""),"1")</f>
        <v>1</v>
      </c>
      <c r="M2046" s="2" t="str">
        <f ca="1">IFERROR(__xludf.DUMMYFUNCTION("""COMPUTED_VALUE"""),"Tinto")</f>
        <v>Tinto</v>
      </c>
    </row>
    <row r="2047" spans="1:13" x14ac:dyDescent="0.25">
      <c r="A2047" s="2" t="str">
        <f ca="1">IFERROR(__xludf.DUMMYFUNCTION("""COMPUTED_VALUE"""),"da627d32")</f>
        <v>da627d32</v>
      </c>
      <c r="B2047" s="2"/>
      <c r="C2047" s="5">
        <f ca="1">IFERROR(__xludf.DUMMYFUNCTION("""COMPUTED_VALUE"""),46162.7349768518)</f>
        <v>46162.734976851803</v>
      </c>
      <c r="D2047" s="2">
        <f ca="1">IFERROR(__xludf.DUMMYFUNCTION("""COMPUTED_VALUE"""),87)</f>
        <v>87</v>
      </c>
      <c r="E2047" s="2">
        <f ca="1">IFERROR(__xludf.DUMMYFUNCTION("""COMPUTED_VALUE"""),93700)</f>
        <v>93700</v>
      </c>
      <c r="F2047" s="2" t="str">
        <f ca="1">IFERROR(__xludf.DUMMYFUNCTION("""COMPUTED_VALUE"""),"Criolla Recarga")</f>
        <v>Criolla Recarga</v>
      </c>
      <c r="G2047" s="2">
        <f ca="1">IFERROR(__xludf.DUMMYFUNCTION("""COMPUTED_VALUE"""),49500)</f>
        <v>49500</v>
      </c>
      <c r="H2047" s="2">
        <f ca="1">IFERROR(__xludf.DUMMYFUNCTION("""COMPUTED_VALUE"""),74400)</f>
        <v>74400</v>
      </c>
      <c r="I2047" s="2"/>
      <c r="J2047" s="2"/>
      <c r="K2047" s="2" t="str">
        <f ca="1">IFERROR(__xludf.DUMMYFUNCTION("""COMPUTED_VALUE"""),"1er Trasiego")</f>
        <v>1er Trasiego</v>
      </c>
      <c r="L2047" s="2"/>
      <c r="M2047" s="2" t="str">
        <f ca="1">IFERROR(__xludf.DUMMYFUNCTION("""COMPUTED_VALUE"""),"Tinto")</f>
        <v>Tinto</v>
      </c>
    </row>
    <row r="2048" spans="1:13" x14ac:dyDescent="0.25">
      <c r="A2048" s="2" t="str">
        <f ca="1">IFERROR(__xludf.DUMMYFUNCTION("""COMPUTED_VALUE"""),"bce51210")</f>
        <v>bce51210</v>
      </c>
      <c r="B2048" s="2"/>
      <c r="C2048" s="5">
        <f ca="1">IFERROR(__xludf.DUMMYFUNCTION("""COMPUTED_VALUE"""),46162.7360648148)</f>
        <v>46162.736064814802</v>
      </c>
      <c r="D2048" s="2">
        <f ca="1">IFERROR(__xludf.DUMMYFUNCTION("""COMPUTED_VALUE"""),87)</f>
        <v>87</v>
      </c>
      <c r="E2048" s="2">
        <f ca="1">IFERROR(__xludf.DUMMYFUNCTION("""COMPUTED_VALUE"""),93700)</f>
        <v>93700</v>
      </c>
      <c r="F2048" s="2" t="str">
        <f ca="1">IFERROR(__xludf.DUMMYFUNCTION("""COMPUTED_VALUE"""),"Criolla Recarga")</f>
        <v>Criolla Recarga</v>
      </c>
      <c r="G2048" s="2">
        <f ca="1">IFERROR(__xludf.DUMMYFUNCTION("""COMPUTED_VALUE"""),74400)</f>
        <v>74400</v>
      </c>
      <c r="H2048" s="2">
        <f ca="1">IFERROR(__xludf.DUMMYFUNCTION("""COMPUTED_VALUE"""),93700)</f>
        <v>93700</v>
      </c>
      <c r="I2048" s="2"/>
      <c r="J2048" s="2"/>
      <c r="K2048" s="2" t="str">
        <f ca="1">IFERROR(__xludf.DUMMYFUNCTION("""COMPUTED_VALUE"""),"1er Trasiego")</f>
        <v>1er Trasiego</v>
      </c>
      <c r="L2048" s="2"/>
      <c r="M2048" s="2" t="str">
        <f ca="1">IFERROR(__xludf.DUMMYFUNCTION("""COMPUTED_VALUE"""),"Tinto")</f>
        <v>Tinto</v>
      </c>
    </row>
    <row r="2049" spans="1:13" x14ac:dyDescent="0.25">
      <c r="A2049" s="2" t="str">
        <f ca="1">IFERROR(__xludf.DUMMYFUNCTION("""COMPUTED_VALUE"""),"5ba43444")</f>
        <v>5ba43444</v>
      </c>
      <c r="B2049" s="2"/>
      <c r="C2049" s="5">
        <f ca="1">IFERROR(__xludf.DUMMYFUNCTION("""COMPUTED_VALUE"""),46162.737824074)</f>
        <v>46162.737824074</v>
      </c>
      <c r="D2049" s="2">
        <f ca="1">IFERROR(__xludf.DUMMYFUNCTION("""COMPUTED_VALUE"""),92)</f>
        <v>92</v>
      </c>
      <c r="E2049" s="2">
        <f ca="1">IFERROR(__xludf.DUMMYFUNCTION("""COMPUTED_VALUE"""),76000)</f>
        <v>76000</v>
      </c>
      <c r="F2049" s="2" t="str">
        <f ca="1">IFERROR(__xludf.DUMMYFUNCTION("""COMPUTED_VALUE"""),"Criolla Recarga PC")</f>
        <v>Criolla Recarga PC</v>
      </c>
      <c r="G2049" s="2">
        <f ca="1">IFERROR(__xludf.DUMMYFUNCTION("""COMPUTED_VALUE"""),0)</f>
        <v>0</v>
      </c>
      <c r="H2049" s="2">
        <f ca="1">IFERROR(__xludf.DUMMYFUNCTION("""COMPUTED_VALUE"""),62200)</f>
        <v>62200</v>
      </c>
      <c r="I2049" s="2"/>
      <c r="J2049" s="2"/>
      <c r="K2049" s="2" t="str">
        <f ca="1">IFERROR(__xludf.DUMMYFUNCTION("""COMPUTED_VALUE"""),"1er Trasiego")</f>
        <v>1er Trasiego</v>
      </c>
      <c r="L2049" s="2" t="str">
        <f ca="1">IFERROR(__xludf.DUMMYFUNCTION("""COMPUTED_VALUE"""),"1-")</f>
        <v>1-</v>
      </c>
      <c r="M2049" s="2" t="str">
        <f ca="1">IFERROR(__xludf.DUMMYFUNCTION("""COMPUTED_VALUE"""),"Tinto")</f>
        <v>Tinto</v>
      </c>
    </row>
    <row r="2050" spans="1:13" x14ac:dyDescent="0.25">
      <c r="A2050" s="2" t="str">
        <f ca="1">IFERROR(__xludf.DUMMYFUNCTION("""COMPUTED_VALUE"""),"e40a6da5")</f>
        <v>e40a6da5</v>
      </c>
      <c r="B2050" s="2"/>
      <c r="C2050" s="5">
        <f ca="1">IFERROR(__xludf.DUMMYFUNCTION("""COMPUTED_VALUE"""),46163.4935648148)</f>
        <v>46163.493564814802</v>
      </c>
      <c r="D2050" s="2">
        <f ca="1">IFERROR(__xludf.DUMMYFUNCTION("""COMPUTED_VALUE"""),500)</f>
        <v>500</v>
      </c>
      <c r="E2050" s="2">
        <f ca="1">IFERROR(__xludf.DUMMYFUNCTION("""COMPUTED_VALUE"""),200000)</f>
        <v>200000</v>
      </c>
      <c r="F2050" s="2" t="str">
        <f ca="1">IFERROR(__xludf.DUMMYFUNCTION("""COMPUTED_VALUE"""),"Ajuste Cosecha 2026")</f>
        <v>Ajuste Cosecha 2026</v>
      </c>
      <c r="G2050" s="2"/>
      <c r="H2050" s="2">
        <f ca="1">IFERROR(__xludf.DUMMYFUNCTION("""COMPUTED_VALUE"""),31600)</f>
        <v>31600</v>
      </c>
      <c r="I2050" s="2"/>
      <c r="J2050" s="2"/>
      <c r="K2050" s="2" t="str">
        <f ca="1">IFERROR(__xludf.DUMMYFUNCTION("""COMPUTED_VALUE"""),"Terminado")</f>
        <v>Terminado</v>
      </c>
      <c r="L2050" s="2"/>
      <c r="M2050" s="2" t="str">
        <f ca="1">IFERROR(__xludf.DUMMYFUNCTION("""COMPUTED_VALUE"""),"Tinto")</f>
        <v>Tinto</v>
      </c>
    </row>
    <row r="2051" spans="1:13" x14ac:dyDescent="0.25">
      <c r="A2051" s="2" t="str">
        <f ca="1">IFERROR(__xludf.DUMMYFUNCTION("""COMPUTED_VALUE"""),"2749b5a8")</f>
        <v>2749b5a8</v>
      </c>
      <c r="B2051" s="2"/>
      <c r="C2051" s="5">
        <f ca="1">IFERROR(__xludf.DUMMYFUNCTION("""COMPUTED_VALUE"""),46164.7360648148)</f>
        <v>46164.736064814802</v>
      </c>
      <c r="D2051" s="2">
        <f ca="1">IFERROR(__xludf.DUMMYFUNCTION("""COMPUTED_VALUE"""),127)</f>
        <v>127</v>
      </c>
      <c r="E2051" s="2">
        <f ca="1">IFERROR(__xludf.DUMMYFUNCTION("""COMPUTED_VALUE"""),31000)</f>
        <v>31000</v>
      </c>
      <c r="F2051" s="2" t="str">
        <f ca="1">IFERROR(__xludf.DUMMYFUNCTION("""COMPUTED_VALUE"""),"Tinto Varietal B")</f>
        <v>Tinto Varietal B</v>
      </c>
      <c r="G2051" s="2">
        <f ca="1">IFERROR(__xludf.DUMMYFUNCTION("""COMPUTED_VALUE"""),0)</f>
        <v>0</v>
      </c>
      <c r="H2051" s="2">
        <f ca="1">IFERROR(__xludf.DUMMYFUNCTION("""COMPUTED_VALUE"""),10000)</f>
        <v>10000</v>
      </c>
      <c r="I2051" s="2"/>
      <c r="J2051" s="2"/>
      <c r="K2051" s="2" t="str">
        <f ca="1">IFERROR(__xludf.DUMMYFUNCTION("""COMPUTED_VALUE"""),"Terminado")</f>
        <v>Terminado</v>
      </c>
      <c r="L2051" s="2" t="str">
        <f ca="1">IFERROR(__xludf.DUMMYFUNCTION("""COMPUTED_VALUE"""),"1")</f>
        <v>1</v>
      </c>
      <c r="M2051" s="2" t="str">
        <f ca="1">IFERROR(__xludf.DUMMYFUNCTION("""COMPUTED_VALUE"""),"Tinto")</f>
        <v>Tinto</v>
      </c>
    </row>
    <row r="2052" spans="1:13" x14ac:dyDescent="0.25">
      <c r="A2052" s="2" t="str">
        <f ca="1">IFERROR(__xludf.DUMMYFUNCTION("""COMPUTED_VALUE"""),"d3010d76")</f>
        <v>d3010d76</v>
      </c>
      <c r="B2052" s="2"/>
      <c r="C2052" s="5">
        <f ca="1">IFERROR(__xludf.DUMMYFUNCTION("""COMPUTED_VALUE"""),46164.7365046296)</f>
        <v>46164.736504629604</v>
      </c>
      <c r="D2052" s="2">
        <f ca="1">IFERROR(__xludf.DUMMYFUNCTION("""COMPUTED_VALUE"""),127)</f>
        <v>127</v>
      </c>
      <c r="E2052" s="2">
        <f ca="1">IFERROR(__xludf.DUMMYFUNCTION("""COMPUTED_VALUE"""),31000)</f>
        <v>31000</v>
      </c>
      <c r="F2052" s="2" t="str">
        <f ca="1">IFERROR(__xludf.DUMMYFUNCTION("""COMPUTED_VALUE"""),"Malbec")</f>
        <v>Malbec</v>
      </c>
      <c r="G2052" s="2">
        <f ca="1">IFERROR(__xludf.DUMMYFUNCTION("""COMPUTED_VALUE"""),10000)</f>
        <v>10000</v>
      </c>
      <c r="H2052" s="2">
        <f ca="1">IFERROR(__xludf.DUMMYFUNCTION("""COMPUTED_VALUE"""),31000)</f>
        <v>31000</v>
      </c>
      <c r="I2052" s="2"/>
      <c r="J2052" s="2"/>
      <c r="K2052" s="2" t="str">
        <f ca="1">IFERROR(__xludf.DUMMYFUNCTION("""COMPUTED_VALUE"""),"Terminado")</f>
        <v>Terminado</v>
      </c>
      <c r="L2052" s="2" t="str">
        <f ca="1">IFERROR(__xludf.DUMMYFUNCTION("""COMPUTED_VALUE"""),"1")</f>
        <v>1</v>
      </c>
      <c r="M2052" s="2" t="str">
        <f ca="1">IFERROR(__xludf.DUMMYFUNCTION("""COMPUTED_VALUE"""),"Tinto")</f>
        <v>Tinto</v>
      </c>
    </row>
    <row r="2053" spans="1:13" x14ac:dyDescent="0.25">
      <c r="A2053" s="2" t="str">
        <f ca="1">IFERROR(__xludf.DUMMYFUNCTION("""COMPUTED_VALUE"""),"f91f11a3")</f>
        <v>f91f11a3</v>
      </c>
      <c r="B2053" s="2"/>
      <c r="C2053" s="5">
        <f ca="1">IFERROR(__xludf.DUMMYFUNCTION("""COMPUTED_VALUE"""),46164.7372453703)</f>
        <v>46164.737245370299</v>
      </c>
      <c r="D2053" s="2">
        <f ca="1">IFERROR(__xludf.DUMMYFUNCTION("""COMPUTED_VALUE"""),500)</f>
        <v>500</v>
      </c>
      <c r="E2053" s="2">
        <f ca="1">IFERROR(__xludf.DUMMYFUNCTION("""COMPUTED_VALUE"""),200000)</f>
        <v>200000</v>
      </c>
      <c r="F2053" s="2" t="str">
        <f ca="1">IFERROR(__xludf.DUMMYFUNCTION("""COMPUTED_VALUE"""),"Ajuste Cosecha 2026")</f>
        <v>Ajuste Cosecha 2026</v>
      </c>
      <c r="G2053" s="2">
        <f ca="1">IFERROR(__xludf.DUMMYFUNCTION("""COMPUTED_VALUE"""),31600)</f>
        <v>31600</v>
      </c>
      <c r="H2053" s="2">
        <f ca="1">IFERROR(__xludf.DUMMYFUNCTION("""COMPUTED_VALUE"""),32600)</f>
        <v>32600</v>
      </c>
      <c r="I2053" s="2"/>
      <c r="J2053" s="2"/>
      <c r="K2053" s="2" t="str">
        <f ca="1">IFERROR(__xludf.DUMMYFUNCTION("""COMPUTED_VALUE"""),"Terminado")</f>
        <v>Terminado</v>
      </c>
      <c r="L2053" s="2"/>
      <c r="M2053" s="2" t="str">
        <f ca="1">IFERROR(__xludf.DUMMYFUNCTION("""COMPUTED_VALUE"""),"Tinto")</f>
        <v>Tinto</v>
      </c>
    </row>
    <row r="2054" spans="1:13" x14ac:dyDescent="0.25">
      <c r="A2054" s="2" t="str">
        <f ca="1">IFERROR(__xludf.DUMMYFUNCTION("""COMPUTED_VALUE"""),"94f40a8f")</f>
        <v>94f40a8f</v>
      </c>
      <c r="B2054" s="2"/>
      <c r="C2054" s="5">
        <f ca="1">IFERROR(__xludf.DUMMYFUNCTION("""COMPUTED_VALUE"""),46164.7392129629)</f>
        <v>46164.739212962901</v>
      </c>
      <c r="D2054" s="2">
        <f ca="1">IFERROR(__xludf.DUMMYFUNCTION("""COMPUTED_VALUE"""),24)</f>
        <v>24</v>
      </c>
      <c r="E2054" s="2">
        <f ca="1">IFERROR(__xludf.DUMMYFUNCTION("""COMPUTED_VALUE"""),186600)</f>
        <v>186600</v>
      </c>
      <c r="F2054" s="2" t="str">
        <f ca="1">IFERROR(__xludf.DUMMYFUNCTION("""COMPUTED_VALUE"""),"Criolla")</f>
        <v>Criolla</v>
      </c>
      <c r="G2054" s="2">
        <f ca="1">IFERROR(__xludf.DUMMYFUNCTION("""COMPUTED_VALUE"""),184200)</f>
        <v>184200</v>
      </c>
      <c r="H2054" s="2">
        <f ca="1">IFERROR(__xludf.DUMMYFUNCTION("""COMPUTED_VALUE"""),186600)</f>
        <v>186600</v>
      </c>
      <c r="I2054" s="2"/>
      <c r="J2054" s="2"/>
      <c r="K2054" s="2" t="str">
        <f ca="1">IFERROR(__xludf.DUMMYFUNCTION("""COMPUTED_VALUE"""),"1er Trasiego")</f>
        <v>1er Trasiego</v>
      </c>
      <c r="L2054" s="2"/>
      <c r="M2054" s="2" t="str">
        <f ca="1">IFERROR(__xludf.DUMMYFUNCTION("""COMPUTED_VALUE"""),"Tinto")</f>
        <v>Tinto</v>
      </c>
    </row>
    <row r="2055" spans="1:13" x14ac:dyDescent="0.25">
      <c r="A2055" s="2" t="str">
        <f ca="1">IFERROR(__xludf.DUMMYFUNCTION("""COMPUTED_VALUE"""),"a18af5bc")</f>
        <v>a18af5bc</v>
      </c>
      <c r="B2055" s="2"/>
      <c r="C2055" s="5">
        <f ca="1">IFERROR(__xludf.DUMMYFUNCTION("""COMPUTED_VALUE"""),46164.7398958333)</f>
        <v>46164.7398958333</v>
      </c>
      <c r="D2055" s="2">
        <f ca="1">IFERROR(__xludf.DUMMYFUNCTION("""COMPUTED_VALUE"""),92)</f>
        <v>92</v>
      </c>
      <c r="E2055" s="2">
        <f ca="1">IFERROR(__xludf.DUMMYFUNCTION("""COMPUTED_VALUE"""),76000)</f>
        <v>76000</v>
      </c>
      <c r="F2055" s="2" t="str">
        <f ca="1">IFERROR(__xludf.DUMMYFUNCTION("""COMPUTED_VALUE"""),"Criolla Recarga")</f>
        <v>Criolla Recarga</v>
      </c>
      <c r="G2055" s="2">
        <f ca="1">IFERROR(__xludf.DUMMYFUNCTION("""COMPUTED_VALUE"""),62200)</f>
        <v>62200</v>
      </c>
      <c r="H2055" s="2">
        <f ca="1">IFERROR(__xludf.DUMMYFUNCTION("""COMPUTED_VALUE"""),76000)</f>
        <v>76000</v>
      </c>
      <c r="I2055" s="2"/>
      <c r="J2055" s="2"/>
      <c r="K2055" s="2" t="str">
        <f ca="1">IFERROR(__xludf.DUMMYFUNCTION("""COMPUTED_VALUE"""),"1er Trasiego")</f>
        <v>1er Trasiego</v>
      </c>
      <c r="L2055" s="2" t="str">
        <f ca="1">IFERROR(__xludf.DUMMYFUNCTION("""COMPUTED_VALUE"""),"1-")</f>
        <v>1-</v>
      </c>
      <c r="M2055" s="2" t="str">
        <f ca="1">IFERROR(__xludf.DUMMYFUNCTION("""COMPUTED_VALUE"""),"Tinto")</f>
        <v>Tinto</v>
      </c>
    </row>
    <row r="2056" spans="1:13" x14ac:dyDescent="0.25">
      <c r="A2056" s="2" t="str">
        <f ca="1">IFERROR(__xludf.DUMMYFUNCTION("""COMPUTED_VALUE"""),"1bb294a3")</f>
        <v>1bb294a3</v>
      </c>
      <c r="B2056" s="2"/>
      <c r="C2056" s="5">
        <f ca="1">IFERROR(__xludf.DUMMYFUNCTION("""COMPUTED_VALUE"""),46164.7400925925)</f>
        <v>46164.740092592503</v>
      </c>
      <c r="D2056" s="2">
        <f ca="1">IFERROR(__xludf.DUMMYFUNCTION("""COMPUTED_VALUE"""),25)</f>
        <v>25</v>
      </c>
      <c r="E2056" s="2">
        <f ca="1">IFERROR(__xludf.DUMMYFUNCTION("""COMPUTED_VALUE"""),194300)</f>
        <v>194300</v>
      </c>
      <c r="F2056" s="2" t="str">
        <f ca="1">IFERROR(__xludf.DUMMYFUNCTION("""COMPUTED_VALUE"""),"Criolla Recarga")</f>
        <v>Criolla Recarga</v>
      </c>
      <c r="G2056" s="2">
        <f ca="1">IFERROR(__xludf.DUMMYFUNCTION("""COMPUTED_VALUE"""),185200)</f>
        <v>185200</v>
      </c>
      <c r="H2056" s="2">
        <f ca="1">IFERROR(__xludf.DUMMYFUNCTION("""COMPUTED_VALUE"""),194300)</f>
        <v>194300</v>
      </c>
      <c r="I2056" s="2"/>
      <c r="J2056" s="2"/>
      <c r="K2056" s="2" t="str">
        <f ca="1">IFERROR(__xludf.DUMMYFUNCTION("""COMPUTED_VALUE"""),"1er Trasiego")</f>
        <v>1er Trasiego</v>
      </c>
      <c r="L2056" s="2" t="str">
        <f ca="1">IFERROR(__xludf.DUMMYFUNCTION("""COMPUTED_VALUE"""),"1")</f>
        <v>1</v>
      </c>
      <c r="M2056" s="2" t="str">
        <f ca="1">IFERROR(__xludf.DUMMYFUNCTION("""COMPUTED_VALUE"""),"Tinto")</f>
        <v>Tinto</v>
      </c>
    </row>
    <row r="2057" spans="1:13" x14ac:dyDescent="0.25">
      <c r="A2057" s="2" t="str">
        <f ca="1">IFERROR(__xludf.DUMMYFUNCTION("""COMPUTED_VALUE"""),"968b2e9e")</f>
        <v>968b2e9e</v>
      </c>
      <c r="B2057" s="2"/>
      <c r="C2057" s="5">
        <f ca="1">IFERROR(__xludf.DUMMYFUNCTION("""COMPUTED_VALUE"""),46164.7444097222)</f>
        <v>46164.744409722203</v>
      </c>
      <c r="D2057" s="2">
        <f ca="1">IFERROR(__xludf.DUMMYFUNCTION("""COMPUTED_VALUE"""),935)</f>
        <v>935</v>
      </c>
      <c r="E2057" s="2">
        <f ca="1">IFERROR(__xludf.DUMMYFUNCTION("""COMPUTED_VALUE"""),11200)</f>
        <v>11200</v>
      </c>
      <c r="F2057" s="2" t="str">
        <f ca="1">IFERROR(__xludf.DUMMYFUNCTION("""COMPUTED_VALUE"""),"Borra")</f>
        <v>Borra</v>
      </c>
      <c r="G2057" s="2">
        <f ca="1">IFERROR(__xludf.DUMMYFUNCTION("""COMPUTED_VALUE"""),10600)</f>
        <v>10600</v>
      </c>
      <c r="H2057" s="2">
        <f ca="1">IFERROR(__xludf.DUMMYFUNCTION("""COMPUTED_VALUE"""),11200)</f>
        <v>11200</v>
      </c>
      <c r="I2057" s="2"/>
      <c r="J2057" s="2"/>
      <c r="K2057" s="2" t="str">
        <f ca="1">IFERROR(__xludf.DUMMYFUNCTION("""COMPUTED_VALUE"""),"1er Trasiego")</f>
        <v>1er Trasiego</v>
      </c>
      <c r="L2057" s="2"/>
      <c r="M2057" s="2" t="str">
        <f ca="1">IFERROR(__xludf.DUMMYFUNCTION("""COMPUTED_VALUE"""),"Tinto")</f>
        <v>Tinto</v>
      </c>
    </row>
    <row r="2058" spans="1:13" x14ac:dyDescent="0.25">
      <c r="A2058" s="2" t="str">
        <f ca="1">IFERROR(__xludf.DUMMYFUNCTION("""COMPUTED_VALUE"""),"ab06a83a")</f>
        <v>ab06a83a</v>
      </c>
      <c r="B2058" s="2"/>
      <c r="C2058" s="5">
        <f ca="1">IFERROR(__xludf.DUMMYFUNCTION("""COMPUTED_VALUE"""),46164.7446064813)</f>
        <v>46164.744606481399</v>
      </c>
      <c r="D2058" s="2">
        <f ca="1">IFERROR(__xludf.DUMMYFUNCTION("""COMPUTED_VALUE"""),94)</f>
        <v>94</v>
      </c>
      <c r="E2058" s="2">
        <f ca="1">IFERROR(__xludf.DUMMYFUNCTION("""COMPUTED_VALUE"""),11600)</f>
        <v>11600</v>
      </c>
      <c r="F2058" s="2" t="str">
        <f ca="1">IFERROR(__xludf.DUMMYFUNCTION("""COMPUTED_VALUE"""),"Borra")</f>
        <v>Borra</v>
      </c>
      <c r="G2058" s="2">
        <f ca="1">IFERROR(__xludf.DUMMYFUNCTION("""COMPUTED_VALUE"""),3000)</f>
        <v>3000</v>
      </c>
      <c r="H2058" s="2">
        <f ca="1">IFERROR(__xludf.DUMMYFUNCTION("""COMPUTED_VALUE"""),11600)</f>
        <v>11600</v>
      </c>
      <c r="I2058" s="2"/>
      <c r="J2058" s="2"/>
      <c r="K2058" s="2" t="str">
        <f ca="1">IFERROR(__xludf.DUMMYFUNCTION("""COMPUTED_VALUE"""),"1er Trasiego")</f>
        <v>1er Trasiego</v>
      </c>
      <c r="L2058" s="2"/>
      <c r="M2058" s="2" t="str">
        <f ca="1">IFERROR(__xludf.DUMMYFUNCTION("""COMPUTED_VALUE"""),"Tinto")</f>
        <v>Tinto</v>
      </c>
    </row>
    <row r="2059" spans="1:13" x14ac:dyDescent="0.25">
      <c r="A2059" s="2" t="str">
        <f ca="1">IFERROR(__xludf.DUMMYFUNCTION("""COMPUTED_VALUE"""),"6e2548a8")</f>
        <v>6e2548a8</v>
      </c>
      <c r="B2059" s="2"/>
      <c r="C2059" s="5">
        <f ca="1">IFERROR(__xludf.DUMMYFUNCTION("""COMPUTED_VALUE"""),46164.7448611111)</f>
        <v>46164.744861111103</v>
      </c>
      <c r="D2059" s="2">
        <f ca="1">IFERROR(__xludf.DUMMYFUNCTION("""COMPUTED_VALUE"""),68)</f>
        <v>68</v>
      </c>
      <c r="E2059" s="2">
        <f ca="1">IFERROR(__xludf.DUMMYFUNCTION("""COMPUTED_VALUE"""),13000)</f>
        <v>13000</v>
      </c>
      <c r="F2059" s="2" t="str">
        <f ca="1">IFERROR(__xludf.DUMMYFUNCTION("""COMPUTED_VALUE"""),"Borra")</f>
        <v>Borra</v>
      </c>
      <c r="G2059" s="2">
        <f ca="1">IFERROR(__xludf.DUMMYFUNCTION("""COMPUTED_VALUE"""),0)</f>
        <v>0</v>
      </c>
      <c r="H2059" s="2">
        <f ca="1">IFERROR(__xludf.DUMMYFUNCTION("""COMPUTED_VALUE"""),3200)</f>
        <v>3200</v>
      </c>
      <c r="I2059" s="2"/>
      <c r="J2059" s="2"/>
      <c r="K2059" s="2" t="str">
        <f ca="1">IFERROR(__xludf.DUMMYFUNCTION("""COMPUTED_VALUE"""),"1er Trasiego")</f>
        <v>1er Trasiego</v>
      </c>
      <c r="L2059" s="2"/>
      <c r="M2059" s="2" t="str">
        <f ca="1">IFERROR(__xludf.DUMMYFUNCTION("""COMPUTED_VALUE"""),"Tinto")</f>
        <v>Tinto</v>
      </c>
    </row>
    <row r="2060" spans="1:13" x14ac:dyDescent="0.25">
      <c r="A2060" s="2" t="str">
        <f ca="1">IFERROR(__xludf.DUMMYFUNCTION("""COMPUTED_VALUE"""),"adb110f1")</f>
        <v>adb110f1</v>
      </c>
      <c r="B2060" s="2"/>
      <c r="C2060" s="5">
        <f ca="1">IFERROR(__xludf.DUMMYFUNCTION("""COMPUTED_VALUE"""),46169.7805902777)</f>
        <v>46169.780590277704</v>
      </c>
      <c r="D2060" s="2">
        <f ca="1">IFERROR(__xludf.DUMMYFUNCTION("""COMPUTED_VALUE"""),82)</f>
        <v>82</v>
      </c>
      <c r="E2060" s="2">
        <f ca="1">IFERROR(__xludf.DUMMYFUNCTION("""COMPUTED_VALUE"""),42600)</f>
        <v>42600</v>
      </c>
      <c r="F2060" s="2" t="str">
        <f ca="1">IFERROR(__xludf.DUMMYFUNCTION("""COMPUTED_VALUE"""),"Bonarda")</f>
        <v>Bonarda</v>
      </c>
      <c r="G2060" s="2">
        <f ca="1">IFERROR(__xludf.DUMMYFUNCTION("""COMPUTED_VALUE"""),42600)</f>
        <v>42600</v>
      </c>
      <c r="H2060" s="2">
        <f ca="1">IFERROR(__xludf.DUMMYFUNCTION("""COMPUTED_VALUE"""),42600)</f>
        <v>42600</v>
      </c>
      <c r="I2060" s="2"/>
      <c r="J2060" s="2"/>
      <c r="K2060" s="2" t="str">
        <f ca="1">IFERROR(__xludf.DUMMYFUNCTION("""COMPUTED_VALUE"""),"1er Trasiego")</f>
        <v>1er Trasiego</v>
      </c>
      <c r="L2060" s="2"/>
      <c r="M2060" s="2" t="str">
        <f ca="1">IFERROR(__xludf.DUMMYFUNCTION("""COMPUTED_VALUE"""),"Tinto")</f>
        <v>Tinto</v>
      </c>
    </row>
    <row r="2061" spans="1:13" x14ac:dyDescent="0.25">
      <c r="A2061" s="2" t="str">
        <f ca="1">IFERROR(__xludf.DUMMYFUNCTION("""COMPUTED_VALUE"""),"36eec7d7")</f>
        <v>36eec7d7</v>
      </c>
      <c r="B2061" s="2"/>
      <c r="C2061" s="5">
        <f ca="1">IFERROR(__xludf.DUMMYFUNCTION("""COMPUTED_VALUE"""),46169.842824074)</f>
        <v>46169.842824074003</v>
      </c>
      <c r="D2061" s="2">
        <f ca="1">IFERROR(__xludf.DUMMYFUNCTION("""COMPUTED_VALUE"""),96)</f>
        <v>96</v>
      </c>
      <c r="E2061" s="2">
        <f ca="1">IFERROR(__xludf.DUMMYFUNCTION("""COMPUTED_VALUE"""),85600)</f>
        <v>85600</v>
      </c>
      <c r="F2061" s="2" t="str">
        <f ca="1">IFERROR(__xludf.DUMMYFUNCTION("""COMPUTED_VALUE"""),"Bonarda c/criolla")</f>
        <v>Bonarda c/criolla</v>
      </c>
      <c r="G2061" s="2">
        <f ca="1">IFERROR(__xludf.DUMMYFUNCTION("""COMPUTED_VALUE"""),0)</f>
        <v>0</v>
      </c>
      <c r="H2061" s="2">
        <f ca="1">IFERROR(__xludf.DUMMYFUNCTION("""COMPUTED_VALUE"""),40600)</f>
        <v>40600</v>
      </c>
      <c r="I2061" s="2"/>
      <c r="J2061" s="2"/>
      <c r="K2061" s="2" t="str">
        <f ca="1">IFERROR(__xludf.DUMMYFUNCTION("""COMPUTED_VALUE"""),"1er Trasiego")</f>
        <v>1er Trasiego</v>
      </c>
      <c r="L2061" s="2" t="str">
        <f ca="1">IFERROR(__xludf.DUMMYFUNCTION("""COMPUTED_VALUE"""),"1+")</f>
        <v>1+</v>
      </c>
      <c r="M2061" s="2" t="str">
        <f ca="1">IFERROR(__xludf.DUMMYFUNCTION("""COMPUTED_VALUE"""),"Tinto")</f>
        <v>Tinto</v>
      </c>
    </row>
    <row r="2062" spans="1:13" x14ac:dyDescent="0.25">
      <c r="A2062" s="2" t="str">
        <f ca="1">IFERROR(__xludf.DUMMYFUNCTION("""COMPUTED_VALUE"""),"c23939e4")</f>
        <v>c23939e4</v>
      </c>
      <c r="B2062" s="2"/>
      <c r="C2062" s="5">
        <f ca="1">IFERROR(__xludf.DUMMYFUNCTION("""COMPUTED_VALUE"""),46169.842974537)</f>
        <v>46169.842974537001</v>
      </c>
      <c r="D2062" s="2">
        <f ca="1">IFERROR(__xludf.DUMMYFUNCTION("""COMPUTED_VALUE"""),68)</f>
        <v>68</v>
      </c>
      <c r="E2062" s="2">
        <f ca="1">IFERROR(__xludf.DUMMYFUNCTION("""COMPUTED_VALUE"""),13000)</f>
        <v>13000</v>
      </c>
      <c r="F2062" s="2" t="str">
        <f ca="1">IFERROR(__xludf.DUMMYFUNCTION("""COMPUTED_VALUE"""),"Borra")</f>
        <v>Borra</v>
      </c>
      <c r="G2062" s="2">
        <f ca="1">IFERROR(__xludf.DUMMYFUNCTION("""COMPUTED_VALUE"""),3200)</f>
        <v>3200</v>
      </c>
      <c r="H2062" s="2">
        <f ca="1">IFERROR(__xludf.DUMMYFUNCTION("""COMPUTED_VALUE"""),5200)</f>
        <v>5200</v>
      </c>
      <c r="I2062" s="2"/>
      <c r="J2062" s="2"/>
      <c r="K2062" s="2" t="str">
        <f ca="1">IFERROR(__xludf.DUMMYFUNCTION("""COMPUTED_VALUE"""),"1er Trasiego")</f>
        <v>1er Trasiego</v>
      </c>
      <c r="L2062" s="2"/>
      <c r="M2062" s="2" t="str">
        <f ca="1">IFERROR(__xludf.DUMMYFUNCTION("""COMPUTED_VALUE"""),"Tinto")</f>
        <v>Tinto</v>
      </c>
    </row>
    <row r="2063" spans="1:13" x14ac:dyDescent="0.25">
      <c r="A2063" s="2" t="str">
        <f ca="1">IFERROR(__xludf.DUMMYFUNCTION("""COMPUTED_VALUE"""),"fafdfbee")</f>
        <v>fafdfbee</v>
      </c>
      <c r="B2063" s="2"/>
      <c r="C2063" s="5">
        <f ca="1">IFERROR(__xludf.DUMMYFUNCTION("""COMPUTED_VALUE"""),46169.8433449074)</f>
        <v>46169.8433449074</v>
      </c>
      <c r="D2063" s="2">
        <f ca="1">IFERROR(__xludf.DUMMYFUNCTION("""COMPUTED_VALUE"""),96)</f>
        <v>96</v>
      </c>
      <c r="E2063" s="2">
        <f ca="1">IFERROR(__xludf.DUMMYFUNCTION("""COMPUTED_VALUE"""),85600)</f>
        <v>85600</v>
      </c>
      <c r="F2063" s="2" t="str">
        <f ca="1">IFERROR(__xludf.DUMMYFUNCTION("""COMPUTED_VALUE"""),"Bonarda")</f>
        <v>Bonarda</v>
      </c>
      <c r="G2063" s="2">
        <f ca="1">IFERROR(__xludf.DUMMYFUNCTION("""COMPUTED_VALUE"""),40600)</f>
        <v>40600</v>
      </c>
      <c r="H2063" s="2">
        <f ca="1">IFERROR(__xludf.DUMMYFUNCTION("""COMPUTED_VALUE"""),66100)</f>
        <v>66100</v>
      </c>
      <c r="I2063" s="2"/>
      <c r="J2063" s="2"/>
      <c r="K2063" s="2" t="str">
        <f ca="1">IFERROR(__xludf.DUMMYFUNCTION("""COMPUTED_VALUE"""),"1er Trasiego")</f>
        <v>1er Trasiego</v>
      </c>
      <c r="L2063" s="2" t="str">
        <f ca="1">IFERROR(__xludf.DUMMYFUNCTION("""COMPUTED_VALUE"""),"1+")</f>
        <v>1+</v>
      </c>
      <c r="M2063" s="2" t="str">
        <f ca="1">IFERROR(__xludf.DUMMYFUNCTION("""COMPUTED_VALUE"""),"Tinto")</f>
        <v>Tinto</v>
      </c>
    </row>
    <row r="2064" spans="1:13" x14ac:dyDescent="0.25">
      <c r="A2064" s="2" t="str">
        <f ca="1">IFERROR(__xludf.DUMMYFUNCTION("""COMPUTED_VALUE"""),"a5154814")</f>
        <v>a5154814</v>
      </c>
      <c r="B2064" s="2"/>
      <c r="C2064" s="5">
        <f ca="1">IFERROR(__xludf.DUMMYFUNCTION("""COMPUTED_VALUE"""),46169.8434953703)</f>
        <v>46169.843495370304</v>
      </c>
      <c r="D2064" s="2">
        <f ca="1">IFERROR(__xludf.DUMMYFUNCTION("""COMPUTED_VALUE"""),68)</f>
        <v>68</v>
      </c>
      <c r="E2064" s="2">
        <f ca="1">IFERROR(__xludf.DUMMYFUNCTION("""COMPUTED_VALUE"""),13000)</f>
        <v>13000</v>
      </c>
      <c r="F2064" s="2" t="str">
        <f ca="1">IFERROR(__xludf.DUMMYFUNCTION("""COMPUTED_VALUE"""),"Borra")</f>
        <v>Borra</v>
      </c>
      <c r="G2064" s="2">
        <f ca="1">IFERROR(__xludf.DUMMYFUNCTION("""COMPUTED_VALUE"""),5200)</f>
        <v>5200</v>
      </c>
      <c r="H2064" s="2">
        <f ca="1">IFERROR(__xludf.DUMMYFUNCTION("""COMPUTED_VALUE"""),6200)</f>
        <v>6200</v>
      </c>
      <c r="I2064" s="2"/>
      <c r="J2064" s="2"/>
      <c r="K2064" s="2" t="str">
        <f ca="1">IFERROR(__xludf.DUMMYFUNCTION("""COMPUTED_VALUE"""),"1er Trasiego")</f>
        <v>1er Trasiego</v>
      </c>
      <c r="L2064" s="2"/>
      <c r="M2064" s="2" t="str">
        <f ca="1">IFERROR(__xludf.DUMMYFUNCTION("""COMPUTED_VALUE"""),"Tinto")</f>
        <v>Tinto</v>
      </c>
    </row>
    <row r="2065" spans="1:13" x14ac:dyDescent="0.25">
      <c r="A2065" s="2" t="str">
        <f ca="1">IFERROR(__xludf.DUMMYFUNCTION("""COMPUTED_VALUE"""),"05b3155b")</f>
        <v>05b3155b</v>
      </c>
      <c r="B2065" s="2"/>
      <c r="C2065" s="5">
        <f ca="1">IFERROR(__xludf.DUMMYFUNCTION("""COMPUTED_VALUE"""),46169.8438657407)</f>
        <v>46169.843865740702</v>
      </c>
      <c r="D2065" s="2">
        <f ca="1">IFERROR(__xludf.DUMMYFUNCTION("""COMPUTED_VALUE"""),96)</f>
        <v>96</v>
      </c>
      <c r="E2065" s="2">
        <f ca="1">IFERROR(__xludf.DUMMYFUNCTION("""COMPUTED_VALUE"""),85600)</f>
        <v>85600</v>
      </c>
      <c r="F2065" s="2" t="str">
        <f ca="1">IFERROR(__xludf.DUMMYFUNCTION("""COMPUTED_VALUE"""),"Bonarda")</f>
        <v>Bonarda</v>
      </c>
      <c r="G2065" s="2">
        <f ca="1">IFERROR(__xludf.DUMMYFUNCTION("""COMPUTED_VALUE"""),66100)</f>
        <v>66100</v>
      </c>
      <c r="H2065" s="2">
        <f ca="1">IFERROR(__xludf.DUMMYFUNCTION("""COMPUTED_VALUE"""),85600)</f>
        <v>85600</v>
      </c>
      <c r="I2065" s="2"/>
      <c r="J2065" s="2"/>
      <c r="K2065" s="2" t="str">
        <f ca="1">IFERROR(__xludf.DUMMYFUNCTION("""COMPUTED_VALUE"""),"1er Trasiego")</f>
        <v>1er Trasiego</v>
      </c>
      <c r="L2065" s="2" t="str">
        <f ca="1">IFERROR(__xludf.DUMMYFUNCTION("""COMPUTED_VALUE"""),"1")</f>
        <v>1</v>
      </c>
      <c r="M2065" s="2" t="str">
        <f ca="1">IFERROR(__xludf.DUMMYFUNCTION("""COMPUTED_VALUE"""),"Tinto")</f>
        <v>Tinto</v>
      </c>
    </row>
    <row r="2066" spans="1:13" x14ac:dyDescent="0.25">
      <c r="A2066" s="2" t="str">
        <f ca="1">IFERROR(__xludf.DUMMYFUNCTION("""COMPUTED_VALUE"""),"953edc47")</f>
        <v>953edc47</v>
      </c>
      <c r="B2066" s="2"/>
      <c r="C2066" s="5">
        <f ca="1">IFERROR(__xludf.DUMMYFUNCTION("""COMPUTED_VALUE"""),46169.8442708333)</f>
        <v>46169.844270833302</v>
      </c>
      <c r="D2066" s="2">
        <f ca="1">IFERROR(__xludf.DUMMYFUNCTION("""COMPUTED_VALUE"""),83)</f>
        <v>83</v>
      </c>
      <c r="E2066" s="2">
        <f ca="1">IFERROR(__xludf.DUMMYFUNCTION("""COMPUTED_VALUE"""),81500)</f>
        <v>81500</v>
      </c>
      <c r="F2066" s="2" t="str">
        <f ca="1">IFERROR(__xludf.DUMMYFUNCTION("""COMPUTED_VALUE"""),"Bonarda PC")</f>
        <v>Bonarda PC</v>
      </c>
      <c r="G2066" s="2">
        <f ca="1">IFERROR(__xludf.DUMMYFUNCTION("""COMPUTED_VALUE"""),0)</f>
        <v>0</v>
      </c>
      <c r="H2066" s="2">
        <f ca="1">IFERROR(__xludf.DUMMYFUNCTION("""COMPUTED_VALUE"""),1000)</f>
        <v>1000</v>
      </c>
      <c r="I2066" s="2"/>
      <c r="J2066" s="2"/>
      <c r="K2066" s="2" t="str">
        <f ca="1">IFERROR(__xludf.DUMMYFUNCTION("""COMPUTED_VALUE"""),"1er Trasiego")</f>
        <v>1er Trasiego</v>
      </c>
      <c r="L2066" s="2" t="str">
        <f ca="1">IFERROR(__xludf.DUMMYFUNCTION("""COMPUTED_VALUE"""),"1+")</f>
        <v>1+</v>
      </c>
      <c r="M2066" s="2" t="str">
        <f ca="1">IFERROR(__xludf.DUMMYFUNCTION("""COMPUTED_VALUE"""),"Tinto")</f>
        <v>Tinto</v>
      </c>
    </row>
    <row r="2067" spans="1:13" x14ac:dyDescent="0.25">
      <c r="A2067" s="2" t="str">
        <f ca="1">IFERROR(__xludf.DUMMYFUNCTION("""COMPUTED_VALUE"""),"dacfb20a")</f>
        <v>dacfb20a</v>
      </c>
      <c r="B2067" s="2"/>
      <c r="C2067" s="5">
        <f ca="1">IFERROR(__xludf.DUMMYFUNCTION("""COMPUTED_VALUE"""),46169.8444675925)</f>
        <v>46169.844467592498</v>
      </c>
      <c r="D2067" s="2">
        <f ca="1">IFERROR(__xludf.DUMMYFUNCTION("""COMPUTED_VALUE"""),68)</f>
        <v>68</v>
      </c>
      <c r="E2067" s="2">
        <f ca="1">IFERROR(__xludf.DUMMYFUNCTION("""COMPUTED_VALUE"""),13000)</f>
        <v>13000</v>
      </c>
      <c r="F2067" s="2" t="str">
        <f ca="1">IFERROR(__xludf.DUMMYFUNCTION("""COMPUTED_VALUE"""),"Bonarda PC")</f>
        <v>Bonarda PC</v>
      </c>
      <c r="G2067" s="2">
        <f ca="1">IFERROR(__xludf.DUMMYFUNCTION("""COMPUTED_VALUE"""),6200)</f>
        <v>6200</v>
      </c>
      <c r="H2067" s="2">
        <f ca="1">IFERROR(__xludf.DUMMYFUNCTION("""COMPUTED_VALUE"""),7700)</f>
        <v>7700</v>
      </c>
      <c r="I2067" s="2"/>
      <c r="J2067" s="2"/>
      <c r="K2067" s="2" t="str">
        <f ca="1">IFERROR(__xludf.DUMMYFUNCTION("""COMPUTED_VALUE"""),"Descubada")</f>
        <v>Descubada</v>
      </c>
      <c r="L2067" s="2" t="str">
        <f ca="1">IFERROR(__xludf.DUMMYFUNCTION("""COMPUTED_VALUE"""),"1+")</f>
        <v>1+</v>
      </c>
      <c r="M2067" s="2" t="str">
        <f ca="1">IFERROR(__xludf.DUMMYFUNCTION("""COMPUTED_VALUE"""),"Tinto")</f>
        <v>Tinto</v>
      </c>
    </row>
    <row r="2068" spans="1:13" x14ac:dyDescent="0.25">
      <c r="A2068" s="2" t="str">
        <f ca="1">IFERROR(__xludf.DUMMYFUNCTION("""COMPUTED_VALUE"""),"58616749")</f>
        <v>58616749</v>
      </c>
      <c r="B2068" s="2"/>
      <c r="C2068" s="5">
        <f ca="1">IFERROR(__xludf.DUMMYFUNCTION("""COMPUTED_VALUE"""),46169.8460879629)</f>
        <v>46169.846087962898</v>
      </c>
      <c r="D2068" s="2">
        <f ca="1">IFERROR(__xludf.DUMMYFUNCTION("""COMPUTED_VALUE"""),83)</f>
        <v>83</v>
      </c>
      <c r="E2068" s="2">
        <f ca="1">IFERROR(__xludf.DUMMYFUNCTION("""COMPUTED_VALUE"""),81500)</f>
        <v>81500</v>
      </c>
      <c r="F2068" s="2" t="str">
        <f ca="1">IFERROR(__xludf.DUMMYFUNCTION("""COMPUTED_VALUE"""),"Bonarda")</f>
        <v>Bonarda</v>
      </c>
      <c r="G2068" s="2">
        <f ca="1">IFERROR(__xludf.DUMMYFUNCTION("""COMPUTED_VALUE"""),1000)</f>
        <v>1000</v>
      </c>
      <c r="H2068" s="2">
        <f ca="1">IFERROR(__xludf.DUMMYFUNCTION("""COMPUTED_VALUE"""),18000)</f>
        <v>18000</v>
      </c>
      <c r="I2068" s="2"/>
      <c r="J2068" s="2"/>
      <c r="K2068" s="2" t="str">
        <f ca="1">IFERROR(__xludf.DUMMYFUNCTION("""COMPUTED_VALUE"""),"1er Trasiego")</f>
        <v>1er Trasiego</v>
      </c>
      <c r="L2068" s="2" t="str">
        <f ca="1">IFERROR(__xludf.DUMMYFUNCTION("""COMPUTED_VALUE"""),"1+")</f>
        <v>1+</v>
      </c>
      <c r="M2068" s="2" t="str">
        <f ca="1">IFERROR(__xludf.DUMMYFUNCTION("""COMPUTED_VALUE"""),"Tinto")</f>
        <v>Tinto</v>
      </c>
    </row>
    <row r="2069" spans="1:13" x14ac:dyDescent="0.25">
      <c r="A2069" s="2" t="str">
        <f ca="1">IFERROR(__xludf.DUMMYFUNCTION("""COMPUTED_VALUE"""),"d46bb0f4")</f>
        <v>d46bb0f4</v>
      </c>
      <c r="B2069" s="2"/>
      <c r="C2069" s="5">
        <f ca="1">IFERROR(__xludf.DUMMYFUNCTION("""COMPUTED_VALUE"""),46169.8464699074)</f>
        <v>46169.846469907403</v>
      </c>
      <c r="D2069" s="2">
        <f ca="1">IFERROR(__xludf.DUMMYFUNCTION("""COMPUTED_VALUE"""),68)</f>
        <v>68</v>
      </c>
      <c r="E2069" s="2">
        <f ca="1">IFERROR(__xludf.DUMMYFUNCTION("""COMPUTED_VALUE"""),13000)</f>
        <v>13000</v>
      </c>
      <c r="F2069" s="2" t="str">
        <f ca="1">IFERROR(__xludf.DUMMYFUNCTION("""COMPUTED_VALUE"""),"Borra")</f>
        <v>Borra</v>
      </c>
      <c r="G2069" s="2">
        <f ca="1">IFERROR(__xludf.DUMMYFUNCTION("""COMPUTED_VALUE"""),7700)</f>
        <v>7700</v>
      </c>
      <c r="H2069" s="2">
        <f ca="1">IFERROR(__xludf.DUMMYFUNCTION("""COMPUTED_VALUE"""),8200)</f>
        <v>8200</v>
      </c>
      <c r="I2069" s="2"/>
      <c r="J2069" s="2"/>
      <c r="K2069" s="2" t="str">
        <f ca="1">IFERROR(__xludf.DUMMYFUNCTION("""COMPUTED_VALUE"""),"1er Trasiego")</f>
        <v>1er Trasiego</v>
      </c>
      <c r="L2069" s="2" t="str">
        <f ca="1">IFERROR(__xludf.DUMMYFUNCTION("""COMPUTED_VALUE"""),"1+")</f>
        <v>1+</v>
      </c>
      <c r="M2069" s="2" t="str">
        <f ca="1">IFERROR(__xludf.DUMMYFUNCTION("""COMPUTED_VALUE"""),"Tinto")</f>
        <v>Tinto</v>
      </c>
    </row>
    <row r="2070" spans="1:13" x14ac:dyDescent="0.25">
      <c r="A2070" s="2" t="str">
        <f ca="1">IFERROR(__xludf.DUMMYFUNCTION("""COMPUTED_VALUE"""),"19195334")</f>
        <v>19195334</v>
      </c>
      <c r="B2070" s="2"/>
      <c r="C2070" s="5">
        <f ca="1">IFERROR(__xludf.DUMMYFUNCTION("""COMPUTED_VALUE"""),46169.8469212962)</f>
        <v>46169.846921296201</v>
      </c>
      <c r="D2070" s="2">
        <f ca="1">IFERROR(__xludf.DUMMYFUNCTION("""COMPUTED_VALUE"""),83)</f>
        <v>83</v>
      </c>
      <c r="E2070" s="2">
        <f ca="1">IFERROR(__xludf.DUMMYFUNCTION("""COMPUTED_VALUE"""),81500)</f>
        <v>81500</v>
      </c>
      <c r="F2070" s="2" t="str">
        <f ca="1">IFERROR(__xludf.DUMMYFUNCTION("""COMPUTED_VALUE"""),"Bonarda")</f>
        <v>Bonarda</v>
      </c>
      <c r="G2070" s="2">
        <f ca="1">IFERROR(__xludf.DUMMYFUNCTION("""COMPUTED_VALUE"""),18000)</f>
        <v>18000</v>
      </c>
      <c r="H2070" s="2">
        <f ca="1">IFERROR(__xludf.DUMMYFUNCTION("""COMPUTED_VALUE"""),32500)</f>
        <v>32500</v>
      </c>
      <c r="I2070" s="2"/>
      <c r="J2070" s="2"/>
      <c r="K2070" s="2" t="str">
        <f ca="1">IFERROR(__xludf.DUMMYFUNCTION("""COMPUTED_VALUE"""),"1er Trasiego")</f>
        <v>1er Trasiego</v>
      </c>
      <c r="L2070" s="2" t="str">
        <f ca="1">IFERROR(__xludf.DUMMYFUNCTION("""COMPUTED_VALUE"""),"1+")</f>
        <v>1+</v>
      </c>
      <c r="M2070" s="2" t="str">
        <f ca="1">IFERROR(__xludf.DUMMYFUNCTION("""COMPUTED_VALUE"""),"Tinto")</f>
        <v>Tinto</v>
      </c>
    </row>
    <row r="2071" spans="1:13" x14ac:dyDescent="0.25">
      <c r="A2071" s="2" t="str">
        <f ca="1">IFERROR(__xludf.DUMMYFUNCTION("""COMPUTED_VALUE"""),"f2cb3463")</f>
        <v>f2cb3463</v>
      </c>
      <c r="B2071" s="2"/>
      <c r="C2071" s="5">
        <f ca="1">IFERROR(__xludf.DUMMYFUNCTION("""COMPUTED_VALUE"""),46169.8470486111)</f>
        <v>46169.847048611096</v>
      </c>
      <c r="D2071" s="2">
        <f ca="1">IFERROR(__xludf.DUMMYFUNCTION("""COMPUTED_VALUE"""),68)</f>
        <v>68</v>
      </c>
      <c r="E2071" s="2">
        <f ca="1">IFERROR(__xludf.DUMMYFUNCTION("""COMPUTED_VALUE"""),13000)</f>
        <v>13000</v>
      </c>
      <c r="F2071" s="2" t="str">
        <f ca="1">IFERROR(__xludf.DUMMYFUNCTION("""COMPUTED_VALUE"""),"Borra")</f>
        <v>Borra</v>
      </c>
      <c r="G2071" s="2">
        <f ca="1">IFERROR(__xludf.DUMMYFUNCTION("""COMPUTED_VALUE"""),8200)</f>
        <v>8200</v>
      </c>
      <c r="H2071" s="2">
        <f ca="1">IFERROR(__xludf.DUMMYFUNCTION("""COMPUTED_VALUE"""),8700)</f>
        <v>8700</v>
      </c>
      <c r="I2071" s="2"/>
      <c r="J2071" s="2"/>
      <c r="K2071" s="2" t="str">
        <f ca="1">IFERROR(__xludf.DUMMYFUNCTION("""COMPUTED_VALUE"""),"1er Trasiego")</f>
        <v>1er Trasiego</v>
      </c>
      <c r="L2071" s="2" t="str">
        <f ca="1">IFERROR(__xludf.DUMMYFUNCTION("""COMPUTED_VALUE"""),"1+")</f>
        <v>1+</v>
      </c>
      <c r="M2071" s="2" t="str">
        <f ca="1">IFERROR(__xludf.DUMMYFUNCTION("""COMPUTED_VALUE"""),"Tinto")</f>
        <v>Tinto</v>
      </c>
    </row>
    <row r="2072" spans="1:13" x14ac:dyDescent="0.25">
      <c r="A2072" s="2" t="str">
        <f ca="1">IFERROR(__xludf.DUMMYFUNCTION("""COMPUTED_VALUE"""),"aa6bce34")</f>
        <v>aa6bce34</v>
      </c>
      <c r="B2072" s="2"/>
      <c r="C2072" s="5">
        <f ca="1">IFERROR(__xludf.DUMMYFUNCTION("""COMPUTED_VALUE"""),46169.8473958333)</f>
        <v>46169.847395833298</v>
      </c>
      <c r="D2072" s="2">
        <f ca="1">IFERROR(__xludf.DUMMYFUNCTION("""COMPUTED_VALUE"""),83)</f>
        <v>83</v>
      </c>
      <c r="E2072" s="2">
        <f ca="1">IFERROR(__xludf.DUMMYFUNCTION("""COMPUTED_VALUE"""),81500)</f>
        <v>81500</v>
      </c>
      <c r="F2072" s="2" t="str">
        <f ca="1">IFERROR(__xludf.DUMMYFUNCTION("""COMPUTED_VALUE"""),"Bonarda")</f>
        <v>Bonarda</v>
      </c>
      <c r="G2072" s="2">
        <f ca="1">IFERROR(__xludf.DUMMYFUNCTION("""COMPUTED_VALUE"""),32500)</f>
        <v>32500</v>
      </c>
      <c r="H2072" s="2">
        <f ca="1">IFERROR(__xludf.DUMMYFUNCTION("""COMPUTED_VALUE"""),57500)</f>
        <v>57500</v>
      </c>
      <c r="I2072" s="2"/>
      <c r="J2072" s="2"/>
      <c r="K2072" s="2" t="str">
        <f ca="1">IFERROR(__xludf.DUMMYFUNCTION("""COMPUTED_VALUE"""),"1er Trasiego")</f>
        <v>1er Trasiego</v>
      </c>
      <c r="L2072" s="2" t="str">
        <f ca="1">IFERROR(__xludf.DUMMYFUNCTION("""COMPUTED_VALUE"""),"1+")</f>
        <v>1+</v>
      </c>
      <c r="M2072" s="2" t="str">
        <f ca="1">IFERROR(__xludf.DUMMYFUNCTION("""COMPUTED_VALUE"""),"Tinto")</f>
        <v>Tinto</v>
      </c>
    </row>
    <row r="2073" spans="1:13" x14ac:dyDescent="0.25">
      <c r="A2073" s="2" t="str">
        <f ca="1">IFERROR(__xludf.DUMMYFUNCTION("""COMPUTED_VALUE"""),"ff6ada49")</f>
        <v>ff6ada49</v>
      </c>
      <c r="B2073" s="2"/>
      <c r="C2073" s="5">
        <f ca="1">IFERROR(__xludf.DUMMYFUNCTION("""COMPUTED_VALUE"""),46169.8476157407)</f>
        <v>46169.847615740699</v>
      </c>
      <c r="D2073" s="2">
        <f ca="1">IFERROR(__xludf.DUMMYFUNCTION("""COMPUTED_VALUE"""),68)</f>
        <v>68</v>
      </c>
      <c r="E2073" s="2">
        <f ca="1">IFERROR(__xludf.DUMMYFUNCTION("""COMPUTED_VALUE"""),13000)</f>
        <v>13000</v>
      </c>
      <c r="F2073" s="2" t="str">
        <f ca="1">IFERROR(__xludf.DUMMYFUNCTION("""COMPUTED_VALUE"""),"Borra")</f>
        <v>Borra</v>
      </c>
      <c r="G2073" s="2">
        <f ca="1">IFERROR(__xludf.DUMMYFUNCTION("""COMPUTED_VALUE"""),8700)</f>
        <v>8700</v>
      </c>
      <c r="H2073" s="2">
        <f ca="1">IFERROR(__xludf.DUMMYFUNCTION("""COMPUTED_VALUE"""),9700)</f>
        <v>9700</v>
      </c>
      <c r="I2073" s="2"/>
      <c r="J2073" s="2"/>
      <c r="K2073" s="2" t="str">
        <f ca="1">IFERROR(__xludf.DUMMYFUNCTION("""COMPUTED_VALUE"""),"1er Trasiego")</f>
        <v>1er Trasiego</v>
      </c>
      <c r="L2073" s="2" t="str">
        <f ca="1">IFERROR(__xludf.DUMMYFUNCTION("""COMPUTED_VALUE"""),"1+")</f>
        <v>1+</v>
      </c>
      <c r="M2073" s="2" t="str">
        <f ca="1">IFERROR(__xludf.DUMMYFUNCTION("""COMPUTED_VALUE"""),"Tinto")</f>
        <v>Tinto</v>
      </c>
    </row>
    <row r="2074" spans="1:13" x14ac:dyDescent="0.25">
      <c r="A2074" s="2" t="str">
        <f ca="1">IFERROR(__xludf.DUMMYFUNCTION("""COMPUTED_VALUE"""),"504737c2")</f>
        <v>504737c2</v>
      </c>
      <c r="B2074" s="2"/>
      <c r="C2074" s="5">
        <f ca="1">IFERROR(__xludf.DUMMYFUNCTION("""COMPUTED_VALUE"""),46169.8479398148)</f>
        <v>46169.847939814797</v>
      </c>
      <c r="D2074" s="2">
        <f ca="1">IFERROR(__xludf.DUMMYFUNCTION("""COMPUTED_VALUE"""),83)</f>
        <v>83</v>
      </c>
      <c r="E2074" s="2">
        <f ca="1">IFERROR(__xludf.DUMMYFUNCTION("""COMPUTED_VALUE"""),81500)</f>
        <v>81500</v>
      </c>
      <c r="F2074" s="2" t="str">
        <f ca="1">IFERROR(__xludf.DUMMYFUNCTION("""COMPUTED_VALUE"""),"Bonarda")</f>
        <v>Bonarda</v>
      </c>
      <c r="G2074" s="2">
        <f ca="1">IFERROR(__xludf.DUMMYFUNCTION("""COMPUTED_VALUE"""),57500)</f>
        <v>57500</v>
      </c>
      <c r="H2074" s="2">
        <f ca="1">IFERROR(__xludf.DUMMYFUNCTION("""COMPUTED_VALUE"""),81500)</f>
        <v>81500</v>
      </c>
      <c r="I2074" s="2"/>
      <c r="J2074" s="2"/>
      <c r="K2074" s="2" t="str">
        <f ca="1">IFERROR(__xludf.DUMMYFUNCTION("""COMPUTED_VALUE"""),"1er Trasiego")</f>
        <v>1er Trasiego</v>
      </c>
      <c r="L2074" s="2" t="str">
        <f ca="1">IFERROR(__xludf.DUMMYFUNCTION("""COMPUTED_VALUE"""),"1+")</f>
        <v>1+</v>
      </c>
      <c r="M2074" s="2" t="str">
        <f ca="1">IFERROR(__xludf.DUMMYFUNCTION("""COMPUTED_VALUE"""),"Tinto")</f>
        <v>Tinto</v>
      </c>
    </row>
    <row r="2075" spans="1:13" x14ac:dyDescent="0.25">
      <c r="A2075" s="2" t="str">
        <f ca="1">IFERROR(__xludf.DUMMYFUNCTION("""COMPUTED_VALUE"""),"21c7c6f5")</f>
        <v>21c7c6f5</v>
      </c>
      <c r="B2075" s="2"/>
      <c r="C2075" s="5">
        <f ca="1">IFERROR(__xludf.DUMMYFUNCTION("""COMPUTED_VALUE"""),46169.8486921295)</f>
        <v>46169.848692129599</v>
      </c>
      <c r="D2075" s="2">
        <f ca="1">IFERROR(__xludf.DUMMYFUNCTION("""COMPUTED_VALUE"""),53)</f>
        <v>53</v>
      </c>
      <c r="E2075" s="2">
        <f ca="1">IFERROR(__xludf.DUMMYFUNCTION("""COMPUTED_VALUE"""),22000)</f>
        <v>22000</v>
      </c>
      <c r="F2075" s="2" t="str">
        <f ca="1">IFERROR(__xludf.DUMMYFUNCTION("""COMPUTED_VALUE"""),"Bonarda")</f>
        <v>Bonarda</v>
      </c>
      <c r="G2075" s="2">
        <f ca="1">IFERROR(__xludf.DUMMYFUNCTION("""COMPUTED_VALUE"""),0)</f>
        <v>0</v>
      </c>
      <c r="H2075" s="2">
        <f ca="1">IFERROR(__xludf.DUMMYFUNCTION("""COMPUTED_VALUE"""),6000)</f>
        <v>6000</v>
      </c>
      <c r="I2075" s="2"/>
      <c r="J2075" s="2"/>
      <c r="K2075" s="2" t="str">
        <f ca="1">IFERROR(__xludf.DUMMYFUNCTION("""COMPUTED_VALUE"""),"1er Trasiego")</f>
        <v>1er Trasiego</v>
      </c>
      <c r="L2075" s="2"/>
      <c r="M2075" s="2" t="str">
        <f ca="1">IFERROR(__xludf.DUMMYFUNCTION("""COMPUTED_VALUE"""),"Tinto")</f>
        <v>Tinto</v>
      </c>
    </row>
    <row r="2076" spans="1:13" x14ac:dyDescent="0.25">
      <c r="A2076" s="2" t="str">
        <f ca="1">IFERROR(__xludf.DUMMYFUNCTION("""COMPUTED_VALUE"""),"3cd93914")</f>
        <v>3cd93914</v>
      </c>
      <c r="B2076" s="2"/>
      <c r="C2076" s="5">
        <f ca="1">IFERROR(__xludf.DUMMYFUNCTION("""COMPUTED_VALUE"""),46169.8488310185)</f>
        <v>46169.848831018498</v>
      </c>
      <c r="D2076" s="2">
        <f ca="1">IFERROR(__xludf.DUMMYFUNCTION("""COMPUTED_VALUE"""),68)</f>
        <v>68</v>
      </c>
      <c r="E2076" s="2">
        <f ca="1">IFERROR(__xludf.DUMMYFUNCTION("""COMPUTED_VALUE"""),13000)</f>
        <v>13000</v>
      </c>
      <c r="F2076" s="2" t="str">
        <f ca="1">IFERROR(__xludf.DUMMYFUNCTION("""COMPUTED_VALUE"""),"Borra")</f>
        <v>Borra</v>
      </c>
      <c r="G2076" s="2">
        <f ca="1">IFERROR(__xludf.DUMMYFUNCTION("""COMPUTED_VALUE"""),9700)</f>
        <v>9700</v>
      </c>
      <c r="H2076" s="2">
        <f ca="1">IFERROR(__xludf.DUMMYFUNCTION("""COMPUTED_VALUE"""),10700)</f>
        <v>10700</v>
      </c>
      <c r="I2076" s="2"/>
      <c r="J2076" s="2"/>
      <c r="K2076" s="2" t="str">
        <f ca="1">IFERROR(__xludf.DUMMYFUNCTION("""COMPUTED_VALUE"""),"1er Trasiego")</f>
        <v>1er Trasiego</v>
      </c>
      <c r="L2076" s="2" t="str">
        <f ca="1">IFERROR(__xludf.DUMMYFUNCTION("""COMPUTED_VALUE"""),"1+")</f>
        <v>1+</v>
      </c>
      <c r="M2076" s="2" t="str">
        <f ca="1">IFERROR(__xludf.DUMMYFUNCTION("""COMPUTED_VALUE"""),"Tinto")</f>
        <v>Tinto</v>
      </c>
    </row>
    <row r="2077" spans="1:13" x14ac:dyDescent="0.25">
      <c r="A2077" s="2" t="str">
        <f ca="1">IFERROR(__xludf.DUMMYFUNCTION("""COMPUTED_VALUE"""),"fc43a156")</f>
        <v>fc43a156</v>
      </c>
      <c r="B2077" s="2"/>
      <c r="C2077" s="5">
        <f ca="1">IFERROR(__xludf.DUMMYFUNCTION("""COMPUTED_VALUE"""),46170.4747106481)</f>
        <v>46170.474710648101</v>
      </c>
      <c r="D2077" s="2">
        <f ca="1">IFERROR(__xludf.DUMMYFUNCTION("""COMPUTED_VALUE"""),53)</f>
        <v>53</v>
      </c>
      <c r="E2077" s="2">
        <f ca="1">IFERROR(__xludf.DUMMYFUNCTION("""COMPUTED_VALUE"""),22000)</f>
        <v>22000</v>
      </c>
      <c r="F2077" s="2" t="str">
        <f ca="1">IFERROR(__xludf.DUMMYFUNCTION("""COMPUTED_VALUE"""),"Bonarda")</f>
        <v>Bonarda</v>
      </c>
      <c r="G2077" s="2">
        <f ca="1">IFERROR(__xludf.DUMMYFUNCTION("""COMPUTED_VALUE"""),6000)</f>
        <v>6000</v>
      </c>
      <c r="H2077" s="2">
        <f ca="1">IFERROR(__xludf.DUMMYFUNCTION("""COMPUTED_VALUE"""),22000)</f>
        <v>22000</v>
      </c>
      <c r="I2077" s="2"/>
      <c r="J2077" s="2"/>
      <c r="K2077" s="2" t="str">
        <f ca="1">IFERROR(__xludf.DUMMYFUNCTION("""COMPUTED_VALUE"""),"1er Trasiego")</f>
        <v>1er Trasiego</v>
      </c>
      <c r="L2077" s="2" t="str">
        <f ca="1">IFERROR(__xludf.DUMMYFUNCTION("""COMPUTED_VALUE"""),"1+")</f>
        <v>1+</v>
      </c>
      <c r="M2077" s="2" t="str">
        <f ca="1">IFERROR(__xludf.DUMMYFUNCTION("""COMPUTED_VALUE"""),"Tinto")</f>
        <v>Tinto</v>
      </c>
    </row>
    <row r="2078" spans="1:13" x14ac:dyDescent="0.25">
      <c r="A2078" s="2" t="str">
        <f ca="1">IFERROR(__xludf.DUMMYFUNCTION("""COMPUTED_VALUE"""),"b13ead40")</f>
        <v>b13ead40</v>
      </c>
      <c r="B2078" s="2"/>
      <c r="C2078" s="5">
        <f ca="1">IFERROR(__xludf.DUMMYFUNCTION("""COMPUTED_VALUE"""),46170.4755439814)</f>
        <v>46170.475543981403</v>
      </c>
      <c r="D2078" s="2">
        <f ca="1">IFERROR(__xludf.DUMMYFUNCTION("""COMPUTED_VALUE"""),52)</f>
        <v>52</v>
      </c>
      <c r="E2078" s="2">
        <f ca="1">IFERROR(__xludf.DUMMYFUNCTION("""COMPUTED_VALUE"""),27000)</f>
        <v>27000</v>
      </c>
      <c r="F2078" s="2" t="str">
        <f ca="1">IFERROR(__xludf.DUMMYFUNCTION("""COMPUTED_VALUE"""),"Chardonnay Reac - Rectificado")</f>
        <v>Chardonnay Reac - Rectificado</v>
      </c>
      <c r="G2078" s="2">
        <f ca="1">IFERROR(__xludf.DUMMYFUNCTION("""COMPUTED_VALUE"""),0)</f>
        <v>0</v>
      </c>
      <c r="H2078" s="2">
        <f ca="1">IFERROR(__xludf.DUMMYFUNCTION("""COMPUTED_VALUE"""),3000)</f>
        <v>3000</v>
      </c>
      <c r="I2078" s="2"/>
      <c r="J2078" s="2"/>
      <c r="K2078" s="2" t="str">
        <f ca="1">IFERROR(__xludf.DUMMYFUNCTION("""COMPUTED_VALUE"""),"Rectificado")</f>
        <v>Rectificado</v>
      </c>
      <c r="L2078" s="2" t="str">
        <f ca="1">IFERROR(__xludf.DUMMYFUNCTION("""COMPUTED_VALUE"""),"1")</f>
        <v>1</v>
      </c>
      <c r="M2078" s="2" t="str">
        <f ca="1">IFERROR(__xludf.DUMMYFUNCTION("""COMPUTED_VALUE"""),"Blanco")</f>
        <v>Blanco</v>
      </c>
    </row>
    <row r="2079" spans="1:13" x14ac:dyDescent="0.25">
      <c r="A2079" s="2" t="str">
        <f ca="1">IFERROR(__xludf.DUMMYFUNCTION("""COMPUTED_VALUE"""),"a73ae064")</f>
        <v>a73ae064</v>
      </c>
      <c r="B2079" s="2"/>
      <c r="C2079" s="5">
        <f ca="1">IFERROR(__xludf.DUMMYFUNCTION("""COMPUTED_VALUE"""),46170.4768055555)</f>
        <v>46170.476805555503</v>
      </c>
      <c r="D2079" s="2">
        <f ca="1">IFERROR(__xludf.DUMMYFUNCTION("""COMPUTED_VALUE"""),52)</f>
        <v>52</v>
      </c>
      <c r="E2079" s="2">
        <f ca="1">IFERROR(__xludf.DUMMYFUNCTION("""COMPUTED_VALUE"""),27000)</f>
        <v>27000</v>
      </c>
      <c r="F2079" s="2" t="str">
        <f ca="1">IFERROR(__xludf.DUMMYFUNCTION("""COMPUTED_VALUE"""),"Rosado Criolla")</f>
        <v>Rosado Criolla</v>
      </c>
      <c r="G2079" s="2">
        <f ca="1">IFERROR(__xludf.DUMMYFUNCTION("""COMPUTED_VALUE"""),3000)</f>
        <v>3000</v>
      </c>
      <c r="H2079" s="2">
        <f ca="1">IFERROR(__xludf.DUMMYFUNCTION("""COMPUTED_VALUE"""),27000)</f>
        <v>27000</v>
      </c>
      <c r="I2079" s="2"/>
      <c r="J2079" s="2"/>
      <c r="K2079" s="2" t="str">
        <f ca="1">IFERROR(__xludf.DUMMYFUNCTION("""COMPUTED_VALUE"""),"2do Trasiego")</f>
        <v>2do Trasiego</v>
      </c>
      <c r="L2079" s="2" t="str">
        <f ca="1">IFERROR(__xludf.DUMMYFUNCTION("""COMPUTED_VALUE"""),"1+")</f>
        <v>1+</v>
      </c>
      <c r="M2079" s="2" t="str">
        <f ca="1">IFERROR(__xludf.DUMMYFUNCTION("""COMPUTED_VALUE"""),"Tinto")</f>
        <v>Tinto</v>
      </c>
    </row>
    <row r="2080" spans="1:13" x14ac:dyDescent="0.25">
      <c r="A2080" s="2" t="str">
        <f ca="1">IFERROR(__xludf.DUMMYFUNCTION("""COMPUTED_VALUE"""),"2cd648db")</f>
        <v>2cd648db</v>
      </c>
      <c r="B2080" s="2"/>
      <c r="C2080" s="5">
        <f ca="1">IFERROR(__xludf.DUMMYFUNCTION("""COMPUTED_VALUE"""),46170.4786921296)</f>
        <v>46170.478692129604</v>
      </c>
      <c r="D2080" s="2">
        <f ca="1">IFERROR(__xludf.DUMMYFUNCTION("""COMPUTED_VALUE"""),9)</f>
        <v>9</v>
      </c>
      <c r="E2080" s="2">
        <f ca="1">IFERROR(__xludf.DUMMYFUNCTION("""COMPUTED_VALUE"""),30000)</f>
        <v>30000</v>
      </c>
      <c r="F2080" s="2" t="str">
        <f ca="1">IFERROR(__xludf.DUMMYFUNCTION("""COMPUTED_VALUE"""),"Criolla Recarga")</f>
        <v>Criolla Recarga</v>
      </c>
      <c r="G2080" s="2">
        <f ca="1">IFERROR(__xludf.DUMMYFUNCTION("""COMPUTED_VALUE"""),0)</f>
        <v>0</v>
      </c>
      <c r="H2080" s="2">
        <f ca="1">IFERROR(__xludf.DUMMYFUNCTION("""COMPUTED_VALUE"""),30000)</f>
        <v>30000</v>
      </c>
      <c r="I2080" s="2"/>
      <c r="J2080" s="2"/>
      <c r="K2080" s="2" t="str">
        <f ca="1">IFERROR(__xludf.DUMMYFUNCTION("""COMPUTED_VALUE"""),"1er Trasiego")</f>
        <v>1er Trasiego</v>
      </c>
      <c r="L2080" s="2" t="str">
        <f ca="1">IFERROR(__xludf.DUMMYFUNCTION("""COMPUTED_VALUE"""),"1+")</f>
        <v>1+</v>
      </c>
      <c r="M2080" s="2" t="str">
        <f ca="1">IFERROR(__xludf.DUMMYFUNCTION("""COMPUTED_VALUE"""),"Tinto")</f>
        <v>Tinto</v>
      </c>
    </row>
    <row r="2081" spans="1:13" x14ac:dyDescent="0.25">
      <c r="A2081" s="2" t="str">
        <f ca="1">IFERROR(__xludf.DUMMYFUNCTION("""COMPUTED_VALUE"""),"30b542ea")</f>
        <v>30b542ea</v>
      </c>
      <c r="B2081" s="2"/>
      <c r="C2081" s="5">
        <f ca="1">IFERROR(__xludf.DUMMYFUNCTION("""COMPUTED_VALUE"""),46170.4830555555)</f>
        <v>46170.483055555502</v>
      </c>
      <c r="D2081" s="2">
        <f ca="1">IFERROR(__xludf.DUMMYFUNCTION("""COMPUTED_VALUE"""),7)</f>
        <v>7</v>
      </c>
      <c r="E2081" s="2">
        <f ca="1">IFERROR(__xludf.DUMMYFUNCTION("""COMPUTED_VALUE"""),30000)</f>
        <v>30000</v>
      </c>
      <c r="F2081" s="2" t="str">
        <f ca="1">IFERROR(__xludf.DUMMYFUNCTION("""COMPUTED_VALUE"""),"Syrah")</f>
        <v>Syrah</v>
      </c>
      <c r="G2081" s="2">
        <f ca="1">IFERROR(__xludf.DUMMYFUNCTION("""COMPUTED_VALUE"""),0)</f>
        <v>0</v>
      </c>
      <c r="H2081" s="2">
        <f ca="1">IFERROR(__xludf.DUMMYFUNCTION("""COMPUTED_VALUE"""),30000)</f>
        <v>30000</v>
      </c>
      <c r="I2081" s="2"/>
      <c r="J2081" s="2"/>
      <c r="K2081" s="2" t="str">
        <f ca="1">IFERROR(__xludf.DUMMYFUNCTION("""COMPUTED_VALUE"""),"1er Trasiego")</f>
        <v>1er Trasiego</v>
      </c>
      <c r="L2081" s="2" t="str">
        <f ca="1">IFERROR(__xludf.DUMMYFUNCTION("""COMPUTED_VALUE"""),"1+")</f>
        <v>1+</v>
      </c>
      <c r="M2081" s="2" t="str">
        <f ca="1">IFERROR(__xludf.DUMMYFUNCTION("""COMPUTED_VALUE"""),"Tinto")</f>
        <v>Tinto</v>
      </c>
    </row>
    <row r="2082" spans="1:13" x14ac:dyDescent="0.25">
      <c r="A2082" s="2" t="str">
        <f ca="1">IFERROR(__xludf.DUMMYFUNCTION("""COMPUTED_VALUE"""),"60ab60ef")</f>
        <v>60ab60ef</v>
      </c>
      <c r="B2082" s="2"/>
      <c r="C2082" s="5">
        <f ca="1">IFERROR(__xludf.DUMMYFUNCTION("""COMPUTED_VALUE"""),46170.4837152777)</f>
        <v>46170.483715277704</v>
      </c>
      <c r="D2082" s="2">
        <f ca="1">IFERROR(__xludf.DUMMYFUNCTION("""COMPUTED_VALUE"""),500)</f>
        <v>500</v>
      </c>
      <c r="E2082" s="2">
        <f ca="1">IFERROR(__xludf.DUMMYFUNCTION("""COMPUTED_VALUE"""),200000)</f>
        <v>200000</v>
      </c>
      <c r="F2082" s="2" t="str">
        <f ca="1">IFERROR(__xludf.DUMMYFUNCTION("""COMPUTED_VALUE"""),"Ajuste Cosecha 2026")</f>
        <v>Ajuste Cosecha 2026</v>
      </c>
      <c r="G2082" s="2">
        <f ca="1">IFERROR(__xludf.DUMMYFUNCTION("""COMPUTED_VALUE"""),32600)</f>
        <v>32600</v>
      </c>
      <c r="H2082" s="2">
        <f ca="1">IFERROR(__xludf.DUMMYFUNCTION("""COMPUTED_VALUE"""),34700)</f>
        <v>34700</v>
      </c>
      <c r="I2082" s="2"/>
      <c r="J2082" s="2"/>
      <c r="K2082" s="2" t="str">
        <f ca="1">IFERROR(__xludf.DUMMYFUNCTION("""COMPUTED_VALUE"""),"Terminado")</f>
        <v>Terminado</v>
      </c>
      <c r="L2082" s="2"/>
      <c r="M2082" s="2" t="str">
        <f ca="1">IFERROR(__xludf.DUMMYFUNCTION("""COMPUTED_VALUE"""),"Tinto")</f>
        <v>Tinto</v>
      </c>
    </row>
    <row r="2083" spans="1:13" x14ac:dyDescent="0.25">
      <c r="A2083" s="2" t="str">
        <f ca="1">IFERROR(__xludf.DUMMYFUNCTION("""COMPUTED_VALUE"""),"91b58f29")</f>
        <v>91b58f29</v>
      </c>
      <c r="B2083" s="2"/>
      <c r="C2083" s="5">
        <f ca="1">IFERROR(__xludf.DUMMYFUNCTION("""COMPUTED_VALUE"""),46170.484699074)</f>
        <v>46170.484699073997</v>
      </c>
      <c r="D2083" s="2">
        <f ca="1">IFERROR(__xludf.DUMMYFUNCTION("""COMPUTED_VALUE"""),68)</f>
        <v>68</v>
      </c>
      <c r="E2083" s="2">
        <f ca="1">IFERROR(__xludf.DUMMYFUNCTION("""COMPUTED_VALUE"""),13000)</f>
        <v>13000</v>
      </c>
      <c r="F2083" s="2" t="str">
        <f ca="1">IFERROR(__xludf.DUMMYFUNCTION("""COMPUTED_VALUE"""),"Borra")</f>
        <v>Borra</v>
      </c>
      <c r="G2083" s="2">
        <f ca="1">IFERROR(__xludf.DUMMYFUNCTION("""COMPUTED_VALUE"""),10700)</f>
        <v>10700</v>
      </c>
      <c r="H2083" s="2">
        <f ca="1">IFERROR(__xludf.DUMMYFUNCTION("""COMPUTED_VALUE"""),11200)</f>
        <v>11200</v>
      </c>
      <c r="I2083" s="2"/>
      <c r="J2083" s="2"/>
      <c r="K2083" s="2" t="str">
        <f ca="1">IFERROR(__xludf.DUMMYFUNCTION("""COMPUTED_VALUE"""),"1er Trasiego")</f>
        <v>1er Trasiego</v>
      </c>
      <c r="L2083" s="2" t="str">
        <f ca="1">IFERROR(__xludf.DUMMYFUNCTION("""COMPUTED_VALUE"""),"1+")</f>
        <v>1+</v>
      </c>
      <c r="M2083" s="2" t="str">
        <f ca="1">IFERROR(__xludf.DUMMYFUNCTION("""COMPUTED_VALUE"""),"Tinto")</f>
        <v>Tinto</v>
      </c>
    </row>
    <row r="2084" spans="1:13" x14ac:dyDescent="0.25">
      <c r="A2084" s="2" t="str">
        <f ca="1">IFERROR(__xludf.DUMMYFUNCTION("""COMPUTED_VALUE"""),"7203bfce")</f>
        <v>7203bfce</v>
      </c>
      <c r="B2084" s="2"/>
      <c r="C2084" s="5">
        <f ca="1">IFERROR(__xludf.DUMMYFUNCTION("""COMPUTED_VALUE"""),46170.4852546296)</f>
        <v>46170.485254629602</v>
      </c>
      <c r="D2084" s="2">
        <f ca="1">IFERROR(__xludf.DUMMYFUNCTION("""COMPUTED_VALUE"""),500)</f>
        <v>500</v>
      </c>
      <c r="E2084" s="2">
        <f ca="1">IFERROR(__xludf.DUMMYFUNCTION("""COMPUTED_VALUE"""),200000)</f>
        <v>200000</v>
      </c>
      <c r="F2084" s="2" t="str">
        <f ca="1">IFERROR(__xludf.DUMMYFUNCTION("""COMPUTED_VALUE"""),"Ajuste Cosecha 2026")</f>
        <v>Ajuste Cosecha 2026</v>
      </c>
      <c r="G2084" s="2">
        <f ca="1">IFERROR(__xludf.DUMMYFUNCTION("""COMPUTED_VALUE"""),34700)</f>
        <v>34700</v>
      </c>
      <c r="H2084" s="2">
        <f ca="1">IFERROR(__xludf.DUMMYFUNCTION("""COMPUTED_VALUE"""),36200)</f>
        <v>36200</v>
      </c>
      <c r="I2084" s="2"/>
      <c r="J2084" s="2"/>
      <c r="K2084" s="2" t="str">
        <f ca="1">IFERROR(__xludf.DUMMYFUNCTION("""COMPUTED_VALUE"""),"Terminado")</f>
        <v>Terminado</v>
      </c>
      <c r="L2084" s="2"/>
      <c r="M2084" s="2" t="str">
        <f ca="1">IFERROR(__xludf.DUMMYFUNCTION("""COMPUTED_VALUE"""),"Tinto")</f>
        <v>Tinto</v>
      </c>
    </row>
    <row r="2085" spans="1:13" x14ac:dyDescent="0.25">
      <c r="A2085" s="2" t="str">
        <f ca="1">IFERROR(__xludf.DUMMYFUNCTION("""COMPUTED_VALUE"""),"fbf098ee")</f>
        <v>fbf098ee</v>
      </c>
      <c r="B2085" s="2"/>
      <c r="C2085" s="5">
        <f ca="1">IFERROR(__xludf.DUMMYFUNCTION("""COMPUTED_VALUE"""),46170.4858912037)</f>
        <v>46170.485891203702</v>
      </c>
      <c r="D2085" s="2">
        <f ca="1">IFERROR(__xludf.DUMMYFUNCTION("""COMPUTED_VALUE"""),11)</f>
        <v>11</v>
      </c>
      <c r="E2085" s="2">
        <f ca="1">IFERROR(__xludf.DUMMYFUNCTION("""COMPUTED_VALUE"""),36000)</f>
        <v>36000</v>
      </c>
      <c r="F2085" s="2" t="str">
        <f ca="1">IFERROR(__xludf.DUMMYFUNCTION("""COMPUTED_VALUE"""),"Cabernet Sauv G")</f>
        <v>Cabernet Sauv G</v>
      </c>
      <c r="G2085" s="2">
        <f ca="1">IFERROR(__xludf.DUMMYFUNCTION("""COMPUTED_VALUE"""),0)</f>
        <v>0</v>
      </c>
      <c r="H2085" s="2">
        <f ca="1">IFERROR(__xludf.DUMMYFUNCTION("""COMPUTED_VALUE"""),36000)</f>
        <v>36000</v>
      </c>
      <c r="I2085" s="2"/>
      <c r="J2085" s="2"/>
      <c r="K2085" s="2" t="str">
        <f ca="1">IFERROR(__xludf.DUMMYFUNCTION("""COMPUTED_VALUE"""),"1er Trasiego")</f>
        <v>1er Trasiego</v>
      </c>
      <c r="L2085" s="2" t="str">
        <f ca="1">IFERROR(__xludf.DUMMYFUNCTION("""COMPUTED_VALUE"""),"1-")</f>
        <v>1-</v>
      </c>
      <c r="M2085" s="2" t="str">
        <f ca="1">IFERROR(__xludf.DUMMYFUNCTION("""COMPUTED_VALUE"""),"Tinto")</f>
        <v>Tinto</v>
      </c>
    </row>
    <row r="2086" spans="1:13" x14ac:dyDescent="0.25">
      <c r="A2086" s="2" t="str">
        <f ca="1">IFERROR(__xludf.DUMMYFUNCTION("""COMPUTED_VALUE"""),"6609cfda")</f>
        <v>6609cfda</v>
      </c>
      <c r="B2086" s="2"/>
      <c r="C2086" s="5">
        <f ca="1">IFERROR(__xludf.DUMMYFUNCTION("""COMPUTED_VALUE"""),46170.4913773148)</f>
        <v>46170.4913773148</v>
      </c>
      <c r="D2086" s="2">
        <f ca="1">IFERROR(__xludf.DUMMYFUNCTION("""COMPUTED_VALUE"""),82)</f>
        <v>82</v>
      </c>
      <c r="E2086" s="2">
        <f ca="1">IFERROR(__xludf.DUMMYFUNCTION("""COMPUTED_VALUE"""),42600)</f>
        <v>42600</v>
      </c>
      <c r="F2086" s="2" t="str">
        <f ca="1">IFERROR(__xludf.DUMMYFUNCTION("""COMPUTED_VALUE"""),"Bonarda")</f>
        <v>Bonarda</v>
      </c>
      <c r="G2086" s="2">
        <f ca="1">IFERROR(__xludf.DUMMYFUNCTION("""COMPUTED_VALUE"""),0)</f>
        <v>0</v>
      </c>
      <c r="H2086" s="2">
        <f ca="1">IFERROR(__xludf.DUMMYFUNCTION("""COMPUTED_VALUE"""),7000)</f>
        <v>7000</v>
      </c>
      <c r="I2086" s="2"/>
      <c r="J2086" s="2"/>
      <c r="K2086" s="2" t="str">
        <f ca="1">IFERROR(__xludf.DUMMYFUNCTION("""COMPUTED_VALUE"""),"1er Trasiego")</f>
        <v>1er Trasiego</v>
      </c>
      <c r="L2086" s="2" t="str">
        <f ca="1">IFERROR(__xludf.DUMMYFUNCTION("""COMPUTED_VALUE"""),"1+")</f>
        <v>1+</v>
      </c>
      <c r="M2086" s="2" t="str">
        <f ca="1">IFERROR(__xludf.DUMMYFUNCTION("""COMPUTED_VALUE"""),"Tinto")</f>
        <v>Tinto</v>
      </c>
    </row>
    <row r="2087" spans="1:13" x14ac:dyDescent="0.25">
      <c r="A2087" s="2" t="str">
        <f ca="1">IFERROR(__xludf.DUMMYFUNCTION("""COMPUTED_VALUE"""),"b6466d68")</f>
        <v>b6466d68</v>
      </c>
      <c r="B2087" s="2"/>
      <c r="C2087" s="5">
        <f ca="1">IFERROR(__xludf.DUMMYFUNCTION("""COMPUTED_VALUE"""),46170.5152893518)</f>
        <v>46170.515289351802</v>
      </c>
      <c r="D2087" s="2">
        <f ca="1">IFERROR(__xludf.DUMMYFUNCTION("""COMPUTED_VALUE"""),82)</f>
        <v>82</v>
      </c>
      <c r="E2087" s="2">
        <f ca="1">IFERROR(__xludf.DUMMYFUNCTION("""COMPUTED_VALUE"""),42600)</f>
        <v>42600</v>
      </c>
      <c r="F2087" s="2" t="str">
        <f ca="1">IFERROR(__xludf.DUMMYFUNCTION("""COMPUTED_VALUE"""),"Bonarda")</f>
        <v>Bonarda</v>
      </c>
      <c r="G2087" s="2">
        <f ca="1">IFERROR(__xludf.DUMMYFUNCTION("""COMPUTED_VALUE"""),7000)</f>
        <v>7000</v>
      </c>
      <c r="H2087" s="2">
        <f ca="1">IFERROR(__xludf.DUMMYFUNCTION("""COMPUTED_VALUE"""),42000)</f>
        <v>42000</v>
      </c>
      <c r="I2087" s="2"/>
      <c r="J2087" s="2"/>
      <c r="K2087" s="2" t="str">
        <f ca="1">IFERROR(__xludf.DUMMYFUNCTION("""COMPUTED_VALUE"""),"1er Trasiego")</f>
        <v>1er Trasiego</v>
      </c>
      <c r="L2087" s="2" t="str">
        <f ca="1">IFERROR(__xludf.DUMMYFUNCTION("""COMPUTED_VALUE"""),"1+")</f>
        <v>1+</v>
      </c>
      <c r="M2087" s="2" t="str">
        <f ca="1">IFERROR(__xludf.DUMMYFUNCTION("""COMPUTED_VALUE"""),"Tinto")</f>
        <v>Tinto</v>
      </c>
    </row>
    <row r="2088" spans="1:13" x14ac:dyDescent="0.25">
      <c r="A2088" s="2" t="str">
        <f ca="1">IFERROR(__xludf.DUMMYFUNCTION("""COMPUTED_VALUE"""),"dc9091b1")</f>
        <v>dc9091b1</v>
      </c>
      <c r="B2088" s="2"/>
      <c r="C2088" s="5">
        <f ca="1">IFERROR(__xludf.DUMMYFUNCTION("""COMPUTED_VALUE"""),46170.5258217592)</f>
        <v>46170.525821759198</v>
      </c>
      <c r="D2088" s="2">
        <f ca="1">IFERROR(__xludf.DUMMYFUNCTION("""COMPUTED_VALUE"""),78)</f>
        <v>78</v>
      </c>
      <c r="E2088" s="2">
        <f ca="1">IFERROR(__xludf.DUMMYFUNCTION("""COMPUTED_VALUE"""),25800)</f>
        <v>25800</v>
      </c>
      <c r="F2088" s="2" t="str">
        <f ca="1">IFERROR(__xludf.DUMMYFUNCTION("""COMPUTED_VALUE"""),"Syrah s/Asp 2")</f>
        <v>Syrah s/Asp 2</v>
      </c>
      <c r="G2088" s="2">
        <f ca="1">IFERROR(__xludf.DUMMYFUNCTION("""COMPUTED_VALUE"""),0)</f>
        <v>0</v>
      </c>
      <c r="H2088" s="2">
        <f ca="1">IFERROR(__xludf.DUMMYFUNCTION("""COMPUTED_VALUE"""),13000)</f>
        <v>13000</v>
      </c>
      <c r="I2088" s="2"/>
      <c r="J2088" s="2"/>
      <c r="K2088" s="2" t="str">
        <f ca="1">IFERROR(__xludf.DUMMYFUNCTION("""COMPUTED_VALUE"""),"1er Trasiego")</f>
        <v>1er Trasiego</v>
      </c>
      <c r="L2088" s="2" t="str">
        <f ca="1">IFERROR(__xludf.DUMMYFUNCTION("""COMPUTED_VALUE"""),"1")</f>
        <v>1</v>
      </c>
      <c r="M2088" s="2" t="str">
        <f ca="1">IFERROR(__xludf.DUMMYFUNCTION("""COMPUTED_VALUE"""),"Tinto")</f>
        <v>Tinto</v>
      </c>
    </row>
    <row r="2089" spans="1:13" x14ac:dyDescent="0.25">
      <c r="A2089" s="2" t="str">
        <f ca="1">IFERROR(__xludf.DUMMYFUNCTION("""COMPUTED_VALUE"""),"adf438f1")</f>
        <v>adf438f1</v>
      </c>
      <c r="B2089" s="2"/>
      <c r="C2089" s="5">
        <f ca="1">IFERROR(__xludf.DUMMYFUNCTION("""COMPUTED_VALUE"""),46170.5261805555)</f>
        <v>46170.526180555498</v>
      </c>
      <c r="D2089" s="2">
        <f ca="1">IFERROR(__xludf.DUMMYFUNCTION("""COMPUTED_VALUE"""),78)</f>
        <v>78</v>
      </c>
      <c r="E2089" s="2">
        <f ca="1">IFERROR(__xludf.DUMMYFUNCTION("""COMPUTED_VALUE"""),25800)</f>
        <v>25800</v>
      </c>
      <c r="F2089" s="2" t="str">
        <f ca="1">IFERROR(__xludf.DUMMYFUNCTION("""COMPUTED_VALUE"""),"Syrah s/Asp 2")</f>
        <v>Syrah s/Asp 2</v>
      </c>
      <c r="G2089" s="2">
        <f ca="1">IFERROR(__xludf.DUMMYFUNCTION("""COMPUTED_VALUE"""),13000)</f>
        <v>13000</v>
      </c>
      <c r="H2089" s="2">
        <f ca="1">IFERROR(__xludf.DUMMYFUNCTION("""COMPUTED_VALUE"""),25800)</f>
        <v>25800</v>
      </c>
      <c r="I2089" s="2"/>
      <c r="J2089" s="2"/>
      <c r="K2089" s="2" t="str">
        <f ca="1">IFERROR(__xludf.DUMMYFUNCTION("""COMPUTED_VALUE"""),"1er Trasiego")</f>
        <v>1er Trasiego</v>
      </c>
      <c r="L2089" s="2" t="str">
        <f ca="1">IFERROR(__xludf.DUMMYFUNCTION("""COMPUTED_VALUE"""),"1+")</f>
        <v>1+</v>
      </c>
      <c r="M2089" s="2" t="str">
        <f ca="1">IFERROR(__xludf.DUMMYFUNCTION("""COMPUTED_VALUE"""),"Tinto")</f>
        <v>Tinto</v>
      </c>
    </row>
    <row r="2090" spans="1:13" x14ac:dyDescent="0.25">
      <c r="A2090" s="2" t="str">
        <f ca="1">IFERROR(__xludf.DUMMYFUNCTION("""COMPUTED_VALUE"""),"a509c6da")</f>
        <v>a509c6da</v>
      </c>
      <c r="B2090" s="2"/>
      <c r="C2090" s="5">
        <f ca="1">IFERROR(__xludf.DUMMYFUNCTION("""COMPUTED_VALUE"""),46170.5263425925)</f>
        <v>46170.5263425925</v>
      </c>
      <c r="D2090" s="2">
        <f ca="1">IFERROR(__xludf.DUMMYFUNCTION("""COMPUTED_VALUE"""),68)</f>
        <v>68</v>
      </c>
      <c r="E2090" s="2">
        <f ca="1">IFERROR(__xludf.DUMMYFUNCTION("""COMPUTED_VALUE"""),13000)</f>
        <v>13000</v>
      </c>
      <c r="F2090" s="2" t="str">
        <f ca="1">IFERROR(__xludf.DUMMYFUNCTION("""COMPUTED_VALUE"""),"Borra")</f>
        <v>Borra</v>
      </c>
      <c r="G2090" s="2">
        <f ca="1">IFERROR(__xludf.DUMMYFUNCTION("""COMPUTED_VALUE"""),11200)</f>
        <v>11200</v>
      </c>
      <c r="H2090" s="2">
        <f ca="1">IFERROR(__xludf.DUMMYFUNCTION("""COMPUTED_VALUE"""),11400)</f>
        <v>11400</v>
      </c>
      <c r="I2090" s="2"/>
      <c r="J2090" s="2"/>
      <c r="K2090" s="2" t="str">
        <f ca="1">IFERROR(__xludf.DUMMYFUNCTION("""COMPUTED_VALUE"""),"1er Trasiego")</f>
        <v>1er Trasiego</v>
      </c>
      <c r="L2090" s="2" t="str">
        <f ca="1">IFERROR(__xludf.DUMMYFUNCTION("""COMPUTED_VALUE"""),"1+")</f>
        <v>1+</v>
      </c>
      <c r="M2090" s="2" t="str">
        <f ca="1">IFERROR(__xludf.DUMMYFUNCTION("""COMPUTED_VALUE"""),"Tinto")</f>
        <v>Tinto</v>
      </c>
    </row>
    <row r="2091" spans="1:13" x14ac:dyDescent="0.25">
      <c r="A2091" s="2" t="str">
        <f ca="1">IFERROR(__xludf.DUMMYFUNCTION("""COMPUTED_VALUE"""),"e9c60218")</f>
        <v>e9c60218</v>
      </c>
      <c r="B2091" s="2"/>
      <c r="C2091" s="5">
        <f ca="1">IFERROR(__xludf.DUMMYFUNCTION("""COMPUTED_VALUE"""),46171.7536574074)</f>
        <v>46171.753657407397</v>
      </c>
      <c r="D2091" s="2">
        <f ca="1">IFERROR(__xludf.DUMMYFUNCTION("""COMPUTED_VALUE"""),71)</f>
        <v>71</v>
      </c>
      <c r="E2091" s="2">
        <f ca="1">IFERROR(__xludf.DUMMYFUNCTION("""COMPUTED_VALUE"""),13000)</f>
        <v>13000</v>
      </c>
      <c r="F2091" s="2" t="str">
        <f ca="1">IFERROR(__xludf.DUMMYFUNCTION("""COMPUTED_VALUE"""),"Merlot s/Asp")</f>
        <v>Merlot s/Asp</v>
      </c>
      <c r="G2091" s="2">
        <f ca="1">IFERROR(__xludf.DUMMYFUNCTION("""COMPUTED_VALUE"""),0)</f>
        <v>0</v>
      </c>
      <c r="H2091" s="2">
        <f ca="1">IFERROR(__xludf.DUMMYFUNCTION("""COMPUTED_VALUE"""),12000)</f>
        <v>12000</v>
      </c>
      <c r="I2091" s="2"/>
      <c r="J2091" s="2"/>
      <c r="K2091" s="2" t="str">
        <f ca="1">IFERROR(__xludf.DUMMYFUNCTION("""COMPUTED_VALUE"""),"1er Trasiego")</f>
        <v>1er Trasiego</v>
      </c>
      <c r="L2091" s="2" t="str">
        <f ca="1">IFERROR(__xludf.DUMMYFUNCTION("""COMPUTED_VALUE"""),"1+")</f>
        <v>1+</v>
      </c>
      <c r="M2091" s="2" t="str">
        <f ca="1">IFERROR(__xludf.DUMMYFUNCTION("""COMPUTED_VALUE"""),"Tinto")</f>
        <v>Tinto</v>
      </c>
    </row>
    <row r="2092" spans="1:13" x14ac:dyDescent="0.25">
      <c r="A2092" s="2" t="str">
        <f ca="1">IFERROR(__xludf.DUMMYFUNCTION("""COMPUTED_VALUE"""),"ac964ec6")</f>
        <v>ac964ec6</v>
      </c>
      <c r="B2092" s="2"/>
      <c r="C2092" s="5">
        <f ca="1">IFERROR(__xludf.DUMMYFUNCTION("""COMPUTED_VALUE"""),46171.7538773148)</f>
        <v>46171.753877314797</v>
      </c>
      <c r="D2092" s="2">
        <f ca="1">IFERROR(__xludf.DUMMYFUNCTION("""COMPUTED_VALUE"""),68)</f>
        <v>68</v>
      </c>
      <c r="E2092" s="2">
        <f ca="1">IFERROR(__xludf.DUMMYFUNCTION("""COMPUTED_VALUE"""),13000)</f>
        <v>13000</v>
      </c>
      <c r="F2092" s="2" t="str">
        <f ca="1">IFERROR(__xludf.DUMMYFUNCTION("""COMPUTED_VALUE"""),"Borra")</f>
        <v>Borra</v>
      </c>
      <c r="G2092" s="2">
        <f ca="1">IFERROR(__xludf.DUMMYFUNCTION("""COMPUTED_VALUE"""),11400)</f>
        <v>11400</v>
      </c>
      <c r="H2092" s="2">
        <f ca="1">IFERROR(__xludf.DUMMYFUNCTION("""COMPUTED_VALUE"""),12400)</f>
        <v>12400</v>
      </c>
      <c r="I2092" s="2"/>
      <c r="J2092" s="2"/>
      <c r="K2092" s="2" t="str">
        <f ca="1">IFERROR(__xludf.DUMMYFUNCTION("""COMPUTED_VALUE"""),"1er Trasiego")</f>
        <v>1er Trasiego</v>
      </c>
      <c r="L2092" s="2" t="str">
        <f ca="1">IFERROR(__xludf.DUMMYFUNCTION("""COMPUTED_VALUE"""),"1+")</f>
        <v>1+</v>
      </c>
      <c r="M2092" s="2" t="str">
        <f ca="1">IFERROR(__xludf.DUMMYFUNCTION("""COMPUTED_VALUE"""),"Tinto")</f>
        <v>Tinto</v>
      </c>
    </row>
    <row r="2093" spans="1:13" x14ac:dyDescent="0.25">
      <c r="A2093" s="2" t="str">
        <f ca="1">IFERROR(__xludf.DUMMYFUNCTION("""COMPUTED_VALUE"""),"1615b136")</f>
        <v>1615b136</v>
      </c>
      <c r="B2093" s="2"/>
      <c r="C2093" s="5">
        <f ca="1">IFERROR(__xludf.DUMMYFUNCTION("""COMPUTED_VALUE"""),46171.755787037)</f>
        <v>46171.755787037</v>
      </c>
      <c r="D2093" s="2">
        <f ca="1">IFERROR(__xludf.DUMMYFUNCTION("""COMPUTED_VALUE"""),82)</f>
        <v>82</v>
      </c>
      <c r="E2093" s="2">
        <f ca="1">IFERROR(__xludf.DUMMYFUNCTION("""COMPUTED_VALUE"""),42600)</f>
        <v>42600</v>
      </c>
      <c r="F2093" s="2" t="str">
        <f ca="1">IFERROR(__xludf.DUMMYFUNCTION("""COMPUTED_VALUE"""),"Bonarda")</f>
        <v>Bonarda</v>
      </c>
      <c r="G2093" s="2">
        <f ca="1">IFERROR(__xludf.DUMMYFUNCTION("""COMPUTED_VALUE"""),42000)</f>
        <v>42000</v>
      </c>
      <c r="H2093" s="2">
        <f ca="1">IFERROR(__xludf.DUMMYFUNCTION("""COMPUTED_VALUE"""),42600)</f>
        <v>42600</v>
      </c>
      <c r="I2093" s="2"/>
      <c r="J2093" s="2"/>
      <c r="K2093" s="2" t="str">
        <f ca="1">IFERROR(__xludf.DUMMYFUNCTION("""COMPUTED_VALUE"""),"1er Trasiego")</f>
        <v>1er Trasiego</v>
      </c>
      <c r="L2093" s="2" t="str">
        <f ca="1">IFERROR(__xludf.DUMMYFUNCTION("""COMPUTED_VALUE"""),"1-")</f>
        <v>1-</v>
      </c>
      <c r="M2093" s="2" t="str">
        <f ca="1">IFERROR(__xludf.DUMMYFUNCTION("""COMPUTED_VALUE"""),"Tinto")</f>
        <v>Tinto</v>
      </c>
    </row>
    <row r="2094" spans="1:13" x14ac:dyDescent="0.25">
      <c r="A2094" s="2" t="str">
        <f ca="1">IFERROR(__xludf.DUMMYFUNCTION("""COMPUTED_VALUE"""),"f5897d1f")</f>
        <v>f5897d1f</v>
      </c>
      <c r="B2094" s="2"/>
      <c r="C2094" s="5">
        <f ca="1">IFERROR(__xludf.DUMMYFUNCTION("""COMPUTED_VALUE"""),46171.7560763888)</f>
        <v>46171.756076388803</v>
      </c>
      <c r="D2094" s="2">
        <f ca="1">IFERROR(__xludf.DUMMYFUNCTION("""COMPUTED_VALUE"""),41)</f>
        <v>41</v>
      </c>
      <c r="E2094" s="2">
        <f ca="1">IFERROR(__xludf.DUMMYFUNCTION("""COMPUTED_VALUE"""),35100)</f>
        <v>35100</v>
      </c>
      <c r="F2094" s="2" t="str">
        <f ca="1">IFERROR(__xludf.DUMMYFUNCTION("""COMPUTED_VALUE"""),"Bonarda")</f>
        <v>Bonarda</v>
      </c>
      <c r="G2094" s="2">
        <f ca="1">IFERROR(__xludf.DUMMYFUNCTION("""COMPUTED_VALUE"""),0)</f>
        <v>0</v>
      </c>
      <c r="H2094" s="2">
        <f ca="1">IFERROR(__xludf.DUMMYFUNCTION("""COMPUTED_VALUE"""),35100)</f>
        <v>35100</v>
      </c>
      <c r="I2094" s="2"/>
      <c r="J2094" s="2"/>
      <c r="K2094" s="2" t="str">
        <f ca="1">IFERROR(__xludf.DUMMYFUNCTION("""COMPUTED_VALUE"""),"1er Trasiego")</f>
        <v>1er Trasiego</v>
      </c>
      <c r="L2094" s="2" t="str">
        <f ca="1">IFERROR(__xludf.DUMMYFUNCTION("""COMPUTED_VALUE"""),"1")</f>
        <v>1</v>
      </c>
      <c r="M2094" s="2" t="str">
        <f ca="1">IFERROR(__xludf.DUMMYFUNCTION("""COMPUTED_VALUE"""),"Tinto")</f>
        <v>Tinto</v>
      </c>
    </row>
    <row r="2095" spans="1:13" x14ac:dyDescent="0.25">
      <c r="A2095" s="2" t="str">
        <f ca="1">IFERROR(__xludf.DUMMYFUNCTION("""COMPUTED_VALUE"""),"759ddcbc")</f>
        <v>759ddcbc</v>
      </c>
      <c r="B2095" s="2"/>
      <c r="C2095" s="5">
        <f ca="1">IFERROR(__xludf.DUMMYFUNCTION("""COMPUTED_VALUE"""),46171.7581944444)</f>
        <v>46171.758194444403</v>
      </c>
      <c r="D2095" s="2">
        <f ca="1">IFERROR(__xludf.DUMMYFUNCTION("""COMPUTED_VALUE"""),16)</f>
        <v>16</v>
      </c>
      <c r="E2095" s="2">
        <f ca="1">IFERROR(__xludf.DUMMYFUNCTION("""COMPUTED_VALUE"""),19500)</f>
        <v>19500</v>
      </c>
      <c r="F2095" s="2" t="str">
        <f ca="1">IFERROR(__xludf.DUMMYFUNCTION("""COMPUTED_VALUE"""),"Criolla Recarga")</f>
        <v>Criolla Recarga</v>
      </c>
      <c r="G2095" s="2">
        <f ca="1">IFERROR(__xludf.DUMMYFUNCTION("""COMPUTED_VALUE"""),0)</f>
        <v>0</v>
      </c>
      <c r="H2095" s="2">
        <f ca="1">IFERROR(__xludf.DUMMYFUNCTION("""COMPUTED_VALUE"""),19500)</f>
        <v>19500</v>
      </c>
      <c r="I2095" s="2"/>
      <c r="J2095" s="2"/>
      <c r="K2095" s="2" t="str">
        <f ca="1">IFERROR(__xludf.DUMMYFUNCTION("""COMPUTED_VALUE"""),"2do Trasiego")</f>
        <v>2do Trasiego</v>
      </c>
      <c r="L2095" s="2"/>
      <c r="M2095" s="2" t="str">
        <f ca="1">IFERROR(__xludf.DUMMYFUNCTION("""COMPUTED_VALUE"""),"Tinto")</f>
        <v>Tinto</v>
      </c>
    </row>
    <row r="2096" spans="1:13" x14ac:dyDescent="0.25">
      <c r="A2096" s="2" t="str">
        <f ca="1">IFERROR(__xludf.DUMMYFUNCTION("""COMPUTED_VALUE"""),"82f4d0f6")</f>
        <v>82f4d0f6</v>
      </c>
      <c r="B2096" s="2"/>
      <c r="C2096" s="5">
        <f ca="1">IFERROR(__xludf.DUMMYFUNCTION("""COMPUTED_VALUE"""),46171.7601504629)</f>
        <v>46171.760150462898</v>
      </c>
      <c r="D2096" s="2">
        <f ca="1">IFERROR(__xludf.DUMMYFUNCTION("""COMPUTED_VALUE"""),87)</f>
        <v>87</v>
      </c>
      <c r="E2096" s="2">
        <f ca="1">IFERROR(__xludf.DUMMYFUNCTION("""COMPUTED_VALUE"""),93700)</f>
        <v>93700</v>
      </c>
      <c r="F2096" s="2" t="str">
        <f ca="1">IFERROR(__xludf.DUMMYFUNCTION("""COMPUTED_VALUE"""),"Criolla Recarga")</f>
        <v>Criolla Recarga</v>
      </c>
      <c r="G2096" s="2">
        <f ca="1">IFERROR(__xludf.DUMMYFUNCTION("""COMPUTED_VALUE"""),74200)</f>
        <v>74200</v>
      </c>
      <c r="H2096" s="2">
        <f ca="1">IFERROR(__xludf.DUMMYFUNCTION("""COMPUTED_VALUE"""),92700)</f>
        <v>92700</v>
      </c>
      <c r="I2096" s="2"/>
      <c r="J2096" s="2"/>
      <c r="K2096" s="2" t="str">
        <f ca="1">IFERROR(__xludf.DUMMYFUNCTION("""COMPUTED_VALUE"""),"1er Trasiego")</f>
        <v>1er Trasiego</v>
      </c>
      <c r="L2096" s="2"/>
      <c r="M2096" s="2" t="str">
        <f ca="1">IFERROR(__xludf.DUMMYFUNCTION("""COMPUTED_VALUE"""),"Tinto")</f>
        <v>Tinto</v>
      </c>
    </row>
    <row r="2097" spans="1:13" x14ac:dyDescent="0.25">
      <c r="A2097" s="2" t="str">
        <f ca="1">IFERROR(__xludf.DUMMYFUNCTION("""COMPUTED_VALUE"""),"dda1c80b")</f>
        <v>dda1c80b</v>
      </c>
      <c r="B2097" s="2"/>
      <c r="C2097" s="5">
        <f ca="1">IFERROR(__xludf.DUMMYFUNCTION("""COMPUTED_VALUE"""),46171.7608333333)</f>
        <v>46171.760833333297</v>
      </c>
      <c r="D2097" s="2">
        <f ca="1">IFERROR(__xludf.DUMMYFUNCTION("""COMPUTED_VALUE"""),10)</f>
        <v>10</v>
      </c>
      <c r="E2097" s="2">
        <f ca="1">IFERROR(__xludf.DUMMYFUNCTION("""COMPUTED_VALUE"""),21000)</f>
        <v>21000</v>
      </c>
      <c r="F2097" s="2" t="str">
        <f ca="1">IFERROR(__xludf.DUMMYFUNCTION("""COMPUTED_VALUE"""),"Syrah Rect")</f>
        <v>Syrah Rect</v>
      </c>
      <c r="G2097" s="2">
        <f ca="1">IFERROR(__xludf.DUMMYFUNCTION("""COMPUTED_VALUE"""),0)</f>
        <v>0</v>
      </c>
      <c r="H2097" s="2">
        <f ca="1">IFERROR(__xludf.DUMMYFUNCTION("""COMPUTED_VALUE"""),21000)</f>
        <v>21000</v>
      </c>
      <c r="I2097" s="2"/>
      <c r="J2097" s="2"/>
      <c r="K2097" s="2" t="str">
        <f ca="1">IFERROR(__xludf.DUMMYFUNCTION("""COMPUTED_VALUE"""),"Rectificado")</f>
        <v>Rectificado</v>
      </c>
      <c r="L2097" s="2" t="str">
        <f ca="1">IFERROR(__xludf.DUMMYFUNCTION("""COMPUTED_VALUE"""),"1+")</f>
        <v>1+</v>
      </c>
      <c r="M2097" s="2" t="str">
        <f ca="1">IFERROR(__xludf.DUMMYFUNCTION("""COMPUTED_VALUE"""),"Tinto")</f>
        <v>Tinto</v>
      </c>
    </row>
    <row r="2098" spans="1:13" x14ac:dyDescent="0.25">
      <c r="A2098" s="2" t="str">
        <f ca="1">IFERROR(__xludf.DUMMYFUNCTION("""COMPUTED_VALUE"""),"a624c62b")</f>
        <v>a624c62b</v>
      </c>
      <c r="B2098" s="2"/>
      <c r="C2098" s="5">
        <f ca="1">IFERROR(__xludf.DUMMYFUNCTION("""COMPUTED_VALUE"""),46175.4894328703)</f>
        <v>46175.489432870301</v>
      </c>
      <c r="D2098" s="2">
        <f ca="1">IFERROR(__xludf.DUMMYFUNCTION("""COMPUTED_VALUE"""),34)</f>
        <v>34</v>
      </c>
      <c r="E2098" s="2">
        <f ca="1">IFERROR(__xludf.DUMMYFUNCTION("""COMPUTED_VALUE"""),39500)</f>
        <v>39500</v>
      </c>
      <c r="F2098" s="2" t="str">
        <f ca="1">IFERROR(__xludf.DUMMYFUNCTION("""COMPUTED_VALUE"""),"Malbec Veg")</f>
        <v>Malbec Veg</v>
      </c>
      <c r="G2098" s="2">
        <f ca="1">IFERROR(__xludf.DUMMYFUNCTION("""COMPUTED_VALUE"""),0)</f>
        <v>0</v>
      </c>
      <c r="H2098" s="2">
        <f ca="1">IFERROR(__xludf.DUMMYFUNCTION("""COMPUTED_VALUE"""),39300)</f>
        <v>39300</v>
      </c>
      <c r="I2098" s="2"/>
      <c r="J2098" s="2"/>
      <c r="K2098" s="2" t="str">
        <f ca="1">IFERROR(__xludf.DUMMYFUNCTION("""COMPUTED_VALUE"""),"1er Trasiego")</f>
        <v>1er Trasiego</v>
      </c>
      <c r="L2098" s="2" t="str">
        <f ca="1">IFERROR(__xludf.DUMMYFUNCTION("""COMPUTED_VALUE"""),"1-")</f>
        <v>1-</v>
      </c>
      <c r="M2098" s="2" t="str">
        <f ca="1">IFERROR(__xludf.DUMMYFUNCTION("""COMPUTED_VALUE"""),"Tinto")</f>
        <v>Tinto</v>
      </c>
    </row>
    <row r="2099" spans="1:13" x14ac:dyDescent="0.25">
      <c r="A2099" s="2" t="str">
        <f ca="1">IFERROR(__xludf.DUMMYFUNCTION("""COMPUTED_VALUE"""),"c099c37c")</f>
        <v>c099c37c</v>
      </c>
      <c r="B2099" s="2"/>
      <c r="C2099" s="5">
        <f ca="1">IFERROR(__xludf.DUMMYFUNCTION("""COMPUTED_VALUE"""),46175.4990509259)</f>
        <v>46175.499050925901</v>
      </c>
      <c r="D2099" s="2">
        <f ca="1">IFERROR(__xludf.DUMMYFUNCTION("""COMPUTED_VALUE"""),66)</f>
        <v>66</v>
      </c>
      <c r="E2099" s="2">
        <f ca="1">IFERROR(__xludf.DUMMYFUNCTION("""COMPUTED_VALUE"""),23000)</f>
        <v>23000</v>
      </c>
      <c r="F2099" s="2" t="str">
        <f ca="1">IFERROR(__xludf.DUMMYFUNCTION("""COMPUTED_VALUE"""),"Criolla")</f>
        <v>Criolla</v>
      </c>
      <c r="G2099" s="2">
        <f ca="1">IFERROR(__xludf.DUMMYFUNCTION("""COMPUTED_VALUE"""),0)</f>
        <v>0</v>
      </c>
      <c r="H2099" s="2">
        <f ca="1">IFERROR(__xludf.DUMMYFUNCTION("""COMPUTED_VALUE"""),13300)</f>
        <v>13300</v>
      </c>
      <c r="I2099" s="2"/>
      <c r="J2099" s="2"/>
      <c r="K2099" s="2" t="str">
        <f ca="1">IFERROR(__xludf.DUMMYFUNCTION("""COMPUTED_VALUE"""),"2do Trasiego")</f>
        <v>2do Trasiego</v>
      </c>
      <c r="L2099" s="2"/>
      <c r="M2099" s="2" t="str">
        <f ca="1">IFERROR(__xludf.DUMMYFUNCTION("""COMPUTED_VALUE"""),"Tinto")</f>
        <v>Tinto</v>
      </c>
    </row>
    <row r="2100" spans="1:13" x14ac:dyDescent="0.25">
      <c r="A2100" s="2" t="str">
        <f ca="1">IFERROR(__xludf.DUMMYFUNCTION("""COMPUTED_VALUE"""),"5710a97e")</f>
        <v>5710a97e</v>
      </c>
      <c r="B2100" s="2"/>
      <c r="C2100" s="5">
        <f ca="1">IFERROR(__xludf.DUMMYFUNCTION("""COMPUTED_VALUE"""),46175.4995254629)</f>
        <v>46175.499525462903</v>
      </c>
      <c r="D2100" s="2">
        <f ca="1">IFERROR(__xludf.DUMMYFUNCTION("""COMPUTED_VALUE"""),67)</f>
        <v>67</v>
      </c>
      <c r="E2100" s="2">
        <f ca="1">IFERROR(__xludf.DUMMYFUNCTION("""COMPUTED_VALUE"""),23000)</f>
        <v>23000</v>
      </c>
      <c r="F2100" s="2" t="str">
        <f ca="1">IFERROR(__xludf.DUMMYFUNCTION("""COMPUTED_VALUE"""),"Criolla")</f>
        <v>Criolla</v>
      </c>
      <c r="G2100" s="2">
        <f ca="1">IFERROR(__xludf.DUMMYFUNCTION("""COMPUTED_VALUE"""),0)</f>
        <v>0</v>
      </c>
      <c r="H2100" s="2">
        <f ca="1">IFERROR(__xludf.DUMMYFUNCTION("""COMPUTED_VALUE"""),13300)</f>
        <v>13300</v>
      </c>
      <c r="I2100" s="2"/>
      <c r="J2100" s="2"/>
      <c r="K2100" s="2" t="str">
        <f ca="1">IFERROR(__xludf.DUMMYFUNCTION("""COMPUTED_VALUE"""),"1er Trasiego")</f>
        <v>1er Trasiego</v>
      </c>
      <c r="L2100" s="2"/>
      <c r="M2100" s="2" t="str">
        <f ca="1">IFERROR(__xludf.DUMMYFUNCTION("""COMPUTED_VALUE"""),"Tinto")</f>
        <v>Tinto</v>
      </c>
    </row>
    <row r="2101" spans="1:13" x14ac:dyDescent="0.25">
      <c r="A2101" s="2" t="str">
        <f ca="1">IFERROR(__xludf.DUMMYFUNCTION("""COMPUTED_VALUE"""),"7d31698a")</f>
        <v>7d31698a</v>
      </c>
      <c r="B2101" s="2"/>
      <c r="C2101" s="5">
        <f ca="1">IFERROR(__xludf.DUMMYFUNCTION("""COMPUTED_VALUE"""),46175.5005439814)</f>
        <v>46175.500543981398</v>
      </c>
      <c r="D2101" s="2">
        <f ca="1">IFERROR(__xludf.DUMMYFUNCTION("""COMPUTED_VALUE"""),66)</f>
        <v>66</v>
      </c>
      <c r="E2101" s="2">
        <f ca="1">IFERROR(__xludf.DUMMYFUNCTION("""COMPUTED_VALUE"""),23000)</f>
        <v>23000</v>
      </c>
      <c r="F2101" s="2" t="str">
        <f ca="1">IFERROR(__xludf.DUMMYFUNCTION("""COMPUTED_VALUE"""),"Syrah - Criolla")</f>
        <v>Syrah - Criolla</v>
      </c>
      <c r="G2101" s="2">
        <f ca="1">IFERROR(__xludf.DUMMYFUNCTION("""COMPUTED_VALUE"""),13300)</f>
        <v>13300</v>
      </c>
      <c r="H2101" s="2">
        <f ca="1">IFERROR(__xludf.DUMMYFUNCTION("""COMPUTED_VALUE"""),23000)</f>
        <v>23000</v>
      </c>
      <c r="I2101" s="2"/>
      <c r="J2101" s="2"/>
      <c r="K2101" s="2" t="str">
        <f ca="1">IFERROR(__xludf.DUMMYFUNCTION("""COMPUTED_VALUE"""),"2do Trasiego")</f>
        <v>2do Trasiego</v>
      </c>
      <c r="L2101" s="2"/>
      <c r="M2101" s="2" t="str">
        <f ca="1">IFERROR(__xludf.DUMMYFUNCTION("""COMPUTED_VALUE"""),"Tinto")</f>
        <v>Tinto</v>
      </c>
    </row>
    <row r="2102" spans="1:13" x14ac:dyDescent="0.25">
      <c r="A2102" s="2" t="str">
        <f ca="1">IFERROR(__xludf.DUMMYFUNCTION("""COMPUTED_VALUE"""),"c78a4531")</f>
        <v>c78a4531</v>
      </c>
      <c r="B2102" s="2"/>
      <c r="C2102" s="5">
        <f ca="1">IFERROR(__xludf.DUMMYFUNCTION("""COMPUTED_VALUE"""),46175.5025462962)</f>
        <v>46175.5025462962</v>
      </c>
      <c r="D2102" s="2">
        <f ca="1">IFERROR(__xludf.DUMMYFUNCTION("""COMPUTED_VALUE"""),67)</f>
        <v>67</v>
      </c>
      <c r="E2102" s="2">
        <f ca="1">IFERROR(__xludf.DUMMYFUNCTION("""COMPUTED_VALUE"""),23000)</f>
        <v>23000</v>
      </c>
      <c r="F2102" s="2" t="str">
        <f ca="1">IFERROR(__xludf.DUMMYFUNCTION("""COMPUTED_VALUE"""),"Syrah - Criolla")</f>
        <v>Syrah - Criolla</v>
      </c>
      <c r="G2102" s="2">
        <f ca="1">IFERROR(__xludf.DUMMYFUNCTION("""COMPUTED_VALUE"""),13300)</f>
        <v>13300</v>
      </c>
      <c r="H2102" s="2">
        <f ca="1">IFERROR(__xludf.DUMMYFUNCTION("""COMPUTED_VALUE"""),23000)</f>
        <v>23000</v>
      </c>
      <c r="I2102" s="2"/>
      <c r="J2102" s="2"/>
      <c r="K2102" s="2" t="str">
        <f ca="1">IFERROR(__xludf.DUMMYFUNCTION("""COMPUTED_VALUE"""),"1er Trasiego")</f>
        <v>1er Trasiego</v>
      </c>
      <c r="L2102" s="2"/>
      <c r="M2102" s="2" t="str">
        <f ca="1">IFERROR(__xludf.DUMMYFUNCTION("""COMPUTED_VALUE"""),"Tinto")</f>
        <v>Tinto</v>
      </c>
    </row>
    <row r="2103" spans="1:13" x14ac:dyDescent="0.25">
      <c r="A2103" s="2" t="str">
        <f ca="1">IFERROR(__xludf.DUMMYFUNCTION("""COMPUTED_VALUE"""),"f23576e6")</f>
        <v>f23576e6</v>
      </c>
      <c r="B2103" s="2"/>
      <c r="C2103" s="5">
        <f ca="1">IFERROR(__xludf.DUMMYFUNCTION("""COMPUTED_VALUE"""),46177.5469328703)</f>
        <v>46177.546932870297</v>
      </c>
      <c r="D2103" s="2">
        <f ca="1">IFERROR(__xludf.DUMMYFUNCTION("""COMPUTED_VALUE"""),74)</f>
        <v>74</v>
      </c>
      <c r="E2103" s="2">
        <f ca="1">IFERROR(__xludf.DUMMYFUNCTION("""COMPUTED_VALUE"""),13000)</f>
        <v>13000</v>
      </c>
      <c r="F2103" s="2" t="str">
        <f ca="1">IFERROR(__xludf.DUMMYFUNCTION("""COMPUTED_VALUE"""),"Borra")</f>
        <v>Borra</v>
      </c>
      <c r="G2103" s="2">
        <f ca="1">IFERROR(__xludf.DUMMYFUNCTION("""COMPUTED_VALUE"""),0)</f>
        <v>0</v>
      </c>
      <c r="H2103" s="2">
        <f ca="1">IFERROR(__xludf.DUMMYFUNCTION("""COMPUTED_VALUE"""),3000)</f>
        <v>3000</v>
      </c>
      <c r="I2103" s="2"/>
      <c r="J2103" s="2"/>
      <c r="K2103" s="2" t="str">
        <f ca="1">IFERROR(__xludf.DUMMYFUNCTION("""COMPUTED_VALUE"""),"Terminado")</f>
        <v>Terminado</v>
      </c>
      <c r="L2103" s="2"/>
      <c r="M2103" s="2" t="str">
        <f ca="1">IFERROR(__xludf.DUMMYFUNCTION("""COMPUTED_VALUE"""),"Tinto")</f>
        <v>Tinto</v>
      </c>
    </row>
    <row r="2104" spans="1:13" x14ac:dyDescent="0.25">
      <c r="A2104" s="2" t="str">
        <f ca="1">IFERROR(__xludf.DUMMYFUNCTION("""COMPUTED_VALUE"""),"eef7208a")</f>
        <v>eef7208a</v>
      </c>
      <c r="B2104" s="2"/>
      <c r="C2104" s="5">
        <f ca="1">IFERROR(__xludf.DUMMYFUNCTION("""COMPUTED_VALUE"""),46177.7233564814)</f>
        <v>46177.723356481401</v>
      </c>
      <c r="D2104" s="2">
        <f ca="1">IFERROR(__xludf.DUMMYFUNCTION("""COMPUTED_VALUE"""),80)</f>
        <v>80</v>
      </c>
      <c r="E2104" s="2">
        <f ca="1">IFERROR(__xludf.DUMMYFUNCTION("""COMPUTED_VALUE"""),26100)</f>
        <v>26100</v>
      </c>
      <c r="F2104" s="2" t="str">
        <f ca="1">IFERROR(__xludf.DUMMYFUNCTION("""COMPUTED_VALUE"""),"Aspirant")</f>
        <v>Aspirant</v>
      </c>
      <c r="G2104" s="2">
        <f ca="1">IFERROR(__xludf.DUMMYFUNCTION("""COMPUTED_VALUE"""),0)</f>
        <v>0</v>
      </c>
      <c r="H2104" s="2">
        <f ca="1">IFERROR(__xludf.DUMMYFUNCTION("""COMPUTED_VALUE"""),26100)</f>
        <v>26100</v>
      </c>
      <c r="I2104" s="2"/>
      <c r="J2104" s="2"/>
      <c r="K2104" s="2" t="str">
        <f ca="1">IFERROR(__xludf.DUMMYFUNCTION("""COMPUTED_VALUE"""),"1er Trasiego")</f>
        <v>1er Trasiego</v>
      </c>
      <c r="L2104" s="2"/>
      <c r="M2104" s="2" t="str">
        <f ca="1">IFERROR(__xludf.DUMMYFUNCTION("""COMPUTED_VALUE"""),"Tinto")</f>
        <v>Tinto</v>
      </c>
    </row>
    <row r="2105" spans="1:13" x14ac:dyDescent="0.25">
      <c r="A2105" s="2" t="str">
        <f ca="1">IFERROR(__xludf.DUMMYFUNCTION("""COMPUTED_VALUE"""),"4c993a7a")</f>
        <v>4c993a7a</v>
      </c>
      <c r="B2105" s="2"/>
      <c r="C2105" s="5">
        <f ca="1">IFERROR(__xludf.DUMMYFUNCTION("""COMPUTED_VALUE"""),46177.7237384259)</f>
        <v>46177.723738425899</v>
      </c>
      <c r="D2105" s="2">
        <f ca="1">IFERROR(__xludf.DUMMYFUNCTION("""COMPUTED_VALUE"""),126)</f>
        <v>126</v>
      </c>
      <c r="E2105" s="2">
        <f ca="1">IFERROR(__xludf.DUMMYFUNCTION("""COMPUTED_VALUE"""),31000)</f>
        <v>31000</v>
      </c>
      <c r="F2105" s="2" t="str">
        <f ca="1">IFERROR(__xludf.DUMMYFUNCTION("""COMPUTED_VALUE"""),"Bonarda PC")</f>
        <v>Bonarda PC</v>
      </c>
      <c r="G2105" s="2">
        <f ca="1">IFERROR(__xludf.DUMMYFUNCTION("""COMPUTED_VALUE"""),0)</f>
        <v>0</v>
      </c>
      <c r="H2105" s="2">
        <f ca="1">IFERROR(__xludf.DUMMYFUNCTION("""COMPUTED_VALUE"""),30000)</f>
        <v>30000</v>
      </c>
      <c r="I2105" s="2"/>
      <c r="J2105" s="2"/>
      <c r="K2105" s="2" t="str">
        <f ca="1">IFERROR(__xludf.DUMMYFUNCTION("""COMPUTED_VALUE"""),"1er Trasiego")</f>
        <v>1er Trasiego</v>
      </c>
      <c r="L2105" s="2" t="str">
        <f ca="1">IFERROR(__xludf.DUMMYFUNCTION("""COMPUTED_VALUE"""),"1+")</f>
        <v>1+</v>
      </c>
      <c r="M2105" s="2" t="str">
        <f ca="1">IFERROR(__xludf.DUMMYFUNCTION("""COMPUTED_VALUE"""),"Tinto")</f>
        <v>Tinto</v>
      </c>
    </row>
    <row r="2106" spans="1:13" x14ac:dyDescent="0.25">
      <c r="A2106" s="2" t="str">
        <f ca="1">IFERROR(__xludf.DUMMYFUNCTION("""COMPUTED_VALUE"""),"9125b2c8")</f>
        <v>9125b2c8</v>
      </c>
      <c r="B2106" s="2"/>
      <c r="C2106" s="5">
        <f ca="1">IFERROR(__xludf.DUMMYFUNCTION("""COMPUTED_VALUE"""),46177.7239814814)</f>
        <v>46177.723981481402</v>
      </c>
      <c r="D2106" s="2">
        <f ca="1">IFERROR(__xludf.DUMMYFUNCTION("""COMPUTED_VALUE"""),126)</f>
        <v>126</v>
      </c>
      <c r="E2106" s="2">
        <f ca="1">IFERROR(__xludf.DUMMYFUNCTION("""COMPUTED_VALUE"""),31000)</f>
        <v>31000</v>
      </c>
      <c r="F2106" s="2" t="str">
        <f ca="1">IFERROR(__xludf.DUMMYFUNCTION("""COMPUTED_VALUE"""),"Bonarda")</f>
        <v>Bonarda</v>
      </c>
      <c r="G2106" s="2">
        <f ca="1">IFERROR(__xludf.DUMMYFUNCTION("""COMPUTED_VALUE"""),30000)</f>
        <v>30000</v>
      </c>
      <c r="H2106" s="2">
        <f ca="1">IFERROR(__xludf.DUMMYFUNCTION("""COMPUTED_VALUE"""),31000)</f>
        <v>31000</v>
      </c>
      <c r="I2106" s="2"/>
      <c r="J2106" s="2"/>
      <c r="K2106" s="2" t="str">
        <f ca="1">IFERROR(__xludf.DUMMYFUNCTION("""COMPUTED_VALUE"""),"1er Trasiego")</f>
        <v>1er Trasiego</v>
      </c>
      <c r="L2106" s="2"/>
      <c r="M2106" s="2" t="str">
        <f ca="1">IFERROR(__xludf.DUMMYFUNCTION("""COMPUTED_VALUE"""),"Tinto")</f>
        <v>Tinto</v>
      </c>
    </row>
    <row r="2107" spans="1:13" x14ac:dyDescent="0.25">
      <c r="A2107" s="2" t="str">
        <f ca="1">IFERROR(__xludf.DUMMYFUNCTION("""COMPUTED_VALUE"""),"b08f666b")</f>
        <v>b08f666b</v>
      </c>
      <c r="B2107" s="2"/>
      <c r="C2107" s="5">
        <f ca="1">IFERROR(__xludf.DUMMYFUNCTION("""COMPUTED_VALUE"""),46177.7244097222)</f>
        <v>46177.724409722199</v>
      </c>
      <c r="D2107" s="2">
        <f ca="1">IFERROR(__xludf.DUMMYFUNCTION("""COMPUTED_VALUE"""),74)</f>
        <v>74</v>
      </c>
      <c r="E2107" s="2">
        <f ca="1">IFERROR(__xludf.DUMMYFUNCTION("""COMPUTED_VALUE"""),13000)</f>
        <v>13000</v>
      </c>
      <c r="F2107" s="2" t="str">
        <f ca="1">IFERROR(__xludf.DUMMYFUNCTION("""COMPUTED_VALUE"""),"Borra")</f>
        <v>Borra</v>
      </c>
      <c r="G2107" s="2">
        <f ca="1">IFERROR(__xludf.DUMMYFUNCTION("""COMPUTED_VALUE"""),3000)</f>
        <v>3000</v>
      </c>
      <c r="H2107" s="2">
        <f ca="1">IFERROR(__xludf.DUMMYFUNCTION("""COMPUTED_VALUE"""),3500)</f>
        <v>3500</v>
      </c>
      <c r="I2107" s="2"/>
      <c r="J2107" s="2"/>
      <c r="K2107" s="2" t="str">
        <f ca="1">IFERROR(__xludf.DUMMYFUNCTION("""COMPUTED_VALUE"""),"Terminado")</f>
        <v>Terminado</v>
      </c>
      <c r="L2107" s="2"/>
      <c r="M2107" s="2" t="str">
        <f ca="1">IFERROR(__xludf.DUMMYFUNCTION("""COMPUTED_VALUE"""),"Tinto")</f>
        <v>Tinto</v>
      </c>
    </row>
    <row r="2108" spans="1:13" x14ac:dyDescent="0.25">
      <c r="A2108" s="2" t="str">
        <f ca="1">IFERROR(__xludf.DUMMYFUNCTION("""COMPUTED_VALUE"""),"be5bdb25")</f>
        <v>be5bdb25</v>
      </c>
      <c r="B2108" s="2"/>
      <c r="C2108" s="5">
        <f ca="1">IFERROR(__xludf.DUMMYFUNCTION("""COMPUTED_VALUE"""),46177.7286226851)</f>
        <v>46177.728622685099</v>
      </c>
      <c r="D2108" s="2">
        <f ca="1">IFERROR(__xludf.DUMMYFUNCTION("""COMPUTED_VALUE"""),65)</f>
        <v>65</v>
      </c>
      <c r="E2108" s="2">
        <f ca="1">IFERROR(__xludf.DUMMYFUNCTION("""COMPUTED_VALUE"""),35500)</f>
        <v>35500</v>
      </c>
      <c r="F2108" s="2" t="str">
        <f ca="1">IFERROR(__xludf.DUMMYFUNCTION("""COMPUTED_VALUE"""),"Syrah")</f>
        <v>Syrah</v>
      </c>
      <c r="G2108" s="2">
        <f ca="1">IFERROR(__xludf.DUMMYFUNCTION("""COMPUTED_VALUE"""),0)</f>
        <v>0</v>
      </c>
      <c r="H2108" s="2">
        <f ca="1">IFERROR(__xludf.DUMMYFUNCTION("""COMPUTED_VALUE"""),35500)</f>
        <v>35500</v>
      </c>
      <c r="I2108" s="2"/>
      <c r="J2108" s="2"/>
      <c r="K2108" s="2" t="str">
        <f ca="1">IFERROR(__xludf.DUMMYFUNCTION("""COMPUTED_VALUE"""),"2do Trasiego")</f>
        <v>2do Trasiego</v>
      </c>
      <c r="L2108" s="2" t="str">
        <f ca="1">IFERROR(__xludf.DUMMYFUNCTION("""COMPUTED_VALUE"""),"1+")</f>
        <v>1+</v>
      </c>
      <c r="M2108" s="2" t="str">
        <f ca="1">IFERROR(__xludf.DUMMYFUNCTION("""COMPUTED_VALUE"""),"Tinto")</f>
        <v>Tinto</v>
      </c>
    </row>
    <row r="2109" spans="1:13" x14ac:dyDescent="0.25">
      <c r="A2109" s="2" t="str">
        <f ca="1">IFERROR(__xludf.DUMMYFUNCTION("""COMPUTED_VALUE"""),"c195697b")</f>
        <v>c195697b</v>
      </c>
      <c r="B2109" s="2"/>
      <c r="C2109" s="5">
        <f ca="1">IFERROR(__xludf.DUMMYFUNCTION("""COMPUTED_VALUE"""),46177.7289236111)</f>
        <v>46177.728923611103</v>
      </c>
      <c r="D2109" s="2">
        <f ca="1">IFERROR(__xludf.DUMMYFUNCTION("""COMPUTED_VALUE"""),81)</f>
        <v>81</v>
      </c>
      <c r="E2109" s="2">
        <f ca="1">IFERROR(__xludf.DUMMYFUNCTION("""COMPUTED_VALUE"""),26500)</f>
        <v>26500</v>
      </c>
      <c r="F2109" s="2" t="str">
        <f ca="1">IFERROR(__xludf.DUMMYFUNCTION("""COMPUTED_VALUE"""),"Syrah")</f>
        <v>Syrah</v>
      </c>
      <c r="G2109" s="2">
        <f ca="1">IFERROR(__xludf.DUMMYFUNCTION("""COMPUTED_VALUE"""),0)</f>
        <v>0</v>
      </c>
      <c r="H2109" s="2">
        <f ca="1">IFERROR(__xludf.DUMMYFUNCTION("""COMPUTED_VALUE"""),26500)</f>
        <v>26500</v>
      </c>
      <c r="I2109" s="2"/>
      <c r="J2109" s="2"/>
      <c r="K2109" s="2" t="str">
        <f ca="1">IFERROR(__xludf.DUMMYFUNCTION("""COMPUTED_VALUE"""),"2do Trasiego")</f>
        <v>2do Trasiego</v>
      </c>
      <c r="L2109" s="2" t="str">
        <f ca="1">IFERROR(__xludf.DUMMYFUNCTION("""COMPUTED_VALUE"""),"1")</f>
        <v>1</v>
      </c>
      <c r="M2109" s="2" t="str">
        <f ca="1">IFERROR(__xludf.DUMMYFUNCTION("""COMPUTED_VALUE"""),"Tinto")</f>
        <v>Tinto</v>
      </c>
    </row>
    <row r="2110" spans="1:13" x14ac:dyDescent="0.25">
      <c r="A2110" s="2" t="str">
        <f ca="1">IFERROR(__xludf.DUMMYFUNCTION("""COMPUTED_VALUE"""),"79e2220e")</f>
        <v>79e2220e</v>
      </c>
      <c r="B2110" s="2"/>
      <c r="C2110" s="5">
        <f ca="1">IFERROR(__xludf.DUMMYFUNCTION("""COMPUTED_VALUE"""),46177.7296064814)</f>
        <v>46177.7296064814</v>
      </c>
      <c r="D2110" s="2">
        <f ca="1">IFERROR(__xludf.DUMMYFUNCTION("""COMPUTED_VALUE"""),79)</f>
        <v>79</v>
      </c>
      <c r="E2110" s="2">
        <f ca="1">IFERROR(__xludf.DUMMYFUNCTION("""COMPUTED_VALUE"""),26000)</f>
        <v>26000</v>
      </c>
      <c r="F2110" s="2" t="str">
        <f ca="1">IFERROR(__xludf.DUMMYFUNCTION("""COMPUTED_VALUE"""),"Syrah")</f>
        <v>Syrah</v>
      </c>
      <c r="G2110" s="2">
        <f ca="1">IFERROR(__xludf.DUMMYFUNCTION("""COMPUTED_VALUE"""),0)</f>
        <v>0</v>
      </c>
      <c r="H2110" s="2">
        <f ca="1">IFERROR(__xludf.DUMMYFUNCTION("""COMPUTED_VALUE"""),26000)</f>
        <v>26000</v>
      </c>
      <c r="I2110" s="2"/>
      <c r="J2110" s="2"/>
      <c r="K2110" s="2" t="str">
        <f ca="1">IFERROR(__xludf.DUMMYFUNCTION("""COMPUTED_VALUE"""),"2do Trasiego")</f>
        <v>2do Trasiego</v>
      </c>
      <c r="L2110" s="2" t="str">
        <f ca="1">IFERROR(__xludf.DUMMYFUNCTION("""COMPUTED_VALUE"""),"1")</f>
        <v>1</v>
      </c>
      <c r="M2110" s="2" t="str">
        <f ca="1">IFERROR(__xludf.DUMMYFUNCTION("""COMPUTED_VALUE"""),"Tinto")</f>
        <v>Tinto</v>
      </c>
    </row>
    <row r="2111" spans="1:13" x14ac:dyDescent="0.25">
      <c r="A2111" s="2" t="str">
        <f ca="1">IFERROR(__xludf.DUMMYFUNCTION("""COMPUTED_VALUE"""),"70e78bdf")</f>
        <v>70e78bdf</v>
      </c>
      <c r="B2111" s="2"/>
      <c r="C2111" s="5">
        <f ca="1">IFERROR(__xludf.DUMMYFUNCTION("""COMPUTED_VALUE"""),46177.7301851851)</f>
        <v>46177.730185185101</v>
      </c>
      <c r="D2111" s="2">
        <f ca="1">IFERROR(__xludf.DUMMYFUNCTION("""COMPUTED_VALUE"""),76)</f>
        <v>76</v>
      </c>
      <c r="E2111" s="2">
        <f ca="1">IFERROR(__xludf.DUMMYFUNCTION("""COMPUTED_VALUE"""),25500)</f>
        <v>25500</v>
      </c>
      <c r="F2111" s="2" t="str">
        <f ca="1">IFERROR(__xludf.DUMMYFUNCTION("""COMPUTED_VALUE"""),"Syrah")</f>
        <v>Syrah</v>
      </c>
      <c r="G2111" s="2">
        <f ca="1">IFERROR(__xludf.DUMMYFUNCTION("""COMPUTED_VALUE"""),0)</f>
        <v>0</v>
      </c>
      <c r="H2111" s="2">
        <f ca="1">IFERROR(__xludf.DUMMYFUNCTION("""COMPUTED_VALUE"""),25500)</f>
        <v>25500</v>
      </c>
      <c r="I2111" s="2"/>
      <c r="J2111" s="2"/>
      <c r="K2111" s="2" t="str">
        <f ca="1">IFERROR(__xludf.DUMMYFUNCTION("""COMPUTED_VALUE"""),"2do Trasiego")</f>
        <v>2do Trasiego</v>
      </c>
      <c r="L2111" s="2" t="str">
        <f ca="1">IFERROR(__xludf.DUMMYFUNCTION("""COMPUTED_VALUE"""),"1+")</f>
        <v>1+</v>
      </c>
      <c r="M2111" s="2" t="str">
        <f ca="1">IFERROR(__xludf.DUMMYFUNCTION("""COMPUTED_VALUE"""),"Tinto")</f>
        <v>Tinto</v>
      </c>
    </row>
    <row r="2112" spans="1:13" x14ac:dyDescent="0.25">
      <c r="A2112" s="2" t="str">
        <f ca="1">IFERROR(__xludf.DUMMYFUNCTION("""COMPUTED_VALUE"""),"d70658e5")</f>
        <v>d70658e5</v>
      </c>
      <c r="B2112" s="2"/>
      <c r="C2112" s="5">
        <f ca="1">IFERROR(__xludf.DUMMYFUNCTION("""COMPUTED_VALUE"""),46177.7305439814)</f>
        <v>46177.730543981401</v>
      </c>
      <c r="D2112" s="2">
        <f ca="1">IFERROR(__xludf.DUMMYFUNCTION("""COMPUTED_VALUE"""),73)</f>
        <v>73</v>
      </c>
      <c r="E2112" s="2">
        <f ca="1">IFERROR(__xludf.DUMMYFUNCTION("""COMPUTED_VALUE"""),13000)</f>
        <v>13000</v>
      </c>
      <c r="F2112" s="2" t="str">
        <f ca="1">IFERROR(__xludf.DUMMYFUNCTION("""COMPUTED_VALUE"""),"Syrah")</f>
        <v>Syrah</v>
      </c>
      <c r="G2112" s="2">
        <f ca="1">IFERROR(__xludf.DUMMYFUNCTION("""COMPUTED_VALUE"""),0)</f>
        <v>0</v>
      </c>
      <c r="H2112" s="2">
        <f ca="1">IFERROR(__xludf.DUMMYFUNCTION("""COMPUTED_VALUE"""),13000)</f>
        <v>13000</v>
      </c>
      <c r="I2112" s="2"/>
      <c r="J2112" s="2"/>
      <c r="K2112" s="2" t="str">
        <f ca="1">IFERROR(__xludf.DUMMYFUNCTION("""COMPUTED_VALUE"""),"2do Trasiego")</f>
        <v>2do Trasiego</v>
      </c>
      <c r="L2112" s="2" t="str">
        <f ca="1">IFERROR(__xludf.DUMMYFUNCTION("""COMPUTED_VALUE"""),"1+")</f>
        <v>1+</v>
      </c>
      <c r="M2112" s="2" t="str">
        <f ca="1">IFERROR(__xludf.DUMMYFUNCTION("""COMPUTED_VALUE"""),"Tinto")</f>
        <v>Tinto</v>
      </c>
    </row>
    <row r="2113" spans="1:13" x14ac:dyDescent="0.25">
      <c r="A2113" s="2" t="str">
        <f ca="1">IFERROR(__xludf.DUMMYFUNCTION("""COMPUTED_VALUE"""),"a5eab27d")</f>
        <v>a5eab27d</v>
      </c>
      <c r="B2113" s="2"/>
      <c r="C2113" s="5">
        <f ca="1">IFERROR(__xludf.DUMMYFUNCTION("""COMPUTED_VALUE"""),46177.730787037)</f>
        <v>46177.730787036999</v>
      </c>
      <c r="D2113" s="2">
        <f ca="1">IFERROR(__xludf.DUMMYFUNCTION("""COMPUTED_VALUE"""),47)</f>
        <v>47</v>
      </c>
      <c r="E2113" s="2">
        <f ca="1">IFERROR(__xludf.DUMMYFUNCTION("""COMPUTED_VALUE"""),20000)</f>
        <v>20000</v>
      </c>
      <c r="F2113" s="2" t="str">
        <f ca="1">IFERROR(__xludf.DUMMYFUNCTION("""COMPUTED_VALUE"""),"Syrah")</f>
        <v>Syrah</v>
      </c>
      <c r="G2113" s="2">
        <f ca="1">IFERROR(__xludf.DUMMYFUNCTION("""COMPUTED_VALUE"""),0)</f>
        <v>0</v>
      </c>
      <c r="H2113" s="2">
        <f ca="1">IFERROR(__xludf.DUMMYFUNCTION("""COMPUTED_VALUE"""),20000)</f>
        <v>20000</v>
      </c>
      <c r="I2113" s="2"/>
      <c r="J2113" s="2"/>
      <c r="K2113" s="2" t="str">
        <f ca="1">IFERROR(__xludf.DUMMYFUNCTION("""COMPUTED_VALUE"""),"2do Trasiego")</f>
        <v>2do Trasiego</v>
      </c>
      <c r="L2113" s="2" t="str">
        <f ca="1">IFERROR(__xludf.DUMMYFUNCTION("""COMPUTED_VALUE"""),"1")</f>
        <v>1</v>
      </c>
      <c r="M2113" s="2" t="str">
        <f ca="1">IFERROR(__xludf.DUMMYFUNCTION("""COMPUTED_VALUE"""),"Tinto")</f>
        <v>Tinto</v>
      </c>
    </row>
    <row r="2114" spans="1:13" x14ac:dyDescent="0.25">
      <c r="A2114" s="2" t="str">
        <f ca="1">IFERROR(__xludf.DUMMYFUNCTION("""COMPUTED_VALUE"""),"911dc687")</f>
        <v>911dc687</v>
      </c>
      <c r="B2114" s="2"/>
      <c r="C2114" s="5">
        <f ca="1">IFERROR(__xludf.DUMMYFUNCTION("""COMPUTED_VALUE"""),46177.7314004629)</f>
        <v>46177.731400462901</v>
      </c>
      <c r="D2114" s="2">
        <f ca="1">IFERROR(__xludf.DUMMYFUNCTION("""COMPUTED_VALUE"""),45)</f>
        <v>45</v>
      </c>
      <c r="E2114" s="2">
        <f ca="1">IFERROR(__xludf.DUMMYFUNCTION("""COMPUTED_VALUE"""),30000)</f>
        <v>30000</v>
      </c>
      <c r="F2114" s="2" t="str">
        <f ca="1">IFERROR(__xludf.DUMMYFUNCTION("""COMPUTED_VALUE"""),"Syrah")</f>
        <v>Syrah</v>
      </c>
      <c r="G2114" s="2">
        <f ca="1">IFERROR(__xludf.DUMMYFUNCTION("""COMPUTED_VALUE"""),0)</f>
        <v>0</v>
      </c>
      <c r="H2114" s="2">
        <f ca="1">IFERROR(__xludf.DUMMYFUNCTION("""COMPUTED_VALUE"""),9100)</f>
        <v>9100</v>
      </c>
      <c r="I2114" s="2"/>
      <c r="J2114" s="2"/>
      <c r="K2114" s="2" t="str">
        <f ca="1">IFERROR(__xludf.DUMMYFUNCTION("""COMPUTED_VALUE"""),"2do Trasiego")</f>
        <v>2do Trasiego</v>
      </c>
      <c r="L2114" s="2" t="str">
        <f ca="1">IFERROR(__xludf.DUMMYFUNCTION("""COMPUTED_VALUE"""),"1")</f>
        <v>1</v>
      </c>
      <c r="M2114" s="2" t="str">
        <f ca="1">IFERROR(__xludf.DUMMYFUNCTION("""COMPUTED_VALUE"""),"Tinto")</f>
        <v>Tinto</v>
      </c>
    </row>
    <row r="2115" spans="1:13" x14ac:dyDescent="0.25">
      <c r="A2115" s="2" t="str">
        <f ca="1">IFERROR(__xludf.DUMMYFUNCTION("""COMPUTED_VALUE"""),"fc41c4ad")</f>
        <v>fc41c4ad</v>
      </c>
      <c r="B2115" s="2"/>
      <c r="C2115" s="5">
        <f ca="1">IFERROR(__xludf.DUMMYFUNCTION("""COMPUTED_VALUE"""),46177.7333101851)</f>
        <v>46177.733310185104</v>
      </c>
      <c r="D2115" s="2">
        <f ca="1">IFERROR(__xludf.DUMMYFUNCTION("""COMPUTED_VALUE"""),45)</f>
        <v>45</v>
      </c>
      <c r="E2115" s="2">
        <f ca="1">IFERROR(__xludf.DUMMYFUNCTION("""COMPUTED_VALUE"""),30000)</f>
        <v>30000</v>
      </c>
      <c r="F2115" s="2" t="str">
        <f ca="1">IFERROR(__xludf.DUMMYFUNCTION("""COMPUTED_VALUE"""),"Syrah")</f>
        <v>Syrah</v>
      </c>
      <c r="G2115" s="2">
        <f ca="1">IFERROR(__xludf.DUMMYFUNCTION("""COMPUTED_VALUE"""),9100)</f>
        <v>9100</v>
      </c>
      <c r="H2115" s="2">
        <f ca="1">IFERROR(__xludf.DUMMYFUNCTION("""COMPUTED_VALUE"""),29100)</f>
        <v>29100</v>
      </c>
      <c r="I2115" s="2"/>
      <c r="J2115" s="2"/>
      <c r="K2115" s="2" t="str">
        <f ca="1">IFERROR(__xludf.DUMMYFUNCTION("""COMPUTED_VALUE"""),"2do Trasiego")</f>
        <v>2do Trasiego</v>
      </c>
      <c r="L2115" s="2" t="str">
        <f ca="1">IFERROR(__xludf.DUMMYFUNCTION("""COMPUTED_VALUE"""),"1")</f>
        <v>1</v>
      </c>
      <c r="M2115" s="2" t="str">
        <f ca="1">IFERROR(__xludf.DUMMYFUNCTION("""COMPUTED_VALUE"""),"Tinto")</f>
        <v>Tinto</v>
      </c>
    </row>
    <row r="2116" spans="1:13" x14ac:dyDescent="0.25">
      <c r="A2116" s="2" t="str">
        <f ca="1">IFERROR(__xludf.DUMMYFUNCTION("""COMPUTED_VALUE"""),"8f769dd7")</f>
        <v>8f769dd7</v>
      </c>
      <c r="B2116" s="2"/>
      <c r="C2116" s="5">
        <f ca="1">IFERROR(__xludf.DUMMYFUNCTION("""COMPUTED_VALUE"""),46177.734537037)</f>
        <v>46177.734537037002</v>
      </c>
      <c r="D2116" s="2">
        <f ca="1">IFERROR(__xludf.DUMMYFUNCTION("""COMPUTED_VALUE"""),45)</f>
        <v>45</v>
      </c>
      <c r="E2116" s="2">
        <f ca="1">IFERROR(__xludf.DUMMYFUNCTION("""COMPUTED_VALUE"""),30000)</f>
        <v>30000</v>
      </c>
      <c r="F2116" s="2" t="str">
        <f ca="1">IFERROR(__xludf.DUMMYFUNCTION("""COMPUTED_VALUE"""),"Syrah")</f>
        <v>Syrah</v>
      </c>
      <c r="G2116" s="2">
        <f ca="1">IFERROR(__xludf.DUMMYFUNCTION("""COMPUTED_VALUE"""),29100)</f>
        <v>29100</v>
      </c>
      <c r="H2116" s="2">
        <f ca="1">IFERROR(__xludf.DUMMYFUNCTION("""COMPUTED_VALUE"""),30000)</f>
        <v>30000</v>
      </c>
      <c r="I2116" s="2"/>
      <c r="J2116" s="2"/>
      <c r="K2116" s="2" t="str">
        <f ca="1">IFERROR(__xludf.DUMMYFUNCTION("""COMPUTED_VALUE"""),"2do Trasiego")</f>
        <v>2do Trasiego</v>
      </c>
      <c r="L2116" s="2" t="str">
        <f ca="1">IFERROR(__xludf.DUMMYFUNCTION("""COMPUTED_VALUE"""),"1")</f>
        <v>1</v>
      </c>
      <c r="M2116" s="2" t="str">
        <f ca="1">IFERROR(__xludf.DUMMYFUNCTION("""COMPUTED_VALUE"""),"Tinto")</f>
        <v>Tinto</v>
      </c>
    </row>
    <row r="2117" spans="1:13" x14ac:dyDescent="0.25">
      <c r="A2117" s="2" t="str">
        <f ca="1">IFERROR(__xludf.DUMMYFUNCTION("""COMPUTED_VALUE"""),"9465e58a")</f>
        <v>9465e58a</v>
      </c>
      <c r="B2117" s="2"/>
      <c r="C2117" s="5">
        <f ca="1">IFERROR(__xludf.DUMMYFUNCTION("""COMPUTED_VALUE"""),46177.7350231481)</f>
        <v>46177.735023148103</v>
      </c>
      <c r="D2117" s="2">
        <f ca="1">IFERROR(__xludf.DUMMYFUNCTION("""COMPUTED_VALUE"""),5)</f>
        <v>5</v>
      </c>
      <c r="E2117" s="2">
        <f ca="1">IFERROR(__xludf.DUMMYFUNCTION("""COMPUTED_VALUE"""),30000)</f>
        <v>30000</v>
      </c>
      <c r="F2117" s="2" t="str">
        <f ca="1">IFERROR(__xludf.DUMMYFUNCTION("""COMPUTED_VALUE"""),"Syrah")</f>
        <v>Syrah</v>
      </c>
      <c r="G2117" s="2">
        <f ca="1">IFERROR(__xludf.DUMMYFUNCTION("""COMPUTED_VALUE"""),0)</f>
        <v>0</v>
      </c>
      <c r="H2117" s="2">
        <f ca="1">IFERROR(__xludf.DUMMYFUNCTION("""COMPUTED_VALUE"""),30000)</f>
        <v>30000</v>
      </c>
      <c r="I2117" s="2"/>
      <c r="J2117" s="2"/>
      <c r="K2117" s="2" t="str">
        <f ca="1">IFERROR(__xludf.DUMMYFUNCTION("""COMPUTED_VALUE"""),"Rectificado")</f>
        <v>Rectificado</v>
      </c>
      <c r="L2117" s="2" t="str">
        <f ca="1">IFERROR(__xludf.DUMMYFUNCTION("""COMPUTED_VALUE"""),"1+")</f>
        <v>1+</v>
      </c>
      <c r="M2117" s="2" t="str">
        <f ca="1">IFERROR(__xludf.DUMMYFUNCTION("""COMPUTED_VALUE"""),"Tinto")</f>
        <v>Tinto</v>
      </c>
    </row>
    <row r="2118" spans="1:13" x14ac:dyDescent="0.25">
      <c r="A2118" s="2" t="str">
        <f ca="1">IFERROR(__xludf.DUMMYFUNCTION("""COMPUTED_VALUE"""),"12927267")</f>
        <v>12927267</v>
      </c>
      <c r="B2118" s="2"/>
      <c r="C2118" s="5">
        <f ca="1">IFERROR(__xludf.DUMMYFUNCTION("""COMPUTED_VALUE"""),46177.7389814814)</f>
        <v>46177.738981481401</v>
      </c>
      <c r="D2118" s="2">
        <f ca="1">IFERROR(__xludf.DUMMYFUNCTION("""COMPUTED_VALUE"""),47)</f>
        <v>47</v>
      </c>
      <c r="E2118" s="2">
        <f ca="1">IFERROR(__xludf.DUMMYFUNCTION("""COMPUTED_VALUE"""),20000)</f>
        <v>20000</v>
      </c>
      <c r="F2118" s="2" t="str">
        <f ca="1">IFERROR(__xludf.DUMMYFUNCTION("""COMPUTED_VALUE"""),"Criolla Recarga")</f>
        <v>Criolla Recarga</v>
      </c>
      <c r="G2118" s="2">
        <f ca="1">IFERROR(__xludf.DUMMYFUNCTION("""COMPUTED_VALUE"""),0)</f>
        <v>0</v>
      </c>
      <c r="H2118" s="2">
        <f ca="1">IFERROR(__xludf.DUMMYFUNCTION("""COMPUTED_VALUE"""),20000)</f>
        <v>20000</v>
      </c>
      <c r="I2118" s="2"/>
      <c r="J2118" s="2"/>
      <c r="K2118" s="2" t="str">
        <f ca="1">IFERROR(__xludf.DUMMYFUNCTION("""COMPUTED_VALUE"""),"1er Trasiego")</f>
        <v>1er Trasiego</v>
      </c>
      <c r="L2118" s="2"/>
      <c r="M2118" s="2" t="str">
        <f ca="1">IFERROR(__xludf.DUMMYFUNCTION("""COMPUTED_VALUE"""),"Tinto")</f>
        <v>Tinto</v>
      </c>
    </row>
    <row r="2119" spans="1:13" x14ac:dyDescent="0.25">
      <c r="A2119" s="2" t="str">
        <f ca="1">IFERROR(__xludf.DUMMYFUNCTION("""COMPUTED_VALUE"""),"6b437cb5")</f>
        <v>6b437cb5</v>
      </c>
      <c r="B2119" s="2"/>
      <c r="C2119" s="5">
        <f ca="1">IFERROR(__xludf.DUMMYFUNCTION("""COMPUTED_VALUE"""),46177.7394212963)</f>
        <v>46177.739421296297</v>
      </c>
      <c r="D2119" s="2">
        <f ca="1">IFERROR(__xludf.DUMMYFUNCTION("""COMPUTED_VALUE"""),87)</f>
        <v>87</v>
      </c>
      <c r="E2119" s="2">
        <f ca="1">IFERROR(__xludf.DUMMYFUNCTION("""COMPUTED_VALUE"""),93700)</f>
        <v>93700</v>
      </c>
      <c r="F2119" s="2" t="str">
        <f ca="1">IFERROR(__xludf.DUMMYFUNCTION("""COMPUTED_VALUE"""),"Criolla Recarga")</f>
        <v>Criolla Recarga</v>
      </c>
      <c r="G2119" s="2">
        <f ca="1">IFERROR(__xludf.DUMMYFUNCTION("""COMPUTED_VALUE"""),92700)</f>
        <v>92700</v>
      </c>
      <c r="H2119" s="2">
        <f ca="1">IFERROR(__xludf.DUMMYFUNCTION("""COMPUTED_VALUE"""),93700)</f>
        <v>93700</v>
      </c>
      <c r="I2119" s="2"/>
      <c r="J2119" s="2"/>
      <c r="K2119" s="2" t="str">
        <f ca="1">IFERROR(__xludf.DUMMYFUNCTION("""COMPUTED_VALUE"""),"1er Trasiego")</f>
        <v>1er Trasiego</v>
      </c>
      <c r="L2119" s="2" t="str">
        <f ca="1">IFERROR(__xludf.DUMMYFUNCTION("""COMPUTED_VALUE"""),"1+")</f>
        <v>1+</v>
      </c>
      <c r="M2119" s="2" t="str">
        <f ca="1">IFERROR(__xludf.DUMMYFUNCTION("""COMPUTED_VALUE"""),"Tinto")</f>
        <v>Tinto</v>
      </c>
    </row>
    <row r="2120" spans="1:13" x14ac:dyDescent="0.25">
      <c r="A2120" s="2" t="str">
        <f ca="1">IFERROR(__xludf.DUMMYFUNCTION("""COMPUTED_VALUE"""),"fda6270c")</f>
        <v>fda6270c</v>
      </c>
      <c r="B2120" s="2"/>
      <c r="C2120" s="5">
        <f ca="1">IFERROR(__xludf.DUMMYFUNCTION("""COMPUTED_VALUE"""),46177.7402199074)</f>
        <v>46177.740219907399</v>
      </c>
      <c r="D2120" s="2">
        <f ca="1">IFERROR(__xludf.DUMMYFUNCTION("""COMPUTED_VALUE"""),74)</f>
        <v>74</v>
      </c>
      <c r="E2120" s="2">
        <f ca="1">IFERROR(__xludf.DUMMYFUNCTION("""COMPUTED_VALUE"""),13000)</f>
        <v>13000</v>
      </c>
      <c r="F2120" s="2" t="str">
        <f ca="1">IFERROR(__xludf.DUMMYFUNCTION("""COMPUTED_VALUE"""),"Borra")</f>
        <v>Borra</v>
      </c>
      <c r="G2120" s="2">
        <f ca="1">IFERROR(__xludf.DUMMYFUNCTION("""COMPUTED_VALUE"""),3500)</f>
        <v>3500</v>
      </c>
      <c r="H2120" s="2">
        <f ca="1">IFERROR(__xludf.DUMMYFUNCTION("""COMPUTED_VALUE"""),5400)</f>
        <v>5400</v>
      </c>
      <c r="I2120" s="2"/>
      <c r="J2120" s="2"/>
      <c r="K2120" s="2" t="str">
        <f ca="1">IFERROR(__xludf.DUMMYFUNCTION("""COMPUTED_VALUE"""),"Terminado")</f>
        <v>Terminado</v>
      </c>
      <c r="L2120" s="2"/>
      <c r="M2120" s="2" t="str">
        <f ca="1">IFERROR(__xludf.DUMMYFUNCTION("""COMPUTED_VALUE"""),"Tinto")</f>
        <v>Tinto</v>
      </c>
    </row>
    <row r="2121" spans="1:13" x14ac:dyDescent="0.25">
      <c r="A2121" s="2" t="str">
        <f ca="1">IFERROR(__xludf.DUMMYFUNCTION("""COMPUTED_VALUE"""),"f1d0fb96")</f>
        <v>f1d0fb96</v>
      </c>
      <c r="B2121" s="2"/>
      <c r="C2121" s="5">
        <f ca="1">IFERROR(__xludf.DUMMYFUNCTION("""COMPUTED_VALUE"""),46177.7469444444)</f>
        <v>46177.7469444444</v>
      </c>
      <c r="D2121" s="2">
        <f ca="1">IFERROR(__xludf.DUMMYFUNCTION("""COMPUTED_VALUE"""),118)</f>
        <v>118</v>
      </c>
      <c r="E2121" s="2">
        <f ca="1">IFERROR(__xludf.DUMMYFUNCTION("""COMPUTED_VALUE"""),155600)</f>
        <v>155600</v>
      </c>
      <c r="F2121" s="2" t="str">
        <f ca="1">IFERROR(__xludf.DUMMYFUNCTION("""COMPUTED_VALUE"""),"Malbec Lopez")</f>
        <v>Malbec Lopez</v>
      </c>
      <c r="G2121" s="2">
        <f ca="1">IFERROR(__xludf.DUMMYFUNCTION("""COMPUTED_VALUE"""),0)</f>
        <v>0</v>
      </c>
      <c r="H2121" s="2">
        <f ca="1">IFERROR(__xludf.DUMMYFUNCTION("""COMPUTED_VALUE"""),8400)</f>
        <v>8400</v>
      </c>
      <c r="I2121" s="2"/>
      <c r="J2121" s="2"/>
      <c r="K2121" s="2" t="str">
        <f ca="1">IFERROR(__xludf.DUMMYFUNCTION("""COMPUTED_VALUE"""),"2do Trasiego")</f>
        <v>2do Trasiego</v>
      </c>
      <c r="L2121" s="2" t="str">
        <f ca="1">IFERROR(__xludf.DUMMYFUNCTION("""COMPUTED_VALUE"""),"1+")</f>
        <v>1+</v>
      </c>
      <c r="M2121" s="2" t="str">
        <f ca="1">IFERROR(__xludf.DUMMYFUNCTION("""COMPUTED_VALUE"""),"Tinto")</f>
        <v>Tinto</v>
      </c>
    </row>
    <row r="2122" spans="1:13" x14ac:dyDescent="0.25">
      <c r="A2122" s="2" t="str">
        <f ca="1">IFERROR(__xludf.DUMMYFUNCTION("""COMPUTED_VALUE"""),"49d3e107")</f>
        <v>49d3e107</v>
      </c>
      <c r="B2122" s="2"/>
      <c r="C2122" s="5">
        <f ca="1">IFERROR(__xludf.DUMMYFUNCTION("""COMPUTED_VALUE"""),46177.7473148148)</f>
        <v>46177.747314814798</v>
      </c>
      <c r="D2122" s="2">
        <f ca="1">IFERROR(__xludf.DUMMYFUNCTION("""COMPUTED_VALUE"""),118)</f>
        <v>118</v>
      </c>
      <c r="E2122" s="2">
        <f ca="1">IFERROR(__xludf.DUMMYFUNCTION("""COMPUTED_VALUE"""),155600)</f>
        <v>155600</v>
      </c>
      <c r="F2122" s="2" t="str">
        <f ca="1">IFERROR(__xludf.DUMMYFUNCTION("""COMPUTED_VALUE"""),"Malbec Lopez")</f>
        <v>Malbec Lopez</v>
      </c>
      <c r="G2122" s="2">
        <f ca="1">IFERROR(__xludf.DUMMYFUNCTION("""COMPUTED_VALUE"""),8400)</f>
        <v>8400</v>
      </c>
      <c r="H2122" s="2">
        <f ca="1">IFERROR(__xludf.DUMMYFUNCTION("""COMPUTED_VALUE"""),15200)</f>
        <v>15200</v>
      </c>
      <c r="I2122" s="2"/>
      <c r="J2122" s="2"/>
      <c r="K2122" s="2" t="str">
        <f ca="1">IFERROR(__xludf.DUMMYFUNCTION("""COMPUTED_VALUE"""),"2do Trasiego")</f>
        <v>2do Trasiego</v>
      </c>
      <c r="L2122" s="2" t="str">
        <f ca="1">IFERROR(__xludf.DUMMYFUNCTION("""COMPUTED_VALUE"""),"1+")</f>
        <v>1+</v>
      </c>
      <c r="M2122" s="2" t="str">
        <f ca="1">IFERROR(__xludf.DUMMYFUNCTION("""COMPUTED_VALUE"""),"Tinto")</f>
        <v>Tinto</v>
      </c>
    </row>
    <row r="2123" spans="1:13" x14ac:dyDescent="0.25">
      <c r="A2123" s="2" t="str">
        <f ca="1">IFERROR(__xludf.DUMMYFUNCTION("""COMPUTED_VALUE"""),"2efa6088")</f>
        <v>2efa6088</v>
      </c>
      <c r="B2123" s="2"/>
      <c r="C2123" s="5">
        <f ca="1">IFERROR(__xludf.DUMMYFUNCTION("""COMPUTED_VALUE"""),46177.7475462963)</f>
        <v>46177.747546296298</v>
      </c>
      <c r="D2123" s="2">
        <f ca="1">IFERROR(__xludf.DUMMYFUNCTION("""COMPUTED_VALUE"""),118)</f>
        <v>118</v>
      </c>
      <c r="E2123" s="2">
        <f ca="1">IFERROR(__xludf.DUMMYFUNCTION("""COMPUTED_VALUE"""),155600)</f>
        <v>155600</v>
      </c>
      <c r="F2123" s="2" t="str">
        <f ca="1">IFERROR(__xludf.DUMMYFUNCTION("""COMPUTED_VALUE"""),"Malbec Lopez")</f>
        <v>Malbec Lopez</v>
      </c>
      <c r="G2123" s="2">
        <f ca="1">IFERROR(__xludf.DUMMYFUNCTION("""COMPUTED_VALUE"""),15200)</f>
        <v>15200</v>
      </c>
      <c r="H2123" s="2">
        <f ca="1">IFERROR(__xludf.DUMMYFUNCTION("""COMPUTED_VALUE"""),22000)</f>
        <v>22000</v>
      </c>
      <c r="I2123" s="2"/>
      <c r="J2123" s="2"/>
      <c r="K2123" s="2" t="str">
        <f ca="1">IFERROR(__xludf.DUMMYFUNCTION("""COMPUTED_VALUE"""),"2do Trasiego")</f>
        <v>2do Trasiego</v>
      </c>
      <c r="L2123" s="2" t="str">
        <f ca="1">IFERROR(__xludf.DUMMYFUNCTION("""COMPUTED_VALUE"""),"1+")</f>
        <v>1+</v>
      </c>
      <c r="M2123" s="2" t="str">
        <f ca="1">IFERROR(__xludf.DUMMYFUNCTION("""COMPUTED_VALUE"""),"Tinto")</f>
        <v>Tinto</v>
      </c>
    </row>
    <row r="2124" spans="1:13" x14ac:dyDescent="0.25">
      <c r="A2124" s="2" t="str">
        <f ca="1">IFERROR(__xludf.DUMMYFUNCTION("""COMPUTED_VALUE"""),"03dc539f")</f>
        <v>03dc539f</v>
      </c>
      <c r="B2124" s="2"/>
      <c r="C2124" s="5">
        <f ca="1">IFERROR(__xludf.DUMMYFUNCTION("""COMPUTED_VALUE"""),46177.7478472222)</f>
        <v>46177.747847222199</v>
      </c>
      <c r="D2124" s="2">
        <f ca="1">IFERROR(__xludf.DUMMYFUNCTION("""COMPUTED_VALUE"""),118)</f>
        <v>118</v>
      </c>
      <c r="E2124" s="2">
        <f ca="1">IFERROR(__xludf.DUMMYFUNCTION("""COMPUTED_VALUE"""),155600)</f>
        <v>155600</v>
      </c>
      <c r="F2124" s="2" t="str">
        <f ca="1">IFERROR(__xludf.DUMMYFUNCTION("""COMPUTED_VALUE"""),"Malbec Lopez")</f>
        <v>Malbec Lopez</v>
      </c>
      <c r="G2124" s="2">
        <f ca="1">IFERROR(__xludf.DUMMYFUNCTION("""COMPUTED_VALUE"""),22000)</f>
        <v>22000</v>
      </c>
      <c r="H2124" s="2">
        <f ca="1">IFERROR(__xludf.DUMMYFUNCTION("""COMPUTED_VALUE"""),28800)</f>
        <v>28800</v>
      </c>
      <c r="I2124" s="2"/>
      <c r="J2124" s="2"/>
      <c r="K2124" s="2" t="str">
        <f ca="1">IFERROR(__xludf.DUMMYFUNCTION("""COMPUTED_VALUE"""),"2do Trasiego")</f>
        <v>2do Trasiego</v>
      </c>
      <c r="L2124" s="2" t="str">
        <f ca="1">IFERROR(__xludf.DUMMYFUNCTION("""COMPUTED_VALUE"""),"1+")</f>
        <v>1+</v>
      </c>
      <c r="M2124" s="2" t="str">
        <f ca="1">IFERROR(__xludf.DUMMYFUNCTION("""COMPUTED_VALUE"""),"Tinto")</f>
        <v>Tinto</v>
      </c>
    </row>
    <row r="2125" spans="1:13" x14ac:dyDescent="0.25">
      <c r="A2125" s="2" t="str">
        <f ca="1">IFERROR(__xludf.DUMMYFUNCTION("""COMPUTED_VALUE"""),"e2a52f45")</f>
        <v>e2a52f45</v>
      </c>
      <c r="B2125" s="2"/>
      <c r="C2125" s="5">
        <f ca="1">IFERROR(__xludf.DUMMYFUNCTION("""COMPUTED_VALUE"""),46177.7480324074)</f>
        <v>46177.748032407399</v>
      </c>
      <c r="D2125" s="2">
        <f ca="1">IFERROR(__xludf.DUMMYFUNCTION("""COMPUTED_VALUE"""),118)</f>
        <v>118</v>
      </c>
      <c r="E2125" s="2">
        <f ca="1">IFERROR(__xludf.DUMMYFUNCTION("""COMPUTED_VALUE"""),155600)</f>
        <v>155600</v>
      </c>
      <c r="F2125" s="2" t="str">
        <f ca="1">IFERROR(__xludf.DUMMYFUNCTION("""COMPUTED_VALUE"""),"Malbec Lopez")</f>
        <v>Malbec Lopez</v>
      </c>
      <c r="G2125" s="2">
        <f ca="1">IFERROR(__xludf.DUMMYFUNCTION("""COMPUTED_VALUE"""),28800)</f>
        <v>28800</v>
      </c>
      <c r="H2125" s="2">
        <f ca="1">IFERROR(__xludf.DUMMYFUNCTION("""COMPUTED_VALUE"""),35600)</f>
        <v>35600</v>
      </c>
      <c r="I2125" s="2"/>
      <c r="J2125" s="2"/>
      <c r="K2125" s="2" t="str">
        <f ca="1">IFERROR(__xludf.DUMMYFUNCTION("""COMPUTED_VALUE"""),"2do Trasiego")</f>
        <v>2do Trasiego</v>
      </c>
      <c r="L2125" s="2" t="str">
        <f ca="1">IFERROR(__xludf.DUMMYFUNCTION("""COMPUTED_VALUE"""),"1+")</f>
        <v>1+</v>
      </c>
      <c r="M2125" s="2" t="str">
        <f ca="1">IFERROR(__xludf.DUMMYFUNCTION("""COMPUTED_VALUE"""),"Tinto")</f>
        <v>Tinto</v>
      </c>
    </row>
    <row r="2126" spans="1:13" x14ac:dyDescent="0.25">
      <c r="A2126" s="2" t="str">
        <f ca="1">IFERROR(__xludf.DUMMYFUNCTION("""COMPUTED_VALUE"""),"f67c7fdc")</f>
        <v>f67c7fdc</v>
      </c>
      <c r="B2126" s="2"/>
      <c r="C2126" s="5">
        <f ca="1">IFERROR(__xludf.DUMMYFUNCTION("""COMPUTED_VALUE"""),46177.7525810185)</f>
        <v>46177.752581018503</v>
      </c>
      <c r="D2126" s="2">
        <f ca="1">IFERROR(__xludf.DUMMYFUNCTION("""COMPUTED_VALUE"""),118)</f>
        <v>118</v>
      </c>
      <c r="E2126" s="2">
        <f ca="1">IFERROR(__xludf.DUMMYFUNCTION("""COMPUTED_VALUE"""),155600)</f>
        <v>155600</v>
      </c>
      <c r="F2126" s="2" t="str">
        <f ca="1">IFERROR(__xludf.DUMMYFUNCTION("""COMPUTED_VALUE"""),"Malbec Lopez")</f>
        <v>Malbec Lopez</v>
      </c>
      <c r="G2126" s="2">
        <f ca="1">IFERROR(__xludf.DUMMYFUNCTION("""COMPUTED_VALUE"""),28800)</f>
        <v>28800</v>
      </c>
      <c r="H2126" s="2">
        <f ca="1">IFERROR(__xludf.DUMMYFUNCTION("""COMPUTED_VALUE"""),35600)</f>
        <v>35600</v>
      </c>
      <c r="I2126" s="2"/>
      <c r="J2126" s="2"/>
      <c r="K2126" s="2" t="str">
        <f ca="1">IFERROR(__xludf.DUMMYFUNCTION("""COMPUTED_VALUE"""),"2do Trasiego")</f>
        <v>2do Trasiego</v>
      </c>
      <c r="L2126" s="2" t="str">
        <f ca="1">IFERROR(__xludf.DUMMYFUNCTION("""COMPUTED_VALUE"""),"1+")</f>
        <v>1+</v>
      </c>
      <c r="M2126" s="2" t="str">
        <f ca="1">IFERROR(__xludf.DUMMYFUNCTION("""COMPUTED_VALUE"""),"Tinto")</f>
        <v>Tinto</v>
      </c>
    </row>
    <row r="2127" spans="1:13" x14ac:dyDescent="0.25">
      <c r="A2127" s="2" t="str">
        <f ca="1">IFERROR(__xludf.DUMMYFUNCTION("""COMPUTED_VALUE"""),"85d7ccd1")</f>
        <v>85d7ccd1</v>
      </c>
      <c r="B2127" s="2"/>
      <c r="C2127" s="5">
        <f ca="1">IFERROR(__xludf.DUMMYFUNCTION("""COMPUTED_VALUE"""),46177.7529513888)</f>
        <v>46177.7529513888</v>
      </c>
      <c r="D2127" s="2">
        <f ca="1">IFERROR(__xludf.DUMMYFUNCTION("""COMPUTED_VALUE"""),118)</f>
        <v>118</v>
      </c>
      <c r="E2127" s="2">
        <f ca="1">IFERROR(__xludf.DUMMYFUNCTION("""COMPUTED_VALUE"""),155600)</f>
        <v>155600</v>
      </c>
      <c r="F2127" s="2" t="str">
        <f ca="1">IFERROR(__xludf.DUMMYFUNCTION("""COMPUTED_VALUE"""),"Malbec Lopez")</f>
        <v>Malbec Lopez</v>
      </c>
      <c r="G2127" s="2">
        <f ca="1">IFERROR(__xludf.DUMMYFUNCTION("""COMPUTED_VALUE"""),35600)</f>
        <v>35600</v>
      </c>
      <c r="H2127" s="2">
        <f ca="1">IFERROR(__xludf.DUMMYFUNCTION("""COMPUTED_VALUE"""),42400)</f>
        <v>42400</v>
      </c>
      <c r="I2127" s="2"/>
      <c r="J2127" s="2"/>
      <c r="K2127" s="2" t="str">
        <f ca="1">IFERROR(__xludf.DUMMYFUNCTION("""COMPUTED_VALUE"""),"2do Trasiego")</f>
        <v>2do Trasiego</v>
      </c>
      <c r="L2127" s="2" t="str">
        <f ca="1">IFERROR(__xludf.DUMMYFUNCTION("""COMPUTED_VALUE"""),"1+")</f>
        <v>1+</v>
      </c>
      <c r="M2127" s="2" t="str">
        <f ca="1">IFERROR(__xludf.DUMMYFUNCTION("""COMPUTED_VALUE"""),"Tinto")</f>
        <v>Tinto</v>
      </c>
    </row>
    <row r="2128" spans="1:13" x14ac:dyDescent="0.25">
      <c r="A2128" s="2" t="str">
        <f ca="1">IFERROR(__xludf.DUMMYFUNCTION("""COMPUTED_VALUE"""),"cc3662ee")</f>
        <v>cc3662ee</v>
      </c>
      <c r="B2128" s="2"/>
      <c r="C2128" s="5">
        <f ca="1">IFERROR(__xludf.DUMMYFUNCTION("""COMPUTED_VALUE"""),46177.7533449074)</f>
        <v>46177.753344907404</v>
      </c>
      <c r="D2128" s="2">
        <f ca="1">IFERROR(__xludf.DUMMYFUNCTION("""COMPUTED_VALUE"""),118)</f>
        <v>118</v>
      </c>
      <c r="E2128" s="2">
        <f ca="1">IFERROR(__xludf.DUMMYFUNCTION("""COMPUTED_VALUE"""),155600)</f>
        <v>155600</v>
      </c>
      <c r="F2128" s="2" t="str">
        <f ca="1">IFERROR(__xludf.DUMMYFUNCTION("""COMPUTED_VALUE"""),"Malbec Lopez")</f>
        <v>Malbec Lopez</v>
      </c>
      <c r="G2128" s="2">
        <f ca="1">IFERROR(__xludf.DUMMYFUNCTION("""COMPUTED_VALUE"""),42400)</f>
        <v>42400</v>
      </c>
      <c r="H2128" s="2">
        <f ca="1">IFERROR(__xludf.DUMMYFUNCTION("""COMPUTED_VALUE"""),65400)</f>
        <v>65400</v>
      </c>
      <c r="I2128" s="2"/>
      <c r="J2128" s="2"/>
      <c r="K2128" s="2" t="str">
        <f ca="1">IFERROR(__xludf.DUMMYFUNCTION("""COMPUTED_VALUE"""),"2do Trasiego")</f>
        <v>2do Trasiego</v>
      </c>
      <c r="L2128" s="2" t="str">
        <f ca="1">IFERROR(__xludf.DUMMYFUNCTION("""COMPUTED_VALUE"""),"1+")</f>
        <v>1+</v>
      </c>
      <c r="M2128" s="2" t="str">
        <f ca="1">IFERROR(__xludf.DUMMYFUNCTION("""COMPUTED_VALUE"""),"Tinto")</f>
        <v>Tinto</v>
      </c>
    </row>
    <row r="2129" spans="1:13" x14ac:dyDescent="0.25">
      <c r="A2129" s="2" t="str">
        <f ca="1">IFERROR(__xludf.DUMMYFUNCTION("""COMPUTED_VALUE"""),"f0b61424")</f>
        <v>f0b61424</v>
      </c>
      <c r="B2129" s="2"/>
      <c r="C2129" s="5">
        <f ca="1">IFERROR(__xludf.DUMMYFUNCTION("""COMPUTED_VALUE"""),46177.7541782407)</f>
        <v>46177.754178240699</v>
      </c>
      <c r="D2129" s="2">
        <f ca="1">IFERROR(__xludf.DUMMYFUNCTION("""COMPUTED_VALUE"""),118)</f>
        <v>118</v>
      </c>
      <c r="E2129" s="2">
        <f ca="1">IFERROR(__xludf.DUMMYFUNCTION("""COMPUTED_VALUE"""),155600)</f>
        <v>155600</v>
      </c>
      <c r="F2129" s="2" t="str">
        <f ca="1">IFERROR(__xludf.DUMMYFUNCTION("""COMPUTED_VALUE"""),"Malbec Lopez")</f>
        <v>Malbec Lopez</v>
      </c>
      <c r="G2129" s="2">
        <f ca="1">IFERROR(__xludf.DUMMYFUNCTION("""COMPUTED_VALUE"""),65400)</f>
        <v>65400</v>
      </c>
      <c r="H2129" s="2">
        <f ca="1">IFERROR(__xludf.DUMMYFUNCTION("""COMPUTED_VALUE"""),88400)</f>
        <v>88400</v>
      </c>
      <c r="I2129" s="2"/>
      <c r="J2129" s="2"/>
      <c r="K2129" s="2" t="str">
        <f ca="1">IFERROR(__xludf.DUMMYFUNCTION("""COMPUTED_VALUE"""),"2do Trasiego")</f>
        <v>2do Trasiego</v>
      </c>
      <c r="L2129" s="2" t="str">
        <f ca="1">IFERROR(__xludf.DUMMYFUNCTION("""COMPUTED_VALUE"""),"1+")</f>
        <v>1+</v>
      </c>
      <c r="M2129" s="2" t="str">
        <f ca="1">IFERROR(__xludf.DUMMYFUNCTION("""COMPUTED_VALUE"""),"Tinto")</f>
        <v>Tinto</v>
      </c>
    </row>
    <row r="2130" spans="1:13" x14ac:dyDescent="0.25">
      <c r="A2130" s="2" t="str">
        <f ca="1">IFERROR(__xludf.DUMMYFUNCTION("""COMPUTED_VALUE"""),"d4a68b1a")</f>
        <v>d4a68b1a</v>
      </c>
      <c r="B2130" s="2"/>
      <c r="C2130" s="5">
        <f ca="1">IFERROR(__xludf.DUMMYFUNCTION("""COMPUTED_VALUE"""),46177.7551967592)</f>
        <v>46177.755196759201</v>
      </c>
      <c r="D2130" s="2">
        <f ca="1">IFERROR(__xludf.DUMMYFUNCTION("""COMPUTED_VALUE"""),118)</f>
        <v>118</v>
      </c>
      <c r="E2130" s="2">
        <f ca="1">IFERROR(__xludf.DUMMYFUNCTION("""COMPUTED_VALUE"""),155600)</f>
        <v>155600</v>
      </c>
      <c r="F2130" s="2" t="str">
        <f ca="1">IFERROR(__xludf.DUMMYFUNCTION("""COMPUTED_VALUE"""),"Malbec Lopez")</f>
        <v>Malbec Lopez</v>
      </c>
      <c r="G2130" s="2">
        <f ca="1">IFERROR(__xludf.DUMMYFUNCTION("""COMPUTED_VALUE"""),88400)</f>
        <v>88400</v>
      </c>
      <c r="H2130" s="2">
        <f ca="1">IFERROR(__xludf.DUMMYFUNCTION("""COMPUTED_VALUE"""),90900)</f>
        <v>90900</v>
      </c>
      <c r="I2130" s="2"/>
      <c r="J2130" s="2"/>
      <c r="K2130" s="2" t="str">
        <f ca="1">IFERROR(__xludf.DUMMYFUNCTION("""COMPUTED_VALUE"""),"2do Trasiego")</f>
        <v>2do Trasiego</v>
      </c>
      <c r="L2130" s="2" t="str">
        <f ca="1">IFERROR(__xludf.DUMMYFUNCTION("""COMPUTED_VALUE"""),"1+")</f>
        <v>1+</v>
      </c>
      <c r="M2130" s="2" t="str">
        <f ca="1">IFERROR(__xludf.DUMMYFUNCTION("""COMPUTED_VALUE"""),"Tinto")</f>
        <v>Tinto</v>
      </c>
    </row>
    <row r="2131" spans="1:13" x14ac:dyDescent="0.25">
      <c r="A2131" s="2" t="str">
        <f ca="1">IFERROR(__xludf.DUMMYFUNCTION("""COMPUTED_VALUE"""),"778cb3d5")</f>
        <v>778cb3d5</v>
      </c>
      <c r="B2131" s="2"/>
      <c r="C2131" s="5">
        <f ca="1">IFERROR(__xludf.DUMMYFUNCTION("""COMPUTED_VALUE"""),46177.7555439814)</f>
        <v>46177.755543981402</v>
      </c>
      <c r="D2131" s="2">
        <f ca="1">IFERROR(__xludf.DUMMYFUNCTION("""COMPUTED_VALUE"""),118)</f>
        <v>118</v>
      </c>
      <c r="E2131" s="2">
        <f ca="1">IFERROR(__xludf.DUMMYFUNCTION("""COMPUTED_VALUE"""),155600)</f>
        <v>155600</v>
      </c>
      <c r="F2131" s="2" t="str">
        <f ca="1">IFERROR(__xludf.DUMMYFUNCTION("""COMPUTED_VALUE"""),"Malbec Lopez")</f>
        <v>Malbec Lopez</v>
      </c>
      <c r="G2131" s="2">
        <f ca="1">IFERROR(__xludf.DUMMYFUNCTION("""COMPUTED_VALUE"""),90900)</f>
        <v>90900</v>
      </c>
      <c r="H2131" s="2">
        <f ca="1">IFERROR(__xludf.DUMMYFUNCTION("""COMPUTED_VALUE"""),93400)</f>
        <v>93400</v>
      </c>
      <c r="I2131" s="2"/>
      <c r="J2131" s="2"/>
      <c r="K2131" s="2" t="str">
        <f ca="1">IFERROR(__xludf.DUMMYFUNCTION("""COMPUTED_VALUE"""),"2do Trasiego")</f>
        <v>2do Trasiego</v>
      </c>
      <c r="L2131" s="2" t="str">
        <f ca="1">IFERROR(__xludf.DUMMYFUNCTION("""COMPUTED_VALUE"""),"1+")</f>
        <v>1+</v>
      </c>
      <c r="M2131" s="2" t="str">
        <f ca="1">IFERROR(__xludf.DUMMYFUNCTION("""COMPUTED_VALUE"""),"Tinto")</f>
        <v>Tinto</v>
      </c>
    </row>
    <row r="2132" spans="1:13" x14ac:dyDescent="0.25">
      <c r="A2132" s="2" t="str">
        <f ca="1">IFERROR(__xludf.DUMMYFUNCTION("""COMPUTED_VALUE"""),"9bb0e06f")</f>
        <v>9bb0e06f</v>
      </c>
      <c r="B2132" s="2"/>
      <c r="C2132" s="5">
        <f ca="1">IFERROR(__xludf.DUMMYFUNCTION("""COMPUTED_VALUE"""),46177.7559375)</f>
        <v>46177.755937499998</v>
      </c>
      <c r="D2132" s="2">
        <f ca="1">IFERROR(__xludf.DUMMYFUNCTION("""COMPUTED_VALUE"""),118)</f>
        <v>118</v>
      </c>
      <c r="E2132" s="2">
        <f ca="1">IFERROR(__xludf.DUMMYFUNCTION("""COMPUTED_VALUE"""),155600)</f>
        <v>155600</v>
      </c>
      <c r="F2132" s="2" t="str">
        <f ca="1">IFERROR(__xludf.DUMMYFUNCTION("""COMPUTED_VALUE"""),"Malbec Lopez")</f>
        <v>Malbec Lopez</v>
      </c>
      <c r="G2132" s="2">
        <f ca="1">IFERROR(__xludf.DUMMYFUNCTION("""COMPUTED_VALUE"""),93400)</f>
        <v>93400</v>
      </c>
      <c r="H2132" s="2">
        <f ca="1">IFERROR(__xludf.DUMMYFUNCTION("""COMPUTED_VALUE"""),155600)</f>
        <v>155600</v>
      </c>
      <c r="I2132" s="2"/>
      <c r="J2132" s="2"/>
      <c r="K2132" s="2" t="str">
        <f ca="1">IFERROR(__xludf.DUMMYFUNCTION("""COMPUTED_VALUE"""),"2do Trasiego")</f>
        <v>2do Trasiego</v>
      </c>
      <c r="L2132" s="2" t="str">
        <f ca="1">IFERROR(__xludf.DUMMYFUNCTION("""COMPUTED_VALUE"""),"1+")</f>
        <v>1+</v>
      </c>
      <c r="M2132" s="2" t="str">
        <f ca="1">IFERROR(__xludf.DUMMYFUNCTION("""COMPUTED_VALUE"""),"Tinto")</f>
        <v>Tinto</v>
      </c>
    </row>
    <row r="2133" spans="1:13" x14ac:dyDescent="0.25">
      <c r="A2133" s="2" t="str">
        <f ca="1">IFERROR(__xludf.DUMMYFUNCTION("""COMPUTED_VALUE"""),"2a917038")</f>
        <v>2a917038</v>
      </c>
      <c r="B2133" s="2"/>
      <c r="C2133" s="5">
        <f ca="1">IFERROR(__xludf.DUMMYFUNCTION("""COMPUTED_VALUE"""),46178.4439004629)</f>
        <v>46178.443900462902</v>
      </c>
      <c r="D2133" s="2">
        <f ca="1">IFERROR(__xludf.DUMMYFUNCTION("""COMPUTED_VALUE"""),114)</f>
        <v>114</v>
      </c>
      <c r="E2133" s="2">
        <f ca="1">IFERROR(__xludf.DUMMYFUNCTION("""COMPUTED_VALUE"""),125300)</f>
        <v>125300</v>
      </c>
      <c r="F2133" s="2" t="str">
        <f ca="1">IFERROR(__xludf.DUMMYFUNCTION("""COMPUTED_VALUE"""),"Syrah")</f>
        <v>Syrah</v>
      </c>
      <c r="G2133" s="2">
        <f ca="1">IFERROR(__xludf.DUMMYFUNCTION("""COMPUTED_VALUE"""),73400)</f>
        <v>73400</v>
      </c>
      <c r="H2133" s="2">
        <f ca="1">IFERROR(__xludf.DUMMYFUNCTION("""COMPUTED_VALUE"""),74700)</f>
        <v>74700</v>
      </c>
      <c r="I2133" s="2"/>
      <c r="J2133" s="2"/>
      <c r="K2133" s="2" t="str">
        <f ca="1">IFERROR(__xludf.DUMMYFUNCTION("""COMPUTED_VALUE"""),"1er Trasiego")</f>
        <v>1er Trasiego</v>
      </c>
      <c r="L2133" s="2" t="str">
        <f ca="1">IFERROR(__xludf.DUMMYFUNCTION("""COMPUTED_VALUE"""),"1+")</f>
        <v>1+</v>
      </c>
      <c r="M2133" s="2" t="str">
        <f ca="1">IFERROR(__xludf.DUMMYFUNCTION("""COMPUTED_VALUE"""),"Tinto")</f>
        <v>Tinto</v>
      </c>
    </row>
    <row r="2134" spans="1:13" x14ac:dyDescent="0.25">
      <c r="A2134" s="2" t="str">
        <f ca="1">IFERROR(__xludf.DUMMYFUNCTION("""COMPUTED_VALUE"""),"494a6881")</f>
        <v>494a6881</v>
      </c>
      <c r="B2134" s="2"/>
      <c r="C2134" s="5">
        <f ca="1">IFERROR(__xludf.DUMMYFUNCTION("""COMPUTED_VALUE"""),46178.4462847222)</f>
        <v>46178.446284722202</v>
      </c>
      <c r="D2134" s="2">
        <f ca="1">IFERROR(__xludf.DUMMYFUNCTION("""COMPUTED_VALUE"""),114)</f>
        <v>114</v>
      </c>
      <c r="E2134" s="2">
        <f ca="1">IFERROR(__xludf.DUMMYFUNCTION("""COMPUTED_VALUE"""),125300)</f>
        <v>125300</v>
      </c>
      <c r="F2134" s="2" t="str">
        <f ca="1">IFERROR(__xludf.DUMMYFUNCTION("""COMPUTED_VALUE"""),"Syrah")</f>
        <v>Syrah</v>
      </c>
      <c r="G2134" s="2">
        <f ca="1">IFERROR(__xludf.DUMMYFUNCTION("""COMPUTED_VALUE"""),74700)</f>
        <v>74700</v>
      </c>
      <c r="H2134" s="2">
        <f ca="1">IFERROR(__xludf.DUMMYFUNCTION("""COMPUTED_VALUE"""),76100)</f>
        <v>76100</v>
      </c>
      <c r="I2134" s="2"/>
      <c r="J2134" s="2"/>
      <c r="K2134" s="2" t="str">
        <f ca="1">IFERROR(__xludf.DUMMYFUNCTION("""COMPUTED_VALUE"""),"1er Trasiego")</f>
        <v>1er Trasiego</v>
      </c>
      <c r="L2134" s="2" t="str">
        <f ca="1">IFERROR(__xludf.DUMMYFUNCTION("""COMPUTED_VALUE"""),"1+")</f>
        <v>1+</v>
      </c>
      <c r="M2134" s="2" t="str">
        <f ca="1">IFERROR(__xludf.DUMMYFUNCTION("""COMPUTED_VALUE"""),"Tinto")</f>
        <v>Tinto</v>
      </c>
    </row>
    <row r="2135" spans="1:13" x14ac:dyDescent="0.25">
      <c r="A2135" s="2" t="str">
        <f ca="1">IFERROR(__xludf.DUMMYFUNCTION("""COMPUTED_VALUE"""),"84b178fc")</f>
        <v>84b178fc</v>
      </c>
      <c r="B2135" s="2"/>
      <c r="C2135" s="5">
        <f ca="1">IFERROR(__xludf.DUMMYFUNCTION("""COMPUTED_VALUE"""),46178.4589467592)</f>
        <v>46178.458946759201</v>
      </c>
      <c r="D2135" s="2">
        <f ca="1">IFERROR(__xludf.DUMMYFUNCTION("""COMPUTED_VALUE"""),500)</f>
        <v>500</v>
      </c>
      <c r="E2135" s="2">
        <f ca="1">IFERROR(__xludf.DUMMYFUNCTION("""COMPUTED_VALUE"""),200000)</f>
        <v>200000</v>
      </c>
      <c r="F2135" s="2" t="str">
        <f ca="1">IFERROR(__xludf.DUMMYFUNCTION("""COMPUTED_VALUE"""),"Ajuste Cosecha 2026")</f>
        <v>Ajuste Cosecha 2026</v>
      </c>
      <c r="G2135" s="2"/>
      <c r="H2135" s="2">
        <f ca="1">IFERROR(__xludf.DUMMYFUNCTION("""COMPUTED_VALUE"""),33200)</f>
        <v>33200</v>
      </c>
      <c r="I2135" s="2"/>
      <c r="J2135" s="2"/>
      <c r="K2135" s="2"/>
      <c r="L2135" s="2"/>
      <c r="M2135" s="2"/>
    </row>
    <row r="2136" spans="1:13" x14ac:dyDescent="0.25">
      <c r="A2136" s="2" t="str">
        <f ca="1">IFERROR(__xludf.DUMMYFUNCTION("""COMPUTED_VALUE"""),"fa6a2321")</f>
        <v>fa6a2321</v>
      </c>
      <c r="B2136" s="2"/>
      <c r="C2136" s="5">
        <f ca="1">IFERROR(__xludf.DUMMYFUNCTION("""COMPUTED_VALUE"""),46178.4596180555)</f>
        <v>46178.459618055502</v>
      </c>
      <c r="D2136" s="2">
        <f ca="1">IFERROR(__xludf.DUMMYFUNCTION("""COMPUTED_VALUE"""),500)</f>
        <v>500</v>
      </c>
      <c r="E2136" s="2">
        <f ca="1">IFERROR(__xludf.DUMMYFUNCTION("""COMPUTED_VALUE"""),200000)</f>
        <v>200000</v>
      </c>
      <c r="F2136" s="2" t="str">
        <f ca="1">IFERROR(__xludf.DUMMYFUNCTION("""COMPUTED_VALUE"""),"Ajuste Cosecha 2026")</f>
        <v>Ajuste Cosecha 2026</v>
      </c>
      <c r="G2136" s="2">
        <f ca="1">IFERROR(__xludf.DUMMYFUNCTION("""COMPUTED_VALUE"""),33200)</f>
        <v>33200</v>
      </c>
      <c r="H2136" s="2">
        <f ca="1">IFERROR(__xludf.DUMMYFUNCTION("""COMPUTED_VALUE"""),32200)</f>
        <v>32200</v>
      </c>
      <c r="I2136" s="2"/>
      <c r="J2136" s="2"/>
      <c r="K2136" s="2"/>
      <c r="L2136" s="2"/>
      <c r="M2136" s="2"/>
    </row>
    <row r="2137" spans="1:13" x14ac:dyDescent="0.25">
      <c r="A2137" s="2" t="str">
        <f ca="1">IFERROR(__xludf.DUMMYFUNCTION("""COMPUTED_VALUE"""),"cabd60e4")</f>
        <v>cabd60e4</v>
      </c>
      <c r="B2137" s="2"/>
      <c r="C2137" s="5">
        <f ca="1">IFERROR(__xludf.DUMMYFUNCTION("""COMPUTED_VALUE"""),46181.5178587962)</f>
        <v>46181.5178587962</v>
      </c>
      <c r="D2137" s="2">
        <f ca="1">IFERROR(__xludf.DUMMYFUNCTION("""COMPUTED_VALUE"""),35)</f>
        <v>35</v>
      </c>
      <c r="E2137" s="2">
        <f ca="1">IFERROR(__xludf.DUMMYFUNCTION("""COMPUTED_VALUE"""),39300)</f>
        <v>39300</v>
      </c>
      <c r="F2137" s="2" t="str">
        <f ca="1">IFERROR(__xludf.DUMMYFUNCTION("""COMPUTED_VALUE"""),"Criolla")</f>
        <v>Criolla</v>
      </c>
      <c r="G2137" s="2">
        <f ca="1">IFERROR(__xludf.DUMMYFUNCTION("""COMPUTED_VALUE"""),0)</f>
        <v>0</v>
      </c>
      <c r="H2137" s="2">
        <f ca="1">IFERROR(__xludf.DUMMYFUNCTION("""COMPUTED_VALUE"""),39300)</f>
        <v>39300</v>
      </c>
      <c r="I2137" s="2"/>
      <c r="J2137" s="2"/>
      <c r="K2137" s="2" t="str">
        <f ca="1">IFERROR(__xludf.DUMMYFUNCTION("""COMPUTED_VALUE"""),"2do Trasiego")</f>
        <v>2do Trasiego</v>
      </c>
      <c r="L2137" s="2"/>
      <c r="M2137" s="2" t="str">
        <f ca="1">IFERROR(__xludf.DUMMYFUNCTION("""COMPUTED_VALUE"""),"Tinto")</f>
        <v>Tinto</v>
      </c>
    </row>
    <row r="2138" spans="1:13" x14ac:dyDescent="0.25">
      <c r="A2138" s="2" t="str">
        <f ca="1">IFERROR(__xludf.DUMMYFUNCTION("""COMPUTED_VALUE"""),"7ba30747")</f>
        <v>7ba30747</v>
      </c>
      <c r="B2138" s="2"/>
      <c r="C2138" s="5">
        <f ca="1">IFERROR(__xludf.DUMMYFUNCTION("""COMPUTED_VALUE"""),46181.518125)</f>
        <v>46181.518125000002</v>
      </c>
      <c r="D2138" s="2">
        <f ca="1">IFERROR(__xludf.DUMMYFUNCTION("""COMPUTED_VALUE"""),32)</f>
        <v>32</v>
      </c>
      <c r="E2138" s="2">
        <f ca="1">IFERROR(__xludf.DUMMYFUNCTION("""COMPUTED_VALUE"""),36300)</f>
        <v>36300</v>
      </c>
      <c r="F2138" s="2" t="str">
        <f ca="1">IFERROR(__xludf.DUMMYFUNCTION("""COMPUTED_VALUE"""),"Criolla")</f>
        <v>Criolla</v>
      </c>
      <c r="G2138" s="2">
        <f ca="1">IFERROR(__xludf.DUMMYFUNCTION("""COMPUTED_VALUE"""),0)</f>
        <v>0</v>
      </c>
      <c r="H2138" s="2">
        <f ca="1">IFERROR(__xludf.DUMMYFUNCTION("""COMPUTED_VALUE"""),36300)</f>
        <v>36300</v>
      </c>
      <c r="I2138" s="2"/>
      <c r="J2138" s="2"/>
      <c r="K2138" s="2" t="str">
        <f ca="1">IFERROR(__xludf.DUMMYFUNCTION("""COMPUTED_VALUE"""),"2do Trasiego")</f>
        <v>2do Trasiego</v>
      </c>
      <c r="L2138" s="2"/>
      <c r="M2138" s="2" t="str">
        <f ca="1">IFERROR(__xludf.DUMMYFUNCTION("""COMPUTED_VALUE"""),"Tinto")</f>
        <v>Tinto</v>
      </c>
    </row>
    <row r="2139" spans="1:13" x14ac:dyDescent="0.25">
      <c r="A2139" s="2" t="str">
        <f ca="1">IFERROR(__xludf.DUMMYFUNCTION("""COMPUTED_VALUE"""),"79df7134")</f>
        <v>79df7134</v>
      </c>
      <c r="B2139" s="2"/>
      <c r="C2139" s="5">
        <f ca="1">IFERROR(__xludf.DUMMYFUNCTION("""COMPUTED_VALUE"""),46181.5184143518)</f>
        <v>46181.518414351798</v>
      </c>
      <c r="D2139" s="2">
        <f ca="1">IFERROR(__xludf.DUMMYFUNCTION("""COMPUTED_VALUE"""),15)</f>
        <v>15</v>
      </c>
      <c r="E2139" s="2">
        <f ca="1">IFERROR(__xludf.DUMMYFUNCTION("""COMPUTED_VALUE"""),36500)</f>
        <v>36500</v>
      </c>
      <c r="F2139" s="2" t="str">
        <f ca="1">IFERROR(__xludf.DUMMYFUNCTION("""COMPUTED_VALUE"""),"Criolla")</f>
        <v>Criolla</v>
      </c>
      <c r="G2139" s="2">
        <f ca="1">IFERROR(__xludf.DUMMYFUNCTION("""COMPUTED_VALUE"""),0)</f>
        <v>0</v>
      </c>
      <c r="H2139" s="2">
        <f ca="1">IFERROR(__xludf.DUMMYFUNCTION("""COMPUTED_VALUE"""),36500)</f>
        <v>36500</v>
      </c>
      <c r="I2139" s="2"/>
      <c r="J2139" s="2"/>
      <c r="K2139" s="2" t="str">
        <f ca="1">IFERROR(__xludf.DUMMYFUNCTION("""COMPUTED_VALUE"""),"2do Trasiego")</f>
        <v>2do Trasiego</v>
      </c>
      <c r="L2139" s="2"/>
      <c r="M2139" s="2" t="str">
        <f ca="1">IFERROR(__xludf.DUMMYFUNCTION("""COMPUTED_VALUE"""),"Tinto")</f>
        <v>Tinto</v>
      </c>
    </row>
    <row r="2140" spans="1:13" x14ac:dyDescent="0.25">
      <c r="A2140" s="2" t="str">
        <f ca="1">IFERROR(__xludf.DUMMYFUNCTION("""COMPUTED_VALUE"""),"f5216f91")</f>
        <v>f5216f91</v>
      </c>
      <c r="B2140" s="2"/>
      <c r="C2140" s="5">
        <f ca="1">IFERROR(__xludf.DUMMYFUNCTION("""COMPUTED_VALUE"""),46181.5186574074)</f>
        <v>46181.518657407403</v>
      </c>
      <c r="D2140" s="2">
        <f ca="1">IFERROR(__xludf.DUMMYFUNCTION("""COMPUTED_VALUE"""),14)</f>
        <v>14</v>
      </c>
      <c r="E2140" s="2">
        <f ca="1">IFERROR(__xludf.DUMMYFUNCTION("""COMPUTED_VALUE"""),37000)</f>
        <v>37000</v>
      </c>
      <c r="F2140" s="2" t="str">
        <f ca="1">IFERROR(__xludf.DUMMYFUNCTION("""COMPUTED_VALUE"""),"Criolla")</f>
        <v>Criolla</v>
      </c>
      <c r="G2140" s="2">
        <f ca="1">IFERROR(__xludf.DUMMYFUNCTION("""COMPUTED_VALUE"""),0)</f>
        <v>0</v>
      </c>
      <c r="H2140" s="2">
        <f ca="1">IFERROR(__xludf.DUMMYFUNCTION("""COMPUTED_VALUE"""),37000)</f>
        <v>37000</v>
      </c>
      <c r="I2140" s="2"/>
      <c r="J2140" s="2"/>
      <c r="K2140" s="2" t="str">
        <f ca="1">IFERROR(__xludf.DUMMYFUNCTION("""COMPUTED_VALUE"""),"2do Trasiego")</f>
        <v>2do Trasiego</v>
      </c>
      <c r="L2140" s="2"/>
      <c r="M2140" s="2" t="str">
        <f ca="1">IFERROR(__xludf.DUMMYFUNCTION("""COMPUTED_VALUE"""),"Tinto")</f>
        <v>Tinto</v>
      </c>
    </row>
    <row r="2141" spans="1:13" x14ac:dyDescent="0.25">
      <c r="A2141" s="2" t="str">
        <f ca="1">IFERROR(__xludf.DUMMYFUNCTION("""COMPUTED_VALUE"""),"62b54acc")</f>
        <v>62b54acc</v>
      </c>
      <c r="B2141" s="2"/>
      <c r="C2141" s="5">
        <f ca="1">IFERROR(__xludf.DUMMYFUNCTION("""COMPUTED_VALUE"""),46181.525162037)</f>
        <v>46181.525162037004</v>
      </c>
      <c r="D2141" s="2">
        <f ca="1">IFERROR(__xludf.DUMMYFUNCTION("""COMPUTED_VALUE"""),74)</f>
        <v>74</v>
      </c>
      <c r="E2141" s="2">
        <f ca="1">IFERROR(__xludf.DUMMYFUNCTION("""COMPUTED_VALUE"""),13000)</f>
        <v>13000</v>
      </c>
      <c r="F2141" s="2" t="str">
        <f ca="1">IFERROR(__xludf.DUMMYFUNCTION("""COMPUTED_VALUE"""),"Criolla")</f>
        <v>Criolla</v>
      </c>
      <c r="G2141" s="2">
        <f ca="1">IFERROR(__xludf.DUMMYFUNCTION("""COMPUTED_VALUE"""),5400)</f>
        <v>5400</v>
      </c>
      <c r="H2141" s="2">
        <f ca="1">IFERROR(__xludf.DUMMYFUNCTION("""COMPUTED_VALUE"""),8900)</f>
        <v>8900</v>
      </c>
      <c r="I2141" s="2"/>
      <c r="J2141" s="2"/>
      <c r="K2141" s="2" t="str">
        <f ca="1">IFERROR(__xludf.DUMMYFUNCTION("""COMPUTED_VALUE"""),"1er Trasiego")</f>
        <v>1er Trasiego</v>
      </c>
      <c r="L2141" s="2"/>
      <c r="M2141" s="2" t="str">
        <f ca="1">IFERROR(__xludf.DUMMYFUNCTION("""COMPUTED_VALUE"""),"Tinto")</f>
        <v>Tinto</v>
      </c>
    </row>
    <row r="2142" spans="1:13" x14ac:dyDescent="0.25">
      <c r="A2142" s="2" t="str">
        <f ca="1">IFERROR(__xludf.DUMMYFUNCTION("""COMPUTED_VALUE"""),"3ee4aa4c")</f>
        <v>3ee4aa4c</v>
      </c>
      <c r="B2142" s="2"/>
      <c r="C2142" s="5">
        <f ca="1">IFERROR(__xludf.DUMMYFUNCTION("""COMPUTED_VALUE"""),46181.5307060185)</f>
        <v>46181.5307060185</v>
      </c>
      <c r="D2142" s="2">
        <f ca="1">IFERROR(__xludf.DUMMYFUNCTION("""COMPUTED_VALUE"""),74)</f>
        <v>74</v>
      </c>
      <c r="E2142" s="2">
        <f ca="1">IFERROR(__xludf.DUMMYFUNCTION("""COMPUTED_VALUE"""),13000)</f>
        <v>13000</v>
      </c>
      <c r="F2142" s="2" t="str">
        <f ca="1">IFERROR(__xludf.DUMMYFUNCTION("""COMPUTED_VALUE"""),"Borra")</f>
        <v>Borra</v>
      </c>
      <c r="G2142" s="2">
        <f ca="1">IFERROR(__xludf.DUMMYFUNCTION("""COMPUTED_VALUE"""),8900)</f>
        <v>8900</v>
      </c>
      <c r="H2142" s="2">
        <f ca="1">IFERROR(__xludf.DUMMYFUNCTION("""COMPUTED_VALUE"""),11900)</f>
        <v>11900</v>
      </c>
      <c r="I2142" s="2"/>
      <c r="J2142" s="2"/>
      <c r="K2142" s="2" t="str">
        <f ca="1">IFERROR(__xludf.DUMMYFUNCTION("""COMPUTED_VALUE"""),"1er Trasiego")</f>
        <v>1er Trasiego</v>
      </c>
      <c r="L2142" s="2"/>
      <c r="M2142" s="2" t="str">
        <f ca="1">IFERROR(__xludf.DUMMYFUNCTION("""COMPUTED_VALUE"""),"Tinto")</f>
        <v>Tinto</v>
      </c>
    </row>
    <row r="2143" spans="1:13" x14ac:dyDescent="0.25">
      <c r="A2143" s="2" t="str">
        <f ca="1">IFERROR(__xludf.DUMMYFUNCTION("""COMPUTED_VALUE"""),"0fc31db3")</f>
        <v>0fc31db3</v>
      </c>
      <c r="B2143" s="2"/>
      <c r="C2143" s="5">
        <f ca="1">IFERROR(__xludf.DUMMYFUNCTION("""COMPUTED_VALUE"""),46181.5308217592)</f>
        <v>46181.530821759203</v>
      </c>
      <c r="D2143" s="2">
        <f ca="1">IFERROR(__xludf.DUMMYFUNCTION("""COMPUTED_VALUE"""),500)</f>
        <v>500</v>
      </c>
      <c r="E2143" s="2">
        <f ca="1">IFERROR(__xludf.DUMMYFUNCTION("""COMPUTED_VALUE"""),200000)</f>
        <v>200000</v>
      </c>
      <c r="F2143" s="2" t="str">
        <f ca="1">IFERROR(__xludf.DUMMYFUNCTION("""COMPUTED_VALUE"""),"Ajuste Cosecha 2026")</f>
        <v>Ajuste Cosecha 2026</v>
      </c>
      <c r="G2143" s="2">
        <f ca="1">IFERROR(__xludf.DUMMYFUNCTION("""COMPUTED_VALUE"""),32200)</f>
        <v>32200</v>
      </c>
      <c r="H2143" s="2">
        <f ca="1">IFERROR(__xludf.DUMMYFUNCTION("""COMPUTED_VALUE"""),34100)</f>
        <v>34100</v>
      </c>
      <c r="I2143" s="2"/>
      <c r="J2143" s="2"/>
      <c r="K2143" s="2"/>
      <c r="L2143" s="2"/>
      <c r="M2143" s="2"/>
    </row>
    <row r="2144" spans="1:13" x14ac:dyDescent="0.25">
      <c r="A2144" s="2" t="str">
        <f ca="1">IFERROR(__xludf.DUMMYFUNCTION("""COMPUTED_VALUE"""),"77554ae9")</f>
        <v>77554ae9</v>
      </c>
      <c r="B2144" s="2"/>
      <c r="C2144" s="5">
        <f ca="1">IFERROR(__xludf.DUMMYFUNCTION("""COMPUTED_VALUE"""),46181.766412037)</f>
        <v>46181.766412037003</v>
      </c>
      <c r="D2144" s="2">
        <f ca="1">IFERROR(__xludf.DUMMYFUNCTION("""COMPUTED_VALUE"""),6)</f>
        <v>6</v>
      </c>
      <c r="E2144" s="2">
        <f ca="1">IFERROR(__xludf.DUMMYFUNCTION("""COMPUTED_VALUE"""),32000)</f>
        <v>32000</v>
      </c>
      <c r="F2144" s="2" t="str">
        <f ca="1">IFERROR(__xludf.DUMMYFUNCTION("""COMPUTED_VALUE"""),"Syrah Rect")</f>
        <v>Syrah Rect</v>
      </c>
      <c r="G2144" s="2">
        <f ca="1">IFERROR(__xludf.DUMMYFUNCTION("""COMPUTED_VALUE"""),0)</f>
        <v>0</v>
      </c>
      <c r="H2144" s="2">
        <f ca="1">IFERROR(__xludf.DUMMYFUNCTION("""COMPUTED_VALUE"""),17000)</f>
        <v>17000</v>
      </c>
      <c r="I2144" s="2"/>
      <c r="J2144" s="2"/>
      <c r="K2144" s="2" t="str">
        <f ca="1">IFERROR(__xludf.DUMMYFUNCTION("""COMPUTED_VALUE"""),"Rectificado")</f>
        <v>Rectificado</v>
      </c>
      <c r="L2144" s="2" t="str">
        <f ca="1">IFERROR(__xludf.DUMMYFUNCTION("""COMPUTED_VALUE"""),"1+")</f>
        <v>1+</v>
      </c>
      <c r="M2144" s="2" t="str">
        <f ca="1">IFERROR(__xludf.DUMMYFUNCTION("""COMPUTED_VALUE"""),"Tinto")</f>
        <v>Tinto</v>
      </c>
    </row>
    <row r="2145" spans="1:13" x14ac:dyDescent="0.25">
      <c r="A2145" s="2" t="str">
        <f ca="1">IFERROR(__xludf.DUMMYFUNCTION("""COMPUTED_VALUE"""),"8d819f40")</f>
        <v>8d819f40</v>
      </c>
      <c r="B2145" s="2"/>
      <c r="C2145" s="5">
        <f ca="1">IFERROR(__xludf.DUMMYFUNCTION("""COMPUTED_VALUE"""),46182.7858217592)</f>
        <v>46182.7858217592</v>
      </c>
      <c r="D2145" s="2">
        <f ca="1">IFERROR(__xludf.DUMMYFUNCTION("""COMPUTED_VALUE"""),24)</f>
        <v>24</v>
      </c>
      <c r="E2145" s="2">
        <f ca="1">IFERROR(__xludf.DUMMYFUNCTION("""COMPUTED_VALUE"""),186600)</f>
        <v>186600</v>
      </c>
      <c r="F2145" s="2" t="str">
        <f ca="1">IFERROR(__xludf.DUMMYFUNCTION("""COMPUTED_VALUE"""),"Malbec Veg")</f>
        <v>Malbec Veg</v>
      </c>
      <c r="G2145" s="2">
        <f ca="1">IFERROR(__xludf.DUMMYFUNCTION("""COMPUTED_VALUE"""),0)</f>
        <v>0</v>
      </c>
      <c r="H2145" s="2">
        <f ca="1">IFERROR(__xludf.DUMMYFUNCTION("""COMPUTED_VALUE"""),39500)</f>
        <v>39500</v>
      </c>
      <c r="I2145" s="2"/>
      <c r="J2145" s="2"/>
      <c r="K2145" s="2" t="str">
        <f ca="1">IFERROR(__xludf.DUMMYFUNCTION("""COMPUTED_VALUE"""),"2do Trasiego")</f>
        <v>2do Trasiego</v>
      </c>
      <c r="L2145" s="2" t="str">
        <f ca="1">IFERROR(__xludf.DUMMYFUNCTION("""COMPUTED_VALUE"""),"1-")</f>
        <v>1-</v>
      </c>
      <c r="M2145" s="2" t="str">
        <f ca="1">IFERROR(__xludf.DUMMYFUNCTION("""COMPUTED_VALUE"""),"Tinto")</f>
        <v>Tinto</v>
      </c>
    </row>
    <row r="2146" spans="1:13" x14ac:dyDescent="0.25">
      <c r="A2146" s="2" t="str">
        <f ca="1">IFERROR(__xludf.DUMMYFUNCTION("""COMPUTED_VALUE"""),"4dc52e08")</f>
        <v>4dc52e08</v>
      </c>
      <c r="B2146" s="2"/>
      <c r="C2146" s="5">
        <f ca="1">IFERROR(__xludf.DUMMYFUNCTION("""COMPUTED_VALUE"""),46182.786261574)</f>
        <v>46182.786261574001</v>
      </c>
      <c r="D2146" s="2">
        <f ca="1">IFERROR(__xludf.DUMMYFUNCTION("""COMPUTED_VALUE"""),24)</f>
        <v>24</v>
      </c>
      <c r="E2146" s="2">
        <f ca="1">IFERROR(__xludf.DUMMYFUNCTION("""COMPUTED_VALUE"""),186600)</f>
        <v>186600</v>
      </c>
      <c r="F2146" s="2" t="str">
        <f ca="1">IFERROR(__xludf.DUMMYFUNCTION("""COMPUTED_VALUE"""),"Malbec Veg")</f>
        <v>Malbec Veg</v>
      </c>
      <c r="G2146" s="2">
        <f ca="1">IFERROR(__xludf.DUMMYFUNCTION("""COMPUTED_VALUE"""),39500)</f>
        <v>39500</v>
      </c>
      <c r="H2146" s="2">
        <f ca="1">IFERROR(__xludf.DUMMYFUNCTION("""COMPUTED_VALUE"""),75500)</f>
        <v>75500</v>
      </c>
      <c r="I2146" s="2"/>
      <c r="J2146" s="2"/>
      <c r="K2146" s="2" t="str">
        <f ca="1">IFERROR(__xludf.DUMMYFUNCTION("""COMPUTED_VALUE"""),"2do Trasiego")</f>
        <v>2do Trasiego</v>
      </c>
      <c r="L2146" s="2" t="str">
        <f ca="1">IFERROR(__xludf.DUMMYFUNCTION("""COMPUTED_VALUE"""),"1-")</f>
        <v>1-</v>
      </c>
      <c r="M2146" s="2" t="str">
        <f ca="1">IFERROR(__xludf.DUMMYFUNCTION("""COMPUTED_VALUE"""),"Tinto")</f>
        <v>Tinto</v>
      </c>
    </row>
    <row r="2147" spans="1:13" x14ac:dyDescent="0.25">
      <c r="A2147" s="2" t="str">
        <f ca="1">IFERROR(__xludf.DUMMYFUNCTION("""COMPUTED_VALUE"""),"05a58567")</f>
        <v>05a58567</v>
      </c>
      <c r="B2147" s="2"/>
      <c r="C2147" s="5">
        <f ca="1">IFERROR(__xludf.DUMMYFUNCTION("""COMPUTED_VALUE"""),46182.7866087963)</f>
        <v>46182.786608796298</v>
      </c>
      <c r="D2147" s="2">
        <f ca="1">IFERROR(__xludf.DUMMYFUNCTION("""COMPUTED_VALUE"""),24)</f>
        <v>24</v>
      </c>
      <c r="E2147" s="2">
        <f ca="1">IFERROR(__xludf.DUMMYFUNCTION("""COMPUTED_VALUE"""),186600)</f>
        <v>186600</v>
      </c>
      <c r="F2147" s="2" t="str">
        <f ca="1">IFERROR(__xludf.DUMMYFUNCTION("""COMPUTED_VALUE"""),"Malbec Veg")</f>
        <v>Malbec Veg</v>
      </c>
      <c r="G2147" s="2">
        <f ca="1">IFERROR(__xludf.DUMMYFUNCTION("""COMPUTED_VALUE"""),75500)</f>
        <v>75500</v>
      </c>
      <c r="H2147" s="2">
        <f ca="1">IFERROR(__xludf.DUMMYFUNCTION("""COMPUTED_VALUE"""),96500)</f>
        <v>96500</v>
      </c>
      <c r="I2147" s="2"/>
      <c r="J2147" s="2"/>
      <c r="K2147" s="2" t="str">
        <f ca="1">IFERROR(__xludf.DUMMYFUNCTION("""COMPUTED_VALUE"""),"2do Trasiego")</f>
        <v>2do Trasiego</v>
      </c>
      <c r="L2147" s="2" t="str">
        <f ca="1">IFERROR(__xludf.DUMMYFUNCTION("""COMPUTED_VALUE"""),"1-")</f>
        <v>1-</v>
      </c>
      <c r="M2147" s="2" t="str">
        <f ca="1">IFERROR(__xludf.DUMMYFUNCTION("""COMPUTED_VALUE"""),"Tinto")</f>
        <v>Tinto</v>
      </c>
    </row>
    <row r="2148" spans="1:13" x14ac:dyDescent="0.25">
      <c r="A2148" s="2" t="str">
        <f ca="1">IFERROR(__xludf.DUMMYFUNCTION("""COMPUTED_VALUE"""),"36c77bc4")</f>
        <v>36c77bc4</v>
      </c>
      <c r="B2148" s="2"/>
      <c r="C2148" s="5">
        <f ca="1">IFERROR(__xludf.DUMMYFUNCTION("""COMPUTED_VALUE"""),46182.7870486111)</f>
        <v>46182.787048611099</v>
      </c>
      <c r="D2148" s="2">
        <f ca="1">IFERROR(__xludf.DUMMYFUNCTION("""COMPUTED_VALUE"""),24)</f>
        <v>24</v>
      </c>
      <c r="E2148" s="2">
        <f ca="1">IFERROR(__xludf.DUMMYFUNCTION("""COMPUTED_VALUE"""),186600)</f>
        <v>186600</v>
      </c>
      <c r="F2148" s="2" t="str">
        <f ca="1">IFERROR(__xludf.DUMMYFUNCTION("""COMPUTED_VALUE"""),"Malbec Veg")</f>
        <v>Malbec Veg</v>
      </c>
      <c r="G2148" s="2">
        <f ca="1">IFERROR(__xludf.DUMMYFUNCTION("""COMPUTED_VALUE"""),96500)</f>
        <v>96500</v>
      </c>
      <c r="H2148" s="2">
        <f ca="1">IFERROR(__xludf.DUMMYFUNCTION("""COMPUTED_VALUE"""),126500)</f>
        <v>126500</v>
      </c>
      <c r="I2148" s="2"/>
      <c r="J2148" s="2"/>
      <c r="K2148" s="2" t="str">
        <f ca="1">IFERROR(__xludf.DUMMYFUNCTION("""COMPUTED_VALUE"""),"2do Trasiego")</f>
        <v>2do Trasiego</v>
      </c>
      <c r="L2148" s="2" t="str">
        <f ca="1">IFERROR(__xludf.DUMMYFUNCTION("""COMPUTED_VALUE"""),"1-")</f>
        <v>1-</v>
      </c>
      <c r="M2148" s="2" t="str">
        <f ca="1">IFERROR(__xludf.DUMMYFUNCTION("""COMPUTED_VALUE"""),"Tinto")</f>
        <v>Tinto</v>
      </c>
    </row>
    <row r="2149" spans="1:13" x14ac:dyDescent="0.25">
      <c r="A2149" s="2" t="str">
        <f ca="1">IFERROR(__xludf.DUMMYFUNCTION("""COMPUTED_VALUE"""),"ed85e417")</f>
        <v>ed85e417</v>
      </c>
      <c r="B2149" s="2"/>
      <c r="C2149" s="5">
        <f ca="1">IFERROR(__xludf.DUMMYFUNCTION("""COMPUTED_VALUE"""),46182.7873379629)</f>
        <v>46182.787337962902</v>
      </c>
      <c r="D2149" s="2">
        <f ca="1">IFERROR(__xludf.DUMMYFUNCTION("""COMPUTED_VALUE"""),24)</f>
        <v>24</v>
      </c>
      <c r="E2149" s="2">
        <f ca="1">IFERROR(__xludf.DUMMYFUNCTION("""COMPUTED_VALUE"""),186600)</f>
        <v>186600</v>
      </c>
      <c r="F2149" s="2" t="str">
        <f ca="1">IFERROR(__xludf.DUMMYFUNCTION("""COMPUTED_VALUE"""),"Malbec")</f>
        <v>Malbec</v>
      </c>
      <c r="G2149" s="2">
        <f ca="1">IFERROR(__xludf.DUMMYFUNCTION("""COMPUTED_VALUE"""),126500)</f>
        <v>126500</v>
      </c>
      <c r="H2149" s="2">
        <f ca="1">IFERROR(__xludf.DUMMYFUNCTION("""COMPUTED_VALUE"""),156500)</f>
        <v>156500</v>
      </c>
      <c r="I2149" s="2"/>
      <c r="J2149" s="2"/>
      <c r="K2149" s="2" t="str">
        <f ca="1">IFERROR(__xludf.DUMMYFUNCTION("""COMPUTED_VALUE"""),"2do Trasiego")</f>
        <v>2do Trasiego</v>
      </c>
      <c r="L2149" s="2" t="str">
        <f ca="1">IFERROR(__xludf.DUMMYFUNCTION("""COMPUTED_VALUE"""),"1-")</f>
        <v>1-</v>
      </c>
      <c r="M2149" s="2" t="str">
        <f ca="1">IFERROR(__xludf.DUMMYFUNCTION("""COMPUTED_VALUE"""),"Tinto")</f>
        <v>Tinto</v>
      </c>
    </row>
    <row r="2150" spans="1:13" x14ac:dyDescent="0.25">
      <c r="A2150" s="2" t="str">
        <f ca="1">IFERROR(__xludf.DUMMYFUNCTION("""COMPUTED_VALUE"""),"7a9ba9f3")</f>
        <v>7a9ba9f3</v>
      </c>
      <c r="B2150" s="2"/>
      <c r="C2150" s="5">
        <f ca="1">IFERROR(__xludf.DUMMYFUNCTION("""COMPUTED_VALUE"""),46185.3584953703)</f>
        <v>46185.358495370303</v>
      </c>
      <c r="D2150" s="2">
        <f ca="1">IFERROR(__xludf.DUMMYFUNCTION("""COMPUTED_VALUE"""),26)</f>
        <v>26</v>
      </c>
      <c r="E2150" s="2">
        <f ca="1">IFERROR(__xludf.DUMMYFUNCTION("""COMPUTED_VALUE"""),207600)</f>
        <v>207600</v>
      </c>
      <c r="F2150" s="2" t="str">
        <f ca="1">IFERROR(__xludf.DUMMYFUNCTION("""COMPUTED_VALUE"""),"Tinto Varietal B")</f>
        <v>Tinto Varietal B</v>
      </c>
      <c r="G2150" s="2">
        <f ca="1">IFERROR(__xludf.DUMMYFUNCTION("""COMPUTED_VALUE"""),145400)</f>
        <v>145400</v>
      </c>
      <c r="H2150" s="2">
        <f ca="1">IFERROR(__xludf.DUMMYFUNCTION("""COMPUTED_VALUE"""),146600)</f>
        <v>146600</v>
      </c>
      <c r="I2150" s="2"/>
      <c r="J2150" s="2"/>
      <c r="K2150" s="2" t="str">
        <f ca="1">IFERROR(__xludf.DUMMYFUNCTION("""COMPUTED_VALUE"""),"Terminado")</f>
        <v>Terminado</v>
      </c>
      <c r="L2150" s="2" t="str">
        <f ca="1">IFERROR(__xludf.DUMMYFUNCTION("""COMPUTED_VALUE"""),"1")</f>
        <v>1</v>
      </c>
      <c r="M2150" s="2" t="str">
        <f ca="1">IFERROR(__xludf.DUMMYFUNCTION("""COMPUTED_VALUE"""),"Tinto")</f>
        <v>Tinto</v>
      </c>
    </row>
    <row r="2151" spans="1:13" x14ac:dyDescent="0.25">
      <c r="A2151" s="2" t="str">
        <f ca="1">IFERROR(__xludf.DUMMYFUNCTION("""COMPUTED_VALUE"""),"9cf12383")</f>
        <v>9cf12383</v>
      </c>
      <c r="B2151" s="2"/>
      <c r="C2151" s="5">
        <f ca="1">IFERROR(__xludf.DUMMYFUNCTION("""COMPUTED_VALUE"""),46185.3613310185)</f>
        <v>46185.361331018503</v>
      </c>
      <c r="D2151" s="2">
        <f ca="1">IFERROR(__xludf.DUMMYFUNCTION("""COMPUTED_VALUE"""),5)</f>
        <v>5</v>
      </c>
      <c r="E2151" s="2">
        <f ca="1">IFERROR(__xludf.DUMMYFUNCTION("""COMPUTED_VALUE"""),30000)</f>
        <v>30000</v>
      </c>
      <c r="F2151" s="2" t="str">
        <f ca="1">IFERROR(__xludf.DUMMYFUNCTION("""COMPUTED_VALUE"""),"Tinto Varietal B")</f>
        <v>Tinto Varietal B</v>
      </c>
      <c r="G2151" s="2">
        <f ca="1">IFERROR(__xludf.DUMMYFUNCTION("""COMPUTED_VALUE"""),0)</f>
        <v>0</v>
      </c>
      <c r="H2151" s="2">
        <f ca="1">IFERROR(__xludf.DUMMYFUNCTION("""COMPUTED_VALUE"""),30000)</f>
        <v>30000</v>
      </c>
      <c r="I2151" s="2"/>
      <c r="J2151" s="2"/>
      <c r="K2151" s="2" t="str">
        <f ca="1">IFERROR(__xludf.DUMMYFUNCTION("""COMPUTED_VALUE"""),"Terminado")</f>
        <v>Terminado</v>
      </c>
      <c r="L2151" s="2" t="str">
        <f ca="1">IFERROR(__xludf.DUMMYFUNCTION("""COMPUTED_VALUE"""),"1")</f>
        <v>1</v>
      </c>
      <c r="M2151" s="2" t="str">
        <f ca="1">IFERROR(__xludf.DUMMYFUNCTION("""COMPUTED_VALUE"""),"Tinto")</f>
        <v>Tinto</v>
      </c>
    </row>
    <row r="2152" spans="1:13" x14ac:dyDescent="0.25">
      <c r="A2152" s="2" t="str">
        <f ca="1">IFERROR(__xludf.DUMMYFUNCTION("""COMPUTED_VALUE"""),"e90df3a0")</f>
        <v>e90df3a0</v>
      </c>
      <c r="B2152" s="2"/>
      <c r="C2152" s="5">
        <f ca="1">IFERROR(__xludf.DUMMYFUNCTION("""COMPUTED_VALUE"""),46185.3614930555)</f>
        <v>46185.361493055498</v>
      </c>
      <c r="D2152" s="2">
        <f ca="1">IFERROR(__xludf.DUMMYFUNCTION("""COMPUTED_VALUE"""),7)</f>
        <v>7</v>
      </c>
      <c r="E2152" s="2">
        <f ca="1">IFERROR(__xludf.DUMMYFUNCTION("""COMPUTED_VALUE"""),30000)</f>
        <v>30000</v>
      </c>
      <c r="F2152" s="2" t="str">
        <f ca="1">IFERROR(__xludf.DUMMYFUNCTION("""COMPUTED_VALUE"""),"Tinto Varietal B")</f>
        <v>Tinto Varietal B</v>
      </c>
      <c r="G2152" s="2">
        <f ca="1">IFERROR(__xludf.DUMMYFUNCTION("""COMPUTED_VALUE"""),0)</f>
        <v>0</v>
      </c>
      <c r="H2152" s="2">
        <f ca="1">IFERROR(__xludf.DUMMYFUNCTION("""COMPUTED_VALUE"""),30000)</f>
        <v>30000</v>
      </c>
      <c r="I2152" s="2"/>
      <c r="J2152" s="2"/>
      <c r="K2152" s="2" t="str">
        <f ca="1">IFERROR(__xludf.DUMMYFUNCTION("""COMPUTED_VALUE"""),"Terminado")</f>
        <v>Terminado</v>
      </c>
      <c r="L2152" s="2" t="str">
        <f ca="1">IFERROR(__xludf.DUMMYFUNCTION("""COMPUTED_VALUE"""),"1")</f>
        <v>1</v>
      </c>
      <c r="M2152" s="2" t="str">
        <f ca="1">IFERROR(__xludf.DUMMYFUNCTION("""COMPUTED_VALUE"""),"Tinto")</f>
        <v>Tinto</v>
      </c>
    </row>
    <row r="2153" spans="1:13" x14ac:dyDescent="0.25">
      <c r="A2153" s="2" t="str">
        <f ca="1">IFERROR(__xludf.DUMMYFUNCTION("""COMPUTED_VALUE"""),"976df8ba")</f>
        <v>976df8ba</v>
      </c>
      <c r="B2153" s="2"/>
      <c r="C2153" s="5">
        <f ca="1">IFERROR(__xludf.DUMMYFUNCTION("""COMPUTED_VALUE"""),46185.3616550925)</f>
        <v>46185.3616550925</v>
      </c>
      <c r="D2153" s="2">
        <f ca="1">IFERROR(__xludf.DUMMYFUNCTION("""COMPUTED_VALUE"""),36)</f>
        <v>36</v>
      </c>
      <c r="E2153" s="2">
        <f ca="1">IFERROR(__xludf.DUMMYFUNCTION("""COMPUTED_VALUE"""),19700)</f>
        <v>19700</v>
      </c>
      <c r="F2153" s="2" t="str">
        <f ca="1">IFERROR(__xludf.DUMMYFUNCTION("""COMPUTED_VALUE"""),"Tinto Varietal B")</f>
        <v>Tinto Varietal B</v>
      </c>
      <c r="G2153" s="2">
        <f ca="1">IFERROR(__xludf.DUMMYFUNCTION("""COMPUTED_VALUE"""),0)</f>
        <v>0</v>
      </c>
      <c r="H2153" s="2">
        <f ca="1">IFERROR(__xludf.DUMMYFUNCTION("""COMPUTED_VALUE"""),19700)</f>
        <v>19700</v>
      </c>
      <c r="I2153" s="2"/>
      <c r="J2153" s="2"/>
      <c r="K2153" s="2" t="str">
        <f ca="1">IFERROR(__xludf.DUMMYFUNCTION("""COMPUTED_VALUE"""),"Terminado")</f>
        <v>Terminado</v>
      </c>
      <c r="L2153" s="2" t="str">
        <f ca="1">IFERROR(__xludf.DUMMYFUNCTION("""COMPUTED_VALUE"""),"1")</f>
        <v>1</v>
      </c>
      <c r="M2153" s="2" t="str">
        <f ca="1">IFERROR(__xludf.DUMMYFUNCTION("""COMPUTED_VALUE"""),"Tinto")</f>
        <v>Tinto</v>
      </c>
    </row>
    <row r="2154" spans="1:13" x14ac:dyDescent="0.25">
      <c r="A2154" s="2" t="str">
        <f ca="1">IFERROR(__xludf.DUMMYFUNCTION("""COMPUTED_VALUE"""),"0d5738b1")</f>
        <v>0d5738b1</v>
      </c>
      <c r="B2154" s="2"/>
      <c r="C2154" s="5">
        <f ca="1">IFERROR(__xludf.DUMMYFUNCTION("""COMPUTED_VALUE"""),46185.3618402777)</f>
        <v>46185.361840277699</v>
      </c>
      <c r="D2154" s="2">
        <f ca="1">IFERROR(__xludf.DUMMYFUNCTION("""COMPUTED_VALUE"""),66)</f>
        <v>66</v>
      </c>
      <c r="E2154" s="2">
        <f ca="1">IFERROR(__xludf.DUMMYFUNCTION("""COMPUTED_VALUE"""),23000)</f>
        <v>23000</v>
      </c>
      <c r="F2154" s="2" t="str">
        <f ca="1">IFERROR(__xludf.DUMMYFUNCTION("""COMPUTED_VALUE"""),"Tinto Varietal B")</f>
        <v>Tinto Varietal B</v>
      </c>
      <c r="G2154" s="2">
        <f ca="1">IFERROR(__xludf.DUMMYFUNCTION("""COMPUTED_VALUE"""),0)</f>
        <v>0</v>
      </c>
      <c r="H2154" s="2">
        <f ca="1">IFERROR(__xludf.DUMMYFUNCTION("""COMPUTED_VALUE"""),23000)</f>
        <v>23000</v>
      </c>
      <c r="I2154" s="2"/>
      <c r="J2154" s="2"/>
      <c r="K2154" s="2" t="str">
        <f ca="1">IFERROR(__xludf.DUMMYFUNCTION("""COMPUTED_VALUE"""),"Terminado")</f>
        <v>Terminado</v>
      </c>
      <c r="L2154" s="2" t="str">
        <f ca="1">IFERROR(__xludf.DUMMYFUNCTION("""COMPUTED_VALUE"""),"1")</f>
        <v>1</v>
      </c>
      <c r="M2154" s="2" t="str">
        <f ca="1">IFERROR(__xludf.DUMMYFUNCTION("""COMPUTED_VALUE"""),"Tinto")</f>
        <v>Tinto</v>
      </c>
    </row>
    <row r="2155" spans="1:13" x14ac:dyDescent="0.25">
      <c r="A2155" s="2" t="str">
        <f ca="1">IFERROR(__xludf.DUMMYFUNCTION("""COMPUTED_VALUE"""),"d1e104ff")</f>
        <v>d1e104ff</v>
      </c>
      <c r="B2155" s="2"/>
      <c r="C2155" s="5">
        <f ca="1">IFERROR(__xludf.DUMMYFUNCTION("""COMPUTED_VALUE"""),46185.3621875)</f>
        <v>46185.362187500003</v>
      </c>
      <c r="D2155" s="2">
        <f ca="1">IFERROR(__xludf.DUMMYFUNCTION("""COMPUTED_VALUE"""),34)</f>
        <v>34</v>
      </c>
      <c r="E2155" s="2">
        <f ca="1">IFERROR(__xludf.DUMMYFUNCTION("""COMPUTED_VALUE"""),39500)</f>
        <v>39500</v>
      </c>
      <c r="F2155" s="2" t="str">
        <f ca="1">IFERROR(__xludf.DUMMYFUNCTION("""COMPUTED_VALUE"""),"Tinto Varietal B")</f>
        <v>Tinto Varietal B</v>
      </c>
      <c r="G2155" s="2">
        <f ca="1">IFERROR(__xludf.DUMMYFUNCTION("""COMPUTED_VALUE"""),0)</f>
        <v>0</v>
      </c>
      <c r="H2155" s="2">
        <f ca="1">IFERROR(__xludf.DUMMYFUNCTION("""COMPUTED_VALUE"""),39500)</f>
        <v>39500</v>
      </c>
      <c r="I2155" s="2"/>
      <c r="J2155" s="2"/>
      <c r="K2155" s="2" t="str">
        <f ca="1">IFERROR(__xludf.DUMMYFUNCTION("""COMPUTED_VALUE"""),"Terminado")</f>
        <v>Terminado</v>
      </c>
      <c r="L2155" s="2" t="str">
        <f ca="1">IFERROR(__xludf.DUMMYFUNCTION("""COMPUTED_VALUE"""),"1")</f>
        <v>1</v>
      </c>
      <c r="M2155" s="2" t="str">
        <f ca="1">IFERROR(__xludf.DUMMYFUNCTION("""COMPUTED_VALUE"""),"Tinto")</f>
        <v>Tinto</v>
      </c>
    </row>
    <row r="2156" spans="1:13" x14ac:dyDescent="0.25">
      <c r="A2156" s="2" t="str">
        <f ca="1">IFERROR(__xludf.DUMMYFUNCTION("""COMPUTED_VALUE"""),"a1b44119")</f>
        <v>a1b44119</v>
      </c>
      <c r="B2156" s="2"/>
      <c r="C2156" s="5">
        <f ca="1">IFERROR(__xludf.DUMMYFUNCTION("""COMPUTED_VALUE"""),46185.370949074)</f>
        <v>46185.370949074</v>
      </c>
      <c r="D2156" s="2">
        <f ca="1">IFERROR(__xludf.DUMMYFUNCTION("""COMPUTED_VALUE"""),6)</f>
        <v>6</v>
      </c>
      <c r="E2156" s="2">
        <f ca="1">IFERROR(__xludf.DUMMYFUNCTION("""COMPUTED_VALUE"""),32000)</f>
        <v>32000</v>
      </c>
      <c r="F2156" s="2" t="str">
        <f ca="1">IFERROR(__xludf.DUMMYFUNCTION("""COMPUTED_VALUE"""),"Syrah")</f>
        <v>Syrah</v>
      </c>
      <c r="G2156" s="2">
        <f ca="1">IFERROR(__xludf.DUMMYFUNCTION("""COMPUTED_VALUE"""),17000)</f>
        <v>17000</v>
      </c>
      <c r="H2156" s="2">
        <f ca="1">IFERROR(__xludf.DUMMYFUNCTION("""COMPUTED_VALUE"""),32000)</f>
        <v>32000</v>
      </c>
      <c r="I2156" s="2"/>
      <c r="J2156" s="2"/>
      <c r="K2156" s="2" t="str">
        <f ca="1">IFERROR(__xludf.DUMMYFUNCTION("""COMPUTED_VALUE"""),"2do Trasiego")</f>
        <v>2do Trasiego</v>
      </c>
      <c r="L2156" s="2" t="str">
        <f ca="1">IFERROR(__xludf.DUMMYFUNCTION("""COMPUTED_VALUE"""),"1+")</f>
        <v>1+</v>
      </c>
      <c r="M2156" s="2" t="str">
        <f ca="1">IFERROR(__xludf.DUMMYFUNCTION("""COMPUTED_VALUE"""),"Tinto")</f>
        <v>Tinto</v>
      </c>
    </row>
    <row r="2157" spans="1:13" x14ac:dyDescent="0.25">
      <c r="A2157" s="2" t="str">
        <f ca="1">IFERROR(__xludf.DUMMYFUNCTION("""COMPUTED_VALUE"""),"ab8fa038")</f>
        <v>ab8fa038</v>
      </c>
      <c r="B2157" s="2"/>
      <c r="C2157" s="5">
        <f ca="1">IFERROR(__xludf.DUMMYFUNCTION("""COMPUTED_VALUE"""),46185.3712731481)</f>
        <v>46185.371273148099</v>
      </c>
      <c r="D2157" s="2">
        <f ca="1">IFERROR(__xludf.DUMMYFUNCTION("""COMPUTED_VALUE"""),10)</f>
        <v>10</v>
      </c>
      <c r="E2157" s="2">
        <f ca="1">IFERROR(__xludf.DUMMYFUNCTION("""COMPUTED_VALUE"""),21000)</f>
        <v>21000</v>
      </c>
      <c r="F2157" s="2" t="str">
        <f ca="1">IFERROR(__xludf.DUMMYFUNCTION("""COMPUTED_VALUE"""),"Syrah")</f>
        <v>Syrah</v>
      </c>
      <c r="G2157" s="2">
        <f ca="1">IFERROR(__xludf.DUMMYFUNCTION("""COMPUTED_VALUE"""),0)</f>
        <v>0</v>
      </c>
      <c r="H2157" s="2">
        <f ca="1">IFERROR(__xludf.DUMMYFUNCTION("""COMPUTED_VALUE"""),21000)</f>
        <v>21000</v>
      </c>
      <c r="I2157" s="2"/>
      <c r="J2157" s="2"/>
      <c r="K2157" s="2" t="str">
        <f ca="1">IFERROR(__xludf.DUMMYFUNCTION("""COMPUTED_VALUE"""),"2do Trasiego")</f>
        <v>2do Trasiego</v>
      </c>
      <c r="L2157" s="2" t="str">
        <f ca="1">IFERROR(__xludf.DUMMYFUNCTION("""COMPUTED_VALUE"""),"1+")</f>
        <v>1+</v>
      </c>
      <c r="M2157" s="2" t="str">
        <f ca="1">IFERROR(__xludf.DUMMYFUNCTION("""COMPUTED_VALUE"""),"Tinto")</f>
        <v>Tinto</v>
      </c>
    </row>
    <row r="2158" spans="1:13" x14ac:dyDescent="0.25">
      <c r="A2158" s="2" t="str">
        <f ca="1">IFERROR(__xludf.DUMMYFUNCTION("""COMPUTED_VALUE"""),"561f54c3")</f>
        <v>561f54c3</v>
      </c>
      <c r="B2158" s="2"/>
      <c r="C2158" s="5">
        <f ca="1">IFERROR(__xludf.DUMMYFUNCTION("""COMPUTED_VALUE"""),46185.3715509259)</f>
        <v>46185.371550925898</v>
      </c>
      <c r="D2158" s="2">
        <f ca="1">IFERROR(__xludf.DUMMYFUNCTION("""COMPUTED_VALUE"""),12)</f>
        <v>12</v>
      </c>
      <c r="E2158" s="2">
        <f ca="1">IFERROR(__xludf.DUMMYFUNCTION("""COMPUTED_VALUE"""),35300)</f>
        <v>35300</v>
      </c>
      <c r="F2158" s="2" t="str">
        <f ca="1">IFERROR(__xludf.DUMMYFUNCTION("""COMPUTED_VALUE"""),"Syrah Rect")</f>
        <v>Syrah Rect</v>
      </c>
      <c r="G2158" s="2">
        <f ca="1">IFERROR(__xludf.DUMMYFUNCTION("""COMPUTED_VALUE"""),0)</f>
        <v>0</v>
      </c>
      <c r="H2158" s="2">
        <f ca="1">IFERROR(__xludf.DUMMYFUNCTION("""COMPUTED_VALUE"""),23100)</f>
        <v>23100</v>
      </c>
      <c r="I2158" s="2"/>
      <c r="J2158" s="2"/>
      <c r="K2158" s="2" t="str">
        <f ca="1">IFERROR(__xludf.DUMMYFUNCTION("""COMPUTED_VALUE"""),"Rectificado")</f>
        <v>Rectificado</v>
      </c>
      <c r="L2158" s="2" t="str">
        <f ca="1">IFERROR(__xludf.DUMMYFUNCTION("""COMPUTED_VALUE"""),"1+")</f>
        <v>1+</v>
      </c>
      <c r="M2158" s="2" t="str">
        <f ca="1">IFERROR(__xludf.DUMMYFUNCTION("""COMPUTED_VALUE"""),"Tinto")</f>
        <v>Tinto</v>
      </c>
    </row>
    <row r="2159" spans="1:13" x14ac:dyDescent="0.25">
      <c r="A2159" s="2" t="str">
        <f ca="1">IFERROR(__xludf.DUMMYFUNCTION("""COMPUTED_VALUE"""),"a880dc8c")</f>
        <v>a880dc8c</v>
      </c>
      <c r="B2159" s="2"/>
      <c r="C2159" s="5">
        <f ca="1">IFERROR(__xludf.DUMMYFUNCTION("""COMPUTED_VALUE"""),46185.3718981481)</f>
        <v>46185.3718981481</v>
      </c>
      <c r="D2159" s="2">
        <f ca="1">IFERROR(__xludf.DUMMYFUNCTION("""COMPUTED_VALUE"""),86)</f>
        <v>86</v>
      </c>
      <c r="E2159" s="2">
        <f ca="1">IFERROR(__xludf.DUMMYFUNCTION("""COMPUTED_VALUE"""),88000)</f>
        <v>88000</v>
      </c>
      <c r="F2159" s="2" t="str">
        <f ca="1">IFERROR(__xludf.DUMMYFUNCTION("""COMPUTED_VALUE"""),"Syrah Anc PC s/Asp 2")</f>
        <v>Syrah Anc PC s/Asp 2</v>
      </c>
      <c r="G2159" s="2">
        <f ca="1">IFERROR(__xludf.DUMMYFUNCTION("""COMPUTED_VALUE"""),66100)</f>
        <v>66100</v>
      </c>
      <c r="H2159" s="2">
        <f ca="1">IFERROR(__xludf.DUMMYFUNCTION("""COMPUTED_VALUE"""),70500)</f>
        <v>70500</v>
      </c>
      <c r="I2159" s="2"/>
      <c r="J2159" s="2"/>
      <c r="K2159" s="2" t="str">
        <f ca="1">IFERROR(__xludf.DUMMYFUNCTION("""COMPUTED_VALUE"""),"1er Trasiego")</f>
        <v>1er Trasiego</v>
      </c>
      <c r="L2159" s="2" t="str">
        <f ca="1">IFERROR(__xludf.DUMMYFUNCTION("""COMPUTED_VALUE"""),"1")</f>
        <v>1</v>
      </c>
      <c r="M2159" s="2" t="str">
        <f ca="1">IFERROR(__xludf.DUMMYFUNCTION("""COMPUTED_VALUE"""),"Tinto")</f>
        <v>Tinto</v>
      </c>
    </row>
    <row r="2160" spans="1:13" x14ac:dyDescent="0.25">
      <c r="A2160" s="2" t="str">
        <f ca="1">IFERROR(__xludf.DUMMYFUNCTION("""COMPUTED_VALUE"""),"3cb54432")</f>
        <v>3cb54432</v>
      </c>
      <c r="B2160" s="2"/>
      <c r="C2160" s="5">
        <f ca="1">IFERROR(__xludf.DUMMYFUNCTION("""COMPUTED_VALUE"""),46185.3725347222)</f>
        <v>46185.372534722199</v>
      </c>
      <c r="D2160" s="2">
        <f ca="1">IFERROR(__xludf.DUMMYFUNCTION("""COMPUTED_VALUE"""),24)</f>
        <v>24</v>
      </c>
      <c r="E2160" s="2">
        <f ca="1">IFERROR(__xludf.DUMMYFUNCTION("""COMPUTED_VALUE"""),186600)</f>
        <v>186600</v>
      </c>
      <c r="F2160" s="2" t="str">
        <f ca="1">IFERROR(__xludf.DUMMYFUNCTION("""COMPUTED_VALUE"""),"Malbec")</f>
        <v>Malbec</v>
      </c>
      <c r="G2160" s="2">
        <f ca="1">IFERROR(__xludf.DUMMYFUNCTION("""COMPUTED_VALUE"""),156500)</f>
        <v>156500</v>
      </c>
      <c r="H2160" s="2">
        <f ca="1">IFERROR(__xludf.DUMMYFUNCTION("""COMPUTED_VALUE"""),186600)</f>
        <v>186600</v>
      </c>
      <c r="I2160" s="2"/>
      <c r="J2160" s="2"/>
      <c r="K2160" s="2" t="str">
        <f ca="1">IFERROR(__xludf.DUMMYFUNCTION("""COMPUTED_VALUE"""),"2do Trasiego")</f>
        <v>2do Trasiego</v>
      </c>
      <c r="L2160" s="2" t="str">
        <f ca="1">IFERROR(__xludf.DUMMYFUNCTION("""COMPUTED_VALUE"""),"1-")</f>
        <v>1-</v>
      </c>
      <c r="M2160" s="2" t="str">
        <f ca="1">IFERROR(__xludf.DUMMYFUNCTION("""COMPUTED_VALUE"""),"Tinto")</f>
        <v>Tinto</v>
      </c>
    </row>
    <row r="2161" spans="1:13" x14ac:dyDescent="0.25">
      <c r="A2161" s="2" t="str">
        <f ca="1">IFERROR(__xludf.DUMMYFUNCTION("""COMPUTED_VALUE"""),"cfbea8f2")</f>
        <v>cfbea8f2</v>
      </c>
      <c r="B2161" s="2"/>
      <c r="C2161" s="5">
        <f ca="1">IFERROR(__xludf.DUMMYFUNCTION("""COMPUTED_VALUE"""),46185.3729629629)</f>
        <v>46185.372962962902</v>
      </c>
      <c r="D2161" s="2">
        <f ca="1">IFERROR(__xludf.DUMMYFUNCTION("""COMPUTED_VALUE"""),12)</f>
        <v>12</v>
      </c>
      <c r="E2161" s="2">
        <f ca="1">IFERROR(__xludf.DUMMYFUNCTION("""COMPUTED_VALUE"""),35300)</f>
        <v>35300</v>
      </c>
      <c r="F2161" s="2" t="str">
        <f ca="1">IFERROR(__xludf.DUMMYFUNCTION("""COMPUTED_VALUE"""),"Syrah Rect")</f>
        <v>Syrah Rect</v>
      </c>
      <c r="G2161" s="2">
        <f ca="1">IFERROR(__xludf.DUMMYFUNCTION("""COMPUTED_VALUE"""),23100)</f>
        <v>23100</v>
      </c>
      <c r="H2161" s="2">
        <f ca="1">IFERROR(__xludf.DUMMYFUNCTION("""COMPUTED_VALUE"""),24000)</f>
        <v>24000</v>
      </c>
      <c r="I2161" s="2"/>
      <c r="J2161" s="2"/>
      <c r="K2161" s="2" t="str">
        <f ca="1">IFERROR(__xludf.DUMMYFUNCTION("""COMPUTED_VALUE"""),"Rectificado")</f>
        <v>Rectificado</v>
      </c>
      <c r="L2161" s="2" t="str">
        <f ca="1">IFERROR(__xludf.DUMMYFUNCTION("""COMPUTED_VALUE"""),"1+")</f>
        <v>1+</v>
      </c>
      <c r="M2161" s="2" t="str">
        <f ca="1">IFERROR(__xludf.DUMMYFUNCTION("""COMPUTED_VALUE"""),"Tinto")</f>
        <v>Tinto</v>
      </c>
    </row>
    <row r="2162" spans="1:13" x14ac:dyDescent="0.25">
      <c r="A2162" s="2" t="str">
        <f ca="1">IFERROR(__xludf.DUMMYFUNCTION("""COMPUTED_VALUE"""),"584b6ec4")</f>
        <v>584b6ec4</v>
      </c>
      <c r="B2162" s="2"/>
      <c r="C2162" s="5">
        <f ca="1">IFERROR(__xludf.DUMMYFUNCTION("""COMPUTED_VALUE"""),46185.3739467592)</f>
        <v>46185.373946759202</v>
      </c>
      <c r="D2162" s="2">
        <f ca="1">IFERROR(__xludf.DUMMYFUNCTION("""COMPUTED_VALUE"""),126)</f>
        <v>126</v>
      </c>
      <c r="E2162" s="2">
        <f ca="1">IFERROR(__xludf.DUMMYFUNCTION("""COMPUTED_VALUE"""),31000)</f>
        <v>31000</v>
      </c>
      <c r="F2162" s="2" t="str">
        <f ca="1">IFERROR(__xludf.DUMMYFUNCTION("""COMPUTED_VALUE"""),"Syrah Anc s/Asp 2")</f>
        <v>Syrah Anc s/Asp 2</v>
      </c>
      <c r="G2162" s="2">
        <f ca="1">IFERROR(__xludf.DUMMYFUNCTION("""COMPUTED_VALUE"""),0)</f>
        <v>0</v>
      </c>
      <c r="H2162" s="2">
        <f ca="1">IFERROR(__xludf.DUMMYFUNCTION("""COMPUTED_VALUE"""),22600)</f>
        <v>22600</v>
      </c>
      <c r="I2162" s="2"/>
      <c r="J2162" s="2"/>
      <c r="K2162" s="2" t="str">
        <f ca="1">IFERROR(__xludf.DUMMYFUNCTION("""COMPUTED_VALUE"""),"2do Trasiego")</f>
        <v>2do Trasiego</v>
      </c>
      <c r="L2162" s="2" t="str">
        <f ca="1">IFERROR(__xludf.DUMMYFUNCTION("""COMPUTED_VALUE"""),"1+")</f>
        <v>1+</v>
      </c>
      <c r="M2162" s="2" t="str">
        <f ca="1">IFERROR(__xludf.DUMMYFUNCTION("""COMPUTED_VALUE"""),"Tinto")</f>
        <v>Tinto</v>
      </c>
    </row>
    <row r="2163" spans="1:13" x14ac:dyDescent="0.25">
      <c r="A2163" s="2" t="str">
        <f ca="1">IFERROR(__xludf.DUMMYFUNCTION("""COMPUTED_VALUE"""),"b598d19d")</f>
        <v>b598d19d</v>
      </c>
      <c r="B2163" s="2"/>
      <c r="C2163" s="5">
        <f ca="1">IFERROR(__xludf.DUMMYFUNCTION("""COMPUTED_VALUE"""),46185.4365393518)</f>
        <v>46185.436539351802</v>
      </c>
      <c r="D2163" s="2">
        <f ca="1">IFERROR(__xludf.DUMMYFUNCTION("""COMPUTED_VALUE"""),126)</f>
        <v>126</v>
      </c>
      <c r="E2163" s="2">
        <f ca="1">IFERROR(__xludf.DUMMYFUNCTION("""COMPUTED_VALUE"""),31000)</f>
        <v>31000</v>
      </c>
      <c r="F2163" s="2" t="str">
        <f ca="1">IFERROR(__xludf.DUMMYFUNCTION("""COMPUTED_VALUE"""),"Syrah Anc s/Asp 2")</f>
        <v>Syrah Anc s/Asp 2</v>
      </c>
      <c r="G2163" s="2">
        <f ca="1">IFERROR(__xludf.DUMMYFUNCTION("""COMPUTED_VALUE"""),22600)</f>
        <v>22600</v>
      </c>
      <c r="H2163" s="2">
        <f ca="1">IFERROR(__xludf.DUMMYFUNCTION("""COMPUTED_VALUE"""),31000)</f>
        <v>31000</v>
      </c>
      <c r="I2163" s="2"/>
      <c r="J2163" s="2"/>
      <c r="K2163" s="2" t="str">
        <f ca="1">IFERROR(__xludf.DUMMYFUNCTION("""COMPUTED_VALUE"""),"2do Trasiego")</f>
        <v>2do Trasiego</v>
      </c>
      <c r="L2163" s="2" t="str">
        <f ca="1">IFERROR(__xludf.DUMMYFUNCTION("""COMPUTED_VALUE"""),"1+")</f>
        <v>1+</v>
      </c>
      <c r="M2163" s="2" t="str">
        <f ca="1">IFERROR(__xludf.DUMMYFUNCTION("""COMPUTED_VALUE"""),"Tinto")</f>
        <v>Tinto</v>
      </c>
    </row>
    <row r="2164" spans="1:13" x14ac:dyDescent="0.25">
      <c r="A2164" s="2" t="str">
        <f ca="1">IFERROR(__xludf.DUMMYFUNCTION("""COMPUTED_VALUE"""),"a815c813")</f>
        <v>a815c813</v>
      </c>
      <c r="B2164" s="2"/>
      <c r="C2164" s="5">
        <f ca="1">IFERROR(__xludf.DUMMYFUNCTION("""COMPUTED_VALUE"""),46185.4367708333)</f>
        <v>46185.436770833301</v>
      </c>
      <c r="D2164" s="2">
        <f ca="1">IFERROR(__xludf.DUMMYFUNCTION("""COMPUTED_VALUE"""),102)</f>
        <v>102</v>
      </c>
      <c r="E2164" s="2">
        <f ca="1">IFERROR(__xludf.DUMMYFUNCTION("""COMPUTED_VALUE"""),31000)</f>
        <v>31000</v>
      </c>
      <c r="F2164" s="2" t="str">
        <f ca="1">IFERROR(__xludf.DUMMYFUNCTION("""COMPUTED_VALUE"""),"Syrah s/Asp")</f>
        <v>Syrah s/Asp</v>
      </c>
      <c r="G2164" s="2">
        <f ca="1">IFERROR(__xludf.DUMMYFUNCTION("""COMPUTED_VALUE"""),0)</f>
        <v>0</v>
      </c>
      <c r="H2164" s="2">
        <f ca="1">IFERROR(__xludf.DUMMYFUNCTION("""COMPUTED_VALUE"""),15800)</f>
        <v>15800</v>
      </c>
      <c r="I2164" s="2"/>
      <c r="J2164" s="2"/>
      <c r="K2164" s="2" t="str">
        <f ca="1">IFERROR(__xludf.DUMMYFUNCTION("""COMPUTED_VALUE"""),"2do Trasiego")</f>
        <v>2do Trasiego</v>
      </c>
      <c r="L2164" s="2" t="str">
        <f ca="1">IFERROR(__xludf.DUMMYFUNCTION("""COMPUTED_VALUE"""),"1+")</f>
        <v>1+</v>
      </c>
      <c r="M2164" s="2" t="str">
        <f ca="1">IFERROR(__xludf.DUMMYFUNCTION("""COMPUTED_VALUE"""),"Tinto")</f>
        <v>Tinto</v>
      </c>
    </row>
    <row r="2165" spans="1:13" x14ac:dyDescent="0.25">
      <c r="A2165" s="2" t="str">
        <f ca="1">IFERROR(__xludf.DUMMYFUNCTION("""COMPUTED_VALUE"""),"99245d60")</f>
        <v>99245d60</v>
      </c>
      <c r="B2165" s="2"/>
      <c r="C2165" s="5">
        <f ca="1">IFERROR(__xludf.DUMMYFUNCTION("""COMPUTED_VALUE"""),46185.4372106481)</f>
        <v>46185.437210648102</v>
      </c>
      <c r="D2165" s="2">
        <f ca="1">IFERROR(__xludf.DUMMYFUNCTION("""COMPUTED_VALUE"""),102)</f>
        <v>102</v>
      </c>
      <c r="E2165" s="2">
        <f ca="1">IFERROR(__xludf.DUMMYFUNCTION("""COMPUTED_VALUE"""),31000)</f>
        <v>31000</v>
      </c>
      <c r="F2165" s="2" t="str">
        <f ca="1">IFERROR(__xludf.DUMMYFUNCTION("""COMPUTED_VALUE"""),"Syrah s/Asp")</f>
        <v>Syrah s/Asp</v>
      </c>
      <c r="G2165" s="2">
        <f ca="1">IFERROR(__xludf.DUMMYFUNCTION("""COMPUTED_VALUE"""),15800)</f>
        <v>15800</v>
      </c>
      <c r="H2165" s="2">
        <f ca="1">IFERROR(__xludf.DUMMYFUNCTION("""COMPUTED_VALUE"""),31000)</f>
        <v>31000</v>
      </c>
      <c r="I2165" s="2"/>
      <c r="J2165" s="2"/>
      <c r="K2165" s="2" t="str">
        <f ca="1">IFERROR(__xludf.DUMMYFUNCTION("""COMPUTED_VALUE"""),"2do Trasiego")</f>
        <v>2do Trasiego</v>
      </c>
      <c r="L2165" s="2" t="str">
        <f ca="1">IFERROR(__xludf.DUMMYFUNCTION("""COMPUTED_VALUE"""),"1+")</f>
        <v>1+</v>
      </c>
      <c r="M2165" s="2" t="str">
        <f ca="1">IFERROR(__xludf.DUMMYFUNCTION("""COMPUTED_VALUE"""),"Tinto")</f>
        <v>Tinto</v>
      </c>
    </row>
    <row r="2166" spans="1:13" x14ac:dyDescent="0.25">
      <c r="A2166" s="2" t="str">
        <f ca="1">IFERROR(__xludf.DUMMYFUNCTION("""COMPUTED_VALUE"""),"2b94f1a8")</f>
        <v>2b94f1a8</v>
      </c>
      <c r="B2166" s="2"/>
      <c r="C2166" s="5">
        <f ca="1">IFERROR(__xludf.DUMMYFUNCTION("""COMPUTED_VALUE"""),46185.4376967592)</f>
        <v>46185.437696759203</v>
      </c>
      <c r="D2166" s="2">
        <f ca="1">IFERROR(__xludf.DUMMYFUNCTION("""COMPUTED_VALUE"""),103)</f>
        <v>103</v>
      </c>
      <c r="E2166" s="2">
        <f ca="1">IFERROR(__xludf.DUMMYFUNCTION("""COMPUTED_VALUE"""),31000)</f>
        <v>31000</v>
      </c>
      <c r="F2166" s="2" t="str">
        <f ca="1">IFERROR(__xludf.DUMMYFUNCTION("""COMPUTED_VALUE"""),"Syrah Merlot s/Asp 3")</f>
        <v>Syrah Merlot s/Asp 3</v>
      </c>
      <c r="G2166" s="2">
        <f ca="1">IFERROR(__xludf.DUMMYFUNCTION("""COMPUTED_VALUE"""),0)</f>
        <v>0</v>
      </c>
      <c r="H2166" s="2">
        <f ca="1">IFERROR(__xludf.DUMMYFUNCTION("""COMPUTED_VALUE"""),9000)</f>
        <v>9000</v>
      </c>
      <c r="I2166" s="2"/>
      <c r="J2166" s="2"/>
      <c r="K2166" s="2" t="str">
        <f ca="1">IFERROR(__xludf.DUMMYFUNCTION("""COMPUTED_VALUE"""),"2do Trasiego")</f>
        <v>2do Trasiego</v>
      </c>
      <c r="L2166" s="2" t="str">
        <f ca="1">IFERROR(__xludf.DUMMYFUNCTION("""COMPUTED_VALUE"""),"1")</f>
        <v>1</v>
      </c>
      <c r="M2166" s="2" t="str">
        <f ca="1">IFERROR(__xludf.DUMMYFUNCTION("""COMPUTED_VALUE"""),"Tinto")</f>
        <v>Tinto</v>
      </c>
    </row>
    <row r="2167" spans="1:13" x14ac:dyDescent="0.25">
      <c r="A2167" s="2" t="str">
        <f ca="1">IFERROR(__xludf.DUMMYFUNCTION("""COMPUTED_VALUE"""),"e9753960")</f>
        <v>e9753960</v>
      </c>
      <c r="B2167" s="2"/>
      <c r="C2167" s="5">
        <f ca="1">IFERROR(__xludf.DUMMYFUNCTION("""COMPUTED_VALUE"""),46190.4319907407)</f>
        <v>46190.431990740697</v>
      </c>
      <c r="D2167" s="2">
        <f ca="1">IFERROR(__xludf.DUMMYFUNCTION("""COMPUTED_VALUE"""),103)</f>
        <v>103</v>
      </c>
      <c r="E2167" s="2">
        <f ca="1">IFERROR(__xludf.DUMMYFUNCTION("""COMPUTED_VALUE"""),31000)</f>
        <v>31000</v>
      </c>
      <c r="F2167" s="2" t="str">
        <f ca="1">IFERROR(__xludf.DUMMYFUNCTION("""COMPUTED_VALUE"""),"Syrah Merlot s/Asp 3")</f>
        <v>Syrah Merlot s/Asp 3</v>
      </c>
      <c r="G2167" s="2">
        <f ca="1">IFERROR(__xludf.DUMMYFUNCTION("""COMPUTED_VALUE"""),9000)</f>
        <v>9000</v>
      </c>
      <c r="H2167" s="2">
        <f ca="1">IFERROR(__xludf.DUMMYFUNCTION("""COMPUTED_VALUE"""),31000)</f>
        <v>31000</v>
      </c>
      <c r="I2167" s="2"/>
      <c r="J2167" s="2"/>
      <c r="K2167" s="2" t="str">
        <f ca="1">IFERROR(__xludf.DUMMYFUNCTION("""COMPUTED_VALUE"""),"2do Trasiego")</f>
        <v>2do Trasiego</v>
      </c>
      <c r="L2167" s="2" t="str">
        <f ca="1">IFERROR(__xludf.DUMMYFUNCTION("""COMPUTED_VALUE"""),"1")</f>
        <v>1</v>
      </c>
      <c r="M2167" s="2" t="str">
        <f ca="1">IFERROR(__xludf.DUMMYFUNCTION("""COMPUTED_VALUE"""),"Tinto")</f>
        <v>Tinto</v>
      </c>
    </row>
    <row r="2168" spans="1:13" x14ac:dyDescent="0.25">
      <c r="A2168" s="2" t="str">
        <f ca="1">IFERROR(__xludf.DUMMYFUNCTION("""COMPUTED_VALUE"""),"bbd94600")</f>
        <v>bbd94600</v>
      </c>
      <c r="B2168" s="2"/>
      <c r="C2168" s="5">
        <f ca="1">IFERROR(__xludf.DUMMYFUNCTION("""COMPUTED_VALUE"""),46190.4322916666)</f>
        <v>46190.432291666599</v>
      </c>
      <c r="D2168" s="2">
        <f ca="1">IFERROR(__xludf.DUMMYFUNCTION("""COMPUTED_VALUE"""),104)</f>
        <v>104</v>
      </c>
      <c r="E2168" s="2">
        <f ca="1">IFERROR(__xludf.DUMMYFUNCTION("""COMPUTED_VALUE"""),31000)</f>
        <v>31000</v>
      </c>
      <c r="F2168" s="2" t="str">
        <f ca="1">IFERROR(__xludf.DUMMYFUNCTION("""COMPUTED_VALUE"""),"Syrah Merlot s/Asp 3")</f>
        <v>Syrah Merlot s/Asp 3</v>
      </c>
      <c r="G2168" s="2">
        <f ca="1">IFERROR(__xludf.DUMMYFUNCTION("""COMPUTED_VALUE"""),0)</f>
        <v>0</v>
      </c>
      <c r="H2168" s="2">
        <f ca="1">IFERROR(__xludf.DUMMYFUNCTION("""COMPUTED_VALUE"""),2200)</f>
        <v>2200</v>
      </c>
      <c r="I2168" s="2"/>
      <c r="J2168" s="2"/>
      <c r="K2168" s="2" t="str">
        <f ca="1">IFERROR(__xludf.DUMMYFUNCTION("""COMPUTED_VALUE"""),"2do Trasiego")</f>
        <v>2do Trasiego</v>
      </c>
      <c r="L2168" s="2" t="str">
        <f ca="1">IFERROR(__xludf.DUMMYFUNCTION("""COMPUTED_VALUE"""),"1+")</f>
        <v>1+</v>
      </c>
      <c r="M2168" s="2" t="str">
        <f ca="1">IFERROR(__xludf.DUMMYFUNCTION("""COMPUTED_VALUE"""),"Tinto")</f>
        <v>Tinto</v>
      </c>
    </row>
    <row r="2169" spans="1:13" x14ac:dyDescent="0.25">
      <c r="A2169" s="2" t="str">
        <f ca="1">IFERROR(__xludf.DUMMYFUNCTION("""COMPUTED_VALUE"""),"e1d7e7ba")</f>
        <v>e1d7e7ba</v>
      </c>
      <c r="B2169" s="2"/>
      <c r="C2169" s="5">
        <f ca="1">IFERROR(__xludf.DUMMYFUNCTION("""COMPUTED_VALUE"""),46190.4330092592)</f>
        <v>46190.433009259199</v>
      </c>
      <c r="D2169" s="2">
        <f ca="1">IFERROR(__xludf.DUMMYFUNCTION("""COMPUTED_VALUE"""),104)</f>
        <v>104</v>
      </c>
      <c r="E2169" s="2">
        <f ca="1">IFERROR(__xludf.DUMMYFUNCTION("""COMPUTED_VALUE"""),31000)</f>
        <v>31000</v>
      </c>
      <c r="F2169" s="2" t="str">
        <f ca="1">IFERROR(__xludf.DUMMYFUNCTION("""COMPUTED_VALUE"""),"Syrah Merlot s/Asp 3")</f>
        <v>Syrah Merlot s/Asp 3</v>
      </c>
      <c r="G2169" s="2">
        <f ca="1">IFERROR(__xludf.DUMMYFUNCTION("""COMPUTED_VALUE"""),2200)</f>
        <v>2200</v>
      </c>
      <c r="H2169" s="2">
        <f ca="1">IFERROR(__xludf.DUMMYFUNCTION("""COMPUTED_VALUE"""),26400)</f>
        <v>26400</v>
      </c>
      <c r="I2169" s="2"/>
      <c r="J2169" s="2"/>
      <c r="K2169" s="2" t="str">
        <f ca="1">IFERROR(__xludf.DUMMYFUNCTION("""COMPUTED_VALUE"""),"2do Trasiego")</f>
        <v>2do Trasiego</v>
      </c>
      <c r="L2169" s="2" t="str">
        <f ca="1">IFERROR(__xludf.DUMMYFUNCTION("""COMPUTED_VALUE"""),"1+")</f>
        <v>1+</v>
      </c>
      <c r="M2169" s="2" t="str">
        <f ca="1">IFERROR(__xludf.DUMMYFUNCTION("""COMPUTED_VALUE"""),"Tinto")</f>
        <v>Tinto</v>
      </c>
    </row>
    <row r="2170" spans="1:13" x14ac:dyDescent="0.25">
      <c r="A2170" s="2" t="str">
        <f ca="1">IFERROR(__xludf.DUMMYFUNCTION("""COMPUTED_VALUE"""),"0fa19063")</f>
        <v>0fa19063</v>
      </c>
      <c r="B2170" s="2"/>
      <c r="C2170" s="5">
        <f ca="1">IFERROR(__xludf.DUMMYFUNCTION("""COMPUTED_VALUE"""),46190.4336689814)</f>
        <v>46190.433668981401</v>
      </c>
      <c r="D2170" s="2">
        <f ca="1">IFERROR(__xludf.DUMMYFUNCTION("""COMPUTED_VALUE"""),105)</f>
        <v>105</v>
      </c>
      <c r="E2170" s="2">
        <f ca="1">IFERROR(__xludf.DUMMYFUNCTION("""COMPUTED_VALUE"""),31000)</f>
        <v>31000</v>
      </c>
      <c r="F2170" s="2" t="str">
        <f ca="1">IFERROR(__xludf.DUMMYFUNCTION("""COMPUTED_VALUE"""),"Syrah Malbec s/Asp 2")</f>
        <v>Syrah Malbec s/Asp 2</v>
      </c>
      <c r="G2170" s="2">
        <f ca="1">IFERROR(__xludf.DUMMYFUNCTION("""COMPUTED_VALUE"""),0)</f>
        <v>0</v>
      </c>
      <c r="H2170" s="2">
        <f ca="1">IFERROR(__xludf.DUMMYFUNCTION("""COMPUTED_VALUE"""),24200)</f>
        <v>24200</v>
      </c>
      <c r="I2170" s="2"/>
      <c r="J2170" s="2"/>
      <c r="K2170" s="2" t="str">
        <f ca="1">IFERROR(__xludf.DUMMYFUNCTION("""COMPUTED_VALUE"""),"2do Trasiego")</f>
        <v>2do Trasiego</v>
      </c>
      <c r="L2170" s="2" t="str">
        <f ca="1">IFERROR(__xludf.DUMMYFUNCTION("""COMPUTED_VALUE"""),"1+")</f>
        <v>1+</v>
      </c>
      <c r="M2170" s="2" t="str">
        <f ca="1">IFERROR(__xludf.DUMMYFUNCTION("""COMPUTED_VALUE"""),"Tinto")</f>
        <v>Tinto</v>
      </c>
    </row>
    <row r="2171" spans="1:13" x14ac:dyDescent="0.25">
      <c r="A2171" s="2" t="str">
        <f ca="1">IFERROR(__xludf.DUMMYFUNCTION("""COMPUTED_VALUE"""),"b7cf1976")</f>
        <v>b7cf1976</v>
      </c>
      <c r="B2171" s="2"/>
      <c r="C2171" s="5">
        <f ca="1">IFERROR(__xludf.DUMMYFUNCTION("""COMPUTED_VALUE"""),46190.4353472222)</f>
        <v>46190.435347222199</v>
      </c>
      <c r="D2171" s="2">
        <f ca="1">IFERROR(__xludf.DUMMYFUNCTION("""COMPUTED_VALUE"""),104)</f>
        <v>104</v>
      </c>
      <c r="E2171" s="2">
        <f ca="1">IFERROR(__xludf.DUMMYFUNCTION("""COMPUTED_VALUE"""),31000)</f>
        <v>31000</v>
      </c>
      <c r="F2171" s="2" t="str">
        <f ca="1">IFERROR(__xludf.DUMMYFUNCTION("""COMPUTED_VALUE"""),"Syrah Merlot s/Asp 3")</f>
        <v>Syrah Merlot s/Asp 3</v>
      </c>
      <c r="G2171" s="2">
        <f ca="1">IFERROR(__xludf.DUMMYFUNCTION("""COMPUTED_VALUE"""),26400)</f>
        <v>26400</v>
      </c>
      <c r="H2171" s="2">
        <f ca="1">IFERROR(__xludf.DUMMYFUNCTION("""COMPUTED_VALUE"""),31000)</f>
        <v>31000</v>
      </c>
      <c r="I2171" s="2"/>
      <c r="J2171" s="2"/>
      <c r="K2171" s="2" t="str">
        <f ca="1">IFERROR(__xludf.DUMMYFUNCTION("""COMPUTED_VALUE"""),"2do Trasiego")</f>
        <v>2do Trasiego</v>
      </c>
      <c r="L2171" s="2" t="str">
        <f ca="1">IFERROR(__xludf.DUMMYFUNCTION("""COMPUTED_VALUE"""),"1+")</f>
        <v>1+</v>
      </c>
      <c r="M2171" s="2" t="str">
        <f ca="1">IFERROR(__xludf.DUMMYFUNCTION("""COMPUTED_VALUE"""),"Tinto")</f>
        <v>Tinto</v>
      </c>
    </row>
    <row r="2172" spans="1:13" x14ac:dyDescent="0.25">
      <c r="A2172" s="2" t="str">
        <f ca="1">IFERROR(__xludf.DUMMYFUNCTION("""COMPUTED_VALUE"""),"478b2484")</f>
        <v>478b2484</v>
      </c>
      <c r="B2172" s="2"/>
      <c r="C2172" s="5">
        <f ca="1">IFERROR(__xludf.DUMMYFUNCTION("""COMPUTED_VALUE"""),46190.4356018518)</f>
        <v>46190.435601851801</v>
      </c>
      <c r="D2172" s="2">
        <f ca="1">IFERROR(__xludf.DUMMYFUNCTION("""COMPUTED_VALUE"""),500)</f>
        <v>500</v>
      </c>
      <c r="E2172" s="2">
        <f ca="1">IFERROR(__xludf.DUMMYFUNCTION("""COMPUTED_VALUE"""),200000)</f>
        <v>200000</v>
      </c>
      <c r="F2172" s="2" t="str">
        <f ca="1">IFERROR(__xludf.DUMMYFUNCTION("""COMPUTED_VALUE"""),"Ajuste Cosecha 2026")</f>
        <v>Ajuste Cosecha 2026</v>
      </c>
      <c r="G2172" s="2"/>
      <c r="H2172" s="2">
        <f ca="1">IFERROR(__xludf.DUMMYFUNCTION("""COMPUTED_VALUE"""),34100)</f>
        <v>34100</v>
      </c>
      <c r="I2172" s="2"/>
      <c r="J2172" s="2"/>
      <c r="K2172" s="2" t="str">
        <f ca="1">IFERROR(__xludf.DUMMYFUNCTION("""COMPUTED_VALUE"""),"Terminado")</f>
        <v>Terminado</v>
      </c>
      <c r="L2172" s="2"/>
      <c r="M2172" s="2" t="str">
        <f ca="1">IFERROR(__xludf.DUMMYFUNCTION("""COMPUTED_VALUE"""),"Tinto")</f>
        <v>Tinto</v>
      </c>
    </row>
    <row r="2173" spans="1:13" x14ac:dyDescent="0.25">
      <c r="A2173" s="2" t="str">
        <f ca="1">IFERROR(__xludf.DUMMYFUNCTION("""COMPUTED_VALUE"""),"5ea05cac")</f>
        <v>5ea05cac</v>
      </c>
      <c r="B2173" s="2"/>
      <c r="C2173" s="5">
        <f ca="1">IFERROR(__xludf.DUMMYFUNCTION("""COMPUTED_VALUE"""),46190.438449074)</f>
        <v>46190.438449073998</v>
      </c>
      <c r="D2173" s="2">
        <f ca="1">IFERROR(__xludf.DUMMYFUNCTION("""COMPUTED_VALUE"""),74)</f>
        <v>74</v>
      </c>
      <c r="E2173" s="2">
        <f ca="1">IFERROR(__xludf.DUMMYFUNCTION("""COMPUTED_VALUE"""),13000)</f>
        <v>13000</v>
      </c>
      <c r="F2173" s="2" t="str">
        <f ca="1">IFERROR(__xludf.DUMMYFUNCTION("""COMPUTED_VALUE"""),"Borra")</f>
        <v>Borra</v>
      </c>
      <c r="G2173" s="2">
        <f ca="1">IFERROR(__xludf.DUMMYFUNCTION("""COMPUTED_VALUE"""),11900)</f>
        <v>11900</v>
      </c>
      <c r="H2173" s="2">
        <f ca="1">IFERROR(__xludf.DUMMYFUNCTION("""COMPUTED_VALUE"""),13000)</f>
        <v>13000</v>
      </c>
      <c r="I2173" s="2"/>
      <c r="J2173" s="2"/>
      <c r="K2173" s="2" t="str">
        <f ca="1">IFERROR(__xludf.DUMMYFUNCTION("""COMPUTED_VALUE"""),"1er Trasiego")</f>
        <v>1er Trasiego</v>
      </c>
      <c r="L2173" s="2"/>
      <c r="M2173" s="2" t="str">
        <f ca="1">IFERROR(__xludf.DUMMYFUNCTION("""COMPUTED_VALUE"""),"Tinto")</f>
        <v>Tinto</v>
      </c>
    </row>
    <row r="2174" spans="1:13" x14ac:dyDescent="0.25">
      <c r="A2174" s="2" t="str">
        <f ca="1">IFERROR(__xludf.DUMMYFUNCTION("""COMPUTED_VALUE"""),"98cab2b3")</f>
        <v>98cab2b3</v>
      </c>
      <c r="B2174" s="2"/>
      <c r="C2174" s="5">
        <f ca="1">IFERROR(__xludf.DUMMYFUNCTION("""COMPUTED_VALUE"""),46190.443287037)</f>
        <v>46190.443287037</v>
      </c>
      <c r="D2174" s="2">
        <f ca="1">IFERROR(__xludf.DUMMYFUNCTION("""COMPUTED_VALUE"""),500)</f>
        <v>500</v>
      </c>
      <c r="E2174" s="2">
        <f ca="1">IFERROR(__xludf.DUMMYFUNCTION("""COMPUTED_VALUE"""),200000)</f>
        <v>200000</v>
      </c>
      <c r="F2174" s="2" t="str">
        <f ca="1">IFERROR(__xludf.DUMMYFUNCTION("""COMPUTED_VALUE"""),"Ajuste Cosecha 2026")</f>
        <v>Ajuste Cosecha 2026</v>
      </c>
      <c r="G2174" s="2">
        <f ca="1">IFERROR(__xludf.DUMMYFUNCTION("""COMPUTED_VALUE"""),34100)</f>
        <v>34100</v>
      </c>
      <c r="H2174" s="2">
        <f ca="1">IFERROR(__xludf.DUMMYFUNCTION("""COMPUTED_VALUE"""),36600)</f>
        <v>36600</v>
      </c>
      <c r="I2174" s="2"/>
      <c r="J2174" s="2"/>
      <c r="K2174" s="2" t="str">
        <f ca="1">IFERROR(__xludf.DUMMYFUNCTION("""COMPUTED_VALUE"""),"Terminado")</f>
        <v>Terminado</v>
      </c>
      <c r="L2174" s="2"/>
      <c r="M2174" s="2" t="str">
        <f ca="1">IFERROR(__xludf.DUMMYFUNCTION("""COMPUTED_VALUE"""),"Tinto")</f>
        <v>Tinto</v>
      </c>
    </row>
    <row r="2175" spans="1:13" x14ac:dyDescent="0.25">
      <c r="A2175" s="2" t="str">
        <f ca="1">IFERROR(__xludf.DUMMYFUNCTION("""COMPUTED_VALUE"""),"bcb166f7")</f>
        <v>bcb166f7</v>
      </c>
      <c r="B2175" s="2"/>
      <c r="C2175" s="5">
        <f ca="1">IFERROR(__xludf.DUMMYFUNCTION("""COMPUTED_VALUE"""),46190.445162037)</f>
        <v>46190.445162037002</v>
      </c>
      <c r="D2175" s="2">
        <f ca="1">IFERROR(__xludf.DUMMYFUNCTION("""COMPUTED_VALUE"""),500)</f>
        <v>500</v>
      </c>
      <c r="E2175" s="2">
        <f ca="1">IFERROR(__xludf.DUMMYFUNCTION("""COMPUTED_VALUE"""),200000)</f>
        <v>200000</v>
      </c>
      <c r="F2175" s="2" t="str">
        <f ca="1">IFERROR(__xludf.DUMMYFUNCTION("""COMPUTED_VALUE"""),"Ajuste Cosecha 2026")</f>
        <v>Ajuste Cosecha 2026</v>
      </c>
      <c r="G2175" s="2">
        <f ca="1">IFERROR(__xludf.DUMMYFUNCTION("""COMPUTED_VALUE"""),36600)</f>
        <v>36600</v>
      </c>
      <c r="H2175" s="2">
        <f ca="1">IFERROR(__xludf.DUMMYFUNCTION("""COMPUTED_VALUE"""),39100)</f>
        <v>39100</v>
      </c>
      <c r="I2175" s="2"/>
      <c r="J2175" s="2"/>
      <c r="K2175" s="2" t="str">
        <f ca="1">IFERROR(__xludf.DUMMYFUNCTION("""COMPUTED_VALUE"""),"Terminado")</f>
        <v>Terminado</v>
      </c>
      <c r="L2175" s="2"/>
      <c r="M2175" s="2" t="str">
        <f ca="1">IFERROR(__xludf.DUMMYFUNCTION("""COMPUTED_VALUE"""),"Tinto")</f>
        <v>Tinto</v>
      </c>
    </row>
    <row r="2176" spans="1:13" x14ac:dyDescent="0.25">
      <c r="A2176" s="2" t="str">
        <f ca="1">IFERROR(__xludf.DUMMYFUNCTION("""COMPUTED_VALUE"""),"afbb5926")</f>
        <v>afbb5926</v>
      </c>
      <c r="B2176" s="2"/>
      <c r="C2176" s="5">
        <f ca="1">IFERROR(__xludf.DUMMYFUNCTION("""COMPUTED_VALUE"""),46190.4966087962)</f>
        <v>46190.496608796297</v>
      </c>
      <c r="D2176" s="2">
        <f ca="1">IFERROR(__xludf.DUMMYFUNCTION("""COMPUTED_VALUE"""),500)</f>
        <v>500</v>
      </c>
      <c r="E2176" s="2">
        <f ca="1">IFERROR(__xludf.DUMMYFUNCTION("""COMPUTED_VALUE"""),200000)</f>
        <v>200000</v>
      </c>
      <c r="F2176" s="2" t="str">
        <f ca="1">IFERROR(__xludf.DUMMYFUNCTION("""COMPUTED_VALUE"""),"Ajuste Cosecha 2026")</f>
        <v>Ajuste Cosecha 2026</v>
      </c>
      <c r="G2176" s="2">
        <f ca="1">IFERROR(__xludf.DUMMYFUNCTION("""COMPUTED_VALUE"""),39100)</f>
        <v>39100</v>
      </c>
      <c r="H2176" s="2">
        <f ca="1">IFERROR(__xludf.DUMMYFUNCTION("""COMPUTED_VALUE"""),50100)</f>
        <v>50100</v>
      </c>
      <c r="I2176" s="2"/>
      <c r="J2176" s="2"/>
      <c r="K2176" s="2" t="str">
        <f ca="1">IFERROR(__xludf.DUMMYFUNCTION("""COMPUTED_VALUE"""),"Terminado")</f>
        <v>Terminado</v>
      </c>
      <c r="L2176" s="2"/>
      <c r="M2176" s="2" t="str">
        <f ca="1">IFERROR(__xludf.DUMMYFUNCTION("""COMPUTED_VALUE"""),"Tinto")</f>
        <v>Tinto</v>
      </c>
    </row>
    <row r="2177" spans="1:13" x14ac:dyDescent="0.25">
      <c r="A2177" s="2" t="str">
        <f ca="1">IFERROR(__xludf.DUMMYFUNCTION("""COMPUTED_VALUE"""),"35551036")</f>
        <v>35551036</v>
      </c>
      <c r="B2177" s="2"/>
      <c r="C2177" s="5">
        <f ca="1">IFERROR(__xludf.DUMMYFUNCTION("""COMPUTED_VALUE"""),46190.4981944444)</f>
        <v>46190.498194444401</v>
      </c>
      <c r="D2177" s="2">
        <f ca="1">IFERROR(__xludf.DUMMYFUNCTION("""COMPUTED_VALUE"""),500)</f>
        <v>500</v>
      </c>
      <c r="E2177" s="2">
        <f ca="1">IFERROR(__xludf.DUMMYFUNCTION("""COMPUTED_VALUE"""),200000)</f>
        <v>200000</v>
      </c>
      <c r="F2177" s="2" t="str">
        <f ca="1">IFERROR(__xludf.DUMMYFUNCTION("""COMPUTED_VALUE"""),"Ajuste Cosecha 2026")</f>
        <v>Ajuste Cosecha 2026</v>
      </c>
      <c r="G2177" s="2">
        <f ca="1">IFERROR(__xludf.DUMMYFUNCTION("""COMPUTED_VALUE"""),50100)</f>
        <v>50100</v>
      </c>
      <c r="H2177" s="2">
        <f ca="1">IFERROR(__xludf.DUMMYFUNCTION("""COMPUTED_VALUE"""),52100)</f>
        <v>52100</v>
      </c>
      <c r="I2177" s="2"/>
      <c r="J2177" s="2"/>
      <c r="K2177" s="2" t="str">
        <f ca="1">IFERROR(__xludf.DUMMYFUNCTION("""COMPUTED_VALUE"""),"Terminado")</f>
        <v>Terminado</v>
      </c>
      <c r="L2177" s="2"/>
      <c r="M2177" s="2" t="str">
        <f ca="1">IFERROR(__xludf.DUMMYFUNCTION("""COMPUTED_VALUE"""),"Tinto")</f>
        <v>Tinto</v>
      </c>
    </row>
    <row r="2178" spans="1:13" x14ac:dyDescent="0.25">
      <c r="A2178" s="2" t="str">
        <f ca="1">IFERROR(__xludf.DUMMYFUNCTION("""COMPUTED_VALUE"""),"f2014d0d")</f>
        <v>f2014d0d</v>
      </c>
      <c r="B2178" s="2"/>
      <c r="C2178" s="5">
        <f ca="1">IFERROR(__xludf.DUMMYFUNCTION("""COMPUTED_VALUE"""),46192.0221643518)</f>
        <v>46192.022164351802</v>
      </c>
      <c r="D2178" s="2">
        <f ca="1">IFERROR(__xludf.DUMMYFUNCTION("""COMPUTED_VALUE"""),42)</f>
        <v>42</v>
      </c>
      <c r="E2178" s="2">
        <f ca="1">IFERROR(__xludf.DUMMYFUNCTION("""COMPUTED_VALUE"""),35900)</f>
        <v>35900</v>
      </c>
      <c r="F2178" s="2" t="str">
        <f ca="1">IFERROR(__xludf.DUMMYFUNCTION("""COMPUTED_VALUE"""),"Chardonnay Garbin")</f>
        <v>Chardonnay Garbin</v>
      </c>
      <c r="G2178" s="2">
        <f ca="1">IFERROR(__xludf.DUMMYFUNCTION("""COMPUTED_VALUE"""),0)</f>
        <v>0</v>
      </c>
      <c r="H2178" s="2">
        <f ca="1">IFERROR(__xludf.DUMMYFUNCTION("""COMPUTED_VALUE"""),6600)</f>
        <v>6600</v>
      </c>
      <c r="I2178" s="2"/>
      <c r="J2178" s="2"/>
      <c r="K2178" s="2" t="str">
        <f ca="1">IFERROR(__xludf.DUMMYFUNCTION("""COMPUTED_VALUE"""),"1er Trasiego")</f>
        <v>1er Trasiego</v>
      </c>
      <c r="L2178" s="2" t="str">
        <f ca="1">IFERROR(__xludf.DUMMYFUNCTION("""COMPUTED_VALUE"""),"1+")</f>
        <v>1+</v>
      </c>
      <c r="M2178" s="2" t="str">
        <f ca="1">IFERROR(__xludf.DUMMYFUNCTION("""COMPUTED_VALUE"""),"Blanco")</f>
        <v>Blanco</v>
      </c>
    </row>
    <row r="2179" spans="1:13" x14ac:dyDescent="0.25">
      <c r="A2179" s="2" t="str">
        <f ca="1">IFERROR(__xludf.DUMMYFUNCTION("""COMPUTED_VALUE"""),"308041cf")</f>
        <v>308041cf</v>
      </c>
      <c r="B2179" s="2"/>
      <c r="C2179" s="5">
        <f ca="1">IFERROR(__xludf.DUMMYFUNCTION("""COMPUTED_VALUE"""),46192.0225462963)</f>
        <v>46192.022546296299</v>
      </c>
      <c r="D2179" s="2">
        <f ca="1">IFERROR(__xludf.DUMMYFUNCTION("""COMPUTED_VALUE"""),42)</f>
        <v>42</v>
      </c>
      <c r="E2179" s="2">
        <f ca="1">IFERROR(__xludf.DUMMYFUNCTION("""COMPUTED_VALUE"""),35900)</f>
        <v>35900</v>
      </c>
      <c r="F2179" s="2" t="str">
        <f ca="1">IFERROR(__xludf.DUMMYFUNCTION("""COMPUTED_VALUE"""),"Chardonnay Garbin")</f>
        <v>Chardonnay Garbin</v>
      </c>
      <c r="G2179" s="2">
        <f ca="1">IFERROR(__xludf.DUMMYFUNCTION("""COMPUTED_VALUE"""),6600)</f>
        <v>6600</v>
      </c>
      <c r="H2179" s="2">
        <f ca="1">IFERROR(__xludf.DUMMYFUNCTION("""COMPUTED_VALUE"""),12300)</f>
        <v>12300</v>
      </c>
      <c r="I2179" s="2"/>
      <c r="J2179" s="2"/>
      <c r="K2179" s="2" t="str">
        <f ca="1">IFERROR(__xludf.DUMMYFUNCTION("""COMPUTED_VALUE"""),"1er Trasiego")</f>
        <v>1er Trasiego</v>
      </c>
      <c r="L2179" s="2" t="str">
        <f ca="1">IFERROR(__xludf.DUMMYFUNCTION("""COMPUTED_VALUE"""),"1+")</f>
        <v>1+</v>
      </c>
      <c r="M2179" s="2" t="str">
        <f ca="1">IFERROR(__xludf.DUMMYFUNCTION("""COMPUTED_VALUE"""),"Blanco")</f>
        <v>Blanco</v>
      </c>
    </row>
    <row r="2180" spans="1:13" x14ac:dyDescent="0.25">
      <c r="A2180" s="2" t="str">
        <f ca="1">IFERROR(__xludf.DUMMYFUNCTION("""COMPUTED_VALUE"""),"8f4eea17")</f>
        <v>8f4eea17</v>
      </c>
      <c r="B2180" s="2"/>
      <c r="C2180" s="5">
        <f ca="1">IFERROR(__xludf.DUMMYFUNCTION("""COMPUTED_VALUE"""),46192.0230671296)</f>
        <v>46192.023067129601</v>
      </c>
      <c r="D2180" s="2">
        <f ca="1">IFERROR(__xludf.DUMMYFUNCTION("""COMPUTED_VALUE"""),42)</f>
        <v>42</v>
      </c>
      <c r="E2180" s="2">
        <f ca="1">IFERROR(__xludf.DUMMYFUNCTION("""COMPUTED_VALUE"""),35900)</f>
        <v>35900</v>
      </c>
      <c r="F2180" s="2" t="str">
        <f ca="1">IFERROR(__xludf.DUMMYFUNCTION("""COMPUTED_VALUE"""),"Chardonnay Garbin")</f>
        <v>Chardonnay Garbin</v>
      </c>
      <c r="G2180" s="2">
        <f ca="1">IFERROR(__xludf.DUMMYFUNCTION("""COMPUTED_VALUE"""),12300)</f>
        <v>12300</v>
      </c>
      <c r="H2180" s="2">
        <f ca="1">IFERROR(__xludf.DUMMYFUNCTION("""COMPUTED_VALUE"""),16200)</f>
        <v>16200</v>
      </c>
      <c r="I2180" s="2"/>
      <c r="J2180" s="2"/>
      <c r="K2180" s="2" t="str">
        <f ca="1">IFERROR(__xludf.DUMMYFUNCTION("""COMPUTED_VALUE"""),"1er Trasiego")</f>
        <v>1er Trasiego</v>
      </c>
      <c r="L2180" s="2" t="str">
        <f ca="1">IFERROR(__xludf.DUMMYFUNCTION("""COMPUTED_VALUE"""),"1+")</f>
        <v>1+</v>
      </c>
      <c r="M2180" s="2" t="str">
        <f ca="1">IFERROR(__xludf.DUMMYFUNCTION("""COMPUTED_VALUE"""),"Blanco")</f>
        <v>Blanco</v>
      </c>
    </row>
    <row r="2181" spans="1:13" x14ac:dyDescent="0.25">
      <c r="A2181" s="2" t="str">
        <f ca="1">IFERROR(__xludf.DUMMYFUNCTION("""COMPUTED_VALUE"""),"db67dc4e")</f>
        <v>db67dc4e</v>
      </c>
      <c r="B2181" s="2"/>
      <c r="C2181" s="5">
        <f ca="1">IFERROR(__xludf.DUMMYFUNCTION("""COMPUTED_VALUE"""),46192.0234606481)</f>
        <v>46192.023460648103</v>
      </c>
      <c r="D2181" s="2">
        <f ca="1">IFERROR(__xludf.DUMMYFUNCTION("""COMPUTED_VALUE"""),42)</f>
        <v>42</v>
      </c>
      <c r="E2181" s="2">
        <f ca="1">IFERROR(__xludf.DUMMYFUNCTION("""COMPUTED_VALUE"""),35900)</f>
        <v>35900</v>
      </c>
      <c r="F2181" s="2" t="str">
        <f ca="1">IFERROR(__xludf.DUMMYFUNCTION("""COMPUTED_VALUE"""),"Chardonnay Garbin")</f>
        <v>Chardonnay Garbin</v>
      </c>
      <c r="G2181" s="2">
        <f ca="1">IFERROR(__xludf.DUMMYFUNCTION("""COMPUTED_VALUE"""),16200)</f>
        <v>16200</v>
      </c>
      <c r="H2181" s="2">
        <f ca="1">IFERROR(__xludf.DUMMYFUNCTION("""COMPUTED_VALUE"""),27800)</f>
        <v>27800</v>
      </c>
      <c r="I2181" s="2"/>
      <c r="J2181" s="2"/>
      <c r="K2181" s="2" t="str">
        <f ca="1">IFERROR(__xludf.DUMMYFUNCTION("""COMPUTED_VALUE"""),"1er Trasiego")</f>
        <v>1er Trasiego</v>
      </c>
      <c r="L2181" s="2" t="str">
        <f ca="1">IFERROR(__xludf.DUMMYFUNCTION("""COMPUTED_VALUE"""),"1+")</f>
        <v>1+</v>
      </c>
      <c r="M2181" s="2" t="str">
        <f ca="1">IFERROR(__xludf.DUMMYFUNCTION("""COMPUTED_VALUE"""),"Blanco")</f>
        <v>Blanco</v>
      </c>
    </row>
    <row r="2182" spans="1:13" x14ac:dyDescent="0.25">
      <c r="A2182" s="2" t="str">
        <f ca="1">IFERROR(__xludf.DUMMYFUNCTION("""COMPUTED_VALUE"""),"3dfdda7a")</f>
        <v>3dfdda7a</v>
      </c>
      <c r="B2182" s="2"/>
      <c r="C2182" s="5">
        <f ca="1">IFERROR(__xludf.DUMMYFUNCTION("""COMPUTED_VALUE"""),46192.0238541666)</f>
        <v>46192.023854166597</v>
      </c>
      <c r="D2182" s="2">
        <f ca="1">IFERROR(__xludf.DUMMYFUNCTION("""COMPUTED_VALUE"""),42)</f>
        <v>42</v>
      </c>
      <c r="E2182" s="2">
        <f ca="1">IFERROR(__xludf.DUMMYFUNCTION("""COMPUTED_VALUE"""),35900)</f>
        <v>35900</v>
      </c>
      <c r="F2182" s="2" t="str">
        <f ca="1">IFERROR(__xludf.DUMMYFUNCTION("""COMPUTED_VALUE"""),"Chardonnay Garbin")</f>
        <v>Chardonnay Garbin</v>
      </c>
      <c r="G2182" s="2">
        <f ca="1">IFERROR(__xludf.DUMMYFUNCTION("""COMPUTED_VALUE"""),27800)</f>
        <v>27800</v>
      </c>
      <c r="H2182" s="2">
        <f ca="1">IFERROR(__xludf.DUMMYFUNCTION("""COMPUTED_VALUE"""),35900)</f>
        <v>35900</v>
      </c>
      <c r="I2182" s="2"/>
      <c r="J2182" s="2"/>
      <c r="K2182" s="2" t="str">
        <f ca="1">IFERROR(__xludf.DUMMYFUNCTION("""COMPUTED_VALUE"""),"1er Trasiego")</f>
        <v>1er Trasiego</v>
      </c>
      <c r="L2182" s="2" t="str">
        <f ca="1">IFERROR(__xludf.DUMMYFUNCTION("""COMPUTED_VALUE"""),"1+")</f>
        <v>1+</v>
      </c>
      <c r="M2182" s="2" t="str">
        <f ca="1">IFERROR(__xludf.DUMMYFUNCTION("""COMPUTED_VALUE"""),"Blanco")</f>
        <v>Blanco</v>
      </c>
    </row>
    <row r="2183" spans="1:13" x14ac:dyDescent="0.25">
      <c r="A2183" s="2" t="str">
        <f ca="1">IFERROR(__xludf.DUMMYFUNCTION("""COMPUTED_VALUE"""),"c5e0ac28")</f>
        <v>c5e0ac28</v>
      </c>
      <c r="B2183" s="2"/>
      <c r="C2183" s="5">
        <f ca="1">IFERROR(__xludf.DUMMYFUNCTION("""COMPUTED_VALUE"""),46192.0242824074)</f>
        <v>46192.024282407401</v>
      </c>
      <c r="D2183" s="2">
        <f ca="1">IFERROR(__xludf.DUMMYFUNCTION("""COMPUTED_VALUE"""),44)</f>
        <v>44</v>
      </c>
      <c r="E2183" s="2">
        <f ca="1">IFERROR(__xludf.DUMMYFUNCTION("""COMPUTED_VALUE"""),19100)</f>
        <v>19100</v>
      </c>
      <c r="F2183" s="2" t="str">
        <f ca="1">IFERROR(__xludf.DUMMYFUNCTION("""COMPUTED_VALUE"""),"Chardonnay")</f>
        <v>Chardonnay</v>
      </c>
      <c r="G2183" s="2">
        <f ca="1">IFERROR(__xludf.DUMMYFUNCTION("""COMPUTED_VALUE"""),13400)</f>
        <v>13400</v>
      </c>
      <c r="H2183" s="2">
        <f ca="1">IFERROR(__xludf.DUMMYFUNCTION("""COMPUTED_VALUE"""),19900)</f>
        <v>19900</v>
      </c>
      <c r="I2183" s="2"/>
      <c r="J2183" s="2"/>
      <c r="K2183" s="2" t="str">
        <f ca="1">IFERROR(__xludf.DUMMYFUNCTION("""COMPUTED_VALUE"""),"1er Trasiego")</f>
        <v>1er Trasiego</v>
      </c>
      <c r="L2183" s="2" t="str">
        <f ca="1">IFERROR(__xludf.DUMMYFUNCTION("""COMPUTED_VALUE"""),"1")</f>
        <v>1</v>
      </c>
      <c r="M2183" s="2" t="str">
        <f ca="1">IFERROR(__xludf.DUMMYFUNCTION("""COMPUTED_VALUE"""),"Blanco")</f>
        <v>Blanco</v>
      </c>
    </row>
    <row r="2184" spans="1:13" x14ac:dyDescent="0.25">
      <c r="A2184" s="2" t="str">
        <f ca="1">IFERROR(__xludf.DUMMYFUNCTION("""COMPUTED_VALUE"""),"1f155a03")</f>
        <v>1f155a03</v>
      </c>
      <c r="B2184" s="2"/>
      <c r="C2184" s="5">
        <f ca="1">IFERROR(__xludf.DUMMYFUNCTION("""COMPUTED_VALUE"""),46192.0246180555)</f>
        <v>46192.024618055497</v>
      </c>
      <c r="D2184" s="2">
        <f ca="1">IFERROR(__xludf.DUMMYFUNCTION("""COMPUTED_VALUE"""),42)</f>
        <v>42</v>
      </c>
      <c r="E2184" s="2">
        <f ca="1">IFERROR(__xludf.DUMMYFUNCTION("""COMPUTED_VALUE"""),35900)</f>
        <v>35900</v>
      </c>
      <c r="F2184" s="2" t="str">
        <f ca="1">IFERROR(__xludf.DUMMYFUNCTION("""COMPUTED_VALUE"""),"Chardonnay Garbin")</f>
        <v>Chardonnay Garbin</v>
      </c>
      <c r="G2184" s="2">
        <f ca="1">IFERROR(__xludf.DUMMYFUNCTION("""COMPUTED_VALUE"""),29400)</f>
        <v>29400</v>
      </c>
      <c r="H2184" s="2">
        <f ca="1">IFERROR(__xludf.DUMMYFUNCTION("""COMPUTED_VALUE"""),35900)</f>
        <v>35900</v>
      </c>
      <c r="I2184" s="2"/>
      <c r="J2184" s="2"/>
      <c r="K2184" s="2" t="str">
        <f ca="1">IFERROR(__xludf.DUMMYFUNCTION("""COMPUTED_VALUE"""),"1er Trasiego")</f>
        <v>1er Trasiego</v>
      </c>
      <c r="L2184" s="2" t="str">
        <f ca="1">IFERROR(__xludf.DUMMYFUNCTION("""COMPUTED_VALUE"""),"1+")</f>
        <v>1+</v>
      </c>
      <c r="M2184" s="2" t="str">
        <f ca="1">IFERROR(__xludf.DUMMYFUNCTION("""COMPUTED_VALUE"""),"Blanco")</f>
        <v>Blanco</v>
      </c>
    </row>
    <row r="2185" spans="1:13" x14ac:dyDescent="0.25">
      <c r="A2185" s="2" t="str">
        <f ca="1">IFERROR(__xludf.DUMMYFUNCTION("""COMPUTED_VALUE"""),"0edc9fce")</f>
        <v>0edc9fce</v>
      </c>
      <c r="B2185" s="2"/>
      <c r="C2185" s="5">
        <f ca="1">IFERROR(__xludf.DUMMYFUNCTION("""COMPUTED_VALUE"""),46192.0254976851)</f>
        <v>46192.025497685099</v>
      </c>
      <c r="D2185" s="2">
        <f ca="1">IFERROR(__xludf.DUMMYFUNCTION("""COMPUTED_VALUE"""),11)</f>
        <v>11</v>
      </c>
      <c r="E2185" s="2">
        <f ca="1">IFERROR(__xludf.DUMMYFUNCTION("""COMPUTED_VALUE"""),36000)</f>
        <v>36000</v>
      </c>
      <c r="F2185" s="2" t="str">
        <f ca="1">IFERROR(__xludf.DUMMYFUNCTION("""COMPUTED_VALUE"""),"Criolla Recarga Rect")</f>
        <v>Criolla Recarga Rect</v>
      </c>
      <c r="G2185" s="2">
        <f ca="1">IFERROR(__xludf.DUMMYFUNCTION("""COMPUTED_VALUE"""),0)</f>
        <v>0</v>
      </c>
      <c r="H2185" s="2">
        <f ca="1">IFERROR(__xludf.DUMMYFUNCTION("""COMPUTED_VALUE"""),10000)</f>
        <v>10000</v>
      </c>
      <c r="I2185" s="2"/>
      <c r="J2185" s="2"/>
      <c r="K2185" s="2" t="str">
        <f ca="1">IFERROR(__xludf.DUMMYFUNCTION("""COMPUTED_VALUE"""),"Rectificado")</f>
        <v>Rectificado</v>
      </c>
      <c r="L2185" s="2" t="str">
        <f ca="1">IFERROR(__xludf.DUMMYFUNCTION("""COMPUTED_VALUE"""),"1-")</f>
        <v>1-</v>
      </c>
      <c r="M2185" s="2" t="str">
        <f ca="1">IFERROR(__xludf.DUMMYFUNCTION("""COMPUTED_VALUE"""),"Tinto")</f>
        <v>Tinto</v>
      </c>
    </row>
    <row r="2186" spans="1:13" x14ac:dyDescent="0.25">
      <c r="A2186" s="2" t="str">
        <f ca="1">IFERROR(__xludf.DUMMYFUNCTION("""COMPUTED_VALUE"""),"2720809e")</f>
        <v>2720809e</v>
      </c>
      <c r="B2186" s="2"/>
      <c r="C2186" s="5">
        <f ca="1">IFERROR(__xludf.DUMMYFUNCTION("""COMPUTED_VALUE"""),46195.3753009259)</f>
        <v>46195.375300925902</v>
      </c>
      <c r="D2186" s="2">
        <f ca="1">IFERROR(__xludf.DUMMYFUNCTION("""COMPUTED_VALUE"""),500)</f>
        <v>500</v>
      </c>
      <c r="E2186" s="2">
        <f ca="1">IFERROR(__xludf.DUMMYFUNCTION("""COMPUTED_VALUE"""),200000)</f>
        <v>200000</v>
      </c>
      <c r="F2186" s="2" t="str">
        <f ca="1">IFERROR(__xludf.DUMMYFUNCTION("""COMPUTED_VALUE"""),"Ajuste Cosecha 2026")</f>
        <v>Ajuste Cosecha 2026</v>
      </c>
      <c r="G2186" s="2">
        <f ca="1">IFERROR(__xludf.DUMMYFUNCTION("""COMPUTED_VALUE"""),52100)</f>
        <v>52100</v>
      </c>
      <c r="H2186" s="2">
        <f ca="1">IFERROR(__xludf.DUMMYFUNCTION("""COMPUTED_VALUE"""),52900)</f>
        <v>52900</v>
      </c>
      <c r="I2186" s="2"/>
      <c r="J2186" s="2"/>
      <c r="K2186" s="2" t="str">
        <f ca="1">IFERROR(__xludf.DUMMYFUNCTION("""COMPUTED_VALUE"""),"Terminado")</f>
        <v>Terminado</v>
      </c>
      <c r="L2186" s="2"/>
      <c r="M2186" s="2" t="str">
        <f ca="1">IFERROR(__xludf.DUMMYFUNCTION("""COMPUTED_VALUE"""),"Tinto")</f>
        <v>Tinto</v>
      </c>
    </row>
    <row r="2187" spans="1:13" x14ac:dyDescent="0.25">
      <c r="A2187" s="2" t="str">
        <f ca="1">IFERROR(__xludf.DUMMYFUNCTION("""COMPUTED_VALUE"""),"95e8ea4a")</f>
        <v>95e8ea4a</v>
      </c>
      <c r="B2187" s="2"/>
      <c r="C2187" s="5">
        <f ca="1">IFERROR(__xludf.DUMMYFUNCTION("""COMPUTED_VALUE"""),46195.3872222222)</f>
        <v>46195.387222222198</v>
      </c>
      <c r="D2187" s="2">
        <f ca="1">IFERROR(__xludf.DUMMYFUNCTION("""COMPUTED_VALUE"""),95)</f>
        <v>95</v>
      </c>
      <c r="E2187" s="2">
        <f ca="1">IFERROR(__xludf.DUMMYFUNCTION("""COMPUTED_VALUE"""),77100)</f>
        <v>77100</v>
      </c>
      <c r="F2187" s="2" t="str">
        <f ca="1">IFERROR(__xludf.DUMMYFUNCTION("""COMPUTED_VALUE"""),"Criolla Recarga")</f>
        <v>Criolla Recarga</v>
      </c>
      <c r="G2187" s="2">
        <f ca="1">IFERROR(__xludf.DUMMYFUNCTION("""COMPUTED_VALUE"""),67100)</f>
        <v>67100</v>
      </c>
      <c r="H2187" s="2">
        <f ca="1">IFERROR(__xludf.DUMMYFUNCTION("""COMPUTED_VALUE"""),77100)</f>
        <v>77100</v>
      </c>
      <c r="I2187" s="2"/>
      <c r="J2187" s="2"/>
      <c r="K2187" s="2" t="str">
        <f ca="1">IFERROR(__xludf.DUMMYFUNCTION("""COMPUTED_VALUE"""),"1er Trasiego")</f>
        <v>1er Trasiego</v>
      </c>
      <c r="L2187" s="2" t="str">
        <f ca="1">IFERROR(__xludf.DUMMYFUNCTION("""COMPUTED_VALUE"""),"1-")</f>
        <v>1-</v>
      </c>
      <c r="M2187" s="2" t="str">
        <f ca="1">IFERROR(__xludf.DUMMYFUNCTION("""COMPUTED_VALUE"""),"Tinto")</f>
        <v>Tinto</v>
      </c>
    </row>
    <row r="2188" spans="1:13" x14ac:dyDescent="0.25">
      <c r="A2188" s="2" t="str">
        <f ca="1">IFERROR(__xludf.DUMMYFUNCTION("""COMPUTED_VALUE"""),"ef66d2ab")</f>
        <v>ef66d2ab</v>
      </c>
      <c r="B2188" s="2"/>
      <c r="C2188" s="5">
        <f ca="1">IFERROR(__xludf.DUMMYFUNCTION("""COMPUTED_VALUE"""),46197.7019444444)</f>
        <v>46197.701944444401</v>
      </c>
      <c r="D2188" s="2">
        <f ca="1">IFERROR(__xludf.DUMMYFUNCTION("""COMPUTED_VALUE"""),127)</f>
        <v>127</v>
      </c>
      <c r="E2188" s="2">
        <f ca="1">IFERROR(__xludf.DUMMYFUNCTION("""COMPUTED_VALUE"""),31000)</f>
        <v>31000</v>
      </c>
      <c r="F2188" s="2" t="str">
        <f ca="1">IFERROR(__xludf.DUMMYFUNCTION("""COMPUTED_VALUE"""),"Malbec")</f>
        <v>Malbec</v>
      </c>
      <c r="G2188" s="2">
        <f ca="1">IFERROR(__xludf.DUMMYFUNCTION("""COMPUTED_VALUE"""),29000)</f>
        <v>29000</v>
      </c>
      <c r="H2188" s="2">
        <f ca="1">IFERROR(__xludf.DUMMYFUNCTION("""COMPUTED_VALUE"""),31000)</f>
        <v>31000</v>
      </c>
      <c r="I2188" s="2"/>
      <c r="J2188" s="2"/>
      <c r="K2188" s="2" t="str">
        <f ca="1">IFERROR(__xludf.DUMMYFUNCTION("""COMPUTED_VALUE"""),"Terminado")</f>
        <v>Terminado</v>
      </c>
      <c r="L2188" s="2" t="str">
        <f ca="1">IFERROR(__xludf.DUMMYFUNCTION("""COMPUTED_VALUE"""),"1")</f>
        <v>1</v>
      </c>
      <c r="M2188" s="2" t="str">
        <f ca="1">IFERROR(__xludf.DUMMYFUNCTION("""COMPUTED_VALUE"""),"Tinto")</f>
        <v>Tinto</v>
      </c>
    </row>
    <row r="2189" spans="1:13" x14ac:dyDescent="0.25">
      <c r="A2189" s="2" t="str">
        <f ca="1">IFERROR(__xludf.DUMMYFUNCTION("""COMPUTED_VALUE"""),"a019731e")</f>
        <v>a019731e</v>
      </c>
      <c r="B2189" s="2"/>
      <c r="C2189" s="5">
        <f ca="1">IFERROR(__xludf.DUMMYFUNCTION("""COMPUTED_VALUE"""),46197.7070486111)</f>
        <v>46197.707048611097</v>
      </c>
      <c r="D2189" s="2"/>
      <c r="E2189" s="2"/>
      <c r="F2189" s="2" t="str">
        <f ca="1">IFERROR(__xludf.DUMMYFUNCTION("""COMPUTED_VALUE"""),"Chardonnay Garbin")</f>
        <v>Chardonnay Garbin</v>
      </c>
      <c r="G2189" s="2"/>
      <c r="H2189" s="2">
        <f ca="1">IFERROR(__xludf.DUMMYFUNCTION("""COMPUTED_VALUE"""),30000)</f>
        <v>30000</v>
      </c>
      <c r="I2189" s="2"/>
      <c r="J2189" s="2"/>
      <c r="K2189" s="2" t="str">
        <f ca="1">IFERROR(__xludf.DUMMYFUNCTION("""COMPUTED_VALUE"""),"Traslado Venta")</f>
        <v>Traslado Venta</v>
      </c>
      <c r="L2189" s="2" t="str">
        <f ca="1">IFERROR(__xludf.DUMMYFUNCTION("""COMPUTED_VALUE"""),"1+")</f>
        <v>1+</v>
      </c>
      <c r="M2189" s="2" t="str">
        <f ca="1">IFERROR(__xludf.DUMMYFUNCTION("""COMPUTED_VALUE"""),"Blanco")</f>
        <v>Blanco</v>
      </c>
    </row>
    <row r="2190" spans="1:13" x14ac:dyDescent="0.25">
      <c r="A2190" s="2" t="str">
        <f ca="1">IFERROR(__xludf.DUMMYFUNCTION("""COMPUTED_VALUE"""),"e6c604f0")</f>
        <v>e6c604f0</v>
      </c>
      <c r="B2190" s="2"/>
      <c r="C2190" s="5">
        <f ca="1">IFERROR(__xludf.DUMMYFUNCTION("""COMPUTED_VALUE"""),46197.7078819444)</f>
        <v>46197.7078819444</v>
      </c>
      <c r="D2190" s="2"/>
      <c r="E2190" s="2"/>
      <c r="F2190" s="2" t="str">
        <f ca="1">IFERROR(__xludf.DUMMYFUNCTION("""COMPUTED_VALUE"""),"Malbec despacho")</f>
        <v>Malbec despacho</v>
      </c>
      <c r="G2190" s="2"/>
      <c r="H2190" s="2">
        <f ca="1">IFERROR(__xludf.DUMMYFUNCTION("""COMPUTED_VALUE"""),2000)</f>
        <v>2000</v>
      </c>
      <c r="I2190" s="2"/>
      <c r="J2190" s="2"/>
      <c r="K2190" s="2" t="str">
        <f ca="1">IFERROR(__xludf.DUMMYFUNCTION("""COMPUTED_VALUE"""),"Traslado Venta")</f>
        <v>Traslado Venta</v>
      </c>
      <c r="L2190" s="2" t="str">
        <f ca="1">IFERROR(__xludf.DUMMYFUNCTION("""COMPUTED_VALUE"""),"1-")</f>
        <v>1-</v>
      </c>
      <c r="M2190" s="2" t="str">
        <f ca="1">IFERROR(__xludf.DUMMYFUNCTION("""COMPUTED_VALUE"""),"Tinto")</f>
        <v>Tinto</v>
      </c>
    </row>
    <row r="2191" spans="1:13" x14ac:dyDescent="0.25">
      <c r="A2191" s="2" t="str">
        <f ca="1">IFERROR(__xludf.DUMMYFUNCTION("""COMPUTED_VALUE"""),"d54ea7b2")</f>
        <v>d54ea7b2</v>
      </c>
      <c r="B2191" s="2"/>
      <c r="C2191" s="5">
        <f ca="1">IFERROR(__xludf.DUMMYFUNCTION("""COMPUTED_VALUE"""),46197.7084143518)</f>
        <v>46197.7084143518</v>
      </c>
      <c r="D2191" s="2"/>
      <c r="E2191" s="2"/>
      <c r="F2191" s="2"/>
      <c r="G2191" s="2"/>
      <c r="H2191" s="2">
        <f ca="1">IFERROR(__xludf.DUMMYFUNCTION("""COMPUTED_VALUE"""),1100)</f>
        <v>1100</v>
      </c>
      <c r="I2191" s="2"/>
      <c r="J2191" s="2"/>
      <c r="K2191" s="2"/>
      <c r="L2191" s="2"/>
      <c r="M2191" s="2"/>
    </row>
    <row r="2192" spans="1:13" x14ac:dyDescent="0.25">
      <c r="A2192" s="2" t="str">
        <f ca="1">IFERROR(__xludf.DUMMYFUNCTION("""COMPUTED_VALUE"""),"e501716c")</f>
        <v>e501716c</v>
      </c>
      <c r="B2192" s="2"/>
      <c r="C2192" s="5">
        <f ca="1">IFERROR(__xludf.DUMMYFUNCTION("""COMPUTED_VALUE"""),46197.708912037)</f>
        <v>46197.708912037</v>
      </c>
      <c r="D2192" s="2">
        <f ca="1">IFERROR(__xludf.DUMMYFUNCTION("""COMPUTED_VALUE"""),50)</f>
        <v>50</v>
      </c>
      <c r="E2192" s="2">
        <f ca="1">IFERROR(__xludf.DUMMYFUNCTION("""COMPUTED_VALUE"""),5100)</f>
        <v>5100</v>
      </c>
      <c r="F2192" s="2" t="str">
        <f ca="1">IFERROR(__xludf.DUMMYFUNCTION("""COMPUTED_VALUE"""),"Chardonnay Garbin")</f>
        <v>Chardonnay Garbin</v>
      </c>
      <c r="G2192" s="2">
        <f ca="1">IFERROR(__xludf.DUMMYFUNCTION("""COMPUTED_VALUE"""),0)</f>
        <v>0</v>
      </c>
      <c r="H2192" s="2">
        <f ca="1">IFERROR(__xludf.DUMMYFUNCTION("""COMPUTED_VALUE"""),5100)</f>
        <v>5100</v>
      </c>
      <c r="I2192" s="2"/>
      <c r="J2192" s="2"/>
      <c r="K2192" s="2" t="str">
        <f ca="1">IFERROR(__xludf.DUMMYFUNCTION("""COMPUTED_VALUE"""),"2do Trasiego")</f>
        <v>2do Trasiego</v>
      </c>
      <c r="L2192" s="2" t="str">
        <f ca="1">IFERROR(__xludf.DUMMYFUNCTION("""COMPUTED_VALUE"""),"1+")</f>
        <v>1+</v>
      </c>
      <c r="M2192" s="2" t="str">
        <f ca="1">IFERROR(__xludf.DUMMYFUNCTION("""COMPUTED_VALUE"""),"Blanco")</f>
        <v>Blanco</v>
      </c>
    </row>
    <row r="2193" spans="1:13" x14ac:dyDescent="0.25">
      <c r="A2193" s="2" t="str">
        <f ca="1">IFERROR(__xludf.DUMMYFUNCTION("""COMPUTED_VALUE"""),"417aa6d5")</f>
        <v>417aa6d5</v>
      </c>
      <c r="B2193" s="2"/>
      <c r="C2193" s="5">
        <f ca="1">IFERROR(__xludf.DUMMYFUNCTION("""COMPUTED_VALUE"""),46197.7092476851)</f>
        <v>46197.709247685103</v>
      </c>
      <c r="D2193" s="2">
        <f ca="1">IFERROR(__xludf.DUMMYFUNCTION("""COMPUTED_VALUE"""),55)</f>
        <v>55</v>
      </c>
      <c r="E2193" s="2">
        <f ca="1">IFERROR(__xludf.DUMMYFUNCTION("""COMPUTED_VALUE"""),3000)</f>
        <v>3000</v>
      </c>
      <c r="F2193" s="2" t="str">
        <f ca="1">IFERROR(__xludf.DUMMYFUNCTION("""COMPUTED_VALUE"""),"Chardonnay Garbin")</f>
        <v>Chardonnay Garbin</v>
      </c>
      <c r="G2193" s="2">
        <f ca="1">IFERROR(__xludf.DUMMYFUNCTION("""COMPUTED_VALUE"""),0)</f>
        <v>0</v>
      </c>
      <c r="H2193" s="2">
        <f ca="1">IFERROR(__xludf.DUMMYFUNCTION("""COMPUTED_VALUE"""),800)</f>
        <v>800</v>
      </c>
      <c r="I2193" s="2"/>
      <c r="J2193" s="2"/>
      <c r="K2193" s="2" t="str">
        <f ca="1">IFERROR(__xludf.DUMMYFUNCTION("""COMPUTED_VALUE"""),"1er Trasiego")</f>
        <v>1er Trasiego</v>
      </c>
      <c r="L2193" s="2" t="str">
        <f ca="1">IFERROR(__xludf.DUMMYFUNCTION("""COMPUTED_VALUE"""),"1+")</f>
        <v>1+</v>
      </c>
      <c r="M2193" s="2" t="str">
        <f ca="1">IFERROR(__xludf.DUMMYFUNCTION("""COMPUTED_VALUE"""),"Blanco")</f>
        <v>Blanco</v>
      </c>
    </row>
    <row r="2194" spans="1:13" x14ac:dyDescent="0.25">
      <c r="A2194" s="2" t="str">
        <f ca="1">IFERROR(__xludf.DUMMYFUNCTION("""COMPUTED_VALUE"""),"c3291340")</f>
        <v>c3291340</v>
      </c>
      <c r="B2194" s="2"/>
      <c r="C2194" s="5">
        <f ca="1">IFERROR(__xludf.DUMMYFUNCTION("""COMPUTED_VALUE"""),46197.7135532407)</f>
        <v>46197.713553240697</v>
      </c>
      <c r="D2194" s="2">
        <f ca="1">IFERROR(__xludf.DUMMYFUNCTION("""COMPUTED_VALUE"""),30)</f>
        <v>30</v>
      </c>
      <c r="E2194" s="2">
        <f ca="1">IFERROR(__xludf.DUMMYFUNCTION("""COMPUTED_VALUE"""),38800)</f>
        <v>38800</v>
      </c>
      <c r="F2194" s="2" t="str">
        <f ca="1">IFERROR(__xludf.DUMMYFUNCTION("""COMPUTED_VALUE"""),"Chardonnay Ch")</f>
        <v>Chardonnay Ch</v>
      </c>
      <c r="G2194" s="2">
        <f ca="1">IFERROR(__xludf.DUMMYFUNCTION("""COMPUTED_VALUE"""),27200)</f>
        <v>27200</v>
      </c>
      <c r="H2194" s="2">
        <f ca="1">IFERROR(__xludf.DUMMYFUNCTION("""COMPUTED_VALUE"""),38800)</f>
        <v>38800</v>
      </c>
      <c r="I2194" s="2"/>
      <c r="J2194" s="2"/>
      <c r="K2194" s="2" t="str">
        <f ca="1">IFERROR(__xludf.DUMMYFUNCTION("""COMPUTED_VALUE"""),"1er Trasiego")</f>
        <v>1er Trasiego</v>
      </c>
      <c r="L2194" s="2" t="str">
        <f ca="1">IFERROR(__xludf.DUMMYFUNCTION("""COMPUTED_VALUE"""),"1")</f>
        <v>1</v>
      </c>
      <c r="M2194" s="2" t="str">
        <f ca="1">IFERROR(__xludf.DUMMYFUNCTION("""COMPUTED_VALUE"""),"Blanco")</f>
        <v>Blanco</v>
      </c>
    </row>
    <row r="2195" spans="1:13" x14ac:dyDescent="0.25">
      <c r="A2195" s="2" t="str">
        <f ca="1">IFERROR(__xludf.DUMMYFUNCTION("""COMPUTED_VALUE"""),"866b1105")</f>
        <v>866b1105</v>
      </c>
      <c r="B2195" s="2"/>
      <c r="C2195" s="5">
        <f ca="1">IFERROR(__xludf.DUMMYFUNCTION("""COMPUTED_VALUE"""),46197.7139351851)</f>
        <v>46197.7139351851</v>
      </c>
      <c r="D2195" s="2">
        <f ca="1">IFERROR(__xludf.DUMMYFUNCTION("""COMPUTED_VALUE"""),31)</f>
        <v>31</v>
      </c>
      <c r="E2195" s="2">
        <f ca="1">IFERROR(__xludf.DUMMYFUNCTION("""COMPUTED_VALUE"""),25700)</f>
        <v>25700</v>
      </c>
      <c r="F2195" s="2" t="str">
        <f ca="1">IFERROR(__xludf.DUMMYFUNCTION("""COMPUTED_VALUE"""),"Torrontes")</f>
        <v>Torrontes</v>
      </c>
      <c r="G2195" s="2">
        <f ca="1">IFERROR(__xludf.DUMMYFUNCTION("""COMPUTED_VALUE"""),19200)</f>
        <v>19200</v>
      </c>
      <c r="H2195" s="2">
        <f ca="1">IFERROR(__xludf.DUMMYFUNCTION("""COMPUTED_VALUE"""),24800)</f>
        <v>24800</v>
      </c>
      <c r="I2195" s="2"/>
      <c r="J2195" s="2"/>
      <c r="K2195" s="2" t="str">
        <f ca="1">IFERROR(__xludf.DUMMYFUNCTION("""COMPUTED_VALUE"""),"Descubada")</f>
        <v>Descubada</v>
      </c>
      <c r="L2195" s="2" t="str">
        <f ca="1">IFERROR(__xludf.DUMMYFUNCTION("""COMPUTED_VALUE"""),"1")</f>
        <v>1</v>
      </c>
      <c r="M2195" s="2" t="str">
        <f ca="1">IFERROR(__xludf.DUMMYFUNCTION("""COMPUTED_VALUE"""),"Blanco")</f>
        <v>Blanco</v>
      </c>
    </row>
    <row r="2196" spans="1:13" x14ac:dyDescent="0.25">
      <c r="A2196" s="2" t="str">
        <f ca="1">IFERROR(__xludf.DUMMYFUNCTION("""COMPUTED_VALUE"""),"980878ae")</f>
        <v>980878ae</v>
      </c>
      <c r="B2196" s="2"/>
      <c r="C2196" s="5">
        <f ca="1">IFERROR(__xludf.DUMMYFUNCTION("""COMPUTED_VALUE"""),46197.7142592592)</f>
        <v>46197.714259259199</v>
      </c>
      <c r="D2196" s="2">
        <f ca="1">IFERROR(__xludf.DUMMYFUNCTION("""COMPUTED_VALUE"""),31)</f>
        <v>31</v>
      </c>
      <c r="E2196" s="2">
        <f ca="1">IFERROR(__xludf.DUMMYFUNCTION("""COMPUTED_VALUE"""),25700)</f>
        <v>25700</v>
      </c>
      <c r="F2196" s="2" t="str">
        <f ca="1">IFERROR(__xludf.DUMMYFUNCTION("""COMPUTED_VALUE"""),"Torrontes")</f>
        <v>Torrontes</v>
      </c>
      <c r="G2196" s="2">
        <f ca="1">IFERROR(__xludf.DUMMYFUNCTION("""COMPUTED_VALUE"""),24800)</f>
        <v>24800</v>
      </c>
      <c r="H2196" s="2">
        <f ca="1">IFERROR(__xludf.DUMMYFUNCTION("""COMPUTED_VALUE"""),25700)</f>
        <v>25700</v>
      </c>
      <c r="I2196" s="2"/>
      <c r="J2196" s="2"/>
      <c r="K2196" s="2" t="str">
        <f ca="1">IFERROR(__xludf.DUMMYFUNCTION("""COMPUTED_VALUE"""),"Descubada")</f>
        <v>Descubada</v>
      </c>
      <c r="L2196" s="2" t="str">
        <f ca="1">IFERROR(__xludf.DUMMYFUNCTION("""COMPUTED_VALUE"""),"1")</f>
        <v>1</v>
      </c>
      <c r="M2196" s="2" t="str">
        <f ca="1">IFERROR(__xludf.DUMMYFUNCTION("""COMPUTED_VALUE"""),"Blanco")</f>
        <v>Blanco</v>
      </c>
    </row>
    <row r="2197" spans="1:13" x14ac:dyDescent="0.25">
      <c r="A2197" s="2" t="str">
        <f ca="1">IFERROR(__xludf.DUMMYFUNCTION("""COMPUTED_VALUE"""),"1093228c")</f>
        <v>1093228c</v>
      </c>
      <c r="B2197" s="2"/>
      <c r="C2197" s="5">
        <f ca="1">IFERROR(__xludf.DUMMYFUNCTION("""COMPUTED_VALUE"""),46197.7144328703)</f>
        <v>46197.7144328703</v>
      </c>
      <c r="D2197" s="2">
        <f ca="1">IFERROR(__xludf.DUMMYFUNCTION("""COMPUTED_VALUE"""),8)</f>
        <v>8</v>
      </c>
      <c r="E2197" s="2">
        <f ca="1">IFERROR(__xludf.DUMMYFUNCTION("""COMPUTED_VALUE"""),22000)</f>
        <v>22000</v>
      </c>
      <c r="F2197" s="2" t="str">
        <f ca="1">IFERROR(__xludf.DUMMYFUNCTION("""COMPUTED_VALUE"""),"Pedro Gimenez")</f>
        <v>Pedro Gimenez</v>
      </c>
      <c r="G2197" s="2">
        <f ca="1">IFERROR(__xludf.DUMMYFUNCTION("""COMPUTED_VALUE"""),15400)</f>
        <v>15400</v>
      </c>
      <c r="H2197" s="2">
        <f ca="1">IFERROR(__xludf.DUMMYFUNCTION("""COMPUTED_VALUE"""),22000)</f>
        <v>22000</v>
      </c>
      <c r="I2197" s="2"/>
      <c r="J2197" s="2"/>
      <c r="K2197" s="2" t="str">
        <f ca="1">IFERROR(__xludf.DUMMYFUNCTION("""COMPUTED_VALUE"""),"Descubada")</f>
        <v>Descubada</v>
      </c>
      <c r="L2197" s="2" t="str">
        <f ca="1">IFERROR(__xludf.DUMMYFUNCTION("""COMPUTED_VALUE"""),"1+")</f>
        <v>1+</v>
      </c>
      <c r="M2197" s="2" t="str">
        <f ca="1">IFERROR(__xludf.DUMMYFUNCTION("""COMPUTED_VALUE"""),"Blanco")</f>
        <v>Blanco</v>
      </c>
    </row>
    <row r="2198" spans="1:13" x14ac:dyDescent="0.25">
      <c r="A2198" s="2" t="str">
        <f ca="1">IFERROR(__xludf.DUMMYFUNCTION("""COMPUTED_VALUE"""),"78c098b8")</f>
        <v>78c098b8</v>
      </c>
      <c r="B2198" s="2"/>
      <c r="C2198" s="5">
        <f ca="1">IFERROR(__xludf.DUMMYFUNCTION("""COMPUTED_VALUE"""),46197.7146296296)</f>
        <v>46197.714629629598</v>
      </c>
      <c r="D2198" s="2">
        <f ca="1">IFERROR(__xludf.DUMMYFUNCTION("""COMPUTED_VALUE"""),55)</f>
        <v>55</v>
      </c>
      <c r="E2198" s="2">
        <f ca="1">IFERROR(__xludf.DUMMYFUNCTION("""COMPUTED_VALUE"""),3000)</f>
        <v>3000</v>
      </c>
      <c r="F2198" s="2" t="str">
        <f ca="1">IFERROR(__xludf.DUMMYFUNCTION("""COMPUTED_VALUE"""),"Chardonnay Garbin")</f>
        <v>Chardonnay Garbin</v>
      </c>
      <c r="G2198" s="2">
        <f ca="1">IFERROR(__xludf.DUMMYFUNCTION("""COMPUTED_VALUE"""),800)</f>
        <v>800</v>
      </c>
      <c r="H2198" s="2">
        <f ca="1">IFERROR(__xludf.DUMMYFUNCTION("""COMPUTED_VALUE"""),2400)</f>
        <v>2400</v>
      </c>
      <c r="I2198" s="2"/>
      <c r="J2198" s="2"/>
      <c r="K2198" s="2" t="str">
        <f ca="1">IFERROR(__xludf.DUMMYFUNCTION("""COMPUTED_VALUE"""),"1er Trasiego")</f>
        <v>1er Trasiego</v>
      </c>
      <c r="L2198" s="2" t="str">
        <f ca="1">IFERROR(__xludf.DUMMYFUNCTION("""COMPUTED_VALUE"""),"1+")</f>
        <v>1+</v>
      </c>
      <c r="M2198" s="2" t="str">
        <f ca="1">IFERROR(__xludf.DUMMYFUNCTION("""COMPUTED_VALUE"""),"Blanco")</f>
        <v>Blanco</v>
      </c>
    </row>
    <row r="2199" spans="1:13" x14ac:dyDescent="0.25">
      <c r="A2199" s="2" t="str">
        <f ca="1">IFERROR(__xludf.DUMMYFUNCTION("""COMPUTED_VALUE"""),"71e1590e")</f>
        <v>71e1590e</v>
      </c>
      <c r="B2199" s="2"/>
      <c r="C2199" s="5">
        <f ca="1">IFERROR(__xludf.DUMMYFUNCTION("""COMPUTED_VALUE"""),46197.7159837963)</f>
        <v>46197.715983796297</v>
      </c>
      <c r="D2199" s="2"/>
      <c r="E2199" s="2"/>
      <c r="F2199" s="2" t="str">
        <f ca="1">IFERROR(__xludf.DUMMYFUNCTION("""COMPUTED_VALUE"""),"Malbec Lopez")</f>
        <v>Malbec Lopez</v>
      </c>
      <c r="G2199" s="2"/>
      <c r="H2199" s="2">
        <f ca="1">IFERROR(__xludf.DUMMYFUNCTION("""COMPUTED_VALUE"""),148800)</f>
        <v>148800</v>
      </c>
      <c r="I2199" s="2"/>
      <c r="J2199" s="2"/>
      <c r="K2199" s="2" t="str">
        <f ca="1">IFERROR(__xludf.DUMMYFUNCTION("""COMPUTED_VALUE"""),"Traslado Venta")</f>
        <v>Traslado Venta</v>
      </c>
      <c r="L2199" s="2" t="str">
        <f ca="1">IFERROR(__xludf.DUMMYFUNCTION("""COMPUTED_VALUE"""),"1+")</f>
        <v>1+</v>
      </c>
      <c r="M2199" s="2" t="str">
        <f ca="1">IFERROR(__xludf.DUMMYFUNCTION("""COMPUTED_VALUE"""),"Tinto")</f>
        <v>Tinto</v>
      </c>
    </row>
    <row r="2200" spans="1:13" x14ac:dyDescent="0.25">
      <c r="A2200" s="2" t="str">
        <f ca="1">IFERROR(__xludf.DUMMYFUNCTION("""COMPUTED_VALUE"""),"4863b60c")</f>
        <v>4863b60c</v>
      </c>
      <c r="B2200" s="2"/>
      <c r="C2200" s="5">
        <f ca="1">IFERROR(__xludf.DUMMYFUNCTION("""COMPUTED_VALUE"""),46197.7163194444)</f>
        <v>46197.7163194444</v>
      </c>
      <c r="D2200" s="2">
        <f ca="1">IFERROR(__xludf.DUMMYFUNCTION("""COMPUTED_VALUE"""),72)</f>
        <v>72</v>
      </c>
      <c r="E2200" s="2">
        <f ca="1">IFERROR(__xludf.DUMMYFUNCTION("""COMPUTED_VALUE"""),13000)</f>
        <v>13000</v>
      </c>
      <c r="F2200" s="2" t="str">
        <f ca="1">IFERROR(__xludf.DUMMYFUNCTION("""COMPUTED_VALUE"""),"Malbec Lopez")</f>
        <v>Malbec Lopez</v>
      </c>
      <c r="G2200" s="2">
        <f ca="1">IFERROR(__xludf.DUMMYFUNCTION("""COMPUTED_VALUE"""),0)</f>
        <v>0</v>
      </c>
      <c r="H2200" s="2">
        <f ca="1">IFERROR(__xludf.DUMMYFUNCTION("""COMPUTED_VALUE"""),6800)</f>
        <v>6800</v>
      </c>
      <c r="I2200" s="2"/>
      <c r="J2200" s="2"/>
      <c r="K2200" s="2" t="str">
        <f ca="1">IFERROR(__xludf.DUMMYFUNCTION("""COMPUTED_VALUE"""),"2do Trasiego")</f>
        <v>2do Trasiego</v>
      </c>
      <c r="L2200" s="2" t="str">
        <f ca="1">IFERROR(__xludf.DUMMYFUNCTION("""COMPUTED_VALUE"""),"1+")</f>
        <v>1+</v>
      </c>
      <c r="M2200" s="2" t="str">
        <f ca="1">IFERROR(__xludf.DUMMYFUNCTION("""COMPUTED_VALUE"""),"Tinto")</f>
        <v>Tinto</v>
      </c>
    </row>
    <row r="2201" spans="1:13" x14ac:dyDescent="0.25">
      <c r="A2201" s="2" t="str">
        <f ca="1">IFERROR(__xludf.DUMMYFUNCTION("""COMPUTED_VALUE"""),"752fe322")</f>
        <v>752fe322</v>
      </c>
      <c r="B2201" s="2"/>
      <c r="C2201" s="5">
        <f ca="1">IFERROR(__xludf.DUMMYFUNCTION("""COMPUTED_VALUE"""),46197.7169212963)</f>
        <v>46197.716921296298</v>
      </c>
      <c r="D2201" s="2">
        <f ca="1">IFERROR(__xludf.DUMMYFUNCTION("""COMPUTED_VALUE"""),114)</f>
        <v>114</v>
      </c>
      <c r="E2201" s="2">
        <f ca="1">IFERROR(__xludf.DUMMYFUNCTION("""COMPUTED_VALUE"""),125300)</f>
        <v>125300</v>
      </c>
      <c r="F2201" s="2" t="str">
        <f ca="1">IFERROR(__xludf.DUMMYFUNCTION("""COMPUTED_VALUE"""),"Syrah Anc PC s/Asp 2")</f>
        <v>Syrah Anc PC s/Asp 2</v>
      </c>
      <c r="G2201" s="2">
        <f ca="1">IFERROR(__xludf.DUMMYFUNCTION("""COMPUTED_VALUE"""),0)</f>
        <v>0</v>
      </c>
      <c r="H2201" s="2">
        <f ca="1">IFERROR(__xludf.DUMMYFUNCTION("""COMPUTED_VALUE"""),68000)</f>
        <v>68000</v>
      </c>
      <c r="I2201" s="2"/>
      <c r="J2201" s="2"/>
      <c r="K2201" s="2" t="str">
        <f ca="1">IFERROR(__xludf.DUMMYFUNCTION("""COMPUTED_VALUE"""),"2do Trasiego")</f>
        <v>2do Trasiego</v>
      </c>
      <c r="L2201" s="2" t="str">
        <f ca="1">IFERROR(__xludf.DUMMYFUNCTION("""COMPUTED_VALUE"""),"1")</f>
        <v>1</v>
      </c>
      <c r="M2201" s="2" t="str">
        <f ca="1">IFERROR(__xludf.DUMMYFUNCTION("""COMPUTED_VALUE"""),"Tinto")</f>
        <v>Tinto</v>
      </c>
    </row>
    <row r="2202" spans="1:13" x14ac:dyDescent="0.25">
      <c r="A2202" s="2" t="str">
        <f ca="1">IFERROR(__xludf.DUMMYFUNCTION("""COMPUTED_VALUE"""),"9c0b7c1c")</f>
        <v>9c0b7c1c</v>
      </c>
      <c r="B2202" s="2"/>
      <c r="C2202" s="5">
        <f ca="1">IFERROR(__xludf.DUMMYFUNCTION("""COMPUTED_VALUE"""),46197.7171759259)</f>
        <v>46197.7171759259</v>
      </c>
      <c r="D2202" s="2">
        <f ca="1">IFERROR(__xludf.DUMMYFUNCTION("""COMPUTED_VALUE"""),114)</f>
        <v>114</v>
      </c>
      <c r="E2202" s="2">
        <f ca="1">IFERROR(__xludf.DUMMYFUNCTION("""COMPUTED_VALUE"""),125300)</f>
        <v>125300</v>
      </c>
      <c r="F2202" s="2" t="str">
        <f ca="1">IFERROR(__xludf.DUMMYFUNCTION("""COMPUTED_VALUE"""),"Syrah Anc PC s/Asp 2")</f>
        <v>Syrah Anc PC s/Asp 2</v>
      </c>
      <c r="G2202" s="2">
        <f ca="1">IFERROR(__xludf.DUMMYFUNCTION("""COMPUTED_VALUE"""),68000)</f>
        <v>68000</v>
      </c>
      <c r="H2202" s="2">
        <f ca="1">IFERROR(__xludf.DUMMYFUNCTION("""COMPUTED_VALUE"""),84000)</f>
        <v>84000</v>
      </c>
      <c r="I2202" s="2"/>
      <c r="J2202" s="2"/>
      <c r="K2202" s="2" t="str">
        <f ca="1">IFERROR(__xludf.DUMMYFUNCTION("""COMPUTED_VALUE"""),"2do Trasiego")</f>
        <v>2do Trasiego</v>
      </c>
      <c r="L2202" s="2" t="str">
        <f ca="1">IFERROR(__xludf.DUMMYFUNCTION("""COMPUTED_VALUE"""),"1")</f>
        <v>1</v>
      </c>
      <c r="M2202" s="2" t="str">
        <f ca="1">IFERROR(__xludf.DUMMYFUNCTION("""COMPUTED_VALUE"""),"Tinto")</f>
        <v>Tinto</v>
      </c>
    </row>
    <row r="2203" spans="1:13" x14ac:dyDescent="0.25">
      <c r="A2203" s="2" t="str">
        <f ca="1">IFERROR(__xludf.DUMMYFUNCTION("""COMPUTED_VALUE"""),"835c504b")</f>
        <v>835c504b</v>
      </c>
      <c r="B2203" s="2"/>
      <c r="C2203" s="5">
        <f ca="1">IFERROR(__xludf.DUMMYFUNCTION("""COMPUTED_VALUE"""),46198.6909143518)</f>
        <v>46198.690914351799</v>
      </c>
      <c r="D2203" s="2">
        <f ca="1">IFERROR(__xludf.DUMMYFUNCTION("""COMPUTED_VALUE"""),114)</f>
        <v>114</v>
      </c>
      <c r="E2203" s="2">
        <f ca="1">IFERROR(__xludf.DUMMYFUNCTION("""COMPUTED_VALUE"""),125300)</f>
        <v>125300</v>
      </c>
      <c r="F2203" s="2" t="str">
        <f ca="1">IFERROR(__xludf.DUMMYFUNCTION("""COMPUTED_VALUE"""),"Syrah Anc PC s/Asp 2")</f>
        <v>Syrah Anc PC s/Asp 2</v>
      </c>
      <c r="G2203" s="2">
        <f ca="1">IFERROR(__xludf.DUMMYFUNCTION("""COMPUTED_VALUE"""),84000)</f>
        <v>84000</v>
      </c>
      <c r="H2203" s="2">
        <f ca="1">IFERROR(__xludf.DUMMYFUNCTION("""COMPUTED_VALUE"""),97000)</f>
        <v>97000</v>
      </c>
      <c r="I2203" s="2"/>
      <c r="J2203" s="2"/>
      <c r="K2203" s="2" t="str">
        <f ca="1">IFERROR(__xludf.DUMMYFUNCTION("""COMPUTED_VALUE"""),"2do Trasiego")</f>
        <v>2do Trasiego</v>
      </c>
      <c r="L2203" s="2" t="str">
        <f ca="1">IFERROR(__xludf.DUMMYFUNCTION("""COMPUTED_VALUE"""),"1")</f>
        <v>1</v>
      </c>
      <c r="M2203" s="2" t="str">
        <f ca="1">IFERROR(__xludf.DUMMYFUNCTION("""COMPUTED_VALUE"""),"Tinto")</f>
        <v>Tinto</v>
      </c>
    </row>
    <row r="2204" spans="1:13" x14ac:dyDescent="0.25">
      <c r="A2204" s="2" t="str">
        <f ca="1">IFERROR(__xludf.DUMMYFUNCTION("""COMPUTED_VALUE"""),"4da322a6")</f>
        <v>4da322a6</v>
      </c>
      <c r="B2204" s="2"/>
      <c r="C2204" s="5">
        <f ca="1">IFERROR(__xludf.DUMMYFUNCTION("""COMPUTED_VALUE"""),46198.6917708333)</f>
        <v>46198.691770833299</v>
      </c>
      <c r="D2204" s="2">
        <f ca="1">IFERROR(__xludf.DUMMYFUNCTION("""COMPUTED_VALUE"""),114)</f>
        <v>114</v>
      </c>
      <c r="E2204" s="2">
        <f ca="1">IFERROR(__xludf.DUMMYFUNCTION("""COMPUTED_VALUE"""),125300)</f>
        <v>125300</v>
      </c>
      <c r="F2204" s="2" t="str">
        <f ca="1">IFERROR(__xludf.DUMMYFUNCTION("""COMPUTED_VALUE"""),"Syrah Anc PC s/Asp 2")</f>
        <v>Syrah Anc PC s/Asp 2</v>
      </c>
      <c r="G2204" s="2">
        <f ca="1">IFERROR(__xludf.DUMMYFUNCTION("""COMPUTED_VALUE"""),97000)</f>
        <v>97000</v>
      </c>
      <c r="H2204" s="2">
        <f ca="1">IFERROR(__xludf.DUMMYFUNCTION("""COMPUTED_VALUE"""),122800)</f>
        <v>122800</v>
      </c>
      <c r="I2204" s="2"/>
      <c r="J2204" s="2"/>
      <c r="K2204" s="2" t="str">
        <f ca="1">IFERROR(__xludf.DUMMYFUNCTION("""COMPUTED_VALUE"""),"2do Trasiego")</f>
        <v>2do Trasiego</v>
      </c>
      <c r="L2204" s="2" t="str">
        <f ca="1">IFERROR(__xludf.DUMMYFUNCTION("""COMPUTED_VALUE"""),"1")</f>
        <v>1</v>
      </c>
      <c r="M2204" s="2" t="str">
        <f ca="1">IFERROR(__xludf.DUMMYFUNCTION("""COMPUTED_VALUE"""),"Tinto")</f>
        <v>Tinto</v>
      </c>
    </row>
    <row r="2205" spans="1:13" x14ac:dyDescent="0.25">
      <c r="A2205" s="2" t="str">
        <f ca="1">IFERROR(__xludf.DUMMYFUNCTION("""COMPUTED_VALUE"""),"e5114519")</f>
        <v>e5114519</v>
      </c>
      <c r="B2205" s="2"/>
      <c r="C2205" s="5">
        <f ca="1">IFERROR(__xludf.DUMMYFUNCTION("""COMPUTED_VALUE"""),46198.6946296296)</f>
        <v>46198.694629629601</v>
      </c>
      <c r="D2205" s="2">
        <f ca="1">IFERROR(__xludf.DUMMYFUNCTION("""COMPUTED_VALUE"""),11)</f>
        <v>11</v>
      </c>
      <c r="E2205" s="2">
        <f ca="1">IFERROR(__xludf.DUMMYFUNCTION("""COMPUTED_VALUE"""),36000)</f>
        <v>36000</v>
      </c>
      <c r="F2205" s="2" t="str">
        <f ca="1">IFERROR(__xludf.DUMMYFUNCTION("""COMPUTED_VALUE"""),"Criolla Recarga Rect")</f>
        <v>Criolla Recarga Rect</v>
      </c>
      <c r="G2205" s="2">
        <f ca="1">IFERROR(__xludf.DUMMYFUNCTION("""COMPUTED_VALUE"""),0)</f>
        <v>0</v>
      </c>
      <c r="H2205" s="2">
        <f ca="1">IFERROR(__xludf.DUMMYFUNCTION("""COMPUTED_VALUE"""),36000)</f>
        <v>36000</v>
      </c>
      <c r="I2205" s="2"/>
      <c r="J2205" s="2"/>
      <c r="K2205" s="2" t="str">
        <f ca="1">IFERROR(__xludf.DUMMYFUNCTION("""COMPUTED_VALUE"""),"Rectificado")</f>
        <v>Rectificado</v>
      </c>
      <c r="L2205" s="2" t="str">
        <f ca="1">IFERROR(__xludf.DUMMYFUNCTION("""COMPUTED_VALUE"""),"1-")</f>
        <v>1-</v>
      </c>
      <c r="M2205" s="2" t="str">
        <f ca="1">IFERROR(__xludf.DUMMYFUNCTION("""COMPUTED_VALUE"""),"Tinto")</f>
        <v>Tinto</v>
      </c>
    </row>
    <row r="2206" spans="1:13" x14ac:dyDescent="0.25">
      <c r="A2206" s="2" t="str">
        <f ca="1">IFERROR(__xludf.DUMMYFUNCTION("""COMPUTED_VALUE"""),"a255b7c1")</f>
        <v>a255b7c1</v>
      </c>
      <c r="B2206" s="2"/>
      <c r="C2206" s="5">
        <f ca="1">IFERROR(__xludf.DUMMYFUNCTION("""COMPUTED_VALUE"""),46198.694849537)</f>
        <v>46198.694849537002</v>
      </c>
      <c r="D2206" s="2">
        <f ca="1">IFERROR(__xludf.DUMMYFUNCTION("""COMPUTED_VALUE"""),114)</f>
        <v>114</v>
      </c>
      <c r="E2206" s="2">
        <f ca="1">IFERROR(__xludf.DUMMYFUNCTION("""COMPUTED_VALUE"""),125300)</f>
        <v>125300</v>
      </c>
      <c r="F2206" s="2" t="str">
        <f ca="1">IFERROR(__xludf.DUMMYFUNCTION("""COMPUTED_VALUE"""),"Syrah Anc PC s/Asp 2")</f>
        <v>Syrah Anc PC s/Asp 2</v>
      </c>
      <c r="G2206" s="2">
        <f ca="1">IFERROR(__xludf.DUMMYFUNCTION("""COMPUTED_VALUE"""),122800)</f>
        <v>122800</v>
      </c>
      <c r="H2206" s="2">
        <f ca="1">IFERROR(__xludf.DUMMYFUNCTION("""COMPUTED_VALUE"""),125300)</f>
        <v>125300</v>
      </c>
      <c r="I2206" s="2"/>
      <c r="J2206" s="2"/>
      <c r="K2206" s="2" t="str">
        <f ca="1">IFERROR(__xludf.DUMMYFUNCTION("""COMPUTED_VALUE"""),"2do Trasiego")</f>
        <v>2do Trasiego</v>
      </c>
      <c r="L2206" s="2" t="str">
        <f ca="1">IFERROR(__xludf.DUMMYFUNCTION("""COMPUTED_VALUE"""),"1")</f>
        <v>1</v>
      </c>
      <c r="M2206" s="2" t="str">
        <f ca="1">IFERROR(__xludf.DUMMYFUNCTION("""COMPUTED_VALUE"""),"Tinto")</f>
        <v>Tinto</v>
      </c>
    </row>
    <row r="2207" spans="1:13" x14ac:dyDescent="0.25">
      <c r="A2207" s="2" t="str">
        <f ca="1">IFERROR(__xludf.DUMMYFUNCTION("""COMPUTED_VALUE"""),"95fbe6a5")</f>
        <v>95fbe6a5</v>
      </c>
      <c r="B2207" s="2"/>
      <c r="C2207" s="5">
        <f ca="1">IFERROR(__xludf.DUMMYFUNCTION("""COMPUTED_VALUE"""),46196.4571180555)</f>
        <v>46196.457118055499</v>
      </c>
      <c r="D2207" s="2"/>
      <c r="E2207" s="2"/>
      <c r="F2207" s="2" t="str">
        <f ca="1">IFERROR(__xludf.DUMMYFUNCTION("""COMPUTED_VALUE"""),"Chardonnay Garbin")</f>
        <v>Chardonnay Garbin</v>
      </c>
      <c r="G2207" s="2"/>
      <c r="H2207" s="2">
        <f ca="1">IFERROR(__xludf.DUMMYFUNCTION("""COMPUTED_VALUE"""),30000)</f>
        <v>30000</v>
      </c>
      <c r="I2207" s="2"/>
      <c r="J2207" s="2"/>
      <c r="K2207" s="2" t="str">
        <f ca="1">IFERROR(__xludf.DUMMYFUNCTION("""COMPUTED_VALUE"""),"Traslado Venta")</f>
        <v>Traslado Venta</v>
      </c>
      <c r="L2207" s="2" t="str">
        <f ca="1">IFERROR(__xludf.DUMMYFUNCTION("""COMPUTED_VALUE"""),"1+")</f>
        <v>1+</v>
      </c>
      <c r="M2207" s="2" t="str">
        <f ca="1">IFERROR(__xludf.DUMMYFUNCTION("""COMPUTED_VALUE"""),"Blanco")</f>
        <v>Blanco</v>
      </c>
    </row>
    <row r="2208" spans="1:13" x14ac:dyDescent="0.25">
      <c r="A2208" s="2" t="str">
        <f ca="1">IFERROR(__xludf.DUMMYFUNCTION("""COMPUTED_VALUE"""),"2cefff23")</f>
        <v>2cefff23</v>
      </c>
      <c r="B2208" s="2"/>
      <c r="C2208" s="5">
        <f ca="1">IFERROR(__xludf.DUMMYFUNCTION("""COMPUTED_VALUE"""),46203.6581018518)</f>
        <v>46203.658101851797</v>
      </c>
      <c r="D2208" s="2">
        <f ca="1">IFERROR(__xludf.DUMMYFUNCTION("""COMPUTED_VALUE"""),42)</f>
        <v>42</v>
      </c>
      <c r="E2208" s="2">
        <f ca="1">IFERROR(__xludf.DUMMYFUNCTION("""COMPUTED_VALUE"""),35900)</f>
        <v>35900</v>
      </c>
      <c r="F2208" s="2" t="str">
        <f ca="1">IFERROR(__xludf.DUMMYFUNCTION("""COMPUTED_VALUE"""),"Criolla Recarga Rectificada")</f>
        <v>Criolla Recarga Rectificada</v>
      </c>
      <c r="G2208" s="2">
        <f ca="1">IFERROR(__xludf.DUMMYFUNCTION("""COMPUTED_VALUE"""),0)</f>
        <v>0</v>
      </c>
      <c r="H2208" s="2">
        <f ca="1">IFERROR(__xludf.DUMMYFUNCTION("""COMPUTED_VALUE"""),10000)</f>
        <v>10000</v>
      </c>
      <c r="I2208" s="2"/>
      <c r="J2208" s="2"/>
      <c r="K2208" s="2" t="str">
        <f ca="1">IFERROR(__xludf.DUMMYFUNCTION("""COMPUTED_VALUE"""),"Rectificado")</f>
        <v>Rectificado</v>
      </c>
      <c r="L2208" s="2" t="str">
        <f ca="1">IFERROR(__xludf.DUMMYFUNCTION("""COMPUTED_VALUE"""),"1-")</f>
        <v>1-</v>
      </c>
      <c r="M2208" s="2" t="str">
        <f ca="1">IFERROR(__xludf.DUMMYFUNCTION("""COMPUTED_VALUE"""),"Tinto")</f>
        <v>Tinto</v>
      </c>
    </row>
    <row r="2209" spans="1:13" x14ac:dyDescent="0.25">
      <c r="A2209" s="2" t="str">
        <f ca="1">IFERROR(__xludf.DUMMYFUNCTION("""COMPUTED_VALUE"""),"1afaba30")</f>
        <v>1afaba30</v>
      </c>
      <c r="B2209" s="2"/>
      <c r="C2209" s="5">
        <f ca="1">IFERROR(__xludf.DUMMYFUNCTION("""COMPUTED_VALUE"""),46204.3785763888)</f>
        <v>46204.378576388801</v>
      </c>
      <c r="D2209" s="2">
        <f ca="1">IFERROR(__xludf.DUMMYFUNCTION("""COMPUTED_VALUE"""),12)</f>
        <v>12</v>
      </c>
      <c r="E2209" s="2">
        <f ca="1">IFERROR(__xludf.DUMMYFUNCTION("""COMPUTED_VALUE"""),35300)</f>
        <v>35300</v>
      </c>
      <c r="F2209" s="2" t="str">
        <f ca="1">IFERROR(__xludf.DUMMYFUNCTION("""COMPUTED_VALUE"""),"Claro Filtro")</f>
        <v>Claro Filtro</v>
      </c>
      <c r="G2209" s="2">
        <f ca="1">IFERROR(__xludf.DUMMYFUNCTION("""COMPUTED_VALUE"""),0)</f>
        <v>0</v>
      </c>
      <c r="H2209" s="2">
        <f ca="1">IFERROR(__xludf.DUMMYFUNCTION("""COMPUTED_VALUE"""),11000)</f>
        <v>11000</v>
      </c>
      <c r="I2209" s="2"/>
      <c r="J2209" s="2"/>
      <c r="K2209" s="2" t="str">
        <f ca="1">IFERROR(__xludf.DUMMYFUNCTION("""COMPUTED_VALUE"""),"2do Trasiego")</f>
        <v>2do Trasiego</v>
      </c>
      <c r="L2209" s="2"/>
      <c r="M2209" s="2" t="str">
        <f ca="1">IFERROR(__xludf.DUMMYFUNCTION("""COMPUTED_VALUE"""),"Tinto")</f>
        <v>Tinto</v>
      </c>
    </row>
    <row r="2210" spans="1:13" x14ac:dyDescent="0.25">
      <c r="A2210" s="2" t="str">
        <f ca="1">IFERROR(__xludf.DUMMYFUNCTION("""COMPUTED_VALUE"""),"c6a82ec9")</f>
        <v>c6a82ec9</v>
      </c>
      <c r="B2210" s="2"/>
      <c r="C2210" s="5">
        <f ca="1">IFERROR(__xludf.DUMMYFUNCTION("""COMPUTED_VALUE"""),46205.5281018518)</f>
        <v>46205.5281018518</v>
      </c>
      <c r="D2210" s="2">
        <f ca="1">IFERROR(__xludf.DUMMYFUNCTION("""COMPUTED_VALUE"""),12)</f>
        <v>12</v>
      </c>
      <c r="E2210" s="2">
        <f ca="1">IFERROR(__xludf.DUMMYFUNCTION("""COMPUTED_VALUE"""),35300)</f>
        <v>35300</v>
      </c>
      <c r="F2210" s="2" t="str">
        <f ca="1">IFERROR(__xludf.DUMMYFUNCTION("""COMPUTED_VALUE"""),"Claro Filtro")</f>
        <v>Claro Filtro</v>
      </c>
      <c r="G2210" s="2">
        <f ca="1">IFERROR(__xludf.DUMMYFUNCTION("""COMPUTED_VALUE"""),11000)</f>
        <v>11000</v>
      </c>
      <c r="H2210" s="2">
        <f ca="1">IFERROR(__xludf.DUMMYFUNCTION("""COMPUTED_VALUE"""),22000)</f>
        <v>22000</v>
      </c>
      <c r="I2210" s="2"/>
      <c r="J2210" s="2"/>
      <c r="K2210" s="2" t="str">
        <f ca="1">IFERROR(__xludf.DUMMYFUNCTION("""COMPUTED_VALUE"""),"2do Trasiego")</f>
        <v>2do Trasiego</v>
      </c>
      <c r="L2210" s="2"/>
      <c r="M2210" s="2" t="str">
        <f ca="1">IFERROR(__xludf.DUMMYFUNCTION("""COMPUTED_VALUE"""),"Tinto")</f>
        <v>Tinto</v>
      </c>
    </row>
    <row r="2211" spans="1:13" x14ac:dyDescent="0.25">
      <c r="A2211" s="2" t="str">
        <f ca="1">IFERROR(__xludf.DUMMYFUNCTION("""COMPUTED_VALUE"""),"9136654f")</f>
        <v>9136654f</v>
      </c>
      <c r="B2211" s="2"/>
      <c r="C2211" s="5">
        <f ca="1">IFERROR(__xludf.DUMMYFUNCTION("""COMPUTED_VALUE"""),46205.5283680555)</f>
        <v>46205.5283680555</v>
      </c>
      <c r="D2211" s="2">
        <f ca="1">IFERROR(__xludf.DUMMYFUNCTION("""COMPUTED_VALUE"""),500)</f>
        <v>500</v>
      </c>
      <c r="E2211" s="2">
        <f ca="1">IFERROR(__xludf.DUMMYFUNCTION("""COMPUTED_VALUE"""),200000)</f>
        <v>200000</v>
      </c>
      <c r="F2211" s="2" t="str">
        <f ca="1">IFERROR(__xludf.DUMMYFUNCTION("""COMPUTED_VALUE"""),"Ajuste Cosecha 2026")</f>
        <v>Ajuste Cosecha 2026</v>
      </c>
      <c r="G2211" s="2">
        <f ca="1">IFERROR(__xludf.DUMMYFUNCTION("""COMPUTED_VALUE"""),52900)</f>
        <v>52900</v>
      </c>
      <c r="H2211" s="2">
        <f ca="1">IFERROR(__xludf.DUMMYFUNCTION("""COMPUTED_VALUE"""),54900)</f>
        <v>54900</v>
      </c>
      <c r="I2211" s="2"/>
      <c r="J2211" s="2"/>
      <c r="K2211" s="2" t="str">
        <f ca="1">IFERROR(__xludf.DUMMYFUNCTION("""COMPUTED_VALUE"""),"Terminado")</f>
        <v>Terminado</v>
      </c>
      <c r="L2211" s="2"/>
      <c r="M2211" s="2" t="str">
        <f ca="1">IFERROR(__xludf.DUMMYFUNCTION("""COMPUTED_VALUE"""),"Tinto")</f>
        <v>Tinto</v>
      </c>
    </row>
    <row r="2212" spans="1:13" x14ac:dyDescent="0.25">
      <c r="A2212" s="2" t="str">
        <f ca="1">IFERROR(__xludf.DUMMYFUNCTION("""COMPUTED_VALUE"""),"4cec1540")</f>
        <v>4cec1540</v>
      </c>
      <c r="B2212" s="2"/>
      <c r="C2212" s="5">
        <f ca="1">IFERROR(__xludf.DUMMYFUNCTION("""COMPUTED_VALUE"""),46205.5325694444)</f>
        <v>46205.532569444404</v>
      </c>
      <c r="D2212" s="2">
        <f ca="1">IFERROR(__xludf.DUMMYFUNCTION("""COMPUTED_VALUE"""),11)</f>
        <v>11</v>
      </c>
      <c r="E2212" s="2">
        <f ca="1">IFERROR(__xludf.DUMMYFUNCTION("""COMPUTED_VALUE"""),36000)</f>
        <v>36000</v>
      </c>
      <c r="F2212" s="2" t="str">
        <f ca="1">IFERROR(__xludf.DUMMYFUNCTION("""COMPUTED_VALUE"""),"Criolla Recarga Rect")</f>
        <v>Criolla Recarga Rect</v>
      </c>
      <c r="G2212" s="2">
        <f ca="1">IFERROR(__xludf.DUMMYFUNCTION("""COMPUTED_VALUE"""),33500)</f>
        <v>33500</v>
      </c>
      <c r="H2212" s="2">
        <f ca="1">IFERROR(__xludf.DUMMYFUNCTION("""COMPUTED_VALUE"""),36000)</f>
        <v>36000</v>
      </c>
      <c r="I2212" s="2"/>
      <c r="J2212" s="2"/>
      <c r="K2212" s="2" t="str">
        <f ca="1">IFERROR(__xludf.DUMMYFUNCTION("""COMPUTED_VALUE"""),"Rectificado")</f>
        <v>Rectificado</v>
      </c>
      <c r="L2212" s="2" t="str">
        <f ca="1">IFERROR(__xludf.DUMMYFUNCTION("""COMPUTED_VALUE"""),"1-")</f>
        <v>1-</v>
      </c>
      <c r="M2212" s="2" t="str">
        <f ca="1">IFERROR(__xludf.DUMMYFUNCTION("""COMPUTED_VALUE"""),"Tinto")</f>
        <v>Tinto</v>
      </c>
    </row>
    <row r="2213" spans="1:13" x14ac:dyDescent="0.25">
      <c r="A2213" s="2" t="str">
        <f ca="1">IFERROR(__xludf.DUMMYFUNCTION("""COMPUTED_VALUE"""),"2b387a44")</f>
        <v>2b387a44</v>
      </c>
      <c r="B2213" s="2"/>
      <c r="C2213" s="5">
        <f ca="1">IFERROR(__xludf.DUMMYFUNCTION("""COMPUTED_VALUE"""),46206.4470717592)</f>
        <v>46206.447071759198</v>
      </c>
      <c r="D2213" s="2">
        <f ca="1">IFERROR(__xludf.DUMMYFUNCTION("""COMPUTED_VALUE"""),26)</f>
        <v>26</v>
      </c>
      <c r="E2213" s="2">
        <f ca="1">IFERROR(__xludf.DUMMYFUNCTION("""COMPUTED_VALUE"""),207600)</f>
        <v>207600</v>
      </c>
      <c r="F2213" s="2" t="str">
        <f ca="1">IFERROR(__xludf.DUMMYFUNCTION("""COMPUTED_VALUE"""),"Criolla Recarga")</f>
        <v>Criolla Recarga</v>
      </c>
      <c r="G2213" s="2">
        <f ca="1">IFERROR(__xludf.DUMMYFUNCTION("""COMPUTED_VALUE"""),0)</f>
        <v>0</v>
      </c>
      <c r="H2213" s="2">
        <f ca="1">IFERROR(__xludf.DUMMYFUNCTION("""COMPUTED_VALUE"""),144300)</f>
        <v>144300</v>
      </c>
      <c r="I2213" s="2"/>
      <c r="J2213" s="2"/>
      <c r="K2213" s="2" t="str">
        <f ca="1">IFERROR(__xludf.DUMMYFUNCTION("""COMPUTED_VALUE"""),"2do Trasiego")</f>
        <v>2do Trasiego</v>
      </c>
      <c r="L2213" s="2" t="str">
        <f ca="1">IFERROR(__xludf.DUMMYFUNCTION("""COMPUTED_VALUE"""),"1")</f>
        <v>1</v>
      </c>
      <c r="M2213" s="2" t="str">
        <f ca="1">IFERROR(__xludf.DUMMYFUNCTION("""COMPUTED_VALUE"""),"Tinto")</f>
        <v>Tinto</v>
      </c>
    </row>
    <row r="2214" spans="1:13" x14ac:dyDescent="0.25">
      <c r="A2214" s="2" t="str">
        <f ca="1">IFERROR(__xludf.DUMMYFUNCTION("""COMPUTED_VALUE"""),"2e8f360e")</f>
        <v>2e8f360e</v>
      </c>
      <c r="B2214" s="2"/>
      <c r="C2214" s="5">
        <f ca="1">IFERROR(__xludf.DUMMYFUNCTION("""COMPUTED_VALUE"""),46206.4476273148)</f>
        <v>46206.447627314803</v>
      </c>
      <c r="D2214" s="2">
        <f ca="1">IFERROR(__xludf.DUMMYFUNCTION("""COMPUTED_VALUE"""),86)</f>
        <v>86</v>
      </c>
      <c r="E2214" s="2">
        <f ca="1">IFERROR(__xludf.DUMMYFUNCTION("""COMPUTED_VALUE"""),88000)</f>
        <v>88000</v>
      </c>
      <c r="F2214" s="2" t="str">
        <f ca="1">IFERROR(__xludf.DUMMYFUNCTION("""COMPUTED_VALUE"""),"Criolla Recarga")</f>
        <v>Criolla Recarga</v>
      </c>
      <c r="G2214" s="2">
        <f ca="1">IFERROR(__xludf.DUMMYFUNCTION("""COMPUTED_VALUE"""),0)</f>
        <v>0</v>
      </c>
      <c r="H2214" s="2">
        <f ca="1">IFERROR(__xludf.DUMMYFUNCTION("""COMPUTED_VALUE"""),50000)</f>
        <v>50000</v>
      </c>
      <c r="I2214" s="2"/>
      <c r="J2214" s="2"/>
      <c r="K2214" s="2" t="str">
        <f ca="1">IFERROR(__xludf.DUMMYFUNCTION("""COMPUTED_VALUE"""),"2do Trasiego")</f>
        <v>2do Trasiego</v>
      </c>
      <c r="L2214" s="2" t="str">
        <f ca="1">IFERROR(__xludf.DUMMYFUNCTION("""COMPUTED_VALUE"""),"1")</f>
        <v>1</v>
      </c>
      <c r="M2214" s="2" t="str">
        <f ca="1">IFERROR(__xludf.DUMMYFUNCTION("""COMPUTED_VALUE"""),"Tinto")</f>
        <v>Tinto</v>
      </c>
    </row>
    <row r="2215" spans="1:13" x14ac:dyDescent="0.25">
      <c r="A2215" s="2" t="str">
        <f ca="1">IFERROR(__xludf.DUMMYFUNCTION("""COMPUTED_VALUE"""),"49acb027")</f>
        <v>49acb027</v>
      </c>
      <c r="B2215" s="2"/>
      <c r="C2215" s="5">
        <f ca="1">IFERROR(__xludf.DUMMYFUNCTION("""COMPUTED_VALUE"""),46206.4479166666)</f>
        <v>46206.447916666599</v>
      </c>
      <c r="D2215" s="2">
        <f ca="1">IFERROR(__xludf.DUMMYFUNCTION("""COMPUTED_VALUE"""),26)</f>
        <v>26</v>
      </c>
      <c r="E2215" s="2">
        <f ca="1">IFERROR(__xludf.DUMMYFUNCTION("""COMPUTED_VALUE"""),207600)</f>
        <v>207600</v>
      </c>
      <c r="F2215" s="2" t="str">
        <f ca="1">IFERROR(__xludf.DUMMYFUNCTION("""COMPUTED_VALUE"""),"Criolla Recarga")</f>
        <v>Criolla Recarga</v>
      </c>
      <c r="G2215" s="2">
        <f ca="1">IFERROR(__xludf.DUMMYFUNCTION("""COMPUTED_VALUE"""),144300)</f>
        <v>144300</v>
      </c>
      <c r="H2215" s="2">
        <f ca="1">IFERROR(__xludf.DUMMYFUNCTION("""COMPUTED_VALUE"""),180300)</f>
        <v>180300</v>
      </c>
      <c r="I2215" s="2"/>
      <c r="J2215" s="2"/>
      <c r="K2215" s="2" t="str">
        <f ca="1">IFERROR(__xludf.DUMMYFUNCTION("""COMPUTED_VALUE"""),"2do Trasiego")</f>
        <v>2do Trasiego</v>
      </c>
      <c r="L2215" s="2" t="str">
        <f ca="1">IFERROR(__xludf.DUMMYFUNCTION("""COMPUTED_VALUE"""),"1")</f>
        <v>1</v>
      </c>
      <c r="M2215" s="2" t="str">
        <f ca="1">IFERROR(__xludf.DUMMYFUNCTION("""COMPUTED_VALUE"""),"Tinto")</f>
        <v>Tinto</v>
      </c>
    </row>
    <row r="2216" spans="1:13" x14ac:dyDescent="0.25">
      <c r="A2216" s="2" t="str">
        <f ca="1">IFERROR(__xludf.DUMMYFUNCTION("""COMPUTED_VALUE"""),"596d47ac")</f>
        <v>596d47ac</v>
      </c>
      <c r="B2216" s="2"/>
      <c r="C2216" s="5">
        <f ca="1">IFERROR(__xludf.DUMMYFUNCTION("""COMPUTED_VALUE"""),46206.4482754629)</f>
        <v>46206.448275462899</v>
      </c>
      <c r="D2216" s="2">
        <f ca="1">IFERROR(__xludf.DUMMYFUNCTION("""COMPUTED_VALUE"""),26)</f>
        <v>26</v>
      </c>
      <c r="E2216" s="2">
        <f ca="1">IFERROR(__xludf.DUMMYFUNCTION("""COMPUTED_VALUE"""),207600)</f>
        <v>207600</v>
      </c>
      <c r="F2216" s="2" t="str">
        <f ca="1">IFERROR(__xludf.DUMMYFUNCTION("""COMPUTED_VALUE"""),"Criolla Recarga")</f>
        <v>Criolla Recarga</v>
      </c>
      <c r="G2216" s="2">
        <f ca="1">IFERROR(__xludf.DUMMYFUNCTION("""COMPUTED_VALUE"""),180300)</f>
        <v>180300</v>
      </c>
      <c r="H2216" s="2">
        <f ca="1">IFERROR(__xludf.DUMMYFUNCTION("""COMPUTED_VALUE"""),207600)</f>
        <v>207600</v>
      </c>
      <c r="I2216" s="2"/>
      <c r="J2216" s="2"/>
      <c r="K2216" s="2" t="str">
        <f ca="1">IFERROR(__xludf.DUMMYFUNCTION("""COMPUTED_VALUE"""),"2do Trasiego")</f>
        <v>2do Trasiego</v>
      </c>
      <c r="L2216" s="2" t="str">
        <f ca="1">IFERROR(__xludf.DUMMYFUNCTION("""COMPUTED_VALUE"""),"1")</f>
        <v>1</v>
      </c>
      <c r="M2216" s="2" t="str">
        <f ca="1">IFERROR(__xludf.DUMMYFUNCTION("""COMPUTED_VALUE"""),"Tinto")</f>
        <v>Tinto</v>
      </c>
    </row>
    <row r="2217" spans="1:13" x14ac:dyDescent="0.25">
      <c r="A2217" s="2" t="str">
        <f ca="1">IFERROR(__xludf.DUMMYFUNCTION("""COMPUTED_VALUE"""),"5af0e048")</f>
        <v>5af0e048</v>
      </c>
      <c r="B2217" s="2"/>
      <c r="C2217" s="5">
        <f ca="1">IFERROR(__xludf.DUMMYFUNCTION("""COMPUTED_VALUE"""),46206.5027430555)</f>
        <v>46206.502743055498</v>
      </c>
      <c r="D2217" s="2">
        <f ca="1">IFERROR(__xludf.DUMMYFUNCTION("""COMPUTED_VALUE"""),12)</f>
        <v>12</v>
      </c>
      <c r="E2217" s="2">
        <f ca="1">IFERROR(__xludf.DUMMYFUNCTION("""COMPUTED_VALUE"""),35300)</f>
        <v>35300</v>
      </c>
      <c r="F2217" s="2" t="str">
        <f ca="1">IFERROR(__xludf.DUMMYFUNCTION("""COMPUTED_VALUE"""),"Claro Filtro")</f>
        <v>Claro Filtro</v>
      </c>
      <c r="G2217" s="2">
        <f ca="1">IFERROR(__xludf.DUMMYFUNCTION("""COMPUTED_VALUE"""),22000)</f>
        <v>22000</v>
      </c>
      <c r="H2217" s="2">
        <f ca="1">IFERROR(__xludf.DUMMYFUNCTION("""COMPUTED_VALUE"""),25000)</f>
        <v>25000</v>
      </c>
      <c r="I2217" s="2"/>
      <c r="J2217" s="2"/>
      <c r="K2217" s="2" t="str">
        <f ca="1">IFERROR(__xludf.DUMMYFUNCTION("""COMPUTED_VALUE"""),"2do Trasiego")</f>
        <v>2do Trasiego</v>
      </c>
      <c r="L2217" s="2"/>
      <c r="M2217" s="2" t="str">
        <f ca="1">IFERROR(__xludf.DUMMYFUNCTION("""COMPUTED_VALUE"""),"Tinto")</f>
        <v>Tinto</v>
      </c>
    </row>
    <row r="2218" spans="1:13" x14ac:dyDescent="0.25">
      <c r="A2218" s="2" t="str">
        <f ca="1">IFERROR(__xludf.DUMMYFUNCTION("""COMPUTED_VALUE"""),"8cc2e1d7")</f>
        <v>8cc2e1d7</v>
      </c>
      <c r="B2218" s="2"/>
      <c r="C2218" s="5">
        <f ca="1">IFERROR(__xludf.DUMMYFUNCTION("""COMPUTED_VALUE"""),46206.5136805555)</f>
        <v>46206.513680555501</v>
      </c>
      <c r="D2218" s="2">
        <f ca="1">IFERROR(__xludf.DUMMYFUNCTION("""COMPUTED_VALUE"""),87)</f>
        <v>87</v>
      </c>
      <c r="E2218" s="2">
        <f ca="1">IFERROR(__xludf.DUMMYFUNCTION("""COMPUTED_VALUE"""),93700)</f>
        <v>93700</v>
      </c>
      <c r="F2218" s="2" t="str">
        <f ca="1">IFERROR(__xludf.DUMMYFUNCTION("""COMPUTED_VALUE"""),"Criolla Recarga")</f>
        <v>Criolla Recarga</v>
      </c>
      <c r="G2218" s="2">
        <f ca="1">IFERROR(__xludf.DUMMYFUNCTION("""COMPUTED_VALUE"""),66400)</f>
        <v>66400</v>
      </c>
      <c r="H2218" s="2">
        <f ca="1">IFERROR(__xludf.DUMMYFUNCTION("""COMPUTED_VALUE"""),76400)</f>
        <v>76400</v>
      </c>
      <c r="I2218" s="2"/>
      <c r="J2218" s="2"/>
      <c r="K2218" s="2" t="str">
        <f ca="1">IFERROR(__xludf.DUMMYFUNCTION("""COMPUTED_VALUE"""),"1er Trasiego")</f>
        <v>1er Trasiego</v>
      </c>
      <c r="L2218" s="2" t="str">
        <f ca="1">IFERROR(__xludf.DUMMYFUNCTION("""COMPUTED_VALUE"""),"1+")</f>
        <v>1+</v>
      </c>
      <c r="M2218" s="2" t="str">
        <f ca="1">IFERROR(__xludf.DUMMYFUNCTION("""COMPUTED_VALUE"""),"Tinto")</f>
        <v>Tinto</v>
      </c>
    </row>
    <row r="2219" spans="1:13" x14ac:dyDescent="0.25">
      <c r="A2219" s="2" t="str">
        <f ca="1">IFERROR(__xludf.DUMMYFUNCTION("""COMPUTED_VALUE"""),"0443a6c4")</f>
        <v>0443a6c4</v>
      </c>
      <c r="B2219" s="2"/>
      <c r="C2219" s="5">
        <f ca="1">IFERROR(__xludf.DUMMYFUNCTION("""COMPUTED_VALUE"""),46210.742511574)</f>
        <v>46210.742511573997</v>
      </c>
      <c r="D2219" s="2">
        <f ca="1">IFERROR(__xludf.DUMMYFUNCTION("""COMPUTED_VALUE"""),42)</f>
        <v>42</v>
      </c>
      <c r="E2219" s="2">
        <f ca="1">IFERROR(__xludf.DUMMYFUNCTION("""COMPUTED_VALUE"""),35900)</f>
        <v>35900</v>
      </c>
      <c r="F2219" s="2" t="str">
        <f ca="1">IFERROR(__xludf.DUMMYFUNCTION("""COMPUTED_VALUE"""),"Criolla Recarga Rectificada")</f>
        <v>Criolla Recarga Rectificada</v>
      </c>
      <c r="G2219" s="2">
        <f ca="1">IFERROR(__xludf.DUMMYFUNCTION("""COMPUTED_VALUE"""),10000)</f>
        <v>10000</v>
      </c>
      <c r="H2219" s="2">
        <f ca="1">IFERROR(__xludf.DUMMYFUNCTION("""COMPUTED_VALUE"""),35900)</f>
        <v>35900</v>
      </c>
      <c r="I2219" s="2"/>
      <c r="J2219" s="2"/>
      <c r="K2219" s="2" t="str">
        <f ca="1">IFERROR(__xludf.DUMMYFUNCTION("""COMPUTED_VALUE"""),"Rectificado")</f>
        <v>Rectificado</v>
      </c>
      <c r="L2219" s="2" t="str">
        <f ca="1">IFERROR(__xludf.DUMMYFUNCTION("""COMPUTED_VALUE"""),"1-")</f>
        <v>1-</v>
      </c>
      <c r="M2219" s="2" t="str">
        <f ca="1">IFERROR(__xludf.DUMMYFUNCTION("""COMPUTED_VALUE"""),"Tinto")</f>
        <v>Tinto</v>
      </c>
    </row>
    <row r="2220" spans="1:13" x14ac:dyDescent="0.25">
      <c r="A2220" s="2" t="str">
        <f ca="1">IFERROR(__xludf.DUMMYFUNCTION("""COMPUTED_VALUE"""),"f81f4f3d")</f>
        <v>f81f4f3d</v>
      </c>
      <c r="B2220" s="2"/>
      <c r="C2220" s="5">
        <f ca="1">IFERROR(__xludf.DUMMYFUNCTION("""COMPUTED_VALUE"""),46210.7442708333)</f>
        <v>46210.744270833296</v>
      </c>
      <c r="D2220" s="2">
        <f ca="1">IFERROR(__xludf.DUMMYFUNCTION("""COMPUTED_VALUE"""),12)</f>
        <v>12</v>
      </c>
      <c r="E2220" s="2">
        <f ca="1">IFERROR(__xludf.DUMMYFUNCTION("""COMPUTED_VALUE"""),35300)</f>
        <v>35300</v>
      </c>
      <c r="F2220" s="2" t="str">
        <f ca="1">IFERROR(__xludf.DUMMYFUNCTION("""COMPUTED_VALUE"""),"Claro Filtro")</f>
        <v>Claro Filtro</v>
      </c>
      <c r="G2220" s="2">
        <f ca="1">IFERROR(__xludf.DUMMYFUNCTION("""COMPUTED_VALUE"""),25000)</f>
        <v>25000</v>
      </c>
      <c r="H2220" s="2">
        <f ca="1">IFERROR(__xludf.DUMMYFUNCTION("""COMPUTED_VALUE"""),27700)</f>
        <v>27700</v>
      </c>
      <c r="I2220" s="2"/>
      <c r="J2220" s="2"/>
      <c r="K2220" s="2" t="str">
        <f ca="1">IFERROR(__xludf.DUMMYFUNCTION("""COMPUTED_VALUE"""),"2do Trasiego")</f>
        <v>2do Trasiego</v>
      </c>
      <c r="L2220" s="2"/>
      <c r="M2220" s="2" t="str">
        <f ca="1">IFERROR(__xludf.DUMMYFUNCTION("""COMPUTED_VALUE"""),"Tinto")</f>
        <v>Tinto</v>
      </c>
    </row>
    <row r="2221" spans="1:13" x14ac:dyDescent="0.25">
      <c r="A2221" s="2" t="str">
        <f ca="1">IFERROR(__xludf.DUMMYFUNCTION("""COMPUTED_VALUE"""),"812cc95b")</f>
        <v>812cc95b</v>
      </c>
      <c r="B2221" s="2"/>
      <c r="C2221" s="5">
        <f ca="1">IFERROR(__xludf.DUMMYFUNCTION("""COMPUTED_VALUE"""),46210.7459606481)</f>
        <v>46210.745960648099</v>
      </c>
      <c r="D2221" s="2">
        <f ca="1">IFERROR(__xludf.DUMMYFUNCTION("""COMPUTED_VALUE"""),500)</f>
        <v>500</v>
      </c>
      <c r="E2221" s="2">
        <f ca="1">IFERROR(__xludf.DUMMYFUNCTION("""COMPUTED_VALUE"""),200000)</f>
        <v>200000</v>
      </c>
      <c r="F2221" s="2" t="str">
        <f ca="1">IFERROR(__xludf.DUMMYFUNCTION("""COMPUTED_VALUE"""),"Ajuste Cosecha 2026")</f>
        <v>Ajuste Cosecha 2026</v>
      </c>
      <c r="G2221" s="2">
        <f ca="1">IFERROR(__xludf.DUMMYFUNCTION("""COMPUTED_VALUE"""),54900)</f>
        <v>54900</v>
      </c>
      <c r="H2221" s="2">
        <f ca="1">IFERROR(__xludf.DUMMYFUNCTION("""COMPUTED_VALUE"""),60900)</f>
        <v>60900</v>
      </c>
      <c r="I2221" s="2"/>
      <c r="J2221" s="2"/>
      <c r="K2221" s="2" t="str">
        <f ca="1">IFERROR(__xludf.DUMMYFUNCTION("""COMPUTED_VALUE"""),"Terminado")</f>
        <v>Terminado</v>
      </c>
      <c r="L2221" s="2"/>
      <c r="M2221" s="2" t="str">
        <f ca="1">IFERROR(__xludf.DUMMYFUNCTION("""COMPUTED_VALUE"""),"Tinto")</f>
        <v>Tinto</v>
      </c>
    </row>
    <row r="2222" spans="1:13" x14ac:dyDescent="0.25">
      <c r="A2222" s="2" t="str">
        <f ca="1">IFERROR(__xludf.DUMMYFUNCTION("""COMPUTED_VALUE"""),"ee661e0f")</f>
        <v>ee661e0f</v>
      </c>
      <c r="B2222" s="2"/>
      <c r="C2222" s="5">
        <f ca="1">IFERROR(__xludf.DUMMYFUNCTION("""COMPUTED_VALUE"""),46210.7501851851)</f>
        <v>46210.750185185098</v>
      </c>
      <c r="D2222" s="2">
        <f ca="1">IFERROR(__xludf.DUMMYFUNCTION("""COMPUTED_VALUE"""),42)</f>
        <v>42</v>
      </c>
      <c r="E2222" s="2">
        <f ca="1">IFERROR(__xludf.DUMMYFUNCTION("""COMPUTED_VALUE"""),35900)</f>
        <v>35900</v>
      </c>
      <c r="F2222" s="2" t="str">
        <f ca="1">IFERROR(__xludf.DUMMYFUNCTION("""COMPUTED_VALUE"""),"Criolla Recarga Rectificada")</f>
        <v>Criolla Recarga Rectificada</v>
      </c>
      <c r="G2222" s="2">
        <f ca="1">IFERROR(__xludf.DUMMYFUNCTION("""COMPUTED_VALUE"""),29900)</f>
        <v>29900</v>
      </c>
      <c r="H2222" s="2">
        <f ca="1">IFERROR(__xludf.DUMMYFUNCTION("""COMPUTED_VALUE"""),35900)</f>
        <v>35900</v>
      </c>
      <c r="I2222" s="2"/>
      <c r="J2222" s="2"/>
      <c r="K2222" s="2" t="str">
        <f ca="1">IFERROR(__xludf.DUMMYFUNCTION("""COMPUTED_VALUE"""),"Rectificado")</f>
        <v>Rectificado</v>
      </c>
      <c r="L2222" s="2" t="str">
        <f ca="1">IFERROR(__xludf.DUMMYFUNCTION("""COMPUTED_VALUE"""),"1-")</f>
        <v>1-</v>
      </c>
      <c r="M2222" s="2" t="str">
        <f ca="1">IFERROR(__xludf.DUMMYFUNCTION("""COMPUTED_VALUE"""),"Tinto")</f>
        <v>Tinto</v>
      </c>
    </row>
    <row r="2223" spans="1:13" x14ac:dyDescent="0.25">
      <c r="A2223" s="2" t="str">
        <f ca="1">IFERROR(__xludf.DUMMYFUNCTION("""COMPUTED_VALUE"""),"e7d1a47c")</f>
        <v>e7d1a47c</v>
      </c>
      <c r="B2223" s="2"/>
      <c r="C2223" s="5">
        <f ca="1">IFERROR(__xludf.DUMMYFUNCTION("""COMPUTED_VALUE"""),46210.7505787037)</f>
        <v>46210.750578703701</v>
      </c>
      <c r="D2223" s="2">
        <f ca="1">IFERROR(__xludf.DUMMYFUNCTION("""COMPUTED_VALUE"""),11)</f>
        <v>11</v>
      </c>
      <c r="E2223" s="2">
        <f ca="1">IFERROR(__xludf.DUMMYFUNCTION("""COMPUTED_VALUE"""),36000)</f>
        <v>36000</v>
      </c>
      <c r="F2223" s="2" t="str">
        <f ca="1">IFERROR(__xludf.DUMMYFUNCTION("""COMPUTED_VALUE"""),"Criolla Recarga")</f>
        <v>Criolla Recarga</v>
      </c>
      <c r="G2223" s="2">
        <f ca="1">IFERROR(__xludf.DUMMYFUNCTION("""COMPUTED_VALUE"""),0)</f>
        <v>0</v>
      </c>
      <c r="H2223" s="2">
        <f ca="1">IFERROR(__xludf.DUMMYFUNCTION("""COMPUTED_VALUE"""),10000)</f>
        <v>10000</v>
      </c>
      <c r="I2223" s="2"/>
      <c r="J2223" s="2"/>
      <c r="K2223" s="2" t="str">
        <f ca="1">IFERROR(__xludf.DUMMYFUNCTION("""COMPUTED_VALUE"""),"Rectificado")</f>
        <v>Rectificado</v>
      </c>
      <c r="L2223" s="2" t="str">
        <f ca="1">IFERROR(__xludf.DUMMYFUNCTION("""COMPUTED_VALUE"""),"1")</f>
        <v>1</v>
      </c>
      <c r="M2223" s="2" t="str">
        <f ca="1">IFERROR(__xludf.DUMMYFUNCTION("""COMPUTED_VALUE"""),"Tinto")</f>
        <v>Tinto</v>
      </c>
    </row>
    <row r="2224" spans="1:13" x14ac:dyDescent="0.25">
      <c r="A2224" s="2" t="str">
        <f ca="1">IFERROR(__xludf.DUMMYFUNCTION("""COMPUTED_VALUE"""),"2cb3788d")</f>
        <v>2cb3788d</v>
      </c>
      <c r="B2224" s="2"/>
      <c r="C2224" s="5">
        <f ca="1">IFERROR(__xludf.DUMMYFUNCTION("""COMPUTED_VALUE"""),46210.7524305555)</f>
        <v>46210.752430555498</v>
      </c>
      <c r="D2224" s="2">
        <f ca="1">IFERROR(__xludf.DUMMYFUNCTION("""COMPUTED_VALUE"""),12)</f>
        <v>12</v>
      </c>
      <c r="E2224" s="2">
        <f ca="1">IFERROR(__xludf.DUMMYFUNCTION("""COMPUTED_VALUE"""),35300)</f>
        <v>35300</v>
      </c>
      <c r="F2224" s="2" t="str">
        <f ca="1">IFERROR(__xludf.DUMMYFUNCTION("""COMPUTED_VALUE"""),"Claro Filtro")</f>
        <v>Claro Filtro</v>
      </c>
      <c r="G2224" s="2">
        <f ca="1">IFERROR(__xludf.DUMMYFUNCTION("""COMPUTED_VALUE"""),27700)</f>
        <v>27700</v>
      </c>
      <c r="H2224" s="2">
        <f ca="1">IFERROR(__xludf.DUMMYFUNCTION("""COMPUTED_VALUE"""),35300)</f>
        <v>35300</v>
      </c>
      <c r="I2224" s="2"/>
      <c r="J2224" s="2"/>
      <c r="K2224" s="2" t="str">
        <f ca="1">IFERROR(__xludf.DUMMYFUNCTION("""COMPUTED_VALUE"""),"2do Trasiego")</f>
        <v>2do Trasiego</v>
      </c>
      <c r="L2224" s="2"/>
      <c r="M2224" s="2" t="str">
        <f ca="1">IFERROR(__xludf.DUMMYFUNCTION("""COMPUTED_VALUE"""),"Tinto")</f>
        <v>Tinto</v>
      </c>
    </row>
    <row r="2225" spans="1:13" x14ac:dyDescent="0.25">
      <c r="A2225" s="2" t="str">
        <f ca="1">IFERROR(__xludf.DUMMYFUNCTION("""COMPUTED_VALUE"""),"1b1a8470")</f>
        <v>1b1a8470</v>
      </c>
      <c r="B2225" s="2"/>
      <c r="C2225" s="5">
        <f ca="1">IFERROR(__xludf.DUMMYFUNCTION("""COMPUTED_VALUE"""),46210.7549537037)</f>
        <v>46210.754953703698</v>
      </c>
      <c r="D2225" s="2">
        <f ca="1">IFERROR(__xludf.DUMMYFUNCTION("""COMPUTED_VALUE"""),86)</f>
        <v>86</v>
      </c>
      <c r="E2225" s="2">
        <f ca="1">IFERROR(__xludf.DUMMYFUNCTION("""COMPUTED_VALUE"""),88000)</f>
        <v>88000</v>
      </c>
      <c r="F2225" s="2" t="str">
        <f ca="1">IFERROR(__xludf.DUMMYFUNCTION("""COMPUTED_VALUE"""),"Criolla Recarga")</f>
        <v>Criolla Recarga</v>
      </c>
      <c r="G2225" s="2">
        <f ca="1">IFERROR(__xludf.DUMMYFUNCTION("""COMPUTED_VALUE"""),21000)</f>
        <v>21000</v>
      </c>
      <c r="H2225" s="2">
        <f ca="1">IFERROR(__xludf.DUMMYFUNCTION("""COMPUTED_VALUE"""),40500)</f>
        <v>40500</v>
      </c>
      <c r="I2225" s="2"/>
      <c r="J2225" s="2"/>
      <c r="K2225" s="2" t="str">
        <f ca="1">IFERROR(__xludf.DUMMYFUNCTION("""COMPUTED_VALUE"""),"2do Trasiego")</f>
        <v>2do Trasiego</v>
      </c>
      <c r="L2225" s="2" t="str">
        <f ca="1">IFERROR(__xludf.DUMMYFUNCTION("""COMPUTED_VALUE"""),"1")</f>
        <v>1</v>
      </c>
      <c r="M2225" s="2" t="str">
        <f ca="1">IFERROR(__xludf.DUMMYFUNCTION("""COMPUTED_VALUE"""),"Tinto")</f>
        <v>Tinto</v>
      </c>
    </row>
    <row r="2226" spans="1:13" x14ac:dyDescent="0.25">
      <c r="A2226" s="2" t="str">
        <f ca="1">IFERROR(__xludf.DUMMYFUNCTION("""COMPUTED_VALUE"""),"1c00cba3")</f>
        <v>1c00cba3</v>
      </c>
      <c r="B2226" s="2"/>
      <c r="C2226" s="5">
        <f ca="1">IFERROR(__xludf.DUMMYFUNCTION("""COMPUTED_VALUE"""),46210.783761574)</f>
        <v>46210.783761573999</v>
      </c>
      <c r="D2226" s="2">
        <f ca="1">IFERROR(__xludf.DUMMYFUNCTION("""COMPUTED_VALUE"""),95)</f>
        <v>95</v>
      </c>
      <c r="E2226" s="2">
        <f ca="1">IFERROR(__xludf.DUMMYFUNCTION("""COMPUTED_VALUE"""),77100)</f>
        <v>77100</v>
      </c>
      <c r="F2226" s="2" t="str">
        <f ca="1">IFERROR(__xludf.DUMMYFUNCTION("""COMPUTED_VALUE"""),"Criolla Recarga")</f>
        <v>Criolla Recarga</v>
      </c>
      <c r="G2226" s="2">
        <f ca="1">IFERROR(__xludf.DUMMYFUNCTION("""COMPUTED_VALUE"""),0)</f>
        <v>0</v>
      </c>
      <c r="H2226" s="2">
        <f ca="1">IFERROR(__xludf.DUMMYFUNCTION("""COMPUTED_VALUE"""),76400)</f>
        <v>76400</v>
      </c>
      <c r="I2226" s="2"/>
      <c r="J2226" s="2"/>
      <c r="K2226" s="2" t="str">
        <f ca="1">IFERROR(__xludf.DUMMYFUNCTION("""COMPUTED_VALUE"""),"2do Trasiego")</f>
        <v>2do Trasiego</v>
      </c>
      <c r="L2226" s="2" t="str">
        <f ca="1">IFERROR(__xludf.DUMMYFUNCTION("""COMPUTED_VALUE"""),"1+")</f>
        <v>1+</v>
      </c>
      <c r="M2226" s="2" t="str">
        <f ca="1">IFERROR(__xludf.DUMMYFUNCTION("""COMPUTED_VALUE"""),"Tinto")</f>
        <v>Tinto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249"/>
  <sheetViews>
    <sheetView tabSelected="1" workbookViewId="0">
      <pane xSplit="3" ySplit="1" topLeftCell="D1325" activePane="bottomRight" state="frozen"/>
      <selection pane="topRight" activeCell="D1" sqref="D1"/>
      <selection pane="bottomLeft" activeCell="A2" sqref="A2"/>
      <selection pane="bottomRight" activeCell="B409" sqref="B409"/>
    </sheetView>
  </sheetViews>
  <sheetFormatPr baseColWidth="10" defaultColWidth="12.6640625" defaultRowHeight="15.75" customHeight="1" x14ac:dyDescent="0.25"/>
  <cols>
    <col min="2" max="2" width="26.33203125" customWidth="1"/>
    <col min="5" max="5" width="26.21875" customWidth="1"/>
    <col min="8" max="8" width="14" customWidth="1"/>
    <col min="9" max="9" width="13.88671875" customWidth="1"/>
    <col min="10" max="10" width="13.77734375" customWidth="1"/>
    <col min="12" max="12" width="13.44140625" customWidth="1"/>
    <col min="14" max="14" width="32.33203125" customWidth="1"/>
  </cols>
  <sheetData>
    <row r="1" spans="1:26" x14ac:dyDescent="0.25">
      <c r="A1" s="6" t="str">
        <f ca="1">IFERROR(__xludf.DUMMYFUNCTION("IMPORTRANGE(""https://docs.google.com/spreadsheets/d/1bt2E_4QcWQciAp1CzzDzW71pc87daHAftlcCSx1EX4Q/edit"",""MOVIMIENTO!A1:U"")"),"ID_Movimiento")</f>
        <v>ID_Movimiento</v>
      </c>
      <c r="B1" s="6" t="str">
        <f ca="1">IFERROR(__xludf.DUMMYFUNCTION("""COMPUTED_VALUE"""),"Date_Time")</f>
        <v>Date_Time</v>
      </c>
      <c r="C1" s="6" t="str">
        <f ca="1">IFERROR(__xludf.DUMMYFUNCTION("""COMPUTED_VALUE"""),"Lote Origen")</f>
        <v>Lote Origen</v>
      </c>
      <c r="D1" s="6" t="str">
        <f ca="1">IFERROR(__xludf.DUMMYFUNCTION("""COMPUTED_VALUE"""),"Pileta Origen")</f>
        <v>Pileta Origen</v>
      </c>
      <c r="E1" s="6" t="str">
        <f ca="1">IFERROR(__xludf.DUMMYFUNCTION("""COMPUTED_VALUE"""),"Variedad Origen")</f>
        <v>Variedad Origen</v>
      </c>
      <c r="F1" s="6" t="str">
        <f ca="1">IFERROR(__xludf.DUMMYFUNCTION("""COMPUTED_VALUE"""),"Volumen Trasegado")</f>
        <v>Volumen Trasegado</v>
      </c>
      <c r="G1" s="6" t="str">
        <f ca="1">IFERROR(__xludf.DUMMYFUNCTION("""COMPUTED_VALUE"""),"Pileta Destino")</f>
        <v>Pileta Destino</v>
      </c>
      <c r="H1" s="6" t="str">
        <f ca="1">IFERROR(__xludf.DUMMYFUNCTION("""COMPUTED_VALUE"""),"Lote Destino Original")</f>
        <v>Lote Destino Original</v>
      </c>
      <c r="I1" s="6" t="str">
        <f ca="1">IFERROR(__xludf.DUMMYFUNCTION("""COMPUTED_VALUE"""),"Variedad Destino Original")</f>
        <v>Variedad Destino Original</v>
      </c>
      <c r="J1" s="6" t="str">
        <f ca="1">IFERROR(__xludf.DUMMYFUNCTION("""COMPUTED_VALUE"""),"Volumen Destino Original")</f>
        <v>Volumen Destino Original</v>
      </c>
      <c r="K1" s="6" t="str">
        <f ca="1">IFERROR(__xludf.DUMMYFUNCTION("""COMPUTED_VALUE"""),"Volumen Destino Final")</f>
        <v>Volumen Destino Final</v>
      </c>
      <c r="L1" s="6" t="str">
        <f ca="1">IFERROR(__xludf.DUMMYFUNCTION("""COMPUTED_VALUE"""),"Lote Destino Final")</f>
        <v>Lote Destino Final</v>
      </c>
      <c r="M1" s="6" t="str">
        <f ca="1">IFERROR(__xludf.DUMMYFUNCTION("""COMPUTED_VALUE"""),"Variedad Destino Final")</f>
        <v>Variedad Destino Final</v>
      </c>
      <c r="N1" s="6" t="str">
        <f ca="1">IFERROR(__xludf.DUMMYFUNCTION("""COMPUTED_VALUE"""),"Observaciones Movimiento")</f>
        <v>Observaciones Movimiento</v>
      </c>
      <c r="O1" s="6" t="str">
        <f ca="1">IFERROR(__xludf.DUMMYFUNCTION("""COMPUTED_VALUE"""),"Pileta Origen Estado")</f>
        <v>Pileta Origen Estado</v>
      </c>
      <c r="P1" s="6" t="str">
        <f ca="1">IFERROR(__xludf.DUMMYFUNCTION("""COMPUTED_VALUE"""),"Pileta Destino Estado")</f>
        <v>Pileta Destino Estado</v>
      </c>
      <c r="Q1" s="6" t="str">
        <f ca="1">IFERROR(__xludf.DUMMYFUNCTION("""COMPUTED_VALUE"""),"Copiar Estado Destino")</f>
        <v>Copiar Estado Destino</v>
      </c>
      <c r="R1" s="6" t="str">
        <f ca="1">IFERROR(__xludf.DUMMYFUNCTION("""COMPUTED_VALUE"""),"Pileta Destino Final Estado")</f>
        <v>Pileta Destino Final Estado</v>
      </c>
      <c r="S1" s="6" t="str">
        <f ca="1">IFERROR(__xludf.DUMMYFUNCTION("""COMPUTED_VALUE"""),"Calificacion Origen")</f>
        <v>Calificacion Origen</v>
      </c>
      <c r="T1" s="6" t="str">
        <f ca="1">IFERROR(__xludf.DUMMYFUNCTION("""COMPUTED_VALUE"""),"Calificacion Destino")</f>
        <v>Calificacion Destino</v>
      </c>
      <c r="U1" s="6" t="str">
        <f ca="1">IFERROR(__xludf.DUMMYFUNCTION("""COMPUTED_VALUE"""),"Calificacion Destino Final")</f>
        <v>Calificacion Destino Final</v>
      </c>
      <c r="V1" s="7"/>
      <c r="W1" s="7"/>
      <c r="X1" s="7"/>
      <c r="Y1" s="7"/>
      <c r="Z1" s="7"/>
    </row>
    <row r="2" spans="1:26" x14ac:dyDescent="0.25">
      <c r="A2" s="2" t="str">
        <f ca="1">IFERROR(__xludf.DUMMYFUNCTION("""COMPUTED_VALUE"""),"de764408")</f>
        <v>de764408</v>
      </c>
      <c r="B2" s="5">
        <f ca="1">IFERROR(__xludf.DUMMYFUNCTION("""COMPUTED_VALUE"""),45703.8756134259)</f>
        <v>45703.875613425902</v>
      </c>
      <c r="C2" s="2" t="str">
        <f ca="1">IFERROR(__xludf.DUMMYFUNCTION("""COMPUTED_VALUE"""),"04b35bd0")</f>
        <v>04b35bd0</v>
      </c>
      <c r="D2" s="2">
        <f ca="1">IFERROR(__xludf.DUMMYFUNCTION("""COMPUTED_VALUE"""),2)</f>
        <v>2</v>
      </c>
      <c r="E2" s="2" t="str">
        <f ca="1">IFERROR(__xludf.DUMMYFUNCTION("""COMPUTED_VALUE"""),"Syrah")</f>
        <v>Syrah</v>
      </c>
      <c r="F2" s="2">
        <f ca="1">IFERROR(__xludf.DUMMYFUNCTION("""COMPUTED_VALUE"""),12500)</f>
        <v>12500</v>
      </c>
      <c r="G2" s="2">
        <f ca="1">IFERROR(__xludf.DUMMYFUNCTION("""COMPUTED_VALUE"""),7)</f>
        <v>7</v>
      </c>
      <c r="H2" s="2"/>
      <c r="I2" s="2"/>
      <c r="J2" s="2"/>
      <c r="K2" s="2">
        <f ca="1">IFERROR(__xludf.DUMMYFUNCTION("""COMPUTED_VALUE"""),12500)</f>
        <v>12500</v>
      </c>
      <c r="L2" s="2" t="str">
        <f ca="1">IFERROR(__xludf.DUMMYFUNCTION("""COMPUTED_VALUE"""),"348ea8a7")</f>
        <v>348ea8a7</v>
      </c>
      <c r="M2" s="2" t="str">
        <f ca="1">IFERROR(__xludf.DUMMYFUNCTION("""COMPUTED_VALUE"""),"Syrah")</f>
        <v>Syrah</v>
      </c>
      <c r="N2" s="2"/>
      <c r="O2" s="2"/>
      <c r="P2" s="2"/>
      <c r="Q2" s="2"/>
      <c r="R2" s="2"/>
      <c r="S2" s="2"/>
      <c r="T2" s="2"/>
      <c r="U2" s="2"/>
    </row>
    <row r="3" spans="1:26" x14ac:dyDescent="0.25">
      <c r="A3" s="2" t="str">
        <f ca="1">IFERROR(__xludf.DUMMYFUNCTION("""COMPUTED_VALUE"""),"6596058d")</f>
        <v>6596058d</v>
      </c>
      <c r="B3" s="5">
        <f ca="1">IFERROR(__xludf.DUMMYFUNCTION("""COMPUTED_VALUE"""),45703.8762037037)</f>
        <v>45703.876203703701</v>
      </c>
      <c r="C3" s="2" t="str">
        <f ca="1">IFERROR(__xludf.DUMMYFUNCTION("""COMPUTED_VALUE"""),"51d6bbdd")</f>
        <v>51d6bbdd</v>
      </c>
      <c r="D3" s="2">
        <f ca="1">IFERROR(__xludf.DUMMYFUNCTION("""COMPUTED_VALUE"""),3)</f>
        <v>3</v>
      </c>
      <c r="E3" s="2" t="str">
        <f ca="1">IFERROR(__xludf.DUMMYFUNCTION("""COMPUTED_VALUE"""),"Malbec")</f>
        <v>Malbec</v>
      </c>
      <c r="F3" s="2">
        <f ca="1">IFERROR(__xludf.DUMMYFUNCTION("""COMPUTED_VALUE"""),14000)</f>
        <v>14000</v>
      </c>
      <c r="G3" s="2">
        <f ca="1">IFERROR(__xludf.DUMMYFUNCTION("""COMPUTED_VALUE"""),7)</f>
        <v>7</v>
      </c>
      <c r="H3" s="2" t="str">
        <f ca="1">IFERROR(__xludf.DUMMYFUNCTION("""COMPUTED_VALUE"""),"348ea8a7")</f>
        <v>348ea8a7</v>
      </c>
      <c r="I3" s="2" t="str">
        <f ca="1">IFERROR(__xludf.DUMMYFUNCTION("""COMPUTED_VALUE"""),"Syrah")</f>
        <v>Syrah</v>
      </c>
      <c r="J3" s="2">
        <f ca="1">IFERROR(__xludf.DUMMYFUNCTION("""COMPUTED_VALUE"""),12500)</f>
        <v>12500</v>
      </c>
      <c r="K3" s="2">
        <f ca="1">IFERROR(__xludf.DUMMYFUNCTION("""COMPUTED_VALUE"""),26500)</f>
        <v>26500</v>
      </c>
      <c r="L3" s="2" t="str">
        <f ca="1">IFERROR(__xludf.DUMMYFUNCTION("""COMPUTED_VALUE"""),"8c336568")</f>
        <v>8c336568</v>
      </c>
      <c r="M3" s="2" t="str">
        <f ca="1">IFERROR(__xludf.DUMMYFUNCTION("""COMPUTED_VALUE"""),"Malbec Syrah")</f>
        <v>Malbec Syrah</v>
      </c>
      <c r="N3" s="2"/>
      <c r="O3" s="2"/>
      <c r="P3" s="2"/>
      <c r="Q3" s="2"/>
      <c r="R3" s="2"/>
      <c r="S3" s="2"/>
      <c r="T3" s="2"/>
      <c r="U3" s="2"/>
    </row>
    <row r="4" spans="1:26" x14ac:dyDescent="0.25">
      <c r="A4" s="2" t="str">
        <f ca="1">IFERROR(__xludf.DUMMYFUNCTION("""COMPUTED_VALUE"""),"ea75ff40")</f>
        <v>ea75ff40</v>
      </c>
      <c r="B4" s="5">
        <f ca="1">IFERROR(__xludf.DUMMYFUNCTION("""COMPUTED_VALUE"""),45704.9033912037)</f>
        <v>45704.903391203698</v>
      </c>
      <c r="C4" s="2" t="str">
        <f ca="1">IFERROR(__xludf.DUMMYFUNCTION("""COMPUTED_VALUE"""),"8c336568")</f>
        <v>8c336568</v>
      </c>
      <c r="D4" s="2">
        <f ca="1">IFERROR(__xludf.DUMMYFUNCTION("""COMPUTED_VALUE"""),7)</f>
        <v>7</v>
      </c>
      <c r="E4" s="2" t="str">
        <f ca="1">IFERROR(__xludf.DUMMYFUNCTION("""COMPUTED_VALUE"""),"Malbec Syrah")</f>
        <v>Malbec Syrah</v>
      </c>
      <c r="F4" s="2">
        <f ca="1">IFERROR(__xludf.DUMMYFUNCTION("""COMPUTED_VALUE"""),26500)</f>
        <v>26500</v>
      </c>
      <c r="G4" s="2">
        <f ca="1">IFERROR(__xludf.DUMMYFUNCTION("""COMPUTED_VALUE"""),5)</f>
        <v>5</v>
      </c>
      <c r="H4" s="2"/>
      <c r="I4" s="2"/>
      <c r="J4" s="2">
        <f ca="1">IFERROR(__xludf.DUMMYFUNCTION("""COMPUTED_VALUE"""),0)</f>
        <v>0</v>
      </c>
      <c r="K4" s="2">
        <f ca="1">IFERROR(__xludf.DUMMYFUNCTION("""COMPUTED_VALUE"""),26500)</f>
        <v>26500</v>
      </c>
      <c r="L4" s="2" t="str">
        <f ca="1">IFERROR(__xludf.DUMMYFUNCTION("""COMPUTED_VALUE"""),"a1c20159")</f>
        <v>a1c20159</v>
      </c>
      <c r="M4" s="2" t="str">
        <f ca="1">IFERROR(__xludf.DUMMYFUNCTION("""COMPUTED_VALUE"""),"Malbec Syrah")</f>
        <v>Malbec Syrah</v>
      </c>
      <c r="N4" s="2"/>
      <c r="O4" s="2"/>
      <c r="P4" s="2"/>
      <c r="Q4" s="2"/>
      <c r="R4" s="2"/>
      <c r="S4" s="2"/>
      <c r="T4" s="2"/>
      <c r="U4" s="2"/>
    </row>
    <row r="5" spans="1:26" x14ac:dyDescent="0.25">
      <c r="A5" s="2" t="str">
        <f ca="1">IFERROR(__xludf.DUMMYFUNCTION("""COMPUTED_VALUE"""),"12e4e13b")</f>
        <v>12e4e13b</v>
      </c>
      <c r="B5" s="3">
        <f ca="1">IFERROR(__xludf.DUMMYFUNCTION("""COMPUTED_VALUE"""),45704.937037037)</f>
        <v>45704.937037037002</v>
      </c>
      <c r="C5" s="2" t="str">
        <f ca="1">IFERROR(__xludf.DUMMYFUNCTION("""COMPUTED_VALUE"""),"a1c20159")</f>
        <v>a1c20159</v>
      </c>
      <c r="D5" s="2">
        <f ca="1">IFERROR(__xludf.DUMMYFUNCTION("""COMPUTED_VALUE"""),5)</f>
        <v>5</v>
      </c>
      <c r="E5" s="2" t="str">
        <f ca="1">IFERROR(__xludf.DUMMYFUNCTION("""COMPUTED_VALUE"""),"Malbec Syrah")</f>
        <v>Malbec Syrah</v>
      </c>
      <c r="F5" s="2">
        <f ca="1">IFERROR(__xludf.DUMMYFUNCTION("""COMPUTED_VALUE"""),26000)</f>
        <v>26000</v>
      </c>
      <c r="G5" s="2">
        <f ca="1">IFERROR(__xludf.DUMMYFUNCTION("""COMPUTED_VALUE"""),79)</f>
        <v>79</v>
      </c>
      <c r="H5" s="2"/>
      <c r="I5" s="2"/>
      <c r="J5" s="2">
        <f ca="1">IFERROR(__xludf.DUMMYFUNCTION("""COMPUTED_VALUE"""),0)</f>
        <v>0</v>
      </c>
      <c r="K5" s="2">
        <f ca="1">IFERROR(__xludf.DUMMYFUNCTION("""COMPUTED_VALUE"""),26000)</f>
        <v>26000</v>
      </c>
      <c r="L5" s="2" t="str">
        <f ca="1">IFERROR(__xludf.DUMMYFUNCTION("""COMPUTED_VALUE"""),"c63f7bed")</f>
        <v>c63f7bed</v>
      </c>
      <c r="M5" s="2" t="str">
        <f ca="1">IFERROR(__xludf.DUMMYFUNCTION("""COMPUTED_VALUE"""),"Malbec Syrah")</f>
        <v>Malbec Syrah</v>
      </c>
      <c r="N5" s="2"/>
      <c r="O5" s="2"/>
      <c r="P5" s="2"/>
      <c r="Q5" s="2"/>
      <c r="R5" s="2"/>
      <c r="S5" s="2"/>
      <c r="T5" s="2"/>
      <c r="U5" s="2"/>
    </row>
    <row r="6" spans="1:26" x14ac:dyDescent="0.25">
      <c r="A6" s="2" t="str">
        <f ca="1">IFERROR(__xludf.DUMMYFUNCTION("""COMPUTED_VALUE"""),"14c84b1e")</f>
        <v>14c84b1e</v>
      </c>
      <c r="B6" s="3">
        <f ca="1">IFERROR(__xludf.DUMMYFUNCTION("""COMPUTED_VALUE"""),45704.9463657407)</f>
        <v>45704.946365740703</v>
      </c>
      <c r="C6" s="2" t="str">
        <f ca="1">IFERROR(__xludf.DUMMYFUNCTION("""COMPUTED_VALUE"""),"6cde19b3")</f>
        <v>6cde19b3</v>
      </c>
      <c r="D6" s="2">
        <f ca="1">IFERROR(__xludf.DUMMYFUNCTION("""COMPUTED_VALUE"""),6)</f>
        <v>6</v>
      </c>
      <c r="E6" s="2" t="str">
        <f ca="1">IFERROR(__xludf.DUMMYFUNCTION("""COMPUTED_VALUE"""),"Merlot")</f>
        <v>Merlot</v>
      </c>
      <c r="F6" s="2">
        <f ca="1">IFERROR(__xludf.DUMMYFUNCTION("""COMPUTED_VALUE"""),37750)</f>
        <v>37750</v>
      </c>
      <c r="G6" s="2">
        <f ca="1">IFERROR(__xludf.DUMMYFUNCTION("""COMPUTED_VALUE"""),30)</f>
        <v>30</v>
      </c>
      <c r="H6" s="2"/>
      <c r="I6" s="2"/>
      <c r="J6" s="2">
        <f ca="1">IFERROR(__xludf.DUMMYFUNCTION("""COMPUTED_VALUE"""),0)</f>
        <v>0</v>
      </c>
      <c r="K6" s="2">
        <f ca="1">IFERROR(__xludf.DUMMYFUNCTION("""COMPUTED_VALUE"""),37750)</f>
        <v>37750</v>
      </c>
      <c r="L6" s="2" t="str">
        <f ca="1">IFERROR(__xludf.DUMMYFUNCTION("""COMPUTED_VALUE"""),"d13652cf")</f>
        <v>d13652cf</v>
      </c>
      <c r="M6" s="2" t="str">
        <f ca="1">IFERROR(__xludf.DUMMYFUNCTION("""COMPUTED_VALUE"""),"Merlot")</f>
        <v>Merlot</v>
      </c>
      <c r="N6" s="2"/>
      <c r="O6" s="2"/>
      <c r="P6" s="2"/>
      <c r="Q6" s="2"/>
      <c r="R6" s="2"/>
      <c r="S6" s="2"/>
      <c r="T6" s="2"/>
      <c r="U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6" x14ac:dyDescent="0.25">
      <c r="A8" s="2" t="str">
        <f ca="1">IFERROR(__xludf.DUMMYFUNCTION("""COMPUTED_VALUE"""),"db9bd61e")</f>
        <v>db9bd61e</v>
      </c>
      <c r="B8" s="3">
        <f ca="1">IFERROR(__xludf.DUMMYFUNCTION("""COMPUTED_VALUE"""),45704.9672800925)</f>
        <v>45704.967280092496</v>
      </c>
      <c r="C8" s="2" t="str">
        <f ca="1">IFERROR(__xludf.DUMMYFUNCTION("""COMPUTED_VALUE"""),"6cde19b3")</f>
        <v>6cde19b3</v>
      </c>
      <c r="D8" s="2">
        <f ca="1">IFERROR(__xludf.DUMMYFUNCTION("""COMPUTED_VALUE"""),6)</f>
        <v>6</v>
      </c>
      <c r="E8" s="2" t="str">
        <f ca="1">IFERROR(__xludf.DUMMYFUNCTION("""COMPUTED_VALUE"""),"Merlot")</f>
        <v>Merlot</v>
      </c>
      <c r="F8" s="2">
        <f ca="1">IFERROR(__xludf.DUMMYFUNCTION("""COMPUTED_VALUE"""),32000)</f>
        <v>32000</v>
      </c>
      <c r="G8" s="2">
        <f ca="1">IFERROR(__xludf.DUMMYFUNCTION("""COMPUTED_VALUE"""),11)</f>
        <v>11</v>
      </c>
      <c r="H8" s="2"/>
      <c r="I8" s="2"/>
      <c r="J8" s="2">
        <f ca="1">IFERROR(__xludf.DUMMYFUNCTION("""COMPUTED_VALUE"""),0)</f>
        <v>0</v>
      </c>
      <c r="K8" s="2">
        <f ca="1">IFERROR(__xludf.DUMMYFUNCTION("""COMPUTED_VALUE"""),32000)</f>
        <v>32000</v>
      </c>
      <c r="L8" s="2" t="str">
        <f ca="1">IFERROR(__xludf.DUMMYFUNCTION("""COMPUTED_VALUE"""),"58b123c6")</f>
        <v>58b123c6</v>
      </c>
      <c r="M8" s="2" t="str">
        <f ca="1">IFERROR(__xludf.DUMMYFUNCTION("""COMPUTED_VALUE"""),"Merlot")</f>
        <v>Merlot</v>
      </c>
      <c r="N8" s="2"/>
      <c r="O8" s="2"/>
      <c r="P8" s="2"/>
      <c r="Q8" s="2"/>
      <c r="R8" s="2"/>
      <c r="S8" s="2"/>
      <c r="T8" s="2"/>
      <c r="U8" s="2"/>
    </row>
    <row r="9" spans="1:26" x14ac:dyDescent="0.25">
      <c r="A9" s="2" t="str">
        <f ca="1">IFERROR(__xludf.DUMMYFUNCTION("""COMPUTED_VALUE"""),"405705de")</f>
        <v>405705de</v>
      </c>
      <c r="B9" s="3">
        <f ca="1">IFERROR(__xludf.DUMMYFUNCTION("""COMPUTED_VALUE"""),45704.9684143518)</f>
        <v>45704.968414351802</v>
      </c>
      <c r="C9" s="2" t="str">
        <f ca="1">IFERROR(__xludf.DUMMYFUNCTION("""COMPUTED_VALUE"""),"a1c20159")</f>
        <v>a1c20159</v>
      </c>
      <c r="D9" s="2">
        <f ca="1">IFERROR(__xludf.DUMMYFUNCTION("""COMPUTED_VALUE"""),5)</f>
        <v>5</v>
      </c>
      <c r="E9" s="2" t="str">
        <f ca="1">IFERROR(__xludf.DUMMYFUNCTION("""COMPUTED_VALUE"""),"Malbec Syrah")</f>
        <v>Malbec Syrah</v>
      </c>
      <c r="F9" s="2">
        <f ca="1">IFERROR(__xludf.DUMMYFUNCTION("""COMPUTED_VALUE"""),500)</f>
        <v>500</v>
      </c>
      <c r="G9" s="2">
        <f ca="1">IFERROR(__xludf.DUMMYFUNCTION("""COMPUTED_VALUE"""),11)</f>
        <v>11</v>
      </c>
      <c r="H9" s="2" t="str">
        <f ca="1">IFERROR(__xludf.DUMMYFUNCTION("""COMPUTED_VALUE"""),"58b123c6")</f>
        <v>58b123c6</v>
      </c>
      <c r="I9" s="2" t="str">
        <f ca="1">IFERROR(__xludf.DUMMYFUNCTION("""COMPUTED_VALUE"""),"Merlot")</f>
        <v>Merlot</v>
      </c>
      <c r="J9" s="2">
        <f ca="1">IFERROR(__xludf.DUMMYFUNCTION("""COMPUTED_VALUE"""),32000)</f>
        <v>32000</v>
      </c>
      <c r="K9" s="2">
        <f ca="1">IFERROR(__xludf.DUMMYFUNCTION("""COMPUTED_VALUE"""),32500)</f>
        <v>32500</v>
      </c>
      <c r="L9" s="2" t="str">
        <f ca="1">IFERROR(__xludf.DUMMYFUNCTION("""COMPUTED_VALUE"""),"53f98d96")</f>
        <v>53f98d96</v>
      </c>
      <c r="M9" s="2" t="str">
        <f ca="1">IFERROR(__xludf.DUMMYFUNCTION("""COMPUTED_VALUE"""),"Merlot")</f>
        <v>Merlot</v>
      </c>
      <c r="N9" s="2"/>
      <c r="O9" s="2"/>
      <c r="P9" s="2"/>
      <c r="Q9" s="2"/>
      <c r="R9" s="2"/>
      <c r="S9" s="2"/>
      <c r="T9" s="2"/>
      <c r="U9" s="2"/>
    </row>
    <row r="10" spans="1:26" x14ac:dyDescent="0.25">
      <c r="A10" s="2" t="str">
        <f ca="1">IFERROR(__xludf.DUMMYFUNCTION("""COMPUTED_VALUE"""),"345b4c91")</f>
        <v>345b4c91</v>
      </c>
      <c r="B10" s="3">
        <f ca="1">IFERROR(__xludf.DUMMYFUNCTION("""COMPUTED_VALUE"""),45704.9696064814)</f>
        <v>45704.969606481398</v>
      </c>
      <c r="C10" s="2" t="str">
        <f ca="1">IFERROR(__xludf.DUMMYFUNCTION("""COMPUTED_VALUE"""),"b27a5ea7")</f>
        <v>b27a5ea7</v>
      </c>
      <c r="D10" s="2">
        <f ca="1">IFERROR(__xludf.DUMMYFUNCTION("""COMPUTED_VALUE"""),1)</f>
        <v>1</v>
      </c>
      <c r="E10" s="2" t="str">
        <f ca="1">IFERROR(__xludf.DUMMYFUNCTION("""COMPUTED_VALUE"""),"Ajuste Volumen")</f>
        <v>Ajuste Volumen</v>
      </c>
      <c r="F10" s="2">
        <f ca="1">IFERROR(__xludf.DUMMYFUNCTION("""COMPUTED_VALUE"""),50)</f>
        <v>50</v>
      </c>
      <c r="G10" s="2">
        <f ca="1">IFERROR(__xludf.DUMMYFUNCTION("""COMPUTED_VALUE"""),30)</f>
        <v>30</v>
      </c>
      <c r="H10" s="2" t="str">
        <f ca="1">IFERROR(__xludf.DUMMYFUNCTION("""COMPUTED_VALUE"""),"d13652cf")</f>
        <v>d13652cf</v>
      </c>
      <c r="I10" s="2" t="str">
        <f ca="1">IFERROR(__xludf.DUMMYFUNCTION("""COMPUTED_VALUE"""),"Merlot")</f>
        <v>Merlot</v>
      </c>
      <c r="J10" s="2">
        <f ca="1">IFERROR(__xludf.DUMMYFUNCTION("""COMPUTED_VALUE"""),37750)</f>
        <v>37750</v>
      </c>
      <c r="K10" s="2">
        <f ca="1">IFERROR(__xludf.DUMMYFUNCTION("""COMPUTED_VALUE"""),37800)</f>
        <v>37800</v>
      </c>
      <c r="L10" s="2" t="str">
        <f ca="1">IFERROR(__xludf.DUMMYFUNCTION("""COMPUTED_VALUE"""),"ce475c91")</f>
        <v>ce475c91</v>
      </c>
      <c r="M10" s="2" t="str">
        <f ca="1">IFERROR(__xludf.DUMMYFUNCTION("""COMPUTED_VALUE"""),"Ajuste Volumen")</f>
        <v>Ajuste Volumen</v>
      </c>
      <c r="N10" s="2"/>
      <c r="O10" s="2"/>
      <c r="P10" s="2"/>
      <c r="Q10" s="2"/>
      <c r="R10" s="2"/>
      <c r="S10" s="2"/>
      <c r="T10" s="2"/>
      <c r="U10" s="2"/>
    </row>
    <row r="11" spans="1:26" x14ac:dyDescent="0.25">
      <c r="A11" s="2" t="str">
        <f ca="1">IFERROR(__xludf.DUMMYFUNCTION("""COMPUTED_VALUE"""),"cdf62189")</f>
        <v>cdf62189</v>
      </c>
      <c r="B11" s="3">
        <f ca="1">IFERROR(__xludf.DUMMYFUNCTION("""COMPUTED_VALUE"""),45708.7141319444)</f>
        <v>45708.714131944398</v>
      </c>
      <c r="C11" s="2" t="str">
        <f ca="1">IFERROR(__xludf.DUMMYFUNCTION("""COMPUTED_VALUE"""),"c76dfce1")</f>
        <v>c76dfce1</v>
      </c>
      <c r="D11" s="2">
        <f ca="1">IFERROR(__xludf.DUMMYFUNCTION("""COMPUTED_VALUE"""),86)</f>
        <v>86</v>
      </c>
      <c r="E11" s="2" t="str">
        <f ca="1">IFERROR(__xludf.DUMMYFUNCTION("""COMPUTED_VALUE"""),"Aspirant")</f>
        <v>Aspirant</v>
      </c>
      <c r="F11" s="2">
        <f ca="1">IFERROR(__xludf.DUMMYFUNCTION("""COMPUTED_VALUE"""),30000)</f>
        <v>30000</v>
      </c>
      <c r="G11" s="2">
        <f ca="1">IFERROR(__xludf.DUMMYFUNCTION("""COMPUTED_VALUE"""),102)</f>
        <v>102</v>
      </c>
      <c r="H11" s="2"/>
      <c r="I11" s="2"/>
      <c r="J11" s="2">
        <f ca="1">IFERROR(__xludf.DUMMYFUNCTION("""COMPUTED_VALUE"""),0)</f>
        <v>0</v>
      </c>
      <c r="K11" s="2">
        <f ca="1">IFERROR(__xludf.DUMMYFUNCTION("""COMPUTED_VALUE"""),30000)</f>
        <v>30000</v>
      </c>
      <c r="L11" s="2" t="str">
        <f ca="1">IFERROR(__xludf.DUMMYFUNCTION("""COMPUTED_VALUE"""),"0835b42b")</f>
        <v>0835b42b</v>
      </c>
      <c r="M11" s="2" t="str">
        <f ca="1">IFERROR(__xludf.DUMMYFUNCTION("""COMPUTED_VALUE"""),"Aspirant")</f>
        <v>Aspirant</v>
      </c>
      <c r="N11" s="2" t="str">
        <f ca="1">IFERROR(__xludf.DUMMYFUNCTION("""COMPUTED_VALUE"""),"Descube")</f>
        <v>Descube</v>
      </c>
      <c r="O11" s="2"/>
      <c r="P11" s="2"/>
      <c r="Q11" s="2"/>
      <c r="R11" s="2"/>
      <c r="S11" s="2"/>
      <c r="T11" s="2"/>
      <c r="U11" s="2"/>
    </row>
    <row r="12" spans="1:26" x14ac:dyDescent="0.25">
      <c r="A12" s="2" t="str">
        <f ca="1">IFERROR(__xludf.DUMMYFUNCTION("""COMPUTED_VALUE"""),"14a9777e")</f>
        <v>14a9777e</v>
      </c>
      <c r="B12" s="3">
        <f ca="1">IFERROR(__xludf.DUMMYFUNCTION("""COMPUTED_VALUE"""),45708.7251504629)</f>
        <v>45708.725150462902</v>
      </c>
      <c r="C12" s="2" t="str">
        <f ca="1">IFERROR(__xludf.DUMMYFUNCTION("""COMPUTED_VALUE"""),"24b66da0")</f>
        <v>24b66da0</v>
      </c>
      <c r="D12" s="2">
        <f ca="1">IFERROR(__xludf.DUMMYFUNCTION("""COMPUTED_VALUE"""),84)</f>
        <v>84</v>
      </c>
      <c r="E12" s="2" t="str">
        <f ca="1">IFERROR(__xludf.DUMMYFUNCTION("""COMPUTED_VALUE"""),"Aspirant Ferm 25")</f>
        <v>Aspirant Ferm 25</v>
      </c>
      <c r="F12" s="2">
        <f ca="1">IFERROR(__xludf.DUMMYFUNCTION("""COMPUTED_VALUE"""),15000)</f>
        <v>15000</v>
      </c>
      <c r="G12" s="2">
        <f ca="1">IFERROR(__xludf.DUMMYFUNCTION("""COMPUTED_VALUE"""),103)</f>
        <v>103</v>
      </c>
      <c r="H12" s="2"/>
      <c r="I12" s="2"/>
      <c r="J12" s="2">
        <f ca="1">IFERROR(__xludf.DUMMYFUNCTION("""COMPUTED_VALUE"""),0)</f>
        <v>0</v>
      </c>
      <c r="K12" s="2">
        <f ca="1">IFERROR(__xludf.DUMMYFUNCTION("""COMPUTED_VALUE"""),15000)</f>
        <v>15000</v>
      </c>
      <c r="L12" s="2" t="str">
        <f ca="1">IFERROR(__xludf.DUMMYFUNCTION("""COMPUTED_VALUE"""),"903e1ab8")</f>
        <v>903e1ab8</v>
      </c>
      <c r="M12" s="2" t="str">
        <f ca="1">IFERROR(__xludf.DUMMYFUNCTION("""COMPUTED_VALUE"""),"Aspirant")</f>
        <v>Aspirant</v>
      </c>
      <c r="N12" s="2" t="str">
        <f ca="1">IFERROR(__xludf.DUMMYFUNCTION("""COMPUTED_VALUE"""),"Descube Gota")</f>
        <v>Descube Gota</v>
      </c>
      <c r="O12" s="2"/>
      <c r="P12" s="2"/>
      <c r="Q12" s="2"/>
      <c r="R12" s="2"/>
      <c r="S12" s="2"/>
      <c r="T12" s="2"/>
      <c r="U12" s="2"/>
    </row>
    <row r="13" spans="1:26" x14ac:dyDescent="0.25">
      <c r="A13" s="2" t="str">
        <f ca="1">IFERROR(__xludf.DUMMYFUNCTION("""COMPUTED_VALUE"""),"ee927519")</f>
        <v>ee927519</v>
      </c>
      <c r="B13" s="3">
        <f ca="1">IFERROR(__xludf.DUMMYFUNCTION("""COMPUTED_VALUE"""),45708.7411458333)</f>
        <v>45708.741145833301</v>
      </c>
      <c r="C13" s="2" t="str">
        <f ca="1">IFERROR(__xludf.DUMMYFUNCTION("""COMPUTED_VALUE"""),"5eb33d17")</f>
        <v>5eb33d17</v>
      </c>
      <c r="D13" s="2">
        <f ca="1">IFERROR(__xludf.DUMMYFUNCTION("""COMPUTED_VALUE"""),81)</f>
        <v>81</v>
      </c>
      <c r="E13" s="2" t="str">
        <f ca="1">IFERROR(__xludf.DUMMYFUNCTION("""COMPUTED_VALUE"""),"Syrah Ferm 25")</f>
        <v>Syrah Ferm 25</v>
      </c>
      <c r="F13" s="2">
        <f ca="1">IFERROR(__xludf.DUMMYFUNCTION("""COMPUTED_VALUE"""),8000)</f>
        <v>8000</v>
      </c>
      <c r="G13" s="2">
        <f ca="1">IFERROR(__xludf.DUMMYFUNCTION("""COMPUTED_VALUE"""),86)</f>
        <v>86</v>
      </c>
      <c r="H13" s="2" t="str">
        <f ca="1">IFERROR(__xludf.DUMMYFUNCTION("""COMPUTED_VALUE"""),"c76dfce1")</f>
        <v>c76dfce1</v>
      </c>
      <c r="I13" s="2" t="str">
        <f ca="1">IFERROR(__xludf.DUMMYFUNCTION("""COMPUTED_VALUE"""),"Aspirant")</f>
        <v>Aspirant</v>
      </c>
      <c r="J13" s="2">
        <f ca="1">IFERROR(__xludf.DUMMYFUNCTION("""COMPUTED_VALUE"""),12000)</f>
        <v>12000</v>
      </c>
      <c r="K13" s="2">
        <f ca="1">IFERROR(__xludf.DUMMYFUNCTION("""COMPUTED_VALUE"""),20000)</f>
        <v>20000</v>
      </c>
      <c r="L13" s="2" t="str">
        <f ca="1">IFERROR(__xludf.DUMMYFUNCTION("""COMPUTED_VALUE"""),"65eb8fac")</f>
        <v>65eb8fac</v>
      </c>
      <c r="M13" s="2" t="str">
        <f ca="1">IFERROR(__xludf.DUMMYFUNCTION("""COMPUTED_VALUE"""),"Syrah s/Asp")</f>
        <v>Syrah s/Asp</v>
      </c>
      <c r="N13" s="2" t="str">
        <f ca="1">IFERROR(__xludf.DUMMYFUNCTION("""COMPUTED_VALUE"""),"Descube gota y prensa a Aspirant")</f>
        <v>Descube gota y prensa a Aspirant</v>
      </c>
      <c r="O13" s="2"/>
      <c r="P13" s="2"/>
      <c r="Q13" s="2"/>
      <c r="R13" s="2"/>
      <c r="S13" s="2"/>
      <c r="T13" s="2"/>
      <c r="U13" s="2"/>
    </row>
    <row r="14" spans="1:26" x14ac:dyDescent="0.25">
      <c r="A14" s="2" t="str">
        <f ca="1">IFERROR(__xludf.DUMMYFUNCTION("""COMPUTED_VALUE"""),"6f1c07ae")</f>
        <v>6f1c07ae</v>
      </c>
      <c r="B14" s="3">
        <f ca="1">IFERROR(__xludf.DUMMYFUNCTION("""COMPUTED_VALUE"""),45708.7473032406)</f>
        <v>45708.7473032407</v>
      </c>
      <c r="C14" s="2" t="str">
        <f ca="1">IFERROR(__xludf.DUMMYFUNCTION("""COMPUTED_VALUE"""),"7c1795fa")</f>
        <v>7c1795fa</v>
      </c>
      <c r="D14" s="2">
        <f ca="1">IFERROR(__xludf.DUMMYFUNCTION("""COMPUTED_VALUE"""),82)</f>
        <v>82</v>
      </c>
      <c r="E14" s="2" t="str">
        <f ca="1">IFERROR(__xludf.DUMMYFUNCTION("""COMPUTED_VALUE"""),"Merlot Ferm 25")</f>
        <v>Merlot Ferm 25</v>
      </c>
      <c r="F14" s="2">
        <f ca="1">IFERROR(__xludf.DUMMYFUNCTION("""COMPUTED_VALUE"""),20000)</f>
        <v>20000</v>
      </c>
      <c r="G14" s="2">
        <f ca="1">IFERROR(__xludf.DUMMYFUNCTION("""COMPUTED_VALUE"""),86)</f>
        <v>86</v>
      </c>
      <c r="H14" s="2" t="str">
        <f ca="1">IFERROR(__xludf.DUMMYFUNCTION("""COMPUTED_VALUE"""),"65eb8fac")</f>
        <v>65eb8fac</v>
      </c>
      <c r="I14" s="2" t="str">
        <f ca="1">IFERROR(__xludf.DUMMYFUNCTION("""COMPUTED_VALUE"""),"Syrah s/Asp")</f>
        <v>Syrah s/Asp</v>
      </c>
      <c r="J14" s="2">
        <f ca="1">IFERROR(__xludf.DUMMYFUNCTION("""COMPUTED_VALUE"""),20000)</f>
        <v>20000</v>
      </c>
      <c r="K14" s="2">
        <f ca="1">IFERROR(__xludf.DUMMYFUNCTION("""COMPUTED_VALUE"""),40000)</f>
        <v>40000</v>
      </c>
      <c r="L14" s="2" t="str">
        <f ca="1">IFERROR(__xludf.DUMMYFUNCTION("""COMPUTED_VALUE"""),"13b5f72f")</f>
        <v>13b5f72f</v>
      </c>
      <c r="M14" s="2" t="str">
        <f ca="1">IFERROR(__xludf.DUMMYFUNCTION("""COMPUTED_VALUE"""),"Syrah Merlot s/Asp")</f>
        <v>Syrah Merlot s/Asp</v>
      </c>
      <c r="N14" s="2" t="str">
        <f ca="1">IFERROR(__xludf.DUMMYFUNCTION("""COMPUTED_VALUE"""),"Descube gota y prensa")</f>
        <v>Descube gota y prensa</v>
      </c>
      <c r="O14" s="2"/>
      <c r="P14" s="2"/>
      <c r="Q14" s="2"/>
      <c r="R14" s="2"/>
      <c r="S14" s="2"/>
      <c r="T14" s="2"/>
      <c r="U14" s="2"/>
    </row>
    <row r="15" spans="1:26" x14ac:dyDescent="0.25">
      <c r="A15" s="2" t="str">
        <f ca="1">IFERROR(__xludf.DUMMYFUNCTION("""COMPUTED_VALUE"""),"662b2483")</f>
        <v>662b2483</v>
      </c>
      <c r="B15" s="3">
        <f ca="1">IFERROR(__xludf.DUMMYFUNCTION("""COMPUTED_VALUE"""),45708.7502546296)</f>
        <v>45708.750254629602</v>
      </c>
      <c r="C15" s="2" t="str">
        <f ca="1">IFERROR(__xludf.DUMMYFUNCTION("""COMPUTED_VALUE"""),"7366c02e")</f>
        <v>7366c02e</v>
      </c>
      <c r="D15" s="2">
        <f ca="1">IFERROR(__xludf.DUMMYFUNCTION("""COMPUTED_VALUE"""),65)</f>
        <v>65</v>
      </c>
      <c r="E15" s="2" t="str">
        <f ca="1">IFERROR(__xludf.DUMMYFUNCTION("""COMPUTED_VALUE"""),"Merlot Ferm 25")</f>
        <v>Merlot Ferm 25</v>
      </c>
      <c r="F15" s="2">
        <f ca="1">IFERROR(__xludf.DUMMYFUNCTION("""COMPUTED_VALUE"""),15000)</f>
        <v>15000</v>
      </c>
      <c r="G15" s="2">
        <f ca="1">IFERROR(__xludf.DUMMYFUNCTION("""COMPUTED_VALUE"""),84)</f>
        <v>84</v>
      </c>
      <c r="H15" s="2" t="str">
        <f ca="1">IFERROR(__xludf.DUMMYFUNCTION("""COMPUTED_VALUE"""),"24b66da0")</f>
        <v>24b66da0</v>
      </c>
      <c r="I15" s="2" t="str">
        <f ca="1">IFERROR(__xludf.DUMMYFUNCTION("""COMPUTED_VALUE"""),"Aspirant Ferm 25")</f>
        <v>Aspirant Ferm 25</v>
      </c>
      <c r="J15" s="2">
        <f ca="1">IFERROR(__xludf.DUMMYFUNCTION("""COMPUTED_VALUE"""),15000)</f>
        <v>15000</v>
      </c>
      <c r="K15" s="2">
        <f ca="1">IFERROR(__xludf.DUMMYFUNCTION("""COMPUTED_VALUE"""),30000)</f>
        <v>30000</v>
      </c>
      <c r="L15" s="2" t="str">
        <f ca="1">IFERROR(__xludf.DUMMYFUNCTION("""COMPUTED_VALUE"""),"3c569c0a")</f>
        <v>3c569c0a</v>
      </c>
      <c r="M15" s="2" t="str">
        <f ca="1">IFERROR(__xludf.DUMMYFUNCTION("""COMPUTED_VALUE"""),"Merlot s/Asp")</f>
        <v>Merlot s/Asp</v>
      </c>
      <c r="N15" s="2" t="str">
        <f ca="1">IFERROR(__xludf.DUMMYFUNCTION("""COMPUTED_VALUE"""),"Descube Gota y prensa sobre Aspirant")</f>
        <v>Descube Gota y prensa sobre Aspirant</v>
      </c>
      <c r="O15" s="2"/>
      <c r="P15" s="2"/>
      <c r="Q15" s="2"/>
      <c r="R15" s="2"/>
      <c r="S15" s="2"/>
      <c r="T15" s="2"/>
      <c r="U15" s="2"/>
    </row>
    <row r="16" spans="1:26" x14ac:dyDescent="0.25">
      <c r="A16" s="2" t="str">
        <f ca="1">IFERROR(__xludf.DUMMYFUNCTION("""COMPUTED_VALUE"""),"9f189d7d")</f>
        <v>9f189d7d</v>
      </c>
      <c r="B16" s="3">
        <f ca="1">IFERROR(__xludf.DUMMYFUNCTION("""COMPUTED_VALUE"""),45708.7518055555)</f>
        <v>45708.751805555497</v>
      </c>
      <c r="C16" s="2" t="str">
        <f ca="1">IFERROR(__xludf.DUMMYFUNCTION("""COMPUTED_VALUE"""),"0632409f")</f>
        <v>0632409f</v>
      </c>
      <c r="D16" s="2">
        <f ca="1">IFERROR(__xludf.DUMMYFUNCTION("""COMPUTED_VALUE"""),83)</f>
        <v>83</v>
      </c>
      <c r="E16" s="2" t="str">
        <f ca="1">IFERROR(__xludf.DUMMYFUNCTION("""COMPUTED_VALUE"""),"Malbec Ferm 25")</f>
        <v>Malbec Ferm 25</v>
      </c>
      <c r="F16" s="2">
        <f ca="1">IFERROR(__xludf.DUMMYFUNCTION("""COMPUTED_VALUE"""),25000)</f>
        <v>25000</v>
      </c>
      <c r="G16" s="2">
        <f ca="1">IFERROR(__xludf.DUMMYFUNCTION("""COMPUTED_VALUE"""),104)</f>
        <v>104</v>
      </c>
      <c r="H16" s="2"/>
      <c r="I16" s="2"/>
      <c r="J16" s="2">
        <f ca="1">IFERROR(__xludf.DUMMYFUNCTION("""COMPUTED_VALUE"""),0)</f>
        <v>0</v>
      </c>
      <c r="K16" s="2">
        <f ca="1">IFERROR(__xludf.DUMMYFUNCTION("""COMPUTED_VALUE"""),29000)</f>
        <v>29000</v>
      </c>
      <c r="L16" s="2" t="str">
        <f ca="1">IFERROR(__xludf.DUMMYFUNCTION("""COMPUTED_VALUE"""),"d7af693c")</f>
        <v>d7af693c</v>
      </c>
      <c r="M16" s="2" t="str">
        <f ca="1">IFERROR(__xludf.DUMMYFUNCTION("""COMPUTED_VALUE"""),"Malbec Gota")</f>
        <v>Malbec Gota</v>
      </c>
      <c r="N16" s="2" t="str">
        <f ca="1">IFERROR(__xludf.DUMMYFUNCTION("""COMPUTED_VALUE"""),"Descube Gota")</f>
        <v>Descube Gota</v>
      </c>
      <c r="O16" s="2"/>
      <c r="P16" s="2"/>
      <c r="Q16" s="2"/>
      <c r="R16" s="2"/>
      <c r="S16" s="2"/>
      <c r="T16" s="2"/>
      <c r="U16" s="2"/>
    </row>
    <row r="17" spans="1:21" x14ac:dyDescent="0.25">
      <c r="A17" s="2" t="str">
        <f ca="1">IFERROR(__xludf.DUMMYFUNCTION("""COMPUTED_VALUE"""),"cfa35761")</f>
        <v>cfa35761</v>
      </c>
      <c r="B17" s="3">
        <f ca="1">IFERROR(__xludf.DUMMYFUNCTION("""COMPUTED_VALUE"""),45708.7533449074)</f>
        <v>45708.753344907404</v>
      </c>
      <c r="C17" s="2" t="str">
        <f ca="1">IFERROR(__xludf.DUMMYFUNCTION("""COMPUTED_VALUE"""),"0632409f")</f>
        <v>0632409f</v>
      </c>
      <c r="D17" s="2">
        <f ca="1">IFERROR(__xludf.DUMMYFUNCTION("""COMPUTED_VALUE"""),83)</f>
        <v>83</v>
      </c>
      <c r="E17" s="2" t="str">
        <f ca="1">IFERROR(__xludf.DUMMYFUNCTION("""COMPUTED_VALUE"""),"Malbec Ferm 25")</f>
        <v>Malbec Ferm 25</v>
      </c>
      <c r="F17" s="2">
        <f ca="1">IFERROR(__xludf.DUMMYFUNCTION("""COMPUTED_VALUE"""),5000)</f>
        <v>5000</v>
      </c>
      <c r="G17" s="2">
        <f ca="1">IFERROR(__xludf.DUMMYFUNCTION("""COMPUTED_VALUE"""),105)</f>
        <v>105</v>
      </c>
      <c r="H17" s="2"/>
      <c r="I17" s="2"/>
      <c r="J17" s="2">
        <f ca="1">IFERROR(__xludf.DUMMYFUNCTION("""COMPUTED_VALUE"""),0)</f>
        <v>0</v>
      </c>
      <c r="K17" s="2">
        <f ca="1">IFERROR(__xludf.DUMMYFUNCTION("""COMPUTED_VALUE"""),5000)</f>
        <v>5000</v>
      </c>
      <c r="L17" s="2" t="str">
        <f ca="1">IFERROR(__xludf.DUMMYFUNCTION("""COMPUTED_VALUE"""),"1749cd27")</f>
        <v>1749cd27</v>
      </c>
      <c r="M17" s="2" t="str">
        <f ca="1">IFERROR(__xludf.DUMMYFUNCTION("""COMPUTED_VALUE"""),"Malbec Prensa")</f>
        <v>Malbec Prensa</v>
      </c>
      <c r="N17" s="2" t="str">
        <f ca="1">IFERROR(__xludf.DUMMYFUNCTION("""COMPUTED_VALUE"""),"Malbec descubado a prensa")</f>
        <v>Malbec descubado a prensa</v>
      </c>
      <c r="O17" s="2"/>
      <c r="P17" s="2"/>
      <c r="Q17" s="2"/>
      <c r="R17" s="2"/>
      <c r="S17" s="2"/>
      <c r="T17" s="2"/>
      <c r="U17" s="2"/>
    </row>
    <row r="18" spans="1:21" x14ac:dyDescent="0.25">
      <c r="A18" s="2" t="str">
        <f ca="1">IFERROR(__xludf.DUMMYFUNCTION("""COMPUTED_VALUE"""),"968706bd")</f>
        <v>968706bd</v>
      </c>
      <c r="B18" s="3">
        <f ca="1">IFERROR(__xludf.DUMMYFUNCTION("""COMPUTED_VALUE"""),45709.8141898148)</f>
        <v>45709.814189814802</v>
      </c>
      <c r="C18" s="2" t="str">
        <f ca="1">IFERROR(__xludf.DUMMYFUNCTION("""COMPUTED_VALUE"""),"f6f9d651")</f>
        <v>f6f9d651</v>
      </c>
      <c r="D18" s="2">
        <f ca="1">IFERROR(__xludf.DUMMYFUNCTION("""COMPUTED_VALUE"""),88)</f>
        <v>88</v>
      </c>
      <c r="E18" s="2" t="str">
        <f ca="1">IFERROR(__xludf.DUMMYFUNCTION("""COMPUTED_VALUE"""),"Merlot")</f>
        <v>Merlot</v>
      </c>
      <c r="F18" s="2">
        <f ca="1">IFERROR(__xludf.DUMMYFUNCTION("""COMPUTED_VALUE"""),10000)</f>
        <v>10000</v>
      </c>
      <c r="G18" s="2">
        <f ca="1">IFERROR(__xludf.DUMMYFUNCTION("""COMPUTED_VALUE"""),80)</f>
        <v>80</v>
      </c>
      <c r="H18" s="2" t="str">
        <f ca="1">IFERROR(__xludf.DUMMYFUNCTION("""COMPUTED_VALUE"""),"868560b2")</f>
        <v>868560b2</v>
      </c>
      <c r="I18" s="2" t="str">
        <f ca="1">IFERROR(__xludf.DUMMYFUNCTION("""COMPUTED_VALUE"""),"Aspirant Ferm 25")</f>
        <v>Aspirant Ferm 25</v>
      </c>
      <c r="J18" s="2">
        <f ca="1">IFERROR(__xludf.DUMMYFUNCTION("""COMPUTED_VALUE"""),12000)</f>
        <v>12000</v>
      </c>
      <c r="K18" s="2">
        <f ca="1">IFERROR(__xludf.DUMMYFUNCTION("""COMPUTED_VALUE"""),22000)</f>
        <v>22000</v>
      </c>
      <c r="L18" s="2" t="str">
        <f ca="1">IFERROR(__xludf.DUMMYFUNCTION("""COMPUTED_VALUE"""),"d6272af5")</f>
        <v>d6272af5</v>
      </c>
      <c r="M18" s="2" t="str">
        <f ca="1">IFERROR(__xludf.DUMMYFUNCTION("""COMPUTED_VALUE"""),"Merlot s/ Asp")</f>
        <v>Merlot s/ Asp</v>
      </c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tr">
        <f ca="1">IFERROR(__xludf.DUMMYFUNCTION("""COMPUTED_VALUE"""),"8dbab148")</f>
        <v>8dbab148</v>
      </c>
      <c r="B19" s="3">
        <f ca="1">IFERROR(__xludf.DUMMYFUNCTION("""COMPUTED_VALUE"""),45709.8363310185)</f>
        <v>45709.836331018501</v>
      </c>
      <c r="C19" s="2" t="str">
        <f ca="1">IFERROR(__xludf.DUMMYFUNCTION("""COMPUTED_VALUE"""),"e323890c")</f>
        <v>e323890c</v>
      </c>
      <c r="D19" s="2">
        <f ca="1">IFERROR(__xludf.DUMMYFUNCTION("""COMPUTED_VALUE"""),85)</f>
        <v>85</v>
      </c>
      <c r="E19" s="2" t="str">
        <f ca="1">IFERROR(__xludf.DUMMYFUNCTION("""COMPUTED_VALUE"""),"Aspirant Anccelota Ferm")</f>
        <v>Aspirant Anccelota Ferm</v>
      </c>
      <c r="F19" s="2">
        <f ca="1">IFERROR(__xludf.DUMMYFUNCTION("""COMPUTED_VALUE"""),30000)</f>
        <v>30000</v>
      </c>
      <c r="G19" s="2">
        <f ca="1">IFERROR(__xludf.DUMMYFUNCTION("""COMPUTED_VALUE"""),107)</f>
        <v>107</v>
      </c>
      <c r="H19" s="2"/>
      <c r="I19" s="2"/>
      <c r="J19" s="2">
        <f ca="1">IFERROR(__xludf.DUMMYFUNCTION("""COMPUTED_VALUE"""),0)</f>
        <v>0</v>
      </c>
      <c r="K19" s="2">
        <f ca="1">IFERROR(__xludf.DUMMYFUNCTION("""COMPUTED_VALUE"""),30000)</f>
        <v>30000</v>
      </c>
      <c r="L19" s="2" t="str">
        <f ca="1">IFERROR(__xludf.DUMMYFUNCTION("""COMPUTED_VALUE"""),"0aa8c362")</f>
        <v>0aa8c362</v>
      </c>
      <c r="M19" s="2" t="str">
        <f ca="1">IFERROR(__xludf.DUMMYFUNCTION("""COMPUTED_VALUE"""),"Aspirant Anccelota Gota")</f>
        <v>Aspirant Anccelota Gota</v>
      </c>
      <c r="N19" s="2" t="str">
        <f ca="1">IFERROR(__xludf.DUMMYFUNCTION("""COMPUTED_VALUE"""),"Sin prensar pileta origen para recargar")</f>
        <v>Sin prensar pileta origen para recargar</v>
      </c>
      <c r="O19" s="2"/>
      <c r="P19" s="2"/>
      <c r="Q19" s="2"/>
      <c r="R19" s="2"/>
      <c r="S19" s="2"/>
      <c r="T19" s="2"/>
      <c r="U19" s="2"/>
    </row>
    <row r="20" spans="1:21" x14ac:dyDescent="0.25">
      <c r="A20" s="2" t="str">
        <f ca="1">IFERROR(__xludf.DUMMYFUNCTION("""COMPUTED_VALUE"""),"7039bd57")</f>
        <v>7039bd57</v>
      </c>
      <c r="B20" s="3">
        <f ca="1">IFERROR(__xludf.DUMMYFUNCTION("""COMPUTED_VALUE"""),45709.837037037)</f>
        <v>45709.837037037003</v>
      </c>
      <c r="C20" s="2" t="str">
        <f ca="1">IFERROR(__xludf.DUMMYFUNCTION("""COMPUTED_VALUE"""),"f6f9d651")</f>
        <v>f6f9d651</v>
      </c>
      <c r="D20" s="2">
        <f ca="1">IFERROR(__xludf.DUMMYFUNCTION("""COMPUTED_VALUE"""),88)</f>
        <v>88</v>
      </c>
      <c r="E20" s="2" t="str">
        <f ca="1">IFERROR(__xludf.DUMMYFUNCTION("""COMPUTED_VALUE"""),"Merlot")</f>
        <v>Merlot</v>
      </c>
      <c r="F20" s="2">
        <f ca="1">IFERROR(__xludf.DUMMYFUNCTION("""COMPUTED_VALUE"""),18000)</f>
        <v>18000</v>
      </c>
      <c r="G20" s="2">
        <f ca="1">IFERROR(__xludf.DUMMYFUNCTION("""COMPUTED_VALUE"""),85)</f>
        <v>85</v>
      </c>
      <c r="H20" s="2" t="str">
        <f ca="1">IFERROR(__xludf.DUMMYFUNCTION("""COMPUTED_VALUE"""),"e323890c")</f>
        <v>e323890c</v>
      </c>
      <c r="I20" s="2" t="str">
        <f ca="1">IFERROR(__xludf.DUMMYFUNCTION("""COMPUTED_VALUE"""),"Aspirant Anccelota Ferm")</f>
        <v>Aspirant Anccelota Ferm</v>
      </c>
      <c r="J20" s="2">
        <f ca="1">IFERROR(__xludf.DUMMYFUNCTION("""COMPUTED_VALUE"""),10000)</f>
        <v>10000</v>
      </c>
      <c r="K20" s="2">
        <f ca="1">IFERROR(__xludf.DUMMYFUNCTION("""COMPUTED_VALUE"""),28000)</f>
        <v>28000</v>
      </c>
      <c r="L20" s="2" t="str">
        <f ca="1">IFERROR(__xludf.DUMMYFUNCTION("""COMPUTED_VALUE"""),"f8624f14")</f>
        <v>f8624f14</v>
      </c>
      <c r="M20" s="2" t="str">
        <f ca="1">IFERROR(__xludf.DUMMYFUNCTION("""COMPUTED_VALUE"""),"Merlot s/Asp")</f>
        <v>Merlot s/Asp</v>
      </c>
      <c r="N20" s="2" t="str">
        <f ca="1">IFERROR(__xludf.DUMMYFUNCTION("""COMPUTED_VALUE"""),"Gota y Prensa sobre Aspirant")</f>
        <v>Gota y Prensa sobre Aspirant</v>
      </c>
      <c r="O20" s="2"/>
      <c r="P20" s="2"/>
      <c r="Q20" s="2"/>
      <c r="R20" s="2"/>
      <c r="S20" s="2"/>
      <c r="T20" s="2"/>
      <c r="U20" s="2"/>
    </row>
    <row r="21" spans="1:21" x14ac:dyDescent="0.25">
      <c r="A21" s="2" t="str">
        <f ca="1">IFERROR(__xludf.DUMMYFUNCTION("""COMPUTED_VALUE"""),"22cfff5c")</f>
        <v>22cfff5c</v>
      </c>
      <c r="B21" s="3">
        <f ca="1">IFERROR(__xludf.DUMMYFUNCTION("""COMPUTED_VALUE"""),45713.5227777777)</f>
        <v>45713.522777777704</v>
      </c>
      <c r="C21" s="2" t="str">
        <f ca="1">IFERROR(__xludf.DUMMYFUNCTION("""COMPUTED_VALUE"""),"13b5f72f")</f>
        <v>13b5f72f</v>
      </c>
      <c r="D21" s="2">
        <f ca="1">IFERROR(__xludf.DUMMYFUNCTION("""COMPUTED_VALUE"""),86)</f>
        <v>86</v>
      </c>
      <c r="E21" s="2" t="str">
        <f ca="1">IFERROR(__xludf.DUMMYFUNCTION("""COMPUTED_VALUE"""),"Syrah Merlot s/Asp")</f>
        <v>Syrah Merlot s/Asp</v>
      </c>
      <c r="F21" s="2">
        <f ca="1">IFERROR(__xludf.DUMMYFUNCTION("""COMPUTED_VALUE"""),25000)</f>
        <v>25000</v>
      </c>
      <c r="G21" s="2">
        <f ca="1">IFERROR(__xludf.DUMMYFUNCTION("""COMPUTED_VALUE"""),105)</f>
        <v>105</v>
      </c>
      <c r="H21" s="2" t="str">
        <f ca="1">IFERROR(__xludf.DUMMYFUNCTION("""COMPUTED_VALUE"""),"1749cd27")</f>
        <v>1749cd27</v>
      </c>
      <c r="I21" s="2" t="str">
        <f ca="1">IFERROR(__xludf.DUMMYFUNCTION("""COMPUTED_VALUE"""),"Malbec Prensa")</f>
        <v>Malbec Prensa</v>
      </c>
      <c r="J21" s="2">
        <f ca="1">IFERROR(__xludf.DUMMYFUNCTION("""COMPUTED_VALUE"""),5000)</f>
        <v>5000</v>
      </c>
      <c r="K21" s="2">
        <f ca="1">IFERROR(__xludf.DUMMYFUNCTION("""COMPUTED_VALUE"""),30000)</f>
        <v>30000</v>
      </c>
      <c r="L21" s="2" t="str">
        <f ca="1">IFERROR(__xludf.DUMMYFUNCTION("""COMPUTED_VALUE"""),"a43178d5")</f>
        <v>a43178d5</v>
      </c>
      <c r="M21" s="2" t="str">
        <f ca="1">IFERROR(__xludf.DUMMYFUNCTION("""COMPUTED_VALUE"""),"Syrah Merlot s/Asp gota")</f>
        <v>Syrah Merlot s/Asp gota</v>
      </c>
      <c r="N21" s="2" t="str">
        <f ca="1">IFERROR(__xludf.DUMMYFUNCTION("""COMPUTED_VALUE"""),"Descube Gota")</f>
        <v>Descube Gota</v>
      </c>
      <c r="O21" s="2"/>
      <c r="P21" s="2"/>
      <c r="Q21" s="2"/>
      <c r="R21" s="2"/>
      <c r="S21" s="2"/>
      <c r="T21" s="2"/>
      <c r="U21" s="2"/>
    </row>
    <row r="22" spans="1:21" x14ac:dyDescent="0.25">
      <c r="A22" s="2" t="str">
        <f ca="1">IFERROR(__xludf.DUMMYFUNCTION("""COMPUTED_VALUE"""),"1ee5f0af")</f>
        <v>1ee5f0af</v>
      </c>
      <c r="B22" s="3">
        <f ca="1">IFERROR(__xludf.DUMMYFUNCTION("""COMPUTED_VALUE"""),45713.5367013888)</f>
        <v>45713.536701388803</v>
      </c>
      <c r="C22" s="2" t="str">
        <f ca="1">IFERROR(__xludf.DUMMYFUNCTION("""COMPUTED_VALUE"""),"13b5f72f")</f>
        <v>13b5f72f</v>
      </c>
      <c r="D22" s="2">
        <f ca="1">IFERROR(__xludf.DUMMYFUNCTION("""COMPUTED_VALUE"""),86)</f>
        <v>86</v>
      </c>
      <c r="E22" s="2" t="str">
        <f ca="1">IFERROR(__xludf.DUMMYFUNCTION("""COMPUTED_VALUE"""),"Syrah Merlot s/Asp")</f>
        <v>Syrah Merlot s/Asp</v>
      </c>
      <c r="F22" s="2">
        <f ca="1">IFERROR(__xludf.DUMMYFUNCTION("""COMPUTED_VALUE"""),7500)</f>
        <v>7500</v>
      </c>
      <c r="G22" s="2">
        <f ca="1">IFERROR(__xludf.DUMMYFUNCTION("""COMPUTED_VALUE"""),108)</f>
        <v>108</v>
      </c>
      <c r="H22" s="2"/>
      <c r="I22" s="2"/>
      <c r="J22" s="2">
        <f ca="1">IFERROR(__xludf.DUMMYFUNCTION("""COMPUTED_VALUE"""),0)</f>
        <v>0</v>
      </c>
      <c r="K22" s="2">
        <f ca="1">IFERROR(__xludf.DUMMYFUNCTION("""COMPUTED_VALUE"""),7500)</f>
        <v>7500</v>
      </c>
      <c r="L22" s="2" t="str">
        <f ca="1">IFERROR(__xludf.DUMMYFUNCTION("""COMPUTED_VALUE"""),"a1ad6cb4")</f>
        <v>a1ad6cb4</v>
      </c>
      <c r="M22" s="2" t="str">
        <f ca="1">IFERROR(__xludf.DUMMYFUNCTION("""COMPUTED_VALUE"""),"Syrah Merlot s/Asp Gota")</f>
        <v>Syrah Merlot s/Asp Gota</v>
      </c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 t="str">
        <f ca="1">IFERROR(__xludf.DUMMYFUNCTION("""COMPUTED_VALUE"""),"9eab323a")</f>
        <v>9eab323a</v>
      </c>
      <c r="B23" s="3">
        <f ca="1">IFERROR(__xludf.DUMMYFUNCTION("""COMPUTED_VALUE"""),45713.5406018518)</f>
        <v>45713.540601851797</v>
      </c>
      <c r="C23" s="2" t="str">
        <f ca="1">IFERROR(__xludf.DUMMYFUNCTION("""COMPUTED_VALUE"""),"977cb5a1")</f>
        <v>977cb5a1</v>
      </c>
      <c r="D23" s="2">
        <f ca="1">IFERROR(__xludf.DUMMYFUNCTION("""COMPUTED_VALUE"""),92)</f>
        <v>92</v>
      </c>
      <c r="E23" s="2" t="str">
        <f ca="1">IFERROR(__xludf.DUMMYFUNCTION("""COMPUTED_VALUE"""),"Syrah Tempranillo")</f>
        <v>Syrah Tempranillo</v>
      </c>
      <c r="F23" s="2">
        <f ca="1">IFERROR(__xludf.DUMMYFUNCTION("""COMPUTED_VALUE"""),39700)</f>
        <v>39700</v>
      </c>
      <c r="G23" s="2">
        <f ca="1">IFERROR(__xludf.DUMMYFUNCTION("""COMPUTED_VALUE"""),86)</f>
        <v>86</v>
      </c>
      <c r="H23" s="2" t="str">
        <f ca="1">IFERROR(__xludf.DUMMYFUNCTION("""COMPUTED_VALUE"""),"13b5f72f")</f>
        <v>13b5f72f</v>
      </c>
      <c r="I23" s="2" t="str">
        <f ca="1">IFERROR(__xludf.DUMMYFUNCTION("""COMPUTED_VALUE"""),"Syrah Merlot s/Asp")</f>
        <v>Syrah Merlot s/Asp</v>
      </c>
      <c r="J23" s="2">
        <f ca="1">IFERROR(__xludf.DUMMYFUNCTION("""COMPUTED_VALUE"""),7500)</f>
        <v>7500</v>
      </c>
      <c r="K23" s="2">
        <f ca="1">IFERROR(__xludf.DUMMYFUNCTION("""COMPUTED_VALUE"""),47200)</f>
        <v>47200</v>
      </c>
      <c r="L23" s="2" t="str">
        <f ca="1">IFERROR(__xludf.DUMMYFUNCTION("""COMPUTED_VALUE"""),"3b2a1e70")</f>
        <v>3b2a1e70</v>
      </c>
      <c r="M23" s="2" t="str">
        <f ca="1">IFERROR(__xludf.DUMMYFUNCTION("""COMPUTED_VALUE"""),"Syrah Tempranillo s/Asp 2da")</f>
        <v>Syrah Tempranillo s/Asp 2da</v>
      </c>
      <c r="N23" s="2" t="str">
        <f ca="1">IFERROR(__xludf.DUMMYFUNCTION("""COMPUTED_VALUE"""),"Gota y Prensa sobre orujos Aspiran 2da pasada")</f>
        <v>Gota y Prensa sobre orujos Aspiran 2da pasada</v>
      </c>
      <c r="O23" s="2"/>
      <c r="P23" s="2"/>
      <c r="Q23" s="2"/>
      <c r="R23" s="2"/>
      <c r="S23" s="2"/>
      <c r="T23" s="2"/>
      <c r="U23" s="2"/>
    </row>
    <row r="24" spans="1:21" x14ac:dyDescent="0.25">
      <c r="A24" s="2" t="str">
        <f ca="1">IFERROR(__xludf.DUMMYFUNCTION("""COMPUTED_VALUE"""),"57f7f4a6")</f>
        <v>57f7f4a6</v>
      </c>
      <c r="B24" s="3">
        <f ca="1">IFERROR(__xludf.DUMMYFUNCTION("""COMPUTED_VALUE"""),45713.7095254629)</f>
        <v>45713.709525462902</v>
      </c>
      <c r="C24" s="2" t="str">
        <f ca="1">IFERROR(__xludf.DUMMYFUNCTION("""COMPUTED_VALUE"""),"cff5f914")</f>
        <v>cff5f914</v>
      </c>
      <c r="D24" s="2">
        <f ca="1">IFERROR(__xludf.DUMMYFUNCTION("""COMPUTED_VALUE"""),60)</f>
        <v>60</v>
      </c>
      <c r="E24" s="2" t="str">
        <f ca="1">IFERROR(__xludf.DUMMYFUNCTION("""COMPUTED_VALUE"""),"Prueva 2 Variedad")</f>
        <v>Prueva 2 Variedad</v>
      </c>
      <c r="F24" s="2">
        <f ca="1">IFERROR(__xludf.DUMMYFUNCTION("""COMPUTED_VALUE"""),8000)</f>
        <v>8000</v>
      </c>
      <c r="G24" s="2">
        <f ca="1">IFERROR(__xludf.DUMMYFUNCTION("""COMPUTED_VALUE"""),59)</f>
        <v>59</v>
      </c>
      <c r="H24" s="2" t="str">
        <f ca="1">IFERROR(__xludf.DUMMYFUNCTION("""COMPUTED_VALUE"""),"00e2c403")</f>
        <v>00e2c403</v>
      </c>
      <c r="I24" s="2" t="str">
        <f ca="1">IFERROR(__xludf.DUMMYFUNCTION("""COMPUTED_VALUE"""),"prueba 1")</f>
        <v>prueba 1</v>
      </c>
      <c r="J24" s="2">
        <f ca="1">IFERROR(__xludf.DUMMYFUNCTION("""COMPUTED_VALUE"""),10000)</f>
        <v>10000</v>
      </c>
      <c r="K24" s="2">
        <f ca="1">IFERROR(__xludf.DUMMYFUNCTION("""COMPUTED_VALUE"""),18000)</f>
        <v>18000</v>
      </c>
      <c r="L24" s="2" t="str">
        <f ca="1">IFERROR(__xludf.DUMMYFUNCTION("""COMPUTED_VALUE"""),"fa54e834")</f>
        <v>fa54e834</v>
      </c>
      <c r="M24" s="2" t="str">
        <f ca="1">IFERROR(__xludf.DUMMYFUNCTION("""COMPUTED_VALUE"""),"Prueva 2 Variedad")</f>
        <v>Prueva 2 Variedad</v>
      </c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tr">
        <f ca="1">IFERROR(__xludf.DUMMYFUNCTION("""COMPUTED_VALUE"""),"96b203c8")</f>
        <v>96b203c8</v>
      </c>
      <c r="B25" s="3">
        <f ca="1">IFERROR(__xludf.DUMMYFUNCTION("""COMPUTED_VALUE"""),45713.7131597222)</f>
        <v>45713.713159722203</v>
      </c>
      <c r="C25" s="2" t="str">
        <f ca="1">IFERROR(__xludf.DUMMYFUNCTION("""COMPUTED_VALUE"""),"cff5f914")</f>
        <v>cff5f914</v>
      </c>
      <c r="D25" s="2">
        <f ca="1">IFERROR(__xludf.DUMMYFUNCTION("""COMPUTED_VALUE"""),60)</f>
        <v>60</v>
      </c>
      <c r="E25" s="2" t="str">
        <f ca="1">IFERROR(__xludf.DUMMYFUNCTION("""COMPUTED_VALUE"""),"Prueva 2 Variedad")</f>
        <v>Prueva 2 Variedad</v>
      </c>
      <c r="F25" s="2">
        <f ca="1">IFERROR(__xludf.DUMMYFUNCTION("""COMPUTED_VALUE"""),7000)</f>
        <v>7000</v>
      </c>
      <c r="G25" s="2">
        <f ca="1">IFERROR(__xludf.DUMMYFUNCTION("""COMPUTED_VALUE"""),59)</f>
        <v>59</v>
      </c>
      <c r="H25" s="2" t="str">
        <f ca="1">IFERROR(__xludf.DUMMYFUNCTION("""COMPUTED_VALUE"""),"fa54e834")</f>
        <v>fa54e834</v>
      </c>
      <c r="I25" s="2" t="str">
        <f ca="1">IFERROR(__xludf.DUMMYFUNCTION("""COMPUTED_VALUE"""),"Prueva 2 Variedad")</f>
        <v>Prueva 2 Variedad</v>
      </c>
      <c r="J25" s="2">
        <f ca="1">IFERROR(__xludf.DUMMYFUNCTION("""COMPUTED_VALUE"""),18000)</f>
        <v>18000</v>
      </c>
      <c r="K25" s="2">
        <f ca="1">IFERROR(__xludf.DUMMYFUNCTION("""COMPUTED_VALUE"""),25000)</f>
        <v>25000</v>
      </c>
      <c r="L25" s="2" t="str">
        <f ca="1">IFERROR(__xludf.DUMMYFUNCTION("""COMPUTED_VALUE"""),"24faf549")</f>
        <v>24faf549</v>
      </c>
      <c r="M25" s="2" t="str">
        <f ca="1">IFERROR(__xludf.DUMMYFUNCTION("""COMPUTED_VALUE"""),"Prueva 2 Variedad")</f>
        <v>Prueva 2 Variedad</v>
      </c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tr">
        <f ca="1">IFERROR(__xludf.DUMMYFUNCTION("""COMPUTED_VALUE"""),"a78ab6e7")</f>
        <v>a78ab6e7</v>
      </c>
      <c r="B26" s="3">
        <f ca="1">IFERROR(__xludf.DUMMYFUNCTION("""COMPUTED_VALUE"""),45713.7223263888)</f>
        <v>45713.722326388801</v>
      </c>
      <c r="C26" s="2" t="str">
        <f ca="1">IFERROR(__xludf.DUMMYFUNCTION("""COMPUTED_VALUE"""),"cff5f914")</f>
        <v>cff5f914</v>
      </c>
      <c r="D26" s="2">
        <f ca="1">IFERROR(__xludf.DUMMYFUNCTION("""COMPUTED_VALUE"""),60)</f>
        <v>60</v>
      </c>
      <c r="E26" s="2" t="str">
        <f ca="1">IFERROR(__xludf.DUMMYFUNCTION("""COMPUTED_VALUE"""),"Prueva 2 Variedad")</f>
        <v>Prueva 2 Variedad</v>
      </c>
      <c r="F26" s="2">
        <f ca="1">IFERROR(__xludf.DUMMYFUNCTION("""COMPUTED_VALUE"""),10000)</f>
        <v>10000</v>
      </c>
      <c r="G26" s="2">
        <f ca="1">IFERROR(__xludf.DUMMYFUNCTION("""COMPUTED_VALUE"""),59)</f>
        <v>59</v>
      </c>
      <c r="H26" s="2" t="str">
        <f ca="1">IFERROR(__xludf.DUMMYFUNCTION("""COMPUTED_VALUE"""),"24faf549")</f>
        <v>24faf549</v>
      </c>
      <c r="I26" s="2" t="str">
        <f ca="1">IFERROR(__xludf.DUMMYFUNCTION("""COMPUTED_VALUE"""),"Prueva 2 Variedad")</f>
        <v>Prueva 2 Variedad</v>
      </c>
      <c r="J26" s="2">
        <f ca="1">IFERROR(__xludf.DUMMYFUNCTION("""COMPUTED_VALUE"""),25000)</f>
        <v>25000</v>
      </c>
      <c r="K26" s="2">
        <f ca="1">IFERROR(__xludf.DUMMYFUNCTION("""COMPUTED_VALUE"""),35000)</f>
        <v>35000</v>
      </c>
      <c r="L26" s="2" t="str">
        <f ca="1">IFERROR(__xludf.DUMMYFUNCTION("""COMPUTED_VALUE"""),"57a0fadf")</f>
        <v>57a0fadf</v>
      </c>
      <c r="M26" s="2" t="str">
        <f ca="1">IFERROR(__xludf.DUMMYFUNCTION("""COMPUTED_VALUE"""),"Prueva 2 Variedad")</f>
        <v>Prueva 2 Variedad</v>
      </c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 t="str">
        <f ca="1">IFERROR(__xludf.DUMMYFUNCTION("""COMPUTED_VALUE"""),"b92404cd")</f>
        <v>b92404cd</v>
      </c>
      <c r="B27" s="3">
        <f ca="1">IFERROR(__xludf.DUMMYFUNCTION("""COMPUTED_VALUE"""),45713.7230324074)</f>
        <v>45713.723032407397</v>
      </c>
      <c r="C27" s="2" t="str">
        <f ca="1">IFERROR(__xludf.DUMMYFUNCTION("""COMPUTED_VALUE"""),"cff5f914")</f>
        <v>cff5f914</v>
      </c>
      <c r="D27" s="2">
        <f ca="1">IFERROR(__xludf.DUMMYFUNCTION("""COMPUTED_VALUE"""),60)</f>
        <v>60</v>
      </c>
      <c r="E27" s="2" t="str">
        <f ca="1">IFERROR(__xludf.DUMMYFUNCTION("""COMPUTED_VALUE"""),"Prueva 2 Variedad")</f>
        <v>Prueva 2 Variedad</v>
      </c>
      <c r="F27" s="2">
        <f ca="1">IFERROR(__xludf.DUMMYFUNCTION("""COMPUTED_VALUE"""),10000)</f>
        <v>10000</v>
      </c>
      <c r="G27" s="2">
        <f ca="1">IFERROR(__xludf.DUMMYFUNCTION("""COMPUTED_VALUE"""),59)</f>
        <v>59</v>
      </c>
      <c r="H27" s="2" t="str">
        <f ca="1">IFERROR(__xludf.DUMMYFUNCTION("""COMPUTED_VALUE"""),"57a0fadf")</f>
        <v>57a0fadf</v>
      </c>
      <c r="I27" s="2" t="str">
        <f ca="1">IFERROR(__xludf.DUMMYFUNCTION("""COMPUTED_VALUE"""),"Prueva 2 Variedad")</f>
        <v>Prueva 2 Variedad</v>
      </c>
      <c r="J27" s="2">
        <f ca="1">IFERROR(__xludf.DUMMYFUNCTION("""COMPUTED_VALUE"""),35000)</f>
        <v>35000</v>
      </c>
      <c r="K27" s="2">
        <f ca="1">IFERROR(__xludf.DUMMYFUNCTION("""COMPUTED_VALUE"""),45000)</f>
        <v>45000</v>
      </c>
      <c r="L27" s="2" t="str">
        <f ca="1">IFERROR(__xludf.DUMMYFUNCTION("""COMPUTED_VALUE"""),"c980cfc2")</f>
        <v>c980cfc2</v>
      </c>
      <c r="M27" s="2" t="str">
        <f ca="1">IFERROR(__xludf.DUMMYFUNCTION("""COMPUTED_VALUE"""),"Prueva 2 Variedad")</f>
        <v>Prueva 2 Variedad</v>
      </c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tr">
        <f ca="1">IFERROR(__xludf.DUMMYFUNCTION("""COMPUTED_VALUE"""),"ee34047e")</f>
        <v>ee34047e</v>
      </c>
      <c r="B28" s="3">
        <f ca="1">IFERROR(__xludf.DUMMYFUNCTION("""COMPUTED_VALUE"""),45713.7382986111)</f>
        <v>45713.738298611097</v>
      </c>
      <c r="C28" s="2" t="str">
        <f ca="1">IFERROR(__xludf.DUMMYFUNCTION("""COMPUTED_VALUE"""),"57a0fadf")</f>
        <v>57a0fadf</v>
      </c>
      <c r="D28" s="2">
        <f ca="1">IFERROR(__xludf.DUMMYFUNCTION("""COMPUTED_VALUE"""),59)</f>
        <v>59</v>
      </c>
      <c r="E28" s="2" t="str">
        <f ca="1">IFERROR(__xludf.DUMMYFUNCTION("""COMPUTED_VALUE"""),"Prueva 2 Variedad")</f>
        <v>Prueva 2 Variedad</v>
      </c>
      <c r="F28" s="2">
        <f ca="1">IFERROR(__xludf.DUMMYFUNCTION("""COMPUTED_VALUE"""),5000)</f>
        <v>5000</v>
      </c>
      <c r="G28" s="2">
        <f ca="1">IFERROR(__xludf.DUMMYFUNCTION("""COMPUTED_VALUE"""),60)</f>
        <v>60</v>
      </c>
      <c r="H28" s="2" t="str">
        <f ca="1">IFERROR(__xludf.DUMMYFUNCTION("""COMPUTED_VALUE"""),"cff5f914")</f>
        <v>cff5f914</v>
      </c>
      <c r="I28" s="2" t="str">
        <f ca="1">IFERROR(__xludf.DUMMYFUNCTION("""COMPUTED_VALUE"""),"Prueva 2 Variedad")</f>
        <v>Prueva 2 Variedad</v>
      </c>
      <c r="J28" s="2">
        <f ca="1">IFERROR(__xludf.DUMMYFUNCTION("""COMPUTED_VALUE"""),20000)</f>
        <v>20000</v>
      </c>
      <c r="K28" s="2">
        <f ca="1">IFERROR(__xludf.DUMMYFUNCTION("""COMPUTED_VALUE"""),25000)</f>
        <v>25000</v>
      </c>
      <c r="L28" s="2" t="str">
        <f ca="1">IFERROR(__xludf.DUMMYFUNCTION("""COMPUTED_VALUE"""),"e2c70b60")</f>
        <v>e2c70b60</v>
      </c>
      <c r="M28" s="2" t="str">
        <f ca="1">IFERROR(__xludf.DUMMYFUNCTION("""COMPUTED_VALUE"""),"Prueva 2 Variedad")</f>
        <v>Prueva 2 Variedad</v>
      </c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 t="str">
        <f ca="1">IFERROR(__xludf.DUMMYFUNCTION("""COMPUTED_VALUE"""),"fe7eff9f")</f>
        <v>fe7eff9f</v>
      </c>
      <c r="B29" s="3">
        <f ca="1">IFERROR(__xludf.DUMMYFUNCTION("""COMPUTED_VALUE"""),45713.7393634259)</f>
        <v>45713.739363425899</v>
      </c>
      <c r="C29" s="2" t="str">
        <f ca="1">IFERROR(__xludf.DUMMYFUNCTION("""COMPUTED_VALUE"""),"57a0fadf")</f>
        <v>57a0fadf</v>
      </c>
      <c r="D29" s="2">
        <f ca="1">IFERROR(__xludf.DUMMYFUNCTION("""COMPUTED_VALUE"""),59)</f>
        <v>59</v>
      </c>
      <c r="E29" s="2" t="str">
        <f ca="1">IFERROR(__xludf.DUMMYFUNCTION("""COMPUTED_VALUE"""),"Prueva 2 Variedad")</f>
        <v>Prueva 2 Variedad</v>
      </c>
      <c r="F29" s="2">
        <f ca="1">IFERROR(__xludf.DUMMYFUNCTION("""COMPUTED_VALUE"""),3000)</f>
        <v>3000</v>
      </c>
      <c r="G29" s="2">
        <f ca="1">IFERROR(__xludf.DUMMYFUNCTION("""COMPUTED_VALUE"""),60)</f>
        <v>60</v>
      </c>
      <c r="H29" s="2" t="str">
        <f ca="1">IFERROR(__xludf.DUMMYFUNCTION("""COMPUTED_VALUE"""),"e2c70b60")</f>
        <v>e2c70b60</v>
      </c>
      <c r="I29" s="2" t="str">
        <f ca="1">IFERROR(__xludf.DUMMYFUNCTION("""COMPUTED_VALUE"""),"Prueva 2 Variedad")</f>
        <v>Prueva 2 Variedad</v>
      </c>
      <c r="J29" s="2">
        <f ca="1">IFERROR(__xludf.DUMMYFUNCTION("""COMPUTED_VALUE"""),25000)</f>
        <v>25000</v>
      </c>
      <c r="K29" s="2">
        <f ca="1">IFERROR(__xludf.DUMMYFUNCTION("""COMPUTED_VALUE"""),28000)</f>
        <v>28000</v>
      </c>
      <c r="L29" s="2" t="str">
        <f ca="1">IFERROR(__xludf.DUMMYFUNCTION("""COMPUTED_VALUE"""),"5e86e265")</f>
        <v>5e86e265</v>
      </c>
      <c r="M29" s="2" t="str">
        <f ca="1">IFERROR(__xludf.DUMMYFUNCTION("""COMPUTED_VALUE"""),"Prueva 2 Variedad")</f>
        <v>Prueva 2 Variedad</v>
      </c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tr">
        <f ca="1">IFERROR(__xludf.DUMMYFUNCTION("""COMPUTED_VALUE"""),"ec72ee89")</f>
        <v>ec72ee89</v>
      </c>
      <c r="B30" s="3">
        <f ca="1">IFERROR(__xludf.DUMMYFUNCTION("""COMPUTED_VALUE"""),45713.7484375)</f>
        <v>45713.748437499999</v>
      </c>
      <c r="C30" s="2" t="str">
        <f ca="1">IFERROR(__xludf.DUMMYFUNCTION("""COMPUTED_VALUE"""),"57a0fadf")</f>
        <v>57a0fadf</v>
      </c>
      <c r="D30" s="2">
        <f ca="1">IFERROR(__xludf.DUMMYFUNCTION("""COMPUTED_VALUE"""),59)</f>
        <v>59</v>
      </c>
      <c r="E30" s="2" t="str">
        <f ca="1">IFERROR(__xludf.DUMMYFUNCTION("""COMPUTED_VALUE"""),"Prueva 2 Variedad")</f>
        <v>Prueva 2 Variedad</v>
      </c>
      <c r="F30" s="2">
        <f ca="1">IFERROR(__xludf.DUMMYFUNCTION("""COMPUTED_VALUE"""),1500)</f>
        <v>1500</v>
      </c>
      <c r="G30" s="2">
        <f ca="1">IFERROR(__xludf.DUMMYFUNCTION("""COMPUTED_VALUE"""),60)</f>
        <v>60</v>
      </c>
      <c r="H30" s="2" t="str">
        <f ca="1">IFERROR(__xludf.DUMMYFUNCTION("""COMPUTED_VALUE"""),"5e86e265")</f>
        <v>5e86e265</v>
      </c>
      <c r="I30" s="2" t="str">
        <f ca="1">IFERROR(__xludf.DUMMYFUNCTION("""COMPUTED_VALUE"""),"Prueva 2 Variedad")</f>
        <v>Prueva 2 Variedad</v>
      </c>
      <c r="J30" s="2">
        <f ca="1">IFERROR(__xludf.DUMMYFUNCTION("""COMPUTED_VALUE"""),28000)</f>
        <v>28000</v>
      </c>
      <c r="K30" s="2">
        <f ca="1">IFERROR(__xludf.DUMMYFUNCTION("""COMPUTED_VALUE"""),29500)</f>
        <v>29500</v>
      </c>
      <c r="L30" s="2" t="str">
        <f ca="1">IFERROR(__xludf.DUMMYFUNCTION("""COMPUTED_VALUE"""),"c1d665de")</f>
        <v>c1d665de</v>
      </c>
      <c r="M30" s="2" t="str">
        <f ca="1">IFERROR(__xludf.DUMMYFUNCTION("""COMPUTED_VALUE"""),"Prueva 2 Variedad")</f>
        <v>Prueva 2 Variedad</v>
      </c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2" t="str">
        <f ca="1">IFERROR(__xludf.DUMMYFUNCTION("""COMPUTED_VALUE"""),"9e8d0f39")</f>
        <v>9e8d0f39</v>
      </c>
      <c r="B31" s="3">
        <f ca="1">IFERROR(__xludf.DUMMYFUNCTION("""COMPUTED_VALUE"""),45713.7732986111)</f>
        <v>45713.7732986111</v>
      </c>
      <c r="C31" s="2" t="str">
        <f ca="1">IFERROR(__xludf.DUMMYFUNCTION("""COMPUTED_VALUE"""),"b9e5067b")</f>
        <v>b9e5067b</v>
      </c>
      <c r="D31" s="2">
        <f ca="1">IFERROR(__xludf.DUMMYFUNCTION("""COMPUTED_VALUE"""),15)</f>
        <v>15</v>
      </c>
      <c r="E31" s="2" t="str">
        <f ca="1">IFERROR(__xludf.DUMMYFUNCTION("""COMPUTED_VALUE"""),"Cabernet Sauvignon 24 Rect")</f>
        <v>Cabernet Sauvignon 24 Rect</v>
      </c>
      <c r="F31" s="2">
        <f ca="1">IFERROR(__xludf.DUMMYFUNCTION("""COMPUTED_VALUE"""),20000)</f>
        <v>20000</v>
      </c>
      <c r="G31" s="2">
        <f ca="1">IFERROR(__xludf.DUMMYFUNCTION("""COMPUTED_VALUE"""),400)</f>
        <v>400</v>
      </c>
      <c r="H31" s="2"/>
      <c r="I31" s="2" t="str">
        <f ca="1">IFERROR(__xludf.DUMMYFUNCTION("""COMPUTED_VALUE"""),"Vino Re")</f>
        <v>Vino Re</v>
      </c>
      <c r="J31" s="2">
        <f ca="1">IFERROR(__xludf.DUMMYFUNCTION("""COMPUTED_VALUE"""),0)</f>
        <v>0</v>
      </c>
      <c r="K31" s="2">
        <f ca="1">IFERROR(__xludf.DUMMYFUNCTION("""COMPUTED_VALUE"""),20000)</f>
        <v>20000</v>
      </c>
      <c r="L31" s="2" t="str">
        <f ca="1">IFERROR(__xludf.DUMMYFUNCTION("""COMPUTED_VALUE"""),"eeeff983")</f>
        <v>eeeff983</v>
      </c>
      <c r="M31" s="2" t="str">
        <f ca="1">IFERROR(__xludf.DUMMYFUNCTION("""COMPUTED_VALUE"""),"Cabernet Sauvignon 24 Rect")</f>
        <v>Cabernet Sauvignon 24 Rect</v>
      </c>
      <c r="N31" s="2" t="str">
        <f ca="1">IFERROR(__xludf.DUMMYFUNCTION("""COMPUTED_VALUE"""),"Vino rectificado utilizado")</f>
        <v>Vino rectificado utilizado</v>
      </c>
      <c r="O31" s="2"/>
      <c r="P31" s="2"/>
      <c r="Q31" s="2"/>
      <c r="R31" s="2"/>
      <c r="S31" s="2"/>
      <c r="T31" s="2"/>
      <c r="U31" s="2"/>
    </row>
    <row r="32" spans="1:21" x14ac:dyDescent="0.25">
      <c r="A32" s="2" t="str">
        <f ca="1">IFERROR(__xludf.DUMMYFUNCTION("""COMPUTED_VALUE"""),"7b4bffff")</f>
        <v>7b4bffff</v>
      </c>
      <c r="B32" s="3">
        <f ca="1">IFERROR(__xludf.DUMMYFUNCTION("""COMPUTED_VALUE"""),45713.7788888888)</f>
        <v>45713.778888888803</v>
      </c>
      <c r="C32" s="2" t="str">
        <f ca="1">IFERROR(__xludf.DUMMYFUNCTION("""COMPUTED_VALUE"""),"26b37af9")</f>
        <v>26b37af9</v>
      </c>
      <c r="D32" s="2">
        <f ca="1">IFERROR(__xludf.DUMMYFUNCTION("""COMPUTED_VALUE"""),52)</f>
        <v>52</v>
      </c>
      <c r="E32" s="2" t="str">
        <f ca="1">IFERROR(__xludf.DUMMYFUNCTION("""COMPUTED_VALUE"""),"Chardonnay 24 Rect")</f>
        <v>Chardonnay 24 Rect</v>
      </c>
      <c r="F32" s="2">
        <f ca="1">IFERROR(__xludf.DUMMYFUNCTION("""COMPUTED_VALUE"""),10000)</f>
        <v>10000</v>
      </c>
      <c r="G32" s="2">
        <f ca="1">IFERROR(__xludf.DUMMYFUNCTION("""COMPUTED_VALUE"""),400)</f>
        <v>400</v>
      </c>
      <c r="H32" s="2" t="str">
        <f ca="1">IFERROR(__xludf.DUMMYFUNCTION("""COMPUTED_VALUE"""),"eeeff983")</f>
        <v>eeeff983</v>
      </c>
      <c r="I32" s="2" t="str">
        <f ca="1">IFERROR(__xludf.DUMMYFUNCTION("""COMPUTED_VALUE"""),"Cabernet Sauvignon 24 Rect")</f>
        <v>Cabernet Sauvignon 24 Rect</v>
      </c>
      <c r="J32" s="2">
        <f ca="1">IFERROR(__xludf.DUMMYFUNCTION("""COMPUTED_VALUE"""),20000)</f>
        <v>20000</v>
      </c>
      <c r="K32" s="2">
        <f ca="1">IFERROR(__xludf.DUMMYFUNCTION("""COMPUTED_VALUE"""),30000)</f>
        <v>30000</v>
      </c>
      <c r="L32" s="2" t="str">
        <f ca="1">IFERROR(__xludf.DUMMYFUNCTION("""COMPUTED_VALUE"""),"ae4bc1ac")</f>
        <v>ae4bc1ac</v>
      </c>
      <c r="M32" s="2" t="str">
        <f ca="1">IFERROR(__xludf.DUMMYFUNCTION("""COMPUTED_VALUE"""),"Chardonnay 24 Rect")</f>
        <v>Chardonnay 24 Rect</v>
      </c>
      <c r="N32" s="2" t="str">
        <f ca="1">IFERROR(__xludf.DUMMYFUNCTION("""COMPUTED_VALUE"""),"Rectificado utilizado")</f>
        <v>Rectificado utilizado</v>
      </c>
      <c r="O32" s="2"/>
      <c r="P32" s="2"/>
      <c r="Q32" s="2"/>
      <c r="R32" s="2"/>
      <c r="S32" s="2"/>
      <c r="T32" s="2"/>
      <c r="U32" s="2"/>
    </row>
    <row r="33" spans="1:21" x14ac:dyDescent="0.25">
      <c r="A33" s="2" t="str">
        <f ca="1">IFERROR(__xludf.DUMMYFUNCTION("""COMPUTED_VALUE"""),"490375eb")</f>
        <v>490375eb</v>
      </c>
      <c r="B33" s="3">
        <f ca="1">IFERROR(__xludf.DUMMYFUNCTION("""COMPUTED_VALUE"""),45713.7939814814)</f>
        <v>45713.793981481402</v>
      </c>
      <c r="C33" s="2" t="str">
        <f ca="1">IFERROR(__xludf.DUMMYFUNCTION("""COMPUTED_VALUE"""),"d6272af5")</f>
        <v>d6272af5</v>
      </c>
      <c r="D33" s="2">
        <f ca="1">IFERROR(__xludf.DUMMYFUNCTION("""COMPUTED_VALUE"""),80)</f>
        <v>80</v>
      </c>
      <c r="E33" s="2" t="str">
        <f ca="1">IFERROR(__xludf.DUMMYFUNCTION("""COMPUTED_VALUE"""),"Merlot s/ Asp")</f>
        <v>Merlot s/ Asp</v>
      </c>
      <c r="F33" s="2">
        <f ca="1">IFERROR(__xludf.DUMMYFUNCTION("""COMPUTED_VALUE"""),15000)</f>
        <v>15000</v>
      </c>
      <c r="G33" s="2">
        <f ca="1">IFERROR(__xludf.DUMMYFUNCTION("""COMPUTED_VALUE"""),103)</f>
        <v>103</v>
      </c>
      <c r="H33" s="2" t="str">
        <f ca="1">IFERROR(__xludf.DUMMYFUNCTION("""COMPUTED_VALUE"""),"903e1ab8")</f>
        <v>903e1ab8</v>
      </c>
      <c r="I33" s="2" t="str">
        <f ca="1">IFERROR(__xludf.DUMMYFUNCTION("""COMPUTED_VALUE"""),"Aspirant")</f>
        <v>Aspirant</v>
      </c>
      <c r="J33" s="2">
        <f ca="1">IFERROR(__xludf.DUMMYFUNCTION("""COMPUTED_VALUE"""),15000)</f>
        <v>15000</v>
      </c>
      <c r="K33" s="2">
        <f ca="1">IFERROR(__xludf.DUMMYFUNCTION("""COMPUTED_VALUE"""),30000)</f>
        <v>30000</v>
      </c>
      <c r="L33" s="2" t="str">
        <f ca="1">IFERROR(__xludf.DUMMYFUNCTION("""COMPUTED_VALUE"""),"a22cb4a2")</f>
        <v>a22cb4a2</v>
      </c>
      <c r="M33" s="2" t="str">
        <f ca="1">IFERROR(__xludf.DUMMYFUNCTION("""COMPUTED_VALUE"""),"Merlot s/ Asp")</f>
        <v>Merlot s/ Asp</v>
      </c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 t="str">
        <f ca="1">IFERROR(__xludf.DUMMYFUNCTION("""COMPUTED_VALUE"""),"e1980736")</f>
        <v>e1980736</v>
      </c>
      <c r="B34" s="3">
        <f ca="1">IFERROR(__xludf.DUMMYFUNCTION("""COMPUTED_VALUE"""),45713.7970717592)</f>
        <v>45713.797071759203</v>
      </c>
      <c r="C34" s="2" t="str">
        <f ca="1">IFERROR(__xludf.DUMMYFUNCTION("""COMPUTED_VALUE"""),"a43178d5")</f>
        <v>a43178d5</v>
      </c>
      <c r="D34" s="2">
        <f ca="1">IFERROR(__xludf.DUMMYFUNCTION("""COMPUTED_VALUE"""),105)</f>
        <v>105</v>
      </c>
      <c r="E34" s="2" t="str">
        <f ca="1">IFERROR(__xludf.DUMMYFUNCTION("""COMPUTED_VALUE"""),"Syrah Merlot s/Asp gota")</f>
        <v>Syrah Merlot s/Asp gota</v>
      </c>
      <c r="F34" s="2">
        <f ca="1">IFERROR(__xludf.DUMMYFUNCTION("""COMPUTED_VALUE"""),16000)</f>
        <v>16000</v>
      </c>
      <c r="G34" s="2">
        <f ca="1">IFERROR(__xludf.DUMMYFUNCTION("""COMPUTED_VALUE"""),400)</f>
        <v>400</v>
      </c>
      <c r="H34" s="2" t="str">
        <f ca="1">IFERROR(__xludf.DUMMYFUNCTION("""COMPUTED_VALUE"""),"ae4bc1ac")</f>
        <v>ae4bc1ac</v>
      </c>
      <c r="I34" s="2" t="str">
        <f ca="1">IFERROR(__xludf.DUMMYFUNCTION("""COMPUTED_VALUE"""),"Chardonnay 24 Rect")</f>
        <v>Chardonnay 24 Rect</v>
      </c>
      <c r="J34" s="2">
        <f ca="1">IFERROR(__xludf.DUMMYFUNCTION("""COMPUTED_VALUE"""),30000)</f>
        <v>30000</v>
      </c>
      <c r="K34" s="2">
        <f ca="1">IFERROR(__xludf.DUMMYFUNCTION("""COMPUTED_VALUE"""),46000)</f>
        <v>46000</v>
      </c>
      <c r="L34" s="2" t="str">
        <f ca="1">IFERROR(__xludf.DUMMYFUNCTION("""COMPUTED_VALUE"""),"0b7fd98e")</f>
        <v>0b7fd98e</v>
      </c>
      <c r="M34" s="2" t="str">
        <f ca="1">IFERROR(__xludf.DUMMYFUNCTION("""COMPUTED_VALUE"""),"Syrah Merlot s/Asp gota")</f>
        <v>Syrah Merlot s/Asp gota</v>
      </c>
      <c r="N34" s="2" t="str">
        <f ca="1">IFERROR(__xludf.DUMMYFUNCTION("""COMPUTED_VALUE"""),"Ajuste Volumen")</f>
        <v>Ajuste Volumen</v>
      </c>
      <c r="O34" s="2"/>
      <c r="P34" s="2"/>
      <c r="Q34" s="2"/>
      <c r="R34" s="2"/>
      <c r="S34" s="2"/>
      <c r="T34" s="2"/>
      <c r="U34" s="2"/>
    </row>
    <row r="35" spans="1:21" x14ac:dyDescent="0.25">
      <c r="A35" s="2" t="str">
        <f ca="1">IFERROR(__xludf.DUMMYFUNCTION("""COMPUTED_VALUE"""),"2d753a75")</f>
        <v>2d753a75</v>
      </c>
      <c r="B35" s="3">
        <f ca="1">IFERROR(__xludf.DUMMYFUNCTION("""COMPUTED_VALUE"""),45713.7977083333)</f>
        <v>45713.797708333303</v>
      </c>
      <c r="C35" s="2" t="str">
        <f ca="1">IFERROR(__xludf.DUMMYFUNCTION("""COMPUTED_VALUE"""),"3c569c0a")</f>
        <v>3c569c0a</v>
      </c>
      <c r="D35" s="2">
        <f ca="1">IFERROR(__xludf.DUMMYFUNCTION("""COMPUTED_VALUE"""),84)</f>
        <v>84</v>
      </c>
      <c r="E35" s="2" t="str">
        <f ca="1">IFERROR(__xludf.DUMMYFUNCTION("""COMPUTED_VALUE"""),"Merlot s/Asp")</f>
        <v>Merlot s/Asp</v>
      </c>
      <c r="F35" s="2">
        <f ca="1">IFERROR(__xludf.DUMMYFUNCTION("""COMPUTED_VALUE"""),16000)</f>
        <v>16000</v>
      </c>
      <c r="G35" s="2">
        <f ca="1">IFERROR(__xludf.DUMMYFUNCTION("""COMPUTED_VALUE"""),105)</f>
        <v>105</v>
      </c>
      <c r="H35" s="2" t="str">
        <f ca="1">IFERROR(__xludf.DUMMYFUNCTION("""COMPUTED_VALUE"""),"a43178d5")</f>
        <v>a43178d5</v>
      </c>
      <c r="I35" s="2" t="str">
        <f ca="1">IFERROR(__xludf.DUMMYFUNCTION("""COMPUTED_VALUE"""),"Syrah Merlot s/Asp gota")</f>
        <v>Syrah Merlot s/Asp gota</v>
      </c>
      <c r="J35" s="2">
        <f ca="1">IFERROR(__xludf.DUMMYFUNCTION("""COMPUTED_VALUE"""),14000)</f>
        <v>14000</v>
      </c>
      <c r="K35" s="2">
        <f ca="1">IFERROR(__xludf.DUMMYFUNCTION("""COMPUTED_VALUE"""),30000)</f>
        <v>30000</v>
      </c>
      <c r="L35" s="2" t="str">
        <f ca="1">IFERROR(__xludf.DUMMYFUNCTION("""COMPUTED_VALUE"""),"7ad5b1b2")</f>
        <v>7ad5b1b2</v>
      </c>
      <c r="M35" s="2" t="str">
        <f ca="1">IFERROR(__xludf.DUMMYFUNCTION("""COMPUTED_VALUE"""),"Malbec con Merlot s/Asp")</f>
        <v>Malbec con Merlot s/Asp</v>
      </c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 t="str">
        <f ca="1">IFERROR(__xludf.DUMMYFUNCTION("""COMPUTED_VALUE"""),"da96250f")</f>
        <v>da96250f</v>
      </c>
      <c r="B36" s="3">
        <f ca="1">IFERROR(__xludf.DUMMYFUNCTION("""COMPUTED_VALUE"""),45713.7988310185)</f>
        <v>45713.798831018503</v>
      </c>
      <c r="C36" s="2" t="str">
        <f ca="1">IFERROR(__xludf.DUMMYFUNCTION("""COMPUTED_VALUE"""),"3c569c0a")</f>
        <v>3c569c0a</v>
      </c>
      <c r="D36" s="2">
        <f ca="1">IFERROR(__xludf.DUMMYFUNCTION("""COMPUTED_VALUE"""),84)</f>
        <v>84</v>
      </c>
      <c r="E36" s="2" t="str">
        <f ca="1">IFERROR(__xludf.DUMMYFUNCTION("""COMPUTED_VALUE"""),"Merlot s/Asp")</f>
        <v>Merlot s/Asp</v>
      </c>
      <c r="F36" s="2">
        <f ca="1">IFERROR(__xludf.DUMMYFUNCTION("""COMPUTED_VALUE"""),11000)</f>
        <v>11000</v>
      </c>
      <c r="G36" s="2">
        <f ca="1">IFERROR(__xludf.DUMMYFUNCTION("""COMPUTED_VALUE"""),106)</f>
        <v>106</v>
      </c>
      <c r="H36" s="2"/>
      <c r="I36" s="2"/>
      <c r="J36" s="2">
        <f ca="1">IFERROR(__xludf.DUMMYFUNCTION("""COMPUTED_VALUE"""),0)</f>
        <v>0</v>
      </c>
      <c r="K36" s="2">
        <f ca="1">IFERROR(__xludf.DUMMYFUNCTION("""COMPUTED_VALUE"""),11000)</f>
        <v>11000</v>
      </c>
      <c r="L36" s="2" t="str">
        <f ca="1">IFERROR(__xludf.DUMMYFUNCTION("""COMPUTED_VALUE"""),"00bdd4ad")</f>
        <v>00bdd4ad</v>
      </c>
      <c r="M36" s="2" t="str">
        <f ca="1">IFERROR(__xludf.DUMMYFUNCTION("""COMPUTED_VALUE"""),"Merlot s/Asp")</f>
        <v>Merlot s/Asp</v>
      </c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tr">
        <f ca="1">IFERROR(__xludf.DUMMYFUNCTION("""COMPUTED_VALUE"""),"c98d4615")</f>
        <v>c98d4615</v>
      </c>
      <c r="B37" s="3">
        <f ca="1">IFERROR(__xludf.DUMMYFUNCTION("""COMPUTED_VALUE"""),45714.4106018518)</f>
        <v>45714.4106018518</v>
      </c>
      <c r="C37" s="2" t="str">
        <f ca="1">IFERROR(__xludf.DUMMYFUNCTION("""COMPUTED_VALUE"""),"e3903041")</f>
        <v>e3903041</v>
      </c>
      <c r="D37" s="2">
        <f ca="1">IFERROR(__xludf.DUMMYFUNCTION("""COMPUTED_VALUE"""),89)</f>
        <v>89</v>
      </c>
      <c r="E37" s="2" t="str">
        <f ca="1">IFERROR(__xludf.DUMMYFUNCTION("""COMPUTED_VALUE"""),"Syrah Colombo")</f>
        <v>Syrah Colombo</v>
      </c>
      <c r="F37" s="2">
        <f ca="1">IFERROR(__xludf.DUMMYFUNCTION("""COMPUTED_VALUE"""),36000)</f>
        <v>36000</v>
      </c>
      <c r="G37" s="2">
        <f ca="1">IFERROR(__xludf.DUMMYFUNCTION("""COMPUTED_VALUE"""),84)</f>
        <v>84</v>
      </c>
      <c r="H37" s="2" t="str">
        <f ca="1">IFERROR(__xludf.DUMMYFUNCTION("""COMPUTED_VALUE"""),"3c569c0a")</f>
        <v>3c569c0a</v>
      </c>
      <c r="I37" s="2" t="str">
        <f ca="1">IFERROR(__xludf.DUMMYFUNCTION("""COMPUTED_VALUE"""),"Merlot s/Asp")</f>
        <v>Merlot s/Asp</v>
      </c>
      <c r="J37" s="2">
        <f ca="1">IFERROR(__xludf.DUMMYFUNCTION("""COMPUTED_VALUE"""),3000)</f>
        <v>3000</v>
      </c>
      <c r="K37" s="2">
        <f ca="1">IFERROR(__xludf.DUMMYFUNCTION("""COMPUTED_VALUE"""),39000)</f>
        <v>39000</v>
      </c>
      <c r="L37" s="2" t="str">
        <f ca="1">IFERROR(__xludf.DUMMYFUNCTION("""COMPUTED_VALUE"""),"7082548e")</f>
        <v>7082548e</v>
      </c>
      <c r="M37" s="2" t="str">
        <f ca="1">IFERROR(__xludf.DUMMYFUNCTION("""COMPUTED_VALUE"""),"Syrah Colom s/Asp 2")</f>
        <v>Syrah Colom s/Asp 2</v>
      </c>
      <c r="N37" s="2" t="str">
        <f ca="1">IFERROR(__xludf.DUMMYFUNCTION("""COMPUTED_VALUE"""),"Gota y Prensa sobre Aspiran 2da pasada")</f>
        <v>Gota y Prensa sobre Aspiran 2da pasada</v>
      </c>
      <c r="O37" s="2"/>
      <c r="P37" s="2"/>
      <c r="Q37" s="2"/>
      <c r="R37" s="2"/>
      <c r="S37" s="2"/>
      <c r="T37" s="2"/>
      <c r="U37" s="2"/>
    </row>
    <row r="38" spans="1:21" x14ac:dyDescent="0.25">
      <c r="A38" s="2" t="str">
        <f ca="1">IFERROR(__xludf.DUMMYFUNCTION("""COMPUTED_VALUE"""),"277c1553")</f>
        <v>277c1553</v>
      </c>
      <c r="B38" s="3">
        <f ca="1">IFERROR(__xludf.DUMMYFUNCTION("""COMPUTED_VALUE"""),45715.4092361111)</f>
        <v>45715.409236111103</v>
      </c>
      <c r="C38" s="2" t="str">
        <f ca="1">IFERROR(__xludf.DUMMYFUNCTION("""COMPUTED_VALUE"""),"d6272af5")</f>
        <v>d6272af5</v>
      </c>
      <c r="D38" s="2">
        <f ca="1">IFERROR(__xludf.DUMMYFUNCTION("""COMPUTED_VALUE"""),80)</f>
        <v>80</v>
      </c>
      <c r="E38" s="2" t="str">
        <f ca="1">IFERROR(__xludf.DUMMYFUNCTION("""COMPUTED_VALUE"""),"Merlot s/ Asp")</f>
        <v>Merlot s/ Asp</v>
      </c>
      <c r="F38" s="2">
        <f ca="1">IFERROR(__xludf.DUMMYFUNCTION("""COMPUTED_VALUE"""),4000)</f>
        <v>4000</v>
      </c>
      <c r="G38" s="2">
        <f ca="1">IFERROR(__xludf.DUMMYFUNCTION("""COMPUTED_VALUE"""),109)</f>
        <v>109</v>
      </c>
      <c r="H38" s="2"/>
      <c r="I38" s="2"/>
      <c r="J38" s="2">
        <f ca="1">IFERROR(__xludf.DUMMYFUNCTION("""COMPUTED_VALUE"""),0)</f>
        <v>0</v>
      </c>
      <c r="K38" s="2">
        <f ca="1">IFERROR(__xludf.DUMMYFUNCTION("""COMPUTED_VALUE"""),4000)</f>
        <v>4000</v>
      </c>
      <c r="L38" s="2" t="str">
        <f ca="1">IFERROR(__xludf.DUMMYFUNCTION("""COMPUTED_VALUE"""),"9776a719")</f>
        <v>9776a719</v>
      </c>
      <c r="M38" s="2" t="str">
        <f ca="1">IFERROR(__xludf.DUMMYFUNCTION("""COMPUTED_VALUE"""),"Merlot s/ Asp descube")</f>
        <v>Merlot s/ Asp descube</v>
      </c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tr">
        <f ca="1">IFERROR(__xludf.DUMMYFUNCTION("""COMPUTED_VALUE"""),"150bb873")</f>
        <v>150bb873</v>
      </c>
      <c r="B39" s="3">
        <f ca="1">IFERROR(__xludf.DUMMYFUNCTION("""COMPUTED_VALUE"""),45715.4102199074)</f>
        <v>45715.410219907397</v>
      </c>
      <c r="C39" s="2" t="str">
        <f ca="1">IFERROR(__xludf.DUMMYFUNCTION("""COMPUTED_VALUE"""),"f8624f14")</f>
        <v>f8624f14</v>
      </c>
      <c r="D39" s="2">
        <f ca="1">IFERROR(__xludf.DUMMYFUNCTION("""COMPUTED_VALUE"""),85)</f>
        <v>85</v>
      </c>
      <c r="E39" s="2" t="str">
        <f ca="1">IFERROR(__xludf.DUMMYFUNCTION("""COMPUTED_VALUE"""),"Merlot s/Asp")</f>
        <v>Merlot s/Asp</v>
      </c>
      <c r="F39" s="2">
        <f ca="1">IFERROR(__xludf.DUMMYFUNCTION("""COMPUTED_VALUE"""),20000)</f>
        <v>20000</v>
      </c>
      <c r="G39" s="2">
        <f ca="1">IFERROR(__xludf.DUMMYFUNCTION("""COMPUTED_VALUE"""),109)</f>
        <v>109</v>
      </c>
      <c r="H39" s="2" t="str">
        <f ca="1">IFERROR(__xludf.DUMMYFUNCTION("""COMPUTED_VALUE"""),"9776a719")</f>
        <v>9776a719</v>
      </c>
      <c r="I39" s="2" t="str">
        <f ca="1">IFERROR(__xludf.DUMMYFUNCTION("""COMPUTED_VALUE"""),"Merlot s/ Asp descube")</f>
        <v>Merlot s/ Asp descube</v>
      </c>
      <c r="J39" s="2">
        <f ca="1">IFERROR(__xludf.DUMMYFUNCTION("""COMPUTED_VALUE"""),4000)</f>
        <v>4000</v>
      </c>
      <c r="K39" s="2">
        <f ca="1">IFERROR(__xludf.DUMMYFUNCTION("""COMPUTED_VALUE"""),24000)</f>
        <v>24000</v>
      </c>
      <c r="L39" s="2" t="str">
        <f ca="1">IFERROR(__xludf.DUMMYFUNCTION("""COMPUTED_VALUE"""),"d6ff9a07")</f>
        <v>d6ff9a07</v>
      </c>
      <c r="M39" s="2" t="str">
        <f ca="1">IFERROR(__xludf.DUMMYFUNCTION("""COMPUTED_VALUE"""),"Merlot s/Asp descube")</f>
        <v>Merlot s/Asp descube</v>
      </c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tr">
        <f ca="1">IFERROR(__xludf.DUMMYFUNCTION("""COMPUTED_VALUE"""),"828ab6d5")</f>
        <v>828ab6d5</v>
      </c>
      <c r="B40" s="3">
        <f ca="1">IFERROR(__xludf.DUMMYFUNCTION("""COMPUTED_VALUE"""),45715.4107523148)</f>
        <v>45715.410752314798</v>
      </c>
      <c r="C40" s="2" t="str">
        <f ca="1">IFERROR(__xludf.DUMMYFUNCTION("""COMPUTED_VALUE"""),"f8624f14")</f>
        <v>f8624f14</v>
      </c>
      <c r="D40" s="2">
        <f ca="1">IFERROR(__xludf.DUMMYFUNCTION("""COMPUTED_VALUE"""),85)</f>
        <v>85</v>
      </c>
      <c r="E40" s="2" t="str">
        <f ca="1">IFERROR(__xludf.DUMMYFUNCTION("""COMPUTED_VALUE"""),"Merlot s/Asp")</f>
        <v>Merlot s/Asp</v>
      </c>
      <c r="F40" s="2">
        <f ca="1">IFERROR(__xludf.DUMMYFUNCTION("""COMPUTED_VALUE"""),3000)</f>
        <v>3000</v>
      </c>
      <c r="G40" s="2">
        <f ca="1">IFERROR(__xludf.DUMMYFUNCTION("""COMPUTED_VALUE"""),110)</f>
        <v>110</v>
      </c>
      <c r="H40" s="2"/>
      <c r="I40" s="2"/>
      <c r="J40" s="2">
        <f ca="1">IFERROR(__xludf.DUMMYFUNCTION("""COMPUTED_VALUE"""),0)</f>
        <v>0</v>
      </c>
      <c r="K40" s="2">
        <f ca="1">IFERROR(__xludf.DUMMYFUNCTION("""COMPUTED_VALUE"""),3000)</f>
        <v>3000</v>
      </c>
      <c r="L40" s="2" t="str">
        <f ca="1">IFERROR(__xludf.DUMMYFUNCTION("""COMPUTED_VALUE"""),"8c09a554")</f>
        <v>8c09a554</v>
      </c>
      <c r="M40" s="2" t="str">
        <f ca="1">IFERROR(__xludf.DUMMYFUNCTION("""COMPUTED_VALUE"""),"Merlot s/Asp descube")</f>
        <v>Merlot s/Asp descube</v>
      </c>
      <c r="N40" s="2" t="str">
        <f ca="1">IFERROR(__xludf.DUMMYFUNCTION("""COMPUTED_VALUE"""),"Gota")</f>
        <v>Gota</v>
      </c>
      <c r="O40" s="2"/>
      <c r="P40" s="2"/>
      <c r="Q40" s="2"/>
      <c r="R40" s="2"/>
      <c r="S40" s="2"/>
      <c r="T40" s="2"/>
      <c r="U40" s="2"/>
    </row>
    <row r="41" spans="1:21" x14ac:dyDescent="0.25">
      <c r="A41" s="2" t="str">
        <f ca="1">IFERROR(__xludf.DUMMYFUNCTION("""COMPUTED_VALUE"""),"7463f544")</f>
        <v>7463f544</v>
      </c>
      <c r="B41" s="3">
        <f ca="1">IFERROR(__xludf.DUMMYFUNCTION("""COMPUTED_VALUE"""),45715.411724537)</f>
        <v>45715.411724537</v>
      </c>
      <c r="C41" s="2" t="str">
        <f ca="1">IFERROR(__xludf.DUMMYFUNCTION("""COMPUTED_VALUE"""),"d177809a")</f>
        <v>d177809a</v>
      </c>
      <c r="D41" s="2">
        <f ca="1">IFERROR(__xludf.DUMMYFUNCTION("""COMPUTED_VALUE"""),83)</f>
        <v>83</v>
      </c>
      <c r="E41" s="2" t="str">
        <f ca="1">IFERROR(__xludf.DUMMYFUNCTION("""COMPUTED_VALUE"""),"Syrah")</f>
        <v>Syrah</v>
      </c>
      <c r="F41" s="2">
        <f ca="1">IFERROR(__xludf.DUMMYFUNCTION("""COMPUTED_VALUE"""),10000)</f>
        <v>10000</v>
      </c>
      <c r="G41" s="2">
        <f ca="1">IFERROR(__xludf.DUMMYFUNCTION("""COMPUTED_VALUE"""),80)</f>
        <v>80</v>
      </c>
      <c r="H41" s="2" t="str">
        <f ca="1">IFERROR(__xludf.DUMMYFUNCTION("""COMPUTED_VALUE"""),"d6272af5")</f>
        <v>d6272af5</v>
      </c>
      <c r="I41" s="2" t="str">
        <f ca="1">IFERROR(__xludf.DUMMYFUNCTION("""COMPUTED_VALUE"""),"Merlot s/ Asp")</f>
        <v>Merlot s/ Asp</v>
      </c>
      <c r="J41" s="2">
        <f ca="1">IFERROR(__xludf.DUMMYFUNCTION("""COMPUTED_VALUE"""),3000)</f>
        <v>3000</v>
      </c>
      <c r="K41" s="2">
        <f ca="1">IFERROR(__xludf.DUMMYFUNCTION("""COMPUTED_VALUE"""),13000)</f>
        <v>13000</v>
      </c>
      <c r="L41" s="2" t="str">
        <f ca="1">IFERROR(__xludf.DUMMYFUNCTION("""COMPUTED_VALUE"""),"7525cd32")</f>
        <v>7525cd32</v>
      </c>
      <c r="M41" s="2" t="str">
        <f ca="1">IFERROR(__xludf.DUMMYFUNCTION("""COMPUTED_VALUE"""),"Syrah s/Asp 2da")</f>
        <v>Syrah s/Asp 2da</v>
      </c>
      <c r="N41" s="2" t="str">
        <f ca="1">IFERROR(__xludf.DUMMYFUNCTION("""COMPUTED_VALUE"""),"Gota")</f>
        <v>Gota</v>
      </c>
      <c r="O41" s="2"/>
      <c r="P41" s="2"/>
      <c r="Q41" s="2"/>
      <c r="R41" s="2"/>
      <c r="S41" s="2"/>
      <c r="T41" s="2"/>
      <c r="U41" s="2"/>
    </row>
    <row r="42" spans="1:21" x14ac:dyDescent="0.25">
      <c r="A42" s="2" t="str">
        <f ca="1">IFERROR(__xludf.DUMMYFUNCTION("""COMPUTED_VALUE"""),"01f1dc38")</f>
        <v>01f1dc38</v>
      </c>
      <c r="B42" s="3">
        <f ca="1">IFERROR(__xludf.DUMMYFUNCTION("""COMPUTED_VALUE"""),45715.4125810185)</f>
        <v>45715.4125810185</v>
      </c>
      <c r="C42" s="2" t="str">
        <f ca="1">IFERROR(__xludf.DUMMYFUNCTION("""COMPUTED_VALUE"""),"d177809a")</f>
        <v>d177809a</v>
      </c>
      <c r="D42" s="2">
        <f ca="1">IFERROR(__xludf.DUMMYFUNCTION("""COMPUTED_VALUE"""),83)</f>
        <v>83</v>
      </c>
      <c r="E42" s="2" t="str">
        <f ca="1">IFERROR(__xludf.DUMMYFUNCTION("""COMPUTED_VALUE"""),"Syrah")</f>
        <v>Syrah</v>
      </c>
      <c r="F42" s="2">
        <f ca="1">IFERROR(__xludf.DUMMYFUNCTION("""COMPUTED_VALUE"""),25800)</f>
        <v>25800</v>
      </c>
      <c r="G42" s="2">
        <f ca="1">IFERROR(__xludf.DUMMYFUNCTION("""COMPUTED_VALUE"""),85)</f>
        <v>85</v>
      </c>
      <c r="H42" s="2" t="str">
        <f ca="1">IFERROR(__xludf.DUMMYFUNCTION("""COMPUTED_VALUE"""),"f8624f14")</f>
        <v>f8624f14</v>
      </c>
      <c r="I42" s="2" t="str">
        <f ca="1">IFERROR(__xludf.DUMMYFUNCTION("""COMPUTED_VALUE"""),"Merlot s/Asp")</f>
        <v>Merlot s/Asp</v>
      </c>
      <c r="J42" s="2">
        <f ca="1">IFERROR(__xludf.DUMMYFUNCTION("""COMPUTED_VALUE"""),5000)</f>
        <v>5000</v>
      </c>
      <c r="K42" s="2">
        <f ca="1">IFERROR(__xludf.DUMMYFUNCTION("""COMPUTED_VALUE"""),30800)</f>
        <v>30800</v>
      </c>
      <c r="L42" s="2" t="str">
        <f ca="1">IFERROR(__xludf.DUMMYFUNCTION("""COMPUTED_VALUE"""),"245cd9d6")</f>
        <v>245cd9d6</v>
      </c>
      <c r="M42" s="2" t="str">
        <f ca="1">IFERROR(__xludf.DUMMYFUNCTION("""COMPUTED_VALUE"""),"Syrah s/Asp 2da")</f>
        <v>Syrah s/Asp 2da</v>
      </c>
      <c r="N42" s="2" t="str">
        <f ca="1">IFERROR(__xludf.DUMMYFUNCTION("""COMPUTED_VALUE"""),"Gota y prensa recarga")</f>
        <v>Gota y prensa recarga</v>
      </c>
      <c r="O42" s="2"/>
      <c r="P42" s="2"/>
      <c r="Q42" s="2"/>
      <c r="R42" s="2"/>
      <c r="S42" s="2"/>
      <c r="T42" s="2"/>
      <c r="U42" s="2"/>
    </row>
    <row r="43" spans="1:21" x14ac:dyDescent="0.25">
      <c r="A43" s="2" t="str">
        <f ca="1">IFERROR(__xludf.DUMMYFUNCTION("""COMPUTED_VALUE"""),"43efe779")</f>
        <v>43efe779</v>
      </c>
      <c r="B43" s="3">
        <f ca="1">IFERROR(__xludf.DUMMYFUNCTION("""COMPUTED_VALUE"""),45715.7654166666)</f>
        <v>45715.765416666603</v>
      </c>
      <c r="C43" s="2" t="str">
        <f ca="1">IFERROR(__xludf.DUMMYFUNCTION("""COMPUTED_VALUE"""),"d6ff9a07")</f>
        <v>d6ff9a07</v>
      </c>
      <c r="D43" s="2">
        <f ca="1">IFERROR(__xludf.DUMMYFUNCTION("""COMPUTED_VALUE"""),109)</f>
        <v>109</v>
      </c>
      <c r="E43" s="2" t="str">
        <f ca="1">IFERROR(__xludf.DUMMYFUNCTION("""COMPUTED_VALUE"""),"Merlot s/Asp descube")</f>
        <v>Merlot s/Asp descube</v>
      </c>
      <c r="F43" s="2">
        <f ca="1">IFERROR(__xludf.DUMMYFUNCTION("""COMPUTED_VALUE"""),10000)</f>
        <v>10000</v>
      </c>
      <c r="G43" s="2">
        <f ca="1">IFERROR(__xludf.DUMMYFUNCTION("""COMPUTED_VALUE"""),110)</f>
        <v>110</v>
      </c>
      <c r="H43" s="2" t="str">
        <f ca="1">IFERROR(__xludf.DUMMYFUNCTION("""COMPUTED_VALUE"""),"8c09a554")</f>
        <v>8c09a554</v>
      </c>
      <c r="I43" s="2" t="str">
        <f ca="1">IFERROR(__xludf.DUMMYFUNCTION("""COMPUTED_VALUE"""),"Merlot s/Asp descube")</f>
        <v>Merlot s/Asp descube</v>
      </c>
      <c r="J43" s="2">
        <f ca="1">IFERROR(__xludf.DUMMYFUNCTION("""COMPUTED_VALUE"""),3000)</f>
        <v>3000</v>
      </c>
      <c r="K43" s="2">
        <f ca="1">IFERROR(__xludf.DUMMYFUNCTION("""COMPUTED_VALUE"""),13000)</f>
        <v>13000</v>
      </c>
      <c r="L43" s="2" t="str">
        <f ca="1">IFERROR(__xludf.DUMMYFUNCTION("""COMPUTED_VALUE"""),"13d1574d")</f>
        <v>13d1574d</v>
      </c>
      <c r="M43" s="2" t="str">
        <f ca="1">IFERROR(__xludf.DUMMYFUNCTION("""COMPUTED_VALUE"""),"Merlot s/Asp descube")</f>
        <v>Merlot s/Asp descube</v>
      </c>
      <c r="N43" s="2" t="str">
        <f ca="1">IFERROR(__xludf.DUMMYFUNCTION("""COMPUTED_VALUE"""),"Envie volumen de mas a la 109 y lo estoy trasegando a la 110")</f>
        <v>Envie volumen de mas a la 109 y lo estoy trasegando a la 110</v>
      </c>
      <c r="O43" s="2"/>
      <c r="P43" s="2"/>
      <c r="Q43" s="2"/>
      <c r="R43" s="2"/>
      <c r="S43" s="2"/>
      <c r="T43" s="2"/>
      <c r="U43" s="2"/>
    </row>
    <row r="44" spans="1:21" x14ac:dyDescent="0.25">
      <c r="A44" s="2" t="str">
        <f ca="1">IFERROR(__xludf.DUMMYFUNCTION("""COMPUTED_VALUE"""),"41500743")</f>
        <v>41500743</v>
      </c>
      <c r="B44" s="3">
        <f ca="1">IFERROR(__xludf.DUMMYFUNCTION("""COMPUTED_VALUE"""),45715.791886574)</f>
        <v>45715.791886573999</v>
      </c>
      <c r="C44" s="2" t="str">
        <f ca="1">IFERROR(__xludf.DUMMYFUNCTION("""COMPUTED_VALUE"""),"5008e5a3")</f>
        <v>5008e5a3</v>
      </c>
      <c r="D44" s="2">
        <f ca="1">IFERROR(__xludf.DUMMYFUNCTION("""COMPUTED_VALUE"""),11)</f>
        <v>11</v>
      </c>
      <c r="E44" s="2" t="str">
        <f ca="1">IFERROR(__xludf.DUMMYFUNCTION("""COMPUTED_VALUE"""),"Cabernet Sauv Rect")</f>
        <v>Cabernet Sauv Rect</v>
      </c>
      <c r="F44" s="2">
        <f ca="1">IFERROR(__xludf.DUMMYFUNCTION("""COMPUTED_VALUE"""),4700)</f>
        <v>4700</v>
      </c>
      <c r="G44" s="2">
        <f ca="1">IFERROR(__xludf.DUMMYFUNCTION("""COMPUTED_VALUE"""),88)</f>
        <v>88</v>
      </c>
      <c r="H44" s="2" t="str">
        <f ca="1">IFERROR(__xludf.DUMMYFUNCTION("""COMPUTED_VALUE"""),"8b03a986")</f>
        <v>8b03a986</v>
      </c>
      <c r="I44" s="2" t="str">
        <f ca="1">IFERROR(__xludf.DUMMYFUNCTION("""COMPUTED_VALUE"""),"Syrah")</f>
        <v>Syrah</v>
      </c>
      <c r="J44" s="2">
        <f ca="1">IFERROR(__xludf.DUMMYFUNCTION("""COMPUTED_VALUE"""),37400)</f>
        <v>37400</v>
      </c>
      <c r="K44" s="2">
        <f ca="1">IFERROR(__xludf.DUMMYFUNCTION("""COMPUTED_VALUE"""),42100)</f>
        <v>42100</v>
      </c>
      <c r="L44" s="2" t="str">
        <f ca="1">IFERROR(__xludf.DUMMYFUNCTION("""COMPUTED_VALUE"""),"9adbf19e")</f>
        <v>9adbf19e</v>
      </c>
      <c r="M44" s="2" t="str">
        <f ca="1">IFERROR(__xludf.DUMMYFUNCTION("""COMPUTED_VALUE"""),"Syrah")</f>
        <v>Syrah</v>
      </c>
      <c r="N44" s="2" t="str">
        <f ca="1">IFERROR(__xludf.DUMMYFUNCTION("""COMPUTED_VALUE"""),"agregado de Rectificado al Syrah")</f>
        <v>agregado de Rectificado al Syrah</v>
      </c>
      <c r="O44" s="2"/>
      <c r="P44" s="2"/>
      <c r="Q44" s="2"/>
      <c r="R44" s="2"/>
      <c r="S44" s="2"/>
      <c r="T44" s="2"/>
      <c r="U44" s="2"/>
    </row>
    <row r="45" spans="1:21" x14ac:dyDescent="0.25">
      <c r="A45" s="2" t="str">
        <f ca="1">IFERROR(__xludf.DUMMYFUNCTION("""COMPUTED_VALUE"""),"516d898a")</f>
        <v>516d898a</v>
      </c>
      <c r="B45" s="3">
        <f ca="1">IFERROR(__xludf.DUMMYFUNCTION("""COMPUTED_VALUE"""),45717.515636574)</f>
        <v>45717.515636573997</v>
      </c>
      <c r="C45" s="2" t="str">
        <f ca="1">IFERROR(__xludf.DUMMYFUNCTION("""COMPUTED_VALUE"""),"3b2a1e70")</f>
        <v>3b2a1e70</v>
      </c>
      <c r="D45" s="2">
        <f ca="1">IFERROR(__xludf.DUMMYFUNCTION("""COMPUTED_VALUE"""),86)</f>
        <v>86</v>
      </c>
      <c r="E45" s="2" t="str">
        <f ca="1">IFERROR(__xludf.DUMMYFUNCTION("""COMPUTED_VALUE"""),"Syrah Tempranillo s/Asp 2da")</f>
        <v>Syrah Tempranillo s/Asp 2da</v>
      </c>
      <c r="F45" s="2">
        <f ca="1">IFERROR(__xludf.DUMMYFUNCTION("""COMPUTED_VALUE"""),36000)</f>
        <v>36000</v>
      </c>
      <c r="G45" s="2">
        <f ca="1">IFERROR(__xludf.DUMMYFUNCTION("""COMPUTED_VALUE"""),15)</f>
        <v>15</v>
      </c>
      <c r="H45" s="2"/>
      <c r="I45" s="2"/>
      <c r="J45" s="2">
        <f ca="1">IFERROR(__xludf.DUMMYFUNCTION("""COMPUTED_VALUE"""),0)</f>
        <v>0</v>
      </c>
      <c r="K45" s="2">
        <f ca="1">IFERROR(__xludf.DUMMYFUNCTION("""COMPUTED_VALUE"""),36000)</f>
        <v>36000</v>
      </c>
      <c r="L45" s="2" t="str">
        <f ca="1">IFERROR(__xludf.DUMMYFUNCTION("""COMPUTED_VALUE"""),"bf5594db")</f>
        <v>bf5594db</v>
      </c>
      <c r="M45" s="2" t="str">
        <f ca="1">IFERROR(__xludf.DUMMYFUNCTION("""COMPUTED_VALUE"""),"Syrah Tempranillo s/Asp 2da")</f>
        <v>Syrah Tempranillo s/Asp 2da</v>
      </c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 t="str">
        <f ca="1">IFERROR(__xludf.DUMMYFUNCTION("""COMPUTED_VALUE"""),"d15b7359")</f>
        <v>d15b7359</v>
      </c>
      <c r="B46" s="3">
        <f ca="1">IFERROR(__xludf.DUMMYFUNCTION("""COMPUTED_VALUE"""),45717.5226967592)</f>
        <v>45717.522696759203</v>
      </c>
      <c r="C46" s="2" t="str">
        <f ca="1">IFERROR(__xludf.DUMMYFUNCTION("""COMPUTED_VALUE"""),"3b2a1e70")</f>
        <v>3b2a1e70</v>
      </c>
      <c r="D46" s="2">
        <f ca="1">IFERROR(__xludf.DUMMYFUNCTION("""COMPUTED_VALUE"""),86)</f>
        <v>86</v>
      </c>
      <c r="E46" s="2" t="str">
        <f ca="1">IFERROR(__xludf.DUMMYFUNCTION("""COMPUTED_VALUE"""),"Syrah Tempranillo s/Asp 2da")</f>
        <v>Syrah Tempranillo s/Asp 2da</v>
      </c>
      <c r="F46" s="2">
        <f ca="1">IFERROR(__xludf.DUMMYFUNCTION("""COMPUTED_VALUE"""),5000)</f>
        <v>5000</v>
      </c>
      <c r="G46" s="2">
        <f ca="1">IFERROR(__xludf.DUMMYFUNCTION("""COMPUTED_VALUE"""),34)</f>
        <v>34</v>
      </c>
      <c r="H46" s="2"/>
      <c r="I46" s="2"/>
      <c r="J46" s="2">
        <f ca="1">IFERROR(__xludf.DUMMYFUNCTION("""COMPUTED_VALUE"""),0)</f>
        <v>0</v>
      </c>
      <c r="K46" s="2">
        <f ca="1">IFERROR(__xludf.DUMMYFUNCTION("""COMPUTED_VALUE"""),5000)</f>
        <v>5000</v>
      </c>
      <c r="L46" s="2" t="str">
        <f ca="1">IFERROR(__xludf.DUMMYFUNCTION("""COMPUTED_VALUE"""),"fea4a82d")</f>
        <v>fea4a82d</v>
      </c>
      <c r="M46" s="2" t="str">
        <f ca="1">IFERROR(__xludf.DUMMYFUNCTION("""COMPUTED_VALUE"""),"Syrah Tempranillo s/Asp 2da")</f>
        <v>Syrah Tempranillo s/Asp 2da</v>
      </c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tr">
        <f ca="1">IFERROR(__xludf.DUMMYFUNCTION("""COMPUTED_VALUE"""),"c02698f9")</f>
        <v>c02698f9</v>
      </c>
      <c r="B47" s="3">
        <f ca="1">IFERROR(__xludf.DUMMYFUNCTION("""COMPUTED_VALUE"""),45717.5234953703)</f>
        <v>45717.523495370297</v>
      </c>
      <c r="C47" s="2" t="str">
        <f ca="1">IFERROR(__xludf.DUMMYFUNCTION("""COMPUTED_VALUE"""),"245cd9d6")</f>
        <v>245cd9d6</v>
      </c>
      <c r="D47" s="2">
        <f ca="1">IFERROR(__xludf.DUMMYFUNCTION("""COMPUTED_VALUE"""),85)</f>
        <v>85</v>
      </c>
      <c r="E47" s="2" t="str">
        <f ca="1">IFERROR(__xludf.DUMMYFUNCTION("""COMPUTED_VALUE"""),"Syrah s/Asp 2da")</f>
        <v>Syrah s/Asp 2da</v>
      </c>
      <c r="F47" s="2">
        <f ca="1">IFERROR(__xludf.DUMMYFUNCTION("""COMPUTED_VALUE"""),25000)</f>
        <v>25000</v>
      </c>
      <c r="G47" s="2">
        <f ca="1">IFERROR(__xludf.DUMMYFUNCTION("""COMPUTED_VALUE"""),34)</f>
        <v>34</v>
      </c>
      <c r="H47" s="2" t="str">
        <f ca="1">IFERROR(__xludf.DUMMYFUNCTION("""COMPUTED_VALUE"""),"fea4a82d")</f>
        <v>fea4a82d</v>
      </c>
      <c r="I47" s="2" t="str">
        <f ca="1">IFERROR(__xludf.DUMMYFUNCTION("""COMPUTED_VALUE"""),"Syrah Tempranillo s/Asp 2da")</f>
        <v>Syrah Tempranillo s/Asp 2da</v>
      </c>
      <c r="J47" s="2">
        <f ca="1">IFERROR(__xludf.DUMMYFUNCTION("""COMPUTED_VALUE"""),5000)</f>
        <v>5000</v>
      </c>
      <c r="K47" s="2">
        <f ca="1">IFERROR(__xludf.DUMMYFUNCTION("""COMPUTED_VALUE"""),30000)</f>
        <v>30000</v>
      </c>
      <c r="L47" s="2" t="str">
        <f ca="1">IFERROR(__xludf.DUMMYFUNCTION("""COMPUTED_VALUE"""),"61098b0e")</f>
        <v>61098b0e</v>
      </c>
      <c r="M47" s="2" t="str">
        <f ca="1">IFERROR(__xludf.DUMMYFUNCTION("""COMPUTED_VALUE"""),"Syrah s/Asp 2da")</f>
        <v>Syrah s/Asp 2da</v>
      </c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 t="str">
        <f ca="1">IFERROR(__xludf.DUMMYFUNCTION("""COMPUTED_VALUE"""),"d7db7220")</f>
        <v>d7db7220</v>
      </c>
      <c r="B48" s="3">
        <f ca="1">IFERROR(__xludf.DUMMYFUNCTION("""COMPUTED_VALUE"""),45717.5313310185)</f>
        <v>45717.531331018501</v>
      </c>
      <c r="C48" s="2" t="str">
        <f ca="1">IFERROR(__xludf.DUMMYFUNCTION("""COMPUTED_VALUE"""),"9adbf19e")</f>
        <v>9adbf19e</v>
      </c>
      <c r="D48" s="2">
        <f ca="1">IFERROR(__xludf.DUMMYFUNCTION("""COMPUTED_VALUE"""),88)</f>
        <v>88</v>
      </c>
      <c r="E48" s="2" t="str">
        <f ca="1">IFERROR(__xludf.DUMMYFUNCTION("""COMPUTED_VALUE"""),"Syrah")</f>
        <v>Syrah</v>
      </c>
      <c r="F48" s="2">
        <f ca="1">IFERROR(__xludf.DUMMYFUNCTION("""COMPUTED_VALUE"""),42100)</f>
        <v>42100</v>
      </c>
      <c r="G48" s="2">
        <f ca="1">IFERROR(__xludf.DUMMYFUNCTION("""COMPUTED_VALUE"""),86)</f>
        <v>86</v>
      </c>
      <c r="H48" s="2" t="str">
        <f ca="1">IFERROR(__xludf.DUMMYFUNCTION("""COMPUTED_VALUE"""),"3b2a1e70")</f>
        <v>3b2a1e70</v>
      </c>
      <c r="I48" s="2" t="str">
        <f ca="1">IFERROR(__xludf.DUMMYFUNCTION("""COMPUTED_VALUE"""),"Syrah Tempranillo s/Asp 2da")</f>
        <v>Syrah Tempranillo s/Asp 2da</v>
      </c>
      <c r="J48" s="2">
        <f ca="1">IFERROR(__xludf.DUMMYFUNCTION("""COMPUTED_VALUE"""),6200)</f>
        <v>6200</v>
      </c>
      <c r="K48" s="2">
        <f ca="1">IFERROR(__xludf.DUMMYFUNCTION("""COMPUTED_VALUE"""),48300)</f>
        <v>48300</v>
      </c>
      <c r="L48" s="2" t="str">
        <f ca="1">IFERROR(__xludf.DUMMYFUNCTION("""COMPUTED_VALUE"""),"ce659e77")</f>
        <v>ce659e77</v>
      </c>
      <c r="M48" s="2" t="str">
        <f ca="1">IFERROR(__xludf.DUMMYFUNCTION("""COMPUTED_VALUE"""),"Syrah s/Asp 3ra")</f>
        <v>Syrah s/Asp 3ra</v>
      </c>
      <c r="N48" s="2" t="str">
        <f ca="1">IFERROR(__xludf.DUMMYFUNCTION("""COMPUTED_VALUE"""),"Tercer recarga de Syrah sobre Aspirant")</f>
        <v>Tercer recarga de Syrah sobre Aspirant</v>
      </c>
      <c r="O48" s="2"/>
      <c r="P48" s="2"/>
      <c r="Q48" s="2"/>
      <c r="R48" s="2"/>
      <c r="S48" s="2"/>
      <c r="T48" s="2"/>
      <c r="U48" s="2"/>
    </row>
    <row r="49" spans="1:21" x14ac:dyDescent="0.25">
      <c r="A49" s="2" t="str">
        <f ca="1">IFERROR(__xludf.DUMMYFUNCTION("""COMPUTED_VALUE"""),"3bd69807")</f>
        <v>3bd69807</v>
      </c>
      <c r="B49" s="3">
        <f ca="1">IFERROR(__xludf.DUMMYFUNCTION("""COMPUTED_VALUE"""),45717.5347916666)</f>
        <v>45717.5347916666</v>
      </c>
      <c r="C49" s="2" t="str">
        <f ca="1">IFERROR(__xludf.DUMMYFUNCTION("""COMPUTED_VALUE"""),"3e5c0749")</f>
        <v>3e5c0749</v>
      </c>
      <c r="D49" s="2">
        <f ca="1">IFERROR(__xludf.DUMMYFUNCTION("""COMPUTED_VALUE"""),92)</f>
        <v>92</v>
      </c>
      <c r="E49" s="2" t="str">
        <f ca="1">IFERROR(__xludf.DUMMYFUNCTION("""COMPUTED_VALUE"""),"Syrah Ferm")</f>
        <v>Syrah Ferm</v>
      </c>
      <c r="F49" s="2">
        <f ca="1">IFERROR(__xludf.DUMMYFUNCTION("""COMPUTED_VALUE"""),35900)</f>
        <v>35900</v>
      </c>
      <c r="G49" s="2">
        <f ca="1">IFERROR(__xludf.DUMMYFUNCTION("""COMPUTED_VALUE"""),85)</f>
        <v>85</v>
      </c>
      <c r="H49" s="2" t="str">
        <f ca="1">IFERROR(__xludf.DUMMYFUNCTION("""COMPUTED_VALUE"""),"245cd9d6")</f>
        <v>245cd9d6</v>
      </c>
      <c r="I49" s="2" t="str">
        <f ca="1">IFERROR(__xludf.DUMMYFUNCTION("""COMPUTED_VALUE"""),"Syrah s/Asp 2da")</f>
        <v>Syrah s/Asp 2da</v>
      </c>
      <c r="J49" s="2">
        <f ca="1">IFERROR(__xludf.DUMMYFUNCTION("""COMPUTED_VALUE"""),5800)</f>
        <v>5800</v>
      </c>
      <c r="K49" s="2">
        <f ca="1">IFERROR(__xludf.DUMMYFUNCTION("""COMPUTED_VALUE"""),41700)</f>
        <v>41700</v>
      </c>
      <c r="L49" s="2" t="str">
        <f ca="1">IFERROR(__xludf.DUMMYFUNCTION("""COMPUTED_VALUE"""),"5f87c3d5")</f>
        <v>5f87c3d5</v>
      </c>
      <c r="M49" s="2" t="str">
        <f ca="1">IFERROR(__xludf.DUMMYFUNCTION("""COMPUTED_VALUE"""),"Syrah s/Asp 3ra")</f>
        <v>Syrah s/Asp 3ra</v>
      </c>
      <c r="N49" s="2" t="str">
        <f ca="1">IFERROR(__xludf.DUMMYFUNCTION("""COMPUTED_VALUE"""),"Gota y Prensa sobre 3er de Aspirant")</f>
        <v>Gota y Prensa sobre 3er de Aspirant</v>
      </c>
      <c r="O49" s="2"/>
      <c r="P49" s="2"/>
      <c r="Q49" s="2"/>
      <c r="R49" s="2"/>
      <c r="S49" s="2"/>
      <c r="T49" s="2"/>
      <c r="U49" s="2"/>
    </row>
    <row r="50" spans="1:21" x14ac:dyDescent="0.25">
      <c r="A50" s="2" t="str">
        <f ca="1">IFERROR(__xludf.DUMMYFUNCTION("""COMPUTED_VALUE"""),"5c36256b")</f>
        <v>5c36256b</v>
      </c>
      <c r="B50" s="3">
        <f ca="1">IFERROR(__xludf.DUMMYFUNCTION("""COMPUTED_VALUE"""),45717.5363888888)</f>
        <v>45717.536388888802</v>
      </c>
      <c r="C50" s="2" t="str">
        <f ca="1">IFERROR(__xludf.DUMMYFUNCTION("""COMPUTED_VALUE"""),"5008e5a3")</f>
        <v>5008e5a3</v>
      </c>
      <c r="D50" s="2">
        <f ca="1">IFERROR(__xludf.DUMMYFUNCTION("""COMPUTED_VALUE"""),11)</f>
        <v>11</v>
      </c>
      <c r="E50" s="2" t="str">
        <f ca="1">IFERROR(__xludf.DUMMYFUNCTION("""COMPUTED_VALUE"""),"Cabernet Sauv Rect")</f>
        <v>Cabernet Sauv Rect</v>
      </c>
      <c r="F50" s="2">
        <f ca="1">IFERROR(__xludf.DUMMYFUNCTION("""COMPUTED_VALUE"""),6000)</f>
        <v>6000</v>
      </c>
      <c r="G50" s="2">
        <f ca="1">IFERROR(__xludf.DUMMYFUNCTION("""COMPUTED_VALUE"""),87)</f>
        <v>87</v>
      </c>
      <c r="H50" s="2" t="str">
        <f ca="1">IFERROR(__xludf.DUMMYFUNCTION("""COMPUTED_VALUE"""),"f3ebcf34")</f>
        <v>f3ebcf34</v>
      </c>
      <c r="I50" s="2" t="str">
        <f ca="1">IFERROR(__xludf.DUMMYFUNCTION("""COMPUTED_VALUE"""),"Merlot Fer")</f>
        <v>Merlot Fer</v>
      </c>
      <c r="J50" s="2">
        <f ca="1">IFERROR(__xludf.DUMMYFUNCTION("""COMPUTED_VALUE"""),38200)</f>
        <v>38200</v>
      </c>
      <c r="K50" s="2">
        <f ca="1">IFERROR(__xludf.DUMMYFUNCTION("""COMPUTED_VALUE"""),44200)</f>
        <v>44200</v>
      </c>
      <c r="L50" s="2" t="str">
        <f ca="1">IFERROR(__xludf.DUMMYFUNCTION("""COMPUTED_VALUE"""),"6c3c93fd")</f>
        <v>6c3c93fd</v>
      </c>
      <c r="M50" s="2" t="str">
        <f ca="1">IFERROR(__xludf.DUMMYFUNCTION("""COMPUTED_VALUE"""),"Merlot")</f>
        <v>Merlot</v>
      </c>
      <c r="N50" s="2" t="str">
        <f ca="1">IFERROR(__xludf.DUMMYFUNCTION("""COMPUTED_VALUE"""),"agregado de rectificado")</f>
        <v>agregado de rectificado</v>
      </c>
      <c r="O50" s="2"/>
      <c r="P50" s="2"/>
      <c r="Q50" s="2"/>
      <c r="R50" s="2"/>
      <c r="S50" s="2"/>
      <c r="T50" s="2"/>
      <c r="U50" s="2"/>
    </row>
    <row r="51" spans="1:21" x14ac:dyDescent="0.25">
      <c r="A51" s="2" t="str">
        <f ca="1">IFERROR(__xludf.DUMMYFUNCTION("""COMPUTED_VALUE"""),"2957daf0")</f>
        <v>2957daf0</v>
      </c>
      <c r="B51" s="3">
        <f ca="1">IFERROR(__xludf.DUMMYFUNCTION("""COMPUTED_VALUE"""),45718.6469675925)</f>
        <v>45718.646967592496</v>
      </c>
      <c r="C51" s="2" t="str">
        <f ca="1">IFERROR(__xludf.DUMMYFUNCTION("""COMPUTED_VALUE"""),"5008e5a3")</f>
        <v>5008e5a3</v>
      </c>
      <c r="D51" s="2">
        <f ca="1">IFERROR(__xludf.DUMMYFUNCTION("""COMPUTED_VALUE"""),11)</f>
        <v>11</v>
      </c>
      <c r="E51" s="2" t="str">
        <f ca="1">IFERROR(__xludf.DUMMYFUNCTION("""COMPUTED_VALUE"""),"Cabernet Sauv Rect")</f>
        <v>Cabernet Sauv Rect</v>
      </c>
      <c r="F51" s="2">
        <f ca="1">IFERROR(__xludf.DUMMYFUNCTION("""COMPUTED_VALUE"""),4000)</f>
        <v>4000</v>
      </c>
      <c r="G51" s="2">
        <f ca="1">IFERROR(__xludf.DUMMYFUNCTION("""COMPUTED_VALUE"""),65)</f>
        <v>65</v>
      </c>
      <c r="H51" s="2" t="str">
        <f ca="1">IFERROR(__xludf.DUMMYFUNCTION("""COMPUTED_VALUE"""),"e95eaf53")</f>
        <v>e95eaf53</v>
      </c>
      <c r="I51" s="2" t="str">
        <f ca="1">IFERROR(__xludf.DUMMYFUNCTION("""COMPUTED_VALUE"""),"Anccelotta")</f>
        <v>Anccelotta</v>
      </c>
      <c r="J51" s="2">
        <f ca="1">IFERROR(__xludf.DUMMYFUNCTION("""COMPUTED_VALUE"""),20500)</f>
        <v>20500</v>
      </c>
      <c r="K51" s="2">
        <f ca="1">IFERROR(__xludf.DUMMYFUNCTION("""COMPUTED_VALUE"""),24500)</f>
        <v>24500</v>
      </c>
      <c r="L51" s="2" t="str">
        <f ca="1">IFERROR(__xludf.DUMMYFUNCTION("""COMPUTED_VALUE"""),"15e7b86f")</f>
        <v>15e7b86f</v>
      </c>
      <c r="M51" s="2" t="str">
        <f ca="1">IFERROR(__xludf.DUMMYFUNCTION("""COMPUTED_VALUE"""),"Anccelotta")</f>
        <v>Anccelotta</v>
      </c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tr">
        <f ca="1">IFERROR(__xludf.DUMMYFUNCTION("""COMPUTED_VALUE"""),"c6944202")</f>
        <v>c6944202</v>
      </c>
      <c r="B52" s="3">
        <f ca="1">IFERROR(__xludf.DUMMYFUNCTION("""COMPUTED_VALUE"""),45718.6525925925)</f>
        <v>45718.652592592502</v>
      </c>
      <c r="C52" s="2" t="str">
        <f ca="1">IFERROR(__xludf.DUMMYFUNCTION("""COMPUTED_VALUE"""),"5008e5a3")</f>
        <v>5008e5a3</v>
      </c>
      <c r="D52" s="2">
        <f ca="1">IFERROR(__xludf.DUMMYFUNCTION("""COMPUTED_VALUE"""),11)</f>
        <v>11</v>
      </c>
      <c r="E52" s="2" t="str">
        <f ca="1">IFERROR(__xludf.DUMMYFUNCTION("""COMPUTED_VALUE"""),"Cabernet Sauv Rect")</f>
        <v>Cabernet Sauv Rect</v>
      </c>
      <c r="F52" s="2">
        <f ca="1">IFERROR(__xludf.DUMMYFUNCTION("""COMPUTED_VALUE"""),8000)</f>
        <v>8000</v>
      </c>
      <c r="G52" s="2">
        <f ca="1">IFERROR(__xludf.DUMMYFUNCTION("""COMPUTED_VALUE"""),83)</f>
        <v>83</v>
      </c>
      <c r="H52" s="2" t="str">
        <f ca="1">IFERROR(__xludf.DUMMYFUNCTION("""COMPUTED_VALUE"""),"b45049fe")</f>
        <v>b45049fe</v>
      </c>
      <c r="I52" s="2" t="str">
        <f ca="1">IFERROR(__xludf.DUMMYFUNCTION("""COMPUTED_VALUE"""),"Syrah")</f>
        <v>Syrah</v>
      </c>
      <c r="J52" s="2">
        <f ca="1">IFERROR(__xludf.DUMMYFUNCTION("""COMPUTED_VALUE"""),45000)</f>
        <v>45000</v>
      </c>
      <c r="K52" s="2">
        <f ca="1">IFERROR(__xludf.DUMMYFUNCTION("""COMPUTED_VALUE"""),53000)</f>
        <v>53000</v>
      </c>
      <c r="L52" s="2" t="str">
        <f ca="1">IFERROR(__xludf.DUMMYFUNCTION("""COMPUTED_VALUE"""),"6c349523")</f>
        <v>6c349523</v>
      </c>
      <c r="M52" s="2" t="str">
        <f ca="1">IFERROR(__xludf.DUMMYFUNCTION("""COMPUTED_VALUE"""),"Syrah")</f>
        <v>Syrah</v>
      </c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tr">
        <f ca="1">IFERROR(__xludf.DUMMYFUNCTION("""COMPUTED_VALUE"""),"c86ba992")</f>
        <v>c86ba992</v>
      </c>
      <c r="B53" s="3">
        <f ca="1">IFERROR(__xludf.DUMMYFUNCTION("""COMPUTED_VALUE"""),45719.6977893518)</f>
        <v>45719.697789351798</v>
      </c>
      <c r="C53" s="2" t="str">
        <f ca="1">IFERROR(__xludf.DUMMYFUNCTION("""COMPUTED_VALUE"""),"d53930ff")</f>
        <v>d53930ff</v>
      </c>
      <c r="D53" s="2">
        <f ca="1">IFERROR(__xludf.DUMMYFUNCTION("""COMPUTED_VALUE"""),150)</f>
        <v>150</v>
      </c>
      <c r="E53" s="2" t="str">
        <f ca="1">IFERROR(__xludf.DUMMYFUNCTION("""COMPUTED_VALUE"""),"Correccion")</f>
        <v>Correccion</v>
      </c>
      <c r="F53" s="2">
        <f ca="1">IFERROR(__xludf.DUMMYFUNCTION("""COMPUTED_VALUE"""),2000)</f>
        <v>2000</v>
      </c>
      <c r="G53" s="2">
        <f ca="1">IFERROR(__xludf.DUMMYFUNCTION("""COMPUTED_VALUE"""),84)</f>
        <v>84</v>
      </c>
      <c r="H53" s="2" t="str">
        <f ca="1">IFERROR(__xludf.DUMMYFUNCTION("""COMPUTED_VALUE"""),"7082548e")</f>
        <v>7082548e</v>
      </c>
      <c r="I53" s="2" t="str">
        <f ca="1">IFERROR(__xludf.DUMMYFUNCTION("""COMPUTED_VALUE"""),"Syrah Colom s/Asp 2")</f>
        <v>Syrah Colom s/Asp 2</v>
      </c>
      <c r="J53" s="2">
        <f ca="1">IFERROR(__xludf.DUMMYFUNCTION("""COMPUTED_VALUE"""),39000)</f>
        <v>39000</v>
      </c>
      <c r="K53" s="2">
        <f ca="1">IFERROR(__xludf.DUMMYFUNCTION("""COMPUTED_VALUE"""),41000)</f>
        <v>41000</v>
      </c>
      <c r="L53" s="2" t="str">
        <f ca="1">IFERROR(__xludf.DUMMYFUNCTION("""COMPUTED_VALUE"""),"994b8afe")</f>
        <v>994b8afe</v>
      </c>
      <c r="M53" s="2" t="str">
        <f ca="1">IFERROR(__xludf.DUMMYFUNCTION("""COMPUTED_VALUE"""),"Syrah Colom s/Asp 2")</f>
        <v>Syrah Colom s/Asp 2</v>
      </c>
      <c r="N53" s="2" t="str">
        <f ca="1">IFERROR(__xludf.DUMMYFUNCTION("""COMPUTED_VALUE"""),"Correccion hecha en la pilta 89 antes de trasegar a la 84 sobre los orujos de Aspirant")</f>
        <v>Correccion hecha en la pilta 89 antes de trasegar a la 84 sobre los orujos de Aspirant</v>
      </c>
      <c r="O53" s="2"/>
      <c r="P53" s="2"/>
      <c r="Q53" s="2"/>
      <c r="R53" s="2"/>
      <c r="S53" s="2"/>
      <c r="T53" s="2"/>
      <c r="U53" s="2"/>
    </row>
    <row r="54" spans="1:21" x14ac:dyDescent="0.25">
      <c r="A54" s="2" t="str">
        <f ca="1">IFERROR(__xludf.DUMMYFUNCTION("""COMPUTED_VALUE"""),"e0151fea")</f>
        <v>e0151fea</v>
      </c>
      <c r="B54" s="3">
        <f ca="1">IFERROR(__xludf.DUMMYFUNCTION("""COMPUTED_VALUE"""),45720.7838078703)</f>
        <v>45720.783807870299</v>
      </c>
      <c r="C54" s="2" t="str">
        <f ca="1">IFERROR(__xludf.DUMMYFUNCTION("""COMPUTED_VALUE"""),"27abb7ee")</f>
        <v>27abb7ee</v>
      </c>
      <c r="D54" s="2">
        <f ca="1">IFERROR(__xludf.DUMMYFUNCTION("""COMPUTED_VALUE"""),16)</f>
        <v>16</v>
      </c>
      <c r="E54" s="2" t="str">
        <f ca="1">IFERROR(__xludf.DUMMYFUNCTION("""COMPUTED_VALUE"""),"Cabernet Sauvignon Rect")</f>
        <v>Cabernet Sauvignon Rect</v>
      </c>
      <c r="F54" s="2">
        <f ca="1">IFERROR(__xludf.DUMMYFUNCTION("""COMPUTED_VALUE"""),2000)</f>
        <v>2000</v>
      </c>
      <c r="G54" s="2">
        <f ca="1">IFERROR(__xludf.DUMMYFUNCTION("""COMPUTED_VALUE"""),68)</f>
        <v>68</v>
      </c>
      <c r="H54" s="2" t="str">
        <f ca="1">IFERROR(__xludf.DUMMYFUNCTION("""COMPUTED_VALUE"""),"4adbcbaf")</f>
        <v>4adbcbaf</v>
      </c>
      <c r="I54" s="2" t="str">
        <f ca="1">IFERROR(__xludf.DUMMYFUNCTION("""COMPUTED_VALUE"""),"Syrah")</f>
        <v>Syrah</v>
      </c>
      <c r="J54" s="2">
        <f ca="1">IFERROR(__xludf.DUMMYFUNCTION("""COMPUTED_VALUE"""),8000)</f>
        <v>8000</v>
      </c>
      <c r="K54" s="2">
        <f ca="1">IFERROR(__xludf.DUMMYFUNCTION("""COMPUTED_VALUE"""),10000)</f>
        <v>10000</v>
      </c>
      <c r="L54" s="2" t="str">
        <f ca="1">IFERROR(__xludf.DUMMYFUNCTION("""COMPUTED_VALUE"""),"702b9808")</f>
        <v>702b9808</v>
      </c>
      <c r="M54" s="2" t="str">
        <f ca="1">IFERROR(__xludf.DUMMYFUNCTION("""COMPUTED_VALUE"""),"Syrah")</f>
        <v>Syrah</v>
      </c>
      <c r="N54" s="2" t="str">
        <f ca="1">IFERROR(__xludf.DUMMYFUNCTION("""COMPUTED_VALUE"""),"Se agrega Rectificado 20%")</f>
        <v>Se agrega Rectificado 20%</v>
      </c>
      <c r="O54" s="2"/>
      <c r="P54" s="2"/>
      <c r="Q54" s="2"/>
      <c r="R54" s="2"/>
      <c r="S54" s="2"/>
      <c r="T54" s="2"/>
      <c r="U54" s="2"/>
    </row>
    <row r="55" spans="1:21" x14ac:dyDescent="0.25">
      <c r="A55" s="2" t="str">
        <f ca="1">IFERROR(__xludf.DUMMYFUNCTION("""COMPUTED_VALUE"""),"85bf8a32")</f>
        <v>85bf8a32</v>
      </c>
      <c r="B55" s="3">
        <f ca="1">IFERROR(__xludf.DUMMYFUNCTION("""COMPUTED_VALUE"""),45721.4986805555)</f>
        <v>45721.498680555502</v>
      </c>
      <c r="C55" s="2" t="str">
        <f ca="1">IFERROR(__xludf.DUMMYFUNCTION("""COMPUTED_VALUE"""),"ce659e77")</f>
        <v>ce659e77</v>
      </c>
      <c r="D55" s="2">
        <f ca="1">IFERROR(__xludf.DUMMYFUNCTION("""COMPUTED_VALUE"""),86)</f>
        <v>86</v>
      </c>
      <c r="E55" s="2" t="str">
        <f ca="1">IFERROR(__xludf.DUMMYFUNCTION("""COMPUTED_VALUE"""),"Syrah s/Asp 3ra")</f>
        <v>Syrah s/Asp 3ra</v>
      </c>
      <c r="F55" s="2">
        <f ca="1">IFERROR(__xludf.DUMMYFUNCTION("""COMPUTED_VALUE"""),48300)</f>
        <v>48300</v>
      </c>
      <c r="G55" s="2">
        <f ca="1">IFERROR(__xludf.DUMMYFUNCTION("""COMPUTED_VALUE"""),121)</f>
        <v>121</v>
      </c>
      <c r="H55" s="2"/>
      <c r="I55" s="2"/>
      <c r="J55" s="2">
        <f ca="1">IFERROR(__xludf.DUMMYFUNCTION("""COMPUTED_VALUE"""),0)</f>
        <v>0</v>
      </c>
      <c r="K55" s="2">
        <f ca="1">IFERROR(__xludf.DUMMYFUNCTION("""COMPUTED_VALUE"""),48300)</f>
        <v>48300</v>
      </c>
      <c r="L55" s="2" t="str">
        <f ca="1">IFERROR(__xludf.DUMMYFUNCTION("""COMPUTED_VALUE"""),"58c72f6a")</f>
        <v>58c72f6a</v>
      </c>
      <c r="M55" s="2" t="str">
        <f ca="1">IFERROR(__xludf.DUMMYFUNCTION("""COMPUTED_VALUE"""),"Syrah s/Asp 3ra")</f>
        <v>Syrah s/Asp 3ra</v>
      </c>
      <c r="N55" s="2" t="str">
        <f ca="1">IFERROR(__xludf.DUMMYFUNCTION("""COMPUTED_VALUE"""),"Gota y Prensa")</f>
        <v>Gota y Prensa</v>
      </c>
      <c r="O55" s="2"/>
      <c r="P55" s="2"/>
      <c r="Q55" s="2"/>
      <c r="R55" s="2"/>
      <c r="S55" s="2"/>
      <c r="T55" s="2"/>
      <c r="U55" s="2"/>
    </row>
    <row r="56" spans="1:21" x14ac:dyDescent="0.25">
      <c r="A56" s="2" t="str">
        <f ca="1">IFERROR(__xludf.DUMMYFUNCTION("""COMPUTED_VALUE"""),"76b1f67d")</f>
        <v>76b1f67d</v>
      </c>
      <c r="B56" s="3">
        <f ca="1">IFERROR(__xludf.DUMMYFUNCTION("""COMPUTED_VALUE"""),45721.4995138888)</f>
        <v>45721.499513888797</v>
      </c>
      <c r="C56" s="2" t="str">
        <f ca="1">IFERROR(__xludf.DUMMYFUNCTION("""COMPUTED_VALUE"""),"13d1574d")</f>
        <v>13d1574d</v>
      </c>
      <c r="D56" s="2">
        <f ca="1">IFERROR(__xludf.DUMMYFUNCTION("""COMPUTED_VALUE"""),110)</f>
        <v>110</v>
      </c>
      <c r="E56" s="2" t="str">
        <f ca="1">IFERROR(__xludf.DUMMYFUNCTION("""COMPUTED_VALUE"""),"Merlot s/Asp descube")</f>
        <v>Merlot s/Asp descube</v>
      </c>
      <c r="F56" s="2">
        <f ca="1">IFERROR(__xludf.DUMMYFUNCTION("""COMPUTED_VALUE"""),5000)</f>
        <v>5000</v>
      </c>
      <c r="G56" s="2">
        <f ca="1">IFERROR(__xludf.DUMMYFUNCTION("""COMPUTED_VALUE"""),500)</f>
        <v>500</v>
      </c>
      <c r="H56" s="2"/>
      <c r="I56" s="2" t="str">
        <f ca="1">IFERROR(__xludf.DUMMYFUNCTION("""COMPUTED_VALUE"""),"Ajuste de volumen")</f>
        <v>Ajuste de volumen</v>
      </c>
      <c r="J56" s="2">
        <f ca="1">IFERROR(__xludf.DUMMYFUNCTION("""COMPUTED_VALUE"""),0)</f>
        <v>0</v>
      </c>
      <c r="K56" s="2">
        <f ca="1">IFERROR(__xludf.DUMMYFUNCTION("""COMPUTED_VALUE"""),5000)</f>
        <v>5000</v>
      </c>
      <c r="L56" s="2" t="str">
        <f ca="1">IFERROR(__xludf.DUMMYFUNCTION("""COMPUTED_VALUE"""),"a18d2b54")</f>
        <v>a18d2b54</v>
      </c>
      <c r="M56" s="2" t="str">
        <f ca="1">IFERROR(__xludf.DUMMYFUNCTION("""COMPUTED_VALUE"""),"Merlot s/Asp descube")</f>
        <v>Merlot s/Asp descube</v>
      </c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tr">
        <f ca="1">IFERROR(__xludf.DUMMYFUNCTION("""COMPUTED_VALUE"""),"9ac6d73d")</f>
        <v>9ac6d73d</v>
      </c>
      <c r="B57" s="3">
        <f ca="1">IFERROR(__xludf.DUMMYFUNCTION("""COMPUTED_VALUE"""),45721.5026273148)</f>
        <v>45721.502627314803</v>
      </c>
      <c r="C57" s="2" t="str">
        <f ca="1">IFERROR(__xludf.DUMMYFUNCTION("""COMPUTED_VALUE"""),"5f87c3d5")</f>
        <v>5f87c3d5</v>
      </c>
      <c r="D57" s="2">
        <f ca="1">IFERROR(__xludf.DUMMYFUNCTION("""COMPUTED_VALUE"""),85)</f>
        <v>85</v>
      </c>
      <c r="E57" s="2" t="str">
        <f ca="1">IFERROR(__xludf.DUMMYFUNCTION("""COMPUTED_VALUE"""),"Syrah s/Asp 3ra")</f>
        <v>Syrah s/Asp 3ra</v>
      </c>
      <c r="F57" s="2">
        <f ca="1">IFERROR(__xludf.DUMMYFUNCTION("""COMPUTED_VALUE"""),9500)</f>
        <v>9500</v>
      </c>
      <c r="G57" s="2">
        <f ca="1">IFERROR(__xludf.DUMMYFUNCTION("""COMPUTED_VALUE"""),34)</f>
        <v>34</v>
      </c>
      <c r="H57" s="2" t="str">
        <f ca="1">IFERROR(__xludf.DUMMYFUNCTION("""COMPUTED_VALUE"""),"61098b0e")</f>
        <v>61098b0e</v>
      </c>
      <c r="I57" s="2" t="str">
        <f ca="1">IFERROR(__xludf.DUMMYFUNCTION("""COMPUTED_VALUE"""),"Syrah s/Asp 2da")</f>
        <v>Syrah s/Asp 2da</v>
      </c>
      <c r="J57" s="2">
        <f ca="1">IFERROR(__xludf.DUMMYFUNCTION("""COMPUTED_VALUE"""),30000)</f>
        <v>30000</v>
      </c>
      <c r="K57" s="2">
        <f ca="1">IFERROR(__xludf.DUMMYFUNCTION("""COMPUTED_VALUE"""),39500)</f>
        <v>39500</v>
      </c>
      <c r="L57" s="2" t="str">
        <f ca="1">IFERROR(__xludf.DUMMYFUNCTION("""COMPUTED_VALUE"""),"f41ecbda")</f>
        <v>f41ecbda</v>
      </c>
      <c r="M57" s="2" t="str">
        <f ca="1">IFERROR(__xludf.DUMMYFUNCTION("""COMPUTED_VALUE"""),"Syrah s/Asp 2da")</f>
        <v>Syrah s/Asp 2da</v>
      </c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 t="str">
        <f ca="1">IFERROR(__xludf.DUMMYFUNCTION("""COMPUTED_VALUE"""),"1eb58a27")</f>
        <v>1eb58a27</v>
      </c>
      <c r="B58" s="3">
        <f ca="1">IFERROR(__xludf.DUMMYFUNCTION("""COMPUTED_VALUE"""),45721.5087731481)</f>
        <v>45721.508773148104</v>
      </c>
      <c r="C58" s="2" t="str">
        <f ca="1">IFERROR(__xludf.DUMMYFUNCTION("""COMPUTED_VALUE"""),"5f87c3d5")</f>
        <v>5f87c3d5</v>
      </c>
      <c r="D58" s="2">
        <f ca="1">IFERROR(__xludf.DUMMYFUNCTION("""COMPUTED_VALUE"""),85)</f>
        <v>85</v>
      </c>
      <c r="E58" s="2" t="str">
        <f ca="1">IFERROR(__xludf.DUMMYFUNCTION("""COMPUTED_VALUE"""),"Syrah s/Asp 3ra")</f>
        <v>Syrah s/Asp 3ra</v>
      </c>
      <c r="F58" s="2">
        <f ca="1">IFERROR(__xludf.DUMMYFUNCTION("""COMPUTED_VALUE"""),6000)</f>
        <v>6000</v>
      </c>
      <c r="G58" s="2">
        <f ca="1">IFERROR(__xludf.DUMMYFUNCTION("""COMPUTED_VALUE"""),110)</f>
        <v>110</v>
      </c>
      <c r="H58" s="2" t="str">
        <f ca="1">IFERROR(__xludf.DUMMYFUNCTION("""COMPUTED_VALUE"""),"13d1574d")</f>
        <v>13d1574d</v>
      </c>
      <c r="I58" s="2" t="str">
        <f ca="1">IFERROR(__xludf.DUMMYFUNCTION("""COMPUTED_VALUE"""),"Merlot s/Asp descube")</f>
        <v>Merlot s/Asp descube</v>
      </c>
      <c r="J58" s="2">
        <f ca="1">IFERROR(__xludf.DUMMYFUNCTION("""COMPUTED_VALUE"""),8000)</f>
        <v>8000</v>
      </c>
      <c r="K58" s="2">
        <f ca="1">IFERROR(__xludf.DUMMYFUNCTION("""COMPUTED_VALUE"""),14000)</f>
        <v>14000</v>
      </c>
      <c r="L58" s="2" t="str">
        <f ca="1">IFERROR(__xludf.DUMMYFUNCTION("""COMPUTED_VALUE"""),"963fbbab")</f>
        <v>963fbbab</v>
      </c>
      <c r="M58" s="2" t="str">
        <f ca="1">IFERROR(__xludf.DUMMYFUNCTION("""COMPUTED_VALUE"""),"Merlot s/Asp y Syrah")</f>
        <v>Merlot s/Asp y Syrah</v>
      </c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 t="str">
        <f ca="1">IFERROR(__xludf.DUMMYFUNCTION("""COMPUTED_VALUE"""),"f06d5126")</f>
        <v>f06d5126</v>
      </c>
      <c r="B59" s="3">
        <f ca="1">IFERROR(__xludf.DUMMYFUNCTION("""COMPUTED_VALUE"""),45721.5095601851)</f>
        <v>45721.509560185099</v>
      </c>
      <c r="C59" s="2" t="str">
        <f ca="1">IFERROR(__xludf.DUMMYFUNCTION("""COMPUTED_VALUE"""),"5f87c3d5")</f>
        <v>5f87c3d5</v>
      </c>
      <c r="D59" s="2">
        <f ca="1">IFERROR(__xludf.DUMMYFUNCTION("""COMPUTED_VALUE"""),85)</f>
        <v>85</v>
      </c>
      <c r="E59" s="2" t="str">
        <f ca="1">IFERROR(__xludf.DUMMYFUNCTION("""COMPUTED_VALUE"""),"Syrah s/Asp 3ra")</f>
        <v>Syrah s/Asp 3ra</v>
      </c>
      <c r="F59" s="2">
        <f ca="1">IFERROR(__xludf.DUMMYFUNCTION("""COMPUTED_VALUE"""),26200)</f>
        <v>26200</v>
      </c>
      <c r="G59" s="2">
        <f ca="1">IFERROR(__xludf.DUMMYFUNCTION("""COMPUTED_VALUE"""),121)</f>
        <v>121</v>
      </c>
      <c r="H59" s="2" t="str">
        <f ca="1">IFERROR(__xludf.DUMMYFUNCTION("""COMPUTED_VALUE"""),"58c72f6a")</f>
        <v>58c72f6a</v>
      </c>
      <c r="I59" s="2" t="str">
        <f ca="1">IFERROR(__xludf.DUMMYFUNCTION("""COMPUTED_VALUE"""),"Syrah s/Asp 3ra")</f>
        <v>Syrah s/Asp 3ra</v>
      </c>
      <c r="J59" s="2">
        <f ca="1">IFERROR(__xludf.DUMMYFUNCTION("""COMPUTED_VALUE"""),48300)</f>
        <v>48300</v>
      </c>
      <c r="K59" s="2">
        <f ca="1">IFERROR(__xludf.DUMMYFUNCTION("""COMPUTED_VALUE"""),85800)</f>
        <v>85800</v>
      </c>
      <c r="L59" s="2" t="str">
        <f ca="1">IFERROR(__xludf.DUMMYFUNCTION("""COMPUTED_VALUE"""),"f90482a4")</f>
        <v>f90482a4</v>
      </c>
      <c r="M59" s="2" t="str">
        <f ca="1">IFERROR(__xludf.DUMMYFUNCTION("""COMPUTED_VALUE"""),"Syrah s/Asp 3ra")</f>
        <v>Syrah s/Asp 3ra</v>
      </c>
      <c r="N59" s="2" t="str">
        <f ca="1">IFERROR(__xludf.DUMMYFUNCTION("""COMPUTED_VALUE"""),"Descube gota y prensa")</f>
        <v>Descube gota y prensa</v>
      </c>
      <c r="O59" s="2"/>
      <c r="P59" s="2"/>
      <c r="Q59" s="2"/>
      <c r="R59" s="2"/>
      <c r="S59" s="2"/>
      <c r="T59" s="2"/>
      <c r="U59" s="2"/>
    </row>
    <row r="60" spans="1:21" x14ac:dyDescent="0.25">
      <c r="A60" s="2" t="str">
        <f ca="1">IFERROR(__xludf.DUMMYFUNCTION("""COMPUTED_VALUE"""),"68cd71e8")</f>
        <v>68cd71e8</v>
      </c>
      <c r="B60" s="3">
        <f ca="1">IFERROR(__xludf.DUMMYFUNCTION("""COMPUTED_VALUE"""),45721.511875)</f>
        <v>45721.511874999997</v>
      </c>
      <c r="C60" s="2" t="str">
        <f ca="1">IFERROR(__xludf.DUMMYFUNCTION("""COMPUTED_VALUE"""),"d53930ff")</f>
        <v>d53930ff</v>
      </c>
      <c r="D60" s="2">
        <f ca="1">IFERROR(__xludf.DUMMYFUNCTION("""COMPUTED_VALUE"""),150)</f>
        <v>150</v>
      </c>
      <c r="E60" s="2" t="str">
        <f ca="1">IFERROR(__xludf.DUMMYFUNCTION("""COMPUTED_VALUE"""),"Correccion")</f>
        <v>Correccion</v>
      </c>
      <c r="F60" s="2">
        <f ca="1">IFERROR(__xludf.DUMMYFUNCTION("""COMPUTED_VALUE"""),3000)</f>
        <v>3000</v>
      </c>
      <c r="G60" s="2">
        <f ca="1">IFERROR(__xludf.DUMMYFUNCTION("""COMPUTED_VALUE"""),87)</f>
        <v>87</v>
      </c>
      <c r="H60" s="2" t="str">
        <f ca="1">IFERROR(__xludf.DUMMYFUNCTION("""COMPUTED_VALUE"""),"6c3c93fd")</f>
        <v>6c3c93fd</v>
      </c>
      <c r="I60" s="2" t="str">
        <f ca="1">IFERROR(__xludf.DUMMYFUNCTION("""COMPUTED_VALUE"""),"Merlot")</f>
        <v>Merlot</v>
      </c>
      <c r="J60" s="2">
        <f ca="1">IFERROR(__xludf.DUMMYFUNCTION("""COMPUTED_VALUE"""),44200)</f>
        <v>44200</v>
      </c>
      <c r="K60" s="2">
        <f ca="1">IFERROR(__xludf.DUMMYFUNCTION("""COMPUTED_VALUE"""),47200)</f>
        <v>47200</v>
      </c>
      <c r="L60" s="2" t="str">
        <f ca="1">IFERROR(__xludf.DUMMYFUNCTION("""COMPUTED_VALUE"""),"a62e4289")</f>
        <v>a62e4289</v>
      </c>
      <c r="M60" s="2" t="str">
        <f ca="1">IFERROR(__xludf.DUMMYFUNCTION("""COMPUTED_VALUE"""),"Correccion")</f>
        <v>Correccion</v>
      </c>
      <c r="N60" s="2" t="str">
        <f ca="1">IFERROR(__xludf.DUMMYFUNCTION("""COMPUTED_VALUE"""),"Correcion 150")</f>
        <v>Correcion 150</v>
      </c>
      <c r="O60" s="2"/>
      <c r="P60" s="2"/>
      <c r="Q60" s="2"/>
      <c r="R60" s="2"/>
      <c r="S60" s="2"/>
      <c r="T60" s="2"/>
      <c r="U60" s="2"/>
    </row>
    <row r="61" spans="1:21" x14ac:dyDescent="0.25">
      <c r="A61" s="2" t="str">
        <f ca="1">IFERROR(__xludf.DUMMYFUNCTION("""COMPUTED_VALUE"""),"cc0f71ad")</f>
        <v>cc0f71ad</v>
      </c>
      <c r="B61" s="3">
        <f ca="1">IFERROR(__xludf.DUMMYFUNCTION("""COMPUTED_VALUE"""),45721.5147569444)</f>
        <v>45721.514756944402</v>
      </c>
      <c r="C61" s="2" t="str">
        <f ca="1">IFERROR(__xludf.DUMMYFUNCTION("""COMPUTED_VALUE"""),"c3f4cae7")</f>
        <v>c3f4cae7</v>
      </c>
      <c r="D61" s="2">
        <f ca="1">IFERROR(__xludf.DUMMYFUNCTION("""COMPUTED_VALUE"""),82)</f>
        <v>82</v>
      </c>
      <c r="E61" s="2" t="str">
        <f ca="1">IFERROR(__xludf.DUMMYFUNCTION("""COMPUTED_VALUE"""),"Chardonnay")</f>
        <v>Chardonnay</v>
      </c>
      <c r="F61" s="2">
        <f ca="1">IFERROR(__xludf.DUMMYFUNCTION("""COMPUTED_VALUE"""),1000)</f>
        <v>1000</v>
      </c>
      <c r="G61" s="2">
        <f ca="1">IFERROR(__xludf.DUMMYFUNCTION("""COMPUTED_VALUE"""),77)</f>
        <v>77</v>
      </c>
      <c r="H61" s="2" t="str">
        <f ca="1">IFERROR(__xludf.DUMMYFUNCTION("""COMPUTED_VALUE"""),"cedc0dc0")</f>
        <v>cedc0dc0</v>
      </c>
      <c r="I61" s="2" t="str">
        <f ca="1">IFERROR(__xludf.DUMMYFUNCTION("""COMPUTED_VALUE"""),"Chardonnay")</f>
        <v>Chardonnay</v>
      </c>
      <c r="J61" s="2">
        <f ca="1">IFERROR(__xludf.DUMMYFUNCTION("""COMPUTED_VALUE"""),25000)</f>
        <v>25000</v>
      </c>
      <c r="K61" s="2">
        <f ca="1">IFERROR(__xludf.DUMMYFUNCTION("""COMPUTED_VALUE"""),26000)</f>
        <v>26000</v>
      </c>
      <c r="L61" s="2" t="str">
        <f ca="1">IFERROR(__xludf.DUMMYFUNCTION("""COMPUTED_VALUE"""),"94493a7b")</f>
        <v>94493a7b</v>
      </c>
      <c r="M61" s="2" t="str">
        <f ca="1">IFERROR(__xludf.DUMMYFUNCTION("""COMPUTED_VALUE"""),"Chardonnay")</f>
        <v>Chardonnay</v>
      </c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tr">
        <f ca="1">IFERROR(__xludf.DUMMYFUNCTION("""COMPUTED_VALUE"""),"0c3c4109")</f>
        <v>0c3c4109</v>
      </c>
      <c r="B62" s="3">
        <f ca="1">IFERROR(__xludf.DUMMYFUNCTION("""COMPUTED_VALUE"""),45721.5153009259)</f>
        <v>45721.515300925901</v>
      </c>
      <c r="C62" s="2" t="str">
        <f ca="1">IFERROR(__xludf.DUMMYFUNCTION("""COMPUTED_VALUE"""),"c3f4cae7")</f>
        <v>c3f4cae7</v>
      </c>
      <c r="D62" s="2">
        <f ca="1">IFERROR(__xludf.DUMMYFUNCTION("""COMPUTED_VALUE"""),82)</f>
        <v>82</v>
      </c>
      <c r="E62" s="2" t="str">
        <f ca="1">IFERROR(__xludf.DUMMYFUNCTION("""COMPUTED_VALUE"""),"Chardonnay")</f>
        <v>Chardonnay</v>
      </c>
      <c r="F62" s="2">
        <f ca="1">IFERROR(__xludf.DUMMYFUNCTION("""COMPUTED_VALUE"""),1800)</f>
        <v>1800</v>
      </c>
      <c r="G62" s="2">
        <f ca="1">IFERROR(__xludf.DUMMYFUNCTION("""COMPUTED_VALUE"""),78)</f>
        <v>78</v>
      </c>
      <c r="H62" s="2" t="str">
        <f ca="1">IFERROR(__xludf.DUMMYFUNCTION("""COMPUTED_VALUE"""),"7e515c96")</f>
        <v>7e515c96</v>
      </c>
      <c r="I62" s="2" t="str">
        <f ca="1">IFERROR(__xludf.DUMMYFUNCTION("""COMPUTED_VALUE"""),"Chardonnay")</f>
        <v>Chardonnay</v>
      </c>
      <c r="J62" s="2">
        <f ca="1">IFERROR(__xludf.DUMMYFUNCTION("""COMPUTED_VALUE"""),24000)</f>
        <v>24000</v>
      </c>
      <c r="K62" s="2">
        <f ca="1">IFERROR(__xludf.DUMMYFUNCTION("""COMPUTED_VALUE"""),25800)</f>
        <v>25800</v>
      </c>
      <c r="L62" s="2" t="str">
        <f ca="1">IFERROR(__xludf.DUMMYFUNCTION("""COMPUTED_VALUE"""),"9f119881")</f>
        <v>9f119881</v>
      </c>
      <c r="M62" s="2" t="str">
        <f ca="1">IFERROR(__xludf.DUMMYFUNCTION("""COMPUTED_VALUE"""),"Chardonnay")</f>
        <v>Chardonnay</v>
      </c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 t="str">
        <f ca="1">IFERROR(__xludf.DUMMYFUNCTION("""COMPUTED_VALUE"""),"e22d3e22")</f>
        <v>e22d3e22</v>
      </c>
      <c r="B63" s="3">
        <f ca="1">IFERROR(__xludf.DUMMYFUNCTION("""COMPUTED_VALUE"""),45721.5184606481)</f>
        <v>45721.518460648098</v>
      </c>
      <c r="C63" s="2" t="str">
        <f ca="1">IFERROR(__xludf.DUMMYFUNCTION("""COMPUTED_VALUE"""),"c3f4cae7")</f>
        <v>c3f4cae7</v>
      </c>
      <c r="D63" s="2">
        <f ca="1">IFERROR(__xludf.DUMMYFUNCTION("""COMPUTED_VALUE"""),82)</f>
        <v>82</v>
      </c>
      <c r="E63" s="2" t="str">
        <f ca="1">IFERROR(__xludf.DUMMYFUNCTION("""COMPUTED_VALUE"""),"Chardonnay")</f>
        <v>Chardonnay</v>
      </c>
      <c r="F63" s="2">
        <f ca="1">IFERROR(__xludf.DUMMYFUNCTION("""COMPUTED_VALUE"""),2000)</f>
        <v>2000</v>
      </c>
      <c r="G63" s="2">
        <f ca="1">IFERROR(__xludf.DUMMYFUNCTION("""COMPUTED_VALUE"""),79)</f>
        <v>79</v>
      </c>
      <c r="H63" s="2" t="str">
        <f ca="1">IFERROR(__xludf.DUMMYFUNCTION("""COMPUTED_VALUE"""),"dae2c109")</f>
        <v>dae2c109</v>
      </c>
      <c r="I63" s="2" t="str">
        <f ca="1">IFERROR(__xludf.DUMMYFUNCTION("""COMPUTED_VALUE"""),"Chardonnay")</f>
        <v>Chardonnay</v>
      </c>
      <c r="J63" s="2">
        <f ca="1">IFERROR(__xludf.DUMMYFUNCTION("""COMPUTED_VALUE"""),24000)</f>
        <v>24000</v>
      </c>
      <c r="K63" s="2">
        <f ca="1">IFERROR(__xludf.DUMMYFUNCTION("""COMPUTED_VALUE"""),26000)</f>
        <v>26000</v>
      </c>
      <c r="L63" s="2" t="str">
        <f ca="1">IFERROR(__xludf.DUMMYFUNCTION("""COMPUTED_VALUE"""),"e5b434bb")</f>
        <v>e5b434bb</v>
      </c>
      <c r="M63" s="2" t="str">
        <f ca="1">IFERROR(__xludf.DUMMYFUNCTION("""COMPUTED_VALUE"""),"Chardonnay")</f>
        <v>Chardonnay</v>
      </c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tr">
        <f ca="1">IFERROR(__xludf.DUMMYFUNCTION("""COMPUTED_VALUE"""),"c649af19")</f>
        <v>c649af19</v>
      </c>
      <c r="B64" s="3">
        <f ca="1">IFERROR(__xludf.DUMMYFUNCTION("""COMPUTED_VALUE"""),45721.5200925925)</f>
        <v>45721.520092592502</v>
      </c>
      <c r="C64" s="2" t="str">
        <f ca="1">IFERROR(__xludf.DUMMYFUNCTION("""COMPUTED_VALUE"""),"c3f4cae7")</f>
        <v>c3f4cae7</v>
      </c>
      <c r="D64" s="2">
        <f ca="1">IFERROR(__xludf.DUMMYFUNCTION("""COMPUTED_VALUE"""),82)</f>
        <v>82</v>
      </c>
      <c r="E64" s="2" t="str">
        <f ca="1">IFERROR(__xludf.DUMMYFUNCTION("""COMPUTED_VALUE"""),"Chardonnay")</f>
        <v>Chardonnay</v>
      </c>
      <c r="F64" s="2">
        <f ca="1">IFERROR(__xludf.DUMMYFUNCTION("""COMPUTED_VALUE"""),2500)</f>
        <v>2500</v>
      </c>
      <c r="G64" s="2">
        <f ca="1">IFERROR(__xludf.DUMMYFUNCTION("""COMPUTED_VALUE"""),81)</f>
        <v>81</v>
      </c>
      <c r="H64" s="2" t="str">
        <f ca="1">IFERROR(__xludf.DUMMYFUNCTION("""COMPUTED_VALUE"""),"861200f5")</f>
        <v>861200f5</v>
      </c>
      <c r="I64" s="2" t="str">
        <f ca="1">IFERROR(__xludf.DUMMYFUNCTION("""COMPUTED_VALUE"""),"Chardonnay")</f>
        <v>Chardonnay</v>
      </c>
      <c r="J64" s="2">
        <f ca="1">IFERROR(__xludf.DUMMYFUNCTION("""COMPUTED_VALUE"""),24000)</f>
        <v>24000</v>
      </c>
      <c r="K64" s="2">
        <f ca="1">IFERROR(__xludf.DUMMYFUNCTION("""COMPUTED_VALUE"""),26500)</f>
        <v>26500</v>
      </c>
      <c r="L64" s="2" t="str">
        <f ca="1">IFERROR(__xludf.DUMMYFUNCTION("""COMPUTED_VALUE"""),"1f033edd")</f>
        <v>1f033edd</v>
      </c>
      <c r="M64" s="2" t="str">
        <f ca="1">IFERROR(__xludf.DUMMYFUNCTION("""COMPUTED_VALUE"""),"Chardonnay")</f>
        <v>Chardonnay</v>
      </c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tr">
        <f ca="1">IFERROR(__xludf.DUMMYFUNCTION("""COMPUTED_VALUE"""),"f19b3624")</f>
        <v>f19b3624</v>
      </c>
      <c r="B65" s="3">
        <f ca="1">IFERROR(__xludf.DUMMYFUNCTION("""COMPUTED_VALUE"""),45721.5208101851)</f>
        <v>45721.520810185102</v>
      </c>
      <c r="C65" s="2" t="str">
        <f ca="1">IFERROR(__xludf.DUMMYFUNCTION("""COMPUTED_VALUE"""),"c3f4cae7")</f>
        <v>c3f4cae7</v>
      </c>
      <c r="D65" s="2">
        <f ca="1">IFERROR(__xludf.DUMMYFUNCTION("""COMPUTED_VALUE"""),82)</f>
        <v>82</v>
      </c>
      <c r="E65" s="2" t="str">
        <f ca="1">IFERROR(__xludf.DUMMYFUNCTION("""COMPUTED_VALUE"""),"Chardonnay")</f>
        <v>Chardonnay</v>
      </c>
      <c r="F65" s="2">
        <f ca="1">IFERROR(__xludf.DUMMYFUNCTION("""COMPUTED_VALUE"""),20700)</f>
        <v>20700</v>
      </c>
      <c r="G65" s="2">
        <f ca="1">IFERROR(__xludf.DUMMYFUNCTION("""COMPUTED_VALUE"""),10)</f>
        <v>10</v>
      </c>
      <c r="H65" s="2"/>
      <c r="I65" s="2"/>
      <c r="J65" s="2">
        <f ca="1">IFERROR(__xludf.DUMMYFUNCTION("""COMPUTED_VALUE"""),0)</f>
        <v>0</v>
      </c>
      <c r="K65" s="2">
        <f ca="1">IFERROR(__xludf.DUMMYFUNCTION("""COMPUTED_VALUE"""),20700)</f>
        <v>20700</v>
      </c>
      <c r="L65" s="2" t="str">
        <f ca="1">IFERROR(__xludf.DUMMYFUNCTION("""COMPUTED_VALUE"""),"f9bf68a3")</f>
        <v>f9bf68a3</v>
      </c>
      <c r="M65" s="2" t="str">
        <f ca="1">IFERROR(__xludf.DUMMYFUNCTION("""COMPUTED_VALUE"""),"Chardonnay")</f>
        <v>Chardonnay</v>
      </c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tr">
        <f ca="1">IFERROR(__xludf.DUMMYFUNCTION("""COMPUTED_VALUE"""),"a9f9a0bf")</f>
        <v>a9f9a0bf</v>
      </c>
      <c r="B66" s="3">
        <f ca="1">IFERROR(__xludf.DUMMYFUNCTION("""COMPUTED_VALUE"""),45722.399849537)</f>
        <v>45722.399849537003</v>
      </c>
      <c r="C66" s="2" t="str">
        <f ca="1">IFERROR(__xludf.DUMMYFUNCTION("""COMPUTED_VALUE"""),"99fabf46")</f>
        <v>99fabf46</v>
      </c>
      <c r="D66" s="2">
        <f ca="1">IFERROR(__xludf.DUMMYFUNCTION("""COMPUTED_VALUE"""),69)</f>
        <v>69</v>
      </c>
      <c r="E66" s="2" t="str">
        <f ca="1">IFERROR(__xludf.DUMMYFUNCTION("""COMPUTED_VALUE"""),"Malbec")</f>
        <v>Malbec</v>
      </c>
      <c r="F66" s="2">
        <f ca="1">IFERROR(__xludf.DUMMYFUNCTION("""COMPUTED_VALUE"""),1500)</f>
        <v>1500</v>
      </c>
      <c r="G66" s="2">
        <f ca="1">IFERROR(__xludf.DUMMYFUNCTION("""COMPUTED_VALUE"""),89)</f>
        <v>89</v>
      </c>
      <c r="H66" s="2" t="str">
        <f ca="1">IFERROR(__xludf.DUMMYFUNCTION("""COMPUTED_VALUE"""),"d2779d8c")</f>
        <v>d2779d8c</v>
      </c>
      <c r="I66" s="2" t="str">
        <f ca="1">IFERROR(__xludf.DUMMYFUNCTION("""COMPUTED_VALUE"""),"Syrah")</f>
        <v>Syrah</v>
      </c>
      <c r="J66" s="2">
        <f ca="1">IFERROR(__xludf.DUMMYFUNCTION("""COMPUTED_VALUE"""),39000)</f>
        <v>39000</v>
      </c>
      <c r="K66" s="2">
        <f ca="1">IFERROR(__xludf.DUMMYFUNCTION("""COMPUTED_VALUE"""),40500)</f>
        <v>40500</v>
      </c>
      <c r="L66" s="2" t="str">
        <f ca="1">IFERROR(__xludf.DUMMYFUNCTION("""COMPUTED_VALUE"""),"5d46dc83")</f>
        <v>5d46dc83</v>
      </c>
      <c r="M66" s="2" t="str">
        <f ca="1">IFERROR(__xludf.DUMMYFUNCTION("""COMPUTED_VALUE"""),"Syrah")</f>
        <v>Syrah</v>
      </c>
      <c r="N66" s="2" t="str">
        <f ca="1">IFERROR(__xludf.DUMMYFUNCTION("""COMPUTED_VALUE"""),"Sangria porque se lleno de mas la pileta")</f>
        <v>Sangria porque se lleno de mas la pileta</v>
      </c>
      <c r="O66" s="2"/>
      <c r="P66" s="2"/>
      <c r="Q66" s="2"/>
      <c r="R66" s="2"/>
      <c r="S66" s="2"/>
      <c r="T66" s="2"/>
      <c r="U66" s="2"/>
    </row>
    <row r="67" spans="1:21" x14ac:dyDescent="0.25">
      <c r="A67" s="2" t="str">
        <f ca="1">IFERROR(__xludf.DUMMYFUNCTION("""COMPUTED_VALUE"""),"856d152a")</f>
        <v>856d152a</v>
      </c>
      <c r="B67" s="3">
        <f ca="1">IFERROR(__xludf.DUMMYFUNCTION("""COMPUTED_VALUE"""),45722.4049074074)</f>
        <v>45722.404907407399</v>
      </c>
      <c r="C67" s="2" t="str">
        <f ca="1">IFERROR(__xludf.DUMMYFUNCTION("""COMPUTED_VALUE"""),"7525cd32")</f>
        <v>7525cd32</v>
      </c>
      <c r="D67" s="2">
        <f ca="1">IFERROR(__xludf.DUMMYFUNCTION("""COMPUTED_VALUE"""),80)</f>
        <v>80</v>
      </c>
      <c r="E67" s="2" t="str">
        <f ca="1">IFERROR(__xludf.DUMMYFUNCTION("""COMPUTED_VALUE"""),"Syrah s/Asp 2da")</f>
        <v>Syrah s/Asp 2da</v>
      </c>
      <c r="F67" s="2">
        <f ca="1">IFERROR(__xludf.DUMMYFUNCTION("""COMPUTED_VALUE"""),2000)</f>
        <v>2000</v>
      </c>
      <c r="G67" s="2">
        <f ca="1">IFERROR(__xludf.DUMMYFUNCTION("""COMPUTED_VALUE"""),110)</f>
        <v>110</v>
      </c>
      <c r="H67" s="2" t="str">
        <f ca="1">IFERROR(__xludf.DUMMYFUNCTION("""COMPUTED_VALUE"""),"963fbbab")</f>
        <v>963fbbab</v>
      </c>
      <c r="I67" s="2" t="str">
        <f ca="1">IFERROR(__xludf.DUMMYFUNCTION("""COMPUTED_VALUE"""),"Merlot s/Asp y Syrah")</f>
        <v>Merlot s/Asp y Syrah</v>
      </c>
      <c r="J67" s="2">
        <f ca="1">IFERROR(__xludf.DUMMYFUNCTION("""COMPUTED_VALUE"""),14000)</f>
        <v>14000</v>
      </c>
      <c r="K67" s="2">
        <f ca="1">IFERROR(__xludf.DUMMYFUNCTION("""COMPUTED_VALUE"""),16000)</f>
        <v>16000</v>
      </c>
      <c r="L67" s="2" t="str">
        <f ca="1">IFERROR(__xludf.DUMMYFUNCTION("""COMPUTED_VALUE"""),"d8ebe8ad")</f>
        <v>d8ebe8ad</v>
      </c>
      <c r="M67" s="2" t="str">
        <f ca="1">IFERROR(__xludf.DUMMYFUNCTION("""COMPUTED_VALUE"""),"Syrah s/Asp 2da")</f>
        <v>Syrah s/Asp 2da</v>
      </c>
      <c r="N67" s="2" t="str">
        <f ca="1">IFERROR(__xludf.DUMMYFUNCTION("""COMPUTED_VALUE"""),"Desvine relleno")</f>
        <v>Desvine relleno</v>
      </c>
      <c r="O67" s="2"/>
      <c r="P67" s="2"/>
      <c r="Q67" s="2"/>
      <c r="R67" s="2"/>
      <c r="S67" s="2"/>
      <c r="T67" s="2"/>
      <c r="U67" s="2"/>
    </row>
    <row r="68" spans="1:21" x14ac:dyDescent="0.25">
      <c r="A68" s="2" t="str">
        <f ca="1">IFERROR(__xludf.DUMMYFUNCTION("""COMPUTED_VALUE"""),"ba7c9884")</f>
        <v>ba7c9884</v>
      </c>
      <c r="B68" s="3">
        <f ca="1">IFERROR(__xludf.DUMMYFUNCTION("""COMPUTED_VALUE"""),45722.4061458333)</f>
        <v>45722.406145833302</v>
      </c>
      <c r="C68" s="2" t="str">
        <f ca="1">IFERROR(__xludf.DUMMYFUNCTION("""COMPUTED_VALUE"""),"7525cd32")</f>
        <v>7525cd32</v>
      </c>
      <c r="D68" s="2">
        <f ca="1">IFERROR(__xludf.DUMMYFUNCTION("""COMPUTED_VALUE"""),80)</f>
        <v>80</v>
      </c>
      <c r="E68" s="2" t="str">
        <f ca="1">IFERROR(__xludf.DUMMYFUNCTION("""COMPUTED_VALUE"""),"Syrah s/Asp 2da")</f>
        <v>Syrah s/Asp 2da</v>
      </c>
      <c r="F68" s="2">
        <f ca="1">IFERROR(__xludf.DUMMYFUNCTION("""COMPUTED_VALUE"""),11000)</f>
        <v>11000</v>
      </c>
      <c r="G68" s="2">
        <f ca="1">IFERROR(__xludf.DUMMYFUNCTION("""COMPUTED_VALUE"""),11)</f>
        <v>11</v>
      </c>
      <c r="H68" s="2"/>
      <c r="I68" s="2"/>
      <c r="J68" s="2">
        <f ca="1">IFERROR(__xludf.DUMMYFUNCTION("""COMPUTED_VALUE"""),0)</f>
        <v>0</v>
      </c>
      <c r="K68" s="2">
        <f ca="1">IFERROR(__xludf.DUMMYFUNCTION("""COMPUTED_VALUE"""),11000)</f>
        <v>11000</v>
      </c>
      <c r="L68" s="2" t="str">
        <f ca="1">IFERROR(__xludf.DUMMYFUNCTION("""COMPUTED_VALUE"""),"40c05149")</f>
        <v>40c05149</v>
      </c>
      <c r="M68" s="2" t="str">
        <f ca="1">IFERROR(__xludf.DUMMYFUNCTION("""COMPUTED_VALUE"""),"Syrah s/Asp 2da")</f>
        <v>Syrah s/Asp 2da</v>
      </c>
      <c r="N68" s="2" t="str">
        <f ca="1">IFERROR(__xludf.DUMMYFUNCTION("""COMPUTED_VALUE"""),"Descube")</f>
        <v>Descube</v>
      </c>
      <c r="O68" s="2"/>
      <c r="P68" s="2"/>
      <c r="Q68" s="2"/>
      <c r="R68" s="2"/>
      <c r="S68" s="2"/>
      <c r="T68" s="2"/>
      <c r="U68" s="2"/>
    </row>
    <row r="69" spans="1:21" x14ac:dyDescent="0.25">
      <c r="A69" s="2" t="str">
        <f ca="1">IFERROR(__xludf.DUMMYFUNCTION("""COMPUTED_VALUE"""),"0b7480e0")</f>
        <v>0b7480e0</v>
      </c>
      <c r="B69" s="3">
        <f ca="1">IFERROR(__xludf.DUMMYFUNCTION("""COMPUTED_VALUE"""),45722.4067361111)</f>
        <v>45722.406736111101</v>
      </c>
      <c r="C69" s="2" t="str">
        <f ca="1">IFERROR(__xludf.DUMMYFUNCTION("""COMPUTED_VALUE"""),"994b8afe")</f>
        <v>994b8afe</v>
      </c>
      <c r="D69" s="2">
        <f ca="1">IFERROR(__xludf.DUMMYFUNCTION("""COMPUTED_VALUE"""),84)</f>
        <v>84</v>
      </c>
      <c r="E69" s="2" t="str">
        <f ca="1">IFERROR(__xludf.DUMMYFUNCTION("""COMPUTED_VALUE"""),"Syrah Colom s/Asp 2")</f>
        <v>Syrah Colom s/Asp 2</v>
      </c>
      <c r="F69" s="2">
        <f ca="1">IFERROR(__xludf.DUMMYFUNCTION("""COMPUTED_VALUE"""),25000)</f>
        <v>25000</v>
      </c>
      <c r="G69" s="2">
        <f ca="1">IFERROR(__xludf.DUMMYFUNCTION("""COMPUTED_VALUE"""),11)</f>
        <v>11</v>
      </c>
      <c r="H69" s="2" t="str">
        <f ca="1">IFERROR(__xludf.DUMMYFUNCTION("""COMPUTED_VALUE"""),"40c05149")</f>
        <v>40c05149</v>
      </c>
      <c r="I69" s="2" t="str">
        <f ca="1">IFERROR(__xludf.DUMMYFUNCTION("""COMPUTED_VALUE"""),"Syrah s/Asp 2da")</f>
        <v>Syrah s/Asp 2da</v>
      </c>
      <c r="J69" s="2">
        <f ca="1">IFERROR(__xludf.DUMMYFUNCTION("""COMPUTED_VALUE"""),11000)</f>
        <v>11000</v>
      </c>
      <c r="K69" s="2">
        <f ca="1">IFERROR(__xludf.DUMMYFUNCTION("""COMPUTED_VALUE"""),36000)</f>
        <v>36000</v>
      </c>
      <c r="L69" s="2" t="str">
        <f ca="1">IFERROR(__xludf.DUMMYFUNCTION("""COMPUTED_VALUE"""),"9c695ba3")</f>
        <v>9c695ba3</v>
      </c>
      <c r="M69" s="2" t="str">
        <f ca="1">IFERROR(__xludf.DUMMYFUNCTION("""COMPUTED_VALUE"""),"Syrah Colom s/Asp 2")</f>
        <v>Syrah Colom s/Asp 2</v>
      </c>
      <c r="N69" s="2" t="str">
        <f ca="1">IFERROR(__xludf.DUMMYFUNCTION("""COMPUTED_VALUE"""),"Descube Gota y prensa")</f>
        <v>Descube Gota y prensa</v>
      </c>
      <c r="O69" s="2"/>
      <c r="P69" s="2"/>
      <c r="Q69" s="2"/>
      <c r="R69" s="2"/>
      <c r="S69" s="2"/>
      <c r="T69" s="2"/>
      <c r="U69" s="2"/>
    </row>
    <row r="70" spans="1:21" x14ac:dyDescent="0.25">
      <c r="A70" s="2" t="str">
        <f ca="1">IFERROR(__xludf.DUMMYFUNCTION("""COMPUTED_VALUE"""),"5376b536")</f>
        <v>5376b536</v>
      </c>
      <c r="B70" s="3">
        <f ca="1">IFERROR(__xludf.DUMMYFUNCTION("""COMPUTED_VALUE"""),45722.4139699074)</f>
        <v>45722.4139699074</v>
      </c>
      <c r="C70" s="2" t="str">
        <f ca="1">IFERROR(__xludf.DUMMYFUNCTION("""COMPUTED_VALUE"""),"994b8afe")</f>
        <v>994b8afe</v>
      </c>
      <c r="D70" s="2">
        <f ca="1">IFERROR(__xludf.DUMMYFUNCTION("""COMPUTED_VALUE"""),84)</f>
        <v>84</v>
      </c>
      <c r="E70" s="2" t="str">
        <f ca="1">IFERROR(__xludf.DUMMYFUNCTION("""COMPUTED_VALUE"""),"Syrah Colom s/Asp 2")</f>
        <v>Syrah Colom s/Asp 2</v>
      </c>
      <c r="F70" s="2">
        <f ca="1">IFERROR(__xludf.DUMMYFUNCTION("""COMPUTED_VALUE"""),37000)</f>
        <v>37000</v>
      </c>
      <c r="G70" s="2">
        <f ca="1">IFERROR(__xludf.DUMMYFUNCTION("""COMPUTED_VALUE"""),14)</f>
        <v>14</v>
      </c>
      <c r="H70" s="2"/>
      <c r="I70" s="2" t="str">
        <f ca="1">IFERROR(__xludf.DUMMYFUNCTION("""COMPUTED_VALUE"""),"Este volumen de mas vino de la 86")</f>
        <v>Este volumen de mas vino de la 86</v>
      </c>
      <c r="J70" s="2">
        <f ca="1">IFERROR(__xludf.DUMMYFUNCTION("""COMPUTED_VALUE"""),0)</f>
        <v>0</v>
      </c>
      <c r="K70" s="2">
        <f ca="1">IFERROR(__xludf.DUMMYFUNCTION("""COMPUTED_VALUE"""),37000)</f>
        <v>37000</v>
      </c>
      <c r="L70" s="2" t="str">
        <f ca="1">IFERROR(__xludf.DUMMYFUNCTION("""COMPUTED_VALUE"""),"21a02bb8")</f>
        <v>21a02bb8</v>
      </c>
      <c r="M70" s="2" t="str">
        <f ca="1">IFERROR(__xludf.DUMMYFUNCTION("""COMPUTED_VALUE"""),"Syrah Colom s/Asp 2")</f>
        <v>Syrah Colom s/Asp 2</v>
      </c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tr">
        <f ca="1">IFERROR(__xludf.DUMMYFUNCTION("""COMPUTED_VALUE"""),"d699073e")</f>
        <v>d699073e</v>
      </c>
      <c r="B71" s="3">
        <f ca="1">IFERROR(__xludf.DUMMYFUNCTION("""COMPUTED_VALUE"""),45722.4147222222)</f>
        <v>45722.414722222202</v>
      </c>
      <c r="C71" s="2" t="str">
        <f ca="1">IFERROR(__xludf.DUMMYFUNCTION("""COMPUTED_VALUE"""),"994b8afe")</f>
        <v>994b8afe</v>
      </c>
      <c r="D71" s="2">
        <f ca="1">IFERROR(__xludf.DUMMYFUNCTION("""COMPUTED_VALUE"""),84)</f>
        <v>84</v>
      </c>
      <c r="E71" s="2" t="str">
        <f ca="1">IFERROR(__xludf.DUMMYFUNCTION("""COMPUTED_VALUE"""),"Syrah Colom s/Asp 2")</f>
        <v>Syrah Colom s/Asp 2</v>
      </c>
      <c r="F71" s="2">
        <f ca="1">IFERROR(__xludf.DUMMYFUNCTION("""COMPUTED_VALUE"""),10000)</f>
        <v>10000</v>
      </c>
      <c r="G71" s="2">
        <f ca="1">IFERROR(__xludf.DUMMYFUNCTION("""COMPUTED_VALUE"""),53)</f>
        <v>53</v>
      </c>
      <c r="H71" s="2"/>
      <c r="I71" s="2"/>
      <c r="J71" s="2">
        <f ca="1">IFERROR(__xludf.DUMMYFUNCTION("""COMPUTED_VALUE"""),0)</f>
        <v>0</v>
      </c>
      <c r="K71" s="2">
        <f ca="1">IFERROR(__xludf.DUMMYFUNCTION("""COMPUTED_VALUE"""),10000)</f>
        <v>10000</v>
      </c>
      <c r="L71" s="2" t="str">
        <f ca="1">IFERROR(__xludf.DUMMYFUNCTION("""COMPUTED_VALUE"""),"577b30d8")</f>
        <v>577b30d8</v>
      </c>
      <c r="M71" s="2" t="str">
        <f ca="1">IFERROR(__xludf.DUMMYFUNCTION("""COMPUTED_VALUE"""),"Syrah s/Asp 2 Prensa")</f>
        <v>Syrah s/Asp 2 Prensa</v>
      </c>
      <c r="N71" s="2" t="str">
        <f ca="1">IFERROR(__xludf.DUMMYFUNCTION("""COMPUTED_VALUE"""),"Esto es volumen de mas que falto de la 86")</f>
        <v>Esto es volumen de mas que falto de la 86</v>
      </c>
      <c r="O71" s="2"/>
      <c r="P71" s="2"/>
      <c r="Q71" s="2"/>
      <c r="R71" s="2"/>
      <c r="S71" s="2"/>
      <c r="T71" s="2"/>
      <c r="U71" s="2"/>
    </row>
    <row r="72" spans="1:21" x14ac:dyDescent="0.25">
      <c r="A72" s="2" t="str">
        <f ca="1">IFERROR(__xludf.DUMMYFUNCTION("""COMPUTED_VALUE"""),"039b3a15")</f>
        <v>039b3a15</v>
      </c>
      <c r="B72" s="3">
        <f ca="1">IFERROR(__xludf.DUMMYFUNCTION("""COMPUTED_VALUE"""),45722.418912037)</f>
        <v>45722.418912036999</v>
      </c>
      <c r="C72" s="2" t="str">
        <f ca="1">IFERROR(__xludf.DUMMYFUNCTION("""COMPUTED_VALUE"""),"27abb7ee")</f>
        <v>27abb7ee</v>
      </c>
      <c r="D72" s="2">
        <f ca="1">IFERROR(__xludf.DUMMYFUNCTION("""COMPUTED_VALUE"""),16)</f>
        <v>16</v>
      </c>
      <c r="E72" s="2" t="str">
        <f ca="1">IFERROR(__xludf.DUMMYFUNCTION("""COMPUTED_VALUE"""),"Cabernet Sauvignon Rect")</f>
        <v>Cabernet Sauvignon Rect</v>
      </c>
      <c r="F72" s="2">
        <f ca="1">IFERROR(__xludf.DUMMYFUNCTION("""COMPUTED_VALUE"""),9500)</f>
        <v>9500</v>
      </c>
      <c r="G72" s="2">
        <f ca="1">IFERROR(__xludf.DUMMYFUNCTION("""COMPUTED_VALUE"""),88)</f>
        <v>88</v>
      </c>
      <c r="H72" s="2" t="str">
        <f ca="1">IFERROR(__xludf.DUMMYFUNCTION("""COMPUTED_VALUE"""),"39ea0cc6")</f>
        <v>39ea0cc6</v>
      </c>
      <c r="I72" s="2" t="str">
        <f ca="1">IFERROR(__xludf.DUMMYFUNCTION("""COMPUTED_VALUE"""),"Syrah Ferm")</f>
        <v>Syrah Ferm</v>
      </c>
      <c r="J72" s="2">
        <f ca="1">IFERROR(__xludf.DUMMYFUNCTION("""COMPUTED_VALUE"""),40000)</f>
        <v>40000</v>
      </c>
      <c r="K72" s="2">
        <f ca="1">IFERROR(__xludf.DUMMYFUNCTION("""COMPUTED_VALUE"""),49500)</f>
        <v>49500</v>
      </c>
      <c r="L72" s="2" t="str">
        <f ca="1">IFERROR(__xludf.DUMMYFUNCTION("""COMPUTED_VALUE"""),"4bf00cf0")</f>
        <v>4bf00cf0</v>
      </c>
      <c r="M72" s="2" t="str">
        <f ca="1">IFERROR(__xludf.DUMMYFUNCTION("""COMPUTED_VALUE"""),"Syrah Ferm")</f>
        <v>Syrah Ferm</v>
      </c>
      <c r="N72" s="2" t="str">
        <f ca="1">IFERROR(__xludf.DUMMYFUNCTION("""COMPUTED_VALUE"""),"Rectificado agregado")</f>
        <v>Rectificado agregado</v>
      </c>
      <c r="O72" s="2"/>
      <c r="P72" s="2"/>
      <c r="Q72" s="2"/>
      <c r="R72" s="2"/>
      <c r="S72" s="2"/>
      <c r="T72" s="2"/>
      <c r="U72" s="2"/>
    </row>
    <row r="73" spans="1:21" x14ac:dyDescent="0.25">
      <c r="A73" s="2" t="str">
        <f ca="1">IFERROR(__xludf.DUMMYFUNCTION("""COMPUTED_VALUE"""),"268d8d70")</f>
        <v>268d8d70</v>
      </c>
      <c r="B73" s="3">
        <f ca="1">IFERROR(__xludf.DUMMYFUNCTION("""COMPUTED_VALUE"""),45722.4215625)</f>
        <v>45722.4215625</v>
      </c>
      <c r="C73" s="2" t="str">
        <f ca="1">IFERROR(__xludf.DUMMYFUNCTION("""COMPUTED_VALUE"""),"4368dec6")</f>
        <v>4368dec6</v>
      </c>
      <c r="D73" s="2">
        <f ca="1">IFERROR(__xludf.DUMMYFUNCTION("""COMPUTED_VALUE"""),118)</f>
        <v>118</v>
      </c>
      <c r="E73" s="2" t="str">
        <f ca="1">IFERROR(__xludf.DUMMYFUNCTION("""COMPUTED_VALUE"""),"Malbec 24")</f>
        <v>Malbec 24</v>
      </c>
      <c r="F73" s="2">
        <f ca="1">IFERROR(__xludf.DUMMYFUNCTION("""COMPUTED_VALUE"""),59700)</f>
        <v>59700</v>
      </c>
      <c r="G73" s="2">
        <f ca="1">IFERROR(__xludf.DUMMYFUNCTION("""COMPUTED_VALUE"""),24)</f>
        <v>24</v>
      </c>
      <c r="H73" s="2"/>
      <c r="I73" s="2"/>
      <c r="J73" s="2">
        <f ca="1">IFERROR(__xludf.DUMMYFUNCTION("""COMPUTED_VALUE"""),0)</f>
        <v>0</v>
      </c>
      <c r="K73" s="2">
        <f ca="1">IFERROR(__xludf.DUMMYFUNCTION("""COMPUTED_VALUE"""),155600)</f>
        <v>155600</v>
      </c>
      <c r="L73" s="2" t="str">
        <f ca="1">IFERROR(__xludf.DUMMYFUNCTION("""COMPUTED_VALUE"""),"5dbffbd0")</f>
        <v>5dbffbd0</v>
      </c>
      <c r="M73" s="2" t="str">
        <f ca="1">IFERROR(__xludf.DUMMYFUNCTION("""COMPUTED_VALUE"""),"Tinto La Vendimia")</f>
        <v>Tinto La Vendimia</v>
      </c>
      <c r="N73" s="2" t="str">
        <f ca="1">IFERROR(__xludf.DUMMYFUNCTION("""COMPUTED_VALUE"""),"Corte La Vendimia")</f>
        <v>Corte La Vendimia</v>
      </c>
      <c r="O73" s="2"/>
      <c r="P73" s="2"/>
      <c r="Q73" s="2"/>
      <c r="R73" s="2"/>
      <c r="S73" s="2"/>
      <c r="T73" s="2"/>
      <c r="U73" s="2"/>
    </row>
    <row r="74" spans="1:21" x14ac:dyDescent="0.25">
      <c r="A74" s="2" t="str">
        <f ca="1">IFERROR(__xludf.DUMMYFUNCTION("""COMPUTED_VALUE"""),"7011477f")</f>
        <v>7011477f</v>
      </c>
      <c r="B74" s="3">
        <f ca="1">IFERROR(__xludf.DUMMYFUNCTION("""COMPUTED_VALUE"""),45722.4238657407)</f>
        <v>45722.423865740697</v>
      </c>
      <c r="C74" s="2" t="str">
        <f ca="1">IFERROR(__xludf.DUMMYFUNCTION("""COMPUTED_VALUE"""),"4368dec6")</f>
        <v>4368dec6</v>
      </c>
      <c r="D74" s="2">
        <f ca="1">IFERROR(__xludf.DUMMYFUNCTION("""COMPUTED_VALUE"""),118)</f>
        <v>118</v>
      </c>
      <c r="E74" s="2" t="str">
        <f ca="1">IFERROR(__xludf.DUMMYFUNCTION("""COMPUTED_VALUE"""),"Malbec 24")</f>
        <v>Malbec 24</v>
      </c>
      <c r="F74" s="2">
        <f ca="1">IFERROR(__xludf.DUMMYFUNCTION("""COMPUTED_VALUE"""),62100)</f>
        <v>62100</v>
      </c>
      <c r="G74" s="2">
        <f ca="1">IFERROR(__xludf.DUMMYFUNCTION("""COMPUTED_VALUE"""),25)</f>
        <v>25</v>
      </c>
      <c r="H74" s="2"/>
      <c r="I74" s="2"/>
      <c r="J74" s="2">
        <f ca="1">IFERROR(__xludf.DUMMYFUNCTION("""COMPUTED_VALUE"""),0)</f>
        <v>0</v>
      </c>
      <c r="K74" s="2">
        <f ca="1">IFERROR(__xludf.DUMMYFUNCTION("""COMPUTED_VALUE"""),62100)</f>
        <v>62100</v>
      </c>
      <c r="L74" s="2" t="str">
        <f ca="1">IFERROR(__xludf.DUMMYFUNCTION("""COMPUTED_VALUE"""),"6d7a380a")</f>
        <v>6d7a380a</v>
      </c>
      <c r="M74" s="2" t="str">
        <f ca="1">IFERROR(__xludf.DUMMYFUNCTION("""COMPUTED_VALUE"""),"Tinto La Vendimia")</f>
        <v>Tinto La Vendimia</v>
      </c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tr">
        <f ca="1">IFERROR(__xludf.DUMMYFUNCTION("""COMPUTED_VALUE"""),"0779902a")</f>
        <v>0779902a</v>
      </c>
      <c r="B75" s="3">
        <f ca="1">IFERROR(__xludf.DUMMYFUNCTION("""COMPUTED_VALUE"""),45722.4242013888)</f>
        <v>45722.4242013888</v>
      </c>
      <c r="C75" s="2" t="str">
        <f ca="1">IFERROR(__xludf.DUMMYFUNCTION("""COMPUTED_VALUE"""),"4368dec6")</f>
        <v>4368dec6</v>
      </c>
      <c r="D75" s="2">
        <f ca="1">IFERROR(__xludf.DUMMYFUNCTION("""COMPUTED_VALUE"""),118)</f>
        <v>118</v>
      </c>
      <c r="E75" s="2" t="str">
        <f ca="1">IFERROR(__xludf.DUMMYFUNCTION("""COMPUTED_VALUE"""),"Malbec 24")</f>
        <v>Malbec 24</v>
      </c>
      <c r="F75" s="2">
        <f ca="1">IFERROR(__xludf.DUMMYFUNCTION("""COMPUTED_VALUE"""),24600)</f>
        <v>24600</v>
      </c>
      <c r="G75" s="2">
        <f ca="1">IFERROR(__xludf.DUMMYFUNCTION("""COMPUTED_VALUE"""),95)</f>
        <v>95</v>
      </c>
      <c r="H75" s="2"/>
      <c r="I75" s="2"/>
      <c r="J75" s="2">
        <f ca="1">IFERROR(__xludf.DUMMYFUNCTION("""COMPUTED_VALUE"""),0)</f>
        <v>0</v>
      </c>
      <c r="K75" s="2">
        <f ca="1">IFERROR(__xludf.DUMMYFUNCTION("""COMPUTED_VALUE"""),24600)</f>
        <v>24600</v>
      </c>
      <c r="L75" s="2" t="str">
        <f ca="1">IFERROR(__xludf.DUMMYFUNCTION("""COMPUTED_VALUE"""),"58ded1ae")</f>
        <v>58ded1ae</v>
      </c>
      <c r="M75" s="2" t="str">
        <f ca="1">IFERROR(__xludf.DUMMYFUNCTION("""COMPUTED_VALUE"""),"Tinto La Vendimia")</f>
        <v>Tinto La Vendimia</v>
      </c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 t="str">
        <f ca="1">IFERROR(__xludf.DUMMYFUNCTION("""COMPUTED_VALUE"""),"6b47fc79")</f>
        <v>6b47fc79</v>
      </c>
      <c r="B76" s="3">
        <f ca="1">IFERROR(__xludf.DUMMYFUNCTION("""COMPUTED_VALUE"""),45722.4245717592)</f>
        <v>45722.424571759198</v>
      </c>
      <c r="C76" s="2" t="str">
        <f ca="1">IFERROR(__xludf.DUMMYFUNCTION("""COMPUTED_VALUE"""),"4368dec6")</f>
        <v>4368dec6</v>
      </c>
      <c r="D76" s="2">
        <f ca="1">IFERROR(__xludf.DUMMYFUNCTION("""COMPUTED_VALUE"""),118)</f>
        <v>118</v>
      </c>
      <c r="E76" s="2" t="str">
        <f ca="1">IFERROR(__xludf.DUMMYFUNCTION("""COMPUTED_VALUE"""),"Malbec 24")</f>
        <v>Malbec 24</v>
      </c>
      <c r="F76" s="2">
        <f ca="1">IFERROR(__xludf.DUMMYFUNCTION("""COMPUTED_VALUE"""),9200)</f>
        <v>9200</v>
      </c>
      <c r="G76" s="2">
        <f ca="1">IFERROR(__xludf.DUMMYFUNCTION("""COMPUTED_VALUE"""),96)</f>
        <v>96</v>
      </c>
      <c r="H76" s="2"/>
      <c r="I76" s="2"/>
      <c r="J76" s="2">
        <f ca="1">IFERROR(__xludf.DUMMYFUNCTION("""COMPUTED_VALUE"""),0)</f>
        <v>0</v>
      </c>
      <c r="K76" s="2">
        <f ca="1">IFERROR(__xludf.DUMMYFUNCTION("""COMPUTED_VALUE"""),9200)</f>
        <v>9200</v>
      </c>
      <c r="L76" s="2" t="str">
        <f ca="1">IFERROR(__xludf.DUMMYFUNCTION("""COMPUTED_VALUE"""),"0effecea")</f>
        <v>0effecea</v>
      </c>
      <c r="M76" s="2" t="str">
        <f ca="1">IFERROR(__xludf.DUMMYFUNCTION("""COMPUTED_VALUE"""),"Tinto La Vendimia")</f>
        <v>Tinto La Vendimia</v>
      </c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tr">
        <f ca="1">IFERROR(__xludf.DUMMYFUNCTION("""COMPUTED_VALUE"""),"b64c6496")</f>
        <v>b64c6496</v>
      </c>
      <c r="B77" s="3">
        <f ca="1">IFERROR(__xludf.DUMMYFUNCTION("""COMPUTED_VALUE"""),45722.7601851851)</f>
        <v>45722.7601851851</v>
      </c>
      <c r="C77" s="2" t="str">
        <f ca="1">IFERROR(__xludf.DUMMYFUNCTION("""COMPUTED_VALUE"""),"27abb7ee")</f>
        <v>27abb7ee</v>
      </c>
      <c r="D77" s="2">
        <f ca="1">IFERROR(__xludf.DUMMYFUNCTION("""COMPUTED_VALUE"""),16)</f>
        <v>16</v>
      </c>
      <c r="E77" s="2" t="str">
        <f ca="1">IFERROR(__xludf.DUMMYFUNCTION("""COMPUTED_VALUE"""),"Cabernet Sauvignon Rect")</f>
        <v>Cabernet Sauvignon Rect</v>
      </c>
      <c r="F77" s="2">
        <f ca="1">IFERROR(__xludf.DUMMYFUNCTION("""COMPUTED_VALUE"""),8000)</f>
        <v>8000</v>
      </c>
      <c r="G77" s="2">
        <f ca="1">IFERROR(__xludf.DUMMYFUNCTION("""COMPUTED_VALUE"""),89)</f>
        <v>89</v>
      </c>
      <c r="H77" s="2" t="str">
        <f ca="1">IFERROR(__xludf.DUMMYFUNCTION("""COMPUTED_VALUE"""),"5d46dc83")</f>
        <v>5d46dc83</v>
      </c>
      <c r="I77" s="2" t="str">
        <f ca="1">IFERROR(__xludf.DUMMYFUNCTION("""COMPUTED_VALUE"""),"Syrah")</f>
        <v>Syrah</v>
      </c>
      <c r="J77" s="2">
        <f ca="1">IFERROR(__xludf.DUMMYFUNCTION("""COMPUTED_VALUE"""),40500)</f>
        <v>40500</v>
      </c>
      <c r="K77" s="2">
        <f ca="1">IFERROR(__xludf.DUMMYFUNCTION("""COMPUTED_VALUE"""),48500)</f>
        <v>48500</v>
      </c>
      <c r="L77" s="2" t="str">
        <f ca="1">IFERROR(__xludf.DUMMYFUNCTION("""COMPUTED_VALUE"""),"3a5e04a4")</f>
        <v>3a5e04a4</v>
      </c>
      <c r="M77" s="2" t="str">
        <f ca="1">IFERROR(__xludf.DUMMYFUNCTION("""COMPUTED_VALUE"""),"Syrah")</f>
        <v>Syrah</v>
      </c>
      <c r="N77" s="2" t="str">
        <f ca="1">IFERROR(__xludf.DUMMYFUNCTION("""COMPUTED_VALUE"""),"Agregado de Rectificado")</f>
        <v>Agregado de Rectificado</v>
      </c>
      <c r="O77" s="2"/>
      <c r="P77" s="2"/>
      <c r="Q77" s="2"/>
      <c r="R77" s="2"/>
      <c r="S77" s="2"/>
      <c r="T77" s="2"/>
      <c r="U77" s="2"/>
    </row>
    <row r="78" spans="1:21" x14ac:dyDescent="0.25">
      <c r="A78" s="2" t="str">
        <f ca="1">IFERROR(__xludf.DUMMYFUNCTION("""COMPUTED_VALUE"""),"42091a69")</f>
        <v>42091a69</v>
      </c>
      <c r="B78" s="3">
        <f ca="1">IFERROR(__xludf.DUMMYFUNCTION("""COMPUTED_VALUE"""),45722.7759722222)</f>
        <v>45722.775972222204</v>
      </c>
      <c r="C78" s="2" t="str">
        <f ca="1">IFERROR(__xludf.DUMMYFUNCTION("""COMPUTED_VALUE"""),"b502a55e")</f>
        <v>b502a55e</v>
      </c>
      <c r="D78" s="2">
        <f ca="1">IFERROR(__xludf.DUMMYFUNCTION("""COMPUTED_VALUE"""),114)</f>
        <v>114</v>
      </c>
      <c r="E78" s="2" t="str">
        <f ca="1">IFERROR(__xludf.DUMMYFUNCTION("""COMPUTED_VALUE"""),"Bonarda 24")</f>
        <v>Bonarda 24</v>
      </c>
      <c r="F78" s="2">
        <f ca="1">IFERROR(__xludf.DUMMYFUNCTION("""COMPUTED_VALUE"""),11200)</f>
        <v>11200</v>
      </c>
      <c r="G78" s="2">
        <f ca="1">IFERROR(__xludf.DUMMYFUNCTION("""COMPUTED_VALUE"""),931)</f>
        <v>931</v>
      </c>
      <c r="H78" s="2"/>
      <c r="I78" s="2"/>
      <c r="J78" s="2">
        <f ca="1">IFERROR(__xludf.DUMMYFUNCTION("""COMPUTED_VALUE"""),0)</f>
        <v>0</v>
      </c>
      <c r="K78" s="2">
        <f ca="1">IFERROR(__xludf.DUMMYFUNCTION("""COMPUTED_VALUE"""),11200)</f>
        <v>11200</v>
      </c>
      <c r="L78" s="2" t="str">
        <f ca="1">IFERROR(__xludf.DUMMYFUNCTION("""COMPUTED_VALUE"""),"abbbaccc")</f>
        <v>abbbaccc</v>
      </c>
      <c r="M78" s="2" t="str">
        <f ca="1">IFERROR(__xludf.DUMMYFUNCTION("""COMPUTED_VALUE"""),"Bonarda 24")</f>
        <v>Bonarda 24</v>
      </c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tr">
        <f ca="1">IFERROR(__xludf.DUMMYFUNCTION("""COMPUTED_VALUE"""),"d8aa6864")</f>
        <v>d8aa6864</v>
      </c>
      <c r="B79" s="3">
        <f ca="1">IFERROR(__xludf.DUMMYFUNCTION("""COMPUTED_VALUE"""),45722.7764467592)</f>
        <v>45722.776446759199</v>
      </c>
      <c r="C79" s="2" t="str">
        <f ca="1">IFERROR(__xludf.DUMMYFUNCTION("""COMPUTED_VALUE"""),"b502a55e")</f>
        <v>b502a55e</v>
      </c>
      <c r="D79" s="2">
        <f ca="1">IFERROR(__xludf.DUMMYFUNCTION("""COMPUTED_VALUE"""),114)</f>
        <v>114</v>
      </c>
      <c r="E79" s="2" t="str">
        <f ca="1">IFERROR(__xludf.DUMMYFUNCTION("""COMPUTED_VALUE"""),"Bonarda 24")</f>
        <v>Bonarda 24</v>
      </c>
      <c r="F79" s="2">
        <f ca="1">IFERROR(__xludf.DUMMYFUNCTION("""COMPUTED_VALUE"""),41000)</f>
        <v>41000</v>
      </c>
      <c r="G79" s="2">
        <f ca="1">IFERROR(__xludf.DUMMYFUNCTION("""COMPUTED_VALUE"""),24)</f>
        <v>24</v>
      </c>
      <c r="H79" s="2" t="str">
        <f ca="1">IFERROR(__xludf.DUMMYFUNCTION("""COMPUTED_VALUE"""),"5dbffbd0")</f>
        <v>5dbffbd0</v>
      </c>
      <c r="I79" s="2" t="str">
        <f ca="1">IFERROR(__xludf.DUMMYFUNCTION("""COMPUTED_VALUE"""),"Tinto La Vendimia")</f>
        <v>Tinto La Vendimia</v>
      </c>
      <c r="J79" s="2">
        <f ca="1">IFERROR(__xludf.DUMMYFUNCTION("""COMPUTED_VALUE"""),59700)</f>
        <v>59700</v>
      </c>
      <c r="K79" s="2">
        <f ca="1">IFERROR(__xludf.DUMMYFUNCTION("""COMPUTED_VALUE"""),100700)</f>
        <v>100700</v>
      </c>
      <c r="L79" s="2" t="str">
        <f ca="1">IFERROR(__xludf.DUMMYFUNCTION("""COMPUTED_VALUE"""),"44d88f23")</f>
        <v>44d88f23</v>
      </c>
      <c r="M79" s="2" t="str">
        <f ca="1">IFERROR(__xludf.DUMMYFUNCTION("""COMPUTED_VALUE"""),"Tinto La Vendimia")</f>
        <v>Tinto La Vendimia</v>
      </c>
      <c r="N79" s="2"/>
      <c r="O79" s="2"/>
      <c r="P79" s="2"/>
      <c r="Q79" s="2"/>
      <c r="R79" s="2"/>
      <c r="S79" s="2"/>
      <c r="T79" s="2"/>
      <c r="U79" s="2"/>
    </row>
    <row r="80" spans="1:21" x14ac:dyDescent="0.25">
      <c r="A80" s="2" t="str">
        <f ca="1">IFERROR(__xludf.DUMMYFUNCTION("""COMPUTED_VALUE"""),"8bdbe45e")</f>
        <v>8bdbe45e</v>
      </c>
      <c r="B80" s="3">
        <f ca="1">IFERROR(__xludf.DUMMYFUNCTION("""COMPUTED_VALUE"""),45722.7778587962)</f>
        <v>45722.777858796297</v>
      </c>
      <c r="C80" s="2" t="str">
        <f ca="1">IFERROR(__xludf.DUMMYFUNCTION("""COMPUTED_VALUE"""),"b502a55e")</f>
        <v>b502a55e</v>
      </c>
      <c r="D80" s="2">
        <f ca="1">IFERROR(__xludf.DUMMYFUNCTION("""COMPUTED_VALUE"""),114)</f>
        <v>114</v>
      </c>
      <c r="E80" s="2" t="str">
        <f ca="1">IFERROR(__xludf.DUMMYFUNCTION("""COMPUTED_VALUE"""),"Bonarda 24")</f>
        <v>Bonarda 24</v>
      </c>
      <c r="F80" s="2">
        <f ca="1">IFERROR(__xludf.DUMMYFUNCTION("""COMPUTED_VALUE"""),42700)</f>
        <v>42700</v>
      </c>
      <c r="G80" s="2">
        <f ca="1">IFERROR(__xludf.DUMMYFUNCTION("""COMPUTED_VALUE"""),25)</f>
        <v>25</v>
      </c>
      <c r="H80" s="2" t="str">
        <f ca="1">IFERROR(__xludf.DUMMYFUNCTION("""COMPUTED_VALUE"""),"6d7a380a")</f>
        <v>6d7a380a</v>
      </c>
      <c r="I80" s="2" t="str">
        <f ca="1">IFERROR(__xludf.DUMMYFUNCTION("""COMPUTED_VALUE"""),"Tinto La Vendimia")</f>
        <v>Tinto La Vendimia</v>
      </c>
      <c r="J80" s="2">
        <f ca="1">IFERROR(__xludf.DUMMYFUNCTION("""COMPUTED_VALUE"""),62100)</f>
        <v>62100</v>
      </c>
      <c r="K80" s="2">
        <f ca="1">IFERROR(__xludf.DUMMYFUNCTION("""COMPUTED_VALUE"""),104800)</f>
        <v>104800</v>
      </c>
      <c r="L80" s="2" t="str">
        <f ca="1">IFERROR(__xludf.DUMMYFUNCTION("""COMPUTED_VALUE"""),"c4743b1b")</f>
        <v>c4743b1b</v>
      </c>
      <c r="M80" s="2" t="str">
        <f ca="1">IFERROR(__xludf.DUMMYFUNCTION("""COMPUTED_VALUE"""),"Tinto La Vendimia")</f>
        <v>Tinto La Vendimia</v>
      </c>
      <c r="N80" s="2"/>
      <c r="O80" s="2"/>
      <c r="P80" s="2"/>
      <c r="Q80" s="2"/>
      <c r="R80" s="2"/>
      <c r="S80" s="2"/>
      <c r="T80" s="2"/>
      <c r="U80" s="2"/>
    </row>
    <row r="81" spans="1:21" x14ac:dyDescent="0.25">
      <c r="A81" s="2" t="str">
        <f ca="1">IFERROR(__xludf.DUMMYFUNCTION("""COMPUTED_VALUE"""),"4ea00640")</f>
        <v>4ea00640</v>
      </c>
      <c r="B81" s="3">
        <f ca="1">IFERROR(__xludf.DUMMYFUNCTION("""COMPUTED_VALUE"""),45722.7783564814)</f>
        <v>45722.778356481402</v>
      </c>
      <c r="C81" s="2" t="str">
        <f ca="1">IFERROR(__xludf.DUMMYFUNCTION("""COMPUTED_VALUE"""),"b502a55e")</f>
        <v>b502a55e</v>
      </c>
      <c r="D81" s="2">
        <f ca="1">IFERROR(__xludf.DUMMYFUNCTION("""COMPUTED_VALUE"""),114)</f>
        <v>114</v>
      </c>
      <c r="E81" s="2" t="str">
        <f ca="1">IFERROR(__xludf.DUMMYFUNCTION("""COMPUTED_VALUE"""),"Bonarda 24")</f>
        <v>Bonarda 24</v>
      </c>
      <c r="F81" s="2">
        <f ca="1">IFERROR(__xludf.DUMMYFUNCTION("""COMPUTED_VALUE"""),17000)</f>
        <v>17000</v>
      </c>
      <c r="G81" s="2">
        <f ca="1">IFERROR(__xludf.DUMMYFUNCTION("""COMPUTED_VALUE"""),95)</f>
        <v>95</v>
      </c>
      <c r="H81" s="2" t="str">
        <f ca="1">IFERROR(__xludf.DUMMYFUNCTION("""COMPUTED_VALUE"""),"58ded1ae")</f>
        <v>58ded1ae</v>
      </c>
      <c r="I81" s="2" t="str">
        <f ca="1">IFERROR(__xludf.DUMMYFUNCTION("""COMPUTED_VALUE"""),"Tinto La Vendimia")</f>
        <v>Tinto La Vendimia</v>
      </c>
      <c r="J81" s="2">
        <f ca="1">IFERROR(__xludf.DUMMYFUNCTION("""COMPUTED_VALUE"""),24600)</f>
        <v>24600</v>
      </c>
      <c r="K81" s="2">
        <f ca="1">IFERROR(__xludf.DUMMYFUNCTION("""COMPUTED_VALUE"""),41600)</f>
        <v>41600</v>
      </c>
      <c r="L81" s="2" t="str">
        <f ca="1">IFERROR(__xludf.DUMMYFUNCTION("""COMPUTED_VALUE"""),"3bd6f9bf")</f>
        <v>3bd6f9bf</v>
      </c>
      <c r="M81" s="2" t="str">
        <f ca="1">IFERROR(__xludf.DUMMYFUNCTION("""COMPUTED_VALUE"""),"Tinto La Vendimia")</f>
        <v>Tinto La Vendimia</v>
      </c>
      <c r="N81" s="2"/>
      <c r="O81" s="2"/>
      <c r="P81" s="2"/>
      <c r="Q81" s="2"/>
      <c r="R81" s="2"/>
      <c r="S81" s="2"/>
      <c r="T81" s="2"/>
      <c r="U81" s="2"/>
    </row>
    <row r="82" spans="1:21" x14ac:dyDescent="0.25">
      <c r="A82" s="2" t="str">
        <f ca="1">IFERROR(__xludf.DUMMYFUNCTION("""COMPUTED_VALUE"""),"32dd6da9")</f>
        <v>32dd6da9</v>
      </c>
      <c r="B82" s="3">
        <f ca="1">IFERROR(__xludf.DUMMYFUNCTION("""COMPUTED_VALUE"""),45722.7862037037)</f>
        <v>45722.786203703698</v>
      </c>
      <c r="C82" s="2" t="str">
        <f ca="1">IFERROR(__xludf.DUMMYFUNCTION("""COMPUTED_VALUE"""),"b502a55e")</f>
        <v>b502a55e</v>
      </c>
      <c r="D82" s="2">
        <f ca="1">IFERROR(__xludf.DUMMYFUNCTION("""COMPUTED_VALUE"""),114)</f>
        <v>114</v>
      </c>
      <c r="E82" s="2" t="str">
        <f ca="1">IFERROR(__xludf.DUMMYFUNCTION("""COMPUTED_VALUE"""),"Bonarda 24")</f>
        <v>Bonarda 24</v>
      </c>
      <c r="F82" s="2">
        <f ca="1">IFERROR(__xludf.DUMMYFUNCTION("""COMPUTED_VALUE"""),13400)</f>
        <v>13400</v>
      </c>
      <c r="G82" s="2">
        <f ca="1">IFERROR(__xludf.DUMMYFUNCTION("""COMPUTED_VALUE"""),96)</f>
        <v>96</v>
      </c>
      <c r="H82" s="2" t="str">
        <f ca="1">IFERROR(__xludf.DUMMYFUNCTION("""COMPUTED_VALUE"""),"0effecea")</f>
        <v>0effecea</v>
      </c>
      <c r="I82" s="2" t="str">
        <f ca="1">IFERROR(__xludf.DUMMYFUNCTION("""COMPUTED_VALUE"""),"Tinto La Vendimia")</f>
        <v>Tinto La Vendimia</v>
      </c>
      <c r="J82" s="2">
        <f ca="1">IFERROR(__xludf.DUMMYFUNCTION("""COMPUTED_VALUE"""),9200)</f>
        <v>9200</v>
      </c>
      <c r="K82" s="2">
        <f ca="1">IFERROR(__xludf.DUMMYFUNCTION("""COMPUTED_VALUE"""),22600)</f>
        <v>22600</v>
      </c>
      <c r="L82" s="2" t="str">
        <f ca="1">IFERROR(__xludf.DUMMYFUNCTION("""COMPUTED_VALUE"""),"0799e5db")</f>
        <v>0799e5db</v>
      </c>
      <c r="M82" s="2" t="str">
        <f ca="1">IFERROR(__xludf.DUMMYFUNCTION("""COMPUTED_VALUE"""),"Tinto La Vendimia")</f>
        <v>Tinto La Vendimia</v>
      </c>
      <c r="N82" s="2"/>
      <c r="O82" s="2"/>
      <c r="P82" s="2"/>
      <c r="Q82" s="2"/>
      <c r="R82" s="2"/>
      <c r="S82" s="2"/>
      <c r="T82" s="2"/>
      <c r="U82" s="2"/>
    </row>
    <row r="83" spans="1:21" x14ac:dyDescent="0.25">
      <c r="A83" s="2" t="str">
        <f ca="1">IFERROR(__xludf.DUMMYFUNCTION("""COMPUTED_VALUE"""),"fc23046e")</f>
        <v>fc23046e</v>
      </c>
      <c r="B83" s="3">
        <f ca="1">IFERROR(__xludf.DUMMYFUNCTION("""COMPUTED_VALUE"""),45723.4476851851)</f>
        <v>45723.4476851851</v>
      </c>
      <c r="C83" s="2" t="str">
        <f ca="1">IFERROR(__xludf.DUMMYFUNCTION("""COMPUTED_VALUE"""),"d53930ff")</f>
        <v>d53930ff</v>
      </c>
      <c r="D83" s="2">
        <f ca="1">IFERROR(__xludf.DUMMYFUNCTION("""COMPUTED_VALUE"""),150)</f>
        <v>150</v>
      </c>
      <c r="E83" s="2" t="str">
        <f ca="1">IFERROR(__xludf.DUMMYFUNCTION("""COMPUTED_VALUE"""),"Correccion")</f>
        <v>Correccion</v>
      </c>
      <c r="F83" s="2">
        <f ca="1">IFERROR(__xludf.DUMMYFUNCTION("""COMPUTED_VALUE"""),1000)</f>
        <v>1000</v>
      </c>
      <c r="G83" s="2">
        <f ca="1">IFERROR(__xludf.DUMMYFUNCTION("""COMPUTED_VALUE"""),68)</f>
        <v>68</v>
      </c>
      <c r="H83" s="2" t="str">
        <f ca="1">IFERROR(__xludf.DUMMYFUNCTION("""COMPUTED_VALUE"""),"702b9808")</f>
        <v>702b9808</v>
      </c>
      <c r="I83" s="2" t="str">
        <f ca="1">IFERROR(__xludf.DUMMYFUNCTION("""COMPUTED_VALUE"""),"Syrah")</f>
        <v>Syrah</v>
      </c>
      <c r="J83" s="2">
        <f ca="1">IFERROR(__xludf.DUMMYFUNCTION("""COMPUTED_VALUE"""),10000)</f>
        <v>10000</v>
      </c>
      <c r="K83" s="2">
        <f ca="1">IFERROR(__xludf.DUMMYFUNCTION("""COMPUTED_VALUE"""),11000)</f>
        <v>11000</v>
      </c>
      <c r="L83" s="2" t="str">
        <f ca="1">IFERROR(__xludf.DUMMYFUNCTION("""COMPUTED_VALUE"""),"af88e380")</f>
        <v>af88e380</v>
      </c>
      <c r="M83" s="2" t="str">
        <f ca="1">IFERROR(__xludf.DUMMYFUNCTION("""COMPUTED_VALUE"""),"Syrah")</f>
        <v>Syrah</v>
      </c>
      <c r="N83" s="2"/>
      <c r="O83" s="2" t="str">
        <f ca="1">IFERROR(__xludf.DUMMYFUNCTION("""COMPUTED_VALUE"""),"Terminado")</f>
        <v>Terminado</v>
      </c>
      <c r="P83" s="2" t="str">
        <f ca="1">IFERROR(__xludf.DUMMYFUNCTION("""COMPUTED_VALUE"""),"Fermentando")</f>
        <v>Fermentando</v>
      </c>
      <c r="Q83" s="2" t="b">
        <f ca="1">IFERROR(__xludf.DUMMYFUNCTION("""COMPUTED_VALUE"""),TRUE)</f>
        <v>1</v>
      </c>
      <c r="R83" s="2" t="str">
        <f ca="1">IFERROR(__xludf.DUMMYFUNCTION("""COMPUTED_VALUE"""),"Fermentando")</f>
        <v>Fermentando</v>
      </c>
      <c r="S83" s="2"/>
      <c r="T83" s="2"/>
      <c r="U83" s="2"/>
    </row>
    <row r="84" spans="1:21" x14ac:dyDescent="0.25">
      <c r="A84" s="2" t="str">
        <f ca="1">IFERROR(__xludf.DUMMYFUNCTION("""COMPUTED_VALUE"""),"c2c37144")</f>
        <v>c2c37144</v>
      </c>
      <c r="B84" s="3">
        <f ca="1">IFERROR(__xludf.DUMMYFUNCTION("""COMPUTED_VALUE"""),45723.7577314814)</f>
        <v>45723.757731481397</v>
      </c>
      <c r="C84" s="2" t="str">
        <f ca="1">IFERROR(__xludf.DUMMYFUNCTION("""COMPUTED_VALUE"""),"665bbad3")</f>
        <v>665bbad3</v>
      </c>
      <c r="D84" s="2">
        <f ca="1">IFERROR(__xludf.DUMMYFUNCTION("""COMPUTED_VALUE"""),47)</f>
        <v>47</v>
      </c>
      <c r="E84" s="2" t="str">
        <f ca="1">IFERROR(__xludf.DUMMYFUNCTION("""COMPUTED_VALUE"""),"Cabernet Sauvignon 24 Rect")</f>
        <v>Cabernet Sauvignon 24 Rect</v>
      </c>
      <c r="F84" s="2">
        <f ca="1">IFERROR(__xludf.DUMMYFUNCTION("""COMPUTED_VALUE"""),1000)</f>
        <v>1000</v>
      </c>
      <c r="G84" s="2">
        <f ca="1">IFERROR(__xludf.DUMMYFUNCTION("""COMPUTED_VALUE"""),69)</f>
        <v>69</v>
      </c>
      <c r="H84" s="2" t="str">
        <f ca="1">IFERROR(__xludf.DUMMYFUNCTION("""COMPUTED_VALUE"""),"99fabf46")</f>
        <v>99fabf46</v>
      </c>
      <c r="I84" s="2" t="str">
        <f ca="1">IFERROR(__xludf.DUMMYFUNCTION("""COMPUTED_VALUE"""),"Malbec")</f>
        <v>Malbec</v>
      </c>
      <c r="J84" s="2">
        <f ca="1">IFERROR(__xludf.DUMMYFUNCTION("""COMPUTED_VALUE"""),7600)</f>
        <v>7600</v>
      </c>
      <c r="K84" s="2">
        <f ca="1">IFERROR(__xludf.DUMMYFUNCTION("""COMPUTED_VALUE"""),8600)</f>
        <v>8600</v>
      </c>
      <c r="L84" s="2" t="str">
        <f ca="1">IFERROR(__xludf.DUMMYFUNCTION("""COMPUTED_VALUE"""),"9c317849")</f>
        <v>9c317849</v>
      </c>
      <c r="M84" s="2" t="str">
        <f ca="1">IFERROR(__xludf.DUMMYFUNCTION("""COMPUTED_VALUE"""),"Malbec")</f>
        <v>Malbec</v>
      </c>
      <c r="N84" s="2"/>
      <c r="O84" s="2" t="str">
        <f ca="1">IFERROR(__xludf.DUMMYFUNCTION("""COMPUTED_VALUE"""),"Rectificado")</f>
        <v>Rectificado</v>
      </c>
      <c r="P84" s="2" t="str">
        <f ca="1">IFERROR(__xludf.DUMMYFUNCTION("""COMPUTED_VALUE"""),"Fermentando")</f>
        <v>Fermentando</v>
      </c>
      <c r="Q84" s="2" t="b">
        <f ca="1">IFERROR(__xludf.DUMMYFUNCTION("""COMPUTED_VALUE"""),TRUE)</f>
        <v>1</v>
      </c>
      <c r="R84" s="2" t="str">
        <f ca="1">IFERROR(__xludf.DUMMYFUNCTION("""COMPUTED_VALUE"""),"Fermentando")</f>
        <v>Fermentando</v>
      </c>
      <c r="S84" s="2"/>
      <c r="T84" s="2"/>
      <c r="U84" s="2"/>
    </row>
    <row r="85" spans="1:21" x14ac:dyDescent="0.25">
      <c r="A85" s="2" t="str">
        <f ca="1">IFERROR(__xludf.DUMMYFUNCTION("""COMPUTED_VALUE"""),"234faefd")</f>
        <v>234faefd</v>
      </c>
      <c r="B85" s="3">
        <f ca="1">IFERROR(__xludf.DUMMYFUNCTION("""COMPUTED_VALUE"""),45723.7595023148)</f>
        <v>45723.759502314802</v>
      </c>
      <c r="C85" s="2" t="str">
        <f ca="1">IFERROR(__xludf.DUMMYFUNCTION("""COMPUTED_VALUE"""),"665bbad3")</f>
        <v>665bbad3</v>
      </c>
      <c r="D85" s="2">
        <f ca="1">IFERROR(__xludf.DUMMYFUNCTION("""COMPUTED_VALUE"""),47)</f>
        <v>47</v>
      </c>
      <c r="E85" s="2" t="str">
        <f ca="1">IFERROR(__xludf.DUMMYFUNCTION("""COMPUTED_VALUE"""),"Cabernet Sauvignon 24 Rect")</f>
        <v>Cabernet Sauvignon 24 Rect</v>
      </c>
      <c r="F85" s="2">
        <f ca="1">IFERROR(__xludf.DUMMYFUNCTION("""COMPUTED_VALUE"""),4000)</f>
        <v>4000</v>
      </c>
      <c r="G85" s="2">
        <f ca="1">IFERROR(__xludf.DUMMYFUNCTION("""COMPUTED_VALUE"""),92)</f>
        <v>92</v>
      </c>
      <c r="H85" s="2" t="str">
        <f ca="1">IFERROR(__xludf.DUMMYFUNCTION("""COMPUTED_VALUE"""),"3c90bae8")</f>
        <v>3c90bae8</v>
      </c>
      <c r="I85" s="2" t="str">
        <f ca="1">IFERROR(__xludf.DUMMYFUNCTION("""COMPUTED_VALUE"""),"Syrah Tempranillo")</f>
        <v>Syrah Tempranillo</v>
      </c>
      <c r="J85" s="2">
        <f ca="1">IFERROR(__xludf.DUMMYFUNCTION("""COMPUTED_VALUE"""),40700)</f>
        <v>40700</v>
      </c>
      <c r="K85" s="2">
        <f ca="1">IFERROR(__xludf.DUMMYFUNCTION("""COMPUTED_VALUE"""),44700)</f>
        <v>44700</v>
      </c>
      <c r="L85" s="2" t="str">
        <f ca="1">IFERROR(__xludf.DUMMYFUNCTION("""COMPUTED_VALUE"""),"c85d74dc")</f>
        <v>c85d74dc</v>
      </c>
      <c r="M85" s="2" t="str">
        <f ca="1">IFERROR(__xludf.DUMMYFUNCTION("""COMPUTED_VALUE"""),"Syrah Tempranillo")</f>
        <v>Syrah Tempranillo</v>
      </c>
      <c r="N85" s="2"/>
      <c r="O85" s="2" t="str">
        <f ca="1">IFERROR(__xludf.DUMMYFUNCTION("""COMPUTED_VALUE"""),"Rectificado")</f>
        <v>Rectificado</v>
      </c>
      <c r="P85" s="2" t="str">
        <f ca="1">IFERROR(__xludf.DUMMYFUNCTION("""COMPUTED_VALUE"""),"Fermentando")</f>
        <v>Fermentando</v>
      </c>
      <c r="Q85" s="2" t="b">
        <f ca="1">IFERROR(__xludf.DUMMYFUNCTION("""COMPUTED_VALUE"""),TRUE)</f>
        <v>1</v>
      </c>
      <c r="R85" s="2" t="str">
        <f ca="1">IFERROR(__xludf.DUMMYFUNCTION("""COMPUTED_VALUE"""),"Fermentando")</f>
        <v>Fermentando</v>
      </c>
      <c r="S85" s="2"/>
      <c r="T85" s="2"/>
      <c r="U85" s="2"/>
    </row>
    <row r="86" spans="1:21" x14ac:dyDescent="0.25">
      <c r="A86" s="2" t="str">
        <f ca="1">IFERROR(__xludf.DUMMYFUNCTION("""COMPUTED_VALUE"""),"3d37857c")</f>
        <v>3d37857c</v>
      </c>
      <c r="B86" s="3">
        <f ca="1">IFERROR(__xludf.DUMMYFUNCTION("""COMPUTED_VALUE"""),45723.7599884259)</f>
        <v>45723.759988425903</v>
      </c>
      <c r="C86" s="2" t="str">
        <f ca="1">IFERROR(__xludf.DUMMYFUNCTION("""COMPUTED_VALUE"""),"665bbad3")</f>
        <v>665bbad3</v>
      </c>
      <c r="D86" s="2">
        <f ca="1">IFERROR(__xludf.DUMMYFUNCTION("""COMPUTED_VALUE"""),47)</f>
        <v>47</v>
      </c>
      <c r="E86" s="2" t="str">
        <f ca="1">IFERROR(__xludf.DUMMYFUNCTION("""COMPUTED_VALUE"""),"Cabernet Sauvignon 24 Rect")</f>
        <v>Cabernet Sauvignon 24 Rect</v>
      </c>
      <c r="F86" s="2">
        <f ca="1">IFERROR(__xludf.DUMMYFUNCTION("""COMPUTED_VALUE"""),2000)</f>
        <v>2000</v>
      </c>
      <c r="G86" s="2">
        <f ca="1">IFERROR(__xludf.DUMMYFUNCTION("""COMPUTED_VALUE"""),66)</f>
        <v>66</v>
      </c>
      <c r="H86" s="2" t="str">
        <f ca="1">IFERROR(__xludf.DUMMYFUNCTION("""COMPUTED_VALUE"""),"9c95c706")</f>
        <v>9c95c706</v>
      </c>
      <c r="I86" s="2" t="str">
        <f ca="1">IFERROR(__xludf.DUMMYFUNCTION("""COMPUTED_VALUE"""),"Anccelotta")</f>
        <v>Anccelotta</v>
      </c>
      <c r="J86" s="2">
        <f ca="1">IFERROR(__xludf.DUMMYFUNCTION("""COMPUTED_VALUE"""),15000)</f>
        <v>15000</v>
      </c>
      <c r="K86" s="2">
        <f ca="1">IFERROR(__xludf.DUMMYFUNCTION("""COMPUTED_VALUE"""),17000)</f>
        <v>17000</v>
      </c>
      <c r="L86" s="2" t="str">
        <f ca="1">IFERROR(__xludf.DUMMYFUNCTION("""COMPUTED_VALUE"""),"4d28a747")</f>
        <v>4d28a747</v>
      </c>
      <c r="M86" s="2" t="str">
        <f ca="1">IFERROR(__xludf.DUMMYFUNCTION("""COMPUTED_VALUE"""),"Anccelotta")</f>
        <v>Anccelotta</v>
      </c>
      <c r="N86" s="2"/>
      <c r="O86" s="2" t="str">
        <f ca="1">IFERROR(__xludf.DUMMYFUNCTION("""COMPUTED_VALUE"""),"Rectificado")</f>
        <v>Rectificado</v>
      </c>
      <c r="P86" s="2" t="str">
        <f ca="1">IFERROR(__xludf.DUMMYFUNCTION("""COMPUTED_VALUE"""),"Fermentando")</f>
        <v>Fermentando</v>
      </c>
      <c r="Q86" s="2" t="b">
        <f ca="1">IFERROR(__xludf.DUMMYFUNCTION("""COMPUTED_VALUE"""),TRUE)</f>
        <v>1</v>
      </c>
      <c r="R86" s="2" t="str">
        <f ca="1">IFERROR(__xludf.DUMMYFUNCTION("""COMPUTED_VALUE"""),"Fermentando")</f>
        <v>Fermentando</v>
      </c>
      <c r="S86" s="2"/>
      <c r="T86" s="2"/>
      <c r="U86" s="2"/>
    </row>
    <row r="87" spans="1:21" x14ac:dyDescent="0.25">
      <c r="A87" s="2" t="str">
        <f ca="1">IFERROR(__xludf.DUMMYFUNCTION("""COMPUTED_VALUE"""),"047c2d7c")</f>
        <v>047c2d7c</v>
      </c>
      <c r="B87" s="3">
        <f ca="1">IFERROR(__xludf.DUMMYFUNCTION("""COMPUTED_VALUE"""),45723.7712384259)</f>
        <v>45723.771238425899</v>
      </c>
      <c r="C87" s="2" t="str">
        <f ca="1">IFERROR(__xludf.DUMMYFUNCTION("""COMPUTED_VALUE"""),"91f934c1")</f>
        <v>91f934c1</v>
      </c>
      <c r="D87" s="2">
        <f ca="1">IFERROR(__xludf.DUMMYFUNCTION("""COMPUTED_VALUE"""),35)</f>
        <v>35</v>
      </c>
      <c r="E87" s="2" t="str">
        <f ca="1">IFERROR(__xludf.DUMMYFUNCTION("""COMPUTED_VALUE"""),"Syrah 24")</f>
        <v>Syrah 24</v>
      </c>
      <c r="F87" s="2">
        <f ca="1">IFERROR(__xludf.DUMMYFUNCTION("""COMPUTED_VALUE"""),15000)</f>
        <v>15000</v>
      </c>
      <c r="G87" s="2">
        <f ca="1">IFERROR(__xludf.DUMMYFUNCTION("""COMPUTED_VALUE"""),24)</f>
        <v>24</v>
      </c>
      <c r="H87" s="2" t="str">
        <f ca="1">IFERROR(__xludf.DUMMYFUNCTION("""COMPUTED_VALUE"""),"44d88f23")</f>
        <v>44d88f23</v>
      </c>
      <c r="I87" s="2" t="str">
        <f ca="1">IFERROR(__xludf.DUMMYFUNCTION("""COMPUTED_VALUE"""),"Tinto La Vendimia")</f>
        <v>Tinto La Vendimia</v>
      </c>
      <c r="J87" s="2">
        <f ca="1">IFERROR(__xludf.DUMMYFUNCTION("""COMPUTED_VALUE"""),100700)</f>
        <v>100700</v>
      </c>
      <c r="K87" s="2">
        <f ca="1">IFERROR(__xludf.DUMMYFUNCTION("""COMPUTED_VALUE"""),115700)</f>
        <v>115700</v>
      </c>
      <c r="L87" s="2" t="str">
        <f ca="1">IFERROR(__xludf.DUMMYFUNCTION("""COMPUTED_VALUE"""),"915299ff")</f>
        <v>915299ff</v>
      </c>
      <c r="M87" s="2" t="str">
        <f ca="1">IFERROR(__xludf.DUMMYFUNCTION("""COMPUTED_VALUE"""),"Tinto La Vendimia")</f>
        <v>Tinto La Vendimia</v>
      </c>
      <c r="N87" s="2"/>
      <c r="O87" s="2" t="str">
        <f ca="1">IFERROR(__xludf.DUMMYFUNCTION("""COMPUTED_VALUE"""),"Terminado")</f>
        <v>Terminado</v>
      </c>
      <c r="P87" s="2" t="str">
        <f ca="1">IFERROR(__xludf.DUMMYFUNCTION("""COMPUTED_VALUE"""),"Terminado")</f>
        <v>Terminado</v>
      </c>
      <c r="Q87" s="2" t="b">
        <f ca="1">IFERROR(__xludf.DUMMYFUNCTION("""COMPUTED_VALUE"""),TRUE)</f>
        <v>1</v>
      </c>
      <c r="R87" s="2" t="str">
        <f ca="1">IFERROR(__xludf.DUMMYFUNCTION("""COMPUTED_VALUE"""),"Terminado")</f>
        <v>Terminado</v>
      </c>
      <c r="S87" s="2"/>
      <c r="T87" s="2"/>
      <c r="U87" s="2"/>
    </row>
    <row r="88" spans="1:21" x14ac:dyDescent="0.25">
      <c r="A88" s="2" t="str">
        <f ca="1">IFERROR(__xludf.DUMMYFUNCTION("""COMPUTED_VALUE"""),"c142ff82")</f>
        <v>c142ff82</v>
      </c>
      <c r="B88" s="3">
        <f ca="1">IFERROR(__xludf.DUMMYFUNCTION("""COMPUTED_VALUE"""),45723.7728125)</f>
        <v>45723.772812499999</v>
      </c>
      <c r="C88" s="2" t="str">
        <f ca="1">IFERROR(__xludf.DUMMYFUNCTION("""COMPUTED_VALUE"""),"91f934c1")</f>
        <v>91f934c1</v>
      </c>
      <c r="D88" s="2">
        <f ca="1">IFERROR(__xludf.DUMMYFUNCTION("""COMPUTED_VALUE"""),35)</f>
        <v>35</v>
      </c>
      <c r="E88" s="2" t="str">
        <f ca="1">IFERROR(__xludf.DUMMYFUNCTION("""COMPUTED_VALUE"""),"Syrah 24")</f>
        <v>Syrah 24</v>
      </c>
      <c r="F88" s="2">
        <f ca="1">IFERROR(__xludf.DUMMYFUNCTION("""COMPUTED_VALUE"""),15500)</f>
        <v>15500</v>
      </c>
      <c r="G88" s="2">
        <f ca="1">IFERROR(__xludf.DUMMYFUNCTION("""COMPUTED_VALUE"""),25)</f>
        <v>25</v>
      </c>
      <c r="H88" s="2" t="str">
        <f ca="1">IFERROR(__xludf.DUMMYFUNCTION("""COMPUTED_VALUE"""),"c4743b1b")</f>
        <v>c4743b1b</v>
      </c>
      <c r="I88" s="2" t="str">
        <f ca="1">IFERROR(__xludf.DUMMYFUNCTION("""COMPUTED_VALUE"""),"Tinto La Vendimia")</f>
        <v>Tinto La Vendimia</v>
      </c>
      <c r="J88" s="2">
        <f ca="1">IFERROR(__xludf.DUMMYFUNCTION("""COMPUTED_VALUE"""),104800)</f>
        <v>104800</v>
      </c>
      <c r="K88" s="2">
        <f ca="1">IFERROR(__xludf.DUMMYFUNCTION("""COMPUTED_VALUE"""),120300)</f>
        <v>120300</v>
      </c>
      <c r="L88" s="2" t="str">
        <f ca="1">IFERROR(__xludf.DUMMYFUNCTION("""COMPUTED_VALUE"""),"0700b55d")</f>
        <v>0700b55d</v>
      </c>
      <c r="M88" s="2" t="str">
        <f ca="1">IFERROR(__xludf.DUMMYFUNCTION("""COMPUTED_VALUE"""),"Tinto La Vendimia")</f>
        <v>Tinto La Vendimia</v>
      </c>
      <c r="N88" s="2"/>
      <c r="O88" s="2" t="str">
        <f ca="1">IFERROR(__xludf.DUMMYFUNCTION("""COMPUTED_VALUE"""),"Terminado")</f>
        <v>Terminado</v>
      </c>
      <c r="P88" s="2" t="str">
        <f ca="1">IFERROR(__xludf.DUMMYFUNCTION("""COMPUTED_VALUE"""),"Terminado")</f>
        <v>Terminado</v>
      </c>
      <c r="Q88" s="2" t="b">
        <f ca="1">IFERROR(__xludf.DUMMYFUNCTION("""COMPUTED_VALUE"""),TRUE)</f>
        <v>1</v>
      </c>
      <c r="R88" s="2" t="str">
        <f ca="1">IFERROR(__xludf.DUMMYFUNCTION("""COMPUTED_VALUE"""),"Terminado")</f>
        <v>Terminado</v>
      </c>
      <c r="S88" s="2"/>
      <c r="T88" s="2"/>
      <c r="U88" s="2"/>
    </row>
    <row r="89" spans="1:21" x14ac:dyDescent="0.25">
      <c r="A89" s="2" t="str">
        <f ca="1">IFERROR(__xludf.DUMMYFUNCTION("""COMPUTED_VALUE"""),"a2ec88ae")</f>
        <v>a2ec88ae</v>
      </c>
      <c r="B89" s="3">
        <f ca="1">IFERROR(__xludf.DUMMYFUNCTION("""COMPUTED_VALUE"""),45723.7734722222)</f>
        <v>45723.773472222201</v>
      </c>
      <c r="C89" s="2" t="str">
        <f ca="1">IFERROR(__xludf.DUMMYFUNCTION("""COMPUTED_VALUE"""),"91f934c1")</f>
        <v>91f934c1</v>
      </c>
      <c r="D89" s="2">
        <f ca="1">IFERROR(__xludf.DUMMYFUNCTION("""COMPUTED_VALUE"""),35)</f>
        <v>35</v>
      </c>
      <c r="E89" s="2" t="str">
        <f ca="1">IFERROR(__xludf.DUMMYFUNCTION("""COMPUTED_VALUE"""),"Syrah 24")</f>
        <v>Syrah 24</v>
      </c>
      <c r="F89" s="2">
        <f ca="1">IFERROR(__xludf.DUMMYFUNCTION("""COMPUTED_VALUE"""),6200)</f>
        <v>6200</v>
      </c>
      <c r="G89" s="2">
        <f ca="1">IFERROR(__xludf.DUMMYFUNCTION("""COMPUTED_VALUE"""),95)</f>
        <v>95</v>
      </c>
      <c r="H89" s="2" t="str">
        <f ca="1">IFERROR(__xludf.DUMMYFUNCTION("""COMPUTED_VALUE"""),"3bd6f9bf")</f>
        <v>3bd6f9bf</v>
      </c>
      <c r="I89" s="2" t="str">
        <f ca="1">IFERROR(__xludf.DUMMYFUNCTION("""COMPUTED_VALUE"""),"Tinto La Vendimia")</f>
        <v>Tinto La Vendimia</v>
      </c>
      <c r="J89" s="2">
        <f ca="1">IFERROR(__xludf.DUMMYFUNCTION("""COMPUTED_VALUE"""),41600)</f>
        <v>41600</v>
      </c>
      <c r="K89" s="2">
        <f ca="1">IFERROR(__xludf.DUMMYFUNCTION("""COMPUTED_VALUE"""),47800)</f>
        <v>47800</v>
      </c>
      <c r="L89" s="2" t="str">
        <f ca="1">IFERROR(__xludf.DUMMYFUNCTION("""COMPUTED_VALUE"""),"df446c40")</f>
        <v>df446c40</v>
      </c>
      <c r="M89" s="2" t="str">
        <f ca="1">IFERROR(__xludf.DUMMYFUNCTION("""COMPUTED_VALUE"""),"Tinto La Vendimia")</f>
        <v>Tinto La Vendimia</v>
      </c>
      <c r="N89" s="2"/>
      <c r="O89" s="2" t="str">
        <f ca="1">IFERROR(__xludf.DUMMYFUNCTION("""COMPUTED_VALUE"""),"Terminado")</f>
        <v>Terminado</v>
      </c>
      <c r="P89" s="2" t="str">
        <f ca="1">IFERROR(__xludf.DUMMYFUNCTION("""COMPUTED_VALUE"""),"Terminado")</f>
        <v>Terminado</v>
      </c>
      <c r="Q89" s="2" t="b">
        <f ca="1">IFERROR(__xludf.DUMMYFUNCTION("""COMPUTED_VALUE"""),TRUE)</f>
        <v>1</v>
      </c>
      <c r="R89" s="2" t="str">
        <f ca="1">IFERROR(__xludf.DUMMYFUNCTION("""COMPUTED_VALUE"""),"Terminado")</f>
        <v>Terminado</v>
      </c>
      <c r="S89" s="2"/>
      <c r="T89" s="2"/>
      <c r="U89" s="2"/>
    </row>
    <row r="90" spans="1:21" x14ac:dyDescent="0.25">
      <c r="A90" s="2" t="str">
        <f ca="1">IFERROR(__xludf.DUMMYFUNCTION("""COMPUTED_VALUE"""),"a390f916")</f>
        <v>a390f916</v>
      </c>
      <c r="B90" s="3">
        <f ca="1">IFERROR(__xludf.DUMMYFUNCTION("""COMPUTED_VALUE"""),45723.7737037037)</f>
        <v>45723.7737037037</v>
      </c>
      <c r="C90" s="2" t="str">
        <f ca="1">IFERROR(__xludf.DUMMYFUNCTION("""COMPUTED_VALUE"""),"91f934c1")</f>
        <v>91f934c1</v>
      </c>
      <c r="D90" s="2">
        <f ca="1">IFERROR(__xludf.DUMMYFUNCTION("""COMPUTED_VALUE"""),35)</f>
        <v>35</v>
      </c>
      <c r="E90" s="2" t="str">
        <f ca="1">IFERROR(__xludf.DUMMYFUNCTION("""COMPUTED_VALUE"""),"Syrah 24")</f>
        <v>Syrah 24</v>
      </c>
      <c r="F90" s="2">
        <f ca="1">IFERROR(__xludf.DUMMYFUNCTION("""COMPUTED_VALUE"""),2600)</f>
        <v>2600</v>
      </c>
      <c r="G90" s="2">
        <f ca="1">IFERROR(__xludf.DUMMYFUNCTION("""COMPUTED_VALUE"""),96)</f>
        <v>96</v>
      </c>
      <c r="H90" s="2" t="str">
        <f ca="1">IFERROR(__xludf.DUMMYFUNCTION("""COMPUTED_VALUE"""),"0799e5db")</f>
        <v>0799e5db</v>
      </c>
      <c r="I90" s="2" t="str">
        <f ca="1">IFERROR(__xludf.DUMMYFUNCTION("""COMPUTED_VALUE"""),"Tinto La Vendimia")</f>
        <v>Tinto La Vendimia</v>
      </c>
      <c r="J90" s="2">
        <f ca="1">IFERROR(__xludf.DUMMYFUNCTION("""COMPUTED_VALUE"""),22600)</f>
        <v>22600</v>
      </c>
      <c r="K90" s="2">
        <f ca="1">IFERROR(__xludf.DUMMYFUNCTION("""COMPUTED_VALUE"""),25200)</f>
        <v>25200</v>
      </c>
      <c r="L90" s="2" t="str">
        <f ca="1">IFERROR(__xludf.DUMMYFUNCTION("""COMPUTED_VALUE"""),"61e7a661")</f>
        <v>61e7a661</v>
      </c>
      <c r="M90" s="2" t="str">
        <f ca="1">IFERROR(__xludf.DUMMYFUNCTION("""COMPUTED_VALUE"""),"Tinto La Vendimia")</f>
        <v>Tinto La Vendimia</v>
      </c>
      <c r="N90" s="2"/>
      <c r="O90" s="2" t="str">
        <f ca="1">IFERROR(__xludf.DUMMYFUNCTION("""COMPUTED_VALUE"""),"Terminado")</f>
        <v>Terminado</v>
      </c>
      <c r="P90" s="2" t="str">
        <f ca="1">IFERROR(__xludf.DUMMYFUNCTION("""COMPUTED_VALUE"""),"Terminado")</f>
        <v>Terminado</v>
      </c>
      <c r="Q90" s="2" t="b">
        <f ca="1">IFERROR(__xludf.DUMMYFUNCTION("""COMPUTED_VALUE"""),TRUE)</f>
        <v>1</v>
      </c>
      <c r="R90" s="2" t="str">
        <f ca="1">IFERROR(__xludf.DUMMYFUNCTION("""COMPUTED_VALUE"""),"Terminado")</f>
        <v>Terminado</v>
      </c>
      <c r="S90" s="2"/>
      <c r="T90" s="2"/>
      <c r="U90" s="2"/>
    </row>
    <row r="91" spans="1:21" x14ac:dyDescent="0.25">
      <c r="A91" s="2" t="str">
        <f ca="1">IFERROR(__xludf.DUMMYFUNCTION("""COMPUTED_VALUE"""),"2d51a36a")</f>
        <v>2d51a36a</v>
      </c>
      <c r="B91" s="3">
        <f ca="1">IFERROR(__xludf.DUMMYFUNCTION("""COMPUTED_VALUE"""),45723.7931712962)</f>
        <v>45723.793171296202</v>
      </c>
      <c r="C91" s="2" t="str">
        <f ca="1">IFERROR(__xludf.DUMMYFUNCTION("""COMPUTED_VALUE"""),"0835b42b")</f>
        <v>0835b42b</v>
      </c>
      <c r="D91" s="2">
        <f ca="1">IFERROR(__xludf.DUMMYFUNCTION("""COMPUTED_VALUE"""),102)</f>
        <v>102</v>
      </c>
      <c r="E91" s="2" t="str">
        <f ca="1">IFERROR(__xludf.DUMMYFUNCTION("""COMPUTED_VALUE"""),"Aspirant")</f>
        <v>Aspirant</v>
      </c>
      <c r="F91" s="2">
        <f ca="1">IFERROR(__xludf.DUMMYFUNCTION("""COMPUTED_VALUE"""),2700)</f>
        <v>2700</v>
      </c>
      <c r="G91" s="2">
        <f ca="1">IFERROR(__xludf.DUMMYFUNCTION("""COMPUTED_VALUE"""),95)</f>
        <v>95</v>
      </c>
      <c r="H91" s="2" t="str">
        <f ca="1">IFERROR(__xludf.DUMMYFUNCTION("""COMPUTED_VALUE"""),"df446c40")</f>
        <v>df446c40</v>
      </c>
      <c r="I91" s="2" t="str">
        <f ca="1">IFERROR(__xludf.DUMMYFUNCTION("""COMPUTED_VALUE"""),"Tinto La Vendimia")</f>
        <v>Tinto La Vendimia</v>
      </c>
      <c r="J91" s="2">
        <f ca="1">IFERROR(__xludf.DUMMYFUNCTION("""COMPUTED_VALUE"""),47800)</f>
        <v>47800</v>
      </c>
      <c r="K91" s="2">
        <f ca="1">IFERROR(__xludf.DUMMYFUNCTION("""COMPUTED_VALUE"""),50500)</f>
        <v>50500</v>
      </c>
      <c r="L91" s="2" t="str">
        <f ca="1">IFERROR(__xludf.DUMMYFUNCTION("""COMPUTED_VALUE"""),"83cb5e85")</f>
        <v>83cb5e85</v>
      </c>
      <c r="M91" s="2" t="str">
        <f ca="1">IFERROR(__xludf.DUMMYFUNCTION("""COMPUTED_VALUE"""),"Tinto La Vendimia")</f>
        <v>Tinto La Vendimia</v>
      </c>
      <c r="N91" s="2"/>
      <c r="O91" s="2" t="str">
        <f ca="1">IFERROR(__xludf.DUMMYFUNCTION("""COMPUTED_VALUE"""),"Descubada")</f>
        <v>Descubada</v>
      </c>
      <c r="P91" s="2" t="str">
        <f ca="1">IFERROR(__xludf.DUMMYFUNCTION("""COMPUTED_VALUE"""),"Terminado")</f>
        <v>Terminado</v>
      </c>
      <c r="Q91" s="2" t="b">
        <f ca="1">IFERROR(__xludf.DUMMYFUNCTION("""COMPUTED_VALUE"""),TRUE)</f>
        <v>1</v>
      </c>
      <c r="R91" s="2" t="str">
        <f ca="1">IFERROR(__xludf.DUMMYFUNCTION("""COMPUTED_VALUE"""),"Terminado")</f>
        <v>Terminado</v>
      </c>
      <c r="S91" s="2"/>
      <c r="T91" s="2"/>
      <c r="U91" s="2"/>
    </row>
    <row r="92" spans="1:21" x14ac:dyDescent="0.25">
      <c r="A92" s="2" t="str">
        <f ca="1">IFERROR(__xludf.DUMMYFUNCTION("""COMPUTED_VALUE"""),"723d4d28")</f>
        <v>723d4d28</v>
      </c>
      <c r="B92" s="3">
        <f ca="1">IFERROR(__xludf.DUMMYFUNCTION("""COMPUTED_VALUE"""),45723.7941435185)</f>
        <v>45723.794143518498</v>
      </c>
      <c r="C92" s="2" t="str">
        <f ca="1">IFERROR(__xludf.DUMMYFUNCTION("""COMPUTED_VALUE"""),"0835b42b")</f>
        <v>0835b42b</v>
      </c>
      <c r="D92" s="2">
        <f ca="1">IFERROR(__xludf.DUMMYFUNCTION("""COMPUTED_VALUE"""),102)</f>
        <v>102</v>
      </c>
      <c r="E92" s="2" t="str">
        <f ca="1">IFERROR(__xludf.DUMMYFUNCTION("""COMPUTED_VALUE"""),"Aspirant")</f>
        <v>Aspirant</v>
      </c>
      <c r="F92" s="2">
        <f ca="1">IFERROR(__xludf.DUMMYFUNCTION("""COMPUTED_VALUE"""),1100)</f>
        <v>1100</v>
      </c>
      <c r="G92" s="2">
        <f ca="1">IFERROR(__xludf.DUMMYFUNCTION("""COMPUTED_VALUE"""),96)</f>
        <v>96</v>
      </c>
      <c r="H92" s="2" t="str">
        <f ca="1">IFERROR(__xludf.DUMMYFUNCTION("""COMPUTED_VALUE"""),"61e7a661")</f>
        <v>61e7a661</v>
      </c>
      <c r="I92" s="2" t="str">
        <f ca="1">IFERROR(__xludf.DUMMYFUNCTION("""COMPUTED_VALUE"""),"Tinto La Vendimia")</f>
        <v>Tinto La Vendimia</v>
      </c>
      <c r="J92" s="2">
        <f ca="1">IFERROR(__xludf.DUMMYFUNCTION("""COMPUTED_VALUE"""),25200)</f>
        <v>25200</v>
      </c>
      <c r="K92" s="2">
        <f ca="1">IFERROR(__xludf.DUMMYFUNCTION("""COMPUTED_VALUE"""),26300)</f>
        <v>26300</v>
      </c>
      <c r="L92" s="2" t="str">
        <f ca="1">IFERROR(__xludf.DUMMYFUNCTION("""COMPUTED_VALUE"""),"9c2bc1c1")</f>
        <v>9c2bc1c1</v>
      </c>
      <c r="M92" s="2" t="str">
        <f ca="1">IFERROR(__xludf.DUMMYFUNCTION("""COMPUTED_VALUE"""),"Tinto La Vendimia")</f>
        <v>Tinto La Vendimia</v>
      </c>
      <c r="N92" s="2"/>
      <c r="O92" s="2" t="str">
        <f ca="1">IFERROR(__xludf.DUMMYFUNCTION("""COMPUTED_VALUE"""),"Descubada")</f>
        <v>Descubada</v>
      </c>
      <c r="P92" s="2" t="str">
        <f ca="1">IFERROR(__xludf.DUMMYFUNCTION("""COMPUTED_VALUE"""),"Terminado")</f>
        <v>Terminado</v>
      </c>
      <c r="Q92" s="2" t="b">
        <f ca="1">IFERROR(__xludf.DUMMYFUNCTION("""COMPUTED_VALUE"""),TRUE)</f>
        <v>1</v>
      </c>
      <c r="R92" s="2" t="str">
        <f ca="1">IFERROR(__xludf.DUMMYFUNCTION("""COMPUTED_VALUE"""),"Terminado")</f>
        <v>Terminado</v>
      </c>
      <c r="S92" s="2"/>
      <c r="T92" s="2"/>
      <c r="U92" s="2"/>
    </row>
    <row r="93" spans="1:21" x14ac:dyDescent="0.25">
      <c r="A93" s="2" t="str">
        <f ca="1">IFERROR(__xludf.DUMMYFUNCTION("""COMPUTED_VALUE"""),"222dbe9a")</f>
        <v>222dbe9a</v>
      </c>
      <c r="B93" s="3">
        <f ca="1">IFERROR(__xludf.DUMMYFUNCTION("""COMPUTED_VALUE"""),45723.7960416666)</f>
        <v>45723.796041666603</v>
      </c>
      <c r="C93" s="2" t="str">
        <f ca="1">IFERROR(__xludf.DUMMYFUNCTION("""COMPUTED_VALUE"""),"0835b42b")</f>
        <v>0835b42b</v>
      </c>
      <c r="D93" s="2">
        <f ca="1">IFERROR(__xludf.DUMMYFUNCTION("""COMPUTED_VALUE"""),102)</f>
        <v>102</v>
      </c>
      <c r="E93" s="2" t="str">
        <f ca="1">IFERROR(__xludf.DUMMYFUNCTION("""COMPUTED_VALUE"""),"Aspirant")</f>
        <v>Aspirant</v>
      </c>
      <c r="F93" s="2">
        <f ca="1">IFERROR(__xludf.DUMMYFUNCTION("""COMPUTED_VALUE"""),6500)</f>
        <v>6500</v>
      </c>
      <c r="G93" s="2">
        <f ca="1">IFERROR(__xludf.DUMMYFUNCTION("""COMPUTED_VALUE"""),24)</f>
        <v>24</v>
      </c>
      <c r="H93" s="2" t="str">
        <f ca="1">IFERROR(__xludf.DUMMYFUNCTION("""COMPUTED_VALUE"""),"915299ff")</f>
        <v>915299ff</v>
      </c>
      <c r="I93" s="2" t="str">
        <f ca="1">IFERROR(__xludf.DUMMYFUNCTION("""COMPUTED_VALUE"""),"Tinto La Vendimia")</f>
        <v>Tinto La Vendimia</v>
      </c>
      <c r="J93" s="2">
        <f ca="1">IFERROR(__xludf.DUMMYFUNCTION("""COMPUTED_VALUE"""),115700)</f>
        <v>115700</v>
      </c>
      <c r="K93" s="2">
        <f ca="1">IFERROR(__xludf.DUMMYFUNCTION("""COMPUTED_VALUE"""),122200)</f>
        <v>122200</v>
      </c>
      <c r="L93" s="2" t="str">
        <f ca="1">IFERROR(__xludf.DUMMYFUNCTION("""COMPUTED_VALUE"""),"66440ff8")</f>
        <v>66440ff8</v>
      </c>
      <c r="M93" s="2" t="str">
        <f ca="1">IFERROR(__xludf.DUMMYFUNCTION("""COMPUTED_VALUE"""),"Tinto La Vendimia")</f>
        <v>Tinto La Vendimia</v>
      </c>
      <c r="N93" s="2"/>
      <c r="O93" s="2" t="str">
        <f ca="1">IFERROR(__xludf.DUMMYFUNCTION("""COMPUTED_VALUE"""),"Descubada")</f>
        <v>Descubada</v>
      </c>
      <c r="P93" s="2" t="str">
        <f ca="1">IFERROR(__xludf.DUMMYFUNCTION("""COMPUTED_VALUE"""),"Terminado")</f>
        <v>Terminado</v>
      </c>
      <c r="Q93" s="2" t="b">
        <f ca="1">IFERROR(__xludf.DUMMYFUNCTION("""COMPUTED_VALUE"""),TRUE)</f>
        <v>1</v>
      </c>
      <c r="R93" s="2" t="str">
        <f ca="1">IFERROR(__xludf.DUMMYFUNCTION("""COMPUTED_VALUE"""),"Terminado")</f>
        <v>Terminado</v>
      </c>
      <c r="S93" s="2"/>
      <c r="T93" s="2"/>
      <c r="U93" s="2"/>
    </row>
    <row r="94" spans="1:21" x14ac:dyDescent="0.25">
      <c r="A94" s="2" t="str">
        <f ca="1">IFERROR(__xludf.DUMMYFUNCTION("""COMPUTED_VALUE"""),"81e90a51")</f>
        <v>81e90a51</v>
      </c>
      <c r="B94" s="3">
        <f ca="1">IFERROR(__xludf.DUMMYFUNCTION("""COMPUTED_VALUE"""),45723.7969328703)</f>
        <v>45723.796932870297</v>
      </c>
      <c r="C94" s="2" t="str">
        <f ca="1">IFERROR(__xludf.DUMMYFUNCTION("""COMPUTED_VALUE"""),"0835b42b")</f>
        <v>0835b42b</v>
      </c>
      <c r="D94" s="2">
        <f ca="1">IFERROR(__xludf.DUMMYFUNCTION("""COMPUTED_VALUE"""),102)</f>
        <v>102</v>
      </c>
      <c r="E94" s="2" t="str">
        <f ca="1">IFERROR(__xludf.DUMMYFUNCTION("""COMPUTED_VALUE"""),"Aspirant")</f>
        <v>Aspirant</v>
      </c>
      <c r="F94" s="2">
        <f ca="1">IFERROR(__xludf.DUMMYFUNCTION("""COMPUTED_VALUE"""),6800)</f>
        <v>6800</v>
      </c>
      <c r="G94" s="2">
        <f ca="1">IFERROR(__xludf.DUMMYFUNCTION("""COMPUTED_VALUE"""),25)</f>
        <v>25</v>
      </c>
      <c r="H94" s="2" t="str">
        <f ca="1">IFERROR(__xludf.DUMMYFUNCTION("""COMPUTED_VALUE"""),"0700b55d")</f>
        <v>0700b55d</v>
      </c>
      <c r="I94" s="2" t="str">
        <f ca="1">IFERROR(__xludf.DUMMYFUNCTION("""COMPUTED_VALUE"""),"Tinto La Vendimia")</f>
        <v>Tinto La Vendimia</v>
      </c>
      <c r="J94" s="2">
        <f ca="1">IFERROR(__xludf.DUMMYFUNCTION("""COMPUTED_VALUE"""),120300)</f>
        <v>120300</v>
      </c>
      <c r="K94" s="2">
        <f ca="1">IFERROR(__xludf.DUMMYFUNCTION("""COMPUTED_VALUE"""),127100)</f>
        <v>127100</v>
      </c>
      <c r="L94" s="2" t="str">
        <f ca="1">IFERROR(__xludf.DUMMYFUNCTION("""COMPUTED_VALUE"""),"c883c10a")</f>
        <v>c883c10a</v>
      </c>
      <c r="M94" s="2" t="str">
        <f ca="1">IFERROR(__xludf.DUMMYFUNCTION("""COMPUTED_VALUE"""),"Tinto La Vendimia")</f>
        <v>Tinto La Vendimia</v>
      </c>
      <c r="N94" s="2"/>
      <c r="O94" s="2" t="str">
        <f ca="1">IFERROR(__xludf.DUMMYFUNCTION("""COMPUTED_VALUE"""),"Descubada")</f>
        <v>Descubada</v>
      </c>
      <c r="P94" s="2" t="str">
        <f ca="1">IFERROR(__xludf.DUMMYFUNCTION("""COMPUTED_VALUE"""),"Terminado")</f>
        <v>Terminado</v>
      </c>
      <c r="Q94" s="2" t="b">
        <f ca="1">IFERROR(__xludf.DUMMYFUNCTION("""COMPUTED_VALUE"""),TRUE)</f>
        <v>1</v>
      </c>
      <c r="R94" s="2" t="str">
        <f ca="1">IFERROR(__xludf.DUMMYFUNCTION("""COMPUTED_VALUE"""),"Terminado")</f>
        <v>Terminado</v>
      </c>
      <c r="S94" s="2"/>
      <c r="T94" s="2"/>
      <c r="U94" s="2"/>
    </row>
    <row r="95" spans="1:21" x14ac:dyDescent="0.25">
      <c r="A95" s="2" t="str">
        <f ca="1">IFERROR(__xludf.DUMMYFUNCTION("""COMPUTED_VALUE"""),"6e74d342")</f>
        <v>6e74d342</v>
      </c>
      <c r="B95" s="3">
        <f ca="1">IFERROR(__xludf.DUMMYFUNCTION("""COMPUTED_VALUE"""),45723.8021643518)</f>
        <v>45723.8021643518</v>
      </c>
      <c r="C95" s="2" t="str">
        <f ca="1">IFERROR(__xludf.DUMMYFUNCTION("""COMPUTED_VALUE"""),"904bbb40")</f>
        <v>904bbb40</v>
      </c>
      <c r="D95" s="2">
        <f ca="1">IFERROR(__xludf.DUMMYFUNCTION("""COMPUTED_VALUE"""),90)</f>
        <v>90</v>
      </c>
      <c r="E95" s="2" t="str">
        <f ca="1">IFERROR(__xludf.DUMMYFUNCTION("""COMPUTED_VALUE"""),"Syrah 24")</f>
        <v>Syrah 24</v>
      </c>
      <c r="F95" s="2">
        <f ca="1">IFERROR(__xludf.DUMMYFUNCTION("""COMPUTED_VALUE"""),37100)</f>
        <v>37100</v>
      </c>
      <c r="G95" s="2">
        <f ca="1">IFERROR(__xludf.DUMMYFUNCTION("""COMPUTED_VALUE"""),24)</f>
        <v>24</v>
      </c>
      <c r="H95" s="2" t="str">
        <f ca="1">IFERROR(__xludf.DUMMYFUNCTION("""COMPUTED_VALUE"""),"66440ff8")</f>
        <v>66440ff8</v>
      </c>
      <c r="I95" s="2" t="str">
        <f ca="1">IFERROR(__xludf.DUMMYFUNCTION("""COMPUTED_VALUE"""),"Tinto La Vendimia")</f>
        <v>Tinto La Vendimia</v>
      </c>
      <c r="J95" s="2">
        <f ca="1">IFERROR(__xludf.DUMMYFUNCTION("""COMPUTED_VALUE"""),122200)</f>
        <v>122200</v>
      </c>
      <c r="K95" s="2">
        <f ca="1">IFERROR(__xludf.DUMMYFUNCTION("""COMPUTED_VALUE"""),159300)</f>
        <v>159300</v>
      </c>
      <c r="L95" s="2" t="str">
        <f ca="1">IFERROR(__xludf.DUMMYFUNCTION("""COMPUTED_VALUE"""),"8a8f8909")</f>
        <v>8a8f8909</v>
      </c>
      <c r="M95" s="2" t="str">
        <f ca="1">IFERROR(__xludf.DUMMYFUNCTION("""COMPUTED_VALUE"""),"Tinto La Vendimia")</f>
        <v>Tinto La Vendimia</v>
      </c>
      <c r="N95" s="2"/>
      <c r="O95" s="2" t="str">
        <f ca="1">IFERROR(__xludf.DUMMYFUNCTION("""COMPUTED_VALUE"""),"Terminado")</f>
        <v>Terminado</v>
      </c>
      <c r="P95" s="2" t="str">
        <f ca="1">IFERROR(__xludf.DUMMYFUNCTION("""COMPUTED_VALUE"""),"Terminado")</f>
        <v>Terminado</v>
      </c>
      <c r="Q95" s="2" t="b">
        <f ca="1">IFERROR(__xludf.DUMMYFUNCTION("""COMPUTED_VALUE"""),TRUE)</f>
        <v>1</v>
      </c>
      <c r="R95" s="2" t="str">
        <f ca="1">IFERROR(__xludf.DUMMYFUNCTION("""COMPUTED_VALUE"""),"Terminado")</f>
        <v>Terminado</v>
      </c>
      <c r="S95" s="2"/>
      <c r="T95" s="2"/>
      <c r="U95" s="2"/>
    </row>
    <row r="96" spans="1:21" x14ac:dyDescent="0.25">
      <c r="A96" s="2" t="str">
        <f ca="1">IFERROR(__xludf.DUMMYFUNCTION("""COMPUTED_VALUE"""),"4221e61a")</f>
        <v>4221e61a</v>
      </c>
      <c r="B96" s="3">
        <f ca="1">IFERROR(__xludf.DUMMYFUNCTION("""COMPUTED_VALUE"""),45723.8025347222)</f>
        <v>45723.802534722199</v>
      </c>
      <c r="C96" s="2" t="str">
        <f ca="1">IFERROR(__xludf.DUMMYFUNCTION("""COMPUTED_VALUE"""),"904bbb40")</f>
        <v>904bbb40</v>
      </c>
      <c r="D96" s="2">
        <f ca="1">IFERROR(__xludf.DUMMYFUNCTION("""COMPUTED_VALUE"""),90)</f>
        <v>90</v>
      </c>
      <c r="E96" s="2" t="str">
        <f ca="1">IFERROR(__xludf.DUMMYFUNCTION("""COMPUTED_VALUE"""),"Syrah 24")</f>
        <v>Syrah 24</v>
      </c>
      <c r="F96" s="2">
        <f ca="1">IFERROR(__xludf.DUMMYFUNCTION("""COMPUTED_VALUE"""),38600)</f>
        <v>38600</v>
      </c>
      <c r="G96" s="2">
        <f ca="1">IFERROR(__xludf.DUMMYFUNCTION("""COMPUTED_VALUE"""),25)</f>
        <v>25</v>
      </c>
      <c r="H96" s="2" t="str">
        <f ca="1">IFERROR(__xludf.DUMMYFUNCTION("""COMPUTED_VALUE"""),"c883c10a")</f>
        <v>c883c10a</v>
      </c>
      <c r="I96" s="2" t="str">
        <f ca="1">IFERROR(__xludf.DUMMYFUNCTION("""COMPUTED_VALUE"""),"Tinto La Vendimia")</f>
        <v>Tinto La Vendimia</v>
      </c>
      <c r="J96" s="2">
        <f ca="1">IFERROR(__xludf.DUMMYFUNCTION("""COMPUTED_VALUE"""),127100)</f>
        <v>127100</v>
      </c>
      <c r="K96" s="2">
        <f ca="1">IFERROR(__xludf.DUMMYFUNCTION("""COMPUTED_VALUE"""),165700)</f>
        <v>165700</v>
      </c>
      <c r="L96" s="2" t="str">
        <f ca="1">IFERROR(__xludf.DUMMYFUNCTION("""COMPUTED_VALUE"""),"a826dd70")</f>
        <v>a826dd70</v>
      </c>
      <c r="M96" s="2" t="str">
        <f ca="1">IFERROR(__xludf.DUMMYFUNCTION("""COMPUTED_VALUE"""),"Tinto La Vendimia")</f>
        <v>Tinto La Vendimia</v>
      </c>
      <c r="N96" s="2"/>
      <c r="O96" s="2" t="str">
        <f ca="1">IFERROR(__xludf.DUMMYFUNCTION("""COMPUTED_VALUE"""),"Terminado")</f>
        <v>Terminado</v>
      </c>
      <c r="P96" s="2" t="str">
        <f ca="1">IFERROR(__xludf.DUMMYFUNCTION("""COMPUTED_VALUE"""),"Terminado")</f>
        <v>Terminado</v>
      </c>
      <c r="Q96" s="2" t="b">
        <f ca="1">IFERROR(__xludf.DUMMYFUNCTION("""COMPUTED_VALUE"""),TRUE)</f>
        <v>1</v>
      </c>
      <c r="R96" s="2" t="str">
        <f ca="1">IFERROR(__xludf.DUMMYFUNCTION("""COMPUTED_VALUE"""),"Terminado")</f>
        <v>Terminado</v>
      </c>
      <c r="S96" s="2"/>
      <c r="T96" s="2"/>
      <c r="U96" s="2"/>
    </row>
    <row r="97" spans="1:21" x14ac:dyDescent="0.25">
      <c r="A97" s="2" t="str">
        <f ca="1">IFERROR(__xludf.DUMMYFUNCTION("""COMPUTED_VALUE"""),"fd5743ab")</f>
        <v>fd5743ab</v>
      </c>
      <c r="B97" s="3">
        <f ca="1">IFERROR(__xludf.DUMMYFUNCTION("""COMPUTED_VALUE"""),45723.8031134259)</f>
        <v>45723.8031134259</v>
      </c>
      <c r="C97" s="2" t="str">
        <f ca="1">IFERROR(__xludf.DUMMYFUNCTION("""COMPUTED_VALUE"""),"904bbb40")</f>
        <v>904bbb40</v>
      </c>
      <c r="D97" s="2">
        <f ca="1">IFERROR(__xludf.DUMMYFUNCTION("""COMPUTED_VALUE"""),90)</f>
        <v>90</v>
      </c>
      <c r="E97" s="2" t="str">
        <f ca="1">IFERROR(__xludf.DUMMYFUNCTION("""COMPUTED_VALUE"""),"Syrah 24")</f>
        <v>Syrah 24</v>
      </c>
      <c r="F97" s="2">
        <f ca="1">IFERROR(__xludf.DUMMYFUNCTION("""COMPUTED_VALUE"""),15000)</f>
        <v>15000</v>
      </c>
      <c r="G97" s="2">
        <f ca="1">IFERROR(__xludf.DUMMYFUNCTION("""COMPUTED_VALUE"""),95)</f>
        <v>95</v>
      </c>
      <c r="H97" s="2" t="str">
        <f ca="1">IFERROR(__xludf.DUMMYFUNCTION("""COMPUTED_VALUE"""),"83cb5e85")</f>
        <v>83cb5e85</v>
      </c>
      <c r="I97" s="2" t="str">
        <f ca="1">IFERROR(__xludf.DUMMYFUNCTION("""COMPUTED_VALUE"""),"Tinto La Vendimia")</f>
        <v>Tinto La Vendimia</v>
      </c>
      <c r="J97" s="2">
        <f ca="1">IFERROR(__xludf.DUMMYFUNCTION("""COMPUTED_VALUE"""),50500)</f>
        <v>50500</v>
      </c>
      <c r="K97" s="2">
        <f ca="1">IFERROR(__xludf.DUMMYFUNCTION("""COMPUTED_VALUE"""),65500)</f>
        <v>65500</v>
      </c>
      <c r="L97" s="2" t="str">
        <f ca="1">IFERROR(__xludf.DUMMYFUNCTION("""COMPUTED_VALUE"""),"0b1b410b")</f>
        <v>0b1b410b</v>
      </c>
      <c r="M97" s="2" t="str">
        <f ca="1">IFERROR(__xludf.DUMMYFUNCTION("""COMPUTED_VALUE"""),"Tinto La Vendimia")</f>
        <v>Tinto La Vendimia</v>
      </c>
      <c r="N97" s="2"/>
      <c r="O97" s="2" t="str">
        <f ca="1">IFERROR(__xludf.DUMMYFUNCTION("""COMPUTED_VALUE"""),"Terminado")</f>
        <v>Terminado</v>
      </c>
      <c r="P97" s="2" t="str">
        <f ca="1">IFERROR(__xludf.DUMMYFUNCTION("""COMPUTED_VALUE"""),"Terminado")</f>
        <v>Terminado</v>
      </c>
      <c r="Q97" s="2" t="b">
        <f ca="1">IFERROR(__xludf.DUMMYFUNCTION("""COMPUTED_VALUE"""),TRUE)</f>
        <v>1</v>
      </c>
      <c r="R97" s="2" t="str">
        <f ca="1">IFERROR(__xludf.DUMMYFUNCTION("""COMPUTED_VALUE"""),"Terminado")</f>
        <v>Terminado</v>
      </c>
      <c r="S97" s="2"/>
      <c r="T97" s="2"/>
      <c r="U97" s="2"/>
    </row>
    <row r="98" spans="1:21" x14ac:dyDescent="0.25">
      <c r="A98" s="2" t="str">
        <f ca="1">IFERROR(__xludf.DUMMYFUNCTION("""COMPUTED_VALUE"""),"707a6f97")</f>
        <v>707a6f97</v>
      </c>
      <c r="B98" s="3">
        <f ca="1">IFERROR(__xludf.DUMMYFUNCTION("""COMPUTED_VALUE"""),45723.8036342592)</f>
        <v>45723.803634259202</v>
      </c>
      <c r="C98" s="2" t="str">
        <f ca="1">IFERROR(__xludf.DUMMYFUNCTION("""COMPUTED_VALUE"""),"904bbb40")</f>
        <v>904bbb40</v>
      </c>
      <c r="D98" s="2">
        <f ca="1">IFERROR(__xludf.DUMMYFUNCTION("""COMPUTED_VALUE"""),90)</f>
        <v>90</v>
      </c>
      <c r="E98" s="2" t="str">
        <f ca="1">IFERROR(__xludf.DUMMYFUNCTION("""COMPUTED_VALUE"""),"Syrah 24")</f>
        <v>Syrah 24</v>
      </c>
      <c r="F98" s="2">
        <f ca="1">IFERROR(__xludf.DUMMYFUNCTION("""COMPUTED_VALUE"""),6800)</f>
        <v>6800</v>
      </c>
      <c r="G98" s="2">
        <f ca="1">IFERROR(__xludf.DUMMYFUNCTION("""COMPUTED_VALUE"""),96)</f>
        <v>96</v>
      </c>
      <c r="H98" s="2" t="str">
        <f ca="1">IFERROR(__xludf.DUMMYFUNCTION("""COMPUTED_VALUE"""),"9c2bc1c1")</f>
        <v>9c2bc1c1</v>
      </c>
      <c r="I98" s="2" t="str">
        <f ca="1">IFERROR(__xludf.DUMMYFUNCTION("""COMPUTED_VALUE"""),"Tinto La Vendimia")</f>
        <v>Tinto La Vendimia</v>
      </c>
      <c r="J98" s="2">
        <f ca="1">IFERROR(__xludf.DUMMYFUNCTION("""COMPUTED_VALUE"""),26300)</f>
        <v>26300</v>
      </c>
      <c r="K98" s="2">
        <f ca="1">IFERROR(__xludf.DUMMYFUNCTION("""COMPUTED_VALUE"""),33100)</f>
        <v>33100</v>
      </c>
      <c r="L98" s="2" t="str">
        <f ca="1">IFERROR(__xludf.DUMMYFUNCTION("""COMPUTED_VALUE"""),"cdd54045")</f>
        <v>cdd54045</v>
      </c>
      <c r="M98" s="2" t="str">
        <f ca="1">IFERROR(__xludf.DUMMYFUNCTION("""COMPUTED_VALUE"""),"Tinto La Vendimia")</f>
        <v>Tinto La Vendimia</v>
      </c>
      <c r="N98" s="2"/>
      <c r="O98" s="2" t="str">
        <f ca="1">IFERROR(__xludf.DUMMYFUNCTION("""COMPUTED_VALUE"""),"Terminado")</f>
        <v>Terminado</v>
      </c>
      <c r="P98" s="2" t="str">
        <f ca="1">IFERROR(__xludf.DUMMYFUNCTION("""COMPUTED_VALUE"""),"Terminado")</f>
        <v>Terminado</v>
      </c>
      <c r="Q98" s="2" t="b">
        <f ca="1">IFERROR(__xludf.DUMMYFUNCTION("""COMPUTED_VALUE"""),TRUE)</f>
        <v>1</v>
      </c>
      <c r="R98" s="2" t="str">
        <f ca="1">IFERROR(__xludf.DUMMYFUNCTION("""COMPUTED_VALUE"""),"Terminado")</f>
        <v>Terminado</v>
      </c>
      <c r="S98" s="2"/>
      <c r="T98" s="2"/>
      <c r="U98" s="2"/>
    </row>
    <row r="99" spans="1:21" x14ac:dyDescent="0.25">
      <c r="A99" s="2" t="str">
        <f ca="1">IFERROR(__xludf.DUMMYFUNCTION("""COMPUTED_VALUE"""),"af0ffa93")</f>
        <v>af0ffa93</v>
      </c>
      <c r="B99" s="3">
        <f ca="1">IFERROR(__xludf.DUMMYFUNCTION("""COMPUTED_VALUE"""),45723.8191087963)</f>
        <v>45723.819108796299</v>
      </c>
      <c r="C99" s="2" t="str">
        <f ca="1">IFERROR(__xludf.DUMMYFUNCTION("""COMPUTED_VALUE"""),"fe114136")</f>
        <v>fe114136</v>
      </c>
      <c r="D99" s="2">
        <f ca="1">IFERROR(__xludf.DUMMYFUNCTION("""COMPUTED_VALUE"""),67)</f>
        <v>67</v>
      </c>
      <c r="E99" s="2" t="str">
        <f ca="1">IFERROR(__xludf.DUMMYFUNCTION("""COMPUTED_VALUE"""),"Malbec 24")</f>
        <v>Malbec 24</v>
      </c>
      <c r="F99" s="2">
        <f ca="1">IFERROR(__xludf.DUMMYFUNCTION("""COMPUTED_VALUE"""),3600)</f>
        <v>3600</v>
      </c>
      <c r="G99" s="2">
        <f ca="1">IFERROR(__xludf.DUMMYFUNCTION("""COMPUTED_VALUE"""),95)</f>
        <v>95</v>
      </c>
      <c r="H99" s="2" t="str">
        <f ca="1">IFERROR(__xludf.DUMMYFUNCTION("""COMPUTED_VALUE"""),"0b1b410b")</f>
        <v>0b1b410b</v>
      </c>
      <c r="I99" s="2" t="str">
        <f ca="1">IFERROR(__xludf.DUMMYFUNCTION("""COMPUTED_VALUE"""),"Tinto La Vendimia")</f>
        <v>Tinto La Vendimia</v>
      </c>
      <c r="J99" s="2">
        <f ca="1">IFERROR(__xludf.DUMMYFUNCTION("""COMPUTED_VALUE"""),65500)</f>
        <v>65500</v>
      </c>
      <c r="K99" s="2">
        <f ca="1">IFERROR(__xludf.DUMMYFUNCTION("""COMPUTED_VALUE"""),69100)</f>
        <v>69100</v>
      </c>
      <c r="L99" s="2" t="str">
        <f ca="1">IFERROR(__xludf.DUMMYFUNCTION("""COMPUTED_VALUE"""),"69fc871f")</f>
        <v>69fc871f</v>
      </c>
      <c r="M99" s="2" t="str">
        <f ca="1">IFERROR(__xludf.DUMMYFUNCTION("""COMPUTED_VALUE"""),"Tinto La Vendimia")</f>
        <v>Tinto La Vendimia</v>
      </c>
      <c r="N99" s="2"/>
      <c r="O99" s="2" t="str">
        <f ca="1">IFERROR(__xludf.DUMMYFUNCTION("""COMPUTED_VALUE"""),"Terminado")</f>
        <v>Terminado</v>
      </c>
      <c r="P99" s="2" t="str">
        <f ca="1">IFERROR(__xludf.DUMMYFUNCTION("""COMPUTED_VALUE"""),"Terminado")</f>
        <v>Terminado</v>
      </c>
      <c r="Q99" s="2" t="b">
        <f ca="1">IFERROR(__xludf.DUMMYFUNCTION("""COMPUTED_VALUE"""),TRUE)</f>
        <v>1</v>
      </c>
      <c r="R99" s="2" t="str">
        <f ca="1">IFERROR(__xludf.DUMMYFUNCTION("""COMPUTED_VALUE"""),"Terminado")</f>
        <v>Terminado</v>
      </c>
      <c r="S99" s="2"/>
      <c r="T99" s="2"/>
      <c r="U99" s="2"/>
    </row>
    <row r="100" spans="1:21" x14ac:dyDescent="0.25">
      <c r="A100" s="2" t="str">
        <f ca="1">IFERROR(__xludf.DUMMYFUNCTION("""COMPUTED_VALUE"""),"9804f7ca")</f>
        <v>9804f7ca</v>
      </c>
      <c r="B100" s="3">
        <f ca="1">IFERROR(__xludf.DUMMYFUNCTION("""COMPUTED_VALUE"""),45723.819699074)</f>
        <v>45723.819699074003</v>
      </c>
      <c r="C100" s="2" t="str">
        <f ca="1">IFERROR(__xludf.DUMMYFUNCTION("""COMPUTED_VALUE"""),"fe114136")</f>
        <v>fe114136</v>
      </c>
      <c r="D100" s="2">
        <f ca="1">IFERROR(__xludf.DUMMYFUNCTION("""COMPUTED_VALUE"""),67)</f>
        <v>67</v>
      </c>
      <c r="E100" s="2" t="str">
        <f ca="1">IFERROR(__xludf.DUMMYFUNCTION("""COMPUTED_VALUE"""),"Malbec 24")</f>
        <v>Malbec 24</v>
      </c>
      <c r="F100" s="2">
        <f ca="1">IFERROR(__xludf.DUMMYFUNCTION("""COMPUTED_VALUE"""),8700)</f>
        <v>8700</v>
      </c>
      <c r="G100" s="2">
        <f ca="1">IFERROR(__xludf.DUMMYFUNCTION("""COMPUTED_VALUE"""),24)</f>
        <v>24</v>
      </c>
      <c r="H100" s="2" t="str">
        <f ca="1">IFERROR(__xludf.DUMMYFUNCTION("""COMPUTED_VALUE"""),"8a8f8909")</f>
        <v>8a8f8909</v>
      </c>
      <c r="I100" s="2" t="str">
        <f ca="1">IFERROR(__xludf.DUMMYFUNCTION("""COMPUTED_VALUE"""),"Tinto La Vendimia")</f>
        <v>Tinto La Vendimia</v>
      </c>
      <c r="J100" s="2">
        <f ca="1">IFERROR(__xludf.DUMMYFUNCTION("""COMPUTED_VALUE"""),159300)</f>
        <v>159300</v>
      </c>
      <c r="K100" s="2">
        <f ca="1">IFERROR(__xludf.DUMMYFUNCTION("""COMPUTED_VALUE"""),168000)</f>
        <v>168000</v>
      </c>
      <c r="L100" s="2" t="str">
        <f ca="1">IFERROR(__xludf.DUMMYFUNCTION("""COMPUTED_VALUE"""),"212851d2")</f>
        <v>212851d2</v>
      </c>
      <c r="M100" s="2" t="str">
        <f ca="1">IFERROR(__xludf.DUMMYFUNCTION("""COMPUTED_VALUE"""),"Tinto La Vendimia")</f>
        <v>Tinto La Vendimia</v>
      </c>
      <c r="N100" s="2"/>
      <c r="O100" s="2" t="str">
        <f ca="1">IFERROR(__xludf.DUMMYFUNCTION("""COMPUTED_VALUE"""),"Terminado")</f>
        <v>Terminado</v>
      </c>
      <c r="P100" s="2" t="str">
        <f ca="1">IFERROR(__xludf.DUMMYFUNCTION("""COMPUTED_VALUE"""),"Terminado")</f>
        <v>Terminado</v>
      </c>
      <c r="Q100" s="2" t="b">
        <f ca="1">IFERROR(__xludf.DUMMYFUNCTION("""COMPUTED_VALUE"""),TRUE)</f>
        <v>1</v>
      </c>
      <c r="R100" s="2" t="str">
        <f ca="1">IFERROR(__xludf.DUMMYFUNCTION("""COMPUTED_VALUE"""),"Terminado")</f>
        <v>Terminado</v>
      </c>
      <c r="S100" s="2"/>
      <c r="T100" s="2"/>
      <c r="U100" s="2"/>
    </row>
    <row r="101" spans="1:21" x14ac:dyDescent="0.25">
      <c r="A101" s="2" t="str">
        <f ca="1">IFERROR(__xludf.DUMMYFUNCTION("""COMPUTED_VALUE"""),"b30d4fdf")</f>
        <v>b30d4fdf</v>
      </c>
      <c r="B101" s="3">
        <f ca="1">IFERROR(__xludf.DUMMYFUNCTION("""COMPUTED_VALUE"""),45723.8202083333)</f>
        <v>45723.820208333302</v>
      </c>
      <c r="C101" s="2" t="str">
        <f ca="1">IFERROR(__xludf.DUMMYFUNCTION("""COMPUTED_VALUE"""),"fe114136")</f>
        <v>fe114136</v>
      </c>
      <c r="D101" s="2">
        <f ca="1">IFERROR(__xludf.DUMMYFUNCTION("""COMPUTED_VALUE"""),67)</f>
        <v>67</v>
      </c>
      <c r="E101" s="2" t="str">
        <f ca="1">IFERROR(__xludf.DUMMYFUNCTION("""COMPUTED_VALUE"""),"Malbec 24")</f>
        <v>Malbec 24</v>
      </c>
      <c r="F101" s="2">
        <f ca="1">IFERROR(__xludf.DUMMYFUNCTION("""COMPUTED_VALUE"""),9100)</f>
        <v>9100</v>
      </c>
      <c r="G101" s="2">
        <f ca="1">IFERROR(__xludf.DUMMYFUNCTION("""COMPUTED_VALUE"""),25)</f>
        <v>25</v>
      </c>
      <c r="H101" s="2" t="str">
        <f ca="1">IFERROR(__xludf.DUMMYFUNCTION("""COMPUTED_VALUE"""),"a826dd70")</f>
        <v>a826dd70</v>
      </c>
      <c r="I101" s="2" t="str">
        <f ca="1">IFERROR(__xludf.DUMMYFUNCTION("""COMPUTED_VALUE"""),"Tinto La Vendimia")</f>
        <v>Tinto La Vendimia</v>
      </c>
      <c r="J101" s="2">
        <f ca="1">IFERROR(__xludf.DUMMYFUNCTION("""COMPUTED_VALUE"""),165700)</f>
        <v>165700</v>
      </c>
      <c r="K101" s="2">
        <f ca="1">IFERROR(__xludf.DUMMYFUNCTION("""COMPUTED_VALUE"""),174800)</f>
        <v>174800</v>
      </c>
      <c r="L101" s="2" t="str">
        <f ca="1">IFERROR(__xludf.DUMMYFUNCTION("""COMPUTED_VALUE"""),"6ccc7bc6")</f>
        <v>6ccc7bc6</v>
      </c>
      <c r="M101" s="2" t="str">
        <f ca="1">IFERROR(__xludf.DUMMYFUNCTION("""COMPUTED_VALUE"""),"Tinto La Vendimia")</f>
        <v>Tinto La Vendimia</v>
      </c>
      <c r="N101" s="2"/>
      <c r="O101" s="2" t="str">
        <f ca="1">IFERROR(__xludf.DUMMYFUNCTION("""COMPUTED_VALUE"""),"Terminado")</f>
        <v>Terminado</v>
      </c>
      <c r="P101" s="2" t="str">
        <f ca="1">IFERROR(__xludf.DUMMYFUNCTION("""COMPUTED_VALUE"""),"Terminado")</f>
        <v>Terminado</v>
      </c>
      <c r="Q101" s="2" t="b">
        <f ca="1">IFERROR(__xludf.DUMMYFUNCTION("""COMPUTED_VALUE"""),TRUE)</f>
        <v>1</v>
      </c>
      <c r="R101" s="2" t="str">
        <f ca="1">IFERROR(__xludf.DUMMYFUNCTION("""COMPUTED_VALUE"""),"Terminado")</f>
        <v>Terminado</v>
      </c>
      <c r="S101" s="2"/>
      <c r="T101" s="2"/>
      <c r="U101" s="2"/>
    </row>
    <row r="102" spans="1:21" x14ac:dyDescent="0.25">
      <c r="A102" s="2" t="str">
        <f ca="1">IFERROR(__xludf.DUMMYFUNCTION("""COMPUTED_VALUE"""),"0b8dfe7e")</f>
        <v>0b8dfe7e</v>
      </c>
      <c r="B102" s="3">
        <f ca="1">IFERROR(__xludf.DUMMYFUNCTION("""COMPUTED_VALUE"""),45723.8205671296)</f>
        <v>45723.820567129602</v>
      </c>
      <c r="C102" s="2" t="str">
        <f ca="1">IFERROR(__xludf.DUMMYFUNCTION("""COMPUTED_VALUE"""),"fe114136")</f>
        <v>fe114136</v>
      </c>
      <c r="D102" s="2">
        <f ca="1">IFERROR(__xludf.DUMMYFUNCTION("""COMPUTED_VALUE"""),67)</f>
        <v>67</v>
      </c>
      <c r="E102" s="2" t="str">
        <f ca="1">IFERROR(__xludf.DUMMYFUNCTION("""COMPUTED_VALUE"""),"Malbec 24")</f>
        <v>Malbec 24</v>
      </c>
      <c r="F102" s="2">
        <f ca="1">IFERROR(__xludf.DUMMYFUNCTION("""COMPUTED_VALUE"""),1600)</f>
        <v>1600</v>
      </c>
      <c r="G102" s="2">
        <f ca="1">IFERROR(__xludf.DUMMYFUNCTION("""COMPUTED_VALUE"""),96)</f>
        <v>96</v>
      </c>
      <c r="H102" s="2" t="str">
        <f ca="1">IFERROR(__xludf.DUMMYFUNCTION("""COMPUTED_VALUE"""),"cdd54045")</f>
        <v>cdd54045</v>
      </c>
      <c r="I102" s="2" t="str">
        <f ca="1">IFERROR(__xludf.DUMMYFUNCTION("""COMPUTED_VALUE"""),"Tinto La Vendimia")</f>
        <v>Tinto La Vendimia</v>
      </c>
      <c r="J102" s="2">
        <f ca="1">IFERROR(__xludf.DUMMYFUNCTION("""COMPUTED_VALUE"""),33100)</f>
        <v>33100</v>
      </c>
      <c r="K102" s="2">
        <f ca="1">IFERROR(__xludf.DUMMYFUNCTION("""COMPUTED_VALUE"""),34700)</f>
        <v>34700</v>
      </c>
      <c r="L102" s="2" t="str">
        <f ca="1">IFERROR(__xludf.DUMMYFUNCTION("""COMPUTED_VALUE"""),"c50c5100")</f>
        <v>c50c5100</v>
      </c>
      <c r="M102" s="2" t="str">
        <f ca="1">IFERROR(__xludf.DUMMYFUNCTION("""COMPUTED_VALUE"""),"Tinto La Vendimia")</f>
        <v>Tinto La Vendimia</v>
      </c>
      <c r="N102" s="2"/>
      <c r="O102" s="2" t="str">
        <f ca="1">IFERROR(__xludf.DUMMYFUNCTION("""COMPUTED_VALUE"""),"Terminado")</f>
        <v>Terminado</v>
      </c>
      <c r="P102" s="2" t="str">
        <f ca="1">IFERROR(__xludf.DUMMYFUNCTION("""COMPUTED_VALUE"""),"Terminado")</f>
        <v>Terminado</v>
      </c>
      <c r="Q102" s="2" t="b">
        <f ca="1">IFERROR(__xludf.DUMMYFUNCTION("""COMPUTED_VALUE"""),TRUE)</f>
        <v>1</v>
      </c>
      <c r="R102" s="2" t="str">
        <f ca="1">IFERROR(__xludf.DUMMYFUNCTION("""COMPUTED_VALUE"""),"Terminado")</f>
        <v>Terminado</v>
      </c>
      <c r="S102" s="2"/>
      <c r="T102" s="2"/>
      <c r="U102" s="2"/>
    </row>
    <row r="103" spans="1:21" x14ac:dyDescent="0.25">
      <c r="A103" s="2" t="str">
        <f ca="1">IFERROR(__xludf.DUMMYFUNCTION("""COMPUTED_VALUE"""),"e6d010c5")</f>
        <v>e6d010c5</v>
      </c>
      <c r="B103" s="3">
        <f ca="1">IFERROR(__xludf.DUMMYFUNCTION("""COMPUTED_VALUE"""),45724.5459375)</f>
        <v>45724.545937499999</v>
      </c>
      <c r="C103" s="2" t="str">
        <f ca="1">IFERROR(__xludf.DUMMYFUNCTION("""COMPUTED_VALUE"""),"e5b434bb")</f>
        <v>e5b434bb</v>
      </c>
      <c r="D103" s="2">
        <f ca="1">IFERROR(__xludf.DUMMYFUNCTION("""COMPUTED_VALUE"""),79)</f>
        <v>79</v>
      </c>
      <c r="E103" s="2" t="str">
        <f ca="1">IFERROR(__xludf.DUMMYFUNCTION("""COMPUTED_VALUE"""),"Chardonnay")</f>
        <v>Chardonnay</v>
      </c>
      <c r="F103" s="2">
        <f ca="1">IFERROR(__xludf.DUMMYFUNCTION("""COMPUTED_VALUE"""),26000)</f>
        <v>26000</v>
      </c>
      <c r="G103" s="2">
        <f ca="1">IFERROR(__xludf.DUMMYFUNCTION("""COMPUTED_VALUE"""),5)</f>
        <v>5</v>
      </c>
      <c r="H103" s="2"/>
      <c r="I103" s="2"/>
      <c r="J103" s="2">
        <f ca="1">IFERROR(__xludf.DUMMYFUNCTION("""COMPUTED_VALUE"""),0)</f>
        <v>0</v>
      </c>
      <c r="K103" s="2">
        <f ca="1">IFERROR(__xludf.DUMMYFUNCTION("""COMPUTED_VALUE"""),26000)</f>
        <v>26000</v>
      </c>
      <c r="L103" s="2" t="str">
        <f ca="1">IFERROR(__xludf.DUMMYFUNCTION("""COMPUTED_VALUE"""),"78ca3339")</f>
        <v>78ca3339</v>
      </c>
      <c r="M103" s="2" t="str">
        <f ca="1">IFERROR(__xludf.DUMMYFUNCTION("""COMPUTED_VALUE"""),"Chardonnay")</f>
        <v>Chardonnay</v>
      </c>
      <c r="N103" s="2"/>
      <c r="O103" s="2" t="str">
        <f ca="1">IFERROR(__xludf.DUMMYFUNCTION("""COMPUTED_VALUE"""),"Fermentando")</f>
        <v>Fermentando</v>
      </c>
      <c r="P103" s="2"/>
      <c r="Q103" s="2" t="b">
        <f ca="1">IFERROR(__xludf.DUMMYFUNCTION("""COMPUTED_VALUE"""),FALSE)</f>
        <v>0</v>
      </c>
      <c r="R103" s="2" t="str">
        <f ca="1">IFERROR(__xludf.DUMMYFUNCTION("""COMPUTED_VALUE"""),"Fermentando")</f>
        <v>Fermentando</v>
      </c>
      <c r="S103" s="2"/>
      <c r="T103" s="2"/>
      <c r="U103" s="2"/>
    </row>
    <row r="104" spans="1:21" x14ac:dyDescent="0.25">
      <c r="A104" s="2" t="str">
        <f ca="1">IFERROR(__xludf.DUMMYFUNCTION("""COMPUTED_VALUE"""),"7f5134a8")</f>
        <v>7f5134a8</v>
      </c>
      <c r="B104" s="3">
        <f ca="1">IFERROR(__xludf.DUMMYFUNCTION("""COMPUTED_VALUE"""),45724.5467361111)</f>
        <v>45724.5467361111</v>
      </c>
      <c r="C104" s="2" t="str">
        <f ca="1">IFERROR(__xludf.DUMMYFUNCTION("""COMPUTED_VALUE"""),"94493a7b")</f>
        <v>94493a7b</v>
      </c>
      <c r="D104" s="2">
        <f ca="1">IFERROR(__xludf.DUMMYFUNCTION("""COMPUTED_VALUE"""),77)</f>
        <v>77</v>
      </c>
      <c r="E104" s="2" t="str">
        <f ca="1">IFERROR(__xludf.DUMMYFUNCTION("""COMPUTED_VALUE"""),"Chardonnay")</f>
        <v>Chardonnay</v>
      </c>
      <c r="F104" s="2">
        <f ca="1">IFERROR(__xludf.DUMMYFUNCTION("""COMPUTED_VALUE"""),4000)</f>
        <v>4000</v>
      </c>
      <c r="G104" s="2">
        <f ca="1">IFERROR(__xludf.DUMMYFUNCTION("""COMPUTED_VALUE"""),5)</f>
        <v>5</v>
      </c>
      <c r="H104" s="2" t="str">
        <f ca="1">IFERROR(__xludf.DUMMYFUNCTION("""COMPUTED_VALUE"""),"78ca3339")</f>
        <v>78ca3339</v>
      </c>
      <c r="I104" s="2" t="str">
        <f ca="1">IFERROR(__xludf.DUMMYFUNCTION("""COMPUTED_VALUE"""),"Chardonnay")</f>
        <v>Chardonnay</v>
      </c>
      <c r="J104" s="2">
        <f ca="1">IFERROR(__xludf.DUMMYFUNCTION("""COMPUTED_VALUE"""),26000)</f>
        <v>26000</v>
      </c>
      <c r="K104" s="2">
        <f ca="1">IFERROR(__xludf.DUMMYFUNCTION("""COMPUTED_VALUE"""),30000)</f>
        <v>30000</v>
      </c>
      <c r="L104" s="2" t="str">
        <f ca="1">IFERROR(__xludf.DUMMYFUNCTION("""COMPUTED_VALUE"""),"593f826f")</f>
        <v>593f826f</v>
      </c>
      <c r="M104" s="2" t="str">
        <f ca="1">IFERROR(__xludf.DUMMYFUNCTION("""COMPUTED_VALUE"""),"Chardonnay")</f>
        <v>Chardonnay</v>
      </c>
      <c r="N104" s="2"/>
      <c r="O104" s="2" t="str">
        <f ca="1">IFERROR(__xludf.DUMMYFUNCTION("""COMPUTED_VALUE"""),"Fermentando")</f>
        <v>Fermentando</v>
      </c>
      <c r="P104" s="2" t="str">
        <f ca="1">IFERROR(__xludf.DUMMYFUNCTION("""COMPUTED_VALUE"""),"Fermentando")</f>
        <v>Fermentando</v>
      </c>
      <c r="Q104" s="2" t="b">
        <f ca="1">IFERROR(__xludf.DUMMYFUNCTION("""COMPUTED_VALUE"""),TRUE)</f>
        <v>1</v>
      </c>
      <c r="R104" s="2" t="str">
        <f ca="1">IFERROR(__xludf.DUMMYFUNCTION("""COMPUTED_VALUE"""),"Fermentando")</f>
        <v>Fermentando</v>
      </c>
      <c r="S104" s="2"/>
      <c r="T104" s="2"/>
      <c r="U104" s="2"/>
    </row>
    <row r="105" spans="1:21" x14ac:dyDescent="0.25">
      <c r="A105" s="2" t="str">
        <f ca="1">IFERROR(__xludf.DUMMYFUNCTION("""COMPUTED_VALUE"""),"cf666ee7")</f>
        <v>cf666ee7</v>
      </c>
      <c r="B105" s="3">
        <f ca="1">IFERROR(__xludf.DUMMYFUNCTION("""COMPUTED_VALUE"""),45724.5475578703)</f>
        <v>45724.547557870297</v>
      </c>
      <c r="C105" s="2" t="str">
        <f ca="1">IFERROR(__xludf.DUMMYFUNCTION("""COMPUTED_VALUE"""),"94493a7b")</f>
        <v>94493a7b</v>
      </c>
      <c r="D105" s="2">
        <f ca="1">IFERROR(__xludf.DUMMYFUNCTION("""COMPUTED_VALUE"""),77)</f>
        <v>77</v>
      </c>
      <c r="E105" s="2" t="str">
        <f ca="1">IFERROR(__xludf.DUMMYFUNCTION("""COMPUTED_VALUE"""),"Chardonnay")</f>
        <v>Chardonnay</v>
      </c>
      <c r="F105" s="2">
        <f ca="1">IFERROR(__xludf.DUMMYFUNCTION("""COMPUTED_VALUE"""),22000)</f>
        <v>22000</v>
      </c>
      <c r="G105" s="2">
        <f ca="1">IFERROR(__xludf.DUMMYFUNCTION("""COMPUTED_VALUE"""),8)</f>
        <v>8</v>
      </c>
      <c r="H105" s="2"/>
      <c r="I105" s="2"/>
      <c r="J105" s="2">
        <f ca="1">IFERROR(__xludf.DUMMYFUNCTION("""COMPUTED_VALUE"""),0)</f>
        <v>0</v>
      </c>
      <c r="K105" s="2">
        <f ca="1">IFERROR(__xludf.DUMMYFUNCTION("""COMPUTED_VALUE"""),22000)</f>
        <v>22000</v>
      </c>
      <c r="L105" s="2" t="str">
        <f ca="1">IFERROR(__xludf.DUMMYFUNCTION("""COMPUTED_VALUE"""),"376dbee6")</f>
        <v>376dbee6</v>
      </c>
      <c r="M105" s="2" t="str">
        <f ca="1">IFERROR(__xludf.DUMMYFUNCTION("""COMPUTED_VALUE"""),"Chardonnay")</f>
        <v>Chardonnay</v>
      </c>
      <c r="N105" s="2"/>
      <c r="O105" s="2" t="str">
        <f ca="1">IFERROR(__xludf.DUMMYFUNCTION("""COMPUTED_VALUE"""),"Fermentando")</f>
        <v>Fermentando</v>
      </c>
      <c r="P105" s="2"/>
      <c r="Q105" s="2" t="b">
        <f ca="1">IFERROR(__xludf.DUMMYFUNCTION("""COMPUTED_VALUE"""),FALSE)</f>
        <v>0</v>
      </c>
      <c r="R105" s="2" t="str">
        <f ca="1">IFERROR(__xludf.DUMMYFUNCTION("""COMPUTED_VALUE"""),"Descubada")</f>
        <v>Descubada</v>
      </c>
      <c r="S105" s="2"/>
      <c r="T105" s="2"/>
      <c r="U105" s="2"/>
    </row>
    <row r="106" spans="1:21" x14ac:dyDescent="0.25">
      <c r="A106" s="2" t="str">
        <f ca="1">IFERROR(__xludf.DUMMYFUNCTION("""COMPUTED_VALUE"""),"42fe26ec")</f>
        <v>42fe26ec</v>
      </c>
      <c r="B106" s="3">
        <f ca="1">IFERROR(__xludf.DUMMYFUNCTION("""COMPUTED_VALUE"""),45724.5502893518)</f>
        <v>45724.550289351799</v>
      </c>
      <c r="C106" s="2" t="str">
        <f ca="1">IFERROR(__xludf.DUMMYFUNCTION("""COMPUTED_VALUE"""),"73b50dc4")</f>
        <v>73b50dc4</v>
      </c>
      <c r="D106" s="2">
        <f ca="1">IFERROR(__xludf.DUMMYFUNCTION("""COMPUTED_VALUE"""),42)</f>
        <v>42</v>
      </c>
      <c r="E106" s="2" t="str">
        <f ca="1">IFERROR(__xludf.DUMMYFUNCTION("""COMPUTED_VALUE"""),"Malbec 24")</f>
        <v>Malbec 24</v>
      </c>
      <c r="F106" s="2">
        <f ca="1">IFERROR(__xludf.DUMMYFUNCTION("""COMPUTED_VALUE"""),13600)</f>
        <v>13600</v>
      </c>
      <c r="G106" s="2">
        <f ca="1">IFERROR(__xludf.DUMMYFUNCTION("""COMPUTED_VALUE"""),24)</f>
        <v>24</v>
      </c>
      <c r="H106" s="2" t="str">
        <f ca="1">IFERROR(__xludf.DUMMYFUNCTION("""COMPUTED_VALUE"""),"212851d2")</f>
        <v>212851d2</v>
      </c>
      <c r="I106" s="2" t="str">
        <f ca="1">IFERROR(__xludf.DUMMYFUNCTION("""COMPUTED_VALUE"""),"Tinto La Vendimia")</f>
        <v>Tinto La Vendimia</v>
      </c>
      <c r="J106" s="2">
        <f ca="1">IFERROR(__xludf.DUMMYFUNCTION("""COMPUTED_VALUE"""),168000)</f>
        <v>168000</v>
      </c>
      <c r="K106" s="2">
        <f ca="1">IFERROR(__xludf.DUMMYFUNCTION("""COMPUTED_VALUE"""),181600)</f>
        <v>181600</v>
      </c>
      <c r="L106" s="2" t="str">
        <f ca="1">IFERROR(__xludf.DUMMYFUNCTION("""COMPUTED_VALUE"""),"8782f51d")</f>
        <v>8782f51d</v>
      </c>
      <c r="M106" s="2" t="str">
        <f ca="1">IFERROR(__xludf.DUMMYFUNCTION("""COMPUTED_VALUE"""),"Tinto La Vendimia")</f>
        <v>Tinto La Vendimia</v>
      </c>
      <c r="N106" s="2"/>
      <c r="O106" s="2" t="str">
        <f ca="1">IFERROR(__xludf.DUMMYFUNCTION("""COMPUTED_VALUE"""),"Terminado")</f>
        <v>Terminado</v>
      </c>
      <c r="P106" s="2" t="str">
        <f ca="1">IFERROR(__xludf.DUMMYFUNCTION("""COMPUTED_VALUE"""),"Terminado")</f>
        <v>Terminado</v>
      </c>
      <c r="Q106" s="2" t="b">
        <f ca="1">IFERROR(__xludf.DUMMYFUNCTION("""COMPUTED_VALUE"""),TRUE)</f>
        <v>1</v>
      </c>
      <c r="R106" s="2" t="str">
        <f ca="1">IFERROR(__xludf.DUMMYFUNCTION("""COMPUTED_VALUE"""),"Terminado")</f>
        <v>Terminado</v>
      </c>
      <c r="S106" s="2"/>
      <c r="T106" s="2"/>
      <c r="U106" s="2"/>
    </row>
    <row r="107" spans="1:21" x14ac:dyDescent="0.25">
      <c r="A107" s="2" t="str">
        <f ca="1">IFERROR(__xludf.DUMMYFUNCTION("""COMPUTED_VALUE"""),"07b798ca")</f>
        <v>07b798ca</v>
      </c>
      <c r="B107" s="3">
        <f ca="1">IFERROR(__xludf.DUMMYFUNCTION("""COMPUTED_VALUE"""),45724.5505671296)</f>
        <v>45724.550567129598</v>
      </c>
      <c r="C107" s="2" t="str">
        <f ca="1">IFERROR(__xludf.DUMMYFUNCTION("""COMPUTED_VALUE"""),"73b50dc4")</f>
        <v>73b50dc4</v>
      </c>
      <c r="D107" s="2">
        <f ca="1">IFERROR(__xludf.DUMMYFUNCTION("""COMPUTED_VALUE"""),42)</f>
        <v>42</v>
      </c>
      <c r="E107" s="2" t="str">
        <f ca="1">IFERROR(__xludf.DUMMYFUNCTION("""COMPUTED_VALUE"""),"Malbec 24")</f>
        <v>Malbec 24</v>
      </c>
      <c r="F107" s="2">
        <f ca="1">IFERROR(__xludf.DUMMYFUNCTION("""COMPUTED_VALUE"""),14100)</f>
        <v>14100</v>
      </c>
      <c r="G107" s="2">
        <f ca="1">IFERROR(__xludf.DUMMYFUNCTION("""COMPUTED_VALUE"""),25)</f>
        <v>25</v>
      </c>
      <c r="H107" s="2" t="str">
        <f ca="1">IFERROR(__xludf.DUMMYFUNCTION("""COMPUTED_VALUE"""),"6ccc7bc6")</f>
        <v>6ccc7bc6</v>
      </c>
      <c r="I107" s="2" t="str">
        <f ca="1">IFERROR(__xludf.DUMMYFUNCTION("""COMPUTED_VALUE"""),"Tinto La Vendimia")</f>
        <v>Tinto La Vendimia</v>
      </c>
      <c r="J107" s="2">
        <f ca="1">IFERROR(__xludf.DUMMYFUNCTION("""COMPUTED_VALUE"""),174800)</f>
        <v>174800</v>
      </c>
      <c r="K107" s="2">
        <f ca="1">IFERROR(__xludf.DUMMYFUNCTION("""COMPUTED_VALUE"""),188900)</f>
        <v>188900</v>
      </c>
      <c r="L107" s="2" t="str">
        <f ca="1">IFERROR(__xludf.DUMMYFUNCTION("""COMPUTED_VALUE"""),"481ac202")</f>
        <v>481ac202</v>
      </c>
      <c r="M107" s="2" t="str">
        <f ca="1">IFERROR(__xludf.DUMMYFUNCTION("""COMPUTED_VALUE"""),"Tinto La Vendimia")</f>
        <v>Tinto La Vendimia</v>
      </c>
      <c r="N107" s="2"/>
      <c r="O107" s="2" t="str">
        <f ca="1">IFERROR(__xludf.DUMMYFUNCTION("""COMPUTED_VALUE"""),"Terminado")</f>
        <v>Terminado</v>
      </c>
      <c r="P107" s="2" t="str">
        <f ca="1">IFERROR(__xludf.DUMMYFUNCTION("""COMPUTED_VALUE"""),"Terminado")</f>
        <v>Terminado</v>
      </c>
      <c r="Q107" s="2" t="b">
        <f ca="1">IFERROR(__xludf.DUMMYFUNCTION("""COMPUTED_VALUE"""),TRUE)</f>
        <v>1</v>
      </c>
      <c r="R107" s="2" t="str">
        <f ca="1">IFERROR(__xludf.DUMMYFUNCTION("""COMPUTED_VALUE"""),"Terminado")</f>
        <v>Terminado</v>
      </c>
      <c r="S107" s="2"/>
      <c r="T107" s="2"/>
      <c r="U107" s="2"/>
    </row>
    <row r="108" spans="1:21" x14ac:dyDescent="0.25">
      <c r="A108" s="2" t="str">
        <f ca="1">IFERROR(__xludf.DUMMYFUNCTION("""COMPUTED_VALUE"""),"84b16607")</f>
        <v>84b16607</v>
      </c>
      <c r="B108" s="3">
        <f ca="1">IFERROR(__xludf.DUMMYFUNCTION("""COMPUTED_VALUE"""),45724.550787037)</f>
        <v>45724.550787036998</v>
      </c>
      <c r="C108" s="2" t="str">
        <f ca="1">IFERROR(__xludf.DUMMYFUNCTION("""COMPUTED_VALUE"""),"73b50dc4")</f>
        <v>73b50dc4</v>
      </c>
      <c r="D108" s="2">
        <f ca="1">IFERROR(__xludf.DUMMYFUNCTION("""COMPUTED_VALUE"""),42)</f>
        <v>42</v>
      </c>
      <c r="E108" s="2" t="str">
        <f ca="1">IFERROR(__xludf.DUMMYFUNCTION("""COMPUTED_VALUE"""),"Malbec 24")</f>
        <v>Malbec 24</v>
      </c>
      <c r="F108" s="2">
        <f ca="1">IFERROR(__xludf.DUMMYFUNCTION("""COMPUTED_VALUE"""),5600)</f>
        <v>5600</v>
      </c>
      <c r="G108" s="2">
        <f ca="1">IFERROR(__xludf.DUMMYFUNCTION("""COMPUTED_VALUE"""),95)</f>
        <v>95</v>
      </c>
      <c r="H108" s="2" t="str">
        <f ca="1">IFERROR(__xludf.DUMMYFUNCTION("""COMPUTED_VALUE"""),"69fc871f")</f>
        <v>69fc871f</v>
      </c>
      <c r="I108" s="2" t="str">
        <f ca="1">IFERROR(__xludf.DUMMYFUNCTION("""COMPUTED_VALUE"""),"Tinto La Vendimia")</f>
        <v>Tinto La Vendimia</v>
      </c>
      <c r="J108" s="2">
        <f ca="1">IFERROR(__xludf.DUMMYFUNCTION("""COMPUTED_VALUE"""),69100)</f>
        <v>69100</v>
      </c>
      <c r="K108" s="2">
        <f ca="1">IFERROR(__xludf.DUMMYFUNCTION("""COMPUTED_VALUE"""),74700)</f>
        <v>74700</v>
      </c>
      <c r="L108" s="2" t="str">
        <f ca="1">IFERROR(__xludf.DUMMYFUNCTION("""COMPUTED_VALUE"""),"1953afee")</f>
        <v>1953afee</v>
      </c>
      <c r="M108" s="2" t="str">
        <f ca="1">IFERROR(__xludf.DUMMYFUNCTION("""COMPUTED_VALUE"""),"Tinto La Vendimia")</f>
        <v>Tinto La Vendimia</v>
      </c>
      <c r="N108" s="2"/>
      <c r="O108" s="2" t="str">
        <f ca="1">IFERROR(__xludf.DUMMYFUNCTION("""COMPUTED_VALUE"""),"Terminado")</f>
        <v>Terminado</v>
      </c>
      <c r="P108" s="2" t="str">
        <f ca="1">IFERROR(__xludf.DUMMYFUNCTION("""COMPUTED_VALUE"""),"Terminado")</f>
        <v>Terminado</v>
      </c>
      <c r="Q108" s="2" t="b">
        <f ca="1">IFERROR(__xludf.DUMMYFUNCTION("""COMPUTED_VALUE"""),TRUE)</f>
        <v>1</v>
      </c>
      <c r="R108" s="2" t="str">
        <f ca="1">IFERROR(__xludf.DUMMYFUNCTION("""COMPUTED_VALUE"""),"Terminado")</f>
        <v>Terminado</v>
      </c>
      <c r="S108" s="2"/>
      <c r="T108" s="2"/>
      <c r="U108" s="2"/>
    </row>
    <row r="109" spans="1:21" x14ac:dyDescent="0.25">
      <c r="A109" s="2" t="str">
        <f ca="1">IFERROR(__xludf.DUMMYFUNCTION("""COMPUTED_VALUE"""),"f5883372")</f>
        <v>f5883372</v>
      </c>
      <c r="B109" s="3">
        <f ca="1">IFERROR(__xludf.DUMMYFUNCTION("""COMPUTED_VALUE"""),45724.5510416666)</f>
        <v>45724.5510416666</v>
      </c>
      <c r="C109" s="2" t="str">
        <f ca="1">IFERROR(__xludf.DUMMYFUNCTION("""COMPUTED_VALUE"""),"73b50dc4")</f>
        <v>73b50dc4</v>
      </c>
      <c r="D109" s="2">
        <f ca="1">IFERROR(__xludf.DUMMYFUNCTION("""COMPUTED_VALUE"""),42)</f>
        <v>42</v>
      </c>
      <c r="E109" s="2" t="str">
        <f ca="1">IFERROR(__xludf.DUMMYFUNCTION("""COMPUTED_VALUE"""),"Malbec 24")</f>
        <v>Malbec 24</v>
      </c>
      <c r="F109" s="2">
        <f ca="1">IFERROR(__xludf.DUMMYFUNCTION("""COMPUTED_VALUE"""),2600)</f>
        <v>2600</v>
      </c>
      <c r="G109" s="2">
        <f ca="1">IFERROR(__xludf.DUMMYFUNCTION("""COMPUTED_VALUE"""),96)</f>
        <v>96</v>
      </c>
      <c r="H109" s="2" t="str">
        <f ca="1">IFERROR(__xludf.DUMMYFUNCTION("""COMPUTED_VALUE"""),"c50c5100")</f>
        <v>c50c5100</v>
      </c>
      <c r="I109" s="2" t="str">
        <f ca="1">IFERROR(__xludf.DUMMYFUNCTION("""COMPUTED_VALUE"""),"Tinto La Vendimia")</f>
        <v>Tinto La Vendimia</v>
      </c>
      <c r="J109" s="2">
        <f ca="1">IFERROR(__xludf.DUMMYFUNCTION("""COMPUTED_VALUE"""),34700)</f>
        <v>34700</v>
      </c>
      <c r="K109" s="2">
        <f ca="1">IFERROR(__xludf.DUMMYFUNCTION("""COMPUTED_VALUE"""),37300)</f>
        <v>37300</v>
      </c>
      <c r="L109" s="2" t="str">
        <f ca="1">IFERROR(__xludf.DUMMYFUNCTION("""COMPUTED_VALUE"""),"6a79f2ba")</f>
        <v>6a79f2ba</v>
      </c>
      <c r="M109" s="2" t="str">
        <f ca="1">IFERROR(__xludf.DUMMYFUNCTION("""COMPUTED_VALUE"""),"Tinto La Vendimia")</f>
        <v>Tinto La Vendimia</v>
      </c>
      <c r="N109" s="2"/>
      <c r="O109" s="2" t="str">
        <f ca="1">IFERROR(__xludf.DUMMYFUNCTION("""COMPUTED_VALUE"""),"Terminado")</f>
        <v>Terminado</v>
      </c>
      <c r="P109" s="2" t="str">
        <f ca="1">IFERROR(__xludf.DUMMYFUNCTION("""COMPUTED_VALUE"""),"Terminado")</f>
        <v>Terminado</v>
      </c>
      <c r="Q109" s="2" t="b">
        <f ca="1">IFERROR(__xludf.DUMMYFUNCTION("""COMPUTED_VALUE"""),TRUE)</f>
        <v>1</v>
      </c>
      <c r="R109" s="2" t="str">
        <f ca="1">IFERROR(__xludf.DUMMYFUNCTION("""COMPUTED_VALUE"""),"Terminado")</f>
        <v>Terminado</v>
      </c>
      <c r="S109" s="2"/>
      <c r="T109" s="2"/>
      <c r="U109" s="2"/>
    </row>
    <row r="110" spans="1:21" x14ac:dyDescent="0.25">
      <c r="A110" s="2" t="str">
        <f ca="1">IFERROR(__xludf.DUMMYFUNCTION("""COMPUTED_VALUE"""),"1c54f750")</f>
        <v>1c54f750</v>
      </c>
      <c r="B110" s="3">
        <f ca="1">IFERROR(__xludf.DUMMYFUNCTION("""COMPUTED_VALUE"""),45724.5519560185)</f>
        <v>45724.551956018498</v>
      </c>
      <c r="C110" s="2" t="str">
        <f ca="1">IFERROR(__xludf.DUMMYFUNCTION("""COMPUTED_VALUE"""),"b336cfcb")</f>
        <v>b336cfcb</v>
      </c>
      <c r="D110" s="2">
        <f ca="1">IFERROR(__xludf.DUMMYFUNCTION("""COMPUTED_VALUE"""),94)</f>
        <v>94</v>
      </c>
      <c r="E110" s="2" t="str">
        <f ca="1">IFERROR(__xludf.DUMMYFUNCTION("""COMPUTED_VALUE"""),"Syrah 24")</f>
        <v>Syrah 24</v>
      </c>
      <c r="F110" s="2">
        <f ca="1">IFERROR(__xludf.DUMMYFUNCTION("""COMPUTED_VALUE"""),5000)</f>
        <v>5000</v>
      </c>
      <c r="G110" s="2">
        <f ca="1">IFERROR(__xludf.DUMMYFUNCTION("""COMPUTED_VALUE"""),24)</f>
        <v>24</v>
      </c>
      <c r="H110" s="2" t="str">
        <f ca="1">IFERROR(__xludf.DUMMYFUNCTION("""COMPUTED_VALUE"""),"8782f51d")</f>
        <v>8782f51d</v>
      </c>
      <c r="I110" s="2" t="str">
        <f ca="1">IFERROR(__xludf.DUMMYFUNCTION("""COMPUTED_VALUE"""),"Tinto La Vendimia")</f>
        <v>Tinto La Vendimia</v>
      </c>
      <c r="J110" s="2">
        <f ca="1">IFERROR(__xludf.DUMMYFUNCTION("""COMPUTED_VALUE"""),181600)</f>
        <v>181600</v>
      </c>
      <c r="K110" s="2">
        <f ca="1">IFERROR(__xludf.DUMMYFUNCTION("""COMPUTED_VALUE"""),186600)</f>
        <v>186600</v>
      </c>
      <c r="L110" s="2" t="str">
        <f ca="1">IFERROR(__xludf.DUMMYFUNCTION("""COMPUTED_VALUE"""),"8e7dc827")</f>
        <v>8e7dc827</v>
      </c>
      <c r="M110" s="2" t="str">
        <f ca="1">IFERROR(__xludf.DUMMYFUNCTION("""COMPUTED_VALUE"""),"Tinto La Vendimia")</f>
        <v>Tinto La Vendimia</v>
      </c>
      <c r="N110" s="2"/>
      <c r="O110" s="2" t="str">
        <f ca="1">IFERROR(__xludf.DUMMYFUNCTION("""COMPUTED_VALUE"""),"Terminado")</f>
        <v>Terminado</v>
      </c>
      <c r="P110" s="2" t="str">
        <f ca="1">IFERROR(__xludf.DUMMYFUNCTION("""COMPUTED_VALUE"""),"Terminado")</f>
        <v>Terminado</v>
      </c>
      <c r="Q110" s="2" t="b">
        <f ca="1">IFERROR(__xludf.DUMMYFUNCTION("""COMPUTED_VALUE"""),TRUE)</f>
        <v>1</v>
      </c>
      <c r="R110" s="2" t="str">
        <f ca="1">IFERROR(__xludf.DUMMYFUNCTION("""COMPUTED_VALUE"""),"Terminado")</f>
        <v>Terminado</v>
      </c>
      <c r="S110" s="2"/>
      <c r="T110" s="2"/>
      <c r="U110" s="2"/>
    </row>
    <row r="111" spans="1:21" x14ac:dyDescent="0.25">
      <c r="A111" s="2" t="str">
        <f ca="1">IFERROR(__xludf.DUMMYFUNCTION("""COMPUTED_VALUE"""),"53814939")</f>
        <v>53814939</v>
      </c>
      <c r="B111" s="3">
        <f ca="1">IFERROR(__xludf.DUMMYFUNCTION("""COMPUTED_VALUE"""),45724.5525)</f>
        <v>45724.552499999998</v>
      </c>
      <c r="C111" s="2" t="str">
        <f ca="1">IFERROR(__xludf.DUMMYFUNCTION("""COMPUTED_VALUE"""),"b336cfcb")</f>
        <v>b336cfcb</v>
      </c>
      <c r="D111" s="2">
        <f ca="1">IFERROR(__xludf.DUMMYFUNCTION("""COMPUTED_VALUE"""),94)</f>
        <v>94</v>
      </c>
      <c r="E111" s="2" t="str">
        <f ca="1">IFERROR(__xludf.DUMMYFUNCTION("""COMPUTED_VALUE"""),"Syrah 24")</f>
        <v>Syrah 24</v>
      </c>
      <c r="F111" s="2">
        <f ca="1">IFERROR(__xludf.DUMMYFUNCTION("""COMPUTED_VALUE"""),5400)</f>
        <v>5400</v>
      </c>
      <c r="G111" s="2">
        <f ca="1">IFERROR(__xludf.DUMMYFUNCTION("""COMPUTED_VALUE"""),25)</f>
        <v>25</v>
      </c>
      <c r="H111" s="2" t="str">
        <f ca="1">IFERROR(__xludf.DUMMYFUNCTION("""COMPUTED_VALUE"""),"481ac202")</f>
        <v>481ac202</v>
      </c>
      <c r="I111" s="2" t="str">
        <f ca="1">IFERROR(__xludf.DUMMYFUNCTION("""COMPUTED_VALUE"""),"Tinto La Vendimia")</f>
        <v>Tinto La Vendimia</v>
      </c>
      <c r="J111" s="2">
        <f ca="1">IFERROR(__xludf.DUMMYFUNCTION("""COMPUTED_VALUE"""),188900)</f>
        <v>188900</v>
      </c>
      <c r="K111" s="2">
        <f ca="1">IFERROR(__xludf.DUMMYFUNCTION("""COMPUTED_VALUE"""),194300)</f>
        <v>194300</v>
      </c>
      <c r="L111" s="2" t="str">
        <f ca="1">IFERROR(__xludf.DUMMYFUNCTION("""COMPUTED_VALUE"""),"d65723e9")</f>
        <v>d65723e9</v>
      </c>
      <c r="M111" s="2" t="str">
        <f ca="1">IFERROR(__xludf.DUMMYFUNCTION("""COMPUTED_VALUE"""),"Tinto La Vendimia")</f>
        <v>Tinto La Vendimia</v>
      </c>
      <c r="N111" s="2"/>
      <c r="O111" s="2" t="str">
        <f ca="1">IFERROR(__xludf.DUMMYFUNCTION("""COMPUTED_VALUE"""),"Terminado")</f>
        <v>Terminado</v>
      </c>
      <c r="P111" s="2" t="str">
        <f ca="1">IFERROR(__xludf.DUMMYFUNCTION("""COMPUTED_VALUE"""),"Terminado")</f>
        <v>Terminado</v>
      </c>
      <c r="Q111" s="2" t="b">
        <f ca="1">IFERROR(__xludf.DUMMYFUNCTION("""COMPUTED_VALUE"""),TRUE)</f>
        <v>1</v>
      </c>
      <c r="R111" s="2" t="str">
        <f ca="1">IFERROR(__xludf.DUMMYFUNCTION("""COMPUTED_VALUE"""),"Terminado")</f>
        <v>Terminado</v>
      </c>
      <c r="S111" s="2"/>
      <c r="T111" s="2"/>
      <c r="U111" s="2"/>
    </row>
    <row r="112" spans="1:21" x14ac:dyDescent="0.25">
      <c r="A112" s="2" t="str">
        <f ca="1">IFERROR(__xludf.DUMMYFUNCTION("""COMPUTED_VALUE"""),"3702b720")</f>
        <v>3702b720</v>
      </c>
      <c r="B112" s="3">
        <f ca="1">IFERROR(__xludf.DUMMYFUNCTION("""COMPUTED_VALUE"""),45724.5530671296)</f>
        <v>45724.5530671296</v>
      </c>
      <c r="C112" s="2" t="str">
        <f ca="1">IFERROR(__xludf.DUMMYFUNCTION("""COMPUTED_VALUE"""),"b336cfcb")</f>
        <v>b336cfcb</v>
      </c>
      <c r="D112" s="2">
        <f ca="1">IFERROR(__xludf.DUMMYFUNCTION("""COMPUTED_VALUE"""),94)</f>
        <v>94</v>
      </c>
      <c r="E112" s="2" t="str">
        <f ca="1">IFERROR(__xludf.DUMMYFUNCTION("""COMPUTED_VALUE"""),"Syrah 24")</f>
        <v>Syrah 24</v>
      </c>
      <c r="F112" s="2">
        <f ca="1">IFERROR(__xludf.DUMMYFUNCTION("""COMPUTED_VALUE"""),2400)</f>
        <v>2400</v>
      </c>
      <c r="G112" s="2">
        <f ca="1">IFERROR(__xludf.DUMMYFUNCTION("""COMPUTED_VALUE"""),95)</f>
        <v>95</v>
      </c>
      <c r="H112" s="2" t="str">
        <f ca="1">IFERROR(__xludf.DUMMYFUNCTION("""COMPUTED_VALUE"""),"1953afee")</f>
        <v>1953afee</v>
      </c>
      <c r="I112" s="2" t="str">
        <f ca="1">IFERROR(__xludf.DUMMYFUNCTION("""COMPUTED_VALUE"""),"Tinto La Vendimia")</f>
        <v>Tinto La Vendimia</v>
      </c>
      <c r="J112" s="2">
        <f ca="1">IFERROR(__xludf.DUMMYFUNCTION("""COMPUTED_VALUE"""),74700)</f>
        <v>74700</v>
      </c>
      <c r="K112" s="2">
        <f ca="1">IFERROR(__xludf.DUMMYFUNCTION("""COMPUTED_VALUE"""),77100)</f>
        <v>77100</v>
      </c>
      <c r="L112" s="2" t="str">
        <f ca="1">IFERROR(__xludf.DUMMYFUNCTION("""COMPUTED_VALUE"""),"7b5d098a")</f>
        <v>7b5d098a</v>
      </c>
      <c r="M112" s="2" t="str">
        <f ca="1">IFERROR(__xludf.DUMMYFUNCTION("""COMPUTED_VALUE"""),"Tinto La Vendimia")</f>
        <v>Tinto La Vendimia</v>
      </c>
      <c r="N112" s="2"/>
      <c r="O112" s="2" t="str">
        <f ca="1">IFERROR(__xludf.DUMMYFUNCTION("""COMPUTED_VALUE"""),"Terminado")</f>
        <v>Terminado</v>
      </c>
      <c r="P112" s="2" t="str">
        <f ca="1">IFERROR(__xludf.DUMMYFUNCTION("""COMPUTED_VALUE"""),"Terminado")</f>
        <v>Terminado</v>
      </c>
      <c r="Q112" s="2" t="b">
        <f ca="1">IFERROR(__xludf.DUMMYFUNCTION("""COMPUTED_VALUE"""),TRUE)</f>
        <v>1</v>
      </c>
      <c r="R112" s="2" t="str">
        <f ca="1">IFERROR(__xludf.DUMMYFUNCTION("""COMPUTED_VALUE"""),"Terminado")</f>
        <v>Terminado</v>
      </c>
      <c r="S112" s="2"/>
      <c r="T112" s="2"/>
      <c r="U112" s="2"/>
    </row>
    <row r="113" spans="1:21" x14ac:dyDescent="0.25">
      <c r="A113" s="2" t="str">
        <f ca="1">IFERROR(__xludf.DUMMYFUNCTION("""COMPUTED_VALUE"""),"d2f7e5f3")</f>
        <v>d2f7e5f3</v>
      </c>
      <c r="B113" s="3">
        <f ca="1">IFERROR(__xludf.DUMMYFUNCTION("""COMPUTED_VALUE"""),45724.553449074)</f>
        <v>45724.553449074003</v>
      </c>
      <c r="C113" s="2" t="str">
        <f ca="1">IFERROR(__xludf.DUMMYFUNCTION("""COMPUTED_VALUE"""),"b336cfcb")</f>
        <v>b336cfcb</v>
      </c>
      <c r="D113" s="2">
        <f ca="1">IFERROR(__xludf.DUMMYFUNCTION("""COMPUTED_VALUE"""),94)</f>
        <v>94</v>
      </c>
      <c r="E113" s="2" t="str">
        <f ca="1">IFERROR(__xludf.DUMMYFUNCTION("""COMPUTED_VALUE"""),"Syrah 24")</f>
        <v>Syrah 24</v>
      </c>
      <c r="F113" s="2">
        <f ca="1">IFERROR(__xludf.DUMMYFUNCTION("""COMPUTED_VALUE"""),1500)</f>
        <v>1500</v>
      </c>
      <c r="G113" s="2">
        <f ca="1">IFERROR(__xludf.DUMMYFUNCTION("""COMPUTED_VALUE"""),96)</f>
        <v>96</v>
      </c>
      <c r="H113" s="2" t="str">
        <f ca="1">IFERROR(__xludf.DUMMYFUNCTION("""COMPUTED_VALUE"""),"6a79f2ba")</f>
        <v>6a79f2ba</v>
      </c>
      <c r="I113" s="2" t="str">
        <f ca="1">IFERROR(__xludf.DUMMYFUNCTION("""COMPUTED_VALUE"""),"Tinto La Vendimia")</f>
        <v>Tinto La Vendimia</v>
      </c>
      <c r="J113" s="2">
        <f ca="1">IFERROR(__xludf.DUMMYFUNCTION("""COMPUTED_VALUE"""),37300)</f>
        <v>37300</v>
      </c>
      <c r="K113" s="2">
        <f ca="1">IFERROR(__xludf.DUMMYFUNCTION("""COMPUTED_VALUE"""),38800)</f>
        <v>38800</v>
      </c>
      <c r="L113" s="2" t="str">
        <f ca="1">IFERROR(__xludf.DUMMYFUNCTION("""COMPUTED_VALUE"""),"f76c3497")</f>
        <v>f76c3497</v>
      </c>
      <c r="M113" s="2" t="str">
        <f ca="1">IFERROR(__xludf.DUMMYFUNCTION("""COMPUTED_VALUE"""),"Tinto La Vendimia")</f>
        <v>Tinto La Vendimia</v>
      </c>
      <c r="N113" s="2"/>
      <c r="O113" s="2" t="str">
        <f ca="1">IFERROR(__xludf.DUMMYFUNCTION("""COMPUTED_VALUE"""),"Terminado")</f>
        <v>Terminado</v>
      </c>
      <c r="P113" s="2" t="str">
        <f ca="1">IFERROR(__xludf.DUMMYFUNCTION("""COMPUTED_VALUE"""),"Terminado")</f>
        <v>Terminado</v>
      </c>
      <c r="Q113" s="2" t="b">
        <f ca="1">IFERROR(__xludf.DUMMYFUNCTION("""COMPUTED_VALUE"""),TRUE)</f>
        <v>1</v>
      </c>
      <c r="R113" s="2" t="str">
        <f ca="1">IFERROR(__xludf.DUMMYFUNCTION("""COMPUTED_VALUE"""),"Terminado")</f>
        <v>Terminado</v>
      </c>
      <c r="S113" s="2"/>
      <c r="T113" s="2"/>
      <c r="U113" s="2"/>
    </row>
    <row r="114" spans="1:21" x14ac:dyDescent="0.25">
      <c r="A114" s="2" t="str">
        <f ca="1">IFERROR(__xludf.DUMMYFUNCTION("""COMPUTED_VALUE"""),"4c085647")</f>
        <v>4c085647</v>
      </c>
      <c r="B114" s="3">
        <f ca="1">IFERROR(__xludf.DUMMYFUNCTION("""COMPUTED_VALUE"""),45726.4706828703)</f>
        <v>45726.470682870298</v>
      </c>
      <c r="C114" s="2" t="str">
        <f ca="1">IFERROR(__xludf.DUMMYFUNCTION("""COMPUTED_VALUE"""),"9f119881")</f>
        <v>9f119881</v>
      </c>
      <c r="D114" s="2">
        <f ca="1">IFERROR(__xludf.DUMMYFUNCTION("""COMPUTED_VALUE"""),78)</f>
        <v>78</v>
      </c>
      <c r="E114" s="2" t="str">
        <f ca="1">IFERROR(__xludf.DUMMYFUNCTION("""COMPUTED_VALUE"""),"Chardonnay")</f>
        <v>Chardonnay</v>
      </c>
      <c r="F114" s="2">
        <f ca="1">IFERROR(__xludf.DUMMYFUNCTION("""COMPUTED_VALUE"""),25800)</f>
        <v>25800</v>
      </c>
      <c r="G114" s="2">
        <f ca="1">IFERROR(__xludf.DUMMYFUNCTION("""COMPUTED_VALUE"""),9)</f>
        <v>9</v>
      </c>
      <c r="H114" s="2"/>
      <c r="I114" s="2"/>
      <c r="J114" s="2">
        <f ca="1">IFERROR(__xludf.DUMMYFUNCTION("""COMPUTED_VALUE"""),0)</f>
        <v>0</v>
      </c>
      <c r="K114" s="2">
        <f ca="1">IFERROR(__xludf.DUMMYFUNCTION("""COMPUTED_VALUE"""),25800)</f>
        <v>25800</v>
      </c>
      <c r="L114" s="2" t="str">
        <f ca="1">IFERROR(__xludf.DUMMYFUNCTION("""COMPUTED_VALUE"""),"6352eea8")</f>
        <v>6352eea8</v>
      </c>
      <c r="M114" s="2" t="str">
        <f ca="1">IFERROR(__xludf.DUMMYFUNCTION("""COMPUTED_VALUE"""),"Chardonnay")</f>
        <v>Chardonnay</v>
      </c>
      <c r="N114" s="2"/>
      <c r="O114" s="2" t="str">
        <f ca="1">IFERROR(__xludf.DUMMYFUNCTION("""COMPUTED_VALUE"""),"Fermentando")</f>
        <v>Fermentando</v>
      </c>
      <c r="P114" s="2"/>
      <c r="Q114" s="2" t="b">
        <f ca="1">IFERROR(__xludf.DUMMYFUNCTION("""COMPUTED_VALUE"""),FALSE)</f>
        <v>0</v>
      </c>
      <c r="R114" s="2" t="str">
        <f ca="1">IFERROR(__xludf.DUMMYFUNCTION("""COMPUTED_VALUE"""),"Descubada")</f>
        <v>Descubada</v>
      </c>
      <c r="S114" s="2"/>
      <c r="T114" s="2"/>
      <c r="U114" s="2"/>
    </row>
    <row r="115" spans="1:21" x14ac:dyDescent="0.25">
      <c r="A115" s="2" t="str">
        <f ca="1">IFERROR(__xludf.DUMMYFUNCTION("""COMPUTED_VALUE"""),"dc3a18e6")</f>
        <v>dc3a18e6</v>
      </c>
      <c r="B115" s="3">
        <f ca="1">IFERROR(__xludf.DUMMYFUNCTION("""COMPUTED_VALUE"""),45726.471886574)</f>
        <v>45726.471886574</v>
      </c>
      <c r="C115" s="2" t="str">
        <f ca="1">IFERROR(__xludf.DUMMYFUNCTION("""COMPUTED_VALUE"""),"1f033edd")</f>
        <v>1f033edd</v>
      </c>
      <c r="D115" s="2">
        <f ca="1">IFERROR(__xludf.DUMMYFUNCTION("""COMPUTED_VALUE"""),81)</f>
        <v>81</v>
      </c>
      <c r="E115" s="2" t="str">
        <f ca="1">IFERROR(__xludf.DUMMYFUNCTION("""COMPUTED_VALUE"""),"Chardonnay")</f>
        <v>Chardonnay</v>
      </c>
      <c r="F115" s="2">
        <f ca="1">IFERROR(__xludf.DUMMYFUNCTION("""COMPUTED_VALUE"""),4200)</f>
        <v>4200</v>
      </c>
      <c r="G115" s="2">
        <f ca="1">IFERROR(__xludf.DUMMYFUNCTION("""COMPUTED_VALUE"""),9)</f>
        <v>9</v>
      </c>
      <c r="H115" s="2" t="str">
        <f ca="1">IFERROR(__xludf.DUMMYFUNCTION("""COMPUTED_VALUE"""),"6352eea8")</f>
        <v>6352eea8</v>
      </c>
      <c r="I115" s="2" t="str">
        <f ca="1">IFERROR(__xludf.DUMMYFUNCTION("""COMPUTED_VALUE"""),"Chardonnay")</f>
        <v>Chardonnay</v>
      </c>
      <c r="J115" s="2">
        <f ca="1">IFERROR(__xludf.DUMMYFUNCTION("""COMPUTED_VALUE"""),25800)</f>
        <v>25800</v>
      </c>
      <c r="K115" s="2">
        <f ca="1">IFERROR(__xludf.DUMMYFUNCTION("""COMPUTED_VALUE"""),30000)</f>
        <v>30000</v>
      </c>
      <c r="L115" s="2" t="str">
        <f ca="1">IFERROR(__xludf.DUMMYFUNCTION("""COMPUTED_VALUE"""),"b73d8cd1")</f>
        <v>b73d8cd1</v>
      </c>
      <c r="M115" s="2" t="str">
        <f ca="1">IFERROR(__xludf.DUMMYFUNCTION("""COMPUTED_VALUE"""),"Chardonnay")</f>
        <v>Chardonnay</v>
      </c>
      <c r="N115" s="2"/>
      <c r="O115" s="2" t="str">
        <f ca="1">IFERROR(__xludf.DUMMYFUNCTION("""COMPUTED_VALUE"""),"Fermentando")</f>
        <v>Fermentando</v>
      </c>
      <c r="P115" s="2" t="str">
        <f ca="1">IFERROR(__xludf.DUMMYFUNCTION("""COMPUTED_VALUE"""),"Descubada")</f>
        <v>Descubada</v>
      </c>
      <c r="Q115" s="2" t="b">
        <f ca="1">IFERROR(__xludf.DUMMYFUNCTION("""COMPUTED_VALUE"""),TRUE)</f>
        <v>1</v>
      </c>
      <c r="R115" s="2" t="str">
        <f ca="1">IFERROR(__xludf.DUMMYFUNCTION("""COMPUTED_VALUE"""),"Descubada")</f>
        <v>Descubada</v>
      </c>
      <c r="S115" s="2"/>
      <c r="T115" s="2"/>
      <c r="U115" s="2"/>
    </row>
    <row r="116" spans="1:21" x14ac:dyDescent="0.25">
      <c r="A116" s="2" t="str">
        <f ca="1">IFERROR(__xludf.DUMMYFUNCTION("""COMPUTED_VALUE"""),"54b00730")</f>
        <v>54b00730</v>
      </c>
      <c r="B116" s="3">
        <f ca="1">IFERROR(__xludf.DUMMYFUNCTION("""COMPUTED_VALUE"""),45726.4723032407)</f>
        <v>45726.472303240698</v>
      </c>
      <c r="C116" s="2" t="str">
        <f ca="1">IFERROR(__xludf.DUMMYFUNCTION("""COMPUTED_VALUE"""),"1f033edd")</f>
        <v>1f033edd</v>
      </c>
      <c r="D116" s="2">
        <f ca="1">IFERROR(__xludf.DUMMYFUNCTION("""COMPUTED_VALUE"""),81)</f>
        <v>81</v>
      </c>
      <c r="E116" s="2" t="str">
        <f ca="1">IFERROR(__xludf.DUMMYFUNCTION("""COMPUTED_VALUE"""),"Chardonnay")</f>
        <v>Chardonnay</v>
      </c>
      <c r="F116" s="2">
        <f ca="1">IFERROR(__xludf.DUMMYFUNCTION("""COMPUTED_VALUE"""),19500)</f>
        <v>19500</v>
      </c>
      <c r="G116" s="2">
        <f ca="1">IFERROR(__xludf.DUMMYFUNCTION("""COMPUTED_VALUE"""),16)</f>
        <v>16</v>
      </c>
      <c r="H116" s="2"/>
      <c r="I116" s="2"/>
      <c r="J116" s="2">
        <f ca="1">IFERROR(__xludf.DUMMYFUNCTION("""COMPUTED_VALUE"""),0)</f>
        <v>0</v>
      </c>
      <c r="K116" s="2">
        <f ca="1">IFERROR(__xludf.DUMMYFUNCTION("""COMPUTED_VALUE"""),19500)</f>
        <v>19500</v>
      </c>
      <c r="L116" s="2" t="str">
        <f ca="1">IFERROR(__xludf.DUMMYFUNCTION("""COMPUTED_VALUE"""),"b5e03e7f")</f>
        <v>b5e03e7f</v>
      </c>
      <c r="M116" s="2" t="str">
        <f ca="1">IFERROR(__xludf.DUMMYFUNCTION("""COMPUTED_VALUE"""),"Chardonnay")</f>
        <v>Chardonnay</v>
      </c>
      <c r="N116" s="2"/>
      <c r="O116" s="2" t="str">
        <f ca="1">IFERROR(__xludf.DUMMYFUNCTION("""COMPUTED_VALUE"""),"Fermentando")</f>
        <v>Fermentando</v>
      </c>
      <c r="P116" s="2"/>
      <c r="Q116" s="2" t="b">
        <f ca="1">IFERROR(__xludf.DUMMYFUNCTION("""COMPUTED_VALUE"""),FALSE)</f>
        <v>0</v>
      </c>
      <c r="R116" s="2" t="str">
        <f ca="1">IFERROR(__xludf.DUMMYFUNCTION("""COMPUTED_VALUE"""),"Descubada")</f>
        <v>Descubada</v>
      </c>
      <c r="S116" s="2"/>
      <c r="T116" s="2"/>
      <c r="U116" s="2"/>
    </row>
    <row r="117" spans="1:21" x14ac:dyDescent="0.25">
      <c r="A117" s="2" t="str">
        <f ca="1">IFERROR(__xludf.DUMMYFUNCTION("""COMPUTED_VALUE"""),"de983fea")</f>
        <v>de983fea</v>
      </c>
      <c r="B117" s="3">
        <f ca="1">IFERROR(__xludf.DUMMYFUNCTION("""COMPUTED_VALUE"""),45726.4780902777)</f>
        <v>45726.478090277698</v>
      </c>
      <c r="C117" s="2" t="str">
        <f ca="1">IFERROR(__xludf.DUMMYFUNCTION("""COMPUTED_VALUE"""),"665bbad3")</f>
        <v>665bbad3</v>
      </c>
      <c r="D117" s="2">
        <f ca="1">IFERROR(__xludf.DUMMYFUNCTION("""COMPUTED_VALUE"""),47)</f>
        <v>47</v>
      </c>
      <c r="E117" s="2" t="str">
        <f ca="1">IFERROR(__xludf.DUMMYFUNCTION("""COMPUTED_VALUE"""),"Cabernet Sauvignon 24 Rect")</f>
        <v>Cabernet Sauvignon 24 Rect</v>
      </c>
      <c r="F117" s="2">
        <f ca="1">IFERROR(__xludf.DUMMYFUNCTION("""COMPUTED_VALUE"""),5300)</f>
        <v>5300</v>
      </c>
      <c r="G117" s="2">
        <f ca="1">IFERROR(__xludf.DUMMYFUNCTION("""COMPUTED_VALUE"""),84)</f>
        <v>84</v>
      </c>
      <c r="H117" s="2" t="str">
        <f ca="1">IFERROR(__xludf.DUMMYFUNCTION("""COMPUTED_VALUE"""),"9089481b")</f>
        <v>9089481b</v>
      </c>
      <c r="I117" s="2" t="str">
        <f ca="1">IFERROR(__xludf.DUMMYFUNCTION("""COMPUTED_VALUE"""),"Syrah")</f>
        <v>Syrah</v>
      </c>
      <c r="J117" s="2">
        <f ca="1">IFERROR(__xludf.DUMMYFUNCTION("""COMPUTED_VALUE"""),44300)</f>
        <v>44300</v>
      </c>
      <c r="K117" s="2">
        <f ca="1">IFERROR(__xludf.DUMMYFUNCTION("""COMPUTED_VALUE"""),49600)</f>
        <v>49600</v>
      </c>
      <c r="L117" s="2" t="str">
        <f ca="1">IFERROR(__xludf.DUMMYFUNCTION("""COMPUTED_VALUE"""),"76f1abe4")</f>
        <v>76f1abe4</v>
      </c>
      <c r="M117" s="2" t="str">
        <f ca="1">IFERROR(__xludf.DUMMYFUNCTION("""COMPUTED_VALUE"""),"Syrah")</f>
        <v>Syrah</v>
      </c>
      <c r="N117" s="2"/>
      <c r="O117" s="2" t="str">
        <f ca="1">IFERROR(__xludf.DUMMYFUNCTION("""COMPUTED_VALUE"""),"Rectificado")</f>
        <v>Rectificado</v>
      </c>
      <c r="P117" s="2" t="str">
        <f ca="1">IFERROR(__xludf.DUMMYFUNCTION("""COMPUTED_VALUE"""),"Fermentando")</f>
        <v>Fermentando</v>
      </c>
      <c r="Q117" s="2" t="b">
        <f ca="1">IFERROR(__xludf.DUMMYFUNCTION("""COMPUTED_VALUE"""),TRUE)</f>
        <v>1</v>
      </c>
      <c r="R117" s="2" t="str">
        <f ca="1">IFERROR(__xludf.DUMMYFUNCTION("""COMPUTED_VALUE"""),"Fermentando")</f>
        <v>Fermentando</v>
      </c>
      <c r="S117" s="2"/>
      <c r="T117" s="2"/>
      <c r="U117" s="2"/>
    </row>
    <row r="118" spans="1:21" x14ac:dyDescent="0.25">
      <c r="A118" s="2" t="str">
        <f ca="1">IFERROR(__xludf.DUMMYFUNCTION("""COMPUTED_VALUE"""),"0929ea78")</f>
        <v>0929ea78</v>
      </c>
      <c r="B118" s="3">
        <f ca="1">IFERROR(__xludf.DUMMYFUNCTION("""COMPUTED_VALUE"""),45726.4785185185)</f>
        <v>45726.478518518503</v>
      </c>
      <c r="C118" s="2" t="str">
        <f ca="1">IFERROR(__xludf.DUMMYFUNCTION("""COMPUTED_VALUE"""),"665bbad3")</f>
        <v>665bbad3</v>
      </c>
      <c r="D118" s="2">
        <f ca="1">IFERROR(__xludf.DUMMYFUNCTION("""COMPUTED_VALUE"""),47)</f>
        <v>47</v>
      </c>
      <c r="E118" s="2" t="str">
        <f ca="1">IFERROR(__xludf.DUMMYFUNCTION("""COMPUTED_VALUE"""),"Cabernet Sauvignon 24 Rect")</f>
        <v>Cabernet Sauvignon 24 Rect</v>
      </c>
      <c r="F118" s="2">
        <f ca="1">IFERROR(__xludf.DUMMYFUNCTION("""COMPUTED_VALUE"""),2000)</f>
        <v>2000</v>
      </c>
      <c r="G118" s="2">
        <f ca="1">IFERROR(__xludf.DUMMYFUNCTION("""COMPUTED_VALUE"""),82)</f>
        <v>82</v>
      </c>
      <c r="H118" s="2" t="str">
        <f ca="1">IFERROR(__xludf.DUMMYFUNCTION("""COMPUTED_VALUE"""),"6b4f5740")</f>
        <v>6b4f5740</v>
      </c>
      <c r="I118" s="2" t="str">
        <f ca="1">IFERROR(__xludf.DUMMYFUNCTION("""COMPUTED_VALUE"""),"Anccelotta")</f>
        <v>Anccelotta</v>
      </c>
      <c r="J118" s="2">
        <f ca="1">IFERROR(__xludf.DUMMYFUNCTION("""COMPUTED_VALUE"""),15000)</f>
        <v>15000</v>
      </c>
      <c r="K118" s="2">
        <f ca="1">IFERROR(__xludf.DUMMYFUNCTION("""COMPUTED_VALUE"""),17000)</f>
        <v>17000</v>
      </c>
      <c r="L118" s="2" t="str">
        <f ca="1">IFERROR(__xludf.DUMMYFUNCTION("""COMPUTED_VALUE"""),"4a9a65d1")</f>
        <v>4a9a65d1</v>
      </c>
      <c r="M118" s="2" t="str">
        <f ca="1">IFERROR(__xludf.DUMMYFUNCTION("""COMPUTED_VALUE"""),"Anccelotta")</f>
        <v>Anccelotta</v>
      </c>
      <c r="N118" s="2"/>
      <c r="O118" s="2" t="str">
        <f ca="1">IFERROR(__xludf.DUMMYFUNCTION("""COMPUTED_VALUE"""),"Rectificado")</f>
        <v>Rectificado</v>
      </c>
      <c r="P118" s="2" t="str">
        <f ca="1">IFERROR(__xludf.DUMMYFUNCTION("""COMPUTED_VALUE"""),"Fermentando")</f>
        <v>Fermentando</v>
      </c>
      <c r="Q118" s="2" t="b">
        <f ca="1">IFERROR(__xludf.DUMMYFUNCTION("""COMPUTED_VALUE"""),TRUE)</f>
        <v>1</v>
      </c>
      <c r="R118" s="2" t="str">
        <f ca="1">IFERROR(__xludf.DUMMYFUNCTION("""COMPUTED_VALUE"""),"Fermentando")</f>
        <v>Fermentando</v>
      </c>
      <c r="S118" s="2"/>
      <c r="T118" s="2"/>
      <c r="U118" s="2"/>
    </row>
    <row r="119" spans="1:21" x14ac:dyDescent="0.25">
      <c r="A119" s="2" t="str">
        <f ca="1">IFERROR(__xludf.DUMMYFUNCTION("""COMPUTED_VALUE"""),"7d00c4a9")</f>
        <v>7d00c4a9</v>
      </c>
      <c r="B119" s="3">
        <f ca="1">IFERROR(__xludf.DUMMYFUNCTION("""COMPUTED_VALUE"""),45726.9698842592)</f>
        <v>45726.969884259197</v>
      </c>
      <c r="C119" s="2" t="str">
        <f ca="1">IFERROR(__xludf.DUMMYFUNCTION("""COMPUTED_VALUE"""),"b9edcc33")</f>
        <v>b9edcc33</v>
      </c>
      <c r="D119" s="2">
        <f ca="1">IFERROR(__xludf.DUMMYFUNCTION("""COMPUTED_VALUE"""),51)</f>
        <v>51</v>
      </c>
      <c r="E119" s="2" t="str">
        <f ca="1">IFERROR(__xludf.DUMMYFUNCTION("""COMPUTED_VALUE"""),"Cabernet Sauv Despacho Bodega")</f>
        <v>Cabernet Sauv Despacho Bodega</v>
      </c>
      <c r="F119" s="2">
        <f ca="1">IFERROR(__xludf.DUMMYFUNCTION("""COMPUTED_VALUE"""),2500)</f>
        <v>2500</v>
      </c>
      <c r="G119" s="2">
        <f ca="1">IFERROR(__xludf.DUMMYFUNCTION("""COMPUTED_VALUE"""),500)</f>
        <v>500</v>
      </c>
      <c r="H119" s="2"/>
      <c r="I119" s="2"/>
      <c r="J119" s="2">
        <f ca="1">IFERROR(__xludf.DUMMYFUNCTION("""COMPUTED_VALUE"""),0)</f>
        <v>0</v>
      </c>
      <c r="K119" s="2">
        <f ca="1">IFERROR(__xludf.DUMMYFUNCTION("""COMPUTED_VALUE"""),2500)</f>
        <v>2500</v>
      </c>
      <c r="L119" s="2" t="str">
        <f ca="1">IFERROR(__xludf.DUMMYFUNCTION("""COMPUTED_VALUE"""),"41324315")</f>
        <v>41324315</v>
      </c>
      <c r="M119" s="2" t="str">
        <f ca="1">IFERROR(__xludf.DUMMYFUNCTION("""COMPUTED_VALUE"""),"Cabernet Sauv Despacho Bodega")</f>
        <v>Cabernet Sauv Despacho Bodega</v>
      </c>
      <c r="N119" s="2" t="str">
        <f ca="1">IFERROR(__xludf.DUMMYFUNCTION("""COMPUTED_VALUE"""),"Despacho de vino")</f>
        <v>Despacho de vino</v>
      </c>
      <c r="O119" s="2" t="str">
        <f ca="1">IFERROR(__xludf.DUMMYFUNCTION("""COMPUTED_VALUE"""),"Terminado")</f>
        <v>Terminado</v>
      </c>
      <c r="P119" s="2"/>
      <c r="Q119" s="2" t="b">
        <f ca="1">IFERROR(__xludf.DUMMYFUNCTION("""COMPUTED_VALUE"""),FALSE)</f>
        <v>0</v>
      </c>
      <c r="R119" s="2" t="str">
        <f ca="1">IFERROR(__xludf.DUMMYFUNCTION("""COMPUTED_VALUE"""),"Terminado")</f>
        <v>Terminado</v>
      </c>
      <c r="S119" s="2"/>
      <c r="T119" s="2"/>
      <c r="U119" s="2"/>
    </row>
    <row r="120" spans="1:21" x14ac:dyDescent="0.25">
      <c r="A120" s="2" t="str">
        <f ca="1">IFERROR(__xludf.DUMMYFUNCTION("""COMPUTED_VALUE"""),"5491046b")</f>
        <v>5491046b</v>
      </c>
      <c r="B120" s="3">
        <f ca="1">IFERROR(__xludf.DUMMYFUNCTION("""COMPUTED_VALUE"""),45726.9706597222)</f>
        <v>45726.970659722203</v>
      </c>
      <c r="C120" s="2" t="str">
        <f ca="1">IFERROR(__xludf.DUMMYFUNCTION("""COMPUTED_VALUE"""),"26b37af9")</f>
        <v>26b37af9</v>
      </c>
      <c r="D120" s="2">
        <f ca="1">IFERROR(__xludf.DUMMYFUNCTION("""COMPUTED_VALUE"""),52)</f>
        <v>52</v>
      </c>
      <c r="E120" s="2" t="str">
        <f ca="1">IFERROR(__xludf.DUMMYFUNCTION("""COMPUTED_VALUE"""),"Chardonnay 24 Rect")</f>
        <v>Chardonnay 24 Rect</v>
      </c>
      <c r="F120" s="2">
        <f ca="1">IFERROR(__xludf.DUMMYFUNCTION("""COMPUTED_VALUE"""),14000)</f>
        <v>14000</v>
      </c>
      <c r="G120" s="2">
        <f ca="1">IFERROR(__xludf.DUMMYFUNCTION("""COMPUTED_VALUE"""),500)</f>
        <v>500</v>
      </c>
      <c r="H120" s="2" t="str">
        <f ca="1">IFERROR(__xludf.DUMMYFUNCTION("""COMPUTED_VALUE"""),"41324315")</f>
        <v>41324315</v>
      </c>
      <c r="I120" s="2" t="str">
        <f ca="1">IFERROR(__xludf.DUMMYFUNCTION("""COMPUTED_VALUE"""),"Cabernet Sauv Despacho Bodega")</f>
        <v>Cabernet Sauv Despacho Bodega</v>
      </c>
      <c r="J120" s="2">
        <f ca="1">IFERROR(__xludf.DUMMYFUNCTION("""COMPUTED_VALUE"""),2500)</f>
        <v>2500</v>
      </c>
      <c r="K120" s="2">
        <f ca="1">IFERROR(__xludf.DUMMYFUNCTION("""COMPUTED_VALUE"""),26500)</f>
        <v>26500</v>
      </c>
      <c r="L120" s="2" t="str">
        <f ca="1">IFERROR(__xludf.DUMMYFUNCTION("""COMPUTED_VALUE"""),"f6596c23")</f>
        <v>f6596c23</v>
      </c>
      <c r="M120" s="2" t="str">
        <f ca="1">IFERROR(__xludf.DUMMYFUNCTION("""COMPUTED_VALUE"""),"Chardonnay 24 Rect")</f>
        <v>Chardonnay 24 Rect</v>
      </c>
      <c r="N120" s="2" t="str">
        <f ca="1">IFERROR(__xludf.DUMMYFUNCTION("""COMPUTED_VALUE"""),"ajuste volumen rectificado")</f>
        <v>ajuste volumen rectificado</v>
      </c>
      <c r="O120" s="2" t="str">
        <f ca="1">IFERROR(__xludf.DUMMYFUNCTION("""COMPUTED_VALUE"""),"Rectificado")</f>
        <v>Rectificado</v>
      </c>
      <c r="P120" s="2" t="str">
        <f ca="1">IFERROR(__xludf.DUMMYFUNCTION("""COMPUTED_VALUE"""),"Terminado")</f>
        <v>Terminado</v>
      </c>
      <c r="Q120" s="2" t="b">
        <f ca="1">IFERROR(__xludf.DUMMYFUNCTION("""COMPUTED_VALUE"""),FALSE)</f>
        <v>0</v>
      </c>
      <c r="R120" s="2" t="str">
        <f ca="1">IFERROR(__xludf.DUMMYFUNCTION("""COMPUTED_VALUE"""),"Rectificado")</f>
        <v>Rectificado</v>
      </c>
      <c r="S120" s="2"/>
      <c r="T120" s="2"/>
      <c r="U120" s="2"/>
    </row>
    <row r="121" spans="1:21" x14ac:dyDescent="0.25">
      <c r="A121" s="2" t="str">
        <f ca="1">IFERROR(__xludf.DUMMYFUNCTION("""COMPUTED_VALUE"""),"b1dca1fb")</f>
        <v>b1dca1fb</v>
      </c>
      <c r="B121" s="3">
        <f ca="1">IFERROR(__xludf.DUMMYFUNCTION("""COMPUTED_VALUE"""),45726.9723958333)</f>
        <v>45726.972395833298</v>
      </c>
      <c r="C121" s="2" t="str">
        <f ca="1">IFERROR(__xludf.DUMMYFUNCTION("""COMPUTED_VALUE"""),"577b30d8")</f>
        <v>577b30d8</v>
      </c>
      <c r="D121" s="2">
        <f ca="1">IFERROR(__xludf.DUMMYFUNCTION("""COMPUTED_VALUE"""),53)</f>
        <v>53</v>
      </c>
      <c r="E121" s="2" t="str">
        <f ca="1">IFERROR(__xludf.DUMMYFUNCTION("""COMPUTED_VALUE"""),"Syrah s/Asp 2 Prensa")</f>
        <v>Syrah s/Asp 2 Prensa</v>
      </c>
      <c r="F121" s="2">
        <f ca="1">IFERROR(__xludf.DUMMYFUNCTION("""COMPUTED_VALUE"""),6000)</f>
        <v>6000</v>
      </c>
      <c r="G121" s="2">
        <f ca="1">IFERROR(__xludf.DUMMYFUNCTION("""COMPUTED_VALUE"""),500)</f>
        <v>500</v>
      </c>
      <c r="H121" s="2" t="str">
        <f ca="1">IFERROR(__xludf.DUMMYFUNCTION("""COMPUTED_VALUE"""),"f6596c23")</f>
        <v>f6596c23</v>
      </c>
      <c r="I121" s="2" t="str">
        <f ca="1">IFERROR(__xludf.DUMMYFUNCTION("""COMPUTED_VALUE"""),"Chardonnay 24 Rect")</f>
        <v>Chardonnay 24 Rect</v>
      </c>
      <c r="J121" s="2">
        <f ca="1">IFERROR(__xludf.DUMMYFUNCTION("""COMPUTED_VALUE"""),26500)</f>
        <v>26500</v>
      </c>
      <c r="K121" s="2">
        <f ca="1">IFERROR(__xludf.DUMMYFUNCTION("""COMPUTED_VALUE"""),32500)</f>
        <v>32500</v>
      </c>
      <c r="L121" s="2" t="str">
        <f ca="1">IFERROR(__xludf.DUMMYFUNCTION("""COMPUTED_VALUE"""),"59e7d158")</f>
        <v>59e7d158</v>
      </c>
      <c r="M121" s="2" t="str">
        <f ca="1">IFERROR(__xludf.DUMMYFUNCTION("""COMPUTED_VALUE"""),"Syrah s/Asp 2 Prensa")</f>
        <v>Syrah s/Asp 2 Prensa</v>
      </c>
      <c r="N121" s="2"/>
      <c r="O121" s="2" t="str">
        <f ca="1">IFERROR(__xludf.DUMMYFUNCTION("""COMPUTED_VALUE"""),"Descubada")</f>
        <v>Descubada</v>
      </c>
      <c r="P121" s="2" t="str">
        <f ca="1">IFERROR(__xludf.DUMMYFUNCTION("""COMPUTED_VALUE"""),"Rectificado")</f>
        <v>Rectificado</v>
      </c>
      <c r="Q121" s="2" t="b">
        <f ca="1">IFERROR(__xludf.DUMMYFUNCTION("""COMPUTED_VALUE"""),FALSE)</f>
        <v>0</v>
      </c>
      <c r="R121" s="2" t="str">
        <f ca="1">IFERROR(__xludf.DUMMYFUNCTION("""COMPUTED_VALUE"""),"Descubada")</f>
        <v>Descubada</v>
      </c>
      <c r="S121" s="2"/>
      <c r="T121" s="2"/>
      <c r="U121" s="2"/>
    </row>
    <row r="122" spans="1:21" x14ac:dyDescent="0.25">
      <c r="A122" s="2" t="str">
        <f ca="1">IFERROR(__xludf.DUMMYFUNCTION("""COMPUTED_VALUE"""),"eb4e7714")</f>
        <v>eb4e7714</v>
      </c>
      <c r="B122" s="3">
        <f ca="1">IFERROR(__xludf.DUMMYFUNCTION("""COMPUTED_VALUE"""),45726.9734375)</f>
        <v>45726.973437499997</v>
      </c>
      <c r="C122" s="2" t="str">
        <f ca="1">IFERROR(__xludf.DUMMYFUNCTION("""COMPUTED_VALUE"""),"15e7b86f")</f>
        <v>15e7b86f</v>
      </c>
      <c r="D122" s="2">
        <f ca="1">IFERROR(__xludf.DUMMYFUNCTION("""COMPUTED_VALUE"""),65)</f>
        <v>65</v>
      </c>
      <c r="E122" s="2" t="str">
        <f ca="1">IFERROR(__xludf.DUMMYFUNCTION("""COMPUTED_VALUE"""),"Anccelotta")</f>
        <v>Anccelotta</v>
      </c>
      <c r="F122" s="2">
        <f ca="1">IFERROR(__xludf.DUMMYFUNCTION("""COMPUTED_VALUE"""),4500)</f>
        <v>4500</v>
      </c>
      <c r="G122" s="2">
        <f ca="1">IFERROR(__xludf.DUMMYFUNCTION("""COMPUTED_VALUE"""),500)</f>
        <v>500</v>
      </c>
      <c r="H122" s="2" t="str">
        <f ca="1">IFERROR(__xludf.DUMMYFUNCTION("""COMPUTED_VALUE"""),"59e7d158")</f>
        <v>59e7d158</v>
      </c>
      <c r="I122" s="2" t="str">
        <f ca="1">IFERROR(__xludf.DUMMYFUNCTION("""COMPUTED_VALUE"""),"Syrah s/Asp 2 Prensa")</f>
        <v>Syrah s/Asp 2 Prensa</v>
      </c>
      <c r="J122" s="2">
        <f ca="1">IFERROR(__xludf.DUMMYFUNCTION("""COMPUTED_VALUE"""),32500)</f>
        <v>32500</v>
      </c>
      <c r="K122" s="2">
        <f ca="1">IFERROR(__xludf.DUMMYFUNCTION("""COMPUTED_VALUE"""),37000)</f>
        <v>37000</v>
      </c>
      <c r="L122" s="2" t="str">
        <f ca="1">IFERROR(__xludf.DUMMYFUNCTION("""COMPUTED_VALUE"""),"219129bc")</f>
        <v>219129bc</v>
      </c>
      <c r="M122" s="2" t="str">
        <f ca="1">IFERROR(__xludf.DUMMYFUNCTION("""COMPUTED_VALUE"""),"Anccelotta")</f>
        <v>Anccelotta</v>
      </c>
      <c r="N122" s="2" t="str">
        <f ca="1">IFERROR(__xludf.DUMMYFUNCTION("""COMPUTED_VALUE"""),"ajuste volumen")</f>
        <v>ajuste volumen</v>
      </c>
      <c r="O122" s="2" t="str">
        <f ca="1">IFERROR(__xludf.DUMMYFUNCTION("""COMPUTED_VALUE"""),"Fermentando")</f>
        <v>Fermentando</v>
      </c>
      <c r="P122" s="2" t="str">
        <f ca="1">IFERROR(__xludf.DUMMYFUNCTION("""COMPUTED_VALUE"""),"Descubada")</f>
        <v>Descubada</v>
      </c>
      <c r="Q122" s="2" t="b">
        <f ca="1">IFERROR(__xludf.DUMMYFUNCTION("""COMPUTED_VALUE"""),FALSE)</f>
        <v>0</v>
      </c>
      <c r="R122" s="2" t="str">
        <f ca="1">IFERROR(__xludf.DUMMYFUNCTION("""COMPUTED_VALUE"""),"Fermentando")</f>
        <v>Fermentando</v>
      </c>
      <c r="S122" s="2"/>
      <c r="T122" s="2"/>
      <c r="U122" s="2"/>
    </row>
    <row r="123" spans="1:21" x14ac:dyDescent="0.25">
      <c r="A123" s="2" t="str">
        <f ca="1">IFERROR(__xludf.DUMMYFUNCTION("""COMPUTED_VALUE"""),"afa99dc2")</f>
        <v>afa99dc2</v>
      </c>
      <c r="B123" s="3">
        <f ca="1">IFERROR(__xludf.DUMMYFUNCTION("""COMPUTED_VALUE"""),45727.3675810185)</f>
        <v>45727.367581018501</v>
      </c>
      <c r="C123" s="2" t="str">
        <f ca="1">IFERROR(__xludf.DUMMYFUNCTION("""COMPUTED_VALUE"""),"f76c3497")</f>
        <v>f76c3497</v>
      </c>
      <c r="D123" s="2">
        <f ca="1">IFERROR(__xludf.DUMMYFUNCTION("""COMPUTED_VALUE"""),96)</f>
        <v>96</v>
      </c>
      <c r="E123" s="2" t="str">
        <f ca="1">IFERROR(__xludf.DUMMYFUNCTION("""COMPUTED_VALUE"""),"Tinto La Vendimia")</f>
        <v>Tinto La Vendimia</v>
      </c>
      <c r="F123" s="2">
        <f ca="1">IFERROR(__xludf.DUMMYFUNCTION("""COMPUTED_VALUE"""),8800)</f>
        <v>8800</v>
      </c>
      <c r="G123" s="2">
        <f ca="1">IFERROR(__xludf.DUMMYFUNCTION("""COMPUTED_VALUE"""),500)</f>
        <v>500</v>
      </c>
      <c r="H123" s="2" t="str">
        <f ca="1">IFERROR(__xludf.DUMMYFUNCTION("""COMPUTED_VALUE"""),"219129bc")</f>
        <v>219129bc</v>
      </c>
      <c r="I123" s="2" t="str">
        <f ca="1">IFERROR(__xludf.DUMMYFUNCTION("""COMPUTED_VALUE"""),"Anccelotta")</f>
        <v>Anccelotta</v>
      </c>
      <c r="J123" s="2">
        <f ca="1">IFERROR(__xludf.DUMMYFUNCTION("""COMPUTED_VALUE"""),37000)</f>
        <v>37000</v>
      </c>
      <c r="K123" s="2">
        <f ca="1">IFERROR(__xludf.DUMMYFUNCTION("""COMPUTED_VALUE"""),45800)</f>
        <v>45800</v>
      </c>
      <c r="L123" s="2" t="str">
        <f ca="1">IFERROR(__xludf.DUMMYFUNCTION("""COMPUTED_VALUE"""),"c286df65")</f>
        <v>c286df65</v>
      </c>
      <c r="M123" s="2" t="str">
        <f ca="1">IFERROR(__xludf.DUMMYFUNCTION("""COMPUTED_VALUE"""),"Tinto La Vendimia")</f>
        <v>Tinto La Vendimia</v>
      </c>
      <c r="N123" s="2" t="str">
        <f ca="1">IFERROR(__xludf.DUMMYFUNCTION("""COMPUTED_VALUE"""),"Ajuste")</f>
        <v>Ajuste</v>
      </c>
      <c r="O123" s="2" t="str">
        <f ca="1">IFERROR(__xludf.DUMMYFUNCTION("""COMPUTED_VALUE"""),"Terminado")</f>
        <v>Terminado</v>
      </c>
      <c r="P123" s="2" t="str">
        <f ca="1">IFERROR(__xludf.DUMMYFUNCTION("""COMPUTED_VALUE"""),"Fermentando")</f>
        <v>Fermentando</v>
      </c>
      <c r="Q123" s="2" t="b">
        <f ca="1">IFERROR(__xludf.DUMMYFUNCTION("""COMPUTED_VALUE"""),FALSE)</f>
        <v>0</v>
      </c>
      <c r="R123" s="2" t="str">
        <f ca="1">IFERROR(__xludf.DUMMYFUNCTION("""COMPUTED_VALUE"""),"Terminado")</f>
        <v>Terminado</v>
      </c>
      <c r="S123" s="2"/>
      <c r="T123" s="2"/>
      <c r="U123" s="2"/>
    </row>
    <row r="124" spans="1:2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x14ac:dyDescent="0.25">
      <c r="A125" s="2" t="str">
        <f ca="1">IFERROR(__xludf.DUMMYFUNCTION("""COMPUTED_VALUE"""),"9add0c3a")</f>
        <v>9add0c3a</v>
      </c>
      <c r="B125" s="3">
        <f ca="1">IFERROR(__xludf.DUMMYFUNCTION("""COMPUTED_VALUE"""),45727.3759953703)</f>
        <v>45727.375995370297</v>
      </c>
      <c r="C125" s="2" t="str">
        <f ca="1">IFERROR(__xludf.DUMMYFUNCTION("""COMPUTED_VALUE"""),"0a4970f2")</f>
        <v>0a4970f2</v>
      </c>
      <c r="D125" s="2">
        <f ca="1">IFERROR(__xludf.DUMMYFUNCTION("""COMPUTED_VALUE"""),500)</f>
        <v>500</v>
      </c>
      <c r="E125" s="2" t="str">
        <f ca="1">IFERROR(__xludf.DUMMYFUNCTION("""COMPUTED_VALUE"""),"Ajuste")</f>
        <v>Ajuste</v>
      </c>
      <c r="F125" s="2">
        <f ca="1">IFERROR(__xludf.DUMMYFUNCTION("""COMPUTED_VALUE"""),22500)</f>
        <v>22500</v>
      </c>
      <c r="G125" s="2">
        <f ca="1">IFERROR(__xludf.DUMMYFUNCTION("""COMPUTED_VALUE"""),108)</f>
        <v>108</v>
      </c>
      <c r="H125" s="2" t="str">
        <f ca="1">IFERROR(__xludf.DUMMYFUNCTION("""COMPUTED_VALUE"""),"a1ad6cb4")</f>
        <v>a1ad6cb4</v>
      </c>
      <c r="I125" s="2" t="str">
        <f ca="1">IFERROR(__xludf.DUMMYFUNCTION("""COMPUTED_VALUE"""),"Syrah Merlot s/Asp Gota")</f>
        <v>Syrah Merlot s/Asp Gota</v>
      </c>
      <c r="J125" s="2">
        <f ca="1">IFERROR(__xludf.DUMMYFUNCTION("""COMPUTED_VALUE"""),7500)</f>
        <v>7500</v>
      </c>
      <c r="K125" s="2">
        <f ca="1">IFERROR(__xludf.DUMMYFUNCTION("""COMPUTED_VALUE"""),30000)</f>
        <v>30000</v>
      </c>
      <c r="L125" s="2" t="str">
        <f ca="1">IFERROR(__xludf.DUMMYFUNCTION("""COMPUTED_VALUE"""),"ba3f8a31")</f>
        <v>ba3f8a31</v>
      </c>
      <c r="M125" s="2" t="str">
        <f ca="1">IFERROR(__xludf.DUMMYFUNCTION("""COMPUTED_VALUE"""),"Syrah Merlot s/Asp Gota")</f>
        <v>Syrah Merlot s/Asp Gota</v>
      </c>
      <c r="N125" s="2" t="str">
        <f ca="1">IFERROR(__xludf.DUMMYFUNCTION("""COMPUTED_VALUE"""),"Ajuste de volumen")</f>
        <v>Ajuste de volumen</v>
      </c>
      <c r="O125" s="2"/>
      <c r="P125" s="2" t="str">
        <f ca="1">IFERROR(__xludf.DUMMYFUNCTION("""COMPUTED_VALUE"""),"Descubada")</f>
        <v>Descubada</v>
      </c>
      <c r="Q125" s="2" t="b">
        <f ca="1">IFERROR(__xludf.DUMMYFUNCTION("""COMPUTED_VALUE"""),TRUE)</f>
        <v>1</v>
      </c>
      <c r="R125" s="2" t="str">
        <f ca="1">IFERROR(__xludf.DUMMYFUNCTION("""COMPUTED_VALUE"""),"Descubada")</f>
        <v>Descubada</v>
      </c>
      <c r="S125" s="2"/>
      <c r="T125" s="2"/>
      <c r="U125" s="2"/>
    </row>
    <row r="126" spans="1:21" x14ac:dyDescent="0.25">
      <c r="A126" s="2" t="str">
        <f ca="1">IFERROR(__xludf.DUMMYFUNCTION("""COMPUTED_VALUE"""),"e2f2138e")</f>
        <v>e2f2138e</v>
      </c>
      <c r="B126" s="3">
        <f ca="1">IFERROR(__xludf.DUMMYFUNCTION("""COMPUTED_VALUE"""),45727.3772222222)</f>
        <v>45727.377222222203</v>
      </c>
      <c r="C126" s="2" t="str">
        <f ca="1">IFERROR(__xludf.DUMMYFUNCTION("""COMPUTED_VALUE"""),"0a4970f2")</f>
        <v>0a4970f2</v>
      </c>
      <c r="D126" s="2">
        <f ca="1">IFERROR(__xludf.DUMMYFUNCTION("""COMPUTED_VALUE"""),500)</f>
        <v>500</v>
      </c>
      <c r="E126" s="2" t="str">
        <f ca="1">IFERROR(__xludf.DUMMYFUNCTION("""COMPUTED_VALUE"""),"Ajuste")</f>
        <v>Ajuste</v>
      </c>
      <c r="F126" s="2">
        <f ca="1">IFERROR(__xludf.DUMMYFUNCTION("""COMPUTED_VALUE"""),1000)</f>
        <v>1000</v>
      </c>
      <c r="G126" s="2">
        <f ca="1">IFERROR(__xludf.DUMMYFUNCTION("""COMPUTED_VALUE"""),104)</f>
        <v>104</v>
      </c>
      <c r="H126" s="2" t="str">
        <f ca="1">IFERROR(__xludf.DUMMYFUNCTION("""COMPUTED_VALUE"""),"d7af693c")</f>
        <v>d7af693c</v>
      </c>
      <c r="I126" s="2" t="str">
        <f ca="1">IFERROR(__xludf.DUMMYFUNCTION("""COMPUTED_VALUE"""),"Malbec Gota")</f>
        <v>Malbec Gota</v>
      </c>
      <c r="J126" s="2">
        <f ca="1">IFERROR(__xludf.DUMMYFUNCTION("""COMPUTED_VALUE"""),29000)</f>
        <v>29000</v>
      </c>
      <c r="K126" s="2">
        <f ca="1">IFERROR(__xludf.DUMMYFUNCTION("""COMPUTED_VALUE"""),30000)</f>
        <v>30000</v>
      </c>
      <c r="L126" s="2" t="str">
        <f ca="1">IFERROR(__xludf.DUMMYFUNCTION("""COMPUTED_VALUE"""),"83599ef4")</f>
        <v>83599ef4</v>
      </c>
      <c r="M126" s="2" t="str">
        <f ca="1">IFERROR(__xludf.DUMMYFUNCTION("""COMPUTED_VALUE"""),"Malbec Gota")</f>
        <v>Malbec Gota</v>
      </c>
      <c r="N126" s="2" t="str">
        <f ca="1">IFERROR(__xludf.DUMMYFUNCTION("""COMPUTED_VALUE"""),"Ajuste de volumen")</f>
        <v>Ajuste de volumen</v>
      </c>
      <c r="O126" s="2"/>
      <c r="P126" s="2" t="str">
        <f ca="1">IFERROR(__xludf.DUMMYFUNCTION("""COMPUTED_VALUE"""),"Descubada")</f>
        <v>Descubada</v>
      </c>
      <c r="Q126" s="2" t="b">
        <f ca="1">IFERROR(__xludf.DUMMYFUNCTION("""COMPUTED_VALUE"""),TRUE)</f>
        <v>1</v>
      </c>
      <c r="R126" s="2" t="str">
        <f ca="1">IFERROR(__xludf.DUMMYFUNCTION("""COMPUTED_VALUE"""),"Descubada")</f>
        <v>Descubada</v>
      </c>
      <c r="S126" s="2"/>
      <c r="T126" s="2"/>
      <c r="U126" s="2"/>
    </row>
    <row r="127" spans="1:21" x14ac:dyDescent="0.25">
      <c r="A127" s="2" t="str">
        <f ca="1">IFERROR(__xludf.DUMMYFUNCTION("""COMPUTED_VALUE"""),"83dd72f2")</f>
        <v>83dd72f2</v>
      </c>
      <c r="B127" s="3">
        <f ca="1">IFERROR(__xludf.DUMMYFUNCTION("""COMPUTED_VALUE"""),45727.3803009259)</f>
        <v>45727.380300925899</v>
      </c>
      <c r="C127" s="2" t="str">
        <f ca="1">IFERROR(__xludf.DUMMYFUNCTION("""COMPUTED_VALUE"""),"0a4970f2")</f>
        <v>0a4970f2</v>
      </c>
      <c r="D127" s="2">
        <f ca="1">IFERROR(__xludf.DUMMYFUNCTION("""COMPUTED_VALUE"""),500)</f>
        <v>500</v>
      </c>
      <c r="E127" s="2" t="str">
        <f ca="1">IFERROR(__xludf.DUMMYFUNCTION("""COMPUTED_VALUE"""),"Ajuste")</f>
        <v>Ajuste</v>
      </c>
      <c r="F127" s="2">
        <f ca="1">IFERROR(__xludf.DUMMYFUNCTION("""COMPUTED_VALUE"""),1000)</f>
        <v>1000</v>
      </c>
      <c r="G127" s="2">
        <f ca="1">IFERROR(__xludf.DUMMYFUNCTION("""COMPUTED_VALUE"""),109)</f>
        <v>109</v>
      </c>
      <c r="H127" s="2" t="str">
        <f ca="1">IFERROR(__xludf.DUMMYFUNCTION("""COMPUTED_VALUE"""),"d6ff9a07")</f>
        <v>d6ff9a07</v>
      </c>
      <c r="I127" s="2" t="str">
        <f ca="1">IFERROR(__xludf.DUMMYFUNCTION("""COMPUTED_VALUE"""),"Merlot s/Asp descube")</f>
        <v>Merlot s/Asp descube</v>
      </c>
      <c r="J127" s="2">
        <f ca="1">IFERROR(__xludf.DUMMYFUNCTION("""COMPUTED_VALUE"""),14000)</f>
        <v>14000</v>
      </c>
      <c r="K127" s="2">
        <f ca="1">IFERROR(__xludf.DUMMYFUNCTION("""COMPUTED_VALUE"""),15000)</f>
        <v>15000</v>
      </c>
      <c r="L127" s="2" t="str">
        <f ca="1">IFERROR(__xludf.DUMMYFUNCTION("""COMPUTED_VALUE"""),"d83c9a57")</f>
        <v>d83c9a57</v>
      </c>
      <c r="M127" s="2" t="str">
        <f ca="1">IFERROR(__xludf.DUMMYFUNCTION("""COMPUTED_VALUE"""),"Merlot s/Asp descube")</f>
        <v>Merlot s/Asp descube</v>
      </c>
      <c r="N127" s="2" t="str">
        <f ca="1">IFERROR(__xludf.DUMMYFUNCTION("""COMPUTED_VALUE"""),"Ajuste volumen")</f>
        <v>Ajuste volumen</v>
      </c>
      <c r="O127" s="2"/>
      <c r="P127" s="2" t="str">
        <f ca="1">IFERROR(__xludf.DUMMYFUNCTION("""COMPUTED_VALUE"""),"Descubada")</f>
        <v>Descubada</v>
      </c>
      <c r="Q127" s="2" t="b">
        <f ca="1">IFERROR(__xludf.DUMMYFUNCTION("""COMPUTED_VALUE"""),TRUE)</f>
        <v>1</v>
      </c>
      <c r="R127" s="2" t="str">
        <f ca="1">IFERROR(__xludf.DUMMYFUNCTION("""COMPUTED_VALUE"""),"Descubada")</f>
        <v>Descubada</v>
      </c>
      <c r="S127" s="2"/>
      <c r="T127" s="2"/>
      <c r="U127" s="2"/>
    </row>
    <row r="128" spans="1:21" x14ac:dyDescent="0.25">
      <c r="A128" s="2" t="str">
        <f ca="1">IFERROR(__xludf.DUMMYFUNCTION("""COMPUTED_VALUE"""),"0c1fbd44")</f>
        <v>0c1fbd44</v>
      </c>
      <c r="B128" s="3">
        <f ca="1">IFERROR(__xludf.DUMMYFUNCTION("""COMPUTED_VALUE"""),45727.3808333333)</f>
        <v>45727.3808333333</v>
      </c>
      <c r="C128" s="2" t="str">
        <f ca="1">IFERROR(__xludf.DUMMYFUNCTION("""COMPUTED_VALUE"""),"d8ebe8ad")</f>
        <v>d8ebe8ad</v>
      </c>
      <c r="D128" s="2">
        <f ca="1">IFERROR(__xludf.DUMMYFUNCTION("""COMPUTED_VALUE"""),110)</f>
        <v>110</v>
      </c>
      <c r="E128" s="2" t="str">
        <f ca="1">IFERROR(__xludf.DUMMYFUNCTION("""COMPUTED_VALUE"""),"Syrah s/Asp 2da")</f>
        <v>Syrah s/Asp 2da</v>
      </c>
      <c r="F128" s="2">
        <f ca="1">IFERROR(__xludf.DUMMYFUNCTION("""COMPUTED_VALUE"""),600)</f>
        <v>600</v>
      </c>
      <c r="G128" s="2">
        <f ca="1">IFERROR(__xludf.DUMMYFUNCTION("""COMPUTED_VALUE"""),500)</f>
        <v>500</v>
      </c>
      <c r="H128" s="2" t="str">
        <f ca="1">IFERROR(__xludf.DUMMYFUNCTION("""COMPUTED_VALUE"""),"0a4970f2")</f>
        <v>0a4970f2</v>
      </c>
      <c r="I128" s="2" t="str">
        <f ca="1">IFERROR(__xludf.DUMMYFUNCTION("""COMPUTED_VALUE"""),"Ajuste")</f>
        <v>Ajuste</v>
      </c>
      <c r="J128" s="2">
        <f ca="1">IFERROR(__xludf.DUMMYFUNCTION("""COMPUTED_VALUE"""),-24499)</f>
        <v>-24499</v>
      </c>
      <c r="K128" s="2">
        <f ca="1">IFERROR(__xludf.DUMMYFUNCTION("""COMPUTED_VALUE"""),-23899)</f>
        <v>-23899</v>
      </c>
      <c r="L128" s="2" t="str">
        <f ca="1">IFERROR(__xludf.DUMMYFUNCTION("""COMPUTED_VALUE"""),"dc3d5a11")</f>
        <v>dc3d5a11</v>
      </c>
      <c r="M128" s="2" t="str">
        <f ca="1">IFERROR(__xludf.DUMMYFUNCTION("""COMPUTED_VALUE"""),"Ajuste")</f>
        <v>Ajuste</v>
      </c>
      <c r="N128" s="2" t="str">
        <f ca="1">IFERROR(__xludf.DUMMYFUNCTION("""COMPUTED_VALUE"""),"Ajuste volumen")</f>
        <v>Ajuste volumen</v>
      </c>
      <c r="O128" s="2" t="str">
        <f ca="1">IFERROR(__xludf.DUMMYFUNCTION("""COMPUTED_VALUE"""),"Descubada")</f>
        <v>Descubada</v>
      </c>
      <c r="P128" s="2"/>
      <c r="Q128" s="2" t="b">
        <f ca="1">IFERROR(__xludf.DUMMYFUNCTION("""COMPUTED_VALUE"""),TRUE)</f>
        <v>1</v>
      </c>
      <c r="R128" s="2"/>
      <c r="S128" s="2"/>
      <c r="T128" s="2"/>
      <c r="U128" s="2"/>
    </row>
    <row r="129" spans="1:21" x14ac:dyDescent="0.25">
      <c r="A129" s="2" t="str">
        <f ca="1">IFERROR(__xludf.DUMMYFUNCTION("""COMPUTED_VALUE"""),"048878eb")</f>
        <v>048878eb</v>
      </c>
      <c r="B129" s="3">
        <f ca="1">IFERROR(__xludf.DUMMYFUNCTION("""COMPUTED_VALUE"""),45727.3948379629)</f>
        <v>45727.3948379629</v>
      </c>
      <c r="C129" s="2" t="str">
        <f ca="1">IFERROR(__xludf.DUMMYFUNCTION("""COMPUTED_VALUE"""),"0835b42b")</f>
        <v>0835b42b</v>
      </c>
      <c r="D129" s="2">
        <f ca="1">IFERROR(__xludf.DUMMYFUNCTION("""COMPUTED_VALUE"""),102)</f>
        <v>102</v>
      </c>
      <c r="E129" s="2" t="str">
        <f ca="1">IFERROR(__xludf.DUMMYFUNCTION("""COMPUTED_VALUE"""),"Aspirant")</f>
        <v>Aspirant</v>
      </c>
      <c r="F129" s="2">
        <f ca="1">IFERROR(__xludf.DUMMYFUNCTION("""COMPUTED_VALUE"""),12900)</f>
        <v>12900</v>
      </c>
      <c r="G129" s="2">
        <f ca="1">IFERROR(__xludf.DUMMYFUNCTION("""COMPUTED_VALUE"""),35)</f>
        <v>35</v>
      </c>
      <c r="H129" s="2"/>
      <c r="I129" s="2"/>
      <c r="J129" s="2">
        <f ca="1">IFERROR(__xludf.DUMMYFUNCTION("""COMPUTED_VALUE"""),0)</f>
        <v>0</v>
      </c>
      <c r="K129" s="2">
        <f ca="1">IFERROR(__xludf.DUMMYFUNCTION("""COMPUTED_VALUE"""),12900)</f>
        <v>12900</v>
      </c>
      <c r="L129" s="2" t="str">
        <f ca="1">IFERROR(__xludf.DUMMYFUNCTION("""COMPUTED_VALUE"""),"b5300557")</f>
        <v>b5300557</v>
      </c>
      <c r="M129" s="2" t="str">
        <f ca="1">IFERROR(__xludf.DUMMYFUNCTION("""COMPUTED_VALUE"""),"Aspirant")</f>
        <v>Aspirant</v>
      </c>
      <c r="N129" s="2"/>
      <c r="O129" s="2" t="str">
        <f ca="1">IFERROR(__xludf.DUMMYFUNCTION("""COMPUTED_VALUE"""),"Descubada")</f>
        <v>Descubada</v>
      </c>
      <c r="P129" s="2"/>
      <c r="Q129" s="2" t="b">
        <f ca="1">IFERROR(__xludf.DUMMYFUNCTION("""COMPUTED_VALUE"""),FALSE)</f>
        <v>0</v>
      </c>
      <c r="R129" s="2" t="str">
        <f ca="1">IFERROR(__xludf.DUMMYFUNCTION("""COMPUTED_VALUE"""),"Descubada")</f>
        <v>Descubada</v>
      </c>
      <c r="S129" s="2"/>
      <c r="T129" s="2"/>
      <c r="U129" s="2"/>
    </row>
    <row r="130" spans="1:21" x14ac:dyDescent="0.25">
      <c r="A130" s="2" t="str">
        <f ca="1">IFERROR(__xludf.DUMMYFUNCTION("""COMPUTED_VALUE"""),"0bfe0668")</f>
        <v>0bfe0668</v>
      </c>
      <c r="B130" s="3">
        <f ca="1">IFERROR(__xludf.DUMMYFUNCTION("""COMPUTED_VALUE"""),45727.4015625)</f>
        <v>45727.401562500003</v>
      </c>
      <c r="C130" s="2" t="str">
        <f ca="1">IFERROR(__xludf.DUMMYFUNCTION("""COMPUTED_VALUE"""),"a22cb4a2")</f>
        <v>a22cb4a2</v>
      </c>
      <c r="D130" s="2">
        <f ca="1">IFERROR(__xludf.DUMMYFUNCTION("""COMPUTED_VALUE"""),103)</f>
        <v>103</v>
      </c>
      <c r="E130" s="2" t="str">
        <f ca="1">IFERROR(__xludf.DUMMYFUNCTION("""COMPUTED_VALUE"""),"Aspirat")</f>
        <v>Aspirat</v>
      </c>
      <c r="F130" s="2">
        <f ca="1">IFERROR(__xludf.DUMMYFUNCTION("""COMPUTED_VALUE"""),26400)</f>
        <v>26400</v>
      </c>
      <c r="G130" s="2">
        <f ca="1">IFERROR(__xludf.DUMMYFUNCTION("""COMPUTED_VALUE"""),35)</f>
        <v>35</v>
      </c>
      <c r="H130" s="2" t="str">
        <f ca="1">IFERROR(__xludf.DUMMYFUNCTION("""COMPUTED_VALUE"""),"b5300557")</f>
        <v>b5300557</v>
      </c>
      <c r="I130" s="2" t="str">
        <f ca="1">IFERROR(__xludf.DUMMYFUNCTION("""COMPUTED_VALUE"""),"Aspirant")</f>
        <v>Aspirant</v>
      </c>
      <c r="J130" s="2">
        <f ca="1">IFERROR(__xludf.DUMMYFUNCTION("""COMPUTED_VALUE"""),12900)</f>
        <v>12900</v>
      </c>
      <c r="K130" s="2">
        <f ca="1">IFERROR(__xludf.DUMMYFUNCTION("""COMPUTED_VALUE"""),39300)</f>
        <v>39300</v>
      </c>
      <c r="L130" s="2" t="str">
        <f ca="1">IFERROR(__xludf.DUMMYFUNCTION("""COMPUTED_VALUE"""),"e954d719")</f>
        <v>e954d719</v>
      </c>
      <c r="M130" s="2" t="str">
        <f ca="1">IFERROR(__xludf.DUMMYFUNCTION("""COMPUTED_VALUE"""),"Aspirant")</f>
        <v>Aspirant</v>
      </c>
      <c r="N130" s="2"/>
      <c r="O130" s="2" t="str">
        <f ca="1">IFERROR(__xludf.DUMMYFUNCTION("""COMPUTED_VALUE"""),"Descubada")</f>
        <v>Descubada</v>
      </c>
      <c r="P130" s="2" t="str">
        <f ca="1">IFERROR(__xludf.DUMMYFUNCTION("""COMPUTED_VALUE"""),"Descubada")</f>
        <v>Descubada</v>
      </c>
      <c r="Q130" s="2" t="b">
        <f ca="1">IFERROR(__xludf.DUMMYFUNCTION("""COMPUTED_VALUE"""),TRUE)</f>
        <v>1</v>
      </c>
      <c r="R130" s="2" t="str">
        <f ca="1">IFERROR(__xludf.DUMMYFUNCTION("""COMPUTED_VALUE"""),"Descubada")</f>
        <v>Descubada</v>
      </c>
      <c r="S130" s="2"/>
      <c r="T130" s="2"/>
      <c r="U130" s="2"/>
    </row>
    <row r="131" spans="1:21" x14ac:dyDescent="0.25">
      <c r="A131" s="2" t="str">
        <f ca="1">IFERROR(__xludf.DUMMYFUNCTION("""COMPUTED_VALUE"""),"99e3e9d0")</f>
        <v>99e3e9d0</v>
      </c>
      <c r="B131" s="3">
        <f ca="1">IFERROR(__xludf.DUMMYFUNCTION("""COMPUTED_VALUE"""),45727.403136574)</f>
        <v>45727.403136574001</v>
      </c>
      <c r="C131" s="2" t="str">
        <f ca="1">IFERROR(__xludf.DUMMYFUNCTION("""COMPUTED_VALUE"""),"a22cb4a2")</f>
        <v>a22cb4a2</v>
      </c>
      <c r="D131" s="2">
        <f ca="1">IFERROR(__xludf.DUMMYFUNCTION("""COMPUTED_VALUE"""),103)</f>
        <v>103</v>
      </c>
      <c r="E131" s="2" t="str">
        <f ca="1">IFERROR(__xludf.DUMMYFUNCTION("""COMPUTED_VALUE"""),"Aspirat")</f>
        <v>Aspirat</v>
      </c>
      <c r="F131" s="2">
        <f ca="1">IFERROR(__xludf.DUMMYFUNCTION("""COMPUTED_VALUE"""),3600)</f>
        <v>3600</v>
      </c>
      <c r="G131" s="2">
        <f ca="1">IFERROR(__xludf.DUMMYFUNCTION("""COMPUTED_VALUE"""),42)</f>
        <v>42</v>
      </c>
      <c r="H131" s="2"/>
      <c r="I131" s="2"/>
      <c r="J131" s="2">
        <f ca="1">IFERROR(__xludf.DUMMYFUNCTION("""COMPUTED_VALUE"""),0)</f>
        <v>0</v>
      </c>
      <c r="K131" s="2">
        <f ca="1">IFERROR(__xludf.DUMMYFUNCTION("""COMPUTED_VALUE"""),3600)</f>
        <v>3600</v>
      </c>
      <c r="L131" s="2" t="str">
        <f ca="1">IFERROR(__xludf.DUMMYFUNCTION("""COMPUTED_VALUE"""),"56f7ac6d")</f>
        <v>56f7ac6d</v>
      </c>
      <c r="M131" s="2" t="str">
        <f ca="1">IFERROR(__xludf.DUMMYFUNCTION("""COMPUTED_VALUE"""),"Aspirat")</f>
        <v>Aspirat</v>
      </c>
      <c r="N131" s="2"/>
      <c r="O131" s="2" t="str">
        <f ca="1">IFERROR(__xludf.DUMMYFUNCTION("""COMPUTED_VALUE"""),"Descubada")</f>
        <v>Descubada</v>
      </c>
      <c r="P131" s="2"/>
      <c r="Q131" s="2" t="b">
        <f ca="1">IFERROR(__xludf.DUMMYFUNCTION("""COMPUTED_VALUE"""),FALSE)</f>
        <v>0</v>
      </c>
      <c r="R131" s="2" t="str">
        <f ca="1">IFERROR(__xludf.DUMMYFUNCTION("""COMPUTED_VALUE"""),"1er Trasiego")</f>
        <v>1er Trasiego</v>
      </c>
      <c r="S131" s="2"/>
      <c r="T131" s="2"/>
      <c r="U131" s="2"/>
    </row>
    <row r="132" spans="1:21" x14ac:dyDescent="0.25">
      <c r="A132" s="2" t="str">
        <f ca="1">IFERROR(__xludf.DUMMYFUNCTION("""COMPUTED_VALUE"""),"d32a641a")</f>
        <v>d32a641a</v>
      </c>
      <c r="B132" s="3">
        <f ca="1">IFERROR(__xludf.DUMMYFUNCTION("""COMPUTED_VALUE"""),45727.4034375)</f>
        <v>45727.403437499997</v>
      </c>
      <c r="C132" s="2" t="str">
        <f ca="1">IFERROR(__xludf.DUMMYFUNCTION("""COMPUTED_VALUE"""),"0aa8c362")</f>
        <v>0aa8c362</v>
      </c>
      <c r="D132" s="2">
        <f ca="1">IFERROR(__xludf.DUMMYFUNCTION("""COMPUTED_VALUE"""),107)</f>
        <v>107</v>
      </c>
      <c r="E132" s="2" t="str">
        <f ca="1">IFERROR(__xludf.DUMMYFUNCTION("""COMPUTED_VALUE"""),"Aspirant Anccelota Gota")</f>
        <v>Aspirant Anccelota Gota</v>
      </c>
      <c r="F132" s="2">
        <f ca="1">IFERROR(__xludf.DUMMYFUNCTION("""COMPUTED_VALUE"""),30000)</f>
        <v>30000</v>
      </c>
      <c r="G132" s="2">
        <f ca="1">IFERROR(__xludf.DUMMYFUNCTION("""COMPUTED_VALUE"""),42)</f>
        <v>42</v>
      </c>
      <c r="H132" s="2" t="str">
        <f ca="1">IFERROR(__xludf.DUMMYFUNCTION("""COMPUTED_VALUE"""),"56f7ac6d")</f>
        <v>56f7ac6d</v>
      </c>
      <c r="I132" s="2" t="str">
        <f ca="1">IFERROR(__xludf.DUMMYFUNCTION("""COMPUTED_VALUE"""),"Aspirat")</f>
        <v>Aspirat</v>
      </c>
      <c r="J132" s="2">
        <f ca="1">IFERROR(__xludf.DUMMYFUNCTION("""COMPUTED_VALUE"""),3600)</f>
        <v>3600</v>
      </c>
      <c r="K132" s="2">
        <f ca="1">IFERROR(__xludf.DUMMYFUNCTION("""COMPUTED_VALUE"""),33600)</f>
        <v>33600</v>
      </c>
      <c r="L132" s="2" t="str">
        <f ca="1">IFERROR(__xludf.DUMMYFUNCTION("""COMPUTED_VALUE"""),"df4789cf")</f>
        <v>df4789cf</v>
      </c>
      <c r="M132" s="2" t="str">
        <f ca="1">IFERROR(__xludf.DUMMYFUNCTION("""COMPUTED_VALUE"""),"Aspirant Anccelota Gota")</f>
        <v>Aspirant Anccelota Gota</v>
      </c>
      <c r="N132" s="2"/>
      <c r="O132" s="2" t="str">
        <f ca="1">IFERROR(__xludf.DUMMYFUNCTION("""COMPUTED_VALUE"""),"Descubada")</f>
        <v>Descubada</v>
      </c>
      <c r="P132" s="2" t="str">
        <f ca="1">IFERROR(__xludf.DUMMYFUNCTION("""COMPUTED_VALUE"""),"1er Trasiego")</f>
        <v>1er Trasiego</v>
      </c>
      <c r="Q132" s="2" t="b">
        <f ca="1">IFERROR(__xludf.DUMMYFUNCTION("""COMPUTED_VALUE"""),FALSE)</f>
        <v>0</v>
      </c>
      <c r="R132" s="2" t="str">
        <f ca="1">IFERROR(__xludf.DUMMYFUNCTION("""COMPUTED_VALUE"""),"1er Trasiego")</f>
        <v>1er Trasiego</v>
      </c>
      <c r="S132" s="2"/>
      <c r="T132" s="2"/>
      <c r="U132" s="2"/>
    </row>
    <row r="133" spans="1:21" x14ac:dyDescent="0.25">
      <c r="A133" s="2" t="str">
        <f ca="1">IFERROR(__xludf.DUMMYFUNCTION("""COMPUTED_VALUE"""),"8831c9f9")</f>
        <v>8831c9f9</v>
      </c>
      <c r="B133" s="3">
        <f ca="1">IFERROR(__xludf.DUMMYFUNCTION("""COMPUTED_VALUE"""),45727.7104166666)</f>
        <v>45727.710416666603</v>
      </c>
      <c r="C133" s="2" t="str">
        <f ca="1">IFERROR(__xludf.DUMMYFUNCTION("""COMPUTED_VALUE"""),"26b37af9")</f>
        <v>26b37af9</v>
      </c>
      <c r="D133" s="2">
        <f ca="1">IFERROR(__xludf.DUMMYFUNCTION("""COMPUTED_VALUE"""),52)</f>
        <v>52</v>
      </c>
      <c r="E133" s="2" t="str">
        <f ca="1">IFERROR(__xludf.DUMMYFUNCTION("""COMPUTED_VALUE"""),"Chardonnay 24 Rect")</f>
        <v>Chardonnay 24 Rect</v>
      </c>
      <c r="F133" s="2">
        <f ca="1">IFERROR(__xludf.DUMMYFUNCTION("""COMPUTED_VALUE"""),3000)</f>
        <v>3000</v>
      </c>
      <c r="G133" s="2">
        <f ca="1">IFERROR(__xludf.DUMMYFUNCTION("""COMPUTED_VALUE"""),80)</f>
        <v>80</v>
      </c>
      <c r="H133" s="2" t="str">
        <f ca="1">IFERROR(__xludf.DUMMYFUNCTION("""COMPUTED_VALUE"""),"ee917088")</f>
        <v>ee917088</v>
      </c>
      <c r="I133" s="2" t="str">
        <f ca="1">IFERROR(__xludf.DUMMYFUNCTION("""COMPUTED_VALUE"""),"Chenin")</f>
        <v>Chenin</v>
      </c>
      <c r="J133" s="2">
        <f ca="1">IFERROR(__xludf.DUMMYFUNCTION("""COMPUTED_VALUE"""),13000)</f>
        <v>13000</v>
      </c>
      <c r="K133" s="2">
        <f ca="1">IFERROR(__xludf.DUMMYFUNCTION("""COMPUTED_VALUE"""),16000)</f>
        <v>16000</v>
      </c>
      <c r="L133" s="2" t="str">
        <f ca="1">IFERROR(__xludf.DUMMYFUNCTION("""COMPUTED_VALUE"""),"c210f1aa")</f>
        <v>c210f1aa</v>
      </c>
      <c r="M133" s="2" t="str">
        <f ca="1">IFERROR(__xludf.DUMMYFUNCTION("""COMPUTED_VALUE"""),"Chenin")</f>
        <v>Chenin</v>
      </c>
      <c r="N133" s="2"/>
      <c r="O133" s="2" t="str">
        <f ca="1">IFERROR(__xludf.DUMMYFUNCTION("""COMPUTED_VALUE"""),"Rectificado")</f>
        <v>Rectificado</v>
      </c>
      <c r="P133" s="2" t="str">
        <f ca="1">IFERROR(__xludf.DUMMYFUNCTION("""COMPUTED_VALUE"""),"Fermentando")</f>
        <v>Fermentando</v>
      </c>
      <c r="Q133" s="2" t="b">
        <f ca="1">IFERROR(__xludf.DUMMYFUNCTION("""COMPUTED_VALUE"""),TRUE)</f>
        <v>1</v>
      </c>
      <c r="R133" s="2" t="str">
        <f ca="1">IFERROR(__xludf.DUMMYFUNCTION("""COMPUTED_VALUE"""),"Fermentando")</f>
        <v>Fermentando</v>
      </c>
      <c r="S133" s="2"/>
      <c r="T133" s="2"/>
      <c r="U133" s="2"/>
    </row>
    <row r="134" spans="1:21" x14ac:dyDescent="0.25">
      <c r="A134" s="2" t="str">
        <f ca="1">IFERROR(__xludf.DUMMYFUNCTION("""COMPUTED_VALUE"""),"74bfc57b")</f>
        <v>74bfc57b</v>
      </c>
      <c r="B134" s="3">
        <f ca="1">IFERROR(__xludf.DUMMYFUNCTION("""COMPUTED_VALUE"""),45727.7791898148)</f>
        <v>45727.779189814799</v>
      </c>
      <c r="C134" s="2" t="str">
        <f ca="1">IFERROR(__xludf.DUMMYFUNCTION("""COMPUTED_VALUE"""),"df4789cf")</f>
        <v>df4789cf</v>
      </c>
      <c r="D134" s="2">
        <f ca="1">IFERROR(__xludf.DUMMYFUNCTION("""COMPUTED_VALUE"""),42)</f>
        <v>42</v>
      </c>
      <c r="E134" s="2" t="str">
        <f ca="1">IFERROR(__xludf.DUMMYFUNCTION("""COMPUTED_VALUE"""),"Aspirant Anccelota Gota")</f>
        <v>Aspirant Anccelota Gota</v>
      </c>
      <c r="F134" s="2">
        <f ca="1">IFERROR(__xludf.DUMMYFUNCTION("""COMPUTED_VALUE"""),16600)</f>
        <v>16600</v>
      </c>
      <c r="G134" s="2">
        <f ca="1">IFERROR(__xludf.DUMMYFUNCTION("""COMPUTED_VALUE"""),500)</f>
        <v>500</v>
      </c>
      <c r="H134" s="2" t="str">
        <f ca="1">IFERROR(__xludf.DUMMYFUNCTION("""COMPUTED_VALUE"""),"dc3d5a11")</f>
        <v>dc3d5a11</v>
      </c>
      <c r="I134" s="2" t="str">
        <f ca="1">IFERROR(__xludf.DUMMYFUNCTION("""COMPUTED_VALUE"""),"Ajuste")</f>
        <v>Ajuste</v>
      </c>
      <c r="J134" s="2">
        <f ca="1">IFERROR(__xludf.DUMMYFUNCTION("""COMPUTED_VALUE"""),-23899)</f>
        <v>-23899</v>
      </c>
      <c r="K134" s="2">
        <f ca="1">IFERROR(__xludf.DUMMYFUNCTION("""COMPUTED_VALUE"""),-7299)</f>
        <v>-7299</v>
      </c>
      <c r="L134" s="2" t="str">
        <f ca="1">IFERROR(__xludf.DUMMYFUNCTION("""COMPUTED_VALUE"""),"397cd7e0")</f>
        <v>397cd7e0</v>
      </c>
      <c r="M134" s="2" t="str">
        <f ca="1">IFERROR(__xludf.DUMMYFUNCTION("""COMPUTED_VALUE"""),"Ajuste")</f>
        <v>Ajuste</v>
      </c>
      <c r="N134" s="2" t="str">
        <f ca="1">IFERROR(__xludf.DUMMYFUNCTION("""COMPUTED_VALUE"""),"Hay Aspirant de menos según el arqueo")</f>
        <v>Hay Aspirant de menos según el arqueo</v>
      </c>
      <c r="O134" s="2" t="str">
        <f ca="1">IFERROR(__xludf.DUMMYFUNCTION("""COMPUTED_VALUE"""),"1er Trasiego")</f>
        <v>1er Trasiego</v>
      </c>
      <c r="P134" s="2"/>
      <c r="Q134" s="2" t="b">
        <f ca="1">IFERROR(__xludf.DUMMYFUNCTION("""COMPUTED_VALUE"""),TRUE)</f>
        <v>1</v>
      </c>
      <c r="R134" s="2"/>
      <c r="S134" s="2"/>
      <c r="T134" s="2"/>
      <c r="U134" s="2"/>
    </row>
    <row r="135" spans="1:21" x14ac:dyDescent="0.25">
      <c r="A135" s="2" t="str">
        <f ca="1">IFERROR(__xludf.DUMMYFUNCTION("""COMPUTED_VALUE"""),"58a28f74")</f>
        <v>58a28f74</v>
      </c>
      <c r="B135" s="3">
        <f ca="1">IFERROR(__xludf.DUMMYFUNCTION("""COMPUTED_VALUE"""),45727.8627083333)</f>
        <v>45727.862708333298</v>
      </c>
      <c r="C135" s="2" t="str">
        <f ca="1">IFERROR(__xludf.DUMMYFUNCTION("""COMPUTED_VALUE"""),"1f033edd")</f>
        <v>1f033edd</v>
      </c>
      <c r="D135" s="2">
        <f ca="1">IFERROR(__xludf.DUMMYFUNCTION("""COMPUTED_VALUE"""),81)</f>
        <v>81</v>
      </c>
      <c r="E135" s="2" t="str">
        <f ca="1">IFERROR(__xludf.DUMMYFUNCTION("""COMPUTED_VALUE"""),"Chardonnay")</f>
        <v>Chardonnay</v>
      </c>
      <c r="F135" s="2">
        <f ca="1">IFERROR(__xludf.DUMMYFUNCTION("""COMPUTED_VALUE"""),2800)</f>
        <v>2800</v>
      </c>
      <c r="G135" s="2">
        <f ca="1">IFERROR(__xludf.DUMMYFUNCTION("""COMPUTED_VALUE"""),500)</f>
        <v>500</v>
      </c>
      <c r="H135" s="2" t="str">
        <f ca="1">IFERROR(__xludf.DUMMYFUNCTION("""COMPUTED_VALUE"""),"397cd7e0")</f>
        <v>397cd7e0</v>
      </c>
      <c r="I135" s="2" t="str">
        <f ca="1">IFERROR(__xludf.DUMMYFUNCTION("""COMPUTED_VALUE"""),"Ajuste")</f>
        <v>Ajuste</v>
      </c>
      <c r="J135" s="2">
        <f ca="1">IFERROR(__xludf.DUMMYFUNCTION("""COMPUTED_VALUE"""),-7299)</f>
        <v>-7299</v>
      </c>
      <c r="K135" s="2">
        <f ca="1">IFERROR(__xludf.DUMMYFUNCTION("""COMPUTED_VALUE"""),-4499)</f>
        <v>-4499</v>
      </c>
      <c r="L135" s="2" t="str">
        <f ca="1">IFERROR(__xludf.DUMMYFUNCTION("""COMPUTED_VALUE"""),"e37067e3")</f>
        <v>e37067e3</v>
      </c>
      <c r="M135" s="2" t="str">
        <f ca="1">IFERROR(__xludf.DUMMYFUNCTION("""COMPUTED_VALUE"""),"Chardonnay")</f>
        <v>Chardonnay</v>
      </c>
      <c r="N135" s="2"/>
      <c r="O135" s="2" t="str">
        <f ca="1">IFERROR(__xludf.DUMMYFUNCTION("""COMPUTED_VALUE"""),"Fermentando")</f>
        <v>Fermentando</v>
      </c>
      <c r="P135" s="2"/>
      <c r="Q135" s="2" t="b">
        <f ca="1">IFERROR(__xludf.DUMMYFUNCTION("""COMPUTED_VALUE"""),FALSE)</f>
        <v>0</v>
      </c>
      <c r="R135" s="2" t="str">
        <f ca="1">IFERROR(__xludf.DUMMYFUNCTION("""COMPUTED_VALUE"""),"Fermentando")</f>
        <v>Fermentando</v>
      </c>
      <c r="S135" s="2"/>
      <c r="T135" s="2"/>
      <c r="U135" s="2"/>
    </row>
    <row r="136" spans="1:21" x14ac:dyDescent="0.25">
      <c r="A136" s="2" t="str">
        <f ca="1">IFERROR(__xludf.DUMMYFUNCTION("""COMPUTED_VALUE"""),"84e7b372")</f>
        <v>84e7b372</v>
      </c>
      <c r="B136" s="3">
        <f ca="1">IFERROR(__xludf.DUMMYFUNCTION("""COMPUTED_VALUE"""),45728.5274421296)</f>
        <v>45728.527442129598</v>
      </c>
      <c r="C136" s="2" t="str">
        <f ca="1">IFERROR(__xludf.DUMMYFUNCTION("""COMPUTED_VALUE"""),"15e7b86f")</f>
        <v>15e7b86f</v>
      </c>
      <c r="D136" s="2">
        <f ca="1">IFERROR(__xludf.DUMMYFUNCTION("""COMPUTED_VALUE"""),65)</f>
        <v>65</v>
      </c>
      <c r="E136" s="2" t="str">
        <f ca="1">IFERROR(__xludf.DUMMYFUNCTION("""COMPUTED_VALUE"""),"Anccelotta")</f>
        <v>Anccelotta</v>
      </c>
      <c r="F136" s="2">
        <f ca="1">IFERROR(__xludf.DUMMYFUNCTION("""COMPUTED_VALUE"""),15900)</f>
        <v>15900</v>
      </c>
      <c r="G136" s="2">
        <f ca="1">IFERROR(__xludf.DUMMYFUNCTION("""COMPUTED_VALUE"""),42)</f>
        <v>42</v>
      </c>
      <c r="H136" s="2" t="str">
        <f ca="1">IFERROR(__xludf.DUMMYFUNCTION("""COMPUTED_VALUE"""),"df4789cf")</f>
        <v>df4789cf</v>
      </c>
      <c r="I136" s="2" t="str">
        <f ca="1">IFERROR(__xludf.DUMMYFUNCTION("""COMPUTED_VALUE"""),"Aspirant Anccelota Gota")</f>
        <v>Aspirant Anccelota Gota</v>
      </c>
      <c r="J136" s="2">
        <f ca="1">IFERROR(__xludf.DUMMYFUNCTION("""COMPUTED_VALUE"""),17000)</f>
        <v>17000</v>
      </c>
      <c r="K136" s="2">
        <f ca="1">IFERROR(__xludf.DUMMYFUNCTION("""COMPUTED_VALUE"""),32900)</f>
        <v>32900</v>
      </c>
      <c r="L136" s="2" t="str">
        <f ca="1">IFERROR(__xludf.DUMMYFUNCTION("""COMPUTED_VALUE"""),"fdf22389")</f>
        <v>fdf22389</v>
      </c>
      <c r="M136" s="2" t="str">
        <f ca="1">IFERROR(__xludf.DUMMYFUNCTION("""COMPUTED_VALUE"""),"Aspirant Anccelota Gota")</f>
        <v>Aspirant Anccelota Gota</v>
      </c>
      <c r="N136" s="2"/>
      <c r="O136" s="2" t="str">
        <f ca="1">IFERROR(__xludf.DUMMYFUNCTION("""COMPUTED_VALUE"""),"Fermentando")</f>
        <v>Fermentando</v>
      </c>
      <c r="P136" s="2" t="str">
        <f ca="1">IFERROR(__xludf.DUMMYFUNCTION("""COMPUTED_VALUE"""),"1er Trasiego")</f>
        <v>1er Trasiego</v>
      </c>
      <c r="Q136" s="2" t="b">
        <f ca="1">IFERROR(__xludf.DUMMYFUNCTION("""COMPUTED_VALUE"""),TRUE)</f>
        <v>1</v>
      </c>
      <c r="R136" s="2" t="str">
        <f ca="1">IFERROR(__xludf.DUMMYFUNCTION("""COMPUTED_VALUE"""),"1er Trasiego")</f>
        <v>1er Trasiego</v>
      </c>
      <c r="S136" s="2"/>
      <c r="T136" s="2"/>
      <c r="U136" s="2"/>
    </row>
    <row r="137" spans="1:21" x14ac:dyDescent="0.25">
      <c r="A137" s="2" t="str">
        <f ca="1">IFERROR(__xludf.DUMMYFUNCTION("""COMPUTED_VALUE"""),"d58cdf25")</f>
        <v>d58cdf25</v>
      </c>
      <c r="B137" s="3">
        <f ca="1">IFERROR(__xludf.DUMMYFUNCTION("""COMPUTED_VALUE"""),45728.5417361111)</f>
        <v>45728.541736111103</v>
      </c>
      <c r="C137" s="2" t="str">
        <f ca="1">IFERROR(__xludf.DUMMYFUNCTION("""COMPUTED_VALUE"""),"6c349523")</f>
        <v>6c349523</v>
      </c>
      <c r="D137" s="2">
        <f ca="1">IFERROR(__xludf.DUMMYFUNCTION("""COMPUTED_VALUE"""),83)</f>
        <v>83</v>
      </c>
      <c r="E137" s="2" t="str">
        <f ca="1">IFERROR(__xludf.DUMMYFUNCTION("""COMPUTED_VALUE"""),"Syrah")</f>
        <v>Syrah</v>
      </c>
      <c r="F137" s="2">
        <f ca="1">IFERROR(__xludf.DUMMYFUNCTION("""COMPUTED_VALUE"""),20000)</f>
        <v>20000</v>
      </c>
      <c r="G137" s="2">
        <f ca="1">IFERROR(__xludf.DUMMYFUNCTION("""COMPUTED_VALUE"""),65)</f>
        <v>65</v>
      </c>
      <c r="H137" s="2" t="str">
        <f ca="1">IFERROR(__xludf.DUMMYFUNCTION("""COMPUTED_VALUE"""),"15e7b86f")</f>
        <v>15e7b86f</v>
      </c>
      <c r="I137" s="2" t="str">
        <f ca="1">IFERROR(__xludf.DUMMYFUNCTION("""COMPUTED_VALUE"""),"Anccelotta")</f>
        <v>Anccelotta</v>
      </c>
      <c r="J137" s="2">
        <f ca="1">IFERROR(__xludf.DUMMYFUNCTION("""COMPUTED_VALUE"""),4100)</f>
        <v>4100</v>
      </c>
      <c r="K137" s="2">
        <f ca="1">IFERROR(__xludf.DUMMYFUNCTION("""COMPUTED_VALUE"""),24100)</f>
        <v>24100</v>
      </c>
      <c r="L137" s="2" t="str">
        <f ca="1">IFERROR(__xludf.DUMMYFUNCTION("""COMPUTED_VALUE"""),"844a05ee")</f>
        <v>844a05ee</v>
      </c>
      <c r="M137" s="2" t="str">
        <f ca="1">IFERROR(__xludf.DUMMYFUNCTION("""COMPUTED_VALUE"""),"Syrah s/Anc")</f>
        <v>Syrah s/Anc</v>
      </c>
      <c r="N137" s="2"/>
      <c r="O137" s="2" t="str">
        <f ca="1">IFERROR(__xludf.DUMMYFUNCTION("""COMPUTED_VALUE"""),"Fermentando")</f>
        <v>Fermentando</v>
      </c>
      <c r="P137" s="2" t="str">
        <f ca="1">IFERROR(__xludf.DUMMYFUNCTION("""COMPUTED_VALUE"""),"Fermentando")</f>
        <v>Fermentando</v>
      </c>
      <c r="Q137" s="2" t="b">
        <f ca="1">IFERROR(__xludf.DUMMYFUNCTION("""COMPUTED_VALUE"""),FALSE)</f>
        <v>0</v>
      </c>
      <c r="R137" s="2" t="str">
        <f ca="1">IFERROR(__xludf.DUMMYFUNCTION("""COMPUTED_VALUE"""),"Recarga Fermentando")</f>
        <v>Recarga Fermentando</v>
      </c>
      <c r="S137" s="2"/>
      <c r="T137" s="2"/>
      <c r="U137" s="2"/>
    </row>
    <row r="138" spans="1:21" x14ac:dyDescent="0.25">
      <c r="A138" s="2" t="str">
        <f ca="1">IFERROR(__xludf.DUMMYFUNCTION("""COMPUTED_VALUE"""),"98eb2e17")</f>
        <v>98eb2e17</v>
      </c>
      <c r="B138" s="3">
        <f ca="1">IFERROR(__xludf.DUMMYFUNCTION("""COMPUTED_VALUE"""),45728.7571064814)</f>
        <v>45728.757106481396</v>
      </c>
      <c r="C138" s="2" t="str">
        <f ca="1">IFERROR(__xludf.DUMMYFUNCTION("""COMPUTED_VALUE"""),"d53930ff")</f>
        <v>d53930ff</v>
      </c>
      <c r="D138" s="2">
        <f ca="1">IFERROR(__xludf.DUMMYFUNCTION("""COMPUTED_VALUE"""),150)</f>
        <v>150</v>
      </c>
      <c r="E138" s="2" t="str">
        <f ca="1">IFERROR(__xludf.DUMMYFUNCTION("""COMPUTED_VALUE"""),"Correccion")</f>
        <v>Correccion</v>
      </c>
      <c r="F138" s="2">
        <f ca="1">IFERROR(__xludf.DUMMYFUNCTION("""COMPUTED_VALUE"""),2000)</f>
        <v>2000</v>
      </c>
      <c r="G138" s="2">
        <f ca="1">IFERROR(__xludf.DUMMYFUNCTION("""COMPUTED_VALUE"""),66)</f>
        <v>66</v>
      </c>
      <c r="H138" s="2" t="str">
        <f ca="1">IFERROR(__xludf.DUMMYFUNCTION("""COMPUTED_VALUE"""),"4d28a747")</f>
        <v>4d28a747</v>
      </c>
      <c r="I138" s="2" t="str">
        <f ca="1">IFERROR(__xludf.DUMMYFUNCTION("""COMPUTED_VALUE"""),"Anccelotta")</f>
        <v>Anccelotta</v>
      </c>
      <c r="J138" s="2">
        <f ca="1">IFERROR(__xludf.DUMMYFUNCTION("""COMPUTED_VALUE"""),17000)</f>
        <v>17000</v>
      </c>
      <c r="K138" s="2">
        <f ca="1">IFERROR(__xludf.DUMMYFUNCTION("""COMPUTED_VALUE"""),19000)</f>
        <v>19000</v>
      </c>
      <c r="L138" s="2" t="str">
        <f ca="1">IFERROR(__xludf.DUMMYFUNCTION("""COMPUTED_VALUE"""),"87ba9e1b")</f>
        <v>87ba9e1b</v>
      </c>
      <c r="M138" s="2" t="str">
        <f ca="1">IFERROR(__xludf.DUMMYFUNCTION("""COMPUTED_VALUE"""),"Anccelotta")</f>
        <v>Anccelotta</v>
      </c>
      <c r="N138" s="2"/>
      <c r="O138" s="2" t="str">
        <f ca="1">IFERROR(__xludf.DUMMYFUNCTION("""COMPUTED_VALUE"""),"Terminado")</f>
        <v>Terminado</v>
      </c>
      <c r="P138" s="2" t="str">
        <f ca="1">IFERROR(__xludf.DUMMYFUNCTION("""COMPUTED_VALUE"""),"Fermentando")</f>
        <v>Fermentando</v>
      </c>
      <c r="Q138" s="2" t="b">
        <f ca="1">IFERROR(__xludf.DUMMYFUNCTION("""COMPUTED_VALUE"""),TRUE)</f>
        <v>1</v>
      </c>
      <c r="R138" s="2" t="str">
        <f ca="1">IFERROR(__xludf.DUMMYFUNCTION("""COMPUTED_VALUE"""),"Fermentando")</f>
        <v>Fermentando</v>
      </c>
      <c r="S138" s="2"/>
      <c r="T138" s="2"/>
      <c r="U138" s="2"/>
    </row>
    <row r="139" spans="1:21" x14ac:dyDescent="0.25">
      <c r="A139" s="2" t="str">
        <f ca="1">IFERROR(__xludf.DUMMYFUNCTION("""COMPUTED_VALUE"""),"bf412715")</f>
        <v>bf412715</v>
      </c>
      <c r="B139" s="3">
        <f ca="1">IFERROR(__xludf.DUMMYFUNCTION("""COMPUTED_VALUE"""),45728.7574537037)</f>
        <v>45728.7574537037</v>
      </c>
      <c r="C139" s="2" t="str">
        <f ca="1">IFERROR(__xludf.DUMMYFUNCTION("""COMPUTED_VALUE"""),"d53930ff")</f>
        <v>d53930ff</v>
      </c>
      <c r="D139" s="2">
        <f ca="1">IFERROR(__xludf.DUMMYFUNCTION("""COMPUTED_VALUE"""),150)</f>
        <v>150</v>
      </c>
      <c r="E139" s="2" t="str">
        <f ca="1">IFERROR(__xludf.DUMMYFUNCTION("""COMPUTED_VALUE"""),"Correccion")</f>
        <v>Correccion</v>
      </c>
      <c r="F139" s="2">
        <f ca="1">IFERROR(__xludf.DUMMYFUNCTION("""COMPUTED_VALUE"""),2000)</f>
        <v>2000</v>
      </c>
      <c r="G139" s="2">
        <f ca="1">IFERROR(__xludf.DUMMYFUNCTION("""COMPUTED_VALUE"""),82)</f>
        <v>82</v>
      </c>
      <c r="H139" s="2" t="str">
        <f ca="1">IFERROR(__xludf.DUMMYFUNCTION("""COMPUTED_VALUE"""),"4a9a65d1")</f>
        <v>4a9a65d1</v>
      </c>
      <c r="I139" s="2" t="str">
        <f ca="1">IFERROR(__xludf.DUMMYFUNCTION("""COMPUTED_VALUE"""),"Anccelotta")</f>
        <v>Anccelotta</v>
      </c>
      <c r="J139" s="2">
        <f ca="1">IFERROR(__xludf.DUMMYFUNCTION("""COMPUTED_VALUE"""),17000)</f>
        <v>17000</v>
      </c>
      <c r="K139" s="2">
        <f ca="1">IFERROR(__xludf.DUMMYFUNCTION("""COMPUTED_VALUE"""),19000)</f>
        <v>19000</v>
      </c>
      <c r="L139" s="2" t="str">
        <f ca="1">IFERROR(__xludf.DUMMYFUNCTION("""COMPUTED_VALUE"""),"e2c3632b")</f>
        <v>e2c3632b</v>
      </c>
      <c r="M139" s="2" t="str">
        <f ca="1">IFERROR(__xludf.DUMMYFUNCTION("""COMPUTED_VALUE"""),"Anccelotta")</f>
        <v>Anccelotta</v>
      </c>
      <c r="N139" s="2"/>
      <c r="O139" s="2" t="str">
        <f ca="1">IFERROR(__xludf.DUMMYFUNCTION("""COMPUTED_VALUE"""),"Terminado")</f>
        <v>Terminado</v>
      </c>
      <c r="P139" s="2" t="str">
        <f ca="1">IFERROR(__xludf.DUMMYFUNCTION("""COMPUTED_VALUE"""),"Fermentando")</f>
        <v>Fermentando</v>
      </c>
      <c r="Q139" s="2" t="b">
        <f ca="1">IFERROR(__xludf.DUMMYFUNCTION("""COMPUTED_VALUE"""),TRUE)</f>
        <v>1</v>
      </c>
      <c r="R139" s="2" t="str">
        <f ca="1">IFERROR(__xludf.DUMMYFUNCTION("""COMPUTED_VALUE"""),"Fermentando")</f>
        <v>Fermentando</v>
      </c>
      <c r="S139" s="2"/>
      <c r="T139" s="2"/>
      <c r="U139" s="2"/>
    </row>
    <row r="140" spans="1:21" x14ac:dyDescent="0.25">
      <c r="A140" s="2" t="str">
        <f ca="1">IFERROR(__xludf.DUMMYFUNCTION("""COMPUTED_VALUE"""),"7431dfd2")</f>
        <v>7431dfd2</v>
      </c>
      <c r="B140" s="3">
        <f ca="1">IFERROR(__xludf.DUMMYFUNCTION("""COMPUTED_VALUE"""),45728.7577199074)</f>
        <v>45728.7577199074</v>
      </c>
      <c r="C140" s="2" t="str">
        <f ca="1">IFERROR(__xludf.DUMMYFUNCTION("""COMPUTED_VALUE"""),"d53930ff")</f>
        <v>d53930ff</v>
      </c>
      <c r="D140" s="2">
        <f ca="1">IFERROR(__xludf.DUMMYFUNCTION("""COMPUTED_VALUE"""),150)</f>
        <v>150</v>
      </c>
      <c r="E140" s="2" t="str">
        <f ca="1">IFERROR(__xludf.DUMMYFUNCTION("""COMPUTED_VALUE"""),"Correccion")</f>
        <v>Correccion</v>
      </c>
      <c r="F140" s="2">
        <f ca="1">IFERROR(__xludf.DUMMYFUNCTION("""COMPUTED_VALUE"""),2000)</f>
        <v>2000</v>
      </c>
      <c r="G140" s="2">
        <f ca="1">IFERROR(__xludf.DUMMYFUNCTION("""COMPUTED_VALUE"""),84)</f>
        <v>84</v>
      </c>
      <c r="H140" s="2" t="str">
        <f ca="1">IFERROR(__xludf.DUMMYFUNCTION("""COMPUTED_VALUE"""),"76f1abe4")</f>
        <v>76f1abe4</v>
      </c>
      <c r="I140" s="2" t="str">
        <f ca="1">IFERROR(__xludf.DUMMYFUNCTION("""COMPUTED_VALUE"""),"Syrah")</f>
        <v>Syrah</v>
      </c>
      <c r="J140" s="2">
        <f ca="1">IFERROR(__xludf.DUMMYFUNCTION("""COMPUTED_VALUE"""),25300)</f>
        <v>25300</v>
      </c>
      <c r="K140" s="2">
        <f ca="1">IFERROR(__xludf.DUMMYFUNCTION("""COMPUTED_VALUE"""),27300)</f>
        <v>27300</v>
      </c>
      <c r="L140" s="2" t="str">
        <f ca="1">IFERROR(__xludf.DUMMYFUNCTION("""COMPUTED_VALUE"""),"22dd4d8c")</f>
        <v>22dd4d8c</v>
      </c>
      <c r="M140" s="2" t="str">
        <f ca="1">IFERROR(__xludf.DUMMYFUNCTION("""COMPUTED_VALUE"""),"Syrah")</f>
        <v>Syrah</v>
      </c>
      <c r="N140" s="2"/>
      <c r="O140" s="2" t="str">
        <f ca="1">IFERROR(__xludf.DUMMYFUNCTION("""COMPUTED_VALUE"""),"Terminado")</f>
        <v>Terminado</v>
      </c>
      <c r="P140" s="2" t="str">
        <f ca="1">IFERROR(__xludf.DUMMYFUNCTION("""COMPUTED_VALUE"""),"Fermentando")</f>
        <v>Fermentando</v>
      </c>
      <c r="Q140" s="2" t="b">
        <f ca="1">IFERROR(__xludf.DUMMYFUNCTION("""COMPUTED_VALUE"""),TRUE)</f>
        <v>1</v>
      </c>
      <c r="R140" s="2" t="str">
        <f ca="1">IFERROR(__xludf.DUMMYFUNCTION("""COMPUTED_VALUE"""),"Fermentando")</f>
        <v>Fermentando</v>
      </c>
      <c r="S140" s="2"/>
      <c r="T140" s="2"/>
      <c r="U140" s="2"/>
    </row>
    <row r="141" spans="1:21" x14ac:dyDescent="0.25">
      <c r="A141" s="2" t="str">
        <f ca="1">IFERROR(__xludf.DUMMYFUNCTION("""COMPUTED_VALUE"""),"6558a8c3")</f>
        <v>6558a8c3</v>
      </c>
      <c r="B141" s="3">
        <f ca="1">IFERROR(__xludf.DUMMYFUNCTION("""COMPUTED_VALUE"""),45728.8678125)</f>
        <v>45728.867812500001</v>
      </c>
      <c r="C141" s="2" t="str">
        <f ca="1">IFERROR(__xludf.DUMMYFUNCTION("""COMPUTED_VALUE"""),"f76c3497")</f>
        <v>f76c3497</v>
      </c>
      <c r="D141" s="2">
        <f ca="1">IFERROR(__xludf.DUMMYFUNCTION("""COMPUTED_VALUE"""),96)</f>
        <v>96</v>
      </c>
      <c r="E141" s="2" t="str">
        <f ca="1">IFERROR(__xludf.DUMMYFUNCTION("""COMPUTED_VALUE"""),"Tinto La Vendimia")</f>
        <v>Tinto La Vendimia</v>
      </c>
      <c r="F141" s="2">
        <f ca="1">IFERROR(__xludf.DUMMYFUNCTION("""COMPUTED_VALUE"""),30000)</f>
        <v>30000</v>
      </c>
      <c r="G141" s="2">
        <f ca="1">IFERROR(__xludf.DUMMYFUNCTION("""COMPUTED_VALUE"""),102)</f>
        <v>102</v>
      </c>
      <c r="H141" s="2"/>
      <c r="I141" s="2"/>
      <c r="J141" s="2">
        <f ca="1">IFERROR(__xludf.DUMMYFUNCTION("""COMPUTED_VALUE"""),0)</f>
        <v>0</v>
      </c>
      <c r="K141" s="2">
        <f ca="1">IFERROR(__xludf.DUMMYFUNCTION("""COMPUTED_VALUE"""),30000)</f>
        <v>30000</v>
      </c>
      <c r="L141" s="2" t="str">
        <f ca="1">IFERROR(__xludf.DUMMYFUNCTION("""COMPUTED_VALUE"""),"4197a6b3")</f>
        <v>4197a6b3</v>
      </c>
      <c r="M141" s="2" t="str">
        <f ca="1">IFERROR(__xludf.DUMMYFUNCTION("""COMPUTED_VALUE"""),"Tinto La Vendimia")</f>
        <v>Tinto La Vendimia</v>
      </c>
      <c r="N141" s="2"/>
      <c r="O141" s="2" t="str">
        <f ca="1">IFERROR(__xludf.DUMMYFUNCTION("""COMPUTED_VALUE"""),"Terminado")</f>
        <v>Terminado</v>
      </c>
      <c r="P141" s="2"/>
      <c r="Q141" s="2" t="b">
        <f ca="1">IFERROR(__xludf.DUMMYFUNCTION("""COMPUTED_VALUE"""),FALSE)</f>
        <v>0</v>
      </c>
      <c r="R141" s="2" t="str">
        <f ca="1">IFERROR(__xludf.DUMMYFUNCTION("""COMPUTED_VALUE"""),"Terminado")</f>
        <v>Terminado</v>
      </c>
      <c r="S141" s="2"/>
      <c r="T141" s="2"/>
      <c r="U141" s="2"/>
    </row>
    <row r="142" spans="1:21" x14ac:dyDescent="0.25">
      <c r="A142" s="2" t="str">
        <f ca="1">IFERROR(__xludf.DUMMYFUNCTION("""COMPUTED_VALUE"""),"40da80f7")</f>
        <v>40da80f7</v>
      </c>
      <c r="B142" s="3">
        <f ca="1">IFERROR(__xludf.DUMMYFUNCTION("""COMPUTED_VALUE"""),45729.8064583333)</f>
        <v>45729.806458333303</v>
      </c>
      <c r="C142" s="2" t="str">
        <f ca="1">IFERROR(__xludf.DUMMYFUNCTION("""COMPUTED_VALUE"""),"6c349523")</f>
        <v>6c349523</v>
      </c>
      <c r="D142" s="2">
        <f ca="1">IFERROR(__xludf.DUMMYFUNCTION("""COMPUTED_VALUE"""),83)</f>
        <v>83</v>
      </c>
      <c r="E142" s="2" t="str">
        <f ca="1">IFERROR(__xludf.DUMMYFUNCTION("""COMPUTED_VALUE"""),"Syrah")</f>
        <v>Syrah</v>
      </c>
      <c r="F142" s="2">
        <f ca="1">IFERROR(__xludf.DUMMYFUNCTION("""COMPUTED_VALUE"""),18000)</f>
        <v>18000</v>
      </c>
      <c r="G142" s="2">
        <f ca="1">IFERROR(__xludf.DUMMYFUNCTION("""COMPUTED_VALUE"""),53)</f>
        <v>53</v>
      </c>
      <c r="H142" s="2" t="str">
        <f ca="1">IFERROR(__xludf.DUMMYFUNCTION("""COMPUTED_VALUE"""),"577b30d8")</f>
        <v>577b30d8</v>
      </c>
      <c r="I142" s="2" t="str">
        <f ca="1">IFERROR(__xludf.DUMMYFUNCTION("""COMPUTED_VALUE"""),"Syrah s/Asp 2 Prensa")</f>
        <v>Syrah s/Asp 2 Prensa</v>
      </c>
      <c r="J142" s="2">
        <f ca="1">IFERROR(__xludf.DUMMYFUNCTION("""COMPUTED_VALUE"""),4000)</f>
        <v>4000</v>
      </c>
      <c r="K142" s="2">
        <f ca="1">IFERROR(__xludf.DUMMYFUNCTION("""COMPUTED_VALUE"""),22000)</f>
        <v>22000</v>
      </c>
      <c r="L142" s="2" t="str">
        <f ca="1">IFERROR(__xludf.DUMMYFUNCTION("""COMPUTED_VALUE"""),"5433281e")</f>
        <v>5433281e</v>
      </c>
      <c r="M142" s="2" t="str">
        <f ca="1">IFERROR(__xludf.DUMMYFUNCTION("""COMPUTED_VALUE"""),"Syrah")</f>
        <v>Syrah</v>
      </c>
      <c r="N142" s="2" t="str">
        <f ca="1">IFERROR(__xludf.DUMMYFUNCTION("""COMPUTED_VALUE"""),"Gota")</f>
        <v>Gota</v>
      </c>
      <c r="O142" s="2" t="str">
        <f ca="1">IFERROR(__xludf.DUMMYFUNCTION("""COMPUTED_VALUE"""),"Fermentando")</f>
        <v>Fermentando</v>
      </c>
      <c r="P142" s="2" t="str">
        <f ca="1">IFERROR(__xludf.DUMMYFUNCTION("""COMPUTED_VALUE"""),"Descubada")</f>
        <v>Descubada</v>
      </c>
      <c r="Q142" s="2" t="b">
        <f ca="1">IFERROR(__xludf.DUMMYFUNCTION("""COMPUTED_VALUE"""),FALSE)</f>
        <v>0</v>
      </c>
      <c r="R142" s="2" t="str">
        <f ca="1">IFERROR(__xludf.DUMMYFUNCTION("""COMPUTED_VALUE"""),"Fermentando")</f>
        <v>Fermentando</v>
      </c>
      <c r="S142" s="2"/>
      <c r="T142" s="2"/>
      <c r="U142" s="2"/>
    </row>
    <row r="143" spans="1:21" x14ac:dyDescent="0.25">
      <c r="A143" s="2" t="str">
        <f ca="1">IFERROR(__xludf.DUMMYFUNCTION("""COMPUTED_VALUE"""),"50413875")</f>
        <v>50413875</v>
      </c>
      <c r="B143" s="3">
        <f ca="1">IFERROR(__xludf.DUMMYFUNCTION("""COMPUTED_VALUE"""),45729.8072685185)</f>
        <v>45729.807268518503</v>
      </c>
      <c r="C143" s="2" t="str">
        <f ca="1">IFERROR(__xludf.DUMMYFUNCTION("""COMPUTED_VALUE"""),"6c349523")</f>
        <v>6c349523</v>
      </c>
      <c r="D143" s="2">
        <f ca="1">IFERROR(__xludf.DUMMYFUNCTION("""COMPUTED_VALUE"""),83)</f>
        <v>83</v>
      </c>
      <c r="E143" s="2" t="str">
        <f ca="1">IFERROR(__xludf.DUMMYFUNCTION("""COMPUTED_VALUE"""),"Syrah")</f>
        <v>Syrah</v>
      </c>
      <c r="F143" s="2">
        <f ca="1">IFERROR(__xludf.DUMMYFUNCTION("""COMPUTED_VALUE"""),15000)</f>
        <v>15000</v>
      </c>
      <c r="G143" s="2">
        <f ca="1">IFERROR(__xludf.DUMMYFUNCTION("""COMPUTED_VALUE"""),52)</f>
        <v>52</v>
      </c>
      <c r="H143" s="2"/>
      <c r="I143" s="2"/>
      <c r="J143" s="2">
        <f ca="1">IFERROR(__xludf.DUMMYFUNCTION("""COMPUTED_VALUE"""),0)</f>
        <v>0</v>
      </c>
      <c r="K143" s="2">
        <f ca="1">IFERROR(__xludf.DUMMYFUNCTION("""COMPUTED_VALUE"""),15000)</f>
        <v>15000</v>
      </c>
      <c r="L143" s="2" t="str">
        <f ca="1">IFERROR(__xludf.DUMMYFUNCTION("""COMPUTED_VALUE"""),"fa937d00")</f>
        <v>fa937d00</v>
      </c>
      <c r="M143" s="2" t="str">
        <f ca="1">IFERROR(__xludf.DUMMYFUNCTION("""COMPUTED_VALUE"""),"Syrah")</f>
        <v>Syrah</v>
      </c>
      <c r="N143" s="2" t="str">
        <f ca="1">IFERROR(__xludf.DUMMYFUNCTION("""COMPUTED_VALUE"""),"Gota y Prensa")</f>
        <v>Gota y Prensa</v>
      </c>
      <c r="O143" s="2" t="str">
        <f ca="1">IFERROR(__xludf.DUMMYFUNCTION("""COMPUTED_VALUE"""),"Fermentando")</f>
        <v>Fermentando</v>
      </c>
      <c r="P143" s="2"/>
      <c r="Q143" s="2" t="b">
        <f ca="1">IFERROR(__xludf.DUMMYFUNCTION("""COMPUTED_VALUE"""),FALSE)</f>
        <v>0</v>
      </c>
      <c r="R143" s="2" t="str">
        <f ca="1">IFERROR(__xludf.DUMMYFUNCTION("""COMPUTED_VALUE"""),"Descubada")</f>
        <v>Descubada</v>
      </c>
      <c r="S143" s="2"/>
      <c r="T143" s="2"/>
      <c r="U143" s="2"/>
    </row>
    <row r="144" spans="1:21" x14ac:dyDescent="0.25">
      <c r="A144" s="2" t="str">
        <f ca="1">IFERROR(__xludf.DUMMYFUNCTION("""COMPUTED_VALUE"""),"a434d241")</f>
        <v>a434d241</v>
      </c>
      <c r="B144" s="3">
        <f ca="1">IFERROR(__xludf.DUMMYFUNCTION("""COMPUTED_VALUE"""),45729.8105902777)</f>
        <v>45729.810590277702</v>
      </c>
      <c r="C144" s="2" t="str">
        <f ca="1">IFERROR(__xludf.DUMMYFUNCTION("""COMPUTED_VALUE"""),"665bbad3")</f>
        <v>665bbad3</v>
      </c>
      <c r="D144" s="2">
        <f ca="1">IFERROR(__xludf.DUMMYFUNCTION("""COMPUTED_VALUE"""),47)</f>
        <v>47</v>
      </c>
      <c r="E144" s="2" t="str">
        <f ca="1">IFERROR(__xludf.DUMMYFUNCTION("""COMPUTED_VALUE"""),"Cabernet Sauvignon 24 Rect")</f>
        <v>Cabernet Sauvignon 24 Rect</v>
      </c>
      <c r="F144" s="2">
        <f ca="1">IFERROR(__xludf.DUMMYFUNCTION("""COMPUTED_VALUE"""),1350)</f>
        <v>1350</v>
      </c>
      <c r="G144" s="2">
        <f ca="1">IFERROR(__xludf.DUMMYFUNCTION("""COMPUTED_VALUE"""),78)</f>
        <v>78</v>
      </c>
      <c r="H144" s="2" t="str">
        <f ca="1">IFERROR(__xludf.DUMMYFUNCTION("""COMPUTED_VALUE"""),"12aaaa1b")</f>
        <v>12aaaa1b</v>
      </c>
      <c r="I144" s="2" t="str">
        <f ca="1">IFERROR(__xludf.DUMMYFUNCTION("""COMPUTED_VALUE"""),"Tanat")</f>
        <v>Tanat</v>
      </c>
      <c r="J144" s="2">
        <f ca="1">IFERROR(__xludf.DUMMYFUNCTION("""COMPUTED_VALUE"""),10000)</f>
        <v>10000</v>
      </c>
      <c r="K144" s="2">
        <f ca="1">IFERROR(__xludf.DUMMYFUNCTION("""COMPUTED_VALUE"""),11350)</f>
        <v>11350</v>
      </c>
      <c r="L144" s="2" t="str">
        <f ca="1">IFERROR(__xludf.DUMMYFUNCTION("""COMPUTED_VALUE"""),"aecdf448")</f>
        <v>aecdf448</v>
      </c>
      <c r="M144" s="2" t="str">
        <f ca="1">IFERROR(__xludf.DUMMYFUNCTION("""COMPUTED_VALUE"""),"Tanat")</f>
        <v>Tanat</v>
      </c>
      <c r="N144" s="2" t="str">
        <f ca="1">IFERROR(__xludf.DUMMYFUNCTION("""COMPUTED_VALUE"""),"Agregado Rectificado PH")</f>
        <v>Agregado Rectificado PH</v>
      </c>
      <c r="O144" s="2" t="str">
        <f ca="1">IFERROR(__xludf.DUMMYFUNCTION("""COMPUTED_VALUE"""),"Rectificado")</f>
        <v>Rectificado</v>
      </c>
      <c r="P144" s="2" t="str">
        <f ca="1">IFERROR(__xludf.DUMMYFUNCTION("""COMPUTED_VALUE"""),"Fermentando")</f>
        <v>Fermentando</v>
      </c>
      <c r="Q144" s="2" t="b">
        <f ca="1">IFERROR(__xludf.DUMMYFUNCTION("""COMPUTED_VALUE"""),TRUE)</f>
        <v>1</v>
      </c>
      <c r="R144" s="2" t="str">
        <f ca="1">IFERROR(__xludf.DUMMYFUNCTION("""COMPUTED_VALUE"""),"Fermentando")</f>
        <v>Fermentando</v>
      </c>
      <c r="S144" s="2"/>
      <c r="T144" s="2"/>
      <c r="U144" s="2"/>
    </row>
    <row r="145" spans="1:21" x14ac:dyDescent="0.25">
      <c r="A145" s="2" t="str">
        <f ca="1">IFERROR(__xludf.DUMMYFUNCTION("""COMPUTED_VALUE"""),"6a2ac77c")</f>
        <v>6a2ac77c</v>
      </c>
      <c r="B145" s="3">
        <f ca="1">IFERROR(__xludf.DUMMYFUNCTION("""COMPUTED_VALUE"""),45729.8112037037)</f>
        <v>45729.811203703699</v>
      </c>
      <c r="C145" s="2" t="str">
        <f ca="1">IFERROR(__xludf.DUMMYFUNCTION("""COMPUTED_VALUE"""),"665bbad3")</f>
        <v>665bbad3</v>
      </c>
      <c r="D145" s="2">
        <f ca="1">IFERROR(__xludf.DUMMYFUNCTION("""COMPUTED_VALUE"""),47)</f>
        <v>47</v>
      </c>
      <c r="E145" s="2" t="str">
        <f ca="1">IFERROR(__xludf.DUMMYFUNCTION("""COMPUTED_VALUE"""),"Cabernet Sauvignon 24 Rect")</f>
        <v>Cabernet Sauvignon 24 Rect</v>
      </c>
      <c r="F145" s="2">
        <f ca="1">IFERROR(__xludf.DUMMYFUNCTION("""COMPUTED_VALUE"""),5200)</f>
        <v>5200</v>
      </c>
      <c r="G145" s="2">
        <f ca="1">IFERROR(__xludf.DUMMYFUNCTION("""COMPUTED_VALUE"""),85)</f>
        <v>85</v>
      </c>
      <c r="H145" s="2" t="str">
        <f ca="1">IFERROR(__xludf.DUMMYFUNCTION("""COMPUTED_VALUE"""),"81703b0d")</f>
        <v>81703b0d</v>
      </c>
      <c r="I145" s="2" t="str">
        <f ca="1">IFERROR(__xludf.DUMMYFUNCTION("""COMPUTED_VALUE"""),"Bonarda C2")</f>
        <v>Bonarda C2</v>
      </c>
      <c r="J145" s="2">
        <f ca="1">IFERROR(__xludf.DUMMYFUNCTION("""COMPUTED_VALUE"""),48900)</f>
        <v>48900</v>
      </c>
      <c r="K145" s="2">
        <f ca="1">IFERROR(__xludf.DUMMYFUNCTION("""COMPUTED_VALUE"""),54100)</f>
        <v>54100</v>
      </c>
      <c r="L145" s="2" t="str">
        <f ca="1">IFERROR(__xludf.DUMMYFUNCTION("""COMPUTED_VALUE"""),"1c0f3ac6")</f>
        <v>1c0f3ac6</v>
      </c>
      <c r="M145" s="2" t="str">
        <f ca="1">IFERROR(__xludf.DUMMYFUNCTION("""COMPUTED_VALUE"""),"Bonarda C2")</f>
        <v>Bonarda C2</v>
      </c>
      <c r="N145" s="2" t="str">
        <f ca="1">IFERROR(__xludf.DUMMYFUNCTION("""COMPUTED_VALUE"""),"Agregado Rectificado - corrección pH")</f>
        <v>Agregado Rectificado - corrección pH</v>
      </c>
      <c r="O145" s="2" t="str">
        <f ca="1">IFERROR(__xludf.DUMMYFUNCTION("""COMPUTED_VALUE"""),"Rectificado")</f>
        <v>Rectificado</v>
      </c>
      <c r="P145" s="2" t="str">
        <f ca="1">IFERROR(__xludf.DUMMYFUNCTION("""COMPUTED_VALUE"""),"Fermentando")</f>
        <v>Fermentando</v>
      </c>
      <c r="Q145" s="2" t="b">
        <f ca="1">IFERROR(__xludf.DUMMYFUNCTION("""COMPUTED_VALUE"""),TRUE)</f>
        <v>1</v>
      </c>
      <c r="R145" s="2" t="str">
        <f ca="1">IFERROR(__xludf.DUMMYFUNCTION("""COMPUTED_VALUE"""),"Fermentando")</f>
        <v>Fermentando</v>
      </c>
      <c r="S145" s="2"/>
      <c r="T145" s="2"/>
      <c r="U145" s="2"/>
    </row>
    <row r="146" spans="1:21" x14ac:dyDescent="0.25">
      <c r="A146" s="2" t="str">
        <f ca="1">IFERROR(__xludf.DUMMYFUNCTION("""COMPUTED_VALUE"""),"ef0c6006")</f>
        <v>ef0c6006</v>
      </c>
      <c r="B146" s="3">
        <f ca="1">IFERROR(__xludf.DUMMYFUNCTION("""COMPUTED_VALUE"""),45730.3912152777)</f>
        <v>45730.391215277697</v>
      </c>
      <c r="C146" s="2" t="str">
        <f ca="1">IFERROR(__xludf.DUMMYFUNCTION("""COMPUTED_VALUE"""),"3a5e04a4")</f>
        <v>3a5e04a4</v>
      </c>
      <c r="D146" s="2">
        <f ca="1">IFERROR(__xludf.DUMMYFUNCTION("""COMPUTED_VALUE"""),89)</f>
        <v>89</v>
      </c>
      <c r="E146" s="2" t="str">
        <f ca="1">IFERROR(__xludf.DUMMYFUNCTION("""COMPUTED_VALUE"""),"Syrah")</f>
        <v>Syrah</v>
      </c>
      <c r="F146" s="2">
        <f ca="1">IFERROR(__xludf.DUMMYFUNCTION("""COMPUTED_VALUE"""),48500)</f>
        <v>48500</v>
      </c>
      <c r="G146" s="2">
        <f ca="1">IFERROR(__xludf.DUMMYFUNCTION("""COMPUTED_VALUE"""),118)</f>
        <v>118</v>
      </c>
      <c r="H146" s="2"/>
      <c r="I146" s="2"/>
      <c r="J146" s="2">
        <f ca="1">IFERROR(__xludf.DUMMYFUNCTION("""COMPUTED_VALUE"""),0)</f>
        <v>0</v>
      </c>
      <c r="K146" s="2">
        <f ca="1">IFERROR(__xludf.DUMMYFUNCTION("""COMPUTED_VALUE"""),48500)</f>
        <v>48500</v>
      </c>
      <c r="L146" s="2" t="str">
        <f ca="1">IFERROR(__xludf.DUMMYFUNCTION("""COMPUTED_VALUE"""),"c57dab01")</f>
        <v>c57dab01</v>
      </c>
      <c r="M146" s="2" t="str">
        <f ca="1">IFERROR(__xludf.DUMMYFUNCTION("""COMPUTED_VALUE"""),"Syrah")</f>
        <v>Syrah</v>
      </c>
      <c r="N146" s="2" t="str">
        <f ca="1">IFERROR(__xludf.DUMMYFUNCTION("""COMPUTED_VALUE"""),"Gota y Prensa")</f>
        <v>Gota y Prensa</v>
      </c>
      <c r="O146" s="2" t="str">
        <f ca="1">IFERROR(__xludf.DUMMYFUNCTION("""COMPUTED_VALUE"""),"Descubada")</f>
        <v>Descubada</v>
      </c>
      <c r="P146" s="2"/>
      <c r="Q146" s="2" t="b">
        <f ca="1">IFERROR(__xludf.DUMMYFUNCTION("""COMPUTED_VALUE"""),FALSE)</f>
        <v>0</v>
      </c>
      <c r="R146" s="2" t="str">
        <f ca="1">IFERROR(__xludf.DUMMYFUNCTION("""COMPUTED_VALUE"""),"Fermentando")</f>
        <v>Fermentando</v>
      </c>
      <c r="S146" s="2"/>
      <c r="T146" s="2"/>
      <c r="U146" s="2"/>
    </row>
    <row r="147" spans="1:21" x14ac:dyDescent="0.25">
      <c r="A147" s="2" t="str">
        <f ca="1">IFERROR(__xludf.DUMMYFUNCTION("""COMPUTED_VALUE"""),"e4dad44b")</f>
        <v>e4dad44b</v>
      </c>
      <c r="B147" s="3">
        <f ca="1">IFERROR(__xludf.DUMMYFUNCTION("""COMPUTED_VALUE"""),45730.3922337962)</f>
        <v>45730.392233796199</v>
      </c>
      <c r="C147" s="2" t="str">
        <f ca="1">IFERROR(__xludf.DUMMYFUNCTION("""COMPUTED_VALUE"""),"c85d74dc")</f>
        <v>c85d74dc</v>
      </c>
      <c r="D147" s="2">
        <f ca="1">IFERROR(__xludf.DUMMYFUNCTION("""COMPUTED_VALUE"""),92)</f>
        <v>92</v>
      </c>
      <c r="E147" s="2" t="str">
        <f ca="1">IFERROR(__xludf.DUMMYFUNCTION("""COMPUTED_VALUE"""),"Syrah Tempranillo")</f>
        <v>Syrah Tempranillo</v>
      </c>
      <c r="F147" s="2">
        <f ca="1">IFERROR(__xludf.DUMMYFUNCTION("""COMPUTED_VALUE"""),44700)</f>
        <v>44700</v>
      </c>
      <c r="G147" s="2">
        <f ca="1">IFERROR(__xludf.DUMMYFUNCTION("""COMPUTED_VALUE"""),118)</f>
        <v>118</v>
      </c>
      <c r="H147" s="2" t="str">
        <f ca="1">IFERROR(__xludf.DUMMYFUNCTION("""COMPUTED_VALUE"""),"c57dab01")</f>
        <v>c57dab01</v>
      </c>
      <c r="I147" s="2" t="str">
        <f ca="1">IFERROR(__xludf.DUMMYFUNCTION("""COMPUTED_VALUE"""),"Syrah")</f>
        <v>Syrah</v>
      </c>
      <c r="J147" s="2">
        <f ca="1">IFERROR(__xludf.DUMMYFUNCTION("""COMPUTED_VALUE"""),48500)</f>
        <v>48500</v>
      </c>
      <c r="K147" s="2">
        <f ca="1">IFERROR(__xludf.DUMMYFUNCTION("""COMPUTED_VALUE"""),93200)</f>
        <v>93200</v>
      </c>
      <c r="L147" s="2" t="str">
        <f ca="1">IFERROR(__xludf.DUMMYFUNCTION("""COMPUTED_VALUE"""),"7f2febfa")</f>
        <v>7f2febfa</v>
      </c>
      <c r="M147" s="2" t="str">
        <f ca="1">IFERROR(__xludf.DUMMYFUNCTION("""COMPUTED_VALUE"""),"Syrah")</f>
        <v>Syrah</v>
      </c>
      <c r="N147" s="2" t="str">
        <f ca="1">IFERROR(__xludf.DUMMYFUNCTION("""COMPUTED_VALUE"""),"Gota y prensa")</f>
        <v>Gota y prensa</v>
      </c>
      <c r="O147" s="2" t="str">
        <f ca="1">IFERROR(__xludf.DUMMYFUNCTION("""COMPUTED_VALUE"""),"Fermentando")</f>
        <v>Fermentando</v>
      </c>
      <c r="P147" s="2" t="str">
        <f ca="1">IFERROR(__xludf.DUMMYFUNCTION("""COMPUTED_VALUE"""),"Fermentando")</f>
        <v>Fermentando</v>
      </c>
      <c r="Q147" s="2" t="b">
        <f ca="1">IFERROR(__xludf.DUMMYFUNCTION("""COMPUTED_VALUE"""),TRUE)</f>
        <v>1</v>
      </c>
      <c r="R147" s="2" t="str">
        <f ca="1">IFERROR(__xludf.DUMMYFUNCTION("""COMPUTED_VALUE"""),"Descubada")</f>
        <v>Descubada</v>
      </c>
      <c r="S147" s="2"/>
      <c r="T147" s="2"/>
      <c r="U147" s="2"/>
    </row>
    <row r="148" spans="1:21" x14ac:dyDescent="0.25">
      <c r="A148" s="2" t="str">
        <f ca="1">IFERROR(__xludf.DUMMYFUNCTION("""COMPUTED_VALUE"""),"41591c55")</f>
        <v>41591c55</v>
      </c>
      <c r="B148" s="3">
        <f ca="1">IFERROR(__xludf.DUMMYFUNCTION("""COMPUTED_VALUE"""),45730.7355902777)</f>
        <v>45730.735590277698</v>
      </c>
      <c r="C148" s="2" t="str">
        <f ca="1">IFERROR(__xludf.DUMMYFUNCTION("""COMPUTED_VALUE"""),"a62e4289")</f>
        <v>a62e4289</v>
      </c>
      <c r="D148" s="2">
        <f ca="1">IFERROR(__xludf.DUMMYFUNCTION("""COMPUTED_VALUE"""),87)</f>
        <v>87</v>
      </c>
      <c r="E148" s="2" t="str">
        <f ca="1">IFERROR(__xludf.DUMMYFUNCTION("""COMPUTED_VALUE"""),"Merlot")</f>
        <v>Merlot</v>
      </c>
      <c r="F148" s="2">
        <f ca="1">IFERROR(__xludf.DUMMYFUNCTION("""COMPUTED_VALUE"""),47200)</f>
        <v>47200</v>
      </c>
      <c r="G148" s="2">
        <f ca="1">IFERROR(__xludf.DUMMYFUNCTION("""COMPUTED_VALUE"""),118)</f>
        <v>118</v>
      </c>
      <c r="H148" s="2" t="str">
        <f ca="1">IFERROR(__xludf.DUMMYFUNCTION("""COMPUTED_VALUE"""),"7f2febfa")</f>
        <v>7f2febfa</v>
      </c>
      <c r="I148" s="2" t="str">
        <f ca="1">IFERROR(__xludf.DUMMYFUNCTION("""COMPUTED_VALUE"""),"Syrah")</f>
        <v>Syrah</v>
      </c>
      <c r="J148" s="2">
        <f ca="1">IFERROR(__xludf.DUMMYFUNCTION("""COMPUTED_VALUE"""),93200)</f>
        <v>93200</v>
      </c>
      <c r="K148" s="2">
        <f ca="1">IFERROR(__xludf.DUMMYFUNCTION("""COMPUTED_VALUE"""),140400)</f>
        <v>140400</v>
      </c>
      <c r="L148" s="2" t="str">
        <f ca="1">IFERROR(__xludf.DUMMYFUNCTION("""COMPUTED_VALUE"""),"ef6021e0")</f>
        <v>ef6021e0</v>
      </c>
      <c r="M148" s="2" t="str">
        <f ca="1">IFERROR(__xludf.DUMMYFUNCTION("""COMPUTED_VALUE"""),"Syrah")</f>
        <v>Syrah</v>
      </c>
      <c r="N148" s="2"/>
      <c r="O148" s="2" t="str">
        <f ca="1">IFERROR(__xludf.DUMMYFUNCTION("""COMPUTED_VALUE"""),"Terminado")</f>
        <v>Terminado</v>
      </c>
      <c r="P148" s="2" t="str">
        <f ca="1">IFERROR(__xludf.DUMMYFUNCTION("""COMPUTED_VALUE"""),"Descubada")</f>
        <v>Descubada</v>
      </c>
      <c r="Q148" s="2" t="b">
        <f ca="1">IFERROR(__xludf.DUMMYFUNCTION("""COMPUTED_VALUE"""),TRUE)</f>
        <v>1</v>
      </c>
      <c r="R148" s="2" t="str">
        <f ca="1">IFERROR(__xludf.DUMMYFUNCTION("""COMPUTED_VALUE"""),"Descubada")</f>
        <v>Descubada</v>
      </c>
      <c r="S148" s="2"/>
      <c r="T148" s="2"/>
      <c r="U148" s="2"/>
    </row>
    <row r="149" spans="1:21" x14ac:dyDescent="0.25">
      <c r="A149" s="2" t="str">
        <f ca="1">IFERROR(__xludf.DUMMYFUNCTION("""COMPUTED_VALUE"""),"baa5467a")</f>
        <v>baa5467a</v>
      </c>
      <c r="B149" s="3">
        <f ca="1">IFERROR(__xludf.DUMMYFUNCTION("""COMPUTED_VALUE"""),45730.7473842592)</f>
        <v>45730.747384259201</v>
      </c>
      <c r="C149" s="2" t="str">
        <f ca="1">IFERROR(__xludf.DUMMYFUNCTION("""COMPUTED_VALUE"""),"bd4decc8")</f>
        <v>bd4decc8</v>
      </c>
      <c r="D149" s="2">
        <f ca="1">IFERROR(__xludf.DUMMYFUNCTION("""COMPUTED_VALUE"""),46)</f>
        <v>46</v>
      </c>
      <c r="E149" s="2" t="str">
        <f ca="1">IFERROR(__xludf.DUMMYFUNCTION("""COMPUTED_VALUE"""),"Cabernet Sauvignon 24 Rect")</f>
        <v>Cabernet Sauvignon 24 Rect</v>
      </c>
      <c r="F149" s="2">
        <f ca="1">IFERROR(__xludf.DUMMYFUNCTION("""COMPUTED_VALUE"""),1000)</f>
        <v>1000</v>
      </c>
      <c r="G149" s="2">
        <f ca="1">IFERROR(__xludf.DUMMYFUNCTION("""COMPUTED_VALUE"""),70)</f>
        <v>70</v>
      </c>
      <c r="H149" s="2" t="str">
        <f ca="1">IFERROR(__xludf.DUMMYFUNCTION("""COMPUTED_VALUE"""),"7c1a7cd6")</f>
        <v>7c1a7cd6</v>
      </c>
      <c r="I149" s="2" t="str">
        <f ca="1">IFERROR(__xludf.DUMMYFUNCTION("""COMPUTED_VALUE"""),"Tanat")</f>
        <v>Tanat</v>
      </c>
      <c r="J149" s="2">
        <f ca="1">IFERROR(__xludf.DUMMYFUNCTION("""COMPUTED_VALUE"""),7000)</f>
        <v>7000</v>
      </c>
      <c r="K149" s="2">
        <f ca="1">IFERROR(__xludf.DUMMYFUNCTION("""COMPUTED_VALUE"""),8000)</f>
        <v>8000</v>
      </c>
      <c r="L149" s="2" t="str">
        <f ca="1">IFERROR(__xludf.DUMMYFUNCTION("""COMPUTED_VALUE"""),"87540dbb")</f>
        <v>87540dbb</v>
      </c>
      <c r="M149" s="2" t="str">
        <f ca="1">IFERROR(__xludf.DUMMYFUNCTION("""COMPUTED_VALUE"""),"Tanat")</f>
        <v>Tanat</v>
      </c>
      <c r="N149" s="2"/>
      <c r="O149" s="2" t="str">
        <f ca="1">IFERROR(__xludf.DUMMYFUNCTION("""COMPUTED_VALUE"""),"Rectificado")</f>
        <v>Rectificado</v>
      </c>
      <c r="P149" s="2" t="str">
        <f ca="1">IFERROR(__xludf.DUMMYFUNCTION("""COMPUTED_VALUE"""),"Fermentando")</f>
        <v>Fermentando</v>
      </c>
      <c r="Q149" s="2" t="b">
        <f ca="1">IFERROR(__xludf.DUMMYFUNCTION("""COMPUTED_VALUE"""),TRUE)</f>
        <v>1</v>
      </c>
      <c r="R149" s="2" t="str">
        <f ca="1">IFERROR(__xludf.DUMMYFUNCTION("""COMPUTED_VALUE"""),"Fermentando")</f>
        <v>Fermentando</v>
      </c>
      <c r="S149" s="2"/>
      <c r="T149" s="2"/>
      <c r="U149" s="2"/>
    </row>
    <row r="150" spans="1:21" x14ac:dyDescent="0.25">
      <c r="A150" s="2" t="str">
        <f ca="1">IFERROR(__xludf.DUMMYFUNCTION("""COMPUTED_VALUE"""),"32477090")</f>
        <v>32477090</v>
      </c>
      <c r="B150" s="3">
        <f ca="1">IFERROR(__xludf.DUMMYFUNCTION("""COMPUTED_VALUE"""),45730.7483564814)</f>
        <v>45730.748356481403</v>
      </c>
      <c r="C150" s="2" t="str">
        <f ca="1">IFERROR(__xludf.DUMMYFUNCTION("""COMPUTED_VALUE"""),"d9821c78")</f>
        <v>d9821c78</v>
      </c>
      <c r="D150" s="2">
        <f ca="1">IFERROR(__xludf.DUMMYFUNCTION("""COMPUTED_VALUE"""),48)</f>
        <v>48</v>
      </c>
      <c r="E150" s="2" t="str">
        <f ca="1">IFERROR(__xludf.DUMMYFUNCTION("""COMPUTED_VALUE"""),"Bonarda 24 Rect")</f>
        <v>Bonarda 24 Rect</v>
      </c>
      <c r="F150" s="2">
        <f ca="1">IFERROR(__xludf.DUMMYFUNCTION("""COMPUTED_VALUE"""),6500)</f>
        <v>6500</v>
      </c>
      <c r="G150" s="2">
        <f ca="1">IFERROR(__xludf.DUMMYFUNCTION("""COMPUTED_VALUE"""),91)</f>
        <v>91</v>
      </c>
      <c r="H150" s="2" t="str">
        <f ca="1">IFERROR(__xludf.DUMMYFUNCTION("""COMPUTED_VALUE"""),"519804dd")</f>
        <v>519804dd</v>
      </c>
      <c r="I150" s="2" t="str">
        <f ca="1">IFERROR(__xludf.DUMMYFUNCTION("""COMPUTED_VALUE"""),"Bonarda C2")</f>
        <v>Bonarda C2</v>
      </c>
      <c r="J150" s="2">
        <f ca="1">IFERROR(__xludf.DUMMYFUNCTION("""COMPUTED_VALUE"""),39200)</f>
        <v>39200</v>
      </c>
      <c r="K150" s="2">
        <f ca="1">IFERROR(__xludf.DUMMYFUNCTION("""COMPUTED_VALUE"""),45700)</f>
        <v>45700</v>
      </c>
      <c r="L150" s="2" t="str">
        <f ca="1">IFERROR(__xludf.DUMMYFUNCTION("""COMPUTED_VALUE"""),"1a71b226")</f>
        <v>1a71b226</v>
      </c>
      <c r="M150" s="2" t="str">
        <f ca="1">IFERROR(__xludf.DUMMYFUNCTION("""COMPUTED_VALUE"""),"Bonarda C2")</f>
        <v>Bonarda C2</v>
      </c>
      <c r="N150" s="2" t="str">
        <f ca="1">IFERROR(__xludf.DUMMYFUNCTION("""COMPUTED_VALUE"""),"Rectificado")</f>
        <v>Rectificado</v>
      </c>
      <c r="O150" s="2" t="str">
        <f ca="1">IFERROR(__xludf.DUMMYFUNCTION("""COMPUTED_VALUE"""),"Rectificado")</f>
        <v>Rectificado</v>
      </c>
      <c r="P150" s="2" t="str">
        <f ca="1">IFERROR(__xludf.DUMMYFUNCTION("""COMPUTED_VALUE"""),"Fermentando")</f>
        <v>Fermentando</v>
      </c>
      <c r="Q150" s="2" t="b">
        <f ca="1">IFERROR(__xludf.DUMMYFUNCTION("""COMPUTED_VALUE"""),TRUE)</f>
        <v>1</v>
      </c>
      <c r="R150" s="2" t="str">
        <f ca="1">IFERROR(__xludf.DUMMYFUNCTION("""COMPUTED_VALUE"""),"Fermentando")</f>
        <v>Fermentando</v>
      </c>
      <c r="S150" s="2"/>
      <c r="T150" s="2"/>
      <c r="U150" s="2"/>
    </row>
    <row r="151" spans="1:21" x14ac:dyDescent="0.25">
      <c r="A151" s="2" t="str">
        <f ca="1">IFERROR(__xludf.DUMMYFUNCTION("""COMPUTED_VALUE"""),"b058c3ad")</f>
        <v>b058c3ad</v>
      </c>
      <c r="B151" s="3">
        <f ca="1">IFERROR(__xludf.DUMMYFUNCTION("""COMPUTED_VALUE"""),45730.7492013887)</f>
        <v>45730.749201388797</v>
      </c>
      <c r="C151" s="2" t="str">
        <f ca="1">IFERROR(__xludf.DUMMYFUNCTION("""COMPUTED_VALUE"""),"bd4decc8")</f>
        <v>bd4decc8</v>
      </c>
      <c r="D151" s="2">
        <f ca="1">IFERROR(__xludf.DUMMYFUNCTION("""COMPUTED_VALUE"""),46)</f>
        <v>46</v>
      </c>
      <c r="E151" s="2" t="str">
        <f ca="1">IFERROR(__xludf.DUMMYFUNCTION("""COMPUTED_VALUE"""),"Cabernet Sauvignon 24 Rect")</f>
        <v>Cabernet Sauvignon 24 Rect</v>
      </c>
      <c r="F151" s="2">
        <f ca="1">IFERROR(__xludf.DUMMYFUNCTION("""COMPUTED_VALUE"""),9600)</f>
        <v>9600</v>
      </c>
      <c r="G151" s="2">
        <f ca="1">IFERROR(__xludf.DUMMYFUNCTION("""COMPUTED_VALUE"""),90)</f>
        <v>90</v>
      </c>
      <c r="H151" s="2" t="str">
        <f ca="1">IFERROR(__xludf.DUMMYFUNCTION("""COMPUTED_VALUE"""),"97384f9b")</f>
        <v>97384f9b</v>
      </c>
      <c r="I151" s="2" t="str">
        <f ca="1">IFERROR(__xludf.DUMMYFUNCTION("""COMPUTED_VALUE"""),"Ancellotta Tempranillo")</f>
        <v>Ancellotta Tempranillo</v>
      </c>
      <c r="J151" s="2">
        <f ca="1">IFERROR(__xludf.DUMMYFUNCTION("""COMPUTED_VALUE"""),43300)</f>
        <v>43300</v>
      </c>
      <c r="K151" s="2">
        <f ca="1">IFERROR(__xludf.DUMMYFUNCTION("""COMPUTED_VALUE"""),52900)</f>
        <v>52900</v>
      </c>
      <c r="L151" s="2" t="str">
        <f ca="1">IFERROR(__xludf.DUMMYFUNCTION("""COMPUTED_VALUE"""),"e0f68630")</f>
        <v>e0f68630</v>
      </c>
      <c r="M151" s="2" t="str">
        <f ca="1">IFERROR(__xludf.DUMMYFUNCTION("""COMPUTED_VALUE"""),"Ancellotta Tempranillo")</f>
        <v>Ancellotta Tempranillo</v>
      </c>
      <c r="N151" s="2" t="str">
        <f ca="1">IFERROR(__xludf.DUMMYFUNCTION("""COMPUTED_VALUE"""),"Rectificado")</f>
        <v>Rectificado</v>
      </c>
      <c r="O151" s="2" t="str">
        <f ca="1">IFERROR(__xludf.DUMMYFUNCTION("""COMPUTED_VALUE"""),"Rectificado")</f>
        <v>Rectificado</v>
      </c>
      <c r="P151" s="2" t="str">
        <f ca="1">IFERROR(__xludf.DUMMYFUNCTION("""COMPUTED_VALUE"""),"Fermentando")</f>
        <v>Fermentando</v>
      </c>
      <c r="Q151" s="2" t="b">
        <f ca="1">IFERROR(__xludf.DUMMYFUNCTION("""COMPUTED_VALUE"""),TRUE)</f>
        <v>1</v>
      </c>
      <c r="R151" s="2" t="str">
        <f ca="1">IFERROR(__xludf.DUMMYFUNCTION("""COMPUTED_VALUE"""),"Fermentando")</f>
        <v>Fermentando</v>
      </c>
      <c r="S151" s="2"/>
      <c r="T151" s="2"/>
      <c r="U151" s="2"/>
    </row>
    <row r="152" spans="1:21" x14ac:dyDescent="0.25">
      <c r="A152" s="2" t="str">
        <f ca="1">IFERROR(__xludf.DUMMYFUNCTION("""COMPUTED_VALUE"""),"9ee0044e")</f>
        <v>9ee0044e</v>
      </c>
      <c r="B152" s="3">
        <f ca="1">IFERROR(__xludf.DUMMYFUNCTION("""COMPUTED_VALUE"""),45730.782974537)</f>
        <v>45730.782974537004</v>
      </c>
      <c r="C152" s="2" t="str">
        <f ca="1">IFERROR(__xludf.DUMMYFUNCTION("""COMPUTED_VALUE"""),"4a5cb789")</f>
        <v>4a5cb789</v>
      </c>
      <c r="D152" s="2">
        <f ca="1">IFERROR(__xludf.DUMMYFUNCTION("""COMPUTED_VALUE"""),54)</f>
        <v>54</v>
      </c>
      <c r="E152" s="2" t="str">
        <f ca="1">IFERROR(__xludf.DUMMYFUNCTION("""COMPUTED_VALUE"""),"Chardonnay 24 Rect")</f>
        <v>Chardonnay 24 Rect</v>
      </c>
      <c r="F152" s="2">
        <f ca="1">IFERROR(__xludf.DUMMYFUNCTION("""COMPUTED_VALUE"""),2200)</f>
        <v>2200</v>
      </c>
      <c r="G152" s="2">
        <f ca="1">IFERROR(__xludf.DUMMYFUNCTION("""COMPUTED_VALUE"""),81)</f>
        <v>81</v>
      </c>
      <c r="H152" s="2" t="str">
        <f ca="1">IFERROR(__xludf.DUMMYFUNCTION("""COMPUTED_VALUE"""),"f7f01b85")</f>
        <v>f7f01b85</v>
      </c>
      <c r="I152" s="2" t="str">
        <f ca="1">IFERROR(__xludf.DUMMYFUNCTION("""COMPUTED_VALUE"""),"Torrontes")</f>
        <v>Torrontes</v>
      </c>
      <c r="J152" s="2">
        <f ca="1">IFERROR(__xludf.DUMMYFUNCTION("""COMPUTED_VALUE"""),18400)</f>
        <v>18400</v>
      </c>
      <c r="K152" s="2">
        <f ca="1">IFERROR(__xludf.DUMMYFUNCTION("""COMPUTED_VALUE"""),20600)</f>
        <v>20600</v>
      </c>
      <c r="L152" s="2" t="str">
        <f ca="1">IFERROR(__xludf.DUMMYFUNCTION("""COMPUTED_VALUE"""),"dea77610")</f>
        <v>dea77610</v>
      </c>
      <c r="M152" s="2" t="str">
        <f ca="1">IFERROR(__xludf.DUMMYFUNCTION("""COMPUTED_VALUE"""),"Torrontes")</f>
        <v>Torrontes</v>
      </c>
      <c r="N152" s="2" t="str">
        <f ca="1">IFERROR(__xludf.DUMMYFUNCTION("""COMPUTED_VALUE"""),"Rectificado")</f>
        <v>Rectificado</v>
      </c>
      <c r="O152" s="2" t="str">
        <f ca="1">IFERROR(__xludf.DUMMYFUNCTION("""COMPUTED_VALUE"""),"Rectificado")</f>
        <v>Rectificado</v>
      </c>
      <c r="P152" s="2" t="str">
        <f ca="1">IFERROR(__xludf.DUMMYFUNCTION("""COMPUTED_VALUE"""),"Fermentando")</f>
        <v>Fermentando</v>
      </c>
      <c r="Q152" s="2" t="b">
        <f ca="1">IFERROR(__xludf.DUMMYFUNCTION("""COMPUTED_VALUE"""),TRUE)</f>
        <v>1</v>
      </c>
      <c r="R152" s="2" t="str">
        <f ca="1">IFERROR(__xludf.DUMMYFUNCTION("""COMPUTED_VALUE"""),"Fermentando")</f>
        <v>Fermentando</v>
      </c>
      <c r="S152" s="2"/>
      <c r="T152" s="2"/>
      <c r="U152" s="2"/>
    </row>
    <row r="153" spans="1:21" x14ac:dyDescent="0.25">
      <c r="A153" s="2" t="str">
        <f ca="1">IFERROR(__xludf.DUMMYFUNCTION("""COMPUTED_VALUE"""),"b4f4afab")</f>
        <v>b4f4afab</v>
      </c>
      <c r="B153" s="3">
        <f ca="1">IFERROR(__xludf.DUMMYFUNCTION("""COMPUTED_VALUE"""),45730.78625)</f>
        <v>45730.786249999997</v>
      </c>
      <c r="C153" s="2" t="str">
        <f ca="1">IFERROR(__xludf.DUMMYFUNCTION("""COMPUTED_VALUE"""),"844a05ee")</f>
        <v>844a05ee</v>
      </c>
      <c r="D153" s="2">
        <f ca="1">IFERROR(__xludf.DUMMYFUNCTION("""COMPUTED_VALUE"""),65)</f>
        <v>65</v>
      </c>
      <c r="E153" s="2" t="str">
        <f ca="1">IFERROR(__xludf.DUMMYFUNCTION("""COMPUTED_VALUE"""),"Syrah s/Anc")</f>
        <v>Syrah s/Anc</v>
      </c>
      <c r="F153" s="2">
        <f ca="1">IFERROR(__xludf.DUMMYFUNCTION("""COMPUTED_VALUE"""),15200)</f>
        <v>15200</v>
      </c>
      <c r="G153" s="2">
        <f ca="1">IFERROR(__xludf.DUMMYFUNCTION("""COMPUTED_VALUE"""),118)</f>
        <v>118</v>
      </c>
      <c r="H153" s="2" t="str">
        <f ca="1">IFERROR(__xludf.DUMMYFUNCTION("""COMPUTED_VALUE"""),"ef6021e0")</f>
        <v>ef6021e0</v>
      </c>
      <c r="I153" s="2" t="str">
        <f ca="1">IFERROR(__xludf.DUMMYFUNCTION("""COMPUTED_VALUE"""),"Syrah")</f>
        <v>Syrah</v>
      </c>
      <c r="J153" s="2">
        <f ca="1">IFERROR(__xludf.DUMMYFUNCTION("""COMPUTED_VALUE"""),140400)</f>
        <v>140400</v>
      </c>
      <c r="K153" s="2">
        <f ca="1">IFERROR(__xludf.DUMMYFUNCTION("""COMPUTED_VALUE"""),155600)</f>
        <v>155600</v>
      </c>
      <c r="L153" s="2" t="str">
        <f ca="1">IFERROR(__xludf.DUMMYFUNCTION("""COMPUTED_VALUE"""),"03ffe0d5")</f>
        <v>03ffe0d5</v>
      </c>
      <c r="M153" s="2" t="str">
        <f ca="1">IFERROR(__xludf.DUMMYFUNCTION("""COMPUTED_VALUE"""),"Syrah")</f>
        <v>Syrah</v>
      </c>
      <c r="N153" s="2"/>
      <c r="O153" s="2" t="str">
        <f ca="1">IFERROR(__xludf.DUMMYFUNCTION("""COMPUTED_VALUE"""),"Recarga Fermentando")</f>
        <v>Recarga Fermentando</v>
      </c>
      <c r="P153" s="2" t="str">
        <f ca="1">IFERROR(__xludf.DUMMYFUNCTION("""COMPUTED_VALUE"""),"Descubada")</f>
        <v>Descubada</v>
      </c>
      <c r="Q153" s="2" t="b">
        <f ca="1">IFERROR(__xludf.DUMMYFUNCTION("""COMPUTED_VALUE"""),TRUE)</f>
        <v>1</v>
      </c>
      <c r="R153" s="2" t="str">
        <f ca="1">IFERROR(__xludf.DUMMYFUNCTION("""COMPUTED_VALUE"""),"Descubada")</f>
        <v>Descubada</v>
      </c>
      <c r="S153" s="2"/>
      <c r="T153" s="2"/>
      <c r="U153" s="2"/>
    </row>
    <row r="154" spans="1:21" x14ac:dyDescent="0.25">
      <c r="A154" s="2" t="str">
        <f ca="1">IFERROR(__xludf.DUMMYFUNCTION("""COMPUTED_VALUE"""),"80dcdad5")</f>
        <v>80dcdad5</v>
      </c>
      <c r="B154" s="3">
        <f ca="1">IFERROR(__xludf.DUMMYFUNCTION("""COMPUTED_VALUE"""),45730.7897222222)</f>
        <v>45730.789722222202</v>
      </c>
      <c r="C154" s="2" t="str">
        <f ca="1">IFERROR(__xludf.DUMMYFUNCTION("""COMPUTED_VALUE"""),"844a05ee")</f>
        <v>844a05ee</v>
      </c>
      <c r="D154" s="2">
        <f ca="1">IFERROR(__xludf.DUMMYFUNCTION("""COMPUTED_VALUE"""),65)</f>
        <v>65</v>
      </c>
      <c r="E154" s="2" t="str">
        <f ca="1">IFERROR(__xludf.DUMMYFUNCTION("""COMPUTED_VALUE"""),"Syrah s/Anc")</f>
        <v>Syrah s/Anc</v>
      </c>
      <c r="F154" s="2">
        <f ca="1">IFERROR(__xludf.DUMMYFUNCTION("""COMPUTED_VALUE"""),8900)</f>
        <v>8900</v>
      </c>
      <c r="G154" s="2">
        <f ca="1">IFERROR(__xludf.DUMMYFUNCTION("""COMPUTED_VALUE"""),52)</f>
        <v>52</v>
      </c>
      <c r="H154" s="2" t="str">
        <f ca="1">IFERROR(__xludf.DUMMYFUNCTION("""COMPUTED_VALUE"""),"fa937d00")</f>
        <v>fa937d00</v>
      </c>
      <c r="I154" s="2" t="str">
        <f ca="1">IFERROR(__xludf.DUMMYFUNCTION("""COMPUTED_VALUE"""),"Syrah")</f>
        <v>Syrah</v>
      </c>
      <c r="J154" s="2">
        <f ca="1">IFERROR(__xludf.DUMMYFUNCTION("""COMPUTED_VALUE"""),15000)</f>
        <v>15000</v>
      </c>
      <c r="K154" s="2">
        <f ca="1">IFERROR(__xludf.DUMMYFUNCTION("""COMPUTED_VALUE"""),23900)</f>
        <v>23900</v>
      </c>
      <c r="L154" s="2" t="str">
        <f ca="1">IFERROR(__xludf.DUMMYFUNCTION("""COMPUTED_VALUE"""),"b93c3154")</f>
        <v>b93c3154</v>
      </c>
      <c r="M154" s="2" t="str">
        <f ca="1">IFERROR(__xludf.DUMMYFUNCTION("""COMPUTED_VALUE"""),"Syrah")</f>
        <v>Syrah</v>
      </c>
      <c r="N154" s="2"/>
      <c r="O154" s="2" t="str">
        <f ca="1">IFERROR(__xludf.DUMMYFUNCTION("""COMPUTED_VALUE"""),"Recarga Fermentando")</f>
        <v>Recarga Fermentando</v>
      </c>
      <c r="P154" s="2" t="str">
        <f ca="1">IFERROR(__xludf.DUMMYFUNCTION("""COMPUTED_VALUE"""),"Descubada")</f>
        <v>Descubada</v>
      </c>
      <c r="Q154" s="2" t="b">
        <f ca="1">IFERROR(__xludf.DUMMYFUNCTION("""COMPUTED_VALUE"""),TRUE)</f>
        <v>1</v>
      </c>
      <c r="R154" s="2" t="str">
        <f ca="1">IFERROR(__xludf.DUMMYFUNCTION("""COMPUTED_VALUE"""),"Descubada")</f>
        <v>Descubada</v>
      </c>
      <c r="S154" s="2"/>
      <c r="T154" s="2"/>
      <c r="U154" s="2"/>
    </row>
    <row r="155" spans="1:21" x14ac:dyDescent="0.25">
      <c r="A155" s="2" t="str">
        <f ca="1">IFERROR(__xludf.DUMMYFUNCTION("""COMPUTED_VALUE"""),"ca94aa1f")</f>
        <v>ca94aa1f</v>
      </c>
      <c r="B155" s="3">
        <f ca="1">IFERROR(__xludf.DUMMYFUNCTION("""COMPUTED_VALUE"""),45730.7912962962)</f>
        <v>45730.7912962962</v>
      </c>
      <c r="C155" s="2" t="str">
        <f ca="1">IFERROR(__xludf.DUMMYFUNCTION("""COMPUTED_VALUE"""),"bd4decc8")</f>
        <v>bd4decc8</v>
      </c>
      <c r="D155" s="2">
        <f ca="1">IFERROR(__xludf.DUMMYFUNCTION("""COMPUTED_VALUE"""),46)</f>
        <v>46</v>
      </c>
      <c r="E155" s="2" t="str">
        <f ca="1">IFERROR(__xludf.DUMMYFUNCTION("""COMPUTED_VALUE"""),"Cabernet Sauvignon 24 Rect")</f>
        <v>Cabernet Sauvignon 24 Rect</v>
      </c>
      <c r="F155" s="2">
        <f ca="1">IFERROR(__xludf.DUMMYFUNCTION("""COMPUTED_VALUE"""),9500)</f>
        <v>9500</v>
      </c>
      <c r="G155" s="2">
        <f ca="1">IFERROR(__xludf.DUMMYFUNCTION("""COMPUTED_VALUE"""),86)</f>
        <v>86</v>
      </c>
      <c r="H155" s="2" t="str">
        <f ca="1">IFERROR(__xludf.DUMMYFUNCTION("""COMPUTED_VALUE"""),"dc7359e0")</f>
        <v>dc7359e0</v>
      </c>
      <c r="I155" s="2" t="str">
        <f ca="1">IFERROR(__xludf.DUMMYFUNCTION("""COMPUTED_VALUE"""),"Syrah")</f>
        <v>Syrah</v>
      </c>
      <c r="J155" s="2">
        <f ca="1">IFERROR(__xludf.DUMMYFUNCTION("""COMPUTED_VALUE"""),43000)</f>
        <v>43000</v>
      </c>
      <c r="K155" s="2">
        <f ca="1">IFERROR(__xludf.DUMMYFUNCTION("""COMPUTED_VALUE"""),52500)</f>
        <v>52500</v>
      </c>
      <c r="L155" s="2" t="str">
        <f ca="1">IFERROR(__xludf.DUMMYFUNCTION("""COMPUTED_VALUE"""),"ea43be80")</f>
        <v>ea43be80</v>
      </c>
      <c r="M155" s="2" t="str">
        <f ca="1">IFERROR(__xludf.DUMMYFUNCTION("""COMPUTED_VALUE"""),"Syrah")</f>
        <v>Syrah</v>
      </c>
      <c r="N155" s="2" t="str">
        <f ca="1">IFERROR(__xludf.DUMMYFUNCTION("""COMPUTED_VALUE"""),"Correción pH - agregado rectificado")</f>
        <v>Correción pH - agregado rectificado</v>
      </c>
      <c r="O155" s="2" t="str">
        <f ca="1">IFERROR(__xludf.DUMMYFUNCTION("""COMPUTED_VALUE"""),"Rectificado")</f>
        <v>Rectificado</v>
      </c>
      <c r="P155" s="2" t="str">
        <f ca="1">IFERROR(__xludf.DUMMYFUNCTION("""COMPUTED_VALUE"""),"Fermentando")</f>
        <v>Fermentando</v>
      </c>
      <c r="Q155" s="2" t="b">
        <f ca="1">IFERROR(__xludf.DUMMYFUNCTION("""COMPUTED_VALUE"""),TRUE)</f>
        <v>1</v>
      </c>
      <c r="R155" s="2" t="str">
        <f ca="1">IFERROR(__xludf.DUMMYFUNCTION("""COMPUTED_VALUE"""),"Fermentando")</f>
        <v>Fermentando</v>
      </c>
      <c r="S155" s="2"/>
      <c r="T155" s="2"/>
      <c r="U155" s="2"/>
    </row>
    <row r="156" spans="1:21" x14ac:dyDescent="0.25">
      <c r="A156" s="2" t="str">
        <f ca="1">IFERROR(__xludf.DUMMYFUNCTION("""COMPUTED_VALUE"""),"381b60d3")</f>
        <v>381b60d3</v>
      </c>
      <c r="B156" s="3">
        <f ca="1">IFERROR(__xludf.DUMMYFUNCTION("""COMPUTED_VALUE"""),45733.4081597222)</f>
        <v>45733.408159722203</v>
      </c>
      <c r="C156" s="2" t="str">
        <f ca="1">IFERROR(__xludf.DUMMYFUNCTION("""COMPUTED_VALUE"""),"af88e380")</f>
        <v>af88e380</v>
      </c>
      <c r="D156" s="2">
        <f ca="1">IFERROR(__xludf.DUMMYFUNCTION("""COMPUTED_VALUE"""),68)</f>
        <v>68</v>
      </c>
      <c r="E156" s="2" t="str">
        <f ca="1">IFERROR(__xludf.DUMMYFUNCTION("""COMPUTED_VALUE"""),"Syrah")</f>
        <v>Syrah</v>
      </c>
      <c r="F156" s="2">
        <f ca="1">IFERROR(__xludf.DUMMYFUNCTION("""COMPUTED_VALUE"""),8000)</f>
        <v>8000</v>
      </c>
      <c r="G156" s="2">
        <f ca="1">IFERROR(__xludf.DUMMYFUNCTION("""COMPUTED_VALUE"""),116)</f>
        <v>116</v>
      </c>
      <c r="H156" s="2"/>
      <c r="I156" s="2"/>
      <c r="J156" s="2">
        <f ca="1">IFERROR(__xludf.DUMMYFUNCTION("""COMPUTED_VALUE"""),0)</f>
        <v>0</v>
      </c>
      <c r="K156" s="2">
        <f ca="1">IFERROR(__xludf.DUMMYFUNCTION("""COMPUTED_VALUE"""),8000)</f>
        <v>8000</v>
      </c>
      <c r="L156" s="2" t="str">
        <f ca="1">IFERROR(__xludf.DUMMYFUNCTION("""COMPUTED_VALUE"""),"fe482ba5")</f>
        <v>fe482ba5</v>
      </c>
      <c r="M156" s="2" t="str">
        <f ca="1">IFERROR(__xludf.DUMMYFUNCTION("""COMPUTED_VALUE"""),"Syrah")</f>
        <v>Syrah</v>
      </c>
      <c r="N156" s="2" t="str">
        <f ca="1">IFERROR(__xludf.DUMMYFUNCTION("""COMPUTED_VALUE"""),"Gota y Prensa")</f>
        <v>Gota y Prensa</v>
      </c>
      <c r="O156" s="2" t="str">
        <f ca="1">IFERROR(__xludf.DUMMYFUNCTION("""COMPUTED_VALUE"""),"Fermentando")</f>
        <v>Fermentando</v>
      </c>
      <c r="P156" s="2"/>
      <c r="Q156" s="2" t="b">
        <f ca="1">IFERROR(__xludf.DUMMYFUNCTION("""COMPUTED_VALUE"""),FALSE)</f>
        <v>0</v>
      </c>
      <c r="R156" s="2" t="str">
        <f ca="1">IFERROR(__xludf.DUMMYFUNCTION("""COMPUTED_VALUE"""),"Descubada")</f>
        <v>Descubada</v>
      </c>
      <c r="S156" s="2"/>
      <c r="T156" s="2"/>
      <c r="U156" s="2"/>
    </row>
    <row r="157" spans="1:21" x14ac:dyDescent="0.25">
      <c r="A157" s="2" t="str">
        <f ca="1">IFERROR(__xludf.DUMMYFUNCTION("""COMPUTED_VALUE"""),"ffd1066a")</f>
        <v>ffd1066a</v>
      </c>
      <c r="B157" s="3">
        <f ca="1">IFERROR(__xludf.DUMMYFUNCTION("""COMPUTED_VALUE"""),45733.4096875)</f>
        <v>45733.409687500003</v>
      </c>
      <c r="C157" s="2" t="str">
        <f ca="1">IFERROR(__xludf.DUMMYFUNCTION("""COMPUTED_VALUE"""),"4bf00cf0")</f>
        <v>4bf00cf0</v>
      </c>
      <c r="D157" s="2">
        <f ca="1">IFERROR(__xludf.DUMMYFUNCTION("""COMPUTED_VALUE"""),88)</f>
        <v>88</v>
      </c>
      <c r="E157" s="2" t="str">
        <f ca="1">IFERROR(__xludf.DUMMYFUNCTION("""COMPUTED_VALUE"""),"Syrah Ferm")</f>
        <v>Syrah Ferm</v>
      </c>
      <c r="F157" s="2">
        <f ca="1">IFERROR(__xludf.DUMMYFUNCTION("""COMPUTED_VALUE"""),3100)</f>
        <v>3100</v>
      </c>
      <c r="G157" s="2">
        <f ca="1">IFERROR(__xludf.DUMMYFUNCTION("""COMPUTED_VALUE"""),52)</f>
        <v>52</v>
      </c>
      <c r="H157" s="2" t="str">
        <f ca="1">IFERROR(__xludf.DUMMYFUNCTION("""COMPUTED_VALUE"""),"b93c3154")</f>
        <v>b93c3154</v>
      </c>
      <c r="I157" s="2" t="str">
        <f ca="1">IFERROR(__xludf.DUMMYFUNCTION("""COMPUTED_VALUE"""),"Syrah")</f>
        <v>Syrah</v>
      </c>
      <c r="J157" s="2">
        <f ca="1">IFERROR(__xludf.DUMMYFUNCTION("""COMPUTED_VALUE"""),23900)</f>
        <v>23900</v>
      </c>
      <c r="K157" s="2">
        <f ca="1">IFERROR(__xludf.DUMMYFUNCTION("""COMPUTED_VALUE"""),27000)</f>
        <v>27000</v>
      </c>
      <c r="L157" s="2" t="str">
        <f ca="1">IFERROR(__xludf.DUMMYFUNCTION("""COMPUTED_VALUE"""),"b01eee66")</f>
        <v>b01eee66</v>
      </c>
      <c r="M157" s="2" t="str">
        <f ca="1">IFERROR(__xludf.DUMMYFUNCTION("""COMPUTED_VALUE"""),"Syrah")</f>
        <v>Syrah</v>
      </c>
      <c r="N157" s="2" t="str">
        <f ca="1">IFERROR(__xludf.DUMMYFUNCTION("""COMPUTED_VALUE"""),"Descube y dar lleno a la 52")</f>
        <v>Descube y dar lleno a la 52</v>
      </c>
      <c r="O157" s="2" t="str">
        <f ca="1">IFERROR(__xludf.DUMMYFUNCTION("""COMPUTED_VALUE"""),"Fermentando")</f>
        <v>Fermentando</v>
      </c>
      <c r="P157" s="2" t="str">
        <f ca="1">IFERROR(__xludf.DUMMYFUNCTION("""COMPUTED_VALUE"""),"Descubada")</f>
        <v>Descubada</v>
      </c>
      <c r="Q157" s="2" t="b">
        <f ca="1">IFERROR(__xludf.DUMMYFUNCTION("""COMPUTED_VALUE"""),TRUE)</f>
        <v>1</v>
      </c>
      <c r="R157" s="2" t="str">
        <f ca="1">IFERROR(__xludf.DUMMYFUNCTION("""COMPUTED_VALUE"""),"Descubada")</f>
        <v>Descubada</v>
      </c>
      <c r="S157" s="2"/>
      <c r="T157" s="2"/>
      <c r="U157" s="2"/>
    </row>
    <row r="158" spans="1:21" x14ac:dyDescent="0.25">
      <c r="A158" s="2" t="str">
        <f ca="1">IFERROR(__xludf.DUMMYFUNCTION("""COMPUTED_VALUE"""),"478ea4af")</f>
        <v>478ea4af</v>
      </c>
      <c r="B158" s="3">
        <f ca="1">IFERROR(__xludf.DUMMYFUNCTION("""COMPUTED_VALUE"""),45733.4101388888)</f>
        <v>45733.410138888801</v>
      </c>
      <c r="C158" s="2" t="str">
        <f ca="1">IFERROR(__xludf.DUMMYFUNCTION("""COMPUTED_VALUE"""),"4bf00cf0")</f>
        <v>4bf00cf0</v>
      </c>
      <c r="D158" s="2">
        <f ca="1">IFERROR(__xludf.DUMMYFUNCTION("""COMPUTED_VALUE"""),88)</f>
        <v>88</v>
      </c>
      <c r="E158" s="2" t="str">
        <f ca="1">IFERROR(__xludf.DUMMYFUNCTION("""COMPUTED_VALUE"""),"Syrah Ferm")</f>
        <v>Syrah Ferm</v>
      </c>
      <c r="F158" s="2">
        <f ca="1">IFERROR(__xludf.DUMMYFUNCTION("""COMPUTED_VALUE"""),46400)</f>
        <v>46400</v>
      </c>
      <c r="G158" s="2">
        <f ca="1">IFERROR(__xludf.DUMMYFUNCTION("""COMPUTED_VALUE"""),116)</f>
        <v>116</v>
      </c>
      <c r="H158" s="2" t="str">
        <f ca="1">IFERROR(__xludf.DUMMYFUNCTION("""COMPUTED_VALUE"""),"fe482ba5")</f>
        <v>fe482ba5</v>
      </c>
      <c r="I158" s="2" t="str">
        <f ca="1">IFERROR(__xludf.DUMMYFUNCTION("""COMPUTED_VALUE"""),"Syrah")</f>
        <v>Syrah</v>
      </c>
      <c r="J158" s="2">
        <f ca="1">IFERROR(__xludf.DUMMYFUNCTION("""COMPUTED_VALUE"""),8000)</f>
        <v>8000</v>
      </c>
      <c r="K158" s="2">
        <f ca="1">IFERROR(__xludf.DUMMYFUNCTION("""COMPUTED_VALUE"""),54400)</f>
        <v>54400</v>
      </c>
      <c r="L158" s="2" t="str">
        <f ca="1">IFERROR(__xludf.DUMMYFUNCTION("""COMPUTED_VALUE"""),"4649003c")</f>
        <v>4649003c</v>
      </c>
      <c r="M158" s="2" t="str">
        <f ca="1">IFERROR(__xludf.DUMMYFUNCTION("""COMPUTED_VALUE"""),"Syrah")</f>
        <v>Syrah</v>
      </c>
      <c r="N158" s="2" t="str">
        <f ca="1">IFERROR(__xludf.DUMMYFUNCTION("""COMPUTED_VALUE"""),"Gota y Prensa")</f>
        <v>Gota y Prensa</v>
      </c>
      <c r="O158" s="2" t="str">
        <f ca="1">IFERROR(__xludf.DUMMYFUNCTION("""COMPUTED_VALUE"""),"Fermentando")</f>
        <v>Fermentando</v>
      </c>
      <c r="P158" s="2" t="str">
        <f ca="1">IFERROR(__xludf.DUMMYFUNCTION("""COMPUTED_VALUE"""),"Descubada")</f>
        <v>Descubada</v>
      </c>
      <c r="Q158" s="2" t="b">
        <f ca="1">IFERROR(__xludf.DUMMYFUNCTION("""COMPUTED_VALUE"""),TRUE)</f>
        <v>1</v>
      </c>
      <c r="R158" s="2" t="str">
        <f ca="1">IFERROR(__xludf.DUMMYFUNCTION("""COMPUTED_VALUE"""),"Descubada")</f>
        <v>Descubada</v>
      </c>
      <c r="S158" s="2"/>
      <c r="T158" s="2"/>
      <c r="U158" s="2"/>
    </row>
    <row r="159" spans="1:21" x14ac:dyDescent="0.25">
      <c r="A159" s="2" t="str">
        <f ca="1">IFERROR(__xludf.DUMMYFUNCTION("""COMPUTED_VALUE"""),"0f751072")</f>
        <v>0f751072</v>
      </c>
      <c r="B159" s="3">
        <f ca="1">IFERROR(__xludf.DUMMYFUNCTION("""COMPUTED_VALUE"""),45733.4207754629)</f>
        <v>45733.420775462902</v>
      </c>
      <c r="C159" s="2" t="str">
        <f ca="1">IFERROR(__xludf.DUMMYFUNCTION("""COMPUTED_VALUE"""),"4a5cb789")</f>
        <v>4a5cb789</v>
      </c>
      <c r="D159" s="2">
        <f ca="1">IFERROR(__xludf.DUMMYFUNCTION("""COMPUTED_VALUE"""),54)</f>
        <v>54</v>
      </c>
      <c r="E159" s="2" t="str">
        <f ca="1">IFERROR(__xludf.DUMMYFUNCTION("""COMPUTED_VALUE"""),"Chardonnay 24 Rect")</f>
        <v>Chardonnay 24 Rect</v>
      </c>
      <c r="F159" s="2">
        <f ca="1">IFERROR(__xludf.DUMMYFUNCTION("""COMPUTED_VALUE"""),2150)</f>
        <v>2150</v>
      </c>
      <c r="G159" s="2">
        <f ca="1">IFERROR(__xludf.DUMMYFUNCTION("""COMPUTED_VALUE"""),79)</f>
        <v>79</v>
      </c>
      <c r="H159" s="2" t="str">
        <f ca="1">IFERROR(__xludf.DUMMYFUNCTION("""COMPUTED_VALUE"""),"91a1bef0")</f>
        <v>91a1bef0</v>
      </c>
      <c r="I159" s="2" t="str">
        <f ca="1">IFERROR(__xludf.DUMMYFUNCTION("""COMPUTED_VALUE"""),"Torrontes")</f>
        <v>Torrontes</v>
      </c>
      <c r="J159" s="2">
        <f ca="1">IFERROR(__xludf.DUMMYFUNCTION("""COMPUTED_VALUE"""),14500)</f>
        <v>14500</v>
      </c>
      <c r="K159" s="2">
        <f ca="1">IFERROR(__xludf.DUMMYFUNCTION("""COMPUTED_VALUE"""),16650)</f>
        <v>16650</v>
      </c>
      <c r="L159" s="2" t="str">
        <f ca="1">IFERROR(__xludf.DUMMYFUNCTION("""COMPUTED_VALUE"""),"98f429d0")</f>
        <v>98f429d0</v>
      </c>
      <c r="M159" s="2" t="str">
        <f ca="1">IFERROR(__xludf.DUMMYFUNCTION("""COMPUTED_VALUE"""),"Torrontes")</f>
        <v>Torrontes</v>
      </c>
      <c r="N159" s="2"/>
      <c r="O159" s="2" t="str">
        <f ca="1">IFERROR(__xludf.DUMMYFUNCTION("""COMPUTED_VALUE"""),"Rectificado")</f>
        <v>Rectificado</v>
      </c>
      <c r="P159" s="2" t="str">
        <f ca="1">IFERROR(__xludf.DUMMYFUNCTION("""COMPUTED_VALUE"""),"Fermentando")</f>
        <v>Fermentando</v>
      </c>
      <c r="Q159" s="2" t="b">
        <f ca="1">IFERROR(__xludf.DUMMYFUNCTION("""COMPUTED_VALUE"""),TRUE)</f>
        <v>1</v>
      </c>
      <c r="R159" s="2" t="str">
        <f ca="1">IFERROR(__xludf.DUMMYFUNCTION("""COMPUTED_VALUE"""),"Fermentando")</f>
        <v>Fermentando</v>
      </c>
      <c r="S159" s="2"/>
      <c r="T159" s="2"/>
      <c r="U159" s="2"/>
    </row>
    <row r="160" spans="1:21" x14ac:dyDescent="0.25">
      <c r="A160" s="2" t="str">
        <f ca="1">IFERROR(__xludf.DUMMYFUNCTION("""COMPUTED_VALUE"""),"384f9757")</f>
        <v>384f9757</v>
      </c>
      <c r="B160" s="3">
        <f ca="1">IFERROR(__xludf.DUMMYFUNCTION("""COMPUTED_VALUE"""),45733.421412037)</f>
        <v>45733.421412037002</v>
      </c>
      <c r="C160" s="2" t="str">
        <f ca="1">IFERROR(__xludf.DUMMYFUNCTION("""COMPUTED_VALUE"""),"d9821c78")</f>
        <v>d9821c78</v>
      </c>
      <c r="D160" s="2">
        <f ca="1">IFERROR(__xludf.DUMMYFUNCTION("""COMPUTED_VALUE"""),48)</f>
        <v>48</v>
      </c>
      <c r="E160" s="2" t="str">
        <f ca="1">IFERROR(__xludf.DUMMYFUNCTION("""COMPUTED_VALUE"""),"Bonarda 24 Rect")</f>
        <v>Bonarda 24 Rect</v>
      </c>
      <c r="F160" s="2">
        <f ca="1">IFERROR(__xludf.DUMMYFUNCTION("""COMPUTED_VALUE"""),1600)</f>
        <v>1600</v>
      </c>
      <c r="G160" s="2">
        <f ca="1">IFERROR(__xludf.DUMMYFUNCTION("""COMPUTED_VALUE"""),76)</f>
        <v>76</v>
      </c>
      <c r="H160" s="2" t="str">
        <f ca="1">IFERROR(__xludf.DUMMYFUNCTION("""COMPUTED_VALUE"""),"31a16d29")</f>
        <v>31a16d29</v>
      </c>
      <c r="I160" s="2" t="str">
        <f ca="1">IFERROR(__xludf.DUMMYFUNCTION("""COMPUTED_VALUE"""),"Bonarda C2")</f>
        <v>Bonarda C2</v>
      </c>
      <c r="J160" s="2">
        <f ca="1">IFERROR(__xludf.DUMMYFUNCTION("""COMPUTED_VALUE"""),15000)</f>
        <v>15000</v>
      </c>
      <c r="K160" s="2">
        <f ca="1">IFERROR(__xludf.DUMMYFUNCTION("""COMPUTED_VALUE"""),16600)</f>
        <v>16600</v>
      </c>
      <c r="L160" s="2" t="str">
        <f ca="1">IFERROR(__xludf.DUMMYFUNCTION("""COMPUTED_VALUE"""),"3a308f07")</f>
        <v>3a308f07</v>
      </c>
      <c r="M160" s="2" t="str">
        <f ca="1">IFERROR(__xludf.DUMMYFUNCTION("""COMPUTED_VALUE"""),"Bonarda C2")</f>
        <v>Bonarda C2</v>
      </c>
      <c r="N160" s="2"/>
      <c r="O160" s="2" t="str">
        <f ca="1">IFERROR(__xludf.DUMMYFUNCTION("""COMPUTED_VALUE"""),"Rectificado")</f>
        <v>Rectificado</v>
      </c>
      <c r="P160" s="2" t="str">
        <f ca="1">IFERROR(__xludf.DUMMYFUNCTION("""COMPUTED_VALUE"""),"Fermentando")</f>
        <v>Fermentando</v>
      </c>
      <c r="Q160" s="2" t="b">
        <f ca="1">IFERROR(__xludf.DUMMYFUNCTION("""COMPUTED_VALUE"""),TRUE)</f>
        <v>1</v>
      </c>
      <c r="R160" s="2" t="str">
        <f ca="1">IFERROR(__xludf.DUMMYFUNCTION("""COMPUTED_VALUE"""),"Fermentando")</f>
        <v>Fermentando</v>
      </c>
      <c r="S160" s="2"/>
      <c r="T160" s="2"/>
      <c r="U160" s="2"/>
    </row>
    <row r="161" spans="1:21" x14ac:dyDescent="0.25">
      <c r="A161" s="2" t="str">
        <f ca="1">IFERROR(__xludf.DUMMYFUNCTION("""COMPUTED_VALUE"""),"2372b679")</f>
        <v>2372b679</v>
      </c>
      <c r="B161" s="3">
        <f ca="1">IFERROR(__xludf.DUMMYFUNCTION("""COMPUTED_VALUE"""),45733.4217013888)</f>
        <v>45733.421701388797</v>
      </c>
      <c r="C161" s="2" t="str">
        <f ca="1">IFERROR(__xludf.DUMMYFUNCTION("""COMPUTED_VALUE"""),"d9821c78")</f>
        <v>d9821c78</v>
      </c>
      <c r="D161" s="2">
        <f ca="1">IFERROR(__xludf.DUMMYFUNCTION("""COMPUTED_VALUE"""),48)</f>
        <v>48</v>
      </c>
      <c r="E161" s="2" t="str">
        <f ca="1">IFERROR(__xludf.DUMMYFUNCTION("""COMPUTED_VALUE"""),"Bonarda 24 Rect")</f>
        <v>Bonarda 24 Rect</v>
      </c>
      <c r="F161" s="2">
        <f ca="1">IFERROR(__xludf.DUMMYFUNCTION("""COMPUTED_VALUE"""),1600)</f>
        <v>1600</v>
      </c>
      <c r="G161" s="2">
        <f ca="1">IFERROR(__xludf.DUMMYFUNCTION("""COMPUTED_VALUE"""),77)</f>
        <v>77</v>
      </c>
      <c r="H161" s="2" t="str">
        <f ca="1">IFERROR(__xludf.DUMMYFUNCTION("""COMPUTED_VALUE"""),"ee8f7e01")</f>
        <v>ee8f7e01</v>
      </c>
      <c r="I161" s="2" t="str">
        <f ca="1">IFERROR(__xludf.DUMMYFUNCTION("""COMPUTED_VALUE"""),"Bonarda C2")</f>
        <v>Bonarda C2</v>
      </c>
      <c r="J161" s="2">
        <f ca="1">IFERROR(__xludf.DUMMYFUNCTION("""COMPUTED_VALUE"""),11300)</f>
        <v>11300</v>
      </c>
      <c r="K161" s="2">
        <f ca="1">IFERROR(__xludf.DUMMYFUNCTION("""COMPUTED_VALUE"""),12900)</f>
        <v>12900</v>
      </c>
      <c r="L161" s="2" t="str">
        <f ca="1">IFERROR(__xludf.DUMMYFUNCTION("""COMPUTED_VALUE"""),"3d517070")</f>
        <v>3d517070</v>
      </c>
      <c r="M161" s="2" t="str">
        <f ca="1">IFERROR(__xludf.DUMMYFUNCTION("""COMPUTED_VALUE"""),"Bonarda C2")</f>
        <v>Bonarda C2</v>
      </c>
      <c r="N161" s="2"/>
      <c r="O161" s="2" t="str">
        <f ca="1">IFERROR(__xludf.DUMMYFUNCTION("""COMPUTED_VALUE"""),"Rectificado")</f>
        <v>Rectificado</v>
      </c>
      <c r="P161" s="2" t="str">
        <f ca="1">IFERROR(__xludf.DUMMYFUNCTION("""COMPUTED_VALUE"""),"Fermentando")</f>
        <v>Fermentando</v>
      </c>
      <c r="Q161" s="2" t="b">
        <f ca="1">IFERROR(__xludf.DUMMYFUNCTION("""COMPUTED_VALUE"""),TRUE)</f>
        <v>1</v>
      </c>
      <c r="R161" s="2" t="str">
        <f ca="1">IFERROR(__xludf.DUMMYFUNCTION("""COMPUTED_VALUE"""),"Fermentando")</f>
        <v>Fermentando</v>
      </c>
      <c r="S161" s="2"/>
      <c r="T161" s="2"/>
      <c r="U161" s="2"/>
    </row>
    <row r="162" spans="1:21" x14ac:dyDescent="0.25">
      <c r="A162" s="2" t="str">
        <f ca="1">IFERROR(__xludf.DUMMYFUNCTION("""COMPUTED_VALUE"""),"3bc3c5bf")</f>
        <v>3bc3c5bf</v>
      </c>
      <c r="B162" s="3">
        <f ca="1">IFERROR(__xludf.DUMMYFUNCTION("""COMPUTED_VALUE"""),45733.8322453703)</f>
        <v>45733.8322453703</v>
      </c>
      <c r="C162" s="2" t="str">
        <f ca="1">IFERROR(__xludf.DUMMYFUNCTION("""COMPUTED_VALUE"""),"87540dbb")</f>
        <v>87540dbb</v>
      </c>
      <c r="D162" s="2">
        <f ca="1">IFERROR(__xludf.DUMMYFUNCTION("""COMPUTED_VALUE"""),70)</f>
        <v>70</v>
      </c>
      <c r="E162" s="2" t="str">
        <f ca="1">IFERROR(__xludf.DUMMYFUNCTION("""COMPUTED_VALUE"""),"Tanat")</f>
        <v>Tanat</v>
      </c>
      <c r="F162" s="2">
        <f ca="1">IFERROR(__xludf.DUMMYFUNCTION("""COMPUTED_VALUE"""),2000)</f>
        <v>2000</v>
      </c>
      <c r="G162" s="2">
        <f ca="1">IFERROR(__xludf.DUMMYFUNCTION("""COMPUTED_VALUE"""),78)</f>
        <v>78</v>
      </c>
      <c r="H162" s="2" t="str">
        <f ca="1">IFERROR(__xludf.DUMMYFUNCTION("""COMPUTED_VALUE"""),"aecdf448")</f>
        <v>aecdf448</v>
      </c>
      <c r="I162" s="2" t="str">
        <f ca="1">IFERROR(__xludf.DUMMYFUNCTION("""COMPUTED_VALUE"""),"Tanat")</f>
        <v>Tanat</v>
      </c>
      <c r="J162" s="2">
        <f ca="1">IFERROR(__xludf.DUMMYFUNCTION("""COMPUTED_VALUE"""),11350)</f>
        <v>11350</v>
      </c>
      <c r="K162" s="2">
        <f ca="1">IFERROR(__xludf.DUMMYFUNCTION("""COMPUTED_VALUE"""),13350)</f>
        <v>13350</v>
      </c>
      <c r="L162" s="2" t="str">
        <f ca="1">IFERROR(__xludf.DUMMYFUNCTION("""COMPUTED_VALUE"""),"337ffa98")</f>
        <v>337ffa98</v>
      </c>
      <c r="M162" s="2" t="str">
        <f ca="1">IFERROR(__xludf.DUMMYFUNCTION("""COMPUTED_VALUE"""),"Tanat")</f>
        <v>Tanat</v>
      </c>
      <c r="N162" s="2" t="str">
        <f ca="1">IFERROR(__xludf.DUMMYFUNCTION("""COMPUTED_VALUE"""),"Ajuste de volumen de Tanat")</f>
        <v>Ajuste de volumen de Tanat</v>
      </c>
      <c r="O162" s="2" t="str">
        <f ca="1">IFERROR(__xludf.DUMMYFUNCTION("""COMPUTED_VALUE"""),"Fermentando")</f>
        <v>Fermentando</v>
      </c>
      <c r="P162" s="2" t="str">
        <f ca="1">IFERROR(__xludf.DUMMYFUNCTION("""COMPUTED_VALUE"""),"Fermentando")</f>
        <v>Fermentando</v>
      </c>
      <c r="Q162" s="2" t="b">
        <f ca="1">IFERROR(__xludf.DUMMYFUNCTION("""COMPUTED_VALUE"""),TRUE)</f>
        <v>1</v>
      </c>
      <c r="R162" s="2" t="str">
        <f ca="1">IFERROR(__xludf.DUMMYFUNCTION("""COMPUTED_VALUE"""),"Fermentando")</f>
        <v>Fermentando</v>
      </c>
      <c r="S162" s="2"/>
      <c r="T162" s="2"/>
      <c r="U162" s="2"/>
    </row>
    <row r="163" spans="1:21" x14ac:dyDescent="0.25">
      <c r="A163" s="2" t="str">
        <f ca="1">IFERROR(__xludf.DUMMYFUNCTION("""COMPUTED_VALUE"""),"2d2adf71")</f>
        <v>2d2adf71</v>
      </c>
      <c r="B163" s="3">
        <f ca="1">IFERROR(__xludf.DUMMYFUNCTION("""COMPUTED_VALUE"""),45733.8420601851)</f>
        <v>45733.842060185103</v>
      </c>
      <c r="C163" s="2" t="str">
        <f ca="1">IFERROR(__xludf.DUMMYFUNCTION("""COMPUTED_VALUE"""),"bd4decc8")</f>
        <v>bd4decc8</v>
      </c>
      <c r="D163" s="2">
        <f ca="1">IFERROR(__xludf.DUMMYFUNCTION("""COMPUTED_VALUE"""),46)</f>
        <v>46</v>
      </c>
      <c r="E163" s="2" t="str">
        <f ca="1">IFERROR(__xludf.DUMMYFUNCTION("""COMPUTED_VALUE"""),"Cabernet Sauvignon 24 Rect")</f>
        <v>Cabernet Sauvignon 24 Rect</v>
      </c>
      <c r="F163" s="2">
        <f ca="1">IFERROR(__xludf.DUMMYFUNCTION("""COMPUTED_VALUE"""),8900)</f>
        <v>8900</v>
      </c>
      <c r="G163" s="2">
        <f ca="1">IFERROR(__xludf.DUMMYFUNCTION("""COMPUTED_VALUE"""),90)</f>
        <v>90</v>
      </c>
      <c r="H163" s="2" t="str">
        <f ca="1">IFERROR(__xludf.DUMMYFUNCTION("""COMPUTED_VALUE"""),"e0f68630")</f>
        <v>e0f68630</v>
      </c>
      <c r="I163" s="2" t="str">
        <f ca="1">IFERROR(__xludf.DUMMYFUNCTION("""COMPUTED_VALUE"""),"Ancellotta Tempranillo")</f>
        <v>Ancellotta Tempranillo</v>
      </c>
      <c r="J163" s="2">
        <f ca="1">IFERROR(__xludf.DUMMYFUNCTION("""COMPUTED_VALUE"""),52900)</f>
        <v>52900</v>
      </c>
      <c r="K163" s="2">
        <f ca="1">IFERROR(__xludf.DUMMYFUNCTION("""COMPUTED_VALUE"""),61800)</f>
        <v>61800</v>
      </c>
      <c r="L163" s="2" t="str">
        <f ca="1">IFERROR(__xludf.DUMMYFUNCTION("""COMPUTED_VALUE"""),"76ba7fdf")</f>
        <v>76ba7fdf</v>
      </c>
      <c r="M163" s="2" t="str">
        <f ca="1">IFERROR(__xludf.DUMMYFUNCTION("""COMPUTED_VALUE"""),"Ancellotta Tempranillo")</f>
        <v>Ancellotta Tempranillo</v>
      </c>
      <c r="N163" s="2"/>
      <c r="O163" s="2" t="str">
        <f ca="1">IFERROR(__xludf.DUMMYFUNCTION("""COMPUTED_VALUE"""),"Rectificado")</f>
        <v>Rectificado</v>
      </c>
      <c r="P163" s="2" t="str">
        <f ca="1">IFERROR(__xludf.DUMMYFUNCTION("""COMPUTED_VALUE"""),"Fermentando")</f>
        <v>Fermentando</v>
      </c>
      <c r="Q163" s="2" t="b">
        <f ca="1">IFERROR(__xludf.DUMMYFUNCTION("""COMPUTED_VALUE"""),TRUE)</f>
        <v>1</v>
      </c>
      <c r="R163" s="2" t="str">
        <f ca="1">IFERROR(__xludf.DUMMYFUNCTION("""COMPUTED_VALUE"""),"Fermentando")</f>
        <v>Fermentando</v>
      </c>
      <c r="S163" s="2"/>
      <c r="T163" s="2"/>
      <c r="U163" s="2"/>
    </row>
    <row r="164" spans="1:21" x14ac:dyDescent="0.25">
      <c r="A164" s="2" t="str">
        <f ca="1">IFERROR(__xludf.DUMMYFUNCTION("""COMPUTED_VALUE"""),"43a5a89d")</f>
        <v>43a5a89d</v>
      </c>
      <c r="B164" s="3">
        <f ca="1">IFERROR(__xludf.DUMMYFUNCTION("""COMPUTED_VALUE"""),45733.843761574)</f>
        <v>45733.843761573997</v>
      </c>
      <c r="C164" s="2" t="str">
        <f ca="1">IFERROR(__xludf.DUMMYFUNCTION("""COMPUTED_VALUE"""),"8c8ffb39")</f>
        <v>8c8ffb39</v>
      </c>
      <c r="D164" s="2">
        <f ca="1">IFERROR(__xludf.DUMMYFUNCTION("""COMPUTED_VALUE"""),500)</f>
        <v>500</v>
      </c>
      <c r="E164" s="2" t="str">
        <f ca="1">IFERROR(__xludf.DUMMYFUNCTION("""COMPUTED_VALUE"""),"Ajuste")</f>
        <v>Ajuste</v>
      </c>
      <c r="F164" s="2">
        <f ca="1">IFERROR(__xludf.DUMMYFUNCTION("""COMPUTED_VALUE"""),12200)</f>
        <v>12200</v>
      </c>
      <c r="G164" s="2">
        <f ca="1">IFERROR(__xludf.DUMMYFUNCTION("""COMPUTED_VALUE"""),90)</f>
        <v>90</v>
      </c>
      <c r="H164" s="2" t="str">
        <f ca="1">IFERROR(__xludf.DUMMYFUNCTION("""COMPUTED_VALUE"""),"76ba7fdf")</f>
        <v>76ba7fdf</v>
      </c>
      <c r="I164" s="2" t="str">
        <f ca="1">IFERROR(__xludf.DUMMYFUNCTION("""COMPUTED_VALUE"""),"Ancellotta Tempranillo")</f>
        <v>Ancellotta Tempranillo</v>
      </c>
      <c r="J164" s="2">
        <f ca="1">IFERROR(__xludf.DUMMYFUNCTION("""COMPUTED_VALUE"""),61800)</f>
        <v>61800</v>
      </c>
      <c r="K164" s="2">
        <f ca="1">IFERROR(__xludf.DUMMYFUNCTION("""COMPUTED_VALUE"""),74000)</f>
        <v>74000</v>
      </c>
      <c r="L164" s="2" t="str">
        <f ca="1">IFERROR(__xludf.DUMMYFUNCTION("""COMPUTED_VALUE"""),"de74d539")</f>
        <v>de74d539</v>
      </c>
      <c r="M164" s="2" t="str">
        <f ca="1">IFERROR(__xludf.DUMMYFUNCTION("""COMPUTED_VALUE"""),"Ancellotta Tempranillo")</f>
        <v>Ancellotta Tempranillo</v>
      </c>
      <c r="N164" s="2"/>
      <c r="O164" s="2"/>
      <c r="P164" s="2" t="str">
        <f ca="1">IFERROR(__xludf.DUMMYFUNCTION("""COMPUTED_VALUE"""),"Fermentando")</f>
        <v>Fermentando</v>
      </c>
      <c r="Q164" s="2" t="b">
        <f ca="1">IFERROR(__xludf.DUMMYFUNCTION("""COMPUTED_VALUE"""),TRUE)</f>
        <v>1</v>
      </c>
      <c r="R164" s="2" t="str">
        <f ca="1">IFERROR(__xludf.DUMMYFUNCTION("""COMPUTED_VALUE"""),"Fermentando")</f>
        <v>Fermentando</v>
      </c>
      <c r="S164" s="2"/>
      <c r="T164" s="2"/>
      <c r="U164" s="2"/>
    </row>
    <row r="165" spans="1:21" x14ac:dyDescent="0.25">
      <c r="A165" s="2" t="str">
        <f ca="1">IFERROR(__xludf.DUMMYFUNCTION("""COMPUTED_VALUE"""),"25c34046")</f>
        <v>25c34046</v>
      </c>
      <c r="B165" s="3">
        <f ca="1">IFERROR(__xludf.DUMMYFUNCTION("""COMPUTED_VALUE"""),45734.3653703703)</f>
        <v>45734.365370370302</v>
      </c>
      <c r="C165" s="2" t="str">
        <f ca="1">IFERROR(__xludf.DUMMYFUNCTION("""COMPUTED_VALUE"""),"665bbad3")</f>
        <v>665bbad3</v>
      </c>
      <c r="D165" s="2">
        <f ca="1">IFERROR(__xludf.DUMMYFUNCTION("""COMPUTED_VALUE"""),47)</f>
        <v>47</v>
      </c>
      <c r="E165" s="2" t="str">
        <f ca="1">IFERROR(__xludf.DUMMYFUNCTION("""COMPUTED_VALUE"""),"Cabernet Sauvignon 24 Rect")</f>
        <v>Cabernet Sauvignon 24 Rect</v>
      </c>
      <c r="F165" s="2">
        <f ca="1">IFERROR(__xludf.DUMMYFUNCTION("""COMPUTED_VALUE"""),-850)</f>
        <v>-850</v>
      </c>
      <c r="G165" s="2">
        <f ca="1">IFERROR(__xludf.DUMMYFUNCTION("""COMPUTED_VALUE"""),500)</f>
        <v>500</v>
      </c>
      <c r="H165" s="2" t="str">
        <f ca="1">IFERROR(__xludf.DUMMYFUNCTION("""COMPUTED_VALUE"""),"8c8ffb39")</f>
        <v>8c8ffb39</v>
      </c>
      <c r="I165" s="2" t="str">
        <f ca="1">IFERROR(__xludf.DUMMYFUNCTION("""COMPUTED_VALUE"""),"Ajuste")</f>
        <v>Ajuste</v>
      </c>
      <c r="J165" s="2">
        <f ca="1">IFERROR(__xludf.DUMMYFUNCTION("""COMPUTED_VALUE"""),-12199)</f>
        <v>-12199</v>
      </c>
      <c r="K165" s="2">
        <f ca="1">IFERROR(__xludf.DUMMYFUNCTION("""COMPUTED_VALUE"""),-13049)</f>
        <v>-13049</v>
      </c>
      <c r="L165" s="2" t="str">
        <f ca="1">IFERROR(__xludf.DUMMYFUNCTION("""COMPUTED_VALUE"""),"79be12ab")</f>
        <v>79be12ab</v>
      </c>
      <c r="M165" s="2" t="str">
        <f ca="1">IFERROR(__xludf.DUMMYFUNCTION("""COMPUTED_VALUE"""),"Ajuste")</f>
        <v>Ajuste</v>
      </c>
      <c r="N165" s="2"/>
      <c r="O165" s="2" t="str">
        <f ca="1">IFERROR(__xludf.DUMMYFUNCTION("""COMPUTED_VALUE"""),"Rectificado")</f>
        <v>Rectificado</v>
      </c>
      <c r="P165" s="2"/>
      <c r="Q165" s="2" t="b">
        <f ca="1">IFERROR(__xludf.DUMMYFUNCTION("""COMPUTED_VALUE"""),TRUE)</f>
        <v>1</v>
      </c>
      <c r="R165" s="2"/>
      <c r="S165" s="2"/>
      <c r="T165" s="2"/>
      <c r="U165" s="2"/>
    </row>
    <row r="166" spans="1:21" x14ac:dyDescent="0.25">
      <c r="A166" s="2" t="str">
        <f ca="1">IFERROR(__xludf.DUMMYFUNCTION("""COMPUTED_VALUE"""),"7d8d1fb9")</f>
        <v>7d8d1fb9</v>
      </c>
      <c r="B166" s="3">
        <f ca="1">IFERROR(__xludf.DUMMYFUNCTION("""COMPUTED_VALUE"""),45734.3662037037)</f>
        <v>45734.366203703699</v>
      </c>
      <c r="C166" s="2" t="str">
        <f ca="1">IFERROR(__xludf.DUMMYFUNCTION("""COMPUTED_VALUE"""),"d9821c78")</f>
        <v>d9821c78</v>
      </c>
      <c r="D166" s="2">
        <f ca="1">IFERROR(__xludf.DUMMYFUNCTION("""COMPUTED_VALUE"""),48)</f>
        <v>48</v>
      </c>
      <c r="E166" s="2" t="str">
        <f ca="1">IFERROR(__xludf.DUMMYFUNCTION("""COMPUTED_VALUE"""),"Bonarda 24 Rect")</f>
        <v>Bonarda 24 Rect</v>
      </c>
      <c r="F166" s="2">
        <f ca="1">IFERROR(__xludf.DUMMYFUNCTION("""COMPUTED_VALUE"""),-700)</f>
        <v>-700</v>
      </c>
      <c r="G166" s="2">
        <f ca="1">IFERROR(__xludf.DUMMYFUNCTION("""COMPUTED_VALUE"""),500)</f>
        <v>500</v>
      </c>
      <c r="H166" s="2" t="str">
        <f ca="1">IFERROR(__xludf.DUMMYFUNCTION("""COMPUTED_VALUE"""),"79be12ab")</f>
        <v>79be12ab</v>
      </c>
      <c r="I166" s="2" t="str">
        <f ca="1">IFERROR(__xludf.DUMMYFUNCTION("""COMPUTED_VALUE"""),"Ajuste")</f>
        <v>Ajuste</v>
      </c>
      <c r="J166" s="2">
        <f ca="1">IFERROR(__xludf.DUMMYFUNCTION("""COMPUTED_VALUE"""),-13049)</f>
        <v>-13049</v>
      </c>
      <c r="K166" s="2">
        <f ca="1">IFERROR(__xludf.DUMMYFUNCTION("""COMPUTED_VALUE"""),-13749)</f>
        <v>-13749</v>
      </c>
      <c r="L166" s="2" t="str">
        <f ca="1">IFERROR(__xludf.DUMMYFUNCTION("""COMPUTED_VALUE"""),"898d9689")</f>
        <v>898d9689</v>
      </c>
      <c r="M166" s="2" t="str">
        <f ca="1">IFERROR(__xludf.DUMMYFUNCTION("""COMPUTED_VALUE"""),"Ajuste")</f>
        <v>Ajuste</v>
      </c>
      <c r="N166" s="2"/>
      <c r="O166" s="2" t="str">
        <f ca="1">IFERROR(__xludf.DUMMYFUNCTION("""COMPUTED_VALUE"""),"Rectificado")</f>
        <v>Rectificado</v>
      </c>
      <c r="P166" s="2"/>
      <c r="Q166" s="2" t="b">
        <f ca="1">IFERROR(__xludf.DUMMYFUNCTION("""COMPUTED_VALUE"""),TRUE)</f>
        <v>1</v>
      </c>
      <c r="R166" s="2"/>
      <c r="S166" s="2"/>
      <c r="T166" s="2"/>
      <c r="U166" s="2"/>
    </row>
    <row r="167" spans="1:21" x14ac:dyDescent="0.25">
      <c r="A167" s="2" t="str">
        <f ca="1">IFERROR(__xludf.DUMMYFUNCTION("""COMPUTED_VALUE"""),"d5030cf3")</f>
        <v>d5030cf3</v>
      </c>
      <c r="B167" s="3">
        <f ca="1">IFERROR(__xludf.DUMMYFUNCTION("""COMPUTED_VALUE"""),45734.3679513888)</f>
        <v>45734.367951388798</v>
      </c>
      <c r="C167" s="2" t="str">
        <f ca="1">IFERROR(__xludf.DUMMYFUNCTION("""COMPUTED_VALUE"""),"4a5cb789")</f>
        <v>4a5cb789</v>
      </c>
      <c r="D167" s="2">
        <f ca="1">IFERROR(__xludf.DUMMYFUNCTION("""COMPUTED_VALUE"""),54)</f>
        <v>54</v>
      </c>
      <c r="E167" s="2" t="str">
        <f ca="1">IFERROR(__xludf.DUMMYFUNCTION("""COMPUTED_VALUE"""),"Chardonnay 24 Rect")</f>
        <v>Chardonnay 24 Rect</v>
      </c>
      <c r="F167" s="2">
        <f ca="1">IFERROR(__xludf.DUMMYFUNCTION("""COMPUTED_VALUE"""),550)</f>
        <v>550</v>
      </c>
      <c r="G167" s="2">
        <f ca="1">IFERROR(__xludf.DUMMYFUNCTION("""COMPUTED_VALUE"""),500)</f>
        <v>500</v>
      </c>
      <c r="H167" s="2" t="str">
        <f ca="1">IFERROR(__xludf.DUMMYFUNCTION("""COMPUTED_VALUE"""),"898d9689")</f>
        <v>898d9689</v>
      </c>
      <c r="I167" s="2" t="str">
        <f ca="1">IFERROR(__xludf.DUMMYFUNCTION("""COMPUTED_VALUE"""),"Ajuste")</f>
        <v>Ajuste</v>
      </c>
      <c r="J167" s="2">
        <f ca="1">IFERROR(__xludf.DUMMYFUNCTION("""COMPUTED_VALUE"""),-13749)</f>
        <v>-13749</v>
      </c>
      <c r="K167" s="2">
        <f ca="1">IFERROR(__xludf.DUMMYFUNCTION("""COMPUTED_VALUE"""),-13199)</f>
        <v>-13199</v>
      </c>
      <c r="L167" s="2" t="str">
        <f ca="1">IFERROR(__xludf.DUMMYFUNCTION("""COMPUTED_VALUE"""),"8d3c8a21")</f>
        <v>8d3c8a21</v>
      </c>
      <c r="M167" s="2" t="str">
        <f ca="1">IFERROR(__xludf.DUMMYFUNCTION("""COMPUTED_VALUE"""),"Ajuste")</f>
        <v>Ajuste</v>
      </c>
      <c r="N167" s="2"/>
      <c r="O167" s="2" t="str">
        <f ca="1">IFERROR(__xludf.DUMMYFUNCTION("""COMPUTED_VALUE"""),"Rectificado")</f>
        <v>Rectificado</v>
      </c>
      <c r="P167" s="2"/>
      <c r="Q167" s="2" t="b">
        <f ca="1">IFERROR(__xludf.DUMMYFUNCTION("""COMPUTED_VALUE"""),TRUE)</f>
        <v>1</v>
      </c>
      <c r="R167" s="2"/>
      <c r="S167" s="2"/>
      <c r="T167" s="2"/>
      <c r="U167" s="2"/>
    </row>
    <row r="168" spans="1:21" x14ac:dyDescent="0.25">
      <c r="A168" s="2" t="str">
        <f ca="1">IFERROR(__xludf.DUMMYFUNCTION("""COMPUTED_VALUE"""),"82ac1251")</f>
        <v>82ac1251</v>
      </c>
      <c r="B168" s="3">
        <f ca="1">IFERROR(__xludf.DUMMYFUNCTION("""COMPUTED_VALUE"""),45734.3685185185)</f>
        <v>45734.368518518502</v>
      </c>
      <c r="C168" s="2" t="str">
        <f ca="1">IFERROR(__xludf.DUMMYFUNCTION("""COMPUTED_VALUE"""),"87ba9e1b")</f>
        <v>87ba9e1b</v>
      </c>
      <c r="D168" s="2">
        <f ca="1">IFERROR(__xludf.DUMMYFUNCTION("""COMPUTED_VALUE"""),66)</f>
        <v>66</v>
      </c>
      <c r="E168" s="2" t="str">
        <f ca="1">IFERROR(__xludf.DUMMYFUNCTION("""COMPUTED_VALUE"""),"Anccelotta")</f>
        <v>Anccelotta</v>
      </c>
      <c r="F168" s="2">
        <f ca="1">IFERROR(__xludf.DUMMYFUNCTION("""COMPUTED_VALUE"""),1000)</f>
        <v>1000</v>
      </c>
      <c r="G168" s="2">
        <f ca="1">IFERROR(__xludf.DUMMYFUNCTION("""COMPUTED_VALUE"""),500)</f>
        <v>500</v>
      </c>
      <c r="H168" s="2" t="str">
        <f ca="1">IFERROR(__xludf.DUMMYFUNCTION("""COMPUTED_VALUE"""),"8d3c8a21")</f>
        <v>8d3c8a21</v>
      </c>
      <c r="I168" s="2" t="str">
        <f ca="1">IFERROR(__xludf.DUMMYFUNCTION("""COMPUTED_VALUE"""),"Ajuste")</f>
        <v>Ajuste</v>
      </c>
      <c r="J168" s="2">
        <f ca="1">IFERROR(__xludf.DUMMYFUNCTION("""COMPUTED_VALUE"""),-13199)</f>
        <v>-13199</v>
      </c>
      <c r="K168" s="2">
        <f ca="1">IFERROR(__xludf.DUMMYFUNCTION("""COMPUTED_VALUE"""),-12199)</f>
        <v>-12199</v>
      </c>
      <c r="L168" s="2" t="str">
        <f ca="1">IFERROR(__xludf.DUMMYFUNCTION("""COMPUTED_VALUE"""),"71f4b567")</f>
        <v>71f4b567</v>
      </c>
      <c r="M168" s="2" t="str">
        <f ca="1">IFERROR(__xludf.DUMMYFUNCTION("""COMPUTED_VALUE"""),"Ajuste")</f>
        <v>Ajuste</v>
      </c>
      <c r="N168" s="2"/>
      <c r="O168" s="2" t="str">
        <f ca="1">IFERROR(__xludf.DUMMYFUNCTION("""COMPUTED_VALUE"""),"Fermentando")</f>
        <v>Fermentando</v>
      </c>
      <c r="P168" s="2"/>
      <c r="Q168" s="2" t="b">
        <f ca="1">IFERROR(__xludf.DUMMYFUNCTION("""COMPUTED_VALUE"""),TRUE)</f>
        <v>1</v>
      </c>
      <c r="R168" s="2"/>
      <c r="S168" s="2"/>
      <c r="T168" s="2"/>
      <c r="U168" s="2"/>
    </row>
    <row r="169" spans="1:21" x14ac:dyDescent="0.25">
      <c r="A169" s="2" t="str">
        <f ca="1">IFERROR(__xludf.DUMMYFUNCTION("""COMPUTED_VALUE"""),"ac01ac4d")</f>
        <v>ac01ac4d</v>
      </c>
      <c r="B169" s="3">
        <f ca="1">IFERROR(__xludf.DUMMYFUNCTION("""COMPUTED_VALUE"""),45734.369537037)</f>
        <v>45734.369537036997</v>
      </c>
      <c r="C169" s="2" t="str">
        <f ca="1">IFERROR(__xludf.DUMMYFUNCTION("""COMPUTED_VALUE"""),"3a308f07")</f>
        <v>3a308f07</v>
      </c>
      <c r="D169" s="2">
        <f ca="1">IFERROR(__xludf.DUMMYFUNCTION("""COMPUTED_VALUE"""),76)</f>
        <v>76</v>
      </c>
      <c r="E169" s="2" t="str">
        <f ca="1">IFERROR(__xludf.DUMMYFUNCTION("""COMPUTED_VALUE"""),"Bonarda C2")</f>
        <v>Bonarda C2</v>
      </c>
      <c r="F169" s="2">
        <f ca="1">IFERROR(__xludf.DUMMYFUNCTION("""COMPUTED_VALUE"""),2600)</f>
        <v>2600</v>
      </c>
      <c r="G169" s="2">
        <f ca="1">IFERROR(__xludf.DUMMYFUNCTION("""COMPUTED_VALUE"""),500)</f>
        <v>500</v>
      </c>
      <c r="H169" s="2" t="str">
        <f ca="1">IFERROR(__xludf.DUMMYFUNCTION("""COMPUTED_VALUE"""),"71f4b567")</f>
        <v>71f4b567</v>
      </c>
      <c r="I169" s="2" t="str">
        <f ca="1">IFERROR(__xludf.DUMMYFUNCTION("""COMPUTED_VALUE"""),"Ajuste")</f>
        <v>Ajuste</v>
      </c>
      <c r="J169" s="2">
        <f ca="1">IFERROR(__xludf.DUMMYFUNCTION("""COMPUTED_VALUE"""),-12199)</f>
        <v>-12199</v>
      </c>
      <c r="K169" s="2">
        <f ca="1">IFERROR(__xludf.DUMMYFUNCTION("""COMPUTED_VALUE"""),-9599)</f>
        <v>-9599</v>
      </c>
      <c r="L169" s="2" t="str">
        <f ca="1">IFERROR(__xludf.DUMMYFUNCTION("""COMPUTED_VALUE"""),"a9139adb")</f>
        <v>a9139adb</v>
      </c>
      <c r="M169" s="2" t="str">
        <f ca="1">IFERROR(__xludf.DUMMYFUNCTION("""COMPUTED_VALUE"""),"Ajuste")</f>
        <v>Ajuste</v>
      </c>
      <c r="N169" s="2"/>
      <c r="O169" s="2" t="str">
        <f ca="1">IFERROR(__xludf.DUMMYFUNCTION("""COMPUTED_VALUE"""),"Fermentando")</f>
        <v>Fermentando</v>
      </c>
      <c r="P169" s="2"/>
      <c r="Q169" s="2" t="b">
        <f ca="1">IFERROR(__xludf.DUMMYFUNCTION("""COMPUTED_VALUE"""),TRUE)</f>
        <v>1</v>
      </c>
      <c r="R169" s="2"/>
      <c r="S169" s="2"/>
      <c r="T169" s="2"/>
      <c r="U169" s="2"/>
    </row>
    <row r="170" spans="1:21" x14ac:dyDescent="0.25">
      <c r="A170" s="2" t="str">
        <f ca="1">IFERROR(__xludf.DUMMYFUNCTION("""COMPUTED_VALUE"""),"9360041a")</f>
        <v>9360041a</v>
      </c>
      <c r="B170" s="3">
        <f ca="1">IFERROR(__xludf.DUMMYFUNCTION("""COMPUTED_VALUE"""),45734.370324074)</f>
        <v>45734.370324074</v>
      </c>
      <c r="C170" s="2" t="str">
        <f ca="1">IFERROR(__xludf.DUMMYFUNCTION("""COMPUTED_VALUE"""),"3d517070")</f>
        <v>3d517070</v>
      </c>
      <c r="D170" s="2">
        <f ca="1">IFERROR(__xludf.DUMMYFUNCTION("""COMPUTED_VALUE"""),77)</f>
        <v>77</v>
      </c>
      <c r="E170" s="2" t="str">
        <f ca="1">IFERROR(__xludf.DUMMYFUNCTION("""COMPUTED_VALUE"""),"Bonarda C2")</f>
        <v>Bonarda C2</v>
      </c>
      <c r="F170" s="2">
        <f ca="1">IFERROR(__xludf.DUMMYFUNCTION("""COMPUTED_VALUE"""),-3100)</f>
        <v>-3100</v>
      </c>
      <c r="G170" s="2">
        <f ca="1">IFERROR(__xludf.DUMMYFUNCTION("""COMPUTED_VALUE"""),500)</f>
        <v>500</v>
      </c>
      <c r="H170" s="2" t="str">
        <f ca="1">IFERROR(__xludf.DUMMYFUNCTION("""COMPUTED_VALUE"""),"a9139adb")</f>
        <v>a9139adb</v>
      </c>
      <c r="I170" s="2" t="str">
        <f ca="1">IFERROR(__xludf.DUMMYFUNCTION("""COMPUTED_VALUE"""),"Ajuste")</f>
        <v>Ajuste</v>
      </c>
      <c r="J170" s="2">
        <f ca="1">IFERROR(__xludf.DUMMYFUNCTION("""COMPUTED_VALUE"""),-9599)</f>
        <v>-9599</v>
      </c>
      <c r="K170" s="2">
        <f ca="1">IFERROR(__xludf.DUMMYFUNCTION("""COMPUTED_VALUE"""),-12699)</f>
        <v>-12699</v>
      </c>
      <c r="L170" s="2" t="str">
        <f ca="1">IFERROR(__xludf.DUMMYFUNCTION("""COMPUTED_VALUE"""),"4a34674d")</f>
        <v>4a34674d</v>
      </c>
      <c r="M170" s="2" t="str">
        <f ca="1">IFERROR(__xludf.DUMMYFUNCTION("""COMPUTED_VALUE"""),"Ajuste")</f>
        <v>Ajuste</v>
      </c>
      <c r="N170" s="2"/>
      <c r="O170" s="2" t="str">
        <f ca="1">IFERROR(__xludf.DUMMYFUNCTION("""COMPUTED_VALUE"""),"Fermentando")</f>
        <v>Fermentando</v>
      </c>
      <c r="P170" s="2"/>
      <c r="Q170" s="2" t="b">
        <f ca="1">IFERROR(__xludf.DUMMYFUNCTION("""COMPUTED_VALUE"""),TRUE)</f>
        <v>1</v>
      </c>
      <c r="R170" s="2"/>
      <c r="S170" s="2"/>
      <c r="T170" s="2"/>
      <c r="U170" s="2"/>
    </row>
    <row r="171" spans="1:21" x14ac:dyDescent="0.25">
      <c r="A171" s="2" t="str">
        <f ca="1">IFERROR(__xludf.DUMMYFUNCTION("""COMPUTED_VALUE"""),"72cce9a1")</f>
        <v>72cce9a1</v>
      </c>
      <c r="B171" s="3">
        <f ca="1">IFERROR(__xludf.DUMMYFUNCTION("""COMPUTED_VALUE"""),45734.3723148148)</f>
        <v>45734.372314814798</v>
      </c>
      <c r="C171" s="2" t="str">
        <f ca="1">IFERROR(__xludf.DUMMYFUNCTION("""COMPUTED_VALUE"""),"337ffa98")</f>
        <v>337ffa98</v>
      </c>
      <c r="D171" s="2">
        <f ca="1">IFERROR(__xludf.DUMMYFUNCTION("""COMPUTED_VALUE"""),78)</f>
        <v>78</v>
      </c>
      <c r="E171" s="2" t="str">
        <f ca="1">IFERROR(__xludf.DUMMYFUNCTION("""COMPUTED_VALUE"""),"Tanat")</f>
        <v>Tanat</v>
      </c>
      <c r="F171" s="2">
        <f ca="1">IFERROR(__xludf.DUMMYFUNCTION("""COMPUTED_VALUE"""),-4650)</f>
        <v>-4650</v>
      </c>
      <c r="G171" s="2">
        <f ca="1">IFERROR(__xludf.DUMMYFUNCTION("""COMPUTED_VALUE"""),500)</f>
        <v>500</v>
      </c>
      <c r="H171" s="2" t="str">
        <f ca="1">IFERROR(__xludf.DUMMYFUNCTION("""COMPUTED_VALUE"""),"4a34674d")</f>
        <v>4a34674d</v>
      </c>
      <c r="I171" s="2" t="str">
        <f ca="1">IFERROR(__xludf.DUMMYFUNCTION("""COMPUTED_VALUE"""),"Ajuste")</f>
        <v>Ajuste</v>
      </c>
      <c r="J171" s="2">
        <f ca="1">IFERROR(__xludf.DUMMYFUNCTION("""COMPUTED_VALUE"""),-12699)</f>
        <v>-12699</v>
      </c>
      <c r="K171" s="2">
        <f ca="1">IFERROR(__xludf.DUMMYFUNCTION("""COMPUTED_VALUE"""),-17349)</f>
        <v>-17349</v>
      </c>
      <c r="L171" s="2" t="str">
        <f ca="1">IFERROR(__xludf.DUMMYFUNCTION("""COMPUTED_VALUE"""),"5020af35")</f>
        <v>5020af35</v>
      </c>
      <c r="M171" s="2" t="str">
        <f ca="1">IFERROR(__xludf.DUMMYFUNCTION("""COMPUTED_VALUE"""),"Ajuste")</f>
        <v>Ajuste</v>
      </c>
      <c r="N171" s="2"/>
      <c r="O171" s="2" t="str">
        <f ca="1">IFERROR(__xludf.DUMMYFUNCTION("""COMPUTED_VALUE"""),"Fermentando")</f>
        <v>Fermentando</v>
      </c>
      <c r="P171" s="2"/>
      <c r="Q171" s="2" t="b">
        <f ca="1">IFERROR(__xludf.DUMMYFUNCTION("""COMPUTED_VALUE"""),TRUE)</f>
        <v>1</v>
      </c>
      <c r="R171" s="2"/>
      <c r="S171" s="2"/>
      <c r="T171" s="2"/>
      <c r="U171" s="2"/>
    </row>
    <row r="172" spans="1:21" x14ac:dyDescent="0.25">
      <c r="A172" s="2" t="str">
        <f ca="1">IFERROR(__xludf.DUMMYFUNCTION("""COMPUTED_VALUE"""),"0a75cd05")</f>
        <v>0a75cd05</v>
      </c>
      <c r="B172" s="3">
        <f ca="1">IFERROR(__xludf.DUMMYFUNCTION("""COMPUTED_VALUE"""),45734.3744791666)</f>
        <v>45734.374479166603</v>
      </c>
      <c r="C172" s="2" t="str">
        <f ca="1">IFERROR(__xludf.DUMMYFUNCTION("""COMPUTED_VALUE"""),"98f429d0")</f>
        <v>98f429d0</v>
      </c>
      <c r="D172" s="2">
        <f ca="1">IFERROR(__xludf.DUMMYFUNCTION("""COMPUTED_VALUE"""),79)</f>
        <v>79</v>
      </c>
      <c r="E172" s="2" t="str">
        <f ca="1">IFERROR(__xludf.DUMMYFUNCTION("""COMPUTED_VALUE"""),"Torrontes")</f>
        <v>Torrontes</v>
      </c>
      <c r="F172" s="2">
        <f ca="1">IFERROR(__xludf.DUMMYFUNCTION("""COMPUTED_VALUE"""),-3350)</f>
        <v>-3350</v>
      </c>
      <c r="G172" s="2">
        <f ca="1">IFERROR(__xludf.DUMMYFUNCTION("""COMPUTED_VALUE"""),500)</f>
        <v>500</v>
      </c>
      <c r="H172" s="2" t="str">
        <f ca="1">IFERROR(__xludf.DUMMYFUNCTION("""COMPUTED_VALUE"""),"5020af35")</f>
        <v>5020af35</v>
      </c>
      <c r="I172" s="2" t="str">
        <f ca="1">IFERROR(__xludf.DUMMYFUNCTION("""COMPUTED_VALUE"""),"Ajuste")</f>
        <v>Ajuste</v>
      </c>
      <c r="J172" s="2">
        <f ca="1">IFERROR(__xludf.DUMMYFUNCTION("""COMPUTED_VALUE"""),-17349)</f>
        <v>-17349</v>
      </c>
      <c r="K172" s="2">
        <f ca="1">IFERROR(__xludf.DUMMYFUNCTION("""COMPUTED_VALUE"""),-20699)</f>
        <v>-20699</v>
      </c>
      <c r="L172" s="2" t="str">
        <f ca="1">IFERROR(__xludf.DUMMYFUNCTION("""COMPUTED_VALUE"""),"3eacd39c")</f>
        <v>3eacd39c</v>
      </c>
      <c r="M172" s="2" t="str">
        <f ca="1">IFERROR(__xludf.DUMMYFUNCTION("""COMPUTED_VALUE"""),"Ajuste")</f>
        <v>Ajuste</v>
      </c>
      <c r="N172" s="2"/>
      <c r="O172" s="2" t="str">
        <f ca="1">IFERROR(__xludf.DUMMYFUNCTION("""COMPUTED_VALUE"""),"Fermentando")</f>
        <v>Fermentando</v>
      </c>
      <c r="P172" s="2"/>
      <c r="Q172" s="2" t="b">
        <f ca="1">IFERROR(__xludf.DUMMYFUNCTION("""COMPUTED_VALUE"""),TRUE)</f>
        <v>1</v>
      </c>
      <c r="R172" s="2"/>
      <c r="S172" s="2"/>
      <c r="T172" s="2"/>
      <c r="U172" s="2"/>
    </row>
    <row r="173" spans="1:21" x14ac:dyDescent="0.25">
      <c r="A173" s="2" t="str">
        <f ca="1">IFERROR(__xludf.DUMMYFUNCTION("""COMPUTED_VALUE"""),"fbb1e6ab")</f>
        <v>fbb1e6ab</v>
      </c>
      <c r="B173" s="3">
        <f ca="1">IFERROR(__xludf.DUMMYFUNCTION("""COMPUTED_VALUE"""),45734.3751273148)</f>
        <v>45734.375127314801</v>
      </c>
      <c r="C173" s="2" t="str">
        <f ca="1">IFERROR(__xludf.DUMMYFUNCTION("""COMPUTED_VALUE"""),"c210f1aa")</f>
        <v>c210f1aa</v>
      </c>
      <c r="D173" s="2">
        <f ca="1">IFERROR(__xludf.DUMMYFUNCTION("""COMPUTED_VALUE"""),80)</f>
        <v>80</v>
      </c>
      <c r="E173" s="2" t="str">
        <f ca="1">IFERROR(__xludf.DUMMYFUNCTION("""COMPUTED_VALUE"""),"Chenin")</f>
        <v>Chenin</v>
      </c>
      <c r="F173" s="2">
        <f ca="1">IFERROR(__xludf.DUMMYFUNCTION("""COMPUTED_VALUE"""),-2700)</f>
        <v>-2700</v>
      </c>
      <c r="G173" s="2">
        <f ca="1">IFERROR(__xludf.DUMMYFUNCTION("""COMPUTED_VALUE"""),500)</f>
        <v>500</v>
      </c>
      <c r="H173" s="2" t="str">
        <f ca="1">IFERROR(__xludf.DUMMYFUNCTION("""COMPUTED_VALUE"""),"3eacd39c")</f>
        <v>3eacd39c</v>
      </c>
      <c r="I173" s="2" t="str">
        <f ca="1">IFERROR(__xludf.DUMMYFUNCTION("""COMPUTED_VALUE"""),"Ajuste")</f>
        <v>Ajuste</v>
      </c>
      <c r="J173" s="2">
        <f ca="1">IFERROR(__xludf.DUMMYFUNCTION("""COMPUTED_VALUE"""),-20699)</f>
        <v>-20699</v>
      </c>
      <c r="K173" s="2">
        <f ca="1">IFERROR(__xludf.DUMMYFUNCTION("""COMPUTED_VALUE"""),-23399)</f>
        <v>-23399</v>
      </c>
      <c r="L173" s="2" t="str">
        <f ca="1">IFERROR(__xludf.DUMMYFUNCTION("""COMPUTED_VALUE"""),"562f51a9")</f>
        <v>562f51a9</v>
      </c>
      <c r="M173" s="2" t="str">
        <f ca="1">IFERROR(__xludf.DUMMYFUNCTION("""COMPUTED_VALUE"""),"Ajuste")</f>
        <v>Ajuste</v>
      </c>
      <c r="N173" s="2"/>
      <c r="O173" s="2" t="str">
        <f ca="1">IFERROR(__xludf.DUMMYFUNCTION("""COMPUTED_VALUE"""),"Fermentando")</f>
        <v>Fermentando</v>
      </c>
      <c r="P173" s="2"/>
      <c r="Q173" s="2" t="b">
        <f ca="1">IFERROR(__xludf.DUMMYFUNCTION("""COMPUTED_VALUE"""),TRUE)</f>
        <v>1</v>
      </c>
      <c r="R173" s="2"/>
      <c r="S173" s="2"/>
      <c r="T173" s="2"/>
      <c r="U173" s="2"/>
    </row>
    <row r="174" spans="1:21" x14ac:dyDescent="0.25">
      <c r="A174" s="2" t="str">
        <f ca="1">IFERROR(__xludf.DUMMYFUNCTION("""COMPUTED_VALUE"""),"be7471b3")</f>
        <v>be7471b3</v>
      </c>
      <c r="B174" s="3">
        <f ca="1">IFERROR(__xludf.DUMMYFUNCTION("""COMPUTED_VALUE"""),45734.3759375)</f>
        <v>45734.375937500001</v>
      </c>
      <c r="C174" s="2" t="str">
        <f ca="1">IFERROR(__xludf.DUMMYFUNCTION("""COMPUTED_VALUE"""),"e2c3632b")</f>
        <v>e2c3632b</v>
      </c>
      <c r="D174" s="2">
        <f ca="1">IFERROR(__xludf.DUMMYFUNCTION("""COMPUTED_VALUE"""),82)</f>
        <v>82</v>
      </c>
      <c r="E174" s="2" t="str">
        <f ca="1">IFERROR(__xludf.DUMMYFUNCTION("""COMPUTED_VALUE"""),"Anccelotta")</f>
        <v>Anccelotta</v>
      </c>
      <c r="F174" s="2">
        <f ca="1">IFERROR(__xludf.DUMMYFUNCTION("""COMPUTED_VALUE"""),-1000)</f>
        <v>-1000</v>
      </c>
      <c r="G174" s="2">
        <f ca="1">IFERROR(__xludf.DUMMYFUNCTION("""COMPUTED_VALUE"""),500)</f>
        <v>500</v>
      </c>
      <c r="H174" s="2" t="str">
        <f ca="1">IFERROR(__xludf.DUMMYFUNCTION("""COMPUTED_VALUE"""),"562f51a9")</f>
        <v>562f51a9</v>
      </c>
      <c r="I174" s="2" t="str">
        <f ca="1">IFERROR(__xludf.DUMMYFUNCTION("""COMPUTED_VALUE"""),"Ajuste")</f>
        <v>Ajuste</v>
      </c>
      <c r="J174" s="2">
        <f ca="1">IFERROR(__xludf.DUMMYFUNCTION("""COMPUTED_VALUE"""),-23399)</f>
        <v>-23399</v>
      </c>
      <c r="K174" s="2">
        <f ca="1">IFERROR(__xludf.DUMMYFUNCTION("""COMPUTED_VALUE"""),-24399)</f>
        <v>-24399</v>
      </c>
      <c r="L174" s="2" t="str">
        <f ca="1">IFERROR(__xludf.DUMMYFUNCTION("""COMPUTED_VALUE"""),"5cc545be")</f>
        <v>5cc545be</v>
      </c>
      <c r="M174" s="2" t="str">
        <f ca="1">IFERROR(__xludf.DUMMYFUNCTION("""COMPUTED_VALUE"""),"Ajuste")</f>
        <v>Ajuste</v>
      </c>
      <c r="N174" s="2"/>
      <c r="O174" s="2" t="str">
        <f ca="1">IFERROR(__xludf.DUMMYFUNCTION("""COMPUTED_VALUE"""),"Fermentando")</f>
        <v>Fermentando</v>
      </c>
      <c r="P174" s="2"/>
      <c r="Q174" s="2" t="b">
        <f ca="1">IFERROR(__xludf.DUMMYFUNCTION("""COMPUTED_VALUE"""),TRUE)</f>
        <v>1</v>
      </c>
      <c r="R174" s="2"/>
      <c r="S174" s="2"/>
      <c r="T174" s="2"/>
      <c r="U174" s="2"/>
    </row>
    <row r="175" spans="1:21" x14ac:dyDescent="0.25">
      <c r="A175" s="2" t="str">
        <f ca="1">IFERROR(__xludf.DUMMYFUNCTION("""COMPUTED_VALUE"""),"f6e2d0cb")</f>
        <v>f6e2d0cb</v>
      </c>
      <c r="B175" s="3">
        <f ca="1">IFERROR(__xludf.DUMMYFUNCTION("""COMPUTED_VALUE"""),45734.3767824074)</f>
        <v>45734.376782407402</v>
      </c>
      <c r="C175" s="2" t="str">
        <f ca="1">IFERROR(__xludf.DUMMYFUNCTION("""COMPUTED_VALUE"""),"1c0f3ac6")</f>
        <v>1c0f3ac6</v>
      </c>
      <c r="D175" s="2">
        <f ca="1">IFERROR(__xludf.DUMMYFUNCTION("""COMPUTED_VALUE"""),85)</f>
        <v>85</v>
      </c>
      <c r="E175" s="2" t="str">
        <f ca="1">IFERROR(__xludf.DUMMYFUNCTION("""COMPUTED_VALUE"""),"Bonarda C2")</f>
        <v>Bonarda C2</v>
      </c>
      <c r="F175" s="2">
        <f ca="1">IFERROR(__xludf.DUMMYFUNCTION("""COMPUTED_VALUE"""),4100)</f>
        <v>4100</v>
      </c>
      <c r="G175" s="2">
        <f ca="1">IFERROR(__xludf.DUMMYFUNCTION("""COMPUTED_VALUE"""),500)</f>
        <v>500</v>
      </c>
      <c r="H175" s="2" t="str">
        <f ca="1">IFERROR(__xludf.DUMMYFUNCTION("""COMPUTED_VALUE"""),"5cc545be")</f>
        <v>5cc545be</v>
      </c>
      <c r="I175" s="2" t="str">
        <f ca="1">IFERROR(__xludf.DUMMYFUNCTION("""COMPUTED_VALUE"""),"Ajuste")</f>
        <v>Ajuste</v>
      </c>
      <c r="J175" s="2">
        <f ca="1">IFERROR(__xludf.DUMMYFUNCTION("""COMPUTED_VALUE"""),-24399)</f>
        <v>-24399</v>
      </c>
      <c r="K175" s="2">
        <f ca="1">IFERROR(__xludf.DUMMYFUNCTION("""COMPUTED_VALUE"""),-20299)</f>
        <v>-20299</v>
      </c>
      <c r="L175" s="2" t="str">
        <f ca="1">IFERROR(__xludf.DUMMYFUNCTION("""COMPUTED_VALUE"""),"e861b4fa")</f>
        <v>e861b4fa</v>
      </c>
      <c r="M175" s="2" t="str">
        <f ca="1">IFERROR(__xludf.DUMMYFUNCTION("""COMPUTED_VALUE"""),"Ajuste")</f>
        <v>Ajuste</v>
      </c>
      <c r="N175" s="2"/>
      <c r="O175" s="2" t="str">
        <f ca="1">IFERROR(__xludf.DUMMYFUNCTION("""COMPUTED_VALUE"""),"Fermentando")</f>
        <v>Fermentando</v>
      </c>
      <c r="P175" s="2"/>
      <c r="Q175" s="2" t="b">
        <f ca="1">IFERROR(__xludf.DUMMYFUNCTION("""COMPUTED_VALUE"""),TRUE)</f>
        <v>1</v>
      </c>
      <c r="R175" s="2"/>
      <c r="S175" s="2"/>
      <c r="T175" s="2"/>
      <c r="U175" s="2"/>
    </row>
    <row r="176" spans="1:21" x14ac:dyDescent="0.25">
      <c r="A176" s="2" t="str">
        <f ca="1">IFERROR(__xludf.DUMMYFUNCTION("""COMPUTED_VALUE"""),"663856fe")</f>
        <v>663856fe</v>
      </c>
      <c r="B176" s="3">
        <f ca="1">IFERROR(__xludf.DUMMYFUNCTION("""COMPUTED_VALUE"""),45734.3771296296)</f>
        <v>45734.377129629604</v>
      </c>
      <c r="C176" s="2" t="str">
        <f ca="1">IFERROR(__xludf.DUMMYFUNCTION("""COMPUTED_VALUE"""),"ea43be80")</f>
        <v>ea43be80</v>
      </c>
      <c r="D176" s="2">
        <f ca="1">IFERROR(__xludf.DUMMYFUNCTION("""COMPUTED_VALUE"""),86)</f>
        <v>86</v>
      </c>
      <c r="E176" s="2" t="str">
        <f ca="1">IFERROR(__xludf.DUMMYFUNCTION("""COMPUTED_VALUE"""),"Syrah")</f>
        <v>Syrah</v>
      </c>
      <c r="F176" s="2">
        <f ca="1">IFERROR(__xludf.DUMMYFUNCTION("""COMPUTED_VALUE"""),2500)</f>
        <v>2500</v>
      </c>
      <c r="G176" s="2">
        <f ca="1">IFERROR(__xludf.DUMMYFUNCTION("""COMPUTED_VALUE"""),500)</f>
        <v>500</v>
      </c>
      <c r="H176" s="2" t="str">
        <f ca="1">IFERROR(__xludf.DUMMYFUNCTION("""COMPUTED_VALUE"""),"e861b4fa")</f>
        <v>e861b4fa</v>
      </c>
      <c r="I176" s="2" t="str">
        <f ca="1">IFERROR(__xludf.DUMMYFUNCTION("""COMPUTED_VALUE"""),"Ajuste")</f>
        <v>Ajuste</v>
      </c>
      <c r="J176" s="2">
        <f ca="1">IFERROR(__xludf.DUMMYFUNCTION("""COMPUTED_VALUE"""),-20299)</f>
        <v>-20299</v>
      </c>
      <c r="K176" s="2">
        <f ca="1">IFERROR(__xludf.DUMMYFUNCTION("""COMPUTED_VALUE"""),-17799)</f>
        <v>-17799</v>
      </c>
      <c r="L176" s="2" t="str">
        <f ca="1">IFERROR(__xludf.DUMMYFUNCTION("""COMPUTED_VALUE"""),"d607821f")</f>
        <v>d607821f</v>
      </c>
      <c r="M176" s="2" t="str">
        <f ca="1">IFERROR(__xludf.DUMMYFUNCTION("""COMPUTED_VALUE"""),"Ajuste")</f>
        <v>Ajuste</v>
      </c>
      <c r="N176" s="2"/>
      <c r="O176" s="2" t="str">
        <f ca="1">IFERROR(__xludf.DUMMYFUNCTION("""COMPUTED_VALUE"""),"Fermentando")</f>
        <v>Fermentando</v>
      </c>
      <c r="P176" s="2"/>
      <c r="Q176" s="2" t="b">
        <f ca="1">IFERROR(__xludf.DUMMYFUNCTION("""COMPUTED_VALUE"""),TRUE)</f>
        <v>1</v>
      </c>
      <c r="R176" s="2"/>
      <c r="S176" s="2"/>
      <c r="T176" s="2"/>
      <c r="U176" s="2"/>
    </row>
    <row r="177" spans="1:21" x14ac:dyDescent="0.25">
      <c r="A177" s="2" t="str">
        <f ca="1">IFERROR(__xludf.DUMMYFUNCTION("""COMPUTED_VALUE"""),"9a675e75")</f>
        <v>9a675e75</v>
      </c>
      <c r="B177" s="3">
        <f ca="1">IFERROR(__xludf.DUMMYFUNCTION("""COMPUTED_VALUE"""),45734.3776736111)</f>
        <v>45734.377673611103</v>
      </c>
      <c r="C177" s="2" t="str">
        <f ca="1">IFERROR(__xludf.DUMMYFUNCTION("""COMPUTED_VALUE"""),"f3ecd42b")</f>
        <v>f3ecd42b</v>
      </c>
      <c r="D177" s="2">
        <f ca="1">IFERROR(__xludf.DUMMYFUNCTION("""COMPUTED_VALUE"""),91)</f>
        <v>91</v>
      </c>
      <c r="E177" s="2" t="str">
        <f ca="1">IFERROR(__xludf.DUMMYFUNCTION("""COMPUTED_VALUE"""),"Bonarda C2")</f>
        <v>Bonarda C2</v>
      </c>
      <c r="F177" s="2">
        <f ca="1">IFERROR(__xludf.DUMMYFUNCTION("""COMPUTED_VALUE"""),-2800)</f>
        <v>-2800</v>
      </c>
      <c r="G177" s="2">
        <f ca="1">IFERROR(__xludf.DUMMYFUNCTION("""COMPUTED_VALUE"""),500)</f>
        <v>500</v>
      </c>
      <c r="H177" s="2" t="str">
        <f ca="1">IFERROR(__xludf.DUMMYFUNCTION("""COMPUTED_VALUE"""),"d607821f")</f>
        <v>d607821f</v>
      </c>
      <c r="I177" s="2" t="str">
        <f ca="1">IFERROR(__xludf.DUMMYFUNCTION("""COMPUTED_VALUE"""),"Ajuste")</f>
        <v>Ajuste</v>
      </c>
      <c r="J177" s="2">
        <f ca="1">IFERROR(__xludf.DUMMYFUNCTION("""COMPUTED_VALUE"""),-17799)</f>
        <v>-17799</v>
      </c>
      <c r="K177" s="2">
        <f ca="1">IFERROR(__xludf.DUMMYFUNCTION("""COMPUTED_VALUE"""),-20599)</f>
        <v>-20599</v>
      </c>
      <c r="L177" s="2" t="str">
        <f ca="1">IFERROR(__xludf.DUMMYFUNCTION("""COMPUTED_VALUE"""),"84282478")</f>
        <v>84282478</v>
      </c>
      <c r="M177" s="2" t="str">
        <f ca="1">IFERROR(__xludf.DUMMYFUNCTION("""COMPUTED_VALUE"""),"Ajuste")</f>
        <v>Ajuste</v>
      </c>
      <c r="N177" s="2"/>
      <c r="O177" s="2" t="str">
        <f ca="1">IFERROR(__xludf.DUMMYFUNCTION("""COMPUTED_VALUE"""),"Fermentando")</f>
        <v>Fermentando</v>
      </c>
      <c r="P177" s="2"/>
      <c r="Q177" s="2" t="b">
        <f ca="1">IFERROR(__xludf.DUMMYFUNCTION("""COMPUTED_VALUE"""),TRUE)</f>
        <v>1</v>
      </c>
      <c r="R177" s="2"/>
      <c r="S177" s="2"/>
      <c r="T177" s="2"/>
      <c r="U177" s="2"/>
    </row>
    <row r="178" spans="1:21" x14ac:dyDescent="0.25">
      <c r="A178" s="2" t="str">
        <f ca="1">IFERROR(__xludf.DUMMYFUNCTION("""COMPUTED_VALUE"""),"54513fd4")</f>
        <v>54513fd4</v>
      </c>
      <c r="B178" s="3">
        <f ca="1">IFERROR(__xludf.DUMMYFUNCTION("""COMPUTED_VALUE"""),45734.3782060185)</f>
        <v>45734.378206018497</v>
      </c>
      <c r="C178" s="2" t="str">
        <f ca="1">IFERROR(__xludf.DUMMYFUNCTION("""COMPUTED_VALUE"""),"abbbaccc")</f>
        <v>abbbaccc</v>
      </c>
      <c r="D178" s="2">
        <f ca="1">IFERROR(__xludf.DUMMYFUNCTION("""COMPUTED_VALUE"""),931)</f>
        <v>931</v>
      </c>
      <c r="E178" s="2" t="str">
        <f ca="1">IFERROR(__xludf.DUMMYFUNCTION("""COMPUTED_VALUE"""),"Bonarda 24")</f>
        <v>Bonarda 24</v>
      </c>
      <c r="F178" s="2">
        <f ca="1">IFERROR(__xludf.DUMMYFUNCTION("""COMPUTED_VALUE"""),1000)</f>
        <v>1000</v>
      </c>
      <c r="G178" s="2">
        <f ca="1">IFERROR(__xludf.DUMMYFUNCTION("""COMPUTED_VALUE"""),500)</f>
        <v>500</v>
      </c>
      <c r="H178" s="2" t="str">
        <f ca="1">IFERROR(__xludf.DUMMYFUNCTION("""COMPUTED_VALUE"""),"84282478")</f>
        <v>84282478</v>
      </c>
      <c r="I178" s="2" t="str">
        <f ca="1">IFERROR(__xludf.DUMMYFUNCTION("""COMPUTED_VALUE"""),"Ajuste")</f>
        <v>Ajuste</v>
      </c>
      <c r="J178" s="2">
        <f ca="1">IFERROR(__xludf.DUMMYFUNCTION("""COMPUTED_VALUE"""),-20599)</f>
        <v>-20599</v>
      </c>
      <c r="K178" s="2">
        <f ca="1">IFERROR(__xludf.DUMMYFUNCTION("""COMPUTED_VALUE"""),-19599)</f>
        <v>-19599</v>
      </c>
      <c r="L178" s="2" t="str">
        <f ca="1">IFERROR(__xludf.DUMMYFUNCTION("""COMPUTED_VALUE"""),"41c8d398")</f>
        <v>41c8d398</v>
      </c>
      <c r="M178" s="2" t="str">
        <f ca="1">IFERROR(__xludf.DUMMYFUNCTION("""COMPUTED_VALUE"""),"Ajuste")</f>
        <v>Ajuste</v>
      </c>
      <c r="N178" s="2"/>
      <c r="O178" s="2" t="str">
        <f ca="1">IFERROR(__xludf.DUMMYFUNCTION("""COMPUTED_VALUE"""),"Terminado")</f>
        <v>Terminado</v>
      </c>
      <c r="P178" s="2"/>
      <c r="Q178" s="2" t="b">
        <f ca="1">IFERROR(__xludf.DUMMYFUNCTION("""COMPUTED_VALUE"""),TRUE)</f>
        <v>1</v>
      </c>
      <c r="R178" s="2"/>
      <c r="S178" s="2"/>
      <c r="T178" s="2"/>
      <c r="U178" s="2"/>
    </row>
    <row r="179" spans="1:21" x14ac:dyDescent="0.25">
      <c r="A179" s="2" t="str">
        <f ca="1">IFERROR(__xludf.DUMMYFUNCTION("""COMPUTED_VALUE"""),"2bb953ae")</f>
        <v>2bb953ae</v>
      </c>
      <c r="B179" s="3">
        <f ca="1">IFERROR(__xludf.DUMMYFUNCTION("""COMPUTED_VALUE"""),45734.3786921296)</f>
        <v>45734.378692129598</v>
      </c>
      <c r="C179" s="2" t="str">
        <f ca="1">IFERROR(__xludf.DUMMYFUNCTION("""COMPUTED_VALUE"""),"b336cfcb")</f>
        <v>b336cfcb</v>
      </c>
      <c r="D179" s="2">
        <f ca="1">IFERROR(__xludf.DUMMYFUNCTION("""COMPUTED_VALUE"""),94)</f>
        <v>94</v>
      </c>
      <c r="E179" s="2" t="str">
        <f ca="1">IFERROR(__xludf.DUMMYFUNCTION("""COMPUTED_VALUE"""),"Syrah 24")</f>
        <v>Syrah 24</v>
      </c>
      <c r="F179" s="2">
        <f ca="1">IFERROR(__xludf.DUMMYFUNCTION("""COMPUTED_VALUE"""),-2700)</f>
        <v>-2700</v>
      </c>
      <c r="G179" s="2">
        <f ca="1">IFERROR(__xludf.DUMMYFUNCTION("""COMPUTED_VALUE"""),500)</f>
        <v>500</v>
      </c>
      <c r="H179" s="2" t="str">
        <f ca="1">IFERROR(__xludf.DUMMYFUNCTION("""COMPUTED_VALUE"""),"41c8d398")</f>
        <v>41c8d398</v>
      </c>
      <c r="I179" s="2" t="str">
        <f ca="1">IFERROR(__xludf.DUMMYFUNCTION("""COMPUTED_VALUE"""),"Ajuste")</f>
        <v>Ajuste</v>
      </c>
      <c r="J179" s="2">
        <f ca="1">IFERROR(__xludf.DUMMYFUNCTION("""COMPUTED_VALUE"""),-19599)</f>
        <v>-19599</v>
      </c>
      <c r="K179" s="2">
        <f ca="1">IFERROR(__xludf.DUMMYFUNCTION("""COMPUTED_VALUE"""),-22299)</f>
        <v>-22299</v>
      </c>
      <c r="L179" s="2" t="str">
        <f ca="1">IFERROR(__xludf.DUMMYFUNCTION("""COMPUTED_VALUE"""),"5c98aafc")</f>
        <v>5c98aafc</v>
      </c>
      <c r="M179" s="2" t="str">
        <f ca="1">IFERROR(__xludf.DUMMYFUNCTION("""COMPUTED_VALUE"""),"Ajuste")</f>
        <v>Ajuste</v>
      </c>
      <c r="N179" s="2"/>
      <c r="O179" s="2" t="str">
        <f ca="1">IFERROR(__xludf.DUMMYFUNCTION("""COMPUTED_VALUE"""),"Terminado")</f>
        <v>Terminado</v>
      </c>
      <c r="P179" s="2"/>
      <c r="Q179" s="2" t="b">
        <f ca="1">IFERROR(__xludf.DUMMYFUNCTION("""COMPUTED_VALUE"""),TRUE)</f>
        <v>1</v>
      </c>
      <c r="R179" s="2"/>
      <c r="S179" s="2"/>
      <c r="T179" s="2"/>
      <c r="U179" s="2"/>
    </row>
    <row r="180" spans="1:21" x14ac:dyDescent="0.25">
      <c r="A180" s="2" t="str">
        <f ca="1">IFERROR(__xludf.DUMMYFUNCTION("""COMPUTED_VALUE"""),"e716e971")</f>
        <v>e716e971</v>
      </c>
      <c r="B180" s="3">
        <f ca="1">IFERROR(__xludf.DUMMYFUNCTION("""COMPUTED_VALUE"""),45734.379224537)</f>
        <v>45734.379224536999</v>
      </c>
      <c r="C180" s="2" t="str">
        <f ca="1">IFERROR(__xludf.DUMMYFUNCTION("""COMPUTED_VALUE"""),"34a141e2")</f>
        <v>34a141e2</v>
      </c>
      <c r="D180" s="2">
        <f ca="1">IFERROR(__xludf.DUMMYFUNCTION("""COMPUTED_VALUE"""),96)</f>
        <v>96</v>
      </c>
      <c r="E180" s="2" t="str">
        <f ca="1">IFERROR(__xludf.DUMMYFUNCTION("""COMPUTED_VALUE"""),"Tempranillo")</f>
        <v>Tempranillo</v>
      </c>
      <c r="F180" s="2">
        <f ca="1">IFERROR(__xludf.DUMMYFUNCTION("""COMPUTED_VALUE"""),2600)</f>
        <v>2600</v>
      </c>
      <c r="G180" s="2">
        <f ca="1">IFERROR(__xludf.DUMMYFUNCTION("""COMPUTED_VALUE"""),500)</f>
        <v>500</v>
      </c>
      <c r="H180" s="2" t="str">
        <f ca="1">IFERROR(__xludf.DUMMYFUNCTION("""COMPUTED_VALUE"""),"5c98aafc")</f>
        <v>5c98aafc</v>
      </c>
      <c r="I180" s="2" t="str">
        <f ca="1">IFERROR(__xludf.DUMMYFUNCTION("""COMPUTED_VALUE"""),"Ajuste")</f>
        <v>Ajuste</v>
      </c>
      <c r="J180" s="2">
        <f ca="1">IFERROR(__xludf.DUMMYFUNCTION("""COMPUTED_VALUE"""),-22299)</f>
        <v>-22299</v>
      </c>
      <c r="K180" s="2">
        <f ca="1">IFERROR(__xludf.DUMMYFUNCTION("""COMPUTED_VALUE"""),-19699)</f>
        <v>-19699</v>
      </c>
      <c r="L180" s="2" t="str">
        <f ca="1">IFERROR(__xludf.DUMMYFUNCTION("""COMPUTED_VALUE"""),"dd4b7b83")</f>
        <v>dd4b7b83</v>
      </c>
      <c r="M180" s="2" t="str">
        <f ca="1">IFERROR(__xludf.DUMMYFUNCTION("""COMPUTED_VALUE"""),"Ajuste")</f>
        <v>Ajuste</v>
      </c>
      <c r="N180" s="2"/>
      <c r="O180" s="2" t="str">
        <f ca="1">IFERROR(__xludf.DUMMYFUNCTION("""COMPUTED_VALUE"""),"Fermentando")</f>
        <v>Fermentando</v>
      </c>
      <c r="P180" s="2"/>
      <c r="Q180" s="2" t="b">
        <f ca="1">IFERROR(__xludf.DUMMYFUNCTION("""COMPUTED_VALUE"""),TRUE)</f>
        <v>1</v>
      </c>
      <c r="R180" s="2"/>
      <c r="S180" s="2"/>
      <c r="T180" s="2"/>
      <c r="U180" s="2"/>
    </row>
    <row r="181" spans="1:21" x14ac:dyDescent="0.25">
      <c r="A181" s="2" t="str">
        <f ca="1">IFERROR(__xludf.DUMMYFUNCTION("""COMPUTED_VALUE"""),"1da0e7df")</f>
        <v>1da0e7df</v>
      </c>
      <c r="B181" s="3">
        <f ca="1">IFERROR(__xludf.DUMMYFUNCTION("""COMPUTED_VALUE"""),45734.3798379629)</f>
        <v>45734.379837962901</v>
      </c>
      <c r="C181" s="2" t="str">
        <f ca="1">IFERROR(__xludf.DUMMYFUNCTION("""COMPUTED_VALUE"""),"4197a6b3")</f>
        <v>4197a6b3</v>
      </c>
      <c r="D181" s="2">
        <f ca="1">IFERROR(__xludf.DUMMYFUNCTION("""COMPUTED_VALUE"""),102)</f>
        <v>102</v>
      </c>
      <c r="E181" s="2" t="str">
        <f ca="1">IFERROR(__xludf.DUMMYFUNCTION("""COMPUTED_VALUE"""),"Tinto La Vendimia")</f>
        <v>Tinto La Vendimia</v>
      </c>
      <c r="F181" s="2">
        <f ca="1">IFERROR(__xludf.DUMMYFUNCTION("""COMPUTED_VALUE"""),1000)</f>
        <v>1000</v>
      </c>
      <c r="G181" s="2">
        <f ca="1">IFERROR(__xludf.DUMMYFUNCTION("""COMPUTED_VALUE"""),500)</f>
        <v>500</v>
      </c>
      <c r="H181" s="2" t="str">
        <f ca="1">IFERROR(__xludf.DUMMYFUNCTION("""COMPUTED_VALUE"""),"dd4b7b83")</f>
        <v>dd4b7b83</v>
      </c>
      <c r="I181" s="2" t="str">
        <f ca="1">IFERROR(__xludf.DUMMYFUNCTION("""COMPUTED_VALUE"""),"Ajuste")</f>
        <v>Ajuste</v>
      </c>
      <c r="J181" s="2">
        <f ca="1">IFERROR(__xludf.DUMMYFUNCTION("""COMPUTED_VALUE"""),-19699)</f>
        <v>-19699</v>
      </c>
      <c r="K181" s="2">
        <f ca="1">IFERROR(__xludf.DUMMYFUNCTION("""COMPUTED_VALUE"""),-18699)</f>
        <v>-18699</v>
      </c>
      <c r="L181" s="2" t="str">
        <f ca="1">IFERROR(__xludf.DUMMYFUNCTION("""COMPUTED_VALUE"""),"b5e8d166")</f>
        <v>b5e8d166</v>
      </c>
      <c r="M181" s="2" t="str">
        <f ca="1">IFERROR(__xludf.DUMMYFUNCTION("""COMPUTED_VALUE"""),"Ajuste")</f>
        <v>Ajuste</v>
      </c>
      <c r="N181" s="2"/>
      <c r="O181" s="2" t="str">
        <f ca="1">IFERROR(__xludf.DUMMYFUNCTION("""COMPUTED_VALUE"""),"Terminado")</f>
        <v>Terminado</v>
      </c>
      <c r="P181" s="2"/>
      <c r="Q181" s="2" t="b">
        <f ca="1">IFERROR(__xludf.DUMMYFUNCTION("""COMPUTED_VALUE"""),TRUE)</f>
        <v>1</v>
      </c>
      <c r="R181" s="2"/>
      <c r="S181" s="2"/>
      <c r="T181" s="2"/>
      <c r="U181" s="2"/>
    </row>
    <row r="182" spans="1:21" x14ac:dyDescent="0.25">
      <c r="A182" s="2" t="str">
        <f ca="1">IFERROR(__xludf.DUMMYFUNCTION("""COMPUTED_VALUE"""),"7e10be90")</f>
        <v>7e10be90</v>
      </c>
      <c r="B182" s="3">
        <f ca="1">IFERROR(__xludf.DUMMYFUNCTION("""COMPUTED_VALUE"""),45734.3804976851)</f>
        <v>45734.380497685102</v>
      </c>
      <c r="C182" s="2" t="str">
        <f ca="1">IFERROR(__xludf.DUMMYFUNCTION("""COMPUTED_VALUE"""),"4649003c")</f>
        <v>4649003c</v>
      </c>
      <c r="D182" s="2">
        <f ca="1">IFERROR(__xludf.DUMMYFUNCTION("""COMPUTED_VALUE"""),116)</f>
        <v>116</v>
      </c>
      <c r="E182" s="2" t="str">
        <f ca="1">IFERROR(__xludf.DUMMYFUNCTION("""COMPUTED_VALUE"""),"Syrah")</f>
        <v>Syrah</v>
      </c>
      <c r="F182" s="2">
        <f ca="1">IFERROR(__xludf.DUMMYFUNCTION("""COMPUTED_VALUE"""),-600)</f>
        <v>-600</v>
      </c>
      <c r="G182" s="2">
        <f ca="1">IFERROR(__xludf.DUMMYFUNCTION("""COMPUTED_VALUE"""),500)</f>
        <v>500</v>
      </c>
      <c r="H182" s="2" t="str">
        <f ca="1">IFERROR(__xludf.DUMMYFUNCTION("""COMPUTED_VALUE"""),"b5e8d166")</f>
        <v>b5e8d166</v>
      </c>
      <c r="I182" s="2" t="str">
        <f ca="1">IFERROR(__xludf.DUMMYFUNCTION("""COMPUTED_VALUE"""),"Ajuste")</f>
        <v>Ajuste</v>
      </c>
      <c r="J182" s="2">
        <f ca="1">IFERROR(__xludf.DUMMYFUNCTION("""COMPUTED_VALUE"""),-18699)</f>
        <v>-18699</v>
      </c>
      <c r="K182" s="2">
        <f ca="1">IFERROR(__xludf.DUMMYFUNCTION("""COMPUTED_VALUE"""),-19299)</f>
        <v>-19299</v>
      </c>
      <c r="L182" s="2" t="str">
        <f ca="1">IFERROR(__xludf.DUMMYFUNCTION("""COMPUTED_VALUE"""),"6cba92a2")</f>
        <v>6cba92a2</v>
      </c>
      <c r="M182" s="2" t="str">
        <f ca="1">IFERROR(__xludf.DUMMYFUNCTION("""COMPUTED_VALUE"""),"Ajuste")</f>
        <v>Ajuste</v>
      </c>
      <c r="N182" s="2"/>
      <c r="O182" s="2" t="str">
        <f ca="1">IFERROR(__xludf.DUMMYFUNCTION("""COMPUTED_VALUE"""),"Descubada")</f>
        <v>Descubada</v>
      </c>
      <c r="P182" s="2"/>
      <c r="Q182" s="2" t="b">
        <f ca="1">IFERROR(__xludf.DUMMYFUNCTION("""COMPUTED_VALUE"""),TRUE)</f>
        <v>1</v>
      </c>
      <c r="R182" s="2"/>
      <c r="S182" s="2"/>
      <c r="T182" s="2"/>
      <c r="U182" s="2"/>
    </row>
    <row r="183" spans="1:21" x14ac:dyDescent="0.25">
      <c r="A183" s="2" t="str">
        <f ca="1">IFERROR(__xludf.DUMMYFUNCTION("""COMPUTED_VALUE"""),"e6245c23")</f>
        <v>e6245c23</v>
      </c>
      <c r="B183" s="3">
        <f ca="1">IFERROR(__xludf.DUMMYFUNCTION("""COMPUTED_VALUE"""),45734.3862962962)</f>
        <v>45734.386296296201</v>
      </c>
      <c r="C183" s="2" t="str">
        <f ca="1">IFERROR(__xludf.DUMMYFUNCTION("""COMPUTED_VALUE"""),"f1388e78")</f>
        <v>f1388e78</v>
      </c>
      <c r="D183" s="2">
        <f ca="1">IFERROR(__xludf.DUMMYFUNCTION("""COMPUTED_VALUE"""),75)</f>
        <v>75</v>
      </c>
      <c r="E183" s="2" t="str">
        <f ca="1">IFERROR(__xludf.DUMMYFUNCTION("""COMPUTED_VALUE"""),"Aspirant 24 Rect")</f>
        <v>Aspirant 24 Rect</v>
      </c>
      <c r="F183" s="2">
        <f ca="1">IFERROR(__xludf.DUMMYFUNCTION("""COMPUTED_VALUE"""),3000)</f>
        <v>3000</v>
      </c>
      <c r="G183" s="2">
        <f ca="1">IFERROR(__xludf.DUMMYFUNCTION("""COMPUTED_VALUE"""),42)</f>
        <v>42</v>
      </c>
      <c r="H183" s="2" t="str">
        <f ca="1">IFERROR(__xludf.DUMMYFUNCTION("""COMPUTED_VALUE"""),"fdf22389")</f>
        <v>fdf22389</v>
      </c>
      <c r="I183" s="2" t="str">
        <f ca="1">IFERROR(__xludf.DUMMYFUNCTION("""COMPUTED_VALUE"""),"Aspirant Anccelota Gota")</f>
        <v>Aspirant Anccelota Gota</v>
      </c>
      <c r="J183" s="2">
        <f ca="1">IFERROR(__xludf.DUMMYFUNCTION("""COMPUTED_VALUE"""),32900)</f>
        <v>32900</v>
      </c>
      <c r="K183" s="2">
        <f ca="1">IFERROR(__xludf.DUMMYFUNCTION("""COMPUTED_VALUE"""),35900)</f>
        <v>35900</v>
      </c>
      <c r="L183" s="2" t="str">
        <f ca="1">IFERROR(__xludf.DUMMYFUNCTION("""COMPUTED_VALUE"""),"0d46ca84")</f>
        <v>0d46ca84</v>
      </c>
      <c r="M183" s="2" t="str">
        <f ca="1">IFERROR(__xludf.DUMMYFUNCTION("""COMPUTED_VALUE"""),"Aspirant Anccelota Gota")</f>
        <v>Aspirant Anccelota Gota</v>
      </c>
      <c r="N183" s="2"/>
      <c r="O183" s="2" t="str">
        <f ca="1">IFERROR(__xludf.DUMMYFUNCTION("""COMPUTED_VALUE"""),"Rectificado")</f>
        <v>Rectificado</v>
      </c>
      <c r="P183" s="2" t="str">
        <f ca="1">IFERROR(__xludf.DUMMYFUNCTION("""COMPUTED_VALUE"""),"1er Trasiego")</f>
        <v>1er Trasiego</v>
      </c>
      <c r="Q183" s="2" t="b">
        <f ca="1">IFERROR(__xludf.DUMMYFUNCTION("""COMPUTED_VALUE"""),TRUE)</f>
        <v>1</v>
      </c>
      <c r="R183" s="2" t="str">
        <f ca="1">IFERROR(__xludf.DUMMYFUNCTION("""COMPUTED_VALUE"""),"1er Trasiego")</f>
        <v>1er Trasiego</v>
      </c>
      <c r="S183" s="2"/>
      <c r="T183" s="2"/>
      <c r="U183" s="2"/>
    </row>
    <row r="184" spans="1:21" x14ac:dyDescent="0.25">
      <c r="A184" s="2" t="str">
        <f ca="1">IFERROR(__xludf.DUMMYFUNCTION("""COMPUTED_VALUE"""),"3ef35c32")</f>
        <v>3ef35c32</v>
      </c>
      <c r="B184" s="3">
        <f ca="1">IFERROR(__xludf.DUMMYFUNCTION("""COMPUTED_VALUE"""),45734.387662037)</f>
        <v>45734.387662036999</v>
      </c>
      <c r="C184" s="2" t="str">
        <f ca="1">IFERROR(__xludf.DUMMYFUNCTION("""COMPUTED_VALUE"""),"83599ef4")</f>
        <v>83599ef4</v>
      </c>
      <c r="D184" s="2">
        <f ca="1">IFERROR(__xludf.DUMMYFUNCTION("""COMPUTED_VALUE"""),104)</f>
        <v>104</v>
      </c>
      <c r="E184" s="2" t="str">
        <f ca="1">IFERROR(__xludf.DUMMYFUNCTION("""COMPUTED_VALUE"""),"Malbec Gota")</f>
        <v>Malbec Gota</v>
      </c>
      <c r="F184" s="2">
        <f ca="1">IFERROR(__xludf.DUMMYFUNCTION("""COMPUTED_VALUE"""),29000)</f>
        <v>29000</v>
      </c>
      <c r="G184" s="2">
        <f ca="1">IFERROR(__xludf.DUMMYFUNCTION("""COMPUTED_VALUE"""),46)</f>
        <v>46</v>
      </c>
      <c r="H184" s="2"/>
      <c r="I184" s="2"/>
      <c r="J184" s="2">
        <f ca="1">IFERROR(__xludf.DUMMYFUNCTION("""COMPUTED_VALUE"""),0)</f>
        <v>0</v>
      </c>
      <c r="K184" s="2">
        <f ca="1">IFERROR(__xludf.DUMMYFUNCTION("""COMPUTED_VALUE"""),29000)</f>
        <v>29000</v>
      </c>
      <c r="L184" s="2" t="str">
        <f ca="1">IFERROR(__xludf.DUMMYFUNCTION("""COMPUTED_VALUE"""),"92bbed34")</f>
        <v>92bbed34</v>
      </c>
      <c r="M184" s="2" t="str">
        <f ca="1">IFERROR(__xludf.DUMMYFUNCTION("""COMPUTED_VALUE"""),"Malbec Gota")</f>
        <v>Malbec Gota</v>
      </c>
      <c r="N184" s="2"/>
      <c r="O184" s="2" t="str">
        <f ca="1">IFERROR(__xludf.DUMMYFUNCTION("""COMPUTED_VALUE"""),"Descubada")</f>
        <v>Descubada</v>
      </c>
      <c r="P184" s="2"/>
      <c r="Q184" s="2" t="b">
        <f ca="1">IFERROR(__xludf.DUMMYFUNCTION("""COMPUTED_VALUE"""),FALSE)</f>
        <v>0</v>
      </c>
      <c r="R184" s="2" t="str">
        <f ca="1">IFERROR(__xludf.DUMMYFUNCTION("""COMPUTED_VALUE"""),"1er Trasiego")</f>
        <v>1er Trasiego</v>
      </c>
      <c r="S184" s="2"/>
      <c r="T184" s="2"/>
      <c r="U184" s="2"/>
    </row>
    <row r="185" spans="1:21" x14ac:dyDescent="0.25">
      <c r="A185" s="2" t="str">
        <f ca="1">IFERROR(__xludf.DUMMYFUNCTION("""COMPUTED_VALUE"""),"5b8cfa72")</f>
        <v>5b8cfa72</v>
      </c>
      <c r="B185" s="3">
        <f ca="1">IFERROR(__xludf.DUMMYFUNCTION("""COMPUTED_VALUE"""),45734.5621296296)</f>
        <v>45734.562129629601</v>
      </c>
      <c r="C185" s="2" t="str">
        <f ca="1">IFERROR(__xludf.DUMMYFUNCTION("""COMPUTED_VALUE"""),"d9821c78")</f>
        <v>d9821c78</v>
      </c>
      <c r="D185" s="2">
        <f ca="1">IFERROR(__xludf.DUMMYFUNCTION("""COMPUTED_VALUE"""),48)</f>
        <v>48</v>
      </c>
      <c r="E185" s="2" t="str">
        <f ca="1">IFERROR(__xludf.DUMMYFUNCTION("""COMPUTED_VALUE"""),"Bonarda 24 Rect")</f>
        <v>Bonarda 24 Rect</v>
      </c>
      <c r="F185" s="2">
        <f ca="1">IFERROR(__xludf.DUMMYFUNCTION("""COMPUTED_VALUE"""),8100)</f>
        <v>8100</v>
      </c>
      <c r="G185" s="2">
        <f ca="1">IFERROR(__xludf.DUMMYFUNCTION("""COMPUTED_VALUE"""),96)</f>
        <v>96</v>
      </c>
      <c r="H185" s="2" t="str">
        <f ca="1">IFERROR(__xludf.DUMMYFUNCTION("""COMPUTED_VALUE"""),"34a141e2")</f>
        <v>34a141e2</v>
      </c>
      <c r="I185" s="2" t="str">
        <f ca="1">IFERROR(__xludf.DUMMYFUNCTION("""COMPUTED_VALUE"""),"Tempranillo")</f>
        <v>Tempranillo</v>
      </c>
      <c r="J185" s="2">
        <f ca="1">IFERROR(__xludf.DUMMYFUNCTION("""COMPUTED_VALUE"""),45000)</f>
        <v>45000</v>
      </c>
      <c r="K185" s="2">
        <f ca="1">IFERROR(__xludf.DUMMYFUNCTION("""COMPUTED_VALUE"""),53100)</f>
        <v>53100</v>
      </c>
      <c r="L185" s="2" t="str">
        <f ca="1">IFERROR(__xludf.DUMMYFUNCTION("""COMPUTED_VALUE"""),"b7799ff9")</f>
        <v>b7799ff9</v>
      </c>
      <c r="M185" s="2" t="str">
        <f ca="1">IFERROR(__xludf.DUMMYFUNCTION("""COMPUTED_VALUE"""),"Tempranillo")</f>
        <v>Tempranillo</v>
      </c>
      <c r="N185" s="2" t="str">
        <f ca="1">IFERROR(__xludf.DUMMYFUNCTION("""COMPUTED_VALUE"""),"Agregado de Rectificado")</f>
        <v>Agregado de Rectificado</v>
      </c>
      <c r="O185" s="2" t="str">
        <f ca="1">IFERROR(__xludf.DUMMYFUNCTION("""COMPUTED_VALUE"""),"Rectificado")</f>
        <v>Rectificado</v>
      </c>
      <c r="P185" s="2" t="str">
        <f ca="1">IFERROR(__xludf.DUMMYFUNCTION("""COMPUTED_VALUE"""),"Fermentando")</f>
        <v>Fermentando</v>
      </c>
      <c r="Q185" s="2" t="b">
        <f ca="1">IFERROR(__xludf.DUMMYFUNCTION("""COMPUTED_VALUE"""),TRUE)</f>
        <v>1</v>
      </c>
      <c r="R185" s="2" t="str">
        <f ca="1">IFERROR(__xludf.DUMMYFUNCTION("""COMPUTED_VALUE"""),"Fermentando")</f>
        <v>Fermentando</v>
      </c>
      <c r="S185" s="2"/>
      <c r="T185" s="2"/>
      <c r="U185" s="2"/>
    </row>
    <row r="186" spans="1:21" x14ac:dyDescent="0.25">
      <c r="A186" s="2" t="str">
        <f ca="1">IFERROR(__xludf.DUMMYFUNCTION("""COMPUTED_VALUE"""),"1b48d388")</f>
        <v>1b48d388</v>
      </c>
      <c r="B186" s="3">
        <f ca="1">IFERROR(__xludf.DUMMYFUNCTION("""COMPUTED_VALUE"""),45734.5630787037)</f>
        <v>45734.563078703701</v>
      </c>
      <c r="C186" s="2" t="str">
        <f ca="1">IFERROR(__xludf.DUMMYFUNCTION("""COMPUTED_VALUE"""),"00bdd4ad")</f>
        <v>00bdd4ad</v>
      </c>
      <c r="D186" s="2">
        <f ca="1">IFERROR(__xludf.DUMMYFUNCTION("""COMPUTED_VALUE"""),106)</f>
        <v>106</v>
      </c>
      <c r="E186" s="2" t="str">
        <f ca="1">IFERROR(__xludf.DUMMYFUNCTION("""COMPUTED_VALUE"""),"Merlot s/Asp")</f>
        <v>Merlot s/Asp</v>
      </c>
      <c r="F186" s="2">
        <f ca="1">IFERROR(__xludf.DUMMYFUNCTION("""COMPUTED_VALUE"""),1000)</f>
        <v>1000</v>
      </c>
      <c r="G186" s="2">
        <f ca="1">IFERROR(__xludf.DUMMYFUNCTION("""COMPUTED_VALUE"""),105)</f>
        <v>105</v>
      </c>
      <c r="H186" s="2" t="str">
        <f ca="1">IFERROR(__xludf.DUMMYFUNCTION("""COMPUTED_VALUE"""),"7ad5b1b2")</f>
        <v>7ad5b1b2</v>
      </c>
      <c r="I186" s="2" t="str">
        <f ca="1">IFERROR(__xludf.DUMMYFUNCTION("""COMPUTED_VALUE"""),"Malbec con Merlot s/Asp")</f>
        <v>Malbec con Merlot s/Asp</v>
      </c>
      <c r="J186" s="2">
        <f ca="1">IFERROR(__xludf.DUMMYFUNCTION("""COMPUTED_VALUE"""),30000)</f>
        <v>30000</v>
      </c>
      <c r="K186" s="2">
        <f ca="1">IFERROR(__xludf.DUMMYFUNCTION("""COMPUTED_VALUE"""),31000)</f>
        <v>31000</v>
      </c>
      <c r="L186" s="2" t="str">
        <f ca="1">IFERROR(__xludf.DUMMYFUNCTION("""COMPUTED_VALUE"""),"238eb34e")</f>
        <v>238eb34e</v>
      </c>
      <c r="M186" s="2" t="str">
        <f ca="1">IFERROR(__xludf.DUMMYFUNCTION("""COMPUTED_VALUE"""),"Malbec con Merlot s/Asp")</f>
        <v>Malbec con Merlot s/Asp</v>
      </c>
      <c r="N186" s="2"/>
      <c r="O186" s="2" t="str">
        <f ca="1">IFERROR(__xludf.DUMMYFUNCTION("""COMPUTED_VALUE"""),"Descubada")</f>
        <v>Descubada</v>
      </c>
      <c r="P186" s="2" t="str">
        <f ca="1">IFERROR(__xludf.DUMMYFUNCTION("""COMPUTED_VALUE"""),"Descubada")</f>
        <v>Descubada</v>
      </c>
      <c r="Q186" s="2" t="b">
        <f ca="1">IFERROR(__xludf.DUMMYFUNCTION("""COMPUTED_VALUE"""),TRUE)</f>
        <v>1</v>
      </c>
      <c r="R186" s="2" t="str">
        <f ca="1">IFERROR(__xludf.DUMMYFUNCTION("""COMPUTED_VALUE"""),"Descubada")</f>
        <v>Descubada</v>
      </c>
      <c r="S186" s="2"/>
      <c r="T186" s="2"/>
      <c r="U186" s="2"/>
    </row>
    <row r="187" spans="1:21" x14ac:dyDescent="0.25">
      <c r="A187" s="2" t="str">
        <f ca="1">IFERROR(__xludf.DUMMYFUNCTION("""COMPUTED_VALUE"""),"2a648924")</f>
        <v>2a648924</v>
      </c>
      <c r="B187" s="3">
        <f ca="1">IFERROR(__xludf.DUMMYFUNCTION("""COMPUTED_VALUE"""),45734.5632754629)</f>
        <v>45734.563275462897</v>
      </c>
      <c r="C187" s="2" t="str">
        <f ca="1">IFERROR(__xludf.DUMMYFUNCTION("""COMPUTED_VALUE"""),"00bdd4ad")</f>
        <v>00bdd4ad</v>
      </c>
      <c r="D187" s="2">
        <f ca="1">IFERROR(__xludf.DUMMYFUNCTION("""COMPUTED_VALUE"""),106)</f>
        <v>106</v>
      </c>
      <c r="E187" s="2" t="str">
        <f ca="1">IFERROR(__xludf.DUMMYFUNCTION("""COMPUTED_VALUE"""),"Merlot s/Asp")</f>
        <v>Merlot s/Asp</v>
      </c>
      <c r="F187" s="2">
        <f ca="1">IFERROR(__xludf.DUMMYFUNCTION("""COMPUTED_VALUE"""),1000)</f>
        <v>1000</v>
      </c>
      <c r="G187" s="2">
        <f ca="1">IFERROR(__xludf.DUMMYFUNCTION("""COMPUTED_VALUE"""),108)</f>
        <v>108</v>
      </c>
      <c r="H187" s="2" t="str">
        <f ca="1">IFERROR(__xludf.DUMMYFUNCTION("""COMPUTED_VALUE"""),"ba3f8a31")</f>
        <v>ba3f8a31</v>
      </c>
      <c r="I187" s="2" t="str">
        <f ca="1">IFERROR(__xludf.DUMMYFUNCTION("""COMPUTED_VALUE"""),"Syrah Merlot s/Asp Gota")</f>
        <v>Syrah Merlot s/Asp Gota</v>
      </c>
      <c r="J187" s="2">
        <f ca="1">IFERROR(__xludf.DUMMYFUNCTION("""COMPUTED_VALUE"""),30000)</f>
        <v>30000</v>
      </c>
      <c r="K187" s="2">
        <f ca="1">IFERROR(__xludf.DUMMYFUNCTION("""COMPUTED_VALUE"""),31000)</f>
        <v>31000</v>
      </c>
      <c r="L187" s="2" t="str">
        <f ca="1">IFERROR(__xludf.DUMMYFUNCTION("""COMPUTED_VALUE"""),"9446c412")</f>
        <v>9446c412</v>
      </c>
      <c r="M187" s="2" t="str">
        <f ca="1">IFERROR(__xludf.DUMMYFUNCTION("""COMPUTED_VALUE"""),"Syrah Merlot s/Asp Gota")</f>
        <v>Syrah Merlot s/Asp Gota</v>
      </c>
      <c r="N187" s="2"/>
      <c r="O187" s="2" t="str">
        <f ca="1">IFERROR(__xludf.DUMMYFUNCTION("""COMPUTED_VALUE"""),"Descubada")</f>
        <v>Descubada</v>
      </c>
      <c r="P187" s="2" t="str">
        <f ca="1">IFERROR(__xludf.DUMMYFUNCTION("""COMPUTED_VALUE"""),"Descubada")</f>
        <v>Descubada</v>
      </c>
      <c r="Q187" s="2" t="b">
        <f ca="1">IFERROR(__xludf.DUMMYFUNCTION("""COMPUTED_VALUE"""),TRUE)</f>
        <v>1</v>
      </c>
      <c r="R187" s="2" t="str">
        <f ca="1">IFERROR(__xludf.DUMMYFUNCTION("""COMPUTED_VALUE"""),"Descubada")</f>
        <v>Descubada</v>
      </c>
      <c r="S187" s="2"/>
      <c r="T187" s="2"/>
      <c r="U187" s="2"/>
    </row>
    <row r="188" spans="1:21" x14ac:dyDescent="0.25">
      <c r="A188" s="2" t="str">
        <f ca="1">IFERROR(__xludf.DUMMYFUNCTION("""COMPUTED_VALUE"""),"33a8488a")</f>
        <v>33a8488a</v>
      </c>
      <c r="B188" s="3">
        <f ca="1">IFERROR(__xludf.DUMMYFUNCTION("""COMPUTED_VALUE"""),45734.5634837962)</f>
        <v>45734.563483796199</v>
      </c>
      <c r="C188" s="2" t="str">
        <f ca="1">IFERROR(__xludf.DUMMYFUNCTION("""COMPUTED_VALUE"""),"00bdd4ad")</f>
        <v>00bdd4ad</v>
      </c>
      <c r="D188" s="2">
        <f ca="1">IFERROR(__xludf.DUMMYFUNCTION("""COMPUTED_VALUE"""),106)</f>
        <v>106</v>
      </c>
      <c r="E188" s="2" t="str">
        <f ca="1">IFERROR(__xludf.DUMMYFUNCTION("""COMPUTED_VALUE"""),"Merlot s/Asp")</f>
        <v>Merlot s/Asp</v>
      </c>
      <c r="F188" s="2">
        <f ca="1">IFERROR(__xludf.DUMMYFUNCTION("""COMPUTED_VALUE"""),600)</f>
        <v>600</v>
      </c>
      <c r="G188" s="2">
        <f ca="1">IFERROR(__xludf.DUMMYFUNCTION("""COMPUTED_VALUE"""),109)</f>
        <v>109</v>
      </c>
      <c r="H188" s="2" t="str">
        <f ca="1">IFERROR(__xludf.DUMMYFUNCTION("""COMPUTED_VALUE"""),"d83c9a57")</f>
        <v>d83c9a57</v>
      </c>
      <c r="I188" s="2" t="str">
        <f ca="1">IFERROR(__xludf.DUMMYFUNCTION("""COMPUTED_VALUE"""),"Merlot s/Asp descube")</f>
        <v>Merlot s/Asp descube</v>
      </c>
      <c r="J188" s="2">
        <f ca="1">IFERROR(__xludf.DUMMYFUNCTION("""COMPUTED_VALUE"""),15000)</f>
        <v>15000</v>
      </c>
      <c r="K188" s="2">
        <f ca="1">IFERROR(__xludf.DUMMYFUNCTION("""COMPUTED_VALUE"""),15600)</f>
        <v>15600</v>
      </c>
      <c r="L188" s="2" t="str">
        <f ca="1">IFERROR(__xludf.DUMMYFUNCTION("""COMPUTED_VALUE"""),"0d1b7f2c")</f>
        <v>0d1b7f2c</v>
      </c>
      <c r="M188" s="2" t="str">
        <f ca="1">IFERROR(__xludf.DUMMYFUNCTION("""COMPUTED_VALUE"""),"Merlot s/Asp descube")</f>
        <v>Merlot s/Asp descube</v>
      </c>
      <c r="N188" s="2"/>
      <c r="O188" s="2" t="str">
        <f ca="1">IFERROR(__xludf.DUMMYFUNCTION("""COMPUTED_VALUE"""),"Descubada")</f>
        <v>Descubada</v>
      </c>
      <c r="P188" s="2" t="str">
        <f ca="1">IFERROR(__xludf.DUMMYFUNCTION("""COMPUTED_VALUE"""),"Descubada")</f>
        <v>Descubada</v>
      </c>
      <c r="Q188" s="2" t="b">
        <f ca="1">IFERROR(__xludf.DUMMYFUNCTION("""COMPUTED_VALUE"""),TRUE)</f>
        <v>1</v>
      </c>
      <c r="R188" s="2" t="str">
        <f ca="1">IFERROR(__xludf.DUMMYFUNCTION("""COMPUTED_VALUE"""),"Descubada")</f>
        <v>Descubada</v>
      </c>
      <c r="S188" s="2"/>
      <c r="T188" s="2"/>
      <c r="U188" s="2"/>
    </row>
    <row r="189" spans="1:21" x14ac:dyDescent="0.25">
      <c r="A189" s="2" t="str">
        <f ca="1">IFERROR(__xludf.DUMMYFUNCTION("""COMPUTED_VALUE"""),"c5b76ecf")</f>
        <v>c5b76ecf</v>
      </c>
      <c r="B189" s="3">
        <f ca="1">IFERROR(__xludf.DUMMYFUNCTION("""COMPUTED_VALUE"""),45734.5636342592)</f>
        <v>45734.563634259197</v>
      </c>
      <c r="C189" s="2" t="str">
        <f ca="1">IFERROR(__xludf.DUMMYFUNCTION("""COMPUTED_VALUE"""),"00bdd4ad")</f>
        <v>00bdd4ad</v>
      </c>
      <c r="D189" s="2">
        <f ca="1">IFERROR(__xludf.DUMMYFUNCTION("""COMPUTED_VALUE"""),106)</f>
        <v>106</v>
      </c>
      <c r="E189" s="2" t="str">
        <f ca="1">IFERROR(__xludf.DUMMYFUNCTION("""COMPUTED_VALUE"""),"Merlot s/Asp")</f>
        <v>Merlot s/Asp</v>
      </c>
      <c r="F189" s="2">
        <f ca="1">IFERROR(__xludf.DUMMYFUNCTION("""COMPUTED_VALUE"""),600)</f>
        <v>600</v>
      </c>
      <c r="G189" s="2">
        <f ca="1">IFERROR(__xludf.DUMMYFUNCTION("""COMPUTED_VALUE"""),110)</f>
        <v>110</v>
      </c>
      <c r="H189" s="2" t="str">
        <f ca="1">IFERROR(__xludf.DUMMYFUNCTION("""COMPUTED_VALUE"""),"d8ebe8ad")</f>
        <v>d8ebe8ad</v>
      </c>
      <c r="I189" s="2" t="str">
        <f ca="1">IFERROR(__xludf.DUMMYFUNCTION("""COMPUTED_VALUE"""),"Syrah s/Asp 2da")</f>
        <v>Syrah s/Asp 2da</v>
      </c>
      <c r="J189" s="2">
        <f ca="1">IFERROR(__xludf.DUMMYFUNCTION("""COMPUTED_VALUE"""),15000)</f>
        <v>15000</v>
      </c>
      <c r="K189" s="2">
        <f ca="1">IFERROR(__xludf.DUMMYFUNCTION("""COMPUTED_VALUE"""),15600)</f>
        <v>15600</v>
      </c>
      <c r="L189" s="2" t="str">
        <f ca="1">IFERROR(__xludf.DUMMYFUNCTION("""COMPUTED_VALUE"""),"7d922df1")</f>
        <v>7d922df1</v>
      </c>
      <c r="M189" s="2" t="str">
        <f ca="1">IFERROR(__xludf.DUMMYFUNCTION("""COMPUTED_VALUE"""),"Syrah s/Asp 2da")</f>
        <v>Syrah s/Asp 2da</v>
      </c>
      <c r="N189" s="2"/>
      <c r="O189" s="2" t="str">
        <f ca="1">IFERROR(__xludf.DUMMYFUNCTION("""COMPUTED_VALUE"""),"Descubada")</f>
        <v>Descubada</v>
      </c>
      <c r="P189" s="2" t="str">
        <f ca="1">IFERROR(__xludf.DUMMYFUNCTION("""COMPUTED_VALUE"""),"Descubada")</f>
        <v>Descubada</v>
      </c>
      <c r="Q189" s="2" t="b">
        <f ca="1">IFERROR(__xludf.DUMMYFUNCTION("""COMPUTED_VALUE"""),TRUE)</f>
        <v>1</v>
      </c>
      <c r="R189" s="2" t="str">
        <f ca="1">IFERROR(__xludf.DUMMYFUNCTION("""COMPUTED_VALUE"""),"Descubada")</f>
        <v>Descubada</v>
      </c>
      <c r="S189" s="2"/>
      <c r="T189" s="2"/>
      <c r="U189" s="2"/>
    </row>
    <row r="190" spans="1:21" x14ac:dyDescent="0.25">
      <c r="A190" s="2" t="str">
        <f ca="1">IFERROR(__xludf.DUMMYFUNCTION("""COMPUTED_VALUE"""),"3c024f6b")</f>
        <v>3c024f6b</v>
      </c>
      <c r="B190" s="3">
        <f ca="1">IFERROR(__xludf.DUMMYFUNCTION("""COMPUTED_VALUE"""),45734.5639004629)</f>
        <v>45734.563900462897</v>
      </c>
      <c r="C190" s="2" t="str">
        <f ca="1">IFERROR(__xludf.DUMMYFUNCTION("""COMPUTED_VALUE"""),"00bdd4ad")</f>
        <v>00bdd4ad</v>
      </c>
      <c r="D190" s="2">
        <f ca="1">IFERROR(__xludf.DUMMYFUNCTION("""COMPUTED_VALUE"""),106)</f>
        <v>106</v>
      </c>
      <c r="E190" s="2" t="str">
        <f ca="1">IFERROR(__xludf.DUMMYFUNCTION("""COMPUTED_VALUE"""),"Merlot s/Asp")</f>
        <v>Merlot s/Asp</v>
      </c>
      <c r="F190" s="2">
        <f ca="1">IFERROR(__xludf.DUMMYFUNCTION("""COMPUTED_VALUE"""),7800)</f>
        <v>7800</v>
      </c>
      <c r="G190" s="2">
        <f ca="1">IFERROR(__xludf.DUMMYFUNCTION("""COMPUTED_VALUE"""),114)</f>
        <v>114</v>
      </c>
      <c r="H190" s="2"/>
      <c r="I190" s="2"/>
      <c r="J190" s="2">
        <f ca="1">IFERROR(__xludf.DUMMYFUNCTION("""COMPUTED_VALUE"""),0)</f>
        <v>0</v>
      </c>
      <c r="K190" s="2">
        <f ca="1">IFERROR(__xludf.DUMMYFUNCTION("""COMPUTED_VALUE"""),7800)</f>
        <v>7800</v>
      </c>
      <c r="L190" s="2" t="str">
        <f ca="1">IFERROR(__xludf.DUMMYFUNCTION("""COMPUTED_VALUE"""),"6341d7bb")</f>
        <v>6341d7bb</v>
      </c>
      <c r="M190" s="2" t="str">
        <f ca="1">IFERROR(__xludf.DUMMYFUNCTION("""COMPUTED_VALUE"""),"Merlot s/Asp")</f>
        <v>Merlot s/Asp</v>
      </c>
      <c r="N190" s="2"/>
      <c r="O190" s="2" t="str">
        <f ca="1">IFERROR(__xludf.DUMMYFUNCTION("""COMPUTED_VALUE"""),"Descubada")</f>
        <v>Descubada</v>
      </c>
      <c r="P190" s="2"/>
      <c r="Q190" s="2" t="b">
        <f ca="1">IFERROR(__xludf.DUMMYFUNCTION("""COMPUTED_VALUE"""),FALSE)</f>
        <v>0</v>
      </c>
      <c r="R190" s="2" t="str">
        <f ca="1">IFERROR(__xludf.DUMMYFUNCTION("""COMPUTED_VALUE"""),"Descubada")</f>
        <v>Descubada</v>
      </c>
      <c r="S190" s="2"/>
      <c r="T190" s="2"/>
      <c r="U190" s="2"/>
    </row>
    <row r="191" spans="1:21" x14ac:dyDescent="0.25">
      <c r="A191" s="2" t="str">
        <f ca="1">IFERROR(__xludf.DUMMYFUNCTION("""COMPUTED_VALUE"""),"5face3d3")</f>
        <v>5face3d3</v>
      </c>
      <c r="B191" s="3">
        <f ca="1">IFERROR(__xludf.DUMMYFUNCTION("""COMPUTED_VALUE"""),45734.6731597222)</f>
        <v>45734.673159722202</v>
      </c>
      <c r="C191" s="2" t="str">
        <f ca="1">IFERROR(__xludf.DUMMYFUNCTION("""COMPUTED_VALUE"""),"238eb34e")</f>
        <v>238eb34e</v>
      </c>
      <c r="D191" s="2">
        <f ca="1">IFERROR(__xludf.DUMMYFUNCTION("""COMPUTED_VALUE"""),105)</f>
        <v>105</v>
      </c>
      <c r="E191" s="2" t="str">
        <f ca="1">IFERROR(__xludf.DUMMYFUNCTION("""COMPUTED_VALUE"""),"Malbec con Merlot s/Asp")</f>
        <v>Malbec con Merlot s/Asp</v>
      </c>
      <c r="F191" s="2">
        <f ca="1">IFERROR(__xludf.DUMMYFUNCTION("""COMPUTED_VALUE"""),31000)</f>
        <v>31000</v>
      </c>
      <c r="G191" s="2">
        <f ca="1">IFERROR(__xludf.DUMMYFUNCTION("""COMPUTED_VALUE"""),114)</f>
        <v>114</v>
      </c>
      <c r="H191" s="2" t="str">
        <f ca="1">IFERROR(__xludf.DUMMYFUNCTION("""COMPUTED_VALUE"""),"6341d7bb")</f>
        <v>6341d7bb</v>
      </c>
      <c r="I191" s="2" t="str">
        <f ca="1">IFERROR(__xludf.DUMMYFUNCTION("""COMPUTED_VALUE"""),"Merlot s/Asp")</f>
        <v>Merlot s/Asp</v>
      </c>
      <c r="J191" s="2">
        <f ca="1">IFERROR(__xludf.DUMMYFUNCTION("""COMPUTED_VALUE"""),7800)</f>
        <v>7800</v>
      </c>
      <c r="K191" s="2">
        <f ca="1">IFERROR(__xludf.DUMMYFUNCTION("""COMPUTED_VALUE"""),38800)</f>
        <v>38800</v>
      </c>
      <c r="L191" s="2" t="str">
        <f ca="1">IFERROR(__xludf.DUMMYFUNCTION("""COMPUTED_VALUE"""),"dd0fd20d")</f>
        <v>dd0fd20d</v>
      </c>
      <c r="M191" s="2" t="str">
        <f ca="1">IFERROR(__xludf.DUMMYFUNCTION("""COMPUTED_VALUE"""),"Syrah")</f>
        <v>Syrah</v>
      </c>
      <c r="N191" s="2"/>
      <c r="O191" s="2" t="str">
        <f ca="1">IFERROR(__xludf.DUMMYFUNCTION("""COMPUTED_VALUE"""),"Descubada")</f>
        <v>Descubada</v>
      </c>
      <c r="P191" s="2" t="str">
        <f ca="1">IFERROR(__xludf.DUMMYFUNCTION("""COMPUTED_VALUE"""),"Descubada")</f>
        <v>Descubada</v>
      </c>
      <c r="Q191" s="2" t="b">
        <f ca="1">IFERROR(__xludf.DUMMYFUNCTION("""COMPUTED_VALUE"""),TRUE)</f>
        <v>1</v>
      </c>
      <c r="R191" s="2" t="str">
        <f ca="1">IFERROR(__xludf.DUMMYFUNCTION("""COMPUTED_VALUE"""),"1er Trasiego")</f>
        <v>1er Trasiego</v>
      </c>
      <c r="S191" s="2"/>
      <c r="T191" s="2"/>
      <c r="U191" s="2"/>
    </row>
    <row r="192" spans="1:21" x14ac:dyDescent="0.25">
      <c r="A192" s="2" t="str">
        <f ca="1">IFERROR(__xludf.DUMMYFUNCTION("""COMPUTED_VALUE"""),"e494aaf4")</f>
        <v>e494aaf4</v>
      </c>
      <c r="B192" s="3">
        <f ca="1">IFERROR(__xludf.DUMMYFUNCTION("""COMPUTED_VALUE"""),45734.6742708333)</f>
        <v>45734.674270833297</v>
      </c>
      <c r="C192" s="2" t="str">
        <f ca="1">IFERROR(__xludf.DUMMYFUNCTION("""COMPUTED_VALUE"""),"9446c412")</f>
        <v>9446c412</v>
      </c>
      <c r="D192" s="2">
        <f ca="1">IFERROR(__xludf.DUMMYFUNCTION("""COMPUTED_VALUE"""),108)</f>
        <v>108</v>
      </c>
      <c r="E192" s="2" t="str">
        <f ca="1">IFERROR(__xludf.DUMMYFUNCTION("""COMPUTED_VALUE"""),"Syrah Merlot s/Asp Gota")</f>
        <v>Syrah Merlot s/Asp Gota</v>
      </c>
      <c r="F192" s="2">
        <f ca="1">IFERROR(__xludf.DUMMYFUNCTION("""COMPUTED_VALUE"""),31000)</f>
        <v>31000</v>
      </c>
      <c r="G192" s="2">
        <f ca="1">IFERROR(__xludf.DUMMYFUNCTION("""COMPUTED_VALUE"""),114)</f>
        <v>114</v>
      </c>
      <c r="H192" s="2" t="str">
        <f ca="1">IFERROR(__xludf.DUMMYFUNCTION("""COMPUTED_VALUE"""),"dd0fd20d")</f>
        <v>dd0fd20d</v>
      </c>
      <c r="I192" s="2" t="str">
        <f ca="1">IFERROR(__xludf.DUMMYFUNCTION("""COMPUTED_VALUE"""),"Syrah")</f>
        <v>Syrah</v>
      </c>
      <c r="J192" s="2">
        <f ca="1">IFERROR(__xludf.DUMMYFUNCTION("""COMPUTED_VALUE"""),38800)</f>
        <v>38800</v>
      </c>
      <c r="K192" s="2">
        <f ca="1">IFERROR(__xludf.DUMMYFUNCTION("""COMPUTED_VALUE"""),69800)</f>
        <v>69800</v>
      </c>
      <c r="L192" s="2" t="str">
        <f ca="1">IFERROR(__xludf.DUMMYFUNCTION("""COMPUTED_VALUE"""),"69d6b7d4")</f>
        <v>69d6b7d4</v>
      </c>
      <c r="M192" s="2" t="str">
        <f ca="1">IFERROR(__xludf.DUMMYFUNCTION("""COMPUTED_VALUE"""),"Syrah")</f>
        <v>Syrah</v>
      </c>
      <c r="N192" s="2"/>
      <c r="O192" s="2" t="str">
        <f ca="1">IFERROR(__xludf.DUMMYFUNCTION("""COMPUTED_VALUE"""),"Descubada")</f>
        <v>Descubada</v>
      </c>
      <c r="P192" s="2" t="str">
        <f ca="1">IFERROR(__xludf.DUMMYFUNCTION("""COMPUTED_VALUE"""),"1er Trasiego")</f>
        <v>1er Trasiego</v>
      </c>
      <c r="Q192" s="2" t="b">
        <f ca="1">IFERROR(__xludf.DUMMYFUNCTION("""COMPUTED_VALUE"""),TRUE)</f>
        <v>1</v>
      </c>
      <c r="R192" s="2" t="str">
        <f ca="1">IFERROR(__xludf.DUMMYFUNCTION("""COMPUTED_VALUE"""),"1er Trasiego")</f>
        <v>1er Trasiego</v>
      </c>
      <c r="S192" s="2"/>
      <c r="T192" s="2"/>
      <c r="U192" s="2"/>
    </row>
    <row r="193" spans="1:21" x14ac:dyDescent="0.25">
      <c r="A193" s="2" t="str">
        <f ca="1">IFERROR(__xludf.DUMMYFUNCTION("""COMPUTED_VALUE"""),"94c4cc3c")</f>
        <v>94c4cc3c</v>
      </c>
      <c r="B193" s="3">
        <f ca="1">IFERROR(__xludf.DUMMYFUNCTION("""COMPUTED_VALUE"""),45734.6746527777)</f>
        <v>45734.6746527777</v>
      </c>
      <c r="C193" s="2" t="str">
        <f ca="1">IFERROR(__xludf.DUMMYFUNCTION("""COMPUTED_VALUE"""),"0d1b7f2c")</f>
        <v>0d1b7f2c</v>
      </c>
      <c r="D193" s="2">
        <f ca="1">IFERROR(__xludf.DUMMYFUNCTION("""COMPUTED_VALUE"""),109)</f>
        <v>109</v>
      </c>
      <c r="E193" s="2" t="str">
        <f ca="1">IFERROR(__xludf.DUMMYFUNCTION("""COMPUTED_VALUE"""),"Merlot s/Asp descube")</f>
        <v>Merlot s/Asp descube</v>
      </c>
      <c r="F193" s="2">
        <f ca="1">IFERROR(__xludf.DUMMYFUNCTION("""COMPUTED_VALUE"""),15600)</f>
        <v>15600</v>
      </c>
      <c r="G193" s="2">
        <f ca="1">IFERROR(__xludf.DUMMYFUNCTION("""COMPUTED_VALUE"""),114)</f>
        <v>114</v>
      </c>
      <c r="H193" s="2" t="str">
        <f ca="1">IFERROR(__xludf.DUMMYFUNCTION("""COMPUTED_VALUE"""),"69d6b7d4")</f>
        <v>69d6b7d4</v>
      </c>
      <c r="I193" s="2" t="str">
        <f ca="1">IFERROR(__xludf.DUMMYFUNCTION("""COMPUTED_VALUE"""),"Syrah")</f>
        <v>Syrah</v>
      </c>
      <c r="J193" s="2">
        <f ca="1">IFERROR(__xludf.DUMMYFUNCTION("""COMPUTED_VALUE"""),69800)</f>
        <v>69800</v>
      </c>
      <c r="K193" s="2">
        <f ca="1">IFERROR(__xludf.DUMMYFUNCTION("""COMPUTED_VALUE"""),85400)</f>
        <v>85400</v>
      </c>
      <c r="L193" s="2" t="str">
        <f ca="1">IFERROR(__xludf.DUMMYFUNCTION("""COMPUTED_VALUE"""),"f2f249ef")</f>
        <v>f2f249ef</v>
      </c>
      <c r="M193" s="2" t="str">
        <f ca="1">IFERROR(__xludf.DUMMYFUNCTION("""COMPUTED_VALUE"""),"Syrah")</f>
        <v>Syrah</v>
      </c>
      <c r="N193" s="2"/>
      <c r="O193" s="2" t="str">
        <f ca="1">IFERROR(__xludf.DUMMYFUNCTION("""COMPUTED_VALUE"""),"Descubada")</f>
        <v>Descubada</v>
      </c>
      <c r="P193" s="2" t="str">
        <f ca="1">IFERROR(__xludf.DUMMYFUNCTION("""COMPUTED_VALUE"""),"1er Trasiego")</f>
        <v>1er Trasiego</v>
      </c>
      <c r="Q193" s="2" t="b">
        <f ca="1">IFERROR(__xludf.DUMMYFUNCTION("""COMPUTED_VALUE"""),TRUE)</f>
        <v>1</v>
      </c>
      <c r="R193" s="2" t="str">
        <f ca="1">IFERROR(__xludf.DUMMYFUNCTION("""COMPUTED_VALUE"""),"1er Trasiego")</f>
        <v>1er Trasiego</v>
      </c>
      <c r="S193" s="2"/>
      <c r="T193" s="2"/>
      <c r="U193" s="2"/>
    </row>
    <row r="194" spans="1:21" x14ac:dyDescent="0.25">
      <c r="A194" s="2" t="str">
        <f ca="1">IFERROR(__xludf.DUMMYFUNCTION("""COMPUTED_VALUE"""),"a367c4f3")</f>
        <v>a367c4f3</v>
      </c>
      <c r="B194" s="3">
        <f ca="1">IFERROR(__xludf.DUMMYFUNCTION("""COMPUTED_VALUE"""),45734.675)</f>
        <v>45734.675000000003</v>
      </c>
      <c r="C194" s="2" t="str">
        <f ca="1">IFERROR(__xludf.DUMMYFUNCTION("""COMPUTED_VALUE"""),"7d922df1")</f>
        <v>7d922df1</v>
      </c>
      <c r="D194" s="2">
        <f ca="1">IFERROR(__xludf.DUMMYFUNCTION("""COMPUTED_VALUE"""),110)</f>
        <v>110</v>
      </c>
      <c r="E194" s="2" t="str">
        <f ca="1">IFERROR(__xludf.DUMMYFUNCTION("""COMPUTED_VALUE"""),"Syrah s/Asp 2da")</f>
        <v>Syrah s/Asp 2da</v>
      </c>
      <c r="F194" s="2">
        <f ca="1">IFERROR(__xludf.DUMMYFUNCTION("""COMPUTED_VALUE"""),15600)</f>
        <v>15600</v>
      </c>
      <c r="G194" s="2">
        <f ca="1">IFERROR(__xludf.DUMMYFUNCTION("""COMPUTED_VALUE"""),114)</f>
        <v>114</v>
      </c>
      <c r="H194" s="2" t="str">
        <f ca="1">IFERROR(__xludf.DUMMYFUNCTION("""COMPUTED_VALUE"""),"f2f249ef")</f>
        <v>f2f249ef</v>
      </c>
      <c r="I194" s="2" t="str">
        <f ca="1">IFERROR(__xludf.DUMMYFUNCTION("""COMPUTED_VALUE"""),"Syrah")</f>
        <v>Syrah</v>
      </c>
      <c r="J194" s="2">
        <f ca="1">IFERROR(__xludf.DUMMYFUNCTION("""COMPUTED_VALUE"""),85400)</f>
        <v>85400</v>
      </c>
      <c r="K194" s="2">
        <f ca="1">IFERROR(__xludf.DUMMYFUNCTION("""COMPUTED_VALUE"""),101000)</f>
        <v>101000</v>
      </c>
      <c r="L194" s="2" t="str">
        <f ca="1">IFERROR(__xludf.DUMMYFUNCTION("""COMPUTED_VALUE"""),"5c199eac")</f>
        <v>5c199eac</v>
      </c>
      <c r="M194" s="2" t="str">
        <f ca="1">IFERROR(__xludf.DUMMYFUNCTION("""COMPUTED_VALUE"""),"Syrah")</f>
        <v>Syrah</v>
      </c>
      <c r="N194" s="2"/>
      <c r="O194" s="2" t="str">
        <f ca="1">IFERROR(__xludf.DUMMYFUNCTION("""COMPUTED_VALUE"""),"Descubada")</f>
        <v>Descubada</v>
      </c>
      <c r="P194" s="2" t="str">
        <f ca="1">IFERROR(__xludf.DUMMYFUNCTION("""COMPUTED_VALUE"""),"1er Trasiego")</f>
        <v>1er Trasiego</v>
      </c>
      <c r="Q194" s="2" t="b">
        <f ca="1">IFERROR(__xludf.DUMMYFUNCTION("""COMPUTED_VALUE"""),TRUE)</f>
        <v>1</v>
      </c>
      <c r="R194" s="2" t="str">
        <f ca="1">IFERROR(__xludf.DUMMYFUNCTION("""COMPUTED_VALUE"""),"1er Trasiego")</f>
        <v>1er Trasiego</v>
      </c>
      <c r="S194" s="2"/>
      <c r="T194" s="2"/>
      <c r="U194" s="2"/>
    </row>
    <row r="195" spans="1:21" x14ac:dyDescent="0.25">
      <c r="A195" s="2" t="str">
        <f ca="1">IFERROR(__xludf.DUMMYFUNCTION("""COMPUTED_VALUE"""),"41f3b155")</f>
        <v>41f3b155</v>
      </c>
      <c r="B195" s="3">
        <f ca="1">IFERROR(__xludf.DUMMYFUNCTION("""COMPUTED_VALUE"""),45734.6757175925)</f>
        <v>45734.675717592501</v>
      </c>
      <c r="C195" s="2" t="str">
        <f ca="1">IFERROR(__xludf.DUMMYFUNCTION("""COMPUTED_VALUE"""),"5c199eac")</f>
        <v>5c199eac</v>
      </c>
      <c r="D195" s="2">
        <f ca="1">IFERROR(__xludf.DUMMYFUNCTION("""COMPUTED_VALUE"""),114)</f>
        <v>114</v>
      </c>
      <c r="E195" s="2" t="str">
        <f ca="1">IFERROR(__xludf.DUMMYFUNCTION("""COMPUTED_VALUE"""),"Syrah")</f>
        <v>Syrah</v>
      </c>
      <c r="F195" s="2">
        <f ca="1">IFERROR(__xludf.DUMMYFUNCTION("""COMPUTED_VALUE"""),2000)</f>
        <v>2000</v>
      </c>
      <c r="G195" s="2">
        <f ca="1">IFERROR(__xludf.DUMMYFUNCTION("""COMPUTED_VALUE"""),110)</f>
        <v>110</v>
      </c>
      <c r="H195" s="2"/>
      <c r="I195" s="2"/>
      <c r="J195" s="2">
        <f ca="1">IFERROR(__xludf.DUMMYFUNCTION("""COMPUTED_VALUE"""),0)</f>
        <v>0</v>
      </c>
      <c r="K195" s="2">
        <f ca="1">IFERROR(__xludf.DUMMYFUNCTION("""COMPUTED_VALUE"""),2000)</f>
        <v>2000</v>
      </c>
      <c r="L195" s="2" t="str">
        <f ca="1">IFERROR(__xludf.DUMMYFUNCTION("""COMPUTED_VALUE"""),"bd85e420")</f>
        <v>bd85e420</v>
      </c>
      <c r="M195" s="2" t="str">
        <f ca="1">IFERROR(__xludf.DUMMYFUNCTION("""COMPUTED_VALUE"""),"Borra")</f>
        <v>Borra</v>
      </c>
      <c r="N195" s="2"/>
      <c r="O195" s="2" t="str">
        <f ca="1">IFERROR(__xludf.DUMMYFUNCTION("""COMPUTED_VALUE"""),"1er Trasiego")</f>
        <v>1er Trasiego</v>
      </c>
      <c r="P195" s="2"/>
      <c r="Q195" s="2" t="b">
        <f ca="1">IFERROR(__xludf.DUMMYFUNCTION("""COMPUTED_VALUE"""),FALSE)</f>
        <v>0</v>
      </c>
      <c r="R195" s="2" t="str">
        <f ca="1">IFERROR(__xludf.DUMMYFUNCTION("""COMPUTED_VALUE"""),"1er Trasiego")</f>
        <v>1er Trasiego</v>
      </c>
      <c r="S195" s="2"/>
      <c r="T195" s="2"/>
      <c r="U195" s="2"/>
    </row>
    <row r="196" spans="1:21" x14ac:dyDescent="0.25">
      <c r="A196" s="2" t="str">
        <f ca="1">IFERROR(__xludf.DUMMYFUNCTION("""COMPUTED_VALUE"""),"5afde7bf")</f>
        <v>5afde7bf</v>
      </c>
      <c r="B196" s="3">
        <f ca="1">IFERROR(__xludf.DUMMYFUNCTION("""COMPUTED_VALUE"""),45735.5059027777)</f>
        <v>45735.505902777702</v>
      </c>
      <c r="C196" s="2" t="str">
        <f ca="1">IFERROR(__xludf.DUMMYFUNCTION("""COMPUTED_VALUE"""),"d53930ff")</f>
        <v>d53930ff</v>
      </c>
      <c r="D196" s="2">
        <f ca="1">IFERROR(__xludf.DUMMYFUNCTION("""COMPUTED_VALUE"""),150)</f>
        <v>150</v>
      </c>
      <c r="E196" s="2" t="str">
        <f ca="1">IFERROR(__xludf.DUMMYFUNCTION("""COMPUTED_VALUE"""),"Correccion")</f>
        <v>Correccion</v>
      </c>
      <c r="F196" s="2">
        <f ca="1">IFERROR(__xludf.DUMMYFUNCTION("""COMPUTED_VALUE"""),2500)</f>
        <v>2500</v>
      </c>
      <c r="G196" s="2">
        <f ca="1">IFERROR(__xludf.DUMMYFUNCTION("""COMPUTED_VALUE"""),86)</f>
        <v>86</v>
      </c>
      <c r="H196" s="2" t="str">
        <f ca="1">IFERROR(__xludf.DUMMYFUNCTION("""COMPUTED_VALUE"""),"ea43be80")</f>
        <v>ea43be80</v>
      </c>
      <c r="I196" s="2" t="str">
        <f ca="1">IFERROR(__xludf.DUMMYFUNCTION("""COMPUTED_VALUE"""),"Syrah")</f>
        <v>Syrah</v>
      </c>
      <c r="J196" s="2">
        <f ca="1">IFERROR(__xludf.DUMMYFUNCTION("""COMPUTED_VALUE"""),50000)</f>
        <v>50000</v>
      </c>
      <c r="K196" s="2">
        <f ca="1">IFERROR(__xludf.DUMMYFUNCTION("""COMPUTED_VALUE"""),52500)</f>
        <v>52500</v>
      </c>
      <c r="L196" s="2" t="str">
        <f ca="1">IFERROR(__xludf.DUMMYFUNCTION("""COMPUTED_VALUE"""),"26cfa504")</f>
        <v>26cfa504</v>
      </c>
      <c r="M196" s="2" t="str">
        <f ca="1">IFERROR(__xludf.DUMMYFUNCTION("""COMPUTED_VALUE"""),"Syrah")</f>
        <v>Syrah</v>
      </c>
      <c r="N196" s="2"/>
      <c r="O196" s="2" t="str">
        <f ca="1">IFERROR(__xludf.DUMMYFUNCTION("""COMPUTED_VALUE"""),"Terminado")</f>
        <v>Terminado</v>
      </c>
      <c r="P196" s="2" t="str">
        <f ca="1">IFERROR(__xludf.DUMMYFUNCTION("""COMPUTED_VALUE"""),"Fermentando")</f>
        <v>Fermentando</v>
      </c>
      <c r="Q196" s="2" t="b">
        <f ca="1">IFERROR(__xludf.DUMMYFUNCTION("""COMPUTED_VALUE"""),TRUE)</f>
        <v>1</v>
      </c>
      <c r="R196" s="2" t="str">
        <f ca="1">IFERROR(__xludf.DUMMYFUNCTION("""COMPUTED_VALUE"""),"Fermentando")</f>
        <v>Fermentando</v>
      </c>
      <c r="S196" s="2"/>
      <c r="T196" s="2"/>
      <c r="U196" s="2"/>
    </row>
    <row r="197" spans="1:21" x14ac:dyDescent="0.25">
      <c r="A197" s="2" t="str">
        <f ca="1">IFERROR(__xludf.DUMMYFUNCTION("""COMPUTED_VALUE"""),"0a94f3ea")</f>
        <v>0a94f3ea</v>
      </c>
      <c r="B197" s="3">
        <f ca="1">IFERROR(__xludf.DUMMYFUNCTION("""COMPUTED_VALUE"""),45735.5084722222)</f>
        <v>45735.508472222202</v>
      </c>
      <c r="C197" s="2" t="str">
        <f ca="1">IFERROR(__xludf.DUMMYFUNCTION("""COMPUTED_VALUE"""),"22dd4d8c")</f>
        <v>22dd4d8c</v>
      </c>
      <c r="D197" s="2">
        <f ca="1">IFERROR(__xludf.DUMMYFUNCTION("""COMPUTED_VALUE"""),84)</f>
        <v>84</v>
      </c>
      <c r="E197" s="2" t="str">
        <f ca="1">IFERROR(__xludf.DUMMYFUNCTION("""COMPUTED_VALUE"""),"Syrah")</f>
        <v>Syrah</v>
      </c>
      <c r="F197" s="2">
        <f ca="1">IFERROR(__xludf.DUMMYFUNCTION("""COMPUTED_VALUE"""),44600)</f>
        <v>44600</v>
      </c>
      <c r="G197" s="2">
        <f ca="1">IFERROR(__xludf.DUMMYFUNCTION("""COMPUTED_VALUE"""),116)</f>
        <v>116</v>
      </c>
      <c r="H197" s="2" t="str">
        <f ca="1">IFERROR(__xludf.DUMMYFUNCTION("""COMPUTED_VALUE"""),"4649003c")</f>
        <v>4649003c</v>
      </c>
      <c r="I197" s="2" t="str">
        <f ca="1">IFERROR(__xludf.DUMMYFUNCTION("""COMPUTED_VALUE"""),"Syrah")</f>
        <v>Syrah</v>
      </c>
      <c r="J197" s="2">
        <f ca="1">IFERROR(__xludf.DUMMYFUNCTION("""COMPUTED_VALUE"""),55000)</f>
        <v>55000</v>
      </c>
      <c r="K197" s="2">
        <f ca="1">IFERROR(__xludf.DUMMYFUNCTION("""COMPUTED_VALUE"""),99600)</f>
        <v>99600</v>
      </c>
      <c r="L197" s="2" t="str">
        <f ca="1">IFERROR(__xludf.DUMMYFUNCTION("""COMPUTED_VALUE"""),"d3910498")</f>
        <v>d3910498</v>
      </c>
      <c r="M197" s="2" t="str">
        <f ca="1">IFERROR(__xludf.DUMMYFUNCTION("""COMPUTED_VALUE"""),"Syrah")</f>
        <v>Syrah</v>
      </c>
      <c r="N197" s="2"/>
      <c r="O197" s="2" t="str">
        <f ca="1">IFERROR(__xludf.DUMMYFUNCTION("""COMPUTED_VALUE"""),"Fermentando")</f>
        <v>Fermentando</v>
      </c>
      <c r="P197" s="2" t="str">
        <f ca="1">IFERROR(__xludf.DUMMYFUNCTION("""COMPUTED_VALUE"""),"Descubada")</f>
        <v>Descubada</v>
      </c>
      <c r="Q197" s="2" t="b">
        <f ca="1">IFERROR(__xludf.DUMMYFUNCTION("""COMPUTED_VALUE"""),TRUE)</f>
        <v>1</v>
      </c>
      <c r="R197" s="2" t="str">
        <f ca="1">IFERROR(__xludf.DUMMYFUNCTION("""COMPUTED_VALUE"""),"Descubada")</f>
        <v>Descubada</v>
      </c>
      <c r="S197" s="2"/>
      <c r="T197" s="2"/>
      <c r="U197" s="2"/>
    </row>
    <row r="198" spans="1:21" x14ac:dyDescent="0.25">
      <c r="A198" s="2" t="str">
        <f ca="1">IFERROR(__xludf.DUMMYFUNCTION("""COMPUTED_VALUE"""),"1f3f4269")</f>
        <v>1f3f4269</v>
      </c>
      <c r="B198" s="3">
        <f ca="1">IFERROR(__xludf.DUMMYFUNCTION("""COMPUTED_VALUE"""),45735.5090625)</f>
        <v>45735.509062500001</v>
      </c>
      <c r="C198" s="2" t="str">
        <f ca="1">IFERROR(__xludf.DUMMYFUNCTION("""COMPUTED_VALUE"""),"22dd4d8c")</f>
        <v>22dd4d8c</v>
      </c>
      <c r="D198" s="2">
        <f ca="1">IFERROR(__xludf.DUMMYFUNCTION("""COMPUTED_VALUE"""),84)</f>
        <v>84</v>
      </c>
      <c r="E198" s="2" t="str">
        <f ca="1">IFERROR(__xludf.DUMMYFUNCTION("""COMPUTED_VALUE"""),"Syrah")</f>
        <v>Syrah</v>
      </c>
      <c r="F198" s="2">
        <f ca="1">IFERROR(__xludf.DUMMYFUNCTION("""COMPUTED_VALUE"""),7400)</f>
        <v>7400</v>
      </c>
      <c r="G198" s="2">
        <f ca="1">IFERROR(__xludf.DUMMYFUNCTION("""COMPUTED_VALUE"""),103)</f>
        <v>103</v>
      </c>
      <c r="H198" s="2"/>
      <c r="I198" s="2"/>
      <c r="J198" s="2">
        <f ca="1">IFERROR(__xludf.DUMMYFUNCTION("""COMPUTED_VALUE"""),0)</f>
        <v>0</v>
      </c>
      <c r="K198" s="2">
        <f ca="1">IFERROR(__xludf.DUMMYFUNCTION("""COMPUTED_VALUE"""),7400)</f>
        <v>7400</v>
      </c>
      <c r="L198" s="2" t="str">
        <f ca="1">IFERROR(__xludf.DUMMYFUNCTION("""COMPUTED_VALUE"""),"a3638ae6")</f>
        <v>a3638ae6</v>
      </c>
      <c r="M198" s="2" t="str">
        <f ca="1">IFERROR(__xludf.DUMMYFUNCTION("""COMPUTED_VALUE"""),"Syrah")</f>
        <v>Syrah</v>
      </c>
      <c r="N198" s="2" t="str">
        <f ca="1">IFERROR(__xludf.DUMMYFUNCTION("""COMPUTED_VALUE"""),"Descube gota y prensa")</f>
        <v>Descube gota y prensa</v>
      </c>
      <c r="O198" s="2" t="str">
        <f ca="1">IFERROR(__xludf.DUMMYFUNCTION("""COMPUTED_VALUE"""),"Fermentando")</f>
        <v>Fermentando</v>
      </c>
      <c r="P198" s="2"/>
      <c r="Q198" s="2" t="b">
        <f ca="1">IFERROR(__xludf.DUMMYFUNCTION("""COMPUTED_VALUE"""),FALSE)</f>
        <v>0</v>
      </c>
      <c r="R198" s="2" t="str">
        <f ca="1">IFERROR(__xludf.DUMMYFUNCTION("""COMPUTED_VALUE"""),"Descubada")</f>
        <v>Descubada</v>
      </c>
      <c r="S198" s="2"/>
      <c r="T198" s="2"/>
      <c r="U198" s="2"/>
    </row>
    <row r="199" spans="1:21" x14ac:dyDescent="0.25">
      <c r="A199" s="2" t="str">
        <f ca="1">IFERROR(__xludf.DUMMYFUNCTION("""COMPUTED_VALUE"""),"8b8612ca")</f>
        <v>8b8612ca</v>
      </c>
      <c r="B199" s="3">
        <f ca="1">IFERROR(__xludf.DUMMYFUNCTION("""COMPUTED_VALUE"""),45735.5102430555)</f>
        <v>45735.510243055498</v>
      </c>
      <c r="C199" s="2" t="str">
        <f ca="1">IFERROR(__xludf.DUMMYFUNCTION("""COMPUTED_VALUE"""),"83599ef4")</f>
        <v>83599ef4</v>
      </c>
      <c r="D199" s="2">
        <f ca="1">IFERROR(__xludf.DUMMYFUNCTION("""COMPUTED_VALUE"""),104)</f>
        <v>104</v>
      </c>
      <c r="E199" s="2" t="str">
        <f ca="1">IFERROR(__xludf.DUMMYFUNCTION("""COMPUTED_VALUE"""),"Malbec Gota")</f>
        <v>Malbec Gota</v>
      </c>
      <c r="F199" s="2">
        <f ca="1">IFERROR(__xludf.DUMMYFUNCTION("""COMPUTED_VALUE"""),1000)</f>
        <v>1000</v>
      </c>
      <c r="G199" s="2">
        <f ca="1">IFERROR(__xludf.DUMMYFUNCTION("""COMPUTED_VALUE"""),110)</f>
        <v>110</v>
      </c>
      <c r="H199" s="2" t="str">
        <f ca="1">IFERROR(__xludf.DUMMYFUNCTION("""COMPUTED_VALUE"""),"bd85e420")</f>
        <v>bd85e420</v>
      </c>
      <c r="I199" s="2" t="str">
        <f ca="1">IFERROR(__xludf.DUMMYFUNCTION("""COMPUTED_VALUE"""),"Borra")</f>
        <v>Borra</v>
      </c>
      <c r="J199" s="2">
        <f ca="1">IFERROR(__xludf.DUMMYFUNCTION("""COMPUTED_VALUE"""),2000)</f>
        <v>2000</v>
      </c>
      <c r="K199" s="2">
        <f ca="1">IFERROR(__xludf.DUMMYFUNCTION("""COMPUTED_VALUE"""),3000)</f>
        <v>3000</v>
      </c>
      <c r="L199" s="2" t="str">
        <f ca="1">IFERROR(__xludf.DUMMYFUNCTION("""COMPUTED_VALUE"""),"bf6d548a")</f>
        <v>bf6d548a</v>
      </c>
      <c r="M199" s="2" t="str">
        <f ca="1">IFERROR(__xludf.DUMMYFUNCTION("""COMPUTED_VALUE"""),"Borra")</f>
        <v>Borra</v>
      </c>
      <c r="N199" s="2"/>
      <c r="O199" s="2" t="str">
        <f ca="1">IFERROR(__xludf.DUMMYFUNCTION("""COMPUTED_VALUE"""),"Descubada")</f>
        <v>Descubada</v>
      </c>
      <c r="P199" s="2" t="str">
        <f ca="1">IFERROR(__xludf.DUMMYFUNCTION("""COMPUTED_VALUE"""),"1er Trasiego")</f>
        <v>1er Trasiego</v>
      </c>
      <c r="Q199" s="2" t="b">
        <f ca="1">IFERROR(__xludf.DUMMYFUNCTION("""COMPUTED_VALUE"""),TRUE)</f>
        <v>1</v>
      </c>
      <c r="R199" s="2" t="str">
        <f ca="1">IFERROR(__xludf.DUMMYFUNCTION("""COMPUTED_VALUE"""),"1er Trasiego")</f>
        <v>1er Trasiego</v>
      </c>
      <c r="S199" s="2"/>
      <c r="T199" s="2"/>
      <c r="U199" s="2"/>
    </row>
    <row r="200" spans="1:21" x14ac:dyDescent="0.25">
      <c r="A200" s="2" t="str">
        <f ca="1">IFERROR(__xludf.DUMMYFUNCTION("""COMPUTED_VALUE"""),"84d10532")</f>
        <v>84d10532</v>
      </c>
      <c r="B200" s="3">
        <f ca="1">IFERROR(__xludf.DUMMYFUNCTION("""COMPUTED_VALUE"""),45735.5108912037)</f>
        <v>45735.510891203703</v>
      </c>
      <c r="C200" s="2" t="str">
        <f ca="1">IFERROR(__xludf.DUMMYFUNCTION("""COMPUTED_VALUE"""),"4197a6b3")</f>
        <v>4197a6b3</v>
      </c>
      <c r="D200" s="2">
        <f ca="1">IFERROR(__xludf.DUMMYFUNCTION("""COMPUTED_VALUE"""),102)</f>
        <v>102</v>
      </c>
      <c r="E200" s="2" t="str">
        <f ca="1">IFERROR(__xludf.DUMMYFUNCTION("""COMPUTED_VALUE"""),"Tinto La Vendimia")</f>
        <v>Tinto La Vendimia</v>
      </c>
      <c r="F200" s="2"/>
      <c r="G200" s="2"/>
      <c r="H200" s="2"/>
      <c r="I200" s="2"/>
      <c r="J200" s="2"/>
      <c r="K200" s="2">
        <f ca="1">IFERROR(__xludf.DUMMYFUNCTION("""COMPUTED_VALUE"""),0)</f>
        <v>0</v>
      </c>
      <c r="L200" s="2" t="str">
        <f ca="1">IFERROR(__xludf.DUMMYFUNCTION("""COMPUTED_VALUE"""),"abf45035")</f>
        <v>abf45035</v>
      </c>
      <c r="M200" s="2" t="str">
        <f ca="1">IFERROR(__xludf.DUMMYFUNCTION("""COMPUTED_VALUE"""),"Tinto La Vendimia")</f>
        <v>Tinto La Vendimia</v>
      </c>
      <c r="N200" s="2" t="str">
        <f ca="1">IFERROR(__xludf.DUMMYFUNCTION("""COMPUTED_VALUE"""),"Traslado La Vendimia")</f>
        <v>Traslado La Vendimia</v>
      </c>
      <c r="O200" s="2" t="str">
        <f ca="1">IFERROR(__xludf.DUMMYFUNCTION("""COMPUTED_VALUE"""),"Terminado")</f>
        <v>Terminado</v>
      </c>
      <c r="P200" s="2"/>
      <c r="Q200" s="2" t="b">
        <f ca="1">IFERROR(__xludf.DUMMYFUNCTION("""COMPUTED_VALUE"""),FALSE)</f>
        <v>0</v>
      </c>
      <c r="R200" s="2" t="str">
        <f ca="1">IFERROR(__xludf.DUMMYFUNCTION("""COMPUTED_VALUE"""),"Traslado Venta")</f>
        <v>Traslado Venta</v>
      </c>
      <c r="S200" s="2"/>
      <c r="T200" s="2"/>
      <c r="U200" s="2"/>
    </row>
    <row r="201" spans="1:21" x14ac:dyDescent="0.25">
      <c r="A201" s="2" t="str">
        <f ca="1">IFERROR(__xludf.DUMMYFUNCTION("""COMPUTED_VALUE"""),"d9b9806d")</f>
        <v>d9b9806d</v>
      </c>
      <c r="B201" s="3">
        <f ca="1">IFERROR(__xludf.DUMMYFUNCTION("""COMPUTED_VALUE"""),45735.5141666666)</f>
        <v>45735.514166666602</v>
      </c>
      <c r="C201" s="2" t="str">
        <f ca="1">IFERROR(__xludf.DUMMYFUNCTION("""COMPUTED_VALUE"""),"4197a6b3")</f>
        <v>4197a6b3</v>
      </c>
      <c r="D201" s="2">
        <f ca="1">IFERROR(__xludf.DUMMYFUNCTION("""COMPUTED_VALUE"""),102)</f>
        <v>102</v>
      </c>
      <c r="E201" s="2" t="str">
        <f ca="1">IFERROR(__xludf.DUMMYFUNCTION("""COMPUTED_VALUE"""),"Tinto La Vendimia")</f>
        <v>Tinto La Vendimia</v>
      </c>
      <c r="F201" s="2">
        <f ca="1">IFERROR(__xludf.DUMMYFUNCTION("""COMPUTED_VALUE"""),29000)</f>
        <v>29000</v>
      </c>
      <c r="G201" s="2">
        <f ca="1">IFERROR(__xludf.DUMMYFUNCTION("""COMPUTED_VALUE"""),500)</f>
        <v>500</v>
      </c>
      <c r="H201" s="2"/>
      <c r="I201" s="2"/>
      <c r="J201" s="2">
        <f ca="1">IFERROR(__xludf.DUMMYFUNCTION("""COMPUTED_VALUE"""),0)</f>
        <v>0</v>
      </c>
      <c r="K201" s="2">
        <f ca="1">IFERROR(__xludf.DUMMYFUNCTION("""COMPUTED_VALUE"""),29000)</f>
        <v>29000</v>
      </c>
      <c r="L201" s="2" t="str">
        <f ca="1">IFERROR(__xludf.DUMMYFUNCTION("""COMPUTED_VALUE"""),"0f5a0357")</f>
        <v>0f5a0357</v>
      </c>
      <c r="M201" s="2" t="str">
        <f ca="1">IFERROR(__xludf.DUMMYFUNCTION("""COMPUTED_VALUE"""),"Tinto La Vendimia")</f>
        <v>Tinto La Vendimia</v>
      </c>
      <c r="N201" s="2"/>
      <c r="O201" s="2" t="str">
        <f ca="1">IFERROR(__xludf.DUMMYFUNCTION("""COMPUTED_VALUE"""),"Terminado")</f>
        <v>Terminado</v>
      </c>
      <c r="P201" s="2"/>
      <c r="Q201" s="2" t="b">
        <f ca="1">IFERROR(__xludf.DUMMYFUNCTION("""COMPUTED_VALUE"""),FALSE)</f>
        <v>0</v>
      </c>
      <c r="R201" s="2" t="str">
        <f ca="1">IFERROR(__xludf.DUMMYFUNCTION("""COMPUTED_VALUE"""),"Terminado")</f>
        <v>Terminado</v>
      </c>
      <c r="S201" s="2"/>
      <c r="T201" s="2"/>
      <c r="U201" s="2"/>
    </row>
    <row r="202" spans="1:21" x14ac:dyDescent="0.25">
      <c r="A202" s="2" t="str">
        <f ca="1">IFERROR(__xludf.DUMMYFUNCTION("""COMPUTED_VALUE"""),"587b9e6b")</f>
        <v>587b9e6b</v>
      </c>
      <c r="B202" s="3">
        <f ca="1">IFERROR(__xludf.DUMMYFUNCTION("""COMPUTED_VALUE"""),45735.5144907407)</f>
        <v>45735.514490740701</v>
      </c>
      <c r="C202" s="2" t="str">
        <f ca="1">IFERROR(__xludf.DUMMYFUNCTION("""COMPUTED_VALUE"""),"7b5d098a")</f>
        <v>7b5d098a</v>
      </c>
      <c r="D202" s="2">
        <f ca="1">IFERROR(__xludf.DUMMYFUNCTION("""COMPUTED_VALUE"""),95)</f>
        <v>95</v>
      </c>
      <c r="E202" s="2" t="str">
        <f ca="1">IFERROR(__xludf.DUMMYFUNCTION("""COMPUTED_VALUE"""),"Tinto La Vendimia")</f>
        <v>Tinto La Vendimia</v>
      </c>
      <c r="F202" s="2">
        <f ca="1">IFERROR(__xludf.DUMMYFUNCTION("""COMPUTED_VALUE"""),77100)</f>
        <v>77100</v>
      </c>
      <c r="G202" s="2">
        <f ca="1">IFERROR(__xludf.DUMMYFUNCTION("""COMPUTED_VALUE"""),500)</f>
        <v>500</v>
      </c>
      <c r="H202" s="2" t="str">
        <f ca="1">IFERROR(__xludf.DUMMYFUNCTION("""COMPUTED_VALUE"""),"0f5a0357")</f>
        <v>0f5a0357</v>
      </c>
      <c r="I202" s="2" t="str">
        <f ca="1">IFERROR(__xludf.DUMMYFUNCTION("""COMPUTED_VALUE"""),"Tinto La Vendimia")</f>
        <v>Tinto La Vendimia</v>
      </c>
      <c r="J202" s="2">
        <f ca="1">IFERROR(__xludf.DUMMYFUNCTION("""COMPUTED_VALUE"""),29000)</f>
        <v>29000</v>
      </c>
      <c r="K202" s="2">
        <f ca="1">IFERROR(__xludf.DUMMYFUNCTION("""COMPUTED_VALUE"""),106100)</f>
        <v>106100</v>
      </c>
      <c r="L202" s="2" t="str">
        <f ca="1">IFERROR(__xludf.DUMMYFUNCTION("""COMPUTED_VALUE"""),"6ca6737b")</f>
        <v>6ca6737b</v>
      </c>
      <c r="M202" s="2" t="str">
        <f ca="1">IFERROR(__xludf.DUMMYFUNCTION("""COMPUTED_VALUE"""),"Tinto La Vendimia")</f>
        <v>Tinto La Vendimia</v>
      </c>
      <c r="N202" s="2"/>
      <c r="O202" s="2" t="str">
        <f ca="1">IFERROR(__xludf.DUMMYFUNCTION("""COMPUTED_VALUE"""),"Terminado")</f>
        <v>Terminado</v>
      </c>
      <c r="P202" s="2" t="str">
        <f ca="1">IFERROR(__xludf.DUMMYFUNCTION("""COMPUTED_VALUE"""),"Terminado")</f>
        <v>Terminado</v>
      </c>
      <c r="Q202" s="2" t="b">
        <f ca="1">IFERROR(__xludf.DUMMYFUNCTION("""COMPUTED_VALUE"""),TRUE)</f>
        <v>1</v>
      </c>
      <c r="R202" s="2" t="str">
        <f ca="1">IFERROR(__xludf.DUMMYFUNCTION("""COMPUTED_VALUE"""),"Terminado")</f>
        <v>Terminado</v>
      </c>
      <c r="S202" s="2"/>
      <c r="T202" s="2"/>
      <c r="U202" s="2"/>
    </row>
    <row r="203" spans="1:21" x14ac:dyDescent="0.25">
      <c r="A203" s="2" t="str">
        <f ca="1">IFERROR(__xludf.DUMMYFUNCTION("""COMPUTED_VALUE"""),"663bed1a")</f>
        <v>663bed1a</v>
      </c>
      <c r="B203" s="3">
        <f ca="1">IFERROR(__xludf.DUMMYFUNCTION("""COMPUTED_VALUE"""),45735.5147916666)</f>
        <v>45735.514791666603</v>
      </c>
      <c r="C203" s="2" t="str">
        <f ca="1">IFERROR(__xludf.DUMMYFUNCTION("""COMPUTED_VALUE"""),"d65723e9")</f>
        <v>d65723e9</v>
      </c>
      <c r="D203" s="2">
        <f ca="1">IFERROR(__xludf.DUMMYFUNCTION("""COMPUTED_VALUE"""),25)</f>
        <v>25</v>
      </c>
      <c r="E203" s="2" t="str">
        <f ca="1">IFERROR(__xludf.DUMMYFUNCTION("""COMPUTED_VALUE"""),"Tinto La Vendimia")</f>
        <v>Tinto La Vendimia</v>
      </c>
      <c r="F203" s="2">
        <f ca="1">IFERROR(__xludf.DUMMYFUNCTION("""COMPUTED_VALUE"""),194300)</f>
        <v>194300</v>
      </c>
      <c r="G203" s="2">
        <f ca="1">IFERROR(__xludf.DUMMYFUNCTION("""COMPUTED_VALUE"""),500)</f>
        <v>500</v>
      </c>
      <c r="H203" s="2" t="str">
        <f ca="1">IFERROR(__xludf.DUMMYFUNCTION("""COMPUTED_VALUE"""),"6ca6737b")</f>
        <v>6ca6737b</v>
      </c>
      <c r="I203" s="2" t="str">
        <f ca="1">IFERROR(__xludf.DUMMYFUNCTION("""COMPUTED_VALUE"""),"Tinto La Vendimia")</f>
        <v>Tinto La Vendimia</v>
      </c>
      <c r="J203" s="2">
        <f ca="1">IFERROR(__xludf.DUMMYFUNCTION("""COMPUTED_VALUE"""),106100)</f>
        <v>106100</v>
      </c>
      <c r="K203" s="2">
        <f ca="1">IFERROR(__xludf.DUMMYFUNCTION("""COMPUTED_VALUE"""),300400)</f>
        <v>300400</v>
      </c>
      <c r="L203" s="2" t="str">
        <f ca="1">IFERROR(__xludf.DUMMYFUNCTION("""COMPUTED_VALUE"""),"a58181b8")</f>
        <v>a58181b8</v>
      </c>
      <c r="M203" s="2" t="str">
        <f ca="1">IFERROR(__xludf.DUMMYFUNCTION("""COMPUTED_VALUE"""),"Tinto La Vendimia")</f>
        <v>Tinto La Vendimia</v>
      </c>
      <c r="N203" s="2"/>
      <c r="O203" s="2" t="str">
        <f ca="1">IFERROR(__xludf.DUMMYFUNCTION("""COMPUTED_VALUE"""),"Terminado")</f>
        <v>Terminado</v>
      </c>
      <c r="P203" s="2" t="str">
        <f ca="1">IFERROR(__xludf.DUMMYFUNCTION("""COMPUTED_VALUE"""),"Terminado")</f>
        <v>Terminado</v>
      </c>
      <c r="Q203" s="2" t="b">
        <f ca="1">IFERROR(__xludf.DUMMYFUNCTION("""COMPUTED_VALUE"""),TRUE)</f>
        <v>1</v>
      </c>
      <c r="R203" s="2" t="str">
        <f ca="1">IFERROR(__xludf.DUMMYFUNCTION("""COMPUTED_VALUE"""),"Terminado")</f>
        <v>Terminado</v>
      </c>
      <c r="S203" s="2"/>
      <c r="T203" s="2"/>
      <c r="U203" s="2"/>
    </row>
    <row r="204" spans="1:21" x14ac:dyDescent="0.25">
      <c r="A204" s="2" t="str">
        <f ca="1">IFERROR(__xludf.DUMMYFUNCTION("""COMPUTED_VALUE"""),"d6c02f32")</f>
        <v>d6c02f32</v>
      </c>
      <c r="B204" s="3">
        <f ca="1">IFERROR(__xludf.DUMMYFUNCTION("""COMPUTED_VALUE"""),45735.5152199074)</f>
        <v>45735.5152199074</v>
      </c>
      <c r="C204" s="2" t="str">
        <f ca="1">IFERROR(__xludf.DUMMYFUNCTION("""COMPUTED_VALUE"""),"8e7dc827")</f>
        <v>8e7dc827</v>
      </c>
      <c r="D204" s="2">
        <f ca="1">IFERROR(__xludf.DUMMYFUNCTION("""COMPUTED_VALUE"""),24)</f>
        <v>24</v>
      </c>
      <c r="E204" s="2" t="str">
        <f ca="1">IFERROR(__xludf.DUMMYFUNCTION("""COMPUTED_VALUE"""),"Tinto La Vendimia")</f>
        <v>Tinto La Vendimia</v>
      </c>
      <c r="F204" s="2">
        <f ca="1">IFERROR(__xludf.DUMMYFUNCTION("""COMPUTED_VALUE"""),186600)</f>
        <v>186600</v>
      </c>
      <c r="G204" s="2">
        <f ca="1">IFERROR(__xludf.DUMMYFUNCTION("""COMPUTED_VALUE"""),500)</f>
        <v>500</v>
      </c>
      <c r="H204" s="2" t="str">
        <f ca="1">IFERROR(__xludf.DUMMYFUNCTION("""COMPUTED_VALUE"""),"a58181b8")</f>
        <v>a58181b8</v>
      </c>
      <c r="I204" s="2" t="str">
        <f ca="1">IFERROR(__xludf.DUMMYFUNCTION("""COMPUTED_VALUE"""),"Tinto La Vendimia")</f>
        <v>Tinto La Vendimia</v>
      </c>
      <c r="J204" s="2">
        <f ca="1">IFERROR(__xludf.DUMMYFUNCTION("""COMPUTED_VALUE"""),300400)</f>
        <v>300400</v>
      </c>
      <c r="K204" s="2">
        <f ca="1">IFERROR(__xludf.DUMMYFUNCTION("""COMPUTED_VALUE"""),487000)</f>
        <v>487000</v>
      </c>
      <c r="L204" s="2" t="str">
        <f ca="1">IFERROR(__xludf.DUMMYFUNCTION("""COMPUTED_VALUE"""),"5f1402b2")</f>
        <v>5f1402b2</v>
      </c>
      <c r="M204" s="2" t="str">
        <f ca="1">IFERROR(__xludf.DUMMYFUNCTION("""COMPUTED_VALUE"""),"Tinto La Vendimia")</f>
        <v>Tinto La Vendimia</v>
      </c>
      <c r="N204" s="2"/>
      <c r="O204" s="2" t="str">
        <f ca="1">IFERROR(__xludf.DUMMYFUNCTION("""COMPUTED_VALUE"""),"Terminado")</f>
        <v>Terminado</v>
      </c>
      <c r="P204" s="2" t="str">
        <f ca="1">IFERROR(__xludf.DUMMYFUNCTION("""COMPUTED_VALUE"""),"Terminado")</f>
        <v>Terminado</v>
      </c>
      <c r="Q204" s="2" t="b">
        <f ca="1">IFERROR(__xludf.DUMMYFUNCTION("""COMPUTED_VALUE"""),TRUE)</f>
        <v>1</v>
      </c>
      <c r="R204" s="2" t="str">
        <f ca="1">IFERROR(__xludf.DUMMYFUNCTION("""COMPUTED_VALUE"""),"Terminado")</f>
        <v>Terminado</v>
      </c>
      <c r="S204" s="2"/>
      <c r="T204" s="2"/>
      <c r="U204" s="2"/>
    </row>
    <row r="205" spans="1:21" x14ac:dyDescent="0.25">
      <c r="A205" s="2" t="str">
        <f ca="1">IFERROR(__xludf.DUMMYFUNCTION("""COMPUTED_VALUE"""),"f0bc7303")</f>
        <v>f0bc7303</v>
      </c>
      <c r="B205" s="3">
        <f ca="1">IFERROR(__xludf.DUMMYFUNCTION("""COMPUTED_VALUE"""),45735.6860879629)</f>
        <v>45735.686087962902</v>
      </c>
      <c r="C205" s="2" t="str">
        <f ca="1">IFERROR(__xludf.DUMMYFUNCTION("""COMPUTED_VALUE"""),"4a5cb789")</f>
        <v>4a5cb789</v>
      </c>
      <c r="D205" s="2">
        <f ca="1">IFERROR(__xludf.DUMMYFUNCTION("""COMPUTED_VALUE"""),54)</f>
        <v>54</v>
      </c>
      <c r="E205" s="2" t="str">
        <f ca="1">IFERROR(__xludf.DUMMYFUNCTION("""COMPUTED_VALUE"""),"Chardonnay 24 Rect")</f>
        <v>Chardonnay 24 Rect</v>
      </c>
      <c r="F205" s="2">
        <f ca="1">IFERROR(__xludf.DUMMYFUNCTION("""COMPUTED_VALUE"""),2860)</f>
        <v>2860</v>
      </c>
      <c r="G205" s="2">
        <f ca="1">IFERROR(__xludf.DUMMYFUNCTION("""COMPUTED_VALUE"""),79)</f>
        <v>79</v>
      </c>
      <c r="H205" s="2" t="str">
        <f ca="1">IFERROR(__xludf.DUMMYFUNCTION("""COMPUTED_VALUE"""),"98f429d0")</f>
        <v>98f429d0</v>
      </c>
      <c r="I205" s="2" t="str">
        <f ca="1">IFERROR(__xludf.DUMMYFUNCTION("""COMPUTED_VALUE"""),"Torrontes")</f>
        <v>Torrontes</v>
      </c>
      <c r="J205" s="2">
        <f ca="1">IFERROR(__xludf.DUMMYFUNCTION("""COMPUTED_VALUE"""),20000)</f>
        <v>20000</v>
      </c>
      <c r="K205" s="2">
        <f ca="1">IFERROR(__xludf.DUMMYFUNCTION("""COMPUTED_VALUE"""),22860)</f>
        <v>22860</v>
      </c>
      <c r="L205" s="2" t="str">
        <f ca="1">IFERROR(__xludf.DUMMYFUNCTION("""COMPUTED_VALUE"""),"a3cee476")</f>
        <v>a3cee476</v>
      </c>
      <c r="M205" s="2" t="str">
        <f ca="1">IFERROR(__xludf.DUMMYFUNCTION("""COMPUTED_VALUE"""),"Torrontes")</f>
        <v>Torrontes</v>
      </c>
      <c r="N205" s="2"/>
      <c r="O205" s="2" t="str">
        <f ca="1">IFERROR(__xludf.DUMMYFUNCTION("""COMPUTED_VALUE"""),"Rectificado")</f>
        <v>Rectificado</v>
      </c>
      <c r="P205" s="2" t="str">
        <f ca="1">IFERROR(__xludf.DUMMYFUNCTION("""COMPUTED_VALUE"""),"Fermentando")</f>
        <v>Fermentando</v>
      </c>
      <c r="Q205" s="2" t="b">
        <f ca="1">IFERROR(__xludf.DUMMYFUNCTION("""COMPUTED_VALUE"""),TRUE)</f>
        <v>1</v>
      </c>
      <c r="R205" s="2" t="str">
        <f ca="1">IFERROR(__xludf.DUMMYFUNCTION("""COMPUTED_VALUE"""),"Fermentando")</f>
        <v>Fermentando</v>
      </c>
      <c r="S205" s="2"/>
      <c r="T205" s="2"/>
      <c r="U205" s="2"/>
    </row>
    <row r="206" spans="1:21" x14ac:dyDescent="0.25">
      <c r="A206" s="2" t="str">
        <f ca="1">IFERROR(__xludf.DUMMYFUNCTION("""COMPUTED_VALUE"""),"e37ceda1")</f>
        <v>e37ceda1</v>
      </c>
      <c r="B206" s="3">
        <f ca="1">IFERROR(__xludf.DUMMYFUNCTION("""COMPUTED_VALUE"""),45735.8277662037)</f>
        <v>45735.8277662037</v>
      </c>
      <c r="C206" s="2" t="str">
        <f ca="1">IFERROR(__xludf.DUMMYFUNCTION("""COMPUTED_VALUE"""),"87ba9e1b")</f>
        <v>87ba9e1b</v>
      </c>
      <c r="D206" s="2">
        <f ca="1">IFERROR(__xludf.DUMMYFUNCTION("""COMPUTED_VALUE"""),66)</f>
        <v>66</v>
      </c>
      <c r="E206" s="2" t="str">
        <f ca="1">IFERROR(__xludf.DUMMYFUNCTION("""COMPUTED_VALUE"""),"Anccelotta")</f>
        <v>Anccelotta</v>
      </c>
      <c r="F206" s="2">
        <f ca="1">IFERROR(__xludf.DUMMYFUNCTION("""COMPUTED_VALUE"""),13000)</f>
        <v>13000</v>
      </c>
      <c r="G206" s="2">
        <f ca="1">IFERROR(__xludf.DUMMYFUNCTION("""COMPUTED_VALUE"""),103)</f>
        <v>103</v>
      </c>
      <c r="H206" s="2" t="str">
        <f ca="1">IFERROR(__xludf.DUMMYFUNCTION("""COMPUTED_VALUE"""),"a3638ae6")</f>
        <v>a3638ae6</v>
      </c>
      <c r="I206" s="2" t="str">
        <f ca="1">IFERROR(__xludf.DUMMYFUNCTION("""COMPUTED_VALUE"""),"Syrah")</f>
        <v>Syrah</v>
      </c>
      <c r="J206" s="2">
        <f ca="1">IFERROR(__xludf.DUMMYFUNCTION("""COMPUTED_VALUE"""),7400)</f>
        <v>7400</v>
      </c>
      <c r="K206" s="2">
        <f ca="1">IFERROR(__xludf.DUMMYFUNCTION("""COMPUTED_VALUE"""),20400)</f>
        <v>20400</v>
      </c>
      <c r="L206" s="2" t="str">
        <f ca="1">IFERROR(__xludf.DUMMYFUNCTION("""COMPUTED_VALUE"""),"8f28e62a")</f>
        <v>8f28e62a</v>
      </c>
      <c r="M206" s="2" t="str">
        <f ca="1">IFERROR(__xludf.DUMMYFUNCTION("""COMPUTED_VALUE"""),"Anccelotta")</f>
        <v>Anccelotta</v>
      </c>
      <c r="N206" s="2"/>
      <c r="O206" s="2" t="str">
        <f ca="1">IFERROR(__xludf.DUMMYFUNCTION("""COMPUTED_VALUE"""),"Fermentando")</f>
        <v>Fermentando</v>
      </c>
      <c r="P206" s="2" t="str">
        <f ca="1">IFERROR(__xludf.DUMMYFUNCTION("""COMPUTED_VALUE"""),"Descubada")</f>
        <v>Descubada</v>
      </c>
      <c r="Q206" s="2" t="b">
        <f ca="1">IFERROR(__xludf.DUMMYFUNCTION("""COMPUTED_VALUE"""),FALSE)</f>
        <v>0</v>
      </c>
      <c r="R206" s="2" t="str">
        <f ca="1">IFERROR(__xludf.DUMMYFUNCTION("""COMPUTED_VALUE"""),"Fermentando")</f>
        <v>Fermentando</v>
      </c>
      <c r="S206" s="2"/>
      <c r="T206" s="2"/>
      <c r="U206" s="2"/>
    </row>
    <row r="207" spans="1:21" x14ac:dyDescent="0.25">
      <c r="A207" s="2" t="str">
        <f ca="1">IFERROR(__xludf.DUMMYFUNCTION("""COMPUTED_VALUE"""),"9f984a23")</f>
        <v>9f984a23</v>
      </c>
      <c r="B207" s="3">
        <f ca="1">IFERROR(__xludf.DUMMYFUNCTION("""COMPUTED_VALUE"""),45736.3626157407)</f>
        <v>45736.362615740698</v>
      </c>
      <c r="C207" s="2" t="str">
        <f ca="1">IFERROR(__xludf.DUMMYFUNCTION("""COMPUTED_VALUE"""),"e2c3632b")</f>
        <v>e2c3632b</v>
      </c>
      <c r="D207" s="2">
        <f ca="1">IFERROR(__xludf.DUMMYFUNCTION("""COMPUTED_VALUE"""),82)</f>
        <v>82</v>
      </c>
      <c r="E207" s="2" t="str">
        <f ca="1">IFERROR(__xludf.DUMMYFUNCTION("""COMPUTED_VALUE"""),"Anccelotta")</f>
        <v>Anccelotta</v>
      </c>
      <c r="F207" s="2">
        <f ca="1">IFERROR(__xludf.DUMMYFUNCTION("""COMPUTED_VALUE"""),15600)</f>
        <v>15600</v>
      </c>
      <c r="G207" s="2">
        <f ca="1">IFERROR(__xludf.DUMMYFUNCTION("""COMPUTED_VALUE"""),103)</f>
        <v>103</v>
      </c>
      <c r="H207" s="2" t="str">
        <f ca="1">IFERROR(__xludf.DUMMYFUNCTION("""COMPUTED_VALUE"""),"8f28e62a")</f>
        <v>8f28e62a</v>
      </c>
      <c r="I207" s="2" t="str">
        <f ca="1">IFERROR(__xludf.DUMMYFUNCTION("""COMPUTED_VALUE"""),"Anccelotta")</f>
        <v>Anccelotta</v>
      </c>
      <c r="J207" s="2">
        <f ca="1">IFERROR(__xludf.DUMMYFUNCTION("""COMPUTED_VALUE"""),20400)</f>
        <v>20400</v>
      </c>
      <c r="K207" s="2">
        <f ca="1">IFERROR(__xludf.DUMMYFUNCTION("""COMPUTED_VALUE"""),36000)</f>
        <v>36000</v>
      </c>
      <c r="L207" s="2" t="str">
        <f ca="1">IFERROR(__xludf.DUMMYFUNCTION("""COMPUTED_VALUE"""),"a2ec7d6d")</f>
        <v>a2ec7d6d</v>
      </c>
      <c r="M207" s="2" t="str">
        <f ca="1">IFERROR(__xludf.DUMMYFUNCTION("""COMPUTED_VALUE"""),"Anccelotta")</f>
        <v>Anccelotta</v>
      </c>
      <c r="N207" s="2"/>
      <c r="O207" s="2" t="str">
        <f ca="1">IFERROR(__xludf.DUMMYFUNCTION("""COMPUTED_VALUE"""),"Fermentando")</f>
        <v>Fermentando</v>
      </c>
      <c r="P207" s="2" t="str">
        <f ca="1">IFERROR(__xludf.DUMMYFUNCTION("""COMPUTED_VALUE"""),"Descubada")</f>
        <v>Descubada</v>
      </c>
      <c r="Q207" s="2" t="b">
        <f ca="1">IFERROR(__xludf.DUMMYFUNCTION("""COMPUTED_VALUE"""),FALSE)</f>
        <v>0</v>
      </c>
      <c r="R207" s="2" t="str">
        <f ca="1">IFERROR(__xludf.DUMMYFUNCTION("""COMPUTED_VALUE"""),"Descubada")</f>
        <v>Descubada</v>
      </c>
      <c r="S207" s="2"/>
      <c r="T207" s="2"/>
      <c r="U207" s="2"/>
    </row>
    <row r="208" spans="1:21" x14ac:dyDescent="0.25">
      <c r="A208" s="2" t="str">
        <f ca="1">IFERROR(__xludf.DUMMYFUNCTION("""COMPUTED_VALUE"""),"e4f8039e")</f>
        <v>e4f8039e</v>
      </c>
      <c r="B208" s="3">
        <f ca="1">IFERROR(__xludf.DUMMYFUNCTION("""COMPUTED_VALUE"""),45736.3659722222)</f>
        <v>45736.3659722222</v>
      </c>
      <c r="C208" s="2" t="str">
        <f ca="1">IFERROR(__xludf.DUMMYFUNCTION("""COMPUTED_VALUE"""),"8f7c7c26")</f>
        <v>8f7c7c26</v>
      </c>
      <c r="D208" s="2">
        <f ca="1">IFERROR(__xludf.DUMMYFUNCTION("""COMPUTED_VALUE"""),84)</f>
        <v>84</v>
      </c>
      <c r="E208" s="2" t="str">
        <f ca="1">IFERROR(__xludf.DUMMYFUNCTION("""COMPUTED_VALUE"""),"Criolla")</f>
        <v>Criolla</v>
      </c>
      <c r="F208" s="2">
        <f ca="1">IFERROR(__xludf.DUMMYFUNCTION("""COMPUTED_VALUE"""),10000)</f>
        <v>10000</v>
      </c>
      <c r="G208" s="2">
        <f ca="1">IFERROR(__xludf.DUMMYFUNCTION("""COMPUTED_VALUE"""),66)</f>
        <v>66</v>
      </c>
      <c r="H208" s="2" t="str">
        <f ca="1">IFERROR(__xludf.DUMMYFUNCTION("""COMPUTED_VALUE"""),"87ba9e1b")</f>
        <v>87ba9e1b</v>
      </c>
      <c r="I208" s="2" t="str">
        <f ca="1">IFERROR(__xludf.DUMMYFUNCTION("""COMPUTED_VALUE"""),"Anccelotta")</f>
        <v>Anccelotta</v>
      </c>
      <c r="J208" s="2">
        <f ca="1">IFERROR(__xludf.DUMMYFUNCTION("""COMPUTED_VALUE"""),5000)</f>
        <v>5000</v>
      </c>
      <c r="K208" s="2">
        <f ca="1">IFERROR(__xludf.DUMMYFUNCTION("""COMPUTED_VALUE"""),15000)</f>
        <v>15000</v>
      </c>
      <c r="L208" s="2" t="str">
        <f ca="1">IFERROR(__xludf.DUMMYFUNCTION("""COMPUTED_VALUE"""),"2cca878f")</f>
        <v>2cca878f</v>
      </c>
      <c r="M208" s="2" t="str">
        <f ca="1">IFERROR(__xludf.DUMMYFUNCTION("""COMPUTED_VALUE"""),"Tinto Criolla Rec")</f>
        <v>Tinto Criolla Rec</v>
      </c>
      <c r="N208" s="2"/>
      <c r="O208" s="2" t="str">
        <f ca="1">IFERROR(__xludf.DUMMYFUNCTION("""COMPUTED_VALUE"""),"Fermentando")</f>
        <v>Fermentando</v>
      </c>
      <c r="P208" s="2" t="str">
        <f ca="1">IFERROR(__xludf.DUMMYFUNCTION("""COMPUTED_VALUE"""),"Fermentando")</f>
        <v>Fermentando</v>
      </c>
      <c r="Q208" s="2" t="b">
        <f ca="1">IFERROR(__xludf.DUMMYFUNCTION("""COMPUTED_VALUE"""),FALSE)</f>
        <v>0</v>
      </c>
      <c r="R208" s="2" t="str">
        <f ca="1">IFERROR(__xludf.DUMMYFUNCTION("""COMPUTED_VALUE"""),"Recarga Fermentando")</f>
        <v>Recarga Fermentando</v>
      </c>
      <c r="S208" s="2"/>
      <c r="T208" s="2"/>
      <c r="U208" s="2"/>
    </row>
    <row r="209" spans="1:21" x14ac:dyDescent="0.25">
      <c r="A209" s="2" t="str">
        <f ca="1">IFERROR(__xludf.DUMMYFUNCTION("""COMPUTED_VALUE"""),"4507e81f")</f>
        <v>4507e81f</v>
      </c>
      <c r="B209" s="3">
        <f ca="1">IFERROR(__xludf.DUMMYFUNCTION("""COMPUTED_VALUE"""),45736.3673263888)</f>
        <v>45736.367326388798</v>
      </c>
      <c r="C209" s="2" t="str">
        <f ca="1">IFERROR(__xludf.DUMMYFUNCTION("""COMPUTED_VALUE"""),"8f7c7c26")</f>
        <v>8f7c7c26</v>
      </c>
      <c r="D209" s="2">
        <f ca="1">IFERROR(__xludf.DUMMYFUNCTION("""COMPUTED_VALUE"""),84)</f>
        <v>84</v>
      </c>
      <c r="E209" s="2" t="str">
        <f ca="1">IFERROR(__xludf.DUMMYFUNCTION("""COMPUTED_VALUE"""),"Criolla")</f>
        <v>Criolla</v>
      </c>
      <c r="F209" s="2">
        <f ca="1">IFERROR(__xludf.DUMMYFUNCTION("""COMPUTED_VALUE"""),28200)</f>
        <v>28200</v>
      </c>
      <c r="G209" s="2">
        <f ca="1">IFERROR(__xludf.DUMMYFUNCTION("""COMPUTED_VALUE"""),82)</f>
        <v>82</v>
      </c>
      <c r="H209" s="2" t="str">
        <f ca="1">IFERROR(__xludf.DUMMYFUNCTION("""COMPUTED_VALUE"""),"e2c3632b")</f>
        <v>e2c3632b</v>
      </c>
      <c r="I209" s="2" t="str">
        <f ca="1">IFERROR(__xludf.DUMMYFUNCTION("""COMPUTED_VALUE"""),"Anccelotta")</f>
        <v>Anccelotta</v>
      </c>
      <c r="J209" s="2">
        <f ca="1">IFERROR(__xludf.DUMMYFUNCTION("""COMPUTED_VALUE"""),4400)</f>
        <v>4400</v>
      </c>
      <c r="K209" s="2">
        <f ca="1">IFERROR(__xludf.DUMMYFUNCTION("""COMPUTED_VALUE"""),32600)</f>
        <v>32600</v>
      </c>
      <c r="L209" s="2" t="str">
        <f ca="1">IFERROR(__xludf.DUMMYFUNCTION("""COMPUTED_VALUE"""),"538b2389")</f>
        <v>538b2389</v>
      </c>
      <c r="M209" s="2" t="str">
        <f ca="1">IFERROR(__xludf.DUMMYFUNCTION("""COMPUTED_VALUE"""),"Tinto Criolla Rec")</f>
        <v>Tinto Criolla Rec</v>
      </c>
      <c r="N209" s="2"/>
      <c r="O209" s="2" t="str">
        <f ca="1">IFERROR(__xludf.DUMMYFUNCTION("""COMPUTED_VALUE"""),"Fermentando")</f>
        <v>Fermentando</v>
      </c>
      <c r="P209" s="2" t="str">
        <f ca="1">IFERROR(__xludf.DUMMYFUNCTION("""COMPUTED_VALUE"""),"Fermentando")</f>
        <v>Fermentando</v>
      </c>
      <c r="Q209" s="2" t="b">
        <f ca="1">IFERROR(__xludf.DUMMYFUNCTION("""COMPUTED_VALUE"""),FALSE)</f>
        <v>0</v>
      </c>
      <c r="R209" s="2" t="str">
        <f ca="1">IFERROR(__xludf.DUMMYFUNCTION("""COMPUTED_VALUE"""),"Recarga Fermentando")</f>
        <v>Recarga Fermentando</v>
      </c>
      <c r="S209" s="2"/>
      <c r="T209" s="2"/>
      <c r="U209" s="2"/>
    </row>
    <row r="210" spans="1:21" x14ac:dyDescent="0.25">
      <c r="A210" s="2" t="str">
        <f ca="1">IFERROR(__xludf.DUMMYFUNCTION("""COMPUTED_VALUE"""),"918fe284")</f>
        <v>918fe284</v>
      </c>
      <c r="B210" s="3">
        <f ca="1">IFERROR(__xludf.DUMMYFUNCTION("""COMPUTED_VALUE"""),45736.4888310185)</f>
        <v>45736.488831018498</v>
      </c>
      <c r="C210" s="2" t="str">
        <f ca="1">IFERROR(__xludf.DUMMYFUNCTION("""COMPUTED_VALUE"""),"a2ec7d6d")</f>
        <v>a2ec7d6d</v>
      </c>
      <c r="D210" s="2">
        <f ca="1">IFERROR(__xludf.DUMMYFUNCTION("""COMPUTED_VALUE"""),103)</f>
        <v>103</v>
      </c>
      <c r="E210" s="2" t="str">
        <f ca="1">IFERROR(__xludf.DUMMYFUNCTION("""COMPUTED_VALUE"""),"Anccelotta")</f>
        <v>Anccelotta</v>
      </c>
      <c r="F210" s="2">
        <f ca="1">IFERROR(__xludf.DUMMYFUNCTION("""COMPUTED_VALUE"""),5000)</f>
        <v>5000</v>
      </c>
      <c r="G210" s="2">
        <f ca="1">IFERROR(__xludf.DUMMYFUNCTION("""COMPUTED_VALUE"""),500)</f>
        <v>500</v>
      </c>
      <c r="H210" s="2"/>
      <c r="I210" s="2"/>
      <c r="J210" s="2">
        <f ca="1">IFERROR(__xludf.DUMMYFUNCTION("""COMPUTED_VALUE"""),0)</f>
        <v>0</v>
      </c>
      <c r="K210" s="2">
        <f ca="1">IFERROR(__xludf.DUMMYFUNCTION("""COMPUTED_VALUE"""),5000)</f>
        <v>5000</v>
      </c>
      <c r="L210" s="2" t="str">
        <f ca="1">IFERROR(__xludf.DUMMYFUNCTION("""COMPUTED_VALUE"""),"805a5dd9")</f>
        <v>805a5dd9</v>
      </c>
      <c r="M210" s="2" t="str">
        <f ca="1">IFERROR(__xludf.DUMMYFUNCTION("""COMPUTED_VALUE"""),"Ajuste Volumen")</f>
        <v>Ajuste Volumen</v>
      </c>
      <c r="N210" s="2"/>
      <c r="O210" s="2" t="str">
        <f ca="1">IFERROR(__xludf.DUMMYFUNCTION("""COMPUTED_VALUE"""),"Descubada")</f>
        <v>Descubada</v>
      </c>
      <c r="P210" s="2"/>
      <c r="Q210" s="2" t="b">
        <f ca="1">IFERROR(__xludf.DUMMYFUNCTION("""COMPUTED_VALUE"""),TRUE)</f>
        <v>1</v>
      </c>
      <c r="R210" s="2"/>
      <c r="S210" s="2"/>
      <c r="T210" s="2"/>
      <c r="U210" s="2"/>
    </row>
    <row r="211" spans="1:21" x14ac:dyDescent="0.25">
      <c r="A211" s="2" t="str">
        <f ca="1">IFERROR(__xludf.DUMMYFUNCTION("""COMPUTED_VALUE"""),"7cab11c5")</f>
        <v>7cab11c5</v>
      </c>
      <c r="B211" s="3">
        <f ca="1">IFERROR(__xludf.DUMMYFUNCTION("""COMPUTED_VALUE"""),45736.7812037037)</f>
        <v>45736.7812037037</v>
      </c>
      <c r="C211" s="2" t="str">
        <f ca="1">IFERROR(__xludf.DUMMYFUNCTION("""COMPUTED_VALUE"""),"b01eee66")</f>
        <v>b01eee66</v>
      </c>
      <c r="D211" s="2">
        <f ca="1">IFERROR(__xludf.DUMMYFUNCTION("""COMPUTED_VALUE"""),52)</f>
        <v>52</v>
      </c>
      <c r="E211" s="2" t="str">
        <f ca="1">IFERROR(__xludf.DUMMYFUNCTION("""COMPUTED_VALUE"""),"Syrah")</f>
        <v>Syrah</v>
      </c>
      <c r="F211" s="2">
        <f ca="1">IFERROR(__xludf.DUMMYFUNCTION("""COMPUTED_VALUE"""),26300)</f>
        <v>26300</v>
      </c>
      <c r="G211" s="2">
        <f ca="1">IFERROR(__xludf.DUMMYFUNCTION("""COMPUTED_VALUE"""),114)</f>
        <v>114</v>
      </c>
      <c r="H211" s="2" t="str">
        <f ca="1">IFERROR(__xludf.DUMMYFUNCTION("""COMPUTED_VALUE"""),"5c199eac")</f>
        <v>5c199eac</v>
      </c>
      <c r="I211" s="2" t="str">
        <f ca="1">IFERROR(__xludf.DUMMYFUNCTION("""COMPUTED_VALUE"""),"Syrah")</f>
        <v>Syrah</v>
      </c>
      <c r="J211" s="2">
        <f ca="1">IFERROR(__xludf.DUMMYFUNCTION("""COMPUTED_VALUE"""),99000)</f>
        <v>99000</v>
      </c>
      <c r="K211" s="2">
        <f ca="1">IFERROR(__xludf.DUMMYFUNCTION("""COMPUTED_VALUE"""),125300)</f>
        <v>125300</v>
      </c>
      <c r="L211" s="2" t="str">
        <f ca="1">IFERROR(__xludf.DUMMYFUNCTION("""COMPUTED_VALUE"""),"e53d4606")</f>
        <v>e53d4606</v>
      </c>
      <c r="M211" s="2" t="str">
        <f ca="1">IFERROR(__xludf.DUMMYFUNCTION("""COMPUTED_VALUE"""),"Syrah")</f>
        <v>Syrah</v>
      </c>
      <c r="N211" s="2"/>
      <c r="O211" s="2" t="str">
        <f ca="1">IFERROR(__xludf.DUMMYFUNCTION("""COMPUTED_VALUE"""),"Descubada")</f>
        <v>Descubada</v>
      </c>
      <c r="P211" s="2" t="str">
        <f ca="1">IFERROR(__xludf.DUMMYFUNCTION("""COMPUTED_VALUE"""),"1er Trasiego")</f>
        <v>1er Trasiego</v>
      </c>
      <c r="Q211" s="2" t="b">
        <f ca="1">IFERROR(__xludf.DUMMYFUNCTION("""COMPUTED_VALUE"""),TRUE)</f>
        <v>1</v>
      </c>
      <c r="R211" s="2" t="str">
        <f ca="1">IFERROR(__xludf.DUMMYFUNCTION("""COMPUTED_VALUE"""),"1er Trasiego")</f>
        <v>1er Trasiego</v>
      </c>
      <c r="S211" s="2"/>
      <c r="T211" s="2"/>
      <c r="U211" s="2"/>
    </row>
    <row r="212" spans="1:21" x14ac:dyDescent="0.25">
      <c r="A212" s="2" t="str">
        <f ca="1">IFERROR(__xludf.DUMMYFUNCTION("""COMPUTED_VALUE"""),"adc0f6de")</f>
        <v>adc0f6de</v>
      </c>
      <c r="B212" s="3">
        <f ca="1">IFERROR(__xludf.DUMMYFUNCTION("""COMPUTED_VALUE"""),45736.781724537)</f>
        <v>45736.781724537002</v>
      </c>
      <c r="C212" s="2" t="str">
        <f ca="1">IFERROR(__xludf.DUMMYFUNCTION("""COMPUTED_VALUE"""),"b01eee66")</f>
        <v>b01eee66</v>
      </c>
      <c r="D212" s="2">
        <f ca="1">IFERROR(__xludf.DUMMYFUNCTION("""COMPUTED_VALUE"""),52)</f>
        <v>52</v>
      </c>
      <c r="E212" s="2" t="str">
        <f ca="1">IFERROR(__xludf.DUMMYFUNCTION("""COMPUTED_VALUE"""),"Syrah")</f>
        <v>Syrah</v>
      </c>
      <c r="F212" s="2">
        <f ca="1">IFERROR(__xludf.DUMMYFUNCTION("""COMPUTED_VALUE"""),700)</f>
        <v>700</v>
      </c>
      <c r="G212" s="2">
        <f ca="1">IFERROR(__xludf.DUMMYFUNCTION("""COMPUTED_VALUE"""),104)</f>
        <v>104</v>
      </c>
      <c r="H212" s="2"/>
      <c r="I212" s="2"/>
      <c r="J212" s="2">
        <f ca="1">IFERROR(__xludf.DUMMYFUNCTION("""COMPUTED_VALUE"""),0)</f>
        <v>0</v>
      </c>
      <c r="K212" s="2">
        <f ca="1">IFERROR(__xludf.DUMMYFUNCTION("""COMPUTED_VALUE"""),700)</f>
        <v>700</v>
      </c>
      <c r="L212" s="2" t="str">
        <f ca="1">IFERROR(__xludf.DUMMYFUNCTION("""COMPUTED_VALUE"""),"bb28f5a1")</f>
        <v>bb28f5a1</v>
      </c>
      <c r="M212" s="2" t="str">
        <f ca="1">IFERROR(__xludf.DUMMYFUNCTION("""COMPUTED_VALUE"""),"Syrah")</f>
        <v>Syrah</v>
      </c>
      <c r="N212" s="2"/>
      <c r="O212" s="2" t="str">
        <f ca="1">IFERROR(__xludf.DUMMYFUNCTION("""COMPUTED_VALUE"""),"Descubada")</f>
        <v>Descubada</v>
      </c>
      <c r="P212" s="2"/>
      <c r="Q212" s="2" t="b">
        <f ca="1">IFERROR(__xludf.DUMMYFUNCTION("""COMPUTED_VALUE"""),FALSE)</f>
        <v>0</v>
      </c>
      <c r="R212" s="2" t="str">
        <f ca="1">IFERROR(__xludf.DUMMYFUNCTION("""COMPUTED_VALUE"""),"1er Trasiego")</f>
        <v>1er Trasiego</v>
      </c>
      <c r="S212" s="2"/>
      <c r="T212" s="2"/>
      <c r="U212" s="2"/>
    </row>
    <row r="213" spans="1:21" x14ac:dyDescent="0.25">
      <c r="A213" s="2" t="str">
        <f ca="1">IFERROR(__xludf.DUMMYFUNCTION("""COMPUTED_VALUE"""),"cdca4e05")</f>
        <v>cdca4e05</v>
      </c>
      <c r="B213" s="3">
        <f ca="1">IFERROR(__xludf.DUMMYFUNCTION("""COMPUTED_VALUE"""),45736.7926851851)</f>
        <v>45736.792685185101</v>
      </c>
      <c r="C213" s="2" t="str">
        <f ca="1">IFERROR(__xludf.DUMMYFUNCTION("""COMPUTED_VALUE"""),"538b2389")</f>
        <v>538b2389</v>
      </c>
      <c r="D213" s="2">
        <f ca="1">IFERROR(__xludf.DUMMYFUNCTION("""COMPUTED_VALUE"""),82)</f>
        <v>82</v>
      </c>
      <c r="E213" s="2" t="str">
        <f ca="1">IFERROR(__xludf.DUMMYFUNCTION("""COMPUTED_VALUE"""),"Tinto Criolla Rec")</f>
        <v>Tinto Criolla Rec</v>
      </c>
      <c r="F213" s="2">
        <f ca="1">IFERROR(__xludf.DUMMYFUNCTION("""COMPUTED_VALUE"""),4000)</f>
        <v>4000</v>
      </c>
      <c r="G213" s="2">
        <f ca="1">IFERROR(__xludf.DUMMYFUNCTION("""COMPUTED_VALUE"""),12)</f>
        <v>12</v>
      </c>
      <c r="H213" s="2"/>
      <c r="I213" s="2"/>
      <c r="J213" s="2">
        <f ca="1">IFERROR(__xludf.DUMMYFUNCTION("""COMPUTED_VALUE"""),0)</f>
        <v>0</v>
      </c>
      <c r="K213" s="2">
        <f ca="1">IFERROR(__xludf.DUMMYFUNCTION("""COMPUTED_VALUE"""),4000)</f>
        <v>4000</v>
      </c>
      <c r="L213" s="2" t="str">
        <f ca="1">IFERROR(__xludf.DUMMYFUNCTION("""COMPUTED_VALUE"""),"00ec1fb2")</f>
        <v>00ec1fb2</v>
      </c>
      <c r="M213" s="2" t="str">
        <f ca="1">IFERROR(__xludf.DUMMYFUNCTION("""COMPUTED_VALUE"""),"Criolla Filtrada")</f>
        <v>Criolla Filtrada</v>
      </c>
      <c r="N213" s="2" t="str">
        <f ca="1">IFERROR(__xludf.DUMMYFUNCTION("""COMPUTED_VALUE"""),"Esto es mosto filtrado que no ha pasado por los orujos pero tiene el mismo origen de CIU de esta Criolla")</f>
        <v>Esto es mosto filtrado que no ha pasado por los orujos pero tiene el mismo origen de CIU de esta Criolla</v>
      </c>
      <c r="O213" s="2" t="str">
        <f ca="1">IFERROR(__xludf.DUMMYFUNCTION("""COMPUTED_VALUE"""),"Recarga Fermentando")</f>
        <v>Recarga Fermentando</v>
      </c>
      <c r="P213" s="2"/>
      <c r="Q213" s="2" t="b">
        <f ca="1">IFERROR(__xludf.DUMMYFUNCTION("""COMPUTED_VALUE"""),FALSE)</f>
        <v>0</v>
      </c>
      <c r="R213" s="2" t="str">
        <f ca="1">IFERROR(__xludf.DUMMYFUNCTION("""COMPUTED_VALUE"""),"Fermentando")</f>
        <v>Fermentando</v>
      </c>
      <c r="S213" s="2"/>
      <c r="T213" s="2"/>
      <c r="U213" s="2"/>
    </row>
    <row r="214" spans="1:21" x14ac:dyDescent="0.25">
      <c r="A214" s="2" t="str">
        <f ca="1">IFERROR(__xludf.DUMMYFUNCTION("""COMPUTED_VALUE"""),"fbfb60b4")</f>
        <v>fbfb60b4</v>
      </c>
      <c r="B214" s="3">
        <f ca="1">IFERROR(__xludf.DUMMYFUNCTION("""COMPUTED_VALUE"""),45736.795162037)</f>
        <v>45736.795162037</v>
      </c>
      <c r="C214" s="2" t="str">
        <f ca="1">IFERROR(__xludf.DUMMYFUNCTION("""COMPUTED_VALUE"""),"87540dbb")</f>
        <v>87540dbb</v>
      </c>
      <c r="D214" s="2">
        <f ca="1">IFERROR(__xludf.DUMMYFUNCTION("""COMPUTED_VALUE"""),70)</f>
        <v>70</v>
      </c>
      <c r="E214" s="2" t="str">
        <f ca="1">IFERROR(__xludf.DUMMYFUNCTION("""COMPUTED_VALUE"""),"Tanat")</f>
        <v>Tanat</v>
      </c>
      <c r="F214" s="2">
        <f ca="1">IFERROR(__xludf.DUMMYFUNCTION("""COMPUTED_VALUE"""),4200)</f>
        <v>4200</v>
      </c>
      <c r="G214" s="2">
        <f ca="1">IFERROR(__xludf.DUMMYFUNCTION("""COMPUTED_VALUE"""),68)</f>
        <v>68</v>
      </c>
      <c r="H214" s="2"/>
      <c r="I214" s="2"/>
      <c r="J214" s="2">
        <f ca="1">IFERROR(__xludf.DUMMYFUNCTION("""COMPUTED_VALUE"""),0)</f>
        <v>0</v>
      </c>
      <c r="K214" s="2">
        <f ca="1">IFERROR(__xludf.DUMMYFUNCTION("""COMPUTED_VALUE"""),4200)</f>
        <v>4200</v>
      </c>
      <c r="L214" s="2" t="str">
        <f ca="1">IFERROR(__xludf.DUMMYFUNCTION("""COMPUTED_VALUE"""),"7c51cd7c")</f>
        <v>7c51cd7c</v>
      </c>
      <c r="M214" s="2" t="str">
        <f ca="1">IFERROR(__xludf.DUMMYFUNCTION("""COMPUTED_VALUE"""),"Tanat")</f>
        <v>Tanat</v>
      </c>
      <c r="N214" s="2"/>
      <c r="O214" s="2" t="str">
        <f ca="1">IFERROR(__xludf.DUMMYFUNCTION("""COMPUTED_VALUE"""),"Fermentando")</f>
        <v>Fermentando</v>
      </c>
      <c r="P214" s="2"/>
      <c r="Q214" s="2" t="b">
        <f ca="1">IFERROR(__xludf.DUMMYFUNCTION("""COMPUTED_VALUE"""),FALSE)</f>
        <v>0</v>
      </c>
      <c r="R214" s="2" t="str">
        <f ca="1">IFERROR(__xludf.DUMMYFUNCTION("""COMPUTED_VALUE"""),"Descubada")</f>
        <v>Descubada</v>
      </c>
      <c r="S214" s="2"/>
      <c r="T214" s="2"/>
      <c r="U214" s="2"/>
    </row>
    <row r="215" spans="1:21" x14ac:dyDescent="0.25">
      <c r="A215" s="2" t="str">
        <f ca="1">IFERROR(__xludf.DUMMYFUNCTION("""COMPUTED_VALUE"""),"9f719f13")</f>
        <v>9f719f13</v>
      </c>
      <c r="B215" s="3">
        <f ca="1">IFERROR(__xludf.DUMMYFUNCTION("""COMPUTED_VALUE"""),45736.7956712963)</f>
        <v>45736.795671296299</v>
      </c>
      <c r="C215" s="2" t="str">
        <f ca="1">IFERROR(__xludf.DUMMYFUNCTION("""COMPUTED_VALUE"""),"337ffa98")</f>
        <v>337ffa98</v>
      </c>
      <c r="D215" s="2">
        <f ca="1">IFERROR(__xludf.DUMMYFUNCTION("""COMPUTED_VALUE"""),78)</f>
        <v>78</v>
      </c>
      <c r="E215" s="2" t="str">
        <f ca="1">IFERROR(__xludf.DUMMYFUNCTION("""COMPUTED_VALUE"""),"Tanat")</f>
        <v>Tanat</v>
      </c>
      <c r="F215" s="2">
        <f ca="1">IFERROR(__xludf.DUMMYFUNCTION("""COMPUTED_VALUE"""),8800)</f>
        <v>8800</v>
      </c>
      <c r="G215" s="2">
        <f ca="1">IFERROR(__xludf.DUMMYFUNCTION("""COMPUTED_VALUE"""),68)</f>
        <v>68</v>
      </c>
      <c r="H215" s="2" t="str">
        <f ca="1">IFERROR(__xludf.DUMMYFUNCTION("""COMPUTED_VALUE"""),"7c51cd7c")</f>
        <v>7c51cd7c</v>
      </c>
      <c r="I215" s="2" t="str">
        <f ca="1">IFERROR(__xludf.DUMMYFUNCTION("""COMPUTED_VALUE"""),"Tanat")</f>
        <v>Tanat</v>
      </c>
      <c r="J215" s="2">
        <f ca="1">IFERROR(__xludf.DUMMYFUNCTION("""COMPUTED_VALUE"""),4200)</f>
        <v>4200</v>
      </c>
      <c r="K215" s="2">
        <f ca="1">IFERROR(__xludf.DUMMYFUNCTION("""COMPUTED_VALUE"""),13000)</f>
        <v>13000</v>
      </c>
      <c r="L215" s="2" t="str">
        <f ca="1">IFERROR(__xludf.DUMMYFUNCTION("""COMPUTED_VALUE"""),"e16bba1c")</f>
        <v>e16bba1c</v>
      </c>
      <c r="M215" s="2" t="str">
        <f ca="1">IFERROR(__xludf.DUMMYFUNCTION("""COMPUTED_VALUE"""),"Tanat")</f>
        <v>Tanat</v>
      </c>
      <c r="N215" s="2"/>
      <c r="O215" s="2" t="str">
        <f ca="1">IFERROR(__xludf.DUMMYFUNCTION("""COMPUTED_VALUE"""),"Fermentando")</f>
        <v>Fermentando</v>
      </c>
      <c r="P215" s="2" t="str">
        <f ca="1">IFERROR(__xludf.DUMMYFUNCTION("""COMPUTED_VALUE"""),"Descubada")</f>
        <v>Descubada</v>
      </c>
      <c r="Q215" s="2" t="b">
        <f ca="1">IFERROR(__xludf.DUMMYFUNCTION("""COMPUTED_VALUE"""),TRUE)</f>
        <v>1</v>
      </c>
      <c r="R215" s="2" t="str">
        <f ca="1">IFERROR(__xludf.DUMMYFUNCTION("""COMPUTED_VALUE"""),"Descubada")</f>
        <v>Descubada</v>
      </c>
      <c r="S215" s="2"/>
      <c r="T215" s="2"/>
      <c r="U215" s="2"/>
    </row>
    <row r="216" spans="1:21" x14ac:dyDescent="0.25">
      <c r="A216" s="2" t="str">
        <f ca="1">IFERROR(__xludf.DUMMYFUNCTION("""COMPUTED_VALUE"""),"0caa90c8")</f>
        <v>0caa90c8</v>
      </c>
      <c r="B216" s="3">
        <f ca="1">IFERROR(__xludf.DUMMYFUNCTION("""COMPUTED_VALUE"""),45736.7972685185)</f>
        <v>45736.797268518501</v>
      </c>
      <c r="C216" s="2" t="str">
        <f ca="1">IFERROR(__xludf.DUMMYFUNCTION("""COMPUTED_VALUE"""),"337ffa98")</f>
        <v>337ffa98</v>
      </c>
      <c r="D216" s="2">
        <f ca="1">IFERROR(__xludf.DUMMYFUNCTION("""COMPUTED_VALUE"""),78)</f>
        <v>78</v>
      </c>
      <c r="E216" s="2" t="str">
        <f ca="1">IFERROR(__xludf.DUMMYFUNCTION("""COMPUTED_VALUE"""),"Tanat")</f>
        <v>Tanat</v>
      </c>
      <c r="F216" s="2">
        <f ca="1">IFERROR(__xludf.DUMMYFUNCTION("""COMPUTED_VALUE"""),3800)</f>
        <v>3800</v>
      </c>
      <c r="G216" s="2">
        <f ca="1">IFERROR(__xludf.DUMMYFUNCTION("""COMPUTED_VALUE"""),51)</f>
        <v>51</v>
      </c>
      <c r="H216" s="2"/>
      <c r="I216" s="2"/>
      <c r="J216" s="2">
        <f ca="1">IFERROR(__xludf.DUMMYFUNCTION("""COMPUTED_VALUE"""),0)</f>
        <v>0</v>
      </c>
      <c r="K216" s="2">
        <f ca="1">IFERROR(__xludf.DUMMYFUNCTION("""COMPUTED_VALUE"""),3800)</f>
        <v>3800</v>
      </c>
      <c r="L216" s="2" t="str">
        <f ca="1">IFERROR(__xludf.DUMMYFUNCTION("""COMPUTED_VALUE"""),"0bebff1a")</f>
        <v>0bebff1a</v>
      </c>
      <c r="M216" s="2" t="str">
        <f ca="1">IFERROR(__xludf.DUMMYFUNCTION("""COMPUTED_VALUE"""),"Tanat")</f>
        <v>Tanat</v>
      </c>
      <c r="N216" s="2"/>
      <c r="O216" s="2" t="str">
        <f ca="1">IFERROR(__xludf.DUMMYFUNCTION("""COMPUTED_VALUE"""),"Fermentando")</f>
        <v>Fermentando</v>
      </c>
      <c r="P216" s="2"/>
      <c r="Q216" s="2" t="b">
        <f ca="1">IFERROR(__xludf.DUMMYFUNCTION("""COMPUTED_VALUE"""),FALSE)</f>
        <v>0</v>
      </c>
      <c r="R216" s="2" t="str">
        <f ca="1">IFERROR(__xludf.DUMMYFUNCTION("""COMPUTED_VALUE"""),"Descubada")</f>
        <v>Descubada</v>
      </c>
      <c r="S216" s="2"/>
      <c r="T216" s="2"/>
      <c r="U216" s="2"/>
    </row>
    <row r="217" spans="1:21" x14ac:dyDescent="0.25">
      <c r="A217" s="2" t="str">
        <f ca="1">IFERROR(__xludf.DUMMYFUNCTION("""COMPUTED_VALUE"""),"e1de3cb7")</f>
        <v>e1de3cb7</v>
      </c>
      <c r="B217" s="3">
        <f ca="1">IFERROR(__xludf.DUMMYFUNCTION("""COMPUTED_VALUE"""),45737.8190162037)</f>
        <v>45737.819016203699</v>
      </c>
      <c r="C217" s="2" t="str">
        <f ca="1">IFERROR(__xludf.DUMMYFUNCTION("""COMPUTED_VALUE"""),"b7799ff9")</f>
        <v>b7799ff9</v>
      </c>
      <c r="D217" s="2">
        <f ca="1">IFERROR(__xludf.DUMMYFUNCTION("""COMPUTED_VALUE"""),96)</f>
        <v>96</v>
      </c>
      <c r="E217" s="2" t="str">
        <f ca="1">IFERROR(__xludf.DUMMYFUNCTION("""COMPUTED_VALUE"""),"Tempranillo")</f>
        <v>Tempranillo</v>
      </c>
      <c r="F217" s="2">
        <f ca="1">IFERROR(__xludf.DUMMYFUNCTION("""COMPUTED_VALUE"""),30300)</f>
        <v>30300</v>
      </c>
      <c r="G217" s="2">
        <f ca="1">IFERROR(__xludf.DUMMYFUNCTION("""COMPUTED_VALUE"""),104)</f>
        <v>104</v>
      </c>
      <c r="H217" s="2" t="str">
        <f ca="1">IFERROR(__xludf.DUMMYFUNCTION("""COMPUTED_VALUE"""),"bb28f5a1")</f>
        <v>bb28f5a1</v>
      </c>
      <c r="I217" s="2" t="str">
        <f ca="1">IFERROR(__xludf.DUMMYFUNCTION("""COMPUTED_VALUE"""),"Syrah")</f>
        <v>Syrah</v>
      </c>
      <c r="J217" s="2">
        <f ca="1">IFERROR(__xludf.DUMMYFUNCTION("""COMPUTED_VALUE"""),700)</f>
        <v>700</v>
      </c>
      <c r="K217" s="2">
        <f ca="1">IFERROR(__xludf.DUMMYFUNCTION("""COMPUTED_VALUE"""),31000)</f>
        <v>31000</v>
      </c>
      <c r="L217" s="2" t="str">
        <f ca="1">IFERROR(__xludf.DUMMYFUNCTION("""COMPUTED_VALUE"""),"78caf863")</f>
        <v>78caf863</v>
      </c>
      <c r="M217" s="2" t="str">
        <f ca="1">IFERROR(__xludf.DUMMYFUNCTION("""COMPUTED_VALUE"""),"Tempranillo")</f>
        <v>Tempranillo</v>
      </c>
      <c r="N217" s="2"/>
      <c r="O217" s="2" t="str">
        <f ca="1">IFERROR(__xludf.DUMMYFUNCTION("""COMPUTED_VALUE"""),"Fermentando")</f>
        <v>Fermentando</v>
      </c>
      <c r="P217" s="2" t="str">
        <f ca="1">IFERROR(__xludf.DUMMYFUNCTION("""COMPUTED_VALUE"""),"1er Trasiego")</f>
        <v>1er Trasiego</v>
      </c>
      <c r="Q217" s="2" t="b">
        <f ca="1">IFERROR(__xludf.DUMMYFUNCTION("""COMPUTED_VALUE"""),FALSE)</f>
        <v>0</v>
      </c>
      <c r="R217" s="2" t="str">
        <f ca="1">IFERROR(__xludf.DUMMYFUNCTION("""COMPUTED_VALUE"""),"Fermentando")</f>
        <v>Fermentando</v>
      </c>
      <c r="S217" s="2"/>
      <c r="T217" s="2"/>
      <c r="U217" s="2"/>
    </row>
    <row r="218" spans="1:21" x14ac:dyDescent="0.25">
      <c r="A218" s="2" t="str">
        <f ca="1">IFERROR(__xludf.DUMMYFUNCTION("""COMPUTED_VALUE"""),"4d1542a4")</f>
        <v>4d1542a4</v>
      </c>
      <c r="B218" s="3">
        <f ca="1">IFERROR(__xludf.DUMMYFUNCTION("""COMPUTED_VALUE"""),45737.8198611111)</f>
        <v>45737.8198611111</v>
      </c>
      <c r="C218" s="2" t="str">
        <f ca="1">IFERROR(__xludf.DUMMYFUNCTION("""COMPUTED_VALUE"""),"b7799ff9")</f>
        <v>b7799ff9</v>
      </c>
      <c r="D218" s="2">
        <f ca="1">IFERROR(__xludf.DUMMYFUNCTION("""COMPUTED_VALUE"""),96)</f>
        <v>96</v>
      </c>
      <c r="E218" s="2" t="str">
        <f ca="1">IFERROR(__xludf.DUMMYFUNCTION("""COMPUTED_VALUE"""),"Tempranillo")</f>
        <v>Tempranillo</v>
      </c>
      <c r="F218" s="2">
        <f ca="1">IFERROR(__xludf.DUMMYFUNCTION("""COMPUTED_VALUE"""),6800)</f>
        <v>6800</v>
      </c>
      <c r="G218" s="2">
        <f ca="1">IFERROR(__xludf.DUMMYFUNCTION("""COMPUTED_VALUE"""),105)</f>
        <v>105</v>
      </c>
      <c r="H218" s="2"/>
      <c r="I218" s="2"/>
      <c r="J218" s="2">
        <f ca="1">IFERROR(__xludf.DUMMYFUNCTION("""COMPUTED_VALUE"""),0)</f>
        <v>0</v>
      </c>
      <c r="K218" s="2">
        <f ca="1">IFERROR(__xludf.DUMMYFUNCTION("""COMPUTED_VALUE"""),6800)</f>
        <v>6800</v>
      </c>
      <c r="L218" s="2" t="str">
        <f ca="1">IFERROR(__xludf.DUMMYFUNCTION("""COMPUTED_VALUE"""),"01572a41")</f>
        <v>01572a41</v>
      </c>
      <c r="M218" s="2" t="str">
        <f ca="1">IFERROR(__xludf.DUMMYFUNCTION("""COMPUTED_VALUE"""),"Tempranillo")</f>
        <v>Tempranillo</v>
      </c>
      <c r="N218" s="2"/>
      <c r="O218" s="2" t="str">
        <f ca="1">IFERROR(__xludf.DUMMYFUNCTION("""COMPUTED_VALUE"""),"Fermentando")</f>
        <v>Fermentando</v>
      </c>
      <c r="P218" s="2"/>
      <c r="Q218" s="2" t="b">
        <f ca="1">IFERROR(__xludf.DUMMYFUNCTION("""COMPUTED_VALUE"""),FALSE)</f>
        <v>0</v>
      </c>
      <c r="R218" s="2" t="str">
        <f ca="1">IFERROR(__xludf.DUMMYFUNCTION("""COMPUTED_VALUE"""),"Fermentando")</f>
        <v>Fermentando</v>
      </c>
      <c r="S218" s="2"/>
      <c r="T218" s="2"/>
      <c r="U218" s="2"/>
    </row>
    <row r="219" spans="1:21" x14ac:dyDescent="0.25">
      <c r="A219" s="2" t="str">
        <f ca="1">IFERROR(__xludf.DUMMYFUNCTION("""COMPUTED_VALUE"""),"6f77e05b")</f>
        <v>6f77e05b</v>
      </c>
      <c r="B219" s="3">
        <f ca="1">IFERROR(__xludf.DUMMYFUNCTION("""COMPUTED_VALUE"""),45737.8273032407)</f>
        <v>45737.827303240701</v>
      </c>
      <c r="C219" s="2" t="str">
        <f ca="1">IFERROR(__xludf.DUMMYFUNCTION("""COMPUTED_VALUE"""),"9c317849")</f>
        <v>9c317849</v>
      </c>
      <c r="D219" s="2">
        <f ca="1">IFERROR(__xludf.DUMMYFUNCTION("""COMPUTED_VALUE"""),69)</f>
        <v>69</v>
      </c>
      <c r="E219" s="2" t="str">
        <f ca="1">IFERROR(__xludf.DUMMYFUNCTION("""COMPUTED_VALUE"""),"Malbec")</f>
        <v>Malbec</v>
      </c>
      <c r="F219" s="2">
        <f ca="1">IFERROR(__xludf.DUMMYFUNCTION("""COMPUTED_VALUE"""),5600)</f>
        <v>5600</v>
      </c>
      <c r="G219" s="2">
        <f ca="1">IFERROR(__xludf.DUMMYFUNCTION("""COMPUTED_VALUE"""),70)</f>
        <v>70</v>
      </c>
      <c r="H219" s="2" t="str">
        <f ca="1">IFERROR(__xludf.DUMMYFUNCTION("""COMPUTED_VALUE"""),"87540dbb")</f>
        <v>87540dbb</v>
      </c>
      <c r="I219" s="2" t="str">
        <f ca="1">IFERROR(__xludf.DUMMYFUNCTION("""COMPUTED_VALUE"""),"Tanat")</f>
        <v>Tanat</v>
      </c>
      <c r="J219" s="2">
        <f ca="1">IFERROR(__xludf.DUMMYFUNCTION("""COMPUTED_VALUE"""),1800)</f>
        <v>1800</v>
      </c>
      <c r="K219" s="2">
        <f ca="1">IFERROR(__xludf.DUMMYFUNCTION("""COMPUTED_VALUE"""),7400)</f>
        <v>7400</v>
      </c>
      <c r="L219" s="2" t="str">
        <f ca="1">IFERROR(__xludf.DUMMYFUNCTION("""COMPUTED_VALUE"""),"0cf5d8ff")</f>
        <v>0cf5d8ff</v>
      </c>
      <c r="M219" s="2" t="str">
        <f ca="1">IFERROR(__xludf.DUMMYFUNCTION("""COMPUTED_VALUE"""),"Malbec")</f>
        <v>Malbec</v>
      </c>
      <c r="N219" s="2"/>
      <c r="O219" s="2" t="str">
        <f ca="1">IFERROR(__xludf.DUMMYFUNCTION("""COMPUTED_VALUE"""),"Fermentando")</f>
        <v>Fermentando</v>
      </c>
      <c r="P219" s="2" t="str">
        <f ca="1">IFERROR(__xludf.DUMMYFUNCTION("""COMPUTED_VALUE"""),"Fermentando")</f>
        <v>Fermentando</v>
      </c>
      <c r="Q219" s="2" t="b">
        <f ca="1">IFERROR(__xludf.DUMMYFUNCTION("""COMPUTED_VALUE"""),FALSE)</f>
        <v>0</v>
      </c>
      <c r="R219" s="2" t="str">
        <f ca="1">IFERROR(__xludf.DUMMYFUNCTION("""COMPUTED_VALUE"""),"Fermentando")</f>
        <v>Fermentando</v>
      </c>
      <c r="S219" s="2"/>
      <c r="T219" s="2"/>
      <c r="U219" s="2"/>
    </row>
    <row r="220" spans="1:21" x14ac:dyDescent="0.25">
      <c r="A220" s="2" t="str">
        <f ca="1">IFERROR(__xludf.DUMMYFUNCTION("""COMPUTED_VALUE"""),"77d87180")</f>
        <v>77d87180</v>
      </c>
      <c r="B220" s="3">
        <f ca="1">IFERROR(__xludf.DUMMYFUNCTION("""COMPUTED_VALUE"""),45737.852662037)</f>
        <v>45737.852662037003</v>
      </c>
      <c r="C220" s="2" t="str">
        <f ca="1">IFERROR(__xludf.DUMMYFUNCTION("""COMPUTED_VALUE"""),"00ec1fb2")</f>
        <v>00ec1fb2</v>
      </c>
      <c r="D220" s="2">
        <f ca="1">IFERROR(__xludf.DUMMYFUNCTION("""COMPUTED_VALUE"""),12)</f>
        <v>12</v>
      </c>
      <c r="E220" s="2" t="str">
        <f ca="1">IFERROR(__xludf.DUMMYFUNCTION("""COMPUTED_VALUE"""),"Criolla Filtrada")</f>
        <v>Criolla Filtrada</v>
      </c>
      <c r="F220" s="2">
        <f ca="1">IFERROR(__xludf.DUMMYFUNCTION("""COMPUTED_VALUE"""),4000)</f>
        <v>4000</v>
      </c>
      <c r="G220" s="2">
        <f ca="1">IFERROR(__xludf.DUMMYFUNCTION("""COMPUTED_VALUE"""),69)</f>
        <v>69</v>
      </c>
      <c r="H220" s="2" t="str">
        <f ca="1">IFERROR(__xludf.DUMMYFUNCTION("""COMPUTED_VALUE"""),"9c317849")</f>
        <v>9c317849</v>
      </c>
      <c r="I220" s="2" t="str">
        <f ca="1">IFERROR(__xludf.DUMMYFUNCTION("""COMPUTED_VALUE"""),"Malbec")</f>
        <v>Malbec</v>
      </c>
      <c r="J220" s="2">
        <f ca="1">IFERROR(__xludf.DUMMYFUNCTION("""COMPUTED_VALUE"""),2400)</f>
        <v>2400</v>
      </c>
      <c r="K220" s="2">
        <f ca="1">IFERROR(__xludf.DUMMYFUNCTION("""COMPUTED_VALUE"""),6400)</f>
        <v>6400</v>
      </c>
      <c r="L220" s="2" t="str">
        <f ca="1">IFERROR(__xludf.DUMMYFUNCTION("""COMPUTED_VALUE"""),"1640b5b7")</f>
        <v>1640b5b7</v>
      </c>
      <c r="M220" s="2" t="str">
        <f ca="1">IFERROR(__xludf.DUMMYFUNCTION("""COMPUTED_VALUE"""),"Tinto Criolla Recarga")</f>
        <v>Tinto Criolla Recarga</v>
      </c>
      <c r="N220" s="2"/>
      <c r="O220" s="2" t="str">
        <f ca="1">IFERROR(__xludf.DUMMYFUNCTION("""COMPUTED_VALUE"""),"Fermentando")</f>
        <v>Fermentando</v>
      </c>
      <c r="P220" s="2" t="str">
        <f ca="1">IFERROR(__xludf.DUMMYFUNCTION("""COMPUTED_VALUE"""),"Fermentando")</f>
        <v>Fermentando</v>
      </c>
      <c r="Q220" s="2" t="b">
        <f ca="1">IFERROR(__xludf.DUMMYFUNCTION("""COMPUTED_VALUE"""),FALSE)</f>
        <v>0</v>
      </c>
      <c r="R220" s="2" t="str">
        <f ca="1">IFERROR(__xludf.DUMMYFUNCTION("""COMPUTED_VALUE"""),"Recarga Fermentando")</f>
        <v>Recarga Fermentando</v>
      </c>
      <c r="S220" s="2"/>
      <c r="T220" s="2"/>
      <c r="U220" s="2"/>
    </row>
    <row r="221" spans="1:21" x14ac:dyDescent="0.25">
      <c r="A221" s="2" t="str">
        <f ca="1">IFERROR(__xludf.DUMMYFUNCTION("""COMPUTED_VALUE"""),"e3783178")</f>
        <v>e3783178</v>
      </c>
      <c r="B221" s="3">
        <f ca="1">IFERROR(__xludf.DUMMYFUNCTION("""COMPUTED_VALUE"""),45737.8543981481)</f>
        <v>45737.854398148098</v>
      </c>
      <c r="C221" s="2" t="str">
        <f ca="1">IFERROR(__xludf.DUMMYFUNCTION("""COMPUTED_VALUE"""),"d9821c78")</f>
        <v>d9821c78</v>
      </c>
      <c r="D221" s="2">
        <f ca="1">IFERROR(__xludf.DUMMYFUNCTION("""COMPUTED_VALUE"""),48)</f>
        <v>48</v>
      </c>
      <c r="E221" s="2" t="str">
        <f ca="1">IFERROR(__xludf.DUMMYFUNCTION("""COMPUTED_VALUE"""),"Bonarda 24 Rect")</f>
        <v>Bonarda 24 Rect</v>
      </c>
      <c r="F221" s="2">
        <f ca="1">IFERROR(__xludf.DUMMYFUNCTION("""COMPUTED_VALUE"""),8900)</f>
        <v>8900</v>
      </c>
      <c r="G221" s="2">
        <f ca="1">IFERROR(__xludf.DUMMYFUNCTION("""COMPUTED_VALUE"""),83)</f>
        <v>83</v>
      </c>
      <c r="H221" s="2" t="str">
        <f ca="1">IFERROR(__xludf.DUMMYFUNCTION("""COMPUTED_VALUE"""),"9d80dcac")</f>
        <v>9d80dcac</v>
      </c>
      <c r="I221" s="2" t="str">
        <f ca="1">IFERROR(__xludf.DUMMYFUNCTION("""COMPUTED_VALUE"""),"Bonarda")</f>
        <v>Bonarda</v>
      </c>
      <c r="J221" s="2">
        <f ca="1">IFERROR(__xludf.DUMMYFUNCTION("""COMPUTED_VALUE"""),38500)</f>
        <v>38500</v>
      </c>
      <c r="K221" s="2">
        <f ca="1">IFERROR(__xludf.DUMMYFUNCTION("""COMPUTED_VALUE"""),47400)</f>
        <v>47400</v>
      </c>
      <c r="L221" s="2" t="str">
        <f ca="1">IFERROR(__xludf.DUMMYFUNCTION("""COMPUTED_VALUE"""),"d007d867")</f>
        <v>d007d867</v>
      </c>
      <c r="M221" s="2" t="str">
        <f ca="1">IFERROR(__xludf.DUMMYFUNCTION("""COMPUTED_VALUE"""),"Bonarda")</f>
        <v>Bonarda</v>
      </c>
      <c r="N221" s="2"/>
      <c r="O221" s="2" t="str">
        <f ca="1">IFERROR(__xludf.DUMMYFUNCTION("""COMPUTED_VALUE"""),"Rectificado")</f>
        <v>Rectificado</v>
      </c>
      <c r="P221" s="2" t="str">
        <f ca="1">IFERROR(__xludf.DUMMYFUNCTION("""COMPUTED_VALUE"""),"Fermentando")</f>
        <v>Fermentando</v>
      </c>
      <c r="Q221" s="2" t="b">
        <f ca="1">IFERROR(__xludf.DUMMYFUNCTION("""COMPUTED_VALUE"""),TRUE)</f>
        <v>1</v>
      </c>
      <c r="R221" s="2" t="str">
        <f ca="1">IFERROR(__xludf.DUMMYFUNCTION("""COMPUTED_VALUE"""),"Fermentando")</f>
        <v>Fermentando</v>
      </c>
      <c r="S221" s="2"/>
      <c r="T221" s="2"/>
      <c r="U221" s="2"/>
    </row>
    <row r="222" spans="1:21" x14ac:dyDescent="0.25">
      <c r="A222" s="2" t="str">
        <f ca="1">IFERROR(__xludf.DUMMYFUNCTION("""COMPUTED_VALUE"""),"5629d0c2")</f>
        <v>5629d0c2</v>
      </c>
      <c r="B222" s="3">
        <f ca="1">IFERROR(__xludf.DUMMYFUNCTION("""COMPUTED_VALUE"""),45737.8664236111)</f>
        <v>45737.8664236111</v>
      </c>
      <c r="C222" s="2" t="str">
        <f ca="1">IFERROR(__xludf.DUMMYFUNCTION("""COMPUTED_VALUE"""),"d7576c4b")</f>
        <v>d7576c4b</v>
      </c>
      <c r="D222" s="2">
        <f ca="1">IFERROR(__xludf.DUMMYFUNCTION("""COMPUTED_VALUE"""),92)</f>
        <v>92</v>
      </c>
      <c r="E222" s="2" t="str">
        <f ca="1">IFERROR(__xludf.DUMMYFUNCTION("""COMPUTED_VALUE"""),"Criolla")</f>
        <v>Criolla</v>
      </c>
      <c r="F222" s="2">
        <f ca="1">IFERROR(__xludf.DUMMYFUNCTION("""COMPUTED_VALUE"""),7000)</f>
        <v>7000</v>
      </c>
      <c r="G222" s="2">
        <f ca="1">IFERROR(__xludf.DUMMYFUNCTION("""COMPUTED_VALUE"""),78)</f>
        <v>78</v>
      </c>
      <c r="H222" s="2" t="str">
        <f ca="1">IFERROR(__xludf.DUMMYFUNCTION("""COMPUTED_VALUE"""),"337ffa98")</f>
        <v>337ffa98</v>
      </c>
      <c r="I222" s="2" t="str">
        <f ca="1">IFERROR(__xludf.DUMMYFUNCTION("""COMPUTED_VALUE"""),"Tanat")</f>
        <v>Tanat</v>
      </c>
      <c r="J222" s="2">
        <f ca="1">IFERROR(__xludf.DUMMYFUNCTION("""COMPUTED_VALUE"""),5400)</f>
        <v>5400</v>
      </c>
      <c r="K222" s="2">
        <f ca="1">IFERROR(__xludf.DUMMYFUNCTION("""COMPUTED_VALUE"""),12400)</f>
        <v>12400</v>
      </c>
      <c r="L222" s="2" t="str">
        <f ca="1">IFERROR(__xludf.DUMMYFUNCTION("""COMPUTED_VALUE"""),"d7488996")</f>
        <v>d7488996</v>
      </c>
      <c r="M222" s="2" t="str">
        <f ca="1">IFERROR(__xludf.DUMMYFUNCTION("""COMPUTED_VALUE"""),"Tinto Recarga")</f>
        <v>Tinto Recarga</v>
      </c>
      <c r="N222" s="2"/>
      <c r="O222" s="2" t="str">
        <f ca="1">IFERROR(__xludf.DUMMYFUNCTION("""COMPUTED_VALUE"""),"Fermentando")</f>
        <v>Fermentando</v>
      </c>
      <c r="P222" s="2" t="str">
        <f ca="1">IFERROR(__xludf.DUMMYFUNCTION("""COMPUTED_VALUE"""),"Fermentando")</f>
        <v>Fermentando</v>
      </c>
      <c r="Q222" s="2" t="b">
        <f ca="1">IFERROR(__xludf.DUMMYFUNCTION("""COMPUTED_VALUE"""),FALSE)</f>
        <v>0</v>
      </c>
      <c r="R222" s="2" t="str">
        <f ca="1">IFERROR(__xludf.DUMMYFUNCTION("""COMPUTED_VALUE"""),"Recarga Fermentando")</f>
        <v>Recarga Fermentando</v>
      </c>
      <c r="S222" s="2"/>
      <c r="T222" s="2"/>
      <c r="U222" s="2"/>
    </row>
    <row r="223" spans="1:21" x14ac:dyDescent="0.25">
      <c r="A223" s="2" t="str">
        <f ca="1">IFERROR(__xludf.DUMMYFUNCTION("""COMPUTED_VALUE"""),"46e0c561")</f>
        <v>46e0c561</v>
      </c>
      <c r="B223" s="3">
        <f ca="1">IFERROR(__xludf.DUMMYFUNCTION("""COMPUTED_VALUE"""),45737.8676157407)</f>
        <v>45737.867615740703</v>
      </c>
      <c r="C223" s="2" t="str">
        <f ca="1">IFERROR(__xludf.DUMMYFUNCTION("""COMPUTED_VALUE"""),"d7576c4b")</f>
        <v>d7576c4b</v>
      </c>
      <c r="D223" s="2">
        <f ca="1">IFERROR(__xludf.DUMMYFUNCTION("""COMPUTED_VALUE"""),92)</f>
        <v>92</v>
      </c>
      <c r="E223" s="2" t="str">
        <f ca="1">IFERROR(__xludf.DUMMYFUNCTION("""COMPUTED_VALUE"""),"Criolla")</f>
        <v>Criolla</v>
      </c>
      <c r="F223" s="2">
        <f ca="1">IFERROR(__xludf.DUMMYFUNCTION("""COMPUTED_VALUE"""),23000)</f>
        <v>23000</v>
      </c>
      <c r="G223" s="2">
        <f ca="1">IFERROR(__xludf.DUMMYFUNCTION("""COMPUTED_VALUE"""),96)</f>
        <v>96</v>
      </c>
      <c r="H223" s="2" t="str">
        <f ca="1">IFERROR(__xludf.DUMMYFUNCTION("""COMPUTED_VALUE"""),"b7799ff9")</f>
        <v>b7799ff9</v>
      </c>
      <c r="I223" s="2" t="str">
        <f ca="1">IFERROR(__xludf.DUMMYFUNCTION("""COMPUTED_VALUE"""),"Tempranillo")</f>
        <v>Tempranillo</v>
      </c>
      <c r="J223" s="2">
        <f ca="1">IFERROR(__xludf.DUMMYFUNCTION("""COMPUTED_VALUE"""),16000)</f>
        <v>16000</v>
      </c>
      <c r="K223" s="2">
        <f ca="1">IFERROR(__xludf.DUMMYFUNCTION("""COMPUTED_VALUE"""),39000)</f>
        <v>39000</v>
      </c>
      <c r="L223" s="2" t="str">
        <f ca="1">IFERROR(__xludf.DUMMYFUNCTION("""COMPUTED_VALUE"""),"7b27f7a2")</f>
        <v>7b27f7a2</v>
      </c>
      <c r="M223" s="2" t="str">
        <f ca="1">IFERROR(__xludf.DUMMYFUNCTION("""COMPUTED_VALUE"""),"Tinto Recarga")</f>
        <v>Tinto Recarga</v>
      </c>
      <c r="N223" s="2"/>
      <c r="O223" s="2" t="str">
        <f ca="1">IFERROR(__xludf.DUMMYFUNCTION("""COMPUTED_VALUE"""),"Fermentando")</f>
        <v>Fermentando</v>
      </c>
      <c r="P223" s="2" t="str">
        <f ca="1">IFERROR(__xludf.DUMMYFUNCTION("""COMPUTED_VALUE"""),"Fermentando")</f>
        <v>Fermentando</v>
      </c>
      <c r="Q223" s="2" t="b">
        <f ca="1">IFERROR(__xludf.DUMMYFUNCTION("""COMPUTED_VALUE"""),FALSE)</f>
        <v>0</v>
      </c>
      <c r="R223" s="2" t="str">
        <f ca="1">IFERROR(__xludf.DUMMYFUNCTION("""COMPUTED_VALUE"""),"Recarga Fermentando")</f>
        <v>Recarga Fermentando</v>
      </c>
      <c r="S223" s="2"/>
      <c r="T223" s="2"/>
      <c r="U223" s="2"/>
    </row>
    <row r="224" spans="1:21" x14ac:dyDescent="0.25">
      <c r="A224" s="2" t="str">
        <f ca="1">IFERROR(__xludf.DUMMYFUNCTION("""COMPUTED_VALUE"""),"ca81df50")</f>
        <v>ca81df50</v>
      </c>
      <c r="B224" s="3">
        <f ca="1">IFERROR(__xludf.DUMMYFUNCTION("""COMPUTED_VALUE"""),45737.872824074)</f>
        <v>45737.872824074002</v>
      </c>
      <c r="C224" s="2" t="str">
        <f ca="1">IFERROR(__xludf.DUMMYFUNCTION("""COMPUTED_VALUE"""),"a9ae339e")</f>
        <v>a9ae339e</v>
      </c>
      <c r="D224" s="2">
        <f ca="1">IFERROR(__xludf.DUMMYFUNCTION("""COMPUTED_VALUE"""),49)</f>
        <v>49</v>
      </c>
      <c r="E224" s="2" t="str">
        <f ca="1">IFERROR(__xludf.DUMMYFUNCTION("""COMPUTED_VALUE"""),"Bonarda 24 Rect")</f>
        <v>Bonarda 24 Rect</v>
      </c>
      <c r="F224" s="2">
        <f ca="1">IFERROR(__xludf.DUMMYFUNCTION("""COMPUTED_VALUE"""),4000)</f>
        <v>4000</v>
      </c>
      <c r="G224" s="2">
        <f ca="1">IFERROR(__xludf.DUMMYFUNCTION("""COMPUTED_VALUE"""),67)</f>
        <v>67</v>
      </c>
      <c r="H224" s="2" t="str">
        <f ca="1">IFERROR(__xludf.DUMMYFUNCTION("""COMPUTED_VALUE"""),"c39e24cf")</f>
        <v>c39e24cf</v>
      </c>
      <c r="I224" s="2" t="str">
        <f ca="1">IFERROR(__xludf.DUMMYFUNCTION("""COMPUTED_VALUE"""),"Bonarda")</f>
        <v>Bonarda</v>
      </c>
      <c r="J224" s="2">
        <f ca="1">IFERROR(__xludf.DUMMYFUNCTION("""COMPUTED_VALUE"""),17100)</f>
        <v>17100</v>
      </c>
      <c r="K224" s="2">
        <f ca="1">IFERROR(__xludf.DUMMYFUNCTION("""COMPUTED_VALUE"""),21100)</f>
        <v>21100</v>
      </c>
      <c r="L224" s="2" t="str">
        <f ca="1">IFERROR(__xludf.DUMMYFUNCTION("""COMPUTED_VALUE"""),"730bdaa5")</f>
        <v>730bdaa5</v>
      </c>
      <c r="M224" s="2" t="str">
        <f ca="1">IFERROR(__xludf.DUMMYFUNCTION("""COMPUTED_VALUE"""),"Bonarda")</f>
        <v>Bonarda</v>
      </c>
      <c r="N224" s="2"/>
      <c r="O224" s="2" t="str">
        <f ca="1">IFERROR(__xludf.DUMMYFUNCTION("""COMPUTED_VALUE"""),"Rectificado")</f>
        <v>Rectificado</v>
      </c>
      <c r="P224" s="2" t="str">
        <f ca="1">IFERROR(__xludf.DUMMYFUNCTION("""COMPUTED_VALUE"""),"Fermentando")</f>
        <v>Fermentando</v>
      </c>
      <c r="Q224" s="2" t="b">
        <f ca="1">IFERROR(__xludf.DUMMYFUNCTION("""COMPUTED_VALUE"""),TRUE)</f>
        <v>1</v>
      </c>
      <c r="R224" s="2" t="str">
        <f ca="1">IFERROR(__xludf.DUMMYFUNCTION("""COMPUTED_VALUE"""),"Fermentando")</f>
        <v>Fermentando</v>
      </c>
      <c r="S224" s="2"/>
      <c r="T224" s="2"/>
      <c r="U224" s="2"/>
    </row>
    <row r="225" spans="1:21" x14ac:dyDescent="0.25">
      <c r="A225" s="2" t="str">
        <f ca="1">IFERROR(__xludf.DUMMYFUNCTION("""COMPUTED_VALUE"""),"a661d598")</f>
        <v>a661d598</v>
      </c>
      <c r="B225" s="3">
        <f ca="1">IFERROR(__xludf.DUMMYFUNCTION("""COMPUTED_VALUE"""),45737.8740277777)</f>
        <v>45737.874027777703</v>
      </c>
      <c r="C225" s="2" t="str">
        <f ca="1">IFERROR(__xludf.DUMMYFUNCTION("""COMPUTED_VALUE"""),"4a5cb789")</f>
        <v>4a5cb789</v>
      </c>
      <c r="D225" s="2">
        <f ca="1">IFERROR(__xludf.DUMMYFUNCTION("""COMPUTED_VALUE"""),54)</f>
        <v>54</v>
      </c>
      <c r="E225" s="2" t="str">
        <f ca="1">IFERROR(__xludf.DUMMYFUNCTION("""COMPUTED_VALUE"""),"Chardonnay 24 Rect")</f>
        <v>Chardonnay 24 Rect</v>
      </c>
      <c r="F225" s="2">
        <f ca="1">IFERROR(__xludf.DUMMYFUNCTION("""COMPUTED_VALUE"""),4200)</f>
        <v>4200</v>
      </c>
      <c r="G225" s="2">
        <f ca="1">IFERROR(__xludf.DUMMYFUNCTION("""COMPUTED_VALUE"""),65)</f>
        <v>65</v>
      </c>
      <c r="H225" s="2" t="str">
        <f ca="1">IFERROR(__xludf.DUMMYFUNCTION("""COMPUTED_VALUE"""),"c3e5d902")</f>
        <v>c3e5d902</v>
      </c>
      <c r="I225" s="2" t="str">
        <f ca="1">IFERROR(__xludf.DUMMYFUNCTION("""COMPUTED_VALUE"""),"Pedro Gimenez")</f>
        <v>Pedro Gimenez</v>
      </c>
      <c r="J225" s="2">
        <f ca="1">IFERROR(__xludf.DUMMYFUNCTION("""COMPUTED_VALUE"""),20800)</f>
        <v>20800</v>
      </c>
      <c r="K225" s="2">
        <f ca="1">IFERROR(__xludf.DUMMYFUNCTION("""COMPUTED_VALUE"""),25000)</f>
        <v>25000</v>
      </c>
      <c r="L225" s="2" t="str">
        <f ca="1">IFERROR(__xludf.DUMMYFUNCTION("""COMPUTED_VALUE"""),"b2ddb184")</f>
        <v>b2ddb184</v>
      </c>
      <c r="M225" s="2" t="str">
        <f ca="1">IFERROR(__xludf.DUMMYFUNCTION("""COMPUTED_VALUE"""),"Pedro Gimenez")</f>
        <v>Pedro Gimenez</v>
      </c>
      <c r="N225" s="2"/>
      <c r="O225" s="2" t="str">
        <f ca="1">IFERROR(__xludf.DUMMYFUNCTION("""COMPUTED_VALUE"""),"Rectificado")</f>
        <v>Rectificado</v>
      </c>
      <c r="P225" s="2" t="str">
        <f ca="1">IFERROR(__xludf.DUMMYFUNCTION("""COMPUTED_VALUE"""),"Fermentando")</f>
        <v>Fermentando</v>
      </c>
      <c r="Q225" s="2" t="b">
        <f ca="1">IFERROR(__xludf.DUMMYFUNCTION("""COMPUTED_VALUE"""),TRUE)</f>
        <v>1</v>
      </c>
      <c r="R225" s="2" t="str">
        <f ca="1">IFERROR(__xludf.DUMMYFUNCTION("""COMPUTED_VALUE"""),"Fermentando")</f>
        <v>Fermentando</v>
      </c>
      <c r="S225" s="2"/>
      <c r="T225" s="2"/>
      <c r="U225" s="2"/>
    </row>
    <row r="226" spans="1:21" x14ac:dyDescent="0.25">
      <c r="A226" s="2" t="str">
        <f ca="1">IFERROR(__xludf.DUMMYFUNCTION("""COMPUTED_VALUE"""),"e6a465c9")</f>
        <v>e6a465c9</v>
      </c>
      <c r="B226" s="3">
        <f ca="1">IFERROR(__xludf.DUMMYFUNCTION("""COMPUTED_VALUE"""),45738.8176736111)</f>
        <v>45738.817673611098</v>
      </c>
      <c r="C226" s="2" t="str">
        <f ca="1">IFERROR(__xludf.DUMMYFUNCTION("""COMPUTED_VALUE"""),"f3ecd42b")</f>
        <v>f3ecd42b</v>
      </c>
      <c r="D226" s="2">
        <f ca="1">IFERROR(__xludf.DUMMYFUNCTION("""COMPUTED_VALUE"""),91)</f>
        <v>91</v>
      </c>
      <c r="E226" s="2" t="str">
        <f ca="1">IFERROR(__xludf.DUMMYFUNCTION("""COMPUTED_VALUE"""),"Bonarda C2")</f>
        <v>Bonarda C2</v>
      </c>
      <c r="F226" s="2">
        <f ca="1">IFERROR(__xludf.DUMMYFUNCTION("""COMPUTED_VALUE"""),15600)</f>
        <v>15600</v>
      </c>
      <c r="G226" s="2">
        <f ca="1">IFERROR(__xludf.DUMMYFUNCTION("""COMPUTED_VALUE"""),109)</f>
        <v>109</v>
      </c>
      <c r="H226" s="2"/>
      <c r="I226" s="2"/>
      <c r="J226" s="2">
        <f ca="1">IFERROR(__xludf.DUMMYFUNCTION("""COMPUTED_VALUE"""),0)</f>
        <v>0</v>
      </c>
      <c r="K226" s="2">
        <f ca="1">IFERROR(__xludf.DUMMYFUNCTION("""COMPUTED_VALUE"""),15600)</f>
        <v>15600</v>
      </c>
      <c r="L226" s="2" t="str">
        <f ca="1">IFERROR(__xludf.DUMMYFUNCTION("""COMPUTED_VALUE"""),"33d70f3e")</f>
        <v>33d70f3e</v>
      </c>
      <c r="M226" s="2" t="str">
        <f ca="1">IFERROR(__xludf.DUMMYFUNCTION("""COMPUTED_VALUE"""),"Bonarda C2")</f>
        <v>Bonarda C2</v>
      </c>
      <c r="N226" s="2"/>
      <c r="O226" s="2" t="str">
        <f ca="1">IFERROR(__xludf.DUMMYFUNCTION("""COMPUTED_VALUE"""),"Fermentando")</f>
        <v>Fermentando</v>
      </c>
      <c r="P226" s="2"/>
      <c r="Q226" s="2" t="b">
        <f ca="1">IFERROR(__xludf.DUMMYFUNCTION("""COMPUTED_VALUE"""),FALSE)</f>
        <v>0</v>
      </c>
      <c r="R226" s="2" t="str">
        <f ca="1">IFERROR(__xludf.DUMMYFUNCTION("""COMPUTED_VALUE"""),"Descubada")</f>
        <v>Descubada</v>
      </c>
      <c r="S226" s="2"/>
      <c r="T226" s="2"/>
      <c r="U226" s="2"/>
    </row>
    <row r="227" spans="1:21" x14ac:dyDescent="0.25">
      <c r="A227" s="2" t="str">
        <f ca="1">IFERROR(__xludf.DUMMYFUNCTION("""COMPUTED_VALUE"""),"bf1ff1ff")</f>
        <v>bf1ff1ff</v>
      </c>
      <c r="B227" s="3">
        <f ca="1">IFERROR(__xludf.DUMMYFUNCTION("""COMPUTED_VALUE"""),45738.8190972222)</f>
        <v>45738.8190972222</v>
      </c>
      <c r="C227" s="2" t="str">
        <f ca="1">IFERROR(__xludf.DUMMYFUNCTION("""COMPUTED_VALUE"""),"f3ecd42b")</f>
        <v>f3ecd42b</v>
      </c>
      <c r="D227" s="2">
        <f ca="1">IFERROR(__xludf.DUMMYFUNCTION("""COMPUTED_VALUE"""),91)</f>
        <v>91</v>
      </c>
      <c r="E227" s="2" t="str">
        <f ca="1">IFERROR(__xludf.DUMMYFUNCTION("""COMPUTED_VALUE"""),"Bonarda C2")</f>
        <v>Bonarda C2</v>
      </c>
      <c r="F227" s="2">
        <f ca="1">IFERROR(__xludf.DUMMYFUNCTION("""COMPUTED_VALUE"""),31000)</f>
        <v>31000</v>
      </c>
      <c r="G227" s="2">
        <f ca="1">IFERROR(__xludf.DUMMYFUNCTION("""COMPUTED_VALUE"""),108)</f>
        <v>108</v>
      </c>
      <c r="H227" s="2"/>
      <c r="I227" s="2"/>
      <c r="J227" s="2">
        <f ca="1">IFERROR(__xludf.DUMMYFUNCTION("""COMPUTED_VALUE"""),0)</f>
        <v>0</v>
      </c>
      <c r="K227" s="2">
        <f ca="1">IFERROR(__xludf.DUMMYFUNCTION("""COMPUTED_VALUE"""),31000)</f>
        <v>31000</v>
      </c>
      <c r="L227" s="2" t="str">
        <f ca="1">IFERROR(__xludf.DUMMYFUNCTION("""COMPUTED_VALUE"""),"3907dbfc")</f>
        <v>3907dbfc</v>
      </c>
      <c r="M227" s="2" t="str">
        <f ca="1">IFERROR(__xludf.DUMMYFUNCTION("""COMPUTED_VALUE"""),"Bonarda C2")</f>
        <v>Bonarda C2</v>
      </c>
      <c r="N227" s="2"/>
      <c r="O227" s="2" t="str">
        <f ca="1">IFERROR(__xludf.DUMMYFUNCTION("""COMPUTED_VALUE"""),"Fermentando")</f>
        <v>Fermentando</v>
      </c>
      <c r="P227" s="2"/>
      <c r="Q227" s="2" t="b">
        <f ca="1">IFERROR(__xludf.DUMMYFUNCTION("""COMPUTED_VALUE"""),FALSE)</f>
        <v>0</v>
      </c>
      <c r="R227" s="2" t="str">
        <f ca="1">IFERROR(__xludf.DUMMYFUNCTION("""COMPUTED_VALUE"""),"Descubada")</f>
        <v>Descubada</v>
      </c>
      <c r="S227" s="2"/>
      <c r="T227" s="2"/>
      <c r="U227" s="2"/>
    </row>
    <row r="228" spans="1:21" x14ac:dyDescent="0.25">
      <c r="A228" s="2" t="str">
        <f ca="1">IFERROR(__xludf.DUMMYFUNCTION("""COMPUTED_VALUE"""),"e43180c6")</f>
        <v>e43180c6</v>
      </c>
      <c r="B228" s="3">
        <f ca="1">IFERROR(__xludf.DUMMYFUNCTION("""COMPUTED_VALUE"""),45738.8194791666)</f>
        <v>45738.819479166603</v>
      </c>
      <c r="C228" s="2" t="str">
        <f ca="1">IFERROR(__xludf.DUMMYFUNCTION("""COMPUTED_VALUE"""),"f3ecd42b")</f>
        <v>f3ecd42b</v>
      </c>
      <c r="D228" s="2">
        <f ca="1">IFERROR(__xludf.DUMMYFUNCTION("""COMPUTED_VALUE"""),91)</f>
        <v>91</v>
      </c>
      <c r="E228" s="2" t="str">
        <f ca="1">IFERROR(__xludf.DUMMYFUNCTION("""COMPUTED_VALUE"""),"Bonarda C2")</f>
        <v>Bonarda C2</v>
      </c>
      <c r="F228" s="2">
        <f ca="1">IFERROR(__xludf.DUMMYFUNCTION("""COMPUTED_VALUE"""),8400)</f>
        <v>8400</v>
      </c>
      <c r="G228" s="2">
        <f ca="1">IFERROR(__xludf.DUMMYFUNCTION("""COMPUTED_VALUE"""),107)</f>
        <v>107</v>
      </c>
      <c r="H228" s="2"/>
      <c r="I228" s="2"/>
      <c r="J228" s="2">
        <f ca="1">IFERROR(__xludf.DUMMYFUNCTION("""COMPUTED_VALUE"""),0)</f>
        <v>0</v>
      </c>
      <c r="K228" s="2">
        <f ca="1">IFERROR(__xludf.DUMMYFUNCTION("""COMPUTED_VALUE"""),8400)</f>
        <v>8400</v>
      </c>
      <c r="L228" s="2" t="str">
        <f ca="1">IFERROR(__xludf.DUMMYFUNCTION("""COMPUTED_VALUE"""),"c9e381e1")</f>
        <v>c9e381e1</v>
      </c>
      <c r="M228" s="2" t="str">
        <f ca="1">IFERROR(__xludf.DUMMYFUNCTION("""COMPUTED_VALUE"""),"Bonarda C2")</f>
        <v>Bonarda C2</v>
      </c>
      <c r="N228" s="2"/>
      <c r="O228" s="2" t="str">
        <f ca="1">IFERROR(__xludf.DUMMYFUNCTION("""COMPUTED_VALUE"""),"Fermentando")</f>
        <v>Fermentando</v>
      </c>
      <c r="P228" s="2"/>
      <c r="Q228" s="2" t="b">
        <f ca="1">IFERROR(__xludf.DUMMYFUNCTION("""COMPUTED_VALUE"""),FALSE)</f>
        <v>0</v>
      </c>
      <c r="R228" s="2" t="str">
        <f ca="1">IFERROR(__xludf.DUMMYFUNCTION("""COMPUTED_VALUE"""),"Descubada")</f>
        <v>Descubada</v>
      </c>
      <c r="S228" s="2"/>
      <c r="T228" s="2"/>
      <c r="U228" s="2"/>
    </row>
    <row r="229" spans="1:21" x14ac:dyDescent="0.25">
      <c r="A229" s="2" t="str">
        <f ca="1">IFERROR(__xludf.DUMMYFUNCTION("""COMPUTED_VALUE"""),"48c58e88")</f>
        <v>48c58e88</v>
      </c>
      <c r="B229" s="3">
        <f ca="1">IFERROR(__xludf.DUMMYFUNCTION("""COMPUTED_VALUE"""),45738.8215162037)</f>
        <v>45738.821516203701</v>
      </c>
      <c r="C229" s="2" t="str">
        <f ca="1">IFERROR(__xludf.DUMMYFUNCTION("""COMPUTED_VALUE"""),"de74d539")</f>
        <v>de74d539</v>
      </c>
      <c r="D229" s="2">
        <f ca="1">IFERROR(__xludf.DUMMYFUNCTION("""COMPUTED_VALUE"""),90)</f>
        <v>90</v>
      </c>
      <c r="E229" s="2" t="str">
        <f ca="1">IFERROR(__xludf.DUMMYFUNCTION("""COMPUTED_VALUE"""),"Ancellotta Tempranillo")</f>
        <v>Ancellotta Tempranillo</v>
      </c>
      <c r="F229" s="2">
        <f ca="1">IFERROR(__xludf.DUMMYFUNCTION("""COMPUTED_VALUE"""),24200)</f>
        <v>24200</v>
      </c>
      <c r="G229" s="2">
        <f ca="1">IFERROR(__xludf.DUMMYFUNCTION("""COMPUTED_VALUE"""),105)</f>
        <v>105</v>
      </c>
      <c r="H229" s="2" t="str">
        <f ca="1">IFERROR(__xludf.DUMMYFUNCTION("""COMPUTED_VALUE"""),"01572a41")</f>
        <v>01572a41</v>
      </c>
      <c r="I229" s="2" t="str">
        <f ca="1">IFERROR(__xludf.DUMMYFUNCTION("""COMPUTED_VALUE"""),"Tempranillo")</f>
        <v>Tempranillo</v>
      </c>
      <c r="J229" s="2">
        <f ca="1">IFERROR(__xludf.DUMMYFUNCTION("""COMPUTED_VALUE"""),6800)</f>
        <v>6800</v>
      </c>
      <c r="K229" s="2">
        <f ca="1">IFERROR(__xludf.DUMMYFUNCTION("""COMPUTED_VALUE"""),31000)</f>
        <v>31000</v>
      </c>
      <c r="L229" s="2" t="str">
        <f ca="1">IFERROR(__xludf.DUMMYFUNCTION("""COMPUTED_VALUE"""),"54d0d860")</f>
        <v>54d0d860</v>
      </c>
      <c r="M229" s="2" t="str">
        <f ca="1">IFERROR(__xludf.DUMMYFUNCTION("""COMPUTED_VALUE"""),"Ancellotta Tempranillo")</f>
        <v>Ancellotta Tempranillo</v>
      </c>
      <c r="N229" s="2"/>
      <c r="O229" s="2" t="str">
        <f ca="1">IFERROR(__xludf.DUMMYFUNCTION("""COMPUTED_VALUE"""),"Fermentando")</f>
        <v>Fermentando</v>
      </c>
      <c r="P229" s="2" t="str">
        <f ca="1">IFERROR(__xludf.DUMMYFUNCTION("""COMPUTED_VALUE"""),"Fermentando")</f>
        <v>Fermentando</v>
      </c>
      <c r="Q229" s="2" t="b">
        <f ca="1">IFERROR(__xludf.DUMMYFUNCTION("""COMPUTED_VALUE"""),FALSE)</f>
        <v>0</v>
      </c>
      <c r="R229" s="2" t="str">
        <f ca="1">IFERROR(__xludf.DUMMYFUNCTION("""COMPUTED_VALUE"""),"Descubada")</f>
        <v>Descubada</v>
      </c>
      <c r="S229" s="2"/>
      <c r="T229" s="2"/>
      <c r="U229" s="2"/>
    </row>
    <row r="230" spans="1:21" x14ac:dyDescent="0.25">
      <c r="A230" s="2" t="str">
        <f ca="1">IFERROR(__xludf.DUMMYFUNCTION("""COMPUTED_VALUE"""),"e300ee19")</f>
        <v>e300ee19</v>
      </c>
      <c r="B230" s="3">
        <f ca="1">IFERROR(__xludf.DUMMYFUNCTION("""COMPUTED_VALUE"""),45738.8226388888)</f>
        <v>45738.8226388888</v>
      </c>
      <c r="C230" s="2" t="str">
        <f ca="1">IFERROR(__xludf.DUMMYFUNCTION("""COMPUTED_VALUE"""),"de74d539")</f>
        <v>de74d539</v>
      </c>
      <c r="D230" s="2">
        <f ca="1">IFERROR(__xludf.DUMMYFUNCTION("""COMPUTED_VALUE"""),90)</f>
        <v>90</v>
      </c>
      <c r="E230" s="2" t="str">
        <f ca="1">IFERROR(__xludf.DUMMYFUNCTION("""COMPUTED_VALUE"""),"Ancellotta Tempranillo")</f>
        <v>Ancellotta Tempranillo</v>
      </c>
      <c r="F230" s="2">
        <f ca="1">IFERROR(__xludf.DUMMYFUNCTION("""COMPUTED_VALUE"""),11000)</f>
        <v>11000</v>
      </c>
      <c r="G230" s="2">
        <f ca="1">IFERROR(__xludf.DUMMYFUNCTION("""COMPUTED_VALUE"""),106)</f>
        <v>106</v>
      </c>
      <c r="H230" s="2"/>
      <c r="I230" s="2"/>
      <c r="J230" s="2">
        <f ca="1">IFERROR(__xludf.DUMMYFUNCTION("""COMPUTED_VALUE"""),0)</f>
        <v>0</v>
      </c>
      <c r="K230" s="2">
        <f ca="1">IFERROR(__xludf.DUMMYFUNCTION("""COMPUTED_VALUE"""),11000)</f>
        <v>11000</v>
      </c>
      <c r="L230" s="2" t="str">
        <f ca="1">IFERROR(__xludf.DUMMYFUNCTION("""COMPUTED_VALUE"""),"b1ca9458")</f>
        <v>b1ca9458</v>
      </c>
      <c r="M230" s="2" t="str">
        <f ca="1">IFERROR(__xludf.DUMMYFUNCTION("""COMPUTED_VALUE"""),"Ancellotta Tempranillo")</f>
        <v>Ancellotta Tempranillo</v>
      </c>
      <c r="N230" s="2"/>
      <c r="O230" s="2" t="str">
        <f ca="1">IFERROR(__xludf.DUMMYFUNCTION("""COMPUTED_VALUE"""),"Fermentando")</f>
        <v>Fermentando</v>
      </c>
      <c r="P230" s="2"/>
      <c r="Q230" s="2" t="b">
        <f ca="1">IFERROR(__xludf.DUMMYFUNCTION("""COMPUTED_VALUE"""),FALSE)</f>
        <v>0</v>
      </c>
      <c r="R230" s="2" t="str">
        <f ca="1">IFERROR(__xludf.DUMMYFUNCTION("""COMPUTED_VALUE"""),"Descubada")</f>
        <v>Descubada</v>
      </c>
      <c r="S230" s="2"/>
      <c r="T230" s="2"/>
      <c r="U230" s="2"/>
    </row>
    <row r="231" spans="1:21" x14ac:dyDescent="0.25">
      <c r="A231" s="2" t="str">
        <f ca="1">IFERROR(__xludf.DUMMYFUNCTION("""COMPUTED_VALUE"""),"58fb654c")</f>
        <v>58fb654c</v>
      </c>
      <c r="B231" s="3">
        <f ca="1">IFERROR(__xludf.DUMMYFUNCTION("""COMPUTED_VALUE"""),45738.8250347222)</f>
        <v>45738.825034722198</v>
      </c>
      <c r="C231" s="2" t="str">
        <f ca="1">IFERROR(__xludf.DUMMYFUNCTION("""COMPUTED_VALUE"""),"de74d539")</f>
        <v>de74d539</v>
      </c>
      <c r="D231" s="2">
        <f ca="1">IFERROR(__xludf.DUMMYFUNCTION("""COMPUTED_VALUE"""),90)</f>
        <v>90</v>
      </c>
      <c r="E231" s="2" t="str">
        <f ca="1">IFERROR(__xludf.DUMMYFUNCTION("""COMPUTED_VALUE"""),"Ancellotta Tempranillo")</f>
        <v>Ancellotta Tempranillo</v>
      </c>
      <c r="F231" s="2">
        <f ca="1">IFERROR(__xludf.DUMMYFUNCTION("""COMPUTED_VALUE"""),22600)</f>
        <v>22600</v>
      </c>
      <c r="G231" s="2">
        <f ca="1">IFERROR(__xludf.DUMMYFUNCTION("""COMPUTED_VALUE"""),107)</f>
        <v>107</v>
      </c>
      <c r="H231" s="2" t="str">
        <f ca="1">IFERROR(__xludf.DUMMYFUNCTION("""COMPUTED_VALUE"""),"c9e381e1")</f>
        <v>c9e381e1</v>
      </c>
      <c r="I231" s="2" t="str">
        <f ca="1">IFERROR(__xludf.DUMMYFUNCTION("""COMPUTED_VALUE"""),"Bonarda C2")</f>
        <v>Bonarda C2</v>
      </c>
      <c r="J231" s="2">
        <f ca="1">IFERROR(__xludf.DUMMYFUNCTION("""COMPUTED_VALUE"""),8400)</f>
        <v>8400</v>
      </c>
      <c r="K231" s="2">
        <f ca="1">IFERROR(__xludf.DUMMYFUNCTION("""COMPUTED_VALUE"""),31000)</f>
        <v>31000</v>
      </c>
      <c r="L231" s="2" t="str">
        <f ca="1">IFERROR(__xludf.DUMMYFUNCTION("""COMPUTED_VALUE"""),"afed01fa")</f>
        <v>afed01fa</v>
      </c>
      <c r="M231" s="2" t="str">
        <f ca="1">IFERROR(__xludf.DUMMYFUNCTION("""COMPUTED_VALUE"""),"Ancellotta Tempranillo")</f>
        <v>Ancellotta Tempranillo</v>
      </c>
      <c r="N231" s="2"/>
      <c r="O231" s="2" t="str">
        <f ca="1">IFERROR(__xludf.DUMMYFUNCTION("""COMPUTED_VALUE"""),"Fermentando")</f>
        <v>Fermentando</v>
      </c>
      <c r="P231" s="2" t="str">
        <f ca="1">IFERROR(__xludf.DUMMYFUNCTION("""COMPUTED_VALUE"""),"Descubada")</f>
        <v>Descubada</v>
      </c>
      <c r="Q231" s="2" t="b">
        <f ca="1">IFERROR(__xludf.DUMMYFUNCTION("""COMPUTED_VALUE"""),FALSE)</f>
        <v>0</v>
      </c>
      <c r="R231" s="2" t="str">
        <f ca="1">IFERROR(__xludf.DUMMYFUNCTION("""COMPUTED_VALUE"""),"Descubada")</f>
        <v>Descubada</v>
      </c>
      <c r="S231" s="2"/>
      <c r="T231" s="2"/>
      <c r="U231" s="2"/>
    </row>
    <row r="232" spans="1:21" x14ac:dyDescent="0.25">
      <c r="A232" s="2" t="str">
        <f ca="1">IFERROR(__xludf.DUMMYFUNCTION("""COMPUTED_VALUE"""),"081c9204")</f>
        <v>081c9204</v>
      </c>
      <c r="B232" s="3">
        <f ca="1">IFERROR(__xludf.DUMMYFUNCTION("""COMPUTED_VALUE"""),45740.4545949074)</f>
        <v>45740.454594907402</v>
      </c>
      <c r="C232" s="2" t="str">
        <f ca="1">IFERROR(__xludf.DUMMYFUNCTION("""COMPUTED_VALUE"""),"1c0f3ac6")</f>
        <v>1c0f3ac6</v>
      </c>
      <c r="D232" s="2">
        <f ca="1">IFERROR(__xludf.DUMMYFUNCTION("""COMPUTED_VALUE"""),85)</f>
        <v>85</v>
      </c>
      <c r="E232" s="2" t="str">
        <f ca="1">IFERROR(__xludf.DUMMYFUNCTION("""COMPUTED_VALUE"""),"Bonarda C2")</f>
        <v>Bonarda C2</v>
      </c>
      <c r="F232" s="2">
        <f ca="1">IFERROR(__xludf.DUMMYFUNCTION("""COMPUTED_VALUE"""),50000)</f>
        <v>50000</v>
      </c>
      <c r="G232" s="2">
        <f ca="1">IFERROR(__xludf.DUMMYFUNCTION("""COMPUTED_VALUE"""),115)</f>
        <v>115</v>
      </c>
      <c r="H232" s="2"/>
      <c r="I232" s="2"/>
      <c r="J232" s="2">
        <f ca="1">IFERROR(__xludf.DUMMYFUNCTION("""COMPUTED_VALUE"""),0)</f>
        <v>0</v>
      </c>
      <c r="K232" s="2">
        <f ca="1">IFERROR(__xludf.DUMMYFUNCTION("""COMPUTED_VALUE"""),50000)</f>
        <v>50000</v>
      </c>
      <c r="L232" s="2" t="str">
        <f ca="1">IFERROR(__xludf.DUMMYFUNCTION("""COMPUTED_VALUE"""),"34f051f2")</f>
        <v>34f051f2</v>
      </c>
      <c r="M232" s="2" t="str">
        <f ca="1">IFERROR(__xludf.DUMMYFUNCTION("""COMPUTED_VALUE"""),"Bonarda C2")</f>
        <v>Bonarda C2</v>
      </c>
      <c r="N232" s="2" t="str">
        <f ca="1">IFERROR(__xludf.DUMMYFUNCTION("""COMPUTED_VALUE"""),"Gota y Prensa")</f>
        <v>Gota y Prensa</v>
      </c>
      <c r="O232" s="2" t="str">
        <f ca="1">IFERROR(__xludf.DUMMYFUNCTION("""COMPUTED_VALUE"""),"Fermentando")</f>
        <v>Fermentando</v>
      </c>
      <c r="P232" s="2"/>
      <c r="Q232" s="2" t="b">
        <f ca="1">IFERROR(__xludf.DUMMYFUNCTION("""COMPUTED_VALUE"""),FALSE)</f>
        <v>0</v>
      </c>
      <c r="R232" s="2" t="str">
        <f ca="1">IFERROR(__xludf.DUMMYFUNCTION("""COMPUTED_VALUE"""),"Descubada")</f>
        <v>Descubada</v>
      </c>
      <c r="S232" s="2"/>
      <c r="T232" s="2"/>
      <c r="U232" s="2"/>
    </row>
    <row r="233" spans="1:21" x14ac:dyDescent="0.25">
      <c r="A233" s="2" t="str">
        <f ca="1">IFERROR(__xludf.DUMMYFUNCTION("""COMPUTED_VALUE"""),"b3316a0a")</f>
        <v>b3316a0a</v>
      </c>
      <c r="B233" s="3">
        <f ca="1">IFERROR(__xludf.DUMMYFUNCTION("""COMPUTED_VALUE"""),45741.5263541666)</f>
        <v>45741.526354166599</v>
      </c>
      <c r="C233" s="2" t="str">
        <f ca="1">IFERROR(__xludf.DUMMYFUNCTION("""COMPUTED_VALUE"""),"a9ae339e")</f>
        <v>a9ae339e</v>
      </c>
      <c r="D233" s="2">
        <f ca="1">IFERROR(__xludf.DUMMYFUNCTION("""COMPUTED_VALUE"""),49)</f>
        <v>49</v>
      </c>
      <c r="E233" s="2" t="str">
        <f ca="1">IFERROR(__xludf.DUMMYFUNCTION("""COMPUTED_VALUE"""),"Bonarda 24 Rect")</f>
        <v>Bonarda 24 Rect</v>
      </c>
      <c r="F233" s="2">
        <f ca="1">IFERROR(__xludf.DUMMYFUNCTION("""COMPUTED_VALUE"""),7900)</f>
        <v>7900</v>
      </c>
      <c r="G233" s="2">
        <f ca="1">IFERROR(__xludf.DUMMYFUNCTION("""COMPUTED_VALUE"""),88)</f>
        <v>88</v>
      </c>
      <c r="H233" s="2" t="str">
        <f ca="1">IFERROR(__xludf.DUMMYFUNCTION("""COMPUTED_VALUE"""),"708b6ccb")</f>
        <v>708b6ccb</v>
      </c>
      <c r="I233" s="2" t="str">
        <f ca="1">IFERROR(__xludf.DUMMYFUNCTION("""COMPUTED_VALUE"""),"Bonarda")</f>
        <v>Bonarda</v>
      </c>
      <c r="J233" s="2">
        <f ca="1">IFERROR(__xludf.DUMMYFUNCTION("""COMPUTED_VALUE"""),28000)</f>
        <v>28000</v>
      </c>
      <c r="K233" s="2">
        <f ca="1">IFERROR(__xludf.DUMMYFUNCTION("""COMPUTED_VALUE"""),35900)</f>
        <v>35900</v>
      </c>
      <c r="L233" s="2" t="str">
        <f ca="1">IFERROR(__xludf.DUMMYFUNCTION("""COMPUTED_VALUE"""),"8d1e611a")</f>
        <v>8d1e611a</v>
      </c>
      <c r="M233" s="2" t="str">
        <f ca="1">IFERROR(__xludf.DUMMYFUNCTION("""COMPUTED_VALUE"""),"Bonarda")</f>
        <v>Bonarda</v>
      </c>
      <c r="N233" s="2" t="str">
        <f ca="1">IFERROR(__xludf.DUMMYFUNCTION("""COMPUTED_VALUE"""),"agregado Rectificado")</f>
        <v>agregado Rectificado</v>
      </c>
      <c r="O233" s="2" t="str">
        <f ca="1">IFERROR(__xludf.DUMMYFUNCTION("""COMPUTED_VALUE"""),"Rectificado")</f>
        <v>Rectificado</v>
      </c>
      <c r="P233" s="2" t="str">
        <f ca="1">IFERROR(__xludf.DUMMYFUNCTION("""COMPUTED_VALUE"""),"Fermentando")</f>
        <v>Fermentando</v>
      </c>
      <c r="Q233" s="2" t="b">
        <f ca="1">IFERROR(__xludf.DUMMYFUNCTION("""COMPUTED_VALUE"""),TRUE)</f>
        <v>1</v>
      </c>
      <c r="R233" s="2" t="str">
        <f ca="1">IFERROR(__xludf.DUMMYFUNCTION("""COMPUTED_VALUE"""),"Fermentando")</f>
        <v>Fermentando</v>
      </c>
      <c r="S233" s="2"/>
      <c r="T233" s="2"/>
      <c r="U233" s="2"/>
    </row>
    <row r="234" spans="1:21" x14ac:dyDescent="0.25">
      <c r="A234" s="2" t="str">
        <f ca="1">IFERROR(__xludf.DUMMYFUNCTION("""COMPUTED_VALUE"""),"0b4d2241")</f>
        <v>0b4d2241</v>
      </c>
      <c r="B234" s="3">
        <f ca="1">IFERROR(__xludf.DUMMYFUNCTION("""COMPUTED_VALUE"""),45741.5271296296)</f>
        <v>45741.527129629598</v>
      </c>
      <c r="C234" s="2" t="str">
        <f ca="1">IFERROR(__xludf.DUMMYFUNCTION("""COMPUTED_VALUE"""),"d5c7ee63")</f>
        <v>d5c7ee63</v>
      </c>
      <c r="D234" s="2">
        <f ca="1">IFERROR(__xludf.DUMMYFUNCTION("""COMPUTED_VALUE"""),44)</f>
        <v>44</v>
      </c>
      <c r="E234" s="2" t="str">
        <f ca="1">IFERROR(__xludf.DUMMYFUNCTION("""COMPUTED_VALUE"""),"Cabernet Sauvignon Rect 24")</f>
        <v>Cabernet Sauvignon Rect 24</v>
      </c>
      <c r="F234" s="2">
        <f ca="1">IFERROR(__xludf.DUMMYFUNCTION("""COMPUTED_VALUE"""),1400)</f>
        <v>1400</v>
      </c>
      <c r="G234" s="2">
        <f ca="1">IFERROR(__xludf.DUMMYFUNCTION("""COMPUTED_VALUE"""),73)</f>
        <v>73</v>
      </c>
      <c r="H234" s="2" t="str">
        <f ca="1">IFERROR(__xludf.DUMMYFUNCTION("""COMPUTED_VALUE"""),"6527d58b")</f>
        <v>6527d58b</v>
      </c>
      <c r="I234" s="2" t="str">
        <f ca="1">IFERROR(__xludf.DUMMYFUNCTION("""COMPUTED_VALUE"""),"Malbec")</f>
        <v>Malbec</v>
      </c>
      <c r="J234" s="2">
        <f ca="1">IFERROR(__xludf.DUMMYFUNCTION("""COMPUTED_VALUE"""),6400)</f>
        <v>6400</v>
      </c>
      <c r="K234" s="2">
        <f ca="1">IFERROR(__xludf.DUMMYFUNCTION("""COMPUTED_VALUE"""),7800)</f>
        <v>7800</v>
      </c>
      <c r="L234" s="2" t="str">
        <f ca="1">IFERROR(__xludf.DUMMYFUNCTION("""COMPUTED_VALUE"""),"2e224e71")</f>
        <v>2e224e71</v>
      </c>
      <c r="M234" s="2" t="str">
        <f ca="1">IFERROR(__xludf.DUMMYFUNCTION("""COMPUTED_VALUE"""),"Malbec")</f>
        <v>Malbec</v>
      </c>
      <c r="N234" s="2" t="str">
        <f ca="1">IFERROR(__xludf.DUMMYFUNCTION("""COMPUTED_VALUE"""),"Agregado Rectificado")</f>
        <v>Agregado Rectificado</v>
      </c>
      <c r="O234" s="2" t="str">
        <f ca="1">IFERROR(__xludf.DUMMYFUNCTION("""COMPUTED_VALUE"""),"Rectificado")</f>
        <v>Rectificado</v>
      </c>
      <c r="P234" s="2" t="str">
        <f ca="1">IFERROR(__xludf.DUMMYFUNCTION("""COMPUTED_VALUE"""),"Fermentando")</f>
        <v>Fermentando</v>
      </c>
      <c r="Q234" s="2" t="b">
        <f ca="1">IFERROR(__xludf.DUMMYFUNCTION("""COMPUTED_VALUE"""),TRUE)</f>
        <v>1</v>
      </c>
      <c r="R234" s="2" t="str">
        <f ca="1">IFERROR(__xludf.DUMMYFUNCTION("""COMPUTED_VALUE"""),"Fermentando")</f>
        <v>Fermentando</v>
      </c>
      <c r="S234" s="2"/>
      <c r="T234" s="2"/>
      <c r="U234" s="2"/>
    </row>
    <row r="235" spans="1:21" x14ac:dyDescent="0.25">
      <c r="A235" s="2" t="str">
        <f ca="1">IFERROR(__xludf.DUMMYFUNCTION("""COMPUTED_VALUE"""),"9adf1669")</f>
        <v>9adf1669</v>
      </c>
      <c r="B235" s="3">
        <f ca="1">IFERROR(__xludf.DUMMYFUNCTION("""COMPUTED_VALUE"""),45741.5290393518)</f>
        <v>45741.529039351801</v>
      </c>
      <c r="C235" s="2" t="str">
        <f ca="1">IFERROR(__xludf.DUMMYFUNCTION("""COMPUTED_VALUE"""),"d5c7ee63")</f>
        <v>d5c7ee63</v>
      </c>
      <c r="D235" s="2">
        <f ca="1">IFERROR(__xludf.DUMMYFUNCTION("""COMPUTED_VALUE"""),44)</f>
        <v>44</v>
      </c>
      <c r="E235" s="2" t="str">
        <f ca="1">IFERROR(__xludf.DUMMYFUNCTION("""COMPUTED_VALUE"""),"Cabernet Sauvignon Rect 24")</f>
        <v>Cabernet Sauvignon Rect 24</v>
      </c>
      <c r="F235" s="2">
        <f ca="1">IFERROR(__xludf.DUMMYFUNCTION("""COMPUTED_VALUE"""),6800)</f>
        <v>6800</v>
      </c>
      <c r="G235" s="2">
        <f ca="1">IFERROR(__xludf.DUMMYFUNCTION("""COMPUTED_VALUE"""),89)</f>
        <v>89</v>
      </c>
      <c r="H235" s="2" t="str">
        <f ca="1">IFERROR(__xludf.DUMMYFUNCTION("""COMPUTED_VALUE"""),"22e4f887")</f>
        <v>22e4f887</v>
      </c>
      <c r="I235" s="2" t="str">
        <f ca="1">IFERROR(__xludf.DUMMYFUNCTION("""COMPUTED_VALUE"""),"Malbec Mec")</f>
        <v>Malbec Mec</v>
      </c>
      <c r="J235" s="2">
        <f ca="1">IFERROR(__xludf.DUMMYFUNCTION("""COMPUTED_VALUE"""),39200)</f>
        <v>39200</v>
      </c>
      <c r="K235" s="2">
        <f ca="1">IFERROR(__xludf.DUMMYFUNCTION("""COMPUTED_VALUE"""),46000)</f>
        <v>46000</v>
      </c>
      <c r="L235" s="2" t="str">
        <f ca="1">IFERROR(__xludf.DUMMYFUNCTION("""COMPUTED_VALUE"""),"239b5e04")</f>
        <v>239b5e04</v>
      </c>
      <c r="M235" s="2" t="str">
        <f ca="1">IFERROR(__xludf.DUMMYFUNCTION("""COMPUTED_VALUE"""),"Malbec Mec")</f>
        <v>Malbec Mec</v>
      </c>
      <c r="N235" s="2" t="str">
        <f ca="1">IFERROR(__xludf.DUMMYFUNCTION("""COMPUTED_VALUE"""),"agregado Rectificado")</f>
        <v>agregado Rectificado</v>
      </c>
      <c r="O235" s="2" t="str">
        <f ca="1">IFERROR(__xludf.DUMMYFUNCTION("""COMPUTED_VALUE"""),"Rectificado")</f>
        <v>Rectificado</v>
      </c>
      <c r="P235" s="2" t="str">
        <f ca="1">IFERROR(__xludf.DUMMYFUNCTION("""COMPUTED_VALUE"""),"Fermentando")</f>
        <v>Fermentando</v>
      </c>
      <c r="Q235" s="2" t="b">
        <f ca="1">IFERROR(__xludf.DUMMYFUNCTION("""COMPUTED_VALUE"""),TRUE)</f>
        <v>1</v>
      </c>
      <c r="R235" s="2" t="str">
        <f ca="1">IFERROR(__xludf.DUMMYFUNCTION("""COMPUTED_VALUE"""),"Fermentando")</f>
        <v>Fermentando</v>
      </c>
      <c r="S235" s="2"/>
      <c r="T235" s="2"/>
      <c r="U235" s="2"/>
    </row>
    <row r="236" spans="1:2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x14ac:dyDescent="0.25">
      <c r="A237" s="2" t="str">
        <f ca="1">IFERROR(__xludf.DUMMYFUNCTION("""COMPUTED_VALUE"""),"c7bd3a7b")</f>
        <v>c7bd3a7b</v>
      </c>
      <c r="B237" s="3">
        <f ca="1">IFERROR(__xludf.DUMMYFUNCTION("""COMPUTED_VALUE"""),45741.5308101851)</f>
        <v>45741.530810185097</v>
      </c>
      <c r="C237" s="2" t="str">
        <f ca="1">IFERROR(__xludf.DUMMYFUNCTION("""COMPUTED_VALUE"""),"dea77610")</f>
        <v>dea77610</v>
      </c>
      <c r="D237" s="2">
        <f ca="1">IFERROR(__xludf.DUMMYFUNCTION("""COMPUTED_VALUE"""),81)</f>
        <v>81</v>
      </c>
      <c r="E237" s="2" t="str">
        <f ca="1">IFERROR(__xludf.DUMMYFUNCTION("""COMPUTED_VALUE"""),"Torrontes")</f>
        <v>Torrontes</v>
      </c>
      <c r="F237" s="2">
        <f ca="1">IFERROR(__xludf.DUMMYFUNCTION("""COMPUTED_VALUE"""),2100)</f>
        <v>2100</v>
      </c>
      <c r="G237" s="2">
        <f ca="1">IFERROR(__xludf.DUMMYFUNCTION("""COMPUTED_VALUE"""),80)</f>
        <v>80</v>
      </c>
      <c r="H237" s="2" t="str">
        <f ca="1">IFERROR(__xludf.DUMMYFUNCTION("""COMPUTED_VALUE"""),"c210f1aa")</f>
        <v>c210f1aa</v>
      </c>
      <c r="I237" s="2" t="str">
        <f ca="1">IFERROR(__xludf.DUMMYFUNCTION("""COMPUTED_VALUE"""),"Chenin")</f>
        <v>Chenin</v>
      </c>
      <c r="J237" s="2">
        <f ca="1">IFERROR(__xludf.DUMMYFUNCTION("""COMPUTED_VALUE"""),24000)</f>
        <v>24000</v>
      </c>
      <c r="K237" s="2">
        <f ca="1">IFERROR(__xludf.DUMMYFUNCTION("""COMPUTED_VALUE"""),26100)</f>
        <v>26100</v>
      </c>
      <c r="L237" s="2" t="str">
        <f ca="1">IFERROR(__xludf.DUMMYFUNCTION("""COMPUTED_VALUE"""),"4fc3176a")</f>
        <v>4fc3176a</v>
      </c>
      <c r="M237" s="2" t="str">
        <f ca="1">IFERROR(__xludf.DUMMYFUNCTION("""COMPUTED_VALUE"""),"Chenin")</f>
        <v>Chenin</v>
      </c>
      <c r="N237" s="2"/>
      <c r="O237" s="2" t="str">
        <f ca="1">IFERROR(__xludf.DUMMYFUNCTION("""COMPUTED_VALUE"""),"Fermentando")</f>
        <v>Fermentando</v>
      </c>
      <c r="P237" s="2" t="str">
        <f ca="1">IFERROR(__xludf.DUMMYFUNCTION("""COMPUTED_VALUE"""),"Fermentando")</f>
        <v>Fermentando</v>
      </c>
      <c r="Q237" s="2" t="b">
        <f ca="1">IFERROR(__xludf.DUMMYFUNCTION("""COMPUTED_VALUE"""),TRUE)</f>
        <v>1</v>
      </c>
      <c r="R237" s="2" t="str">
        <f ca="1">IFERROR(__xludf.DUMMYFUNCTION("""COMPUTED_VALUE"""),"Fermentando")</f>
        <v>Fermentando</v>
      </c>
      <c r="S237" s="2"/>
      <c r="T237" s="2"/>
      <c r="U237" s="2"/>
    </row>
    <row r="238" spans="1:21" x14ac:dyDescent="0.25">
      <c r="A238" s="2" t="str">
        <f ca="1">IFERROR(__xludf.DUMMYFUNCTION("""COMPUTED_VALUE"""),"ecb02248")</f>
        <v>ecb02248</v>
      </c>
      <c r="B238" s="3">
        <f ca="1">IFERROR(__xludf.DUMMYFUNCTION("""COMPUTED_VALUE"""),45741.5325231481)</f>
        <v>45741.532523148097</v>
      </c>
      <c r="C238" s="2" t="str">
        <f ca="1">IFERROR(__xludf.DUMMYFUNCTION("""COMPUTED_VALUE"""),"26cfa504")</f>
        <v>26cfa504</v>
      </c>
      <c r="D238" s="2">
        <f ca="1">IFERROR(__xludf.DUMMYFUNCTION("""COMPUTED_VALUE"""),86)</f>
        <v>86</v>
      </c>
      <c r="E238" s="2" t="str">
        <f ca="1">IFERROR(__xludf.DUMMYFUNCTION("""COMPUTED_VALUE"""),"Syrah")</f>
        <v>Syrah</v>
      </c>
      <c r="F238" s="2">
        <f ca="1">IFERROR(__xludf.DUMMYFUNCTION("""COMPUTED_VALUE"""),52500)</f>
        <v>52500</v>
      </c>
      <c r="G238" s="2">
        <f ca="1">IFERROR(__xludf.DUMMYFUNCTION("""COMPUTED_VALUE"""),95)</f>
        <v>95</v>
      </c>
      <c r="H238" s="2"/>
      <c r="I238" s="2"/>
      <c r="J238" s="2">
        <f ca="1">IFERROR(__xludf.DUMMYFUNCTION("""COMPUTED_VALUE"""),0)</f>
        <v>0</v>
      </c>
      <c r="K238" s="2">
        <f ca="1">IFERROR(__xludf.DUMMYFUNCTION("""COMPUTED_VALUE"""),52500)</f>
        <v>52500</v>
      </c>
      <c r="L238" s="2" t="str">
        <f ca="1">IFERROR(__xludf.DUMMYFUNCTION("""COMPUTED_VALUE"""),"666d23a6")</f>
        <v>666d23a6</v>
      </c>
      <c r="M238" s="2" t="str">
        <f ca="1">IFERROR(__xludf.DUMMYFUNCTION("""COMPUTED_VALUE"""),"Syrah")</f>
        <v>Syrah</v>
      </c>
      <c r="N238" s="2" t="str">
        <f ca="1">IFERROR(__xludf.DUMMYFUNCTION("""COMPUTED_VALUE"""),"Gota y Prensa")</f>
        <v>Gota y Prensa</v>
      </c>
      <c r="O238" s="2" t="str">
        <f ca="1">IFERROR(__xludf.DUMMYFUNCTION("""COMPUTED_VALUE"""),"Fermentando")</f>
        <v>Fermentando</v>
      </c>
      <c r="P238" s="2"/>
      <c r="Q238" s="2" t="b">
        <f ca="1">IFERROR(__xludf.DUMMYFUNCTION("""COMPUTED_VALUE"""),FALSE)</f>
        <v>0</v>
      </c>
      <c r="R238" s="2" t="str">
        <f ca="1">IFERROR(__xludf.DUMMYFUNCTION("""COMPUTED_VALUE"""),"Fermentando")</f>
        <v>Fermentando</v>
      </c>
      <c r="S238" s="2"/>
      <c r="T238" s="2"/>
      <c r="U238" s="2"/>
    </row>
    <row r="239" spans="1:21" x14ac:dyDescent="0.25">
      <c r="A239" s="2" t="str">
        <f ca="1">IFERROR(__xludf.DUMMYFUNCTION("""COMPUTED_VALUE"""),"f82b29f9")</f>
        <v>f82b29f9</v>
      </c>
      <c r="B239" s="3">
        <f ca="1">IFERROR(__xludf.DUMMYFUNCTION("""COMPUTED_VALUE"""),45741.539074074)</f>
        <v>45741.539074073997</v>
      </c>
      <c r="C239" s="2" t="str">
        <f ca="1">IFERROR(__xludf.DUMMYFUNCTION("""COMPUTED_VALUE"""),"0cf5d8ff")</f>
        <v>0cf5d8ff</v>
      </c>
      <c r="D239" s="2">
        <f ca="1">IFERROR(__xludf.DUMMYFUNCTION("""COMPUTED_VALUE"""),70)</f>
        <v>70</v>
      </c>
      <c r="E239" s="2" t="str">
        <f ca="1">IFERROR(__xludf.DUMMYFUNCTION("""COMPUTED_VALUE"""),"Malbec")</f>
        <v>Malbec</v>
      </c>
      <c r="F239" s="2">
        <f ca="1">IFERROR(__xludf.DUMMYFUNCTION("""COMPUTED_VALUE"""),100)</f>
        <v>100</v>
      </c>
      <c r="G239" s="2">
        <f ca="1">IFERROR(__xludf.DUMMYFUNCTION("""COMPUTED_VALUE"""),51)</f>
        <v>51</v>
      </c>
      <c r="H239" s="2" t="str">
        <f ca="1">IFERROR(__xludf.DUMMYFUNCTION("""COMPUTED_VALUE"""),"0bebff1a")</f>
        <v>0bebff1a</v>
      </c>
      <c r="I239" s="2" t="str">
        <f ca="1">IFERROR(__xludf.DUMMYFUNCTION("""COMPUTED_VALUE"""),"Tanat")</f>
        <v>Tanat</v>
      </c>
      <c r="J239" s="2">
        <f ca="1">IFERROR(__xludf.DUMMYFUNCTION("""COMPUTED_VALUE"""),3800)</f>
        <v>3800</v>
      </c>
      <c r="K239" s="2">
        <f ca="1">IFERROR(__xludf.DUMMYFUNCTION("""COMPUTED_VALUE"""),3900)</f>
        <v>3900</v>
      </c>
      <c r="L239" s="2" t="str">
        <f ca="1">IFERROR(__xludf.DUMMYFUNCTION("""COMPUTED_VALUE"""),"4eab3967")</f>
        <v>4eab3967</v>
      </c>
      <c r="M239" s="2" t="str">
        <f ca="1">IFERROR(__xludf.DUMMYFUNCTION("""COMPUTED_VALUE"""),"Tanat")</f>
        <v>Tanat</v>
      </c>
      <c r="N239" s="2" t="str">
        <f ca="1">IFERROR(__xludf.DUMMYFUNCTION("""COMPUTED_VALUE"""),"Relleno, quiza fue 1000 lts")</f>
        <v>Relleno, quiza fue 1000 lts</v>
      </c>
      <c r="O239" s="2" t="str">
        <f ca="1">IFERROR(__xludf.DUMMYFUNCTION("""COMPUTED_VALUE"""),"Fermentando")</f>
        <v>Fermentando</v>
      </c>
      <c r="P239" s="2" t="str">
        <f ca="1">IFERROR(__xludf.DUMMYFUNCTION("""COMPUTED_VALUE"""),"Descubada")</f>
        <v>Descubada</v>
      </c>
      <c r="Q239" s="2" t="b">
        <f ca="1">IFERROR(__xludf.DUMMYFUNCTION("""COMPUTED_VALUE"""),TRUE)</f>
        <v>1</v>
      </c>
      <c r="R239" s="2" t="str">
        <f ca="1">IFERROR(__xludf.DUMMYFUNCTION("""COMPUTED_VALUE"""),"Descubada")</f>
        <v>Descubada</v>
      </c>
      <c r="S239" s="2"/>
      <c r="T239" s="2"/>
      <c r="U239" s="2"/>
    </row>
    <row r="240" spans="1:21" x14ac:dyDescent="0.25">
      <c r="A240" s="2" t="str">
        <f ca="1">IFERROR(__xludf.DUMMYFUNCTION("""COMPUTED_VALUE"""),"48ff99db")</f>
        <v>48ff99db</v>
      </c>
      <c r="B240" s="3">
        <f ca="1">IFERROR(__xludf.DUMMYFUNCTION("""COMPUTED_VALUE"""),45741.5394675925)</f>
        <v>45741.539467592498</v>
      </c>
      <c r="C240" s="2" t="str">
        <f ca="1">IFERROR(__xludf.DUMMYFUNCTION("""COMPUTED_VALUE"""),"0cf5d8ff")</f>
        <v>0cf5d8ff</v>
      </c>
      <c r="D240" s="2">
        <f ca="1">IFERROR(__xludf.DUMMYFUNCTION("""COMPUTED_VALUE"""),70)</f>
        <v>70</v>
      </c>
      <c r="E240" s="2" t="str">
        <f ca="1">IFERROR(__xludf.DUMMYFUNCTION("""COMPUTED_VALUE"""),"Malbec")</f>
        <v>Malbec</v>
      </c>
      <c r="F240" s="2">
        <f ca="1">IFERROR(__xludf.DUMMYFUNCTION("""COMPUTED_VALUE"""),3000)</f>
        <v>3000</v>
      </c>
      <c r="G240" s="2">
        <f ca="1">IFERROR(__xludf.DUMMYFUNCTION("""COMPUTED_VALUE"""),55)</f>
        <v>55</v>
      </c>
      <c r="H240" s="2"/>
      <c r="I240" s="2"/>
      <c r="J240" s="2">
        <f ca="1">IFERROR(__xludf.DUMMYFUNCTION("""COMPUTED_VALUE"""),0)</f>
        <v>0</v>
      </c>
      <c r="K240" s="2">
        <f ca="1">IFERROR(__xludf.DUMMYFUNCTION("""COMPUTED_VALUE"""),3000)</f>
        <v>3000</v>
      </c>
      <c r="L240" s="2" t="str">
        <f ca="1">IFERROR(__xludf.DUMMYFUNCTION("""COMPUTED_VALUE"""),"806c3920")</f>
        <v>806c3920</v>
      </c>
      <c r="M240" s="2" t="str">
        <f ca="1">IFERROR(__xludf.DUMMYFUNCTION("""COMPUTED_VALUE"""),"Malbec G")</f>
        <v>Malbec G</v>
      </c>
      <c r="N240" s="2"/>
      <c r="O240" s="2" t="str">
        <f ca="1">IFERROR(__xludf.DUMMYFUNCTION("""COMPUTED_VALUE"""),"Fermentando")</f>
        <v>Fermentando</v>
      </c>
      <c r="P240" s="2"/>
      <c r="Q240" s="2" t="b">
        <f ca="1">IFERROR(__xludf.DUMMYFUNCTION("""COMPUTED_VALUE"""),FALSE)</f>
        <v>0</v>
      </c>
      <c r="R240" s="2" t="str">
        <f ca="1">IFERROR(__xludf.DUMMYFUNCTION("""COMPUTED_VALUE"""),"Descubada")</f>
        <v>Descubada</v>
      </c>
      <c r="S240" s="2"/>
      <c r="T240" s="2"/>
      <c r="U240" s="2"/>
    </row>
    <row r="241" spans="1:21" x14ac:dyDescent="0.25">
      <c r="A241" s="2" t="str">
        <f ca="1">IFERROR(__xludf.DUMMYFUNCTION("""COMPUTED_VALUE"""),"f7dbbba6")</f>
        <v>f7dbbba6</v>
      </c>
      <c r="B241" s="3">
        <f ca="1">IFERROR(__xludf.DUMMYFUNCTION("""COMPUTED_VALUE"""),45741.5404861111)</f>
        <v>45741.540486111102</v>
      </c>
      <c r="C241" s="2" t="str">
        <f ca="1">IFERROR(__xludf.DUMMYFUNCTION("""COMPUTED_VALUE"""),"0cf5d8ff")</f>
        <v>0cf5d8ff</v>
      </c>
      <c r="D241" s="2">
        <f ca="1">IFERROR(__xludf.DUMMYFUNCTION("""COMPUTED_VALUE"""),70)</f>
        <v>70</v>
      </c>
      <c r="E241" s="2" t="str">
        <f ca="1">IFERROR(__xludf.DUMMYFUNCTION("""COMPUTED_VALUE"""),"Malbec")</f>
        <v>Malbec</v>
      </c>
      <c r="F241" s="2">
        <f ca="1">IFERROR(__xludf.DUMMYFUNCTION("""COMPUTED_VALUE"""),4300)</f>
        <v>4300</v>
      </c>
      <c r="G241" s="2">
        <f ca="1">IFERROR(__xludf.DUMMYFUNCTION("""COMPUTED_VALUE"""),115)</f>
        <v>115</v>
      </c>
      <c r="H241" s="2" t="str">
        <f ca="1">IFERROR(__xludf.DUMMYFUNCTION("""COMPUTED_VALUE"""),"34f051f2")</f>
        <v>34f051f2</v>
      </c>
      <c r="I241" s="2" t="str">
        <f ca="1">IFERROR(__xludf.DUMMYFUNCTION("""COMPUTED_VALUE"""),"Bonarda C2")</f>
        <v>Bonarda C2</v>
      </c>
      <c r="J241" s="2">
        <f ca="1">IFERROR(__xludf.DUMMYFUNCTION("""COMPUTED_VALUE"""),50000)</f>
        <v>50000</v>
      </c>
      <c r="K241" s="2">
        <f ca="1">IFERROR(__xludf.DUMMYFUNCTION("""COMPUTED_VALUE"""),54300)</f>
        <v>54300</v>
      </c>
      <c r="L241" s="2" t="str">
        <f ca="1">IFERROR(__xludf.DUMMYFUNCTION("""COMPUTED_VALUE"""),"45c7ce93")</f>
        <v>45c7ce93</v>
      </c>
      <c r="M241" s="2" t="str">
        <f ca="1">IFERROR(__xludf.DUMMYFUNCTION("""COMPUTED_VALUE"""),"Bonarda C2")</f>
        <v>Bonarda C2</v>
      </c>
      <c r="N241" s="2"/>
      <c r="O241" s="2" t="str">
        <f ca="1">IFERROR(__xludf.DUMMYFUNCTION("""COMPUTED_VALUE"""),"Fermentando")</f>
        <v>Fermentando</v>
      </c>
      <c r="P241" s="2" t="str">
        <f ca="1">IFERROR(__xludf.DUMMYFUNCTION("""COMPUTED_VALUE"""),"Descubada")</f>
        <v>Descubada</v>
      </c>
      <c r="Q241" s="2" t="b">
        <f ca="1">IFERROR(__xludf.DUMMYFUNCTION("""COMPUTED_VALUE"""),TRUE)</f>
        <v>1</v>
      </c>
      <c r="R241" s="2" t="str">
        <f ca="1">IFERROR(__xludf.DUMMYFUNCTION("""COMPUTED_VALUE"""),"Descubada")</f>
        <v>Descubada</v>
      </c>
      <c r="S241" s="2"/>
      <c r="T241" s="2"/>
      <c r="U241" s="2"/>
    </row>
    <row r="242" spans="1:21" x14ac:dyDescent="0.25">
      <c r="A242" s="2" t="str">
        <f ca="1">IFERROR(__xludf.DUMMYFUNCTION("""COMPUTED_VALUE"""),"c0b38633")</f>
        <v>c0b38633</v>
      </c>
      <c r="B242" s="3">
        <f ca="1">IFERROR(__xludf.DUMMYFUNCTION("""COMPUTED_VALUE"""),45741.5410532407)</f>
        <v>45741.541053240697</v>
      </c>
      <c r="C242" s="2" t="str">
        <f ca="1">IFERROR(__xludf.DUMMYFUNCTION("""COMPUTED_VALUE"""),"3d517070")</f>
        <v>3d517070</v>
      </c>
      <c r="D242" s="2">
        <f ca="1">IFERROR(__xludf.DUMMYFUNCTION("""COMPUTED_VALUE"""),77)</f>
        <v>77</v>
      </c>
      <c r="E242" s="2" t="str">
        <f ca="1">IFERROR(__xludf.DUMMYFUNCTION("""COMPUTED_VALUE"""),"Bonarda C2")</f>
        <v>Bonarda C2</v>
      </c>
      <c r="F242" s="2">
        <f ca="1">IFERROR(__xludf.DUMMYFUNCTION("""COMPUTED_VALUE"""),16000)</f>
        <v>16000</v>
      </c>
      <c r="G242" s="2">
        <f ca="1">IFERROR(__xludf.DUMMYFUNCTION("""COMPUTED_VALUE"""),115)</f>
        <v>115</v>
      </c>
      <c r="H242" s="2" t="str">
        <f ca="1">IFERROR(__xludf.DUMMYFUNCTION("""COMPUTED_VALUE"""),"45c7ce93")</f>
        <v>45c7ce93</v>
      </c>
      <c r="I242" s="2" t="str">
        <f ca="1">IFERROR(__xludf.DUMMYFUNCTION("""COMPUTED_VALUE"""),"Bonarda C2")</f>
        <v>Bonarda C2</v>
      </c>
      <c r="J242" s="2">
        <f ca="1">IFERROR(__xludf.DUMMYFUNCTION("""COMPUTED_VALUE"""),54300)</f>
        <v>54300</v>
      </c>
      <c r="K242" s="2">
        <f ca="1">IFERROR(__xludf.DUMMYFUNCTION("""COMPUTED_VALUE"""),70300)</f>
        <v>70300</v>
      </c>
      <c r="L242" s="2" t="str">
        <f ca="1">IFERROR(__xludf.DUMMYFUNCTION("""COMPUTED_VALUE"""),"35c5e060")</f>
        <v>35c5e060</v>
      </c>
      <c r="M242" s="2" t="str">
        <f ca="1">IFERROR(__xludf.DUMMYFUNCTION("""COMPUTED_VALUE"""),"Bonarda C2")</f>
        <v>Bonarda C2</v>
      </c>
      <c r="N242" s="2"/>
      <c r="O242" s="2" t="str">
        <f ca="1">IFERROR(__xludf.DUMMYFUNCTION("""COMPUTED_VALUE"""),"Fermentando")</f>
        <v>Fermentando</v>
      </c>
      <c r="P242" s="2" t="str">
        <f ca="1">IFERROR(__xludf.DUMMYFUNCTION("""COMPUTED_VALUE"""),"Descubada")</f>
        <v>Descubada</v>
      </c>
      <c r="Q242" s="2" t="b">
        <f ca="1">IFERROR(__xludf.DUMMYFUNCTION("""COMPUTED_VALUE"""),TRUE)</f>
        <v>1</v>
      </c>
      <c r="R242" s="2" t="str">
        <f ca="1">IFERROR(__xludf.DUMMYFUNCTION("""COMPUTED_VALUE"""),"Descubada")</f>
        <v>Descubada</v>
      </c>
      <c r="S242" s="2"/>
      <c r="T242" s="2"/>
      <c r="U242" s="2"/>
    </row>
    <row r="243" spans="1:21" x14ac:dyDescent="0.25">
      <c r="A243" s="2" t="str">
        <f ca="1">IFERROR(__xludf.DUMMYFUNCTION("""COMPUTED_VALUE"""),"c0d5d0bc")</f>
        <v>c0d5d0bc</v>
      </c>
      <c r="B243" s="3">
        <f ca="1">IFERROR(__xludf.DUMMYFUNCTION("""COMPUTED_VALUE"""),45741.5417708333)</f>
        <v>45741.541770833297</v>
      </c>
      <c r="C243" s="2" t="str">
        <f ca="1">IFERROR(__xludf.DUMMYFUNCTION("""COMPUTED_VALUE"""),"3a308f07")</f>
        <v>3a308f07</v>
      </c>
      <c r="D243" s="2">
        <f ca="1">IFERROR(__xludf.DUMMYFUNCTION("""COMPUTED_VALUE"""),76)</f>
        <v>76</v>
      </c>
      <c r="E243" s="2" t="str">
        <f ca="1">IFERROR(__xludf.DUMMYFUNCTION("""COMPUTED_VALUE"""),"Bonarda C2")</f>
        <v>Bonarda C2</v>
      </c>
      <c r="F243" s="2">
        <f ca="1">IFERROR(__xludf.DUMMYFUNCTION("""COMPUTED_VALUE"""),14000)</f>
        <v>14000</v>
      </c>
      <c r="G243" s="2">
        <f ca="1">IFERROR(__xludf.DUMMYFUNCTION("""COMPUTED_VALUE"""),115)</f>
        <v>115</v>
      </c>
      <c r="H243" s="2" t="str">
        <f ca="1">IFERROR(__xludf.DUMMYFUNCTION("""COMPUTED_VALUE"""),"35c5e060")</f>
        <v>35c5e060</v>
      </c>
      <c r="I243" s="2" t="str">
        <f ca="1">IFERROR(__xludf.DUMMYFUNCTION("""COMPUTED_VALUE"""),"Bonarda C2")</f>
        <v>Bonarda C2</v>
      </c>
      <c r="J243" s="2">
        <f ca="1">IFERROR(__xludf.DUMMYFUNCTION("""COMPUTED_VALUE"""),70300)</f>
        <v>70300</v>
      </c>
      <c r="K243" s="2">
        <f ca="1">IFERROR(__xludf.DUMMYFUNCTION("""COMPUTED_VALUE"""),84300)</f>
        <v>84300</v>
      </c>
      <c r="L243" s="2" t="str">
        <f ca="1">IFERROR(__xludf.DUMMYFUNCTION("""COMPUTED_VALUE"""),"1fb0aecd")</f>
        <v>1fb0aecd</v>
      </c>
      <c r="M243" s="2" t="str">
        <f ca="1">IFERROR(__xludf.DUMMYFUNCTION("""COMPUTED_VALUE"""),"Bonarda C2")</f>
        <v>Bonarda C2</v>
      </c>
      <c r="N243" s="2" t="str">
        <f ca="1">IFERROR(__xludf.DUMMYFUNCTION("""COMPUTED_VALUE"""),"Gota y prensa")</f>
        <v>Gota y prensa</v>
      </c>
      <c r="O243" s="2" t="str">
        <f ca="1">IFERROR(__xludf.DUMMYFUNCTION("""COMPUTED_VALUE"""),"Fermentando")</f>
        <v>Fermentando</v>
      </c>
      <c r="P243" s="2" t="str">
        <f ca="1">IFERROR(__xludf.DUMMYFUNCTION("""COMPUTED_VALUE"""),"Descubada")</f>
        <v>Descubada</v>
      </c>
      <c r="Q243" s="2" t="b">
        <f ca="1">IFERROR(__xludf.DUMMYFUNCTION("""COMPUTED_VALUE"""),TRUE)</f>
        <v>1</v>
      </c>
      <c r="R243" s="2" t="str">
        <f ca="1">IFERROR(__xludf.DUMMYFUNCTION("""COMPUTED_VALUE"""),"Descubada")</f>
        <v>Descubada</v>
      </c>
      <c r="S243" s="2"/>
      <c r="T243" s="2"/>
      <c r="U243" s="2"/>
    </row>
    <row r="244" spans="1:21" x14ac:dyDescent="0.25">
      <c r="A244" s="2" t="str">
        <f ca="1">IFERROR(__xludf.DUMMYFUNCTION("""COMPUTED_VALUE"""),"0ce47a14")</f>
        <v>0ce47a14</v>
      </c>
      <c r="B244" s="3">
        <f ca="1">IFERROR(__xludf.DUMMYFUNCTION("""COMPUTED_VALUE"""),45741.7175347222)</f>
        <v>45741.7175347222</v>
      </c>
      <c r="C244" s="2" t="str">
        <f ca="1">IFERROR(__xludf.DUMMYFUNCTION("""COMPUTED_VALUE"""),"d5c7ee63")</f>
        <v>d5c7ee63</v>
      </c>
      <c r="D244" s="2">
        <f ca="1">IFERROR(__xludf.DUMMYFUNCTION("""COMPUTED_VALUE"""),44)</f>
        <v>44</v>
      </c>
      <c r="E244" s="2" t="str">
        <f ca="1">IFERROR(__xludf.DUMMYFUNCTION("""COMPUTED_VALUE"""),"Cabernet Sauvignon Rect 24")</f>
        <v>Cabernet Sauvignon Rect 24</v>
      </c>
      <c r="F244" s="2">
        <f ca="1">IFERROR(__xludf.DUMMYFUNCTION("""COMPUTED_VALUE"""),7400)</f>
        <v>7400</v>
      </c>
      <c r="G244" s="2">
        <f ca="1">IFERROR(__xludf.DUMMYFUNCTION("""COMPUTED_VALUE"""),84)</f>
        <v>84</v>
      </c>
      <c r="H244" s="2" t="str">
        <f ca="1">IFERROR(__xludf.DUMMYFUNCTION("""COMPUTED_VALUE"""),"c60f6341")</f>
        <v>c60f6341</v>
      </c>
      <c r="I244" s="2" t="str">
        <f ca="1">IFERROR(__xludf.DUMMYFUNCTION("""COMPUTED_VALUE"""),"Malbec Mec")</f>
        <v>Malbec Mec</v>
      </c>
      <c r="J244" s="2">
        <f ca="1">IFERROR(__xludf.DUMMYFUNCTION("""COMPUTED_VALUE"""),43000)</f>
        <v>43000</v>
      </c>
      <c r="K244" s="2">
        <f ca="1">IFERROR(__xludf.DUMMYFUNCTION("""COMPUTED_VALUE"""),50400)</f>
        <v>50400</v>
      </c>
      <c r="L244" s="2" t="str">
        <f ca="1">IFERROR(__xludf.DUMMYFUNCTION("""COMPUTED_VALUE"""),"2fe32030")</f>
        <v>2fe32030</v>
      </c>
      <c r="M244" s="2" t="str">
        <f ca="1">IFERROR(__xludf.DUMMYFUNCTION("""COMPUTED_VALUE"""),"Malbec Mec")</f>
        <v>Malbec Mec</v>
      </c>
      <c r="N244" s="2"/>
      <c r="O244" s="2" t="str">
        <f ca="1">IFERROR(__xludf.DUMMYFUNCTION("""COMPUTED_VALUE"""),"Rectificado")</f>
        <v>Rectificado</v>
      </c>
      <c r="P244" s="2" t="str">
        <f ca="1">IFERROR(__xludf.DUMMYFUNCTION("""COMPUTED_VALUE"""),"Fermentando")</f>
        <v>Fermentando</v>
      </c>
      <c r="Q244" s="2" t="b">
        <f ca="1">IFERROR(__xludf.DUMMYFUNCTION("""COMPUTED_VALUE"""),TRUE)</f>
        <v>1</v>
      </c>
      <c r="R244" s="2" t="str">
        <f ca="1">IFERROR(__xludf.DUMMYFUNCTION("""COMPUTED_VALUE"""),"Fermentando")</f>
        <v>Fermentando</v>
      </c>
      <c r="S244" s="2"/>
      <c r="T244" s="2"/>
      <c r="U244" s="2"/>
    </row>
    <row r="245" spans="1:21" x14ac:dyDescent="0.25">
      <c r="A245" s="2" t="str">
        <f ca="1">IFERROR(__xludf.DUMMYFUNCTION("""COMPUTED_VALUE"""),"4922f370")</f>
        <v>4922f370</v>
      </c>
      <c r="B245" s="3">
        <f ca="1">IFERROR(__xludf.DUMMYFUNCTION("""COMPUTED_VALUE"""),45741.7206018518)</f>
        <v>45741.720601851797</v>
      </c>
      <c r="C245" s="2" t="str">
        <f ca="1">IFERROR(__xludf.DUMMYFUNCTION("""COMPUTED_VALUE"""),"4a5cb789")</f>
        <v>4a5cb789</v>
      </c>
      <c r="D245" s="2">
        <f ca="1">IFERROR(__xludf.DUMMYFUNCTION("""COMPUTED_VALUE"""),54)</f>
        <v>54</v>
      </c>
      <c r="E245" s="2" t="str">
        <f ca="1">IFERROR(__xludf.DUMMYFUNCTION("""COMPUTED_VALUE"""),"Chardonnay 24 Rect")</f>
        <v>Chardonnay 24 Rect</v>
      </c>
      <c r="F245" s="2">
        <f ca="1">IFERROR(__xludf.DUMMYFUNCTION("""COMPUTED_VALUE"""),940)</f>
        <v>940</v>
      </c>
      <c r="G245" s="2">
        <f ca="1">IFERROR(__xludf.DUMMYFUNCTION("""COMPUTED_VALUE"""),500)</f>
        <v>500</v>
      </c>
      <c r="H245" s="2" t="str">
        <f ca="1">IFERROR(__xludf.DUMMYFUNCTION("""COMPUTED_VALUE"""),"c10d9cc7")</f>
        <v>c10d9cc7</v>
      </c>
      <c r="I245" s="2" t="str">
        <f ca="1">IFERROR(__xludf.DUMMYFUNCTION("""COMPUTED_VALUE"""),"Ajuste Arqueo 24/03/25")</f>
        <v>Ajuste Arqueo 24/03/25</v>
      </c>
      <c r="J245" s="2">
        <f ca="1">IFERROR(__xludf.DUMMYFUNCTION("""COMPUTED_VALUE"""),1)</f>
        <v>1</v>
      </c>
      <c r="K245" s="2">
        <f ca="1">IFERROR(__xludf.DUMMYFUNCTION("""COMPUTED_VALUE"""),941)</f>
        <v>941</v>
      </c>
      <c r="L245" s="2" t="str">
        <f ca="1">IFERROR(__xludf.DUMMYFUNCTION("""COMPUTED_VALUE"""),"e2c9de47")</f>
        <v>e2c9de47</v>
      </c>
      <c r="M245" s="2" t="str">
        <f ca="1">IFERROR(__xludf.DUMMYFUNCTION("""COMPUTED_VALUE"""),"Ajuste Arqueo 24/03/25")</f>
        <v>Ajuste Arqueo 24/03/25</v>
      </c>
      <c r="N245" s="2"/>
      <c r="O245" s="2" t="str">
        <f ca="1">IFERROR(__xludf.DUMMYFUNCTION("""COMPUTED_VALUE"""),"Rectificado")</f>
        <v>Rectificado</v>
      </c>
      <c r="P245" s="2"/>
      <c r="Q245" s="2" t="b">
        <f ca="1">IFERROR(__xludf.DUMMYFUNCTION("""COMPUTED_VALUE"""),TRUE)</f>
        <v>1</v>
      </c>
      <c r="R245" s="2"/>
      <c r="S245" s="2"/>
      <c r="T245" s="2"/>
      <c r="U245" s="2"/>
    </row>
    <row r="246" spans="1:21" x14ac:dyDescent="0.25">
      <c r="A246" s="2" t="str">
        <f ca="1">IFERROR(__xludf.DUMMYFUNCTION("""COMPUTED_VALUE"""),"b79a2229")</f>
        <v>b79a2229</v>
      </c>
      <c r="B246" s="3">
        <f ca="1">IFERROR(__xludf.DUMMYFUNCTION("""COMPUTED_VALUE"""),45741.734849537)</f>
        <v>45741.734849537002</v>
      </c>
      <c r="C246" s="2" t="str">
        <f ca="1">IFERROR(__xludf.DUMMYFUNCTION("""COMPUTED_VALUE"""),"730bdaa5")</f>
        <v>730bdaa5</v>
      </c>
      <c r="D246" s="2">
        <f ca="1">IFERROR(__xludf.DUMMYFUNCTION("""COMPUTED_VALUE"""),67)</f>
        <v>67</v>
      </c>
      <c r="E246" s="2" t="str">
        <f ca="1">IFERROR(__xludf.DUMMYFUNCTION("""COMPUTED_VALUE"""),"Bonarda")</f>
        <v>Bonarda</v>
      </c>
      <c r="F246" s="2">
        <f ca="1">IFERROR(__xludf.DUMMYFUNCTION("""COMPUTED_VALUE"""),4100)</f>
        <v>4100</v>
      </c>
      <c r="G246" s="2">
        <f ca="1">IFERROR(__xludf.DUMMYFUNCTION("""COMPUTED_VALUE"""),500)</f>
        <v>500</v>
      </c>
      <c r="H246" s="2" t="str">
        <f ca="1">IFERROR(__xludf.DUMMYFUNCTION("""COMPUTED_VALUE"""),"e2c9de47")</f>
        <v>e2c9de47</v>
      </c>
      <c r="I246" s="2" t="str">
        <f ca="1">IFERROR(__xludf.DUMMYFUNCTION("""COMPUTED_VALUE"""),"Ajuste Arqueo 24/03/25")</f>
        <v>Ajuste Arqueo 24/03/25</v>
      </c>
      <c r="J246" s="2">
        <f ca="1">IFERROR(__xludf.DUMMYFUNCTION("""COMPUTED_VALUE"""),941)</f>
        <v>941</v>
      </c>
      <c r="K246" s="2">
        <f ca="1">IFERROR(__xludf.DUMMYFUNCTION("""COMPUTED_VALUE"""),4941)</f>
        <v>4941</v>
      </c>
      <c r="L246" s="2" t="str">
        <f ca="1">IFERROR(__xludf.DUMMYFUNCTION("""COMPUTED_VALUE"""),"bf75bf0d")</f>
        <v>bf75bf0d</v>
      </c>
      <c r="M246" s="2" t="str">
        <f ca="1">IFERROR(__xludf.DUMMYFUNCTION("""COMPUTED_VALUE"""),"Ajuste Arqueo 24/03/25")</f>
        <v>Ajuste Arqueo 24/03/25</v>
      </c>
      <c r="N246" s="2"/>
      <c r="O246" s="2" t="str">
        <f ca="1">IFERROR(__xludf.DUMMYFUNCTION("""COMPUTED_VALUE"""),"Fermentando")</f>
        <v>Fermentando</v>
      </c>
      <c r="P246" s="2"/>
      <c r="Q246" s="2" t="b">
        <f ca="1">IFERROR(__xludf.DUMMYFUNCTION("""COMPUTED_VALUE"""),TRUE)</f>
        <v>1</v>
      </c>
      <c r="R246" s="2"/>
      <c r="S246" s="2"/>
      <c r="T246" s="2"/>
      <c r="U246" s="2"/>
    </row>
    <row r="247" spans="1:21" x14ac:dyDescent="0.25">
      <c r="A247" s="2" t="str">
        <f ca="1">IFERROR(__xludf.DUMMYFUNCTION("""COMPUTED_VALUE"""),"f79b60ff")</f>
        <v>f79b60ff</v>
      </c>
      <c r="B247" s="3">
        <f ca="1">IFERROR(__xludf.DUMMYFUNCTION("""COMPUTED_VALUE"""),45741.7374421296)</f>
        <v>45741.737442129597</v>
      </c>
      <c r="C247" s="2" t="str">
        <f ca="1">IFERROR(__xludf.DUMMYFUNCTION("""COMPUTED_VALUE"""),"1640b5b7")</f>
        <v>1640b5b7</v>
      </c>
      <c r="D247" s="2">
        <f ca="1">IFERROR(__xludf.DUMMYFUNCTION("""COMPUTED_VALUE"""),69)</f>
        <v>69</v>
      </c>
      <c r="E247" s="2" t="str">
        <f ca="1">IFERROR(__xludf.DUMMYFUNCTION("""COMPUTED_VALUE"""),"Tinto Criolla Recarga")</f>
        <v>Tinto Criolla Recarga</v>
      </c>
      <c r="F247" s="2">
        <f ca="1">IFERROR(__xludf.DUMMYFUNCTION("""COMPUTED_VALUE"""),-1600)</f>
        <v>-1600</v>
      </c>
      <c r="G247" s="2">
        <f ca="1">IFERROR(__xludf.DUMMYFUNCTION("""COMPUTED_VALUE"""),500)</f>
        <v>500</v>
      </c>
      <c r="H247" s="2" t="str">
        <f ca="1">IFERROR(__xludf.DUMMYFUNCTION("""COMPUTED_VALUE"""),"bf75bf0d")</f>
        <v>bf75bf0d</v>
      </c>
      <c r="I247" s="2" t="str">
        <f ca="1">IFERROR(__xludf.DUMMYFUNCTION("""COMPUTED_VALUE"""),"Ajuste Arqueo 24/03/25")</f>
        <v>Ajuste Arqueo 24/03/25</v>
      </c>
      <c r="J247" s="2">
        <f ca="1">IFERROR(__xludf.DUMMYFUNCTION("""COMPUTED_VALUE"""),4941)</f>
        <v>4941</v>
      </c>
      <c r="K247" s="2">
        <f ca="1">IFERROR(__xludf.DUMMYFUNCTION("""COMPUTED_VALUE"""),3341)</f>
        <v>3341</v>
      </c>
      <c r="L247" s="2" t="str">
        <f ca="1">IFERROR(__xludf.DUMMYFUNCTION("""COMPUTED_VALUE"""),"62023f37")</f>
        <v>62023f37</v>
      </c>
      <c r="M247" s="2" t="str">
        <f ca="1">IFERROR(__xludf.DUMMYFUNCTION("""COMPUTED_VALUE"""),"Ajuste Arqueo 24/03/25")</f>
        <v>Ajuste Arqueo 24/03/25</v>
      </c>
      <c r="N247" s="2"/>
      <c r="O247" s="2" t="str">
        <f ca="1">IFERROR(__xludf.DUMMYFUNCTION("""COMPUTED_VALUE"""),"Recarga Fermentando")</f>
        <v>Recarga Fermentando</v>
      </c>
      <c r="P247" s="2"/>
      <c r="Q247" s="2" t="b">
        <f ca="1">IFERROR(__xludf.DUMMYFUNCTION("""COMPUTED_VALUE"""),TRUE)</f>
        <v>1</v>
      </c>
      <c r="R247" s="2"/>
      <c r="S247" s="2"/>
      <c r="T247" s="2"/>
      <c r="U247" s="2"/>
    </row>
    <row r="248" spans="1:21" x14ac:dyDescent="0.25">
      <c r="A248" s="2" t="str">
        <f ca="1">IFERROR(__xludf.DUMMYFUNCTION("""COMPUTED_VALUE"""),"b46d4150")</f>
        <v>b46d4150</v>
      </c>
      <c r="B248" s="3">
        <f ca="1">IFERROR(__xludf.DUMMYFUNCTION("""COMPUTED_VALUE"""),45741.7385648148)</f>
        <v>45741.738564814797</v>
      </c>
      <c r="C248" s="2" t="str">
        <f ca="1">IFERROR(__xludf.DUMMYFUNCTION("""COMPUTED_VALUE"""),"8ba061c3")</f>
        <v>8ba061c3</v>
      </c>
      <c r="D248" s="2">
        <f ca="1">IFERROR(__xludf.DUMMYFUNCTION("""COMPUTED_VALUE"""),71)</f>
        <v>71</v>
      </c>
      <c r="E248" s="2" t="str">
        <f ca="1">IFERROR(__xludf.DUMMYFUNCTION("""COMPUTED_VALUE"""),"Tanat")</f>
        <v>Tanat</v>
      </c>
      <c r="F248" s="2">
        <f ca="1">IFERROR(__xludf.DUMMYFUNCTION("""COMPUTED_VALUE"""),1000)</f>
        <v>1000</v>
      </c>
      <c r="G248" s="2">
        <f ca="1">IFERROR(__xludf.DUMMYFUNCTION("""COMPUTED_VALUE"""),72)</f>
        <v>72</v>
      </c>
      <c r="H248" s="2" t="str">
        <f ca="1">IFERROR(__xludf.DUMMYFUNCTION("""COMPUTED_VALUE"""),"571333c6")</f>
        <v>571333c6</v>
      </c>
      <c r="I248" s="2" t="str">
        <f ca="1">IFERROR(__xludf.DUMMYFUNCTION("""COMPUTED_VALUE"""),"Tanat")</f>
        <v>Tanat</v>
      </c>
      <c r="J248" s="2">
        <f ca="1">IFERROR(__xludf.DUMMYFUNCTION("""COMPUTED_VALUE"""),7000)</f>
        <v>7000</v>
      </c>
      <c r="K248" s="2">
        <f ca="1">IFERROR(__xludf.DUMMYFUNCTION("""COMPUTED_VALUE"""),8000)</f>
        <v>8000</v>
      </c>
      <c r="L248" s="2" t="str">
        <f ca="1">IFERROR(__xludf.DUMMYFUNCTION("""COMPUTED_VALUE"""),"671aa5be")</f>
        <v>671aa5be</v>
      </c>
      <c r="M248" s="2" t="str">
        <f ca="1">IFERROR(__xludf.DUMMYFUNCTION("""COMPUTED_VALUE"""),"Tanat")</f>
        <v>Tanat</v>
      </c>
      <c r="N248" s="2"/>
      <c r="O248" s="2" t="str">
        <f ca="1">IFERROR(__xludf.DUMMYFUNCTION("""COMPUTED_VALUE"""),"Fermentando")</f>
        <v>Fermentando</v>
      </c>
      <c r="P248" s="2" t="str">
        <f ca="1">IFERROR(__xludf.DUMMYFUNCTION("""COMPUTED_VALUE"""),"Fermentando")</f>
        <v>Fermentando</v>
      </c>
      <c r="Q248" s="2" t="b">
        <f ca="1">IFERROR(__xludf.DUMMYFUNCTION("""COMPUTED_VALUE"""),TRUE)</f>
        <v>1</v>
      </c>
      <c r="R248" s="2" t="str">
        <f ca="1">IFERROR(__xludf.DUMMYFUNCTION("""COMPUTED_VALUE"""),"Fermentando")</f>
        <v>Fermentando</v>
      </c>
      <c r="S248" s="2"/>
      <c r="T248" s="2"/>
      <c r="U248" s="2"/>
    </row>
    <row r="249" spans="1:21" x14ac:dyDescent="0.25">
      <c r="A249" s="2" t="str">
        <f ca="1">IFERROR(__xludf.DUMMYFUNCTION("""COMPUTED_VALUE"""),"17f9af3c")</f>
        <v>17f9af3c</v>
      </c>
      <c r="B249" s="3">
        <f ca="1">IFERROR(__xludf.DUMMYFUNCTION("""COMPUTED_VALUE"""),45741.7413310185)</f>
        <v>45741.7413310185</v>
      </c>
      <c r="C249" s="2" t="str">
        <f ca="1">IFERROR(__xludf.DUMMYFUNCTION("""COMPUTED_VALUE"""),"2e224e71")</f>
        <v>2e224e71</v>
      </c>
      <c r="D249" s="2">
        <f ca="1">IFERROR(__xludf.DUMMYFUNCTION("""COMPUTED_VALUE"""),73)</f>
        <v>73</v>
      </c>
      <c r="E249" s="2" t="str">
        <f ca="1">IFERROR(__xludf.DUMMYFUNCTION("""COMPUTED_VALUE"""),"Malbec")</f>
        <v>Malbec</v>
      </c>
      <c r="F249" s="2">
        <f ca="1">IFERROR(__xludf.DUMMYFUNCTION("""COMPUTED_VALUE"""),-2200)</f>
        <v>-2200</v>
      </c>
      <c r="G249" s="2">
        <f ca="1">IFERROR(__xludf.DUMMYFUNCTION("""COMPUTED_VALUE"""),500)</f>
        <v>500</v>
      </c>
      <c r="H249" s="2" t="str">
        <f ca="1">IFERROR(__xludf.DUMMYFUNCTION("""COMPUTED_VALUE"""),"62023f37")</f>
        <v>62023f37</v>
      </c>
      <c r="I249" s="2" t="str">
        <f ca="1">IFERROR(__xludf.DUMMYFUNCTION("""COMPUTED_VALUE"""),"Ajuste Arqueo 24/03/25")</f>
        <v>Ajuste Arqueo 24/03/25</v>
      </c>
      <c r="J249" s="2">
        <f ca="1">IFERROR(__xludf.DUMMYFUNCTION("""COMPUTED_VALUE"""),3341)</f>
        <v>3341</v>
      </c>
      <c r="K249" s="2">
        <f ca="1">IFERROR(__xludf.DUMMYFUNCTION("""COMPUTED_VALUE"""),1141)</f>
        <v>1141</v>
      </c>
      <c r="L249" s="2" t="str">
        <f ca="1">IFERROR(__xludf.DUMMYFUNCTION("""COMPUTED_VALUE"""),"48ce0b6f")</f>
        <v>48ce0b6f</v>
      </c>
      <c r="M249" s="2" t="str">
        <f ca="1">IFERROR(__xludf.DUMMYFUNCTION("""COMPUTED_VALUE"""),"Ajuste Arqueo 24/03/25")</f>
        <v>Ajuste Arqueo 24/03/25</v>
      </c>
      <c r="N249" s="2"/>
      <c r="O249" s="2" t="str">
        <f ca="1">IFERROR(__xludf.DUMMYFUNCTION("""COMPUTED_VALUE"""),"Fermentando")</f>
        <v>Fermentando</v>
      </c>
      <c r="P249" s="2"/>
      <c r="Q249" s="2" t="b">
        <f ca="1">IFERROR(__xludf.DUMMYFUNCTION("""COMPUTED_VALUE"""),TRUE)</f>
        <v>1</v>
      </c>
      <c r="R249" s="2"/>
      <c r="S249" s="2"/>
      <c r="T249" s="2"/>
      <c r="U249" s="2"/>
    </row>
    <row r="250" spans="1:21" x14ac:dyDescent="0.25">
      <c r="A250" s="2" t="str">
        <f ca="1">IFERROR(__xludf.DUMMYFUNCTION("""COMPUTED_VALUE"""),"337dabfc")</f>
        <v>337dabfc</v>
      </c>
      <c r="B250" s="3">
        <f ca="1">IFERROR(__xludf.DUMMYFUNCTION("""COMPUTED_VALUE"""),45741.7418402777)</f>
        <v>45741.741840277697</v>
      </c>
      <c r="C250" s="2" t="str">
        <f ca="1">IFERROR(__xludf.DUMMYFUNCTION("""COMPUTED_VALUE"""),"f1388e78")</f>
        <v>f1388e78</v>
      </c>
      <c r="D250" s="2">
        <f ca="1">IFERROR(__xludf.DUMMYFUNCTION("""COMPUTED_VALUE"""),75)</f>
        <v>75</v>
      </c>
      <c r="E250" s="2" t="str">
        <f ca="1">IFERROR(__xludf.DUMMYFUNCTION("""COMPUTED_VALUE"""),"Aspirant 24 Rect")</f>
        <v>Aspirant 24 Rect</v>
      </c>
      <c r="F250" s="2">
        <f ca="1">IFERROR(__xludf.DUMMYFUNCTION("""COMPUTED_VALUE"""),-1500)</f>
        <v>-1500</v>
      </c>
      <c r="G250" s="2">
        <f ca="1">IFERROR(__xludf.DUMMYFUNCTION("""COMPUTED_VALUE"""),500)</f>
        <v>500</v>
      </c>
      <c r="H250" s="2" t="str">
        <f ca="1">IFERROR(__xludf.DUMMYFUNCTION("""COMPUTED_VALUE"""),"48ce0b6f")</f>
        <v>48ce0b6f</v>
      </c>
      <c r="I250" s="2" t="str">
        <f ca="1">IFERROR(__xludf.DUMMYFUNCTION("""COMPUTED_VALUE"""),"Ajuste Arqueo 24/03/25")</f>
        <v>Ajuste Arqueo 24/03/25</v>
      </c>
      <c r="J250" s="2">
        <f ca="1">IFERROR(__xludf.DUMMYFUNCTION("""COMPUTED_VALUE"""),1141)</f>
        <v>1141</v>
      </c>
      <c r="K250" s="2">
        <f ca="1">IFERROR(__xludf.DUMMYFUNCTION("""COMPUTED_VALUE"""),-359)</f>
        <v>-359</v>
      </c>
      <c r="L250" s="2" t="str">
        <f ca="1">IFERROR(__xludf.DUMMYFUNCTION("""COMPUTED_VALUE"""),"896bf192")</f>
        <v>896bf192</v>
      </c>
      <c r="M250" s="2" t="str">
        <f ca="1">IFERROR(__xludf.DUMMYFUNCTION("""COMPUTED_VALUE"""),"Ajuste Arqueo 24/03/25")</f>
        <v>Ajuste Arqueo 24/03/25</v>
      </c>
      <c r="N250" s="2"/>
      <c r="O250" s="2" t="str">
        <f ca="1">IFERROR(__xludf.DUMMYFUNCTION("""COMPUTED_VALUE"""),"Rectificado")</f>
        <v>Rectificado</v>
      </c>
      <c r="P250" s="2"/>
      <c r="Q250" s="2" t="b">
        <f ca="1">IFERROR(__xludf.DUMMYFUNCTION("""COMPUTED_VALUE"""),TRUE)</f>
        <v>1</v>
      </c>
      <c r="R250" s="2"/>
      <c r="S250" s="2"/>
      <c r="T250" s="2"/>
      <c r="U250" s="2"/>
    </row>
    <row r="251" spans="1:21" x14ac:dyDescent="0.25">
      <c r="A251" s="2" t="str">
        <f ca="1">IFERROR(__xludf.DUMMYFUNCTION("""COMPUTED_VALUE"""),"da9dd65a")</f>
        <v>da9dd65a</v>
      </c>
      <c r="B251" s="3">
        <f ca="1">IFERROR(__xludf.DUMMYFUNCTION("""COMPUTED_VALUE"""),45741.7432175925)</f>
        <v>45741.743217592499</v>
      </c>
      <c r="C251" s="2" t="str">
        <f ca="1">IFERROR(__xludf.DUMMYFUNCTION("""COMPUTED_VALUE"""),"d7488996")</f>
        <v>d7488996</v>
      </c>
      <c r="D251" s="2">
        <f ca="1">IFERROR(__xludf.DUMMYFUNCTION("""COMPUTED_VALUE"""),78)</f>
        <v>78</v>
      </c>
      <c r="E251" s="2" t="str">
        <f ca="1">IFERROR(__xludf.DUMMYFUNCTION("""COMPUTED_VALUE"""),"Tinto Recarga")</f>
        <v>Tinto Recarga</v>
      </c>
      <c r="F251" s="2">
        <f ca="1">IFERROR(__xludf.DUMMYFUNCTION("""COMPUTED_VALUE"""),-2600)</f>
        <v>-2600</v>
      </c>
      <c r="G251" s="2">
        <f ca="1">IFERROR(__xludf.DUMMYFUNCTION("""COMPUTED_VALUE"""),500)</f>
        <v>500</v>
      </c>
      <c r="H251" s="2" t="str">
        <f ca="1">IFERROR(__xludf.DUMMYFUNCTION("""COMPUTED_VALUE"""),"896bf192")</f>
        <v>896bf192</v>
      </c>
      <c r="I251" s="2" t="str">
        <f ca="1">IFERROR(__xludf.DUMMYFUNCTION("""COMPUTED_VALUE"""),"Ajuste Arqueo 24/03/25")</f>
        <v>Ajuste Arqueo 24/03/25</v>
      </c>
      <c r="J251" s="2">
        <f ca="1">IFERROR(__xludf.DUMMYFUNCTION("""COMPUTED_VALUE"""),-359)</f>
        <v>-359</v>
      </c>
      <c r="K251" s="2">
        <f ca="1">IFERROR(__xludf.DUMMYFUNCTION("""COMPUTED_VALUE"""),-2959)</f>
        <v>-2959</v>
      </c>
      <c r="L251" s="2" t="str">
        <f ca="1">IFERROR(__xludf.DUMMYFUNCTION("""COMPUTED_VALUE"""),"22f56119")</f>
        <v>22f56119</v>
      </c>
      <c r="M251" s="2" t="str">
        <f ca="1">IFERROR(__xludf.DUMMYFUNCTION("""COMPUTED_VALUE"""),"Ajuste Arqueo 24/03/25")</f>
        <v>Ajuste Arqueo 24/03/25</v>
      </c>
      <c r="N251" s="2"/>
      <c r="O251" s="2" t="str">
        <f ca="1">IFERROR(__xludf.DUMMYFUNCTION("""COMPUTED_VALUE"""),"Recarga Fermentando")</f>
        <v>Recarga Fermentando</v>
      </c>
      <c r="P251" s="2"/>
      <c r="Q251" s="2" t="b">
        <f ca="1">IFERROR(__xludf.DUMMYFUNCTION("""COMPUTED_VALUE"""),TRUE)</f>
        <v>1</v>
      </c>
      <c r="R251" s="2"/>
      <c r="S251" s="2"/>
      <c r="T251" s="2"/>
      <c r="U251" s="2"/>
    </row>
    <row r="252" spans="1:21" x14ac:dyDescent="0.25">
      <c r="A252" s="2" t="str">
        <f ca="1">IFERROR(__xludf.DUMMYFUNCTION("""COMPUTED_VALUE"""),"c5d5dd56")</f>
        <v>c5d5dd56</v>
      </c>
      <c r="B252" s="3">
        <f ca="1">IFERROR(__xludf.DUMMYFUNCTION("""COMPUTED_VALUE"""),45741.8080324074)</f>
        <v>45741.808032407404</v>
      </c>
      <c r="C252" s="2" t="str">
        <f ca="1">IFERROR(__xludf.DUMMYFUNCTION("""COMPUTED_VALUE"""),"a3cee476")</f>
        <v>a3cee476</v>
      </c>
      <c r="D252" s="2">
        <f ca="1">IFERROR(__xludf.DUMMYFUNCTION("""COMPUTED_VALUE"""),79)</f>
        <v>79</v>
      </c>
      <c r="E252" s="2" t="str">
        <f ca="1">IFERROR(__xludf.DUMMYFUNCTION("""COMPUTED_VALUE"""),"Torrontes")</f>
        <v>Torrontes</v>
      </c>
      <c r="F252" s="2">
        <f ca="1">IFERROR(__xludf.DUMMYFUNCTION("""COMPUTED_VALUE"""),860)</f>
        <v>860</v>
      </c>
      <c r="G252" s="2">
        <f ca="1">IFERROR(__xludf.DUMMYFUNCTION("""COMPUTED_VALUE"""),500)</f>
        <v>500</v>
      </c>
      <c r="H252" s="2" t="str">
        <f ca="1">IFERROR(__xludf.DUMMYFUNCTION("""COMPUTED_VALUE"""),"22f56119")</f>
        <v>22f56119</v>
      </c>
      <c r="I252" s="2" t="str">
        <f ca="1">IFERROR(__xludf.DUMMYFUNCTION("""COMPUTED_VALUE"""),"Ajuste Arqueo 24/03/25")</f>
        <v>Ajuste Arqueo 24/03/25</v>
      </c>
      <c r="J252" s="2">
        <f ca="1">IFERROR(__xludf.DUMMYFUNCTION("""COMPUTED_VALUE"""),-2959)</f>
        <v>-2959</v>
      </c>
      <c r="K252" s="2">
        <f ca="1">IFERROR(__xludf.DUMMYFUNCTION("""COMPUTED_VALUE"""),-2099)</f>
        <v>-2099</v>
      </c>
      <c r="L252" s="2" t="str">
        <f ca="1">IFERROR(__xludf.DUMMYFUNCTION("""COMPUTED_VALUE"""),"7059064e")</f>
        <v>7059064e</v>
      </c>
      <c r="M252" s="2" t="str">
        <f ca="1">IFERROR(__xludf.DUMMYFUNCTION("""COMPUTED_VALUE"""),"Ajuste Arqueo 24/03/25")</f>
        <v>Ajuste Arqueo 24/03/25</v>
      </c>
      <c r="N252" s="2"/>
      <c r="O252" s="2" t="str">
        <f ca="1">IFERROR(__xludf.DUMMYFUNCTION("""COMPUTED_VALUE"""),"Fermentando")</f>
        <v>Fermentando</v>
      </c>
      <c r="P252" s="2"/>
      <c r="Q252" s="2" t="b">
        <f ca="1">IFERROR(__xludf.DUMMYFUNCTION("""COMPUTED_VALUE"""),TRUE)</f>
        <v>1</v>
      </c>
      <c r="R252" s="2"/>
      <c r="S252" s="2"/>
      <c r="T252" s="2"/>
      <c r="U252" s="2"/>
    </row>
    <row r="253" spans="1:21" x14ac:dyDescent="0.25">
      <c r="A253" s="2" t="str">
        <f ca="1">IFERROR(__xludf.DUMMYFUNCTION("""COMPUTED_VALUE"""),"77fd5298")</f>
        <v>77fd5298</v>
      </c>
      <c r="B253" s="3">
        <f ca="1">IFERROR(__xludf.DUMMYFUNCTION("""COMPUTED_VALUE"""),45741.8088541666)</f>
        <v>45741.8088541666</v>
      </c>
      <c r="C253" s="2" t="str">
        <f ca="1">IFERROR(__xludf.DUMMYFUNCTION("""COMPUTED_VALUE"""),"b2ddb184")</f>
        <v>b2ddb184</v>
      </c>
      <c r="D253" s="2">
        <f ca="1">IFERROR(__xludf.DUMMYFUNCTION("""COMPUTED_VALUE"""),65)</f>
        <v>65</v>
      </c>
      <c r="E253" s="2" t="str">
        <f ca="1">IFERROR(__xludf.DUMMYFUNCTION("""COMPUTED_VALUE"""),"Pedro Gimenez")</f>
        <v>Pedro Gimenez</v>
      </c>
      <c r="F253" s="2">
        <f ca="1">IFERROR(__xludf.DUMMYFUNCTION("""COMPUTED_VALUE"""),-3500)</f>
        <v>-3500</v>
      </c>
      <c r="G253" s="2">
        <f ca="1">IFERROR(__xludf.DUMMYFUNCTION("""COMPUTED_VALUE"""),500)</f>
        <v>500</v>
      </c>
      <c r="H253" s="2" t="str">
        <f ca="1">IFERROR(__xludf.DUMMYFUNCTION("""COMPUTED_VALUE"""),"7059064e")</f>
        <v>7059064e</v>
      </c>
      <c r="I253" s="2" t="str">
        <f ca="1">IFERROR(__xludf.DUMMYFUNCTION("""COMPUTED_VALUE"""),"Ajuste Arqueo 24/03/25")</f>
        <v>Ajuste Arqueo 24/03/25</v>
      </c>
      <c r="J253" s="2">
        <f ca="1">IFERROR(__xludf.DUMMYFUNCTION("""COMPUTED_VALUE"""),-2099)</f>
        <v>-2099</v>
      </c>
      <c r="K253" s="2">
        <f ca="1">IFERROR(__xludf.DUMMYFUNCTION("""COMPUTED_VALUE"""),-5599)</f>
        <v>-5599</v>
      </c>
      <c r="L253" s="2" t="str">
        <f ca="1">IFERROR(__xludf.DUMMYFUNCTION("""COMPUTED_VALUE"""),"5b1a85aa")</f>
        <v>5b1a85aa</v>
      </c>
      <c r="M253" s="2" t="str">
        <f ca="1">IFERROR(__xludf.DUMMYFUNCTION("""COMPUTED_VALUE"""),"Ajuste Arqueo 24/03/25")</f>
        <v>Ajuste Arqueo 24/03/25</v>
      </c>
      <c r="N253" s="2"/>
      <c r="O253" s="2" t="str">
        <f ca="1">IFERROR(__xludf.DUMMYFUNCTION("""COMPUTED_VALUE"""),"Fermentando")</f>
        <v>Fermentando</v>
      </c>
      <c r="P253" s="2"/>
      <c r="Q253" s="2" t="b">
        <f ca="1">IFERROR(__xludf.DUMMYFUNCTION("""COMPUTED_VALUE"""),TRUE)</f>
        <v>1</v>
      </c>
      <c r="R253" s="2"/>
      <c r="S253" s="2"/>
      <c r="T253" s="2"/>
      <c r="U253" s="2"/>
    </row>
    <row r="254" spans="1:21" x14ac:dyDescent="0.25">
      <c r="A254" s="2" t="str">
        <f ca="1">IFERROR(__xludf.DUMMYFUNCTION("""COMPUTED_VALUE"""),"a4c336e8")</f>
        <v>a4c336e8</v>
      </c>
      <c r="B254" s="3">
        <f ca="1">IFERROR(__xludf.DUMMYFUNCTION("""COMPUTED_VALUE"""),45741.8100694444)</f>
        <v>45741.8100694444</v>
      </c>
      <c r="C254" s="2" t="str">
        <f ca="1">IFERROR(__xludf.DUMMYFUNCTION("""COMPUTED_VALUE"""),"4fc3176a")</f>
        <v>4fc3176a</v>
      </c>
      <c r="D254" s="2">
        <f ca="1">IFERROR(__xludf.DUMMYFUNCTION("""COMPUTED_VALUE"""),80)</f>
        <v>80</v>
      </c>
      <c r="E254" s="2" t="str">
        <f ca="1">IFERROR(__xludf.DUMMYFUNCTION("""COMPUTED_VALUE"""),"Chenin")</f>
        <v>Chenin</v>
      </c>
      <c r="F254" s="2">
        <f ca="1">IFERROR(__xludf.DUMMYFUNCTION("""COMPUTED_VALUE"""),3100)</f>
        <v>3100</v>
      </c>
      <c r="G254" s="2">
        <f ca="1">IFERROR(__xludf.DUMMYFUNCTION("""COMPUTED_VALUE"""),500)</f>
        <v>500</v>
      </c>
      <c r="H254" s="2" t="str">
        <f ca="1">IFERROR(__xludf.DUMMYFUNCTION("""COMPUTED_VALUE"""),"5b1a85aa")</f>
        <v>5b1a85aa</v>
      </c>
      <c r="I254" s="2" t="str">
        <f ca="1">IFERROR(__xludf.DUMMYFUNCTION("""COMPUTED_VALUE"""),"Ajuste Arqueo 24/03/25")</f>
        <v>Ajuste Arqueo 24/03/25</v>
      </c>
      <c r="J254" s="2">
        <f ca="1">IFERROR(__xludf.DUMMYFUNCTION("""COMPUTED_VALUE"""),-5599)</f>
        <v>-5599</v>
      </c>
      <c r="K254" s="2">
        <f ca="1">IFERROR(__xludf.DUMMYFUNCTION("""COMPUTED_VALUE"""),-2499)</f>
        <v>-2499</v>
      </c>
      <c r="L254" s="2" t="str">
        <f ca="1">IFERROR(__xludf.DUMMYFUNCTION("""COMPUTED_VALUE"""),"9c08b5f2")</f>
        <v>9c08b5f2</v>
      </c>
      <c r="M254" s="2" t="str">
        <f ca="1">IFERROR(__xludf.DUMMYFUNCTION("""COMPUTED_VALUE"""),"Ajuste Arqueo 24/03/25")</f>
        <v>Ajuste Arqueo 24/03/25</v>
      </c>
      <c r="N254" s="2"/>
      <c r="O254" s="2" t="str">
        <f ca="1">IFERROR(__xludf.DUMMYFUNCTION("""COMPUTED_VALUE"""),"Fermentando")</f>
        <v>Fermentando</v>
      </c>
      <c r="P254" s="2"/>
      <c r="Q254" s="2" t="b">
        <f ca="1">IFERROR(__xludf.DUMMYFUNCTION("""COMPUTED_VALUE"""),TRUE)</f>
        <v>1</v>
      </c>
      <c r="R254" s="2"/>
      <c r="S254" s="2"/>
      <c r="T254" s="2"/>
      <c r="U254" s="2"/>
    </row>
    <row r="255" spans="1:21" x14ac:dyDescent="0.25">
      <c r="A255" s="2" t="str">
        <f ca="1">IFERROR(__xludf.DUMMYFUNCTION("""COMPUTED_VALUE"""),"d4145dd5")</f>
        <v>d4145dd5</v>
      </c>
      <c r="B255" s="3">
        <f ca="1">IFERROR(__xludf.DUMMYFUNCTION("""COMPUTED_VALUE"""),45741.8119560185)</f>
        <v>45741.8119560185</v>
      </c>
      <c r="C255" s="2" t="str">
        <f ca="1">IFERROR(__xludf.DUMMYFUNCTION("""COMPUTED_VALUE"""),"dea77610")</f>
        <v>dea77610</v>
      </c>
      <c r="D255" s="2">
        <f ca="1">IFERROR(__xludf.DUMMYFUNCTION("""COMPUTED_VALUE"""),81)</f>
        <v>81</v>
      </c>
      <c r="E255" s="2" t="str">
        <f ca="1">IFERROR(__xludf.DUMMYFUNCTION("""COMPUTED_VALUE"""),"Torrontes")</f>
        <v>Torrontes</v>
      </c>
      <c r="F255" s="2">
        <f ca="1">IFERROR(__xludf.DUMMYFUNCTION("""COMPUTED_VALUE"""),-500)</f>
        <v>-500</v>
      </c>
      <c r="G255" s="2">
        <f ca="1">IFERROR(__xludf.DUMMYFUNCTION("""COMPUTED_VALUE"""),500)</f>
        <v>500</v>
      </c>
      <c r="H255" s="2" t="str">
        <f ca="1">IFERROR(__xludf.DUMMYFUNCTION("""COMPUTED_VALUE"""),"9c08b5f2")</f>
        <v>9c08b5f2</v>
      </c>
      <c r="I255" s="2" t="str">
        <f ca="1">IFERROR(__xludf.DUMMYFUNCTION("""COMPUTED_VALUE"""),"Ajuste Arqueo 24/03/25")</f>
        <v>Ajuste Arqueo 24/03/25</v>
      </c>
      <c r="J255" s="2">
        <f ca="1">IFERROR(__xludf.DUMMYFUNCTION("""COMPUTED_VALUE"""),-2499)</f>
        <v>-2499</v>
      </c>
      <c r="K255" s="2">
        <f ca="1">IFERROR(__xludf.DUMMYFUNCTION("""COMPUTED_VALUE"""),-2999)</f>
        <v>-2999</v>
      </c>
      <c r="L255" s="2" t="str">
        <f ca="1">IFERROR(__xludf.DUMMYFUNCTION("""COMPUTED_VALUE"""),"a85e69f1")</f>
        <v>a85e69f1</v>
      </c>
      <c r="M255" s="2" t="str">
        <f ca="1">IFERROR(__xludf.DUMMYFUNCTION("""COMPUTED_VALUE"""),"Ajuste Arqueo 24/03/25")</f>
        <v>Ajuste Arqueo 24/03/25</v>
      </c>
      <c r="N255" s="2"/>
      <c r="O255" s="2" t="str">
        <f ca="1">IFERROR(__xludf.DUMMYFUNCTION("""COMPUTED_VALUE"""),"Fermentando")</f>
        <v>Fermentando</v>
      </c>
      <c r="P255" s="2"/>
      <c r="Q255" s="2" t="b">
        <f ca="1">IFERROR(__xludf.DUMMYFUNCTION("""COMPUTED_VALUE"""),TRUE)</f>
        <v>1</v>
      </c>
      <c r="R255" s="2"/>
      <c r="S255" s="2"/>
      <c r="T255" s="2"/>
      <c r="U255" s="2"/>
    </row>
    <row r="256" spans="1:21" x14ac:dyDescent="0.25">
      <c r="A256" s="2" t="str">
        <f ca="1">IFERROR(__xludf.DUMMYFUNCTION("""COMPUTED_VALUE"""),"a13187b8")</f>
        <v>a13187b8</v>
      </c>
      <c r="B256" s="3">
        <f ca="1">IFERROR(__xludf.DUMMYFUNCTION("""COMPUTED_VALUE"""),45741.8123611111)</f>
        <v>45741.8123611111</v>
      </c>
      <c r="C256" s="2" t="str">
        <f ca="1">IFERROR(__xludf.DUMMYFUNCTION("""COMPUTED_VALUE"""),"538b2389")</f>
        <v>538b2389</v>
      </c>
      <c r="D256" s="2">
        <f ca="1">IFERROR(__xludf.DUMMYFUNCTION("""COMPUTED_VALUE"""),82)</f>
        <v>82</v>
      </c>
      <c r="E256" s="2" t="str">
        <f ca="1">IFERROR(__xludf.DUMMYFUNCTION("""COMPUTED_VALUE"""),"Tinto Criolla Rec")</f>
        <v>Tinto Criolla Rec</v>
      </c>
      <c r="F256" s="2">
        <f ca="1">IFERROR(__xludf.DUMMYFUNCTION("""COMPUTED_VALUE"""),600)</f>
        <v>600</v>
      </c>
      <c r="G256" s="2">
        <f ca="1">IFERROR(__xludf.DUMMYFUNCTION("""COMPUTED_VALUE"""),500)</f>
        <v>500</v>
      </c>
      <c r="H256" s="2" t="str">
        <f ca="1">IFERROR(__xludf.DUMMYFUNCTION("""COMPUTED_VALUE"""),"a85e69f1")</f>
        <v>a85e69f1</v>
      </c>
      <c r="I256" s="2" t="str">
        <f ca="1">IFERROR(__xludf.DUMMYFUNCTION("""COMPUTED_VALUE"""),"Ajuste Arqueo 24/03/25")</f>
        <v>Ajuste Arqueo 24/03/25</v>
      </c>
      <c r="J256" s="2">
        <f ca="1">IFERROR(__xludf.DUMMYFUNCTION("""COMPUTED_VALUE"""),-2999)</f>
        <v>-2999</v>
      </c>
      <c r="K256" s="2">
        <f ca="1">IFERROR(__xludf.DUMMYFUNCTION("""COMPUTED_VALUE"""),-2399)</f>
        <v>-2399</v>
      </c>
      <c r="L256" s="2" t="str">
        <f ca="1">IFERROR(__xludf.DUMMYFUNCTION("""COMPUTED_VALUE"""),"f9474150")</f>
        <v>f9474150</v>
      </c>
      <c r="M256" s="2" t="str">
        <f ca="1">IFERROR(__xludf.DUMMYFUNCTION("""COMPUTED_VALUE"""),"Ajuste Arqueo 24/03/25")</f>
        <v>Ajuste Arqueo 24/03/25</v>
      </c>
      <c r="N256" s="2"/>
      <c r="O256" s="2" t="str">
        <f ca="1">IFERROR(__xludf.DUMMYFUNCTION("""COMPUTED_VALUE"""),"Recarga Fermentando")</f>
        <v>Recarga Fermentando</v>
      </c>
      <c r="P256" s="2"/>
      <c r="Q256" s="2" t="b">
        <f ca="1">IFERROR(__xludf.DUMMYFUNCTION("""COMPUTED_VALUE"""),TRUE)</f>
        <v>1</v>
      </c>
      <c r="R256" s="2"/>
      <c r="S256" s="2"/>
      <c r="T256" s="2"/>
      <c r="U256" s="2"/>
    </row>
    <row r="257" spans="1:21" x14ac:dyDescent="0.25">
      <c r="A257" s="2" t="str">
        <f ca="1">IFERROR(__xludf.DUMMYFUNCTION("""COMPUTED_VALUE"""),"7692c4dc")</f>
        <v>7692c4dc</v>
      </c>
      <c r="B257" s="3">
        <f ca="1">IFERROR(__xludf.DUMMYFUNCTION("""COMPUTED_VALUE"""),45741.8130555555)</f>
        <v>45741.813055555504</v>
      </c>
      <c r="C257" s="2" t="str">
        <f ca="1">IFERROR(__xludf.DUMMYFUNCTION("""COMPUTED_VALUE"""),"d007d867")</f>
        <v>d007d867</v>
      </c>
      <c r="D257" s="2">
        <f ca="1">IFERROR(__xludf.DUMMYFUNCTION("""COMPUTED_VALUE"""),83)</f>
        <v>83</v>
      </c>
      <c r="E257" s="2" t="str">
        <f ca="1">IFERROR(__xludf.DUMMYFUNCTION("""COMPUTED_VALUE"""),"Bonarda")</f>
        <v>Bonarda</v>
      </c>
      <c r="F257" s="2">
        <f ca="1">IFERROR(__xludf.DUMMYFUNCTION("""COMPUTED_VALUE"""),2400)</f>
        <v>2400</v>
      </c>
      <c r="G257" s="2">
        <f ca="1">IFERROR(__xludf.DUMMYFUNCTION("""COMPUTED_VALUE"""),500)</f>
        <v>500</v>
      </c>
      <c r="H257" s="2" t="str">
        <f ca="1">IFERROR(__xludf.DUMMYFUNCTION("""COMPUTED_VALUE"""),"f9474150")</f>
        <v>f9474150</v>
      </c>
      <c r="I257" s="2" t="str">
        <f ca="1">IFERROR(__xludf.DUMMYFUNCTION("""COMPUTED_VALUE"""),"Ajuste Arqueo 24/03/25")</f>
        <v>Ajuste Arqueo 24/03/25</v>
      </c>
      <c r="J257" s="2">
        <f ca="1">IFERROR(__xludf.DUMMYFUNCTION("""COMPUTED_VALUE"""),-2399)</f>
        <v>-2399</v>
      </c>
      <c r="K257" s="2">
        <f ca="1">IFERROR(__xludf.DUMMYFUNCTION("""COMPUTED_VALUE"""),1)</f>
        <v>1</v>
      </c>
      <c r="L257" s="2" t="str">
        <f ca="1">IFERROR(__xludf.DUMMYFUNCTION("""COMPUTED_VALUE"""),"811c911e")</f>
        <v>811c911e</v>
      </c>
      <c r="M257" s="2" t="str">
        <f ca="1">IFERROR(__xludf.DUMMYFUNCTION("""COMPUTED_VALUE"""),"Ajuste Arqueo 24/03/25")</f>
        <v>Ajuste Arqueo 24/03/25</v>
      </c>
      <c r="N257" s="2"/>
      <c r="O257" s="2" t="str">
        <f ca="1">IFERROR(__xludf.DUMMYFUNCTION("""COMPUTED_VALUE"""),"Fermentando")</f>
        <v>Fermentando</v>
      </c>
      <c r="P257" s="2"/>
      <c r="Q257" s="2" t="b">
        <f ca="1">IFERROR(__xludf.DUMMYFUNCTION("""COMPUTED_VALUE"""),TRUE)</f>
        <v>1</v>
      </c>
      <c r="R257" s="2"/>
      <c r="S257" s="2"/>
      <c r="T257" s="2"/>
      <c r="U257" s="2"/>
    </row>
    <row r="258" spans="1:21" x14ac:dyDescent="0.25">
      <c r="A258" s="2" t="str">
        <f ca="1">IFERROR(__xludf.DUMMYFUNCTION("""COMPUTED_VALUE"""),"9416a7f1")</f>
        <v>9416a7f1</v>
      </c>
      <c r="B258" s="3">
        <f ca="1">IFERROR(__xludf.DUMMYFUNCTION("""COMPUTED_VALUE"""),45741.8135300925)</f>
        <v>45741.813530092499</v>
      </c>
      <c r="C258" s="2" t="str">
        <f ca="1">IFERROR(__xludf.DUMMYFUNCTION("""COMPUTED_VALUE"""),"2fe32030")</f>
        <v>2fe32030</v>
      </c>
      <c r="D258" s="2">
        <f ca="1">IFERROR(__xludf.DUMMYFUNCTION("""COMPUTED_VALUE"""),84)</f>
        <v>84</v>
      </c>
      <c r="E258" s="2" t="str">
        <f ca="1">IFERROR(__xludf.DUMMYFUNCTION("""COMPUTED_VALUE"""),"Malbec Mec")</f>
        <v>Malbec Mec</v>
      </c>
      <c r="F258" s="2">
        <f ca="1">IFERROR(__xludf.DUMMYFUNCTION("""COMPUTED_VALUE"""),400)</f>
        <v>400</v>
      </c>
      <c r="G258" s="2">
        <f ca="1">IFERROR(__xludf.DUMMYFUNCTION("""COMPUTED_VALUE"""),500)</f>
        <v>500</v>
      </c>
      <c r="H258" s="2" t="str">
        <f ca="1">IFERROR(__xludf.DUMMYFUNCTION("""COMPUTED_VALUE"""),"811c911e")</f>
        <v>811c911e</v>
      </c>
      <c r="I258" s="2" t="str">
        <f ca="1">IFERROR(__xludf.DUMMYFUNCTION("""COMPUTED_VALUE"""),"Ajuste Arqueo 24/03/25")</f>
        <v>Ajuste Arqueo 24/03/25</v>
      </c>
      <c r="J258" s="2">
        <f ca="1">IFERROR(__xludf.DUMMYFUNCTION("""COMPUTED_VALUE"""),1)</f>
        <v>1</v>
      </c>
      <c r="K258" s="2">
        <f ca="1">IFERROR(__xludf.DUMMYFUNCTION("""COMPUTED_VALUE"""),401)</f>
        <v>401</v>
      </c>
      <c r="L258" s="2" t="str">
        <f ca="1">IFERROR(__xludf.DUMMYFUNCTION("""COMPUTED_VALUE"""),"7e71a1c9")</f>
        <v>7e71a1c9</v>
      </c>
      <c r="M258" s="2" t="str">
        <f ca="1">IFERROR(__xludf.DUMMYFUNCTION("""COMPUTED_VALUE"""),"Ajuste Arqueo 24/03/25")</f>
        <v>Ajuste Arqueo 24/03/25</v>
      </c>
      <c r="N258" s="2"/>
      <c r="O258" s="2" t="str">
        <f ca="1">IFERROR(__xludf.DUMMYFUNCTION("""COMPUTED_VALUE"""),"Fermentando")</f>
        <v>Fermentando</v>
      </c>
      <c r="P258" s="2"/>
      <c r="Q258" s="2" t="b">
        <f ca="1">IFERROR(__xludf.DUMMYFUNCTION("""COMPUTED_VALUE"""),TRUE)</f>
        <v>1</v>
      </c>
      <c r="R258" s="2"/>
      <c r="S258" s="2"/>
      <c r="T258" s="2"/>
      <c r="U258" s="2"/>
    </row>
    <row r="259" spans="1:21" x14ac:dyDescent="0.25">
      <c r="A259" s="2" t="str">
        <f ca="1">IFERROR(__xludf.DUMMYFUNCTION("""COMPUTED_VALUE"""),"2fcfb429")</f>
        <v>2fcfb429</v>
      </c>
      <c r="B259" s="3">
        <f ca="1">IFERROR(__xludf.DUMMYFUNCTION("""COMPUTED_VALUE"""),45741.8239699074)</f>
        <v>45741.823969907397</v>
      </c>
      <c r="C259" s="2" t="str">
        <f ca="1">IFERROR(__xludf.DUMMYFUNCTION("""COMPUTED_VALUE"""),"239b5e04")</f>
        <v>239b5e04</v>
      </c>
      <c r="D259" s="2">
        <f ca="1">IFERROR(__xludf.DUMMYFUNCTION("""COMPUTED_VALUE"""),89)</f>
        <v>89</v>
      </c>
      <c r="E259" s="2" t="str">
        <f ca="1">IFERROR(__xludf.DUMMYFUNCTION("""COMPUTED_VALUE"""),"Malbec Mec")</f>
        <v>Malbec Mec</v>
      </c>
      <c r="F259" s="2">
        <f ca="1">IFERROR(__xludf.DUMMYFUNCTION("""COMPUTED_VALUE"""),-5000)</f>
        <v>-5000</v>
      </c>
      <c r="G259" s="2">
        <f ca="1">IFERROR(__xludf.DUMMYFUNCTION("""COMPUTED_VALUE"""),500)</f>
        <v>500</v>
      </c>
      <c r="H259" s="2" t="str">
        <f ca="1">IFERROR(__xludf.DUMMYFUNCTION("""COMPUTED_VALUE"""),"7e71a1c9")</f>
        <v>7e71a1c9</v>
      </c>
      <c r="I259" s="2" t="str">
        <f ca="1">IFERROR(__xludf.DUMMYFUNCTION("""COMPUTED_VALUE"""),"Ajuste Arqueo 24/03/25")</f>
        <v>Ajuste Arqueo 24/03/25</v>
      </c>
      <c r="J259" s="2">
        <f ca="1">IFERROR(__xludf.DUMMYFUNCTION("""COMPUTED_VALUE"""),401)</f>
        <v>401</v>
      </c>
      <c r="K259" s="2">
        <f ca="1">IFERROR(__xludf.DUMMYFUNCTION("""COMPUTED_VALUE"""),-4599)</f>
        <v>-4599</v>
      </c>
      <c r="L259" s="2" t="str">
        <f ca="1">IFERROR(__xludf.DUMMYFUNCTION("""COMPUTED_VALUE"""),"d2438b41")</f>
        <v>d2438b41</v>
      </c>
      <c r="M259" s="2" t="str">
        <f ca="1">IFERROR(__xludf.DUMMYFUNCTION("""COMPUTED_VALUE"""),"Ajuste Arqueo 24/03/25")</f>
        <v>Ajuste Arqueo 24/03/25</v>
      </c>
      <c r="N259" s="2"/>
      <c r="O259" s="2" t="str">
        <f ca="1">IFERROR(__xludf.DUMMYFUNCTION("""COMPUTED_VALUE"""),"Fermentando")</f>
        <v>Fermentando</v>
      </c>
      <c r="P259" s="2"/>
      <c r="Q259" s="2" t="b">
        <f ca="1">IFERROR(__xludf.DUMMYFUNCTION("""COMPUTED_VALUE"""),TRUE)</f>
        <v>1</v>
      </c>
      <c r="R259" s="2"/>
      <c r="S259" s="2"/>
      <c r="T259" s="2"/>
      <c r="U259" s="2"/>
    </row>
    <row r="260" spans="1:21" x14ac:dyDescent="0.25">
      <c r="A260" s="2" t="str">
        <f ca="1">IFERROR(__xludf.DUMMYFUNCTION("""COMPUTED_VALUE"""),"c991eeed")</f>
        <v>c991eeed</v>
      </c>
      <c r="B260" s="3">
        <f ca="1">IFERROR(__xludf.DUMMYFUNCTION("""COMPUTED_VALUE"""),45741.8269907407)</f>
        <v>45741.826990740701</v>
      </c>
      <c r="C260" s="2" t="str">
        <f ca="1">IFERROR(__xludf.DUMMYFUNCTION("""COMPUTED_VALUE"""),"abbbaccc")</f>
        <v>abbbaccc</v>
      </c>
      <c r="D260" s="2">
        <f ca="1">IFERROR(__xludf.DUMMYFUNCTION("""COMPUTED_VALUE"""),931)</f>
        <v>931</v>
      </c>
      <c r="E260" s="2" t="str">
        <f ca="1">IFERROR(__xludf.DUMMYFUNCTION("""COMPUTED_VALUE"""),"Bonarda 24")</f>
        <v>Bonarda 24</v>
      </c>
      <c r="F260" s="2">
        <f ca="1">IFERROR(__xludf.DUMMYFUNCTION("""COMPUTED_VALUE"""),1700)</f>
        <v>1700</v>
      </c>
      <c r="G260" s="2">
        <f ca="1">IFERROR(__xludf.DUMMYFUNCTION("""COMPUTED_VALUE"""),500)</f>
        <v>500</v>
      </c>
      <c r="H260" s="2" t="str">
        <f ca="1">IFERROR(__xludf.DUMMYFUNCTION("""COMPUTED_VALUE"""),"d2438b41")</f>
        <v>d2438b41</v>
      </c>
      <c r="I260" s="2" t="str">
        <f ca="1">IFERROR(__xludf.DUMMYFUNCTION("""COMPUTED_VALUE"""),"Ajuste Arqueo 24/03/25")</f>
        <v>Ajuste Arqueo 24/03/25</v>
      </c>
      <c r="J260" s="2">
        <f ca="1">IFERROR(__xludf.DUMMYFUNCTION("""COMPUTED_VALUE"""),-4599)</f>
        <v>-4599</v>
      </c>
      <c r="K260" s="2">
        <f ca="1">IFERROR(__xludf.DUMMYFUNCTION("""COMPUTED_VALUE"""),-2899)</f>
        <v>-2899</v>
      </c>
      <c r="L260" s="2" t="str">
        <f ca="1">IFERROR(__xludf.DUMMYFUNCTION("""COMPUTED_VALUE"""),"4553393f")</f>
        <v>4553393f</v>
      </c>
      <c r="M260" s="2" t="str">
        <f ca="1">IFERROR(__xludf.DUMMYFUNCTION("""COMPUTED_VALUE"""),"Bonarda 24")</f>
        <v>Bonarda 24</v>
      </c>
      <c r="N260" s="2" t="str">
        <f ca="1">IFERROR(__xludf.DUMMYFUNCTION("""COMPUTED_VALUE"""),"Despacho vino venta")</f>
        <v>Despacho vino venta</v>
      </c>
      <c r="O260" s="2" t="str">
        <f ca="1">IFERROR(__xludf.DUMMYFUNCTION("""COMPUTED_VALUE"""),"Terminado")</f>
        <v>Terminado</v>
      </c>
      <c r="P260" s="2"/>
      <c r="Q260" s="2" t="b">
        <f ca="1">IFERROR(__xludf.DUMMYFUNCTION("""COMPUTED_VALUE"""),FALSE)</f>
        <v>0</v>
      </c>
      <c r="R260" s="2" t="str">
        <f ca="1">IFERROR(__xludf.DUMMYFUNCTION("""COMPUTED_VALUE"""),"Terminado")</f>
        <v>Terminado</v>
      </c>
      <c r="S260" s="2"/>
      <c r="T260" s="2"/>
      <c r="U260" s="2"/>
    </row>
    <row r="261" spans="1:21" x14ac:dyDescent="0.25">
      <c r="A261" s="2" t="str">
        <f ca="1">IFERROR(__xludf.DUMMYFUNCTION("""COMPUTED_VALUE"""),"2a6689a5")</f>
        <v>2a6689a5</v>
      </c>
      <c r="B261" s="3">
        <f ca="1">IFERROR(__xludf.DUMMYFUNCTION("""COMPUTED_VALUE"""),45741.8274537037)</f>
        <v>45741.8274537037</v>
      </c>
      <c r="C261" s="2" t="str">
        <f ca="1">IFERROR(__xludf.DUMMYFUNCTION("""COMPUTED_VALUE"""),"7b27f7a2")</f>
        <v>7b27f7a2</v>
      </c>
      <c r="D261" s="2">
        <f ca="1">IFERROR(__xludf.DUMMYFUNCTION("""COMPUTED_VALUE"""),96)</f>
        <v>96</v>
      </c>
      <c r="E261" s="2" t="str">
        <f ca="1">IFERROR(__xludf.DUMMYFUNCTION("""COMPUTED_VALUE"""),"Tinto Recarga")</f>
        <v>Tinto Recarga</v>
      </c>
      <c r="F261" s="2">
        <f ca="1">IFERROR(__xludf.DUMMYFUNCTION("""COMPUTED_VALUE"""),-1000)</f>
        <v>-1000</v>
      </c>
      <c r="G261" s="2">
        <f ca="1">IFERROR(__xludf.DUMMYFUNCTION("""COMPUTED_VALUE"""),500)</f>
        <v>500</v>
      </c>
      <c r="H261" s="2" t="str">
        <f ca="1">IFERROR(__xludf.DUMMYFUNCTION("""COMPUTED_VALUE"""),"4553393f")</f>
        <v>4553393f</v>
      </c>
      <c r="I261" s="2" t="str">
        <f ca="1">IFERROR(__xludf.DUMMYFUNCTION("""COMPUTED_VALUE"""),"Bonarda 24")</f>
        <v>Bonarda 24</v>
      </c>
      <c r="J261" s="2">
        <f ca="1">IFERROR(__xludf.DUMMYFUNCTION("""COMPUTED_VALUE"""),-2899)</f>
        <v>-2899</v>
      </c>
      <c r="K261" s="2">
        <f ca="1">IFERROR(__xludf.DUMMYFUNCTION("""COMPUTED_VALUE"""),-3899)</f>
        <v>-3899</v>
      </c>
      <c r="L261" s="2" t="str">
        <f ca="1">IFERROR(__xludf.DUMMYFUNCTION("""COMPUTED_VALUE"""),"4f64f8ff")</f>
        <v>4f64f8ff</v>
      </c>
      <c r="M261" s="2" t="str">
        <f ca="1">IFERROR(__xludf.DUMMYFUNCTION("""COMPUTED_VALUE"""),"Bonarda 24")</f>
        <v>Bonarda 24</v>
      </c>
      <c r="N261" s="2"/>
      <c r="O261" s="2" t="str">
        <f ca="1">IFERROR(__xludf.DUMMYFUNCTION("""COMPUTED_VALUE"""),"Recarga Fermentando")</f>
        <v>Recarga Fermentando</v>
      </c>
      <c r="P261" s="2" t="str">
        <f ca="1">IFERROR(__xludf.DUMMYFUNCTION("""COMPUTED_VALUE"""),"Terminado")</f>
        <v>Terminado</v>
      </c>
      <c r="Q261" s="2" t="b">
        <f ca="1">IFERROR(__xludf.DUMMYFUNCTION("""COMPUTED_VALUE"""),TRUE)</f>
        <v>1</v>
      </c>
      <c r="R261" s="2" t="str">
        <f ca="1">IFERROR(__xludf.DUMMYFUNCTION("""COMPUTED_VALUE"""),"Terminado")</f>
        <v>Terminado</v>
      </c>
      <c r="S261" s="2"/>
      <c r="T261" s="2"/>
      <c r="U261" s="2"/>
    </row>
    <row r="262" spans="1:21" x14ac:dyDescent="0.25">
      <c r="A262" s="2" t="str">
        <f ca="1">IFERROR(__xludf.DUMMYFUNCTION("""COMPUTED_VALUE"""),"e310e9ee")</f>
        <v>e310e9ee</v>
      </c>
      <c r="B262" s="3">
        <f ca="1">IFERROR(__xludf.DUMMYFUNCTION("""COMPUTED_VALUE"""),45741.8277662037)</f>
        <v>45741.8277662037</v>
      </c>
      <c r="C262" s="2" t="str">
        <f ca="1">IFERROR(__xludf.DUMMYFUNCTION("""COMPUTED_VALUE"""),"a2ec7d6d")</f>
        <v>a2ec7d6d</v>
      </c>
      <c r="D262" s="2">
        <f ca="1">IFERROR(__xludf.DUMMYFUNCTION("""COMPUTED_VALUE"""),103)</f>
        <v>103</v>
      </c>
      <c r="E262" s="2" t="str">
        <f ca="1">IFERROR(__xludf.DUMMYFUNCTION("""COMPUTED_VALUE"""),"Anccelotta")</f>
        <v>Anccelotta</v>
      </c>
      <c r="F262" s="2">
        <f ca="1">IFERROR(__xludf.DUMMYFUNCTION("""COMPUTED_VALUE"""),1000)</f>
        <v>1000</v>
      </c>
      <c r="G262" s="2">
        <f ca="1">IFERROR(__xludf.DUMMYFUNCTION("""COMPUTED_VALUE"""),500)</f>
        <v>500</v>
      </c>
      <c r="H262" s="2" t="str">
        <f ca="1">IFERROR(__xludf.DUMMYFUNCTION("""COMPUTED_VALUE"""),"4f64f8ff")</f>
        <v>4f64f8ff</v>
      </c>
      <c r="I262" s="2" t="str">
        <f ca="1">IFERROR(__xludf.DUMMYFUNCTION("""COMPUTED_VALUE"""),"Bonarda 24")</f>
        <v>Bonarda 24</v>
      </c>
      <c r="J262" s="2">
        <f ca="1">IFERROR(__xludf.DUMMYFUNCTION("""COMPUTED_VALUE"""),-3899)</f>
        <v>-3899</v>
      </c>
      <c r="K262" s="2">
        <f ca="1">IFERROR(__xludf.DUMMYFUNCTION("""COMPUTED_VALUE"""),-2899)</f>
        <v>-2899</v>
      </c>
      <c r="L262" s="2" t="str">
        <f ca="1">IFERROR(__xludf.DUMMYFUNCTION("""COMPUTED_VALUE"""),"3f692936")</f>
        <v>3f692936</v>
      </c>
      <c r="M262" s="2" t="str">
        <f ca="1">IFERROR(__xludf.DUMMYFUNCTION("""COMPUTED_VALUE"""),"Bonarda 24")</f>
        <v>Bonarda 24</v>
      </c>
      <c r="N262" s="2"/>
      <c r="O262" s="2" t="str">
        <f ca="1">IFERROR(__xludf.DUMMYFUNCTION("""COMPUTED_VALUE"""),"Descubada")</f>
        <v>Descubada</v>
      </c>
      <c r="P262" s="2" t="str">
        <f ca="1">IFERROR(__xludf.DUMMYFUNCTION("""COMPUTED_VALUE"""),"Terminado")</f>
        <v>Terminado</v>
      </c>
      <c r="Q262" s="2" t="b">
        <f ca="1">IFERROR(__xludf.DUMMYFUNCTION("""COMPUTED_VALUE"""),TRUE)</f>
        <v>1</v>
      </c>
      <c r="R262" s="2" t="str">
        <f ca="1">IFERROR(__xludf.DUMMYFUNCTION("""COMPUTED_VALUE"""),"Terminado")</f>
        <v>Terminado</v>
      </c>
      <c r="S262" s="2"/>
      <c r="T262" s="2"/>
      <c r="U262" s="2"/>
    </row>
    <row r="263" spans="1:21" x14ac:dyDescent="0.25">
      <c r="A263" s="2" t="str">
        <f ca="1">IFERROR(__xludf.DUMMYFUNCTION("""COMPUTED_VALUE"""),"5039b31b")</f>
        <v>5039b31b</v>
      </c>
      <c r="B263" s="3">
        <f ca="1">IFERROR(__xludf.DUMMYFUNCTION("""COMPUTED_VALUE"""),45741.8279976851)</f>
        <v>45741.827997685097</v>
      </c>
      <c r="C263" s="2" t="str">
        <f ca="1">IFERROR(__xludf.DUMMYFUNCTION("""COMPUTED_VALUE"""),"78caf863")</f>
        <v>78caf863</v>
      </c>
      <c r="D263" s="2">
        <f ca="1">IFERROR(__xludf.DUMMYFUNCTION("""COMPUTED_VALUE"""),104)</f>
        <v>104</v>
      </c>
      <c r="E263" s="2" t="str">
        <f ca="1">IFERROR(__xludf.DUMMYFUNCTION("""COMPUTED_VALUE"""),"Tempranillo")</f>
        <v>Tempranillo</v>
      </c>
      <c r="F263" s="2">
        <f ca="1">IFERROR(__xludf.DUMMYFUNCTION("""COMPUTED_VALUE"""),1000)</f>
        <v>1000</v>
      </c>
      <c r="G263" s="2">
        <f ca="1">IFERROR(__xludf.DUMMYFUNCTION("""COMPUTED_VALUE"""),500)</f>
        <v>500</v>
      </c>
      <c r="H263" s="2" t="str">
        <f ca="1">IFERROR(__xludf.DUMMYFUNCTION("""COMPUTED_VALUE"""),"3f692936")</f>
        <v>3f692936</v>
      </c>
      <c r="I263" s="2" t="str">
        <f ca="1">IFERROR(__xludf.DUMMYFUNCTION("""COMPUTED_VALUE"""),"Bonarda 24")</f>
        <v>Bonarda 24</v>
      </c>
      <c r="J263" s="2">
        <f ca="1">IFERROR(__xludf.DUMMYFUNCTION("""COMPUTED_VALUE"""),-2899)</f>
        <v>-2899</v>
      </c>
      <c r="K263" s="2">
        <f ca="1">IFERROR(__xludf.DUMMYFUNCTION("""COMPUTED_VALUE"""),-1899)</f>
        <v>-1899</v>
      </c>
      <c r="L263" s="2" t="str">
        <f ca="1">IFERROR(__xludf.DUMMYFUNCTION("""COMPUTED_VALUE"""),"c625482f")</f>
        <v>c625482f</v>
      </c>
      <c r="M263" s="2" t="str">
        <f ca="1">IFERROR(__xludf.DUMMYFUNCTION("""COMPUTED_VALUE"""),"Bonarda 24")</f>
        <v>Bonarda 24</v>
      </c>
      <c r="N263" s="2"/>
      <c r="O263" s="2" t="str">
        <f ca="1">IFERROR(__xludf.DUMMYFUNCTION("""COMPUTED_VALUE"""),"Descubada")</f>
        <v>Descubada</v>
      </c>
      <c r="P263" s="2" t="str">
        <f ca="1">IFERROR(__xludf.DUMMYFUNCTION("""COMPUTED_VALUE"""),"Terminado")</f>
        <v>Terminado</v>
      </c>
      <c r="Q263" s="2" t="b">
        <f ca="1">IFERROR(__xludf.DUMMYFUNCTION("""COMPUTED_VALUE"""),TRUE)</f>
        <v>1</v>
      </c>
      <c r="R263" s="2" t="str">
        <f ca="1">IFERROR(__xludf.DUMMYFUNCTION("""COMPUTED_VALUE"""),"Terminado")</f>
        <v>Terminado</v>
      </c>
      <c r="S263" s="2"/>
      <c r="T263" s="2"/>
      <c r="U263" s="2"/>
    </row>
    <row r="264" spans="1:21" x14ac:dyDescent="0.25">
      <c r="A264" s="2" t="str">
        <f ca="1">IFERROR(__xludf.DUMMYFUNCTION("""COMPUTED_VALUE"""),"dbd23b4a")</f>
        <v>dbd23b4a</v>
      </c>
      <c r="B264" s="3">
        <f ca="1">IFERROR(__xludf.DUMMYFUNCTION("""COMPUTED_VALUE"""),45741.8285879629)</f>
        <v>45741.828587962897</v>
      </c>
      <c r="C264" s="2" t="str">
        <f ca="1">IFERROR(__xludf.DUMMYFUNCTION("""COMPUTED_VALUE"""),"54d0d860")</f>
        <v>54d0d860</v>
      </c>
      <c r="D264" s="2">
        <f ca="1">IFERROR(__xludf.DUMMYFUNCTION("""COMPUTED_VALUE"""),105)</f>
        <v>105</v>
      </c>
      <c r="E264" s="2" t="str">
        <f ca="1">IFERROR(__xludf.DUMMYFUNCTION("""COMPUTED_VALUE"""),"Ancellotta Tempranillo")</f>
        <v>Ancellotta Tempranillo</v>
      </c>
      <c r="F264" s="2">
        <f ca="1">IFERROR(__xludf.DUMMYFUNCTION("""COMPUTED_VALUE"""),5000)</f>
        <v>5000</v>
      </c>
      <c r="G264" s="2">
        <f ca="1">IFERROR(__xludf.DUMMYFUNCTION("""COMPUTED_VALUE"""),500)</f>
        <v>500</v>
      </c>
      <c r="H264" s="2" t="str">
        <f ca="1">IFERROR(__xludf.DUMMYFUNCTION("""COMPUTED_VALUE"""),"c625482f")</f>
        <v>c625482f</v>
      </c>
      <c r="I264" s="2" t="str">
        <f ca="1">IFERROR(__xludf.DUMMYFUNCTION("""COMPUTED_VALUE"""),"Ajuste")</f>
        <v>Ajuste</v>
      </c>
      <c r="J264" s="2">
        <f ca="1">IFERROR(__xludf.DUMMYFUNCTION("""COMPUTED_VALUE"""),-1899)</f>
        <v>-1899</v>
      </c>
      <c r="K264" s="2">
        <f ca="1">IFERROR(__xludf.DUMMYFUNCTION("""COMPUTED_VALUE"""),3101)</f>
        <v>3101</v>
      </c>
      <c r="L264" s="2" t="str">
        <f ca="1">IFERROR(__xludf.DUMMYFUNCTION("""COMPUTED_VALUE"""),"cddd0d08")</f>
        <v>cddd0d08</v>
      </c>
      <c r="M264" s="2" t="str">
        <f ca="1">IFERROR(__xludf.DUMMYFUNCTION("""COMPUTED_VALUE"""),"Ajuste Arq 25/03/25")</f>
        <v>Ajuste Arq 25/03/25</v>
      </c>
      <c r="N264" s="2"/>
      <c r="O264" s="2" t="str">
        <f ca="1">IFERROR(__xludf.DUMMYFUNCTION("""COMPUTED_VALUE"""),"Descubada")</f>
        <v>Descubada</v>
      </c>
      <c r="P264" s="2" t="str">
        <f ca="1">IFERROR(__xludf.DUMMYFUNCTION("""COMPUTED_VALUE"""),"Terminado")</f>
        <v>Terminado</v>
      </c>
      <c r="Q264" s="2" t="b">
        <f ca="1">IFERROR(__xludf.DUMMYFUNCTION("""COMPUTED_VALUE"""),TRUE)</f>
        <v>1</v>
      </c>
      <c r="R264" s="2" t="str">
        <f ca="1">IFERROR(__xludf.DUMMYFUNCTION("""COMPUTED_VALUE"""),"Terminado")</f>
        <v>Terminado</v>
      </c>
      <c r="S264" s="2"/>
      <c r="T264" s="2"/>
      <c r="U264" s="2"/>
    </row>
    <row r="265" spans="1:21" x14ac:dyDescent="0.25">
      <c r="A265" s="2" t="str">
        <f ca="1">IFERROR(__xludf.DUMMYFUNCTION("""COMPUTED_VALUE"""),"786226ab")</f>
        <v>786226ab</v>
      </c>
      <c r="B265" s="3">
        <f ca="1">IFERROR(__xludf.DUMMYFUNCTION("""COMPUTED_VALUE"""),45741.8294907407)</f>
        <v>45741.829490740703</v>
      </c>
      <c r="C265" s="2" t="str">
        <f ca="1">IFERROR(__xludf.DUMMYFUNCTION("""COMPUTED_VALUE"""),"afed01fa")</f>
        <v>afed01fa</v>
      </c>
      <c r="D265" s="2">
        <f ca="1">IFERROR(__xludf.DUMMYFUNCTION("""COMPUTED_VALUE"""),107)</f>
        <v>107</v>
      </c>
      <c r="E265" s="2" t="str">
        <f ca="1">IFERROR(__xludf.DUMMYFUNCTION("""COMPUTED_VALUE"""),"Ancellotta Tempranillo Pren")</f>
        <v>Ancellotta Tempranillo Pren</v>
      </c>
      <c r="F265" s="2">
        <f ca="1">IFERROR(__xludf.DUMMYFUNCTION("""COMPUTED_VALUE"""),1000)</f>
        <v>1000</v>
      </c>
      <c r="G265" s="2">
        <f ca="1">IFERROR(__xludf.DUMMYFUNCTION("""COMPUTED_VALUE"""),500)</f>
        <v>500</v>
      </c>
      <c r="H265" s="2" t="str">
        <f ca="1">IFERROR(__xludf.DUMMYFUNCTION("""COMPUTED_VALUE"""),"cddd0d08")</f>
        <v>cddd0d08</v>
      </c>
      <c r="I265" s="2" t="str">
        <f ca="1">IFERROR(__xludf.DUMMYFUNCTION("""COMPUTED_VALUE"""),"Ajuste Arq 25/03/25")</f>
        <v>Ajuste Arq 25/03/25</v>
      </c>
      <c r="J265" s="2">
        <f ca="1">IFERROR(__xludf.DUMMYFUNCTION("""COMPUTED_VALUE"""),3101)</f>
        <v>3101</v>
      </c>
      <c r="K265" s="2">
        <f ca="1">IFERROR(__xludf.DUMMYFUNCTION("""COMPUTED_VALUE"""),4101)</f>
        <v>4101</v>
      </c>
      <c r="L265" s="2" t="str">
        <f ca="1">IFERROR(__xludf.DUMMYFUNCTION("""COMPUTED_VALUE"""),"666c05a4")</f>
        <v>666c05a4</v>
      </c>
      <c r="M265" s="2" t="str">
        <f ca="1">IFERROR(__xludf.DUMMYFUNCTION("""COMPUTED_VALUE"""),"Ajuste Arq 25/03/25")</f>
        <v>Ajuste Arq 25/03/25</v>
      </c>
      <c r="N265" s="2"/>
      <c r="O265" s="2" t="str">
        <f ca="1">IFERROR(__xludf.DUMMYFUNCTION("""COMPUTED_VALUE"""),"Descubada")</f>
        <v>Descubada</v>
      </c>
      <c r="P265" s="2" t="str">
        <f ca="1">IFERROR(__xludf.DUMMYFUNCTION("""COMPUTED_VALUE"""),"Terminado")</f>
        <v>Terminado</v>
      </c>
      <c r="Q265" s="2" t="b">
        <f ca="1">IFERROR(__xludf.DUMMYFUNCTION("""COMPUTED_VALUE"""),TRUE)</f>
        <v>1</v>
      </c>
      <c r="R265" s="2" t="str">
        <f ca="1">IFERROR(__xludf.DUMMYFUNCTION("""COMPUTED_VALUE"""),"Terminado")</f>
        <v>Terminado</v>
      </c>
      <c r="S265" s="2"/>
      <c r="T265" s="2"/>
      <c r="U265" s="2"/>
    </row>
    <row r="266" spans="1:21" x14ac:dyDescent="0.25">
      <c r="A266" s="2" t="str">
        <f ca="1">IFERROR(__xludf.DUMMYFUNCTION("""COMPUTED_VALUE"""),"dbd6771c")</f>
        <v>dbd6771c</v>
      </c>
      <c r="B266" s="3">
        <f ca="1">IFERROR(__xludf.DUMMYFUNCTION("""COMPUTED_VALUE"""),45741.8298379629)</f>
        <v>45741.829837962898</v>
      </c>
      <c r="C266" s="2" t="str">
        <f ca="1">IFERROR(__xludf.DUMMYFUNCTION("""COMPUTED_VALUE"""),"3907dbfc")</f>
        <v>3907dbfc</v>
      </c>
      <c r="D266" s="2">
        <f ca="1">IFERROR(__xludf.DUMMYFUNCTION("""COMPUTED_VALUE"""),108)</f>
        <v>108</v>
      </c>
      <c r="E266" s="2" t="str">
        <f ca="1">IFERROR(__xludf.DUMMYFUNCTION("""COMPUTED_VALUE"""),"Bonarda C2")</f>
        <v>Bonarda C2</v>
      </c>
      <c r="F266" s="2">
        <f ca="1">IFERROR(__xludf.DUMMYFUNCTION("""COMPUTED_VALUE"""),1000)</f>
        <v>1000</v>
      </c>
      <c r="G266" s="2">
        <f ca="1">IFERROR(__xludf.DUMMYFUNCTION("""COMPUTED_VALUE"""),500)</f>
        <v>500</v>
      </c>
      <c r="H266" s="2" t="str">
        <f ca="1">IFERROR(__xludf.DUMMYFUNCTION("""COMPUTED_VALUE"""),"666c05a4")</f>
        <v>666c05a4</v>
      </c>
      <c r="I266" s="2" t="str">
        <f ca="1">IFERROR(__xludf.DUMMYFUNCTION("""COMPUTED_VALUE"""),"Ajuste Arq 25/03/25")</f>
        <v>Ajuste Arq 25/03/25</v>
      </c>
      <c r="J266" s="2">
        <f ca="1">IFERROR(__xludf.DUMMYFUNCTION("""COMPUTED_VALUE"""),4101)</f>
        <v>4101</v>
      </c>
      <c r="K266" s="2">
        <f ca="1">IFERROR(__xludf.DUMMYFUNCTION("""COMPUTED_VALUE"""),5101)</f>
        <v>5101</v>
      </c>
      <c r="L266" s="2" t="str">
        <f ca="1">IFERROR(__xludf.DUMMYFUNCTION("""COMPUTED_VALUE"""),"ba65567d")</f>
        <v>ba65567d</v>
      </c>
      <c r="M266" s="2" t="str">
        <f ca="1">IFERROR(__xludf.DUMMYFUNCTION("""COMPUTED_VALUE"""),"Ajuste Arq 25/03/25")</f>
        <v>Ajuste Arq 25/03/25</v>
      </c>
      <c r="N266" s="2"/>
      <c r="O266" s="2" t="str">
        <f ca="1">IFERROR(__xludf.DUMMYFUNCTION("""COMPUTED_VALUE"""),"Descubada")</f>
        <v>Descubada</v>
      </c>
      <c r="P266" s="2" t="str">
        <f ca="1">IFERROR(__xludf.DUMMYFUNCTION("""COMPUTED_VALUE"""),"Terminado")</f>
        <v>Terminado</v>
      </c>
      <c r="Q266" s="2" t="b">
        <f ca="1">IFERROR(__xludf.DUMMYFUNCTION("""COMPUTED_VALUE"""),TRUE)</f>
        <v>1</v>
      </c>
      <c r="R266" s="2" t="str">
        <f ca="1">IFERROR(__xludf.DUMMYFUNCTION("""COMPUTED_VALUE"""),"Terminado")</f>
        <v>Terminado</v>
      </c>
      <c r="S266" s="2"/>
      <c r="T266" s="2"/>
      <c r="U266" s="2"/>
    </row>
    <row r="267" spans="1:21" x14ac:dyDescent="0.25">
      <c r="A267" s="2" t="str">
        <f ca="1">IFERROR(__xludf.DUMMYFUNCTION("""COMPUTED_VALUE"""),"0e531dea")</f>
        <v>0e531dea</v>
      </c>
      <c r="B267" s="3">
        <f ca="1">IFERROR(__xludf.DUMMYFUNCTION("""COMPUTED_VALUE"""),45741.8300925925)</f>
        <v>45741.8300925925</v>
      </c>
      <c r="C267" s="2" t="str">
        <f ca="1">IFERROR(__xludf.DUMMYFUNCTION("""COMPUTED_VALUE"""),"33d70f3e")</f>
        <v>33d70f3e</v>
      </c>
      <c r="D267" s="2">
        <f ca="1">IFERROR(__xludf.DUMMYFUNCTION("""COMPUTED_VALUE"""),109)</f>
        <v>109</v>
      </c>
      <c r="E267" s="2" t="str">
        <f ca="1">IFERROR(__xludf.DUMMYFUNCTION("""COMPUTED_VALUE"""),"Bonarda C2")</f>
        <v>Bonarda C2</v>
      </c>
      <c r="F267" s="2">
        <f ca="1">IFERROR(__xludf.DUMMYFUNCTION("""COMPUTED_VALUE"""),600)</f>
        <v>600</v>
      </c>
      <c r="G267" s="2">
        <f ca="1">IFERROR(__xludf.DUMMYFUNCTION("""COMPUTED_VALUE"""),500)</f>
        <v>500</v>
      </c>
      <c r="H267" s="2" t="str">
        <f ca="1">IFERROR(__xludf.DUMMYFUNCTION("""COMPUTED_VALUE"""),"ba65567d")</f>
        <v>ba65567d</v>
      </c>
      <c r="I267" s="2" t="str">
        <f ca="1">IFERROR(__xludf.DUMMYFUNCTION("""COMPUTED_VALUE"""),"Ajuste Arq 25/03/25")</f>
        <v>Ajuste Arq 25/03/25</v>
      </c>
      <c r="J267" s="2">
        <f ca="1">IFERROR(__xludf.DUMMYFUNCTION("""COMPUTED_VALUE"""),5101)</f>
        <v>5101</v>
      </c>
      <c r="K267" s="2">
        <f ca="1">IFERROR(__xludf.DUMMYFUNCTION("""COMPUTED_VALUE"""),5701)</f>
        <v>5701</v>
      </c>
      <c r="L267" s="2" t="str">
        <f ca="1">IFERROR(__xludf.DUMMYFUNCTION("""COMPUTED_VALUE"""),"37d13c67")</f>
        <v>37d13c67</v>
      </c>
      <c r="M267" s="2" t="str">
        <f ca="1">IFERROR(__xludf.DUMMYFUNCTION("""COMPUTED_VALUE"""),"Ajuste Arq 25/03/25")</f>
        <v>Ajuste Arq 25/03/25</v>
      </c>
      <c r="N267" s="2"/>
      <c r="O267" s="2" t="str">
        <f ca="1">IFERROR(__xludf.DUMMYFUNCTION("""COMPUTED_VALUE"""),"Descubada")</f>
        <v>Descubada</v>
      </c>
      <c r="P267" s="2" t="str">
        <f ca="1">IFERROR(__xludf.DUMMYFUNCTION("""COMPUTED_VALUE"""),"Terminado")</f>
        <v>Terminado</v>
      </c>
      <c r="Q267" s="2" t="b">
        <f ca="1">IFERROR(__xludf.DUMMYFUNCTION("""COMPUTED_VALUE"""),TRUE)</f>
        <v>1</v>
      </c>
      <c r="R267" s="2" t="str">
        <f ca="1">IFERROR(__xludf.DUMMYFUNCTION("""COMPUTED_VALUE"""),"Terminado")</f>
        <v>Terminado</v>
      </c>
      <c r="S267" s="2"/>
      <c r="T267" s="2"/>
      <c r="U267" s="2"/>
    </row>
    <row r="268" spans="1:21" x14ac:dyDescent="0.25">
      <c r="A268" s="2" t="str">
        <f ca="1">IFERROR(__xludf.DUMMYFUNCTION("""COMPUTED_VALUE"""),"6a111de4")</f>
        <v>6a111de4</v>
      </c>
      <c r="B268" s="3">
        <f ca="1">IFERROR(__xludf.DUMMYFUNCTION("""COMPUTED_VALUE"""),45741.8303935185)</f>
        <v>45741.830393518503</v>
      </c>
      <c r="C268" s="2" t="str">
        <f ca="1">IFERROR(__xludf.DUMMYFUNCTION("""COMPUTED_VALUE"""),"bf6d548a")</f>
        <v>bf6d548a</v>
      </c>
      <c r="D268" s="2">
        <f ca="1">IFERROR(__xludf.DUMMYFUNCTION("""COMPUTED_VALUE"""),110)</f>
        <v>110</v>
      </c>
      <c r="E268" s="2" t="str">
        <f ca="1">IFERROR(__xludf.DUMMYFUNCTION("""COMPUTED_VALUE"""),"Borra")</f>
        <v>Borra</v>
      </c>
      <c r="F268" s="2">
        <f ca="1">IFERROR(__xludf.DUMMYFUNCTION("""COMPUTED_VALUE"""),-4000)</f>
        <v>-4000</v>
      </c>
      <c r="G268" s="2">
        <f ca="1">IFERROR(__xludf.DUMMYFUNCTION("""COMPUTED_VALUE"""),500)</f>
        <v>500</v>
      </c>
      <c r="H268" s="2" t="str">
        <f ca="1">IFERROR(__xludf.DUMMYFUNCTION("""COMPUTED_VALUE"""),"37d13c67")</f>
        <v>37d13c67</v>
      </c>
      <c r="I268" s="2" t="str">
        <f ca="1">IFERROR(__xludf.DUMMYFUNCTION("""COMPUTED_VALUE"""),"Ajuste Arq 25/03/25")</f>
        <v>Ajuste Arq 25/03/25</v>
      </c>
      <c r="J268" s="2">
        <f ca="1">IFERROR(__xludf.DUMMYFUNCTION("""COMPUTED_VALUE"""),5701)</f>
        <v>5701</v>
      </c>
      <c r="K268" s="2">
        <f ca="1">IFERROR(__xludf.DUMMYFUNCTION("""COMPUTED_VALUE"""),1701)</f>
        <v>1701</v>
      </c>
      <c r="L268" s="2" t="str">
        <f ca="1">IFERROR(__xludf.DUMMYFUNCTION("""COMPUTED_VALUE"""),"309834ec")</f>
        <v>309834ec</v>
      </c>
      <c r="M268" s="2" t="str">
        <f ca="1">IFERROR(__xludf.DUMMYFUNCTION("""COMPUTED_VALUE"""),"Ajuste Arq 25/03/25")</f>
        <v>Ajuste Arq 25/03/25</v>
      </c>
      <c r="N268" s="2"/>
      <c r="O268" s="2" t="str">
        <f ca="1">IFERROR(__xludf.DUMMYFUNCTION("""COMPUTED_VALUE"""),"1er Trasiego")</f>
        <v>1er Trasiego</v>
      </c>
      <c r="P268" s="2" t="str">
        <f ca="1">IFERROR(__xludf.DUMMYFUNCTION("""COMPUTED_VALUE"""),"Terminado")</f>
        <v>Terminado</v>
      </c>
      <c r="Q268" s="2" t="b">
        <f ca="1">IFERROR(__xludf.DUMMYFUNCTION("""COMPUTED_VALUE"""),TRUE)</f>
        <v>1</v>
      </c>
      <c r="R268" s="2" t="str">
        <f ca="1">IFERROR(__xludf.DUMMYFUNCTION("""COMPUTED_VALUE"""),"Terminado")</f>
        <v>Terminado</v>
      </c>
      <c r="S268" s="2"/>
      <c r="T268" s="2"/>
      <c r="U268" s="2"/>
    </row>
    <row r="269" spans="1:21" x14ac:dyDescent="0.25">
      <c r="A269" s="2" t="str">
        <f ca="1">IFERROR(__xludf.DUMMYFUNCTION("""COMPUTED_VALUE"""),"e54bf9ef")</f>
        <v>e54bf9ef</v>
      </c>
      <c r="B269" s="3">
        <f ca="1">IFERROR(__xludf.DUMMYFUNCTION("""COMPUTED_VALUE"""),45742.7629166666)</f>
        <v>45742.762916666601</v>
      </c>
      <c r="C269" s="2" t="str">
        <f ca="1">IFERROR(__xludf.DUMMYFUNCTION("""COMPUTED_VALUE"""),"7b27f7a2")</f>
        <v>7b27f7a2</v>
      </c>
      <c r="D269" s="2">
        <f ca="1">IFERROR(__xludf.DUMMYFUNCTION("""COMPUTED_VALUE"""),96)</f>
        <v>96</v>
      </c>
      <c r="E269" s="2" t="str">
        <f ca="1">IFERROR(__xludf.DUMMYFUNCTION("""COMPUTED_VALUE"""),"Tinto Recarga")</f>
        <v>Tinto Recarga</v>
      </c>
      <c r="F269" s="2">
        <f ca="1">IFERROR(__xludf.DUMMYFUNCTION("""COMPUTED_VALUE"""),20000)</f>
        <v>20000</v>
      </c>
      <c r="G269" s="2">
        <f ca="1">IFERROR(__xludf.DUMMYFUNCTION("""COMPUTED_VALUE"""),102)</f>
        <v>102</v>
      </c>
      <c r="H269" s="2"/>
      <c r="I269" s="2"/>
      <c r="J269" s="2">
        <f ca="1">IFERROR(__xludf.DUMMYFUNCTION("""COMPUTED_VALUE"""),0)</f>
        <v>0</v>
      </c>
      <c r="K269" s="2">
        <f ca="1">IFERROR(__xludf.DUMMYFUNCTION("""COMPUTED_VALUE"""),20000)</f>
        <v>20000</v>
      </c>
      <c r="L269" s="2" t="str">
        <f ca="1">IFERROR(__xludf.DUMMYFUNCTION("""COMPUTED_VALUE"""),"32e9ec8f")</f>
        <v>32e9ec8f</v>
      </c>
      <c r="M269" s="2" t="str">
        <f ca="1">IFERROR(__xludf.DUMMYFUNCTION("""COMPUTED_VALUE"""),"Tinto Recarga")</f>
        <v>Tinto Recarga</v>
      </c>
      <c r="N269" s="2" t="str">
        <f ca="1">IFERROR(__xludf.DUMMYFUNCTION("""COMPUTED_VALUE"""),"Gota y Prensa")</f>
        <v>Gota y Prensa</v>
      </c>
      <c r="O269" s="2" t="str">
        <f ca="1">IFERROR(__xludf.DUMMYFUNCTION("""COMPUTED_VALUE"""),"Descubada")</f>
        <v>Descubada</v>
      </c>
      <c r="P269" s="2"/>
      <c r="Q269" s="2" t="b">
        <f ca="1">IFERROR(__xludf.DUMMYFUNCTION("""COMPUTED_VALUE"""),FALSE)</f>
        <v>0</v>
      </c>
      <c r="R269" s="2" t="str">
        <f ca="1">IFERROR(__xludf.DUMMYFUNCTION("""COMPUTED_VALUE"""),"Recarga Fermentando")</f>
        <v>Recarga Fermentando</v>
      </c>
      <c r="S269" s="2"/>
      <c r="T269" s="2"/>
      <c r="U269" s="2"/>
    </row>
    <row r="270" spans="1:21" x14ac:dyDescent="0.25">
      <c r="A270" s="2" t="str">
        <f ca="1">IFERROR(__xludf.DUMMYFUNCTION("""COMPUTED_VALUE"""),"e5c6f49b")</f>
        <v>e5c6f49b</v>
      </c>
      <c r="B270" s="3">
        <f ca="1">IFERROR(__xludf.DUMMYFUNCTION("""COMPUTED_VALUE"""),45742.7638194444)</f>
        <v>45742.763819444401</v>
      </c>
      <c r="C270" s="2" t="str">
        <f ca="1">IFERROR(__xludf.DUMMYFUNCTION("""COMPUTED_VALUE"""),"7b27f7a2")</f>
        <v>7b27f7a2</v>
      </c>
      <c r="D270" s="2">
        <f ca="1">IFERROR(__xludf.DUMMYFUNCTION("""COMPUTED_VALUE"""),96)</f>
        <v>96</v>
      </c>
      <c r="E270" s="2" t="str">
        <f ca="1">IFERROR(__xludf.DUMMYFUNCTION("""COMPUTED_VALUE"""),"Tinto Recarga")</f>
        <v>Tinto Recarga</v>
      </c>
      <c r="F270" s="2">
        <f ca="1">IFERROR(__xludf.DUMMYFUNCTION("""COMPUTED_VALUE"""),20000)</f>
        <v>20000</v>
      </c>
      <c r="G270" s="2">
        <f ca="1">IFERROR(__xludf.DUMMYFUNCTION("""COMPUTED_VALUE"""),12)</f>
        <v>12</v>
      </c>
      <c r="H270" s="2"/>
      <c r="I270" s="2"/>
      <c r="J270" s="2">
        <f ca="1">IFERROR(__xludf.DUMMYFUNCTION("""COMPUTED_VALUE"""),0)</f>
        <v>0</v>
      </c>
      <c r="K270" s="2">
        <f ca="1">IFERROR(__xludf.DUMMYFUNCTION("""COMPUTED_VALUE"""),20000)</f>
        <v>20000</v>
      </c>
      <c r="L270" s="2" t="str">
        <f ca="1">IFERROR(__xludf.DUMMYFUNCTION("""COMPUTED_VALUE"""),"9a9cd123")</f>
        <v>9a9cd123</v>
      </c>
      <c r="M270" s="2" t="str">
        <f ca="1">IFERROR(__xludf.DUMMYFUNCTION("""COMPUTED_VALUE"""),"Tinto Recarga Press")</f>
        <v>Tinto Recarga Press</v>
      </c>
      <c r="N270" s="2" t="str">
        <f ca="1">IFERROR(__xludf.DUMMYFUNCTION("""COMPUTED_VALUE"""),"Prensa")</f>
        <v>Prensa</v>
      </c>
      <c r="O270" s="2" t="str">
        <f ca="1">IFERROR(__xludf.DUMMYFUNCTION("""COMPUTED_VALUE"""),"Descubada")</f>
        <v>Descubada</v>
      </c>
      <c r="P270" s="2"/>
      <c r="Q270" s="2" t="b">
        <f ca="1">IFERROR(__xludf.DUMMYFUNCTION("""COMPUTED_VALUE"""),FALSE)</f>
        <v>0</v>
      </c>
      <c r="R270" s="2" t="str">
        <f ca="1">IFERROR(__xludf.DUMMYFUNCTION("""COMPUTED_VALUE"""),"Descubada")</f>
        <v>Descubada</v>
      </c>
      <c r="S270" s="2"/>
      <c r="T270" s="2"/>
      <c r="U270" s="2"/>
    </row>
    <row r="271" spans="1:21" x14ac:dyDescent="0.25">
      <c r="A271" s="2" t="str">
        <f ca="1">IFERROR(__xludf.DUMMYFUNCTION("""COMPUTED_VALUE"""),"f1af0093")</f>
        <v>f1af0093</v>
      </c>
      <c r="B271" s="3">
        <f ca="1">IFERROR(__xludf.DUMMYFUNCTION("""COMPUTED_VALUE"""),45742.7719212963)</f>
        <v>45742.771921296298</v>
      </c>
      <c r="C271" s="2" t="str">
        <f ca="1">IFERROR(__xludf.DUMMYFUNCTION("""COMPUTED_VALUE"""),"d007d867")</f>
        <v>d007d867</v>
      </c>
      <c r="D271" s="2">
        <f ca="1">IFERROR(__xludf.DUMMYFUNCTION("""COMPUTED_VALUE"""),83)</f>
        <v>83</v>
      </c>
      <c r="E271" s="2" t="str">
        <f ca="1">IFERROR(__xludf.DUMMYFUNCTION("""COMPUTED_VALUE"""),"Bonarda")</f>
        <v>Bonarda</v>
      </c>
      <c r="F271" s="2">
        <f ca="1">IFERROR(__xludf.DUMMYFUNCTION("""COMPUTED_VALUE"""),10000)</f>
        <v>10000</v>
      </c>
      <c r="G271" s="2">
        <f ca="1">IFERROR(__xludf.DUMMYFUNCTION("""COMPUTED_VALUE"""),102)</f>
        <v>102</v>
      </c>
      <c r="H271" s="2" t="str">
        <f ca="1">IFERROR(__xludf.DUMMYFUNCTION("""COMPUTED_VALUE"""),"32e9ec8f")</f>
        <v>32e9ec8f</v>
      </c>
      <c r="I271" s="2" t="str">
        <f ca="1">IFERROR(__xludf.DUMMYFUNCTION("""COMPUTED_VALUE"""),"Tinto Recarga")</f>
        <v>Tinto Recarga</v>
      </c>
      <c r="J271" s="2">
        <f ca="1">IFERROR(__xludf.DUMMYFUNCTION("""COMPUTED_VALUE"""),20000)</f>
        <v>20000</v>
      </c>
      <c r="K271" s="2">
        <f ca="1">IFERROR(__xludf.DUMMYFUNCTION("""COMPUTED_VALUE"""),30000)</f>
        <v>30000</v>
      </c>
      <c r="L271" s="2" t="str">
        <f ca="1">IFERROR(__xludf.DUMMYFUNCTION("""COMPUTED_VALUE"""),"96467006")</f>
        <v>96467006</v>
      </c>
      <c r="M271" s="2" t="str">
        <f ca="1">IFERROR(__xludf.DUMMYFUNCTION("""COMPUTED_VALUE"""),"Tinto Recarga")</f>
        <v>Tinto Recarga</v>
      </c>
      <c r="N271" s="2"/>
      <c r="O271" s="2" t="str">
        <f ca="1">IFERROR(__xludf.DUMMYFUNCTION("""COMPUTED_VALUE"""),"Fermentando")</f>
        <v>Fermentando</v>
      </c>
      <c r="P271" s="2" t="str">
        <f ca="1">IFERROR(__xludf.DUMMYFUNCTION("""COMPUTED_VALUE"""),"Recarga Fermentando")</f>
        <v>Recarga Fermentando</v>
      </c>
      <c r="Q271" s="2" t="b">
        <f ca="1">IFERROR(__xludf.DUMMYFUNCTION("""COMPUTED_VALUE"""),TRUE)</f>
        <v>1</v>
      </c>
      <c r="R271" s="2" t="str">
        <f ca="1">IFERROR(__xludf.DUMMYFUNCTION("""COMPUTED_VALUE"""),"Recarga Fermentando")</f>
        <v>Recarga Fermentando</v>
      </c>
      <c r="S271" s="2"/>
      <c r="T271" s="2"/>
      <c r="U271" s="2"/>
    </row>
    <row r="272" spans="1:21" x14ac:dyDescent="0.25">
      <c r="A272" s="2" t="str">
        <f ca="1">IFERROR(__xludf.DUMMYFUNCTION("""COMPUTED_VALUE"""),"09a7bc87")</f>
        <v>09a7bc87</v>
      </c>
      <c r="B272" s="3">
        <f ca="1">IFERROR(__xludf.DUMMYFUNCTION("""COMPUTED_VALUE"""),45742.7728587963)</f>
        <v>45742.772858796299</v>
      </c>
      <c r="C272" s="2" t="str">
        <f ca="1">IFERROR(__xludf.DUMMYFUNCTION("""COMPUTED_VALUE"""),"d007d867")</f>
        <v>d007d867</v>
      </c>
      <c r="D272" s="2">
        <f ca="1">IFERROR(__xludf.DUMMYFUNCTION("""COMPUTED_VALUE"""),83)</f>
        <v>83</v>
      </c>
      <c r="E272" s="2" t="str">
        <f ca="1">IFERROR(__xludf.DUMMYFUNCTION("""COMPUTED_VALUE"""),"Bonarda")</f>
        <v>Bonarda</v>
      </c>
      <c r="F272" s="2">
        <f ca="1">IFERROR(__xludf.DUMMYFUNCTION("""COMPUTED_VALUE"""),35000)</f>
        <v>35000</v>
      </c>
      <c r="G272" s="2">
        <f ca="1">IFERROR(__xludf.DUMMYFUNCTION("""COMPUTED_VALUE"""),115)</f>
        <v>115</v>
      </c>
      <c r="H272" s="2" t="str">
        <f ca="1">IFERROR(__xludf.DUMMYFUNCTION("""COMPUTED_VALUE"""),"1fb0aecd")</f>
        <v>1fb0aecd</v>
      </c>
      <c r="I272" s="2" t="str">
        <f ca="1">IFERROR(__xludf.DUMMYFUNCTION("""COMPUTED_VALUE"""),"Bonarda C2")</f>
        <v>Bonarda C2</v>
      </c>
      <c r="J272" s="2">
        <f ca="1">IFERROR(__xludf.DUMMYFUNCTION("""COMPUTED_VALUE"""),84300)</f>
        <v>84300</v>
      </c>
      <c r="K272" s="2">
        <f ca="1">IFERROR(__xludf.DUMMYFUNCTION("""COMPUTED_VALUE"""),120200)</f>
        <v>120200</v>
      </c>
      <c r="L272" s="2" t="str">
        <f ca="1">IFERROR(__xludf.DUMMYFUNCTION("""COMPUTED_VALUE"""),"8102a15a")</f>
        <v>8102a15a</v>
      </c>
      <c r="M272" s="2" t="str">
        <f ca="1">IFERROR(__xludf.DUMMYFUNCTION("""COMPUTED_VALUE"""),"Bonarda")</f>
        <v>Bonarda</v>
      </c>
      <c r="N272" s="2"/>
      <c r="O272" s="2" t="str">
        <f ca="1">IFERROR(__xludf.DUMMYFUNCTION("""COMPUTED_VALUE"""),"Fermentando")</f>
        <v>Fermentando</v>
      </c>
      <c r="P272" s="2" t="str">
        <f ca="1">IFERROR(__xludf.DUMMYFUNCTION("""COMPUTED_VALUE"""),"Descubada")</f>
        <v>Descubada</v>
      </c>
      <c r="Q272" s="2" t="b">
        <f ca="1">IFERROR(__xludf.DUMMYFUNCTION("""COMPUTED_VALUE"""),FALSE)</f>
        <v>0</v>
      </c>
      <c r="R272" s="2" t="str">
        <f ca="1">IFERROR(__xludf.DUMMYFUNCTION("""COMPUTED_VALUE"""),"Fermentando")</f>
        <v>Fermentando</v>
      </c>
      <c r="S272" s="2"/>
      <c r="T272" s="2"/>
      <c r="U272" s="2"/>
    </row>
    <row r="273" spans="1:21" x14ac:dyDescent="0.25">
      <c r="A273" s="2" t="str">
        <f ca="1">IFERROR(__xludf.DUMMYFUNCTION("""COMPUTED_VALUE"""),"ec579f64")</f>
        <v>ec579f64</v>
      </c>
      <c r="B273" s="3">
        <f ca="1">IFERROR(__xludf.DUMMYFUNCTION("""COMPUTED_VALUE"""),45742.8120949074)</f>
        <v>45742.8120949074</v>
      </c>
      <c r="C273" s="2" t="str">
        <f ca="1">IFERROR(__xludf.DUMMYFUNCTION("""COMPUTED_VALUE"""),"2cca878f")</f>
        <v>2cca878f</v>
      </c>
      <c r="D273" s="2">
        <f ca="1">IFERROR(__xludf.DUMMYFUNCTION("""COMPUTED_VALUE"""),66)</f>
        <v>66</v>
      </c>
      <c r="E273" s="2" t="str">
        <f ca="1">IFERROR(__xludf.DUMMYFUNCTION("""COMPUTED_VALUE"""),"Tinto Criolla Rec")</f>
        <v>Tinto Criolla Rec</v>
      </c>
      <c r="F273" s="2">
        <f ca="1">IFERROR(__xludf.DUMMYFUNCTION("""COMPUTED_VALUE"""),15000)</f>
        <v>15000</v>
      </c>
      <c r="G273" s="2">
        <f ca="1">IFERROR(__xludf.DUMMYFUNCTION("""COMPUTED_VALUE"""),12)</f>
        <v>12</v>
      </c>
      <c r="H273" s="2" t="str">
        <f ca="1">IFERROR(__xludf.DUMMYFUNCTION("""COMPUTED_VALUE"""),"9a9cd123")</f>
        <v>9a9cd123</v>
      </c>
      <c r="I273" s="2" t="str">
        <f ca="1">IFERROR(__xludf.DUMMYFUNCTION("""COMPUTED_VALUE"""),"Tinto Recarga Press")</f>
        <v>Tinto Recarga Press</v>
      </c>
      <c r="J273" s="2">
        <f ca="1">IFERROR(__xludf.DUMMYFUNCTION("""COMPUTED_VALUE"""),20000)</f>
        <v>20000</v>
      </c>
      <c r="K273" s="2">
        <f ca="1">IFERROR(__xludf.DUMMYFUNCTION("""COMPUTED_VALUE"""),35000)</f>
        <v>35000</v>
      </c>
      <c r="L273" s="2" t="str">
        <f ca="1">IFERROR(__xludf.DUMMYFUNCTION("""COMPUTED_VALUE"""),"3cb72b04")</f>
        <v>3cb72b04</v>
      </c>
      <c r="M273" s="2" t="str">
        <f ca="1">IFERROR(__xludf.DUMMYFUNCTION("""COMPUTED_VALUE"""),"Tinto Recarga Press")</f>
        <v>Tinto Recarga Press</v>
      </c>
      <c r="N273" s="2"/>
      <c r="O273" s="2" t="str">
        <f ca="1">IFERROR(__xludf.DUMMYFUNCTION("""COMPUTED_VALUE"""),"Recarga Fermentando")</f>
        <v>Recarga Fermentando</v>
      </c>
      <c r="P273" s="2" t="str">
        <f ca="1">IFERROR(__xludf.DUMMYFUNCTION("""COMPUTED_VALUE"""),"Descubada")</f>
        <v>Descubada</v>
      </c>
      <c r="Q273" s="2" t="b">
        <f ca="1">IFERROR(__xludf.DUMMYFUNCTION("""COMPUTED_VALUE"""),TRUE)</f>
        <v>1</v>
      </c>
      <c r="R273" s="2" t="str">
        <f ca="1">IFERROR(__xludf.DUMMYFUNCTION("""COMPUTED_VALUE"""),"Descubada")</f>
        <v>Descubada</v>
      </c>
      <c r="S273" s="2"/>
      <c r="T273" s="2"/>
      <c r="U273" s="2"/>
    </row>
    <row r="274" spans="1:21" x14ac:dyDescent="0.25">
      <c r="A274" s="2" t="str">
        <f ca="1">IFERROR(__xludf.DUMMYFUNCTION("""COMPUTED_VALUE"""),"d93f3a4f")</f>
        <v>d93f3a4f</v>
      </c>
      <c r="B274" s="3">
        <f ca="1">IFERROR(__xludf.DUMMYFUNCTION("""COMPUTED_VALUE"""),45742.8130324074)</f>
        <v>45742.813032407401</v>
      </c>
      <c r="C274" s="2" t="str">
        <f ca="1">IFERROR(__xludf.DUMMYFUNCTION("""COMPUTED_VALUE"""),"d7488996")</f>
        <v>d7488996</v>
      </c>
      <c r="D274" s="2">
        <f ca="1">IFERROR(__xludf.DUMMYFUNCTION("""COMPUTED_VALUE"""),78)</f>
        <v>78</v>
      </c>
      <c r="E274" s="2" t="str">
        <f ca="1">IFERROR(__xludf.DUMMYFUNCTION("""COMPUTED_VALUE"""),"Tinto Recarga")</f>
        <v>Tinto Recarga</v>
      </c>
      <c r="F274" s="2">
        <f ca="1">IFERROR(__xludf.DUMMYFUNCTION("""COMPUTED_VALUE"""),300)</f>
        <v>300</v>
      </c>
      <c r="G274" s="2">
        <f ca="1">IFERROR(__xludf.DUMMYFUNCTION("""COMPUTED_VALUE"""),12)</f>
        <v>12</v>
      </c>
      <c r="H274" s="2" t="str">
        <f ca="1">IFERROR(__xludf.DUMMYFUNCTION("""COMPUTED_VALUE"""),"3cb72b04")</f>
        <v>3cb72b04</v>
      </c>
      <c r="I274" s="2" t="str">
        <f ca="1">IFERROR(__xludf.DUMMYFUNCTION("""COMPUTED_VALUE"""),"Tinto Recarga Press")</f>
        <v>Tinto Recarga Press</v>
      </c>
      <c r="J274" s="2">
        <f ca="1">IFERROR(__xludf.DUMMYFUNCTION("""COMPUTED_VALUE"""),35000)</f>
        <v>35000</v>
      </c>
      <c r="K274" s="2">
        <f ca="1">IFERROR(__xludf.DUMMYFUNCTION("""COMPUTED_VALUE"""),35300)</f>
        <v>35300</v>
      </c>
      <c r="L274" s="2" t="str">
        <f ca="1">IFERROR(__xludf.DUMMYFUNCTION("""COMPUTED_VALUE"""),"28029583")</f>
        <v>28029583</v>
      </c>
      <c r="M274" s="2" t="str">
        <f ca="1">IFERROR(__xludf.DUMMYFUNCTION("""COMPUTED_VALUE"""),"Tinto Recarga Press")</f>
        <v>Tinto Recarga Press</v>
      </c>
      <c r="N274" s="2"/>
      <c r="O274" s="2" t="str">
        <f ca="1">IFERROR(__xludf.DUMMYFUNCTION("""COMPUTED_VALUE"""),"Recarga Fermentando")</f>
        <v>Recarga Fermentando</v>
      </c>
      <c r="P274" s="2" t="str">
        <f ca="1">IFERROR(__xludf.DUMMYFUNCTION("""COMPUTED_VALUE"""),"Descubada")</f>
        <v>Descubada</v>
      </c>
      <c r="Q274" s="2" t="b">
        <f ca="1">IFERROR(__xludf.DUMMYFUNCTION("""COMPUTED_VALUE"""),TRUE)</f>
        <v>1</v>
      </c>
      <c r="R274" s="2" t="str">
        <f ca="1">IFERROR(__xludf.DUMMYFUNCTION("""COMPUTED_VALUE"""),"Descubada")</f>
        <v>Descubada</v>
      </c>
      <c r="S274" s="2"/>
      <c r="T274" s="2"/>
      <c r="U274" s="2"/>
    </row>
    <row r="275" spans="1:21" x14ac:dyDescent="0.25">
      <c r="A275" s="2" t="str">
        <f ca="1">IFERROR(__xludf.DUMMYFUNCTION("""COMPUTED_VALUE"""),"8ce9e1b0")</f>
        <v>8ce9e1b0</v>
      </c>
      <c r="B275" s="3">
        <f ca="1">IFERROR(__xludf.DUMMYFUNCTION("""COMPUTED_VALUE"""),45742.8132754629)</f>
        <v>45742.813275462897</v>
      </c>
      <c r="C275" s="2" t="str">
        <f ca="1">IFERROR(__xludf.DUMMYFUNCTION("""COMPUTED_VALUE"""),"d7488996")</f>
        <v>d7488996</v>
      </c>
      <c r="D275" s="2">
        <f ca="1">IFERROR(__xludf.DUMMYFUNCTION("""COMPUTED_VALUE"""),78)</f>
        <v>78</v>
      </c>
      <c r="E275" s="2" t="str">
        <f ca="1">IFERROR(__xludf.DUMMYFUNCTION("""COMPUTED_VALUE"""),"Tinto Recarga")</f>
        <v>Tinto Recarga</v>
      </c>
      <c r="F275" s="2">
        <f ca="1">IFERROR(__xludf.DUMMYFUNCTION("""COMPUTED_VALUE"""),14700)</f>
        <v>14700</v>
      </c>
      <c r="G275" s="2">
        <f ca="1">IFERROR(__xludf.DUMMYFUNCTION("""COMPUTED_VALUE"""),52)</f>
        <v>52</v>
      </c>
      <c r="H275" s="2"/>
      <c r="I275" s="2"/>
      <c r="J275" s="2">
        <f ca="1">IFERROR(__xludf.DUMMYFUNCTION("""COMPUTED_VALUE"""),0)</f>
        <v>0</v>
      </c>
      <c r="K275" s="2">
        <f ca="1">IFERROR(__xludf.DUMMYFUNCTION("""COMPUTED_VALUE"""),14700)</f>
        <v>14700</v>
      </c>
      <c r="L275" s="2" t="str">
        <f ca="1">IFERROR(__xludf.DUMMYFUNCTION("""COMPUTED_VALUE"""),"c85b5cb0")</f>
        <v>c85b5cb0</v>
      </c>
      <c r="M275" s="2" t="str">
        <f ca="1">IFERROR(__xludf.DUMMYFUNCTION("""COMPUTED_VALUE"""),"Tinto Recarga")</f>
        <v>Tinto Recarga</v>
      </c>
      <c r="N275" s="2"/>
      <c r="O275" s="2" t="str">
        <f ca="1">IFERROR(__xludf.DUMMYFUNCTION("""COMPUTED_VALUE"""),"Recarga Fermentando")</f>
        <v>Recarga Fermentando</v>
      </c>
      <c r="P275" s="2"/>
      <c r="Q275" s="2" t="b">
        <f ca="1">IFERROR(__xludf.DUMMYFUNCTION("""COMPUTED_VALUE"""),FALSE)</f>
        <v>0</v>
      </c>
      <c r="R275" s="2" t="str">
        <f ca="1">IFERROR(__xludf.DUMMYFUNCTION("""COMPUTED_VALUE"""),"Descubada")</f>
        <v>Descubada</v>
      </c>
      <c r="S275" s="2"/>
      <c r="T275" s="2"/>
      <c r="U275" s="2"/>
    </row>
    <row r="276" spans="1:21" x14ac:dyDescent="0.25">
      <c r="A276" s="2" t="str">
        <f ca="1">IFERROR(__xludf.DUMMYFUNCTION("""COMPUTED_VALUE"""),"6e5d319a")</f>
        <v>6e5d319a</v>
      </c>
      <c r="B276" s="3">
        <f ca="1">IFERROR(__xludf.DUMMYFUNCTION("""COMPUTED_VALUE"""),45742.8140972222)</f>
        <v>45742.814097222203</v>
      </c>
      <c r="C276" s="2" t="str">
        <f ca="1">IFERROR(__xludf.DUMMYFUNCTION("""COMPUTED_VALUE"""),"730bdaa5")</f>
        <v>730bdaa5</v>
      </c>
      <c r="D276" s="2">
        <f ca="1">IFERROR(__xludf.DUMMYFUNCTION("""COMPUTED_VALUE"""),67)</f>
        <v>67</v>
      </c>
      <c r="E276" s="2" t="str">
        <f ca="1">IFERROR(__xludf.DUMMYFUNCTION("""COMPUTED_VALUE"""),"Bonarda")</f>
        <v>Bonarda</v>
      </c>
      <c r="F276" s="2">
        <f ca="1">IFERROR(__xludf.DUMMYFUNCTION("""COMPUTED_VALUE"""),12300)</f>
        <v>12300</v>
      </c>
      <c r="G276" s="2">
        <f ca="1">IFERROR(__xludf.DUMMYFUNCTION("""COMPUTED_VALUE"""),52)</f>
        <v>52</v>
      </c>
      <c r="H276" s="2" t="str">
        <f ca="1">IFERROR(__xludf.DUMMYFUNCTION("""COMPUTED_VALUE"""),"c85b5cb0")</f>
        <v>c85b5cb0</v>
      </c>
      <c r="I276" s="2" t="str">
        <f ca="1">IFERROR(__xludf.DUMMYFUNCTION("""COMPUTED_VALUE"""),"Tinto Recarga")</f>
        <v>Tinto Recarga</v>
      </c>
      <c r="J276" s="2">
        <f ca="1">IFERROR(__xludf.DUMMYFUNCTION("""COMPUTED_VALUE"""),14700)</f>
        <v>14700</v>
      </c>
      <c r="K276" s="2">
        <f ca="1">IFERROR(__xludf.DUMMYFUNCTION("""COMPUTED_VALUE"""),27000)</f>
        <v>27000</v>
      </c>
      <c r="L276" s="2" t="str">
        <f ca="1">IFERROR(__xludf.DUMMYFUNCTION("""COMPUTED_VALUE"""),"bcd7e2f3")</f>
        <v>bcd7e2f3</v>
      </c>
      <c r="M276" s="2" t="str">
        <f ca="1">IFERROR(__xludf.DUMMYFUNCTION("""COMPUTED_VALUE"""),"Bonarda")</f>
        <v>Bonarda</v>
      </c>
      <c r="N276" s="2"/>
      <c r="O276" s="2" t="str">
        <f ca="1">IFERROR(__xludf.DUMMYFUNCTION("""COMPUTED_VALUE"""),"Fermentando")</f>
        <v>Fermentando</v>
      </c>
      <c r="P276" s="2" t="str">
        <f ca="1">IFERROR(__xludf.DUMMYFUNCTION("""COMPUTED_VALUE"""),"Descubada")</f>
        <v>Descubada</v>
      </c>
      <c r="Q276" s="2" t="b">
        <f ca="1">IFERROR(__xludf.DUMMYFUNCTION("""COMPUTED_VALUE"""),FALSE)</f>
        <v>0</v>
      </c>
      <c r="R276" s="2" t="str">
        <f ca="1">IFERROR(__xludf.DUMMYFUNCTION("""COMPUTED_VALUE"""),"Descubada")</f>
        <v>Descubada</v>
      </c>
      <c r="S276" s="2"/>
      <c r="T276" s="2"/>
      <c r="U276" s="2"/>
    </row>
    <row r="277" spans="1:21" x14ac:dyDescent="0.25">
      <c r="A277" s="2" t="str">
        <f ca="1">IFERROR(__xludf.DUMMYFUNCTION("""COMPUTED_VALUE"""),"5f213e79")</f>
        <v>5f213e79</v>
      </c>
      <c r="B277" s="3">
        <f ca="1">IFERROR(__xludf.DUMMYFUNCTION("""COMPUTED_VALUE"""),45742.8348379629)</f>
        <v>45742.834837962902</v>
      </c>
      <c r="C277" s="2" t="str">
        <f ca="1">IFERROR(__xludf.DUMMYFUNCTION("""COMPUTED_VALUE"""),"730bdaa5")</f>
        <v>730bdaa5</v>
      </c>
      <c r="D277" s="2">
        <f ca="1">IFERROR(__xludf.DUMMYFUNCTION("""COMPUTED_VALUE"""),67)</f>
        <v>67</v>
      </c>
      <c r="E277" s="2" t="str">
        <f ca="1">IFERROR(__xludf.DUMMYFUNCTION("""COMPUTED_VALUE"""),"Bonarda")</f>
        <v>Bonarda</v>
      </c>
      <c r="F277" s="2">
        <f ca="1">IFERROR(__xludf.DUMMYFUNCTION("""COMPUTED_VALUE"""),4700)</f>
        <v>4700</v>
      </c>
      <c r="G277" s="2">
        <f ca="1">IFERROR(__xludf.DUMMYFUNCTION("""COMPUTED_VALUE"""),500)</f>
        <v>500</v>
      </c>
      <c r="H277" s="2" t="str">
        <f ca="1">IFERROR(__xludf.DUMMYFUNCTION("""COMPUTED_VALUE"""),"309834ec")</f>
        <v>309834ec</v>
      </c>
      <c r="I277" s="2" t="str">
        <f ca="1">IFERROR(__xludf.DUMMYFUNCTION("""COMPUTED_VALUE"""),"Ajuste Arq 25/03/25")</f>
        <v>Ajuste Arq 25/03/25</v>
      </c>
      <c r="J277" s="2">
        <f ca="1">IFERROR(__xludf.DUMMYFUNCTION("""COMPUTED_VALUE"""),1701)</f>
        <v>1701</v>
      </c>
      <c r="K277" s="2">
        <f ca="1">IFERROR(__xludf.DUMMYFUNCTION("""COMPUTED_VALUE"""),6401)</f>
        <v>6401</v>
      </c>
      <c r="L277" s="2" t="str">
        <f ca="1">IFERROR(__xludf.DUMMYFUNCTION("""COMPUTED_VALUE"""),"2e2b3f01")</f>
        <v>2e2b3f01</v>
      </c>
      <c r="M277" s="2" t="str">
        <f ca="1">IFERROR(__xludf.DUMMYFUNCTION("""COMPUTED_VALUE"""),"Ajuste Arq 25/03/25")</f>
        <v>Ajuste Arq 25/03/25</v>
      </c>
      <c r="N277" s="2"/>
      <c r="O277" s="2" t="str">
        <f ca="1">IFERROR(__xludf.DUMMYFUNCTION("""COMPUTED_VALUE"""),"Fermentando")</f>
        <v>Fermentando</v>
      </c>
      <c r="P277" s="2" t="str">
        <f ca="1">IFERROR(__xludf.DUMMYFUNCTION("""COMPUTED_VALUE"""),"Terminado")</f>
        <v>Terminado</v>
      </c>
      <c r="Q277" s="2" t="b">
        <f ca="1">IFERROR(__xludf.DUMMYFUNCTION("""COMPUTED_VALUE"""),TRUE)</f>
        <v>1</v>
      </c>
      <c r="R277" s="2" t="str">
        <f ca="1">IFERROR(__xludf.DUMMYFUNCTION("""COMPUTED_VALUE"""),"Terminado")</f>
        <v>Terminado</v>
      </c>
      <c r="S277" s="2"/>
      <c r="T277" s="2"/>
      <c r="U277" s="2"/>
    </row>
    <row r="278" spans="1:21" x14ac:dyDescent="0.25">
      <c r="A278" s="2" t="str">
        <f ca="1">IFERROR(__xludf.DUMMYFUNCTION("""COMPUTED_VALUE"""),"a76db9a7")</f>
        <v>a76db9a7</v>
      </c>
      <c r="B278" s="3">
        <f ca="1">IFERROR(__xludf.DUMMYFUNCTION("""COMPUTED_VALUE"""),45743.7144444444)</f>
        <v>45743.714444444398</v>
      </c>
      <c r="C278" s="2" t="str">
        <f ca="1">IFERROR(__xludf.DUMMYFUNCTION("""COMPUTED_VALUE"""),"806c3920")</f>
        <v>806c3920</v>
      </c>
      <c r="D278" s="2">
        <f ca="1">IFERROR(__xludf.DUMMYFUNCTION("""COMPUTED_VALUE"""),55)</f>
        <v>55</v>
      </c>
      <c r="E278" s="2" t="str">
        <f ca="1">IFERROR(__xludf.DUMMYFUNCTION("""COMPUTED_VALUE"""),"Malbec G")</f>
        <v>Malbec G</v>
      </c>
      <c r="F278" s="2">
        <f ca="1">IFERROR(__xludf.DUMMYFUNCTION("""COMPUTED_VALUE"""),3000)</f>
        <v>3000</v>
      </c>
      <c r="G278" s="2">
        <f ca="1">IFERROR(__xludf.DUMMYFUNCTION("""COMPUTED_VALUE"""),52)</f>
        <v>52</v>
      </c>
      <c r="H278" s="2" t="str">
        <f ca="1">IFERROR(__xludf.DUMMYFUNCTION("""COMPUTED_VALUE"""),"bcd7e2f3")</f>
        <v>bcd7e2f3</v>
      </c>
      <c r="I278" s="2" t="str">
        <f ca="1">IFERROR(__xludf.DUMMYFUNCTION("""COMPUTED_VALUE"""),"Bonarda")</f>
        <v>Bonarda</v>
      </c>
      <c r="J278" s="2">
        <f ca="1">IFERROR(__xludf.DUMMYFUNCTION("""COMPUTED_VALUE"""),27000)</f>
        <v>27000</v>
      </c>
      <c r="K278" s="2">
        <f ca="1">IFERROR(__xludf.DUMMYFUNCTION("""COMPUTED_VALUE"""),30000)</f>
        <v>30000</v>
      </c>
      <c r="L278" s="2" t="str">
        <f ca="1">IFERROR(__xludf.DUMMYFUNCTION("""COMPUTED_VALUE"""),"c750a1d2")</f>
        <v>c750a1d2</v>
      </c>
      <c r="M278" s="2" t="str">
        <f ca="1">IFERROR(__xludf.DUMMYFUNCTION("""COMPUTED_VALUE"""),"Bonarda")</f>
        <v>Bonarda</v>
      </c>
      <c r="N278" s="2"/>
      <c r="O278" s="2" t="str">
        <f ca="1">IFERROR(__xludf.DUMMYFUNCTION("""COMPUTED_VALUE"""),"Descubada")</f>
        <v>Descubada</v>
      </c>
      <c r="P278" s="2" t="str">
        <f ca="1">IFERROR(__xludf.DUMMYFUNCTION("""COMPUTED_VALUE"""),"Descubada")</f>
        <v>Descubada</v>
      </c>
      <c r="Q278" s="2" t="b">
        <f ca="1">IFERROR(__xludf.DUMMYFUNCTION("""COMPUTED_VALUE"""),TRUE)</f>
        <v>1</v>
      </c>
      <c r="R278" s="2" t="str">
        <f ca="1">IFERROR(__xludf.DUMMYFUNCTION("""COMPUTED_VALUE"""),"Descubada")</f>
        <v>Descubada</v>
      </c>
      <c r="S278" s="2"/>
      <c r="T278" s="2"/>
      <c r="U278" s="2"/>
    </row>
    <row r="279" spans="1:21" x14ac:dyDescent="0.25">
      <c r="A279" s="2" t="str">
        <f ca="1">IFERROR(__xludf.DUMMYFUNCTION("""COMPUTED_VALUE"""),"38564ae2")</f>
        <v>38564ae2</v>
      </c>
      <c r="B279" s="3">
        <f ca="1">IFERROR(__xludf.DUMMYFUNCTION("""COMPUTED_VALUE"""),45743.7156481481)</f>
        <v>45743.7156481481</v>
      </c>
      <c r="C279" s="2" t="str">
        <f ca="1">IFERROR(__xludf.DUMMYFUNCTION("""COMPUTED_VALUE"""),"c750a1d2")</f>
        <v>c750a1d2</v>
      </c>
      <c r="D279" s="2">
        <f ca="1">IFERROR(__xludf.DUMMYFUNCTION("""COMPUTED_VALUE"""),52)</f>
        <v>52</v>
      </c>
      <c r="E279" s="2" t="str">
        <f ca="1">IFERROR(__xludf.DUMMYFUNCTION("""COMPUTED_VALUE"""),"Bonarda")</f>
        <v>Bonarda</v>
      </c>
      <c r="F279" s="2">
        <f ca="1">IFERROR(__xludf.DUMMYFUNCTION("""COMPUTED_VALUE"""),3000)</f>
        <v>3000</v>
      </c>
      <c r="G279" s="2">
        <f ca="1">IFERROR(__xludf.DUMMYFUNCTION("""COMPUTED_VALUE"""),500)</f>
        <v>500</v>
      </c>
      <c r="H279" s="2" t="str">
        <f ca="1">IFERROR(__xludf.DUMMYFUNCTION("""COMPUTED_VALUE"""),"2e2b3f01")</f>
        <v>2e2b3f01</v>
      </c>
      <c r="I279" s="2" t="str">
        <f ca="1">IFERROR(__xludf.DUMMYFUNCTION("""COMPUTED_VALUE"""),"Ajuste Arq 25/03/25")</f>
        <v>Ajuste Arq 25/03/25</v>
      </c>
      <c r="J279" s="2">
        <f ca="1">IFERROR(__xludf.DUMMYFUNCTION("""COMPUTED_VALUE"""),6401)</f>
        <v>6401</v>
      </c>
      <c r="K279" s="2">
        <f ca="1">IFERROR(__xludf.DUMMYFUNCTION("""COMPUTED_VALUE"""),9401)</f>
        <v>9401</v>
      </c>
      <c r="L279" s="2" t="str">
        <f ca="1">IFERROR(__xludf.DUMMYFUNCTION("""COMPUTED_VALUE"""),"3e5b524d")</f>
        <v>3e5b524d</v>
      </c>
      <c r="M279" s="2" t="str">
        <f ca="1">IFERROR(__xludf.DUMMYFUNCTION("""COMPUTED_VALUE"""),"Ajuste Arq 25/03/25")</f>
        <v>Ajuste Arq 25/03/25</v>
      </c>
      <c r="N279" s="2" t="str">
        <f ca="1">IFERROR(__xludf.DUMMYFUNCTION("""COMPUTED_VALUE"""),"Ajusste volumen sobrate")</f>
        <v>Ajusste volumen sobrate</v>
      </c>
      <c r="O279" s="2" t="str">
        <f ca="1">IFERROR(__xludf.DUMMYFUNCTION("""COMPUTED_VALUE"""),"Descubada")</f>
        <v>Descubada</v>
      </c>
      <c r="P279" s="2" t="str">
        <f ca="1">IFERROR(__xludf.DUMMYFUNCTION("""COMPUTED_VALUE"""),"Terminado")</f>
        <v>Terminado</v>
      </c>
      <c r="Q279" s="2" t="b">
        <f ca="1">IFERROR(__xludf.DUMMYFUNCTION("""COMPUTED_VALUE"""),TRUE)</f>
        <v>1</v>
      </c>
      <c r="R279" s="2" t="str">
        <f ca="1">IFERROR(__xludf.DUMMYFUNCTION("""COMPUTED_VALUE"""),"Terminado")</f>
        <v>Terminado</v>
      </c>
      <c r="S279" s="2"/>
      <c r="T279" s="2"/>
      <c r="U279" s="2"/>
    </row>
    <row r="280" spans="1:21" x14ac:dyDescent="0.25">
      <c r="A280" s="2" t="str">
        <f ca="1">IFERROR(__xludf.DUMMYFUNCTION("""COMPUTED_VALUE"""),"634bd176")</f>
        <v>634bd176</v>
      </c>
      <c r="B280" s="3">
        <f ca="1">IFERROR(__xludf.DUMMYFUNCTION("""COMPUTED_VALUE"""),45743.7661226851)</f>
        <v>45743.766122685098</v>
      </c>
      <c r="C280" s="2" t="str">
        <f ca="1">IFERROR(__xludf.DUMMYFUNCTION("""COMPUTED_VALUE"""),"b2ddb184")</f>
        <v>b2ddb184</v>
      </c>
      <c r="D280" s="2">
        <f ca="1">IFERROR(__xludf.DUMMYFUNCTION("""COMPUTED_VALUE"""),65)</f>
        <v>65</v>
      </c>
      <c r="E280" s="2" t="str">
        <f ca="1">IFERROR(__xludf.DUMMYFUNCTION("""COMPUTED_VALUE"""),"Pedro Gimenez")</f>
        <v>Pedro Gimenez</v>
      </c>
      <c r="F280" s="2">
        <f ca="1">IFERROR(__xludf.DUMMYFUNCTION("""COMPUTED_VALUE"""),26000)</f>
        <v>26000</v>
      </c>
      <c r="G280" s="2">
        <f ca="1">IFERROR(__xludf.DUMMYFUNCTION("""COMPUTED_VALUE"""),48)</f>
        <v>48</v>
      </c>
      <c r="H280" s="2"/>
      <c r="I280" s="2"/>
      <c r="J280" s="2">
        <f ca="1">IFERROR(__xludf.DUMMYFUNCTION("""COMPUTED_VALUE"""),0)</f>
        <v>0</v>
      </c>
      <c r="K280" s="2">
        <f ca="1">IFERROR(__xludf.DUMMYFUNCTION("""COMPUTED_VALUE"""),26000)</f>
        <v>26000</v>
      </c>
      <c r="L280" s="2" t="str">
        <f ca="1">IFERROR(__xludf.DUMMYFUNCTION("""COMPUTED_VALUE"""),"ef198a97")</f>
        <v>ef198a97</v>
      </c>
      <c r="M280" s="2" t="str">
        <f ca="1">IFERROR(__xludf.DUMMYFUNCTION("""COMPUTED_VALUE"""),"Pedro Gimenez")</f>
        <v>Pedro Gimenez</v>
      </c>
      <c r="N280" s="2"/>
      <c r="O280" s="2" t="str">
        <f ca="1">IFERROR(__xludf.DUMMYFUNCTION("""COMPUTED_VALUE"""),"Fermentando")</f>
        <v>Fermentando</v>
      </c>
      <c r="P280" s="2"/>
      <c r="Q280" s="2" t="b">
        <f ca="1">IFERROR(__xludf.DUMMYFUNCTION("""COMPUTED_VALUE"""),FALSE)</f>
        <v>0</v>
      </c>
      <c r="R280" s="2" t="str">
        <f ca="1">IFERROR(__xludf.DUMMYFUNCTION("""COMPUTED_VALUE"""),"Descubada")</f>
        <v>Descubada</v>
      </c>
      <c r="S280" s="2"/>
      <c r="T280" s="2"/>
      <c r="U280" s="2"/>
    </row>
    <row r="281" spans="1:21" x14ac:dyDescent="0.25">
      <c r="A281" s="2" t="str">
        <f ca="1">IFERROR(__xludf.DUMMYFUNCTION("""COMPUTED_VALUE"""),"e4394358")</f>
        <v>e4394358</v>
      </c>
      <c r="B281" s="3">
        <f ca="1">IFERROR(__xludf.DUMMYFUNCTION("""COMPUTED_VALUE"""),45743.7667824074)</f>
        <v>45743.766782407401</v>
      </c>
      <c r="C281" s="2" t="str">
        <f ca="1">IFERROR(__xludf.DUMMYFUNCTION("""COMPUTED_VALUE"""),"b2ddb184")</f>
        <v>b2ddb184</v>
      </c>
      <c r="D281" s="2">
        <f ca="1">IFERROR(__xludf.DUMMYFUNCTION("""COMPUTED_VALUE"""),65)</f>
        <v>65</v>
      </c>
      <c r="E281" s="2" t="str">
        <f ca="1">IFERROR(__xludf.DUMMYFUNCTION("""COMPUTED_VALUE"""),"Pedro Gimenez")</f>
        <v>Pedro Gimenez</v>
      </c>
      <c r="F281" s="2">
        <f ca="1">IFERROR(__xludf.DUMMYFUNCTION("""COMPUTED_VALUE"""),2500)</f>
        <v>2500</v>
      </c>
      <c r="G281" s="2">
        <f ca="1">IFERROR(__xludf.DUMMYFUNCTION("""COMPUTED_VALUE"""),47)</f>
        <v>47</v>
      </c>
      <c r="H281" s="2"/>
      <c r="I281" s="2"/>
      <c r="J281" s="2">
        <f ca="1">IFERROR(__xludf.DUMMYFUNCTION("""COMPUTED_VALUE"""),0)</f>
        <v>0</v>
      </c>
      <c r="K281" s="2">
        <f ca="1">IFERROR(__xludf.DUMMYFUNCTION("""COMPUTED_VALUE"""),2500)</f>
        <v>2500</v>
      </c>
      <c r="L281" s="2" t="str">
        <f ca="1">IFERROR(__xludf.DUMMYFUNCTION("""COMPUTED_VALUE"""),"eeb8e99d")</f>
        <v>eeb8e99d</v>
      </c>
      <c r="M281" s="2" t="str">
        <f ca="1">IFERROR(__xludf.DUMMYFUNCTION("""COMPUTED_VALUE"""),"Pedro Gimenez")</f>
        <v>Pedro Gimenez</v>
      </c>
      <c r="N281" s="2"/>
      <c r="O281" s="2" t="str">
        <f ca="1">IFERROR(__xludf.DUMMYFUNCTION("""COMPUTED_VALUE"""),"Fermentando")</f>
        <v>Fermentando</v>
      </c>
      <c r="P281" s="2"/>
      <c r="Q281" s="2" t="b">
        <f ca="1">IFERROR(__xludf.DUMMYFUNCTION("""COMPUTED_VALUE"""),FALSE)</f>
        <v>0</v>
      </c>
      <c r="R281" s="2" t="str">
        <f ca="1">IFERROR(__xludf.DUMMYFUNCTION("""COMPUTED_VALUE"""),"Descubada")</f>
        <v>Descubada</v>
      </c>
      <c r="S281" s="2"/>
      <c r="T281" s="2"/>
      <c r="U281" s="2"/>
    </row>
    <row r="282" spans="1:21" x14ac:dyDescent="0.25">
      <c r="A282" s="2" t="str">
        <f ca="1">IFERROR(__xludf.DUMMYFUNCTION("""COMPUTED_VALUE"""),"169799fd")</f>
        <v>169799fd</v>
      </c>
      <c r="B282" s="3">
        <f ca="1">IFERROR(__xludf.DUMMYFUNCTION("""COMPUTED_VALUE"""),45743.7673148148)</f>
        <v>45743.767314814802</v>
      </c>
      <c r="C282" s="2" t="str">
        <f ca="1">IFERROR(__xludf.DUMMYFUNCTION("""COMPUTED_VALUE"""),"4fc3176a")</f>
        <v>4fc3176a</v>
      </c>
      <c r="D282" s="2">
        <f ca="1">IFERROR(__xludf.DUMMYFUNCTION("""COMPUTED_VALUE"""),80)</f>
        <v>80</v>
      </c>
      <c r="E282" s="2" t="str">
        <f ca="1">IFERROR(__xludf.DUMMYFUNCTION("""COMPUTED_VALUE"""),"Chenin")</f>
        <v>Chenin</v>
      </c>
      <c r="F282" s="2">
        <f ca="1">IFERROR(__xludf.DUMMYFUNCTION("""COMPUTED_VALUE"""),17500)</f>
        <v>17500</v>
      </c>
      <c r="G282" s="2">
        <f ca="1">IFERROR(__xludf.DUMMYFUNCTION("""COMPUTED_VALUE"""),47)</f>
        <v>47</v>
      </c>
      <c r="H282" s="2" t="str">
        <f ca="1">IFERROR(__xludf.DUMMYFUNCTION("""COMPUTED_VALUE"""),"eeb8e99d")</f>
        <v>eeb8e99d</v>
      </c>
      <c r="I282" s="2" t="str">
        <f ca="1">IFERROR(__xludf.DUMMYFUNCTION("""COMPUTED_VALUE"""),"Pedro Gimenez")</f>
        <v>Pedro Gimenez</v>
      </c>
      <c r="J282" s="2">
        <f ca="1">IFERROR(__xludf.DUMMYFUNCTION("""COMPUTED_VALUE"""),2500)</f>
        <v>2500</v>
      </c>
      <c r="K282" s="2">
        <f ca="1">IFERROR(__xludf.DUMMYFUNCTION("""COMPUTED_VALUE"""),20000)</f>
        <v>20000</v>
      </c>
      <c r="L282" s="2" t="str">
        <f ca="1">IFERROR(__xludf.DUMMYFUNCTION("""COMPUTED_VALUE"""),"5cdb12ce")</f>
        <v>5cdb12ce</v>
      </c>
      <c r="M282" s="2" t="str">
        <f ca="1">IFERROR(__xludf.DUMMYFUNCTION("""COMPUTED_VALUE"""),"Chenin")</f>
        <v>Chenin</v>
      </c>
      <c r="N282" s="2"/>
      <c r="O282" s="2" t="str">
        <f ca="1">IFERROR(__xludf.DUMMYFUNCTION("""COMPUTED_VALUE"""),"Fermentando")</f>
        <v>Fermentando</v>
      </c>
      <c r="P282" s="2" t="str">
        <f ca="1">IFERROR(__xludf.DUMMYFUNCTION("""COMPUTED_VALUE"""),"Descubada")</f>
        <v>Descubada</v>
      </c>
      <c r="Q282" s="2" t="b">
        <f ca="1">IFERROR(__xludf.DUMMYFUNCTION("""COMPUTED_VALUE"""),FALSE)</f>
        <v>0</v>
      </c>
      <c r="R282" s="2" t="str">
        <f ca="1">IFERROR(__xludf.DUMMYFUNCTION("""COMPUTED_VALUE"""),"Descubada")</f>
        <v>Descubada</v>
      </c>
      <c r="S282" s="2"/>
      <c r="T282" s="2"/>
      <c r="U282" s="2"/>
    </row>
    <row r="283" spans="1:21" x14ac:dyDescent="0.25">
      <c r="A283" s="2" t="str">
        <f ca="1">IFERROR(__xludf.DUMMYFUNCTION("""COMPUTED_VALUE"""),"ed3da2b8")</f>
        <v>ed3da2b8</v>
      </c>
      <c r="B283" s="3">
        <f ca="1">IFERROR(__xludf.DUMMYFUNCTION("""COMPUTED_VALUE"""),45743.7677083333)</f>
        <v>45743.767708333296</v>
      </c>
      <c r="C283" s="2" t="str">
        <f ca="1">IFERROR(__xludf.DUMMYFUNCTION("""COMPUTED_VALUE"""),"4fc3176a")</f>
        <v>4fc3176a</v>
      </c>
      <c r="D283" s="2">
        <f ca="1">IFERROR(__xludf.DUMMYFUNCTION("""COMPUTED_VALUE"""),80)</f>
        <v>80</v>
      </c>
      <c r="E283" s="2" t="str">
        <f ca="1">IFERROR(__xludf.DUMMYFUNCTION("""COMPUTED_VALUE"""),"Chenin")</f>
        <v>Chenin</v>
      </c>
      <c r="F283" s="2">
        <f ca="1">IFERROR(__xludf.DUMMYFUNCTION("""COMPUTED_VALUE"""),5500)</f>
        <v>5500</v>
      </c>
      <c r="G283" s="2">
        <f ca="1">IFERROR(__xludf.DUMMYFUNCTION("""COMPUTED_VALUE"""),36)</f>
        <v>36</v>
      </c>
      <c r="H283" s="2"/>
      <c r="I283" s="2"/>
      <c r="J283" s="2">
        <f ca="1">IFERROR(__xludf.DUMMYFUNCTION("""COMPUTED_VALUE"""),0)</f>
        <v>0</v>
      </c>
      <c r="K283" s="2">
        <f ca="1">IFERROR(__xludf.DUMMYFUNCTION("""COMPUTED_VALUE"""),5500)</f>
        <v>5500</v>
      </c>
      <c r="L283" s="2" t="str">
        <f ca="1">IFERROR(__xludf.DUMMYFUNCTION("""COMPUTED_VALUE"""),"b4fcbbdb")</f>
        <v>b4fcbbdb</v>
      </c>
      <c r="M283" s="2" t="str">
        <f ca="1">IFERROR(__xludf.DUMMYFUNCTION("""COMPUTED_VALUE"""),"Chenin")</f>
        <v>Chenin</v>
      </c>
      <c r="N283" s="2"/>
      <c r="O283" s="2" t="str">
        <f ca="1">IFERROR(__xludf.DUMMYFUNCTION("""COMPUTED_VALUE"""),"Descubada")</f>
        <v>Descubada</v>
      </c>
      <c r="P283" s="2"/>
      <c r="Q283" s="2" t="b">
        <f ca="1">IFERROR(__xludf.DUMMYFUNCTION("""COMPUTED_VALUE"""),FALSE)</f>
        <v>0</v>
      </c>
      <c r="R283" s="2" t="str">
        <f ca="1">IFERROR(__xludf.DUMMYFUNCTION("""COMPUTED_VALUE"""),"Descubada")</f>
        <v>Descubada</v>
      </c>
      <c r="S283" s="2"/>
      <c r="T283" s="2"/>
      <c r="U283" s="2"/>
    </row>
    <row r="284" spans="1:21" x14ac:dyDescent="0.25">
      <c r="A284" s="2" t="str">
        <f ca="1">IFERROR(__xludf.DUMMYFUNCTION("""COMPUTED_VALUE"""),"60f1c12a")</f>
        <v>60f1c12a</v>
      </c>
      <c r="B284" s="3">
        <f ca="1">IFERROR(__xludf.DUMMYFUNCTION("""COMPUTED_VALUE"""),45743.7681828703)</f>
        <v>45743.768182870299</v>
      </c>
      <c r="C284" s="2" t="str">
        <f ca="1">IFERROR(__xludf.DUMMYFUNCTION("""COMPUTED_VALUE"""),"dea77610")</f>
        <v>dea77610</v>
      </c>
      <c r="D284" s="2">
        <f ca="1">IFERROR(__xludf.DUMMYFUNCTION("""COMPUTED_VALUE"""),81)</f>
        <v>81</v>
      </c>
      <c r="E284" s="2" t="str">
        <f ca="1">IFERROR(__xludf.DUMMYFUNCTION("""COMPUTED_VALUE"""),"Torrontes")</f>
        <v>Torrontes</v>
      </c>
      <c r="F284" s="2">
        <f ca="1">IFERROR(__xludf.DUMMYFUNCTION("""COMPUTED_VALUE"""),14200)</f>
        <v>14200</v>
      </c>
      <c r="G284" s="2">
        <f ca="1">IFERROR(__xludf.DUMMYFUNCTION("""COMPUTED_VALUE"""),36)</f>
        <v>36</v>
      </c>
      <c r="H284" s="2" t="str">
        <f ca="1">IFERROR(__xludf.DUMMYFUNCTION("""COMPUTED_VALUE"""),"b4fcbbdb")</f>
        <v>b4fcbbdb</v>
      </c>
      <c r="I284" s="2" t="str">
        <f ca="1">IFERROR(__xludf.DUMMYFUNCTION("""COMPUTED_VALUE"""),"Chenin")</f>
        <v>Chenin</v>
      </c>
      <c r="J284" s="2">
        <f ca="1">IFERROR(__xludf.DUMMYFUNCTION("""COMPUTED_VALUE"""),5500)</f>
        <v>5500</v>
      </c>
      <c r="K284" s="2">
        <f ca="1">IFERROR(__xludf.DUMMYFUNCTION("""COMPUTED_VALUE"""),19700)</f>
        <v>19700</v>
      </c>
      <c r="L284" s="2" t="str">
        <f ca="1">IFERROR(__xludf.DUMMYFUNCTION("""COMPUTED_VALUE"""),"0997a77d")</f>
        <v>0997a77d</v>
      </c>
      <c r="M284" s="2" t="str">
        <f ca="1">IFERROR(__xludf.DUMMYFUNCTION("""COMPUTED_VALUE"""),"Torrontes")</f>
        <v>Torrontes</v>
      </c>
      <c r="N284" s="2"/>
      <c r="O284" s="2" t="str">
        <f ca="1">IFERROR(__xludf.DUMMYFUNCTION("""COMPUTED_VALUE"""),"Fermentando")</f>
        <v>Fermentando</v>
      </c>
      <c r="P284" s="2" t="str">
        <f ca="1">IFERROR(__xludf.DUMMYFUNCTION("""COMPUTED_VALUE"""),"Descubada")</f>
        <v>Descubada</v>
      </c>
      <c r="Q284" s="2" t="b">
        <f ca="1">IFERROR(__xludf.DUMMYFUNCTION("""COMPUTED_VALUE"""),FALSE)</f>
        <v>0</v>
      </c>
      <c r="R284" s="2" t="str">
        <f ca="1">IFERROR(__xludf.DUMMYFUNCTION("""COMPUTED_VALUE"""),"Descubada")</f>
        <v>Descubada</v>
      </c>
      <c r="S284" s="2"/>
      <c r="T284" s="2"/>
      <c r="U284" s="2"/>
    </row>
    <row r="285" spans="1:21" x14ac:dyDescent="0.25">
      <c r="A285" s="2" t="str">
        <f ca="1">IFERROR(__xludf.DUMMYFUNCTION("""COMPUTED_VALUE"""),"4bd2fb8f")</f>
        <v>4bd2fb8f</v>
      </c>
      <c r="B285" s="3">
        <f ca="1">IFERROR(__xludf.DUMMYFUNCTION("""COMPUTED_VALUE"""),45743.768912037)</f>
        <v>45743.768912036998</v>
      </c>
      <c r="C285" s="2" t="str">
        <f ca="1">IFERROR(__xludf.DUMMYFUNCTION("""COMPUTED_VALUE"""),"dea77610")</f>
        <v>dea77610</v>
      </c>
      <c r="D285" s="2">
        <f ca="1">IFERROR(__xludf.DUMMYFUNCTION("""COMPUTED_VALUE"""),81)</f>
        <v>81</v>
      </c>
      <c r="E285" s="2" t="str">
        <f ca="1">IFERROR(__xludf.DUMMYFUNCTION("""COMPUTED_VALUE"""),"Torrontes")</f>
        <v>Torrontes</v>
      </c>
      <c r="F285" s="2">
        <f ca="1">IFERROR(__xludf.DUMMYFUNCTION("""COMPUTED_VALUE"""),3000)</f>
        <v>3000</v>
      </c>
      <c r="G285" s="2">
        <f ca="1">IFERROR(__xludf.DUMMYFUNCTION("""COMPUTED_VALUE"""),55)</f>
        <v>55</v>
      </c>
      <c r="H285" s="2"/>
      <c r="I285" s="2"/>
      <c r="J285" s="2">
        <f ca="1">IFERROR(__xludf.DUMMYFUNCTION("""COMPUTED_VALUE"""),0)</f>
        <v>0</v>
      </c>
      <c r="K285" s="2">
        <f ca="1">IFERROR(__xludf.DUMMYFUNCTION("""COMPUTED_VALUE"""),3000)</f>
        <v>3000</v>
      </c>
      <c r="L285" s="2" t="str">
        <f ca="1">IFERROR(__xludf.DUMMYFUNCTION("""COMPUTED_VALUE"""),"30332ad5")</f>
        <v>30332ad5</v>
      </c>
      <c r="M285" s="2" t="str">
        <f ca="1">IFERROR(__xludf.DUMMYFUNCTION("""COMPUTED_VALUE"""),"Torrontes")</f>
        <v>Torrontes</v>
      </c>
      <c r="N285" s="2"/>
      <c r="O285" s="2" t="str">
        <f ca="1">IFERROR(__xludf.DUMMYFUNCTION("""COMPUTED_VALUE"""),"Fermentando")</f>
        <v>Fermentando</v>
      </c>
      <c r="P285" s="2"/>
      <c r="Q285" s="2" t="b">
        <f ca="1">IFERROR(__xludf.DUMMYFUNCTION("""COMPUTED_VALUE"""),FALSE)</f>
        <v>0</v>
      </c>
      <c r="R285" s="2" t="str">
        <f ca="1">IFERROR(__xludf.DUMMYFUNCTION("""COMPUTED_VALUE"""),"Descubada")</f>
        <v>Descubada</v>
      </c>
      <c r="S285" s="2"/>
      <c r="T285" s="2"/>
      <c r="U285" s="2"/>
    </row>
    <row r="286" spans="1:21" x14ac:dyDescent="0.25">
      <c r="A286" s="2" t="str">
        <f ca="1">IFERROR(__xludf.DUMMYFUNCTION("""COMPUTED_VALUE"""),"a21ada18")</f>
        <v>a21ada18</v>
      </c>
      <c r="B286" s="3">
        <f ca="1">IFERROR(__xludf.DUMMYFUNCTION("""COMPUTED_VALUE"""),45743.7692361111)</f>
        <v>45743.769236111097</v>
      </c>
      <c r="C286" s="2" t="str">
        <f ca="1">IFERROR(__xludf.DUMMYFUNCTION("""COMPUTED_VALUE"""),"dea77610")</f>
        <v>dea77610</v>
      </c>
      <c r="D286" s="2">
        <f ca="1">IFERROR(__xludf.DUMMYFUNCTION("""COMPUTED_VALUE"""),81)</f>
        <v>81</v>
      </c>
      <c r="E286" s="2" t="str">
        <f ca="1">IFERROR(__xludf.DUMMYFUNCTION("""COMPUTED_VALUE"""),"Torrontes")</f>
        <v>Torrontes</v>
      </c>
      <c r="F286" s="2">
        <f ca="1">IFERROR(__xludf.DUMMYFUNCTION("""COMPUTED_VALUE"""),1800)</f>
        <v>1800</v>
      </c>
      <c r="G286" s="2">
        <f ca="1">IFERROR(__xludf.DUMMYFUNCTION("""COMPUTED_VALUE"""),110)</f>
        <v>110</v>
      </c>
      <c r="H286" s="2" t="str">
        <f ca="1">IFERROR(__xludf.DUMMYFUNCTION("""COMPUTED_VALUE"""),"bf6d548a")</f>
        <v>bf6d548a</v>
      </c>
      <c r="I286" s="2" t="str">
        <f ca="1">IFERROR(__xludf.DUMMYFUNCTION("""COMPUTED_VALUE"""),"Borra")</f>
        <v>Borra</v>
      </c>
      <c r="J286" s="2">
        <f ca="1">IFERROR(__xludf.DUMMYFUNCTION("""COMPUTED_VALUE"""),7000)</f>
        <v>7000</v>
      </c>
      <c r="K286" s="2">
        <f ca="1">IFERROR(__xludf.DUMMYFUNCTION("""COMPUTED_VALUE"""),8800)</f>
        <v>8800</v>
      </c>
      <c r="L286" s="2" t="str">
        <f ca="1">IFERROR(__xludf.DUMMYFUNCTION("""COMPUTED_VALUE"""),"d711de02")</f>
        <v>d711de02</v>
      </c>
      <c r="M286" s="2" t="str">
        <f ca="1">IFERROR(__xludf.DUMMYFUNCTION("""COMPUTED_VALUE"""),"Borra")</f>
        <v>Borra</v>
      </c>
      <c r="N286" s="2"/>
      <c r="O286" s="2" t="str">
        <f ca="1">IFERROR(__xludf.DUMMYFUNCTION("""COMPUTED_VALUE"""),"Fermentando")</f>
        <v>Fermentando</v>
      </c>
      <c r="P286" s="2" t="str">
        <f ca="1">IFERROR(__xludf.DUMMYFUNCTION("""COMPUTED_VALUE"""),"Descubada")</f>
        <v>Descubada</v>
      </c>
      <c r="Q286" s="2" t="b">
        <f ca="1">IFERROR(__xludf.DUMMYFUNCTION("""COMPUTED_VALUE"""),TRUE)</f>
        <v>1</v>
      </c>
      <c r="R286" s="2" t="str">
        <f ca="1">IFERROR(__xludf.DUMMYFUNCTION("""COMPUTED_VALUE"""),"Descubada")</f>
        <v>Descubada</v>
      </c>
      <c r="S286" s="2"/>
      <c r="T286" s="2"/>
      <c r="U286" s="2"/>
    </row>
    <row r="287" spans="1:21" x14ac:dyDescent="0.25">
      <c r="A287" s="2" t="str">
        <f ca="1">IFERROR(__xludf.DUMMYFUNCTION("""COMPUTED_VALUE"""),"c9fed906")</f>
        <v>c9fed906</v>
      </c>
      <c r="B287" s="3">
        <f ca="1">IFERROR(__xludf.DUMMYFUNCTION("""COMPUTED_VALUE"""),45743.7712152777)</f>
        <v>45743.771215277702</v>
      </c>
      <c r="C287" s="2" t="str">
        <f ca="1">IFERROR(__xludf.DUMMYFUNCTION("""COMPUTED_VALUE"""),"d5c7ee63")</f>
        <v>d5c7ee63</v>
      </c>
      <c r="D287" s="2">
        <f ca="1">IFERROR(__xludf.DUMMYFUNCTION("""COMPUTED_VALUE"""),44)</f>
        <v>44</v>
      </c>
      <c r="E287" s="2" t="str">
        <f ca="1">IFERROR(__xludf.DUMMYFUNCTION("""COMPUTED_VALUE"""),"Cabernet Sauvignon Rect 24")</f>
        <v>Cabernet Sauvignon Rect 24</v>
      </c>
      <c r="F287" s="2">
        <f ca="1">IFERROR(__xludf.DUMMYFUNCTION("""COMPUTED_VALUE"""),3500)</f>
        <v>3500</v>
      </c>
      <c r="G287" s="2">
        <f ca="1">IFERROR(__xludf.DUMMYFUNCTION("""COMPUTED_VALUE"""),92)</f>
        <v>92</v>
      </c>
      <c r="H287" s="2" t="str">
        <f ca="1">IFERROR(__xludf.DUMMYFUNCTION("""COMPUTED_VALUE"""),"654f6921")</f>
        <v>654f6921</v>
      </c>
      <c r="I287" s="2" t="str">
        <f ca="1">IFERROR(__xludf.DUMMYFUNCTION("""COMPUTED_VALUE"""),"Malbec")</f>
        <v>Malbec</v>
      </c>
      <c r="J287" s="2">
        <f ca="1">IFERROR(__xludf.DUMMYFUNCTION("""COMPUTED_VALUE"""),23800)</f>
        <v>23800</v>
      </c>
      <c r="K287" s="2">
        <f ca="1">IFERROR(__xludf.DUMMYFUNCTION("""COMPUTED_VALUE"""),27300)</f>
        <v>27300</v>
      </c>
      <c r="L287" s="2" t="str">
        <f ca="1">IFERROR(__xludf.DUMMYFUNCTION("""COMPUTED_VALUE"""),"2f246ad5")</f>
        <v>2f246ad5</v>
      </c>
      <c r="M287" s="2" t="str">
        <f ca="1">IFERROR(__xludf.DUMMYFUNCTION("""COMPUTED_VALUE"""),"Malbec")</f>
        <v>Malbec</v>
      </c>
      <c r="N287" s="2" t="str">
        <f ca="1">IFERROR(__xludf.DUMMYFUNCTION("""COMPUTED_VALUE"""),"Rectificado")</f>
        <v>Rectificado</v>
      </c>
      <c r="O287" s="2" t="str">
        <f ca="1">IFERROR(__xludf.DUMMYFUNCTION("""COMPUTED_VALUE"""),"Rectificado")</f>
        <v>Rectificado</v>
      </c>
      <c r="P287" s="2" t="str">
        <f ca="1">IFERROR(__xludf.DUMMYFUNCTION("""COMPUTED_VALUE"""),"Fermentando")</f>
        <v>Fermentando</v>
      </c>
      <c r="Q287" s="2" t="b">
        <f ca="1">IFERROR(__xludf.DUMMYFUNCTION("""COMPUTED_VALUE"""),TRUE)</f>
        <v>1</v>
      </c>
      <c r="R287" s="2" t="str">
        <f ca="1">IFERROR(__xludf.DUMMYFUNCTION("""COMPUTED_VALUE"""),"Fermentando")</f>
        <v>Fermentando</v>
      </c>
      <c r="S287" s="2"/>
      <c r="T287" s="2"/>
      <c r="U287" s="2"/>
    </row>
    <row r="288" spans="1:21" x14ac:dyDescent="0.25">
      <c r="A288" s="2" t="str">
        <f ca="1">IFERROR(__xludf.DUMMYFUNCTION("""COMPUTED_VALUE"""),"282d49ef")</f>
        <v>282d49ef</v>
      </c>
      <c r="B288" s="3">
        <f ca="1">IFERROR(__xludf.DUMMYFUNCTION("""COMPUTED_VALUE"""),45743.7722222222)</f>
        <v>45743.7722222222</v>
      </c>
      <c r="C288" s="2" t="str">
        <f ca="1">IFERROR(__xludf.DUMMYFUNCTION("""COMPUTED_VALUE"""),"a3cee476")</f>
        <v>a3cee476</v>
      </c>
      <c r="D288" s="2">
        <f ca="1">IFERROR(__xludf.DUMMYFUNCTION("""COMPUTED_VALUE"""),79)</f>
        <v>79</v>
      </c>
      <c r="E288" s="2" t="str">
        <f ca="1">IFERROR(__xludf.DUMMYFUNCTION("""COMPUTED_VALUE"""),"Torrontes")</f>
        <v>Torrontes</v>
      </c>
      <c r="F288" s="2">
        <f ca="1">IFERROR(__xludf.DUMMYFUNCTION("""COMPUTED_VALUE"""),19100)</f>
        <v>19100</v>
      </c>
      <c r="G288" s="2">
        <f ca="1">IFERROR(__xludf.DUMMYFUNCTION("""COMPUTED_VALUE"""),44)</f>
        <v>44</v>
      </c>
      <c r="H288" s="2"/>
      <c r="I288" s="2"/>
      <c r="J288" s="2">
        <f ca="1">IFERROR(__xludf.DUMMYFUNCTION("""COMPUTED_VALUE"""),0)</f>
        <v>0</v>
      </c>
      <c r="K288" s="2">
        <f ca="1">IFERROR(__xludf.DUMMYFUNCTION("""COMPUTED_VALUE"""),19100)</f>
        <v>19100</v>
      </c>
      <c r="L288" s="2" t="str">
        <f ca="1">IFERROR(__xludf.DUMMYFUNCTION("""COMPUTED_VALUE"""),"7ae457f1")</f>
        <v>7ae457f1</v>
      </c>
      <c r="M288" s="2" t="str">
        <f ca="1">IFERROR(__xludf.DUMMYFUNCTION("""COMPUTED_VALUE"""),"Torrontes")</f>
        <v>Torrontes</v>
      </c>
      <c r="N288" s="2"/>
      <c r="O288" s="2" t="str">
        <f ca="1">IFERROR(__xludf.DUMMYFUNCTION("""COMPUTED_VALUE"""),"Fermentando")</f>
        <v>Fermentando</v>
      </c>
      <c r="P288" s="2"/>
      <c r="Q288" s="2" t="b">
        <f ca="1">IFERROR(__xludf.DUMMYFUNCTION("""COMPUTED_VALUE"""),FALSE)</f>
        <v>0</v>
      </c>
      <c r="R288" s="2" t="str">
        <f ca="1">IFERROR(__xludf.DUMMYFUNCTION("""COMPUTED_VALUE"""),"Fermentando")</f>
        <v>Fermentando</v>
      </c>
      <c r="S288" s="2"/>
      <c r="T288" s="2"/>
      <c r="U288" s="2"/>
    </row>
    <row r="289" spans="1:21" x14ac:dyDescent="0.25">
      <c r="A289" s="2" t="str">
        <f ca="1">IFERROR(__xludf.DUMMYFUNCTION("""COMPUTED_VALUE"""),"c01712dc")</f>
        <v>c01712dc</v>
      </c>
      <c r="B289" s="3">
        <f ca="1">IFERROR(__xludf.DUMMYFUNCTION("""COMPUTED_VALUE"""),45744.5296643518)</f>
        <v>45744.529664351801</v>
      </c>
      <c r="C289" s="2" t="str">
        <f ca="1">IFERROR(__xludf.DUMMYFUNCTION("""COMPUTED_VALUE"""),"a3cee476")</f>
        <v>a3cee476</v>
      </c>
      <c r="D289" s="2">
        <f ca="1">IFERROR(__xludf.DUMMYFUNCTION("""COMPUTED_VALUE"""),79)</f>
        <v>79</v>
      </c>
      <c r="E289" s="2" t="str">
        <f ca="1">IFERROR(__xludf.DUMMYFUNCTION("""COMPUTED_VALUE"""),"Torrontes")</f>
        <v>Torrontes</v>
      </c>
      <c r="F289" s="2">
        <f ca="1">IFERROR(__xludf.DUMMYFUNCTION("""COMPUTED_VALUE"""),2900)</f>
        <v>2900</v>
      </c>
      <c r="G289" s="2">
        <f ca="1">IFERROR(__xludf.DUMMYFUNCTION("""COMPUTED_VALUE"""),2)</f>
        <v>2</v>
      </c>
      <c r="H289" s="2"/>
      <c r="I289" s="2"/>
      <c r="J289" s="2">
        <f ca="1">IFERROR(__xludf.DUMMYFUNCTION("""COMPUTED_VALUE"""),0)</f>
        <v>0</v>
      </c>
      <c r="K289" s="2">
        <f ca="1">IFERROR(__xludf.DUMMYFUNCTION("""COMPUTED_VALUE"""),2000)</f>
        <v>2000</v>
      </c>
      <c r="L289" s="2" t="str">
        <f ca="1">IFERROR(__xludf.DUMMYFUNCTION("""COMPUTED_VALUE"""),"f544d5bf")</f>
        <v>f544d5bf</v>
      </c>
      <c r="M289" s="2" t="str">
        <f ca="1">IFERROR(__xludf.DUMMYFUNCTION("""COMPUTED_VALUE"""),"Torrontes tacho Plastico")</f>
        <v>Torrontes tacho Plastico</v>
      </c>
      <c r="N289" s="2"/>
      <c r="O289" s="2" t="str">
        <f ca="1">IFERROR(__xludf.DUMMYFUNCTION("""COMPUTED_VALUE"""),"Fermentando")</f>
        <v>Fermentando</v>
      </c>
      <c r="P289" s="2"/>
      <c r="Q289" s="2" t="b">
        <f ca="1">IFERROR(__xludf.DUMMYFUNCTION("""COMPUTED_VALUE"""),FALSE)</f>
        <v>0</v>
      </c>
      <c r="R289" s="2" t="str">
        <f ca="1">IFERROR(__xludf.DUMMYFUNCTION("""COMPUTED_VALUE"""),"Fermentando")</f>
        <v>Fermentando</v>
      </c>
      <c r="S289" s="2"/>
      <c r="T289" s="2"/>
      <c r="U289" s="2"/>
    </row>
    <row r="290" spans="1:21" x14ac:dyDescent="0.25">
      <c r="A290" s="2" t="str">
        <f ca="1">IFERROR(__xludf.DUMMYFUNCTION("""COMPUTED_VALUE"""),"c6fd6c11")</f>
        <v>c6fd6c11</v>
      </c>
      <c r="B290" s="3">
        <f ca="1">IFERROR(__xludf.DUMMYFUNCTION("""COMPUTED_VALUE"""),45744.5312384259)</f>
        <v>45744.531238425901</v>
      </c>
      <c r="C290" s="2" t="str">
        <f ca="1">IFERROR(__xludf.DUMMYFUNCTION("""COMPUTED_VALUE"""),"de74d539")</f>
        <v>de74d539</v>
      </c>
      <c r="D290" s="2">
        <f ca="1">IFERROR(__xludf.DUMMYFUNCTION("""COMPUTED_VALUE"""),90)</f>
        <v>90</v>
      </c>
      <c r="E290" s="2" t="str">
        <f ca="1">IFERROR(__xludf.DUMMYFUNCTION("""COMPUTED_VALUE"""),"Ancellotta Tempranillo")</f>
        <v>Ancellotta Tempranillo</v>
      </c>
      <c r="F290" s="2">
        <f ca="1">IFERROR(__xludf.DUMMYFUNCTION("""COMPUTED_VALUE"""),16200)</f>
        <v>16200</v>
      </c>
      <c r="G290" s="2">
        <f ca="1">IFERROR(__xludf.DUMMYFUNCTION("""COMPUTED_VALUE"""),500)</f>
        <v>500</v>
      </c>
      <c r="H290" s="2" t="str">
        <f ca="1">IFERROR(__xludf.DUMMYFUNCTION("""COMPUTED_VALUE"""),"3e5b524d")</f>
        <v>3e5b524d</v>
      </c>
      <c r="I290" s="2" t="str">
        <f ca="1">IFERROR(__xludf.DUMMYFUNCTION("""COMPUTED_VALUE"""),"Ajuste Arq 25/03/25")</f>
        <v>Ajuste Arq 25/03/25</v>
      </c>
      <c r="J290" s="2">
        <f ca="1">IFERROR(__xludf.DUMMYFUNCTION("""COMPUTED_VALUE"""),9401)</f>
        <v>9401</v>
      </c>
      <c r="K290" s="2">
        <f ca="1">IFERROR(__xludf.DUMMYFUNCTION("""COMPUTED_VALUE"""),25601)</f>
        <v>25601</v>
      </c>
      <c r="L290" s="2" t="str">
        <f ca="1">IFERROR(__xludf.DUMMYFUNCTION("""COMPUTED_VALUE"""),"0ff5115b")</f>
        <v>0ff5115b</v>
      </c>
      <c r="M290" s="2" t="str">
        <f ca="1">IFERROR(__xludf.DUMMYFUNCTION("""COMPUTED_VALUE"""),"Ancellotta Tempranillo")</f>
        <v>Ancellotta Tempranillo</v>
      </c>
      <c r="N290" s="2"/>
      <c r="O290" s="2" t="str">
        <f ca="1">IFERROR(__xludf.DUMMYFUNCTION("""COMPUTED_VALUE"""),"Fermentando")</f>
        <v>Fermentando</v>
      </c>
      <c r="P290" s="2" t="str">
        <f ca="1">IFERROR(__xludf.DUMMYFUNCTION("""COMPUTED_VALUE"""),"Terminado")</f>
        <v>Terminado</v>
      </c>
      <c r="Q290" s="2" t="b">
        <f ca="1">IFERROR(__xludf.DUMMYFUNCTION("""COMPUTED_VALUE"""),FALSE)</f>
        <v>0</v>
      </c>
      <c r="R290" s="2" t="str">
        <f ca="1">IFERROR(__xludf.DUMMYFUNCTION("""COMPUTED_VALUE"""),"Fermentando")</f>
        <v>Fermentando</v>
      </c>
      <c r="S290" s="2"/>
      <c r="T290" s="2"/>
      <c r="U290" s="2"/>
    </row>
    <row r="291" spans="1:21" x14ac:dyDescent="0.25">
      <c r="A291" s="2" t="str">
        <f ca="1">IFERROR(__xludf.DUMMYFUNCTION("""COMPUTED_VALUE"""),"5b38cc92")</f>
        <v>5b38cc92</v>
      </c>
      <c r="B291" s="3">
        <f ca="1">IFERROR(__xludf.DUMMYFUNCTION("""COMPUTED_VALUE"""),45744.8490856481)</f>
        <v>45744.8490856481</v>
      </c>
      <c r="C291" s="2" t="str">
        <f ca="1">IFERROR(__xludf.DUMMYFUNCTION("""COMPUTED_VALUE"""),"1640b5b7")</f>
        <v>1640b5b7</v>
      </c>
      <c r="D291" s="2">
        <f ca="1">IFERROR(__xludf.DUMMYFUNCTION("""COMPUTED_VALUE"""),69)</f>
        <v>69</v>
      </c>
      <c r="E291" s="2" t="str">
        <f ca="1">IFERROR(__xludf.DUMMYFUNCTION("""COMPUTED_VALUE"""),"Tinto Criolla Recarga")</f>
        <v>Tinto Criolla Recarga</v>
      </c>
      <c r="F291" s="2">
        <f ca="1">IFERROR(__xludf.DUMMYFUNCTION("""COMPUTED_VALUE"""),8000)</f>
        <v>8000</v>
      </c>
      <c r="G291" s="2">
        <f ca="1">IFERROR(__xludf.DUMMYFUNCTION("""COMPUTED_VALUE"""),96)</f>
        <v>96</v>
      </c>
      <c r="H291" s="2"/>
      <c r="I291" s="2"/>
      <c r="J291" s="2">
        <f ca="1">IFERROR(__xludf.DUMMYFUNCTION("""COMPUTED_VALUE"""),0)</f>
        <v>0</v>
      </c>
      <c r="K291" s="2">
        <f ca="1">IFERROR(__xludf.DUMMYFUNCTION("""COMPUTED_VALUE"""),8000)</f>
        <v>8000</v>
      </c>
      <c r="L291" s="2" t="str">
        <f ca="1">IFERROR(__xludf.DUMMYFUNCTION("""COMPUTED_VALUE"""),"c694d86c")</f>
        <v>c694d86c</v>
      </c>
      <c r="M291" s="2" t="str">
        <f ca="1">IFERROR(__xludf.DUMMYFUNCTION("""COMPUTED_VALUE"""),"Tinto Criolla Recarga")</f>
        <v>Tinto Criolla Recarga</v>
      </c>
      <c r="N291" s="2"/>
      <c r="O291" s="2" t="str">
        <f ca="1">IFERROR(__xludf.DUMMYFUNCTION("""COMPUTED_VALUE"""),"Recarga Fermentando")</f>
        <v>Recarga Fermentando</v>
      </c>
      <c r="P291" s="2"/>
      <c r="Q291" s="2" t="b">
        <f ca="1">IFERROR(__xludf.DUMMYFUNCTION("""COMPUTED_VALUE"""),FALSE)</f>
        <v>0</v>
      </c>
      <c r="R291" s="2" t="str">
        <f ca="1">IFERROR(__xludf.DUMMYFUNCTION("""COMPUTED_VALUE"""),"Descubada")</f>
        <v>Descubada</v>
      </c>
      <c r="S291" s="2"/>
      <c r="T291" s="2"/>
      <c r="U291" s="2"/>
    </row>
    <row r="292" spans="1:21" x14ac:dyDescent="0.25">
      <c r="A292" s="2" t="str">
        <f ca="1">IFERROR(__xludf.DUMMYFUNCTION("""COMPUTED_VALUE"""),"e924584f")</f>
        <v>e924584f</v>
      </c>
      <c r="B292" s="3">
        <f ca="1">IFERROR(__xludf.DUMMYFUNCTION("""COMPUTED_VALUE"""),45744.8496412037)</f>
        <v>45744.849641203698</v>
      </c>
      <c r="C292" s="2" t="str">
        <f ca="1">IFERROR(__xludf.DUMMYFUNCTION("""COMPUTED_VALUE"""),"538b2389")</f>
        <v>538b2389</v>
      </c>
      <c r="D292" s="2">
        <f ca="1">IFERROR(__xludf.DUMMYFUNCTION("""COMPUTED_VALUE"""),82)</f>
        <v>82</v>
      </c>
      <c r="E292" s="2" t="str">
        <f ca="1">IFERROR(__xludf.DUMMYFUNCTION("""COMPUTED_VALUE"""),"Tinto Criolla Rec")</f>
        <v>Tinto Criolla Rec</v>
      </c>
      <c r="F292" s="2">
        <f ca="1">IFERROR(__xludf.DUMMYFUNCTION("""COMPUTED_VALUE"""),28000)</f>
        <v>28000</v>
      </c>
      <c r="G292" s="2">
        <f ca="1">IFERROR(__xludf.DUMMYFUNCTION("""COMPUTED_VALUE"""),96)</f>
        <v>96</v>
      </c>
      <c r="H292" s="2" t="str">
        <f ca="1">IFERROR(__xludf.DUMMYFUNCTION("""COMPUTED_VALUE"""),"c694d86c")</f>
        <v>c694d86c</v>
      </c>
      <c r="I292" s="2" t="str">
        <f ca="1">IFERROR(__xludf.DUMMYFUNCTION("""COMPUTED_VALUE"""),"Tinto Criolla Recarga")</f>
        <v>Tinto Criolla Recarga</v>
      </c>
      <c r="J292" s="2">
        <f ca="1">IFERROR(__xludf.DUMMYFUNCTION("""COMPUTED_VALUE"""),8000)</f>
        <v>8000</v>
      </c>
      <c r="K292" s="2">
        <f ca="1">IFERROR(__xludf.DUMMYFUNCTION("""COMPUTED_VALUE"""),36000)</f>
        <v>36000</v>
      </c>
      <c r="L292" s="2" t="str">
        <f ca="1">IFERROR(__xludf.DUMMYFUNCTION("""COMPUTED_VALUE"""),"50c7db36")</f>
        <v>50c7db36</v>
      </c>
      <c r="M292" s="2" t="str">
        <f ca="1">IFERROR(__xludf.DUMMYFUNCTION("""COMPUTED_VALUE"""),"Tinto Criolla Recarga")</f>
        <v>Tinto Criolla Recarga</v>
      </c>
      <c r="N292" s="2"/>
      <c r="O292" s="2" t="str">
        <f ca="1">IFERROR(__xludf.DUMMYFUNCTION("""COMPUTED_VALUE"""),"Recarga Fermentando")</f>
        <v>Recarga Fermentando</v>
      </c>
      <c r="P292" s="2" t="str">
        <f ca="1">IFERROR(__xludf.DUMMYFUNCTION("""COMPUTED_VALUE"""),"Descubada")</f>
        <v>Descubada</v>
      </c>
      <c r="Q292" s="2" t="b">
        <f ca="1">IFERROR(__xludf.DUMMYFUNCTION("""COMPUTED_VALUE"""),TRUE)</f>
        <v>1</v>
      </c>
      <c r="R292" s="2" t="str">
        <f ca="1">IFERROR(__xludf.DUMMYFUNCTION("""COMPUTED_VALUE"""),"Descubada")</f>
        <v>Descubada</v>
      </c>
      <c r="S292" s="2"/>
      <c r="T292" s="2"/>
      <c r="U292" s="2"/>
    </row>
    <row r="293" spans="1:21" x14ac:dyDescent="0.25">
      <c r="A293" s="2" t="str">
        <f ca="1">IFERROR(__xludf.DUMMYFUNCTION("""COMPUTED_VALUE"""),"47d751e1")</f>
        <v>47d751e1</v>
      </c>
      <c r="B293" s="3">
        <f ca="1">IFERROR(__xludf.DUMMYFUNCTION("""COMPUTED_VALUE"""),45744.8636574074)</f>
        <v>45744.863657407397</v>
      </c>
      <c r="C293" s="2" t="str">
        <f ca="1">IFERROR(__xludf.DUMMYFUNCTION("""COMPUTED_VALUE"""),"bf5594db")</f>
        <v>bf5594db</v>
      </c>
      <c r="D293" s="2">
        <f ca="1">IFERROR(__xludf.DUMMYFUNCTION("""COMPUTED_VALUE"""),15)</f>
        <v>15</v>
      </c>
      <c r="E293" s="2" t="str">
        <f ca="1">IFERROR(__xludf.DUMMYFUNCTION("""COMPUTED_VALUE"""),"Syrah Tempranillo s/Asp 2da")</f>
        <v>Syrah Tempranillo s/Asp 2da</v>
      </c>
      <c r="F293" s="2">
        <f ca="1">IFERROR(__xludf.DUMMYFUNCTION("""COMPUTED_VALUE"""),36500)</f>
        <v>36500</v>
      </c>
      <c r="G293" s="2">
        <f ca="1">IFERROR(__xludf.DUMMYFUNCTION("""COMPUTED_VALUE"""),25)</f>
        <v>25</v>
      </c>
      <c r="H293" s="2"/>
      <c r="I293" s="2"/>
      <c r="J293" s="2">
        <f ca="1">IFERROR(__xludf.DUMMYFUNCTION("""COMPUTED_VALUE"""),0)</f>
        <v>0</v>
      </c>
      <c r="K293" s="2">
        <f ca="1">IFERROR(__xludf.DUMMYFUNCTION("""COMPUTED_VALUE"""),36500)</f>
        <v>36500</v>
      </c>
      <c r="L293" s="2" t="str">
        <f ca="1">IFERROR(__xludf.DUMMYFUNCTION("""COMPUTED_VALUE"""),"c97f270b")</f>
        <v>c97f270b</v>
      </c>
      <c r="M293" s="2" t="str">
        <f ca="1">IFERROR(__xludf.DUMMYFUNCTION("""COMPUTED_VALUE"""),"Syrah")</f>
        <v>Syrah</v>
      </c>
      <c r="N293" s="2"/>
      <c r="O293" s="2" t="str">
        <f ca="1">IFERROR(__xludf.DUMMYFUNCTION("""COMPUTED_VALUE"""),"Descubada")</f>
        <v>Descubada</v>
      </c>
      <c r="P293" s="2"/>
      <c r="Q293" s="2" t="b">
        <f ca="1">IFERROR(__xludf.DUMMYFUNCTION("""COMPUTED_VALUE"""),FALSE)</f>
        <v>0</v>
      </c>
      <c r="R293" s="2" t="str">
        <f ca="1">IFERROR(__xludf.DUMMYFUNCTION("""COMPUTED_VALUE"""),"1er Trasiego")</f>
        <v>1er Trasiego</v>
      </c>
      <c r="S293" s="2"/>
      <c r="T293" s="2"/>
      <c r="U293" s="2"/>
    </row>
    <row r="294" spans="1:21" x14ac:dyDescent="0.25">
      <c r="A294" s="2" t="str">
        <f ca="1">IFERROR(__xludf.DUMMYFUNCTION("""COMPUTED_VALUE"""),"2fe69c71")</f>
        <v>2fe69c71</v>
      </c>
      <c r="B294" s="3">
        <f ca="1">IFERROR(__xludf.DUMMYFUNCTION("""COMPUTED_VALUE"""),45744.8643287037)</f>
        <v>45744.864328703698</v>
      </c>
      <c r="C294" s="2" t="str">
        <f ca="1">IFERROR(__xludf.DUMMYFUNCTION("""COMPUTED_VALUE"""),"21a02bb8")</f>
        <v>21a02bb8</v>
      </c>
      <c r="D294" s="2">
        <f ca="1">IFERROR(__xludf.DUMMYFUNCTION("""COMPUTED_VALUE"""),14)</f>
        <v>14</v>
      </c>
      <c r="E294" s="2" t="str">
        <f ca="1">IFERROR(__xludf.DUMMYFUNCTION("""COMPUTED_VALUE"""),"Syrah Colom s/Asp 2")</f>
        <v>Syrah Colom s/Asp 2</v>
      </c>
      <c r="F294" s="2">
        <f ca="1">IFERROR(__xludf.DUMMYFUNCTION("""COMPUTED_VALUE"""),37000)</f>
        <v>37000</v>
      </c>
      <c r="G294" s="2">
        <f ca="1">IFERROR(__xludf.DUMMYFUNCTION("""COMPUTED_VALUE"""),25)</f>
        <v>25</v>
      </c>
      <c r="H294" s="2" t="str">
        <f ca="1">IFERROR(__xludf.DUMMYFUNCTION("""COMPUTED_VALUE"""),"c97f270b")</f>
        <v>c97f270b</v>
      </c>
      <c r="I294" s="2" t="str">
        <f ca="1">IFERROR(__xludf.DUMMYFUNCTION("""COMPUTED_VALUE"""),"Syrah")</f>
        <v>Syrah</v>
      </c>
      <c r="J294" s="2">
        <f ca="1">IFERROR(__xludf.DUMMYFUNCTION("""COMPUTED_VALUE"""),36500)</f>
        <v>36500</v>
      </c>
      <c r="K294" s="2">
        <f ca="1">IFERROR(__xludf.DUMMYFUNCTION("""COMPUTED_VALUE"""),73500)</f>
        <v>73500</v>
      </c>
      <c r="L294" s="2" t="str">
        <f ca="1">IFERROR(__xludf.DUMMYFUNCTION("""COMPUTED_VALUE"""),"6dd6dc83")</f>
        <v>6dd6dc83</v>
      </c>
      <c r="M294" s="2" t="str">
        <f ca="1">IFERROR(__xludf.DUMMYFUNCTION("""COMPUTED_VALUE"""),"Syrah")</f>
        <v>Syrah</v>
      </c>
      <c r="N294" s="2"/>
      <c r="O294" s="2" t="str">
        <f ca="1">IFERROR(__xludf.DUMMYFUNCTION("""COMPUTED_VALUE"""),"Descubada")</f>
        <v>Descubada</v>
      </c>
      <c r="P294" s="2" t="str">
        <f ca="1">IFERROR(__xludf.DUMMYFUNCTION("""COMPUTED_VALUE"""),"1er Trasiego")</f>
        <v>1er Trasiego</v>
      </c>
      <c r="Q294" s="2" t="b">
        <f ca="1">IFERROR(__xludf.DUMMYFUNCTION("""COMPUTED_VALUE"""),TRUE)</f>
        <v>1</v>
      </c>
      <c r="R294" s="2" t="str">
        <f ca="1">IFERROR(__xludf.DUMMYFUNCTION("""COMPUTED_VALUE"""),"1er Trasiego")</f>
        <v>1er Trasiego</v>
      </c>
      <c r="S294" s="2"/>
      <c r="T294" s="2"/>
      <c r="U294" s="2"/>
    </row>
    <row r="295" spans="1:21" x14ac:dyDescent="0.25">
      <c r="A295" s="2" t="str">
        <f ca="1">IFERROR(__xludf.DUMMYFUNCTION("""COMPUTED_VALUE"""),"dbab89b9")</f>
        <v>dbab89b9</v>
      </c>
      <c r="B295" s="3">
        <f ca="1">IFERROR(__xludf.DUMMYFUNCTION("""COMPUTED_VALUE"""),45744.8648726851)</f>
        <v>45744.864872685102</v>
      </c>
      <c r="C295" s="2" t="str">
        <f ca="1">IFERROR(__xludf.DUMMYFUNCTION("""COMPUTED_VALUE"""),"9c695ba3")</f>
        <v>9c695ba3</v>
      </c>
      <c r="D295" s="2">
        <f ca="1">IFERROR(__xludf.DUMMYFUNCTION("""COMPUTED_VALUE"""),11)</f>
        <v>11</v>
      </c>
      <c r="E295" s="2" t="str">
        <f ca="1">IFERROR(__xludf.DUMMYFUNCTION("""COMPUTED_VALUE"""),"Syrah Colom s/Asp 2")</f>
        <v>Syrah Colom s/Asp 2</v>
      </c>
      <c r="F295" s="2">
        <f ca="1">IFERROR(__xludf.DUMMYFUNCTION("""COMPUTED_VALUE"""),36000)</f>
        <v>36000</v>
      </c>
      <c r="G295" s="2">
        <f ca="1">IFERROR(__xludf.DUMMYFUNCTION("""COMPUTED_VALUE"""),25)</f>
        <v>25</v>
      </c>
      <c r="H295" s="2" t="str">
        <f ca="1">IFERROR(__xludf.DUMMYFUNCTION("""COMPUTED_VALUE"""),"6dd6dc83")</f>
        <v>6dd6dc83</v>
      </c>
      <c r="I295" s="2" t="str">
        <f ca="1">IFERROR(__xludf.DUMMYFUNCTION("""COMPUTED_VALUE"""),"Syrah")</f>
        <v>Syrah</v>
      </c>
      <c r="J295" s="2">
        <f ca="1">IFERROR(__xludf.DUMMYFUNCTION("""COMPUTED_VALUE"""),73500)</f>
        <v>73500</v>
      </c>
      <c r="K295" s="2">
        <f ca="1">IFERROR(__xludf.DUMMYFUNCTION("""COMPUTED_VALUE"""),109500)</f>
        <v>109500</v>
      </c>
      <c r="L295" s="2" t="str">
        <f ca="1">IFERROR(__xludf.DUMMYFUNCTION("""COMPUTED_VALUE"""),"ec23e3f7")</f>
        <v>ec23e3f7</v>
      </c>
      <c r="M295" s="2" t="str">
        <f ca="1">IFERROR(__xludf.DUMMYFUNCTION("""COMPUTED_VALUE"""),"Syrah")</f>
        <v>Syrah</v>
      </c>
      <c r="N295" s="2"/>
      <c r="O295" s="2" t="str">
        <f ca="1">IFERROR(__xludf.DUMMYFUNCTION("""COMPUTED_VALUE"""),"Descubada")</f>
        <v>Descubada</v>
      </c>
      <c r="P295" s="2" t="str">
        <f ca="1">IFERROR(__xludf.DUMMYFUNCTION("""COMPUTED_VALUE"""),"1er Trasiego")</f>
        <v>1er Trasiego</v>
      </c>
      <c r="Q295" s="2" t="b">
        <f ca="1">IFERROR(__xludf.DUMMYFUNCTION("""COMPUTED_VALUE"""),TRUE)</f>
        <v>1</v>
      </c>
      <c r="R295" s="2" t="str">
        <f ca="1">IFERROR(__xludf.DUMMYFUNCTION("""COMPUTED_VALUE"""),"1er Trasiego")</f>
        <v>1er Trasiego</v>
      </c>
      <c r="S295" s="2"/>
      <c r="T295" s="2"/>
      <c r="U295" s="2"/>
    </row>
    <row r="296" spans="1:21" x14ac:dyDescent="0.25">
      <c r="A296" s="2" t="str">
        <f ca="1">IFERROR(__xludf.DUMMYFUNCTION("""COMPUTED_VALUE"""),"3ef6ac11")</f>
        <v>3ef6ac11</v>
      </c>
      <c r="B296" s="3">
        <f ca="1">IFERROR(__xludf.DUMMYFUNCTION("""COMPUTED_VALUE"""),45744.8652083333)</f>
        <v>45744.8652083333</v>
      </c>
      <c r="C296" s="2" t="str">
        <f ca="1">IFERROR(__xludf.DUMMYFUNCTION("""COMPUTED_VALUE"""),"f41ecbda")</f>
        <v>f41ecbda</v>
      </c>
      <c r="D296" s="2">
        <f ca="1">IFERROR(__xludf.DUMMYFUNCTION("""COMPUTED_VALUE"""),34)</f>
        <v>34</v>
      </c>
      <c r="E296" s="2" t="str">
        <f ca="1">IFERROR(__xludf.DUMMYFUNCTION("""COMPUTED_VALUE"""),"Syrah s/Asp 2da")</f>
        <v>Syrah s/Asp 2da</v>
      </c>
      <c r="F296" s="2">
        <f ca="1">IFERROR(__xludf.DUMMYFUNCTION("""COMPUTED_VALUE"""),39500)</f>
        <v>39500</v>
      </c>
      <c r="G296" s="2">
        <f ca="1">IFERROR(__xludf.DUMMYFUNCTION("""COMPUTED_VALUE"""),25)</f>
        <v>25</v>
      </c>
      <c r="H296" s="2" t="str">
        <f ca="1">IFERROR(__xludf.DUMMYFUNCTION("""COMPUTED_VALUE"""),"ec23e3f7")</f>
        <v>ec23e3f7</v>
      </c>
      <c r="I296" s="2" t="str">
        <f ca="1">IFERROR(__xludf.DUMMYFUNCTION("""COMPUTED_VALUE"""),"Syrah")</f>
        <v>Syrah</v>
      </c>
      <c r="J296" s="2">
        <f ca="1">IFERROR(__xludf.DUMMYFUNCTION("""COMPUTED_VALUE"""),109500)</f>
        <v>109500</v>
      </c>
      <c r="K296" s="2">
        <f ca="1">IFERROR(__xludf.DUMMYFUNCTION("""COMPUTED_VALUE"""),149000)</f>
        <v>149000</v>
      </c>
      <c r="L296" s="2" t="str">
        <f ca="1">IFERROR(__xludf.DUMMYFUNCTION("""COMPUTED_VALUE"""),"bc837f92")</f>
        <v>bc837f92</v>
      </c>
      <c r="M296" s="2" t="str">
        <f ca="1">IFERROR(__xludf.DUMMYFUNCTION("""COMPUTED_VALUE"""),"Syrah")</f>
        <v>Syrah</v>
      </c>
      <c r="N296" s="2"/>
      <c r="O296" s="2" t="str">
        <f ca="1">IFERROR(__xludf.DUMMYFUNCTION("""COMPUTED_VALUE"""),"Descubada")</f>
        <v>Descubada</v>
      </c>
      <c r="P296" s="2" t="str">
        <f ca="1">IFERROR(__xludf.DUMMYFUNCTION("""COMPUTED_VALUE"""),"1er Trasiego")</f>
        <v>1er Trasiego</v>
      </c>
      <c r="Q296" s="2" t="b">
        <f ca="1">IFERROR(__xludf.DUMMYFUNCTION("""COMPUTED_VALUE"""),TRUE)</f>
        <v>1</v>
      </c>
      <c r="R296" s="2" t="str">
        <f ca="1">IFERROR(__xludf.DUMMYFUNCTION("""COMPUTED_VALUE"""),"1er Trasiego")</f>
        <v>1er Trasiego</v>
      </c>
      <c r="S296" s="2"/>
      <c r="T296" s="2"/>
      <c r="U296" s="2"/>
    </row>
    <row r="297" spans="1:21" x14ac:dyDescent="0.25">
      <c r="A297" s="2" t="str">
        <f ca="1">IFERROR(__xludf.DUMMYFUNCTION("""COMPUTED_VALUE"""),"4a892e06")</f>
        <v>4a892e06</v>
      </c>
      <c r="B297" s="3">
        <f ca="1">IFERROR(__xludf.DUMMYFUNCTION("""COMPUTED_VALUE"""),45745.500787037)</f>
        <v>45745.500787037003</v>
      </c>
      <c r="C297" s="2" t="str">
        <f ca="1">IFERROR(__xludf.DUMMYFUNCTION("""COMPUTED_VALUE"""),"f90482a4")</f>
        <v>f90482a4</v>
      </c>
      <c r="D297" s="2">
        <f ca="1">IFERROR(__xludf.DUMMYFUNCTION("""COMPUTED_VALUE"""),121)</f>
        <v>121</v>
      </c>
      <c r="E297" s="2" t="str">
        <f ca="1">IFERROR(__xludf.DUMMYFUNCTION("""COMPUTED_VALUE"""),"Syrah s/Asp 3ra")</f>
        <v>Syrah s/Asp 3ra</v>
      </c>
      <c r="F297" s="2">
        <f ca="1">IFERROR(__xludf.DUMMYFUNCTION("""COMPUTED_VALUE"""),45300)</f>
        <v>45300</v>
      </c>
      <c r="G297" s="2">
        <f ca="1">IFERROR(__xludf.DUMMYFUNCTION("""COMPUTED_VALUE"""),25)</f>
        <v>25</v>
      </c>
      <c r="H297" s="2" t="str">
        <f ca="1">IFERROR(__xludf.DUMMYFUNCTION("""COMPUTED_VALUE"""),"bc837f92")</f>
        <v>bc837f92</v>
      </c>
      <c r="I297" s="2" t="str">
        <f ca="1">IFERROR(__xludf.DUMMYFUNCTION("""COMPUTED_VALUE"""),"Syrah")</f>
        <v>Syrah</v>
      </c>
      <c r="J297" s="2">
        <f ca="1">IFERROR(__xludf.DUMMYFUNCTION("""COMPUTED_VALUE"""),149000)</f>
        <v>149000</v>
      </c>
      <c r="K297" s="2">
        <f ca="1">IFERROR(__xludf.DUMMYFUNCTION("""COMPUTED_VALUE"""),194300)</f>
        <v>194300</v>
      </c>
      <c r="L297" s="2" t="str">
        <f ca="1">IFERROR(__xludf.DUMMYFUNCTION("""COMPUTED_VALUE"""),"a6d28e88")</f>
        <v>a6d28e88</v>
      </c>
      <c r="M297" s="2" t="str">
        <f ca="1">IFERROR(__xludf.DUMMYFUNCTION("""COMPUTED_VALUE"""),"Syrah")</f>
        <v>Syrah</v>
      </c>
      <c r="N297" s="2"/>
      <c r="O297" s="2" t="str">
        <f ca="1">IFERROR(__xludf.DUMMYFUNCTION("""COMPUTED_VALUE"""),"Descubada")</f>
        <v>Descubada</v>
      </c>
      <c r="P297" s="2" t="str">
        <f ca="1">IFERROR(__xludf.DUMMYFUNCTION("""COMPUTED_VALUE"""),"1er Trasiego")</f>
        <v>1er Trasiego</v>
      </c>
      <c r="Q297" s="2" t="b">
        <f ca="1">IFERROR(__xludf.DUMMYFUNCTION("""COMPUTED_VALUE"""),TRUE)</f>
        <v>1</v>
      </c>
      <c r="R297" s="2" t="str">
        <f ca="1">IFERROR(__xludf.DUMMYFUNCTION("""COMPUTED_VALUE"""),"1er Trasiego")</f>
        <v>1er Trasiego</v>
      </c>
      <c r="S297" s="2"/>
      <c r="T297" s="2"/>
      <c r="U297" s="2"/>
    </row>
    <row r="298" spans="1:21" x14ac:dyDescent="0.25">
      <c r="A298" s="2" t="str">
        <f ca="1">IFERROR(__xludf.DUMMYFUNCTION("""COMPUTED_VALUE"""),"dbae7e3d")</f>
        <v>dbae7e3d</v>
      </c>
      <c r="B298" s="3">
        <f ca="1">IFERROR(__xludf.DUMMYFUNCTION("""COMPUTED_VALUE"""),45745.5012731481)</f>
        <v>45745.501273148097</v>
      </c>
      <c r="C298" s="2" t="str">
        <f ca="1">IFERROR(__xludf.DUMMYFUNCTION("""COMPUTED_VALUE"""),"f90482a4")</f>
        <v>f90482a4</v>
      </c>
      <c r="D298" s="2">
        <f ca="1">IFERROR(__xludf.DUMMYFUNCTION("""COMPUTED_VALUE"""),121)</f>
        <v>121</v>
      </c>
      <c r="E298" s="2" t="str">
        <f ca="1">IFERROR(__xludf.DUMMYFUNCTION("""COMPUTED_VALUE"""),"Syrah s/Asp 3ra")</f>
        <v>Syrah s/Asp 3ra</v>
      </c>
      <c r="F298" s="2">
        <f ca="1">IFERROR(__xludf.DUMMYFUNCTION("""COMPUTED_VALUE"""),36000)</f>
        <v>36000</v>
      </c>
      <c r="G298" s="2">
        <f ca="1">IFERROR(__xludf.DUMMYFUNCTION("""COMPUTED_VALUE"""),11)</f>
        <v>11</v>
      </c>
      <c r="H298" s="2"/>
      <c r="I298" s="2"/>
      <c r="J298" s="2">
        <f ca="1">IFERROR(__xludf.DUMMYFUNCTION("""COMPUTED_VALUE"""),0)</f>
        <v>0</v>
      </c>
      <c r="K298" s="2">
        <f ca="1">IFERROR(__xludf.DUMMYFUNCTION("""COMPUTED_VALUE"""),36000)</f>
        <v>36000</v>
      </c>
      <c r="L298" s="2" t="str">
        <f ca="1">IFERROR(__xludf.DUMMYFUNCTION("""COMPUTED_VALUE"""),"d557e5fd")</f>
        <v>d557e5fd</v>
      </c>
      <c r="M298" s="2" t="str">
        <f ca="1">IFERROR(__xludf.DUMMYFUNCTION("""COMPUTED_VALUE"""),"Syrah s/Asp 3ra")</f>
        <v>Syrah s/Asp 3ra</v>
      </c>
      <c r="N298" s="2"/>
      <c r="O298" s="2" t="str">
        <f ca="1">IFERROR(__xludf.DUMMYFUNCTION("""COMPUTED_VALUE"""),"Descubada")</f>
        <v>Descubada</v>
      </c>
      <c r="P298" s="2"/>
      <c r="Q298" s="2" t="b">
        <f ca="1">IFERROR(__xludf.DUMMYFUNCTION("""COMPUTED_VALUE"""),FALSE)</f>
        <v>0</v>
      </c>
      <c r="R298" s="2" t="str">
        <f ca="1">IFERROR(__xludf.DUMMYFUNCTION("""COMPUTED_VALUE"""),"Descubada")</f>
        <v>Descubada</v>
      </c>
      <c r="S298" s="2"/>
      <c r="T298" s="2"/>
      <c r="U298" s="2"/>
    </row>
    <row r="299" spans="1:21" x14ac:dyDescent="0.25">
      <c r="A299" s="2" t="str">
        <f ca="1">IFERROR(__xludf.DUMMYFUNCTION("""COMPUTED_VALUE"""),"ef5df3a8")</f>
        <v>ef5df3a8</v>
      </c>
      <c r="B299" s="3">
        <f ca="1">IFERROR(__xludf.DUMMYFUNCTION("""COMPUTED_VALUE"""),45745.5014930555)</f>
        <v>45745.501493055497</v>
      </c>
      <c r="C299" s="2" t="str">
        <f ca="1">IFERROR(__xludf.DUMMYFUNCTION("""COMPUTED_VALUE"""),"f90482a4")</f>
        <v>f90482a4</v>
      </c>
      <c r="D299" s="2">
        <f ca="1">IFERROR(__xludf.DUMMYFUNCTION("""COMPUTED_VALUE"""),121)</f>
        <v>121</v>
      </c>
      <c r="E299" s="2" t="str">
        <f ca="1">IFERROR(__xludf.DUMMYFUNCTION("""COMPUTED_VALUE"""),"Syrah s/Asp 3ra")</f>
        <v>Syrah s/Asp 3ra</v>
      </c>
      <c r="F299" s="2">
        <f ca="1">IFERROR(__xludf.DUMMYFUNCTION("""COMPUTED_VALUE"""),4500)</f>
        <v>4500</v>
      </c>
      <c r="G299" s="2">
        <f ca="1">IFERROR(__xludf.DUMMYFUNCTION("""COMPUTED_VALUE"""),110)</f>
        <v>110</v>
      </c>
      <c r="H299" s="2" t="str">
        <f ca="1">IFERROR(__xludf.DUMMYFUNCTION("""COMPUTED_VALUE"""),"d711de02")</f>
        <v>d711de02</v>
      </c>
      <c r="I299" s="2" t="str">
        <f ca="1">IFERROR(__xludf.DUMMYFUNCTION("""COMPUTED_VALUE"""),"Borra")</f>
        <v>Borra</v>
      </c>
      <c r="J299" s="2">
        <f ca="1">IFERROR(__xludf.DUMMYFUNCTION("""COMPUTED_VALUE"""),8800)</f>
        <v>8800</v>
      </c>
      <c r="K299" s="2">
        <f ca="1">IFERROR(__xludf.DUMMYFUNCTION("""COMPUTED_VALUE"""),15600)</f>
        <v>15600</v>
      </c>
      <c r="L299" s="2" t="str">
        <f ca="1">IFERROR(__xludf.DUMMYFUNCTION("""COMPUTED_VALUE"""),"d251428e")</f>
        <v>d251428e</v>
      </c>
      <c r="M299" s="2" t="str">
        <f ca="1">IFERROR(__xludf.DUMMYFUNCTION("""COMPUTED_VALUE"""),"Borra")</f>
        <v>Borra</v>
      </c>
      <c r="N299" s="2"/>
      <c r="O299" s="2" t="str">
        <f ca="1">IFERROR(__xludf.DUMMYFUNCTION("""COMPUTED_VALUE"""),"Descubada")</f>
        <v>Descubada</v>
      </c>
      <c r="P299" s="2" t="str">
        <f ca="1">IFERROR(__xludf.DUMMYFUNCTION("""COMPUTED_VALUE"""),"Descubada")</f>
        <v>Descubada</v>
      </c>
      <c r="Q299" s="2" t="b">
        <f ca="1">IFERROR(__xludf.DUMMYFUNCTION("""COMPUTED_VALUE"""),TRUE)</f>
        <v>1</v>
      </c>
      <c r="R299" s="2" t="str">
        <f ca="1">IFERROR(__xludf.DUMMYFUNCTION("""COMPUTED_VALUE"""),"Descubada")</f>
        <v>Descubada</v>
      </c>
      <c r="S299" s="2"/>
      <c r="T299" s="2"/>
      <c r="U299" s="2"/>
    </row>
    <row r="300" spans="1:21" x14ac:dyDescent="0.25">
      <c r="A300" s="2" t="str">
        <f ca="1">IFERROR(__xludf.DUMMYFUNCTION("""COMPUTED_VALUE"""),"f2239263")</f>
        <v>f2239263</v>
      </c>
      <c r="B300" s="3">
        <f ca="1">IFERROR(__xludf.DUMMYFUNCTION("""COMPUTED_VALUE"""),45747.7572106481)</f>
        <v>45747.757210648102</v>
      </c>
      <c r="C300" s="2" t="str">
        <f ca="1">IFERROR(__xludf.DUMMYFUNCTION("""COMPUTED_VALUE"""),"a9ae339e")</f>
        <v>a9ae339e</v>
      </c>
      <c r="D300" s="2">
        <f ca="1">IFERROR(__xludf.DUMMYFUNCTION("""COMPUTED_VALUE"""),49)</f>
        <v>49</v>
      </c>
      <c r="E300" s="2" t="str">
        <f ca="1">IFERROR(__xludf.DUMMYFUNCTION("""COMPUTED_VALUE"""),"Bonarda 24 Rect")</f>
        <v>Bonarda 24 Rect</v>
      </c>
      <c r="F300" s="2">
        <f ca="1">IFERROR(__xludf.DUMMYFUNCTION("""COMPUTED_VALUE"""),7300)</f>
        <v>7300</v>
      </c>
      <c r="G300" s="2">
        <f ca="1">IFERROR(__xludf.DUMMYFUNCTION("""COMPUTED_VALUE"""),92)</f>
        <v>92</v>
      </c>
      <c r="H300" s="2" t="str">
        <f ca="1">IFERROR(__xludf.DUMMYFUNCTION("""COMPUTED_VALUE"""),"2f246ad5")</f>
        <v>2f246ad5</v>
      </c>
      <c r="I300" s="2" t="str">
        <f ca="1">IFERROR(__xludf.DUMMYFUNCTION("""COMPUTED_VALUE"""),"Malbec")</f>
        <v>Malbec</v>
      </c>
      <c r="J300" s="2">
        <f ca="1">IFERROR(__xludf.DUMMYFUNCTION("""COMPUTED_VALUE"""),39000)</f>
        <v>39000</v>
      </c>
      <c r="K300" s="2">
        <f ca="1">IFERROR(__xludf.DUMMYFUNCTION("""COMPUTED_VALUE"""),46300)</f>
        <v>46300</v>
      </c>
      <c r="L300" s="2" t="str">
        <f ca="1">IFERROR(__xludf.DUMMYFUNCTION("""COMPUTED_VALUE"""),"857f0b04")</f>
        <v>857f0b04</v>
      </c>
      <c r="M300" s="2" t="str">
        <f ca="1">IFERROR(__xludf.DUMMYFUNCTION("""COMPUTED_VALUE"""),"Malbec")</f>
        <v>Malbec</v>
      </c>
      <c r="N300" s="2"/>
      <c r="O300" s="2" t="str">
        <f ca="1">IFERROR(__xludf.DUMMYFUNCTION("""COMPUTED_VALUE"""),"Rectificado")</f>
        <v>Rectificado</v>
      </c>
      <c r="P300" s="2" t="str">
        <f ca="1">IFERROR(__xludf.DUMMYFUNCTION("""COMPUTED_VALUE"""),"Fermentando")</f>
        <v>Fermentando</v>
      </c>
      <c r="Q300" s="2" t="b">
        <f ca="1">IFERROR(__xludf.DUMMYFUNCTION("""COMPUTED_VALUE"""),TRUE)</f>
        <v>1</v>
      </c>
      <c r="R300" s="2" t="str">
        <f ca="1">IFERROR(__xludf.DUMMYFUNCTION("""COMPUTED_VALUE"""),"Fermentando")</f>
        <v>Fermentando</v>
      </c>
      <c r="S300" s="2"/>
      <c r="T300" s="2"/>
      <c r="U300" s="2"/>
    </row>
    <row r="301" spans="1:21" x14ac:dyDescent="0.25">
      <c r="A301" s="2" t="str">
        <f ca="1">IFERROR(__xludf.DUMMYFUNCTION("""COMPUTED_VALUE"""),"577420cf")</f>
        <v>577420cf</v>
      </c>
      <c r="B301" s="3">
        <f ca="1">IFERROR(__xludf.DUMMYFUNCTION("""COMPUTED_VALUE"""),45747.7577083333)</f>
        <v>45747.757708333302</v>
      </c>
      <c r="C301" s="2" t="str">
        <f ca="1">IFERROR(__xludf.DUMMYFUNCTION("""COMPUTED_VALUE"""),"a9ae339e")</f>
        <v>a9ae339e</v>
      </c>
      <c r="D301" s="2">
        <f ca="1">IFERROR(__xludf.DUMMYFUNCTION("""COMPUTED_VALUE"""),49)</f>
        <v>49</v>
      </c>
      <c r="E301" s="2" t="str">
        <f ca="1">IFERROR(__xludf.DUMMYFUNCTION("""COMPUTED_VALUE"""),"Bonarda 24 Rect")</f>
        <v>Bonarda 24 Rect</v>
      </c>
      <c r="F301" s="2">
        <f ca="1">IFERROR(__xludf.DUMMYFUNCTION("""COMPUTED_VALUE"""),9600)</f>
        <v>9600</v>
      </c>
      <c r="G301" s="2">
        <f ca="1">IFERROR(__xludf.DUMMYFUNCTION("""COMPUTED_VALUE"""),91)</f>
        <v>91</v>
      </c>
      <c r="H301" s="2" t="str">
        <f ca="1">IFERROR(__xludf.DUMMYFUNCTION("""COMPUTED_VALUE"""),"8cca3230")</f>
        <v>8cca3230</v>
      </c>
      <c r="I301" s="2" t="str">
        <f ca="1">IFERROR(__xludf.DUMMYFUNCTION("""COMPUTED_VALUE"""),"Bonarda")</f>
        <v>Bonarda</v>
      </c>
      <c r="J301" s="2">
        <f ca="1">IFERROR(__xludf.DUMMYFUNCTION("""COMPUTED_VALUE"""),49700)</f>
        <v>49700</v>
      </c>
      <c r="K301" s="2">
        <f ca="1">IFERROR(__xludf.DUMMYFUNCTION("""COMPUTED_VALUE"""),59300)</f>
        <v>59300</v>
      </c>
      <c r="L301" s="2" t="str">
        <f ca="1">IFERROR(__xludf.DUMMYFUNCTION("""COMPUTED_VALUE"""),"0420c80a")</f>
        <v>0420c80a</v>
      </c>
      <c r="M301" s="2" t="str">
        <f ca="1">IFERROR(__xludf.DUMMYFUNCTION("""COMPUTED_VALUE"""),"Bonarda")</f>
        <v>Bonarda</v>
      </c>
      <c r="N301" s="2"/>
      <c r="O301" s="2" t="str">
        <f ca="1">IFERROR(__xludf.DUMMYFUNCTION("""COMPUTED_VALUE"""),"Rectificado")</f>
        <v>Rectificado</v>
      </c>
      <c r="P301" s="2" t="str">
        <f ca="1">IFERROR(__xludf.DUMMYFUNCTION("""COMPUTED_VALUE"""),"Fermentando")</f>
        <v>Fermentando</v>
      </c>
      <c r="Q301" s="2" t="b">
        <f ca="1">IFERROR(__xludf.DUMMYFUNCTION("""COMPUTED_VALUE"""),TRUE)</f>
        <v>1</v>
      </c>
      <c r="R301" s="2" t="str">
        <f ca="1">IFERROR(__xludf.DUMMYFUNCTION("""COMPUTED_VALUE"""),"Fermentando")</f>
        <v>Fermentando</v>
      </c>
      <c r="S301" s="2"/>
      <c r="T301" s="2"/>
      <c r="U301" s="2"/>
    </row>
    <row r="302" spans="1:21" x14ac:dyDescent="0.25">
      <c r="A302" s="2" t="str">
        <f ca="1">IFERROR(__xludf.DUMMYFUNCTION("""COMPUTED_VALUE"""),"b16464d3")</f>
        <v>b16464d3</v>
      </c>
      <c r="B302" s="3">
        <f ca="1">IFERROR(__xludf.DUMMYFUNCTION("""COMPUTED_VALUE"""),45747.7593402777)</f>
        <v>45747.759340277698</v>
      </c>
      <c r="C302" s="2" t="str">
        <f ca="1">IFERROR(__xludf.DUMMYFUNCTION("""COMPUTED_VALUE"""),"30d0ce51")</f>
        <v>30d0ce51</v>
      </c>
      <c r="D302" s="2">
        <f ca="1">IFERROR(__xludf.DUMMYFUNCTION("""COMPUTED_VALUE"""),41)</f>
        <v>41</v>
      </c>
      <c r="E302" s="2" t="str">
        <f ca="1">IFERROR(__xludf.DUMMYFUNCTION("""COMPUTED_VALUE"""),"Cabernet Sauvignon Rect 24")</f>
        <v>Cabernet Sauvignon Rect 24</v>
      </c>
      <c r="F302" s="2">
        <f ca="1">IFERROR(__xludf.DUMMYFUNCTION("""COMPUTED_VALUE"""),1800)</f>
        <v>1800</v>
      </c>
      <c r="G302" s="2">
        <f ca="1">IFERROR(__xludf.DUMMYFUNCTION("""COMPUTED_VALUE"""),69)</f>
        <v>69</v>
      </c>
      <c r="H302" s="2" t="str">
        <f ca="1">IFERROR(__xludf.DUMMYFUNCTION("""COMPUTED_VALUE"""),"c2b34610")</f>
        <v>c2b34610</v>
      </c>
      <c r="I302" s="2" t="str">
        <f ca="1">IFERROR(__xludf.DUMMYFUNCTION("""COMPUTED_VALUE"""),"Cabernet Sauvignong")</f>
        <v>Cabernet Sauvignong</v>
      </c>
      <c r="J302" s="2">
        <f ca="1">IFERROR(__xludf.DUMMYFUNCTION("""COMPUTED_VALUE"""),5850)</f>
        <v>5850</v>
      </c>
      <c r="K302" s="2">
        <f ca="1">IFERROR(__xludf.DUMMYFUNCTION("""COMPUTED_VALUE"""),7650)</f>
        <v>7650</v>
      </c>
      <c r="L302" s="2" t="str">
        <f ca="1">IFERROR(__xludf.DUMMYFUNCTION("""COMPUTED_VALUE"""),"380532ea")</f>
        <v>380532ea</v>
      </c>
      <c r="M302" s="2" t="str">
        <f ca="1">IFERROR(__xludf.DUMMYFUNCTION("""COMPUTED_VALUE"""),"Cabernet Sauvignong")</f>
        <v>Cabernet Sauvignong</v>
      </c>
      <c r="N302" s="2"/>
      <c r="O302" s="2" t="str">
        <f ca="1">IFERROR(__xludf.DUMMYFUNCTION("""COMPUTED_VALUE"""),"Rectificado")</f>
        <v>Rectificado</v>
      </c>
      <c r="P302" s="2" t="str">
        <f ca="1">IFERROR(__xludf.DUMMYFUNCTION("""COMPUTED_VALUE"""),"Fermentando")</f>
        <v>Fermentando</v>
      </c>
      <c r="Q302" s="2" t="b">
        <f ca="1">IFERROR(__xludf.DUMMYFUNCTION("""COMPUTED_VALUE"""),TRUE)</f>
        <v>1</v>
      </c>
      <c r="R302" s="2" t="str">
        <f ca="1">IFERROR(__xludf.DUMMYFUNCTION("""COMPUTED_VALUE"""),"Fermentando")</f>
        <v>Fermentando</v>
      </c>
      <c r="S302" s="2"/>
      <c r="T302" s="2"/>
      <c r="U302" s="2"/>
    </row>
    <row r="303" spans="1:21" x14ac:dyDescent="0.25">
      <c r="A303" s="2" t="str">
        <f ca="1">IFERROR(__xludf.DUMMYFUNCTION("""COMPUTED_VALUE"""),"20119d73")</f>
        <v>20119d73</v>
      </c>
      <c r="B303" s="3">
        <f ca="1">IFERROR(__xludf.DUMMYFUNCTION("""COMPUTED_VALUE"""),45747.7947222222)</f>
        <v>45747.794722222199</v>
      </c>
      <c r="C303" s="2" t="str">
        <f ca="1">IFERROR(__xludf.DUMMYFUNCTION("""COMPUTED_VALUE"""),"c4f0d9b2")</f>
        <v>c4f0d9b2</v>
      </c>
      <c r="D303" s="2">
        <f ca="1">IFERROR(__xludf.DUMMYFUNCTION("""COMPUTED_VALUE"""),74)</f>
        <v>74</v>
      </c>
      <c r="E303" s="2" t="str">
        <f ca="1">IFERROR(__xludf.DUMMYFUNCTION("""COMPUTED_VALUE"""),"Malbec 24")</f>
        <v>Malbec 24</v>
      </c>
      <c r="F303" s="2">
        <f ca="1">IFERROR(__xludf.DUMMYFUNCTION("""COMPUTED_VALUE"""),6700)</f>
        <v>6700</v>
      </c>
      <c r="G303" s="2">
        <f ca="1">IFERROR(__xludf.DUMMYFUNCTION("""COMPUTED_VALUE"""),125)</f>
        <v>125</v>
      </c>
      <c r="H303" s="2"/>
      <c r="I303" s="2"/>
      <c r="J303" s="2">
        <f ca="1">IFERROR(__xludf.DUMMYFUNCTION("""COMPUTED_VALUE"""),0)</f>
        <v>0</v>
      </c>
      <c r="K303" s="2">
        <f ca="1">IFERROR(__xludf.DUMMYFUNCTION("""COMPUTED_VALUE"""),6700)</f>
        <v>6700</v>
      </c>
      <c r="L303" s="2" t="str">
        <f ca="1">IFERROR(__xludf.DUMMYFUNCTION("""COMPUTED_VALUE"""),"520b940d")</f>
        <v>520b940d</v>
      </c>
      <c r="M303" s="2" t="str">
        <f ca="1">IFERROR(__xludf.DUMMYFUNCTION("""COMPUTED_VALUE"""),"Malbec 24")</f>
        <v>Malbec 24</v>
      </c>
      <c r="N303" s="2"/>
      <c r="O303" s="2" t="str">
        <f ca="1">IFERROR(__xludf.DUMMYFUNCTION("""COMPUTED_VALUE"""),"Terminado")</f>
        <v>Terminado</v>
      </c>
      <c r="P303" s="2"/>
      <c r="Q303" s="2" t="b">
        <f ca="1">IFERROR(__xludf.DUMMYFUNCTION("""COMPUTED_VALUE"""),FALSE)</f>
        <v>0</v>
      </c>
      <c r="R303" s="2" t="str">
        <f ca="1">IFERROR(__xludf.DUMMYFUNCTION("""COMPUTED_VALUE"""),"Terminado")</f>
        <v>Terminado</v>
      </c>
      <c r="S303" s="2"/>
      <c r="T303" s="2"/>
      <c r="U303" s="2"/>
    </row>
    <row r="304" spans="1:21" x14ac:dyDescent="0.25">
      <c r="A304" s="2" t="str">
        <f ca="1">IFERROR(__xludf.DUMMYFUNCTION("""COMPUTED_VALUE"""),"6c5972ec")</f>
        <v>6c5972ec</v>
      </c>
      <c r="B304" s="3">
        <f ca="1">IFERROR(__xludf.DUMMYFUNCTION("""COMPUTED_VALUE"""),45747.7951504629)</f>
        <v>45747.795150462902</v>
      </c>
      <c r="C304" s="2" t="str">
        <f ca="1">IFERROR(__xludf.DUMMYFUNCTION("""COMPUTED_VALUE"""),"6a04e7d6")</f>
        <v>6a04e7d6</v>
      </c>
      <c r="D304" s="2">
        <f ca="1">IFERROR(__xludf.DUMMYFUNCTION("""COMPUTED_VALUE"""),111)</f>
        <v>111</v>
      </c>
      <c r="E304" s="2" t="str">
        <f ca="1">IFERROR(__xludf.DUMMYFUNCTION("""COMPUTED_VALUE"""),"Malbec Magneta")</f>
        <v>Malbec Magneta</v>
      </c>
      <c r="F304" s="2">
        <f ca="1">IFERROR(__xludf.DUMMYFUNCTION("""COMPUTED_VALUE"""),1600)</f>
        <v>1600</v>
      </c>
      <c r="G304" s="2">
        <f ca="1">IFERROR(__xludf.DUMMYFUNCTION("""COMPUTED_VALUE"""),125)</f>
        <v>125</v>
      </c>
      <c r="H304" s="2" t="str">
        <f ca="1">IFERROR(__xludf.DUMMYFUNCTION("""COMPUTED_VALUE"""),"520b940d")</f>
        <v>520b940d</v>
      </c>
      <c r="I304" s="2" t="str">
        <f ca="1">IFERROR(__xludf.DUMMYFUNCTION("""COMPUTED_VALUE"""),"Malbec 24")</f>
        <v>Malbec 24</v>
      </c>
      <c r="J304" s="2">
        <f ca="1">IFERROR(__xludf.DUMMYFUNCTION("""COMPUTED_VALUE"""),6700)</f>
        <v>6700</v>
      </c>
      <c r="K304" s="2">
        <f ca="1">IFERROR(__xludf.DUMMYFUNCTION("""COMPUTED_VALUE"""),8300)</f>
        <v>8300</v>
      </c>
      <c r="L304" s="2" t="str">
        <f ca="1">IFERROR(__xludf.DUMMYFUNCTION("""COMPUTED_VALUE"""),"e01e8aa7")</f>
        <v>e01e8aa7</v>
      </c>
      <c r="M304" s="2" t="str">
        <f ca="1">IFERROR(__xludf.DUMMYFUNCTION("""COMPUTED_VALUE"""),"Malbec 24")</f>
        <v>Malbec 24</v>
      </c>
      <c r="N304" s="2"/>
      <c r="O304" s="2" t="str">
        <f ca="1">IFERROR(__xludf.DUMMYFUNCTION("""COMPUTED_VALUE"""),"Terminado")</f>
        <v>Terminado</v>
      </c>
      <c r="P304" s="2" t="str">
        <f ca="1">IFERROR(__xludf.DUMMYFUNCTION("""COMPUTED_VALUE"""),"Terminado")</f>
        <v>Terminado</v>
      </c>
      <c r="Q304" s="2" t="b">
        <f ca="1">IFERROR(__xludf.DUMMYFUNCTION("""COMPUTED_VALUE"""),TRUE)</f>
        <v>1</v>
      </c>
      <c r="R304" s="2" t="str">
        <f ca="1">IFERROR(__xludf.DUMMYFUNCTION("""COMPUTED_VALUE"""),"Terminado")</f>
        <v>Terminado</v>
      </c>
      <c r="S304" s="2"/>
      <c r="T304" s="2"/>
      <c r="U304" s="2"/>
    </row>
    <row r="305" spans="1:21" x14ac:dyDescent="0.25">
      <c r="A305" s="2" t="str">
        <f ca="1">IFERROR(__xludf.DUMMYFUNCTION("""COMPUTED_VALUE"""),"0f4bbd78")</f>
        <v>0f4bbd78</v>
      </c>
      <c r="B305" s="3">
        <f ca="1">IFERROR(__xludf.DUMMYFUNCTION("""COMPUTED_VALUE"""),45747.7956597222)</f>
        <v>45747.7956597222</v>
      </c>
      <c r="C305" s="2" t="str">
        <f ca="1">IFERROR(__xludf.DUMMYFUNCTION("""COMPUTED_VALUE"""),"e16bba1c")</f>
        <v>e16bba1c</v>
      </c>
      <c r="D305" s="2">
        <f ca="1">IFERROR(__xludf.DUMMYFUNCTION("""COMPUTED_VALUE"""),68)</f>
        <v>68</v>
      </c>
      <c r="E305" s="2" t="str">
        <f ca="1">IFERROR(__xludf.DUMMYFUNCTION("""COMPUTED_VALUE"""),"Tanat")</f>
        <v>Tanat</v>
      </c>
      <c r="F305" s="2">
        <f ca="1">IFERROR(__xludf.DUMMYFUNCTION("""COMPUTED_VALUE"""),1040)</f>
        <v>1040</v>
      </c>
      <c r="G305" s="2">
        <f ca="1">IFERROR(__xludf.DUMMYFUNCTION("""COMPUTED_VALUE"""),74)</f>
        <v>74</v>
      </c>
      <c r="H305" s="2" t="str">
        <f ca="1">IFERROR(__xludf.DUMMYFUNCTION("""COMPUTED_VALUE"""),"c4f0d9b2")</f>
        <v>c4f0d9b2</v>
      </c>
      <c r="I305" s="2" t="str">
        <f ca="1">IFERROR(__xludf.DUMMYFUNCTION("""COMPUTED_VALUE"""),"Malbec 24")</f>
        <v>Malbec 24</v>
      </c>
      <c r="J305" s="2">
        <f ca="1">IFERROR(__xludf.DUMMYFUNCTION("""COMPUTED_VALUE"""),6300)</f>
        <v>6300</v>
      </c>
      <c r="K305" s="2">
        <f ca="1">IFERROR(__xludf.DUMMYFUNCTION("""COMPUTED_VALUE"""),7340)</f>
        <v>7340</v>
      </c>
      <c r="L305" s="2" t="str">
        <f ca="1">IFERROR(__xludf.DUMMYFUNCTION("""COMPUTED_VALUE"""),"1f683a42")</f>
        <v>1f683a42</v>
      </c>
      <c r="M305" s="2" t="str">
        <f ca="1">IFERROR(__xludf.DUMMYFUNCTION("""COMPUTED_VALUE"""),"Malbec 24")</f>
        <v>Malbec 24</v>
      </c>
      <c r="N305" s="2"/>
      <c r="O305" s="2" t="str">
        <f ca="1">IFERROR(__xludf.DUMMYFUNCTION("""COMPUTED_VALUE"""),"Descubada")</f>
        <v>Descubada</v>
      </c>
      <c r="P305" s="2" t="str">
        <f ca="1">IFERROR(__xludf.DUMMYFUNCTION("""COMPUTED_VALUE"""),"Terminado")</f>
        <v>Terminado</v>
      </c>
      <c r="Q305" s="2" t="b">
        <f ca="1">IFERROR(__xludf.DUMMYFUNCTION("""COMPUTED_VALUE"""),TRUE)</f>
        <v>1</v>
      </c>
      <c r="R305" s="2" t="str">
        <f ca="1">IFERROR(__xludf.DUMMYFUNCTION("""COMPUTED_VALUE"""),"Terminado")</f>
        <v>Terminado</v>
      </c>
      <c r="S305" s="2"/>
      <c r="T305" s="2"/>
      <c r="U305" s="2"/>
    </row>
    <row r="306" spans="1:21" x14ac:dyDescent="0.25">
      <c r="A306" s="2" t="str">
        <f ca="1">IFERROR(__xludf.DUMMYFUNCTION("""COMPUTED_VALUE"""),"007625f0")</f>
        <v>007625f0</v>
      </c>
      <c r="B306" s="3">
        <f ca="1">IFERROR(__xludf.DUMMYFUNCTION("""COMPUTED_VALUE"""),45747.796261574)</f>
        <v>45747.796261574003</v>
      </c>
      <c r="C306" s="2" t="str">
        <f ca="1">IFERROR(__xludf.DUMMYFUNCTION("""COMPUTED_VALUE"""),"e16bba1c")</f>
        <v>e16bba1c</v>
      </c>
      <c r="D306" s="2">
        <f ca="1">IFERROR(__xludf.DUMMYFUNCTION("""COMPUTED_VALUE"""),68)</f>
        <v>68</v>
      </c>
      <c r="E306" s="2" t="str">
        <f ca="1">IFERROR(__xludf.DUMMYFUNCTION("""COMPUTED_VALUE"""),"Tanat")</f>
        <v>Tanat</v>
      </c>
      <c r="F306" s="2">
        <f ca="1">IFERROR(__xludf.DUMMYFUNCTION("""COMPUTED_VALUE"""),800)</f>
        <v>800</v>
      </c>
      <c r="G306" s="2">
        <f ca="1">IFERROR(__xludf.DUMMYFUNCTION("""COMPUTED_VALUE"""),111)</f>
        <v>111</v>
      </c>
      <c r="H306" s="2" t="str">
        <f ca="1">IFERROR(__xludf.DUMMYFUNCTION("""COMPUTED_VALUE"""),"6a04e7d6")</f>
        <v>6a04e7d6</v>
      </c>
      <c r="I306" s="2" t="str">
        <f ca="1">IFERROR(__xludf.DUMMYFUNCTION("""COMPUTED_VALUE"""),"Malbec Magneta")</f>
        <v>Malbec Magneta</v>
      </c>
      <c r="J306" s="2">
        <f ca="1">IFERROR(__xludf.DUMMYFUNCTION("""COMPUTED_VALUE"""),2400)</f>
        <v>2400</v>
      </c>
      <c r="K306" s="2">
        <f ca="1">IFERROR(__xludf.DUMMYFUNCTION("""COMPUTED_VALUE"""),3200)</f>
        <v>3200</v>
      </c>
      <c r="L306" s="2" t="str">
        <f ca="1">IFERROR(__xludf.DUMMYFUNCTION("""COMPUTED_VALUE"""),"650c1db7")</f>
        <v>650c1db7</v>
      </c>
      <c r="M306" s="2" t="str">
        <f ca="1">IFERROR(__xludf.DUMMYFUNCTION("""COMPUTED_VALUE"""),"Malbec Magneta")</f>
        <v>Malbec Magneta</v>
      </c>
      <c r="N306" s="2"/>
      <c r="O306" s="2" t="str">
        <f ca="1">IFERROR(__xludf.DUMMYFUNCTION("""COMPUTED_VALUE"""),"Descubada")</f>
        <v>Descubada</v>
      </c>
      <c r="P306" s="2" t="str">
        <f ca="1">IFERROR(__xludf.DUMMYFUNCTION("""COMPUTED_VALUE"""),"Terminado")</f>
        <v>Terminado</v>
      </c>
      <c r="Q306" s="2" t="b">
        <f ca="1">IFERROR(__xludf.DUMMYFUNCTION("""COMPUTED_VALUE"""),TRUE)</f>
        <v>1</v>
      </c>
      <c r="R306" s="2" t="str">
        <f ca="1">IFERROR(__xludf.DUMMYFUNCTION("""COMPUTED_VALUE"""),"Terminado")</f>
        <v>Terminado</v>
      </c>
      <c r="S306" s="2"/>
      <c r="T306" s="2"/>
      <c r="U306" s="2"/>
    </row>
    <row r="307" spans="1:21" x14ac:dyDescent="0.25">
      <c r="A307" s="2" t="str">
        <f ca="1">IFERROR(__xludf.DUMMYFUNCTION("""COMPUTED_VALUE"""),"640b60a7")</f>
        <v>640b60a7</v>
      </c>
      <c r="B307" s="3">
        <f ca="1">IFERROR(__xludf.DUMMYFUNCTION("""COMPUTED_VALUE"""),45747.7966319444)</f>
        <v>45747.796631944402</v>
      </c>
      <c r="C307" s="2" t="str">
        <f ca="1">IFERROR(__xludf.DUMMYFUNCTION("""COMPUTED_VALUE"""),"a2ec7d6d")</f>
        <v>a2ec7d6d</v>
      </c>
      <c r="D307" s="2">
        <f ca="1">IFERROR(__xludf.DUMMYFUNCTION("""COMPUTED_VALUE"""),103)</f>
        <v>103</v>
      </c>
      <c r="E307" s="2" t="str">
        <f ca="1">IFERROR(__xludf.DUMMYFUNCTION("""COMPUTED_VALUE"""),"Anccelotta")</f>
        <v>Anccelotta</v>
      </c>
      <c r="F307" s="2">
        <f ca="1">IFERROR(__xludf.DUMMYFUNCTION("""COMPUTED_VALUE"""),5660)</f>
        <v>5660</v>
      </c>
      <c r="G307" s="2">
        <f ca="1">IFERROR(__xludf.DUMMYFUNCTION("""COMPUTED_VALUE"""),74)</f>
        <v>74</v>
      </c>
      <c r="H307" s="2" t="str">
        <f ca="1">IFERROR(__xludf.DUMMYFUNCTION("""COMPUTED_VALUE"""),"1f683a42")</f>
        <v>1f683a42</v>
      </c>
      <c r="I307" s="2" t="str">
        <f ca="1">IFERROR(__xludf.DUMMYFUNCTION("""COMPUTED_VALUE"""),"Malbec 24")</f>
        <v>Malbec 24</v>
      </c>
      <c r="J307" s="2">
        <f ca="1">IFERROR(__xludf.DUMMYFUNCTION("""COMPUTED_VALUE"""),7340)</f>
        <v>7340</v>
      </c>
      <c r="K307" s="2">
        <f ca="1">IFERROR(__xludf.DUMMYFUNCTION("""COMPUTED_VALUE"""),13000)</f>
        <v>13000</v>
      </c>
      <c r="L307" s="2" t="str">
        <f ca="1">IFERROR(__xludf.DUMMYFUNCTION("""COMPUTED_VALUE"""),"8b30dc4c")</f>
        <v>8b30dc4c</v>
      </c>
      <c r="M307" s="2" t="str">
        <f ca="1">IFERROR(__xludf.DUMMYFUNCTION("""COMPUTED_VALUE"""),"Malbec 24")</f>
        <v>Malbec 24</v>
      </c>
      <c r="N307" s="2"/>
      <c r="O307" s="2" t="str">
        <f ca="1">IFERROR(__xludf.DUMMYFUNCTION("""COMPUTED_VALUE"""),"Descubada")</f>
        <v>Descubada</v>
      </c>
      <c r="P307" s="2" t="str">
        <f ca="1">IFERROR(__xludf.DUMMYFUNCTION("""COMPUTED_VALUE"""),"Terminado")</f>
        <v>Terminado</v>
      </c>
      <c r="Q307" s="2" t="b">
        <f ca="1">IFERROR(__xludf.DUMMYFUNCTION("""COMPUTED_VALUE"""),TRUE)</f>
        <v>1</v>
      </c>
      <c r="R307" s="2" t="str">
        <f ca="1">IFERROR(__xludf.DUMMYFUNCTION("""COMPUTED_VALUE"""),"Terminado")</f>
        <v>Terminado</v>
      </c>
      <c r="S307" s="2"/>
      <c r="T307" s="2"/>
      <c r="U307" s="2"/>
    </row>
    <row r="308" spans="1:21" x14ac:dyDescent="0.25">
      <c r="A308" s="2" t="str">
        <f ca="1">IFERROR(__xludf.DUMMYFUNCTION("""COMPUTED_VALUE"""),"3c30a068")</f>
        <v>3c30a068</v>
      </c>
      <c r="B308" s="3">
        <f ca="1">IFERROR(__xludf.DUMMYFUNCTION("""COMPUTED_VALUE"""),45747.7969675925)</f>
        <v>45747.796967592498</v>
      </c>
      <c r="C308" s="2" t="str">
        <f ca="1">IFERROR(__xludf.DUMMYFUNCTION("""COMPUTED_VALUE"""),"a2ec7d6d")</f>
        <v>a2ec7d6d</v>
      </c>
      <c r="D308" s="2">
        <f ca="1">IFERROR(__xludf.DUMMYFUNCTION("""COMPUTED_VALUE"""),103)</f>
        <v>103</v>
      </c>
      <c r="E308" s="2" t="str">
        <f ca="1">IFERROR(__xludf.DUMMYFUNCTION("""COMPUTED_VALUE"""),"Anccelotta")</f>
        <v>Anccelotta</v>
      </c>
      <c r="F308" s="2">
        <f ca="1">IFERROR(__xludf.DUMMYFUNCTION("""COMPUTED_VALUE"""),400)</f>
        <v>400</v>
      </c>
      <c r="G308" s="2">
        <f ca="1">IFERROR(__xludf.DUMMYFUNCTION("""COMPUTED_VALUE"""),111)</f>
        <v>111</v>
      </c>
      <c r="H308" s="2" t="str">
        <f ca="1">IFERROR(__xludf.DUMMYFUNCTION("""COMPUTED_VALUE"""),"650c1db7")</f>
        <v>650c1db7</v>
      </c>
      <c r="I308" s="2" t="str">
        <f ca="1">IFERROR(__xludf.DUMMYFUNCTION("""COMPUTED_VALUE"""),"Malbec Magneta")</f>
        <v>Malbec Magneta</v>
      </c>
      <c r="J308" s="2">
        <f ca="1">IFERROR(__xludf.DUMMYFUNCTION("""COMPUTED_VALUE"""),3200)</f>
        <v>3200</v>
      </c>
      <c r="K308" s="2">
        <f ca="1">IFERROR(__xludf.DUMMYFUNCTION("""COMPUTED_VALUE"""),3600)</f>
        <v>3600</v>
      </c>
      <c r="L308" s="2" t="str">
        <f ca="1">IFERROR(__xludf.DUMMYFUNCTION("""COMPUTED_VALUE"""),"a4c9e3f8")</f>
        <v>a4c9e3f8</v>
      </c>
      <c r="M308" s="2" t="str">
        <f ca="1">IFERROR(__xludf.DUMMYFUNCTION("""COMPUTED_VALUE"""),"Malbec Magneta")</f>
        <v>Malbec Magneta</v>
      </c>
      <c r="N308" s="2"/>
      <c r="O308" s="2" t="str">
        <f ca="1">IFERROR(__xludf.DUMMYFUNCTION("""COMPUTED_VALUE"""),"Descubada")</f>
        <v>Descubada</v>
      </c>
      <c r="P308" s="2" t="str">
        <f ca="1">IFERROR(__xludf.DUMMYFUNCTION("""COMPUTED_VALUE"""),"Terminado")</f>
        <v>Terminado</v>
      </c>
      <c r="Q308" s="2" t="b">
        <f ca="1">IFERROR(__xludf.DUMMYFUNCTION("""COMPUTED_VALUE"""),TRUE)</f>
        <v>1</v>
      </c>
      <c r="R308" s="2" t="str">
        <f ca="1">IFERROR(__xludf.DUMMYFUNCTION("""COMPUTED_VALUE"""),"Terminado")</f>
        <v>Terminado</v>
      </c>
      <c r="S308" s="2"/>
      <c r="T308" s="2"/>
      <c r="U308" s="2"/>
    </row>
    <row r="309" spans="1:21" x14ac:dyDescent="0.25">
      <c r="A309" s="2" t="str">
        <f ca="1">IFERROR(__xludf.DUMMYFUNCTION("""COMPUTED_VALUE"""),"728eb21e")</f>
        <v>728eb21e</v>
      </c>
      <c r="B309" s="3">
        <f ca="1">IFERROR(__xludf.DUMMYFUNCTION("""COMPUTED_VALUE"""),45747.7981828703)</f>
        <v>45747.798182870298</v>
      </c>
      <c r="C309" s="2" t="str">
        <f ca="1">IFERROR(__xludf.DUMMYFUNCTION("""COMPUTED_VALUE"""),"e53d4606")</f>
        <v>e53d4606</v>
      </c>
      <c r="D309" s="2">
        <f ca="1">IFERROR(__xludf.DUMMYFUNCTION("""COMPUTED_VALUE"""),114)</f>
        <v>114</v>
      </c>
      <c r="E309" s="2" t="str">
        <f ca="1">IFERROR(__xludf.DUMMYFUNCTION("""COMPUTED_VALUE"""),"Syrah")</f>
        <v>Syrah</v>
      </c>
      <c r="F309" s="2">
        <f ca="1">IFERROR(__xludf.DUMMYFUNCTION("""COMPUTED_VALUE"""),400)</f>
        <v>400</v>
      </c>
      <c r="G309" s="2">
        <f ca="1">IFERROR(__xludf.DUMMYFUNCTION("""COMPUTED_VALUE"""),111)</f>
        <v>111</v>
      </c>
      <c r="H309" s="2" t="str">
        <f ca="1">IFERROR(__xludf.DUMMYFUNCTION("""COMPUTED_VALUE"""),"a4c9e3f8")</f>
        <v>a4c9e3f8</v>
      </c>
      <c r="I309" s="2" t="str">
        <f ca="1">IFERROR(__xludf.DUMMYFUNCTION("""COMPUTED_VALUE"""),"Malbec Magneta")</f>
        <v>Malbec Magneta</v>
      </c>
      <c r="J309" s="2">
        <f ca="1">IFERROR(__xludf.DUMMYFUNCTION("""COMPUTED_VALUE"""),3600)</f>
        <v>3600</v>
      </c>
      <c r="K309" s="2">
        <f ca="1">IFERROR(__xludf.DUMMYFUNCTION("""COMPUTED_VALUE"""),4000)</f>
        <v>4000</v>
      </c>
      <c r="L309" s="2" t="str">
        <f ca="1">IFERROR(__xludf.DUMMYFUNCTION("""COMPUTED_VALUE"""),"3f3e8ee6")</f>
        <v>3f3e8ee6</v>
      </c>
      <c r="M309" s="2" t="str">
        <f ca="1">IFERROR(__xludf.DUMMYFUNCTION("""COMPUTED_VALUE"""),"Malbec Magneta")</f>
        <v>Malbec Magneta</v>
      </c>
      <c r="N309" s="2"/>
      <c r="O309" s="2" t="str">
        <f ca="1">IFERROR(__xludf.DUMMYFUNCTION("""COMPUTED_VALUE"""),"1er Trasiego")</f>
        <v>1er Trasiego</v>
      </c>
      <c r="P309" s="2" t="str">
        <f ca="1">IFERROR(__xludf.DUMMYFUNCTION("""COMPUTED_VALUE"""),"Terminado")</f>
        <v>Terminado</v>
      </c>
      <c r="Q309" s="2" t="b">
        <f ca="1">IFERROR(__xludf.DUMMYFUNCTION("""COMPUTED_VALUE"""),TRUE)</f>
        <v>1</v>
      </c>
      <c r="R309" s="2" t="str">
        <f ca="1">IFERROR(__xludf.DUMMYFUNCTION("""COMPUTED_VALUE"""),"Terminado")</f>
        <v>Terminado</v>
      </c>
      <c r="S309" s="2"/>
      <c r="T309" s="2"/>
      <c r="U309" s="2"/>
    </row>
    <row r="310" spans="1:21" x14ac:dyDescent="0.25">
      <c r="A310" s="2" t="str">
        <f ca="1">IFERROR(__xludf.DUMMYFUNCTION("""COMPUTED_VALUE"""),"a7bf129e")</f>
        <v>a7bf129e</v>
      </c>
      <c r="B310" s="3">
        <f ca="1">IFERROR(__xludf.DUMMYFUNCTION("""COMPUTED_VALUE"""),45747.799224537)</f>
        <v>45747.799224536997</v>
      </c>
      <c r="C310" s="2" t="str">
        <f ca="1">IFERROR(__xludf.DUMMYFUNCTION("""COMPUTED_VALUE"""),"e01e8aa7")</f>
        <v>e01e8aa7</v>
      </c>
      <c r="D310" s="2">
        <f ca="1">IFERROR(__xludf.DUMMYFUNCTION("""COMPUTED_VALUE"""),125)</f>
        <v>125</v>
      </c>
      <c r="E310" s="2" t="str">
        <f ca="1">IFERROR(__xludf.DUMMYFUNCTION("""COMPUTED_VALUE"""),"Malbec 24")</f>
        <v>Malbec 24</v>
      </c>
      <c r="F310" s="2">
        <f ca="1">IFERROR(__xludf.DUMMYFUNCTION("""COMPUTED_VALUE"""),7060)</f>
        <v>7060</v>
      </c>
      <c r="G310" s="2">
        <f ca="1">IFERROR(__xludf.DUMMYFUNCTION("""COMPUTED_VALUE"""),103)</f>
        <v>103</v>
      </c>
      <c r="H310" s="2" t="str">
        <f ca="1">IFERROR(__xludf.DUMMYFUNCTION("""COMPUTED_VALUE"""),"a2ec7d6d")</f>
        <v>a2ec7d6d</v>
      </c>
      <c r="I310" s="2" t="str">
        <f ca="1">IFERROR(__xludf.DUMMYFUNCTION("""COMPUTED_VALUE"""),"Anccelotta")</f>
        <v>Anccelotta</v>
      </c>
      <c r="J310" s="2">
        <f ca="1">IFERROR(__xludf.DUMMYFUNCTION("""COMPUTED_VALUE"""),23940)</f>
        <v>23940</v>
      </c>
      <c r="K310" s="2">
        <f ca="1">IFERROR(__xludf.DUMMYFUNCTION("""COMPUTED_VALUE"""),31000)</f>
        <v>31000</v>
      </c>
      <c r="L310" s="2" t="str">
        <f ca="1">IFERROR(__xludf.DUMMYFUNCTION("""COMPUTED_VALUE"""),"290ee918")</f>
        <v>290ee918</v>
      </c>
      <c r="M310" s="2" t="str">
        <f ca="1">IFERROR(__xludf.DUMMYFUNCTION("""COMPUTED_VALUE"""),"Anccelotta")</f>
        <v>Anccelotta</v>
      </c>
      <c r="N310" s="2"/>
      <c r="O310" s="2" t="str">
        <f ca="1">IFERROR(__xludf.DUMMYFUNCTION("""COMPUTED_VALUE"""),"Terminado")</f>
        <v>Terminado</v>
      </c>
      <c r="P310" s="2" t="str">
        <f ca="1">IFERROR(__xludf.DUMMYFUNCTION("""COMPUTED_VALUE"""),"Descubada")</f>
        <v>Descubada</v>
      </c>
      <c r="Q310" s="2" t="b">
        <f ca="1">IFERROR(__xludf.DUMMYFUNCTION("""COMPUTED_VALUE"""),TRUE)</f>
        <v>1</v>
      </c>
      <c r="R310" s="2" t="str">
        <f ca="1">IFERROR(__xludf.DUMMYFUNCTION("""COMPUTED_VALUE"""),"Descubada")</f>
        <v>Descubada</v>
      </c>
      <c r="S310" s="2"/>
      <c r="T310" s="2"/>
      <c r="U310" s="2"/>
    </row>
    <row r="311" spans="1:21" x14ac:dyDescent="0.25">
      <c r="A311" s="2" t="str">
        <f ca="1">IFERROR(__xludf.DUMMYFUNCTION("""COMPUTED_VALUE"""),"29b7886d")</f>
        <v>29b7886d</v>
      </c>
      <c r="B311" s="3">
        <f ca="1">IFERROR(__xludf.DUMMYFUNCTION("""COMPUTED_VALUE"""),45748.6748263888)</f>
        <v>45748.6748263888</v>
      </c>
      <c r="C311" s="2" t="str">
        <f ca="1">IFERROR(__xludf.DUMMYFUNCTION("""COMPUTED_VALUE"""),"a9ae339e")</f>
        <v>a9ae339e</v>
      </c>
      <c r="D311" s="2">
        <f ca="1">IFERROR(__xludf.DUMMYFUNCTION("""COMPUTED_VALUE"""),49)</f>
        <v>49</v>
      </c>
      <c r="E311" s="2" t="str">
        <f ca="1">IFERROR(__xludf.DUMMYFUNCTION("""COMPUTED_VALUE"""),"Bonarda 24 Rect")</f>
        <v>Bonarda 24 Rect</v>
      </c>
      <c r="F311" s="2">
        <f ca="1">IFERROR(__xludf.DUMMYFUNCTION("""COMPUTED_VALUE"""),-2800)</f>
        <v>-2800</v>
      </c>
      <c r="G311" s="2">
        <f ca="1">IFERROR(__xludf.DUMMYFUNCTION("""COMPUTED_VALUE"""),500)</f>
        <v>500</v>
      </c>
      <c r="H311" s="2" t="str">
        <f ca="1">IFERROR(__xludf.DUMMYFUNCTION("""COMPUTED_VALUE"""),"0ff5115b")</f>
        <v>0ff5115b</v>
      </c>
      <c r="I311" s="2" t="str">
        <f ca="1">IFERROR(__xludf.DUMMYFUNCTION("""COMPUTED_VALUE"""),"Ancellotta Tempranillo")</f>
        <v>Ancellotta Tempranillo</v>
      </c>
      <c r="J311" s="2">
        <f ca="1">IFERROR(__xludf.DUMMYFUNCTION("""COMPUTED_VALUE"""),25601)</f>
        <v>25601</v>
      </c>
      <c r="K311" s="2">
        <f ca="1">IFERROR(__xludf.DUMMYFUNCTION("""COMPUTED_VALUE"""),22801)</f>
        <v>22801</v>
      </c>
      <c r="L311" s="2" t="str">
        <f ca="1">IFERROR(__xludf.DUMMYFUNCTION("""COMPUTED_VALUE"""),"8fc418d7")</f>
        <v>8fc418d7</v>
      </c>
      <c r="M311" s="2" t="str">
        <f ca="1">IFERROR(__xludf.DUMMYFUNCTION("""COMPUTED_VALUE"""),"Ajuste")</f>
        <v>Ajuste</v>
      </c>
      <c r="N311" s="2"/>
      <c r="O311" s="2" t="str">
        <f ca="1">IFERROR(__xludf.DUMMYFUNCTION("""COMPUTED_VALUE"""),"Rectificado")</f>
        <v>Rectificado</v>
      </c>
      <c r="P311" s="2" t="str">
        <f ca="1">IFERROR(__xludf.DUMMYFUNCTION("""COMPUTED_VALUE"""),"Fermentando")</f>
        <v>Fermentando</v>
      </c>
      <c r="Q311" s="2" t="b">
        <f ca="1">IFERROR(__xludf.DUMMYFUNCTION("""COMPUTED_VALUE"""),TRUE)</f>
        <v>1</v>
      </c>
      <c r="R311" s="2" t="str">
        <f ca="1">IFERROR(__xludf.DUMMYFUNCTION("""COMPUTED_VALUE"""),"Fermentando")</f>
        <v>Fermentando</v>
      </c>
      <c r="S311" s="2"/>
      <c r="T311" s="2"/>
      <c r="U311" s="2"/>
    </row>
    <row r="312" spans="1:21" x14ac:dyDescent="0.25">
      <c r="A312" s="2" t="str">
        <f ca="1">IFERROR(__xludf.DUMMYFUNCTION("""COMPUTED_VALUE"""),"c09ab39e")</f>
        <v>c09ab39e</v>
      </c>
      <c r="B312" s="3">
        <f ca="1">IFERROR(__xludf.DUMMYFUNCTION("""COMPUTED_VALUE"""),45748.675474537)</f>
        <v>45748.675474536998</v>
      </c>
      <c r="C312" s="2" t="str">
        <f ca="1">IFERROR(__xludf.DUMMYFUNCTION("""COMPUTED_VALUE"""),"8d1e611a")</f>
        <v>8d1e611a</v>
      </c>
      <c r="D312" s="2">
        <f ca="1">IFERROR(__xludf.DUMMYFUNCTION("""COMPUTED_VALUE"""),88)</f>
        <v>88</v>
      </c>
      <c r="E312" s="2" t="str">
        <f ca="1">IFERROR(__xludf.DUMMYFUNCTION("""COMPUTED_VALUE"""),"Bonarda")</f>
        <v>Bonarda</v>
      </c>
      <c r="F312" s="2">
        <f ca="1">IFERROR(__xludf.DUMMYFUNCTION("""COMPUTED_VALUE"""),20800)</f>
        <v>20800</v>
      </c>
      <c r="G312" s="2">
        <f ca="1">IFERROR(__xludf.DUMMYFUNCTION("""COMPUTED_VALUE"""),49)</f>
        <v>49</v>
      </c>
      <c r="H312" s="2"/>
      <c r="I312" s="2"/>
      <c r="J312" s="2">
        <f ca="1">IFERROR(__xludf.DUMMYFUNCTION("""COMPUTED_VALUE"""),0)</f>
        <v>0</v>
      </c>
      <c r="K312" s="2">
        <f ca="1">IFERROR(__xludf.DUMMYFUNCTION("""COMPUTED_VALUE"""),20800)</f>
        <v>20800</v>
      </c>
      <c r="L312" s="2" t="str">
        <f ca="1">IFERROR(__xludf.DUMMYFUNCTION("""COMPUTED_VALUE"""),"c7ecff86")</f>
        <v>c7ecff86</v>
      </c>
      <c r="M312" s="2" t="str">
        <f ca="1">IFERROR(__xludf.DUMMYFUNCTION("""COMPUTED_VALUE"""),"Bonarda Gota")</f>
        <v>Bonarda Gota</v>
      </c>
      <c r="N312" s="2" t="str">
        <f ca="1">IFERROR(__xludf.DUMMYFUNCTION("""COMPUTED_VALUE"""),"Gota - Desvine")</f>
        <v>Gota - Desvine</v>
      </c>
      <c r="O312" s="2" t="str">
        <f ca="1">IFERROR(__xludf.DUMMYFUNCTION("""COMPUTED_VALUE"""),"Fermentando")</f>
        <v>Fermentando</v>
      </c>
      <c r="P312" s="2"/>
      <c r="Q312" s="2" t="b">
        <f ca="1">IFERROR(__xludf.DUMMYFUNCTION("""COMPUTED_VALUE"""),FALSE)</f>
        <v>0</v>
      </c>
      <c r="R312" s="2" t="str">
        <f ca="1">IFERROR(__xludf.DUMMYFUNCTION("""COMPUTED_VALUE"""),"Fermentando")</f>
        <v>Fermentando</v>
      </c>
      <c r="S312" s="2"/>
      <c r="T312" s="2"/>
      <c r="U312" s="2"/>
    </row>
    <row r="313" spans="1:21" x14ac:dyDescent="0.25">
      <c r="A313" s="2" t="str">
        <f ca="1">IFERROR(__xludf.DUMMYFUNCTION("""COMPUTED_VALUE"""),"98d257b0")</f>
        <v>98d257b0</v>
      </c>
      <c r="B313" s="3">
        <f ca="1">IFERROR(__xludf.DUMMYFUNCTION("""COMPUTED_VALUE"""),45748.6778819444)</f>
        <v>45748.677881944401</v>
      </c>
      <c r="C313" s="2" t="str">
        <f ca="1">IFERROR(__xludf.DUMMYFUNCTION("""COMPUTED_VALUE"""),"d7991cf5")</f>
        <v>d7991cf5</v>
      </c>
      <c r="D313" s="2">
        <f ca="1">IFERROR(__xludf.DUMMYFUNCTION("""COMPUTED_VALUE"""),127)</f>
        <v>127</v>
      </c>
      <c r="E313" s="2" t="str">
        <f ca="1">IFERROR(__xludf.DUMMYFUNCTION("""COMPUTED_VALUE"""),"Criolla Flotada")</f>
        <v>Criolla Flotada</v>
      </c>
      <c r="F313" s="2">
        <f ca="1">IFERROR(__xludf.DUMMYFUNCTION("""COMPUTED_VALUE"""),22100)</f>
        <v>22100</v>
      </c>
      <c r="G313" s="2">
        <f ca="1">IFERROR(__xludf.DUMMYFUNCTION("""COMPUTED_VALUE"""),88)</f>
        <v>88</v>
      </c>
      <c r="H313" s="2" t="str">
        <f ca="1">IFERROR(__xludf.DUMMYFUNCTION("""COMPUTED_VALUE"""),"8d1e611a")</f>
        <v>8d1e611a</v>
      </c>
      <c r="I313" s="2" t="str">
        <f ca="1">IFERROR(__xludf.DUMMYFUNCTION("""COMPUTED_VALUE"""),"Bonarda")</f>
        <v>Bonarda</v>
      </c>
      <c r="J313" s="2">
        <f ca="1">IFERROR(__xludf.DUMMYFUNCTION("""COMPUTED_VALUE"""),15100)</f>
        <v>15100</v>
      </c>
      <c r="K313" s="2">
        <f ca="1">IFERROR(__xludf.DUMMYFUNCTION("""COMPUTED_VALUE"""),37200)</f>
        <v>37200</v>
      </c>
      <c r="L313" s="2" t="str">
        <f ca="1">IFERROR(__xludf.DUMMYFUNCTION("""COMPUTED_VALUE"""),"dadb0851")</f>
        <v>dadb0851</v>
      </c>
      <c r="M313" s="2" t="str">
        <f ca="1">IFERROR(__xludf.DUMMYFUNCTION("""COMPUTED_VALUE"""),"Criolla s/Bonarda")</f>
        <v>Criolla s/Bonarda</v>
      </c>
      <c r="N313" s="2"/>
      <c r="O313" s="2"/>
      <c r="P313" s="2" t="str">
        <f ca="1">IFERROR(__xludf.DUMMYFUNCTION("""COMPUTED_VALUE"""),"Fermentando")</f>
        <v>Fermentando</v>
      </c>
      <c r="Q313" s="2" t="b">
        <f ca="1">IFERROR(__xludf.DUMMYFUNCTION("""COMPUTED_VALUE"""),FALSE)</f>
        <v>0</v>
      </c>
      <c r="R313" s="2" t="str">
        <f ca="1">IFERROR(__xludf.DUMMYFUNCTION("""COMPUTED_VALUE"""),"Recarga Fermentando")</f>
        <v>Recarga Fermentando</v>
      </c>
      <c r="S313" s="2"/>
      <c r="T313" s="2"/>
      <c r="U313" s="2"/>
    </row>
    <row r="314" spans="1:21" x14ac:dyDescent="0.25">
      <c r="A314" s="2" t="str">
        <f ca="1">IFERROR(__xludf.DUMMYFUNCTION("""COMPUTED_VALUE"""),"157ae04c")</f>
        <v>157ae04c</v>
      </c>
      <c r="B314" s="3">
        <f ca="1">IFERROR(__xludf.DUMMYFUNCTION("""COMPUTED_VALUE"""),45748.806875)</f>
        <v>45748.806875000002</v>
      </c>
      <c r="C314" s="2" t="str">
        <f ca="1">IFERROR(__xludf.DUMMYFUNCTION("""COMPUTED_VALUE"""),"e01e8aa7")</f>
        <v>e01e8aa7</v>
      </c>
      <c r="D314" s="2">
        <f ca="1">IFERROR(__xludf.DUMMYFUNCTION("""COMPUTED_VALUE"""),125)</f>
        <v>125</v>
      </c>
      <c r="E314" s="2" t="str">
        <f ca="1">IFERROR(__xludf.DUMMYFUNCTION("""COMPUTED_VALUE"""),"Malbec 24")</f>
        <v>Malbec 24</v>
      </c>
      <c r="F314" s="2">
        <f ca="1">IFERROR(__xludf.DUMMYFUNCTION("""COMPUTED_VALUE"""),1240)</f>
        <v>1240</v>
      </c>
      <c r="G314" s="2">
        <f ca="1">IFERROR(__xludf.DUMMYFUNCTION("""COMPUTED_VALUE"""),68)</f>
        <v>68</v>
      </c>
      <c r="H314" s="2" t="str">
        <f ca="1">IFERROR(__xludf.DUMMYFUNCTION("""COMPUTED_VALUE"""),"e16bba1c")</f>
        <v>e16bba1c</v>
      </c>
      <c r="I314" s="2" t="str">
        <f ca="1">IFERROR(__xludf.DUMMYFUNCTION("""COMPUTED_VALUE"""),"Tanat")</f>
        <v>Tanat</v>
      </c>
      <c r="J314" s="2">
        <f ca="1">IFERROR(__xludf.DUMMYFUNCTION("""COMPUTED_VALUE"""),11160)</f>
        <v>11160</v>
      </c>
      <c r="K314" s="2">
        <f ca="1">IFERROR(__xludf.DUMMYFUNCTION("""COMPUTED_VALUE"""),13000)</f>
        <v>13000</v>
      </c>
      <c r="L314" s="2" t="str">
        <f ca="1">IFERROR(__xludf.DUMMYFUNCTION("""COMPUTED_VALUE"""),"b23211ad")</f>
        <v>b23211ad</v>
      </c>
      <c r="M314" s="2" t="str">
        <f ca="1">IFERROR(__xludf.DUMMYFUNCTION("""COMPUTED_VALUE"""),"Tanat")</f>
        <v>Tanat</v>
      </c>
      <c r="N314" s="2"/>
      <c r="O314" s="2" t="str">
        <f ca="1">IFERROR(__xludf.DUMMYFUNCTION("""COMPUTED_VALUE"""),"Terminado")</f>
        <v>Terminado</v>
      </c>
      <c r="P314" s="2" t="str">
        <f ca="1">IFERROR(__xludf.DUMMYFUNCTION("""COMPUTED_VALUE"""),"Descubada")</f>
        <v>Descubada</v>
      </c>
      <c r="Q314" s="2" t="b">
        <f ca="1">IFERROR(__xludf.DUMMYFUNCTION("""COMPUTED_VALUE"""),TRUE)</f>
        <v>1</v>
      </c>
      <c r="R314" s="2" t="str">
        <f ca="1">IFERROR(__xludf.DUMMYFUNCTION("""COMPUTED_VALUE"""),"Descubada")</f>
        <v>Descubada</v>
      </c>
      <c r="S314" s="2"/>
      <c r="T314" s="2"/>
      <c r="U314" s="2"/>
    </row>
    <row r="315" spans="1:2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x14ac:dyDescent="0.25">
      <c r="A316" s="2" t="str">
        <f ca="1">IFERROR(__xludf.DUMMYFUNCTION("""COMPUTED_VALUE"""),"ccad6e59")</f>
        <v>ccad6e59</v>
      </c>
      <c r="B316" s="3">
        <f ca="1">IFERROR(__xludf.DUMMYFUNCTION("""COMPUTED_VALUE"""),45748.8156712962)</f>
        <v>45748.815671296201</v>
      </c>
      <c r="C316" s="2" t="str">
        <f ca="1">IFERROR(__xludf.DUMMYFUNCTION("""COMPUTED_VALUE"""),"4a5cb789")</f>
        <v>4a5cb789</v>
      </c>
      <c r="D316" s="2">
        <f ca="1">IFERROR(__xludf.DUMMYFUNCTION("""COMPUTED_VALUE"""),54)</f>
        <v>54</v>
      </c>
      <c r="E316" s="2" t="str">
        <f ca="1">IFERROR(__xludf.DUMMYFUNCTION("""COMPUTED_VALUE"""),"Chardonnay 24 Rect")</f>
        <v>Chardonnay 24 Rect</v>
      </c>
      <c r="F316" s="2">
        <f ca="1">IFERROR(__xludf.DUMMYFUNCTION("""COMPUTED_VALUE"""),-3000)</f>
        <v>-3000</v>
      </c>
      <c r="G316" s="2">
        <f ca="1">IFERROR(__xludf.DUMMYFUNCTION("""COMPUTED_VALUE"""),500)</f>
        <v>500</v>
      </c>
      <c r="H316" s="2" t="str">
        <f ca="1">IFERROR(__xludf.DUMMYFUNCTION("""COMPUTED_VALUE"""),"eb25ce6f")</f>
        <v>eb25ce6f</v>
      </c>
      <c r="I316" s="2" t="str">
        <f ca="1">IFERROR(__xludf.DUMMYFUNCTION("""COMPUTED_VALUE"""),"Ajuste Arqueo 01-04-25")</f>
        <v>Ajuste Arqueo 01-04-25</v>
      </c>
      <c r="J316" s="2">
        <f ca="1">IFERROR(__xludf.DUMMYFUNCTION("""COMPUTED_VALUE"""),5001)</f>
        <v>5001</v>
      </c>
      <c r="K316" s="2">
        <f ca="1">IFERROR(__xludf.DUMMYFUNCTION("""COMPUTED_VALUE"""),2001)</f>
        <v>2001</v>
      </c>
      <c r="L316" s="2" t="str">
        <f ca="1">IFERROR(__xludf.DUMMYFUNCTION("""COMPUTED_VALUE"""),"1a5b525d")</f>
        <v>1a5b525d</v>
      </c>
      <c r="M316" s="2" t="str">
        <f ca="1">IFERROR(__xludf.DUMMYFUNCTION("""COMPUTED_VALUE"""),"Ajuste Arqueo 01-04-25")</f>
        <v>Ajuste Arqueo 01-04-25</v>
      </c>
      <c r="N316" s="2"/>
      <c r="O316" s="2" t="str">
        <f ca="1">IFERROR(__xludf.DUMMYFUNCTION("""COMPUTED_VALUE"""),"Rectificado")</f>
        <v>Rectificado</v>
      </c>
      <c r="P316" s="2" t="str">
        <f ca="1">IFERROR(__xludf.DUMMYFUNCTION("""COMPUTED_VALUE"""),"Terminado")</f>
        <v>Terminado</v>
      </c>
      <c r="Q316" s="2" t="b">
        <f ca="1">IFERROR(__xludf.DUMMYFUNCTION("""COMPUTED_VALUE"""),TRUE)</f>
        <v>1</v>
      </c>
      <c r="R316" s="2" t="str">
        <f ca="1">IFERROR(__xludf.DUMMYFUNCTION("""COMPUTED_VALUE"""),"Terminado")</f>
        <v>Terminado</v>
      </c>
      <c r="S316" s="2"/>
      <c r="T316" s="2"/>
      <c r="U316" s="2"/>
    </row>
    <row r="317" spans="1:21" x14ac:dyDescent="0.25">
      <c r="A317" s="2" t="str">
        <f ca="1">IFERROR(__xludf.DUMMYFUNCTION("""COMPUTED_VALUE"""),"cdc8cb92")</f>
        <v>cdc8cb92</v>
      </c>
      <c r="B317" s="3">
        <f ca="1">IFERROR(__xludf.DUMMYFUNCTION("""COMPUTED_VALUE"""),45748.8172337963)</f>
        <v>45748.817233796297</v>
      </c>
      <c r="C317" s="2" t="str">
        <f ca="1">IFERROR(__xludf.DUMMYFUNCTION("""COMPUTED_VALUE"""),"abbbaccc")</f>
        <v>abbbaccc</v>
      </c>
      <c r="D317" s="2">
        <f ca="1">IFERROR(__xludf.DUMMYFUNCTION("""COMPUTED_VALUE"""),931)</f>
        <v>931</v>
      </c>
      <c r="E317" s="2" t="str">
        <f ca="1">IFERROR(__xludf.DUMMYFUNCTION("""COMPUTED_VALUE"""),"Bonarda 24")</f>
        <v>Bonarda 24</v>
      </c>
      <c r="F317" s="2">
        <f ca="1">IFERROR(__xludf.DUMMYFUNCTION("""COMPUTED_VALUE"""),500)</f>
        <v>500</v>
      </c>
      <c r="G317" s="2">
        <f ca="1">IFERROR(__xludf.DUMMYFUNCTION("""COMPUTED_VALUE"""),500)</f>
        <v>500</v>
      </c>
      <c r="H317" s="2" t="str">
        <f ca="1">IFERROR(__xludf.DUMMYFUNCTION("""COMPUTED_VALUE"""),"1a5b525d")</f>
        <v>1a5b525d</v>
      </c>
      <c r="I317" s="2" t="str">
        <f ca="1">IFERROR(__xludf.DUMMYFUNCTION("""COMPUTED_VALUE"""),"Ajuste Arqueo 01-04-25")</f>
        <v>Ajuste Arqueo 01-04-25</v>
      </c>
      <c r="J317" s="2">
        <f ca="1">IFERROR(__xludf.DUMMYFUNCTION("""COMPUTED_VALUE"""),2001)</f>
        <v>2001</v>
      </c>
      <c r="K317" s="2">
        <f ca="1">IFERROR(__xludf.DUMMYFUNCTION("""COMPUTED_VALUE"""),2501)</f>
        <v>2501</v>
      </c>
      <c r="L317" s="2" t="str">
        <f ca="1">IFERROR(__xludf.DUMMYFUNCTION("""COMPUTED_VALUE"""),"84e6afcb")</f>
        <v>84e6afcb</v>
      </c>
      <c r="M317" s="2" t="str">
        <f ca="1">IFERROR(__xludf.DUMMYFUNCTION("""COMPUTED_VALUE"""),"Ajuste Arqueo 01-04-25")</f>
        <v>Ajuste Arqueo 01-04-25</v>
      </c>
      <c r="N317" s="2" t="str">
        <f ca="1">IFERROR(__xludf.DUMMYFUNCTION("""COMPUTED_VALUE"""),"Venta de vino suelto")</f>
        <v>Venta de vino suelto</v>
      </c>
      <c r="O317" s="2" t="str">
        <f ca="1">IFERROR(__xludf.DUMMYFUNCTION("""COMPUTED_VALUE"""),"Terminado")</f>
        <v>Terminado</v>
      </c>
      <c r="P317" s="2" t="str">
        <f ca="1">IFERROR(__xludf.DUMMYFUNCTION("""COMPUTED_VALUE"""),"Terminado")</f>
        <v>Terminado</v>
      </c>
      <c r="Q317" s="2" t="b">
        <f ca="1">IFERROR(__xludf.DUMMYFUNCTION("""COMPUTED_VALUE"""),TRUE)</f>
        <v>1</v>
      </c>
      <c r="R317" s="2" t="str">
        <f ca="1">IFERROR(__xludf.DUMMYFUNCTION("""COMPUTED_VALUE"""),"Terminado")</f>
        <v>Terminado</v>
      </c>
      <c r="S317" s="2"/>
      <c r="T317" s="2"/>
      <c r="U317" s="2"/>
    </row>
    <row r="318" spans="1:21" x14ac:dyDescent="0.25">
      <c r="A318" s="2" t="str">
        <f ca="1">IFERROR(__xludf.DUMMYFUNCTION("""COMPUTED_VALUE"""),"d956caec")</f>
        <v>d956caec</v>
      </c>
      <c r="B318" s="3">
        <f ca="1">IFERROR(__xludf.DUMMYFUNCTION("""COMPUTED_VALUE"""),45748.8189814814)</f>
        <v>45748.818981481403</v>
      </c>
      <c r="C318" s="2" t="str">
        <f ca="1">IFERROR(__xludf.DUMMYFUNCTION("""COMPUTED_VALUE"""),"666d23a6")</f>
        <v>666d23a6</v>
      </c>
      <c r="D318" s="2">
        <f ca="1">IFERROR(__xludf.DUMMYFUNCTION("""COMPUTED_VALUE"""),95)</f>
        <v>95</v>
      </c>
      <c r="E318" s="2" t="str">
        <f ca="1">IFERROR(__xludf.DUMMYFUNCTION("""COMPUTED_VALUE"""),"Syrah")</f>
        <v>Syrah</v>
      </c>
      <c r="F318" s="2">
        <f ca="1">IFERROR(__xludf.DUMMYFUNCTION("""COMPUTED_VALUE"""),-6500)</f>
        <v>-6500</v>
      </c>
      <c r="G318" s="2">
        <f ca="1">IFERROR(__xludf.DUMMYFUNCTION("""COMPUTED_VALUE"""),500)</f>
        <v>500</v>
      </c>
      <c r="H318" s="2" t="str">
        <f ca="1">IFERROR(__xludf.DUMMYFUNCTION("""COMPUTED_VALUE"""),"84e6afcb")</f>
        <v>84e6afcb</v>
      </c>
      <c r="I318" s="2" t="str">
        <f ca="1">IFERROR(__xludf.DUMMYFUNCTION("""COMPUTED_VALUE"""),"Ajuste Arqueo 01-04-25")</f>
        <v>Ajuste Arqueo 01-04-25</v>
      </c>
      <c r="J318" s="2">
        <f ca="1">IFERROR(__xludf.DUMMYFUNCTION("""COMPUTED_VALUE"""),2501)</f>
        <v>2501</v>
      </c>
      <c r="K318" s="2">
        <f ca="1">IFERROR(__xludf.DUMMYFUNCTION("""COMPUTED_VALUE"""),-3999)</f>
        <v>-3999</v>
      </c>
      <c r="L318" s="2" t="str">
        <f ca="1">IFERROR(__xludf.DUMMYFUNCTION("""COMPUTED_VALUE"""),"353f740c")</f>
        <v>353f740c</v>
      </c>
      <c r="M318" s="2" t="str">
        <f ca="1">IFERROR(__xludf.DUMMYFUNCTION("""COMPUTED_VALUE"""),"Ajuste Arqueo 01-04-25")</f>
        <v>Ajuste Arqueo 01-04-25</v>
      </c>
      <c r="N318" s="2"/>
      <c r="O318" s="2" t="str">
        <f ca="1">IFERROR(__xludf.DUMMYFUNCTION("""COMPUTED_VALUE"""),"Descubada")</f>
        <v>Descubada</v>
      </c>
      <c r="P318" s="2" t="str">
        <f ca="1">IFERROR(__xludf.DUMMYFUNCTION("""COMPUTED_VALUE"""),"Terminado")</f>
        <v>Terminado</v>
      </c>
      <c r="Q318" s="2" t="b">
        <f ca="1">IFERROR(__xludf.DUMMYFUNCTION("""COMPUTED_VALUE"""),TRUE)</f>
        <v>1</v>
      </c>
      <c r="R318" s="2" t="str">
        <f ca="1">IFERROR(__xludf.DUMMYFUNCTION("""COMPUTED_VALUE"""),"Terminado")</f>
        <v>Terminado</v>
      </c>
      <c r="S318" s="2"/>
      <c r="T318" s="2"/>
      <c r="U318" s="2"/>
    </row>
    <row r="319" spans="1:21" x14ac:dyDescent="0.25">
      <c r="A319" s="2" t="str">
        <f ca="1">IFERROR(__xludf.DUMMYFUNCTION("""COMPUTED_VALUE"""),"c59443ba")</f>
        <v>c59443ba</v>
      </c>
      <c r="B319" s="3">
        <f ca="1">IFERROR(__xludf.DUMMYFUNCTION("""COMPUTED_VALUE"""),45748.819699074)</f>
        <v>45748.819699074003</v>
      </c>
      <c r="C319" s="2" t="str">
        <f ca="1">IFERROR(__xludf.DUMMYFUNCTION("""COMPUTED_VALUE"""),"50c7db36")</f>
        <v>50c7db36</v>
      </c>
      <c r="D319" s="2">
        <f ca="1">IFERROR(__xludf.DUMMYFUNCTION("""COMPUTED_VALUE"""),96)</f>
        <v>96</v>
      </c>
      <c r="E319" s="2" t="str">
        <f ca="1">IFERROR(__xludf.DUMMYFUNCTION("""COMPUTED_VALUE"""),"Tinto Criolla Recarga")</f>
        <v>Tinto Criolla Recarga</v>
      </c>
      <c r="F319" s="2">
        <f ca="1">IFERROR(__xludf.DUMMYFUNCTION("""COMPUTED_VALUE"""),-10000)</f>
        <v>-10000</v>
      </c>
      <c r="G319" s="2">
        <f ca="1">IFERROR(__xludf.DUMMYFUNCTION("""COMPUTED_VALUE"""),500)</f>
        <v>500</v>
      </c>
      <c r="H319" s="2" t="str">
        <f ca="1">IFERROR(__xludf.DUMMYFUNCTION("""COMPUTED_VALUE"""),"353f740c")</f>
        <v>353f740c</v>
      </c>
      <c r="I319" s="2" t="str">
        <f ca="1">IFERROR(__xludf.DUMMYFUNCTION("""COMPUTED_VALUE"""),"Ajuste Arqueo 01-04-25")</f>
        <v>Ajuste Arqueo 01-04-25</v>
      </c>
      <c r="J319" s="2">
        <f ca="1">IFERROR(__xludf.DUMMYFUNCTION("""COMPUTED_VALUE"""),-3999)</f>
        <v>-3999</v>
      </c>
      <c r="K319" s="2">
        <f ca="1">IFERROR(__xludf.DUMMYFUNCTION("""COMPUTED_VALUE"""),-13999)</f>
        <v>-13999</v>
      </c>
      <c r="L319" s="2" t="str">
        <f ca="1">IFERROR(__xludf.DUMMYFUNCTION("""COMPUTED_VALUE"""),"c6c0786e")</f>
        <v>c6c0786e</v>
      </c>
      <c r="M319" s="2" t="str">
        <f ca="1">IFERROR(__xludf.DUMMYFUNCTION("""COMPUTED_VALUE"""),"Ajuste Arqueo 01-04-25")</f>
        <v>Ajuste Arqueo 01-04-25</v>
      </c>
      <c r="N319" s="2"/>
      <c r="O319" s="2" t="str">
        <f ca="1">IFERROR(__xludf.DUMMYFUNCTION("""COMPUTED_VALUE"""),"Descubada")</f>
        <v>Descubada</v>
      </c>
      <c r="P319" s="2" t="str">
        <f ca="1">IFERROR(__xludf.DUMMYFUNCTION("""COMPUTED_VALUE"""),"Terminado")</f>
        <v>Terminado</v>
      </c>
      <c r="Q319" s="2" t="b">
        <f ca="1">IFERROR(__xludf.DUMMYFUNCTION("""COMPUTED_VALUE"""),TRUE)</f>
        <v>1</v>
      </c>
      <c r="R319" s="2" t="str">
        <f ca="1">IFERROR(__xludf.DUMMYFUNCTION("""COMPUTED_VALUE"""),"Terminado")</f>
        <v>Terminado</v>
      </c>
      <c r="S319" s="2"/>
      <c r="T319" s="2"/>
      <c r="U319" s="2"/>
    </row>
    <row r="320" spans="1:21" x14ac:dyDescent="0.25">
      <c r="A320" s="2" t="str">
        <f ca="1">IFERROR(__xludf.DUMMYFUNCTION("""COMPUTED_VALUE"""),"c348af3d")</f>
        <v>c348af3d</v>
      </c>
      <c r="B320" s="3">
        <f ca="1">IFERROR(__xludf.DUMMYFUNCTION("""COMPUTED_VALUE"""),45748.8205324074)</f>
        <v>45748.820532407401</v>
      </c>
      <c r="C320" s="2" t="str">
        <f ca="1">IFERROR(__xludf.DUMMYFUNCTION("""COMPUTED_VALUE"""),"290ee918")</f>
        <v>290ee918</v>
      </c>
      <c r="D320" s="2">
        <f ca="1">IFERROR(__xludf.DUMMYFUNCTION("""COMPUTED_VALUE"""),103)</f>
        <v>103</v>
      </c>
      <c r="E320" s="2" t="str">
        <f ca="1">IFERROR(__xludf.DUMMYFUNCTION("""COMPUTED_VALUE"""),"Anccelotta")</f>
        <v>Anccelotta</v>
      </c>
      <c r="F320" s="2">
        <f ca="1">IFERROR(__xludf.DUMMYFUNCTION("""COMPUTED_VALUE"""),1000)</f>
        <v>1000</v>
      </c>
      <c r="G320" s="2">
        <f ca="1">IFERROR(__xludf.DUMMYFUNCTION("""COMPUTED_VALUE"""),500)</f>
        <v>500</v>
      </c>
      <c r="H320" s="2" t="str">
        <f ca="1">IFERROR(__xludf.DUMMYFUNCTION("""COMPUTED_VALUE"""),"c6c0786e")</f>
        <v>c6c0786e</v>
      </c>
      <c r="I320" s="2" t="str">
        <f ca="1">IFERROR(__xludf.DUMMYFUNCTION("""COMPUTED_VALUE"""),"Ajuste Arqueo 01-04-25")</f>
        <v>Ajuste Arqueo 01-04-25</v>
      </c>
      <c r="J320" s="2">
        <f ca="1">IFERROR(__xludf.DUMMYFUNCTION("""COMPUTED_VALUE"""),-13999)</f>
        <v>-13999</v>
      </c>
      <c r="K320" s="2">
        <f ca="1">IFERROR(__xludf.DUMMYFUNCTION("""COMPUTED_VALUE"""),-12999)</f>
        <v>-12999</v>
      </c>
      <c r="L320" s="2" t="str">
        <f ca="1">IFERROR(__xludf.DUMMYFUNCTION("""COMPUTED_VALUE"""),"21c38848")</f>
        <v>21c38848</v>
      </c>
      <c r="M320" s="2" t="str">
        <f ca="1">IFERROR(__xludf.DUMMYFUNCTION("""COMPUTED_VALUE"""),"Ajuste Arqueo 01-04-25")</f>
        <v>Ajuste Arqueo 01-04-25</v>
      </c>
      <c r="N320" s="2"/>
      <c r="O320" s="2" t="str">
        <f ca="1">IFERROR(__xludf.DUMMYFUNCTION("""COMPUTED_VALUE"""),"Descubada")</f>
        <v>Descubada</v>
      </c>
      <c r="P320" s="2" t="str">
        <f ca="1">IFERROR(__xludf.DUMMYFUNCTION("""COMPUTED_VALUE"""),"Terminado")</f>
        <v>Terminado</v>
      </c>
      <c r="Q320" s="2" t="b">
        <f ca="1">IFERROR(__xludf.DUMMYFUNCTION("""COMPUTED_VALUE"""),TRUE)</f>
        <v>1</v>
      </c>
      <c r="R320" s="2" t="str">
        <f ca="1">IFERROR(__xludf.DUMMYFUNCTION("""COMPUTED_VALUE"""),"Terminado")</f>
        <v>Terminado</v>
      </c>
      <c r="S320" s="2"/>
      <c r="T320" s="2"/>
      <c r="U320" s="2"/>
    </row>
    <row r="321" spans="1:21" x14ac:dyDescent="0.25">
      <c r="A321" s="2" t="str">
        <f ca="1">IFERROR(__xludf.DUMMYFUNCTION("""COMPUTED_VALUE"""),"3f34abb5")</f>
        <v>3f34abb5</v>
      </c>
      <c r="B321" s="3">
        <f ca="1">IFERROR(__xludf.DUMMYFUNCTION("""COMPUTED_VALUE"""),45748.8209837962)</f>
        <v>45748.820983796199</v>
      </c>
      <c r="C321" s="2" t="str">
        <f ca="1">IFERROR(__xludf.DUMMYFUNCTION("""COMPUTED_VALUE"""),"54d0d860")</f>
        <v>54d0d860</v>
      </c>
      <c r="D321" s="2">
        <f ca="1">IFERROR(__xludf.DUMMYFUNCTION("""COMPUTED_VALUE"""),105)</f>
        <v>105</v>
      </c>
      <c r="E321" s="2" t="str">
        <f ca="1">IFERROR(__xludf.DUMMYFUNCTION("""COMPUTED_VALUE"""),"Ancellotta Tempranillo")</f>
        <v>Ancellotta Tempranillo</v>
      </c>
      <c r="F321" s="2">
        <f ca="1">IFERROR(__xludf.DUMMYFUNCTION("""COMPUTED_VALUE"""),-3000)</f>
        <v>-3000</v>
      </c>
      <c r="G321" s="2">
        <f ca="1">IFERROR(__xludf.DUMMYFUNCTION("""COMPUTED_VALUE"""),500)</f>
        <v>500</v>
      </c>
      <c r="H321" s="2" t="str">
        <f ca="1">IFERROR(__xludf.DUMMYFUNCTION("""COMPUTED_VALUE"""),"21c38848")</f>
        <v>21c38848</v>
      </c>
      <c r="I321" s="2" t="str">
        <f ca="1">IFERROR(__xludf.DUMMYFUNCTION("""COMPUTED_VALUE"""),"Ajuste Arqueo 01-04-25")</f>
        <v>Ajuste Arqueo 01-04-25</v>
      </c>
      <c r="J321" s="2">
        <f ca="1">IFERROR(__xludf.DUMMYFUNCTION("""COMPUTED_VALUE"""),-12999)</f>
        <v>-12999</v>
      </c>
      <c r="K321" s="2">
        <f ca="1">IFERROR(__xludf.DUMMYFUNCTION("""COMPUTED_VALUE"""),-15999)</f>
        <v>-15999</v>
      </c>
      <c r="L321" s="2" t="str">
        <f ca="1">IFERROR(__xludf.DUMMYFUNCTION("""COMPUTED_VALUE"""),"97681120")</f>
        <v>97681120</v>
      </c>
      <c r="M321" s="2" t="str">
        <f ca="1">IFERROR(__xludf.DUMMYFUNCTION("""COMPUTED_VALUE"""),"Ajuste Arqueo 01-04-25")</f>
        <v>Ajuste Arqueo 01-04-25</v>
      </c>
      <c r="N321" s="2"/>
      <c r="O321" s="2" t="str">
        <f ca="1">IFERROR(__xludf.DUMMYFUNCTION("""COMPUTED_VALUE"""),"Descubada")</f>
        <v>Descubada</v>
      </c>
      <c r="P321" s="2" t="str">
        <f ca="1">IFERROR(__xludf.DUMMYFUNCTION("""COMPUTED_VALUE"""),"Terminado")</f>
        <v>Terminado</v>
      </c>
      <c r="Q321" s="2" t="b">
        <f ca="1">IFERROR(__xludf.DUMMYFUNCTION("""COMPUTED_VALUE"""),TRUE)</f>
        <v>1</v>
      </c>
      <c r="R321" s="2" t="str">
        <f ca="1">IFERROR(__xludf.DUMMYFUNCTION("""COMPUTED_VALUE"""),"Terminado")</f>
        <v>Terminado</v>
      </c>
      <c r="S321" s="2"/>
      <c r="T321" s="2"/>
      <c r="U321" s="2"/>
    </row>
    <row r="322" spans="1:21" x14ac:dyDescent="0.25">
      <c r="A322" s="2" t="str">
        <f ca="1">IFERROR(__xludf.DUMMYFUNCTION("""COMPUTED_VALUE"""),"9f15531d")</f>
        <v>9f15531d</v>
      </c>
      <c r="B322" s="3">
        <f ca="1">IFERROR(__xludf.DUMMYFUNCTION("""COMPUTED_VALUE"""),45748.8214583333)</f>
        <v>45748.821458333303</v>
      </c>
      <c r="C322" s="2" t="str">
        <f ca="1">IFERROR(__xludf.DUMMYFUNCTION("""COMPUTED_VALUE"""),"33d70f3e")</f>
        <v>33d70f3e</v>
      </c>
      <c r="D322" s="2">
        <f ca="1">IFERROR(__xludf.DUMMYFUNCTION("""COMPUTED_VALUE"""),109)</f>
        <v>109</v>
      </c>
      <c r="E322" s="2" t="str">
        <f ca="1">IFERROR(__xludf.DUMMYFUNCTION("""COMPUTED_VALUE"""),"Bonarda C2")</f>
        <v>Bonarda C2</v>
      </c>
      <c r="F322" s="2">
        <f ca="1">IFERROR(__xludf.DUMMYFUNCTION("""COMPUTED_VALUE"""),-600)</f>
        <v>-600</v>
      </c>
      <c r="G322" s="2">
        <f ca="1">IFERROR(__xludf.DUMMYFUNCTION("""COMPUTED_VALUE"""),500)</f>
        <v>500</v>
      </c>
      <c r="H322" s="2" t="str">
        <f ca="1">IFERROR(__xludf.DUMMYFUNCTION("""COMPUTED_VALUE"""),"97681120")</f>
        <v>97681120</v>
      </c>
      <c r="I322" s="2" t="str">
        <f ca="1">IFERROR(__xludf.DUMMYFUNCTION("""COMPUTED_VALUE"""),"Ajuste Arqueo 01-04-25")</f>
        <v>Ajuste Arqueo 01-04-25</v>
      </c>
      <c r="J322" s="2">
        <f ca="1">IFERROR(__xludf.DUMMYFUNCTION("""COMPUTED_VALUE"""),-15999)</f>
        <v>-15999</v>
      </c>
      <c r="K322" s="2">
        <f ca="1">IFERROR(__xludf.DUMMYFUNCTION("""COMPUTED_VALUE"""),-16599)</f>
        <v>-16599</v>
      </c>
      <c r="L322" s="2" t="str">
        <f ca="1">IFERROR(__xludf.DUMMYFUNCTION("""COMPUTED_VALUE"""),"d36de2d6")</f>
        <v>d36de2d6</v>
      </c>
      <c r="M322" s="2" t="str">
        <f ca="1">IFERROR(__xludf.DUMMYFUNCTION("""COMPUTED_VALUE"""),"Bonarda C2")</f>
        <v>Bonarda C2</v>
      </c>
      <c r="N322" s="2"/>
      <c r="O322" s="2" t="str">
        <f ca="1">IFERROR(__xludf.DUMMYFUNCTION("""COMPUTED_VALUE"""),"Descubada")</f>
        <v>Descubada</v>
      </c>
      <c r="P322" s="2" t="str">
        <f ca="1">IFERROR(__xludf.DUMMYFUNCTION("""COMPUTED_VALUE"""),"Terminado")</f>
        <v>Terminado</v>
      </c>
      <c r="Q322" s="2" t="b">
        <f ca="1">IFERROR(__xludf.DUMMYFUNCTION("""COMPUTED_VALUE"""),FALSE)</f>
        <v>0</v>
      </c>
      <c r="R322" s="2" t="str">
        <f ca="1">IFERROR(__xludf.DUMMYFUNCTION("""COMPUTED_VALUE"""),"Descubada")</f>
        <v>Descubada</v>
      </c>
      <c r="S322" s="2"/>
      <c r="T322" s="2"/>
      <c r="U322" s="2"/>
    </row>
    <row r="323" spans="1:21" x14ac:dyDescent="0.25">
      <c r="A323" s="2" t="str">
        <f ca="1">IFERROR(__xludf.DUMMYFUNCTION("""COMPUTED_VALUE"""),"90a9e20e")</f>
        <v>90a9e20e</v>
      </c>
      <c r="B323" s="3">
        <f ca="1">IFERROR(__xludf.DUMMYFUNCTION("""COMPUTED_VALUE"""),45748.8235300925)</f>
        <v>45748.823530092501</v>
      </c>
      <c r="C323" s="2" t="str">
        <f ca="1">IFERROR(__xludf.DUMMYFUNCTION("""COMPUTED_VALUE"""),"e53d4606")</f>
        <v>e53d4606</v>
      </c>
      <c r="D323" s="2">
        <f ca="1">IFERROR(__xludf.DUMMYFUNCTION("""COMPUTED_VALUE"""),114)</f>
        <v>114</v>
      </c>
      <c r="E323" s="2" t="str">
        <f ca="1">IFERROR(__xludf.DUMMYFUNCTION("""COMPUTED_VALUE"""),"Syrah")</f>
        <v>Syrah</v>
      </c>
      <c r="F323" s="2">
        <f ca="1">IFERROR(__xludf.DUMMYFUNCTION("""COMPUTED_VALUE"""),-400)</f>
        <v>-400</v>
      </c>
      <c r="G323" s="2">
        <f ca="1">IFERROR(__xludf.DUMMYFUNCTION("""COMPUTED_VALUE"""),500)</f>
        <v>500</v>
      </c>
      <c r="H323" s="2" t="str">
        <f ca="1">IFERROR(__xludf.DUMMYFUNCTION("""COMPUTED_VALUE"""),"d36de2d6")</f>
        <v>d36de2d6</v>
      </c>
      <c r="I323" s="2" t="str">
        <f ca="1">IFERROR(__xludf.DUMMYFUNCTION("""COMPUTED_VALUE"""),"Ajuste Arqueo 01-04-25")</f>
        <v>Ajuste Arqueo 01-04-25</v>
      </c>
      <c r="J323" s="2">
        <f ca="1">IFERROR(__xludf.DUMMYFUNCTION("""COMPUTED_VALUE"""),-16599)</f>
        <v>-16599</v>
      </c>
      <c r="K323" s="2">
        <f ca="1">IFERROR(__xludf.DUMMYFUNCTION("""COMPUTED_VALUE"""),-16999)</f>
        <v>-16999</v>
      </c>
      <c r="L323" s="2" t="str">
        <f ca="1">IFERROR(__xludf.DUMMYFUNCTION("""COMPUTED_VALUE"""),"02c0fc23")</f>
        <v>02c0fc23</v>
      </c>
      <c r="M323" s="2" t="str">
        <f ca="1">IFERROR(__xludf.DUMMYFUNCTION("""COMPUTED_VALUE"""),"Ajuste Arqueo 01-04-25")</f>
        <v>Ajuste Arqueo 01-04-25</v>
      </c>
      <c r="N323" s="2"/>
      <c r="O323" s="2" t="str">
        <f ca="1">IFERROR(__xludf.DUMMYFUNCTION("""COMPUTED_VALUE"""),"1er Trasiego")</f>
        <v>1er Trasiego</v>
      </c>
      <c r="P323" s="2" t="str">
        <f ca="1">IFERROR(__xludf.DUMMYFUNCTION("""COMPUTED_VALUE"""),"Descubada")</f>
        <v>Descubada</v>
      </c>
      <c r="Q323" s="2" t="b">
        <f ca="1">IFERROR(__xludf.DUMMYFUNCTION("""COMPUTED_VALUE"""),TRUE)</f>
        <v>1</v>
      </c>
      <c r="R323" s="2" t="str">
        <f ca="1">IFERROR(__xludf.DUMMYFUNCTION("""COMPUTED_VALUE"""),"Descubada")</f>
        <v>Descubada</v>
      </c>
      <c r="S323" s="2"/>
      <c r="T323" s="2"/>
      <c r="U323" s="2"/>
    </row>
    <row r="324" spans="1:21" x14ac:dyDescent="0.25">
      <c r="A324" s="2" t="str">
        <f ca="1">IFERROR(__xludf.DUMMYFUNCTION("""COMPUTED_VALUE"""),"bdc786df")</f>
        <v>bdc786df</v>
      </c>
      <c r="B324" s="3">
        <f ca="1">IFERROR(__xludf.DUMMYFUNCTION("""COMPUTED_VALUE"""),45749.4187037037)</f>
        <v>45749.418703703697</v>
      </c>
      <c r="C324" s="2" t="str">
        <f ca="1">IFERROR(__xludf.DUMMYFUNCTION("""COMPUTED_VALUE"""),"0420c80a")</f>
        <v>0420c80a</v>
      </c>
      <c r="D324" s="2">
        <f ca="1">IFERROR(__xludf.DUMMYFUNCTION("""COMPUTED_VALUE"""),91)</f>
        <v>91</v>
      </c>
      <c r="E324" s="2" t="str">
        <f ca="1">IFERROR(__xludf.DUMMYFUNCTION("""COMPUTED_VALUE"""),"Bonarda")</f>
        <v>Bonarda</v>
      </c>
      <c r="F324" s="2">
        <f ca="1">IFERROR(__xludf.DUMMYFUNCTION("""COMPUTED_VALUE"""),35500)</f>
        <v>35500</v>
      </c>
      <c r="G324" s="2">
        <f ca="1">IFERROR(__xludf.DUMMYFUNCTION("""COMPUTED_VALUE"""),34)</f>
        <v>34</v>
      </c>
      <c r="H324" s="2"/>
      <c r="I324" s="2"/>
      <c r="J324" s="2">
        <f ca="1">IFERROR(__xludf.DUMMYFUNCTION("""COMPUTED_VALUE"""),0)</f>
        <v>0</v>
      </c>
      <c r="K324" s="2">
        <f ca="1">IFERROR(__xludf.DUMMYFUNCTION("""COMPUTED_VALUE"""),35500)</f>
        <v>35500</v>
      </c>
      <c r="L324" s="2" t="str">
        <f ca="1">IFERROR(__xludf.DUMMYFUNCTION("""COMPUTED_VALUE"""),"cf44f84a")</f>
        <v>cf44f84a</v>
      </c>
      <c r="M324" s="2" t="str">
        <f ca="1">IFERROR(__xludf.DUMMYFUNCTION("""COMPUTED_VALUE"""),"Bonarda")</f>
        <v>Bonarda</v>
      </c>
      <c r="N324" s="2"/>
      <c r="O324" s="2" t="str">
        <f ca="1">IFERROR(__xludf.DUMMYFUNCTION("""COMPUTED_VALUE"""),"Fermentando")</f>
        <v>Fermentando</v>
      </c>
      <c r="P324" s="2"/>
      <c r="Q324" s="2" t="b">
        <f ca="1">IFERROR(__xludf.DUMMYFUNCTION("""COMPUTED_VALUE"""),FALSE)</f>
        <v>0</v>
      </c>
      <c r="R324" s="2" t="str">
        <f ca="1">IFERROR(__xludf.DUMMYFUNCTION("""COMPUTED_VALUE"""),"Descubada")</f>
        <v>Descubada</v>
      </c>
      <c r="S324" s="2"/>
      <c r="T324" s="2"/>
      <c r="U324" s="2"/>
    </row>
    <row r="325" spans="1:21" x14ac:dyDescent="0.25">
      <c r="A325" s="2" t="str">
        <f ca="1">IFERROR(__xludf.DUMMYFUNCTION("""COMPUTED_VALUE"""),"ec25e385")</f>
        <v>ec25e385</v>
      </c>
      <c r="B325" s="3">
        <f ca="1">IFERROR(__xludf.DUMMYFUNCTION("""COMPUTED_VALUE"""),45749.4261226851)</f>
        <v>45749.426122685101</v>
      </c>
      <c r="C325" s="2" t="str">
        <f ca="1">IFERROR(__xludf.DUMMYFUNCTION("""COMPUTED_VALUE"""),"2eb7d92e")</f>
        <v>2eb7d92e</v>
      </c>
      <c r="D325" s="2">
        <f ca="1">IFERROR(__xludf.DUMMYFUNCTION("""COMPUTED_VALUE"""),77)</f>
        <v>77</v>
      </c>
      <c r="E325" s="2" t="str">
        <f ca="1">IFERROR(__xludf.DUMMYFUNCTION("""COMPUTED_VALUE"""),"Criolla Flotada")</f>
        <v>Criolla Flotada</v>
      </c>
      <c r="F325" s="2">
        <f ca="1">IFERROR(__xludf.DUMMYFUNCTION("""COMPUTED_VALUE"""),17000)</f>
        <v>17000</v>
      </c>
      <c r="G325" s="2">
        <f ca="1">IFERROR(__xludf.DUMMYFUNCTION("""COMPUTED_VALUE"""),91)</f>
        <v>91</v>
      </c>
      <c r="H325" s="2" t="str">
        <f ca="1">IFERROR(__xludf.DUMMYFUNCTION("""COMPUTED_VALUE"""),"0420c80a")</f>
        <v>0420c80a</v>
      </c>
      <c r="I325" s="2" t="str">
        <f ca="1">IFERROR(__xludf.DUMMYFUNCTION("""COMPUTED_VALUE"""),"Bonarda")</f>
        <v>Bonarda</v>
      </c>
      <c r="J325" s="2">
        <f ca="1">IFERROR(__xludf.DUMMYFUNCTION("""COMPUTED_VALUE"""),23800)</f>
        <v>23800</v>
      </c>
      <c r="K325" s="2">
        <f ca="1">IFERROR(__xludf.DUMMYFUNCTION("""COMPUTED_VALUE"""),40800)</f>
        <v>40800</v>
      </c>
      <c r="L325" s="2" t="str">
        <f ca="1">IFERROR(__xludf.DUMMYFUNCTION("""COMPUTED_VALUE"""),"73108ca1")</f>
        <v>73108ca1</v>
      </c>
      <c r="M325" s="2" t="str">
        <f ca="1">IFERROR(__xludf.DUMMYFUNCTION("""COMPUTED_VALUE"""),"Tinto s/Bonarda")</f>
        <v>Tinto s/Bonarda</v>
      </c>
      <c r="N325" s="2"/>
      <c r="O325" s="2" t="str">
        <f ca="1">IFERROR(__xludf.DUMMYFUNCTION("""COMPUTED_VALUE"""),"Fermentando")</f>
        <v>Fermentando</v>
      </c>
      <c r="P325" s="2" t="str">
        <f ca="1">IFERROR(__xludf.DUMMYFUNCTION("""COMPUTED_VALUE"""),"Fermentando")</f>
        <v>Fermentando</v>
      </c>
      <c r="Q325" s="2" t="b">
        <f ca="1">IFERROR(__xludf.DUMMYFUNCTION("""COMPUTED_VALUE"""),FALSE)</f>
        <v>0</v>
      </c>
      <c r="R325" s="2" t="str">
        <f ca="1">IFERROR(__xludf.DUMMYFUNCTION("""COMPUTED_VALUE"""),"Recarga Fermentando")</f>
        <v>Recarga Fermentando</v>
      </c>
      <c r="S325" s="2"/>
      <c r="T325" s="2"/>
      <c r="U325" s="2"/>
    </row>
    <row r="326" spans="1:21" x14ac:dyDescent="0.25">
      <c r="A326" s="2" t="str">
        <f ca="1">IFERROR(__xludf.DUMMYFUNCTION("""COMPUTED_VALUE"""),"722befba")</f>
        <v>722befba</v>
      </c>
      <c r="B326" s="3">
        <f ca="1">IFERROR(__xludf.DUMMYFUNCTION("""COMPUTED_VALUE"""),45749.4318287037)</f>
        <v>45749.431828703702</v>
      </c>
      <c r="C326" s="2" t="str">
        <f ca="1">IFERROR(__xludf.DUMMYFUNCTION("""COMPUTED_VALUE"""),"c355e18a")</f>
        <v>c355e18a</v>
      </c>
      <c r="D326" s="2">
        <f ca="1">IFERROR(__xludf.DUMMYFUNCTION("""COMPUTED_VALUE"""),78)</f>
        <v>78</v>
      </c>
      <c r="E326" s="2" t="str">
        <f ca="1">IFERROR(__xludf.DUMMYFUNCTION("""COMPUTED_VALUE"""),"Criolla Flotada")</f>
        <v>Criolla Flotada</v>
      </c>
      <c r="F326" s="2">
        <f ca="1">IFERROR(__xludf.DUMMYFUNCTION("""COMPUTED_VALUE"""),21500)</f>
        <v>21500</v>
      </c>
      <c r="G326" s="2">
        <f ca="1">IFERROR(__xludf.DUMMYFUNCTION("""COMPUTED_VALUE"""),91)</f>
        <v>91</v>
      </c>
      <c r="H326" s="2" t="str">
        <f ca="1">IFERROR(__xludf.DUMMYFUNCTION("""COMPUTED_VALUE"""),"73108ca1")</f>
        <v>73108ca1</v>
      </c>
      <c r="I326" s="2" t="str">
        <f ca="1">IFERROR(__xludf.DUMMYFUNCTION("""COMPUTED_VALUE"""),"Tinto s/Bonarda")</f>
        <v>Tinto s/Bonarda</v>
      </c>
      <c r="J326" s="2">
        <f ca="1">IFERROR(__xludf.DUMMYFUNCTION("""COMPUTED_VALUE"""),40800)</f>
        <v>40800</v>
      </c>
      <c r="K326" s="2">
        <f ca="1">IFERROR(__xludf.DUMMYFUNCTION("""COMPUTED_VALUE"""),62300)</f>
        <v>62300</v>
      </c>
      <c r="L326" s="2" t="str">
        <f ca="1">IFERROR(__xludf.DUMMYFUNCTION("""COMPUTED_VALUE"""),"6b249a3a")</f>
        <v>6b249a3a</v>
      </c>
      <c r="M326" s="2" t="str">
        <f ca="1">IFERROR(__xludf.DUMMYFUNCTION("""COMPUTED_VALUE"""),"Tinto s/Bonarda")</f>
        <v>Tinto s/Bonarda</v>
      </c>
      <c r="N326" s="2"/>
      <c r="O326" s="2" t="str">
        <f ca="1">IFERROR(__xludf.DUMMYFUNCTION("""COMPUTED_VALUE"""),"Fermentando")</f>
        <v>Fermentando</v>
      </c>
      <c r="P326" s="2" t="str">
        <f ca="1">IFERROR(__xludf.DUMMYFUNCTION("""COMPUTED_VALUE"""),"Recarga Fermentando")</f>
        <v>Recarga Fermentando</v>
      </c>
      <c r="Q326" s="2" t="b">
        <f ca="1">IFERROR(__xludf.DUMMYFUNCTION("""COMPUTED_VALUE"""),TRUE)</f>
        <v>1</v>
      </c>
      <c r="R326" s="2" t="str">
        <f ca="1">IFERROR(__xludf.DUMMYFUNCTION("""COMPUTED_VALUE"""),"Recarga Fermentando")</f>
        <v>Recarga Fermentando</v>
      </c>
      <c r="S326" s="2"/>
      <c r="T326" s="2"/>
      <c r="U326" s="2"/>
    </row>
    <row r="327" spans="1:21" x14ac:dyDescent="0.25">
      <c r="A327" s="2" t="str">
        <f ca="1">IFERROR(__xludf.DUMMYFUNCTION("""COMPUTED_VALUE"""),"d0c35e7b")</f>
        <v>d0c35e7b</v>
      </c>
      <c r="B327" s="3">
        <f ca="1">IFERROR(__xludf.DUMMYFUNCTION("""COMPUTED_VALUE"""),45749.4422569444)</f>
        <v>45749.4422569444</v>
      </c>
      <c r="C327" s="2" t="str">
        <f ca="1">IFERROR(__xludf.DUMMYFUNCTION("""COMPUTED_VALUE"""),"8102a15a")</f>
        <v>8102a15a</v>
      </c>
      <c r="D327" s="2">
        <f ca="1">IFERROR(__xludf.DUMMYFUNCTION("""COMPUTED_VALUE"""),115)</f>
        <v>115</v>
      </c>
      <c r="E327" s="2" t="str">
        <f ca="1">IFERROR(__xludf.DUMMYFUNCTION("""COMPUTED_VALUE"""),"Bonarda")</f>
        <v>Bonarda</v>
      </c>
      <c r="F327" s="2">
        <f ca="1">IFERROR(__xludf.DUMMYFUNCTION("""COMPUTED_VALUE"""),120200)</f>
        <v>120200</v>
      </c>
      <c r="G327" s="2">
        <f ca="1">IFERROR(__xludf.DUMMYFUNCTION("""COMPUTED_VALUE"""),24)</f>
        <v>24</v>
      </c>
      <c r="H327" s="2"/>
      <c r="I327" s="2"/>
      <c r="J327" s="2">
        <f ca="1">IFERROR(__xludf.DUMMYFUNCTION("""COMPUTED_VALUE"""),0)</f>
        <v>0</v>
      </c>
      <c r="K327" s="2">
        <f ca="1">IFERROR(__xludf.DUMMYFUNCTION("""COMPUTED_VALUE"""),120200)</f>
        <v>120200</v>
      </c>
      <c r="L327" s="2" t="str">
        <f ca="1">IFERROR(__xludf.DUMMYFUNCTION("""COMPUTED_VALUE"""),"1ba229d2")</f>
        <v>1ba229d2</v>
      </c>
      <c r="M327" s="2" t="str">
        <f ca="1">IFERROR(__xludf.DUMMYFUNCTION("""COMPUTED_VALUE"""),"Bonarda")</f>
        <v>Bonarda</v>
      </c>
      <c r="N327" s="2"/>
      <c r="O327" s="2" t="str">
        <f ca="1">IFERROR(__xludf.DUMMYFUNCTION("""COMPUTED_VALUE"""),"Descubada")</f>
        <v>Descubada</v>
      </c>
      <c r="P327" s="2"/>
      <c r="Q327" s="2" t="b">
        <f ca="1">IFERROR(__xludf.DUMMYFUNCTION("""COMPUTED_VALUE"""),FALSE)</f>
        <v>0</v>
      </c>
      <c r="R327" s="2" t="str">
        <f ca="1">IFERROR(__xludf.DUMMYFUNCTION("""COMPUTED_VALUE"""),"Descubada")</f>
        <v>Descubada</v>
      </c>
      <c r="S327" s="2"/>
      <c r="T327" s="2"/>
      <c r="U327" s="2"/>
    </row>
    <row r="328" spans="1:21" x14ac:dyDescent="0.25">
      <c r="A328" s="2" t="str">
        <f ca="1">IFERROR(__xludf.DUMMYFUNCTION("""COMPUTED_VALUE"""),"06e6d4cd")</f>
        <v>06e6d4cd</v>
      </c>
      <c r="B328" s="3">
        <f ca="1">IFERROR(__xludf.DUMMYFUNCTION("""COMPUTED_VALUE"""),45749.4425694444)</f>
        <v>45749.4425694444</v>
      </c>
      <c r="C328" s="2" t="str">
        <f ca="1">IFERROR(__xludf.DUMMYFUNCTION("""COMPUTED_VALUE"""),"50c7db36")</f>
        <v>50c7db36</v>
      </c>
      <c r="D328" s="2">
        <f ca="1">IFERROR(__xludf.DUMMYFUNCTION("""COMPUTED_VALUE"""),96)</f>
        <v>96</v>
      </c>
      <c r="E328" s="2" t="str">
        <f ca="1">IFERROR(__xludf.DUMMYFUNCTION("""COMPUTED_VALUE"""),"Tinto Criolla Recarga")</f>
        <v>Tinto Criolla Recarga</v>
      </c>
      <c r="F328" s="2">
        <f ca="1">IFERROR(__xludf.DUMMYFUNCTION("""COMPUTED_VALUE"""),46000)</f>
        <v>46000</v>
      </c>
      <c r="G328" s="2">
        <f ca="1">IFERROR(__xludf.DUMMYFUNCTION("""COMPUTED_VALUE"""),24)</f>
        <v>24</v>
      </c>
      <c r="H328" s="2" t="str">
        <f ca="1">IFERROR(__xludf.DUMMYFUNCTION("""COMPUTED_VALUE"""),"1ba229d2")</f>
        <v>1ba229d2</v>
      </c>
      <c r="I328" s="2" t="str">
        <f ca="1">IFERROR(__xludf.DUMMYFUNCTION("""COMPUTED_VALUE"""),"Bonarda")</f>
        <v>Bonarda</v>
      </c>
      <c r="J328" s="2">
        <f ca="1">IFERROR(__xludf.DUMMYFUNCTION("""COMPUTED_VALUE"""),120200)</f>
        <v>120200</v>
      </c>
      <c r="K328" s="2">
        <f ca="1">IFERROR(__xludf.DUMMYFUNCTION("""COMPUTED_VALUE"""),166200)</f>
        <v>166200</v>
      </c>
      <c r="L328" s="2" t="str">
        <f ca="1">IFERROR(__xludf.DUMMYFUNCTION("""COMPUTED_VALUE"""),"b6dc5dc8")</f>
        <v>b6dc5dc8</v>
      </c>
      <c r="M328" s="2" t="str">
        <f ca="1">IFERROR(__xludf.DUMMYFUNCTION("""COMPUTED_VALUE"""),"Bonarda C2")</f>
        <v>Bonarda C2</v>
      </c>
      <c r="N328" s="2"/>
      <c r="O328" s="2" t="str">
        <f ca="1">IFERROR(__xludf.DUMMYFUNCTION("""COMPUTED_VALUE"""),"Descubada")</f>
        <v>Descubada</v>
      </c>
      <c r="P328" s="2" t="str">
        <f ca="1">IFERROR(__xludf.DUMMYFUNCTION("""COMPUTED_VALUE"""),"Descubada")</f>
        <v>Descubada</v>
      </c>
      <c r="Q328" s="2" t="b">
        <f ca="1">IFERROR(__xludf.DUMMYFUNCTION("""COMPUTED_VALUE"""),TRUE)</f>
        <v>1</v>
      </c>
      <c r="R328" s="2" t="str">
        <f ca="1">IFERROR(__xludf.DUMMYFUNCTION("""COMPUTED_VALUE"""),"1er Trasiego")</f>
        <v>1er Trasiego</v>
      </c>
      <c r="S328" s="2"/>
      <c r="T328" s="2"/>
      <c r="U328" s="2"/>
    </row>
    <row r="329" spans="1:21" x14ac:dyDescent="0.25">
      <c r="A329" s="2" t="str">
        <f ca="1">IFERROR(__xludf.DUMMYFUNCTION("""COMPUTED_VALUE"""),"d0a72ad0")</f>
        <v>d0a72ad0</v>
      </c>
      <c r="B329" s="3">
        <f ca="1">IFERROR(__xludf.DUMMYFUNCTION("""COMPUTED_VALUE"""),45749.4433217592)</f>
        <v>45749.443321759201</v>
      </c>
      <c r="C329" s="2" t="str">
        <f ca="1">IFERROR(__xludf.DUMMYFUNCTION("""COMPUTED_VALUE"""),"3907dbfc")</f>
        <v>3907dbfc</v>
      </c>
      <c r="D329" s="2">
        <f ca="1">IFERROR(__xludf.DUMMYFUNCTION("""COMPUTED_VALUE"""),108)</f>
        <v>108</v>
      </c>
      <c r="E329" s="2" t="str">
        <f ca="1">IFERROR(__xludf.DUMMYFUNCTION("""COMPUTED_VALUE"""),"Bonarda C2")</f>
        <v>Bonarda C2</v>
      </c>
      <c r="F329" s="2">
        <f ca="1">IFERROR(__xludf.DUMMYFUNCTION("""COMPUTED_VALUE"""),20400)</f>
        <v>20400</v>
      </c>
      <c r="G329" s="2">
        <f ca="1">IFERROR(__xludf.DUMMYFUNCTION("""COMPUTED_VALUE"""),24)</f>
        <v>24</v>
      </c>
      <c r="H329" s="2" t="str">
        <f ca="1">IFERROR(__xludf.DUMMYFUNCTION("""COMPUTED_VALUE"""),"b6dc5dc8")</f>
        <v>b6dc5dc8</v>
      </c>
      <c r="I329" s="2" t="str">
        <f ca="1">IFERROR(__xludf.DUMMYFUNCTION("""COMPUTED_VALUE"""),"Bonarda C2")</f>
        <v>Bonarda C2</v>
      </c>
      <c r="J329" s="2">
        <f ca="1">IFERROR(__xludf.DUMMYFUNCTION("""COMPUTED_VALUE"""),166200)</f>
        <v>166200</v>
      </c>
      <c r="K329" s="2">
        <f ca="1">IFERROR(__xludf.DUMMYFUNCTION("""COMPUTED_VALUE"""),186600)</f>
        <v>186600</v>
      </c>
      <c r="L329" s="2" t="str">
        <f ca="1">IFERROR(__xludf.DUMMYFUNCTION("""COMPUTED_VALUE"""),"37179342")</f>
        <v>37179342</v>
      </c>
      <c r="M329" s="2" t="str">
        <f ca="1">IFERROR(__xludf.DUMMYFUNCTION("""COMPUTED_VALUE"""),"Bonarda C2")</f>
        <v>Bonarda C2</v>
      </c>
      <c r="N329" s="2"/>
      <c r="O329" s="2" t="str">
        <f ca="1">IFERROR(__xludf.DUMMYFUNCTION("""COMPUTED_VALUE"""),"Descubada")</f>
        <v>Descubada</v>
      </c>
      <c r="P329" s="2" t="str">
        <f ca="1">IFERROR(__xludf.DUMMYFUNCTION("""COMPUTED_VALUE"""),"1er Trasiego")</f>
        <v>1er Trasiego</v>
      </c>
      <c r="Q329" s="2" t="b">
        <f ca="1">IFERROR(__xludf.DUMMYFUNCTION("""COMPUTED_VALUE"""),TRUE)</f>
        <v>1</v>
      </c>
      <c r="R329" s="2" t="str">
        <f ca="1">IFERROR(__xludf.DUMMYFUNCTION("""COMPUTED_VALUE"""),"1er Trasiego")</f>
        <v>1er Trasiego</v>
      </c>
      <c r="S329" s="2"/>
      <c r="T329" s="2"/>
      <c r="U329" s="2"/>
    </row>
    <row r="330" spans="1:21" x14ac:dyDescent="0.25">
      <c r="A330" s="2" t="str">
        <f ca="1">IFERROR(__xludf.DUMMYFUNCTION("""COMPUTED_VALUE"""),"e499f23a")</f>
        <v>e499f23a</v>
      </c>
      <c r="B330" s="3">
        <f ca="1">IFERROR(__xludf.DUMMYFUNCTION("""COMPUTED_VALUE"""),45749.4437731481)</f>
        <v>45749.443773148101</v>
      </c>
      <c r="C330" s="2" t="str">
        <f ca="1">IFERROR(__xludf.DUMMYFUNCTION("""COMPUTED_VALUE"""),"3907dbfc")</f>
        <v>3907dbfc</v>
      </c>
      <c r="D330" s="2">
        <f ca="1">IFERROR(__xludf.DUMMYFUNCTION("""COMPUTED_VALUE"""),108)</f>
        <v>108</v>
      </c>
      <c r="E330" s="2" t="str">
        <f ca="1">IFERROR(__xludf.DUMMYFUNCTION("""COMPUTED_VALUE"""),"Bonarda C2")</f>
        <v>Bonarda C2</v>
      </c>
      <c r="F330" s="2">
        <f ca="1">IFERROR(__xludf.DUMMYFUNCTION("""COMPUTED_VALUE"""),9600)</f>
        <v>9600</v>
      </c>
      <c r="G330" s="2">
        <f ca="1">IFERROR(__xludf.DUMMYFUNCTION("""COMPUTED_VALUE"""),94)</f>
        <v>94</v>
      </c>
      <c r="H330" s="2"/>
      <c r="I330" s="2"/>
      <c r="J330" s="2">
        <f ca="1">IFERROR(__xludf.DUMMYFUNCTION("""COMPUTED_VALUE"""),0)</f>
        <v>0</v>
      </c>
      <c r="K330" s="2">
        <f ca="1">IFERROR(__xludf.DUMMYFUNCTION("""COMPUTED_VALUE"""),9600)</f>
        <v>9600</v>
      </c>
      <c r="L330" s="2" t="str">
        <f ca="1">IFERROR(__xludf.DUMMYFUNCTION("""COMPUTED_VALUE"""),"a4cd80cd")</f>
        <v>a4cd80cd</v>
      </c>
      <c r="M330" s="2" t="str">
        <f ca="1">IFERROR(__xludf.DUMMYFUNCTION("""COMPUTED_VALUE"""),"Borra")</f>
        <v>Borra</v>
      </c>
      <c r="N330" s="2"/>
      <c r="O330" s="2" t="str">
        <f ca="1">IFERROR(__xludf.DUMMYFUNCTION("""COMPUTED_VALUE"""),"Descubada")</f>
        <v>Descubada</v>
      </c>
      <c r="P330" s="2"/>
      <c r="Q330" s="2" t="b">
        <f ca="1">IFERROR(__xludf.DUMMYFUNCTION("""COMPUTED_VALUE"""),FALSE)</f>
        <v>0</v>
      </c>
      <c r="R330" s="2" t="str">
        <f ca="1">IFERROR(__xludf.DUMMYFUNCTION("""COMPUTED_VALUE"""),"Descubada")</f>
        <v>Descubada</v>
      </c>
      <c r="S330" s="2"/>
      <c r="T330" s="2"/>
      <c r="U330" s="2"/>
    </row>
    <row r="331" spans="1:21" x14ac:dyDescent="0.25">
      <c r="A331" s="2" t="str">
        <f ca="1">IFERROR(__xludf.DUMMYFUNCTION("""COMPUTED_VALUE"""),"e28112ad")</f>
        <v>e28112ad</v>
      </c>
      <c r="B331" s="3">
        <f ca="1">IFERROR(__xludf.DUMMYFUNCTION("""COMPUTED_VALUE"""),45750.7309259259)</f>
        <v>45750.730925925898</v>
      </c>
      <c r="C331" s="2" t="str">
        <f ca="1">IFERROR(__xludf.DUMMYFUNCTION("""COMPUTED_VALUE"""),"2fe32030")</f>
        <v>2fe32030</v>
      </c>
      <c r="D331" s="2">
        <f ca="1">IFERROR(__xludf.DUMMYFUNCTION("""COMPUTED_VALUE"""),84)</f>
        <v>84</v>
      </c>
      <c r="E331" s="2" t="str">
        <f ca="1">IFERROR(__xludf.DUMMYFUNCTION("""COMPUTED_VALUE"""),"Malbec Mec")</f>
        <v>Malbec Mec</v>
      </c>
      <c r="F331" s="2">
        <f ca="1">IFERROR(__xludf.DUMMYFUNCTION("""COMPUTED_VALUE"""),50000)</f>
        <v>50000</v>
      </c>
      <c r="G331" s="2">
        <f ca="1">IFERROR(__xludf.DUMMYFUNCTION("""COMPUTED_VALUE"""),121)</f>
        <v>121</v>
      </c>
      <c r="H331" s="2"/>
      <c r="I331" s="2"/>
      <c r="J331" s="2">
        <f ca="1">IFERROR(__xludf.DUMMYFUNCTION("""COMPUTED_VALUE"""),0)</f>
        <v>0</v>
      </c>
      <c r="K331" s="2">
        <f ca="1">IFERROR(__xludf.DUMMYFUNCTION("""COMPUTED_VALUE"""),50000)</f>
        <v>50000</v>
      </c>
      <c r="L331" s="2" t="str">
        <f ca="1">IFERROR(__xludf.DUMMYFUNCTION("""COMPUTED_VALUE"""),"2d913121")</f>
        <v>2d913121</v>
      </c>
      <c r="M331" s="2" t="str">
        <f ca="1">IFERROR(__xludf.DUMMYFUNCTION("""COMPUTED_VALUE"""),"Malbec Mec")</f>
        <v>Malbec Mec</v>
      </c>
      <c r="N331" s="2" t="str">
        <f ca="1">IFERROR(__xludf.DUMMYFUNCTION("""COMPUTED_VALUE"""),"Gota y Prensa")</f>
        <v>Gota y Prensa</v>
      </c>
      <c r="O331" s="2" t="str">
        <f ca="1">IFERROR(__xludf.DUMMYFUNCTION("""COMPUTED_VALUE"""),"Fermentando")</f>
        <v>Fermentando</v>
      </c>
      <c r="P331" s="2"/>
      <c r="Q331" s="2" t="b">
        <f ca="1">IFERROR(__xludf.DUMMYFUNCTION("""COMPUTED_VALUE"""),FALSE)</f>
        <v>0</v>
      </c>
      <c r="R331" s="2" t="str">
        <f ca="1">IFERROR(__xludf.DUMMYFUNCTION("""COMPUTED_VALUE"""),"Descubada")</f>
        <v>Descubada</v>
      </c>
      <c r="S331" s="2"/>
      <c r="T331" s="2"/>
      <c r="U331" s="2"/>
    </row>
    <row r="332" spans="1:21" x14ac:dyDescent="0.25">
      <c r="A332" s="2" t="str">
        <f ca="1">IFERROR(__xludf.DUMMYFUNCTION("""COMPUTED_VALUE"""),"dbadf23a")</f>
        <v>dbadf23a</v>
      </c>
      <c r="B332" s="3">
        <f ca="1">IFERROR(__xludf.DUMMYFUNCTION("""COMPUTED_VALUE"""),45750.7318402777)</f>
        <v>45750.731840277702</v>
      </c>
      <c r="C332" s="2" t="str">
        <f ca="1">IFERROR(__xludf.DUMMYFUNCTION("""COMPUTED_VALUE"""),"239b5e04")</f>
        <v>239b5e04</v>
      </c>
      <c r="D332" s="2">
        <f ca="1">IFERROR(__xludf.DUMMYFUNCTION("""COMPUTED_VALUE"""),89)</f>
        <v>89</v>
      </c>
      <c r="E332" s="2" t="str">
        <f ca="1">IFERROR(__xludf.DUMMYFUNCTION("""COMPUTED_VALUE"""),"Malbec Mec")</f>
        <v>Malbec Mec</v>
      </c>
      <c r="F332" s="2">
        <f ca="1">IFERROR(__xludf.DUMMYFUNCTION("""COMPUTED_VALUE"""),35800)</f>
        <v>35800</v>
      </c>
      <c r="G332" s="2">
        <f ca="1">IFERROR(__xludf.DUMMYFUNCTION("""COMPUTED_VALUE"""),121)</f>
        <v>121</v>
      </c>
      <c r="H332" s="2" t="str">
        <f ca="1">IFERROR(__xludf.DUMMYFUNCTION("""COMPUTED_VALUE"""),"2d913121")</f>
        <v>2d913121</v>
      </c>
      <c r="I332" s="2" t="str">
        <f ca="1">IFERROR(__xludf.DUMMYFUNCTION("""COMPUTED_VALUE"""),"Malbec Mec")</f>
        <v>Malbec Mec</v>
      </c>
      <c r="J332" s="2">
        <f ca="1">IFERROR(__xludf.DUMMYFUNCTION("""COMPUTED_VALUE"""),50000)</f>
        <v>50000</v>
      </c>
      <c r="K332" s="2">
        <f ca="1">IFERROR(__xludf.DUMMYFUNCTION("""COMPUTED_VALUE"""),85800)</f>
        <v>85800</v>
      </c>
      <c r="L332" s="2" t="str">
        <f ca="1">IFERROR(__xludf.DUMMYFUNCTION("""COMPUTED_VALUE"""),"5c542a1f")</f>
        <v>5c542a1f</v>
      </c>
      <c r="M332" s="2" t="str">
        <f ca="1">IFERROR(__xludf.DUMMYFUNCTION("""COMPUTED_VALUE"""),"Malbec Mec")</f>
        <v>Malbec Mec</v>
      </c>
      <c r="N332" s="2"/>
      <c r="O332" s="2" t="str">
        <f ca="1">IFERROR(__xludf.DUMMYFUNCTION("""COMPUTED_VALUE"""),"Fermentando")</f>
        <v>Fermentando</v>
      </c>
      <c r="P332" s="2" t="str">
        <f ca="1">IFERROR(__xludf.DUMMYFUNCTION("""COMPUTED_VALUE"""),"Descubada")</f>
        <v>Descubada</v>
      </c>
      <c r="Q332" s="2" t="b">
        <f ca="1">IFERROR(__xludf.DUMMYFUNCTION("""COMPUTED_VALUE"""),TRUE)</f>
        <v>1</v>
      </c>
      <c r="R332" s="2" t="str">
        <f ca="1">IFERROR(__xludf.DUMMYFUNCTION("""COMPUTED_VALUE"""),"Descubada")</f>
        <v>Descubada</v>
      </c>
      <c r="S332" s="2"/>
      <c r="T332" s="2"/>
      <c r="U332" s="2"/>
    </row>
    <row r="333" spans="1:21" x14ac:dyDescent="0.25">
      <c r="A333" s="2" t="str">
        <f ca="1">IFERROR(__xludf.DUMMYFUNCTION("""COMPUTED_VALUE"""),"7b9a91aa")</f>
        <v>7b9a91aa</v>
      </c>
      <c r="B333" s="3">
        <f ca="1">IFERROR(__xludf.DUMMYFUNCTION("""COMPUTED_VALUE"""),45750.7323148148)</f>
        <v>45750.732314814799</v>
      </c>
      <c r="C333" s="2" t="str">
        <f ca="1">IFERROR(__xludf.DUMMYFUNCTION("""COMPUTED_VALUE"""),"239b5e04")</f>
        <v>239b5e04</v>
      </c>
      <c r="D333" s="2">
        <f ca="1">IFERROR(__xludf.DUMMYFUNCTION("""COMPUTED_VALUE"""),89)</f>
        <v>89</v>
      </c>
      <c r="E333" s="2" t="str">
        <f ca="1">IFERROR(__xludf.DUMMYFUNCTION("""COMPUTED_VALUE"""),"Malbec Mec")</f>
        <v>Malbec Mec</v>
      </c>
      <c r="F333" s="2">
        <f ca="1">IFERROR(__xludf.DUMMYFUNCTION("""COMPUTED_VALUE"""),15200)</f>
        <v>15200</v>
      </c>
      <c r="G333" s="2">
        <f ca="1">IFERROR(__xludf.DUMMYFUNCTION("""COMPUTED_VALUE"""),14)</f>
        <v>14</v>
      </c>
      <c r="H333" s="2"/>
      <c r="I333" s="2"/>
      <c r="J333" s="2">
        <f ca="1">IFERROR(__xludf.DUMMYFUNCTION("""COMPUTED_VALUE"""),0)</f>
        <v>0</v>
      </c>
      <c r="K333" s="2">
        <f ca="1">IFERROR(__xludf.DUMMYFUNCTION("""COMPUTED_VALUE"""),15200)</f>
        <v>15200</v>
      </c>
      <c r="L333" s="2" t="str">
        <f ca="1">IFERROR(__xludf.DUMMYFUNCTION("""COMPUTED_VALUE"""),"0869b66b")</f>
        <v>0869b66b</v>
      </c>
      <c r="M333" s="2" t="str">
        <f ca="1">IFERROR(__xludf.DUMMYFUNCTION("""COMPUTED_VALUE"""),"Malbec Mec")</f>
        <v>Malbec Mec</v>
      </c>
      <c r="N333" s="2"/>
      <c r="O333" s="2" t="str">
        <f ca="1">IFERROR(__xludf.DUMMYFUNCTION("""COMPUTED_VALUE"""),"Fermentando")</f>
        <v>Fermentando</v>
      </c>
      <c r="P333" s="2"/>
      <c r="Q333" s="2" t="b">
        <f ca="1">IFERROR(__xludf.DUMMYFUNCTION("""COMPUTED_VALUE"""),FALSE)</f>
        <v>0</v>
      </c>
      <c r="R333" s="2" t="str">
        <f ca="1">IFERROR(__xludf.DUMMYFUNCTION("""COMPUTED_VALUE"""),"Descubada")</f>
        <v>Descubada</v>
      </c>
      <c r="S333" s="2"/>
      <c r="T333" s="2"/>
      <c r="U333" s="2"/>
    </row>
    <row r="334" spans="1:21" x14ac:dyDescent="0.25">
      <c r="A334" s="2" t="str">
        <f ca="1">IFERROR(__xludf.DUMMYFUNCTION("""COMPUTED_VALUE"""),"5e2d7f21")</f>
        <v>5e2d7f21</v>
      </c>
      <c r="B334" s="3">
        <f ca="1">IFERROR(__xludf.DUMMYFUNCTION("""COMPUTED_VALUE"""),45750.7326851851)</f>
        <v>45750.732685185103</v>
      </c>
      <c r="C334" s="2" t="str">
        <f ca="1">IFERROR(__xludf.DUMMYFUNCTION("""COMPUTED_VALUE"""),"857f0b04")</f>
        <v>857f0b04</v>
      </c>
      <c r="D334" s="2">
        <f ca="1">IFERROR(__xludf.DUMMYFUNCTION("""COMPUTED_VALUE"""),92)</f>
        <v>92</v>
      </c>
      <c r="E334" s="2" t="str">
        <f ca="1">IFERROR(__xludf.DUMMYFUNCTION("""COMPUTED_VALUE"""),"Malbec")</f>
        <v>Malbec</v>
      </c>
      <c r="F334" s="2">
        <f ca="1">IFERROR(__xludf.DUMMYFUNCTION("""COMPUTED_VALUE"""),21800)</f>
        <v>21800</v>
      </c>
      <c r="G334" s="2">
        <f ca="1">IFERROR(__xludf.DUMMYFUNCTION("""COMPUTED_VALUE"""),14)</f>
        <v>14</v>
      </c>
      <c r="H334" s="2" t="str">
        <f ca="1">IFERROR(__xludf.DUMMYFUNCTION("""COMPUTED_VALUE"""),"0869b66b")</f>
        <v>0869b66b</v>
      </c>
      <c r="I334" s="2" t="str">
        <f ca="1">IFERROR(__xludf.DUMMYFUNCTION("""COMPUTED_VALUE"""),"Malbec Mec")</f>
        <v>Malbec Mec</v>
      </c>
      <c r="J334" s="2">
        <f ca="1">IFERROR(__xludf.DUMMYFUNCTION("""COMPUTED_VALUE"""),15200)</f>
        <v>15200</v>
      </c>
      <c r="K334" s="2">
        <f ca="1">IFERROR(__xludf.DUMMYFUNCTION("""COMPUTED_VALUE"""),37000)</f>
        <v>37000</v>
      </c>
      <c r="L334" s="2" t="str">
        <f ca="1">IFERROR(__xludf.DUMMYFUNCTION("""COMPUTED_VALUE"""),"3640d88c")</f>
        <v>3640d88c</v>
      </c>
      <c r="M334" s="2" t="str">
        <f ca="1">IFERROR(__xludf.DUMMYFUNCTION("""COMPUTED_VALUE"""),"Malbec Mec")</f>
        <v>Malbec Mec</v>
      </c>
      <c r="N334" s="2"/>
      <c r="O334" s="2" t="str">
        <f ca="1">IFERROR(__xludf.DUMMYFUNCTION("""COMPUTED_VALUE"""),"Fermentando")</f>
        <v>Fermentando</v>
      </c>
      <c r="P334" s="2" t="str">
        <f ca="1">IFERROR(__xludf.DUMMYFUNCTION("""COMPUTED_VALUE"""),"Descubada")</f>
        <v>Descubada</v>
      </c>
      <c r="Q334" s="2" t="b">
        <f ca="1">IFERROR(__xludf.DUMMYFUNCTION("""COMPUTED_VALUE"""),TRUE)</f>
        <v>1</v>
      </c>
      <c r="R334" s="2" t="str">
        <f ca="1">IFERROR(__xludf.DUMMYFUNCTION("""COMPUTED_VALUE"""),"Descubada")</f>
        <v>Descubada</v>
      </c>
      <c r="S334" s="2"/>
      <c r="T334" s="2"/>
      <c r="U334" s="2"/>
    </row>
    <row r="335" spans="1:21" x14ac:dyDescent="0.25">
      <c r="A335" s="2" t="str">
        <f ca="1">IFERROR(__xludf.DUMMYFUNCTION("""COMPUTED_VALUE"""),"8d346f2d")</f>
        <v>8d346f2d</v>
      </c>
      <c r="B335" s="3">
        <f ca="1">IFERROR(__xludf.DUMMYFUNCTION("""COMPUTED_VALUE"""),45750.732974537)</f>
        <v>45750.732974537001</v>
      </c>
      <c r="C335" s="2" t="str">
        <f ca="1">IFERROR(__xludf.DUMMYFUNCTION("""COMPUTED_VALUE"""),"857f0b04")</f>
        <v>857f0b04</v>
      </c>
      <c r="D335" s="2">
        <f ca="1">IFERROR(__xludf.DUMMYFUNCTION("""COMPUTED_VALUE"""),92)</f>
        <v>92</v>
      </c>
      <c r="E335" s="2" t="str">
        <f ca="1">IFERROR(__xludf.DUMMYFUNCTION("""COMPUTED_VALUE"""),"Malbec")</f>
        <v>Malbec</v>
      </c>
      <c r="F335" s="2">
        <f ca="1">IFERROR(__xludf.DUMMYFUNCTION("""COMPUTED_VALUE"""),24500)</f>
        <v>24500</v>
      </c>
      <c r="G335" s="2">
        <f ca="1">IFERROR(__xludf.DUMMYFUNCTION("""COMPUTED_VALUE"""),15)</f>
        <v>15</v>
      </c>
      <c r="H335" s="2"/>
      <c r="I335" s="2"/>
      <c r="J335" s="2">
        <f ca="1">IFERROR(__xludf.DUMMYFUNCTION("""COMPUTED_VALUE"""),0)</f>
        <v>0</v>
      </c>
      <c r="K335" s="2">
        <f ca="1">IFERROR(__xludf.DUMMYFUNCTION("""COMPUTED_VALUE"""),24500)</f>
        <v>24500</v>
      </c>
      <c r="L335" s="2" t="str">
        <f ca="1">IFERROR(__xludf.DUMMYFUNCTION("""COMPUTED_VALUE"""),"d9c4b92b")</f>
        <v>d9c4b92b</v>
      </c>
      <c r="M335" s="2" t="str">
        <f ca="1">IFERROR(__xludf.DUMMYFUNCTION("""COMPUTED_VALUE"""),"Malbec")</f>
        <v>Malbec</v>
      </c>
      <c r="N335" s="2"/>
      <c r="O335" s="2" t="str">
        <f ca="1">IFERROR(__xludf.DUMMYFUNCTION("""COMPUTED_VALUE"""),"Fermentando")</f>
        <v>Fermentando</v>
      </c>
      <c r="P335" s="2"/>
      <c r="Q335" s="2" t="b">
        <f ca="1">IFERROR(__xludf.DUMMYFUNCTION("""COMPUTED_VALUE"""),FALSE)</f>
        <v>0</v>
      </c>
      <c r="R335" s="2" t="str">
        <f ca="1">IFERROR(__xludf.DUMMYFUNCTION("""COMPUTED_VALUE"""),"Descubada")</f>
        <v>Descubada</v>
      </c>
      <c r="S335" s="2"/>
      <c r="T335" s="2"/>
      <c r="U335" s="2"/>
    </row>
    <row r="336" spans="1:21" x14ac:dyDescent="0.25">
      <c r="A336" s="2" t="str">
        <f ca="1">IFERROR(__xludf.DUMMYFUNCTION("""COMPUTED_VALUE"""),"dfd64b48")</f>
        <v>dfd64b48</v>
      </c>
      <c r="B336" s="3">
        <f ca="1">IFERROR(__xludf.DUMMYFUNCTION("""COMPUTED_VALUE"""),45750.7337847222)</f>
        <v>45750.733784722201</v>
      </c>
      <c r="C336" s="2" t="str">
        <f ca="1">IFERROR(__xludf.DUMMYFUNCTION("""COMPUTED_VALUE"""),"666d23a6")</f>
        <v>666d23a6</v>
      </c>
      <c r="D336" s="2">
        <f ca="1">IFERROR(__xludf.DUMMYFUNCTION("""COMPUTED_VALUE"""),95)</f>
        <v>95</v>
      </c>
      <c r="E336" s="2" t="str">
        <f ca="1">IFERROR(__xludf.DUMMYFUNCTION("""COMPUTED_VALUE"""),"Syrah")</f>
        <v>Syrah</v>
      </c>
      <c r="F336" s="2">
        <f ca="1">IFERROR(__xludf.DUMMYFUNCTION("""COMPUTED_VALUE"""),59000)</f>
        <v>59000</v>
      </c>
      <c r="G336" s="2">
        <f ca="1">IFERROR(__xludf.DUMMYFUNCTION("""COMPUTED_VALUE"""),115)</f>
        <v>115</v>
      </c>
      <c r="H336" s="2"/>
      <c r="I336" s="2"/>
      <c r="J336" s="2">
        <f ca="1">IFERROR(__xludf.DUMMYFUNCTION("""COMPUTED_VALUE"""),0)</f>
        <v>0</v>
      </c>
      <c r="K336" s="2">
        <f ca="1">IFERROR(__xludf.DUMMYFUNCTION("""COMPUTED_VALUE"""),59000)</f>
        <v>59000</v>
      </c>
      <c r="L336" s="2" t="str">
        <f ca="1">IFERROR(__xludf.DUMMYFUNCTION("""COMPUTED_VALUE"""),"3aa98d19")</f>
        <v>3aa98d19</v>
      </c>
      <c r="M336" s="2" t="str">
        <f ca="1">IFERROR(__xludf.DUMMYFUNCTION("""COMPUTED_VALUE"""),"Syrah")</f>
        <v>Syrah</v>
      </c>
      <c r="N336" s="2"/>
      <c r="O336" s="2" t="str">
        <f ca="1">IFERROR(__xludf.DUMMYFUNCTION("""COMPUTED_VALUE"""),"Descubada")</f>
        <v>Descubada</v>
      </c>
      <c r="P336" s="2"/>
      <c r="Q336" s="2" t="b">
        <f ca="1">IFERROR(__xludf.DUMMYFUNCTION("""COMPUTED_VALUE"""),FALSE)</f>
        <v>0</v>
      </c>
      <c r="R336" s="2" t="str">
        <f ca="1">IFERROR(__xludf.DUMMYFUNCTION("""COMPUTED_VALUE"""),"1er Trasiego")</f>
        <v>1er Trasiego</v>
      </c>
      <c r="S336" s="2"/>
      <c r="T336" s="2"/>
      <c r="U336" s="2"/>
    </row>
    <row r="337" spans="1:21" x14ac:dyDescent="0.25">
      <c r="A337" s="2" t="str">
        <f ca="1">IFERROR(__xludf.DUMMYFUNCTION("""COMPUTED_VALUE"""),"b2171938")</f>
        <v>b2171938</v>
      </c>
      <c r="B337" s="3">
        <f ca="1">IFERROR(__xludf.DUMMYFUNCTION("""COMPUTED_VALUE"""),45750.73625)</f>
        <v>45750.736250000002</v>
      </c>
      <c r="C337" s="2" t="str">
        <f ca="1">IFERROR(__xludf.DUMMYFUNCTION("""COMPUTED_VALUE"""),"78caf863")</f>
        <v>78caf863</v>
      </c>
      <c r="D337" s="2">
        <f ca="1">IFERROR(__xludf.DUMMYFUNCTION("""COMPUTED_VALUE"""),104)</f>
        <v>104</v>
      </c>
      <c r="E337" s="2" t="str">
        <f ca="1">IFERROR(__xludf.DUMMYFUNCTION("""COMPUTED_VALUE"""),"Tempranillo")</f>
        <v>Tempranillo</v>
      </c>
      <c r="F337" s="2">
        <f ca="1">IFERROR(__xludf.DUMMYFUNCTION("""COMPUTED_VALUE"""),30000)</f>
        <v>30000</v>
      </c>
      <c r="G337" s="2">
        <f ca="1">IFERROR(__xludf.DUMMYFUNCTION("""COMPUTED_VALUE"""),115)</f>
        <v>115</v>
      </c>
      <c r="H337" s="2" t="str">
        <f ca="1">IFERROR(__xludf.DUMMYFUNCTION("""COMPUTED_VALUE"""),"3aa98d19")</f>
        <v>3aa98d19</v>
      </c>
      <c r="I337" s="2" t="str">
        <f ca="1">IFERROR(__xludf.DUMMYFUNCTION("""COMPUTED_VALUE"""),"Syrah")</f>
        <v>Syrah</v>
      </c>
      <c r="J337" s="2">
        <f ca="1">IFERROR(__xludf.DUMMYFUNCTION("""COMPUTED_VALUE"""),59000)</f>
        <v>59000</v>
      </c>
      <c r="K337" s="2">
        <f ca="1">IFERROR(__xludf.DUMMYFUNCTION("""COMPUTED_VALUE"""),89000)</f>
        <v>89000</v>
      </c>
      <c r="L337" s="2" t="str">
        <f ca="1">IFERROR(__xludf.DUMMYFUNCTION("""COMPUTED_VALUE"""),"8042d6c2")</f>
        <v>8042d6c2</v>
      </c>
      <c r="M337" s="2" t="str">
        <f ca="1">IFERROR(__xludf.DUMMYFUNCTION("""COMPUTED_VALUE"""),"Syrah Tempranillo")</f>
        <v>Syrah Tempranillo</v>
      </c>
      <c r="N337" s="2"/>
      <c r="O337" s="2" t="str">
        <f ca="1">IFERROR(__xludf.DUMMYFUNCTION("""COMPUTED_VALUE"""),"Descubada")</f>
        <v>Descubada</v>
      </c>
      <c r="P337" s="2" t="str">
        <f ca="1">IFERROR(__xludf.DUMMYFUNCTION("""COMPUTED_VALUE"""),"1er Trasiego")</f>
        <v>1er Trasiego</v>
      </c>
      <c r="Q337" s="2" t="b">
        <f ca="1">IFERROR(__xludf.DUMMYFUNCTION("""COMPUTED_VALUE"""),TRUE)</f>
        <v>1</v>
      </c>
      <c r="R337" s="2" t="str">
        <f ca="1">IFERROR(__xludf.DUMMYFUNCTION("""COMPUTED_VALUE"""),"1er Trasiego")</f>
        <v>1er Trasiego</v>
      </c>
      <c r="S337" s="2"/>
      <c r="T337" s="2"/>
      <c r="U337" s="2"/>
    </row>
    <row r="338" spans="1:21" x14ac:dyDescent="0.25">
      <c r="A338" s="2" t="str">
        <f ca="1">IFERROR(__xludf.DUMMYFUNCTION("""COMPUTED_VALUE"""),"feff5d3f")</f>
        <v>feff5d3f</v>
      </c>
      <c r="B338" s="3">
        <f ca="1">IFERROR(__xludf.DUMMYFUNCTION("""COMPUTED_VALUE"""),45750.7370023148)</f>
        <v>45750.737002314803</v>
      </c>
      <c r="C338" s="2" t="str">
        <f ca="1">IFERROR(__xludf.DUMMYFUNCTION("""COMPUTED_VALUE"""),"54d0d860")</f>
        <v>54d0d860</v>
      </c>
      <c r="D338" s="2">
        <f ca="1">IFERROR(__xludf.DUMMYFUNCTION("""COMPUTED_VALUE"""),105)</f>
        <v>105</v>
      </c>
      <c r="E338" s="2" t="str">
        <f ca="1">IFERROR(__xludf.DUMMYFUNCTION("""COMPUTED_VALUE"""),"Ancellotta Tempranillo")</f>
        <v>Ancellotta Tempranillo</v>
      </c>
      <c r="F338" s="2">
        <f ca="1">IFERROR(__xludf.DUMMYFUNCTION("""COMPUTED_VALUE"""),29000)</f>
        <v>29000</v>
      </c>
      <c r="G338" s="2">
        <f ca="1">IFERROR(__xludf.DUMMYFUNCTION("""COMPUTED_VALUE"""),115)</f>
        <v>115</v>
      </c>
      <c r="H338" s="2" t="str">
        <f ca="1">IFERROR(__xludf.DUMMYFUNCTION("""COMPUTED_VALUE"""),"8042d6c2")</f>
        <v>8042d6c2</v>
      </c>
      <c r="I338" s="2" t="str">
        <f ca="1">IFERROR(__xludf.DUMMYFUNCTION("""COMPUTED_VALUE"""),"Syrah Tempranillo")</f>
        <v>Syrah Tempranillo</v>
      </c>
      <c r="J338" s="2">
        <f ca="1">IFERROR(__xludf.DUMMYFUNCTION("""COMPUTED_VALUE"""),89000)</f>
        <v>89000</v>
      </c>
      <c r="K338" s="2">
        <f ca="1">IFERROR(__xludf.DUMMYFUNCTION("""COMPUTED_VALUE"""),118000)</f>
        <v>118000</v>
      </c>
      <c r="L338" s="2" t="str">
        <f ca="1">IFERROR(__xludf.DUMMYFUNCTION("""COMPUTED_VALUE"""),"03e27ebe")</f>
        <v>03e27ebe</v>
      </c>
      <c r="M338" s="2" t="str">
        <f ca="1">IFERROR(__xludf.DUMMYFUNCTION("""COMPUTED_VALUE"""),"Syrah Tempranillo")</f>
        <v>Syrah Tempranillo</v>
      </c>
      <c r="N338" s="2"/>
      <c r="O338" s="2" t="str">
        <f ca="1">IFERROR(__xludf.DUMMYFUNCTION("""COMPUTED_VALUE"""),"Descubada")</f>
        <v>Descubada</v>
      </c>
      <c r="P338" s="2" t="str">
        <f ca="1">IFERROR(__xludf.DUMMYFUNCTION("""COMPUTED_VALUE"""),"1er Trasiego")</f>
        <v>1er Trasiego</v>
      </c>
      <c r="Q338" s="2" t="b">
        <f ca="1">IFERROR(__xludf.DUMMYFUNCTION("""COMPUTED_VALUE"""),TRUE)</f>
        <v>1</v>
      </c>
      <c r="R338" s="2" t="str">
        <f ca="1">IFERROR(__xludf.DUMMYFUNCTION("""COMPUTED_VALUE"""),"1er Trasiego")</f>
        <v>1er Trasiego</v>
      </c>
      <c r="S338" s="2"/>
      <c r="T338" s="2"/>
      <c r="U338" s="2"/>
    </row>
    <row r="339" spans="1:21" x14ac:dyDescent="0.25">
      <c r="A339" s="2" t="str">
        <f ca="1">IFERROR(__xludf.DUMMYFUNCTION("""COMPUTED_VALUE"""),"76dcfb6b")</f>
        <v>76dcfb6b</v>
      </c>
      <c r="B339" s="3">
        <f ca="1">IFERROR(__xludf.DUMMYFUNCTION("""COMPUTED_VALUE"""),45751.4933449074)</f>
        <v>45751.493344907401</v>
      </c>
      <c r="C339" s="2" t="str">
        <f ca="1">IFERROR(__xludf.DUMMYFUNCTION("""COMPUTED_VALUE"""),"dadb0851")</f>
        <v>dadb0851</v>
      </c>
      <c r="D339" s="2">
        <f ca="1">IFERROR(__xludf.DUMMYFUNCTION("""COMPUTED_VALUE"""),88)</f>
        <v>88</v>
      </c>
      <c r="E339" s="2" t="str">
        <f ca="1">IFERROR(__xludf.DUMMYFUNCTION("""COMPUTED_VALUE"""),"Criolla s/Bonarda")</f>
        <v>Criolla s/Bonarda</v>
      </c>
      <c r="F339" s="2">
        <f ca="1">IFERROR(__xludf.DUMMYFUNCTION("""COMPUTED_VALUE"""),31000)</f>
        <v>31000</v>
      </c>
      <c r="G339" s="2">
        <f ca="1">IFERROR(__xludf.DUMMYFUNCTION("""COMPUTED_VALUE"""),127)</f>
        <v>127</v>
      </c>
      <c r="H339" s="2"/>
      <c r="I339" s="2"/>
      <c r="J339" s="2">
        <f ca="1">IFERROR(__xludf.DUMMYFUNCTION("""COMPUTED_VALUE"""),0)</f>
        <v>0</v>
      </c>
      <c r="K339" s="2">
        <f ca="1">IFERROR(__xludf.DUMMYFUNCTION("""COMPUTED_VALUE"""),31000)</f>
        <v>31000</v>
      </c>
      <c r="L339" s="2" t="str">
        <f ca="1">IFERROR(__xludf.DUMMYFUNCTION("""COMPUTED_VALUE"""),"91eadabd")</f>
        <v>91eadabd</v>
      </c>
      <c r="M339" s="2" t="str">
        <f ca="1">IFERROR(__xludf.DUMMYFUNCTION("""COMPUTED_VALUE"""),"Criolla s/Bonarda")</f>
        <v>Criolla s/Bonarda</v>
      </c>
      <c r="N339" s="2"/>
      <c r="O339" s="2" t="str">
        <f ca="1">IFERROR(__xludf.DUMMYFUNCTION("""COMPUTED_VALUE"""),"Recarga Fermentando")</f>
        <v>Recarga Fermentando</v>
      </c>
      <c r="P339" s="2"/>
      <c r="Q339" s="2" t="b">
        <f ca="1">IFERROR(__xludf.DUMMYFUNCTION("""COMPUTED_VALUE"""),FALSE)</f>
        <v>0</v>
      </c>
      <c r="R339" s="2" t="str">
        <f ca="1">IFERROR(__xludf.DUMMYFUNCTION("""COMPUTED_VALUE"""),"Descubada")</f>
        <v>Descubada</v>
      </c>
      <c r="S339" s="2"/>
      <c r="T339" s="2"/>
      <c r="U339" s="2"/>
    </row>
    <row r="340" spans="1:21" x14ac:dyDescent="0.25">
      <c r="A340" s="2" t="str">
        <f ca="1">IFERROR(__xludf.DUMMYFUNCTION("""COMPUTED_VALUE"""),"3d4764f4")</f>
        <v>3d4764f4</v>
      </c>
      <c r="B340" s="3">
        <f ca="1">IFERROR(__xludf.DUMMYFUNCTION("""COMPUTED_VALUE"""),45751.4945949074)</f>
        <v>45751.494594907403</v>
      </c>
      <c r="C340" s="2" t="str">
        <f ca="1">IFERROR(__xludf.DUMMYFUNCTION("""COMPUTED_VALUE"""),"dadb0851")</f>
        <v>dadb0851</v>
      </c>
      <c r="D340" s="2">
        <f ca="1">IFERROR(__xludf.DUMMYFUNCTION("""COMPUTED_VALUE"""),88)</f>
        <v>88</v>
      </c>
      <c r="E340" s="2" t="str">
        <f ca="1">IFERROR(__xludf.DUMMYFUNCTION("""COMPUTED_VALUE"""),"Criolla s/Bonarda")</f>
        <v>Criolla s/Bonarda</v>
      </c>
      <c r="F340" s="2">
        <f ca="1">IFERROR(__xludf.DUMMYFUNCTION("""COMPUTED_VALUE"""),6200)</f>
        <v>6200</v>
      </c>
      <c r="G340" s="2">
        <f ca="1">IFERROR(__xludf.DUMMYFUNCTION("""COMPUTED_VALUE"""),91)</f>
        <v>91</v>
      </c>
      <c r="H340" s="2" t="str">
        <f ca="1">IFERROR(__xludf.DUMMYFUNCTION("""COMPUTED_VALUE"""),"6b249a3a")</f>
        <v>6b249a3a</v>
      </c>
      <c r="I340" s="2" t="str">
        <f ca="1">IFERROR(__xludf.DUMMYFUNCTION("""COMPUTED_VALUE"""),"Tinto s/Bonarda")</f>
        <v>Tinto s/Bonarda</v>
      </c>
      <c r="J340" s="2">
        <f ca="1">IFERROR(__xludf.DUMMYFUNCTION("""COMPUTED_VALUE"""),62300)</f>
        <v>62300</v>
      </c>
      <c r="K340" s="2">
        <f ca="1">IFERROR(__xludf.DUMMYFUNCTION("""COMPUTED_VALUE"""),68500)</f>
        <v>68500</v>
      </c>
      <c r="L340" s="2" t="str">
        <f ca="1">IFERROR(__xludf.DUMMYFUNCTION("""COMPUTED_VALUE"""),"189ea379")</f>
        <v>189ea379</v>
      </c>
      <c r="M340" s="2" t="str">
        <f ca="1">IFERROR(__xludf.DUMMYFUNCTION("""COMPUTED_VALUE"""),"Tinto s/Bonarda")</f>
        <v>Tinto s/Bonarda</v>
      </c>
      <c r="N340" s="2"/>
      <c r="O340" s="2" t="str">
        <f ca="1">IFERROR(__xludf.DUMMYFUNCTION("""COMPUTED_VALUE"""),"Recarga Fermentando")</f>
        <v>Recarga Fermentando</v>
      </c>
      <c r="P340" s="2" t="str">
        <f ca="1">IFERROR(__xludf.DUMMYFUNCTION("""COMPUTED_VALUE"""),"Recarga Fermentando")</f>
        <v>Recarga Fermentando</v>
      </c>
      <c r="Q340" s="2" t="b">
        <f ca="1">IFERROR(__xludf.DUMMYFUNCTION("""COMPUTED_VALUE"""),TRUE)</f>
        <v>1</v>
      </c>
      <c r="R340" s="2" t="str">
        <f ca="1">IFERROR(__xludf.DUMMYFUNCTION("""COMPUTED_VALUE"""),"Recarga Fermentando")</f>
        <v>Recarga Fermentando</v>
      </c>
      <c r="S340" s="2"/>
      <c r="T340" s="2"/>
      <c r="U340" s="2"/>
    </row>
    <row r="341" spans="1:21" x14ac:dyDescent="0.25">
      <c r="A341" s="2" t="str">
        <f ca="1">IFERROR(__xludf.DUMMYFUNCTION("""COMPUTED_VALUE"""),"0c609eb7")</f>
        <v>0c609eb7</v>
      </c>
      <c r="B341" s="3">
        <f ca="1">IFERROR(__xludf.DUMMYFUNCTION("""COMPUTED_VALUE"""),45751.8875694444)</f>
        <v>45751.8875694444</v>
      </c>
      <c r="C341" s="2" t="str">
        <f ca="1">IFERROR(__xludf.DUMMYFUNCTION("""COMPUTED_VALUE"""),"189ea379")</f>
        <v>189ea379</v>
      </c>
      <c r="D341" s="2">
        <f ca="1">IFERROR(__xludf.DUMMYFUNCTION("""COMPUTED_VALUE"""),91)</f>
        <v>91</v>
      </c>
      <c r="E341" s="2" t="str">
        <f ca="1">IFERROR(__xludf.DUMMYFUNCTION("""COMPUTED_VALUE"""),"Tinto s/Bonarda")</f>
        <v>Tinto s/Bonarda</v>
      </c>
      <c r="F341" s="2">
        <f ca="1">IFERROR(__xludf.DUMMYFUNCTION("""COMPUTED_VALUE"""),31000)</f>
        <v>31000</v>
      </c>
      <c r="G341" s="2">
        <f ca="1">IFERROR(__xludf.DUMMYFUNCTION("""COMPUTED_VALUE"""),108)</f>
        <v>108</v>
      </c>
      <c r="H341" s="2"/>
      <c r="I341" s="2"/>
      <c r="J341" s="2">
        <f ca="1">IFERROR(__xludf.DUMMYFUNCTION("""COMPUTED_VALUE"""),0)</f>
        <v>0</v>
      </c>
      <c r="K341" s="2">
        <f ca="1">IFERROR(__xludf.DUMMYFUNCTION("""COMPUTED_VALUE"""),31000)</f>
        <v>31000</v>
      </c>
      <c r="L341" s="2" t="str">
        <f ca="1">IFERROR(__xludf.DUMMYFUNCTION("""COMPUTED_VALUE"""),"b1b9580e")</f>
        <v>b1b9580e</v>
      </c>
      <c r="M341" s="2" t="str">
        <f ca="1">IFERROR(__xludf.DUMMYFUNCTION("""COMPUTED_VALUE"""),"Tinto G")</f>
        <v>Tinto G</v>
      </c>
      <c r="N341" s="2"/>
      <c r="O341" s="2" t="str">
        <f ca="1">IFERROR(__xludf.DUMMYFUNCTION("""COMPUTED_VALUE"""),"Descubada")</f>
        <v>Descubada</v>
      </c>
      <c r="P341" s="2"/>
      <c r="Q341" s="2" t="b">
        <f ca="1">IFERROR(__xludf.DUMMYFUNCTION("""COMPUTED_VALUE"""),FALSE)</f>
        <v>0</v>
      </c>
      <c r="R341" s="2" t="str">
        <f ca="1">IFERROR(__xludf.DUMMYFUNCTION("""COMPUTED_VALUE"""),"Descubada")</f>
        <v>Descubada</v>
      </c>
      <c r="S341" s="2"/>
      <c r="T341" s="2"/>
      <c r="U341" s="2"/>
    </row>
    <row r="342" spans="1:21" x14ac:dyDescent="0.25">
      <c r="A342" s="2" t="str">
        <f ca="1">IFERROR(__xludf.DUMMYFUNCTION("""COMPUTED_VALUE"""),"6068a768")</f>
        <v>6068a768</v>
      </c>
      <c r="B342" s="3">
        <f ca="1">IFERROR(__xludf.DUMMYFUNCTION("""COMPUTED_VALUE"""),45751.8883217592)</f>
        <v>45751.888321759201</v>
      </c>
      <c r="C342" s="2" t="str">
        <f ca="1">IFERROR(__xludf.DUMMYFUNCTION("""COMPUTED_VALUE"""),"189ea379")</f>
        <v>189ea379</v>
      </c>
      <c r="D342" s="2">
        <f ca="1">IFERROR(__xludf.DUMMYFUNCTION("""COMPUTED_VALUE"""),91)</f>
        <v>91</v>
      </c>
      <c r="E342" s="2" t="str">
        <f ca="1">IFERROR(__xludf.DUMMYFUNCTION("""COMPUTED_VALUE"""),"Tinto s/Bonarda")</f>
        <v>Tinto s/Bonarda</v>
      </c>
      <c r="F342" s="2">
        <f ca="1">IFERROR(__xludf.DUMMYFUNCTION("""COMPUTED_VALUE"""),31000)</f>
        <v>31000</v>
      </c>
      <c r="G342" s="2">
        <f ca="1">IFERROR(__xludf.DUMMYFUNCTION("""COMPUTED_VALUE"""),104)</f>
        <v>104</v>
      </c>
      <c r="H342" s="2"/>
      <c r="I342" s="2"/>
      <c r="J342" s="2">
        <f ca="1">IFERROR(__xludf.DUMMYFUNCTION("""COMPUTED_VALUE"""),0)</f>
        <v>0</v>
      </c>
      <c r="K342" s="2">
        <f ca="1">IFERROR(__xludf.DUMMYFUNCTION("""COMPUTED_VALUE"""),31000)</f>
        <v>31000</v>
      </c>
      <c r="L342" s="2" t="str">
        <f ca="1">IFERROR(__xludf.DUMMYFUNCTION("""COMPUTED_VALUE"""),"1d042bcb")</f>
        <v>1d042bcb</v>
      </c>
      <c r="M342" s="2" t="str">
        <f ca="1">IFERROR(__xludf.DUMMYFUNCTION("""COMPUTED_VALUE"""),"Tinto")</f>
        <v>Tinto</v>
      </c>
      <c r="N342" s="2"/>
      <c r="O342" s="2" t="str">
        <f ca="1">IFERROR(__xludf.DUMMYFUNCTION("""COMPUTED_VALUE"""),"Recarga Fermentando")</f>
        <v>Recarga Fermentando</v>
      </c>
      <c r="P342" s="2"/>
      <c r="Q342" s="2" t="b">
        <f ca="1">IFERROR(__xludf.DUMMYFUNCTION("""COMPUTED_VALUE"""),FALSE)</f>
        <v>0</v>
      </c>
      <c r="R342" s="2" t="str">
        <f ca="1">IFERROR(__xludf.DUMMYFUNCTION("""COMPUTED_VALUE"""),"Descubada")</f>
        <v>Descubada</v>
      </c>
      <c r="S342" s="2"/>
      <c r="T342" s="2"/>
      <c r="U342" s="2"/>
    </row>
    <row r="343" spans="1:21" x14ac:dyDescent="0.25">
      <c r="A343" s="2" t="str">
        <f ca="1">IFERROR(__xludf.DUMMYFUNCTION("""COMPUTED_VALUE"""),"619405ca")</f>
        <v>619405ca</v>
      </c>
      <c r="B343" s="3">
        <f ca="1">IFERROR(__xludf.DUMMYFUNCTION("""COMPUTED_VALUE"""),45751.888761574)</f>
        <v>45751.888761574002</v>
      </c>
      <c r="C343" s="2" t="str">
        <f ca="1">IFERROR(__xludf.DUMMYFUNCTION("""COMPUTED_VALUE"""),"189ea379")</f>
        <v>189ea379</v>
      </c>
      <c r="D343" s="2">
        <f ca="1">IFERROR(__xludf.DUMMYFUNCTION("""COMPUTED_VALUE"""),91)</f>
        <v>91</v>
      </c>
      <c r="E343" s="2" t="str">
        <f ca="1">IFERROR(__xludf.DUMMYFUNCTION("""COMPUTED_VALUE"""),"Tinto s/Bonarda")</f>
        <v>Tinto s/Bonarda</v>
      </c>
      <c r="F343" s="2">
        <f ca="1">IFERROR(__xludf.DUMMYFUNCTION("""COMPUTED_VALUE"""),6500)</f>
        <v>6500</v>
      </c>
      <c r="G343" s="2">
        <f ca="1">IFERROR(__xludf.DUMMYFUNCTION("""COMPUTED_VALUE"""),105)</f>
        <v>105</v>
      </c>
      <c r="H343" s="2"/>
      <c r="I343" s="2"/>
      <c r="J343" s="2">
        <f ca="1">IFERROR(__xludf.DUMMYFUNCTION("""COMPUTED_VALUE"""),0)</f>
        <v>0</v>
      </c>
      <c r="K343" s="2">
        <f ca="1">IFERROR(__xludf.DUMMYFUNCTION("""COMPUTED_VALUE"""),6500)</f>
        <v>6500</v>
      </c>
      <c r="L343" s="2" t="str">
        <f ca="1">IFERROR(__xludf.DUMMYFUNCTION("""COMPUTED_VALUE"""),"dac100da")</f>
        <v>dac100da</v>
      </c>
      <c r="M343" s="2" t="str">
        <f ca="1">IFERROR(__xludf.DUMMYFUNCTION("""COMPUTED_VALUE"""),"Tinto s/Bonarda")</f>
        <v>Tinto s/Bonarda</v>
      </c>
      <c r="N343" s="2"/>
      <c r="O343" s="2" t="str">
        <f ca="1">IFERROR(__xludf.DUMMYFUNCTION("""COMPUTED_VALUE"""),"Recarga Fermentando")</f>
        <v>Recarga Fermentando</v>
      </c>
      <c r="P343" s="2"/>
      <c r="Q343" s="2" t="b">
        <f ca="1">IFERROR(__xludf.DUMMYFUNCTION("""COMPUTED_VALUE"""),FALSE)</f>
        <v>0</v>
      </c>
      <c r="R343" s="2" t="str">
        <f ca="1">IFERROR(__xludf.DUMMYFUNCTION("""COMPUTED_VALUE"""),"Descubada")</f>
        <v>Descubada</v>
      </c>
      <c r="S343" s="2"/>
      <c r="T343" s="2"/>
      <c r="U343" s="2"/>
    </row>
    <row r="344" spans="1:21" x14ac:dyDescent="0.25">
      <c r="A344" s="2" t="str">
        <f ca="1">IFERROR(__xludf.DUMMYFUNCTION("""COMPUTED_VALUE"""),"42e4a292")</f>
        <v>42e4a292</v>
      </c>
      <c r="B344" s="3">
        <f ca="1">IFERROR(__xludf.DUMMYFUNCTION("""COMPUTED_VALUE"""),45751.8989236111)</f>
        <v>45751.898923611101</v>
      </c>
      <c r="C344" s="2" t="str">
        <f ca="1">IFERROR(__xludf.DUMMYFUNCTION("""COMPUTED_VALUE"""),"8ba061c3")</f>
        <v>8ba061c3</v>
      </c>
      <c r="D344" s="2">
        <f ca="1">IFERROR(__xludf.DUMMYFUNCTION("""COMPUTED_VALUE"""),71)</f>
        <v>71</v>
      </c>
      <c r="E344" s="2" t="str">
        <f ca="1">IFERROR(__xludf.DUMMYFUNCTION("""COMPUTED_VALUE"""),"Tanat")</f>
        <v>Tanat</v>
      </c>
      <c r="F344" s="2">
        <f ca="1">IFERROR(__xludf.DUMMYFUNCTION("""COMPUTED_VALUE"""),5000)</f>
        <v>5000</v>
      </c>
      <c r="G344" s="2">
        <f ca="1">IFERROR(__xludf.DUMMYFUNCTION("""COMPUTED_VALUE"""),70)</f>
        <v>70</v>
      </c>
      <c r="H344" s="2"/>
      <c r="I344" s="2"/>
      <c r="J344" s="2">
        <f ca="1">IFERROR(__xludf.DUMMYFUNCTION("""COMPUTED_VALUE"""),0)</f>
        <v>0</v>
      </c>
      <c r="K344" s="2">
        <f ca="1">IFERROR(__xludf.DUMMYFUNCTION("""COMPUTED_VALUE"""),5000)</f>
        <v>5000</v>
      </c>
      <c r="L344" s="2" t="str">
        <f ca="1">IFERROR(__xludf.DUMMYFUNCTION("""COMPUTED_VALUE"""),"42842cde")</f>
        <v>42842cde</v>
      </c>
      <c r="M344" s="2" t="str">
        <f ca="1">IFERROR(__xludf.DUMMYFUNCTION("""COMPUTED_VALUE"""),"Tanat")</f>
        <v>Tanat</v>
      </c>
      <c r="N344" s="2" t="str">
        <f ca="1">IFERROR(__xludf.DUMMYFUNCTION("""COMPUTED_VALUE"""),"Desvine para recarga")</f>
        <v>Desvine para recarga</v>
      </c>
      <c r="O344" s="2" t="str">
        <f ca="1">IFERROR(__xludf.DUMMYFUNCTION("""COMPUTED_VALUE"""),"Fermentando")</f>
        <v>Fermentando</v>
      </c>
      <c r="P344" s="2"/>
      <c r="Q344" s="2" t="b">
        <f ca="1">IFERROR(__xludf.DUMMYFUNCTION("""COMPUTED_VALUE"""),FALSE)</f>
        <v>0</v>
      </c>
      <c r="R344" s="2" t="str">
        <f ca="1">IFERROR(__xludf.DUMMYFUNCTION("""COMPUTED_VALUE"""),"Descubada")</f>
        <v>Descubada</v>
      </c>
      <c r="S344" s="2"/>
      <c r="T344" s="2"/>
      <c r="U344" s="2"/>
    </row>
    <row r="345" spans="1:21" x14ac:dyDescent="0.25">
      <c r="A345" s="2" t="str">
        <f ca="1">IFERROR(__xludf.DUMMYFUNCTION("""COMPUTED_VALUE"""),"5aac28a9")</f>
        <v>5aac28a9</v>
      </c>
      <c r="B345" s="3">
        <f ca="1">IFERROR(__xludf.DUMMYFUNCTION("""COMPUTED_VALUE"""),45751.899224537)</f>
        <v>45751.899224537003</v>
      </c>
      <c r="C345" s="2" t="str">
        <f ca="1">IFERROR(__xludf.DUMMYFUNCTION("""COMPUTED_VALUE"""),"671aa5be")</f>
        <v>671aa5be</v>
      </c>
      <c r="D345" s="2">
        <f ca="1">IFERROR(__xludf.DUMMYFUNCTION("""COMPUTED_VALUE"""),72)</f>
        <v>72</v>
      </c>
      <c r="E345" s="2" t="str">
        <f ca="1">IFERROR(__xludf.DUMMYFUNCTION("""COMPUTED_VALUE"""),"Tanat")</f>
        <v>Tanat</v>
      </c>
      <c r="F345" s="2">
        <f ca="1">IFERROR(__xludf.DUMMYFUNCTION("""COMPUTED_VALUE"""),5000)</f>
        <v>5000</v>
      </c>
      <c r="G345" s="2">
        <f ca="1">IFERROR(__xludf.DUMMYFUNCTION("""COMPUTED_VALUE"""),70)</f>
        <v>70</v>
      </c>
      <c r="H345" s="2" t="str">
        <f ca="1">IFERROR(__xludf.DUMMYFUNCTION("""COMPUTED_VALUE"""),"42842cde")</f>
        <v>42842cde</v>
      </c>
      <c r="I345" s="2" t="str">
        <f ca="1">IFERROR(__xludf.DUMMYFUNCTION("""COMPUTED_VALUE"""),"Tanat")</f>
        <v>Tanat</v>
      </c>
      <c r="J345" s="2">
        <f ca="1">IFERROR(__xludf.DUMMYFUNCTION("""COMPUTED_VALUE"""),5000)</f>
        <v>5000</v>
      </c>
      <c r="K345" s="2">
        <f ca="1">IFERROR(__xludf.DUMMYFUNCTION("""COMPUTED_VALUE"""),10000)</f>
        <v>10000</v>
      </c>
      <c r="L345" s="2" t="str">
        <f ca="1">IFERROR(__xludf.DUMMYFUNCTION("""COMPUTED_VALUE"""),"65c7867f")</f>
        <v>65c7867f</v>
      </c>
      <c r="M345" s="2" t="str">
        <f ca="1">IFERROR(__xludf.DUMMYFUNCTION("""COMPUTED_VALUE"""),"Tanat")</f>
        <v>Tanat</v>
      </c>
      <c r="N345" s="2" t="str">
        <f ca="1">IFERROR(__xludf.DUMMYFUNCTION("""COMPUTED_VALUE"""),"Desvine para recarga")</f>
        <v>Desvine para recarga</v>
      </c>
      <c r="O345" s="2" t="str">
        <f ca="1">IFERROR(__xludf.DUMMYFUNCTION("""COMPUTED_VALUE"""),"Fermentando")</f>
        <v>Fermentando</v>
      </c>
      <c r="P345" s="2" t="str">
        <f ca="1">IFERROR(__xludf.DUMMYFUNCTION("""COMPUTED_VALUE"""),"Descubada")</f>
        <v>Descubada</v>
      </c>
      <c r="Q345" s="2" t="b">
        <f ca="1">IFERROR(__xludf.DUMMYFUNCTION("""COMPUTED_VALUE"""),TRUE)</f>
        <v>1</v>
      </c>
      <c r="R345" s="2" t="str">
        <f ca="1">IFERROR(__xludf.DUMMYFUNCTION("""COMPUTED_VALUE"""),"Descubada")</f>
        <v>Descubada</v>
      </c>
      <c r="S345" s="2"/>
      <c r="T345" s="2"/>
      <c r="U345" s="2"/>
    </row>
    <row r="346" spans="1:21" x14ac:dyDescent="0.25">
      <c r="A346" s="2" t="str">
        <f ca="1">IFERROR(__xludf.DUMMYFUNCTION("""COMPUTED_VALUE"""),"15428dca")</f>
        <v>15428dca</v>
      </c>
      <c r="B346" s="3">
        <f ca="1">IFERROR(__xludf.DUMMYFUNCTION("""COMPUTED_VALUE"""),45751.8996412037)</f>
        <v>45751.899641203701</v>
      </c>
      <c r="C346" s="2" t="str">
        <f ca="1">IFERROR(__xludf.DUMMYFUNCTION("""COMPUTED_VALUE"""),"0d6140dc")</f>
        <v>0d6140dc</v>
      </c>
      <c r="D346" s="2">
        <f ca="1">IFERROR(__xludf.DUMMYFUNCTION("""COMPUTED_VALUE"""),87)</f>
        <v>87</v>
      </c>
      <c r="E346" s="2" t="str">
        <f ca="1">IFERROR(__xludf.DUMMYFUNCTION("""COMPUTED_VALUE"""),"Cabernet Sauv Mec")</f>
        <v>Cabernet Sauv Mec</v>
      </c>
      <c r="F346" s="2">
        <f ca="1">IFERROR(__xludf.DUMMYFUNCTION("""COMPUTED_VALUE"""),5000)</f>
        <v>5000</v>
      </c>
      <c r="G346" s="2">
        <f ca="1">IFERROR(__xludf.DUMMYFUNCTION("""COMPUTED_VALUE"""),71)</f>
        <v>71</v>
      </c>
      <c r="H346" s="2" t="str">
        <f ca="1">IFERROR(__xludf.DUMMYFUNCTION("""COMPUTED_VALUE"""),"8ba061c3")</f>
        <v>8ba061c3</v>
      </c>
      <c r="I346" s="2" t="str">
        <f ca="1">IFERROR(__xludf.DUMMYFUNCTION("""COMPUTED_VALUE"""),"Tanat")</f>
        <v>Tanat</v>
      </c>
      <c r="J346" s="2">
        <f ca="1">IFERROR(__xludf.DUMMYFUNCTION("""COMPUTED_VALUE"""),3500)</f>
        <v>3500</v>
      </c>
      <c r="K346" s="2">
        <f ca="1">IFERROR(__xludf.DUMMYFUNCTION("""COMPUTED_VALUE"""),8500)</f>
        <v>8500</v>
      </c>
      <c r="L346" s="2" t="str">
        <f ca="1">IFERROR(__xludf.DUMMYFUNCTION("""COMPUTED_VALUE"""),"5c558cca")</f>
        <v>5c558cca</v>
      </c>
      <c r="M346" s="2" t="str">
        <f ca="1">IFERROR(__xludf.DUMMYFUNCTION("""COMPUTED_VALUE"""),"Cabernet Sauv s/Tanat")</f>
        <v>Cabernet Sauv s/Tanat</v>
      </c>
      <c r="N346" s="2"/>
      <c r="O346" s="2" t="str">
        <f ca="1">IFERROR(__xludf.DUMMYFUNCTION("""COMPUTED_VALUE"""),"Recarga Fermentando")</f>
        <v>Recarga Fermentando</v>
      </c>
      <c r="P346" s="2" t="str">
        <f ca="1">IFERROR(__xludf.DUMMYFUNCTION("""COMPUTED_VALUE"""),"Fermentando")</f>
        <v>Fermentando</v>
      </c>
      <c r="Q346" s="2" t="b">
        <f ca="1">IFERROR(__xludf.DUMMYFUNCTION("""COMPUTED_VALUE"""),FALSE)</f>
        <v>0</v>
      </c>
      <c r="R346" s="2" t="str">
        <f ca="1">IFERROR(__xludf.DUMMYFUNCTION("""COMPUTED_VALUE"""),"Fermentando")</f>
        <v>Fermentando</v>
      </c>
      <c r="S346" s="2"/>
      <c r="T346" s="2"/>
      <c r="U346" s="2"/>
    </row>
    <row r="347" spans="1:21" x14ac:dyDescent="0.25">
      <c r="A347" s="2" t="str">
        <f ca="1">IFERROR(__xludf.DUMMYFUNCTION("""COMPUTED_VALUE"""),"54ed83a6")</f>
        <v>54ed83a6</v>
      </c>
      <c r="B347" s="3">
        <f ca="1">IFERROR(__xludf.DUMMYFUNCTION("""COMPUTED_VALUE"""),45751.9004282407)</f>
        <v>45751.900428240697</v>
      </c>
      <c r="C347" s="2" t="str">
        <f ca="1">IFERROR(__xludf.DUMMYFUNCTION("""COMPUTED_VALUE"""),"0d6140dc")</f>
        <v>0d6140dc</v>
      </c>
      <c r="D347" s="2">
        <f ca="1">IFERROR(__xludf.DUMMYFUNCTION("""COMPUTED_VALUE"""),87)</f>
        <v>87</v>
      </c>
      <c r="E347" s="2" t="str">
        <f ca="1">IFERROR(__xludf.DUMMYFUNCTION("""COMPUTED_VALUE"""),"Cabernet Sauv Mec")</f>
        <v>Cabernet Sauv Mec</v>
      </c>
      <c r="F347" s="2">
        <f ca="1">IFERROR(__xludf.DUMMYFUNCTION("""COMPUTED_VALUE"""),5000)</f>
        <v>5000</v>
      </c>
      <c r="G347" s="2">
        <f ca="1">IFERROR(__xludf.DUMMYFUNCTION("""COMPUTED_VALUE"""),72)</f>
        <v>72</v>
      </c>
      <c r="H347" s="2" t="str">
        <f ca="1">IFERROR(__xludf.DUMMYFUNCTION("""COMPUTED_VALUE"""),"671aa5be")</f>
        <v>671aa5be</v>
      </c>
      <c r="I347" s="2" t="str">
        <f ca="1">IFERROR(__xludf.DUMMYFUNCTION("""COMPUTED_VALUE"""),"Tanat")</f>
        <v>Tanat</v>
      </c>
      <c r="J347" s="2">
        <f ca="1">IFERROR(__xludf.DUMMYFUNCTION("""COMPUTED_VALUE"""),3000)</f>
        <v>3000</v>
      </c>
      <c r="K347" s="2">
        <f ca="1">IFERROR(__xludf.DUMMYFUNCTION("""COMPUTED_VALUE"""),8000)</f>
        <v>8000</v>
      </c>
      <c r="L347" s="2" t="str">
        <f ca="1">IFERROR(__xludf.DUMMYFUNCTION("""COMPUTED_VALUE"""),"3de4f15e")</f>
        <v>3de4f15e</v>
      </c>
      <c r="M347" s="2" t="str">
        <f ca="1">IFERROR(__xludf.DUMMYFUNCTION("""COMPUTED_VALUE"""),"Cabernet Sauv s/Tanat")</f>
        <v>Cabernet Sauv s/Tanat</v>
      </c>
      <c r="N347" s="2"/>
      <c r="O347" s="2" t="str">
        <f ca="1">IFERROR(__xludf.DUMMYFUNCTION("""COMPUTED_VALUE"""),"Fermentando")</f>
        <v>Fermentando</v>
      </c>
      <c r="P347" s="2" t="str">
        <f ca="1">IFERROR(__xludf.DUMMYFUNCTION("""COMPUTED_VALUE"""),"Fermentando")</f>
        <v>Fermentando</v>
      </c>
      <c r="Q347" s="2" t="b">
        <f ca="1">IFERROR(__xludf.DUMMYFUNCTION("""COMPUTED_VALUE"""),FALSE)</f>
        <v>0</v>
      </c>
      <c r="R347" s="2" t="str">
        <f ca="1">IFERROR(__xludf.DUMMYFUNCTION("""COMPUTED_VALUE"""),"Recarga Fermentando")</f>
        <v>Recarga Fermentando</v>
      </c>
      <c r="S347" s="2"/>
      <c r="T347" s="2"/>
      <c r="U347" s="2"/>
    </row>
    <row r="348" spans="1:21" x14ac:dyDescent="0.25">
      <c r="A348" s="2" t="str">
        <f ca="1">IFERROR(__xludf.DUMMYFUNCTION("""COMPUTED_VALUE"""),"1b29d1f4")</f>
        <v>1b29d1f4</v>
      </c>
      <c r="B348" s="3">
        <f ca="1">IFERROR(__xludf.DUMMYFUNCTION("""COMPUTED_VALUE"""),45751.9036226851)</f>
        <v>45751.903622685102</v>
      </c>
      <c r="C348" s="2" t="str">
        <f ca="1">IFERROR(__xludf.DUMMYFUNCTION("""COMPUTED_VALUE"""),"d9c4b92b")</f>
        <v>d9c4b92b</v>
      </c>
      <c r="D348" s="2">
        <f ca="1">IFERROR(__xludf.DUMMYFUNCTION("""COMPUTED_VALUE"""),15)</f>
        <v>15</v>
      </c>
      <c r="E348" s="2" t="str">
        <f ca="1">IFERROR(__xludf.DUMMYFUNCTION("""COMPUTED_VALUE"""),"Malbec")</f>
        <v>Malbec</v>
      </c>
      <c r="F348" s="2">
        <f ca="1">IFERROR(__xludf.DUMMYFUNCTION("""COMPUTED_VALUE"""),4000)</f>
        <v>4000</v>
      </c>
      <c r="G348" s="2">
        <f ca="1">IFERROR(__xludf.DUMMYFUNCTION("""COMPUTED_VALUE"""),500)</f>
        <v>500</v>
      </c>
      <c r="H348" s="2" t="str">
        <f ca="1">IFERROR(__xludf.DUMMYFUNCTION("""COMPUTED_VALUE"""),"02c0fc23")</f>
        <v>02c0fc23</v>
      </c>
      <c r="I348" s="2" t="str">
        <f ca="1">IFERROR(__xludf.DUMMYFUNCTION("""COMPUTED_VALUE"""),"Ajuste Arqueo 01-04-25")</f>
        <v>Ajuste Arqueo 01-04-25</v>
      </c>
      <c r="J348" s="2">
        <f ca="1">IFERROR(__xludf.DUMMYFUNCTION("""COMPUTED_VALUE"""),-16999)</f>
        <v>-16999</v>
      </c>
      <c r="K348" s="2">
        <f ca="1">IFERROR(__xludf.DUMMYFUNCTION("""COMPUTED_VALUE"""),-12999)</f>
        <v>-12999</v>
      </c>
      <c r="L348" s="2" t="str">
        <f ca="1">IFERROR(__xludf.DUMMYFUNCTION("""COMPUTED_VALUE"""),"d56b533b")</f>
        <v>d56b533b</v>
      </c>
      <c r="M348" s="2" t="str">
        <f ca="1">IFERROR(__xludf.DUMMYFUNCTION("""COMPUTED_VALUE"""),"Ajuste Arqueo 01-04-25")</f>
        <v>Ajuste Arqueo 01-04-25</v>
      </c>
      <c r="N348" s="2"/>
      <c r="O348" s="2" t="str">
        <f ca="1">IFERROR(__xludf.DUMMYFUNCTION("""COMPUTED_VALUE"""),"Descubada")</f>
        <v>Descubada</v>
      </c>
      <c r="P348" s="2" t="str">
        <f ca="1">IFERROR(__xludf.DUMMYFUNCTION("""COMPUTED_VALUE"""),"Descubada")</f>
        <v>Descubada</v>
      </c>
      <c r="Q348" s="2" t="b">
        <f ca="1">IFERROR(__xludf.DUMMYFUNCTION("""COMPUTED_VALUE"""),TRUE)</f>
        <v>1</v>
      </c>
      <c r="R348" s="2" t="str">
        <f ca="1">IFERROR(__xludf.DUMMYFUNCTION("""COMPUTED_VALUE"""),"Descubada")</f>
        <v>Descubada</v>
      </c>
      <c r="S348" s="2"/>
      <c r="T348" s="2"/>
      <c r="U348" s="2"/>
    </row>
    <row r="349" spans="1:21" x14ac:dyDescent="0.25">
      <c r="A349" s="2" t="str">
        <f ca="1">IFERROR(__xludf.DUMMYFUNCTION("""COMPUTED_VALUE"""),"7e1211c8")</f>
        <v>7e1211c8</v>
      </c>
      <c r="B349" s="3">
        <f ca="1">IFERROR(__xludf.DUMMYFUNCTION("""COMPUTED_VALUE"""),45751.9043981481)</f>
        <v>45751.904398148101</v>
      </c>
      <c r="C349" s="2" t="str">
        <f ca="1">IFERROR(__xludf.DUMMYFUNCTION("""COMPUTED_VALUE"""),"380532ea")</f>
        <v>380532ea</v>
      </c>
      <c r="D349" s="2">
        <f ca="1">IFERROR(__xludf.DUMMYFUNCTION("""COMPUTED_VALUE"""),69)</f>
        <v>69</v>
      </c>
      <c r="E349" s="2" t="str">
        <f ca="1">IFERROR(__xludf.DUMMYFUNCTION("""COMPUTED_VALUE"""),"Cabernet Sauvignong")</f>
        <v>Cabernet Sauvignong</v>
      </c>
      <c r="F349" s="2">
        <f ca="1">IFERROR(__xludf.DUMMYFUNCTION("""COMPUTED_VALUE"""),7650)</f>
        <v>7650</v>
      </c>
      <c r="G349" s="2">
        <f ca="1">IFERROR(__xludf.DUMMYFUNCTION("""COMPUTED_VALUE"""),15)</f>
        <v>15</v>
      </c>
      <c r="H349" s="2" t="str">
        <f ca="1">IFERROR(__xludf.DUMMYFUNCTION("""COMPUTED_VALUE"""),"d9c4b92b")</f>
        <v>d9c4b92b</v>
      </c>
      <c r="I349" s="2" t="str">
        <f ca="1">IFERROR(__xludf.DUMMYFUNCTION("""COMPUTED_VALUE"""),"Malbec")</f>
        <v>Malbec</v>
      </c>
      <c r="J349" s="2">
        <f ca="1">IFERROR(__xludf.DUMMYFUNCTION("""COMPUTED_VALUE"""),20500)</f>
        <v>20500</v>
      </c>
      <c r="K349" s="2">
        <f ca="1">IFERROR(__xludf.DUMMYFUNCTION("""COMPUTED_VALUE"""),28150)</f>
        <v>28150</v>
      </c>
      <c r="L349" s="2" t="str">
        <f ca="1">IFERROR(__xludf.DUMMYFUNCTION("""COMPUTED_VALUE"""),"5e0dbcce")</f>
        <v>5e0dbcce</v>
      </c>
      <c r="M349" s="2" t="str">
        <f ca="1">IFERROR(__xludf.DUMMYFUNCTION("""COMPUTED_VALUE"""),"Malbec")</f>
        <v>Malbec</v>
      </c>
      <c r="N349" s="2" t="str">
        <f ca="1">IFERROR(__xludf.DUMMYFUNCTION("""COMPUTED_VALUE"""),"Gota y prensa")</f>
        <v>Gota y prensa</v>
      </c>
      <c r="O349" s="2" t="str">
        <f ca="1">IFERROR(__xludf.DUMMYFUNCTION("""COMPUTED_VALUE"""),"Fermentando")</f>
        <v>Fermentando</v>
      </c>
      <c r="P349" s="2" t="str">
        <f ca="1">IFERROR(__xludf.DUMMYFUNCTION("""COMPUTED_VALUE"""),"Descubada")</f>
        <v>Descubada</v>
      </c>
      <c r="Q349" s="2" t="b">
        <f ca="1">IFERROR(__xludf.DUMMYFUNCTION("""COMPUTED_VALUE"""),TRUE)</f>
        <v>1</v>
      </c>
      <c r="R349" s="2" t="str">
        <f ca="1">IFERROR(__xludf.DUMMYFUNCTION("""COMPUTED_VALUE"""),"Descubada")</f>
        <v>Descubada</v>
      </c>
      <c r="S349" s="2"/>
      <c r="T349" s="2"/>
      <c r="U349" s="2"/>
    </row>
    <row r="350" spans="1:21" x14ac:dyDescent="0.25">
      <c r="A350" s="2" t="str">
        <f ca="1">IFERROR(__xludf.DUMMYFUNCTION("""COMPUTED_VALUE"""),"8c289f5a")</f>
        <v>8c289f5a</v>
      </c>
      <c r="B350" s="3">
        <f ca="1">IFERROR(__xludf.DUMMYFUNCTION("""COMPUTED_VALUE"""),45751.9049189814)</f>
        <v>45751.904918981403</v>
      </c>
      <c r="C350" s="2" t="str">
        <f ca="1">IFERROR(__xludf.DUMMYFUNCTION("""COMPUTED_VALUE"""),"2e224e71")</f>
        <v>2e224e71</v>
      </c>
      <c r="D350" s="2">
        <f ca="1">IFERROR(__xludf.DUMMYFUNCTION("""COMPUTED_VALUE"""),73)</f>
        <v>73</v>
      </c>
      <c r="E350" s="2" t="str">
        <f ca="1">IFERROR(__xludf.DUMMYFUNCTION("""COMPUTED_VALUE"""),"Malbec")</f>
        <v>Malbec</v>
      </c>
      <c r="F350" s="2">
        <f ca="1">IFERROR(__xludf.DUMMYFUNCTION("""COMPUTED_VALUE"""),8350)</f>
        <v>8350</v>
      </c>
      <c r="G350" s="2">
        <f ca="1">IFERROR(__xludf.DUMMYFUNCTION("""COMPUTED_VALUE"""),15)</f>
        <v>15</v>
      </c>
      <c r="H350" s="2" t="str">
        <f ca="1">IFERROR(__xludf.DUMMYFUNCTION("""COMPUTED_VALUE"""),"5e0dbcce")</f>
        <v>5e0dbcce</v>
      </c>
      <c r="I350" s="2" t="str">
        <f ca="1">IFERROR(__xludf.DUMMYFUNCTION("""COMPUTED_VALUE"""),"Malbec")</f>
        <v>Malbec</v>
      </c>
      <c r="J350" s="2">
        <f ca="1">IFERROR(__xludf.DUMMYFUNCTION("""COMPUTED_VALUE"""),28150)</f>
        <v>28150</v>
      </c>
      <c r="K350" s="2">
        <f ca="1">IFERROR(__xludf.DUMMYFUNCTION("""COMPUTED_VALUE"""),36500)</f>
        <v>36500</v>
      </c>
      <c r="L350" s="2" t="str">
        <f ca="1">IFERROR(__xludf.DUMMYFUNCTION("""COMPUTED_VALUE"""),"f764d2d1")</f>
        <v>f764d2d1</v>
      </c>
      <c r="M350" s="2" t="str">
        <f ca="1">IFERROR(__xludf.DUMMYFUNCTION("""COMPUTED_VALUE"""),"Malbec")</f>
        <v>Malbec</v>
      </c>
      <c r="N350" s="2" t="str">
        <f ca="1">IFERROR(__xludf.DUMMYFUNCTION("""COMPUTED_VALUE"""),"Gota y prensa")</f>
        <v>Gota y prensa</v>
      </c>
      <c r="O350" s="2" t="str">
        <f ca="1">IFERROR(__xludf.DUMMYFUNCTION("""COMPUTED_VALUE"""),"Fermentando")</f>
        <v>Fermentando</v>
      </c>
      <c r="P350" s="2" t="str">
        <f ca="1">IFERROR(__xludf.DUMMYFUNCTION("""COMPUTED_VALUE"""),"Descubada")</f>
        <v>Descubada</v>
      </c>
      <c r="Q350" s="2" t="b">
        <f ca="1">IFERROR(__xludf.DUMMYFUNCTION("""COMPUTED_VALUE"""),TRUE)</f>
        <v>1</v>
      </c>
      <c r="R350" s="2" t="str">
        <f ca="1">IFERROR(__xludf.DUMMYFUNCTION("""COMPUTED_VALUE"""),"Descubada")</f>
        <v>Descubada</v>
      </c>
      <c r="S350" s="2"/>
      <c r="T350" s="2"/>
      <c r="U350" s="2"/>
    </row>
    <row r="351" spans="1:21" x14ac:dyDescent="0.25">
      <c r="A351" s="2" t="str">
        <f ca="1">IFERROR(__xludf.DUMMYFUNCTION("""COMPUTED_VALUE"""),"86662639")</f>
        <v>86662639</v>
      </c>
      <c r="B351" s="3">
        <f ca="1">IFERROR(__xludf.DUMMYFUNCTION("""COMPUTED_VALUE"""),45752.6927546296)</f>
        <v>45752.692754629599</v>
      </c>
      <c r="C351" s="2" t="str">
        <f ca="1">IFERROR(__xludf.DUMMYFUNCTION("""COMPUTED_VALUE"""),"2e224e71")</f>
        <v>2e224e71</v>
      </c>
      <c r="D351" s="2">
        <f ca="1">IFERROR(__xludf.DUMMYFUNCTION("""COMPUTED_VALUE"""),73)</f>
        <v>73</v>
      </c>
      <c r="E351" s="2" t="str">
        <f ca="1">IFERROR(__xludf.DUMMYFUNCTION("""COMPUTED_VALUE"""),"Malbec")</f>
        <v>Malbec</v>
      </c>
      <c r="F351" s="2">
        <f ca="1">IFERROR(__xludf.DUMMYFUNCTION("""COMPUTED_VALUE"""),1650)</f>
        <v>1650</v>
      </c>
      <c r="G351" s="2">
        <f ca="1">IFERROR(__xludf.DUMMYFUNCTION("""COMPUTED_VALUE"""),34)</f>
        <v>34</v>
      </c>
      <c r="H351" s="2" t="str">
        <f ca="1">IFERROR(__xludf.DUMMYFUNCTION("""COMPUTED_VALUE"""),"cf44f84a")</f>
        <v>cf44f84a</v>
      </c>
      <c r="I351" s="2" t="str">
        <f ca="1">IFERROR(__xludf.DUMMYFUNCTION("""COMPUTED_VALUE"""),"Bonarda")</f>
        <v>Bonarda</v>
      </c>
      <c r="J351" s="2">
        <f ca="1">IFERROR(__xludf.DUMMYFUNCTION("""COMPUTED_VALUE"""),35500)</f>
        <v>35500</v>
      </c>
      <c r="K351" s="2">
        <f ca="1">IFERROR(__xludf.DUMMYFUNCTION("""COMPUTED_VALUE"""),37150)</f>
        <v>37150</v>
      </c>
      <c r="L351" s="2" t="str">
        <f ca="1">IFERROR(__xludf.DUMMYFUNCTION("""COMPUTED_VALUE"""),"7b6b2c2a")</f>
        <v>7b6b2c2a</v>
      </c>
      <c r="M351" s="2" t="str">
        <f ca="1">IFERROR(__xludf.DUMMYFUNCTION("""COMPUTED_VALUE"""),"Bonarda")</f>
        <v>Bonarda</v>
      </c>
      <c r="N351" s="2"/>
      <c r="O351" s="2" t="str">
        <f ca="1">IFERROR(__xludf.DUMMYFUNCTION("""COMPUTED_VALUE"""),"Fermentando")</f>
        <v>Fermentando</v>
      </c>
      <c r="P351" s="2" t="str">
        <f ca="1">IFERROR(__xludf.DUMMYFUNCTION("""COMPUTED_VALUE"""),"Descubada")</f>
        <v>Descubada</v>
      </c>
      <c r="Q351" s="2" t="b">
        <f ca="1">IFERROR(__xludf.DUMMYFUNCTION("""COMPUTED_VALUE"""),TRUE)</f>
        <v>1</v>
      </c>
      <c r="R351" s="2" t="str">
        <f ca="1">IFERROR(__xludf.DUMMYFUNCTION("""COMPUTED_VALUE"""),"Descubada")</f>
        <v>Descubada</v>
      </c>
      <c r="S351" s="2"/>
      <c r="T351" s="2"/>
      <c r="U351" s="2"/>
    </row>
    <row r="352" spans="1:21" x14ac:dyDescent="0.25">
      <c r="A352" s="2" t="str">
        <f ca="1">IFERROR(__xludf.DUMMYFUNCTION("""COMPUTED_VALUE"""),"d3f897d9")</f>
        <v>d3f897d9</v>
      </c>
      <c r="B352" s="3">
        <f ca="1">IFERROR(__xludf.DUMMYFUNCTION("""COMPUTED_VALUE"""),45752.6947337963)</f>
        <v>45752.694733796299</v>
      </c>
      <c r="C352" s="2" t="str">
        <f ca="1">IFERROR(__xludf.DUMMYFUNCTION("""COMPUTED_VALUE"""),"dac100da")</f>
        <v>dac100da</v>
      </c>
      <c r="D352" s="2">
        <f ca="1">IFERROR(__xludf.DUMMYFUNCTION("""COMPUTED_VALUE"""),105)</f>
        <v>105</v>
      </c>
      <c r="E352" s="2" t="str">
        <f ca="1">IFERROR(__xludf.DUMMYFUNCTION("""COMPUTED_VALUE"""),"Tinto s/Bonarda")</f>
        <v>Tinto s/Bonarda</v>
      </c>
      <c r="F352" s="2">
        <f ca="1">IFERROR(__xludf.DUMMYFUNCTION("""COMPUTED_VALUE"""),6500)</f>
        <v>6500</v>
      </c>
      <c r="G352" s="2">
        <f ca="1">IFERROR(__xludf.DUMMYFUNCTION("""COMPUTED_VALUE"""),500)</f>
        <v>500</v>
      </c>
      <c r="H352" s="2" t="str">
        <f ca="1">IFERROR(__xludf.DUMMYFUNCTION("""COMPUTED_VALUE"""),"d56b533b")</f>
        <v>d56b533b</v>
      </c>
      <c r="I352" s="2" t="str">
        <f ca="1">IFERROR(__xludf.DUMMYFUNCTION("""COMPUTED_VALUE"""),"Ajuste Arqueo 01-04-25")</f>
        <v>Ajuste Arqueo 01-04-25</v>
      </c>
      <c r="J352" s="2">
        <f ca="1">IFERROR(__xludf.DUMMYFUNCTION("""COMPUTED_VALUE"""),-12999)</f>
        <v>-12999</v>
      </c>
      <c r="K352" s="2">
        <f ca="1">IFERROR(__xludf.DUMMYFUNCTION("""COMPUTED_VALUE"""),-6499)</f>
        <v>-6499</v>
      </c>
      <c r="L352" s="2" t="str">
        <f ca="1">IFERROR(__xludf.DUMMYFUNCTION("""COMPUTED_VALUE"""),"21ebdd51")</f>
        <v>21ebdd51</v>
      </c>
      <c r="M352" s="2" t="str">
        <f ca="1">IFERROR(__xludf.DUMMYFUNCTION("""COMPUTED_VALUE"""),"Ajuste Arqueo 01-04-25")</f>
        <v>Ajuste Arqueo 01-04-25</v>
      </c>
      <c r="N352" s="2"/>
      <c r="O352" s="2" t="str">
        <f ca="1">IFERROR(__xludf.DUMMYFUNCTION("""COMPUTED_VALUE"""),"Descubada")</f>
        <v>Descubada</v>
      </c>
      <c r="P352" s="2" t="str">
        <f ca="1">IFERROR(__xludf.DUMMYFUNCTION("""COMPUTED_VALUE"""),"Descubada")</f>
        <v>Descubada</v>
      </c>
      <c r="Q352" s="2" t="b">
        <f ca="1">IFERROR(__xludf.DUMMYFUNCTION("""COMPUTED_VALUE"""),TRUE)</f>
        <v>1</v>
      </c>
      <c r="R352" s="2" t="str">
        <f ca="1">IFERROR(__xludf.DUMMYFUNCTION("""COMPUTED_VALUE"""),"Descubada")</f>
        <v>Descubada</v>
      </c>
      <c r="S352" s="2"/>
      <c r="T352" s="2"/>
      <c r="U352" s="2"/>
    </row>
    <row r="353" spans="1:21" x14ac:dyDescent="0.25">
      <c r="A353" s="2" t="str">
        <f ca="1">IFERROR(__xludf.DUMMYFUNCTION("""COMPUTED_VALUE"""),"2c86d3f9")</f>
        <v>2c86d3f9</v>
      </c>
      <c r="B353" s="3">
        <f ca="1">IFERROR(__xludf.DUMMYFUNCTION("""COMPUTED_VALUE"""),45752.6973842591)</f>
        <v>45752.697384259198</v>
      </c>
      <c r="C353" s="2" t="str">
        <f ca="1">IFERROR(__xludf.DUMMYFUNCTION("""COMPUTED_VALUE"""),"d3910498")</f>
        <v>d3910498</v>
      </c>
      <c r="D353" s="2">
        <f ca="1">IFERROR(__xludf.DUMMYFUNCTION("""COMPUTED_VALUE"""),116)</f>
        <v>116</v>
      </c>
      <c r="E353" s="2" t="str">
        <f ca="1">IFERROR(__xludf.DUMMYFUNCTION("""COMPUTED_VALUE"""),"Syrah")</f>
        <v>Syrah</v>
      </c>
      <c r="F353" s="2">
        <f ca="1">IFERROR(__xludf.DUMMYFUNCTION("""COMPUTED_VALUE"""),99600)</f>
        <v>99600</v>
      </c>
      <c r="G353" s="2">
        <f ca="1">IFERROR(__xludf.DUMMYFUNCTION("""COMPUTED_VALUE"""),26)</f>
        <v>26</v>
      </c>
      <c r="H353" s="2"/>
      <c r="I353" s="2"/>
      <c r="J353" s="2">
        <f ca="1">IFERROR(__xludf.DUMMYFUNCTION("""COMPUTED_VALUE"""),0)</f>
        <v>0</v>
      </c>
      <c r="K353" s="2">
        <f ca="1">IFERROR(__xludf.DUMMYFUNCTION("""COMPUTED_VALUE"""),99600)</f>
        <v>99600</v>
      </c>
      <c r="L353" s="2" t="str">
        <f ca="1">IFERROR(__xludf.DUMMYFUNCTION("""COMPUTED_VALUE"""),"ff099ae0")</f>
        <v>ff099ae0</v>
      </c>
      <c r="M353" s="2" t="str">
        <f ca="1">IFERROR(__xludf.DUMMYFUNCTION("""COMPUTED_VALUE"""),"Syrah")</f>
        <v>Syrah</v>
      </c>
      <c r="N353" s="2"/>
      <c r="O353" s="2" t="str">
        <f ca="1">IFERROR(__xludf.DUMMYFUNCTION("""COMPUTED_VALUE"""),"Descubada")</f>
        <v>Descubada</v>
      </c>
      <c r="P353" s="2"/>
      <c r="Q353" s="2" t="b">
        <f ca="1">IFERROR(__xludf.DUMMYFUNCTION("""COMPUTED_VALUE"""),FALSE)</f>
        <v>0</v>
      </c>
      <c r="R353" s="2" t="str">
        <f ca="1">IFERROR(__xludf.DUMMYFUNCTION("""COMPUTED_VALUE"""),"1er Trasiego")</f>
        <v>1er Trasiego</v>
      </c>
      <c r="S353" s="2"/>
      <c r="T353" s="2"/>
      <c r="U353" s="2"/>
    </row>
    <row r="354" spans="1:21" x14ac:dyDescent="0.25">
      <c r="A354" s="2" t="str">
        <f ca="1">IFERROR(__xludf.DUMMYFUNCTION("""COMPUTED_VALUE"""),"286ac581")</f>
        <v>286ac581</v>
      </c>
      <c r="B354" s="3">
        <f ca="1">IFERROR(__xludf.DUMMYFUNCTION("""COMPUTED_VALUE"""),45752.6979629629)</f>
        <v>45752.697962962899</v>
      </c>
      <c r="C354" s="2" t="str">
        <f ca="1">IFERROR(__xludf.DUMMYFUNCTION("""COMPUTED_VALUE"""),"03ffe0d5")</f>
        <v>03ffe0d5</v>
      </c>
      <c r="D354" s="2">
        <f ca="1">IFERROR(__xludf.DUMMYFUNCTION("""COMPUTED_VALUE"""),118)</f>
        <v>118</v>
      </c>
      <c r="E354" s="2" t="str">
        <f ca="1">IFERROR(__xludf.DUMMYFUNCTION("""COMPUTED_VALUE"""),"Syrah")</f>
        <v>Syrah</v>
      </c>
      <c r="F354" s="2">
        <f ca="1">IFERROR(__xludf.DUMMYFUNCTION("""COMPUTED_VALUE"""),108000)</f>
        <v>108000</v>
      </c>
      <c r="G354" s="2">
        <f ca="1">IFERROR(__xludf.DUMMYFUNCTION("""COMPUTED_VALUE"""),26)</f>
        <v>26</v>
      </c>
      <c r="H354" s="2" t="str">
        <f ca="1">IFERROR(__xludf.DUMMYFUNCTION("""COMPUTED_VALUE"""),"ff099ae0")</f>
        <v>ff099ae0</v>
      </c>
      <c r="I354" s="2" t="str">
        <f ca="1">IFERROR(__xludf.DUMMYFUNCTION("""COMPUTED_VALUE"""),"Syrah")</f>
        <v>Syrah</v>
      </c>
      <c r="J354" s="2">
        <f ca="1">IFERROR(__xludf.DUMMYFUNCTION("""COMPUTED_VALUE"""),99600)</f>
        <v>99600</v>
      </c>
      <c r="K354" s="2">
        <f ca="1">IFERROR(__xludf.DUMMYFUNCTION("""COMPUTED_VALUE"""),207600)</f>
        <v>207600</v>
      </c>
      <c r="L354" s="2" t="str">
        <f ca="1">IFERROR(__xludf.DUMMYFUNCTION("""COMPUTED_VALUE"""),"efada090")</f>
        <v>efada090</v>
      </c>
      <c r="M354" s="2" t="str">
        <f ca="1">IFERROR(__xludf.DUMMYFUNCTION("""COMPUTED_VALUE"""),"Syrah")</f>
        <v>Syrah</v>
      </c>
      <c r="N354" s="2"/>
      <c r="O354" s="2" t="str">
        <f ca="1">IFERROR(__xludf.DUMMYFUNCTION("""COMPUTED_VALUE"""),"Descubada")</f>
        <v>Descubada</v>
      </c>
      <c r="P354" s="2" t="str">
        <f ca="1">IFERROR(__xludf.DUMMYFUNCTION("""COMPUTED_VALUE"""),"1er Trasiego")</f>
        <v>1er Trasiego</v>
      </c>
      <c r="Q354" s="2" t="b">
        <f ca="1">IFERROR(__xludf.DUMMYFUNCTION("""COMPUTED_VALUE"""),TRUE)</f>
        <v>1</v>
      </c>
      <c r="R354" s="2" t="str">
        <f ca="1">IFERROR(__xludf.DUMMYFUNCTION("""COMPUTED_VALUE"""),"1er Trasiego")</f>
        <v>1er Trasiego</v>
      </c>
      <c r="S354" s="2"/>
      <c r="T354" s="2"/>
      <c r="U354" s="2"/>
    </row>
    <row r="355" spans="1:2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x14ac:dyDescent="0.25">
      <c r="A359" s="2" t="str">
        <f ca="1">IFERROR(__xludf.DUMMYFUNCTION("""COMPUTED_VALUE"""),"479daee5")</f>
        <v>479daee5</v>
      </c>
      <c r="B359" s="3">
        <f ca="1">IFERROR(__xludf.DUMMYFUNCTION("""COMPUTED_VALUE"""),45752.7025810185)</f>
        <v>45752.7025810185</v>
      </c>
      <c r="C359" s="2" t="str">
        <f ca="1">IFERROR(__xludf.DUMMYFUNCTION("""COMPUTED_VALUE"""),"241b642a")</f>
        <v>241b642a</v>
      </c>
      <c r="D359" s="2">
        <f ca="1">IFERROR(__xludf.DUMMYFUNCTION("""COMPUTED_VALUE"""),45)</f>
        <v>45</v>
      </c>
      <c r="E359" s="2" t="str">
        <f ca="1">IFERROR(__xludf.DUMMYFUNCTION("""COMPUTED_VALUE"""),"Bonarda 24 Rect")</f>
        <v>Bonarda 24 Rect</v>
      </c>
      <c r="F359" s="2">
        <f ca="1">IFERROR(__xludf.DUMMYFUNCTION("""COMPUTED_VALUE"""),8500)</f>
        <v>8500</v>
      </c>
      <c r="G359" s="2">
        <f ca="1">IFERROR(__xludf.DUMMYFUNCTION("""COMPUTED_VALUE"""),90)</f>
        <v>90</v>
      </c>
      <c r="H359" s="2" t="str">
        <f ca="1">IFERROR(__xludf.DUMMYFUNCTION("""COMPUTED_VALUE"""),"1bba563a")</f>
        <v>1bba563a</v>
      </c>
      <c r="I359" s="2" t="str">
        <f ca="1">IFERROR(__xludf.DUMMYFUNCTION("""COMPUTED_VALUE"""),"Bonarda")</f>
        <v>Bonarda</v>
      </c>
      <c r="J359" s="2">
        <f ca="1">IFERROR(__xludf.DUMMYFUNCTION("""COMPUTED_VALUE"""),57000)</f>
        <v>57000</v>
      </c>
      <c r="K359" s="2">
        <f ca="1">IFERROR(__xludf.DUMMYFUNCTION("""COMPUTED_VALUE"""),65500)</f>
        <v>65500</v>
      </c>
      <c r="L359" s="2" t="str">
        <f ca="1">IFERROR(__xludf.DUMMYFUNCTION("""COMPUTED_VALUE"""),"aafa35db")</f>
        <v>aafa35db</v>
      </c>
      <c r="M359" s="2" t="str">
        <f ca="1">IFERROR(__xludf.DUMMYFUNCTION("""COMPUTED_VALUE"""),"Bonarda")</f>
        <v>Bonarda</v>
      </c>
      <c r="N359" s="2" t="str">
        <f ca="1">IFERROR(__xludf.DUMMYFUNCTION("""COMPUTED_VALUE"""),"Agregado Rectificado")</f>
        <v>Agregado Rectificado</v>
      </c>
      <c r="O359" s="2" t="str">
        <f ca="1">IFERROR(__xludf.DUMMYFUNCTION("""COMPUTED_VALUE"""),"Rectificado")</f>
        <v>Rectificado</v>
      </c>
      <c r="P359" s="2" t="str">
        <f ca="1">IFERROR(__xludf.DUMMYFUNCTION("""COMPUTED_VALUE"""),"Fermentando")</f>
        <v>Fermentando</v>
      </c>
      <c r="Q359" s="2" t="b">
        <f ca="1">IFERROR(__xludf.DUMMYFUNCTION("""COMPUTED_VALUE"""),TRUE)</f>
        <v>1</v>
      </c>
      <c r="R359" s="2" t="str">
        <f ca="1">IFERROR(__xludf.DUMMYFUNCTION("""COMPUTED_VALUE"""),"Fermentando")</f>
        <v>Fermentando</v>
      </c>
      <c r="S359" s="2"/>
      <c r="T359" s="2"/>
      <c r="U359" s="2"/>
    </row>
    <row r="360" spans="1:21" x14ac:dyDescent="0.25">
      <c r="A360" s="2" t="str">
        <f ca="1">IFERROR(__xludf.DUMMYFUNCTION("""COMPUTED_VALUE"""),"3430bfb7")</f>
        <v>3430bfb7</v>
      </c>
      <c r="B360" s="3">
        <f ca="1">IFERROR(__xludf.DUMMYFUNCTION("""COMPUTED_VALUE"""),45752.7031712963)</f>
        <v>45752.7031712963</v>
      </c>
      <c r="C360" s="2" t="str">
        <f ca="1">IFERROR(__xludf.DUMMYFUNCTION("""COMPUTED_VALUE"""),"241b642a")</f>
        <v>241b642a</v>
      </c>
      <c r="D360" s="2">
        <f ca="1">IFERROR(__xludf.DUMMYFUNCTION("""COMPUTED_VALUE"""),45)</f>
        <v>45</v>
      </c>
      <c r="E360" s="2" t="str">
        <f ca="1">IFERROR(__xludf.DUMMYFUNCTION("""COMPUTED_VALUE"""),"Bonarda 24 Rect")</f>
        <v>Bonarda 24 Rect</v>
      </c>
      <c r="F360" s="2">
        <f ca="1">IFERROR(__xludf.DUMMYFUNCTION("""COMPUTED_VALUE"""),8500)</f>
        <v>8500</v>
      </c>
      <c r="G360" s="2">
        <f ca="1">IFERROR(__xludf.DUMMYFUNCTION("""COMPUTED_VALUE"""),86)</f>
        <v>86</v>
      </c>
      <c r="H360" s="2" t="str">
        <f ca="1">IFERROR(__xludf.DUMMYFUNCTION("""COMPUTED_VALUE"""),"89ea53f8")</f>
        <v>89ea53f8</v>
      </c>
      <c r="I360" s="2" t="str">
        <f ca="1">IFERROR(__xludf.DUMMYFUNCTION("""COMPUTED_VALUE"""),"Bonarda")</f>
        <v>Bonarda</v>
      </c>
      <c r="J360" s="2">
        <f ca="1">IFERROR(__xludf.DUMMYFUNCTION("""COMPUTED_VALUE"""),46000)</f>
        <v>46000</v>
      </c>
      <c r="K360" s="2">
        <f ca="1">IFERROR(__xludf.DUMMYFUNCTION("""COMPUTED_VALUE"""),54500)</f>
        <v>54500</v>
      </c>
      <c r="L360" s="2" t="str">
        <f ca="1">IFERROR(__xludf.DUMMYFUNCTION("""COMPUTED_VALUE"""),"97b5422c")</f>
        <v>97b5422c</v>
      </c>
      <c r="M360" s="2" t="str">
        <f ca="1">IFERROR(__xludf.DUMMYFUNCTION("""COMPUTED_VALUE"""),"Bonarda")</f>
        <v>Bonarda</v>
      </c>
      <c r="N360" s="2" t="str">
        <f ca="1">IFERROR(__xludf.DUMMYFUNCTION("""COMPUTED_VALUE"""),"Agregado REctificado")</f>
        <v>Agregado REctificado</v>
      </c>
      <c r="O360" s="2" t="str">
        <f ca="1">IFERROR(__xludf.DUMMYFUNCTION("""COMPUTED_VALUE"""),"Rectificado")</f>
        <v>Rectificado</v>
      </c>
      <c r="P360" s="2" t="str">
        <f ca="1">IFERROR(__xludf.DUMMYFUNCTION("""COMPUTED_VALUE"""),"Fermentando")</f>
        <v>Fermentando</v>
      </c>
      <c r="Q360" s="2" t="b">
        <f ca="1">IFERROR(__xludf.DUMMYFUNCTION("""COMPUTED_VALUE"""),TRUE)</f>
        <v>1</v>
      </c>
      <c r="R360" s="2" t="str">
        <f ca="1">IFERROR(__xludf.DUMMYFUNCTION("""COMPUTED_VALUE"""),"Fermentando")</f>
        <v>Fermentando</v>
      </c>
      <c r="S360" s="2"/>
      <c r="T360" s="2"/>
      <c r="U360" s="2"/>
    </row>
    <row r="361" spans="1:21" x14ac:dyDescent="0.25">
      <c r="A361" s="2" t="str">
        <f ca="1">IFERROR(__xludf.DUMMYFUNCTION("""COMPUTED_VALUE"""),"8717b9ad")</f>
        <v>8717b9ad</v>
      </c>
      <c r="B361" s="3">
        <f ca="1">IFERROR(__xludf.DUMMYFUNCTION("""COMPUTED_VALUE"""),45752.7037731481)</f>
        <v>45752.703773148103</v>
      </c>
      <c r="C361" s="2" t="str">
        <f ca="1">IFERROR(__xludf.DUMMYFUNCTION("""COMPUTED_VALUE"""),"30d0ce51")</f>
        <v>30d0ce51</v>
      </c>
      <c r="D361" s="2">
        <f ca="1">IFERROR(__xludf.DUMMYFUNCTION("""COMPUTED_VALUE"""),41)</f>
        <v>41</v>
      </c>
      <c r="E361" s="2" t="str">
        <f ca="1">IFERROR(__xludf.DUMMYFUNCTION("""COMPUTED_VALUE"""),"Cabernet Sauvignon Rect 24")</f>
        <v>Cabernet Sauvignon Rect 24</v>
      </c>
      <c r="F361" s="2">
        <f ca="1">IFERROR(__xludf.DUMMYFUNCTION("""COMPUTED_VALUE"""),9000)</f>
        <v>9000</v>
      </c>
      <c r="G361" s="2">
        <f ca="1">IFERROR(__xludf.DUMMYFUNCTION("""COMPUTED_VALUE"""),87)</f>
        <v>87</v>
      </c>
      <c r="H361" s="2" t="str">
        <f ca="1">IFERROR(__xludf.DUMMYFUNCTION("""COMPUTED_VALUE"""),"0d6140dc")</f>
        <v>0d6140dc</v>
      </c>
      <c r="I361" s="2" t="str">
        <f ca="1">IFERROR(__xludf.DUMMYFUNCTION("""COMPUTED_VALUE"""),"Cabernet Sauv Mec")</f>
        <v>Cabernet Sauv Mec</v>
      </c>
      <c r="J361" s="2">
        <f ca="1">IFERROR(__xludf.DUMMYFUNCTION("""COMPUTED_VALUE"""),40200)</f>
        <v>40200</v>
      </c>
      <c r="K361" s="2">
        <f ca="1">IFERROR(__xludf.DUMMYFUNCTION("""COMPUTED_VALUE"""),49200)</f>
        <v>49200</v>
      </c>
      <c r="L361" s="2" t="str">
        <f ca="1">IFERROR(__xludf.DUMMYFUNCTION("""COMPUTED_VALUE"""),"b8ea839c")</f>
        <v>b8ea839c</v>
      </c>
      <c r="M361" s="2" t="str">
        <f ca="1">IFERROR(__xludf.DUMMYFUNCTION("""COMPUTED_VALUE"""),"Cabernet Sauv Mec")</f>
        <v>Cabernet Sauv Mec</v>
      </c>
      <c r="N361" s="2"/>
      <c r="O361" s="2" t="str">
        <f ca="1">IFERROR(__xludf.DUMMYFUNCTION("""COMPUTED_VALUE"""),"Rectificado")</f>
        <v>Rectificado</v>
      </c>
      <c r="P361" s="2" t="str">
        <f ca="1">IFERROR(__xludf.DUMMYFUNCTION("""COMPUTED_VALUE"""),"Fermentando")</f>
        <v>Fermentando</v>
      </c>
      <c r="Q361" s="2" t="b">
        <f ca="1">IFERROR(__xludf.DUMMYFUNCTION("""COMPUTED_VALUE"""),TRUE)</f>
        <v>1</v>
      </c>
      <c r="R361" s="2" t="str">
        <f ca="1">IFERROR(__xludf.DUMMYFUNCTION("""COMPUTED_VALUE"""),"Fermentando")</f>
        <v>Fermentando</v>
      </c>
      <c r="S361" s="2"/>
      <c r="T361" s="2"/>
      <c r="U361" s="2"/>
    </row>
    <row r="362" spans="1:21" x14ac:dyDescent="0.25">
      <c r="A362" s="2" t="str">
        <f ca="1">IFERROR(__xludf.DUMMYFUNCTION("""COMPUTED_VALUE"""),"11a72bbd")</f>
        <v>11a72bbd</v>
      </c>
      <c r="B362" s="3">
        <f ca="1">IFERROR(__xludf.DUMMYFUNCTION("""COMPUTED_VALUE"""),45752.7041666666)</f>
        <v>45752.704166666597</v>
      </c>
      <c r="C362" s="2" t="str">
        <f ca="1">IFERROR(__xludf.DUMMYFUNCTION("""COMPUTED_VALUE"""),"30d0ce51")</f>
        <v>30d0ce51</v>
      </c>
      <c r="D362" s="2">
        <f ca="1">IFERROR(__xludf.DUMMYFUNCTION("""COMPUTED_VALUE"""),41)</f>
        <v>41</v>
      </c>
      <c r="E362" s="2" t="str">
        <f ca="1">IFERROR(__xludf.DUMMYFUNCTION("""COMPUTED_VALUE"""),"Cabernet Sauvignon Rect 24")</f>
        <v>Cabernet Sauvignon Rect 24</v>
      </c>
      <c r="F362" s="2">
        <f ca="1">IFERROR(__xludf.DUMMYFUNCTION("""COMPUTED_VALUE"""),3600)</f>
        <v>3600</v>
      </c>
      <c r="G362" s="2">
        <f ca="1">IFERROR(__xludf.DUMMYFUNCTION("""COMPUTED_VALUE"""),80)</f>
        <v>80</v>
      </c>
      <c r="H362" s="2" t="str">
        <f ca="1">IFERROR(__xludf.DUMMYFUNCTION("""COMPUTED_VALUE"""),"b7223c27")</f>
        <v>b7223c27</v>
      </c>
      <c r="I362" s="2" t="str">
        <f ca="1">IFERROR(__xludf.DUMMYFUNCTION("""COMPUTED_VALUE"""),"Malbec")</f>
        <v>Malbec</v>
      </c>
      <c r="J362" s="2">
        <f ca="1">IFERROR(__xludf.DUMMYFUNCTION("""COMPUTED_VALUE"""),14200)</f>
        <v>14200</v>
      </c>
      <c r="K362" s="2">
        <f ca="1">IFERROR(__xludf.DUMMYFUNCTION("""COMPUTED_VALUE"""),17800)</f>
        <v>17800</v>
      </c>
      <c r="L362" s="2" t="str">
        <f ca="1">IFERROR(__xludf.DUMMYFUNCTION("""COMPUTED_VALUE"""),"1b8cfd3f")</f>
        <v>1b8cfd3f</v>
      </c>
      <c r="M362" s="2" t="str">
        <f ca="1">IFERROR(__xludf.DUMMYFUNCTION("""COMPUTED_VALUE"""),"Malbec")</f>
        <v>Malbec</v>
      </c>
      <c r="N362" s="2" t="str">
        <f ca="1">IFERROR(__xludf.DUMMYFUNCTION("""COMPUTED_VALUE"""),"Agregado REctificado")</f>
        <v>Agregado REctificado</v>
      </c>
      <c r="O362" s="2" t="str">
        <f ca="1">IFERROR(__xludf.DUMMYFUNCTION("""COMPUTED_VALUE"""),"Rectificado")</f>
        <v>Rectificado</v>
      </c>
      <c r="P362" s="2" t="str">
        <f ca="1">IFERROR(__xludf.DUMMYFUNCTION("""COMPUTED_VALUE"""),"Fermentando")</f>
        <v>Fermentando</v>
      </c>
      <c r="Q362" s="2" t="b">
        <f ca="1">IFERROR(__xludf.DUMMYFUNCTION("""COMPUTED_VALUE"""),TRUE)</f>
        <v>1</v>
      </c>
      <c r="R362" s="2" t="str">
        <f ca="1">IFERROR(__xludf.DUMMYFUNCTION("""COMPUTED_VALUE"""),"Fermentando")</f>
        <v>Fermentando</v>
      </c>
      <c r="S362" s="2"/>
      <c r="T362" s="2"/>
      <c r="U362" s="2"/>
    </row>
    <row r="363" spans="1:21" x14ac:dyDescent="0.25">
      <c r="A363" s="2" t="str">
        <f ca="1">IFERROR(__xludf.DUMMYFUNCTION("""COMPUTED_VALUE"""),"b2c52506")</f>
        <v>b2c52506</v>
      </c>
      <c r="B363" s="3">
        <f ca="1">IFERROR(__xludf.DUMMYFUNCTION("""COMPUTED_VALUE"""),45752.7051273148)</f>
        <v>45752.705127314803</v>
      </c>
      <c r="C363" s="2" t="str">
        <f ca="1">IFERROR(__xludf.DUMMYFUNCTION("""COMPUTED_VALUE"""),"241b642a")</f>
        <v>241b642a</v>
      </c>
      <c r="D363" s="2">
        <f ca="1">IFERROR(__xludf.DUMMYFUNCTION("""COMPUTED_VALUE"""),45)</f>
        <v>45</v>
      </c>
      <c r="E363" s="2" t="str">
        <f ca="1">IFERROR(__xludf.DUMMYFUNCTION("""COMPUTED_VALUE"""),"Bonarda 24 Rect")</f>
        <v>Bonarda 24 Rect</v>
      </c>
      <c r="F363" s="2">
        <f ca="1">IFERROR(__xludf.DUMMYFUNCTION("""COMPUTED_VALUE"""),6800)</f>
        <v>6800</v>
      </c>
      <c r="G363" s="2">
        <f ca="1">IFERROR(__xludf.DUMMYFUNCTION("""COMPUTED_VALUE"""),83)</f>
        <v>83</v>
      </c>
      <c r="H363" s="2" t="str">
        <f ca="1">IFERROR(__xludf.DUMMYFUNCTION("""COMPUTED_VALUE"""),"becb2c75")</f>
        <v>becb2c75</v>
      </c>
      <c r="I363" s="2" t="str">
        <f ca="1">IFERROR(__xludf.DUMMYFUNCTION("""COMPUTED_VALUE"""),"Bonarda")</f>
        <v>Bonarda</v>
      </c>
      <c r="J363" s="2">
        <f ca="1">IFERROR(__xludf.DUMMYFUNCTION("""COMPUTED_VALUE"""),44500)</f>
        <v>44500</v>
      </c>
      <c r="K363" s="2">
        <f ca="1">IFERROR(__xludf.DUMMYFUNCTION("""COMPUTED_VALUE"""),51300)</f>
        <v>51300</v>
      </c>
      <c r="L363" s="2" t="str">
        <f ca="1">IFERROR(__xludf.DUMMYFUNCTION("""COMPUTED_VALUE"""),"e8ae99cd")</f>
        <v>e8ae99cd</v>
      </c>
      <c r="M363" s="2" t="str">
        <f ca="1">IFERROR(__xludf.DUMMYFUNCTION("""COMPUTED_VALUE"""),"Bonarda")</f>
        <v>Bonarda</v>
      </c>
      <c r="N363" s="2" t="str">
        <f ca="1">IFERROR(__xludf.DUMMYFUNCTION("""COMPUTED_VALUE"""),"Agregado de Rectificado")</f>
        <v>Agregado de Rectificado</v>
      </c>
      <c r="O363" s="2" t="str">
        <f ca="1">IFERROR(__xludf.DUMMYFUNCTION("""COMPUTED_VALUE"""),"Rectificado")</f>
        <v>Rectificado</v>
      </c>
      <c r="P363" s="2" t="str">
        <f ca="1">IFERROR(__xludf.DUMMYFUNCTION("""COMPUTED_VALUE"""),"Fermentando")</f>
        <v>Fermentando</v>
      </c>
      <c r="Q363" s="2" t="b">
        <f ca="1">IFERROR(__xludf.DUMMYFUNCTION("""COMPUTED_VALUE"""),TRUE)</f>
        <v>1</v>
      </c>
      <c r="R363" s="2" t="str">
        <f ca="1">IFERROR(__xludf.DUMMYFUNCTION("""COMPUTED_VALUE"""),"Fermentando")</f>
        <v>Fermentando</v>
      </c>
      <c r="S363" s="2"/>
      <c r="T363" s="2"/>
      <c r="U363" s="2"/>
    </row>
    <row r="364" spans="1:21" x14ac:dyDescent="0.25">
      <c r="A364" s="2" t="str">
        <f ca="1">IFERROR(__xludf.DUMMYFUNCTION("""COMPUTED_VALUE"""),"148db8ee")</f>
        <v>148db8ee</v>
      </c>
      <c r="B364" s="3">
        <f ca="1">IFERROR(__xludf.DUMMYFUNCTION("""COMPUTED_VALUE"""),45754.8422800925)</f>
        <v>45754.842280092496</v>
      </c>
      <c r="C364" s="2" t="str">
        <f ca="1">IFERROR(__xludf.DUMMYFUNCTION("""COMPUTED_VALUE"""),"37179342")</f>
        <v>37179342</v>
      </c>
      <c r="D364" s="2">
        <f ca="1">IFERROR(__xludf.DUMMYFUNCTION("""COMPUTED_VALUE"""),24)</f>
        <v>24</v>
      </c>
      <c r="E364" s="2" t="str">
        <f ca="1">IFERROR(__xludf.DUMMYFUNCTION("""COMPUTED_VALUE"""),"Bonarda C2")</f>
        <v>Bonarda C2</v>
      </c>
      <c r="F364" s="2">
        <f ca="1">IFERROR(__xludf.DUMMYFUNCTION("""COMPUTED_VALUE"""),10000)</f>
        <v>10000</v>
      </c>
      <c r="G364" s="2">
        <f ca="1">IFERROR(__xludf.DUMMYFUNCTION("""COMPUTED_VALUE"""),500)</f>
        <v>500</v>
      </c>
      <c r="H364" s="2" t="str">
        <f ca="1">IFERROR(__xludf.DUMMYFUNCTION("""COMPUTED_VALUE"""),"d5b5bf9c")</f>
        <v>d5b5bf9c</v>
      </c>
      <c r="I364" s="2" t="str">
        <f ca="1">IFERROR(__xludf.DUMMYFUNCTION("""COMPUTED_VALUE"""),"Ajuste Arqueo Bodega 7/04/25")</f>
        <v>Ajuste Arqueo Bodega 7/04/25</v>
      </c>
      <c r="J364" s="2">
        <f ca="1">IFERROR(__xludf.DUMMYFUNCTION("""COMPUTED_VALUE"""),1)</f>
        <v>1</v>
      </c>
      <c r="K364" s="2">
        <f ca="1">IFERROR(__xludf.DUMMYFUNCTION("""COMPUTED_VALUE"""),10001)</f>
        <v>10001</v>
      </c>
      <c r="L364" s="2" t="str">
        <f ca="1">IFERROR(__xludf.DUMMYFUNCTION("""COMPUTED_VALUE"""),"1c76e910")</f>
        <v>1c76e910</v>
      </c>
      <c r="M364" s="2" t="str">
        <f ca="1">IFERROR(__xludf.DUMMYFUNCTION("""COMPUTED_VALUE"""),"Ajuste Arqueo Bodega 7/04/25")</f>
        <v>Ajuste Arqueo Bodega 7/04/25</v>
      </c>
      <c r="N364" s="2"/>
      <c r="O364" s="2" t="str">
        <f ca="1">IFERROR(__xludf.DUMMYFUNCTION("""COMPUTED_VALUE"""),"1er Trasiego")</f>
        <v>1er Trasiego</v>
      </c>
      <c r="P364" s="2"/>
      <c r="Q364" s="2" t="b">
        <f ca="1">IFERROR(__xludf.DUMMYFUNCTION("""COMPUTED_VALUE"""),TRUE)</f>
        <v>1</v>
      </c>
      <c r="R364" s="2"/>
      <c r="S364" s="2"/>
      <c r="T364" s="2"/>
      <c r="U364" s="2"/>
    </row>
    <row r="365" spans="1:21" x14ac:dyDescent="0.25">
      <c r="A365" s="2" t="str">
        <f ca="1">IFERROR(__xludf.DUMMYFUNCTION("""COMPUTED_VALUE"""),"e04f70d9")</f>
        <v>e04f70d9</v>
      </c>
      <c r="B365" s="3">
        <f ca="1">IFERROR(__xludf.DUMMYFUNCTION("""COMPUTED_VALUE"""),45754.8437384259)</f>
        <v>45754.843738425901</v>
      </c>
      <c r="C365" s="2" t="str">
        <f ca="1">IFERROR(__xludf.DUMMYFUNCTION("""COMPUTED_VALUE"""),"7b6b2c2a")</f>
        <v>7b6b2c2a</v>
      </c>
      <c r="D365" s="2">
        <f ca="1">IFERROR(__xludf.DUMMYFUNCTION("""COMPUTED_VALUE"""),34)</f>
        <v>34</v>
      </c>
      <c r="E365" s="2" t="str">
        <f ca="1">IFERROR(__xludf.DUMMYFUNCTION("""COMPUTED_VALUE"""),"Bonarda")</f>
        <v>Bonarda</v>
      </c>
      <c r="F365" s="2">
        <f ca="1">IFERROR(__xludf.DUMMYFUNCTION("""COMPUTED_VALUE"""),1350)</f>
        <v>1350</v>
      </c>
      <c r="G365" s="2">
        <f ca="1">IFERROR(__xludf.DUMMYFUNCTION("""COMPUTED_VALUE"""),500)</f>
        <v>500</v>
      </c>
      <c r="H365" s="2" t="str">
        <f ca="1">IFERROR(__xludf.DUMMYFUNCTION("""COMPUTED_VALUE"""),"1c76e910")</f>
        <v>1c76e910</v>
      </c>
      <c r="I365" s="2" t="str">
        <f ca="1">IFERROR(__xludf.DUMMYFUNCTION("""COMPUTED_VALUE"""),"Ajuste Arqueo Bodega 7/04/25")</f>
        <v>Ajuste Arqueo Bodega 7/04/25</v>
      </c>
      <c r="J365" s="2">
        <f ca="1">IFERROR(__xludf.DUMMYFUNCTION("""COMPUTED_VALUE"""),10001)</f>
        <v>10001</v>
      </c>
      <c r="K365" s="2">
        <f ca="1">IFERROR(__xludf.DUMMYFUNCTION("""COMPUTED_VALUE"""),11351)</f>
        <v>11351</v>
      </c>
      <c r="L365" s="2" t="str">
        <f ca="1">IFERROR(__xludf.DUMMYFUNCTION("""COMPUTED_VALUE"""),"62e15cd1")</f>
        <v>62e15cd1</v>
      </c>
      <c r="M365" s="2" t="str">
        <f ca="1">IFERROR(__xludf.DUMMYFUNCTION("""COMPUTED_VALUE"""),"Ajuste Arqueo Bodega 7/04/25")</f>
        <v>Ajuste Arqueo Bodega 7/04/25</v>
      </c>
      <c r="N365" s="2"/>
      <c r="O365" s="2" t="str">
        <f ca="1">IFERROR(__xludf.DUMMYFUNCTION("""COMPUTED_VALUE"""),"Descubada")</f>
        <v>Descubada</v>
      </c>
      <c r="P365" s="2"/>
      <c r="Q365" s="2" t="b">
        <f ca="1">IFERROR(__xludf.DUMMYFUNCTION("""COMPUTED_VALUE"""),TRUE)</f>
        <v>1</v>
      </c>
      <c r="R365" s="2"/>
      <c r="S365" s="2"/>
      <c r="T365" s="2"/>
      <c r="U365" s="2"/>
    </row>
    <row r="366" spans="1:21" x14ac:dyDescent="0.25">
      <c r="A366" s="2" t="str">
        <f ca="1">IFERROR(__xludf.DUMMYFUNCTION("""COMPUTED_VALUE"""),"18eef5e0")</f>
        <v>18eef5e0</v>
      </c>
      <c r="B366" s="3">
        <f ca="1">IFERROR(__xludf.DUMMYFUNCTION("""COMPUTED_VALUE"""),45754.8443055555)</f>
        <v>45754.844305555504</v>
      </c>
      <c r="C366" s="2" t="str">
        <f ca="1">IFERROR(__xludf.DUMMYFUNCTION("""COMPUTED_VALUE"""),"c750a1d2")</f>
        <v>c750a1d2</v>
      </c>
      <c r="D366" s="2">
        <f ca="1">IFERROR(__xludf.DUMMYFUNCTION("""COMPUTED_VALUE"""),52)</f>
        <v>52</v>
      </c>
      <c r="E366" s="2" t="str">
        <f ca="1">IFERROR(__xludf.DUMMYFUNCTION("""COMPUTED_VALUE"""),"Bonarda")</f>
        <v>Bonarda</v>
      </c>
      <c r="F366" s="2">
        <f ca="1">IFERROR(__xludf.DUMMYFUNCTION("""COMPUTED_VALUE"""),3000)</f>
        <v>3000</v>
      </c>
      <c r="G366" s="2">
        <f ca="1">IFERROR(__xludf.DUMMYFUNCTION("""COMPUTED_VALUE"""),500)</f>
        <v>500</v>
      </c>
      <c r="H366" s="2" t="str">
        <f ca="1">IFERROR(__xludf.DUMMYFUNCTION("""COMPUTED_VALUE"""),"62e15cd1")</f>
        <v>62e15cd1</v>
      </c>
      <c r="I366" s="2" t="str">
        <f ca="1">IFERROR(__xludf.DUMMYFUNCTION("""COMPUTED_VALUE"""),"Ajuste Arqueo Bodega 7/04/25")</f>
        <v>Ajuste Arqueo Bodega 7/04/25</v>
      </c>
      <c r="J366" s="2">
        <f ca="1">IFERROR(__xludf.DUMMYFUNCTION("""COMPUTED_VALUE"""),11351)</f>
        <v>11351</v>
      </c>
      <c r="K366" s="2">
        <f ca="1">IFERROR(__xludf.DUMMYFUNCTION("""COMPUTED_VALUE"""),14351)</f>
        <v>14351</v>
      </c>
      <c r="L366" s="2" t="str">
        <f ca="1">IFERROR(__xludf.DUMMYFUNCTION("""COMPUTED_VALUE"""),"a3fbf6d9")</f>
        <v>a3fbf6d9</v>
      </c>
      <c r="M366" s="2" t="str">
        <f ca="1">IFERROR(__xludf.DUMMYFUNCTION("""COMPUTED_VALUE"""),"Ajuste Arqueo Bodega 7/04/25")</f>
        <v>Ajuste Arqueo Bodega 7/04/25</v>
      </c>
      <c r="N366" s="2"/>
      <c r="O366" s="2" t="str">
        <f ca="1">IFERROR(__xludf.DUMMYFUNCTION("""COMPUTED_VALUE"""),"Descubada")</f>
        <v>Descubada</v>
      </c>
      <c r="P366" s="2"/>
      <c r="Q366" s="2" t="b">
        <f ca="1">IFERROR(__xludf.DUMMYFUNCTION("""COMPUTED_VALUE"""),TRUE)</f>
        <v>1</v>
      </c>
      <c r="R366" s="2"/>
      <c r="S366" s="2"/>
      <c r="T366" s="2"/>
      <c r="U366" s="2"/>
    </row>
    <row r="367" spans="1:21" x14ac:dyDescent="0.25">
      <c r="A367" s="2" t="str">
        <f ca="1">IFERROR(__xludf.DUMMYFUNCTION("""COMPUTED_VALUE"""),"9fe960c1")</f>
        <v>9fe960c1</v>
      </c>
      <c r="B367" s="3">
        <f ca="1">IFERROR(__xludf.DUMMYFUNCTION("""COMPUTED_VALUE"""),45754.8476504629)</f>
        <v>45754.8476504629</v>
      </c>
      <c r="C367" s="2" t="str">
        <f ca="1">IFERROR(__xludf.DUMMYFUNCTION("""COMPUTED_VALUE"""),"b8ea839c")</f>
        <v>b8ea839c</v>
      </c>
      <c r="D367" s="2">
        <f ca="1">IFERROR(__xludf.DUMMYFUNCTION("""COMPUTED_VALUE"""),87)</f>
        <v>87</v>
      </c>
      <c r="E367" s="2" t="str">
        <f ca="1">IFERROR(__xludf.DUMMYFUNCTION("""COMPUTED_VALUE"""),"Cabernet Sauv Mec")</f>
        <v>Cabernet Sauv Mec</v>
      </c>
      <c r="F367" s="2">
        <f ca="1">IFERROR(__xludf.DUMMYFUNCTION("""COMPUTED_VALUE"""),-6800)</f>
        <v>-6800</v>
      </c>
      <c r="G367" s="2">
        <f ca="1">IFERROR(__xludf.DUMMYFUNCTION("""COMPUTED_VALUE"""),500)</f>
        <v>500</v>
      </c>
      <c r="H367" s="2" t="str">
        <f ca="1">IFERROR(__xludf.DUMMYFUNCTION("""COMPUTED_VALUE"""),"a3fbf6d9")</f>
        <v>a3fbf6d9</v>
      </c>
      <c r="I367" s="2" t="str">
        <f ca="1">IFERROR(__xludf.DUMMYFUNCTION("""COMPUTED_VALUE"""),"Ajuste Arqueo Bodega 7/04/25")</f>
        <v>Ajuste Arqueo Bodega 7/04/25</v>
      </c>
      <c r="J367" s="2">
        <f ca="1">IFERROR(__xludf.DUMMYFUNCTION("""COMPUTED_VALUE"""),14351)</f>
        <v>14351</v>
      </c>
      <c r="K367" s="2">
        <f ca="1">IFERROR(__xludf.DUMMYFUNCTION("""COMPUTED_VALUE"""),7551)</f>
        <v>7551</v>
      </c>
      <c r="L367" s="2" t="str">
        <f ca="1">IFERROR(__xludf.DUMMYFUNCTION("""COMPUTED_VALUE"""),"90288eca")</f>
        <v>90288eca</v>
      </c>
      <c r="M367" s="2" t="str">
        <f ca="1">IFERROR(__xludf.DUMMYFUNCTION("""COMPUTED_VALUE"""),"Ajuste Arqueo Bodega 7/04/25")</f>
        <v>Ajuste Arqueo Bodega 7/04/25</v>
      </c>
      <c r="N367" s="2"/>
      <c r="O367" s="2" t="str">
        <f ca="1">IFERROR(__xludf.DUMMYFUNCTION("""COMPUTED_VALUE"""),"Fermentando")</f>
        <v>Fermentando</v>
      </c>
      <c r="P367" s="2"/>
      <c r="Q367" s="2" t="b">
        <f ca="1">IFERROR(__xludf.DUMMYFUNCTION("""COMPUTED_VALUE"""),TRUE)</f>
        <v>1</v>
      </c>
      <c r="R367" s="2"/>
      <c r="S367" s="2"/>
      <c r="T367" s="2"/>
      <c r="U367" s="2"/>
    </row>
    <row r="368" spans="1:21" x14ac:dyDescent="0.25">
      <c r="A368" s="2" t="str">
        <f ca="1">IFERROR(__xludf.DUMMYFUNCTION("""COMPUTED_VALUE"""),"2abdf478")</f>
        <v>2abdf478</v>
      </c>
      <c r="B368" s="3">
        <f ca="1">IFERROR(__xludf.DUMMYFUNCTION("""COMPUTED_VALUE"""),45754.8533912037)</f>
        <v>45754.853391203702</v>
      </c>
      <c r="C368" s="2" t="str">
        <f ca="1">IFERROR(__xludf.DUMMYFUNCTION("""COMPUTED_VALUE"""),"81ccb7ca")</f>
        <v>81ccb7ca</v>
      </c>
      <c r="D368" s="2">
        <f ca="1">IFERROR(__xludf.DUMMYFUNCTION("""COMPUTED_VALUE"""),935)</f>
        <v>935</v>
      </c>
      <c r="E368" s="2" t="str">
        <f ca="1">IFERROR(__xludf.DUMMYFUNCTION("""COMPUTED_VALUE"""),"Borra")</f>
        <v>Borra</v>
      </c>
      <c r="F368" s="2">
        <f ca="1">IFERROR(__xludf.DUMMYFUNCTION("""COMPUTED_VALUE"""),-3000)</f>
        <v>-3000</v>
      </c>
      <c r="G368" s="2">
        <f ca="1">IFERROR(__xludf.DUMMYFUNCTION("""COMPUTED_VALUE"""),500)</f>
        <v>500</v>
      </c>
      <c r="H368" s="2" t="str">
        <f ca="1">IFERROR(__xludf.DUMMYFUNCTION("""COMPUTED_VALUE"""),"90288eca")</f>
        <v>90288eca</v>
      </c>
      <c r="I368" s="2" t="str">
        <f ca="1">IFERROR(__xludf.DUMMYFUNCTION("""COMPUTED_VALUE"""),"Ajuste Arqueo Bodega 7/04/25")</f>
        <v>Ajuste Arqueo Bodega 7/04/25</v>
      </c>
      <c r="J368" s="2">
        <f ca="1">IFERROR(__xludf.DUMMYFUNCTION("""COMPUTED_VALUE"""),7551)</f>
        <v>7551</v>
      </c>
      <c r="K368" s="2">
        <f ca="1">IFERROR(__xludf.DUMMYFUNCTION("""COMPUTED_VALUE"""),4551)</f>
        <v>4551</v>
      </c>
      <c r="L368" s="2" t="str">
        <f ca="1">IFERROR(__xludf.DUMMYFUNCTION("""COMPUTED_VALUE"""),"371f5731")</f>
        <v>371f5731</v>
      </c>
      <c r="M368" s="2" t="str">
        <f ca="1">IFERROR(__xludf.DUMMYFUNCTION("""COMPUTED_VALUE"""),"Ajuste Arqueo Bodega 7/04/25")</f>
        <v>Ajuste Arqueo Bodega 7/04/25</v>
      </c>
      <c r="N368" s="2"/>
      <c r="O368" s="2" t="str">
        <f ca="1">IFERROR(__xludf.DUMMYFUNCTION("""COMPUTED_VALUE"""),"Descubada")</f>
        <v>Descubada</v>
      </c>
      <c r="P368" s="2"/>
      <c r="Q368" s="2" t="b">
        <f ca="1">IFERROR(__xludf.DUMMYFUNCTION("""COMPUTED_VALUE"""),TRUE)</f>
        <v>1</v>
      </c>
      <c r="R368" s="2"/>
      <c r="S368" s="2"/>
      <c r="T368" s="2"/>
      <c r="U368" s="2"/>
    </row>
    <row r="369" spans="1:21" x14ac:dyDescent="0.25">
      <c r="A369" s="2" t="str">
        <f ca="1">IFERROR(__xludf.DUMMYFUNCTION("""COMPUTED_VALUE"""),"a1aef05c")</f>
        <v>a1aef05c</v>
      </c>
      <c r="B369" s="3">
        <f ca="1">IFERROR(__xludf.DUMMYFUNCTION("""COMPUTED_VALUE"""),45754.8537731481)</f>
        <v>45754.853773148097</v>
      </c>
      <c r="C369" s="2" t="str">
        <f ca="1">IFERROR(__xludf.DUMMYFUNCTION("""COMPUTED_VALUE"""),"a4cd80cd")</f>
        <v>a4cd80cd</v>
      </c>
      <c r="D369" s="2">
        <f ca="1">IFERROR(__xludf.DUMMYFUNCTION("""COMPUTED_VALUE"""),94)</f>
        <v>94</v>
      </c>
      <c r="E369" s="2" t="str">
        <f ca="1">IFERROR(__xludf.DUMMYFUNCTION("""COMPUTED_VALUE"""),"Borra")</f>
        <v>Borra</v>
      </c>
      <c r="F369" s="2">
        <f ca="1">IFERROR(__xludf.DUMMYFUNCTION("""COMPUTED_VALUE"""),-2000)</f>
        <v>-2000</v>
      </c>
      <c r="G369" s="2">
        <f ca="1">IFERROR(__xludf.DUMMYFUNCTION("""COMPUTED_VALUE"""),500)</f>
        <v>500</v>
      </c>
      <c r="H369" s="2" t="str">
        <f ca="1">IFERROR(__xludf.DUMMYFUNCTION("""COMPUTED_VALUE"""),"371f5731")</f>
        <v>371f5731</v>
      </c>
      <c r="I369" s="2" t="str">
        <f ca="1">IFERROR(__xludf.DUMMYFUNCTION("""COMPUTED_VALUE"""),"Ajuste Arqueo Bodega 7/04/25")</f>
        <v>Ajuste Arqueo Bodega 7/04/25</v>
      </c>
      <c r="J369" s="2">
        <f ca="1">IFERROR(__xludf.DUMMYFUNCTION("""COMPUTED_VALUE"""),4551)</f>
        <v>4551</v>
      </c>
      <c r="K369" s="2">
        <f ca="1">IFERROR(__xludf.DUMMYFUNCTION("""COMPUTED_VALUE"""),2551)</f>
        <v>2551</v>
      </c>
      <c r="L369" s="2" t="str">
        <f ca="1">IFERROR(__xludf.DUMMYFUNCTION("""COMPUTED_VALUE"""),"da6946d0")</f>
        <v>da6946d0</v>
      </c>
      <c r="M369" s="2" t="str">
        <f ca="1">IFERROR(__xludf.DUMMYFUNCTION("""COMPUTED_VALUE"""),"Ajuste Arqueo Bodega 7/04/25")</f>
        <v>Ajuste Arqueo Bodega 7/04/25</v>
      </c>
      <c r="N369" s="2"/>
      <c r="O369" s="2" t="str">
        <f ca="1">IFERROR(__xludf.DUMMYFUNCTION("""COMPUTED_VALUE"""),"Descubada")</f>
        <v>Descubada</v>
      </c>
      <c r="P369" s="2"/>
      <c r="Q369" s="2" t="b">
        <f ca="1">IFERROR(__xludf.DUMMYFUNCTION("""COMPUTED_VALUE"""),TRUE)</f>
        <v>1</v>
      </c>
      <c r="R369" s="2"/>
      <c r="S369" s="2"/>
      <c r="T369" s="2"/>
      <c r="U369" s="2"/>
    </row>
    <row r="370" spans="1:21" x14ac:dyDescent="0.25">
      <c r="A370" s="2" t="str">
        <f ca="1">IFERROR(__xludf.DUMMYFUNCTION("""COMPUTED_VALUE"""),"0b7877a0")</f>
        <v>0b7877a0</v>
      </c>
      <c r="B370" s="3">
        <f ca="1">IFERROR(__xludf.DUMMYFUNCTION("""COMPUTED_VALUE"""),45755.475474537)</f>
        <v>45755.475474537001</v>
      </c>
      <c r="C370" s="2" t="str">
        <f ca="1">IFERROR(__xludf.DUMMYFUNCTION("""COMPUTED_VALUE"""),"6d3395c8")</f>
        <v>6d3395c8</v>
      </c>
      <c r="D370" s="2">
        <f ca="1">IFERROR(__xludf.DUMMYFUNCTION("""COMPUTED_VALUE"""),85)</f>
        <v>85</v>
      </c>
      <c r="E370" s="2" t="str">
        <f ca="1">IFERROR(__xludf.DUMMYFUNCTION("""COMPUTED_VALUE"""),"Malbec Bonarda")</f>
        <v>Malbec Bonarda</v>
      </c>
      <c r="F370" s="2">
        <f ca="1">IFERROR(__xludf.DUMMYFUNCTION("""COMPUTED_VALUE"""),28000)</f>
        <v>28000</v>
      </c>
      <c r="G370" s="2">
        <f ca="1">IFERROR(__xludf.DUMMYFUNCTION("""COMPUTED_VALUE"""),105)</f>
        <v>105</v>
      </c>
      <c r="H370" s="2"/>
      <c r="I370" s="2"/>
      <c r="J370" s="2">
        <f ca="1">IFERROR(__xludf.DUMMYFUNCTION("""COMPUTED_VALUE"""),0)</f>
        <v>0</v>
      </c>
      <c r="K370" s="2">
        <f ca="1">IFERROR(__xludf.DUMMYFUNCTION("""COMPUTED_VALUE"""),28000)</f>
        <v>28000</v>
      </c>
      <c r="L370" s="2" t="str">
        <f ca="1">IFERROR(__xludf.DUMMYFUNCTION("""COMPUTED_VALUE"""),"e33f8556")</f>
        <v>e33f8556</v>
      </c>
      <c r="M370" s="2" t="str">
        <f ca="1">IFERROR(__xludf.DUMMYFUNCTION("""COMPUTED_VALUE"""),"Malbec Bonarda")</f>
        <v>Malbec Bonarda</v>
      </c>
      <c r="N370" s="2"/>
      <c r="O370" s="2" t="str">
        <f ca="1">IFERROR(__xludf.DUMMYFUNCTION("""COMPUTED_VALUE"""),"Fermentando")</f>
        <v>Fermentando</v>
      </c>
      <c r="P370" s="2"/>
      <c r="Q370" s="2" t="b">
        <f ca="1">IFERROR(__xludf.DUMMYFUNCTION("""COMPUTED_VALUE"""),FALSE)</f>
        <v>0</v>
      </c>
      <c r="R370" s="2" t="str">
        <f ca="1">IFERROR(__xludf.DUMMYFUNCTION("""COMPUTED_VALUE"""),"Descubada")</f>
        <v>Descubada</v>
      </c>
      <c r="S370" s="2"/>
      <c r="T370" s="2"/>
      <c r="U370" s="2"/>
    </row>
    <row r="371" spans="1:21" x14ac:dyDescent="0.25">
      <c r="A371" s="2" t="str">
        <f ca="1">IFERROR(__xludf.DUMMYFUNCTION("""COMPUTED_VALUE"""),"260f2fc5")</f>
        <v>260f2fc5</v>
      </c>
      <c r="B371" s="3">
        <f ca="1">IFERROR(__xludf.DUMMYFUNCTION("""COMPUTED_VALUE"""),45755.4761226851)</f>
        <v>45755.476122685097</v>
      </c>
      <c r="C371" s="2" t="str">
        <f ca="1">IFERROR(__xludf.DUMMYFUNCTION("""COMPUTED_VALUE"""),"deb94f70")</f>
        <v>deb94f70</v>
      </c>
      <c r="D371" s="2">
        <f ca="1">IFERROR(__xludf.DUMMYFUNCTION("""COMPUTED_VALUE"""),6)</f>
        <v>6</v>
      </c>
      <c r="E371" s="2" t="str">
        <f ca="1">IFERROR(__xludf.DUMMYFUNCTION("""COMPUTED_VALUE"""),"Criolla Flotada")</f>
        <v>Criolla Flotada</v>
      </c>
      <c r="F371" s="2">
        <f ca="1">IFERROR(__xludf.DUMMYFUNCTION("""COMPUTED_VALUE"""),30000)</f>
        <v>30000</v>
      </c>
      <c r="G371" s="2">
        <f ca="1">IFERROR(__xludf.DUMMYFUNCTION("""COMPUTED_VALUE"""),85)</f>
        <v>85</v>
      </c>
      <c r="H371" s="2" t="str">
        <f ca="1">IFERROR(__xludf.DUMMYFUNCTION("""COMPUTED_VALUE"""),"6d3395c8")</f>
        <v>6d3395c8</v>
      </c>
      <c r="I371" s="2" t="str">
        <f ca="1">IFERROR(__xludf.DUMMYFUNCTION("""COMPUTED_VALUE"""),"Malbec Bonarda")</f>
        <v>Malbec Bonarda</v>
      </c>
      <c r="J371" s="2">
        <f ca="1">IFERROR(__xludf.DUMMYFUNCTION("""COMPUTED_VALUE"""),16600)</f>
        <v>16600</v>
      </c>
      <c r="K371" s="2">
        <f ca="1">IFERROR(__xludf.DUMMYFUNCTION("""COMPUTED_VALUE"""),46600)</f>
        <v>46600</v>
      </c>
      <c r="L371" s="2" t="str">
        <f ca="1">IFERROR(__xludf.DUMMYFUNCTION("""COMPUTED_VALUE"""),"12119242")</f>
        <v>12119242</v>
      </c>
      <c r="M371" s="2" t="str">
        <f ca="1">IFERROR(__xludf.DUMMYFUNCTION("""COMPUTED_VALUE"""),"Tinto s/Ma Bo")</f>
        <v>Tinto s/Ma Bo</v>
      </c>
      <c r="N371" s="2"/>
      <c r="O371" s="2" t="str">
        <f ca="1">IFERROR(__xludf.DUMMYFUNCTION("""COMPUTED_VALUE"""),"Fermentando")</f>
        <v>Fermentando</v>
      </c>
      <c r="P371" s="2" t="str">
        <f ca="1">IFERROR(__xludf.DUMMYFUNCTION("""COMPUTED_VALUE"""),"Fermentando")</f>
        <v>Fermentando</v>
      </c>
      <c r="Q371" s="2" t="b">
        <f ca="1">IFERROR(__xludf.DUMMYFUNCTION("""COMPUTED_VALUE"""),FALSE)</f>
        <v>0</v>
      </c>
      <c r="R371" s="2" t="str">
        <f ca="1">IFERROR(__xludf.DUMMYFUNCTION("""COMPUTED_VALUE"""),"Recarga Fermentando")</f>
        <v>Recarga Fermentando</v>
      </c>
      <c r="S371" s="2"/>
      <c r="T371" s="2"/>
      <c r="U371" s="2"/>
    </row>
    <row r="372" spans="1:21" x14ac:dyDescent="0.25">
      <c r="A372" s="2" t="str">
        <f ca="1">IFERROR(__xludf.DUMMYFUNCTION("""COMPUTED_VALUE"""),"94e49c13")</f>
        <v>94e49c13</v>
      </c>
      <c r="B372" s="3">
        <f ca="1">IFERROR(__xludf.DUMMYFUNCTION("""COMPUTED_VALUE"""),45755.4776736111)</f>
        <v>45755.477673611102</v>
      </c>
      <c r="C372" s="2" t="str">
        <f ca="1">IFERROR(__xludf.DUMMYFUNCTION("""COMPUTED_VALUE"""),"241b642a")</f>
        <v>241b642a</v>
      </c>
      <c r="D372" s="2">
        <f ca="1">IFERROR(__xludf.DUMMYFUNCTION("""COMPUTED_VALUE"""),45)</f>
        <v>45</v>
      </c>
      <c r="E372" s="2" t="str">
        <f ca="1">IFERROR(__xludf.DUMMYFUNCTION("""COMPUTED_VALUE"""),"Bonarda 24 Rect")</f>
        <v>Bonarda 24 Rect</v>
      </c>
      <c r="F372" s="2">
        <f ca="1">IFERROR(__xludf.DUMMYFUNCTION("""COMPUTED_VALUE"""),6200)</f>
        <v>6200</v>
      </c>
      <c r="G372" s="2">
        <f ca="1">IFERROR(__xludf.DUMMYFUNCTION("""COMPUTED_VALUE"""),84)</f>
        <v>84</v>
      </c>
      <c r="H372" s="2" t="str">
        <f ca="1">IFERROR(__xludf.DUMMYFUNCTION("""COMPUTED_VALUE"""),"b90ba869")</f>
        <v>b90ba869</v>
      </c>
      <c r="I372" s="2" t="str">
        <f ca="1">IFERROR(__xludf.DUMMYFUNCTION("""COMPUTED_VALUE"""),"Bonarda")</f>
        <v>Bonarda</v>
      </c>
      <c r="J372" s="2">
        <f ca="1">IFERROR(__xludf.DUMMYFUNCTION("""COMPUTED_VALUE"""),47000)</f>
        <v>47000</v>
      </c>
      <c r="K372" s="2">
        <f ca="1">IFERROR(__xludf.DUMMYFUNCTION("""COMPUTED_VALUE"""),53200)</f>
        <v>53200</v>
      </c>
      <c r="L372" s="2" t="str">
        <f ca="1">IFERROR(__xludf.DUMMYFUNCTION("""COMPUTED_VALUE"""),"b60fb43a")</f>
        <v>b60fb43a</v>
      </c>
      <c r="M372" s="2" t="str">
        <f ca="1">IFERROR(__xludf.DUMMYFUNCTION("""COMPUTED_VALUE"""),"Bonarda")</f>
        <v>Bonarda</v>
      </c>
      <c r="N372" s="2" t="str">
        <f ca="1">IFERROR(__xludf.DUMMYFUNCTION("""COMPUTED_VALUE"""),"Agregado de Rectificado")</f>
        <v>Agregado de Rectificado</v>
      </c>
      <c r="O372" s="2" t="str">
        <f ca="1">IFERROR(__xludf.DUMMYFUNCTION("""COMPUTED_VALUE"""),"Rectificado")</f>
        <v>Rectificado</v>
      </c>
      <c r="P372" s="2" t="str">
        <f ca="1">IFERROR(__xludf.DUMMYFUNCTION("""COMPUTED_VALUE"""),"Fermentando")</f>
        <v>Fermentando</v>
      </c>
      <c r="Q372" s="2" t="b">
        <f ca="1">IFERROR(__xludf.DUMMYFUNCTION("""COMPUTED_VALUE"""),TRUE)</f>
        <v>1</v>
      </c>
      <c r="R372" s="2" t="str">
        <f ca="1">IFERROR(__xludf.DUMMYFUNCTION("""COMPUTED_VALUE"""),"Fermentando")</f>
        <v>Fermentando</v>
      </c>
      <c r="S372" s="2"/>
      <c r="T372" s="2"/>
      <c r="U372" s="2"/>
    </row>
    <row r="373" spans="1:21" x14ac:dyDescent="0.25">
      <c r="A373" s="2" t="str">
        <f ca="1">IFERROR(__xludf.DUMMYFUNCTION("""COMPUTED_VALUE"""),"9f356405")</f>
        <v>9f356405</v>
      </c>
      <c r="B373" s="3">
        <f ca="1">IFERROR(__xludf.DUMMYFUNCTION("""COMPUTED_VALUE"""),45755.4819212963)</f>
        <v>45755.481921296298</v>
      </c>
      <c r="C373" s="2" t="str">
        <f ca="1">IFERROR(__xludf.DUMMYFUNCTION("""COMPUTED_VALUE"""),"1273642")</f>
        <v>1273642</v>
      </c>
      <c r="D373" s="2">
        <f ca="1">IFERROR(__xludf.DUMMYFUNCTION("""COMPUTED_VALUE"""),89)</f>
        <v>89</v>
      </c>
      <c r="E373" s="2" t="str">
        <f ca="1">IFERROR(__xludf.DUMMYFUNCTION("""COMPUTED_VALUE"""),"Malbec")</f>
        <v>Malbec</v>
      </c>
      <c r="F373" s="2">
        <f ca="1">IFERROR(__xludf.DUMMYFUNCTION("""COMPUTED_VALUE"""),15000)</f>
        <v>15000</v>
      </c>
      <c r="G373" s="2">
        <f ca="1">IFERROR(__xludf.DUMMYFUNCTION("""COMPUTED_VALUE"""),96)</f>
        <v>96</v>
      </c>
      <c r="H373" s="2" t="str">
        <f ca="1">IFERROR(__xludf.DUMMYFUNCTION("""COMPUTED_VALUE"""),"b4377cb5")</f>
        <v>b4377cb5</v>
      </c>
      <c r="I373" s="2" t="str">
        <f ca="1">IFERROR(__xludf.DUMMYFUNCTION("""COMPUTED_VALUE"""),"Malbec")</f>
        <v>Malbec</v>
      </c>
      <c r="J373" s="2">
        <f ca="1">IFERROR(__xludf.DUMMYFUNCTION("""COMPUTED_VALUE"""),31300)</f>
        <v>31300</v>
      </c>
      <c r="K373" s="2">
        <f ca="1">IFERROR(__xludf.DUMMYFUNCTION("""COMPUTED_VALUE"""),46300)</f>
        <v>46300</v>
      </c>
      <c r="L373" s="2" t="str">
        <f ca="1">IFERROR(__xludf.DUMMYFUNCTION("""COMPUTED_VALUE"""),"d4245129")</f>
        <v>d4245129</v>
      </c>
      <c r="M373" s="2" t="str">
        <f ca="1">IFERROR(__xludf.DUMMYFUNCTION("""COMPUTED_VALUE"""),"Malbec")</f>
        <v>Malbec</v>
      </c>
      <c r="N373" s="2" t="str">
        <f ca="1">IFERROR(__xludf.DUMMYFUNCTION("""COMPUTED_VALUE"""),"Pta 89 se habia llenado de mas y se pasa mosto a la 96")</f>
        <v>Pta 89 se habia llenado de mas y se pasa mosto a la 96</v>
      </c>
      <c r="O373" s="2" t="str">
        <f ca="1">IFERROR(__xludf.DUMMYFUNCTION("""COMPUTED_VALUE"""),"Fermentando")</f>
        <v>Fermentando</v>
      </c>
      <c r="P373" s="2" t="str">
        <f ca="1">IFERROR(__xludf.DUMMYFUNCTION("""COMPUTED_VALUE"""),"Fermentando")</f>
        <v>Fermentando</v>
      </c>
      <c r="Q373" s="2" t="b">
        <f ca="1">IFERROR(__xludf.DUMMYFUNCTION("""COMPUTED_VALUE"""),TRUE)</f>
        <v>1</v>
      </c>
      <c r="R373" s="2" t="str">
        <f ca="1">IFERROR(__xludf.DUMMYFUNCTION("""COMPUTED_VALUE"""),"Fermentando")</f>
        <v>Fermentando</v>
      </c>
      <c r="S373" s="2"/>
      <c r="T373" s="2"/>
      <c r="U373" s="2"/>
    </row>
    <row r="374" spans="1:21" x14ac:dyDescent="0.25">
      <c r="A374" s="2" t="str">
        <f ca="1">IFERROR(__xludf.DUMMYFUNCTION("""COMPUTED_VALUE"""),"44d50628")</f>
        <v>44d50628</v>
      </c>
      <c r="B374" s="3">
        <f ca="1">IFERROR(__xludf.DUMMYFUNCTION("""COMPUTED_VALUE"""),45755.4839467592)</f>
        <v>45755.483946759203</v>
      </c>
      <c r="C374" s="2" t="str">
        <f ca="1">IFERROR(__xludf.DUMMYFUNCTION("""COMPUTED_VALUE"""),"30d0ce51")</f>
        <v>30d0ce51</v>
      </c>
      <c r="D374" s="2">
        <f ca="1">IFERROR(__xludf.DUMMYFUNCTION("""COMPUTED_VALUE"""),41)</f>
        <v>41</v>
      </c>
      <c r="E374" s="2" t="str">
        <f ca="1">IFERROR(__xludf.DUMMYFUNCTION("""COMPUTED_VALUE"""),"Cabernet Sauvignon Rect 24")</f>
        <v>Cabernet Sauvignon Rect 24</v>
      </c>
      <c r="F374" s="2">
        <f ca="1">IFERROR(__xludf.DUMMYFUNCTION("""COMPUTED_VALUE"""),10800)</f>
        <v>10800</v>
      </c>
      <c r="G374" s="2">
        <f ca="1">IFERROR(__xludf.DUMMYFUNCTION("""COMPUTED_VALUE"""),89)</f>
        <v>89</v>
      </c>
      <c r="H374" s="2" t="str">
        <f ca="1">IFERROR(__xludf.DUMMYFUNCTION("""COMPUTED_VALUE"""),"1273642")</f>
        <v>1273642</v>
      </c>
      <c r="I374" s="2" t="str">
        <f ca="1">IFERROR(__xludf.DUMMYFUNCTION("""COMPUTED_VALUE"""),"Malbec")</f>
        <v>Malbec</v>
      </c>
      <c r="J374" s="2">
        <f ca="1">IFERROR(__xludf.DUMMYFUNCTION("""COMPUTED_VALUE"""),50000)</f>
        <v>50000</v>
      </c>
      <c r="K374" s="2">
        <f ca="1">IFERROR(__xludf.DUMMYFUNCTION("""COMPUTED_VALUE"""),60800)</f>
        <v>60800</v>
      </c>
      <c r="L374" s="2" t="str">
        <f ca="1">IFERROR(__xludf.DUMMYFUNCTION("""COMPUTED_VALUE"""),"a042b2d1")</f>
        <v>a042b2d1</v>
      </c>
      <c r="M374" s="2" t="str">
        <f ca="1">IFERROR(__xludf.DUMMYFUNCTION("""COMPUTED_VALUE"""),"Malbec")</f>
        <v>Malbec</v>
      </c>
      <c r="N374" s="2" t="str">
        <f ca="1">IFERROR(__xludf.DUMMYFUNCTION("""COMPUTED_VALUE"""),"rectificado")</f>
        <v>rectificado</v>
      </c>
      <c r="O374" s="2" t="str">
        <f ca="1">IFERROR(__xludf.DUMMYFUNCTION("""COMPUTED_VALUE"""),"Rectificado")</f>
        <v>Rectificado</v>
      </c>
      <c r="P374" s="2" t="str">
        <f ca="1">IFERROR(__xludf.DUMMYFUNCTION("""COMPUTED_VALUE"""),"Fermentando")</f>
        <v>Fermentando</v>
      </c>
      <c r="Q374" s="2" t="b">
        <f ca="1">IFERROR(__xludf.DUMMYFUNCTION("""COMPUTED_VALUE"""),TRUE)</f>
        <v>1</v>
      </c>
      <c r="R374" s="2" t="str">
        <f ca="1">IFERROR(__xludf.DUMMYFUNCTION("""COMPUTED_VALUE"""),"Fermentando")</f>
        <v>Fermentando</v>
      </c>
      <c r="S374" s="2"/>
      <c r="T374" s="2"/>
      <c r="U374" s="2"/>
    </row>
    <row r="375" spans="1:21" x14ac:dyDescent="0.25">
      <c r="A375" s="2" t="str">
        <f ca="1">IFERROR(__xludf.DUMMYFUNCTION("""COMPUTED_VALUE"""),"6446e5bd")</f>
        <v>6446e5bd</v>
      </c>
      <c r="B375" s="3">
        <f ca="1">IFERROR(__xludf.DUMMYFUNCTION("""COMPUTED_VALUE"""),45755.4844791666)</f>
        <v>45755.484479166596</v>
      </c>
      <c r="C375" s="2" t="str">
        <f ca="1">IFERROR(__xludf.DUMMYFUNCTION("""COMPUTED_VALUE"""),"30d0ce51")</f>
        <v>30d0ce51</v>
      </c>
      <c r="D375" s="2">
        <f ca="1">IFERROR(__xludf.DUMMYFUNCTION("""COMPUTED_VALUE"""),41)</f>
        <v>41</v>
      </c>
      <c r="E375" s="2" t="str">
        <f ca="1">IFERROR(__xludf.DUMMYFUNCTION("""COMPUTED_VALUE"""),"Cabernet Sauvignon Rect 24")</f>
        <v>Cabernet Sauvignon Rect 24</v>
      </c>
      <c r="F375" s="2">
        <f ca="1">IFERROR(__xludf.DUMMYFUNCTION("""COMPUTED_VALUE"""),3600)</f>
        <v>3600</v>
      </c>
      <c r="G375" s="2">
        <f ca="1">IFERROR(__xludf.DUMMYFUNCTION("""COMPUTED_VALUE"""),81)</f>
        <v>81</v>
      </c>
      <c r="H375" s="2" t="str">
        <f ca="1">IFERROR(__xludf.DUMMYFUNCTION("""COMPUTED_VALUE"""),"a00cfab3")</f>
        <v>a00cfab3</v>
      </c>
      <c r="I375" s="2" t="str">
        <f ca="1">IFERROR(__xludf.DUMMYFUNCTION("""COMPUTED_VALUE"""),"Malbec")</f>
        <v>Malbec</v>
      </c>
      <c r="J375" s="2">
        <f ca="1">IFERROR(__xludf.DUMMYFUNCTION("""COMPUTED_VALUE"""),14500)</f>
        <v>14500</v>
      </c>
      <c r="K375" s="2">
        <f ca="1">IFERROR(__xludf.DUMMYFUNCTION("""COMPUTED_VALUE"""),18100)</f>
        <v>18100</v>
      </c>
      <c r="L375" s="2" t="str">
        <f ca="1">IFERROR(__xludf.DUMMYFUNCTION("""COMPUTED_VALUE"""),"7678fbc3")</f>
        <v>7678fbc3</v>
      </c>
      <c r="M375" s="2" t="str">
        <f ca="1">IFERROR(__xludf.DUMMYFUNCTION("""COMPUTED_VALUE"""),"Malbec")</f>
        <v>Malbec</v>
      </c>
      <c r="N375" s="2" t="str">
        <f ca="1">IFERROR(__xludf.DUMMYFUNCTION("""COMPUTED_VALUE"""),"agregado de rectificado")</f>
        <v>agregado de rectificado</v>
      </c>
      <c r="O375" s="2" t="str">
        <f ca="1">IFERROR(__xludf.DUMMYFUNCTION("""COMPUTED_VALUE"""),"Rectificado")</f>
        <v>Rectificado</v>
      </c>
      <c r="P375" s="2" t="str">
        <f ca="1">IFERROR(__xludf.DUMMYFUNCTION("""COMPUTED_VALUE"""),"Fermentando")</f>
        <v>Fermentando</v>
      </c>
      <c r="Q375" s="2" t="b">
        <f ca="1">IFERROR(__xludf.DUMMYFUNCTION("""COMPUTED_VALUE"""),TRUE)</f>
        <v>1</v>
      </c>
      <c r="R375" s="2" t="str">
        <f ca="1">IFERROR(__xludf.DUMMYFUNCTION("""COMPUTED_VALUE"""),"Fermentando")</f>
        <v>Fermentando</v>
      </c>
      <c r="S375" s="2"/>
      <c r="T375" s="2"/>
      <c r="U375" s="2"/>
    </row>
    <row r="376" spans="1:21" x14ac:dyDescent="0.25">
      <c r="A376" s="2" t="str">
        <f ca="1">IFERROR(__xludf.DUMMYFUNCTION("""COMPUTED_VALUE"""),"d0ad7166")</f>
        <v>d0ad7166</v>
      </c>
      <c r="B376" s="3">
        <f ca="1">IFERROR(__xludf.DUMMYFUNCTION("""COMPUTED_VALUE"""),45755.5275347222)</f>
        <v>45755.527534722198</v>
      </c>
      <c r="C376" s="2" t="str">
        <f ca="1">IFERROR(__xludf.DUMMYFUNCTION("""COMPUTED_VALUE"""),"30d0ce51")</f>
        <v>30d0ce51</v>
      </c>
      <c r="D376" s="2">
        <f ca="1">IFERROR(__xludf.DUMMYFUNCTION("""COMPUTED_VALUE"""),41)</f>
        <v>41</v>
      </c>
      <c r="E376" s="2" t="str">
        <f ca="1">IFERROR(__xludf.DUMMYFUNCTION("""COMPUTED_VALUE"""),"Cabernet Sauvignon Rect 24")</f>
        <v>Cabernet Sauvignon Rect 24</v>
      </c>
      <c r="F376" s="2">
        <f ca="1">IFERROR(__xludf.DUMMYFUNCTION("""COMPUTED_VALUE"""),3600)</f>
        <v>3600</v>
      </c>
      <c r="G376" s="2">
        <f ca="1">IFERROR(__xludf.DUMMYFUNCTION("""COMPUTED_VALUE"""),79)</f>
        <v>79</v>
      </c>
      <c r="H376" s="2" t="str">
        <f ca="1">IFERROR(__xludf.DUMMYFUNCTION("""COMPUTED_VALUE"""),"e986fa9f")</f>
        <v>e986fa9f</v>
      </c>
      <c r="I376" s="2" t="str">
        <f ca="1">IFERROR(__xludf.DUMMYFUNCTION("""COMPUTED_VALUE"""),"Cabernet Sauv")</f>
        <v>Cabernet Sauv</v>
      </c>
      <c r="J376" s="2">
        <f ca="1">IFERROR(__xludf.DUMMYFUNCTION("""COMPUTED_VALUE"""),17000)</f>
        <v>17000</v>
      </c>
      <c r="K376" s="2">
        <f ca="1">IFERROR(__xludf.DUMMYFUNCTION("""COMPUTED_VALUE"""),20600)</f>
        <v>20600</v>
      </c>
      <c r="L376" s="2" t="str">
        <f ca="1">IFERROR(__xludf.DUMMYFUNCTION("""COMPUTED_VALUE"""),"254dce3b")</f>
        <v>254dce3b</v>
      </c>
      <c r="M376" s="2" t="str">
        <f ca="1">IFERROR(__xludf.DUMMYFUNCTION("""COMPUTED_VALUE"""),"Cabernet Sauv")</f>
        <v>Cabernet Sauv</v>
      </c>
      <c r="N376" s="2" t="str">
        <f ca="1">IFERROR(__xludf.DUMMYFUNCTION("""COMPUTED_VALUE"""),"agreagado rectificado")</f>
        <v>agreagado rectificado</v>
      </c>
      <c r="O376" s="2" t="str">
        <f ca="1">IFERROR(__xludf.DUMMYFUNCTION("""COMPUTED_VALUE"""),"Rectificado")</f>
        <v>Rectificado</v>
      </c>
      <c r="P376" s="2" t="str">
        <f ca="1">IFERROR(__xludf.DUMMYFUNCTION("""COMPUTED_VALUE"""),"Fermentando")</f>
        <v>Fermentando</v>
      </c>
      <c r="Q376" s="2" t="b">
        <f ca="1">IFERROR(__xludf.DUMMYFUNCTION("""COMPUTED_VALUE"""),TRUE)</f>
        <v>1</v>
      </c>
      <c r="R376" s="2" t="str">
        <f ca="1">IFERROR(__xludf.DUMMYFUNCTION("""COMPUTED_VALUE"""),"Fermentando")</f>
        <v>Fermentando</v>
      </c>
      <c r="S376" s="2"/>
      <c r="T376" s="2"/>
      <c r="U376" s="2"/>
    </row>
    <row r="377" spans="1:21" x14ac:dyDescent="0.25">
      <c r="A377" s="2" t="str">
        <f ca="1">IFERROR(__xludf.DUMMYFUNCTION("""COMPUTED_VALUE"""),"2af76f9c")</f>
        <v>2af76f9c</v>
      </c>
      <c r="B377" s="3">
        <f ca="1">IFERROR(__xludf.DUMMYFUNCTION("""COMPUTED_VALUE"""),45755.5285879629)</f>
        <v>45755.528587962901</v>
      </c>
      <c r="C377" s="2" t="str">
        <f ca="1">IFERROR(__xludf.DUMMYFUNCTION("""COMPUTED_VALUE"""),"30d0ce51")</f>
        <v>30d0ce51</v>
      </c>
      <c r="D377" s="2">
        <f ca="1">IFERROR(__xludf.DUMMYFUNCTION("""COMPUTED_VALUE"""),41)</f>
        <v>41</v>
      </c>
      <c r="E377" s="2" t="str">
        <f ca="1">IFERROR(__xludf.DUMMYFUNCTION("""COMPUTED_VALUE"""),"Cabernet Sauvignon Rect 24")</f>
        <v>Cabernet Sauvignon Rect 24</v>
      </c>
      <c r="F377" s="2">
        <f ca="1">IFERROR(__xludf.DUMMYFUNCTION("""COMPUTED_VALUE"""),2700)</f>
        <v>2700</v>
      </c>
      <c r="G377" s="2">
        <f ca="1">IFERROR(__xludf.DUMMYFUNCTION("""COMPUTED_VALUE"""),78)</f>
        <v>78</v>
      </c>
      <c r="H377" s="2" t="str">
        <f ca="1">IFERROR(__xludf.DUMMYFUNCTION("""COMPUTED_VALUE"""),"f2ca28c2")</f>
        <v>f2ca28c2</v>
      </c>
      <c r="I377" s="2" t="str">
        <f ca="1">IFERROR(__xludf.DUMMYFUNCTION("""COMPUTED_VALUE"""),"Bonarda")</f>
        <v>Bonarda</v>
      </c>
      <c r="J377" s="2">
        <f ca="1">IFERROR(__xludf.DUMMYFUNCTION("""COMPUTED_VALUE"""),14000)</f>
        <v>14000</v>
      </c>
      <c r="K377" s="2">
        <f ca="1">IFERROR(__xludf.DUMMYFUNCTION("""COMPUTED_VALUE"""),16700)</f>
        <v>16700</v>
      </c>
      <c r="L377" s="2" t="str">
        <f ca="1">IFERROR(__xludf.DUMMYFUNCTION("""COMPUTED_VALUE"""),"f954f065")</f>
        <v>f954f065</v>
      </c>
      <c r="M377" s="2" t="str">
        <f ca="1">IFERROR(__xludf.DUMMYFUNCTION("""COMPUTED_VALUE"""),"Bonarda")</f>
        <v>Bonarda</v>
      </c>
      <c r="N377" s="2" t="str">
        <f ca="1">IFERROR(__xludf.DUMMYFUNCTION("""COMPUTED_VALUE"""),"agregado rectificado")</f>
        <v>agregado rectificado</v>
      </c>
      <c r="O377" s="2" t="str">
        <f ca="1">IFERROR(__xludf.DUMMYFUNCTION("""COMPUTED_VALUE"""),"Rectificado")</f>
        <v>Rectificado</v>
      </c>
      <c r="P377" s="2" t="str">
        <f ca="1">IFERROR(__xludf.DUMMYFUNCTION("""COMPUTED_VALUE"""),"Fermentando")</f>
        <v>Fermentando</v>
      </c>
      <c r="Q377" s="2" t="b">
        <f ca="1">IFERROR(__xludf.DUMMYFUNCTION("""COMPUTED_VALUE"""),TRUE)</f>
        <v>1</v>
      </c>
      <c r="R377" s="2" t="str">
        <f ca="1">IFERROR(__xludf.DUMMYFUNCTION("""COMPUTED_VALUE"""),"Fermentando")</f>
        <v>Fermentando</v>
      </c>
      <c r="S377" s="2"/>
      <c r="T377" s="2"/>
      <c r="U377" s="2"/>
    </row>
    <row r="378" spans="1:21" x14ac:dyDescent="0.25">
      <c r="A378" s="2" t="str">
        <f ca="1">IFERROR(__xludf.DUMMYFUNCTION("""COMPUTED_VALUE"""),"c7f4c2f2")</f>
        <v>c7f4c2f2</v>
      </c>
      <c r="B378" s="3">
        <f ca="1">IFERROR(__xludf.DUMMYFUNCTION("""COMPUTED_VALUE"""),45755.5293518518)</f>
        <v>45755.529351851801</v>
      </c>
      <c r="C378" s="2" t="str">
        <f ca="1">IFERROR(__xludf.DUMMYFUNCTION("""COMPUTED_VALUE"""),"f1388e78")</f>
        <v>f1388e78</v>
      </c>
      <c r="D378" s="2">
        <f ca="1">IFERROR(__xludf.DUMMYFUNCTION("""COMPUTED_VALUE"""),75)</f>
        <v>75</v>
      </c>
      <c r="E378" s="2" t="str">
        <f ca="1">IFERROR(__xludf.DUMMYFUNCTION("""COMPUTED_VALUE"""),"Aspirant 24 Rect")</f>
        <v>Aspirant 24 Rect</v>
      </c>
      <c r="F378" s="2">
        <f ca="1">IFERROR(__xludf.DUMMYFUNCTION("""COMPUTED_VALUE"""),5500)</f>
        <v>5500</v>
      </c>
      <c r="G378" s="2">
        <f ca="1">IFERROR(__xludf.DUMMYFUNCTION("""COMPUTED_VALUE"""),92)</f>
        <v>92</v>
      </c>
      <c r="H378" s="2" t="str">
        <f ca="1">IFERROR(__xludf.DUMMYFUNCTION("""COMPUTED_VALUE"""),"cbb6852f")</f>
        <v>cbb6852f</v>
      </c>
      <c r="I378" s="2" t="str">
        <f ca="1">IFERROR(__xludf.DUMMYFUNCTION("""COMPUTED_VALUE"""),"Malbec")</f>
        <v>Malbec</v>
      </c>
      <c r="J378" s="2">
        <f ca="1">IFERROR(__xludf.DUMMYFUNCTION("""COMPUTED_VALUE"""),43000)</f>
        <v>43000</v>
      </c>
      <c r="K378" s="2">
        <f ca="1">IFERROR(__xludf.DUMMYFUNCTION("""COMPUTED_VALUE"""),48500)</f>
        <v>48500</v>
      </c>
      <c r="L378" s="2" t="str">
        <f ca="1">IFERROR(__xludf.DUMMYFUNCTION("""COMPUTED_VALUE"""),"f4ef7eb7")</f>
        <v>f4ef7eb7</v>
      </c>
      <c r="M378" s="2" t="str">
        <f ca="1">IFERROR(__xludf.DUMMYFUNCTION("""COMPUTED_VALUE"""),"Malbec")</f>
        <v>Malbec</v>
      </c>
      <c r="N378" s="2" t="str">
        <f ca="1">IFERROR(__xludf.DUMMYFUNCTION("""COMPUTED_VALUE"""),"Agregado de rectificado")</f>
        <v>Agregado de rectificado</v>
      </c>
      <c r="O378" s="2" t="str">
        <f ca="1">IFERROR(__xludf.DUMMYFUNCTION("""COMPUTED_VALUE"""),"Rectificado")</f>
        <v>Rectificado</v>
      </c>
      <c r="P378" s="2" t="str">
        <f ca="1">IFERROR(__xludf.DUMMYFUNCTION("""COMPUTED_VALUE"""),"Fermentando")</f>
        <v>Fermentando</v>
      </c>
      <c r="Q378" s="2" t="b">
        <f ca="1">IFERROR(__xludf.DUMMYFUNCTION("""COMPUTED_VALUE"""),TRUE)</f>
        <v>1</v>
      </c>
      <c r="R378" s="2" t="str">
        <f ca="1">IFERROR(__xludf.DUMMYFUNCTION("""COMPUTED_VALUE"""),"Fermentando")</f>
        <v>Fermentando</v>
      </c>
      <c r="S378" s="2"/>
      <c r="T378" s="2"/>
      <c r="U378" s="2"/>
    </row>
    <row r="379" spans="1:21" x14ac:dyDescent="0.25">
      <c r="A379" s="2" t="str">
        <f ca="1">IFERROR(__xludf.DUMMYFUNCTION("""COMPUTED_VALUE"""),"4f256382")</f>
        <v>4f256382</v>
      </c>
      <c r="B379" s="5">
        <f ca="1">IFERROR(__xludf.DUMMYFUNCTION("""COMPUTED_VALUE"""),45755.7912731481)</f>
        <v>45755.791273148097</v>
      </c>
      <c r="C379" s="2" t="str">
        <f ca="1">IFERROR(__xludf.DUMMYFUNCTION("""COMPUTED_VALUE"""),"03ffe0d5")</f>
        <v>03ffe0d5</v>
      </c>
      <c r="D379" s="2">
        <f ca="1">IFERROR(__xludf.DUMMYFUNCTION("""COMPUTED_VALUE"""),118)</f>
        <v>118</v>
      </c>
      <c r="E379" s="2" t="str">
        <f ca="1">IFERROR(__xludf.DUMMYFUNCTION("""COMPUTED_VALUE"""),"Syrah")</f>
        <v>Syrah</v>
      </c>
      <c r="F379" s="2">
        <f ca="1">IFERROR(__xludf.DUMMYFUNCTION("""COMPUTED_VALUE"""),10000)</f>
        <v>10000</v>
      </c>
      <c r="G379" s="2">
        <f ca="1">IFERROR(__xludf.DUMMYFUNCTION("""COMPUTED_VALUE"""),24)</f>
        <v>24</v>
      </c>
      <c r="H379" s="2" t="str">
        <f ca="1">IFERROR(__xludf.DUMMYFUNCTION("""COMPUTED_VALUE"""),"37179342")</f>
        <v>37179342</v>
      </c>
      <c r="I379" s="2" t="str">
        <f ca="1">IFERROR(__xludf.DUMMYFUNCTION("""COMPUTED_VALUE"""),"Bonarda C2")</f>
        <v>Bonarda C2</v>
      </c>
      <c r="J379" s="2">
        <f ca="1">IFERROR(__xludf.DUMMYFUNCTION("""COMPUTED_VALUE"""),176600)</f>
        <v>176600</v>
      </c>
      <c r="K379" s="2">
        <f ca="1">IFERROR(__xludf.DUMMYFUNCTION("""COMPUTED_VALUE"""),186600)</f>
        <v>186600</v>
      </c>
      <c r="L379" s="2" t="str">
        <f ca="1">IFERROR(__xludf.DUMMYFUNCTION("""COMPUTED_VALUE"""),"7efc7da2")</f>
        <v>7efc7da2</v>
      </c>
      <c r="M379" s="2" t="str">
        <f ca="1">IFERROR(__xludf.DUMMYFUNCTION("""COMPUTED_VALUE"""),"Bonarda C2")</f>
        <v>Bonarda C2</v>
      </c>
      <c r="N379" s="2"/>
      <c r="O379" s="2" t="str">
        <f ca="1">IFERROR(__xludf.DUMMYFUNCTION("""COMPUTED_VALUE"""),"Descubada")</f>
        <v>Descubada</v>
      </c>
      <c r="P379" s="2" t="str">
        <f ca="1">IFERROR(__xludf.DUMMYFUNCTION("""COMPUTED_VALUE"""),"1er Trasiego")</f>
        <v>1er Trasiego</v>
      </c>
      <c r="Q379" s="2" t="b">
        <f ca="1">IFERROR(__xludf.DUMMYFUNCTION("""COMPUTED_VALUE"""),TRUE)</f>
        <v>1</v>
      </c>
      <c r="R379" s="2" t="str">
        <f ca="1">IFERROR(__xludf.DUMMYFUNCTION("""COMPUTED_VALUE"""),"1er Trasiego")</f>
        <v>1er Trasiego</v>
      </c>
      <c r="S379" s="2"/>
      <c r="T379" s="2"/>
      <c r="U379" s="2"/>
    </row>
    <row r="380" spans="1:21" x14ac:dyDescent="0.25">
      <c r="A380" s="2" t="str">
        <f ca="1">IFERROR(__xludf.DUMMYFUNCTION("""COMPUTED_VALUE"""),"1bdd9844")</f>
        <v>1bdd9844</v>
      </c>
      <c r="B380" s="5">
        <f ca="1">IFERROR(__xludf.DUMMYFUNCTION("""COMPUTED_VALUE"""),45756.7743981481)</f>
        <v>45756.774398148104</v>
      </c>
      <c r="C380" s="2" t="str">
        <f ca="1">IFERROR(__xludf.DUMMYFUNCTION("""COMPUTED_VALUE"""),"03ffe0d5")</f>
        <v>03ffe0d5</v>
      </c>
      <c r="D380" s="2">
        <f ca="1">IFERROR(__xludf.DUMMYFUNCTION("""COMPUTED_VALUE"""),118)</f>
        <v>118</v>
      </c>
      <c r="E380" s="2" t="str">
        <f ca="1">IFERROR(__xludf.DUMMYFUNCTION("""COMPUTED_VALUE"""),"Syrah")</f>
        <v>Syrah</v>
      </c>
      <c r="F380" s="2">
        <f ca="1">IFERROR(__xludf.DUMMYFUNCTION("""COMPUTED_VALUE"""),30000)</f>
        <v>30000</v>
      </c>
      <c r="G380" s="2">
        <f ca="1">IFERROR(__xludf.DUMMYFUNCTION("""COMPUTED_VALUE"""),45)</f>
        <v>45</v>
      </c>
      <c r="H380" s="2"/>
      <c r="I380" s="2"/>
      <c r="J380" s="2">
        <f ca="1">IFERROR(__xludf.DUMMYFUNCTION("""COMPUTED_VALUE"""),0)</f>
        <v>0</v>
      </c>
      <c r="K380" s="2">
        <f ca="1">IFERROR(__xludf.DUMMYFUNCTION("""COMPUTED_VALUE"""),30000)</f>
        <v>30000</v>
      </c>
      <c r="L380" s="2" t="str">
        <f ca="1">IFERROR(__xludf.DUMMYFUNCTION("""COMPUTED_VALUE"""),"6142f4ae")</f>
        <v>6142f4ae</v>
      </c>
      <c r="M380" s="2" t="str">
        <f ca="1">IFERROR(__xludf.DUMMYFUNCTION("""COMPUTED_VALUE"""),"Syrah")</f>
        <v>Syrah</v>
      </c>
      <c r="N380" s="2"/>
      <c r="O380" s="2" t="str">
        <f ca="1">IFERROR(__xludf.DUMMYFUNCTION("""COMPUTED_VALUE"""),"Descubada")</f>
        <v>Descubada</v>
      </c>
      <c r="P380" s="2"/>
      <c r="Q380" s="2" t="b">
        <f ca="1">IFERROR(__xludf.DUMMYFUNCTION("""COMPUTED_VALUE"""),FALSE)</f>
        <v>0</v>
      </c>
      <c r="R380" s="2" t="str">
        <f ca="1">IFERROR(__xludf.DUMMYFUNCTION("""COMPUTED_VALUE"""),"1er Trasiego")</f>
        <v>1er Trasiego</v>
      </c>
      <c r="S380" s="2"/>
      <c r="T380" s="2"/>
      <c r="U380" s="2"/>
    </row>
    <row r="381" spans="1:21" x14ac:dyDescent="0.25">
      <c r="A381" s="2" t="str">
        <f ca="1">IFERROR(__xludf.DUMMYFUNCTION("""COMPUTED_VALUE"""),"985fe11d")</f>
        <v>985fe11d</v>
      </c>
      <c r="B381" s="5">
        <f ca="1">IFERROR(__xludf.DUMMYFUNCTION("""COMPUTED_VALUE"""),45756.7785879629)</f>
        <v>45756.778587962901</v>
      </c>
      <c r="C381" s="2" t="str">
        <f ca="1">IFERROR(__xludf.DUMMYFUNCTION("""COMPUTED_VALUE"""),"aafa35db")</f>
        <v>aafa35db</v>
      </c>
      <c r="D381" s="2">
        <f ca="1">IFERROR(__xludf.DUMMYFUNCTION("""COMPUTED_VALUE"""),90)</f>
        <v>90</v>
      </c>
      <c r="E381" s="2" t="str">
        <f ca="1">IFERROR(__xludf.DUMMYFUNCTION("""COMPUTED_VALUE"""),"Bonarda")</f>
        <v>Bonarda</v>
      </c>
      <c r="F381" s="2">
        <f ca="1">IFERROR(__xludf.DUMMYFUNCTION("""COMPUTED_VALUE"""),65500)</f>
        <v>65500</v>
      </c>
      <c r="G381" s="2">
        <f ca="1">IFERROR(__xludf.DUMMYFUNCTION("""COMPUTED_VALUE"""),28)</f>
        <v>28</v>
      </c>
      <c r="H381" s="2"/>
      <c r="I381" s="2"/>
      <c r="J381" s="2">
        <f ca="1">IFERROR(__xludf.DUMMYFUNCTION("""COMPUTED_VALUE"""),0)</f>
        <v>0</v>
      </c>
      <c r="K381" s="2">
        <f ca="1">IFERROR(__xludf.DUMMYFUNCTION("""COMPUTED_VALUE"""),65500)</f>
        <v>65500</v>
      </c>
      <c r="L381" s="2" t="str">
        <f ca="1">IFERROR(__xludf.DUMMYFUNCTION("""COMPUTED_VALUE"""),"a35017ce")</f>
        <v>a35017ce</v>
      </c>
      <c r="M381" s="2" t="str">
        <f ca="1">IFERROR(__xludf.DUMMYFUNCTION("""COMPUTED_VALUE"""),"Bonarda")</f>
        <v>Bonarda</v>
      </c>
      <c r="N381" s="2"/>
      <c r="O381" s="2" t="str">
        <f ca="1">IFERROR(__xludf.DUMMYFUNCTION("""COMPUTED_VALUE"""),"Fermentando")</f>
        <v>Fermentando</v>
      </c>
      <c r="P381" s="2"/>
      <c r="Q381" s="2" t="b">
        <f ca="1">IFERROR(__xludf.DUMMYFUNCTION("""COMPUTED_VALUE"""),FALSE)</f>
        <v>0</v>
      </c>
      <c r="R381" s="2" t="str">
        <f ca="1">IFERROR(__xludf.DUMMYFUNCTION("""COMPUTED_VALUE"""),"Descubada")</f>
        <v>Descubada</v>
      </c>
      <c r="S381" s="2"/>
      <c r="T381" s="2"/>
      <c r="U381" s="2"/>
    </row>
    <row r="382" spans="1:21" x14ac:dyDescent="0.25">
      <c r="A382" s="2" t="str">
        <f ca="1">IFERROR(__xludf.DUMMYFUNCTION("""COMPUTED_VALUE"""),"79c73672")</f>
        <v>79c73672</v>
      </c>
      <c r="B382" s="5">
        <f ca="1">IFERROR(__xludf.DUMMYFUNCTION("""COMPUTED_VALUE"""),45756.7798726851)</f>
        <v>45756.779872685103</v>
      </c>
      <c r="C382" s="2" t="str">
        <f ca="1">IFERROR(__xludf.DUMMYFUNCTION("""COMPUTED_VALUE"""),"d557e5fd")</f>
        <v>d557e5fd</v>
      </c>
      <c r="D382" s="2">
        <f ca="1">IFERROR(__xludf.DUMMYFUNCTION("""COMPUTED_VALUE"""),11)</f>
        <v>11</v>
      </c>
      <c r="E382" s="2" t="str">
        <f ca="1">IFERROR(__xludf.DUMMYFUNCTION("""COMPUTED_VALUE"""),"Syrah s/Asp 3ra")</f>
        <v>Syrah s/Asp 3ra</v>
      </c>
      <c r="F382" s="2">
        <f ca="1">IFERROR(__xludf.DUMMYFUNCTION("""COMPUTED_VALUE"""),35100)</f>
        <v>35100</v>
      </c>
      <c r="G382" s="2">
        <f ca="1">IFERROR(__xludf.DUMMYFUNCTION("""COMPUTED_VALUE"""),41)</f>
        <v>41</v>
      </c>
      <c r="H382" s="2"/>
      <c r="I382" s="2"/>
      <c r="J382" s="2">
        <f ca="1">IFERROR(__xludf.DUMMYFUNCTION("""COMPUTED_VALUE"""),0)</f>
        <v>0</v>
      </c>
      <c r="K382" s="2">
        <f ca="1">IFERROR(__xludf.DUMMYFUNCTION("""COMPUTED_VALUE"""),35100)</f>
        <v>35100</v>
      </c>
      <c r="L382" s="2" t="str">
        <f ca="1">IFERROR(__xludf.DUMMYFUNCTION("""COMPUTED_VALUE"""),"2169295d")</f>
        <v>2169295d</v>
      </c>
      <c r="M382" s="2" t="str">
        <f ca="1">IFERROR(__xludf.DUMMYFUNCTION("""COMPUTED_VALUE"""),"Syrah Rect")</f>
        <v>Syrah Rect</v>
      </c>
      <c r="N382" s="2"/>
      <c r="O382" s="2" t="str">
        <f ca="1">IFERROR(__xludf.DUMMYFUNCTION("""COMPUTED_VALUE"""),"Descubada")</f>
        <v>Descubada</v>
      </c>
      <c r="P382" s="2"/>
      <c r="Q382" s="2" t="b">
        <f ca="1">IFERROR(__xludf.DUMMYFUNCTION("""COMPUTED_VALUE"""),FALSE)</f>
        <v>0</v>
      </c>
      <c r="R382" s="2" t="str">
        <f ca="1">IFERROR(__xludf.DUMMYFUNCTION("""COMPUTED_VALUE"""),"Rectificado")</f>
        <v>Rectificado</v>
      </c>
      <c r="S382" s="2"/>
      <c r="T382" s="2"/>
      <c r="U382" s="2"/>
    </row>
    <row r="383" spans="1:21" x14ac:dyDescent="0.25">
      <c r="A383" s="2" t="str">
        <f ca="1">IFERROR(__xludf.DUMMYFUNCTION("""COMPUTED_VALUE"""),"07cc94cb")</f>
        <v>07cc94cb</v>
      </c>
      <c r="B383" s="5">
        <f ca="1">IFERROR(__xludf.DUMMYFUNCTION("""COMPUTED_VALUE"""),45756.7803587963)</f>
        <v>45756.780358796299</v>
      </c>
      <c r="C383" s="2" t="str">
        <f ca="1">IFERROR(__xludf.DUMMYFUNCTION("""COMPUTED_VALUE"""),"d557e5fd")</f>
        <v>d557e5fd</v>
      </c>
      <c r="D383" s="2">
        <f ca="1">IFERROR(__xludf.DUMMYFUNCTION("""COMPUTED_VALUE"""),11)</f>
        <v>11</v>
      </c>
      <c r="E383" s="2" t="str">
        <f ca="1">IFERROR(__xludf.DUMMYFUNCTION("""COMPUTED_VALUE"""),"Syrah s/Asp 3ra")</f>
        <v>Syrah s/Asp 3ra</v>
      </c>
      <c r="F383" s="2">
        <f ca="1">IFERROR(__xludf.DUMMYFUNCTION("""COMPUTED_VALUE"""),900)</f>
        <v>900</v>
      </c>
      <c r="G383" s="2">
        <f ca="1">IFERROR(__xludf.DUMMYFUNCTION("""COMPUTED_VALUE"""),935)</f>
        <v>935</v>
      </c>
      <c r="H383" s="2" t="str">
        <f ca="1">IFERROR(__xludf.DUMMYFUNCTION("""COMPUTED_VALUE"""),"81ccb7ca")</f>
        <v>81ccb7ca</v>
      </c>
      <c r="I383" s="2" t="str">
        <f ca="1">IFERROR(__xludf.DUMMYFUNCTION("""COMPUTED_VALUE"""),"Borra")</f>
        <v>Borra</v>
      </c>
      <c r="J383" s="2">
        <f ca="1">IFERROR(__xludf.DUMMYFUNCTION("""COMPUTED_VALUE"""),4000)</f>
        <v>4000</v>
      </c>
      <c r="K383" s="2">
        <f ca="1">IFERROR(__xludf.DUMMYFUNCTION("""COMPUTED_VALUE"""),4900)</f>
        <v>4900</v>
      </c>
      <c r="L383" s="2" t="str">
        <f ca="1">IFERROR(__xludf.DUMMYFUNCTION("""COMPUTED_VALUE"""),"e5691d8b")</f>
        <v>e5691d8b</v>
      </c>
      <c r="M383" s="2" t="str">
        <f ca="1">IFERROR(__xludf.DUMMYFUNCTION("""COMPUTED_VALUE"""),"Borra")</f>
        <v>Borra</v>
      </c>
      <c r="N383" s="2"/>
      <c r="O383" s="2" t="str">
        <f ca="1">IFERROR(__xludf.DUMMYFUNCTION("""COMPUTED_VALUE"""),"Descubada")</f>
        <v>Descubada</v>
      </c>
      <c r="P383" s="2" t="str">
        <f ca="1">IFERROR(__xludf.DUMMYFUNCTION("""COMPUTED_VALUE"""),"Descubada")</f>
        <v>Descubada</v>
      </c>
      <c r="Q383" s="2" t="b">
        <f ca="1">IFERROR(__xludf.DUMMYFUNCTION("""COMPUTED_VALUE"""),TRUE)</f>
        <v>1</v>
      </c>
      <c r="R383" s="2" t="str">
        <f ca="1">IFERROR(__xludf.DUMMYFUNCTION("""COMPUTED_VALUE"""),"Descubada")</f>
        <v>Descubada</v>
      </c>
      <c r="S383" s="2"/>
      <c r="T383" s="2"/>
      <c r="U383" s="2"/>
    </row>
    <row r="384" spans="1:21" x14ac:dyDescent="0.25">
      <c r="A384" s="2" t="str">
        <f ca="1">IFERROR(__xludf.DUMMYFUNCTION("""COMPUTED_VALUE"""),"06915f8e")</f>
        <v>06915f8e</v>
      </c>
      <c r="B384" s="5">
        <f ca="1">IFERROR(__xludf.DUMMYFUNCTION("""COMPUTED_VALUE"""),45756.7836805555)</f>
        <v>45756.783680555498</v>
      </c>
      <c r="C384" s="2" t="str">
        <f ca="1">IFERROR(__xludf.DUMMYFUNCTION("""COMPUTED_VALUE"""),"36a5b1dd")</f>
        <v>36a5b1dd</v>
      </c>
      <c r="D384" s="2">
        <f ca="1">IFERROR(__xludf.DUMMYFUNCTION("""COMPUTED_VALUE"""),6)</f>
        <v>6</v>
      </c>
      <c r="E384" s="2" t="str">
        <f ca="1">IFERROR(__xludf.DUMMYFUNCTION("""COMPUTED_VALUE"""),"Criolla Flotada")</f>
        <v>Criolla Flotada</v>
      </c>
      <c r="F384" s="2">
        <f ca="1">IFERROR(__xludf.DUMMYFUNCTION("""COMPUTED_VALUE"""),17100)</f>
        <v>17100</v>
      </c>
      <c r="G384" s="2">
        <f ca="1">IFERROR(__xludf.DUMMYFUNCTION("""COMPUTED_VALUE"""),85)</f>
        <v>85</v>
      </c>
      <c r="H384" s="2" t="str">
        <f ca="1">IFERROR(__xludf.DUMMYFUNCTION("""COMPUTED_VALUE"""),"12119242")</f>
        <v>12119242</v>
      </c>
      <c r="I384" s="2" t="str">
        <f ca="1">IFERROR(__xludf.DUMMYFUNCTION("""COMPUTED_VALUE"""),"Tinto s/Ma Bo")</f>
        <v>Tinto s/Ma Bo</v>
      </c>
      <c r="J384" s="2">
        <f ca="1">IFERROR(__xludf.DUMMYFUNCTION("""COMPUTED_VALUE"""),46600)</f>
        <v>46600</v>
      </c>
      <c r="K384" s="2">
        <f ca="1">IFERROR(__xludf.DUMMYFUNCTION("""COMPUTED_VALUE"""),63700)</f>
        <v>63700</v>
      </c>
      <c r="L384" s="2" t="str">
        <f ca="1">IFERROR(__xludf.DUMMYFUNCTION("""COMPUTED_VALUE"""),"1324322a")</f>
        <v>1324322a</v>
      </c>
      <c r="M384" s="2" t="str">
        <f ca="1">IFERROR(__xludf.DUMMYFUNCTION("""COMPUTED_VALUE"""),"Tinto s/Ma Bo")</f>
        <v>Tinto s/Ma Bo</v>
      </c>
      <c r="N384" s="2"/>
      <c r="O384" s="2" t="str">
        <f ca="1">IFERROR(__xludf.DUMMYFUNCTION("""COMPUTED_VALUE"""),"Fermentando")</f>
        <v>Fermentando</v>
      </c>
      <c r="P384" s="2" t="str">
        <f ca="1">IFERROR(__xludf.DUMMYFUNCTION("""COMPUTED_VALUE"""),"Recarga Fermentando")</f>
        <v>Recarga Fermentando</v>
      </c>
      <c r="Q384" s="2" t="b">
        <f ca="1">IFERROR(__xludf.DUMMYFUNCTION("""COMPUTED_VALUE"""),TRUE)</f>
        <v>1</v>
      </c>
      <c r="R384" s="2" t="str">
        <f ca="1">IFERROR(__xludf.DUMMYFUNCTION("""COMPUTED_VALUE"""),"Recarga Fermentando")</f>
        <v>Recarga Fermentando</v>
      </c>
      <c r="S384" s="2"/>
      <c r="T384" s="2"/>
      <c r="U384" s="2"/>
    </row>
    <row r="385" spans="1:21" x14ac:dyDescent="0.25">
      <c r="A385" s="2" t="str">
        <f ca="1">IFERROR(__xludf.DUMMYFUNCTION("""COMPUTED_VALUE"""),"2760a910")</f>
        <v>2760a910</v>
      </c>
      <c r="B385" s="5">
        <f ca="1">IFERROR(__xludf.DUMMYFUNCTION("""COMPUTED_VALUE"""),45756.7991087962)</f>
        <v>45756.7991087962</v>
      </c>
      <c r="C385" s="2" t="str">
        <f ca="1">IFERROR(__xludf.DUMMYFUNCTION("""COMPUTED_VALUE"""),"03ffe0d5")</f>
        <v>03ffe0d5</v>
      </c>
      <c r="D385" s="2">
        <f ca="1">IFERROR(__xludf.DUMMYFUNCTION("""COMPUTED_VALUE"""),118)</f>
        <v>118</v>
      </c>
      <c r="E385" s="2" t="str">
        <f ca="1">IFERROR(__xludf.DUMMYFUNCTION("""COMPUTED_VALUE"""),"Syrah")</f>
        <v>Syrah</v>
      </c>
      <c r="F385" s="2">
        <f ca="1">IFERROR(__xludf.DUMMYFUNCTION("""COMPUTED_VALUE"""),7600)</f>
        <v>7600</v>
      </c>
      <c r="G385" s="2">
        <f ca="1">IFERROR(__xludf.DUMMYFUNCTION("""COMPUTED_VALUE"""),500)</f>
        <v>500</v>
      </c>
      <c r="H385" s="2" t="str">
        <f ca="1">IFERROR(__xludf.DUMMYFUNCTION("""COMPUTED_VALUE"""),"da6946d0")</f>
        <v>da6946d0</v>
      </c>
      <c r="I385" s="2" t="str">
        <f ca="1">IFERROR(__xludf.DUMMYFUNCTION("""COMPUTED_VALUE"""),"Ajuste Arqueo Bodega 7/04/25")</f>
        <v>Ajuste Arqueo Bodega 7/04/25</v>
      </c>
      <c r="J385" s="2">
        <f ca="1">IFERROR(__xludf.DUMMYFUNCTION("""COMPUTED_VALUE"""),2551)</f>
        <v>2551</v>
      </c>
      <c r="K385" s="2">
        <f ca="1">IFERROR(__xludf.DUMMYFUNCTION("""COMPUTED_VALUE"""),10151)</f>
        <v>10151</v>
      </c>
      <c r="L385" s="2" t="str">
        <f ca="1">IFERROR(__xludf.DUMMYFUNCTION("""COMPUTED_VALUE"""),"86296256")</f>
        <v>86296256</v>
      </c>
      <c r="M385" s="2" t="str">
        <f ca="1">IFERROR(__xludf.DUMMYFUNCTION("""COMPUTED_VALUE"""),"Ajuste Arqueo Bodega 7/04/25")</f>
        <v>Ajuste Arqueo Bodega 7/04/25</v>
      </c>
      <c r="N385" s="2"/>
      <c r="O385" s="2" t="str">
        <f ca="1">IFERROR(__xludf.DUMMYFUNCTION("""COMPUTED_VALUE"""),"Descubada")</f>
        <v>Descubada</v>
      </c>
      <c r="P385" s="2" t="str">
        <f ca="1">IFERROR(__xludf.DUMMYFUNCTION("""COMPUTED_VALUE"""),"Terminado")</f>
        <v>Terminado</v>
      </c>
      <c r="Q385" s="2" t="b">
        <f ca="1">IFERROR(__xludf.DUMMYFUNCTION("""COMPUTED_VALUE"""),TRUE)</f>
        <v>1</v>
      </c>
      <c r="R385" s="2" t="str">
        <f ca="1">IFERROR(__xludf.DUMMYFUNCTION("""COMPUTED_VALUE"""),"Terminado")</f>
        <v>Terminado</v>
      </c>
      <c r="S385" s="2"/>
      <c r="T385" s="2"/>
      <c r="U385" s="2"/>
    </row>
    <row r="386" spans="1:21" x14ac:dyDescent="0.25">
      <c r="A386" s="2" t="str">
        <f ca="1">IFERROR(__xludf.DUMMYFUNCTION("""COMPUTED_VALUE"""),"d5bf5b1a")</f>
        <v>d5bf5b1a</v>
      </c>
      <c r="B386" s="5">
        <f ca="1">IFERROR(__xludf.DUMMYFUNCTION("""COMPUTED_VALUE"""),45757.7788657407)</f>
        <v>45757.7788657407</v>
      </c>
      <c r="C386" s="2" t="str">
        <f ca="1">IFERROR(__xludf.DUMMYFUNCTION("""COMPUTED_VALUE"""),"97b5422c")</f>
        <v>97b5422c</v>
      </c>
      <c r="D386" s="2">
        <f ca="1">IFERROR(__xludf.DUMMYFUNCTION("""COMPUTED_VALUE"""),86)</f>
        <v>86</v>
      </c>
      <c r="E386" s="2" t="str">
        <f ca="1">IFERROR(__xludf.DUMMYFUNCTION("""COMPUTED_VALUE"""),"Bonarda")</f>
        <v>Bonarda</v>
      </c>
      <c r="F386" s="2">
        <f ca="1">IFERROR(__xludf.DUMMYFUNCTION("""COMPUTED_VALUE"""),54500)</f>
        <v>54500</v>
      </c>
      <c r="G386" s="2">
        <f ca="1">IFERROR(__xludf.DUMMYFUNCTION("""COMPUTED_VALUE"""),28)</f>
        <v>28</v>
      </c>
      <c r="H386" s="2" t="str">
        <f ca="1">IFERROR(__xludf.DUMMYFUNCTION("""COMPUTED_VALUE"""),"a35017ce")</f>
        <v>a35017ce</v>
      </c>
      <c r="I386" s="2" t="str">
        <f ca="1">IFERROR(__xludf.DUMMYFUNCTION("""COMPUTED_VALUE"""),"Bonarda")</f>
        <v>Bonarda</v>
      </c>
      <c r="J386" s="2">
        <f ca="1">IFERROR(__xludf.DUMMYFUNCTION("""COMPUTED_VALUE"""),65500)</f>
        <v>65500</v>
      </c>
      <c r="K386" s="2">
        <f ca="1">IFERROR(__xludf.DUMMYFUNCTION("""COMPUTED_VALUE"""),120000)</f>
        <v>120000</v>
      </c>
      <c r="L386" s="2" t="str">
        <f ca="1">IFERROR(__xludf.DUMMYFUNCTION("""COMPUTED_VALUE"""),"7617bf80")</f>
        <v>7617bf80</v>
      </c>
      <c r="M386" s="2" t="str">
        <f ca="1">IFERROR(__xludf.DUMMYFUNCTION("""COMPUTED_VALUE"""),"Bonarda")</f>
        <v>Bonarda</v>
      </c>
      <c r="N386" s="2"/>
      <c r="O386" s="2" t="str">
        <f ca="1">IFERROR(__xludf.DUMMYFUNCTION("""COMPUTED_VALUE"""),"Fermentando")</f>
        <v>Fermentando</v>
      </c>
      <c r="P386" s="2" t="str">
        <f ca="1">IFERROR(__xludf.DUMMYFUNCTION("""COMPUTED_VALUE"""),"Descubada")</f>
        <v>Descubada</v>
      </c>
      <c r="Q386" s="2" t="b">
        <f ca="1">IFERROR(__xludf.DUMMYFUNCTION("""COMPUTED_VALUE"""),TRUE)</f>
        <v>1</v>
      </c>
      <c r="R386" s="2" t="str">
        <f ca="1">IFERROR(__xludf.DUMMYFUNCTION("""COMPUTED_VALUE"""),"Descubada")</f>
        <v>Descubada</v>
      </c>
      <c r="S386" s="2"/>
      <c r="T386" s="2"/>
      <c r="U386" s="2"/>
    </row>
    <row r="387" spans="1:21" x14ac:dyDescent="0.25">
      <c r="A387" s="2" t="str">
        <f ca="1">IFERROR(__xludf.DUMMYFUNCTION("""COMPUTED_VALUE"""),"0d8df612")</f>
        <v>0d8df612</v>
      </c>
      <c r="B387" s="5">
        <f ca="1">IFERROR(__xludf.DUMMYFUNCTION("""COMPUTED_VALUE"""),45757.7803587963)</f>
        <v>45757.780358796299</v>
      </c>
      <c r="C387" s="2" t="str">
        <f ca="1">IFERROR(__xludf.DUMMYFUNCTION("""COMPUTED_VALUE"""),"4a5cb789")</f>
        <v>4a5cb789</v>
      </c>
      <c r="D387" s="2">
        <f ca="1">IFERROR(__xludf.DUMMYFUNCTION("""COMPUTED_VALUE"""),54)</f>
        <v>54</v>
      </c>
      <c r="E387" s="2" t="str">
        <f ca="1">IFERROR(__xludf.DUMMYFUNCTION("""COMPUTED_VALUE"""),"Chardonnay 24 Rect")</f>
        <v>Chardonnay 24 Rect</v>
      </c>
      <c r="F387" s="2">
        <f ca="1">IFERROR(__xludf.DUMMYFUNCTION("""COMPUTED_VALUE"""),6500)</f>
        <v>6500</v>
      </c>
      <c r="G387" s="2">
        <f ca="1">IFERROR(__xludf.DUMMYFUNCTION("""COMPUTED_VALUE"""),96)</f>
        <v>96</v>
      </c>
      <c r="H387" s="2" t="str">
        <f ca="1">IFERROR(__xludf.DUMMYFUNCTION("""COMPUTED_VALUE"""),"d4245129")</f>
        <v>d4245129</v>
      </c>
      <c r="I387" s="2" t="str">
        <f ca="1">IFERROR(__xludf.DUMMYFUNCTION("""COMPUTED_VALUE"""),"Malbec")</f>
        <v>Malbec</v>
      </c>
      <c r="J387" s="2">
        <f ca="1">IFERROR(__xludf.DUMMYFUNCTION("""COMPUTED_VALUE"""),46300)</f>
        <v>46300</v>
      </c>
      <c r="K387" s="2">
        <f ca="1">IFERROR(__xludf.DUMMYFUNCTION("""COMPUTED_VALUE"""),52800)</f>
        <v>52800</v>
      </c>
      <c r="L387" s="2" t="str">
        <f ca="1">IFERROR(__xludf.DUMMYFUNCTION("""COMPUTED_VALUE"""),"4b2f415c")</f>
        <v>4b2f415c</v>
      </c>
      <c r="M387" s="2" t="str">
        <f ca="1">IFERROR(__xludf.DUMMYFUNCTION("""COMPUTED_VALUE"""),"Malbec")</f>
        <v>Malbec</v>
      </c>
      <c r="N387" s="2" t="str">
        <f ca="1">IFERROR(__xludf.DUMMYFUNCTION("""COMPUTED_VALUE"""),"Agregado de rectificado")</f>
        <v>Agregado de rectificado</v>
      </c>
      <c r="O387" s="2" t="str">
        <f ca="1">IFERROR(__xludf.DUMMYFUNCTION("""COMPUTED_VALUE"""),"Rectificado")</f>
        <v>Rectificado</v>
      </c>
      <c r="P387" s="2" t="str">
        <f ca="1">IFERROR(__xludf.DUMMYFUNCTION("""COMPUTED_VALUE"""),"Fermentando")</f>
        <v>Fermentando</v>
      </c>
      <c r="Q387" s="2" t="b">
        <f ca="1">IFERROR(__xludf.DUMMYFUNCTION("""COMPUTED_VALUE"""),TRUE)</f>
        <v>1</v>
      </c>
      <c r="R387" s="2" t="str">
        <f ca="1">IFERROR(__xludf.DUMMYFUNCTION("""COMPUTED_VALUE"""),"Fermentando")</f>
        <v>Fermentando</v>
      </c>
      <c r="S387" s="2"/>
      <c r="T387" s="2"/>
      <c r="U387" s="2"/>
    </row>
    <row r="388" spans="1:21" x14ac:dyDescent="0.25">
      <c r="A388" s="2" t="str">
        <f ca="1">IFERROR(__xludf.DUMMYFUNCTION("""COMPUTED_VALUE"""),"1a37214c")</f>
        <v>1a37214c</v>
      </c>
      <c r="B388" s="5">
        <f ca="1">IFERROR(__xludf.DUMMYFUNCTION("""COMPUTED_VALUE"""),45757.7809722222)</f>
        <v>45757.780972222201</v>
      </c>
      <c r="C388" s="2" t="str">
        <f ca="1">IFERROR(__xludf.DUMMYFUNCTION("""COMPUTED_VALUE"""),"4a5cb789")</f>
        <v>4a5cb789</v>
      </c>
      <c r="D388" s="2">
        <f ca="1">IFERROR(__xludf.DUMMYFUNCTION("""COMPUTED_VALUE"""),54)</f>
        <v>54</v>
      </c>
      <c r="E388" s="2" t="str">
        <f ca="1">IFERROR(__xludf.DUMMYFUNCTION("""COMPUTED_VALUE"""),"Chardonnay 24 Rect")</f>
        <v>Chardonnay 24 Rect</v>
      </c>
      <c r="F388" s="2">
        <f ca="1">IFERROR(__xludf.DUMMYFUNCTION("""COMPUTED_VALUE"""),6500)</f>
        <v>6500</v>
      </c>
      <c r="G388" s="2">
        <f ca="1">IFERROR(__xludf.DUMMYFUNCTION("""COMPUTED_VALUE"""),95)</f>
        <v>95</v>
      </c>
      <c r="H388" s="2" t="str">
        <f ca="1">IFERROR(__xludf.DUMMYFUNCTION("""COMPUTED_VALUE"""),"ed82825c")</f>
        <v>ed82825c</v>
      </c>
      <c r="I388" s="2" t="str">
        <f ca="1">IFERROR(__xludf.DUMMYFUNCTION("""COMPUTED_VALUE"""),"Cabernet Sauvignon")</f>
        <v>Cabernet Sauvignon</v>
      </c>
      <c r="J388" s="2">
        <f ca="1">IFERROR(__xludf.DUMMYFUNCTION("""COMPUTED_VALUE"""),62000)</f>
        <v>62000</v>
      </c>
      <c r="K388" s="2">
        <f ca="1">IFERROR(__xludf.DUMMYFUNCTION("""COMPUTED_VALUE"""),68500)</f>
        <v>68500</v>
      </c>
      <c r="L388" s="2" t="str">
        <f ca="1">IFERROR(__xludf.DUMMYFUNCTION("""COMPUTED_VALUE"""),"23f4cc53")</f>
        <v>23f4cc53</v>
      </c>
      <c r="M388" s="2" t="str">
        <f ca="1">IFERROR(__xludf.DUMMYFUNCTION("""COMPUTED_VALUE"""),"Cabernet Sauvignon")</f>
        <v>Cabernet Sauvignon</v>
      </c>
      <c r="N388" s="2" t="str">
        <f ca="1">IFERROR(__xludf.DUMMYFUNCTION("""COMPUTED_VALUE"""),"Agregado REctificado")</f>
        <v>Agregado REctificado</v>
      </c>
      <c r="O388" s="2" t="str">
        <f ca="1">IFERROR(__xludf.DUMMYFUNCTION("""COMPUTED_VALUE"""),"Rectificado")</f>
        <v>Rectificado</v>
      </c>
      <c r="P388" s="2" t="str">
        <f ca="1">IFERROR(__xludf.DUMMYFUNCTION("""COMPUTED_VALUE"""),"Fermentando")</f>
        <v>Fermentando</v>
      </c>
      <c r="Q388" s="2" t="b">
        <f ca="1">IFERROR(__xludf.DUMMYFUNCTION("""COMPUTED_VALUE"""),TRUE)</f>
        <v>1</v>
      </c>
      <c r="R388" s="2" t="str">
        <f ca="1">IFERROR(__xludf.DUMMYFUNCTION("""COMPUTED_VALUE"""),"Fermentando")</f>
        <v>Fermentando</v>
      </c>
      <c r="S388" s="2"/>
      <c r="T388" s="2"/>
      <c r="U388" s="2"/>
    </row>
    <row r="389" spans="1:21" x14ac:dyDescent="0.25">
      <c r="A389" s="2" t="str">
        <f ca="1">IFERROR(__xludf.DUMMYFUNCTION("""COMPUTED_VALUE"""),"b058571c")</f>
        <v>b058571c</v>
      </c>
      <c r="B389" s="5">
        <f ca="1">IFERROR(__xludf.DUMMYFUNCTION("""COMPUTED_VALUE"""),45758.7097106481)</f>
        <v>45758.709710648101</v>
      </c>
      <c r="C389" s="2" t="str">
        <f ca="1">IFERROR(__xludf.DUMMYFUNCTION("""COMPUTED_VALUE"""),"e8ae99cd")</f>
        <v>e8ae99cd</v>
      </c>
      <c r="D389" s="2">
        <f ca="1">IFERROR(__xludf.DUMMYFUNCTION("""COMPUTED_VALUE"""),83)</f>
        <v>83</v>
      </c>
      <c r="E389" s="2" t="str">
        <f ca="1">IFERROR(__xludf.DUMMYFUNCTION("""COMPUTED_VALUE"""),"Bonarda")</f>
        <v>Bonarda</v>
      </c>
      <c r="F389" s="2">
        <f ca="1">IFERROR(__xludf.DUMMYFUNCTION("""COMPUTED_VALUE"""),51300)</f>
        <v>51300</v>
      </c>
      <c r="G389" s="2">
        <f ca="1">IFERROR(__xludf.DUMMYFUNCTION("""COMPUTED_VALUE"""),28)</f>
        <v>28</v>
      </c>
      <c r="H389" s="2" t="str">
        <f ca="1">IFERROR(__xludf.DUMMYFUNCTION("""COMPUTED_VALUE"""),"7617bf80")</f>
        <v>7617bf80</v>
      </c>
      <c r="I389" s="2" t="str">
        <f ca="1">IFERROR(__xludf.DUMMYFUNCTION("""COMPUTED_VALUE"""),"Bonarda")</f>
        <v>Bonarda</v>
      </c>
      <c r="J389" s="2">
        <f ca="1">IFERROR(__xludf.DUMMYFUNCTION("""COMPUTED_VALUE"""),120000)</f>
        <v>120000</v>
      </c>
      <c r="K389" s="2">
        <f ca="1">IFERROR(__xludf.DUMMYFUNCTION("""COMPUTED_VALUE"""),171300)</f>
        <v>171300</v>
      </c>
      <c r="L389" s="2" t="str">
        <f ca="1">IFERROR(__xludf.DUMMYFUNCTION("""COMPUTED_VALUE"""),"459c7a85")</f>
        <v>459c7a85</v>
      </c>
      <c r="M389" s="2" t="str">
        <f ca="1">IFERROR(__xludf.DUMMYFUNCTION("""COMPUTED_VALUE"""),"Bonarda")</f>
        <v>Bonarda</v>
      </c>
      <c r="N389" s="2"/>
      <c r="O389" s="2" t="str">
        <f ca="1">IFERROR(__xludf.DUMMYFUNCTION("""COMPUTED_VALUE"""),"Fermentando")</f>
        <v>Fermentando</v>
      </c>
      <c r="P389" s="2" t="str">
        <f ca="1">IFERROR(__xludf.DUMMYFUNCTION("""COMPUTED_VALUE"""),"Descubada")</f>
        <v>Descubada</v>
      </c>
      <c r="Q389" s="2" t="b">
        <f ca="1">IFERROR(__xludf.DUMMYFUNCTION("""COMPUTED_VALUE"""),TRUE)</f>
        <v>1</v>
      </c>
      <c r="R389" s="2" t="str">
        <f ca="1">IFERROR(__xludf.DUMMYFUNCTION("""COMPUTED_VALUE"""),"Descubada")</f>
        <v>Descubada</v>
      </c>
      <c r="S389" s="2"/>
      <c r="T389" s="2"/>
      <c r="U389" s="2"/>
    </row>
    <row r="390" spans="1:21" x14ac:dyDescent="0.25">
      <c r="A390" s="2" t="str">
        <f ca="1">IFERROR(__xludf.DUMMYFUNCTION("""COMPUTED_VALUE"""),"8a40d94b")</f>
        <v>8a40d94b</v>
      </c>
      <c r="B390" s="5">
        <f ca="1">IFERROR(__xludf.DUMMYFUNCTION("""COMPUTED_VALUE"""),45758.8901504629)</f>
        <v>45758.890150462903</v>
      </c>
      <c r="C390" s="2" t="str">
        <f ca="1">IFERROR(__xludf.DUMMYFUNCTION("""COMPUTED_VALUE"""),"2169295d")</f>
        <v>2169295d</v>
      </c>
      <c r="D390" s="2">
        <f ca="1">IFERROR(__xludf.DUMMYFUNCTION("""COMPUTED_VALUE"""),41)</f>
        <v>41</v>
      </c>
      <c r="E390" s="2" t="str">
        <f ca="1">IFERROR(__xludf.DUMMYFUNCTION("""COMPUTED_VALUE"""),"Syrah Rect")</f>
        <v>Syrah Rect</v>
      </c>
      <c r="F390" s="2">
        <f ca="1">IFERROR(__xludf.DUMMYFUNCTION("""COMPUTED_VALUE"""),8150)</f>
        <v>8150</v>
      </c>
      <c r="G390" s="2">
        <f ca="1">IFERROR(__xludf.DUMMYFUNCTION("""COMPUTED_VALUE"""),88)</f>
        <v>88</v>
      </c>
      <c r="H390" s="2" t="str">
        <f ca="1">IFERROR(__xludf.DUMMYFUNCTION("""COMPUTED_VALUE"""),"e12682eb")</f>
        <v>e12682eb</v>
      </c>
      <c r="I390" s="2" t="str">
        <f ca="1">IFERROR(__xludf.DUMMYFUNCTION("""COMPUTED_VALUE"""),"Bonarda")</f>
        <v>Bonarda</v>
      </c>
      <c r="J390" s="2">
        <f ca="1">IFERROR(__xludf.DUMMYFUNCTION("""COMPUTED_VALUE"""),38000)</f>
        <v>38000</v>
      </c>
      <c r="K390" s="2">
        <f ca="1">IFERROR(__xludf.DUMMYFUNCTION("""COMPUTED_VALUE"""),46150)</f>
        <v>46150</v>
      </c>
      <c r="L390" s="2" t="str">
        <f ca="1">IFERROR(__xludf.DUMMYFUNCTION("""COMPUTED_VALUE"""),"2aac908d")</f>
        <v>2aac908d</v>
      </c>
      <c r="M390" s="2" t="str">
        <f ca="1">IFERROR(__xludf.DUMMYFUNCTION("""COMPUTED_VALUE"""),"Bonarda")</f>
        <v>Bonarda</v>
      </c>
      <c r="N390" s="2"/>
      <c r="O390" s="2" t="str">
        <f ca="1">IFERROR(__xludf.DUMMYFUNCTION("""COMPUTED_VALUE"""),"Rectificado")</f>
        <v>Rectificado</v>
      </c>
      <c r="P390" s="2" t="str">
        <f ca="1">IFERROR(__xludf.DUMMYFUNCTION("""COMPUTED_VALUE"""),"Fermentando")</f>
        <v>Fermentando</v>
      </c>
      <c r="Q390" s="2" t="b">
        <f ca="1">IFERROR(__xludf.DUMMYFUNCTION("""COMPUTED_VALUE"""),TRUE)</f>
        <v>1</v>
      </c>
      <c r="R390" s="2" t="str">
        <f ca="1">IFERROR(__xludf.DUMMYFUNCTION("""COMPUTED_VALUE"""),"Fermentando")</f>
        <v>Fermentando</v>
      </c>
      <c r="S390" s="2"/>
      <c r="T390" s="2"/>
      <c r="U390" s="2"/>
    </row>
    <row r="391" spans="1:21" x14ac:dyDescent="0.25">
      <c r="A391" s="2" t="str">
        <f ca="1">IFERROR(__xludf.DUMMYFUNCTION("""COMPUTED_VALUE"""),"2acac0c3")</f>
        <v>2acac0c3</v>
      </c>
      <c r="B391" s="5">
        <f ca="1">IFERROR(__xludf.DUMMYFUNCTION("""COMPUTED_VALUE"""),45758.891574074)</f>
        <v>45758.891574073998</v>
      </c>
      <c r="C391" s="2" t="str">
        <f ca="1">IFERROR(__xludf.DUMMYFUNCTION("""COMPUTED_VALUE"""),"2169295d")</f>
        <v>2169295d</v>
      </c>
      <c r="D391" s="2">
        <f ca="1">IFERROR(__xludf.DUMMYFUNCTION("""COMPUTED_VALUE"""),41)</f>
        <v>41</v>
      </c>
      <c r="E391" s="2" t="str">
        <f ca="1">IFERROR(__xludf.DUMMYFUNCTION("""COMPUTED_VALUE"""),"Syrah Rect")</f>
        <v>Syrah Rect</v>
      </c>
      <c r="F391" s="2">
        <f ca="1">IFERROR(__xludf.DUMMYFUNCTION("""COMPUTED_VALUE"""),4500)</f>
        <v>4500</v>
      </c>
      <c r="G391" s="2">
        <f ca="1">IFERROR(__xludf.DUMMYFUNCTION("""COMPUTED_VALUE"""),82)</f>
        <v>82</v>
      </c>
      <c r="H391" s="2" t="str">
        <f ca="1">IFERROR(__xludf.DUMMYFUNCTION("""COMPUTED_VALUE"""),"0998b1b9")</f>
        <v>0998b1b9</v>
      </c>
      <c r="I391" s="2" t="str">
        <f ca="1">IFERROR(__xludf.DUMMYFUNCTION("""COMPUTED_VALUE"""),"Malbec")</f>
        <v>Malbec</v>
      </c>
      <c r="J391" s="2">
        <f ca="1">IFERROR(__xludf.DUMMYFUNCTION("""COMPUTED_VALUE"""),28500)</f>
        <v>28500</v>
      </c>
      <c r="K391" s="2">
        <f ca="1">IFERROR(__xludf.DUMMYFUNCTION("""COMPUTED_VALUE"""),33000)</f>
        <v>33000</v>
      </c>
      <c r="L391" s="2" t="str">
        <f ca="1">IFERROR(__xludf.DUMMYFUNCTION("""COMPUTED_VALUE"""),"db841e43")</f>
        <v>db841e43</v>
      </c>
      <c r="M391" s="2" t="str">
        <f ca="1">IFERROR(__xludf.DUMMYFUNCTION("""COMPUTED_VALUE"""),"Malbec")</f>
        <v>Malbec</v>
      </c>
      <c r="N391" s="2"/>
      <c r="O391" s="2" t="str">
        <f ca="1">IFERROR(__xludf.DUMMYFUNCTION("""COMPUTED_VALUE"""),"Rectificado")</f>
        <v>Rectificado</v>
      </c>
      <c r="P391" s="2" t="str">
        <f ca="1">IFERROR(__xludf.DUMMYFUNCTION("""COMPUTED_VALUE"""),"Fermentando")</f>
        <v>Fermentando</v>
      </c>
      <c r="Q391" s="2" t="b">
        <f ca="1">IFERROR(__xludf.DUMMYFUNCTION("""COMPUTED_VALUE"""),TRUE)</f>
        <v>1</v>
      </c>
      <c r="R391" s="2" t="str">
        <f ca="1">IFERROR(__xludf.DUMMYFUNCTION("""COMPUTED_VALUE"""),"Fermentando")</f>
        <v>Fermentando</v>
      </c>
      <c r="S391" s="2"/>
      <c r="T391" s="2"/>
      <c r="U391" s="2"/>
    </row>
    <row r="392" spans="1:21" x14ac:dyDescent="0.25">
      <c r="A392" s="2" t="str">
        <f ca="1">IFERROR(__xludf.DUMMYFUNCTION("""COMPUTED_VALUE"""),"fa5421be")</f>
        <v>fa5421be</v>
      </c>
      <c r="B392" s="5">
        <f ca="1">IFERROR(__xludf.DUMMYFUNCTION("""COMPUTED_VALUE"""),45758.8927777777)</f>
        <v>45758.892777777699</v>
      </c>
      <c r="C392" s="2" t="str">
        <f ca="1">IFERROR(__xludf.DUMMYFUNCTION("""COMPUTED_VALUE"""),"2169295d")</f>
        <v>2169295d</v>
      </c>
      <c r="D392" s="2">
        <f ca="1">IFERROR(__xludf.DUMMYFUNCTION("""COMPUTED_VALUE"""),41)</f>
        <v>41</v>
      </c>
      <c r="E392" s="2" t="str">
        <f ca="1">IFERROR(__xludf.DUMMYFUNCTION("""COMPUTED_VALUE"""),"Syrah Rect")</f>
        <v>Syrah Rect</v>
      </c>
      <c r="F392" s="2">
        <f ca="1">IFERROR(__xludf.DUMMYFUNCTION("""COMPUTED_VALUE"""),7250)</f>
        <v>7250</v>
      </c>
      <c r="G392" s="2">
        <f ca="1">IFERROR(__xludf.DUMMYFUNCTION("""COMPUTED_VALUE"""),65)</f>
        <v>65</v>
      </c>
      <c r="H392" s="2" t="str">
        <f ca="1">IFERROR(__xludf.DUMMYFUNCTION("""COMPUTED_VALUE"""),"aa8ee5bf")</f>
        <v>aa8ee5bf</v>
      </c>
      <c r="I392" s="2" t="str">
        <f ca="1">IFERROR(__xludf.DUMMYFUNCTION("""COMPUTED_VALUE"""),"Cabernet Sauvignon")</f>
        <v>Cabernet Sauvignon</v>
      </c>
      <c r="J392" s="2">
        <f ca="1">IFERROR(__xludf.DUMMYFUNCTION("""COMPUTED_VALUE"""),20000)</f>
        <v>20000</v>
      </c>
      <c r="K392" s="2">
        <f ca="1">IFERROR(__xludf.DUMMYFUNCTION("""COMPUTED_VALUE"""),27250)</f>
        <v>27250</v>
      </c>
      <c r="L392" s="2" t="str">
        <f ca="1">IFERROR(__xludf.DUMMYFUNCTION("""COMPUTED_VALUE"""),"e3bf14f2")</f>
        <v>e3bf14f2</v>
      </c>
      <c r="M392" s="2" t="str">
        <f ca="1">IFERROR(__xludf.DUMMYFUNCTION("""COMPUTED_VALUE"""),"Cabernet Sauvignon")</f>
        <v>Cabernet Sauvignon</v>
      </c>
      <c r="N392" s="2"/>
      <c r="O392" s="2" t="str">
        <f ca="1">IFERROR(__xludf.DUMMYFUNCTION("""COMPUTED_VALUE"""),"Rectificado")</f>
        <v>Rectificado</v>
      </c>
      <c r="P392" s="2" t="str">
        <f ca="1">IFERROR(__xludf.DUMMYFUNCTION("""COMPUTED_VALUE"""),"Fermentando")</f>
        <v>Fermentando</v>
      </c>
      <c r="Q392" s="2" t="b">
        <f ca="1">IFERROR(__xludf.DUMMYFUNCTION("""COMPUTED_VALUE"""),TRUE)</f>
        <v>1</v>
      </c>
      <c r="R392" s="2" t="str">
        <f ca="1">IFERROR(__xludf.DUMMYFUNCTION("""COMPUTED_VALUE"""),"Fermentando")</f>
        <v>Fermentando</v>
      </c>
      <c r="S392" s="2"/>
      <c r="T392" s="2"/>
      <c r="U392" s="2"/>
    </row>
    <row r="393" spans="1:21" x14ac:dyDescent="0.25">
      <c r="A393" s="2" t="str">
        <f ca="1">IFERROR(__xludf.DUMMYFUNCTION("""COMPUTED_VALUE"""),"c006adee")</f>
        <v>c006adee</v>
      </c>
      <c r="B393" s="5">
        <f ca="1">IFERROR(__xludf.DUMMYFUNCTION("""COMPUTED_VALUE"""),45758.8932754629)</f>
        <v>45758.893275462899</v>
      </c>
      <c r="C393" s="2" t="str">
        <f ca="1">IFERROR(__xludf.DUMMYFUNCTION("""COMPUTED_VALUE"""),"2169295d")</f>
        <v>2169295d</v>
      </c>
      <c r="D393" s="2">
        <f ca="1">IFERROR(__xludf.DUMMYFUNCTION("""COMPUTED_VALUE"""),41)</f>
        <v>41</v>
      </c>
      <c r="E393" s="2" t="str">
        <f ca="1">IFERROR(__xludf.DUMMYFUNCTION("""COMPUTED_VALUE"""),"Syrah Rect")</f>
        <v>Syrah Rect</v>
      </c>
      <c r="F393" s="2">
        <f ca="1">IFERROR(__xludf.DUMMYFUNCTION("""COMPUTED_VALUE"""),15200)</f>
        <v>15200</v>
      </c>
      <c r="G393" s="2">
        <f ca="1">IFERROR(__xludf.DUMMYFUNCTION("""COMPUTED_VALUE"""),90)</f>
        <v>90</v>
      </c>
      <c r="H393" s="2" t="str">
        <f ca="1">IFERROR(__xludf.DUMMYFUNCTION("""COMPUTED_VALUE"""),"9b730f37")</f>
        <v>9b730f37</v>
      </c>
      <c r="I393" s="2" t="str">
        <f ca="1">IFERROR(__xludf.DUMMYFUNCTION("""COMPUTED_VALUE"""),"Bonarda")</f>
        <v>Bonarda</v>
      </c>
      <c r="J393" s="2">
        <f ca="1">IFERROR(__xludf.DUMMYFUNCTION("""COMPUTED_VALUE"""),59000)</f>
        <v>59000</v>
      </c>
      <c r="K393" s="2">
        <f ca="1">IFERROR(__xludf.DUMMYFUNCTION("""COMPUTED_VALUE"""),71600)</f>
        <v>71600</v>
      </c>
      <c r="L393" s="2" t="str">
        <f ca="1">IFERROR(__xludf.DUMMYFUNCTION("""COMPUTED_VALUE"""),"c0fd1ee4")</f>
        <v>c0fd1ee4</v>
      </c>
      <c r="M393" s="2" t="str">
        <f ca="1">IFERROR(__xludf.DUMMYFUNCTION("""COMPUTED_VALUE"""),"Bonarda")</f>
        <v>Bonarda</v>
      </c>
      <c r="N393" s="2"/>
      <c r="O393" s="2" t="str">
        <f ca="1">IFERROR(__xludf.DUMMYFUNCTION("""COMPUTED_VALUE"""),"Rectificado")</f>
        <v>Rectificado</v>
      </c>
      <c r="P393" s="2" t="str">
        <f ca="1">IFERROR(__xludf.DUMMYFUNCTION("""COMPUTED_VALUE"""),"Fermentando")</f>
        <v>Fermentando</v>
      </c>
      <c r="Q393" s="2" t="b">
        <f ca="1">IFERROR(__xludf.DUMMYFUNCTION("""COMPUTED_VALUE"""),TRUE)</f>
        <v>1</v>
      </c>
      <c r="R393" s="2" t="str">
        <f ca="1">IFERROR(__xludf.DUMMYFUNCTION("""COMPUTED_VALUE"""),"Fermentando")</f>
        <v>Fermentando</v>
      </c>
      <c r="S393" s="2"/>
      <c r="T393" s="2"/>
      <c r="U393" s="2"/>
    </row>
    <row r="394" spans="1:21" x14ac:dyDescent="0.25">
      <c r="A394" s="2" t="str">
        <f ca="1">IFERROR(__xludf.DUMMYFUNCTION("""COMPUTED_VALUE"""),"6dfeebb0")</f>
        <v>6dfeebb0</v>
      </c>
      <c r="B394" s="5">
        <f ca="1">IFERROR(__xludf.DUMMYFUNCTION("""COMPUTED_VALUE"""),45759.5221875)</f>
        <v>45759.522187499999</v>
      </c>
      <c r="C394" s="2" t="str">
        <f ca="1">IFERROR(__xludf.DUMMYFUNCTION("""COMPUTED_VALUE"""),"b8ea839c")</f>
        <v>b8ea839c</v>
      </c>
      <c r="D394" s="2">
        <f ca="1">IFERROR(__xludf.DUMMYFUNCTION("""COMPUTED_VALUE"""),87)</f>
        <v>87</v>
      </c>
      <c r="E394" s="2" t="str">
        <f ca="1">IFERROR(__xludf.DUMMYFUNCTION("""COMPUTED_VALUE"""),"Cabernet Sauv Mec")</f>
        <v>Cabernet Sauv Mec</v>
      </c>
      <c r="F394" s="2">
        <f ca="1">IFERROR(__xludf.DUMMYFUNCTION("""COMPUTED_VALUE"""),56000)</f>
        <v>56000</v>
      </c>
      <c r="G394" s="2">
        <f ca="1">IFERROR(__xludf.DUMMYFUNCTION("""COMPUTED_VALUE"""),120)</f>
        <v>120</v>
      </c>
      <c r="H394" s="2"/>
      <c r="I394" s="2"/>
      <c r="J394" s="2">
        <f ca="1">IFERROR(__xludf.DUMMYFUNCTION("""COMPUTED_VALUE"""),0)</f>
        <v>0</v>
      </c>
      <c r="K394" s="2">
        <f ca="1">IFERROR(__xludf.DUMMYFUNCTION("""COMPUTED_VALUE"""),56000)</f>
        <v>56000</v>
      </c>
      <c r="L394" s="2" t="str">
        <f ca="1">IFERROR(__xludf.DUMMYFUNCTION("""COMPUTED_VALUE"""),"9ddc74ed")</f>
        <v>9ddc74ed</v>
      </c>
      <c r="M394" s="2" t="str">
        <f ca="1">IFERROR(__xludf.DUMMYFUNCTION("""COMPUTED_VALUE"""),"Cabernet Sauvignon")</f>
        <v>Cabernet Sauvignon</v>
      </c>
      <c r="N394" s="2"/>
      <c r="O394" s="2" t="str">
        <f ca="1">IFERROR(__xludf.DUMMYFUNCTION("""COMPUTED_VALUE"""),"Fermentando")</f>
        <v>Fermentando</v>
      </c>
      <c r="P394" s="2"/>
      <c r="Q394" s="2" t="b">
        <f ca="1">IFERROR(__xludf.DUMMYFUNCTION("""COMPUTED_VALUE"""),FALSE)</f>
        <v>0</v>
      </c>
      <c r="R394" s="2" t="str">
        <f ca="1">IFERROR(__xludf.DUMMYFUNCTION("""COMPUTED_VALUE"""),"Descubada")</f>
        <v>Descubada</v>
      </c>
      <c r="S394" s="2"/>
      <c r="T394" s="2"/>
      <c r="U394" s="2"/>
    </row>
    <row r="395" spans="1:21" x14ac:dyDescent="0.25">
      <c r="A395" s="2" t="str">
        <f ca="1">IFERROR(__xludf.DUMMYFUNCTION("""COMPUTED_VALUE"""),"22076a85")</f>
        <v>22076a85</v>
      </c>
      <c r="B395" s="5">
        <f ca="1">IFERROR(__xludf.DUMMYFUNCTION("""COMPUTED_VALUE"""),45759.5229976851)</f>
        <v>45759.522997685097</v>
      </c>
      <c r="C395" s="2" t="str">
        <f ca="1">IFERROR(__xludf.DUMMYFUNCTION("""COMPUTED_VALUE"""),"5c558cca")</f>
        <v>5c558cca</v>
      </c>
      <c r="D395" s="2">
        <f ca="1">IFERROR(__xludf.DUMMYFUNCTION("""COMPUTED_VALUE"""),71)</f>
        <v>71</v>
      </c>
      <c r="E395" s="2" t="str">
        <f ca="1">IFERROR(__xludf.DUMMYFUNCTION("""COMPUTED_VALUE"""),"Cabernet Sauv s/Tanat")</f>
        <v>Cabernet Sauv s/Tanat</v>
      </c>
      <c r="F395" s="2">
        <f ca="1">IFERROR(__xludf.DUMMYFUNCTION("""COMPUTED_VALUE"""),8500)</f>
        <v>8500</v>
      </c>
      <c r="G395" s="2">
        <f ca="1">IFERROR(__xludf.DUMMYFUNCTION("""COMPUTED_VALUE"""),120)</f>
        <v>120</v>
      </c>
      <c r="H395" s="2" t="str">
        <f ca="1">IFERROR(__xludf.DUMMYFUNCTION("""COMPUTED_VALUE"""),"9ddc74ed")</f>
        <v>9ddc74ed</v>
      </c>
      <c r="I395" s="2" t="str">
        <f ca="1">IFERROR(__xludf.DUMMYFUNCTION("""COMPUTED_VALUE"""),"Cabernet Sauvignon")</f>
        <v>Cabernet Sauvignon</v>
      </c>
      <c r="J395" s="2">
        <f ca="1">IFERROR(__xludf.DUMMYFUNCTION("""COMPUTED_VALUE"""),56000)</f>
        <v>56000</v>
      </c>
      <c r="K395" s="2">
        <f ca="1">IFERROR(__xludf.DUMMYFUNCTION("""COMPUTED_VALUE"""),64500)</f>
        <v>64500</v>
      </c>
      <c r="L395" s="2" t="str">
        <f ca="1">IFERROR(__xludf.DUMMYFUNCTION("""COMPUTED_VALUE"""),"f6d580e7")</f>
        <v>f6d580e7</v>
      </c>
      <c r="M395" s="2" t="str">
        <f ca="1">IFERROR(__xludf.DUMMYFUNCTION("""COMPUTED_VALUE"""),"Cabernet Sauvignon")</f>
        <v>Cabernet Sauvignon</v>
      </c>
      <c r="N395" s="2"/>
      <c r="O395" s="2" t="str">
        <f ca="1">IFERROR(__xludf.DUMMYFUNCTION("""COMPUTED_VALUE"""),"Recarga Fermentando")</f>
        <v>Recarga Fermentando</v>
      </c>
      <c r="P395" s="2" t="str">
        <f ca="1">IFERROR(__xludf.DUMMYFUNCTION("""COMPUTED_VALUE"""),"Descubada")</f>
        <v>Descubada</v>
      </c>
      <c r="Q395" s="2" t="b">
        <f ca="1">IFERROR(__xludf.DUMMYFUNCTION("""COMPUTED_VALUE"""),TRUE)</f>
        <v>1</v>
      </c>
      <c r="R395" s="2" t="str">
        <f ca="1">IFERROR(__xludf.DUMMYFUNCTION("""COMPUTED_VALUE"""),"Descubada")</f>
        <v>Descubada</v>
      </c>
      <c r="S395" s="2"/>
      <c r="T395" s="2"/>
      <c r="U395" s="2"/>
    </row>
    <row r="396" spans="1:21" x14ac:dyDescent="0.25">
      <c r="A396" s="2" t="str">
        <f ca="1">IFERROR(__xludf.DUMMYFUNCTION("""COMPUTED_VALUE"""),"510f089f")</f>
        <v>510f089f</v>
      </c>
      <c r="B396" s="5">
        <f ca="1">IFERROR(__xludf.DUMMYFUNCTION("""COMPUTED_VALUE"""),45759.5232291666)</f>
        <v>45759.523229166603</v>
      </c>
      <c r="C396" s="2" t="str">
        <f ca="1">IFERROR(__xludf.DUMMYFUNCTION("""COMPUTED_VALUE"""),"3de4f15e")</f>
        <v>3de4f15e</v>
      </c>
      <c r="D396" s="2">
        <f ca="1">IFERROR(__xludf.DUMMYFUNCTION("""COMPUTED_VALUE"""),72)</f>
        <v>72</v>
      </c>
      <c r="E396" s="2" t="str">
        <f ca="1">IFERROR(__xludf.DUMMYFUNCTION("""COMPUTED_VALUE"""),"Cabernet Sauv s/Tanat")</f>
        <v>Cabernet Sauv s/Tanat</v>
      </c>
      <c r="F396" s="2">
        <f ca="1">IFERROR(__xludf.DUMMYFUNCTION("""COMPUTED_VALUE"""),8000)</f>
        <v>8000</v>
      </c>
      <c r="G396" s="2">
        <f ca="1">IFERROR(__xludf.DUMMYFUNCTION("""COMPUTED_VALUE"""),120)</f>
        <v>120</v>
      </c>
      <c r="H396" s="2" t="str">
        <f ca="1">IFERROR(__xludf.DUMMYFUNCTION("""COMPUTED_VALUE"""),"f6d580e7")</f>
        <v>f6d580e7</v>
      </c>
      <c r="I396" s="2" t="str">
        <f ca="1">IFERROR(__xludf.DUMMYFUNCTION("""COMPUTED_VALUE"""),"Cabernet Sauvignon")</f>
        <v>Cabernet Sauvignon</v>
      </c>
      <c r="J396" s="2">
        <f ca="1">IFERROR(__xludf.DUMMYFUNCTION("""COMPUTED_VALUE"""),64500)</f>
        <v>64500</v>
      </c>
      <c r="K396" s="2">
        <f ca="1">IFERROR(__xludf.DUMMYFUNCTION("""COMPUTED_VALUE"""),72500)</f>
        <v>72500</v>
      </c>
      <c r="L396" s="2" t="str">
        <f ca="1">IFERROR(__xludf.DUMMYFUNCTION("""COMPUTED_VALUE"""),"bb5ac12c")</f>
        <v>bb5ac12c</v>
      </c>
      <c r="M396" s="2" t="str">
        <f ca="1">IFERROR(__xludf.DUMMYFUNCTION("""COMPUTED_VALUE"""),"Cabernet Sauvignon")</f>
        <v>Cabernet Sauvignon</v>
      </c>
      <c r="N396" s="2"/>
      <c r="O396" s="2" t="str">
        <f ca="1">IFERROR(__xludf.DUMMYFUNCTION("""COMPUTED_VALUE"""),"Recarga Fermentando")</f>
        <v>Recarga Fermentando</v>
      </c>
      <c r="P396" s="2" t="str">
        <f ca="1">IFERROR(__xludf.DUMMYFUNCTION("""COMPUTED_VALUE"""),"Descubada")</f>
        <v>Descubada</v>
      </c>
      <c r="Q396" s="2" t="b">
        <f ca="1">IFERROR(__xludf.DUMMYFUNCTION("""COMPUTED_VALUE"""),TRUE)</f>
        <v>1</v>
      </c>
      <c r="R396" s="2" t="str">
        <f ca="1">IFERROR(__xludf.DUMMYFUNCTION("""COMPUTED_VALUE"""),"Descubada")</f>
        <v>Descubada</v>
      </c>
      <c r="S396" s="2"/>
      <c r="T396" s="2"/>
      <c r="U396" s="2"/>
    </row>
    <row r="397" spans="1:2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x14ac:dyDescent="0.25">
      <c r="A398" s="2" t="str">
        <f ca="1">IFERROR(__xludf.DUMMYFUNCTION("""COMPUTED_VALUE"""),"b261060d")</f>
        <v>b261060d</v>
      </c>
      <c r="B398" s="5">
        <f ca="1">IFERROR(__xludf.DUMMYFUNCTION("""COMPUTED_VALUE"""),45759.5257291666)</f>
        <v>45759.525729166598</v>
      </c>
      <c r="C398" s="2" t="str">
        <f ca="1">IFERROR(__xludf.DUMMYFUNCTION("""COMPUTED_VALUE"""),"1324322a")</f>
        <v>1324322a</v>
      </c>
      <c r="D398" s="2">
        <f ca="1">IFERROR(__xludf.DUMMYFUNCTION("""COMPUTED_VALUE"""),85)</f>
        <v>85</v>
      </c>
      <c r="E398" s="2" t="str">
        <f ca="1">IFERROR(__xludf.DUMMYFUNCTION("""COMPUTED_VALUE"""),"Tinto s/Ma Bo")</f>
        <v>Tinto s/Ma Bo</v>
      </c>
      <c r="F398" s="2">
        <f ca="1">IFERROR(__xludf.DUMMYFUNCTION("""COMPUTED_VALUE"""),63700)</f>
        <v>63700</v>
      </c>
      <c r="G398" s="2">
        <f ca="1">IFERROR(__xludf.DUMMYFUNCTION("""COMPUTED_VALUE"""),116)</f>
        <v>116</v>
      </c>
      <c r="H398" s="2"/>
      <c r="I398" s="2" t="str">
        <f ca="1">IFERROR(__xludf.DUMMYFUNCTION("""COMPUTED_VALUE"""),"Gota y prensa")</f>
        <v>Gota y prensa</v>
      </c>
      <c r="J398" s="2">
        <f ca="1">IFERROR(__xludf.DUMMYFUNCTION("""COMPUTED_VALUE"""),0)</f>
        <v>0</v>
      </c>
      <c r="K398" s="2">
        <f ca="1">IFERROR(__xludf.DUMMYFUNCTION("""COMPUTED_VALUE"""),63700)</f>
        <v>63700</v>
      </c>
      <c r="L398" s="2" t="str">
        <f ca="1">IFERROR(__xludf.DUMMYFUNCTION("""COMPUTED_VALUE"""),"27a8c5fb")</f>
        <v>27a8c5fb</v>
      </c>
      <c r="M398" s="2" t="str">
        <f ca="1">IFERROR(__xludf.DUMMYFUNCTION("""COMPUTED_VALUE"""),"Tinto")</f>
        <v>Tinto</v>
      </c>
      <c r="N398" s="2"/>
      <c r="O398" s="2" t="str">
        <f ca="1">IFERROR(__xludf.DUMMYFUNCTION("""COMPUTED_VALUE"""),"Recarga Fermentando")</f>
        <v>Recarga Fermentando</v>
      </c>
      <c r="P398" s="2"/>
      <c r="Q398" s="2" t="b">
        <f ca="1">IFERROR(__xludf.DUMMYFUNCTION("""COMPUTED_VALUE"""),FALSE)</f>
        <v>0</v>
      </c>
      <c r="R398" s="2" t="str">
        <f ca="1">IFERROR(__xludf.DUMMYFUNCTION("""COMPUTED_VALUE"""),"Descubada")</f>
        <v>Descubada</v>
      </c>
      <c r="S398" s="2"/>
      <c r="T398" s="2"/>
      <c r="U398" s="2"/>
    </row>
    <row r="399" spans="1:21" x14ac:dyDescent="0.25">
      <c r="A399" s="2" t="str">
        <f ca="1">IFERROR(__xludf.DUMMYFUNCTION("""COMPUTED_VALUE"""),"b69ece35")</f>
        <v>b69ece35</v>
      </c>
      <c r="B399" s="5">
        <f ca="1">IFERROR(__xludf.DUMMYFUNCTION("""COMPUTED_VALUE"""),45761.7731597222)</f>
        <v>45761.773159722201</v>
      </c>
      <c r="C399" s="2" t="str">
        <f ca="1">IFERROR(__xludf.DUMMYFUNCTION("""COMPUTED_VALUE"""),"6142f4ae")</f>
        <v>6142f4ae</v>
      </c>
      <c r="D399" s="2">
        <f ca="1">IFERROR(__xludf.DUMMYFUNCTION("""COMPUTED_VALUE"""),45)</f>
        <v>45</v>
      </c>
      <c r="E399" s="2" t="str">
        <f ca="1">IFERROR(__xludf.DUMMYFUNCTION("""COMPUTED_VALUE"""),"Syrah")</f>
        <v>Syrah</v>
      </c>
      <c r="F399" s="2">
        <f ca="1">IFERROR(__xludf.DUMMYFUNCTION("""COMPUTED_VALUE"""),30000)</f>
        <v>30000</v>
      </c>
      <c r="G399" s="2">
        <f ca="1">IFERROR(__xludf.DUMMYFUNCTION("""COMPUTED_VALUE"""),11)</f>
        <v>11</v>
      </c>
      <c r="H399" s="2"/>
      <c r="I399" s="2"/>
      <c r="J399" s="2">
        <f ca="1">IFERROR(__xludf.DUMMYFUNCTION("""COMPUTED_VALUE"""),0)</f>
        <v>0</v>
      </c>
      <c r="K399" s="2">
        <f ca="1">IFERROR(__xludf.DUMMYFUNCTION("""COMPUTED_VALUE"""),30000)</f>
        <v>30000</v>
      </c>
      <c r="L399" s="2" t="str">
        <f ca="1">IFERROR(__xludf.DUMMYFUNCTION("""COMPUTED_VALUE"""),"cb50df04")</f>
        <v>cb50df04</v>
      </c>
      <c r="M399" s="2" t="str">
        <f ca="1">IFERROR(__xludf.DUMMYFUNCTION("""COMPUTED_VALUE"""),"Syrah")</f>
        <v>Syrah</v>
      </c>
      <c r="N399" s="2" t="str">
        <f ca="1">IFERROR(__xludf.DUMMYFUNCTION("""COMPUTED_VALUE"""),"Rectificado con la Columna")</f>
        <v>Rectificado con la Columna</v>
      </c>
      <c r="O399" s="2" t="str">
        <f ca="1">IFERROR(__xludf.DUMMYFUNCTION("""COMPUTED_VALUE"""),"1er Trasiego")</f>
        <v>1er Trasiego</v>
      </c>
      <c r="P399" s="2"/>
      <c r="Q399" s="2" t="b">
        <f ca="1">IFERROR(__xludf.DUMMYFUNCTION("""COMPUTED_VALUE"""),FALSE)</f>
        <v>0</v>
      </c>
      <c r="R399" s="2" t="str">
        <f ca="1">IFERROR(__xludf.DUMMYFUNCTION("""COMPUTED_VALUE"""),"Rectificado")</f>
        <v>Rectificado</v>
      </c>
      <c r="S399" s="2"/>
      <c r="T399" s="2"/>
      <c r="U399" s="2"/>
    </row>
    <row r="400" spans="1:21" x14ac:dyDescent="0.25">
      <c r="A400" s="2" t="str">
        <f ca="1">IFERROR(__xludf.DUMMYFUNCTION("""COMPUTED_VALUE"""),"1a58c494")</f>
        <v>1a58c494</v>
      </c>
      <c r="B400" s="5">
        <f ca="1">IFERROR(__xludf.DUMMYFUNCTION("""COMPUTED_VALUE"""),45761.7773263888)</f>
        <v>45761.777326388801</v>
      </c>
      <c r="C400" s="2" t="str">
        <f ca="1">IFERROR(__xludf.DUMMYFUNCTION("""COMPUTED_VALUE"""),"cb50df04")</f>
        <v>cb50df04</v>
      </c>
      <c r="D400" s="2">
        <f ca="1">IFERROR(__xludf.DUMMYFUNCTION("""COMPUTED_VALUE"""),11)</f>
        <v>11</v>
      </c>
      <c r="E400" s="2" t="str">
        <f ca="1">IFERROR(__xludf.DUMMYFUNCTION("""COMPUTED_VALUE"""),"Syrah Rect")</f>
        <v>Syrah Rect</v>
      </c>
      <c r="F400" s="2">
        <f ca="1">IFERROR(__xludf.DUMMYFUNCTION("""COMPUTED_VALUE"""),4800)</f>
        <v>4800</v>
      </c>
      <c r="G400" s="2">
        <f ca="1">IFERROR(__xludf.DUMMYFUNCTION("""COMPUTED_VALUE"""),67)</f>
        <v>67</v>
      </c>
      <c r="H400" s="2" t="str">
        <f ca="1">IFERROR(__xludf.DUMMYFUNCTION("""COMPUTED_VALUE"""),"ae5925ab")</f>
        <v>ae5925ab</v>
      </c>
      <c r="I400" s="2" t="str">
        <f ca="1">IFERROR(__xludf.DUMMYFUNCTION("""COMPUTED_VALUE"""),"Cabernet Sauvignon")</f>
        <v>Cabernet Sauvignon</v>
      </c>
      <c r="J400" s="2">
        <f ca="1">IFERROR(__xludf.DUMMYFUNCTION("""COMPUTED_VALUE"""),18000)</f>
        <v>18000</v>
      </c>
      <c r="K400" s="2">
        <f ca="1">IFERROR(__xludf.DUMMYFUNCTION("""COMPUTED_VALUE"""),22800)</f>
        <v>22800</v>
      </c>
      <c r="L400" s="2" t="str">
        <f ca="1">IFERROR(__xludf.DUMMYFUNCTION("""COMPUTED_VALUE"""),"b9461082")</f>
        <v>b9461082</v>
      </c>
      <c r="M400" s="2" t="str">
        <f ca="1">IFERROR(__xludf.DUMMYFUNCTION("""COMPUTED_VALUE"""),"Cabernet Sauvignon")</f>
        <v>Cabernet Sauvignon</v>
      </c>
      <c r="N400" s="2" t="str">
        <f ca="1">IFERROR(__xludf.DUMMYFUNCTION("""COMPUTED_VALUE"""),"Agregado de REctificado")</f>
        <v>Agregado de REctificado</v>
      </c>
      <c r="O400" s="2" t="str">
        <f ca="1">IFERROR(__xludf.DUMMYFUNCTION("""COMPUTED_VALUE"""),"Rectificado")</f>
        <v>Rectificado</v>
      </c>
      <c r="P400" s="2" t="str">
        <f ca="1">IFERROR(__xludf.DUMMYFUNCTION("""COMPUTED_VALUE"""),"Fermentando")</f>
        <v>Fermentando</v>
      </c>
      <c r="Q400" s="2" t="b">
        <f ca="1">IFERROR(__xludf.DUMMYFUNCTION("""COMPUTED_VALUE"""),TRUE)</f>
        <v>1</v>
      </c>
      <c r="R400" s="2" t="str">
        <f ca="1">IFERROR(__xludf.DUMMYFUNCTION("""COMPUTED_VALUE"""),"Fermentando")</f>
        <v>Fermentando</v>
      </c>
      <c r="S400" s="2"/>
      <c r="T400" s="2"/>
      <c r="U400" s="2"/>
    </row>
    <row r="401" spans="1:21" x14ac:dyDescent="0.25">
      <c r="A401" s="2" t="str">
        <f ca="1">IFERROR(__xludf.DUMMYFUNCTION("""COMPUTED_VALUE"""),"ad2055b3")</f>
        <v>ad2055b3</v>
      </c>
      <c r="B401" s="5">
        <f ca="1">IFERROR(__xludf.DUMMYFUNCTION("""COMPUTED_VALUE"""),45761.792349537)</f>
        <v>45761.792349536998</v>
      </c>
      <c r="C401" s="2" t="str">
        <f ca="1">IFERROR(__xludf.DUMMYFUNCTION("""COMPUTED_VALUE"""),"fd6b223b")</f>
        <v>fd6b223b</v>
      </c>
      <c r="D401" s="2">
        <f ca="1">IFERROR(__xludf.DUMMYFUNCTION("""COMPUTED_VALUE"""),83)</f>
        <v>83</v>
      </c>
      <c r="E401" s="2" t="str">
        <f ca="1">IFERROR(__xludf.DUMMYFUNCTION("""COMPUTED_VALUE"""),"Criolla Flotada")</f>
        <v>Criolla Flotada</v>
      </c>
      <c r="F401" s="2">
        <f ca="1">IFERROR(__xludf.DUMMYFUNCTION("""COMPUTED_VALUE"""),9000)</f>
        <v>9000</v>
      </c>
      <c r="G401" s="2">
        <f ca="1">IFERROR(__xludf.DUMMYFUNCTION("""COMPUTED_VALUE"""),7)</f>
        <v>7</v>
      </c>
      <c r="H401" s="2"/>
      <c r="I401" s="2"/>
      <c r="J401" s="2">
        <f ca="1">IFERROR(__xludf.DUMMYFUNCTION("""COMPUTED_VALUE"""),0)</f>
        <v>0</v>
      </c>
      <c r="K401" s="2">
        <f ca="1">IFERROR(__xludf.DUMMYFUNCTION("""COMPUTED_VALUE"""),9000)</f>
        <v>9000</v>
      </c>
      <c r="L401" s="2" t="str">
        <f ca="1">IFERROR(__xludf.DUMMYFUNCTION("""COMPUTED_VALUE"""),"95afa5f8")</f>
        <v>95afa5f8</v>
      </c>
      <c r="M401" s="2" t="str">
        <f ca="1">IFERROR(__xludf.DUMMYFUNCTION("""COMPUTED_VALUE"""),"Criolla Flotada")</f>
        <v>Criolla Flotada</v>
      </c>
      <c r="N401" s="2"/>
      <c r="O401" s="2" t="str">
        <f ca="1">IFERROR(__xludf.DUMMYFUNCTION("""COMPUTED_VALUE"""),"Fermentando")</f>
        <v>Fermentando</v>
      </c>
      <c r="P401" s="2"/>
      <c r="Q401" s="2" t="b">
        <f ca="1">IFERROR(__xludf.DUMMYFUNCTION("""COMPUTED_VALUE"""),FALSE)</f>
        <v>0</v>
      </c>
      <c r="R401" s="2" t="str">
        <f ca="1">IFERROR(__xludf.DUMMYFUNCTION("""COMPUTED_VALUE"""),"Fermentando")</f>
        <v>Fermentando</v>
      </c>
      <c r="S401" s="2"/>
      <c r="T401" s="2"/>
      <c r="U401" s="2"/>
    </row>
    <row r="402" spans="1:21" x14ac:dyDescent="0.25">
      <c r="A402" s="2" t="str">
        <f ca="1">IFERROR(__xludf.DUMMYFUNCTION("""COMPUTED_VALUE"""),"0e82a0cf")</f>
        <v>0e82a0cf</v>
      </c>
      <c r="B402" s="5">
        <f ca="1">IFERROR(__xludf.DUMMYFUNCTION("""COMPUTED_VALUE"""),45761.8058101851)</f>
        <v>45761.805810185098</v>
      </c>
      <c r="C402" s="2" t="str">
        <f ca="1">IFERROR(__xludf.DUMMYFUNCTION("""COMPUTED_VALUE"""),"28029583")</f>
        <v>28029583</v>
      </c>
      <c r="D402" s="2">
        <f ca="1">IFERROR(__xludf.DUMMYFUNCTION("""COMPUTED_VALUE"""),12)</f>
        <v>12</v>
      </c>
      <c r="E402" s="2" t="str">
        <f ca="1">IFERROR(__xludf.DUMMYFUNCTION("""COMPUTED_VALUE"""),"Tinto Recarga Press")</f>
        <v>Tinto Recarga Press</v>
      </c>
      <c r="F402" s="2">
        <f ca="1">IFERROR(__xludf.DUMMYFUNCTION("""COMPUTED_VALUE"""),300)</f>
        <v>300</v>
      </c>
      <c r="G402" s="2">
        <f ca="1">IFERROR(__xludf.DUMMYFUNCTION("""COMPUTED_VALUE"""),500)</f>
        <v>500</v>
      </c>
      <c r="H402" s="2" t="str">
        <f ca="1">IFERROR(__xludf.DUMMYFUNCTION("""COMPUTED_VALUE"""),"f673bf6e")</f>
        <v>f673bf6e</v>
      </c>
      <c r="I402" s="2" t="str">
        <f ca="1">IFERROR(__xludf.DUMMYFUNCTION("""COMPUTED_VALUE"""),"Ajuste Arqueo 14/04/25")</f>
        <v>Ajuste Arqueo 14/04/25</v>
      </c>
      <c r="J402" s="2">
        <f ca="1">IFERROR(__xludf.DUMMYFUNCTION("""COMPUTED_VALUE"""),1)</f>
        <v>1</v>
      </c>
      <c r="K402" s="2">
        <f ca="1">IFERROR(__xludf.DUMMYFUNCTION("""COMPUTED_VALUE"""),301)</f>
        <v>301</v>
      </c>
      <c r="L402" s="2" t="str">
        <f ca="1">IFERROR(__xludf.DUMMYFUNCTION("""COMPUTED_VALUE"""),"c778eed0")</f>
        <v>c778eed0</v>
      </c>
      <c r="M402" s="2" t="str">
        <f ca="1">IFERROR(__xludf.DUMMYFUNCTION("""COMPUTED_VALUE"""),"Ajuste Arqueo 14/04/25")</f>
        <v>Ajuste Arqueo 14/04/25</v>
      </c>
      <c r="N402" s="2"/>
      <c r="O402" s="2" t="str">
        <f ca="1">IFERROR(__xludf.DUMMYFUNCTION("""COMPUTED_VALUE"""),"Descubada")</f>
        <v>Descubada</v>
      </c>
      <c r="P402" s="2" t="str">
        <f ca="1">IFERROR(__xludf.DUMMYFUNCTION("""COMPUTED_VALUE"""),"Descubada")</f>
        <v>Descubada</v>
      </c>
      <c r="Q402" s="2" t="b">
        <f ca="1">IFERROR(__xludf.DUMMYFUNCTION("""COMPUTED_VALUE"""),TRUE)</f>
        <v>1</v>
      </c>
      <c r="R402" s="2" t="str">
        <f ca="1">IFERROR(__xludf.DUMMYFUNCTION("""COMPUTED_VALUE"""),"Descubada")</f>
        <v>Descubada</v>
      </c>
      <c r="S402" s="2"/>
      <c r="T402" s="2"/>
      <c r="U402" s="2"/>
    </row>
    <row r="403" spans="1:21" x14ac:dyDescent="0.25">
      <c r="A403" s="2" t="str">
        <f ca="1">IFERROR(__xludf.DUMMYFUNCTION("""COMPUTED_VALUE"""),"4945a88b")</f>
        <v>4945a88b</v>
      </c>
      <c r="B403" s="5">
        <f ca="1">IFERROR(__xludf.DUMMYFUNCTION("""COMPUTED_VALUE"""),45761.8065509259)</f>
        <v>45761.806550925903</v>
      </c>
      <c r="C403" s="2" t="str">
        <f ca="1">IFERROR(__xludf.DUMMYFUNCTION("""COMPUTED_VALUE"""),"efada090")</f>
        <v>efada090</v>
      </c>
      <c r="D403" s="2">
        <f ca="1">IFERROR(__xludf.DUMMYFUNCTION("""COMPUTED_VALUE"""),26)</f>
        <v>26</v>
      </c>
      <c r="E403" s="2" t="str">
        <f ca="1">IFERROR(__xludf.DUMMYFUNCTION("""COMPUTED_VALUE"""),"Syrah")</f>
        <v>Syrah</v>
      </c>
      <c r="F403" s="2">
        <f ca="1">IFERROR(__xludf.DUMMYFUNCTION("""COMPUTED_VALUE"""),500)</f>
        <v>500</v>
      </c>
      <c r="G403" s="2">
        <f ca="1">IFERROR(__xludf.DUMMYFUNCTION("""COMPUTED_VALUE"""),500)</f>
        <v>500</v>
      </c>
      <c r="H403" s="2" t="str">
        <f ca="1">IFERROR(__xludf.DUMMYFUNCTION("""COMPUTED_VALUE"""),"c778eed0")</f>
        <v>c778eed0</v>
      </c>
      <c r="I403" s="2" t="str">
        <f ca="1">IFERROR(__xludf.DUMMYFUNCTION("""COMPUTED_VALUE"""),"Ajuste Arqueo 14/04/25")</f>
        <v>Ajuste Arqueo 14/04/25</v>
      </c>
      <c r="J403" s="2">
        <f ca="1">IFERROR(__xludf.DUMMYFUNCTION("""COMPUTED_VALUE"""),301)</f>
        <v>301</v>
      </c>
      <c r="K403" s="2">
        <f ca="1">IFERROR(__xludf.DUMMYFUNCTION("""COMPUTED_VALUE"""),801)</f>
        <v>801</v>
      </c>
      <c r="L403" s="2" t="str">
        <f ca="1">IFERROR(__xludf.DUMMYFUNCTION("""COMPUTED_VALUE"""),"79c53d31")</f>
        <v>79c53d31</v>
      </c>
      <c r="M403" s="2" t="str">
        <f ca="1">IFERROR(__xludf.DUMMYFUNCTION("""COMPUTED_VALUE"""),"Ajuste Arqueo 14/04/25")</f>
        <v>Ajuste Arqueo 14/04/25</v>
      </c>
      <c r="N403" s="2"/>
      <c r="O403" s="2" t="str">
        <f ca="1">IFERROR(__xludf.DUMMYFUNCTION("""COMPUTED_VALUE"""),"1er Trasiego")</f>
        <v>1er Trasiego</v>
      </c>
      <c r="P403" s="2" t="str">
        <f ca="1">IFERROR(__xludf.DUMMYFUNCTION("""COMPUTED_VALUE"""),"Descubada")</f>
        <v>Descubada</v>
      </c>
      <c r="Q403" s="2" t="b">
        <f ca="1">IFERROR(__xludf.DUMMYFUNCTION("""COMPUTED_VALUE"""),TRUE)</f>
        <v>1</v>
      </c>
      <c r="R403" s="2" t="str">
        <f ca="1">IFERROR(__xludf.DUMMYFUNCTION("""COMPUTED_VALUE"""),"Descubada")</f>
        <v>Descubada</v>
      </c>
      <c r="S403" s="2"/>
      <c r="T403" s="2"/>
      <c r="U403" s="2"/>
    </row>
    <row r="404" spans="1:21" x14ac:dyDescent="0.25">
      <c r="A404" s="2" t="str">
        <f ca="1">IFERROR(__xludf.DUMMYFUNCTION("""COMPUTED_VALUE"""),"f9e05f03")</f>
        <v>f9e05f03</v>
      </c>
      <c r="B404" s="5">
        <f ca="1">IFERROR(__xludf.DUMMYFUNCTION("""COMPUTED_VALUE"""),45761.8069675925)</f>
        <v>45761.8069675925</v>
      </c>
      <c r="C404" s="2" t="str">
        <f ca="1">IFERROR(__xludf.DUMMYFUNCTION("""COMPUTED_VALUE"""),"459c7a85")</f>
        <v>459c7a85</v>
      </c>
      <c r="D404" s="2">
        <f ca="1">IFERROR(__xludf.DUMMYFUNCTION("""COMPUTED_VALUE"""),28)</f>
        <v>28</v>
      </c>
      <c r="E404" s="2" t="str">
        <f ca="1">IFERROR(__xludf.DUMMYFUNCTION("""COMPUTED_VALUE"""),"Bonarda")</f>
        <v>Bonarda</v>
      </c>
      <c r="F404" s="2">
        <f ca="1">IFERROR(__xludf.DUMMYFUNCTION("""COMPUTED_VALUE"""),8300)</f>
        <v>8300</v>
      </c>
      <c r="G404" s="2">
        <f ca="1">IFERROR(__xludf.DUMMYFUNCTION("""COMPUTED_VALUE"""),500)</f>
        <v>500</v>
      </c>
      <c r="H404" s="2" t="str">
        <f ca="1">IFERROR(__xludf.DUMMYFUNCTION("""COMPUTED_VALUE"""),"79c53d31")</f>
        <v>79c53d31</v>
      </c>
      <c r="I404" s="2" t="str">
        <f ca="1">IFERROR(__xludf.DUMMYFUNCTION("""COMPUTED_VALUE"""),"Ajuste Arqueo 14/04/25")</f>
        <v>Ajuste Arqueo 14/04/25</v>
      </c>
      <c r="J404" s="2">
        <f ca="1">IFERROR(__xludf.DUMMYFUNCTION("""COMPUTED_VALUE"""),801)</f>
        <v>801</v>
      </c>
      <c r="K404" s="2">
        <f ca="1">IFERROR(__xludf.DUMMYFUNCTION("""COMPUTED_VALUE"""),9101)</f>
        <v>9101</v>
      </c>
      <c r="L404" s="2" t="str">
        <f ca="1">IFERROR(__xludf.DUMMYFUNCTION("""COMPUTED_VALUE"""),"3f1bcb3f")</f>
        <v>3f1bcb3f</v>
      </c>
      <c r="M404" s="2" t="str">
        <f ca="1">IFERROR(__xludf.DUMMYFUNCTION("""COMPUTED_VALUE"""),"Ajuste Arqueo 14/04/25")</f>
        <v>Ajuste Arqueo 14/04/25</v>
      </c>
      <c r="N404" s="2"/>
      <c r="O404" s="2" t="str">
        <f ca="1">IFERROR(__xludf.DUMMYFUNCTION("""COMPUTED_VALUE"""),"Descubada")</f>
        <v>Descubada</v>
      </c>
      <c r="P404" s="2" t="str">
        <f ca="1">IFERROR(__xludf.DUMMYFUNCTION("""COMPUTED_VALUE"""),"Descubada")</f>
        <v>Descubada</v>
      </c>
      <c r="Q404" s="2" t="b">
        <f ca="1">IFERROR(__xludf.DUMMYFUNCTION("""COMPUTED_VALUE"""),TRUE)</f>
        <v>1</v>
      </c>
      <c r="R404" s="2" t="str">
        <f ca="1">IFERROR(__xludf.DUMMYFUNCTION("""COMPUTED_VALUE"""),"Descubada")</f>
        <v>Descubada</v>
      </c>
      <c r="S404" s="2"/>
      <c r="T404" s="2"/>
      <c r="U404" s="2"/>
    </row>
    <row r="405" spans="1:21" x14ac:dyDescent="0.25">
      <c r="A405" s="2" t="str">
        <f ca="1">IFERROR(__xludf.DUMMYFUNCTION("""COMPUTED_VALUE"""),"defa6058")</f>
        <v>defa6058</v>
      </c>
      <c r="B405" s="5">
        <f ca="1">IFERROR(__xludf.DUMMYFUNCTION("""COMPUTED_VALUE"""),45761.8089930555)</f>
        <v>45761.8089930555</v>
      </c>
      <c r="C405" s="2" t="str">
        <f ca="1">IFERROR(__xludf.DUMMYFUNCTION("""COMPUTED_VALUE"""),"c7ecff86")</f>
        <v>c7ecff86</v>
      </c>
      <c r="D405" s="2">
        <f ca="1">IFERROR(__xludf.DUMMYFUNCTION("""COMPUTED_VALUE"""),49)</f>
        <v>49</v>
      </c>
      <c r="E405" s="2" t="str">
        <f ca="1">IFERROR(__xludf.DUMMYFUNCTION("""COMPUTED_VALUE"""),"Bonarda Gota")</f>
        <v>Bonarda Gota</v>
      </c>
      <c r="F405" s="2">
        <f ca="1">IFERROR(__xludf.DUMMYFUNCTION("""COMPUTED_VALUE"""),3800)</f>
        <v>3800</v>
      </c>
      <c r="G405" s="2">
        <f ca="1">IFERROR(__xludf.DUMMYFUNCTION("""COMPUTED_VALUE"""),500)</f>
        <v>500</v>
      </c>
      <c r="H405" s="2" t="str">
        <f ca="1">IFERROR(__xludf.DUMMYFUNCTION("""COMPUTED_VALUE"""),"3f1bcb3f")</f>
        <v>3f1bcb3f</v>
      </c>
      <c r="I405" s="2" t="str">
        <f ca="1">IFERROR(__xludf.DUMMYFUNCTION("""COMPUTED_VALUE"""),"Ajuste Arqueo 14/04/25")</f>
        <v>Ajuste Arqueo 14/04/25</v>
      </c>
      <c r="J405" s="2">
        <f ca="1">IFERROR(__xludf.DUMMYFUNCTION("""COMPUTED_VALUE"""),9101)</f>
        <v>9101</v>
      </c>
      <c r="K405" s="2">
        <f ca="1">IFERROR(__xludf.DUMMYFUNCTION("""COMPUTED_VALUE"""),12901)</f>
        <v>12901</v>
      </c>
      <c r="L405" s="2" t="str">
        <f ca="1">IFERROR(__xludf.DUMMYFUNCTION("""COMPUTED_VALUE"""),"87e2f0ad")</f>
        <v>87e2f0ad</v>
      </c>
      <c r="M405" s="2" t="str">
        <f ca="1">IFERROR(__xludf.DUMMYFUNCTION("""COMPUTED_VALUE"""),"Ajuste Arqueo 14/04/25")</f>
        <v>Ajuste Arqueo 14/04/25</v>
      </c>
      <c r="N405" s="2"/>
      <c r="O405" s="2" t="str">
        <f ca="1">IFERROR(__xludf.DUMMYFUNCTION("""COMPUTED_VALUE"""),"Descubada")</f>
        <v>Descubada</v>
      </c>
      <c r="P405" s="2" t="str">
        <f ca="1">IFERROR(__xludf.DUMMYFUNCTION("""COMPUTED_VALUE"""),"Descubada")</f>
        <v>Descubada</v>
      </c>
      <c r="Q405" s="2" t="b">
        <f ca="1">IFERROR(__xludf.DUMMYFUNCTION("""COMPUTED_VALUE"""),TRUE)</f>
        <v>1</v>
      </c>
      <c r="R405" s="2" t="str">
        <f ca="1">IFERROR(__xludf.DUMMYFUNCTION("""COMPUTED_VALUE"""),"Descubada")</f>
        <v>Descubada</v>
      </c>
      <c r="S405" s="2"/>
      <c r="T405" s="2"/>
      <c r="U405" s="2"/>
    </row>
    <row r="406" spans="1:21" x14ac:dyDescent="0.25">
      <c r="A406" s="2" t="str">
        <f ca="1">IFERROR(__xludf.DUMMYFUNCTION("""COMPUTED_VALUE"""),"5c47345e")</f>
        <v>5c47345e</v>
      </c>
      <c r="B406" s="5">
        <f ca="1">IFERROR(__xludf.DUMMYFUNCTION("""COMPUTED_VALUE"""),45761.8132638888)</f>
        <v>45761.813263888798</v>
      </c>
      <c r="C406" s="2" t="str">
        <f ca="1">IFERROR(__xludf.DUMMYFUNCTION("""COMPUTED_VALUE"""),"c750a1d2")</f>
        <v>c750a1d2</v>
      </c>
      <c r="D406" s="2">
        <f ca="1">IFERROR(__xludf.DUMMYFUNCTION("""COMPUTED_VALUE"""),52)</f>
        <v>52</v>
      </c>
      <c r="E406" s="2" t="str">
        <f ca="1">IFERROR(__xludf.DUMMYFUNCTION("""COMPUTED_VALUE"""),"Bonarda")</f>
        <v>Bonarda</v>
      </c>
      <c r="F406" s="2">
        <f ca="1">IFERROR(__xludf.DUMMYFUNCTION("""COMPUTED_VALUE"""),-1000)</f>
        <v>-1000</v>
      </c>
      <c r="G406" s="2">
        <f ca="1">IFERROR(__xludf.DUMMYFUNCTION("""COMPUTED_VALUE"""),500)</f>
        <v>500</v>
      </c>
      <c r="H406" s="2" t="str">
        <f ca="1">IFERROR(__xludf.DUMMYFUNCTION("""COMPUTED_VALUE"""),"87e2f0ad")</f>
        <v>87e2f0ad</v>
      </c>
      <c r="I406" s="2" t="str">
        <f ca="1">IFERROR(__xludf.DUMMYFUNCTION("""COMPUTED_VALUE"""),"Ajuste Arqueo 14/04/25")</f>
        <v>Ajuste Arqueo 14/04/25</v>
      </c>
      <c r="J406" s="2">
        <f ca="1">IFERROR(__xludf.DUMMYFUNCTION("""COMPUTED_VALUE"""),12901)</f>
        <v>12901</v>
      </c>
      <c r="K406" s="2">
        <f ca="1">IFERROR(__xludf.DUMMYFUNCTION("""COMPUTED_VALUE"""),11901)</f>
        <v>11901</v>
      </c>
      <c r="L406" s="2" t="str">
        <f ca="1">IFERROR(__xludf.DUMMYFUNCTION("""COMPUTED_VALUE"""),"64b6a040")</f>
        <v>64b6a040</v>
      </c>
      <c r="M406" s="2" t="str">
        <f ca="1">IFERROR(__xludf.DUMMYFUNCTION("""COMPUTED_VALUE"""),"Ajuste Arqueo 14/04/25")</f>
        <v>Ajuste Arqueo 14/04/25</v>
      </c>
      <c r="N406" s="2"/>
      <c r="O406" s="2" t="str">
        <f ca="1">IFERROR(__xludf.DUMMYFUNCTION("""COMPUTED_VALUE"""),"Descubada")</f>
        <v>Descubada</v>
      </c>
      <c r="P406" s="2" t="str">
        <f ca="1">IFERROR(__xludf.DUMMYFUNCTION("""COMPUTED_VALUE"""),"Descubada")</f>
        <v>Descubada</v>
      </c>
      <c r="Q406" s="2" t="b">
        <f ca="1">IFERROR(__xludf.DUMMYFUNCTION("""COMPUTED_VALUE"""),TRUE)</f>
        <v>1</v>
      </c>
      <c r="R406" s="2" t="str">
        <f ca="1">IFERROR(__xludf.DUMMYFUNCTION("""COMPUTED_VALUE"""),"Descubada")</f>
        <v>Descubada</v>
      </c>
      <c r="S406" s="2"/>
      <c r="T406" s="2"/>
      <c r="U406" s="2"/>
    </row>
    <row r="407" spans="1:21" x14ac:dyDescent="0.25">
      <c r="A407" s="2" t="str">
        <f ca="1">IFERROR(__xludf.DUMMYFUNCTION("""COMPUTED_VALUE"""),"f9c104a1")</f>
        <v>f9c104a1</v>
      </c>
      <c r="B407" s="5">
        <f ca="1">IFERROR(__xludf.DUMMYFUNCTION("""COMPUTED_VALUE"""),45761.8138194444)</f>
        <v>45761.813819444404</v>
      </c>
      <c r="C407" s="2" t="str">
        <f ca="1">IFERROR(__xludf.DUMMYFUNCTION("""COMPUTED_VALUE"""),"65c7867f")</f>
        <v>65c7867f</v>
      </c>
      <c r="D407" s="2">
        <f ca="1">IFERROR(__xludf.DUMMYFUNCTION("""COMPUTED_VALUE"""),70)</f>
        <v>70</v>
      </c>
      <c r="E407" s="2" t="str">
        <f ca="1">IFERROR(__xludf.DUMMYFUNCTION("""COMPUTED_VALUE"""),"Tanat")</f>
        <v>Tanat</v>
      </c>
      <c r="F407" s="2">
        <f ca="1">IFERROR(__xludf.DUMMYFUNCTION("""COMPUTED_VALUE"""),-1000)</f>
        <v>-1000</v>
      </c>
      <c r="G407" s="2">
        <f ca="1">IFERROR(__xludf.DUMMYFUNCTION("""COMPUTED_VALUE"""),500)</f>
        <v>500</v>
      </c>
      <c r="H407" s="2" t="str">
        <f ca="1">IFERROR(__xludf.DUMMYFUNCTION("""COMPUTED_VALUE"""),"64b6a040")</f>
        <v>64b6a040</v>
      </c>
      <c r="I407" s="2" t="str">
        <f ca="1">IFERROR(__xludf.DUMMYFUNCTION("""COMPUTED_VALUE"""),"Ajuste Arqueo 14/04/25")</f>
        <v>Ajuste Arqueo 14/04/25</v>
      </c>
      <c r="J407" s="2">
        <f ca="1">IFERROR(__xludf.DUMMYFUNCTION("""COMPUTED_VALUE"""),11901)</f>
        <v>11901</v>
      </c>
      <c r="K407" s="2">
        <f ca="1">IFERROR(__xludf.DUMMYFUNCTION("""COMPUTED_VALUE"""),10901)</f>
        <v>10901</v>
      </c>
      <c r="L407" s="2" t="str">
        <f ca="1">IFERROR(__xludf.DUMMYFUNCTION("""COMPUTED_VALUE"""),"dce718a8")</f>
        <v>dce718a8</v>
      </c>
      <c r="M407" s="2" t="str">
        <f ca="1">IFERROR(__xludf.DUMMYFUNCTION("""COMPUTED_VALUE"""),"Ajuste Arqueo 14/04/25")</f>
        <v>Ajuste Arqueo 14/04/25</v>
      </c>
      <c r="N407" s="2"/>
      <c r="O407" s="2" t="str">
        <f ca="1">IFERROR(__xludf.DUMMYFUNCTION("""COMPUTED_VALUE"""),"Descubada")</f>
        <v>Descubada</v>
      </c>
      <c r="P407" s="2" t="str">
        <f ca="1">IFERROR(__xludf.DUMMYFUNCTION("""COMPUTED_VALUE"""),"Descubada")</f>
        <v>Descubada</v>
      </c>
      <c r="Q407" s="2" t="b">
        <f ca="1">IFERROR(__xludf.DUMMYFUNCTION("""COMPUTED_VALUE"""),TRUE)</f>
        <v>1</v>
      </c>
      <c r="R407" s="2" t="str">
        <f ca="1">IFERROR(__xludf.DUMMYFUNCTION("""COMPUTED_VALUE"""),"Descubada")</f>
        <v>Descubada</v>
      </c>
      <c r="S407" s="2"/>
      <c r="T407" s="2"/>
      <c r="U407" s="2"/>
    </row>
    <row r="408" spans="1:21" x14ac:dyDescent="0.25">
      <c r="A408" s="2" t="str">
        <f ca="1">IFERROR(__xludf.DUMMYFUNCTION("""COMPUTED_VALUE"""),"c9401985")</f>
        <v>c9401985</v>
      </c>
      <c r="B408" s="5">
        <f ca="1">IFERROR(__xludf.DUMMYFUNCTION("""COMPUTED_VALUE"""),45761.8143518518)</f>
        <v>45761.814351851797</v>
      </c>
      <c r="C408" s="2" t="str">
        <f ca="1">IFERROR(__xludf.DUMMYFUNCTION("""COMPUTED_VALUE"""),"abbbaccc")</f>
        <v>abbbaccc</v>
      </c>
      <c r="D408" s="2">
        <f ca="1">IFERROR(__xludf.DUMMYFUNCTION("""COMPUTED_VALUE"""),931)</f>
        <v>931</v>
      </c>
      <c r="E408" s="2" t="str">
        <f ca="1">IFERROR(__xludf.DUMMYFUNCTION("""COMPUTED_VALUE"""),"Bonarda 24")</f>
        <v>Bonarda 24</v>
      </c>
      <c r="F408" s="2">
        <f ca="1">IFERROR(__xludf.DUMMYFUNCTION("""COMPUTED_VALUE"""),2000)</f>
        <v>2000</v>
      </c>
      <c r="G408" s="2">
        <f ca="1">IFERROR(__xludf.DUMMYFUNCTION("""COMPUTED_VALUE"""),500)</f>
        <v>500</v>
      </c>
      <c r="H408" s="2" t="str">
        <f ca="1">IFERROR(__xludf.DUMMYFUNCTION("""COMPUTED_VALUE"""),"dce718a8")</f>
        <v>dce718a8</v>
      </c>
      <c r="I408" s="2" t="str">
        <f ca="1">IFERROR(__xludf.DUMMYFUNCTION("""COMPUTED_VALUE"""),"Ajuste Arqueo 14/04/25")</f>
        <v>Ajuste Arqueo 14/04/25</v>
      </c>
      <c r="J408" s="2">
        <f ca="1">IFERROR(__xludf.DUMMYFUNCTION("""COMPUTED_VALUE"""),10901)</f>
        <v>10901</v>
      </c>
      <c r="K408" s="2">
        <f ca="1">IFERROR(__xludf.DUMMYFUNCTION("""COMPUTED_VALUE"""),12901)</f>
        <v>12901</v>
      </c>
      <c r="L408" s="2" t="str">
        <f ca="1">IFERROR(__xludf.DUMMYFUNCTION("""COMPUTED_VALUE"""),"6323f237")</f>
        <v>6323f237</v>
      </c>
      <c r="M408" s="2" t="str">
        <f ca="1">IFERROR(__xludf.DUMMYFUNCTION("""COMPUTED_VALUE"""),"Ajuste Arqueo 14/04/25")</f>
        <v>Ajuste Arqueo 14/04/25</v>
      </c>
      <c r="N408" s="2"/>
      <c r="O408" s="2" t="str">
        <f ca="1">IFERROR(__xludf.DUMMYFUNCTION("""COMPUTED_VALUE"""),"Terminado")</f>
        <v>Terminado</v>
      </c>
      <c r="P408" s="2" t="str">
        <f ca="1">IFERROR(__xludf.DUMMYFUNCTION("""COMPUTED_VALUE"""),"Descubada")</f>
        <v>Descubada</v>
      </c>
      <c r="Q408" s="2" t="b">
        <f ca="1">IFERROR(__xludf.DUMMYFUNCTION("""COMPUTED_VALUE"""),TRUE)</f>
        <v>1</v>
      </c>
      <c r="R408" s="2" t="str">
        <f ca="1">IFERROR(__xludf.DUMMYFUNCTION("""COMPUTED_VALUE"""),"Descubada")</f>
        <v>Descubada</v>
      </c>
      <c r="S408" s="2"/>
      <c r="T408" s="2"/>
      <c r="U408" s="2"/>
    </row>
    <row r="409" spans="1:21" x14ac:dyDescent="0.25">
      <c r="A409" s="2" t="str">
        <f ca="1">IFERROR(__xludf.DUMMYFUNCTION("""COMPUTED_VALUE"""),"e8e27b43")</f>
        <v>e8e27b43</v>
      </c>
      <c r="B409" s="5">
        <f ca="1">IFERROR(__xludf.DUMMYFUNCTION("""COMPUTED_VALUE"""),45761.8146875)</f>
        <v>45761.814687500002</v>
      </c>
      <c r="C409" s="2" t="str">
        <f ca="1">IFERROR(__xludf.DUMMYFUNCTION("""COMPUTED_VALUE"""),"e5691d8b")</f>
        <v>e5691d8b</v>
      </c>
      <c r="D409" s="2">
        <f ca="1">IFERROR(__xludf.DUMMYFUNCTION("""COMPUTED_VALUE"""),935)</f>
        <v>935</v>
      </c>
      <c r="E409" s="2" t="str">
        <f ca="1">IFERROR(__xludf.DUMMYFUNCTION("""COMPUTED_VALUE"""),"Borra")</f>
        <v>Borra</v>
      </c>
      <c r="F409" s="2">
        <f ca="1">IFERROR(__xludf.DUMMYFUNCTION("""COMPUTED_VALUE"""),-1100)</f>
        <v>-1100</v>
      </c>
      <c r="G409" s="2"/>
      <c r="H409" s="2"/>
      <c r="I409" s="2"/>
      <c r="J409" s="2"/>
      <c r="K409" s="2">
        <f ca="1">IFERROR(__xludf.DUMMYFUNCTION("""COMPUTED_VALUE"""),-1100)</f>
        <v>-1100</v>
      </c>
      <c r="L409" s="2" t="str">
        <f ca="1">IFERROR(__xludf.DUMMYFUNCTION("""COMPUTED_VALUE"""),"aeaef108")</f>
        <v>aeaef108</v>
      </c>
      <c r="M409" s="2"/>
      <c r="N409" s="2"/>
      <c r="O409" s="2" t="str">
        <f ca="1">IFERROR(__xludf.DUMMYFUNCTION("""COMPUTED_VALUE"""),"Descubada")</f>
        <v>Descubada</v>
      </c>
      <c r="P409" s="2"/>
      <c r="Q409" s="2" t="b">
        <f ca="1">IFERROR(__xludf.DUMMYFUNCTION("""COMPUTED_VALUE"""),TRUE)</f>
        <v>1</v>
      </c>
      <c r="R409" s="2"/>
      <c r="S409" s="2"/>
      <c r="T409" s="2"/>
      <c r="U409" s="2"/>
    </row>
    <row r="410" spans="1:21" x14ac:dyDescent="0.25">
      <c r="A410" s="2" t="str">
        <f ca="1">IFERROR(__xludf.DUMMYFUNCTION("""COMPUTED_VALUE"""),"b25dda67")</f>
        <v>b25dda67</v>
      </c>
      <c r="B410" s="5">
        <f ca="1">IFERROR(__xludf.DUMMYFUNCTION("""COMPUTED_VALUE"""),45761.8165625)</f>
        <v>45761.816562499997</v>
      </c>
      <c r="C410" s="2" t="str">
        <f ca="1">IFERROR(__xludf.DUMMYFUNCTION("""COMPUTED_VALUE"""),"1d042bcb")</f>
        <v>1d042bcb</v>
      </c>
      <c r="D410" s="2">
        <f ca="1">IFERROR(__xludf.DUMMYFUNCTION("""COMPUTED_VALUE"""),104)</f>
        <v>104</v>
      </c>
      <c r="E410" s="2" t="str">
        <f ca="1">IFERROR(__xludf.DUMMYFUNCTION("""COMPUTED_VALUE"""),"Tinto")</f>
        <v>Tinto</v>
      </c>
      <c r="F410" s="2">
        <f ca="1">IFERROR(__xludf.DUMMYFUNCTION("""COMPUTED_VALUE"""),1000)</f>
        <v>1000</v>
      </c>
      <c r="G410" s="2">
        <f ca="1">IFERROR(__xludf.DUMMYFUNCTION("""COMPUTED_VALUE"""),500)</f>
        <v>500</v>
      </c>
      <c r="H410" s="2" t="str">
        <f ca="1">IFERROR(__xludf.DUMMYFUNCTION("""COMPUTED_VALUE"""),"6323f237")</f>
        <v>6323f237</v>
      </c>
      <c r="I410" s="2" t="str">
        <f ca="1">IFERROR(__xludf.DUMMYFUNCTION("""COMPUTED_VALUE"""),"Ajuste Arqueo 14/04/25")</f>
        <v>Ajuste Arqueo 14/04/25</v>
      </c>
      <c r="J410" s="2">
        <f ca="1">IFERROR(__xludf.DUMMYFUNCTION("""COMPUTED_VALUE"""),12901)</f>
        <v>12901</v>
      </c>
      <c r="K410" s="2">
        <f ca="1">IFERROR(__xludf.DUMMYFUNCTION("""COMPUTED_VALUE"""),13901)</f>
        <v>13901</v>
      </c>
      <c r="L410" s="2" t="str">
        <f ca="1">IFERROR(__xludf.DUMMYFUNCTION("""COMPUTED_VALUE"""),"65fc01f0")</f>
        <v>65fc01f0</v>
      </c>
      <c r="M410" s="2" t="str">
        <f ca="1">IFERROR(__xludf.DUMMYFUNCTION("""COMPUTED_VALUE"""),"Ajuste Arqueo 14/04/25")</f>
        <v>Ajuste Arqueo 14/04/25</v>
      </c>
      <c r="N410" s="2"/>
      <c r="O410" s="2" t="str">
        <f ca="1">IFERROR(__xludf.DUMMYFUNCTION("""COMPUTED_VALUE"""),"Descubada")</f>
        <v>Descubada</v>
      </c>
      <c r="P410" s="2" t="str">
        <f ca="1">IFERROR(__xludf.DUMMYFUNCTION("""COMPUTED_VALUE"""),"Descubada")</f>
        <v>Descubada</v>
      </c>
      <c r="Q410" s="2" t="b">
        <f ca="1">IFERROR(__xludf.DUMMYFUNCTION("""COMPUTED_VALUE"""),TRUE)</f>
        <v>1</v>
      </c>
      <c r="R410" s="2" t="str">
        <f ca="1">IFERROR(__xludf.DUMMYFUNCTION("""COMPUTED_VALUE"""),"Descubada")</f>
        <v>Descubada</v>
      </c>
      <c r="S410" s="2"/>
      <c r="T410" s="2"/>
      <c r="U410" s="2"/>
    </row>
    <row r="411" spans="1:21" x14ac:dyDescent="0.25">
      <c r="A411" s="2" t="str">
        <f ca="1">IFERROR(__xludf.DUMMYFUNCTION("""COMPUTED_VALUE"""),"2d8517ba")</f>
        <v>2d8517ba</v>
      </c>
      <c r="B411" s="5">
        <f ca="1">IFERROR(__xludf.DUMMYFUNCTION("""COMPUTED_VALUE"""),45761.8188425925)</f>
        <v>45761.818842592496</v>
      </c>
      <c r="C411" s="2" t="str">
        <f ca="1">IFERROR(__xludf.DUMMYFUNCTION("""COMPUTED_VALUE"""),"e33f8556")</f>
        <v>e33f8556</v>
      </c>
      <c r="D411" s="2">
        <f ca="1">IFERROR(__xludf.DUMMYFUNCTION("""COMPUTED_VALUE"""),105)</f>
        <v>105</v>
      </c>
      <c r="E411" s="2" t="str">
        <f ca="1">IFERROR(__xludf.DUMMYFUNCTION("""COMPUTED_VALUE"""),"Malbec Bonarda")</f>
        <v>Malbec Bonarda</v>
      </c>
      <c r="F411" s="2">
        <f ca="1">IFERROR(__xludf.DUMMYFUNCTION("""COMPUTED_VALUE"""),-2000)</f>
        <v>-2000</v>
      </c>
      <c r="G411" s="2">
        <f ca="1">IFERROR(__xludf.DUMMYFUNCTION("""COMPUTED_VALUE"""),500)</f>
        <v>500</v>
      </c>
      <c r="H411" s="2" t="str">
        <f ca="1">IFERROR(__xludf.DUMMYFUNCTION("""COMPUTED_VALUE"""),"65fc01f0")</f>
        <v>65fc01f0</v>
      </c>
      <c r="I411" s="2" t="str">
        <f ca="1">IFERROR(__xludf.DUMMYFUNCTION("""COMPUTED_VALUE"""),"Ajuste Arqueo 14/04/25")</f>
        <v>Ajuste Arqueo 14/04/25</v>
      </c>
      <c r="J411" s="2">
        <f ca="1">IFERROR(__xludf.DUMMYFUNCTION("""COMPUTED_VALUE"""),13901)</f>
        <v>13901</v>
      </c>
      <c r="K411" s="2">
        <f ca="1">IFERROR(__xludf.DUMMYFUNCTION("""COMPUTED_VALUE"""),11901)</f>
        <v>11901</v>
      </c>
      <c r="L411" s="2" t="str">
        <f ca="1">IFERROR(__xludf.DUMMYFUNCTION("""COMPUTED_VALUE"""),"edf54cc7")</f>
        <v>edf54cc7</v>
      </c>
      <c r="M411" s="2" t="str">
        <f ca="1">IFERROR(__xludf.DUMMYFUNCTION("""COMPUTED_VALUE"""),"Ajuste Arqueo 14/04/25")</f>
        <v>Ajuste Arqueo 14/04/25</v>
      </c>
      <c r="N411" s="2"/>
      <c r="O411" s="2" t="str">
        <f ca="1">IFERROR(__xludf.DUMMYFUNCTION("""COMPUTED_VALUE"""),"Descubada")</f>
        <v>Descubada</v>
      </c>
      <c r="P411" s="2" t="str">
        <f ca="1">IFERROR(__xludf.DUMMYFUNCTION("""COMPUTED_VALUE"""),"Descubada")</f>
        <v>Descubada</v>
      </c>
      <c r="Q411" s="2" t="b">
        <f ca="1">IFERROR(__xludf.DUMMYFUNCTION("""COMPUTED_VALUE"""),TRUE)</f>
        <v>1</v>
      </c>
      <c r="R411" s="2" t="str">
        <f ca="1">IFERROR(__xludf.DUMMYFUNCTION("""COMPUTED_VALUE"""),"Descubada")</f>
        <v>Descubada</v>
      </c>
      <c r="S411" s="2"/>
      <c r="T411" s="2"/>
      <c r="U411" s="2"/>
    </row>
    <row r="412" spans="1:21" x14ac:dyDescent="0.25">
      <c r="A412" s="2" t="str">
        <f ca="1">IFERROR(__xludf.DUMMYFUNCTION("""COMPUTED_VALUE"""),"bbb74afe")</f>
        <v>bbb74afe</v>
      </c>
      <c r="B412" s="5">
        <f ca="1">IFERROR(__xludf.DUMMYFUNCTION("""COMPUTED_VALUE"""),45761.8195717592)</f>
        <v>45761.819571759203</v>
      </c>
      <c r="C412" s="2" t="str">
        <f ca="1">IFERROR(__xludf.DUMMYFUNCTION("""COMPUTED_VALUE"""),"b1b9580e")</f>
        <v>b1b9580e</v>
      </c>
      <c r="D412" s="2">
        <f ca="1">IFERROR(__xludf.DUMMYFUNCTION("""COMPUTED_VALUE"""),108)</f>
        <v>108</v>
      </c>
      <c r="E412" s="2" t="str">
        <f ca="1">IFERROR(__xludf.DUMMYFUNCTION("""COMPUTED_VALUE"""),"Tinto G")</f>
        <v>Tinto G</v>
      </c>
      <c r="F412" s="2">
        <f ca="1">IFERROR(__xludf.DUMMYFUNCTION("""COMPUTED_VALUE"""),1000)</f>
        <v>1000</v>
      </c>
      <c r="G412" s="2">
        <f ca="1">IFERROR(__xludf.DUMMYFUNCTION("""COMPUTED_VALUE"""),500)</f>
        <v>500</v>
      </c>
      <c r="H412" s="2" t="str">
        <f ca="1">IFERROR(__xludf.DUMMYFUNCTION("""COMPUTED_VALUE"""),"edf54cc7")</f>
        <v>edf54cc7</v>
      </c>
      <c r="I412" s="2" t="str">
        <f ca="1">IFERROR(__xludf.DUMMYFUNCTION("""COMPUTED_VALUE"""),"Ajuste Arqueo 14/04/25")</f>
        <v>Ajuste Arqueo 14/04/25</v>
      </c>
      <c r="J412" s="2">
        <f ca="1">IFERROR(__xludf.DUMMYFUNCTION("""COMPUTED_VALUE"""),11901)</f>
        <v>11901</v>
      </c>
      <c r="K412" s="2">
        <f ca="1">IFERROR(__xludf.DUMMYFUNCTION("""COMPUTED_VALUE"""),12901)</f>
        <v>12901</v>
      </c>
      <c r="L412" s="2" t="str">
        <f ca="1">IFERROR(__xludf.DUMMYFUNCTION("""COMPUTED_VALUE"""),"7c10bfff")</f>
        <v>7c10bfff</v>
      </c>
      <c r="M412" s="2" t="str">
        <f ca="1">IFERROR(__xludf.DUMMYFUNCTION("""COMPUTED_VALUE"""),"Ajuste Arqueo 14/04/25")</f>
        <v>Ajuste Arqueo 14/04/25</v>
      </c>
      <c r="N412" s="2"/>
      <c r="O412" s="2" t="str">
        <f ca="1">IFERROR(__xludf.DUMMYFUNCTION("""COMPUTED_VALUE"""),"Descubada")</f>
        <v>Descubada</v>
      </c>
      <c r="P412" s="2" t="str">
        <f ca="1">IFERROR(__xludf.DUMMYFUNCTION("""COMPUTED_VALUE"""),"Descubada")</f>
        <v>Descubada</v>
      </c>
      <c r="Q412" s="2" t="b">
        <f ca="1">IFERROR(__xludf.DUMMYFUNCTION("""COMPUTED_VALUE"""),TRUE)</f>
        <v>1</v>
      </c>
      <c r="R412" s="2" t="str">
        <f ca="1">IFERROR(__xludf.DUMMYFUNCTION("""COMPUTED_VALUE"""),"Descubada")</f>
        <v>Descubada</v>
      </c>
      <c r="S412" s="2"/>
      <c r="T412" s="2"/>
      <c r="U412" s="2"/>
    </row>
    <row r="413" spans="1:21" x14ac:dyDescent="0.25">
      <c r="A413" s="2" t="str">
        <f ca="1">IFERROR(__xludf.DUMMYFUNCTION("""COMPUTED_VALUE"""),"32bae3ab")</f>
        <v>32bae3ab</v>
      </c>
      <c r="B413" s="5">
        <f ca="1">IFERROR(__xludf.DUMMYFUNCTION("""COMPUTED_VALUE"""),45761.8199305555)</f>
        <v>45761.819930555503</v>
      </c>
      <c r="C413" s="2" t="str">
        <f ca="1">IFERROR(__xludf.DUMMYFUNCTION("""COMPUTED_VALUE"""),"33d70f3e")</f>
        <v>33d70f3e</v>
      </c>
      <c r="D413" s="2">
        <f ca="1">IFERROR(__xludf.DUMMYFUNCTION("""COMPUTED_VALUE"""),109)</f>
        <v>109</v>
      </c>
      <c r="E413" s="2" t="str">
        <f ca="1">IFERROR(__xludf.DUMMYFUNCTION("""COMPUTED_VALUE"""),"Bonarda C2")</f>
        <v>Bonarda C2</v>
      </c>
      <c r="F413" s="2">
        <f ca="1">IFERROR(__xludf.DUMMYFUNCTION("""COMPUTED_VALUE"""),600)</f>
        <v>600</v>
      </c>
      <c r="G413" s="2">
        <f ca="1">IFERROR(__xludf.DUMMYFUNCTION("""COMPUTED_VALUE"""),500)</f>
        <v>500</v>
      </c>
      <c r="H413" s="2" t="str">
        <f ca="1">IFERROR(__xludf.DUMMYFUNCTION("""COMPUTED_VALUE"""),"7c10bfff")</f>
        <v>7c10bfff</v>
      </c>
      <c r="I413" s="2" t="str">
        <f ca="1">IFERROR(__xludf.DUMMYFUNCTION("""COMPUTED_VALUE"""),"Ajuste Arqueo 14/04/25")</f>
        <v>Ajuste Arqueo 14/04/25</v>
      </c>
      <c r="J413" s="2">
        <f ca="1">IFERROR(__xludf.DUMMYFUNCTION("""COMPUTED_VALUE"""),12901)</f>
        <v>12901</v>
      </c>
      <c r="K413" s="2">
        <f ca="1">IFERROR(__xludf.DUMMYFUNCTION("""COMPUTED_VALUE"""),13501)</f>
        <v>13501</v>
      </c>
      <c r="L413" s="2" t="str">
        <f ca="1">IFERROR(__xludf.DUMMYFUNCTION("""COMPUTED_VALUE"""),"f3cffdb0")</f>
        <v>f3cffdb0</v>
      </c>
      <c r="M413" s="2" t="str">
        <f ca="1">IFERROR(__xludf.DUMMYFUNCTION("""COMPUTED_VALUE"""),"Ajuste Arqueo 14/04/25")</f>
        <v>Ajuste Arqueo 14/04/25</v>
      </c>
      <c r="N413" s="2"/>
      <c r="O413" s="2" t="str">
        <f ca="1">IFERROR(__xludf.DUMMYFUNCTION("""COMPUTED_VALUE"""),"Descubada")</f>
        <v>Descubada</v>
      </c>
      <c r="P413" s="2" t="str">
        <f ca="1">IFERROR(__xludf.DUMMYFUNCTION("""COMPUTED_VALUE"""),"Descubada")</f>
        <v>Descubada</v>
      </c>
      <c r="Q413" s="2" t="b">
        <f ca="1">IFERROR(__xludf.DUMMYFUNCTION("""COMPUTED_VALUE"""),TRUE)</f>
        <v>1</v>
      </c>
      <c r="R413" s="2" t="str">
        <f ca="1">IFERROR(__xludf.DUMMYFUNCTION("""COMPUTED_VALUE"""),"Descubada")</f>
        <v>Descubada</v>
      </c>
      <c r="S413" s="2"/>
      <c r="T413" s="2"/>
      <c r="U413" s="2"/>
    </row>
    <row r="414" spans="1:21" x14ac:dyDescent="0.25">
      <c r="A414" s="2" t="str">
        <f ca="1">IFERROR(__xludf.DUMMYFUNCTION("""COMPUTED_VALUE"""),"1c7ca4df")</f>
        <v>1c7ca4df</v>
      </c>
      <c r="B414" s="5">
        <f ca="1">IFERROR(__xludf.DUMMYFUNCTION("""COMPUTED_VALUE"""),45761.8202083333)</f>
        <v>45761.820208333302</v>
      </c>
      <c r="C414" s="2" t="str">
        <f ca="1">IFERROR(__xludf.DUMMYFUNCTION("""COMPUTED_VALUE"""),"03e27ebe")</f>
        <v>03e27ebe</v>
      </c>
      <c r="D414" s="2">
        <f ca="1">IFERROR(__xludf.DUMMYFUNCTION("""COMPUTED_VALUE"""),115)</f>
        <v>115</v>
      </c>
      <c r="E414" s="2" t="str">
        <f ca="1">IFERROR(__xludf.DUMMYFUNCTION("""COMPUTED_VALUE"""),"Syrah Tempranillo")</f>
        <v>Syrah Tempranillo</v>
      </c>
      <c r="F414" s="2">
        <f ca="1">IFERROR(__xludf.DUMMYFUNCTION("""COMPUTED_VALUE"""),-2000)</f>
        <v>-2000</v>
      </c>
      <c r="G414" s="2">
        <f ca="1">IFERROR(__xludf.DUMMYFUNCTION("""COMPUTED_VALUE"""),500)</f>
        <v>500</v>
      </c>
      <c r="H414" s="2" t="str">
        <f ca="1">IFERROR(__xludf.DUMMYFUNCTION("""COMPUTED_VALUE"""),"f3cffdb0")</f>
        <v>f3cffdb0</v>
      </c>
      <c r="I414" s="2" t="str">
        <f ca="1">IFERROR(__xludf.DUMMYFUNCTION("""COMPUTED_VALUE"""),"Ajuste Arqueo 14/04/25")</f>
        <v>Ajuste Arqueo 14/04/25</v>
      </c>
      <c r="J414" s="2">
        <f ca="1">IFERROR(__xludf.DUMMYFUNCTION("""COMPUTED_VALUE"""),13501)</f>
        <v>13501</v>
      </c>
      <c r="K414" s="2">
        <f ca="1">IFERROR(__xludf.DUMMYFUNCTION("""COMPUTED_VALUE"""),11501)</f>
        <v>11501</v>
      </c>
      <c r="L414" s="2" t="str">
        <f ca="1">IFERROR(__xludf.DUMMYFUNCTION("""COMPUTED_VALUE"""),"4f5059a5")</f>
        <v>4f5059a5</v>
      </c>
      <c r="M414" s="2" t="str">
        <f ca="1">IFERROR(__xludf.DUMMYFUNCTION("""COMPUTED_VALUE"""),"Ajuste Arqueo 14/04/25")</f>
        <v>Ajuste Arqueo 14/04/25</v>
      </c>
      <c r="N414" s="2"/>
      <c r="O414" s="2" t="str">
        <f ca="1">IFERROR(__xludf.DUMMYFUNCTION("""COMPUTED_VALUE"""),"1er Trasiego")</f>
        <v>1er Trasiego</v>
      </c>
      <c r="P414" s="2" t="str">
        <f ca="1">IFERROR(__xludf.DUMMYFUNCTION("""COMPUTED_VALUE"""),"Descubada")</f>
        <v>Descubada</v>
      </c>
      <c r="Q414" s="2" t="b">
        <f ca="1">IFERROR(__xludf.DUMMYFUNCTION("""COMPUTED_VALUE"""),TRUE)</f>
        <v>1</v>
      </c>
      <c r="R414" s="2" t="str">
        <f ca="1">IFERROR(__xludf.DUMMYFUNCTION("""COMPUTED_VALUE"""),"Descubada")</f>
        <v>Descubada</v>
      </c>
      <c r="S414" s="2"/>
      <c r="T414" s="2"/>
      <c r="U414" s="2"/>
    </row>
    <row r="415" spans="1:21" x14ac:dyDescent="0.25">
      <c r="A415" s="2" t="str">
        <f ca="1">IFERROR(__xludf.DUMMYFUNCTION("""COMPUTED_VALUE"""),"d358e011")</f>
        <v>d358e011</v>
      </c>
      <c r="B415" s="5">
        <f ca="1">IFERROR(__xludf.DUMMYFUNCTION("""COMPUTED_VALUE"""),45761.8208333333)</f>
        <v>45761.820833333302</v>
      </c>
      <c r="C415" s="2" t="str">
        <f ca="1">IFERROR(__xludf.DUMMYFUNCTION("""COMPUTED_VALUE"""),"27a8c5fb")</f>
        <v>27a8c5fb</v>
      </c>
      <c r="D415" s="2">
        <f ca="1">IFERROR(__xludf.DUMMYFUNCTION("""COMPUTED_VALUE"""),116)</f>
        <v>116</v>
      </c>
      <c r="E415" s="2" t="str">
        <f ca="1">IFERROR(__xludf.DUMMYFUNCTION("""COMPUTED_VALUE"""),"Tinto")</f>
        <v>Tinto</v>
      </c>
      <c r="F415" s="2">
        <f ca="1">IFERROR(__xludf.DUMMYFUNCTION("""COMPUTED_VALUE"""),6700)</f>
        <v>6700</v>
      </c>
      <c r="G415" s="2">
        <f ca="1">IFERROR(__xludf.DUMMYFUNCTION("""COMPUTED_VALUE"""),500)</f>
        <v>500</v>
      </c>
      <c r="H415" s="2" t="str">
        <f ca="1">IFERROR(__xludf.DUMMYFUNCTION("""COMPUTED_VALUE"""),"4f5059a5")</f>
        <v>4f5059a5</v>
      </c>
      <c r="I415" s="2" t="str">
        <f ca="1">IFERROR(__xludf.DUMMYFUNCTION("""COMPUTED_VALUE"""),"Ajuste Arqueo 14/04/25")</f>
        <v>Ajuste Arqueo 14/04/25</v>
      </c>
      <c r="J415" s="2">
        <f ca="1">IFERROR(__xludf.DUMMYFUNCTION("""COMPUTED_VALUE"""),11501)</f>
        <v>11501</v>
      </c>
      <c r="K415" s="2">
        <f ca="1">IFERROR(__xludf.DUMMYFUNCTION("""COMPUTED_VALUE"""),18201)</f>
        <v>18201</v>
      </c>
      <c r="L415" s="2" t="str">
        <f ca="1">IFERROR(__xludf.DUMMYFUNCTION("""COMPUTED_VALUE"""),"48038afe")</f>
        <v>48038afe</v>
      </c>
      <c r="M415" s="2" t="str">
        <f ca="1">IFERROR(__xludf.DUMMYFUNCTION("""COMPUTED_VALUE"""),"Ajuste Arqueo 14/04/25")</f>
        <v>Ajuste Arqueo 14/04/25</v>
      </c>
      <c r="N415" s="2"/>
      <c r="O415" s="2" t="str">
        <f ca="1">IFERROR(__xludf.DUMMYFUNCTION("""COMPUTED_VALUE"""),"Descubada")</f>
        <v>Descubada</v>
      </c>
      <c r="P415" s="2" t="str">
        <f ca="1">IFERROR(__xludf.DUMMYFUNCTION("""COMPUTED_VALUE"""),"Descubada")</f>
        <v>Descubada</v>
      </c>
      <c r="Q415" s="2" t="b">
        <f ca="1">IFERROR(__xludf.DUMMYFUNCTION("""COMPUTED_VALUE"""),TRUE)</f>
        <v>1</v>
      </c>
      <c r="R415" s="2" t="str">
        <f ca="1">IFERROR(__xludf.DUMMYFUNCTION("""COMPUTED_VALUE"""),"Descubada")</f>
        <v>Descubada</v>
      </c>
      <c r="S415" s="2"/>
      <c r="T415" s="2"/>
      <c r="U415" s="2"/>
    </row>
    <row r="416" spans="1:21" x14ac:dyDescent="0.25">
      <c r="A416" s="2" t="str">
        <f ca="1">IFERROR(__xludf.DUMMYFUNCTION("""COMPUTED_VALUE"""),"5f53a4d1")</f>
        <v>5f53a4d1</v>
      </c>
      <c r="B416" s="5">
        <f ca="1">IFERROR(__xludf.DUMMYFUNCTION("""COMPUTED_VALUE"""),45761.8219097222)</f>
        <v>45761.821909722203</v>
      </c>
      <c r="C416" s="2" t="str">
        <f ca="1">IFERROR(__xludf.DUMMYFUNCTION("""COMPUTED_VALUE"""),"bb5ac12c")</f>
        <v>bb5ac12c</v>
      </c>
      <c r="D416" s="2">
        <f ca="1">IFERROR(__xludf.DUMMYFUNCTION("""COMPUTED_VALUE"""),120)</f>
        <v>120</v>
      </c>
      <c r="E416" s="2" t="str">
        <f ca="1">IFERROR(__xludf.DUMMYFUNCTION("""COMPUTED_VALUE"""),"Cabernet Sauvignon")</f>
        <v>Cabernet Sauvignon</v>
      </c>
      <c r="F416" s="2">
        <f ca="1">IFERROR(__xludf.DUMMYFUNCTION("""COMPUTED_VALUE"""),8000)</f>
        <v>8000</v>
      </c>
      <c r="G416" s="2">
        <f ca="1">IFERROR(__xludf.DUMMYFUNCTION("""COMPUTED_VALUE"""),500)</f>
        <v>500</v>
      </c>
      <c r="H416" s="2" t="str">
        <f ca="1">IFERROR(__xludf.DUMMYFUNCTION("""COMPUTED_VALUE"""),"48038afe")</f>
        <v>48038afe</v>
      </c>
      <c r="I416" s="2" t="str">
        <f ca="1">IFERROR(__xludf.DUMMYFUNCTION("""COMPUTED_VALUE"""),"Ajuste Arqueo 14/04/25")</f>
        <v>Ajuste Arqueo 14/04/25</v>
      </c>
      <c r="J416" s="2">
        <f ca="1">IFERROR(__xludf.DUMMYFUNCTION("""COMPUTED_VALUE"""),18201)</f>
        <v>18201</v>
      </c>
      <c r="K416" s="2">
        <f ca="1">IFERROR(__xludf.DUMMYFUNCTION("""COMPUTED_VALUE"""),26201)</f>
        <v>26201</v>
      </c>
      <c r="L416" s="2" t="str">
        <f ca="1">IFERROR(__xludf.DUMMYFUNCTION("""COMPUTED_VALUE"""),"24faac94")</f>
        <v>24faac94</v>
      </c>
      <c r="M416" s="2" t="str">
        <f ca="1">IFERROR(__xludf.DUMMYFUNCTION("""COMPUTED_VALUE"""),"Ajuste Arqueo 14/04/25")</f>
        <v>Ajuste Arqueo 14/04/25</v>
      </c>
      <c r="N416" s="2"/>
      <c r="O416" s="2" t="str">
        <f ca="1">IFERROR(__xludf.DUMMYFUNCTION("""COMPUTED_VALUE"""),"Descubada")</f>
        <v>Descubada</v>
      </c>
      <c r="P416" s="2" t="str">
        <f ca="1">IFERROR(__xludf.DUMMYFUNCTION("""COMPUTED_VALUE"""),"Descubada")</f>
        <v>Descubada</v>
      </c>
      <c r="Q416" s="2" t="b">
        <f ca="1">IFERROR(__xludf.DUMMYFUNCTION("""COMPUTED_VALUE"""),TRUE)</f>
        <v>1</v>
      </c>
      <c r="R416" s="2" t="str">
        <f ca="1">IFERROR(__xludf.DUMMYFUNCTION("""COMPUTED_VALUE"""),"Descubada")</f>
        <v>Descubada</v>
      </c>
      <c r="S416" s="2"/>
      <c r="T416" s="2"/>
      <c r="U416" s="2"/>
    </row>
    <row r="417" spans="1:21" x14ac:dyDescent="0.25">
      <c r="A417" s="2" t="str">
        <f ca="1">IFERROR(__xludf.DUMMYFUNCTION("""COMPUTED_VALUE"""),"27893242")</f>
        <v>27893242</v>
      </c>
      <c r="B417" s="5">
        <f ca="1">IFERROR(__xludf.DUMMYFUNCTION("""COMPUTED_VALUE"""),45761.8223379629)</f>
        <v>45761.822337962898</v>
      </c>
      <c r="C417" s="2" t="str">
        <f ca="1">IFERROR(__xludf.DUMMYFUNCTION("""COMPUTED_VALUE"""),"91eadabd")</f>
        <v>91eadabd</v>
      </c>
      <c r="D417" s="2">
        <f ca="1">IFERROR(__xludf.DUMMYFUNCTION("""COMPUTED_VALUE"""),127)</f>
        <v>127</v>
      </c>
      <c r="E417" s="2" t="str">
        <f ca="1">IFERROR(__xludf.DUMMYFUNCTION("""COMPUTED_VALUE"""),"Criolla s/Bonarda")</f>
        <v>Criolla s/Bonarda</v>
      </c>
      <c r="F417" s="2">
        <f ca="1">IFERROR(__xludf.DUMMYFUNCTION("""COMPUTED_VALUE"""),1000)</f>
        <v>1000</v>
      </c>
      <c r="G417" s="2">
        <f ca="1">IFERROR(__xludf.DUMMYFUNCTION("""COMPUTED_VALUE"""),500)</f>
        <v>500</v>
      </c>
      <c r="H417" s="2" t="str">
        <f ca="1">IFERROR(__xludf.DUMMYFUNCTION("""COMPUTED_VALUE"""),"24faac94")</f>
        <v>24faac94</v>
      </c>
      <c r="I417" s="2" t="str">
        <f ca="1">IFERROR(__xludf.DUMMYFUNCTION("""COMPUTED_VALUE"""),"Ajuste Arqueo 14/04/25")</f>
        <v>Ajuste Arqueo 14/04/25</v>
      </c>
      <c r="J417" s="2">
        <f ca="1">IFERROR(__xludf.DUMMYFUNCTION("""COMPUTED_VALUE"""),26201)</f>
        <v>26201</v>
      </c>
      <c r="K417" s="2">
        <f ca="1">IFERROR(__xludf.DUMMYFUNCTION("""COMPUTED_VALUE"""),27201)</f>
        <v>27201</v>
      </c>
      <c r="L417" s="2" t="str">
        <f ca="1">IFERROR(__xludf.DUMMYFUNCTION("""COMPUTED_VALUE"""),"d4c8b868")</f>
        <v>d4c8b868</v>
      </c>
      <c r="M417" s="2" t="str">
        <f ca="1">IFERROR(__xludf.DUMMYFUNCTION("""COMPUTED_VALUE"""),"Ajuste Arqueo 14/04/25")</f>
        <v>Ajuste Arqueo 14/04/25</v>
      </c>
      <c r="N417" s="2"/>
      <c r="O417" s="2" t="str">
        <f ca="1">IFERROR(__xludf.DUMMYFUNCTION("""COMPUTED_VALUE"""),"Descubada")</f>
        <v>Descubada</v>
      </c>
      <c r="P417" s="2" t="str">
        <f ca="1">IFERROR(__xludf.DUMMYFUNCTION("""COMPUTED_VALUE"""),"Descubada")</f>
        <v>Descubada</v>
      </c>
      <c r="Q417" s="2" t="b">
        <f ca="1">IFERROR(__xludf.DUMMYFUNCTION("""COMPUTED_VALUE"""),TRUE)</f>
        <v>1</v>
      </c>
      <c r="R417" s="2" t="str">
        <f ca="1">IFERROR(__xludf.DUMMYFUNCTION("""COMPUTED_VALUE"""),"Descubada")</f>
        <v>Descubada</v>
      </c>
      <c r="S417" s="2"/>
      <c r="T417" s="2"/>
      <c r="U417" s="2"/>
    </row>
    <row r="418" spans="1:21" x14ac:dyDescent="0.25">
      <c r="A418" s="2" t="str">
        <f ca="1">IFERROR(__xludf.DUMMYFUNCTION("""COMPUTED_VALUE"""),"10f4b0b0")</f>
        <v>10f4b0b0</v>
      </c>
      <c r="B418" s="5">
        <f ca="1">IFERROR(__xludf.DUMMYFUNCTION("""COMPUTED_VALUE"""),45762.4831481481)</f>
        <v>45762.483148148101</v>
      </c>
      <c r="C418" s="2" t="str">
        <f ca="1">IFERROR(__xludf.DUMMYFUNCTION("""COMPUTED_VALUE"""),"cb50df04")</f>
        <v>cb50df04</v>
      </c>
      <c r="D418" s="2">
        <f ca="1">IFERROR(__xludf.DUMMYFUNCTION("""COMPUTED_VALUE"""),11)</f>
        <v>11</v>
      </c>
      <c r="E418" s="2" t="str">
        <f ca="1">IFERROR(__xludf.DUMMYFUNCTION("""COMPUTED_VALUE"""),"Syrah Rect")</f>
        <v>Syrah Rect</v>
      </c>
      <c r="F418" s="2">
        <f ca="1">IFERROR(__xludf.DUMMYFUNCTION("""COMPUTED_VALUE"""),8500)</f>
        <v>8500</v>
      </c>
      <c r="G418" s="2">
        <f ca="1">IFERROR(__xludf.DUMMYFUNCTION("""COMPUTED_VALUE"""),86)</f>
        <v>86</v>
      </c>
      <c r="H418" s="2" t="str">
        <f ca="1">IFERROR(__xludf.DUMMYFUNCTION("""COMPUTED_VALUE"""),"8d8607b8")</f>
        <v>8d8607b8</v>
      </c>
      <c r="I418" s="2" t="str">
        <f ca="1">IFERROR(__xludf.DUMMYFUNCTION("""COMPUTED_VALUE"""),"Bonarda")</f>
        <v>Bonarda</v>
      </c>
      <c r="J418" s="2">
        <f ca="1">IFERROR(__xludf.DUMMYFUNCTION("""COMPUTED_VALUE"""),50000)</f>
        <v>50000</v>
      </c>
      <c r="K418" s="2">
        <f ca="1">IFERROR(__xludf.DUMMYFUNCTION("""COMPUTED_VALUE"""),58500)</f>
        <v>58500</v>
      </c>
      <c r="L418" s="2" t="str">
        <f ca="1">IFERROR(__xludf.DUMMYFUNCTION("""COMPUTED_VALUE"""),"afa1959b")</f>
        <v>afa1959b</v>
      </c>
      <c r="M418" s="2" t="str">
        <f ca="1">IFERROR(__xludf.DUMMYFUNCTION("""COMPUTED_VALUE"""),"Bonarda")</f>
        <v>Bonarda</v>
      </c>
      <c r="N418" s="2"/>
      <c r="O418" s="2" t="str">
        <f ca="1">IFERROR(__xludf.DUMMYFUNCTION("""COMPUTED_VALUE"""),"Rectificado")</f>
        <v>Rectificado</v>
      </c>
      <c r="P418" s="2" t="str">
        <f ca="1">IFERROR(__xludf.DUMMYFUNCTION("""COMPUTED_VALUE"""),"Fermentando")</f>
        <v>Fermentando</v>
      </c>
      <c r="Q418" s="2" t="b">
        <f ca="1">IFERROR(__xludf.DUMMYFUNCTION("""COMPUTED_VALUE"""),TRUE)</f>
        <v>1</v>
      </c>
      <c r="R418" s="2" t="str">
        <f ca="1">IFERROR(__xludf.DUMMYFUNCTION("""COMPUTED_VALUE"""),"Fermentando")</f>
        <v>Fermentando</v>
      </c>
      <c r="S418" s="2"/>
      <c r="T418" s="2"/>
      <c r="U418" s="2"/>
    </row>
    <row r="419" spans="1:21" x14ac:dyDescent="0.25">
      <c r="A419" s="2" t="str">
        <f ca="1">IFERROR(__xludf.DUMMYFUNCTION("""COMPUTED_VALUE"""),"a9cb12d7")</f>
        <v>a9cb12d7</v>
      </c>
      <c r="B419" s="5">
        <f ca="1">IFERROR(__xludf.DUMMYFUNCTION("""COMPUTED_VALUE"""),45763.7506597222)</f>
        <v>45763.750659722202</v>
      </c>
      <c r="C419" s="2" t="str">
        <f ca="1">IFERROR(__xludf.DUMMYFUNCTION("""COMPUTED_VALUE"""),"c0fd1ee4")</f>
        <v>c0fd1ee4</v>
      </c>
      <c r="D419" s="2">
        <f ca="1">IFERROR(__xludf.DUMMYFUNCTION("""COMPUTED_VALUE"""),90)</f>
        <v>90</v>
      </c>
      <c r="E419" s="2" t="str">
        <f ca="1">IFERROR(__xludf.DUMMYFUNCTION("""COMPUTED_VALUE"""),"Bonarda")</f>
        <v>Bonarda</v>
      </c>
      <c r="F419" s="2">
        <f ca="1">IFERROR(__xludf.DUMMYFUNCTION("""COMPUTED_VALUE"""),50000)</f>
        <v>50000</v>
      </c>
      <c r="G419" s="2">
        <f ca="1">IFERROR(__xludf.DUMMYFUNCTION("""COMPUTED_VALUE"""),118)</f>
        <v>118</v>
      </c>
      <c r="H419" s="2"/>
      <c r="I419" s="2"/>
      <c r="J419" s="2">
        <f ca="1">IFERROR(__xludf.DUMMYFUNCTION("""COMPUTED_VALUE"""),0)</f>
        <v>0</v>
      </c>
      <c r="K419" s="2">
        <f ca="1">IFERROR(__xludf.DUMMYFUNCTION("""COMPUTED_VALUE"""),50000)</f>
        <v>50000</v>
      </c>
      <c r="L419" s="2" t="str">
        <f ca="1">IFERROR(__xludf.DUMMYFUNCTION("""COMPUTED_VALUE"""),"7aef611b")</f>
        <v>7aef611b</v>
      </c>
      <c r="M419" s="2" t="str">
        <f ca="1">IFERROR(__xludf.DUMMYFUNCTION("""COMPUTED_VALUE"""),"Bonarda")</f>
        <v>Bonarda</v>
      </c>
      <c r="N419" s="2" t="str">
        <f ca="1">IFERROR(__xludf.DUMMYFUNCTION("""COMPUTED_VALUE"""),"devine solo gota")</f>
        <v>devine solo gota</v>
      </c>
      <c r="O419" s="2" t="str">
        <f ca="1">IFERROR(__xludf.DUMMYFUNCTION("""COMPUTED_VALUE"""),"Fermentando")</f>
        <v>Fermentando</v>
      </c>
      <c r="P419" s="2"/>
      <c r="Q419" s="2" t="b">
        <f ca="1">IFERROR(__xludf.DUMMYFUNCTION("""COMPUTED_VALUE"""),FALSE)</f>
        <v>0</v>
      </c>
      <c r="R419" s="2" t="str">
        <f ca="1">IFERROR(__xludf.DUMMYFUNCTION("""COMPUTED_VALUE"""),"Descubada")</f>
        <v>Descubada</v>
      </c>
      <c r="S419" s="2"/>
      <c r="T419" s="2"/>
      <c r="U419" s="2"/>
    </row>
    <row r="420" spans="1:21" x14ac:dyDescent="0.25">
      <c r="A420" s="2" t="str">
        <f ca="1">IFERROR(__xludf.DUMMYFUNCTION("""COMPUTED_VALUE"""),"d18a8462")</f>
        <v>d18a8462</v>
      </c>
      <c r="B420" s="5">
        <f ca="1">IFERROR(__xludf.DUMMYFUNCTION("""COMPUTED_VALUE"""),45763.7527314814)</f>
        <v>45763.7527314814</v>
      </c>
      <c r="C420" s="2" t="str">
        <f ca="1">IFERROR(__xludf.DUMMYFUNCTION("""COMPUTED_VALUE"""),"189e6a11")</f>
        <v>189e6a11</v>
      </c>
      <c r="D420" s="2">
        <f ca="1">IFERROR(__xludf.DUMMYFUNCTION("""COMPUTED_VALUE"""),91)</f>
        <v>91</v>
      </c>
      <c r="E420" s="2" t="str">
        <f ca="1">IFERROR(__xludf.DUMMYFUNCTION("""COMPUTED_VALUE"""),"Bonarda sin Rect")</f>
        <v>Bonarda sin Rect</v>
      </c>
      <c r="F420" s="2">
        <f ca="1">IFERROR(__xludf.DUMMYFUNCTION("""COMPUTED_VALUE"""),38000)</f>
        <v>38000</v>
      </c>
      <c r="G420" s="2">
        <f ca="1">IFERROR(__xludf.DUMMYFUNCTION("""COMPUTED_VALUE"""),118)</f>
        <v>118</v>
      </c>
      <c r="H420" s="2" t="str">
        <f ca="1">IFERROR(__xludf.DUMMYFUNCTION("""COMPUTED_VALUE"""),"7aef611b")</f>
        <v>7aef611b</v>
      </c>
      <c r="I420" s="2" t="str">
        <f ca="1">IFERROR(__xludf.DUMMYFUNCTION("""COMPUTED_VALUE"""),"Bonarda")</f>
        <v>Bonarda</v>
      </c>
      <c r="J420" s="2">
        <f ca="1">IFERROR(__xludf.DUMMYFUNCTION("""COMPUTED_VALUE"""),50000)</f>
        <v>50000</v>
      </c>
      <c r="K420" s="2">
        <f ca="1">IFERROR(__xludf.DUMMYFUNCTION("""COMPUTED_VALUE"""),88000)</f>
        <v>88000</v>
      </c>
      <c r="L420" s="2" t="str">
        <f ca="1">IFERROR(__xludf.DUMMYFUNCTION("""COMPUTED_VALUE"""),"c5495c94")</f>
        <v>c5495c94</v>
      </c>
      <c r="M420" s="2" t="str">
        <f ca="1">IFERROR(__xludf.DUMMYFUNCTION("""COMPUTED_VALUE"""),"Bonarda")</f>
        <v>Bonarda</v>
      </c>
      <c r="N420" s="2"/>
      <c r="O420" s="2" t="str">
        <f ca="1">IFERROR(__xludf.DUMMYFUNCTION("""COMPUTED_VALUE"""),"Fermentando")</f>
        <v>Fermentando</v>
      </c>
      <c r="P420" s="2" t="str">
        <f ca="1">IFERROR(__xludf.DUMMYFUNCTION("""COMPUTED_VALUE"""),"Descubada")</f>
        <v>Descubada</v>
      </c>
      <c r="Q420" s="2" t="b">
        <f ca="1">IFERROR(__xludf.DUMMYFUNCTION("""COMPUTED_VALUE"""),TRUE)</f>
        <v>1</v>
      </c>
      <c r="R420" s="2" t="str">
        <f ca="1">IFERROR(__xludf.DUMMYFUNCTION("""COMPUTED_VALUE"""),"Descubada")</f>
        <v>Descubada</v>
      </c>
      <c r="S420" s="2"/>
      <c r="T420" s="2"/>
      <c r="U420" s="2"/>
    </row>
    <row r="421" spans="1:21" x14ac:dyDescent="0.25">
      <c r="A421" s="2" t="str">
        <f ca="1">IFERROR(__xludf.DUMMYFUNCTION("""COMPUTED_VALUE"""),"f744f36c")</f>
        <v>f744f36c</v>
      </c>
      <c r="B421" s="5">
        <f ca="1">IFERROR(__xludf.DUMMYFUNCTION("""COMPUTED_VALUE"""),45763.7533796296)</f>
        <v>45763.753379629597</v>
      </c>
      <c r="C421" s="2" t="str">
        <f ca="1">IFERROR(__xludf.DUMMYFUNCTION("""COMPUTED_VALUE"""),"b60fb43a")</f>
        <v>b60fb43a</v>
      </c>
      <c r="D421" s="2">
        <f ca="1">IFERROR(__xludf.DUMMYFUNCTION("""COMPUTED_VALUE"""),84)</f>
        <v>84</v>
      </c>
      <c r="E421" s="2" t="str">
        <f ca="1">IFERROR(__xludf.DUMMYFUNCTION("""COMPUTED_VALUE"""),"Bonarda")</f>
        <v>Bonarda</v>
      </c>
      <c r="F421" s="2">
        <f ca="1">IFERROR(__xludf.DUMMYFUNCTION("""COMPUTED_VALUE"""),37200)</f>
        <v>37200</v>
      </c>
      <c r="G421" s="2">
        <f ca="1">IFERROR(__xludf.DUMMYFUNCTION("""COMPUTED_VALUE"""),118)</f>
        <v>118</v>
      </c>
      <c r="H421" s="2" t="str">
        <f ca="1">IFERROR(__xludf.DUMMYFUNCTION("""COMPUTED_VALUE"""),"c5495c94")</f>
        <v>c5495c94</v>
      </c>
      <c r="I421" s="2" t="str">
        <f ca="1">IFERROR(__xludf.DUMMYFUNCTION("""COMPUTED_VALUE"""),"Bonarda")</f>
        <v>Bonarda</v>
      </c>
      <c r="J421" s="2">
        <f ca="1">IFERROR(__xludf.DUMMYFUNCTION("""COMPUTED_VALUE"""),88000)</f>
        <v>88000</v>
      </c>
      <c r="K421" s="2">
        <f ca="1">IFERROR(__xludf.DUMMYFUNCTION("""COMPUTED_VALUE"""),125200)</f>
        <v>125200</v>
      </c>
      <c r="L421" s="2" t="str">
        <f ca="1">IFERROR(__xludf.DUMMYFUNCTION("""COMPUTED_VALUE"""),"29d21664")</f>
        <v>29d21664</v>
      </c>
      <c r="M421" s="2" t="str">
        <f ca="1">IFERROR(__xludf.DUMMYFUNCTION("""COMPUTED_VALUE"""),"Bonarda")</f>
        <v>Bonarda</v>
      </c>
      <c r="N421" s="2"/>
      <c r="O421" s="2" t="str">
        <f ca="1">IFERROR(__xludf.DUMMYFUNCTION("""COMPUTED_VALUE"""),"Fermentando")</f>
        <v>Fermentando</v>
      </c>
      <c r="P421" s="2" t="str">
        <f ca="1">IFERROR(__xludf.DUMMYFUNCTION("""COMPUTED_VALUE"""),"Descubada")</f>
        <v>Descubada</v>
      </c>
      <c r="Q421" s="2" t="b">
        <f ca="1">IFERROR(__xludf.DUMMYFUNCTION("""COMPUTED_VALUE"""),TRUE)</f>
        <v>1</v>
      </c>
      <c r="R421" s="2" t="str">
        <f ca="1">IFERROR(__xludf.DUMMYFUNCTION("""COMPUTED_VALUE"""),"Descubada")</f>
        <v>Descubada</v>
      </c>
      <c r="S421" s="2"/>
      <c r="T421" s="2"/>
      <c r="U421" s="2"/>
    </row>
    <row r="422" spans="1:21" x14ac:dyDescent="0.25">
      <c r="A422" s="2" t="str">
        <f ca="1">IFERROR(__xludf.DUMMYFUNCTION("""COMPUTED_VALUE"""),"99845561")</f>
        <v>99845561</v>
      </c>
      <c r="B422" s="5">
        <f ca="1">IFERROR(__xludf.DUMMYFUNCTION("""COMPUTED_VALUE"""),45763.7543981481)</f>
        <v>45763.754398148099</v>
      </c>
      <c r="C422" s="2" t="str">
        <f ca="1">IFERROR(__xludf.DUMMYFUNCTION("""COMPUTED_VALUE"""),"2aac908d")</f>
        <v>2aac908d</v>
      </c>
      <c r="D422" s="2">
        <f ca="1">IFERROR(__xludf.DUMMYFUNCTION("""COMPUTED_VALUE"""),88)</f>
        <v>88</v>
      </c>
      <c r="E422" s="2" t="str">
        <f ca="1">IFERROR(__xludf.DUMMYFUNCTION("""COMPUTED_VALUE"""),"Bonarda")</f>
        <v>Bonarda</v>
      </c>
      <c r="F422" s="2">
        <f ca="1">IFERROR(__xludf.DUMMYFUNCTION("""COMPUTED_VALUE"""),30400)</f>
        <v>30400</v>
      </c>
      <c r="G422" s="2">
        <f ca="1">IFERROR(__xludf.DUMMYFUNCTION("""COMPUTED_VALUE"""),118)</f>
        <v>118</v>
      </c>
      <c r="H422" s="2" t="str">
        <f ca="1">IFERROR(__xludf.DUMMYFUNCTION("""COMPUTED_VALUE"""),"29d21664")</f>
        <v>29d21664</v>
      </c>
      <c r="I422" s="2" t="str">
        <f ca="1">IFERROR(__xludf.DUMMYFUNCTION("""COMPUTED_VALUE"""),"Bonarda")</f>
        <v>Bonarda</v>
      </c>
      <c r="J422" s="2">
        <f ca="1">IFERROR(__xludf.DUMMYFUNCTION("""COMPUTED_VALUE"""),125200)</f>
        <v>125200</v>
      </c>
      <c r="K422" s="2">
        <f ca="1">IFERROR(__xludf.DUMMYFUNCTION("""COMPUTED_VALUE"""),155600)</f>
        <v>155600</v>
      </c>
      <c r="L422" s="2" t="str">
        <f ca="1">IFERROR(__xludf.DUMMYFUNCTION("""COMPUTED_VALUE"""),"8ec426a5")</f>
        <v>8ec426a5</v>
      </c>
      <c r="M422" s="2" t="str">
        <f ca="1">IFERROR(__xludf.DUMMYFUNCTION("""COMPUTED_VALUE"""),"Bonarda")</f>
        <v>Bonarda</v>
      </c>
      <c r="N422" s="2" t="str">
        <f ca="1">IFERROR(__xludf.DUMMYFUNCTION("""COMPUTED_VALUE"""),"solo gota")</f>
        <v>solo gota</v>
      </c>
      <c r="O422" s="2" t="str">
        <f ca="1">IFERROR(__xludf.DUMMYFUNCTION("""COMPUTED_VALUE"""),"Fermentando")</f>
        <v>Fermentando</v>
      </c>
      <c r="P422" s="2" t="str">
        <f ca="1">IFERROR(__xludf.DUMMYFUNCTION("""COMPUTED_VALUE"""),"Descubada")</f>
        <v>Descubada</v>
      </c>
      <c r="Q422" s="2" t="b">
        <f ca="1">IFERROR(__xludf.DUMMYFUNCTION("""COMPUTED_VALUE"""),TRUE)</f>
        <v>1</v>
      </c>
      <c r="R422" s="2" t="str">
        <f ca="1">IFERROR(__xludf.DUMMYFUNCTION("""COMPUTED_VALUE"""),"Descubada")</f>
        <v>Descubada</v>
      </c>
      <c r="S422" s="2"/>
      <c r="T422" s="2"/>
      <c r="U422" s="2"/>
    </row>
    <row r="423" spans="1:21" x14ac:dyDescent="0.25">
      <c r="A423" s="2" t="str">
        <f ca="1">IFERROR(__xludf.DUMMYFUNCTION("""COMPUTED_VALUE"""),"49940ac5")</f>
        <v>49940ac5</v>
      </c>
      <c r="B423" s="5">
        <f ca="1">IFERROR(__xludf.DUMMYFUNCTION("""COMPUTED_VALUE"""),45763.7558101851)</f>
        <v>45763.755810185103</v>
      </c>
      <c r="C423" s="2" t="str">
        <f ca="1">IFERROR(__xludf.DUMMYFUNCTION("""COMPUTED_VALUE"""),"c7ecff86")</f>
        <v>c7ecff86</v>
      </c>
      <c r="D423" s="2">
        <f ca="1">IFERROR(__xludf.DUMMYFUNCTION("""COMPUTED_VALUE"""),49)</f>
        <v>49</v>
      </c>
      <c r="E423" s="2" t="str">
        <f ca="1">IFERROR(__xludf.DUMMYFUNCTION("""COMPUTED_VALUE"""),"Bonarda Gota")</f>
        <v>Bonarda Gota</v>
      </c>
      <c r="F423" s="2">
        <f ca="1">IFERROR(__xludf.DUMMYFUNCTION("""COMPUTED_VALUE"""),17000)</f>
        <v>17000</v>
      </c>
      <c r="G423" s="2">
        <f ca="1">IFERROR(__xludf.DUMMYFUNCTION("""COMPUTED_VALUE"""),11)</f>
        <v>11</v>
      </c>
      <c r="H423" s="2" t="str">
        <f ca="1">IFERROR(__xludf.DUMMYFUNCTION("""COMPUTED_VALUE"""),"cb50df04")</f>
        <v>cb50df04</v>
      </c>
      <c r="I423" s="2" t="str">
        <f ca="1">IFERROR(__xludf.DUMMYFUNCTION("""COMPUTED_VALUE"""),"Syrah Rect")</f>
        <v>Syrah Rect</v>
      </c>
      <c r="J423" s="2">
        <f ca="1">IFERROR(__xludf.DUMMYFUNCTION("""COMPUTED_VALUE"""),16700)</f>
        <v>16700</v>
      </c>
      <c r="K423" s="2">
        <f ca="1">IFERROR(__xludf.DUMMYFUNCTION("""COMPUTED_VALUE"""),33700)</f>
        <v>33700</v>
      </c>
      <c r="L423" s="2" t="str">
        <f ca="1">IFERROR(__xludf.DUMMYFUNCTION("""COMPUTED_VALUE"""),"49defec5")</f>
        <v>49defec5</v>
      </c>
      <c r="M423" s="2" t="str">
        <f ca="1">IFERROR(__xludf.DUMMYFUNCTION("""COMPUTED_VALUE"""),"Syrah Bonarda Rect")</f>
        <v>Syrah Bonarda Rect</v>
      </c>
      <c r="N423" s="2"/>
      <c r="O423" s="2" t="str">
        <f ca="1">IFERROR(__xludf.DUMMYFUNCTION("""COMPUTED_VALUE"""),"Descubada")</f>
        <v>Descubada</v>
      </c>
      <c r="P423" s="2" t="str">
        <f ca="1">IFERROR(__xludf.DUMMYFUNCTION("""COMPUTED_VALUE"""),"Rectificado")</f>
        <v>Rectificado</v>
      </c>
      <c r="Q423" s="2" t="b">
        <f ca="1">IFERROR(__xludf.DUMMYFUNCTION("""COMPUTED_VALUE"""),TRUE)</f>
        <v>1</v>
      </c>
      <c r="R423" s="2" t="str">
        <f ca="1">IFERROR(__xludf.DUMMYFUNCTION("""COMPUTED_VALUE"""),"Rectificado")</f>
        <v>Rectificado</v>
      </c>
      <c r="S423" s="2"/>
      <c r="T423" s="2"/>
      <c r="U423" s="2"/>
    </row>
    <row r="424" spans="1:21" x14ac:dyDescent="0.25">
      <c r="A424" s="2" t="str">
        <f ca="1">IFERROR(__xludf.DUMMYFUNCTION("""COMPUTED_VALUE"""),"e9f4c3cf")</f>
        <v>e9f4c3cf</v>
      </c>
      <c r="B424" s="5">
        <f ca="1">IFERROR(__xludf.DUMMYFUNCTION("""COMPUTED_VALUE"""),45763.7589467592)</f>
        <v>45763.758946759197</v>
      </c>
      <c r="C424" s="2" t="str">
        <f ca="1">IFERROR(__xludf.DUMMYFUNCTION("""COMPUTED_VALUE"""),"fd6b223b")</f>
        <v>fd6b223b</v>
      </c>
      <c r="D424" s="2">
        <f ca="1">IFERROR(__xludf.DUMMYFUNCTION("""COMPUTED_VALUE"""),83)</f>
        <v>83</v>
      </c>
      <c r="E424" s="2" t="str">
        <f ca="1">IFERROR(__xludf.DUMMYFUNCTION("""COMPUTED_VALUE"""),"Criolla Flotada")</f>
        <v>Criolla Flotada</v>
      </c>
      <c r="F424" s="2">
        <f ca="1">IFERROR(__xludf.DUMMYFUNCTION("""COMPUTED_VALUE"""),30000)</f>
        <v>30000</v>
      </c>
      <c r="G424" s="2">
        <f ca="1">IFERROR(__xludf.DUMMYFUNCTION("""COMPUTED_VALUE"""),90)</f>
        <v>90</v>
      </c>
      <c r="H424" s="2" t="str">
        <f ca="1">IFERROR(__xludf.DUMMYFUNCTION("""COMPUTED_VALUE"""),"c0fd1ee4")</f>
        <v>c0fd1ee4</v>
      </c>
      <c r="I424" s="2" t="str">
        <f ca="1">IFERROR(__xludf.DUMMYFUNCTION("""COMPUTED_VALUE"""),"Bonarda")</f>
        <v>Bonarda</v>
      </c>
      <c r="J424" s="2">
        <f ca="1">IFERROR(__xludf.DUMMYFUNCTION("""COMPUTED_VALUE"""),21600)</f>
        <v>21600</v>
      </c>
      <c r="K424" s="2">
        <f ca="1">IFERROR(__xludf.DUMMYFUNCTION("""COMPUTED_VALUE"""),51600)</f>
        <v>51600</v>
      </c>
      <c r="L424" s="2" t="str">
        <f ca="1">IFERROR(__xludf.DUMMYFUNCTION("""COMPUTED_VALUE"""),"c1c626f1")</f>
        <v>c1c626f1</v>
      </c>
      <c r="M424" s="2" t="str">
        <f ca="1">IFERROR(__xludf.DUMMYFUNCTION("""COMPUTED_VALUE"""),"Tinto s/Bonarda")</f>
        <v>Tinto s/Bonarda</v>
      </c>
      <c r="N424" s="2"/>
      <c r="O424" s="2" t="str">
        <f ca="1">IFERROR(__xludf.DUMMYFUNCTION("""COMPUTED_VALUE"""),"Fermentando")</f>
        <v>Fermentando</v>
      </c>
      <c r="P424" s="2" t="str">
        <f ca="1">IFERROR(__xludf.DUMMYFUNCTION("""COMPUTED_VALUE"""),"Fermentando")</f>
        <v>Fermentando</v>
      </c>
      <c r="Q424" s="2" t="b">
        <f ca="1">IFERROR(__xludf.DUMMYFUNCTION("""COMPUTED_VALUE"""),FALSE)</f>
        <v>0</v>
      </c>
      <c r="R424" s="2" t="str">
        <f ca="1">IFERROR(__xludf.DUMMYFUNCTION("""COMPUTED_VALUE"""),"Recarga Fermentando")</f>
        <v>Recarga Fermentando</v>
      </c>
      <c r="S424" s="2"/>
      <c r="T424" s="2"/>
      <c r="U424" s="2"/>
    </row>
    <row r="425" spans="1:21" x14ac:dyDescent="0.25">
      <c r="A425" s="2" t="str">
        <f ca="1">IFERROR(__xludf.DUMMYFUNCTION("""COMPUTED_VALUE"""),"61c9dedf")</f>
        <v>61c9dedf</v>
      </c>
      <c r="B425" s="5">
        <f ca="1">IFERROR(__xludf.DUMMYFUNCTION("""COMPUTED_VALUE"""),45763.7629861111)</f>
        <v>45763.762986111098</v>
      </c>
      <c r="C425" s="2" t="str">
        <f ca="1">IFERROR(__xludf.DUMMYFUNCTION("""COMPUTED_VALUE"""),"95afa5f8")</f>
        <v>95afa5f8</v>
      </c>
      <c r="D425" s="2">
        <f ca="1">IFERROR(__xludf.DUMMYFUNCTION("""COMPUTED_VALUE"""),7)</f>
        <v>7</v>
      </c>
      <c r="E425" s="2" t="str">
        <f ca="1">IFERROR(__xludf.DUMMYFUNCTION("""COMPUTED_VALUE"""),"Criolla Flotada")</f>
        <v>Criolla Flotada</v>
      </c>
      <c r="F425" s="2">
        <f ca="1">IFERROR(__xludf.DUMMYFUNCTION("""COMPUTED_VALUE"""),9000)</f>
        <v>9000</v>
      </c>
      <c r="G425" s="2">
        <f ca="1">IFERROR(__xludf.DUMMYFUNCTION("""COMPUTED_VALUE"""),91)</f>
        <v>91</v>
      </c>
      <c r="H425" s="2" t="str">
        <f ca="1">IFERROR(__xludf.DUMMYFUNCTION("""COMPUTED_VALUE"""),"189e6a11")</f>
        <v>189e6a11</v>
      </c>
      <c r="I425" s="2" t="str">
        <f ca="1">IFERROR(__xludf.DUMMYFUNCTION("""COMPUTED_VALUE"""),"Bonarda sin Rect")</f>
        <v>Bonarda sin Rect</v>
      </c>
      <c r="J425" s="2">
        <f ca="1">IFERROR(__xludf.DUMMYFUNCTION("""COMPUTED_VALUE"""),10800)</f>
        <v>10800</v>
      </c>
      <c r="K425" s="2">
        <f ca="1">IFERROR(__xludf.DUMMYFUNCTION("""COMPUTED_VALUE"""),19800)</f>
        <v>19800</v>
      </c>
      <c r="L425" s="2" t="str">
        <f ca="1">IFERROR(__xludf.DUMMYFUNCTION("""COMPUTED_VALUE"""),"a1061f77")</f>
        <v>a1061f77</v>
      </c>
      <c r="M425" s="2" t="str">
        <f ca="1">IFERROR(__xludf.DUMMYFUNCTION("""COMPUTED_VALUE"""),"Tinto s/Bonarda")</f>
        <v>Tinto s/Bonarda</v>
      </c>
      <c r="N425" s="2"/>
      <c r="O425" s="2" t="str">
        <f ca="1">IFERROR(__xludf.DUMMYFUNCTION("""COMPUTED_VALUE"""),"Fermentando")</f>
        <v>Fermentando</v>
      </c>
      <c r="P425" s="2" t="str">
        <f ca="1">IFERROR(__xludf.DUMMYFUNCTION("""COMPUTED_VALUE"""),"Fermentando")</f>
        <v>Fermentando</v>
      </c>
      <c r="Q425" s="2" t="b">
        <f ca="1">IFERROR(__xludf.DUMMYFUNCTION("""COMPUTED_VALUE"""),TRUE)</f>
        <v>1</v>
      </c>
      <c r="R425" s="2" t="str">
        <f ca="1">IFERROR(__xludf.DUMMYFUNCTION("""COMPUTED_VALUE"""),"Fermentando")</f>
        <v>Fermentando</v>
      </c>
      <c r="S425" s="2"/>
      <c r="T425" s="2"/>
      <c r="U425" s="2"/>
    </row>
    <row r="426" spans="1:21" x14ac:dyDescent="0.25">
      <c r="A426" s="2" t="str">
        <f ca="1">IFERROR(__xludf.DUMMYFUNCTION("""COMPUTED_VALUE"""),"3d2e951a")</f>
        <v>3d2e951a</v>
      </c>
      <c r="B426" s="5">
        <f ca="1">IFERROR(__xludf.DUMMYFUNCTION("""COMPUTED_VALUE"""),45763.7642476851)</f>
        <v>45763.764247685103</v>
      </c>
      <c r="C426" s="2" t="str">
        <f ca="1">IFERROR(__xludf.DUMMYFUNCTION("""COMPUTED_VALUE"""),"fd6b223b")</f>
        <v>fd6b223b</v>
      </c>
      <c r="D426" s="2">
        <f ca="1">IFERROR(__xludf.DUMMYFUNCTION("""COMPUTED_VALUE"""),83)</f>
        <v>83</v>
      </c>
      <c r="E426" s="2" t="str">
        <f ca="1">IFERROR(__xludf.DUMMYFUNCTION("""COMPUTED_VALUE"""),"Criolla Flotada")</f>
        <v>Criolla Flotada</v>
      </c>
      <c r="F426" s="2">
        <f ca="1">IFERROR(__xludf.DUMMYFUNCTION("""COMPUTED_VALUE"""),25000)</f>
        <v>25000</v>
      </c>
      <c r="G426" s="2">
        <f ca="1">IFERROR(__xludf.DUMMYFUNCTION("""COMPUTED_VALUE"""),91)</f>
        <v>91</v>
      </c>
      <c r="H426" s="2" t="str">
        <f ca="1">IFERROR(__xludf.DUMMYFUNCTION("""COMPUTED_VALUE"""),"a1061f77")</f>
        <v>a1061f77</v>
      </c>
      <c r="I426" s="2" t="str">
        <f ca="1">IFERROR(__xludf.DUMMYFUNCTION("""COMPUTED_VALUE"""),"Tinto s/Bonarda")</f>
        <v>Tinto s/Bonarda</v>
      </c>
      <c r="J426" s="2">
        <f ca="1">IFERROR(__xludf.DUMMYFUNCTION("""COMPUTED_VALUE"""),19800)</f>
        <v>19800</v>
      </c>
      <c r="K426" s="2">
        <f ca="1">IFERROR(__xludf.DUMMYFUNCTION("""COMPUTED_VALUE"""),44800)</f>
        <v>44800</v>
      </c>
      <c r="L426" s="2" t="str">
        <f ca="1">IFERROR(__xludf.DUMMYFUNCTION("""COMPUTED_VALUE"""),"5e2378bc")</f>
        <v>5e2378bc</v>
      </c>
      <c r="M426" s="2" t="str">
        <f ca="1">IFERROR(__xludf.DUMMYFUNCTION("""COMPUTED_VALUE"""),"Tinto s/Bonarda")</f>
        <v>Tinto s/Bonarda</v>
      </c>
      <c r="N426" s="2"/>
      <c r="O426" s="2" t="str">
        <f ca="1">IFERROR(__xludf.DUMMYFUNCTION("""COMPUTED_VALUE"""),"Fermentando")</f>
        <v>Fermentando</v>
      </c>
      <c r="P426" s="2" t="str">
        <f ca="1">IFERROR(__xludf.DUMMYFUNCTION("""COMPUTED_VALUE"""),"Fermentando")</f>
        <v>Fermentando</v>
      </c>
      <c r="Q426" s="2" t="b">
        <f ca="1">IFERROR(__xludf.DUMMYFUNCTION("""COMPUTED_VALUE"""),TRUE)</f>
        <v>1</v>
      </c>
      <c r="R426" s="2" t="str">
        <f ca="1">IFERROR(__xludf.DUMMYFUNCTION("""COMPUTED_VALUE"""),"Fermentando")</f>
        <v>Fermentando</v>
      </c>
      <c r="S426" s="2"/>
      <c r="T426" s="2"/>
      <c r="U426" s="2"/>
    </row>
    <row r="427" spans="1:21" x14ac:dyDescent="0.25">
      <c r="A427" s="2" t="str">
        <f ca="1">IFERROR(__xludf.DUMMYFUNCTION("""COMPUTED_VALUE"""),"2aae5b85")</f>
        <v>2aae5b85</v>
      </c>
      <c r="B427" s="5">
        <f ca="1">IFERROR(__xludf.DUMMYFUNCTION("""COMPUTED_VALUE"""),45763.7648611111)</f>
        <v>45763.7648611111</v>
      </c>
      <c r="C427" s="2" t="str">
        <f ca="1">IFERROR(__xludf.DUMMYFUNCTION("""COMPUTED_VALUE"""),"fd6b223b")</f>
        <v>fd6b223b</v>
      </c>
      <c r="D427" s="2">
        <f ca="1">IFERROR(__xludf.DUMMYFUNCTION("""COMPUTED_VALUE"""),83)</f>
        <v>83</v>
      </c>
      <c r="E427" s="2" t="str">
        <f ca="1">IFERROR(__xludf.DUMMYFUNCTION("""COMPUTED_VALUE"""),"Criolla Flotada")</f>
        <v>Criolla Flotada</v>
      </c>
      <c r="F427" s="2">
        <f ca="1">IFERROR(__xludf.DUMMYFUNCTION("""COMPUTED_VALUE"""),17000)</f>
        <v>17000</v>
      </c>
      <c r="G427" s="2">
        <f ca="1">IFERROR(__xludf.DUMMYFUNCTION("""COMPUTED_VALUE"""),84)</f>
        <v>84</v>
      </c>
      <c r="H427" s="2" t="str">
        <f ca="1">IFERROR(__xludf.DUMMYFUNCTION("""COMPUTED_VALUE"""),"b60fb43a")</f>
        <v>b60fb43a</v>
      </c>
      <c r="I427" s="2" t="str">
        <f ca="1">IFERROR(__xludf.DUMMYFUNCTION("""COMPUTED_VALUE"""),"Bonarda")</f>
        <v>Bonarda</v>
      </c>
      <c r="J427" s="2">
        <f ca="1">IFERROR(__xludf.DUMMYFUNCTION("""COMPUTED_VALUE"""),16000)</f>
        <v>16000</v>
      </c>
      <c r="K427" s="2">
        <f ca="1">IFERROR(__xludf.DUMMYFUNCTION("""COMPUTED_VALUE"""),33000)</f>
        <v>33000</v>
      </c>
      <c r="L427" s="2" t="str">
        <f ca="1">IFERROR(__xludf.DUMMYFUNCTION("""COMPUTED_VALUE"""),"da01d353")</f>
        <v>da01d353</v>
      </c>
      <c r="M427" s="2" t="str">
        <f ca="1">IFERROR(__xludf.DUMMYFUNCTION("""COMPUTED_VALUE"""),"Tinto s/Bonarda")</f>
        <v>Tinto s/Bonarda</v>
      </c>
      <c r="N427" s="2"/>
      <c r="O427" s="2" t="str">
        <f ca="1">IFERROR(__xludf.DUMMYFUNCTION("""COMPUTED_VALUE"""),"Fermentando")</f>
        <v>Fermentando</v>
      </c>
      <c r="P427" s="2" t="str">
        <f ca="1">IFERROR(__xludf.DUMMYFUNCTION("""COMPUTED_VALUE"""),"Fermentando")</f>
        <v>Fermentando</v>
      </c>
      <c r="Q427" s="2" t="b">
        <f ca="1">IFERROR(__xludf.DUMMYFUNCTION("""COMPUTED_VALUE"""),TRUE)</f>
        <v>1</v>
      </c>
      <c r="R427" s="2" t="str">
        <f ca="1">IFERROR(__xludf.DUMMYFUNCTION("""COMPUTED_VALUE"""),"Recarga Fermentando")</f>
        <v>Recarga Fermentando</v>
      </c>
      <c r="S427" s="2"/>
      <c r="T427" s="2"/>
      <c r="U427" s="2"/>
    </row>
    <row r="428" spans="1:21" x14ac:dyDescent="0.25">
      <c r="A428" s="2" t="str">
        <f ca="1">IFERROR(__xludf.DUMMYFUNCTION("""COMPUTED_VALUE"""),"fce1b87e")</f>
        <v>fce1b87e</v>
      </c>
      <c r="B428" s="5">
        <f ca="1">IFERROR(__xludf.DUMMYFUNCTION("""COMPUTED_VALUE"""),45764.5354166666)</f>
        <v>45764.5354166666</v>
      </c>
      <c r="C428" s="2" t="str">
        <f ca="1">IFERROR(__xludf.DUMMYFUNCTION("""COMPUTED_VALUE"""),"2dd2dee4")</f>
        <v>2dd2dee4</v>
      </c>
      <c r="D428" s="2">
        <f ca="1">IFERROR(__xludf.DUMMYFUNCTION("""COMPUTED_VALUE"""),87)</f>
        <v>87</v>
      </c>
      <c r="E428" s="2" t="str">
        <f ca="1">IFERROR(__xludf.DUMMYFUNCTION("""COMPUTED_VALUE"""),"Criolla Flotada")</f>
        <v>Criolla Flotada</v>
      </c>
      <c r="F428" s="2">
        <f ca="1">IFERROR(__xludf.DUMMYFUNCTION("""COMPUTED_VALUE"""),22000)</f>
        <v>22000</v>
      </c>
      <c r="G428" s="2">
        <f ca="1">IFERROR(__xludf.DUMMYFUNCTION("""COMPUTED_VALUE"""),88)</f>
        <v>88</v>
      </c>
      <c r="H428" s="2" t="str">
        <f ca="1">IFERROR(__xludf.DUMMYFUNCTION("""COMPUTED_VALUE"""),"2aac908d")</f>
        <v>2aac908d</v>
      </c>
      <c r="I428" s="2" t="str">
        <f ca="1">IFERROR(__xludf.DUMMYFUNCTION("""COMPUTED_VALUE"""),"Bonarda")</f>
        <v>Bonarda</v>
      </c>
      <c r="J428" s="2">
        <f ca="1">IFERROR(__xludf.DUMMYFUNCTION("""COMPUTED_VALUE"""),15750)</f>
        <v>15750</v>
      </c>
      <c r="K428" s="2">
        <f ca="1">IFERROR(__xludf.DUMMYFUNCTION("""COMPUTED_VALUE"""),37750)</f>
        <v>37750</v>
      </c>
      <c r="L428" s="2" t="str">
        <f ca="1">IFERROR(__xludf.DUMMYFUNCTION("""COMPUTED_VALUE"""),"b7df6d93")</f>
        <v>b7df6d93</v>
      </c>
      <c r="M428" s="2" t="str">
        <f ca="1">IFERROR(__xludf.DUMMYFUNCTION("""COMPUTED_VALUE"""),"Tinto s/Bonarda")</f>
        <v>Tinto s/Bonarda</v>
      </c>
      <c r="N428" s="2"/>
      <c r="O428" s="2" t="str">
        <f ca="1">IFERROR(__xludf.DUMMYFUNCTION("""COMPUTED_VALUE"""),"Fermentando")</f>
        <v>Fermentando</v>
      </c>
      <c r="P428" s="2" t="str">
        <f ca="1">IFERROR(__xludf.DUMMYFUNCTION("""COMPUTED_VALUE"""),"Fermentando")</f>
        <v>Fermentando</v>
      </c>
      <c r="Q428" s="2" t="b">
        <f ca="1">IFERROR(__xludf.DUMMYFUNCTION("""COMPUTED_VALUE"""),TRUE)</f>
        <v>1</v>
      </c>
      <c r="R428" s="2" t="str">
        <f ca="1">IFERROR(__xludf.DUMMYFUNCTION("""COMPUTED_VALUE"""),"Recarga Fermentando")</f>
        <v>Recarga Fermentando</v>
      </c>
      <c r="S428" s="2"/>
      <c r="T428" s="2"/>
      <c r="U428" s="2"/>
    </row>
    <row r="429" spans="1:21" x14ac:dyDescent="0.25">
      <c r="A429" s="2" t="str">
        <f ca="1">IFERROR(__xludf.DUMMYFUNCTION("""COMPUTED_VALUE"""),"29c4c29e")</f>
        <v>29c4c29e</v>
      </c>
      <c r="B429" s="5">
        <f ca="1">IFERROR(__xludf.DUMMYFUNCTION("""COMPUTED_VALUE"""),45764.5383796296)</f>
        <v>45764.538379629601</v>
      </c>
      <c r="C429" s="2" t="str">
        <f ca="1">IFERROR(__xludf.DUMMYFUNCTION("""COMPUTED_VALUE"""),"f954f065")</f>
        <v>f954f065</v>
      </c>
      <c r="D429" s="2">
        <f ca="1">IFERROR(__xludf.DUMMYFUNCTION("""COMPUTED_VALUE"""),78)</f>
        <v>78</v>
      </c>
      <c r="E429" s="2" t="str">
        <f ca="1">IFERROR(__xludf.DUMMYFUNCTION("""COMPUTED_VALUE"""),"Bonarda")</f>
        <v>Bonarda</v>
      </c>
      <c r="F429" s="2">
        <f ca="1">IFERROR(__xludf.DUMMYFUNCTION("""COMPUTED_VALUE"""),11700)</f>
        <v>11700</v>
      </c>
      <c r="G429" s="2">
        <f ca="1">IFERROR(__xludf.DUMMYFUNCTION("""COMPUTED_VALUE"""),28)</f>
        <v>28</v>
      </c>
      <c r="H429" s="2" t="str">
        <f ca="1">IFERROR(__xludf.DUMMYFUNCTION("""COMPUTED_VALUE"""),"459c7a85")</f>
        <v>459c7a85</v>
      </c>
      <c r="I429" s="2" t="str">
        <f ca="1">IFERROR(__xludf.DUMMYFUNCTION("""COMPUTED_VALUE"""),"Bonarda")</f>
        <v>Bonarda</v>
      </c>
      <c r="J429" s="2">
        <f ca="1">IFERROR(__xludf.DUMMYFUNCTION("""COMPUTED_VALUE"""),163000)</f>
        <v>163000</v>
      </c>
      <c r="K429" s="2">
        <f ca="1">IFERROR(__xludf.DUMMYFUNCTION("""COMPUTED_VALUE"""),174700)</f>
        <v>174700</v>
      </c>
      <c r="L429" s="2" t="str">
        <f ca="1">IFERROR(__xludf.DUMMYFUNCTION("""COMPUTED_VALUE"""),"dc3a84e1")</f>
        <v>dc3a84e1</v>
      </c>
      <c r="M429" s="2" t="str">
        <f ca="1">IFERROR(__xludf.DUMMYFUNCTION("""COMPUTED_VALUE"""),"Bonarda")</f>
        <v>Bonarda</v>
      </c>
      <c r="N429" s="2" t="str">
        <f ca="1">IFERROR(__xludf.DUMMYFUNCTION("""COMPUTED_VALUE"""),"Desvine solo gota")</f>
        <v>Desvine solo gota</v>
      </c>
      <c r="O429" s="2" t="str">
        <f ca="1">IFERROR(__xludf.DUMMYFUNCTION("""COMPUTED_VALUE"""),"Fermentando")</f>
        <v>Fermentando</v>
      </c>
      <c r="P429" s="2" t="str">
        <f ca="1">IFERROR(__xludf.DUMMYFUNCTION("""COMPUTED_VALUE"""),"Descubada")</f>
        <v>Descubada</v>
      </c>
      <c r="Q429" s="2" t="b">
        <f ca="1">IFERROR(__xludf.DUMMYFUNCTION("""COMPUTED_VALUE"""),TRUE)</f>
        <v>1</v>
      </c>
      <c r="R429" s="2" t="str">
        <f ca="1">IFERROR(__xludf.DUMMYFUNCTION("""COMPUTED_VALUE"""),"Descubada")</f>
        <v>Descubada</v>
      </c>
      <c r="S429" s="2"/>
      <c r="T429" s="2"/>
      <c r="U429" s="2"/>
    </row>
    <row r="430" spans="1:21" x14ac:dyDescent="0.25">
      <c r="A430" s="2" t="str">
        <f ca="1">IFERROR(__xludf.DUMMYFUNCTION("""COMPUTED_VALUE"""),"53a461f7")</f>
        <v>53a461f7</v>
      </c>
      <c r="B430" s="5">
        <f ca="1">IFERROR(__xludf.DUMMYFUNCTION("""COMPUTED_VALUE"""),45764.5404050925)</f>
        <v>45764.540405092499</v>
      </c>
      <c r="C430" s="2" t="str">
        <f ca="1">IFERROR(__xludf.DUMMYFUNCTION("""COMPUTED_VALUE"""),"afa1959b")</f>
        <v>afa1959b</v>
      </c>
      <c r="D430" s="2">
        <f ca="1">IFERROR(__xludf.DUMMYFUNCTION("""COMPUTED_VALUE"""),86)</f>
        <v>86</v>
      </c>
      <c r="E430" s="2" t="str">
        <f ca="1">IFERROR(__xludf.DUMMYFUNCTION("""COMPUTED_VALUE"""),"Bonarda")</f>
        <v>Bonarda</v>
      </c>
      <c r="F430" s="2">
        <f ca="1">IFERROR(__xludf.DUMMYFUNCTION("""COMPUTED_VALUE"""),41000)</f>
        <v>41000</v>
      </c>
      <c r="G430" s="2">
        <f ca="1">IFERROR(__xludf.DUMMYFUNCTION("""COMPUTED_VALUE"""),85)</f>
        <v>85</v>
      </c>
      <c r="H430" s="2"/>
      <c r="I430" s="2"/>
      <c r="J430" s="2">
        <f ca="1">IFERROR(__xludf.DUMMYFUNCTION("""COMPUTED_VALUE"""),0)</f>
        <v>0</v>
      </c>
      <c r="K430" s="2">
        <f ca="1">IFERROR(__xludf.DUMMYFUNCTION("""COMPUTED_VALUE"""),41000)</f>
        <v>41000</v>
      </c>
      <c r="L430" s="2" t="str">
        <f ca="1">IFERROR(__xludf.DUMMYFUNCTION("""COMPUTED_VALUE"""),"f5552916")</f>
        <v>f5552916</v>
      </c>
      <c r="M430" s="2" t="str">
        <f ca="1">IFERROR(__xludf.DUMMYFUNCTION("""COMPUTED_VALUE"""),"Bonarda Gota")</f>
        <v>Bonarda Gota</v>
      </c>
      <c r="N430" s="2" t="str">
        <f ca="1">IFERROR(__xludf.DUMMYFUNCTION("""COMPUTED_VALUE"""),"Desvine solo gota")</f>
        <v>Desvine solo gota</v>
      </c>
      <c r="O430" s="2" t="str">
        <f ca="1">IFERROR(__xludf.DUMMYFUNCTION("""COMPUTED_VALUE"""),"Fermentando")</f>
        <v>Fermentando</v>
      </c>
      <c r="P430" s="2"/>
      <c r="Q430" s="2" t="b">
        <f ca="1">IFERROR(__xludf.DUMMYFUNCTION("""COMPUTED_VALUE"""),FALSE)</f>
        <v>0</v>
      </c>
      <c r="R430" s="2" t="str">
        <f ca="1">IFERROR(__xludf.DUMMYFUNCTION("""COMPUTED_VALUE"""),"Fermentando")</f>
        <v>Fermentando</v>
      </c>
      <c r="S430" s="2"/>
      <c r="T430" s="2"/>
      <c r="U430" s="2"/>
    </row>
    <row r="431" spans="1:21" x14ac:dyDescent="0.25">
      <c r="A431" s="2" t="str">
        <f ca="1">IFERROR(__xludf.DUMMYFUNCTION("""COMPUTED_VALUE"""),"586cba81")</f>
        <v>586cba81</v>
      </c>
      <c r="B431" s="5">
        <f ca="1">IFERROR(__xludf.DUMMYFUNCTION("""COMPUTED_VALUE"""),45764.5428587962)</f>
        <v>45764.542858796201</v>
      </c>
      <c r="C431" s="2" t="str">
        <f ca="1">IFERROR(__xludf.DUMMYFUNCTION("""COMPUTED_VALUE"""),"2dd2dee4")</f>
        <v>2dd2dee4</v>
      </c>
      <c r="D431" s="2">
        <f ca="1">IFERROR(__xludf.DUMMYFUNCTION("""COMPUTED_VALUE"""),87)</f>
        <v>87</v>
      </c>
      <c r="E431" s="2" t="str">
        <f ca="1">IFERROR(__xludf.DUMMYFUNCTION("""COMPUTED_VALUE"""),"Criolla Flotada")</f>
        <v>Criolla Flotada</v>
      </c>
      <c r="F431" s="2">
        <f ca="1">IFERROR(__xludf.DUMMYFUNCTION("""COMPUTED_VALUE"""),9800)</f>
        <v>9800</v>
      </c>
      <c r="G431" s="2">
        <f ca="1">IFERROR(__xludf.DUMMYFUNCTION("""COMPUTED_VALUE"""),78)</f>
        <v>78</v>
      </c>
      <c r="H431" s="2" t="str">
        <f ca="1">IFERROR(__xludf.DUMMYFUNCTION("""COMPUTED_VALUE"""),"f954f065")</f>
        <v>f954f065</v>
      </c>
      <c r="I431" s="2" t="str">
        <f ca="1">IFERROR(__xludf.DUMMYFUNCTION("""COMPUTED_VALUE"""),"Bonarda")</f>
        <v>Bonarda</v>
      </c>
      <c r="J431" s="2">
        <f ca="1">IFERROR(__xludf.DUMMYFUNCTION("""COMPUTED_VALUE"""),5000)</f>
        <v>5000</v>
      </c>
      <c r="K431" s="2">
        <f ca="1">IFERROR(__xludf.DUMMYFUNCTION("""COMPUTED_VALUE"""),14800)</f>
        <v>14800</v>
      </c>
      <c r="L431" s="2" t="str">
        <f ca="1">IFERROR(__xludf.DUMMYFUNCTION("""COMPUTED_VALUE"""),"247bde06")</f>
        <v>247bde06</v>
      </c>
      <c r="M431" s="2" t="str">
        <f ca="1">IFERROR(__xludf.DUMMYFUNCTION("""COMPUTED_VALUE"""),"Tinto s/Bonarda")</f>
        <v>Tinto s/Bonarda</v>
      </c>
      <c r="N431" s="2"/>
      <c r="O431" s="2" t="str">
        <f ca="1">IFERROR(__xludf.DUMMYFUNCTION("""COMPUTED_VALUE"""),"Fermentando")</f>
        <v>Fermentando</v>
      </c>
      <c r="P431" s="2" t="str">
        <f ca="1">IFERROR(__xludf.DUMMYFUNCTION("""COMPUTED_VALUE"""),"Fermentando")</f>
        <v>Fermentando</v>
      </c>
      <c r="Q431" s="2" t="b">
        <f ca="1">IFERROR(__xludf.DUMMYFUNCTION("""COMPUTED_VALUE"""),TRUE)</f>
        <v>1</v>
      </c>
      <c r="R431" s="2" t="str">
        <f ca="1">IFERROR(__xludf.DUMMYFUNCTION("""COMPUTED_VALUE"""),"Recarga Fermentando")</f>
        <v>Recarga Fermentando</v>
      </c>
      <c r="S431" s="2"/>
      <c r="T431" s="2"/>
      <c r="U431" s="2"/>
    </row>
    <row r="432" spans="1:21" x14ac:dyDescent="0.25">
      <c r="A432" s="2" t="str">
        <f ca="1">IFERROR(__xludf.DUMMYFUNCTION("""COMPUTED_VALUE"""),"f9afea55")</f>
        <v>f9afea55</v>
      </c>
      <c r="B432" s="5">
        <f ca="1">IFERROR(__xludf.DUMMYFUNCTION("""COMPUTED_VALUE"""),45764.5445601851)</f>
        <v>45764.544560185102</v>
      </c>
      <c r="C432" s="2" t="str">
        <f ca="1">IFERROR(__xludf.DUMMYFUNCTION("""COMPUTED_VALUE"""),"2dd2dee4")</f>
        <v>2dd2dee4</v>
      </c>
      <c r="D432" s="2">
        <f ca="1">IFERROR(__xludf.DUMMYFUNCTION("""COMPUTED_VALUE"""),87)</f>
        <v>87</v>
      </c>
      <c r="E432" s="2" t="str">
        <f ca="1">IFERROR(__xludf.DUMMYFUNCTION("""COMPUTED_VALUE"""),"Criolla Flotada")</f>
        <v>Criolla Flotada</v>
      </c>
      <c r="F432" s="2">
        <f ca="1">IFERROR(__xludf.DUMMYFUNCTION("""COMPUTED_VALUE"""),27600)</f>
        <v>27600</v>
      </c>
      <c r="G432" s="2">
        <f ca="1">IFERROR(__xludf.DUMMYFUNCTION("""COMPUTED_VALUE"""),86)</f>
        <v>86</v>
      </c>
      <c r="H432" s="2" t="str">
        <f ca="1">IFERROR(__xludf.DUMMYFUNCTION("""COMPUTED_VALUE"""),"afa1959b")</f>
        <v>afa1959b</v>
      </c>
      <c r="I432" s="2" t="str">
        <f ca="1">IFERROR(__xludf.DUMMYFUNCTION("""COMPUTED_VALUE"""),"Bonarda")</f>
        <v>Bonarda</v>
      </c>
      <c r="J432" s="2">
        <f ca="1">IFERROR(__xludf.DUMMYFUNCTION("""COMPUTED_VALUE"""),17500)</f>
        <v>17500</v>
      </c>
      <c r="K432" s="2">
        <f ca="1">IFERROR(__xludf.DUMMYFUNCTION("""COMPUTED_VALUE"""),45100)</f>
        <v>45100</v>
      </c>
      <c r="L432" s="2" t="str">
        <f ca="1">IFERROR(__xludf.DUMMYFUNCTION("""COMPUTED_VALUE"""),"714d2433")</f>
        <v>714d2433</v>
      </c>
      <c r="M432" s="2" t="str">
        <f ca="1">IFERROR(__xludf.DUMMYFUNCTION("""COMPUTED_VALUE"""),"Tinto s/Bonarda")</f>
        <v>Tinto s/Bonarda</v>
      </c>
      <c r="N432" s="2"/>
      <c r="O432" s="2" t="str">
        <f ca="1">IFERROR(__xludf.DUMMYFUNCTION("""COMPUTED_VALUE"""),"Fermentando")</f>
        <v>Fermentando</v>
      </c>
      <c r="P432" s="2" t="str">
        <f ca="1">IFERROR(__xludf.DUMMYFUNCTION("""COMPUTED_VALUE"""),"Fermentando")</f>
        <v>Fermentando</v>
      </c>
      <c r="Q432" s="2" t="b">
        <f ca="1">IFERROR(__xludf.DUMMYFUNCTION("""COMPUTED_VALUE"""),TRUE)</f>
        <v>1</v>
      </c>
      <c r="R432" s="2" t="str">
        <f ca="1">IFERROR(__xludf.DUMMYFUNCTION("""COMPUTED_VALUE"""),"Recarga Fermentando")</f>
        <v>Recarga Fermentando</v>
      </c>
      <c r="S432" s="2"/>
      <c r="T432" s="2"/>
      <c r="U432" s="2"/>
    </row>
    <row r="433" spans="1:21" x14ac:dyDescent="0.25">
      <c r="A433" s="2" t="str">
        <f ca="1">IFERROR(__xludf.DUMMYFUNCTION("""COMPUTED_VALUE"""),"8228f3fb")</f>
        <v>8228f3fb</v>
      </c>
      <c r="B433" s="5">
        <f ca="1">IFERROR(__xludf.DUMMYFUNCTION("""COMPUTED_VALUE"""),45764.5458333333)</f>
        <v>45764.545833333301</v>
      </c>
      <c r="C433" s="2" t="str">
        <f ca="1">IFERROR(__xludf.DUMMYFUNCTION("""COMPUTED_VALUE"""),"7c26092b")</f>
        <v>7c26092b</v>
      </c>
      <c r="D433" s="2">
        <f ca="1">IFERROR(__xludf.DUMMYFUNCTION("""COMPUTED_VALUE"""),69)</f>
        <v>69</v>
      </c>
      <c r="E433" s="2" t="str">
        <f ca="1">IFERROR(__xludf.DUMMYFUNCTION("""COMPUTED_VALUE"""),"Chardonnay")</f>
        <v>Chardonnay</v>
      </c>
      <c r="F433" s="2">
        <f ca="1">IFERROR(__xludf.DUMMYFUNCTION("""COMPUTED_VALUE"""),7200)</f>
        <v>7200</v>
      </c>
      <c r="G433" s="2">
        <f ca="1">IFERROR(__xludf.DUMMYFUNCTION("""COMPUTED_VALUE"""),72)</f>
        <v>72</v>
      </c>
      <c r="H433" s="2"/>
      <c r="I433" s="2"/>
      <c r="J433" s="2">
        <f ca="1">IFERROR(__xludf.DUMMYFUNCTION("""COMPUTED_VALUE"""),0)</f>
        <v>0</v>
      </c>
      <c r="K433" s="2">
        <f ca="1">IFERROR(__xludf.DUMMYFUNCTION("""COMPUTED_VALUE"""),7200)</f>
        <v>7200</v>
      </c>
      <c r="L433" s="2" t="str">
        <f ca="1">IFERROR(__xludf.DUMMYFUNCTION("""COMPUTED_VALUE"""),"62e7b644")</f>
        <v>62e7b644</v>
      </c>
      <c r="M433" s="2" t="str">
        <f ca="1">IFERROR(__xludf.DUMMYFUNCTION("""COMPUTED_VALUE"""),"Chardonnay")</f>
        <v>Chardonnay</v>
      </c>
      <c r="N433" s="2" t="str">
        <f ca="1">IFERROR(__xludf.DUMMYFUNCTION("""COMPUTED_VALUE"""),"Gota y prensa")</f>
        <v>Gota y prensa</v>
      </c>
      <c r="O433" s="2" t="str">
        <f ca="1">IFERROR(__xludf.DUMMYFUNCTION("""COMPUTED_VALUE"""),"Fermentando")</f>
        <v>Fermentando</v>
      </c>
      <c r="P433" s="2"/>
      <c r="Q433" s="2" t="b">
        <f ca="1">IFERROR(__xludf.DUMMYFUNCTION("""COMPUTED_VALUE"""),FALSE)</f>
        <v>0</v>
      </c>
      <c r="R433" s="2" t="str">
        <f ca="1">IFERROR(__xludf.DUMMYFUNCTION("""COMPUTED_VALUE"""),"Fermentando")</f>
        <v>Fermentando</v>
      </c>
      <c r="S433" s="2"/>
      <c r="T433" s="2"/>
      <c r="U433" s="2"/>
    </row>
    <row r="434" spans="1:21" x14ac:dyDescent="0.25">
      <c r="A434" s="2" t="str">
        <f ca="1">IFERROR(__xludf.DUMMYFUNCTION("""COMPUTED_VALUE"""),"8f4b1ed2")</f>
        <v>8f4b1ed2</v>
      </c>
      <c r="B434" s="5">
        <f ca="1">IFERROR(__xludf.DUMMYFUNCTION("""COMPUTED_VALUE"""),45764.5473379629)</f>
        <v>45764.547337962897</v>
      </c>
      <c r="C434" s="2" t="str">
        <f ca="1">IFERROR(__xludf.DUMMYFUNCTION("""COMPUTED_VALUE"""),"5b2f3285")</f>
        <v>5b2f3285</v>
      </c>
      <c r="D434" s="2">
        <f ca="1">IFERROR(__xludf.DUMMYFUNCTION("""COMPUTED_VALUE"""),73)</f>
        <v>73</v>
      </c>
      <c r="E434" s="2" t="str">
        <f ca="1">IFERROR(__xludf.DUMMYFUNCTION("""COMPUTED_VALUE"""),"Chardonnay")</f>
        <v>Chardonnay</v>
      </c>
      <c r="F434" s="2">
        <f ca="1">IFERROR(__xludf.DUMMYFUNCTION("""COMPUTED_VALUE"""),4200)</f>
        <v>4200</v>
      </c>
      <c r="G434" s="2">
        <f ca="1">IFERROR(__xludf.DUMMYFUNCTION("""COMPUTED_VALUE"""),72)</f>
        <v>72</v>
      </c>
      <c r="H434" s="2" t="str">
        <f ca="1">IFERROR(__xludf.DUMMYFUNCTION("""COMPUTED_VALUE"""),"62e7b644")</f>
        <v>62e7b644</v>
      </c>
      <c r="I434" s="2" t="str">
        <f ca="1">IFERROR(__xludf.DUMMYFUNCTION("""COMPUTED_VALUE"""),"Chardonnay")</f>
        <v>Chardonnay</v>
      </c>
      <c r="J434" s="2">
        <f ca="1">IFERROR(__xludf.DUMMYFUNCTION("""COMPUTED_VALUE"""),7200)</f>
        <v>7200</v>
      </c>
      <c r="K434" s="2">
        <f ca="1">IFERROR(__xludf.DUMMYFUNCTION("""COMPUTED_VALUE"""),11400)</f>
        <v>11400</v>
      </c>
      <c r="L434" s="2" t="str">
        <f ca="1">IFERROR(__xludf.DUMMYFUNCTION("""COMPUTED_VALUE"""),"c98fe008")</f>
        <v>c98fe008</v>
      </c>
      <c r="M434" s="2" t="str">
        <f ca="1">IFERROR(__xludf.DUMMYFUNCTION("""COMPUTED_VALUE"""),"Chardonnay")</f>
        <v>Chardonnay</v>
      </c>
      <c r="N434" s="2" t="str">
        <f ca="1">IFERROR(__xludf.DUMMYFUNCTION("""COMPUTED_VALUE"""),"Gota y presna")</f>
        <v>Gota y presna</v>
      </c>
      <c r="O434" s="2" t="str">
        <f ca="1">IFERROR(__xludf.DUMMYFUNCTION("""COMPUTED_VALUE"""),"Fermentando")</f>
        <v>Fermentando</v>
      </c>
      <c r="P434" s="2" t="str">
        <f ca="1">IFERROR(__xludf.DUMMYFUNCTION("""COMPUTED_VALUE"""),"Fermentando")</f>
        <v>Fermentando</v>
      </c>
      <c r="Q434" s="2" t="b">
        <f ca="1">IFERROR(__xludf.DUMMYFUNCTION("""COMPUTED_VALUE"""),TRUE)</f>
        <v>1</v>
      </c>
      <c r="R434" s="2" t="str">
        <f ca="1">IFERROR(__xludf.DUMMYFUNCTION("""COMPUTED_VALUE"""),"Fermentando")</f>
        <v>Fermentando</v>
      </c>
      <c r="S434" s="2"/>
      <c r="T434" s="2"/>
      <c r="U434" s="2"/>
    </row>
    <row r="435" spans="1:21" x14ac:dyDescent="0.25">
      <c r="A435" s="2" t="str">
        <f ca="1">IFERROR(__xludf.DUMMYFUNCTION("""COMPUTED_VALUE"""),"0ba68d6a")</f>
        <v>0ba68d6a</v>
      </c>
      <c r="B435" s="5">
        <f ca="1">IFERROR(__xludf.DUMMYFUNCTION("""COMPUTED_VALUE"""),45764.7425347222)</f>
        <v>45764.742534722202</v>
      </c>
      <c r="C435" s="2" t="str">
        <f ca="1">IFERROR(__xludf.DUMMYFUNCTION("""COMPUTED_VALUE"""),"14e4f6ad")</f>
        <v>14e4f6ad</v>
      </c>
      <c r="D435" s="2">
        <f ca="1">IFERROR(__xludf.DUMMYFUNCTION("""COMPUTED_VALUE"""),76)</f>
        <v>76</v>
      </c>
      <c r="E435" s="2" t="str">
        <f ca="1">IFERROR(__xludf.DUMMYFUNCTION("""COMPUTED_VALUE"""),"Malbec")</f>
        <v>Malbec</v>
      </c>
      <c r="F435" s="2">
        <f ca="1">IFERROR(__xludf.DUMMYFUNCTION("""COMPUTED_VALUE"""),3000)</f>
        <v>3000</v>
      </c>
      <c r="G435" s="2">
        <f ca="1">IFERROR(__xludf.DUMMYFUNCTION("""COMPUTED_VALUE"""),500)</f>
        <v>500</v>
      </c>
      <c r="H435" s="2" t="str">
        <f ca="1">IFERROR(__xludf.DUMMYFUNCTION("""COMPUTED_VALUE"""),"d4c8b868")</f>
        <v>d4c8b868</v>
      </c>
      <c r="I435" s="2" t="str">
        <f ca="1">IFERROR(__xludf.DUMMYFUNCTION("""COMPUTED_VALUE"""),"Ajuste Arqueo 14/04/25")</f>
        <v>Ajuste Arqueo 14/04/25</v>
      </c>
      <c r="J435" s="2">
        <f ca="1">IFERROR(__xludf.DUMMYFUNCTION("""COMPUTED_VALUE"""),27201)</f>
        <v>27201</v>
      </c>
      <c r="K435" s="2">
        <f ca="1">IFERROR(__xludf.DUMMYFUNCTION("""COMPUTED_VALUE"""),30201)</f>
        <v>30201</v>
      </c>
      <c r="L435" s="2" t="str">
        <f ca="1">IFERROR(__xludf.DUMMYFUNCTION("""COMPUTED_VALUE"""),"6191710d")</f>
        <v>6191710d</v>
      </c>
      <c r="M435" s="2" t="str">
        <f ca="1">IFERROR(__xludf.DUMMYFUNCTION("""COMPUTED_VALUE"""),"Ajuste Arqueo 14/04/25")</f>
        <v>Ajuste Arqueo 14/04/25</v>
      </c>
      <c r="N435" s="2"/>
      <c r="O435" s="2" t="str">
        <f ca="1">IFERROR(__xludf.DUMMYFUNCTION("""COMPUTED_VALUE"""),"Fermentando")</f>
        <v>Fermentando</v>
      </c>
      <c r="P435" s="2" t="str">
        <f ca="1">IFERROR(__xludf.DUMMYFUNCTION("""COMPUTED_VALUE"""),"Descubada")</f>
        <v>Descubada</v>
      </c>
      <c r="Q435" s="2" t="b">
        <f ca="1">IFERROR(__xludf.DUMMYFUNCTION("""COMPUTED_VALUE"""),TRUE)</f>
        <v>1</v>
      </c>
      <c r="R435" s="2" t="str">
        <f ca="1">IFERROR(__xludf.DUMMYFUNCTION("""COMPUTED_VALUE"""),"Descubada")</f>
        <v>Descubada</v>
      </c>
      <c r="S435" s="2"/>
      <c r="T435" s="2"/>
      <c r="U435" s="2"/>
    </row>
    <row r="436" spans="1:21" x14ac:dyDescent="0.25">
      <c r="A436" s="2" t="str">
        <f ca="1">IFERROR(__xludf.DUMMYFUNCTION("""COMPUTED_VALUE"""),"d9d20dc0")</f>
        <v>d9d20dc0</v>
      </c>
      <c r="B436" s="5">
        <f ca="1">IFERROR(__xludf.DUMMYFUNCTION("""COMPUTED_VALUE"""),45764.7432175925)</f>
        <v>45764.743217592499</v>
      </c>
      <c r="C436" s="2" t="str">
        <f ca="1">IFERROR(__xludf.DUMMYFUNCTION("""COMPUTED_VALUE"""),"49defec5")</f>
        <v>49defec5</v>
      </c>
      <c r="D436" s="2">
        <f ca="1">IFERROR(__xludf.DUMMYFUNCTION("""COMPUTED_VALUE"""),11)</f>
        <v>11</v>
      </c>
      <c r="E436" s="2" t="str">
        <f ca="1">IFERROR(__xludf.DUMMYFUNCTION("""COMPUTED_VALUE"""),"Syrah Bonarda Rect")</f>
        <v>Syrah Bonarda Rect</v>
      </c>
      <c r="F436" s="2">
        <f ca="1">IFERROR(__xludf.DUMMYFUNCTION("""COMPUTED_VALUE"""),5000)</f>
        <v>5000</v>
      </c>
      <c r="G436" s="2">
        <f ca="1">IFERROR(__xludf.DUMMYFUNCTION("""COMPUTED_VALUE"""),76)</f>
        <v>76</v>
      </c>
      <c r="H436" s="2" t="str">
        <f ca="1">IFERROR(__xludf.DUMMYFUNCTION("""COMPUTED_VALUE"""),"14e4f6ad")</f>
        <v>14e4f6ad</v>
      </c>
      <c r="I436" s="2" t="str">
        <f ca="1">IFERROR(__xludf.DUMMYFUNCTION("""COMPUTED_VALUE"""),"Malbec")</f>
        <v>Malbec</v>
      </c>
      <c r="J436" s="2">
        <f ca="1">IFERROR(__xludf.DUMMYFUNCTION("""COMPUTED_VALUE"""),19800)</f>
        <v>19800</v>
      </c>
      <c r="K436" s="2">
        <f ca="1">IFERROR(__xludf.DUMMYFUNCTION("""COMPUTED_VALUE"""),24800)</f>
        <v>24800</v>
      </c>
      <c r="L436" s="2" t="str">
        <f ca="1">IFERROR(__xludf.DUMMYFUNCTION("""COMPUTED_VALUE"""),"df5e441f")</f>
        <v>df5e441f</v>
      </c>
      <c r="M436" s="2" t="str">
        <f ca="1">IFERROR(__xludf.DUMMYFUNCTION("""COMPUTED_VALUE"""),"Malbec")</f>
        <v>Malbec</v>
      </c>
      <c r="N436" s="2"/>
      <c r="O436" s="2" t="str">
        <f ca="1">IFERROR(__xludf.DUMMYFUNCTION("""COMPUTED_VALUE"""),"Rectificado")</f>
        <v>Rectificado</v>
      </c>
      <c r="P436" s="2" t="str">
        <f ca="1">IFERROR(__xludf.DUMMYFUNCTION("""COMPUTED_VALUE"""),"Fermentando")</f>
        <v>Fermentando</v>
      </c>
      <c r="Q436" s="2" t="b">
        <f ca="1">IFERROR(__xludf.DUMMYFUNCTION("""COMPUTED_VALUE"""),TRUE)</f>
        <v>1</v>
      </c>
      <c r="R436" s="2" t="str">
        <f ca="1">IFERROR(__xludf.DUMMYFUNCTION("""COMPUTED_VALUE"""),"Fermentando")</f>
        <v>Fermentando</v>
      </c>
      <c r="S436" s="2"/>
      <c r="T436" s="2"/>
      <c r="U436" s="2"/>
    </row>
    <row r="437" spans="1:21" x14ac:dyDescent="0.25">
      <c r="A437" s="2" t="str">
        <f ca="1">IFERROR(__xludf.DUMMYFUNCTION("""COMPUTED_VALUE"""),"488766b0")</f>
        <v>488766b0</v>
      </c>
      <c r="B437" s="5">
        <f ca="1">IFERROR(__xludf.DUMMYFUNCTION("""COMPUTED_VALUE"""),45764.7447685185)</f>
        <v>45764.744768518503</v>
      </c>
      <c r="C437" s="2" t="str">
        <f ca="1">IFERROR(__xludf.DUMMYFUNCTION("""COMPUTED_VALUE"""),"49defec5")</f>
        <v>49defec5</v>
      </c>
      <c r="D437" s="2">
        <f ca="1">IFERROR(__xludf.DUMMYFUNCTION("""COMPUTED_VALUE"""),11)</f>
        <v>11</v>
      </c>
      <c r="E437" s="2" t="str">
        <f ca="1">IFERROR(__xludf.DUMMYFUNCTION("""COMPUTED_VALUE"""),"Syrah Bonarda Rect")</f>
        <v>Syrah Bonarda Rect</v>
      </c>
      <c r="F437" s="2">
        <f ca="1">IFERROR(__xludf.DUMMYFUNCTION("""COMPUTED_VALUE"""),5700)</f>
        <v>5700</v>
      </c>
      <c r="G437" s="2">
        <f ca="1">IFERROR(__xludf.DUMMYFUNCTION("""COMPUTED_VALUE"""),77)</f>
        <v>77</v>
      </c>
      <c r="H437" s="2" t="str">
        <f ca="1">IFERROR(__xludf.DUMMYFUNCTION("""COMPUTED_VALUE"""),"17539ce3")</f>
        <v>17539ce3</v>
      </c>
      <c r="I437" s="2" t="str">
        <f ca="1">IFERROR(__xludf.DUMMYFUNCTION("""COMPUTED_VALUE"""),"Malbec")</f>
        <v>Malbec</v>
      </c>
      <c r="J437" s="2">
        <f ca="1">IFERROR(__xludf.DUMMYFUNCTION("""COMPUTED_VALUE"""),10500)</f>
        <v>10500</v>
      </c>
      <c r="K437" s="2">
        <f ca="1">IFERROR(__xludf.DUMMYFUNCTION("""COMPUTED_VALUE"""),16200)</f>
        <v>16200</v>
      </c>
      <c r="L437" s="2" t="str">
        <f ca="1">IFERROR(__xludf.DUMMYFUNCTION("""COMPUTED_VALUE"""),"5d344df8")</f>
        <v>5d344df8</v>
      </c>
      <c r="M437" s="2" t="str">
        <f ca="1">IFERROR(__xludf.DUMMYFUNCTION("""COMPUTED_VALUE"""),"Malbec")</f>
        <v>Malbec</v>
      </c>
      <c r="N437" s="2" t="str">
        <f ca="1">IFERROR(__xludf.DUMMYFUNCTION("""COMPUTED_VALUE"""),"Agregado de rectificado")</f>
        <v>Agregado de rectificado</v>
      </c>
      <c r="O437" s="2" t="str">
        <f ca="1">IFERROR(__xludf.DUMMYFUNCTION("""COMPUTED_VALUE"""),"Rectificado")</f>
        <v>Rectificado</v>
      </c>
      <c r="P437" s="2" t="str">
        <f ca="1">IFERROR(__xludf.DUMMYFUNCTION("""COMPUTED_VALUE"""),"Fermentando")</f>
        <v>Fermentando</v>
      </c>
      <c r="Q437" s="2" t="b">
        <f ca="1">IFERROR(__xludf.DUMMYFUNCTION("""COMPUTED_VALUE"""),TRUE)</f>
        <v>1</v>
      </c>
      <c r="R437" s="2" t="str">
        <f ca="1">IFERROR(__xludf.DUMMYFUNCTION("""COMPUTED_VALUE"""),"Fermentando")</f>
        <v>Fermentando</v>
      </c>
      <c r="S437" s="2"/>
      <c r="T437" s="2"/>
      <c r="U437" s="2"/>
    </row>
    <row r="438" spans="1:21" x14ac:dyDescent="0.25">
      <c r="A438" s="2" t="str">
        <f ca="1">IFERROR(__xludf.DUMMYFUNCTION("""COMPUTED_VALUE"""),"363d4e26")</f>
        <v>363d4e26</v>
      </c>
      <c r="B438" s="5">
        <f ca="1">IFERROR(__xludf.DUMMYFUNCTION("""COMPUTED_VALUE"""),45764.746261574)</f>
        <v>45764.746261574001</v>
      </c>
      <c r="C438" s="2" t="str">
        <f ca="1">IFERROR(__xludf.DUMMYFUNCTION("""COMPUTED_VALUE"""),"5d344df8")</f>
        <v>5d344df8</v>
      </c>
      <c r="D438" s="2">
        <f ca="1">IFERROR(__xludf.DUMMYFUNCTION("""COMPUTED_VALUE"""),77)</f>
        <v>77</v>
      </c>
      <c r="E438" s="2" t="str">
        <f ca="1">IFERROR(__xludf.DUMMYFUNCTION("""COMPUTED_VALUE"""),"Malbec")</f>
        <v>Malbec</v>
      </c>
      <c r="F438" s="2">
        <f ca="1">IFERROR(__xludf.DUMMYFUNCTION("""COMPUTED_VALUE"""),-3000)</f>
        <v>-3000</v>
      </c>
      <c r="G438" s="2">
        <f ca="1">IFERROR(__xludf.DUMMYFUNCTION("""COMPUTED_VALUE"""),500)</f>
        <v>500</v>
      </c>
      <c r="H438" s="2" t="str">
        <f ca="1">IFERROR(__xludf.DUMMYFUNCTION("""COMPUTED_VALUE"""),"6191710d")</f>
        <v>6191710d</v>
      </c>
      <c r="I438" s="2" t="str">
        <f ca="1">IFERROR(__xludf.DUMMYFUNCTION("""COMPUTED_VALUE"""),"Ajuste Arqueo 14/04/25")</f>
        <v>Ajuste Arqueo 14/04/25</v>
      </c>
      <c r="J438" s="2">
        <f ca="1">IFERROR(__xludf.DUMMYFUNCTION("""COMPUTED_VALUE"""),30201)</f>
        <v>30201</v>
      </c>
      <c r="K438" s="2">
        <f ca="1">IFERROR(__xludf.DUMMYFUNCTION("""COMPUTED_VALUE"""),27201)</f>
        <v>27201</v>
      </c>
      <c r="L438" s="2" t="str">
        <f ca="1">IFERROR(__xludf.DUMMYFUNCTION("""COMPUTED_VALUE"""),"7501c185")</f>
        <v>7501c185</v>
      </c>
      <c r="M438" s="2" t="str">
        <f ca="1">IFERROR(__xludf.DUMMYFUNCTION("""COMPUTED_VALUE"""),"Ajuste Arqueo 14/04/25")</f>
        <v>Ajuste Arqueo 14/04/25</v>
      </c>
      <c r="N438" s="2" t="str">
        <f ca="1">IFERROR(__xludf.DUMMYFUNCTION("""COMPUTED_VALUE"""),"Volumen que sobraba en la 76 pasa a la 77 por la pileta ajuste")</f>
        <v>Volumen que sobraba en la 76 pasa a la 77 por la pileta ajuste</v>
      </c>
      <c r="O438" s="2" t="str">
        <f ca="1">IFERROR(__xludf.DUMMYFUNCTION("""COMPUTED_VALUE"""),"Fermentando")</f>
        <v>Fermentando</v>
      </c>
      <c r="P438" s="2" t="str">
        <f ca="1">IFERROR(__xludf.DUMMYFUNCTION("""COMPUTED_VALUE"""),"Descubada")</f>
        <v>Descubada</v>
      </c>
      <c r="Q438" s="2" t="b">
        <f ca="1">IFERROR(__xludf.DUMMYFUNCTION("""COMPUTED_VALUE"""),TRUE)</f>
        <v>1</v>
      </c>
      <c r="R438" s="2" t="str">
        <f ca="1">IFERROR(__xludf.DUMMYFUNCTION("""COMPUTED_VALUE"""),"Descubada")</f>
        <v>Descubada</v>
      </c>
      <c r="S438" s="2"/>
      <c r="T438" s="2"/>
      <c r="U438" s="2"/>
    </row>
    <row r="439" spans="1:21" x14ac:dyDescent="0.25">
      <c r="A439" s="2" t="str">
        <f ca="1">IFERROR(__xludf.DUMMYFUNCTION("""COMPUTED_VALUE"""),"bbccaee4")</f>
        <v>bbccaee4</v>
      </c>
      <c r="B439" s="5">
        <f ca="1">IFERROR(__xludf.DUMMYFUNCTION("""COMPUTED_VALUE"""),45764.8674421296)</f>
        <v>45764.867442129602</v>
      </c>
      <c r="C439" s="2" t="str">
        <f ca="1">IFERROR(__xludf.DUMMYFUNCTION("""COMPUTED_VALUE"""),"c1c626f1")</f>
        <v>c1c626f1</v>
      </c>
      <c r="D439" s="2">
        <f ca="1">IFERROR(__xludf.DUMMYFUNCTION("""COMPUTED_VALUE"""),90)</f>
        <v>90</v>
      </c>
      <c r="E439" s="2" t="str">
        <f ca="1">IFERROR(__xludf.DUMMYFUNCTION("""COMPUTED_VALUE"""),"Tinto s/Bonarda")</f>
        <v>Tinto s/Bonarda</v>
      </c>
      <c r="F439" s="2">
        <f ca="1">IFERROR(__xludf.DUMMYFUNCTION("""COMPUTED_VALUE"""),30500)</f>
        <v>30500</v>
      </c>
      <c r="G439" s="2">
        <f ca="1">IFERROR(__xludf.DUMMYFUNCTION("""COMPUTED_VALUE"""),125)</f>
        <v>125</v>
      </c>
      <c r="H439" s="2"/>
      <c r="I439" s="2"/>
      <c r="J439" s="2">
        <f ca="1">IFERROR(__xludf.DUMMYFUNCTION("""COMPUTED_VALUE"""),0)</f>
        <v>0</v>
      </c>
      <c r="K439" s="2">
        <f ca="1">IFERROR(__xludf.DUMMYFUNCTION("""COMPUTED_VALUE"""),36120)</f>
        <v>36120</v>
      </c>
      <c r="L439" s="2" t="str">
        <f ca="1">IFERROR(__xludf.DUMMYFUNCTION("""COMPUTED_VALUE"""),"5a534180")</f>
        <v>5a534180</v>
      </c>
      <c r="M439" s="2" t="str">
        <f ca="1">IFERROR(__xludf.DUMMYFUNCTION("""COMPUTED_VALUE"""),"Tinto s/Bonarda")</f>
        <v>Tinto s/Bonarda</v>
      </c>
      <c r="N439" s="2" t="str">
        <f ca="1">IFERROR(__xludf.DUMMYFUNCTION("""COMPUTED_VALUE"""),"Desvine")</f>
        <v>Desvine</v>
      </c>
      <c r="O439" s="2" t="str">
        <f ca="1">IFERROR(__xludf.DUMMYFUNCTION("""COMPUTED_VALUE"""),"Recarga Fermentando")</f>
        <v>Recarga Fermentando</v>
      </c>
      <c r="P439" s="2"/>
      <c r="Q439" s="2" t="b">
        <f ca="1">IFERROR(__xludf.DUMMYFUNCTION("""COMPUTED_VALUE"""),FALSE)</f>
        <v>0</v>
      </c>
      <c r="R439" s="2" t="str">
        <f ca="1">IFERROR(__xludf.DUMMYFUNCTION("""COMPUTED_VALUE"""),"Descubada")</f>
        <v>Descubada</v>
      </c>
      <c r="S439" s="2"/>
      <c r="T439" s="2"/>
      <c r="U439" s="2"/>
    </row>
    <row r="440" spans="1:21" x14ac:dyDescent="0.25">
      <c r="A440" s="2" t="str">
        <f ca="1">IFERROR(__xludf.DUMMYFUNCTION("""COMPUTED_VALUE"""),"b229f727")</f>
        <v>b229f727</v>
      </c>
      <c r="B440" s="5">
        <f ca="1">IFERROR(__xludf.DUMMYFUNCTION("""COMPUTED_VALUE"""),45764.8685416666)</f>
        <v>45764.868541666598</v>
      </c>
      <c r="C440" s="2" t="str">
        <f ca="1">IFERROR(__xludf.DUMMYFUNCTION("""COMPUTED_VALUE"""),"5e2378bc")</f>
        <v>5e2378bc</v>
      </c>
      <c r="D440" s="2">
        <f ca="1">IFERROR(__xludf.DUMMYFUNCTION("""COMPUTED_VALUE"""),91)</f>
        <v>91</v>
      </c>
      <c r="E440" s="2" t="str">
        <f ca="1">IFERROR(__xludf.DUMMYFUNCTION("""COMPUTED_VALUE"""),"Tinto s/Bonarda")</f>
        <v>Tinto s/Bonarda</v>
      </c>
      <c r="F440" s="2">
        <f ca="1">IFERROR(__xludf.DUMMYFUNCTION("""COMPUTED_VALUE"""),30500)</f>
        <v>30500</v>
      </c>
      <c r="G440" s="2">
        <f ca="1">IFERROR(__xludf.DUMMYFUNCTION("""COMPUTED_VALUE"""),126)</f>
        <v>126</v>
      </c>
      <c r="H440" s="2"/>
      <c r="I440" s="2"/>
      <c r="J440" s="2">
        <f ca="1">IFERROR(__xludf.DUMMYFUNCTION("""COMPUTED_VALUE"""),0)</f>
        <v>0</v>
      </c>
      <c r="K440" s="2">
        <f ca="1">IFERROR(__xludf.DUMMYFUNCTION("""COMPUTED_VALUE"""),30500)</f>
        <v>30500</v>
      </c>
      <c r="L440" s="2" t="str">
        <f ca="1">IFERROR(__xludf.DUMMYFUNCTION("""COMPUTED_VALUE"""),"781075f7")</f>
        <v>781075f7</v>
      </c>
      <c r="M440" s="2" t="str">
        <f ca="1">IFERROR(__xludf.DUMMYFUNCTION("""COMPUTED_VALUE"""),"Tinto s/Bonarda")</f>
        <v>Tinto s/Bonarda</v>
      </c>
      <c r="N440" s="2"/>
      <c r="O440" s="2" t="str">
        <f ca="1">IFERROR(__xludf.DUMMYFUNCTION("""COMPUTED_VALUE"""),"Recarga Fermentando")</f>
        <v>Recarga Fermentando</v>
      </c>
      <c r="P440" s="2"/>
      <c r="Q440" s="2" t="b">
        <f ca="1">IFERROR(__xludf.DUMMYFUNCTION("""COMPUTED_VALUE"""),FALSE)</f>
        <v>0</v>
      </c>
      <c r="R440" s="2" t="str">
        <f ca="1">IFERROR(__xludf.DUMMYFUNCTION("""COMPUTED_VALUE"""),"Descubada")</f>
        <v>Descubada</v>
      </c>
      <c r="S440" s="2"/>
      <c r="T440" s="2"/>
      <c r="U440" s="2"/>
    </row>
    <row r="441" spans="1:21" x14ac:dyDescent="0.25">
      <c r="A441" s="2" t="str">
        <f ca="1">IFERROR(__xludf.DUMMYFUNCTION("""COMPUTED_VALUE"""),"ec7704e2")</f>
        <v>ec7704e2</v>
      </c>
      <c r="B441" s="5">
        <f ca="1">IFERROR(__xludf.DUMMYFUNCTION("""COMPUTED_VALUE"""),45764.8702083333)</f>
        <v>45764.870208333297</v>
      </c>
      <c r="C441" s="2" t="str">
        <f ca="1">IFERROR(__xludf.DUMMYFUNCTION("""COMPUTED_VALUE"""),"2dd2dee4")</f>
        <v>2dd2dee4</v>
      </c>
      <c r="D441" s="2">
        <f ca="1">IFERROR(__xludf.DUMMYFUNCTION("""COMPUTED_VALUE"""),87)</f>
        <v>87</v>
      </c>
      <c r="E441" s="2" t="str">
        <f ca="1">IFERROR(__xludf.DUMMYFUNCTION("""COMPUTED_VALUE"""),"Criolla Flotada")</f>
        <v>Criolla Flotada</v>
      </c>
      <c r="F441" s="2">
        <f ca="1">IFERROR(__xludf.DUMMYFUNCTION("""COMPUTED_VALUE"""),35600)</f>
        <v>35600</v>
      </c>
      <c r="G441" s="2">
        <f ca="1">IFERROR(__xludf.DUMMYFUNCTION("""COMPUTED_VALUE"""),90)</f>
        <v>90</v>
      </c>
      <c r="H441" s="2" t="str">
        <f ca="1">IFERROR(__xludf.DUMMYFUNCTION("""COMPUTED_VALUE"""),"c1c626f1")</f>
        <v>c1c626f1</v>
      </c>
      <c r="I441" s="2" t="str">
        <f ca="1">IFERROR(__xludf.DUMMYFUNCTION("""COMPUTED_VALUE"""),"Tinto s/Bonarda")</f>
        <v>Tinto s/Bonarda</v>
      </c>
      <c r="J441" s="2">
        <f ca="1">IFERROR(__xludf.DUMMYFUNCTION("""COMPUTED_VALUE"""),21100)</f>
        <v>21100</v>
      </c>
      <c r="K441" s="2">
        <f ca="1">IFERROR(__xludf.DUMMYFUNCTION("""COMPUTED_VALUE"""),56700)</f>
        <v>56700</v>
      </c>
      <c r="L441" s="2" t="str">
        <f ca="1">IFERROR(__xludf.DUMMYFUNCTION("""COMPUTED_VALUE"""),"33a1ed47")</f>
        <v>33a1ed47</v>
      </c>
      <c r="M441" s="2" t="str">
        <f ca="1">IFERROR(__xludf.DUMMYFUNCTION("""COMPUTED_VALUE"""),"Tinto s/Bonarda")</f>
        <v>Tinto s/Bonarda</v>
      </c>
      <c r="N441" s="2"/>
      <c r="O441" s="2" t="str">
        <f ca="1">IFERROR(__xludf.DUMMYFUNCTION("""COMPUTED_VALUE"""),"Fermentando")</f>
        <v>Fermentando</v>
      </c>
      <c r="P441" s="2" t="str">
        <f ca="1">IFERROR(__xludf.DUMMYFUNCTION("""COMPUTED_VALUE"""),"Recarga Fermentando")</f>
        <v>Recarga Fermentando</v>
      </c>
      <c r="Q441" s="2" t="b">
        <f ca="1">IFERROR(__xludf.DUMMYFUNCTION("""COMPUTED_VALUE"""),TRUE)</f>
        <v>1</v>
      </c>
      <c r="R441" s="2" t="str">
        <f ca="1">IFERROR(__xludf.DUMMYFUNCTION("""COMPUTED_VALUE"""),"Recarga Fermentando")</f>
        <v>Recarga Fermentando</v>
      </c>
      <c r="S441" s="2"/>
      <c r="T441" s="2"/>
      <c r="U441" s="2"/>
    </row>
    <row r="442" spans="1:21" x14ac:dyDescent="0.25">
      <c r="A442" s="2" t="str">
        <f ca="1">IFERROR(__xludf.DUMMYFUNCTION("""COMPUTED_VALUE"""),"673ad10f")</f>
        <v>673ad10f</v>
      </c>
      <c r="B442" s="5">
        <f ca="1">IFERROR(__xludf.DUMMYFUNCTION("""COMPUTED_VALUE"""),45764.8707060185)</f>
        <v>45764.870706018497</v>
      </c>
      <c r="C442" s="2" t="str">
        <f ca="1">IFERROR(__xludf.DUMMYFUNCTION("""COMPUTED_VALUE"""),"12faab19")</f>
        <v>12faab19</v>
      </c>
      <c r="D442" s="2">
        <f ca="1">IFERROR(__xludf.DUMMYFUNCTION("""COMPUTED_VALUE"""),83)</f>
        <v>83</v>
      </c>
      <c r="E442" s="2" t="str">
        <f ca="1">IFERROR(__xludf.DUMMYFUNCTION("""COMPUTED_VALUE"""),"Criolla Flotada")</f>
        <v>Criolla Flotada</v>
      </c>
      <c r="F442" s="2">
        <f ca="1">IFERROR(__xludf.DUMMYFUNCTION("""COMPUTED_VALUE"""),35000)</f>
        <v>35000</v>
      </c>
      <c r="G442" s="2">
        <f ca="1">IFERROR(__xludf.DUMMYFUNCTION("""COMPUTED_VALUE"""),91)</f>
        <v>91</v>
      </c>
      <c r="H442" s="2" t="str">
        <f ca="1">IFERROR(__xludf.DUMMYFUNCTION("""COMPUTED_VALUE"""),"5e2378bc")</f>
        <v>5e2378bc</v>
      </c>
      <c r="I442" s="2" t="str">
        <f ca="1">IFERROR(__xludf.DUMMYFUNCTION("""COMPUTED_VALUE"""),"Tinto s/Bonarda")</f>
        <v>Tinto s/Bonarda</v>
      </c>
      <c r="J442" s="2">
        <f ca="1">IFERROR(__xludf.DUMMYFUNCTION("""COMPUTED_VALUE"""),14300)</f>
        <v>14300</v>
      </c>
      <c r="K442" s="2">
        <f ca="1">IFERROR(__xludf.DUMMYFUNCTION("""COMPUTED_VALUE"""),49300)</f>
        <v>49300</v>
      </c>
      <c r="L442" s="2" t="str">
        <f ca="1">IFERROR(__xludf.DUMMYFUNCTION("""COMPUTED_VALUE"""),"b0d32d3c")</f>
        <v>b0d32d3c</v>
      </c>
      <c r="M442" s="2" t="str">
        <f ca="1">IFERROR(__xludf.DUMMYFUNCTION("""COMPUTED_VALUE"""),"Tinto s/Bonarda")</f>
        <v>Tinto s/Bonarda</v>
      </c>
      <c r="N442" s="2"/>
      <c r="O442" s="2"/>
      <c r="P442" s="2" t="str">
        <f ca="1">IFERROR(__xludf.DUMMYFUNCTION("""COMPUTED_VALUE"""),"Recarga Fermentando")</f>
        <v>Recarga Fermentando</v>
      </c>
      <c r="Q442" s="2" t="b">
        <f ca="1">IFERROR(__xludf.DUMMYFUNCTION("""COMPUTED_VALUE"""),TRUE)</f>
        <v>1</v>
      </c>
      <c r="R442" s="2" t="str">
        <f ca="1">IFERROR(__xludf.DUMMYFUNCTION("""COMPUTED_VALUE"""),"Recarga Fermentando")</f>
        <v>Recarga Fermentando</v>
      </c>
      <c r="S442" s="2"/>
      <c r="T442" s="2"/>
      <c r="U442" s="2"/>
    </row>
    <row r="443" spans="1:21" x14ac:dyDescent="0.25">
      <c r="A443" s="2" t="str">
        <f ca="1">IFERROR(__xludf.DUMMYFUNCTION("""COMPUTED_VALUE"""),"5388e2ee")</f>
        <v>5388e2ee</v>
      </c>
      <c r="B443" s="5">
        <f ca="1">IFERROR(__xludf.DUMMYFUNCTION("""COMPUTED_VALUE"""),45764.8744560185)</f>
        <v>45764.8744560185</v>
      </c>
      <c r="C443" s="2" t="str">
        <f ca="1">IFERROR(__xludf.DUMMYFUNCTION("""COMPUTED_VALUE"""),"da01d353")</f>
        <v>da01d353</v>
      </c>
      <c r="D443" s="2">
        <f ca="1">IFERROR(__xludf.DUMMYFUNCTION("""COMPUTED_VALUE"""),84)</f>
        <v>84</v>
      </c>
      <c r="E443" s="2" t="str">
        <f ca="1">IFERROR(__xludf.DUMMYFUNCTION("""COMPUTED_VALUE"""),"Tinto s/Bonarda")</f>
        <v>Tinto s/Bonarda</v>
      </c>
      <c r="F443" s="2">
        <f ca="1">IFERROR(__xludf.DUMMYFUNCTION("""COMPUTED_VALUE"""),23000)</f>
        <v>23000</v>
      </c>
      <c r="G443" s="2">
        <f ca="1">IFERROR(__xludf.DUMMYFUNCTION("""COMPUTED_VALUE"""),45)</f>
        <v>45</v>
      </c>
      <c r="H443" s="2"/>
      <c r="I443" s="2"/>
      <c r="J443" s="2">
        <f ca="1">IFERROR(__xludf.DUMMYFUNCTION("""COMPUTED_VALUE"""),0)</f>
        <v>0</v>
      </c>
      <c r="K443" s="2">
        <f ca="1">IFERROR(__xludf.DUMMYFUNCTION("""COMPUTED_VALUE"""),23000)</f>
        <v>23000</v>
      </c>
      <c r="L443" s="2" t="str">
        <f ca="1">IFERROR(__xludf.DUMMYFUNCTION("""COMPUTED_VALUE"""),"d2947d93")</f>
        <v>d2947d93</v>
      </c>
      <c r="M443" s="2" t="str">
        <f ca="1">IFERROR(__xludf.DUMMYFUNCTION("""COMPUTED_VALUE"""),"Tinto s/Bonarda")</f>
        <v>Tinto s/Bonarda</v>
      </c>
      <c r="N443" s="2"/>
      <c r="O443" s="2" t="str">
        <f ca="1">IFERROR(__xludf.DUMMYFUNCTION("""COMPUTED_VALUE"""),"Recarga Fermentando")</f>
        <v>Recarga Fermentando</v>
      </c>
      <c r="P443" s="2"/>
      <c r="Q443" s="2" t="b">
        <f ca="1">IFERROR(__xludf.DUMMYFUNCTION("""COMPUTED_VALUE"""),FALSE)</f>
        <v>0</v>
      </c>
      <c r="R443" s="2" t="str">
        <f ca="1">IFERROR(__xludf.DUMMYFUNCTION("""COMPUTED_VALUE"""),"Descubada")</f>
        <v>Descubada</v>
      </c>
      <c r="S443" s="2"/>
      <c r="T443" s="2"/>
      <c r="U443" s="2"/>
    </row>
    <row r="444" spans="1:21" x14ac:dyDescent="0.25">
      <c r="A444" s="2" t="str">
        <f ca="1">IFERROR(__xludf.DUMMYFUNCTION("""COMPUTED_VALUE"""),"f19bda58")</f>
        <v>f19bda58</v>
      </c>
      <c r="B444" s="5">
        <f ca="1">IFERROR(__xludf.DUMMYFUNCTION("""COMPUTED_VALUE"""),45764.8753703703)</f>
        <v>45764.875370370297</v>
      </c>
      <c r="C444" s="2" t="str">
        <f ca="1">IFERROR(__xludf.DUMMYFUNCTION("""COMPUTED_VALUE"""),"12faab19")</f>
        <v>12faab19</v>
      </c>
      <c r="D444" s="2">
        <f ca="1">IFERROR(__xludf.DUMMYFUNCTION("""COMPUTED_VALUE"""),83)</f>
        <v>83</v>
      </c>
      <c r="E444" s="2" t="str">
        <f ca="1">IFERROR(__xludf.DUMMYFUNCTION("""COMPUTED_VALUE"""),"Criolla Flotada")</f>
        <v>Criolla Flotada</v>
      </c>
      <c r="F444" s="2">
        <f ca="1">IFERROR(__xludf.DUMMYFUNCTION("""COMPUTED_VALUE"""),30000)</f>
        <v>30000</v>
      </c>
      <c r="G444" s="2">
        <f ca="1">IFERROR(__xludf.DUMMYFUNCTION("""COMPUTED_VALUE"""),84)</f>
        <v>84</v>
      </c>
      <c r="H444" s="2" t="str">
        <f ca="1">IFERROR(__xludf.DUMMYFUNCTION("""COMPUTED_VALUE"""),"da01d353")</f>
        <v>da01d353</v>
      </c>
      <c r="I444" s="2" t="str">
        <f ca="1">IFERROR(__xludf.DUMMYFUNCTION("""COMPUTED_VALUE"""),"Tinto s/Bonarda")</f>
        <v>Tinto s/Bonarda</v>
      </c>
      <c r="J444" s="2">
        <f ca="1">IFERROR(__xludf.DUMMYFUNCTION("""COMPUTED_VALUE"""),10000)</f>
        <v>10000</v>
      </c>
      <c r="K444" s="2">
        <f ca="1">IFERROR(__xludf.DUMMYFUNCTION("""COMPUTED_VALUE"""),40000)</f>
        <v>40000</v>
      </c>
      <c r="L444" s="2" t="str">
        <f ca="1">IFERROR(__xludf.DUMMYFUNCTION("""COMPUTED_VALUE"""),"88134c0a")</f>
        <v>88134c0a</v>
      </c>
      <c r="M444" s="2" t="str">
        <f ca="1">IFERROR(__xludf.DUMMYFUNCTION("""COMPUTED_VALUE"""),"Tinto s/Bonarda 2da")</f>
        <v>Tinto s/Bonarda 2da</v>
      </c>
      <c r="N444" s="2"/>
      <c r="O444" s="2"/>
      <c r="P444" s="2" t="str">
        <f ca="1">IFERROR(__xludf.DUMMYFUNCTION("""COMPUTED_VALUE"""),"Recarga Fermentando")</f>
        <v>Recarga Fermentando</v>
      </c>
      <c r="Q444" s="2" t="b">
        <f ca="1">IFERROR(__xludf.DUMMYFUNCTION("""COMPUTED_VALUE"""),TRUE)</f>
        <v>1</v>
      </c>
      <c r="R444" s="2" t="str">
        <f ca="1">IFERROR(__xludf.DUMMYFUNCTION("""COMPUTED_VALUE"""),"Recarga Fermentando")</f>
        <v>Recarga Fermentando</v>
      </c>
      <c r="S444" s="2"/>
      <c r="T444" s="2"/>
      <c r="U444" s="2"/>
    </row>
    <row r="445" spans="1:21" x14ac:dyDescent="0.25">
      <c r="A445" s="2" t="str">
        <f ca="1">IFERROR(__xludf.DUMMYFUNCTION("""COMPUTED_VALUE"""),"53949e8f")</f>
        <v>53949e8f</v>
      </c>
      <c r="B445" s="5">
        <f ca="1">IFERROR(__xludf.DUMMYFUNCTION("""COMPUTED_VALUE"""),45766.520787037)</f>
        <v>45766.520787037</v>
      </c>
      <c r="C445" s="2" t="str">
        <f ca="1">IFERROR(__xludf.DUMMYFUNCTION("""COMPUTED_VALUE"""),"a042b2d1")</f>
        <v>a042b2d1</v>
      </c>
      <c r="D445" s="2">
        <f ca="1">IFERROR(__xludf.DUMMYFUNCTION("""COMPUTED_VALUE"""),89)</f>
        <v>89</v>
      </c>
      <c r="E445" s="2" t="str">
        <f ca="1">IFERROR(__xludf.DUMMYFUNCTION("""COMPUTED_VALUE"""),"Malbec")</f>
        <v>Malbec</v>
      </c>
      <c r="F445" s="2">
        <f ca="1">IFERROR(__xludf.DUMMYFUNCTION("""COMPUTED_VALUE"""),60800)</f>
        <v>60800</v>
      </c>
      <c r="G445" s="2">
        <f ca="1">IFERROR(__xludf.DUMMYFUNCTION("""COMPUTED_VALUE"""),87)</f>
        <v>87</v>
      </c>
      <c r="H445" s="2"/>
      <c r="I445" s="2"/>
      <c r="J445" s="2">
        <f ca="1">IFERROR(__xludf.DUMMYFUNCTION("""COMPUTED_VALUE"""),0)</f>
        <v>0</v>
      </c>
      <c r="K445" s="2">
        <f ca="1">IFERROR(__xludf.DUMMYFUNCTION("""COMPUTED_VALUE"""),60800)</f>
        <v>60800</v>
      </c>
      <c r="L445" s="2" t="str">
        <f ca="1">IFERROR(__xludf.DUMMYFUNCTION("""COMPUTED_VALUE"""),"e0ab57bf")</f>
        <v>e0ab57bf</v>
      </c>
      <c r="M445" s="2" t="str">
        <f ca="1">IFERROR(__xludf.DUMMYFUNCTION("""COMPUTED_VALUE"""),"Malbec")</f>
        <v>Malbec</v>
      </c>
      <c r="N445" s="2"/>
      <c r="O445" s="2" t="str">
        <f ca="1">IFERROR(__xludf.DUMMYFUNCTION("""COMPUTED_VALUE"""),"Fermentando")</f>
        <v>Fermentando</v>
      </c>
      <c r="P445" s="2"/>
      <c r="Q445" s="2" t="b">
        <f ca="1">IFERROR(__xludf.DUMMYFUNCTION("""COMPUTED_VALUE"""),FALSE)</f>
        <v>0</v>
      </c>
      <c r="R445" s="2" t="str">
        <f ca="1">IFERROR(__xludf.DUMMYFUNCTION("""COMPUTED_VALUE"""),"Descubada")</f>
        <v>Descubada</v>
      </c>
      <c r="S445" s="2"/>
      <c r="T445" s="2"/>
      <c r="U445" s="2"/>
    </row>
    <row r="446" spans="1:21" x14ac:dyDescent="0.25">
      <c r="A446" s="2" t="str">
        <f ca="1">IFERROR(__xludf.DUMMYFUNCTION("""COMPUTED_VALUE"""),"c3cec4ca")</f>
        <v>c3cec4ca</v>
      </c>
      <c r="B446" s="5">
        <f ca="1">IFERROR(__xludf.DUMMYFUNCTION("""COMPUTED_VALUE"""),45766.5211458333)</f>
        <v>45766.5211458333</v>
      </c>
      <c r="C446" s="2" t="str">
        <f ca="1">IFERROR(__xludf.DUMMYFUNCTION("""COMPUTED_VALUE"""),"1b8cfd3f")</f>
        <v>1b8cfd3f</v>
      </c>
      <c r="D446" s="2">
        <f ca="1">IFERROR(__xludf.DUMMYFUNCTION("""COMPUTED_VALUE"""),80)</f>
        <v>80</v>
      </c>
      <c r="E446" s="2" t="str">
        <f ca="1">IFERROR(__xludf.DUMMYFUNCTION("""COMPUTED_VALUE"""),"Malbec")</f>
        <v>Malbec</v>
      </c>
      <c r="F446" s="2">
        <f ca="1">IFERROR(__xludf.DUMMYFUNCTION("""COMPUTED_VALUE"""),17800)</f>
        <v>17800</v>
      </c>
      <c r="G446" s="2">
        <f ca="1">IFERROR(__xludf.DUMMYFUNCTION("""COMPUTED_VALUE"""),87)</f>
        <v>87</v>
      </c>
      <c r="H446" s="2" t="str">
        <f ca="1">IFERROR(__xludf.DUMMYFUNCTION("""COMPUTED_VALUE"""),"e0ab57bf")</f>
        <v>e0ab57bf</v>
      </c>
      <c r="I446" s="2" t="str">
        <f ca="1">IFERROR(__xludf.DUMMYFUNCTION("""COMPUTED_VALUE"""),"Gota y prensa")</f>
        <v>Gota y prensa</v>
      </c>
      <c r="J446" s="2">
        <f ca="1">IFERROR(__xludf.DUMMYFUNCTION("""COMPUTED_VALUE"""),60800)</f>
        <v>60800</v>
      </c>
      <c r="K446" s="2">
        <f ca="1">IFERROR(__xludf.DUMMYFUNCTION("""COMPUTED_VALUE"""),78600)</f>
        <v>78600</v>
      </c>
      <c r="L446" s="2" t="str">
        <f ca="1">IFERROR(__xludf.DUMMYFUNCTION("""COMPUTED_VALUE"""),"8d234d23")</f>
        <v>8d234d23</v>
      </c>
      <c r="M446" s="2" t="str">
        <f ca="1">IFERROR(__xludf.DUMMYFUNCTION("""COMPUTED_VALUE"""),"Gota y prensa")</f>
        <v>Gota y prensa</v>
      </c>
      <c r="N446" s="2"/>
      <c r="O446" s="2" t="str">
        <f ca="1">IFERROR(__xludf.DUMMYFUNCTION("""COMPUTED_VALUE"""),"Fermentando")</f>
        <v>Fermentando</v>
      </c>
      <c r="P446" s="2" t="str">
        <f ca="1">IFERROR(__xludf.DUMMYFUNCTION("""COMPUTED_VALUE"""),"Descubada")</f>
        <v>Descubada</v>
      </c>
      <c r="Q446" s="2" t="b">
        <f ca="1">IFERROR(__xludf.DUMMYFUNCTION("""COMPUTED_VALUE"""),TRUE)</f>
        <v>1</v>
      </c>
      <c r="R446" s="2" t="str">
        <f ca="1">IFERROR(__xludf.DUMMYFUNCTION("""COMPUTED_VALUE"""),"Descubada")</f>
        <v>Descubada</v>
      </c>
      <c r="S446" s="2"/>
      <c r="T446" s="2"/>
      <c r="U446" s="2"/>
    </row>
    <row r="447" spans="1:21" x14ac:dyDescent="0.25">
      <c r="A447" s="2" t="str">
        <f ca="1">IFERROR(__xludf.DUMMYFUNCTION("""COMPUTED_VALUE"""),"b812a49c")</f>
        <v>b812a49c</v>
      </c>
      <c r="B447" s="5">
        <f ca="1">IFERROR(__xludf.DUMMYFUNCTION("""COMPUTED_VALUE"""),45766.5243171296)</f>
        <v>45766.524317129602</v>
      </c>
      <c r="C447" s="2" t="str">
        <f ca="1">IFERROR(__xludf.DUMMYFUNCTION("""COMPUTED_VALUE"""),"7678fbc3")</f>
        <v>7678fbc3</v>
      </c>
      <c r="D447" s="2">
        <f ca="1">IFERROR(__xludf.DUMMYFUNCTION("""COMPUTED_VALUE"""),81)</f>
        <v>81</v>
      </c>
      <c r="E447" s="2" t="str">
        <f ca="1">IFERROR(__xludf.DUMMYFUNCTION("""COMPUTED_VALUE"""),"Malbec")</f>
        <v>Malbec</v>
      </c>
      <c r="F447" s="2">
        <f ca="1">IFERROR(__xludf.DUMMYFUNCTION("""COMPUTED_VALUE"""),15100)</f>
        <v>15100</v>
      </c>
      <c r="G447" s="2">
        <f ca="1">IFERROR(__xludf.DUMMYFUNCTION("""COMPUTED_VALUE"""),87)</f>
        <v>87</v>
      </c>
      <c r="H447" s="2" t="str">
        <f ca="1">IFERROR(__xludf.DUMMYFUNCTION("""COMPUTED_VALUE"""),"8d234d23")</f>
        <v>8d234d23</v>
      </c>
      <c r="I447" s="2" t="str">
        <f ca="1">IFERROR(__xludf.DUMMYFUNCTION("""COMPUTED_VALUE"""),"Malbec")</f>
        <v>Malbec</v>
      </c>
      <c r="J447" s="2">
        <f ca="1">IFERROR(__xludf.DUMMYFUNCTION("""COMPUTED_VALUE"""),78600)</f>
        <v>78600</v>
      </c>
      <c r="K447" s="2">
        <f ca="1">IFERROR(__xludf.DUMMYFUNCTION("""COMPUTED_VALUE"""),93700)</f>
        <v>93700</v>
      </c>
      <c r="L447" s="2" t="str">
        <f ca="1">IFERROR(__xludf.DUMMYFUNCTION("""COMPUTED_VALUE"""),"bcf45804")</f>
        <v>bcf45804</v>
      </c>
      <c r="M447" s="2" t="str">
        <f ca="1">IFERROR(__xludf.DUMMYFUNCTION("""COMPUTED_VALUE"""),"Malbec")</f>
        <v>Malbec</v>
      </c>
      <c r="N447" s="2" t="str">
        <f ca="1">IFERROR(__xludf.DUMMYFUNCTION("""COMPUTED_VALUE"""),"Gota y Prensa")</f>
        <v>Gota y Prensa</v>
      </c>
      <c r="O447" s="2" t="str">
        <f ca="1">IFERROR(__xludf.DUMMYFUNCTION("""COMPUTED_VALUE"""),"Fermentando")</f>
        <v>Fermentando</v>
      </c>
      <c r="P447" s="2" t="str">
        <f ca="1">IFERROR(__xludf.DUMMYFUNCTION("""COMPUTED_VALUE"""),"Descubada")</f>
        <v>Descubada</v>
      </c>
      <c r="Q447" s="2" t="b">
        <f ca="1">IFERROR(__xludf.DUMMYFUNCTION("""COMPUTED_VALUE"""),TRUE)</f>
        <v>1</v>
      </c>
      <c r="R447" s="2" t="str">
        <f ca="1">IFERROR(__xludf.DUMMYFUNCTION("""COMPUTED_VALUE"""),"Descubada")</f>
        <v>Descubada</v>
      </c>
      <c r="S447" s="2"/>
      <c r="T447" s="2"/>
      <c r="U447" s="2"/>
    </row>
    <row r="448" spans="1:21" x14ac:dyDescent="0.25">
      <c r="A448" s="2" t="str">
        <f ca="1">IFERROR(__xludf.DUMMYFUNCTION("""COMPUTED_VALUE"""),"a8b963f4")</f>
        <v>a8b963f4</v>
      </c>
      <c r="B448" s="5">
        <f ca="1">IFERROR(__xludf.DUMMYFUNCTION("""COMPUTED_VALUE"""),45766.5249074074)</f>
        <v>45766.524907407402</v>
      </c>
      <c r="C448" s="2" t="str">
        <f ca="1">IFERROR(__xludf.DUMMYFUNCTION("""COMPUTED_VALUE"""),"7678fbc3")</f>
        <v>7678fbc3</v>
      </c>
      <c r="D448" s="2">
        <f ca="1">IFERROR(__xludf.DUMMYFUNCTION("""COMPUTED_VALUE"""),81)</f>
        <v>81</v>
      </c>
      <c r="E448" s="2" t="str">
        <f ca="1">IFERROR(__xludf.DUMMYFUNCTION("""COMPUTED_VALUE"""),"Malbec")</f>
        <v>Malbec</v>
      </c>
      <c r="F448" s="2">
        <f ca="1">IFERROR(__xludf.DUMMYFUNCTION("""COMPUTED_VALUE"""),3000)</f>
        <v>3000</v>
      </c>
      <c r="G448" s="2">
        <f ca="1">IFERROR(__xludf.DUMMYFUNCTION("""COMPUTED_VALUE"""),935)</f>
        <v>935</v>
      </c>
      <c r="H448" s="2" t="str">
        <f ca="1">IFERROR(__xludf.DUMMYFUNCTION("""COMPUTED_VALUE"""),"e5691d8b")</f>
        <v>e5691d8b</v>
      </c>
      <c r="I448" s="2" t="str">
        <f ca="1">IFERROR(__xludf.DUMMYFUNCTION("""COMPUTED_VALUE"""),"Borra")</f>
        <v>Borra</v>
      </c>
      <c r="J448" s="2">
        <f ca="1">IFERROR(__xludf.DUMMYFUNCTION("""COMPUTED_VALUE"""),6000)</f>
        <v>6000</v>
      </c>
      <c r="K448" s="2">
        <f ca="1">IFERROR(__xludf.DUMMYFUNCTION("""COMPUTED_VALUE"""),9000)</f>
        <v>9000</v>
      </c>
      <c r="L448" s="2" t="str">
        <f ca="1">IFERROR(__xludf.DUMMYFUNCTION("""COMPUTED_VALUE"""),"4c9ff21e")</f>
        <v>4c9ff21e</v>
      </c>
      <c r="M448" s="2" t="str">
        <f ca="1">IFERROR(__xludf.DUMMYFUNCTION("""COMPUTED_VALUE"""),"Borra")</f>
        <v>Borra</v>
      </c>
      <c r="N448" s="2"/>
      <c r="O448" s="2" t="str">
        <f ca="1">IFERROR(__xludf.DUMMYFUNCTION("""COMPUTED_VALUE"""),"Fermentando")</f>
        <v>Fermentando</v>
      </c>
      <c r="P448" s="2" t="str">
        <f ca="1">IFERROR(__xludf.DUMMYFUNCTION("""COMPUTED_VALUE"""),"Descubada")</f>
        <v>Descubada</v>
      </c>
      <c r="Q448" s="2" t="b">
        <f ca="1">IFERROR(__xludf.DUMMYFUNCTION("""COMPUTED_VALUE"""),TRUE)</f>
        <v>1</v>
      </c>
      <c r="R448" s="2" t="str">
        <f ca="1">IFERROR(__xludf.DUMMYFUNCTION("""COMPUTED_VALUE"""),"Descubada")</f>
        <v>Descubada</v>
      </c>
      <c r="S448" s="2"/>
      <c r="T448" s="2"/>
      <c r="U448" s="2"/>
    </row>
    <row r="449" spans="1:21" x14ac:dyDescent="0.25">
      <c r="A449" s="2" t="str">
        <f ca="1">IFERROR(__xludf.DUMMYFUNCTION("""COMPUTED_VALUE"""),"160af005")</f>
        <v>160af005</v>
      </c>
      <c r="B449" s="5">
        <f ca="1">IFERROR(__xludf.DUMMYFUNCTION("""COMPUTED_VALUE"""),45768.4750694444)</f>
        <v>45768.475069444401</v>
      </c>
      <c r="C449" s="2" t="str">
        <f ca="1">IFERROR(__xludf.DUMMYFUNCTION("""COMPUTED_VALUE"""),"4b2f415c")</f>
        <v>4b2f415c</v>
      </c>
      <c r="D449" s="2">
        <f ca="1">IFERROR(__xludf.DUMMYFUNCTION("""COMPUTED_VALUE"""),96)</f>
        <v>96</v>
      </c>
      <c r="E449" s="2" t="str">
        <f ca="1">IFERROR(__xludf.DUMMYFUNCTION("""COMPUTED_VALUE"""),"Malbec")</f>
        <v>Malbec</v>
      </c>
      <c r="F449" s="2">
        <f ca="1">IFERROR(__xludf.DUMMYFUNCTION("""COMPUTED_VALUE"""),35100)</f>
        <v>35100</v>
      </c>
      <c r="G449" s="2">
        <f ca="1">IFERROR(__xludf.DUMMYFUNCTION("""COMPUTED_VALUE"""),41)</f>
        <v>41</v>
      </c>
      <c r="H449" s="2"/>
      <c r="I449" s="2"/>
      <c r="J449" s="2">
        <f ca="1">IFERROR(__xludf.DUMMYFUNCTION("""COMPUTED_VALUE"""),0)</f>
        <v>0</v>
      </c>
      <c r="K449" s="2">
        <f ca="1">IFERROR(__xludf.DUMMYFUNCTION("""COMPUTED_VALUE"""),35100)</f>
        <v>35100</v>
      </c>
      <c r="L449" s="2" t="str">
        <f ca="1">IFERROR(__xludf.DUMMYFUNCTION("""COMPUTED_VALUE"""),"65ce6f3f")</f>
        <v>65ce6f3f</v>
      </c>
      <c r="M449" s="2" t="str">
        <f ca="1">IFERROR(__xludf.DUMMYFUNCTION("""COMPUTED_VALUE"""),"Malbec")</f>
        <v>Malbec</v>
      </c>
      <c r="N449" s="2"/>
      <c r="O449" s="2" t="str">
        <f ca="1">IFERROR(__xludf.DUMMYFUNCTION("""COMPUTED_VALUE"""),"Fermentando")</f>
        <v>Fermentando</v>
      </c>
      <c r="P449" s="2"/>
      <c r="Q449" s="2" t="b">
        <f ca="1">IFERROR(__xludf.DUMMYFUNCTION("""COMPUTED_VALUE"""),FALSE)</f>
        <v>0</v>
      </c>
      <c r="R449" s="2" t="str">
        <f ca="1">IFERROR(__xludf.DUMMYFUNCTION("""COMPUTED_VALUE"""),"Descubada")</f>
        <v>Descubada</v>
      </c>
      <c r="S449" s="2"/>
      <c r="T449" s="2"/>
      <c r="U449" s="2"/>
    </row>
    <row r="450" spans="1:21" x14ac:dyDescent="0.25">
      <c r="A450" s="2" t="str">
        <f ca="1">IFERROR(__xludf.DUMMYFUNCTION("""COMPUTED_VALUE"""),"8469e96d")</f>
        <v>8469e96d</v>
      </c>
      <c r="B450" s="5">
        <f ca="1">IFERROR(__xludf.DUMMYFUNCTION("""COMPUTED_VALUE"""),45768.4753587963)</f>
        <v>45768.475358796299</v>
      </c>
      <c r="C450" s="2" t="str">
        <f ca="1">IFERROR(__xludf.DUMMYFUNCTION("""COMPUTED_VALUE"""),"4b2f415c")</f>
        <v>4b2f415c</v>
      </c>
      <c r="D450" s="2">
        <f ca="1">IFERROR(__xludf.DUMMYFUNCTION("""COMPUTED_VALUE"""),96)</f>
        <v>96</v>
      </c>
      <c r="E450" s="2" t="str">
        <f ca="1">IFERROR(__xludf.DUMMYFUNCTION("""COMPUTED_VALUE"""),"Malbec")</f>
        <v>Malbec</v>
      </c>
      <c r="F450" s="2">
        <f ca="1">IFERROR(__xludf.DUMMYFUNCTION("""COMPUTED_VALUE"""),17700)</f>
        <v>17700</v>
      </c>
      <c r="G450" s="2">
        <f ca="1">IFERROR(__xludf.DUMMYFUNCTION("""COMPUTED_VALUE"""),54)</f>
        <v>54</v>
      </c>
      <c r="H450" s="2"/>
      <c r="I450" s="2"/>
      <c r="J450" s="2">
        <f ca="1">IFERROR(__xludf.DUMMYFUNCTION("""COMPUTED_VALUE"""),0)</f>
        <v>0</v>
      </c>
      <c r="K450" s="2">
        <f ca="1">IFERROR(__xludf.DUMMYFUNCTION("""COMPUTED_VALUE"""),17700)</f>
        <v>17700</v>
      </c>
      <c r="L450" s="2" t="str">
        <f ca="1">IFERROR(__xludf.DUMMYFUNCTION("""COMPUTED_VALUE"""),"e580a9d5")</f>
        <v>e580a9d5</v>
      </c>
      <c r="M450" s="2" t="str">
        <f ca="1">IFERROR(__xludf.DUMMYFUNCTION("""COMPUTED_VALUE"""),"Malbec")</f>
        <v>Malbec</v>
      </c>
      <c r="N450" s="2"/>
      <c r="O450" s="2" t="str">
        <f ca="1">IFERROR(__xludf.DUMMYFUNCTION("""COMPUTED_VALUE"""),"Fermentando")</f>
        <v>Fermentando</v>
      </c>
      <c r="P450" s="2"/>
      <c r="Q450" s="2" t="b">
        <f ca="1">IFERROR(__xludf.DUMMYFUNCTION("""COMPUTED_VALUE"""),FALSE)</f>
        <v>0</v>
      </c>
      <c r="R450" s="2" t="str">
        <f ca="1">IFERROR(__xludf.DUMMYFUNCTION("""COMPUTED_VALUE"""),"Descubada")</f>
        <v>Descubada</v>
      </c>
      <c r="S450" s="2"/>
      <c r="T450" s="2"/>
      <c r="U450" s="2"/>
    </row>
    <row r="451" spans="1:21" x14ac:dyDescent="0.25">
      <c r="A451" s="2" t="str">
        <f ca="1">IFERROR(__xludf.DUMMYFUNCTION("""COMPUTED_VALUE"""),"3998063e")</f>
        <v>3998063e</v>
      </c>
      <c r="B451" s="5">
        <f ca="1">IFERROR(__xludf.DUMMYFUNCTION("""COMPUTED_VALUE"""),45768.8128587962)</f>
        <v>45768.812858796198</v>
      </c>
      <c r="C451" s="2" t="str">
        <f ca="1">IFERROR(__xludf.DUMMYFUNCTION("""COMPUTED_VALUE"""),"23f4cc53")</f>
        <v>23f4cc53</v>
      </c>
      <c r="D451" s="2">
        <f ca="1">IFERROR(__xludf.DUMMYFUNCTION("""COMPUTED_VALUE"""),95)</f>
        <v>95</v>
      </c>
      <c r="E451" s="2" t="str">
        <f ca="1">IFERROR(__xludf.DUMMYFUNCTION("""COMPUTED_VALUE"""),"Cabernet Sauvignon")</f>
        <v>Cabernet Sauvignon</v>
      </c>
      <c r="F451" s="2">
        <f ca="1">IFERROR(__xludf.DUMMYFUNCTION("""COMPUTED_VALUE"""),24300)</f>
        <v>24300</v>
      </c>
      <c r="G451" s="2">
        <f ca="1">IFERROR(__xludf.DUMMYFUNCTION("""COMPUTED_VALUE"""),120)</f>
        <v>120</v>
      </c>
      <c r="H451" s="2" t="str">
        <f ca="1">IFERROR(__xludf.DUMMYFUNCTION("""COMPUTED_VALUE"""),"bb5ac12c")</f>
        <v>bb5ac12c</v>
      </c>
      <c r="I451" s="2" t="str">
        <f ca="1">IFERROR(__xludf.DUMMYFUNCTION("""COMPUTED_VALUE"""),"Cabernet Sauvignon")</f>
        <v>Cabernet Sauvignon</v>
      </c>
      <c r="J451" s="2">
        <f ca="1">IFERROR(__xludf.DUMMYFUNCTION("""COMPUTED_VALUE"""),64500)</f>
        <v>64500</v>
      </c>
      <c r="K451" s="2">
        <f ca="1">IFERROR(__xludf.DUMMYFUNCTION("""COMPUTED_VALUE"""),88800)</f>
        <v>88800</v>
      </c>
      <c r="L451" s="2" t="str">
        <f ca="1">IFERROR(__xludf.DUMMYFUNCTION("""COMPUTED_VALUE"""),"0711f2d9")</f>
        <v>0711f2d9</v>
      </c>
      <c r="M451" s="2" t="str">
        <f ca="1">IFERROR(__xludf.DUMMYFUNCTION("""COMPUTED_VALUE"""),"Cabernet Sauvignon")</f>
        <v>Cabernet Sauvignon</v>
      </c>
      <c r="N451" s="2" t="str">
        <f ca="1">IFERROR(__xludf.DUMMYFUNCTION("""COMPUTED_VALUE"""),"Gota")</f>
        <v>Gota</v>
      </c>
      <c r="O451" s="2" t="str">
        <f ca="1">IFERROR(__xludf.DUMMYFUNCTION("""COMPUTED_VALUE"""),"Fermentando")</f>
        <v>Fermentando</v>
      </c>
      <c r="P451" s="2" t="str">
        <f ca="1">IFERROR(__xludf.DUMMYFUNCTION("""COMPUTED_VALUE"""),"Descubada")</f>
        <v>Descubada</v>
      </c>
      <c r="Q451" s="2" t="b">
        <f ca="1">IFERROR(__xludf.DUMMYFUNCTION("""COMPUTED_VALUE"""),TRUE)</f>
        <v>1</v>
      </c>
      <c r="R451" s="2" t="str">
        <f ca="1">IFERROR(__xludf.DUMMYFUNCTION("""COMPUTED_VALUE"""),"Descubada")</f>
        <v>Descubada</v>
      </c>
      <c r="S451" s="2"/>
      <c r="T451" s="2"/>
      <c r="U451" s="2"/>
    </row>
    <row r="452" spans="1:21" x14ac:dyDescent="0.25">
      <c r="A452" s="2" t="str">
        <f ca="1">IFERROR(__xludf.DUMMYFUNCTION("""COMPUTED_VALUE"""),"8744bfc9")</f>
        <v>8744bfc9</v>
      </c>
      <c r="B452" s="5">
        <f ca="1">IFERROR(__xludf.DUMMYFUNCTION("""COMPUTED_VALUE"""),45768.8132175925)</f>
        <v>45768.813217592498</v>
      </c>
      <c r="C452" s="2" t="str">
        <f ca="1">IFERROR(__xludf.DUMMYFUNCTION("""COMPUTED_VALUE"""),"23f4cc53")</f>
        <v>23f4cc53</v>
      </c>
      <c r="D452" s="2">
        <f ca="1">IFERROR(__xludf.DUMMYFUNCTION("""COMPUTED_VALUE"""),95)</f>
        <v>95</v>
      </c>
      <c r="E452" s="2" t="str">
        <f ca="1">IFERROR(__xludf.DUMMYFUNCTION("""COMPUTED_VALUE"""),"Cabernet Sauvignon")</f>
        <v>Cabernet Sauvignon</v>
      </c>
      <c r="F452" s="2">
        <f ca="1">IFERROR(__xludf.DUMMYFUNCTION("""COMPUTED_VALUE"""),44200)</f>
        <v>44200</v>
      </c>
      <c r="G452" s="2">
        <f ca="1">IFERROR(__xludf.DUMMYFUNCTION("""COMPUTED_VALUE"""),89)</f>
        <v>89</v>
      </c>
      <c r="H452" s="2"/>
      <c r="I452" s="2"/>
      <c r="J452" s="2">
        <f ca="1">IFERROR(__xludf.DUMMYFUNCTION("""COMPUTED_VALUE"""),0)</f>
        <v>0</v>
      </c>
      <c r="K452" s="2">
        <f ca="1">IFERROR(__xludf.DUMMYFUNCTION("""COMPUTED_VALUE"""),44200)</f>
        <v>44200</v>
      </c>
      <c r="L452" s="2" t="str">
        <f ca="1">IFERROR(__xludf.DUMMYFUNCTION("""COMPUTED_VALUE"""),"09f2a666")</f>
        <v>09f2a666</v>
      </c>
      <c r="M452" s="2" t="str">
        <f ca="1">IFERROR(__xludf.DUMMYFUNCTION("""COMPUTED_VALUE"""),"Cabernet Sauvignon")</f>
        <v>Cabernet Sauvignon</v>
      </c>
      <c r="N452" s="2"/>
      <c r="O452" s="2" t="str">
        <f ca="1">IFERROR(__xludf.DUMMYFUNCTION("""COMPUTED_VALUE"""),"Fermentando")</f>
        <v>Fermentando</v>
      </c>
      <c r="P452" s="2"/>
      <c r="Q452" s="2" t="b">
        <f ca="1">IFERROR(__xludf.DUMMYFUNCTION("""COMPUTED_VALUE"""),FALSE)</f>
        <v>0</v>
      </c>
      <c r="R452" s="2" t="str">
        <f ca="1">IFERROR(__xludf.DUMMYFUNCTION("""COMPUTED_VALUE"""),"Descubada")</f>
        <v>Descubada</v>
      </c>
      <c r="S452" s="2"/>
      <c r="T452" s="2"/>
      <c r="U452" s="2"/>
    </row>
    <row r="453" spans="1:21" x14ac:dyDescent="0.25">
      <c r="A453" s="2" t="str">
        <f ca="1">IFERROR(__xludf.DUMMYFUNCTION("""COMPUTED_VALUE"""),"bcbed126")</f>
        <v>bcbed126</v>
      </c>
      <c r="B453" s="5">
        <f ca="1">IFERROR(__xludf.DUMMYFUNCTION("""COMPUTED_VALUE"""),45769.7127546296)</f>
        <v>45769.712754629603</v>
      </c>
      <c r="C453" s="2" t="str">
        <f ca="1">IFERROR(__xludf.DUMMYFUNCTION("""COMPUTED_VALUE"""),"09f2a666")</f>
        <v>09f2a666</v>
      </c>
      <c r="D453" s="2">
        <f ca="1">IFERROR(__xludf.DUMMYFUNCTION("""COMPUTED_VALUE"""),89)</f>
        <v>89</v>
      </c>
      <c r="E453" s="2" t="str">
        <f ca="1">IFERROR(__xludf.DUMMYFUNCTION("""COMPUTED_VALUE"""),"Cabernet Sauvignon")</f>
        <v>Cabernet Sauvignon</v>
      </c>
      <c r="F453" s="2">
        <f ca="1">IFERROR(__xludf.DUMMYFUNCTION("""COMPUTED_VALUE"""),25000)</f>
        <v>25000</v>
      </c>
      <c r="G453" s="2">
        <f ca="1">IFERROR(__xludf.DUMMYFUNCTION("""COMPUTED_VALUE"""),500)</f>
        <v>500</v>
      </c>
      <c r="H453" s="2" t="str">
        <f ca="1">IFERROR(__xludf.DUMMYFUNCTION("""COMPUTED_VALUE"""),"425c8a1c")</f>
        <v>425c8a1c</v>
      </c>
      <c r="I453" s="2" t="str">
        <f ca="1">IFERROR(__xludf.DUMMYFUNCTION("""COMPUTED_VALUE"""),"Ajuste semana 22/04/25")</f>
        <v>Ajuste semana 22/04/25</v>
      </c>
      <c r="J453" s="2">
        <f ca="1">IFERROR(__xludf.DUMMYFUNCTION("""COMPUTED_VALUE"""),1)</f>
        <v>1</v>
      </c>
      <c r="K453" s="2">
        <f ca="1">IFERROR(__xludf.DUMMYFUNCTION("""COMPUTED_VALUE"""),25001)</f>
        <v>25001</v>
      </c>
      <c r="L453" s="2" t="str">
        <f ca="1">IFERROR(__xludf.DUMMYFUNCTION("""COMPUTED_VALUE"""),"d1326da2")</f>
        <v>d1326da2</v>
      </c>
      <c r="M453" s="2" t="str">
        <f ca="1">IFERROR(__xludf.DUMMYFUNCTION("""COMPUTED_VALUE"""),"Ajuste semana 22/04/25")</f>
        <v>Ajuste semana 22/04/25</v>
      </c>
      <c r="N453" s="2" t="str">
        <f ca="1">IFERROR(__xludf.DUMMYFUNCTION("""COMPUTED_VALUE"""),"Volumen que sobra de pileta 95 originalmente")</f>
        <v>Volumen que sobra de pileta 95 originalmente</v>
      </c>
      <c r="O453" s="2" t="str">
        <f ca="1">IFERROR(__xludf.DUMMYFUNCTION("""COMPUTED_VALUE"""),"Descubada")</f>
        <v>Descubada</v>
      </c>
      <c r="P453" s="2"/>
      <c r="Q453" s="2" t="b">
        <f ca="1">IFERROR(__xludf.DUMMYFUNCTION("""COMPUTED_VALUE"""),TRUE)</f>
        <v>1</v>
      </c>
      <c r="R453" s="2"/>
      <c r="S453" s="2"/>
      <c r="T453" s="2"/>
      <c r="U453" s="2"/>
    </row>
    <row r="454" spans="1:21" x14ac:dyDescent="0.25">
      <c r="A454" s="2" t="str">
        <f ca="1">IFERROR(__xludf.DUMMYFUNCTION("""COMPUTED_VALUE"""),"17473616")</f>
        <v>17473616</v>
      </c>
      <c r="B454" s="5">
        <f ca="1">IFERROR(__xludf.DUMMYFUNCTION("""COMPUTED_VALUE"""),45769.71375)</f>
        <v>45769.713750000003</v>
      </c>
      <c r="C454" s="2" t="str">
        <f ca="1">IFERROR(__xludf.DUMMYFUNCTION("""COMPUTED_VALUE"""),"db841e43")</f>
        <v>db841e43</v>
      </c>
      <c r="D454" s="2">
        <f ca="1">IFERROR(__xludf.DUMMYFUNCTION("""COMPUTED_VALUE"""),82)</f>
        <v>82</v>
      </c>
      <c r="E454" s="2" t="str">
        <f ca="1">IFERROR(__xludf.DUMMYFUNCTION("""COMPUTED_VALUE"""),"Malbec")</f>
        <v>Malbec</v>
      </c>
      <c r="F454" s="2">
        <f ca="1">IFERROR(__xludf.DUMMYFUNCTION("""COMPUTED_VALUE"""),25000)</f>
        <v>25000</v>
      </c>
      <c r="G454" s="2">
        <f ca="1">IFERROR(__xludf.DUMMYFUNCTION("""COMPUTED_VALUE"""),89)</f>
        <v>89</v>
      </c>
      <c r="H454" s="2" t="str">
        <f ca="1">IFERROR(__xludf.DUMMYFUNCTION("""COMPUTED_VALUE"""),"09f2a666")</f>
        <v>09f2a666</v>
      </c>
      <c r="I454" s="2" t="str">
        <f ca="1">IFERROR(__xludf.DUMMYFUNCTION("""COMPUTED_VALUE"""),"Cabernet Sauvignon")</f>
        <v>Cabernet Sauvignon</v>
      </c>
      <c r="J454" s="2">
        <f ca="1">IFERROR(__xludf.DUMMYFUNCTION("""COMPUTED_VALUE"""),19200)</f>
        <v>19200</v>
      </c>
      <c r="K454" s="2">
        <f ca="1">IFERROR(__xludf.DUMMYFUNCTION("""COMPUTED_VALUE"""),44200)</f>
        <v>44200</v>
      </c>
      <c r="L454" s="2" t="str">
        <f ca="1">IFERROR(__xludf.DUMMYFUNCTION("""COMPUTED_VALUE"""),"82a7be03")</f>
        <v>82a7be03</v>
      </c>
      <c r="M454" s="2" t="str">
        <f ca="1">IFERROR(__xludf.DUMMYFUNCTION("""COMPUTED_VALUE"""),"Cabernet Sauvignon")</f>
        <v>Cabernet Sauvignon</v>
      </c>
      <c r="N454" s="2" t="str">
        <f ca="1">IFERROR(__xludf.DUMMYFUNCTION("""COMPUTED_VALUE"""),"Gota")</f>
        <v>Gota</v>
      </c>
      <c r="O454" s="2" t="str">
        <f ca="1">IFERROR(__xludf.DUMMYFUNCTION("""COMPUTED_VALUE"""),"Fermentando")</f>
        <v>Fermentando</v>
      </c>
      <c r="P454" s="2" t="str">
        <f ca="1">IFERROR(__xludf.DUMMYFUNCTION("""COMPUTED_VALUE"""),"Descubada")</f>
        <v>Descubada</v>
      </c>
      <c r="Q454" s="2" t="b">
        <f ca="1">IFERROR(__xludf.DUMMYFUNCTION("""COMPUTED_VALUE"""),TRUE)</f>
        <v>1</v>
      </c>
      <c r="R454" s="2" t="str">
        <f ca="1">IFERROR(__xludf.DUMMYFUNCTION("""COMPUTED_VALUE"""),"Descubada")</f>
        <v>Descubada</v>
      </c>
      <c r="S454" s="2"/>
      <c r="T454" s="2"/>
      <c r="U454" s="2"/>
    </row>
    <row r="455" spans="1:21" x14ac:dyDescent="0.25">
      <c r="A455" s="2" t="str">
        <f ca="1">IFERROR(__xludf.DUMMYFUNCTION("""COMPUTED_VALUE"""),"4fef8a3a")</f>
        <v>4fef8a3a</v>
      </c>
      <c r="B455" s="5">
        <f ca="1">IFERROR(__xludf.DUMMYFUNCTION("""COMPUTED_VALUE"""),45769.7145023148)</f>
        <v>45769.714502314797</v>
      </c>
      <c r="C455" s="2" t="str">
        <f ca="1">IFERROR(__xludf.DUMMYFUNCTION("""COMPUTED_VALUE"""),"b87310b3")</f>
        <v>b87310b3</v>
      </c>
      <c r="D455" s="2">
        <f ca="1">IFERROR(__xludf.DUMMYFUNCTION("""COMPUTED_VALUE"""),66)</f>
        <v>66</v>
      </c>
      <c r="E455" s="2" t="str">
        <f ca="1">IFERROR(__xludf.DUMMYFUNCTION("""COMPUTED_VALUE"""),"Cabernet Sauvignon sin Rect")</f>
        <v>Cabernet Sauvignon sin Rect</v>
      </c>
      <c r="F455" s="2">
        <f ca="1">IFERROR(__xludf.DUMMYFUNCTION("""COMPUTED_VALUE"""),12000)</f>
        <v>12000</v>
      </c>
      <c r="G455" s="2">
        <f ca="1">IFERROR(__xludf.DUMMYFUNCTION("""COMPUTED_VALUE"""),89)</f>
        <v>89</v>
      </c>
      <c r="H455" s="2" t="str">
        <f ca="1">IFERROR(__xludf.DUMMYFUNCTION("""COMPUTED_VALUE"""),"82a7be03")</f>
        <v>82a7be03</v>
      </c>
      <c r="I455" s="2" t="str">
        <f ca="1">IFERROR(__xludf.DUMMYFUNCTION("""COMPUTED_VALUE"""),"Cabernet Sauvignon")</f>
        <v>Cabernet Sauvignon</v>
      </c>
      <c r="J455" s="2">
        <f ca="1">IFERROR(__xludf.DUMMYFUNCTION("""COMPUTED_VALUE"""),44200)</f>
        <v>44200</v>
      </c>
      <c r="K455" s="2">
        <f ca="1">IFERROR(__xludf.DUMMYFUNCTION("""COMPUTED_VALUE"""),56200)</f>
        <v>56200</v>
      </c>
      <c r="L455" s="2" t="str">
        <f ca="1">IFERROR(__xludf.DUMMYFUNCTION("""COMPUTED_VALUE"""),"b9fc1e21")</f>
        <v>b9fc1e21</v>
      </c>
      <c r="M455" s="2" t="str">
        <f ca="1">IFERROR(__xludf.DUMMYFUNCTION("""COMPUTED_VALUE"""),"Cabernet Sauvignon")</f>
        <v>Cabernet Sauvignon</v>
      </c>
      <c r="N455" s="2" t="str">
        <f ca="1">IFERROR(__xludf.DUMMYFUNCTION("""COMPUTED_VALUE"""),"descube gota")</f>
        <v>descube gota</v>
      </c>
      <c r="O455" s="2" t="str">
        <f ca="1">IFERROR(__xludf.DUMMYFUNCTION("""COMPUTED_VALUE"""),"Fermentando")</f>
        <v>Fermentando</v>
      </c>
      <c r="P455" s="2" t="str">
        <f ca="1">IFERROR(__xludf.DUMMYFUNCTION("""COMPUTED_VALUE"""),"Descubada")</f>
        <v>Descubada</v>
      </c>
      <c r="Q455" s="2" t="b">
        <f ca="1">IFERROR(__xludf.DUMMYFUNCTION("""COMPUTED_VALUE"""),TRUE)</f>
        <v>1</v>
      </c>
      <c r="R455" s="2" t="str">
        <f ca="1">IFERROR(__xludf.DUMMYFUNCTION("""COMPUTED_VALUE"""),"Descubada")</f>
        <v>Descubada</v>
      </c>
      <c r="S455" s="2"/>
      <c r="T455" s="2"/>
      <c r="U455" s="2"/>
    </row>
    <row r="456" spans="1:21" x14ac:dyDescent="0.25">
      <c r="A456" s="2" t="str">
        <f ca="1">IFERROR(__xludf.DUMMYFUNCTION("""COMPUTED_VALUE"""),"54643afb")</f>
        <v>54643afb</v>
      </c>
      <c r="B456" s="5">
        <f ca="1">IFERROR(__xludf.DUMMYFUNCTION("""COMPUTED_VALUE"""),45769.7152546296)</f>
        <v>45769.715254629598</v>
      </c>
      <c r="C456" s="2" t="str">
        <f ca="1">IFERROR(__xludf.DUMMYFUNCTION("""COMPUTED_VALUE"""),"b9461082")</f>
        <v>b9461082</v>
      </c>
      <c r="D456" s="2">
        <f ca="1">IFERROR(__xludf.DUMMYFUNCTION("""COMPUTED_VALUE"""),67)</f>
        <v>67</v>
      </c>
      <c r="E456" s="2" t="str">
        <f ca="1">IFERROR(__xludf.DUMMYFUNCTION("""COMPUTED_VALUE"""),"Cabernet Sauvignon sin Rect")</f>
        <v>Cabernet Sauvignon sin Rect</v>
      </c>
      <c r="F456" s="2">
        <f ca="1">IFERROR(__xludf.DUMMYFUNCTION("""COMPUTED_VALUE"""),16500)</f>
        <v>16500</v>
      </c>
      <c r="G456" s="2">
        <f ca="1">IFERROR(__xludf.DUMMYFUNCTION("""COMPUTED_VALUE"""),89)</f>
        <v>89</v>
      </c>
      <c r="H456" s="2" t="str">
        <f ca="1">IFERROR(__xludf.DUMMYFUNCTION("""COMPUTED_VALUE"""),"b9fc1e21")</f>
        <v>b9fc1e21</v>
      </c>
      <c r="I456" s="2" t="str">
        <f ca="1">IFERROR(__xludf.DUMMYFUNCTION("""COMPUTED_VALUE"""),"Cabernet Sauvignon")</f>
        <v>Cabernet Sauvignon</v>
      </c>
      <c r="J456" s="2">
        <f ca="1">IFERROR(__xludf.DUMMYFUNCTION("""COMPUTED_VALUE"""),56200)</f>
        <v>56200</v>
      </c>
      <c r="K456" s="2">
        <f ca="1">IFERROR(__xludf.DUMMYFUNCTION("""COMPUTED_VALUE"""),72700)</f>
        <v>72700</v>
      </c>
      <c r="L456" s="2" t="str">
        <f ca="1">IFERROR(__xludf.DUMMYFUNCTION("""COMPUTED_VALUE"""),"51f2e92d")</f>
        <v>51f2e92d</v>
      </c>
      <c r="M456" s="2" t="str">
        <f ca="1">IFERROR(__xludf.DUMMYFUNCTION("""COMPUTED_VALUE"""),"Cabernet Sauvignon")</f>
        <v>Cabernet Sauvignon</v>
      </c>
      <c r="N456" s="2" t="str">
        <f ca="1">IFERROR(__xludf.DUMMYFUNCTION("""COMPUTED_VALUE"""),"decube gota")</f>
        <v>decube gota</v>
      </c>
      <c r="O456" s="2" t="str">
        <f ca="1">IFERROR(__xludf.DUMMYFUNCTION("""COMPUTED_VALUE"""),"Fermentando")</f>
        <v>Fermentando</v>
      </c>
      <c r="P456" s="2" t="str">
        <f ca="1">IFERROR(__xludf.DUMMYFUNCTION("""COMPUTED_VALUE"""),"Descubada")</f>
        <v>Descubada</v>
      </c>
      <c r="Q456" s="2" t="b">
        <f ca="1">IFERROR(__xludf.DUMMYFUNCTION("""COMPUTED_VALUE"""),TRUE)</f>
        <v>1</v>
      </c>
      <c r="R456" s="2" t="str">
        <f ca="1">IFERROR(__xludf.DUMMYFUNCTION("""COMPUTED_VALUE"""),"Descubada")</f>
        <v>Descubada</v>
      </c>
      <c r="S456" s="2"/>
      <c r="T456" s="2"/>
      <c r="U456" s="2"/>
    </row>
    <row r="457" spans="1:21" x14ac:dyDescent="0.25">
      <c r="A457" s="2" t="str">
        <f ca="1">IFERROR(__xludf.DUMMYFUNCTION("""COMPUTED_VALUE"""),"25fb6238")</f>
        <v>25fb6238</v>
      </c>
      <c r="B457" s="5">
        <f ca="1">IFERROR(__xludf.DUMMYFUNCTION("""COMPUTED_VALUE"""),45769.7162037037)</f>
        <v>45769.716203703698</v>
      </c>
      <c r="C457" s="2" t="str">
        <f ca="1">IFERROR(__xludf.DUMMYFUNCTION("""COMPUTED_VALUE"""),"254dce3b")</f>
        <v>254dce3b</v>
      </c>
      <c r="D457" s="2">
        <f ca="1">IFERROR(__xludf.DUMMYFUNCTION("""COMPUTED_VALUE"""),79)</f>
        <v>79</v>
      </c>
      <c r="E457" s="2" t="str">
        <f ca="1">IFERROR(__xludf.DUMMYFUNCTION("""COMPUTED_VALUE"""),"Cabernet Sauv")</f>
        <v>Cabernet Sauv</v>
      </c>
      <c r="F457" s="2">
        <f ca="1">IFERROR(__xludf.DUMMYFUNCTION("""COMPUTED_VALUE"""),10800)</f>
        <v>10800</v>
      </c>
      <c r="G457" s="2">
        <f ca="1">IFERROR(__xludf.DUMMYFUNCTION("""COMPUTED_VALUE"""),89)</f>
        <v>89</v>
      </c>
      <c r="H457" s="2" t="str">
        <f ca="1">IFERROR(__xludf.DUMMYFUNCTION("""COMPUTED_VALUE"""),"51f2e92d")</f>
        <v>51f2e92d</v>
      </c>
      <c r="I457" s="2" t="str">
        <f ca="1">IFERROR(__xludf.DUMMYFUNCTION("""COMPUTED_VALUE"""),"Cabernet Sauvignon")</f>
        <v>Cabernet Sauvignon</v>
      </c>
      <c r="J457" s="2">
        <f ca="1">IFERROR(__xludf.DUMMYFUNCTION("""COMPUTED_VALUE"""),72700)</f>
        <v>72700</v>
      </c>
      <c r="K457" s="2">
        <f ca="1">IFERROR(__xludf.DUMMYFUNCTION("""COMPUTED_VALUE"""),83500)</f>
        <v>83500</v>
      </c>
      <c r="L457" s="2" t="str">
        <f ca="1">IFERROR(__xludf.DUMMYFUNCTION("""COMPUTED_VALUE"""),"47825ff1")</f>
        <v>47825ff1</v>
      </c>
      <c r="M457" s="2" t="str">
        <f ca="1">IFERROR(__xludf.DUMMYFUNCTION("""COMPUTED_VALUE"""),"Cabernet Sauvignon")</f>
        <v>Cabernet Sauvignon</v>
      </c>
      <c r="N457" s="2" t="str">
        <f ca="1">IFERROR(__xludf.DUMMYFUNCTION("""COMPUTED_VALUE"""),"descibe gota")</f>
        <v>descibe gota</v>
      </c>
      <c r="O457" s="2" t="str">
        <f ca="1">IFERROR(__xludf.DUMMYFUNCTION("""COMPUTED_VALUE"""),"Fermentando")</f>
        <v>Fermentando</v>
      </c>
      <c r="P457" s="2" t="str">
        <f ca="1">IFERROR(__xludf.DUMMYFUNCTION("""COMPUTED_VALUE"""),"Descubada")</f>
        <v>Descubada</v>
      </c>
      <c r="Q457" s="2" t="b">
        <f ca="1">IFERROR(__xludf.DUMMYFUNCTION("""COMPUTED_VALUE"""),TRUE)</f>
        <v>1</v>
      </c>
      <c r="R457" s="2" t="str">
        <f ca="1">IFERROR(__xludf.DUMMYFUNCTION("""COMPUTED_VALUE"""),"Descubada")</f>
        <v>Descubada</v>
      </c>
      <c r="S457" s="2"/>
      <c r="T457" s="2"/>
      <c r="U457" s="2"/>
    </row>
    <row r="458" spans="1:21" x14ac:dyDescent="0.25">
      <c r="A458" s="2" t="str">
        <f ca="1">IFERROR(__xludf.DUMMYFUNCTION("""COMPUTED_VALUE"""),"a1351ff3")</f>
        <v>a1351ff3</v>
      </c>
      <c r="B458" s="5">
        <f ca="1">IFERROR(__xludf.DUMMYFUNCTION("""COMPUTED_VALUE"""),45769.7167939814)</f>
        <v>45769.716793981403</v>
      </c>
      <c r="C458" s="2" t="str">
        <f ca="1">IFERROR(__xludf.DUMMYFUNCTION("""COMPUTED_VALUE"""),"db841e43")</f>
        <v>db841e43</v>
      </c>
      <c r="D458" s="2">
        <f ca="1">IFERROR(__xludf.DUMMYFUNCTION("""COMPUTED_VALUE"""),82)</f>
        <v>82</v>
      </c>
      <c r="E458" s="2" t="str">
        <f ca="1">IFERROR(__xludf.DUMMYFUNCTION("""COMPUTED_VALUE"""),"Malbec")</f>
        <v>Malbec</v>
      </c>
      <c r="F458" s="2">
        <f ca="1">IFERROR(__xludf.DUMMYFUNCTION("""COMPUTED_VALUE"""),8000)</f>
        <v>8000</v>
      </c>
      <c r="G458" s="2">
        <f ca="1">IFERROR(__xludf.DUMMYFUNCTION("""COMPUTED_VALUE"""),80)</f>
        <v>80</v>
      </c>
      <c r="H458" s="2"/>
      <c r="I458" s="2"/>
      <c r="J458" s="2">
        <f ca="1">IFERROR(__xludf.DUMMYFUNCTION("""COMPUTED_VALUE"""),0)</f>
        <v>0</v>
      </c>
      <c r="K458" s="2">
        <f ca="1">IFERROR(__xludf.DUMMYFUNCTION("""COMPUTED_VALUE"""),8000)</f>
        <v>8000</v>
      </c>
      <c r="L458" s="2" t="str">
        <f ca="1">IFERROR(__xludf.DUMMYFUNCTION("""COMPUTED_VALUE"""),"d6e77ca9")</f>
        <v>d6e77ca9</v>
      </c>
      <c r="M458" s="2" t="str">
        <f ca="1">IFERROR(__xludf.DUMMYFUNCTION("""COMPUTED_VALUE"""),"Malbec Prensa")</f>
        <v>Malbec Prensa</v>
      </c>
      <c r="N458" s="2"/>
      <c r="O458" s="2" t="str">
        <f ca="1">IFERROR(__xludf.DUMMYFUNCTION("""COMPUTED_VALUE"""),"Fermentando")</f>
        <v>Fermentando</v>
      </c>
      <c r="P458" s="2"/>
      <c r="Q458" s="2" t="b">
        <f ca="1">IFERROR(__xludf.DUMMYFUNCTION("""COMPUTED_VALUE"""),FALSE)</f>
        <v>0</v>
      </c>
      <c r="R458" s="2" t="str">
        <f ca="1">IFERROR(__xludf.DUMMYFUNCTION("""COMPUTED_VALUE"""),"Descubada")</f>
        <v>Descubada</v>
      </c>
      <c r="S458" s="2"/>
      <c r="T458" s="2"/>
      <c r="U458" s="2"/>
    </row>
    <row r="459" spans="1:21" x14ac:dyDescent="0.25">
      <c r="A459" s="2" t="str">
        <f ca="1">IFERROR(__xludf.DUMMYFUNCTION("""COMPUTED_VALUE"""),"5b57d424")</f>
        <v>5b57d424</v>
      </c>
      <c r="B459" s="5">
        <f ca="1">IFERROR(__xludf.DUMMYFUNCTION("""COMPUTED_VALUE"""),45769.7174305555)</f>
        <v>45769.717430555502</v>
      </c>
      <c r="C459" s="2" t="str">
        <f ca="1">IFERROR(__xludf.DUMMYFUNCTION("""COMPUTED_VALUE"""),"b87310b3")</f>
        <v>b87310b3</v>
      </c>
      <c r="D459" s="2">
        <f ca="1">IFERROR(__xludf.DUMMYFUNCTION("""COMPUTED_VALUE"""),66)</f>
        <v>66</v>
      </c>
      <c r="E459" s="2" t="str">
        <f ca="1">IFERROR(__xludf.DUMMYFUNCTION("""COMPUTED_VALUE"""),"Cabernet Sauvignon sin Rect")</f>
        <v>Cabernet Sauvignon sin Rect</v>
      </c>
      <c r="F459" s="2">
        <f ca="1">IFERROR(__xludf.DUMMYFUNCTION("""COMPUTED_VALUE"""),5600)</f>
        <v>5600</v>
      </c>
      <c r="G459" s="2">
        <f ca="1">IFERROR(__xludf.DUMMYFUNCTION("""COMPUTED_VALUE"""),80)</f>
        <v>80</v>
      </c>
      <c r="H459" s="2" t="str">
        <f ca="1">IFERROR(__xludf.DUMMYFUNCTION("""COMPUTED_VALUE"""),"d6e77ca9")</f>
        <v>d6e77ca9</v>
      </c>
      <c r="I459" s="2" t="str">
        <f ca="1">IFERROR(__xludf.DUMMYFUNCTION("""COMPUTED_VALUE"""),"Malbec Prensa")</f>
        <v>Malbec Prensa</v>
      </c>
      <c r="J459" s="2">
        <f ca="1">IFERROR(__xludf.DUMMYFUNCTION("""COMPUTED_VALUE"""),8000)</f>
        <v>8000</v>
      </c>
      <c r="K459" s="2">
        <f ca="1">IFERROR(__xludf.DUMMYFUNCTION("""COMPUTED_VALUE"""),13600)</f>
        <v>13600</v>
      </c>
      <c r="L459" s="2" t="str">
        <f ca="1">IFERROR(__xludf.DUMMYFUNCTION("""COMPUTED_VALUE"""),"1a2c1684")</f>
        <v>1a2c1684</v>
      </c>
      <c r="M459" s="2" t="str">
        <f ca="1">IFERROR(__xludf.DUMMYFUNCTION("""COMPUTED_VALUE"""),"Cabernet Sauvignon prensa")</f>
        <v>Cabernet Sauvignon prensa</v>
      </c>
      <c r="N459" s="2"/>
      <c r="O459" s="2" t="str">
        <f ca="1">IFERROR(__xludf.DUMMYFUNCTION("""COMPUTED_VALUE"""),"Fermentando")</f>
        <v>Fermentando</v>
      </c>
      <c r="P459" s="2" t="str">
        <f ca="1">IFERROR(__xludf.DUMMYFUNCTION("""COMPUTED_VALUE"""),"Descubada")</f>
        <v>Descubada</v>
      </c>
      <c r="Q459" s="2" t="b">
        <f ca="1">IFERROR(__xludf.DUMMYFUNCTION("""COMPUTED_VALUE"""),FALSE)</f>
        <v>0</v>
      </c>
      <c r="R459" s="2" t="str">
        <f ca="1">IFERROR(__xludf.DUMMYFUNCTION("""COMPUTED_VALUE"""),"Fermentando")</f>
        <v>Fermentando</v>
      </c>
      <c r="S459" s="2"/>
      <c r="T459" s="2"/>
      <c r="U459" s="2"/>
    </row>
    <row r="460" spans="1:21" x14ac:dyDescent="0.25">
      <c r="A460" s="2" t="str">
        <f ca="1">IFERROR(__xludf.DUMMYFUNCTION("""COMPUTED_VALUE"""),"3600ec75")</f>
        <v>3600ec75</v>
      </c>
      <c r="B460" s="5">
        <f ca="1">IFERROR(__xludf.DUMMYFUNCTION("""COMPUTED_VALUE"""),45769.7180208333)</f>
        <v>45769.718020833301</v>
      </c>
      <c r="C460" s="2" t="str">
        <f ca="1">IFERROR(__xludf.DUMMYFUNCTION("""COMPUTED_VALUE"""),"b9461082")</f>
        <v>b9461082</v>
      </c>
      <c r="D460" s="2">
        <f ca="1">IFERROR(__xludf.DUMMYFUNCTION("""COMPUTED_VALUE"""),67)</f>
        <v>67</v>
      </c>
      <c r="E460" s="2" t="str">
        <f ca="1">IFERROR(__xludf.DUMMYFUNCTION("""COMPUTED_VALUE"""),"Cabernet Sauvignon sin Rect")</f>
        <v>Cabernet Sauvignon sin Rect</v>
      </c>
      <c r="F460" s="2">
        <f ca="1">IFERROR(__xludf.DUMMYFUNCTION("""COMPUTED_VALUE"""),6300)</f>
        <v>6300</v>
      </c>
      <c r="G460" s="2">
        <f ca="1">IFERROR(__xludf.DUMMYFUNCTION("""COMPUTED_VALUE"""),80)</f>
        <v>80</v>
      </c>
      <c r="H460" s="2" t="str">
        <f ca="1">IFERROR(__xludf.DUMMYFUNCTION("""COMPUTED_VALUE"""),"1a2c1684")</f>
        <v>1a2c1684</v>
      </c>
      <c r="I460" s="2" t="str">
        <f ca="1">IFERROR(__xludf.DUMMYFUNCTION("""COMPUTED_VALUE"""),"Cabernet Sauvignon prensa")</f>
        <v>Cabernet Sauvignon prensa</v>
      </c>
      <c r="J460" s="2">
        <f ca="1">IFERROR(__xludf.DUMMYFUNCTION("""COMPUTED_VALUE"""),13600)</f>
        <v>13600</v>
      </c>
      <c r="K460" s="2">
        <f ca="1">IFERROR(__xludf.DUMMYFUNCTION("""COMPUTED_VALUE"""),19900)</f>
        <v>19900</v>
      </c>
      <c r="L460" s="2" t="str">
        <f ca="1">IFERROR(__xludf.DUMMYFUNCTION("""COMPUTED_VALUE"""),"ffa53251")</f>
        <v>ffa53251</v>
      </c>
      <c r="M460" s="2" t="str">
        <f ca="1">IFERROR(__xludf.DUMMYFUNCTION("""COMPUTED_VALUE"""),"Cabernet Sauvignon prensa")</f>
        <v>Cabernet Sauvignon prensa</v>
      </c>
      <c r="N460" s="2"/>
      <c r="O460" s="2" t="str">
        <f ca="1">IFERROR(__xludf.DUMMYFUNCTION("""COMPUTED_VALUE"""),"Fermentando")</f>
        <v>Fermentando</v>
      </c>
      <c r="P460" s="2" t="str">
        <f ca="1">IFERROR(__xludf.DUMMYFUNCTION("""COMPUTED_VALUE"""),"Fermentando")</f>
        <v>Fermentando</v>
      </c>
      <c r="Q460" s="2" t="b">
        <f ca="1">IFERROR(__xludf.DUMMYFUNCTION("""COMPUTED_VALUE"""),TRUE)</f>
        <v>1</v>
      </c>
      <c r="R460" s="2" t="str">
        <f ca="1">IFERROR(__xludf.DUMMYFUNCTION("""COMPUTED_VALUE"""),"Fermentando")</f>
        <v>Fermentando</v>
      </c>
      <c r="S460" s="2"/>
      <c r="T460" s="2"/>
      <c r="U460" s="2"/>
    </row>
    <row r="461" spans="1:21" x14ac:dyDescent="0.25">
      <c r="A461" s="2" t="str">
        <f ca="1">IFERROR(__xludf.DUMMYFUNCTION("""COMPUTED_VALUE"""),"7597f9c4")</f>
        <v>7597f9c4</v>
      </c>
      <c r="B461" s="5">
        <f ca="1">IFERROR(__xludf.DUMMYFUNCTION("""COMPUTED_VALUE"""),45769.7182986111)</f>
        <v>45769.7182986111</v>
      </c>
      <c r="C461" s="2" t="str">
        <f ca="1">IFERROR(__xludf.DUMMYFUNCTION("""COMPUTED_VALUE"""),"254dce3b")</f>
        <v>254dce3b</v>
      </c>
      <c r="D461" s="2">
        <f ca="1">IFERROR(__xludf.DUMMYFUNCTION("""COMPUTED_VALUE"""),79)</f>
        <v>79</v>
      </c>
      <c r="E461" s="2" t="str">
        <f ca="1">IFERROR(__xludf.DUMMYFUNCTION("""COMPUTED_VALUE"""),"Cabernet Sauv")</f>
        <v>Cabernet Sauv</v>
      </c>
      <c r="F461" s="2">
        <f ca="1">IFERROR(__xludf.DUMMYFUNCTION("""COMPUTED_VALUE"""),6200)</f>
        <v>6200</v>
      </c>
      <c r="G461" s="2">
        <f ca="1">IFERROR(__xludf.DUMMYFUNCTION("""COMPUTED_VALUE"""),80)</f>
        <v>80</v>
      </c>
      <c r="H461" s="2" t="str">
        <f ca="1">IFERROR(__xludf.DUMMYFUNCTION("""COMPUTED_VALUE"""),"ffa53251")</f>
        <v>ffa53251</v>
      </c>
      <c r="I461" s="2" t="str">
        <f ca="1">IFERROR(__xludf.DUMMYFUNCTION("""COMPUTED_VALUE"""),"Cabernet Sauvignon prensa")</f>
        <v>Cabernet Sauvignon prensa</v>
      </c>
      <c r="J461" s="2">
        <f ca="1">IFERROR(__xludf.DUMMYFUNCTION("""COMPUTED_VALUE"""),19900)</f>
        <v>19900</v>
      </c>
      <c r="K461" s="2">
        <f ca="1">IFERROR(__xludf.DUMMYFUNCTION("""COMPUTED_VALUE"""),26100)</f>
        <v>26100</v>
      </c>
      <c r="L461" s="2" t="str">
        <f ca="1">IFERROR(__xludf.DUMMYFUNCTION("""COMPUTED_VALUE"""),"31f824a6")</f>
        <v>31f824a6</v>
      </c>
      <c r="M461" s="2" t="str">
        <f ca="1">IFERROR(__xludf.DUMMYFUNCTION("""COMPUTED_VALUE"""),"Cabernet Sauvignon prensa")</f>
        <v>Cabernet Sauvignon prensa</v>
      </c>
      <c r="N461" s="2" t="str">
        <f ca="1">IFERROR(__xludf.DUMMYFUNCTION("""COMPUTED_VALUE"""),"Prensa")</f>
        <v>Prensa</v>
      </c>
      <c r="O461" s="2" t="str">
        <f ca="1">IFERROR(__xludf.DUMMYFUNCTION("""COMPUTED_VALUE"""),"Fermentando")</f>
        <v>Fermentando</v>
      </c>
      <c r="P461" s="2" t="str">
        <f ca="1">IFERROR(__xludf.DUMMYFUNCTION("""COMPUTED_VALUE"""),"Fermentando")</f>
        <v>Fermentando</v>
      </c>
      <c r="Q461" s="2" t="b">
        <f ca="1">IFERROR(__xludf.DUMMYFUNCTION("""COMPUTED_VALUE"""),TRUE)</f>
        <v>1</v>
      </c>
      <c r="R461" s="2" t="str">
        <f ca="1">IFERROR(__xludf.DUMMYFUNCTION("""COMPUTED_VALUE"""),"Fermentando")</f>
        <v>Fermentando</v>
      </c>
      <c r="S461" s="2"/>
      <c r="T461" s="2"/>
      <c r="U461" s="2"/>
    </row>
    <row r="462" spans="1:21" x14ac:dyDescent="0.25">
      <c r="A462" s="2" t="str">
        <f ca="1">IFERROR(__xludf.DUMMYFUNCTION("""COMPUTED_VALUE"""),"c01b1f66")</f>
        <v>c01b1f66</v>
      </c>
      <c r="B462" s="5">
        <f ca="1">IFERROR(__xludf.DUMMYFUNCTION("""COMPUTED_VALUE"""),45769.718912037)</f>
        <v>45769.718912037002</v>
      </c>
      <c r="C462" s="2" t="str">
        <f ca="1">IFERROR(__xludf.DUMMYFUNCTION("""COMPUTED_VALUE"""),"254dce3b")</f>
        <v>254dce3b</v>
      </c>
      <c r="D462" s="2">
        <f ca="1">IFERROR(__xludf.DUMMYFUNCTION("""COMPUTED_VALUE"""),79)</f>
        <v>79</v>
      </c>
      <c r="E462" s="2" t="str">
        <f ca="1">IFERROR(__xludf.DUMMYFUNCTION("""COMPUTED_VALUE"""),"Cabernet Sauv")</f>
        <v>Cabernet Sauv</v>
      </c>
      <c r="F462" s="2">
        <f ca="1">IFERROR(__xludf.DUMMYFUNCTION("""COMPUTED_VALUE"""),2200)</f>
        <v>2200</v>
      </c>
      <c r="G462" s="2">
        <f ca="1">IFERROR(__xludf.DUMMYFUNCTION("""COMPUTED_VALUE"""),935)</f>
        <v>935</v>
      </c>
      <c r="H462" s="2" t="str">
        <f ca="1">IFERROR(__xludf.DUMMYFUNCTION("""COMPUTED_VALUE"""),"4c9ff21e")</f>
        <v>4c9ff21e</v>
      </c>
      <c r="I462" s="2" t="str">
        <f ca="1">IFERROR(__xludf.DUMMYFUNCTION("""COMPUTED_VALUE"""),"Borra")</f>
        <v>Borra</v>
      </c>
      <c r="J462" s="2">
        <f ca="1">IFERROR(__xludf.DUMMYFUNCTION("""COMPUTED_VALUE"""),9000)</f>
        <v>9000</v>
      </c>
      <c r="K462" s="2">
        <f ca="1">IFERROR(__xludf.DUMMYFUNCTION("""COMPUTED_VALUE"""),11200)</f>
        <v>11200</v>
      </c>
      <c r="L462" s="2" t="str">
        <f ca="1">IFERROR(__xludf.DUMMYFUNCTION("""COMPUTED_VALUE"""),"837659aa")</f>
        <v>837659aa</v>
      </c>
      <c r="M462" s="2" t="str">
        <f ca="1">IFERROR(__xludf.DUMMYFUNCTION("""COMPUTED_VALUE"""),"Borra")</f>
        <v>Borra</v>
      </c>
      <c r="N462" s="2"/>
      <c r="O462" s="2" t="str">
        <f ca="1">IFERROR(__xludf.DUMMYFUNCTION("""COMPUTED_VALUE"""),"Fermentando")</f>
        <v>Fermentando</v>
      </c>
      <c r="P462" s="2" t="str">
        <f ca="1">IFERROR(__xludf.DUMMYFUNCTION("""COMPUTED_VALUE"""),"Descubada")</f>
        <v>Descubada</v>
      </c>
      <c r="Q462" s="2" t="b">
        <f ca="1">IFERROR(__xludf.DUMMYFUNCTION("""COMPUTED_VALUE"""),TRUE)</f>
        <v>1</v>
      </c>
      <c r="R462" s="2" t="str">
        <f ca="1">IFERROR(__xludf.DUMMYFUNCTION("""COMPUTED_VALUE"""),"Descubada")</f>
        <v>Descubada</v>
      </c>
      <c r="S462" s="2"/>
      <c r="T462" s="2"/>
      <c r="U462" s="2"/>
    </row>
    <row r="463" spans="1:21" x14ac:dyDescent="0.25">
      <c r="A463" s="2" t="str">
        <f ca="1">IFERROR(__xludf.DUMMYFUNCTION("""COMPUTED_VALUE"""),"f9b90b86")</f>
        <v>f9b90b86</v>
      </c>
      <c r="B463" s="5">
        <f ca="1">IFERROR(__xludf.DUMMYFUNCTION("""COMPUTED_VALUE"""),45769.7191550925)</f>
        <v>45769.719155092498</v>
      </c>
      <c r="C463" s="2" t="str">
        <f ca="1">IFERROR(__xludf.DUMMYFUNCTION("""COMPUTED_VALUE"""),"254dce3b")</f>
        <v>254dce3b</v>
      </c>
      <c r="D463" s="2">
        <f ca="1">IFERROR(__xludf.DUMMYFUNCTION("""COMPUTED_VALUE"""),79)</f>
        <v>79</v>
      </c>
      <c r="E463" s="2" t="str">
        <f ca="1">IFERROR(__xludf.DUMMYFUNCTION("""COMPUTED_VALUE"""),"Cabernet Sauv")</f>
        <v>Cabernet Sauv</v>
      </c>
      <c r="F463" s="2">
        <f ca="1">IFERROR(__xludf.DUMMYFUNCTION("""COMPUTED_VALUE"""),1400)</f>
        <v>1400</v>
      </c>
      <c r="G463" s="2">
        <f ca="1">IFERROR(__xludf.DUMMYFUNCTION("""COMPUTED_VALUE"""),500)</f>
        <v>500</v>
      </c>
      <c r="H463" s="2" t="str">
        <f ca="1">IFERROR(__xludf.DUMMYFUNCTION("""COMPUTED_VALUE"""),"d1326da2")</f>
        <v>d1326da2</v>
      </c>
      <c r="I463" s="2" t="str">
        <f ca="1">IFERROR(__xludf.DUMMYFUNCTION("""COMPUTED_VALUE"""),"Ajuste semana 22/04/25")</f>
        <v>Ajuste semana 22/04/25</v>
      </c>
      <c r="J463" s="2">
        <f ca="1">IFERROR(__xludf.DUMMYFUNCTION("""COMPUTED_VALUE"""),25001)</f>
        <v>25001</v>
      </c>
      <c r="K463" s="2">
        <f ca="1">IFERROR(__xludf.DUMMYFUNCTION("""COMPUTED_VALUE"""),26401)</f>
        <v>26401</v>
      </c>
      <c r="L463" s="2" t="str">
        <f ca="1">IFERROR(__xludf.DUMMYFUNCTION("""COMPUTED_VALUE"""),"883b82dd")</f>
        <v>883b82dd</v>
      </c>
      <c r="M463" s="2" t="str">
        <f ca="1">IFERROR(__xludf.DUMMYFUNCTION("""COMPUTED_VALUE"""),"Ajuste semana 22/04/25")</f>
        <v>Ajuste semana 22/04/25</v>
      </c>
      <c r="N463" s="2"/>
      <c r="O463" s="2" t="str">
        <f ca="1">IFERROR(__xludf.DUMMYFUNCTION("""COMPUTED_VALUE"""),"Fermentando")</f>
        <v>Fermentando</v>
      </c>
      <c r="P463" s="2"/>
      <c r="Q463" s="2" t="b">
        <f ca="1">IFERROR(__xludf.DUMMYFUNCTION("""COMPUTED_VALUE"""),TRUE)</f>
        <v>1</v>
      </c>
      <c r="R463" s="2"/>
      <c r="S463" s="2"/>
      <c r="T463" s="2"/>
      <c r="U463" s="2"/>
    </row>
    <row r="464" spans="1:21" x14ac:dyDescent="0.25">
      <c r="A464" s="2" t="str">
        <f ca="1">IFERROR(__xludf.DUMMYFUNCTION("""COMPUTED_VALUE"""),"c3eb52cc")</f>
        <v>c3eb52cc</v>
      </c>
      <c r="B464" s="5">
        <f ca="1">IFERROR(__xludf.DUMMYFUNCTION("""COMPUTED_VALUE"""),45770.7394444444)</f>
        <v>45770.7394444444</v>
      </c>
      <c r="C464" s="2" t="str">
        <f ca="1">IFERROR(__xludf.DUMMYFUNCTION("""COMPUTED_VALUE"""),"33a1ed47")</f>
        <v>33a1ed47</v>
      </c>
      <c r="D464" s="2">
        <f ca="1">IFERROR(__xludf.DUMMYFUNCTION("""COMPUTED_VALUE"""),90)</f>
        <v>90</v>
      </c>
      <c r="E464" s="2" t="str">
        <f ca="1">IFERROR(__xludf.DUMMYFUNCTION("""COMPUTED_VALUE"""),"Tinto s/Bonarda 2da")</f>
        <v>Tinto s/Bonarda 2da</v>
      </c>
      <c r="F464" s="2">
        <f ca="1">IFERROR(__xludf.DUMMYFUNCTION("""COMPUTED_VALUE"""),56700)</f>
        <v>56700</v>
      </c>
      <c r="G464" s="2">
        <f ca="1">IFERROR(__xludf.DUMMYFUNCTION("""COMPUTED_VALUE"""),95)</f>
        <v>95</v>
      </c>
      <c r="H464" s="2"/>
      <c r="I464" s="2"/>
      <c r="J464" s="2">
        <f ca="1">IFERROR(__xludf.DUMMYFUNCTION("""COMPUTED_VALUE"""),0)</f>
        <v>0</v>
      </c>
      <c r="K464" s="2">
        <f ca="1">IFERROR(__xludf.DUMMYFUNCTION("""COMPUTED_VALUE"""),56700)</f>
        <v>56700</v>
      </c>
      <c r="L464" s="2" t="str">
        <f ca="1">IFERROR(__xludf.DUMMYFUNCTION("""COMPUTED_VALUE"""),"64e4bdc2")</f>
        <v>64e4bdc2</v>
      </c>
      <c r="M464" s="2" t="str">
        <f ca="1">IFERROR(__xludf.DUMMYFUNCTION("""COMPUTED_VALUE"""),"Tinto s/Bonarda 2da")</f>
        <v>Tinto s/Bonarda 2da</v>
      </c>
      <c r="N464" s="2" t="str">
        <f ca="1">IFERROR(__xludf.DUMMYFUNCTION("""COMPUTED_VALUE"""),"Gota y Prensa")</f>
        <v>Gota y Prensa</v>
      </c>
      <c r="O464" s="2" t="str">
        <f ca="1">IFERROR(__xludf.DUMMYFUNCTION("""COMPUTED_VALUE"""),"Recarga Fermentando")</f>
        <v>Recarga Fermentando</v>
      </c>
      <c r="P464" s="2"/>
      <c r="Q464" s="2" t="b">
        <f ca="1">IFERROR(__xludf.DUMMYFUNCTION("""COMPUTED_VALUE"""),FALSE)</f>
        <v>0</v>
      </c>
      <c r="R464" s="2" t="str">
        <f ca="1">IFERROR(__xludf.DUMMYFUNCTION("""COMPUTED_VALUE"""),"Descubada")</f>
        <v>Descubada</v>
      </c>
      <c r="S464" s="2"/>
      <c r="T464" s="2"/>
      <c r="U464" s="2"/>
    </row>
    <row r="465" spans="1:21" x14ac:dyDescent="0.25">
      <c r="A465" s="2" t="str">
        <f ca="1">IFERROR(__xludf.DUMMYFUNCTION("""COMPUTED_VALUE"""),"dc52b6f0")</f>
        <v>dc52b6f0</v>
      </c>
      <c r="B465" s="5">
        <f ca="1">IFERROR(__xludf.DUMMYFUNCTION("""COMPUTED_VALUE"""),45770.7402430555)</f>
        <v>45770.740243055501</v>
      </c>
      <c r="C465" s="2" t="str">
        <f ca="1">IFERROR(__xludf.DUMMYFUNCTION("""COMPUTED_VALUE"""),"714d2433")</f>
        <v>714d2433</v>
      </c>
      <c r="D465" s="2">
        <f ca="1">IFERROR(__xludf.DUMMYFUNCTION("""COMPUTED_VALUE"""),86)</f>
        <v>86</v>
      </c>
      <c r="E465" s="2" t="str">
        <f ca="1">IFERROR(__xludf.DUMMYFUNCTION("""COMPUTED_VALUE"""),"Tinto s/Bonarda")</f>
        <v>Tinto s/Bonarda</v>
      </c>
      <c r="F465" s="2">
        <f ca="1">IFERROR(__xludf.DUMMYFUNCTION("""COMPUTED_VALUE"""),20400)</f>
        <v>20400</v>
      </c>
      <c r="G465" s="2">
        <f ca="1">IFERROR(__xludf.DUMMYFUNCTION("""COMPUTED_VALUE"""),95)</f>
        <v>95</v>
      </c>
      <c r="H465" s="2" t="str">
        <f ca="1">IFERROR(__xludf.DUMMYFUNCTION("""COMPUTED_VALUE"""),"64e4bdc2")</f>
        <v>64e4bdc2</v>
      </c>
      <c r="I465" s="2" t="str">
        <f ca="1">IFERROR(__xludf.DUMMYFUNCTION("""COMPUTED_VALUE"""),"Tinto s/Bonarda 2da")</f>
        <v>Tinto s/Bonarda 2da</v>
      </c>
      <c r="J465" s="2">
        <f ca="1">IFERROR(__xludf.DUMMYFUNCTION("""COMPUTED_VALUE"""),56700)</f>
        <v>56700</v>
      </c>
      <c r="K465" s="2">
        <f ca="1">IFERROR(__xludf.DUMMYFUNCTION("""COMPUTED_VALUE"""),77100)</f>
        <v>77100</v>
      </c>
      <c r="L465" s="2" t="str">
        <f ca="1">IFERROR(__xludf.DUMMYFUNCTION("""COMPUTED_VALUE"""),"e8b9aa9f")</f>
        <v>e8b9aa9f</v>
      </c>
      <c r="M465" s="2" t="str">
        <f ca="1">IFERROR(__xludf.DUMMYFUNCTION("""COMPUTED_VALUE"""),"Tinto s/Bonarda 2da")</f>
        <v>Tinto s/Bonarda 2da</v>
      </c>
      <c r="N465" s="2"/>
      <c r="O465" s="2" t="str">
        <f ca="1">IFERROR(__xludf.DUMMYFUNCTION("""COMPUTED_VALUE"""),"Recarga Fermentando")</f>
        <v>Recarga Fermentando</v>
      </c>
      <c r="P465" s="2" t="str">
        <f ca="1">IFERROR(__xludf.DUMMYFUNCTION("""COMPUTED_VALUE"""),"Descubada")</f>
        <v>Descubada</v>
      </c>
      <c r="Q465" s="2" t="b">
        <f ca="1">IFERROR(__xludf.DUMMYFUNCTION("""COMPUTED_VALUE"""),TRUE)</f>
        <v>1</v>
      </c>
      <c r="R465" s="2" t="str">
        <f ca="1">IFERROR(__xludf.DUMMYFUNCTION("""COMPUTED_VALUE"""),"Descubada")</f>
        <v>Descubada</v>
      </c>
      <c r="S465" s="2"/>
      <c r="T465" s="2"/>
      <c r="U465" s="2"/>
    </row>
    <row r="466" spans="1:21" x14ac:dyDescent="0.25">
      <c r="A466" s="2" t="str">
        <f ca="1">IFERROR(__xludf.DUMMYFUNCTION("""COMPUTED_VALUE"""),"087b013c")</f>
        <v>087b013c</v>
      </c>
      <c r="B466" s="5">
        <f ca="1">IFERROR(__xludf.DUMMYFUNCTION("""COMPUTED_VALUE"""),45770.7632060185)</f>
        <v>45770.763206018499</v>
      </c>
      <c r="C466" s="2" t="str">
        <f ca="1">IFERROR(__xludf.DUMMYFUNCTION("""COMPUTED_VALUE"""),"714d2433")</f>
        <v>714d2433</v>
      </c>
      <c r="D466" s="2">
        <f ca="1">IFERROR(__xludf.DUMMYFUNCTION("""COMPUTED_VALUE"""),86)</f>
        <v>86</v>
      </c>
      <c r="E466" s="2" t="str">
        <f ca="1">IFERROR(__xludf.DUMMYFUNCTION("""COMPUTED_VALUE"""),"Tinto s/Bonarda")</f>
        <v>Tinto s/Bonarda</v>
      </c>
      <c r="F466" s="2">
        <f ca="1">IFERROR(__xludf.DUMMYFUNCTION("""COMPUTED_VALUE"""),24700)</f>
        <v>24700</v>
      </c>
      <c r="G466" s="2">
        <f ca="1">IFERROR(__xludf.DUMMYFUNCTION("""COMPUTED_VALUE"""),96)</f>
        <v>96</v>
      </c>
      <c r="H466" s="2"/>
      <c r="I466" s="2"/>
      <c r="J466" s="2">
        <f ca="1">IFERROR(__xludf.DUMMYFUNCTION("""COMPUTED_VALUE"""),0)</f>
        <v>0</v>
      </c>
      <c r="K466" s="2">
        <f ca="1">IFERROR(__xludf.DUMMYFUNCTION("""COMPUTED_VALUE"""),24700)</f>
        <v>24700</v>
      </c>
      <c r="L466" s="2" t="str">
        <f ca="1">IFERROR(__xludf.DUMMYFUNCTION("""COMPUTED_VALUE"""),"e2301c9d")</f>
        <v>e2301c9d</v>
      </c>
      <c r="M466" s="2" t="str">
        <f ca="1">IFERROR(__xludf.DUMMYFUNCTION("""COMPUTED_VALUE"""),"Tinto")</f>
        <v>Tinto</v>
      </c>
      <c r="N466" s="2"/>
      <c r="O466" s="2" t="str">
        <f ca="1">IFERROR(__xludf.DUMMYFUNCTION("""COMPUTED_VALUE"""),"Recarga Fermentando")</f>
        <v>Recarga Fermentando</v>
      </c>
      <c r="P466" s="2"/>
      <c r="Q466" s="2" t="b">
        <f ca="1">IFERROR(__xludf.DUMMYFUNCTION("""COMPUTED_VALUE"""),FALSE)</f>
        <v>0</v>
      </c>
      <c r="R466" s="2" t="str">
        <f ca="1">IFERROR(__xludf.DUMMYFUNCTION("""COMPUTED_VALUE"""),"Descubada")</f>
        <v>Descubada</v>
      </c>
      <c r="S466" s="2"/>
      <c r="T466" s="2"/>
      <c r="U466" s="2"/>
    </row>
    <row r="467" spans="1:21" x14ac:dyDescent="0.25">
      <c r="A467" s="2" t="str">
        <f ca="1">IFERROR(__xludf.DUMMYFUNCTION("""COMPUTED_VALUE"""),"242b226e")</f>
        <v>242b226e</v>
      </c>
      <c r="B467" s="5">
        <f ca="1">IFERROR(__xludf.DUMMYFUNCTION("""COMPUTED_VALUE"""),45770.7696296296)</f>
        <v>45770.769629629598</v>
      </c>
      <c r="C467" s="2" t="str">
        <f ca="1">IFERROR(__xludf.DUMMYFUNCTION("""COMPUTED_VALUE"""),"49defec5")</f>
        <v>49defec5</v>
      </c>
      <c r="D467" s="2">
        <f ca="1">IFERROR(__xludf.DUMMYFUNCTION("""COMPUTED_VALUE"""),11)</f>
        <v>11</v>
      </c>
      <c r="E467" s="2" t="str">
        <f ca="1">IFERROR(__xludf.DUMMYFUNCTION("""COMPUTED_VALUE"""),"Syrah Bonarda Rect")</f>
        <v>Syrah Bonarda Rect</v>
      </c>
      <c r="F467" s="2">
        <f ca="1">IFERROR(__xludf.DUMMYFUNCTION("""COMPUTED_VALUE"""),700)</f>
        <v>700</v>
      </c>
      <c r="G467" s="2">
        <f ca="1">IFERROR(__xludf.DUMMYFUNCTION("""COMPUTED_VALUE"""),91)</f>
        <v>91</v>
      </c>
      <c r="H467" s="2" t="str">
        <f ca="1">IFERROR(__xludf.DUMMYFUNCTION("""COMPUTED_VALUE"""),"b0d32d3c")</f>
        <v>b0d32d3c</v>
      </c>
      <c r="I467" s="2" t="str">
        <f ca="1">IFERROR(__xludf.DUMMYFUNCTION("""COMPUTED_VALUE"""),"Tinto s/Bonarda 2da")</f>
        <v>Tinto s/Bonarda 2da</v>
      </c>
      <c r="J467" s="2">
        <f ca="1">IFERROR(__xludf.DUMMYFUNCTION("""COMPUTED_VALUE"""),49300)</f>
        <v>49300</v>
      </c>
      <c r="K467" s="2">
        <f ca="1">IFERROR(__xludf.DUMMYFUNCTION("""COMPUTED_VALUE"""),50000)</f>
        <v>50000</v>
      </c>
      <c r="L467" s="2" t="str">
        <f ca="1">IFERROR(__xludf.DUMMYFUNCTION("""COMPUTED_VALUE"""),"163518fc")</f>
        <v>163518fc</v>
      </c>
      <c r="M467" s="2" t="str">
        <f ca="1">IFERROR(__xludf.DUMMYFUNCTION("""COMPUTED_VALUE"""),"Tinto s/Bonarda 2da")</f>
        <v>Tinto s/Bonarda 2da</v>
      </c>
      <c r="N467" s="2"/>
      <c r="O467" s="2" t="str">
        <f ca="1">IFERROR(__xludf.DUMMYFUNCTION("""COMPUTED_VALUE"""),"Rectificado")</f>
        <v>Rectificado</v>
      </c>
      <c r="P467" s="2" t="str">
        <f ca="1">IFERROR(__xludf.DUMMYFUNCTION("""COMPUTED_VALUE"""),"Recarga Fermentando")</f>
        <v>Recarga Fermentando</v>
      </c>
      <c r="Q467" s="2" t="b">
        <f ca="1">IFERROR(__xludf.DUMMYFUNCTION("""COMPUTED_VALUE"""),TRUE)</f>
        <v>1</v>
      </c>
      <c r="R467" s="2" t="str">
        <f ca="1">IFERROR(__xludf.DUMMYFUNCTION("""COMPUTED_VALUE"""),"Recarga Fermentando")</f>
        <v>Recarga Fermentando</v>
      </c>
      <c r="S467" s="2"/>
      <c r="T467" s="2"/>
      <c r="U467" s="2"/>
    </row>
    <row r="468" spans="1:21" x14ac:dyDescent="0.25">
      <c r="A468" s="2" t="str">
        <f ca="1">IFERROR(__xludf.DUMMYFUNCTION("""COMPUTED_VALUE"""),"146494ce")</f>
        <v>146494ce</v>
      </c>
      <c r="B468" s="5">
        <f ca="1">IFERROR(__xludf.DUMMYFUNCTION("""COMPUTED_VALUE"""),45770.7714930555)</f>
        <v>45770.771493055501</v>
      </c>
      <c r="C468" s="2" t="str">
        <f ca="1">IFERROR(__xludf.DUMMYFUNCTION("""COMPUTED_VALUE"""),"49defec5")</f>
        <v>49defec5</v>
      </c>
      <c r="D468" s="2">
        <f ca="1">IFERROR(__xludf.DUMMYFUNCTION("""COMPUTED_VALUE"""),11)</f>
        <v>11</v>
      </c>
      <c r="E468" s="2" t="str">
        <f ca="1">IFERROR(__xludf.DUMMYFUNCTION("""COMPUTED_VALUE"""),"Syrah Bonarda Rect")</f>
        <v>Syrah Bonarda Rect</v>
      </c>
      <c r="F468" s="2">
        <f ca="1">IFERROR(__xludf.DUMMYFUNCTION("""COMPUTED_VALUE"""),14000)</f>
        <v>14000</v>
      </c>
      <c r="G468" s="2">
        <f ca="1">IFERROR(__xludf.DUMMYFUNCTION("""COMPUTED_VALUE"""),84)</f>
        <v>84</v>
      </c>
      <c r="H468" s="2" t="str">
        <f ca="1">IFERROR(__xludf.DUMMYFUNCTION("""COMPUTED_VALUE"""),"88134c0a")</f>
        <v>88134c0a</v>
      </c>
      <c r="I468" s="2" t="str">
        <f ca="1">IFERROR(__xludf.DUMMYFUNCTION("""COMPUTED_VALUE"""),"Tinto s/Bonarda 2da")</f>
        <v>Tinto s/Bonarda 2da</v>
      </c>
      <c r="J468" s="2">
        <f ca="1">IFERROR(__xludf.DUMMYFUNCTION("""COMPUTED_VALUE"""),40000)</f>
        <v>40000</v>
      </c>
      <c r="K468" s="2">
        <f ca="1">IFERROR(__xludf.DUMMYFUNCTION("""COMPUTED_VALUE"""),54000)</f>
        <v>54000</v>
      </c>
      <c r="L468" s="2" t="str">
        <f ca="1">IFERROR(__xludf.DUMMYFUNCTION("""COMPUTED_VALUE"""),"3cd08afc")</f>
        <v>3cd08afc</v>
      </c>
      <c r="M468" s="2" t="str">
        <f ca="1">IFERROR(__xludf.DUMMYFUNCTION("""COMPUTED_VALUE"""),"Tinto s/Bonarda 2da")</f>
        <v>Tinto s/Bonarda 2da</v>
      </c>
      <c r="N468" s="2"/>
      <c r="O468" s="2" t="str">
        <f ca="1">IFERROR(__xludf.DUMMYFUNCTION("""COMPUTED_VALUE"""),"Rectificado")</f>
        <v>Rectificado</v>
      </c>
      <c r="P468" s="2" t="str">
        <f ca="1">IFERROR(__xludf.DUMMYFUNCTION("""COMPUTED_VALUE"""),"Recarga Fermentando")</f>
        <v>Recarga Fermentando</v>
      </c>
      <c r="Q468" s="2" t="b">
        <f ca="1">IFERROR(__xludf.DUMMYFUNCTION("""COMPUTED_VALUE"""),TRUE)</f>
        <v>1</v>
      </c>
      <c r="R468" s="2" t="str">
        <f ca="1">IFERROR(__xludf.DUMMYFUNCTION("""COMPUTED_VALUE"""),"Recarga Fermentando")</f>
        <v>Recarga Fermentando</v>
      </c>
      <c r="S468" s="2"/>
      <c r="T468" s="2"/>
      <c r="U468" s="2"/>
    </row>
    <row r="469" spans="1:21" x14ac:dyDescent="0.25">
      <c r="A469" s="2" t="str">
        <f ca="1">IFERROR(__xludf.DUMMYFUNCTION("""COMPUTED_VALUE"""),"0e8f47c0")</f>
        <v>0e8f47c0</v>
      </c>
      <c r="B469" s="5">
        <f ca="1">IFERROR(__xludf.DUMMYFUNCTION("""COMPUTED_VALUE"""),45770.7724884259)</f>
        <v>45770.772488425901</v>
      </c>
      <c r="C469" s="2" t="str">
        <f ca="1">IFERROR(__xludf.DUMMYFUNCTION("""COMPUTED_VALUE"""),"49defec5")</f>
        <v>49defec5</v>
      </c>
      <c r="D469" s="2">
        <f ca="1">IFERROR(__xludf.DUMMYFUNCTION("""COMPUTED_VALUE"""),11)</f>
        <v>11</v>
      </c>
      <c r="E469" s="2" t="str">
        <f ca="1">IFERROR(__xludf.DUMMYFUNCTION("""COMPUTED_VALUE"""),"Syrah Bonarda Rect")</f>
        <v>Syrah Bonarda Rect</v>
      </c>
      <c r="F469" s="2">
        <f ca="1">IFERROR(__xludf.DUMMYFUNCTION("""COMPUTED_VALUE"""),2250)</f>
        <v>2250</v>
      </c>
      <c r="G469" s="2">
        <f ca="1">IFERROR(__xludf.DUMMYFUNCTION("""COMPUTED_VALUE"""),88)</f>
        <v>88</v>
      </c>
      <c r="H469" s="2" t="str">
        <f ca="1">IFERROR(__xludf.DUMMYFUNCTION("""COMPUTED_VALUE"""),"b7df6d93")</f>
        <v>b7df6d93</v>
      </c>
      <c r="I469" s="2" t="str">
        <f ca="1">IFERROR(__xludf.DUMMYFUNCTION("""COMPUTED_VALUE"""),"Tinto s/Bonarda")</f>
        <v>Tinto s/Bonarda</v>
      </c>
      <c r="J469" s="2">
        <f ca="1">IFERROR(__xludf.DUMMYFUNCTION("""COMPUTED_VALUE"""),37750)</f>
        <v>37750</v>
      </c>
      <c r="K469" s="2">
        <f ca="1">IFERROR(__xludf.DUMMYFUNCTION("""COMPUTED_VALUE"""),40000)</f>
        <v>40000</v>
      </c>
      <c r="L469" s="2" t="str">
        <f ca="1">IFERROR(__xludf.DUMMYFUNCTION("""COMPUTED_VALUE"""),"d24bb01b")</f>
        <v>d24bb01b</v>
      </c>
      <c r="M469" s="2" t="str">
        <f ca="1">IFERROR(__xludf.DUMMYFUNCTION("""COMPUTED_VALUE"""),"Tinto s/Bonarda")</f>
        <v>Tinto s/Bonarda</v>
      </c>
      <c r="N469" s="2"/>
      <c r="O469" s="2" t="str">
        <f ca="1">IFERROR(__xludf.DUMMYFUNCTION("""COMPUTED_VALUE"""),"Rectificado")</f>
        <v>Rectificado</v>
      </c>
      <c r="P469" s="2" t="str">
        <f ca="1">IFERROR(__xludf.DUMMYFUNCTION("""COMPUTED_VALUE"""),"Recarga Fermentando")</f>
        <v>Recarga Fermentando</v>
      </c>
      <c r="Q469" s="2" t="b">
        <f ca="1">IFERROR(__xludf.DUMMYFUNCTION("""COMPUTED_VALUE"""),TRUE)</f>
        <v>1</v>
      </c>
      <c r="R469" s="2" t="str">
        <f ca="1">IFERROR(__xludf.DUMMYFUNCTION("""COMPUTED_VALUE"""),"Recarga Fermentando")</f>
        <v>Recarga Fermentando</v>
      </c>
      <c r="S469" s="2"/>
      <c r="T469" s="2"/>
      <c r="U469" s="2"/>
    </row>
    <row r="470" spans="1:21" x14ac:dyDescent="0.25">
      <c r="A470" s="2" t="str">
        <f ca="1">IFERROR(__xludf.DUMMYFUNCTION("""COMPUTED_VALUE"""),"51605ab2")</f>
        <v>51605ab2</v>
      </c>
      <c r="B470" s="5">
        <f ca="1">IFERROR(__xludf.DUMMYFUNCTION("""COMPUTED_VALUE"""),45770.7730208333)</f>
        <v>45770.773020833301</v>
      </c>
      <c r="C470" s="2" t="str">
        <f ca="1">IFERROR(__xludf.DUMMYFUNCTION("""COMPUTED_VALUE"""),"49defec5")</f>
        <v>49defec5</v>
      </c>
      <c r="D470" s="2">
        <f ca="1">IFERROR(__xludf.DUMMYFUNCTION("""COMPUTED_VALUE"""),11)</f>
        <v>11</v>
      </c>
      <c r="E470" s="2" t="str">
        <f ca="1">IFERROR(__xludf.DUMMYFUNCTION("""COMPUTED_VALUE"""),"Syrah Bonarda Rect")</f>
        <v>Syrah Bonarda Rect</v>
      </c>
      <c r="F470" s="2">
        <f ca="1">IFERROR(__xludf.DUMMYFUNCTION("""COMPUTED_VALUE"""),6050)</f>
        <v>6050</v>
      </c>
      <c r="G470" s="2">
        <f ca="1">IFERROR(__xludf.DUMMYFUNCTION("""COMPUTED_VALUE"""),500)</f>
        <v>500</v>
      </c>
      <c r="H470" s="2" t="str">
        <f ca="1">IFERROR(__xludf.DUMMYFUNCTION("""COMPUTED_VALUE"""),"883b82dd")</f>
        <v>883b82dd</v>
      </c>
      <c r="I470" s="2" t="str">
        <f ca="1">IFERROR(__xludf.DUMMYFUNCTION("""COMPUTED_VALUE"""),"Ajuste semana 22/04/25")</f>
        <v>Ajuste semana 22/04/25</v>
      </c>
      <c r="J470" s="2">
        <f ca="1">IFERROR(__xludf.DUMMYFUNCTION("""COMPUTED_VALUE"""),26401)</f>
        <v>26401</v>
      </c>
      <c r="K470" s="2">
        <f ca="1">IFERROR(__xludf.DUMMYFUNCTION("""COMPUTED_VALUE"""),32451)</f>
        <v>32451</v>
      </c>
      <c r="L470" s="2" t="str">
        <f ca="1">IFERROR(__xludf.DUMMYFUNCTION("""COMPUTED_VALUE"""),"b1a71460")</f>
        <v>b1a71460</v>
      </c>
      <c r="M470" s="2" t="str">
        <f ca="1">IFERROR(__xludf.DUMMYFUNCTION("""COMPUTED_VALUE"""),"Ajuste semana 22/04/25")</f>
        <v>Ajuste semana 22/04/25</v>
      </c>
      <c r="N470" s="2"/>
      <c r="O470" s="2" t="str">
        <f ca="1">IFERROR(__xludf.DUMMYFUNCTION("""COMPUTED_VALUE"""),"Rectificado")</f>
        <v>Rectificado</v>
      </c>
      <c r="P470" s="2" t="str">
        <f ca="1">IFERROR(__xludf.DUMMYFUNCTION("""COMPUTED_VALUE"""),"Terminado")</f>
        <v>Terminado</v>
      </c>
      <c r="Q470" s="2" t="b">
        <f ca="1">IFERROR(__xludf.DUMMYFUNCTION("""COMPUTED_VALUE"""),TRUE)</f>
        <v>1</v>
      </c>
      <c r="R470" s="2" t="str">
        <f ca="1">IFERROR(__xludf.DUMMYFUNCTION("""COMPUTED_VALUE"""),"Terminado")</f>
        <v>Terminado</v>
      </c>
      <c r="S470" s="2"/>
      <c r="T470" s="2"/>
      <c r="U470" s="2"/>
    </row>
    <row r="471" spans="1:21" x14ac:dyDescent="0.25">
      <c r="A471" s="2" t="str">
        <f ca="1">IFERROR(__xludf.DUMMYFUNCTION("""COMPUTED_VALUE"""),"71bc4487")</f>
        <v>71bc4487</v>
      </c>
      <c r="B471" s="5">
        <f ca="1">IFERROR(__xludf.DUMMYFUNCTION("""COMPUTED_VALUE"""),45770.7761342592)</f>
        <v>45770.776134259198</v>
      </c>
      <c r="C471" s="2" t="str">
        <f ca="1">IFERROR(__xludf.DUMMYFUNCTION("""COMPUTED_VALUE"""),"837659aa")</f>
        <v>837659aa</v>
      </c>
      <c r="D471" s="2">
        <f ca="1">IFERROR(__xludf.DUMMYFUNCTION("""COMPUTED_VALUE"""),935)</f>
        <v>935</v>
      </c>
      <c r="E471" s="2" t="str">
        <f ca="1">IFERROR(__xludf.DUMMYFUNCTION("""COMPUTED_VALUE"""),"Borra")</f>
        <v>Borra</v>
      </c>
      <c r="F471" s="2">
        <f ca="1">IFERROR(__xludf.DUMMYFUNCTION("""COMPUTED_VALUE"""),5000)</f>
        <v>5000</v>
      </c>
      <c r="G471" s="2">
        <f ca="1">IFERROR(__xludf.DUMMYFUNCTION("""COMPUTED_VALUE"""),11)</f>
        <v>11</v>
      </c>
      <c r="H471" s="2"/>
      <c r="I471" s="2"/>
      <c r="J471" s="2">
        <f ca="1">IFERROR(__xludf.DUMMYFUNCTION("""COMPUTED_VALUE"""),0)</f>
        <v>0</v>
      </c>
      <c r="K471" s="2">
        <f ca="1">IFERROR(__xludf.DUMMYFUNCTION("""COMPUTED_VALUE"""),5000)</f>
        <v>5000</v>
      </c>
      <c r="L471" s="2" t="str">
        <f ca="1">IFERROR(__xludf.DUMMYFUNCTION("""COMPUTED_VALUE"""),"b26e8cc6")</f>
        <v>b26e8cc6</v>
      </c>
      <c r="M471" s="2" t="str">
        <f ca="1">IFERROR(__xludf.DUMMYFUNCTION("""COMPUTED_VALUE"""),"Claro de filtro")</f>
        <v>Claro de filtro</v>
      </c>
      <c r="N471" s="2"/>
      <c r="O471" s="2" t="str">
        <f ca="1">IFERROR(__xludf.DUMMYFUNCTION("""COMPUTED_VALUE"""),"Descubada")</f>
        <v>Descubada</v>
      </c>
      <c r="P471" s="2"/>
      <c r="Q471" s="2" t="b">
        <f ca="1">IFERROR(__xludf.DUMMYFUNCTION("""COMPUTED_VALUE"""),FALSE)</f>
        <v>0</v>
      </c>
      <c r="R471" s="2" t="str">
        <f ca="1">IFERROR(__xludf.DUMMYFUNCTION("""COMPUTED_VALUE"""),"Descubada")</f>
        <v>Descubada</v>
      </c>
      <c r="S471" s="2"/>
      <c r="T471" s="2"/>
      <c r="U471" s="2"/>
    </row>
    <row r="472" spans="1:21" x14ac:dyDescent="0.25">
      <c r="A472" s="2" t="str">
        <f ca="1">IFERROR(__xludf.DUMMYFUNCTION("""COMPUTED_VALUE"""),"f371e48b")</f>
        <v>f371e48b</v>
      </c>
      <c r="B472" s="5">
        <f ca="1">IFERROR(__xludf.DUMMYFUNCTION("""COMPUTED_VALUE"""),45770.7776388888)</f>
        <v>45770.777638888801</v>
      </c>
      <c r="C472" s="2" t="str">
        <f ca="1">IFERROR(__xludf.DUMMYFUNCTION("""COMPUTED_VALUE"""),"3640d88c")</f>
        <v>3640d88c</v>
      </c>
      <c r="D472" s="2">
        <f ca="1">IFERROR(__xludf.DUMMYFUNCTION("""COMPUTED_VALUE"""),14)</f>
        <v>14</v>
      </c>
      <c r="E472" s="2" t="str">
        <f ca="1">IFERROR(__xludf.DUMMYFUNCTION("""COMPUTED_VALUE"""),"Malbec Mec")</f>
        <v>Malbec Mec</v>
      </c>
      <c r="F472" s="2">
        <f ca="1">IFERROR(__xludf.DUMMYFUNCTION("""COMPUTED_VALUE"""),1000)</f>
        <v>1000</v>
      </c>
      <c r="G472" s="2">
        <f ca="1">IFERROR(__xludf.DUMMYFUNCTION("""COMPUTED_VALUE"""),500)</f>
        <v>500</v>
      </c>
      <c r="H472" s="2" t="str">
        <f ca="1">IFERROR(__xludf.DUMMYFUNCTION("""COMPUTED_VALUE"""),"b1a71460")</f>
        <v>b1a71460</v>
      </c>
      <c r="I472" s="2" t="str">
        <f ca="1">IFERROR(__xludf.DUMMYFUNCTION("""COMPUTED_VALUE"""),"Ajuste semana 22/04/25")</f>
        <v>Ajuste semana 22/04/25</v>
      </c>
      <c r="J472" s="2">
        <f ca="1">IFERROR(__xludf.DUMMYFUNCTION("""COMPUTED_VALUE"""),32451)</f>
        <v>32451</v>
      </c>
      <c r="K472" s="2">
        <f ca="1">IFERROR(__xludf.DUMMYFUNCTION("""COMPUTED_VALUE"""),33451)</f>
        <v>33451</v>
      </c>
      <c r="L472" s="2" t="str">
        <f ca="1">IFERROR(__xludf.DUMMYFUNCTION("""COMPUTED_VALUE"""),"b112ea4a")</f>
        <v>b112ea4a</v>
      </c>
      <c r="M472" s="2" t="str">
        <f ca="1">IFERROR(__xludf.DUMMYFUNCTION("""COMPUTED_VALUE"""),"Ajuste semana 22/04/25")</f>
        <v>Ajuste semana 22/04/25</v>
      </c>
      <c r="N472" s="2"/>
      <c r="O472" s="2" t="str">
        <f ca="1">IFERROR(__xludf.DUMMYFUNCTION("""COMPUTED_VALUE"""),"Descubada")</f>
        <v>Descubada</v>
      </c>
      <c r="P472" s="2" t="str">
        <f ca="1">IFERROR(__xludf.DUMMYFUNCTION("""COMPUTED_VALUE"""),"Terminado")</f>
        <v>Terminado</v>
      </c>
      <c r="Q472" s="2" t="b">
        <f ca="1">IFERROR(__xludf.DUMMYFUNCTION("""COMPUTED_VALUE"""),TRUE)</f>
        <v>1</v>
      </c>
      <c r="R472" s="2" t="str">
        <f ca="1">IFERROR(__xludf.DUMMYFUNCTION("""COMPUTED_VALUE"""),"Terminado")</f>
        <v>Terminado</v>
      </c>
      <c r="S472" s="2"/>
      <c r="T472" s="2"/>
      <c r="U472" s="2"/>
    </row>
    <row r="473" spans="1:21" x14ac:dyDescent="0.25">
      <c r="A473" s="2" t="str">
        <f ca="1">IFERROR(__xludf.DUMMYFUNCTION("""COMPUTED_VALUE"""),"3e29b381")</f>
        <v>3e29b381</v>
      </c>
      <c r="B473" s="5">
        <f ca="1">IFERROR(__xludf.DUMMYFUNCTION("""COMPUTED_VALUE"""),45770.7780671296)</f>
        <v>45770.778067129599</v>
      </c>
      <c r="C473" s="2" t="str">
        <f ca="1">IFERROR(__xludf.DUMMYFUNCTION("""COMPUTED_VALUE"""),"f764d2d1")</f>
        <v>f764d2d1</v>
      </c>
      <c r="D473" s="2">
        <f ca="1">IFERROR(__xludf.DUMMYFUNCTION("""COMPUTED_VALUE"""),15)</f>
        <v>15</v>
      </c>
      <c r="E473" s="2" t="str">
        <f ca="1">IFERROR(__xludf.DUMMYFUNCTION("""COMPUTED_VALUE"""),"Malbec")</f>
        <v>Malbec</v>
      </c>
      <c r="F473" s="2">
        <f ca="1">IFERROR(__xludf.DUMMYFUNCTION("""COMPUTED_VALUE"""),1500)</f>
        <v>1500</v>
      </c>
      <c r="G473" s="2">
        <f ca="1">IFERROR(__xludf.DUMMYFUNCTION("""COMPUTED_VALUE"""),500)</f>
        <v>500</v>
      </c>
      <c r="H473" s="2" t="str">
        <f ca="1">IFERROR(__xludf.DUMMYFUNCTION("""COMPUTED_VALUE"""),"b112ea4a")</f>
        <v>b112ea4a</v>
      </c>
      <c r="I473" s="2" t="str">
        <f ca="1">IFERROR(__xludf.DUMMYFUNCTION("""COMPUTED_VALUE"""),"Ajuste semana 22/04/25")</f>
        <v>Ajuste semana 22/04/25</v>
      </c>
      <c r="J473" s="2">
        <f ca="1">IFERROR(__xludf.DUMMYFUNCTION("""COMPUTED_VALUE"""),33451)</f>
        <v>33451</v>
      </c>
      <c r="K473" s="2">
        <f ca="1">IFERROR(__xludf.DUMMYFUNCTION("""COMPUTED_VALUE"""),34951)</f>
        <v>34951</v>
      </c>
      <c r="L473" s="2" t="str">
        <f ca="1">IFERROR(__xludf.DUMMYFUNCTION("""COMPUTED_VALUE"""),"d10280b4")</f>
        <v>d10280b4</v>
      </c>
      <c r="M473" s="2" t="str">
        <f ca="1">IFERROR(__xludf.DUMMYFUNCTION("""COMPUTED_VALUE"""),"Ajuste semana 22/04/25")</f>
        <v>Ajuste semana 22/04/25</v>
      </c>
      <c r="N473" s="2"/>
      <c r="O473" s="2" t="str">
        <f ca="1">IFERROR(__xludf.DUMMYFUNCTION("""COMPUTED_VALUE"""),"Descubada")</f>
        <v>Descubada</v>
      </c>
      <c r="P473" s="2" t="str">
        <f ca="1">IFERROR(__xludf.DUMMYFUNCTION("""COMPUTED_VALUE"""),"Terminado")</f>
        <v>Terminado</v>
      </c>
      <c r="Q473" s="2" t="b">
        <f ca="1">IFERROR(__xludf.DUMMYFUNCTION("""COMPUTED_VALUE"""),TRUE)</f>
        <v>1</v>
      </c>
      <c r="R473" s="2" t="str">
        <f ca="1">IFERROR(__xludf.DUMMYFUNCTION("""COMPUTED_VALUE"""),"Terminado")</f>
        <v>Terminado</v>
      </c>
      <c r="S473" s="2"/>
      <c r="T473" s="2"/>
      <c r="U473" s="2"/>
    </row>
    <row r="474" spans="1:21" x14ac:dyDescent="0.25">
      <c r="A474" s="2" t="str">
        <f ca="1">IFERROR(__xludf.DUMMYFUNCTION("""COMPUTED_VALUE"""),"8152bced")</f>
        <v>8152bced</v>
      </c>
      <c r="B474" s="5">
        <f ca="1">IFERROR(__xludf.DUMMYFUNCTION("""COMPUTED_VALUE"""),45770.7798726851)</f>
        <v>45770.779872685103</v>
      </c>
      <c r="C474" s="2" t="str">
        <f ca="1">IFERROR(__xludf.DUMMYFUNCTION("""COMPUTED_VALUE"""),"7efc7da2")</f>
        <v>7efc7da2</v>
      </c>
      <c r="D474" s="2">
        <f ca="1">IFERROR(__xludf.DUMMYFUNCTION("""COMPUTED_VALUE"""),24)</f>
        <v>24</v>
      </c>
      <c r="E474" s="2" t="str">
        <f ca="1">IFERROR(__xludf.DUMMYFUNCTION("""COMPUTED_VALUE"""),"Bonarda C2")</f>
        <v>Bonarda C2</v>
      </c>
      <c r="F474" s="2">
        <f ca="1">IFERROR(__xludf.DUMMYFUNCTION("""COMPUTED_VALUE"""),1600)</f>
        <v>1600</v>
      </c>
      <c r="G474" s="2">
        <f ca="1">IFERROR(__xludf.DUMMYFUNCTION("""COMPUTED_VALUE"""),500)</f>
        <v>500</v>
      </c>
      <c r="H474" s="2" t="str">
        <f ca="1">IFERROR(__xludf.DUMMYFUNCTION("""COMPUTED_VALUE"""),"d10280b4")</f>
        <v>d10280b4</v>
      </c>
      <c r="I474" s="2" t="str">
        <f ca="1">IFERROR(__xludf.DUMMYFUNCTION("""COMPUTED_VALUE"""),"Ajuste semana 22/04/25")</f>
        <v>Ajuste semana 22/04/25</v>
      </c>
      <c r="J474" s="2">
        <f ca="1">IFERROR(__xludf.DUMMYFUNCTION("""COMPUTED_VALUE"""),34951)</f>
        <v>34951</v>
      </c>
      <c r="K474" s="2">
        <f ca="1">IFERROR(__xludf.DUMMYFUNCTION("""COMPUTED_VALUE"""),36551)</f>
        <v>36551</v>
      </c>
      <c r="L474" s="2" t="str">
        <f ca="1">IFERROR(__xludf.DUMMYFUNCTION("""COMPUTED_VALUE"""),"32dccd3f")</f>
        <v>32dccd3f</v>
      </c>
      <c r="M474" s="2" t="str">
        <f ca="1">IFERROR(__xludf.DUMMYFUNCTION("""COMPUTED_VALUE"""),"Ajuste semana 22/04/25")</f>
        <v>Ajuste semana 22/04/25</v>
      </c>
      <c r="N474" s="2"/>
      <c r="O474" s="2" t="str">
        <f ca="1">IFERROR(__xludf.DUMMYFUNCTION("""COMPUTED_VALUE"""),"1er Trasiego")</f>
        <v>1er Trasiego</v>
      </c>
      <c r="P474" s="2" t="str">
        <f ca="1">IFERROR(__xludf.DUMMYFUNCTION("""COMPUTED_VALUE"""),"Terminado")</f>
        <v>Terminado</v>
      </c>
      <c r="Q474" s="2" t="b">
        <f ca="1">IFERROR(__xludf.DUMMYFUNCTION("""COMPUTED_VALUE"""),TRUE)</f>
        <v>1</v>
      </c>
      <c r="R474" s="2" t="str">
        <f ca="1">IFERROR(__xludf.DUMMYFUNCTION("""COMPUTED_VALUE"""),"Terminado")</f>
        <v>Terminado</v>
      </c>
      <c r="S474" s="2"/>
      <c r="T474" s="2"/>
      <c r="U474" s="2"/>
    </row>
    <row r="475" spans="1:21" x14ac:dyDescent="0.25">
      <c r="A475" s="2" t="str">
        <f ca="1">IFERROR(__xludf.DUMMYFUNCTION("""COMPUTED_VALUE"""),"1b41b20f")</f>
        <v>1b41b20f</v>
      </c>
      <c r="B475" s="5">
        <f ca="1">IFERROR(__xludf.DUMMYFUNCTION("""COMPUTED_VALUE"""),45770.7982175925)</f>
        <v>45770.798217592499</v>
      </c>
      <c r="C475" s="2" t="str">
        <f ca="1">IFERROR(__xludf.DUMMYFUNCTION("""COMPUTED_VALUE"""),"a6d28e88")</f>
        <v>a6d28e88</v>
      </c>
      <c r="D475" s="2">
        <f ca="1">IFERROR(__xludf.DUMMYFUNCTION("""COMPUTED_VALUE"""),25)</f>
        <v>25</v>
      </c>
      <c r="E475" s="2" t="str">
        <f ca="1">IFERROR(__xludf.DUMMYFUNCTION("""COMPUTED_VALUE"""),"Syrah")</f>
        <v>Syrah</v>
      </c>
      <c r="F475" s="2">
        <f ca="1">IFERROR(__xludf.DUMMYFUNCTION("""COMPUTED_VALUE"""),300)</f>
        <v>300</v>
      </c>
      <c r="G475" s="2">
        <f ca="1">IFERROR(__xludf.DUMMYFUNCTION("""COMPUTED_VALUE"""),500)</f>
        <v>500</v>
      </c>
      <c r="H475" s="2" t="str">
        <f ca="1">IFERROR(__xludf.DUMMYFUNCTION("""COMPUTED_VALUE"""),"32dccd3f")</f>
        <v>32dccd3f</v>
      </c>
      <c r="I475" s="2" t="str">
        <f ca="1">IFERROR(__xludf.DUMMYFUNCTION("""COMPUTED_VALUE"""),"Ajuste semana 22/04/25")</f>
        <v>Ajuste semana 22/04/25</v>
      </c>
      <c r="J475" s="2">
        <f ca="1">IFERROR(__xludf.DUMMYFUNCTION("""COMPUTED_VALUE"""),36551)</f>
        <v>36551</v>
      </c>
      <c r="K475" s="2">
        <f ca="1">IFERROR(__xludf.DUMMYFUNCTION("""COMPUTED_VALUE"""),36851)</f>
        <v>36851</v>
      </c>
      <c r="L475" s="2" t="str">
        <f ca="1">IFERROR(__xludf.DUMMYFUNCTION("""COMPUTED_VALUE"""),"af42804b")</f>
        <v>af42804b</v>
      </c>
      <c r="M475" s="2" t="str">
        <f ca="1">IFERROR(__xludf.DUMMYFUNCTION("""COMPUTED_VALUE"""),"Ajuste semana 22/04/25")</f>
        <v>Ajuste semana 22/04/25</v>
      </c>
      <c r="N475" s="2"/>
      <c r="O475" s="2" t="str">
        <f ca="1">IFERROR(__xludf.DUMMYFUNCTION("""COMPUTED_VALUE"""),"1er Trasiego")</f>
        <v>1er Trasiego</v>
      </c>
      <c r="P475" s="2" t="str">
        <f ca="1">IFERROR(__xludf.DUMMYFUNCTION("""COMPUTED_VALUE"""),"Terminado")</f>
        <v>Terminado</v>
      </c>
      <c r="Q475" s="2" t="b">
        <f ca="1">IFERROR(__xludf.DUMMYFUNCTION("""COMPUTED_VALUE"""),TRUE)</f>
        <v>1</v>
      </c>
      <c r="R475" s="2" t="str">
        <f ca="1">IFERROR(__xludf.DUMMYFUNCTION("""COMPUTED_VALUE"""),"Terminado")</f>
        <v>Terminado</v>
      </c>
      <c r="S475" s="2"/>
      <c r="T475" s="2"/>
      <c r="U475" s="2"/>
    </row>
    <row r="476" spans="1:21" x14ac:dyDescent="0.25">
      <c r="A476" s="2" t="str">
        <f ca="1">IFERROR(__xludf.DUMMYFUNCTION("""COMPUTED_VALUE"""),"0bfd575a")</f>
        <v>0bfd575a</v>
      </c>
      <c r="B476" s="5">
        <f ca="1">IFERROR(__xludf.DUMMYFUNCTION("""COMPUTED_VALUE"""),45770.7986111111)</f>
        <v>45770.798611111102</v>
      </c>
      <c r="C476" s="2" t="str">
        <f ca="1">IFERROR(__xludf.DUMMYFUNCTION("""COMPUTED_VALUE"""),"efada090")</f>
        <v>efada090</v>
      </c>
      <c r="D476" s="2">
        <f ca="1">IFERROR(__xludf.DUMMYFUNCTION("""COMPUTED_VALUE"""),26)</f>
        <v>26</v>
      </c>
      <c r="E476" s="2" t="str">
        <f ca="1">IFERROR(__xludf.DUMMYFUNCTION("""COMPUTED_VALUE"""),"Syrah")</f>
        <v>Syrah</v>
      </c>
      <c r="F476" s="2">
        <f ca="1">IFERROR(__xludf.DUMMYFUNCTION("""COMPUTED_VALUE"""),100)</f>
        <v>100</v>
      </c>
      <c r="G476" s="2">
        <f ca="1">IFERROR(__xludf.DUMMYFUNCTION("""COMPUTED_VALUE"""),500)</f>
        <v>500</v>
      </c>
      <c r="H476" s="2" t="str">
        <f ca="1">IFERROR(__xludf.DUMMYFUNCTION("""COMPUTED_VALUE"""),"af42804b")</f>
        <v>af42804b</v>
      </c>
      <c r="I476" s="2" t="str">
        <f ca="1">IFERROR(__xludf.DUMMYFUNCTION("""COMPUTED_VALUE"""),"Ajuste semana 22/04/25")</f>
        <v>Ajuste semana 22/04/25</v>
      </c>
      <c r="J476" s="2">
        <f ca="1">IFERROR(__xludf.DUMMYFUNCTION("""COMPUTED_VALUE"""),36851)</f>
        <v>36851</v>
      </c>
      <c r="K476" s="2">
        <f ca="1">IFERROR(__xludf.DUMMYFUNCTION("""COMPUTED_VALUE"""),36951)</f>
        <v>36951</v>
      </c>
      <c r="L476" s="2" t="str">
        <f ca="1">IFERROR(__xludf.DUMMYFUNCTION("""COMPUTED_VALUE"""),"d0135f24")</f>
        <v>d0135f24</v>
      </c>
      <c r="M476" s="2" t="str">
        <f ca="1">IFERROR(__xludf.DUMMYFUNCTION("""COMPUTED_VALUE"""),"Ajuste semana 22/04/25")</f>
        <v>Ajuste semana 22/04/25</v>
      </c>
      <c r="N476" s="2"/>
      <c r="O476" s="2" t="str">
        <f ca="1">IFERROR(__xludf.DUMMYFUNCTION("""COMPUTED_VALUE"""),"1er Trasiego")</f>
        <v>1er Trasiego</v>
      </c>
      <c r="P476" s="2" t="str">
        <f ca="1">IFERROR(__xludf.DUMMYFUNCTION("""COMPUTED_VALUE"""),"Terminado")</f>
        <v>Terminado</v>
      </c>
      <c r="Q476" s="2" t="b">
        <f ca="1">IFERROR(__xludf.DUMMYFUNCTION("""COMPUTED_VALUE"""),TRUE)</f>
        <v>1</v>
      </c>
      <c r="R476" s="2" t="str">
        <f ca="1">IFERROR(__xludf.DUMMYFUNCTION("""COMPUTED_VALUE"""),"Terminado")</f>
        <v>Terminado</v>
      </c>
      <c r="S476" s="2"/>
      <c r="T476" s="2"/>
      <c r="U476" s="2"/>
    </row>
    <row r="477" spans="1:21" x14ac:dyDescent="0.25">
      <c r="A477" s="2" t="str">
        <f ca="1">IFERROR(__xludf.DUMMYFUNCTION("""COMPUTED_VALUE"""),"720d28d4")</f>
        <v>720d28d4</v>
      </c>
      <c r="B477" s="5">
        <f ca="1">IFERROR(__xludf.DUMMYFUNCTION("""COMPUTED_VALUE"""),45770.7997222222)</f>
        <v>45770.799722222197</v>
      </c>
      <c r="C477" s="2" t="str">
        <f ca="1">IFERROR(__xludf.DUMMYFUNCTION("""COMPUTED_VALUE"""),"dc3a84e1")</f>
        <v>dc3a84e1</v>
      </c>
      <c r="D477" s="2">
        <f ca="1">IFERROR(__xludf.DUMMYFUNCTION("""COMPUTED_VALUE"""),28)</f>
        <v>28</v>
      </c>
      <c r="E477" s="2" t="str">
        <f ca="1">IFERROR(__xludf.DUMMYFUNCTION("""COMPUTED_VALUE"""),"Bonarda")</f>
        <v>Bonarda</v>
      </c>
      <c r="F477" s="2">
        <f ca="1">IFERROR(__xludf.DUMMYFUNCTION("""COMPUTED_VALUE"""),-5300)</f>
        <v>-5300</v>
      </c>
      <c r="G477" s="2">
        <f ca="1">IFERROR(__xludf.DUMMYFUNCTION("""COMPUTED_VALUE"""),500)</f>
        <v>500</v>
      </c>
      <c r="H477" s="2" t="str">
        <f ca="1">IFERROR(__xludf.DUMMYFUNCTION("""COMPUTED_VALUE"""),"d0135f24")</f>
        <v>d0135f24</v>
      </c>
      <c r="I477" s="2" t="str">
        <f ca="1">IFERROR(__xludf.DUMMYFUNCTION("""COMPUTED_VALUE"""),"Ajuste semana 22/04/25")</f>
        <v>Ajuste semana 22/04/25</v>
      </c>
      <c r="J477" s="2">
        <f ca="1">IFERROR(__xludf.DUMMYFUNCTION("""COMPUTED_VALUE"""),36951)</f>
        <v>36951</v>
      </c>
      <c r="K477" s="2">
        <f ca="1">IFERROR(__xludf.DUMMYFUNCTION("""COMPUTED_VALUE"""),31651)</f>
        <v>31651</v>
      </c>
      <c r="L477" s="2" t="str">
        <f ca="1">IFERROR(__xludf.DUMMYFUNCTION("""COMPUTED_VALUE"""),"be44e9f6")</f>
        <v>be44e9f6</v>
      </c>
      <c r="M477" s="2" t="str">
        <f ca="1">IFERROR(__xludf.DUMMYFUNCTION("""COMPUTED_VALUE"""),"Ajuste semana 22/04/25")</f>
        <v>Ajuste semana 22/04/25</v>
      </c>
      <c r="N477" s="2"/>
      <c r="O477" s="2" t="str">
        <f ca="1">IFERROR(__xludf.DUMMYFUNCTION("""COMPUTED_VALUE"""),"Descubada")</f>
        <v>Descubada</v>
      </c>
      <c r="P477" s="2" t="str">
        <f ca="1">IFERROR(__xludf.DUMMYFUNCTION("""COMPUTED_VALUE"""),"Terminado")</f>
        <v>Terminado</v>
      </c>
      <c r="Q477" s="2" t="b">
        <f ca="1">IFERROR(__xludf.DUMMYFUNCTION("""COMPUTED_VALUE"""),TRUE)</f>
        <v>1</v>
      </c>
      <c r="R477" s="2" t="str">
        <f ca="1">IFERROR(__xludf.DUMMYFUNCTION("""COMPUTED_VALUE"""),"Terminado")</f>
        <v>Terminado</v>
      </c>
      <c r="S477" s="2"/>
      <c r="T477" s="2"/>
      <c r="U477" s="2"/>
    </row>
    <row r="478" spans="1:21" x14ac:dyDescent="0.25">
      <c r="A478" s="2" t="str">
        <f ca="1">IFERROR(__xludf.DUMMYFUNCTION("""COMPUTED_VALUE"""),"a59ddfe2")</f>
        <v>a59ddfe2</v>
      </c>
      <c r="B478" s="5">
        <f ca="1">IFERROR(__xludf.DUMMYFUNCTION("""COMPUTED_VALUE"""),45770.8001851851)</f>
        <v>45770.8001851851</v>
      </c>
      <c r="C478" s="2" t="str">
        <f ca="1">IFERROR(__xludf.DUMMYFUNCTION("""COMPUTED_VALUE"""),"eec28962")</f>
        <v>eec28962</v>
      </c>
      <c r="D478" s="2">
        <f ca="1">IFERROR(__xludf.DUMMYFUNCTION("""COMPUTED_VALUE"""),30)</f>
        <v>30</v>
      </c>
      <c r="E478" s="2" t="str">
        <f ca="1">IFERROR(__xludf.DUMMYFUNCTION("""COMPUTED_VALUE"""),"Aspirant 24")</f>
        <v>Aspirant 24</v>
      </c>
      <c r="F478" s="2">
        <f ca="1">IFERROR(__xludf.DUMMYFUNCTION("""COMPUTED_VALUE"""),300)</f>
        <v>300</v>
      </c>
      <c r="G478" s="2">
        <f ca="1">IFERROR(__xludf.DUMMYFUNCTION("""COMPUTED_VALUE"""),500)</f>
        <v>500</v>
      </c>
      <c r="H478" s="2" t="str">
        <f ca="1">IFERROR(__xludf.DUMMYFUNCTION("""COMPUTED_VALUE"""),"be44e9f6")</f>
        <v>be44e9f6</v>
      </c>
      <c r="I478" s="2" t="str">
        <f ca="1">IFERROR(__xludf.DUMMYFUNCTION("""COMPUTED_VALUE"""),"Ajuste semana 22/04/25")</f>
        <v>Ajuste semana 22/04/25</v>
      </c>
      <c r="J478" s="2">
        <f ca="1">IFERROR(__xludf.DUMMYFUNCTION("""COMPUTED_VALUE"""),31651)</f>
        <v>31651</v>
      </c>
      <c r="K478" s="2">
        <f ca="1">IFERROR(__xludf.DUMMYFUNCTION("""COMPUTED_VALUE"""),31951)</f>
        <v>31951</v>
      </c>
      <c r="L478" s="2" t="str">
        <f ca="1">IFERROR(__xludf.DUMMYFUNCTION("""COMPUTED_VALUE"""),"920dc0b5")</f>
        <v>920dc0b5</v>
      </c>
      <c r="M478" s="2" t="str">
        <f ca="1">IFERROR(__xludf.DUMMYFUNCTION("""COMPUTED_VALUE"""),"Ajuste semana 22/04/25")</f>
        <v>Ajuste semana 22/04/25</v>
      </c>
      <c r="N478" s="2"/>
      <c r="O478" s="2" t="str">
        <f ca="1">IFERROR(__xludf.DUMMYFUNCTION("""COMPUTED_VALUE"""),"Terminado")</f>
        <v>Terminado</v>
      </c>
      <c r="P478" s="2" t="str">
        <f ca="1">IFERROR(__xludf.DUMMYFUNCTION("""COMPUTED_VALUE"""),"Terminado")</f>
        <v>Terminado</v>
      </c>
      <c r="Q478" s="2" t="b">
        <f ca="1">IFERROR(__xludf.DUMMYFUNCTION("""COMPUTED_VALUE"""),TRUE)</f>
        <v>1</v>
      </c>
      <c r="R478" s="2" t="str">
        <f ca="1">IFERROR(__xludf.DUMMYFUNCTION("""COMPUTED_VALUE"""),"Terminado")</f>
        <v>Terminado</v>
      </c>
      <c r="S478" s="2"/>
      <c r="T478" s="2"/>
      <c r="U478" s="2"/>
    </row>
    <row r="479" spans="1:21" x14ac:dyDescent="0.25">
      <c r="A479" s="2" t="str">
        <f ca="1">IFERROR(__xludf.DUMMYFUNCTION("""COMPUTED_VALUE"""),"4f07c665")</f>
        <v>4f07c665</v>
      </c>
      <c r="B479" s="5">
        <f ca="1">IFERROR(__xludf.DUMMYFUNCTION("""COMPUTED_VALUE"""),45770.8004976851)</f>
        <v>45770.800497685101</v>
      </c>
      <c r="C479" s="2" t="str">
        <f ca="1">IFERROR(__xludf.DUMMYFUNCTION("""COMPUTED_VALUE"""),"7b6b2c2a")</f>
        <v>7b6b2c2a</v>
      </c>
      <c r="D479" s="2">
        <f ca="1">IFERROR(__xludf.DUMMYFUNCTION("""COMPUTED_VALUE"""),34)</f>
        <v>34</v>
      </c>
      <c r="E479" s="2" t="str">
        <f ca="1">IFERROR(__xludf.DUMMYFUNCTION("""COMPUTED_VALUE"""),"Bonarda")</f>
        <v>Bonarda</v>
      </c>
      <c r="F479" s="2">
        <f ca="1">IFERROR(__xludf.DUMMYFUNCTION("""COMPUTED_VALUE"""),4800)</f>
        <v>4800</v>
      </c>
      <c r="G479" s="2">
        <f ca="1">IFERROR(__xludf.DUMMYFUNCTION("""COMPUTED_VALUE"""),500)</f>
        <v>500</v>
      </c>
      <c r="H479" s="2" t="str">
        <f ca="1">IFERROR(__xludf.DUMMYFUNCTION("""COMPUTED_VALUE"""),"920dc0b5")</f>
        <v>920dc0b5</v>
      </c>
      <c r="I479" s="2" t="str">
        <f ca="1">IFERROR(__xludf.DUMMYFUNCTION("""COMPUTED_VALUE"""),"Ajuste semana 22/04/25")</f>
        <v>Ajuste semana 22/04/25</v>
      </c>
      <c r="J479" s="2">
        <f ca="1">IFERROR(__xludf.DUMMYFUNCTION("""COMPUTED_VALUE"""),31951)</f>
        <v>31951</v>
      </c>
      <c r="K479" s="2">
        <f ca="1">IFERROR(__xludf.DUMMYFUNCTION("""COMPUTED_VALUE"""),36751)</f>
        <v>36751</v>
      </c>
      <c r="L479" s="2" t="str">
        <f ca="1">IFERROR(__xludf.DUMMYFUNCTION("""COMPUTED_VALUE"""),"e3e955b1")</f>
        <v>e3e955b1</v>
      </c>
      <c r="M479" s="2" t="str">
        <f ca="1">IFERROR(__xludf.DUMMYFUNCTION("""COMPUTED_VALUE"""),"Ajuste semana 22/04/25")</f>
        <v>Ajuste semana 22/04/25</v>
      </c>
      <c r="N479" s="2"/>
      <c r="O479" s="2" t="str">
        <f ca="1">IFERROR(__xludf.DUMMYFUNCTION("""COMPUTED_VALUE"""),"Descubada")</f>
        <v>Descubada</v>
      </c>
      <c r="P479" s="2" t="str">
        <f ca="1">IFERROR(__xludf.DUMMYFUNCTION("""COMPUTED_VALUE"""),"Terminado")</f>
        <v>Terminado</v>
      </c>
      <c r="Q479" s="2" t="b">
        <f ca="1">IFERROR(__xludf.DUMMYFUNCTION("""COMPUTED_VALUE"""),TRUE)</f>
        <v>1</v>
      </c>
      <c r="R479" s="2" t="str">
        <f ca="1">IFERROR(__xludf.DUMMYFUNCTION("""COMPUTED_VALUE"""),"Terminado")</f>
        <v>Terminado</v>
      </c>
      <c r="S479" s="2"/>
      <c r="T479" s="2"/>
      <c r="U479" s="2"/>
    </row>
    <row r="480" spans="1:21" x14ac:dyDescent="0.25">
      <c r="A480" s="2" t="str">
        <f ca="1">IFERROR(__xludf.DUMMYFUNCTION("""COMPUTED_VALUE"""),"eea4f69c")</f>
        <v>eea4f69c</v>
      </c>
      <c r="B480" s="5">
        <f ca="1">IFERROR(__xludf.DUMMYFUNCTION("""COMPUTED_VALUE"""),45770.8010879629)</f>
        <v>45770.8010879629</v>
      </c>
      <c r="C480" s="2" t="str">
        <f ca="1">IFERROR(__xludf.DUMMYFUNCTION("""COMPUTED_VALUE"""),"65ce6f3f")</f>
        <v>65ce6f3f</v>
      </c>
      <c r="D480" s="2">
        <f ca="1">IFERROR(__xludf.DUMMYFUNCTION("""COMPUTED_VALUE"""),41)</f>
        <v>41</v>
      </c>
      <c r="E480" s="2" t="str">
        <f ca="1">IFERROR(__xludf.DUMMYFUNCTION("""COMPUTED_VALUE"""),"Malbec")</f>
        <v>Malbec</v>
      </c>
      <c r="F480" s="2">
        <f ca="1">IFERROR(__xludf.DUMMYFUNCTION("""COMPUTED_VALUE"""),100)</f>
        <v>100</v>
      </c>
      <c r="G480" s="2">
        <f ca="1">IFERROR(__xludf.DUMMYFUNCTION("""COMPUTED_VALUE"""),500)</f>
        <v>500</v>
      </c>
      <c r="H480" s="2" t="str">
        <f ca="1">IFERROR(__xludf.DUMMYFUNCTION("""COMPUTED_VALUE"""),"e3e955b1")</f>
        <v>e3e955b1</v>
      </c>
      <c r="I480" s="2" t="str">
        <f ca="1">IFERROR(__xludf.DUMMYFUNCTION("""COMPUTED_VALUE"""),"Ajuste semana 22/04/25")</f>
        <v>Ajuste semana 22/04/25</v>
      </c>
      <c r="J480" s="2">
        <f ca="1">IFERROR(__xludf.DUMMYFUNCTION("""COMPUTED_VALUE"""),36751)</f>
        <v>36751</v>
      </c>
      <c r="K480" s="2">
        <f ca="1">IFERROR(__xludf.DUMMYFUNCTION("""COMPUTED_VALUE"""),36851)</f>
        <v>36851</v>
      </c>
      <c r="L480" s="2" t="str">
        <f ca="1">IFERROR(__xludf.DUMMYFUNCTION("""COMPUTED_VALUE"""),"e32c078a")</f>
        <v>e32c078a</v>
      </c>
      <c r="M480" s="2" t="str">
        <f ca="1">IFERROR(__xludf.DUMMYFUNCTION("""COMPUTED_VALUE"""),"Ajuste semana 22/04/25")</f>
        <v>Ajuste semana 22/04/25</v>
      </c>
      <c r="N480" s="2"/>
      <c r="O480" s="2" t="str">
        <f ca="1">IFERROR(__xludf.DUMMYFUNCTION("""COMPUTED_VALUE"""),"Descubada")</f>
        <v>Descubada</v>
      </c>
      <c r="P480" s="2" t="str">
        <f ca="1">IFERROR(__xludf.DUMMYFUNCTION("""COMPUTED_VALUE"""),"Terminado")</f>
        <v>Terminado</v>
      </c>
      <c r="Q480" s="2" t="b">
        <f ca="1">IFERROR(__xludf.DUMMYFUNCTION("""COMPUTED_VALUE"""),TRUE)</f>
        <v>1</v>
      </c>
      <c r="R480" s="2" t="str">
        <f ca="1">IFERROR(__xludf.DUMMYFUNCTION("""COMPUTED_VALUE"""),"Terminado")</f>
        <v>Terminado</v>
      </c>
      <c r="S480" s="2"/>
      <c r="T480" s="2"/>
      <c r="U480" s="2"/>
    </row>
    <row r="481" spans="1:21" x14ac:dyDescent="0.25">
      <c r="A481" s="2" t="str">
        <f ca="1">IFERROR(__xludf.DUMMYFUNCTION("""COMPUTED_VALUE"""),"fedb41fc")</f>
        <v>fedb41fc</v>
      </c>
      <c r="B481" s="5">
        <f ca="1">IFERROR(__xludf.DUMMYFUNCTION("""COMPUTED_VALUE"""),45770.8014351851)</f>
        <v>45770.801435185102</v>
      </c>
      <c r="C481" s="2" t="str">
        <f ca="1">IFERROR(__xludf.DUMMYFUNCTION("""COMPUTED_VALUE"""),"7ae457f1")</f>
        <v>7ae457f1</v>
      </c>
      <c r="D481" s="2">
        <f ca="1">IFERROR(__xludf.DUMMYFUNCTION("""COMPUTED_VALUE"""),44)</f>
        <v>44</v>
      </c>
      <c r="E481" s="2" t="str">
        <f ca="1">IFERROR(__xludf.DUMMYFUNCTION("""COMPUTED_VALUE"""),"Torrontes")</f>
        <v>Torrontes</v>
      </c>
      <c r="F481" s="2">
        <f ca="1">IFERROR(__xludf.DUMMYFUNCTION("""COMPUTED_VALUE"""),100)</f>
        <v>100</v>
      </c>
      <c r="G481" s="2">
        <f ca="1">IFERROR(__xludf.DUMMYFUNCTION("""COMPUTED_VALUE"""),500)</f>
        <v>500</v>
      </c>
      <c r="H481" s="2" t="str">
        <f ca="1">IFERROR(__xludf.DUMMYFUNCTION("""COMPUTED_VALUE"""),"e32c078a")</f>
        <v>e32c078a</v>
      </c>
      <c r="I481" s="2" t="str">
        <f ca="1">IFERROR(__xludf.DUMMYFUNCTION("""COMPUTED_VALUE"""),"Ajuste semana 22/04/25")</f>
        <v>Ajuste semana 22/04/25</v>
      </c>
      <c r="J481" s="2">
        <f ca="1">IFERROR(__xludf.DUMMYFUNCTION("""COMPUTED_VALUE"""),36851)</f>
        <v>36851</v>
      </c>
      <c r="K481" s="2">
        <f ca="1">IFERROR(__xludf.DUMMYFUNCTION("""COMPUTED_VALUE"""),36951)</f>
        <v>36951</v>
      </c>
      <c r="L481" s="2" t="str">
        <f ca="1">IFERROR(__xludf.DUMMYFUNCTION("""COMPUTED_VALUE"""),"736fba40")</f>
        <v>736fba40</v>
      </c>
      <c r="M481" s="2" t="str">
        <f ca="1">IFERROR(__xludf.DUMMYFUNCTION("""COMPUTED_VALUE"""),"Ajuste semana 22/04/25")</f>
        <v>Ajuste semana 22/04/25</v>
      </c>
      <c r="N481" s="2"/>
      <c r="O481" s="2" t="str">
        <f ca="1">IFERROR(__xludf.DUMMYFUNCTION("""COMPUTED_VALUE"""),"Descubada")</f>
        <v>Descubada</v>
      </c>
      <c r="P481" s="2" t="str">
        <f ca="1">IFERROR(__xludf.DUMMYFUNCTION("""COMPUTED_VALUE"""),"Terminado")</f>
        <v>Terminado</v>
      </c>
      <c r="Q481" s="2" t="b">
        <f ca="1">IFERROR(__xludf.DUMMYFUNCTION("""COMPUTED_VALUE"""),TRUE)</f>
        <v>1</v>
      </c>
      <c r="R481" s="2" t="str">
        <f ca="1">IFERROR(__xludf.DUMMYFUNCTION("""COMPUTED_VALUE"""),"Terminado")</f>
        <v>Terminado</v>
      </c>
      <c r="S481" s="2"/>
      <c r="T481" s="2"/>
      <c r="U481" s="2"/>
    </row>
    <row r="482" spans="1:21" x14ac:dyDescent="0.25">
      <c r="A482" s="2" t="str">
        <f ca="1">IFERROR(__xludf.DUMMYFUNCTION("""COMPUTED_VALUE"""),"55c33655")</f>
        <v>55c33655</v>
      </c>
      <c r="B482" s="5">
        <f ca="1">IFERROR(__xludf.DUMMYFUNCTION("""COMPUTED_VALUE"""),45770.801724537)</f>
        <v>45770.801724536999</v>
      </c>
      <c r="C482" s="2" t="str">
        <f ca="1">IFERROR(__xludf.DUMMYFUNCTION("""COMPUTED_VALUE"""),"d2947d93")</f>
        <v>d2947d93</v>
      </c>
      <c r="D482" s="2">
        <f ca="1">IFERROR(__xludf.DUMMYFUNCTION("""COMPUTED_VALUE"""),45)</f>
        <v>45</v>
      </c>
      <c r="E482" s="2" t="str">
        <f ca="1">IFERROR(__xludf.DUMMYFUNCTION("""COMPUTED_VALUE"""),"Tinto s/Bonarda")</f>
        <v>Tinto s/Bonarda</v>
      </c>
      <c r="F482" s="2">
        <f ca="1">IFERROR(__xludf.DUMMYFUNCTION("""COMPUTED_VALUE"""),500)</f>
        <v>500</v>
      </c>
      <c r="G482" s="2">
        <f ca="1">IFERROR(__xludf.DUMMYFUNCTION("""COMPUTED_VALUE"""),500)</f>
        <v>500</v>
      </c>
      <c r="H482" s="2" t="str">
        <f ca="1">IFERROR(__xludf.DUMMYFUNCTION("""COMPUTED_VALUE"""),"736fba40")</f>
        <v>736fba40</v>
      </c>
      <c r="I482" s="2" t="str">
        <f ca="1">IFERROR(__xludf.DUMMYFUNCTION("""COMPUTED_VALUE"""),"Ajuste semana 22/04/25")</f>
        <v>Ajuste semana 22/04/25</v>
      </c>
      <c r="J482" s="2">
        <f ca="1">IFERROR(__xludf.DUMMYFUNCTION("""COMPUTED_VALUE"""),36951)</f>
        <v>36951</v>
      </c>
      <c r="K482" s="2">
        <f ca="1">IFERROR(__xludf.DUMMYFUNCTION("""COMPUTED_VALUE"""),37451)</f>
        <v>37451</v>
      </c>
      <c r="L482" s="2" t="str">
        <f ca="1">IFERROR(__xludf.DUMMYFUNCTION("""COMPUTED_VALUE"""),"ffeda620")</f>
        <v>ffeda620</v>
      </c>
      <c r="M482" s="2" t="str">
        <f ca="1">IFERROR(__xludf.DUMMYFUNCTION("""COMPUTED_VALUE"""),"Ajuste semana 22/04/25")</f>
        <v>Ajuste semana 22/04/25</v>
      </c>
      <c r="N482" s="2"/>
      <c r="O482" s="2" t="str">
        <f ca="1">IFERROR(__xludf.DUMMYFUNCTION("""COMPUTED_VALUE"""),"Descubada")</f>
        <v>Descubada</v>
      </c>
      <c r="P482" s="2" t="str">
        <f ca="1">IFERROR(__xludf.DUMMYFUNCTION("""COMPUTED_VALUE"""),"Terminado")</f>
        <v>Terminado</v>
      </c>
      <c r="Q482" s="2" t="b">
        <f ca="1">IFERROR(__xludf.DUMMYFUNCTION("""COMPUTED_VALUE"""),TRUE)</f>
        <v>1</v>
      </c>
      <c r="R482" s="2" t="str">
        <f ca="1">IFERROR(__xludf.DUMMYFUNCTION("""COMPUTED_VALUE"""),"Terminado")</f>
        <v>Terminado</v>
      </c>
      <c r="S482" s="2"/>
      <c r="T482" s="2"/>
      <c r="U482" s="2"/>
    </row>
    <row r="483" spans="1:21" x14ac:dyDescent="0.25">
      <c r="A483" s="2" t="str">
        <f ca="1">IFERROR(__xludf.DUMMYFUNCTION("""COMPUTED_VALUE"""),"28fdc847")</f>
        <v>28fdc847</v>
      </c>
      <c r="B483" s="5">
        <f ca="1">IFERROR(__xludf.DUMMYFUNCTION("""COMPUTED_VALUE"""),45770.8019212963)</f>
        <v>45770.801921296297</v>
      </c>
      <c r="C483" s="2" t="str">
        <f ca="1">IFERROR(__xludf.DUMMYFUNCTION("""COMPUTED_VALUE"""),"92bbed34")</f>
        <v>92bbed34</v>
      </c>
      <c r="D483" s="2">
        <f ca="1">IFERROR(__xludf.DUMMYFUNCTION("""COMPUTED_VALUE"""),46)</f>
        <v>46</v>
      </c>
      <c r="E483" s="2" t="str">
        <f ca="1">IFERROR(__xludf.DUMMYFUNCTION("""COMPUTED_VALUE"""),"Malbec Gota")</f>
        <v>Malbec Gota</v>
      </c>
      <c r="F483" s="2">
        <f ca="1">IFERROR(__xludf.DUMMYFUNCTION("""COMPUTED_VALUE"""),500)</f>
        <v>500</v>
      </c>
      <c r="G483" s="2">
        <f ca="1">IFERROR(__xludf.DUMMYFUNCTION("""COMPUTED_VALUE"""),500)</f>
        <v>500</v>
      </c>
      <c r="H483" s="2" t="str">
        <f ca="1">IFERROR(__xludf.DUMMYFUNCTION("""COMPUTED_VALUE"""),"ffeda620")</f>
        <v>ffeda620</v>
      </c>
      <c r="I483" s="2" t="str">
        <f ca="1">IFERROR(__xludf.DUMMYFUNCTION("""COMPUTED_VALUE"""),"Ajuste semana 22/04/25")</f>
        <v>Ajuste semana 22/04/25</v>
      </c>
      <c r="J483" s="2">
        <f ca="1">IFERROR(__xludf.DUMMYFUNCTION("""COMPUTED_VALUE"""),37451)</f>
        <v>37451</v>
      </c>
      <c r="K483" s="2">
        <f ca="1">IFERROR(__xludf.DUMMYFUNCTION("""COMPUTED_VALUE"""),37951)</f>
        <v>37951</v>
      </c>
      <c r="L483" s="2" t="str">
        <f ca="1">IFERROR(__xludf.DUMMYFUNCTION("""COMPUTED_VALUE"""),"f03419e2")</f>
        <v>f03419e2</v>
      </c>
      <c r="M483" s="2" t="str">
        <f ca="1">IFERROR(__xludf.DUMMYFUNCTION("""COMPUTED_VALUE"""),"Ajuste semana 22/04/25")</f>
        <v>Ajuste semana 22/04/25</v>
      </c>
      <c r="N483" s="2"/>
      <c r="O483" s="2" t="str">
        <f ca="1">IFERROR(__xludf.DUMMYFUNCTION("""COMPUTED_VALUE"""),"1er Trasiego")</f>
        <v>1er Trasiego</v>
      </c>
      <c r="P483" s="2" t="str">
        <f ca="1">IFERROR(__xludf.DUMMYFUNCTION("""COMPUTED_VALUE"""),"Terminado")</f>
        <v>Terminado</v>
      </c>
      <c r="Q483" s="2" t="b">
        <f ca="1">IFERROR(__xludf.DUMMYFUNCTION("""COMPUTED_VALUE"""),TRUE)</f>
        <v>1</v>
      </c>
      <c r="R483" s="2" t="str">
        <f ca="1">IFERROR(__xludf.DUMMYFUNCTION("""COMPUTED_VALUE"""),"Terminado")</f>
        <v>Terminado</v>
      </c>
      <c r="S483" s="2"/>
      <c r="T483" s="2"/>
      <c r="U483" s="2"/>
    </row>
    <row r="484" spans="1:21" x14ac:dyDescent="0.25">
      <c r="A484" s="2" t="str">
        <f ca="1">IFERROR(__xludf.DUMMYFUNCTION("""COMPUTED_VALUE"""),"7188f781")</f>
        <v>7188f781</v>
      </c>
      <c r="B484" s="5">
        <f ca="1">IFERROR(__xludf.DUMMYFUNCTION("""COMPUTED_VALUE"""),45770.8022569444)</f>
        <v>45770.8022569444</v>
      </c>
      <c r="C484" s="2" t="str">
        <f ca="1">IFERROR(__xludf.DUMMYFUNCTION("""COMPUTED_VALUE"""),"c750a1d2")</f>
        <v>c750a1d2</v>
      </c>
      <c r="D484" s="2">
        <f ca="1">IFERROR(__xludf.DUMMYFUNCTION("""COMPUTED_VALUE"""),52)</f>
        <v>52</v>
      </c>
      <c r="E484" s="2" t="str">
        <f ca="1">IFERROR(__xludf.DUMMYFUNCTION("""COMPUTED_VALUE"""),"Bonarda")</f>
        <v>Bonarda</v>
      </c>
      <c r="F484" s="2">
        <f ca="1">IFERROR(__xludf.DUMMYFUNCTION("""COMPUTED_VALUE"""),1000)</f>
        <v>1000</v>
      </c>
      <c r="G484" s="2">
        <f ca="1">IFERROR(__xludf.DUMMYFUNCTION("""COMPUTED_VALUE"""),500)</f>
        <v>500</v>
      </c>
      <c r="H484" s="2" t="str">
        <f ca="1">IFERROR(__xludf.DUMMYFUNCTION("""COMPUTED_VALUE"""),"f03419e2")</f>
        <v>f03419e2</v>
      </c>
      <c r="I484" s="2" t="str">
        <f ca="1">IFERROR(__xludf.DUMMYFUNCTION("""COMPUTED_VALUE"""),"Ajuste semana 22/04/25")</f>
        <v>Ajuste semana 22/04/25</v>
      </c>
      <c r="J484" s="2">
        <f ca="1">IFERROR(__xludf.DUMMYFUNCTION("""COMPUTED_VALUE"""),37951)</f>
        <v>37951</v>
      </c>
      <c r="K484" s="2">
        <f ca="1">IFERROR(__xludf.DUMMYFUNCTION("""COMPUTED_VALUE"""),38951)</f>
        <v>38951</v>
      </c>
      <c r="L484" s="2" t="str">
        <f ca="1">IFERROR(__xludf.DUMMYFUNCTION("""COMPUTED_VALUE"""),"29562a89")</f>
        <v>29562a89</v>
      </c>
      <c r="M484" s="2" t="str">
        <f ca="1">IFERROR(__xludf.DUMMYFUNCTION("""COMPUTED_VALUE"""),"Ajuste semana 22/04/25")</f>
        <v>Ajuste semana 22/04/25</v>
      </c>
      <c r="N484" s="2"/>
      <c r="O484" s="2" t="str">
        <f ca="1">IFERROR(__xludf.DUMMYFUNCTION("""COMPUTED_VALUE"""),"Descubada")</f>
        <v>Descubada</v>
      </c>
      <c r="P484" s="2" t="str">
        <f ca="1">IFERROR(__xludf.DUMMYFUNCTION("""COMPUTED_VALUE"""),"Terminado")</f>
        <v>Terminado</v>
      </c>
      <c r="Q484" s="2" t="b">
        <f ca="1">IFERROR(__xludf.DUMMYFUNCTION("""COMPUTED_VALUE"""),TRUE)</f>
        <v>1</v>
      </c>
      <c r="R484" s="2" t="str">
        <f ca="1">IFERROR(__xludf.DUMMYFUNCTION("""COMPUTED_VALUE"""),"Terminado")</f>
        <v>Terminado</v>
      </c>
      <c r="S484" s="2"/>
      <c r="T484" s="2"/>
      <c r="U484" s="2"/>
    </row>
    <row r="485" spans="1:21" x14ac:dyDescent="0.25">
      <c r="A485" s="2" t="str">
        <f ca="1">IFERROR(__xludf.DUMMYFUNCTION("""COMPUTED_VALUE"""),"2251d481")</f>
        <v>2251d481</v>
      </c>
      <c r="B485" s="5">
        <f ca="1">IFERROR(__xludf.DUMMYFUNCTION("""COMPUTED_VALUE"""),45770.8026157407)</f>
        <v>45770.8026157407</v>
      </c>
      <c r="C485" s="2" t="str">
        <f ca="1">IFERROR(__xludf.DUMMYFUNCTION("""COMPUTED_VALUE"""),"e580a9d5")</f>
        <v>e580a9d5</v>
      </c>
      <c r="D485" s="2">
        <f ca="1">IFERROR(__xludf.DUMMYFUNCTION("""COMPUTED_VALUE"""),54)</f>
        <v>54</v>
      </c>
      <c r="E485" s="2" t="str">
        <f ca="1">IFERROR(__xludf.DUMMYFUNCTION("""COMPUTED_VALUE"""),"Malbec")</f>
        <v>Malbec</v>
      </c>
      <c r="F485" s="2">
        <f ca="1">IFERROR(__xludf.DUMMYFUNCTION("""COMPUTED_VALUE"""),4700)</f>
        <v>4700</v>
      </c>
      <c r="G485" s="2">
        <f ca="1">IFERROR(__xludf.DUMMYFUNCTION("""COMPUTED_VALUE"""),500)</f>
        <v>500</v>
      </c>
      <c r="H485" s="2" t="str">
        <f ca="1">IFERROR(__xludf.DUMMYFUNCTION("""COMPUTED_VALUE"""),"29562a89")</f>
        <v>29562a89</v>
      </c>
      <c r="I485" s="2" t="str">
        <f ca="1">IFERROR(__xludf.DUMMYFUNCTION("""COMPUTED_VALUE"""),"Ajuste semana 22/04/25")</f>
        <v>Ajuste semana 22/04/25</v>
      </c>
      <c r="J485" s="2">
        <f ca="1">IFERROR(__xludf.DUMMYFUNCTION("""COMPUTED_VALUE"""),38951)</f>
        <v>38951</v>
      </c>
      <c r="K485" s="2">
        <f ca="1">IFERROR(__xludf.DUMMYFUNCTION("""COMPUTED_VALUE"""),43651)</f>
        <v>43651</v>
      </c>
      <c r="L485" s="2" t="str">
        <f ca="1">IFERROR(__xludf.DUMMYFUNCTION("""COMPUTED_VALUE"""),"f903f0b8")</f>
        <v>f903f0b8</v>
      </c>
      <c r="M485" s="2" t="str">
        <f ca="1">IFERROR(__xludf.DUMMYFUNCTION("""COMPUTED_VALUE"""),"Ajuste semana 22/04/25")</f>
        <v>Ajuste semana 22/04/25</v>
      </c>
      <c r="N485" s="2"/>
      <c r="O485" s="2" t="str">
        <f ca="1">IFERROR(__xludf.DUMMYFUNCTION("""COMPUTED_VALUE"""),"Descubada")</f>
        <v>Descubada</v>
      </c>
      <c r="P485" s="2" t="str">
        <f ca="1">IFERROR(__xludf.DUMMYFUNCTION("""COMPUTED_VALUE"""),"Terminado")</f>
        <v>Terminado</v>
      </c>
      <c r="Q485" s="2" t="b">
        <f ca="1">IFERROR(__xludf.DUMMYFUNCTION("""COMPUTED_VALUE"""),TRUE)</f>
        <v>1</v>
      </c>
      <c r="R485" s="2" t="str">
        <f ca="1">IFERROR(__xludf.DUMMYFUNCTION("""COMPUTED_VALUE"""),"Terminado")</f>
        <v>Terminado</v>
      </c>
      <c r="S485" s="2"/>
      <c r="T485" s="2"/>
      <c r="U485" s="2"/>
    </row>
    <row r="486" spans="1:21" x14ac:dyDescent="0.25">
      <c r="A486" s="2" t="str">
        <f ca="1">IFERROR(__xludf.DUMMYFUNCTION("""COMPUTED_VALUE"""),"44f10d12")</f>
        <v>44f10d12</v>
      </c>
      <c r="B486" s="5">
        <f ca="1">IFERROR(__xludf.DUMMYFUNCTION("""COMPUTED_VALUE"""),45770.8037847222)</f>
        <v>45770.8037847222</v>
      </c>
      <c r="C486" s="2" t="str">
        <f ca="1">IFERROR(__xludf.DUMMYFUNCTION("""COMPUTED_VALUE"""),"df5e441f")</f>
        <v>df5e441f</v>
      </c>
      <c r="D486" s="2">
        <f ca="1">IFERROR(__xludf.DUMMYFUNCTION("""COMPUTED_VALUE"""),76)</f>
        <v>76</v>
      </c>
      <c r="E486" s="2" t="str">
        <f ca="1">IFERROR(__xludf.DUMMYFUNCTION("""COMPUTED_VALUE"""),"Malbec")</f>
        <v>Malbec</v>
      </c>
      <c r="F486" s="2">
        <f ca="1">IFERROR(__xludf.DUMMYFUNCTION("""COMPUTED_VALUE"""),6800)</f>
        <v>6800</v>
      </c>
      <c r="G486" s="2">
        <f ca="1">IFERROR(__xludf.DUMMYFUNCTION("""COMPUTED_VALUE"""),500)</f>
        <v>500</v>
      </c>
      <c r="H486" s="2" t="str">
        <f ca="1">IFERROR(__xludf.DUMMYFUNCTION("""COMPUTED_VALUE"""),"f903f0b8")</f>
        <v>f903f0b8</v>
      </c>
      <c r="I486" s="2" t="str">
        <f ca="1">IFERROR(__xludf.DUMMYFUNCTION("""COMPUTED_VALUE"""),"Ajuste semana 22/04/25")</f>
        <v>Ajuste semana 22/04/25</v>
      </c>
      <c r="J486" s="2">
        <f ca="1">IFERROR(__xludf.DUMMYFUNCTION("""COMPUTED_VALUE"""),43651)</f>
        <v>43651</v>
      </c>
      <c r="K486" s="2">
        <f ca="1">IFERROR(__xludf.DUMMYFUNCTION("""COMPUTED_VALUE"""),50451)</f>
        <v>50451</v>
      </c>
      <c r="L486" s="2" t="str">
        <f ca="1">IFERROR(__xludf.DUMMYFUNCTION("""COMPUTED_VALUE"""),"5bb686b4")</f>
        <v>5bb686b4</v>
      </c>
      <c r="M486" s="2" t="str">
        <f ca="1">IFERROR(__xludf.DUMMYFUNCTION("""COMPUTED_VALUE"""),"Ajuste semana 22/04/25")</f>
        <v>Ajuste semana 22/04/25</v>
      </c>
      <c r="N486" s="2"/>
      <c r="O486" s="2" t="str">
        <f ca="1">IFERROR(__xludf.DUMMYFUNCTION("""COMPUTED_VALUE"""),"Fermentando")</f>
        <v>Fermentando</v>
      </c>
      <c r="P486" s="2" t="str">
        <f ca="1">IFERROR(__xludf.DUMMYFUNCTION("""COMPUTED_VALUE"""),"Terminado")</f>
        <v>Terminado</v>
      </c>
      <c r="Q486" s="2" t="b">
        <f ca="1">IFERROR(__xludf.DUMMYFUNCTION("""COMPUTED_VALUE"""),TRUE)</f>
        <v>1</v>
      </c>
      <c r="R486" s="2" t="str">
        <f ca="1">IFERROR(__xludf.DUMMYFUNCTION("""COMPUTED_VALUE"""),"Terminado")</f>
        <v>Terminado</v>
      </c>
      <c r="S486" s="2"/>
      <c r="T486" s="2"/>
      <c r="U486" s="2"/>
    </row>
    <row r="487" spans="1:21" x14ac:dyDescent="0.25">
      <c r="A487" s="2" t="str">
        <f ca="1">IFERROR(__xludf.DUMMYFUNCTION("""COMPUTED_VALUE"""),"72a46219")</f>
        <v>72a46219</v>
      </c>
      <c r="B487" s="5">
        <f ca="1">IFERROR(__xludf.DUMMYFUNCTION("""COMPUTED_VALUE"""),45770.804074074)</f>
        <v>45770.804074074003</v>
      </c>
      <c r="C487" s="2" t="str">
        <f ca="1">IFERROR(__xludf.DUMMYFUNCTION("""COMPUTED_VALUE"""),"5d344df8")</f>
        <v>5d344df8</v>
      </c>
      <c r="D487" s="2">
        <f ca="1">IFERROR(__xludf.DUMMYFUNCTION("""COMPUTED_VALUE"""),77)</f>
        <v>77</v>
      </c>
      <c r="E487" s="2" t="str">
        <f ca="1">IFERROR(__xludf.DUMMYFUNCTION("""COMPUTED_VALUE"""),"Malbec")</f>
        <v>Malbec</v>
      </c>
      <c r="F487" s="2">
        <f ca="1">IFERROR(__xludf.DUMMYFUNCTION("""COMPUTED_VALUE"""),1200)</f>
        <v>1200</v>
      </c>
      <c r="G487" s="2">
        <f ca="1">IFERROR(__xludf.DUMMYFUNCTION("""COMPUTED_VALUE"""),500)</f>
        <v>500</v>
      </c>
      <c r="H487" s="2" t="str">
        <f ca="1">IFERROR(__xludf.DUMMYFUNCTION("""COMPUTED_VALUE"""),"5bb686b4")</f>
        <v>5bb686b4</v>
      </c>
      <c r="I487" s="2" t="str">
        <f ca="1">IFERROR(__xludf.DUMMYFUNCTION("""COMPUTED_VALUE"""),"Ajuste semana 22/04/25")</f>
        <v>Ajuste semana 22/04/25</v>
      </c>
      <c r="J487" s="2">
        <f ca="1">IFERROR(__xludf.DUMMYFUNCTION("""COMPUTED_VALUE"""),50451)</f>
        <v>50451</v>
      </c>
      <c r="K487" s="2">
        <f ca="1">IFERROR(__xludf.DUMMYFUNCTION("""COMPUTED_VALUE"""),51651)</f>
        <v>51651</v>
      </c>
      <c r="L487" s="2" t="str">
        <f ca="1">IFERROR(__xludf.DUMMYFUNCTION("""COMPUTED_VALUE"""),"3a00f0d2")</f>
        <v>3a00f0d2</v>
      </c>
      <c r="M487" s="2" t="str">
        <f ca="1">IFERROR(__xludf.DUMMYFUNCTION("""COMPUTED_VALUE"""),"Ajuste semana 22/04/25")</f>
        <v>Ajuste semana 22/04/25</v>
      </c>
      <c r="N487" s="2"/>
      <c r="O487" s="2" t="str">
        <f ca="1">IFERROR(__xludf.DUMMYFUNCTION("""COMPUTED_VALUE"""),"Fermentando")</f>
        <v>Fermentando</v>
      </c>
      <c r="P487" s="2" t="str">
        <f ca="1">IFERROR(__xludf.DUMMYFUNCTION("""COMPUTED_VALUE"""),"Terminado")</f>
        <v>Terminado</v>
      </c>
      <c r="Q487" s="2" t="b">
        <f ca="1">IFERROR(__xludf.DUMMYFUNCTION("""COMPUTED_VALUE"""),TRUE)</f>
        <v>1</v>
      </c>
      <c r="R487" s="2" t="str">
        <f ca="1">IFERROR(__xludf.DUMMYFUNCTION("""COMPUTED_VALUE"""),"Terminado")</f>
        <v>Terminado</v>
      </c>
      <c r="S487" s="2"/>
      <c r="T487" s="2"/>
      <c r="U487" s="2"/>
    </row>
    <row r="488" spans="1:21" x14ac:dyDescent="0.25">
      <c r="A488" s="2" t="str">
        <f ca="1">IFERROR(__xludf.DUMMYFUNCTION("""COMPUTED_VALUE"""),"f0da5979")</f>
        <v>f0da5979</v>
      </c>
      <c r="B488" s="5">
        <f ca="1">IFERROR(__xludf.DUMMYFUNCTION("""COMPUTED_VALUE"""),45770.8044328703)</f>
        <v>45770.804432870304</v>
      </c>
      <c r="C488" s="2" t="str">
        <f ca="1">IFERROR(__xludf.DUMMYFUNCTION("""COMPUTED_VALUE"""),"31f824a6")</f>
        <v>31f824a6</v>
      </c>
      <c r="D488" s="2">
        <f ca="1">IFERROR(__xludf.DUMMYFUNCTION("""COMPUTED_VALUE"""),80)</f>
        <v>80</v>
      </c>
      <c r="E488" s="2" t="str">
        <f ca="1">IFERROR(__xludf.DUMMYFUNCTION("""COMPUTED_VALUE"""),"Cabernet Sauvignon prensa")</f>
        <v>Cabernet Sauvignon prensa</v>
      </c>
      <c r="F488" s="2">
        <f ca="1">IFERROR(__xludf.DUMMYFUNCTION("""COMPUTED_VALUE"""),9100)</f>
        <v>9100</v>
      </c>
      <c r="G488" s="2">
        <f ca="1">IFERROR(__xludf.DUMMYFUNCTION("""COMPUTED_VALUE"""),500)</f>
        <v>500</v>
      </c>
      <c r="H488" s="2" t="str">
        <f ca="1">IFERROR(__xludf.DUMMYFUNCTION("""COMPUTED_VALUE"""),"3a00f0d2")</f>
        <v>3a00f0d2</v>
      </c>
      <c r="I488" s="2" t="str">
        <f ca="1">IFERROR(__xludf.DUMMYFUNCTION("""COMPUTED_VALUE"""),"Ajuste semana 22/04/25")</f>
        <v>Ajuste semana 22/04/25</v>
      </c>
      <c r="J488" s="2">
        <f ca="1">IFERROR(__xludf.DUMMYFUNCTION("""COMPUTED_VALUE"""),51651)</f>
        <v>51651</v>
      </c>
      <c r="K488" s="2">
        <f ca="1">IFERROR(__xludf.DUMMYFUNCTION("""COMPUTED_VALUE"""),60751)</f>
        <v>60751</v>
      </c>
      <c r="L488" s="2" t="str">
        <f ca="1">IFERROR(__xludf.DUMMYFUNCTION("""COMPUTED_VALUE"""),"a9e55b1f")</f>
        <v>a9e55b1f</v>
      </c>
      <c r="M488" s="2" t="str">
        <f ca="1">IFERROR(__xludf.DUMMYFUNCTION("""COMPUTED_VALUE"""),"Ajuste semana 22/04/25")</f>
        <v>Ajuste semana 22/04/25</v>
      </c>
      <c r="N488" s="2"/>
      <c r="O488" s="2" t="str">
        <f ca="1">IFERROR(__xludf.DUMMYFUNCTION("""COMPUTED_VALUE"""),"Descubada")</f>
        <v>Descubada</v>
      </c>
      <c r="P488" s="2" t="str">
        <f ca="1">IFERROR(__xludf.DUMMYFUNCTION("""COMPUTED_VALUE"""),"Terminado")</f>
        <v>Terminado</v>
      </c>
      <c r="Q488" s="2" t="b">
        <f ca="1">IFERROR(__xludf.DUMMYFUNCTION("""COMPUTED_VALUE"""),TRUE)</f>
        <v>1</v>
      </c>
      <c r="R488" s="2" t="str">
        <f ca="1">IFERROR(__xludf.DUMMYFUNCTION("""COMPUTED_VALUE"""),"Terminado")</f>
        <v>Terminado</v>
      </c>
      <c r="S488" s="2"/>
      <c r="T488" s="2"/>
      <c r="U488" s="2"/>
    </row>
    <row r="489" spans="1:21" x14ac:dyDescent="0.25">
      <c r="A489" s="2" t="str">
        <f ca="1">IFERROR(__xludf.DUMMYFUNCTION("""COMPUTED_VALUE"""),"bcfe1f81")</f>
        <v>bcfe1f81</v>
      </c>
      <c r="B489" s="5">
        <f ca="1">IFERROR(__xludf.DUMMYFUNCTION("""COMPUTED_VALUE"""),45770.8049189814)</f>
        <v>45770.804918981397</v>
      </c>
      <c r="C489" s="2" t="str">
        <f ca="1">IFERROR(__xludf.DUMMYFUNCTION("""COMPUTED_VALUE"""),"12faab19")</f>
        <v>12faab19</v>
      </c>
      <c r="D489" s="2">
        <f ca="1">IFERROR(__xludf.DUMMYFUNCTION("""COMPUTED_VALUE"""),83)</f>
        <v>83</v>
      </c>
      <c r="E489" s="2" t="str">
        <f ca="1">IFERROR(__xludf.DUMMYFUNCTION("""COMPUTED_VALUE"""),"Criolla Flotada")</f>
        <v>Criolla Flotada</v>
      </c>
      <c r="F489" s="2">
        <f ca="1">IFERROR(__xludf.DUMMYFUNCTION("""COMPUTED_VALUE"""),25000)</f>
        <v>25000</v>
      </c>
      <c r="G489" s="2">
        <f ca="1">IFERROR(__xludf.DUMMYFUNCTION("""COMPUTED_VALUE"""),500)</f>
        <v>500</v>
      </c>
      <c r="H489" s="2" t="str">
        <f ca="1">IFERROR(__xludf.DUMMYFUNCTION("""COMPUTED_VALUE"""),"a9e55b1f")</f>
        <v>a9e55b1f</v>
      </c>
      <c r="I489" s="2" t="str">
        <f ca="1">IFERROR(__xludf.DUMMYFUNCTION("""COMPUTED_VALUE"""),"Ajuste semana 22/04/25")</f>
        <v>Ajuste semana 22/04/25</v>
      </c>
      <c r="J489" s="2">
        <f ca="1">IFERROR(__xludf.DUMMYFUNCTION("""COMPUTED_VALUE"""),60751)</f>
        <v>60751</v>
      </c>
      <c r="K489" s="2">
        <f ca="1">IFERROR(__xludf.DUMMYFUNCTION("""COMPUTED_VALUE"""),85751)</f>
        <v>85751</v>
      </c>
      <c r="L489" s="2" t="str">
        <f ca="1">IFERROR(__xludf.DUMMYFUNCTION("""COMPUTED_VALUE"""),"c7e67b2b")</f>
        <v>c7e67b2b</v>
      </c>
      <c r="M489" s="2" t="str">
        <f ca="1">IFERROR(__xludf.DUMMYFUNCTION("""COMPUTED_VALUE"""),"Ajuste semana 22/04/25")</f>
        <v>Ajuste semana 22/04/25</v>
      </c>
      <c r="N489" s="2"/>
      <c r="O489" s="2"/>
      <c r="P489" s="2" t="str">
        <f ca="1">IFERROR(__xludf.DUMMYFUNCTION("""COMPUTED_VALUE"""),"Terminado")</f>
        <v>Terminado</v>
      </c>
      <c r="Q489" s="2" t="b">
        <f ca="1">IFERROR(__xludf.DUMMYFUNCTION("""COMPUTED_VALUE"""),TRUE)</f>
        <v>1</v>
      </c>
      <c r="R489" s="2" t="str">
        <f ca="1">IFERROR(__xludf.DUMMYFUNCTION("""COMPUTED_VALUE"""),"Terminado")</f>
        <v>Terminado</v>
      </c>
      <c r="S489" s="2"/>
      <c r="T489" s="2"/>
      <c r="U489" s="2"/>
    </row>
    <row r="490" spans="1:21" x14ac:dyDescent="0.25">
      <c r="A490" s="2" t="str">
        <f ca="1">IFERROR(__xludf.DUMMYFUNCTION("""COMPUTED_VALUE"""),"40ba4ab9")</f>
        <v>40ba4ab9</v>
      </c>
      <c r="B490" s="5">
        <f ca="1">IFERROR(__xludf.DUMMYFUNCTION("""COMPUTED_VALUE"""),45770.8054282407)</f>
        <v>45770.805428240703</v>
      </c>
      <c r="C490" s="2" t="str">
        <f ca="1">IFERROR(__xludf.DUMMYFUNCTION("""COMPUTED_VALUE"""),"f5552916")</f>
        <v>f5552916</v>
      </c>
      <c r="D490" s="2">
        <f ca="1">IFERROR(__xludf.DUMMYFUNCTION("""COMPUTED_VALUE"""),85)</f>
        <v>85</v>
      </c>
      <c r="E490" s="2" t="str">
        <f ca="1">IFERROR(__xludf.DUMMYFUNCTION("""COMPUTED_VALUE"""),"Bonarda Gota")</f>
        <v>Bonarda Gota</v>
      </c>
      <c r="F490" s="2">
        <f ca="1">IFERROR(__xludf.DUMMYFUNCTION("""COMPUTED_VALUE"""),6000)</f>
        <v>6000</v>
      </c>
      <c r="G490" s="2">
        <f ca="1">IFERROR(__xludf.DUMMYFUNCTION("""COMPUTED_VALUE"""),500)</f>
        <v>500</v>
      </c>
      <c r="H490" s="2" t="str">
        <f ca="1">IFERROR(__xludf.DUMMYFUNCTION("""COMPUTED_VALUE"""),"c7e67b2b")</f>
        <v>c7e67b2b</v>
      </c>
      <c r="I490" s="2" t="str">
        <f ca="1">IFERROR(__xludf.DUMMYFUNCTION("""COMPUTED_VALUE"""),"Ajuste semana 22/04/25")</f>
        <v>Ajuste semana 22/04/25</v>
      </c>
      <c r="J490" s="2">
        <f ca="1">IFERROR(__xludf.DUMMYFUNCTION("""COMPUTED_VALUE"""),85751)</f>
        <v>85751</v>
      </c>
      <c r="K490" s="2">
        <f ca="1">IFERROR(__xludf.DUMMYFUNCTION("""COMPUTED_VALUE"""),91751)</f>
        <v>91751</v>
      </c>
      <c r="L490" s="2" t="str">
        <f ca="1">IFERROR(__xludf.DUMMYFUNCTION("""COMPUTED_VALUE"""),"3e5de831")</f>
        <v>3e5de831</v>
      </c>
      <c r="M490" s="2" t="str">
        <f ca="1">IFERROR(__xludf.DUMMYFUNCTION("""COMPUTED_VALUE"""),"Ajuste semana 22/04/25")</f>
        <v>Ajuste semana 22/04/25</v>
      </c>
      <c r="N490" s="2"/>
      <c r="O490" s="2" t="str">
        <f ca="1">IFERROR(__xludf.DUMMYFUNCTION("""COMPUTED_VALUE"""),"Descubada")</f>
        <v>Descubada</v>
      </c>
      <c r="P490" s="2" t="str">
        <f ca="1">IFERROR(__xludf.DUMMYFUNCTION("""COMPUTED_VALUE"""),"Terminado")</f>
        <v>Terminado</v>
      </c>
      <c r="Q490" s="2" t="b">
        <f ca="1">IFERROR(__xludf.DUMMYFUNCTION("""COMPUTED_VALUE"""),TRUE)</f>
        <v>1</v>
      </c>
      <c r="R490" s="2" t="str">
        <f ca="1">IFERROR(__xludf.DUMMYFUNCTION("""COMPUTED_VALUE"""),"Terminado")</f>
        <v>Terminado</v>
      </c>
      <c r="S490" s="2"/>
      <c r="T490" s="2"/>
      <c r="U490" s="2"/>
    </row>
    <row r="491" spans="1:21" x14ac:dyDescent="0.25">
      <c r="A491" s="2" t="str">
        <f ca="1">IFERROR(__xludf.DUMMYFUNCTION("""COMPUTED_VALUE"""),"6249f53a")</f>
        <v>6249f53a</v>
      </c>
      <c r="B491" s="5">
        <f ca="1">IFERROR(__xludf.DUMMYFUNCTION("""COMPUTED_VALUE"""),45770.8059027777)</f>
        <v>45770.805902777698</v>
      </c>
      <c r="C491" s="2" t="str">
        <f ca="1">IFERROR(__xludf.DUMMYFUNCTION("""COMPUTED_VALUE"""),"bcf45804")</f>
        <v>bcf45804</v>
      </c>
      <c r="D491" s="2">
        <f ca="1">IFERROR(__xludf.DUMMYFUNCTION("""COMPUTED_VALUE"""),87)</f>
        <v>87</v>
      </c>
      <c r="E491" s="2" t="str">
        <f ca="1">IFERROR(__xludf.DUMMYFUNCTION("""COMPUTED_VALUE"""),"Malbec")</f>
        <v>Malbec</v>
      </c>
      <c r="F491" s="2">
        <f ca="1">IFERROR(__xludf.DUMMYFUNCTION("""COMPUTED_VALUE"""),5700)</f>
        <v>5700</v>
      </c>
      <c r="G491" s="2">
        <f ca="1">IFERROR(__xludf.DUMMYFUNCTION("""COMPUTED_VALUE"""),500)</f>
        <v>500</v>
      </c>
      <c r="H491" s="2" t="str">
        <f ca="1">IFERROR(__xludf.DUMMYFUNCTION("""COMPUTED_VALUE"""),"3e5de831")</f>
        <v>3e5de831</v>
      </c>
      <c r="I491" s="2" t="str">
        <f ca="1">IFERROR(__xludf.DUMMYFUNCTION("""COMPUTED_VALUE"""),"Ajuste semana 22/04/25")</f>
        <v>Ajuste semana 22/04/25</v>
      </c>
      <c r="J491" s="2">
        <f ca="1">IFERROR(__xludf.DUMMYFUNCTION("""COMPUTED_VALUE"""),91751)</f>
        <v>91751</v>
      </c>
      <c r="K491" s="2">
        <f ca="1">IFERROR(__xludf.DUMMYFUNCTION("""COMPUTED_VALUE"""),97451)</f>
        <v>97451</v>
      </c>
      <c r="L491" s="2" t="str">
        <f ca="1">IFERROR(__xludf.DUMMYFUNCTION("""COMPUTED_VALUE"""),"c162b136")</f>
        <v>c162b136</v>
      </c>
      <c r="M491" s="2" t="str">
        <f ca="1">IFERROR(__xludf.DUMMYFUNCTION("""COMPUTED_VALUE"""),"Ajuste semana 22/04/25")</f>
        <v>Ajuste semana 22/04/25</v>
      </c>
      <c r="N491" s="2"/>
      <c r="O491" s="2" t="str">
        <f ca="1">IFERROR(__xludf.DUMMYFUNCTION("""COMPUTED_VALUE"""),"Descubada")</f>
        <v>Descubada</v>
      </c>
      <c r="P491" s="2" t="str">
        <f ca="1">IFERROR(__xludf.DUMMYFUNCTION("""COMPUTED_VALUE"""),"Terminado")</f>
        <v>Terminado</v>
      </c>
      <c r="Q491" s="2" t="b">
        <f ca="1">IFERROR(__xludf.DUMMYFUNCTION("""COMPUTED_VALUE"""),TRUE)</f>
        <v>1</v>
      </c>
      <c r="R491" s="2" t="str">
        <f ca="1">IFERROR(__xludf.DUMMYFUNCTION("""COMPUTED_VALUE"""),"Terminado")</f>
        <v>Terminado</v>
      </c>
      <c r="S491" s="2"/>
      <c r="T491" s="2"/>
      <c r="U491" s="2"/>
    </row>
    <row r="492" spans="1:21" x14ac:dyDescent="0.25">
      <c r="A492" s="2" t="str">
        <f ca="1">IFERROR(__xludf.DUMMYFUNCTION("""COMPUTED_VALUE"""),"04250c0e")</f>
        <v>04250c0e</v>
      </c>
      <c r="B492" s="5">
        <f ca="1">IFERROR(__xludf.DUMMYFUNCTION("""COMPUTED_VALUE"""),45770.8070601851)</f>
        <v>45770.8070601851</v>
      </c>
      <c r="C492" s="2" t="str">
        <f ca="1">IFERROR(__xludf.DUMMYFUNCTION("""COMPUTED_VALUE"""),"f4ef7eb7")</f>
        <v>f4ef7eb7</v>
      </c>
      <c r="D492" s="2">
        <f ca="1">IFERROR(__xludf.DUMMYFUNCTION("""COMPUTED_VALUE"""),92)</f>
        <v>92</v>
      </c>
      <c r="E492" s="2" t="str">
        <f ca="1">IFERROR(__xludf.DUMMYFUNCTION("""COMPUTED_VALUE"""),"Malbec")</f>
        <v>Malbec</v>
      </c>
      <c r="F492" s="2">
        <f ca="1">IFERROR(__xludf.DUMMYFUNCTION("""COMPUTED_VALUE"""),2500)</f>
        <v>2500</v>
      </c>
      <c r="G492" s="2">
        <f ca="1">IFERROR(__xludf.DUMMYFUNCTION("""COMPUTED_VALUE"""),500)</f>
        <v>500</v>
      </c>
      <c r="H492" s="2" t="str">
        <f ca="1">IFERROR(__xludf.DUMMYFUNCTION("""COMPUTED_VALUE"""),"c162b136")</f>
        <v>c162b136</v>
      </c>
      <c r="I492" s="2" t="str">
        <f ca="1">IFERROR(__xludf.DUMMYFUNCTION("""COMPUTED_VALUE"""),"Ajuste semana 22/04/25")</f>
        <v>Ajuste semana 22/04/25</v>
      </c>
      <c r="J492" s="2">
        <f ca="1">IFERROR(__xludf.DUMMYFUNCTION("""COMPUTED_VALUE"""),97451)</f>
        <v>97451</v>
      </c>
      <c r="K492" s="2">
        <f ca="1">IFERROR(__xludf.DUMMYFUNCTION("""COMPUTED_VALUE"""),99951)</f>
        <v>99951</v>
      </c>
      <c r="L492" s="2" t="str">
        <f ca="1">IFERROR(__xludf.DUMMYFUNCTION("""COMPUTED_VALUE"""),"63f835d2")</f>
        <v>63f835d2</v>
      </c>
      <c r="M492" s="2" t="str">
        <f ca="1">IFERROR(__xludf.DUMMYFUNCTION("""COMPUTED_VALUE"""),"Ajuste semana 22/04/25")</f>
        <v>Ajuste semana 22/04/25</v>
      </c>
      <c r="N492" s="2"/>
      <c r="O492" s="2" t="str">
        <f ca="1">IFERROR(__xludf.DUMMYFUNCTION("""COMPUTED_VALUE"""),"Fermentando")</f>
        <v>Fermentando</v>
      </c>
      <c r="P492" s="2" t="str">
        <f ca="1">IFERROR(__xludf.DUMMYFUNCTION("""COMPUTED_VALUE"""),"Terminado")</f>
        <v>Terminado</v>
      </c>
      <c r="Q492" s="2" t="b">
        <f ca="1">IFERROR(__xludf.DUMMYFUNCTION("""COMPUTED_VALUE"""),TRUE)</f>
        <v>1</v>
      </c>
      <c r="R492" s="2" t="str">
        <f ca="1">IFERROR(__xludf.DUMMYFUNCTION("""COMPUTED_VALUE"""),"Terminado")</f>
        <v>Terminado</v>
      </c>
      <c r="S492" s="2"/>
      <c r="T492" s="2"/>
      <c r="U492" s="2"/>
    </row>
    <row r="493" spans="1:21" x14ac:dyDescent="0.25">
      <c r="A493" s="2" t="str">
        <f ca="1">IFERROR(__xludf.DUMMYFUNCTION("""COMPUTED_VALUE"""),"1fcedac0")</f>
        <v>1fcedac0</v>
      </c>
      <c r="B493" s="5">
        <f ca="1">IFERROR(__xludf.DUMMYFUNCTION("""COMPUTED_VALUE"""),45770.8073726851)</f>
        <v>45770.8073726851</v>
      </c>
      <c r="C493" s="2" t="str">
        <f ca="1">IFERROR(__xludf.DUMMYFUNCTION("""COMPUTED_VALUE"""),"abbbaccc")</f>
        <v>abbbaccc</v>
      </c>
      <c r="D493" s="2">
        <f ca="1">IFERROR(__xludf.DUMMYFUNCTION("""COMPUTED_VALUE"""),931)</f>
        <v>931</v>
      </c>
      <c r="E493" s="2" t="str">
        <f ca="1">IFERROR(__xludf.DUMMYFUNCTION("""COMPUTED_VALUE"""),"Bonarda 24")</f>
        <v>Bonarda 24</v>
      </c>
      <c r="F493" s="2">
        <f ca="1">IFERROR(__xludf.DUMMYFUNCTION("""COMPUTED_VALUE"""),2000)</f>
        <v>2000</v>
      </c>
      <c r="G493" s="2">
        <f ca="1">IFERROR(__xludf.DUMMYFUNCTION("""COMPUTED_VALUE"""),500)</f>
        <v>500</v>
      </c>
      <c r="H493" s="2" t="str">
        <f ca="1">IFERROR(__xludf.DUMMYFUNCTION("""COMPUTED_VALUE"""),"63f835d2")</f>
        <v>63f835d2</v>
      </c>
      <c r="I493" s="2" t="str">
        <f ca="1">IFERROR(__xludf.DUMMYFUNCTION("""COMPUTED_VALUE"""),"Ajuste semana 22/04/25")</f>
        <v>Ajuste semana 22/04/25</v>
      </c>
      <c r="J493" s="2">
        <f ca="1">IFERROR(__xludf.DUMMYFUNCTION("""COMPUTED_VALUE"""),99951)</f>
        <v>99951</v>
      </c>
      <c r="K493" s="2">
        <f ca="1">IFERROR(__xludf.DUMMYFUNCTION("""COMPUTED_VALUE"""),101951)</f>
        <v>101951</v>
      </c>
      <c r="L493" s="2" t="str">
        <f ca="1">IFERROR(__xludf.DUMMYFUNCTION("""COMPUTED_VALUE"""),"cc7d6ede")</f>
        <v>cc7d6ede</v>
      </c>
      <c r="M493" s="2" t="str">
        <f ca="1">IFERROR(__xludf.DUMMYFUNCTION("""COMPUTED_VALUE"""),"Ajuste semana 22/04/25")</f>
        <v>Ajuste semana 22/04/25</v>
      </c>
      <c r="N493" s="2" t="str">
        <f ca="1">IFERROR(__xludf.DUMMYFUNCTION("""COMPUTED_VALUE"""),"vino despachaado semana")</f>
        <v>vino despachaado semana</v>
      </c>
      <c r="O493" s="2" t="str">
        <f ca="1">IFERROR(__xludf.DUMMYFUNCTION("""COMPUTED_VALUE"""),"Terminado")</f>
        <v>Terminado</v>
      </c>
      <c r="P493" s="2" t="str">
        <f ca="1">IFERROR(__xludf.DUMMYFUNCTION("""COMPUTED_VALUE"""),"Terminado")</f>
        <v>Terminado</v>
      </c>
      <c r="Q493" s="2" t="b">
        <f ca="1">IFERROR(__xludf.DUMMYFUNCTION("""COMPUTED_VALUE"""),TRUE)</f>
        <v>1</v>
      </c>
      <c r="R493" s="2" t="str">
        <f ca="1">IFERROR(__xludf.DUMMYFUNCTION("""COMPUTED_VALUE"""),"Terminado")</f>
        <v>Terminado</v>
      </c>
      <c r="S493" s="2"/>
      <c r="T493" s="2"/>
      <c r="U493" s="2"/>
    </row>
    <row r="494" spans="1:21" x14ac:dyDescent="0.25">
      <c r="A494" s="2" t="str">
        <f ca="1">IFERROR(__xludf.DUMMYFUNCTION("""COMPUTED_VALUE"""),"5a2ebd67")</f>
        <v>5a2ebd67</v>
      </c>
      <c r="B494" s="5">
        <f ca="1">IFERROR(__xludf.DUMMYFUNCTION("""COMPUTED_VALUE"""),45770.8077662037)</f>
        <v>45770.807766203703</v>
      </c>
      <c r="C494" s="2" t="str">
        <f ca="1">IFERROR(__xludf.DUMMYFUNCTION("""COMPUTED_VALUE"""),"837659aa")</f>
        <v>837659aa</v>
      </c>
      <c r="D494" s="2">
        <f ca="1">IFERROR(__xludf.DUMMYFUNCTION("""COMPUTED_VALUE"""),935)</f>
        <v>935</v>
      </c>
      <c r="E494" s="2" t="str">
        <f ca="1">IFERROR(__xludf.DUMMYFUNCTION("""COMPUTED_VALUE"""),"Borra")</f>
        <v>Borra</v>
      </c>
      <c r="F494" s="2">
        <f ca="1">IFERROR(__xludf.DUMMYFUNCTION("""COMPUTED_VALUE"""),-1300)</f>
        <v>-1300</v>
      </c>
      <c r="G494" s="2">
        <f ca="1">IFERROR(__xludf.DUMMYFUNCTION("""COMPUTED_VALUE"""),500)</f>
        <v>500</v>
      </c>
      <c r="H494" s="2" t="str">
        <f ca="1">IFERROR(__xludf.DUMMYFUNCTION("""COMPUTED_VALUE"""),"cc7d6ede")</f>
        <v>cc7d6ede</v>
      </c>
      <c r="I494" s="2" t="str">
        <f ca="1">IFERROR(__xludf.DUMMYFUNCTION("""COMPUTED_VALUE"""),"Ajuste semana 22/04/25")</f>
        <v>Ajuste semana 22/04/25</v>
      </c>
      <c r="J494" s="2">
        <f ca="1">IFERROR(__xludf.DUMMYFUNCTION("""COMPUTED_VALUE"""),101951)</f>
        <v>101951</v>
      </c>
      <c r="K494" s="2">
        <f ca="1">IFERROR(__xludf.DUMMYFUNCTION("""COMPUTED_VALUE"""),100651)</f>
        <v>100651</v>
      </c>
      <c r="L494" s="2" t="str">
        <f ca="1">IFERROR(__xludf.DUMMYFUNCTION("""COMPUTED_VALUE"""),"b72e8fa5")</f>
        <v>b72e8fa5</v>
      </c>
      <c r="M494" s="2" t="str">
        <f ca="1">IFERROR(__xludf.DUMMYFUNCTION("""COMPUTED_VALUE"""),"Ajuste semana 22/04/25")</f>
        <v>Ajuste semana 22/04/25</v>
      </c>
      <c r="N494" s="2"/>
      <c r="O494" s="2" t="str">
        <f ca="1">IFERROR(__xludf.DUMMYFUNCTION("""COMPUTED_VALUE"""),"Descubada")</f>
        <v>Descubada</v>
      </c>
      <c r="P494" s="2" t="str">
        <f ca="1">IFERROR(__xludf.DUMMYFUNCTION("""COMPUTED_VALUE"""),"Terminado")</f>
        <v>Terminado</v>
      </c>
      <c r="Q494" s="2" t="b">
        <f ca="1">IFERROR(__xludf.DUMMYFUNCTION("""COMPUTED_VALUE"""),TRUE)</f>
        <v>1</v>
      </c>
      <c r="R494" s="2" t="str">
        <f ca="1">IFERROR(__xludf.DUMMYFUNCTION("""COMPUTED_VALUE"""),"Terminado")</f>
        <v>Terminado</v>
      </c>
      <c r="S494" s="2"/>
      <c r="T494" s="2"/>
      <c r="U494" s="2"/>
    </row>
    <row r="495" spans="1:21" x14ac:dyDescent="0.25">
      <c r="A495" s="2" t="str">
        <f ca="1">IFERROR(__xludf.DUMMYFUNCTION("""COMPUTED_VALUE"""),"091a13e5")</f>
        <v>091a13e5</v>
      </c>
      <c r="B495" s="5">
        <f ca="1">IFERROR(__xludf.DUMMYFUNCTION("""COMPUTED_VALUE"""),45770.8089814814)</f>
        <v>45770.808981481401</v>
      </c>
      <c r="C495" s="2" t="str">
        <f ca="1">IFERROR(__xludf.DUMMYFUNCTION("""COMPUTED_VALUE"""),"d251428e")</f>
        <v>d251428e</v>
      </c>
      <c r="D495" s="2">
        <f ca="1">IFERROR(__xludf.DUMMYFUNCTION("""COMPUTED_VALUE"""),110)</f>
        <v>110</v>
      </c>
      <c r="E495" s="2" t="str">
        <f ca="1">IFERROR(__xludf.DUMMYFUNCTION("""COMPUTED_VALUE"""),"Borra")</f>
        <v>Borra</v>
      </c>
      <c r="F495" s="2">
        <f ca="1">IFERROR(__xludf.DUMMYFUNCTION("""COMPUTED_VALUE"""),8600)</f>
        <v>8600</v>
      </c>
      <c r="G495" s="2">
        <f ca="1">IFERROR(__xludf.DUMMYFUNCTION("""COMPUTED_VALUE"""),500)</f>
        <v>500</v>
      </c>
      <c r="H495" s="2" t="str">
        <f ca="1">IFERROR(__xludf.DUMMYFUNCTION("""COMPUTED_VALUE"""),"b72e8fa5")</f>
        <v>b72e8fa5</v>
      </c>
      <c r="I495" s="2" t="str">
        <f ca="1">IFERROR(__xludf.DUMMYFUNCTION("""COMPUTED_VALUE"""),"Ajuste semana 22/04/25")</f>
        <v>Ajuste semana 22/04/25</v>
      </c>
      <c r="J495" s="2">
        <f ca="1">IFERROR(__xludf.DUMMYFUNCTION("""COMPUTED_VALUE"""),100651)</f>
        <v>100651</v>
      </c>
      <c r="K495" s="2">
        <f ca="1">IFERROR(__xludf.DUMMYFUNCTION("""COMPUTED_VALUE"""),109251)</f>
        <v>109251</v>
      </c>
      <c r="L495" s="2" t="str">
        <f ca="1">IFERROR(__xludf.DUMMYFUNCTION("""COMPUTED_VALUE"""),"6eff06c5")</f>
        <v>6eff06c5</v>
      </c>
      <c r="M495" s="2" t="str">
        <f ca="1">IFERROR(__xludf.DUMMYFUNCTION("""COMPUTED_VALUE"""),"Ajuste semana 22/04/25")</f>
        <v>Ajuste semana 22/04/25</v>
      </c>
      <c r="N495" s="2"/>
      <c r="O495" s="2" t="str">
        <f ca="1">IFERROR(__xludf.DUMMYFUNCTION("""COMPUTED_VALUE"""),"Descubada")</f>
        <v>Descubada</v>
      </c>
      <c r="P495" s="2" t="str">
        <f ca="1">IFERROR(__xludf.DUMMYFUNCTION("""COMPUTED_VALUE"""),"Terminado")</f>
        <v>Terminado</v>
      </c>
      <c r="Q495" s="2" t="b">
        <f ca="1">IFERROR(__xludf.DUMMYFUNCTION("""COMPUTED_VALUE"""),TRUE)</f>
        <v>1</v>
      </c>
      <c r="R495" s="2" t="str">
        <f ca="1">IFERROR(__xludf.DUMMYFUNCTION("""COMPUTED_VALUE"""),"Terminado")</f>
        <v>Terminado</v>
      </c>
      <c r="S495" s="2"/>
      <c r="T495" s="2"/>
      <c r="U495" s="2"/>
    </row>
    <row r="496" spans="1:21" x14ac:dyDescent="0.25">
      <c r="A496" s="2" t="str">
        <f ca="1">IFERROR(__xludf.DUMMYFUNCTION("""COMPUTED_VALUE"""),"47cf1b1f")</f>
        <v>47cf1b1f</v>
      </c>
      <c r="B496" s="5">
        <f ca="1">IFERROR(__xludf.DUMMYFUNCTION("""COMPUTED_VALUE"""),45770.8093402777)</f>
        <v>45770.809340277701</v>
      </c>
      <c r="C496" s="2" t="str">
        <f ca="1">IFERROR(__xludf.DUMMYFUNCTION("""COMPUTED_VALUE"""),"03e27ebe")</f>
        <v>03e27ebe</v>
      </c>
      <c r="D496" s="2">
        <f ca="1">IFERROR(__xludf.DUMMYFUNCTION("""COMPUTED_VALUE"""),115)</f>
        <v>115</v>
      </c>
      <c r="E496" s="2" t="str">
        <f ca="1">IFERROR(__xludf.DUMMYFUNCTION("""COMPUTED_VALUE"""),"Syrah Tempranillo")</f>
        <v>Syrah Tempranillo</v>
      </c>
      <c r="F496" s="2">
        <f ca="1">IFERROR(__xludf.DUMMYFUNCTION("""COMPUTED_VALUE"""),4000)</f>
        <v>4000</v>
      </c>
      <c r="G496" s="2">
        <f ca="1">IFERROR(__xludf.DUMMYFUNCTION("""COMPUTED_VALUE"""),500)</f>
        <v>500</v>
      </c>
      <c r="H496" s="2" t="str">
        <f ca="1">IFERROR(__xludf.DUMMYFUNCTION("""COMPUTED_VALUE"""),"6eff06c5")</f>
        <v>6eff06c5</v>
      </c>
      <c r="I496" s="2" t="str">
        <f ca="1">IFERROR(__xludf.DUMMYFUNCTION("""COMPUTED_VALUE"""),"Ajuste semana 22/04/25")</f>
        <v>Ajuste semana 22/04/25</v>
      </c>
      <c r="J496" s="2">
        <f ca="1">IFERROR(__xludf.DUMMYFUNCTION("""COMPUTED_VALUE"""),109251)</f>
        <v>109251</v>
      </c>
      <c r="K496" s="2">
        <f ca="1">IFERROR(__xludf.DUMMYFUNCTION("""COMPUTED_VALUE"""),113251)</f>
        <v>113251</v>
      </c>
      <c r="L496" s="2" t="str">
        <f ca="1">IFERROR(__xludf.DUMMYFUNCTION("""COMPUTED_VALUE"""),"8eb42fc1")</f>
        <v>8eb42fc1</v>
      </c>
      <c r="M496" s="2" t="str">
        <f ca="1">IFERROR(__xludf.DUMMYFUNCTION("""COMPUTED_VALUE"""),"Ajuste semana 22/04/25")</f>
        <v>Ajuste semana 22/04/25</v>
      </c>
      <c r="N496" s="2"/>
      <c r="O496" s="2" t="str">
        <f ca="1">IFERROR(__xludf.DUMMYFUNCTION("""COMPUTED_VALUE"""),"1er Trasiego")</f>
        <v>1er Trasiego</v>
      </c>
      <c r="P496" s="2" t="str">
        <f ca="1">IFERROR(__xludf.DUMMYFUNCTION("""COMPUTED_VALUE"""),"Terminado")</f>
        <v>Terminado</v>
      </c>
      <c r="Q496" s="2" t="b">
        <f ca="1">IFERROR(__xludf.DUMMYFUNCTION("""COMPUTED_VALUE"""),TRUE)</f>
        <v>1</v>
      </c>
      <c r="R496" s="2" t="str">
        <f ca="1">IFERROR(__xludf.DUMMYFUNCTION("""COMPUTED_VALUE"""),"Terminado")</f>
        <v>Terminado</v>
      </c>
      <c r="S496" s="2"/>
      <c r="T496" s="2"/>
      <c r="U496" s="2"/>
    </row>
    <row r="497" spans="1:21" x14ac:dyDescent="0.25">
      <c r="A497" s="2" t="str">
        <f ca="1">IFERROR(__xludf.DUMMYFUNCTION("""COMPUTED_VALUE"""),"3c6de361")</f>
        <v>3c6de361</v>
      </c>
      <c r="B497" s="5">
        <f ca="1">IFERROR(__xludf.DUMMYFUNCTION("""COMPUTED_VALUE"""),45770.8127893518)</f>
        <v>45770.812789351803</v>
      </c>
      <c r="C497" s="2" t="str">
        <f ca="1">IFERROR(__xludf.DUMMYFUNCTION("""COMPUTED_VALUE"""),"27a8c5fb")</f>
        <v>27a8c5fb</v>
      </c>
      <c r="D497" s="2">
        <f ca="1">IFERROR(__xludf.DUMMYFUNCTION("""COMPUTED_VALUE"""),116)</f>
        <v>116</v>
      </c>
      <c r="E497" s="2" t="str">
        <f ca="1">IFERROR(__xludf.DUMMYFUNCTION("""COMPUTED_VALUE"""),"Tinto")</f>
        <v>Tinto</v>
      </c>
      <c r="F497" s="2">
        <f ca="1">IFERROR(__xludf.DUMMYFUNCTION("""COMPUTED_VALUE"""),3000)</f>
        <v>3000</v>
      </c>
      <c r="G497" s="2">
        <f ca="1">IFERROR(__xludf.DUMMYFUNCTION("""COMPUTED_VALUE"""),500)</f>
        <v>500</v>
      </c>
      <c r="H497" s="2" t="str">
        <f ca="1">IFERROR(__xludf.DUMMYFUNCTION("""COMPUTED_VALUE"""),"8eb42fc1")</f>
        <v>8eb42fc1</v>
      </c>
      <c r="I497" s="2" t="str">
        <f ca="1">IFERROR(__xludf.DUMMYFUNCTION("""COMPUTED_VALUE"""),"Ajuste semana 22/04/25")</f>
        <v>Ajuste semana 22/04/25</v>
      </c>
      <c r="J497" s="2">
        <f ca="1">IFERROR(__xludf.DUMMYFUNCTION("""COMPUTED_VALUE"""),113251)</f>
        <v>113251</v>
      </c>
      <c r="K497" s="2">
        <f ca="1">IFERROR(__xludf.DUMMYFUNCTION("""COMPUTED_VALUE"""),116251)</f>
        <v>116251</v>
      </c>
      <c r="L497" s="2" t="str">
        <f ca="1">IFERROR(__xludf.DUMMYFUNCTION("""COMPUTED_VALUE"""),"684dcfdb")</f>
        <v>684dcfdb</v>
      </c>
      <c r="M497" s="2" t="str">
        <f ca="1">IFERROR(__xludf.DUMMYFUNCTION("""COMPUTED_VALUE"""),"Ajuste semana 22/04/25")</f>
        <v>Ajuste semana 22/04/25</v>
      </c>
      <c r="N497" s="2"/>
      <c r="O497" s="2" t="str">
        <f ca="1">IFERROR(__xludf.DUMMYFUNCTION("""COMPUTED_VALUE"""),"Descubada")</f>
        <v>Descubada</v>
      </c>
      <c r="P497" s="2" t="str">
        <f ca="1">IFERROR(__xludf.DUMMYFUNCTION("""COMPUTED_VALUE"""),"Terminado")</f>
        <v>Terminado</v>
      </c>
      <c r="Q497" s="2" t="b">
        <f ca="1">IFERROR(__xludf.DUMMYFUNCTION("""COMPUTED_VALUE"""),TRUE)</f>
        <v>1</v>
      </c>
      <c r="R497" s="2" t="str">
        <f ca="1">IFERROR(__xludf.DUMMYFUNCTION("""COMPUTED_VALUE"""),"Terminado")</f>
        <v>Terminado</v>
      </c>
      <c r="S497" s="2"/>
      <c r="T497" s="2"/>
      <c r="U497" s="2"/>
    </row>
    <row r="498" spans="1:21" x14ac:dyDescent="0.25">
      <c r="A498" s="2" t="str">
        <f ca="1">IFERROR(__xludf.DUMMYFUNCTION("""COMPUTED_VALUE"""),"ff2fba90")</f>
        <v>ff2fba90</v>
      </c>
      <c r="B498" s="5">
        <f ca="1">IFERROR(__xludf.DUMMYFUNCTION("""COMPUTED_VALUE"""),45770.8139814814)</f>
        <v>45770.813981481399</v>
      </c>
      <c r="C498" s="2" t="str">
        <f ca="1">IFERROR(__xludf.DUMMYFUNCTION("""COMPUTED_VALUE"""),"8ec426a5")</f>
        <v>8ec426a5</v>
      </c>
      <c r="D498" s="2">
        <f ca="1">IFERROR(__xludf.DUMMYFUNCTION("""COMPUTED_VALUE"""),118)</f>
        <v>118</v>
      </c>
      <c r="E498" s="2" t="str">
        <f ca="1">IFERROR(__xludf.DUMMYFUNCTION("""COMPUTED_VALUE"""),"Bonarda")</f>
        <v>Bonarda</v>
      </c>
      <c r="F498" s="2">
        <f ca="1">IFERROR(__xludf.DUMMYFUNCTION("""COMPUTED_VALUE"""),600)</f>
        <v>600</v>
      </c>
      <c r="G498" s="2">
        <f ca="1">IFERROR(__xludf.DUMMYFUNCTION("""COMPUTED_VALUE"""),500)</f>
        <v>500</v>
      </c>
      <c r="H498" s="2" t="str">
        <f ca="1">IFERROR(__xludf.DUMMYFUNCTION("""COMPUTED_VALUE"""),"684dcfdb")</f>
        <v>684dcfdb</v>
      </c>
      <c r="I498" s="2" t="str">
        <f ca="1">IFERROR(__xludf.DUMMYFUNCTION("""COMPUTED_VALUE"""),"Ajuste semana 22/04/25")</f>
        <v>Ajuste semana 22/04/25</v>
      </c>
      <c r="J498" s="2">
        <f ca="1">IFERROR(__xludf.DUMMYFUNCTION("""COMPUTED_VALUE"""),116251)</f>
        <v>116251</v>
      </c>
      <c r="K498" s="2">
        <f ca="1">IFERROR(__xludf.DUMMYFUNCTION("""COMPUTED_VALUE"""),116851)</f>
        <v>116851</v>
      </c>
      <c r="L498" s="2" t="str">
        <f ca="1">IFERROR(__xludf.DUMMYFUNCTION("""COMPUTED_VALUE"""),"f3aba56a")</f>
        <v>f3aba56a</v>
      </c>
      <c r="M498" s="2" t="str">
        <f ca="1">IFERROR(__xludf.DUMMYFUNCTION("""COMPUTED_VALUE"""),"Ajuste semana 22/04/25")</f>
        <v>Ajuste semana 22/04/25</v>
      </c>
      <c r="N498" s="2"/>
      <c r="O498" s="2" t="str">
        <f ca="1">IFERROR(__xludf.DUMMYFUNCTION("""COMPUTED_VALUE"""),"Descubada")</f>
        <v>Descubada</v>
      </c>
      <c r="P498" s="2" t="str">
        <f ca="1">IFERROR(__xludf.DUMMYFUNCTION("""COMPUTED_VALUE"""),"Terminado")</f>
        <v>Terminado</v>
      </c>
      <c r="Q498" s="2" t="b">
        <f ca="1">IFERROR(__xludf.DUMMYFUNCTION("""COMPUTED_VALUE"""),TRUE)</f>
        <v>1</v>
      </c>
      <c r="R498" s="2" t="str">
        <f ca="1">IFERROR(__xludf.DUMMYFUNCTION("""COMPUTED_VALUE"""),"Terminado")</f>
        <v>Terminado</v>
      </c>
      <c r="S498" s="2"/>
      <c r="T498" s="2"/>
      <c r="U498" s="2"/>
    </row>
    <row r="499" spans="1:21" x14ac:dyDescent="0.25">
      <c r="A499" s="2" t="str">
        <f ca="1">IFERROR(__xludf.DUMMYFUNCTION("""COMPUTED_VALUE"""),"7bd8590f")</f>
        <v>7bd8590f</v>
      </c>
      <c r="B499" s="5">
        <f ca="1">IFERROR(__xludf.DUMMYFUNCTION("""COMPUTED_VALUE"""),45770.8144675925)</f>
        <v>45770.8144675925</v>
      </c>
      <c r="C499" s="2" t="str">
        <f ca="1">IFERROR(__xludf.DUMMYFUNCTION("""COMPUTED_VALUE"""),"5a534180")</f>
        <v>5a534180</v>
      </c>
      <c r="D499" s="2">
        <f ca="1">IFERROR(__xludf.DUMMYFUNCTION("""COMPUTED_VALUE"""),125)</f>
        <v>125</v>
      </c>
      <c r="E499" s="2" t="str">
        <f ca="1">IFERROR(__xludf.DUMMYFUNCTION("""COMPUTED_VALUE"""),"Tinto s/Bonarda")</f>
        <v>Tinto s/Bonarda</v>
      </c>
      <c r="F499" s="2">
        <f ca="1">IFERROR(__xludf.DUMMYFUNCTION("""COMPUTED_VALUE"""),2500)</f>
        <v>2500</v>
      </c>
      <c r="G499" s="2">
        <f ca="1">IFERROR(__xludf.DUMMYFUNCTION("""COMPUTED_VALUE"""),500)</f>
        <v>500</v>
      </c>
      <c r="H499" s="2" t="str">
        <f ca="1">IFERROR(__xludf.DUMMYFUNCTION("""COMPUTED_VALUE"""),"f3aba56a")</f>
        <v>f3aba56a</v>
      </c>
      <c r="I499" s="2" t="str">
        <f ca="1">IFERROR(__xludf.DUMMYFUNCTION("""COMPUTED_VALUE"""),"Ajuste semana 22/04/25")</f>
        <v>Ajuste semana 22/04/25</v>
      </c>
      <c r="J499" s="2">
        <f ca="1">IFERROR(__xludf.DUMMYFUNCTION("""COMPUTED_VALUE"""),116851)</f>
        <v>116851</v>
      </c>
      <c r="K499" s="2">
        <f ca="1">IFERROR(__xludf.DUMMYFUNCTION("""COMPUTED_VALUE"""),119351)</f>
        <v>119351</v>
      </c>
      <c r="L499" s="2" t="str">
        <f ca="1">IFERROR(__xludf.DUMMYFUNCTION("""COMPUTED_VALUE"""),"3e75d6d3")</f>
        <v>3e75d6d3</v>
      </c>
      <c r="M499" s="2" t="str">
        <f ca="1">IFERROR(__xludf.DUMMYFUNCTION("""COMPUTED_VALUE"""),"Ajuste semana 22/04/25")</f>
        <v>Ajuste semana 22/04/25</v>
      </c>
      <c r="N499" s="2"/>
      <c r="O499" s="2" t="str">
        <f ca="1">IFERROR(__xludf.DUMMYFUNCTION("""COMPUTED_VALUE"""),"Descubada")</f>
        <v>Descubada</v>
      </c>
      <c r="P499" s="2" t="str">
        <f ca="1">IFERROR(__xludf.DUMMYFUNCTION("""COMPUTED_VALUE"""),"Terminado")</f>
        <v>Terminado</v>
      </c>
      <c r="Q499" s="2" t="b">
        <f ca="1">IFERROR(__xludf.DUMMYFUNCTION("""COMPUTED_VALUE"""),TRUE)</f>
        <v>1</v>
      </c>
      <c r="R499" s="2" t="str">
        <f ca="1">IFERROR(__xludf.DUMMYFUNCTION("""COMPUTED_VALUE"""),"Terminado")</f>
        <v>Terminado</v>
      </c>
      <c r="S499" s="2"/>
      <c r="T499" s="2"/>
      <c r="U499" s="2"/>
    </row>
    <row r="500" spans="1:21" x14ac:dyDescent="0.25">
      <c r="A500" s="2" t="str">
        <f ca="1">IFERROR(__xludf.DUMMYFUNCTION("""COMPUTED_VALUE"""),"40b23cbf")</f>
        <v>40b23cbf</v>
      </c>
      <c r="B500" s="5">
        <f ca="1">IFERROR(__xludf.DUMMYFUNCTION("""COMPUTED_VALUE"""),45770.814699074)</f>
        <v>45770.814699073999</v>
      </c>
      <c r="C500" s="2" t="str">
        <f ca="1">IFERROR(__xludf.DUMMYFUNCTION("""COMPUTED_VALUE"""),"781075f7")</f>
        <v>781075f7</v>
      </c>
      <c r="D500" s="2">
        <f ca="1">IFERROR(__xludf.DUMMYFUNCTION("""COMPUTED_VALUE"""),126)</f>
        <v>126</v>
      </c>
      <c r="E500" s="2" t="str">
        <f ca="1">IFERROR(__xludf.DUMMYFUNCTION("""COMPUTED_VALUE"""),"Tinto s/Bonarda")</f>
        <v>Tinto s/Bonarda</v>
      </c>
      <c r="F500" s="2">
        <f ca="1">IFERROR(__xludf.DUMMYFUNCTION("""COMPUTED_VALUE"""),2500)</f>
        <v>2500</v>
      </c>
      <c r="G500" s="2">
        <f ca="1">IFERROR(__xludf.DUMMYFUNCTION("""COMPUTED_VALUE"""),500)</f>
        <v>500</v>
      </c>
      <c r="H500" s="2" t="str">
        <f ca="1">IFERROR(__xludf.DUMMYFUNCTION("""COMPUTED_VALUE"""),"3e75d6d3")</f>
        <v>3e75d6d3</v>
      </c>
      <c r="I500" s="2" t="str">
        <f ca="1">IFERROR(__xludf.DUMMYFUNCTION("""COMPUTED_VALUE"""),"Ajuste semana 22/04/25")</f>
        <v>Ajuste semana 22/04/25</v>
      </c>
      <c r="J500" s="2">
        <f ca="1">IFERROR(__xludf.DUMMYFUNCTION("""COMPUTED_VALUE"""),119351)</f>
        <v>119351</v>
      </c>
      <c r="K500" s="2">
        <f ca="1">IFERROR(__xludf.DUMMYFUNCTION("""COMPUTED_VALUE"""),121851)</f>
        <v>121851</v>
      </c>
      <c r="L500" s="2" t="str">
        <f ca="1">IFERROR(__xludf.DUMMYFUNCTION("""COMPUTED_VALUE"""),"8024bac4")</f>
        <v>8024bac4</v>
      </c>
      <c r="M500" s="2" t="str">
        <f ca="1">IFERROR(__xludf.DUMMYFUNCTION("""COMPUTED_VALUE"""),"Ajuste semana 22/04/25")</f>
        <v>Ajuste semana 22/04/25</v>
      </c>
      <c r="N500" s="2"/>
      <c r="O500" s="2" t="str">
        <f ca="1">IFERROR(__xludf.DUMMYFUNCTION("""COMPUTED_VALUE"""),"Descubada")</f>
        <v>Descubada</v>
      </c>
      <c r="P500" s="2" t="str">
        <f ca="1">IFERROR(__xludf.DUMMYFUNCTION("""COMPUTED_VALUE"""),"Terminado")</f>
        <v>Terminado</v>
      </c>
      <c r="Q500" s="2" t="b">
        <f ca="1">IFERROR(__xludf.DUMMYFUNCTION("""COMPUTED_VALUE"""),TRUE)</f>
        <v>1</v>
      </c>
      <c r="R500" s="2" t="str">
        <f ca="1">IFERROR(__xludf.DUMMYFUNCTION("""COMPUTED_VALUE"""),"Terminado")</f>
        <v>Terminado</v>
      </c>
      <c r="S500" s="2"/>
      <c r="T500" s="2"/>
      <c r="U500" s="2"/>
    </row>
    <row r="501" spans="1:21" x14ac:dyDescent="0.25">
      <c r="A501" s="2" t="str">
        <f ca="1">IFERROR(__xludf.DUMMYFUNCTION("""COMPUTED_VALUE"""),"4527cf43")</f>
        <v>4527cf43</v>
      </c>
      <c r="B501" s="5">
        <f ca="1">IFERROR(__xludf.DUMMYFUNCTION("""COMPUTED_VALUE"""),45771.5250694444)</f>
        <v>45771.525069444397</v>
      </c>
      <c r="C501" s="2" t="str">
        <f ca="1">IFERROR(__xludf.DUMMYFUNCTION("""COMPUTED_VALUE"""),"163518fc")</f>
        <v>163518fc</v>
      </c>
      <c r="D501" s="2">
        <f ca="1">IFERROR(__xludf.DUMMYFUNCTION("""COMPUTED_VALUE"""),91)</f>
        <v>91</v>
      </c>
      <c r="E501" s="2" t="str">
        <f ca="1">IFERROR(__xludf.DUMMYFUNCTION("""COMPUTED_VALUE"""),"Tinto s/Bonarda 2da")</f>
        <v>Tinto s/Bonarda 2da</v>
      </c>
      <c r="F501" s="2">
        <f ca="1">IFERROR(__xludf.DUMMYFUNCTION("""COMPUTED_VALUE"""),50000)</f>
        <v>50000</v>
      </c>
      <c r="G501" s="2">
        <f ca="1">IFERROR(__xludf.DUMMYFUNCTION("""COMPUTED_VALUE"""),96)</f>
        <v>96</v>
      </c>
      <c r="H501" s="2" t="str">
        <f ca="1">IFERROR(__xludf.DUMMYFUNCTION("""COMPUTED_VALUE"""),"e2301c9d")</f>
        <v>e2301c9d</v>
      </c>
      <c r="I501" s="2" t="str">
        <f ca="1">IFERROR(__xludf.DUMMYFUNCTION("""COMPUTED_VALUE"""),"Tinto")</f>
        <v>Tinto</v>
      </c>
      <c r="J501" s="2">
        <f ca="1">IFERROR(__xludf.DUMMYFUNCTION("""COMPUTED_VALUE"""),24700)</f>
        <v>24700</v>
      </c>
      <c r="K501" s="2">
        <f ca="1">IFERROR(__xludf.DUMMYFUNCTION("""COMPUTED_VALUE"""),74700)</f>
        <v>74700</v>
      </c>
      <c r="L501" s="2" t="str">
        <f ca="1">IFERROR(__xludf.DUMMYFUNCTION("""COMPUTED_VALUE"""),"6feed4a6")</f>
        <v>6feed4a6</v>
      </c>
      <c r="M501" s="2" t="str">
        <f ca="1">IFERROR(__xludf.DUMMYFUNCTION("""COMPUTED_VALUE"""),"Tinto")</f>
        <v>Tinto</v>
      </c>
      <c r="N501" s="2" t="str">
        <f ca="1">IFERROR(__xludf.DUMMYFUNCTION("""COMPUTED_VALUE"""),"gota y prensa")</f>
        <v>gota y prensa</v>
      </c>
      <c r="O501" s="2" t="str">
        <f ca="1">IFERROR(__xludf.DUMMYFUNCTION("""COMPUTED_VALUE"""),"Recarga Fermentando")</f>
        <v>Recarga Fermentando</v>
      </c>
      <c r="P501" s="2" t="str">
        <f ca="1">IFERROR(__xludf.DUMMYFUNCTION("""COMPUTED_VALUE"""),"Descubada")</f>
        <v>Descubada</v>
      </c>
      <c r="Q501" s="2" t="b">
        <f ca="1">IFERROR(__xludf.DUMMYFUNCTION("""COMPUTED_VALUE"""),TRUE)</f>
        <v>1</v>
      </c>
      <c r="R501" s="2" t="str">
        <f ca="1">IFERROR(__xludf.DUMMYFUNCTION("""COMPUTED_VALUE"""),"Descubada")</f>
        <v>Descubada</v>
      </c>
      <c r="S501" s="2"/>
      <c r="T501" s="2"/>
      <c r="U501" s="2"/>
    </row>
    <row r="502" spans="1:21" x14ac:dyDescent="0.25">
      <c r="A502" s="2" t="str">
        <f ca="1">IFERROR(__xludf.DUMMYFUNCTION("""COMPUTED_VALUE"""),"b9c1a6b0")</f>
        <v>b9c1a6b0</v>
      </c>
      <c r="B502" s="5">
        <f ca="1">IFERROR(__xludf.DUMMYFUNCTION("""COMPUTED_VALUE"""),45771.5255555555)</f>
        <v>45771.525555555498</v>
      </c>
      <c r="C502" s="2" t="str">
        <f ca="1">IFERROR(__xludf.DUMMYFUNCTION("""COMPUTED_VALUE"""),"3cd08afc")</f>
        <v>3cd08afc</v>
      </c>
      <c r="D502" s="2">
        <f ca="1">IFERROR(__xludf.DUMMYFUNCTION("""COMPUTED_VALUE"""),84)</f>
        <v>84</v>
      </c>
      <c r="E502" s="2" t="str">
        <f ca="1">IFERROR(__xludf.DUMMYFUNCTION("""COMPUTED_VALUE"""),"Tinto s/Bonarda 2da")</f>
        <v>Tinto s/Bonarda 2da</v>
      </c>
      <c r="F502" s="2">
        <f ca="1">IFERROR(__xludf.DUMMYFUNCTION("""COMPUTED_VALUE"""),10900)</f>
        <v>10900</v>
      </c>
      <c r="G502" s="2">
        <f ca="1">IFERROR(__xludf.DUMMYFUNCTION("""COMPUTED_VALUE"""),96)</f>
        <v>96</v>
      </c>
      <c r="H502" s="2" t="str">
        <f ca="1">IFERROR(__xludf.DUMMYFUNCTION("""COMPUTED_VALUE"""),"6feed4a6")</f>
        <v>6feed4a6</v>
      </c>
      <c r="I502" s="2" t="str">
        <f ca="1">IFERROR(__xludf.DUMMYFUNCTION("""COMPUTED_VALUE"""),"Tinto")</f>
        <v>Tinto</v>
      </c>
      <c r="J502" s="2">
        <f ca="1">IFERROR(__xludf.DUMMYFUNCTION("""COMPUTED_VALUE"""),74700)</f>
        <v>74700</v>
      </c>
      <c r="K502" s="2">
        <f ca="1">IFERROR(__xludf.DUMMYFUNCTION("""COMPUTED_VALUE"""),85600)</f>
        <v>85600</v>
      </c>
      <c r="L502" s="2" t="str">
        <f ca="1">IFERROR(__xludf.DUMMYFUNCTION("""COMPUTED_VALUE"""),"cf107ae5")</f>
        <v>cf107ae5</v>
      </c>
      <c r="M502" s="2" t="str">
        <f ca="1">IFERROR(__xludf.DUMMYFUNCTION("""COMPUTED_VALUE"""),"Tinto")</f>
        <v>Tinto</v>
      </c>
      <c r="N502" s="2"/>
      <c r="O502" s="2" t="str">
        <f ca="1">IFERROR(__xludf.DUMMYFUNCTION("""COMPUTED_VALUE"""),"Recarga Fermentando")</f>
        <v>Recarga Fermentando</v>
      </c>
      <c r="P502" s="2" t="str">
        <f ca="1">IFERROR(__xludf.DUMMYFUNCTION("""COMPUTED_VALUE"""),"Descubada")</f>
        <v>Descubada</v>
      </c>
      <c r="Q502" s="2" t="b">
        <f ca="1">IFERROR(__xludf.DUMMYFUNCTION("""COMPUTED_VALUE"""),TRUE)</f>
        <v>1</v>
      </c>
      <c r="R502" s="2" t="str">
        <f ca="1">IFERROR(__xludf.DUMMYFUNCTION("""COMPUTED_VALUE"""),"Descubada")</f>
        <v>Descubada</v>
      </c>
      <c r="S502" s="2"/>
      <c r="T502" s="2"/>
      <c r="U502" s="2"/>
    </row>
    <row r="503" spans="1:21" x14ac:dyDescent="0.25">
      <c r="A503" s="2" t="str">
        <f ca="1">IFERROR(__xludf.DUMMYFUNCTION("""COMPUTED_VALUE"""),"f092b0cc")</f>
        <v>f092b0cc</v>
      </c>
      <c r="B503" s="5">
        <f ca="1">IFERROR(__xludf.DUMMYFUNCTION("""COMPUTED_VALUE"""),45771.5259143518)</f>
        <v>45771.525914351798</v>
      </c>
      <c r="C503" s="2" t="str">
        <f ca="1">IFERROR(__xludf.DUMMYFUNCTION("""COMPUTED_VALUE"""),"3cd08afc")</f>
        <v>3cd08afc</v>
      </c>
      <c r="D503" s="2">
        <f ca="1">IFERROR(__xludf.DUMMYFUNCTION("""COMPUTED_VALUE"""),84)</f>
        <v>84</v>
      </c>
      <c r="E503" s="2" t="str">
        <f ca="1">IFERROR(__xludf.DUMMYFUNCTION("""COMPUTED_VALUE"""),"Tinto s/Bonarda 2da")</f>
        <v>Tinto s/Bonarda 2da</v>
      </c>
      <c r="F503" s="2">
        <f ca="1">IFERROR(__xludf.DUMMYFUNCTION("""COMPUTED_VALUE"""),43100)</f>
        <v>43100</v>
      </c>
      <c r="G503" s="2">
        <f ca="1">IFERROR(__xludf.DUMMYFUNCTION("""COMPUTED_VALUE"""),83)</f>
        <v>83</v>
      </c>
      <c r="H503" s="2"/>
      <c r="I503" s="2"/>
      <c r="J503" s="2">
        <f ca="1">IFERROR(__xludf.DUMMYFUNCTION("""COMPUTED_VALUE"""),0)</f>
        <v>0</v>
      </c>
      <c r="K503" s="2">
        <f ca="1">IFERROR(__xludf.DUMMYFUNCTION("""COMPUTED_VALUE"""),43100)</f>
        <v>43100</v>
      </c>
      <c r="L503" s="2" t="str">
        <f ca="1">IFERROR(__xludf.DUMMYFUNCTION("""COMPUTED_VALUE"""),"7ff93f30")</f>
        <v>7ff93f30</v>
      </c>
      <c r="M503" s="2" t="str">
        <f ca="1">IFERROR(__xludf.DUMMYFUNCTION("""COMPUTED_VALUE"""),"Tinto 2da")</f>
        <v>Tinto 2da</v>
      </c>
      <c r="N503" s="2"/>
      <c r="O503" s="2" t="str">
        <f ca="1">IFERROR(__xludf.DUMMYFUNCTION("""COMPUTED_VALUE"""),"Recarga Fermentando")</f>
        <v>Recarga Fermentando</v>
      </c>
      <c r="P503" s="2"/>
      <c r="Q503" s="2" t="b">
        <f ca="1">IFERROR(__xludf.DUMMYFUNCTION("""COMPUTED_VALUE"""),FALSE)</f>
        <v>0</v>
      </c>
      <c r="R503" s="2" t="str">
        <f ca="1">IFERROR(__xludf.DUMMYFUNCTION("""COMPUTED_VALUE"""),"Descubada")</f>
        <v>Descubada</v>
      </c>
      <c r="S503" s="2"/>
      <c r="T503" s="2"/>
      <c r="U503" s="2"/>
    </row>
    <row r="504" spans="1:21" x14ac:dyDescent="0.25">
      <c r="A504" s="2" t="str">
        <f ca="1">IFERROR(__xludf.DUMMYFUNCTION("""COMPUTED_VALUE"""),"a0a798a6")</f>
        <v>a0a798a6</v>
      </c>
      <c r="B504" s="5">
        <f ca="1">IFERROR(__xludf.DUMMYFUNCTION("""COMPUTED_VALUE"""),45772.7285648148)</f>
        <v>45772.728564814803</v>
      </c>
      <c r="C504" s="2" t="str">
        <f ca="1">IFERROR(__xludf.DUMMYFUNCTION("""COMPUTED_VALUE"""),"d53930ff")</f>
        <v>d53930ff</v>
      </c>
      <c r="D504" s="2">
        <f ca="1">IFERROR(__xludf.DUMMYFUNCTION("""COMPUTED_VALUE"""),150)</f>
        <v>150</v>
      </c>
      <c r="E504" s="2" t="str">
        <f ca="1">IFERROR(__xludf.DUMMYFUNCTION("""COMPUTED_VALUE"""),"Correccion")</f>
        <v>Correccion</v>
      </c>
      <c r="F504" s="2">
        <f ca="1">IFERROR(__xludf.DUMMYFUNCTION("""COMPUTED_VALUE"""),1500)</f>
        <v>1500</v>
      </c>
      <c r="G504" s="2">
        <f ca="1">IFERROR(__xludf.DUMMYFUNCTION("""COMPUTED_VALUE"""),77)</f>
        <v>77</v>
      </c>
      <c r="H504" s="2" t="str">
        <f ca="1">IFERROR(__xludf.DUMMYFUNCTION("""COMPUTED_VALUE"""),"5d344df8")</f>
        <v>5d344df8</v>
      </c>
      <c r="I504" s="2" t="str">
        <f ca="1">IFERROR(__xludf.DUMMYFUNCTION("""COMPUTED_VALUE"""),"Malbec")</f>
        <v>Malbec</v>
      </c>
      <c r="J504" s="2">
        <f ca="1">IFERROR(__xludf.DUMMYFUNCTION("""COMPUTED_VALUE"""),18000)</f>
        <v>18000</v>
      </c>
      <c r="K504" s="2">
        <f ca="1">IFERROR(__xludf.DUMMYFUNCTION("""COMPUTED_VALUE"""),19500)</f>
        <v>19500</v>
      </c>
      <c r="L504" s="2" t="str">
        <f ca="1">IFERROR(__xludf.DUMMYFUNCTION("""COMPUTED_VALUE"""),"0be7fff5")</f>
        <v>0be7fff5</v>
      </c>
      <c r="M504" s="2" t="str">
        <f ca="1">IFERROR(__xludf.DUMMYFUNCTION("""COMPUTED_VALUE"""),"Malbec")</f>
        <v>Malbec</v>
      </c>
      <c r="N504" s="2"/>
      <c r="O504" s="2" t="str">
        <f ca="1">IFERROR(__xludf.DUMMYFUNCTION("""COMPUTED_VALUE"""),"Terminado")</f>
        <v>Terminado</v>
      </c>
      <c r="P504" s="2" t="str">
        <f ca="1">IFERROR(__xludf.DUMMYFUNCTION("""COMPUTED_VALUE"""),"Fermentando")</f>
        <v>Fermentando</v>
      </c>
      <c r="Q504" s="2" t="b">
        <f ca="1">IFERROR(__xludf.DUMMYFUNCTION("""COMPUTED_VALUE"""),TRUE)</f>
        <v>1</v>
      </c>
      <c r="R504" s="2" t="str">
        <f ca="1">IFERROR(__xludf.DUMMYFUNCTION("""COMPUTED_VALUE"""),"Fermentando")</f>
        <v>Fermentando</v>
      </c>
      <c r="S504" s="2"/>
      <c r="T504" s="2"/>
      <c r="U504" s="2"/>
    </row>
    <row r="505" spans="1:21" x14ac:dyDescent="0.25">
      <c r="A505" s="2" t="str">
        <f ca="1">IFERROR(__xludf.DUMMYFUNCTION("""COMPUTED_VALUE"""),"cfa73ff6")</f>
        <v>cfa73ff6</v>
      </c>
      <c r="B505" s="5">
        <f ca="1">IFERROR(__xludf.DUMMYFUNCTION("""COMPUTED_VALUE"""),45772.7292824074)</f>
        <v>45772.729282407403</v>
      </c>
      <c r="C505" s="2" t="str">
        <f ca="1">IFERROR(__xludf.DUMMYFUNCTION("""COMPUTED_VALUE"""),"d53930ff")</f>
        <v>d53930ff</v>
      </c>
      <c r="D505" s="2">
        <f ca="1">IFERROR(__xludf.DUMMYFUNCTION("""COMPUTED_VALUE"""),150)</f>
        <v>150</v>
      </c>
      <c r="E505" s="2" t="str">
        <f ca="1">IFERROR(__xludf.DUMMYFUNCTION("""COMPUTED_VALUE"""),"Correccion")</f>
        <v>Correccion</v>
      </c>
      <c r="F505" s="2">
        <f ca="1">IFERROR(__xludf.DUMMYFUNCTION("""COMPUTED_VALUE"""),1000)</f>
        <v>1000</v>
      </c>
      <c r="G505" s="2">
        <f ca="1">IFERROR(__xludf.DUMMYFUNCTION("""COMPUTED_VALUE"""),76)</f>
        <v>76</v>
      </c>
      <c r="H505" s="2" t="str">
        <f ca="1">IFERROR(__xludf.DUMMYFUNCTION("""COMPUTED_VALUE"""),"df5e441f")</f>
        <v>df5e441f</v>
      </c>
      <c r="I505" s="2" t="str">
        <f ca="1">IFERROR(__xludf.DUMMYFUNCTION("""COMPUTED_VALUE"""),"Malbec")</f>
        <v>Malbec</v>
      </c>
      <c r="J505" s="2">
        <f ca="1">IFERROR(__xludf.DUMMYFUNCTION("""COMPUTED_VALUE"""),18000)</f>
        <v>18000</v>
      </c>
      <c r="K505" s="2">
        <f ca="1">IFERROR(__xludf.DUMMYFUNCTION("""COMPUTED_VALUE"""),19000)</f>
        <v>19000</v>
      </c>
      <c r="L505" s="2" t="str">
        <f ca="1">IFERROR(__xludf.DUMMYFUNCTION("""COMPUTED_VALUE"""),"db10cc10")</f>
        <v>db10cc10</v>
      </c>
      <c r="M505" s="2" t="str">
        <f ca="1">IFERROR(__xludf.DUMMYFUNCTION("""COMPUTED_VALUE"""),"Malbec")</f>
        <v>Malbec</v>
      </c>
      <c r="N505" s="2"/>
      <c r="O505" s="2" t="str">
        <f ca="1">IFERROR(__xludf.DUMMYFUNCTION("""COMPUTED_VALUE"""),"Terminado")</f>
        <v>Terminado</v>
      </c>
      <c r="P505" s="2" t="str">
        <f ca="1">IFERROR(__xludf.DUMMYFUNCTION("""COMPUTED_VALUE"""),"Fermentando")</f>
        <v>Fermentando</v>
      </c>
      <c r="Q505" s="2" t="b">
        <f ca="1">IFERROR(__xludf.DUMMYFUNCTION("""COMPUTED_VALUE"""),TRUE)</f>
        <v>1</v>
      </c>
      <c r="R505" s="2" t="str">
        <f ca="1">IFERROR(__xludf.DUMMYFUNCTION("""COMPUTED_VALUE"""),"Fermentando")</f>
        <v>Fermentando</v>
      </c>
      <c r="S505" s="2"/>
      <c r="T505" s="2"/>
      <c r="U505" s="2"/>
    </row>
    <row r="506" spans="1:21" x14ac:dyDescent="0.25">
      <c r="A506" s="2" t="str">
        <f ca="1">IFERROR(__xludf.DUMMYFUNCTION("""COMPUTED_VALUE"""),"8d771205")</f>
        <v>8d771205</v>
      </c>
      <c r="B506" s="5">
        <f ca="1">IFERROR(__xludf.DUMMYFUNCTION("""COMPUTED_VALUE"""),45772.7310879629)</f>
        <v>45772.7310879629</v>
      </c>
      <c r="C506" s="2" t="str">
        <f ca="1">IFERROR(__xludf.DUMMYFUNCTION("""COMPUTED_VALUE"""),"d24bb01b")</f>
        <v>d24bb01b</v>
      </c>
      <c r="D506" s="2">
        <f ca="1">IFERROR(__xludf.DUMMYFUNCTION("""COMPUTED_VALUE"""),88)</f>
        <v>88</v>
      </c>
      <c r="E506" s="2" t="str">
        <f ca="1">IFERROR(__xludf.DUMMYFUNCTION("""COMPUTED_VALUE"""),"Tinto s/Bonarda")</f>
        <v>Tinto s/Bonarda</v>
      </c>
      <c r="F506" s="2">
        <f ca="1">IFERROR(__xludf.DUMMYFUNCTION("""COMPUTED_VALUE"""),38400)</f>
        <v>38400</v>
      </c>
      <c r="G506" s="2">
        <f ca="1">IFERROR(__xludf.DUMMYFUNCTION("""COMPUTED_VALUE"""),83)</f>
        <v>83</v>
      </c>
      <c r="H506" s="2" t="str">
        <f ca="1">IFERROR(__xludf.DUMMYFUNCTION("""COMPUTED_VALUE"""),"7ff93f30")</f>
        <v>7ff93f30</v>
      </c>
      <c r="I506" s="2" t="str">
        <f ca="1">IFERROR(__xludf.DUMMYFUNCTION("""COMPUTED_VALUE"""),"Tinto 2da")</f>
        <v>Tinto 2da</v>
      </c>
      <c r="J506" s="2">
        <f ca="1">IFERROR(__xludf.DUMMYFUNCTION("""COMPUTED_VALUE"""),43100)</f>
        <v>43100</v>
      </c>
      <c r="K506" s="2">
        <f ca="1">IFERROR(__xludf.DUMMYFUNCTION("""COMPUTED_VALUE"""),81500)</f>
        <v>81500</v>
      </c>
      <c r="L506" s="2" t="str">
        <f ca="1">IFERROR(__xludf.DUMMYFUNCTION("""COMPUTED_VALUE"""),"7fce2b75")</f>
        <v>7fce2b75</v>
      </c>
      <c r="M506" s="2" t="str">
        <f ca="1">IFERROR(__xludf.DUMMYFUNCTION("""COMPUTED_VALUE"""),"Tinto")</f>
        <v>Tinto</v>
      </c>
      <c r="N506" s="2" t="str">
        <f ca="1">IFERROR(__xludf.DUMMYFUNCTION("""COMPUTED_VALUE"""),"descube gota y prensa")</f>
        <v>descube gota y prensa</v>
      </c>
      <c r="O506" s="2" t="str">
        <f ca="1">IFERROR(__xludf.DUMMYFUNCTION("""COMPUTED_VALUE"""),"Recarga Fermentando")</f>
        <v>Recarga Fermentando</v>
      </c>
      <c r="P506" s="2" t="str">
        <f ca="1">IFERROR(__xludf.DUMMYFUNCTION("""COMPUTED_VALUE"""),"Descubada")</f>
        <v>Descubada</v>
      </c>
      <c r="Q506" s="2" t="b">
        <f ca="1">IFERROR(__xludf.DUMMYFUNCTION("""COMPUTED_VALUE"""),TRUE)</f>
        <v>1</v>
      </c>
      <c r="R506" s="2" t="str">
        <f ca="1">IFERROR(__xludf.DUMMYFUNCTION("""COMPUTED_VALUE"""),"Descubada")</f>
        <v>Descubada</v>
      </c>
      <c r="S506" s="2"/>
      <c r="T506" s="2"/>
      <c r="U506" s="2"/>
    </row>
    <row r="507" spans="1:21" x14ac:dyDescent="0.25">
      <c r="A507" s="2" t="str">
        <f ca="1">IFERROR(__xludf.DUMMYFUNCTION("""COMPUTED_VALUE"""),"4fd0571c")</f>
        <v>4fd0571c</v>
      </c>
      <c r="B507" s="5">
        <f ca="1">IFERROR(__xludf.DUMMYFUNCTION("""COMPUTED_VALUE"""),45775.671099537)</f>
        <v>45775.671099537001</v>
      </c>
      <c r="C507" s="2" t="str">
        <f ca="1">IFERROR(__xludf.DUMMYFUNCTION("""COMPUTED_VALUE"""),"d24bb01b")</f>
        <v>d24bb01b</v>
      </c>
      <c r="D507" s="2">
        <f ca="1">IFERROR(__xludf.DUMMYFUNCTION("""COMPUTED_VALUE"""),88)</f>
        <v>88</v>
      </c>
      <c r="E507" s="2" t="str">
        <f ca="1">IFERROR(__xludf.DUMMYFUNCTION("""COMPUTED_VALUE"""),"Tinto s/Bonarda")</f>
        <v>Tinto s/Bonarda</v>
      </c>
      <c r="F507" s="2">
        <f ca="1">IFERROR(__xludf.DUMMYFUNCTION("""COMPUTED_VALUE"""),1600)</f>
        <v>1600</v>
      </c>
      <c r="G507" s="2">
        <f ca="1">IFERROR(__xludf.DUMMYFUNCTION("""COMPUTED_VALUE"""),11)</f>
        <v>11</v>
      </c>
      <c r="H507" s="2" t="str">
        <f ca="1">IFERROR(__xludf.DUMMYFUNCTION("""COMPUTED_VALUE"""),"b26e8cc6")</f>
        <v>b26e8cc6</v>
      </c>
      <c r="I507" s="2" t="str">
        <f ca="1">IFERROR(__xludf.DUMMYFUNCTION("""COMPUTED_VALUE"""),"Claro de filtro")</f>
        <v>Claro de filtro</v>
      </c>
      <c r="J507" s="2">
        <f ca="1">IFERROR(__xludf.DUMMYFUNCTION("""COMPUTED_VALUE"""),5000)</f>
        <v>5000</v>
      </c>
      <c r="K507" s="2">
        <f ca="1">IFERROR(__xludf.DUMMYFUNCTION("""COMPUTED_VALUE"""),6600)</f>
        <v>6600</v>
      </c>
      <c r="L507" s="2" t="str">
        <f ca="1">IFERROR(__xludf.DUMMYFUNCTION("""COMPUTED_VALUE"""),"60bf4ff8")</f>
        <v>60bf4ff8</v>
      </c>
      <c r="M507" s="2" t="str">
        <f ca="1">IFERROR(__xludf.DUMMYFUNCTION("""COMPUTED_VALUE"""),"Claro de filtro")</f>
        <v>Claro de filtro</v>
      </c>
      <c r="N507" s="2"/>
      <c r="O507" s="2" t="str">
        <f ca="1">IFERROR(__xludf.DUMMYFUNCTION("""COMPUTED_VALUE"""),"Recarga Fermentando")</f>
        <v>Recarga Fermentando</v>
      </c>
      <c r="P507" s="2" t="str">
        <f ca="1">IFERROR(__xludf.DUMMYFUNCTION("""COMPUTED_VALUE"""),"Descubada")</f>
        <v>Descubada</v>
      </c>
      <c r="Q507" s="2" t="b">
        <f ca="1">IFERROR(__xludf.DUMMYFUNCTION("""COMPUTED_VALUE"""),TRUE)</f>
        <v>1</v>
      </c>
      <c r="R507" s="2" t="str">
        <f ca="1">IFERROR(__xludf.DUMMYFUNCTION("""COMPUTED_VALUE"""),"Descubada")</f>
        <v>Descubada</v>
      </c>
      <c r="S507" s="2"/>
      <c r="T507" s="2"/>
      <c r="U507" s="2"/>
    </row>
    <row r="508" spans="1:21" x14ac:dyDescent="0.25">
      <c r="A508" s="2" t="str">
        <f ca="1">IFERROR(__xludf.DUMMYFUNCTION("""COMPUTED_VALUE"""),"c4c9bd63")</f>
        <v>c4c9bd63</v>
      </c>
      <c r="B508" s="5">
        <f ca="1">IFERROR(__xludf.DUMMYFUNCTION("""COMPUTED_VALUE"""),45775.6737384259)</f>
        <v>45775.673738425903</v>
      </c>
      <c r="C508" s="2" t="str">
        <f ca="1">IFERROR(__xludf.DUMMYFUNCTION("""COMPUTED_VALUE"""),"28029583")</f>
        <v>28029583</v>
      </c>
      <c r="D508" s="2">
        <f ca="1">IFERROR(__xludf.DUMMYFUNCTION("""COMPUTED_VALUE"""),12)</f>
        <v>12</v>
      </c>
      <c r="E508" s="2" t="str">
        <f ca="1">IFERROR(__xludf.DUMMYFUNCTION("""COMPUTED_VALUE"""),"Tinto Recarga")</f>
        <v>Tinto Recarga</v>
      </c>
      <c r="F508" s="2">
        <f ca="1">IFERROR(__xludf.DUMMYFUNCTION("""COMPUTED_VALUE"""),35000)</f>
        <v>35000</v>
      </c>
      <c r="G508" s="2">
        <f ca="1">IFERROR(__xludf.DUMMYFUNCTION("""COMPUTED_VALUE"""),90)</f>
        <v>90</v>
      </c>
      <c r="H508" s="2"/>
      <c r="I508" s="2"/>
      <c r="J508" s="2">
        <f ca="1">IFERROR(__xludf.DUMMYFUNCTION("""COMPUTED_VALUE"""),0)</f>
        <v>0</v>
      </c>
      <c r="K508" s="2">
        <f ca="1">IFERROR(__xludf.DUMMYFUNCTION("""COMPUTED_VALUE"""),35000)</f>
        <v>35000</v>
      </c>
      <c r="L508" s="2" t="str">
        <f ca="1">IFERROR(__xludf.DUMMYFUNCTION("""COMPUTED_VALUE"""),"ec4ee36d")</f>
        <v>ec4ee36d</v>
      </c>
      <c r="M508" s="2" t="str">
        <f ca="1">IFERROR(__xludf.DUMMYFUNCTION("""COMPUTED_VALUE"""),"Tinto Recarga")</f>
        <v>Tinto Recarga</v>
      </c>
      <c r="N508" s="2"/>
      <c r="O508" s="2" t="str">
        <f ca="1">IFERROR(__xludf.DUMMYFUNCTION("""COMPUTED_VALUE"""),"Descubada")</f>
        <v>Descubada</v>
      </c>
      <c r="P508" s="2"/>
      <c r="Q508" s="2" t="b">
        <f ca="1">IFERROR(__xludf.DUMMYFUNCTION("""COMPUTED_VALUE"""),FALSE)</f>
        <v>0</v>
      </c>
      <c r="R508" s="2" t="str">
        <f ca="1">IFERROR(__xludf.DUMMYFUNCTION("""COMPUTED_VALUE"""),"1er Trasiego")</f>
        <v>1er Trasiego</v>
      </c>
      <c r="S508" s="2"/>
      <c r="T508" s="2"/>
      <c r="U508" s="2"/>
    </row>
    <row r="509" spans="1:21" x14ac:dyDescent="0.25">
      <c r="A509" s="2" t="str">
        <f ca="1">IFERROR(__xludf.DUMMYFUNCTION("""COMPUTED_VALUE"""),"ee80235b")</f>
        <v>ee80235b</v>
      </c>
      <c r="B509" s="5">
        <f ca="1">IFERROR(__xludf.DUMMYFUNCTION("""COMPUTED_VALUE"""),45775.6743634259)</f>
        <v>45775.674363425896</v>
      </c>
      <c r="C509" s="2" t="str">
        <f ca="1">IFERROR(__xludf.DUMMYFUNCTION("""COMPUTED_VALUE"""),"6ee897e9")</f>
        <v>6ee897e9</v>
      </c>
      <c r="D509" s="2">
        <f ca="1">IFERROR(__xludf.DUMMYFUNCTION("""COMPUTED_VALUE"""),50)</f>
        <v>50</v>
      </c>
      <c r="E509" s="2" t="str">
        <f ca="1">IFERROR(__xludf.DUMMYFUNCTION("""COMPUTED_VALUE"""),"Tinto 24 Rect")</f>
        <v>Tinto 24 Rect</v>
      </c>
      <c r="F509" s="2">
        <f ca="1">IFERROR(__xludf.DUMMYFUNCTION("""COMPUTED_VALUE"""),5100)</f>
        <v>5100</v>
      </c>
      <c r="G509" s="2">
        <f ca="1">IFERROR(__xludf.DUMMYFUNCTION("""COMPUTED_VALUE"""),90)</f>
        <v>90</v>
      </c>
      <c r="H509" s="2" t="str">
        <f ca="1">IFERROR(__xludf.DUMMYFUNCTION("""COMPUTED_VALUE"""),"ec4ee36d")</f>
        <v>ec4ee36d</v>
      </c>
      <c r="I509" s="2" t="str">
        <f ca="1">IFERROR(__xludf.DUMMYFUNCTION("""COMPUTED_VALUE"""),"Tinto Recarga")</f>
        <v>Tinto Recarga</v>
      </c>
      <c r="J509" s="2">
        <f ca="1">IFERROR(__xludf.DUMMYFUNCTION("""COMPUTED_VALUE"""),35000)</f>
        <v>35000</v>
      </c>
      <c r="K509" s="2">
        <f ca="1">IFERROR(__xludf.DUMMYFUNCTION("""COMPUTED_VALUE"""),40100)</f>
        <v>40100</v>
      </c>
      <c r="L509" s="2" t="str">
        <f ca="1">IFERROR(__xludf.DUMMYFUNCTION("""COMPUTED_VALUE"""),"28a7cc85")</f>
        <v>28a7cc85</v>
      </c>
      <c r="M509" s="2" t="str">
        <f ca="1">IFERROR(__xludf.DUMMYFUNCTION("""COMPUTED_VALUE"""),"Tinto Recarga")</f>
        <v>Tinto Recarga</v>
      </c>
      <c r="N509" s="2"/>
      <c r="O509" s="2" t="str">
        <f ca="1">IFERROR(__xludf.DUMMYFUNCTION("""COMPUTED_VALUE"""),"Rectificado")</f>
        <v>Rectificado</v>
      </c>
      <c r="P509" s="2" t="str">
        <f ca="1">IFERROR(__xludf.DUMMYFUNCTION("""COMPUTED_VALUE"""),"1er Trasiego")</f>
        <v>1er Trasiego</v>
      </c>
      <c r="Q509" s="2" t="b">
        <f ca="1">IFERROR(__xludf.DUMMYFUNCTION("""COMPUTED_VALUE"""),TRUE)</f>
        <v>1</v>
      </c>
      <c r="R509" s="2" t="str">
        <f ca="1">IFERROR(__xludf.DUMMYFUNCTION("""COMPUTED_VALUE"""),"1er Trasiego")</f>
        <v>1er Trasiego</v>
      </c>
      <c r="S509" s="2"/>
      <c r="T509" s="2"/>
      <c r="U509" s="2"/>
    </row>
    <row r="510" spans="1:21" x14ac:dyDescent="0.25">
      <c r="A510" s="2" t="str">
        <f ca="1">IFERROR(__xludf.DUMMYFUNCTION("""COMPUTED_VALUE"""),"f30fe45b")</f>
        <v>f30fe45b</v>
      </c>
      <c r="B510" s="5">
        <f ca="1">IFERROR(__xludf.DUMMYFUNCTION("""COMPUTED_VALUE"""),45775.6750347222)</f>
        <v>45775.675034722197</v>
      </c>
      <c r="C510" s="2" t="str">
        <f ca="1">IFERROR(__xludf.DUMMYFUNCTION("""COMPUTED_VALUE"""),"1d042bcb")</f>
        <v>1d042bcb</v>
      </c>
      <c r="D510" s="2">
        <f ca="1">IFERROR(__xludf.DUMMYFUNCTION("""COMPUTED_VALUE"""),104)</f>
        <v>104</v>
      </c>
      <c r="E510" s="2" t="str">
        <f ca="1">IFERROR(__xludf.DUMMYFUNCTION("""COMPUTED_VALUE"""),"Tinto")</f>
        <v>Tinto</v>
      </c>
      <c r="F510" s="2">
        <f ca="1">IFERROR(__xludf.DUMMYFUNCTION("""COMPUTED_VALUE"""),30000)</f>
        <v>30000</v>
      </c>
      <c r="G510" s="2">
        <f ca="1">IFERROR(__xludf.DUMMYFUNCTION("""COMPUTED_VALUE"""),90)</f>
        <v>90</v>
      </c>
      <c r="H510" s="2" t="str">
        <f ca="1">IFERROR(__xludf.DUMMYFUNCTION("""COMPUTED_VALUE"""),"28a7cc85")</f>
        <v>28a7cc85</v>
      </c>
      <c r="I510" s="2" t="str">
        <f ca="1">IFERROR(__xludf.DUMMYFUNCTION("""COMPUTED_VALUE"""),"Tinto Recarga")</f>
        <v>Tinto Recarga</v>
      </c>
      <c r="J510" s="2">
        <f ca="1">IFERROR(__xludf.DUMMYFUNCTION("""COMPUTED_VALUE"""),40100)</f>
        <v>40100</v>
      </c>
      <c r="K510" s="2">
        <f ca="1">IFERROR(__xludf.DUMMYFUNCTION("""COMPUTED_VALUE"""),70100)</f>
        <v>70100</v>
      </c>
      <c r="L510" s="2" t="str">
        <f ca="1">IFERROR(__xludf.DUMMYFUNCTION("""COMPUTED_VALUE"""),"8f113233")</f>
        <v>8f113233</v>
      </c>
      <c r="M510" s="2" t="str">
        <f ca="1">IFERROR(__xludf.DUMMYFUNCTION("""COMPUTED_VALUE"""),"Tinto Recarga")</f>
        <v>Tinto Recarga</v>
      </c>
      <c r="N510" s="2"/>
      <c r="O510" s="2" t="str">
        <f ca="1">IFERROR(__xludf.DUMMYFUNCTION("""COMPUTED_VALUE"""),"Descubada")</f>
        <v>Descubada</v>
      </c>
      <c r="P510" s="2" t="str">
        <f ca="1">IFERROR(__xludf.DUMMYFUNCTION("""COMPUTED_VALUE"""),"1er Trasiego")</f>
        <v>1er Trasiego</v>
      </c>
      <c r="Q510" s="2" t="b">
        <f ca="1">IFERROR(__xludf.DUMMYFUNCTION("""COMPUTED_VALUE"""),TRUE)</f>
        <v>1</v>
      </c>
      <c r="R510" s="2" t="str">
        <f ca="1">IFERROR(__xludf.DUMMYFUNCTION("""COMPUTED_VALUE"""),"1er Trasiego")</f>
        <v>1er Trasiego</v>
      </c>
      <c r="S510" s="2"/>
      <c r="T510" s="2"/>
      <c r="U510" s="2"/>
    </row>
    <row r="511" spans="1:21" x14ac:dyDescent="0.25">
      <c r="A511" s="2" t="str">
        <f ca="1">IFERROR(__xludf.DUMMYFUNCTION("""COMPUTED_VALUE"""),"e88f9da0")</f>
        <v>e88f9da0</v>
      </c>
      <c r="B511" s="5">
        <f ca="1">IFERROR(__xludf.DUMMYFUNCTION("""COMPUTED_VALUE"""),45775.6758680555)</f>
        <v>45775.675868055499</v>
      </c>
      <c r="C511" s="2" t="str">
        <f ca="1">IFERROR(__xludf.DUMMYFUNCTION("""COMPUTED_VALUE"""),"96467006")</f>
        <v>96467006</v>
      </c>
      <c r="D511" s="2">
        <f ca="1">IFERROR(__xludf.DUMMYFUNCTION("""COMPUTED_VALUE"""),102)</f>
        <v>102</v>
      </c>
      <c r="E511" s="2" t="str">
        <f ca="1">IFERROR(__xludf.DUMMYFUNCTION("""COMPUTED_VALUE"""),"Tinto Recarga")</f>
        <v>Tinto Recarga</v>
      </c>
      <c r="F511" s="2">
        <f ca="1">IFERROR(__xludf.DUMMYFUNCTION("""COMPUTED_VALUE"""),27400)</f>
        <v>27400</v>
      </c>
      <c r="G511" s="2">
        <f ca="1">IFERROR(__xludf.DUMMYFUNCTION("""COMPUTED_VALUE"""),90)</f>
        <v>90</v>
      </c>
      <c r="H511" s="2" t="str">
        <f ca="1">IFERROR(__xludf.DUMMYFUNCTION("""COMPUTED_VALUE"""),"8f113233")</f>
        <v>8f113233</v>
      </c>
      <c r="I511" s="2" t="str">
        <f ca="1">IFERROR(__xludf.DUMMYFUNCTION("""COMPUTED_VALUE"""),"Tinto Recarga")</f>
        <v>Tinto Recarga</v>
      </c>
      <c r="J511" s="2">
        <f ca="1">IFERROR(__xludf.DUMMYFUNCTION("""COMPUTED_VALUE"""),70100)</f>
        <v>70100</v>
      </c>
      <c r="K511" s="2">
        <f ca="1">IFERROR(__xludf.DUMMYFUNCTION("""COMPUTED_VALUE"""),97500)</f>
        <v>97500</v>
      </c>
      <c r="L511" s="2" t="str">
        <f ca="1">IFERROR(__xludf.DUMMYFUNCTION("""COMPUTED_VALUE"""),"1f012354")</f>
        <v>1f012354</v>
      </c>
      <c r="M511" s="2" t="str">
        <f ca="1">IFERROR(__xludf.DUMMYFUNCTION("""COMPUTED_VALUE"""),"Tinto Recarga")</f>
        <v>Tinto Recarga</v>
      </c>
      <c r="N511" s="2"/>
      <c r="O511" s="2" t="str">
        <f ca="1">IFERROR(__xludf.DUMMYFUNCTION("""COMPUTED_VALUE"""),"Descubada")</f>
        <v>Descubada</v>
      </c>
      <c r="P511" s="2" t="str">
        <f ca="1">IFERROR(__xludf.DUMMYFUNCTION("""COMPUTED_VALUE"""),"1er Trasiego")</f>
        <v>1er Trasiego</v>
      </c>
      <c r="Q511" s="2" t="b">
        <f ca="1">IFERROR(__xludf.DUMMYFUNCTION("""COMPUTED_VALUE"""),TRUE)</f>
        <v>1</v>
      </c>
      <c r="R511" s="2" t="str">
        <f ca="1">IFERROR(__xludf.DUMMYFUNCTION("""COMPUTED_VALUE"""),"1er Trasiego")</f>
        <v>1er Trasiego</v>
      </c>
      <c r="S511" s="2"/>
      <c r="T511" s="2"/>
      <c r="U511" s="2"/>
    </row>
    <row r="512" spans="1:21" x14ac:dyDescent="0.25">
      <c r="A512" s="2" t="str">
        <f ca="1">IFERROR(__xludf.DUMMYFUNCTION("""COMPUTED_VALUE"""),"3414cb5c")</f>
        <v>3414cb5c</v>
      </c>
      <c r="B512" s="5">
        <f ca="1">IFERROR(__xludf.DUMMYFUNCTION("""COMPUTED_VALUE"""),45775.6766782407)</f>
        <v>45775.676678240699</v>
      </c>
      <c r="C512" s="2" t="str">
        <f ca="1">IFERROR(__xludf.DUMMYFUNCTION("""COMPUTED_VALUE"""),"96467006")</f>
        <v>96467006</v>
      </c>
      <c r="D512" s="2">
        <f ca="1">IFERROR(__xludf.DUMMYFUNCTION("""COMPUTED_VALUE"""),102)</f>
        <v>102</v>
      </c>
      <c r="E512" s="2" t="str">
        <f ca="1">IFERROR(__xludf.DUMMYFUNCTION("""COMPUTED_VALUE"""),"Tinto Recarga")</f>
        <v>Tinto Recarga</v>
      </c>
      <c r="F512" s="2">
        <f ca="1">IFERROR(__xludf.DUMMYFUNCTION("""COMPUTED_VALUE"""),2600)</f>
        <v>2600</v>
      </c>
      <c r="G512" s="2">
        <f ca="1">IFERROR(__xludf.DUMMYFUNCTION("""COMPUTED_VALUE"""),11)</f>
        <v>11</v>
      </c>
      <c r="H512" s="2" t="str">
        <f ca="1">IFERROR(__xludf.DUMMYFUNCTION("""COMPUTED_VALUE"""),"60bf4ff8")</f>
        <v>60bf4ff8</v>
      </c>
      <c r="I512" s="2" t="str">
        <f ca="1">IFERROR(__xludf.DUMMYFUNCTION("""COMPUTED_VALUE"""),"Claro de filtro")</f>
        <v>Claro de filtro</v>
      </c>
      <c r="J512" s="2">
        <f ca="1">IFERROR(__xludf.DUMMYFUNCTION("""COMPUTED_VALUE"""),6600)</f>
        <v>6600</v>
      </c>
      <c r="K512" s="2">
        <f ca="1">IFERROR(__xludf.DUMMYFUNCTION("""COMPUTED_VALUE"""),9200)</f>
        <v>9200</v>
      </c>
      <c r="L512" s="2" t="str">
        <f ca="1">IFERROR(__xludf.DUMMYFUNCTION("""COMPUTED_VALUE"""),"ec820b78")</f>
        <v>ec820b78</v>
      </c>
      <c r="M512" s="2" t="str">
        <f ca="1">IFERROR(__xludf.DUMMYFUNCTION("""COMPUTED_VALUE"""),"Claro de filtro")</f>
        <v>Claro de filtro</v>
      </c>
      <c r="N512" s="2" t="str">
        <f ca="1">IFERROR(__xludf.DUMMYFUNCTION("""COMPUTED_VALUE"""),"Esto fue al filtro , asi que lo enviamos ya")</f>
        <v>Esto fue al filtro , asi que lo enviamos ya</v>
      </c>
      <c r="O512" s="2" t="str">
        <f ca="1">IFERROR(__xludf.DUMMYFUNCTION("""COMPUTED_VALUE"""),"Descubada")</f>
        <v>Descubada</v>
      </c>
      <c r="P512" s="2" t="str">
        <f ca="1">IFERROR(__xludf.DUMMYFUNCTION("""COMPUTED_VALUE"""),"Descubada")</f>
        <v>Descubada</v>
      </c>
      <c r="Q512" s="2" t="b">
        <f ca="1">IFERROR(__xludf.DUMMYFUNCTION("""COMPUTED_VALUE"""),TRUE)</f>
        <v>1</v>
      </c>
      <c r="R512" s="2" t="str">
        <f ca="1">IFERROR(__xludf.DUMMYFUNCTION("""COMPUTED_VALUE"""),"Descubada")</f>
        <v>Descubada</v>
      </c>
      <c r="S512" s="2"/>
      <c r="T512" s="2"/>
      <c r="U512" s="2"/>
    </row>
    <row r="513" spans="1:21" x14ac:dyDescent="0.25">
      <c r="A513" s="2" t="str">
        <f ca="1">IFERROR(__xludf.DUMMYFUNCTION("""COMPUTED_VALUE"""),"5e87727d")</f>
        <v>5e87727d</v>
      </c>
      <c r="B513" s="5">
        <f ca="1">IFERROR(__xludf.DUMMYFUNCTION("""COMPUTED_VALUE"""),45775.6930671296)</f>
        <v>45775.6930671296</v>
      </c>
      <c r="C513" s="2" t="str">
        <f ca="1">IFERROR(__xludf.DUMMYFUNCTION("""COMPUTED_VALUE"""),"f4ef7eb7")</f>
        <v>f4ef7eb7</v>
      </c>
      <c r="D513" s="2">
        <f ca="1">IFERROR(__xludf.DUMMYFUNCTION("""COMPUTED_VALUE"""),92)</f>
        <v>92</v>
      </c>
      <c r="E513" s="2" t="str">
        <f ca="1">IFERROR(__xludf.DUMMYFUNCTION("""COMPUTED_VALUE"""),"Malbec")</f>
        <v>Malbec</v>
      </c>
      <c r="F513" s="2">
        <f ca="1">IFERROR(__xludf.DUMMYFUNCTION("""COMPUTED_VALUE"""),46000)</f>
        <v>46000</v>
      </c>
      <c r="G513" s="2">
        <f ca="1">IFERROR(__xludf.DUMMYFUNCTION("""COMPUTED_VALUE"""),91)</f>
        <v>91</v>
      </c>
      <c r="H513" s="2"/>
      <c r="I513" s="2"/>
      <c r="J513" s="2">
        <f ca="1">IFERROR(__xludf.DUMMYFUNCTION("""COMPUTED_VALUE"""),0)</f>
        <v>0</v>
      </c>
      <c r="K513" s="2">
        <f ca="1">IFERROR(__xludf.DUMMYFUNCTION("""COMPUTED_VALUE"""),46000)</f>
        <v>46000</v>
      </c>
      <c r="L513" s="2" t="str">
        <f ca="1">IFERROR(__xludf.DUMMYFUNCTION("""COMPUTED_VALUE"""),"028fb505")</f>
        <v>028fb505</v>
      </c>
      <c r="M513" s="2" t="str">
        <f ca="1">IFERROR(__xludf.DUMMYFUNCTION("""COMPUTED_VALUE"""),"Malbec")</f>
        <v>Malbec</v>
      </c>
      <c r="N513" s="2"/>
      <c r="O513" s="2" t="str">
        <f ca="1">IFERROR(__xludf.DUMMYFUNCTION("""COMPUTED_VALUE"""),"Fermentando")</f>
        <v>Fermentando</v>
      </c>
      <c r="P513" s="2"/>
      <c r="Q513" s="2" t="b">
        <f ca="1">IFERROR(__xludf.DUMMYFUNCTION("""COMPUTED_VALUE"""),FALSE)</f>
        <v>0</v>
      </c>
      <c r="R513" s="2" t="str">
        <f ca="1">IFERROR(__xludf.DUMMYFUNCTION("""COMPUTED_VALUE"""),"Descubada")</f>
        <v>Descubada</v>
      </c>
      <c r="S513" s="2"/>
      <c r="T513" s="2"/>
      <c r="U513" s="2"/>
    </row>
    <row r="514" spans="1:2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x14ac:dyDescent="0.25">
      <c r="A515" s="2" t="str">
        <f ca="1">IFERROR(__xludf.DUMMYFUNCTION("""COMPUTED_VALUE"""),"2abe291a")</f>
        <v>2abe291a</v>
      </c>
      <c r="B515" s="5">
        <f ca="1">IFERROR(__xludf.DUMMYFUNCTION("""COMPUTED_VALUE"""),45775.6955902777)</f>
        <v>45775.695590277697</v>
      </c>
      <c r="C515" s="2" t="str">
        <f ca="1">IFERROR(__xludf.DUMMYFUNCTION("""COMPUTED_VALUE"""),"db10cc10")</f>
        <v>db10cc10</v>
      </c>
      <c r="D515" s="2">
        <f ca="1">IFERROR(__xludf.DUMMYFUNCTION("""COMPUTED_VALUE"""),76)</f>
        <v>76</v>
      </c>
      <c r="E515" s="2" t="str">
        <f ca="1">IFERROR(__xludf.DUMMYFUNCTION("""COMPUTED_VALUE"""),"Malbec")</f>
        <v>Malbec</v>
      </c>
      <c r="F515" s="2">
        <f ca="1">IFERROR(__xludf.DUMMYFUNCTION("""COMPUTED_VALUE"""),19000)</f>
        <v>19000</v>
      </c>
      <c r="G515" s="2">
        <f ca="1">IFERROR(__xludf.DUMMYFUNCTION("""COMPUTED_VALUE"""),66)</f>
        <v>66</v>
      </c>
      <c r="H515" s="2"/>
      <c r="I515" s="2"/>
      <c r="J515" s="2">
        <f ca="1">IFERROR(__xludf.DUMMYFUNCTION("""COMPUTED_VALUE"""),0)</f>
        <v>0</v>
      </c>
      <c r="K515" s="2">
        <f ca="1">IFERROR(__xludf.DUMMYFUNCTION("""COMPUTED_VALUE"""),19000)</f>
        <v>19000</v>
      </c>
      <c r="L515" s="2" t="str">
        <f ca="1">IFERROR(__xludf.DUMMYFUNCTION("""COMPUTED_VALUE"""),"b704cbde")</f>
        <v>b704cbde</v>
      </c>
      <c r="M515" s="2" t="str">
        <f ca="1">IFERROR(__xludf.DUMMYFUNCTION("""COMPUTED_VALUE"""),"Malbec")</f>
        <v>Malbec</v>
      </c>
      <c r="N515" s="2" t="str">
        <f ca="1">IFERROR(__xludf.DUMMYFUNCTION("""COMPUTED_VALUE"""),"Gota y prensa. Tiene azucar y hay que ver si reduce")</f>
        <v>Gota y prensa. Tiene azucar y hay que ver si reduce</v>
      </c>
      <c r="O515" s="2" t="str">
        <f ca="1">IFERROR(__xludf.DUMMYFUNCTION("""COMPUTED_VALUE"""),"Fermentando")</f>
        <v>Fermentando</v>
      </c>
      <c r="P515" s="2"/>
      <c r="Q515" s="2" t="b">
        <f ca="1">IFERROR(__xludf.DUMMYFUNCTION("""COMPUTED_VALUE"""),FALSE)</f>
        <v>0</v>
      </c>
      <c r="R515" s="2" t="str">
        <f ca="1">IFERROR(__xludf.DUMMYFUNCTION("""COMPUTED_VALUE"""),"Descubada")</f>
        <v>Descubada</v>
      </c>
      <c r="S515" s="2"/>
      <c r="T515" s="2"/>
      <c r="U515" s="2"/>
    </row>
    <row r="516" spans="1:21" x14ac:dyDescent="0.25">
      <c r="A516" s="2" t="str">
        <f ca="1">IFERROR(__xludf.DUMMYFUNCTION("""COMPUTED_VALUE"""),"aa52f2f6")</f>
        <v>aa52f2f6</v>
      </c>
      <c r="B516" s="5">
        <f ca="1">IFERROR(__xludf.DUMMYFUNCTION("""COMPUTED_VALUE"""),45775.6976157407)</f>
        <v>45775.697615740697</v>
      </c>
      <c r="C516" s="2" t="str">
        <f ca="1">IFERROR(__xludf.DUMMYFUNCTION("""COMPUTED_VALUE"""),"e3bf14f2")</f>
        <v>e3bf14f2</v>
      </c>
      <c r="D516" s="2">
        <f ca="1">IFERROR(__xludf.DUMMYFUNCTION("""COMPUTED_VALUE"""),65)</f>
        <v>65</v>
      </c>
      <c r="E516" s="2" t="str">
        <f ca="1">IFERROR(__xludf.DUMMYFUNCTION("""COMPUTED_VALUE"""),"Cabernet Sauvignon")</f>
        <v>Cabernet Sauvignon</v>
      </c>
      <c r="F516" s="2">
        <f ca="1">IFERROR(__xludf.DUMMYFUNCTION("""COMPUTED_VALUE"""),26500)</f>
        <v>26500</v>
      </c>
      <c r="G516" s="2">
        <f ca="1">IFERROR(__xludf.DUMMYFUNCTION("""COMPUTED_VALUE"""),81)</f>
        <v>81</v>
      </c>
      <c r="H516" s="2"/>
      <c r="I516" s="2"/>
      <c r="J516" s="2">
        <f ca="1">IFERROR(__xludf.DUMMYFUNCTION("""COMPUTED_VALUE"""),0)</f>
        <v>0</v>
      </c>
      <c r="K516" s="2">
        <f ca="1">IFERROR(__xludf.DUMMYFUNCTION("""COMPUTED_VALUE"""),26500)</f>
        <v>26500</v>
      </c>
      <c r="L516" s="2" t="str">
        <f ca="1">IFERROR(__xludf.DUMMYFUNCTION("""COMPUTED_VALUE"""),"3559c80c")</f>
        <v>3559c80c</v>
      </c>
      <c r="M516" s="2" t="str">
        <f ca="1">IFERROR(__xludf.DUMMYFUNCTION("""COMPUTED_VALUE"""),"Cabernet Sauvignon")</f>
        <v>Cabernet Sauvignon</v>
      </c>
      <c r="N516" s="2"/>
      <c r="O516" s="2" t="str">
        <f ca="1">IFERROR(__xludf.DUMMYFUNCTION("""COMPUTED_VALUE"""),"Fermentando")</f>
        <v>Fermentando</v>
      </c>
      <c r="P516" s="2"/>
      <c r="Q516" s="2" t="b">
        <f ca="1">IFERROR(__xludf.DUMMYFUNCTION("""COMPUTED_VALUE"""),FALSE)</f>
        <v>0</v>
      </c>
      <c r="R516" s="2" t="str">
        <f ca="1">IFERROR(__xludf.DUMMYFUNCTION("""COMPUTED_VALUE"""),"Descubada")</f>
        <v>Descubada</v>
      </c>
      <c r="S516" s="2"/>
      <c r="T516" s="2"/>
      <c r="U516" s="2"/>
    </row>
    <row r="517" spans="1:21" x14ac:dyDescent="0.25">
      <c r="A517" s="2" t="str">
        <f ca="1">IFERROR(__xludf.DUMMYFUNCTION("""COMPUTED_VALUE"""),"ea0c5083")</f>
        <v>ea0c5083</v>
      </c>
      <c r="B517" s="5">
        <f ca="1">IFERROR(__xludf.DUMMYFUNCTION("""COMPUTED_VALUE"""),45775.698125)</f>
        <v>45775.698125000003</v>
      </c>
      <c r="C517" s="2" t="str">
        <f ca="1">IFERROR(__xludf.DUMMYFUNCTION("""COMPUTED_VALUE"""),"e3bf14f2")</f>
        <v>e3bf14f2</v>
      </c>
      <c r="D517" s="2">
        <f ca="1">IFERROR(__xludf.DUMMYFUNCTION("""COMPUTED_VALUE"""),65)</f>
        <v>65</v>
      </c>
      <c r="E517" s="2" t="str">
        <f ca="1">IFERROR(__xludf.DUMMYFUNCTION("""COMPUTED_VALUE"""),"Cabernet Sauvignon")</f>
        <v>Cabernet Sauvignon</v>
      </c>
      <c r="F517" s="2">
        <f ca="1">IFERROR(__xludf.DUMMYFUNCTION("""COMPUTED_VALUE"""),750)</f>
        <v>750</v>
      </c>
      <c r="G517" s="2">
        <f ca="1">IFERROR(__xludf.DUMMYFUNCTION("""COMPUTED_VALUE"""),500)</f>
        <v>500</v>
      </c>
      <c r="H517" s="2" t="str">
        <f ca="1">IFERROR(__xludf.DUMMYFUNCTION("""COMPUTED_VALUE"""),"8024bac4")</f>
        <v>8024bac4</v>
      </c>
      <c r="I517" s="2" t="str">
        <f ca="1">IFERROR(__xludf.DUMMYFUNCTION("""COMPUTED_VALUE"""),"Ajuste semana 22/04/25")</f>
        <v>Ajuste semana 22/04/25</v>
      </c>
      <c r="J517" s="2">
        <f ca="1">IFERROR(__xludf.DUMMYFUNCTION("""COMPUTED_VALUE"""),121851)</f>
        <v>121851</v>
      </c>
      <c r="K517" s="2">
        <f ca="1">IFERROR(__xludf.DUMMYFUNCTION("""COMPUTED_VALUE"""),122601)</f>
        <v>122601</v>
      </c>
      <c r="L517" s="2" t="str">
        <f ca="1">IFERROR(__xludf.DUMMYFUNCTION("""COMPUTED_VALUE"""),"c999dbd9")</f>
        <v>c999dbd9</v>
      </c>
      <c r="M517" s="2" t="str">
        <f ca="1">IFERROR(__xludf.DUMMYFUNCTION("""COMPUTED_VALUE"""),"Ajuste semana 22/04/25")</f>
        <v>Ajuste semana 22/04/25</v>
      </c>
      <c r="N517" s="2"/>
      <c r="O517" s="2" t="str">
        <f ca="1">IFERROR(__xludf.DUMMYFUNCTION("""COMPUTED_VALUE"""),"Fermentando")</f>
        <v>Fermentando</v>
      </c>
      <c r="P517" s="2" t="str">
        <f ca="1">IFERROR(__xludf.DUMMYFUNCTION("""COMPUTED_VALUE"""),"Terminado")</f>
        <v>Terminado</v>
      </c>
      <c r="Q517" s="2" t="b">
        <f ca="1">IFERROR(__xludf.DUMMYFUNCTION("""COMPUTED_VALUE"""),TRUE)</f>
        <v>1</v>
      </c>
      <c r="R517" s="2" t="str">
        <f ca="1">IFERROR(__xludf.DUMMYFUNCTION("""COMPUTED_VALUE"""),"Terminado")</f>
        <v>Terminado</v>
      </c>
      <c r="S517" s="2"/>
      <c r="T517" s="2"/>
      <c r="U517" s="2"/>
    </row>
    <row r="518" spans="1:21" x14ac:dyDescent="0.25">
      <c r="A518" s="2" t="str">
        <f ca="1">IFERROR(__xludf.DUMMYFUNCTION("""COMPUTED_VALUE"""),"d6b9431a")</f>
        <v>d6b9431a</v>
      </c>
      <c r="B518" s="5">
        <f ca="1">IFERROR(__xludf.DUMMYFUNCTION("""COMPUTED_VALUE"""),45775.6999189814)</f>
        <v>45775.699918981401</v>
      </c>
      <c r="C518" s="2" t="str">
        <f ca="1">IFERROR(__xludf.DUMMYFUNCTION("""COMPUTED_VALUE"""),"0be7fff5")</f>
        <v>0be7fff5</v>
      </c>
      <c r="D518" s="2">
        <f ca="1">IFERROR(__xludf.DUMMYFUNCTION("""COMPUTED_VALUE"""),77)</f>
        <v>77</v>
      </c>
      <c r="E518" s="2" t="str">
        <f ca="1">IFERROR(__xludf.DUMMYFUNCTION("""COMPUTED_VALUE"""),"Malbec")</f>
        <v>Malbec</v>
      </c>
      <c r="F518" s="2">
        <f ca="1">IFERROR(__xludf.DUMMYFUNCTION("""COMPUTED_VALUE"""),19500)</f>
        <v>19500</v>
      </c>
      <c r="G518" s="2">
        <f ca="1">IFERROR(__xludf.DUMMYFUNCTION("""COMPUTED_VALUE"""),67)</f>
        <v>67</v>
      </c>
      <c r="H518" s="2"/>
      <c r="I518" s="2"/>
      <c r="J518" s="2">
        <f ca="1">IFERROR(__xludf.DUMMYFUNCTION("""COMPUTED_VALUE"""),0)</f>
        <v>0</v>
      </c>
      <c r="K518" s="2">
        <f ca="1">IFERROR(__xludf.DUMMYFUNCTION("""COMPUTED_VALUE"""),19500)</f>
        <v>19500</v>
      </c>
      <c r="L518" s="2" t="str">
        <f ca="1">IFERROR(__xludf.DUMMYFUNCTION("""COMPUTED_VALUE"""),"de2017df")</f>
        <v>de2017df</v>
      </c>
      <c r="M518" s="2" t="str">
        <f ca="1">IFERROR(__xludf.DUMMYFUNCTION("""COMPUTED_VALUE"""),"Malbec")</f>
        <v>Malbec</v>
      </c>
      <c r="N518" s="2" t="str">
        <f ca="1">IFERROR(__xludf.DUMMYFUNCTION("""COMPUTED_VALUE"""),"descubada con azucar")</f>
        <v>descubada con azucar</v>
      </c>
      <c r="O518" s="2" t="str">
        <f ca="1">IFERROR(__xludf.DUMMYFUNCTION("""COMPUTED_VALUE"""),"Fermentando")</f>
        <v>Fermentando</v>
      </c>
      <c r="P518" s="2"/>
      <c r="Q518" s="2" t="b">
        <f ca="1">IFERROR(__xludf.DUMMYFUNCTION("""COMPUTED_VALUE"""),FALSE)</f>
        <v>0</v>
      </c>
      <c r="R518" s="2" t="str">
        <f ca="1">IFERROR(__xludf.DUMMYFUNCTION("""COMPUTED_VALUE"""),"Fermentando")</f>
        <v>Fermentando</v>
      </c>
      <c r="S518" s="2"/>
      <c r="T518" s="2"/>
      <c r="U518" s="2"/>
    </row>
    <row r="519" spans="1:21" x14ac:dyDescent="0.25">
      <c r="A519" s="2" t="str">
        <f ca="1">IFERROR(__xludf.DUMMYFUNCTION("""COMPUTED_VALUE"""),"c12a1e92")</f>
        <v>c12a1e92</v>
      </c>
      <c r="B519" s="5">
        <f ca="1">IFERROR(__xludf.DUMMYFUNCTION("""COMPUTED_VALUE"""),45775.748449074)</f>
        <v>45775.748449074003</v>
      </c>
      <c r="C519" s="2" t="str">
        <f ca="1">IFERROR(__xludf.DUMMYFUNCTION("""COMPUTED_VALUE"""),"5a534180")</f>
        <v>5a534180</v>
      </c>
      <c r="D519" s="2">
        <f ca="1">IFERROR(__xludf.DUMMYFUNCTION("""COMPUTED_VALUE"""),125)</f>
        <v>125</v>
      </c>
      <c r="E519" s="2" t="str">
        <f ca="1">IFERROR(__xludf.DUMMYFUNCTION("""COMPUTED_VALUE"""),"Tinto s/Bonarda")</f>
        <v>Tinto s/Bonarda</v>
      </c>
      <c r="F519" s="2">
        <f ca="1">IFERROR(__xludf.DUMMYFUNCTION("""COMPUTED_VALUE"""),14000)</f>
        <v>14000</v>
      </c>
      <c r="G519" s="2">
        <f ca="1">IFERROR(__xludf.DUMMYFUNCTION("""COMPUTED_VALUE"""),88)</f>
        <v>88</v>
      </c>
      <c r="H519" s="2"/>
      <c r="I519" s="2"/>
      <c r="J519" s="2">
        <f ca="1">IFERROR(__xludf.DUMMYFUNCTION("""COMPUTED_VALUE"""),0)</f>
        <v>0</v>
      </c>
      <c r="K519" s="2">
        <f ca="1">IFERROR(__xludf.DUMMYFUNCTION("""COMPUTED_VALUE"""),14000)</f>
        <v>14000</v>
      </c>
      <c r="L519" s="2" t="str">
        <f ca="1">IFERROR(__xludf.DUMMYFUNCTION("""COMPUTED_VALUE"""),"9f167646")</f>
        <v>9f167646</v>
      </c>
      <c r="M519" s="2" t="str">
        <f ca="1">IFERROR(__xludf.DUMMYFUNCTION("""COMPUTED_VALUE"""),"Tinto")</f>
        <v>Tinto</v>
      </c>
      <c r="N519" s="2"/>
      <c r="O519" s="2" t="str">
        <f ca="1">IFERROR(__xludf.DUMMYFUNCTION("""COMPUTED_VALUE"""),"Descubada")</f>
        <v>Descubada</v>
      </c>
      <c r="P519" s="2"/>
      <c r="Q519" s="2" t="b">
        <f ca="1">IFERROR(__xludf.DUMMYFUNCTION("""COMPUTED_VALUE"""),FALSE)</f>
        <v>0</v>
      </c>
      <c r="R519" s="2" t="str">
        <f ca="1">IFERROR(__xludf.DUMMYFUNCTION("""COMPUTED_VALUE"""),"1er Trasiego")</f>
        <v>1er Trasiego</v>
      </c>
      <c r="S519" s="2"/>
      <c r="T519" s="2"/>
      <c r="U519" s="2"/>
    </row>
    <row r="520" spans="1:21" x14ac:dyDescent="0.25">
      <c r="A520" s="2" t="str">
        <f ca="1">IFERROR(__xludf.DUMMYFUNCTION("""COMPUTED_VALUE"""),"3926b3b4")</f>
        <v>3926b3b4</v>
      </c>
      <c r="B520" s="5">
        <f ca="1">IFERROR(__xludf.DUMMYFUNCTION("""COMPUTED_VALUE"""),45775.7489930555)</f>
        <v>45775.748993055502</v>
      </c>
      <c r="C520" s="2" t="str">
        <f ca="1">IFERROR(__xludf.DUMMYFUNCTION("""COMPUTED_VALUE"""),"5a534180")</f>
        <v>5a534180</v>
      </c>
      <c r="D520" s="2">
        <f ca="1">IFERROR(__xludf.DUMMYFUNCTION("""COMPUTED_VALUE"""),125)</f>
        <v>125</v>
      </c>
      <c r="E520" s="2" t="str">
        <f ca="1">IFERROR(__xludf.DUMMYFUNCTION("""COMPUTED_VALUE"""),"Tinto s/Bonarda")</f>
        <v>Tinto s/Bonarda</v>
      </c>
      <c r="F520" s="2">
        <f ca="1">IFERROR(__xludf.DUMMYFUNCTION("""COMPUTED_VALUE"""),14000)</f>
        <v>14000</v>
      </c>
      <c r="G520" s="2">
        <f ca="1">IFERROR(__xludf.DUMMYFUNCTION("""COMPUTED_VALUE"""),84)</f>
        <v>84</v>
      </c>
      <c r="H520" s="2"/>
      <c r="I520" s="2"/>
      <c r="J520" s="2">
        <f ca="1">IFERROR(__xludf.DUMMYFUNCTION("""COMPUTED_VALUE"""),0)</f>
        <v>0</v>
      </c>
      <c r="K520" s="2">
        <f ca="1">IFERROR(__xludf.DUMMYFUNCTION("""COMPUTED_VALUE"""),14000)</f>
        <v>14000</v>
      </c>
      <c r="L520" s="2" t="str">
        <f ca="1">IFERROR(__xludf.DUMMYFUNCTION("""COMPUTED_VALUE"""),"e341ebb9")</f>
        <v>e341ebb9</v>
      </c>
      <c r="M520" s="2" t="str">
        <f ca="1">IFERROR(__xludf.DUMMYFUNCTION("""COMPUTED_VALUE"""),"Tinto")</f>
        <v>Tinto</v>
      </c>
      <c r="N520" s="2"/>
      <c r="O520" s="2" t="str">
        <f ca="1">IFERROR(__xludf.DUMMYFUNCTION("""COMPUTED_VALUE"""),"Descubada")</f>
        <v>Descubada</v>
      </c>
      <c r="P520" s="2"/>
      <c r="Q520" s="2" t="b">
        <f ca="1">IFERROR(__xludf.DUMMYFUNCTION("""COMPUTED_VALUE"""),FALSE)</f>
        <v>0</v>
      </c>
      <c r="R520" s="2" t="str">
        <f ca="1">IFERROR(__xludf.DUMMYFUNCTION("""COMPUTED_VALUE"""),"1er Trasiego")</f>
        <v>1er Trasiego</v>
      </c>
      <c r="S520" s="2"/>
      <c r="T520" s="2"/>
      <c r="U520" s="2"/>
    </row>
    <row r="521" spans="1:21" x14ac:dyDescent="0.25">
      <c r="A521" s="2" t="str">
        <f ca="1">IFERROR(__xludf.DUMMYFUNCTION("""COMPUTED_VALUE"""),"b67579f9")</f>
        <v>b67579f9</v>
      </c>
      <c r="B521" s="5">
        <f ca="1">IFERROR(__xludf.DUMMYFUNCTION("""COMPUTED_VALUE"""),45775.7493518518)</f>
        <v>45775.749351851802</v>
      </c>
      <c r="C521" s="2" t="str">
        <f ca="1">IFERROR(__xludf.DUMMYFUNCTION("""COMPUTED_VALUE"""),"781075f7")</f>
        <v>781075f7</v>
      </c>
      <c r="D521" s="2">
        <f ca="1">IFERROR(__xludf.DUMMYFUNCTION("""COMPUTED_VALUE"""),126)</f>
        <v>126</v>
      </c>
      <c r="E521" s="2" t="str">
        <f ca="1">IFERROR(__xludf.DUMMYFUNCTION("""COMPUTED_VALUE"""),"Tinto s/Bonarda")</f>
        <v>Tinto s/Bonarda</v>
      </c>
      <c r="F521" s="2">
        <f ca="1">IFERROR(__xludf.DUMMYFUNCTION("""COMPUTED_VALUE"""),14000)</f>
        <v>14000</v>
      </c>
      <c r="G521" s="2">
        <f ca="1">IFERROR(__xludf.DUMMYFUNCTION("""COMPUTED_VALUE"""),88)</f>
        <v>88</v>
      </c>
      <c r="H521" s="2" t="str">
        <f ca="1">IFERROR(__xludf.DUMMYFUNCTION("""COMPUTED_VALUE"""),"9f167646")</f>
        <v>9f167646</v>
      </c>
      <c r="I521" s="2" t="str">
        <f ca="1">IFERROR(__xludf.DUMMYFUNCTION("""COMPUTED_VALUE"""),"Tinto")</f>
        <v>Tinto</v>
      </c>
      <c r="J521" s="2">
        <f ca="1">IFERROR(__xludf.DUMMYFUNCTION("""COMPUTED_VALUE"""),14000)</f>
        <v>14000</v>
      </c>
      <c r="K521" s="2">
        <f ca="1">IFERROR(__xludf.DUMMYFUNCTION("""COMPUTED_VALUE"""),28000)</f>
        <v>28000</v>
      </c>
      <c r="L521" s="2" t="str">
        <f ca="1">IFERROR(__xludf.DUMMYFUNCTION("""COMPUTED_VALUE"""),"ad6fc72a")</f>
        <v>ad6fc72a</v>
      </c>
      <c r="M521" s="2" t="str">
        <f ca="1">IFERROR(__xludf.DUMMYFUNCTION("""COMPUTED_VALUE"""),"Tinto")</f>
        <v>Tinto</v>
      </c>
      <c r="N521" s="2"/>
      <c r="O521" s="2" t="str">
        <f ca="1">IFERROR(__xludf.DUMMYFUNCTION("""COMPUTED_VALUE"""),"Descubada")</f>
        <v>Descubada</v>
      </c>
      <c r="P521" s="2" t="str">
        <f ca="1">IFERROR(__xludf.DUMMYFUNCTION("""COMPUTED_VALUE"""),"1er Trasiego")</f>
        <v>1er Trasiego</v>
      </c>
      <c r="Q521" s="2" t="b">
        <f ca="1">IFERROR(__xludf.DUMMYFUNCTION("""COMPUTED_VALUE"""),TRUE)</f>
        <v>1</v>
      </c>
      <c r="R521" s="2" t="str">
        <f ca="1">IFERROR(__xludf.DUMMYFUNCTION("""COMPUTED_VALUE"""),"1er Trasiego")</f>
        <v>1er Trasiego</v>
      </c>
      <c r="S521" s="2"/>
      <c r="T521" s="2"/>
      <c r="U521" s="2"/>
    </row>
    <row r="522" spans="1:21" x14ac:dyDescent="0.25">
      <c r="A522" s="2" t="str">
        <f ca="1">IFERROR(__xludf.DUMMYFUNCTION("""COMPUTED_VALUE"""),"c37e0245")</f>
        <v>c37e0245</v>
      </c>
      <c r="B522" s="5">
        <f ca="1">IFERROR(__xludf.DUMMYFUNCTION("""COMPUTED_VALUE"""),45775.7495486111)</f>
        <v>45775.7495486111</v>
      </c>
      <c r="C522" s="2" t="str">
        <f ca="1">IFERROR(__xludf.DUMMYFUNCTION("""COMPUTED_VALUE"""),"781075f7")</f>
        <v>781075f7</v>
      </c>
      <c r="D522" s="2">
        <f ca="1">IFERROR(__xludf.DUMMYFUNCTION("""COMPUTED_VALUE"""),126)</f>
        <v>126</v>
      </c>
      <c r="E522" s="2" t="str">
        <f ca="1">IFERROR(__xludf.DUMMYFUNCTION("""COMPUTED_VALUE"""),"Tinto s/Bonarda")</f>
        <v>Tinto s/Bonarda</v>
      </c>
      <c r="F522" s="2">
        <f ca="1">IFERROR(__xludf.DUMMYFUNCTION("""COMPUTED_VALUE"""),14000)</f>
        <v>14000</v>
      </c>
      <c r="G522" s="2">
        <f ca="1">IFERROR(__xludf.DUMMYFUNCTION("""COMPUTED_VALUE"""),84)</f>
        <v>84</v>
      </c>
      <c r="H522" s="2" t="str">
        <f ca="1">IFERROR(__xludf.DUMMYFUNCTION("""COMPUTED_VALUE"""),"e341ebb9")</f>
        <v>e341ebb9</v>
      </c>
      <c r="I522" s="2" t="str">
        <f ca="1">IFERROR(__xludf.DUMMYFUNCTION("""COMPUTED_VALUE"""),"Tinto")</f>
        <v>Tinto</v>
      </c>
      <c r="J522" s="2">
        <f ca="1">IFERROR(__xludf.DUMMYFUNCTION("""COMPUTED_VALUE"""),14000)</f>
        <v>14000</v>
      </c>
      <c r="K522" s="2">
        <f ca="1">IFERROR(__xludf.DUMMYFUNCTION("""COMPUTED_VALUE"""),28000)</f>
        <v>28000</v>
      </c>
      <c r="L522" s="2" t="str">
        <f ca="1">IFERROR(__xludf.DUMMYFUNCTION("""COMPUTED_VALUE"""),"8a8c9f52")</f>
        <v>8a8c9f52</v>
      </c>
      <c r="M522" s="2" t="str">
        <f ca="1">IFERROR(__xludf.DUMMYFUNCTION("""COMPUTED_VALUE"""),"Tinto")</f>
        <v>Tinto</v>
      </c>
      <c r="N522" s="2"/>
      <c r="O522" s="2" t="str">
        <f ca="1">IFERROR(__xludf.DUMMYFUNCTION("""COMPUTED_VALUE"""),"Descubada")</f>
        <v>Descubada</v>
      </c>
      <c r="P522" s="2" t="str">
        <f ca="1">IFERROR(__xludf.DUMMYFUNCTION("""COMPUTED_VALUE"""),"1er Trasiego")</f>
        <v>1er Trasiego</v>
      </c>
      <c r="Q522" s="2" t="b">
        <f ca="1">IFERROR(__xludf.DUMMYFUNCTION("""COMPUTED_VALUE"""),TRUE)</f>
        <v>1</v>
      </c>
      <c r="R522" s="2" t="str">
        <f ca="1">IFERROR(__xludf.DUMMYFUNCTION("""COMPUTED_VALUE"""),"1er Trasiego")</f>
        <v>1er Trasiego</v>
      </c>
      <c r="S522" s="2"/>
      <c r="T522" s="2"/>
      <c r="U522" s="2"/>
    </row>
    <row r="523" spans="1:21" x14ac:dyDescent="0.25">
      <c r="A523" s="2" t="str">
        <f ca="1">IFERROR(__xludf.DUMMYFUNCTION("""COMPUTED_VALUE"""),"d5e5d68e")</f>
        <v>d5e5d68e</v>
      </c>
      <c r="B523" s="5">
        <f ca="1">IFERROR(__xludf.DUMMYFUNCTION("""COMPUTED_VALUE"""),45775.7497569444)</f>
        <v>45775.749756944402</v>
      </c>
      <c r="C523" s="2" t="str">
        <f ca="1">IFERROR(__xludf.DUMMYFUNCTION("""COMPUTED_VALUE"""),"91eadabd")</f>
        <v>91eadabd</v>
      </c>
      <c r="D523" s="2">
        <f ca="1">IFERROR(__xludf.DUMMYFUNCTION("""COMPUTED_VALUE"""),127)</f>
        <v>127</v>
      </c>
      <c r="E523" s="2" t="str">
        <f ca="1">IFERROR(__xludf.DUMMYFUNCTION("""COMPUTED_VALUE"""),"Criolla s/Bonarda")</f>
        <v>Criolla s/Bonarda</v>
      </c>
      <c r="F523" s="2">
        <f ca="1">IFERROR(__xludf.DUMMYFUNCTION("""COMPUTED_VALUE"""),15000)</f>
        <v>15000</v>
      </c>
      <c r="G523" s="2">
        <f ca="1">IFERROR(__xludf.DUMMYFUNCTION("""COMPUTED_VALUE"""),88)</f>
        <v>88</v>
      </c>
      <c r="H523" s="2" t="str">
        <f ca="1">IFERROR(__xludf.DUMMYFUNCTION("""COMPUTED_VALUE"""),"ad6fc72a")</f>
        <v>ad6fc72a</v>
      </c>
      <c r="I523" s="2" t="str">
        <f ca="1">IFERROR(__xludf.DUMMYFUNCTION("""COMPUTED_VALUE"""),"Tinto")</f>
        <v>Tinto</v>
      </c>
      <c r="J523" s="2">
        <f ca="1">IFERROR(__xludf.DUMMYFUNCTION("""COMPUTED_VALUE"""),28000)</f>
        <v>28000</v>
      </c>
      <c r="K523" s="2">
        <f ca="1">IFERROR(__xludf.DUMMYFUNCTION("""COMPUTED_VALUE"""),43000)</f>
        <v>43000</v>
      </c>
      <c r="L523" s="2" t="str">
        <f ca="1">IFERROR(__xludf.DUMMYFUNCTION("""COMPUTED_VALUE"""),"c9833042")</f>
        <v>c9833042</v>
      </c>
      <c r="M523" s="2" t="str">
        <f ca="1">IFERROR(__xludf.DUMMYFUNCTION("""COMPUTED_VALUE"""),"Tinto")</f>
        <v>Tinto</v>
      </c>
      <c r="N523" s="2"/>
      <c r="O523" s="2" t="str">
        <f ca="1">IFERROR(__xludf.DUMMYFUNCTION("""COMPUTED_VALUE"""),"Descubada")</f>
        <v>Descubada</v>
      </c>
      <c r="P523" s="2" t="str">
        <f ca="1">IFERROR(__xludf.DUMMYFUNCTION("""COMPUTED_VALUE"""),"1er Trasiego")</f>
        <v>1er Trasiego</v>
      </c>
      <c r="Q523" s="2" t="b">
        <f ca="1">IFERROR(__xludf.DUMMYFUNCTION("""COMPUTED_VALUE"""),TRUE)</f>
        <v>1</v>
      </c>
      <c r="R523" s="2" t="str">
        <f ca="1">IFERROR(__xludf.DUMMYFUNCTION("""COMPUTED_VALUE"""),"1er Trasiego")</f>
        <v>1er Trasiego</v>
      </c>
      <c r="S523" s="2"/>
      <c r="T523" s="2"/>
      <c r="U523" s="2"/>
    </row>
    <row r="524" spans="1:21" x14ac:dyDescent="0.25">
      <c r="A524" s="2" t="str">
        <f ca="1">IFERROR(__xludf.DUMMYFUNCTION("""COMPUTED_VALUE"""),"da9de7e2")</f>
        <v>da9de7e2</v>
      </c>
      <c r="B524" s="5">
        <f ca="1">IFERROR(__xludf.DUMMYFUNCTION("""COMPUTED_VALUE"""),45775.7499421296)</f>
        <v>45775.749942129602</v>
      </c>
      <c r="C524" s="2" t="str">
        <f ca="1">IFERROR(__xludf.DUMMYFUNCTION("""COMPUTED_VALUE"""),"91eadabd")</f>
        <v>91eadabd</v>
      </c>
      <c r="D524" s="2">
        <f ca="1">IFERROR(__xludf.DUMMYFUNCTION("""COMPUTED_VALUE"""),127)</f>
        <v>127</v>
      </c>
      <c r="E524" s="2" t="str">
        <f ca="1">IFERROR(__xludf.DUMMYFUNCTION("""COMPUTED_VALUE"""),"Criolla s/Bonarda")</f>
        <v>Criolla s/Bonarda</v>
      </c>
      <c r="F524" s="2">
        <f ca="1">IFERROR(__xludf.DUMMYFUNCTION("""COMPUTED_VALUE"""),15000)</f>
        <v>15000</v>
      </c>
      <c r="G524" s="2">
        <f ca="1">IFERROR(__xludf.DUMMYFUNCTION("""COMPUTED_VALUE"""),84)</f>
        <v>84</v>
      </c>
      <c r="H524" s="2" t="str">
        <f ca="1">IFERROR(__xludf.DUMMYFUNCTION("""COMPUTED_VALUE"""),"8a8c9f52")</f>
        <v>8a8c9f52</v>
      </c>
      <c r="I524" s="2" t="str">
        <f ca="1">IFERROR(__xludf.DUMMYFUNCTION("""COMPUTED_VALUE"""),"Tinto")</f>
        <v>Tinto</v>
      </c>
      <c r="J524" s="2">
        <f ca="1">IFERROR(__xludf.DUMMYFUNCTION("""COMPUTED_VALUE"""),28000)</f>
        <v>28000</v>
      </c>
      <c r="K524" s="2">
        <f ca="1">IFERROR(__xludf.DUMMYFUNCTION("""COMPUTED_VALUE"""),43000)</f>
        <v>43000</v>
      </c>
      <c r="L524" s="2" t="str">
        <f ca="1">IFERROR(__xludf.DUMMYFUNCTION("""COMPUTED_VALUE"""),"2b3d385d")</f>
        <v>2b3d385d</v>
      </c>
      <c r="M524" s="2" t="str">
        <f ca="1">IFERROR(__xludf.DUMMYFUNCTION("""COMPUTED_VALUE"""),"Tinto")</f>
        <v>Tinto</v>
      </c>
      <c r="N524" s="2"/>
      <c r="O524" s="2" t="str">
        <f ca="1">IFERROR(__xludf.DUMMYFUNCTION("""COMPUTED_VALUE"""),"Descubada")</f>
        <v>Descubada</v>
      </c>
      <c r="P524" s="2" t="str">
        <f ca="1">IFERROR(__xludf.DUMMYFUNCTION("""COMPUTED_VALUE"""),"1er Trasiego")</f>
        <v>1er Trasiego</v>
      </c>
      <c r="Q524" s="2" t="b">
        <f ca="1">IFERROR(__xludf.DUMMYFUNCTION("""COMPUTED_VALUE"""),TRUE)</f>
        <v>1</v>
      </c>
      <c r="R524" s="2" t="str">
        <f ca="1">IFERROR(__xludf.DUMMYFUNCTION("""COMPUTED_VALUE"""),"1er Trasiego")</f>
        <v>1er Trasiego</v>
      </c>
      <c r="S524" s="2"/>
      <c r="T524" s="2"/>
      <c r="U524" s="2"/>
    </row>
    <row r="525" spans="1:21" x14ac:dyDescent="0.25">
      <c r="A525" s="2" t="str">
        <f ca="1">IFERROR(__xludf.DUMMYFUNCTION("""COMPUTED_VALUE"""),"a77a2985")</f>
        <v>a77a2985</v>
      </c>
      <c r="B525" s="5">
        <f ca="1">IFERROR(__xludf.DUMMYFUNCTION("""COMPUTED_VALUE"""),45775.7501851851)</f>
        <v>45775.750185185098</v>
      </c>
      <c r="C525" s="2" t="str">
        <f ca="1">IFERROR(__xludf.DUMMYFUNCTION("""COMPUTED_VALUE"""),"27a8c5fb")</f>
        <v>27a8c5fb</v>
      </c>
      <c r="D525" s="2">
        <f ca="1">IFERROR(__xludf.DUMMYFUNCTION("""COMPUTED_VALUE"""),116)</f>
        <v>116</v>
      </c>
      <c r="E525" s="2" t="str">
        <f ca="1">IFERROR(__xludf.DUMMYFUNCTION("""COMPUTED_VALUE"""),"Tinto")</f>
        <v>Tinto</v>
      </c>
      <c r="F525" s="2">
        <f ca="1">IFERROR(__xludf.DUMMYFUNCTION("""COMPUTED_VALUE"""),27000)</f>
        <v>27000</v>
      </c>
      <c r="G525" s="2">
        <f ca="1">IFERROR(__xludf.DUMMYFUNCTION("""COMPUTED_VALUE"""),88)</f>
        <v>88</v>
      </c>
      <c r="H525" s="2" t="str">
        <f ca="1">IFERROR(__xludf.DUMMYFUNCTION("""COMPUTED_VALUE"""),"c9833042")</f>
        <v>c9833042</v>
      </c>
      <c r="I525" s="2" t="str">
        <f ca="1">IFERROR(__xludf.DUMMYFUNCTION("""COMPUTED_VALUE"""),"Tinto")</f>
        <v>Tinto</v>
      </c>
      <c r="J525" s="2">
        <f ca="1">IFERROR(__xludf.DUMMYFUNCTION("""COMPUTED_VALUE"""),43000)</f>
        <v>43000</v>
      </c>
      <c r="K525" s="2">
        <f ca="1">IFERROR(__xludf.DUMMYFUNCTION("""COMPUTED_VALUE"""),70000)</f>
        <v>70000</v>
      </c>
      <c r="L525" s="2" t="str">
        <f ca="1">IFERROR(__xludf.DUMMYFUNCTION("""COMPUTED_VALUE"""),"ab0559b8")</f>
        <v>ab0559b8</v>
      </c>
      <c r="M525" s="2" t="str">
        <f ca="1">IFERROR(__xludf.DUMMYFUNCTION("""COMPUTED_VALUE"""),"Tinto")</f>
        <v>Tinto</v>
      </c>
      <c r="N525" s="2"/>
      <c r="O525" s="2" t="str">
        <f ca="1">IFERROR(__xludf.DUMMYFUNCTION("""COMPUTED_VALUE"""),"Descubada")</f>
        <v>Descubada</v>
      </c>
      <c r="P525" s="2" t="str">
        <f ca="1">IFERROR(__xludf.DUMMYFUNCTION("""COMPUTED_VALUE"""),"1er Trasiego")</f>
        <v>1er Trasiego</v>
      </c>
      <c r="Q525" s="2" t="b">
        <f ca="1">IFERROR(__xludf.DUMMYFUNCTION("""COMPUTED_VALUE"""),TRUE)</f>
        <v>1</v>
      </c>
      <c r="R525" s="2" t="str">
        <f ca="1">IFERROR(__xludf.DUMMYFUNCTION("""COMPUTED_VALUE"""),"1er Trasiego")</f>
        <v>1er Trasiego</v>
      </c>
      <c r="S525" s="2"/>
      <c r="T525" s="2"/>
      <c r="U525" s="2"/>
    </row>
    <row r="526" spans="1:21" x14ac:dyDescent="0.25">
      <c r="A526" s="2" t="str">
        <f ca="1">IFERROR(__xludf.DUMMYFUNCTION("""COMPUTED_VALUE"""),"5533fb7c")</f>
        <v>5533fb7c</v>
      </c>
      <c r="B526" s="5">
        <f ca="1">IFERROR(__xludf.DUMMYFUNCTION("""COMPUTED_VALUE"""),45775.7504282407)</f>
        <v>45775.750428240703</v>
      </c>
      <c r="C526" s="2" t="str">
        <f ca="1">IFERROR(__xludf.DUMMYFUNCTION("""COMPUTED_VALUE"""),"27a8c5fb")</f>
        <v>27a8c5fb</v>
      </c>
      <c r="D526" s="2">
        <f ca="1">IFERROR(__xludf.DUMMYFUNCTION("""COMPUTED_VALUE"""),116)</f>
        <v>116</v>
      </c>
      <c r="E526" s="2" t="str">
        <f ca="1">IFERROR(__xludf.DUMMYFUNCTION("""COMPUTED_VALUE"""),"Tinto")</f>
        <v>Tinto</v>
      </c>
      <c r="F526" s="2">
        <f ca="1">IFERROR(__xludf.DUMMYFUNCTION("""COMPUTED_VALUE"""),27000)</f>
        <v>27000</v>
      </c>
      <c r="G526" s="2">
        <f ca="1">IFERROR(__xludf.DUMMYFUNCTION("""COMPUTED_VALUE"""),84)</f>
        <v>84</v>
      </c>
      <c r="H526" s="2" t="str">
        <f ca="1">IFERROR(__xludf.DUMMYFUNCTION("""COMPUTED_VALUE"""),"2b3d385d")</f>
        <v>2b3d385d</v>
      </c>
      <c r="I526" s="2" t="str">
        <f ca="1">IFERROR(__xludf.DUMMYFUNCTION("""COMPUTED_VALUE"""),"Tinto")</f>
        <v>Tinto</v>
      </c>
      <c r="J526" s="2">
        <f ca="1">IFERROR(__xludf.DUMMYFUNCTION("""COMPUTED_VALUE"""),43000)</f>
        <v>43000</v>
      </c>
      <c r="K526" s="2">
        <f ca="1">IFERROR(__xludf.DUMMYFUNCTION("""COMPUTED_VALUE"""),70000)</f>
        <v>70000</v>
      </c>
      <c r="L526" s="2" t="str">
        <f ca="1">IFERROR(__xludf.DUMMYFUNCTION("""COMPUTED_VALUE"""),"0aec25e6")</f>
        <v>0aec25e6</v>
      </c>
      <c r="M526" s="2" t="str">
        <f ca="1">IFERROR(__xludf.DUMMYFUNCTION("""COMPUTED_VALUE"""),"Tinto")</f>
        <v>Tinto</v>
      </c>
      <c r="N526" s="2"/>
      <c r="O526" s="2" t="str">
        <f ca="1">IFERROR(__xludf.DUMMYFUNCTION("""COMPUTED_VALUE"""),"Descubada")</f>
        <v>Descubada</v>
      </c>
      <c r="P526" s="2" t="str">
        <f ca="1">IFERROR(__xludf.DUMMYFUNCTION("""COMPUTED_VALUE"""),"1er Trasiego")</f>
        <v>1er Trasiego</v>
      </c>
      <c r="Q526" s="2" t="b">
        <f ca="1">IFERROR(__xludf.DUMMYFUNCTION("""COMPUTED_VALUE"""),TRUE)</f>
        <v>1</v>
      </c>
      <c r="R526" s="2" t="str">
        <f ca="1">IFERROR(__xludf.DUMMYFUNCTION("""COMPUTED_VALUE"""),"1er Trasiego")</f>
        <v>1er Trasiego</v>
      </c>
      <c r="S526" s="2"/>
      <c r="T526" s="2"/>
      <c r="U526" s="2"/>
    </row>
    <row r="527" spans="1:21" x14ac:dyDescent="0.25">
      <c r="A527" s="2" t="str">
        <f ca="1">IFERROR(__xludf.DUMMYFUNCTION("""COMPUTED_VALUE"""),"b1fdeb46")</f>
        <v>b1fdeb46</v>
      </c>
      <c r="B527" s="5">
        <f ca="1">IFERROR(__xludf.DUMMYFUNCTION("""COMPUTED_VALUE"""),45776.8489699074)</f>
        <v>45776.848969907398</v>
      </c>
      <c r="C527" s="2" t="str">
        <f ca="1">IFERROR(__xludf.DUMMYFUNCTION("""COMPUTED_VALUE"""),"247bde06")</f>
        <v>247bde06</v>
      </c>
      <c r="D527" s="2">
        <f ca="1">IFERROR(__xludf.DUMMYFUNCTION("""COMPUTED_VALUE"""),78)</f>
        <v>78</v>
      </c>
      <c r="E527" s="2" t="str">
        <f ca="1">IFERROR(__xludf.DUMMYFUNCTION("""COMPUTED_VALUE"""),"Tinto s/Bonarda")</f>
        <v>Tinto s/Bonarda</v>
      </c>
      <c r="F527" s="2">
        <f ca="1">IFERROR(__xludf.DUMMYFUNCTION("""COMPUTED_VALUE"""),14800)</f>
        <v>14800</v>
      </c>
      <c r="G527" s="2">
        <f ca="1">IFERROR(__xludf.DUMMYFUNCTION("""COMPUTED_VALUE"""),79)</f>
        <v>79</v>
      </c>
      <c r="H527" s="2"/>
      <c r="I527" s="2"/>
      <c r="J527" s="2">
        <f ca="1">IFERROR(__xludf.DUMMYFUNCTION("""COMPUTED_VALUE"""),0)</f>
        <v>0</v>
      </c>
      <c r="K527" s="2">
        <f ca="1">IFERROR(__xludf.DUMMYFUNCTION("""COMPUTED_VALUE"""),14800)</f>
        <v>14800</v>
      </c>
      <c r="L527" s="2" t="str">
        <f ca="1">IFERROR(__xludf.DUMMYFUNCTION("""COMPUTED_VALUE"""),"0f749555")</f>
        <v>0f749555</v>
      </c>
      <c r="M527" s="2" t="str">
        <f ca="1">IFERROR(__xludf.DUMMYFUNCTION("""COMPUTED_VALUE"""),"Tinto s/Bonarda")</f>
        <v>Tinto s/Bonarda</v>
      </c>
      <c r="N527" s="2"/>
      <c r="O527" s="2" t="str">
        <f ca="1">IFERROR(__xludf.DUMMYFUNCTION("""COMPUTED_VALUE"""),"Recarga Fermentando")</f>
        <v>Recarga Fermentando</v>
      </c>
      <c r="P527" s="2"/>
      <c r="Q527" s="2" t="b">
        <f ca="1">IFERROR(__xludf.DUMMYFUNCTION("""COMPUTED_VALUE"""),FALSE)</f>
        <v>0</v>
      </c>
      <c r="R527" s="2" t="str">
        <f ca="1">IFERROR(__xludf.DUMMYFUNCTION("""COMPUTED_VALUE"""),"Descubada")</f>
        <v>Descubada</v>
      </c>
      <c r="S527" s="2"/>
      <c r="T527" s="2"/>
      <c r="U527" s="2"/>
    </row>
    <row r="528" spans="1:21" x14ac:dyDescent="0.25">
      <c r="A528" s="2" t="str">
        <f ca="1">IFERROR(__xludf.DUMMYFUNCTION("""COMPUTED_VALUE"""),"6a20e2cc")</f>
        <v>6a20e2cc</v>
      </c>
      <c r="B528" s="5">
        <f ca="1">IFERROR(__xludf.DUMMYFUNCTION("""COMPUTED_VALUE"""),45776.8503819444)</f>
        <v>45776.850381944401</v>
      </c>
      <c r="C528" s="2" t="str">
        <f ca="1">IFERROR(__xludf.DUMMYFUNCTION("""COMPUTED_VALUE"""),"d2947d93")</f>
        <v>d2947d93</v>
      </c>
      <c r="D528" s="2">
        <f ca="1">IFERROR(__xludf.DUMMYFUNCTION("""COMPUTED_VALUE"""),45)</f>
        <v>45</v>
      </c>
      <c r="E528" s="2" t="str">
        <f ca="1">IFERROR(__xludf.DUMMYFUNCTION("""COMPUTED_VALUE"""),"Tinto s/Bonarda")</f>
        <v>Tinto s/Bonarda</v>
      </c>
      <c r="F528" s="2">
        <f ca="1">IFERROR(__xludf.DUMMYFUNCTION("""COMPUTED_VALUE"""),8900)</f>
        <v>8900</v>
      </c>
      <c r="G528" s="2">
        <f ca="1">IFERROR(__xludf.DUMMYFUNCTION("""COMPUTED_VALUE"""),88)</f>
        <v>88</v>
      </c>
      <c r="H528" s="2" t="str">
        <f ca="1">IFERROR(__xludf.DUMMYFUNCTION("""COMPUTED_VALUE"""),"ab0559b8")</f>
        <v>ab0559b8</v>
      </c>
      <c r="I528" s="2" t="str">
        <f ca="1">IFERROR(__xludf.DUMMYFUNCTION("""COMPUTED_VALUE"""),"Tinto")</f>
        <v>Tinto</v>
      </c>
      <c r="J528" s="2">
        <f ca="1">IFERROR(__xludf.DUMMYFUNCTION("""COMPUTED_VALUE"""),70000)</f>
        <v>70000</v>
      </c>
      <c r="K528" s="2">
        <f ca="1">IFERROR(__xludf.DUMMYFUNCTION("""COMPUTED_VALUE"""),78900)</f>
        <v>78900</v>
      </c>
      <c r="L528" s="2" t="str">
        <f ca="1">IFERROR(__xludf.DUMMYFUNCTION("""COMPUTED_VALUE"""),"3030acaa")</f>
        <v>3030acaa</v>
      </c>
      <c r="M528" s="2" t="str">
        <f ca="1">IFERROR(__xludf.DUMMYFUNCTION("""COMPUTED_VALUE"""),"Tinto")</f>
        <v>Tinto</v>
      </c>
      <c r="N528" s="2"/>
      <c r="O528" s="2" t="str">
        <f ca="1">IFERROR(__xludf.DUMMYFUNCTION("""COMPUTED_VALUE"""),"Descubada")</f>
        <v>Descubada</v>
      </c>
      <c r="P528" s="2" t="str">
        <f ca="1">IFERROR(__xludf.DUMMYFUNCTION("""COMPUTED_VALUE"""),"1er Trasiego")</f>
        <v>1er Trasiego</v>
      </c>
      <c r="Q528" s="2" t="b">
        <f ca="1">IFERROR(__xludf.DUMMYFUNCTION("""COMPUTED_VALUE"""),TRUE)</f>
        <v>1</v>
      </c>
      <c r="R528" s="2" t="str">
        <f ca="1">IFERROR(__xludf.DUMMYFUNCTION("""COMPUTED_VALUE"""),"1er Trasiego")</f>
        <v>1er Trasiego</v>
      </c>
      <c r="S528" s="2"/>
      <c r="T528" s="2"/>
      <c r="U528" s="2"/>
    </row>
    <row r="529" spans="1:21" x14ac:dyDescent="0.25">
      <c r="A529" s="2" t="str">
        <f ca="1">IFERROR(__xludf.DUMMYFUNCTION("""COMPUTED_VALUE"""),"340edc7e")</f>
        <v>340edc7e</v>
      </c>
      <c r="B529" s="5">
        <f ca="1">IFERROR(__xludf.DUMMYFUNCTION("""COMPUTED_VALUE"""),45776.8507291666)</f>
        <v>45776.850729166603</v>
      </c>
      <c r="C529" s="2" t="str">
        <f ca="1">IFERROR(__xludf.DUMMYFUNCTION("""COMPUTED_VALUE"""),"d2947d93")</f>
        <v>d2947d93</v>
      </c>
      <c r="D529" s="2">
        <f ca="1">IFERROR(__xludf.DUMMYFUNCTION("""COMPUTED_VALUE"""),45)</f>
        <v>45</v>
      </c>
      <c r="E529" s="2" t="str">
        <f ca="1">IFERROR(__xludf.DUMMYFUNCTION("""COMPUTED_VALUE"""),"Tinto s/Bonarda")</f>
        <v>Tinto s/Bonarda</v>
      </c>
      <c r="F529" s="2">
        <f ca="1">IFERROR(__xludf.DUMMYFUNCTION("""COMPUTED_VALUE"""),13000)</f>
        <v>13000</v>
      </c>
      <c r="G529" s="2">
        <f ca="1">IFERROR(__xludf.DUMMYFUNCTION("""COMPUTED_VALUE"""),84)</f>
        <v>84</v>
      </c>
      <c r="H529" s="2" t="str">
        <f ca="1">IFERROR(__xludf.DUMMYFUNCTION("""COMPUTED_VALUE"""),"0aec25e6")</f>
        <v>0aec25e6</v>
      </c>
      <c r="I529" s="2" t="str">
        <f ca="1">IFERROR(__xludf.DUMMYFUNCTION("""COMPUTED_VALUE"""),"Tinto")</f>
        <v>Tinto</v>
      </c>
      <c r="J529" s="2">
        <f ca="1">IFERROR(__xludf.DUMMYFUNCTION("""COMPUTED_VALUE"""),70000)</f>
        <v>70000</v>
      </c>
      <c r="K529" s="2">
        <f ca="1">IFERROR(__xludf.DUMMYFUNCTION("""COMPUTED_VALUE"""),83000)</f>
        <v>83000</v>
      </c>
      <c r="L529" s="2" t="str">
        <f ca="1">IFERROR(__xludf.DUMMYFUNCTION("""COMPUTED_VALUE"""),"80d02e67")</f>
        <v>80d02e67</v>
      </c>
      <c r="M529" s="2" t="str">
        <f ca="1">IFERROR(__xludf.DUMMYFUNCTION("""COMPUTED_VALUE"""),"Tinto")</f>
        <v>Tinto</v>
      </c>
      <c r="N529" s="2"/>
      <c r="O529" s="2" t="str">
        <f ca="1">IFERROR(__xludf.DUMMYFUNCTION("""COMPUTED_VALUE"""),"Descubada")</f>
        <v>Descubada</v>
      </c>
      <c r="P529" s="2" t="str">
        <f ca="1">IFERROR(__xludf.DUMMYFUNCTION("""COMPUTED_VALUE"""),"1er Trasiego")</f>
        <v>1er Trasiego</v>
      </c>
      <c r="Q529" s="2" t="b">
        <f ca="1">IFERROR(__xludf.DUMMYFUNCTION("""COMPUTED_VALUE"""),TRUE)</f>
        <v>1</v>
      </c>
      <c r="R529" s="2" t="str">
        <f ca="1">IFERROR(__xludf.DUMMYFUNCTION("""COMPUTED_VALUE"""),"1er Trasiego")</f>
        <v>1er Trasiego</v>
      </c>
      <c r="S529" s="2"/>
      <c r="T529" s="2"/>
      <c r="U529" s="2"/>
    </row>
    <row r="530" spans="1:21" x14ac:dyDescent="0.25">
      <c r="A530" s="2" t="str">
        <f ca="1">IFERROR(__xludf.DUMMYFUNCTION("""COMPUTED_VALUE"""),"a5dbbaa3")</f>
        <v>a5dbbaa3</v>
      </c>
      <c r="B530" s="5">
        <f ca="1">IFERROR(__xludf.DUMMYFUNCTION("""COMPUTED_VALUE"""),45776.8510300925)</f>
        <v>45776.851030092497</v>
      </c>
      <c r="C530" s="2" t="str">
        <f ca="1">IFERROR(__xludf.DUMMYFUNCTION("""COMPUTED_VALUE"""),"d2947d93")</f>
        <v>d2947d93</v>
      </c>
      <c r="D530" s="2">
        <f ca="1">IFERROR(__xludf.DUMMYFUNCTION("""COMPUTED_VALUE"""),45)</f>
        <v>45</v>
      </c>
      <c r="E530" s="2" t="str">
        <f ca="1">IFERROR(__xludf.DUMMYFUNCTION("""COMPUTED_VALUE"""),"Tinto s/Bonarda")</f>
        <v>Tinto s/Bonarda</v>
      </c>
      <c r="F530" s="2">
        <f ca="1">IFERROR(__xludf.DUMMYFUNCTION("""COMPUTED_VALUE"""),600)</f>
        <v>600</v>
      </c>
      <c r="G530" s="2">
        <f ca="1">IFERROR(__xludf.DUMMYFUNCTION("""COMPUTED_VALUE"""),11)</f>
        <v>11</v>
      </c>
      <c r="H530" s="2" t="str">
        <f ca="1">IFERROR(__xludf.DUMMYFUNCTION("""COMPUTED_VALUE"""),"ec820b78")</f>
        <v>ec820b78</v>
      </c>
      <c r="I530" s="2" t="str">
        <f ca="1">IFERROR(__xludf.DUMMYFUNCTION("""COMPUTED_VALUE"""),"Claro de filtro")</f>
        <v>Claro de filtro</v>
      </c>
      <c r="J530" s="2">
        <f ca="1">IFERROR(__xludf.DUMMYFUNCTION("""COMPUTED_VALUE"""),9200)</f>
        <v>9200</v>
      </c>
      <c r="K530" s="2">
        <f ca="1">IFERROR(__xludf.DUMMYFUNCTION("""COMPUTED_VALUE"""),9800)</f>
        <v>9800</v>
      </c>
      <c r="L530" s="2" t="str">
        <f ca="1">IFERROR(__xludf.DUMMYFUNCTION("""COMPUTED_VALUE"""),"c1d9bfc2")</f>
        <v>c1d9bfc2</v>
      </c>
      <c r="M530" s="2" t="str">
        <f ca="1">IFERROR(__xludf.DUMMYFUNCTION("""COMPUTED_VALUE"""),"Claro de filtro")</f>
        <v>Claro de filtro</v>
      </c>
      <c r="N530" s="2"/>
      <c r="O530" s="2" t="str">
        <f ca="1">IFERROR(__xludf.DUMMYFUNCTION("""COMPUTED_VALUE"""),"Descubada")</f>
        <v>Descubada</v>
      </c>
      <c r="P530" s="2" t="str">
        <f ca="1">IFERROR(__xludf.DUMMYFUNCTION("""COMPUTED_VALUE"""),"Descubada")</f>
        <v>Descubada</v>
      </c>
      <c r="Q530" s="2" t="b">
        <f ca="1">IFERROR(__xludf.DUMMYFUNCTION("""COMPUTED_VALUE"""),TRUE)</f>
        <v>1</v>
      </c>
      <c r="R530" s="2" t="str">
        <f ca="1">IFERROR(__xludf.DUMMYFUNCTION("""COMPUTED_VALUE"""),"Descubada")</f>
        <v>Descubada</v>
      </c>
      <c r="S530" s="2"/>
      <c r="T530" s="2"/>
      <c r="U530" s="2"/>
    </row>
    <row r="531" spans="1:21" x14ac:dyDescent="0.25">
      <c r="A531" s="2" t="str">
        <f ca="1">IFERROR(__xludf.DUMMYFUNCTION("""COMPUTED_VALUE"""),"ba517461")</f>
        <v>ba517461</v>
      </c>
      <c r="B531" s="5">
        <f ca="1">IFERROR(__xludf.DUMMYFUNCTION("""COMPUTED_VALUE"""),45776.9079629629)</f>
        <v>45776.907962962898</v>
      </c>
      <c r="C531" s="2" t="str">
        <f ca="1">IFERROR(__xludf.DUMMYFUNCTION("""COMPUTED_VALUE"""),"290ee918")</f>
        <v>290ee918</v>
      </c>
      <c r="D531" s="2">
        <f ca="1">IFERROR(__xludf.DUMMYFUNCTION("""COMPUTED_VALUE"""),103)</f>
        <v>103</v>
      </c>
      <c r="E531" s="2" t="str">
        <f ca="1">IFERROR(__xludf.DUMMYFUNCTION("""COMPUTED_VALUE"""),"Anccelotta")</f>
        <v>Anccelotta</v>
      </c>
      <c r="F531" s="2">
        <f ca="1">IFERROR(__xludf.DUMMYFUNCTION("""COMPUTED_VALUE"""),30000)</f>
        <v>30000</v>
      </c>
      <c r="G531" s="2">
        <f ca="1">IFERROR(__xludf.DUMMYFUNCTION("""COMPUTED_VALUE"""),82)</f>
        <v>82</v>
      </c>
      <c r="H531" s="2"/>
      <c r="I531" s="2"/>
      <c r="J531" s="2">
        <f ca="1">IFERROR(__xludf.DUMMYFUNCTION("""COMPUTED_VALUE"""),0)</f>
        <v>0</v>
      </c>
      <c r="K531" s="2">
        <f ca="1">IFERROR(__xludf.DUMMYFUNCTION("""COMPUTED_VALUE"""),30000)</f>
        <v>30000</v>
      </c>
      <c r="L531" s="2" t="str">
        <f ca="1">IFERROR(__xludf.DUMMYFUNCTION("""COMPUTED_VALUE"""),"46acf5ed")</f>
        <v>46acf5ed</v>
      </c>
      <c r="M531" s="2" t="str">
        <f ca="1">IFERROR(__xludf.DUMMYFUNCTION("""COMPUTED_VALUE"""),"Anccelotta")</f>
        <v>Anccelotta</v>
      </c>
      <c r="N531" s="2"/>
      <c r="O531" s="2" t="str">
        <f ca="1">IFERROR(__xludf.DUMMYFUNCTION("""COMPUTED_VALUE"""),"1er Trasiego")</f>
        <v>1er Trasiego</v>
      </c>
      <c r="P531" s="2"/>
      <c r="Q531" s="2" t="b">
        <f ca="1">IFERROR(__xludf.DUMMYFUNCTION("""COMPUTED_VALUE"""),FALSE)</f>
        <v>0</v>
      </c>
      <c r="R531" s="2" t="str">
        <f ca="1">IFERROR(__xludf.DUMMYFUNCTION("""COMPUTED_VALUE"""),"Descubada")</f>
        <v>Descubada</v>
      </c>
      <c r="S531" s="2"/>
      <c r="T531" s="2"/>
      <c r="U531" s="2"/>
    </row>
    <row r="532" spans="1:21" x14ac:dyDescent="0.25">
      <c r="A532" s="2" t="str">
        <f ca="1">IFERROR(__xludf.DUMMYFUNCTION("""COMPUTED_VALUE"""),"55ffaf90")</f>
        <v>55ffaf90</v>
      </c>
      <c r="B532" s="5">
        <f ca="1">IFERROR(__xludf.DUMMYFUNCTION("""COMPUTED_VALUE"""),45776.9085763888)</f>
        <v>45776.9085763888</v>
      </c>
      <c r="C532" s="2" t="str">
        <f ca="1">IFERROR(__xludf.DUMMYFUNCTION("""COMPUTED_VALUE"""),"b1ca9458")</f>
        <v>b1ca9458</v>
      </c>
      <c r="D532" s="2">
        <f ca="1">IFERROR(__xludf.DUMMYFUNCTION("""COMPUTED_VALUE"""),106)</f>
        <v>106</v>
      </c>
      <c r="E532" s="2" t="str">
        <f ca="1">IFERROR(__xludf.DUMMYFUNCTION("""COMPUTED_VALUE"""),"Ancellotta Tempranillo")</f>
        <v>Ancellotta Tempranillo</v>
      </c>
      <c r="F532" s="2">
        <f ca="1">IFERROR(__xludf.DUMMYFUNCTION("""COMPUTED_VALUE"""),11000)</f>
        <v>11000</v>
      </c>
      <c r="G532" s="2">
        <f ca="1">IFERROR(__xludf.DUMMYFUNCTION("""COMPUTED_VALUE"""),82)</f>
        <v>82</v>
      </c>
      <c r="H532" s="2" t="str">
        <f ca="1">IFERROR(__xludf.DUMMYFUNCTION("""COMPUTED_VALUE"""),"46acf5ed")</f>
        <v>46acf5ed</v>
      </c>
      <c r="I532" s="2" t="str">
        <f ca="1">IFERROR(__xludf.DUMMYFUNCTION("""COMPUTED_VALUE"""),"Anccelotta")</f>
        <v>Anccelotta</v>
      </c>
      <c r="J532" s="2">
        <f ca="1">IFERROR(__xludf.DUMMYFUNCTION("""COMPUTED_VALUE"""),30000)</f>
        <v>30000</v>
      </c>
      <c r="K532" s="2">
        <f ca="1">IFERROR(__xludf.DUMMYFUNCTION("""COMPUTED_VALUE"""),41000)</f>
        <v>41000</v>
      </c>
      <c r="L532" s="2" t="str">
        <f ca="1">IFERROR(__xludf.DUMMYFUNCTION("""COMPUTED_VALUE"""),"20f062e7")</f>
        <v>20f062e7</v>
      </c>
      <c r="M532" s="2" t="str">
        <f ca="1">IFERROR(__xludf.DUMMYFUNCTION("""COMPUTED_VALUE"""),"Anccelotta")</f>
        <v>Anccelotta</v>
      </c>
      <c r="N532" s="2"/>
      <c r="O532" s="2" t="str">
        <f ca="1">IFERROR(__xludf.DUMMYFUNCTION("""COMPUTED_VALUE"""),"Descubada")</f>
        <v>Descubada</v>
      </c>
      <c r="P532" s="2" t="str">
        <f ca="1">IFERROR(__xludf.DUMMYFUNCTION("""COMPUTED_VALUE"""),"Descubada")</f>
        <v>Descubada</v>
      </c>
      <c r="Q532" s="2" t="b">
        <f ca="1">IFERROR(__xludf.DUMMYFUNCTION("""COMPUTED_VALUE"""),TRUE)</f>
        <v>1</v>
      </c>
      <c r="R532" s="2" t="str">
        <f ca="1">IFERROR(__xludf.DUMMYFUNCTION("""COMPUTED_VALUE"""),"Descubada")</f>
        <v>Descubada</v>
      </c>
      <c r="S532" s="2"/>
      <c r="T532" s="2"/>
      <c r="U532" s="2"/>
    </row>
    <row r="533" spans="1:21" x14ac:dyDescent="0.25">
      <c r="A533" s="2" t="str">
        <f ca="1">IFERROR(__xludf.DUMMYFUNCTION("""COMPUTED_VALUE"""),"3249908a")</f>
        <v>3249908a</v>
      </c>
      <c r="B533" s="5">
        <f ca="1">IFERROR(__xludf.DUMMYFUNCTION("""COMPUTED_VALUE"""),45776.9094675925)</f>
        <v>45776.909467592501</v>
      </c>
      <c r="C533" s="2" t="str">
        <f ca="1">IFERROR(__xludf.DUMMYFUNCTION("""COMPUTED_VALUE"""),"c750a1d2")</f>
        <v>c750a1d2</v>
      </c>
      <c r="D533" s="2">
        <f ca="1">IFERROR(__xludf.DUMMYFUNCTION("""COMPUTED_VALUE"""),52)</f>
        <v>52</v>
      </c>
      <c r="E533" s="2" t="str">
        <f ca="1">IFERROR(__xludf.DUMMYFUNCTION("""COMPUTED_VALUE"""),"Bonarda")</f>
        <v>Bonarda</v>
      </c>
      <c r="F533" s="2">
        <f ca="1">IFERROR(__xludf.DUMMYFUNCTION("""COMPUTED_VALUE"""),24000)</f>
        <v>24000</v>
      </c>
      <c r="G533" s="2">
        <f ca="1">IFERROR(__xludf.DUMMYFUNCTION("""COMPUTED_VALUE"""),116)</f>
        <v>116</v>
      </c>
      <c r="H533" s="2"/>
      <c r="I533" s="2"/>
      <c r="J533" s="2">
        <f ca="1">IFERROR(__xludf.DUMMYFUNCTION("""COMPUTED_VALUE"""),0)</f>
        <v>0</v>
      </c>
      <c r="K533" s="2">
        <f ca="1">IFERROR(__xludf.DUMMYFUNCTION("""COMPUTED_VALUE"""),24000)</f>
        <v>24000</v>
      </c>
      <c r="L533" s="2" t="str">
        <f ca="1">IFERROR(__xludf.DUMMYFUNCTION("""COMPUTED_VALUE"""),"3c150dd5")</f>
        <v>3c150dd5</v>
      </c>
      <c r="M533" s="2" t="str">
        <f ca="1">IFERROR(__xludf.DUMMYFUNCTION("""COMPUTED_VALUE"""),"Bonarda")</f>
        <v>Bonarda</v>
      </c>
      <c r="N533" s="2"/>
      <c r="O533" s="2" t="str">
        <f ca="1">IFERROR(__xludf.DUMMYFUNCTION("""COMPUTED_VALUE"""),"Descubada")</f>
        <v>Descubada</v>
      </c>
      <c r="P533" s="2"/>
      <c r="Q533" s="2" t="b">
        <f ca="1">IFERROR(__xludf.DUMMYFUNCTION("""COMPUTED_VALUE"""),FALSE)</f>
        <v>0</v>
      </c>
      <c r="R533" s="2" t="str">
        <f ca="1">IFERROR(__xludf.DUMMYFUNCTION("""COMPUTED_VALUE"""),"1er Trasiego")</f>
        <v>1er Trasiego</v>
      </c>
      <c r="S533" s="2"/>
      <c r="T533" s="2"/>
      <c r="U533" s="2"/>
    </row>
    <row r="534" spans="1:21" x14ac:dyDescent="0.25">
      <c r="A534" s="2" t="str">
        <f ca="1">IFERROR(__xludf.DUMMYFUNCTION("""COMPUTED_VALUE"""),"fecd47d8")</f>
        <v>fecd47d8</v>
      </c>
      <c r="B534" s="5">
        <f ca="1">IFERROR(__xludf.DUMMYFUNCTION("""COMPUTED_VALUE"""),45776.9102199074)</f>
        <v>45776.910219907397</v>
      </c>
      <c r="C534" s="2" t="str">
        <f ca="1">IFERROR(__xludf.DUMMYFUNCTION("""COMPUTED_VALUE"""),"f5552916")</f>
        <v>f5552916</v>
      </c>
      <c r="D534" s="2">
        <f ca="1">IFERROR(__xludf.DUMMYFUNCTION("""COMPUTED_VALUE"""),85)</f>
        <v>85</v>
      </c>
      <c r="E534" s="2" t="str">
        <f ca="1">IFERROR(__xludf.DUMMYFUNCTION("""COMPUTED_VALUE"""),"Bonarda Gota")</f>
        <v>Bonarda Gota</v>
      </c>
      <c r="F534" s="2">
        <f ca="1">IFERROR(__xludf.DUMMYFUNCTION("""COMPUTED_VALUE"""),35000)</f>
        <v>35000</v>
      </c>
      <c r="G534" s="2">
        <f ca="1">IFERROR(__xludf.DUMMYFUNCTION("""COMPUTED_VALUE"""),116)</f>
        <v>116</v>
      </c>
      <c r="H534" s="2" t="str">
        <f ca="1">IFERROR(__xludf.DUMMYFUNCTION("""COMPUTED_VALUE"""),"3c150dd5")</f>
        <v>3c150dd5</v>
      </c>
      <c r="I534" s="2" t="str">
        <f ca="1">IFERROR(__xludf.DUMMYFUNCTION("""COMPUTED_VALUE"""),"Bonarda")</f>
        <v>Bonarda</v>
      </c>
      <c r="J534" s="2">
        <f ca="1">IFERROR(__xludf.DUMMYFUNCTION("""COMPUTED_VALUE"""),24000)</f>
        <v>24000</v>
      </c>
      <c r="K534" s="2">
        <f ca="1">IFERROR(__xludf.DUMMYFUNCTION("""COMPUTED_VALUE"""),59000)</f>
        <v>59000</v>
      </c>
      <c r="L534" s="2" t="str">
        <f ca="1">IFERROR(__xludf.DUMMYFUNCTION("""COMPUTED_VALUE"""),"57f606f3")</f>
        <v>57f606f3</v>
      </c>
      <c r="M534" s="2" t="str">
        <f ca="1">IFERROR(__xludf.DUMMYFUNCTION("""COMPUTED_VALUE"""),"Bonarda")</f>
        <v>Bonarda</v>
      </c>
      <c r="N534" s="2"/>
      <c r="O534" s="2" t="str">
        <f ca="1">IFERROR(__xludf.DUMMYFUNCTION("""COMPUTED_VALUE"""),"Descubada")</f>
        <v>Descubada</v>
      </c>
      <c r="P534" s="2" t="str">
        <f ca="1">IFERROR(__xludf.DUMMYFUNCTION("""COMPUTED_VALUE"""),"1er Trasiego")</f>
        <v>1er Trasiego</v>
      </c>
      <c r="Q534" s="2" t="b">
        <f ca="1">IFERROR(__xludf.DUMMYFUNCTION("""COMPUTED_VALUE"""),TRUE)</f>
        <v>1</v>
      </c>
      <c r="R534" s="2" t="str">
        <f ca="1">IFERROR(__xludf.DUMMYFUNCTION("""COMPUTED_VALUE"""),"1er Trasiego")</f>
        <v>1er Trasiego</v>
      </c>
      <c r="S534" s="2"/>
      <c r="T534" s="2"/>
      <c r="U534" s="2"/>
    </row>
    <row r="535" spans="1:21" x14ac:dyDescent="0.25">
      <c r="A535" s="2" t="str">
        <f ca="1">IFERROR(__xludf.DUMMYFUNCTION("""COMPUTED_VALUE"""),"52ff4dae")</f>
        <v>52ff4dae</v>
      </c>
      <c r="B535" s="5">
        <f ca="1">IFERROR(__xludf.DUMMYFUNCTION("""COMPUTED_VALUE"""),45776.9105324074)</f>
        <v>45776.910532407397</v>
      </c>
      <c r="C535" s="2" t="str">
        <f ca="1">IFERROR(__xludf.DUMMYFUNCTION("""COMPUTED_VALUE"""),"afed01fa")</f>
        <v>afed01fa</v>
      </c>
      <c r="D535" s="2">
        <f ca="1">IFERROR(__xludf.DUMMYFUNCTION("""COMPUTED_VALUE"""),107)</f>
        <v>107</v>
      </c>
      <c r="E535" s="2" t="str">
        <f ca="1">IFERROR(__xludf.DUMMYFUNCTION("""COMPUTED_VALUE"""),"Ancellotta Tempranillo Pren")</f>
        <v>Ancellotta Tempranillo Pren</v>
      </c>
      <c r="F535" s="2">
        <f ca="1">IFERROR(__xludf.DUMMYFUNCTION("""COMPUTED_VALUE"""),30000)</f>
        <v>30000</v>
      </c>
      <c r="G535" s="2">
        <f ca="1">IFERROR(__xludf.DUMMYFUNCTION("""COMPUTED_VALUE"""),116)</f>
        <v>116</v>
      </c>
      <c r="H535" s="2" t="str">
        <f ca="1">IFERROR(__xludf.DUMMYFUNCTION("""COMPUTED_VALUE"""),"57f606f3")</f>
        <v>57f606f3</v>
      </c>
      <c r="I535" s="2" t="str">
        <f ca="1">IFERROR(__xludf.DUMMYFUNCTION("""COMPUTED_VALUE"""),"Bonarda")</f>
        <v>Bonarda</v>
      </c>
      <c r="J535" s="2">
        <f ca="1">IFERROR(__xludf.DUMMYFUNCTION("""COMPUTED_VALUE"""),59000)</f>
        <v>59000</v>
      </c>
      <c r="K535" s="2">
        <f ca="1">IFERROR(__xludf.DUMMYFUNCTION("""COMPUTED_VALUE"""),89000)</f>
        <v>89000</v>
      </c>
      <c r="L535" s="2" t="str">
        <f ca="1">IFERROR(__xludf.DUMMYFUNCTION("""COMPUTED_VALUE"""),"029318be")</f>
        <v>029318be</v>
      </c>
      <c r="M535" s="2" t="str">
        <f ca="1">IFERROR(__xludf.DUMMYFUNCTION("""COMPUTED_VALUE"""),"Bonarda")</f>
        <v>Bonarda</v>
      </c>
      <c r="N535" s="2"/>
      <c r="O535" s="2" t="str">
        <f ca="1">IFERROR(__xludf.DUMMYFUNCTION("""COMPUTED_VALUE"""),"Descubada")</f>
        <v>Descubada</v>
      </c>
      <c r="P535" s="2" t="str">
        <f ca="1">IFERROR(__xludf.DUMMYFUNCTION("""COMPUTED_VALUE"""),"1er Trasiego")</f>
        <v>1er Trasiego</v>
      </c>
      <c r="Q535" s="2" t="b">
        <f ca="1">IFERROR(__xludf.DUMMYFUNCTION("""COMPUTED_VALUE"""),TRUE)</f>
        <v>1</v>
      </c>
      <c r="R535" s="2" t="str">
        <f ca="1">IFERROR(__xludf.DUMMYFUNCTION("""COMPUTED_VALUE"""),"1er Trasiego")</f>
        <v>1er Trasiego</v>
      </c>
      <c r="S535" s="2"/>
      <c r="T535" s="2"/>
      <c r="U535" s="2"/>
    </row>
    <row r="536" spans="1:21" x14ac:dyDescent="0.25">
      <c r="A536" s="2" t="str">
        <f ca="1">IFERROR(__xludf.DUMMYFUNCTION("""COMPUTED_VALUE"""),"5ecc52dd")</f>
        <v>5ecc52dd</v>
      </c>
      <c r="B536" s="5">
        <f ca="1">IFERROR(__xludf.DUMMYFUNCTION("""COMPUTED_VALUE"""),45776.9109606481)</f>
        <v>45776.9109606481</v>
      </c>
      <c r="C536" s="2" t="str">
        <f ca="1">IFERROR(__xludf.DUMMYFUNCTION("""COMPUTED_VALUE"""),"33d70f3e")</f>
        <v>33d70f3e</v>
      </c>
      <c r="D536" s="2">
        <f ca="1">IFERROR(__xludf.DUMMYFUNCTION("""COMPUTED_VALUE"""),109)</f>
        <v>109</v>
      </c>
      <c r="E536" s="2" t="str">
        <f ca="1">IFERROR(__xludf.DUMMYFUNCTION("""COMPUTED_VALUE"""),"Bonarda C2")</f>
        <v>Bonarda C2</v>
      </c>
      <c r="F536" s="2">
        <f ca="1">IFERROR(__xludf.DUMMYFUNCTION("""COMPUTED_VALUE"""),10600)</f>
        <v>10600</v>
      </c>
      <c r="G536" s="2">
        <f ca="1">IFERROR(__xludf.DUMMYFUNCTION("""COMPUTED_VALUE"""),116)</f>
        <v>116</v>
      </c>
      <c r="H536" s="2" t="str">
        <f ca="1">IFERROR(__xludf.DUMMYFUNCTION("""COMPUTED_VALUE"""),"029318be")</f>
        <v>029318be</v>
      </c>
      <c r="I536" s="2" t="str">
        <f ca="1">IFERROR(__xludf.DUMMYFUNCTION("""COMPUTED_VALUE"""),"Bonarda")</f>
        <v>Bonarda</v>
      </c>
      <c r="J536" s="2">
        <f ca="1">IFERROR(__xludf.DUMMYFUNCTION("""COMPUTED_VALUE"""),89000)</f>
        <v>89000</v>
      </c>
      <c r="K536" s="2">
        <f ca="1">IFERROR(__xludf.DUMMYFUNCTION("""COMPUTED_VALUE"""),99600)</f>
        <v>99600</v>
      </c>
      <c r="L536" s="2" t="str">
        <f ca="1">IFERROR(__xludf.DUMMYFUNCTION("""COMPUTED_VALUE"""),"7a999708")</f>
        <v>7a999708</v>
      </c>
      <c r="M536" s="2" t="str">
        <f ca="1">IFERROR(__xludf.DUMMYFUNCTION("""COMPUTED_VALUE"""),"Bonarda")</f>
        <v>Bonarda</v>
      </c>
      <c r="N536" s="2"/>
      <c r="O536" s="2" t="str">
        <f ca="1">IFERROR(__xludf.DUMMYFUNCTION("""COMPUTED_VALUE"""),"Descubada")</f>
        <v>Descubada</v>
      </c>
      <c r="P536" s="2" t="str">
        <f ca="1">IFERROR(__xludf.DUMMYFUNCTION("""COMPUTED_VALUE"""),"1er Trasiego")</f>
        <v>1er Trasiego</v>
      </c>
      <c r="Q536" s="2" t="b">
        <f ca="1">IFERROR(__xludf.DUMMYFUNCTION("""COMPUTED_VALUE"""),TRUE)</f>
        <v>1</v>
      </c>
      <c r="R536" s="2" t="str">
        <f ca="1">IFERROR(__xludf.DUMMYFUNCTION("""COMPUTED_VALUE"""),"1er Trasiego")</f>
        <v>1er Trasiego</v>
      </c>
      <c r="S536" s="2"/>
      <c r="T536" s="2"/>
      <c r="U536" s="2"/>
    </row>
    <row r="537" spans="1:21" x14ac:dyDescent="0.25">
      <c r="A537" s="2" t="str">
        <f ca="1">IFERROR(__xludf.DUMMYFUNCTION("""COMPUTED_VALUE"""),"2bea85a7")</f>
        <v>2bea85a7</v>
      </c>
      <c r="B537" s="5">
        <f ca="1">IFERROR(__xludf.DUMMYFUNCTION("""COMPUTED_VALUE"""),45776.9174537037)</f>
        <v>45776.917453703703</v>
      </c>
      <c r="C537" s="2" t="str">
        <f ca="1">IFERROR(__xludf.DUMMYFUNCTION("""COMPUTED_VALUE"""),"e33f8556")</f>
        <v>e33f8556</v>
      </c>
      <c r="D537" s="2">
        <f ca="1">IFERROR(__xludf.DUMMYFUNCTION("""COMPUTED_VALUE"""),105)</f>
        <v>105</v>
      </c>
      <c r="E537" s="2" t="str">
        <f ca="1">IFERROR(__xludf.DUMMYFUNCTION("""COMPUTED_VALUE"""),"Malbec Bonarda")</f>
        <v>Malbec Bonarda</v>
      </c>
      <c r="F537" s="2">
        <f ca="1">IFERROR(__xludf.DUMMYFUNCTION("""COMPUTED_VALUE"""),30000)</f>
        <v>30000</v>
      </c>
      <c r="G537" s="2">
        <f ca="1">IFERROR(__xludf.DUMMYFUNCTION("""COMPUTED_VALUE"""),125)</f>
        <v>125</v>
      </c>
      <c r="H537" s="2"/>
      <c r="I537" s="2"/>
      <c r="J537" s="2">
        <f ca="1">IFERROR(__xludf.DUMMYFUNCTION("""COMPUTED_VALUE"""),0)</f>
        <v>0</v>
      </c>
      <c r="K537" s="2">
        <f ca="1">IFERROR(__xludf.DUMMYFUNCTION("""COMPUTED_VALUE"""),30000)</f>
        <v>30000</v>
      </c>
      <c r="L537" s="2" t="str">
        <f ca="1">IFERROR(__xludf.DUMMYFUNCTION("""COMPUTED_VALUE"""),"3b7f8f1f")</f>
        <v>3b7f8f1f</v>
      </c>
      <c r="M537" s="2" t="str">
        <f ca="1">IFERROR(__xludf.DUMMYFUNCTION("""COMPUTED_VALUE"""),"Malbec Bonarda")</f>
        <v>Malbec Bonarda</v>
      </c>
      <c r="N537" s="2"/>
      <c r="O537" s="2" t="str">
        <f ca="1">IFERROR(__xludf.DUMMYFUNCTION("""COMPUTED_VALUE"""),"Descubada")</f>
        <v>Descubada</v>
      </c>
      <c r="P537" s="2"/>
      <c r="Q537" s="2" t="b">
        <f ca="1">IFERROR(__xludf.DUMMYFUNCTION("""COMPUTED_VALUE"""),FALSE)</f>
        <v>0</v>
      </c>
      <c r="R537" s="2" t="str">
        <f ca="1">IFERROR(__xludf.DUMMYFUNCTION("""COMPUTED_VALUE"""),"1er Trasiego")</f>
        <v>1er Trasiego</v>
      </c>
      <c r="S537" s="2"/>
      <c r="T537" s="2"/>
      <c r="U537" s="2"/>
    </row>
    <row r="538" spans="1:21" x14ac:dyDescent="0.25">
      <c r="A538" s="2" t="str">
        <f ca="1">IFERROR(__xludf.DUMMYFUNCTION("""COMPUTED_VALUE"""),"8f72e535")</f>
        <v>8f72e535</v>
      </c>
      <c r="B538" s="5">
        <f ca="1">IFERROR(__xludf.DUMMYFUNCTION("""COMPUTED_VALUE"""),45776.918136574)</f>
        <v>45776.918136574001</v>
      </c>
      <c r="C538" s="2" t="str">
        <f ca="1">IFERROR(__xludf.DUMMYFUNCTION("""COMPUTED_VALUE"""),"3b7f8f1f")</f>
        <v>3b7f8f1f</v>
      </c>
      <c r="D538" s="2">
        <f ca="1">IFERROR(__xludf.DUMMYFUNCTION("""COMPUTED_VALUE"""),125)</f>
        <v>125</v>
      </c>
      <c r="E538" s="2" t="str">
        <f ca="1">IFERROR(__xludf.DUMMYFUNCTION("""COMPUTED_VALUE"""),"Malbec Bonarda")</f>
        <v>Malbec Bonarda</v>
      </c>
      <c r="F538" s="2">
        <f ca="1">IFERROR(__xludf.DUMMYFUNCTION("""COMPUTED_VALUE"""),9000)</f>
        <v>9000</v>
      </c>
      <c r="G538" s="2">
        <f ca="1">IFERROR(__xludf.DUMMYFUNCTION("""COMPUTED_VALUE"""),6)</f>
        <v>6</v>
      </c>
      <c r="H538" s="2"/>
      <c r="I538" s="2"/>
      <c r="J538" s="2">
        <f ca="1">IFERROR(__xludf.DUMMYFUNCTION("""COMPUTED_VALUE"""),0)</f>
        <v>0</v>
      </c>
      <c r="K538" s="2">
        <f ca="1">IFERROR(__xludf.DUMMYFUNCTION("""COMPUTED_VALUE"""),9000)</f>
        <v>9000</v>
      </c>
      <c r="L538" s="2" t="str">
        <f ca="1">IFERROR(__xludf.DUMMYFUNCTION("""COMPUTED_VALUE"""),"295b868d")</f>
        <v>295b868d</v>
      </c>
      <c r="M538" s="2" t="str">
        <f ca="1">IFERROR(__xludf.DUMMYFUNCTION("""COMPUTED_VALUE"""),"Malbec Bonarda")</f>
        <v>Malbec Bonarda</v>
      </c>
      <c r="N538" s="2"/>
      <c r="O538" s="2" t="str">
        <f ca="1">IFERROR(__xludf.DUMMYFUNCTION("""COMPUTED_VALUE"""),"1er Trasiego")</f>
        <v>1er Trasiego</v>
      </c>
      <c r="P538" s="2"/>
      <c r="Q538" s="2" t="b">
        <f ca="1">IFERROR(__xludf.DUMMYFUNCTION("""COMPUTED_VALUE"""),FALSE)</f>
        <v>0</v>
      </c>
      <c r="R538" s="2" t="str">
        <f ca="1">IFERROR(__xludf.DUMMYFUNCTION("""COMPUTED_VALUE"""),"Rectificado")</f>
        <v>Rectificado</v>
      </c>
      <c r="S538" s="2"/>
      <c r="T538" s="2"/>
      <c r="U538" s="2"/>
    </row>
    <row r="539" spans="1:21" x14ac:dyDescent="0.25">
      <c r="A539" s="2" t="str">
        <f ca="1">IFERROR(__xludf.DUMMYFUNCTION("""COMPUTED_VALUE"""),"399cb47e")</f>
        <v>399cb47e</v>
      </c>
      <c r="B539" s="5">
        <f ca="1">IFERROR(__xludf.DUMMYFUNCTION("""COMPUTED_VALUE"""),45776.9185648148)</f>
        <v>45776.918564814798</v>
      </c>
      <c r="C539" s="2" t="str">
        <f ca="1">IFERROR(__xludf.DUMMYFUNCTION("""COMPUTED_VALUE"""),"295b868d")</f>
        <v>295b868d</v>
      </c>
      <c r="D539" s="2">
        <f ca="1">IFERROR(__xludf.DUMMYFUNCTION("""COMPUTED_VALUE"""),6)</f>
        <v>6</v>
      </c>
      <c r="E539" s="2" t="str">
        <f ca="1">IFERROR(__xludf.DUMMYFUNCTION("""COMPUTED_VALUE"""),"Malbec Bonarda")</f>
        <v>Malbec Bonarda</v>
      </c>
      <c r="F539" s="2">
        <f ca="1">IFERROR(__xludf.DUMMYFUNCTION("""COMPUTED_VALUE"""),9000)</f>
        <v>9000</v>
      </c>
      <c r="G539" s="2">
        <f ca="1">IFERROR(__xludf.DUMMYFUNCTION("""COMPUTED_VALUE"""),125)</f>
        <v>125</v>
      </c>
      <c r="H539" s="2" t="str">
        <f ca="1">IFERROR(__xludf.DUMMYFUNCTION("""COMPUTED_VALUE"""),"3b7f8f1f")</f>
        <v>3b7f8f1f</v>
      </c>
      <c r="I539" s="2" t="str">
        <f ca="1">IFERROR(__xludf.DUMMYFUNCTION("""COMPUTED_VALUE"""),"Malbec Bonarda")</f>
        <v>Malbec Bonarda</v>
      </c>
      <c r="J539" s="2">
        <f ca="1">IFERROR(__xludf.DUMMYFUNCTION("""COMPUTED_VALUE"""),21000)</f>
        <v>21000</v>
      </c>
      <c r="K539" s="2">
        <f ca="1">IFERROR(__xludf.DUMMYFUNCTION("""COMPUTED_VALUE"""),30000)</f>
        <v>30000</v>
      </c>
      <c r="L539" s="2" t="str">
        <f ca="1">IFERROR(__xludf.DUMMYFUNCTION("""COMPUTED_VALUE"""),"f27aca73")</f>
        <v>f27aca73</v>
      </c>
      <c r="M539" s="2" t="str">
        <f ca="1">IFERROR(__xludf.DUMMYFUNCTION("""COMPUTED_VALUE"""),"Malbec Bonarda")</f>
        <v>Malbec Bonarda</v>
      </c>
      <c r="N539" s="2"/>
      <c r="O539" s="2" t="str">
        <f ca="1">IFERROR(__xludf.DUMMYFUNCTION("""COMPUTED_VALUE"""),"Rectificado")</f>
        <v>Rectificado</v>
      </c>
      <c r="P539" s="2" t="str">
        <f ca="1">IFERROR(__xludf.DUMMYFUNCTION("""COMPUTED_VALUE"""),"1er Trasiego")</f>
        <v>1er Trasiego</v>
      </c>
      <c r="Q539" s="2" t="b">
        <f ca="1">IFERROR(__xludf.DUMMYFUNCTION("""COMPUTED_VALUE"""),TRUE)</f>
        <v>1</v>
      </c>
      <c r="R539" s="2" t="str">
        <f ca="1">IFERROR(__xludf.DUMMYFUNCTION("""COMPUTED_VALUE"""),"1er Trasiego")</f>
        <v>1er Trasiego</v>
      </c>
      <c r="S539" s="2"/>
      <c r="T539" s="2"/>
      <c r="U539" s="2"/>
    </row>
    <row r="540" spans="1:21" x14ac:dyDescent="0.25">
      <c r="A540" s="2" t="str">
        <f ca="1">IFERROR(__xludf.DUMMYFUNCTION("""COMPUTED_VALUE"""),"7fc96ae7")</f>
        <v>7fc96ae7</v>
      </c>
      <c r="B540" s="5">
        <f ca="1">IFERROR(__xludf.DUMMYFUNCTION("""COMPUTED_VALUE"""),45777.4360879629)</f>
        <v>45777.436087962902</v>
      </c>
      <c r="C540" s="2" t="str">
        <f ca="1">IFERROR(__xludf.DUMMYFUNCTION("""COMPUTED_VALUE"""),"3559c80c")</f>
        <v>3559c80c</v>
      </c>
      <c r="D540" s="2">
        <f ca="1">IFERROR(__xludf.DUMMYFUNCTION("""COMPUTED_VALUE"""),81)</f>
        <v>81</v>
      </c>
      <c r="E540" s="2" t="str">
        <f ca="1">IFERROR(__xludf.DUMMYFUNCTION("""COMPUTED_VALUE"""),"Cabernet Sauvignon")</f>
        <v>Cabernet Sauvignon</v>
      </c>
      <c r="F540" s="2">
        <f ca="1">IFERROR(__xludf.DUMMYFUNCTION("""COMPUTED_VALUE"""),3500)</f>
        <v>3500</v>
      </c>
      <c r="G540" s="2">
        <f ca="1">IFERROR(__xludf.DUMMYFUNCTION("""COMPUTED_VALUE"""),500)</f>
        <v>500</v>
      </c>
      <c r="H540" s="2" t="str">
        <f ca="1">IFERROR(__xludf.DUMMYFUNCTION("""COMPUTED_VALUE"""),"c999dbd9")</f>
        <v>c999dbd9</v>
      </c>
      <c r="I540" s="2" t="str">
        <f ca="1">IFERROR(__xludf.DUMMYFUNCTION("""COMPUTED_VALUE"""),"Ajuste semana 22/04/25")</f>
        <v>Ajuste semana 22/04/25</v>
      </c>
      <c r="J540" s="2">
        <f ca="1">IFERROR(__xludf.DUMMYFUNCTION("""COMPUTED_VALUE"""),122601)</f>
        <v>122601</v>
      </c>
      <c r="K540" s="2">
        <f ca="1">IFERROR(__xludf.DUMMYFUNCTION("""COMPUTED_VALUE"""),126101)</f>
        <v>126101</v>
      </c>
      <c r="L540" s="2" t="str">
        <f ca="1">IFERROR(__xludf.DUMMYFUNCTION("""COMPUTED_VALUE"""),"d71a5bd5")</f>
        <v>d71a5bd5</v>
      </c>
      <c r="M540" s="2" t="str">
        <f ca="1">IFERROR(__xludf.DUMMYFUNCTION("""COMPUTED_VALUE"""),"Ajuste semana 22/04/25")</f>
        <v>Ajuste semana 22/04/25</v>
      </c>
      <c r="N540" s="2"/>
      <c r="O540" s="2" t="str">
        <f ca="1">IFERROR(__xludf.DUMMYFUNCTION("""COMPUTED_VALUE"""),"Descubada")</f>
        <v>Descubada</v>
      </c>
      <c r="P540" s="2" t="str">
        <f ca="1">IFERROR(__xludf.DUMMYFUNCTION("""COMPUTED_VALUE"""),"Terminado")</f>
        <v>Terminado</v>
      </c>
      <c r="Q540" s="2" t="b">
        <f ca="1">IFERROR(__xludf.DUMMYFUNCTION("""COMPUTED_VALUE"""),TRUE)</f>
        <v>1</v>
      </c>
      <c r="R540" s="2" t="str">
        <f ca="1">IFERROR(__xludf.DUMMYFUNCTION("""COMPUTED_VALUE"""),"Terminado")</f>
        <v>Terminado</v>
      </c>
      <c r="S540" s="2"/>
      <c r="T540" s="2"/>
      <c r="U540" s="2"/>
    </row>
    <row r="541" spans="1:21" x14ac:dyDescent="0.25">
      <c r="A541" s="2" t="str">
        <f ca="1">IFERROR(__xludf.DUMMYFUNCTION("""COMPUTED_VALUE"""),"e0f9c372")</f>
        <v>e0f9c372</v>
      </c>
      <c r="B541" s="5">
        <f ca="1">IFERROR(__xludf.DUMMYFUNCTION("""COMPUTED_VALUE"""),45777.8076851851)</f>
        <v>45777.8076851851</v>
      </c>
      <c r="C541" s="2" t="str">
        <f ca="1">IFERROR(__xludf.DUMMYFUNCTION("""COMPUTED_VALUE"""),"b1b9580e")</f>
        <v>b1b9580e</v>
      </c>
      <c r="D541" s="2">
        <f ca="1">IFERROR(__xludf.DUMMYFUNCTION("""COMPUTED_VALUE"""),108)</f>
        <v>108</v>
      </c>
      <c r="E541" s="2" t="str">
        <f ca="1">IFERROR(__xludf.DUMMYFUNCTION("""COMPUTED_VALUE"""),"Tinto G")</f>
        <v>Tinto G</v>
      </c>
      <c r="F541" s="2">
        <f ca="1">IFERROR(__xludf.DUMMYFUNCTION("""COMPUTED_VALUE"""),30000)</f>
        <v>30000</v>
      </c>
      <c r="G541" s="2">
        <f ca="1">IFERROR(__xludf.DUMMYFUNCTION("""COMPUTED_VALUE"""),126)</f>
        <v>126</v>
      </c>
      <c r="H541" s="2"/>
      <c r="I541" s="2"/>
      <c r="J541" s="2">
        <f ca="1">IFERROR(__xludf.DUMMYFUNCTION("""COMPUTED_VALUE"""),0)</f>
        <v>0</v>
      </c>
      <c r="K541" s="2">
        <f ca="1">IFERROR(__xludf.DUMMYFUNCTION("""COMPUTED_VALUE"""),30000)</f>
        <v>30000</v>
      </c>
      <c r="L541" s="2" t="str">
        <f ca="1">IFERROR(__xludf.DUMMYFUNCTION("""COMPUTED_VALUE"""),"56888a83")</f>
        <v>56888a83</v>
      </c>
      <c r="M541" s="2" t="str">
        <f ca="1">IFERROR(__xludf.DUMMYFUNCTION("""COMPUTED_VALUE"""),"Tinto G")</f>
        <v>Tinto G</v>
      </c>
      <c r="N541" s="2"/>
      <c r="O541" s="2" t="str">
        <f ca="1">IFERROR(__xludf.DUMMYFUNCTION("""COMPUTED_VALUE"""),"Descubada")</f>
        <v>Descubada</v>
      </c>
      <c r="P541" s="2"/>
      <c r="Q541" s="2" t="b">
        <f ca="1">IFERROR(__xludf.DUMMYFUNCTION("""COMPUTED_VALUE"""),FALSE)</f>
        <v>0</v>
      </c>
      <c r="R541" s="2" t="str">
        <f ca="1">IFERROR(__xludf.DUMMYFUNCTION("""COMPUTED_VALUE"""),"1er Trasiego")</f>
        <v>1er Trasiego</v>
      </c>
      <c r="S541" s="2"/>
      <c r="T541" s="2"/>
      <c r="U541" s="2"/>
    </row>
    <row r="542" spans="1:21" x14ac:dyDescent="0.25">
      <c r="A542" s="2" t="str">
        <f ca="1">IFERROR(__xludf.DUMMYFUNCTION("""COMPUTED_VALUE"""),"8c84e42b")</f>
        <v>8c84e42b</v>
      </c>
      <c r="B542" s="5">
        <f ca="1">IFERROR(__xludf.DUMMYFUNCTION("""COMPUTED_VALUE"""),45777.8085069444)</f>
        <v>45777.808506944399</v>
      </c>
      <c r="C542" s="2" t="str">
        <f ca="1">IFERROR(__xludf.DUMMYFUNCTION("""COMPUTED_VALUE"""),"65c7867f")</f>
        <v>65c7867f</v>
      </c>
      <c r="D542" s="2">
        <f ca="1">IFERROR(__xludf.DUMMYFUNCTION("""COMPUTED_VALUE"""),70)</f>
        <v>70</v>
      </c>
      <c r="E542" s="2" t="str">
        <f ca="1">IFERROR(__xludf.DUMMYFUNCTION("""COMPUTED_VALUE"""),"Tanat")</f>
        <v>Tanat</v>
      </c>
      <c r="F542" s="2">
        <f ca="1">IFERROR(__xludf.DUMMYFUNCTION("""COMPUTED_VALUE"""),11000)</f>
        <v>11000</v>
      </c>
      <c r="G542" s="2">
        <f ca="1">IFERROR(__xludf.DUMMYFUNCTION("""COMPUTED_VALUE"""),73)</f>
        <v>73</v>
      </c>
      <c r="H542" s="2"/>
      <c r="I542" s="2"/>
      <c r="J542" s="2">
        <f ca="1">IFERROR(__xludf.DUMMYFUNCTION("""COMPUTED_VALUE"""),0)</f>
        <v>0</v>
      </c>
      <c r="K542" s="2">
        <f ca="1">IFERROR(__xludf.DUMMYFUNCTION("""COMPUTED_VALUE"""),11000)</f>
        <v>11000</v>
      </c>
      <c r="L542" s="2" t="str">
        <f ca="1">IFERROR(__xludf.DUMMYFUNCTION("""COMPUTED_VALUE"""),"042123a0")</f>
        <v>042123a0</v>
      </c>
      <c r="M542" s="2" t="str">
        <f ca="1">IFERROR(__xludf.DUMMYFUNCTION("""COMPUTED_VALUE"""),"Tanat")</f>
        <v>Tanat</v>
      </c>
      <c r="N542" s="2"/>
      <c r="O542" s="2" t="str">
        <f ca="1">IFERROR(__xludf.DUMMYFUNCTION("""COMPUTED_VALUE"""),"Descubada")</f>
        <v>Descubada</v>
      </c>
      <c r="P542" s="2"/>
      <c r="Q542" s="2" t="b">
        <f ca="1">IFERROR(__xludf.DUMMYFUNCTION("""COMPUTED_VALUE"""),FALSE)</f>
        <v>0</v>
      </c>
      <c r="R542" s="2" t="str">
        <f ca="1">IFERROR(__xludf.DUMMYFUNCTION("""COMPUTED_VALUE"""),"1er Trasiego")</f>
        <v>1er Trasiego</v>
      </c>
      <c r="S542" s="2"/>
      <c r="T542" s="2"/>
      <c r="U542" s="2"/>
    </row>
    <row r="543" spans="1:21" x14ac:dyDescent="0.25">
      <c r="A543" s="2" t="str">
        <f ca="1">IFERROR(__xludf.DUMMYFUNCTION("""COMPUTED_VALUE"""),"ef04b39f")</f>
        <v>ef04b39f</v>
      </c>
      <c r="B543" s="5">
        <f ca="1">IFERROR(__xludf.DUMMYFUNCTION("""COMPUTED_VALUE"""),45777.809224537)</f>
        <v>45777.809224536999</v>
      </c>
      <c r="C543" s="2" t="str">
        <f ca="1">IFERROR(__xludf.DUMMYFUNCTION("""COMPUTED_VALUE"""),"8ec426a5")</f>
        <v>8ec426a5</v>
      </c>
      <c r="D543" s="2">
        <f ca="1">IFERROR(__xludf.DUMMYFUNCTION("""COMPUTED_VALUE"""),118)</f>
        <v>118</v>
      </c>
      <c r="E543" s="2" t="str">
        <f ca="1">IFERROR(__xludf.DUMMYFUNCTION("""COMPUTED_VALUE"""),"Bonarda")</f>
        <v>Bonarda</v>
      </c>
      <c r="F543" s="2">
        <f ca="1">IFERROR(__xludf.DUMMYFUNCTION("""COMPUTED_VALUE"""),2000)</f>
        <v>2000</v>
      </c>
      <c r="G543" s="2">
        <f ca="1">IFERROR(__xludf.DUMMYFUNCTION("""COMPUTED_VALUE"""),73)</f>
        <v>73</v>
      </c>
      <c r="H543" s="2" t="str">
        <f ca="1">IFERROR(__xludf.DUMMYFUNCTION("""COMPUTED_VALUE"""),"042123a0")</f>
        <v>042123a0</v>
      </c>
      <c r="I543" s="2" t="str">
        <f ca="1">IFERROR(__xludf.DUMMYFUNCTION("""COMPUTED_VALUE"""),"Tanat")</f>
        <v>Tanat</v>
      </c>
      <c r="J543" s="2">
        <f ca="1">IFERROR(__xludf.DUMMYFUNCTION("""COMPUTED_VALUE"""),11000)</f>
        <v>11000</v>
      </c>
      <c r="K543" s="2">
        <f ca="1">IFERROR(__xludf.DUMMYFUNCTION("""COMPUTED_VALUE"""),13000)</f>
        <v>13000</v>
      </c>
      <c r="L543" s="2" t="str">
        <f ca="1">IFERROR(__xludf.DUMMYFUNCTION("""COMPUTED_VALUE"""),"0760321a")</f>
        <v>0760321a</v>
      </c>
      <c r="M543" s="2" t="str">
        <f ca="1">IFERROR(__xludf.DUMMYFUNCTION("""COMPUTED_VALUE"""),"Tanat")</f>
        <v>Tanat</v>
      </c>
      <c r="N543" s="2"/>
      <c r="O543" s="2" t="str">
        <f ca="1">IFERROR(__xludf.DUMMYFUNCTION("""COMPUTED_VALUE"""),"Descubada")</f>
        <v>Descubada</v>
      </c>
      <c r="P543" s="2" t="str">
        <f ca="1">IFERROR(__xludf.DUMMYFUNCTION("""COMPUTED_VALUE"""),"1er Trasiego")</f>
        <v>1er Trasiego</v>
      </c>
      <c r="Q543" s="2" t="b">
        <f ca="1">IFERROR(__xludf.DUMMYFUNCTION("""COMPUTED_VALUE"""),TRUE)</f>
        <v>1</v>
      </c>
      <c r="R543" s="2" t="str">
        <f ca="1">IFERROR(__xludf.DUMMYFUNCTION("""COMPUTED_VALUE"""),"1er Trasiego")</f>
        <v>1er Trasiego</v>
      </c>
      <c r="S543" s="2"/>
      <c r="T543" s="2"/>
      <c r="U543" s="2"/>
    </row>
    <row r="544" spans="1:21" x14ac:dyDescent="0.25">
      <c r="A544" s="2" t="str">
        <f ca="1">IFERROR(__xludf.DUMMYFUNCTION("""COMPUTED_VALUE"""),"78bec9ac")</f>
        <v>78bec9ac</v>
      </c>
      <c r="B544" s="5">
        <f ca="1">IFERROR(__xludf.DUMMYFUNCTION("""COMPUTED_VALUE"""),45777.8108796296)</f>
        <v>45777.8108796296</v>
      </c>
      <c r="C544" s="2" t="str">
        <f ca="1">IFERROR(__xludf.DUMMYFUNCTION("""COMPUTED_VALUE"""),"33d70f3e")</f>
        <v>33d70f3e</v>
      </c>
      <c r="D544" s="2">
        <f ca="1">IFERROR(__xludf.DUMMYFUNCTION("""COMPUTED_VALUE"""),109)</f>
        <v>109</v>
      </c>
      <c r="E544" s="2" t="str">
        <f ca="1">IFERROR(__xludf.DUMMYFUNCTION("""COMPUTED_VALUE"""),"Bonarda C2")</f>
        <v>Bonarda C2</v>
      </c>
      <c r="F544" s="2">
        <f ca="1">IFERROR(__xludf.DUMMYFUNCTION("""COMPUTED_VALUE"""),4400)</f>
        <v>4400</v>
      </c>
      <c r="G544" s="2">
        <f ca="1">IFERROR(__xludf.DUMMYFUNCTION("""COMPUTED_VALUE"""),94)</f>
        <v>94</v>
      </c>
      <c r="H544" s="2" t="str">
        <f ca="1">IFERROR(__xludf.DUMMYFUNCTION("""COMPUTED_VALUE"""),"a4cd80cd")</f>
        <v>a4cd80cd</v>
      </c>
      <c r="I544" s="2" t="str">
        <f ca="1">IFERROR(__xludf.DUMMYFUNCTION("""COMPUTED_VALUE"""),"Borra")</f>
        <v>Borra</v>
      </c>
      <c r="J544" s="2">
        <f ca="1">IFERROR(__xludf.DUMMYFUNCTION("""COMPUTED_VALUE"""),11600)</f>
        <v>11600</v>
      </c>
      <c r="K544" s="2">
        <f ca="1">IFERROR(__xludf.DUMMYFUNCTION("""COMPUTED_VALUE"""),16000)</f>
        <v>16000</v>
      </c>
      <c r="L544" s="2" t="str">
        <f ca="1">IFERROR(__xludf.DUMMYFUNCTION("""COMPUTED_VALUE"""),"79317f47")</f>
        <v>79317f47</v>
      </c>
      <c r="M544" s="2" t="str">
        <f ca="1">IFERROR(__xludf.DUMMYFUNCTION("""COMPUTED_VALUE"""),"Borra")</f>
        <v>Borra</v>
      </c>
      <c r="N544" s="2"/>
      <c r="O544" s="2" t="str">
        <f ca="1">IFERROR(__xludf.DUMMYFUNCTION("""COMPUTED_VALUE"""),"Descubada")</f>
        <v>Descubada</v>
      </c>
      <c r="P544" s="2" t="str">
        <f ca="1">IFERROR(__xludf.DUMMYFUNCTION("""COMPUTED_VALUE"""),"Descubada")</f>
        <v>Descubada</v>
      </c>
      <c r="Q544" s="2" t="b">
        <f ca="1">IFERROR(__xludf.DUMMYFUNCTION("""COMPUTED_VALUE"""),TRUE)</f>
        <v>1</v>
      </c>
      <c r="R544" s="2" t="str">
        <f ca="1">IFERROR(__xludf.DUMMYFUNCTION("""COMPUTED_VALUE"""),"Descubada")</f>
        <v>Descubada</v>
      </c>
      <c r="S544" s="2"/>
      <c r="T544" s="2"/>
      <c r="U544" s="2"/>
    </row>
    <row r="545" spans="1:21" x14ac:dyDescent="0.25">
      <c r="A545" s="2" t="str">
        <f ca="1">IFERROR(__xludf.DUMMYFUNCTION("""COMPUTED_VALUE"""),"44bbdc44")</f>
        <v>44bbdc44</v>
      </c>
      <c r="B545" s="5">
        <f ca="1">IFERROR(__xludf.DUMMYFUNCTION("""COMPUTED_VALUE"""),45777.8127430555)</f>
        <v>45777.812743055503</v>
      </c>
      <c r="C545" s="2" t="str">
        <f ca="1">IFERROR(__xludf.DUMMYFUNCTION("""COMPUTED_VALUE"""),"79317f47")</f>
        <v>79317f47</v>
      </c>
      <c r="D545" s="2">
        <f ca="1">IFERROR(__xludf.DUMMYFUNCTION("""COMPUTED_VALUE"""),94)</f>
        <v>94</v>
      </c>
      <c r="E545" s="2" t="str">
        <f ca="1">IFERROR(__xludf.DUMMYFUNCTION("""COMPUTED_VALUE"""),"Borra")</f>
        <v>Borra</v>
      </c>
      <c r="F545" s="2">
        <f ca="1">IFERROR(__xludf.DUMMYFUNCTION("""COMPUTED_VALUE"""),15000)</f>
        <v>15000</v>
      </c>
      <c r="G545" s="2">
        <f ca="1">IFERROR(__xludf.DUMMYFUNCTION("""COMPUTED_VALUE"""),12)</f>
        <v>12</v>
      </c>
      <c r="H545" s="2"/>
      <c r="I545" s="2"/>
      <c r="J545" s="2">
        <f ca="1">IFERROR(__xludf.DUMMYFUNCTION("""COMPUTED_VALUE"""),0)</f>
        <v>0</v>
      </c>
      <c r="K545" s="2">
        <f ca="1">IFERROR(__xludf.DUMMYFUNCTION("""COMPUTED_VALUE"""),15000)</f>
        <v>15000</v>
      </c>
      <c r="L545" s="2" t="str">
        <f ca="1">IFERROR(__xludf.DUMMYFUNCTION("""COMPUTED_VALUE"""),"1afbb480")</f>
        <v>1afbb480</v>
      </c>
      <c r="M545" s="2" t="str">
        <f ca="1">IFERROR(__xludf.DUMMYFUNCTION("""COMPUTED_VALUE"""),"Claro de Filtro")</f>
        <v>Claro de Filtro</v>
      </c>
      <c r="N545" s="2"/>
      <c r="O545" s="2" t="str">
        <f ca="1">IFERROR(__xludf.DUMMYFUNCTION("""COMPUTED_VALUE"""),"Descubada")</f>
        <v>Descubada</v>
      </c>
      <c r="P545" s="2"/>
      <c r="Q545" s="2" t="b">
        <f ca="1">IFERROR(__xludf.DUMMYFUNCTION("""COMPUTED_VALUE"""),FALSE)</f>
        <v>0</v>
      </c>
      <c r="R545" s="2" t="str">
        <f ca="1">IFERROR(__xludf.DUMMYFUNCTION("""COMPUTED_VALUE"""),"Descubada")</f>
        <v>Descubada</v>
      </c>
      <c r="S545" s="2"/>
      <c r="T545" s="2"/>
      <c r="U545" s="2"/>
    </row>
    <row r="546" spans="1:21" x14ac:dyDescent="0.25">
      <c r="A546" s="2" t="str">
        <f ca="1">IFERROR(__xludf.DUMMYFUNCTION("""COMPUTED_VALUE"""),"695bf7b9")</f>
        <v>695bf7b9</v>
      </c>
      <c r="B546" s="5">
        <f ca="1">IFERROR(__xludf.DUMMYFUNCTION("""COMPUTED_VALUE"""),45783.7797453703)</f>
        <v>45783.779745370302</v>
      </c>
      <c r="C546" s="2" t="str">
        <f ca="1">IFERROR(__xludf.DUMMYFUNCTION("""COMPUTED_VALUE"""),"dc3a84e1")</f>
        <v>dc3a84e1</v>
      </c>
      <c r="D546" s="2">
        <f ca="1">IFERROR(__xludf.DUMMYFUNCTION("""COMPUTED_VALUE"""),28)</f>
        <v>28</v>
      </c>
      <c r="E546" s="2" t="str">
        <f ca="1">IFERROR(__xludf.DUMMYFUNCTION("""COMPUTED_VALUE"""),"Bonarda")</f>
        <v>Bonarda</v>
      </c>
      <c r="F546" s="2">
        <f ca="1">IFERROR(__xludf.DUMMYFUNCTION("""COMPUTED_VALUE"""),31000)</f>
        <v>31000</v>
      </c>
      <c r="G546" s="2">
        <f ca="1">IFERROR(__xludf.DUMMYFUNCTION("""COMPUTED_VALUE"""),102)</f>
        <v>102</v>
      </c>
      <c r="H546" s="2"/>
      <c r="I546" s="2"/>
      <c r="J546" s="2">
        <f ca="1">IFERROR(__xludf.DUMMYFUNCTION("""COMPUTED_VALUE"""),0)</f>
        <v>0</v>
      </c>
      <c r="K546" s="2">
        <f ca="1">IFERROR(__xludf.DUMMYFUNCTION("""COMPUTED_VALUE"""),31000)</f>
        <v>31000</v>
      </c>
      <c r="L546" s="2" t="str">
        <f ca="1">IFERROR(__xludf.DUMMYFUNCTION("""COMPUTED_VALUE"""),"cbf4bbc1")</f>
        <v>cbf4bbc1</v>
      </c>
      <c r="M546" s="2" t="str">
        <f ca="1">IFERROR(__xludf.DUMMYFUNCTION("""COMPUTED_VALUE"""),"Bonarda")</f>
        <v>Bonarda</v>
      </c>
      <c r="N546" s="2"/>
      <c r="O546" s="2" t="str">
        <f ca="1">IFERROR(__xludf.DUMMYFUNCTION("""COMPUTED_VALUE"""),"Descubada")</f>
        <v>Descubada</v>
      </c>
      <c r="P546" s="2"/>
      <c r="Q546" s="2" t="b">
        <f ca="1">IFERROR(__xludf.DUMMYFUNCTION("""COMPUTED_VALUE"""),FALSE)</f>
        <v>0</v>
      </c>
      <c r="R546" s="2" t="str">
        <f ca="1">IFERROR(__xludf.DUMMYFUNCTION("""COMPUTED_VALUE"""),"1er Trasiego")</f>
        <v>1er Trasiego</v>
      </c>
      <c r="S546" s="2"/>
      <c r="T546" s="2"/>
      <c r="U546" s="2"/>
    </row>
    <row r="547" spans="1:21" x14ac:dyDescent="0.25">
      <c r="A547" s="2" t="str">
        <f ca="1">IFERROR(__xludf.DUMMYFUNCTION("""COMPUTED_VALUE"""),"59458040")</f>
        <v>59458040</v>
      </c>
      <c r="B547" s="5">
        <f ca="1">IFERROR(__xludf.DUMMYFUNCTION("""COMPUTED_VALUE"""),45783.7800462963)</f>
        <v>45783.780046296299</v>
      </c>
      <c r="C547" s="2" t="str">
        <f ca="1">IFERROR(__xludf.DUMMYFUNCTION("""COMPUTED_VALUE"""),"dc3a84e1")</f>
        <v>dc3a84e1</v>
      </c>
      <c r="D547" s="2">
        <f ca="1">IFERROR(__xludf.DUMMYFUNCTION("""COMPUTED_VALUE"""),28)</f>
        <v>28</v>
      </c>
      <c r="E547" s="2" t="str">
        <f ca="1">IFERROR(__xludf.DUMMYFUNCTION("""COMPUTED_VALUE"""),"Bonarda")</f>
        <v>Bonarda</v>
      </c>
      <c r="F547" s="2">
        <f ca="1">IFERROR(__xludf.DUMMYFUNCTION("""COMPUTED_VALUE"""),31000)</f>
        <v>31000</v>
      </c>
      <c r="G547" s="2">
        <f ca="1">IFERROR(__xludf.DUMMYFUNCTION("""COMPUTED_VALUE"""),103)</f>
        <v>103</v>
      </c>
      <c r="H547" s="2"/>
      <c r="I547" s="2"/>
      <c r="J547" s="2">
        <f ca="1">IFERROR(__xludf.DUMMYFUNCTION("""COMPUTED_VALUE"""),0)</f>
        <v>0</v>
      </c>
      <c r="K547" s="2">
        <f ca="1">IFERROR(__xludf.DUMMYFUNCTION("""COMPUTED_VALUE"""),31000)</f>
        <v>31000</v>
      </c>
      <c r="L547" s="2" t="str">
        <f ca="1">IFERROR(__xludf.DUMMYFUNCTION("""COMPUTED_VALUE"""),"d0071dd4")</f>
        <v>d0071dd4</v>
      </c>
      <c r="M547" s="2" t="str">
        <f ca="1">IFERROR(__xludf.DUMMYFUNCTION("""COMPUTED_VALUE"""),"Bonarda")</f>
        <v>Bonarda</v>
      </c>
      <c r="N547" s="2"/>
      <c r="O547" s="2" t="str">
        <f ca="1">IFERROR(__xludf.DUMMYFUNCTION("""COMPUTED_VALUE"""),"Descubada")</f>
        <v>Descubada</v>
      </c>
      <c r="P547" s="2"/>
      <c r="Q547" s="2" t="b">
        <f ca="1">IFERROR(__xludf.DUMMYFUNCTION("""COMPUTED_VALUE"""),FALSE)</f>
        <v>0</v>
      </c>
      <c r="R547" s="2" t="str">
        <f ca="1">IFERROR(__xludf.DUMMYFUNCTION("""COMPUTED_VALUE"""),"1er Trasiego")</f>
        <v>1er Trasiego</v>
      </c>
      <c r="S547" s="2"/>
      <c r="T547" s="2"/>
      <c r="U547" s="2"/>
    </row>
    <row r="548" spans="1:21" x14ac:dyDescent="0.25">
      <c r="A548" s="2" t="str">
        <f ca="1">IFERROR(__xludf.DUMMYFUNCTION("""COMPUTED_VALUE"""),"fd28d39c")</f>
        <v>fd28d39c</v>
      </c>
      <c r="B548" s="5">
        <f ca="1">IFERROR(__xludf.DUMMYFUNCTION("""COMPUTED_VALUE"""),45783.7803356481)</f>
        <v>45783.780335648102</v>
      </c>
      <c r="C548" s="2" t="str">
        <f ca="1">IFERROR(__xludf.DUMMYFUNCTION("""COMPUTED_VALUE"""),"dc3a84e1")</f>
        <v>dc3a84e1</v>
      </c>
      <c r="D548" s="2">
        <f ca="1">IFERROR(__xludf.DUMMYFUNCTION("""COMPUTED_VALUE"""),28)</f>
        <v>28</v>
      </c>
      <c r="E548" s="2" t="str">
        <f ca="1">IFERROR(__xludf.DUMMYFUNCTION("""COMPUTED_VALUE"""),"Bonarda")</f>
        <v>Bonarda</v>
      </c>
      <c r="F548" s="2">
        <f ca="1">IFERROR(__xludf.DUMMYFUNCTION("""COMPUTED_VALUE"""),31000)</f>
        <v>31000</v>
      </c>
      <c r="G548" s="2">
        <f ca="1">IFERROR(__xludf.DUMMYFUNCTION("""COMPUTED_VALUE"""),104)</f>
        <v>104</v>
      </c>
      <c r="H548" s="2"/>
      <c r="I548" s="2"/>
      <c r="J548" s="2">
        <f ca="1">IFERROR(__xludf.DUMMYFUNCTION("""COMPUTED_VALUE"""),0)</f>
        <v>0</v>
      </c>
      <c r="K548" s="2">
        <f ca="1">IFERROR(__xludf.DUMMYFUNCTION("""COMPUTED_VALUE"""),31000)</f>
        <v>31000</v>
      </c>
      <c r="L548" s="2" t="str">
        <f ca="1">IFERROR(__xludf.DUMMYFUNCTION("""COMPUTED_VALUE"""),"1828d39f")</f>
        <v>1828d39f</v>
      </c>
      <c r="M548" s="2" t="str">
        <f ca="1">IFERROR(__xludf.DUMMYFUNCTION("""COMPUTED_VALUE"""),"Bonarda")</f>
        <v>Bonarda</v>
      </c>
      <c r="N548" s="2"/>
      <c r="O548" s="2" t="str">
        <f ca="1">IFERROR(__xludf.DUMMYFUNCTION("""COMPUTED_VALUE"""),"Descubada")</f>
        <v>Descubada</v>
      </c>
      <c r="P548" s="2"/>
      <c r="Q548" s="2" t="b">
        <f ca="1">IFERROR(__xludf.DUMMYFUNCTION("""COMPUTED_VALUE"""),FALSE)</f>
        <v>0</v>
      </c>
      <c r="R548" s="2" t="str">
        <f ca="1">IFERROR(__xludf.DUMMYFUNCTION("""COMPUTED_VALUE"""),"1er Trasiego")</f>
        <v>1er Trasiego</v>
      </c>
      <c r="S548" s="2"/>
      <c r="T548" s="2"/>
      <c r="U548" s="2"/>
    </row>
    <row r="549" spans="1:21" x14ac:dyDescent="0.25">
      <c r="A549" s="2" t="str">
        <f ca="1">IFERROR(__xludf.DUMMYFUNCTION("""COMPUTED_VALUE"""),"18902e9e")</f>
        <v>18902e9e</v>
      </c>
      <c r="B549" s="5">
        <f ca="1">IFERROR(__xludf.DUMMYFUNCTION("""COMPUTED_VALUE"""),45783.780636574)</f>
        <v>45783.780636574003</v>
      </c>
      <c r="C549" s="2" t="str">
        <f ca="1">IFERROR(__xludf.DUMMYFUNCTION("""COMPUTED_VALUE"""),"dc3a84e1")</f>
        <v>dc3a84e1</v>
      </c>
      <c r="D549" s="2">
        <f ca="1">IFERROR(__xludf.DUMMYFUNCTION("""COMPUTED_VALUE"""),28)</f>
        <v>28</v>
      </c>
      <c r="E549" s="2" t="str">
        <f ca="1">IFERROR(__xludf.DUMMYFUNCTION("""COMPUTED_VALUE"""),"Bonarda")</f>
        <v>Bonarda</v>
      </c>
      <c r="F549" s="2">
        <f ca="1">IFERROR(__xludf.DUMMYFUNCTION("""COMPUTED_VALUE"""),31000)</f>
        <v>31000</v>
      </c>
      <c r="G549" s="2">
        <f ca="1">IFERROR(__xludf.DUMMYFUNCTION("""COMPUTED_VALUE"""),105)</f>
        <v>105</v>
      </c>
      <c r="H549" s="2"/>
      <c r="I549" s="2"/>
      <c r="J549" s="2">
        <f ca="1">IFERROR(__xludf.DUMMYFUNCTION("""COMPUTED_VALUE"""),0)</f>
        <v>0</v>
      </c>
      <c r="K549" s="2">
        <f ca="1">IFERROR(__xludf.DUMMYFUNCTION("""COMPUTED_VALUE"""),31000)</f>
        <v>31000</v>
      </c>
      <c r="L549" s="2" t="str">
        <f ca="1">IFERROR(__xludf.DUMMYFUNCTION("""COMPUTED_VALUE"""),"ddc627ec")</f>
        <v>ddc627ec</v>
      </c>
      <c r="M549" s="2" t="str">
        <f ca="1">IFERROR(__xludf.DUMMYFUNCTION("""COMPUTED_VALUE"""),"Bonarda")</f>
        <v>Bonarda</v>
      </c>
      <c r="N549" s="2"/>
      <c r="O549" s="2" t="str">
        <f ca="1">IFERROR(__xludf.DUMMYFUNCTION("""COMPUTED_VALUE"""),"Descubada")</f>
        <v>Descubada</v>
      </c>
      <c r="P549" s="2"/>
      <c r="Q549" s="2" t="b">
        <f ca="1">IFERROR(__xludf.DUMMYFUNCTION("""COMPUTED_VALUE"""),FALSE)</f>
        <v>0</v>
      </c>
      <c r="R549" s="2" t="str">
        <f ca="1">IFERROR(__xludf.DUMMYFUNCTION("""COMPUTED_VALUE"""),"1er Trasiego")</f>
        <v>1er Trasiego</v>
      </c>
      <c r="S549" s="2"/>
      <c r="T549" s="2"/>
      <c r="U549" s="2"/>
    </row>
    <row r="550" spans="1:21" x14ac:dyDescent="0.25">
      <c r="A550" s="2" t="str">
        <f ca="1">IFERROR(__xludf.DUMMYFUNCTION("""COMPUTED_VALUE"""),"88bae770")</f>
        <v>88bae770</v>
      </c>
      <c r="B550" s="5">
        <f ca="1">IFERROR(__xludf.DUMMYFUNCTION("""COMPUTED_VALUE"""),45783.7819444444)</f>
        <v>45783.781944444403</v>
      </c>
      <c r="C550" s="2" t="str">
        <f ca="1">IFERROR(__xludf.DUMMYFUNCTION("""COMPUTED_VALUE"""),"dc3a84e1")</f>
        <v>dc3a84e1</v>
      </c>
      <c r="D550" s="2">
        <f ca="1">IFERROR(__xludf.DUMMYFUNCTION("""COMPUTED_VALUE"""),28)</f>
        <v>28</v>
      </c>
      <c r="E550" s="2" t="str">
        <f ca="1">IFERROR(__xludf.DUMMYFUNCTION("""COMPUTED_VALUE"""),"Bonarda")</f>
        <v>Bonarda</v>
      </c>
      <c r="F550" s="2">
        <f ca="1">IFERROR(__xludf.DUMMYFUNCTION("""COMPUTED_VALUE"""),24000)</f>
        <v>24000</v>
      </c>
      <c r="G550" s="2">
        <f ca="1">IFERROR(__xludf.DUMMYFUNCTION("""COMPUTED_VALUE"""),107)</f>
        <v>107</v>
      </c>
      <c r="H550" s="2"/>
      <c r="I550" s="2"/>
      <c r="J550" s="2">
        <f ca="1">IFERROR(__xludf.DUMMYFUNCTION("""COMPUTED_VALUE"""),0)</f>
        <v>0</v>
      </c>
      <c r="K550" s="2">
        <f ca="1">IFERROR(__xludf.DUMMYFUNCTION("""COMPUTED_VALUE"""),24000)</f>
        <v>24000</v>
      </c>
      <c r="L550" s="2" t="str">
        <f ca="1">IFERROR(__xludf.DUMMYFUNCTION("""COMPUTED_VALUE"""),"56ef2422")</f>
        <v>56ef2422</v>
      </c>
      <c r="M550" s="2" t="str">
        <f ca="1">IFERROR(__xludf.DUMMYFUNCTION("""COMPUTED_VALUE"""),"Bonarda")</f>
        <v>Bonarda</v>
      </c>
      <c r="N550" s="2"/>
      <c r="O550" s="2" t="str">
        <f ca="1">IFERROR(__xludf.DUMMYFUNCTION("""COMPUTED_VALUE"""),"Descubada")</f>
        <v>Descubada</v>
      </c>
      <c r="P550" s="2"/>
      <c r="Q550" s="2" t="b">
        <f ca="1">IFERROR(__xludf.DUMMYFUNCTION("""COMPUTED_VALUE"""),FALSE)</f>
        <v>0</v>
      </c>
      <c r="R550" s="2" t="str">
        <f ca="1">IFERROR(__xludf.DUMMYFUNCTION("""COMPUTED_VALUE"""),"1er Trasiego")</f>
        <v>1er Trasiego</v>
      </c>
      <c r="S550" s="2"/>
      <c r="T550" s="2"/>
      <c r="U550" s="2"/>
    </row>
    <row r="551" spans="1:21" x14ac:dyDescent="0.25">
      <c r="A551" s="2" t="str">
        <f ca="1">IFERROR(__xludf.DUMMYFUNCTION("""COMPUTED_VALUE"""),"5c389672")</f>
        <v>5c389672</v>
      </c>
      <c r="B551" s="5">
        <f ca="1">IFERROR(__xludf.DUMMYFUNCTION("""COMPUTED_VALUE"""),45783.7824537037)</f>
        <v>45783.782453703701</v>
      </c>
      <c r="C551" s="2" t="str">
        <f ca="1">IFERROR(__xludf.DUMMYFUNCTION("""COMPUTED_VALUE"""),"dc3a84e1")</f>
        <v>dc3a84e1</v>
      </c>
      <c r="D551" s="2">
        <f ca="1">IFERROR(__xludf.DUMMYFUNCTION("""COMPUTED_VALUE"""),28)</f>
        <v>28</v>
      </c>
      <c r="E551" s="2" t="str">
        <f ca="1">IFERROR(__xludf.DUMMYFUNCTION("""COMPUTED_VALUE"""),"Bonarda")</f>
        <v>Bonarda</v>
      </c>
      <c r="F551" s="2">
        <f ca="1">IFERROR(__xludf.DUMMYFUNCTION("""COMPUTED_VALUE"""),17000)</f>
        <v>17000</v>
      </c>
      <c r="G551" s="2">
        <f ca="1">IFERROR(__xludf.DUMMYFUNCTION("""COMPUTED_VALUE"""),108)</f>
        <v>108</v>
      </c>
      <c r="H551" s="2"/>
      <c r="I551" s="2"/>
      <c r="J551" s="2">
        <f ca="1">IFERROR(__xludf.DUMMYFUNCTION("""COMPUTED_VALUE"""),0)</f>
        <v>0</v>
      </c>
      <c r="K551" s="2">
        <f ca="1">IFERROR(__xludf.DUMMYFUNCTION("""COMPUTED_VALUE"""),17000)</f>
        <v>17000</v>
      </c>
      <c r="L551" s="2" t="str">
        <f ca="1">IFERROR(__xludf.DUMMYFUNCTION("""COMPUTED_VALUE"""),"e9379a58")</f>
        <v>e9379a58</v>
      </c>
      <c r="M551" s="2" t="str">
        <f ca="1">IFERROR(__xludf.DUMMYFUNCTION("""COMPUTED_VALUE"""),"Bonarda")</f>
        <v>Bonarda</v>
      </c>
      <c r="N551" s="2"/>
      <c r="O551" s="2" t="str">
        <f ca="1">IFERROR(__xludf.DUMMYFUNCTION("""COMPUTED_VALUE"""),"Descubada")</f>
        <v>Descubada</v>
      </c>
      <c r="P551" s="2"/>
      <c r="Q551" s="2" t="b">
        <f ca="1">IFERROR(__xludf.DUMMYFUNCTION("""COMPUTED_VALUE"""),FALSE)</f>
        <v>0</v>
      </c>
      <c r="R551" s="2" t="str">
        <f ca="1">IFERROR(__xludf.DUMMYFUNCTION("""COMPUTED_VALUE"""),"1er Trasiego")</f>
        <v>1er Trasiego</v>
      </c>
      <c r="S551" s="2"/>
      <c r="T551" s="2"/>
      <c r="U551" s="2"/>
    </row>
    <row r="552" spans="1:21" x14ac:dyDescent="0.25">
      <c r="A552" s="2" t="str">
        <f ca="1">IFERROR(__xludf.DUMMYFUNCTION("""COMPUTED_VALUE"""),"7151898f")</f>
        <v>7151898f</v>
      </c>
      <c r="B552" s="5">
        <f ca="1">IFERROR(__xludf.DUMMYFUNCTION("""COMPUTED_VALUE"""),45783.7828356481)</f>
        <v>45783.782835648097</v>
      </c>
      <c r="C552" s="2" t="str">
        <f ca="1">IFERROR(__xludf.DUMMYFUNCTION("""COMPUTED_VALUE"""),"dc3a84e1")</f>
        <v>dc3a84e1</v>
      </c>
      <c r="D552" s="2">
        <f ca="1">IFERROR(__xludf.DUMMYFUNCTION("""COMPUTED_VALUE"""),28)</f>
        <v>28</v>
      </c>
      <c r="E552" s="2" t="str">
        <f ca="1">IFERROR(__xludf.DUMMYFUNCTION("""COMPUTED_VALUE"""),"Bonarda")</f>
        <v>Bonarda</v>
      </c>
      <c r="F552" s="2">
        <f ca="1">IFERROR(__xludf.DUMMYFUNCTION("""COMPUTED_VALUE"""),15000)</f>
        <v>15000</v>
      </c>
      <c r="G552" s="2">
        <f ca="1">IFERROR(__xludf.DUMMYFUNCTION("""COMPUTED_VALUE"""),12)</f>
        <v>12</v>
      </c>
      <c r="H552" s="2" t="str">
        <f ca="1">IFERROR(__xludf.DUMMYFUNCTION("""COMPUTED_VALUE"""),"1afbb480")</f>
        <v>1afbb480</v>
      </c>
      <c r="I552" s="2" t="str">
        <f ca="1">IFERROR(__xludf.DUMMYFUNCTION("""COMPUTED_VALUE"""),"Claro de Filtro")</f>
        <v>Claro de Filtro</v>
      </c>
      <c r="J552" s="2">
        <f ca="1">IFERROR(__xludf.DUMMYFUNCTION("""COMPUTED_VALUE"""),15000)</f>
        <v>15000</v>
      </c>
      <c r="K552" s="2">
        <f ca="1">IFERROR(__xludf.DUMMYFUNCTION("""COMPUTED_VALUE"""),30000)</f>
        <v>30000</v>
      </c>
      <c r="L552" s="2" t="str">
        <f ca="1">IFERROR(__xludf.DUMMYFUNCTION("""COMPUTED_VALUE"""),"b3edc5e1")</f>
        <v>b3edc5e1</v>
      </c>
      <c r="M552" s="2" t="str">
        <f ca="1">IFERROR(__xludf.DUMMYFUNCTION("""COMPUTED_VALUE"""),"Claro de Filtro")</f>
        <v>Claro de Filtro</v>
      </c>
      <c r="N552" s="2"/>
      <c r="O552" s="2" t="str">
        <f ca="1">IFERROR(__xludf.DUMMYFUNCTION("""COMPUTED_VALUE"""),"Descubada")</f>
        <v>Descubada</v>
      </c>
      <c r="P552" s="2" t="str">
        <f ca="1">IFERROR(__xludf.DUMMYFUNCTION("""COMPUTED_VALUE"""),"Descubada")</f>
        <v>Descubada</v>
      </c>
      <c r="Q552" s="2" t="b">
        <f ca="1">IFERROR(__xludf.DUMMYFUNCTION("""COMPUTED_VALUE"""),TRUE)</f>
        <v>1</v>
      </c>
      <c r="R552" s="2" t="str">
        <f ca="1">IFERROR(__xludf.DUMMYFUNCTION("""COMPUTED_VALUE"""),"Descubada")</f>
        <v>Descubada</v>
      </c>
      <c r="S552" s="2"/>
      <c r="T552" s="2"/>
      <c r="U552" s="2"/>
    </row>
    <row r="553" spans="1:21" x14ac:dyDescent="0.25">
      <c r="A553" s="2" t="str">
        <f ca="1">IFERROR(__xludf.DUMMYFUNCTION("""COMPUTED_VALUE"""),"b55fc06f")</f>
        <v>b55fc06f</v>
      </c>
      <c r="B553" s="5">
        <f ca="1">IFERROR(__xludf.DUMMYFUNCTION("""COMPUTED_VALUE"""),45783.7861574074)</f>
        <v>45783.786157407398</v>
      </c>
      <c r="C553" s="2" t="str">
        <f ca="1">IFERROR(__xludf.DUMMYFUNCTION("""COMPUTED_VALUE"""),"f27aca73")</f>
        <v>f27aca73</v>
      </c>
      <c r="D553" s="2">
        <f ca="1">IFERROR(__xludf.DUMMYFUNCTION("""COMPUTED_VALUE"""),125)</f>
        <v>125</v>
      </c>
      <c r="E553" s="2" t="str">
        <f ca="1">IFERROR(__xludf.DUMMYFUNCTION("""COMPUTED_VALUE"""),"Malbec Bonarda")</f>
        <v>Malbec Bonarda</v>
      </c>
      <c r="F553" s="2">
        <f ca="1">IFERROR(__xludf.DUMMYFUNCTION("""COMPUTED_VALUE"""),30000)</f>
        <v>30000</v>
      </c>
      <c r="G553" s="2">
        <f ca="1">IFERROR(__xludf.DUMMYFUNCTION("""COMPUTED_VALUE"""),6)</f>
        <v>6</v>
      </c>
      <c r="H553" s="2"/>
      <c r="I553" s="2"/>
      <c r="J553" s="2">
        <f ca="1">IFERROR(__xludf.DUMMYFUNCTION("""COMPUTED_VALUE"""),0)</f>
        <v>0</v>
      </c>
      <c r="K553" s="2">
        <f ca="1">IFERROR(__xludf.DUMMYFUNCTION("""COMPUTED_VALUE"""),30000)</f>
        <v>30000</v>
      </c>
      <c r="L553" s="2" t="str">
        <f ca="1">IFERROR(__xludf.DUMMYFUNCTION("""COMPUTED_VALUE"""),"49b10489")</f>
        <v>49b10489</v>
      </c>
      <c r="M553" s="2" t="str">
        <f ca="1">IFERROR(__xludf.DUMMYFUNCTION("""COMPUTED_VALUE"""),"Malbec Bon Dulce  Rect")</f>
        <v>Malbec Bon Dulce  Rect</v>
      </c>
      <c r="N553" s="2"/>
      <c r="O553" s="2" t="str">
        <f ca="1">IFERROR(__xludf.DUMMYFUNCTION("""COMPUTED_VALUE"""),"Rectificado")</f>
        <v>Rectificado</v>
      </c>
      <c r="P553" s="2"/>
      <c r="Q553" s="2" t="b">
        <f ca="1">IFERROR(__xludf.DUMMYFUNCTION("""COMPUTED_VALUE"""),FALSE)</f>
        <v>0</v>
      </c>
      <c r="R553" s="2" t="str">
        <f ca="1">IFERROR(__xludf.DUMMYFUNCTION("""COMPUTED_VALUE"""),"1er Trasiego")</f>
        <v>1er Trasiego</v>
      </c>
      <c r="S553" s="2"/>
      <c r="T553" s="2"/>
      <c r="U553" s="2"/>
    </row>
    <row r="554" spans="1:21" x14ac:dyDescent="0.25">
      <c r="A554" s="2" t="str">
        <f ca="1">IFERROR(__xludf.DUMMYFUNCTION("""COMPUTED_VALUE"""),"706da0ed")</f>
        <v>706da0ed</v>
      </c>
      <c r="B554" s="5">
        <f ca="1">IFERROR(__xludf.DUMMYFUNCTION("""COMPUTED_VALUE"""),45783.7871643518)</f>
        <v>45783.787164351801</v>
      </c>
      <c r="C554" s="2" t="str">
        <f ca="1">IFERROR(__xludf.DUMMYFUNCTION("""COMPUTED_VALUE"""),"abbbaccc")</f>
        <v>abbbaccc</v>
      </c>
      <c r="D554" s="2">
        <f ca="1">IFERROR(__xludf.DUMMYFUNCTION("""COMPUTED_VALUE"""),931)</f>
        <v>931</v>
      </c>
      <c r="E554" s="2" t="str">
        <f ca="1">IFERROR(__xludf.DUMMYFUNCTION("""COMPUTED_VALUE"""),"Bonarda 24")</f>
        <v>Bonarda 24</v>
      </c>
      <c r="F554" s="2">
        <f ca="1">IFERROR(__xludf.DUMMYFUNCTION("""COMPUTED_VALUE"""),4000)</f>
        <v>4000</v>
      </c>
      <c r="G554" s="2">
        <f ca="1">IFERROR(__xludf.DUMMYFUNCTION("""COMPUTED_VALUE"""),12)</f>
        <v>12</v>
      </c>
      <c r="H554" s="2" t="str">
        <f ca="1">IFERROR(__xludf.DUMMYFUNCTION("""COMPUTED_VALUE"""),"b3edc5e1")</f>
        <v>b3edc5e1</v>
      </c>
      <c r="I554" s="2" t="str">
        <f ca="1">IFERROR(__xludf.DUMMYFUNCTION("""COMPUTED_VALUE"""),"Claro de Filtro")</f>
        <v>Claro de Filtro</v>
      </c>
      <c r="J554" s="2">
        <f ca="1">IFERROR(__xludf.DUMMYFUNCTION("""COMPUTED_VALUE"""),30000)</f>
        <v>30000</v>
      </c>
      <c r="K554" s="2">
        <f ca="1">IFERROR(__xludf.DUMMYFUNCTION("""COMPUTED_VALUE"""),34000)</f>
        <v>34000</v>
      </c>
      <c r="L554" s="2" t="str">
        <f ca="1">IFERROR(__xludf.DUMMYFUNCTION("""COMPUTED_VALUE"""),"d85a9e51")</f>
        <v>d85a9e51</v>
      </c>
      <c r="M554" s="2" t="str">
        <f ca="1">IFERROR(__xludf.DUMMYFUNCTION("""COMPUTED_VALUE"""),"Claro de Filtro")</f>
        <v>Claro de Filtro</v>
      </c>
      <c r="N554" s="2" t="str">
        <f ca="1">IFERROR(__xludf.DUMMYFUNCTION("""COMPUTED_VALUE"""),"vino despacho con paño")</f>
        <v>vino despacho con paño</v>
      </c>
      <c r="O554" s="2" t="str">
        <f ca="1">IFERROR(__xludf.DUMMYFUNCTION("""COMPUTED_VALUE"""),"Terminado")</f>
        <v>Terminado</v>
      </c>
      <c r="P554" s="2" t="str">
        <f ca="1">IFERROR(__xludf.DUMMYFUNCTION("""COMPUTED_VALUE"""),"Descubada")</f>
        <v>Descubada</v>
      </c>
      <c r="Q554" s="2" t="b">
        <f ca="1">IFERROR(__xludf.DUMMYFUNCTION("""COMPUTED_VALUE"""),TRUE)</f>
        <v>1</v>
      </c>
      <c r="R554" s="2" t="str">
        <f ca="1">IFERROR(__xludf.DUMMYFUNCTION("""COMPUTED_VALUE"""),"Descubada")</f>
        <v>Descubada</v>
      </c>
      <c r="S554" s="2"/>
      <c r="T554" s="2"/>
      <c r="U554" s="2"/>
    </row>
    <row r="555" spans="1:21" x14ac:dyDescent="0.25">
      <c r="A555" s="2" t="str">
        <f ca="1">IFERROR(__xludf.DUMMYFUNCTION("""COMPUTED_VALUE"""),"9d6c0309")</f>
        <v>9d6c0309</v>
      </c>
      <c r="B555" s="5">
        <f ca="1">IFERROR(__xludf.DUMMYFUNCTION("""COMPUTED_VALUE"""),45783.7886226851)</f>
        <v>45783.788622685097</v>
      </c>
      <c r="C555" s="2" t="str">
        <f ca="1">IFERROR(__xludf.DUMMYFUNCTION("""COMPUTED_VALUE"""),"b704cbde")</f>
        <v>b704cbde</v>
      </c>
      <c r="D555" s="2">
        <f ca="1">IFERROR(__xludf.DUMMYFUNCTION("""COMPUTED_VALUE"""),66)</f>
        <v>66</v>
      </c>
      <c r="E555" s="2" t="str">
        <f ca="1">IFERROR(__xludf.DUMMYFUNCTION("""COMPUTED_VALUE"""),"Malbec")</f>
        <v>Malbec</v>
      </c>
      <c r="F555" s="2">
        <f ca="1">IFERROR(__xludf.DUMMYFUNCTION("""COMPUTED_VALUE"""),19000)</f>
        <v>19000</v>
      </c>
      <c r="G555" s="2">
        <f ca="1">IFERROR(__xludf.DUMMYFUNCTION("""COMPUTED_VALUE"""),85)</f>
        <v>85</v>
      </c>
      <c r="H555" s="2"/>
      <c r="I555" s="2"/>
      <c r="J555" s="2">
        <f ca="1">IFERROR(__xludf.DUMMYFUNCTION("""COMPUTED_VALUE"""),0)</f>
        <v>0</v>
      </c>
      <c r="K555" s="2">
        <f ca="1">IFERROR(__xludf.DUMMYFUNCTION("""COMPUTED_VALUE"""),19000)</f>
        <v>19000</v>
      </c>
      <c r="L555" s="2" t="str">
        <f ca="1">IFERROR(__xludf.DUMMYFUNCTION("""COMPUTED_VALUE"""),"769b3f5c")</f>
        <v>769b3f5c</v>
      </c>
      <c r="M555" s="2" t="str">
        <f ca="1">IFERROR(__xludf.DUMMYFUNCTION("""COMPUTED_VALUE"""),"Malbec")</f>
        <v>Malbec</v>
      </c>
      <c r="N555" s="2"/>
      <c r="O555" s="2" t="str">
        <f ca="1">IFERROR(__xludf.DUMMYFUNCTION("""COMPUTED_VALUE"""),"Descubada")</f>
        <v>Descubada</v>
      </c>
      <c r="P555" s="2"/>
      <c r="Q555" s="2" t="b">
        <f ca="1">IFERROR(__xludf.DUMMYFUNCTION("""COMPUTED_VALUE"""),FALSE)</f>
        <v>0</v>
      </c>
      <c r="R555" s="2" t="str">
        <f ca="1">IFERROR(__xludf.DUMMYFUNCTION("""COMPUTED_VALUE"""),"1er Trasiego")</f>
        <v>1er Trasiego</v>
      </c>
      <c r="S555" s="2"/>
      <c r="T555" s="2"/>
      <c r="U555" s="2"/>
    </row>
    <row r="556" spans="1:21" x14ac:dyDescent="0.25">
      <c r="A556" s="2" t="str">
        <f ca="1">IFERROR(__xludf.DUMMYFUNCTION("""COMPUTED_VALUE"""),"73307f87")</f>
        <v>73307f87</v>
      </c>
      <c r="B556" s="5">
        <f ca="1">IFERROR(__xludf.DUMMYFUNCTION("""COMPUTED_VALUE"""),45783.7891435185)</f>
        <v>45783.789143518501</v>
      </c>
      <c r="C556" s="2" t="str">
        <f ca="1">IFERROR(__xludf.DUMMYFUNCTION("""COMPUTED_VALUE"""),"de2017df")</f>
        <v>de2017df</v>
      </c>
      <c r="D556" s="2">
        <f ca="1">IFERROR(__xludf.DUMMYFUNCTION("""COMPUTED_VALUE"""),67)</f>
        <v>67</v>
      </c>
      <c r="E556" s="2" t="str">
        <f ca="1">IFERROR(__xludf.DUMMYFUNCTION("""COMPUTED_VALUE"""),"Malbec")</f>
        <v>Malbec</v>
      </c>
      <c r="F556" s="2">
        <f ca="1">IFERROR(__xludf.DUMMYFUNCTION("""COMPUTED_VALUE"""),19500)</f>
        <v>19500</v>
      </c>
      <c r="G556" s="2">
        <f ca="1">IFERROR(__xludf.DUMMYFUNCTION("""COMPUTED_VALUE"""),85)</f>
        <v>85</v>
      </c>
      <c r="H556" s="2" t="str">
        <f ca="1">IFERROR(__xludf.DUMMYFUNCTION("""COMPUTED_VALUE"""),"769b3f5c")</f>
        <v>769b3f5c</v>
      </c>
      <c r="I556" s="2" t="str">
        <f ca="1">IFERROR(__xludf.DUMMYFUNCTION("""COMPUTED_VALUE"""),"Malbec")</f>
        <v>Malbec</v>
      </c>
      <c r="J556" s="2">
        <f ca="1">IFERROR(__xludf.DUMMYFUNCTION("""COMPUTED_VALUE"""),19000)</f>
        <v>19000</v>
      </c>
      <c r="K556" s="2">
        <f ca="1">IFERROR(__xludf.DUMMYFUNCTION("""COMPUTED_VALUE"""),38500)</f>
        <v>38500</v>
      </c>
      <c r="L556" s="2" t="str">
        <f ca="1">IFERROR(__xludf.DUMMYFUNCTION("""COMPUTED_VALUE"""),"6c02e5fd")</f>
        <v>6c02e5fd</v>
      </c>
      <c r="M556" s="2" t="str">
        <f ca="1">IFERROR(__xludf.DUMMYFUNCTION("""COMPUTED_VALUE"""),"Malbec")</f>
        <v>Malbec</v>
      </c>
      <c r="N556" s="2"/>
      <c r="O556" s="2" t="str">
        <f ca="1">IFERROR(__xludf.DUMMYFUNCTION("""COMPUTED_VALUE"""),"Descubada")</f>
        <v>Descubada</v>
      </c>
      <c r="P556" s="2" t="str">
        <f ca="1">IFERROR(__xludf.DUMMYFUNCTION("""COMPUTED_VALUE"""),"1er Trasiego")</f>
        <v>1er Trasiego</v>
      </c>
      <c r="Q556" s="2" t="b">
        <f ca="1">IFERROR(__xludf.DUMMYFUNCTION("""COMPUTED_VALUE"""),TRUE)</f>
        <v>1</v>
      </c>
      <c r="R556" s="2" t="str">
        <f ca="1">IFERROR(__xludf.DUMMYFUNCTION("""COMPUTED_VALUE"""),"1er Trasiego")</f>
        <v>1er Trasiego</v>
      </c>
      <c r="S556" s="2"/>
      <c r="T556" s="2"/>
      <c r="U556" s="2"/>
    </row>
    <row r="557" spans="1:21" x14ac:dyDescent="0.25">
      <c r="A557" s="2" t="str">
        <f ca="1">IFERROR(__xludf.DUMMYFUNCTION("""COMPUTED_VALUE"""),"14d7cd66")</f>
        <v>14d7cd66</v>
      </c>
      <c r="B557" s="5">
        <f ca="1">IFERROR(__xludf.DUMMYFUNCTION("""COMPUTED_VALUE"""),45783.7895717592)</f>
        <v>45783.789571759196</v>
      </c>
      <c r="C557" s="2" t="str">
        <f ca="1">IFERROR(__xludf.DUMMYFUNCTION("""COMPUTED_VALUE"""),"3559c80c")</f>
        <v>3559c80c</v>
      </c>
      <c r="D557" s="2">
        <f ca="1">IFERROR(__xludf.DUMMYFUNCTION("""COMPUTED_VALUE"""),81)</f>
        <v>81</v>
      </c>
      <c r="E557" s="2" t="str">
        <f ca="1">IFERROR(__xludf.DUMMYFUNCTION("""COMPUTED_VALUE"""),"Cabernet Sauvignon")</f>
        <v>Cabernet Sauvignon</v>
      </c>
      <c r="F557" s="2">
        <f ca="1">IFERROR(__xludf.DUMMYFUNCTION("""COMPUTED_VALUE"""),23000)</f>
        <v>23000</v>
      </c>
      <c r="G557" s="2">
        <f ca="1">IFERROR(__xludf.DUMMYFUNCTION("""COMPUTED_VALUE"""),85)</f>
        <v>85</v>
      </c>
      <c r="H557" s="2" t="str">
        <f ca="1">IFERROR(__xludf.DUMMYFUNCTION("""COMPUTED_VALUE"""),"6c02e5fd")</f>
        <v>6c02e5fd</v>
      </c>
      <c r="I557" s="2" t="str">
        <f ca="1">IFERROR(__xludf.DUMMYFUNCTION("""COMPUTED_VALUE"""),"Malbec")</f>
        <v>Malbec</v>
      </c>
      <c r="J557" s="2">
        <f ca="1">IFERROR(__xludf.DUMMYFUNCTION("""COMPUTED_VALUE"""),38500)</f>
        <v>38500</v>
      </c>
      <c r="K557" s="2">
        <f ca="1">IFERROR(__xludf.DUMMYFUNCTION("""COMPUTED_VALUE"""),61500)</f>
        <v>61500</v>
      </c>
      <c r="L557" s="2" t="str">
        <f ca="1">IFERROR(__xludf.DUMMYFUNCTION("""COMPUTED_VALUE"""),"55f5d2d3")</f>
        <v>55f5d2d3</v>
      </c>
      <c r="M557" s="2" t="str">
        <f ca="1">IFERROR(__xludf.DUMMYFUNCTION("""COMPUTED_VALUE"""),"Malbec")</f>
        <v>Malbec</v>
      </c>
      <c r="N557" s="2"/>
      <c r="O557" s="2" t="str">
        <f ca="1">IFERROR(__xludf.DUMMYFUNCTION("""COMPUTED_VALUE"""),"Descubada")</f>
        <v>Descubada</v>
      </c>
      <c r="P557" s="2" t="str">
        <f ca="1">IFERROR(__xludf.DUMMYFUNCTION("""COMPUTED_VALUE"""),"1er Trasiego")</f>
        <v>1er Trasiego</v>
      </c>
      <c r="Q557" s="2" t="b">
        <f ca="1">IFERROR(__xludf.DUMMYFUNCTION("""COMPUTED_VALUE"""),TRUE)</f>
        <v>1</v>
      </c>
      <c r="R557" s="2" t="str">
        <f ca="1">IFERROR(__xludf.DUMMYFUNCTION("""COMPUTED_VALUE"""),"1er Trasiego")</f>
        <v>1er Trasiego</v>
      </c>
      <c r="S557" s="2"/>
      <c r="T557" s="2"/>
      <c r="U557" s="2"/>
    </row>
    <row r="558" spans="1:21" x14ac:dyDescent="0.25">
      <c r="A558" s="2" t="str">
        <f ca="1">IFERROR(__xludf.DUMMYFUNCTION("""COMPUTED_VALUE"""),"0851f73f")</f>
        <v>0851f73f</v>
      </c>
      <c r="B558" s="5">
        <f ca="1">IFERROR(__xludf.DUMMYFUNCTION("""COMPUTED_VALUE"""),45783.7913425925)</f>
        <v>45783.7913425925</v>
      </c>
      <c r="C558" s="2" t="str">
        <f ca="1">IFERROR(__xludf.DUMMYFUNCTION("""COMPUTED_VALUE"""),"31f824a6")</f>
        <v>31f824a6</v>
      </c>
      <c r="D558" s="2">
        <f ca="1">IFERROR(__xludf.DUMMYFUNCTION("""COMPUTED_VALUE"""),80)</f>
        <v>80</v>
      </c>
      <c r="E558" s="2" t="str">
        <f ca="1">IFERROR(__xludf.DUMMYFUNCTION("""COMPUTED_VALUE"""),"Cabernet Sauvignon prensa")</f>
        <v>Cabernet Sauvignon prensa</v>
      </c>
      <c r="F558" s="2">
        <f ca="1">IFERROR(__xludf.DUMMYFUNCTION("""COMPUTED_VALUE"""),17000)</f>
        <v>17000</v>
      </c>
      <c r="G558" s="2">
        <f ca="1">IFERROR(__xludf.DUMMYFUNCTION("""COMPUTED_VALUE"""),76)</f>
        <v>76</v>
      </c>
      <c r="H558" s="2"/>
      <c r="I558" s="2"/>
      <c r="J558" s="2">
        <f ca="1">IFERROR(__xludf.DUMMYFUNCTION("""COMPUTED_VALUE"""),0)</f>
        <v>0</v>
      </c>
      <c r="K558" s="2">
        <f ca="1">IFERROR(__xludf.DUMMYFUNCTION("""COMPUTED_VALUE"""),17000)</f>
        <v>17000</v>
      </c>
      <c r="L558" s="2" t="str">
        <f ca="1">IFERROR(__xludf.DUMMYFUNCTION("""COMPUTED_VALUE"""),"7a4910aa")</f>
        <v>7a4910aa</v>
      </c>
      <c r="M558" s="2" t="str">
        <f ca="1">IFERROR(__xludf.DUMMYFUNCTION("""COMPUTED_VALUE"""),"Cabernet Sauvignon prensa")</f>
        <v>Cabernet Sauvignon prensa</v>
      </c>
      <c r="N558" s="2"/>
      <c r="O558" s="2" t="str">
        <f ca="1">IFERROR(__xludf.DUMMYFUNCTION("""COMPUTED_VALUE"""),"Descubada")</f>
        <v>Descubada</v>
      </c>
      <c r="P558" s="2"/>
      <c r="Q558" s="2" t="b">
        <f ca="1">IFERROR(__xludf.DUMMYFUNCTION("""COMPUTED_VALUE"""),FALSE)</f>
        <v>0</v>
      </c>
      <c r="R558" s="2" t="str">
        <f ca="1">IFERROR(__xludf.DUMMYFUNCTION("""COMPUTED_VALUE"""),"1er Trasiego")</f>
        <v>1er Trasiego</v>
      </c>
      <c r="S558" s="2"/>
      <c r="T558" s="2"/>
      <c r="U558" s="2"/>
    </row>
    <row r="559" spans="1:21" x14ac:dyDescent="0.25">
      <c r="A559" s="2" t="str">
        <f ca="1">IFERROR(__xludf.DUMMYFUNCTION("""COMPUTED_VALUE"""),"88591b3c")</f>
        <v>88591b3c</v>
      </c>
      <c r="B559" s="5">
        <f ca="1">IFERROR(__xludf.DUMMYFUNCTION("""COMPUTED_VALUE"""),45783.7916319444)</f>
        <v>45783.791631944398</v>
      </c>
      <c r="C559" s="2" t="str">
        <f ca="1">IFERROR(__xludf.DUMMYFUNCTION("""COMPUTED_VALUE"""),"0f749555")</f>
        <v>0f749555</v>
      </c>
      <c r="D559" s="2">
        <f ca="1">IFERROR(__xludf.DUMMYFUNCTION("""COMPUTED_VALUE"""),79)</f>
        <v>79</v>
      </c>
      <c r="E559" s="2" t="str">
        <f ca="1">IFERROR(__xludf.DUMMYFUNCTION("""COMPUTED_VALUE"""),"Tinto s/Bonarda")</f>
        <v>Tinto s/Bonarda</v>
      </c>
      <c r="F559" s="2">
        <f ca="1">IFERROR(__xludf.DUMMYFUNCTION("""COMPUTED_VALUE"""),14800)</f>
        <v>14800</v>
      </c>
      <c r="G559" s="2">
        <f ca="1">IFERROR(__xludf.DUMMYFUNCTION("""COMPUTED_VALUE"""),77)</f>
        <v>77</v>
      </c>
      <c r="H559" s="2"/>
      <c r="I559" s="2"/>
      <c r="J559" s="2">
        <f ca="1">IFERROR(__xludf.DUMMYFUNCTION("""COMPUTED_VALUE"""),0)</f>
        <v>0</v>
      </c>
      <c r="K559" s="2">
        <f ca="1">IFERROR(__xludf.DUMMYFUNCTION("""COMPUTED_VALUE"""),14800)</f>
        <v>14800</v>
      </c>
      <c r="L559" s="2" t="str">
        <f ca="1">IFERROR(__xludf.DUMMYFUNCTION("""COMPUTED_VALUE"""),"da2b6cac")</f>
        <v>da2b6cac</v>
      </c>
      <c r="M559" s="2" t="str">
        <f ca="1">IFERROR(__xludf.DUMMYFUNCTION("""COMPUTED_VALUE"""),"Tinto s/Bonarda")</f>
        <v>Tinto s/Bonarda</v>
      </c>
      <c r="N559" s="2"/>
      <c r="O559" s="2" t="str">
        <f ca="1">IFERROR(__xludf.DUMMYFUNCTION("""COMPUTED_VALUE"""),"Descubada")</f>
        <v>Descubada</v>
      </c>
      <c r="P559" s="2"/>
      <c r="Q559" s="2" t="b">
        <f ca="1">IFERROR(__xludf.DUMMYFUNCTION("""COMPUTED_VALUE"""),FALSE)</f>
        <v>0</v>
      </c>
      <c r="R559" s="2" t="str">
        <f ca="1">IFERROR(__xludf.DUMMYFUNCTION("""COMPUTED_VALUE"""),"1er Trasiego")</f>
        <v>1er Trasiego</v>
      </c>
      <c r="S559" s="2"/>
      <c r="T559" s="2"/>
      <c r="U559" s="2"/>
    </row>
    <row r="560" spans="1:21" x14ac:dyDescent="0.25">
      <c r="A560" s="2" t="str">
        <f ca="1">IFERROR(__xludf.DUMMYFUNCTION("""COMPUTED_VALUE"""),"a2b567cc")</f>
        <v>a2b567cc</v>
      </c>
      <c r="B560" s="5">
        <f ca="1">IFERROR(__xludf.DUMMYFUNCTION("""COMPUTED_VALUE"""),45783.7919675925)</f>
        <v>45783.7919675925</v>
      </c>
      <c r="C560" s="2" t="str">
        <f ca="1">IFERROR(__xludf.DUMMYFUNCTION("""COMPUTED_VALUE"""),"c98fe008")</f>
        <v>c98fe008</v>
      </c>
      <c r="D560" s="2">
        <f ca="1">IFERROR(__xludf.DUMMYFUNCTION("""COMPUTED_VALUE"""),72)</f>
        <v>72</v>
      </c>
      <c r="E560" s="2" t="str">
        <f ca="1">IFERROR(__xludf.DUMMYFUNCTION("""COMPUTED_VALUE"""),"Chardonnay Late Harvest")</f>
        <v>Chardonnay Late Harvest</v>
      </c>
      <c r="F560" s="2">
        <f ca="1">IFERROR(__xludf.DUMMYFUNCTION("""COMPUTED_VALUE"""),11400)</f>
        <v>11400</v>
      </c>
      <c r="G560" s="2">
        <f ca="1">IFERROR(__xludf.DUMMYFUNCTION("""COMPUTED_VALUE"""),71)</f>
        <v>71</v>
      </c>
      <c r="H560" s="2"/>
      <c r="I560" s="2"/>
      <c r="J560" s="2">
        <f ca="1">IFERROR(__xludf.DUMMYFUNCTION("""COMPUTED_VALUE"""),0)</f>
        <v>0</v>
      </c>
      <c r="K560" s="2">
        <f ca="1">IFERROR(__xludf.DUMMYFUNCTION("""COMPUTED_VALUE"""),11400)</f>
        <v>11400</v>
      </c>
      <c r="L560" s="2" t="str">
        <f ca="1">IFERROR(__xludf.DUMMYFUNCTION("""COMPUTED_VALUE"""),"9f02a2e8")</f>
        <v>9f02a2e8</v>
      </c>
      <c r="M560" s="2" t="str">
        <f ca="1">IFERROR(__xludf.DUMMYFUNCTION("""COMPUTED_VALUE"""),"Chardonnay Late Harvest")</f>
        <v>Chardonnay Late Harvest</v>
      </c>
      <c r="N560" s="2"/>
      <c r="O560" s="2" t="str">
        <f ca="1">IFERROR(__xludf.DUMMYFUNCTION("""COMPUTED_VALUE"""),"Fermentando")</f>
        <v>Fermentando</v>
      </c>
      <c r="P560" s="2"/>
      <c r="Q560" s="2" t="b">
        <f ca="1">IFERROR(__xludf.DUMMYFUNCTION("""COMPUTED_VALUE"""),FALSE)</f>
        <v>0</v>
      </c>
      <c r="R560" s="2" t="str">
        <f ca="1">IFERROR(__xludf.DUMMYFUNCTION("""COMPUTED_VALUE"""),"Descubada")</f>
        <v>Descubada</v>
      </c>
      <c r="S560" s="2"/>
      <c r="T560" s="2"/>
      <c r="U560" s="2"/>
    </row>
    <row r="561" spans="1:21" x14ac:dyDescent="0.25">
      <c r="A561" s="2" t="str">
        <f ca="1">IFERROR(__xludf.DUMMYFUNCTION("""COMPUTED_VALUE"""),"56168283")</f>
        <v>56168283</v>
      </c>
      <c r="B561" s="5">
        <f ca="1">IFERROR(__xludf.DUMMYFUNCTION("""COMPUTED_VALUE"""),45783.8131597222)</f>
        <v>45783.813159722202</v>
      </c>
      <c r="C561" s="2" t="str">
        <f ca="1">IFERROR(__xludf.DUMMYFUNCTION("""COMPUTED_VALUE"""),"837659aa")</f>
        <v>837659aa</v>
      </c>
      <c r="D561" s="2">
        <f ca="1">IFERROR(__xludf.DUMMYFUNCTION("""COMPUTED_VALUE"""),935)</f>
        <v>935</v>
      </c>
      <c r="E561" s="2" t="str">
        <f ca="1">IFERROR(__xludf.DUMMYFUNCTION("""COMPUTED_VALUE"""),"Borra")</f>
        <v>Borra</v>
      </c>
      <c r="F561" s="2">
        <f ca="1">IFERROR(__xludf.DUMMYFUNCTION("""COMPUTED_VALUE"""),7500)</f>
        <v>7500</v>
      </c>
      <c r="G561" s="2">
        <f ca="1">IFERROR(__xludf.DUMMYFUNCTION("""COMPUTED_VALUE"""),11)</f>
        <v>11</v>
      </c>
      <c r="H561" s="2" t="str">
        <f ca="1">IFERROR(__xludf.DUMMYFUNCTION("""COMPUTED_VALUE"""),"c1d9bfc2")</f>
        <v>c1d9bfc2</v>
      </c>
      <c r="I561" s="2" t="str">
        <f ca="1">IFERROR(__xludf.DUMMYFUNCTION("""COMPUTED_VALUE"""),"Claro de filtro")</f>
        <v>Claro de filtro</v>
      </c>
      <c r="J561" s="2">
        <f ca="1">IFERROR(__xludf.DUMMYFUNCTION("""COMPUTED_VALUE"""),9800)</f>
        <v>9800</v>
      </c>
      <c r="K561" s="2">
        <f ca="1">IFERROR(__xludf.DUMMYFUNCTION("""COMPUTED_VALUE"""),17300)</f>
        <v>17300</v>
      </c>
      <c r="L561" s="2" t="str">
        <f ca="1">IFERROR(__xludf.DUMMYFUNCTION("""COMPUTED_VALUE"""),"0bf12134")</f>
        <v>0bf12134</v>
      </c>
      <c r="M561" s="2" t="str">
        <f ca="1">IFERROR(__xludf.DUMMYFUNCTION("""COMPUTED_VALUE"""),"Claro de filtro")</f>
        <v>Claro de filtro</v>
      </c>
      <c r="N561" s="2"/>
      <c r="O561" s="2" t="str">
        <f ca="1">IFERROR(__xludf.DUMMYFUNCTION("""COMPUTED_VALUE"""),"Descubada")</f>
        <v>Descubada</v>
      </c>
      <c r="P561" s="2" t="str">
        <f ca="1">IFERROR(__xludf.DUMMYFUNCTION("""COMPUTED_VALUE"""),"Descubada")</f>
        <v>Descubada</v>
      </c>
      <c r="Q561" s="2" t="b">
        <f ca="1">IFERROR(__xludf.DUMMYFUNCTION("""COMPUTED_VALUE"""),TRUE)</f>
        <v>1</v>
      </c>
      <c r="R561" s="2" t="str">
        <f ca="1">IFERROR(__xludf.DUMMYFUNCTION("""COMPUTED_VALUE"""),"Descubada")</f>
        <v>Descubada</v>
      </c>
      <c r="S561" s="2"/>
      <c r="T561" s="2"/>
      <c r="U561" s="2"/>
    </row>
    <row r="562" spans="1:21" x14ac:dyDescent="0.25">
      <c r="A562" s="2" t="str">
        <f ca="1">IFERROR(__xludf.DUMMYFUNCTION("""COMPUTED_VALUE"""),"1e78a523")</f>
        <v>1e78a523</v>
      </c>
      <c r="B562" s="5">
        <f ca="1">IFERROR(__xludf.DUMMYFUNCTION("""COMPUTED_VALUE"""),45783.8145254629)</f>
        <v>45783.814525462898</v>
      </c>
      <c r="C562" s="2" t="str">
        <f ca="1">IFERROR(__xludf.DUMMYFUNCTION("""COMPUTED_VALUE"""),"79317f47")</f>
        <v>79317f47</v>
      </c>
      <c r="D562" s="2">
        <f ca="1">IFERROR(__xludf.DUMMYFUNCTION("""COMPUTED_VALUE"""),94)</f>
        <v>94</v>
      </c>
      <c r="E562" s="2" t="str">
        <f ca="1">IFERROR(__xludf.DUMMYFUNCTION("""COMPUTED_VALUE"""),"Borra")</f>
        <v>Borra</v>
      </c>
      <c r="F562" s="2">
        <f ca="1">IFERROR(__xludf.DUMMYFUNCTION("""COMPUTED_VALUE"""),1000)</f>
        <v>1000</v>
      </c>
      <c r="G562" s="2">
        <f ca="1">IFERROR(__xludf.DUMMYFUNCTION("""COMPUTED_VALUE"""),11)</f>
        <v>11</v>
      </c>
      <c r="H562" s="2" t="str">
        <f ca="1">IFERROR(__xludf.DUMMYFUNCTION("""COMPUTED_VALUE"""),"0bf12134")</f>
        <v>0bf12134</v>
      </c>
      <c r="I562" s="2" t="str">
        <f ca="1">IFERROR(__xludf.DUMMYFUNCTION("""COMPUTED_VALUE"""),"Claro de filtro")</f>
        <v>Claro de filtro</v>
      </c>
      <c r="J562" s="2">
        <f ca="1">IFERROR(__xludf.DUMMYFUNCTION("""COMPUTED_VALUE"""),17300)</f>
        <v>17300</v>
      </c>
      <c r="K562" s="2">
        <f ca="1">IFERROR(__xludf.DUMMYFUNCTION("""COMPUTED_VALUE"""),18300)</f>
        <v>18300</v>
      </c>
      <c r="L562" s="2" t="str">
        <f ca="1">IFERROR(__xludf.DUMMYFUNCTION("""COMPUTED_VALUE"""),"568f382f")</f>
        <v>568f382f</v>
      </c>
      <c r="M562" s="2" t="str">
        <f ca="1">IFERROR(__xludf.DUMMYFUNCTION("""COMPUTED_VALUE"""),"Claro de filtro")</f>
        <v>Claro de filtro</v>
      </c>
      <c r="N562" s="2"/>
      <c r="O562" s="2" t="str">
        <f ca="1">IFERROR(__xludf.DUMMYFUNCTION("""COMPUTED_VALUE"""),"Descubada")</f>
        <v>Descubada</v>
      </c>
      <c r="P562" s="2" t="str">
        <f ca="1">IFERROR(__xludf.DUMMYFUNCTION("""COMPUTED_VALUE"""),"Descubada")</f>
        <v>Descubada</v>
      </c>
      <c r="Q562" s="2" t="b">
        <f ca="1">IFERROR(__xludf.DUMMYFUNCTION("""COMPUTED_VALUE"""),TRUE)</f>
        <v>1</v>
      </c>
      <c r="R562" s="2" t="str">
        <f ca="1">IFERROR(__xludf.DUMMYFUNCTION("""COMPUTED_VALUE"""),"Descubada")</f>
        <v>Descubada</v>
      </c>
      <c r="S562" s="2"/>
      <c r="T562" s="2"/>
      <c r="U562" s="2"/>
    </row>
    <row r="563" spans="1:21" x14ac:dyDescent="0.25">
      <c r="A563" s="2" t="str">
        <f ca="1">IFERROR(__xludf.DUMMYFUNCTION("""COMPUTED_VALUE"""),"c34093bc")</f>
        <v>c34093bc</v>
      </c>
      <c r="B563" s="5">
        <f ca="1">IFERROR(__xludf.DUMMYFUNCTION("""COMPUTED_VALUE"""),45783.8155555555)</f>
        <v>45783.815555555499</v>
      </c>
      <c r="C563" s="2" t="str">
        <f ca="1">IFERROR(__xludf.DUMMYFUNCTION("""COMPUTED_VALUE"""),"d251428e")</f>
        <v>d251428e</v>
      </c>
      <c r="D563" s="2">
        <f ca="1">IFERROR(__xludf.DUMMYFUNCTION("""COMPUTED_VALUE"""),110)</f>
        <v>110</v>
      </c>
      <c r="E563" s="2" t="str">
        <f ca="1">IFERROR(__xludf.DUMMYFUNCTION("""COMPUTED_VALUE"""),"Borra")</f>
        <v>Borra</v>
      </c>
      <c r="F563" s="2">
        <f ca="1">IFERROR(__xludf.DUMMYFUNCTION("""COMPUTED_VALUE"""),7000)</f>
        <v>7000</v>
      </c>
      <c r="G563" s="2">
        <f ca="1">IFERROR(__xludf.DUMMYFUNCTION("""COMPUTED_VALUE"""),11)</f>
        <v>11</v>
      </c>
      <c r="H563" s="2" t="str">
        <f ca="1">IFERROR(__xludf.DUMMYFUNCTION("""COMPUTED_VALUE"""),"568f382f")</f>
        <v>568f382f</v>
      </c>
      <c r="I563" s="2" t="str">
        <f ca="1">IFERROR(__xludf.DUMMYFUNCTION("""COMPUTED_VALUE"""),"Claro de filtro")</f>
        <v>Claro de filtro</v>
      </c>
      <c r="J563" s="2">
        <f ca="1">IFERROR(__xludf.DUMMYFUNCTION("""COMPUTED_VALUE"""),18300)</f>
        <v>18300</v>
      </c>
      <c r="K563" s="2">
        <f ca="1">IFERROR(__xludf.DUMMYFUNCTION("""COMPUTED_VALUE"""),25300)</f>
        <v>25300</v>
      </c>
      <c r="L563" s="2" t="str">
        <f ca="1">IFERROR(__xludf.DUMMYFUNCTION("""COMPUTED_VALUE"""),"e6ca31fd")</f>
        <v>e6ca31fd</v>
      </c>
      <c r="M563" s="2" t="str">
        <f ca="1">IFERROR(__xludf.DUMMYFUNCTION("""COMPUTED_VALUE"""),"Claro de filtro")</f>
        <v>Claro de filtro</v>
      </c>
      <c r="N563" s="2"/>
      <c r="O563" s="2" t="str">
        <f ca="1">IFERROR(__xludf.DUMMYFUNCTION("""COMPUTED_VALUE"""),"Descubada")</f>
        <v>Descubada</v>
      </c>
      <c r="P563" s="2" t="str">
        <f ca="1">IFERROR(__xludf.DUMMYFUNCTION("""COMPUTED_VALUE"""),"Descubada")</f>
        <v>Descubada</v>
      </c>
      <c r="Q563" s="2" t="b">
        <f ca="1">IFERROR(__xludf.DUMMYFUNCTION("""COMPUTED_VALUE"""),TRUE)</f>
        <v>1</v>
      </c>
      <c r="R563" s="2" t="str">
        <f ca="1">IFERROR(__xludf.DUMMYFUNCTION("""COMPUTED_VALUE"""),"Descubada")</f>
        <v>Descubada</v>
      </c>
      <c r="S563" s="2"/>
      <c r="T563" s="2"/>
      <c r="U563" s="2"/>
    </row>
    <row r="564" spans="1:21" x14ac:dyDescent="0.25">
      <c r="A564" s="2" t="str">
        <f ca="1">IFERROR(__xludf.DUMMYFUNCTION("""COMPUTED_VALUE"""),"01e26e2c")</f>
        <v>01e26e2c</v>
      </c>
      <c r="B564" s="5">
        <f ca="1">IFERROR(__xludf.DUMMYFUNCTION("""COMPUTED_VALUE"""),45783.8174421295)</f>
        <v>45783.817442129599</v>
      </c>
      <c r="C564" s="2" t="str">
        <f ca="1">IFERROR(__xludf.DUMMYFUNCTION("""COMPUTED_VALUE"""),"49b10489")</f>
        <v>49b10489</v>
      </c>
      <c r="D564" s="2">
        <f ca="1">IFERROR(__xludf.DUMMYFUNCTION("""COMPUTED_VALUE"""),6)</f>
        <v>6</v>
      </c>
      <c r="E564" s="2" t="str">
        <f ca="1">IFERROR(__xludf.DUMMYFUNCTION("""COMPUTED_VALUE"""),"Malbec Bon Dulce  Rect")</f>
        <v>Malbec Bon Dulce  Rect</v>
      </c>
      <c r="F564" s="2">
        <f ca="1">IFERROR(__xludf.DUMMYFUNCTION("""COMPUTED_VALUE"""),5000)</f>
        <v>5000</v>
      </c>
      <c r="G564" s="2">
        <f ca="1">IFERROR(__xludf.DUMMYFUNCTION("""COMPUTED_VALUE"""),500)</f>
        <v>500</v>
      </c>
      <c r="H564" s="2" t="str">
        <f ca="1">IFERROR(__xludf.DUMMYFUNCTION("""COMPUTED_VALUE"""),"196f5b8f")</f>
        <v>196f5b8f</v>
      </c>
      <c r="I564" s="2" t="str">
        <f ca="1">IFERROR(__xludf.DUMMYFUNCTION("""COMPUTED_VALUE"""),"Ajuste Arqueo 05/05/25")</f>
        <v>Ajuste Arqueo 05/05/25</v>
      </c>
      <c r="J564" s="2">
        <f ca="1">IFERROR(__xludf.DUMMYFUNCTION("""COMPUTED_VALUE"""),1)</f>
        <v>1</v>
      </c>
      <c r="K564" s="2">
        <f ca="1">IFERROR(__xludf.DUMMYFUNCTION("""COMPUTED_VALUE"""),5001)</f>
        <v>5001</v>
      </c>
      <c r="L564" s="2" t="str">
        <f ca="1">IFERROR(__xludf.DUMMYFUNCTION("""COMPUTED_VALUE"""),"4e2e27d9")</f>
        <v>4e2e27d9</v>
      </c>
      <c r="M564" s="2" t="str">
        <f ca="1">IFERROR(__xludf.DUMMYFUNCTION("""COMPUTED_VALUE"""),"Ajuste Arqueo 05/05/25")</f>
        <v>Ajuste Arqueo 05/05/25</v>
      </c>
      <c r="N564" s="2"/>
      <c r="O564" s="2" t="str">
        <f ca="1">IFERROR(__xludf.DUMMYFUNCTION("""COMPUTED_VALUE"""),"1er Trasiego")</f>
        <v>1er Trasiego</v>
      </c>
      <c r="P564" s="2"/>
      <c r="Q564" s="2" t="b">
        <f ca="1">IFERROR(__xludf.DUMMYFUNCTION("""COMPUTED_VALUE"""),TRUE)</f>
        <v>1</v>
      </c>
      <c r="R564" s="2"/>
      <c r="S564" s="2"/>
      <c r="T564" s="2"/>
      <c r="U564" s="2"/>
    </row>
    <row r="565" spans="1:21" x14ac:dyDescent="0.25">
      <c r="A565" s="2" t="str">
        <f ca="1">IFERROR(__xludf.DUMMYFUNCTION("""COMPUTED_VALUE"""),"d210a460")</f>
        <v>d210a460</v>
      </c>
      <c r="B565" s="5">
        <f ca="1">IFERROR(__xludf.DUMMYFUNCTION("""COMPUTED_VALUE"""),45783.817824074)</f>
        <v>45783.817824074002</v>
      </c>
      <c r="C565" s="2" t="str">
        <f ca="1">IFERROR(__xludf.DUMMYFUNCTION("""COMPUTED_VALUE"""),"e6ca31fd")</f>
        <v>e6ca31fd</v>
      </c>
      <c r="D565" s="2">
        <f ca="1">IFERROR(__xludf.DUMMYFUNCTION("""COMPUTED_VALUE"""),11)</f>
        <v>11</v>
      </c>
      <c r="E565" s="2" t="str">
        <f ca="1">IFERROR(__xludf.DUMMYFUNCTION("""COMPUTED_VALUE"""),"Claro de filtro")</f>
        <v>Claro de filtro</v>
      </c>
      <c r="F565" s="2">
        <f ca="1">IFERROR(__xludf.DUMMYFUNCTION("""COMPUTED_VALUE"""),-10700)</f>
        <v>-10700</v>
      </c>
      <c r="G565" s="2">
        <f ca="1">IFERROR(__xludf.DUMMYFUNCTION("""COMPUTED_VALUE"""),500)</f>
        <v>500</v>
      </c>
      <c r="H565" s="2" t="str">
        <f ca="1">IFERROR(__xludf.DUMMYFUNCTION("""COMPUTED_VALUE"""),"4e2e27d9")</f>
        <v>4e2e27d9</v>
      </c>
      <c r="I565" s="2" t="str">
        <f ca="1">IFERROR(__xludf.DUMMYFUNCTION("""COMPUTED_VALUE"""),"Ajuste Arqueo 05/05/25")</f>
        <v>Ajuste Arqueo 05/05/25</v>
      </c>
      <c r="J565" s="2">
        <f ca="1">IFERROR(__xludf.DUMMYFUNCTION("""COMPUTED_VALUE"""),5001)</f>
        <v>5001</v>
      </c>
      <c r="K565" s="2">
        <f ca="1">IFERROR(__xludf.DUMMYFUNCTION("""COMPUTED_VALUE"""),-5699)</f>
        <v>-5699</v>
      </c>
      <c r="L565" s="2" t="str">
        <f ca="1">IFERROR(__xludf.DUMMYFUNCTION("""COMPUTED_VALUE"""),"cb2ca221")</f>
        <v>cb2ca221</v>
      </c>
      <c r="M565" s="2" t="str">
        <f ca="1">IFERROR(__xludf.DUMMYFUNCTION("""COMPUTED_VALUE"""),"Ajuste Arqueo 05/05/25")</f>
        <v>Ajuste Arqueo 05/05/25</v>
      </c>
      <c r="N565" s="2"/>
      <c r="O565" s="2" t="str">
        <f ca="1">IFERROR(__xludf.DUMMYFUNCTION("""COMPUTED_VALUE"""),"Descubada")</f>
        <v>Descubada</v>
      </c>
      <c r="P565" s="2"/>
      <c r="Q565" s="2" t="b">
        <f ca="1">IFERROR(__xludf.DUMMYFUNCTION("""COMPUTED_VALUE"""),TRUE)</f>
        <v>1</v>
      </c>
      <c r="R565" s="2"/>
      <c r="S565" s="2"/>
      <c r="T565" s="2"/>
      <c r="U565" s="2"/>
    </row>
    <row r="566" spans="1:21" x14ac:dyDescent="0.25">
      <c r="A566" s="2" t="str">
        <f ca="1">IFERROR(__xludf.DUMMYFUNCTION("""COMPUTED_VALUE"""),"96f04c2e")</f>
        <v>96f04c2e</v>
      </c>
      <c r="B566" s="5">
        <f ca="1">IFERROR(__xludf.DUMMYFUNCTION("""COMPUTED_VALUE"""),45783.8184027777)</f>
        <v>45783.818402777702</v>
      </c>
      <c r="C566" s="2" t="str">
        <f ca="1">IFERROR(__xludf.DUMMYFUNCTION("""COMPUTED_VALUE"""),"d85a9e51")</f>
        <v>d85a9e51</v>
      </c>
      <c r="D566" s="2">
        <f ca="1">IFERROR(__xludf.DUMMYFUNCTION("""COMPUTED_VALUE"""),12)</f>
        <v>12</v>
      </c>
      <c r="E566" s="2" t="str">
        <f ca="1">IFERROR(__xludf.DUMMYFUNCTION("""COMPUTED_VALUE"""),"Claro de Filtro")</f>
        <v>Claro de Filtro</v>
      </c>
      <c r="F566" s="2">
        <f ca="1">IFERROR(__xludf.DUMMYFUNCTION("""COMPUTED_VALUE"""),17000)</f>
        <v>17000</v>
      </c>
      <c r="G566" s="2">
        <f ca="1">IFERROR(__xludf.DUMMYFUNCTION("""COMPUTED_VALUE"""),500)</f>
        <v>500</v>
      </c>
      <c r="H566" s="2" t="str">
        <f ca="1">IFERROR(__xludf.DUMMYFUNCTION("""COMPUTED_VALUE"""),"cb2ca221")</f>
        <v>cb2ca221</v>
      </c>
      <c r="I566" s="2" t="str">
        <f ca="1">IFERROR(__xludf.DUMMYFUNCTION("""COMPUTED_VALUE"""),"Ajuste Arqueo 05/05/25")</f>
        <v>Ajuste Arqueo 05/05/25</v>
      </c>
      <c r="J566" s="2">
        <f ca="1">IFERROR(__xludf.DUMMYFUNCTION("""COMPUTED_VALUE"""),-5699)</f>
        <v>-5699</v>
      </c>
      <c r="K566" s="2">
        <f ca="1">IFERROR(__xludf.DUMMYFUNCTION("""COMPUTED_VALUE"""),11301)</f>
        <v>11301</v>
      </c>
      <c r="L566" s="2" t="str">
        <f ca="1">IFERROR(__xludf.DUMMYFUNCTION("""COMPUTED_VALUE"""),"16e5e87f")</f>
        <v>16e5e87f</v>
      </c>
      <c r="M566" s="2" t="str">
        <f ca="1">IFERROR(__xludf.DUMMYFUNCTION("""COMPUTED_VALUE"""),"Ajuste Arqueo 05/05/25")</f>
        <v>Ajuste Arqueo 05/05/25</v>
      </c>
      <c r="N566" s="2"/>
      <c r="O566" s="2" t="str">
        <f ca="1">IFERROR(__xludf.DUMMYFUNCTION("""COMPUTED_VALUE"""),"Descubada")</f>
        <v>Descubada</v>
      </c>
      <c r="P566" s="2"/>
      <c r="Q566" s="2" t="b">
        <f ca="1">IFERROR(__xludf.DUMMYFUNCTION("""COMPUTED_VALUE"""),TRUE)</f>
        <v>1</v>
      </c>
      <c r="R566" s="2"/>
      <c r="S566" s="2"/>
      <c r="T566" s="2"/>
      <c r="U566" s="2"/>
    </row>
    <row r="567" spans="1:21" x14ac:dyDescent="0.25">
      <c r="A567" s="2" t="str">
        <f ca="1">IFERROR(__xludf.DUMMYFUNCTION("""COMPUTED_VALUE"""),"d32654b2")</f>
        <v>d32654b2</v>
      </c>
      <c r="B567" s="5">
        <f ca="1">IFERROR(__xludf.DUMMYFUNCTION("""COMPUTED_VALUE"""),45783.822210648)</f>
        <v>45783.822210648097</v>
      </c>
      <c r="C567" s="2" t="str">
        <f ca="1">IFERROR(__xludf.DUMMYFUNCTION("""COMPUTED_VALUE"""),"3640d88c")</f>
        <v>3640d88c</v>
      </c>
      <c r="D567" s="2">
        <f ca="1">IFERROR(__xludf.DUMMYFUNCTION("""COMPUTED_VALUE"""),14)</f>
        <v>14</v>
      </c>
      <c r="E567" s="2" t="str">
        <f ca="1">IFERROR(__xludf.DUMMYFUNCTION("""COMPUTED_VALUE"""),"Malbec Mec")</f>
        <v>Malbec Mec</v>
      </c>
      <c r="F567" s="2">
        <f ca="1">IFERROR(__xludf.DUMMYFUNCTION("""COMPUTED_VALUE"""),-1000)</f>
        <v>-1000</v>
      </c>
      <c r="G567" s="2">
        <f ca="1">IFERROR(__xludf.DUMMYFUNCTION("""COMPUTED_VALUE"""),500)</f>
        <v>500</v>
      </c>
      <c r="H567" s="2" t="str">
        <f ca="1">IFERROR(__xludf.DUMMYFUNCTION("""COMPUTED_VALUE"""),"16e5e87f")</f>
        <v>16e5e87f</v>
      </c>
      <c r="I567" s="2" t="str">
        <f ca="1">IFERROR(__xludf.DUMMYFUNCTION("""COMPUTED_VALUE"""),"Ajuste Arqueo 05/05/25")</f>
        <v>Ajuste Arqueo 05/05/25</v>
      </c>
      <c r="J567" s="2">
        <f ca="1">IFERROR(__xludf.DUMMYFUNCTION("""COMPUTED_VALUE"""),11301)</f>
        <v>11301</v>
      </c>
      <c r="K567" s="2">
        <f ca="1">IFERROR(__xludf.DUMMYFUNCTION("""COMPUTED_VALUE"""),10301)</f>
        <v>10301</v>
      </c>
      <c r="L567" s="2" t="str">
        <f ca="1">IFERROR(__xludf.DUMMYFUNCTION("""COMPUTED_VALUE"""),"1169aeda")</f>
        <v>1169aeda</v>
      </c>
      <c r="M567" s="2" t="str">
        <f ca="1">IFERROR(__xludf.DUMMYFUNCTION("""COMPUTED_VALUE"""),"Ajuste Arqueo 05/05/25")</f>
        <v>Ajuste Arqueo 05/05/25</v>
      </c>
      <c r="N567" s="2"/>
      <c r="O567" s="2" t="str">
        <f ca="1">IFERROR(__xludf.DUMMYFUNCTION("""COMPUTED_VALUE"""),"Descubada")</f>
        <v>Descubada</v>
      </c>
      <c r="P567" s="2"/>
      <c r="Q567" s="2" t="b">
        <f ca="1">IFERROR(__xludf.DUMMYFUNCTION("""COMPUTED_VALUE"""),TRUE)</f>
        <v>1</v>
      </c>
      <c r="R567" s="2"/>
      <c r="S567" s="2"/>
      <c r="T567" s="2"/>
      <c r="U567" s="2"/>
    </row>
    <row r="568" spans="1:21" x14ac:dyDescent="0.25">
      <c r="A568" s="2" t="str">
        <f ca="1">IFERROR(__xludf.DUMMYFUNCTION("""COMPUTED_VALUE"""),"ea782cd1")</f>
        <v>ea782cd1</v>
      </c>
      <c r="B568" s="5">
        <f ca="1">IFERROR(__xludf.DUMMYFUNCTION("""COMPUTED_VALUE"""),45783.8229166666)</f>
        <v>45783.822916666599</v>
      </c>
      <c r="C568" s="2" t="str">
        <f ca="1">IFERROR(__xludf.DUMMYFUNCTION("""COMPUTED_VALUE"""),"f764d2d1")</f>
        <v>f764d2d1</v>
      </c>
      <c r="D568" s="2">
        <f ca="1">IFERROR(__xludf.DUMMYFUNCTION("""COMPUTED_VALUE"""),15)</f>
        <v>15</v>
      </c>
      <c r="E568" s="2" t="str">
        <f ca="1">IFERROR(__xludf.DUMMYFUNCTION("""COMPUTED_VALUE"""),"Malbec")</f>
        <v>Malbec</v>
      </c>
      <c r="F568" s="2">
        <f ca="1">IFERROR(__xludf.DUMMYFUNCTION("""COMPUTED_VALUE"""),-1000)</f>
        <v>-1000</v>
      </c>
      <c r="G568" s="2">
        <f ca="1">IFERROR(__xludf.DUMMYFUNCTION("""COMPUTED_VALUE"""),500)</f>
        <v>500</v>
      </c>
      <c r="H568" s="2" t="str">
        <f ca="1">IFERROR(__xludf.DUMMYFUNCTION("""COMPUTED_VALUE"""),"1169aeda")</f>
        <v>1169aeda</v>
      </c>
      <c r="I568" s="2" t="str">
        <f ca="1">IFERROR(__xludf.DUMMYFUNCTION("""COMPUTED_VALUE"""),"Ajuste Arqueo 05/05/25")</f>
        <v>Ajuste Arqueo 05/05/25</v>
      </c>
      <c r="J568" s="2">
        <f ca="1">IFERROR(__xludf.DUMMYFUNCTION("""COMPUTED_VALUE"""),10301)</f>
        <v>10301</v>
      </c>
      <c r="K568" s="2">
        <f ca="1">IFERROR(__xludf.DUMMYFUNCTION("""COMPUTED_VALUE"""),9301)</f>
        <v>9301</v>
      </c>
      <c r="L568" s="2" t="str">
        <f ca="1">IFERROR(__xludf.DUMMYFUNCTION("""COMPUTED_VALUE"""),"4560c2a1")</f>
        <v>4560c2a1</v>
      </c>
      <c r="M568" s="2" t="str">
        <f ca="1">IFERROR(__xludf.DUMMYFUNCTION("""COMPUTED_VALUE"""),"Ajuste Arqueo 05/05/25")</f>
        <v>Ajuste Arqueo 05/05/25</v>
      </c>
      <c r="N568" s="2"/>
      <c r="O568" s="2" t="str">
        <f ca="1">IFERROR(__xludf.DUMMYFUNCTION("""COMPUTED_VALUE"""),"Descubada")</f>
        <v>Descubada</v>
      </c>
      <c r="P568" s="2"/>
      <c r="Q568" s="2" t="b">
        <f ca="1">IFERROR(__xludf.DUMMYFUNCTION("""COMPUTED_VALUE"""),TRUE)</f>
        <v>1</v>
      </c>
      <c r="R568" s="2"/>
      <c r="S568" s="2"/>
      <c r="T568" s="2"/>
      <c r="U568" s="2"/>
    </row>
    <row r="569" spans="1:21" x14ac:dyDescent="0.25">
      <c r="A569" s="2" t="str">
        <f ca="1">IFERROR(__xludf.DUMMYFUNCTION("""COMPUTED_VALUE"""),"89c11ee8")</f>
        <v>89c11ee8</v>
      </c>
      <c r="B569" s="5">
        <f ca="1">IFERROR(__xludf.DUMMYFUNCTION("""COMPUTED_VALUE"""),45783.8235879629)</f>
        <v>45783.823587962899</v>
      </c>
      <c r="C569" s="2" t="str">
        <f ca="1">IFERROR(__xludf.DUMMYFUNCTION("""COMPUTED_VALUE"""),"a6d28e88")</f>
        <v>a6d28e88</v>
      </c>
      <c r="D569" s="2">
        <f ca="1">IFERROR(__xludf.DUMMYFUNCTION("""COMPUTED_VALUE"""),25)</f>
        <v>25</v>
      </c>
      <c r="E569" s="2" t="str">
        <f ca="1">IFERROR(__xludf.DUMMYFUNCTION("""COMPUTED_VALUE"""),"Syrah")</f>
        <v>Syrah</v>
      </c>
      <c r="F569" s="2">
        <f ca="1">IFERROR(__xludf.DUMMYFUNCTION("""COMPUTED_VALUE"""),2000)</f>
        <v>2000</v>
      </c>
      <c r="G569" s="2">
        <f ca="1">IFERROR(__xludf.DUMMYFUNCTION("""COMPUTED_VALUE"""),500)</f>
        <v>500</v>
      </c>
      <c r="H569" s="2" t="str">
        <f ca="1">IFERROR(__xludf.DUMMYFUNCTION("""COMPUTED_VALUE"""),"4560c2a1")</f>
        <v>4560c2a1</v>
      </c>
      <c r="I569" s="2" t="str">
        <f ca="1">IFERROR(__xludf.DUMMYFUNCTION("""COMPUTED_VALUE"""),"Ajuste Arqueo 05/05/25")</f>
        <v>Ajuste Arqueo 05/05/25</v>
      </c>
      <c r="J569" s="2">
        <f ca="1">IFERROR(__xludf.DUMMYFUNCTION("""COMPUTED_VALUE"""),9301)</f>
        <v>9301</v>
      </c>
      <c r="K569" s="2">
        <f ca="1">IFERROR(__xludf.DUMMYFUNCTION("""COMPUTED_VALUE"""),11301)</f>
        <v>11301</v>
      </c>
      <c r="L569" s="2" t="str">
        <f ca="1">IFERROR(__xludf.DUMMYFUNCTION("""COMPUTED_VALUE"""),"62584ebc")</f>
        <v>62584ebc</v>
      </c>
      <c r="M569" s="2" t="str">
        <f ca="1">IFERROR(__xludf.DUMMYFUNCTION("""COMPUTED_VALUE"""),"Ajuste Arqueo 05/05/25")</f>
        <v>Ajuste Arqueo 05/05/25</v>
      </c>
      <c r="N569" s="2"/>
      <c r="O569" s="2" t="str">
        <f ca="1">IFERROR(__xludf.DUMMYFUNCTION("""COMPUTED_VALUE"""),"1er Trasiego")</f>
        <v>1er Trasiego</v>
      </c>
      <c r="P569" s="2"/>
      <c r="Q569" s="2" t="b">
        <f ca="1">IFERROR(__xludf.DUMMYFUNCTION("""COMPUTED_VALUE"""),TRUE)</f>
        <v>1</v>
      </c>
      <c r="R569" s="2"/>
      <c r="S569" s="2"/>
      <c r="T569" s="2"/>
      <c r="U569" s="2"/>
    </row>
    <row r="570" spans="1:21" x14ac:dyDescent="0.25">
      <c r="A570" s="2" t="str">
        <f ca="1">IFERROR(__xludf.DUMMYFUNCTION("""COMPUTED_VALUE"""),"a13cc567")</f>
        <v>a13cc567</v>
      </c>
      <c r="B570" s="5">
        <f ca="1">IFERROR(__xludf.DUMMYFUNCTION("""COMPUTED_VALUE"""),45783.8241203703)</f>
        <v>45783.8241203703</v>
      </c>
      <c r="C570" s="2" t="str">
        <f ca="1">IFERROR(__xludf.DUMMYFUNCTION("""COMPUTED_VALUE"""),"eec28962")</f>
        <v>eec28962</v>
      </c>
      <c r="D570" s="2">
        <f ca="1">IFERROR(__xludf.DUMMYFUNCTION("""COMPUTED_VALUE"""),30)</f>
        <v>30</v>
      </c>
      <c r="E570" s="2" t="str">
        <f ca="1">IFERROR(__xludf.DUMMYFUNCTION("""COMPUTED_VALUE"""),"Aspirant 24")</f>
        <v>Aspirant 24</v>
      </c>
      <c r="F570" s="2">
        <f ca="1">IFERROR(__xludf.DUMMYFUNCTION("""COMPUTED_VALUE"""),-300)</f>
        <v>-300</v>
      </c>
      <c r="G570" s="2"/>
      <c r="H570" s="2"/>
      <c r="I570" s="2"/>
      <c r="J570" s="2"/>
      <c r="K570" s="2">
        <f ca="1">IFERROR(__xludf.DUMMYFUNCTION("""COMPUTED_VALUE"""),-300)</f>
        <v>-300</v>
      </c>
      <c r="L570" s="2" t="str">
        <f ca="1">IFERROR(__xludf.DUMMYFUNCTION("""COMPUTED_VALUE"""),"8cf84f68")</f>
        <v>8cf84f68</v>
      </c>
      <c r="M570" s="2"/>
      <c r="N570" s="2"/>
      <c r="O570" s="2" t="str">
        <f ca="1">IFERROR(__xludf.DUMMYFUNCTION("""COMPUTED_VALUE"""),"Terminado")</f>
        <v>Terminado</v>
      </c>
      <c r="P570" s="2"/>
      <c r="Q570" s="2" t="b">
        <f ca="1">IFERROR(__xludf.DUMMYFUNCTION("""COMPUTED_VALUE"""),TRUE)</f>
        <v>1</v>
      </c>
      <c r="R570" s="2"/>
      <c r="S570" s="2"/>
      <c r="T570" s="2"/>
      <c r="U570" s="2"/>
    </row>
    <row r="571" spans="1:21" x14ac:dyDescent="0.25">
      <c r="A571" s="2" t="str">
        <f ca="1">IFERROR(__xludf.DUMMYFUNCTION("""COMPUTED_VALUE"""),"cde0fb1d")</f>
        <v>cde0fb1d</v>
      </c>
      <c r="B571" s="5">
        <f ca="1">IFERROR(__xludf.DUMMYFUNCTION("""COMPUTED_VALUE"""),45783.8247337962)</f>
        <v>45783.824733796297</v>
      </c>
      <c r="C571" s="2" t="str">
        <f ca="1">IFERROR(__xludf.DUMMYFUNCTION("""COMPUTED_VALUE"""),"7b6b2c2a")</f>
        <v>7b6b2c2a</v>
      </c>
      <c r="D571" s="2">
        <f ca="1">IFERROR(__xludf.DUMMYFUNCTION("""COMPUTED_VALUE"""),34)</f>
        <v>34</v>
      </c>
      <c r="E571" s="2" t="str">
        <f ca="1">IFERROR(__xludf.DUMMYFUNCTION("""COMPUTED_VALUE"""),"Bonarda")</f>
        <v>Bonarda</v>
      </c>
      <c r="F571" s="2">
        <f ca="1">IFERROR(__xludf.DUMMYFUNCTION("""COMPUTED_VALUE"""),-5000)</f>
        <v>-5000</v>
      </c>
      <c r="G571" s="2">
        <f ca="1">IFERROR(__xludf.DUMMYFUNCTION("""COMPUTED_VALUE"""),500)</f>
        <v>500</v>
      </c>
      <c r="H571" s="2" t="str">
        <f ca="1">IFERROR(__xludf.DUMMYFUNCTION("""COMPUTED_VALUE"""),"62584ebc")</f>
        <v>62584ebc</v>
      </c>
      <c r="I571" s="2" t="str">
        <f ca="1">IFERROR(__xludf.DUMMYFUNCTION("""COMPUTED_VALUE"""),"Ajuste Arqueo 05/05/25")</f>
        <v>Ajuste Arqueo 05/05/25</v>
      </c>
      <c r="J571" s="2">
        <f ca="1">IFERROR(__xludf.DUMMYFUNCTION("""COMPUTED_VALUE"""),11301)</f>
        <v>11301</v>
      </c>
      <c r="K571" s="2">
        <f ca="1">IFERROR(__xludf.DUMMYFUNCTION("""COMPUTED_VALUE"""),6301)</f>
        <v>6301</v>
      </c>
      <c r="L571" s="2" t="str">
        <f ca="1">IFERROR(__xludf.DUMMYFUNCTION("""COMPUTED_VALUE"""),"158a7d9d")</f>
        <v>158a7d9d</v>
      </c>
      <c r="M571" s="2" t="str">
        <f ca="1">IFERROR(__xludf.DUMMYFUNCTION("""COMPUTED_VALUE"""),"Ajuste Arqueo 05/05/25")</f>
        <v>Ajuste Arqueo 05/05/25</v>
      </c>
      <c r="N571" s="2"/>
      <c r="O571" s="2" t="str">
        <f ca="1">IFERROR(__xludf.DUMMYFUNCTION("""COMPUTED_VALUE"""),"Descubada")</f>
        <v>Descubada</v>
      </c>
      <c r="P571" s="2"/>
      <c r="Q571" s="2" t="b">
        <f ca="1">IFERROR(__xludf.DUMMYFUNCTION("""COMPUTED_VALUE"""),TRUE)</f>
        <v>1</v>
      </c>
      <c r="R571" s="2"/>
      <c r="S571" s="2"/>
      <c r="T571" s="2"/>
      <c r="U571" s="2"/>
    </row>
    <row r="572" spans="1:21" x14ac:dyDescent="0.25">
      <c r="A572" s="2" t="str">
        <f ca="1">IFERROR(__xludf.DUMMYFUNCTION("""COMPUTED_VALUE"""),"2f617090")</f>
        <v>2f617090</v>
      </c>
      <c r="B572" s="5">
        <f ca="1">IFERROR(__xludf.DUMMYFUNCTION("""COMPUTED_VALUE"""),45783.8254629629)</f>
        <v>45783.825462962901</v>
      </c>
      <c r="C572" s="2" t="str">
        <f ca="1">IFERROR(__xludf.DUMMYFUNCTION("""COMPUTED_VALUE"""),"92bbed34")</f>
        <v>92bbed34</v>
      </c>
      <c r="D572" s="2">
        <f ca="1">IFERROR(__xludf.DUMMYFUNCTION("""COMPUTED_VALUE"""),46)</f>
        <v>46</v>
      </c>
      <c r="E572" s="2" t="str">
        <f ca="1">IFERROR(__xludf.DUMMYFUNCTION("""COMPUTED_VALUE"""),"Malbec Gota")</f>
        <v>Malbec Gota</v>
      </c>
      <c r="F572" s="2">
        <f ca="1">IFERROR(__xludf.DUMMYFUNCTION("""COMPUTED_VALUE"""),2500)</f>
        <v>2500</v>
      </c>
      <c r="G572" s="2">
        <f ca="1">IFERROR(__xludf.DUMMYFUNCTION("""COMPUTED_VALUE"""),500)</f>
        <v>500</v>
      </c>
      <c r="H572" s="2" t="str">
        <f ca="1">IFERROR(__xludf.DUMMYFUNCTION("""COMPUTED_VALUE"""),"158a7d9d")</f>
        <v>158a7d9d</v>
      </c>
      <c r="I572" s="2" t="str">
        <f ca="1">IFERROR(__xludf.DUMMYFUNCTION("""COMPUTED_VALUE"""),"Ajuste Arqueo 05/05/25")</f>
        <v>Ajuste Arqueo 05/05/25</v>
      </c>
      <c r="J572" s="2">
        <f ca="1">IFERROR(__xludf.DUMMYFUNCTION("""COMPUTED_VALUE"""),6301)</f>
        <v>6301</v>
      </c>
      <c r="K572" s="2">
        <f ca="1">IFERROR(__xludf.DUMMYFUNCTION("""COMPUTED_VALUE"""),8801)</f>
        <v>8801</v>
      </c>
      <c r="L572" s="2" t="str">
        <f ca="1">IFERROR(__xludf.DUMMYFUNCTION("""COMPUTED_VALUE"""),"cc1de158")</f>
        <v>cc1de158</v>
      </c>
      <c r="M572" s="2" t="str">
        <f ca="1">IFERROR(__xludf.DUMMYFUNCTION("""COMPUTED_VALUE"""),"Ajuste Arqueo 05/05/25")</f>
        <v>Ajuste Arqueo 05/05/25</v>
      </c>
      <c r="N572" s="2"/>
      <c r="O572" s="2" t="str">
        <f ca="1">IFERROR(__xludf.DUMMYFUNCTION("""COMPUTED_VALUE"""),"1er Trasiego")</f>
        <v>1er Trasiego</v>
      </c>
      <c r="P572" s="2"/>
      <c r="Q572" s="2" t="b">
        <f ca="1">IFERROR(__xludf.DUMMYFUNCTION("""COMPUTED_VALUE"""),TRUE)</f>
        <v>1</v>
      </c>
      <c r="R572" s="2"/>
      <c r="S572" s="2"/>
      <c r="T572" s="2"/>
      <c r="U572" s="2"/>
    </row>
    <row r="573" spans="1:21" x14ac:dyDescent="0.25">
      <c r="A573" s="2" t="str">
        <f ca="1">IFERROR(__xludf.DUMMYFUNCTION("""COMPUTED_VALUE"""),"db821edf")</f>
        <v>db821edf</v>
      </c>
      <c r="B573" s="5">
        <f ca="1">IFERROR(__xludf.DUMMYFUNCTION("""COMPUTED_VALUE"""),45783.8259722222)</f>
        <v>45783.825972222199</v>
      </c>
      <c r="C573" s="2" t="str">
        <f ca="1">IFERROR(__xludf.DUMMYFUNCTION("""COMPUTED_VALUE"""),"da2b6cac")</f>
        <v>da2b6cac</v>
      </c>
      <c r="D573" s="2">
        <f ca="1">IFERROR(__xludf.DUMMYFUNCTION("""COMPUTED_VALUE"""),77)</f>
        <v>77</v>
      </c>
      <c r="E573" s="2" t="str">
        <f ca="1">IFERROR(__xludf.DUMMYFUNCTION("""COMPUTED_VALUE"""),"Tinto s/Bonarda")</f>
        <v>Tinto s/Bonarda</v>
      </c>
      <c r="F573" s="2">
        <f ca="1">IFERROR(__xludf.DUMMYFUNCTION("""COMPUTED_VALUE"""),-1200)</f>
        <v>-1200</v>
      </c>
      <c r="G573" s="2">
        <f ca="1">IFERROR(__xludf.DUMMYFUNCTION("""COMPUTED_VALUE"""),500)</f>
        <v>500</v>
      </c>
      <c r="H573" s="2" t="str">
        <f ca="1">IFERROR(__xludf.DUMMYFUNCTION("""COMPUTED_VALUE"""),"cc1de158")</f>
        <v>cc1de158</v>
      </c>
      <c r="I573" s="2" t="str">
        <f ca="1">IFERROR(__xludf.DUMMYFUNCTION("""COMPUTED_VALUE"""),"Ajuste Arqueo 05/05/25")</f>
        <v>Ajuste Arqueo 05/05/25</v>
      </c>
      <c r="J573" s="2">
        <f ca="1">IFERROR(__xludf.DUMMYFUNCTION("""COMPUTED_VALUE"""),8801)</f>
        <v>8801</v>
      </c>
      <c r="K573" s="2">
        <f ca="1">IFERROR(__xludf.DUMMYFUNCTION("""COMPUTED_VALUE"""),7601)</f>
        <v>7601</v>
      </c>
      <c r="L573" s="2" t="str">
        <f ca="1">IFERROR(__xludf.DUMMYFUNCTION("""COMPUTED_VALUE"""),"d126860c")</f>
        <v>d126860c</v>
      </c>
      <c r="M573" s="2" t="str">
        <f ca="1">IFERROR(__xludf.DUMMYFUNCTION("""COMPUTED_VALUE"""),"Ajuste Arqueo 05/05/25")</f>
        <v>Ajuste Arqueo 05/05/25</v>
      </c>
      <c r="N573" s="2"/>
      <c r="O573" s="2" t="str">
        <f ca="1">IFERROR(__xludf.DUMMYFUNCTION("""COMPUTED_VALUE"""),"1er Trasiego")</f>
        <v>1er Trasiego</v>
      </c>
      <c r="P573" s="2"/>
      <c r="Q573" s="2" t="b">
        <f ca="1">IFERROR(__xludf.DUMMYFUNCTION("""COMPUTED_VALUE"""),TRUE)</f>
        <v>1</v>
      </c>
      <c r="R573" s="2"/>
      <c r="S573" s="2"/>
      <c r="T573" s="2"/>
      <c r="U573" s="2"/>
    </row>
    <row r="574" spans="1:21" x14ac:dyDescent="0.25">
      <c r="A574" s="2" t="str">
        <f ca="1">IFERROR(__xludf.DUMMYFUNCTION("""COMPUTED_VALUE"""),"fef08b4b")</f>
        <v>fef08b4b</v>
      </c>
      <c r="B574" s="5">
        <f ca="1">IFERROR(__xludf.DUMMYFUNCTION("""COMPUTED_VALUE"""),45783.8263888888)</f>
        <v>45783.826388888803</v>
      </c>
      <c r="C574" s="2" t="str">
        <f ca="1">IFERROR(__xludf.DUMMYFUNCTION("""COMPUTED_VALUE"""),"20f062e7")</f>
        <v>20f062e7</v>
      </c>
      <c r="D574" s="2">
        <f ca="1">IFERROR(__xludf.DUMMYFUNCTION("""COMPUTED_VALUE"""),82)</f>
        <v>82</v>
      </c>
      <c r="E574" s="2" t="str">
        <f ca="1">IFERROR(__xludf.DUMMYFUNCTION("""COMPUTED_VALUE"""),"Anccelotta")</f>
        <v>Anccelotta</v>
      </c>
      <c r="F574" s="2">
        <f ca="1">IFERROR(__xludf.DUMMYFUNCTION("""COMPUTED_VALUE"""),-1600)</f>
        <v>-1600</v>
      </c>
      <c r="G574" s="2">
        <f ca="1">IFERROR(__xludf.DUMMYFUNCTION("""COMPUTED_VALUE"""),500)</f>
        <v>500</v>
      </c>
      <c r="H574" s="2" t="str">
        <f ca="1">IFERROR(__xludf.DUMMYFUNCTION("""COMPUTED_VALUE"""),"d126860c")</f>
        <v>d126860c</v>
      </c>
      <c r="I574" s="2" t="str">
        <f ca="1">IFERROR(__xludf.DUMMYFUNCTION("""COMPUTED_VALUE"""),"Ajuste Arqueo 05/05/25")</f>
        <v>Ajuste Arqueo 05/05/25</v>
      </c>
      <c r="J574" s="2">
        <f ca="1">IFERROR(__xludf.DUMMYFUNCTION("""COMPUTED_VALUE"""),7601)</f>
        <v>7601</v>
      </c>
      <c r="K574" s="2">
        <f ca="1">IFERROR(__xludf.DUMMYFUNCTION("""COMPUTED_VALUE"""),6001)</f>
        <v>6001</v>
      </c>
      <c r="L574" s="2" t="str">
        <f ca="1">IFERROR(__xludf.DUMMYFUNCTION("""COMPUTED_VALUE"""),"7a97024d")</f>
        <v>7a97024d</v>
      </c>
      <c r="M574" s="2" t="str">
        <f ca="1">IFERROR(__xludf.DUMMYFUNCTION("""COMPUTED_VALUE"""),"Ajuste Arqueo 05/05/25")</f>
        <v>Ajuste Arqueo 05/05/25</v>
      </c>
      <c r="N574" s="2"/>
      <c r="O574" s="2" t="str">
        <f ca="1">IFERROR(__xludf.DUMMYFUNCTION("""COMPUTED_VALUE"""),"Descubada")</f>
        <v>Descubada</v>
      </c>
      <c r="P574" s="2"/>
      <c r="Q574" s="2" t="b">
        <f ca="1">IFERROR(__xludf.DUMMYFUNCTION("""COMPUTED_VALUE"""),TRUE)</f>
        <v>1</v>
      </c>
      <c r="R574" s="2"/>
      <c r="S574" s="2"/>
      <c r="T574" s="2"/>
      <c r="U574" s="2"/>
    </row>
    <row r="575" spans="1:21" x14ac:dyDescent="0.25">
      <c r="A575" s="2" t="str">
        <f ca="1">IFERROR(__xludf.DUMMYFUNCTION("""COMPUTED_VALUE"""),"d543aed1")</f>
        <v>d543aed1</v>
      </c>
      <c r="B575" s="5">
        <f ca="1">IFERROR(__xludf.DUMMYFUNCTION("""COMPUTED_VALUE"""),45783.8269212963)</f>
        <v>45783.826921296299</v>
      </c>
      <c r="C575" s="2" t="str">
        <f ca="1">IFERROR(__xludf.DUMMYFUNCTION("""COMPUTED_VALUE"""),"bcf45804")</f>
        <v>bcf45804</v>
      </c>
      <c r="D575" s="2">
        <f ca="1">IFERROR(__xludf.DUMMYFUNCTION("""COMPUTED_VALUE"""),87)</f>
        <v>87</v>
      </c>
      <c r="E575" s="2" t="str">
        <f ca="1">IFERROR(__xludf.DUMMYFUNCTION("""COMPUTED_VALUE"""),"Malbec")</f>
        <v>Malbec</v>
      </c>
      <c r="F575" s="2">
        <f ca="1">IFERROR(__xludf.DUMMYFUNCTION("""COMPUTED_VALUE"""),-2000)</f>
        <v>-2000</v>
      </c>
      <c r="G575" s="2">
        <f ca="1">IFERROR(__xludf.DUMMYFUNCTION("""COMPUTED_VALUE"""),500)</f>
        <v>500</v>
      </c>
      <c r="H575" s="2" t="str">
        <f ca="1">IFERROR(__xludf.DUMMYFUNCTION("""COMPUTED_VALUE"""),"7a97024d")</f>
        <v>7a97024d</v>
      </c>
      <c r="I575" s="2" t="str">
        <f ca="1">IFERROR(__xludf.DUMMYFUNCTION("""COMPUTED_VALUE"""),"Ajuste Arqueo 05/05/25")</f>
        <v>Ajuste Arqueo 05/05/25</v>
      </c>
      <c r="J575" s="2">
        <f ca="1">IFERROR(__xludf.DUMMYFUNCTION("""COMPUTED_VALUE"""),6001)</f>
        <v>6001</v>
      </c>
      <c r="K575" s="2">
        <f ca="1">IFERROR(__xludf.DUMMYFUNCTION("""COMPUTED_VALUE"""),4001)</f>
        <v>4001</v>
      </c>
      <c r="L575" s="2" t="str">
        <f ca="1">IFERROR(__xludf.DUMMYFUNCTION("""COMPUTED_VALUE"""),"eef5b1b3")</f>
        <v>eef5b1b3</v>
      </c>
      <c r="M575" s="2" t="str">
        <f ca="1">IFERROR(__xludf.DUMMYFUNCTION("""COMPUTED_VALUE"""),"Ajuste Arqueo 05/05/25")</f>
        <v>Ajuste Arqueo 05/05/25</v>
      </c>
      <c r="N575" s="2"/>
      <c r="O575" s="2" t="str">
        <f ca="1">IFERROR(__xludf.DUMMYFUNCTION("""COMPUTED_VALUE"""),"Descubada")</f>
        <v>Descubada</v>
      </c>
      <c r="P575" s="2"/>
      <c r="Q575" s="2" t="b">
        <f ca="1">IFERROR(__xludf.DUMMYFUNCTION("""COMPUTED_VALUE"""),TRUE)</f>
        <v>1</v>
      </c>
      <c r="R575" s="2"/>
      <c r="S575" s="2"/>
      <c r="T575" s="2"/>
      <c r="U575" s="2"/>
    </row>
    <row r="576" spans="1:21" x14ac:dyDescent="0.25">
      <c r="A576" s="2" t="str">
        <f ca="1">IFERROR(__xludf.DUMMYFUNCTION("""COMPUTED_VALUE"""),"34cafb63")</f>
        <v>34cafb63</v>
      </c>
      <c r="B576" s="5">
        <f ca="1">IFERROR(__xludf.DUMMYFUNCTION("""COMPUTED_VALUE"""),45783.8275462963)</f>
        <v>45783.827546296299</v>
      </c>
      <c r="C576" s="2" t="str">
        <f ca="1">IFERROR(__xludf.DUMMYFUNCTION("""COMPUTED_VALUE"""),"028fb505")</f>
        <v>028fb505</v>
      </c>
      <c r="D576" s="2">
        <f ca="1">IFERROR(__xludf.DUMMYFUNCTION("""COMPUTED_VALUE"""),91)</f>
        <v>91</v>
      </c>
      <c r="E576" s="2" t="str">
        <f ca="1">IFERROR(__xludf.DUMMYFUNCTION("""COMPUTED_VALUE"""),"Malbec")</f>
        <v>Malbec</v>
      </c>
      <c r="F576" s="2">
        <f ca="1">IFERROR(__xludf.DUMMYFUNCTION("""COMPUTED_VALUE"""),-2000)</f>
        <v>-2000</v>
      </c>
      <c r="G576" s="2">
        <f ca="1">IFERROR(__xludf.DUMMYFUNCTION("""COMPUTED_VALUE"""),500)</f>
        <v>500</v>
      </c>
      <c r="H576" s="2" t="str">
        <f ca="1">IFERROR(__xludf.DUMMYFUNCTION("""COMPUTED_VALUE"""),"eef5b1b3")</f>
        <v>eef5b1b3</v>
      </c>
      <c r="I576" s="2" t="str">
        <f ca="1">IFERROR(__xludf.DUMMYFUNCTION("""COMPUTED_VALUE"""),"Ajuste Arqueo 05/05/25")</f>
        <v>Ajuste Arqueo 05/05/25</v>
      </c>
      <c r="J576" s="2">
        <f ca="1">IFERROR(__xludf.DUMMYFUNCTION("""COMPUTED_VALUE"""),4001)</f>
        <v>4001</v>
      </c>
      <c r="K576" s="2">
        <f ca="1">IFERROR(__xludf.DUMMYFUNCTION("""COMPUTED_VALUE"""),2001)</f>
        <v>2001</v>
      </c>
      <c r="L576" s="2" t="str">
        <f ca="1">IFERROR(__xludf.DUMMYFUNCTION("""COMPUTED_VALUE"""),"b1e6b748")</f>
        <v>b1e6b748</v>
      </c>
      <c r="M576" s="2" t="str">
        <f ca="1">IFERROR(__xludf.DUMMYFUNCTION("""COMPUTED_VALUE"""),"Ajuste Arqueo 05/05/25")</f>
        <v>Ajuste Arqueo 05/05/25</v>
      </c>
      <c r="N576" s="2"/>
      <c r="O576" s="2" t="str">
        <f ca="1">IFERROR(__xludf.DUMMYFUNCTION("""COMPUTED_VALUE"""),"Descubada")</f>
        <v>Descubada</v>
      </c>
      <c r="P576" s="2"/>
      <c r="Q576" s="2" t="b">
        <f ca="1">IFERROR(__xludf.DUMMYFUNCTION("""COMPUTED_VALUE"""),TRUE)</f>
        <v>1</v>
      </c>
      <c r="R576" s="2"/>
      <c r="S576" s="2"/>
      <c r="T576" s="2"/>
      <c r="U576" s="2"/>
    </row>
    <row r="577" spans="1:21" x14ac:dyDescent="0.25">
      <c r="A577" s="2" t="str">
        <f ca="1">IFERROR(__xludf.DUMMYFUNCTION("""COMPUTED_VALUE"""),"1c6ab84d")</f>
        <v>1c6ab84d</v>
      </c>
      <c r="B577" s="5">
        <f ca="1">IFERROR(__xludf.DUMMYFUNCTION("""COMPUTED_VALUE"""),45783.828136574)</f>
        <v>45783.828136573997</v>
      </c>
      <c r="C577" s="2" t="str">
        <f ca="1">IFERROR(__xludf.DUMMYFUNCTION("""COMPUTED_VALUE"""),"e8b9aa9f")</f>
        <v>e8b9aa9f</v>
      </c>
      <c r="D577" s="2">
        <f ca="1">IFERROR(__xludf.DUMMYFUNCTION("""COMPUTED_VALUE"""),95)</f>
        <v>95</v>
      </c>
      <c r="E577" s="2" t="str">
        <f ca="1">IFERROR(__xludf.DUMMYFUNCTION("""COMPUTED_VALUE"""),"Tinto s/Bonarda 2da")</f>
        <v>Tinto s/Bonarda 2da</v>
      </c>
      <c r="F577" s="2">
        <f ca="1">IFERROR(__xludf.DUMMYFUNCTION("""COMPUTED_VALUE"""),2100)</f>
        <v>2100</v>
      </c>
      <c r="G577" s="2">
        <f ca="1">IFERROR(__xludf.DUMMYFUNCTION("""COMPUTED_VALUE"""),500)</f>
        <v>500</v>
      </c>
      <c r="H577" s="2" t="str">
        <f ca="1">IFERROR(__xludf.DUMMYFUNCTION("""COMPUTED_VALUE"""),"b1e6b748")</f>
        <v>b1e6b748</v>
      </c>
      <c r="I577" s="2" t="str">
        <f ca="1">IFERROR(__xludf.DUMMYFUNCTION("""COMPUTED_VALUE"""),"Ajuste Arqueo 05/05/25")</f>
        <v>Ajuste Arqueo 05/05/25</v>
      </c>
      <c r="J577" s="2">
        <f ca="1">IFERROR(__xludf.DUMMYFUNCTION("""COMPUTED_VALUE"""),2001)</f>
        <v>2001</v>
      </c>
      <c r="K577" s="2">
        <f ca="1">IFERROR(__xludf.DUMMYFUNCTION("""COMPUTED_VALUE"""),4101)</f>
        <v>4101</v>
      </c>
      <c r="L577" s="2" t="str">
        <f ca="1">IFERROR(__xludf.DUMMYFUNCTION("""COMPUTED_VALUE"""),"690e2b0e")</f>
        <v>690e2b0e</v>
      </c>
      <c r="M577" s="2" t="str">
        <f ca="1">IFERROR(__xludf.DUMMYFUNCTION("""COMPUTED_VALUE"""),"Ajuste Arqueo 05/05/25")</f>
        <v>Ajuste Arqueo 05/05/25</v>
      </c>
      <c r="N577" s="2"/>
      <c r="O577" s="2" t="str">
        <f ca="1">IFERROR(__xludf.DUMMYFUNCTION("""COMPUTED_VALUE"""),"Descubada")</f>
        <v>Descubada</v>
      </c>
      <c r="P577" s="2"/>
      <c r="Q577" s="2" t="b">
        <f ca="1">IFERROR(__xludf.DUMMYFUNCTION("""COMPUTED_VALUE"""),TRUE)</f>
        <v>1</v>
      </c>
      <c r="R577" s="2"/>
      <c r="S577" s="2"/>
      <c r="T577" s="2"/>
      <c r="U577" s="2"/>
    </row>
    <row r="578" spans="1:21" x14ac:dyDescent="0.25">
      <c r="A578" s="2" t="str">
        <f ca="1">IFERROR(__xludf.DUMMYFUNCTION("""COMPUTED_VALUE"""),"edbea844")</f>
        <v>edbea844</v>
      </c>
      <c r="B578" s="5">
        <f ca="1">IFERROR(__xludf.DUMMYFUNCTION("""COMPUTED_VALUE"""),45783.8287268518)</f>
        <v>45783.828726851803</v>
      </c>
      <c r="C578" s="2" t="str">
        <f ca="1">IFERROR(__xludf.DUMMYFUNCTION("""COMPUTED_VALUE"""),"8ec426a5")</f>
        <v>8ec426a5</v>
      </c>
      <c r="D578" s="2">
        <f ca="1">IFERROR(__xludf.DUMMYFUNCTION("""COMPUTED_VALUE"""),118)</f>
        <v>118</v>
      </c>
      <c r="E578" s="2" t="str">
        <f ca="1">IFERROR(__xludf.DUMMYFUNCTION("""COMPUTED_VALUE"""),"Bonarda")</f>
        <v>Bonarda</v>
      </c>
      <c r="F578" s="2">
        <f ca="1">IFERROR(__xludf.DUMMYFUNCTION("""COMPUTED_VALUE"""),13000)</f>
        <v>13000</v>
      </c>
      <c r="G578" s="2">
        <f ca="1">IFERROR(__xludf.DUMMYFUNCTION("""COMPUTED_VALUE"""),500)</f>
        <v>500</v>
      </c>
      <c r="H578" s="2" t="str">
        <f ca="1">IFERROR(__xludf.DUMMYFUNCTION("""COMPUTED_VALUE"""),"690e2b0e")</f>
        <v>690e2b0e</v>
      </c>
      <c r="I578" s="2" t="str">
        <f ca="1">IFERROR(__xludf.DUMMYFUNCTION("""COMPUTED_VALUE"""),"Ajuste Arqueo 05/05/25")</f>
        <v>Ajuste Arqueo 05/05/25</v>
      </c>
      <c r="J578" s="2">
        <f ca="1">IFERROR(__xludf.DUMMYFUNCTION("""COMPUTED_VALUE"""),4101)</f>
        <v>4101</v>
      </c>
      <c r="K578" s="2">
        <f ca="1">IFERROR(__xludf.DUMMYFUNCTION("""COMPUTED_VALUE"""),17101)</f>
        <v>17101</v>
      </c>
      <c r="L578" s="2" t="str">
        <f ca="1">IFERROR(__xludf.DUMMYFUNCTION("""COMPUTED_VALUE"""),"a0d9c177")</f>
        <v>a0d9c177</v>
      </c>
      <c r="M578" s="2" t="str">
        <f ca="1">IFERROR(__xludf.DUMMYFUNCTION("""COMPUTED_VALUE"""),"Ajuste Arqueo 05/05/25")</f>
        <v>Ajuste Arqueo 05/05/25</v>
      </c>
      <c r="N578" s="2"/>
      <c r="O578" s="2" t="str">
        <f ca="1">IFERROR(__xludf.DUMMYFUNCTION("""COMPUTED_VALUE"""),"Descubada")</f>
        <v>Descubada</v>
      </c>
      <c r="P578" s="2"/>
      <c r="Q578" s="2" t="b">
        <f ca="1">IFERROR(__xludf.DUMMYFUNCTION("""COMPUTED_VALUE"""),TRUE)</f>
        <v>1</v>
      </c>
      <c r="R578" s="2"/>
      <c r="S578" s="2"/>
      <c r="T578" s="2"/>
      <c r="U578" s="2"/>
    </row>
    <row r="579" spans="1:21" x14ac:dyDescent="0.25">
      <c r="A579" s="2" t="str">
        <f ca="1">IFERROR(__xludf.DUMMYFUNCTION("""COMPUTED_VALUE"""),"3b56eaa1")</f>
        <v>3b56eaa1</v>
      </c>
      <c r="B579" s="5">
        <f ca="1">IFERROR(__xludf.DUMMYFUNCTION("""COMPUTED_VALUE"""),45783.8291550925)</f>
        <v>45783.829155092499</v>
      </c>
      <c r="C579" s="2" t="str">
        <f ca="1">IFERROR(__xludf.DUMMYFUNCTION("""COMPUTED_VALUE"""),"56888a83")</f>
        <v>56888a83</v>
      </c>
      <c r="D579" s="2">
        <f ca="1">IFERROR(__xludf.DUMMYFUNCTION("""COMPUTED_VALUE"""),126)</f>
        <v>126</v>
      </c>
      <c r="E579" s="2" t="str">
        <f ca="1">IFERROR(__xludf.DUMMYFUNCTION("""COMPUTED_VALUE"""),"Tinto G")</f>
        <v>Tinto G</v>
      </c>
      <c r="F579" s="2">
        <f ca="1">IFERROR(__xludf.DUMMYFUNCTION("""COMPUTED_VALUE"""),1000)</f>
        <v>1000</v>
      </c>
      <c r="G579" s="2">
        <f ca="1">IFERROR(__xludf.DUMMYFUNCTION("""COMPUTED_VALUE"""),500)</f>
        <v>500</v>
      </c>
      <c r="H579" s="2" t="str">
        <f ca="1">IFERROR(__xludf.DUMMYFUNCTION("""COMPUTED_VALUE"""),"a0d9c177")</f>
        <v>a0d9c177</v>
      </c>
      <c r="I579" s="2" t="str">
        <f ca="1">IFERROR(__xludf.DUMMYFUNCTION("""COMPUTED_VALUE"""),"Ajuste Arqueo 05/05/25")</f>
        <v>Ajuste Arqueo 05/05/25</v>
      </c>
      <c r="J579" s="2">
        <f ca="1">IFERROR(__xludf.DUMMYFUNCTION("""COMPUTED_VALUE"""),17101)</f>
        <v>17101</v>
      </c>
      <c r="K579" s="2">
        <f ca="1">IFERROR(__xludf.DUMMYFUNCTION("""COMPUTED_VALUE"""),18101)</f>
        <v>18101</v>
      </c>
      <c r="L579" s="2" t="str">
        <f ca="1">IFERROR(__xludf.DUMMYFUNCTION("""COMPUTED_VALUE"""),"8f384525")</f>
        <v>8f384525</v>
      </c>
      <c r="M579" s="2" t="str">
        <f ca="1">IFERROR(__xludf.DUMMYFUNCTION("""COMPUTED_VALUE"""),"Ajuste Arqueo 05/05/25")</f>
        <v>Ajuste Arqueo 05/05/25</v>
      </c>
      <c r="N579" s="2"/>
      <c r="O579" s="2" t="str">
        <f ca="1">IFERROR(__xludf.DUMMYFUNCTION("""COMPUTED_VALUE"""),"1er Trasiego")</f>
        <v>1er Trasiego</v>
      </c>
      <c r="P579" s="2"/>
      <c r="Q579" s="2" t="b">
        <f ca="1">IFERROR(__xludf.DUMMYFUNCTION("""COMPUTED_VALUE"""),TRUE)</f>
        <v>1</v>
      </c>
      <c r="R579" s="2"/>
      <c r="S579" s="2"/>
      <c r="T579" s="2"/>
      <c r="U579" s="2"/>
    </row>
    <row r="580" spans="1:21" x14ac:dyDescent="0.25">
      <c r="A580" s="2" t="str">
        <f ca="1">IFERROR(__xludf.DUMMYFUNCTION("""COMPUTED_VALUE"""),"d76709cf")</f>
        <v>d76709cf</v>
      </c>
      <c r="B580" s="5">
        <f ca="1">IFERROR(__xludf.DUMMYFUNCTION("""COMPUTED_VALUE"""),45784.728460648)</f>
        <v>45784.728460648097</v>
      </c>
      <c r="C580" s="2" t="str">
        <f ca="1">IFERROR(__xludf.DUMMYFUNCTION("""COMPUTED_VALUE"""),"e53d4606")</f>
        <v>e53d4606</v>
      </c>
      <c r="D580" s="2">
        <f ca="1">IFERROR(__xludf.DUMMYFUNCTION("""COMPUTED_VALUE"""),114)</f>
        <v>114</v>
      </c>
      <c r="E580" s="2" t="str">
        <f ca="1">IFERROR(__xludf.DUMMYFUNCTION("""COMPUTED_VALUE"""),"Syrah")</f>
        <v>Syrah</v>
      </c>
      <c r="F580" s="2">
        <f ca="1">IFERROR(__xludf.DUMMYFUNCTION("""COMPUTED_VALUE"""),83000)</f>
        <v>83000</v>
      </c>
      <c r="G580" s="2">
        <f ca="1">IFERROR(__xludf.DUMMYFUNCTION("""COMPUTED_VALUE"""),28)</f>
        <v>28</v>
      </c>
      <c r="H580" s="2"/>
      <c r="I580" s="2"/>
      <c r="J580" s="2">
        <f ca="1">IFERROR(__xludf.DUMMYFUNCTION("""COMPUTED_VALUE"""),0)</f>
        <v>0</v>
      </c>
      <c r="K580" s="2">
        <f ca="1">IFERROR(__xludf.DUMMYFUNCTION("""COMPUTED_VALUE"""),83000)</f>
        <v>83000</v>
      </c>
      <c r="L580" s="2" t="str">
        <f ca="1">IFERROR(__xludf.DUMMYFUNCTION("""COMPUTED_VALUE"""),"7597a62d")</f>
        <v>7597a62d</v>
      </c>
      <c r="M580" s="2" t="str">
        <f ca="1">IFERROR(__xludf.DUMMYFUNCTION("""COMPUTED_VALUE"""),"Malbec Millan 200")</f>
        <v>Malbec Millan 200</v>
      </c>
      <c r="N580" s="2"/>
      <c r="O580" s="2" t="str">
        <f ca="1">IFERROR(__xludf.DUMMYFUNCTION("""COMPUTED_VALUE"""),"Terminado")</f>
        <v>Terminado</v>
      </c>
      <c r="P580" s="2"/>
      <c r="Q580" s="2" t="b">
        <f ca="1">IFERROR(__xludf.DUMMYFUNCTION("""COMPUTED_VALUE"""),FALSE)</f>
        <v>0</v>
      </c>
      <c r="R580" s="2" t="str">
        <f ca="1">IFERROR(__xludf.DUMMYFUNCTION("""COMPUTED_VALUE"""),"1er Trasiego")</f>
        <v>1er Trasiego</v>
      </c>
      <c r="S580" s="2"/>
      <c r="T580" s="2"/>
      <c r="U580" s="2"/>
    </row>
    <row r="581" spans="1:21" x14ac:dyDescent="0.25">
      <c r="A581" s="2" t="str">
        <f ca="1">IFERROR(__xludf.DUMMYFUNCTION("""COMPUTED_VALUE"""),"2548eecd")</f>
        <v>2548eecd</v>
      </c>
      <c r="B581" s="5">
        <f ca="1">IFERROR(__xludf.DUMMYFUNCTION("""COMPUTED_VALUE"""),45784.7293402777)</f>
        <v>45784.7293402777</v>
      </c>
      <c r="C581" s="2" t="str">
        <f ca="1">IFERROR(__xludf.DUMMYFUNCTION("""COMPUTED_VALUE"""),"8ec426a5")</f>
        <v>8ec426a5</v>
      </c>
      <c r="D581" s="2">
        <f ca="1">IFERROR(__xludf.DUMMYFUNCTION("""COMPUTED_VALUE"""),118)</f>
        <v>118</v>
      </c>
      <c r="E581" s="2" t="str">
        <f ca="1">IFERROR(__xludf.DUMMYFUNCTION("""COMPUTED_VALUE"""),"Bonarda")</f>
        <v>Bonarda</v>
      </c>
      <c r="F581" s="2">
        <f ca="1">IFERROR(__xludf.DUMMYFUNCTION("""COMPUTED_VALUE"""),55000)</f>
        <v>55000</v>
      </c>
      <c r="G581" s="2">
        <f ca="1">IFERROR(__xludf.DUMMYFUNCTION("""COMPUTED_VALUE"""),28)</f>
        <v>28</v>
      </c>
      <c r="H581" s="2" t="str">
        <f ca="1">IFERROR(__xludf.DUMMYFUNCTION("""COMPUTED_VALUE"""),"7597a62d")</f>
        <v>7597a62d</v>
      </c>
      <c r="I581" s="2" t="str">
        <f ca="1">IFERROR(__xludf.DUMMYFUNCTION("""COMPUTED_VALUE"""),"Malbec Millan 200")</f>
        <v>Malbec Millan 200</v>
      </c>
      <c r="J581" s="2">
        <f ca="1">IFERROR(__xludf.DUMMYFUNCTION("""COMPUTED_VALUE"""),83000)</f>
        <v>83000</v>
      </c>
      <c r="K581" s="2">
        <f ca="1">IFERROR(__xludf.DUMMYFUNCTION("""COMPUTED_VALUE"""),138000)</f>
        <v>138000</v>
      </c>
      <c r="L581" s="2" t="str">
        <f ca="1">IFERROR(__xludf.DUMMYFUNCTION("""COMPUTED_VALUE"""),"b0d54181")</f>
        <v>b0d54181</v>
      </c>
      <c r="M581" s="2" t="str">
        <f ca="1">IFERROR(__xludf.DUMMYFUNCTION("""COMPUTED_VALUE"""),"Malbec Millan 200")</f>
        <v>Malbec Millan 200</v>
      </c>
      <c r="N581" s="2"/>
      <c r="O581" s="2" t="str">
        <f ca="1">IFERROR(__xludf.DUMMYFUNCTION("""COMPUTED_VALUE"""),"Descubada")</f>
        <v>Descubada</v>
      </c>
      <c r="P581" s="2" t="str">
        <f ca="1">IFERROR(__xludf.DUMMYFUNCTION("""COMPUTED_VALUE"""),"1er Trasiego")</f>
        <v>1er Trasiego</v>
      </c>
      <c r="Q581" s="2" t="b">
        <f ca="1">IFERROR(__xludf.DUMMYFUNCTION("""COMPUTED_VALUE"""),TRUE)</f>
        <v>1</v>
      </c>
      <c r="R581" s="2" t="str">
        <f ca="1">IFERROR(__xludf.DUMMYFUNCTION("""COMPUTED_VALUE"""),"1er Trasiego")</f>
        <v>1er Trasiego</v>
      </c>
      <c r="S581" s="2"/>
      <c r="T581" s="2"/>
      <c r="U581" s="2"/>
    </row>
    <row r="582" spans="1:21" x14ac:dyDescent="0.25">
      <c r="A582" s="2" t="str">
        <f ca="1">IFERROR(__xludf.DUMMYFUNCTION("""COMPUTED_VALUE"""),"a4bb43be")</f>
        <v>a4bb43be</v>
      </c>
      <c r="B582" s="5">
        <f ca="1">IFERROR(__xludf.DUMMYFUNCTION("""COMPUTED_VALUE"""),45784.7298032407)</f>
        <v>45784.729803240698</v>
      </c>
      <c r="C582" s="2" t="str">
        <f ca="1">IFERROR(__xludf.DUMMYFUNCTION("""COMPUTED_VALUE"""),"92bbed34")</f>
        <v>92bbed34</v>
      </c>
      <c r="D582" s="2">
        <f ca="1">IFERROR(__xludf.DUMMYFUNCTION("""COMPUTED_VALUE"""),46)</f>
        <v>46</v>
      </c>
      <c r="E582" s="2" t="str">
        <f ca="1">IFERROR(__xludf.DUMMYFUNCTION("""COMPUTED_VALUE"""),"Malbec Gota")</f>
        <v>Malbec Gota</v>
      </c>
      <c r="F582" s="2">
        <f ca="1">IFERROR(__xludf.DUMMYFUNCTION("""COMPUTED_VALUE"""),26000)</f>
        <v>26000</v>
      </c>
      <c r="G582" s="2">
        <f ca="1">IFERROR(__xludf.DUMMYFUNCTION("""COMPUTED_VALUE"""),28)</f>
        <v>28</v>
      </c>
      <c r="H582" s="2" t="str">
        <f ca="1">IFERROR(__xludf.DUMMYFUNCTION("""COMPUTED_VALUE"""),"b0d54181")</f>
        <v>b0d54181</v>
      </c>
      <c r="I582" s="2" t="str">
        <f ca="1">IFERROR(__xludf.DUMMYFUNCTION("""COMPUTED_VALUE"""),"Malbec Millan 200")</f>
        <v>Malbec Millan 200</v>
      </c>
      <c r="J582" s="2">
        <f ca="1">IFERROR(__xludf.DUMMYFUNCTION("""COMPUTED_VALUE"""),138000)</f>
        <v>138000</v>
      </c>
      <c r="K582" s="2">
        <f ca="1">IFERROR(__xludf.DUMMYFUNCTION("""COMPUTED_VALUE"""),164000)</f>
        <v>164000</v>
      </c>
      <c r="L582" s="2" t="str">
        <f ca="1">IFERROR(__xludf.DUMMYFUNCTION("""COMPUTED_VALUE"""),"cee6847e")</f>
        <v>cee6847e</v>
      </c>
      <c r="M582" s="2" t="str">
        <f ca="1">IFERROR(__xludf.DUMMYFUNCTION("""COMPUTED_VALUE"""),"Malbec Millan 200")</f>
        <v>Malbec Millan 200</v>
      </c>
      <c r="N582" s="2"/>
      <c r="O582" s="2" t="str">
        <f ca="1">IFERROR(__xludf.DUMMYFUNCTION("""COMPUTED_VALUE"""),"1er Trasiego")</f>
        <v>1er Trasiego</v>
      </c>
      <c r="P582" s="2" t="str">
        <f ca="1">IFERROR(__xludf.DUMMYFUNCTION("""COMPUTED_VALUE"""),"1er Trasiego")</f>
        <v>1er Trasiego</v>
      </c>
      <c r="Q582" s="2" t="b">
        <f ca="1">IFERROR(__xludf.DUMMYFUNCTION("""COMPUTED_VALUE"""),TRUE)</f>
        <v>1</v>
      </c>
      <c r="R582" s="2" t="str">
        <f ca="1">IFERROR(__xludf.DUMMYFUNCTION("""COMPUTED_VALUE"""),"1er Trasiego")</f>
        <v>1er Trasiego</v>
      </c>
      <c r="S582" s="2"/>
      <c r="T582" s="2"/>
      <c r="U582" s="2"/>
    </row>
    <row r="583" spans="1:21" x14ac:dyDescent="0.25">
      <c r="A583" s="2" t="str">
        <f ca="1">IFERROR(__xludf.DUMMYFUNCTION("""COMPUTED_VALUE"""),"08fab7a1")</f>
        <v>08fab7a1</v>
      </c>
      <c r="B583" s="5">
        <f ca="1">IFERROR(__xludf.DUMMYFUNCTION("""COMPUTED_VALUE"""),45784.7300462962)</f>
        <v>45784.730046296201</v>
      </c>
      <c r="C583" s="2" t="str">
        <f ca="1">IFERROR(__xludf.DUMMYFUNCTION("""COMPUTED_VALUE"""),"7efc7da2")</f>
        <v>7efc7da2</v>
      </c>
      <c r="D583" s="2">
        <f ca="1">IFERROR(__xludf.DUMMYFUNCTION("""COMPUTED_VALUE"""),24)</f>
        <v>24</v>
      </c>
      <c r="E583" s="2" t="str">
        <f ca="1">IFERROR(__xludf.DUMMYFUNCTION("""COMPUTED_VALUE"""),"Bonarda C2")</f>
        <v>Bonarda C2</v>
      </c>
      <c r="F583" s="2">
        <f ca="1">IFERROR(__xludf.DUMMYFUNCTION("""COMPUTED_VALUE"""),36600)</f>
        <v>36600</v>
      </c>
      <c r="G583" s="2">
        <f ca="1">IFERROR(__xludf.DUMMYFUNCTION("""COMPUTED_VALUE"""),28)</f>
        <v>28</v>
      </c>
      <c r="H583" s="2" t="str">
        <f ca="1">IFERROR(__xludf.DUMMYFUNCTION("""COMPUTED_VALUE"""),"cee6847e")</f>
        <v>cee6847e</v>
      </c>
      <c r="I583" s="2" t="str">
        <f ca="1">IFERROR(__xludf.DUMMYFUNCTION("""COMPUTED_VALUE"""),"Malbec Millan 200")</f>
        <v>Malbec Millan 200</v>
      </c>
      <c r="J583" s="2">
        <f ca="1">IFERROR(__xludf.DUMMYFUNCTION("""COMPUTED_VALUE"""),164000)</f>
        <v>164000</v>
      </c>
      <c r="K583" s="2">
        <f ca="1">IFERROR(__xludf.DUMMYFUNCTION("""COMPUTED_VALUE"""),200600)</f>
        <v>200600</v>
      </c>
      <c r="L583" s="2" t="str">
        <f ca="1">IFERROR(__xludf.DUMMYFUNCTION("""COMPUTED_VALUE"""),"160a169f")</f>
        <v>160a169f</v>
      </c>
      <c r="M583" s="2" t="str">
        <f ca="1">IFERROR(__xludf.DUMMYFUNCTION("""COMPUTED_VALUE"""),"Malbec Millan 200")</f>
        <v>Malbec Millan 200</v>
      </c>
      <c r="N583" s="2"/>
      <c r="O583" s="2" t="str">
        <f ca="1">IFERROR(__xludf.DUMMYFUNCTION("""COMPUTED_VALUE"""),"1er Trasiego")</f>
        <v>1er Trasiego</v>
      </c>
      <c r="P583" s="2" t="str">
        <f ca="1">IFERROR(__xludf.DUMMYFUNCTION("""COMPUTED_VALUE"""),"1er Trasiego")</f>
        <v>1er Trasiego</v>
      </c>
      <c r="Q583" s="2" t="b">
        <f ca="1">IFERROR(__xludf.DUMMYFUNCTION("""COMPUTED_VALUE"""),TRUE)</f>
        <v>1</v>
      </c>
      <c r="R583" s="2" t="str">
        <f ca="1">IFERROR(__xludf.DUMMYFUNCTION("""COMPUTED_VALUE"""),"1er Trasiego")</f>
        <v>1er Trasiego</v>
      </c>
      <c r="S583" s="2"/>
      <c r="T583" s="2"/>
      <c r="U583" s="2"/>
    </row>
    <row r="584" spans="1:21" x14ac:dyDescent="0.25">
      <c r="A584" s="2" t="str">
        <f ca="1">IFERROR(__xludf.DUMMYFUNCTION("""COMPUTED_VALUE"""),"e0c8334a")</f>
        <v>e0c8334a</v>
      </c>
      <c r="B584" s="5">
        <f ca="1">IFERROR(__xludf.DUMMYFUNCTION("""COMPUTED_VALUE"""),45784.759386574)</f>
        <v>45784.759386573998</v>
      </c>
      <c r="C584" s="2" t="str">
        <f ca="1">IFERROR(__xludf.DUMMYFUNCTION("""COMPUTED_VALUE"""),"e53d4606")</f>
        <v>e53d4606</v>
      </c>
      <c r="D584" s="2">
        <f ca="1">IFERROR(__xludf.DUMMYFUNCTION("""COMPUTED_VALUE"""),114)</f>
        <v>114</v>
      </c>
      <c r="E584" s="2" t="str">
        <f ca="1">IFERROR(__xludf.DUMMYFUNCTION("""COMPUTED_VALUE"""),"Syrah")</f>
        <v>Syrah</v>
      </c>
      <c r="F584" s="2">
        <f ca="1">IFERROR(__xludf.DUMMYFUNCTION("""COMPUTED_VALUE"""),15400)</f>
        <v>15400</v>
      </c>
      <c r="G584" s="2">
        <f ca="1">IFERROR(__xludf.DUMMYFUNCTION("""COMPUTED_VALUE"""),86)</f>
        <v>86</v>
      </c>
      <c r="H584" s="2"/>
      <c r="I584" s="2"/>
      <c r="J584" s="2">
        <f ca="1">IFERROR(__xludf.DUMMYFUNCTION("""COMPUTED_VALUE"""),0)</f>
        <v>0</v>
      </c>
      <c r="K584" s="2">
        <f ca="1">IFERROR(__xludf.DUMMYFUNCTION("""COMPUTED_VALUE"""),15400)</f>
        <v>15400</v>
      </c>
      <c r="L584" s="2" t="str">
        <f ca="1">IFERROR(__xludf.DUMMYFUNCTION("""COMPUTED_VALUE"""),"060cc284")</f>
        <v>060cc284</v>
      </c>
      <c r="M584" s="2" t="str">
        <f ca="1">IFERROR(__xludf.DUMMYFUNCTION("""COMPUTED_VALUE"""),"Cabernet Sauv Millan 233")</f>
        <v>Cabernet Sauv Millan 233</v>
      </c>
      <c r="N584" s="2"/>
      <c r="O584" s="2" t="str">
        <f ca="1">IFERROR(__xludf.DUMMYFUNCTION("""COMPUTED_VALUE"""),"1er Trasiego")</f>
        <v>1er Trasiego</v>
      </c>
      <c r="P584" s="2"/>
      <c r="Q584" s="2" t="b">
        <f ca="1">IFERROR(__xludf.DUMMYFUNCTION("""COMPUTED_VALUE"""),FALSE)</f>
        <v>0</v>
      </c>
      <c r="R584" s="2" t="str">
        <f ca="1">IFERROR(__xludf.DUMMYFUNCTION("""COMPUTED_VALUE"""),"Terminado")</f>
        <v>Terminado</v>
      </c>
      <c r="S584" s="2"/>
      <c r="T584" s="2"/>
      <c r="U584" s="2"/>
    </row>
    <row r="585" spans="1:21" x14ac:dyDescent="0.25">
      <c r="A585" s="2" t="str">
        <f ca="1">IFERROR(__xludf.DUMMYFUNCTION("""COMPUTED_VALUE"""),"8b594168")</f>
        <v>8b594168</v>
      </c>
      <c r="B585" s="5">
        <f ca="1">IFERROR(__xludf.DUMMYFUNCTION("""COMPUTED_VALUE"""),45784.7601388888)</f>
        <v>45784.7601388888</v>
      </c>
      <c r="C585" s="2" t="str">
        <f ca="1">IFERROR(__xludf.DUMMYFUNCTION("""COMPUTED_VALUE"""),"e53d4606")</f>
        <v>e53d4606</v>
      </c>
      <c r="D585" s="2">
        <f ca="1">IFERROR(__xludf.DUMMYFUNCTION("""COMPUTED_VALUE"""),114)</f>
        <v>114</v>
      </c>
      <c r="E585" s="2" t="str">
        <f ca="1">IFERROR(__xludf.DUMMYFUNCTION("""COMPUTED_VALUE"""),"Syrah")</f>
        <v>Syrah</v>
      </c>
      <c r="F585" s="2">
        <f ca="1">IFERROR(__xludf.DUMMYFUNCTION("""COMPUTED_VALUE"""),4300)</f>
        <v>4300</v>
      </c>
      <c r="G585" s="2">
        <f ca="1">IFERROR(__xludf.DUMMYFUNCTION("""COMPUTED_VALUE"""),81)</f>
        <v>81</v>
      </c>
      <c r="H585" s="2"/>
      <c r="I585" s="2"/>
      <c r="J585" s="2">
        <f ca="1">IFERROR(__xludf.DUMMYFUNCTION("""COMPUTED_VALUE"""),0)</f>
        <v>0</v>
      </c>
      <c r="K585" s="2">
        <f ca="1">IFERROR(__xludf.DUMMYFUNCTION("""COMPUTED_VALUE"""),4300)</f>
        <v>4300</v>
      </c>
      <c r="L585" s="2" t="str">
        <f ca="1">IFERROR(__xludf.DUMMYFUNCTION("""COMPUTED_VALUE"""),"2cf8d99b")</f>
        <v>2cf8d99b</v>
      </c>
      <c r="M585" s="2" t="str">
        <f ca="1">IFERROR(__xludf.DUMMYFUNCTION("""COMPUTED_VALUE"""),"Cabernet Sauv Millan 233")</f>
        <v>Cabernet Sauv Millan 233</v>
      </c>
      <c r="N585" s="2"/>
      <c r="O585" s="2" t="str">
        <f ca="1">IFERROR(__xludf.DUMMYFUNCTION("""COMPUTED_VALUE"""),"1er Trasiego")</f>
        <v>1er Trasiego</v>
      </c>
      <c r="P585" s="2"/>
      <c r="Q585" s="2" t="b">
        <f ca="1">IFERROR(__xludf.DUMMYFUNCTION("""COMPUTED_VALUE"""),FALSE)</f>
        <v>0</v>
      </c>
      <c r="R585" s="2" t="str">
        <f ca="1">IFERROR(__xludf.DUMMYFUNCTION("""COMPUTED_VALUE"""),"Terminado")</f>
        <v>Terminado</v>
      </c>
      <c r="S585" s="2"/>
      <c r="T585" s="2"/>
      <c r="U585" s="2"/>
    </row>
    <row r="586" spans="1:21" x14ac:dyDescent="0.25">
      <c r="A586" s="2" t="str">
        <f ca="1">IFERROR(__xludf.DUMMYFUNCTION("""COMPUTED_VALUE"""),"7dc9d65e")</f>
        <v>7dc9d65e</v>
      </c>
      <c r="B586" s="5">
        <f ca="1">IFERROR(__xludf.DUMMYFUNCTION("""COMPUTED_VALUE"""),45784.7607523148)</f>
        <v>45784.760752314804</v>
      </c>
      <c r="C586" s="2" t="str">
        <f ca="1">IFERROR(__xludf.DUMMYFUNCTION("""COMPUTED_VALUE"""),"8ec426a5")</f>
        <v>8ec426a5</v>
      </c>
      <c r="D586" s="2">
        <f ca="1">IFERROR(__xludf.DUMMYFUNCTION("""COMPUTED_VALUE"""),118)</f>
        <v>118</v>
      </c>
      <c r="E586" s="2" t="str">
        <f ca="1">IFERROR(__xludf.DUMMYFUNCTION("""COMPUTED_VALUE"""),"Bonarda")</f>
        <v>Bonarda</v>
      </c>
      <c r="F586" s="2">
        <f ca="1">IFERROR(__xludf.DUMMYFUNCTION("""COMPUTED_VALUE"""),21930)</f>
        <v>21930</v>
      </c>
      <c r="G586" s="2">
        <f ca="1">IFERROR(__xludf.DUMMYFUNCTION("""COMPUTED_VALUE"""),114)</f>
        <v>114</v>
      </c>
      <c r="H586" s="2" t="str">
        <f ca="1">IFERROR(__xludf.DUMMYFUNCTION("""COMPUTED_VALUE"""),"e53d4606")</f>
        <v>e53d4606</v>
      </c>
      <c r="I586" s="2" t="str">
        <f ca="1">IFERROR(__xludf.DUMMYFUNCTION("""COMPUTED_VALUE"""),"Syrah")</f>
        <v>Syrah</v>
      </c>
      <c r="J586" s="2">
        <f ca="1">IFERROR(__xludf.DUMMYFUNCTION("""COMPUTED_VALUE"""),22600)</f>
        <v>22600</v>
      </c>
      <c r="K586" s="2">
        <f ca="1">IFERROR(__xludf.DUMMYFUNCTION("""COMPUTED_VALUE"""),44530)</f>
        <v>44530</v>
      </c>
      <c r="L586" s="2" t="str">
        <f ca="1">IFERROR(__xludf.DUMMYFUNCTION("""COMPUTED_VALUE"""),"ffaf53fb")</f>
        <v>ffaf53fb</v>
      </c>
      <c r="M586" s="2" t="str">
        <f ca="1">IFERROR(__xludf.DUMMYFUNCTION("""COMPUTED_VALUE"""),"Cabernet Sauv Millan 233")</f>
        <v>Cabernet Sauv Millan 233</v>
      </c>
      <c r="N586" s="2"/>
      <c r="O586" s="2" t="str">
        <f ca="1">IFERROR(__xludf.DUMMYFUNCTION("""COMPUTED_VALUE"""),"Descubada")</f>
        <v>Descubada</v>
      </c>
      <c r="P586" s="2" t="str">
        <f ca="1">IFERROR(__xludf.DUMMYFUNCTION("""COMPUTED_VALUE"""),"1er Trasiego")</f>
        <v>1er Trasiego</v>
      </c>
      <c r="Q586" s="2" t="b">
        <f ca="1">IFERROR(__xludf.DUMMYFUNCTION("""COMPUTED_VALUE"""),TRUE)</f>
        <v>1</v>
      </c>
      <c r="R586" s="2" t="str">
        <f ca="1">IFERROR(__xludf.DUMMYFUNCTION("""COMPUTED_VALUE"""),"Terminado")</f>
        <v>Terminado</v>
      </c>
      <c r="S586" s="2"/>
      <c r="T586" s="2"/>
      <c r="U586" s="2"/>
    </row>
    <row r="587" spans="1:21" x14ac:dyDescent="0.25">
      <c r="A587" s="2" t="str">
        <f ca="1">IFERROR(__xludf.DUMMYFUNCTION("""COMPUTED_VALUE"""),"6d6cd544")</f>
        <v>6d6cd544</v>
      </c>
      <c r="B587" s="5">
        <f ca="1">IFERROR(__xludf.DUMMYFUNCTION("""COMPUTED_VALUE"""),45784.7614236111)</f>
        <v>45784.761423611097</v>
      </c>
      <c r="C587" s="2" t="str">
        <f ca="1">IFERROR(__xludf.DUMMYFUNCTION("""COMPUTED_VALUE"""),"8ec426a5")</f>
        <v>8ec426a5</v>
      </c>
      <c r="D587" s="2">
        <f ca="1">IFERROR(__xludf.DUMMYFUNCTION("""COMPUTED_VALUE"""),118)</f>
        <v>118</v>
      </c>
      <c r="E587" s="2" t="str">
        <f ca="1">IFERROR(__xludf.DUMMYFUNCTION("""COMPUTED_VALUE"""),"Bonarda")</f>
        <v>Bonarda</v>
      </c>
      <c r="F587" s="2">
        <f ca="1">IFERROR(__xludf.DUMMYFUNCTION("""COMPUTED_VALUE"""),15400)</f>
        <v>15400</v>
      </c>
      <c r="G587" s="2">
        <f ca="1">IFERROR(__xludf.DUMMYFUNCTION("""COMPUTED_VALUE"""),86)</f>
        <v>86</v>
      </c>
      <c r="H587" s="2" t="str">
        <f ca="1">IFERROR(__xludf.DUMMYFUNCTION("""COMPUTED_VALUE"""),"060cc284")</f>
        <v>060cc284</v>
      </c>
      <c r="I587" s="2" t="str">
        <f ca="1">IFERROR(__xludf.DUMMYFUNCTION("""COMPUTED_VALUE"""),"Cabernet Sauv Millan 233")</f>
        <v>Cabernet Sauv Millan 233</v>
      </c>
      <c r="J587" s="2">
        <f ca="1">IFERROR(__xludf.DUMMYFUNCTION("""COMPUTED_VALUE"""),15400)</f>
        <v>15400</v>
      </c>
      <c r="K587" s="2">
        <f ca="1">IFERROR(__xludf.DUMMYFUNCTION("""COMPUTED_VALUE"""),30800)</f>
        <v>30800</v>
      </c>
      <c r="L587" s="2" t="str">
        <f ca="1">IFERROR(__xludf.DUMMYFUNCTION("""COMPUTED_VALUE"""),"bc83d8e6")</f>
        <v>bc83d8e6</v>
      </c>
      <c r="M587" s="2" t="str">
        <f ca="1">IFERROR(__xludf.DUMMYFUNCTION("""COMPUTED_VALUE"""),"Cabernet Sauv Millan 233")</f>
        <v>Cabernet Sauv Millan 233</v>
      </c>
      <c r="N587" s="2"/>
      <c r="O587" s="2" t="str">
        <f ca="1">IFERROR(__xludf.DUMMYFUNCTION("""COMPUTED_VALUE"""),"Descubada")</f>
        <v>Descubada</v>
      </c>
      <c r="P587" s="2" t="str">
        <f ca="1">IFERROR(__xludf.DUMMYFUNCTION("""COMPUTED_VALUE"""),"Terminado")</f>
        <v>Terminado</v>
      </c>
      <c r="Q587" s="2" t="b">
        <f ca="1">IFERROR(__xludf.DUMMYFUNCTION("""COMPUTED_VALUE"""),TRUE)</f>
        <v>1</v>
      </c>
      <c r="R587" s="2" t="str">
        <f ca="1">IFERROR(__xludf.DUMMYFUNCTION("""COMPUTED_VALUE"""),"Terminado")</f>
        <v>Terminado</v>
      </c>
      <c r="S587" s="2"/>
      <c r="T587" s="2"/>
      <c r="U587" s="2"/>
    </row>
    <row r="588" spans="1:21" x14ac:dyDescent="0.25">
      <c r="A588" s="2" t="str">
        <f ca="1">IFERROR(__xludf.DUMMYFUNCTION("""COMPUTED_VALUE"""),"8843f42e")</f>
        <v>8843f42e</v>
      </c>
      <c r="B588" s="5">
        <f ca="1">IFERROR(__xludf.DUMMYFUNCTION("""COMPUTED_VALUE"""),45784.7616898148)</f>
        <v>45784.761689814797</v>
      </c>
      <c r="C588" s="2" t="str">
        <f ca="1">IFERROR(__xludf.DUMMYFUNCTION("""COMPUTED_VALUE"""),"8ec426a5")</f>
        <v>8ec426a5</v>
      </c>
      <c r="D588" s="2">
        <f ca="1">IFERROR(__xludf.DUMMYFUNCTION("""COMPUTED_VALUE"""),118)</f>
        <v>118</v>
      </c>
      <c r="E588" s="2" t="str">
        <f ca="1">IFERROR(__xludf.DUMMYFUNCTION("""COMPUTED_VALUE"""),"Bonarda")</f>
        <v>Bonarda</v>
      </c>
      <c r="F588" s="2">
        <f ca="1">IFERROR(__xludf.DUMMYFUNCTION("""COMPUTED_VALUE"""),4375)</f>
        <v>4375</v>
      </c>
      <c r="G588" s="2">
        <f ca="1">IFERROR(__xludf.DUMMYFUNCTION("""COMPUTED_VALUE"""),81)</f>
        <v>81</v>
      </c>
      <c r="H588" s="2" t="str">
        <f ca="1">IFERROR(__xludf.DUMMYFUNCTION("""COMPUTED_VALUE"""),"2cf8d99b")</f>
        <v>2cf8d99b</v>
      </c>
      <c r="I588" s="2" t="str">
        <f ca="1">IFERROR(__xludf.DUMMYFUNCTION("""COMPUTED_VALUE"""),"Cabernet Sauv Millan 233")</f>
        <v>Cabernet Sauv Millan 233</v>
      </c>
      <c r="J588" s="2">
        <f ca="1">IFERROR(__xludf.DUMMYFUNCTION("""COMPUTED_VALUE"""),4300)</f>
        <v>4300</v>
      </c>
      <c r="K588" s="2">
        <f ca="1">IFERROR(__xludf.DUMMYFUNCTION("""COMPUTED_VALUE"""),8675)</f>
        <v>8675</v>
      </c>
      <c r="L588" s="2" t="str">
        <f ca="1">IFERROR(__xludf.DUMMYFUNCTION("""COMPUTED_VALUE"""),"378271b5")</f>
        <v>378271b5</v>
      </c>
      <c r="M588" s="2" t="str">
        <f ca="1">IFERROR(__xludf.DUMMYFUNCTION("""COMPUTED_VALUE"""),"Cabernet Sauv Millan 233")</f>
        <v>Cabernet Sauv Millan 233</v>
      </c>
      <c r="N588" s="2"/>
      <c r="O588" s="2" t="str">
        <f ca="1">IFERROR(__xludf.DUMMYFUNCTION("""COMPUTED_VALUE"""),"Descubada")</f>
        <v>Descubada</v>
      </c>
      <c r="P588" s="2" t="str">
        <f ca="1">IFERROR(__xludf.DUMMYFUNCTION("""COMPUTED_VALUE"""),"Terminado")</f>
        <v>Terminado</v>
      </c>
      <c r="Q588" s="2" t="b">
        <f ca="1">IFERROR(__xludf.DUMMYFUNCTION("""COMPUTED_VALUE"""),TRUE)</f>
        <v>1</v>
      </c>
      <c r="R588" s="2" t="str">
        <f ca="1">IFERROR(__xludf.DUMMYFUNCTION("""COMPUTED_VALUE"""),"Terminado")</f>
        <v>Terminado</v>
      </c>
      <c r="S588" s="2"/>
      <c r="T588" s="2"/>
      <c r="U588" s="2"/>
    </row>
    <row r="589" spans="1:21" x14ac:dyDescent="0.25">
      <c r="A589" s="2" t="str">
        <f ca="1">IFERROR(__xludf.DUMMYFUNCTION("""COMPUTED_VALUE"""),"0ceb72fe")</f>
        <v>0ceb72fe</v>
      </c>
      <c r="B589" s="5">
        <f ca="1">IFERROR(__xludf.DUMMYFUNCTION("""COMPUTED_VALUE"""),45784.7632638888)</f>
        <v>45784.763263888803</v>
      </c>
      <c r="C589" s="2" t="str">
        <f ca="1">IFERROR(__xludf.DUMMYFUNCTION("""COMPUTED_VALUE"""),"7efc7da2")</f>
        <v>7efc7da2</v>
      </c>
      <c r="D589" s="2">
        <f ca="1">IFERROR(__xludf.DUMMYFUNCTION("""COMPUTED_VALUE"""),24)</f>
        <v>24</v>
      </c>
      <c r="E589" s="2" t="str">
        <f ca="1">IFERROR(__xludf.DUMMYFUNCTION("""COMPUTED_VALUE"""),"Bonarda C2")</f>
        <v>Bonarda C2</v>
      </c>
      <c r="F589" s="2">
        <f ca="1">IFERROR(__xludf.DUMMYFUNCTION("""COMPUTED_VALUE"""),80770)</f>
        <v>80770</v>
      </c>
      <c r="G589" s="2">
        <f ca="1">IFERROR(__xludf.DUMMYFUNCTION("""COMPUTED_VALUE"""),114)</f>
        <v>114</v>
      </c>
      <c r="H589" s="2" t="str">
        <f ca="1">IFERROR(__xludf.DUMMYFUNCTION("""COMPUTED_VALUE"""),"ffaf53fb")</f>
        <v>ffaf53fb</v>
      </c>
      <c r="I589" s="2" t="str">
        <f ca="1">IFERROR(__xludf.DUMMYFUNCTION("""COMPUTED_VALUE"""),"Cabernet Sauv Millan 233")</f>
        <v>Cabernet Sauv Millan 233</v>
      </c>
      <c r="J589" s="2">
        <f ca="1">IFERROR(__xludf.DUMMYFUNCTION("""COMPUTED_VALUE"""),44530)</f>
        <v>44530</v>
      </c>
      <c r="K589" s="2">
        <f ca="1">IFERROR(__xludf.DUMMYFUNCTION("""COMPUTED_VALUE"""),125300)</f>
        <v>125300</v>
      </c>
      <c r="L589" s="2" t="str">
        <f ca="1">IFERROR(__xludf.DUMMYFUNCTION("""COMPUTED_VALUE"""),"821a1155")</f>
        <v>821a1155</v>
      </c>
      <c r="M589" s="2" t="str">
        <f ca="1">IFERROR(__xludf.DUMMYFUNCTION("""COMPUTED_VALUE"""),"Cabernet Sauv Millan 233")</f>
        <v>Cabernet Sauv Millan 233</v>
      </c>
      <c r="N589" s="2"/>
      <c r="O589" s="2" t="str">
        <f ca="1">IFERROR(__xludf.DUMMYFUNCTION("""COMPUTED_VALUE"""),"1er Trasiego")</f>
        <v>1er Trasiego</v>
      </c>
      <c r="P589" s="2" t="str">
        <f ca="1">IFERROR(__xludf.DUMMYFUNCTION("""COMPUTED_VALUE"""),"Terminado")</f>
        <v>Terminado</v>
      </c>
      <c r="Q589" s="2" t="b">
        <f ca="1">IFERROR(__xludf.DUMMYFUNCTION("""COMPUTED_VALUE"""),TRUE)</f>
        <v>1</v>
      </c>
      <c r="R589" s="2" t="str">
        <f ca="1">IFERROR(__xludf.DUMMYFUNCTION("""COMPUTED_VALUE"""),"Terminado")</f>
        <v>Terminado</v>
      </c>
      <c r="S589" s="2"/>
      <c r="T589" s="2"/>
      <c r="U589" s="2"/>
    </row>
    <row r="590" spans="1:21" x14ac:dyDescent="0.25">
      <c r="A590" s="2" t="str">
        <f ca="1">IFERROR(__xludf.DUMMYFUNCTION("""COMPUTED_VALUE"""),"6a1f9f38")</f>
        <v>6a1f9f38</v>
      </c>
      <c r="B590" s="5">
        <f ca="1">IFERROR(__xludf.DUMMYFUNCTION("""COMPUTED_VALUE"""),45784.7636226851)</f>
        <v>45784.763622685103</v>
      </c>
      <c r="C590" s="2" t="str">
        <f ca="1">IFERROR(__xludf.DUMMYFUNCTION("""COMPUTED_VALUE"""),"7efc7da2")</f>
        <v>7efc7da2</v>
      </c>
      <c r="D590" s="2">
        <f ca="1">IFERROR(__xludf.DUMMYFUNCTION("""COMPUTED_VALUE"""),24)</f>
        <v>24</v>
      </c>
      <c r="E590" s="2" t="str">
        <f ca="1">IFERROR(__xludf.DUMMYFUNCTION("""COMPUTED_VALUE"""),"Bonarda C2")</f>
        <v>Bonarda C2</v>
      </c>
      <c r="F590" s="2">
        <f ca="1">IFERROR(__xludf.DUMMYFUNCTION("""COMPUTED_VALUE"""),57200)</f>
        <v>57200</v>
      </c>
      <c r="G590" s="2">
        <f ca="1">IFERROR(__xludf.DUMMYFUNCTION("""COMPUTED_VALUE"""),86)</f>
        <v>86</v>
      </c>
      <c r="H590" s="2" t="str">
        <f ca="1">IFERROR(__xludf.DUMMYFUNCTION("""COMPUTED_VALUE"""),"bc83d8e6")</f>
        <v>bc83d8e6</v>
      </c>
      <c r="I590" s="2" t="str">
        <f ca="1">IFERROR(__xludf.DUMMYFUNCTION("""COMPUTED_VALUE"""),"Cabernet Sauv Millan 233")</f>
        <v>Cabernet Sauv Millan 233</v>
      </c>
      <c r="J590" s="2">
        <f ca="1">IFERROR(__xludf.DUMMYFUNCTION("""COMPUTED_VALUE"""),30800)</f>
        <v>30800</v>
      </c>
      <c r="K590" s="2">
        <f ca="1">IFERROR(__xludf.DUMMYFUNCTION("""COMPUTED_VALUE"""),88000)</f>
        <v>88000</v>
      </c>
      <c r="L590" s="2" t="str">
        <f ca="1">IFERROR(__xludf.DUMMYFUNCTION("""COMPUTED_VALUE"""),"098ad529")</f>
        <v>098ad529</v>
      </c>
      <c r="M590" s="2" t="str">
        <f ca="1">IFERROR(__xludf.DUMMYFUNCTION("""COMPUTED_VALUE"""),"Cabernet Sauv Millan 233")</f>
        <v>Cabernet Sauv Millan 233</v>
      </c>
      <c r="N590" s="2"/>
      <c r="O590" s="2" t="str">
        <f ca="1">IFERROR(__xludf.DUMMYFUNCTION("""COMPUTED_VALUE"""),"1er Trasiego")</f>
        <v>1er Trasiego</v>
      </c>
      <c r="P590" s="2" t="str">
        <f ca="1">IFERROR(__xludf.DUMMYFUNCTION("""COMPUTED_VALUE"""),"Terminado")</f>
        <v>Terminado</v>
      </c>
      <c r="Q590" s="2" t="b">
        <f ca="1">IFERROR(__xludf.DUMMYFUNCTION("""COMPUTED_VALUE"""),TRUE)</f>
        <v>1</v>
      </c>
      <c r="R590" s="2" t="str">
        <f ca="1">IFERROR(__xludf.DUMMYFUNCTION("""COMPUTED_VALUE"""),"Terminado")</f>
        <v>Terminado</v>
      </c>
      <c r="S590" s="2"/>
      <c r="T590" s="2"/>
      <c r="U590" s="2"/>
    </row>
    <row r="591" spans="1:21" x14ac:dyDescent="0.25">
      <c r="A591" s="2" t="str">
        <f ca="1">IFERROR(__xludf.DUMMYFUNCTION("""COMPUTED_VALUE"""),"825b9089")</f>
        <v>825b9089</v>
      </c>
      <c r="B591" s="5">
        <f ca="1">IFERROR(__xludf.DUMMYFUNCTION("""COMPUTED_VALUE"""),45784.7639699074)</f>
        <v>45784.763969907399</v>
      </c>
      <c r="C591" s="2" t="str">
        <f ca="1">IFERROR(__xludf.DUMMYFUNCTION("""COMPUTED_VALUE"""),"7efc7da2")</f>
        <v>7efc7da2</v>
      </c>
      <c r="D591" s="2">
        <f ca="1">IFERROR(__xludf.DUMMYFUNCTION("""COMPUTED_VALUE"""),24)</f>
        <v>24</v>
      </c>
      <c r="E591" s="2" t="str">
        <f ca="1">IFERROR(__xludf.DUMMYFUNCTION("""COMPUTED_VALUE"""),"Bonarda C2")</f>
        <v>Bonarda C2</v>
      </c>
      <c r="F591" s="2">
        <f ca="1">IFERROR(__xludf.DUMMYFUNCTION("""COMPUTED_VALUE"""),10430)</f>
        <v>10430</v>
      </c>
      <c r="G591" s="2">
        <f ca="1">IFERROR(__xludf.DUMMYFUNCTION("""COMPUTED_VALUE"""),81)</f>
        <v>81</v>
      </c>
      <c r="H591" s="2" t="str">
        <f ca="1">IFERROR(__xludf.DUMMYFUNCTION("""COMPUTED_VALUE"""),"378271b5")</f>
        <v>378271b5</v>
      </c>
      <c r="I591" s="2" t="str">
        <f ca="1">IFERROR(__xludf.DUMMYFUNCTION("""COMPUTED_VALUE"""),"Cabernet Sauv Millan 233")</f>
        <v>Cabernet Sauv Millan 233</v>
      </c>
      <c r="J591" s="2">
        <f ca="1">IFERROR(__xludf.DUMMYFUNCTION("""COMPUTED_VALUE"""),8675)</f>
        <v>8675</v>
      </c>
      <c r="K591" s="2">
        <f ca="1">IFERROR(__xludf.DUMMYFUNCTION("""COMPUTED_VALUE"""),19105)</f>
        <v>19105</v>
      </c>
      <c r="L591" s="2" t="str">
        <f ca="1">IFERROR(__xludf.DUMMYFUNCTION("""COMPUTED_VALUE"""),"ff99f9ec")</f>
        <v>ff99f9ec</v>
      </c>
      <c r="M591" s="2" t="str">
        <f ca="1">IFERROR(__xludf.DUMMYFUNCTION("""COMPUTED_VALUE"""),"Cabernet Sauv Millan 233")</f>
        <v>Cabernet Sauv Millan 233</v>
      </c>
      <c r="N591" s="2"/>
      <c r="O591" s="2" t="str">
        <f ca="1">IFERROR(__xludf.DUMMYFUNCTION("""COMPUTED_VALUE"""),"1er Trasiego")</f>
        <v>1er Trasiego</v>
      </c>
      <c r="P591" s="2" t="str">
        <f ca="1">IFERROR(__xludf.DUMMYFUNCTION("""COMPUTED_VALUE"""),"Terminado")</f>
        <v>Terminado</v>
      </c>
      <c r="Q591" s="2" t="b">
        <f ca="1">IFERROR(__xludf.DUMMYFUNCTION("""COMPUTED_VALUE"""),TRUE)</f>
        <v>1</v>
      </c>
      <c r="R591" s="2" t="str">
        <f ca="1">IFERROR(__xludf.DUMMYFUNCTION("""COMPUTED_VALUE"""),"Terminado")</f>
        <v>Terminado</v>
      </c>
      <c r="S591" s="2"/>
      <c r="T591" s="2"/>
      <c r="U591" s="2"/>
    </row>
    <row r="592" spans="1:21" x14ac:dyDescent="0.25">
      <c r="A592" s="2" t="str">
        <f ca="1">IFERROR(__xludf.DUMMYFUNCTION("""COMPUTED_VALUE"""),"87fcca3f")</f>
        <v>87fcca3f</v>
      </c>
      <c r="B592" s="5">
        <f ca="1">IFERROR(__xludf.DUMMYFUNCTION("""COMPUTED_VALUE"""),45784.7815162037)</f>
        <v>45784.7815162037</v>
      </c>
      <c r="C592" s="2" t="str">
        <f ca="1">IFERROR(__xludf.DUMMYFUNCTION("""COMPUTED_VALUE"""),"55f5d2d3")</f>
        <v>55f5d2d3</v>
      </c>
      <c r="D592" s="2">
        <f ca="1">IFERROR(__xludf.DUMMYFUNCTION("""COMPUTED_VALUE"""),85)</f>
        <v>85</v>
      </c>
      <c r="E592" s="2" t="str">
        <f ca="1">IFERROR(__xludf.DUMMYFUNCTION("""COMPUTED_VALUE"""),"Malbec Dulc")</f>
        <v>Malbec Dulc</v>
      </c>
      <c r="F592" s="2">
        <f ca="1">IFERROR(__xludf.DUMMYFUNCTION("""COMPUTED_VALUE"""),16900)</f>
        <v>16900</v>
      </c>
      <c r="G592" s="2">
        <f ca="1">IFERROR(__xludf.DUMMYFUNCTION("""COMPUTED_VALUE"""),65)</f>
        <v>65</v>
      </c>
      <c r="H592" s="2"/>
      <c r="I592" s="2"/>
      <c r="J592" s="2">
        <f ca="1">IFERROR(__xludf.DUMMYFUNCTION("""COMPUTED_VALUE"""),0)</f>
        <v>0</v>
      </c>
      <c r="K592" s="2">
        <f ca="1">IFERROR(__xludf.DUMMYFUNCTION("""COMPUTED_VALUE"""),16900)</f>
        <v>16900</v>
      </c>
      <c r="L592" s="2" t="str">
        <f ca="1">IFERROR(__xludf.DUMMYFUNCTION("""COMPUTED_VALUE"""),"4c2a65a6")</f>
        <v>4c2a65a6</v>
      </c>
      <c r="M592" s="2" t="str">
        <f ca="1">IFERROR(__xludf.DUMMYFUNCTION("""COMPUTED_VALUE"""),"Malbec Dulc")</f>
        <v>Malbec Dulc</v>
      </c>
      <c r="N592" s="2"/>
      <c r="O592" s="2" t="str">
        <f ca="1">IFERROR(__xludf.DUMMYFUNCTION("""COMPUTED_VALUE"""),"1er Trasiego")</f>
        <v>1er Trasiego</v>
      </c>
      <c r="P592" s="2"/>
      <c r="Q592" s="2" t="b">
        <f ca="1">IFERROR(__xludf.DUMMYFUNCTION("""COMPUTED_VALUE"""),FALSE)</f>
        <v>0</v>
      </c>
      <c r="R592" s="2" t="str">
        <f ca="1">IFERROR(__xludf.DUMMYFUNCTION("""COMPUTED_VALUE"""),"2do Trasiego")</f>
        <v>2do Trasiego</v>
      </c>
      <c r="S592" s="2"/>
      <c r="T592" s="2"/>
      <c r="U592" s="2"/>
    </row>
    <row r="593" spans="1:21" x14ac:dyDescent="0.25">
      <c r="A593" s="2" t="str">
        <f ca="1">IFERROR(__xludf.DUMMYFUNCTION("""COMPUTED_VALUE"""),"c4dfca2d")</f>
        <v>c4dfca2d</v>
      </c>
      <c r="B593" s="5">
        <f ca="1">IFERROR(__xludf.DUMMYFUNCTION("""COMPUTED_VALUE"""),45784.7821527777)</f>
        <v>45784.782152777698</v>
      </c>
      <c r="C593" s="2" t="str">
        <f ca="1">IFERROR(__xludf.DUMMYFUNCTION("""COMPUTED_VALUE"""),"55f5d2d3")</f>
        <v>55f5d2d3</v>
      </c>
      <c r="D593" s="2">
        <f ca="1">IFERROR(__xludf.DUMMYFUNCTION("""COMPUTED_VALUE"""),85)</f>
        <v>85</v>
      </c>
      <c r="E593" s="2" t="str">
        <f ca="1">IFERROR(__xludf.DUMMYFUNCTION("""COMPUTED_VALUE"""),"Malbec Dulc")</f>
        <v>Malbec Dulc</v>
      </c>
      <c r="F593" s="2">
        <f ca="1">IFERROR(__xludf.DUMMYFUNCTION("""COMPUTED_VALUE"""),4700)</f>
        <v>4700</v>
      </c>
      <c r="G593" s="2">
        <f ca="1">IFERROR(__xludf.DUMMYFUNCTION("""COMPUTED_VALUE"""),66)</f>
        <v>66</v>
      </c>
      <c r="H593" s="2"/>
      <c r="I593" s="2"/>
      <c r="J593" s="2">
        <f ca="1">IFERROR(__xludf.DUMMYFUNCTION("""COMPUTED_VALUE"""),0)</f>
        <v>0</v>
      </c>
      <c r="K593" s="2">
        <f ca="1">IFERROR(__xludf.DUMMYFUNCTION("""COMPUTED_VALUE"""),4700)</f>
        <v>4700</v>
      </c>
      <c r="L593" s="2" t="str">
        <f ca="1">IFERROR(__xludf.DUMMYFUNCTION("""COMPUTED_VALUE"""),"063eed80")</f>
        <v>063eed80</v>
      </c>
      <c r="M593" s="2" t="str">
        <f ca="1">IFERROR(__xludf.DUMMYFUNCTION("""COMPUTED_VALUE"""),"Malbec Dulc")</f>
        <v>Malbec Dulc</v>
      </c>
      <c r="N593" s="2"/>
      <c r="O593" s="2" t="str">
        <f ca="1">IFERROR(__xludf.DUMMYFUNCTION("""COMPUTED_VALUE"""),"1er Trasiego")</f>
        <v>1er Trasiego</v>
      </c>
      <c r="P593" s="2"/>
      <c r="Q593" s="2" t="b">
        <f ca="1">IFERROR(__xludf.DUMMYFUNCTION("""COMPUTED_VALUE"""),FALSE)</f>
        <v>0</v>
      </c>
      <c r="R593" s="2" t="str">
        <f ca="1">IFERROR(__xludf.DUMMYFUNCTION("""COMPUTED_VALUE"""),"2do Trasiego")</f>
        <v>2do Trasiego</v>
      </c>
      <c r="S593" s="2"/>
      <c r="T593" s="2"/>
      <c r="U593" s="2"/>
    </row>
    <row r="594" spans="1:21" x14ac:dyDescent="0.25">
      <c r="A594" s="2" t="str">
        <f ca="1">IFERROR(__xludf.DUMMYFUNCTION("""COMPUTED_VALUE"""),"8f629565")</f>
        <v>8f629565</v>
      </c>
      <c r="B594" s="5">
        <f ca="1">IFERROR(__xludf.DUMMYFUNCTION("""COMPUTED_VALUE"""),45784.7846759259)</f>
        <v>45784.784675925897</v>
      </c>
      <c r="C594" s="2" t="str">
        <f ca="1">IFERROR(__xludf.DUMMYFUNCTION("""COMPUTED_VALUE"""),"49b10489")</f>
        <v>49b10489</v>
      </c>
      <c r="D594" s="2">
        <f ca="1">IFERROR(__xludf.DUMMYFUNCTION("""COMPUTED_VALUE"""),6)</f>
        <v>6</v>
      </c>
      <c r="E594" s="2" t="str">
        <f ca="1">IFERROR(__xludf.DUMMYFUNCTION("""COMPUTED_VALUE"""),"Malbec Bon Dulce  Rect")</f>
        <v>Malbec Bon Dulce  Rect</v>
      </c>
      <c r="F594" s="2">
        <f ca="1">IFERROR(__xludf.DUMMYFUNCTION("""COMPUTED_VALUE"""),17000)</f>
        <v>17000</v>
      </c>
      <c r="G594" s="2">
        <f ca="1">IFERROR(__xludf.DUMMYFUNCTION("""COMPUTED_VALUE"""),85)</f>
        <v>85</v>
      </c>
      <c r="H594" s="2" t="str">
        <f ca="1">IFERROR(__xludf.DUMMYFUNCTION("""COMPUTED_VALUE"""),"55f5d2d3")</f>
        <v>55f5d2d3</v>
      </c>
      <c r="I594" s="2" t="str">
        <f ca="1">IFERROR(__xludf.DUMMYFUNCTION("""COMPUTED_VALUE"""),"Malbec Dulc")</f>
        <v>Malbec Dulc</v>
      </c>
      <c r="J594" s="2">
        <f ca="1">IFERROR(__xludf.DUMMYFUNCTION("""COMPUTED_VALUE"""),39900)</f>
        <v>39900</v>
      </c>
      <c r="K594" s="2">
        <f ca="1">IFERROR(__xludf.DUMMYFUNCTION("""COMPUTED_VALUE"""),56900)</f>
        <v>56900</v>
      </c>
      <c r="L594" s="2" t="str">
        <f ca="1">IFERROR(__xludf.DUMMYFUNCTION("""COMPUTED_VALUE"""),"219552df")</f>
        <v>219552df</v>
      </c>
      <c r="M594" s="2" t="str">
        <f ca="1">IFERROR(__xludf.DUMMYFUNCTION("""COMPUTED_VALUE"""),"Malbec Dulc")</f>
        <v>Malbec Dulc</v>
      </c>
      <c r="N594" s="2"/>
      <c r="O594" s="2" t="str">
        <f ca="1">IFERROR(__xludf.DUMMYFUNCTION("""COMPUTED_VALUE"""),"1er Trasiego")</f>
        <v>1er Trasiego</v>
      </c>
      <c r="P594" s="2" t="str">
        <f ca="1">IFERROR(__xludf.DUMMYFUNCTION("""COMPUTED_VALUE"""),"1er Trasiego")</f>
        <v>1er Trasiego</v>
      </c>
      <c r="Q594" s="2" t="b">
        <f ca="1">IFERROR(__xludf.DUMMYFUNCTION("""COMPUTED_VALUE"""),TRUE)</f>
        <v>1</v>
      </c>
      <c r="R594" s="2" t="str">
        <f ca="1">IFERROR(__xludf.DUMMYFUNCTION("""COMPUTED_VALUE"""),"1er Trasiego")</f>
        <v>1er Trasiego</v>
      </c>
      <c r="S594" s="2"/>
      <c r="T594" s="2"/>
      <c r="U594" s="2"/>
    </row>
    <row r="595" spans="1:21" x14ac:dyDescent="0.25">
      <c r="A595" s="2" t="str">
        <f ca="1">IFERROR(__xludf.DUMMYFUNCTION("""COMPUTED_VALUE"""),"3239ffd8")</f>
        <v>3239ffd8</v>
      </c>
      <c r="B595" s="5">
        <f ca="1">IFERROR(__xludf.DUMMYFUNCTION("""COMPUTED_VALUE"""),45784.7853587962)</f>
        <v>45784.785358796202</v>
      </c>
      <c r="C595" s="2" t="str">
        <f ca="1">IFERROR(__xludf.DUMMYFUNCTION("""COMPUTED_VALUE"""),"49b10489")</f>
        <v>49b10489</v>
      </c>
      <c r="D595" s="2">
        <f ca="1">IFERROR(__xludf.DUMMYFUNCTION("""COMPUTED_VALUE"""),6)</f>
        <v>6</v>
      </c>
      <c r="E595" s="2" t="str">
        <f ca="1">IFERROR(__xludf.DUMMYFUNCTION("""COMPUTED_VALUE"""),"Malbec Bon Dulce  Rect")</f>
        <v>Malbec Bon Dulce  Rect</v>
      </c>
      <c r="F595" s="2">
        <f ca="1">IFERROR(__xludf.DUMMYFUNCTION("""COMPUTED_VALUE"""),7000)</f>
        <v>7000</v>
      </c>
      <c r="G595" s="2">
        <f ca="1">IFERROR(__xludf.DUMMYFUNCTION("""COMPUTED_VALUE"""),65)</f>
        <v>65</v>
      </c>
      <c r="H595" s="2" t="str">
        <f ca="1">IFERROR(__xludf.DUMMYFUNCTION("""COMPUTED_VALUE"""),"4c2a65a6")</f>
        <v>4c2a65a6</v>
      </c>
      <c r="I595" s="2" t="str">
        <f ca="1">IFERROR(__xludf.DUMMYFUNCTION("""COMPUTED_VALUE"""),"Malbec Dulc")</f>
        <v>Malbec Dulc</v>
      </c>
      <c r="J595" s="2">
        <f ca="1">IFERROR(__xludf.DUMMYFUNCTION("""COMPUTED_VALUE"""),16900)</f>
        <v>16900</v>
      </c>
      <c r="K595" s="2">
        <f ca="1">IFERROR(__xludf.DUMMYFUNCTION("""COMPUTED_VALUE"""),23900)</f>
        <v>23900</v>
      </c>
      <c r="L595" s="2" t="str">
        <f ca="1">IFERROR(__xludf.DUMMYFUNCTION("""COMPUTED_VALUE"""),"6dc7a9f7")</f>
        <v>6dc7a9f7</v>
      </c>
      <c r="M595" s="2" t="str">
        <f ca="1">IFERROR(__xludf.DUMMYFUNCTION("""COMPUTED_VALUE"""),"Malbec Dulc")</f>
        <v>Malbec Dulc</v>
      </c>
      <c r="N595" s="2"/>
      <c r="O595" s="2" t="str">
        <f ca="1">IFERROR(__xludf.DUMMYFUNCTION("""COMPUTED_VALUE"""),"Rectificado")</f>
        <v>Rectificado</v>
      </c>
      <c r="P595" s="2" t="str">
        <f ca="1">IFERROR(__xludf.DUMMYFUNCTION("""COMPUTED_VALUE"""),"2do Trasiego")</f>
        <v>2do Trasiego</v>
      </c>
      <c r="Q595" s="2" t="b">
        <f ca="1">IFERROR(__xludf.DUMMYFUNCTION("""COMPUTED_VALUE"""),TRUE)</f>
        <v>1</v>
      </c>
      <c r="R595" s="2" t="str">
        <f ca="1">IFERROR(__xludf.DUMMYFUNCTION("""COMPUTED_VALUE"""),"2do Trasiego")</f>
        <v>2do Trasiego</v>
      </c>
      <c r="S595" s="2"/>
      <c r="T595" s="2"/>
      <c r="U595" s="2"/>
    </row>
    <row r="596" spans="1:21" x14ac:dyDescent="0.25">
      <c r="A596" s="2" t="str">
        <f ca="1">IFERROR(__xludf.DUMMYFUNCTION("""COMPUTED_VALUE"""),"6b5cdcf1")</f>
        <v>6b5cdcf1</v>
      </c>
      <c r="B596" s="5">
        <f ca="1">IFERROR(__xludf.DUMMYFUNCTION("""COMPUTED_VALUE"""),45784.7856481481)</f>
        <v>45784.785648148099</v>
      </c>
      <c r="C596" s="2" t="str">
        <f ca="1">IFERROR(__xludf.DUMMYFUNCTION("""COMPUTED_VALUE"""),"49b10489")</f>
        <v>49b10489</v>
      </c>
      <c r="D596" s="2">
        <f ca="1">IFERROR(__xludf.DUMMYFUNCTION("""COMPUTED_VALUE"""),6)</f>
        <v>6</v>
      </c>
      <c r="E596" s="2" t="str">
        <f ca="1">IFERROR(__xludf.DUMMYFUNCTION("""COMPUTED_VALUE"""),"Malbec Bon Dulce  Rect")</f>
        <v>Malbec Bon Dulce  Rect</v>
      </c>
      <c r="F596" s="2">
        <f ca="1">IFERROR(__xludf.DUMMYFUNCTION("""COMPUTED_VALUE"""),1000)</f>
        <v>1000</v>
      </c>
      <c r="G596" s="2">
        <f ca="1">IFERROR(__xludf.DUMMYFUNCTION("""COMPUTED_VALUE"""),66)</f>
        <v>66</v>
      </c>
      <c r="H596" s="2" t="str">
        <f ca="1">IFERROR(__xludf.DUMMYFUNCTION("""COMPUTED_VALUE"""),"063eed80")</f>
        <v>063eed80</v>
      </c>
      <c r="I596" s="2" t="str">
        <f ca="1">IFERROR(__xludf.DUMMYFUNCTION("""COMPUTED_VALUE"""),"Malbec Dulc")</f>
        <v>Malbec Dulc</v>
      </c>
      <c r="J596" s="2">
        <f ca="1">IFERROR(__xludf.DUMMYFUNCTION("""COMPUTED_VALUE"""),4700)</f>
        <v>4700</v>
      </c>
      <c r="K596" s="2">
        <f ca="1">IFERROR(__xludf.DUMMYFUNCTION("""COMPUTED_VALUE"""),5700)</f>
        <v>5700</v>
      </c>
      <c r="L596" s="2" t="str">
        <f ca="1">IFERROR(__xludf.DUMMYFUNCTION("""COMPUTED_VALUE"""),"a03cb596")</f>
        <v>a03cb596</v>
      </c>
      <c r="M596" s="2" t="str">
        <f ca="1">IFERROR(__xludf.DUMMYFUNCTION("""COMPUTED_VALUE"""),"Malbec Dulc")</f>
        <v>Malbec Dulc</v>
      </c>
      <c r="N596" s="2"/>
      <c r="O596" s="2" t="str">
        <f ca="1">IFERROR(__xludf.DUMMYFUNCTION("""COMPUTED_VALUE"""),"Rectificado")</f>
        <v>Rectificado</v>
      </c>
      <c r="P596" s="2" t="str">
        <f ca="1">IFERROR(__xludf.DUMMYFUNCTION("""COMPUTED_VALUE"""),"2do Trasiego")</f>
        <v>2do Trasiego</v>
      </c>
      <c r="Q596" s="2" t="b">
        <f ca="1">IFERROR(__xludf.DUMMYFUNCTION("""COMPUTED_VALUE"""),TRUE)</f>
        <v>1</v>
      </c>
      <c r="R596" s="2" t="str">
        <f ca="1">IFERROR(__xludf.DUMMYFUNCTION("""COMPUTED_VALUE"""),"2do Trasiego")</f>
        <v>2do Trasiego</v>
      </c>
      <c r="S596" s="2"/>
      <c r="T596" s="2"/>
      <c r="U596" s="2"/>
    </row>
    <row r="597" spans="1:21" x14ac:dyDescent="0.25">
      <c r="A597" s="2" t="str">
        <f ca="1">IFERROR(__xludf.DUMMYFUNCTION("""COMPUTED_VALUE"""),"84dcb332")</f>
        <v>84dcb332</v>
      </c>
      <c r="B597" s="5">
        <f ca="1">IFERROR(__xludf.DUMMYFUNCTION("""COMPUTED_VALUE"""),45784.7867361111)</f>
        <v>45784.786736111098</v>
      </c>
      <c r="C597" s="2" t="str">
        <f ca="1">IFERROR(__xludf.DUMMYFUNCTION("""COMPUTED_VALUE"""),"028fb505")</f>
        <v>028fb505</v>
      </c>
      <c r="D597" s="2">
        <f ca="1">IFERROR(__xludf.DUMMYFUNCTION("""COMPUTED_VALUE"""),91)</f>
        <v>91</v>
      </c>
      <c r="E597" s="2" t="str">
        <f ca="1">IFERROR(__xludf.DUMMYFUNCTION("""COMPUTED_VALUE"""),"Malbec Dulc")</f>
        <v>Malbec Dulc</v>
      </c>
      <c r="F597" s="2">
        <f ca="1">IFERROR(__xludf.DUMMYFUNCTION("""COMPUTED_VALUE"""),27100)</f>
        <v>27100</v>
      </c>
      <c r="G597" s="2">
        <f ca="1">IFERROR(__xludf.DUMMYFUNCTION("""COMPUTED_VALUE"""),85)</f>
        <v>85</v>
      </c>
      <c r="H597" s="2" t="str">
        <f ca="1">IFERROR(__xludf.DUMMYFUNCTION("""COMPUTED_VALUE"""),"219552df")</f>
        <v>219552df</v>
      </c>
      <c r="I597" s="2" t="str">
        <f ca="1">IFERROR(__xludf.DUMMYFUNCTION("""COMPUTED_VALUE"""),"Malbec Dulc")</f>
        <v>Malbec Dulc</v>
      </c>
      <c r="J597" s="2">
        <f ca="1">IFERROR(__xludf.DUMMYFUNCTION("""COMPUTED_VALUE"""),56900)</f>
        <v>56900</v>
      </c>
      <c r="K597" s="2">
        <f ca="1">IFERROR(__xludf.DUMMYFUNCTION("""COMPUTED_VALUE"""),84000)</f>
        <v>84000</v>
      </c>
      <c r="L597" s="2" t="str">
        <f ca="1">IFERROR(__xludf.DUMMYFUNCTION("""COMPUTED_VALUE"""),"33b26126")</f>
        <v>33b26126</v>
      </c>
      <c r="M597" s="2" t="str">
        <f ca="1">IFERROR(__xludf.DUMMYFUNCTION("""COMPUTED_VALUE"""),"Malbec Dulc")</f>
        <v>Malbec Dulc</v>
      </c>
      <c r="N597" s="2"/>
      <c r="O597" s="2" t="str">
        <f ca="1">IFERROR(__xludf.DUMMYFUNCTION("""COMPUTED_VALUE"""),"Descubada")</f>
        <v>Descubada</v>
      </c>
      <c r="P597" s="2" t="str">
        <f ca="1">IFERROR(__xludf.DUMMYFUNCTION("""COMPUTED_VALUE"""),"1er Trasiego")</f>
        <v>1er Trasiego</v>
      </c>
      <c r="Q597" s="2" t="b">
        <f ca="1">IFERROR(__xludf.DUMMYFUNCTION("""COMPUTED_VALUE"""),TRUE)</f>
        <v>1</v>
      </c>
      <c r="R597" s="2" t="str">
        <f ca="1">IFERROR(__xludf.DUMMYFUNCTION("""COMPUTED_VALUE"""),"1er Trasiego")</f>
        <v>1er Trasiego</v>
      </c>
      <c r="S597" s="2"/>
      <c r="T597" s="2"/>
      <c r="U597" s="2"/>
    </row>
    <row r="598" spans="1:21" x14ac:dyDescent="0.25">
      <c r="A598" s="2" t="str">
        <f ca="1">IFERROR(__xludf.DUMMYFUNCTION("""COMPUTED_VALUE"""),"21c67adc")</f>
        <v>21c67adc</v>
      </c>
      <c r="B598" s="5">
        <f ca="1">IFERROR(__xludf.DUMMYFUNCTION("""COMPUTED_VALUE"""),45784.7870949074)</f>
        <v>45784.787094907399</v>
      </c>
      <c r="C598" s="2" t="str">
        <f ca="1">IFERROR(__xludf.DUMMYFUNCTION("""COMPUTED_VALUE"""),"028fb505")</f>
        <v>028fb505</v>
      </c>
      <c r="D598" s="2">
        <f ca="1">IFERROR(__xludf.DUMMYFUNCTION("""COMPUTED_VALUE"""),91)</f>
        <v>91</v>
      </c>
      <c r="E598" s="2" t="str">
        <f ca="1">IFERROR(__xludf.DUMMYFUNCTION("""COMPUTED_VALUE"""),"Malbec Dulc")</f>
        <v>Malbec Dulc</v>
      </c>
      <c r="F598" s="2">
        <f ca="1">IFERROR(__xludf.DUMMYFUNCTION("""COMPUTED_VALUE"""),11600)</f>
        <v>11600</v>
      </c>
      <c r="G598" s="2">
        <f ca="1">IFERROR(__xludf.DUMMYFUNCTION("""COMPUTED_VALUE"""),65)</f>
        <v>65</v>
      </c>
      <c r="H598" s="2" t="str">
        <f ca="1">IFERROR(__xludf.DUMMYFUNCTION("""COMPUTED_VALUE"""),"6dc7a9f7")</f>
        <v>6dc7a9f7</v>
      </c>
      <c r="I598" s="2" t="str">
        <f ca="1">IFERROR(__xludf.DUMMYFUNCTION("""COMPUTED_VALUE"""),"Malbec Dulc")</f>
        <v>Malbec Dulc</v>
      </c>
      <c r="J598" s="2">
        <f ca="1">IFERROR(__xludf.DUMMYFUNCTION("""COMPUTED_VALUE"""),23900)</f>
        <v>23900</v>
      </c>
      <c r="K598" s="2">
        <f ca="1">IFERROR(__xludf.DUMMYFUNCTION("""COMPUTED_VALUE"""),35500)</f>
        <v>35500</v>
      </c>
      <c r="L598" s="2" t="str">
        <f ca="1">IFERROR(__xludf.DUMMYFUNCTION("""COMPUTED_VALUE"""),"91b01170")</f>
        <v>91b01170</v>
      </c>
      <c r="M598" s="2" t="str">
        <f ca="1">IFERROR(__xludf.DUMMYFUNCTION("""COMPUTED_VALUE"""),"Malbec Dulc")</f>
        <v>Malbec Dulc</v>
      </c>
      <c r="N598" s="2"/>
      <c r="O598" s="2" t="str">
        <f ca="1">IFERROR(__xludf.DUMMYFUNCTION("""COMPUTED_VALUE"""),"Descubada")</f>
        <v>Descubada</v>
      </c>
      <c r="P598" s="2" t="str">
        <f ca="1">IFERROR(__xludf.DUMMYFUNCTION("""COMPUTED_VALUE"""),"2do Trasiego")</f>
        <v>2do Trasiego</v>
      </c>
      <c r="Q598" s="2" t="b">
        <f ca="1">IFERROR(__xludf.DUMMYFUNCTION("""COMPUTED_VALUE"""),TRUE)</f>
        <v>1</v>
      </c>
      <c r="R598" s="2" t="str">
        <f ca="1">IFERROR(__xludf.DUMMYFUNCTION("""COMPUTED_VALUE"""),"2do Trasiego")</f>
        <v>2do Trasiego</v>
      </c>
      <c r="S598" s="2"/>
      <c r="T598" s="2"/>
      <c r="U598" s="2"/>
    </row>
    <row r="599" spans="1:21" x14ac:dyDescent="0.25">
      <c r="A599" s="2" t="str">
        <f ca="1">IFERROR(__xludf.DUMMYFUNCTION("""COMPUTED_VALUE"""),"37c2c356")</f>
        <v>37c2c356</v>
      </c>
      <c r="B599" s="5">
        <f ca="1">IFERROR(__xludf.DUMMYFUNCTION("""COMPUTED_VALUE"""),45784.7875231481)</f>
        <v>45784.787523148101</v>
      </c>
      <c r="C599" s="2" t="str">
        <f ca="1">IFERROR(__xludf.DUMMYFUNCTION("""COMPUTED_VALUE"""),"028fb505")</f>
        <v>028fb505</v>
      </c>
      <c r="D599" s="2">
        <f ca="1">IFERROR(__xludf.DUMMYFUNCTION("""COMPUTED_VALUE"""),91)</f>
        <v>91</v>
      </c>
      <c r="E599" s="2" t="str">
        <f ca="1">IFERROR(__xludf.DUMMYFUNCTION("""COMPUTED_VALUE"""),"Malbec Dulc")</f>
        <v>Malbec Dulc</v>
      </c>
      <c r="F599" s="2">
        <f ca="1">IFERROR(__xludf.DUMMYFUNCTION("""COMPUTED_VALUE"""),9300)</f>
        <v>9300</v>
      </c>
      <c r="G599" s="2">
        <f ca="1">IFERROR(__xludf.DUMMYFUNCTION("""COMPUTED_VALUE"""),66)</f>
        <v>66</v>
      </c>
      <c r="H599" s="2" t="str">
        <f ca="1">IFERROR(__xludf.DUMMYFUNCTION("""COMPUTED_VALUE"""),"a03cb596")</f>
        <v>a03cb596</v>
      </c>
      <c r="I599" s="2" t="str">
        <f ca="1">IFERROR(__xludf.DUMMYFUNCTION("""COMPUTED_VALUE"""),"Malbec Dulc")</f>
        <v>Malbec Dulc</v>
      </c>
      <c r="J599" s="2">
        <f ca="1">IFERROR(__xludf.DUMMYFUNCTION("""COMPUTED_VALUE"""),5700)</f>
        <v>5700</v>
      </c>
      <c r="K599" s="2">
        <f ca="1">IFERROR(__xludf.DUMMYFUNCTION("""COMPUTED_VALUE"""),15000)</f>
        <v>15000</v>
      </c>
      <c r="L599" s="2" t="str">
        <f ca="1">IFERROR(__xludf.DUMMYFUNCTION("""COMPUTED_VALUE"""),"7b01278e")</f>
        <v>7b01278e</v>
      </c>
      <c r="M599" s="2" t="str">
        <f ca="1">IFERROR(__xludf.DUMMYFUNCTION("""COMPUTED_VALUE"""),"Malbec Dulc")</f>
        <v>Malbec Dulc</v>
      </c>
      <c r="N599" s="2"/>
      <c r="O599" s="2" t="str">
        <f ca="1">IFERROR(__xludf.DUMMYFUNCTION("""COMPUTED_VALUE"""),"Descubada")</f>
        <v>Descubada</v>
      </c>
      <c r="P599" s="2" t="str">
        <f ca="1">IFERROR(__xludf.DUMMYFUNCTION("""COMPUTED_VALUE"""),"2do Trasiego")</f>
        <v>2do Trasiego</v>
      </c>
      <c r="Q599" s="2" t="b">
        <f ca="1">IFERROR(__xludf.DUMMYFUNCTION("""COMPUTED_VALUE"""),TRUE)</f>
        <v>1</v>
      </c>
      <c r="R599" s="2" t="str">
        <f ca="1">IFERROR(__xludf.DUMMYFUNCTION("""COMPUTED_VALUE"""),"2do Trasiego")</f>
        <v>2do Trasiego</v>
      </c>
      <c r="S599" s="2"/>
      <c r="T599" s="2"/>
      <c r="U599" s="2"/>
    </row>
    <row r="600" spans="1:21" x14ac:dyDescent="0.25">
      <c r="A600" s="2" t="str">
        <f ca="1">IFERROR(__xludf.DUMMYFUNCTION("""COMPUTED_VALUE"""),"93cd2bca")</f>
        <v>93cd2bca</v>
      </c>
      <c r="B600" s="5">
        <f ca="1">IFERROR(__xludf.DUMMYFUNCTION("""COMPUTED_VALUE"""),45785.4535879629)</f>
        <v>45785.453587962897</v>
      </c>
      <c r="C600" s="2" t="str">
        <f ca="1">IFERROR(__xludf.DUMMYFUNCTION("""COMPUTED_VALUE"""),"8ec426a5")</f>
        <v>8ec426a5</v>
      </c>
      <c r="D600" s="2">
        <f ca="1">IFERROR(__xludf.DUMMYFUNCTION("""COMPUTED_VALUE"""),118)</f>
        <v>118</v>
      </c>
      <c r="E600" s="2" t="str">
        <f ca="1">IFERROR(__xludf.DUMMYFUNCTION("""COMPUTED_VALUE"""),"Bonarda")</f>
        <v>Bonarda</v>
      </c>
      <c r="F600" s="2">
        <f ca="1">IFERROR(__xludf.DUMMYFUNCTION("""COMPUTED_VALUE"""),3000)</f>
        <v>3000</v>
      </c>
      <c r="G600" s="2">
        <f ca="1">IFERROR(__xludf.DUMMYFUNCTION("""COMPUTED_VALUE"""),500)</f>
        <v>500</v>
      </c>
      <c r="H600" s="2" t="str">
        <f ca="1">IFERROR(__xludf.DUMMYFUNCTION("""COMPUTED_VALUE"""),"8f384525")</f>
        <v>8f384525</v>
      </c>
      <c r="I600" s="2" t="str">
        <f ca="1">IFERROR(__xludf.DUMMYFUNCTION("""COMPUTED_VALUE"""),"Ajuste Arqueo 05/05/25")</f>
        <v>Ajuste Arqueo 05/05/25</v>
      </c>
      <c r="J600" s="2">
        <f ca="1">IFERROR(__xludf.DUMMYFUNCTION("""COMPUTED_VALUE"""),18101)</f>
        <v>18101</v>
      </c>
      <c r="K600" s="2">
        <f ca="1">IFERROR(__xludf.DUMMYFUNCTION("""COMPUTED_VALUE"""),21101)</f>
        <v>21101</v>
      </c>
      <c r="L600" s="2" t="str">
        <f ca="1">IFERROR(__xludf.DUMMYFUNCTION("""COMPUTED_VALUE"""),"bfc481b0")</f>
        <v>bfc481b0</v>
      </c>
      <c r="M600" s="2" t="str">
        <f ca="1">IFERROR(__xludf.DUMMYFUNCTION("""COMPUTED_VALUE"""),"Ajuste Arqueo 05/05/25")</f>
        <v>Ajuste Arqueo 05/05/25</v>
      </c>
      <c r="N600" s="2"/>
      <c r="O600" s="2" t="str">
        <f ca="1">IFERROR(__xludf.DUMMYFUNCTION("""COMPUTED_VALUE"""),"Descubada")</f>
        <v>Descubada</v>
      </c>
      <c r="P600" s="2" t="str">
        <f ca="1">IFERROR(__xludf.DUMMYFUNCTION("""COMPUTED_VALUE"""),"Terminado")</f>
        <v>Terminado</v>
      </c>
      <c r="Q600" s="2" t="b">
        <f ca="1">IFERROR(__xludf.DUMMYFUNCTION("""COMPUTED_VALUE"""),TRUE)</f>
        <v>1</v>
      </c>
      <c r="R600" s="2" t="str">
        <f ca="1">IFERROR(__xludf.DUMMYFUNCTION("""COMPUTED_VALUE"""),"Terminado")</f>
        <v>Terminado</v>
      </c>
      <c r="S600" s="2"/>
      <c r="T600" s="2"/>
      <c r="U600" s="2"/>
    </row>
    <row r="601" spans="1:21" x14ac:dyDescent="0.25">
      <c r="A601" s="2" t="str">
        <f ca="1">IFERROR(__xludf.DUMMYFUNCTION("""COMPUTED_VALUE"""),"7dde1efd")</f>
        <v>7dde1efd</v>
      </c>
      <c r="B601" s="5">
        <f ca="1">IFERROR(__xludf.DUMMYFUNCTION("""COMPUTED_VALUE"""),45785.4870486111)</f>
        <v>45785.487048611103</v>
      </c>
      <c r="C601" s="2" t="str">
        <f ca="1">IFERROR(__xludf.DUMMYFUNCTION("""COMPUTED_VALUE"""),"7b01278e")</f>
        <v>7b01278e</v>
      </c>
      <c r="D601" s="2">
        <f ca="1">IFERROR(__xludf.DUMMYFUNCTION("""COMPUTED_VALUE"""),66)</f>
        <v>66</v>
      </c>
      <c r="E601" s="2" t="str">
        <f ca="1">IFERROR(__xludf.DUMMYFUNCTION("""COMPUTED_VALUE"""),"Malbec Dulc")</f>
        <v>Malbec Dulc</v>
      </c>
      <c r="F601" s="2">
        <f ca="1">IFERROR(__xludf.DUMMYFUNCTION("""COMPUTED_VALUE"""),-5114)</f>
        <v>-5114</v>
      </c>
      <c r="G601" s="2">
        <f ca="1">IFERROR(__xludf.DUMMYFUNCTION("""COMPUTED_VALUE"""),500)</f>
        <v>500</v>
      </c>
      <c r="H601" s="2" t="str">
        <f ca="1">IFERROR(__xludf.DUMMYFUNCTION("""COMPUTED_VALUE"""),"bfc481b0")</f>
        <v>bfc481b0</v>
      </c>
      <c r="I601" s="2" t="str">
        <f ca="1">IFERROR(__xludf.DUMMYFUNCTION("""COMPUTED_VALUE"""),"Ajuste Arqueo 05/05/25")</f>
        <v>Ajuste Arqueo 05/05/25</v>
      </c>
      <c r="J601" s="2">
        <f ca="1">IFERROR(__xludf.DUMMYFUNCTION("""COMPUTED_VALUE"""),21101)</f>
        <v>21101</v>
      </c>
      <c r="K601" s="2">
        <f ca="1">IFERROR(__xludf.DUMMYFUNCTION("""COMPUTED_VALUE"""),15987)</f>
        <v>15987</v>
      </c>
      <c r="L601" s="2" t="str">
        <f ca="1">IFERROR(__xludf.DUMMYFUNCTION("""COMPUTED_VALUE"""),"2e70766e")</f>
        <v>2e70766e</v>
      </c>
      <c r="M601" s="2" t="str">
        <f ca="1">IFERROR(__xludf.DUMMYFUNCTION("""COMPUTED_VALUE"""),"Ajuste Arqueo 05/05/25")</f>
        <v>Ajuste Arqueo 05/05/25</v>
      </c>
      <c r="N601" s="2"/>
      <c r="O601" s="2" t="str">
        <f ca="1">IFERROR(__xludf.DUMMYFUNCTION("""COMPUTED_VALUE"""),"2do Trasiego")</f>
        <v>2do Trasiego</v>
      </c>
      <c r="P601" s="2" t="str">
        <f ca="1">IFERROR(__xludf.DUMMYFUNCTION("""COMPUTED_VALUE"""),"Terminado")</f>
        <v>Terminado</v>
      </c>
      <c r="Q601" s="2" t="b">
        <f ca="1">IFERROR(__xludf.DUMMYFUNCTION("""COMPUTED_VALUE"""),TRUE)</f>
        <v>1</v>
      </c>
      <c r="R601" s="2" t="str">
        <f ca="1">IFERROR(__xludf.DUMMYFUNCTION("""COMPUTED_VALUE"""),"Terminado")</f>
        <v>Terminado</v>
      </c>
      <c r="S601" s="2"/>
      <c r="T601" s="2"/>
      <c r="U601" s="2"/>
    </row>
    <row r="602" spans="1:21" x14ac:dyDescent="0.25">
      <c r="A602" s="2" t="str">
        <f ca="1">IFERROR(__xludf.DUMMYFUNCTION("""COMPUTED_VALUE"""),"4a702305")</f>
        <v>4a702305</v>
      </c>
      <c r="B602" s="5">
        <f ca="1">IFERROR(__xludf.DUMMYFUNCTION("""COMPUTED_VALUE"""),45785.7459953703)</f>
        <v>45785.7459953703</v>
      </c>
      <c r="C602" s="2" t="str">
        <f ca="1">IFERROR(__xludf.DUMMYFUNCTION("""COMPUTED_VALUE"""),"821a1155")</f>
        <v>821a1155</v>
      </c>
      <c r="D602" s="2">
        <f ca="1">IFERROR(__xludf.DUMMYFUNCTION("""COMPUTED_VALUE"""),114)</f>
        <v>114</v>
      </c>
      <c r="E602" s="2" t="str">
        <f ca="1">IFERROR(__xludf.DUMMYFUNCTION("""COMPUTED_VALUE"""),"Cabernet Sauv Millan 233")</f>
        <v>Cabernet Sauv Millan 233</v>
      </c>
      <c r="F602" s="2">
        <f ca="1">IFERROR(__xludf.DUMMYFUNCTION("""COMPUTED_VALUE"""),125300)</f>
        <v>125300</v>
      </c>
      <c r="G602" s="2">
        <f ca="1">IFERROR(__xludf.DUMMYFUNCTION("""COMPUTED_VALUE"""),500)</f>
        <v>500</v>
      </c>
      <c r="H602" s="2"/>
      <c r="I602" s="2"/>
      <c r="J602" s="2">
        <f ca="1">IFERROR(__xludf.DUMMYFUNCTION("""COMPUTED_VALUE"""),0)</f>
        <v>0</v>
      </c>
      <c r="K602" s="2">
        <f ca="1">IFERROR(__xludf.DUMMYFUNCTION("""COMPUTED_VALUE"""),125300)</f>
        <v>125300</v>
      </c>
      <c r="L602" s="2" t="str">
        <f ca="1">IFERROR(__xludf.DUMMYFUNCTION("""COMPUTED_VALUE"""),"3285bc9d")</f>
        <v>3285bc9d</v>
      </c>
      <c r="M602" s="2" t="str">
        <f ca="1">IFERROR(__xludf.DUMMYFUNCTION("""COMPUTED_VALUE"""),"Cabernet Sauv Millan 233 - - TRASLADO")</f>
        <v>Cabernet Sauv Millan 233 - - TRASLADO</v>
      </c>
      <c r="N602" s="2" t="str">
        <f ca="1">IFERROR(__xludf.DUMMYFUNCTION("""COMPUTED_VALUE"""),"Traslado Millan")</f>
        <v>Traslado Millan</v>
      </c>
      <c r="O602" s="2" t="str">
        <f ca="1">IFERROR(__xludf.DUMMYFUNCTION("""COMPUTED_VALUE"""),"Traslado Venta")</f>
        <v>Traslado Venta</v>
      </c>
      <c r="P602" s="2"/>
      <c r="Q602" s="2" t="b">
        <f ca="1">IFERROR(__xludf.DUMMYFUNCTION("""COMPUTED_VALUE"""),FALSE)</f>
        <v>0</v>
      </c>
      <c r="R602" s="2" t="str">
        <f ca="1">IFERROR(__xludf.DUMMYFUNCTION("""COMPUTED_VALUE"""),"Terminado")</f>
        <v>Terminado</v>
      </c>
      <c r="S602" s="2"/>
      <c r="T602" s="2"/>
      <c r="U602" s="2"/>
    </row>
    <row r="603" spans="1:21" x14ac:dyDescent="0.25">
      <c r="A603" s="2" t="str">
        <f ca="1">IFERROR(__xludf.DUMMYFUNCTION("""COMPUTED_VALUE"""),"471c485a")</f>
        <v>471c485a</v>
      </c>
      <c r="B603" s="5">
        <f ca="1">IFERROR(__xludf.DUMMYFUNCTION("""COMPUTED_VALUE"""),45785.7470949074)</f>
        <v>45785.747094907398</v>
      </c>
      <c r="C603" s="2" t="str">
        <f ca="1">IFERROR(__xludf.DUMMYFUNCTION("""COMPUTED_VALUE"""),"160a169f")</f>
        <v>160a169f</v>
      </c>
      <c r="D603" s="2">
        <f ca="1">IFERROR(__xludf.DUMMYFUNCTION("""COMPUTED_VALUE"""),28)</f>
        <v>28</v>
      </c>
      <c r="E603" s="2" t="str">
        <f ca="1">IFERROR(__xludf.DUMMYFUNCTION("""COMPUTED_VALUE"""),"Malbec Millan 200")</f>
        <v>Malbec Millan 200</v>
      </c>
      <c r="F603" s="2">
        <f ca="1">IFERROR(__xludf.DUMMYFUNCTION("""COMPUTED_VALUE"""),200000)</f>
        <v>200000</v>
      </c>
      <c r="G603" s="2">
        <f ca="1">IFERROR(__xludf.DUMMYFUNCTION("""COMPUTED_VALUE"""),500)</f>
        <v>500</v>
      </c>
      <c r="H603" s="2"/>
      <c r="I603" s="2"/>
      <c r="J603" s="2">
        <f ca="1">IFERROR(__xludf.DUMMYFUNCTION("""COMPUTED_VALUE"""),0)</f>
        <v>0</v>
      </c>
      <c r="K603" s="2">
        <f ca="1">IFERROR(__xludf.DUMMYFUNCTION("""COMPUTED_VALUE"""),200000)</f>
        <v>200000</v>
      </c>
      <c r="L603" s="2" t="str">
        <f ca="1">IFERROR(__xludf.DUMMYFUNCTION("""COMPUTED_VALUE"""),"cf5c62c4")</f>
        <v>cf5c62c4</v>
      </c>
      <c r="M603" s="2" t="str">
        <f ca="1">IFERROR(__xludf.DUMMYFUNCTION("""COMPUTED_VALUE"""),"Malbec Millan 200 - TRASLADO")</f>
        <v>Malbec Millan 200 - TRASLADO</v>
      </c>
      <c r="N603" s="2" t="str">
        <f ca="1">IFERROR(__xludf.DUMMYFUNCTION("""COMPUTED_VALUE"""),"Malbec Millan 200 - TRASLADO")</f>
        <v>Malbec Millan 200 - TRASLADO</v>
      </c>
      <c r="O603" s="2" t="str">
        <f ca="1">IFERROR(__xludf.DUMMYFUNCTION("""COMPUTED_VALUE"""),"Terminado")</f>
        <v>Terminado</v>
      </c>
      <c r="P603" s="2"/>
      <c r="Q603" s="2" t="b">
        <f ca="1">IFERROR(__xludf.DUMMYFUNCTION("""COMPUTED_VALUE"""),FALSE)</f>
        <v>0</v>
      </c>
      <c r="R603" s="2" t="str">
        <f ca="1">IFERROR(__xludf.DUMMYFUNCTION("""COMPUTED_VALUE"""),"Traslado Venta")</f>
        <v>Traslado Venta</v>
      </c>
      <c r="S603" s="2"/>
      <c r="T603" s="2"/>
      <c r="U603" s="2"/>
    </row>
    <row r="604" spans="1:21" x14ac:dyDescent="0.25">
      <c r="A604" s="2" t="str">
        <f ca="1">IFERROR(__xludf.DUMMYFUNCTION("""COMPUTED_VALUE"""),"61d8b80f")</f>
        <v>61d8b80f</v>
      </c>
      <c r="B604" s="5">
        <f ca="1">IFERROR(__xludf.DUMMYFUNCTION("""COMPUTED_VALUE"""),45785.7480324074)</f>
        <v>45785.748032407399</v>
      </c>
      <c r="C604" s="2" t="str">
        <f ca="1">IFERROR(__xludf.DUMMYFUNCTION("""COMPUTED_VALUE"""),"160a169f")</f>
        <v>160a169f</v>
      </c>
      <c r="D604" s="2">
        <f ca="1">IFERROR(__xludf.DUMMYFUNCTION("""COMPUTED_VALUE"""),28)</f>
        <v>28</v>
      </c>
      <c r="E604" s="2" t="str">
        <f ca="1">IFERROR(__xludf.DUMMYFUNCTION("""COMPUTED_VALUE"""),"Malbec Millan 200")</f>
        <v>Malbec Millan 200</v>
      </c>
      <c r="F604" s="2">
        <f ca="1">IFERROR(__xludf.DUMMYFUNCTION("""COMPUTED_VALUE"""),600)</f>
        <v>600</v>
      </c>
      <c r="G604" s="2">
        <f ca="1">IFERROR(__xludf.DUMMYFUNCTION("""COMPUTED_VALUE"""),500)</f>
        <v>500</v>
      </c>
      <c r="H604" s="2" t="str">
        <f ca="1">IFERROR(__xludf.DUMMYFUNCTION("""COMPUTED_VALUE"""),"cf5c62c4")</f>
        <v>cf5c62c4</v>
      </c>
      <c r="I604" s="2" t="str">
        <f ca="1">IFERROR(__xludf.DUMMYFUNCTION("""COMPUTED_VALUE"""),"Malbec Millan 200 - TRASLADO")</f>
        <v>Malbec Millan 200 - TRASLADO</v>
      </c>
      <c r="J604" s="2">
        <f ca="1">IFERROR(__xludf.DUMMYFUNCTION("""COMPUTED_VALUE"""),200000)</f>
        <v>200000</v>
      </c>
      <c r="K604" s="2">
        <f ca="1">IFERROR(__xludf.DUMMYFUNCTION("""COMPUTED_VALUE"""),200600)</f>
        <v>200600</v>
      </c>
      <c r="L604" s="2" t="str">
        <f ca="1">IFERROR(__xludf.DUMMYFUNCTION("""COMPUTED_VALUE"""),"19e8f31c")</f>
        <v>19e8f31c</v>
      </c>
      <c r="M604" s="2" t="str">
        <f ca="1">IFERROR(__xludf.DUMMYFUNCTION("""COMPUTED_VALUE"""),"Malbec Millan 200 - TRASLADO")</f>
        <v>Malbec Millan 200 - TRASLADO</v>
      </c>
      <c r="N604" s="2"/>
      <c r="O604" s="2" t="str">
        <f ca="1">IFERROR(__xludf.DUMMYFUNCTION("""COMPUTED_VALUE"""),"Terminado")</f>
        <v>Terminado</v>
      </c>
      <c r="P604" s="2" t="str">
        <f ca="1">IFERROR(__xludf.DUMMYFUNCTION("""COMPUTED_VALUE"""),"Traslado Venta")</f>
        <v>Traslado Venta</v>
      </c>
      <c r="Q604" s="2" t="b">
        <f ca="1">IFERROR(__xludf.DUMMYFUNCTION("""COMPUTED_VALUE"""),TRUE)</f>
        <v>1</v>
      </c>
      <c r="R604" s="2" t="str">
        <f ca="1">IFERROR(__xludf.DUMMYFUNCTION("""COMPUTED_VALUE"""),"Traslado Venta")</f>
        <v>Traslado Venta</v>
      </c>
      <c r="S604" s="2"/>
      <c r="T604" s="2"/>
      <c r="U604" s="2"/>
    </row>
    <row r="605" spans="1:21" x14ac:dyDescent="0.25">
      <c r="A605" s="2" t="str">
        <f ca="1">IFERROR(__xludf.DUMMYFUNCTION("""COMPUTED_VALUE"""),"5f641943")</f>
        <v>5f641943</v>
      </c>
      <c r="B605" s="5">
        <f ca="1">IFERROR(__xludf.DUMMYFUNCTION("""COMPUTED_VALUE"""),45785.7516319444)</f>
        <v>45785.751631944397</v>
      </c>
      <c r="C605" s="2" t="str">
        <f ca="1">IFERROR(__xludf.DUMMYFUNCTION("""COMPUTED_VALUE"""),"ff99f9ec")</f>
        <v>ff99f9ec</v>
      </c>
      <c r="D605" s="2">
        <f ca="1">IFERROR(__xludf.DUMMYFUNCTION("""COMPUTED_VALUE"""),81)</f>
        <v>81</v>
      </c>
      <c r="E605" s="2" t="str">
        <f ca="1">IFERROR(__xludf.DUMMYFUNCTION("""COMPUTED_VALUE"""),"Cabernet Sauv Millan 233")</f>
        <v>Cabernet Sauv Millan 233</v>
      </c>
      <c r="F605" s="2">
        <f ca="1">IFERROR(__xludf.DUMMYFUNCTION("""COMPUTED_VALUE"""),13000)</f>
        <v>13000</v>
      </c>
      <c r="G605" s="2">
        <f ca="1">IFERROR(__xludf.DUMMYFUNCTION("""COMPUTED_VALUE"""),70)</f>
        <v>70</v>
      </c>
      <c r="H605" s="2"/>
      <c r="I605" s="2"/>
      <c r="J605" s="2">
        <f ca="1">IFERROR(__xludf.DUMMYFUNCTION("""COMPUTED_VALUE"""),0)</f>
        <v>0</v>
      </c>
      <c r="K605" s="2">
        <f ca="1">IFERROR(__xludf.DUMMYFUNCTION("""COMPUTED_VALUE"""),13000)</f>
        <v>13000</v>
      </c>
      <c r="L605" s="2" t="str">
        <f ca="1">IFERROR(__xludf.DUMMYFUNCTION("""COMPUTED_VALUE"""),"97f43e08")</f>
        <v>97f43e08</v>
      </c>
      <c r="M605" s="2" t="str">
        <f ca="1">IFERROR(__xludf.DUMMYFUNCTION("""COMPUTED_VALUE"""),"Cabernet Sauv Millan 233")</f>
        <v>Cabernet Sauv Millan 233</v>
      </c>
      <c r="N605" s="2"/>
      <c r="O605" s="2" t="str">
        <f ca="1">IFERROR(__xludf.DUMMYFUNCTION("""COMPUTED_VALUE"""),"Terminado")</f>
        <v>Terminado</v>
      </c>
      <c r="P605" s="2"/>
      <c r="Q605" s="2" t="b">
        <f ca="1">IFERROR(__xludf.DUMMYFUNCTION("""COMPUTED_VALUE"""),FALSE)</f>
        <v>0</v>
      </c>
      <c r="R605" s="2" t="str">
        <f ca="1">IFERROR(__xludf.DUMMYFUNCTION("""COMPUTED_VALUE"""),"Terminado")</f>
        <v>Terminado</v>
      </c>
      <c r="S605" s="2"/>
      <c r="T605" s="2"/>
      <c r="U605" s="2"/>
    </row>
    <row r="606" spans="1:21" x14ac:dyDescent="0.25">
      <c r="A606" s="2" t="str">
        <f ca="1">IFERROR(__xludf.DUMMYFUNCTION("""COMPUTED_VALUE"""),"047ef3e0")</f>
        <v>047ef3e0</v>
      </c>
      <c r="B606" s="5">
        <f ca="1">IFERROR(__xludf.DUMMYFUNCTION("""COMPUTED_VALUE"""),45785.7520254629)</f>
        <v>45785.752025462898</v>
      </c>
      <c r="C606" s="2" t="str">
        <f ca="1">IFERROR(__xludf.DUMMYFUNCTION("""COMPUTED_VALUE"""),"ff99f9ec")</f>
        <v>ff99f9ec</v>
      </c>
      <c r="D606" s="2">
        <f ca="1">IFERROR(__xludf.DUMMYFUNCTION("""COMPUTED_VALUE"""),81)</f>
        <v>81</v>
      </c>
      <c r="E606" s="2" t="str">
        <f ca="1">IFERROR(__xludf.DUMMYFUNCTION("""COMPUTED_VALUE"""),"Cabernet Sauv Millan 233")</f>
        <v>Cabernet Sauv Millan 233</v>
      </c>
      <c r="F606" s="2">
        <f ca="1">IFERROR(__xludf.DUMMYFUNCTION("""COMPUTED_VALUE"""),6105)</f>
        <v>6105</v>
      </c>
      <c r="G606" s="2">
        <f ca="1">IFERROR(__xludf.DUMMYFUNCTION("""COMPUTED_VALUE"""),500)</f>
        <v>500</v>
      </c>
      <c r="H606" s="2"/>
      <c r="I606" s="2"/>
      <c r="J606" s="2">
        <f ca="1">IFERROR(__xludf.DUMMYFUNCTION("""COMPUTED_VALUE"""),0)</f>
        <v>0</v>
      </c>
      <c r="K606" s="2">
        <f ca="1">IFERROR(__xludf.DUMMYFUNCTION("""COMPUTED_VALUE"""),6105)</f>
        <v>6105</v>
      </c>
      <c r="L606" s="2" t="str">
        <f ca="1">IFERROR(__xludf.DUMMYFUNCTION("""COMPUTED_VALUE"""),"e07698b4")</f>
        <v>e07698b4</v>
      </c>
      <c r="M606" s="2" t="str">
        <f ca="1">IFERROR(__xludf.DUMMYFUNCTION("""COMPUTED_VALUE"""),"Cabernet Sauv Millan 233 - TRASLADO")</f>
        <v>Cabernet Sauv Millan 233 - TRASLADO</v>
      </c>
      <c r="N606" s="2" t="str">
        <f ca="1">IFERROR(__xludf.DUMMYFUNCTION("""COMPUTED_VALUE"""),"Cabernet Sauv Millan 233 - TRASLADO")</f>
        <v>Cabernet Sauv Millan 233 - TRASLADO</v>
      </c>
      <c r="O606" s="2" t="str">
        <f ca="1">IFERROR(__xludf.DUMMYFUNCTION("""COMPUTED_VALUE"""),"Terminado")</f>
        <v>Terminado</v>
      </c>
      <c r="P606" s="2"/>
      <c r="Q606" s="2" t="b">
        <f ca="1">IFERROR(__xludf.DUMMYFUNCTION("""COMPUTED_VALUE"""),FALSE)</f>
        <v>0</v>
      </c>
      <c r="R606" s="2" t="str">
        <f ca="1">IFERROR(__xludf.DUMMYFUNCTION("""COMPUTED_VALUE"""),"Traslado Venta")</f>
        <v>Traslado Venta</v>
      </c>
      <c r="S606" s="2"/>
      <c r="T606" s="2"/>
      <c r="U606" s="2"/>
    </row>
    <row r="607" spans="1:21" x14ac:dyDescent="0.25">
      <c r="A607" s="2" t="str">
        <f ca="1">IFERROR(__xludf.DUMMYFUNCTION("""COMPUTED_VALUE"""),"70c810a8")</f>
        <v>70c810a8</v>
      </c>
      <c r="B607" s="5">
        <f ca="1">IFERROR(__xludf.DUMMYFUNCTION("""COMPUTED_VALUE"""),45785.794849537)</f>
        <v>45785.794849537</v>
      </c>
      <c r="C607" s="2" t="str">
        <f ca="1">IFERROR(__xludf.DUMMYFUNCTION("""COMPUTED_VALUE"""),"8ec426a5")</f>
        <v>8ec426a5</v>
      </c>
      <c r="D607" s="2">
        <f ca="1">IFERROR(__xludf.DUMMYFUNCTION("""COMPUTED_VALUE"""),118)</f>
        <v>118</v>
      </c>
      <c r="E607" s="2" t="str">
        <f ca="1">IFERROR(__xludf.DUMMYFUNCTION("""COMPUTED_VALUE"""),"Bonarda")</f>
        <v>Bonarda</v>
      </c>
      <c r="F607" s="2">
        <f ca="1">IFERROR(__xludf.DUMMYFUNCTION("""COMPUTED_VALUE"""),7000)</f>
        <v>7000</v>
      </c>
      <c r="G607" s="2">
        <f ca="1">IFERROR(__xludf.DUMMYFUNCTION("""COMPUTED_VALUE"""),107)</f>
        <v>107</v>
      </c>
      <c r="H607" s="2" t="str">
        <f ca="1">IFERROR(__xludf.DUMMYFUNCTION("""COMPUTED_VALUE"""),"56ef2422")</f>
        <v>56ef2422</v>
      </c>
      <c r="I607" s="2" t="str">
        <f ca="1">IFERROR(__xludf.DUMMYFUNCTION("""COMPUTED_VALUE"""),"Bonarda")</f>
        <v>Bonarda</v>
      </c>
      <c r="J607" s="2">
        <f ca="1">IFERROR(__xludf.DUMMYFUNCTION("""COMPUTED_VALUE"""),24000)</f>
        <v>24000</v>
      </c>
      <c r="K607" s="2">
        <f ca="1">IFERROR(__xludf.DUMMYFUNCTION("""COMPUTED_VALUE"""),31000)</f>
        <v>31000</v>
      </c>
      <c r="L607" s="2" t="str">
        <f ca="1">IFERROR(__xludf.DUMMYFUNCTION("""COMPUTED_VALUE"""),"1c302922")</f>
        <v>1c302922</v>
      </c>
      <c r="M607" s="2" t="str">
        <f ca="1">IFERROR(__xludf.DUMMYFUNCTION("""COMPUTED_VALUE"""),"Bonarda")</f>
        <v>Bonarda</v>
      </c>
      <c r="N607" s="2"/>
      <c r="O607" s="2" t="str">
        <f ca="1">IFERROR(__xludf.DUMMYFUNCTION("""COMPUTED_VALUE"""),"Descubada")</f>
        <v>Descubada</v>
      </c>
      <c r="P607" s="2" t="str">
        <f ca="1">IFERROR(__xludf.DUMMYFUNCTION("""COMPUTED_VALUE"""),"1er Trasiego")</f>
        <v>1er Trasiego</v>
      </c>
      <c r="Q607" s="2" t="b">
        <f ca="1">IFERROR(__xludf.DUMMYFUNCTION("""COMPUTED_VALUE"""),TRUE)</f>
        <v>1</v>
      </c>
      <c r="R607" s="2" t="str">
        <f ca="1">IFERROR(__xludf.DUMMYFUNCTION("""COMPUTED_VALUE"""),"1er Trasiego")</f>
        <v>1er Trasiego</v>
      </c>
      <c r="S607" s="2"/>
      <c r="T607" s="2"/>
      <c r="U607" s="2"/>
    </row>
    <row r="608" spans="1:21" x14ac:dyDescent="0.25">
      <c r="A608" s="2" t="str">
        <f ca="1">IFERROR(__xludf.DUMMYFUNCTION("""COMPUTED_VALUE"""),"1714b431")</f>
        <v>1714b431</v>
      </c>
      <c r="B608" s="5">
        <f ca="1">IFERROR(__xludf.DUMMYFUNCTION("""COMPUTED_VALUE"""),45785.7950810185)</f>
        <v>45785.795081018499</v>
      </c>
      <c r="C608" s="2" t="str">
        <f ca="1">IFERROR(__xludf.DUMMYFUNCTION("""COMPUTED_VALUE"""),"8ec426a5")</f>
        <v>8ec426a5</v>
      </c>
      <c r="D608" s="2">
        <f ca="1">IFERROR(__xludf.DUMMYFUNCTION("""COMPUTED_VALUE"""),118)</f>
        <v>118</v>
      </c>
      <c r="E608" s="2" t="str">
        <f ca="1">IFERROR(__xludf.DUMMYFUNCTION("""COMPUTED_VALUE"""),"Bonarda")</f>
        <v>Bonarda</v>
      </c>
      <c r="F608" s="2">
        <f ca="1">IFERROR(__xludf.DUMMYFUNCTION("""COMPUTED_VALUE"""),14000)</f>
        <v>14000</v>
      </c>
      <c r="G608" s="2">
        <f ca="1">IFERROR(__xludf.DUMMYFUNCTION("""COMPUTED_VALUE"""),108)</f>
        <v>108</v>
      </c>
      <c r="H608" s="2" t="str">
        <f ca="1">IFERROR(__xludf.DUMMYFUNCTION("""COMPUTED_VALUE"""),"e9379a58")</f>
        <v>e9379a58</v>
      </c>
      <c r="I608" s="2" t="str">
        <f ca="1">IFERROR(__xludf.DUMMYFUNCTION("""COMPUTED_VALUE"""),"Bonarda")</f>
        <v>Bonarda</v>
      </c>
      <c r="J608" s="2">
        <f ca="1">IFERROR(__xludf.DUMMYFUNCTION("""COMPUTED_VALUE"""),17000)</f>
        <v>17000</v>
      </c>
      <c r="K608" s="2">
        <f ca="1">IFERROR(__xludf.DUMMYFUNCTION("""COMPUTED_VALUE"""),31000)</f>
        <v>31000</v>
      </c>
      <c r="L608" s="2" t="str">
        <f ca="1">IFERROR(__xludf.DUMMYFUNCTION("""COMPUTED_VALUE"""),"ae7ca061")</f>
        <v>ae7ca061</v>
      </c>
      <c r="M608" s="2" t="str">
        <f ca="1">IFERROR(__xludf.DUMMYFUNCTION("""COMPUTED_VALUE"""),"Bonarda")</f>
        <v>Bonarda</v>
      </c>
      <c r="N608" s="2"/>
      <c r="O608" s="2" t="str">
        <f ca="1">IFERROR(__xludf.DUMMYFUNCTION("""COMPUTED_VALUE"""),"Descubada")</f>
        <v>Descubada</v>
      </c>
      <c r="P608" s="2" t="str">
        <f ca="1">IFERROR(__xludf.DUMMYFUNCTION("""COMPUTED_VALUE"""),"1er Trasiego")</f>
        <v>1er Trasiego</v>
      </c>
      <c r="Q608" s="2" t="b">
        <f ca="1">IFERROR(__xludf.DUMMYFUNCTION("""COMPUTED_VALUE"""),TRUE)</f>
        <v>1</v>
      </c>
      <c r="R608" s="2" t="str">
        <f ca="1">IFERROR(__xludf.DUMMYFUNCTION("""COMPUTED_VALUE"""),"1er Trasiego")</f>
        <v>1er Trasiego</v>
      </c>
      <c r="S608" s="2"/>
      <c r="T608" s="2"/>
      <c r="U608" s="2"/>
    </row>
    <row r="609" spans="1:21" x14ac:dyDescent="0.25">
      <c r="A609" s="2" t="str">
        <f ca="1">IFERROR(__xludf.DUMMYFUNCTION("""COMPUTED_VALUE"""),"7517c162")</f>
        <v>7517c162</v>
      </c>
      <c r="B609" s="5">
        <f ca="1">IFERROR(__xludf.DUMMYFUNCTION("""COMPUTED_VALUE"""),45785.7954513888)</f>
        <v>45785.795451388803</v>
      </c>
      <c r="C609" s="2" t="str">
        <f ca="1">IFERROR(__xludf.DUMMYFUNCTION("""COMPUTED_VALUE"""),"a6d28e88")</f>
        <v>a6d28e88</v>
      </c>
      <c r="D609" s="2">
        <f ca="1">IFERROR(__xludf.DUMMYFUNCTION("""COMPUTED_VALUE"""),25)</f>
        <v>25</v>
      </c>
      <c r="E609" s="2" t="str">
        <f ca="1">IFERROR(__xludf.DUMMYFUNCTION("""COMPUTED_VALUE"""),"Syrah")</f>
        <v>Syrah</v>
      </c>
      <c r="F609" s="2">
        <f ca="1">IFERROR(__xludf.DUMMYFUNCTION("""COMPUTED_VALUE"""),-2300)</f>
        <v>-2300</v>
      </c>
      <c r="G609" s="2">
        <f ca="1">IFERROR(__xludf.DUMMYFUNCTION("""COMPUTED_VALUE"""),118)</f>
        <v>118</v>
      </c>
      <c r="H609" s="2" t="str">
        <f ca="1">IFERROR(__xludf.DUMMYFUNCTION("""COMPUTED_VALUE"""),"8ec426a5")</f>
        <v>8ec426a5</v>
      </c>
      <c r="I609" s="2" t="str">
        <f ca="1">IFERROR(__xludf.DUMMYFUNCTION("""COMPUTED_VALUE"""),"Bonarda")</f>
        <v>Bonarda</v>
      </c>
      <c r="J609" s="2">
        <f ca="1">IFERROR(__xludf.DUMMYFUNCTION("""COMPUTED_VALUE"""),19295)</f>
        <v>19295</v>
      </c>
      <c r="K609" s="2">
        <f ca="1">IFERROR(__xludf.DUMMYFUNCTION("""COMPUTED_VALUE"""),16995)</f>
        <v>16995</v>
      </c>
      <c r="L609" s="2" t="str">
        <f ca="1">IFERROR(__xludf.DUMMYFUNCTION("""COMPUTED_VALUE"""),"a2f1fdf7")</f>
        <v>a2f1fdf7</v>
      </c>
      <c r="M609" s="2" t="str">
        <f ca="1">IFERROR(__xludf.DUMMYFUNCTION("""COMPUTED_VALUE"""),"Bonarda")</f>
        <v>Bonarda</v>
      </c>
      <c r="N609" s="2"/>
      <c r="O609" s="2" t="str">
        <f ca="1">IFERROR(__xludf.DUMMYFUNCTION("""COMPUTED_VALUE"""),"1er Trasiego")</f>
        <v>1er Trasiego</v>
      </c>
      <c r="P609" s="2" t="str">
        <f ca="1">IFERROR(__xludf.DUMMYFUNCTION("""COMPUTED_VALUE"""),"Descubada")</f>
        <v>Descubada</v>
      </c>
      <c r="Q609" s="2" t="b">
        <f ca="1">IFERROR(__xludf.DUMMYFUNCTION("""COMPUTED_VALUE"""),TRUE)</f>
        <v>1</v>
      </c>
      <c r="R609" s="2" t="str">
        <f ca="1">IFERROR(__xludf.DUMMYFUNCTION("""COMPUTED_VALUE"""),"Descubada")</f>
        <v>Descubada</v>
      </c>
      <c r="S609" s="2"/>
      <c r="T609" s="2"/>
      <c r="U609" s="2"/>
    </row>
    <row r="610" spans="1:21" x14ac:dyDescent="0.25">
      <c r="A610" s="2" t="str">
        <f ca="1">IFERROR(__xludf.DUMMYFUNCTION("""COMPUTED_VALUE"""),"806c7999")</f>
        <v>806c7999</v>
      </c>
      <c r="B610" s="5">
        <f ca="1">IFERROR(__xludf.DUMMYFUNCTION("""COMPUTED_VALUE"""),45785.7960300925)</f>
        <v>45785.796030092497</v>
      </c>
      <c r="C610" s="2" t="str">
        <f ca="1">IFERROR(__xludf.DUMMYFUNCTION("""COMPUTED_VALUE"""),"efada090")</f>
        <v>efada090</v>
      </c>
      <c r="D610" s="2">
        <f ca="1">IFERROR(__xludf.DUMMYFUNCTION("""COMPUTED_VALUE"""),26)</f>
        <v>26</v>
      </c>
      <c r="E610" s="2" t="str">
        <f ca="1">IFERROR(__xludf.DUMMYFUNCTION("""COMPUTED_VALUE"""),"Syrah")</f>
        <v>Syrah</v>
      </c>
      <c r="F610" s="2">
        <f ca="1">IFERROR(__xludf.DUMMYFUNCTION("""COMPUTED_VALUE"""),-600)</f>
        <v>-600</v>
      </c>
      <c r="G610" s="2">
        <f ca="1">IFERROR(__xludf.DUMMYFUNCTION("""COMPUTED_VALUE"""),118)</f>
        <v>118</v>
      </c>
      <c r="H610" s="2" t="str">
        <f ca="1">IFERROR(__xludf.DUMMYFUNCTION("""COMPUTED_VALUE"""),"a2f1fdf7")</f>
        <v>a2f1fdf7</v>
      </c>
      <c r="I610" s="2" t="str">
        <f ca="1">IFERROR(__xludf.DUMMYFUNCTION("""COMPUTED_VALUE"""),"Bonarda")</f>
        <v>Bonarda</v>
      </c>
      <c r="J610" s="2">
        <f ca="1">IFERROR(__xludf.DUMMYFUNCTION("""COMPUTED_VALUE"""),16995)</f>
        <v>16995</v>
      </c>
      <c r="K610" s="2">
        <f ca="1">IFERROR(__xludf.DUMMYFUNCTION("""COMPUTED_VALUE"""),16395)</f>
        <v>16395</v>
      </c>
      <c r="L610" s="2" t="str">
        <f ca="1">IFERROR(__xludf.DUMMYFUNCTION("""COMPUTED_VALUE"""),"44e5df4d")</f>
        <v>44e5df4d</v>
      </c>
      <c r="M610" s="2" t="str">
        <f ca="1">IFERROR(__xludf.DUMMYFUNCTION("""COMPUTED_VALUE"""),"Bonarda")</f>
        <v>Bonarda</v>
      </c>
      <c r="N610" s="2"/>
      <c r="O610" s="2" t="str">
        <f ca="1">IFERROR(__xludf.DUMMYFUNCTION("""COMPUTED_VALUE"""),"1er Trasiego")</f>
        <v>1er Trasiego</v>
      </c>
      <c r="P610" s="2" t="str">
        <f ca="1">IFERROR(__xludf.DUMMYFUNCTION("""COMPUTED_VALUE"""),"Descubada")</f>
        <v>Descubada</v>
      </c>
      <c r="Q610" s="2" t="b">
        <f ca="1">IFERROR(__xludf.DUMMYFUNCTION("""COMPUTED_VALUE"""),TRUE)</f>
        <v>1</v>
      </c>
      <c r="R610" s="2" t="str">
        <f ca="1">IFERROR(__xludf.DUMMYFUNCTION("""COMPUTED_VALUE"""),"Descubada")</f>
        <v>Descubada</v>
      </c>
      <c r="S610" s="2"/>
      <c r="T610" s="2"/>
      <c r="U610" s="2"/>
    </row>
    <row r="611" spans="1:21" x14ac:dyDescent="0.25">
      <c r="A611" s="2" t="str">
        <f ca="1">IFERROR(__xludf.DUMMYFUNCTION("""COMPUTED_VALUE"""),"8a335101")</f>
        <v>8a335101</v>
      </c>
      <c r="B611" s="5">
        <f ca="1">IFERROR(__xludf.DUMMYFUNCTION("""COMPUTED_VALUE"""),45785.7964467592)</f>
        <v>45785.796446759203</v>
      </c>
      <c r="C611" s="2" t="str">
        <f ca="1">IFERROR(__xludf.DUMMYFUNCTION("""COMPUTED_VALUE"""),"7b6b2c2a")</f>
        <v>7b6b2c2a</v>
      </c>
      <c r="D611" s="2">
        <f ca="1">IFERROR(__xludf.DUMMYFUNCTION("""COMPUTED_VALUE"""),34)</f>
        <v>34</v>
      </c>
      <c r="E611" s="2" t="str">
        <f ca="1">IFERROR(__xludf.DUMMYFUNCTION("""COMPUTED_VALUE"""),"Bonarda")</f>
        <v>Bonarda</v>
      </c>
      <c r="F611" s="2">
        <f ca="1">IFERROR(__xludf.DUMMYFUNCTION("""COMPUTED_VALUE"""),-3500)</f>
        <v>-3500</v>
      </c>
      <c r="G611" s="2">
        <f ca="1">IFERROR(__xludf.DUMMYFUNCTION("""COMPUTED_VALUE"""),118)</f>
        <v>118</v>
      </c>
      <c r="H611" s="2" t="str">
        <f ca="1">IFERROR(__xludf.DUMMYFUNCTION("""COMPUTED_VALUE"""),"44e5df4d")</f>
        <v>44e5df4d</v>
      </c>
      <c r="I611" s="2" t="str">
        <f ca="1">IFERROR(__xludf.DUMMYFUNCTION("""COMPUTED_VALUE"""),"Bonarda")</f>
        <v>Bonarda</v>
      </c>
      <c r="J611" s="2">
        <f ca="1">IFERROR(__xludf.DUMMYFUNCTION("""COMPUTED_VALUE"""),16395)</f>
        <v>16395</v>
      </c>
      <c r="K611" s="2">
        <f ca="1">IFERROR(__xludf.DUMMYFUNCTION("""COMPUTED_VALUE"""),12895)</f>
        <v>12895</v>
      </c>
      <c r="L611" s="2" t="str">
        <f ca="1">IFERROR(__xludf.DUMMYFUNCTION("""COMPUTED_VALUE"""),"e1fe7b8e")</f>
        <v>e1fe7b8e</v>
      </c>
      <c r="M611" s="2" t="str">
        <f ca="1">IFERROR(__xludf.DUMMYFUNCTION("""COMPUTED_VALUE"""),"Bonarda")</f>
        <v>Bonarda</v>
      </c>
      <c r="N611" s="2"/>
      <c r="O611" s="2" t="str">
        <f ca="1">IFERROR(__xludf.DUMMYFUNCTION("""COMPUTED_VALUE"""),"Descubada")</f>
        <v>Descubada</v>
      </c>
      <c r="P611" s="2" t="str">
        <f ca="1">IFERROR(__xludf.DUMMYFUNCTION("""COMPUTED_VALUE"""),"Descubada")</f>
        <v>Descubada</v>
      </c>
      <c r="Q611" s="2" t="b">
        <f ca="1">IFERROR(__xludf.DUMMYFUNCTION("""COMPUTED_VALUE"""),TRUE)</f>
        <v>1</v>
      </c>
      <c r="R611" s="2" t="str">
        <f ca="1">IFERROR(__xludf.DUMMYFUNCTION("""COMPUTED_VALUE"""),"Descubada")</f>
        <v>Descubada</v>
      </c>
      <c r="S611" s="2"/>
      <c r="T611" s="2"/>
      <c r="U611" s="2"/>
    </row>
    <row r="612" spans="1:21" x14ac:dyDescent="0.25">
      <c r="A612" s="2" t="str">
        <f ca="1">IFERROR(__xludf.DUMMYFUNCTION("""COMPUTED_VALUE"""),"e3a33f29")</f>
        <v>e3a33f29</v>
      </c>
      <c r="B612" s="5">
        <f ca="1">IFERROR(__xludf.DUMMYFUNCTION("""COMPUTED_VALUE"""),45786.6770138888)</f>
        <v>45786.677013888802</v>
      </c>
      <c r="C612" s="2" t="str">
        <f ca="1">IFERROR(__xludf.DUMMYFUNCTION("""COMPUTED_VALUE"""),"e1fe7b8e")</f>
        <v>e1fe7b8e</v>
      </c>
      <c r="D612" s="2">
        <f ca="1">IFERROR(__xludf.DUMMYFUNCTION("""COMPUTED_VALUE"""),118)</f>
        <v>118</v>
      </c>
      <c r="E612" s="2" t="str">
        <f ca="1">IFERROR(__xludf.DUMMYFUNCTION("""COMPUTED_VALUE"""),"Bonarda")</f>
        <v>Bonarda</v>
      </c>
      <c r="F612" s="2">
        <f ca="1">IFERROR(__xludf.DUMMYFUNCTION("""COMPUTED_VALUE"""),4000)</f>
        <v>4000</v>
      </c>
      <c r="G612" s="2">
        <f ca="1">IFERROR(__xludf.DUMMYFUNCTION("""COMPUTED_VALUE"""),50)</f>
        <v>50</v>
      </c>
      <c r="H612" s="2"/>
      <c r="I612" s="2"/>
      <c r="J612" s="2">
        <f ca="1">IFERROR(__xludf.DUMMYFUNCTION("""COMPUTED_VALUE"""),0)</f>
        <v>0</v>
      </c>
      <c r="K612" s="2">
        <f ca="1">IFERROR(__xludf.DUMMYFUNCTION("""COMPUTED_VALUE"""),4000)</f>
        <v>4000</v>
      </c>
      <c r="L612" s="2" t="str">
        <f ca="1">IFERROR(__xludf.DUMMYFUNCTION("""COMPUTED_VALUE"""),"0a82e5f5")</f>
        <v>0a82e5f5</v>
      </c>
      <c r="M612" s="2" t="str">
        <f ca="1">IFERROR(__xludf.DUMMYFUNCTION("""COMPUTED_VALUE"""),"Malbec Carricondo Venta")</f>
        <v>Malbec Carricondo Venta</v>
      </c>
      <c r="N612" s="2"/>
      <c r="O612" s="2" t="str">
        <f ca="1">IFERROR(__xludf.DUMMYFUNCTION("""COMPUTED_VALUE"""),"Descubada")</f>
        <v>Descubada</v>
      </c>
      <c r="P612" s="2"/>
      <c r="Q612" s="2" t="b">
        <f ca="1">IFERROR(__xludf.DUMMYFUNCTION("""COMPUTED_VALUE"""),FALSE)</f>
        <v>0</v>
      </c>
      <c r="R612" s="2" t="str">
        <f ca="1">IFERROR(__xludf.DUMMYFUNCTION("""COMPUTED_VALUE"""),"1er Trasiego")</f>
        <v>1er Trasiego</v>
      </c>
      <c r="S612" s="2"/>
      <c r="T612" s="2"/>
      <c r="U612" s="2"/>
    </row>
    <row r="613" spans="1:21" x14ac:dyDescent="0.25">
      <c r="A613" s="2" t="str">
        <f ca="1">IFERROR(__xludf.DUMMYFUNCTION("""COMPUTED_VALUE"""),"10c89e32")</f>
        <v>10c89e32</v>
      </c>
      <c r="B613" s="5">
        <f ca="1">IFERROR(__xludf.DUMMYFUNCTION("""COMPUTED_VALUE"""),45786.6792592592)</f>
        <v>45786.679259259203</v>
      </c>
      <c r="C613" s="2" t="str">
        <f ca="1">IFERROR(__xludf.DUMMYFUNCTION("""COMPUTED_VALUE"""),"3640d88c")</f>
        <v>3640d88c</v>
      </c>
      <c r="D613" s="2">
        <f ca="1">IFERROR(__xludf.DUMMYFUNCTION("""COMPUTED_VALUE"""),14)</f>
        <v>14</v>
      </c>
      <c r="E613" s="2" t="str">
        <f ca="1">IFERROR(__xludf.DUMMYFUNCTION("""COMPUTED_VALUE"""),"Malbec Mec")</f>
        <v>Malbec Mec</v>
      </c>
      <c r="F613" s="2">
        <f ca="1">IFERROR(__xludf.DUMMYFUNCTION("""COMPUTED_VALUE"""),37000)</f>
        <v>37000</v>
      </c>
      <c r="G613" s="2">
        <f ca="1">IFERROR(__xludf.DUMMYFUNCTION("""COMPUTED_VALUE"""),24)</f>
        <v>24</v>
      </c>
      <c r="H613" s="2"/>
      <c r="I613" s="2"/>
      <c r="J613" s="2">
        <f ca="1">IFERROR(__xludf.DUMMYFUNCTION("""COMPUTED_VALUE"""),0)</f>
        <v>0</v>
      </c>
      <c r="K613" s="2">
        <f ca="1">IFERROR(__xludf.DUMMYFUNCTION("""COMPUTED_VALUE"""),37000)</f>
        <v>37000</v>
      </c>
      <c r="L613" s="2" t="str">
        <f ca="1">IFERROR(__xludf.DUMMYFUNCTION("""COMPUTED_VALUE"""),"55222a6e")</f>
        <v>55222a6e</v>
      </c>
      <c r="M613" s="2" t="str">
        <f ca="1">IFERROR(__xludf.DUMMYFUNCTION("""COMPUTED_VALUE"""),"Malbec")</f>
        <v>Malbec</v>
      </c>
      <c r="N613" s="2"/>
      <c r="O613" s="2" t="str">
        <f ca="1">IFERROR(__xludf.DUMMYFUNCTION("""COMPUTED_VALUE"""),"Descubada")</f>
        <v>Descubada</v>
      </c>
      <c r="P613" s="2"/>
      <c r="Q613" s="2" t="b">
        <f ca="1">IFERROR(__xludf.DUMMYFUNCTION("""COMPUTED_VALUE"""),FALSE)</f>
        <v>0</v>
      </c>
      <c r="R613" s="2" t="str">
        <f ca="1">IFERROR(__xludf.DUMMYFUNCTION("""COMPUTED_VALUE"""),"1er Trasiego")</f>
        <v>1er Trasiego</v>
      </c>
      <c r="S613" s="2"/>
      <c r="T613" s="2"/>
      <c r="U613" s="2"/>
    </row>
    <row r="614" spans="1:21" x14ac:dyDescent="0.25">
      <c r="A614" s="2" t="str">
        <f ca="1">IFERROR(__xludf.DUMMYFUNCTION("""COMPUTED_VALUE"""),"8549b4b8")</f>
        <v>8549b4b8</v>
      </c>
      <c r="B614" s="5">
        <f ca="1">IFERROR(__xludf.DUMMYFUNCTION("""COMPUTED_VALUE"""),45786.6796643518)</f>
        <v>45786.679664351803</v>
      </c>
      <c r="C614" s="2" t="str">
        <f ca="1">IFERROR(__xludf.DUMMYFUNCTION("""COMPUTED_VALUE"""),"f764d2d1")</f>
        <v>f764d2d1</v>
      </c>
      <c r="D614" s="2">
        <f ca="1">IFERROR(__xludf.DUMMYFUNCTION("""COMPUTED_VALUE"""),15)</f>
        <v>15</v>
      </c>
      <c r="E614" s="2" t="str">
        <f ca="1">IFERROR(__xludf.DUMMYFUNCTION("""COMPUTED_VALUE"""),"Malbec")</f>
        <v>Malbec</v>
      </c>
      <c r="F614" s="2">
        <f ca="1">IFERROR(__xludf.DUMMYFUNCTION("""COMPUTED_VALUE"""),36000)</f>
        <v>36000</v>
      </c>
      <c r="G614" s="2">
        <f ca="1">IFERROR(__xludf.DUMMYFUNCTION("""COMPUTED_VALUE"""),24)</f>
        <v>24</v>
      </c>
      <c r="H614" s="2" t="str">
        <f ca="1">IFERROR(__xludf.DUMMYFUNCTION("""COMPUTED_VALUE"""),"55222a6e")</f>
        <v>55222a6e</v>
      </c>
      <c r="I614" s="2" t="str">
        <f ca="1">IFERROR(__xludf.DUMMYFUNCTION("""COMPUTED_VALUE"""),"Malbec")</f>
        <v>Malbec</v>
      </c>
      <c r="J614" s="2">
        <f ca="1">IFERROR(__xludf.DUMMYFUNCTION("""COMPUTED_VALUE"""),37000)</f>
        <v>37000</v>
      </c>
      <c r="K614" s="2">
        <f ca="1">IFERROR(__xludf.DUMMYFUNCTION("""COMPUTED_VALUE"""),73000)</f>
        <v>73000</v>
      </c>
      <c r="L614" s="2" t="str">
        <f ca="1">IFERROR(__xludf.DUMMYFUNCTION("""COMPUTED_VALUE"""),"2c481a58")</f>
        <v>2c481a58</v>
      </c>
      <c r="M614" s="2" t="str">
        <f ca="1">IFERROR(__xludf.DUMMYFUNCTION("""COMPUTED_VALUE"""),"Malbec")</f>
        <v>Malbec</v>
      </c>
      <c r="N614" s="2"/>
      <c r="O614" s="2" t="str">
        <f ca="1">IFERROR(__xludf.DUMMYFUNCTION("""COMPUTED_VALUE"""),"Descubada")</f>
        <v>Descubada</v>
      </c>
      <c r="P614" s="2" t="str">
        <f ca="1">IFERROR(__xludf.DUMMYFUNCTION("""COMPUTED_VALUE"""),"1er Trasiego")</f>
        <v>1er Trasiego</v>
      </c>
      <c r="Q614" s="2" t="b">
        <f ca="1">IFERROR(__xludf.DUMMYFUNCTION("""COMPUTED_VALUE"""),TRUE)</f>
        <v>1</v>
      </c>
      <c r="R614" s="2" t="str">
        <f ca="1">IFERROR(__xludf.DUMMYFUNCTION("""COMPUTED_VALUE"""),"1er Trasiego")</f>
        <v>1er Trasiego</v>
      </c>
      <c r="S614" s="2"/>
      <c r="T614" s="2"/>
      <c r="U614" s="2"/>
    </row>
    <row r="615" spans="1:21" x14ac:dyDescent="0.25">
      <c r="A615" s="2" t="str">
        <f ca="1">IFERROR(__xludf.DUMMYFUNCTION("""COMPUTED_VALUE"""),"1af61555")</f>
        <v>1af61555</v>
      </c>
      <c r="B615" s="5">
        <f ca="1">IFERROR(__xludf.DUMMYFUNCTION("""COMPUTED_VALUE"""),45786.6800462962)</f>
        <v>45786.680046296198</v>
      </c>
      <c r="C615" s="2" t="str">
        <f ca="1">IFERROR(__xludf.DUMMYFUNCTION("""COMPUTED_VALUE"""),"bcf45804")</f>
        <v>bcf45804</v>
      </c>
      <c r="D615" s="2">
        <f ca="1">IFERROR(__xludf.DUMMYFUNCTION("""COMPUTED_VALUE"""),87)</f>
        <v>87</v>
      </c>
      <c r="E615" s="2" t="str">
        <f ca="1">IFERROR(__xludf.DUMMYFUNCTION("""COMPUTED_VALUE"""),"Malbec")</f>
        <v>Malbec</v>
      </c>
      <c r="F615" s="2">
        <f ca="1">IFERROR(__xludf.DUMMYFUNCTION("""COMPUTED_VALUE"""),90000)</f>
        <v>90000</v>
      </c>
      <c r="G615" s="2">
        <f ca="1">IFERROR(__xludf.DUMMYFUNCTION("""COMPUTED_VALUE"""),24)</f>
        <v>24</v>
      </c>
      <c r="H615" s="2" t="str">
        <f ca="1">IFERROR(__xludf.DUMMYFUNCTION("""COMPUTED_VALUE"""),"2c481a58")</f>
        <v>2c481a58</v>
      </c>
      <c r="I615" s="2" t="str">
        <f ca="1">IFERROR(__xludf.DUMMYFUNCTION("""COMPUTED_VALUE"""),"Malbec")</f>
        <v>Malbec</v>
      </c>
      <c r="J615" s="2">
        <f ca="1">IFERROR(__xludf.DUMMYFUNCTION("""COMPUTED_VALUE"""),73000)</f>
        <v>73000</v>
      </c>
      <c r="K615" s="2">
        <f ca="1">IFERROR(__xludf.DUMMYFUNCTION("""COMPUTED_VALUE"""),163000)</f>
        <v>163000</v>
      </c>
      <c r="L615" s="2" t="str">
        <f ca="1">IFERROR(__xludf.DUMMYFUNCTION("""COMPUTED_VALUE"""),"1bbddd37")</f>
        <v>1bbddd37</v>
      </c>
      <c r="M615" s="2" t="str">
        <f ca="1">IFERROR(__xludf.DUMMYFUNCTION("""COMPUTED_VALUE"""),"Malbec")</f>
        <v>Malbec</v>
      </c>
      <c r="N615" s="2"/>
      <c r="O615" s="2" t="str">
        <f ca="1">IFERROR(__xludf.DUMMYFUNCTION("""COMPUTED_VALUE"""),"Descubada")</f>
        <v>Descubada</v>
      </c>
      <c r="P615" s="2" t="str">
        <f ca="1">IFERROR(__xludf.DUMMYFUNCTION("""COMPUTED_VALUE"""),"1er Trasiego")</f>
        <v>1er Trasiego</v>
      </c>
      <c r="Q615" s="2" t="b">
        <f ca="1">IFERROR(__xludf.DUMMYFUNCTION("""COMPUTED_VALUE"""),TRUE)</f>
        <v>1</v>
      </c>
      <c r="R615" s="2" t="str">
        <f ca="1">IFERROR(__xludf.DUMMYFUNCTION("""COMPUTED_VALUE"""),"1er Trasiego")</f>
        <v>1er Trasiego</v>
      </c>
      <c r="S615" s="2"/>
      <c r="T615" s="2"/>
      <c r="U615" s="2"/>
    </row>
    <row r="616" spans="1:21" x14ac:dyDescent="0.25">
      <c r="A616" s="2" t="str">
        <f ca="1">IFERROR(__xludf.DUMMYFUNCTION("""COMPUTED_VALUE"""),"fad81e77")</f>
        <v>fad81e77</v>
      </c>
      <c r="B616" s="5">
        <f ca="1">IFERROR(__xludf.DUMMYFUNCTION("""COMPUTED_VALUE"""),45786.6803472222)</f>
        <v>45786.680347222202</v>
      </c>
      <c r="C616" s="2" t="str">
        <f ca="1">IFERROR(__xludf.DUMMYFUNCTION("""COMPUTED_VALUE"""),"65ce6f3f")</f>
        <v>65ce6f3f</v>
      </c>
      <c r="D616" s="2">
        <f ca="1">IFERROR(__xludf.DUMMYFUNCTION("""COMPUTED_VALUE"""),41)</f>
        <v>41</v>
      </c>
      <c r="E616" s="2" t="str">
        <f ca="1">IFERROR(__xludf.DUMMYFUNCTION("""COMPUTED_VALUE"""),"Malbec")</f>
        <v>Malbec</v>
      </c>
      <c r="F616" s="2">
        <f ca="1">IFERROR(__xludf.DUMMYFUNCTION("""COMPUTED_VALUE"""),23600)</f>
        <v>23600</v>
      </c>
      <c r="G616" s="2">
        <f ca="1">IFERROR(__xludf.DUMMYFUNCTION("""COMPUTED_VALUE"""),24)</f>
        <v>24</v>
      </c>
      <c r="H616" s="2" t="str">
        <f ca="1">IFERROR(__xludf.DUMMYFUNCTION("""COMPUTED_VALUE"""),"1bbddd37")</f>
        <v>1bbddd37</v>
      </c>
      <c r="I616" s="2" t="str">
        <f ca="1">IFERROR(__xludf.DUMMYFUNCTION("""COMPUTED_VALUE"""),"Malbec")</f>
        <v>Malbec</v>
      </c>
      <c r="J616" s="2">
        <f ca="1">IFERROR(__xludf.DUMMYFUNCTION("""COMPUTED_VALUE"""),163000)</f>
        <v>163000</v>
      </c>
      <c r="K616" s="2">
        <f ca="1">IFERROR(__xludf.DUMMYFUNCTION("""COMPUTED_VALUE"""),186600)</f>
        <v>186600</v>
      </c>
      <c r="L616" s="2" t="str">
        <f ca="1">IFERROR(__xludf.DUMMYFUNCTION("""COMPUTED_VALUE"""),"1eaa1fc2")</f>
        <v>1eaa1fc2</v>
      </c>
      <c r="M616" s="2" t="str">
        <f ca="1">IFERROR(__xludf.DUMMYFUNCTION("""COMPUTED_VALUE"""),"Malbec")</f>
        <v>Malbec</v>
      </c>
      <c r="N616" s="2"/>
      <c r="O616" s="2" t="str">
        <f ca="1">IFERROR(__xludf.DUMMYFUNCTION("""COMPUTED_VALUE"""),"Descubada")</f>
        <v>Descubada</v>
      </c>
      <c r="P616" s="2" t="str">
        <f ca="1">IFERROR(__xludf.DUMMYFUNCTION("""COMPUTED_VALUE"""),"1er Trasiego")</f>
        <v>1er Trasiego</v>
      </c>
      <c r="Q616" s="2" t="b">
        <f ca="1">IFERROR(__xludf.DUMMYFUNCTION("""COMPUTED_VALUE"""),TRUE)</f>
        <v>1</v>
      </c>
      <c r="R616" s="2" t="str">
        <f ca="1">IFERROR(__xludf.DUMMYFUNCTION("""COMPUTED_VALUE"""),"1er Trasiego")</f>
        <v>1er Trasiego</v>
      </c>
      <c r="S616" s="2"/>
      <c r="T616" s="2"/>
      <c r="U616" s="2"/>
    </row>
    <row r="617" spans="1:21" x14ac:dyDescent="0.25">
      <c r="A617" s="2" t="str">
        <f ca="1">IFERROR(__xludf.DUMMYFUNCTION("""COMPUTED_VALUE"""),"2b2b3a7d")</f>
        <v>2b2b3a7d</v>
      </c>
      <c r="B617" s="5">
        <f ca="1">IFERROR(__xludf.DUMMYFUNCTION("""COMPUTED_VALUE"""),45786.6807754629)</f>
        <v>45786.680775462897</v>
      </c>
      <c r="C617" s="2" t="str">
        <f ca="1">IFERROR(__xludf.DUMMYFUNCTION("""COMPUTED_VALUE"""),"65ce6f3f")</f>
        <v>65ce6f3f</v>
      </c>
      <c r="D617" s="2">
        <f ca="1">IFERROR(__xludf.DUMMYFUNCTION("""COMPUTED_VALUE"""),41)</f>
        <v>41</v>
      </c>
      <c r="E617" s="2" t="str">
        <f ca="1">IFERROR(__xludf.DUMMYFUNCTION("""COMPUTED_VALUE"""),"Malbec")</f>
        <v>Malbec</v>
      </c>
      <c r="F617" s="2">
        <f ca="1">IFERROR(__xludf.DUMMYFUNCTION("""COMPUTED_VALUE"""),11400)</f>
        <v>11400</v>
      </c>
      <c r="G617" s="2">
        <f ca="1">IFERROR(__xludf.DUMMYFUNCTION("""COMPUTED_VALUE"""),125)</f>
        <v>125</v>
      </c>
      <c r="H617" s="2"/>
      <c r="I617" s="2"/>
      <c r="J617" s="2">
        <f ca="1">IFERROR(__xludf.DUMMYFUNCTION("""COMPUTED_VALUE"""),0)</f>
        <v>0</v>
      </c>
      <c r="K617" s="2">
        <f ca="1">IFERROR(__xludf.DUMMYFUNCTION("""COMPUTED_VALUE"""),11400)</f>
        <v>11400</v>
      </c>
      <c r="L617" s="2" t="str">
        <f ca="1">IFERROR(__xludf.DUMMYFUNCTION("""COMPUTED_VALUE"""),"18ab305b")</f>
        <v>18ab305b</v>
      </c>
      <c r="M617" s="2" t="str">
        <f ca="1">IFERROR(__xludf.DUMMYFUNCTION("""COMPUTED_VALUE"""),"Malbec")</f>
        <v>Malbec</v>
      </c>
      <c r="N617" s="2"/>
      <c r="O617" s="2" t="str">
        <f ca="1">IFERROR(__xludf.DUMMYFUNCTION("""COMPUTED_VALUE"""),"Descubada")</f>
        <v>Descubada</v>
      </c>
      <c r="P617" s="2"/>
      <c r="Q617" s="2" t="b">
        <f ca="1">IFERROR(__xludf.DUMMYFUNCTION("""COMPUTED_VALUE"""),FALSE)</f>
        <v>0</v>
      </c>
      <c r="R617" s="2" t="str">
        <f ca="1">IFERROR(__xludf.DUMMYFUNCTION("""COMPUTED_VALUE"""),"1er Trasiego")</f>
        <v>1er Trasiego</v>
      </c>
      <c r="S617" s="2"/>
      <c r="T617" s="2"/>
      <c r="U617" s="2"/>
    </row>
    <row r="618" spans="1:21" x14ac:dyDescent="0.25">
      <c r="A618" s="2" t="str">
        <f ca="1">IFERROR(__xludf.DUMMYFUNCTION("""COMPUTED_VALUE"""),"29ce8f34")</f>
        <v>29ce8f34</v>
      </c>
      <c r="B618" s="5">
        <f ca="1">IFERROR(__xludf.DUMMYFUNCTION("""COMPUTED_VALUE"""),45786.681886574)</f>
        <v>45786.681886573999</v>
      </c>
      <c r="C618" s="2" t="str">
        <f ca="1">IFERROR(__xludf.DUMMYFUNCTION("""COMPUTED_VALUE"""),"e580a9d5")</f>
        <v>e580a9d5</v>
      </c>
      <c r="D618" s="2">
        <f ca="1">IFERROR(__xludf.DUMMYFUNCTION("""COMPUTED_VALUE"""),54)</f>
        <v>54</v>
      </c>
      <c r="E618" s="2" t="str">
        <f ca="1">IFERROR(__xludf.DUMMYFUNCTION("""COMPUTED_VALUE"""),"Malbec")</f>
        <v>Malbec</v>
      </c>
      <c r="F618" s="2">
        <f ca="1">IFERROR(__xludf.DUMMYFUNCTION("""COMPUTED_VALUE"""),8500)</f>
        <v>8500</v>
      </c>
      <c r="G618" s="2">
        <f ca="1">IFERROR(__xludf.DUMMYFUNCTION("""COMPUTED_VALUE"""),76)</f>
        <v>76</v>
      </c>
      <c r="H618" s="2" t="str">
        <f ca="1">IFERROR(__xludf.DUMMYFUNCTION("""COMPUTED_VALUE"""),"7a4910aa")</f>
        <v>7a4910aa</v>
      </c>
      <c r="I618" s="2" t="str">
        <f ca="1">IFERROR(__xludf.DUMMYFUNCTION("""COMPUTED_VALUE"""),"Cabernet Sauvignon prensa")</f>
        <v>Cabernet Sauvignon prensa</v>
      </c>
      <c r="J618" s="2">
        <f ca="1">IFERROR(__xludf.DUMMYFUNCTION("""COMPUTED_VALUE"""),17000)</f>
        <v>17000</v>
      </c>
      <c r="K618" s="2">
        <f ca="1">IFERROR(__xludf.DUMMYFUNCTION("""COMPUTED_VALUE"""),25500)</f>
        <v>25500</v>
      </c>
      <c r="L618" s="2" t="str">
        <f ca="1">IFERROR(__xludf.DUMMYFUNCTION("""COMPUTED_VALUE"""),"187a80d6")</f>
        <v>187a80d6</v>
      </c>
      <c r="M618" s="2" t="str">
        <f ca="1">IFERROR(__xludf.DUMMYFUNCTION("""COMPUTED_VALUE"""),"Cabernet Sauvignon prensa")</f>
        <v>Cabernet Sauvignon prensa</v>
      </c>
      <c r="N618" s="2" t="str">
        <f ca="1">IFERROR(__xludf.DUMMYFUNCTION("""COMPUTED_VALUE"""),"Relleno")</f>
        <v>Relleno</v>
      </c>
      <c r="O618" s="2" t="str">
        <f ca="1">IFERROR(__xludf.DUMMYFUNCTION("""COMPUTED_VALUE"""),"Descubada")</f>
        <v>Descubada</v>
      </c>
      <c r="P618" s="2" t="str">
        <f ca="1">IFERROR(__xludf.DUMMYFUNCTION("""COMPUTED_VALUE"""),"1er Trasiego")</f>
        <v>1er Trasiego</v>
      </c>
      <c r="Q618" s="2" t="b">
        <f ca="1">IFERROR(__xludf.DUMMYFUNCTION("""COMPUTED_VALUE"""),TRUE)</f>
        <v>1</v>
      </c>
      <c r="R618" s="2" t="str">
        <f ca="1">IFERROR(__xludf.DUMMYFUNCTION("""COMPUTED_VALUE"""),"1er Trasiego")</f>
        <v>1er Trasiego</v>
      </c>
      <c r="S618" s="2"/>
      <c r="T618" s="2"/>
      <c r="U618" s="2"/>
    </row>
    <row r="619" spans="1:21" x14ac:dyDescent="0.25">
      <c r="A619" s="2" t="str">
        <f ca="1">IFERROR(__xludf.DUMMYFUNCTION("""COMPUTED_VALUE"""),"5b8b82ff")</f>
        <v>5b8b82ff</v>
      </c>
      <c r="B619" s="5">
        <f ca="1">IFERROR(__xludf.DUMMYFUNCTION("""COMPUTED_VALUE"""),45786.6821643518)</f>
        <v>45786.682164351798</v>
      </c>
      <c r="C619" s="2" t="str">
        <f ca="1">IFERROR(__xludf.DUMMYFUNCTION("""COMPUTED_VALUE"""),"e580a9d5")</f>
        <v>e580a9d5</v>
      </c>
      <c r="D619" s="2">
        <f ca="1">IFERROR(__xludf.DUMMYFUNCTION("""COMPUTED_VALUE"""),54)</f>
        <v>54</v>
      </c>
      <c r="E619" s="2" t="str">
        <f ca="1">IFERROR(__xludf.DUMMYFUNCTION("""COMPUTED_VALUE"""),"Malbec")</f>
        <v>Malbec</v>
      </c>
      <c r="F619" s="2">
        <f ca="1">IFERROR(__xludf.DUMMYFUNCTION("""COMPUTED_VALUE"""),2886)</f>
        <v>2886</v>
      </c>
      <c r="G619" s="2">
        <f ca="1">IFERROR(__xludf.DUMMYFUNCTION("""COMPUTED_VALUE"""),66)</f>
        <v>66</v>
      </c>
      <c r="H619" s="2" t="str">
        <f ca="1">IFERROR(__xludf.DUMMYFUNCTION("""COMPUTED_VALUE"""),"7b01278e")</f>
        <v>7b01278e</v>
      </c>
      <c r="I619" s="2" t="str">
        <f ca="1">IFERROR(__xludf.DUMMYFUNCTION("""COMPUTED_VALUE"""),"Malbec Dulc")</f>
        <v>Malbec Dulc</v>
      </c>
      <c r="J619" s="2">
        <f ca="1">IFERROR(__xludf.DUMMYFUNCTION("""COMPUTED_VALUE"""),20114)</f>
        <v>20114</v>
      </c>
      <c r="K619" s="2">
        <f ca="1">IFERROR(__xludf.DUMMYFUNCTION("""COMPUTED_VALUE"""),23000)</f>
        <v>23000</v>
      </c>
      <c r="L619" s="2" t="str">
        <f ca="1">IFERROR(__xludf.DUMMYFUNCTION("""COMPUTED_VALUE"""),"95f6ad50")</f>
        <v>95f6ad50</v>
      </c>
      <c r="M619" s="2" t="str">
        <f ca="1">IFERROR(__xludf.DUMMYFUNCTION("""COMPUTED_VALUE"""),"Malbec Dulc")</f>
        <v>Malbec Dulc</v>
      </c>
      <c r="N619" s="2"/>
      <c r="O619" s="2" t="str">
        <f ca="1">IFERROR(__xludf.DUMMYFUNCTION("""COMPUTED_VALUE"""),"Descubada")</f>
        <v>Descubada</v>
      </c>
      <c r="P619" s="2" t="str">
        <f ca="1">IFERROR(__xludf.DUMMYFUNCTION("""COMPUTED_VALUE"""),"2do Trasiego")</f>
        <v>2do Trasiego</v>
      </c>
      <c r="Q619" s="2" t="b">
        <f ca="1">IFERROR(__xludf.DUMMYFUNCTION("""COMPUTED_VALUE"""),TRUE)</f>
        <v>1</v>
      </c>
      <c r="R619" s="2" t="str">
        <f ca="1">IFERROR(__xludf.DUMMYFUNCTION("""COMPUTED_VALUE"""),"2do Trasiego")</f>
        <v>2do Trasiego</v>
      </c>
      <c r="S619" s="2"/>
      <c r="T619" s="2"/>
      <c r="U619" s="2"/>
    </row>
    <row r="620" spans="1:21" x14ac:dyDescent="0.25">
      <c r="A620" s="2" t="str">
        <f ca="1">IFERROR(__xludf.DUMMYFUNCTION("""COMPUTED_VALUE"""),"5037c7c7")</f>
        <v>5037c7c7</v>
      </c>
      <c r="B620" s="5">
        <f ca="1">IFERROR(__xludf.DUMMYFUNCTION("""COMPUTED_VALUE"""),45786.6895486111)</f>
        <v>45786.689548611103</v>
      </c>
      <c r="C620" s="2" t="str">
        <f ca="1">IFERROR(__xludf.DUMMYFUNCTION("""COMPUTED_VALUE"""),"03e27ebe")</f>
        <v>03e27ebe</v>
      </c>
      <c r="D620" s="2">
        <f ca="1">IFERROR(__xludf.DUMMYFUNCTION("""COMPUTED_VALUE"""),115)</f>
        <v>115</v>
      </c>
      <c r="E620" s="2" t="str">
        <f ca="1">IFERROR(__xludf.DUMMYFUNCTION("""COMPUTED_VALUE"""),"Syrah Tempranillo")</f>
        <v>Syrah Tempranillo</v>
      </c>
      <c r="F620" s="2">
        <f ca="1">IFERROR(__xludf.DUMMYFUNCTION("""COMPUTED_VALUE"""),116000)</f>
        <v>116000</v>
      </c>
      <c r="G620" s="2">
        <f ca="1">IFERROR(__xludf.DUMMYFUNCTION("""COMPUTED_VALUE"""),114)</f>
        <v>114</v>
      </c>
      <c r="H620" s="2"/>
      <c r="I620" s="2"/>
      <c r="J620" s="2">
        <f ca="1">IFERROR(__xludf.DUMMYFUNCTION("""COMPUTED_VALUE"""),0)</f>
        <v>0</v>
      </c>
      <c r="K620" s="2">
        <f ca="1">IFERROR(__xludf.DUMMYFUNCTION("""COMPUTED_VALUE"""),116000)</f>
        <v>116000</v>
      </c>
      <c r="L620" s="2" t="str">
        <f ca="1">IFERROR(__xludf.DUMMYFUNCTION("""COMPUTED_VALUE"""),"31b745c3")</f>
        <v>31b745c3</v>
      </c>
      <c r="M620" s="2" t="str">
        <f ca="1">IFERROR(__xludf.DUMMYFUNCTION("""COMPUTED_VALUE"""),"Syrah Tempranillo")</f>
        <v>Syrah Tempranillo</v>
      </c>
      <c r="N620" s="2"/>
      <c r="O620" s="2" t="str">
        <f ca="1">IFERROR(__xludf.DUMMYFUNCTION("""COMPUTED_VALUE"""),"1er Trasiego")</f>
        <v>1er Trasiego</v>
      </c>
      <c r="P620" s="2"/>
      <c r="Q620" s="2" t="b">
        <f ca="1">IFERROR(__xludf.DUMMYFUNCTION("""COMPUTED_VALUE"""),FALSE)</f>
        <v>0</v>
      </c>
      <c r="R620" s="2" t="str">
        <f ca="1">IFERROR(__xludf.DUMMYFUNCTION("""COMPUTED_VALUE"""),"2do Trasiego")</f>
        <v>2do Trasiego</v>
      </c>
      <c r="S620" s="2"/>
      <c r="T620" s="2"/>
      <c r="U620" s="2"/>
    </row>
    <row r="621" spans="1:21" x14ac:dyDescent="0.25">
      <c r="A621" s="2" t="str">
        <f ca="1">IFERROR(__xludf.DUMMYFUNCTION("""COMPUTED_VALUE"""),"d6cc6063")</f>
        <v>d6cc6063</v>
      </c>
      <c r="B621" s="5">
        <f ca="1">IFERROR(__xludf.DUMMYFUNCTION("""COMPUTED_VALUE"""),45786.6901736111)</f>
        <v>45786.690173611103</v>
      </c>
      <c r="C621" s="2" t="str">
        <f ca="1">IFERROR(__xludf.DUMMYFUNCTION("""COMPUTED_VALUE"""),"da2b6cac")</f>
        <v>da2b6cac</v>
      </c>
      <c r="D621" s="2">
        <f ca="1">IFERROR(__xludf.DUMMYFUNCTION("""COMPUTED_VALUE"""),77)</f>
        <v>77</v>
      </c>
      <c r="E621" s="2" t="str">
        <f ca="1">IFERROR(__xludf.DUMMYFUNCTION("""COMPUTED_VALUE"""),"Tinto s/Bonarda")</f>
        <v>Tinto s/Bonarda</v>
      </c>
      <c r="F621" s="2">
        <f ca="1">IFERROR(__xludf.DUMMYFUNCTION("""COMPUTED_VALUE"""),9300)</f>
        <v>9300</v>
      </c>
      <c r="G621" s="2">
        <f ca="1">IFERROR(__xludf.DUMMYFUNCTION("""COMPUTED_VALUE"""),114)</f>
        <v>114</v>
      </c>
      <c r="H621" s="2" t="str">
        <f ca="1">IFERROR(__xludf.DUMMYFUNCTION("""COMPUTED_VALUE"""),"31b745c3")</f>
        <v>31b745c3</v>
      </c>
      <c r="I621" s="2" t="str">
        <f ca="1">IFERROR(__xludf.DUMMYFUNCTION("""COMPUTED_VALUE"""),"Syrah Tempranillo")</f>
        <v>Syrah Tempranillo</v>
      </c>
      <c r="J621" s="2">
        <f ca="1">IFERROR(__xludf.DUMMYFUNCTION("""COMPUTED_VALUE"""),116000)</f>
        <v>116000</v>
      </c>
      <c r="K621" s="2">
        <f ca="1">IFERROR(__xludf.DUMMYFUNCTION("""COMPUTED_VALUE"""),125300)</f>
        <v>125300</v>
      </c>
      <c r="L621" s="2" t="str">
        <f ca="1">IFERROR(__xludf.DUMMYFUNCTION("""COMPUTED_VALUE"""),"f80e7320")</f>
        <v>f80e7320</v>
      </c>
      <c r="M621" s="2" t="str">
        <f ca="1">IFERROR(__xludf.DUMMYFUNCTION("""COMPUTED_VALUE"""),"Syrah Tempranillo")</f>
        <v>Syrah Tempranillo</v>
      </c>
      <c r="N621" s="2"/>
      <c r="O621" s="2" t="str">
        <f ca="1">IFERROR(__xludf.DUMMYFUNCTION("""COMPUTED_VALUE"""),"1er Trasiego")</f>
        <v>1er Trasiego</v>
      </c>
      <c r="P621" s="2" t="str">
        <f ca="1">IFERROR(__xludf.DUMMYFUNCTION("""COMPUTED_VALUE"""),"2do Trasiego")</f>
        <v>2do Trasiego</v>
      </c>
      <c r="Q621" s="2" t="b">
        <f ca="1">IFERROR(__xludf.DUMMYFUNCTION("""COMPUTED_VALUE"""),TRUE)</f>
        <v>1</v>
      </c>
      <c r="R621" s="2" t="str">
        <f ca="1">IFERROR(__xludf.DUMMYFUNCTION("""COMPUTED_VALUE"""),"2do Trasiego")</f>
        <v>2do Trasiego</v>
      </c>
      <c r="S621" s="2"/>
      <c r="T621" s="2"/>
      <c r="U621" s="2"/>
    </row>
    <row r="622" spans="1:21" x14ac:dyDescent="0.25">
      <c r="A622" s="2" t="str">
        <f ca="1">IFERROR(__xludf.DUMMYFUNCTION("""COMPUTED_VALUE"""),"fdcb840e")</f>
        <v>fdcb840e</v>
      </c>
      <c r="B622" s="5">
        <f ca="1">IFERROR(__xludf.DUMMYFUNCTION("""COMPUTED_VALUE"""),45786.6903935185)</f>
        <v>45786.690393518496</v>
      </c>
      <c r="C622" s="2" t="str">
        <f ca="1">IFERROR(__xludf.DUMMYFUNCTION("""COMPUTED_VALUE"""),"da2b6cac")</f>
        <v>da2b6cac</v>
      </c>
      <c r="D622" s="2">
        <f ca="1">IFERROR(__xludf.DUMMYFUNCTION("""COMPUTED_VALUE"""),77)</f>
        <v>77</v>
      </c>
      <c r="E622" s="2" t="str">
        <f ca="1">IFERROR(__xludf.DUMMYFUNCTION("""COMPUTED_VALUE"""),"Tinto s/Bonarda")</f>
        <v>Tinto s/Bonarda</v>
      </c>
      <c r="F622" s="2">
        <f ca="1">IFERROR(__xludf.DUMMYFUNCTION("""COMPUTED_VALUE"""),3100)</f>
        <v>3100</v>
      </c>
      <c r="G622" s="2">
        <f ca="1">IFERROR(__xludf.DUMMYFUNCTION("""COMPUTED_VALUE"""),125)</f>
        <v>125</v>
      </c>
      <c r="H622" s="2" t="str">
        <f ca="1">IFERROR(__xludf.DUMMYFUNCTION("""COMPUTED_VALUE"""),"18ab305b")</f>
        <v>18ab305b</v>
      </c>
      <c r="I622" s="2" t="str">
        <f ca="1">IFERROR(__xludf.DUMMYFUNCTION("""COMPUTED_VALUE"""),"Malbec")</f>
        <v>Malbec</v>
      </c>
      <c r="J622" s="2">
        <f ca="1">IFERROR(__xludf.DUMMYFUNCTION("""COMPUTED_VALUE"""),11400)</f>
        <v>11400</v>
      </c>
      <c r="K622" s="2">
        <f ca="1">IFERROR(__xludf.DUMMYFUNCTION("""COMPUTED_VALUE"""),14500)</f>
        <v>14500</v>
      </c>
      <c r="L622" s="2" t="str">
        <f ca="1">IFERROR(__xludf.DUMMYFUNCTION("""COMPUTED_VALUE"""),"1bdfaa93")</f>
        <v>1bdfaa93</v>
      </c>
      <c r="M622" s="2" t="str">
        <f ca="1">IFERROR(__xludf.DUMMYFUNCTION("""COMPUTED_VALUE"""),"Malbec")</f>
        <v>Malbec</v>
      </c>
      <c r="N622" s="2"/>
      <c r="O622" s="2" t="str">
        <f ca="1">IFERROR(__xludf.DUMMYFUNCTION("""COMPUTED_VALUE"""),"1er Trasiego")</f>
        <v>1er Trasiego</v>
      </c>
      <c r="P622" s="2" t="str">
        <f ca="1">IFERROR(__xludf.DUMMYFUNCTION("""COMPUTED_VALUE"""),"1er Trasiego")</f>
        <v>1er Trasiego</v>
      </c>
      <c r="Q622" s="2" t="b">
        <f ca="1">IFERROR(__xludf.DUMMYFUNCTION("""COMPUTED_VALUE"""),TRUE)</f>
        <v>1</v>
      </c>
      <c r="R622" s="2" t="str">
        <f ca="1">IFERROR(__xludf.DUMMYFUNCTION("""COMPUTED_VALUE"""),"1er Trasiego")</f>
        <v>1er Trasiego</v>
      </c>
      <c r="S622" s="2"/>
      <c r="T622" s="2"/>
      <c r="U622" s="2"/>
    </row>
    <row r="623" spans="1:21" x14ac:dyDescent="0.25">
      <c r="A623" s="2" t="str">
        <f ca="1">IFERROR(__xludf.DUMMYFUNCTION("""COMPUTED_VALUE"""),"a69e316d")</f>
        <v>a69e316d</v>
      </c>
      <c r="B623" s="5">
        <f ca="1">IFERROR(__xludf.DUMMYFUNCTION("""COMPUTED_VALUE"""),45786.6913078703)</f>
        <v>45786.6913078703</v>
      </c>
      <c r="C623" s="2" t="str">
        <f ca="1">IFERROR(__xludf.DUMMYFUNCTION("""COMPUTED_VALUE"""),"e580a9d5")</f>
        <v>e580a9d5</v>
      </c>
      <c r="D623" s="2">
        <f ca="1">IFERROR(__xludf.DUMMYFUNCTION("""COMPUTED_VALUE"""),54)</f>
        <v>54</v>
      </c>
      <c r="E623" s="2" t="str">
        <f ca="1">IFERROR(__xludf.DUMMYFUNCTION("""COMPUTED_VALUE"""),"Malbec")</f>
        <v>Malbec</v>
      </c>
      <c r="F623" s="2">
        <f ca="1">IFERROR(__xludf.DUMMYFUNCTION("""COMPUTED_VALUE"""),5000)</f>
        <v>5000</v>
      </c>
      <c r="G623" s="2">
        <f ca="1">IFERROR(__xludf.DUMMYFUNCTION("""COMPUTED_VALUE"""),72)</f>
        <v>72</v>
      </c>
      <c r="H623" s="2"/>
      <c r="I623" s="2"/>
      <c r="J623" s="2">
        <f ca="1">IFERROR(__xludf.DUMMYFUNCTION("""COMPUTED_VALUE"""),0)</f>
        <v>0</v>
      </c>
      <c r="K623" s="2">
        <f ca="1">IFERROR(__xludf.DUMMYFUNCTION("""COMPUTED_VALUE"""),5000)</f>
        <v>5000</v>
      </c>
      <c r="L623" s="2" t="str">
        <f ca="1">IFERROR(__xludf.DUMMYFUNCTION("""COMPUTED_VALUE"""),"df7eab76")</f>
        <v>df7eab76</v>
      </c>
      <c r="M623" s="2" t="str">
        <f ca="1">IFERROR(__xludf.DUMMYFUNCTION("""COMPUTED_VALUE"""),"Malbec")</f>
        <v>Malbec</v>
      </c>
      <c r="N623" s="2"/>
      <c r="O623" s="2" t="str">
        <f ca="1">IFERROR(__xludf.DUMMYFUNCTION("""COMPUTED_VALUE"""),"Descubada")</f>
        <v>Descubada</v>
      </c>
      <c r="P623" s="2"/>
      <c r="Q623" s="2" t="b">
        <f ca="1">IFERROR(__xludf.DUMMYFUNCTION("""COMPUTED_VALUE"""),FALSE)</f>
        <v>0</v>
      </c>
      <c r="R623" s="2" t="str">
        <f ca="1">IFERROR(__xludf.DUMMYFUNCTION("""COMPUTED_VALUE"""),"1er Trasiego")</f>
        <v>1er Trasiego</v>
      </c>
      <c r="S623" s="2"/>
      <c r="T623" s="2"/>
      <c r="U623" s="2"/>
    </row>
    <row r="624" spans="1:21" x14ac:dyDescent="0.25">
      <c r="A624" s="2" t="str">
        <f ca="1">IFERROR(__xludf.DUMMYFUNCTION("""COMPUTED_VALUE"""),"87eaf818")</f>
        <v>87eaf818</v>
      </c>
      <c r="B624" s="5">
        <f ca="1">IFERROR(__xludf.DUMMYFUNCTION("""COMPUTED_VALUE"""),45786.7025347222)</f>
        <v>45786.702534722201</v>
      </c>
      <c r="C624" s="2" t="str">
        <f ca="1">IFERROR(__xludf.DUMMYFUNCTION("""COMPUTED_VALUE"""),"160a169f")</f>
        <v>160a169f</v>
      </c>
      <c r="D624" s="2">
        <f ca="1">IFERROR(__xludf.DUMMYFUNCTION("""COMPUTED_VALUE"""),28)</f>
        <v>28</v>
      </c>
      <c r="E624" s="2" t="str">
        <f ca="1">IFERROR(__xludf.DUMMYFUNCTION("""COMPUTED_VALUE"""),"Malbec Millan")</f>
        <v>Malbec Millan</v>
      </c>
      <c r="F624" s="2">
        <f ca="1">IFERROR(__xludf.DUMMYFUNCTION("""COMPUTED_VALUE"""),7000)</f>
        <v>7000</v>
      </c>
      <c r="G624" s="2">
        <f ca="1">IFERROR(__xludf.DUMMYFUNCTION("""COMPUTED_VALUE"""),72)</f>
        <v>72</v>
      </c>
      <c r="H624" s="2" t="str">
        <f ca="1">IFERROR(__xludf.DUMMYFUNCTION("""COMPUTED_VALUE"""),"df7eab76")</f>
        <v>df7eab76</v>
      </c>
      <c r="I624" s="2" t="str">
        <f ca="1">IFERROR(__xludf.DUMMYFUNCTION("""COMPUTED_VALUE"""),"Malbec")</f>
        <v>Malbec</v>
      </c>
      <c r="J624" s="2">
        <f ca="1">IFERROR(__xludf.DUMMYFUNCTION("""COMPUTED_VALUE"""),5000)</f>
        <v>5000</v>
      </c>
      <c r="K624" s="2">
        <f ca="1">IFERROR(__xludf.DUMMYFUNCTION("""COMPUTED_VALUE"""),12000)</f>
        <v>12000</v>
      </c>
      <c r="L624" s="2" t="str">
        <f ca="1">IFERROR(__xludf.DUMMYFUNCTION("""COMPUTED_VALUE"""),"df7eab76")</f>
        <v>df7eab76</v>
      </c>
      <c r="M624" s="2" t="str">
        <f ca="1">IFERROR(__xludf.DUMMYFUNCTION("""COMPUTED_VALUE"""),"Malbec Millan")</f>
        <v>Malbec Millan</v>
      </c>
      <c r="N624" s="2"/>
      <c r="O624" s="2"/>
      <c r="P624" s="2" t="str">
        <f ca="1">IFERROR(__xludf.DUMMYFUNCTION("""COMPUTED_VALUE"""),"1er Trasiego")</f>
        <v>1er Trasiego</v>
      </c>
      <c r="Q624" s="2" t="b">
        <f ca="1">IFERROR(__xludf.DUMMYFUNCTION("""COMPUTED_VALUE"""),FALSE)</f>
        <v>0</v>
      </c>
      <c r="R624" s="2"/>
      <c r="S624" s="2"/>
      <c r="T624" s="2"/>
      <c r="U624" s="2"/>
    </row>
    <row r="625" spans="1:21" x14ac:dyDescent="0.25">
      <c r="A625" s="2" t="str">
        <f ca="1">IFERROR(__xludf.DUMMYFUNCTION("""COMPUTED_VALUE"""),"87a8aa18")</f>
        <v>87a8aa18</v>
      </c>
      <c r="B625" s="5">
        <f ca="1">IFERROR(__xludf.DUMMYFUNCTION("""COMPUTED_VALUE"""),45786.7054398148)</f>
        <v>45786.705439814803</v>
      </c>
      <c r="C625" s="2" t="str">
        <f ca="1">IFERROR(__xludf.DUMMYFUNCTION("""COMPUTED_VALUE"""),"1bdfaa93")</f>
        <v>1bdfaa93</v>
      </c>
      <c r="D625" s="2">
        <f ca="1">IFERROR(__xludf.DUMMYFUNCTION("""COMPUTED_VALUE"""),125)</f>
        <v>125</v>
      </c>
      <c r="E625" s="2" t="str">
        <f ca="1">IFERROR(__xludf.DUMMYFUNCTION("""COMPUTED_VALUE"""),"Malbec")</f>
        <v>Malbec</v>
      </c>
      <c r="F625" s="2">
        <f ca="1">IFERROR(__xludf.DUMMYFUNCTION("""COMPUTED_VALUE"""),1000)</f>
        <v>1000</v>
      </c>
      <c r="G625" s="2">
        <f ca="1">IFERROR(__xludf.DUMMYFUNCTION("""COMPUTED_VALUE"""),72)</f>
        <v>72</v>
      </c>
      <c r="H625" s="2" t="str">
        <f ca="1">IFERROR(__xludf.DUMMYFUNCTION("""COMPUTED_VALUE"""),"df7eab76")</f>
        <v>df7eab76</v>
      </c>
      <c r="I625" s="2" t="str">
        <f ca="1">IFERROR(__xludf.DUMMYFUNCTION("""COMPUTED_VALUE"""),"Malbec")</f>
        <v>Malbec</v>
      </c>
      <c r="J625" s="2">
        <f ca="1">IFERROR(__xludf.DUMMYFUNCTION("""COMPUTED_VALUE"""),12000)</f>
        <v>12000</v>
      </c>
      <c r="K625" s="2">
        <f ca="1">IFERROR(__xludf.DUMMYFUNCTION("""COMPUTED_VALUE"""),13000)</f>
        <v>13000</v>
      </c>
      <c r="L625" s="2" t="str">
        <f ca="1">IFERROR(__xludf.DUMMYFUNCTION("""COMPUTED_VALUE"""),"8173df5d")</f>
        <v>8173df5d</v>
      </c>
      <c r="M625" s="2" t="str">
        <f ca="1">IFERROR(__xludf.DUMMYFUNCTION("""COMPUTED_VALUE"""),"Malbec")</f>
        <v>Malbec</v>
      </c>
      <c r="N625" s="2"/>
      <c r="O625" s="2" t="str">
        <f ca="1">IFERROR(__xludf.DUMMYFUNCTION("""COMPUTED_VALUE"""),"1er Trasiego")</f>
        <v>1er Trasiego</v>
      </c>
      <c r="P625" s="2" t="str">
        <f ca="1">IFERROR(__xludf.DUMMYFUNCTION("""COMPUTED_VALUE"""),"1er Trasiego")</f>
        <v>1er Trasiego</v>
      </c>
      <c r="Q625" s="2" t="b">
        <f ca="1">IFERROR(__xludf.DUMMYFUNCTION("""COMPUTED_VALUE"""),TRUE)</f>
        <v>1</v>
      </c>
      <c r="R625" s="2" t="str">
        <f ca="1">IFERROR(__xludf.DUMMYFUNCTION("""COMPUTED_VALUE"""),"1er Trasiego")</f>
        <v>1er Trasiego</v>
      </c>
      <c r="S625" s="2"/>
      <c r="T625" s="2"/>
      <c r="U625" s="2"/>
    </row>
    <row r="626" spans="1:21" x14ac:dyDescent="0.25">
      <c r="A626" s="2" t="str">
        <f ca="1">IFERROR(__xludf.DUMMYFUNCTION("""COMPUTED_VALUE"""),"523a2f24")</f>
        <v>523a2f24</v>
      </c>
      <c r="B626" s="5">
        <f ca="1">IFERROR(__xludf.DUMMYFUNCTION("""COMPUTED_VALUE"""),45786.8050694444)</f>
        <v>45786.805069444403</v>
      </c>
      <c r="C626" s="2" t="str">
        <f ca="1">IFERROR(__xludf.DUMMYFUNCTION("""COMPUTED_VALUE"""),"e1fe7b8e")</f>
        <v>e1fe7b8e</v>
      </c>
      <c r="D626" s="2">
        <f ca="1">IFERROR(__xludf.DUMMYFUNCTION("""COMPUTED_VALUE"""),118)</f>
        <v>118</v>
      </c>
      <c r="E626" s="2" t="str">
        <f ca="1">IFERROR(__xludf.DUMMYFUNCTION("""COMPUTED_VALUE"""),"Bonarda")</f>
        <v>Bonarda</v>
      </c>
      <c r="F626" s="2">
        <f ca="1">IFERROR(__xludf.DUMMYFUNCTION("""COMPUTED_VALUE"""),1100)</f>
        <v>1100</v>
      </c>
      <c r="G626" s="2">
        <f ca="1">IFERROR(__xludf.DUMMYFUNCTION("""COMPUTED_VALUE"""),50)</f>
        <v>50</v>
      </c>
      <c r="H626" s="2" t="str">
        <f ca="1">IFERROR(__xludf.DUMMYFUNCTION("""COMPUTED_VALUE"""),"0a82e5f5")</f>
        <v>0a82e5f5</v>
      </c>
      <c r="I626" s="2" t="str">
        <f ca="1">IFERROR(__xludf.DUMMYFUNCTION("""COMPUTED_VALUE"""),"Malbec Carricondo Venta")</f>
        <v>Malbec Carricondo Venta</v>
      </c>
      <c r="J626" s="2">
        <f ca="1">IFERROR(__xludf.DUMMYFUNCTION("""COMPUTED_VALUE"""),4000)</f>
        <v>4000</v>
      </c>
      <c r="K626" s="2">
        <f ca="1">IFERROR(__xludf.DUMMYFUNCTION("""COMPUTED_VALUE"""),5100)</f>
        <v>5100</v>
      </c>
      <c r="L626" s="2" t="str">
        <f ca="1">IFERROR(__xludf.DUMMYFUNCTION("""COMPUTED_VALUE"""),"7488f497")</f>
        <v>7488f497</v>
      </c>
      <c r="M626" s="2" t="str">
        <f ca="1">IFERROR(__xludf.DUMMYFUNCTION("""COMPUTED_VALUE"""),"Malbec Carricondo Venta")</f>
        <v>Malbec Carricondo Venta</v>
      </c>
      <c r="N626" s="2"/>
      <c r="O626" s="2" t="str">
        <f ca="1">IFERROR(__xludf.DUMMYFUNCTION("""COMPUTED_VALUE"""),"Descubada")</f>
        <v>Descubada</v>
      </c>
      <c r="P626" s="2" t="str">
        <f ca="1">IFERROR(__xludf.DUMMYFUNCTION("""COMPUTED_VALUE"""),"1er Trasiego")</f>
        <v>1er Trasiego</v>
      </c>
      <c r="Q626" s="2" t="b">
        <f ca="1">IFERROR(__xludf.DUMMYFUNCTION("""COMPUTED_VALUE"""),TRUE)</f>
        <v>1</v>
      </c>
      <c r="R626" s="2" t="str">
        <f ca="1">IFERROR(__xludf.DUMMYFUNCTION("""COMPUTED_VALUE"""),"1er Trasiego")</f>
        <v>1er Trasiego</v>
      </c>
      <c r="S626" s="2"/>
      <c r="T626" s="2"/>
      <c r="U626" s="2"/>
    </row>
    <row r="627" spans="1:21" x14ac:dyDescent="0.25">
      <c r="A627" s="2" t="str">
        <f ca="1">IFERROR(__xludf.DUMMYFUNCTION("""COMPUTED_VALUE"""),"1b826a1b")</f>
        <v>1b826a1b</v>
      </c>
      <c r="B627" s="5">
        <f ca="1">IFERROR(__xludf.DUMMYFUNCTION("""COMPUTED_VALUE"""),45786.8075231481)</f>
        <v>45786.807523148098</v>
      </c>
      <c r="C627" s="2" t="str">
        <f ca="1">IFERROR(__xludf.DUMMYFUNCTION("""COMPUTED_VALUE"""),"da2b6cac")</f>
        <v>da2b6cac</v>
      </c>
      <c r="D627" s="2">
        <f ca="1">IFERROR(__xludf.DUMMYFUNCTION("""COMPUTED_VALUE"""),77)</f>
        <v>77</v>
      </c>
      <c r="E627" s="2" t="str">
        <f ca="1">IFERROR(__xludf.DUMMYFUNCTION("""COMPUTED_VALUE"""),"Tinto s/Bonarda")</f>
        <v>Tinto s/Bonarda</v>
      </c>
      <c r="F627" s="2">
        <f ca="1">IFERROR(__xludf.DUMMYFUNCTION("""COMPUTED_VALUE"""),1600)</f>
        <v>1600</v>
      </c>
      <c r="G627" s="2">
        <f ca="1">IFERROR(__xludf.DUMMYFUNCTION("""COMPUTED_VALUE"""),71)</f>
        <v>71</v>
      </c>
      <c r="H627" s="2" t="str">
        <f ca="1">IFERROR(__xludf.DUMMYFUNCTION("""COMPUTED_VALUE"""),"9f02a2e8")</f>
        <v>9f02a2e8</v>
      </c>
      <c r="I627" s="2" t="str">
        <f ca="1">IFERROR(__xludf.DUMMYFUNCTION("""COMPUTED_VALUE"""),"Chardonnay Late Harvest")</f>
        <v>Chardonnay Late Harvest</v>
      </c>
      <c r="J627" s="2">
        <f ca="1">IFERROR(__xludf.DUMMYFUNCTION("""COMPUTED_VALUE"""),11400)</f>
        <v>11400</v>
      </c>
      <c r="K627" s="2">
        <f ca="1">IFERROR(__xludf.DUMMYFUNCTION("""COMPUTED_VALUE"""),13000)</f>
        <v>13000</v>
      </c>
      <c r="L627" s="2" t="str">
        <f ca="1">IFERROR(__xludf.DUMMYFUNCTION("""COMPUTED_VALUE"""),"8deed384")</f>
        <v>8deed384</v>
      </c>
      <c r="M627" s="2" t="str">
        <f ca="1">IFERROR(__xludf.DUMMYFUNCTION("""COMPUTED_VALUE"""),"Tinto (Chardonnay)")</f>
        <v>Tinto (Chardonnay)</v>
      </c>
      <c r="N627" s="2"/>
      <c r="O627" s="2" t="str">
        <f ca="1">IFERROR(__xludf.DUMMYFUNCTION("""COMPUTED_VALUE"""),"1er Trasiego")</f>
        <v>1er Trasiego</v>
      </c>
      <c r="P627" s="2" t="str">
        <f ca="1">IFERROR(__xludf.DUMMYFUNCTION("""COMPUTED_VALUE"""),"Descubada")</f>
        <v>Descubada</v>
      </c>
      <c r="Q627" s="2" t="b">
        <f ca="1">IFERROR(__xludf.DUMMYFUNCTION("""COMPUTED_VALUE"""),FALSE)</f>
        <v>0</v>
      </c>
      <c r="R627" s="2" t="str">
        <f ca="1">IFERROR(__xludf.DUMMYFUNCTION("""COMPUTED_VALUE"""),"1er Trasiego")</f>
        <v>1er Trasiego</v>
      </c>
      <c r="S627" s="2"/>
      <c r="T627" s="2"/>
      <c r="U627" s="2"/>
    </row>
    <row r="628" spans="1:21" x14ac:dyDescent="0.25">
      <c r="A628" s="2" t="str">
        <f ca="1">IFERROR(__xludf.DUMMYFUNCTION("""COMPUTED_VALUE"""),"e66b28e8")</f>
        <v>e66b28e8</v>
      </c>
      <c r="B628" s="5">
        <f ca="1">IFERROR(__xludf.DUMMYFUNCTION("""COMPUTED_VALUE"""),45786.8085069444)</f>
        <v>45786.808506944399</v>
      </c>
      <c r="C628" s="2" t="str">
        <f ca="1">IFERROR(__xludf.DUMMYFUNCTION("""COMPUTED_VALUE"""),"da2b6cac")</f>
        <v>da2b6cac</v>
      </c>
      <c r="D628" s="2">
        <f ca="1">IFERROR(__xludf.DUMMYFUNCTION("""COMPUTED_VALUE"""),77)</f>
        <v>77</v>
      </c>
      <c r="E628" s="2" t="str">
        <f ca="1">IFERROR(__xludf.DUMMYFUNCTION("""COMPUTED_VALUE"""),"Tinto s/Bonarda")</f>
        <v>Tinto s/Bonarda</v>
      </c>
      <c r="F628" s="2">
        <f ca="1">IFERROR(__xludf.DUMMYFUNCTION("""COMPUTED_VALUE"""),2000)</f>
        <v>2000</v>
      </c>
      <c r="G628" s="2">
        <f ca="1">IFERROR(__xludf.DUMMYFUNCTION("""COMPUTED_VALUE"""),126)</f>
        <v>126</v>
      </c>
      <c r="H628" s="2" t="str">
        <f ca="1">IFERROR(__xludf.DUMMYFUNCTION("""COMPUTED_VALUE"""),"56888a83")</f>
        <v>56888a83</v>
      </c>
      <c r="I628" s="2" t="str">
        <f ca="1">IFERROR(__xludf.DUMMYFUNCTION("""COMPUTED_VALUE"""),"Tinto G")</f>
        <v>Tinto G</v>
      </c>
      <c r="J628" s="2">
        <f ca="1">IFERROR(__xludf.DUMMYFUNCTION("""COMPUTED_VALUE"""),29000)</f>
        <v>29000</v>
      </c>
      <c r="K628" s="2">
        <f ca="1">IFERROR(__xludf.DUMMYFUNCTION("""COMPUTED_VALUE"""),31000)</f>
        <v>31000</v>
      </c>
      <c r="L628" s="2" t="str">
        <f ca="1">IFERROR(__xludf.DUMMYFUNCTION("""COMPUTED_VALUE"""),"9c9a8832")</f>
        <v>9c9a8832</v>
      </c>
      <c r="M628" s="2" t="str">
        <f ca="1">IFERROR(__xludf.DUMMYFUNCTION("""COMPUTED_VALUE"""),"Tinto G")</f>
        <v>Tinto G</v>
      </c>
      <c r="N628" s="2"/>
      <c r="O628" s="2" t="str">
        <f ca="1">IFERROR(__xludf.DUMMYFUNCTION("""COMPUTED_VALUE"""),"1er Trasiego")</f>
        <v>1er Trasiego</v>
      </c>
      <c r="P628" s="2" t="str">
        <f ca="1">IFERROR(__xludf.DUMMYFUNCTION("""COMPUTED_VALUE"""),"1er Trasiego")</f>
        <v>1er Trasiego</v>
      </c>
      <c r="Q628" s="2" t="b">
        <f ca="1">IFERROR(__xludf.DUMMYFUNCTION("""COMPUTED_VALUE"""),TRUE)</f>
        <v>1</v>
      </c>
      <c r="R628" s="2" t="str">
        <f ca="1">IFERROR(__xludf.DUMMYFUNCTION("""COMPUTED_VALUE"""),"1er Trasiego")</f>
        <v>1er Trasiego</v>
      </c>
      <c r="S628" s="2"/>
      <c r="T628" s="2"/>
      <c r="U628" s="2"/>
    </row>
    <row r="629" spans="1:21" x14ac:dyDescent="0.25">
      <c r="A629" s="2" t="str">
        <f ca="1">IFERROR(__xludf.DUMMYFUNCTION("""COMPUTED_VALUE"""),"81da33ea")</f>
        <v>81da33ea</v>
      </c>
      <c r="B629" s="5">
        <f ca="1">IFERROR(__xludf.DUMMYFUNCTION("""COMPUTED_VALUE"""),45789.4152777777)</f>
        <v>45789.415277777698</v>
      </c>
      <c r="C629" s="2" t="str">
        <f ca="1">IFERROR(__xludf.DUMMYFUNCTION("""COMPUTED_VALUE"""),"e6ca31fd")</f>
        <v>e6ca31fd</v>
      </c>
      <c r="D629" s="2">
        <f ca="1">IFERROR(__xludf.DUMMYFUNCTION("""COMPUTED_VALUE"""),11)</f>
        <v>11</v>
      </c>
      <c r="E629" s="2" t="str">
        <f ca="1">IFERROR(__xludf.DUMMYFUNCTION("""COMPUTED_VALUE"""),"Claro de filtro")</f>
        <v>Claro de filtro</v>
      </c>
      <c r="F629" s="2">
        <f ca="1">IFERROR(__xludf.DUMMYFUNCTION("""COMPUTED_VALUE"""),1000)</f>
        <v>1000</v>
      </c>
      <c r="G629" s="2">
        <f ca="1">IFERROR(__xludf.DUMMYFUNCTION("""COMPUTED_VALUE"""),12)</f>
        <v>12</v>
      </c>
      <c r="H629" s="2" t="str">
        <f ca="1">IFERROR(__xludf.DUMMYFUNCTION("""COMPUTED_VALUE"""),"d85a9e51")</f>
        <v>d85a9e51</v>
      </c>
      <c r="I629" s="2" t="str">
        <f ca="1">IFERROR(__xludf.DUMMYFUNCTION("""COMPUTED_VALUE"""),"Claro de Filtro")</f>
        <v>Claro de Filtro</v>
      </c>
      <c r="J629" s="2">
        <f ca="1">IFERROR(__xludf.DUMMYFUNCTION("""COMPUTED_VALUE"""),17000)</f>
        <v>17000</v>
      </c>
      <c r="K629" s="2">
        <f ca="1">IFERROR(__xludf.DUMMYFUNCTION("""COMPUTED_VALUE"""),18000)</f>
        <v>18000</v>
      </c>
      <c r="L629" s="2" t="str">
        <f ca="1">IFERROR(__xludf.DUMMYFUNCTION("""COMPUTED_VALUE"""),"61f14f41")</f>
        <v>61f14f41</v>
      </c>
      <c r="M629" s="2" t="str">
        <f ca="1">IFERROR(__xludf.DUMMYFUNCTION("""COMPUTED_VALUE"""),"Claro de Filtro")</f>
        <v>Claro de Filtro</v>
      </c>
      <c r="N629" s="2"/>
      <c r="O629" s="2" t="str">
        <f ca="1">IFERROR(__xludf.DUMMYFUNCTION("""COMPUTED_VALUE"""),"Descubada")</f>
        <v>Descubada</v>
      </c>
      <c r="P629" s="2" t="str">
        <f ca="1">IFERROR(__xludf.DUMMYFUNCTION("""COMPUTED_VALUE"""),"Descubada")</f>
        <v>Descubada</v>
      </c>
      <c r="Q629" s="2" t="b">
        <f ca="1">IFERROR(__xludf.DUMMYFUNCTION("""COMPUTED_VALUE"""),TRUE)</f>
        <v>1</v>
      </c>
      <c r="R629" s="2" t="str">
        <f ca="1">IFERROR(__xludf.DUMMYFUNCTION("""COMPUTED_VALUE"""),"Descubada")</f>
        <v>Descubada</v>
      </c>
      <c r="S629" s="2"/>
      <c r="T629" s="2"/>
      <c r="U629" s="2"/>
    </row>
    <row r="630" spans="1:21" x14ac:dyDescent="0.25">
      <c r="A630" s="2" t="str">
        <f ca="1">IFERROR(__xludf.DUMMYFUNCTION("""COMPUTED_VALUE"""),"8735c5c4")</f>
        <v>8735c5c4</v>
      </c>
      <c r="B630" s="5">
        <f ca="1">IFERROR(__xludf.DUMMYFUNCTION("""COMPUTED_VALUE"""),45789.415625)</f>
        <v>45789.415625000001</v>
      </c>
      <c r="C630" s="2" t="str">
        <f ca="1">IFERROR(__xludf.DUMMYFUNCTION("""COMPUTED_VALUE"""),"61f14f41")</f>
        <v>61f14f41</v>
      </c>
      <c r="D630" s="2">
        <f ca="1">IFERROR(__xludf.DUMMYFUNCTION("""COMPUTED_VALUE"""),12)</f>
        <v>12</v>
      </c>
      <c r="E630" s="2" t="str">
        <f ca="1">IFERROR(__xludf.DUMMYFUNCTION("""COMPUTED_VALUE"""),"Claro de Filtro")</f>
        <v>Claro de Filtro</v>
      </c>
      <c r="F630" s="2">
        <f ca="1">IFERROR(__xludf.DUMMYFUNCTION("""COMPUTED_VALUE"""),-5000)</f>
        <v>-5000</v>
      </c>
      <c r="G630" s="2">
        <f ca="1">IFERROR(__xludf.DUMMYFUNCTION("""COMPUTED_VALUE"""),500)</f>
        <v>500</v>
      </c>
      <c r="H630" s="2" t="str">
        <f ca="1">IFERROR(__xludf.DUMMYFUNCTION("""COMPUTED_VALUE"""),"500a69fc")</f>
        <v>500a69fc</v>
      </c>
      <c r="I630" s="2" t="str">
        <f ca="1">IFERROR(__xludf.DUMMYFUNCTION("""COMPUTED_VALUE"""),"Ajuste Arqueo 10/05/25")</f>
        <v>Ajuste Arqueo 10/05/25</v>
      </c>
      <c r="J630" s="2">
        <f ca="1">IFERROR(__xludf.DUMMYFUNCTION("""COMPUTED_VALUE"""),1)</f>
        <v>1</v>
      </c>
      <c r="K630" s="2">
        <f ca="1">IFERROR(__xludf.DUMMYFUNCTION("""COMPUTED_VALUE"""),-4999)</f>
        <v>-4999</v>
      </c>
      <c r="L630" s="2" t="str">
        <f ca="1">IFERROR(__xludf.DUMMYFUNCTION("""COMPUTED_VALUE"""),"eaad107d")</f>
        <v>eaad107d</v>
      </c>
      <c r="M630" s="2" t="str">
        <f ca="1">IFERROR(__xludf.DUMMYFUNCTION("""COMPUTED_VALUE"""),"Ajuste Arqueo 10/05/25")</f>
        <v>Ajuste Arqueo 10/05/25</v>
      </c>
      <c r="N630" s="2"/>
      <c r="O630" s="2" t="str">
        <f ca="1">IFERROR(__xludf.DUMMYFUNCTION("""COMPUTED_VALUE"""),"Descubada")</f>
        <v>Descubada</v>
      </c>
      <c r="P630" s="2"/>
      <c r="Q630" s="2" t="b">
        <f ca="1">IFERROR(__xludf.DUMMYFUNCTION("""COMPUTED_VALUE"""),TRUE)</f>
        <v>1</v>
      </c>
      <c r="R630" s="2"/>
      <c r="S630" s="2"/>
      <c r="T630" s="2"/>
      <c r="U630" s="2"/>
    </row>
    <row r="631" spans="1:21" x14ac:dyDescent="0.25">
      <c r="A631" s="2" t="str">
        <f ca="1">IFERROR(__xludf.DUMMYFUNCTION("""COMPUTED_VALUE"""),"ff038037")</f>
        <v>ff038037</v>
      </c>
      <c r="B631" s="5">
        <f ca="1">IFERROR(__xludf.DUMMYFUNCTION("""COMPUTED_VALUE"""),45789.4163425925)</f>
        <v>45789.4163425925</v>
      </c>
      <c r="C631" s="2" t="str">
        <f ca="1">IFERROR(__xludf.DUMMYFUNCTION("""COMPUTED_VALUE"""),"e580a9d5")</f>
        <v>e580a9d5</v>
      </c>
      <c r="D631" s="2">
        <f ca="1">IFERROR(__xludf.DUMMYFUNCTION("""COMPUTED_VALUE"""),54)</f>
        <v>54</v>
      </c>
      <c r="E631" s="2" t="str">
        <f ca="1">IFERROR(__xludf.DUMMYFUNCTION("""COMPUTED_VALUE"""),"Malbec")</f>
        <v>Malbec</v>
      </c>
      <c r="F631" s="2">
        <f ca="1">IFERROR(__xludf.DUMMYFUNCTION("""COMPUTED_VALUE"""),-3386)</f>
        <v>-3386</v>
      </c>
      <c r="G631" s="2">
        <f ca="1">IFERROR(__xludf.DUMMYFUNCTION("""COMPUTED_VALUE"""),500)</f>
        <v>500</v>
      </c>
      <c r="H631" s="2" t="str">
        <f ca="1">IFERROR(__xludf.DUMMYFUNCTION("""COMPUTED_VALUE"""),"eaad107d")</f>
        <v>eaad107d</v>
      </c>
      <c r="I631" s="2" t="str">
        <f ca="1">IFERROR(__xludf.DUMMYFUNCTION("""COMPUTED_VALUE"""),"Ajuste Arqueo 10/05/25")</f>
        <v>Ajuste Arqueo 10/05/25</v>
      </c>
      <c r="J631" s="2">
        <f ca="1">IFERROR(__xludf.DUMMYFUNCTION("""COMPUTED_VALUE"""),-4999)</f>
        <v>-4999</v>
      </c>
      <c r="K631" s="2">
        <f ca="1">IFERROR(__xludf.DUMMYFUNCTION("""COMPUTED_VALUE"""),-8385)</f>
        <v>-8385</v>
      </c>
      <c r="L631" s="2" t="str">
        <f ca="1">IFERROR(__xludf.DUMMYFUNCTION("""COMPUTED_VALUE"""),"26f754e9")</f>
        <v>26f754e9</v>
      </c>
      <c r="M631" s="2" t="str">
        <f ca="1">IFERROR(__xludf.DUMMYFUNCTION("""COMPUTED_VALUE"""),"Ajuste Arqueo 10/05/25")</f>
        <v>Ajuste Arqueo 10/05/25</v>
      </c>
      <c r="N631" s="2"/>
      <c r="O631" s="2" t="str">
        <f ca="1">IFERROR(__xludf.DUMMYFUNCTION("""COMPUTED_VALUE"""),"Descubada")</f>
        <v>Descubada</v>
      </c>
      <c r="P631" s="2"/>
      <c r="Q631" s="2" t="b">
        <f ca="1">IFERROR(__xludf.DUMMYFUNCTION("""COMPUTED_VALUE"""),TRUE)</f>
        <v>1</v>
      </c>
      <c r="R631" s="2"/>
      <c r="S631" s="2"/>
      <c r="T631" s="2"/>
      <c r="U631" s="2"/>
    </row>
    <row r="632" spans="1:21" x14ac:dyDescent="0.25">
      <c r="A632" s="2" t="str">
        <f ca="1">IFERROR(__xludf.DUMMYFUNCTION("""COMPUTED_VALUE"""),"a1699c41")</f>
        <v>a1699c41</v>
      </c>
      <c r="B632" s="5">
        <f ca="1">IFERROR(__xludf.DUMMYFUNCTION("""COMPUTED_VALUE"""),45789.417037037)</f>
        <v>45789.417037036997</v>
      </c>
      <c r="C632" s="2" t="str">
        <f ca="1">IFERROR(__xludf.DUMMYFUNCTION("""COMPUTED_VALUE"""),"271c9c71")</f>
        <v>271c9c71</v>
      </c>
      <c r="D632" s="2">
        <f ca="1">IFERROR(__xludf.DUMMYFUNCTION("""COMPUTED_VALUE"""),69)</f>
        <v>69</v>
      </c>
      <c r="E632" s="2" t="str">
        <f ca="1">IFERROR(__xludf.DUMMYFUNCTION("""COMPUTED_VALUE"""),"Borra")</f>
        <v>Borra</v>
      </c>
      <c r="F632" s="2">
        <f ca="1">IFERROR(__xludf.DUMMYFUNCTION("""COMPUTED_VALUE"""),-13000)</f>
        <v>-13000</v>
      </c>
      <c r="G632" s="2">
        <f ca="1">IFERROR(__xludf.DUMMYFUNCTION("""COMPUTED_VALUE"""),500)</f>
        <v>500</v>
      </c>
      <c r="H632" s="2" t="str">
        <f ca="1">IFERROR(__xludf.DUMMYFUNCTION("""COMPUTED_VALUE"""),"26f754e9")</f>
        <v>26f754e9</v>
      </c>
      <c r="I632" s="2" t="str">
        <f ca="1">IFERROR(__xludf.DUMMYFUNCTION("""COMPUTED_VALUE"""),"Ajuste Arqueo 10/05/25")</f>
        <v>Ajuste Arqueo 10/05/25</v>
      </c>
      <c r="J632" s="2">
        <f ca="1">IFERROR(__xludf.DUMMYFUNCTION("""COMPUTED_VALUE"""),-8385)</f>
        <v>-8385</v>
      </c>
      <c r="K632" s="2">
        <f ca="1">IFERROR(__xludf.DUMMYFUNCTION("""COMPUTED_VALUE"""),-21385)</f>
        <v>-21385</v>
      </c>
      <c r="L632" s="2" t="str">
        <f ca="1">IFERROR(__xludf.DUMMYFUNCTION("""COMPUTED_VALUE"""),"1d9b14f9")</f>
        <v>1d9b14f9</v>
      </c>
      <c r="M632" s="2" t="str">
        <f ca="1">IFERROR(__xludf.DUMMYFUNCTION("""COMPUTED_VALUE"""),"Ajuste Arqueo 10/05/25")</f>
        <v>Ajuste Arqueo 10/05/25</v>
      </c>
      <c r="N632" s="2"/>
      <c r="O632" s="2"/>
      <c r="P632" s="2"/>
      <c r="Q632" s="2" t="b">
        <f ca="1">IFERROR(__xludf.DUMMYFUNCTION("""COMPUTED_VALUE"""),TRUE)</f>
        <v>1</v>
      </c>
      <c r="R632" s="2"/>
      <c r="S632" s="2"/>
      <c r="T632" s="2"/>
      <c r="U632" s="2"/>
    </row>
    <row r="633" spans="1:21" x14ac:dyDescent="0.25">
      <c r="A633" s="2" t="str">
        <f ca="1">IFERROR(__xludf.DUMMYFUNCTION("""COMPUTED_VALUE"""),"93445d26")</f>
        <v>93445d26</v>
      </c>
      <c r="B633" s="5">
        <f ca="1">IFERROR(__xludf.DUMMYFUNCTION("""COMPUTED_VALUE"""),45789.4175578703)</f>
        <v>45789.4175578703</v>
      </c>
      <c r="C633" s="2" t="str">
        <f ca="1">IFERROR(__xludf.DUMMYFUNCTION("""COMPUTED_VALUE"""),"cf107ae5")</f>
        <v>cf107ae5</v>
      </c>
      <c r="D633" s="2">
        <f ca="1">IFERROR(__xludf.DUMMYFUNCTION("""COMPUTED_VALUE"""),96)</f>
        <v>96</v>
      </c>
      <c r="E633" s="2" t="str">
        <f ca="1">IFERROR(__xludf.DUMMYFUNCTION("""COMPUTED_VALUE"""),"Tinto")</f>
        <v>Tinto</v>
      </c>
      <c r="F633" s="2">
        <f ca="1">IFERROR(__xludf.DUMMYFUNCTION("""COMPUTED_VALUE"""),600)</f>
        <v>600</v>
      </c>
      <c r="G633" s="2">
        <f ca="1">IFERROR(__xludf.DUMMYFUNCTION("""COMPUTED_VALUE"""),500)</f>
        <v>500</v>
      </c>
      <c r="H633" s="2" t="str">
        <f ca="1">IFERROR(__xludf.DUMMYFUNCTION("""COMPUTED_VALUE"""),"1d9b14f9")</f>
        <v>1d9b14f9</v>
      </c>
      <c r="I633" s="2" t="str">
        <f ca="1">IFERROR(__xludf.DUMMYFUNCTION("""COMPUTED_VALUE"""),"Ajuste Arqueo 10/05/25")</f>
        <v>Ajuste Arqueo 10/05/25</v>
      </c>
      <c r="J633" s="2">
        <f ca="1">IFERROR(__xludf.DUMMYFUNCTION("""COMPUTED_VALUE"""),-21385)</f>
        <v>-21385</v>
      </c>
      <c r="K633" s="2">
        <f ca="1">IFERROR(__xludf.DUMMYFUNCTION("""COMPUTED_VALUE"""),-20785)</f>
        <v>-20785</v>
      </c>
      <c r="L633" s="2" t="str">
        <f ca="1">IFERROR(__xludf.DUMMYFUNCTION("""COMPUTED_VALUE"""),"cce48a18")</f>
        <v>cce48a18</v>
      </c>
      <c r="M633" s="2" t="str">
        <f ca="1">IFERROR(__xludf.DUMMYFUNCTION("""COMPUTED_VALUE"""),"Ajuste Arqueo 10/05/25")</f>
        <v>Ajuste Arqueo 10/05/25</v>
      </c>
      <c r="N633" s="2"/>
      <c r="O633" s="2" t="str">
        <f ca="1">IFERROR(__xludf.DUMMYFUNCTION("""COMPUTED_VALUE"""),"Descubada")</f>
        <v>Descubada</v>
      </c>
      <c r="P633" s="2"/>
      <c r="Q633" s="2" t="b">
        <f ca="1">IFERROR(__xludf.DUMMYFUNCTION("""COMPUTED_VALUE"""),TRUE)</f>
        <v>1</v>
      </c>
      <c r="R633" s="2"/>
      <c r="S633" s="2"/>
      <c r="T633" s="2"/>
      <c r="U633" s="2"/>
    </row>
    <row r="634" spans="1:21" x14ac:dyDescent="0.25">
      <c r="A634" s="2" t="str">
        <f ca="1">IFERROR(__xludf.DUMMYFUNCTION("""COMPUTED_VALUE"""),"4442bc3c")</f>
        <v>4442bc3c</v>
      </c>
      <c r="B634" s="5">
        <f ca="1">IFERROR(__xludf.DUMMYFUNCTION("""COMPUTED_VALUE"""),45789.4188310184)</f>
        <v>45789.418831018498</v>
      </c>
      <c r="C634" s="2" t="str">
        <f ca="1">IFERROR(__xludf.DUMMYFUNCTION("""COMPUTED_VALUE"""),"e1fe7b8e")</f>
        <v>e1fe7b8e</v>
      </c>
      <c r="D634" s="2">
        <f ca="1">IFERROR(__xludf.DUMMYFUNCTION("""COMPUTED_VALUE"""),118)</f>
        <v>118</v>
      </c>
      <c r="E634" s="2" t="str">
        <f ca="1">IFERROR(__xludf.DUMMYFUNCTION("""COMPUTED_VALUE"""),"Bonarda")</f>
        <v>Bonarda</v>
      </c>
      <c r="F634" s="2">
        <f ca="1">IFERROR(__xludf.DUMMYFUNCTION("""COMPUTED_VALUE"""),7795)</f>
        <v>7795</v>
      </c>
      <c r="G634" s="2">
        <f ca="1">IFERROR(__xludf.DUMMYFUNCTION("""COMPUTED_VALUE"""),500)</f>
        <v>500</v>
      </c>
      <c r="H634" s="2" t="str">
        <f ca="1">IFERROR(__xludf.DUMMYFUNCTION("""COMPUTED_VALUE"""),"cce48a18")</f>
        <v>cce48a18</v>
      </c>
      <c r="I634" s="2" t="str">
        <f ca="1">IFERROR(__xludf.DUMMYFUNCTION("""COMPUTED_VALUE"""),"Ajuste Arqueo 10/05/25")</f>
        <v>Ajuste Arqueo 10/05/25</v>
      </c>
      <c r="J634" s="2">
        <f ca="1">IFERROR(__xludf.DUMMYFUNCTION("""COMPUTED_VALUE"""),-20785)</f>
        <v>-20785</v>
      </c>
      <c r="K634" s="2">
        <f ca="1">IFERROR(__xludf.DUMMYFUNCTION("""COMPUTED_VALUE"""),-12990)</f>
        <v>-12990</v>
      </c>
      <c r="L634" s="2" t="str">
        <f ca="1">IFERROR(__xludf.DUMMYFUNCTION("""COMPUTED_VALUE"""),"b043a39f")</f>
        <v>b043a39f</v>
      </c>
      <c r="M634" s="2" t="str">
        <f ca="1">IFERROR(__xludf.DUMMYFUNCTION("""COMPUTED_VALUE"""),"Ajuste Arqueo 10/05/25")</f>
        <v>Ajuste Arqueo 10/05/25</v>
      </c>
      <c r="N634" s="2"/>
      <c r="O634" s="2" t="str">
        <f ca="1">IFERROR(__xludf.DUMMYFUNCTION("""COMPUTED_VALUE"""),"Descubada")</f>
        <v>Descubada</v>
      </c>
      <c r="P634" s="2"/>
      <c r="Q634" s="2" t="b">
        <f ca="1">IFERROR(__xludf.DUMMYFUNCTION("""COMPUTED_VALUE"""),TRUE)</f>
        <v>1</v>
      </c>
      <c r="R634" s="2"/>
      <c r="S634" s="2"/>
      <c r="T634" s="2"/>
      <c r="U634" s="2"/>
    </row>
    <row r="635" spans="1:21" x14ac:dyDescent="0.25">
      <c r="A635" s="2" t="str">
        <f ca="1">IFERROR(__xludf.DUMMYFUNCTION("""COMPUTED_VALUE"""),"d68dcc57")</f>
        <v>d68dcc57</v>
      </c>
      <c r="B635" s="5">
        <f ca="1">IFERROR(__xludf.DUMMYFUNCTION("""COMPUTED_VALUE"""),45789.4192361111)</f>
        <v>45789.419236111098</v>
      </c>
      <c r="C635" s="2" t="str">
        <f ca="1">IFERROR(__xludf.DUMMYFUNCTION("""COMPUTED_VALUE"""),"5c542a1f")</f>
        <v>5c542a1f</v>
      </c>
      <c r="D635" s="2">
        <f ca="1">IFERROR(__xludf.DUMMYFUNCTION("""COMPUTED_VALUE"""),121)</f>
        <v>121</v>
      </c>
      <c r="E635" s="2" t="str">
        <f ca="1">IFERROR(__xludf.DUMMYFUNCTION("""COMPUTED_VALUE"""),"Malbec Mec")</f>
        <v>Malbec Mec</v>
      </c>
      <c r="F635" s="2">
        <f ca="1">IFERROR(__xludf.DUMMYFUNCTION("""COMPUTED_VALUE"""),800)</f>
        <v>800</v>
      </c>
      <c r="G635" s="2">
        <f ca="1">IFERROR(__xludf.DUMMYFUNCTION("""COMPUTED_VALUE"""),500)</f>
        <v>500</v>
      </c>
      <c r="H635" s="2" t="str">
        <f ca="1">IFERROR(__xludf.DUMMYFUNCTION("""COMPUTED_VALUE"""),"b043a39f")</f>
        <v>b043a39f</v>
      </c>
      <c r="I635" s="2" t="str">
        <f ca="1">IFERROR(__xludf.DUMMYFUNCTION("""COMPUTED_VALUE"""),"Ajuste Arqueo 10/05/25")</f>
        <v>Ajuste Arqueo 10/05/25</v>
      </c>
      <c r="J635" s="2">
        <f ca="1">IFERROR(__xludf.DUMMYFUNCTION("""COMPUTED_VALUE"""),-12990)</f>
        <v>-12990</v>
      </c>
      <c r="K635" s="2">
        <f ca="1">IFERROR(__xludf.DUMMYFUNCTION("""COMPUTED_VALUE"""),-12190)</f>
        <v>-12190</v>
      </c>
      <c r="L635" s="2" t="str">
        <f ca="1">IFERROR(__xludf.DUMMYFUNCTION("""COMPUTED_VALUE"""),"b1bcdf75")</f>
        <v>b1bcdf75</v>
      </c>
      <c r="M635" s="2" t="str">
        <f ca="1">IFERROR(__xludf.DUMMYFUNCTION("""COMPUTED_VALUE"""),"Ajuste Arqueo 10/05/25")</f>
        <v>Ajuste Arqueo 10/05/25</v>
      </c>
      <c r="N635" s="2"/>
      <c r="O635" s="2" t="str">
        <f ca="1">IFERROR(__xludf.DUMMYFUNCTION("""COMPUTED_VALUE"""),"Descubada")</f>
        <v>Descubada</v>
      </c>
      <c r="P635" s="2"/>
      <c r="Q635" s="2" t="b">
        <f ca="1">IFERROR(__xludf.DUMMYFUNCTION("""COMPUTED_VALUE"""),TRUE)</f>
        <v>1</v>
      </c>
      <c r="R635" s="2"/>
      <c r="S635" s="2"/>
      <c r="T635" s="2"/>
      <c r="U635" s="2"/>
    </row>
    <row r="636" spans="1:21" x14ac:dyDescent="0.25">
      <c r="A636" s="2" t="str">
        <f ca="1">IFERROR(__xludf.DUMMYFUNCTION("""COMPUTED_VALUE"""),"18c90304")</f>
        <v>18c90304</v>
      </c>
      <c r="B636" s="5">
        <f ca="1">IFERROR(__xludf.DUMMYFUNCTION("""COMPUTED_VALUE"""),45789.4195717592)</f>
        <v>45789.419571759201</v>
      </c>
      <c r="C636" s="2" t="str">
        <f ca="1">IFERROR(__xludf.DUMMYFUNCTION("""COMPUTED_VALUE"""),"1bdfaa93")</f>
        <v>1bdfaa93</v>
      </c>
      <c r="D636" s="2">
        <f ca="1">IFERROR(__xludf.DUMMYFUNCTION("""COMPUTED_VALUE"""),125)</f>
        <v>125</v>
      </c>
      <c r="E636" s="2" t="str">
        <f ca="1">IFERROR(__xludf.DUMMYFUNCTION("""COMPUTED_VALUE"""),"Malbec")</f>
        <v>Malbec</v>
      </c>
      <c r="F636" s="2">
        <f ca="1">IFERROR(__xludf.DUMMYFUNCTION("""COMPUTED_VALUE"""),3500)</f>
        <v>3500</v>
      </c>
      <c r="G636" s="2">
        <f ca="1">IFERROR(__xludf.DUMMYFUNCTION("""COMPUTED_VALUE"""),500)</f>
        <v>500</v>
      </c>
      <c r="H636" s="2" t="str">
        <f ca="1">IFERROR(__xludf.DUMMYFUNCTION("""COMPUTED_VALUE"""),"b1bcdf75")</f>
        <v>b1bcdf75</v>
      </c>
      <c r="I636" s="2" t="str">
        <f ca="1">IFERROR(__xludf.DUMMYFUNCTION("""COMPUTED_VALUE"""),"Ajuste Arqueo 10/05/25")</f>
        <v>Ajuste Arqueo 10/05/25</v>
      </c>
      <c r="J636" s="2">
        <f ca="1">IFERROR(__xludf.DUMMYFUNCTION("""COMPUTED_VALUE"""),-12190)</f>
        <v>-12190</v>
      </c>
      <c r="K636" s="2">
        <f ca="1">IFERROR(__xludf.DUMMYFUNCTION("""COMPUTED_VALUE"""),-8690)</f>
        <v>-8690</v>
      </c>
      <c r="L636" s="2" t="str">
        <f ca="1">IFERROR(__xludf.DUMMYFUNCTION("""COMPUTED_VALUE"""),"12de67aa")</f>
        <v>12de67aa</v>
      </c>
      <c r="M636" s="2" t="str">
        <f ca="1">IFERROR(__xludf.DUMMYFUNCTION("""COMPUTED_VALUE"""),"Ajuste Arqueo 10/05/25")</f>
        <v>Ajuste Arqueo 10/05/25</v>
      </c>
      <c r="N636" s="2"/>
      <c r="O636" s="2" t="str">
        <f ca="1">IFERROR(__xludf.DUMMYFUNCTION("""COMPUTED_VALUE"""),"1er Trasiego")</f>
        <v>1er Trasiego</v>
      </c>
      <c r="P636" s="2"/>
      <c r="Q636" s="2" t="b">
        <f ca="1">IFERROR(__xludf.DUMMYFUNCTION("""COMPUTED_VALUE"""),TRUE)</f>
        <v>1</v>
      </c>
      <c r="R636" s="2"/>
      <c r="S636" s="2"/>
      <c r="T636" s="2"/>
      <c r="U636" s="2"/>
    </row>
    <row r="637" spans="1:21" x14ac:dyDescent="0.25">
      <c r="A637" s="2" t="str">
        <f ca="1">IFERROR(__xludf.DUMMYFUNCTION("""COMPUTED_VALUE"""),"3703cfb8")</f>
        <v>3703cfb8</v>
      </c>
      <c r="B637" s="5">
        <f ca="1">IFERROR(__xludf.DUMMYFUNCTION("""COMPUTED_VALUE"""),45789.4351041666)</f>
        <v>45789.435104166601</v>
      </c>
      <c r="C637" s="2" t="str">
        <f ca="1">IFERROR(__xludf.DUMMYFUNCTION("""COMPUTED_VALUE"""),"e8b9aa9f")</f>
        <v>e8b9aa9f</v>
      </c>
      <c r="D637" s="2">
        <f ca="1">IFERROR(__xludf.DUMMYFUNCTION("""COMPUTED_VALUE"""),95)</f>
        <v>95</v>
      </c>
      <c r="E637" s="2" t="str">
        <f ca="1">IFERROR(__xludf.DUMMYFUNCTION("""COMPUTED_VALUE"""),"Tinto s/Bonarda 2da")</f>
        <v>Tinto s/Bonarda 2da</v>
      </c>
      <c r="F637" s="2">
        <f ca="1">IFERROR(__xludf.DUMMYFUNCTION("""COMPUTED_VALUE"""),75000)</f>
        <v>75000</v>
      </c>
      <c r="G637" s="2">
        <f ca="1">IFERROR(__xludf.DUMMYFUNCTION("""COMPUTED_VALUE"""),118)</f>
        <v>118</v>
      </c>
      <c r="H637" s="2"/>
      <c r="I637" s="2"/>
      <c r="J637" s="2">
        <f ca="1">IFERROR(__xludf.DUMMYFUNCTION("""COMPUTED_VALUE"""),0)</f>
        <v>0</v>
      </c>
      <c r="K637" s="2">
        <f ca="1">IFERROR(__xludf.DUMMYFUNCTION("""COMPUTED_VALUE"""),75000)</f>
        <v>75000</v>
      </c>
      <c r="L637" s="2" t="str">
        <f ca="1">IFERROR(__xludf.DUMMYFUNCTION("""COMPUTED_VALUE"""),"315f9ff5")</f>
        <v>315f9ff5</v>
      </c>
      <c r="M637" s="2" t="str">
        <f ca="1">IFERROR(__xludf.DUMMYFUNCTION("""COMPUTED_VALUE"""),"Tinto s/Bonarda 2da")</f>
        <v>Tinto s/Bonarda 2da</v>
      </c>
      <c r="N637" s="2"/>
      <c r="O637" s="2" t="str">
        <f ca="1">IFERROR(__xludf.DUMMYFUNCTION("""COMPUTED_VALUE"""),"Descubada")</f>
        <v>Descubada</v>
      </c>
      <c r="P637" s="2"/>
      <c r="Q637" s="2" t="b">
        <f ca="1">IFERROR(__xludf.DUMMYFUNCTION("""COMPUTED_VALUE"""),FALSE)</f>
        <v>0</v>
      </c>
      <c r="R637" s="2" t="str">
        <f ca="1">IFERROR(__xludf.DUMMYFUNCTION("""COMPUTED_VALUE"""),"1er Trasiego")</f>
        <v>1er Trasiego</v>
      </c>
      <c r="S637" s="2"/>
      <c r="T637" s="2"/>
      <c r="U637" s="2"/>
    </row>
    <row r="638" spans="1:21" x14ac:dyDescent="0.25">
      <c r="A638" s="2" t="str">
        <f ca="1">IFERROR(__xludf.DUMMYFUNCTION("""COMPUTED_VALUE"""),"a60ba105")</f>
        <v>a60ba105</v>
      </c>
      <c r="B638" s="5">
        <f ca="1">IFERROR(__xludf.DUMMYFUNCTION("""COMPUTED_VALUE"""),45789.4357407407)</f>
        <v>45789.435740740701</v>
      </c>
      <c r="C638" s="2" t="str">
        <f ca="1">IFERROR(__xludf.DUMMYFUNCTION("""COMPUTED_VALUE"""),"cf107ae5")</f>
        <v>cf107ae5</v>
      </c>
      <c r="D638" s="2">
        <f ca="1">IFERROR(__xludf.DUMMYFUNCTION("""COMPUTED_VALUE"""),96)</f>
        <v>96</v>
      </c>
      <c r="E638" s="2" t="str">
        <f ca="1">IFERROR(__xludf.DUMMYFUNCTION("""COMPUTED_VALUE"""),"Tinto")</f>
        <v>Tinto</v>
      </c>
      <c r="F638" s="2">
        <f ca="1">IFERROR(__xludf.DUMMYFUNCTION("""COMPUTED_VALUE"""),80600)</f>
        <v>80600</v>
      </c>
      <c r="G638" s="2">
        <f ca="1">IFERROR(__xludf.DUMMYFUNCTION("""COMPUTED_VALUE"""),118)</f>
        <v>118</v>
      </c>
      <c r="H638" s="2" t="str">
        <f ca="1">IFERROR(__xludf.DUMMYFUNCTION("""COMPUTED_VALUE"""),"315f9ff5")</f>
        <v>315f9ff5</v>
      </c>
      <c r="I638" s="2" t="str">
        <f ca="1">IFERROR(__xludf.DUMMYFUNCTION("""COMPUTED_VALUE"""),"Tinto s/Bonarda 2da")</f>
        <v>Tinto s/Bonarda 2da</v>
      </c>
      <c r="J638" s="2">
        <f ca="1">IFERROR(__xludf.DUMMYFUNCTION("""COMPUTED_VALUE"""),75000)</f>
        <v>75000</v>
      </c>
      <c r="K638" s="2">
        <f ca="1">IFERROR(__xludf.DUMMYFUNCTION("""COMPUTED_VALUE"""),155600)</f>
        <v>155600</v>
      </c>
      <c r="L638" s="2" t="str">
        <f ca="1">IFERROR(__xludf.DUMMYFUNCTION("""COMPUTED_VALUE"""),"b8a3716d")</f>
        <v>b8a3716d</v>
      </c>
      <c r="M638" s="2" t="str">
        <f ca="1">IFERROR(__xludf.DUMMYFUNCTION("""COMPUTED_VALUE"""),"Tinto s/Bonarda 2da")</f>
        <v>Tinto s/Bonarda 2da</v>
      </c>
      <c r="N638" s="2"/>
      <c r="O638" s="2" t="str">
        <f ca="1">IFERROR(__xludf.DUMMYFUNCTION("""COMPUTED_VALUE"""),"Descubada")</f>
        <v>Descubada</v>
      </c>
      <c r="P638" s="2" t="str">
        <f ca="1">IFERROR(__xludf.DUMMYFUNCTION("""COMPUTED_VALUE"""),"1er Trasiego")</f>
        <v>1er Trasiego</v>
      </c>
      <c r="Q638" s="2" t="b">
        <f ca="1">IFERROR(__xludf.DUMMYFUNCTION("""COMPUTED_VALUE"""),TRUE)</f>
        <v>1</v>
      </c>
      <c r="R638" s="2" t="str">
        <f ca="1">IFERROR(__xludf.DUMMYFUNCTION("""COMPUTED_VALUE"""),"1er Trasiego")</f>
        <v>1er Trasiego</v>
      </c>
      <c r="S638" s="2"/>
      <c r="T638" s="2"/>
      <c r="U638" s="2"/>
    </row>
    <row r="639" spans="1:21" x14ac:dyDescent="0.25">
      <c r="A639" s="2" t="str">
        <f ca="1">IFERROR(__xludf.DUMMYFUNCTION("""COMPUTED_VALUE"""),"9b72bc5f")</f>
        <v>9b72bc5f</v>
      </c>
      <c r="B639" s="5">
        <f ca="1">IFERROR(__xludf.DUMMYFUNCTION("""COMPUTED_VALUE"""),45790.4315046296)</f>
        <v>45790.431504629603</v>
      </c>
      <c r="C639" s="2" t="str">
        <f ca="1">IFERROR(__xludf.DUMMYFUNCTION("""COMPUTED_VALUE"""),"47825ff1")</f>
        <v>47825ff1</v>
      </c>
      <c r="D639" s="2">
        <f ca="1">IFERROR(__xludf.DUMMYFUNCTION("""COMPUTED_VALUE"""),89)</f>
        <v>89</v>
      </c>
      <c r="E639" s="2" t="str">
        <f ca="1">IFERROR(__xludf.DUMMYFUNCTION("""COMPUTED_VALUE"""),"Cabernet Sauvignon")</f>
        <v>Cabernet Sauvignon</v>
      </c>
      <c r="F639" s="2">
        <f ca="1">IFERROR(__xludf.DUMMYFUNCTION("""COMPUTED_VALUE"""),60000)</f>
        <v>60000</v>
      </c>
      <c r="G639" s="2">
        <f ca="1">IFERROR(__xludf.DUMMYFUNCTION("""COMPUTED_VALUE"""),115)</f>
        <v>115</v>
      </c>
      <c r="H639" s="2"/>
      <c r="I639" s="2"/>
      <c r="J639" s="2">
        <f ca="1">IFERROR(__xludf.DUMMYFUNCTION("""COMPUTED_VALUE"""),0)</f>
        <v>0</v>
      </c>
      <c r="K639" s="2">
        <f ca="1">IFERROR(__xludf.DUMMYFUNCTION("""COMPUTED_VALUE"""),60000)</f>
        <v>60000</v>
      </c>
      <c r="L639" s="2" t="str">
        <f ca="1">IFERROR(__xludf.DUMMYFUNCTION("""COMPUTED_VALUE"""),"8871c0cd")</f>
        <v>8871c0cd</v>
      </c>
      <c r="M639" s="2" t="str">
        <f ca="1">IFERROR(__xludf.DUMMYFUNCTION("""COMPUTED_VALUE"""),"Cabernet Sauvignon")</f>
        <v>Cabernet Sauvignon</v>
      </c>
      <c r="N639" s="2"/>
      <c r="O639" s="2" t="str">
        <f ca="1">IFERROR(__xludf.DUMMYFUNCTION("""COMPUTED_VALUE"""),"Descubada")</f>
        <v>Descubada</v>
      </c>
      <c r="P639" s="2"/>
      <c r="Q639" s="2" t="b">
        <f ca="1">IFERROR(__xludf.DUMMYFUNCTION("""COMPUTED_VALUE"""),FALSE)</f>
        <v>0</v>
      </c>
      <c r="R639" s="2" t="str">
        <f ca="1">IFERROR(__xludf.DUMMYFUNCTION("""COMPUTED_VALUE"""),"1er Trasiego")</f>
        <v>1er Trasiego</v>
      </c>
      <c r="S639" s="2"/>
      <c r="T639" s="2"/>
      <c r="U639" s="2"/>
    </row>
    <row r="640" spans="1:21" x14ac:dyDescent="0.25">
      <c r="A640" s="2" t="str">
        <f ca="1">IFERROR(__xludf.DUMMYFUNCTION("""COMPUTED_VALUE"""),"71b16b91")</f>
        <v>71b16b91</v>
      </c>
      <c r="B640" s="5">
        <f ca="1">IFERROR(__xludf.DUMMYFUNCTION("""COMPUTED_VALUE"""),45790.4324189814)</f>
        <v>45790.4324189814</v>
      </c>
      <c r="C640" s="2" t="str">
        <f ca="1">IFERROR(__xludf.DUMMYFUNCTION("""COMPUTED_VALUE"""),"0711f2d9")</f>
        <v>0711f2d9</v>
      </c>
      <c r="D640" s="2">
        <f ca="1">IFERROR(__xludf.DUMMYFUNCTION("""COMPUTED_VALUE"""),120)</f>
        <v>120</v>
      </c>
      <c r="E640" s="2" t="str">
        <f ca="1">IFERROR(__xludf.DUMMYFUNCTION("""COMPUTED_VALUE"""),"Cabernet Sauvignon")</f>
        <v>Cabernet Sauvignon</v>
      </c>
      <c r="F640" s="2">
        <f ca="1">IFERROR(__xludf.DUMMYFUNCTION("""COMPUTED_VALUE"""),60200)</f>
        <v>60200</v>
      </c>
      <c r="G640" s="2">
        <f ca="1">IFERROR(__xludf.DUMMYFUNCTION("""COMPUTED_VALUE"""),115)</f>
        <v>115</v>
      </c>
      <c r="H640" s="2" t="str">
        <f ca="1">IFERROR(__xludf.DUMMYFUNCTION("""COMPUTED_VALUE"""),"8871c0cd")</f>
        <v>8871c0cd</v>
      </c>
      <c r="I640" s="2" t="str">
        <f ca="1">IFERROR(__xludf.DUMMYFUNCTION("""COMPUTED_VALUE"""),"Cabernet Sauvignon")</f>
        <v>Cabernet Sauvignon</v>
      </c>
      <c r="J640" s="2">
        <f ca="1">IFERROR(__xludf.DUMMYFUNCTION("""COMPUTED_VALUE"""),60000)</f>
        <v>60000</v>
      </c>
      <c r="K640" s="2">
        <f ca="1">IFERROR(__xludf.DUMMYFUNCTION("""COMPUTED_VALUE"""),120200)</f>
        <v>120200</v>
      </c>
      <c r="L640" s="2" t="str">
        <f ca="1">IFERROR(__xludf.DUMMYFUNCTION("""COMPUTED_VALUE"""),"7756a1a1")</f>
        <v>7756a1a1</v>
      </c>
      <c r="M640" s="2" t="str">
        <f ca="1">IFERROR(__xludf.DUMMYFUNCTION("""COMPUTED_VALUE"""),"Cabernet Sauvignon")</f>
        <v>Cabernet Sauvignon</v>
      </c>
      <c r="N640" s="2"/>
      <c r="O640" s="2" t="str">
        <f ca="1">IFERROR(__xludf.DUMMYFUNCTION("""COMPUTED_VALUE"""),"Descubada")</f>
        <v>Descubada</v>
      </c>
      <c r="P640" s="2" t="str">
        <f ca="1">IFERROR(__xludf.DUMMYFUNCTION("""COMPUTED_VALUE"""),"1er Trasiego")</f>
        <v>1er Trasiego</v>
      </c>
      <c r="Q640" s="2" t="b">
        <f ca="1">IFERROR(__xludf.DUMMYFUNCTION("""COMPUTED_VALUE"""),TRUE)</f>
        <v>1</v>
      </c>
      <c r="R640" s="2" t="str">
        <f ca="1">IFERROR(__xludf.DUMMYFUNCTION("""COMPUTED_VALUE"""),"1er Trasiego")</f>
        <v>1er Trasiego</v>
      </c>
      <c r="S640" s="2"/>
      <c r="T640" s="2"/>
      <c r="U640" s="2"/>
    </row>
    <row r="641" spans="1:21" x14ac:dyDescent="0.25">
      <c r="A641" s="2" t="str">
        <f ca="1">IFERROR(__xludf.DUMMYFUNCTION("""COMPUTED_VALUE"""),"958652a0")</f>
        <v>958652a0</v>
      </c>
      <c r="B641" s="5">
        <f ca="1">IFERROR(__xludf.DUMMYFUNCTION("""COMPUTED_VALUE"""),45790.4519791666)</f>
        <v>45790.451979166603</v>
      </c>
      <c r="C641" s="2" t="str">
        <f ca="1">IFERROR(__xludf.DUMMYFUNCTION("""COMPUTED_VALUE"""),"cf107ae5")</f>
        <v>cf107ae5</v>
      </c>
      <c r="D641" s="2">
        <f ca="1">IFERROR(__xludf.DUMMYFUNCTION("""COMPUTED_VALUE"""),96)</f>
        <v>96</v>
      </c>
      <c r="E641" s="2" t="str">
        <f ca="1">IFERROR(__xludf.DUMMYFUNCTION("""COMPUTED_VALUE"""),"Tinto")</f>
        <v>Tinto</v>
      </c>
      <c r="F641" s="2">
        <f ca="1">IFERROR(__xludf.DUMMYFUNCTION("""COMPUTED_VALUE"""),4400)</f>
        <v>4400</v>
      </c>
      <c r="G641" s="2">
        <f ca="1">IFERROR(__xludf.DUMMYFUNCTION("""COMPUTED_VALUE"""),80)</f>
        <v>80</v>
      </c>
      <c r="H641" s="2"/>
      <c r="I641" s="2"/>
      <c r="J641" s="2">
        <f ca="1">IFERROR(__xludf.DUMMYFUNCTION("""COMPUTED_VALUE"""),0)</f>
        <v>0</v>
      </c>
      <c r="K641" s="2">
        <f ca="1">IFERROR(__xludf.DUMMYFUNCTION("""COMPUTED_VALUE"""),4400)</f>
        <v>4400</v>
      </c>
      <c r="L641" s="2" t="str">
        <f ca="1">IFERROR(__xludf.DUMMYFUNCTION("""COMPUTED_VALUE"""),"f2ba5339")</f>
        <v>f2ba5339</v>
      </c>
      <c r="M641" s="2" t="str">
        <f ca="1">IFERROR(__xludf.DUMMYFUNCTION("""COMPUTED_VALUE"""),"Borra")</f>
        <v>Borra</v>
      </c>
      <c r="N641" s="2"/>
      <c r="O641" s="2" t="str">
        <f ca="1">IFERROR(__xludf.DUMMYFUNCTION("""COMPUTED_VALUE"""),"Descubada")</f>
        <v>Descubada</v>
      </c>
      <c r="P641" s="2"/>
      <c r="Q641" s="2" t="b">
        <f ca="1">IFERROR(__xludf.DUMMYFUNCTION("""COMPUTED_VALUE"""),FALSE)</f>
        <v>0</v>
      </c>
      <c r="R641" s="2" t="str">
        <f ca="1">IFERROR(__xludf.DUMMYFUNCTION("""COMPUTED_VALUE"""),"1er Trasiego")</f>
        <v>1er Trasiego</v>
      </c>
      <c r="S641" s="2"/>
      <c r="T641" s="2"/>
      <c r="U641" s="2"/>
    </row>
    <row r="642" spans="1:21" x14ac:dyDescent="0.25">
      <c r="A642" s="2" t="str">
        <f ca="1">IFERROR(__xludf.DUMMYFUNCTION("""COMPUTED_VALUE"""),"3931d4ba")</f>
        <v>3931d4ba</v>
      </c>
      <c r="B642" s="5">
        <f ca="1">IFERROR(__xludf.DUMMYFUNCTION("""COMPUTED_VALUE"""),45790.7394444444)</f>
        <v>45790.7394444444</v>
      </c>
      <c r="C642" s="2" t="str">
        <f ca="1">IFERROR(__xludf.DUMMYFUNCTION("""COMPUTED_VALUE"""),"1bdfaa93")</f>
        <v>1bdfaa93</v>
      </c>
      <c r="D642" s="2">
        <f ca="1">IFERROR(__xludf.DUMMYFUNCTION("""COMPUTED_VALUE"""),125)</f>
        <v>125</v>
      </c>
      <c r="E642" s="2" t="str">
        <f ca="1">IFERROR(__xludf.DUMMYFUNCTION("""COMPUTED_VALUE"""),"Malbec")</f>
        <v>Malbec</v>
      </c>
      <c r="F642" s="2">
        <f ca="1">IFERROR(__xludf.DUMMYFUNCTION("""COMPUTED_VALUE"""),10000)</f>
        <v>10000</v>
      </c>
      <c r="G642" s="2">
        <f ca="1">IFERROR(__xludf.DUMMYFUNCTION("""COMPUTED_VALUE"""),6)</f>
        <v>6</v>
      </c>
      <c r="H642" s="2"/>
      <c r="I642" s="2"/>
      <c r="J642" s="2">
        <f ca="1">IFERROR(__xludf.DUMMYFUNCTION("""COMPUTED_VALUE"""),0)</f>
        <v>0</v>
      </c>
      <c r="K642" s="2">
        <f ca="1">IFERROR(__xludf.DUMMYFUNCTION("""COMPUTED_VALUE"""),10000)</f>
        <v>10000</v>
      </c>
      <c r="L642" s="2" t="str">
        <f ca="1">IFERROR(__xludf.DUMMYFUNCTION("""COMPUTED_VALUE"""),"01383aba")</f>
        <v>01383aba</v>
      </c>
      <c r="M642" s="2" t="str">
        <f ca="1">IFERROR(__xludf.DUMMYFUNCTION("""COMPUTED_VALUE"""),"Malbec Rectifciado")</f>
        <v>Malbec Rectifciado</v>
      </c>
      <c r="N642" s="2"/>
      <c r="O642" s="2" t="str">
        <f ca="1">IFERROR(__xludf.DUMMYFUNCTION("""COMPUTED_VALUE"""),"1er Trasiego")</f>
        <v>1er Trasiego</v>
      </c>
      <c r="P642" s="2"/>
      <c r="Q642" s="2" t="b">
        <f ca="1">IFERROR(__xludf.DUMMYFUNCTION("""COMPUTED_VALUE"""),FALSE)</f>
        <v>0</v>
      </c>
      <c r="R642" s="2" t="str">
        <f ca="1">IFERROR(__xludf.DUMMYFUNCTION("""COMPUTED_VALUE"""),"Rectificado")</f>
        <v>Rectificado</v>
      </c>
      <c r="S642" s="2"/>
      <c r="T642" s="2"/>
      <c r="U642" s="2"/>
    </row>
    <row r="643" spans="1:21" x14ac:dyDescent="0.25">
      <c r="A643" s="2" t="str">
        <f ca="1">IFERROR(__xludf.DUMMYFUNCTION("""COMPUTED_VALUE"""),"127a3f15")</f>
        <v>127a3f15</v>
      </c>
      <c r="B643" s="5">
        <f ca="1">IFERROR(__xludf.DUMMYFUNCTION("""COMPUTED_VALUE"""),45790.7406018518)</f>
        <v>45790.740601851801</v>
      </c>
      <c r="C643" s="2" t="str">
        <f ca="1">IFERROR(__xludf.DUMMYFUNCTION("""COMPUTED_VALUE"""),"5433281e")</f>
        <v>5433281e</v>
      </c>
      <c r="D643" s="2">
        <f ca="1">IFERROR(__xludf.DUMMYFUNCTION("""COMPUTED_VALUE"""),53)</f>
        <v>53</v>
      </c>
      <c r="E643" s="2" t="str">
        <f ca="1">IFERROR(__xludf.DUMMYFUNCTION("""COMPUTED_VALUE"""),"Syrah")</f>
        <v>Syrah</v>
      </c>
      <c r="F643" s="2">
        <f ca="1">IFERROR(__xludf.DUMMYFUNCTION("""COMPUTED_VALUE"""),22000)</f>
        <v>22000</v>
      </c>
      <c r="G643" s="2">
        <f ca="1">IFERROR(__xludf.DUMMYFUNCTION("""COMPUTED_VALUE"""),67)</f>
        <v>67</v>
      </c>
      <c r="H643" s="2"/>
      <c r="I643" s="2"/>
      <c r="J643" s="2">
        <f ca="1">IFERROR(__xludf.DUMMYFUNCTION("""COMPUTED_VALUE"""),0)</f>
        <v>0</v>
      </c>
      <c r="K643" s="2">
        <f ca="1">IFERROR(__xludf.DUMMYFUNCTION("""COMPUTED_VALUE"""),22000)</f>
        <v>22000</v>
      </c>
      <c r="L643" s="2" t="str">
        <f ca="1">IFERROR(__xludf.DUMMYFUNCTION("""COMPUTED_VALUE"""),"e224205d")</f>
        <v>e224205d</v>
      </c>
      <c r="M643" s="2" t="str">
        <f ca="1">IFERROR(__xludf.DUMMYFUNCTION("""COMPUTED_VALUE"""),"Syrah")</f>
        <v>Syrah</v>
      </c>
      <c r="N643" s="2"/>
      <c r="O643" s="2" t="str">
        <f ca="1">IFERROR(__xludf.DUMMYFUNCTION("""COMPUTED_VALUE"""),"Descubada")</f>
        <v>Descubada</v>
      </c>
      <c r="P643" s="2"/>
      <c r="Q643" s="2" t="b">
        <f ca="1">IFERROR(__xludf.DUMMYFUNCTION("""COMPUTED_VALUE"""),FALSE)</f>
        <v>0</v>
      </c>
      <c r="R643" s="2" t="str">
        <f ca="1">IFERROR(__xludf.DUMMYFUNCTION("""COMPUTED_VALUE"""),"1er Trasiego")</f>
        <v>1er Trasiego</v>
      </c>
      <c r="S643" s="2"/>
      <c r="T643" s="2"/>
      <c r="U643" s="2"/>
    </row>
    <row r="644" spans="1:2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x14ac:dyDescent="0.25">
      <c r="A645" s="2" t="str">
        <f ca="1">IFERROR(__xludf.DUMMYFUNCTION("""COMPUTED_VALUE"""),"6f4eeb3f")</f>
        <v>6f4eeb3f</v>
      </c>
      <c r="B645" s="5">
        <f ca="1">IFERROR(__xludf.DUMMYFUNCTION("""COMPUTED_VALUE"""),45790.7419560185)</f>
        <v>45790.741956018501</v>
      </c>
      <c r="C645" s="2" t="str">
        <f ca="1">IFERROR(__xludf.DUMMYFUNCTION("""COMPUTED_VALUE"""),"e224205d")</f>
        <v>e224205d</v>
      </c>
      <c r="D645" s="2">
        <f ca="1">IFERROR(__xludf.DUMMYFUNCTION("""COMPUTED_VALUE"""),67)</f>
        <v>67</v>
      </c>
      <c r="E645" s="2" t="str">
        <f ca="1">IFERROR(__xludf.DUMMYFUNCTION("""COMPUTED_VALUE"""),"Syrah")</f>
        <v>Syrah</v>
      </c>
      <c r="F645" s="2">
        <f ca="1">IFERROR(__xludf.DUMMYFUNCTION("""COMPUTED_VALUE"""),2000)</f>
        <v>2000</v>
      </c>
      <c r="G645" s="2">
        <f ca="1">IFERROR(__xludf.DUMMYFUNCTION("""COMPUTED_VALUE"""),80)</f>
        <v>80</v>
      </c>
      <c r="H645" s="2" t="str">
        <f ca="1">IFERROR(__xludf.DUMMYFUNCTION("""COMPUTED_VALUE"""),"f2ba5339")</f>
        <v>f2ba5339</v>
      </c>
      <c r="I645" s="2" t="str">
        <f ca="1">IFERROR(__xludf.DUMMYFUNCTION("""COMPUTED_VALUE"""),"Borra")</f>
        <v>Borra</v>
      </c>
      <c r="J645" s="2">
        <f ca="1">IFERROR(__xludf.DUMMYFUNCTION("""COMPUTED_VALUE"""),4400)</f>
        <v>4400</v>
      </c>
      <c r="K645" s="2">
        <f ca="1">IFERROR(__xludf.DUMMYFUNCTION("""COMPUTED_VALUE"""),6400)</f>
        <v>6400</v>
      </c>
      <c r="L645" s="2" t="str">
        <f ca="1">IFERROR(__xludf.DUMMYFUNCTION("""COMPUTED_VALUE"""),"582ad1a3")</f>
        <v>582ad1a3</v>
      </c>
      <c r="M645" s="2" t="str">
        <f ca="1">IFERROR(__xludf.DUMMYFUNCTION("""COMPUTED_VALUE"""),"Borra")</f>
        <v>Borra</v>
      </c>
      <c r="N645" s="2"/>
      <c r="O645" s="2" t="str">
        <f ca="1">IFERROR(__xludf.DUMMYFUNCTION("""COMPUTED_VALUE"""),"1er Trasiego")</f>
        <v>1er Trasiego</v>
      </c>
      <c r="P645" s="2" t="str">
        <f ca="1">IFERROR(__xludf.DUMMYFUNCTION("""COMPUTED_VALUE"""),"1er Trasiego")</f>
        <v>1er Trasiego</v>
      </c>
      <c r="Q645" s="2" t="b">
        <f ca="1">IFERROR(__xludf.DUMMYFUNCTION("""COMPUTED_VALUE"""),TRUE)</f>
        <v>1</v>
      </c>
      <c r="R645" s="2" t="str">
        <f ca="1">IFERROR(__xludf.DUMMYFUNCTION("""COMPUTED_VALUE"""),"1er Trasiego")</f>
        <v>1er Trasiego</v>
      </c>
      <c r="S645" s="2"/>
      <c r="T645" s="2"/>
      <c r="U645" s="2"/>
    </row>
    <row r="646" spans="1:21" x14ac:dyDescent="0.25">
      <c r="A646" s="2" t="str">
        <f ca="1">IFERROR(__xludf.DUMMYFUNCTION("""COMPUTED_VALUE"""),"cbf8e237")</f>
        <v>cbf8e237</v>
      </c>
      <c r="B646" s="5">
        <f ca="1">IFERROR(__xludf.DUMMYFUNCTION("""COMPUTED_VALUE"""),45790.7426851851)</f>
        <v>45790.742685185098</v>
      </c>
      <c r="C646" s="2" t="str">
        <f ca="1">IFERROR(__xludf.DUMMYFUNCTION("""COMPUTED_VALUE"""),"7fce2b75")</f>
        <v>7fce2b75</v>
      </c>
      <c r="D646" s="2">
        <f ca="1">IFERROR(__xludf.DUMMYFUNCTION("""COMPUTED_VALUE"""),83)</f>
        <v>83</v>
      </c>
      <c r="E646" s="2" t="str">
        <f ca="1">IFERROR(__xludf.DUMMYFUNCTION("""COMPUTED_VALUE"""),"Tinto")</f>
        <v>Tinto</v>
      </c>
      <c r="F646" s="2">
        <f ca="1">IFERROR(__xludf.DUMMYFUNCTION("""COMPUTED_VALUE"""),81500)</f>
        <v>81500</v>
      </c>
      <c r="G646" s="2">
        <f ca="1">IFERROR(__xludf.DUMMYFUNCTION("""COMPUTED_VALUE"""),91)</f>
        <v>91</v>
      </c>
      <c r="H646" s="2"/>
      <c r="I646" s="2"/>
      <c r="J646" s="2">
        <f ca="1">IFERROR(__xludf.DUMMYFUNCTION("""COMPUTED_VALUE"""),0)</f>
        <v>0</v>
      </c>
      <c r="K646" s="2">
        <f ca="1">IFERROR(__xludf.DUMMYFUNCTION("""COMPUTED_VALUE"""),81500)</f>
        <v>81500</v>
      </c>
      <c r="L646" s="2" t="str">
        <f ca="1">IFERROR(__xludf.DUMMYFUNCTION("""COMPUTED_VALUE"""),"93b5ed3d")</f>
        <v>93b5ed3d</v>
      </c>
      <c r="M646" s="2" t="str">
        <f ca="1">IFERROR(__xludf.DUMMYFUNCTION("""COMPUTED_VALUE"""),"Tinto")</f>
        <v>Tinto</v>
      </c>
      <c r="N646" s="2"/>
      <c r="O646" s="2" t="str">
        <f ca="1">IFERROR(__xludf.DUMMYFUNCTION("""COMPUTED_VALUE"""),"Descubada")</f>
        <v>Descubada</v>
      </c>
      <c r="P646" s="2"/>
      <c r="Q646" s="2" t="b">
        <f ca="1">IFERROR(__xludf.DUMMYFUNCTION("""COMPUTED_VALUE"""),FALSE)</f>
        <v>0</v>
      </c>
      <c r="R646" s="2" t="str">
        <f ca="1">IFERROR(__xludf.DUMMYFUNCTION("""COMPUTED_VALUE"""),"1er Trasiego")</f>
        <v>1er Trasiego</v>
      </c>
      <c r="S646" s="2"/>
      <c r="T646" s="2"/>
      <c r="U646" s="2"/>
    </row>
    <row r="647" spans="1:21" x14ac:dyDescent="0.25">
      <c r="A647" s="2" t="str">
        <f ca="1">IFERROR(__xludf.DUMMYFUNCTION("""COMPUTED_VALUE"""),"53760e8f")</f>
        <v>53760e8f</v>
      </c>
      <c r="B647" s="5">
        <f ca="1">IFERROR(__xludf.DUMMYFUNCTION("""COMPUTED_VALUE"""),45790.7455324074)</f>
        <v>45790.745532407404</v>
      </c>
      <c r="C647" s="2" t="str">
        <f ca="1">IFERROR(__xludf.DUMMYFUNCTION("""COMPUTED_VALUE"""),"47825ff1")</f>
        <v>47825ff1</v>
      </c>
      <c r="D647" s="2">
        <f ca="1">IFERROR(__xludf.DUMMYFUNCTION("""COMPUTED_VALUE"""),89)</f>
        <v>89</v>
      </c>
      <c r="E647" s="2" t="str">
        <f ca="1">IFERROR(__xludf.DUMMYFUNCTION("""COMPUTED_VALUE"""),"Cabernet Sauvignon")</f>
        <v>Cabernet Sauvignon</v>
      </c>
      <c r="F647" s="2">
        <f ca="1">IFERROR(__xludf.DUMMYFUNCTION("""COMPUTED_VALUE"""),23500)</f>
        <v>23500</v>
      </c>
      <c r="G647" s="2">
        <f ca="1">IFERROR(__xludf.DUMMYFUNCTION("""COMPUTED_VALUE"""),125)</f>
        <v>125</v>
      </c>
      <c r="H647" s="2"/>
      <c r="I647" s="2"/>
      <c r="J647" s="2">
        <f ca="1">IFERROR(__xludf.DUMMYFUNCTION("""COMPUTED_VALUE"""),0)</f>
        <v>0</v>
      </c>
      <c r="K647" s="2">
        <f ca="1">IFERROR(__xludf.DUMMYFUNCTION("""COMPUTED_VALUE"""),23500)</f>
        <v>23500</v>
      </c>
      <c r="L647" s="2" t="str">
        <f ca="1">IFERROR(__xludf.DUMMYFUNCTION("""COMPUTED_VALUE"""),"c1d958fa")</f>
        <v>c1d958fa</v>
      </c>
      <c r="M647" s="2" t="str">
        <f ca="1">IFERROR(__xludf.DUMMYFUNCTION("""COMPUTED_VALUE"""),"Cabernet Sauvignon")</f>
        <v>Cabernet Sauvignon</v>
      </c>
      <c r="N647" s="2"/>
      <c r="O647" s="2" t="str">
        <f ca="1">IFERROR(__xludf.DUMMYFUNCTION("""COMPUTED_VALUE"""),"Descubada")</f>
        <v>Descubada</v>
      </c>
      <c r="P647" s="2"/>
      <c r="Q647" s="2" t="b">
        <f ca="1">IFERROR(__xludf.DUMMYFUNCTION("""COMPUTED_VALUE"""),FALSE)</f>
        <v>0</v>
      </c>
      <c r="R647" s="2" t="str">
        <f ca="1">IFERROR(__xludf.DUMMYFUNCTION("""COMPUTED_VALUE"""),"1er Trasiego")</f>
        <v>1er Trasiego</v>
      </c>
      <c r="S647" s="2"/>
      <c r="T647" s="2"/>
      <c r="U647" s="2"/>
    </row>
    <row r="648" spans="1:21" x14ac:dyDescent="0.25">
      <c r="A648" s="2" t="str">
        <f ca="1">IFERROR(__xludf.DUMMYFUNCTION("""COMPUTED_VALUE"""),"df1f0455")</f>
        <v>df1f0455</v>
      </c>
      <c r="B648" s="5">
        <f ca="1">IFERROR(__xludf.DUMMYFUNCTION("""COMPUTED_VALUE"""),45790.748449074)</f>
        <v>45790.748449074003</v>
      </c>
      <c r="C648" s="2" t="str">
        <f ca="1">IFERROR(__xludf.DUMMYFUNCTION("""COMPUTED_VALUE"""),"0711f2d9")</f>
        <v>0711f2d9</v>
      </c>
      <c r="D648" s="2">
        <f ca="1">IFERROR(__xludf.DUMMYFUNCTION("""COMPUTED_VALUE"""),120)</f>
        <v>120</v>
      </c>
      <c r="E648" s="2" t="str">
        <f ca="1">IFERROR(__xludf.DUMMYFUNCTION("""COMPUTED_VALUE"""),"Cabernet Sauvignon")</f>
        <v>Cabernet Sauvignon</v>
      </c>
      <c r="F648" s="2">
        <f ca="1">IFERROR(__xludf.DUMMYFUNCTION("""COMPUTED_VALUE"""),7500)</f>
        <v>7500</v>
      </c>
      <c r="G648" s="2">
        <f ca="1">IFERROR(__xludf.DUMMYFUNCTION("""COMPUTED_VALUE"""),125)</f>
        <v>125</v>
      </c>
      <c r="H648" s="2" t="str">
        <f ca="1">IFERROR(__xludf.DUMMYFUNCTION("""COMPUTED_VALUE"""),"c1d958fa")</f>
        <v>c1d958fa</v>
      </c>
      <c r="I648" s="2" t="str">
        <f ca="1">IFERROR(__xludf.DUMMYFUNCTION("""COMPUTED_VALUE"""),"Cabernet Sauvignon")</f>
        <v>Cabernet Sauvignon</v>
      </c>
      <c r="J648" s="2">
        <f ca="1">IFERROR(__xludf.DUMMYFUNCTION("""COMPUTED_VALUE"""),23500)</f>
        <v>23500</v>
      </c>
      <c r="K648" s="2">
        <f ca="1">IFERROR(__xludf.DUMMYFUNCTION("""COMPUTED_VALUE"""),31000)</f>
        <v>31000</v>
      </c>
      <c r="L648" s="2" t="str">
        <f ca="1">IFERROR(__xludf.DUMMYFUNCTION("""COMPUTED_VALUE"""),"9fbe47cd")</f>
        <v>9fbe47cd</v>
      </c>
      <c r="M648" s="2" t="str">
        <f ca="1">IFERROR(__xludf.DUMMYFUNCTION("""COMPUTED_VALUE"""),"Cabernet Sauvignon")</f>
        <v>Cabernet Sauvignon</v>
      </c>
      <c r="N648" s="2"/>
      <c r="O648" s="2" t="str">
        <f ca="1">IFERROR(__xludf.DUMMYFUNCTION("""COMPUTED_VALUE"""),"Descubada")</f>
        <v>Descubada</v>
      </c>
      <c r="P648" s="2" t="str">
        <f ca="1">IFERROR(__xludf.DUMMYFUNCTION("""COMPUTED_VALUE"""),"1er Trasiego")</f>
        <v>1er Trasiego</v>
      </c>
      <c r="Q648" s="2" t="b">
        <f ca="1">IFERROR(__xludf.DUMMYFUNCTION("""COMPUTED_VALUE"""),TRUE)</f>
        <v>1</v>
      </c>
      <c r="R648" s="2" t="str">
        <f ca="1">IFERROR(__xludf.DUMMYFUNCTION("""COMPUTED_VALUE"""),"1er Trasiego")</f>
        <v>1er Trasiego</v>
      </c>
      <c r="S648" s="2"/>
      <c r="T648" s="2"/>
      <c r="U648" s="2"/>
    </row>
    <row r="649" spans="1:21" x14ac:dyDescent="0.25">
      <c r="A649" s="2" t="str">
        <f ca="1">IFERROR(__xludf.DUMMYFUNCTION("""COMPUTED_VALUE"""),"54756cfd")</f>
        <v>54756cfd</v>
      </c>
      <c r="B649" s="5">
        <f ca="1">IFERROR(__xludf.DUMMYFUNCTION("""COMPUTED_VALUE"""),45790.7488541666)</f>
        <v>45790.748854166603</v>
      </c>
      <c r="C649" s="2" t="str">
        <f ca="1">IFERROR(__xludf.DUMMYFUNCTION("""COMPUTED_VALUE"""),"0711f2d9")</f>
        <v>0711f2d9</v>
      </c>
      <c r="D649" s="2">
        <f ca="1">IFERROR(__xludf.DUMMYFUNCTION("""COMPUTED_VALUE"""),120)</f>
        <v>120</v>
      </c>
      <c r="E649" s="2" t="str">
        <f ca="1">IFERROR(__xludf.DUMMYFUNCTION("""COMPUTED_VALUE"""),"Cabernet Sauvignon")</f>
        <v>Cabernet Sauvignon</v>
      </c>
      <c r="F649" s="2">
        <f ca="1">IFERROR(__xludf.DUMMYFUNCTION("""COMPUTED_VALUE"""),21100)</f>
        <v>21100</v>
      </c>
      <c r="G649" s="2">
        <f ca="1">IFERROR(__xludf.DUMMYFUNCTION("""COMPUTED_VALUE"""),127)</f>
        <v>127</v>
      </c>
      <c r="H649" s="2"/>
      <c r="I649" s="2"/>
      <c r="J649" s="2">
        <f ca="1">IFERROR(__xludf.DUMMYFUNCTION("""COMPUTED_VALUE"""),0)</f>
        <v>0</v>
      </c>
      <c r="K649" s="2">
        <f ca="1">IFERROR(__xludf.DUMMYFUNCTION("""COMPUTED_VALUE"""),21100)</f>
        <v>21100</v>
      </c>
      <c r="L649" s="2" t="str">
        <f ca="1">IFERROR(__xludf.DUMMYFUNCTION("""COMPUTED_VALUE"""),"caa78680")</f>
        <v>caa78680</v>
      </c>
      <c r="M649" s="2" t="str">
        <f ca="1">IFERROR(__xludf.DUMMYFUNCTION("""COMPUTED_VALUE"""),"Cabernet Sauvignon")</f>
        <v>Cabernet Sauvignon</v>
      </c>
      <c r="N649" s="2"/>
      <c r="O649" s="2" t="str">
        <f ca="1">IFERROR(__xludf.DUMMYFUNCTION("""COMPUTED_VALUE"""),"Descubada")</f>
        <v>Descubada</v>
      </c>
      <c r="P649" s="2"/>
      <c r="Q649" s="2" t="b">
        <f ca="1">IFERROR(__xludf.DUMMYFUNCTION("""COMPUTED_VALUE"""),FALSE)</f>
        <v>0</v>
      </c>
      <c r="R649" s="2" t="str">
        <f ca="1">IFERROR(__xludf.DUMMYFUNCTION("""COMPUTED_VALUE"""),"1er Trasiego")</f>
        <v>1er Trasiego</v>
      </c>
      <c r="S649" s="2"/>
      <c r="T649" s="2"/>
      <c r="U649" s="2"/>
    </row>
    <row r="650" spans="1:21" x14ac:dyDescent="0.25">
      <c r="A650" s="2" t="str">
        <f ca="1">IFERROR(__xludf.DUMMYFUNCTION("""COMPUTED_VALUE"""),"a0d9d89f")</f>
        <v>a0d9d89f</v>
      </c>
      <c r="B650" s="5">
        <f ca="1">IFERROR(__xludf.DUMMYFUNCTION("""COMPUTED_VALUE"""),45790.7499884259)</f>
        <v>45790.749988425901</v>
      </c>
      <c r="C650" s="2" t="str">
        <f ca="1">IFERROR(__xludf.DUMMYFUNCTION("""COMPUTED_VALUE"""),"7488f497")</f>
        <v>7488f497</v>
      </c>
      <c r="D650" s="2">
        <f ca="1">IFERROR(__xludf.DUMMYFUNCTION("""COMPUTED_VALUE"""),50)</f>
        <v>50</v>
      </c>
      <c r="E650" s="2" t="str">
        <f ca="1">IFERROR(__xludf.DUMMYFUNCTION("""COMPUTED_VALUE"""),"Malbec Carricondo Venta")</f>
        <v>Malbec Carricondo Venta</v>
      </c>
      <c r="F650" s="2">
        <f ca="1">IFERROR(__xludf.DUMMYFUNCTION("""COMPUTED_VALUE"""),5100)</f>
        <v>5100</v>
      </c>
      <c r="G650" s="2">
        <f ca="1">IFERROR(__xludf.DUMMYFUNCTION("""COMPUTED_VALUE"""),75)</f>
        <v>75</v>
      </c>
      <c r="H650" s="2"/>
      <c r="I650" s="2"/>
      <c r="J650" s="2">
        <f ca="1">IFERROR(__xludf.DUMMYFUNCTION("""COMPUTED_VALUE"""),0)</f>
        <v>0</v>
      </c>
      <c r="K650" s="2">
        <f ca="1">IFERROR(__xludf.DUMMYFUNCTION("""COMPUTED_VALUE"""),5100)</f>
        <v>5100</v>
      </c>
      <c r="L650" s="2" t="str">
        <f ca="1">IFERROR(__xludf.DUMMYFUNCTION("""COMPUTED_VALUE"""),"8fc8112c")</f>
        <v>8fc8112c</v>
      </c>
      <c r="M650" s="2" t="str">
        <f ca="1">IFERROR(__xludf.DUMMYFUNCTION("""COMPUTED_VALUE"""),"Malbec Carricondo Venta")</f>
        <v>Malbec Carricondo Venta</v>
      </c>
      <c r="N650" s="2"/>
      <c r="O650" s="2" t="str">
        <f ca="1">IFERROR(__xludf.DUMMYFUNCTION("""COMPUTED_VALUE"""),"Traslado Venta")</f>
        <v>Traslado Venta</v>
      </c>
      <c r="P650" s="2"/>
      <c r="Q650" s="2" t="b">
        <f ca="1">IFERROR(__xludf.DUMMYFUNCTION("""COMPUTED_VALUE"""),FALSE)</f>
        <v>0</v>
      </c>
      <c r="R650" s="2" t="str">
        <f ca="1">IFERROR(__xludf.DUMMYFUNCTION("""COMPUTED_VALUE"""),"Traslado Venta")</f>
        <v>Traslado Venta</v>
      </c>
      <c r="S650" s="2"/>
      <c r="T650" s="2"/>
      <c r="U650" s="2"/>
    </row>
    <row r="651" spans="1:21" x14ac:dyDescent="0.25">
      <c r="A651" s="2" t="str">
        <f ca="1">IFERROR(__xludf.DUMMYFUNCTION("""COMPUTED_VALUE"""),"92ccaf32")</f>
        <v>92ccaf32</v>
      </c>
      <c r="B651" s="5">
        <f ca="1">IFERROR(__xludf.DUMMYFUNCTION("""COMPUTED_VALUE"""),45790.7511342592)</f>
        <v>45790.751134259197</v>
      </c>
      <c r="C651" s="2" t="str">
        <f ca="1">IFERROR(__xludf.DUMMYFUNCTION("""COMPUTED_VALUE"""),"7ae457f1")</f>
        <v>7ae457f1</v>
      </c>
      <c r="D651" s="2">
        <f ca="1">IFERROR(__xludf.DUMMYFUNCTION("""COMPUTED_VALUE"""),44)</f>
        <v>44</v>
      </c>
      <c r="E651" s="2" t="str">
        <f ca="1">IFERROR(__xludf.DUMMYFUNCTION("""COMPUTED_VALUE"""),"Torrontes")</f>
        <v>Torrontes</v>
      </c>
      <c r="F651" s="2">
        <f ca="1">IFERROR(__xludf.DUMMYFUNCTION("""COMPUTED_VALUE"""),-100)</f>
        <v>-100</v>
      </c>
      <c r="G651" s="2">
        <f ca="1">IFERROR(__xludf.DUMMYFUNCTION("""COMPUTED_VALUE"""),2)</f>
        <v>2</v>
      </c>
      <c r="H651" s="2" t="str">
        <f ca="1">IFERROR(__xludf.DUMMYFUNCTION("""COMPUTED_VALUE"""),"f544d5bf")</f>
        <v>f544d5bf</v>
      </c>
      <c r="I651" s="2" t="str">
        <f ca="1">IFERROR(__xludf.DUMMYFUNCTION("""COMPUTED_VALUE"""),"Torrontes tacho Plastico")</f>
        <v>Torrontes tacho Plastico</v>
      </c>
      <c r="J651" s="2">
        <f ca="1">IFERROR(__xludf.DUMMYFUNCTION("""COMPUTED_VALUE"""),2000)</f>
        <v>2000</v>
      </c>
      <c r="K651" s="2">
        <f ca="1">IFERROR(__xludf.DUMMYFUNCTION("""COMPUTED_VALUE"""),1900)</f>
        <v>1900</v>
      </c>
      <c r="L651" s="2" t="str">
        <f ca="1">IFERROR(__xludf.DUMMYFUNCTION("""COMPUTED_VALUE"""),"ef0e58f9")</f>
        <v>ef0e58f9</v>
      </c>
      <c r="M651" s="2" t="str">
        <f ca="1">IFERROR(__xludf.DUMMYFUNCTION("""COMPUTED_VALUE"""),"Torrontes tacho Plastico")</f>
        <v>Torrontes tacho Plastico</v>
      </c>
      <c r="N651" s="2" t="str">
        <f ca="1">IFERROR(__xludf.DUMMYFUNCTION("""COMPUTED_VALUE"""),"Relleno")</f>
        <v>Relleno</v>
      </c>
      <c r="O651" s="2" t="str">
        <f ca="1">IFERROR(__xludf.DUMMYFUNCTION("""COMPUTED_VALUE"""),"Descubada")</f>
        <v>Descubada</v>
      </c>
      <c r="P651" s="2" t="str">
        <f ca="1">IFERROR(__xludf.DUMMYFUNCTION("""COMPUTED_VALUE"""),"Descubada")</f>
        <v>Descubada</v>
      </c>
      <c r="Q651" s="2" t="b">
        <f ca="1">IFERROR(__xludf.DUMMYFUNCTION("""COMPUTED_VALUE"""),TRUE)</f>
        <v>1</v>
      </c>
      <c r="R651" s="2" t="str">
        <f ca="1">IFERROR(__xludf.DUMMYFUNCTION("""COMPUTED_VALUE"""),"Descubada")</f>
        <v>Descubada</v>
      </c>
      <c r="S651" s="2"/>
      <c r="T651" s="2"/>
      <c r="U651" s="2"/>
    </row>
    <row r="652" spans="1:21" x14ac:dyDescent="0.25">
      <c r="A652" s="2" t="str">
        <f ca="1">IFERROR(__xludf.DUMMYFUNCTION("""COMPUTED_VALUE"""),"ebc6a1e9")</f>
        <v>ebc6a1e9</v>
      </c>
      <c r="B652" s="5">
        <f ca="1">IFERROR(__xludf.DUMMYFUNCTION("""COMPUTED_VALUE"""),45790.7514699074)</f>
        <v>45790.751469907402</v>
      </c>
      <c r="C652" s="2" t="str">
        <f ca="1">IFERROR(__xludf.DUMMYFUNCTION("""COMPUTED_VALUE"""),"ef0e58f9")</f>
        <v>ef0e58f9</v>
      </c>
      <c r="D652" s="2">
        <f ca="1">IFERROR(__xludf.DUMMYFUNCTION("""COMPUTED_VALUE"""),2)</f>
        <v>2</v>
      </c>
      <c r="E652" s="2" t="str">
        <f ca="1">IFERROR(__xludf.DUMMYFUNCTION("""COMPUTED_VALUE"""),"Torrontes tacho Plastico")</f>
        <v>Torrontes tacho Plastico</v>
      </c>
      <c r="F652" s="2">
        <f ca="1">IFERROR(__xludf.DUMMYFUNCTION("""COMPUTED_VALUE"""),1900)</f>
        <v>1900</v>
      </c>
      <c r="G652" s="2">
        <f ca="1">IFERROR(__xludf.DUMMYFUNCTION("""COMPUTED_VALUE"""),75)</f>
        <v>75</v>
      </c>
      <c r="H652" s="2" t="str">
        <f ca="1">IFERROR(__xludf.DUMMYFUNCTION("""COMPUTED_VALUE"""),"8fc8112c")</f>
        <v>8fc8112c</v>
      </c>
      <c r="I652" s="2" t="str">
        <f ca="1">IFERROR(__xludf.DUMMYFUNCTION("""COMPUTED_VALUE"""),"Malbec Carricondo Venta")</f>
        <v>Malbec Carricondo Venta</v>
      </c>
      <c r="J652" s="2">
        <f ca="1">IFERROR(__xludf.DUMMYFUNCTION("""COMPUTED_VALUE"""),5100)</f>
        <v>5100</v>
      </c>
      <c r="K652" s="2">
        <f ca="1">IFERROR(__xludf.DUMMYFUNCTION("""COMPUTED_VALUE"""),7000)</f>
        <v>7000</v>
      </c>
      <c r="L652" s="2" t="str">
        <f ca="1">IFERROR(__xludf.DUMMYFUNCTION("""COMPUTED_VALUE"""),"83616429")</f>
        <v>83616429</v>
      </c>
      <c r="M652" s="2" t="str">
        <f ca="1">IFERROR(__xludf.DUMMYFUNCTION("""COMPUTED_VALUE"""),"Malbec Carricondo Venta")</f>
        <v>Malbec Carricondo Venta</v>
      </c>
      <c r="N652" s="2"/>
      <c r="O652" s="2" t="str">
        <f ca="1">IFERROR(__xludf.DUMMYFUNCTION("""COMPUTED_VALUE"""),"Descubada")</f>
        <v>Descubada</v>
      </c>
      <c r="P652" s="2" t="str">
        <f ca="1">IFERROR(__xludf.DUMMYFUNCTION("""COMPUTED_VALUE"""),"Traslado Venta")</f>
        <v>Traslado Venta</v>
      </c>
      <c r="Q652" s="2" t="b">
        <f ca="1">IFERROR(__xludf.DUMMYFUNCTION("""COMPUTED_VALUE"""),TRUE)</f>
        <v>1</v>
      </c>
      <c r="R652" s="2" t="str">
        <f ca="1">IFERROR(__xludf.DUMMYFUNCTION("""COMPUTED_VALUE"""),"Traslado Venta")</f>
        <v>Traslado Venta</v>
      </c>
      <c r="S652" s="2"/>
      <c r="T652" s="2"/>
      <c r="U652" s="2"/>
    </row>
    <row r="653" spans="1:21" x14ac:dyDescent="0.25">
      <c r="A653" s="2" t="str">
        <f ca="1">IFERROR(__xludf.DUMMYFUNCTION("""COMPUTED_VALUE"""),"735ee1a2")</f>
        <v>735ee1a2</v>
      </c>
      <c r="B653" s="5">
        <f ca="1">IFERROR(__xludf.DUMMYFUNCTION("""COMPUTED_VALUE"""),45790.7752777777)</f>
        <v>45790.775277777699</v>
      </c>
      <c r="C653" s="2" t="str">
        <f ca="1">IFERROR(__xludf.DUMMYFUNCTION("""COMPUTED_VALUE"""),"e224205d")</f>
        <v>e224205d</v>
      </c>
      <c r="D653" s="2">
        <f ca="1">IFERROR(__xludf.DUMMYFUNCTION("""COMPUTED_VALUE"""),67)</f>
        <v>67</v>
      </c>
      <c r="E653" s="2" t="str">
        <f ca="1">IFERROR(__xludf.DUMMYFUNCTION("""COMPUTED_VALUE"""),"Syrah")</f>
        <v>Syrah</v>
      </c>
      <c r="F653" s="2">
        <f ca="1">IFERROR(__xludf.DUMMYFUNCTION("""COMPUTED_VALUE"""),20000)</f>
        <v>20000</v>
      </c>
      <c r="G653" s="2">
        <f ca="1">IFERROR(__xludf.DUMMYFUNCTION("""COMPUTED_VALUE"""),53)</f>
        <v>53</v>
      </c>
      <c r="H653" s="2"/>
      <c r="I653" s="2"/>
      <c r="J653" s="2">
        <f ca="1">IFERROR(__xludf.DUMMYFUNCTION("""COMPUTED_VALUE"""),0)</f>
        <v>0</v>
      </c>
      <c r="K653" s="2">
        <f ca="1">IFERROR(__xludf.DUMMYFUNCTION("""COMPUTED_VALUE"""),20000)</f>
        <v>20000</v>
      </c>
      <c r="L653" s="2" t="str">
        <f ca="1">IFERROR(__xludf.DUMMYFUNCTION("""COMPUTED_VALUE"""),"7c0a5b23")</f>
        <v>7c0a5b23</v>
      </c>
      <c r="M653" s="2" t="str">
        <f ca="1">IFERROR(__xludf.DUMMYFUNCTION("""COMPUTED_VALUE"""),"Syrah")</f>
        <v>Syrah</v>
      </c>
      <c r="N653" s="2"/>
      <c r="O653" s="2" t="str">
        <f ca="1">IFERROR(__xludf.DUMMYFUNCTION("""COMPUTED_VALUE"""),"1er Trasiego")</f>
        <v>1er Trasiego</v>
      </c>
      <c r="P653" s="2"/>
      <c r="Q653" s="2" t="b">
        <f ca="1">IFERROR(__xludf.DUMMYFUNCTION("""COMPUTED_VALUE"""),FALSE)</f>
        <v>0</v>
      </c>
      <c r="R653" s="2" t="str">
        <f ca="1">IFERROR(__xludf.DUMMYFUNCTION("""COMPUTED_VALUE"""),"1er Trasiego")</f>
        <v>1er Trasiego</v>
      </c>
      <c r="S653" s="2"/>
      <c r="T653" s="2"/>
      <c r="U653" s="2"/>
    </row>
    <row r="654" spans="1:21" x14ac:dyDescent="0.25">
      <c r="A654" s="2" t="str">
        <f ca="1">IFERROR(__xludf.DUMMYFUNCTION("""COMPUTED_VALUE"""),"1cb28166")</f>
        <v>1cb28166</v>
      </c>
      <c r="B654" s="5">
        <f ca="1">IFERROR(__xludf.DUMMYFUNCTION("""COMPUTED_VALUE"""),45791.4648842592)</f>
        <v>45791.4648842592</v>
      </c>
      <c r="C654" s="2" t="str">
        <f ca="1">IFERROR(__xludf.DUMMYFUNCTION("""COMPUTED_VALUE"""),"e6ca31fd")</f>
        <v>e6ca31fd</v>
      </c>
      <c r="D654" s="2">
        <f ca="1">IFERROR(__xludf.DUMMYFUNCTION("""COMPUTED_VALUE"""),11)</f>
        <v>11</v>
      </c>
      <c r="E654" s="2" t="str">
        <f ca="1">IFERROR(__xludf.DUMMYFUNCTION("""COMPUTED_VALUE"""),"Claro de filtro")</f>
        <v>Claro de filtro</v>
      </c>
      <c r="F654" s="2">
        <f ca="1">IFERROR(__xludf.DUMMYFUNCTION("""COMPUTED_VALUE"""),-1000)</f>
        <v>-1000</v>
      </c>
      <c r="G654" s="2">
        <f ca="1">IFERROR(__xludf.DUMMYFUNCTION("""COMPUTED_VALUE"""),500)</f>
        <v>500</v>
      </c>
      <c r="H654" s="2" t="str">
        <f ca="1">IFERROR(__xludf.DUMMYFUNCTION("""COMPUTED_VALUE"""),"12de67aa")</f>
        <v>12de67aa</v>
      </c>
      <c r="I654" s="2" t="str">
        <f ca="1">IFERROR(__xludf.DUMMYFUNCTION("""COMPUTED_VALUE"""),"Ajuste Arqueo 10/05/25")</f>
        <v>Ajuste Arqueo 10/05/25</v>
      </c>
      <c r="J654" s="2">
        <f ca="1">IFERROR(__xludf.DUMMYFUNCTION("""COMPUTED_VALUE"""),-8690)</f>
        <v>-8690</v>
      </c>
      <c r="K654" s="2">
        <f ca="1">IFERROR(__xludf.DUMMYFUNCTION("""COMPUTED_VALUE"""),-9690)</f>
        <v>-9690</v>
      </c>
      <c r="L654" s="2" t="str">
        <f ca="1">IFERROR(__xludf.DUMMYFUNCTION("""COMPUTED_VALUE"""),"9466c3f8")</f>
        <v>9466c3f8</v>
      </c>
      <c r="M654" s="2" t="str">
        <f ca="1">IFERROR(__xludf.DUMMYFUNCTION("""COMPUTED_VALUE"""),"Ajuste Arqueo 10/05/25")</f>
        <v>Ajuste Arqueo 10/05/25</v>
      </c>
      <c r="N654" s="2"/>
      <c r="O654" s="2" t="str">
        <f ca="1">IFERROR(__xludf.DUMMYFUNCTION("""COMPUTED_VALUE"""),"Descubada")</f>
        <v>Descubada</v>
      </c>
      <c r="P654" s="2" t="str">
        <f ca="1">IFERROR(__xludf.DUMMYFUNCTION("""COMPUTED_VALUE"""),"Terminado")</f>
        <v>Terminado</v>
      </c>
      <c r="Q654" s="2" t="b">
        <f ca="1">IFERROR(__xludf.DUMMYFUNCTION("""COMPUTED_VALUE"""),TRUE)</f>
        <v>1</v>
      </c>
      <c r="R654" s="2" t="str">
        <f ca="1">IFERROR(__xludf.DUMMYFUNCTION("""COMPUTED_VALUE"""),"Terminado")</f>
        <v>Terminado</v>
      </c>
      <c r="S654" s="2"/>
      <c r="T654" s="2"/>
      <c r="U654" s="2"/>
    </row>
    <row r="655" spans="1:21" x14ac:dyDescent="0.25">
      <c r="A655" s="2" t="str">
        <f ca="1">IFERROR(__xludf.DUMMYFUNCTION("""COMPUTED_VALUE"""),"aa7140cf")</f>
        <v>aa7140cf</v>
      </c>
      <c r="B655" s="5">
        <f ca="1">IFERROR(__xludf.DUMMYFUNCTION("""COMPUTED_VALUE"""),45791.7202430555)</f>
        <v>45791.720243055497</v>
      </c>
      <c r="C655" s="2" t="str">
        <f ca="1">IFERROR(__xludf.DUMMYFUNCTION("""COMPUTED_VALUE"""),"5c542a1f")</f>
        <v>5c542a1f</v>
      </c>
      <c r="D655" s="2">
        <f ca="1">IFERROR(__xludf.DUMMYFUNCTION("""COMPUTED_VALUE"""),121)</f>
        <v>121</v>
      </c>
      <c r="E655" s="2" t="str">
        <f ca="1">IFERROR(__xludf.DUMMYFUNCTION("""COMPUTED_VALUE"""),"Malbec Mec")</f>
        <v>Malbec Mec</v>
      </c>
      <c r="F655" s="2">
        <f ca="1">IFERROR(__xludf.DUMMYFUNCTION("""COMPUTED_VALUE"""),85000)</f>
        <v>85000</v>
      </c>
      <c r="G655" s="2">
        <f ca="1">IFERROR(__xludf.DUMMYFUNCTION("""COMPUTED_VALUE"""),120)</f>
        <v>120</v>
      </c>
      <c r="H655" s="2"/>
      <c r="I655" s="2"/>
      <c r="J655" s="2">
        <f ca="1">IFERROR(__xludf.DUMMYFUNCTION("""COMPUTED_VALUE"""),0)</f>
        <v>0</v>
      </c>
      <c r="K655" s="2">
        <f ca="1">IFERROR(__xludf.DUMMYFUNCTION("""COMPUTED_VALUE"""),85000)</f>
        <v>85000</v>
      </c>
      <c r="L655" s="2" t="str">
        <f ca="1">IFERROR(__xludf.DUMMYFUNCTION("""COMPUTED_VALUE"""),"c7c2db60")</f>
        <v>c7c2db60</v>
      </c>
      <c r="M655" s="2" t="str">
        <f ca="1">IFERROR(__xludf.DUMMYFUNCTION("""COMPUTED_VALUE"""),"Malbec Mec")</f>
        <v>Malbec Mec</v>
      </c>
      <c r="N655" s="2"/>
      <c r="O655" s="2" t="str">
        <f ca="1">IFERROR(__xludf.DUMMYFUNCTION("""COMPUTED_VALUE"""),"Descubada")</f>
        <v>Descubada</v>
      </c>
      <c r="P655" s="2"/>
      <c r="Q655" s="2" t="b">
        <f ca="1">IFERROR(__xludf.DUMMYFUNCTION("""COMPUTED_VALUE"""),FALSE)</f>
        <v>0</v>
      </c>
      <c r="R655" s="2" t="str">
        <f ca="1">IFERROR(__xludf.DUMMYFUNCTION("""COMPUTED_VALUE"""),"Descubada")</f>
        <v>Descubada</v>
      </c>
      <c r="S655" s="2"/>
      <c r="T655" s="2"/>
      <c r="U655" s="2"/>
    </row>
    <row r="656" spans="1:21" x14ac:dyDescent="0.25">
      <c r="A656" s="2" t="str">
        <f ca="1">IFERROR(__xludf.DUMMYFUNCTION("""COMPUTED_VALUE"""),"c66dc287")</f>
        <v>c66dc287</v>
      </c>
      <c r="B656" s="5">
        <f ca="1">IFERROR(__xludf.DUMMYFUNCTION("""COMPUTED_VALUE"""),45791.7206597222)</f>
        <v>45791.720659722203</v>
      </c>
      <c r="C656" s="2" t="str">
        <f ca="1">IFERROR(__xludf.DUMMYFUNCTION("""COMPUTED_VALUE"""),"01383aba")</f>
        <v>01383aba</v>
      </c>
      <c r="D656" s="2">
        <f ca="1">IFERROR(__xludf.DUMMYFUNCTION("""COMPUTED_VALUE"""),6)</f>
        <v>6</v>
      </c>
      <c r="E656" s="2" t="str">
        <f ca="1">IFERROR(__xludf.DUMMYFUNCTION("""COMPUTED_VALUE"""),"Malbec Rectifciado")</f>
        <v>Malbec Rectifciado</v>
      </c>
      <c r="F656" s="2">
        <f ca="1">IFERROR(__xludf.DUMMYFUNCTION("""COMPUTED_VALUE"""),3800)</f>
        <v>3800</v>
      </c>
      <c r="G656" s="2">
        <f ca="1">IFERROR(__xludf.DUMMYFUNCTION("""COMPUTED_VALUE"""),120)</f>
        <v>120</v>
      </c>
      <c r="H656" s="2" t="str">
        <f ca="1">IFERROR(__xludf.DUMMYFUNCTION("""COMPUTED_VALUE"""),"c7c2db60")</f>
        <v>c7c2db60</v>
      </c>
      <c r="I656" s="2" t="str">
        <f ca="1">IFERROR(__xludf.DUMMYFUNCTION("""COMPUTED_VALUE"""),"Malbec Mec")</f>
        <v>Malbec Mec</v>
      </c>
      <c r="J656" s="2">
        <f ca="1">IFERROR(__xludf.DUMMYFUNCTION("""COMPUTED_VALUE"""),85000)</f>
        <v>85000</v>
      </c>
      <c r="K656" s="2">
        <f ca="1">IFERROR(__xludf.DUMMYFUNCTION("""COMPUTED_VALUE"""),88800)</f>
        <v>88800</v>
      </c>
      <c r="L656" s="2" t="str">
        <f ca="1">IFERROR(__xludf.DUMMYFUNCTION("""COMPUTED_VALUE"""),"7b6d5389")</f>
        <v>7b6d5389</v>
      </c>
      <c r="M656" s="2" t="str">
        <f ca="1">IFERROR(__xludf.DUMMYFUNCTION("""COMPUTED_VALUE"""),"Malbec Mec")</f>
        <v>Malbec Mec</v>
      </c>
      <c r="N656" s="2"/>
      <c r="O656" s="2" t="str">
        <f ca="1">IFERROR(__xludf.DUMMYFUNCTION("""COMPUTED_VALUE"""),"Rectificado")</f>
        <v>Rectificado</v>
      </c>
      <c r="P656" s="2" t="str">
        <f ca="1">IFERROR(__xludf.DUMMYFUNCTION("""COMPUTED_VALUE"""),"Descubada")</f>
        <v>Descubada</v>
      </c>
      <c r="Q656" s="2" t="b">
        <f ca="1">IFERROR(__xludf.DUMMYFUNCTION("""COMPUTED_VALUE"""),TRUE)</f>
        <v>1</v>
      </c>
      <c r="R656" s="2" t="str">
        <f ca="1">IFERROR(__xludf.DUMMYFUNCTION("""COMPUTED_VALUE"""),"Descubada")</f>
        <v>Descubada</v>
      </c>
      <c r="S656" s="2"/>
      <c r="T656" s="2"/>
      <c r="U656" s="2"/>
    </row>
    <row r="657" spans="1:21" x14ac:dyDescent="0.25">
      <c r="A657" s="2" t="str">
        <f ca="1">IFERROR(__xludf.DUMMYFUNCTION("""COMPUTED_VALUE"""),"7bc43a1f")</f>
        <v>7bc43a1f</v>
      </c>
      <c r="B657" s="5">
        <f ca="1">IFERROR(__xludf.DUMMYFUNCTION("""COMPUTED_VALUE"""),45791.7222800925)</f>
        <v>45791.722280092501</v>
      </c>
      <c r="C657" s="2" t="str">
        <f ca="1">IFERROR(__xludf.DUMMYFUNCTION("""COMPUTED_VALUE"""),"01383aba")</f>
        <v>01383aba</v>
      </c>
      <c r="D657" s="2">
        <f ca="1">IFERROR(__xludf.DUMMYFUNCTION("""COMPUTED_VALUE"""),6)</f>
        <v>6</v>
      </c>
      <c r="E657" s="2" t="str">
        <f ca="1">IFERROR(__xludf.DUMMYFUNCTION("""COMPUTED_VALUE"""),"Malbec Rectifciado")</f>
        <v>Malbec Rectifciado</v>
      </c>
      <c r="F657" s="2">
        <f ca="1">IFERROR(__xludf.DUMMYFUNCTION("""COMPUTED_VALUE"""),2000)</f>
        <v>2000</v>
      </c>
      <c r="G657" s="2">
        <f ca="1">IFERROR(__xludf.DUMMYFUNCTION("""COMPUTED_VALUE"""),53)</f>
        <v>53</v>
      </c>
      <c r="H657" s="2" t="str">
        <f ca="1">IFERROR(__xludf.DUMMYFUNCTION("""COMPUTED_VALUE"""),"7c0a5b23")</f>
        <v>7c0a5b23</v>
      </c>
      <c r="I657" s="2" t="str">
        <f ca="1">IFERROR(__xludf.DUMMYFUNCTION("""COMPUTED_VALUE"""),"Syrah")</f>
        <v>Syrah</v>
      </c>
      <c r="J657" s="2">
        <f ca="1">IFERROR(__xludf.DUMMYFUNCTION("""COMPUTED_VALUE"""),20000)</f>
        <v>20000</v>
      </c>
      <c r="K657" s="2">
        <f ca="1">IFERROR(__xludf.DUMMYFUNCTION("""COMPUTED_VALUE"""),22000)</f>
        <v>22000</v>
      </c>
      <c r="L657" s="2" t="str">
        <f ca="1">IFERROR(__xludf.DUMMYFUNCTION("""COMPUTED_VALUE"""),"c6964445")</f>
        <v>c6964445</v>
      </c>
      <c r="M657" s="2" t="str">
        <f ca="1">IFERROR(__xludf.DUMMYFUNCTION("""COMPUTED_VALUE"""),"Syrah")</f>
        <v>Syrah</v>
      </c>
      <c r="N657" s="2"/>
      <c r="O657" s="2" t="str">
        <f ca="1">IFERROR(__xludf.DUMMYFUNCTION("""COMPUTED_VALUE"""),"Rectificado")</f>
        <v>Rectificado</v>
      </c>
      <c r="P657" s="2" t="str">
        <f ca="1">IFERROR(__xludf.DUMMYFUNCTION("""COMPUTED_VALUE"""),"1er Trasiego")</f>
        <v>1er Trasiego</v>
      </c>
      <c r="Q657" s="2" t="b">
        <f ca="1">IFERROR(__xludf.DUMMYFUNCTION("""COMPUTED_VALUE"""),TRUE)</f>
        <v>1</v>
      </c>
      <c r="R657" s="2" t="str">
        <f ca="1">IFERROR(__xludf.DUMMYFUNCTION("""COMPUTED_VALUE"""),"1er Trasiego")</f>
        <v>1er Trasiego</v>
      </c>
      <c r="S657" s="2"/>
      <c r="T657" s="2"/>
      <c r="U657" s="2"/>
    </row>
    <row r="658" spans="1:21" x14ac:dyDescent="0.25">
      <c r="A658" s="2" t="str">
        <f ca="1">IFERROR(__xludf.DUMMYFUNCTION("""COMPUTED_VALUE"""),"25726a61")</f>
        <v>25726a61</v>
      </c>
      <c r="B658" s="5">
        <f ca="1">IFERROR(__xludf.DUMMYFUNCTION("""COMPUTED_VALUE"""),45791.7234837963)</f>
        <v>45791.723483796297</v>
      </c>
      <c r="C658" s="2" t="str">
        <f ca="1">IFERROR(__xludf.DUMMYFUNCTION("""COMPUTED_VALUE"""),"caa78680")</f>
        <v>caa78680</v>
      </c>
      <c r="D658" s="2">
        <f ca="1">IFERROR(__xludf.DUMMYFUNCTION("""COMPUTED_VALUE"""),127)</f>
        <v>127</v>
      </c>
      <c r="E658" s="2" t="str">
        <f ca="1">IFERROR(__xludf.DUMMYFUNCTION("""COMPUTED_VALUE"""),"Cabernet Sauvignon")</f>
        <v>Cabernet Sauvignon</v>
      </c>
      <c r="F658" s="2">
        <f ca="1">IFERROR(__xludf.DUMMYFUNCTION("""COMPUTED_VALUE"""),21100)</f>
        <v>21100</v>
      </c>
      <c r="G658" s="2">
        <f ca="1">IFERROR(__xludf.DUMMYFUNCTION("""COMPUTED_VALUE"""),6)</f>
        <v>6</v>
      </c>
      <c r="H658" s="2" t="str">
        <f ca="1">IFERROR(__xludf.DUMMYFUNCTION("""COMPUTED_VALUE"""),"01383aba")</f>
        <v>01383aba</v>
      </c>
      <c r="I658" s="2" t="str">
        <f ca="1">IFERROR(__xludf.DUMMYFUNCTION("""COMPUTED_VALUE"""),"Malbec Rectifciado")</f>
        <v>Malbec Rectifciado</v>
      </c>
      <c r="J658" s="2">
        <f ca="1">IFERROR(__xludf.DUMMYFUNCTION("""COMPUTED_VALUE"""),4200)</f>
        <v>4200</v>
      </c>
      <c r="K658" s="2">
        <f ca="1">IFERROR(__xludf.DUMMYFUNCTION("""COMPUTED_VALUE"""),25300)</f>
        <v>25300</v>
      </c>
      <c r="L658" s="2" t="str">
        <f ca="1">IFERROR(__xludf.DUMMYFUNCTION("""COMPUTED_VALUE"""),"59034d88")</f>
        <v>59034d88</v>
      </c>
      <c r="M658" s="2" t="str">
        <f ca="1">IFERROR(__xludf.DUMMYFUNCTION("""COMPUTED_VALUE"""),"Cabernet Sauvignon - Rectificado")</f>
        <v>Cabernet Sauvignon - Rectificado</v>
      </c>
      <c r="N658" s="2"/>
      <c r="O658" s="2" t="str">
        <f ca="1">IFERROR(__xludf.DUMMYFUNCTION("""COMPUTED_VALUE"""),"1er Trasiego")</f>
        <v>1er Trasiego</v>
      </c>
      <c r="P658" s="2" t="str">
        <f ca="1">IFERROR(__xludf.DUMMYFUNCTION("""COMPUTED_VALUE"""),"Rectificado")</f>
        <v>Rectificado</v>
      </c>
      <c r="Q658" s="2" t="b">
        <f ca="1">IFERROR(__xludf.DUMMYFUNCTION("""COMPUTED_VALUE"""),FALSE)</f>
        <v>0</v>
      </c>
      <c r="R658" s="2" t="str">
        <f ca="1">IFERROR(__xludf.DUMMYFUNCTION("""COMPUTED_VALUE"""),"Rectificado")</f>
        <v>Rectificado</v>
      </c>
      <c r="S658" s="2"/>
      <c r="T658" s="2"/>
      <c r="U658" s="2"/>
    </row>
    <row r="659" spans="1:21" x14ac:dyDescent="0.25">
      <c r="A659" s="2" t="str">
        <f ca="1">IFERROR(__xludf.DUMMYFUNCTION("""COMPUTED_VALUE"""),"91771054")</f>
        <v>91771054</v>
      </c>
      <c r="B659" s="5">
        <f ca="1">IFERROR(__xludf.DUMMYFUNCTION("""COMPUTED_VALUE"""),45791.7261921296)</f>
        <v>45791.726192129601</v>
      </c>
      <c r="C659" s="2" t="str">
        <f ca="1">IFERROR(__xludf.DUMMYFUNCTION("""COMPUTED_VALUE"""),"9fbe47cd")</f>
        <v>9fbe47cd</v>
      </c>
      <c r="D659" s="2">
        <f ca="1">IFERROR(__xludf.DUMMYFUNCTION("""COMPUTED_VALUE"""),125)</f>
        <v>125</v>
      </c>
      <c r="E659" s="2" t="str">
        <f ca="1">IFERROR(__xludf.DUMMYFUNCTION("""COMPUTED_VALUE"""),"Cabernet Sauvignon")</f>
        <v>Cabernet Sauvignon</v>
      </c>
      <c r="F659" s="2">
        <f ca="1">IFERROR(__xludf.DUMMYFUNCTION("""COMPUTED_VALUE"""),6700)</f>
        <v>6700</v>
      </c>
      <c r="G659" s="2">
        <f ca="1">IFERROR(__xludf.DUMMYFUNCTION("""COMPUTED_VALUE"""),6)</f>
        <v>6</v>
      </c>
      <c r="H659" s="2" t="str">
        <f ca="1">IFERROR(__xludf.DUMMYFUNCTION("""COMPUTED_VALUE"""),"59034d88")</f>
        <v>59034d88</v>
      </c>
      <c r="I659" s="2" t="str">
        <f ca="1">IFERROR(__xludf.DUMMYFUNCTION("""COMPUTED_VALUE"""),"Cabernet Sauvignon - Rectificado")</f>
        <v>Cabernet Sauvignon - Rectificado</v>
      </c>
      <c r="J659" s="2">
        <f ca="1">IFERROR(__xludf.DUMMYFUNCTION("""COMPUTED_VALUE"""),25300)</f>
        <v>25300</v>
      </c>
      <c r="K659" s="2">
        <f ca="1">IFERROR(__xludf.DUMMYFUNCTION("""COMPUTED_VALUE"""),32000)</f>
        <v>32000</v>
      </c>
      <c r="L659" s="2" t="str">
        <f ca="1">IFERROR(__xludf.DUMMYFUNCTION("""COMPUTED_VALUE"""),"5b29cdd7")</f>
        <v>5b29cdd7</v>
      </c>
      <c r="M659" s="2" t="str">
        <f ca="1">IFERROR(__xludf.DUMMYFUNCTION("""COMPUTED_VALUE"""),"Cabernet Sauvignon - Rectificado")</f>
        <v>Cabernet Sauvignon - Rectificado</v>
      </c>
      <c r="N659" s="2"/>
      <c r="O659" s="2" t="str">
        <f ca="1">IFERROR(__xludf.DUMMYFUNCTION("""COMPUTED_VALUE"""),"1er Trasiego")</f>
        <v>1er Trasiego</v>
      </c>
      <c r="P659" s="2" t="str">
        <f ca="1">IFERROR(__xludf.DUMMYFUNCTION("""COMPUTED_VALUE"""),"Rectificado")</f>
        <v>Rectificado</v>
      </c>
      <c r="Q659" s="2" t="b">
        <f ca="1">IFERROR(__xludf.DUMMYFUNCTION("""COMPUTED_VALUE"""),TRUE)</f>
        <v>1</v>
      </c>
      <c r="R659" s="2" t="str">
        <f ca="1">IFERROR(__xludf.DUMMYFUNCTION("""COMPUTED_VALUE"""),"Rectificado")</f>
        <v>Rectificado</v>
      </c>
      <c r="S659" s="2"/>
      <c r="T659" s="2"/>
      <c r="U659" s="2"/>
    </row>
    <row r="660" spans="1:21" x14ac:dyDescent="0.25">
      <c r="A660" s="2" t="str">
        <f ca="1">IFERROR(__xludf.DUMMYFUNCTION("""COMPUTED_VALUE"""),"c35609a9")</f>
        <v>c35609a9</v>
      </c>
      <c r="B660" s="5">
        <f ca="1">IFERROR(__xludf.DUMMYFUNCTION("""COMPUTED_VALUE"""),45791.7263888888)</f>
        <v>45791.726388888797</v>
      </c>
      <c r="C660" s="2" t="str">
        <f ca="1">IFERROR(__xludf.DUMMYFUNCTION("""COMPUTED_VALUE"""),"9fbe47cd")</f>
        <v>9fbe47cd</v>
      </c>
      <c r="D660" s="2">
        <f ca="1">IFERROR(__xludf.DUMMYFUNCTION("""COMPUTED_VALUE"""),125)</f>
        <v>125</v>
      </c>
      <c r="E660" s="2" t="str">
        <f ca="1">IFERROR(__xludf.DUMMYFUNCTION("""COMPUTED_VALUE"""),"Cabernet Sauvignon")</f>
        <v>Cabernet Sauvignon</v>
      </c>
      <c r="F660" s="2">
        <f ca="1">IFERROR(__xludf.DUMMYFUNCTION("""COMPUTED_VALUE"""),24300)</f>
        <v>24300</v>
      </c>
      <c r="G660" s="2">
        <f ca="1">IFERROR(__xludf.DUMMYFUNCTION("""COMPUTED_VALUE"""),7)</f>
        <v>7</v>
      </c>
      <c r="H660" s="2"/>
      <c r="I660" s="2"/>
      <c r="J660" s="2">
        <f ca="1">IFERROR(__xludf.DUMMYFUNCTION("""COMPUTED_VALUE"""),0)</f>
        <v>0</v>
      </c>
      <c r="K660" s="2">
        <f ca="1">IFERROR(__xludf.DUMMYFUNCTION("""COMPUTED_VALUE"""),24300)</f>
        <v>24300</v>
      </c>
      <c r="L660" s="2" t="str">
        <f ca="1">IFERROR(__xludf.DUMMYFUNCTION("""COMPUTED_VALUE"""),"b553478c")</f>
        <v>b553478c</v>
      </c>
      <c r="M660" s="2" t="str">
        <f ca="1">IFERROR(__xludf.DUMMYFUNCTION("""COMPUTED_VALUE"""),"Cabernet Sauvignon - Rectificado")</f>
        <v>Cabernet Sauvignon - Rectificado</v>
      </c>
      <c r="N660" s="2"/>
      <c r="O660" s="2" t="str">
        <f ca="1">IFERROR(__xludf.DUMMYFUNCTION("""COMPUTED_VALUE"""),"1er Trasiego")</f>
        <v>1er Trasiego</v>
      </c>
      <c r="P660" s="2"/>
      <c r="Q660" s="2" t="b">
        <f ca="1">IFERROR(__xludf.DUMMYFUNCTION("""COMPUTED_VALUE"""),FALSE)</f>
        <v>0</v>
      </c>
      <c r="R660" s="2" t="str">
        <f ca="1">IFERROR(__xludf.DUMMYFUNCTION("""COMPUTED_VALUE"""),"Rectificado")</f>
        <v>Rectificado</v>
      </c>
      <c r="S660" s="2"/>
      <c r="T660" s="2"/>
      <c r="U660" s="2"/>
    </row>
    <row r="661" spans="1:21" x14ac:dyDescent="0.25">
      <c r="A661" s="2" t="str">
        <f ca="1">IFERROR(__xludf.DUMMYFUNCTION("""COMPUTED_VALUE"""),"98aa78ff")</f>
        <v>98aa78ff</v>
      </c>
      <c r="B661" s="5">
        <f ca="1">IFERROR(__xludf.DUMMYFUNCTION("""COMPUTED_VALUE"""),45792.3770601851)</f>
        <v>45792.377060185099</v>
      </c>
      <c r="C661" s="2" t="str">
        <f ca="1">IFERROR(__xludf.DUMMYFUNCTION("""COMPUTED_VALUE"""),"7b6b2c2a")</f>
        <v>7b6b2c2a</v>
      </c>
      <c r="D661" s="2">
        <f ca="1">IFERROR(__xludf.DUMMYFUNCTION("""COMPUTED_VALUE"""),34)</f>
        <v>34</v>
      </c>
      <c r="E661" s="2" t="str">
        <f ca="1">IFERROR(__xludf.DUMMYFUNCTION("""COMPUTED_VALUE"""),"Bonarda")</f>
        <v>Bonarda</v>
      </c>
      <c r="F661" s="2">
        <f ca="1">IFERROR(__xludf.DUMMYFUNCTION("""COMPUTED_VALUE"""),36500)</f>
        <v>36500</v>
      </c>
      <c r="G661" s="2">
        <f ca="1">IFERROR(__xludf.DUMMYFUNCTION("""COMPUTED_VALUE"""),15)</f>
        <v>15</v>
      </c>
      <c r="H661" s="2"/>
      <c r="I661" s="2"/>
      <c r="J661" s="2">
        <f ca="1">IFERROR(__xludf.DUMMYFUNCTION("""COMPUTED_VALUE"""),0)</f>
        <v>0</v>
      </c>
      <c r="K661" s="2">
        <f ca="1">IFERROR(__xludf.DUMMYFUNCTION("""COMPUTED_VALUE"""),36500)</f>
        <v>36500</v>
      </c>
      <c r="L661" s="2" t="str">
        <f ca="1">IFERROR(__xludf.DUMMYFUNCTION("""COMPUTED_VALUE"""),"8a5cc2ae")</f>
        <v>8a5cc2ae</v>
      </c>
      <c r="M661" s="2" t="str">
        <f ca="1">IFERROR(__xludf.DUMMYFUNCTION("""COMPUTED_VALUE"""),"Bonarda")</f>
        <v>Bonarda</v>
      </c>
      <c r="N661" s="2"/>
      <c r="O661" s="2" t="str">
        <f ca="1">IFERROR(__xludf.DUMMYFUNCTION("""COMPUTED_VALUE"""),"Descubada")</f>
        <v>Descubada</v>
      </c>
      <c r="P661" s="2"/>
      <c r="Q661" s="2" t="b">
        <f ca="1">IFERROR(__xludf.DUMMYFUNCTION("""COMPUTED_VALUE"""),FALSE)</f>
        <v>0</v>
      </c>
      <c r="R661" s="2" t="str">
        <f ca="1">IFERROR(__xludf.DUMMYFUNCTION("""COMPUTED_VALUE"""),"1er Trasiego")</f>
        <v>1er Trasiego</v>
      </c>
      <c r="S661" s="2"/>
      <c r="T661" s="2"/>
      <c r="U661" s="2"/>
    </row>
    <row r="662" spans="1:21" x14ac:dyDescent="0.25">
      <c r="A662" s="2" t="str">
        <f ca="1">IFERROR(__xludf.DUMMYFUNCTION("""COMPUTED_VALUE"""),"1a7f8531")</f>
        <v>1a7f8531</v>
      </c>
      <c r="B662" s="5">
        <f ca="1">IFERROR(__xludf.DUMMYFUNCTION("""COMPUTED_VALUE"""),45792.3776273148)</f>
        <v>45792.377627314803</v>
      </c>
      <c r="C662" s="2" t="str">
        <f ca="1">IFERROR(__xludf.DUMMYFUNCTION("""COMPUTED_VALUE"""),"7b6b2c2a")</f>
        <v>7b6b2c2a</v>
      </c>
      <c r="D662" s="2">
        <f ca="1">IFERROR(__xludf.DUMMYFUNCTION("""COMPUTED_VALUE"""),34)</f>
        <v>34</v>
      </c>
      <c r="E662" s="2" t="str">
        <f ca="1">IFERROR(__xludf.DUMMYFUNCTION("""COMPUTED_VALUE"""),"Bonarda")</f>
        <v>Bonarda</v>
      </c>
      <c r="F662" s="2">
        <f ca="1">IFERROR(__xludf.DUMMYFUNCTION("""COMPUTED_VALUE"""),3000)</f>
        <v>3000</v>
      </c>
      <c r="G662" s="2">
        <f ca="1">IFERROR(__xludf.DUMMYFUNCTION("""COMPUTED_VALUE"""),80)</f>
        <v>80</v>
      </c>
      <c r="H662" s="2" t="str">
        <f ca="1">IFERROR(__xludf.DUMMYFUNCTION("""COMPUTED_VALUE"""),"582ad1a3")</f>
        <v>582ad1a3</v>
      </c>
      <c r="I662" s="2" t="str">
        <f ca="1">IFERROR(__xludf.DUMMYFUNCTION("""COMPUTED_VALUE"""),"Borra")</f>
        <v>Borra</v>
      </c>
      <c r="J662" s="2">
        <f ca="1">IFERROR(__xludf.DUMMYFUNCTION("""COMPUTED_VALUE"""),6400)</f>
        <v>6400</v>
      </c>
      <c r="K662" s="2">
        <f ca="1">IFERROR(__xludf.DUMMYFUNCTION("""COMPUTED_VALUE"""),9400)</f>
        <v>9400</v>
      </c>
      <c r="L662" s="2" t="str">
        <f ca="1">IFERROR(__xludf.DUMMYFUNCTION("""COMPUTED_VALUE"""),"db062f06")</f>
        <v>db062f06</v>
      </c>
      <c r="M662" s="2" t="str">
        <f ca="1">IFERROR(__xludf.DUMMYFUNCTION("""COMPUTED_VALUE"""),"Borra")</f>
        <v>Borra</v>
      </c>
      <c r="N662" s="2"/>
      <c r="O662" s="2" t="str">
        <f ca="1">IFERROR(__xludf.DUMMYFUNCTION("""COMPUTED_VALUE"""),"Descubada")</f>
        <v>Descubada</v>
      </c>
      <c r="P662" s="2" t="str">
        <f ca="1">IFERROR(__xludf.DUMMYFUNCTION("""COMPUTED_VALUE"""),"1er Trasiego")</f>
        <v>1er Trasiego</v>
      </c>
      <c r="Q662" s="2" t="b">
        <f ca="1">IFERROR(__xludf.DUMMYFUNCTION("""COMPUTED_VALUE"""),TRUE)</f>
        <v>1</v>
      </c>
      <c r="R662" s="2" t="str">
        <f ca="1">IFERROR(__xludf.DUMMYFUNCTION("""COMPUTED_VALUE"""),"1er Trasiego")</f>
        <v>1er Trasiego</v>
      </c>
      <c r="S662" s="2"/>
      <c r="T662" s="2"/>
      <c r="U662" s="2"/>
    </row>
    <row r="663" spans="1:21" x14ac:dyDescent="0.25">
      <c r="A663" s="2" t="str">
        <f ca="1">IFERROR(__xludf.DUMMYFUNCTION("""COMPUTED_VALUE"""),"b926970a")</f>
        <v>b926970a</v>
      </c>
      <c r="B663" s="5">
        <f ca="1">IFERROR(__xludf.DUMMYFUNCTION("""COMPUTED_VALUE"""),45792.3782523148)</f>
        <v>45792.378252314797</v>
      </c>
      <c r="C663" s="2" t="str">
        <f ca="1">IFERROR(__xludf.DUMMYFUNCTION("""COMPUTED_VALUE"""),"4eab3967")</f>
        <v>4eab3967</v>
      </c>
      <c r="D663" s="2">
        <f ca="1">IFERROR(__xludf.DUMMYFUNCTION("""COMPUTED_VALUE"""),51)</f>
        <v>51</v>
      </c>
      <c r="E663" s="2" t="str">
        <f ca="1">IFERROR(__xludf.DUMMYFUNCTION("""COMPUTED_VALUE"""),"Tanat")</f>
        <v>Tanat</v>
      </c>
      <c r="F663" s="2">
        <f ca="1">IFERROR(__xludf.DUMMYFUNCTION("""COMPUTED_VALUE"""),3900)</f>
        <v>3900</v>
      </c>
      <c r="G663" s="2">
        <f ca="1">IFERROR(__xludf.DUMMYFUNCTION("""COMPUTED_VALUE"""),46)</f>
        <v>46</v>
      </c>
      <c r="H663" s="2"/>
      <c r="I663" s="2"/>
      <c r="J663" s="2">
        <f ca="1">IFERROR(__xludf.DUMMYFUNCTION("""COMPUTED_VALUE"""),0)</f>
        <v>0</v>
      </c>
      <c r="K663" s="2">
        <f ca="1">IFERROR(__xludf.DUMMYFUNCTION("""COMPUTED_VALUE"""),3900)</f>
        <v>3900</v>
      </c>
      <c r="L663" s="2" t="str">
        <f ca="1">IFERROR(__xludf.DUMMYFUNCTION("""COMPUTED_VALUE"""),"545cf46a")</f>
        <v>545cf46a</v>
      </c>
      <c r="M663" s="2" t="str">
        <f ca="1">IFERROR(__xludf.DUMMYFUNCTION("""COMPUTED_VALUE"""),"Tanat")</f>
        <v>Tanat</v>
      </c>
      <c r="N663" s="2"/>
      <c r="O663" s="2" t="str">
        <f ca="1">IFERROR(__xludf.DUMMYFUNCTION("""COMPUTED_VALUE"""),"Descubada")</f>
        <v>Descubada</v>
      </c>
      <c r="P663" s="2"/>
      <c r="Q663" s="2" t="b">
        <f ca="1">IFERROR(__xludf.DUMMYFUNCTION("""COMPUTED_VALUE"""),FALSE)</f>
        <v>0</v>
      </c>
      <c r="R663" s="2" t="str">
        <f ca="1">IFERROR(__xludf.DUMMYFUNCTION("""COMPUTED_VALUE"""),"1er Trasiego")</f>
        <v>1er Trasiego</v>
      </c>
      <c r="S663" s="2"/>
      <c r="T663" s="2"/>
      <c r="U663" s="2"/>
    </row>
    <row r="664" spans="1:21" x14ac:dyDescent="0.25">
      <c r="A664" s="2" t="str">
        <f ca="1">IFERROR(__xludf.DUMMYFUNCTION("""COMPUTED_VALUE"""),"5e101a32")</f>
        <v>5e101a32</v>
      </c>
      <c r="B664" s="5">
        <f ca="1">IFERROR(__xludf.DUMMYFUNCTION("""COMPUTED_VALUE"""),45792.3787962962)</f>
        <v>45792.378796296201</v>
      </c>
      <c r="C664" s="2" t="str">
        <f ca="1">IFERROR(__xludf.DUMMYFUNCTION("""COMPUTED_VALUE"""),"b23211ad")</f>
        <v>b23211ad</v>
      </c>
      <c r="D664" s="2">
        <f ca="1">IFERROR(__xludf.DUMMYFUNCTION("""COMPUTED_VALUE"""),68)</f>
        <v>68</v>
      </c>
      <c r="E664" s="2" t="str">
        <f ca="1">IFERROR(__xludf.DUMMYFUNCTION("""COMPUTED_VALUE"""),"Tanat")</f>
        <v>Tanat</v>
      </c>
      <c r="F664" s="2">
        <f ca="1">IFERROR(__xludf.DUMMYFUNCTION("""COMPUTED_VALUE"""),13000)</f>
        <v>13000</v>
      </c>
      <c r="G664" s="2">
        <f ca="1">IFERROR(__xludf.DUMMYFUNCTION("""COMPUTED_VALUE"""),46)</f>
        <v>46</v>
      </c>
      <c r="H664" s="2" t="str">
        <f ca="1">IFERROR(__xludf.DUMMYFUNCTION("""COMPUTED_VALUE"""),"545cf46a")</f>
        <v>545cf46a</v>
      </c>
      <c r="I664" s="2" t="str">
        <f ca="1">IFERROR(__xludf.DUMMYFUNCTION("""COMPUTED_VALUE"""),"Tanat")</f>
        <v>Tanat</v>
      </c>
      <c r="J664" s="2">
        <f ca="1">IFERROR(__xludf.DUMMYFUNCTION("""COMPUTED_VALUE"""),3900)</f>
        <v>3900</v>
      </c>
      <c r="K664" s="2">
        <f ca="1">IFERROR(__xludf.DUMMYFUNCTION("""COMPUTED_VALUE"""),16900)</f>
        <v>16900</v>
      </c>
      <c r="L664" s="2" t="str">
        <f ca="1">IFERROR(__xludf.DUMMYFUNCTION("""COMPUTED_VALUE"""),"92f39eaf")</f>
        <v>92f39eaf</v>
      </c>
      <c r="M664" s="2" t="str">
        <f ca="1">IFERROR(__xludf.DUMMYFUNCTION("""COMPUTED_VALUE"""),"Tanat")</f>
        <v>Tanat</v>
      </c>
      <c r="N664" s="2"/>
      <c r="O664" s="2" t="str">
        <f ca="1">IFERROR(__xludf.DUMMYFUNCTION("""COMPUTED_VALUE"""),"Descubada")</f>
        <v>Descubada</v>
      </c>
      <c r="P664" s="2" t="str">
        <f ca="1">IFERROR(__xludf.DUMMYFUNCTION("""COMPUTED_VALUE"""),"1er Trasiego")</f>
        <v>1er Trasiego</v>
      </c>
      <c r="Q664" s="2" t="b">
        <f ca="1">IFERROR(__xludf.DUMMYFUNCTION("""COMPUTED_VALUE"""),TRUE)</f>
        <v>1</v>
      </c>
      <c r="R664" s="2" t="str">
        <f ca="1">IFERROR(__xludf.DUMMYFUNCTION("""COMPUTED_VALUE"""),"1er Trasiego")</f>
        <v>1er Trasiego</v>
      </c>
      <c r="S664" s="2"/>
      <c r="T664" s="2"/>
      <c r="U664" s="2"/>
    </row>
    <row r="665" spans="1:21" x14ac:dyDescent="0.25">
      <c r="A665" s="2" t="str">
        <f ca="1">IFERROR(__xludf.DUMMYFUNCTION("""COMPUTED_VALUE"""),"f340228a")</f>
        <v>f340228a</v>
      </c>
      <c r="B665" s="5">
        <f ca="1">IFERROR(__xludf.DUMMYFUNCTION("""COMPUTED_VALUE"""),45792.3791550925)</f>
        <v>45792.379155092502</v>
      </c>
      <c r="C665" s="2" t="str">
        <f ca="1">IFERROR(__xludf.DUMMYFUNCTION("""COMPUTED_VALUE"""),"0760321a")</f>
        <v>0760321a</v>
      </c>
      <c r="D665" s="2">
        <f ca="1">IFERROR(__xludf.DUMMYFUNCTION("""COMPUTED_VALUE"""),73)</f>
        <v>73</v>
      </c>
      <c r="E665" s="2" t="str">
        <f ca="1">IFERROR(__xludf.DUMMYFUNCTION("""COMPUTED_VALUE"""),"Tanat")</f>
        <v>Tanat</v>
      </c>
      <c r="F665" s="2">
        <f ca="1">IFERROR(__xludf.DUMMYFUNCTION("""COMPUTED_VALUE"""),12100)</f>
        <v>12100</v>
      </c>
      <c r="G665" s="2">
        <f ca="1">IFERROR(__xludf.DUMMYFUNCTION("""COMPUTED_VALUE"""),46)</f>
        <v>46</v>
      </c>
      <c r="H665" s="2" t="str">
        <f ca="1">IFERROR(__xludf.DUMMYFUNCTION("""COMPUTED_VALUE"""),"92f39eaf")</f>
        <v>92f39eaf</v>
      </c>
      <c r="I665" s="2" t="str">
        <f ca="1">IFERROR(__xludf.DUMMYFUNCTION("""COMPUTED_VALUE"""),"Tanat")</f>
        <v>Tanat</v>
      </c>
      <c r="J665" s="2">
        <f ca="1">IFERROR(__xludf.DUMMYFUNCTION("""COMPUTED_VALUE"""),16900)</f>
        <v>16900</v>
      </c>
      <c r="K665" s="2">
        <f ca="1">IFERROR(__xludf.DUMMYFUNCTION("""COMPUTED_VALUE"""),29000)</f>
        <v>29000</v>
      </c>
      <c r="L665" s="2" t="str">
        <f ca="1">IFERROR(__xludf.DUMMYFUNCTION("""COMPUTED_VALUE"""),"b72016d2")</f>
        <v>b72016d2</v>
      </c>
      <c r="M665" s="2" t="str">
        <f ca="1">IFERROR(__xludf.DUMMYFUNCTION("""COMPUTED_VALUE"""),"Tanat")</f>
        <v>Tanat</v>
      </c>
      <c r="N665" s="2"/>
      <c r="O665" s="2" t="str">
        <f ca="1">IFERROR(__xludf.DUMMYFUNCTION("""COMPUTED_VALUE"""),"1er Trasiego")</f>
        <v>1er Trasiego</v>
      </c>
      <c r="P665" s="2" t="str">
        <f ca="1">IFERROR(__xludf.DUMMYFUNCTION("""COMPUTED_VALUE"""),"1er Trasiego")</f>
        <v>1er Trasiego</v>
      </c>
      <c r="Q665" s="2" t="b">
        <f ca="1">IFERROR(__xludf.DUMMYFUNCTION("""COMPUTED_VALUE"""),TRUE)</f>
        <v>1</v>
      </c>
      <c r="R665" s="2" t="str">
        <f ca="1">IFERROR(__xludf.DUMMYFUNCTION("""COMPUTED_VALUE"""),"1er Trasiego")</f>
        <v>1er Trasiego</v>
      </c>
      <c r="S665" s="2"/>
      <c r="T665" s="2"/>
      <c r="U665" s="2"/>
    </row>
    <row r="666" spans="1:21" x14ac:dyDescent="0.25">
      <c r="A666" s="2" t="str">
        <f ca="1">IFERROR(__xludf.DUMMYFUNCTION("""COMPUTED_VALUE"""),"d09039de")</f>
        <v>d09039de</v>
      </c>
      <c r="B666" s="5">
        <f ca="1">IFERROR(__xludf.DUMMYFUNCTION("""COMPUTED_VALUE"""),45792.3796064814)</f>
        <v>45792.379606481401</v>
      </c>
      <c r="C666" s="2" t="str">
        <f ca="1">IFERROR(__xludf.DUMMYFUNCTION("""COMPUTED_VALUE"""),"0760321a")</f>
        <v>0760321a</v>
      </c>
      <c r="D666" s="2">
        <f ca="1">IFERROR(__xludf.DUMMYFUNCTION("""COMPUTED_VALUE"""),73)</f>
        <v>73</v>
      </c>
      <c r="E666" s="2" t="str">
        <f ca="1">IFERROR(__xludf.DUMMYFUNCTION("""COMPUTED_VALUE"""),"Tanat")</f>
        <v>Tanat</v>
      </c>
      <c r="F666" s="2">
        <f ca="1">IFERROR(__xludf.DUMMYFUNCTION("""COMPUTED_VALUE"""),900)</f>
        <v>900</v>
      </c>
      <c r="G666" s="2">
        <f ca="1">IFERROR(__xludf.DUMMYFUNCTION("""COMPUTED_VALUE"""),7)</f>
        <v>7</v>
      </c>
      <c r="H666" s="2" t="str">
        <f ca="1">IFERROR(__xludf.DUMMYFUNCTION("""COMPUTED_VALUE"""),"b553478c")</f>
        <v>b553478c</v>
      </c>
      <c r="I666" s="2" t="str">
        <f ca="1">IFERROR(__xludf.DUMMYFUNCTION("""COMPUTED_VALUE"""),"Cabernet Sauvignon - Rectificado")</f>
        <v>Cabernet Sauvignon - Rectificado</v>
      </c>
      <c r="J666" s="2">
        <f ca="1">IFERROR(__xludf.DUMMYFUNCTION("""COMPUTED_VALUE"""),24300)</f>
        <v>24300</v>
      </c>
      <c r="K666" s="2">
        <f ca="1">IFERROR(__xludf.DUMMYFUNCTION("""COMPUTED_VALUE"""),25200)</f>
        <v>25200</v>
      </c>
      <c r="L666" s="2" t="str">
        <f ca="1">IFERROR(__xludf.DUMMYFUNCTION("""COMPUTED_VALUE"""),"a3608d6e")</f>
        <v>a3608d6e</v>
      </c>
      <c r="M666" s="2" t="str">
        <f ca="1">IFERROR(__xludf.DUMMYFUNCTION("""COMPUTED_VALUE"""),"Cabernet Sauvignon - Rectificado")</f>
        <v>Cabernet Sauvignon - Rectificado</v>
      </c>
      <c r="N666" s="2"/>
      <c r="O666" s="2" t="str">
        <f ca="1">IFERROR(__xludf.DUMMYFUNCTION("""COMPUTED_VALUE"""),"1er Trasiego")</f>
        <v>1er Trasiego</v>
      </c>
      <c r="P666" s="2" t="str">
        <f ca="1">IFERROR(__xludf.DUMMYFUNCTION("""COMPUTED_VALUE"""),"Rectificado")</f>
        <v>Rectificado</v>
      </c>
      <c r="Q666" s="2" t="b">
        <f ca="1">IFERROR(__xludf.DUMMYFUNCTION("""COMPUTED_VALUE"""),TRUE)</f>
        <v>1</v>
      </c>
      <c r="R666" s="2" t="str">
        <f ca="1">IFERROR(__xludf.DUMMYFUNCTION("""COMPUTED_VALUE"""),"Rectificado")</f>
        <v>Rectificado</v>
      </c>
      <c r="S666" s="2"/>
      <c r="T666" s="2"/>
      <c r="U666" s="2"/>
    </row>
    <row r="667" spans="1:21" x14ac:dyDescent="0.25">
      <c r="A667" s="2" t="str">
        <f ca="1">IFERROR(__xludf.DUMMYFUNCTION("""COMPUTED_VALUE"""),"361fa796")</f>
        <v>361fa796</v>
      </c>
      <c r="B667" s="5">
        <f ca="1">IFERROR(__xludf.DUMMYFUNCTION("""COMPUTED_VALUE"""),45792.380787037)</f>
        <v>45792.380787037</v>
      </c>
      <c r="C667" s="2" t="str">
        <f ca="1">IFERROR(__xludf.DUMMYFUNCTION("""COMPUTED_VALUE"""),"9c9a8832")</f>
        <v>9c9a8832</v>
      </c>
      <c r="D667" s="2">
        <f ca="1">IFERROR(__xludf.DUMMYFUNCTION("""COMPUTED_VALUE"""),126)</f>
        <v>126</v>
      </c>
      <c r="E667" s="2" t="str">
        <f ca="1">IFERROR(__xludf.DUMMYFUNCTION("""COMPUTED_VALUE"""),"Tinto G")</f>
        <v>Tinto G</v>
      </c>
      <c r="F667" s="2">
        <f ca="1">IFERROR(__xludf.DUMMYFUNCTION("""COMPUTED_VALUE"""),4500)</f>
        <v>4500</v>
      </c>
      <c r="G667" s="2">
        <f ca="1">IFERROR(__xludf.DUMMYFUNCTION("""COMPUTED_VALUE"""),91)</f>
        <v>91</v>
      </c>
      <c r="H667" s="2" t="str">
        <f ca="1">IFERROR(__xludf.DUMMYFUNCTION("""COMPUTED_VALUE"""),"93b5ed3d")</f>
        <v>93b5ed3d</v>
      </c>
      <c r="I667" s="2" t="str">
        <f ca="1">IFERROR(__xludf.DUMMYFUNCTION("""COMPUTED_VALUE"""),"Tinto")</f>
        <v>Tinto</v>
      </c>
      <c r="J667" s="2">
        <f ca="1">IFERROR(__xludf.DUMMYFUNCTION("""COMPUTED_VALUE"""),81500)</f>
        <v>81500</v>
      </c>
      <c r="K667" s="2">
        <f ca="1">IFERROR(__xludf.DUMMYFUNCTION("""COMPUTED_VALUE"""),86000)</f>
        <v>86000</v>
      </c>
      <c r="L667" s="2" t="str">
        <f ca="1">IFERROR(__xludf.DUMMYFUNCTION("""COMPUTED_VALUE"""),"39eae928")</f>
        <v>39eae928</v>
      </c>
      <c r="M667" s="2" t="str">
        <f ca="1">IFERROR(__xludf.DUMMYFUNCTION("""COMPUTED_VALUE"""),"Tinto")</f>
        <v>Tinto</v>
      </c>
      <c r="N667" s="2"/>
      <c r="O667" s="2" t="str">
        <f ca="1">IFERROR(__xludf.DUMMYFUNCTION("""COMPUTED_VALUE"""),"1er Trasiego")</f>
        <v>1er Trasiego</v>
      </c>
      <c r="P667" s="2" t="str">
        <f ca="1">IFERROR(__xludf.DUMMYFUNCTION("""COMPUTED_VALUE"""),"1er Trasiego")</f>
        <v>1er Trasiego</v>
      </c>
      <c r="Q667" s="2" t="b">
        <f ca="1">IFERROR(__xludf.DUMMYFUNCTION("""COMPUTED_VALUE"""),TRUE)</f>
        <v>1</v>
      </c>
      <c r="R667" s="2" t="str">
        <f ca="1">IFERROR(__xludf.DUMMYFUNCTION("""COMPUTED_VALUE"""),"1er Trasiego")</f>
        <v>1er Trasiego</v>
      </c>
      <c r="S667" s="2"/>
      <c r="T667" s="2"/>
      <c r="U667" s="2"/>
    </row>
    <row r="668" spans="1:21" x14ac:dyDescent="0.25">
      <c r="A668" s="2" t="str">
        <f ca="1">IFERROR(__xludf.DUMMYFUNCTION("""COMPUTED_VALUE"""),"fcec8ab1")</f>
        <v>fcec8ab1</v>
      </c>
      <c r="B668" s="5">
        <f ca="1">IFERROR(__xludf.DUMMYFUNCTION("""COMPUTED_VALUE"""),45792.4155324074)</f>
        <v>45792.415532407402</v>
      </c>
      <c r="C668" s="2" t="str">
        <f ca="1">IFERROR(__xludf.DUMMYFUNCTION("""COMPUTED_VALUE"""),"9c9a8832")</f>
        <v>9c9a8832</v>
      </c>
      <c r="D668" s="2">
        <f ca="1">IFERROR(__xludf.DUMMYFUNCTION("""COMPUTED_VALUE"""),126)</f>
        <v>126</v>
      </c>
      <c r="E668" s="2" t="str">
        <f ca="1">IFERROR(__xludf.DUMMYFUNCTION("""COMPUTED_VALUE"""),"Tinto G")</f>
        <v>Tinto G</v>
      </c>
      <c r="F668" s="2">
        <f ca="1">IFERROR(__xludf.DUMMYFUNCTION("""COMPUTED_VALUE"""),7000)</f>
        <v>7000</v>
      </c>
      <c r="G668" s="2">
        <f ca="1">IFERROR(__xludf.DUMMYFUNCTION("""COMPUTED_VALUE"""),80)</f>
        <v>80</v>
      </c>
      <c r="H668" s="2" t="str">
        <f ca="1">IFERROR(__xludf.DUMMYFUNCTION("""COMPUTED_VALUE"""),"db062f06")</f>
        <v>db062f06</v>
      </c>
      <c r="I668" s="2" t="str">
        <f ca="1">IFERROR(__xludf.DUMMYFUNCTION("""COMPUTED_VALUE"""),"Borra")</f>
        <v>Borra</v>
      </c>
      <c r="J668" s="2">
        <f ca="1">IFERROR(__xludf.DUMMYFUNCTION("""COMPUTED_VALUE"""),9400)</f>
        <v>9400</v>
      </c>
      <c r="K668" s="2">
        <f ca="1">IFERROR(__xludf.DUMMYFUNCTION("""COMPUTED_VALUE"""),16400)</f>
        <v>16400</v>
      </c>
      <c r="L668" s="2" t="str">
        <f ca="1">IFERROR(__xludf.DUMMYFUNCTION("""COMPUTED_VALUE"""),"65aa5ca5")</f>
        <v>65aa5ca5</v>
      </c>
      <c r="M668" s="2" t="str">
        <f ca="1">IFERROR(__xludf.DUMMYFUNCTION("""COMPUTED_VALUE"""),"Borra")</f>
        <v>Borra</v>
      </c>
      <c r="N668" s="2"/>
      <c r="O668" s="2" t="str">
        <f ca="1">IFERROR(__xludf.DUMMYFUNCTION("""COMPUTED_VALUE"""),"1er Trasiego")</f>
        <v>1er Trasiego</v>
      </c>
      <c r="P668" s="2" t="str">
        <f ca="1">IFERROR(__xludf.DUMMYFUNCTION("""COMPUTED_VALUE"""),"1er Trasiego")</f>
        <v>1er Trasiego</v>
      </c>
      <c r="Q668" s="2" t="b">
        <f ca="1">IFERROR(__xludf.DUMMYFUNCTION("""COMPUTED_VALUE"""),TRUE)</f>
        <v>1</v>
      </c>
      <c r="R668" s="2" t="str">
        <f ca="1">IFERROR(__xludf.DUMMYFUNCTION("""COMPUTED_VALUE"""),"1er Trasiego")</f>
        <v>1er Trasiego</v>
      </c>
      <c r="S668" s="2"/>
      <c r="T668" s="2"/>
      <c r="U668" s="2"/>
    </row>
    <row r="669" spans="1:21" x14ac:dyDescent="0.25">
      <c r="A669" s="2" t="str">
        <f ca="1">IFERROR(__xludf.DUMMYFUNCTION("""COMPUTED_VALUE"""),"2afa6ee7")</f>
        <v>2afa6ee7</v>
      </c>
      <c r="B669" s="5">
        <f ca="1">IFERROR(__xludf.DUMMYFUNCTION("""COMPUTED_VALUE"""),45792.678136574)</f>
        <v>45792.678136574003</v>
      </c>
      <c r="C669" s="2" t="str">
        <f ca="1">IFERROR(__xludf.DUMMYFUNCTION("""COMPUTED_VALUE"""),"61f14f41")</f>
        <v>61f14f41</v>
      </c>
      <c r="D669" s="2">
        <f ca="1">IFERROR(__xludf.DUMMYFUNCTION("""COMPUTED_VALUE"""),12)</f>
        <v>12</v>
      </c>
      <c r="E669" s="2" t="str">
        <f ca="1">IFERROR(__xludf.DUMMYFUNCTION("""COMPUTED_VALUE"""),"Claro de Filtro")</f>
        <v>Claro de Filtro</v>
      </c>
      <c r="F669" s="2">
        <f ca="1">IFERROR(__xludf.DUMMYFUNCTION("""COMPUTED_VALUE"""),22900)</f>
        <v>22900</v>
      </c>
      <c r="G669" s="2">
        <f ca="1">IFERROR(__xludf.DUMMYFUNCTION("""COMPUTED_VALUE"""),54)</f>
        <v>54</v>
      </c>
      <c r="H669" s="2"/>
      <c r="I669" s="2"/>
      <c r="J669" s="2">
        <f ca="1">IFERROR(__xludf.DUMMYFUNCTION("""COMPUTED_VALUE"""),0)</f>
        <v>0</v>
      </c>
      <c r="K669" s="2">
        <f ca="1">IFERROR(__xludf.DUMMYFUNCTION("""COMPUTED_VALUE"""),22900)</f>
        <v>22900</v>
      </c>
      <c r="L669" s="2" t="str">
        <f ca="1">IFERROR(__xludf.DUMMYFUNCTION("""COMPUTED_VALUE"""),"ae9d3290")</f>
        <v>ae9d3290</v>
      </c>
      <c r="M669" s="2" t="str">
        <f ca="1">IFERROR(__xludf.DUMMYFUNCTION("""COMPUTED_VALUE"""),"Claro de Filtro")</f>
        <v>Claro de Filtro</v>
      </c>
      <c r="N669" s="2"/>
      <c r="O669" s="2" t="str">
        <f ca="1">IFERROR(__xludf.DUMMYFUNCTION("""COMPUTED_VALUE"""),"Descubada")</f>
        <v>Descubada</v>
      </c>
      <c r="P669" s="2"/>
      <c r="Q669" s="2" t="b">
        <f ca="1">IFERROR(__xludf.DUMMYFUNCTION("""COMPUTED_VALUE"""),FALSE)</f>
        <v>0</v>
      </c>
      <c r="R669" s="2" t="str">
        <f ca="1">IFERROR(__xludf.DUMMYFUNCTION("""COMPUTED_VALUE"""),"1er Trasiego")</f>
        <v>1er Trasiego</v>
      </c>
      <c r="S669" s="2"/>
      <c r="T669" s="2"/>
      <c r="U669" s="2"/>
    </row>
    <row r="670" spans="1:21" x14ac:dyDescent="0.25">
      <c r="A670" s="2" t="str">
        <f ca="1">IFERROR(__xludf.DUMMYFUNCTION("""COMPUTED_VALUE"""),"ab1fa72d")</f>
        <v>ab1fa72d</v>
      </c>
      <c r="B670" s="5">
        <f ca="1">IFERROR(__xludf.DUMMYFUNCTION("""COMPUTED_VALUE"""),45792.6788425925)</f>
        <v>45792.678842592497</v>
      </c>
      <c r="C670" s="2" t="str">
        <f ca="1">IFERROR(__xludf.DUMMYFUNCTION("""COMPUTED_VALUE"""),"61f14f41")</f>
        <v>61f14f41</v>
      </c>
      <c r="D670" s="2">
        <f ca="1">IFERROR(__xludf.DUMMYFUNCTION("""COMPUTED_VALUE"""),12)</f>
        <v>12</v>
      </c>
      <c r="E670" s="2" t="str">
        <f ca="1">IFERROR(__xludf.DUMMYFUNCTION("""COMPUTED_VALUE"""),"Claro de Filtro")</f>
        <v>Claro de Filtro</v>
      </c>
      <c r="F670" s="2">
        <f ca="1">IFERROR(__xludf.DUMMYFUNCTION("""COMPUTED_VALUE"""),100)</f>
        <v>100</v>
      </c>
      <c r="G670" s="2">
        <f ca="1">IFERROR(__xludf.DUMMYFUNCTION("""COMPUTED_VALUE"""),51)</f>
        <v>51</v>
      </c>
      <c r="H670" s="2"/>
      <c r="I670" s="2"/>
      <c r="J670" s="2">
        <f ca="1">IFERROR(__xludf.DUMMYFUNCTION("""COMPUTED_VALUE"""),0)</f>
        <v>0</v>
      </c>
      <c r="K670" s="2">
        <f ca="1">IFERROR(__xludf.DUMMYFUNCTION("""COMPUTED_VALUE"""),1600)</f>
        <v>1600</v>
      </c>
      <c r="L670" s="2" t="str">
        <f ca="1">IFERROR(__xludf.DUMMYFUNCTION("""COMPUTED_VALUE"""),"94fbbcb1")</f>
        <v>94fbbcb1</v>
      </c>
      <c r="M670" s="2" t="str">
        <f ca="1">IFERROR(__xludf.DUMMYFUNCTION("""COMPUTED_VALUE"""),"Claro de Filtro")</f>
        <v>Claro de Filtro</v>
      </c>
      <c r="N670" s="2"/>
      <c r="O670" s="2" t="str">
        <f ca="1">IFERROR(__xludf.DUMMYFUNCTION("""COMPUTED_VALUE"""),"Descubada")</f>
        <v>Descubada</v>
      </c>
      <c r="P670" s="2"/>
      <c r="Q670" s="2" t="b">
        <f ca="1">IFERROR(__xludf.DUMMYFUNCTION("""COMPUTED_VALUE"""),FALSE)</f>
        <v>0</v>
      </c>
      <c r="R670" s="2" t="str">
        <f ca="1">IFERROR(__xludf.DUMMYFUNCTION("""COMPUTED_VALUE"""),"1er Trasiego")</f>
        <v>1er Trasiego</v>
      </c>
      <c r="S670" s="2"/>
      <c r="T670" s="2"/>
      <c r="U670" s="2"/>
    </row>
    <row r="671" spans="1:21" x14ac:dyDescent="0.25">
      <c r="A671" s="2" t="str">
        <f ca="1">IFERROR(__xludf.DUMMYFUNCTION("""COMPUTED_VALUE"""),"3079c823")</f>
        <v>3079c823</v>
      </c>
      <c r="B671" s="5">
        <f ca="1">IFERROR(__xludf.DUMMYFUNCTION("""COMPUTED_VALUE"""),45793.4997337963)</f>
        <v>45793.4997337963</v>
      </c>
      <c r="C671" s="2" t="str">
        <f ca="1">IFERROR(__xludf.DUMMYFUNCTION("""COMPUTED_VALUE"""),"a6d28e88")</f>
        <v>a6d28e88</v>
      </c>
      <c r="D671" s="2">
        <f ca="1">IFERROR(__xludf.DUMMYFUNCTION("""COMPUTED_VALUE"""),25)</f>
        <v>25</v>
      </c>
      <c r="E671" s="2" t="str">
        <f ca="1">IFERROR(__xludf.DUMMYFUNCTION("""COMPUTED_VALUE"""),"Syrah")</f>
        <v>Syrah</v>
      </c>
      <c r="F671" s="2">
        <f ca="1">IFERROR(__xludf.DUMMYFUNCTION("""COMPUTED_VALUE"""),77100)</f>
        <v>77100</v>
      </c>
      <c r="G671" s="2">
        <f ca="1">IFERROR(__xludf.DUMMYFUNCTION("""COMPUTED_VALUE"""),95)</f>
        <v>95</v>
      </c>
      <c r="H671" s="2"/>
      <c r="I671" s="2"/>
      <c r="J671" s="2">
        <f ca="1">IFERROR(__xludf.DUMMYFUNCTION("""COMPUTED_VALUE"""),0)</f>
        <v>0</v>
      </c>
      <c r="K671" s="2">
        <f ca="1">IFERROR(__xludf.DUMMYFUNCTION("""COMPUTED_VALUE"""),77100)</f>
        <v>77100</v>
      </c>
      <c r="L671" s="2" t="str">
        <f ca="1">IFERROR(__xludf.DUMMYFUNCTION("""COMPUTED_VALUE"""),"263cc8c0")</f>
        <v>263cc8c0</v>
      </c>
      <c r="M671" s="2" t="str">
        <f ca="1">IFERROR(__xludf.DUMMYFUNCTION("""COMPUTED_VALUE"""),"Syrah")</f>
        <v>Syrah</v>
      </c>
      <c r="N671" s="2"/>
      <c r="O671" s="2" t="str">
        <f ca="1">IFERROR(__xludf.DUMMYFUNCTION("""COMPUTED_VALUE"""),"1er Trasiego")</f>
        <v>1er Trasiego</v>
      </c>
      <c r="P671" s="2"/>
      <c r="Q671" s="2" t="b">
        <f ca="1">IFERROR(__xludf.DUMMYFUNCTION("""COMPUTED_VALUE"""),FALSE)</f>
        <v>0</v>
      </c>
      <c r="R671" s="2" t="str">
        <f ca="1">IFERROR(__xludf.DUMMYFUNCTION("""COMPUTED_VALUE"""),"2do Trasiego")</f>
        <v>2do Trasiego</v>
      </c>
      <c r="S671" s="2"/>
      <c r="T671" s="2"/>
      <c r="U671" s="2"/>
    </row>
    <row r="672" spans="1:21" x14ac:dyDescent="0.25">
      <c r="A672" s="2" t="str">
        <f ca="1">IFERROR(__xludf.DUMMYFUNCTION("""COMPUTED_VALUE"""),"8e08c3c7")</f>
        <v>8e08c3c7</v>
      </c>
      <c r="B672" s="5">
        <f ca="1">IFERROR(__xludf.DUMMYFUNCTION("""COMPUTED_VALUE"""),45793.5003009259)</f>
        <v>45793.500300925902</v>
      </c>
      <c r="C672" s="2" t="str">
        <f ca="1">IFERROR(__xludf.DUMMYFUNCTION("""COMPUTED_VALUE"""),"a6d28e88")</f>
        <v>a6d28e88</v>
      </c>
      <c r="D672" s="2">
        <f ca="1">IFERROR(__xludf.DUMMYFUNCTION("""COMPUTED_VALUE"""),25)</f>
        <v>25</v>
      </c>
      <c r="E672" s="2" t="str">
        <f ca="1">IFERROR(__xludf.DUMMYFUNCTION("""COMPUTED_VALUE"""),"Syrah")</f>
        <v>Syrah</v>
      </c>
      <c r="F672" s="2">
        <f ca="1">IFERROR(__xludf.DUMMYFUNCTION("""COMPUTED_VALUE"""),85600)</f>
        <v>85600</v>
      </c>
      <c r="G672" s="2">
        <f ca="1">IFERROR(__xludf.DUMMYFUNCTION("""COMPUTED_VALUE"""),96)</f>
        <v>96</v>
      </c>
      <c r="H672" s="2"/>
      <c r="I672" s="2"/>
      <c r="J672" s="2">
        <f ca="1">IFERROR(__xludf.DUMMYFUNCTION("""COMPUTED_VALUE"""),0)</f>
        <v>0</v>
      </c>
      <c r="K672" s="2">
        <f ca="1">IFERROR(__xludf.DUMMYFUNCTION("""COMPUTED_VALUE"""),85600)</f>
        <v>85600</v>
      </c>
      <c r="L672" s="2" t="str">
        <f ca="1">IFERROR(__xludf.DUMMYFUNCTION("""COMPUTED_VALUE"""),"4b0ee075")</f>
        <v>4b0ee075</v>
      </c>
      <c r="M672" s="2" t="str">
        <f ca="1">IFERROR(__xludf.DUMMYFUNCTION("""COMPUTED_VALUE"""),"Syrah")</f>
        <v>Syrah</v>
      </c>
      <c r="N672" s="2"/>
      <c r="O672" s="2" t="str">
        <f ca="1">IFERROR(__xludf.DUMMYFUNCTION("""COMPUTED_VALUE"""),"1er Trasiego")</f>
        <v>1er Trasiego</v>
      </c>
      <c r="P672" s="2"/>
      <c r="Q672" s="2" t="b">
        <f ca="1">IFERROR(__xludf.DUMMYFUNCTION("""COMPUTED_VALUE"""),FALSE)</f>
        <v>0</v>
      </c>
      <c r="R672" s="2" t="str">
        <f ca="1">IFERROR(__xludf.DUMMYFUNCTION("""COMPUTED_VALUE"""),"2do Trasiego")</f>
        <v>2do Trasiego</v>
      </c>
      <c r="S672" s="2"/>
      <c r="T672" s="2"/>
      <c r="U672" s="2"/>
    </row>
    <row r="673" spans="1:21" x14ac:dyDescent="0.25">
      <c r="A673" s="2" t="str">
        <f ca="1">IFERROR(__xludf.DUMMYFUNCTION("""COMPUTED_VALUE"""),"fd6dc5aa")</f>
        <v>fd6dc5aa</v>
      </c>
      <c r="B673" s="5">
        <f ca="1">IFERROR(__xludf.DUMMYFUNCTION("""COMPUTED_VALUE"""),45793.500787037)</f>
        <v>45793.500787037003</v>
      </c>
      <c r="C673" s="2" t="str">
        <f ca="1">IFERROR(__xludf.DUMMYFUNCTION("""COMPUTED_VALUE"""),"a6d28e88")</f>
        <v>a6d28e88</v>
      </c>
      <c r="D673" s="2">
        <f ca="1">IFERROR(__xludf.DUMMYFUNCTION("""COMPUTED_VALUE"""),25)</f>
        <v>25</v>
      </c>
      <c r="E673" s="2" t="str">
        <f ca="1">IFERROR(__xludf.DUMMYFUNCTION("""COMPUTED_VALUE"""),"Syrah")</f>
        <v>Syrah</v>
      </c>
      <c r="F673" s="2">
        <f ca="1">IFERROR(__xludf.DUMMYFUNCTION("""COMPUTED_VALUE"""),30000)</f>
        <v>30000</v>
      </c>
      <c r="G673" s="2">
        <f ca="1">IFERROR(__xludf.DUMMYFUNCTION("""COMPUTED_VALUE"""),45)</f>
        <v>45</v>
      </c>
      <c r="H673" s="2"/>
      <c r="I673" s="2"/>
      <c r="J673" s="2">
        <f ca="1">IFERROR(__xludf.DUMMYFUNCTION("""COMPUTED_VALUE"""),0)</f>
        <v>0</v>
      </c>
      <c r="K673" s="2">
        <f ca="1">IFERROR(__xludf.DUMMYFUNCTION("""COMPUTED_VALUE"""),30000)</f>
        <v>30000</v>
      </c>
      <c r="L673" s="2" t="str">
        <f ca="1">IFERROR(__xludf.DUMMYFUNCTION("""COMPUTED_VALUE"""),"e44a0e79")</f>
        <v>e44a0e79</v>
      </c>
      <c r="M673" s="2" t="str">
        <f ca="1">IFERROR(__xludf.DUMMYFUNCTION("""COMPUTED_VALUE"""),"Syrah")</f>
        <v>Syrah</v>
      </c>
      <c r="N673" s="2"/>
      <c r="O673" s="2" t="str">
        <f ca="1">IFERROR(__xludf.DUMMYFUNCTION("""COMPUTED_VALUE"""),"1er Trasiego")</f>
        <v>1er Trasiego</v>
      </c>
      <c r="P673" s="2"/>
      <c r="Q673" s="2" t="b">
        <f ca="1">IFERROR(__xludf.DUMMYFUNCTION("""COMPUTED_VALUE"""),FALSE)</f>
        <v>0</v>
      </c>
      <c r="R673" s="2" t="str">
        <f ca="1">IFERROR(__xludf.DUMMYFUNCTION("""COMPUTED_VALUE"""),"2do Trasiego")</f>
        <v>2do Trasiego</v>
      </c>
      <c r="S673" s="2"/>
      <c r="T673" s="2"/>
      <c r="U673" s="2"/>
    </row>
    <row r="674" spans="1:21" x14ac:dyDescent="0.25">
      <c r="A674" s="2" t="str">
        <f ca="1">IFERROR(__xludf.DUMMYFUNCTION("""COMPUTED_VALUE"""),"c83bd854")</f>
        <v>c83bd854</v>
      </c>
      <c r="B674" s="5">
        <f ca="1">IFERROR(__xludf.DUMMYFUNCTION("""COMPUTED_VALUE"""),45793.5013078703)</f>
        <v>45793.501307870298</v>
      </c>
      <c r="C674" s="2" t="str">
        <f ca="1">IFERROR(__xludf.DUMMYFUNCTION("""COMPUTED_VALUE"""),"a6d28e88")</f>
        <v>a6d28e88</v>
      </c>
      <c r="D674" s="2">
        <f ca="1">IFERROR(__xludf.DUMMYFUNCTION("""COMPUTED_VALUE"""),25)</f>
        <v>25</v>
      </c>
      <c r="E674" s="2" t="str">
        <f ca="1">IFERROR(__xludf.DUMMYFUNCTION("""COMPUTED_VALUE"""),"Syrah")</f>
        <v>Syrah</v>
      </c>
      <c r="F674" s="2">
        <f ca="1">IFERROR(__xludf.DUMMYFUNCTION("""COMPUTED_VALUE"""),1600)</f>
        <v>1600</v>
      </c>
      <c r="G674" s="2">
        <f ca="1">IFERROR(__xludf.DUMMYFUNCTION("""COMPUTED_VALUE"""),68)</f>
        <v>68</v>
      </c>
      <c r="H674" s="2"/>
      <c r="I674" s="2"/>
      <c r="J674" s="2">
        <f ca="1">IFERROR(__xludf.DUMMYFUNCTION("""COMPUTED_VALUE"""),0)</f>
        <v>0</v>
      </c>
      <c r="K674" s="2">
        <f ca="1">IFERROR(__xludf.DUMMYFUNCTION("""COMPUTED_VALUE"""),1600)</f>
        <v>1600</v>
      </c>
      <c r="L674" s="2" t="str">
        <f ca="1">IFERROR(__xludf.DUMMYFUNCTION("""COMPUTED_VALUE"""),"e869add7")</f>
        <v>e869add7</v>
      </c>
      <c r="M674" s="2" t="str">
        <f ca="1">IFERROR(__xludf.DUMMYFUNCTION("""COMPUTED_VALUE"""),"Syrah")</f>
        <v>Syrah</v>
      </c>
      <c r="N674" s="2" t="str">
        <f ca="1">IFERROR(__xludf.DUMMYFUNCTION("""COMPUTED_VALUE"""),"Medir cuanto quedo en pileta.  SEgun sergi son 6000 lts")</f>
        <v>Medir cuanto quedo en pileta.  SEgun sergi son 6000 lts</v>
      </c>
      <c r="O674" s="2" t="str">
        <f ca="1">IFERROR(__xludf.DUMMYFUNCTION("""COMPUTED_VALUE"""),"1er Trasiego")</f>
        <v>1er Trasiego</v>
      </c>
      <c r="P674" s="2"/>
      <c r="Q674" s="2" t="b">
        <f ca="1">IFERROR(__xludf.DUMMYFUNCTION("""COMPUTED_VALUE"""),FALSE)</f>
        <v>0</v>
      </c>
      <c r="R674" s="2" t="str">
        <f ca="1">IFERROR(__xludf.DUMMYFUNCTION("""COMPUTED_VALUE"""),"2do Trasiego")</f>
        <v>2do Trasiego</v>
      </c>
      <c r="S674" s="2"/>
      <c r="T674" s="2"/>
      <c r="U674" s="2"/>
    </row>
    <row r="675" spans="1:21" x14ac:dyDescent="0.25">
      <c r="A675" s="2" t="str">
        <f ca="1">IFERROR(__xludf.DUMMYFUNCTION("""COMPUTED_VALUE"""),"cbf0f423")</f>
        <v>cbf0f423</v>
      </c>
      <c r="B675" s="5">
        <f ca="1">IFERROR(__xludf.DUMMYFUNCTION("""COMPUTED_VALUE"""),45793.5043287037)</f>
        <v>45793.504328703697</v>
      </c>
      <c r="C675" s="2" t="str">
        <f ca="1">IFERROR(__xludf.DUMMYFUNCTION("""COMPUTED_VALUE"""),"e954d719")</f>
        <v>e954d719</v>
      </c>
      <c r="D675" s="2">
        <f ca="1">IFERROR(__xludf.DUMMYFUNCTION("""COMPUTED_VALUE"""),35)</f>
        <v>35</v>
      </c>
      <c r="E675" s="2" t="str">
        <f ca="1">IFERROR(__xludf.DUMMYFUNCTION("""COMPUTED_VALUE"""),"Aspirant")</f>
        <v>Aspirant</v>
      </c>
      <c r="F675" s="2">
        <f ca="1">IFERROR(__xludf.DUMMYFUNCTION("""COMPUTED_VALUE"""),37000)</f>
        <v>37000</v>
      </c>
      <c r="G675" s="2">
        <f ca="1">IFERROR(__xludf.DUMMYFUNCTION("""COMPUTED_VALUE"""),14)</f>
        <v>14</v>
      </c>
      <c r="H675" s="2"/>
      <c r="I675" s="2"/>
      <c r="J675" s="2">
        <f ca="1">IFERROR(__xludf.DUMMYFUNCTION("""COMPUTED_VALUE"""),0)</f>
        <v>0</v>
      </c>
      <c r="K675" s="2">
        <f ca="1">IFERROR(__xludf.DUMMYFUNCTION("""COMPUTED_VALUE"""),37000)</f>
        <v>37000</v>
      </c>
      <c r="L675" s="2" t="str">
        <f ca="1">IFERROR(__xludf.DUMMYFUNCTION("""COMPUTED_VALUE"""),"10b87434")</f>
        <v>10b87434</v>
      </c>
      <c r="M675" s="2" t="str">
        <f ca="1">IFERROR(__xludf.DUMMYFUNCTION("""COMPUTED_VALUE"""),"Aspirant")</f>
        <v>Aspirant</v>
      </c>
      <c r="N675" s="2"/>
      <c r="O675" s="2" t="str">
        <f ca="1">IFERROR(__xludf.DUMMYFUNCTION("""COMPUTED_VALUE"""),"1er Trasiego")</f>
        <v>1er Trasiego</v>
      </c>
      <c r="P675" s="2"/>
      <c r="Q675" s="2" t="b">
        <f ca="1">IFERROR(__xludf.DUMMYFUNCTION("""COMPUTED_VALUE"""),FALSE)</f>
        <v>0</v>
      </c>
      <c r="R675" s="2" t="str">
        <f ca="1">IFERROR(__xludf.DUMMYFUNCTION("""COMPUTED_VALUE"""),"2do Trasiego")</f>
        <v>2do Trasiego</v>
      </c>
      <c r="S675" s="2"/>
      <c r="T675" s="2"/>
      <c r="U675" s="2"/>
    </row>
    <row r="676" spans="1:21" x14ac:dyDescent="0.25">
      <c r="A676" s="2" t="str">
        <f ca="1">IFERROR(__xludf.DUMMYFUNCTION("""COMPUTED_VALUE"""),"ceb14e75")</f>
        <v>ceb14e75</v>
      </c>
      <c r="B676" s="5">
        <f ca="1">IFERROR(__xludf.DUMMYFUNCTION("""COMPUTED_VALUE"""),45793.5047569444)</f>
        <v>45793.5047569444</v>
      </c>
      <c r="C676" s="2" t="str">
        <f ca="1">IFERROR(__xludf.DUMMYFUNCTION("""COMPUTED_VALUE"""),"e954d719")</f>
        <v>e954d719</v>
      </c>
      <c r="D676" s="2">
        <f ca="1">IFERROR(__xludf.DUMMYFUNCTION("""COMPUTED_VALUE"""),35)</f>
        <v>35</v>
      </c>
      <c r="E676" s="2" t="str">
        <f ca="1">IFERROR(__xludf.DUMMYFUNCTION("""COMPUTED_VALUE"""),"Aspirant")</f>
        <v>Aspirant</v>
      </c>
      <c r="F676" s="2">
        <f ca="1">IFERROR(__xludf.DUMMYFUNCTION("""COMPUTED_VALUE"""),2300)</f>
        <v>2300</v>
      </c>
      <c r="G676" s="2">
        <f ca="1">IFERROR(__xludf.DUMMYFUNCTION("""COMPUTED_VALUE"""),50)</f>
        <v>50</v>
      </c>
      <c r="H676" s="2"/>
      <c r="I676" s="2"/>
      <c r="J676" s="2">
        <f ca="1">IFERROR(__xludf.DUMMYFUNCTION("""COMPUTED_VALUE"""),0)</f>
        <v>0</v>
      </c>
      <c r="K676" s="2">
        <f ca="1">IFERROR(__xludf.DUMMYFUNCTION("""COMPUTED_VALUE"""),2300)</f>
        <v>2300</v>
      </c>
      <c r="L676" s="2" t="str">
        <f ca="1">IFERROR(__xludf.DUMMYFUNCTION("""COMPUTED_VALUE"""),"bb793e4b")</f>
        <v>bb793e4b</v>
      </c>
      <c r="M676" s="2" t="str">
        <f ca="1">IFERROR(__xludf.DUMMYFUNCTION("""COMPUTED_VALUE"""),"Aspirant")</f>
        <v>Aspirant</v>
      </c>
      <c r="N676" s="2"/>
      <c r="O676" s="2" t="str">
        <f ca="1">IFERROR(__xludf.DUMMYFUNCTION("""COMPUTED_VALUE"""),"1er Trasiego")</f>
        <v>1er Trasiego</v>
      </c>
      <c r="P676" s="2"/>
      <c r="Q676" s="2" t="b">
        <f ca="1">IFERROR(__xludf.DUMMYFUNCTION("""COMPUTED_VALUE"""),FALSE)</f>
        <v>0</v>
      </c>
      <c r="R676" s="2" t="str">
        <f ca="1">IFERROR(__xludf.DUMMYFUNCTION("""COMPUTED_VALUE"""),"2do Trasiego")</f>
        <v>2do Trasiego</v>
      </c>
      <c r="S676" s="2"/>
      <c r="T676" s="2"/>
      <c r="U676" s="2"/>
    </row>
    <row r="677" spans="1:21" x14ac:dyDescent="0.25">
      <c r="A677" s="2" t="str">
        <f ca="1">IFERROR(__xludf.DUMMYFUNCTION("""COMPUTED_VALUE"""),"c89914eb")</f>
        <v>c89914eb</v>
      </c>
      <c r="B677" s="5">
        <f ca="1">IFERROR(__xludf.DUMMYFUNCTION("""COMPUTED_VALUE"""),45793.5051157406)</f>
        <v>45793.5051157407</v>
      </c>
      <c r="C677" s="2" t="str">
        <f ca="1">IFERROR(__xludf.DUMMYFUNCTION("""COMPUTED_VALUE"""),"0d46ca84")</f>
        <v>0d46ca84</v>
      </c>
      <c r="D677" s="2">
        <f ca="1">IFERROR(__xludf.DUMMYFUNCTION("""COMPUTED_VALUE"""),42)</f>
        <v>42</v>
      </c>
      <c r="E677" s="2" t="str">
        <f ca="1">IFERROR(__xludf.DUMMYFUNCTION("""COMPUTED_VALUE"""),"Aspirant Anccelota Gota")</f>
        <v>Aspirant Anccelota Gota</v>
      </c>
      <c r="F677" s="2">
        <f ca="1">IFERROR(__xludf.DUMMYFUNCTION("""COMPUTED_VALUE"""),35100)</f>
        <v>35100</v>
      </c>
      <c r="G677" s="2">
        <f ca="1">IFERROR(__xludf.DUMMYFUNCTION("""COMPUTED_VALUE"""),41)</f>
        <v>41</v>
      </c>
      <c r="H677" s="2"/>
      <c r="I677" s="2"/>
      <c r="J677" s="2">
        <f ca="1">IFERROR(__xludf.DUMMYFUNCTION("""COMPUTED_VALUE"""),0)</f>
        <v>0</v>
      </c>
      <c r="K677" s="2">
        <f ca="1">IFERROR(__xludf.DUMMYFUNCTION("""COMPUTED_VALUE"""),35100)</f>
        <v>35100</v>
      </c>
      <c r="L677" s="2" t="str">
        <f ca="1">IFERROR(__xludf.DUMMYFUNCTION("""COMPUTED_VALUE"""),"02391dea")</f>
        <v>02391dea</v>
      </c>
      <c r="M677" s="2" t="str">
        <f ca="1">IFERROR(__xludf.DUMMYFUNCTION("""COMPUTED_VALUE"""),"Aspirant Anccelota Gota")</f>
        <v>Aspirant Anccelota Gota</v>
      </c>
      <c r="N677" s="2"/>
      <c r="O677" s="2" t="str">
        <f ca="1">IFERROR(__xludf.DUMMYFUNCTION("""COMPUTED_VALUE"""),"1er Trasiego")</f>
        <v>1er Trasiego</v>
      </c>
      <c r="P677" s="2"/>
      <c r="Q677" s="2" t="b">
        <f ca="1">IFERROR(__xludf.DUMMYFUNCTION("""COMPUTED_VALUE"""),FALSE)</f>
        <v>0</v>
      </c>
      <c r="R677" s="2" t="str">
        <f ca="1">IFERROR(__xludf.DUMMYFUNCTION("""COMPUTED_VALUE"""),"2do Trasiego")</f>
        <v>2do Trasiego</v>
      </c>
      <c r="S677" s="2"/>
      <c r="T677" s="2"/>
      <c r="U677" s="2"/>
    </row>
    <row r="678" spans="1:21" x14ac:dyDescent="0.25">
      <c r="A678" s="2" t="str">
        <f ca="1">IFERROR(__xludf.DUMMYFUNCTION("""COMPUTED_VALUE"""),"a71d9f61")</f>
        <v>a71d9f61</v>
      </c>
      <c r="B678" s="5">
        <f ca="1">IFERROR(__xludf.DUMMYFUNCTION("""COMPUTED_VALUE"""),45793.5052893518)</f>
        <v>45793.5052893518</v>
      </c>
      <c r="C678" s="2" t="str">
        <f ca="1">IFERROR(__xludf.DUMMYFUNCTION("""COMPUTED_VALUE"""),"0d46ca84")</f>
        <v>0d46ca84</v>
      </c>
      <c r="D678" s="2">
        <f ca="1">IFERROR(__xludf.DUMMYFUNCTION("""COMPUTED_VALUE"""),42)</f>
        <v>42</v>
      </c>
      <c r="E678" s="2" t="str">
        <f ca="1">IFERROR(__xludf.DUMMYFUNCTION("""COMPUTED_VALUE"""),"Aspirant Anccelota Gota")</f>
        <v>Aspirant Anccelota Gota</v>
      </c>
      <c r="F678" s="2">
        <f ca="1">IFERROR(__xludf.DUMMYFUNCTION("""COMPUTED_VALUE"""),800)</f>
        <v>800</v>
      </c>
      <c r="G678" s="2">
        <f ca="1">IFERROR(__xludf.DUMMYFUNCTION("""COMPUTED_VALUE"""),50)</f>
        <v>50</v>
      </c>
      <c r="H678" s="2" t="str">
        <f ca="1">IFERROR(__xludf.DUMMYFUNCTION("""COMPUTED_VALUE"""),"bb793e4b")</f>
        <v>bb793e4b</v>
      </c>
      <c r="I678" s="2" t="str">
        <f ca="1">IFERROR(__xludf.DUMMYFUNCTION("""COMPUTED_VALUE"""),"Aspirant")</f>
        <v>Aspirant</v>
      </c>
      <c r="J678" s="2">
        <f ca="1">IFERROR(__xludf.DUMMYFUNCTION("""COMPUTED_VALUE"""),2300)</f>
        <v>2300</v>
      </c>
      <c r="K678" s="2">
        <f ca="1">IFERROR(__xludf.DUMMYFUNCTION("""COMPUTED_VALUE"""),3100)</f>
        <v>3100</v>
      </c>
      <c r="L678" s="2" t="str">
        <f ca="1">IFERROR(__xludf.DUMMYFUNCTION("""COMPUTED_VALUE"""),"0973d1bc")</f>
        <v>0973d1bc</v>
      </c>
      <c r="M678" s="2" t="str">
        <f ca="1">IFERROR(__xludf.DUMMYFUNCTION("""COMPUTED_VALUE"""),"Aspirant Anccelota Gota")</f>
        <v>Aspirant Anccelota Gota</v>
      </c>
      <c r="N678" s="2"/>
      <c r="O678" s="2" t="str">
        <f ca="1">IFERROR(__xludf.DUMMYFUNCTION("""COMPUTED_VALUE"""),"1er Trasiego")</f>
        <v>1er Trasiego</v>
      </c>
      <c r="P678" s="2" t="str">
        <f ca="1">IFERROR(__xludf.DUMMYFUNCTION("""COMPUTED_VALUE"""),"2do Trasiego")</f>
        <v>2do Trasiego</v>
      </c>
      <c r="Q678" s="2" t="b">
        <f ca="1">IFERROR(__xludf.DUMMYFUNCTION("""COMPUTED_VALUE"""),FALSE)</f>
        <v>0</v>
      </c>
      <c r="R678" s="2" t="str">
        <f ca="1">IFERROR(__xludf.DUMMYFUNCTION("""COMPUTED_VALUE"""),"1er Trasiego")</f>
        <v>1er Trasiego</v>
      </c>
      <c r="S678" s="2"/>
      <c r="T678" s="2"/>
      <c r="U678" s="2"/>
    </row>
    <row r="679" spans="1:21" x14ac:dyDescent="0.25">
      <c r="A679" s="2" t="str">
        <f ca="1">IFERROR(__xludf.DUMMYFUNCTION("""COMPUTED_VALUE"""),"af4a7a93")</f>
        <v>af4a7a93</v>
      </c>
      <c r="B679" s="5">
        <f ca="1">IFERROR(__xludf.DUMMYFUNCTION("""COMPUTED_VALUE"""),45793.5066203703)</f>
        <v>45793.506620370303</v>
      </c>
      <c r="C679" s="2" t="str">
        <f ca="1">IFERROR(__xludf.DUMMYFUNCTION("""COMPUTED_VALUE"""),"97f43e08")</f>
        <v>97f43e08</v>
      </c>
      <c r="D679" s="2">
        <f ca="1">IFERROR(__xludf.DUMMYFUNCTION("""COMPUTED_VALUE"""),70)</f>
        <v>70</v>
      </c>
      <c r="E679" s="2" t="str">
        <f ca="1">IFERROR(__xludf.DUMMYFUNCTION("""COMPUTED_VALUE"""),"Cabernet Sauv Millan 233")</f>
        <v>Cabernet Sauv Millan 233</v>
      </c>
      <c r="F679" s="2">
        <f ca="1">IFERROR(__xludf.DUMMYFUNCTION("""COMPUTED_VALUE"""),13000)</f>
        <v>13000</v>
      </c>
      <c r="G679" s="2">
        <f ca="1">IFERROR(__xludf.DUMMYFUNCTION("""COMPUTED_VALUE"""),500)</f>
        <v>500</v>
      </c>
      <c r="H679" s="2"/>
      <c r="I679" s="2"/>
      <c r="J679" s="2">
        <f ca="1">IFERROR(__xludf.DUMMYFUNCTION("""COMPUTED_VALUE"""),0)</f>
        <v>0</v>
      </c>
      <c r="K679" s="2">
        <f ca="1">IFERROR(__xludf.DUMMYFUNCTION("""COMPUTED_VALUE"""),13000)</f>
        <v>13000</v>
      </c>
      <c r="L679" s="2" t="str">
        <f ca="1">IFERROR(__xludf.DUMMYFUNCTION("""COMPUTED_VALUE"""),"2931c38f")</f>
        <v>2931c38f</v>
      </c>
      <c r="M679" s="2" t="str">
        <f ca="1">IFERROR(__xludf.DUMMYFUNCTION("""COMPUTED_VALUE"""),"Cabernet Sauv Millan 233")</f>
        <v>Cabernet Sauv Millan 233</v>
      </c>
      <c r="N679" s="2" t="str">
        <f ca="1">IFERROR(__xludf.DUMMYFUNCTION("""COMPUTED_VALUE"""),"Despacho traslado")</f>
        <v>Despacho traslado</v>
      </c>
      <c r="O679" s="2" t="str">
        <f ca="1">IFERROR(__xludf.DUMMYFUNCTION("""COMPUTED_VALUE"""),"Traslado Venta")</f>
        <v>Traslado Venta</v>
      </c>
      <c r="P679" s="2"/>
      <c r="Q679" s="2" t="b">
        <f ca="1">IFERROR(__xludf.DUMMYFUNCTION("""COMPUTED_VALUE"""),FALSE)</f>
        <v>0</v>
      </c>
      <c r="R679" s="2" t="str">
        <f ca="1">IFERROR(__xludf.DUMMYFUNCTION("""COMPUTED_VALUE"""),"Traslado Venta")</f>
        <v>Traslado Venta</v>
      </c>
      <c r="S679" s="2"/>
      <c r="T679" s="2"/>
      <c r="U679" s="2"/>
    </row>
    <row r="680" spans="1:21" x14ac:dyDescent="0.25">
      <c r="A680" s="2" t="str">
        <f ca="1">IFERROR(__xludf.DUMMYFUNCTION("""COMPUTED_VALUE"""),"e58b43aa")</f>
        <v>e58b43aa</v>
      </c>
      <c r="B680" s="5">
        <f ca="1">IFERROR(__xludf.DUMMYFUNCTION("""COMPUTED_VALUE"""),45793.5071527777)</f>
        <v>45793.507152777704</v>
      </c>
      <c r="C680" s="2" t="str">
        <f ca="1">IFERROR(__xludf.DUMMYFUNCTION("""COMPUTED_VALUE"""),"098ad529")</f>
        <v>098ad529</v>
      </c>
      <c r="D680" s="2">
        <f ca="1">IFERROR(__xludf.DUMMYFUNCTION("""COMPUTED_VALUE"""),86)</f>
        <v>86</v>
      </c>
      <c r="E680" s="2" t="str">
        <f ca="1">IFERROR(__xludf.DUMMYFUNCTION("""COMPUTED_VALUE"""),"Cabernet Sauv Millan 233")</f>
        <v>Cabernet Sauv Millan 233</v>
      </c>
      <c r="F680" s="2">
        <f ca="1">IFERROR(__xludf.DUMMYFUNCTION("""COMPUTED_VALUE"""),88000)</f>
        <v>88000</v>
      </c>
      <c r="G680" s="2">
        <f ca="1">IFERROR(__xludf.DUMMYFUNCTION("""COMPUTED_VALUE"""),500)</f>
        <v>500</v>
      </c>
      <c r="H680" s="2" t="str">
        <f ca="1">IFERROR(__xludf.DUMMYFUNCTION("""COMPUTED_VALUE"""),"2931c38f")</f>
        <v>2931c38f</v>
      </c>
      <c r="I680" s="2" t="str">
        <f ca="1">IFERROR(__xludf.DUMMYFUNCTION("""COMPUTED_VALUE"""),"Cabernet Sauv Millan 233")</f>
        <v>Cabernet Sauv Millan 233</v>
      </c>
      <c r="J680" s="2">
        <f ca="1">IFERROR(__xludf.DUMMYFUNCTION("""COMPUTED_VALUE"""),13000)</f>
        <v>13000</v>
      </c>
      <c r="K680" s="2">
        <f ca="1">IFERROR(__xludf.DUMMYFUNCTION("""COMPUTED_VALUE"""),101000)</f>
        <v>101000</v>
      </c>
      <c r="L680" s="2" t="str">
        <f ca="1">IFERROR(__xludf.DUMMYFUNCTION("""COMPUTED_VALUE"""),"6d157016")</f>
        <v>6d157016</v>
      </c>
      <c r="M680" s="2" t="str">
        <f ca="1">IFERROR(__xludf.DUMMYFUNCTION("""COMPUTED_VALUE"""),"Cabernet Sauv Millan 233")</f>
        <v>Cabernet Sauv Millan 233</v>
      </c>
      <c r="N680" s="2" t="str">
        <f ca="1">IFERROR(__xludf.DUMMYFUNCTION("""COMPUTED_VALUE"""),"Traslado a Millan")</f>
        <v>Traslado a Millan</v>
      </c>
      <c r="O680" s="2" t="str">
        <f ca="1">IFERROR(__xludf.DUMMYFUNCTION("""COMPUTED_VALUE"""),"Traslado Venta")</f>
        <v>Traslado Venta</v>
      </c>
      <c r="P680" s="2" t="str">
        <f ca="1">IFERROR(__xludf.DUMMYFUNCTION("""COMPUTED_VALUE"""),"Traslado Venta")</f>
        <v>Traslado Venta</v>
      </c>
      <c r="Q680" s="2" t="b">
        <f ca="1">IFERROR(__xludf.DUMMYFUNCTION("""COMPUTED_VALUE"""),FALSE)</f>
        <v>0</v>
      </c>
      <c r="R680" s="2" t="str">
        <f ca="1">IFERROR(__xludf.DUMMYFUNCTION("""COMPUTED_VALUE"""),"Traslado Venta")</f>
        <v>Traslado Venta</v>
      </c>
      <c r="S680" s="2"/>
      <c r="T680" s="2"/>
      <c r="U680" s="2"/>
    </row>
    <row r="681" spans="1:21" x14ac:dyDescent="0.25">
      <c r="A681" s="2" t="str">
        <f ca="1">IFERROR(__xludf.DUMMYFUNCTION("""COMPUTED_VALUE"""),"6769350e")</f>
        <v>6769350e</v>
      </c>
      <c r="B681" s="5">
        <f ca="1">IFERROR(__xludf.DUMMYFUNCTION("""COMPUTED_VALUE"""),45793.5087268518)</f>
        <v>45793.508726851796</v>
      </c>
      <c r="C681" s="2" t="str">
        <f ca="1">IFERROR(__xludf.DUMMYFUNCTION("""COMPUTED_VALUE"""),"9c9a8832")</f>
        <v>9c9a8832</v>
      </c>
      <c r="D681" s="2">
        <f ca="1">IFERROR(__xludf.DUMMYFUNCTION("""COMPUTED_VALUE"""),126)</f>
        <v>126</v>
      </c>
      <c r="E681" s="2" t="str">
        <f ca="1">IFERROR(__xludf.DUMMYFUNCTION("""COMPUTED_VALUE"""),"Tinto G")</f>
        <v>Tinto G</v>
      </c>
      <c r="F681" s="2">
        <f ca="1">IFERROR(__xludf.DUMMYFUNCTION("""COMPUTED_VALUE"""),13000)</f>
        <v>13000</v>
      </c>
      <c r="G681" s="2">
        <f ca="1">IFERROR(__xludf.DUMMYFUNCTION("""COMPUTED_VALUE"""),70)</f>
        <v>70</v>
      </c>
      <c r="H681" s="2"/>
      <c r="I681" s="2"/>
      <c r="J681" s="2">
        <f ca="1">IFERROR(__xludf.DUMMYFUNCTION("""COMPUTED_VALUE"""),0)</f>
        <v>0</v>
      </c>
      <c r="K681" s="2">
        <f ca="1">IFERROR(__xludf.DUMMYFUNCTION("""COMPUTED_VALUE"""),13000)</f>
        <v>13000</v>
      </c>
      <c r="L681" s="2" t="str">
        <f ca="1">IFERROR(__xludf.DUMMYFUNCTION("""COMPUTED_VALUE"""),"1cdbd1a4")</f>
        <v>1cdbd1a4</v>
      </c>
      <c r="M681" s="2" t="str">
        <f ca="1">IFERROR(__xludf.DUMMYFUNCTION("""COMPUTED_VALUE"""),"Tinto G")</f>
        <v>Tinto G</v>
      </c>
      <c r="N681" s="2"/>
      <c r="O681" s="2" t="str">
        <f ca="1">IFERROR(__xludf.DUMMYFUNCTION("""COMPUTED_VALUE"""),"1er Trasiego")</f>
        <v>1er Trasiego</v>
      </c>
      <c r="P681" s="2"/>
      <c r="Q681" s="2" t="b">
        <f ca="1">IFERROR(__xludf.DUMMYFUNCTION("""COMPUTED_VALUE"""),FALSE)</f>
        <v>0</v>
      </c>
      <c r="R681" s="2" t="str">
        <f ca="1">IFERROR(__xludf.DUMMYFUNCTION("""COMPUTED_VALUE"""),"2do Trasiego")</f>
        <v>2do Trasiego</v>
      </c>
      <c r="S681" s="2"/>
      <c r="T681" s="2"/>
      <c r="U681" s="2"/>
    </row>
    <row r="682" spans="1:21" x14ac:dyDescent="0.25">
      <c r="A682" s="2" t="str">
        <f ca="1">IFERROR(__xludf.DUMMYFUNCTION("""COMPUTED_VALUE"""),"bcafc0a5")</f>
        <v>bcafc0a5</v>
      </c>
      <c r="B682" s="5">
        <f ca="1">IFERROR(__xludf.DUMMYFUNCTION("""COMPUTED_VALUE"""),45793.5090046296)</f>
        <v>45793.509004629603</v>
      </c>
      <c r="C682" s="2" t="str">
        <f ca="1">IFERROR(__xludf.DUMMYFUNCTION("""COMPUTED_VALUE"""),"9c9a8832")</f>
        <v>9c9a8832</v>
      </c>
      <c r="D682" s="2">
        <f ca="1">IFERROR(__xludf.DUMMYFUNCTION("""COMPUTED_VALUE"""),126)</f>
        <v>126</v>
      </c>
      <c r="E682" s="2" t="str">
        <f ca="1">IFERROR(__xludf.DUMMYFUNCTION("""COMPUTED_VALUE"""),"Tinto G")</f>
        <v>Tinto G</v>
      </c>
      <c r="F682" s="2">
        <f ca="1">IFERROR(__xludf.DUMMYFUNCTION("""COMPUTED_VALUE"""),6500)</f>
        <v>6500</v>
      </c>
      <c r="G682" s="2">
        <f ca="1">IFERROR(__xludf.DUMMYFUNCTION("""COMPUTED_VALUE"""),125)</f>
        <v>125</v>
      </c>
      <c r="H682" s="2"/>
      <c r="I682" s="2"/>
      <c r="J682" s="2">
        <f ca="1">IFERROR(__xludf.DUMMYFUNCTION("""COMPUTED_VALUE"""),0)</f>
        <v>0</v>
      </c>
      <c r="K682" s="2">
        <f ca="1">IFERROR(__xludf.DUMMYFUNCTION("""COMPUTED_VALUE"""),6500)</f>
        <v>6500</v>
      </c>
      <c r="L682" s="2" t="str">
        <f ca="1">IFERROR(__xludf.DUMMYFUNCTION("""COMPUTED_VALUE"""),"2443e08d")</f>
        <v>2443e08d</v>
      </c>
      <c r="M682" s="2" t="str">
        <f ca="1">IFERROR(__xludf.DUMMYFUNCTION("""COMPUTED_VALUE"""),"Tinto G")</f>
        <v>Tinto G</v>
      </c>
      <c r="N682" s="2"/>
      <c r="O682" s="2" t="str">
        <f ca="1">IFERROR(__xludf.DUMMYFUNCTION("""COMPUTED_VALUE"""),"1er Trasiego")</f>
        <v>1er Trasiego</v>
      </c>
      <c r="P682" s="2"/>
      <c r="Q682" s="2" t="b">
        <f ca="1">IFERROR(__xludf.DUMMYFUNCTION("""COMPUTED_VALUE"""),FALSE)</f>
        <v>0</v>
      </c>
      <c r="R682" s="2" t="str">
        <f ca="1">IFERROR(__xludf.DUMMYFUNCTION("""COMPUTED_VALUE"""),"2do Trasiego")</f>
        <v>2do Trasiego</v>
      </c>
      <c r="S682" s="2"/>
      <c r="T682" s="2"/>
      <c r="U682" s="2"/>
    </row>
    <row r="683" spans="1:21" x14ac:dyDescent="0.25">
      <c r="A683" s="2" t="str">
        <f ca="1">IFERROR(__xludf.DUMMYFUNCTION("""COMPUTED_VALUE"""),"f2ca2cdf")</f>
        <v>f2ca2cdf</v>
      </c>
      <c r="B683" s="5">
        <f ca="1">IFERROR(__xludf.DUMMYFUNCTION("""COMPUTED_VALUE"""),45793.8328125)</f>
        <v>45793.832812499997</v>
      </c>
      <c r="C683" s="2" t="str">
        <f ca="1">IFERROR(__xludf.DUMMYFUNCTION("""COMPUTED_VALUE"""),"efada090")</f>
        <v>efada090</v>
      </c>
      <c r="D683" s="2">
        <f ca="1">IFERROR(__xludf.DUMMYFUNCTION("""COMPUTED_VALUE"""),26)</f>
        <v>26</v>
      </c>
      <c r="E683" s="2" t="str">
        <f ca="1">IFERROR(__xludf.DUMMYFUNCTION("""COMPUTED_VALUE"""),"Syrah")</f>
        <v>Syrah</v>
      </c>
      <c r="F683" s="2">
        <f ca="1">IFERROR(__xludf.DUMMYFUNCTION("""COMPUTED_VALUE"""),194300)</f>
        <v>194300</v>
      </c>
      <c r="G683" s="2">
        <f ca="1">IFERROR(__xludf.DUMMYFUNCTION("""COMPUTED_VALUE"""),25)</f>
        <v>25</v>
      </c>
      <c r="H683" s="2"/>
      <c r="I683" s="2"/>
      <c r="J683" s="2">
        <f ca="1">IFERROR(__xludf.DUMMYFUNCTION("""COMPUTED_VALUE"""),0)</f>
        <v>0</v>
      </c>
      <c r="K683" s="2">
        <f ca="1">IFERROR(__xludf.DUMMYFUNCTION("""COMPUTED_VALUE"""),194300)</f>
        <v>194300</v>
      </c>
      <c r="L683" s="2" t="str">
        <f ca="1">IFERROR(__xludf.DUMMYFUNCTION("""COMPUTED_VALUE"""),"47816ee0")</f>
        <v>47816ee0</v>
      </c>
      <c r="M683" s="2" t="str">
        <f ca="1">IFERROR(__xludf.DUMMYFUNCTION("""COMPUTED_VALUE"""),"Syrah")</f>
        <v>Syrah</v>
      </c>
      <c r="N683" s="2"/>
      <c r="O683" s="2" t="str">
        <f ca="1">IFERROR(__xludf.DUMMYFUNCTION("""COMPUTED_VALUE"""),"1er Trasiego")</f>
        <v>1er Trasiego</v>
      </c>
      <c r="P683" s="2"/>
      <c r="Q683" s="2" t="b">
        <f ca="1">IFERROR(__xludf.DUMMYFUNCTION("""COMPUTED_VALUE"""),FALSE)</f>
        <v>0</v>
      </c>
      <c r="R683" s="2" t="str">
        <f ca="1">IFERROR(__xludf.DUMMYFUNCTION("""COMPUTED_VALUE"""),"2do Trasiego")</f>
        <v>2do Trasiego</v>
      </c>
      <c r="S683" s="2"/>
      <c r="T683" s="2"/>
      <c r="U683" s="2"/>
    </row>
    <row r="684" spans="1:21" x14ac:dyDescent="0.25">
      <c r="A684" s="2" t="str">
        <f ca="1">IFERROR(__xludf.DUMMYFUNCTION("""COMPUTED_VALUE"""),"c907d47f")</f>
        <v>c907d47f</v>
      </c>
      <c r="B684" s="5">
        <f ca="1">IFERROR(__xludf.DUMMYFUNCTION("""COMPUTED_VALUE"""),45796.4902430555)</f>
        <v>45796.490243055501</v>
      </c>
      <c r="C684" s="2" t="str">
        <f ca="1">IFERROR(__xludf.DUMMYFUNCTION("""COMPUTED_VALUE"""),"efada090")</f>
        <v>efada090</v>
      </c>
      <c r="D684" s="2">
        <f ca="1">IFERROR(__xludf.DUMMYFUNCTION("""COMPUTED_VALUE"""),26)</f>
        <v>26</v>
      </c>
      <c r="E684" s="2" t="str">
        <f ca="1">IFERROR(__xludf.DUMMYFUNCTION("""COMPUTED_VALUE"""),"Syrah")</f>
        <v>Syrah</v>
      </c>
      <c r="F684" s="2">
        <f ca="1">IFERROR(__xludf.DUMMYFUNCTION("""COMPUTED_VALUE"""),11400)</f>
        <v>11400</v>
      </c>
      <c r="G684" s="2">
        <f ca="1">IFERROR(__xludf.DUMMYFUNCTION("""COMPUTED_VALUE"""),68)</f>
        <v>68</v>
      </c>
      <c r="H684" s="2" t="str">
        <f ca="1">IFERROR(__xludf.DUMMYFUNCTION("""COMPUTED_VALUE"""),"e869add7")</f>
        <v>e869add7</v>
      </c>
      <c r="I684" s="2" t="str">
        <f ca="1">IFERROR(__xludf.DUMMYFUNCTION("""COMPUTED_VALUE"""),"Syrah")</f>
        <v>Syrah</v>
      </c>
      <c r="J684" s="2">
        <f ca="1">IFERROR(__xludf.DUMMYFUNCTION("""COMPUTED_VALUE"""),1600)</f>
        <v>1600</v>
      </c>
      <c r="K684" s="2">
        <f ca="1">IFERROR(__xludf.DUMMYFUNCTION("""COMPUTED_VALUE"""),13000)</f>
        <v>13000</v>
      </c>
      <c r="L684" s="2" t="str">
        <f ca="1">IFERROR(__xludf.DUMMYFUNCTION("""COMPUTED_VALUE"""),"e074b6e4")</f>
        <v>e074b6e4</v>
      </c>
      <c r="M684" s="2" t="str">
        <f ca="1">IFERROR(__xludf.DUMMYFUNCTION("""COMPUTED_VALUE"""),"Syrah")</f>
        <v>Syrah</v>
      </c>
      <c r="N684" s="2"/>
      <c r="O684" s="2" t="str">
        <f ca="1">IFERROR(__xludf.DUMMYFUNCTION("""COMPUTED_VALUE"""),"1er Trasiego")</f>
        <v>1er Trasiego</v>
      </c>
      <c r="P684" s="2" t="str">
        <f ca="1">IFERROR(__xludf.DUMMYFUNCTION("""COMPUTED_VALUE"""),"2do Trasiego")</f>
        <v>2do Trasiego</v>
      </c>
      <c r="Q684" s="2" t="b">
        <f ca="1">IFERROR(__xludf.DUMMYFUNCTION("""COMPUTED_VALUE"""),TRUE)</f>
        <v>1</v>
      </c>
      <c r="R684" s="2" t="str">
        <f ca="1">IFERROR(__xludf.DUMMYFUNCTION("""COMPUTED_VALUE"""),"2do Trasiego")</f>
        <v>2do Trasiego</v>
      </c>
      <c r="S684" s="2"/>
      <c r="T684" s="2"/>
      <c r="U684" s="2"/>
    </row>
    <row r="685" spans="1:21" x14ac:dyDescent="0.25">
      <c r="A685" s="2" t="str">
        <f ca="1">IFERROR(__xludf.DUMMYFUNCTION("""COMPUTED_VALUE"""),"a4b84db7")</f>
        <v>a4b84db7</v>
      </c>
      <c r="B685" s="5">
        <f ca="1">IFERROR(__xludf.DUMMYFUNCTION("""COMPUTED_VALUE"""),45796.4912268518)</f>
        <v>45796.491226851802</v>
      </c>
      <c r="C685" s="2" t="str">
        <f ca="1">IFERROR(__xludf.DUMMYFUNCTION("""COMPUTED_VALUE"""),"efada090")</f>
        <v>efada090</v>
      </c>
      <c r="D685" s="2">
        <f ca="1">IFERROR(__xludf.DUMMYFUNCTION("""COMPUTED_VALUE"""),26)</f>
        <v>26</v>
      </c>
      <c r="E685" s="2" t="str">
        <f ca="1">IFERROR(__xludf.DUMMYFUNCTION("""COMPUTED_VALUE"""),"Syrah")</f>
        <v>Syrah</v>
      </c>
      <c r="F685" s="2">
        <f ca="1">IFERROR(__xludf.DUMMYFUNCTION("""COMPUTED_VALUE"""),1900)</f>
        <v>1900</v>
      </c>
      <c r="G685" s="2">
        <f ca="1">IFERROR(__xludf.DUMMYFUNCTION("""COMPUTED_VALUE"""),50)</f>
        <v>50</v>
      </c>
      <c r="H685" s="2" t="str">
        <f ca="1">IFERROR(__xludf.DUMMYFUNCTION("""COMPUTED_VALUE"""),"0973d1bc")</f>
        <v>0973d1bc</v>
      </c>
      <c r="I685" s="2" t="str">
        <f ca="1">IFERROR(__xludf.DUMMYFUNCTION("""COMPUTED_VALUE"""),"Aspirant Anccelota Gota")</f>
        <v>Aspirant Anccelota Gota</v>
      </c>
      <c r="J685" s="2">
        <f ca="1">IFERROR(__xludf.DUMMYFUNCTION("""COMPUTED_VALUE"""),3100)</f>
        <v>3100</v>
      </c>
      <c r="K685" s="2">
        <f ca="1">IFERROR(__xludf.DUMMYFUNCTION("""COMPUTED_VALUE"""),5000)</f>
        <v>5000</v>
      </c>
      <c r="L685" s="2" t="str">
        <f ca="1">IFERROR(__xludf.DUMMYFUNCTION("""COMPUTED_VALUE"""),"7b7453a5")</f>
        <v>7b7453a5</v>
      </c>
      <c r="M685" s="2" t="str">
        <f ca="1">IFERROR(__xludf.DUMMYFUNCTION("""COMPUTED_VALUE"""),"Aspirant Anccelota Gota")</f>
        <v>Aspirant Anccelota Gota</v>
      </c>
      <c r="N685" s="2"/>
      <c r="O685" s="2" t="str">
        <f ca="1">IFERROR(__xludf.DUMMYFUNCTION("""COMPUTED_VALUE"""),"1er Trasiego")</f>
        <v>1er Trasiego</v>
      </c>
      <c r="P685" s="2" t="str">
        <f ca="1">IFERROR(__xludf.DUMMYFUNCTION("""COMPUTED_VALUE"""),"1er Trasiego")</f>
        <v>1er Trasiego</v>
      </c>
      <c r="Q685" s="2" t="b">
        <f ca="1">IFERROR(__xludf.DUMMYFUNCTION("""COMPUTED_VALUE"""),TRUE)</f>
        <v>1</v>
      </c>
      <c r="R685" s="2" t="str">
        <f ca="1">IFERROR(__xludf.DUMMYFUNCTION("""COMPUTED_VALUE"""),"1er Trasiego")</f>
        <v>1er Trasiego</v>
      </c>
      <c r="S685" s="2"/>
      <c r="T685" s="2"/>
      <c r="U685" s="2"/>
    </row>
    <row r="686" spans="1:21" x14ac:dyDescent="0.25">
      <c r="A686" s="2" t="str">
        <f ca="1">IFERROR(__xludf.DUMMYFUNCTION("""COMPUTED_VALUE"""),"32c893ad")</f>
        <v>32c893ad</v>
      </c>
      <c r="B686" s="5">
        <f ca="1">IFERROR(__xludf.DUMMYFUNCTION("""COMPUTED_VALUE"""),45796.7169791666)</f>
        <v>45796.716979166602</v>
      </c>
      <c r="C686" s="2" t="str">
        <f ca="1">IFERROR(__xludf.DUMMYFUNCTION("""COMPUTED_VALUE"""),"2443e08d")</f>
        <v>2443e08d</v>
      </c>
      <c r="D686" s="2">
        <f ca="1">IFERROR(__xludf.DUMMYFUNCTION("""COMPUTED_VALUE"""),125)</f>
        <v>125</v>
      </c>
      <c r="E686" s="2" t="str">
        <f ca="1">IFERROR(__xludf.DUMMYFUNCTION("""COMPUTED_VALUE"""),"Tinto G")</f>
        <v>Tinto G</v>
      </c>
      <c r="F686" s="2">
        <f ca="1">IFERROR(__xludf.DUMMYFUNCTION("""COMPUTED_VALUE"""),6500)</f>
        <v>6500</v>
      </c>
      <c r="G686" s="2">
        <f ca="1">IFERROR(__xludf.DUMMYFUNCTION("""COMPUTED_VALUE"""),80)</f>
        <v>80</v>
      </c>
      <c r="H686" s="2" t="str">
        <f ca="1">IFERROR(__xludf.DUMMYFUNCTION("""COMPUTED_VALUE"""),"65aa5ca5")</f>
        <v>65aa5ca5</v>
      </c>
      <c r="I686" s="2" t="str">
        <f ca="1">IFERROR(__xludf.DUMMYFUNCTION("""COMPUTED_VALUE"""),"Borra")</f>
        <v>Borra</v>
      </c>
      <c r="J686" s="2">
        <f ca="1">IFERROR(__xludf.DUMMYFUNCTION("""COMPUTED_VALUE"""),16400)</f>
        <v>16400</v>
      </c>
      <c r="K686" s="2">
        <f ca="1">IFERROR(__xludf.DUMMYFUNCTION("""COMPUTED_VALUE"""),22900)</f>
        <v>22900</v>
      </c>
      <c r="L686" s="2" t="str">
        <f ca="1">IFERROR(__xludf.DUMMYFUNCTION("""COMPUTED_VALUE"""),"01cf6615")</f>
        <v>01cf6615</v>
      </c>
      <c r="M686" s="2" t="str">
        <f ca="1">IFERROR(__xludf.DUMMYFUNCTION("""COMPUTED_VALUE"""),"Borra")</f>
        <v>Borra</v>
      </c>
      <c r="N686" s="2"/>
      <c r="O686" s="2" t="str">
        <f ca="1">IFERROR(__xludf.DUMMYFUNCTION("""COMPUTED_VALUE"""),"2do Trasiego")</f>
        <v>2do Trasiego</v>
      </c>
      <c r="P686" s="2" t="str">
        <f ca="1">IFERROR(__xludf.DUMMYFUNCTION("""COMPUTED_VALUE"""),"1er Trasiego")</f>
        <v>1er Trasiego</v>
      </c>
      <c r="Q686" s="2" t="b">
        <f ca="1">IFERROR(__xludf.DUMMYFUNCTION("""COMPUTED_VALUE"""),TRUE)</f>
        <v>1</v>
      </c>
      <c r="R686" s="2" t="str">
        <f ca="1">IFERROR(__xludf.DUMMYFUNCTION("""COMPUTED_VALUE"""),"1er Trasiego")</f>
        <v>1er Trasiego</v>
      </c>
      <c r="S686" s="2"/>
      <c r="T686" s="2"/>
      <c r="U686" s="2"/>
    </row>
    <row r="687" spans="1:21" x14ac:dyDescent="0.25">
      <c r="A687" s="2" t="str">
        <f ca="1">IFERROR(__xludf.DUMMYFUNCTION("""COMPUTED_VALUE"""),"53b40378")</f>
        <v>53b40378</v>
      </c>
      <c r="B687" s="5">
        <f ca="1">IFERROR(__xludf.DUMMYFUNCTION("""COMPUTED_VALUE"""),45796.7186921296)</f>
        <v>45796.718692129602</v>
      </c>
      <c r="C687" s="2" t="str">
        <f ca="1">IFERROR(__xludf.DUMMYFUNCTION("""COMPUTED_VALUE"""),"a3608d6e")</f>
        <v>a3608d6e</v>
      </c>
      <c r="D687" s="2">
        <f ca="1">IFERROR(__xludf.DUMMYFUNCTION("""COMPUTED_VALUE"""),7)</f>
        <v>7</v>
      </c>
      <c r="E687" s="2" t="str">
        <f ca="1">IFERROR(__xludf.DUMMYFUNCTION("""COMPUTED_VALUE"""),"Cabernet Sauvignon - Rectificado")</f>
        <v>Cabernet Sauvignon - Rectificado</v>
      </c>
      <c r="F687" s="2">
        <f ca="1">IFERROR(__xludf.DUMMYFUNCTION("""COMPUTED_VALUE"""),1100)</f>
        <v>1100</v>
      </c>
      <c r="G687" s="2">
        <f ca="1">IFERROR(__xludf.DUMMYFUNCTION("""COMPUTED_VALUE"""),80)</f>
        <v>80</v>
      </c>
      <c r="H687" s="2" t="str">
        <f ca="1">IFERROR(__xludf.DUMMYFUNCTION("""COMPUTED_VALUE"""),"01cf6615")</f>
        <v>01cf6615</v>
      </c>
      <c r="I687" s="2" t="str">
        <f ca="1">IFERROR(__xludf.DUMMYFUNCTION("""COMPUTED_VALUE"""),"Borra")</f>
        <v>Borra</v>
      </c>
      <c r="J687" s="2">
        <f ca="1">IFERROR(__xludf.DUMMYFUNCTION("""COMPUTED_VALUE"""),22900)</f>
        <v>22900</v>
      </c>
      <c r="K687" s="2">
        <f ca="1">IFERROR(__xludf.DUMMYFUNCTION("""COMPUTED_VALUE"""),24000)</f>
        <v>24000</v>
      </c>
      <c r="L687" s="2" t="str">
        <f ca="1">IFERROR(__xludf.DUMMYFUNCTION("""COMPUTED_VALUE"""),"ea842d91")</f>
        <v>ea842d91</v>
      </c>
      <c r="M687" s="2" t="str">
        <f ca="1">IFERROR(__xludf.DUMMYFUNCTION("""COMPUTED_VALUE"""),"Borra")</f>
        <v>Borra</v>
      </c>
      <c r="N687" s="2"/>
      <c r="O687" s="2" t="str">
        <f ca="1">IFERROR(__xludf.DUMMYFUNCTION("""COMPUTED_VALUE"""),"Rectificado")</f>
        <v>Rectificado</v>
      </c>
      <c r="P687" s="2" t="str">
        <f ca="1">IFERROR(__xludf.DUMMYFUNCTION("""COMPUTED_VALUE"""),"1er Trasiego")</f>
        <v>1er Trasiego</v>
      </c>
      <c r="Q687" s="2" t="b">
        <f ca="1">IFERROR(__xludf.DUMMYFUNCTION("""COMPUTED_VALUE"""),TRUE)</f>
        <v>1</v>
      </c>
      <c r="R687" s="2" t="str">
        <f ca="1">IFERROR(__xludf.DUMMYFUNCTION("""COMPUTED_VALUE"""),"1er Trasiego")</f>
        <v>1er Trasiego</v>
      </c>
      <c r="S687" s="2"/>
      <c r="T687" s="2"/>
      <c r="U687" s="2"/>
    </row>
    <row r="688" spans="1:21" x14ac:dyDescent="0.25">
      <c r="A688" s="2" t="str">
        <f ca="1">IFERROR(__xludf.DUMMYFUNCTION("""COMPUTED_VALUE"""),"7c24439b")</f>
        <v>7c24439b</v>
      </c>
      <c r="B688" s="5">
        <f ca="1">IFERROR(__xludf.DUMMYFUNCTION("""COMPUTED_VALUE"""),45796.7192129629)</f>
        <v>45796.719212962897</v>
      </c>
      <c r="C688" s="2" t="str">
        <f ca="1">IFERROR(__xludf.DUMMYFUNCTION("""COMPUTED_VALUE"""),"a3608d6e")</f>
        <v>a3608d6e</v>
      </c>
      <c r="D688" s="2">
        <f ca="1">IFERROR(__xludf.DUMMYFUNCTION("""COMPUTED_VALUE"""),7)</f>
        <v>7</v>
      </c>
      <c r="E688" s="2" t="str">
        <f ca="1">IFERROR(__xludf.DUMMYFUNCTION("""COMPUTED_VALUE"""),"Cabernet Sauvignon - Rectificado")</f>
        <v>Cabernet Sauvignon - Rectificado</v>
      </c>
      <c r="F688" s="2">
        <f ca="1">IFERROR(__xludf.DUMMYFUNCTION("""COMPUTED_VALUE"""),2100)</f>
        <v>2100</v>
      </c>
      <c r="G688" s="2">
        <f ca="1">IFERROR(__xludf.DUMMYFUNCTION("""COMPUTED_VALUE"""),500)</f>
        <v>500</v>
      </c>
      <c r="H688" s="2" t="str">
        <f ca="1">IFERROR(__xludf.DUMMYFUNCTION("""COMPUTED_VALUE"""),"49682afa")</f>
        <v>49682afa</v>
      </c>
      <c r="I688" s="2" t="str">
        <f ca="1">IFERROR(__xludf.DUMMYFUNCTION("""COMPUTED_VALUE"""),"Ajuste Arqueo 19/05/2025")</f>
        <v>Ajuste Arqueo 19/05/2025</v>
      </c>
      <c r="J688" s="2">
        <f ca="1">IFERROR(__xludf.DUMMYFUNCTION("""COMPUTED_VALUE"""),1)</f>
        <v>1</v>
      </c>
      <c r="K688" s="2">
        <f ca="1">IFERROR(__xludf.DUMMYFUNCTION("""COMPUTED_VALUE"""),2101)</f>
        <v>2101</v>
      </c>
      <c r="L688" s="2" t="str">
        <f ca="1">IFERROR(__xludf.DUMMYFUNCTION("""COMPUTED_VALUE"""),"a4bf5699")</f>
        <v>a4bf5699</v>
      </c>
      <c r="M688" s="2" t="str">
        <f ca="1">IFERROR(__xludf.DUMMYFUNCTION("""COMPUTED_VALUE"""),"Ajuste Arqueo 19/05/2025")</f>
        <v>Ajuste Arqueo 19/05/2025</v>
      </c>
      <c r="N688" s="2"/>
      <c r="O688" s="2" t="str">
        <f ca="1">IFERROR(__xludf.DUMMYFUNCTION("""COMPUTED_VALUE"""),"Rectificado")</f>
        <v>Rectificado</v>
      </c>
      <c r="P688" s="2"/>
      <c r="Q688" s="2" t="b">
        <f ca="1">IFERROR(__xludf.DUMMYFUNCTION("""COMPUTED_VALUE"""),TRUE)</f>
        <v>1</v>
      </c>
      <c r="R688" s="2"/>
      <c r="S688" s="2"/>
      <c r="T688" s="2"/>
      <c r="U688" s="2"/>
    </row>
    <row r="689" spans="1:21" x14ac:dyDescent="0.25">
      <c r="A689" s="2" t="str">
        <f ca="1">IFERROR(__xludf.DUMMYFUNCTION("""COMPUTED_VALUE"""),"3ca50f97")</f>
        <v>3ca50f97</v>
      </c>
      <c r="B689" s="5">
        <f ca="1">IFERROR(__xludf.DUMMYFUNCTION("""COMPUTED_VALUE"""),45796.7198148148)</f>
        <v>45796.719814814802</v>
      </c>
      <c r="C689" s="2" t="str">
        <f ca="1">IFERROR(__xludf.DUMMYFUNCTION("""COMPUTED_VALUE"""),"a3608d6e")</f>
        <v>a3608d6e</v>
      </c>
      <c r="D689" s="2">
        <f ca="1">IFERROR(__xludf.DUMMYFUNCTION("""COMPUTED_VALUE"""),7)</f>
        <v>7</v>
      </c>
      <c r="E689" s="2" t="str">
        <f ca="1">IFERROR(__xludf.DUMMYFUNCTION("""COMPUTED_VALUE"""),"Cabernet Sauvignon - Rectificado")</f>
        <v>Cabernet Sauvignon - Rectificado</v>
      </c>
      <c r="F689" s="2">
        <f ca="1">IFERROR(__xludf.DUMMYFUNCTION("""COMPUTED_VALUE"""),-100)</f>
        <v>-100</v>
      </c>
      <c r="G689" s="2">
        <f ca="1">IFERROR(__xludf.DUMMYFUNCTION("""COMPUTED_VALUE"""),500)</f>
        <v>500</v>
      </c>
      <c r="H689" s="2" t="str">
        <f ca="1">IFERROR(__xludf.DUMMYFUNCTION("""COMPUTED_VALUE"""),"a4bf5699")</f>
        <v>a4bf5699</v>
      </c>
      <c r="I689" s="2" t="str">
        <f ca="1">IFERROR(__xludf.DUMMYFUNCTION("""COMPUTED_VALUE"""),"Ajuste Arqueo 19/05/2025")</f>
        <v>Ajuste Arqueo 19/05/2025</v>
      </c>
      <c r="J689" s="2">
        <f ca="1">IFERROR(__xludf.DUMMYFUNCTION("""COMPUTED_VALUE"""),2101)</f>
        <v>2101</v>
      </c>
      <c r="K689" s="2">
        <f ca="1">IFERROR(__xludf.DUMMYFUNCTION("""COMPUTED_VALUE"""),2001)</f>
        <v>2001</v>
      </c>
      <c r="L689" s="2" t="str">
        <f ca="1">IFERROR(__xludf.DUMMYFUNCTION("""COMPUTED_VALUE"""),"d24b2834")</f>
        <v>d24b2834</v>
      </c>
      <c r="M689" s="2" t="str">
        <f ca="1">IFERROR(__xludf.DUMMYFUNCTION("""COMPUTED_VALUE"""),"Ajuste Arqueo 19/05/2025")</f>
        <v>Ajuste Arqueo 19/05/2025</v>
      </c>
      <c r="N689" s="2"/>
      <c r="O689" s="2" t="str">
        <f ca="1">IFERROR(__xludf.DUMMYFUNCTION("""COMPUTED_VALUE"""),"Rectificado")</f>
        <v>Rectificado</v>
      </c>
      <c r="P689" s="2"/>
      <c r="Q689" s="2" t="b">
        <f ca="1">IFERROR(__xludf.DUMMYFUNCTION("""COMPUTED_VALUE"""),TRUE)</f>
        <v>1</v>
      </c>
      <c r="R689" s="2"/>
      <c r="S689" s="2"/>
      <c r="T689" s="2"/>
      <c r="U689" s="2"/>
    </row>
    <row r="690" spans="1:21" x14ac:dyDescent="0.25">
      <c r="A690" s="2" t="str">
        <f ca="1">IFERROR(__xludf.DUMMYFUNCTION("""COMPUTED_VALUE"""),"92f7b68d")</f>
        <v>92f7b68d</v>
      </c>
      <c r="B690" s="5">
        <f ca="1">IFERROR(__xludf.DUMMYFUNCTION("""COMPUTED_VALUE"""),45796.7207175925)</f>
        <v>45796.7207175925</v>
      </c>
      <c r="C690" s="2" t="str">
        <f ca="1">IFERROR(__xludf.DUMMYFUNCTION("""COMPUTED_VALUE"""),"a3608d6e")</f>
        <v>a3608d6e</v>
      </c>
      <c r="D690" s="2">
        <f ca="1">IFERROR(__xludf.DUMMYFUNCTION("""COMPUTED_VALUE"""),7)</f>
        <v>7</v>
      </c>
      <c r="E690" s="2" t="str">
        <f ca="1">IFERROR(__xludf.DUMMYFUNCTION("""COMPUTED_VALUE"""),"Cabernet Sauvignon - Rectificado")</f>
        <v>Cabernet Sauvignon - Rectificado</v>
      </c>
      <c r="F690" s="2">
        <f ca="1">IFERROR(__xludf.DUMMYFUNCTION("""COMPUTED_VALUE"""),100)</f>
        <v>100</v>
      </c>
      <c r="G690" s="2">
        <f ca="1">IFERROR(__xludf.DUMMYFUNCTION("""COMPUTED_VALUE"""),500)</f>
        <v>500</v>
      </c>
      <c r="H690" s="2" t="str">
        <f ca="1">IFERROR(__xludf.DUMMYFUNCTION("""COMPUTED_VALUE"""),"d24b2834")</f>
        <v>d24b2834</v>
      </c>
      <c r="I690" s="2" t="str">
        <f ca="1">IFERROR(__xludf.DUMMYFUNCTION("""COMPUTED_VALUE"""),"Ajuste Arqueo 19/05/2025")</f>
        <v>Ajuste Arqueo 19/05/2025</v>
      </c>
      <c r="J690" s="2">
        <f ca="1">IFERROR(__xludf.DUMMYFUNCTION("""COMPUTED_VALUE"""),2001)</f>
        <v>2001</v>
      </c>
      <c r="K690" s="2">
        <f ca="1">IFERROR(__xludf.DUMMYFUNCTION("""COMPUTED_VALUE"""),2101)</f>
        <v>2101</v>
      </c>
      <c r="L690" s="2" t="str">
        <f ca="1">IFERROR(__xludf.DUMMYFUNCTION("""COMPUTED_VALUE"""),"b16ab165")</f>
        <v>b16ab165</v>
      </c>
      <c r="M690" s="2" t="str">
        <f ca="1">IFERROR(__xludf.DUMMYFUNCTION("""COMPUTED_VALUE"""),"Ajuste Arqueo 19/05/2025")</f>
        <v>Ajuste Arqueo 19/05/2025</v>
      </c>
      <c r="N690" s="2"/>
      <c r="O690" s="2" t="str">
        <f ca="1">IFERROR(__xludf.DUMMYFUNCTION("""COMPUTED_VALUE"""),"Rectificado")</f>
        <v>Rectificado</v>
      </c>
      <c r="P690" s="2"/>
      <c r="Q690" s="2" t="b">
        <f ca="1">IFERROR(__xludf.DUMMYFUNCTION("""COMPUTED_VALUE"""),TRUE)</f>
        <v>1</v>
      </c>
      <c r="R690" s="2"/>
      <c r="S690" s="2"/>
      <c r="T690" s="2"/>
      <c r="U690" s="2"/>
    </row>
    <row r="691" spans="1:21" x14ac:dyDescent="0.25">
      <c r="A691" s="2" t="str">
        <f ca="1">IFERROR(__xludf.DUMMYFUNCTION("""COMPUTED_VALUE"""),"d7891718")</f>
        <v>d7891718</v>
      </c>
      <c r="B691" s="5">
        <f ca="1">IFERROR(__xludf.DUMMYFUNCTION("""COMPUTED_VALUE"""),45796.720949074)</f>
        <v>45796.720949073999</v>
      </c>
      <c r="C691" s="2" t="str">
        <f ca="1">IFERROR(__xludf.DUMMYFUNCTION("""COMPUTED_VALUE"""),"7b7453a5")</f>
        <v>7b7453a5</v>
      </c>
      <c r="D691" s="2">
        <f ca="1">IFERROR(__xludf.DUMMYFUNCTION("""COMPUTED_VALUE"""),50)</f>
        <v>50</v>
      </c>
      <c r="E691" s="2" t="str">
        <f ca="1">IFERROR(__xludf.DUMMYFUNCTION("""COMPUTED_VALUE"""),"Aspirant Anccelota Gota")</f>
        <v>Aspirant Anccelota Gota</v>
      </c>
      <c r="F691" s="2">
        <f ca="1">IFERROR(__xludf.DUMMYFUNCTION("""COMPUTED_VALUE"""),100)</f>
        <v>100</v>
      </c>
      <c r="G691" s="2">
        <f ca="1">IFERROR(__xludf.DUMMYFUNCTION("""COMPUTED_VALUE"""),500)</f>
        <v>500</v>
      </c>
      <c r="H691" s="2" t="str">
        <f ca="1">IFERROR(__xludf.DUMMYFUNCTION("""COMPUTED_VALUE"""),"b16ab165")</f>
        <v>b16ab165</v>
      </c>
      <c r="I691" s="2" t="str">
        <f ca="1">IFERROR(__xludf.DUMMYFUNCTION("""COMPUTED_VALUE"""),"Ajuste Arqueo 19/05/2025")</f>
        <v>Ajuste Arqueo 19/05/2025</v>
      </c>
      <c r="J691" s="2">
        <f ca="1">IFERROR(__xludf.DUMMYFUNCTION("""COMPUTED_VALUE"""),2101)</f>
        <v>2101</v>
      </c>
      <c r="K691" s="2">
        <f ca="1">IFERROR(__xludf.DUMMYFUNCTION("""COMPUTED_VALUE"""),2201)</f>
        <v>2201</v>
      </c>
      <c r="L691" s="2" t="str">
        <f ca="1">IFERROR(__xludf.DUMMYFUNCTION("""COMPUTED_VALUE"""),"b82badfa")</f>
        <v>b82badfa</v>
      </c>
      <c r="M691" s="2" t="str">
        <f ca="1">IFERROR(__xludf.DUMMYFUNCTION("""COMPUTED_VALUE"""),"Ajuste Arqueo 19/05/2025")</f>
        <v>Ajuste Arqueo 19/05/2025</v>
      </c>
      <c r="N691" s="2"/>
      <c r="O691" s="2" t="str">
        <f ca="1">IFERROR(__xludf.DUMMYFUNCTION("""COMPUTED_VALUE"""),"1er Trasiego")</f>
        <v>1er Trasiego</v>
      </c>
      <c r="P691" s="2"/>
      <c r="Q691" s="2" t="b">
        <f ca="1">IFERROR(__xludf.DUMMYFUNCTION("""COMPUTED_VALUE"""),TRUE)</f>
        <v>1</v>
      </c>
      <c r="R691" s="2"/>
      <c r="S691" s="2"/>
      <c r="T691" s="2"/>
      <c r="U691" s="2"/>
    </row>
    <row r="692" spans="1:21" x14ac:dyDescent="0.25">
      <c r="A692" s="2" t="str">
        <f ca="1">IFERROR(__xludf.DUMMYFUNCTION("""COMPUTED_VALUE"""),"4236c7c8")</f>
        <v>4236c7c8</v>
      </c>
      <c r="B692" s="5">
        <f ca="1">IFERROR(__xludf.DUMMYFUNCTION("""COMPUTED_VALUE"""),45796.7212731481)</f>
        <v>45796.721273148098</v>
      </c>
      <c r="C692" s="2" t="str">
        <f ca="1">IFERROR(__xludf.DUMMYFUNCTION("""COMPUTED_VALUE"""),"7b7453a5")</f>
        <v>7b7453a5</v>
      </c>
      <c r="D692" s="2">
        <f ca="1">IFERROR(__xludf.DUMMYFUNCTION("""COMPUTED_VALUE"""),50)</f>
        <v>50</v>
      </c>
      <c r="E692" s="2" t="str">
        <f ca="1">IFERROR(__xludf.DUMMYFUNCTION("""COMPUTED_VALUE"""),"Aspirant Anccelota Gota")</f>
        <v>Aspirant Anccelota Gota</v>
      </c>
      <c r="F692" s="2">
        <f ca="1">IFERROR(__xludf.DUMMYFUNCTION("""COMPUTED_VALUE"""),-200)</f>
        <v>-200</v>
      </c>
      <c r="G692" s="2">
        <f ca="1">IFERROR(__xludf.DUMMYFUNCTION("""COMPUTED_VALUE"""),500)</f>
        <v>500</v>
      </c>
      <c r="H692" s="2" t="str">
        <f ca="1">IFERROR(__xludf.DUMMYFUNCTION("""COMPUTED_VALUE"""),"b82badfa")</f>
        <v>b82badfa</v>
      </c>
      <c r="I692" s="2" t="str">
        <f ca="1">IFERROR(__xludf.DUMMYFUNCTION("""COMPUTED_VALUE"""),"Ajuste Arqueo 19/05/2025")</f>
        <v>Ajuste Arqueo 19/05/2025</v>
      </c>
      <c r="J692" s="2">
        <f ca="1">IFERROR(__xludf.DUMMYFUNCTION("""COMPUTED_VALUE"""),2201)</f>
        <v>2201</v>
      </c>
      <c r="K692" s="2">
        <f ca="1">IFERROR(__xludf.DUMMYFUNCTION("""COMPUTED_VALUE"""),2001)</f>
        <v>2001</v>
      </c>
      <c r="L692" s="2" t="str">
        <f ca="1">IFERROR(__xludf.DUMMYFUNCTION("""COMPUTED_VALUE"""),"9059a425")</f>
        <v>9059a425</v>
      </c>
      <c r="M692" s="2" t="str">
        <f ca="1">IFERROR(__xludf.DUMMYFUNCTION("""COMPUTED_VALUE"""),"Ajuste Arqueo 19/05/2025")</f>
        <v>Ajuste Arqueo 19/05/2025</v>
      </c>
      <c r="N692" s="2"/>
      <c r="O692" s="2" t="str">
        <f ca="1">IFERROR(__xludf.DUMMYFUNCTION("""COMPUTED_VALUE"""),"1er Trasiego")</f>
        <v>1er Trasiego</v>
      </c>
      <c r="P692" s="2"/>
      <c r="Q692" s="2" t="b">
        <f ca="1">IFERROR(__xludf.DUMMYFUNCTION("""COMPUTED_VALUE"""),TRUE)</f>
        <v>1</v>
      </c>
      <c r="R692" s="2"/>
      <c r="S692" s="2"/>
      <c r="T692" s="2"/>
      <c r="U692" s="2"/>
    </row>
    <row r="693" spans="1:21" x14ac:dyDescent="0.25">
      <c r="A693" s="2" t="str">
        <f ca="1">IFERROR(__xludf.DUMMYFUNCTION("""COMPUTED_VALUE"""),"a22acbcf")</f>
        <v>a22acbcf</v>
      </c>
      <c r="B693" s="5">
        <f ca="1">IFERROR(__xludf.DUMMYFUNCTION("""COMPUTED_VALUE"""),45796.7217129629)</f>
        <v>45796.721712962899</v>
      </c>
      <c r="C693" s="2" t="str">
        <f ca="1">IFERROR(__xludf.DUMMYFUNCTION("""COMPUTED_VALUE"""),"94fbbcb1")</f>
        <v>94fbbcb1</v>
      </c>
      <c r="D693" s="2">
        <f ca="1">IFERROR(__xludf.DUMMYFUNCTION("""COMPUTED_VALUE"""),51)</f>
        <v>51</v>
      </c>
      <c r="E693" s="2" t="str">
        <f ca="1">IFERROR(__xludf.DUMMYFUNCTION("""COMPUTED_VALUE"""),"Claro de Filtro")</f>
        <v>Claro de Filtro</v>
      </c>
      <c r="F693" s="2">
        <f ca="1">IFERROR(__xludf.DUMMYFUNCTION("""COMPUTED_VALUE"""),-2300)</f>
        <v>-2300</v>
      </c>
      <c r="G693" s="2">
        <f ca="1">IFERROR(__xludf.DUMMYFUNCTION("""COMPUTED_VALUE"""),500)</f>
        <v>500</v>
      </c>
      <c r="H693" s="2" t="str">
        <f ca="1">IFERROR(__xludf.DUMMYFUNCTION("""COMPUTED_VALUE"""),"9059a425")</f>
        <v>9059a425</v>
      </c>
      <c r="I693" s="2" t="str">
        <f ca="1">IFERROR(__xludf.DUMMYFUNCTION("""COMPUTED_VALUE"""),"Ajuste Arqueo 19/05/2025")</f>
        <v>Ajuste Arqueo 19/05/2025</v>
      </c>
      <c r="J693" s="2">
        <f ca="1">IFERROR(__xludf.DUMMYFUNCTION("""COMPUTED_VALUE"""),2001)</f>
        <v>2001</v>
      </c>
      <c r="K693" s="2">
        <f ca="1">IFERROR(__xludf.DUMMYFUNCTION("""COMPUTED_VALUE"""),-299)</f>
        <v>-299</v>
      </c>
      <c r="L693" s="2" t="str">
        <f ca="1">IFERROR(__xludf.DUMMYFUNCTION("""COMPUTED_VALUE"""),"e9659899")</f>
        <v>e9659899</v>
      </c>
      <c r="M693" s="2" t="str">
        <f ca="1">IFERROR(__xludf.DUMMYFUNCTION("""COMPUTED_VALUE"""),"Ajuste Arqueo 19/05/2025")</f>
        <v>Ajuste Arqueo 19/05/2025</v>
      </c>
      <c r="N693" s="2"/>
      <c r="O693" s="2" t="str">
        <f ca="1">IFERROR(__xludf.DUMMYFUNCTION("""COMPUTED_VALUE"""),"1er Trasiego")</f>
        <v>1er Trasiego</v>
      </c>
      <c r="P693" s="2"/>
      <c r="Q693" s="2" t="b">
        <f ca="1">IFERROR(__xludf.DUMMYFUNCTION("""COMPUTED_VALUE"""),TRUE)</f>
        <v>1</v>
      </c>
      <c r="R693" s="2"/>
      <c r="S693" s="2"/>
      <c r="T693" s="2"/>
      <c r="U693" s="2"/>
    </row>
    <row r="694" spans="1:21" x14ac:dyDescent="0.25">
      <c r="A694" s="2" t="str">
        <f ca="1">IFERROR(__xludf.DUMMYFUNCTION("""COMPUTED_VALUE"""),"8cd42c0a")</f>
        <v>8cd42c0a</v>
      </c>
      <c r="B694" s="5">
        <f ca="1">IFERROR(__xludf.DUMMYFUNCTION("""COMPUTED_VALUE"""),45796.7223263888)</f>
        <v>45796.722326388801</v>
      </c>
      <c r="C694" s="2" t="str">
        <f ca="1">IFERROR(__xludf.DUMMYFUNCTION("""COMPUTED_VALUE"""),"91b01170")</f>
        <v>91b01170</v>
      </c>
      <c r="D694" s="2">
        <f ca="1">IFERROR(__xludf.DUMMYFUNCTION("""COMPUTED_VALUE"""),65)</f>
        <v>65</v>
      </c>
      <c r="E694" s="2" t="str">
        <f ca="1">IFERROR(__xludf.DUMMYFUNCTION("""COMPUTED_VALUE"""),"Malbec Dulc")</f>
        <v>Malbec Dulc</v>
      </c>
      <c r="F694" s="2">
        <f ca="1">IFERROR(__xludf.DUMMYFUNCTION("""COMPUTED_VALUE"""),500)</f>
        <v>500</v>
      </c>
      <c r="G694" s="2">
        <f ca="1">IFERROR(__xludf.DUMMYFUNCTION("""COMPUTED_VALUE"""),500)</f>
        <v>500</v>
      </c>
      <c r="H694" s="2" t="str">
        <f ca="1">IFERROR(__xludf.DUMMYFUNCTION("""COMPUTED_VALUE"""),"e9659899")</f>
        <v>e9659899</v>
      </c>
      <c r="I694" s="2" t="str">
        <f ca="1">IFERROR(__xludf.DUMMYFUNCTION("""COMPUTED_VALUE"""),"Ajuste Arqueo 19/05/2025")</f>
        <v>Ajuste Arqueo 19/05/2025</v>
      </c>
      <c r="J694" s="2">
        <f ca="1">IFERROR(__xludf.DUMMYFUNCTION("""COMPUTED_VALUE"""),-299)</f>
        <v>-299</v>
      </c>
      <c r="K694" s="2">
        <f ca="1">IFERROR(__xludf.DUMMYFUNCTION("""COMPUTED_VALUE"""),201)</f>
        <v>201</v>
      </c>
      <c r="L694" s="2" t="str">
        <f ca="1">IFERROR(__xludf.DUMMYFUNCTION("""COMPUTED_VALUE"""),"b9348c96")</f>
        <v>b9348c96</v>
      </c>
      <c r="M694" s="2" t="str">
        <f ca="1">IFERROR(__xludf.DUMMYFUNCTION("""COMPUTED_VALUE"""),"Ajuste Arqueo 19/05/2025")</f>
        <v>Ajuste Arqueo 19/05/2025</v>
      </c>
      <c r="N694" s="2"/>
      <c r="O694" s="2" t="str">
        <f ca="1">IFERROR(__xludf.DUMMYFUNCTION("""COMPUTED_VALUE"""),"2do Trasiego")</f>
        <v>2do Trasiego</v>
      </c>
      <c r="P694" s="2"/>
      <c r="Q694" s="2" t="b">
        <f ca="1">IFERROR(__xludf.DUMMYFUNCTION("""COMPUTED_VALUE"""),TRUE)</f>
        <v>1</v>
      </c>
      <c r="R694" s="2"/>
      <c r="S694" s="2"/>
      <c r="T694" s="2"/>
      <c r="U694" s="2"/>
    </row>
    <row r="695" spans="1:21" x14ac:dyDescent="0.25">
      <c r="A695" s="2" t="str">
        <f ca="1">IFERROR(__xludf.DUMMYFUNCTION("""COMPUTED_VALUE"""),"81c2fcc6")</f>
        <v>81c2fcc6</v>
      </c>
      <c r="B695" s="5">
        <f ca="1">IFERROR(__xludf.DUMMYFUNCTION("""COMPUTED_VALUE"""),45796.7225578703)</f>
        <v>45796.7225578703</v>
      </c>
      <c r="C695" s="2" t="str">
        <f ca="1">IFERROR(__xludf.DUMMYFUNCTION("""COMPUTED_VALUE"""),"95f6ad50")</f>
        <v>95f6ad50</v>
      </c>
      <c r="D695" s="2">
        <f ca="1">IFERROR(__xludf.DUMMYFUNCTION("""COMPUTED_VALUE"""),66)</f>
        <v>66</v>
      </c>
      <c r="E695" s="2" t="str">
        <f ca="1">IFERROR(__xludf.DUMMYFUNCTION("""COMPUTED_VALUE"""),"Malbec Dulc")</f>
        <v>Malbec Dulc</v>
      </c>
      <c r="F695" s="2">
        <f ca="1">IFERROR(__xludf.DUMMYFUNCTION("""COMPUTED_VALUE"""),500)</f>
        <v>500</v>
      </c>
      <c r="G695" s="2">
        <f ca="1">IFERROR(__xludf.DUMMYFUNCTION("""COMPUTED_VALUE"""),500)</f>
        <v>500</v>
      </c>
      <c r="H695" s="2" t="str">
        <f ca="1">IFERROR(__xludf.DUMMYFUNCTION("""COMPUTED_VALUE"""),"b9348c96")</f>
        <v>b9348c96</v>
      </c>
      <c r="I695" s="2" t="str">
        <f ca="1">IFERROR(__xludf.DUMMYFUNCTION("""COMPUTED_VALUE"""),"Ajuste Arqueo 19/05/2025")</f>
        <v>Ajuste Arqueo 19/05/2025</v>
      </c>
      <c r="J695" s="2">
        <f ca="1">IFERROR(__xludf.DUMMYFUNCTION("""COMPUTED_VALUE"""),201)</f>
        <v>201</v>
      </c>
      <c r="K695" s="2">
        <f ca="1">IFERROR(__xludf.DUMMYFUNCTION("""COMPUTED_VALUE"""),701)</f>
        <v>701</v>
      </c>
      <c r="L695" s="2" t="str">
        <f ca="1">IFERROR(__xludf.DUMMYFUNCTION("""COMPUTED_VALUE"""),"2afd72e2")</f>
        <v>2afd72e2</v>
      </c>
      <c r="M695" s="2" t="str">
        <f ca="1">IFERROR(__xludf.DUMMYFUNCTION("""COMPUTED_VALUE"""),"Ajuste Arqueo 19/05/2025")</f>
        <v>Ajuste Arqueo 19/05/2025</v>
      </c>
      <c r="N695" s="2"/>
      <c r="O695" s="2" t="str">
        <f ca="1">IFERROR(__xludf.DUMMYFUNCTION("""COMPUTED_VALUE"""),"2do Trasiego")</f>
        <v>2do Trasiego</v>
      </c>
      <c r="P695" s="2"/>
      <c r="Q695" s="2" t="b">
        <f ca="1">IFERROR(__xludf.DUMMYFUNCTION("""COMPUTED_VALUE"""),TRUE)</f>
        <v>1</v>
      </c>
      <c r="R695" s="2"/>
      <c r="S695" s="2"/>
      <c r="T695" s="2"/>
      <c r="U695" s="2"/>
    </row>
    <row r="696" spans="1:21" x14ac:dyDescent="0.25">
      <c r="A696" s="2" t="str">
        <f ca="1">IFERROR(__xludf.DUMMYFUNCTION("""COMPUTED_VALUE"""),"8597d3e8")</f>
        <v>8597d3e8</v>
      </c>
      <c r="B696" s="5">
        <f ca="1">IFERROR(__xludf.DUMMYFUNCTION("""COMPUTED_VALUE"""),45796.7382060185)</f>
        <v>45796.738206018497</v>
      </c>
      <c r="C696" s="2" t="str">
        <f ca="1">IFERROR(__xludf.DUMMYFUNCTION("""COMPUTED_VALUE"""),"1f012354")</f>
        <v>1f012354</v>
      </c>
      <c r="D696" s="2">
        <f ca="1">IFERROR(__xludf.DUMMYFUNCTION("""COMPUTED_VALUE"""),90)</f>
        <v>90</v>
      </c>
      <c r="E696" s="2" t="str">
        <f ca="1">IFERROR(__xludf.DUMMYFUNCTION("""COMPUTED_VALUE"""),"Tinto Recarga")</f>
        <v>Tinto Recarga</v>
      </c>
      <c r="F696" s="2">
        <f ca="1">IFERROR(__xludf.DUMMYFUNCTION("""COMPUTED_VALUE"""),95000)</f>
        <v>95000</v>
      </c>
      <c r="G696" s="2">
        <f ca="1">IFERROR(__xludf.DUMMYFUNCTION("""COMPUTED_VALUE"""),26)</f>
        <v>26</v>
      </c>
      <c r="H696" s="2"/>
      <c r="I696" s="2" t="str">
        <f ca="1">IFERROR(__xludf.DUMMYFUNCTION("""COMPUTED_VALUE"""),"Tinto Venta Garbin")</f>
        <v>Tinto Venta Garbin</v>
      </c>
      <c r="J696" s="2">
        <f ca="1">IFERROR(__xludf.DUMMYFUNCTION("""COMPUTED_VALUE"""),0)</f>
        <v>0</v>
      </c>
      <c r="K696" s="2">
        <f ca="1">IFERROR(__xludf.DUMMYFUNCTION("""COMPUTED_VALUE"""),95000)</f>
        <v>95000</v>
      </c>
      <c r="L696" s="2" t="str">
        <f ca="1">IFERROR(__xludf.DUMMYFUNCTION("""COMPUTED_VALUE"""),"156fcfa6")</f>
        <v>156fcfa6</v>
      </c>
      <c r="M696" s="2" t="str">
        <f ca="1">IFERROR(__xludf.DUMMYFUNCTION("""COMPUTED_VALUE"""),"Tinto Venta Garbin")</f>
        <v>Tinto Venta Garbin</v>
      </c>
      <c r="N696" s="2"/>
      <c r="O696" s="2" t="str">
        <f ca="1">IFERROR(__xludf.DUMMYFUNCTION("""COMPUTED_VALUE"""),"Traslado Venta")</f>
        <v>Traslado Venta</v>
      </c>
      <c r="P696" s="2"/>
      <c r="Q696" s="2" t="b">
        <f ca="1">IFERROR(__xludf.DUMMYFUNCTION("""COMPUTED_VALUE"""),TRUE)</f>
        <v>1</v>
      </c>
      <c r="R696" s="2"/>
      <c r="S696" s="2"/>
      <c r="T696" s="2"/>
      <c r="U696" s="2"/>
    </row>
    <row r="697" spans="1:21" x14ac:dyDescent="0.25">
      <c r="A697" s="2" t="str">
        <f ca="1">IFERROR(__xludf.DUMMYFUNCTION("""COMPUTED_VALUE"""),"1c42cd04")</f>
        <v>1c42cd04</v>
      </c>
      <c r="B697" s="5">
        <f ca="1">IFERROR(__xludf.DUMMYFUNCTION("""COMPUTED_VALUE"""),45796.7609259259)</f>
        <v>45796.760925925897</v>
      </c>
      <c r="C697" s="2" t="str">
        <f ca="1">IFERROR(__xludf.DUMMYFUNCTION("""COMPUTED_VALUE"""),"f80e7320")</f>
        <v>f80e7320</v>
      </c>
      <c r="D697" s="2">
        <f ca="1">IFERROR(__xludf.DUMMYFUNCTION("""COMPUTED_VALUE"""),114)</f>
        <v>114</v>
      </c>
      <c r="E697" s="2" t="str">
        <f ca="1">IFERROR(__xludf.DUMMYFUNCTION("""COMPUTED_VALUE"""),"Syrah Tempranillo")</f>
        <v>Syrah Tempranillo</v>
      </c>
      <c r="F697" s="2">
        <f ca="1">IFERROR(__xludf.DUMMYFUNCTION("""COMPUTED_VALUE"""),35000)</f>
        <v>35000</v>
      </c>
      <c r="G697" s="2">
        <f ca="1">IFERROR(__xludf.DUMMYFUNCTION("""COMPUTED_VALUE"""),26)</f>
        <v>26</v>
      </c>
      <c r="H697" s="2" t="str">
        <f ca="1">IFERROR(__xludf.DUMMYFUNCTION("""COMPUTED_VALUE"""),"156fcfa6")</f>
        <v>156fcfa6</v>
      </c>
      <c r="I697" s="2" t="str">
        <f ca="1">IFERROR(__xludf.DUMMYFUNCTION("""COMPUTED_VALUE"""),"Tinto Venta Garbin")</f>
        <v>Tinto Venta Garbin</v>
      </c>
      <c r="J697" s="2">
        <f ca="1">IFERROR(__xludf.DUMMYFUNCTION("""COMPUTED_VALUE"""),95000)</f>
        <v>95000</v>
      </c>
      <c r="K697" s="2">
        <f ca="1">IFERROR(__xludf.DUMMYFUNCTION("""COMPUTED_VALUE"""),130000)</f>
        <v>130000</v>
      </c>
      <c r="L697" s="2" t="str">
        <f ca="1">IFERROR(__xludf.DUMMYFUNCTION("""COMPUTED_VALUE"""),"3fbc32d2")</f>
        <v>3fbc32d2</v>
      </c>
      <c r="M697" s="2" t="str">
        <f ca="1">IFERROR(__xludf.DUMMYFUNCTION("""COMPUTED_VALUE"""),"Tinto Venta Garbin")</f>
        <v>Tinto Venta Garbin</v>
      </c>
      <c r="N697" s="2"/>
      <c r="O697" s="2" t="str">
        <f ca="1">IFERROR(__xludf.DUMMYFUNCTION("""COMPUTED_VALUE"""),"2do Trasiego")</f>
        <v>2do Trasiego</v>
      </c>
      <c r="P697" s="2"/>
      <c r="Q697" s="2" t="b">
        <f ca="1">IFERROR(__xludf.DUMMYFUNCTION("""COMPUTED_VALUE"""),TRUE)</f>
        <v>1</v>
      </c>
      <c r="R697" s="2"/>
      <c r="S697" s="2"/>
      <c r="T697" s="2"/>
      <c r="U697" s="2"/>
    </row>
    <row r="698" spans="1:21" x14ac:dyDescent="0.25">
      <c r="A698" s="2" t="str">
        <f ca="1">IFERROR(__xludf.DUMMYFUNCTION("""COMPUTED_VALUE"""),"4b047b69")</f>
        <v>4b047b69</v>
      </c>
      <c r="B698" s="5">
        <f ca="1">IFERROR(__xludf.DUMMYFUNCTION("""COMPUTED_VALUE"""),45796.7616898148)</f>
        <v>45796.761689814797</v>
      </c>
      <c r="C698" s="2" t="str">
        <f ca="1">IFERROR(__xludf.DUMMYFUNCTION("""COMPUTED_VALUE"""),"e6ca31fd")</f>
        <v>e6ca31fd</v>
      </c>
      <c r="D698" s="2">
        <f ca="1">IFERROR(__xludf.DUMMYFUNCTION("""COMPUTED_VALUE"""),11)</f>
        <v>11</v>
      </c>
      <c r="E698" s="2" t="str">
        <f ca="1">IFERROR(__xludf.DUMMYFUNCTION("""COMPUTED_VALUE"""),"Claro de filtro")</f>
        <v>Claro de filtro</v>
      </c>
      <c r="F698" s="2">
        <f ca="1">IFERROR(__xludf.DUMMYFUNCTION("""COMPUTED_VALUE"""),36000)</f>
        <v>36000</v>
      </c>
      <c r="G698" s="2">
        <f ca="1">IFERROR(__xludf.DUMMYFUNCTION("""COMPUTED_VALUE"""),26)</f>
        <v>26</v>
      </c>
      <c r="H698" s="2" t="str">
        <f ca="1">IFERROR(__xludf.DUMMYFUNCTION("""COMPUTED_VALUE"""),"3fbc32d2")</f>
        <v>3fbc32d2</v>
      </c>
      <c r="I698" s="2" t="str">
        <f ca="1">IFERROR(__xludf.DUMMYFUNCTION("""COMPUTED_VALUE"""),"Tinto Venta Garbin")</f>
        <v>Tinto Venta Garbin</v>
      </c>
      <c r="J698" s="2">
        <f ca="1">IFERROR(__xludf.DUMMYFUNCTION("""COMPUTED_VALUE"""),130000)</f>
        <v>130000</v>
      </c>
      <c r="K698" s="2">
        <f ca="1">IFERROR(__xludf.DUMMYFUNCTION("""COMPUTED_VALUE"""),166000)</f>
        <v>166000</v>
      </c>
      <c r="L698" s="2" t="str">
        <f ca="1">IFERROR(__xludf.DUMMYFUNCTION("""COMPUTED_VALUE"""),"f3656dbf")</f>
        <v>f3656dbf</v>
      </c>
      <c r="M698" s="2" t="str">
        <f ca="1">IFERROR(__xludf.DUMMYFUNCTION("""COMPUTED_VALUE"""),"Tinto Venta Garbin")</f>
        <v>Tinto Venta Garbin</v>
      </c>
      <c r="N698" s="2"/>
      <c r="O698" s="2" t="str">
        <f ca="1">IFERROR(__xludf.DUMMYFUNCTION("""COMPUTED_VALUE"""),"Descubada")</f>
        <v>Descubada</v>
      </c>
      <c r="P698" s="2"/>
      <c r="Q698" s="2" t="b">
        <f ca="1">IFERROR(__xludf.DUMMYFUNCTION("""COMPUTED_VALUE"""),TRUE)</f>
        <v>1</v>
      </c>
      <c r="R698" s="2"/>
      <c r="S698" s="2"/>
      <c r="T698" s="2"/>
      <c r="U698" s="2"/>
    </row>
    <row r="699" spans="1:21" x14ac:dyDescent="0.25">
      <c r="A699" s="2" t="str">
        <f ca="1">IFERROR(__xludf.DUMMYFUNCTION("""COMPUTED_VALUE"""),"62f6b125")</f>
        <v>62f6b125</v>
      </c>
      <c r="B699" s="5">
        <f ca="1">IFERROR(__xludf.DUMMYFUNCTION("""COMPUTED_VALUE"""),45796.7628356481)</f>
        <v>45796.7628356481</v>
      </c>
      <c r="C699" s="2" t="str">
        <f ca="1">IFERROR(__xludf.DUMMYFUNCTION("""COMPUTED_VALUE"""),"80d02e67")</f>
        <v>80d02e67</v>
      </c>
      <c r="D699" s="2">
        <f ca="1">IFERROR(__xludf.DUMMYFUNCTION("""COMPUTED_VALUE"""),84)</f>
        <v>84</v>
      </c>
      <c r="E699" s="2" t="str">
        <f ca="1">IFERROR(__xludf.DUMMYFUNCTION("""COMPUTED_VALUE"""),"Tinto")</f>
        <v>Tinto</v>
      </c>
      <c r="F699" s="2">
        <f ca="1">IFERROR(__xludf.DUMMYFUNCTION("""COMPUTED_VALUE"""),35000)</f>
        <v>35000</v>
      </c>
      <c r="G699" s="2">
        <f ca="1">IFERROR(__xludf.DUMMYFUNCTION("""COMPUTED_VALUE"""),26)</f>
        <v>26</v>
      </c>
      <c r="H699" s="2" t="str">
        <f ca="1">IFERROR(__xludf.DUMMYFUNCTION("""COMPUTED_VALUE"""),"f3656dbf")</f>
        <v>f3656dbf</v>
      </c>
      <c r="I699" s="2" t="str">
        <f ca="1">IFERROR(__xludf.DUMMYFUNCTION("""COMPUTED_VALUE"""),"Tinto Venta Garbin")</f>
        <v>Tinto Venta Garbin</v>
      </c>
      <c r="J699" s="2">
        <f ca="1">IFERROR(__xludf.DUMMYFUNCTION("""COMPUTED_VALUE"""),166000)</f>
        <v>166000</v>
      </c>
      <c r="K699" s="2">
        <f ca="1">IFERROR(__xludf.DUMMYFUNCTION("""COMPUTED_VALUE"""),201000)</f>
        <v>201000</v>
      </c>
      <c r="L699" s="2" t="str">
        <f ca="1">IFERROR(__xludf.DUMMYFUNCTION("""COMPUTED_VALUE"""),"5c83ebb2")</f>
        <v>5c83ebb2</v>
      </c>
      <c r="M699" s="2" t="str">
        <f ca="1">IFERROR(__xludf.DUMMYFUNCTION("""COMPUTED_VALUE"""),"Tinto Venta Garbin")</f>
        <v>Tinto Venta Garbin</v>
      </c>
      <c r="N699" s="2"/>
      <c r="O699" s="2" t="str">
        <f ca="1">IFERROR(__xludf.DUMMYFUNCTION("""COMPUTED_VALUE"""),"1er Trasiego")</f>
        <v>1er Trasiego</v>
      </c>
      <c r="P699" s="2"/>
      <c r="Q699" s="2" t="b">
        <f ca="1">IFERROR(__xludf.DUMMYFUNCTION("""COMPUTED_VALUE"""),TRUE)</f>
        <v>1</v>
      </c>
      <c r="R699" s="2"/>
      <c r="S699" s="2"/>
      <c r="T699" s="2"/>
      <c r="U699" s="2"/>
    </row>
    <row r="700" spans="1:21" x14ac:dyDescent="0.25">
      <c r="A700" s="2" t="str">
        <f ca="1">IFERROR(__xludf.DUMMYFUNCTION("""COMPUTED_VALUE"""),"353e63f1")</f>
        <v>353e63f1</v>
      </c>
      <c r="B700" s="5">
        <f ca="1">IFERROR(__xludf.DUMMYFUNCTION("""COMPUTED_VALUE"""),45796.7729629629)</f>
        <v>45796.772962962903</v>
      </c>
      <c r="C700" s="2" t="str">
        <f ca="1">IFERROR(__xludf.DUMMYFUNCTION("""COMPUTED_VALUE"""),"1f012354")</f>
        <v>1f012354</v>
      </c>
      <c r="D700" s="2">
        <f ca="1">IFERROR(__xludf.DUMMYFUNCTION("""COMPUTED_VALUE"""),90)</f>
        <v>90</v>
      </c>
      <c r="E700" s="2" t="str">
        <f ca="1">IFERROR(__xludf.DUMMYFUNCTION("""COMPUTED_VALUE"""),"Tinto Recarga")</f>
        <v>Tinto Recarga</v>
      </c>
      <c r="F700" s="2">
        <f ca="1">IFERROR(__xludf.DUMMYFUNCTION("""COMPUTED_VALUE"""),2100)</f>
        <v>2100</v>
      </c>
      <c r="G700" s="2">
        <f ca="1">IFERROR(__xludf.DUMMYFUNCTION("""COMPUTED_VALUE"""),80)</f>
        <v>80</v>
      </c>
      <c r="H700" s="2" t="str">
        <f ca="1">IFERROR(__xludf.DUMMYFUNCTION("""COMPUTED_VALUE"""),"ea842d91")</f>
        <v>ea842d91</v>
      </c>
      <c r="I700" s="2" t="str">
        <f ca="1">IFERROR(__xludf.DUMMYFUNCTION("""COMPUTED_VALUE"""),"Borra")</f>
        <v>Borra</v>
      </c>
      <c r="J700" s="2">
        <f ca="1">IFERROR(__xludf.DUMMYFUNCTION("""COMPUTED_VALUE"""),24000)</f>
        <v>24000</v>
      </c>
      <c r="K700" s="2">
        <f ca="1">IFERROR(__xludf.DUMMYFUNCTION("""COMPUTED_VALUE"""),26100)</f>
        <v>26100</v>
      </c>
      <c r="L700" s="2" t="str">
        <f ca="1">IFERROR(__xludf.DUMMYFUNCTION("""COMPUTED_VALUE"""),"ebb87073")</f>
        <v>ebb87073</v>
      </c>
      <c r="M700" s="2" t="str">
        <f ca="1">IFERROR(__xludf.DUMMYFUNCTION("""COMPUTED_VALUE"""),"Borra")</f>
        <v>Borra</v>
      </c>
      <c r="N700" s="2"/>
      <c r="O700" s="2" t="str">
        <f ca="1">IFERROR(__xludf.DUMMYFUNCTION("""COMPUTED_VALUE"""),"1er Trasiego")</f>
        <v>1er Trasiego</v>
      </c>
      <c r="P700" s="2" t="str">
        <f ca="1">IFERROR(__xludf.DUMMYFUNCTION("""COMPUTED_VALUE"""),"1er Trasiego")</f>
        <v>1er Trasiego</v>
      </c>
      <c r="Q700" s="2" t="b">
        <f ca="1">IFERROR(__xludf.DUMMYFUNCTION("""COMPUTED_VALUE"""),TRUE)</f>
        <v>1</v>
      </c>
      <c r="R700" s="2" t="str">
        <f ca="1">IFERROR(__xludf.DUMMYFUNCTION("""COMPUTED_VALUE"""),"1er Trasiego")</f>
        <v>1er Trasiego</v>
      </c>
      <c r="S700" s="2"/>
      <c r="T700" s="2"/>
      <c r="U700" s="2"/>
    </row>
    <row r="701" spans="1:21" x14ac:dyDescent="0.25">
      <c r="A701" s="2" t="str">
        <f ca="1">IFERROR(__xludf.DUMMYFUNCTION("""COMPUTED_VALUE"""),"d7a08dcb")</f>
        <v>d7a08dcb</v>
      </c>
      <c r="B701" s="5">
        <f ca="1">IFERROR(__xludf.DUMMYFUNCTION("""COMPUTED_VALUE"""),45796.7759837962)</f>
        <v>45796.7759837962</v>
      </c>
      <c r="C701" s="2" t="str">
        <f ca="1">IFERROR(__xludf.DUMMYFUNCTION("""COMPUTED_VALUE"""),"1f012354")</f>
        <v>1f012354</v>
      </c>
      <c r="D701" s="2">
        <f ca="1">IFERROR(__xludf.DUMMYFUNCTION("""COMPUTED_VALUE"""),90)</f>
        <v>90</v>
      </c>
      <c r="E701" s="2" t="str">
        <f ca="1">IFERROR(__xludf.DUMMYFUNCTION("""COMPUTED_VALUE"""),"Tinto Recarga")</f>
        <v>Tinto Recarga</v>
      </c>
      <c r="F701" s="2">
        <f ca="1">IFERROR(__xludf.DUMMYFUNCTION("""COMPUTED_VALUE"""),400)</f>
        <v>400</v>
      </c>
      <c r="G701" s="2">
        <f ca="1">IFERROR(__xludf.DUMMYFUNCTION("""COMPUTED_VALUE"""),26)</f>
        <v>26</v>
      </c>
      <c r="H701" s="2" t="str">
        <f ca="1">IFERROR(__xludf.DUMMYFUNCTION("""COMPUTED_VALUE"""),"5c83ebb2")</f>
        <v>5c83ebb2</v>
      </c>
      <c r="I701" s="2" t="str">
        <f ca="1">IFERROR(__xludf.DUMMYFUNCTION("""COMPUTED_VALUE"""),"Tinto Venta Garbin")</f>
        <v>Tinto Venta Garbin</v>
      </c>
      <c r="J701" s="2">
        <f ca="1">IFERROR(__xludf.DUMMYFUNCTION("""COMPUTED_VALUE"""),201000)</f>
        <v>201000</v>
      </c>
      <c r="K701" s="2">
        <f ca="1">IFERROR(__xludf.DUMMYFUNCTION("""COMPUTED_VALUE"""),201400)</f>
        <v>201400</v>
      </c>
      <c r="L701" s="2" t="str">
        <f ca="1">IFERROR(__xludf.DUMMYFUNCTION("""COMPUTED_VALUE"""),"ab0df0a5")</f>
        <v>ab0df0a5</v>
      </c>
      <c r="M701" s="2" t="str">
        <f ca="1">IFERROR(__xludf.DUMMYFUNCTION("""COMPUTED_VALUE"""),"Tinto Venta Garbin")</f>
        <v>Tinto Venta Garbin</v>
      </c>
      <c r="N701" s="2"/>
      <c r="O701" s="2" t="str">
        <f ca="1">IFERROR(__xludf.DUMMYFUNCTION("""COMPUTED_VALUE"""),"1er Trasiego")</f>
        <v>1er Trasiego</v>
      </c>
      <c r="P701" s="2"/>
      <c r="Q701" s="2" t="b">
        <f ca="1">IFERROR(__xludf.DUMMYFUNCTION("""COMPUTED_VALUE"""),TRUE)</f>
        <v>1</v>
      </c>
      <c r="R701" s="2"/>
      <c r="S701" s="2"/>
      <c r="T701" s="2"/>
      <c r="U701" s="2"/>
    </row>
    <row r="702" spans="1:21" x14ac:dyDescent="0.25">
      <c r="A702" s="2" t="str">
        <f ca="1">IFERROR(__xludf.DUMMYFUNCTION("""COMPUTED_VALUE"""),"ac1c37de")</f>
        <v>ac1c37de</v>
      </c>
      <c r="B702" s="5">
        <f ca="1">IFERROR(__xludf.DUMMYFUNCTION("""COMPUTED_VALUE"""),45796.808136574)</f>
        <v>45796.808136574</v>
      </c>
      <c r="C702" s="2" t="str">
        <f ca="1">IFERROR(__xludf.DUMMYFUNCTION("""COMPUTED_VALUE"""),"83616429")</f>
        <v>83616429</v>
      </c>
      <c r="D702" s="2">
        <f ca="1">IFERROR(__xludf.DUMMYFUNCTION("""COMPUTED_VALUE"""),75)</f>
        <v>75</v>
      </c>
      <c r="E702" s="2" t="str">
        <f ca="1">IFERROR(__xludf.DUMMYFUNCTION("""COMPUTED_VALUE"""),"Malbec Carricondo Venta")</f>
        <v>Malbec Carricondo Venta</v>
      </c>
      <c r="F702" s="2">
        <f ca="1">IFERROR(__xludf.DUMMYFUNCTION("""COMPUTED_VALUE"""),7000)</f>
        <v>7000</v>
      </c>
      <c r="G702" s="2">
        <f ca="1">IFERROR(__xludf.DUMMYFUNCTION("""COMPUTED_VALUE"""),500)</f>
        <v>500</v>
      </c>
      <c r="H702" s="2"/>
      <c r="I702" s="2"/>
      <c r="J702" s="2">
        <f ca="1">IFERROR(__xludf.DUMMYFUNCTION("""COMPUTED_VALUE"""),0)</f>
        <v>0</v>
      </c>
      <c r="K702" s="2">
        <f ca="1">IFERROR(__xludf.DUMMYFUNCTION("""COMPUTED_VALUE"""),7000)</f>
        <v>7000</v>
      </c>
      <c r="L702" s="2" t="str">
        <f ca="1">IFERROR(__xludf.DUMMYFUNCTION("""COMPUTED_VALUE"""),"94013da4")</f>
        <v>94013da4</v>
      </c>
      <c r="M702" s="2"/>
      <c r="N702" s="2"/>
      <c r="O702" s="2" t="str">
        <f ca="1">IFERROR(__xludf.DUMMYFUNCTION("""COMPUTED_VALUE"""),"Traslado Venta")</f>
        <v>Traslado Venta</v>
      </c>
      <c r="P702" s="2"/>
      <c r="Q702" s="2" t="b">
        <f ca="1">IFERROR(__xludf.DUMMYFUNCTION("""COMPUTED_VALUE"""),TRUE)</f>
        <v>1</v>
      </c>
      <c r="R702" s="2"/>
      <c r="S702" s="2"/>
      <c r="T702" s="2"/>
      <c r="U702" s="2"/>
    </row>
    <row r="703" spans="1:21" x14ac:dyDescent="0.25">
      <c r="A703" s="2" t="str">
        <f ca="1">IFERROR(__xludf.DUMMYFUNCTION("""COMPUTED_VALUE"""),"b2082403")</f>
        <v>b2082403</v>
      </c>
      <c r="B703" s="5">
        <f ca="1">IFERROR(__xludf.DUMMYFUNCTION("""COMPUTED_VALUE"""),45797.7436458333)</f>
        <v>45797.743645833303</v>
      </c>
      <c r="C703" s="2" t="str">
        <f ca="1">IFERROR(__xludf.DUMMYFUNCTION("""COMPUTED_VALUE"""),"e44a0e79")</f>
        <v>e44a0e79</v>
      </c>
      <c r="D703" s="2">
        <f ca="1">IFERROR(__xludf.DUMMYFUNCTION("""COMPUTED_VALUE"""),45)</f>
        <v>45</v>
      </c>
      <c r="E703" s="2" t="str">
        <f ca="1">IFERROR(__xludf.DUMMYFUNCTION("""COMPUTED_VALUE"""),"Syrah")</f>
        <v>Syrah</v>
      </c>
      <c r="F703" s="2">
        <f ca="1">IFERROR(__xludf.DUMMYFUNCTION("""COMPUTED_VALUE"""),30000)</f>
        <v>30000</v>
      </c>
      <c r="G703" s="2">
        <f ca="1">IFERROR(__xludf.DUMMYFUNCTION("""COMPUTED_VALUE"""),114)</f>
        <v>114</v>
      </c>
      <c r="H703" s="2" t="str">
        <f ca="1">IFERROR(__xludf.DUMMYFUNCTION("""COMPUTED_VALUE"""),"f80e7320")</f>
        <v>f80e7320</v>
      </c>
      <c r="I703" s="2" t="str">
        <f ca="1">IFERROR(__xludf.DUMMYFUNCTION("""COMPUTED_VALUE"""),"Syrah Tempranillo")</f>
        <v>Syrah Tempranillo</v>
      </c>
      <c r="J703" s="2">
        <f ca="1">IFERROR(__xludf.DUMMYFUNCTION("""COMPUTED_VALUE"""),90300)</f>
        <v>90300</v>
      </c>
      <c r="K703" s="2">
        <f ca="1">IFERROR(__xludf.DUMMYFUNCTION("""COMPUTED_VALUE"""),120300)</f>
        <v>120300</v>
      </c>
      <c r="L703" s="2" t="str">
        <f ca="1">IFERROR(__xludf.DUMMYFUNCTION("""COMPUTED_VALUE"""),"8fa197ac")</f>
        <v>8fa197ac</v>
      </c>
      <c r="M703" s="2" t="str">
        <f ca="1">IFERROR(__xludf.DUMMYFUNCTION("""COMPUTED_VALUE"""),"Syrah Tempranillo")</f>
        <v>Syrah Tempranillo</v>
      </c>
      <c r="N703" s="2"/>
      <c r="O703" s="2" t="str">
        <f ca="1">IFERROR(__xludf.DUMMYFUNCTION("""COMPUTED_VALUE"""),"2do Trasiego")</f>
        <v>2do Trasiego</v>
      </c>
      <c r="P703" s="2" t="str">
        <f ca="1">IFERROR(__xludf.DUMMYFUNCTION("""COMPUTED_VALUE"""),"2do Trasiego")</f>
        <v>2do Trasiego</v>
      </c>
      <c r="Q703" s="2" t="b">
        <f ca="1">IFERROR(__xludf.DUMMYFUNCTION("""COMPUTED_VALUE"""),TRUE)</f>
        <v>1</v>
      </c>
      <c r="R703" s="2" t="str">
        <f ca="1">IFERROR(__xludf.DUMMYFUNCTION("""COMPUTED_VALUE"""),"2do Trasiego")</f>
        <v>2do Trasiego</v>
      </c>
      <c r="S703" s="2"/>
      <c r="T703" s="2"/>
      <c r="U703" s="2"/>
    </row>
    <row r="704" spans="1:21" x14ac:dyDescent="0.25">
      <c r="A704" s="2" t="str">
        <f ca="1">IFERROR(__xludf.DUMMYFUNCTION("""COMPUTED_VALUE"""),"1d16270d")</f>
        <v>1d16270d</v>
      </c>
      <c r="B704" s="5">
        <f ca="1">IFERROR(__xludf.DUMMYFUNCTION("""COMPUTED_VALUE"""),45797.7445023148)</f>
        <v>45797.744502314803</v>
      </c>
      <c r="C704" s="2" t="str">
        <f ca="1">IFERROR(__xludf.DUMMYFUNCTION("""COMPUTED_VALUE"""),"e074b6e4")</f>
        <v>e074b6e4</v>
      </c>
      <c r="D704" s="2">
        <f ca="1">IFERROR(__xludf.DUMMYFUNCTION("""COMPUTED_VALUE"""),68)</f>
        <v>68</v>
      </c>
      <c r="E704" s="2" t="str">
        <f ca="1">IFERROR(__xludf.DUMMYFUNCTION("""COMPUTED_VALUE"""),"Syrah")</f>
        <v>Syrah</v>
      </c>
      <c r="F704" s="2">
        <f ca="1">IFERROR(__xludf.DUMMYFUNCTION("""COMPUTED_VALUE"""),5000)</f>
        <v>5000</v>
      </c>
      <c r="G704" s="2">
        <f ca="1">IFERROR(__xludf.DUMMYFUNCTION("""COMPUTED_VALUE"""),114)</f>
        <v>114</v>
      </c>
      <c r="H704" s="2" t="str">
        <f ca="1">IFERROR(__xludf.DUMMYFUNCTION("""COMPUTED_VALUE"""),"8fa197ac")</f>
        <v>8fa197ac</v>
      </c>
      <c r="I704" s="2" t="str">
        <f ca="1">IFERROR(__xludf.DUMMYFUNCTION("""COMPUTED_VALUE"""),"Syrah Tempranillo")</f>
        <v>Syrah Tempranillo</v>
      </c>
      <c r="J704" s="2">
        <f ca="1">IFERROR(__xludf.DUMMYFUNCTION("""COMPUTED_VALUE"""),120300)</f>
        <v>120300</v>
      </c>
      <c r="K704" s="2">
        <f ca="1">IFERROR(__xludf.DUMMYFUNCTION("""COMPUTED_VALUE"""),125300)</f>
        <v>125300</v>
      </c>
      <c r="L704" s="2" t="str">
        <f ca="1">IFERROR(__xludf.DUMMYFUNCTION("""COMPUTED_VALUE"""),"a9aa0086")</f>
        <v>a9aa0086</v>
      </c>
      <c r="M704" s="2" t="str">
        <f ca="1">IFERROR(__xludf.DUMMYFUNCTION("""COMPUTED_VALUE"""),"Syrah Tempranillo")</f>
        <v>Syrah Tempranillo</v>
      </c>
      <c r="N704" s="2"/>
      <c r="O704" s="2" t="str">
        <f ca="1">IFERROR(__xludf.DUMMYFUNCTION("""COMPUTED_VALUE"""),"2do Trasiego")</f>
        <v>2do Trasiego</v>
      </c>
      <c r="P704" s="2" t="str">
        <f ca="1">IFERROR(__xludf.DUMMYFUNCTION("""COMPUTED_VALUE"""),"2do Trasiego")</f>
        <v>2do Trasiego</v>
      </c>
      <c r="Q704" s="2" t="b">
        <f ca="1">IFERROR(__xludf.DUMMYFUNCTION("""COMPUTED_VALUE"""),TRUE)</f>
        <v>1</v>
      </c>
      <c r="R704" s="2" t="str">
        <f ca="1">IFERROR(__xludf.DUMMYFUNCTION("""COMPUTED_VALUE"""),"2do Trasiego")</f>
        <v>2do Trasiego</v>
      </c>
      <c r="S704" s="2"/>
      <c r="T704" s="2"/>
      <c r="U704" s="2"/>
    </row>
    <row r="705" spans="1:21" x14ac:dyDescent="0.25">
      <c r="A705" s="2" t="str">
        <f ca="1">IFERROR(__xludf.DUMMYFUNCTION("""COMPUTED_VALUE"""),"3a10fed9")</f>
        <v>3a10fed9</v>
      </c>
      <c r="B705" s="5">
        <f ca="1">IFERROR(__xludf.DUMMYFUNCTION("""COMPUTED_VALUE"""),45797.7450347222)</f>
        <v>45797.745034722197</v>
      </c>
      <c r="C705" s="2" t="str">
        <f ca="1">IFERROR(__xludf.DUMMYFUNCTION("""COMPUTED_VALUE"""),"91b01170")</f>
        <v>91b01170</v>
      </c>
      <c r="D705" s="2">
        <f ca="1">IFERROR(__xludf.DUMMYFUNCTION("""COMPUTED_VALUE"""),65)</f>
        <v>65</v>
      </c>
      <c r="E705" s="2" t="str">
        <f ca="1">IFERROR(__xludf.DUMMYFUNCTION("""COMPUTED_VALUE"""),"Malbec Dulc")</f>
        <v>Malbec Dulc</v>
      </c>
      <c r="F705" s="2">
        <f ca="1">IFERROR(__xludf.DUMMYFUNCTION("""COMPUTED_VALUE"""),-500)</f>
        <v>-500</v>
      </c>
      <c r="G705" s="2">
        <f ca="1">IFERROR(__xludf.DUMMYFUNCTION("""COMPUTED_VALUE"""),68)</f>
        <v>68</v>
      </c>
      <c r="H705" s="2" t="str">
        <f ca="1">IFERROR(__xludf.DUMMYFUNCTION("""COMPUTED_VALUE"""),"e074b6e4")</f>
        <v>e074b6e4</v>
      </c>
      <c r="I705" s="2" t="str">
        <f ca="1">IFERROR(__xludf.DUMMYFUNCTION("""COMPUTED_VALUE"""),"Syrah")</f>
        <v>Syrah</v>
      </c>
      <c r="J705" s="2">
        <f ca="1">IFERROR(__xludf.DUMMYFUNCTION("""COMPUTED_VALUE"""),8000)</f>
        <v>8000</v>
      </c>
      <c r="K705" s="2">
        <f ca="1">IFERROR(__xludf.DUMMYFUNCTION("""COMPUTED_VALUE"""),7500)</f>
        <v>7500</v>
      </c>
      <c r="L705" s="2" t="str">
        <f ca="1">IFERROR(__xludf.DUMMYFUNCTION("""COMPUTED_VALUE"""),"853ab9c1")</f>
        <v>853ab9c1</v>
      </c>
      <c r="M705" s="2" t="str">
        <f ca="1">IFERROR(__xludf.DUMMYFUNCTION("""COMPUTED_VALUE"""),"Syrah")</f>
        <v>Syrah</v>
      </c>
      <c r="N705" s="2"/>
      <c r="O705" s="2" t="str">
        <f ca="1">IFERROR(__xludf.DUMMYFUNCTION("""COMPUTED_VALUE"""),"2do Trasiego")</f>
        <v>2do Trasiego</v>
      </c>
      <c r="P705" s="2" t="str">
        <f ca="1">IFERROR(__xludf.DUMMYFUNCTION("""COMPUTED_VALUE"""),"2do Trasiego")</f>
        <v>2do Trasiego</v>
      </c>
      <c r="Q705" s="2" t="b">
        <f ca="1">IFERROR(__xludf.DUMMYFUNCTION("""COMPUTED_VALUE"""),TRUE)</f>
        <v>1</v>
      </c>
      <c r="R705" s="2" t="str">
        <f ca="1">IFERROR(__xludf.DUMMYFUNCTION("""COMPUTED_VALUE"""),"2do Trasiego")</f>
        <v>2do Trasiego</v>
      </c>
      <c r="S705" s="2"/>
      <c r="T705" s="2"/>
      <c r="U705" s="2"/>
    </row>
    <row r="706" spans="1:21" x14ac:dyDescent="0.25">
      <c r="A706" s="2" t="str">
        <f ca="1">IFERROR(__xludf.DUMMYFUNCTION("""COMPUTED_VALUE"""),"43ea19d3")</f>
        <v>43ea19d3</v>
      </c>
      <c r="B706" s="5">
        <f ca="1">IFERROR(__xludf.DUMMYFUNCTION("""COMPUTED_VALUE"""),45797.7453587962)</f>
        <v>45797.745358796201</v>
      </c>
      <c r="C706" s="2" t="str">
        <f ca="1">IFERROR(__xludf.DUMMYFUNCTION("""COMPUTED_VALUE"""),"95f6ad50")</f>
        <v>95f6ad50</v>
      </c>
      <c r="D706" s="2">
        <f ca="1">IFERROR(__xludf.DUMMYFUNCTION("""COMPUTED_VALUE"""),66)</f>
        <v>66</v>
      </c>
      <c r="E706" s="2" t="str">
        <f ca="1">IFERROR(__xludf.DUMMYFUNCTION("""COMPUTED_VALUE"""),"Malbec Dulc")</f>
        <v>Malbec Dulc</v>
      </c>
      <c r="F706" s="2">
        <f ca="1">IFERROR(__xludf.DUMMYFUNCTION("""COMPUTED_VALUE"""),-500)</f>
        <v>-500</v>
      </c>
      <c r="G706" s="2">
        <f ca="1">IFERROR(__xludf.DUMMYFUNCTION("""COMPUTED_VALUE"""),68)</f>
        <v>68</v>
      </c>
      <c r="H706" s="2" t="str">
        <f ca="1">IFERROR(__xludf.DUMMYFUNCTION("""COMPUTED_VALUE"""),"853ab9c1")</f>
        <v>853ab9c1</v>
      </c>
      <c r="I706" s="2" t="str">
        <f ca="1">IFERROR(__xludf.DUMMYFUNCTION("""COMPUTED_VALUE"""),"Syrah")</f>
        <v>Syrah</v>
      </c>
      <c r="J706" s="2">
        <f ca="1">IFERROR(__xludf.DUMMYFUNCTION("""COMPUTED_VALUE"""),7500)</f>
        <v>7500</v>
      </c>
      <c r="K706" s="2">
        <f ca="1">IFERROR(__xludf.DUMMYFUNCTION("""COMPUTED_VALUE"""),7000)</f>
        <v>7000</v>
      </c>
      <c r="L706" s="2" t="str">
        <f ca="1">IFERROR(__xludf.DUMMYFUNCTION("""COMPUTED_VALUE"""),"1fdf5dbd")</f>
        <v>1fdf5dbd</v>
      </c>
      <c r="M706" s="2" t="str">
        <f ca="1">IFERROR(__xludf.DUMMYFUNCTION("""COMPUTED_VALUE"""),"Syrah")</f>
        <v>Syrah</v>
      </c>
      <c r="N706" s="2"/>
      <c r="O706" s="2" t="str">
        <f ca="1">IFERROR(__xludf.DUMMYFUNCTION("""COMPUTED_VALUE"""),"2do Trasiego")</f>
        <v>2do Trasiego</v>
      </c>
      <c r="P706" s="2" t="str">
        <f ca="1">IFERROR(__xludf.DUMMYFUNCTION("""COMPUTED_VALUE"""),"2do Trasiego")</f>
        <v>2do Trasiego</v>
      </c>
      <c r="Q706" s="2" t="b">
        <f ca="1">IFERROR(__xludf.DUMMYFUNCTION("""COMPUTED_VALUE"""),TRUE)</f>
        <v>1</v>
      </c>
      <c r="R706" s="2" t="str">
        <f ca="1">IFERROR(__xludf.DUMMYFUNCTION("""COMPUTED_VALUE"""),"2do Trasiego")</f>
        <v>2do Trasiego</v>
      </c>
      <c r="S706" s="2"/>
      <c r="T706" s="2"/>
      <c r="U706" s="2"/>
    </row>
    <row r="707" spans="1:21" x14ac:dyDescent="0.25">
      <c r="A707" s="2" t="str">
        <f ca="1">IFERROR(__xludf.DUMMYFUNCTION("""COMPUTED_VALUE"""),"9743feca")</f>
        <v>9743feca</v>
      </c>
      <c r="B707" s="5">
        <f ca="1">IFERROR(__xludf.DUMMYFUNCTION("""COMPUTED_VALUE"""),45797.748761574)</f>
        <v>45797.748761574003</v>
      </c>
      <c r="C707" s="2" t="str">
        <f ca="1">IFERROR(__xludf.DUMMYFUNCTION("""COMPUTED_VALUE"""),"80d02e67")</f>
        <v>80d02e67</v>
      </c>
      <c r="D707" s="2">
        <f ca="1">IFERROR(__xludf.DUMMYFUNCTION("""COMPUTED_VALUE"""),84)</f>
        <v>84</v>
      </c>
      <c r="E707" s="2" t="str">
        <f ca="1">IFERROR(__xludf.DUMMYFUNCTION("""COMPUTED_VALUE"""),"Tinto")</f>
        <v>Tinto</v>
      </c>
      <c r="F707" s="2">
        <f ca="1">IFERROR(__xludf.DUMMYFUNCTION("""COMPUTED_VALUE"""),48000)</f>
        <v>48000</v>
      </c>
      <c r="G707" s="2">
        <f ca="1">IFERROR(__xludf.DUMMYFUNCTION("""COMPUTED_VALUE"""),87)</f>
        <v>87</v>
      </c>
      <c r="H707" s="2"/>
      <c r="I707" s="2"/>
      <c r="J707" s="2">
        <f ca="1">IFERROR(__xludf.DUMMYFUNCTION("""COMPUTED_VALUE"""),0)</f>
        <v>0</v>
      </c>
      <c r="K707" s="2">
        <f ca="1">IFERROR(__xludf.DUMMYFUNCTION("""COMPUTED_VALUE"""),48000)</f>
        <v>48000</v>
      </c>
      <c r="L707" s="2" t="str">
        <f ca="1">IFERROR(__xludf.DUMMYFUNCTION("""COMPUTED_VALUE"""),"c82e7f90")</f>
        <v>c82e7f90</v>
      </c>
      <c r="M707" s="2" t="str">
        <f ca="1">IFERROR(__xludf.DUMMYFUNCTION("""COMPUTED_VALUE"""),"Tinto")</f>
        <v>Tinto</v>
      </c>
      <c r="N707" s="2"/>
      <c r="O707" s="2" t="str">
        <f ca="1">IFERROR(__xludf.DUMMYFUNCTION("""COMPUTED_VALUE"""),"1er Trasiego")</f>
        <v>1er Trasiego</v>
      </c>
      <c r="P707" s="2"/>
      <c r="Q707" s="2" t="b">
        <f ca="1">IFERROR(__xludf.DUMMYFUNCTION("""COMPUTED_VALUE"""),FALSE)</f>
        <v>0</v>
      </c>
      <c r="R707" s="2" t="str">
        <f ca="1">IFERROR(__xludf.DUMMYFUNCTION("""COMPUTED_VALUE"""),"2do Trasiego")</f>
        <v>2do Trasiego</v>
      </c>
      <c r="S707" s="2"/>
      <c r="T707" s="2"/>
      <c r="U707" s="2"/>
    </row>
    <row r="708" spans="1:21" x14ac:dyDescent="0.25">
      <c r="A708" s="2" t="str">
        <f ca="1">IFERROR(__xludf.DUMMYFUNCTION("""COMPUTED_VALUE"""),"f3dc6fdd")</f>
        <v>f3dc6fdd</v>
      </c>
      <c r="B708" s="5">
        <f ca="1">IFERROR(__xludf.DUMMYFUNCTION("""COMPUTED_VALUE"""),45797.7560416666)</f>
        <v>45797.756041666602</v>
      </c>
      <c r="C708" s="2" t="str">
        <f ca="1">IFERROR(__xludf.DUMMYFUNCTION("""COMPUTED_VALUE"""),"3030acaa")</f>
        <v>3030acaa</v>
      </c>
      <c r="D708" s="2">
        <f ca="1">IFERROR(__xludf.DUMMYFUNCTION("""COMPUTED_VALUE"""),88)</f>
        <v>88</v>
      </c>
      <c r="E708" s="2" t="str">
        <f ca="1">IFERROR(__xludf.DUMMYFUNCTION("""COMPUTED_VALUE"""),"Tinto")</f>
        <v>Tinto</v>
      </c>
      <c r="F708" s="2">
        <f ca="1">IFERROR(__xludf.DUMMYFUNCTION("""COMPUTED_VALUE"""),45700)</f>
        <v>45700</v>
      </c>
      <c r="G708" s="2">
        <f ca="1">IFERROR(__xludf.DUMMYFUNCTION("""COMPUTED_VALUE"""),87)</f>
        <v>87</v>
      </c>
      <c r="H708" s="2" t="str">
        <f ca="1">IFERROR(__xludf.DUMMYFUNCTION("""COMPUTED_VALUE"""),"c82e7f90")</f>
        <v>c82e7f90</v>
      </c>
      <c r="I708" s="2" t="str">
        <f ca="1">IFERROR(__xludf.DUMMYFUNCTION("""COMPUTED_VALUE"""),"Tinto")</f>
        <v>Tinto</v>
      </c>
      <c r="J708" s="2">
        <f ca="1">IFERROR(__xludf.DUMMYFUNCTION("""COMPUTED_VALUE"""),48000)</f>
        <v>48000</v>
      </c>
      <c r="K708" s="2">
        <f ca="1">IFERROR(__xludf.DUMMYFUNCTION("""COMPUTED_VALUE"""),93700)</f>
        <v>93700</v>
      </c>
      <c r="L708" s="2" t="str">
        <f ca="1">IFERROR(__xludf.DUMMYFUNCTION("""COMPUTED_VALUE"""),"b04cae80")</f>
        <v>b04cae80</v>
      </c>
      <c r="M708" s="2" t="str">
        <f ca="1">IFERROR(__xludf.DUMMYFUNCTION("""COMPUTED_VALUE"""),"Tinto")</f>
        <v>Tinto</v>
      </c>
      <c r="N708" s="2"/>
      <c r="O708" s="2" t="str">
        <f ca="1">IFERROR(__xludf.DUMMYFUNCTION("""COMPUTED_VALUE"""),"1er Trasiego")</f>
        <v>1er Trasiego</v>
      </c>
      <c r="P708" s="2" t="str">
        <f ca="1">IFERROR(__xludf.DUMMYFUNCTION("""COMPUTED_VALUE"""),"2do Trasiego")</f>
        <v>2do Trasiego</v>
      </c>
      <c r="Q708" s="2" t="b">
        <f ca="1">IFERROR(__xludf.DUMMYFUNCTION("""COMPUTED_VALUE"""),TRUE)</f>
        <v>1</v>
      </c>
      <c r="R708" s="2" t="str">
        <f ca="1">IFERROR(__xludf.DUMMYFUNCTION("""COMPUTED_VALUE"""),"2do Trasiego")</f>
        <v>2do Trasiego</v>
      </c>
      <c r="S708" s="2"/>
      <c r="T708" s="2"/>
      <c r="U708" s="2"/>
    </row>
    <row r="709" spans="1:21" x14ac:dyDescent="0.25">
      <c r="A709" s="2" t="str">
        <f ca="1">IFERROR(__xludf.DUMMYFUNCTION("""COMPUTED_VALUE"""),"eaa51d03")</f>
        <v>eaa51d03</v>
      </c>
      <c r="B709" s="5">
        <f ca="1">IFERROR(__xludf.DUMMYFUNCTION("""COMPUTED_VALUE"""),45797.7574537037)</f>
        <v>45797.7574537037</v>
      </c>
      <c r="C709" s="2" t="str">
        <f ca="1">IFERROR(__xludf.DUMMYFUNCTION("""COMPUTED_VALUE"""),"3030acaa")</f>
        <v>3030acaa</v>
      </c>
      <c r="D709" s="2">
        <f ca="1">IFERROR(__xludf.DUMMYFUNCTION("""COMPUTED_VALUE"""),88)</f>
        <v>88</v>
      </c>
      <c r="E709" s="2" t="str">
        <f ca="1">IFERROR(__xludf.DUMMYFUNCTION("""COMPUTED_VALUE"""),"Tinto")</f>
        <v>Tinto</v>
      </c>
      <c r="F709" s="2">
        <f ca="1">IFERROR(__xludf.DUMMYFUNCTION("""COMPUTED_VALUE"""),30000)</f>
        <v>30000</v>
      </c>
      <c r="G709" s="2">
        <f ca="1">IFERROR(__xludf.DUMMYFUNCTION("""COMPUTED_VALUE"""),45)</f>
        <v>45</v>
      </c>
      <c r="H709" s="2"/>
      <c r="I709" s="2"/>
      <c r="J709" s="2">
        <f ca="1">IFERROR(__xludf.DUMMYFUNCTION("""COMPUTED_VALUE"""),0)</f>
        <v>0</v>
      </c>
      <c r="K709" s="2">
        <f ca="1">IFERROR(__xludf.DUMMYFUNCTION("""COMPUTED_VALUE"""),30000)</f>
        <v>30000</v>
      </c>
      <c r="L709" s="2" t="str">
        <f ca="1">IFERROR(__xludf.DUMMYFUNCTION("""COMPUTED_VALUE"""),"a6d11ad4")</f>
        <v>a6d11ad4</v>
      </c>
      <c r="M709" s="2" t="str">
        <f ca="1">IFERROR(__xludf.DUMMYFUNCTION("""COMPUTED_VALUE"""),"Tinto")</f>
        <v>Tinto</v>
      </c>
      <c r="N709" s="2"/>
      <c r="O709" s="2" t="str">
        <f ca="1">IFERROR(__xludf.DUMMYFUNCTION("""COMPUTED_VALUE"""),"1er Trasiego")</f>
        <v>1er Trasiego</v>
      </c>
      <c r="P709" s="2"/>
      <c r="Q709" s="2" t="b">
        <f ca="1">IFERROR(__xludf.DUMMYFUNCTION("""COMPUTED_VALUE"""),FALSE)</f>
        <v>0</v>
      </c>
      <c r="R709" s="2" t="str">
        <f ca="1">IFERROR(__xludf.DUMMYFUNCTION("""COMPUTED_VALUE"""),"1er Trasiego")</f>
        <v>1er Trasiego</v>
      </c>
      <c r="S709" s="2"/>
      <c r="T709" s="2"/>
      <c r="U709" s="2"/>
    </row>
    <row r="710" spans="1:21" x14ac:dyDescent="0.25">
      <c r="A710" s="2" t="str">
        <f ca="1">IFERROR(__xludf.DUMMYFUNCTION("""COMPUTED_VALUE"""),"f4207806")</f>
        <v>f4207806</v>
      </c>
      <c r="B710" s="5">
        <f ca="1">IFERROR(__xludf.DUMMYFUNCTION("""COMPUTED_VALUE"""),45797.7587037037)</f>
        <v>45797.758703703701</v>
      </c>
      <c r="C710" s="2" t="str">
        <f ca="1">IFERROR(__xludf.DUMMYFUNCTION("""COMPUTED_VALUE"""),"3030acaa")</f>
        <v>3030acaa</v>
      </c>
      <c r="D710" s="2">
        <f ca="1">IFERROR(__xludf.DUMMYFUNCTION("""COMPUTED_VALUE"""),88)</f>
        <v>88</v>
      </c>
      <c r="E710" s="2" t="str">
        <f ca="1">IFERROR(__xludf.DUMMYFUNCTION("""COMPUTED_VALUE"""),"Tinto")</f>
        <v>Tinto</v>
      </c>
      <c r="F710" s="2">
        <f ca="1">IFERROR(__xludf.DUMMYFUNCTION("""COMPUTED_VALUE"""),3200)</f>
        <v>3200</v>
      </c>
      <c r="G710" s="2">
        <f ca="1">IFERROR(__xludf.DUMMYFUNCTION("""COMPUTED_VALUE"""),68)</f>
        <v>68</v>
      </c>
      <c r="H710" s="2" t="str">
        <f ca="1">IFERROR(__xludf.DUMMYFUNCTION("""COMPUTED_VALUE"""),"1fdf5dbd")</f>
        <v>1fdf5dbd</v>
      </c>
      <c r="I710" s="2" t="str">
        <f ca="1">IFERROR(__xludf.DUMMYFUNCTION("""COMPUTED_VALUE"""),"Syrah")</f>
        <v>Syrah</v>
      </c>
      <c r="J710" s="2">
        <f ca="1">IFERROR(__xludf.DUMMYFUNCTION("""COMPUTED_VALUE"""),7000)</f>
        <v>7000</v>
      </c>
      <c r="K710" s="2">
        <f ca="1">IFERROR(__xludf.DUMMYFUNCTION("""COMPUTED_VALUE"""),10200)</f>
        <v>10200</v>
      </c>
      <c r="L710" s="2" t="str">
        <f ca="1">IFERROR(__xludf.DUMMYFUNCTION("""COMPUTED_VALUE"""),"9dfda5e0")</f>
        <v>9dfda5e0</v>
      </c>
      <c r="M710" s="2" t="str">
        <f ca="1">IFERROR(__xludf.DUMMYFUNCTION("""COMPUTED_VALUE"""),"Tinto")</f>
        <v>Tinto</v>
      </c>
      <c r="N710" s="2"/>
      <c r="O710" s="2" t="str">
        <f ca="1">IFERROR(__xludf.DUMMYFUNCTION("""COMPUTED_VALUE"""),"1er Trasiego")</f>
        <v>1er Trasiego</v>
      </c>
      <c r="P710" s="2" t="str">
        <f ca="1">IFERROR(__xludf.DUMMYFUNCTION("""COMPUTED_VALUE"""),"2do Trasiego")</f>
        <v>2do Trasiego</v>
      </c>
      <c r="Q710" s="2"/>
      <c r="R710" s="2" t="str">
        <f ca="1">IFERROR(__xludf.DUMMYFUNCTION("""COMPUTED_VALUE"""),"1er Trasiego")</f>
        <v>1er Trasiego</v>
      </c>
      <c r="S710" s="2"/>
      <c r="T710" s="2"/>
      <c r="U710" s="2"/>
    </row>
    <row r="711" spans="1:21" x14ac:dyDescent="0.25">
      <c r="A711" s="2" t="str">
        <f ca="1">IFERROR(__xludf.DUMMYFUNCTION("""COMPUTED_VALUE"""),"0a8da79a")</f>
        <v>0a8da79a</v>
      </c>
      <c r="B711" s="5">
        <f ca="1">IFERROR(__xludf.DUMMYFUNCTION("""COMPUTED_VALUE"""),45797.7595138888)</f>
        <v>45797.759513888799</v>
      </c>
      <c r="C711" s="2" t="str">
        <f ca="1">IFERROR(__xludf.DUMMYFUNCTION("""COMPUTED_VALUE"""),"8173df5d")</f>
        <v>8173df5d</v>
      </c>
      <c r="D711" s="2">
        <f ca="1">IFERROR(__xludf.DUMMYFUNCTION("""COMPUTED_VALUE"""),72)</f>
        <v>72</v>
      </c>
      <c r="E711" s="2" t="str">
        <f ca="1">IFERROR(__xludf.DUMMYFUNCTION("""COMPUTED_VALUE"""),"Malbec")</f>
        <v>Malbec</v>
      </c>
      <c r="F711" s="2">
        <f ca="1">IFERROR(__xludf.DUMMYFUNCTION("""COMPUTED_VALUE"""),8000)</f>
        <v>8000</v>
      </c>
      <c r="G711" s="2">
        <f ca="1">IFERROR(__xludf.DUMMYFUNCTION("""COMPUTED_VALUE"""),7)</f>
        <v>7</v>
      </c>
      <c r="H711" s="2" t="str">
        <f ca="1">IFERROR(__xludf.DUMMYFUNCTION("""COMPUTED_VALUE"""),"a3608d6e")</f>
        <v>a3608d6e</v>
      </c>
      <c r="I711" s="2" t="str">
        <f ca="1">IFERROR(__xludf.DUMMYFUNCTION("""COMPUTED_VALUE"""),"Cabernet Sauvignon - Rectificado")</f>
        <v>Cabernet Sauvignon - Rectificado</v>
      </c>
      <c r="J711" s="2">
        <f ca="1">IFERROR(__xludf.DUMMYFUNCTION("""COMPUTED_VALUE"""),22000)</f>
        <v>22000</v>
      </c>
      <c r="K711" s="2">
        <f ca="1">IFERROR(__xludf.DUMMYFUNCTION("""COMPUTED_VALUE"""),30000)</f>
        <v>30000</v>
      </c>
      <c r="L711" s="2" t="str">
        <f ca="1">IFERROR(__xludf.DUMMYFUNCTION("""COMPUTED_VALUE"""),"530c9456")</f>
        <v>530c9456</v>
      </c>
      <c r="M711" s="2" t="str">
        <f ca="1">IFERROR(__xludf.DUMMYFUNCTION("""COMPUTED_VALUE"""),"Cabernet Sauvignon - Rectificado")</f>
        <v>Cabernet Sauvignon - Rectificado</v>
      </c>
      <c r="N711" s="2"/>
      <c r="O711" s="2" t="str">
        <f ca="1">IFERROR(__xludf.DUMMYFUNCTION("""COMPUTED_VALUE"""),"1er Trasiego")</f>
        <v>1er Trasiego</v>
      </c>
      <c r="P711" s="2" t="str">
        <f ca="1">IFERROR(__xludf.DUMMYFUNCTION("""COMPUTED_VALUE"""),"Rectificado")</f>
        <v>Rectificado</v>
      </c>
      <c r="Q711" s="2" t="b">
        <f ca="1">IFERROR(__xludf.DUMMYFUNCTION("""COMPUTED_VALUE"""),TRUE)</f>
        <v>1</v>
      </c>
      <c r="R711" s="2" t="str">
        <f ca="1">IFERROR(__xludf.DUMMYFUNCTION("""COMPUTED_VALUE"""),"Rectificado")</f>
        <v>Rectificado</v>
      </c>
      <c r="S711" s="2"/>
      <c r="T711" s="2"/>
      <c r="U711" s="2"/>
    </row>
    <row r="712" spans="1:21" x14ac:dyDescent="0.25">
      <c r="A712" s="2" t="str">
        <f ca="1">IFERROR(__xludf.DUMMYFUNCTION("""COMPUTED_VALUE"""),"c5c4a33c")</f>
        <v>c5c4a33c</v>
      </c>
      <c r="B712" s="5">
        <f ca="1">IFERROR(__xludf.DUMMYFUNCTION("""COMPUTED_VALUE"""),45797.759849537)</f>
        <v>45797.759849536997</v>
      </c>
      <c r="C712" s="2" t="str">
        <f ca="1">IFERROR(__xludf.DUMMYFUNCTION("""COMPUTED_VALUE"""),"8173df5d")</f>
        <v>8173df5d</v>
      </c>
      <c r="D712" s="2">
        <f ca="1">IFERROR(__xludf.DUMMYFUNCTION("""COMPUTED_VALUE"""),72)</f>
        <v>72</v>
      </c>
      <c r="E712" s="2" t="str">
        <f ca="1">IFERROR(__xludf.DUMMYFUNCTION("""COMPUTED_VALUE"""),"Malbec")</f>
        <v>Malbec</v>
      </c>
      <c r="F712" s="2">
        <f ca="1">IFERROR(__xludf.DUMMYFUNCTION("""COMPUTED_VALUE"""),5000)</f>
        <v>5000</v>
      </c>
      <c r="G712" s="2">
        <f ca="1">IFERROR(__xludf.DUMMYFUNCTION("""COMPUTED_VALUE"""),49)</f>
        <v>49</v>
      </c>
      <c r="H712" s="2"/>
      <c r="I712" s="2"/>
      <c r="J712" s="2">
        <f ca="1">IFERROR(__xludf.DUMMYFUNCTION("""COMPUTED_VALUE"""),0)</f>
        <v>0</v>
      </c>
      <c r="K712" s="2">
        <f ca="1">IFERROR(__xludf.DUMMYFUNCTION("""COMPUTED_VALUE"""),5000)</f>
        <v>5000</v>
      </c>
      <c r="L712" s="2" t="str">
        <f ca="1">IFERROR(__xludf.DUMMYFUNCTION("""COMPUTED_VALUE"""),"91ba2ba0")</f>
        <v>91ba2ba0</v>
      </c>
      <c r="M712" s="2" t="str">
        <f ca="1">IFERROR(__xludf.DUMMYFUNCTION("""COMPUTED_VALUE"""),"Malbec")</f>
        <v>Malbec</v>
      </c>
      <c r="N712" s="2"/>
      <c r="O712" s="2" t="str">
        <f ca="1">IFERROR(__xludf.DUMMYFUNCTION("""COMPUTED_VALUE"""),"1er Trasiego")</f>
        <v>1er Trasiego</v>
      </c>
      <c r="P712" s="2"/>
      <c r="Q712" s="2" t="b">
        <f ca="1">IFERROR(__xludf.DUMMYFUNCTION("""COMPUTED_VALUE"""),FALSE)</f>
        <v>0</v>
      </c>
      <c r="R712" s="2" t="str">
        <f ca="1">IFERROR(__xludf.DUMMYFUNCTION("""COMPUTED_VALUE"""),"Rectificado")</f>
        <v>Rectificado</v>
      </c>
      <c r="S712" s="2"/>
      <c r="T712" s="2"/>
      <c r="U712" s="2"/>
    </row>
    <row r="713" spans="1:21" x14ac:dyDescent="0.25">
      <c r="A713" s="2" t="str">
        <f ca="1">IFERROR(__xludf.DUMMYFUNCTION("""COMPUTED_VALUE"""),"1dce2540")</f>
        <v>1dce2540</v>
      </c>
      <c r="B713" s="5">
        <f ca="1">IFERROR(__xludf.DUMMYFUNCTION("""COMPUTED_VALUE"""),45797.7720601851)</f>
        <v>45797.772060185103</v>
      </c>
      <c r="C713" s="2" t="str">
        <f ca="1">IFERROR(__xludf.DUMMYFUNCTION("""COMPUTED_VALUE"""),"7a999708")</f>
        <v>7a999708</v>
      </c>
      <c r="D713" s="2">
        <f ca="1">IFERROR(__xludf.DUMMYFUNCTION("""COMPUTED_VALUE"""),116)</f>
        <v>116</v>
      </c>
      <c r="E713" s="2" t="str">
        <f ca="1">IFERROR(__xludf.DUMMYFUNCTION("""COMPUTED_VALUE"""),"Bonarda")</f>
        <v>Bonarda</v>
      </c>
      <c r="F713" s="2">
        <f ca="1">IFERROR(__xludf.DUMMYFUNCTION("""COMPUTED_VALUE"""),97500)</f>
        <v>97500</v>
      </c>
      <c r="G713" s="2">
        <f ca="1">IFERROR(__xludf.DUMMYFUNCTION("""COMPUTED_VALUE"""),90)</f>
        <v>90</v>
      </c>
      <c r="H713" s="2"/>
      <c r="I713" s="2"/>
      <c r="J713" s="2">
        <f ca="1">IFERROR(__xludf.DUMMYFUNCTION("""COMPUTED_VALUE"""),0)</f>
        <v>0</v>
      </c>
      <c r="K713" s="2">
        <f ca="1">IFERROR(__xludf.DUMMYFUNCTION("""COMPUTED_VALUE"""),97500)</f>
        <v>97500</v>
      </c>
      <c r="L713" s="2" t="str">
        <f ca="1">IFERROR(__xludf.DUMMYFUNCTION("""COMPUTED_VALUE"""),"cddb06a5")</f>
        <v>cddb06a5</v>
      </c>
      <c r="M713" s="2" t="str">
        <f ca="1">IFERROR(__xludf.DUMMYFUNCTION("""COMPUTED_VALUE"""),"Bonarda")</f>
        <v>Bonarda</v>
      </c>
      <c r="N713" s="2"/>
      <c r="O713" s="2" t="str">
        <f ca="1">IFERROR(__xludf.DUMMYFUNCTION("""COMPUTED_VALUE"""),"1er Trasiego")</f>
        <v>1er Trasiego</v>
      </c>
      <c r="P713" s="2"/>
      <c r="Q713" s="2" t="b">
        <f ca="1">IFERROR(__xludf.DUMMYFUNCTION("""COMPUTED_VALUE"""),FALSE)</f>
        <v>0</v>
      </c>
      <c r="R713" s="2" t="str">
        <f ca="1">IFERROR(__xludf.DUMMYFUNCTION("""COMPUTED_VALUE"""),"1er Trasiego")</f>
        <v>1er Trasiego</v>
      </c>
      <c r="S713" s="2"/>
      <c r="T713" s="2"/>
      <c r="U713" s="2"/>
    </row>
    <row r="714" spans="1:21" x14ac:dyDescent="0.25">
      <c r="A714" s="2" t="str">
        <f ca="1">IFERROR(__xludf.DUMMYFUNCTION("""COMPUTED_VALUE"""),"354e677d")</f>
        <v>354e677d</v>
      </c>
      <c r="B714" s="5">
        <f ca="1">IFERROR(__xludf.DUMMYFUNCTION("""COMPUTED_VALUE"""),45797.7727662037)</f>
        <v>45797.7727662037</v>
      </c>
      <c r="C714" s="2" t="str">
        <f ca="1">IFERROR(__xludf.DUMMYFUNCTION("""COMPUTED_VALUE"""),"7a999708")</f>
        <v>7a999708</v>
      </c>
      <c r="D714" s="2">
        <f ca="1">IFERROR(__xludf.DUMMYFUNCTION("""COMPUTED_VALUE"""),116)</f>
        <v>116</v>
      </c>
      <c r="E714" s="2" t="str">
        <f ca="1">IFERROR(__xludf.DUMMYFUNCTION("""COMPUTED_VALUE"""),"Bonarda")</f>
        <v>Bonarda</v>
      </c>
      <c r="F714" s="2">
        <f ca="1">IFERROR(__xludf.DUMMYFUNCTION("""COMPUTED_VALUE"""),2100)</f>
        <v>2100</v>
      </c>
      <c r="G714" s="2">
        <f ca="1">IFERROR(__xludf.DUMMYFUNCTION("""COMPUTED_VALUE"""),68)</f>
        <v>68</v>
      </c>
      <c r="H714" s="2" t="str">
        <f ca="1">IFERROR(__xludf.DUMMYFUNCTION("""COMPUTED_VALUE"""),"9dfda5e0")</f>
        <v>9dfda5e0</v>
      </c>
      <c r="I714" s="2" t="str">
        <f ca="1">IFERROR(__xludf.DUMMYFUNCTION("""COMPUTED_VALUE"""),"Tinto")</f>
        <v>Tinto</v>
      </c>
      <c r="J714" s="2">
        <f ca="1">IFERROR(__xludf.DUMMYFUNCTION("""COMPUTED_VALUE"""),10200)</f>
        <v>10200</v>
      </c>
      <c r="K714" s="2">
        <f ca="1">IFERROR(__xludf.DUMMYFUNCTION("""COMPUTED_VALUE"""),12300)</f>
        <v>12300</v>
      </c>
      <c r="L714" s="2" t="str">
        <f ca="1">IFERROR(__xludf.DUMMYFUNCTION("""COMPUTED_VALUE"""),"536eff33")</f>
        <v>536eff33</v>
      </c>
      <c r="M714" s="2" t="str">
        <f ca="1">IFERROR(__xludf.DUMMYFUNCTION("""COMPUTED_VALUE"""),"Tinto")</f>
        <v>Tinto</v>
      </c>
      <c r="N714" s="2"/>
      <c r="O714" s="2" t="str">
        <f ca="1">IFERROR(__xludf.DUMMYFUNCTION("""COMPUTED_VALUE"""),"1er Trasiego")</f>
        <v>1er Trasiego</v>
      </c>
      <c r="P714" s="2" t="str">
        <f ca="1">IFERROR(__xludf.DUMMYFUNCTION("""COMPUTED_VALUE"""),"1er Trasiego")</f>
        <v>1er Trasiego</v>
      </c>
      <c r="Q714" s="2" t="b">
        <f ca="1">IFERROR(__xludf.DUMMYFUNCTION("""COMPUTED_VALUE"""),TRUE)</f>
        <v>1</v>
      </c>
      <c r="R714" s="2" t="str">
        <f ca="1">IFERROR(__xludf.DUMMYFUNCTION("""COMPUTED_VALUE"""),"1er Trasiego")</f>
        <v>1er Trasiego</v>
      </c>
      <c r="S714" s="2"/>
      <c r="T714" s="2"/>
      <c r="U714" s="2"/>
    </row>
    <row r="715" spans="1:21" x14ac:dyDescent="0.25">
      <c r="A715" s="2" t="str">
        <f ca="1">IFERROR(__xludf.DUMMYFUNCTION("""COMPUTED_VALUE"""),"547ca2b5")</f>
        <v>547ca2b5</v>
      </c>
      <c r="B715" s="5">
        <f ca="1">IFERROR(__xludf.DUMMYFUNCTION("""COMPUTED_VALUE"""),45798.7608217592)</f>
        <v>45798.760821759199</v>
      </c>
      <c r="C715" s="2" t="str">
        <f ca="1">IFERROR(__xludf.DUMMYFUNCTION("""COMPUTED_VALUE"""),"536eff33")</f>
        <v>536eff33</v>
      </c>
      <c r="D715" s="2">
        <f ca="1">IFERROR(__xludf.DUMMYFUNCTION("""COMPUTED_VALUE"""),68)</f>
        <v>68</v>
      </c>
      <c r="E715" s="2" t="str">
        <f ca="1">IFERROR(__xludf.DUMMYFUNCTION("""COMPUTED_VALUE"""),"Tinto")</f>
        <v>Tinto</v>
      </c>
      <c r="F715" s="2">
        <f ca="1">IFERROR(__xludf.DUMMYFUNCTION("""COMPUTED_VALUE"""),12300)</f>
        <v>12300</v>
      </c>
      <c r="G715" s="2">
        <f ca="1">IFERROR(__xludf.DUMMYFUNCTION("""COMPUTED_VALUE"""),49)</f>
        <v>49</v>
      </c>
      <c r="H715" s="2" t="str">
        <f ca="1">IFERROR(__xludf.DUMMYFUNCTION("""COMPUTED_VALUE"""),"91ba2ba0")</f>
        <v>91ba2ba0</v>
      </c>
      <c r="I715" s="2" t="str">
        <f ca="1">IFERROR(__xludf.DUMMYFUNCTION("""COMPUTED_VALUE"""),"Malbec")</f>
        <v>Malbec</v>
      </c>
      <c r="J715" s="2">
        <f ca="1">IFERROR(__xludf.DUMMYFUNCTION("""COMPUTED_VALUE"""),5000)</f>
        <v>5000</v>
      </c>
      <c r="K715" s="2">
        <f ca="1">IFERROR(__xludf.DUMMYFUNCTION("""COMPUTED_VALUE"""),17300)</f>
        <v>17300</v>
      </c>
      <c r="L715" s="2" t="str">
        <f ca="1">IFERROR(__xludf.DUMMYFUNCTION("""COMPUTED_VALUE"""),"e81f7a10")</f>
        <v>e81f7a10</v>
      </c>
      <c r="M715" s="2" t="str">
        <f ca="1">IFERROR(__xludf.DUMMYFUNCTION("""COMPUTED_VALUE"""),"Malbec")</f>
        <v>Malbec</v>
      </c>
      <c r="N715" s="2"/>
      <c r="O715" s="2" t="str">
        <f ca="1">IFERROR(__xludf.DUMMYFUNCTION("""COMPUTED_VALUE"""),"1er Trasiego")</f>
        <v>1er Trasiego</v>
      </c>
      <c r="P715" s="2" t="str">
        <f ca="1">IFERROR(__xludf.DUMMYFUNCTION("""COMPUTED_VALUE"""),"Rectificado")</f>
        <v>Rectificado</v>
      </c>
      <c r="Q715" s="2" t="b">
        <f ca="1">IFERROR(__xludf.DUMMYFUNCTION("""COMPUTED_VALUE"""),TRUE)</f>
        <v>1</v>
      </c>
      <c r="R715" s="2" t="str">
        <f ca="1">IFERROR(__xludf.DUMMYFUNCTION("""COMPUTED_VALUE"""),"Rectificado")</f>
        <v>Rectificado</v>
      </c>
      <c r="S715" s="2"/>
      <c r="T715" s="2"/>
      <c r="U715" s="2"/>
    </row>
    <row r="716" spans="1:21" x14ac:dyDescent="0.25">
      <c r="A716" s="2" t="str">
        <f ca="1">IFERROR(__xludf.DUMMYFUNCTION("""COMPUTED_VALUE"""),"5cd6039c")</f>
        <v>5cd6039c</v>
      </c>
      <c r="B716" s="5">
        <f ca="1">IFERROR(__xludf.DUMMYFUNCTION("""COMPUTED_VALUE"""),45798.7618055555)</f>
        <v>45798.761805555499</v>
      </c>
      <c r="C716" s="2" t="str">
        <f ca="1">IFERROR(__xludf.DUMMYFUNCTION("""COMPUTED_VALUE"""),"1828d39f")</f>
        <v>1828d39f</v>
      </c>
      <c r="D716" s="2">
        <f ca="1">IFERROR(__xludf.DUMMYFUNCTION("""COMPUTED_VALUE"""),104)</f>
        <v>104</v>
      </c>
      <c r="E716" s="2" t="str">
        <f ca="1">IFERROR(__xludf.DUMMYFUNCTION("""COMPUTED_VALUE"""),"Bonarda")</f>
        <v>Bonarda</v>
      </c>
      <c r="F716" s="2">
        <f ca="1">IFERROR(__xludf.DUMMYFUNCTION("""COMPUTED_VALUE"""),31000)</f>
        <v>31000</v>
      </c>
      <c r="G716" s="2">
        <f ca="1">IFERROR(__xludf.DUMMYFUNCTION("""COMPUTED_VALUE"""),127)</f>
        <v>127</v>
      </c>
      <c r="H716" s="2"/>
      <c r="I716" s="2"/>
      <c r="J716" s="2">
        <f ca="1">IFERROR(__xludf.DUMMYFUNCTION("""COMPUTED_VALUE"""),0)</f>
        <v>0</v>
      </c>
      <c r="K716" s="2">
        <f ca="1">IFERROR(__xludf.DUMMYFUNCTION("""COMPUTED_VALUE"""),31000)</f>
        <v>31000</v>
      </c>
      <c r="L716" s="2" t="str">
        <f ca="1">IFERROR(__xludf.DUMMYFUNCTION("""COMPUTED_VALUE"""),"e375ee10")</f>
        <v>e375ee10</v>
      </c>
      <c r="M716" s="2" t="str">
        <f ca="1">IFERROR(__xludf.DUMMYFUNCTION("""COMPUTED_VALUE"""),"Bonarda")</f>
        <v>Bonarda</v>
      </c>
      <c r="N716" s="2"/>
      <c r="O716" s="2" t="str">
        <f ca="1">IFERROR(__xludf.DUMMYFUNCTION("""COMPUTED_VALUE"""),"1er Trasiego")</f>
        <v>1er Trasiego</v>
      </c>
      <c r="P716" s="2"/>
      <c r="Q716" s="2" t="b">
        <f ca="1">IFERROR(__xludf.DUMMYFUNCTION("""COMPUTED_VALUE"""),FALSE)</f>
        <v>0</v>
      </c>
      <c r="R716" s="2" t="str">
        <f ca="1">IFERROR(__xludf.DUMMYFUNCTION("""COMPUTED_VALUE"""),"1er Trasiego")</f>
        <v>1er Trasiego</v>
      </c>
      <c r="S716" s="2"/>
      <c r="T716" s="2"/>
      <c r="U716" s="2"/>
    </row>
    <row r="717" spans="1:21" x14ac:dyDescent="0.25">
      <c r="A717" s="2" t="str">
        <f ca="1">IFERROR(__xludf.DUMMYFUNCTION("""COMPUTED_VALUE"""),"9bdb01b0")</f>
        <v>9bdb01b0</v>
      </c>
      <c r="B717" s="5">
        <f ca="1">IFERROR(__xludf.DUMMYFUNCTION("""COMPUTED_VALUE"""),45798.7674421296)</f>
        <v>45798.767442129603</v>
      </c>
      <c r="C717" s="2" t="str">
        <f ca="1">IFERROR(__xludf.DUMMYFUNCTION("""COMPUTED_VALUE"""),"5b29cdd7")</f>
        <v>5b29cdd7</v>
      </c>
      <c r="D717" s="2">
        <f ca="1">IFERROR(__xludf.DUMMYFUNCTION("""COMPUTED_VALUE"""),6)</f>
        <v>6</v>
      </c>
      <c r="E717" s="2" t="str">
        <f ca="1">IFERROR(__xludf.DUMMYFUNCTION("""COMPUTED_VALUE"""),"Cabernet Sauvignon - Rectificado")</f>
        <v>Cabernet Sauvignon - Rectificado</v>
      </c>
      <c r="F717" s="2">
        <f ca="1">IFERROR(__xludf.DUMMYFUNCTION("""COMPUTED_VALUE"""),10700)</f>
        <v>10700</v>
      </c>
      <c r="G717" s="2">
        <f ca="1">IFERROR(__xludf.DUMMYFUNCTION("""COMPUTED_VALUE"""),121)</f>
        <v>121</v>
      </c>
      <c r="H717" s="2"/>
      <c r="I717" s="2"/>
      <c r="J717" s="2">
        <f ca="1">IFERROR(__xludf.DUMMYFUNCTION("""COMPUTED_VALUE"""),0)</f>
        <v>0</v>
      </c>
      <c r="K717" s="2">
        <f ca="1">IFERROR(__xludf.DUMMYFUNCTION("""COMPUTED_VALUE"""),10700)</f>
        <v>10700</v>
      </c>
      <c r="L717" s="2" t="str">
        <f ca="1">IFERROR(__xludf.DUMMYFUNCTION("""COMPUTED_VALUE"""),"755eca56")</f>
        <v>755eca56</v>
      </c>
      <c r="M717" s="2" t="str">
        <f ca="1">IFERROR(__xludf.DUMMYFUNCTION("""COMPUTED_VALUE"""),"Cabernet Sauvignon - Rectificado")</f>
        <v>Cabernet Sauvignon - Rectificado</v>
      </c>
      <c r="N717" s="2"/>
      <c r="O717" s="2" t="str">
        <f ca="1">IFERROR(__xludf.DUMMYFUNCTION("""COMPUTED_VALUE"""),"Rectificado")</f>
        <v>Rectificado</v>
      </c>
      <c r="P717" s="2"/>
      <c r="Q717" s="2" t="b">
        <f ca="1">IFERROR(__xludf.DUMMYFUNCTION("""COMPUTED_VALUE"""),FALSE)</f>
        <v>0</v>
      </c>
      <c r="R717" s="2" t="str">
        <f ca="1">IFERROR(__xludf.DUMMYFUNCTION("""COMPUTED_VALUE"""),"Rectificado")</f>
        <v>Rectificado</v>
      </c>
      <c r="S717" s="2"/>
      <c r="T717" s="2"/>
      <c r="U717" s="2"/>
    </row>
    <row r="718" spans="1:21" x14ac:dyDescent="0.25">
      <c r="A718" s="2" t="str">
        <f ca="1">IFERROR(__xludf.DUMMYFUNCTION("""COMPUTED_VALUE"""),"2c1e635a")</f>
        <v>2c1e635a</v>
      </c>
      <c r="B718" s="5">
        <f ca="1">IFERROR(__xludf.DUMMYFUNCTION("""COMPUTED_VALUE"""),45798.7677662037)</f>
        <v>45798.767766203702</v>
      </c>
      <c r="C718" s="2" t="str">
        <f ca="1">IFERROR(__xludf.DUMMYFUNCTION("""COMPUTED_VALUE"""),"5b29cdd7")</f>
        <v>5b29cdd7</v>
      </c>
      <c r="D718" s="2">
        <f ca="1">IFERROR(__xludf.DUMMYFUNCTION("""COMPUTED_VALUE"""),6)</f>
        <v>6</v>
      </c>
      <c r="E718" s="2" t="str">
        <f ca="1">IFERROR(__xludf.DUMMYFUNCTION("""COMPUTED_VALUE"""),"Cabernet Sauvignon - Rectificado")</f>
        <v>Cabernet Sauvignon - Rectificado</v>
      </c>
      <c r="F718" s="2">
        <f ca="1">IFERROR(__xludf.DUMMYFUNCTION("""COMPUTED_VALUE"""),12900)</f>
        <v>12900</v>
      </c>
      <c r="G718" s="2">
        <f ca="1">IFERROR(__xludf.DUMMYFUNCTION("""COMPUTED_VALUE"""),116)</f>
        <v>116</v>
      </c>
      <c r="H718" s="2"/>
      <c r="I718" s="2"/>
      <c r="J718" s="2">
        <f ca="1">IFERROR(__xludf.DUMMYFUNCTION("""COMPUTED_VALUE"""),0)</f>
        <v>0</v>
      </c>
      <c r="K718" s="2">
        <f ca="1">IFERROR(__xludf.DUMMYFUNCTION("""COMPUTED_VALUE"""),12900)</f>
        <v>12900</v>
      </c>
      <c r="L718" s="2" t="str">
        <f ca="1">IFERROR(__xludf.DUMMYFUNCTION("""COMPUTED_VALUE"""),"3b8e0d4f")</f>
        <v>3b8e0d4f</v>
      </c>
      <c r="M718" s="2" t="str">
        <f ca="1">IFERROR(__xludf.DUMMYFUNCTION("""COMPUTED_VALUE"""),"Cabernet Sauvignon - Rectificado")</f>
        <v>Cabernet Sauvignon - Rectificado</v>
      </c>
      <c r="N718" s="2"/>
      <c r="O718" s="2" t="str">
        <f ca="1">IFERROR(__xludf.DUMMYFUNCTION("""COMPUTED_VALUE"""),"Rectificado")</f>
        <v>Rectificado</v>
      </c>
      <c r="P718" s="2"/>
      <c r="Q718" s="2" t="b">
        <f ca="1">IFERROR(__xludf.DUMMYFUNCTION("""COMPUTED_VALUE"""),FALSE)</f>
        <v>0</v>
      </c>
      <c r="R718" s="2" t="str">
        <f ca="1">IFERROR(__xludf.DUMMYFUNCTION("""COMPUTED_VALUE"""),"Rectificado")</f>
        <v>Rectificado</v>
      </c>
      <c r="S718" s="2"/>
      <c r="T718" s="2"/>
      <c r="U718" s="2"/>
    </row>
    <row r="719" spans="1:21" x14ac:dyDescent="0.25">
      <c r="A719" s="2" t="str">
        <f ca="1">IFERROR(__xludf.DUMMYFUNCTION("""COMPUTED_VALUE"""),"51b9e6c2")</f>
        <v>51b9e6c2</v>
      </c>
      <c r="B719" s="5">
        <f ca="1">IFERROR(__xludf.DUMMYFUNCTION("""COMPUTED_VALUE"""),45798.7710648148)</f>
        <v>45798.771064814799</v>
      </c>
      <c r="C719" s="2" t="str">
        <f ca="1">IFERROR(__xludf.DUMMYFUNCTION("""COMPUTED_VALUE"""),"20f062e7")</f>
        <v>20f062e7</v>
      </c>
      <c r="D719" s="2">
        <f ca="1">IFERROR(__xludf.DUMMYFUNCTION("""COMPUTED_VALUE"""),82)</f>
        <v>82</v>
      </c>
      <c r="E719" s="2" t="str">
        <f ca="1">IFERROR(__xludf.DUMMYFUNCTION("""COMPUTED_VALUE"""),"Anccelotta")</f>
        <v>Anccelotta</v>
      </c>
      <c r="F719" s="2">
        <f ca="1">IFERROR(__xludf.DUMMYFUNCTION("""COMPUTED_VALUE"""),4080)</f>
        <v>4080</v>
      </c>
      <c r="G719" s="2">
        <f ca="1">IFERROR(__xludf.DUMMYFUNCTION("""COMPUTED_VALUE"""),121)</f>
        <v>121</v>
      </c>
      <c r="H719" s="2" t="str">
        <f ca="1">IFERROR(__xludf.DUMMYFUNCTION("""COMPUTED_VALUE"""),"755eca56")</f>
        <v>755eca56</v>
      </c>
      <c r="I719" s="2" t="str">
        <f ca="1">IFERROR(__xludf.DUMMYFUNCTION("""COMPUTED_VALUE"""),"Cabernet Sauvignon - Rectificado")</f>
        <v>Cabernet Sauvignon - Rectificado</v>
      </c>
      <c r="J719" s="2">
        <f ca="1">IFERROR(__xludf.DUMMYFUNCTION("""COMPUTED_VALUE"""),10700)</f>
        <v>10700</v>
      </c>
      <c r="K719" s="2">
        <f ca="1">IFERROR(__xludf.DUMMYFUNCTION("""COMPUTED_VALUE"""),14780)</f>
        <v>14780</v>
      </c>
      <c r="L719" s="2" t="str">
        <f ca="1">IFERROR(__xludf.DUMMYFUNCTION("""COMPUTED_VALUE"""),"9fec443b")</f>
        <v>9fec443b</v>
      </c>
      <c r="M719" s="2" t="str">
        <f ca="1">IFERROR(__xludf.DUMMYFUNCTION("""COMPUTED_VALUE"""),"Anccelotta")</f>
        <v>Anccelotta</v>
      </c>
      <c r="N719" s="2"/>
      <c r="O719" s="2" t="str">
        <f ca="1">IFERROR(__xludf.DUMMYFUNCTION("""COMPUTED_VALUE"""),"1er Trasiego")</f>
        <v>1er Trasiego</v>
      </c>
      <c r="P719" s="2" t="str">
        <f ca="1">IFERROR(__xludf.DUMMYFUNCTION("""COMPUTED_VALUE"""),"Rectificado")</f>
        <v>Rectificado</v>
      </c>
      <c r="Q719" s="2" t="b">
        <f ca="1">IFERROR(__xludf.DUMMYFUNCTION("""COMPUTED_VALUE"""),FALSE)</f>
        <v>0</v>
      </c>
      <c r="R719" s="2" t="str">
        <f ca="1">IFERROR(__xludf.DUMMYFUNCTION("""COMPUTED_VALUE"""),"1er Trasiego")</f>
        <v>1er Trasiego</v>
      </c>
      <c r="S719" s="2"/>
      <c r="T719" s="2"/>
      <c r="U719" s="2"/>
    </row>
    <row r="720" spans="1:21" x14ac:dyDescent="0.25">
      <c r="A720" s="2" t="str">
        <f ca="1">IFERROR(__xludf.DUMMYFUNCTION("""COMPUTED_VALUE"""),"defb0301")</f>
        <v>defb0301</v>
      </c>
      <c r="B720" s="5">
        <f ca="1">IFERROR(__xludf.DUMMYFUNCTION("""COMPUTED_VALUE"""),45798.7714930555)</f>
        <v>45798.771493055501</v>
      </c>
      <c r="C720" s="2" t="str">
        <f ca="1">IFERROR(__xludf.DUMMYFUNCTION("""COMPUTED_VALUE"""),"20f062e7")</f>
        <v>20f062e7</v>
      </c>
      <c r="D720" s="2">
        <f ca="1">IFERROR(__xludf.DUMMYFUNCTION("""COMPUTED_VALUE"""),82)</f>
        <v>82</v>
      </c>
      <c r="E720" s="2" t="str">
        <f ca="1">IFERROR(__xludf.DUMMYFUNCTION("""COMPUTED_VALUE"""),"Anccelotta")</f>
        <v>Anccelotta</v>
      </c>
      <c r="F720" s="2">
        <f ca="1">IFERROR(__xludf.DUMMYFUNCTION("""COMPUTED_VALUE"""),5000)</f>
        <v>5000</v>
      </c>
      <c r="G720" s="2">
        <f ca="1">IFERROR(__xludf.DUMMYFUNCTION("""COMPUTED_VALUE"""),116)</f>
        <v>116</v>
      </c>
      <c r="H720" s="2" t="str">
        <f ca="1">IFERROR(__xludf.DUMMYFUNCTION("""COMPUTED_VALUE"""),"3b8e0d4f")</f>
        <v>3b8e0d4f</v>
      </c>
      <c r="I720" s="2" t="str">
        <f ca="1">IFERROR(__xludf.DUMMYFUNCTION("""COMPUTED_VALUE"""),"Cabernet Sauvignon - Rectificado")</f>
        <v>Cabernet Sauvignon - Rectificado</v>
      </c>
      <c r="J720" s="2">
        <f ca="1">IFERROR(__xludf.DUMMYFUNCTION("""COMPUTED_VALUE"""),12900)</f>
        <v>12900</v>
      </c>
      <c r="K720" s="2">
        <f ca="1">IFERROR(__xludf.DUMMYFUNCTION("""COMPUTED_VALUE"""),17900)</f>
        <v>17900</v>
      </c>
      <c r="L720" s="2" t="str">
        <f ca="1">IFERROR(__xludf.DUMMYFUNCTION("""COMPUTED_VALUE"""),"60712aa8")</f>
        <v>60712aa8</v>
      </c>
      <c r="M720" s="2" t="str">
        <f ca="1">IFERROR(__xludf.DUMMYFUNCTION("""COMPUTED_VALUE"""),"Anccelotta")</f>
        <v>Anccelotta</v>
      </c>
      <c r="N720" s="2"/>
      <c r="O720" s="2" t="str">
        <f ca="1">IFERROR(__xludf.DUMMYFUNCTION("""COMPUTED_VALUE"""),"1er Trasiego")</f>
        <v>1er Trasiego</v>
      </c>
      <c r="P720" s="2" t="str">
        <f ca="1">IFERROR(__xludf.DUMMYFUNCTION("""COMPUTED_VALUE"""),"Rectificado")</f>
        <v>Rectificado</v>
      </c>
      <c r="Q720" s="2" t="b">
        <f ca="1">IFERROR(__xludf.DUMMYFUNCTION("""COMPUTED_VALUE"""),FALSE)</f>
        <v>0</v>
      </c>
      <c r="R720" s="2" t="str">
        <f ca="1">IFERROR(__xludf.DUMMYFUNCTION("""COMPUTED_VALUE"""),"1er Trasiego")</f>
        <v>1er Trasiego</v>
      </c>
      <c r="S720" s="2"/>
      <c r="T720" s="2"/>
      <c r="U720" s="2"/>
    </row>
    <row r="721" spans="1:21" x14ac:dyDescent="0.25">
      <c r="A721" s="2" t="str">
        <f ca="1">IFERROR(__xludf.DUMMYFUNCTION("""COMPUTED_VALUE"""),"c5026661")</f>
        <v>c5026661</v>
      </c>
      <c r="B721" s="5">
        <f ca="1">IFERROR(__xludf.DUMMYFUNCTION("""COMPUTED_VALUE"""),45798.7722106481)</f>
        <v>45798.772210648101</v>
      </c>
      <c r="C721" s="2" t="str">
        <f ca="1">IFERROR(__xludf.DUMMYFUNCTION("""COMPUTED_VALUE"""),"20f062e7")</f>
        <v>20f062e7</v>
      </c>
      <c r="D721" s="2">
        <f ca="1">IFERROR(__xludf.DUMMYFUNCTION("""COMPUTED_VALUE"""),82)</f>
        <v>82</v>
      </c>
      <c r="E721" s="2" t="str">
        <f ca="1">IFERROR(__xludf.DUMMYFUNCTION("""COMPUTED_VALUE"""),"Anccelotta")</f>
        <v>Anccelotta</v>
      </c>
      <c r="F721" s="2">
        <f ca="1">IFERROR(__xludf.DUMMYFUNCTION("""COMPUTED_VALUE"""),2000)</f>
        <v>2000</v>
      </c>
      <c r="G721" s="2">
        <f ca="1">IFERROR(__xludf.DUMMYFUNCTION("""COMPUTED_VALUE"""),34)</f>
        <v>34</v>
      </c>
      <c r="H721" s="2"/>
      <c r="I721" s="2"/>
      <c r="J721" s="2">
        <f ca="1">IFERROR(__xludf.DUMMYFUNCTION("""COMPUTED_VALUE"""),0)</f>
        <v>0</v>
      </c>
      <c r="K721" s="2">
        <f ca="1">IFERROR(__xludf.DUMMYFUNCTION("""COMPUTED_VALUE"""),2000)</f>
        <v>2000</v>
      </c>
      <c r="L721" s="2" t="str">
        <f ca="1">IFERROR(__xludf.DUMMYFUNCTION("""COMPUTED_VALUE"""),"e1971673")</f>
        <v>e1971673</v>
      </c>
      <c r="M721" s="2" t="str">
        <f ca="1">IFERROR(__xludf.DUMMYFUNCTION("""COMPUTED_VALUE"""),"Anccelotta")</f>
        <v>Anccelotta</v>
      </c>
      <c r="N721" s="2"/>
      <c r="O721" s="2" t="str">
        <f ca="1">IFERROR(__xludf.DUMMYFUNCTION("""COMPUTED_VALUE"""),"1er Trasiego")</f>
        <v>1er Trasiego</v>
      </c>
      <c r="P721" s="2"/>
      <c r="Q721" s="2" t="b">
        <f ca="1">IFERROR(__xludf.DUMMYFUNCTION("""COMPUTED_VALUE"""),FALSE)</f>
        <v>0</v>
      </c>
      <c r="R721" s="2" t="str">
        <f ca="1">IFERROR(__xludf.DUMMYFUNCTION("""COMPUTED_VALUE"""),"1er Trasiego")</f>
        <v>1er Trasiego</v>
      </c>
      <c r="S721" s="2"/>
      <c r="T721" s="2"/>
      <c r="U721" s="2"/>
    </row>
    <row r="722" spans="1:21" x14ac:dyDescent="0.25">
      <c r="A722" s="2" t="str">
        <f ca="1">IFERROR(__xludf.DUMMYFUNCTION("""COMPUTED_VALUE"""),"58a4d6d6")</f>
        <v>58a4d6d6</v>
      </c>
      <c r="B722" s="5">
        <f ca="1">IFERROR(__xludf.DUMMYFUNCTION("""COMPUTED_VALUE"""),45798.7732523148)</f>
        <v>45798.773252314801</v>
      </c>
      <c r="C722" s="2" t="str">
        <f ca="1">IFERROR(__xludf.DUMMYFUNCTION("""COMPUTED_VALUE"""),"1eaa1fc2")</f>
        <v>1eaa1fc2</v>
      </c>
      <c r="D722" s="2">
        <f ca="1">IFERROR(__xludf.DUMMYFUNCTION("""COMPUTED_VALUE"""),24)</f>
        <v>24</v>
      </c>
      <c r="E722" s="2" t="str">
        <f ca="1">IFERROR(__xludf.DUMMYFUNCTION("""COMPUTED_VALUE"""),"Malbec")</f>
        <v>Malbec</v>
      </c>
      <c r="F722" s="2">
        <f ca="1">IFERROR(__xludf.DUMMYFUNCTION("""COMPUTED_VALUE"""),81700)</f>
        <v>81700</v>
      </c>
      <c r="G722" s="2">
        <f ca="1">IFERROR(__xludf.DUMMYFUNCTION("""COMPUTED_VALUE"""),116)</f>
        <v>116</v>
      </c>
      <c r="H722" s="2" t="str">
        <f ca="1">IFERROR(__xludf.DUMMYFUNCTION("""COMPUTED_VALUE"""),"60712aa8")</f>
        <v>60712aa8</v>
      </c>
      <c r="I722" s="2" t="str">
        <f ca="1">IFERROR(__xludf.DUMMYFUNCTION("""COMPUTED_VALUE"""),"Anccelotta")</f>
        <v>Anccelotta</v>
      </c>
      <c r="J722" s="2">
        <f ca="1">IFERROR(__xludf.DUMMYFUNCTION("""COMPUTED_VALUE"""),17900)</f>
        <v>17900</v>
      </c>
      <c r="K722" s="2">
        <f ca="1">IFERROR(__xludf.DUMMYFUNCTION("""COMPUTED_VALUE"""),99600)</f>
        <v>99600</v>
      </c>
      <c r="L722" s="2" t="str">
        <f ca="1">IFERROR(__xludf.DUMMYFUNCTION("""COMPUTED_VALUE"""),"b4fedb16")</f>
        <v>b4fedb16</v>
      </c>
      <c r="M722" s="2" t="str">
        <f ca="1">IFERROR(__xludf.DUMMYFUNCTION("""COMPUTED_VALUE"""),"Malbec")</f>
        <v>Malbec</v>
      </c>
      <c r="N722" s="2"/>
      <c r="O722" s="2" t="str">
        <f ca="1">IFERROR(__xludf.DUMMYFUNCTION("""COMPUTED_VALUE"""),"1er Trasiego")</f>
        <v>1er Trasiego</v>
      </c>
      <c r="P722" s="2" t="str">
        <f ca="1">IFERROR(__xludf.DUMMYFUNCTION("""COMPUTED_VALUE"""),"1er Trasiego")</f>
        <v>1er Trasiego</v>
      </c>
      <c r="Q722" s="2" t="b">
        <f ca="1">IFERROR(__xludf.DUMMYFUNCTION("""COMPUTED_VALUE"""),FALSE)</f>
        <v>0</v>
      </c>
      <c r="R722" s="2" t="str">
        <f ca="1">IFERROR(__xludf.DUMMYFUNCTION("""COMPUTED_VALUE"""),"1er Trasiego")</f>
        <v>1er Trasiego</v>
      </c>
      <c r="S722" s="2"/>
      <c r="T722" s="2"/>
      <c r="U722" s="2"/>
    </row>
    <row r="723" spans="1:21" x14ac:dyDescent="0.25">
      <c r="A723" s="2" t="str">
        <f ca="1">IFERROR(__xludf.DUMMYFUNCTION("""COMPUTED_VALUE"""),"ce3f3054")</f>
        <v>ce3f3054</v>
      </c>
      <c r="B723" s="5">
        <f ca="1">IFERROR(__xludf.DUMMYFUNCTION("""COMPUTED_VALUE"""),45798.7736342592)</f>
        <v>45798.773634259203</v>
      </c>
      <c r="C723" s="2" t="str">
        <f ca="1">IFERROR(__xludf.DUMMYFUNCTION("""COMPUTED_VALUE"""),"1eaa1fc2")</f>
        <v>1eaa1fc2</v>
      </c>
      <c r="D723" s="2">
        <f ca="1">IFERROR(__xludf.DUMMYFUNCTION("""COMPUTED_VALUE"""),24)</f>
        <v>24</v>
      </c>
      <c r="E723" s="2" t="str">
        <f ca="1">IFERROR(__xludf.DUMMYFUNCTION("""COMPUTED_VALUE"""),"Malbec")</f>
        <v>Malbec</v>
      </c>
      <c r="F723" s="2">
        <f ca="1">IFERROR(__xludf.DUMMYFUNCTION("""COMPUTED_VALUE"""),71020)</f>
        <v>71020</v>
      </c>
      <c r="G723" s="2">
        <f ca="1">IFERROR(__xludf.DUMMYFUNCTION("""COMPUTED_VALUE"""),121)</f>
        <v>121</v>
      </c>
      <c r="H723" s="2" t="str">
        <f ca="1">IFERROR(__xludf.DUMMYFUNCTION("""COMPUTED_VALUE"""),"9fec443b")</f>
        <v>9fec443b</v>
      </c>
      <c r="I723" s="2" t="str">
        <f ca="1">IFERROR(__xludf.DUMMYFUNCTION("""COMPUTED_VALUE"""),"Anccelotta")</f>
        <v>Anccelotta</v>
      </c>
      <c r="J723" s="2">
        <f ca="1">IFERROR(__xludf.DUMMYFUNCTION("""COMPUTED_VALUE"""),14780)</f>
        <v>14780</v>
      </c>
      <c r="K723" s="2">
        <f ca="1">IFERROR(__xludf.DUMMYFUNCTION("""COMPUTED_VALUE"""),85800)</f>
        <v>85800</v>
      </c>
      <c r="L723" s="2" t="str">
        <f ca="1">IFERROR(__xludf.DUMMYFUNCTION("""COMPUTED_VALUE"""),"589807bc")</f>
        <v>589807bc</v>
      </c>
      <c r="M723" s="2" t="str">
        <f ca="1">IFERROR(__xludf.DUMMYFUNCTION("""COMPUTED_VALUE"""),"Malbec")</f>
        <v>Malbec</v>
      </c>
      <c r="N723" s="2"/>
      <c r="O723" s="2" t="str">
        <f ca="1">IFERROR(__xludf.DUMMYFUNCTION("""COMPUTED_VALUE"""),"1er Trasiego")</f>
        <v>1er Trasiego</v>
      </c>
      <c r="P723" s="2" t="str">
        <f ca="1">IFERROR(__xludf.DUMMYFUNCTION("""COMPUTED_VALUE"""),"1er Trasiego")</f>
        <v>1er Trasiego</v>
      </c>
      <c r="Q723" s="2" t="b">
        <f ca="1">IFERROR(__xludf.DUMMYFUNCTION("""COMPUTED_VALUE"""),FALSE)</f>
        <v>0</v>
      </c>
      <c r="R723" s="2" t="str">
        <f ca="1">IFERROR(__xludf.DUMMYFUNCTION("""COMPUTED_VALUE"""),"1er Trasiego")</f>
        <v>1er Trasiego</v>
      </c>
      <c r="S723" s="2"/>
      <c r="T723" s="2"/>
      <c r="U723" s="2"/>
    </row>
    <row r="724" spans="1:21" x14ac:dyDescent="0.25">
      <c r="A724" s="2" t="str">
        <f ca="1">IFERROR(__xludf.DUMMYFUNCTION("""COMPUTED_VALUE"""),"06ec9360")</f>
        <v>06ec9360</v>
      </c>
      <c r="B724" s="5">
        <f ca="1">IFERROR(__xludf.DUMMYFUNCTION("""COMPUTED_VALUE"""),45798.7756018518)</f>
        <v>45798.775601851798</v>
      </c>
      <c r="C724" s="2" t="str">
        <f ca="1">IFERROR(__xludf.DUMMYFUNCTION("""COMPUTED_VALUE"""),"1eaa1fc2")</f>
        <v>1eaa1fc2</v>
      </c>
      <c r="D724" s="2">
        <f ca="1">IFERROR(__xludf.DUMMYFUNCTION("""COMPUTED_VALUE"""),24)</f>
        <v>24</v>
      </c>
      <c r="E724" s="2" t="str">
        <f ca="1">IFERROR(__xludf.DUMMYFUNCTION("""COMPUTED_VALUE"""),"Malbec")</f>
        <v>Malbec</v>
      </c>
      <c r="F724" s="2">
        <f ca="1">IFERROR(__xludf.DUMMYFUNCTION("""COMPUTED_VALUE"""),33880)</f>
        <v>33880</v>
      </c>
      <c r="G724" s="2">
        <f ca="1">IFERROR(__xludf.DUMMYFUNCTION("""COMPUTED_VALUE"""),34)</f>
        <v>34</v>
      </c>
      <c r="H724" s="2" t="str">
        <f ca="1">IFERROR(__xludf.DUMMYFUNCTION("""COMPUTED_VALUE"""),"e1971673")</f>
        <v>e1971673</v>
      </c>
      <c r="I724" s="2" t="str">
        <f ca="1">IFERROR(__xludf.DUMMYFUNCTION("""COMPUTED_VALUE"""),"Anccelotta")</f>
        <v>Anccelotta</v>
      </c>
      <c r="J724" s="2">
        <f ca="1">IFERROR(__xludf.DUMMYFUNCTION("""COMPUTED_VALUE"""),2000)</f>
        <v>2000</v>
      </c>
      <c r="K724" s="2">
        <f ca="1">IFERROR(__xludf.DUMMYFUNCTION("""COMPUTED_VALUE"""),35880)</f>
        <v>35880</v>
      </c>
      <c r="L724" s="2" t="str">
        <f ca="1">IFERROR(__xludf.DUMMYFUNCTION("""COMPUTED_VALUE"""),"f213d575")</f>
        <v>f213d575</v>
      </c>
      <c r="M724" s="2" t="str">
        <f ca="1">IFERROR(__xludf.DUMMYFUNCTION("""COMPUTED_VALUE"""),"Malbec")</f>
        <v>Malbec</v>
      </c>
      <c r="N724" s="2"/>
      <c r="O724" s="2" t="str">
        <f ca="1">IFERROR(__xludf.DUMMYFUNCTION("""COMPUTED_VALUE"""),"1er Trasiego")</f>
        <v>1er Trasiego</v>
      </c>
      <c r="P724" s="2" t="str">
        <f ca="1">IFERROR(__xludf.DUMMYFUNCTION("""COMPUTED_VALUE"""),"1er Trasiego")</f>
        <v>1er Trasiego</v>
      </c>
      <c r="Q724" s="2" t="b">
        <f ca="1">IFERROR(__xludf.DUMMYFUNCTION("""COMPUTED_VALUE"""),FALSE)</f>
        <v>0</v>
      </c>
      <c r="R724" s="2" t="str">
        <f ca="1">IFERROR(__xludf.DUMMYFUNCTION("""COMPUTED_VALUE"""),"1er Trasiego")</f>
        <v>1er Trasiego</v>
      </c>
      <c r="S724" s="2"/>
      <c r="T724" s="2"/>
      <c r="U724" s="2"/>
    </row>
    <row r="725" spans="1:21" x14ac:dyDescent="0.25">
      <c r="A725" s="2" t="str">
        <f ca="1">IFERROR(__xludf.DUMMYFUNCTION("""COMPUTED_VALUE"""),"f1e35874")</f>
        <v>f1e35874</v>
      </c>
      <c r="B725" s="5">
        <f ca="1">IFERROR(__xludf.DUMMYFUNCTION("""COMPUTED_VALUE"""),45800.4254976851)</f>
        <v>45800.425497685101</v>
      </c>
      <c r="C725" s="2" t="str">
        <f ca="1">IFERROR(__xludf.DUMMYFUNCTION("""COMPUTED_VALUE"""),"7b6d5389")</f>
        <v>7b6d5389</v>
      </c>
      <c r="D725" s="2">
        <f ca="1">IFERROR(__xludf.DUMMYFUNCTION("""COMPUTED_VALUE"""),120)</f>
        <v>120</v>
      </c>
      <c r="E725" s="2" t="str">
        <f ca="1">IFERROR(__xludf.DUMMYFUNCTION("""COMPUTED_VALUE"""),"Malbec Mec")</f>
        <v>Malbec Mec</v>
      </c>
      <c r="F725" s="2">
        <f ca="1">IFERROR(__xludf.DUMMYFUNCTION("""COMPUTED_VALUE"""),44400)</f>
        <v>44400</v>
      </c>
      <c r="G725" s="2">
        <f ca="1">IFERROR(__xludf.DUMMYFUNCTION("""COMPUTED_VALUE"""),24)</f>
        <v>24</v>
      </c>
      <c r="H725" s="2"/>
      <c r="I725" s="2"/>
      <c r="J725" s="2">
        <f ca="1">IFERROR(__xludf.DUMMYFUNCTION("""COMPUTED_VALUE"""),0)</f>
        <v>0</v>
      </c>
      <c r="K725" s="2">
        <f ca="1">IFERROR(__xludf.DUMMYFUNCTION("""COMPUTED_VALUE"""),44400)</f>
        <v>44400</v>
      </c>
      <c r="L725" s="2" t="str">
        <f ca="1">IFERROR(__xludf.DUMMYFUNCTION("""COMPUTED_VALUE"""),"fcd4899d")</f>
        <v>fcd4899d</v>
      </c>
      <c r="M725" s="2" t="str">
        <f ca="1">IFERROR(__xludf.DUMMYFUNCTION("""COMPUTED_VALUE"""),"Malbec")</f>
        <v>Malbec</v>
      </c>
      <c r="N725" s="2"/>
      <c r="O725" s="2" t="str">
        <f ca="1">IFERROR(__xludf.DUMMYFUNCTION("""COMPUTED_VALUE"""),"1er Trasiego")</f>
        <v>1er Trasiego</v>
      </c>
      <c r="P725" s="2"/>
      <c r="Q725" s="2" t="b">
        <f ca="1">IFERROR(__xludf.DUMMYFUNCTION("""COMPUTED_VALUE"""),FALSE)</f>
        <v>0</v>
      </c>
      <c r="R725" s="2" t="str">
        <f ca="1">IFERROR(__xludf.DUMMYFUNCTION("""COMPUTED_VALUE"""),"2do Trasiego")</f>
        <v>2do Trasiego</v>
      </c>
      <c r="S725" s="2"/>
      <c r="T725" s="2"/>
      <c r="U725" s="2"/>
    </row>
    <row r="726" spans="1:21" x14ac:dyDescent="0.25">
      <c r="A726" s="2" t="str">
        <f ca="1">IFERROR(__xludf.DUMMYFUNCTION("""COMPUTED_VALUE"""),"92f83436")</f>
        <v>92f83436</v>
      </c>
      <c r="B726" s="5">
        <f ca="1">IFERROR(__xludf.DUMMYFUNCTION("""COMPUTED_VALUE"""),45800.4263888888)</f>
        <v>45800.426388888802</v>
      </c>
      <c r="C726" s="2" t="str">
        <f ca="1">IFERROR(__xludf.DUMMYFUNCTION("""COMPUTED_VALUE"""),"20f062e7")</f>
        <v>20f062e7</v>
      </c>
      <c r="D726" s="2">
        <f ca="1">IFERROR(__xludf.DUMMYFUNCTION("""COMPUTED_VALUE"""),82)</f>
        <v>82</v>
      </c>
      <c r="E726" s="2" t="str">
        <f ca="1">IFERROR(__xludf.DUMMYFUNCTION("""COMPUTED_VALUE"""),"Anccelotta")</f>
        <v>Anccelotta</v>
      </c>
      <c r="F726" s="2">
        <f ca="1">IFERROR(__xludf.DUMMYFUNCTION("""COMPUTED_VALUE"""),9500)</f>
        <v>9500</v>
      </c>
      <c r="G726" s="2">
        <f ca="1">IFERROR(__xludf.DUMMYFUNCTION("""COMPUTED_VALUE"""),24)</f>
        <v>24</v>
      </c>
      <c r="H726" s="2" t="str">
        <f ca="1">IFERROR(__xludf.DUMMYFUNCTION("""COMPUTED_VALUE"""),"fcd4899d")</f>
        <v>fcd4899d</v>
      </c>
      <c r="I726" s="2" t="str">
        <f ca="1">IFERROR(__xludf.DUMMYFUNCTION("""COMPUTED_VALUE"""),"Malbec")</f>
        <v>Malbec</v>
      </c>
      <c r="J726" s="2">
        <f ca="1">IFERROR(__xludf.DUMMYFUNCTION("""COMPUTED_VALUE"""),44400)</f>
        <v>44400</v>
      </c>
      <c r="K726" s="2">
        <f ca="1">IFERROR(__xludf.DUMMYFUNCTION("""COMPUTED_VALUE"""),53900)</f>
        <v>53900</v>
      </c>
      <c r="L726" s="2" t="str">
        <f ca="1">IFERROR(__xludf.DUMMYFUNCTION("""COMPUTED_VALUE"""),"1c1b6466")</f>
        <v>1c1b6466</v>
      </c>
      <c r="M726" s="2" t="str">
        <f ca="1">IFERROR(__xludf.DUMMYFUNCTION("""COMPUTED_VALUE"""),"Malbec")</f>
        <v>Malbec</v>
      </c>
      <c r="N726" s="2"/>
      <c r="O726" s="2" t="str">
        <f ca="1">IFERROR(__xludf.DUMMYFUNCTION("""COMPUTED_VALUE"""),"1er Trasiego")</f>
        <v>1er Trasiego</v>
      </c>
      <c r="P726" s="2" t="str">
        <f ca="1">IFERROR(__xludf.DUMMYFUNCTION("""COMPUTED_VALUE"""),"2do Trasiego")</f>
        <v>2do Trasiego</v>
      </c>
      <c r="Q726" s="2" t="b">
        <f ca="1">IFERROR(__xludf.DUMMYFUNCTION("""COMPUTED_VALUE"""),TRUE)</f>
        <v>1</v>
      </c>
      <c r="R726" s="2" t="str">
        <f ca="1">IFERROR(__xludf.DUMMYFUNCTION("""COMPUTED_VALUE"""),"2do Trasiego")</f>
        <v>2do Trasiego</v>
      </c>
      <c r="S726" s="2"/>
      <c r="T726" s="2"/>
      <c r="U726" s="2"/>
    </row>
    <row r="727" spans="1:21" x14ac:dyDescent="0.25">
      <c r="A727" s="2" t="str">
        <f ca="1">IFERROR(__xludf.DUMMYFUNCTION("""COMPUTED_VALUE"""),"ec076772")</f>
        <v>ec076772</v>
      </c>
      <c r="B727" s="5">
        <f ca="1">IFERROR(__xludf.DUMMYFUNCTION("""COMPUTED_VALUE"""),45800.4268634259)</f>
        <v>45800.426863425899</v>
      </c>
      <c r="C727" s="2" t="str">
        <f ca="1">IFERROR(__xludf.DUMMYFUNCTION("""COMPUTED_VALUE"""),"530c9456")</f>
        <v>530c9456</v>
      </c>
      <c r="D727" s="2">
        <f ca="1">IFERROR(__xludf.DUMMYFUNCTION("""COMPUTED_VALUE"""),7)</f>
        <v>7</v>
      </c>
      <c r="E727" s="2" t="str">
        <f ca="1">IFERROR(__xludf.DUMMYFUNCTION("""COMPUTED_VALUE"""),"Cabernet Sauvignon - Rectificado")</f>
        <v>Cabernet Sauvignon - Rectificado</v>
      </c>
      <c r="F727" s="2">
        <f ca="1">IFERROR(__xludf.DUMMYFUNCTION("""COMPUTED_VALUE"""),18100)</f>
        <v>18100</v>
      </c>
      <c r="G727" s="2">
        <f ca="1">IFERROR(__xludf.DUMMYFUNCTION("""COMPUTED_VALUE"""),24)</f>
        <v>24</v>
      </c>
      <c r="H727" s="2" t="str">
        <f ca="1">IFERROR(__xludf.DUMMYFUNCTION("""COMPUTED_VALUE"""),"1c1b6466")</f>
        <v>1c1b6466</v>
      </c>
      <c r="I727" s="2" t="str">
        <f ca="1">IFERROR(__xludf.DUMMYFUNCTION("""COMPUTED_VALUE"""),"Malbec")</f>
        <v>Malbec</v>
      </c>
      <c r="J727" s="2">
        <f ca="1">IFERROR(__xludf.DUMMYFUNCTION("""COMPUTED_VALUE"""),53900)</f>
        <v>53900</v>
      </c>
      <c r="K727" s="2">
        <f ca="1">IFERROR(__xludf.DUMMYFUNCTION("""COMPUTED_VALUE"""),72000)</f>
        <v>72000</v>
      </c>
      <c r="L727" s="2" t="str">
        <f ca="1">IFERROR(__xludf.DUMMYFUNCTION("""COMPUTED_VALUE"""),"3f1dcd1d")</f>
        <v>3f1dcd1d</v>
      </c>
      <c r="M727" s="2" t="str">
        <f ca="1">IFERROR(__xludf.DUMMYFUNCTION("""COMPUTED_VALUE"""),"Malbec")</f>
        <v>Malbec</v>
      </c>
      <c r="N727" s="2"/>
      <c r="O727" s="2" t="str">
        <f ca="1">IFERROR(__xludf.DUMMYFUNCTION("""COMPUTED_VALUE"""),"Rectificado")</f>
        <v>Rectificado</v>
      </c>
      <c r="P727" s="2" t="str">
        <f ca="1">IFERROR(__xludf.DUMMYFUNCTION("""COMPUTED_VALUE"""),"2do Trasiego")</f>
        <v>2do Trasiego</v>
      </c>
      <c r="Q727" s="2" t="b">
        <f ca="1">IFERROR(__xludf.DUMMYFUNCTION("""COMPUTED_VALUE"""),TRUE)</f>
        <v>1</v>
      </c>
      <c r="R727" s="2" t="str">
        <f ca="1">IFERROR(__xludf.DUMMYFUNCTION("""COMPUTED_VALUE"""),"2do Trasiego")</f>
        <v>2do Trasiego</v>
      </c>
      <c r="S727" s="2"/>
      <c r="T727" s="2"/>
      <c r="U727" s="2"/>
    </row>
    <row r="728" spans="1:21" x14ac:dyDescent="0.25">
      <c r="A728" s="2" t="str">
        <f ca="1">IFERROR(__xludf.DUMMYFUNCTION("""COMPUTED_VALUE"""),"c98ff155")</f>
        <v>c98ff155</v>
      </c>
      <c r="B728" s="5">
        <f ca="1">IFERROR(__xludf.DUMMYFUNCTION("""COMPUTED_VALUE"""),45800.4272569444)</f>
        <v>45800.4272569444</v>
      </c>
      <c r="C728" s="2" t="str">
        <f ca="1">IFERROR(__xludf.DUMMYFUNCTION("""COMPUTED_VALUE"""),"33b26126")</f>
        <v>33b26126</v>
      </c>
      <c r="D728" s="2">
        <f ca="1">IFERROR(__xludf.DUMMYFUNCTION("""COMPUTED_VALUE"""),85)</f>
        <v>85</v>
      </c>
      <c r="E728" s="2" t="str">
        <f ca="1">IFERROR(__xludf.DUMMYFUNCTION("""COMPUTED_VALUE"""),"Malbec Dulc")</f>
        <v>Malbec Dulc</v>
      </c>
      <c r="F728" s="2">
        <f ca="1">IFERROR(__xludf.DUMMYFUNCTION("""COMPUTED_VALUE"""),84000)</f>
        <v>84000</v>
      </c>
      <c r="G728" s="2">
        <f ca="1">IFERROR(__xludf.DUMMYFUNCTION("""COMPUTED_VALUE"""),24)</f>
        <v>24</v>
      </c>
      <c r="H728" s="2" t="str">
        <f ca="1">IFERROR(__xludf.DUMMYFUNCTION("""COMPUTED_VALUE"""),"3f1dcd1d")</f>
        <v>3f1dcd1d</v>
      </c>
      <c r="I728" s="2" t="str">
        <f ca="1">IFERROR(__xludf.DUMMYFUNCTION("""COMPUTED_VALUE"""),"Malbec")</f>
        <v>Malbec</v>
      </c>
      <c r="J728" s="2">
        <f ca="1">IFERROR(__xludf.DUMMYFUNCTION("""COMPUTED_VALUE"""),72000)</f>
        <v>72000</v>
      </c>
      <c r="K728" s="2">
        <f ca="1">IFERROR(__xludf.DUMMYFUNCTION("""COMPUTED_VALUE"""),156000)</f>
        <v>156000</v>
      </c>
      <c r="L728" s="2" t="str">
        <f ca="1">IFERROR(__xludf.DUMMYFUNCTION("""COMPUTED_VALUE"""),"1f03bf4a")</f>
        <v>1f03bf4a</v>
      </c>
      <c r="M728" s="2" t="str">
        <f ca="1">IFERROR(__xludf.DUMMYFUNCTION("""COMPUTED_VALUE"""),"Malbec")</f>
        <v>Malbec</v>
      </c>
      <c r="N728" s="2"/>
      <c r="O728" s="2" t="str">
        <f ca="1">IFERROR(__xludf.DUMMYFUNCTION("""COMPUTED_VALUE"""),"1er Trasiego")</f>
        <v>1er Trasiego</v>
      </c>
      <c r="P728" s="2" t="str">
        <f ca="1">IFERROR(__xludf.DUMMYFUNCTION("""COMPUTED_VALUE"""),"2do Trasiego")</f>
        <v>2do Trasiego</v>
      </c>
      <c r="Q728" s="2" t="b">
        <f ca="1">IFERROR(__xludf.DUMMYFUNCTION("""COMPUTED_VALUE"""),TRUE)</f>
        <v>1</v>
      </c>
      <c r="R728" s="2" t="str">
        <f ca="1">IFERROR(__xludf.DUMMYFUNCTION("""COMPUTED_VALUE"""),"2do Trasiego")</f>
        <v>2do Trasiego</v>
      </c>
      <c r="S728" s="2"/>
      <c r="T728" s="2"/>
      <c r="U728" s="2"/>
    </row>
    <row r="729" spans="1:21" x14ac:dyDescent="0.25">
      <c r="A729" s="2" t="str">
        <f ca="1">IFERROR(__xludf.DUMMYFUNCTION("""COMPUTED_VALUE"""),"5c864152")</f>
        <v>5c864152</v>
      </c>
      <c r="B729" s="5">
        <f ca="1">IFERROR(__xludf.DUMMYFUNCTION("""COMPUTED_VALUE"""),45800.4292013888)</f>
        <v>45800.429201388797</v>
      </c>
      <c r="C729" s="2" t="str">
        <f ca="1">IFERROR(__xludf.DUMMYFUNCTION("""COMPUTED_VALUE"""),"91b01170")</f>
        <v>91b01170</v>
      </c>
      <c r="D729" s="2">
        <f ca="1">IFERROR(__xludf.DUMMYFUNCTION("""COMPUTED_VALUE"""),65)</f>
        <v>65</v>
      </c>
      <c r="E729" s="2" t="str">
        <f ca="1">IFERROR(__xludf.DUMMYFUNCTION("""COMPUTED_VALUE"""),"Malbec Dulc")</f>
        <v>Malbec Dulc</v>
      </c>
      <c r="F729" s="2">
        <f ca="1">IFERROR(__xludf.DUMMYFUNCTION("""COMPUTED_VALUE"""),30600)</f>
        <v>30600</v>
      </c>
      <c r="G729" s="2">
        <f ca="1">IFERROR(__xludf.DUMMYFUNCTION("""COMPUTED_VALUE"""),24)</f>
        <v>24</v>
      </c>
      <c r="H729" s="2" t="str">
        <f ca="1">IFERROR(__xludf.DUMMYFUNCTION("""COMPUTED_VALUE"""),"1f03bf4a")</f>
        <v>1f03bf4a</v>
      </c>
      <c r="I729" s="2" t="str">
        <f ca="1">IFERROR(__xludf.DUMMYFUNCTION("""COMPUTED_VALUE"""),"Malbec")</f>
        <v>Malbec</v>
      </c>
      <c r="J729" s="2">
        <f ca="1">IFERROR(__xludf.DUMMYFUNCTION("""COMPUTED_VALUE"""),156000)</f>
        <v>156000</v>
      </c>
      <c r="K729" s="2">
        <f ca="1">IFERROR(__xludf.DUMMYFUNCTION("""COMPUTED_VALUE"""),186600)</f>
        <v>186600</v>
      </c>
      <c r="L729" s="2" t="str">
        <f ca="1">IFERROR(__xludf.DUMMYFUNCTION("""COMPUTED_VALUE"""),"b3a40361")</f>
        <v>b3a40361</v>
      </c>
      <c r="M729" s="2" t="str">
        <f ca="1">IFERROR(__xludf.DUMMYFUNCTION("""COMPUTED_VALUE"""),"Malbec")</f>
        <v>Malbec</v>
      </c>
      <c r="N729" s="2"/>
      <c r="O729" s="2" t="str">
        <f ca="1">IFERROR(__xludf.DUMMYFUNCTION("""COMPUTED_VALUE"""),"2do Trasiego")</f>
        <v>2do Trasiego</v>
      </c>
      <c r="P729" s="2" t="str">
        <f ca="1">IFERROR(__xludf.DUMMYFUNCTION("""COMPUTED_VALUE"""),"2do Trasiego")</f>
        <v>2do Trasiego</v>
      </c>
      <c r="Q729" s="2" t="b">
        <f ca="1">IFERROR(__xludf.DUMMYFUNCTION("""COMPUTED_VALUE"""),TRUE)</f>
        <v>1</v>
      </c>
      <c r="R729" s="2" t="str">
        <f ca="1">IFERROR(__xludf.DUMMYFUNCTION("""COMPUTED_VALUE"""),"2do Trasiego")</f>
        <v>2do Trasiego</v>
      </c>
      <c r="S729" s="2"/>
      <c r="T729" s="2"/>
      <c r="U729" s="2"/>
    </row>
    <row r="730" spans="1:21" x14ac:dyDescent="0.25">
      <c r="A730" s="2" t="str">
        <f ca="1">IFERROR(__xludf.DUMMYFUNCTION("""COMPUTED_VALUE"""),"3ead075a")</f>
        <v>3ead075a</v>
      </c>
      <c r="B730" s="5">
        <f ca="1">IFERROR(__xludf.DUMMYFUNCTION("""COMPUTED_VALUE"""),45800.7507754629)</f>
        <v>45800.750775462897</v>
      </c>
      <c r="C730" s="2" t="str">
        <f ca="1">IFERROR(__xludf.DUMMYFUNCTION("""COMPUTED_VALUE"""),"91b01170")</f>
        <v>91b01170</v>
      </c>
      <c r="D730" s="2">
        <f ca="1">IFERROR(__xludf.DUMMYFUNCTION("""COMPUTED_VALUE"""),65)</f>
        <v>65</v>
      </c>
      <c r="E730" s="2" t="str">
        <f ca="1">IFERROR(__xludf.DUMMYFUNCTION("""COMPUTED_VALUE"""),"Malbec Dulc")</f>
        <v>Malbec Dulc</v>
      </c>
      <c r="F730" s="2">
        <f ca="1">IFERROR(__xludf.DUMMYFUNCTION("""COMPUTED_VALUE"""),2900)</f>
        <v>2900</v>
      </c>
      <c r="G730" s="2">
        <f ca="1">IFERROR(__xludf.DUMMYFUNCTION("""COMPUTED_VALUE"""),500)</f>
        <v>500</v>
      </c>
      <c r="H730" s="2" t="str">
        <f ca="1">IFERROR(__xludf.DUMMYFUNCTION("""COMPUTED_VALUE"""),"39adf883")</f>
        <v>39adf883</v>
      </c>
      <c r="I730" s="2" t="str">
        <f ca="1">IFERROR(__xludf.DUMMYFUNCTION("""COMPUTED_VALUE"""),"Ajustes 23/5/2025")</f>
        <v>Ajustes 23/5/2025</v>
      </c>
      <c r="J730" s="2">
        <f ca="1">IFERROR(__xludf.DUMMYFUNCTION("""COMPUTED_VALUE"""),1)</f>
        <v>1</v>
      </c>
      <c r="K730" s="2">
        <f ca="1">IFERROR(__xludf.DUMMYFUNCTION("""COMPUTED_VALUE"""),2901)</f>
        <v>2901</v>
      </c>
      <c r="L730" s="2" t="str">
        <f ca="1">IFERROR(__xludf.DUMMYFUNCTION("""COMPUTED_VALUE"""),"44074e3a")</f>
        <v>44074e3a</v>
      </c>
      <c r="M730" s="2" t="str">
        <f ca="1">IFERROR(__xludf.DUMMYFUNCTION("""COMPUTED_VALUE"""),"Ajustes 23/5/2025")</f>
        <v>Ajustes 23/5/2025</v>
      </c>
      <c r="N730" s="2"/>
      <c r="O730" s="2" t="str">
        <f ca="1">IFERROR(__xludf.DUMMYFUNCTION("""COMPUTED_VALUE"""),"2do Trasiego")</f>
        <v>2do Trasiego</v>
      </c>
      <c r="P730" s="2"/>
      <c r="Q730" s="2" t="b">
        <f ca="1">IFERROR(__xludf.DUMMYFUNCTION("""COMPUTED_VALUE"""),TRUE)</f>
        <v>1</v>
      </c>
      <c r="R730" s="2"/>
      <c r="S730" s="2"/>
      <c r="T730" s="2"/>
      <c r="U730" s="2"/>
    </row>
    <row r="731" spans="1:21" x14ac:dyDescent="0.25">
      <c r="A731" s="2" t="str">
        <f ca="1">IFERROR(__xludf.DUMMYFUNCTION("""COMPUTED_VALUE"""),"f0092a98")</f>
        <v>f0092a98</v>
      </c>
      <c r="B731" s="5">
        <f ca="1">IFERROR(__xludf.DUMMYFUNCTION("""COMPUTED_VALUE"""),45800.7513078703)</f>
        <v>45800.751307870298</v>
      </c>
      <c r="C731" s="2" t="str">
        <f ca="1">IFERROR(__xludf.DUMMYFUNCTION("""COMPUTED_VALUE"""),"91b01170")</f>
        <v>91b01170</v>
      </c>
      <c r="D731" s="2">
        <f ca="1">IFERROR(__xludf.DUMMYFUNCTION("""COMPUTED_VALUE"""),65)</f>
        <v>65</v>
      </c>
      <c r="E731" s="2" t="str">
        <f ca="1">IFERROR(__xludf.DUMMYFUNCTION("""COMPUTED_VALUE"""),"Malbec Dulc")</f>
        <v>Malbec Dulc</v>
      </c>
      <c r="F731" s="2">
        <f ca="1">IFERROR(__xludf.DUMMYFUNCTION("""COMPUTED_VALUE"""),2000)</f>
        <v>2000</v>
      </c>
      <c r="G731" s="2">
        <f ca="1">IFERROR(__xludf.DUMMYFUNCTION("""COMPUTED_VALUE"""),83)</f>
        <v>83</v>
      </c>
      <c r="H731" s="2"/>
      <c r="I731" s="2"/>
      <c r="J731" s="2">
        <f ca="1">IFERROR(__xludf.DUMMYFUNCTION("""COMPUTED_VALUE"""),0)</f>
        <v>0</v>
      </c>
      <c r="K731" s="2">
        <f ca="1">IFERROR(__xludf.DUMMYFUNCTION("""COMPUTED_VALUE"""),2000)</f>
        <v>2000</v>
      </c>
      <c r="L731" s="2" t="str">
        <f ca="1">IFERROR(__xludf.DUMMYFUNCTION("""COMPUTED_VALUE"""),"0c98b90d")</f>
        <v>0c98b90d</v>
      </c>
      <c r="M731" s="2" t="str">
        <f ca="1">IFERROR(__xludf.DUMMYFUNCTION("""COMPUTED_VALUE"""),"Malbec")</f>
        <v>Malbec</v>
      </c>
      <c r="N731" s="2"/>
      <c r="O731" s="2" t="str">
        <f ca="1">IFERROR(__xludf.DUMMYFUNCTION("""COMPUTED_VALUE"""),"2do Trasiego")</f>
        <v>2do Trasiego</v>
      </c>
      <c r="P731" s="2"/>
      <c r="Q731" s="2" t="b">
        <f ca="1">IFERROR(__xludf.DUMMYFUNCTION("""COMPUTED_VALUE"""),FALSE)</f>
        <v>0</v>
      </c>
      <c r="R731" s="2" t="str">
        <f ca="1">IFERROR(__xludf.DUMMYFUNCTION("""COMPUTED_VALUE"""),"2do Trasiego")</f>
        <v>2do Trasiego</v>
      </c>
      <c r="S731" s="2"/>
      <c r="T731" s="2"/>
      <c r="U731" s="2"/>
    </row>
    <row r="732" spans="1:21" x14ac:dyDescent="0.25">
      <c r="A732" s="2" t="str">
        <f ca="1">IFERROR(__xludf.DUMMYFUNCTION("""COMPUTED_VALUE"""),"f7ff9894")</f>
        <v>f7ff9894</v>
      </c>
      <c r="B732" s="5">
        <f ca="1">IFERROR(__xludf.DUMMYFUNCTION("""COMPUTED_VALUE"""),45800.7516782407)</f>
        <v>45800.751678240696</v>
      </c>
      <c r="C732" s="2" t="str">
        <f ca="1">IFERROR(__xludf.DUMMYFUNCTION("""COMPUTED_VALUE"""),"95f6ad50")</f>
        <v>95f6ad50</v>
      </c>
      <c r="D732" s="2">
        <f ca="1">IFERROR(__xludf.DUMMYFUNCTION("""COMPUTED_VALUE"""),66)</f>
        <v>66</v>
      </c>
      <c r="E732" s="2" t="str">
        <f ca="1">IFERROR(__xludf.DUMMYFUNCTION("""COMPUTED_VALUE"""),"Malbec Dulc")</f>
        <v>Malbec Dulc</v>
      </c>
      <c r="F732" s="2">
        <f ca="1">IFERROR(__xludf.DUMMYFUNCTION("""COMPUTED_VALUE"""),23000)</f>
        <v>23000</v>
      </c>
      <c r="G732" s="2">
        <f ca="1">IFERROR(__xludf.DUMMYFUNCTION("""COMPUTED_VALUE"""),83)</f>
        <v>83</v>
      </c>
      <c r="H732" s="2" t="str">
        <f ca="1">IFERROR(__xludf.DUMMYFUNCTION("""COMPUTED_VALUE"""),"0c98b90d")</f>
        <v>0c98b90d</v>
      </c>
      <c r="I732" s="2" t="str">
        <f ca="1">IFERROR(__xludf.DUMMYFUNCTION("""COMPUTED_VALUE"""),"Malbec")</f>
        <v>Malbec</v>
      </c>
      <c r="J732" s="2">
        <f ca="1">IFERROR(__xludf.DUMMYFUNCTION("""COMPUTED_VALUE"""),2000)</f>
        <v>2000</v>
      </c>
      <c r="K732" s="2">
        <f ca="1">IFERROR(__xludf.DUMMYFUNCTION("""COMPUTED_VALUE"""),25000)</f>
        <v>25000</v>
      </c>
      <c r="L732" s="2" t="str">
        <f ca="1">IFERROR(__xludf.DUMMYFUNCTION("""COMPUTED_VALUE"""),"831c7ff8")</f>
        <v>831c7ff8</v>
      </c>
      <c r="M732" s="2" t="str">
        <f ca="1">IFERROR(__xludf.DUMMYFUNCTION("""COMPUTED_VALUE"""),"Malbec")</f>
        <v>Malbec</v>
      </c>
      <c r="N732" s="2"/>
      <c r="O732" s="2" t="str">
        <f ca="1">IFERROR(__xludf.DUMMYFUNCTION("""COMPUTED_VALUE"""),"2do Trasiego")</f>
        <v>2do Trasiego</v>
      </c>
      <c r="P732" s="2" t="str">
        <f ca="1">IFERROR(__xludf.DUMMYFUNCTION("""COMPUTED_VALUE"""),"2do Trasiego")</f>
        <v>2do Trasiego</v>
      </c>
      <c r="Q732" s="2" t="b">
        <f ca="1">IFERROR(__xludf.DUMMYFUNCTION("""COMPUTED_VALUE"""),TRUE)</f>
        <v>1</v>
      </c>
      <c r="R732" s="2" t="str">
        <f ca="1">IFERROR(__xludf.DUMMYFUNCTION("""COMPUTED_VALUE"""),"2do Trasiego")</f>
        <v>2do Trasiego</v>
      </c>
      <c r="S732" s="2"/>
      <c r="T732" s="2"/>
      <c r="U732" s="2"/>
    </row>
    <row r="733" spans="1:21" x14ac:dyDescent="0.25">
      <c r="A733" s="2" t="str">
        <f ca="1">IFERROR(__xludf.DUMMYFUNCTION("""COMPUTED_VALUE"""),"bd08076b")</f>
        <v>bd08076b</v>
      </c>
      <c r="B733" s="5">
        <f ca="1">IFERROR(__xludf.DUMMYFUNCTION("""COMPUTED_VALUE"""),45800.7522569444)</f>
        <v>45800.752256944397</v>
      </c>
      <c r="C733" s="2" t="str">
        <f ca="1">IFERROR(__xludf.DUMMYFUNCTION("""COMPUTED_VALUE"""),"7b6d5389")</f>
        <v>7b6d5389</v>
      </c>
      <c r="D733" s="2">
        <f ca="1">IFERROR(__xludf.DUMMYFUNCTION("""COMPUTED_VALUE"""),120)</f>
        <v>120</v>
      </c>
      <c r="E733" s="2" t="str">
        <f ca="1">IFERROR(__xludf.DUMMYFUNCTION("""COMPUTED_VALUE"""),"Malbec Mec")</f>
        <v>Malbec Mec</v>
      </c>
      <c r="F733" s="2">
        <f ca="1">IFERROR(__xludf.DUMMYFUNCTION("""COMPUTED_VALUE"""),44400)</f>
        <v>44400</v>
      </c>
      <c r="G733" s="2">
        <f ca="1">IFERROR(__xludf.DUMMYFUNCTION("""COMPUTED_VALUE"""),83)</f>
        <v>83</v>
      </c>
      <c r="H733" s="2" t="str">
        <f ca="1">IFERROR(__xludf.DUMMYFUNCTION("""COMPUTED_VALUE"""),"831c7ff8")</f>
        <v>831c7ff8</v>
      </c>
      <c r="I733" s="2" t="str">
        <f ca="1">IFERROR(__xludf.DUMMYFUNCTION("""COMPUTED_VALUE"""),"Malbec")</f>
        <v>Malbec</v>
      </c>
      <c r="J733" s="2">
        <f ca="1">IFERROR(__xludf.DUMMYFUNCTION("""COMPUTED_VALUE"""),25000)</f>
        <v>25000</v>
      </c>
      <c r="K733" s="2">
        <f ca="1">IFERROR(__xludf.DUMMYFUNCTION("""COMPUTED_VALUE"""),69400)</f>
        <v>69400</v>
      </c>
      <c r="L733" s="2" t="str">
        <f ca="1">IFERROR(__xludf.DUMMYFUNCTION("""COMPUTED_VALUE"""),"c5230377")</f>
        <v>c5230377</v>
      </c>
      <c r="M733" s="2" t="str">
        <f ca="1">IFERROR(__xludf.DUMMYFUNCTION("""COMPUTED_VALUE"""),"Malbec")</f>
        <v>Malbec</v>
      </c>
      <c r="N733" s="2"/>
      <c r="O733" s="2" t="str">
        <f ca="1">IFERROR(__xludf.DUMMYFUNCTION("""COMPUTED_VALUE"""),"1er Trasiego")</f>
        <v>1er Trasiego</v>
      </c>
      <c r="P733" s="2" t="str">
        <f ca="1">IFERROR(__xludf.DUMMYFUNCTION("""COMPUTED_VALUE"""),"2do Trasiego")</f>
        <v>2do Trasiego</v>
      </c>
      <c r="Q733" s="2" t="b">
        <f ca="1">IFERROR(__xludf.DUMMYFUNCTION("""COMPUTED_VALUE"""),TRUE)</f>
        <v>1</v>
      </c>
      <c r="R733" s="2" t="str">
        <f ca="1">IFERROR(__xludf.DUMMYFUNCTION("""COMPUTED_VALUE"""),"2do Trasiego")</f>
        <v>2do Trasiego</v>
      </c>
      <c r="S733" s="2"/>
      <c r="T733" s="2"/>
      <c r="U733" s="2"/>
    </row>
    <row r="734" spans="1:21" x14ac:dyDescent="0.25">
      <c r="A734" s="2" t="str">
        <f ca="1">IFERROR(__xludf.DUMMYFUNCTION("""COMPUTED_VALUE"""),"ad899a4d")</f>
        <v>ad899a4d</v>
      </c>
      <c r="B734" s="5">
        <f ca="1">IFERROR(__xludf.DUMMYFUNCTION("""COMPUTED_VALUE"""),45800.7542476851)</f>
        <v>45800.754247685101</v>
      </c>
      <c r="C734" s="2" t="str">
        <f ca="1">IFERROR(__xludf.DUMMYFUNCTION("""COMPUTED_VALUE"""),"5b29cdd7")</f>
        <v>5b29cdd7</v>
      </c>
      <c r="D734" s="2">
        <f ca="1">IFERROR(__xludf.DUMMYFUNCTION("""COMPUTED_VALUE"""),6)</f>
        <v>6</v>
      </c>
      <c r="E734" s="2" t="str">
        <f ca="1">IFERROR(__xludf.DUMMYFUNCTION("""COMPUTED_VALUE"""),"Cabernet Sauvignon - Rectificado")</f>
        <v>Cabernet Sauvignon - Rectificado</v>
      </c>
      <c r="F734" s="2">
        <f ca="1">IFERROR(__xludf.DUMMYFUNCTION("""COMPUTED_VALUE"""),3620)</f>
        <v>3620</v>
      </c>
      <c r="G734" s="2">
        <f ca="1">IFERROR(__xludf.DUMMYFUNCTION("""COMPUTED_VALUE"""),34)</f>
        <v>34</v>
      </c>
      <c r="H734" s="2" t="str">
        <f ca="1">IFERROR(__xludf.DUMMYFUNCTION("""COMPUTED_VALUE"""),"f213d575")</f>
        <v>f213d575</v>
      </c>
      <c r="I734" s="2" t="str">
        <f ca="1">IFERROR(__xludf.DUMMYFUNCTION("""COMPUTED_VALUE"""),"Malbec")</f>
        <v>Malbec</v>
      </c>
      <c r="J734" s="2">
        <f ca="1">IFERROR(__xludf.DUMMYFUNCTION("""COMPUTED_VALUE"""),35880)</f>
        <v>35880</v>
      </c>
      <c r="K734" s="2">
        <f ca="1">IFERROR(__xludf.DUMMYFUNCTION("""COMPUTED_VALUE"""),39500)</f>
        <v>39500</v>
      </c>
      <c r="L734" s="2" t="str">
        <f ca="1">IFERROR(__xludf.DUMMYFUNCTION("""COMPUTED_VALUE"""),"08cd1438")</f>
        <v>08cd1438</v>
      </c>
      <c r="M734" s="2" t="str">
        <f ca="1">IFERROR(__xludf.DUMMYFUNCTION("""COMPUTED_VALUE"""),"Malbec")</f>
        <v>Malbec</v>
      </c>
      <c r="N734" s="2"/>
      <c r="O734" s="2" t="str">
        <f ca="1">IFERROR(__xludf.DUMMYFUNCTION("""COMPUTED_VALUE"""),"Rectificado")</f>
        <v>Rectificado</v>
      </c>
      <c r="P734" s="2" t="str">
        <f ca="1">IFERROR(__xludf.DUMMYFUNCTION("""COMPUTED_VALUE"""),"1er Trasiego")</f>
        <v>1er Trasiego</v>
      </c>
      <c r="Q734" s="2" t="b">
        <f ca="1">IFERROR(__xludf.DUMMYFUNCTION("""COMPUTED_VALUE"""),TRUE)</f>
        <v>1</v>
      </c>
      <c r="R734" s="2" t="str">
        <f ca="1">IFERROR(__xludf.DUMMYFUNCTION("""COMPUTED_VALUE"""),"1er Trasiego")</f>
        <v>1er Trasiego</v>
      </c>
      <c r="S734" s="2"/>
      <c r="T734" s="2"/>
      <c r="U734" s="2"/>
    </row>
    <row r="735" spans="1:21" x14ac:dyDescent="0.25">
      <c r="A735" s="2" t="str">
        <f ca="1">IFERROR(__xludf.DUMMYFUNCTION("""COMPUTED_VALUE"""),"151c9b28")</f>
        <v>151c9b28</v>
      </c>
      <c r="B735" s="5">
        <f ca="1">IFERROR(__xludf.DUMMYFUNCTION("""COMPUTED_VALUE"""),45800.7604861111)</f>
        <v>45800.760486111103</v>
      </c>
      <c r="C735" s="2" t="str">
        <f ca="1">IFERROR(__xludf.DUMMYFUNCTION("""COMPUTED_VALUE"""),"5b29cdd7")</f>
        <v>5b29cdd7</v>
      </c>
      <c r="D735" s="2">
        <f ca="1">IFERROR(__xludf.DUMMYFUNCTION("""COMPUTED_VALUE"""),6)</f>
        <v>6</v>
      </c>
      <c r="E735" s="2" t="str">
        <f ca="1">IFERROR(__xludf.DUMMYFUNCTION("""COMPUTED_VALUE"""),"Cabernet Sauvignon - Rectificado")</f>
        <v>Cabernet Sauvignon - Rectificado</v>
      </c>
      <c r="F735" s="2">
        <f ca="1">IFERROR(__xludf.DUMMYFUNCTION("""COMPUTED_VALUE"""),4780)</f>
        <v>4780</v>
      </c>
      <c r="G735" s="2">
        <f ca="1">IFERROR(__xludf.DUMMYFUNCTION("""COMPUTED_VALUE"""),500)</f>
        <v>500</v>
      </c>
      <c r="H735" s="2" t="str">
        <f ca="1">IFERROR(__xludf.DUMMYFUNCTION("""COMPUTED_VALUE"""),"44074e3a")</f>
        <v>44074e3a</v>
      </c>
      <c r="I735" s="2" t="str">
        <f ca="1">IFERROR(__xludf.DUMMYFUNCTION("""COMPUTED_VALUE"""),"Ajustes 23/5/2025")</f>
        <v>Ajustes 23/5/2025</v>
      </c>
      <c r="J735" s="2">
        <f ca="1">IFERROR(__xludf.DUMMYFUNCTION("""COMPUTED_VALUE"""),2901)</f>
        <v>2901</v>
      </c>
      <c r="K735" s="2">
        <f ca="1">IFERROR(__xludf.DUMMYFUNCTION("""COMPUTED_VALUE"""),7681)</f>
        <v>7681</v>
      </c>
      <c r="L735" s="2" t="str">
        <f ca="1">IFERROR(__xludf.DUMMYFUNCTION("""COMPUTED_VALUE"""),"62ec9377")</f>
        <v>62ec9377</v>
      </c>
      <c r="M735" s="2" t="str">
        <f ca="1">IFERROR(__xludf.DUMMYFUNCTION("""COMPUTED_VALUE"""),"Ajustes 23/5/2025")</f>
        <v>Ajustes 23/5/2025</v>
      </c>
      <c r="N735" s="2"/>
      <c r="O735" s="2" t="str">
        <f ca="1">IFERROR(__xludf.DUMMYFUNCTION("""COMPUTED_VALUE"""),"Rectificado")</f>
        <v>Rectificado</v>
      </c>
      <c r="P735" s="2"/>
      <c r="Q735" s="2" t="b">
        <f ca="1">IFERROR(__xludf.DUMMYFUNCTION("""COMPUTED_VALUE"""),TRUE)</f>
        <v>1</v>
      </c>
      <c r="R735" s="2"/>
      <c r="S735" s="2"/>
      <c r="T735" s="2"/>
      <c r="U735" s="2"/>
    </row>
    <row r="736" spans="1:21" x14ac:dyDescent="0.25">
      <c r="A736" s="2" t="str">
        <f ca="1">IFERROR(__xludf.DUMMYFUNCTION("""COMPUTED_VALUE"""),"66a9bbf2")</f>
        <v>66a9bbf2</v>
      </c>
      <c r="B736" s="5">
        <f ca="1">IFERROR(__xludf.DUMMYFUNCTION("""COMPUTED_VALUE"""),45800.7634953703)</f>
        <v>45800.763495370302</v>
      </c>
      <c r="C736" s="2" t="str">
        <f ca="1">IFERROR(__xludf.DUMMYFUNCTION("""COMPUTED_VALUE"""),"e375ee10")</f>
        <v>e375ee10</v>
      </c>
      <c r="D736" s="2">
        <f ca="1">IFERROR(__xludf.DUMMYFUNCTION("""COMPUTED_VALUE"""),127)</f>
        <v>127</v>
      </c>
      <c r="E736" s="2" t="str">
        <f ca="1">IFERROR(__xludf.DUMMYFUNCTION("""COMPUTED_VALUE"""),"Bonarda")</f>
        <v>Bonarda</v>
      </c>
      <c r="F736" s="2">
        <f ca="1">IFERROR(__xludf.DUMMYFUNCTION("""COMPUTED_VALUE"""),8700)</f>
        <v>8700</v>
      </c>
      <c r="G736" s="2">
        <f ca="1">IFERROR(__xludf.DUMMYFUNCTION("""COMPUTED_VALUE"""),49)</f>
        <v>49</v>
      </c>
      <c r="H736" s="2" t="str">
        <f ca="1">IFERROR(__xludf.DUMMYFUNCTION("""COMPUTED_VALUE"""),"e81f7a10")</f>
        <v>e81f7a10</v>
      </c>
      <c r="I736" s="2" t="str">
        <f ca="1">IFERROR(__xludf.DUMMYFUNCTION("""COMPUTED_VALUE"""),"Malbec")</f>
        <v>Malbec</v>
      </c>
      <c r="J736" s="2">
        <f ca="1">IFERROR(__xludf.DUMMYFUNCTION("""COMPUTED_VALUE"""),17300)</f>
        <v>17300</v>
      </c>
      <c r="K736" s="2">
        <f ca="1">IFERROR(__xludf.DUMMYFUNCTION("""COMPUTED_VALUE"""),26000)</f>
        <v>26000</v>
      </c>
      <c r="L736" s="2" t="str">
        <f ca="1">IFERROR(__xludf.DUMMYFUNCTION("""COMPUTED_VALUE"""),"9ad9bdea")</f>
        <v>9ad9bdea</v>
      </c>
      <c r="M736" s="2" t="str">
        <f ca="1">IFERROR(__xludf.DUMMYFUNCTION("""COMPUTED_VALUE"""),"Malbec")</f>
        <v>Malbec</v>
      </c>
      <c r="N736" s="2"/>
      <c r="O736" s="2" t="str">
        <f ca="1">IFERROR(__xludf.DUMMYFUNCTION("""COMPUTED_VALUE"""),"2do Trasiego")</f>
        <v>2do Trasiego</v>
      </c>
      <c r="P736" s="2" t="str">
        <f ca="1">IFERROR(__xludf.DUMMYFUNCTION("""COMPUTED_VALUE"""),"Rectificado")</f>
        <v>Rectificado</v>
      </c>
      <c r="Q736" s="2" t="b">
        <f ca="1">IFERROR(__xludf.DUMMYFUNCTION("""COMPUTED_VALUE"""),TRUE)</f>
        <v>1</v>
      </c>
      <c r="R736" s="2" t="str">
        <f ca="1">IFERROR(__xludf.DUMMYFUNCTION("""COMPUTED_VALUE"""),"Rectificado")</f>
        <v>Rectificado</v>
      </c>
      <c r="S736" s="2"/>
      <c r="T736" s="2"/>
      <c r="U736" s="2"/>
    </row>
    <row r="737" spans="1:21" x14ac:dyDescent="0.25">
      <c r="A737" s="2" t="str">
        <f ca="1">IFERROR(__xludf.DUMMYFUNCTION("""COMPUTED_VALUE"""),"54ecf46b")</f>
        <v>54ecf46b</v>
      </c>
      <c r="B737" s="5">
        <f ca="1">IFERROR(__xludf.DUMMYFUNCTION("""COMPUTED_VALUE"""),45800.7638078703)</f>
        <v>45800.763807870302</v>
      </c>
      <c r="C737" s="2" t="str">
        <f ca="1">IFERROR(__xludf.DUMMYFUNCTION("""COMPUTED_VALUE"""),"e375ee10")</f>
        <v>e375ee10</v>
      </c>
      <c r="D737" s="2">
        <f ca="1">IFERROR(__xludf.DUMMYFUNCTION("""COMPUTED_VALUE"""),127)</f>
        <v>127</v>
      </c>
      <c r="E737" s="2" t="str">
        <f ca="1">IFERROR(__xludf.DUMMYFUNCTION("""COMPUTED_VALUE"""),"Bonarda")</f>
        <v>Bonarda</v>
      </c>
      <c r="F737" s="2">
        <f ca="1">IFERROR(__xludf.DUMMYFUNCTION("""COMPUTED_VALUE"""),22300)</f>
        <v>22300</v>
      </c>
      <c r="G737" s="2">
        <f ca="1">IFERROR(__xludf.DUMMYFUNCTION("""COMPUTED_VALUE"""),6)</f>
        <v>6</v>
      </c>
      <c r="H737" s="2"/>
      <c r="I737" s="2"/>
      <c r="J737" s="2">
        <f ca="1">IFERROR(__xludf.DUMMYFUNCTION("""COMPUTED_VALUE"""),0)</f>
        <v>0</v>
      </c>
      <c r="K737" s="2">
        <f ca="1">IFERROR(__xludf.DUMMYFUNCTION("""COMPUTED_VALUE"""),22300)</f>
        <v>22300</v>
      </c>
      <c r="L737" s="2" t="str">
        <f ca="1">IFERROR(__xludf.DUMMYFUNCTION("""COMPUTED_VALUE"""),"6f76277b")</f>
        <v>6f76277b</v>
      </c>
      <c r="M737" s="2" t="str">
        <f ca="1">IFERROR(__xludf.DUMMYFUNCTION("""COMPUTED_VALUE"""),"Bonarda Rect")</f>
        <v>Bonarda Rect</v>
      </c>
      <c r="N737" s="2"/>
      <c r="O737" s="2" t="str">
        <f ca="1">IFERROR(__xludf.DUMMYFUNCTION("""COMPUTED_VALUE"""),"2do Trasiego")</f>
        <v>2do Trasiego</v>
      </c>
      <c r="P737" s="2"/>
      <c r="Q737" s="2" t="b">
        <f ca="1">IFERROR(__xludf.DUMMYFUNCTION("""COMPUTED_VALUE"""),FALSE)</f>
        <v>0</v>
      </c>
      <c r="R737" s="2" t="str">
        <f ca="1">IFERROR(__xludf.DUMMYFUNCTION("""COMPUTED_VALUE"""),"Rectificado")</f>
        <v>Rectificado</v>
      </c>
      <c r="S737" s="2"/>
      <c r="T737" s="2"/>
      <c r="U737" s="2"/>
    </row>
    <row r="738" spans="1:21" x14ac:dyDescent="0.25">
      <c r="A738" s="2" t="str">
        <f ca="1">IFERROR(__xludf.DUMMYFUNCTION("""COMPUTED_VALUE"""),"75a71349")</f>
        <v>75a71349</v>
      </c>
      <c r="B738" s="5">
        <f ca="1">IFERROR(__xludf.DUMMYFUNCTION("""COMPUTED_VALUE"""),45803.469537037)</f>
        <v>45803.469537037003</v>
      </c>
      <c r="C738" s="2" t="str">
        <f ca="1">IFERROR(__xludf.DUMMYFUNCTION("""COMPUTED_VALUE"""),"530c9456")</f>
        <v>530c9456</v>
      </c>
      <c r="D738" s="2">
        <f ca="1">IFERROR(__xludf.DUMMYFUNCTION("""COMPUTED_VALUE"""),7)</f>
        <v>7</v>
      </c>
      <c r="E738" s="2" t="str">
        <f ca="1">IFERROR(__xludf.DUMMYFUNCTION("""COMPUTED_VALUE"""),"Cabernet Sauvignon - Rectificado")</f>
        <v>Cabernet Sauvignon - Rectificado</v>
      </c>
      <c r="F738" s="2">
        <f ca="1">IFERROR(__xludf.DUMMYFUNCTION("""COMPUTED_VALUE"""),11900)</f>
        <v>11900</v>
      </c>
      <c r="G738" s="2">
        <f ca="1">IFERROR(__xludf.DUMMYFUNCTION("""COMPUTED_VALUE"""),83)</f>
        <v>83</v>
      </c>
      <c r="H738" s="2" t="str">
        <f ca="1">IFERROR(__xludf.DUMMYFUNCTION("""COMPUTED_VALUE"""),"c5230377")</f>
        <v>c5230377</v>
      </c>
      <c r="I738" s="2" t="str">
        <f ca="1">IFERROR(__xludf.DUMMYFUNCTION("""COMPUTED_VALUE"""),"Malbec")</f>
        <v>Malbec</v>
      </c>
      <c r="J738" s="2">
        <f ca="1">IFERROR(__xludf.DUMMYFUNCTION("""COMPUTED_VALUE"""),69400)</f>
        <v>69400</v>
      </c>
      <c r="K738" s="2">
        <f ca="1">IFERROR(__xludf.DUMMYFUNCTION("""COMPUTED_VALUE"""),81300)</f>
        <v>81300</v>
      </c>
      <c r="L738" s="2" t="str">
        <f ca="1">IFERROR(__xludf.DUMMYFUNCTION("""COMPUTED_VALUE"""),"434cf64c")</f>
        <v>434cf64c</v>
      </c>
      <c r="M738" s="2" t="str">
        <f ca="1">IFERROR(__xludf.DUMMYFUNCTION("""COMPUTED_VALUE"""),"Malbec")</f>
        <v>Malbec</v>
      </c>
      <c r="N738" s="2"/>
      <c r="O738" s="2" t="str">
        <f ca="1">IFERROR(__xludf.DUMMYFUNCTION("""COMPUTED_VALUE"""),"Rectificado")</f>
        <v>Rectificado</v>
      </c>
      <c r="P738" s="2" t="str">
        <f ca="1">IFERROR(__xludf.DUMMYFUNCTION("""COMPUTED_VALUE"""),"2do Trasiego")</f>
        <v>2do Trasiego</v>
      </c>
      <c r="Q738" s="2" t="b">
        <f ca="1">IFERROR(__xludf.DUMMYFUNCTION("""COMPUTED_VALUE"""),TRUE)</f>
        <v>1</v>
      </c>
      <c r="R738" s="2" t="str">
        <f ca="1">IFERROR(__xludf.DUMMYFUNCTION("""COMPUTED_VALUE"""),"2do Trasiego")</f>
        <v>2do Trasiego</v>
      </c>
      <c r="S738" s="2"/>
      <c r="T738" s="2"/>
      <c r="U738" s="2"/>
    </row>
    <row r="739" spans="1:21" x14ac:dyDescent="0.25">
      <c r="A739" s="2" t="str">
        <f ca="1">IFERROR(__xludf.DUMMYFUNCTION("""COMPUTED_VALUE"""),"0680a644")</f>
        <v>0680a644</v>
      </c>
      <c r="B739" s="5">
        <f ca="1">IFERROR(__xludf.DUMMYFUNCTION("""COMPUTED_VALUE"""),45803.4698148148)</f>
        <v>45803.469814814802</v>
      </c>
      <c r="C739" s="2" t="str">
        <f ca="1">IFERROR(__xludf.DUMMYFUNCTION("""COMPUTED_VALUE"""),"6f76277b")</f>
        <v>6f76277b</v>
      </c>
      <c r="D739" s="2">
        <f ca="1">IFERROR(__xludf.DUMMYFUNCTION("""COMPUTED_VALUE"""),6)</f>
        <v>6</v>
      </c>
      <c r="E739" s="2" t="str">
        <f ca="1">IFERROR(__xludf.DUMMYFUNCTION("""COMPUTED_VALUE"""),"Bonarda Rect")</f>
        <v>Bonarda Rect</v>
      </c>
      <c r="F739" s="2">
        <f ca="1">IFERROR(__xludf.DUMMYFUNCTION("""COMPUTED_VALUE"""),200)</f>
        <v>200</v>
      </c>
      <c r="G739" s="2">
        <f ca="1">IFERROR(__xludf.DUMMYFUNCTION("""COMPUTED_VALUE"""),83)</f>
        <v>83</v>
      </c>
      <c r="H739" s="2" t="str">
        <f ca="1">IFERROR(__xludf.DUMMYFUNCTION("""COMPUTED_VALUE"""),"434cf64c")</f>
        <v>434cf64c</v>
      </c>
      <c r="I739" s="2" t="str">
        <f ca="1">IFERROR(__xludf.DUMMYFUNCTION("""COMPUTED_VALUE"""),"Malbec")</f>
        <v>Malbec</v>
      </c>
      <c r="J739" s="2">
        <f ca="1">IFERROR(__xludf.DUMMYFUNCTION("""COMPUTED_VALUE"""),81300)</f>
        <v>81300</v>
      </c>
      <c r="K739" s="2">
        <f ca="1">IFERROR(__xludf.DUMMYFUNCTION("""COMPUTED_VALUE"""),81500)</f>
        <v>81500</v>
      </c>
      <c r="L739" s="2" t="str">
        <f ca="1">IFERROR(__xludf.DUMMYFUNCTION("""COMPUTED_VALUE"""),"1031b227")</f>
        <v>1031b227</v>
      </c>
      <c r="M739" s="2" t="str">
        <f ca="1">IFERROR(__xludf.DUMMYFUNCTION("""COMPUTED_VALUE"""),"Malbec")</f>
        <v>Malbec</v>
      </c>
      <c r="N739" s="2"/>
      <c r="O739" s="2" t="str">
        <f ca="1">IFERROR(__xludf.DUMMYFUNCTION("""COMPUTED_VALUE"""),"Rectificado")</f>
        <v>Rectificado</v>
      </c>
      <c r="P739" s="2" t="str">
        <f ca="1">IFERROR(__xludf.DUMMYFUNCTION("""COMPUTED_VALUE"""),"2do Trasiego")</f>
        <v>2do Trasiego</v>
      </c>
      <c r="Q739" s="2" t="b">
        <f ca="1">IFERROR(__xludf.DUMMYFUNCTION("""COMPUTED_VALUE"""),TRUE)</f>
        <v>1</v>
      </c>
      <c r="R739" s="2" t="str">
        <f ca="1">IFERROR(__xludf.DUMMYFUNCTION("""COMPUTED_VALUE"""),"2do Trasiego")</f>
        <v>2do Trasiego</v>
      </c>
      <c r="S739" s="2"/>
      <c r="T739" s="2"/>
      <c r="U739" s="2"/>
    </row>
    <row r="740" spans="1:21" x14ac:dyDescent="0.25">
      <c r="A740" s="2" t="str">
        <f ca="1">IFERROR(__xludf.DUMMYFUNCTION("""COMPUTED_VALUE"""),"1aeef3a7")</f>
        <v>1aeef3a7</v>
      </c>
      <c r="B740" s="5">
        <f ca="1">IFERROR(__xludf.DUMMYFUNCTION("""COMPUTED_VALUE"""),45803.4703935185)</f>
        <v>45803.470393518503</v>
      </c>
      <c r="C740" s="2" t="str">
        <f ca="1">IFERROR(__xludf.DUMMYFUNCTION("""COMPUTED_VALUE"""),"20f062e7")</f>
        <v>20f062e7</v>
      </c>
      <c r="D740" s="2">
        <f ca="1">IFERROR(__xludf.DUMMYFUNCTION("""COMPUTED_VALUE"""),82)</f>
        <v>82</v>
      </c>
      <c r="E740" s="2" t="str">
        <f ca="1">IFERROR(__xludf.DUMMYFUNCTION("""COMPUTED_VALUE"""),"Anccelotta")</f>
        <v>Anccelotta</v>
      </c>
      <c r="F740" s="2">
        <f ca="1">IFERROR(__xludf.DUMMYFUNCTION("""COMPUTED_VALUE"""),22020)</f>
        <v>22020</v>
      </c>
      <c r="G740" s="2">
        <f ca="1">IFERROR(__xludf.DUMMYFUNCTION("""COMPUTED_VALUE"""),67)</f>
        <v>67</v>
      </c>
      <c r="H740" s="2"/>
      <c r="I740" s="2"/>
      <c r="J740" s="2">
        <f ca="1">IFERROR(__xludf.DUMMYFUNCTION("""COMPUTED_VALUE"""),0)</f>
        <v>0</v>
      </c>
      <c r="K740" s="2">
        <f ca="1">IFERROR(__xludf.DUMMYFUNCTION("""COMPUTED_VALUE"""),22020)</f>
        <v>22020</v>
      </c>
      <c r="L740" s="2" t="str">
        <f ca="1">IFERROR(__xludf.DUMMYFUNCTION("""COMPUTED_VALUE"""),"b31c1ec9")</f>
        <v>b31c1ec9</v>
      </c>
      <c r="M740" s="2" t="str">
        <f ca="1">IFERROR(__xludf.DUMMYFUNCTION("""COMPUTED_VALUE"""),"Anccelotta")</f>
        <v>Anccelotta</v>
      </c>
      <c r="N740" s="2"/>
      <c r="O740" s="2" t="str">
        <f ca="1">IFERROR(__xludf.DUMMYFUNCTION("""COMPUTED_VALUE"""),"1er Trasiego")</f>
        <v>1er Trasiego</v>
      </c>
      <c r="P740" s="2"/>
      <c r="Q740" s="2" t="b">
        <f ca="1">IFERROR(__xludf.DUMMYFUNCTION("""COMPUTED_VALUE"""),FALSE)</f>
        <v>0</v>
      </c>
      <c r="R740" s="2" t="str">
        <f ca="1">IFERROR(__xludf.DUMMYFUNCTION("""COMPUTED_VALUE"""),"2do Trasiego")</f>
        <v>2do Trasiego</v>
      </c>
      <c r="S740" s="2"/>
      <c r="T740" s="2"/>
      <c r="U740" s="2"/>
    </row>
    <row r="741" spans="1:21" x14ac:dyDescent="0.25">
      <c r="A741" s="2" t="str">
        <f ca="1">IFERROR(__xludf.DUMMYFUNCTION("""COMPUTED_VALUE"""),"d372a4b6")</f>
        <v>d372a4b6</v>
      </c>
      <c r="B741" s="5">
        <f ca="1">IFERROR(__xludf.DUMMYFUNCTION("""COMPUTED_VALUE"""),45803.4708101851)</f>
        <v>45803.470810185099</v>
      </c>
      <c r="C741" s="2" t="str">
        <f ca="1">IFERROR(__xludf.DUMMYFUNCTION("""COMPUTED_VALUE"""),"6f76277b")</f>
        <v>6f76277b</v>
      </c>
      <c r="D741" s="2">
        <f ca="1">IFERROR(__xludf.DUMMYFUNCTION("""COMPUTED_VALUE"""),6)</f>
        <v>6</v>
      </c>
      <c r="E741" s="2" t="str">
        <f ca="1">IFERROR(__xludf.DUMMYFUNCTION("""COMPUTED_VALUE"""),"Bonarda Rect")</f>
        <v>Bonarda Rect</v>
      </c>
      <c r="F741" s="2">
        <f ca="1">IFERROR(__xludf.DUMMYFUNCTION("""COMPUTED_VALUE"""),980)</f>
        <v>980</v>
      </c>
      <c r="G741" s="2">
        <f ca="1">IFERROR(__xludf.DUMMYFUNCTION("""COMPUTED_VALUE"""),67)</f>
        <v>67</v>
      </c>
      <c r="H741" s="2" t="str">
        <f ca="1">IFERROR(__xludf.DUMMYFUNCTION("""COMPUTED_VALUE"""),"b31c1ec9")</f>
        <v>b31c1ec9</v>
      </c>
      <c r="I741" s="2" t="str">
        <f ca="1">IFERROR(__xludf.DUMMYFUNCTION("""COMPUTED_VALUE"""),"Anccelotta")</f>
        <v>Anccelotta</v>
      </c>
      <c r="J741" s="2">
        <f ca="1">IFERROR(__xludf.DUMMYFUNCTION("""COMPUTED_VALUE"""),22020)</f>
        <v>22020</v>
      </c>
      <c r="K741" s="2">
        <f ca="1">IFERROR(__xludf.DUMMYFUNCTION("""COMPUTED_VALUE"""),23000)</f>
        <v>23000</v>
      </c>
      <c r="L741" s="2" t="str">
        <f ca="1">IFERROR(__xludf.DUMMYFUNCTION("""COMPUTED_VALUE"""),"654f35d0")</f>
        <v>654f35d0</v>
      </c>
      <c r="M741" s="2" t="str">
        <f ca="1">IFERROR(__xludf.DUMMYFUNCTION("""COMPUTED_VALUE"""),"Anccelotta")</f>
        <v>Anccelotta</v>
      </c>
      <c r="N741" s="2"/>
      <c r="O741" s="2" t="str">
        <f ca="1">IFERROR(__xludf.DUMMYFUNCTION("""COMPUTED_VALUE"""),"Rectificado")</f>
        <v>Rectificado</v>
      </c>
      <c r="P741" s="2" t="str">
        <f ca="1">IFERROR(__xludf.DUMMYFUNCTION("""COMPUTED_VALUE"""),"2do Trasiego")</f>
        <v>2do Trasiego</v>
      </c>
      <c r="Q741" s="2" t="b">
        <f ca="1">IFERROR(__xludf.DUMMYFUNCTION("""COMPUTED_VALUE"""),TRUE)</f>
        <v>1</v>
      </c>
      <c r="R741" s="2" t="str">
        <f ca="1">IFERROR(__xludf.DUMMYFUNCTION("""COMPUTED_VALUE"""),"2do Trasiego")</f>
        <v>2do Trasiego</v>
      </c>
      <c r="S741" s="2"/>
      <c r="T741" s="2"/>
      <c r="U741" s="2"/>
    </row>
    <row r="742" spans="1:21" x14ac:dyDescent="0.25">
      <c r="A742" s="2" t="str">
        <f ca="1">IFERROR(__xludf.DUMMYFUNCTION("""COMPUTED_VALUE"""),"3f5c52aa")</f>
        <v>3f5c52aa</v>
      </c>
      <c r="B742" s="5">
        <f ca="1">IFERROR(__xludf.DUMMYFUNCTION("""COMPUTED_VALUE"""),45804.4948726851)</f>
        <v>45804.4948726851</v>
      </c>
      <c r="C742" s="2" t="str">
        <f ca="1">IFERROR(__xludf.DUMMYFUNCTION("""COMPUTED_VALUE"""),"6f76277b")</f>
        <v>6f76277b</v>
      </c>
      <c r="D742" s="2">
        <f ca="1">IFERROR(__xludf.DUMMYFUNCTION("""COMPUTED_VALUE"""),6)</f>
        <v>6</v>
      </c>
      <c r="E742" s="2" t="str">
        <f ca="1">IFERROR(__xludf.DUMMYFUNCTION("""COMPUTED_VALUE"""),"Bonarda Rect")</f>
        <v>Bonarda Rect</v>
      </c>
      <c r="F742" s="2">
        <f ca="1">IFERROR(__xludf.DUMMYFUNCTION("""COMPUTED_VALUE"""),3000)</f>
        <v>3000</v>
      </c>
      <c r="G742" s="2">
        <f ca="1">IFERROR(__xludf.DUMMYFUNCTION("""COMPUTED_VALUE"""),104)</f>
        <v>104</v>
      </c>
      <c r="H742" s="2"/>
      <c r="I742" s="2"/>
      <c r="J742" s="2">
        <f ca="1">IFERROR(__xludf.DUMMYFUNCTION("""COMPUTED_VALUE"""),0)</f>
        <v>0</v>
      </c>
      <c r="K742" s="2">
        <f ca="1">IFERROR(__xludf.DUMMYFUNCTION("""COMPUTED_VALUE"""),3000)</f>
        <v>3000</v>
      </c>
      <c r="L742" s="2" t="str">
        <f ca="1">IFERROR(__xludf.DUMMYFUNCTION("""COMPUTED_VALUE"""),"a9d727ca")</f>
        <v>a9d727ca</v>
      </c>
      <c r="M742" s="2" t="str">
        <f ca="1">IFERROR(__xludf.DUMMYFUNCTION("""COMPUTED_VALUE"""),"Bonarda Rect")</f>
        <v>Bonarda Rect</v>
      </c>
      <c r="N742" s="2"/>
      <c r="O742" s="2" t="str">
        <f ca="1">IFERROR(__xludf.DUMMYFUNCTION("""COMPUTED_VALUE"""),"Rectificado")</f>
        <v>Rectificado</v>
      </c>
      <c r="P742" s="2"/>
      <c r="Q742" s="2" t="b">
        <f ca="1">IFERROR(__xludf.DUMMYFUNCTION("""COMPUTED_VALUE"""),FALSE)</f>
        <v>0</v>
      </c>
      <c r="R742" s="2" t="str">
        <f ca="1">IFERROR(__xludf.DUMMYFUNCTION("""COMPUTED_VALUE"""),"Rectificado")</f>
        <v>Rectificado</v>
      </c>
      <c r="S742" s="2"/>
      <c r="T742" s="2"/>
      <c r="U742" s="2"/>
    </row>
    <row r="743" spans="1:21" x14ac:dyDescent="0.25">
      <c r="A743" s="2" t="str">
        <f ca="1">IFERROR(__xludf.DUMMYFUNCTION("""COMPUTED_VALUE"""),"ba079096")</f>
        <v>ba079096</v>
      </c>
      <c r="B743" s="5">
        <f ca="1">IFERROR(__xludf.DUMMYFUNCTION("""COMPUTED_VALUE"""),45804.4954629629)</f>
        <v>45804.495462962899</v>
      </c>
      <c r="C743" s="2" t="str">
        <f ca="1">IFERROR(__xludf.DUMMYFUNCTION("""COMPUTED_VALUE"""),"cbf4bbc1")</f>
        <v>cbf4bbc1</v>
      </c>
      <c r="D743" s="2">
        <f ca="1">IFERROR(__xludf.DUMMYFUNCTION("""COMPUTED_VALUE"""),102)</f>
        <v>102</v>
      </c>
      <c r="E743" s="2" t="str">
        <f ca="1">IFERROR(__xludf.DUMMYFUNCTION("""COMPUTED_VALUE"""),"Bonarda")</f>
        <v>Bonarda</v>
      </c>
      <c r="F743" s="2">
        <f ca="1">IFERROR(__xludf.DUMMYFUNCTION("""COMPUTED_VALUE"""),28000)</f>
        <v>28000</v>
      </c>
      <c r="G743" s="2">
        <f ca="1">IFERROR(__xludf.DUMMYFUNCTION("""COMPUTED_VALUE"""),104)</f>
        <v>104</v>
      </c>
      <c r="H743" s="2" t="str">
        <f ca="1">IFERROR(__xludf.DUMMYFUNCTION("""COMPUTED_VALUE"""),"a9d727ca")</f>
        <v>a9d727ca</v>
      </c>
      <c r="I743" s="2" t="str">
        <f ca="1">IFERROR(__xludf.DUMMYFUNCTION("""COMPUTED_VALUE"""),"Bonarda Rect")</f>
        <v>Bonarda Rect</v>
      </c>
      <c r="J743" s="2">
        <f ca="1">IFERROR(__xludf.DUMMYFUNCTION("""COMPUTED_VALUE"""),3000)</f>
        <v>3000</v>
      </c>
      <c r="K743" s="2">
        <f ca="1">IFERROR(__xludf.DUMMYFUNCTION("""COMPUTED_VALUE"""),31000)</f>
        <v>31000</v>
      </c>
      <c r="L743" s="2" t="str">
        <f ca="1">IFERROR(__xludf.DUMMYFUNCTION("""COMPUTED_VALUE"""),"029c104a")</f>
        <v>029c104a</v>
      </c>
      <c r="M743" s="2" t="str">
        <f ca="1">IFERROR(__xludf.DUMMYFUNCTION("""COMPUTED_VALUE"""),"Bonarda")</f>
        <v>Bonarda</v>
      </c>
      <c r="N743" s="2"/>
      <c r="O743" s="2" t="str">
        <f ca="1">IFERROR(__xludf.DUMMYFUNCTION("""COMPUTED_VALUE"""),"1er Trasiego")</f>
        <v>1er Trasiego</v>
      </c>
      <c r="P743" s="2" t="str">
        <f ca="1">IFERROR(__xludf.DUMMYFUNCTION("""COMPUTED_VALUE"""),"Rectificado")</f>
        <v>Rectificado</v>
      </c>
      <c r="Q743" s="2" t="b">
        <f ca="1">IFERROR(__xludf.DUMMYFUNCTION("""COMPUTED_VALUE"""),FALSE)</f>
        <v>0</v>
      </c>
      <c r="R743" s="2" t="str">
        <f ca="1">IFERROR(__xludf.DUMMYFUNCTION("""COMPUTED_VALUE"""),"2do Trasiego")</f>
        <v>2do Trasiego</v>
      </c>
      <c r="S743" s="2"/>
      <c r="T743" s="2"/>
      <c r="U743" s="2"/>
    </row>
    <row r="744" spans="1:21" x14ac:dyDescent="0.25">
      <c r="A744" s="2" t="str">
        <f ca="1">IFERROR(__xludf.DUMMYFUNCTION("""COMPUTED_VALUE"""),"62ca2cff")</f>
        <v>62ca2cff</v>
      </c>
      <c r="B744" s="5">
        <f ca="1">IFERROR(__xludf.DUMMYFUNCTION("""COMPUTED_VALUE"""),45804.5170023148)</f>
        <v>45804.517002314802</v>
      </c>
      <c r="C744" s="2" t="str">
        <f ca="1">IFERROR(__xludf.DUMMYFUNCTION("""COMPUTED_VALUE"""),"cbf4bbc1")</f>
        <v>cbf4bbc1</v>
      </c>
      <c r="D744" s="2">
        <f ca="1">IFERROR(__xludf.DUMMYFUNCTION("""COMPUTED_VALUE"""),102)</f>
        <v>102</v>
      </c>
      <c r="E744" s="2" t="str">
        <f ca="1">IFERROR(__xludf.DUMMYFUNCTION("""COMPUTED_VALUE"""),"Bonarda")</f>
        <v>Bonarda</v>
      </c>
      <c r="F744" s="2">
        <f ca="1">IFERROR(__xludf.DUMMYFUNCTION("""COMPUTED_VALUE"""),3000)</f>
        <v>3000</v>
      </c>
      <c r="G744" s="2">
        <f ca="1">IFERROR(__xludf.DUMMYFUNCTION("""COMPUTED_VALUE"""),109)</f>
        <v>109</v>
      </c>
      <c r="H744" s="2"/>
      <c r="I744" s="2"/>
      <c r="J744" s="2">
        <f ca="1">IFERROR(__xludf.DUMMYFUNCTION("""COMPUTED_VALUE"""),0)</f>
        <v>0</v>
      </c>
      <c r="K744" s="2">
        <f ca="1">IFERROR(__xludf.DUMMYFUNCTION("""COMPUTED_VALUE"""),3000)</f>
        <v>3000</v>
      </c>
      <c r="L744" s="2" t="str">
        <f ca="1">IFERROR(__xludf.DUMMYFUNCTION("""COMPUTED_VALUE"""),"61948e2d")</f>
        <v>61948e2d</v>
      </c>
      <c r="M744" s="2" t="str">
        <f ca="1">IFERROR(__xludf.DUMMYFUNCTION("""COMPUTED_VALUE"""),"Bonarda")</f>
        <v>Bonarda</v>
      </c>
      <c r="N744" s="2"/>
      <c r="O744" s="2" t="str">
        <f ca="1">IFERROR(__xludf.DUMMYFUNCTION("""COMPUTED_VALUE"""),"1er Trasiego")</f>
        <v>1er Trasiego</v>
      </c>
      <c r="P744" s="2"/>
      <c r="Q744" s="2" t="b">
        <f ca="1">IFERROR(__xludf.DUMMYFUNCTION("""COMPUTED_VALUE"""),FALSE)</f>
        <v>0</v>
      </c>
      <c r="R744" s="2" t="str">
        <f ca="1">IFERROR(__xludf.DUMMYFUNCTION("""COMPUTED_VALUE"""),"2do Trasiego")</f>
        <v>2do Trasiego</v>
      </c>
      <c r="S744" s="2"/>
      <c r="T744" s="2"/>
      <c r="U744" s="2"/>
    </row>
    <row r="745" spans="1:21" x14ac:dyDescent="0.25">
      <c r="A745" s="2" t="str">
        <f ca="1">IFERROR(__xludf.DUMMYFUNCTION("""COMPUTED_VALUE"""),"6af4a5cc")</f>
        <v>6af4a5cc</v>
      </c>
      <c r="B745" s="5">
        <f ca="1">IFERROR(__xludf.DUMMYFUNCTION("""COMPUTED_VALUE"""),45804.5178356481)</f>
        <v>45804.517835648097</v>
      </c>
      <c r="C745" s="2" t="str">
        <f ca="1">IFERROR(__xludf.DUMMYFUNCTION("""COMPUTED_VALUE"""),"6f76277b")</f>
        <v>6f76277b</v>
      </c>
      <c r="D745" s="2">
        <f ca="1">IFERROR(__xludf.DUMMYFUNCTION("""COMPUTED_VALUE"""),6)</f>
        <v>6</v>
      </c>
      <c r="E745" s="2" t="str">
        <f ca="1">IFERROR(__xludf.DUMMYFUNCTION("""COMPUTED_VALUE"""),"Bonarda Rect")</f>
        <v>Bonarda Rect</v>
      </c>
      <c r="F745" s="2">
        <f ca="1">IFERROR(__xludf.DUMMYFUNCTION("""COMPUTED_VALUE"""),3000)</f>
        <v>3000</v>
      </c>
      <c r="G745" s="2">
        <f ca="1">IFERROR(__xludf.DUMMYFUNCTION("""COMPUTED_VALUE"""),102)</f>
        <v>102</v>
      </c>
      <c r="H745" s="2"/>
      <c r="I745" s="2"/>
      <c r="J745" s="2">
        <f ca="1">IFERROR(__xludf.DUMMYFUNCTION("""COMPUTED_VALUE"""),0)</f>
        <v>0</v>
      </c>
      <c r="K745" s="2">
        <f ca="1">IFERROR(__xludf.DUMMYFUNCTION("""COMPUTED_VALUE"""),3000)</f>
        <v>3000</v>
      </c>
      <c r="L745" s="2" t="str">
        <f ca="1">IFERROR(__xludf.DUMMYFUNCTION("""COMPUTED_VALUE"""),"d1ac6d2d")</f>
        <v>d1ac6d2d</v>
      </c>
      <c r="M745" s="2" t="str">
        <f ca="1">IFERROR(__xludf.DUMMYFUNCTION("""COMPUTED_VALUE"""),"Bonarda Rect")</f>
        <v>Bonarda Rect</v>
      </c>
      <c r="N745" s="2"/>
      <c r="O745" s="2" t="str">
        <f ca="1">IFERROR(__xludf.DUMMYFUNCTION("""COMPUTED_VALUE"""),"Rectificado")</f>
        <v>Rectificado</v>
      </c>
      <c r="P745" s="2"/>
      <c r="Q745" s="2" t="b">
        <f ca="1">IFERROR(__xludf.DUMMYFUNCTION("""COMPUTED_VALUE"""),FALSE)</f>
        <v>0</v>
      </c>
      <c r="R745" s="2" t="str">
        <f ca="1">IFERROR(__xludf.DUMMYFUNCTION("""COMPUTED_VALUE"""),"Rectificado")</f>
        <v>Rectificado</v>
      </c>
      <c r="S745" s="2"/>
      <c r="T745" s="2"/>
      <c r="U745" s="2"/>
    </row>
    <row r="746" spans="1:21" x14ac:dyDescent="0.25">
      <c r="A746" s="2" t="str">
        <f ca="1">IFERROR(__xludf.DUMMYFUNCTION("""COMPUTED_VALUE"""),"c58f1d01")</f>
        <v>c58f1d01</v>
      </c>
      <c r="B746" s="5">
        <f ca="1">IFERROR(__xludf.DUMMYFUNCTION("""COMPUTED_VALUE"""),45804.5182754629)</f>
        <v>45804.518275462899</v>
      </c>
      <c r="C746" s="2" t="str">
        <f ca="1">IFERROR(__xludf.DUMMYFUNCTION("""COMPUTED_VALUE"""),"d0071dd4")</f>
        <v>d0071dd4</v>
      </c>
      <c r="D746" s="2">
        <f ca="1">IFERROR(__xludf.DUMMYFUNCTION("""COMPUTED_VALUE"""),103)</f>
        <v>103</v>
      </c>
      <c r="E746" s="2" t="str">
        <f ca="1">IFERROR(__xludf.DUMMYFUNCTION("""COMPUTED_VALUE"""),"Bonarda")</f>
        <v>Bonarda</v>
      </c>
      <c r="F746" s="2">
        <f ca="1">IFERROR(__xludf.DUMMYFUNCTION("""COMPUTED_VALUE"""),28000)</f>
        <v>28000</v>
      </c>
      <c r="G746" s="2">
        <f ca="1">IFERROR(__xludf.DUMMYFUNCTION("""COMPUTED_VALUE"""),102)</f>
        <v>102</v>
      </c>
      <c r="H746" s="2" t="str">
        <f ca="1">IFERROR(__xludf.DUMMYFUNCTION("""COMPUTED_VALUE"""),"d1ac6d2d")</f>
        <v>d1ac6d2d</v>
      </c>
      <c r="I746" s="2" t="str">
        <f ca="1">IFERROR(__xludf.DUMMYFUNCTION("""COMPUTED_VALUE"""),"Bonarda Rect")</f>
        <v>Bonarda Rect</v>
      </c>
      <c r="J746" s="2">
        <f ca="1">IFERROR(__xludf.DUMMYFUNCTION("""COMPUTED_VALUE"""),3000)</f>
        <v>3000</v>
      </c>
      <c r="K746" s="2">
        <f ca="1">IFERROR(__xludf.DUMMYFUNCTION("""COMPUTED_VALUE"""),31000)</f>
        <v>31000</v>
      </c>
      <c r="L746" s="2" t="str">
        <f ca="1">IFERROR(__xludf.DUMMYFUNCTION("""COMPUTED_VALUE"""),"5091788b")</f>
        <v>5091788b</v>
      </c>
      <c r="M746" s="2" t="str">
        <f ca="1">IFERROR(__xludf.DUMMYFUNCTION("""COMPUTED_VALUE"""),"Bonarda")</f>
        <v>Bonarda</v>
      </c>
      <c r="N746" s="2"/>
      <c r="O746" s="2" t="str">
        <f ca="1">IFERROR(__xludf.DUMMYFUNCTION("""COMPUTED_VALUE"""),"1er Trasiego")</f>
        <v>1er Trasiego</v>
      </c>
      <c r="P746" s="2" t="str">
        <f ca="1">IFERROR(__xludf.DUMMYFUNCTION("""COMPUTED_VALUE"""),"Rectificado")</f>
        <v>Rectificado</v>
      </c>
      <c r="Q746" s="2" t="b">
        <f ca="1">IFERROR(__xludf.DUMMYFUNCTION("""COMPUTED_VALUE"""),FALSE)</f>
        <v>0</v>
      </c>
      <c r="R746" s="2" t="str">
        <f ca="1">IFERROR(__xludf.DUMMYFUNCTION("""COMPUTED_VALUE"""),"2do Trasiego")</f>
        <v>2do Trasiego</v>
      </c>
      <c r="S746" s="2"/>
      <c r="T746" s="2"/>
      <c r="U746" s="2"/>
    </row>
    <row r="747" spans="1:21" x14ac:dyDescent="0.25">
      <c r="A747" s="2" t="str">
        <f ca="1">IFERROR(__xludf.DUMMYFUNCTION("""COMPUTED_VALUE"""),"b686530e")</f>
        <v>b686530e</v>
      </c>
      <c r="B747" s="5">
        <f ca="1">IFERROR(__xludf.DUMMYFUNCTION("""COMPUTED_VALUE"""),45804.5186111111)</f>
        <v>45804.518611111103</v>
      </c>
      <c r="C747" s="2" t="str">
        <f ca="1">IFERROR(__xludf.DUMMYFUNCTION("""COMPUTED_VALUE"""),"d0071dd4")</f>
        <v>d0071dd4</v>
      </c>
      <c r="D747" s="2">
        <f ca="1">IFERROR(__xludf.DUMMYFUNCTION("""COMPUTED_VALUE"""),103)</f>
        <v>103</v>
      </c>
      <c r="E747" s="2" t="str">
        <f ca="1">IFERROR(__xludf.DUMMYFUNCTION("""COMPUTED_VALUE"""),"Bonarda")</f>
        <v>Bonarda</v>
      </c>
      <c r="F747" s="2">
        <f ca="1">IFERROR(__xludf.DUMMYFUNCTION("""COMPUTED_VALUE"""),3000)</f>
        <v>3000</v>
      </c>
      <c r="G747" s="2">
        <f ca="1">IFERROR(__xludf.DUMMYFUNCTION("""COMPUTED_VALUE"""),109)</f>
        <v>109</v>
      </c>
      <c r="H747" s="2" t="str">
        <f ca="1">IFERROR(__xludf.DUMMYFUNCTION("""COMPUTED_VALUE"""),"61948e2d")</f>
        <v>61948e2d</v>
      </c>
      <c r="I747" s="2" t="str">
        <f ca="1">IFERROR(__xludf.DUMMYFUNCTION("""COMPUTED_VALUE"""),"Bonarda")</f>
        <v>Bonarda</v>
      </c>
      <c r="J747" s="2">
        <f ca="1">IFERROR(__xludf.DUMMYFUNCTION("""COMPUTED_VALUE"""),3000)</f>
        <v>3000</v>
      </c>
      <c r="K747" s="2">
        <f ca="1">IFERROR(__xludf.DUMMYFUNCTION("""COMPUTED_VALUE"""),6000)</f>
        <v>6000</v>
      </c>
      <c r="L747" s="2" t="str">
        <f ca="1">IFERROR(__xludf.DUMMYFUNCTION("""COMPUTED_VALUE"""),"4d16cc18")</f>
        <v>4d16cc18</v>
      </c>
      <c r="M747" s="2" t="str">
        <f ca="1">IFERROR(__xludf.DUMMYFUNCTION("""COMPUTED_VALUE"""),"Bonarda")</f>
        <v>Bonarda</v>
      </c>
      <c r="N747" s="2"/>
      <c r="O747" s="2" t="str">
        <f ca="1">IFERROR(__xludf.DUMMYFUNCTION("""COMPUTED_VALUE"""),"1er Trasiego")</f>
        <v>1er Trasiego</v>
      </c>
      <c r="P747" s="2" t="str">
        <f ca="1">IFERROR(__xludf.DUMMYFUNCTION("""COMPUTED_VALUE"""),"2do Trasiego")</f>
        <v>2do Trasiego</v>
      </c>
      <c r="Q747" s="2" t="b">
        <f ca="1">IFERROR(__xludf.DUMMYFUNCTION("""COMPUTED_VALUE"""),TRUE)</f>
        <v>1</v>
      </c>
      <c r="R747" s="2" t="str">
        <f ca="1">IFERROR(__xludf.DUMMYFUNCTION("""COMPUTED_VALUE"""),"2do Trasiego")</f>
        <v>2do Trasiego</v>
      </c>
      <c r="S747" s="2"/>
      <c r="T747" s="2"/>
      <c r="U747" s="2"/>
    </row>
    <row r="748" spans="1:21" x14ac:dyDescent="0.25">
      <c r="A748" s="2" t="str">
        <f ca="1">IFERROR(__xludf.DUMMYFUNCTION("""COMPUTED_VALUE"""),"c454fa25")</f>
        <v>c454fa25</v>
      </c>
      <c r="B748" s="5">
        <f ca="1">IFERROR(__xludf.DUMMYFUNCTION("""COMPUTED_VALUE"""),45804.5190046296)</f>
        <v>45804.519004629597</v>
      </c>
      <c r="C748" s="2" t="str">
        <f ca="1">IFERROR(__xludf.DUMMYFUNCTION("""COMPUTED_VALUE"""),"6f76277b")</f>
        <v>6f76277b</v>
      </c>
      <c r="D748" s="2">
        <f ca="1">IFERROR(__xludf.DUMMYFUNCTION("""COMPUTED_VALUE"""),6)</f>
        <v>6</v>
      </c>
      <c r="E748" s="2" t="str">
        <f ca="1">IFERROR(__xludf.DUMMYFUNCTION("""COMPUTED_VALUE"""),"Bonarda Rect")</f>
        <v>Bonarda Rect</v>
      </c>
      <c r="F748" s="2">
        <f ca="1">IFERROR(__xludf.DUMMYFUNCTION("""COMPUTED_VALUE"""),3000)</f>
        <v>3000</v>
      </c>
      <c r="G748" s="2">
        <f ca="1">IFERROR(__xludf.DUMMYFUNCTION("""COMPUTED_VALUE"""),103)</f>
        <v>103</v>
      </c>
      <c r="H748" s="2"/>
      <c r="I748" s="2"/>
      <c r="J748" s="2">
        <f ca="1">IFERROR(__xludf.DUMMYFUNCTION("""COMPUTED_VALUE"""),0)</f>
        <v>0</v>
      </c>
      <c r="K748" s="2">
        <f ca="1">IFERROR(__xludf.DUMMYFUNCTION("""COMPUTED_VALUE"""),3000)</f>
        <v>3000</v>
      </c>
      <c r="L748" s="2" t="str">
        <f ca="1">IFERROR(__xludf.DUMMYFUNCTION("""COMPUTED_VALUE"""),"6468b679")</f>
        <v>6468b679</v>
      </c>
      <c r="M748" s="2" t="str">
        <f ca="1">IFERROR(__xludf.DUMMYFUNCTION("""COMPUTED_VALUE"""),"Bonarda Rect")</f>
        <v>Bonarda Rect</v>
      </c>
      <c r="N748" s="2"/>
      <c r="O748" s="2" t="str">
        <f ca="1">IFERROR(__xludf.DUMMYFUNCTION("""COMPUTED_VALUE"""),"Rectificado")</f>
        <v>Rectificado</v>
      </c>
      <c r="P748" s="2"/>
      <c r="Q748" s="2" t="b">
        <f ca="1">IFERROR(__xludf.DUMMYFUNCTION("""COMPUTED_VALUE"""),FALSE)</f>
        <v>0</v>
      </c>
      <c r="R748" s="2" t="str">
        <f ca="1">IFERROR(__xludf.DUMMYFUNCTION("""COMPUTED_VALUE"""),"Rectificado")</f>
        <v>Rectificado</v>
      </c>
      <c r="S748" s="2"/>
      <c r="T748" s="2"/>
      <c r="U748" s="2"/>
    </row>
    <row r="749" spans="1:21" x14ac:dyDescent="0.25">
      <c r="A749" s="2" t="str">
        <f ca="1">IFERROR(__xludf.DUMMYFUNCTION("""COMPUTED_VALUE"""),"e42f824f")</f>
        <v>e42f824f</v>
      </c>
      <c r="B749" s="5">
        <f ca="1">IFERROR(__xludf.DUMMYFUNCTION("""COMPUTED_VALUE"""),45804.5193171296)</f>
        <v>45804.519317129598</v>
      </c>
      <c r="C749" s="2" t="str">
        <f ca="1">IFERROR(__xludf.DUMMYFUNCTION("""COMPUTED_VALUE"""),"ddc627ec")</f>
        <v>ddc627ec</v>
      </c>
      <c r="D749" s="2">
        <f ca="1">IFERROR(__xludf.DUMMYFUNCTION("""COMPUTED_VALUE"""),105)</f>
        <v>105</v>
      </c>
      <c r="E749" s="2" t="str">
        <f ca="1">IFERROR(__xludf.DUMMYFUNCTION("""COMPUTED_VALUE"""),"Bonarda")</f>
        <v>Bonarda</v>
      </c>
      <c r="F749" s="2">
        <f ca="1">IFERROR(__xludf.DUMMYFUNCTION("""COMPUTED_VALUE"""),28000)</f>
        <v>28000</v>
      </c>
      <c r="G749" s="2">
        <f ca="1">IFERROR(__xludf.DUMMYFUNCTION("""COMPUTED_VALUE"""),103)</f>
        <v>103</v>
      </c>
      <c r="H749" s="2" t="str">
        <f ca="1">IFERROR(__xludf.DUMMYFUNCTION("""COMPUTED_VALUE"""),"6468b679")</f>
        <v>6468b679</v>
      </c>
      <c r="I749" s="2" t="str">
        <f ca="1">IFERROR(__xludf.DUMMYFUNCTION("""COMPUTED_VALUE"""),"Bonarda Rect")</f>
        <v>Bonarda Rect</v>
      </c>
      <c r="J749" s="2">
        <f ca="1">IFERROR(__xludf.DUMMYFUNCTION("""COMPUTED_VALUE"""),3000)</f>
        <v>3000</v>
      </c>
      <c r="K749" s="2">
        <f ca="1">IFERROR(__xludf.DUMMYFUNCTION("""COMPUTED_VALUE"""),31000)</f>
        <v>31000</v>
      </c>
      <c r="L749" s="2" t="str">
        <f ca="1">IFERROR(__xludf.DUMMYFUNCTION("""COMPUTED_VALUE"""),"eb5a88ac")</f>
        <v>eb5a88ac</v>
      </c>
      <c r="M749" s="2" t="str">
        <f ca="1">IFERROR(__xludf.DUMMYFUNCTION("""COMPUTED_VALUE"""),"Bonarda")</f>
        <v>Bonarda</v>
      </c>
      <c r="N749" s="2"/>
      <c r="O749" s="2" t="str">
        <f ca="1">IFERROR(__xludf.DUMMYFUNCTION("""COMPUTED_VALUE"""),"1er Trasiego")</f>
        <v>1er Trasiego</v>
      </c>
      <c r="P749" s="2" t="str">
        <f ca="1">IFERROR(__xludf.DUMMYFUNCTION("""COMPUTED_VALUE"""),"Rectificado")</f>
        <v>Rectificado</v>
      </c>
      <c r="Q749" s="2" t="b">
        <f ca="1">IFERROR(__xludf.DUMMYFUNCTION("""COMPUTED_VALUE"""),FALSE)</f>
        <v>0</v>
      </c>
      <c r="R749" s="2" t="str">
        <f ca="1">IFERROR(__xludf.DUMMYFUNCTION("""COMPUTED_VALUE"""),"2do Trasiego")</f>
        <v>2do Trasiego</v>
      </c>
      <c r="S749" s="2"/>
      <c r="T749" s="2"/>
      <c r="U749" s="2"/>
    </row>
    <row r="750" spans="1:21" x14ac:dyDescent="0.25">
      <c r="A750" s="2" t="str">
        <f ca="1">IFERROR(__xludf.DUMMYFUNCTION("""COMPUTED_VALUE"""),"f924f55b")</f>
        <v>f924f55b</v>
      </c>
      <c r="B750" s="5">
        <f ca="1">IFERROR(__xludf.DUMMYFUNCTION("""COMPUTED_VALUE"""),45804.5195717592)</f>
        <v>45804.5195717592</v>
      </c>
      <c r="C750" s="2" t="str">
        <f ca="1">IFERROR(__xludf.DUMMYFUNCTION("""COMPUTED_VALUE"""),"ddc627ec")</f>
        <v>ddc627ec</v>
      </c>
      <c r="D750" s="2">
        <f ca="1">IFERROR(__xludf.DUMMYFUNCTION("""COMPUTED_VALUE"""),105)</f>
        <v>105</v>
      </c>
      <c r="E750" s="2" t="str">
        <f ca="1">IFERROR(__xludf.DUMMYFUNCTION("""COMPUTED_VALUE"""),"Bonarda")</f>
        <v>Bonarda</v>
      </c>
      <c r="F750" s="2">
        <f ca="1">IFERROR(__xludf.DUMMYFUNCTION("""COMPUTED_VALUE"""),3000)</f>
        <v>3000</v>
      </c>
      <c r="G750" s="2">
        <f ca="1">IFERROR(__xludf.DUMMYFUNCTION("""COMPUTED_VALUE"""),109)</f>
        <v>109</v>
      </c>
      <c r="H750" s="2" t="str">
        <f ca="1">IFERROR(__xludf.DUMMYFUNCTION("""COMPUTED_VALUE"""),"4d16cc18")</f>
        <v>4d16cc18</v>
      </c>
      <c r="I750" s="2" t="str">
        <f ca="1">IFERROR(__xludf.DUMMYFUNCTION("""COMPUTED_VALUE"""),"Bonarda")</f>
        <v>Bonarda</v>
      </c>
      <c r="J750" s="2">
        <f ca="1">IFERROR(__xludf.DUMMYFUNCTION("""COMPUTED_VALUE"""),6000)</f>
        <v>6000</v>
      </c>
      <c r="K750" s="2">
        <f ca="1">IFERROR(__xludf.DUMMYFUNCTION("""COMPUTED_VALUE"""),9000)</f>
        <v>9000</v>
      </c>
      <c r="L750" s="2" t="str">
        <f ca="1">IFERROR(__xludf.DUMMYFUNCTION("""COMPUTED_VALUE"""),"5621dc05")</f>
        <v>5621dc05</v>
      </c>
      <c r="M750" s="2" t="str">
        <f ca="1">IFERROR(__xludf.DUMMYFUNCTION("""COMPUTED_VALUE"""),"Bonarda")</f>
        <v>Bonarda</v>
      </c>
      <c r="N750" s="2"/>
      <c r="O750" s="2" t="str">
        <f ca="1">IFERROR(__xludf.DUMMYFUNCTION("""COMPUTED_VALUE"""),"1er Trasiego")</f>
        <v>1er Trasiego</v>
      </c>
      <c r="P750" s="2" t="str">
        <f ca="1">IFERROR(__xludf.DUMMYFUNCTION("""COMPUTED_VALUE"""),"2do Trasiego")</f>
        <v>2do Trasiego</v>
      </c>
      <c r="Q750" s="2" t="b">
        <f ca="1">IFERROR(__xludf.DUMMYFUNCTION("""COMPUTED_VALUE"""),TRUE)</f>
        <v>1</v>
      </c>
      <c r="R750" s="2" t="str">
        <f ca="1">IFERROR(__xludf.DUMMYFUNCTION("""COMPUTED_VALUE"""),"2do Trasiego")</f>
        <v>2do Trasiego</v>
      </c>
      <c r="S750" s="2"/>
      <c r="T750" s="2"/>
      <c r="U750" s="2"/>
    </row>
    <row r="751" spans="1:21" x14ac:dyDescent="0.25">
      <c r="A751" s="2" t="str">
        <f ca="1">IFERROR(__xludf.DUMMYFUNCTION("""COMPUTED_VALUE"""),"4e852e87")</f>
        <v>4e852e87</v>
      </c>
      <c r="B751" s="5">
        <f ca="1">IFERROR(__xludf.DUMMYFUNCTION("""COMPUTED_VALUE"""),45804.5199652777)</f>
        <v>45804.519965277701</v>
      </c>
      <c r="C751" s="2" t="str">
        <f ca="1">IFERROR(__xludf.DUMMYFUNCTION("""COMPUTED_VALUE"""),"6f76277b")</f>
        <v>6f76277b</v>
      </c>
      <c r="D751" s="2">
        <f ca="1">IFERROR(__xludf.DUMMYFUNCTION("""COMPUTED_VALUE"""),6)</f>
        <v>6</v>
      </c>
      <c r="E751" s="2" t="str">
        <f ca="1">IFERROR(__xludf.DUMMYFUNCTION("""COMPUTED_VALUE"""),"Bonarda Rect")</f>
        <v>Bonarda Rect</v>
      </c>
      <c r="F751" s="2">
        <f ca="1">IFERROR(__xludf.DUMMYFUNCTION("""COMPUTED_VALUE"""),3000)</f>
        <v>3000</v>
      </c>
      <c r="G751" s="2">
        <f ca="1">IFERROR(__xludf.DUMMYFUNCTION("""COMPUTED_VALUE"""),105)</f>
        <v>105</v>
      </c>
      <c r="H751" s="2"/>
      <c r="I751" s="2"/>
      <c r="J751" s="2">
        <f ca="1">IFERROR(__xludf.DUMMYFUNCTION("""COMPUTED_VALUE"""),0)</f>
        <v>0</v>
      </c>
      <c r="K751" s="2">
        <f ca="1">IFERROR(__xludf.DUMMYFUNCTION("""COMPUTED_VALUE"""),3000)</f>
        <v>3000</v>
      </c>
      <c r="L751" s="2" t="str">
        <f ca="1">IFERROR(__xludf.DUMMYFUNCTION("""COMPUTED_VALUE"""),"9f20348c")</f>
        <v>9f20348c</v>
      </c>
      <c r="M751" s="2" t="str">
        <f ca="1">IFERROR(__xludf.DUMMYFUNCTION("""COMPUTED_VALUE"""),"Bonarda Rect")</f>
        <v>Bonarda Rect</v>
      </c>
      <c r="N751" s="2"/>
      <c r="O751" s="2" t="str">
        <f ca="1">IFERROR(__xludf.DUMMYFUNCTION("""COMPUTED_VALUE"""),"Rectificado")</f>
        <v>Rectificado</v>
      </c>
      <c r="P751" s="2"/>
      <c r="Q751" s="2" t="b">
        <f ca="1">IFERROR(__xludf.DUMMYFUNCTION("""COMPUTED_VALUE"""),FALSE)</f>
        <v>0</v>
      </c>
      <c r="R751" s="2" t="str">
        <f ca="1">IFERROR(__xludf.DUMMYFUNCTION("""COMPUTED_VALUE"""),"Rectificado")</f>
        <v>Rectificado</v>
      </c>
      <c r="S751" s="2"/>
      <c r="T751" s="2"/>
      <c r="U751" s="2"/>
    </row>
    <row r="752" spans="1:21" x14ac:dyDescent="0.25">
      <c r="A752" s="2" t="str">
        <f ca="1">IFERROR(__xludf.DUMMYFUNCTION("""COMPUTED_VALUE"""),"b768e567")</f>
        <v>b768e567</v>
      </c>
      <c r="B752" s="5">
        <f ca="1">IFERROR(__xludf.DUMMYFUNCTION("""COMPUTED_VALUE"""),45804.5202893518)</f>
        <v>45804.5202893518</v>
      </c>
      <c r="C752" s="2" t="str">
        <f ca="1">IFERROR(__xludf.DUMMYFUNCTION("""COMPUTED_VALUE"""),"1c302922")</f>
        <v>1c302922</v>
      </c>
      <c r="D752" s="2">
        <f ca="1">IFERROR(__xludf.DUMMYFUNCTION("""COMPUTED_VALUE"""),107)</f>
        <v>107</v>
      </c>
      <c r="E752" s="2" t="str">
        <f ca="1">IFERROR(__xludf.DUMMYFUNCTION("""COMPUTED_VALUE"""),"Bonarda")</f>
        <v>Bonarda</v>
      </c>
      <c r="F752" s="2">
        <f ca="1">IFERROR(__xludf.DUMMYFUNCTION("""COMPUTED_VALUE"""),28000)</f>
        <v>28000</v>
      </c>
      <c r="G752" s="2">
        <f ca="1">IFERROR(__xludf.DUMMYFUNCTION("""COMPUTED_VALUE"""),105)</f>
        <v>105</v>
      </c>
      <c r="H752" s="2" t="str">
        <f ca="1">IFERROR(__xludf.DUMMYFUNCTION("""COMPUTED_VALUE"""),"9f20348c")</f>
        <v>9f20348c</v>
      </c>
      <c r="I752" s="2" t="str">
        <f ca="1">IFERROR(__xludf.DUMMYFUNCTION("""COMPUTED_VALUE"""),"Bonarda Rect")</f>
        <v>Bonarda Rect</v>
      </c>
      <c r="J752" s="2">
        <f ca="1">IFERROR(__xludf.DUMMYFUNCTION("""COMPUTED_VALUE"""),3000)</f>
        <v>3000</v>
      </c>
      <c r="K752" s="2">
        <f ca="1">IFERROR(__xludf.DUMMYFUNCTION("""COMPUTED_VALUE"""),31000)</f>
        <v>31000</v>
      </c>
      <c r="L752" s="2" t="str">
        <f ca="1">IFERROR(__xludf.DUMMYFUNCTION("""COMPUTED_VALUE"""),"57a4fe30")</f>
        <v>57a4fe30</v>
      </c>
      <c r="M752" s="2" t="str">
        <f ca="1">IFERROR(__xludf.DUMMYFUNCTION("""COMPUTED_VALUE"""),"Bonarda")</f>
        <v>Bonarda</v>
      </c>
      <c r="N752" s="2"/>
      <c r="O752" s="2" t="str">
        <f ca="1">IFERROR(__xludf.DUMMYFUNCTION("""COMPUTED_VALUE"""),"1er Trasiego")</f>
        <v>1er Trasiego</v>
      </c>
      <c r="P752" s="2" t="str">
        <f ca="1">IFERROR(__xludf.DUMMYFUNCTION("""COMPUTED_VALUE"""),"Rectificado")</f>
        <v>Rectificado</v>
      </c>
      <c r="Q752" s="2" t="b">
        <f ca="1">IFERROR(__xludf.DUMMYFUNCTION("""COMPUTED_VALUE"""),FALSE)</f>
        <v>0</v>
      </c>
      <c r="R752" s="2" t="str">
        <f ca="1">IFERROR(__xludf.DUMMYFUNCTION("""COMPUTED_VALUE"""),"2do Trasiego")</f>
        <v>2do Trasiego</v>
      </c>
      <c r="S752" s="2"/>
      <c r="T752" s="2"/>
      <c r="U752" s="2"/>
    </row>
    <row r="753" spans="1:21" x14ac:dyDescent="0.25">
      <c r="A753" s="2" t="str">
        <f ca="1">IFERROR(__xludf.DUMMYFUNCTION("""COMPUTED_VALUE"""),"15187499")</f>
        <v>15187499</v>
      </c>
      <c r="B753" s="5">
        <f ca="1">IFERROR(__xludf.DUMMYFUNCTION("""COMPUTED_VALUE"""),45804.5204861111)</f>
        <v>45804.520486111098</v>
      </c>
      <c r="C753" s="2" t="str">
        <f ca="1">IFERROR(__xludf.DUMMYFUNCTION("""COMPUTED_VALUE"""),"1c302922")</f>
        <v>1c302922</v>
      </c>
      <c r="D753" s="2">
        <f ca="1">IFERROR(__xludf.DUMMYFUNCTION("""COMPUTED_VALUE"""),107)</f>
        <v>107</v>
      </c>
      <c r="E753" s="2" t="str">
        <f ca="1">IFERROR(__xludf.DUMMYFUNCTION("""COMPUTED_VALUE"""),"Bonarda")</f>
        <v>Bonarda</v>
      </c>
      <c r="F753" s="2">
        <f ca="1">IFERROR(__xludf.DUMMYFUNCTION("""COMPUTED_VALUE"""),3000)</f>
        <v>3000</v>
      </c>
      <c r="G753" s="2">
        <f ca="1">IFERROR(__xludf.DUMMYFUNCTION("""COMPUTED_VALUE"""),109)</f>
        <v>109</v>
      </c>
      <c r="H753" s="2" t="str">
        <f ca="1">IFERROR(__xludf.DUMMYFUNCTION("""COMPUTED_VALUE"""),"5621dc05")</f>
        <v>5621dc05</v>
      </c>
      <c r="I753" s="2" t="str">
        <f ca="1">IFERROR(__xludf.DUMMYFUNCTION("""COMPUTED_VALUE"""),"Bonarda")</f>
        <v>Bonarda</v>
      </c>
      <c r="J753" s="2">
        <f ca="1">IFERROR(__xludf.DUMMYFUNCTION("""COMPUTED_VALUE"""),9000)</f>
        <v>9000</v>
      </c>
      <c r="K753" s="2">
        <f ca="1">IFERROR(__xludf.DUMMYFUNCTION("""COMPUTED_VALUE"""),12000)</f>
        <v>12000</v>
      </c>
      <c r="L753" s="2" t="str">
        <f ca="1">IFERROR(__xludf.DUMMYFUNCTION("""COMPUTED_VALUE"""),"0101284d")</f>
        <v>0101284d</v>
      </c>
      <c r="M753" s="2" t="str">
        <f ca="1">IFERROR(__xludf.DUMMYFUNCTION("""COMPUTED_VALUE"""),"Bonarda")</f>
        <v>Bonarda</v>
      </c>
      <c r="N753" s="2"/>
      <c r="O753" s="2" t="str">
        <f ca="1">IFERROR(__xludf.DUMMYFUNCTION("""COMPUTED_VALUE"""),"1er Trasiego")</f>
        <v>1er Trasiego</v>
      </c>
      <c r="P753" s="2" t="str">
        <f ca="1">IFERROR(__xludf.DUMMYFUNCTION("""COMPUTED_VALUE"""),"2do Trasiego")</f>
        <v>2do Trasiego</v>
      </c>
      <c r="Q753" s="2" t="b">
        <f ca="1">IFERROR(__xludf.DUMMYFUNCTION("""COMPUTED_VALUE"""),TRUE)</f>
        <v>1</v>
      </c>
      <c r="R753" s="2" t="str">
        <f ca="1">IFERROR(__xludf.DUMMYFUNCTION("""COMPUTED_VALUE"""),"2do Trasiego")</f>
        <v>2do Trasiego</v>
      </c>
      <c r="S753" s="2"/>
      <c r="T753" s="2"/>
      <c r="U753" s="2"/>
    </row>
    <row r="754" spans="1:21" x14ac:dyDescent="0.25">
      <c r="A754" s="2" t="str">
        <f ca="1">IFERROR(__xludf.DUMMYFUNCTION("""COMPUTED_VALUE"""),"f91fccb9")</f>
        <v>f91fccb9</v>
      </c>
      <c r="B754" s="5">
        <f ca="1">IFERROR(__xludf.DUMMYFUNCTION("""COMPUTED_VALUE"""),45804.5222916666)</f>
        <v>45804.522291666603</v>
      </c>
      <c r="C754" s="2" t="str">
        <f ca="1">IFERROR(__xludf.DUMMYFUNCTION("""COMPUTED_VALUE"""),"6f76277b")</f>
        <v>6f76277b</v>
      </c>
      <c r="D754" s="2">
        <f ca="1">IFERROR(__xludf.DUMMYFUNCTION("""COMPUTED_VALUE"""),6)</f>
        <v>6</v>
      </c>
      <c r="E754" s="2" t="str">
        <f ca="1">IFERROR(__xludf.DUMMYFUNCTION("""COMPUTED_VALUE"""),"Bonarda Rect")</f>
        <v>Bonarda Rect</v>
      </c>
      <c r="F754" s="2">
        <f ca="1">IFERROR(__xludf.DUMMYFUNCTION("""COMPUTED_VALUE"""),3000)</f>
        <v>3000</v>
      </c>
      <c r="G754" s="2">
        <f ca="1">IFERROR(__xludf.DUMMYFUNCTION("""COMPUTED_VALUE"""),107)</f>
        <v>107</v>
      </c>
      <c r="H754" s="2"/>
      <c r="I754" s="2"/>
      <c r="J754" s="2">
        <f ca="1">IFERROR(__xludf.DUMMYFUNCTION("""COMPUTED_VALUE"""),0)</f>
        <v>0</v>
      </c>
      <c r="K754" s="2">
        <f ca="1">IFERROR(__xludf.DUMMYFUNCTION("""COMPUTED_VALUE"""),3000)</f>
        <v>3000</v>
      </c>
      <c r="L754" s="2" t="str">
        <f ca="1">IFERROR(__xludf.DUMMYFUNCTION("""COMPUTED_VALUE"""),"743ab7d6")</f>
        <v>743ab7d6</v>
      </c>
      <c r="M754" s="2" t="str">
        <f ca="1">IFERROR(__xludf.DUMMYFUNCTION("""COMPUTED_VALUE"""),"Bonarda Rect")</f>
        <v>Bonarda Rect</v>
      </c>
      <c r="N754" s="2"/>
      <c r="O754" s="2" t="str">
        <f ca="1">IFERROR(__xludf.DUMMYFUNCTION("""COMPUTED_VALUE"""),"Rectificado")</f>
        <v>Rectificado</v>
      </c>
      <c r="P754" s="2"/>
      <c r="Q754" s="2" t="b">
        <f ca="1">IFERROR(__xludf.DUMMYFUNCTION("""COMPUTED_VALUE"""),FALSE)</f>
        <v>0</v>
      </c>
      <c r="R754" s="2" t="str">
        <f ca="1">IFERROR(__xludf.DUMMYFUNCTION("""COMPUTED_VALUE"""),"Rectificado")</f>
        <v>Rectificado</v>
      </c>
      <c r="S754" s="2"/>
      <c r="T754" s="2"/>
      <c r="U754" s="2"/>
    </row>
    <row r="755" spans="1:21" x14ac:dyDescent="0.25">
      <c r="A755" s="2" t="str">
        <f ca="1">IFERROR(__xludf.DUMMYFUNCTION("""COMPUTED_VALUE"""),"86cd9442")</f>
        <v>86cd9442</v>
      </c>
      <c r="B755" s="5">
        <f ca="1">IFERROR(__xludf.DUMMYFUNCTION("""COMPUTED_VALUE"""),45804.5225694444)</f>
        <v>45804.522569444402</v>
      </c>
      <c r="C755" s="2" t="str">
        <f ca="1">IFERROR(__xludf.DUMMYFUNCTION("""COMPUTED_VALUE"""),"ae7ca061")</f>
        <v>ae7ca061</v>
      </c>
      <c r="D755" s="2">
        <f ca="1">IFERROR(__xludf.DUMMYFUNCTION("""COMPUTED_VALUE"""),108)</f>
        <v>108</v>
      </c>
      <c r="E755" s="2" t="str">
        <f ca="1">IFERROR(__xludf.DUMMYFUNCTION("""COMPUTED_VALUE"""),"Bonarda")</f>
        <v>Bonarda</v>
      </c>
      <c r="F755" s="2">
        <f ca="1">IFERROR(__xludf.DUMMYFUNCTION("""COMPUTED_VALUE"""),28000)</f>
        <v>28000</v>
      </c>
      <c r="G755" s="2">
        <f ca="1">IFERROR(__xludf.DUMMYFUNCTION("""COMPUTED_VALUE"""),107)</f>
        <v>107</v>
      </c>
      <c r="H755" s="2" t="str">
        <f ca="1">IFERROR(__xludf.DUMMYFUNCTION("""COMPUTED_VALUE"""),"743ab7d6")</f>
        <v>743ab7d6</v>
      </c>
      <c r="I755" s="2" t="str">
        <f ca="1">IFERROR(__xludf.DUMMYFUNCTION("""COMPUTED_VALUE"""),"Bonarda Rect")</f>
        <v>Bonarda Rect</v>
      </c>
      <c r="J755" s="2">
        <f ca="1">IFERROR(__xludf.DUMMYFUNCTION("""COMPUTED_VALUE"""),3000)</f>
        <v>3000</v>
      </c>
      <c r="K755" s="2">
        <f ca="1">IFERROR(__xludf.DUMMYFUNCTION("""COMPUTED_VALUE"""),31000)</f>
        <v>31000</v>
      </c>
      <c r="L755" s="2" t="str">
        <f ca="1">IFERROR(__xludf.DUMMYFUNCTION("""COMPUTED_VALUE"""),"3f5178fd")</f>
        <v>3f5178fd</v>
      </c>
      <c r="M755" s="2" t="str">
        <f ca="1">IFERROR(__xludf.DUMMYFUNCTION("""COMPUTED_VALUE"""),"Bonarda")</f>
        <v>Bonarda</v>
      </c>
      <c r="N755" s="2"/>
      <c r="O755" s="2" t="str">
        <f ca="1">IFERROR(__xludf.DUMMYFUNCTION("""COMPUTED_VALUE"""),"1er Trasiego")</f>
        <v>1er Trasiego</v>
      </c>
      <c r="P755" s="2" t="str">
        <f ca="1">IFERROR(__xludf.DUMMYFUNCTION("""COMPUTED_VALUE"""),"Rectificado")</f>
        <v>Rectificado</v>
      </c>
      <c r="Q755" s="2" t="b">
        <f ca="1">IFERROR(__xludf.DUMMYFUNCTION("""COMPUTED_VALUE"""),FALSE)</f>
        <v>0</v>
      </c>
      <c r="R755" s="2" t="str">
        <f ca="1">IFERROR(__xludf.DUMMYFUNCTION("""COMPUTED_VALUE"""),"2do Trasiego")</f>
        <v>2do Trasiego</v>
      </c>
      <c r="S755" s="2"/>
      <c r="T755" s="2"/>
      <c r="U755" s="2"/>
    </row>
    <row r="756" spans="1:21" x14ac:dyDescent="0.25">
      <c r="A756" s="2" t="str">
        <f ca="1">IFERROR(__xludf.DUMMYFUNCTION("""COMPUTED_VALUE"""),"15eaa06c")</f>
        <v>15eaa06c</v>
      </c>
      <c r="B756" s="5">
        <f ca="1">IFERROR(__xludf.DUMMYFUNCTION("""COMPUTED_VALUE"""),45804.5230439814)</f>
        <v>45804.523043981397</v>
      </c>
      <c r="C756" s="2" t="str">
        <f ca="1">IFERROR(__xludf.DUMMYFUNCTION("""COMPUTED_VALUE"""),"ae7ca061")</f>
        <v>ae7ca061</v>
      </c>
      <c r="D756" s="2">
        <f ca="1">IFERROR(__xludf.DUMMYFUNCTION("""COMPUTED_VALUE"""),108)</f>
        <v>108</v>
      </c>
      <c r="E756" s="2" t="str">
        <f ca="1">IFERROR(__xludf.DUMMYFUNCTION("""COMPUTED_VALUE"""),"Bonarda")</f>
        <v>Bonarda</v>
      </c>
      <c r="F756" s="2">
        <f ca="1">IFERROR(__xludf.DUMMYFUNCTION("""COMPUTED_VALUE"""),3000)</f>
        <v>3000</v>
      </c>
      <c r="G756" s="2">
        <f ca="1">IFERROR(__xludf.DUMMYFUNCTION("""COMPUTED_VALUE"""),109)</f>
        <v>109</v>
      </c>
      <c r="H756" s="2" t="str">
        <f ca="1">IFERROR(__xludf.DUMMYFUNCTION("""COMPUTED_VALUE"""),"0101284d")</f>
        <v>0101284d</v>
      </c>
      <c r="I756" s="2" t="str">
        <f ca="1">IFERROR(__xludf.DUMMYFUNCTION("""COMPUTED_VALUE"""),"Bonarda")</f>
        <v>Bonarda</v>
      </c>
      <c r="J756" s="2">
        <f ca="1">IFERROR(__xludf.DUMMYFUNCTION("""COMPUTED_VALUE"""),12000)</f>
        <v>12000</v>
      </c>
      <c r="K756" s="2">
        <f ca="1">IFERROR(__xludf.DUMMYFUNCTION("""COMPUTED_VALUE"""),15000)</f>
        <v>15000</v>
      </c>
      <c r="L756" s="2" t="str">
        <f ca="1">IFERROR(__xludf.DUMMYFUNCTION("""COMPUTED_VALUE"""),"8cd3ea51")</f>
        <v>8cd3ea51</v>
      </c>
      <c r="M756" s="2" t="str">
        <f ca="1">IFERROR(__xludf.DUMMYFUNCTION("""COMPUTED_VALUE"""),"Bonarda")</f>
        <v>Bonarda</v>
      </c>
      <c r="N756" s="2"/>
      <c r="O756" s="2" t="str">
        <f ca="1">IFERROR(__xludf.DUMMYFUNCTION("""COMPUTED_VALUE"""),"1er Trasiego")</f>
        <v>1er Trasiego</v>
      </c>
      <c r="P756" s="2" t="str">
        <f ca="1">IFERROR(__xludf.DUMMYFUNCTION("""COMPUTED_VALUE"""),"2do Trasiego")</f>
        <v>2do Trasiego</v>
      </c>
      <c r="Q756" s="2" t="b">
        <f ca="1">IFERROR(__xludf.DUMMYFUNCTION("""COMPUTED_VALUE"""),TRUE)</f>
        <v>1</v>
      </c>
      <c r="R756" s="2" t="str">
        <f ca="1">IFERROR(__xludf.DUMMYFUNCTION("""COMPUTED_VALUE"""),"2do Trasiego")</f>
        <v>2do Trasiego</v>
      </c>
      <c r="S756" s="2"/>
      <c r="T756" s="2"/>
      <c r="U756" s="2"/>
    </row>
    <row r="757" spans="1:21" x14ac:dyDescent="0.25">
      <c r="A757" s="2" t="str">
        <f ca="1">IFERROR(__xludf.DUMMYFUNCTION("""COMPUTED_VALUE"""),"d4b254a3")</f>
        <v>d4b254a3</v>
      </c>
      <c r="B757" s="5">
        <f ca="1">IFERROR(__xludf.DUMMYFUNCTION("""COMPUTED_VALUE"""),45804.7921296296)</f>
        <v>45804.792129629597</v>
      </c>
      <c r="C757" s="2" t="str">
        <f ca="1">IFERROR(__xludf.DUMMYFUNCTION("""COMPUTED_VALUE"""),"187a80d6")</f>
        <v>187a80d6</v>
      </c>
      <c r="D757" s="2">
        <f ca="1">IFERROR(__xludf.DUMMYFUNCTION("""COMPUTED_VALUE"""),76)</f>
        <v>76</v>
      </c>
      <c r="E757" s="2" t="str">
        <f ca="1">IFERROR(__xludf.DUMMYFUNCTION("""COMPUTED_VALUE"""),"Cabernet Sauvignon prensa")</f>
        <v>Cabernet Sauvignon prensa</v>
      </c>
      <c r="F757" s="2">
        <f ca="1">IFERROR(__xludf.DUMMYFUNCTION("""COMPUTED_VALUE"""),25500)</f>
        <v>25500</v>
      </c>
      <c r="G757" s="2">
        <f ca="1">IFERROR(__xludf.DUMMYFUNCTION("""COMPUTED_VALUE"""),7)</f>
        <v>7</v>
      </c>
      <c r="H757" s="2"/>
      <c r="I757" s="2"/>
      <c r="J757" s="2">
        <f ca="1">IFERROR(__xludf.DUMMYFUNCTION("""COMPUTED_VALUE"""),0)</f>
        <v>0</v>
      </c>
      <c r="K757" s="2">
        <f ca="1">IFERROR(__xludf.DUMMYFUNCTION("""COMPUTED_VALUE"""),25500)</f>
        <v>25500</v>
      </c>
      <c r="L757" s="2" t="str">
        <f ca="1">IFERROR(__xludf.DUMMYFUNCTION("""COMPUTED_VALUE"""),"dc8b07fe")</f>
        <v>dc8b07fe</v>
      </c>
      <c r="M757" s="2" t="str">
        <f ca="1">IFERROR(__xludf.DUMMYFUNCTION("""COMPUTED_VALUE"""),"Cabernet Sauvignon prensa")</f>
        <v>Cabernet Sauvignon prensa</v>
      </c>
      <c r="N757" s="2"/>
      <c r="O757" s="2" t="str">
        <f ca="1">IFERROR(__xludf.DUMMYFUNCTION("""COMPUTED_VALUE"""),"1er Trasiego")</f>
        <v>1er Trasiego</v>
      </c>
      <c r="P757" s="2"/>
      <c r="Q757" s="2" t="b">
        <f ca="1">IFERROR(__xludf.DUMMYFUNCTION("""COMPUTED_VALUE"""),FALSE)</f>
        <v>0</v>
      </c>
      <c r="R757" s="2" t="str">
        <f ca="1">IFERROR(__xludf.DUMMYFUNCTION("""COMPUTED_VALUE"""),"Rectificado")</f>
        <v>Rectificado</v>
      </c>
      <c r="S757" s="2"/>
      <c r="T757" s="2"/>
      <c r="U757" s="2"/>
    </row>
    <row r="758" spans="1:21" x14ac:dyDescent="0.25">
      <c r="A758" s="2" t="str">
        <f ca="1">IFERROR(__xludf.DUMMYFUNCTION("""COMPUTED_VALUE"""),"423ec746")</f>
        <v>423ec746</v>
      </c>
      <c r="B758" s="5">
        <f ca="1">IFERROR(__xludf.DUMMYFUNCTION("""COMPUTED_VALUE"""),45804.7933680555)</f>
        <v>45804.7933680555</v>
      </c>
      <c r="C758" s="2" t="str">
        <f ca="1">IFERROR(__xludf.DUMMYFUNCTION("""COMPUTED_VALUE"""),"a6d11ad4")</f>
        <v>a6d11ad4</v>
      </c>
      <c r="D758" s="2">
        <f ca="1">IFERROR(__xludf.DUMMYFUNCTION("""COMPUTED_VALUE"""),45)</f>
        <v>45</v>
      </c>
      <c r="E758" s="2" t="str">
        <f ca="1">IFERROR(__xludf.DUMMYFUNCTION("""COMPUTED_VALUE"""),"Tinto")</f>
        <v>Tinto</v>
      </c>
      <c r="F758" s="2">
        <f ca="1">IFERROR(__xludf.DUMMYFUNCTION("""COMPUTED_VALUE"""),30000)</f>
        <v>30000</v>
      </c>
      <c r="G758" s="2">
        <f ca="1">IFERROR(__xludf.DUMMYFUNCTION("""COMPUTED_VALUE"""),125)</f>
        <v>125</v>
      </c>
      <c r="H758" s="2"/>
      <c r="I758" s="2"/>
      <c r="J758" s="2">
        <f ca="1">IFERROR(__xludf.DUMMYFUNCTION("""COMPUTED_VALUE"""),0)</f>
        <v>0</v>
      </c>
      <c r="K758" s="2">
        <f ca="1">IFERROR(__xludf.DUMMYFUNCTION("""COMPUTED_VALUE"""),30000)</f>
        <v>30000</v>
      </c>
      <c r="L758" s="2" t="str">
        <f ca="1">IFERROR(__xludf.DUMMYFUNCTION("""COMPUTED_VALUE"""),"ec873f45")</f>
        <v>ec873f45</v>
      </c>
      <c r="M758" s="2" t="str">
        <f ca="1">IFERROR(__xludf.DUMMYFUNCTION("""COMPUTED_VALUE"""),"Tinto")</f>
        <v>Tinto</v>
      </c>
      <c r="N758" s="2"/>
      <c r="O758" s="2" t="str">
        <f ca="1">IFERROR(__xludf.DUMMYFUNCTION("""COMPUTED_VALUE"""),"1er Trasiego")</f>
        <v>1er Trasiego</v>
      </c>
      <c r="P758" s="2"/>
      <c r="Q758" s="2" t="b">
        <f ca="1">IFERROR(__xludf.DUMMYFUNCTION("""COMPUTED_VALUE"""),FALSE)</f>
        <v>0</v>
      </c>
      <c r="R758" s="2" t="str">
        <f ca="1">IFERROR(__xludf.DUMMYFUNCTION("""COMPUTED_VALUE"""),"Rectificado")</f>
        <v>Rectificado</v>
      </c>
      <c r="S758" s="2"/>
      <c r="T758" s="2"/>
      <c r="U758" s="2"/>
    </row>
    <row r="759" spans="1:21" x14ac:dyDescent="0.25">
      <c r="A759" s="2" t="str">
        <f ca="1">IFERROR(__xludf.DUMMYFUNCTION("""COMPUTED_VALUE"""),"adfa1464")</f>
        <v>adfa1464</v>
      </c>
      <c r="B759" s="5">
        <f ca="1">IFERROR(__xludf.DUMMYFUNCTION("""COMPUTED_VALUE"""),45804.7955902777)</f>
        <v>45804.795590277703</v>
      </c>
      <c r="C759" s="2" t="str">
        <f ca="1">IFERROR(__xludf.DUMMYFUNCTION("""COMPUTED_VALUE"""),"b8a3716d")</f>
        <v>b8a3716d</v>
      </c>
      <c r="D759" s="2">
        <f ca="1">IFERROR(__xludf.DUMMYFUNCTION("""COMPUTED_VALUE"""),118)</f>
        <v>118</v>
      </c>
      <c r="E759" s="2" t="str">
        <f ca="1">IFERROR(__xludf.DUMMYFUNCTION("""COMPUTED_VALUE"""),"Tinto")</f>
        <v>Tinto</v>
      </c>
      <c r="F759" s="2">
        <f ca="1">IFERROR(__xludf.DUMMYFUNCTION("""COMPUTED_VALUE"""),83000)</f>
        <v>83000</v>
      </c>
      <c r="G759" s="2">
        <f ca="1">IFERROR(__xludf.DUMMYFUNCTION("""COMPUTED_VALUE"""),84)</f>
        <v>84</v>
      </c>
      <c r="H759" s="2"/>
      <c r="I759" s="2"/>
      <c r="J759" s="2">
        <f ca="1">IFERROR(__xludf.DUMMYFUNCTION("""COMPUTED_VALUE"""),0)</f>
        <v>0</v>
      </c>
      <c r="K759" s="2">
        <f ca="1">IFERROR(__xludf.DUMMYFUNCTION("""COMPUTED_VALUE"""),83000)</f>
        <v>83000</v>
      </c>
      <c r="L759" s="2" t="str">
        <f ca="1">IFERROR(__xludf.DUMMYFUNCTION("""COMPUTED_VALUE"""),"9a261ef2")</f>
        <v>9a261ef2</v>
      </c>
      <c r="M759" s="2" t="str">
        <f ca="1">IFERROR(__xludf.DUMMYFUNCTION("""COMPUTED_VALUE"""),"Tinto")</f>
        <v>Tinto</v>
      </c>
      <c r="N759" s="2"/>
      <c r="O759" s="2" t="str">
        <f ca="1">IFERROR(__xludf.DUMMYFUNCTION("""COMPUTED_VALUE"""),"1er Trasiego")</f>
        <v>1er Trasiego</v>
      </c>
      <c r="P759" s="2"/>
      <c r="Q759" s="2" t="b">
        <f ca="1">IFERROR(__xludf.DUMMYFUNCTION("""COMPUTED_VALUE"""),FALSE)</f>
        <v>0</v>
      </c>
      <c r="R759" s="2" t="str">
        <f ca="1">IFERROR(__xludf.DUMMYFUNCTION("""COMPUTED_VALUE"""),"2do Trasiego")</f>
        <v>2do Trasiego</v>
      </c>
      <c r="S759" s="2"/>
      <c r="T759" s="2"/>
      <c r="U759" s="2"/>
    </row>
    <row r="760" spans="1:21" x14ac:dyDescent="0.25">
      <c r="A760" s="2" t="str">
        <f ca="1">IFERROR(__xludf.DUMMYFUNCTION("""COMPUTED_VALUE"""),"c7a90e51")</f>
        <v>c7a90e51</v>
      </c>
      <c r="B760" s="5">
        <f ca="1">IFERROR(__xludf.DUMMYFUNCTION("""COMPUTED_VALUE"""),45804.7961342592)</f>
        <v>45804.796134259203</v>
      </c>
      <c r="C760" s="2" t="str">
        <f ca="1">IFERROR(__xludf.DUMMYFUNCTION("""COMPUTED_VALUE"""),"b8a3716d")</f>
        <v>b8a3716d</v>
      </c>
      <c r="D760" s="2">
        <f ca="1">IFERROR(__xludf.DUMMYFUNCTION("""COMPUTED_VALUE"""),118)</f>
        <v>118</v>
      </c>
      <c r="E760" s="2" t="str">
        <f ca="1">IFERROR(__xludf.DUMMYFUNCTION("""COMPUTED_VALUE"""),"Tinto")</f>
        <v>Tinto</v>
      </c>
      <c r="F760" s="2">
        <f ca="1">IFERROR(__xludf.DUMMYFUNCTION("""COMPUTED_VALUE"""),72600)</f>
        <v>72600</v>
      </c>
      <c r="G760" s="2">
        <f ca="1">IFERROR(__xludf.DUMMYFUNCTION("""COMPUTED_VALUE"""),85)</f>
        <v>85</v>
      </c>
      <c r="H760" s="2"/>
      <c r="I760" s="2"/>
      <c r="J760" s="2">
        <f ca="1">IFERROR(__xludf.DUMMYFUNCTION("""COMPUTED_VALUE"""),0)</f>
        <v>0</v>
      </c>
      <c r="K760" s="2">
        <f ca="1">IFERROR(__xludf.DUMMYFUNCTION("""COMPUTED_VALUE"""),72600)</f>
        <v>72600</v>
      </c>
      <c r="L760" s="2" t="str">
        <f ca="1">IFERROR(__xludf.DUMMYFUNCTION("""COMPUTED_VALUE"""),"317f770a")</f>
        <v>317f770a</v>
      </c>
      <c r="M760" s="2" t="str">
        <f ca="1">IFERROR(__xludf.DUMMYFUNCTION("""COMPUTED_VALUE"""),"Tinto")</f>
        <v>Tinto</v>
      </c>
      <c r="N760" s="2"/>
      <c r="O760" s="2" t="str">
        <f ca="1">IFERROR(__xludf.DUMMYFUNCTION("""COMPUTED_VALUE"""),"1er Trasiego")</f>
        <v>1er Trasiego</v>
      </c>
      <c r="P760" s="2"/>
      <c r="Q760" s="2" t="b">
        <f ca="1">IFERROR(__xludf.DUMMYFUNCTION("""COMPUTED_VALUE"""),FALSE)</f>
        <v>0</v>
      </c>
      <c r="R760" s="2" t="str">
        <f ca="1">IFERROR(__xludf.DUMMYFUNCTION("""COMPUTED_VALUE"""),"2do Trasiego")</f>
        <v>2do Trasiego</v>
      </c>
      <c r="S760" s="2"/>
      <c r="T760" s="2"/>
      <c r="U760" s="2"/>
    </row>
    <row r="761" spans="1:21" x14ac:dyDescent="0.25">
      <c r="A761" s="2" t="str">
        <f ca="1">IFERROR(__xludf.DUMMYFUNCTION("""COMPUTED_VALUE"""),"63da544e")</f>
        <v>63da544e</v>
      </c>
      <c r="B761" s="5">
        <f ca="1">IFERROR(__xludf.DUMMYFUNCTION("""COMPUTED_VALUE"""),45804.7977546296)</f>
        <v>45804.797754629602</v>
      </c>
      <c r="C761" s="2" t="str">
        <f ca="1">IFERROR(__xludf.DUMMYFUNCTION("""COMPUTED_VALUE"""),"39eae928")</f>
        <v>39eae928</v>
      </c>
      <c r="D761" s="2">
        <f ca="1">IFERROR(__xludf.DUMMYFUNCTION("""COMPUTED_VALUE"""),91)</f>
        <v>91</v>
      </c>
      <c r="E761" s="2" t="str">
        <f ca="1">IFERROR(__xludf.DUMMYFUNCTION("""COMPUTED_VALUE"""),"Tinto")</f>
        <v>Tinto</v>
      </c>
      <c r="F761" s="2">
        <f ca="1">IFERROR(__xludf.DUMMYFUNCTION("""COMPUTED_VALUE"""),11400)</f>
        <v>11400</v>
      </c>
      <c r="G761" s="2">
        <f ca="1">IFERROR(__xludf.DUMMYFUNCTION("""COMPUTED_VALUE"""),85)</f>
        <v>85</v>
      </c>
      <c r="H761" s="2" t="str">
        <f ca="1">IFERROR(__xludf.DUMMYFUNCTION("""COMPUTED_VALUE"""),"317f770a")</f>
        <v>317f770a</v>
      </c>
      <c r="I761" s="2" t="str">
        <f ca="1">IFERROR(__xludf.DUMMYFUNCTION("""COMPUTED_VALUE"""),"Tinto")</f>
        <v>Tinto</v>
      </c>
      <c r="J761" s="2">
        <f ca="1">IFERROR(__xludf.DUMMYFUNCTION("""COMPUTED_VALUE"""),72600)</f>
        <v>72600</v>
      </c>
      <c r="K761" s="2">
        <f ca="1">IFERROR(__xludf.DUMMYFUNCTION("""COMPUTED_VALUE"""),84000)</f>
        <v>84000</v>
      </c>
      <c r="L761" s="2" t="str">
        <f ca="1">IFERROR(__xludf.DUMMYFUNCTION("""COMPUTED_VALUE"""),"b7883137")</f>
        <v>b7883137</v>
      </c>
      <c r="M761" s="2" t="str">
        <f ca="1">IFERROR(__xludf.DUMMYFUNCTION("""COMPUTED_VALUE"""),"Tinto")</f>
        <v>Tinto</v>
      </c>
      <c r="N761" s="2"/>
      <c r="O761" s="2" t="str">
        <f ca="1">IFERROR(__xludf.DUMMYFUNCTION("""COMPUTED_VALUE"""),"1er Trasiego")</f>
        <v>1er Trasiego</v>
      </c>
      <c r="P761" s="2" t="str">
        <f ca="1">IFERROR(__xludf.DUMMYFUNCTION("""COMPUTED_VALUE"""),"2do Trasiego")</f>
        <v>2do Trasiego</v>
      </c>
      <c r="Q761" s="2" t="b">
        <f ca="1">IFERROR(__xludf.DUMMYFUNCTION("""COMPUTED_VALUE"""),TRUE)</f>
        <v>1</v>
      </c>
      <c r="R761" s="2" t="str">
        <f ca="1">IFERROR(__xludf.DUMMYFUNCTION("""COMPUTED_VALUE"""),"2do Trasiego")</f>
        <v>2do Trasiego</v>
      </c>
      <c r="S761" s="2"/>
      <c r="T761" s="2"/>
      <c r="U761" s="2"/>
    </row>
    <row r="762" spans="1:21" x14ac:dyDescent="0.25">
      <c r="A762" s="2" t="str">
        <f ca="1">IFERROR(__xludf.DUMMYFUNCTION("""COMPUTED_VALUE"""),"afb9bd0d")</f>
        <v>afb9bd0d</v>
      </c>
      <c r="B762" s="5">
        <f ca="1">IFERROR(__xludf.DUMMYFUNCTION("""COMPUTED_VALUE"""),45804.7982986111)</f>
        <v>45804.798298611102</v>
      </c>
      <c r="C762" s="2" t="str">
        <f ca="1">IFERROR(__xludf.DUMMYFUNCTION("""COMPUTED_VALUE"""),"39eae928")</f>
        <v>39eae928</v>
      </c>
      <c r="D762" s="2">
        <f ca="1">IFERROR(__xludf.DUMMYFUNCTION("""COMPUTED_VALUE"""),91)</f>
        <v>91</v>
      </c>
      <c r="E762" s="2" t="str">
        <f ca="1">IFERROR(__xludf.DUMMYFUNCTION("""COMPUTED_VALUE"""),"Tinto")</f>
        <v>Tinto</v>
      </c>
      <c r="F762" s="2">
        <f ca="1">IFERROR(__xludf.DUMMYFUNCTION("""COMPUTED_VALUE"""),74600)</f>
        <v>74600</v>
      </c>
      <c r="G762" s="2">
        <f ca="1">IFERROR(__xludf.DUMMYFUNCTION("""COMPUTED_VALUE"""),92)</f>
        <v>92</v>
      </c>
      <c r="H762" s="2"/>
      <c r="I762" s="2"/>
      <c r="J762" s="2">
        <f ca="1">IFERROR(__xludf.DUMMYFUNCTION("""COMPUTED_VALUE"""),0)</f>
        <v>0</v>
      </c>
      <c r="K762" s="2">
        <f ca="1">IFERROR(__xludf.DUMMYFUNCTION("""COMPUTED_VALUE"""),74600)</f>
        <v>74600</v>
      </c>
      <c r="L762" s="2" t="str">
        <f ca="1">IFERROR(__xludf.DUMMYFUNCTION("""COMPUTED_VALUE"""),"fbfff24a")</f>
        <v>fbfff24a</v>
      </c>
      <c r="M762" s="2" t="str">
        <f ca="1">IFERROR(__xludf.DUMMYFUNCTION("""COMPUTED_VALUE"""),"Tinto")</f>
        <v>Tinto</v>
      </c>
      <c r="N762" s="2"/>
      <c r="O762" s="2" t="str">
        <f ca="1">IFERROR(__xludf.DUMMYFUNCTION("""COMPUTED_VALUE"""),"1er Trasiego")</f>
        <v>1er Trasiego</v>
      </c>
      <c r="P762" s="2"/>
      <c r="Q762" s="2" t="b">
        <f ca="1">IFERROR(__xludf.DUMMYFUNCTION("""COMPUTED_VALUE"""),FALSE)</f>
        <v>0</v>
      </c>
      <c r="R762" s="2" t="str">
        <f ca="1">IFERROR(__xludf.DUMMYFUNCTION("""COMPUTED_VALUE"""),"2do Trasiego")</f>
        <v>2do Trasiego</v>
      </c>
      <c r="S762" s="2"/>
      <c r="T762" s="2"/>
      <c r="U762" s="2"/>
    </row>
    <row r="763" spans="1:21" x14ac:dyDescent="0.25">
      <c r="A763" s="2" t="str">
        <f ca="1">IFERROR(__xludf.DUMMYFUNCTION("""COMPUTED_VALUE"""),"3ccee9c5")</f>
        <v>3ccee9c5</v>
      </c>
      <c r="B763" s="5">
        <f ca="1">IFERROR(__xludf.DUMMYFUNCTION("""COMPUTED_VALUE"""),45804.7989814814)</f>
        <v>45804.798981481399</v>
      </c>
      <c r="C763" s="2" t="str">
        <f ca="1">IFERROR(__xludf.DUMMYFUNCTION("""COMPUTED_VALUE"""),"8deed384")</f>
        <v>8deed384</v>
      </c>
      <c r="D763" s="2">
        <f ca="1">IFERROR(__xludf.DUMMYFUNCTION("""COMPUTED_VALUE"""),71)</f>
        <v>71</v>
      </c>
      <c r="E763" s="2" t="str">
        <f ca="1">IFERROR(__xludf.DUMMYFUNCTION("""COMPUTED_VALUE"""),"Tinto (Chardonnay)")</f>
        <v>Tinto (Chardonnay)</v>
      </c>
      <c r="F763" s="2">
        <f ca="1">IFERROR(__xludf.DUMMYFUNCTION("""COMPUTED_VALUE"""),13000)</f>
        <v>13000</v>
      </c>
      <c r="G763" s="2">
        <f ca="1">IFERROR(__xludf.DUMMYFUNCTION("""COMPUTED_VALUE"""),68)</f>
        <v>68</v>
      </c>
      <c r="H763" s="2"/>
      <c r="I763" s="2"/>
      <c r="J763" s="2">
        <f ca="1">IFERROR(__xludf.DUMMYFUNCTION("""COMPUTED_VALUE"""),0)</f>
        <v>0</v>
      </c>
      <c r="K763" s="2">
        <f ca="1">IFERROR(__xludf.DUMMYFUNCTION("""COMPUTED_VALUE"""),13000)</f>
        <v>13000</v>
      </c>
      <c r="L763" s="2" t="str">
        <f ca="1">IFERROR(__xludf.DUMMYFUNCTION("""COMPUTED_VALUE"""),"36493bbe")</f>
        <v>36493bbe</v>
      </c>
      <c r="M763" s="2" t="str">
        <f ca="1">IFERROR(__xludf.DUMMYFUNCTION("""COMPUTED_VALUE"""),"Tinto (Chardonnay)")</f>
        <v>Tinto (Chardonnay)</v>
      </c>
      <c r="N763" s="2"/>
      <c r="O763" s="2" t="str">
        <f ca="1">IFERROR(__xludf.DUMMYFUNCTION("""COMPUTED_VALUE"""),"1er Trasiego")</f>
        <v>1er Trasiego</v>
      </c>
      <c r="P763" s="2"/>
      <c r="Q763" s="2" t="b">
        <f ca="1">IFERROR(__xludf.DUMMYFUNCTION("""COMPUTED_VALUE"""),FALSE)</f>
        <v>0</v>
      </c>
      <c r="R763" s="2" t="str">
        <f ca="1">IFERROR(__xludf.DUMMYFUNCTION("""COMPUTED_VALUE"""),"2do Trasiego")</f>
        <v>2do Trasiego</v>
      </c>
      <c r="S763" s="2"/>
      <c r="T763" s="2"/>
      <c r="U763" s="2"/>
    </row>
    <row r="764" spans="1:21" x14ac:dyDescent="0.25">
      <c r="A764" s="2" t="str">
        <f ca="1">IFERROR(__xludf.DUMMYFUNCTION("""COMPUTED_VALUE"""),"f1a661e8")</f>
        <v>f1a661e8</v>
      </c>
      <c r="B764" s="5">
        <f ca="1">IFERROR(__xludf.DUMMYFUNCTION("""COMPUTED_VALUE"""),45805.736261574)</f>
        <v>45805.736261573998</v>
      </c>
      <c r="C764" s="2" t="str">
        <f ca="1">IFERROR(__xludf.DUMMYFUNCTION("""COMPUTED_VALUE"""),"ab0df0a5")</f>
        <v>ab0df0a5</v>
      </c>
      <c r="D764" s="2">
        <f ca="1">IFERROR(__xludf.DUMMYFUNCTION("""COMPUTED_VALUE"""),26)</f>
        <v>26</v>
      </c>
      <c r="E764" s="2" t="str">
        <f ca="1">IFERROR(__xludf.DUMMYFUNCTION("""COMPUTED_VALUE"""),"Tinto Venta Garbin")</f>
        <v>Tinto Venta Garbin</v>
      </c>
      <c r="F764" s="2">
        <f ca="1">IFERROR(__xludf.DUMMYFUNCTION("""COMPUTED_VALUE"""),200000)</f>
        <v>200000</v>
      </c>
      <c r="G764" s="2">
        <f ca="1">IFERROR(__xludf.DUMMYFUNCTION("""COMPUTED_VALUE"""),500)</f>
        <v>500</v>
      </c>
      <c r="H764" s="2"/>
      <c r="I764" s="2"/>
      <c r="J764" s="2">
        <f ca="1">IFERROR(__xludf.DUMMYFUNCTION("""COMPUTED_VALUE"""),0)</f>
        <v>0</v>
      </c>
      <c r="K764" s="2">
        <f ca="1">IFERROR(__xludf.DUMMYFUNCTION("""COMPUTED_VALUE"""),200000)</f>
        <v>200000</v>
      </c>
      <c r="L764" s="2" t="str">
        <f ca="1">IFERROR(__xludf.DUMMYFUNCTION("""COMPUTED_VALUE"""),"34934edf")</f>
        <v>34934edf</v>
      </c>
      <c r="M764" s="2" t="str">
        <f ca="1">IFERROR(__xludf.DUMMYFUNCTION("""COMPUTED_VALUE"""),"Tinto Venta Garbin")</f>
        <v>Tinto Venta Garbin</v>
      </c>
      <c r="N764" s="2"/>
      <c r="O764" s="2" t="str">
        <f ca="1">IFERROR(__xludf.DUMMYFUNCTION("""COMPUTED_VALUE"""),"Traslado Venta")</f>
        <v>Traslado Venta</v>
      </c>
      <c r="P764" s="2"/>
      <c r="Q764" s="2" t="b">
        <f ca="1">IFERROR(__xludf.DUMMYFUNCTION("""COMPUTED_VALUE"""),FALSE)</f>
        <v>0</v>
      </c>
      <c r="R764" s="2" t="str">
        <f ca="1">IFERROR(__xludf.DUMMYFUNCTION("""COMPUTED_VALUE"""),"Traslado Venta")</f>
        <v>Traslado Venta</v>
      </c>
      <c r="S764" s="2"/>
      <c r="T764" s="2"/>
      <c r="U764" s="2"/>
    </row>
    <row r="765" spans="1:21" x14ac:dyDescent="0.25">
      <c r="A765" s="2" t="str">
        <f ca="1">IFERROR(__xludf.DUMMYFUNCTION("""COMPUTED_VALUE"""),"1cc59896")</f>
        <v>1cc59896</v>
      </c>
      <c r="B765" s="5">
        <f ca="1">IFERROR(__xludf.DUMMYFUNCTION("""COMPUTED_VALUE"""),45805.7369328703)</f>
        <v>45805.736932870299</v>
      </c>
      <c r="C765" s="2" t="str">
        <f ca="1">IFERROR(__xludf.DUMMYFUNCTION("""COMPUTED_VALUE"""),"ab0df0a5")</f>
        <v>ab0df0a5</v>
      </c>
      <c r="D765" s="2">
        <f ca="1">IFERROR(__xludf.DUMMYFUNCTION("""COMPUTED_VALUE"""),26)</f>
        <v>26</v>
      </c>
      <c r="E765" s="2" t="str">
        <f ca="1">IFERROR(__xludf.DUMMYFUNCTION("""COMPUTED_VALUE"""),"Tinto Venta Garbin")</f>
        <v>Tinto Venta Garbin</v>
      </c>
      <c r="F765" s="2">
        <f ca="1">IFERROR(__xludf.DUMMYFUNCTION("""COMPUTED_VALUE"""),1400)</f>
        <v>1400</v>
      </c>
      <c r="G765" s="2">
        <f ca="1">IFERROR(__xludf.DUMMYFUNCTION("""COMPUTED_VALUE"""),73)</f>
        <v>73</v>
      </c>
      <c r="H765" s="2"/>
      <c r="I765" s="2"/>
      <c r="J765" s="2">
        <f ca="1">IFERROR(__xludf.DUMMYFUNCTION("""COMPUTED_VALUE"""),0)</f>
        <v>0</v>
      </c>
      <c r="K765" s="2">
        <f ca="1">IFERROR(__xludf.DUMMYFUNCTION("""COMPUTED_VALUE"""),1400)</f>
        <v>1400</v>
      </c>
      <c r="L765" s="2" t="str">
        <f ca="1">IFERROR(__xludf.DUMMYFUNCTION("""COMPUTED_VALUE"""),"9d9d68cd")</f>
        <v>9d9d68cd</v>
      </c>
      <c r="M765" s="2" t="str">
        <f ca="1">IFERROR(__xludf.DUMMYFUNCTION("""COMPUTED_VALUE"""),"Tinto Venta Garbin")</f>
        <v>Tinto Venta Garbin</v>
      </c>
      <c r="N765" s="2"/>
      <c r="O765" s="2" t="str">
        <f ca="1">IFERROR(__xludf.DUMMYFUNCTION("""COMPUTED_VALUE"""),"Traslado Venta")</f>
        <v>Traslado Venta</v>
      </c>
      <c r="P765" s="2"/>
      <c r="Q765" s="2" t="b">
        <f ca="1">IFERROR(__xludf.DUMMYFUNCTION("""COMPUTED_VALUE"""),FALSE)</f>
        <v>0</v>
      </c>
      <c r="R765" s="2" t="str">
        <f ca="1">IFERROR(__xludf.DUMMYFUNCTION("""COMPUTED_VALUE"""),"2do Trasiego")</f>
        <v>2do Trasiego</v>
      </c>
      <c r="S765" s="2"/>
      <c r="T765" s="2"/>
      <c r="U765" s="2"/>
    </row>
    <row r="766" spans="1:21" x14ac:dyDescent="0.25">
      <c r="A766" s="2" t="str">
        <f ca="1">IFERROR(__xludf.DUMMYFUNCTION("""COMPUTED_VALUE"""),"c80574b2")</f>
        <v>c80574b2</v>
      </c>
      <c r="B766" s="5">
        <f ca="1">IFERROR(__xludf.DUMMYFUNCTION("""COMPUTED_VALUE"""),45805.737511574)</f>
        <v>45805.737511574</v>
      </c>
      <c r="C766" s="2" t="str">
        <f ca="1">IFERROR(__xludf.DUMMYFUNCTION("""COMPUTED_VALUE"""),"8cd3ea51")</f>
        <v>8cd3ea51</v>
      </c>
      <c r="D766" s="2">
        <f ca="1">IFERROR(__xludf.DUMMYFUNCTION("""COMPUTED_VALUE"""),109)</f>
        <v>109</v>
      </c>
      <c r="E766" s="2" t="str">
        <f ca="1">IFERROR(__xludf.DUMMYFUNCTION("""COMPUTED_VALUE"""),"Bonarda")</f>
        <v>Bonarda</v>
      </c>
      <c r="F766" s="2">
        <f ca="1">IFERROR(__xludf.DUMMYFUNCTION("""COMPUTED_VALUE"""),1000)</f>
        <v>1000</v>
      </c>
      <c r="G766" s="2">
        <f ca="1">IFERROR(__xludf.DUMMYFUNCTION("""COMPUTED_VALUE"""),73)</f>
        <v>73</v>
      </c>
      <c r="H766" s="2" t="str">
        <f ca="1">IFERROR(__xludf.DUMMYFUNCTION("""COMPUTED_VALUE"""),"9d9d68cd")</f>
        <v>9d9d68cd</v>
      </c>
      <c r="I766" s="2" t="str">
        <f ca="1">IFERROR(__xludf.DUMMYFUNCTION("""COMPUTED_VALUE"""),"Tinto Venta Garbin")</f>
        <v>Tinto Venta Garbin</v>
      </c>
      <c r="J766" s="2">
        <f ca="1">IFERROR(__xludf.DUMMYFUNCTION("""COMPUTED_VALUE"""),1400)</f>
        <v>1400</v>
      </c>
      <c r="K766" s="2">
        <f ca="1">IFERROR(__xludf.DUMMYFUNCTION("""COMPUTED_VALUE"""),2400)</f>
        <v>2400</v>
      </c>
      <c r="L766" s="2" t="str">
        <f ca="1">IFERROR(__xludf.DUMMYFUNCTION("""COMPUTED_VALUE"""),"bb3607ba")</f>
        <v>bb3607ba</v>
      </c>
      <c r="M766" s="2" t="str">
        <f ca="1">IFERROR(__xludf.DUMMYFUNCTION("""COMPUTED_VALUE"""),"Bonarda")</f>
        <v>Bonarda</v>
      </c>
      <c r="N766" s="2"/>
      <c r="O766" s="2" t="str">
        <f ca="1">IFERROR(__xludf.DUMMYFUNCTION("""COMPUTED_VALUE"""),"2do Trasiego")</f>
        <v>2do Trasiego</v>
      </c>
      <c r="P766" s="2" t="str">
        <f ca="1">IFERROR(__xludf.DUMMYFUNCTION("""COMPUTED_VALUE"""),"2do Trasiego")</f>
        <v>2do Trasiego</v>
      </c>
      <c r="Q766" s="2" t="b">
        <f ca="1">IFERROR(__xludf.DUMMYFUNCTION("""COMPUTED_VALUE"""),FALSE)</f>
        <v>0</v>
      </c>
      <c r="R766" s="2" t="str">
        <f ca="1">IFERROR(__xludf.DUMMYFUNCTION("""COMPUTED_VALUE"""),"2do Trasiego")</f>
        <v>2do Trasiego</v>
      </c>
      <c r="S766" s="2"/>
      <c r="T766" s="2"/>
      <c r="U766" s="2"/>
    </row>
    <row r="767" spans="1:21" x14ac:dyDescent="0.25">
      <c r="A767" s="2" t="str">
        <f ca="1">IFERROR(__xludf.DUMMYFUNCTION("""COMPUTED_VALUE"""),"553d486d")</f>
        <v>553d486d</v>
      </c>
      <c r="B767" s="5">
        <f ca="1">IFERROR(__xludf.DUMMYFUNCTION("""COMPUTED_VALUE"""),45805.7379398148)</f>
        <v>45805.737939814797</v>
      </c>
      <c r="C767" s="2" t="str">
        <f ca="1">IFERROR(__xludf.DUMMYFUNCTION("""COMPUTED_VALUE"""),"6f76277b")</f>
        <v>6f76277b</v>
      </c>
      <c r="D767" s="2">
        <f ca="1">IFERROR(__xludf.DUMMYFUNCTION("""COMPUTED_VALUE"""),6)</f>
        <v>6</v>
      </c>
      <c r="E767" s="2" t="str">
        <f ca="1">IFERROR(__xludf.DUMMYFUNCTION("""COMPUTED_VALUE"""),"Bonarda Rect")</f>
        <v>Bonarda Rect</v>
      </c>
      <c r="F767" s="2">
        <f ca="1">IFERROR(__xludf.DUMMYFUNCTION("""COMPUTED_VALUE"""),1600)</f>
        <v>1600</v>
      </c>
      <c r="G767" s="2">
        <f ca="1">IFERROR(__xludf.DUMMYFUNCTION("""COMPUTED_VALUE"""),109)</f>
        <v>109</v>
      </c>
      <c r="H767" s="2" t="str">
        <f ca="1">IFERROR(__xludf.DUMMYFUNCTION("""COMPUTED_VALUE"""),"8cd3ea51")</f>
        <v>8cd3ea51</v>
      </c>
      <c r="I767" s="2" t="str">
        <f ca="1">IFERROR(__xludf.DUMMYFUNCTION("""COMPUTED_VALUE"""),"Bonarda")</f>
        <v>Bonarda</v>
      </c>
      <c r="J767" s="2">
        <f ca="1">IFERROR(__xludf.DUMMYFUNCTION("""COMPUTED_VALUE"""),14000)</f>
        <v>14000</v>
      </c>
      <c r="K767" s="2">
        <f ca="1">IFERROR(__xludf.DUMMYFUNCTION("""COMPUTED_VALUE"""),15600)</f>
        <v>15600</v>
      </c>
      <c r="L767" s="2" t="str">
        <f ca="1">IFERROR(__xludf.DUMMYFUNCTION("""COMPUTED_VALUE"""),"605416fd")</f>
        <v>605416fd</v>
      </c>
      <c r="M767" s="2" t="str">
        <f ca="1">IFERROR(__xludf.DUMMYFUNCTION("""COMPUTED_VALUE"""),"Bonarda")</f>
        <v>Bonarda</v>
      </c>
      <c r="N767" s="2"/>
      <c r="O767" s="2" t="str">
        <f ca="1">IFERROR(__xludf.DUMMYFUNCTION("""COMPUTED_VALUE"""),"Rectificado")</f>
        <v>Rectificado</v>
      </c>
      <c r="P767" s="2" t="str">
        <f ca="1">IFERROR(__xludf.DUMMYFUNCTION("""COMPUTED_VALUE"""),"2do Trasiego")</f>
        <v>2do Trasiego</v>
      </c>
      <c r="Q767" s="2" t="b">
        <f ca="1">IFERROR(__xludf.DUMMYFUNCTION("""COMPUTED_VALUE"""),TRUE)</f>
        <v>1</v>
      </c>
      <c r="R767" s="2" t="str">
        <f ca="1">IFERROR(__xludf.DUMMYFUNCTION("""COMPUTED_VALUE"""),"2do Trasiego")</f>
        <v>2do Trasiego</v>
      </c>
      <c r="S767" s="2"/>
      <c r="T767" s="2"/>
      <c r="U767" s="2"/>
    </row>
    <row r="768" spans="1:21" x14ac:dyDescent="0.25">
      <c r="A768" s="2" t="str">
        <f ca="1">IFERROR(__xludf.DUMMYFUNCTION("""COMPUTED_VALUE"""),"ebef0c86")</f>
        <v>ebef0c86</v>
      </c>
      <c r="B768" s="5">
        <f ca="1">IFERROR(__xludf.DUMMYFUNCTION("""COMPUTED_VALUE"""),45805.7410185185)</f>
        <v>45805.7410185185</v>
      </c>
      <c r="C768" s="2" t="str">
        <f ca="1">IFERROR(__xludf.DUMMYFUNCTION("""COMPUTED_VALUE"""),"ec873f45")</f>
        <v>ec873f45</v>
      </c>
      <c r="D768" s="2">
        <f ca="1">IFERROR(__xludf.DUMMYFUNCTION("""COMPUTED_VALUE"""),125)</f>
        <v>125</v>
      </c>
      <c r="E768" s="2" t="str">
        <f ca="1">IFERROR(__xludf.DUMMYFUNCTION("""COMPUTED_VALUE"""),"Tinto")</f>
        <v>Tinto</v>
      </c>
      <c r="F768" s="2">
        <f ca="1">IFERROR(__xludf.DUMMYFUNCTION("""COMPUTED_VALUE"""),4500)</f>
        <v>4500</v>
      </c>
      <c r="G768" s="2">
        <f ca="1">IFERROR(__xludf.DUMMYFUNCTION("""COMPUTED_VALUE"""),7)</f>
        <v>7</v>
      </c>
      <c r="H768" s="2" t="str">
        <f ca="1">IFERROR(__xludf.DUMMYFUNCTION("""COMPUTED_VALUE"""),"dc8b07fe")</f>
        <v>dc8b07fe</v>
      </c>
      <c r="I768" s="2" t="str">
        <f ca="1">IFERROR(__xludf.DUMMYFUNCTION("""COMPUTED_VALUE"""),"Cabernet Sauvignon Rectificado")</f>
        <v>Cabernet Sauvignon Rectificado</v>
      </c>
      <c r="J768" s="2">
        <f ca="1">IFERROR(__xludf.DUMMYFUNCTION("""COMPUTED_VALUE"""),25500)</f>
        <v>25500</v>
      </c>
      <c r="K768" s="2">
        <f ca="1">IFERROR(__xludf.DUMMYFUNCTION("""COMPUTED_VALUE"""),30000)</f>
        <v>30000</v>
      </c>
      <c r="L768" s="2" t="str">
        <f ca="1">IFERROR(__xludf.DUMMYFUNCTION("""COMPUTED_VALUE"""),"dfa54ee5")</f>
        <v>dfa54ee5</v>
      </c>
      <c r="M768" s="2" t="str">
        <f ca="1">IFERROR(__xludf.DUMMYFUNCTION("""COMPUTED_VALUE"""),"Cabernet Sauvignon Rectificado")</f>
        <v>Cabernet Sauvignon Rectificado</v>
      </c>
      <c r="N768" s="2"/>
      <c r="O768" s="2" t="str">
        <f ca="1">IFERROR(__xludf.DUMMYFUNCTION("""COMPUTED_VALUE"""),"Rectificado")</f>
        <v>Rectificado</v>
      </c>
      <c r="P768" s="2" t="str">
        <f ca="1">IFERROR(__xludf.DUMMYFUNCTION("""COMPUTED_VALUE"""),"Rectificado")</f>
        <v>Rectificado</v>
      </c>
      <c r="Q768" s="2" t="b">
        <f ca="1">IFERROR(__xludf.DUMMYFUNCTION("""COMPUTED_VALUE"""),TRUE)</f>
        <v>1</v>
      </c>
      <c r="R768" s="2" t="str">
        <f ca="1">IFERROR(__xludf.DUMMYFUNCTION("""COMPUTED_VALUE"""),"Rectificado")</f>
        <v>Rectificado</v>
      </c>
      <c r="S768" s="2"/>
      <c r="T768" s="2"/>
      <c r="U768" s="2"/>
    </row>
    <row r="769" spans="1:21" x14ac:dyDescent="0.25">
      <c r="A769" s="2" t="str">
        <f ca="1">IFERROR(__xludf.DUMMYFUNCTION("""COMPUTED_VALUE"""),"dc0f6372")</f>
        <v>dc0f6372</v>
      </c>
      <c r="B769" s="5">
        <f ca="1">IFERROR(__xludf.DUMMYFUNCTION("""COMPUTED_VALUE"""),45805.7415046296)</f>
        <v>45805.741504629601</v>
      </c>
      <c r="C769" s="2" t="str">
        <f ca="1">IFERROR(__xludf.DUMMYFUNCTION("""COMPUTED_VALUE"""),"ec873f45")</f>
        <v>ec873f45</v>
      </c>
      <c r="D769" s="2">
        <f ca="1">IFERROR(__xludf.DUMMYFUNCTION("""COMPUTED_VALUE"""),125)</f>
        <v>125</v>
      </c>
      <c r="E769" s="2" t="str">
        <f ca="1">IFERROR(__xludf.DUMMYFUNCTION("""COMPUTED_VALUE"""),"Tinto")</f>
        <v>Tinto</v>
      </c>
      <c r="F769" s="2">
        <f ca="1">IFERROR(__xludf.DUMMYFUNCTION("""COMPUTED_VALUE"""),25500)</f>
        <v>25500</v>
      </c>
      <c r="G769" s="2">
        <f ca="1">IFERROR(__xludf.DUMMYFUNCTION("""COMPUTED_VALUE"""),45)</f>
        <v>45</v>
      </c>
      <c r="H769" s="2"/>
      <c r="I769" s="2"/>
      <c r="J769" s="2">
        <f ca="1">IFERROR(__xludf.DUMMYFUNCTION("""COMPUTED_VALUE"""),0)</f>
        <v>0</v>
      </c>
      <c r="K769" s="2">
        <f ca="1">IFERROR(__xludf.DUMMYFUNCTION("""COMPUTED_VALUE"""),25500)</f>
        <v>25500</v>
      </c>
      <c r="L769" s="2" t="str">
        <f ca="1">IFERROR(__xludf.DUMMYFUNCTION("""COMPUTED_VALUE"""),"2d4e2ede")</f>
        <v>2d4e2ede</v>
      </c>
      <c r="M769" s="2" t="str">
        <f ca="1">IFERROR(__xludf.DUMMYFUNCTION("""COMPUTED_VALUE"""),"Tinto")</f>
        <v>Tinto</v>
      </c>
      <c r="N769" s="2"/>
      <c r="O769" s="2" t="str">
        <f ca="1">IFERROR(__xludf.DUMMYFUNCTION("""COMPUTED_VALUE"""),"Rectificado")</f>
        <v>Rectificado</v>
      </c>
      <c r="P769" s="2"/>
      <c r="Q769" s="2" t="b">
        <f ca="1">IFERROR(__xludf.DUMMYFUNCTION("""COMPUTED_VALUE"""),FALSE)</f>
        <v>0</v>
      </c>
      <c r="R769" s="2" t="str">
        <f ca="1">IFERROR(__xludf.DUMMYFUNCTION("""COMPUTED_VALUE"""),"Rectificado")</f>
        <v>Rectificado</v>
      </c>
      <c r="S769" s="2"/>
      <c r="T769" s="2"/>
      <c r="U769" s="2"/>
    </row>
    <row r="770" spans="1:21" x14ac:dyDescent="0.25">
      <c r="A770" s="2" t="str">
        <f ca="1">IFERROR(__xludf.DUMMYFUNCTION("""COMPUTED_VALUE"""),"1052351a")</f>
        <v>1052351a</v>
      </c>
      <c r="B770" s="5">
        <f ca="1">IFERROR(__xludf.DUMMYFUNCTION("""COMPUTED_VALUE"""),45805.7432638888)</f>
        <v>45805.743263888799</v>
      </c>
      <c r="C770" s="2" t="str">
        <f ca="1">IFERROR(__xludf.DUMMYFUNCTION("""COMPUTED_VALUE"""),"7756a1a1")</f>
        <v>7756a1a1</v>
      </c>
      <c r="D770" s="2">
        <f ca="1">IFERROR(__xludf.DUMMYFUNCTION("""COMPUTED_VALUE"""),115)</f>
        <v>115</v>
      </c>
      <c r="E770" s="2" t="str">
        <f ca="1">IFERROR(__xludf.DUMMYFUNCTION("""COMPUTED_VALUE"""),"Cabernet Sauvignon")</f>
        <v>Cabernet Sauvignon</v>
      </c>
      <c r="F770" s="2">
        <f ca="1">IFERROR(__xludf.DUMMYFUNCTION("""COMPUTED_VALUE"""),120200)</f>
        <v>120200</v>
      </c>
      <c r="G770" s="2">
        <f ca="1">IFERROR(__xludf.DUMMYFUNCTION("""COMPUTED_VALUE"""),118)</f>
        <v>118</v>
      </c>
      <c r="H770" s="2"/>
      <c r="I770" s="2"/>
      <c r="J770" s="2">
        <f ca="1">IFERROR(__xludf.DUMMYFUNCTION("""COMPUTED_VALUE"""),0)</f>
        <v>0</v>
      </c>
      <c r="K770" s="2">
        <f ca="1">IFERROR(__xludf.DUMMYFUNCTION("""COMPUTED_VALUE"""),120200)</f>
        <v>120200</v>
      </c>
      <c r="L770" s="2" t="str">
        <f ca="1">IFERROR(__xludf.DUMMYFUNCTION("""COMPUTED_VALUE"""),"704cf4ee")</f>
        <v>704cf4ee</v>
      </c>
      <c r="M770" s="2" t="str">
        <f ca="1">IFERROR(__xludf.DUMMYFUNCTION("""COMPUTED_VALUE"""),"Cabernet Sauvignon")</f>
        <v>Cabernet Sauvignon</v>
      </c>
      <c r="N770" s="2"/>
      <c r="O770" s="2" t="str">
        <f ca="1">IFERROR(__xludf.DUMMYFUNCTION("""COMPUTED_VALUE"""),"1er Trasiego")</f>
        <v>1er Trasiego</v>
      </c>
      <c r="P770" s="2"/>
      <c r="Q770" s="2" t="b">
        <f ca="1">IFERROR(__xludf.DUMMYFUNCTION("""COMPUTED_VALUE"""),FALSE)</f>
        <v>0</v>
      </c>
      <c r="R770" s="2" t="str">
        <f ca="1">IFERROR(__xludf.DUMMYFUNCTION("""COMPUTED_VALUE"""),"2do Trasiego")</f>
        <v>2do Trasiego</v>
      </c>
      <c r="S770" s="2"/>
      <c r="T770" s="2"/>
      <c r="U770" s="2"/>
    </row>
    <row r="771" spans="1:21" x14ac:dyDescent="0.25">
      <c r="A771" s="2" t="str">
        <f ca="1">IFERROR(__xludf.DUMMYFUNCTION("""COMPUTED_VALUE"""),"504a0a22")</f>
        <v>504a0a22</v>
      </c>
      <c r="B771" s="5">
        <f ca="1">IFERROR(__xludf.DUMMYFUNCTION("""COMPUTED_VALUE"""),45805.7447800925)</f>
        <v>45805.7447800925</v>
      </c>
      <c r="C771" s="2" t="str">
        <f ca="1">IFERROR(__xludf.DUMMYFUNCTION("""COMPUTED_VALUE"""),"dfa54ee5")</f>
        <v>dfa54ee5</v>
      </c>
      <c r="D771" s="2">
        <f ca="1">IFERROR(__xludf.DUMMYFUNCTION("""COMPUTED_VALUE"""),7)</f>
        <v>7</v>
      </c>
      <c r="E771" s="2" t="str">
        <f ca="1">IFERROR(__xludf.DUMMYFUNCTION("""COMPUTED_VALUE"""),"Cabernet Sauvignon Rectificado")</f>
        <v>Cabernet Sauvignon Rectificado</v>
      </c>
      <c r="F771" s="2">
        <f ca="1">IFERROR(__xludf.DUMMYFUNCTION("""COMPUTED_VALUE"""),30000)</f>
        <v>30000</v>
      </c>
      <c r="G771" s="2">
        <f ca="1">IFERROR(__xludf.DUMMYFUNCTION("""COMPUTED_VALUE"""),118)</f>
        <v>118</v>
      </c>
      <c r="H771" s="2" t="str">
        <f ca="1">IFERROR(__xludf.DUMMYFUNCTION("""COMPUTED_VALUE"""),"704cf4ee")</f>
        <v>704cf4ee</v>
      </c>
      <c r="I771" s="2" t="str">
        <f ca="1">IFERROR(__xludf.DUMMYFUNCTION("""COMPUTED_VALUE"""),"Cabernet Sauvignon")</f>
        <v>Cabernet Sauvignon</v>
      </c>
      <c r="J771" s="2">
        <f ca="1">IFERROR(__xludf.DUMMYFUNCTION("""COMPUTED_VALUE"""),120200)</f>
        <v>120200</v>
      </c>
      <c r="K771" s="2">
        <f ca="1">IFERROR(__xludf.DUMMYFUNCTION("""COMPUTED_VALUE"""),150200)</f>
        <v>150200</v>
      </c>
      <c r="L771" s="2" t="str">
        <f ca="1">IFERROR(__xludf.DUMMYFUNCTION("""COMPUTED_VALUE"""),"179cf3c0")</f>
        <v>179cf3c0</v>
      </c>
      <c r="M771" s="2" t="str">
        <f ca="1">IFERROR(__xludf.DUMMYFUNCTION("""COMPUTED_VALUE"""),"Cabernet Sauvignon")</f>
        <v>Cabernet Sauvignon</v>
      </c>
      <c r="N771" s="2"/>
      <c r="O771" s="2" t="str">
        <f ca="1">IFERROR(__xludf.DUMMYFUNCTION("""COMPUTED_VALUE"""),"Rectificado")</f>
        <v>Rectificado</v>
      </c>
      <c r="P771" s="2" t="str">
        <f ca="1">IFERROR(__xludf.DUMMYFUNCTION("""COMPUTED_VALUE"""),"2do Trasiego")</f>
        <v>2do Trasiego</v>
      </c>
      <c r="Q771" s="2" t="b">
        <f ca="1">IFERROR(__xludf.DUMMYFUNCTION("""COMPUTED_VALUE"""),TRUE)</f>
        <v>1</v>
      </c>
      <c r="R771" s="2" t="str">
        <f ca="1">IFERROR(__xludf.DUMMYFUNCTION("""COMPUTED_VALUE"""),"2do Trasiego")</f>
        <v>2do Trasiego</v>
      </c>
      <c r="S771" s="2"/>
      <c r="T771" s="2"/>
      <c r="U771" s="2"/>
    </row>
    <row r="772" spans="1:21" x14ac:dyDescent="0.25">
      <c r="A772" s="2" t="str">
        <f ca="1">IFERROR(__xludf.DUMMYFUNCTION("""COMPUTED_VALUE"""),"ddc7bb3d")</f>
        <v>ddc7bb3d</v>
      </c>
      <c r="B772" s="5">
        <f ca="1">IFERROR(__xludf.DUMMYFUNCTION("""COMPUTED_VALUE"""),45805.7464351851)</f>
        <v>45805.746435185101</v>
      </c>
      <c r="C772" s="2" t="str">
        <f ca="1">IFERROR(__xludf.DUMMYFUNCTION("""COMPUTED_VALUE"""),"6f76277b")</f>
        <v>6f76277b</v>
      </c>
      <c r="D772" s="2">
        <f ca="1">IFERROR(__xludf.DUMMYFUNCTION("""COMPUTED_VALUE"""),6)</f>
        <v>6</v>
      </c>
      <c r="E772" s="2" t="str">
        <f ca="1">IFERROR(__xludf.DUMMYFUNCTION("""COMPUTED_VALUE"""),"Bonarda Rect")</f>
        <v>Bonarda Rect</v>
      </c>
      <c r="F772" s="2">
        <f ca="1">IFERROR(__xludf.DUMMYFUNCTION("""COMPUTED_VALUE"""),4520)</f>
        <v>4520</v>
      </c>
      <c r="G772" s="2">
        <f ca="1">IFERROR(__xludf.DUMMYFUNCTION("""COMPUTED_VALUE"""),118)</f>
        <v>118</v>
      </c>
      <c r="H772" s="2" t="str">
        <f ca="1">IFERROR(__xludf.DUMMYFUNCTION("""COMPUTED_VALUE"""),"179cf3c0")</f>
        <v>179cf3c0</v>
      </c>
      <c r="I772" s="2" t="str">
        <f ca="1">IFERROR(__xludf.DUMMYFUNCTION("""COMPUTED_VALUE"""),"Cabernet Sauvignon")</f>
        <v>Cabernet Sauvignon</v>
      </c>
      <c r="J772" s="2">
        <f ca="1">IFERROR(__xludf.DUMMYFUNCTION("""COMPUTED_VALUE"""),150200)</f>
        <v>150200</v>
      </c>
      <c r="K772" s="2">
        <f ca="1">IFERROR(__xludf.DUMMYFUNCTION("""COMPUTED_VALUE"""),154720)</f>
        <v>154720</v>
      </c>
      <c r="L772" s="2" t="str">
        <f ca="1">IFERROR(__xludf.DUMMYFUNCTION("""COMPUTED_VALUE"""),"ea27bb38")</f>
        <v>ea27bb38</v>
      </c>
      <c r="M772" s="2" t="str">
        <f ca="1">IFERROR(__xludf.DUMMYFUNCTION("""COMPUTED_VALUE"""),"Cabernet Sauvignon")</f>
        <v>Cabernet Sauvignon</v>
      </c>
      <c r="N772" s="2"/>
      <c r="O772" s="2" t="str">
        <f ca="1">IFERROR(__xludf.DUMMYFUNCTION("""COMPUTED_VALUE"""),"Rectificado")</f>
        <v>Rectificado</v>
      </c>
      <c r="P772" s="2" t="str">
        <f ca="1">IFERROR(__xludf.DUMMYFUNCTION("""COMPUTED_VALUE"""),"2do Trasiego")</f>
        <v>2do Trasiego</v>
      </c>
      <c r="Q772" s="2" t="b">
        <f ca="1">IFERROR(__xludf.DUMMYFUNCTION("""COMPUTED_VALUE"""),TRUE)</f>
        <v>1</v>
      </c>
      <c r="R772" s="2" t="str">
        <f ca="1">IFERROR(__xludf.DUMMYFUNCTION("""COMPUTED_VALUE"""),"2do Trasiego")</f>
        <v>2do Trasiego</v>
      </c>
      <c r="S772" s="2"/>
      <c r="T772" s="2"/>
      <c r="U772" s="2"/>
    </row>
    <row r="773" spans="1:21" x14ac:dyDescent="0.25">
      <c r="A773" s="2" t="str">
        <f ca="1">IFERROR(__xludf.DUMMYFUNCTION("""COMPUTED_VALUE"""),"e268bf54")</f>
        <v>e268bf54</v>
      </c>
      <c r="B773" s="5">
        <f ca="1">IFERROR(__xludf.DUMMYFUNCTION("""COMPUTED_VALUE"""),45806.8206712962)</f>
        <v>45806.820671296198</v>
      </c>
      <c r="C773" s="2" t="str">
        <f ca="1">IFERROR(__xludf.DUMMYFUNCTION("""COMPUTED_VALUE"""),"c6964445")</f>
        <v>c6964445</v>
      </c>
      <c r="D773" s="2">
        <f ca="1">IFERROR(__xludf.DUMMYFUNCTION("""COMPUTED_VALUE"""),53)</f>
        <v>53</v>
      </c>
      <c r="E773" s="2" t="str">
        <f ca="1">IFERROR(__xludf.DUMMYFUNCTION("""COMPUTED_VALUE"""),"Syrah")</f>
        <v>Syrah</v>
      </c>
      <c r="F773" s="2">
        <f ca="1">IFERROR(__xludf.DUMMYFUNCTION("""COMPUTED_VALUE"""),22000)</f>
        <v>22000</v>
      </c>
      <c r="G773" s="2">
        <f ca="1">IFERROR(__xludf.DUMMYFUNCTION("""COMPUTED_VALUE"""),66)</f>
        <v>66</v>
      </c>
      <c r="H773" s="2"/>
      <c r="I773" s="2"/>
      <c r="J773" s="2">
        <f ca="1">IFERROR(__xludf.DUMMYFUNCTION("""COMPUTED_VALUE"""),0)</f>
        <v>0</v>
      </c>
      <c r="K773" s="2">
        <f ca="1">IFERROR(__xludf.DUMMYFUNCTION("""COMPUTED_VALUE"""),22000)</f>
        <v>22000</v>
      </c>
      <c r="L773" s="2" t="str">
        <f ca="1">IFERROR(__xludf.DUMMYFUNCTION("""COMPUTED_VALUE"""),"f323c032")</f>
        <v>f323c032</v>
      </c>
      <c r="M773" s="2" t="str">
        <f ca="1">IFERROR(__xludf.DUMMYFUNCTION("""COMPUTED_VALUE"""),"Syrah")</f>
        <v>Syrah</v>
      </c>
      <c r="N773" s="2"/>
      <c r="O773" s="2" t="str">
        <f ca="1">IFERROR(__xludf.DUMMYFUNCTION("""COMPUTED_VALUE"""),"1er Trasiego")</f>
        <v>1er Trasiego</v>
      </c>
      <c r="P773" s="2"/>
      <c r="Q773" s="2" t="b">
        <f ca="1">IFERROR(__xludf.DUMMYFUNCTION("""COMPUTED_VALUE"""),FALSE)</f>
        <v>0</v>
      </c>
      <c r="R773" s="2" t="str">
        <f ca="1">IFERROR(__xludf.DUMMYFUNCTION("""COMPUTED_VALUE"""),"2do Trasiego")</f>
        <v>2do Trasiego</v>
      </c>
      <c r="S773" s="2"/>
      <c r="T773" s="2"/>
      <c r="U773" s="2"/>
    </row>
    <row r="774" spans="1:21" x14ac:dyDescent="0.25">
      <c r="A774" s="2" t="str">
        <f ca="1">IFERROR(__xludf.DUMMYFUNCTION("""COMPUTED_VALUE"""),"3b07a8a4")</f>
        <v>3b07a8a4</v>
      </c>
      <c r="B774" s="5">
        <f ca="1">IFERROR(__xludf.DUMMYFUNCTION("""COMPUTED_VALUE"""),45806.824224537)</f>
        <v>45806.824224536998</v>
      </c>
      <c r="C774" s="2" t="str">
        <f ca="1">IFERROR(__xludf.DUMMYFUNCTION("""COMPUTED_VALUE"""),"b72016d2")</f>
        <v>b72016d2</v>
      </c>
      <c r="D774" s="2">
        <f ca="1">IFERROR(__xludf.DUMMYFUNCTION("""COMPUTED_VALUE"""),46)</f>
        <v>46</v>
      </c>
      <c r="E774" s="2" t="str">
        <f ca="1">IFERROR(__xludf.DUMMYFUNCTION("""COMPUTED_VALUE"""),"Tanat")</f>
        <v>Tanat</v>
      </c>
      <c r="F774" s="2">
        <f ca="1">IFERROR(__xludf.DUMMYFUNCTION("""COMPUTED_VALUE"""),22000)</f>
        <v>22000</v>
      </c>
      <c r="G774" s="2">
        <f ca="1">IFERROR(__xludf.DUMMYFUNCTION("""COMPUTED_VALUE"""),53)</f>
        <v>53</v>
      </c>
      <c r="H774" s="2"/>
      <c r="I774" s="2"/>
      <c r="J774" s="2">
        <f ca="1">IFERROR(__xludf.DUMMYFUNCTION("""COMPUTED_VALUE"""),0)</f>
        <v>0</v>
      </c>
      <c r="K774" s="2">
        <f ca="1">IFERROR(__xludf.DUMMYFUNCTION("""COMPUTED_VALUE"""),22000)</f>
        <v>22000</v>
      </c>
      <c r="L774" s="2" t="str">
        <f ca="1">IFERROR(__xludf.DUMMYFUNCTION("""COMPUTED_VALUE"""),"d3025708")</f>
        <v>d3025708</v>
      </c>
      <c r="M774" s="2" t="str">
        <f ca="1">IFERROR(__xludf.DUMMYFUNCTION("""COMPUTED_VALUE"""),"Tanat")</f>
        <v>Tanat</v>
      </c>
      <c r="N774" s="2"/>
      <c r="O774" s="2" t="str">
        <f ca="1">IFERROR(__xludf.DUMMYFUNCTION("""COMPUTED_VALUE"""),"1er Trasiego")</f>
        <v>1er Trasiego</v>
      </c>
      <c r="P774" s="2"/>
      <c r="Q774" s="2" t="b">
        <f ca="1">IFERROR(__xludf.DUMMYFUNCTION("""COMPUTED_VALUE"""),FALSE)</f>
        <v>0</v>
      </c>
      <c r="R774" s="2" t="str">
        <f ca="1">IFERROR(__xludf.DUMMYFUNCTION("""COMPUTED_VALUE"""),"2do Trasiego")</f>
        <v>2do Trasiego</v>
      </c>
      <c r="S774" s="2"/>
      <c r="T774" s="2"/>
      <c r="U774" s="2"/>
    </row>
    <row r="775" spans="1:21" x14ac:dyDescent="0.25">
      <c r="A775" s="2" t="str">
        <f ca="1">IFERROR(__xludf.DUMMYFUNCTION("""COMPUTED_VALUE"""),"e2f74719")</f>
        <v>e2f74719</v>
      </c>
      <c r="B775" s="5">
        <f ca="1">IFERROR(__xludf.DUMMYFUNCTION("""COMPUTED_VALUE"""),45806.9639467592)</f>
        <v>45806.963946759199</v>
      </c>
      <c r="C775" s="2" t="str">
        <f ca="1">IFERROR(__xludf.DUMMYFUNCTION("""COMPUTED_VALUE"""),"b72016d2")</f>
        <v>b72016d2</v>
      </c>
      <c r="D775" s="2">
        <f ca="1">IFERROR(__xludf.DUMMYFUNCTION("""COMPUTED_VALUE"""),46)</f>
        <v>46</v>
      </c>
      <c r="E775" s="2" t="str">
        <f ca="1">IFERROR(__xludf.DUMMYFUNCTION("""COMPUTED_VALUE"""),"Tanat")</f>
        <v>Tanat</v>
      </c>
      <c r="F775" s="2">
        <f ca="1">IFERROR(__xludf.DUMMYFUNCTION("""COMPUTED_VALUE"""),7000)</f>
        <v>7000</v>
      </c>
      <c r="G775" s="2">
        <f ca="1">IFERROR(__xludf.DUMMYFUNCTION("""COMPUTED_VALUE"""),75)</f>
        <v>75</v>
      </c>
      <c r="H775" s="2"/>
      <c r="I775" s="2"/>
      <c r="J775" s="2">
        <f ca="1">IFERROR(__xludf.DUMMYFUNCTION("""COMPUTED_VALUE"""),0)</f>
        <v>0</v>
      </c>
      <c r="K775" s="2">
        <f ca="1">IFERROR(__xludf.DUMMYFUNCTION("""COMPUTED_VALUE"""),7000)</f>
        <v>7000</v>
      </c>
      <c r="L775" s="2" t="str">
        <f ca="1">IFERROR(__xludf.DUMMYFUNCTION("""COMPUTED_VALUE"""),"c2c76c11")</f>
        <v>c2c76c11</v>
      </c>
      <c r="M775" s="2" t="str">
        <f ca="1">IFERROR(__xludf.DUMMYFUNCTION("""COMPUTED_VALUE"""),"Tanat")</f>
        <v>Tanat</v>
      </c>
      <c r="N775" s="2"/>
      <c r="O775" s="2" t="str">
        <f ca="1">IFERROR(__xludf.DUMMYFUNCTION("""COMPUTED_VALUE"""),"1er Trasiego")</f>
        <v>1er Trasiego</v>
      </c>
      <c r="P775" s="2"/>
      <c r="Q775" s="2" t="b">
        <f ca="1">IFERROR(__xludf.DUMMYFUNCTION("""COMPUTED_VALUE"""),FALSE)</f>
        <v>0</v>
      </c>
      <c r="R775" s="2" t="str">
        <f ca="1">IFERROR(__xludf.DUMMYFUNCTION("""COMPUTED_VALUE"""),"2do Trasiego")</f>
        <v>2do Trasiego</v>
      </c>
      <c r="S775" s="2"/>
      <c r="T775" s="2"/>
      <c r="U775" s="2"/>
    </row>
    <row r="776" spans="1:21" x14ac:dyDescent="0.25">
      <c r="A776" s="2" t="str">
        <f ca="1">IFERROR(__xludf.DUMMYFUNCTION("""COMPUTED_VALUE"""),"6e6e5f62")</f>
        <v>6e6e5f62</v>
      </c>
      <c r="B776" s="5">
        <f ca="1">IFERROR(__xludf.DUMMYFUNCTION("""COMPUTED_VALUE"""),45808.4798611111)</f>
        <v>45808.479861111096</v>
      </c>
      <c r="C776" s="2" t="str">
        <f ca="1">IFERROR(__xludf.DUMMYFUNCTION("""COMPUTED_VALUE"""),"30332ad5")</f>
        <v>30332ad5</v>
      </c>
      <c r="D776" s="2">
        <f ca="1">IFERROR(__xludf.DUMMYFUNCTION("""COMPUTED_VALUE"""),55)</f>
        <v>55</v>
      </c>
      <c r="E776" s="2" t="str">
        <f ca="1">IFERROR(__xludf.DUMMYFUNCTION("""COMPUTED_VALUE"""),"Torrontes")</f>
        <v>Torrontes</v>
      </c>
      <c r="F776" s="2">
        <f ca="1">IFERROR(__xludf.DUMMYFUNCTION("""COMPUTED_VALUE"""),2000)</f>
        <v>2000</v>
      </c>
      <c r="G776" s="2">
        <f ca="1">IFERROR(__xludf.DUMMYFUNCTION("""COMPUTED_VALUE"""),2)</f>
        <v>2</v>
      </c>
      <c r="H776" s="2"/>
      <c r="I776" s="2"/>
      <c r="J776" s="2">
        <f ca="1">IFERROR(__xludf.DUMMYFUNCTION("""COMPUTED_VALUE"""),0)</f>
        <v>0</v>
      </c>
      <c r="K776" s="2">
        <f ca="1">IFERROR(__xludf.DUMMYFUNCTION("""COMPUTED_VALUE"""),2000)</f>
        <v>2000</v>
      </c>
      <c r="L776" s="2" t="str">
        <f ca="1">IFERROR(__xludf.DUMMYFUNCTION("""COMPUTED_VALUE"""),"2fa9b98c")</f>
        <v>2fa9b98c</v>
      </c>
      <c r="M776" s="2" t="str">
        <f ca="1">IFERROR(__xludf.DUMMYFUNCTION("""COMPUTED_VALUE"""),"Tacho Pl Torrontes")</f>
        <v>Tacho Pl Torrontes</v>
      </c>
      <c r="N776" s="2"/>
      <c r="O776" s="2" t="str">
        <f ca="1">IFERROR(__xludf.DUMMYFUNCTION("""COMPUTED_VALUE"""),"1er Trasiego")</f>
        <v>1er Trasiego</v>
      </c>
      <c r="P776" s="2"/>
      <c r="Q776" s="2" t="b">
        <f ca="1">IFERROR(__xludf.DUMMYFUNCTION("""COMPUTED_VALUE"""),FALSE)</f>
        <v>0</v>
      </c>
      <c r="R776" s="2" t="str">
        <f ca="1">IFERROR(__xludf.DUMMYFUNCTION("""COMPUTED_VALUE"""),"Descubada")</f>
        <v>Descubada</v>
      </c>
      <c r="S776" s="2"/>
      <c r="T776" s="2"/>
      <c r="U776" s="2"/>
    </row>
    <row r="777" spans="1:21" x14ac:dyDescent="0.25">
      <c r="A777" s="2" t="str">
        <f ca="1">IFERROR(__xludf.DUMMYFUNCTION("""COMPUTED_VALUE"""),"b49828c0")</f>
        <v>b49828c0</v>
      </c>
      <c r="B777" s="5">
        <f ca="1">IFERROR(__xludf.DUMMYFUNCTION("""COMPUTED_VALUE"""),45808.4833217592)</f>
        <v>45808.483321759202</v>
      </c>
      <c r="C777" s="2" t="str">
        <f ca="1">IFERROR(__xludf.DUMMYFUNCTION("""COMPUTED_VALUE"""),"30332ad5")</f>
        <v>30332ad5</v>
      </c>
      <c r="D777" s="2">
        <f ca="1">IFERROR(__xludf.DUMMYFUNCTION("""COMPUTED_VALUE"""),55)</f>
        <v>55</v>
      </c>
      <c r="E777" s="2" t="str">
        <f ca="1">IFERROR(__xludf.DUMMYFUNCTION("""COMPUTED_VALUE"""),"Torrontes")</f>
        <v>Torrontes</v>
      </c>
      <c r="F777" s="2">
        <f ca="1">IFERROR(__xludf.DUMMYFUNCTION("""COMPUTED_VALUE"""),1000)</f>
        <v>1000</v>
      </c>
      <c r="G777" s="2">
        <f ca="1">IFERROR(__xludf.DUMMYFUNCTION("""COMPUTED_VALUE"""),500)</f>
        <v>500</v>
      </c>
      <c r="H777" s="2" t="str">
        <f ca="1">IFERROR(__xludf.DUMMYFUNCTION("""COMPUTED_VALUE"""),"443026c5")</f>
        <v>443026c5</v>
      </c>
      <c r="I777" s="2" t="str">
        <f ca="1">IFERROR(__xludf.DUMMYFUNCTION("""COMPUTED_VALUE"""),"Ajuste Volumen 31/05/25")</f>
        <v>Ajuste Volumen 31/05/25</v>
      </c>
      <c r="J777" s="2">
        <f ca="1">IFERROR(__xludf.DUMMYFUNCTION("""COMPUTED_VALUE"""),1)</f>
        <v>1</v>
      </c>
      <c r="K777" s="2">
        <f ca="1">IFERROR(__xludf.DUMMYFUNCTION("""COMPUTED_VALUE"""),1001)</f>
        <v>1001</v>
      </c>
      <c r="L777" s="2" t="str">
        <f ca="1">IFERROR(__xludf.DUMMYFUNCTION("""COMPUTED_VALUE"""),"b0fab2d5")</f>
        <v>b0fab2d5</v>
      </c>
      <c r="M777" s="2" t="str">
        <f ca="1">IFERROR(__xludf.DUMMYFUNCTION("""COMPUTED_VALUE"""),"Ajuste Volumen 31/05/25")</f>
        <v>Ajuste Volumen 31/05/25</v>
      </c>
      <c r="N777" s="2"/>
      <c r="O777" s="2" t="str">
        <f ca="1">IFERROR(__xludf.DUMMYFUNCTION("""COMPUTED_VALUE"""),"Descubada")</f>
        <v>Descubada</v>
      </c>
      <c r="P777" s="2"/>
      <c r="Q777" s="2" t="b">
        <f ca="1">IFERROR(__xludf.DUMMYFUNCTION("""COMPUTED_VALUE"""),TRUE)</f>
        <v>1</v>
      </c>
      <c r="R777" s="2"/>
      <c r="S777" s="2"/>
      <c r="T777" s="2"/>
      <c r="U777" s="2"/>
    </row>
    <row r="778" spans="1:21" x14ac:dyDescent="0.25">
      <c r="A778" s="2" t="str">
        <f ca="1">IFERROR(__xludf.DUMMYFUNCTION("""COMPUTED_VALUE"""),"70425ea7")</f>
        <v>70425ea7</v>
      </c>
      <c r="B778" s="5">
        <f ca="1">IFERROR(__xludf.DUMMYFUNCTION("""COMPUTED_VALUE"""),45808.4841666666)</f>
        <v>45808.484166666603</v>
      </c>
      <c r="C778" s="2" t="str">
        <f ca="1">IFERROR(__xludf.DUMMYFUNCTION("""COMPUTED_VALUE"""),"f323c032")</f>
        <v>f323c032</v>
      </c>
      <c r="D778" s="2">
        <f ca="1">IFERROR(__xludf.DUMMYFUNCTION("""COMPUTED_VALUE"""),66)</f>
        <v>66</v>
      </c>
      <c r="E778" s="2" t="str">
        <f ca="1">IFERROR(__xludf.DUMMYFUNCTION("""COMPUTED_VALUE"""),"Syrah")</f>
        <v>Syrah</v>
      </c>
      <c r="F778" s="2">
        <f ca="1">IFERROR(__xludf.DUMMYFUNCTION("""COMPUTED_VALUE"""),1000)</f>
        <v>1000</v>
      </c>
      <c r="G778" s="2">
        <f ca="1">IFERROR(__xludf.DUMMYFUNCTION("""COMPUTED_VALUE"""),500)</f>
        <v>500</v>
      </c>
      <c r="H778" s="2" t="str">
        <f ca="1">IFERROR(__xludf.DUMMYFUNCTION("""COMPUTED_VALUE"""),"b0fab2d5")</f>
        <v>b0fab2d5</v>
      </c>
      <c r="I778" s="2" t="str">
        <f ca="1">IFERROR(__xludf.DUMMYFUNCTION("""COMPUTED_VALUE"""),"Ajuste Volumen 31/05/25")</f>
        <v>Ajuste Volumen 31/05/25</v>
      </c>
      <c r="J778" s="2">
        <f ca="1">IFERROR(__xludf.DUMMYFUNCTION("""COMPUTED_VALUE"""),1001)</f>
        <v>1001</v>
      </c>
      <c r="K778" s="2">
        <f ca="1">IFERROR(__xludf.DUMMYFUNCTION("""COMPUTED_VALUE"""),2001)</f>
        <v>2001</v>
      </c>
      <c r="L778" s="2" t="str">
        <f ca="1">IFERROR(__xludf.DUMMYFUNCTION("""COMPUTED_VALUE"""),"0b40d5e5")</f>
        <v>0b40d5e5</v>
      </c>
      <c r="M778" s="2" t="str">
        <f ca="1">IFERROR(__xludf.DUMMYFUNCTION("""COMPUTED_VALUE"""),"Ajuste Volumen 31/05/25")</f>
        <v>Ajuste Volumen 31/05/25</v>
      </c>
      <c r="N778" s="2" t="str">
        <f ca="1">IFERROR(__xludf.DUMMYFUNCTION("""COMPUTED_VALUE"""),"Volumen despacho")</f>
        <v>Volumen despacho</v>
      </c>
      <c r="O778" s="2" t="str">
        <f ca="1">IFERROR(__xludf.DUMMYFUNCTION("""COMPUTED_VALUE"""),"2do Trasiego")</f>
        <v>2do Trasiego</v>
      </c>
      <c r="P778" s="2"/>
      <c r="Q778" s="2" t="b">
        <f ca="1">IFERROR(__xludf.DUMMYFUNCTION("""COMPUTED_VALUE"""),TRUE)</f>
        <v>1</v>
      </c>
      <c r="R778" s="2"/>
      <c r="S778" s="2"/>
      <c r="T778" s="2"/>
      <c r="U778" s="2"/>
    </row>
    <row r="779" spans="1:21" x14ac:dyDescent="0.25">
      <c r="A779" s="2" t="str">
        <f ca="1">IFERROR(__xludf.DUMMYFUNCTION("""COMPUTED_VALUE"""),"2cc24a50")</f>
        <v>2cc24a50</v>
      </c>
      <c r="B779" s="5">
        <f ca="1">IFERROR(__xludf.DUMMYFUNCTION("""COMPUTED_VALUE"""),45808.4848148148)</f>
        <v>45808.484814814801</v>
      </c>
      <c r="C779" s="2" t="str">
        <f ca="1">IFERROR(__xludf.DUMMYFUNCTION("""COMPUTED_VALUE"""),"d3025708")</f>
        <v>d3025708</v>
      </c>
      <c r="D779" s="2">
        <f ca="1">IFERROR(__xludf.DUMMYFUNCTION("""COMPUTED_VALUE"""),53)</f>
        <v>53</v>
      </c>
      <c r="E779" s="2" t="str">
        <f ca="1">IFERROR(__xludf.DUMMYFUNCTION("""COMPUTED_VALUE"""),"Tanat")</f>
        <v>Tanat</v>
      </c>
      <c r="F779" s="2">
        <f ca="1">IFERROR(__xludf.DUMMYFUNCTION("""COMPUTED_VALUE"""),2000)</f>
        <v>2000</v>
      </c>
      <c r="G779" s="2">
        <f ca="1">IFERROR(__xludf.DUMMYFUNCTION("""COMPUTED_VALUE"""),66)</f>
        <v>66</v>
      </c>
      <c r="H779" s="2" t="str">
        <f ca="1">IFERROR(__xludf.DUMMYFUNCTION("""COMPUTED_VALUE"""),"f323c032")</f>
        <v>f323c032</v>
      </c>
      <c r="I779" s="2" t="str">
        <f ca="1">IFERROR(__xludf.DUMMYFUNCTION("""COMPUTED_VALUE"""),"Syrah")</f>
        <v>Syrah</v>
      </c>
      <c r="J779" s="2">
        <f ca="1">IFERROR(__xludf.DUMMYFUNCTION("""COMPUTED_VALUE"""),21000)</f>
        <v>21000</v>
      </c>
      <c r="K779" s="2">
        <f ca="1">IFERROR(__xludf.DUMMYFUNCTION("""COMPUTED_VALUE"""),23000)</f>
        <v>23000</v>
      </c>
      <c r="L779" s="2" t="str">
        <f ca="1">IFERROR(__xludf.DUMMYFUNCTION("""COMPUTED_VALUE"""),"c67f70aa")</f>
        <v>c67f70aa</v>
      </c>
      <c r="M779" s="2" t="str">
        <f ca="1">IFERROR(__xludf.DUMMYFUNCTION("""COMPUTED_VALUE"""),"Syrah")</f>
        <v>Syrah</v>
      </c>
      <c r="N779" s="2"/>
      <c r="O779" s="2" t="str">
        <f ca="1">IFERROR(__xludf.DUMMYFUNCTION("""COMPUTED_VALUE"""),"2do Trasiego")</f>
        <v>2do Trasiego</v>
      </c>
      <c r="P779" s="2" t="str">
        <f ca="1">IFERROR(__xludf.DUMMYFUNCTION("""COMPUTED_VALUE"""),"2do Trasiego")</f>
        <v>2do Trasiego</v>
      </c>
      <c r="Q779" s="2" t="b">
        <f ca="1">IFERROR(__xludf.DUMMYFUNCTION("""COMPUTED_VALUE"""),TRUE)</f>
        <v>1</v>
      </c>
      <c r="R779" s="2" t="str">
        <f ca="1">IFERROR(__xludf.DUMMYFUNCTION("""COMPUTED_VALUE"""),"2do Trasiego")</f>
        <v>2do Trasiego</v>
      </c>
      <c r="S779" s="2"/>
      <c r="T779" s="2"/>
      <c r="U779" s="2"/>
    </row>
    <row r="780" spans="1:21" x14ac:dyDescent="0.25">
      <c r="A780" s="2" t="str">
        <f ca="1">IFERROR(__xludf.DUMMYFUNCTION("""COMPUTED_VALUE"""),"7130c806")</f>
        <v>7130c806</v>
      </c>
      <c r="B780" s="5">
        <f ca="1">IFERROR(__xludf.DUMMYFUNCTION("""COMPUTED_VALUE"""),45808.4856828703)</f>
        <v>45808.485682870298</v>
      </c>
      <c r="C780" s="2" t="str">
        <f ca="1">IFERROR(__xludf.DUMMYFUNCTION("""COMPUTED_VALUE"""),"9ad9bdea")</f>
        <v>9ad9bdea</v>
      </c>
      <c r="D780" s="2">
        <f ca="1">IFERROR(__xludf.DUMMYFUNCTION("""COMPUTED_VALUE"""),49)</f>
        <v>49</v>
      </c>
      <c r="E780" s="2" t="str">
        <f ca="1">IFERROR(__xludf.DUMMYFUNCTION("""COMPUTED_VALUE"""),"Malbec")</f>
        <v>Malbec</v>
      </c>
      <c r="F780" s="2">
        <f ca="1">IFERROR(__xludf.DUMMYFUNCTION("""COMPUTED_VALUE"""),2000)</f>
        <v>2000</v>
      </c>
      <c r="G780" s="2">
        <f ca="1">IFERROR(__xludf.DUMMYFUNCTION("""COMPUTED_VALUE"""),53)</f>
        <v>53</v>
      </c>
      <c r="H780" s="2" t="str">
        <f ca="1">IFERROR(__xludf.DUMMYFUNCTION("""COMPUTED_VALUE"""),"d3025708")</f>
        <v>d3025708</v>
      </c>
      <c r="I780" s="2" t="str">
        <f ca="1">IFERROR(__xludf.DUMMYFUNCTION("""COMPUTED_VALUE"""),"Tanat")</f>
        <v>Tanat</v>
      </c>
      <c r="J780" s="2">
        <f ca="1">IFERROR(__xludf.DUMMYFUNCTION("""COMPUTED_VALUE"""),20000)</f>
        <v>20000</v>
      </c>
      <c r="K780" s="2">
        <f ca="1">IFERROR(__xludf.DUMMYFUNCTION("""COMPUTED_VALUE"""),22000)</f>
        <v>22000</v>
      </c>
      <c r="L780" s="2" t="str">
        <f ca="1">IFERROR(__xludf.DUMMYFUNCTION("""COMPUTED_VALUE"""),"a5c09bfd")</f>
        <v>a5c09bfd</v>
      </c>
      <c r="M780" s="2" t="str">
        <f ca="1">IFERROR(__xludf.DUMMYFUNCTION("""COMPUTED_VALUE"""),"Tanat")</f>
        <v>Tanat</v>
      </c>
      <c r="N780" s="2" t="str">
        <f ca="1">IFERROR(__xludf.DUMMYFUNCTION("""COMPUTED_VALUE"""),"Corrección Ph")</f>
        <v>Corrección Ph</v>
      </c>
      <c r="O780" s="2" t="str">
        <f ca="1">IFERROR(__xludf.DUMMYFUNCTION("""COMPUTED_VALUE"""),"Rectificado")</f>
        <v>Rectificado</v>
      </c>
      <c r="P780" s="2" t="str">
        <f ca="1">IFERROR(__xludf.DUMMYFUNCTION("""COMPUTED_VALUE"""),"2do Trasiego")</f>
        <v>2do Trasiego</v>
      </c>
      <c r="Q780" s="2" t="b">
        <f ca="1">IFERROR(__xludf.DUMMYFUNCTION("""COMPUTED_VALUE"""),TRUE)</f>
        <v>1</v>
      </c>
      <c r="R780" s="2" t="str">
        <f ca="1">IFERROR(__xludf.DUMMYFUNCTION("""COMPUTED_VALUE"""),"2do Trasiego")</f>
        <v>2do Trasiego</v>
      </c>
      <c r="S780" s="2"/>
      <c r="T780" s="2"/>
      <c r="U780" s="2"/>
    </row>
    <row r="781" spans="1:21" x14ac:dyDescent="0.25">
      <c r="A781" s="2" t="str">
        <f ca="1">IFERROR(__xludf.DUMMYFUNCTION("""COMPUTED_VALUE"""),"f122219f")</f>
        <v>f122219f</v>
      </c>
      <c r="B781" s="5">
        <f ca="1">IFERROR(__xludf.DUMMYFUNCTION("""COMPUTED_VALUE"""),45808.4868981481)</f>
        <v>45808.486898148098</v>
      </c>
      <c r="C781" s="2" t="str">
        <f ca="1">IFERROR(__xludf.DUMMYFUNCTION("""COMPUTED_VALUE"""),"bb3607ba")</f>
        <v>bb3607ba</v>
      </c>
      <c r="D781" s="2">
        <f ca="1">IFERROR(__xludf.DUMMYFUNCTION("""COMPUTED_VALUE"""),73)</f>
        <v>73</v>
      </c>
      <c r="E781" s="2" t="str">
        <f ca="1">IFERROR(__xludf.DUMMYFUNCTION("""COMPUTED_VALUE"""),"Bonarda")</f>
        <v>Bonarda</v>
      </c>
      <c r="F781" s="2">
        <f ca="1">IFERROR(__xludf.DUMMYFUNCTION("""COMPUTED_VALUE"""),2400)</f>
        <v>2400</v>
      </c>
      <c r="G781" s="2">
        <f ca="1">IFERROR(__xludf.DUMMYFUNCTION("""COMPUTED_VALUE"""),6)</f>
        <v>6</v>
      </c>
      <c r="H781" s="2"/>
      <c r="I781" s="2"/>
      <c r="J781" s="2">
        <f ca="1">IFERROR(__xludf.DUMMYFUNCTION("""COMPUTED_VALUE"""),0)</f>
        <v>0</v>
      </c>
      <c r="K781" s="2">
        <f ca="1">IFERROR(__xludf.DUMMYFUNCTION("""COMPUTED_VALUE"""),2400)</f>
        <v>2400</v>
      </c>
      <c r="L781" s="2" t="str">
        <f ca="1">IFERROR(__xludf.DUMMYFUNCTION("""COMPUTED_VALUE"""),"309f9738")</f>
        <v>309f9738</v>
      </c>
      <c r="M781" s="2" t="str">
        <f ca="1">IFERROR(__xludf.DUMMYFUNCTION("""COMPUTED_VALUE"""),"Bonarda")</f>
        <v>Bonarda</v>
      </c>
      <c r="N781" s="2"/>
      <c r="O781" s="2" t="str">
        <f ca="1">IFERROR(__xludf.DUMMYFUNCTION("""COMPUTED_VALUE"""),"2do Trasiego")</f>
        <v>2do Trasiego</v>
      </c>
      <c r="P781" s="2"/>
      <c r="Q781" s="2" t="b">
        <f ca="1">IFERROR(__xludf.DUMMYFUNCTION("""COMPUTED_VALUE"""),FALSE)</f>
        <v>0</v>
      </c>
      <c r="R781" s="2" t="str">
        <f ca="1">IFERROR(__xludf.DUMMYFUNCTION("""COMPUTED_VALUE"""),"Rectificado")</f>
        <v>Rectificado</v>
      </c>
      <c r="S781" s="2"/>
      <c r="T781" s="2"/>
      <c r="U781" s="2"/>
    </row>
    <row r="782" spans="1:21" x14ac:dyDescent="0.25">
      <c r="A782" s="2" t="str">
        <f ca="1">IFERROR(__xludf.DUMMYFUNCTION("""COMPUTED_VALUE"""),"4684d680")</f>
        <v>4684d680</v>
      </c>
      <c r="B782" s="5">
        <f ca="1">IFERROR(__xludf.DUMMYFUNCTION("""COMPUTED_VALUE"""),45811.3904629629)</f>
        <v>45811.390462962903</v>
      </c>
      <c r="C782" s="2" t="str">
        <f ca="1">IFERROR(__xludf.DUMMYFUNCTION("""COMPUTED_VALUE"""),"fbfff24a")</f>
        <v>fbfff24a</v>
      </c>
      <c r="D782" s="2">
        <f ca="1">IFERROR(__xludf.DUMMYFUNCTION("""COMPUTED_VALUE"""),92)</f>
        <v>92</v>
      </c>
      <c r="E782" s="2" t="str">
        <f ca="1">IFERROR(__xludf.DUMMYFUNCTION("""COMPUTED_VALUE"""),"Tinto")</f>
        <v>Tinto</v>
      </c>
      <c r="F782" s="2">
        <f ca="1">IFERROR(__xludf.DUMMYFUNCTION("""COMPUTED_VALUE"""),-1400)</f>
        <v>-1400</v>
      </c>
      <c r="G782" s="2">
        <f ca="1">IFERROR(__xludf.DUMMYFUNCTION("""COMPUTED_VALUE"""),500)</f>
        <v>500</v>
      </c>
      <c r="H782" s="2" t="str">
        <f ca="1">IFERROR(__xludf.DUMMYFUNCTION("""COMPUTED_VALUE"""),"0b40d5e5")</f>
        <v>0b40d5e5</v>
      </c>
      <c r="I782" s="2" t="str">
        <f ca="1">IFERROR(__xludf.DUMMYFUNCTION("""COMPUTED_VALUE"""),"Ajuste Volumen 31/05/25")</f>
        <v>Ajuste Volumen 31/05/25</v>
      </c>
      <c r="J782" s="2">
        <f ca="1">IFERROR(__xludf.DUMMYFUNCTION("""COMPUTED_VALUE"""),2001)</f>
        <v>2001</v>
      </c>
      <c r="K782" s="2">
        <f ca="1">IFERROR(__xludf.DUMMYFUNCTION("""COMPUTED_VALUE"""),601)</f>
        <v>601</v>
      </c>
      <c r="L782" s="2" t="str">
        <f ca="1">IFERROR(__xludf.DUMMYFUNCTION("""COMPUTED_VALUE"""),"5bcfde25")</f>
        <v>5bcfde25</v>
      </c>
      <c r="M782" s="2" t="str">
        <f ca="1">IFERROR(__xludf.DUMMYFUNCTION("""COMPUTED_VALUE"""),"Ajuste Volumen 31/05/25")</f>
        <v>Ajuste Volumen 31/05/25</v>
      </c>
      <c r="N782" s="2"/>
      <c r="O782" s="2" t="str">
        <f ca="1">IFERROR(__xludf.DUMMYFUNCTION("""COMPUTED_VALUE"""),"2do Trasiego")</f>
        <v>2do Trasiego</v>
      </c>
      <c r="P782" s="2" t="str">
        <f ca="1">IFERROR(__xludf.DUMMYFUNCTION("""COMPUTED_VALUE"""),"Terminado")</f>
        <v>Terminado</v>
      </c>
      <c r="Q782" s="2" t="b">
        <f ca="1">IFERROR(__xludf.DUMMYFUNCTION("""COMPUTED_VALUE"""),TRUE)</f>
        <v>1</v>
      </c>
      <c r="R782" s="2" t="str">
        <f ca="1">IFERROR(__xludf.DUMMYFUNCTION("""COMPUTED_VALUE"""),"Terminado")</f>
        <v>Terminado</v>
      </c>
      <c r="S782" s="2"/>
      <c r="T782" s="2"/>
      <c r="U782" s="2"/>
    </row>
    <row r="783" spans="1:21" x14ac:dyDescent="0.25">
      <c r="A783" s="2" t="str">
        <f ca="1">IFERROR(__xludf.DUMMYFUNCTION("""COMPUTED_VALUE"""),"84a50655")</f>
        <v>84a50655</v>
      </c>
      <c r="B783" s="5">
        <f ca="1">IFERROR(__xludf.DUMMYFUNCTION("""COMPUTED_VALUE"""),45811.3908680555)</f>
        <v>45811.390868055503</v>
      </c>
      <c r="C783" s="2" t="str">
        <f ca="1">IFERROR(__xludf.DUMMYFUNCTION("""COMPUTED_VALUE"""),"ea27bb38")</f>
        <v>ea27bb38</v>
      </c>
      <c r="D783" s="2">
        <f ca="1">IFERROR(__xludf.DUMMYFUNCTION("""COMPUTED_VALUE"""),118)</f>
        <v>118</v>
      </c>
      <c r="E783" s="2" t="str">
        <f ca="1">IFERROR(__xludf.DUMMYFUNCTION("""COMPUTED_VALUE"""),"Cabernet Sauvignon")</f>
        <v>Cabernet Sauvignon</v>
      </c>
      <c r="F783" s="2">
        <f ca="1">IFERROR(__xludf.DUMMYFUNCTION("""COMPUTED_VALUE"""),-880)</f>
        <v>-880</v>
      </c>
      <c r="G783" s="2">
        <f ca="1">IFERROR(__xludf.DUMMYFUNCTION("""COMPUTED_VALUE"""),500)</f>
        <v>500</v>
      </c>
      <c r="H783" s="2" t="str">
        <f ca="1">IFERROR(__xludf.DUMMYFUNCTION("""COMPUTED_VALUE"""),"5bcfde25")</f>
        <v>5bcfde25</v>
      </c>
      <c r="I783" s="2" t="str">
        <f ca="1">IFERROR(__xludf.DUMMYFUNCTION("""COMPUTED_VALUE"""),"Ajuste Volumen 31/05/25")</f>
        <v>Ajuste Volumen 31/05/25</v>
      </c>
      <c r="J783" s="2">
        <f ca="1">IFERROR(__xludf.DUMMYFUNCTION("""COMPUTED_VALUE"""),601)</f>
        <v>601</v>
      </c>
      <c r="K783" s="2">
        <f ca="1">IFERROR(__xludf.DUMMYFUNCTION("""COMPUTED_VALUE"""),-279)</f>
        <v>-279</v>
      </c>
      <c r="L783" s="2" t="str">
        <f ca="1">IFERROR(__xludf.DUMMYFUNCTION("""COMPUTED_VALUE"""),"282f2489")</f>
        <v>282f2489</v>
      </c>
      <c r="M783" s="2" t="str">
        <f ca="1">IFERROR(__xludf.DUMMYFUNCTION("""COMPUTED_VALUE"""),"Ajuste Volumen 31/05/25")</f>
        <v>Ajuste Volumen 31/05/25</v>
      </c>
      <c r="N783" s="2"/>
      <c r="O783" s="2" t="str">
        <f ca="1">IFERROR(__xludf.DUMMYFUNCTION("""COMPUTED_VALUE"""),"2do Trasiego")</f>
        <v>2do Trasiego</v>
      </c>
      <c r="P783" s="2" t="str">
        <f ca="1">IFERROR(__xludf.DUMMYFUNCTION("""COMPUTED_VALUE"""),"Terminado")</f>
        <v>Terminado</v>
      </c>
      <c r="Q783" s="2" t="b">
        <f ca="1">IFERROR(__xludf.DUMMYFUNCTION("""COMPUTED_VALUE"""),TRUE)</f>
        <v>1</v>
      </c>
      <c r="R783" s="2" t="str">
        <f ca="1">IFERROR(__xludf.DUMMYFUNCTION("""COMPUTED_VALUE"""),"Terminado")</f>
        <v>Terminado</v>
      </c>
      <c r="S783" s="2"/>
      <c r="T783" s="2"/>
      <c r="U783" s="2"/>
    </row>
    <row r="784" spans="1:21" x14ac:dyDescent="0.25">
      <c r="A784" s="2" t="str">
        <f ca="1">IFERROR(__xludf.DUMMYFUNCTION("""COMPUTED_VALUE"""),"83db9e82")</f>
        <v>83db9e82</v>
      </c>
      <c r="B784" s="5">
        <f ca="1">IFERROR(__xludf.DUMMYFUNCTION("""COMPUTED_VALUE"""),45818.3507638887)</f>
        <v>45818.350763888797</v>
      </c>
      <c r="C784" s="2" t="str">
        <f ca="1">IFERROR(__xludf.DUMMYFUNCTION("""COMPUTED_VALUE"""),"8a5cc2ae")</f>
        <v>8a5cc2ae</v>
      </c>
      <c r="D784" s="2">
        <f ca="1">IFERROR(__xludf.DUMMYFUNCTION("""COMPUTED_VALUE"""),15)</f>
        <v>15</v>
      </c>
      <c r="E784" s="2" t="str">
        <f ca="1">IFERROR(__xludf.DUMMYFUNCTION("""COMPUTED_VALUE"""),"Bonarda")</f>
        <v>Bonarda</v>
      </c>
      <c r="F784" s="2">
        <f ca="1">IFERROR(__xludf.DUMMYFUNCTION("""COMPUTED_VALUE"""),35900)</f>
        <v>35900</v>
      </c>
      <c r="G784" s="2">
        <f ca="1">IFERROR(__xludf.DUMMYFUNCTION("""COMPUTED_VALUE"""),42)</f>
        <v>42</v>
      </c>
      <c r="H784" s="2"/>
      <c r="I784" s="2"/>
      <c r="J784" s="2">
        <f ca="1">IFERROR(__xludf.DUMMYFUNCTION("""COMPUTED_VALUE"""),0)</f>
        <v>0</v>
      </c>
      <c r="K784" s="2">
        <f ca="1">IFERROR(__xludf.DUMMYFUNCTION("""COMPUTED_VALUE"""),35900)</f>
        <v>35900</v>
      </c>
      <c r="L784" s="2" t="str">
        <f ca="1">IFERROR(__xludf.DUMMYFUNCTION("""COMPUTED_VALUE"""),"dccd4f5e")</f>
        <v>dccd4f5e</v>
      </c>
      <c r="M784" s="2" t="str">
        <f ca="1">IFERROR(__xludf.DUMMYFUNCTION("""COMPUTED_VALUE"""),"Bonarda")</f>
        <v>Bonarda</v>
      </c>
      <c r="N784" s="2"/>
      <c r="O784" s="2" t="str">
        <f ca="1">IFERROR(__xludf.DUMMYFUNCTION("""COMPUTED_VALUE"""),"1er Trasiego")</f>
        <v>1er Trasiego</v>
      </c>
      <c r="P784" s="2"/>
      <c r="Q784" s="2" t="b">
        <f ca="1">IFERROR(__xludf.DUMMYFUNCTION("""COMPUTED_VALUE"""),FALSE)</f>
        <v>0</v>
      </c>
      <c r="R784" s="2" t="str">
        <f ca="1">IFERROR(__xludf.DUMMYFUNCTION("""COMPUTED_VALUE"""),"1er Trasiego")</f>
        <v>1er Trasiego</v>
      </c>
      <c r="S784" s="2"/>
      <c r="T784" s="2"/>
      <c r="U784" s="2" t="str">
        <f ca="1">IFERROR(__xludf.DUMMYFUNCTION("""COMPUTED_VALUE"""),"1")</f>
        <v>1</v>
      </c>
    </row>
    <row r="785" spans="1:21" x14ac:dyDescent="0.25">
      <c r="A785" s="2" t="str">
        <f ca="1">IFERROR(__xludf.DUMMYFUNCTION("""COMPUTED_VALUE"""),"b47dc80f")</f>
        <v>b47dc80f</v>
      </c>
      <c r="B785" s="5">
        <f ca="1">IFERROR(__xludf.DUMMYFUNCTION("""COMPUTED_VALUE"""),45818.3523726851)</f>
        <v>45818.352372685098</v>
      </c>
      <c r="C785" s="2" t="str">
        <f ca="1">IFERROR(__xludf.DUMMYFUNCTION("""COMPUTED_VALUE"""),"cddb06a5")</f>
        <v>cddb06a5</v>
      </c>
      <c r="D785" s="2">
        <f ca="1">IFERROR(__xludf.DUMMYFUNCTION("""COMPUTED_VALUE"""),90)</f>
        <v>90</v>
      </c>
      <c r="E785" s="2" t="str">
        <f ca="1">IFERROR(__xludf.DUMMYFUNCTION("""COMPUTED_VALUE"""),"Bonarda")</f>
        <v>Bonarda</v>
      </c>
      <c r="F785" s="2">
        <f ca="1">IFERROR(__xludf.DUMMYFUNCTION("""COMPUTED_VALUE"""),15000)</f>
        <v>15000</v>
      </c>
      <c r="G785" s="2">
        <f ca="1">IFERROR(__xludf.DUMMYFUNCTION("""COMPUTED_VALUE"""),46)</f>
        <v>46</v>
      </c>
      <c r="H785" s="2"/>
      <c r="I785" s="2"/>
      <c r="J785" s="2">
        <f ca="1">IFERROR(__xludf.DUMMYFUNCTION("""COMPUTED_VALUE"""),0)</f>
        <v>0</v>
      </c>
      <c r="K785" s="2">
        <f ca="1">IFERROR(__xludf.DUMMYFUNCTION("""COMPUTED_VALUE"""),15000)</f>
        <v>15000</v>
      </c>
      <c r="L785" s="2" t="str">
        <f ca="1">IFERROR(__xludf.DUMMYFUNCTION("""COMPUTED_VALUE"""),"ebd6326f")</f>
        <v>ebd6326f</v>
      </c>
      <c r="M785" s="2" t="str">
        <f ca="1">IFERROR(__xludf.DUMMYFUNCTION("""COMPUTED_VALUE"""),"Bonarda")</f>
        <v>Bonarda</v>
      </c>
      <c r="N785" s="2"/>
      <c r="O785" s="2" t="str">
        <f ca="1">IFERROR(__xludf.DUMMYFUNCTION("""COMPUTED_VALUE"""),"2do Trasiego")</f>
        <v>2do Trasiego</v>
      </c>
      <c r="P785" s="2"/>
      <c r="Q785" s="2" t="b">
        <f ca="1">IFERROR(__xludf.DUMMYFUNCTION("""COMPUTED_VALUE"""),FALSE)</f>
        <v>0</v>
      </c>
      <c r="R785" s="2" t="str">
        <f ca="1">IFERROR(__xludf.DUMMYFUNCTION("""COMPUTED_VALUE"""),"2do Trasiego")</f>
        <v>2do Trasiego</v>
      </c>
      <c r="S785" s="2"/>
      <c r="T785" s="2"/>
      <c r="U785" s="2" t="str">
        <f ca="1">IFERROR(__xludf.DUMMYFUNCTION("""COMPUTED_VALUE"""),"1")</f>
        <v>1</v>
      </c>
    </row>
    <row r="786" spans="1:21" x14ac:dyDescent="0.25">
      <c r="A786" s="2" t="str">
        <f ca="1">IFERROR(__xludf.DUMMYFUNCTION("""COMPUTED_VALUE"""),"9b66cfc5")</f>
        <v>9b66cfc5</v>
      </c>
      <c r="B786" s="5">
        <f ca="1">IFERROR(__xludf.DUMMYFUNCTION("""COMPUTED_VALUE"""),45818.3551736111)</f>
        <v>45818.355173611097</v>
      </c>
      <c r="C786" s="2" t="str">
        <f ca="1">IFERROR(__xludf.DUMMYFUNCTION("""COMPUTED_VALUE"""),"a5c09bfd")</f>
        <v>a5c09bfd</v>
      </c>
      <c r="D786" s="2">
        <f ca="1">IFERROR(__xludf.DUMMYFUNCTION("""COMPUTED_VALUE"""),53)</f>
        <v>53</v>
      </c>
      <c r="E786" s="2" t="str">
        <f ca="1">IFERROR(__xludf.DUMMYFUNCTION("""COMPUTED_VALUE"""),"Tanat")</f>
        <v>Tanat</v>
      </c>
      <c r="F786" s="2">
        <f ca="1">IFERROR(__xludf.DUMMYFUNCTION("""COMPUTED_VALUE"""),2200)</f>
        <v>2200</v>
      </c>
      <c r="G786" s="2">
        <f ca="1">IFERROR(__xludf.DUMMYFUNCTION("""COMPUTED_VALUE"""),46)</f>
        <v>46</v>
      </c>
      <c r="H786" s="2" t="str">
        <f ca="1">IFERROR(__xludf.DUMMYFUNCTION("""COMPUTED_VALUE"""),"ebd6326f")</f>
        <v>ebd6326f</v>
      </c>
      <c r="I786" s="2" t="str">
        <f ca="1">IFERROR(__xludf.DUMMYFUNCTION("""COMPUTED_VALUE"""),"Bonarda")</f>
        <v>Bonarda</v>
      </c>
      <c r="J786" s="2">
        <f ca="1">IFERROR(__xludf.DUMMYFUNCTION("""COMPUTED_VALUE"""),15000)</f>
        <v>15000</v>
      </c>
      <c r="K786" s="2">
        <f ca="1">IFERROR(__xludf.DUMMYFUNCTION("""COMPUTED_VALUE"""),17200)</f>
        <v>17200</v>
      </c>
      <c r="L786" s="2" t="str">
        <f ca="1">IFERROR(__xludf.DUMMYFUNCTION("""COMPUTED_VALUE"""),"bcb7028c")</f>
        <v>bcb7028c</v>
      </c>
      <c r="M786" s="2" t="str">
        <f ca="1">IFERROR(__xludf.DUMMYFUNCTION("""COMPUTED_VALUE"""),"Bonarda")</f>
        <v>Bonarda</v>
      </c>
      <c r="N786" s="2"/>
      <c r="O786" s="2" t="str">
        <f ca="1">IFERROR(__xludf.DUMMYFUNCTION("""COMPUTED_VALUE"""),"2do Trasiego")</f>
        <v>2do Trasiego</v>
      </c>
      <c r="P786" s="2" t="str">
        <f ca="1">IFERROR(__xludf.DUMMYFUNCTION("""COMPUTED_VALUE"""),"2do Trasiego")</f>
        <v>2do Trasiego</v>
      </c>
      <c r="Q786" s="2" t="b">
        <f ca="1">IFERROR(__xludf.DUMMYFUNCTION("""COMPUTED_VALUE"""),TRUE)</f>
        <v>1</v>
      </c>
      <c r="R786" s="2" t="str">
        <f ca="1">IFERROR(__xludf.DUMMYFUNCTION("""COMPUTED_VALUE"""),"2do Trasiego")</f>
        <v>2do Trasiego</v>
      </c>
      <c r="S786" s="2"/>
      <c r="T786" s="2"/>
      <c r="U786" s="2" t="str">
        <f ca="1">IFERROR(__xludf.DUMMYFUNCTION("""COMPUTED_VALUE"""),"1")</f>
        <v>1</v>
      </c>
    </row>
    <row r="787" spans="1:21" x14ac:dyDescent="0.25">
      <c r="A787" s="2" t="str">
        <f ca="1">IFERROR(__xludf.DUMMYFUNCTION("""COMPUTED_VALUE"""),"e489c9ac")</f>
        <v>e489c9ac</v>
      </c>
      <c r="B787" s="5">
        <f ca="1">IFERROR(__xludf.DUMMYFUNCTION("""COMPUTED_VALUE"""),45818.3555324074)</f>
        <v>45818.355532407397</v>
      </c>
      <c r="C787" s="2" t="str">
        <f ca="1">IFERROR(__xludf.DUMMYFUNCTION("""COMPUTED_VALUE"""),"654f35d0")</f>
        <v>654f35d0</v>
      </c>
      <c r="D787" s="2">
        <f ca="1">IFERROR(__xludf.DUMMYFUNCTION("""COMPUTED_VALUE"""),67)</f>
        <v>67</v>
      </c>
      <c r="E787" s="2" t="str">
        <f ca="1">IFERROR(__xludf.DUMMYFUNCTION("""COMPUTED_VALUE"""),"Anccelotta")</f>
        <v>Anccelotta</v>
      </c>
      <c r="F787" s="2">
        <f ca="1">IFERROR(__xludf.DUMMYFUNCTION("""COMPUTED_VALUE"""),2200)</f>
        <v>2200</v>
      </c>
      <c r="G787" s="2">
        <f ca="1">IFERROR(__xludf.DUMMYFUNCTION("""COMPUTED_VALUE"""),46)</f>
        <v>46</v>
      </c>
      <c r="H787" s="2" t="str">
        <f ca="1">IFERROR(__xludf.DUMMYFUNCTION("""COMPUTED_VALUE"""),"bcb7028c")</f>
        <v>bcb7028c</v>
      </c>
      <c r="I787" s="2" t="str">
        <f ca="1">IFERROR(__xludf.DUMMYFUNCTION("""COMPUTED_VALUE"""),"Bonarda")</f>
        <v>Bonarda</v>
      </c>
      <c r="J787" s="2">
        <f ca="1">IFERROR(__xludf.DUMMYFUNCTION("""COMPUTED_VALUE"""),17200)</f>
        <v>17200</v>
      </c>
      <c r="K787" s="2">
        <f ca="1">IFERROR(__xludf.DUMMYFUNCTION("""COMPUTED_VALUE"""),19400)</f>
        <v>19400</v>
      </c>
      <c r="L787" s="2" t="str">
        <f ca="1">IFERROR(__xludf.DUMMYFUNCTION("""COMPUTED_VALUE"""),"7d603b31")</f>
        <v>7d603b31</v>
      </c>
      <c r="M787" s="2" t="str">
        <f ca="1">IFERROR(__xludf.DUMMYFUNCTION("""COMPUTED_VALUE"""),"Bonarda")</f>
        <v>Bonarda</v>
      </c>
      <c r="N787" s="2"/>
      <c r="O787" s="2" t="str">
        <f ca="1">IFERROR(__xludf.DUMMYFUNCTION("""COMPUTED_VALUE"""),"2do Trasiego")</f>
        <v>2do Trasiego</v>
      </c>
      <c r="P787" s="2" t="str">
        <f ca="1">IFERROR(__xludf.DUMMYFUNCTION("""COMPUTED_VALUE"""),"2do Trasiego")</f>
        <v>2do Trasiego</v>
      </c>
      <c r="Q787" s="2" t="b">
        <f ca="1">IFERROR(__xludf.DUMMYFUNCTION("""COMPUTED_VALUE"""),TRUE)</f>
        <v>1</v>
      </c>
      <c r="R787" s="2" t="str">
        <f ca="1">IFERROR(__xludf.DUMMYFUNCTION("""COMPUTED_VALUE"""),"2do Trasiego")</f>
        <v>2do Trasiego</v>
      </c>
      <c r="S787" s="2"/>
      <c r="T787" s="2"/>
      <c r="U787" s="2" t="str">
        <f ca="1">IFERROR(__xludf.DUMMYFUNCTION("""COMPUTED_VALUE"""),"1")</f>
        <v>1</v>
      </c>
    </row>
    <row r="788" spans="1:21" x14ac:dyDescent="0.25">
      <c r="A788" s="2" t="str">
        <f ca="1">IFERROR(__xludf.DUMMYFUNCTION("""COMPUTED_VALUE"""),"25425eae")</f>
        <v>25425eae</v>
      </c>
      <c r="B788" s="5">
        <f ca="1">IFERROR(__xludf.DUMMYFUNCTION("""COMPUTED_VALUE"""),45818.3563310184)</f>
        <v>45818.356331018498</v>
      </c>
      <c r="C788" s="2" t="str">
        <f ca="1">IFERROR(__xludf.DUMMYFUNCTION("""COMPUTED_VALUE"""),"c2c76c11")</f>
        <v>c2c76c11</v>
      </c>
      <c r="D788" s="2">
        <f ca="1">IFERROR(__xludf.DUMMYFUNCTION("""COMPUTED_VALUE"""),75)</f>
        <v>75</v>
      </c>
      <c r="E788" s="2" t="str">
        <f ca="1">IFERROR(__xludf.DUMMYFUNCTION("""COMPUTED_VALUE"""),"Tanat")</f>
        <v>Tanat</v>
      </c>
      <c r="F788" s="2">
        <f ca="1">IFERROR(__xludf.DUMMYFUNCTION("""COMPUTED_VALUE"""),2000)</f>
        <v>2000</v>
      </c>
      <c r="G788" s="2">
        <f ca="1">IFERROR(__xludf.DUMMYFUNCTION("""COMPUTED_VALUE"""),46)</f>
        <v>46</v>
      </c>
      <c r="H788" s="2" t="str">
        <f ca="1">IFERROR(__xludf.DUMMYFUNCTION("""COMPUTED_VALUE"""),"7d603b31")</f>
        <v>7d603b31</v>
      </c>
      <c r="I788" s="2" t="str">
        <f ca="1">IFERROR(__xludf.DUMMYFUNCTION("""COMPUTED_VALUE"""),"Bonarda")</f>
        <v>Bonarda</v>
      </c>
      <c r="J788" s="2">
        <f ca="1">IFERROR(__xludf.DUMMYFUNCTION("""COMPUTED_VALUE"""),19400)</f>
        <v>19400</v>
      </c>
      <c r="K788" s="2">
        <f ca="1">IFERROR(__xludf.DUMMYFUNCTION("""COMPUTED_VALUE"""),21400)</f>
        <v>21400</v>
      </c>
      <c r="L788" s="2" t="str">
        <f ca="1">IFERROR(__xludf.DUMMYFUNCTION("""COMPUTED_VALUE"""),"55f15634")</f>
        <v>55f15634</v>
      </c>
      <c r="M788" s="2" t="str">
        <f ca="1">IFERROR(__xludf.DUMMYFUNCTION("""COMPUTED_VALUE"""),"Bonarda")</f>
        <v>Bonarda</v>
      </c>
      <c r="N788" s="2"/>
      <c r="O788" s="2" t="str">
        <f ca="1">IFERROR(__xludf.DUMMYFUNCTION("""COMPUTED_VALUE"""),"2do Trasiego")</f>
        <v>2do Trasiego</v>
      </c>
      <c r="P788" s="2" t="str">
        <f ca="1">IFERROR(__xludf.DUMMYFUNCTION("""COMPUTED_VALUE"""),"2do Trasiego")</f>
        <v>2do Trasiego</v>
      </c>
      <c r="Q788" s="2" t="b">
        <f ca="1">IFERROR(__xludf.DUMMYFUNCTION("""COMPUTED_VALUE"""),TRUE)</f>
        <v>1</v>
      </c>
      <c r="R788" s="2" t="str">
        <f ca="1">IFERROR(__xludf.DUMMYFUNCTION("""COMPUTED_VALUE"""),"2do Trasiego")</f>
        <v>2do Trasiego</v>
      </c>
      <c r="S788" s="2"/>
      <c r="T788" s="2"/>
      <c r="U788" s="2" t="str">
        <f ca="1">IFERROR(__xludf.DUMMYFUNCTION("""COMPUTED_VALUE"""),"1")</f>
        <v>1</v>
      </c>
    </row>
    <row r="789" spans="1:21" x14ac:dyDescent="0.25">
      <c r="A789" s="2" t="str">
        <f ca="1">IFERROR(__xludf.DUMMYFUNCTION("""COMPUTED_VALUE"""),"4bf8143e")</f>
        <v>4bf8143e</v>
      </c>
      <c r="B789" s="5">
        <f ca="1">IFERROR(__xludf.DUMMYFUNCTION("""COMPUTED_VALUE"""),45818.3579282407)</f>
        <v>45818.357928240701</v>
      </c>
      <c r="C789" s="2" t="str">
        <f ca="1">IFERROR(__xludf.DUMMYFUNCTION("""COMPUTED_VALUE"""),"9ad9bdea")</f>
        <v>9ad9bdea</v>
      </c>
      <c r="D789" s="2">
        <f ca="1">IFERROR(__xludf.DUMMYFUNCTION("""COMPUTED_VALUE"""),49)</f>
        <v>49</v>
      </c>
      <c r="E789" s="2" t="str">
        <f ca="1">IFERROR(__xludf.DUMMYFUNCTION("""COMPUTED_VALUE"""),"Malbec")</f>
        <v>Malbec</v>
      </c>
      <c r="F789" s="2">
        <f ca="1">IFERROR(__xludf.DUMMYFUNCTION("""COMPUTED_VALUE"""),15000)</f>
        <v>15000</v>
      </c>
      <c r="G789" s="2">
        <f ca="1">IFERROR(__xludf.DUMMYFUNCTION("""COMPUTED_VALUE"""),90)</f>
        <v>90</v>
      </c>
      <c r="H789" s="2" t="str">
        <f ca="1">IFERROR(__xludf.DUMMYFUNCTION("""COMPUTED_VALUE"""),"cddb06a5")</f>
        <v>cddb06a5</v>
      </c>
      <c r="I789" s="2" t="str">
        <f ca="1">IFERROR(__xludf.DUMMYFUNCTION("""COMPUTED_VALUE"""),"Bonarda")</f>
        <v>Bonarda</v>
      </c>
      <c r="J789" s="2">
        <f ca="1">IFERROR(__xludf.DUMMYFUNCTION("""COMPUTED_VALUE"""),82500)</f>
        <v>82500</v>
      </c>
      <c r="K789" s="2">
        <f ca="1">IFERROR(__xludf.DUMMYFUNCTION("""COMPUTED_VALUE"""),97500)</f>
        <v>97500</v>
      </c>
      <c r="L789" s="2" t="str">
        <f ca="1">IFERROR(__xludf.DUMMYFUNCTION("""COMPUTED_VALUE"""),"e62f11a1")</f>
        <v>e62f11a1</v>
      </c>
      <c r="M789" s="2" t="str">
        <f ca="1">IFERROR(__xludf.DUMMYFUNCTION("""COMPUTED_VALUE"""),"Bonarda")</f>
        <v>Bonarda</v>
      </c>
      <c r="N789" s="2"/>
      <c r="O789" s="2" t="str">
        <f ca="1">IFERROR(__xludf.DUMMYFUNCTION("""COMPUTED_VALUE"""),"Rectificado")</f>
        <v>Rectificado</v>
      </c>
      <c r="P789" s="2" t="str">
        <f ca="1">IFERROR(__xludf.DUMMYFUNCTION("""COMPUTED_VALUE"""),"2do Trasiego")</f>
        <v>2do Trasiego</v>
      </c>
      <c r="Q789" s="2" t="b">
        <f ca="1">IFERROR(__xludf.DUMMYFUNCTION("""COMPUTED_VALUE"""),TRUE)</f>
        <v>1</v>
      </c>
      <c r="R789" s="2" t="str">
        <f ca="1">IFERROR(__xludf.DUMMYFUNCTION("""COMPUTED_VALUE"""),"2do Trasiego")</f>
        <v>2do Trasiego</v>
      </c>
      <c r="S789" s="2"/>
      <c r="T789" s="2"/>
      <c r="U789" s="2" t="str">
        <f ca="1">IFERROR(__xludf.DUMMYFUNCTION("""COMPUTED_VALUE"""),"1")</f>
        <v>1</v>
      </c>
    </row>
    <row r="790" spans="1:21" x14ac:dyDescent="0.25">
      <c r="A790" s="2" t="str">
        <f ca="1">IFERROR(__xludf.DUMMYFUNCTION("""COMPUTED_VALUE"""),"8905f2ba")</f>
        <v>8905f2ba</v>
      </c>
      <c r="B790" s="5">
        <f ca="1">IFERROR(__xludf.DUMMYFUNCTION("""COMPUTED_VALUE"""),45818.359074074)</f>
        <v>45818.359074073996</v>
      </c>
      <c r="C790" s="2" t="str">
        <f ca="1">IFERROR(__xludf.DUMMYFUNCTION("""COMPUTED_VALUE"""),"9ad9bdea")</f>
        <v>9ad9bdea</v>
      </c>
      <c r="D790" s="2">
        <f ca="1">IFERROR(__xludf.DUMMYFUNCTION("""COMPUTED_VALUE"""),49)</f>
        <v>49</v>
      </c>
      <c r="E790" s="2" t="str">
        <f ca="1">IFERROR(__xludf.DUMMYFUNCTION("""COMPUTED_VALUE"""),"Malbec")</f>
        <v>Malbec</v>
      </c>
      <c r="F790" s="2">
        <f ca="1">IFERROR(__xludf.DUMMYFUNCTION("""COMPUTED_VALUE"""),2200)</f>
        <v>2200</v>
      </c>
      <c r="G790" s="2">
        <f ca="1">IFERROR(__xludf.DUMMYFUNCTION("""COMPUTED_VALUE"""),53)</f>
        <v>53</v>
      </c>
      <c r="H790" s="2" t="str">
        <f ca="1">IFERROR(__xludf.DUMMYFUNCTION("""COMPUTED_VALUE"""),"a5c09bfd")</f>
        <v>a5c09bfd</v>
      </c>
      <c r="I790" s="2" t="str">
        <f ca="1">IFERROR(__xludf.DUMMYFUNCTION("""COMPUTED_VALUE"""),"Tanat")</f>
        <v>Tanat</v>
      </c>
      <c r="J790" s="2">
        <f ca="1">IFERROR(__xludf.DUMMYFUNCTION("""COMPUTED_VALUE"""),19800)</f>
        <v>19800</v>
      </c>
      <c r="K790" s="2">
        <f ca="1">IFERROR(__xludf.DUMMYFUNCTION("""COMPUTED_VALUE"""),22000)</f>
        <v>22000</v>
      </c>
      <c r="L790" s="2" t="str">
        <f ca="1">IFERROR(__xludf.DUMMYFUNCTION("""COMPUTED_VALUE"""),"da5fcb21")</f>
        <v>da5fcb21</v>
      </c>
      <c r="M790" s="2" t="str">
        <f ca="1">IFERROR(__xludf.DUMMYFUNCTION("""COMPUTED_VALUE"""),"Tanat")</f>
        <v>Tanat</v>
      </c>
      <c r="N790" s="2"/>
      <c r="O790" s="2" t="str">
        <f ca="1">IFERROR(__xludf.DUMMYFUNCTION("""COMPUTED_VALUE"""),"Rectificado")</f>
        <v>Rectificado</v>
      </c>
      <c r="P790" s="2" t="str">
        <f ca="1">IFERROR(__xludf.DUMMYFUNCTION("""COMPUTED_VALUE"""),"2do Trasiego")</f>
        <v>2do Trasiego</v>
      </c>
      <c r="Q790" s="2" t="b">
        <f ca="1">IFERROR(__xludf.DUMMYFUNCTION("""COMPUTED_VALUE"""),TRUE)</f>
        <v>1</v>
      </c>
      <c r="R790" s="2" t="str">
        <f ca="1">IFERROR(__xludf.DUMMYFUNCTION("""COMPUTED_VALUE"""),"2do Trasiego")</f>
        <v>2do Trasiego</v>
      </c>
      <c r="S790" s="2"/>
      <c r="T790" s="2"/>
      <c r="U790" s="2"/>
    </row>
    <row r="791" spans="1:21" x14ac:dyDescent="0.25">
      <c r="A791" s="2" t="str">
        <f ca="1">IFERROR(__xludf.DUMMYFUNCTION("""COMPUTED_VALUE"""),"bd1fc7f1")</f>
        <v>bd1fc7f1</v>
      </c>
      <c r="B791" s="5">
        <f ca="1">IFERROR(__xludf.DUMMYFUNCTION("""COMPUTED_VALUE"""),45818.3592476851)</f>
        <v>45818.359247685097</v>
      </c>
      <c r="C791" s="2" t="str">
        <f ca="1">IFERROR(__xludf.DUMMYFUNCTION("""COMPUTED_VALUE"""),"9ad9bdea")</f>
        <v>9ad9bdea</v>
      </c>
      <c r="D791" s="2">
        <f ca="1">IFERROR(__xludf.DUMMYFUNCTION("""COMPUTED_VALUE"""),49)</f>
        <v>49</v>
      </c>
      <c r="E791" s="2" t="str">
        <f ca="1">IFERROR(__xludf.DUMMYFUNCTION("""COMPUTED_VALUE"""),"Malbec")</f>
        <v>Malbec</v>
      </c>
      <c r="F791" s="2">
        <f ca="1">IFERROR(__xludf.DUMMYFUNCTION("""COMPUTED_VALUE"""),2200)</f>
        <v>2200</v>
      </c>
      <c r="G791" s="2">
        <f ca="1">IFERROR(__xludf.DUMMYFUNCTION("""COMPUTED_VALUE"""),67)</f>
        <v>67</v>
      </c>
      <c r="H791" s="2" t="str">
        <f ca="1">IFERROR(__xludf.DUMMYFUNCTION("""COMPUTED_VALUE"""),"654f35d0")</f>
        <v>654f35d0</v>
      </c>
      <c r="I791" s="2" t="str">
        <f ca="1">IFERROR(__xludf.DUMMYFUNCTION("""COMPUTED_VALUE"""),"Anccelotta")</f>
        <v>Anccelotta</v>
      </c>
      <c r="J791" s="2">
        <f ca="1">IFERROR(__xludf.DUMMYFUNCTION("""COMPUTED_VALUE"""),20800)</f>
        <v>20800</v>
      </c>
      <c r="K791" s="2">
        <f ca="1">IFERROR(__xludf.DUMMYFUNCTION("""COMPUTED_VALUE"""),23000)</f>
        <v>23000</v>
      </c>
      <c r="L791" s="2" t="str">
        <f ca="1">IFERROR(__xludf.DUMMYFUNCTION("""COMPUTED_VALUE"""),"eb6cce4f")</f>
        <v>eb6cce4f</v>
      </c>
      <c r="M791" s="2" t="str">
        <f ca="1">IFERROR(__xludf.DUMMYFUNCTION("""COMPUTED_VALUE"""),"Anccelotta")</f>
        <v>Anccelotta</v>
      </c>
      <c r="N791" s="2"/>
      <c r="O791" s="2" t="str">
        <f ca="1">IFERROR(__xludf.DUMMYFUNCTION("""COMPUTED_VALUE"""),"Rectificado")</f>
        <v>Rectificado</v>
      </c>
      <c r="P791" s="2" t="str">
        <f ca="1">IFERROR(__xludf.DUMMYFUNCTION("""COMPUTED_VALUE"""),"2do Trasiego")</f>
        <v>2do Trasiego</v>
      </c>
      <c r="Q791" s="2" t="b">
        <f ca="1">IFERROR(__xludf.DUMMYFUNCTION("""COMPUTED_VALUE"""),TRUE)</f>
        <v>1</v>
      </c>
      <c r="R791" s="2" t="str">
        <f ca="1">IFERROR(__xludf.DUMMYFUNCTION("""COMPUTED_VALUE"""),"2do Trasiego")</f>
        <v>2do Trasiego</v>
      </c>
      <c r="S791" s="2"/>
      <c r="T791" s="2"/>
      <c r="U791" s="2"/>
    </row>
    <row r="792" spans="1:21" x14ac:dyDescent="0.25">
      <c r="A792" s="2" t="str">
        <f ca="1">IFERROR(__xludf.DUMMYFUNCTION("""COMPUTED_VALUE"""),"74205378")</f>
        <v>74205378</v>
      </c>
      <c r="B792" s="5">
        <f ca="1">IFERROR(__xludf.DUMMYFUNCTION("""COMPUTED_VALUE"""),45818.359375)</f>
        <v>45818.359375</v>
      </c>
      <c r="C792" s="2" t="str">
        <f ca="1">IFERROR(__xludf.DUMMYFUNCTION("""COMPUTED_VALUE"""),"9ad9bdea")</f>
        <v>9ad9bdea</v>
      </c>
      <c r="D792" s="2">
        <f ca="1">IFERROR(__xludf.DUMMYFUNCTION("""COMPUTED_VALUE"""),49)</f>
        <v>49</v>
      </c>
      <c r="E792" s="2" t="str">
        <f ca="1">IFERROR(__xludf.DUMMYFUNCTION("""COMPUTED_VALUE"""),"Malbec")</f>
        <v>Malbec</v>
      </c>
      <c r="F792" s="2">
        <f ca="1">IFERROR(__xludf.DUMMYFUNCTION("""COMPUTED_VALUE"""),2000)</f>
        <v>2000</v>
      </c>
      <c r="G792" s="2">
        <f ca="1">IFERROR(__xludf.DUMMYFUNCTION("""COMPUTED_VALUE"""),75)</f>
        <v>75</v>
      </c>
      <c r="H792" s="2" t="str">
        <f ca="1">IFERROR(__xludf.DUMMYFUNCTION("""COMPUTED_VALUE"""),"c2c76c11")</f>
        <v>c2c76c11</v>
      </c>
      <c r="I792" s="2" t="str">
        <f ca="1">IFERROR(__xludf.DUMMYFUNCTION("""COMPUTED_VALUE"""),"Tanat")</f>
        <v>Tanat</v>
      </c>
      <c r="J792" s="2">
        <f ca="1">IFERROR(__xludf.DUMMYFUNCTION("""COMPUTED_VALUE"""),5000)</f>
        <v>5000</v>
      </c>
      <c r="K792" s="2">
        <f ca="1">IFERROR(__xludf.DUMMYFUNCTION("""COMPUTED_VALUE"""),7000)</f>
        <v>7000</v>
      </c>
      <c r="L792" s="2" t="str">
        <f ca="1">IFERROR(__xludf.DUMMYFUNCTION("""COMPUTED_VALUE"""),"7a9e7f06")</f>
        <v>7a9e7f06</v>
      </c>
      <c r="M792" s="2" t="str">
        <f ca="1">IFERROR(__xludf.DUMMYFUNCTION("""COMPUTED_VALUE"""),"Tanat")</f>
        <v>Tanat</v>
      </c>
      <c r="N792" s="2"/>
      <c r="O792" s="2" t="str">
        <f ca="1">IFERROR(__xludf.DUMMYFUNCTION("""COMPUTED_VALUE"""),"Rectificado")</f>
        <v>Rectificado</v>
      </c>
      <c r="P792" s="2" t="str">
        <f ca="1">IFERROR(__xludf.DUMMYFUNCTION("""COMPUTED_VALUE"""),"2do Trasiego")</f>
        <v>2do Trasiego</v>
      </c>
      <c r="Q792" s="2" t="b">
        <f ca="1">IFERROR(__xludf.DUMMYFUNCTION("""COMPUTED_VALUE"""),TRUE)</f>
        <v>1</v>
      </c>
      <c r="R792" s="2" t="str">
        <f ca="1">IFERROR(__xludf.DUMMYFUNCTION("""COMPUTED_VALUE"""),"2do Trasiego")</f>
        <v>2do Trasiego</v>
      </c>
      <c r="S792" s="2"/>
      <c r="T792" s="2"/>
      <c r="U792" s="2"/>
    </row>
    <row r="793" spans="1:21" x14ac:dyDescent="0.25">
      <c r="A793" s="2" t="str">
        <f ca="1">IFERROR(__xludf.DUMMYFUNCTION("""COMPUTED_VALUE"""),"509cd3bd")</f>
        <v>509cd3bd</v>
      </c>
      <c r="B793" s="5">
        <f ca="1">IFERROR(__xludf.DUMMYFUNCTION("""COMPUTED_VALUE"""),45818.359537037)</f>
        <v>45818.359537037002</v>
      </c>
      <c r="C793" s="2" t="str">
        <f ca="1">IFERROR(__xludf.DUMMYFUNCTION("""COMPUTED_VALUE"""),"9ad9bdea")</f>
        <v>9ad9bdea</v>
      </c>
      <c r="D793" s="2">
        <f ca="1">IFERROR(__xludf.DUMMYFUNCTION("""COMPUTED_VALUE"""),49)</f>
        <v>49</v>
      </c>
      <c r="E793" s="2" t="str">
        <f ca="1">IFERROR(__xludf.DUMMYFUNCTION("""COMPUTED_VALUE"""),"Malbec")</f>
        <v>Malbec</v>
      </c>
      <c r="F793" s="2">
        <f ca="1">IFERROR(__xludf.DUMMYFUNCTION("""COMPUTED_VALUE"""),2600)</f>
        <v>2600</v>
      </c>
      <c r="G793" s="2">
        <f ca="1">IFERROR(__xludf.DUMMYFUNCTION("""COMPUTED_VALUE"""),46)</f>
        <v>46</v>
      </c>
      <c r="H793" s="2" t="str">
        <f ca="1">IFERROR(__xludf.DUMMYFUNCTION("""COMPUTED_VALUE"""),"55f15634")</f>
        <v>55f15634</v>
      </c>
      <c r="I793" s="2" t="str">
        <f ca="1">IFERROR(__xludf.DUMMYFUNCTION("""COMPUTED_VALUE"""),"Bonarda")</f>
        <v>Bonarda</v>
      </c>
      <c r="J793" s="2">
        <f ca="1">IFERROR(__xludf.DUMMYFUNCTION("""COMPUTED_VALUE"""),21400)</f>
        <v>21400</v>
      </c>
      <c r="K793" s="2">
        <f ca="1">IFERROR(__xludf.DUMMYFUNCTION("""COMPUTED_VALUE"""),24000)</f>
        <v>24000</v>
      </c>
      <c r="L793" s="2" t="str">
        <f ca="1">IFERROR(__xludf.DUMMYFUNCTION("""COMPUTED_VALUE"""),"eca5b8cb")</f>
        <v>eca5b8cb</v>
      </c>
      <c r="M793" s="2" t="str">
        <f ca="1">IFERROR(__xludf.DUMMYFUNCTION("""COMPUTED_VALUE"""),"Bonarda")</f>
        <v>Bonarda</v>
      </c>
      <c r="N793" s="2"/>
      <c r="O793" s="2" t="str">
        <f ca="1">IFERROR(__xludf.DUMMYFUNCTION("""COMPUTED_VALUE"""),"Rectificado")</f>
        <v>Rectificado</v>
      </c>
      <c r="P793" s="2" t="str">
        <f ca="1">IFERROR(__xludf.DUMMYFUNCTION("""COMPUTED_VALUE"""),"2do Trasiego")</f>
        <v>2do Trasiego</v>
      </c>
      <c r="Q793" s="2" t="b">
        <f ca="1">IFERROR(__xludf.DUMMYFUNCTION("""COMPUTED_VALUE"""),TRUE)</f>
        <v>1</v>
      </c>
      <c r="R793" s="2" t="str">
        <f ca="1">IFERROR(__xludf.DUMMYFUNCTION("""COMPUTED_VALUE"""),"2do Trasiego")</f>
        <v>2do Trasiego</v>
      </c>
      <c r="S793" s="2"/>
      <c r="T793" s="2"/>
      <c r="U793" s="2" t="str">
        <f ca="1">IFERROR(__xludf.DUMMYFUNCTION("""COMPUTED_VALUE"""),"1")</f>
        <v>1</v>
      </c>
    </row>
    <row r="794" spans="1:21" x14ac:dyDescent="0.25">
      <c r="A794" s="2" t="str">
        <f ca="1">IFERROR(__xludf.DUMMYFUNCTION("""COMPUTED_VALUE"""),"8a3a94f2")</f>
        <v>8a3a94f2</v>
      </c>
      <c r="B794" s="5">
        <f ca="1">IFERROR(__xludf.DUMMYFUNCTION("""COMPUTED_VALUE"""),45818.3620138888)</f>
        <v>45818.3620138888</v>
      </c>
      <c r="C794" s="2" t="str">
        <f ca="1">IFERROR(__xludf.DUMMYFUNCTION("""COMPUTED_VALUE"""),"8a5cc2ae")</f>
        <v>8a5cc2ae</v>
      </c>
      <c r="D794" s="2">
        <f ca="1">IFERROR(__xludf.DUMMYFUNCTION("""COMPUTED_VALUE"""),15)</f>
        <v>15</v>
      </c>
      <c r="E794" s="2" t="str">
        <f ca="1">IFERROR(__xludf.DUMMYFUNCTION("""COMPUTED_VALUE"""),"Bonarda")</f>
        <v>Bonarda</v>
      </c>
      <c r="F794" s="2">
        <f ca="1">IFERROR(__xludf.DUMMYFUNCTION("""COMPUTED_VALUE"""),600)</f>
        <v>600</v>
      </c>
      <c r="G794" s="2">
        <f ca="1">IFERROR(__xludf.DUMMYFUNCTION("""COMPUTED_VALUE"""),46)</f>
        <v>46</v>
      </c>
      <c r="H794" s="2" t="str">
        <f ca="1">IFERROR(__xludf.DUMMYFUNCTION("""COMPUTED_VALUE"""),"eca5b8cb")</f>
        <v>eca5b8cb</v>
      </c>
      <c r="I794" s="2" t="str">
        <f ca="1">IFERROR(__xludf.DUMMYFUNCTION("""COMPUTED_VALUE"""),"Bonarda")</f>
        <v>Bonarda</v>
      </c>
      <c r="J794" s="2">
        <f ca="1">IFERROR(__xludf.DUMMYFUNCTION("""COMPUTED_VALUE"""),24000)</f>
        <v>24000</v>
      </c>
      <c r="K794" s="2">
        <f ca="1">IFERROR(__xludf.DUMMYFUNCTION("""COMPUTED_VALUE"""),24600)</f>
        <v>24600</v>
      </c>
      <c r="L794" s="2" t="str">
        <f ca="1">IFERROR(__xludf.DUMMYFUNCTION("""COMPUTED_VALUE"""),"7efc01f3")</f>
        <v>7efc01f3</v>
      </c>
      <c r="M794" s="2" t="str">
        <f ca="1">IFERROR(__xludf.DUMMYFUNCTION("""COMPUTED_VALUE"""),"Bonarda")</f>
        <v>Bonarda</v>
      </c>
      <c r="N794" s="2"/>
      <c r="O794" s="2" t="str">
        <f ca="1">IFERROR(__xludf.DUMMYFUNCTION("""COMPUTED_VALUE"""),"1er Trasiego")</f>
        <v>1er Trasiego</v>
      </c>
      <c r="P794" s="2" t="str">
        <f ca="1">IFERROR(__xludf.DUMMYFUNCTION("""COMPUTED_VALUE"""),"2do Trasiego")</f>
        <v>2do Trasiego</v>
      </c>
      <c r="Q794" s="2" t="b">
        <f ca="1">IFERROR(__xludf.DUMMYFUNCTION("""COMPUTED_VALUE"""),TRUE)</f>
        <v>1</v>
      </c>
      <c r="R794" s="2" t="str">
        <f ca="1">IFERROR(__xludf.DUMMYFUNCTION("""COMPUTED_VALUE"""),"2do Trasiego")</f>
        <v>2do Trasiego</v>
      </c>
      <c r="S794" s="2"/>
      <c r="T794" s="2"/>
      <c r="U794" s="2" t="str">
        <f ca="1">IFERROR(__xludf.DUMMYFUNCTION("""COMPUTED_VALUE"""),"1")</f>
        <v>1</v>
      </c>
    </row>
    <row r="795" spans="1:21" x14ac:dyDescent="0.25">
      <c r="A795" s="2" t="str">
        <f ca="1">IFERROR(__xludf.DUMMYFUNCTION("""COMPUTED_VALUE"""),"7a9a8221")</f>
        <v>7a9a8221</v>
      </c>
      <c r="B795" s="5">
        <f ca="1">IFERROR(__xludf.DUMMYFUNCTION("""COMPUTED_VALUE"""),45818.3857523148)</f>
        <v>45818.385752314804</v>
      </c>
      <c r="C795" s="2" t="str">
        <f ca="1">IFERROR(__xludf.DUMMYFUNCTION("""COMPUTED_VALUE"""),"593f826f")</f>
        <v>593f826f</v>
      </c>
      <c r="D795" s="2">
        <f ca="1">IFERROR(__xludf.DUMMYFUNCTION("""COMPUTED_VALUE"""),5)</f>
        <v>5</v>
      </c>
      <c r="E795" s="2" t="str">
        <f ca="1">IFERROR(__xludf.DUMMYFUNCTION("""COMPUTED_VALUE"""),"Chardonnay")</f>
        <v>Chardonnay</v>
      </c>
      <c r="F795" s="2">
        <f ca="1">IFERROR(__xludf.DUMMYFUNCTION("""COMPUTED_VALUE"""),3000)</f>
        <v>3000</v>
      </c>
      <c r="G795" s="2">
        <f ca="1">IFERROR(__xludf.DUMMYFUNCTION("""COMPUTED_VALUE"""),500)</f>
        <v>500</v>
      </c>
      <c r="H795" s="2"/>
      <c r="I795" s="2"/>
      <c r="J795" s="2">
        <f ca="1">IFERROR(__xludf.DUMMYFUNCTION("""COMPUTED_VALUE"""),0)</f>
        <v>0</v>
      </c>
      <c r="K795" s="2">
        <f ca="1">IFERROR(__xludf.DUMMYFUNCTION("""COMPUTED_VALUE"""),3000)</f>
        <v>3000</v>
      </c>
      <c r="L795" s="2" t="str">
        <f ca="1">IFERROR(__xludf.DUMMYFUNCTION("""COMPUTED_VALUE"""),"45e5cc8e")</f>
        <v>45e5cc8e</v>
      </c>
      <c r="M795" s="2" t="str">
        <f ca="1">IFERROR(__xludf.DUMMYFUNCTION("""COMPUTED_VALUE"""),"Chardonnay")</f>
        <v>Chardonnay</v>
      </c>
      <c r="N795" s="2"/>
      <c r="O795" s="2" t="str">
        <f ca="1">IFERROR(__xludf.DUMMYFUNCTION("""COMPUTED_VALUE"""),"Descubada")</f>
        <v>Descubada</v>
      </c>
      <c r="P795" s="2"/>
      <c r="Q795" s="2" t="b">
        <f ca="1">IFERROR(__xludf.DUMMYFUNCTION("""COMPUTED_VALUE"""),FALSE)</f>
        <v>0</v>
      </c>
      <c r="R795" s="2" t="str">
        <f ca="1">IFERROR(__xludf.DUMMYFUNCTION("""COMPUTED_VALUE"""),"Traslado Venta")</f>
        <v>Traslado Venta</v>
      </c>
      <c r="S795" s="2"/>
      <c r="T795" s="2"/>
      <c r="U795" s="2" t="str">
        <f ca="1">IFERROR(__xludf.DUMMYFUNCTION("""COMPUTED_VALUE"""),"1")</f>
        <v>1</v>
      </c>
    </row>
    <row r="796" spans="1:21" x14ac:dyDescent="0.25">
      <c r="A796" s="2" t="str">
        <f ca="1">IFERROR(__xludf.DUMMYFUNCTION("""COMPUTED_VALUE"""),"2c95af9c")</f>
        <v>2c95af9c</v>
      </c>
      <c r="B796" s="5">
        <f ca="1">IFERROR(__xludf.DUMMYFUNCTION("""COMPUTED_VALUE"""),45818.3860879629)</f>
        <v>45818.386087962899</v>
      </c>
      <c r="C796" s="2" t="str">
        <f ca="1">IFERROR(__xludf.DUMMYFUNCTION("""COMPUTED_VALUE"""),"8a7074cf")</f>
        <v>8a7074cf</v>
      </c>
      <c r="D796" s="2">
        <f ca="1">IFERROR(__xludf.DUMMYFUNCTION("""COMPUTED_VALUE"""),31)</f>
        <v>31</v>
      </c>
      <c r="E796" s="2" t="str">
        <f ca="1">IFERROR(__xludf.DUMMYFUNCTION("""COMPUTED_VALUE"""),"Chardonnay")</f>
        <v>Chardonnay</v>
      </c>
      <c r="F796" s="2">
        <f ca="1">IFERROR(__xludf.DUMMYFUNCTION("""COMPUTED_VALUE"""),3000)</f>
        <v>3000</v>
      </c>
      <c r="G796" s="2">
        <f ca="1">IFERROR(__xludf.DUMMYFUNCTION("""COMPUTED_VALUE"""),500)</f>
        <v>500</v>
      </c>
      <c r="H796" s="2" t="str">
        <f ca="1">IFERROR(__xludf.DUMMYFUNCTION("""COMPUTED_VALUE"""),"45e5cc8e")</f>
        <v>45e5cc8e</v>
      </c>
      <c r="I796" s="2" t="str">
        <f ca="1">IFERROR(__xludf.DUMMYFUNCTION("""COMPUTED_VALUE"""),"Chardonnay")</f>
        <v>Chardonnay</v>
      </c>
      <c r="J796" s="2">
        <f ca="1">IFERROR(__xludf.DUMMYFUNCTION("""COMPUTED_VALUE"""),3000)</f>
        <v>3000</v>
      </c>
      <c r="K796" s="2">
        <f ca="1">IFERROR(__xludf.DUMMYFUNCTION("""COMPUTED_VALUE"""),6000)</f>
        <v>6000</v>
      </c>
      <c r="L796" s="2" t="str">
        <f ca="1">IFERROR(__xludf.DUMMYFUNCTION("""COMPUTED_VALUE"""),"4da9d1b8")</f>
        <v>4da9d1b8</v>
      </c>
      <c r="M796" s="2" t="str">
        <f ca="1">IFERROR(__xludf.DUMMYFUNCTION("""COMPUTED_VALUE"""),"Chardonnay Venta La Vendimia")</f>
        <v>Chardonnay Venta La Vendimia</v>
      </c>
      <c r="N796" s="2"/>
      <c r="O796" s="2" t="str">
        <f ca="1">IFERROR(__xludf.DUMMYFUNCTION("""COMPUTED_VALUE"""),"Descubada")</f>
        <v>Descubada</v>
      </c>
      <c r="P796" s="2" t="str">
        <f ca="1">IFERROR(__xludf.DUMMYFUNCTION("""COMPUTED_VALUE"""),"Traslado Venta")</f>
        <v>Traslado Venta</v>
      </c>
      <c r="Q796" s="2" t="b">
        <f ca="1">IFERROR(__xludf.DUMMYFUNCTION("""COMPUTED_VALUE"""),TRUE)</f>
        <v>1</v>
      </c>
      <c r="R796" s="2" t="str">
        <f ca="1">IFERROR(__xludf.DUMMYFUNCTION("""COMPUTED_VALUE"""),"Traslado Venta")</f>
        <v>Traslado Venta</v>
      </c>
      <c r="S796" s="2"/>
      <c r="T796" s="2"/>
      <c r="U796" s="2" t="str">
        <f ca="1">IFERROR(__xludf.DUMMYFUNCTION("""COMPUTED_VALUE"""),"1")</f>
        <v>1</v>
      </c>
    </row>
    <row r="797" spans="1:21" x14ac:dyDescent="0.25">
      <c r="A797" s="2" t="str">
        <f ca="1">IFERROR(__xludf.DUMMYFUNCTION("""COMPUTED_VALUE"""),"f2020c41")</f>
        <v>f2020c41</v>
      </c>
      <c r="B797" s="5">
        <f ca="1">IFERROR(__xludf.DUMMYFUNCTION("""COMPUTED_VALUE"""),45818.3865856481)</f>
        <v>45818.386585648099</v>
      </c>
      <c r="C797" s="2" t="str">
        <f ca="1">IFERROR(__xludf.DUMMYFUNCTION("""COMPUTED_VALUE"""),"8a7074cf")</f>
        <v>8a7074cf</v>
      </c>
      <c r="D797" s="2">
        <f ca="1">IFERROR(__xludf.DUMMYFUNCTION("""COMPUTED_VALUE"""),31)</f>
        <v>31</v>
      </c>
      <c r="E797" s="2" t="str">
        <f ca="1">IFERROR(__xludf.DUMMYFUNCTION("""COMPUTED_VALUE"""),"Chardonnay")</f>
        <v>Chardonnay</v>
      </c>
      <c r="F797" s="2">
        <f ca="1">IFERROR(__xludf.DUMMYFUNCTION("""COMPUTED_VALUE"""),3000)</f>
        <v>3000</v>
      </c>
      <c r="G797" s="2">
        <f ca="1">IFERROR(__xludf.DUMMYFUNCTION("""COMPUTED_VALUE"""),5)</f>
        <v>5</v>
      </c>
      <c r="H797" s="2" t="str">
        <f ca="1">IFERROR(__xludf.DUMMYFUNCTION("""COMPUTED_VALUE"""),"593f826f")</f>
        <v>593f826f</v>
      </c>
      <c r="I797" s="2" t="str">
        <f ca="1">IFERROR(__xludf.DUMMYFUNCTION("""COMPUTED_VALUE"""),"Chardonnay")</f>
        <v>Chardonnay</v>
      </c>
      <c r="J797" s="2">
        <f ca="1">IFERROR(__xludf.DUMMYFUNCTION("""COMPUTED_VALUE"""),27000)</f>
        <v>27000</v>
      </c>
      <c r="K797" s="2">
        <f ca="1">IFERROR(__xludf.DUMMYFUNCTION("""COMPUTED_VALUE"""),30000)</f>
        <v>30000</v>
      </c>
      <c r="L797" s="2" t="str">
        <f ca="1">IFERROR(__xludf.DUMMYFUNCTION("""COMPUTED_VALUE"""),"ebf08055")</f>
        <v>ebf08055</v>
      </c>
      <c r="M797" s="2" t="str">
        <f ca="1">IFERROR(__xludf.DUMMYFUNCTION("""COMPUTED_VALUE"""),"Chardonnay")</f>
        <v>Chardonnay</v>
      </c>
      <c r="N797" s="2"/>
      <c r="O797" s="2" t="str">
        <f ca="1">IFERROR(__xludf.DUMMYFUNCTION("""COMPUTED_VALUE"""),"Descubada")</f>
        <v>Descubada</v>
      </c>
      <c r="P797" s="2" t="str">
        <f ca="1">IFERROR(__xludf.DUMMYFUNCTION("""COMPUTED_VALUE"""),"Descubada")</f>
        <v>Descubada</v>
      </c>
      <c r="Q797" s="2" t="b">
        <f ca="1">IFERROR(__xludf.DUMMYFUNCTION("""COMPUTED_VALUE"""),TRUE)</f>
        <v>1</v>
      </c>
      <c r="R797" s="2" t="str">
        <f ca="1">IFERROR(__xludf.DUMMYFUNCTION("""COMPUTED_VALUE"""),"Descubada")</f>
        <v>Descubada</v>
      </c>
      <c r="S797" s="2"/>
      <c r="T797" s="2"/>
      <c r="U797" s="2" t="str">
        <f ca="1">IFERROR(__xludf.DUMMYFUNCTION("""COMPUTED_VALUE"""),"1")</f>
        <v>1</v>
      </c>
    </row>
    <row r="798" spans="1:21" x14ac:dyDescent="0.25">
      <c r="A798" s="2" t="str">
        <f ca="1">IFERROR(__xludf.DUMMYFUNCTION("""COMPUTED_VALUE"""),"9cc9e8d8")</f>
        <v>9cc9e8d8</v>
      </c>
      <c r="B798" s="5">
        <f ca="1">IFERROR(__xludf.DUMMYFUNCTION("""COMPUTED_VALUE"""),45818.386886574)</f>
        <v>45818.386886574001</v>
      </c>
      <c r="C798" s="2" t="str">
        <f ca="1">IFERROR(__xludf.DUMMYFUNCTION("""COMPUTED_VALUE"""),"8a7074cf")</f>
        <v>8a7074cf</v>
      </c>
      <c r="D798" s="2">
        <f ca="1">IFERROR(__xludf.DUMMYFUNCTION("""COMPUTED_VALUE"""),31)</f>
        <v>31</v>
      </c>
      <c r="E798" s="2" t="str">
        <f ca="1">IFERROR(__xludf.DUMMYFUNCTION("""COMPUTED_VALUE"""),"Chardonnay")</f>
        <v>Chardonnay</v>
      </c>
      <c r="F798" s="2">
        <f ca="1">IFERROR(__xludf.DUMMYFUNCTION("""COMPUTED_VALUE"""),19700)</f>
        <v>19700</v>
      </c>
      <c r="G798" s="2">
        <f ca="1">IFERROR(__xludf.DUMMYFUNCTION("""COMPUTED_VALUE"""),11)</f>
        <v>11</v>
      </c>
      <c r="H798" s="2"/>
      <c r="I798" s="2"/>
      <c r="J798" s="2">
        <f ca="1">IFERROR(__xludf.DUMMYFUNCTION("""COMPUTED_VALUE"""),0)</f>
        <v>0</v>
      </c>
      <c r="K798" s="2">
        <f ca="1">IFERROR(__xludf.DUMMYFUNCTION("""COMPUTED_VALUE"""),19700)</f>
        <v>19700</v>
      </c>
      <c r="L798" s="2" t="str">
        <f ca="1">IFERROR(__xludf.DUMMYFUNCTION("""COMPUTED_VALUE"""),"8eb3a624")</f>
        <v>8eb3a624</v>
      </c>
      <c r="M798" s="2" t="str">
        <f ca="1">IFERROR(__xludf.DUMMYFUNCTION("""COMPUTED_VALUE"""),"Chardonnay")</f>
        <v>Chardonnay</v>
      </c>
      <c r="N798" s="2"/>
      <c r="O798" s="2" t="str">
        <f ca="1">IFERROR(__xludf.DUMMYFUNCTION("""COMPUTED_VALUE"""),"Descubada")</f>
        <v>Descubada</v>
      </c>
      <c r="P798" s="2"/>
      <c r="Q798" s="2" t="b">
        <f ca="1">IFERROR(__xludf.DUMMYFUNCTION("""COMPUTED_VALUE"""),FALSE)</f>
        <v>0</v>
      </c>
      <c r="R798" s="2" t="str">
        <f ca="1">IFERROR(__xludf.DUMMYFUNCTION("""COMPUTED_VALUE"""),"Descubada")</f>
        <v>Descubada</v>
      </c>
      <c r="S798" s="2"/>
      <c r="T798" s="2"/>
      <c r="U798" s="2"/>
    </row>
    <row r="799" spans="1:21" x14ac:dyDescent="0.25">
      <c r="A799" s="2" t="str">
        <f ca="1">IFERROR(__xludf.DUMMYFUNCTION("""COMPUTED_VALUE"""),"152f36a7")</f>
        <v>152f36a7</v>
      </c>
      <c r="B799" s="5">
        <f ca="1">IFERROR(__xludf.DUMMYFUNCTION("""COMPUTED_VALUE"""),45818.3871759259)</f>
        <v>45818.387175925898</v>
      </c>
      <c r="C799" s="2" t="str">
        <f ca="1">IFERROR(__xludf.DUMMYFUNCTION("""COMPUTED_VALUE"""),"b5e03e7f")</f>
        <v>b5e03e7f</v>
      </c>
      <c r="D799" s="2">
        <f ca="1">IFERROR(__xludf.DUMMYFUNCTION("""COMPUTED_VALUE"""),16)</f>
        <v>16</v>
      </c>
      <c r="E799" s="2" t="str">
        <f ca="1">IFERROR(__xludf.DUMMYFUNCTION("""COMPUTED_VALUE"""),"Chardonnay")</f>
        <v>Chardonnay</v>
      </c>
      <c r="F799" s="2">
        <f ca="1">IFERROR(__xludf.DUMMYFUNCTION("""COMPUTED_VALUE"""),16300)</f>
        <v>16300</v>
      </c>
      <c r="G799" s="2">
        <f ca="1">IFERROR(__xludf.DUMMYFUNCTION("""COMPUTED_VALUE"""),11)</f>
        <v>11</v>
      </c>
      <c r="H799" s="2" t="str">
        <f ca="1">IFERROR(__xludf.DUMMYFUNCTION("""COMPUTED_VALUE"""),"8eb3a624")</f>
        <v>8eb3a624</v>
      </c>
      <c r="I799" s="2" t="str">
        <f ca="1">IFERROR(__xludf.DUMMYFUNCTION("""COMPUTED_VALUE"""),"Chardonnay")</f>
        <v>Chardonnay</v>
      </c>
      <c r="J799" s="2">
        <f ca="1">IFERROR(__xludf.DUMMYFUNCTION("""COMPUTED_VALUE"""),19700)</f>
        <v>19700</v>
      </c>
      <c r="K799" s="2">
        <f ca="1">IFERROR(__xludf.DUMMYFUNCTION("""COMPUTED_VALUE"""),36000)</f>
        <v>36000</v>
      </c>
      <c r="L799" s="2" t="str">
        <f ca="1">IFERROR(__xludf.DUMMYFUNCTION("""COMPUTED_VALUE"""),"dcaf5b39")</f>
        <v>dcaf5b39</v>
      </c>
      <c r="M799" s="2" t="str">
        <f ca="1">IFERROR(__xludf.DUMMYFUNCTION("""COMPUTED_VALUE"""),"Chardonnay")</f>
        <v>Chardonnay</v>
      </c>
      <c r="N799" s="2"/>
      <c r="O799" s="2" t="str">
        <f ca="1">IFERROR(__xludf.DUMMYFUNCTION("""COMPUTED_VALUE"""),"Descubada")</f>
        <v>Descubada</v>
      </c>
      <c r="P799" s="2" t="str">
        <f ca="1">IFERROR(__xludf.DUMMYFUNCTION("""COMPUTED_VALUE"""),"Descubada")</f>
        <v>Descubada</v>
      </c>
      <c r="Q799" s="2" t="b">
        <f ca="1">IFERROR(__xludf.DUMMYFUNCTION("""COMPUTED_VALUE"""),FALSE)</f>
        <v>0</v>
      </c>
      <c r="R799" s="2" t="str">
        <f ca="1">IFERROR(__xludf.DUMMYFUNCTION("""COMPUTED_VALUE"""),"1er Trasiego")</f>
        <v>1er Trasiego</v>
      </c>
      <c r="S799" s="2"/>
      <c r="T799" s="2"/>
      <c r="U799" s="2" t="str">
        <f ca="1">IFERROR(__xludf.DUMMYFUNCTION("""COMPUTED_VALUE"""),"1-")</f>
        <v>1-</v>
      </c>
    </row>
    <row r="800" spans="1:21" x14ac:dyDescent="0.25">
      <c r="A800" s="2" t="str">
        <f ca="1">IFERROR(__xludf.DUMMYFUNCTION("""COMPUTED_VALUE"""),"ee83c1b1")</f>
        <v>ee83c1b1</v>
      </c>
      <c r="B800" s="5">
        <f ca="1">IFERROR(__xludf.DUMMYFUNCTION("""COMPUTED_VALUE"""),45818.3937384259)</f>
        <v>45818.393738425897</v>
      </c>
      <c r="C800" s="2" t="str">
        <f ca="1">IFERROR(__xludf.DUMMYFUNCTION("""COMPUTED_VALUE"""),"b5e03e7f")</f>
        <v>b5e03e7f</v>
      </c>
      <c r="D800" s="2">
        <f ca="1">IFERROR(__xludf.DUMMYFUNCTION("""COMPUTED_VALUE"""),16)</f>
        <v>16</v>
      </c>
      <c r="E800" s="2" t="str">
        <f ca="1">IFERROR(__xludf.DUMMYFUNCTION("""COMPUTED_VALUE"""),"Chardonnay")</f>
        <v>Chardonnay</v>
      </c>
      <c r="F800" s="2">
        <f ca="1">IFERROR(__xludf.DUMMYFUNCTION("""COMPUTED_VALUE"""),3000)</f>
        <v>3000</v>
      </c>
      <c r="G800" s="2">
        <f ca="1">IFERROR(__xludf.DUMMYFUNCTION("""COMPUTED_VALUE"""),55)</f>
        <v>55</v>
      </c>
      <c r="H800" s="2"/>
      <c r="I800" s="2"/>
      <c r="J800" s="2">
        <f ca="1">IFERROR(__xludf.DUMMYFUNCTION("""COMPUTED_VALUE"""),0)</f>
        <v>0</v>
      </c>
      <c r="K800" s="2">
        <f ca="1">IFERROR(__xludf.DUMMYFUNCTION("""COMPUTED_VALUE"""),3000)</f>
        <v>3000</v>
      </c>
      <c r="L800" s="2" t="str">
        <f ca="1">IFERROR(__xludf.DUMMYFUNCTION("""COMPUTED_VALUE"""),"2d412906")</f>
        <v>2d412906</v>
      </c>
      <c r="M800" s="2" t="str">
        <f ca="1">IFERROR(__xludf.DUMMYFUNCTION("""COMPUTED_VALUE"""),"Chardonnay")</f>
        <v>Chardonnay</v>
      </c>
      <c r="N800" s="2"/>
      <c r="O800" s="2" t="str">
        <f ca="1">IFERROR(__xludf.DUMMYFUNCTION("""COMPUTED_VALUE"""),"Descubada")</f>
        <v>Descubada</v>
      </c>
      <c r="P800" s="2"/>
      <c r="Q800" s="2" t="b">
        <f ca="1">IFERROR(__xludf.DUMMYFUNCTION("""COMPUTED_VALUE"""),FALSE)</f>
        <v>0</v>
      </c>
      <c r="R800" s="2" t="str">
        <f ca="1">IFERROR(__xludf.DUMMYFUNCTION("""COMPUTED_VALUE"""),"1er Trasiego")</f>
        <v>1er Trasiego</v>
      </c>
      <c r="S800" s="2"/>
      <c r="T800" s="2"/>
      <c r="U800" s="2" t="str">
        <f ca="1">IFERROR(__xludf.DUMMYFUNCTION("""COMPUTED_VALUE"""),"1-")</f>
        <v>1-</v>
      </c>
    </row>
    <row r="801" spans="1:21" x14ac:dyDescent="0.25">
      <c r="A801" s="2" t="str">
        <f ca="1">IFERROR(__xludf.DUMMYFUNCTION("""COMPUTED_VALUE"""),"b45bd5ec")</f>
        <v>b45bd5ec</v>
      </c>
      <c r="B801" s="5">
        <f ca="1">IFERROR(__xludf.DUMMYFUNCTION("""COMPUTED_VALUE"""),45818.6500810185)</f>
        <v>45818.650081018503</v>
      </c>
      <c r="C801" s="2" t="str">
        <f ca="1">IFERROR(__xludf.DUMMYFUNCTION("""COMPUTED_VALUE"""),"fbfff24a")</f>
        <v>fbfff24a</v>
      </c>
      <c r="D801" s="2">
        <f ca="1">IFERROR(__xludf.DUMMYFUNCTION("""COMPUTED_VALUE"""),92)</f>
        <v>92</v>
      </c>
      <c r="E801" s="2" t="str">
        <f ca="1">IFERROR(__xludf.DUMMYFUNCTION("""COMPUTED_VALUE"""),"Tinto")</f>
        <v>Tinto</v>
      </c>
      <c r="F801" s="2">
        <f ca="1">IFERROR(__xludf.DUMMYFUNCTION("""COMPUTED_VALUE"""),15000)</f>
        <v>15000</v>
      </c>
      <c r="G801" s="2">
        <f ca="1">IFERROR(__xludf.DUMMYFUNCTION("""COMPUTED_VALUE"""),115)</f>
        <v>115</v>
      </c>
      <c r="H801" s="2"/>
      <c r="I801" s="2"/>
      <c r="J801" s="2">
        <f ca="1">IFERROR(__xludf.DUMMYFUNCTION("""COMPUTED_VALUE"""),0)</f>
        <v>0</v>
      </c>
      <c r="K801" s="2">
        <f ca="1">IFERROR(__xludf.DUMMYFUNCTION("""COMPUTED_VALUE"""),15000)</f>
        <v>15000</v>
      </c>
      <c r="L801" s="2" t="str">
        <f ca="1">IFERROR(__xludf.DUMMYFUNCTION("""COMPUTED_VALUE"""),"8ea18b46")</f>
        <v>8ea18b46</v>
      </c>
      <c r="M801" s="2" t="str">
        <f ca="1">IFERROR(__xludf.DUMMYFUNCTION("""COMPUTED_VALUE"""),"Malbec Venta Lopez")</f>
        <v>Malbec Venta Lopez</v>
      </c>
      <c r="N801" s="2"/>
      <c r="O801" s="2" t="str">
        <f ca="1">IFERROR(__xludf.DUMMYFUNCTION("""COMPUTED_VALUE"""),"Traslado Venta")</f>
        <v>Traslado Venta</v>
      </c>
      <c r="P801" s="2"/>
      <c r="Q801" s="2" t="b">
        <f ca="1">IFERROR(__xludf.DUMMYFUNCTION("""COMPUTED_VALUE"""),FALSE)</f>
        <v>0</v>
      </c>
      <c r="R801" s="2" t="str">
        <f ca="1">IFERROR(__xludf.DUMMYFUNCTION("""COMPUTED_VALUE"""),"2do Trasiego")</f>
        <v>2do Trasiego</v>
      </c>
      <c r="S801" s="2"/>
      <c r="T801" s="2"/>
      <c r="U801" s="2" t="str">
        <f ca="1">IFERROR(__xludf.DUMMYFUNCTION("""COMPUTED_VALUE"""),"1")</f>
        <v>1</v>
      </c>
    </row>
    <row r="802" spans="1:21" x14ac:dyDescent="0.25">
      <c r="A802" s="2" t="str">
        <f ca="1">IFERROR(__xludf.DUMMYFUNCTION("""COMPUTED_VALUE"""),"647816fc")</f>
        <v>647816fc</v>
      </c>
      <c r="B802" s="5">
        <f ca="1">IFERROR(__xludf.DUMMYFUNCTION("""COMPUTED_VALUE"""),45818.6525694444)</f>
        <v>45818.652569444399</v>
      </c>
      <c r="C802" s="2" t="str">
        <f ca="1">IFERROR(__xludf.DUMMYFUNCTION("""COMPUTED_VALUE"""),"9a261ef2")</f>
        <v>9a261ef2</v>
      </c>
      <c r="D802" s="2">
        <f ca="1">IFERROR(__xludf.DUMMYFUNCTION("""COMPUTED_VALUE"""),84)</f>
        <v>84</v>
      </c>
      <c r="E802" s="2" t="str">
        <f ca="1">IFERROR(__xludf.DUMMYFUNCTION("""COMPUTED_VALUE"""),"Tinto")</f>
        <v>Tinto</v>
      </c>
      <c r="F802" s="2">
        <f ca="1">IFERROR(__xludf.DUMMYFUNCTION("""COMPUTED_VALUE"""),31000)</f>
        <v>31000</v>
      </c>
      <c r="G802" s="2">
        <f ca="1">IFERROR(__xludf.DUMMYFUNCTION("""COMPUTED_VALUE"""),115)</f>
        <v>115</v>
      </c>
      <c r="H802" s="2" t="str">
        <f ca="1">IFERROR(__xludf.DUMMYFUNCTION("""COMPUTED_VALUE"""),"8ea18b46")</f>
        <v>8ea18b46</v>
      </c>
      <c r="I802" s="2" t="str">
        <f ca="1">IFERROR(__xludf.DUMMYFUNCTION("""COMPUTED_VALUE"""),"Malbec Venta Lopez")</f>
        <v>Malbec Venta Lopez</v>
      </c>
      <c r="J802" s="2">
        <f ca="1">IFERROR(__xludf.DUMMYFUNCTION("""COMPUTED_VALUE"""),15000)</f>
        <v>15000</v>
      </c>
      <c r="K802" s="2">
        <f ca="1">IFERROR(__xludf.DUMMYFUNCTION("""COMPUTED_VALUE"""),46000)</f>
        <v>46000</v>
      </c>
      <c r="L802" s="2" t="str">
        <f ca="1">IFERROR(__xludf.DUMMYFUNCTION("""COMPUTED_VALUE"""),"909558a7")</f>
        <v>909558a7</v>
      </c>
      <c r="M802" s="2" t="str">
        <f ca="1">IFERROR(__xludf.DUMMYFUNCTION("""COMPUTED_VALUE"""),"Malbec Venta Lopez")</f>
        <v>Malbec Venta Lopez</v>
      </c>
      <c r="N802" s="2"/>
      <c r="O802" s="2" t="str">
        <f ca="1">IFERROR(__xludf.DUMMYFUNCTION("""COMPUTED_VALUE"""),"2do Trasiego")</f>
        <v>2do Trasiego</v>
      </c>
      <c r="P802" s="2" t="str">
        <f ca="1">IFERROR(__xludf.DUMMYFUNCTION("""COMPUTED_VALUE"""),"2do Trasiego")</f>
        <v>2do Trasiego</v>
      </c>
      <c r="Q802" s="2" t="b">
        <f ca="1">IFERROR(__xludf.DUMMYFUNCTION("""COMPUTED_VALUE"""),TRUE)</f>
        <v>1</v>
      </c>
      <c r="R802" s="2" t="str">
        <f ca="1">IFERROR(__xludf.DUMMYFUNCTION("""COMPUTED_VALUE"""),"Traslado Venta")</f>
        <v>Traslado Venta</v>
      </c>
      <c r="S802" s="2"/>
      <c r="T802" s="2"/>
      <c r="U802" s="2" t="str">
        <f ca="1">IFERROR(__xludf.DUMMYFUNCTION("""COMPUTED_VALUE"""),"1")</f>
        <v>1</v>
      </c>
    </row>
    <row r="803" spans="1:21" x14ac:dyDescent="0.25">
      <c r="A803" s="2" t="str">
        <f ca="1">IFERROR(__xludf.DUMMYFUNCTION("""COMPUTED_VALUE"""),"4c36a656")</f>
        <v>4c36a656</v>
      </c>
      <c r="B803" s="5">
        <f ca="1">IFERROR(__xludf.DUMMYFUNCTION("""COMPUTED_VALUE"""),45818.6539467592)</f>
        <v>45818.653946759201</v>
      </c>
      <c r="C803" s="2" t="str">
        <f ca="1">IFERROR(__xludf.DUMMYFUNCTION("""COMPUTED_VALUE"""),"a9aa0086")</f>
        <v>a9aa0086</v>
      </c>
      <c r="D803" s="2">
        <f ca="1">IFERROR(__xludf.DUMMYFUNCTION("""COMPUTED_VALUE"""),114)</f>
        <v>114</v>
      </c>
      <c r="E803" s="2" t="str">
        <f ca="1">IFERROR(__xludf.DUMMYFUNCTION("""COMPUTED_VALUE"""),"Syrah Tempranillo")</f>
        <v>Syrah Tempranillo</v>
      </c>
      <c r="F803" s="2">
        <f ca="1">IFERROR(__xludf.DUMMYFUNCTION("""COMPUTED_VALUE"""),30000)</f>
        <v>30000</v>
      </c>
      <c r="G803" s="2">
        <f ca="1">IFERROR(__xludf.DUMMYFUNCTION("""COMPUTED_VALUE"""),115)</f>
        <v>115</v>
      </c>
      <c r="H803" s="2" t="str">
        <f ca="1">IFERROR(__xludf.DUMMYFUNCTION("""COMPUTED_VALUE"""),"909558a7")</f>
        <v>909558a7</v>
      </c>
      <c r="I803" s="2" t="str">
        <f ca="1">IFERROR(__xludf.DUMMYFUNCTION("""COMPUTED_VALUE"""),"Malbec Venta Lopez")</f>
        <v>Malbec Venta Lopez</v>
      </c>
      <c r="J803" s="2">
        <f ca="1">IFERROR(__xludf.DUMMYFUNCTION("""COMPUTED_VALUE"""),46000)</f>
        <v>46000</v>
      </c>
      <c r="K803" s="2">
        <f ca="1">IFERROR(__xludf.DUMMYFUNCTION("""COMPUTED_VALUE"""),76000)</f>
        <v>76000</v>
      </c>
      <c r="L803" s="2" t="str">
        <f ca="1">IFERROR(__xludf.DUMMYFUNCTION("""COMPUTED_VALUE"""),"39710208")</f>
        <v>39710208</v>
      </c>
      <c r="M803" s="2" t="str">
        <f ca="1">IFERROR(__xludf.DUMMYFUNCTION("""COMPUTED_VALUE"""),"Malbec Venta Lopez")</f>
        <v>Malbec Venta Lopez</v>
      </c>
      <c r="N803" s="2"/>
      <c r="O803" s="2" t="str">
        <f ca="1">IFERROR(__xludf.DUMMYFUNCTION("""COMPUTED_VALUE"""),"2do Trasiego")</f>
        <v>2do Trasiego</v>
      </c>
      <c r="P803" s="2" t="str">
        <f ca="1">IFERROR(__xludf.DUMMYFUNCTION("""COMPUTED_VALUE"""),"Traslado Venta")</f>
        <v>Traslado Venta</v>
      </c>
      <c r="Q803" s="2" t="b">
        <f ca="1">IFERROR(__xludf.DUMMYFUNCTION("""COMPUTED_VALUE"""),TRUE)</f>
        <v>1</v>
      </c>
      <c r="R803" s="2" t="str">
        <f ca="1">IFERROR(__xludf.DUMMYFUNCTION("""COMPUTED_VALUE"""),"Traslado Venta")</f>
        <v>Traslado Venta</v>
      </c>
      <c r="S803" s="2"/>
      <c r="T803" s="2"/>
      <c r="U803" s="2" t="str">
        <f ca="1">IFERROR(__xludf.DUMMYFUNCTION("""COMPUTED_VALUE"""),"1")</f>
        <v>1</v>
      </c>
    </row>
    <row r="804" spans="1:21" x14ac:dyDescent="0.25">
      <c r="A804" s="2" t="str">
        <f ca="1">IFERROR(__xludf.DUMMYFUNCTION("""COMPUTED_VALUE"""),"ab1c34c4")</f>
        <v>ab1c34c4</v>
      </c>
      <c r="B804" s="5">
        <f ca="1">IFERROR(__xludf.DUMMYFUNCTION("""COMPUTED_VALUE"""),45818.654699074)</f>
        <v>45818.654699074003</v>
      </c>
      <c r="C804" s="2" t="str">
        <f ca="1">IFERROR(__xludf.DUMMYFUNCTION("""COMPUTED_VALUE"""),"5091788b")</f>
        <v>5091788b</v>
      </c>
      <c r="D804" s="2">
        <f ca="1">IFERROR(__xludf.DUMMYFUNCTION("""COMPUTED_VALUE"""),102)</f>
        <v>102</v>
      </c>
      <c r="E804" s="2" t="str">
        <f ca="1">IFERROR(__xludf.DUMMYFUNCTION("""COMPUTED_VALUE"""),"Bonarda")</f>
        <v>Bonarda</v>
      </c>
      <c r="F804" s="2">
        <f ca="1">IFERROR(__xludf.DUMMYFUNCTION("""COMPUTED_VALUE"""),24000)</f>
        <v>24000</v>
      </c>
      <c r="G804" s="2">
        <f ca="1">IFERROR(__xludf.DUMMYFUNCTION("""COMPUTED_VALUE"""),115)</f>
        <v>115</v>
      </c>
      <c r="H804" s="2" t="str">
        <f ca="1">IFERROR(__xludf.DUMMYFUNCTION("""COMPUTED_VALUE"""),"39710208")</f>
        <v>39710208</v>
      </c>
      <c r="I804" s="2" t="str">
        <f ca="1">IFERROR(__xludf.DUMMYFUNCTION("""COMPUTED_VALUE"""),"Malbec Venta Lopez")</f>
        <v>Malbec Venta Lopez</v>
      </c>
      <c r="J804" s="2">
        <f ca="1">IFERROR(__xludf.DUMMYFUNCTION("""COMPUTED_VALUE"""),76000)</f>
        <v>76000</v>
      </c>
      <c r="K804" s="2">
        <f ca="1">IFERROR(__xludf.DUMMYFUNCTION("""COMPUTED_VALUE"""),100000)</f>
        <v>100000</v>
      </c>
      <c r="L804" s="2" t="str">
        <f ca="1">IFERROR(__xludf.DUMMYFUNCTION("""COMPUTED_VALUE"""),"9788a9f2")</f>
        <v>9788a9f2</v>
      </c>
      <c r="M804" s="2" t="str">
        <f ca="1">IFERROR(__xludf.DUMMYFUNCTION("""COMPUTED_VALUE"""),"Malbec Venta Lopez")</f>
        <v>Malbec Venta Lopez</v>
      </c>
      <c r="N804" s="2"/>
      <c r="O804" s="2" t="str">
        <f ca="1">IFERROR(__xludf.DUMMYFUNCTION("""COMPUTED_VALUE"""),"2do Trasiego")</f>
        <v>2do Trasiego</v>
      </c>
      <c r="P804" s="2" t="str">
        <f ca="1">IFERROR(__xludf.DUMMYFUNCTION("""COMPUTED_VALUE"""),"Traslado Venta")</f>
        <v>Traslado Venta</v>
      </c>
      <c r="Q804" s="2" t="b">
        <f ca="1">IFERROR(__xludf.DUMMYFUNCTION("""COMPUTED_VALUE"""),TRUE)</f>
        <v>1</v>
      </c>
      <c r="R804" s="2" t="str">
        <f ca="1">IFERROR(__xludf.DUMMYFUNCTION("""COMPUTED_VALUE"""),"Traslado Venta")</f>
        <v>Traslado Venta</v>
      </c>
      <c r="S804" s="2"/>
      <c r="T804" s="2"/>
      <c r="U804" s="2" t="str">
        <f ca="1">IFERROR(__xludf.DUMMYFUNCTION("""COMPUTED_VALUE"""),"1")</f>
        <v>1</v>
      </c>
    </row>
    <row r="805" spans="1:21" x14ac:dyDescent="0.25">
      <c r="A805" s="2" t="str">
        <f ca="1">IFERROR(__xludf.DUMMYFUNCTION("""COMPUTED_VALUE"""),"5d4f63f7")</f>
        <v>5d4f63f7</v>
      </c>
      <c r="B805" s="5">
        <f ca="1">IFERROR(__xludf.DUMMYFUNCTION("""COMPUTED_VALUE"""),45819.6665393518)</f>
        <v>45819.666539351798</v>
      </c>
      <c r="C805" s="2" t="str">
        <f ca="1">IFERROR(__xludf.DUMMYFUNCTION("""COMPUTED_VALUE"""),"9a261ef2")</f>
        <v>9a261ef2</v>
      </c>
      <c r="D805" s="2">
        <f ca="1">IFERROR(__xludf.DUMMYFUNCTION("""COMPUTED_VALUE"""),84)</f>
        <v>84</v>
      </c>
      <c r="E805" s="2" t="str">
        <f ca="1">IFERROR(__xludf.DUMMYFUNCTION("""COMPUTED_VALUE"""),"Tinto")</f>
        <v>Tinto</v>
      </c>
      <c r="F805" s="2">
        <f ca="1">IFERROR(__xludf.DUMMYFUNCTION("""COMPUTED_VALUE"""),28600)</f>
        <v>28600</v>
      </c>
      <c r="G805" s="2">
        <f ca="1">IFERROR(__xludf.DUMMYFUNCTION("""COMPUTED_VALUE"""),26)</f>
        <v>26</v>
      </c>
      <c r="H805" s="2"/>
      <c r="I805" s="2"/>
      <c r="J805" s="2">
        <f ca="1">IFERROR(__xludf.DUMMYFUNCTION("""COMPUTED_VALUE"""),0)</f>
        <v>0</v>
      </c>
      <c r="K805" s="2">
        <f ca="1">IFERROR(__xludf.DUMMYFUNCTION("""COMPUTED_VALUE"""),28600)</f>
        <v>28600</v>
      </c>
      <c r="L805" s="2" t="str">
        <f ca="1">IFERROR(__xludf.DUMMYFUNCTION("""COMPUTED_VALUE"""),"a985bb2d")</f>
        <v>a985bb2d</v>
      </c>
      <c r="M805" s="2" t="str">
        <f ca="1">IFERROR(__xludf.DUMMYFUNCTION("""COMPUTED_VALUE"""),"Tinto")</f>
        <v>Tinto</v>
      </c>
      <c r="N805" s="2"/>
      <c r="O805" s="2" t="str">
        <f ca="1">IFERROR(__xludf.DUMMYFUNCTION("""COMPUTED_VALUE"""),"2do Trasiego")</f>
        <v>2do Trasiego</v>
      </c>
      <c r="P805" s="2"/>
      <c r="Q805" s="2" t="b">
        <f ca="1">IFERROR(__xludf.DUMMYFUNCTION("""COMPUTED_VALUE"""),FALSE)</f>
        <v>0</v>
      </c>
      <c r="R805" s="2" t="str">
        <f ca="1">IFERROR(__xludf.DUMMYFUNCTION("""COMPUTED_VALUE"""),"2do Trasiego")</f>
        <v>2do Trasiego</v>
      </c>
      <c r="S805" s="2"/>
      <c r="T805" s="2"/>
      <c r="U805" s="2" t="str">
        <f ca="1">IFERROR(__xludf.DUMMYFUNCTION("""COMPUTED_VALUE"""),"1")</f>
        <v>1</v>
      </c>
    </row>
    <row r="806" spans="1:21" x14ac:dyDescent="0.25">
      <c r="A806" s="2" t="str">
        <f ca="1">IFERROR(__xludf.DUMMYFUNCTION("""COMPUTED_VALUE"""),"9abb1140")</f>
        <v>9abb1140</v>
      </c>
      <c r="B806" s="5">
        <f ca="1">IFERROR(__xludf.DUMMYFUNCTION("""COMPUTED_VALUE"""),45819.6675)</f>
        <v>45819.667500000003</v>
      </c>
      <c r="C806" s="2" t="str">
        <f ca="1">IFERROR(__xludf.DUMMYFUNCTION("""COMPUTED_VALUE"""),"b7883137")</f>
        <v>b7883137</v>
      </c>
      <c r="D806" s="2">
        <f ca="1">IFERROR(__xludf.DUMMYFUNCTION("""COMPUTED_VALUE"""),85)</f>
        <v>85</v>
      </c>
      <c r="E806" s="2" t="str">
        <f ca="1">IFERROR(__xludf.DUMMYFUNCTION("""COMPUTED_VALUE"""),"Tinto")</f>
        <v>Tinto</v>
      </c>
      <c r="F806" s="2">
        <f ca="1">IFERROR(__xludf.DUMMYFUNCTION("""COMPUTED_VALUE"""),46200)</f>
        <v>46200</v>
      </c>
      <c r="G806" s="2">
        <f ca="1">IFERROR(__xludf.DUMMYFUNCTION("""COMPUTED_VALUE"""),26)</f>
        <v>26</v>
      </c>
      <c r="H806" s="2" t="str">
        <f ca="1">IFERROR(__xludf.DUMMYFUNCTION("""COMPUTED_VALUE"""),"a985bb2d")</f>
        <v>a985bb2d</v>
      </c>
      <c r="I806" s="2" t="str">
        <f ca="1">IFERROR(__xludf.DUMMYFUNCTION("""COMPUTED_VALUE"""),"Tinto")</f>
        <v>Tinto</v>
      </c>
      <c r="J806" s="2">
        <f ca="1">IFERROR(__xludf.DUMMYFUNCTION("""COMPUTED_VALUE"""),28600)</f>
        <v>28600</v>
      </c>
      <c r="K806" s="2">
        <f ca="1">IFERROR(__xludf.DUMMYFUNCTION("""COMPUTED_VALUE"""),74800)</f>
        <v>74800</v>
      </c>
      <c r="L806" s="2" t="str">
        <f ca="1">IFERROR(__xludf.DUMMYFUNCTION("""COMPUTED_VALUE"""),"1c2d5fc0")</f>
        <v>1c2d5fc0</v>
      </c>
      <c r="M806" s="2" t="str">
        <f ca="1">IFERROR(__xludf.DUMMYFUNCTION("""COMPUTED_VALUE"""),"Tinto")</f>
        <v>Tinto</v>
      </c>
      <c r="N806" s="2"/>
      <c r="O806" s="2" t="str">
        <f ca="1">IFERROR(__xludf.DUMMYFUNCTION("""COMPUTED_VALUE"""),"2do Trasiego")</f>
        <v>2do Trasiego</v>
      </c>
      <c r="P806" s="2" t="str">
        <f ca="1">IFERROR(__xludf.DUMMYFUNCTION("""COMPUTED_VALUE"""),"2do Trasiego")</f>
        <v>2do Trasiego</v>
      </c>
      <c r="Q806" s="2" t="b">
        <f ca="1">IFERROR(__xludf.DUMMYFUNCTION("""COMPUTED_VALUE"""),TRUE)</f>
        <v>1</v>
      </c>
      <c r="R806" s="2" t="str">
        <f ca="1">IFERROR(__xludf.DUMMYFUNCTION("""COMPUTED_VALUE"""),"2do Trasiego")</f>
        <v>2do Trasiego</v>
      </c>
      <c r="S806" s="2"/>
      <c r="T806" s="2"/>
      <c r="U806" s="2" t="str">
        <f ca="1">IFERROR(__xludf.DUMMYFUNCTION("""COMPUTED_VALUE"""),"1")</f>
        <v>1</v>
      </c>
    </row>
    <row r="807" spans="1:21" x14ac:dyDescent="0.25">
      <c r="A807" s="2" t="str">
        <f ca="1">IFERROR(__xludf.DUMMYFUNCTION("""COMPUTED_VALUE"""),"b2d7ad2b")</f>
        <v>b2d7ad2b</v>
      </c>
      <c r="B807" s="5">
        <f ca="1">IFERROR(__xludf.DUMMYFUNCTION("""COMPUTED_VALUE"""),45819.6681481481)</f>
        <v>45819.668148148099</v>
      </c>
      <c r="C807" s="2" t="str">
        <f ca="1">IFERROR(__xludf.DUMMYFUNCTION("""COMPUTED_VALUE"""),"b04cae80")</f>
        <v>b04cae80</v>
      </c>
      <c r="D807" s="2">
        <f ca="1">IFERROR(__xludf.DUMMYFUNCTION("""COMPUTED_VALUE"""),87)</f>
        <v>87</v>
      </c>
      <c r="E807" s="2" t="str">
        <f ca="1">IFERROR(__xludf.DUMMYFUNCTION("""COMPUTED_VALUE"""),"Tinto")</f>
        <v>Tinto</v>
      </c>
      <c r="F807" s="2">
        <f ca="1">IFERROR(__xludf.DUMMYFUNCTION("""COMPUTED_VALUE"""),51500)</f>
        <v>51500</v>
      </c>
      <c r="G807" s="2">
        <f ca="1">IFERROR(__xludf.DUMMYFUNCTION("""COMPUTED_VALUE"""),26)</f>
        <v>26</v>
      </c>
      <c r="H807" s="2" t="str">
        <f ca="1">IFERROR(__xludf.DUMMYFUNCTION("""COMPUTED_VALUE"""),"1c2d5fc0")</f>
        <v>1c2d5fc0</v>
      </c>
      <c r="I807" s="2" t="str">
        <f ca="1">IFERROR(__xludf.DUMMYFUNCTION("""COMPUTED_VALUE"""),"Tinto")</f>
        <v>Tinto</v>
      </c>
      <c r="J807" s="2">
        <f ca="1">IFERROR(__xludf.DUMMYFUNCTION("""COMPUTED_VALUE"""),74800)</f>
        <v>74800</v>
      </c>
      <c r="K807" s="2">
        <f ca="1">IFERROR(__xludf.DUMMYFUNCTION("""COMPUTED_VALUE"""),126300)</f>
        <v>126300</v>
      </c>
      <c r="L807" s="2" t="str">
        <f ca="1">IFERROR(__xludf.DUMMYFUNCTION("""COMPUTED_VALUE"""),"4eb11d7e")</f>
        <v>4eb11d7e</v>
      </c>
      <c r="M807" s="2" t="str">
        <f ca="1">IFERROR(__xludf.DUMMYFUNCTION("""COMPUTED_VALUE"""),"Tinto")</f>
        <v>Tinto</v>
      </c>
      <c r="N807" s="2"/>
      <c r="O807" s="2" t="str">
        <f ca="1">IFERROR(__xludf.DUMMYFUNCTION("""COMPUTED_VALUE"""),"2do Trasiego")</f>
        <v>2do Trasiego</v>
      </c>
      <c r="P807" s="2" t="str">
        <f ca="1">IFERROR(__xludf.DUMMYFUNCTION("""COMPUTED_VALUE"""),"2do Trasiego")</f>
        <v>2do Trasiego</v>
      </c>
      <c r="Q807" s="2" t="b">
        <f ca="1">IFERROR(__xludf.DUMMYFUNCTION("""COMPUTED_VALUE"""),TRUE)</f>
        <v>1</v>
      </c>
      <c r="R807" s="2" t="str">
        <f ca="1">IFERROR(__xludf.DUMMYFUNCTION("""COMPUTED_VALUE"""),"2do Trasiego")</f>
        <v>2do Trasiego</v>
      </c>
      <c r="S807" s="2"/>
      <c r="T807" s="2"/>
      <c r="U807" s="2" t="str">
        <f ca="1">IFERROR(__xludf.DUMMYFUNCTION("""COMPUTED_VALUE"""),"1")</f>
        <v>1</v>
      </c>
    </row>
    <row r="808" spans="1:2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x14ac:dyDescent="0.25">
      <c r="A809" s="2" t="str">
        <f ca="1">IFERROR(__xludf.DUMMYFUNCTION("""COMPUTED_VALUE"""),"ea926d37")</f>
        <v>ea926d37</v>
      </c>
      <c r="B809" s="5">
        <f ca="1">IFERROR(__xludf.DUMMYFUNCTION("""COMPUTED_VALUE"""),45819.6693981481)</f>
        <v>45819.6693981481</v>
      </c>
      <c r="C809" s="2" t="str">
        <f ca="1">IFERROR(__xludf.DUMMYFUNCTION("""COMPUTED_VALUE"""),"2d4e2ede")</f>
        <v>2d4e2ede</v>
      </c>
      <c r="D809" s="2">
        <f ca="1">IFERROR(__xludf.DUMMYFUNCTION("""COMPUTED_VALUE"""),45)</f>
        <v>45</v>
      </c>
      <c r="E809" s="2" t="str">
        <f ca="1">IFERROR(__xludf.DUMMYFUNCTION("""COMPUTED_VALUE"""),"Tinto")</f>
        <v>Tinto</v>
      </c>
      <c r="F809" s="2">
        <f ca="1">IFERROR(__xludf.DUMMYFUNCTION("""COMPUTED_VALUE"""),16500)</f>
        <v>16500</v>
      </c>
      <c r="G809" s="2">
        <f ca="1">IFERROR(__xludf.DUMMYFUNCTION("""COMPUTED_VALUE"""),26)</f>
        <v>26</v>
      </c>
      <c r="H809" s="2" t="str">
        <f ca="1">IFERROR(__xludf.DUMMYFUNCTION("""COMPUTED_VALUE"""),"4eb11d7e")</f>
        <v>4eb11d7e</v>
      </c>
      <c r="I809" s="2" t="str">
        <f ca="1">IFERROR(__xludf.DUMMYFUNCTION("""COMPUTED_VALUE"""),"Tinto")</f>
        <v>Tinto</v>
      </c>
      <c r="J809" s="2">
        <f ca="1">IFERROR(__xludf.DUMMYFUNCTION("""COMPUTED_VALUE"""),126300)</f>
        <v>126300</v>
      </c>
      <c r="K809" s="2">
        <f ca="1">IFERROR(__xludf.DUMMYFUNCTION("""COMPUTED_VALUE"""),142800)</f>
        <v>142800</v>
      </c>
      <c r="L809" s="2" t="str">
        <f ca="1">IFERROR(__xludf.DUMMYFUNCTION("""COMPUTED_VALUE"""),"347bb900")</f>
        <v>347bb900</v>
      </c>
      <c r="M809" s="2" t="str">
        <f ca="1">IFERROR(__xludf.DUMMYFUNCTION("""COMPUTED_VALUE"""),"Tinto")</f>
        <v>Tinto</v>
      </c>
      <c r="N809" s="2"/>
      <c r="O809" s="2" t="str">
        <f ca="1">IFERROR(__xludf.DUMMYFUNCTION("""COMPUTED_VALUE"""),"Rectificado")</f>
        <v>Rectificado</v>
      </c>
      <c r="P809" s="2" t="str">
        <f ca="1">IFERROR(__xludf.DUMMYFUNCTION("""COMPUTED_VALUE"""),"2do Trasiego")</f>
        <v>2do Trasiego</v>
      </c>
      <c r="Q809" s="2" t="b">
        <f ca="1">IFERROR(__xludf.DUMMYFUNCTION("""COMPUTED_VALUE"""),TRUE)</f>
        <v>1</v>
      </c>
      <c r="R809" s="2" t="str">
        <f ca="1">IFERROR(__xludf.DUMMYFUNCTION("""COMPUTED_VALUE"""),"2do Trasiego")</f>
        <v>2do Trasiego</v>
      </c>
      <c r="S809" s="2"/>
      <c r="T809" s="2"/>
      <c r="U809" s="2" t="str">
        <f ca="1">IFERROR(__xludf.DUMMYFUNCTION("""COMPUTED_VALUE"""),"1")</f>
        <v>1</v>
      </c>
    </row>
    <row r="810" spans="1:21" x14ac:dyDescent="0.25">
      <c r="A810" s="2" t="str">
        <f ca="1">IFERROR(__xludf.DUMMYFUNCTION("""COMPUTED_VALUE"""),"d5f12a61")</f>
        <v>d5f12a61</v>
      </c>
      <c r="B810" s="5">
        <f ca="1">IFERROR(__xludf.DUMMYFUNCTION("""COMPUTED_VALUE"""),45819.6698032407)</f>
        <v>45819.6698032407</v>
      </c>
      <c r="C810" s="2" t="str">
        <f ca="1">IFERROR(__xludf.DUMMYFUNCTION("""COMPUTED_VALUE"""),"1cdbd1a4")</f>
        <v>1cdbd1a4</v>
      </c>
      <c r="D810" s="2">
        <f ca="1">IFERROR(__xludf.DUMMYFUNCTION("""COMPUTED_VALUE"""),70)</f>
        <v>70</v>
      </c>
      <c r="E810" s="2" t="str">
        <f ca="1">IFERROR(__xludf.DUMMYFUNCTION("""COMPUTED_VALUE"""),"Tinto G")</f>
        <v>Tinto G</v>
      </c>
      <c r="F810" s="2">
        <f ca="1">IFERROR(__xludf.DUMMYFUNCTION("""COMPUTED_VALUE"""),7100)</f>
        <v>7100</v>
      </c>
      <c r="G810" s="2">
        <f ca="1">IFERROR(__xludf.DUMMYFUNCTION("""COMPUTED_VALUE"""),26)</f>
        <v>26</v>
      </c>
      <c r="H810" s="2" t="str">
        <f ca="1">IFERROR(__xludf.DUMMYFUNCTION("""COMPUTED_VALUE"""),"347bb900")</f>
        <v>347bb900</v>
      </c>
      <c r="I810" s="2" t="str">
        <f ca="1">IFERROR(__xludf.DUMMYFUNCTION("""COMPUTED_VALUE"""),"Tinto")</f>
        <v>Tinto</v>
      </c>
      <c r="J810" s="2">
        <f ca="1">IFERROR(__xludf.DUMMYFUNCTION("""COMPUTED_VALUE"""),142800)</f>
        <v>142800</v>
      </c>
      <c r="K810" s="2">
        <f ca="1">IFERROR(__xludf.DUMMYFUNCTION("""COMPUTED_VALUE"""),149900)</f>
        <v>149900</v>
      </c>
      <c r="L810" s="2" t="str">
        <f ca="1">IFERROR(__xludf.DUMMYFUNCTION("""COMPUTED_VALUE"""),"0148e4b4")</f>
        <v>0148e4b4</v>
      </c>
      <c r="M810" s="2" t="str">
        <f ca="1">IFERROR(__xludf.DUMMYFUNCTION("""COMPUTED_VALUE"""),"Tinto")</f>
        <v>Tinto</v>
      </c>
      <c r="N810" s="2"/>
      <c r="O810" s="2" t="str">
        <f ca="1">IFERROR(__xludf.DUMMYFUNCTION("""COMPUTED_VALUE"""),"2do Trasiego")</f>
        <v>2do Trasiego</v>
      </c>
      <c r="P810" s="2" t="str">
        <f ca="1">IFERROR(__xludf.DUMMYFUNCTION("""COMPUTED_VALUE"""),"2do Trasiego")</f>
        <v>2do Trasiego</v>
      </c>
      <c r="Q810" s="2" t="b">
        <f ca="1">IFERROR(__xludf.DUMMYFUNCTION("""COMPUTED_VALUE"""),TRUE)</f>
        <v>1</v>
      </c>
      <c r="R810" s="2" t="str">
        <f ca="1">IFERROR(__xludf.DUMMYFUNCTION("""COMPUTED_VALUE"""),"2do Trasiego")</f>
        <v>2do Trasiego</v>
      </c>
      <c r="S810" s="2"/>
      <c r="T810" s="2"/>
      <c r="U810" s="2" t="str">
        <f ca="1">IFERROR(__xludf.DUMMYFUNCTION("""COMPUTED_VALUE"""),"1")</f>
        <v>1</v>
      </c>
    </row>
    <row r="811" spans="1:21" x14ac:dyDescent="0.25">
      <c r="A811" s="2" t="str">
        <f ca="1">IFERROR(__xludf.DUMMYFUNCTION("""COMPUTED_VALUE"""),"66eddced")</f>
        <v>66eddced</v>
      </c>
      <c r="B811" s="5">
        <f ca="1">IFERROR(__xludf.DUMMYFUNCTION("""COMPUTED_VALUE"""),45819.6701273148)</f>
        <v>45819.670127314799</v>
      </c>
      <c r="C811" s="2" t="str">
        <f ca="1">IFERROR(__xludf.DUMMYFUNCTION("""COMPUTED_VALUE"""),"36493bbe")</f>
        <v>36493bbe</v>
      </c>
      <c r="D811" s="2">
        <f ca="1">IFERROR(__xludf.DUMMYFUNCTION("""COMPUTED_VALUE"""),68)</f>
        <v>68</v>
      </c>
      <c r="E811" s="2" t="str">
        <f ca="1">IFERROR(__xludf.DUMMYFUNCTION("""COMPUTED_VALUE"""),"Tinto (Ch)")</f>
        <v>Tinto (Ch)</v>
      </c>
      <c r="F811" s="2">
        <f ca="1">IFERROR(__xludf.DUMMYFUNCTION("""COMPUTED_VALUE"""),7100)</f>
        <v>7100</v>
      </c>
      <c r="G811" s="2">
        <f ca="1">IFERROR(__xludf.DUMMYFUNCTION("""COMPUTED_VALUE"""),26)</f>
        <v>26</v>
      </c>
      <c r="H811" s="2" t="str">
        <f ca="1">IFERROR(__xludf.DUMMYFUNCTION("""COMPUTED_VALUE"""),"0148e4b4")</f>
        <v>0148e4b4</v>
      </c>
      <c r="I811" s="2" t="str">
        <f ca="1">IFERROR(__xludf.DUMMYFUNCTION("""COMPUTED_VALUE"""),"Tinto")</f>
        <v>Tinto</v>
      </c>
      <c r="J811" s="2">
        <f ca="1">IFERROR(__xludf.DUMMYFUNCTION("""COMPUTED_VALUE"""),149900)</f>
        <v>149900</v>
      </c>
      <c r="K811" s="2">
        <f ca="1">IFERROR(__xludf.DUMMYFUNCTION("""COMPUTED_VALUE"""),157000)</f>
        <v>157000</v>
      </c>
      <c r="L811" s="2" t="str">
        <f ca="1">IFERROR(__xludf.DUMMYFUNCTION("""COMPUTED_VALUE"""),"c93a8335")</f>
        <v>c93a8335</v>
      </c>
      <c r="M811" s="2" t="str">
        <f ca="1">IFERROR(__xludf.DUMMYFUNCTION("""COMPUTED_VALUE"""),"Tinto")</f>
        <v>Tinto</v>
      </c>
      <c r="N811" s="2"/>
      <c r="O811" s="2" t="str">
        <f ca="1">IFERROR(__xludf.DUMMYFUNCTION("""COMPUTED_VALUE"""),"2do Trasiego")</f>
        <v>2do Trasiego</v>
      </c>
      <c r="P811" s="2" t="str">
        <f ca="1">IFERROR(__xludf.DUMMYFUNCTION("""COMPUTED_VALUE"""),"2do Trasiego")</f>
        <v>2do Trasiego</v>
      </c>
      <c r="Q811" s="2" t="b">
        <f ca="1">IFERROR(__xludf.DUMMYFUNCTION("""COMPUTED_VALUE"""),TRUE)</f>
        <v>1</v>
      </c>
      <c r="R811" s="2" t="str">
        <f ca="1">IFERROR(__xludf.DUMMYFUNCTION("""COMPUTED_VALUE"""),"2do Trasiego")</f>
        <v>2do Trasiego</v>
      </c>
      <c r="S811" s="2"/>
      <c r="T811" s="2"/>
      <c r="U811" s="2" t="str">
        <f ca="1">IFERROR(__xludf.DUMMYFUNCTION("""COMPUTED_VALUE"""),"1")</f>
        <v>1</v>
      </c>
    </row>
    <row r="812" spans="1:21" x14ac:dyDescent="0.25">
      <c r="A812" s="2" t="str">
        <f ca="1">IFERROR(__xludf.DUMMYFUNCTION("""COMPUTED_VALUE"""),"ee08cf65")</f>
        <v>ee08cf65</v>
      </c>
      <c r="B812" s="5">
        <f ca="1">IFERROR(__xludf.DUMMYFUNCTION("""COMPUTED_VALUE"""),45819.6705208333)</f>
        <v>45819.670520833301</v>
      </c>
      <c r="C812" s="2" t="str">
        <f ca="1">IFERROR(__xludf.DUMMYFUNCTION("""COMPUTED_VALUE"""),"ae9d3290")</f>
        <v>ae9d3290</v>
      </c>
      <c r="D812" s="2">
        <f ca="1">IFERROR(__xludf.DUMMYFUNCTION("""COMPUTED_VALUE"""),54)</f>
        <v>54</v>
      </c>
      <c r="E812" s="2" t="str">
        <f ca="1">IFERROR(__xludf.DUMMYFUNCTION("""COMPUTED_VALUE"""),"Tinto (Claro F)")</f>
        <v>Tinto (Claro F)</v>
      </c>
      <c r="F812" s="2">
        <f ca="1">IFERROR(__xludf.DUMMYFUNCTION("""COMPUTED_VALUE"""),12500)</f>
        <v>12500</v>
      </c>
      <c r="G812" s="2">
        <f ca="1">IFERROR(__xludf.DUMMYFUNCTION("""COMPUTED_VALUE"""),26)</f>
        <v>26</v>
      </c>
      <c r="H812" s="2" t="str">
        <f ca="1">IFERROR(__xludf.DUMMYFUNCTION("""COMPUTED_VALUE"""),"c93a8335")</f>
        <v>c93a8335</v>
      </c>
      <c r="I812" s="2" t="str">
        <f ca="1">IFERROR(__xludf.DUMMYFUNCTION("""COMPUTED_VALUE"""),"Tinto")</f>
        <v>Tinto</v>
      </c>
      <c r="J812" s="2">
        <f ca="1">IFERROR(__xludf.DUMMYFUNCTION("""COMPUTED_VALUE"""),157000)</f>
        <v>157000</v>
      </c>
      <c r="K812" s="2">
        <f ca="1">IFERROR(__xludf.DUMMYFUNCTION("""COMPUTED_VALUE"""),169500)</f>
        <v>169500</v>
      </c>
      <c r="L812" s="2" t="str">
        <f ca="1">IFERROR(__xludf.DUMMYFUNCTION("""COMPUTED_VALUE"""),"3f9e249f")</f>
        <v>3f9e249f</v>
      </c>
      <c r="M812" s="2" t="str">
        <f ca="1">IFERROR(__xludf.DUMMYFUNCTION("""COMPUTED_VALUE"""),"Tinto")</f>
        <v>Tinto</v>
      </c>
      <c r="N812" s="2"/>
      <c r="O812" s="2" t="str">
        <f ca="1">IFERROR(__xludf.DUMMYFUNCTION("""COMPUTED_VALUE"""),"2do Trasiego")</f>
        <v>2do Trasiego</v>
      </c>
      <c r="P812" s="2" t="str">
        <f ca="1">IFERROR(__xludf.DUMMYFUNCTION("""COMPUTED_VALUE"""),"2do Trasiego")</f>
        <v>2do Trasiego</v>
      </c>
      <c r="Q812" s="2" t="b">
        <f ca="1">IFERROR(__xludf.DUMMYFUNCTION("""COMPUTED_VALUE"""),TRUE)</f>
        <v>1</v>
      </c>
      <c r="R812" s="2" t="str">
        <f ca="1">IFERROR(__xludf.DUMMYFUNCTION("""COMPUTED_VALUE"""),"2do Trasiego")</f>
        <v>2do Trasiego</v>
      </c>
      <c r="S812" s="2"/>
      <c r="T812" s="2"/>
      <c r="U812" s="2" t="str">
        <f ca="1">IFERROR(__xludf.DUMMYFUNCTION("""COMPUTED_VALUE"""),"1")</f>
        <v>1</v>
      </c>
    </row>
    <row r="813" spans="1:21" x14ac:dyDescent="0.25">
      <c r="A813" s="2" t="str">
        <f ca="1">IFERROR(__xludf.DUMMYFUNCTION("""COMPUTED_VALUE"""),"08ee90c8")</f>
        <v>08ee90c8</v>
      </c>
      <c r="B813" s="5">
        <f ca="1">IFERROR(__xludf.DUMMYFUNCTION("""COMPUTED_VALUE"""),45819.6746875)</f>
        <v>45819.674687500003</v>
      </c>
      <c r="C813" s="2" t="str">
        <f ca="1">IFERROR(__xludf.DUMMYFUNCTION("""COMPUTED_VALUE"""),"fbfff24a")</f>
        <v>fbfff24a</v>
      </c>
      <c r="D813" s="2">
        <f ca="1">IFERROR(__xludf.DUMMYFUNCTION("""COMPUTED_VALUE"""),92)</f>
        <v>92</v>
      </c>
      <c r="E813" s="2" t="str">
        <f ca="1">IFERROR(__xludf.DUMMYFUNCTION("""COMPUTED_VALUE"""),"Tinto")</f>
        <v>Tinto</v>
      </c>
      <c r="F813" s="2">
        <f ca="1">IFERROR(__xludf.DUMMYFUNCTION("""COMPUTED_VALUE"""),33500)</f>
        <v>33500</v>
      </c>
      <c r="G813" s="2">
        <f ca="1">IFERROR(__xludf.DUMMYFUNCTION("""COMPUTED_VALUE"""),26)</f>
        <v>26</v>
      </c>
      <c r="H813" s="2" t="str">
        <f ca="1">IFERROR(__xludf.DUMMYFUNCTION("""COMPUTED_VALUE"""),"3f9e249f")</f>
        <v>3f9e249f</v>
      </c>
      <c r="I813" s="2" t="str">
        <f ca="1">IFERROR(__xludf.DUMMYFUNCTION("""COMPUTED_VALUE"""),"Tinto")</f>
        <v>Tinto</v>
      </c>
      <c r="J813" s="2">
        <f ca="1">IFERROR(__xludf.DUMMYFUNCTION("""COMPUTED_VALUE"""),169500)</f>
        <v>169500</v>
      </c>
      <c r="K813" s="2">
        <f ca="1">IFERROR(__xludf.DUMMYFUNCTION("""COMPUTED_VALUE"""),203000)</f>
        <v>203000</v>
      </c>
      <c r="L813" s="2" t="str">
        <f ca="1">IFERROR(__xludf.DUMMYFUNCTION("""COMPUTED_VALUE"""),"46e42ed3")</f>
        <v>46e42ed3</v>
      </c>
      <c r="M813" s="2" t="str">
        <f ca="1">IFERROR(__xludf.DUMMYFUNCTION("""COMPUTED_VALUE"""),"Tinto")</f>
        <v>Tinto</v>
      </c>
      <c r="N813" s="2"/>
      <c r="O813" s="2" t="str">
        <f ca="1">IFERROR(__xludf.DUMMYFUNCTION("""COMPUTED_VALUE"""),"2do Trasiego")</f>
        <v>2do Trasiego</v>
      </c>
      <c r="P813" s="2" t="str">
        <f ca="1">IFERROR(__xludf.DUMMYFUNCTION("""COMPUTED_VALUE"""),"2do Trasiego")</f>
        <v>2do Trasiego</v>
      </c>
      <c r="Q813" s="2" t="b">
        <f ca="1">IFERROR(__xludf.DUMMYFUNCTION("""COMPUTED_VALUE"""),TRUE)</f>
        <v>1</v>
      </c>
      <c r="R813" s="2" t="str">
        <f ca="1">IFERROR(__xludf.DUMMYFUNCTION("""COMPUTED_VALUE"""),"2do Trasiego")</f>
        <v>2do Trasiego</v>
      </c>
      <c r="S813" s="2"/>
      <c r="T813" s="2"/>
      <c r="U813" s="2" t="str">
        <f ca="1">IFERROR(__xludf.DUMMYFUNCTION("""COMPUTED_VALUE"""),"1")</f>
        <v>1</v>
      </c>
    </row>
    <row r="814" spans="1:21" x14ac:dyDescent="0.25">
      <c r="A814" s="2" t="str">
        <f ca="1">IFERROR(__xludf.DUMMYFUNCTION("""COMPUTED_VALUE"""),"1c0e3a99")</f>
        <v>1c0e3a99</v>
      </c>
      <c r="B814" s="5">
        <f ca="1">IFERROR(__xludf.DUMMYFUNCTION("""COMPUTED_VALUE"""),45820.4569097222)</f>
        <v>45820.456909722197</v>
      </c>
      <c r="C814" s="2" t="str">
        <f ca="1">IFERROR(__xludf.DUMMYFUNCTION("""COMPUTED_VALUE"""),"b5e03e7f")</f>
        <v>b5e03e7f</v>
      </c>
      <c r="D814" s="2">
        <f ca="1">IFERROR(__xludf.DUMMYFUNCTION("""COMPUTED_VALUE"""),16)</f>
        <v>16</v>
      </c>
      <c r="E814" s="2" t="str">
        <f ca="1">IFERROR(__xludf.DUMMYFUNCTION("""COMPUTED_VALUE"""),"Chardonnay")</f>
        <v>Chardonnay</v>
      </c>
      <c r="F814" s="2">
        <f ca="1">IFERROR(__xludf.DUMMYFUNCTION("""COMPUTED_VALUE"""),200)</f>
        <v>200</v>
      </c>
      <c r="G814" s="2">
        <f ca="1">IFERROR(__xludf.DUMMYFUNCTION("""COMPUTED_VALUE"""),2)</f>
        <v>2</v>
      </c>
      <c r="H814" s="2" t="str">
        <f ca="1">IFERROR(__xludf.DUMMYFUNCTION("""COMPUTED_VALUE"""),"2fa9b98c")</f>
        <v>2fa9b98c</v>
      </c>
      <c r="I814" s="2" t="str">
        <f ca="1">IFERROR(__xludf.DUMMYFUNCTION("""COMPUTED_VALUE"""),"Tacho Pl Torrontes")</f>
        <v>Tacho Pl Torrontes</v>
      </c>
      <c r="J814" s="2">
        <f ca="1">IFERROR(__xludf.DUMMYFUNCTION("""COMPUTED_VALUE"""),2000)</f>
        <v>2000</v>
      </c>
      <c r="K814" s="2">
        <f ca="1">IFERROR(__xludf.DUMMYFUNCTION("""COMPUTED_VALUE"""),2200)</f>
        <v>2200</v>
      </c>
      <c r="L814" s="2" t="str">
        <f ca="1">IFERROR(__xludf.DUMMYFUNCTION("""COMPUTED_VALUE"""),"da997936")</f>
        <v>da997936</v>
      </c>
      <c r="M814" s="2" t="str">
        <f ca="1">IFERROR(__xludf.DUMMYFUNCTION("""COMPUTED_VALUE"""),"Chardonnay")</f>
        <v>Chardonnay</v>
      </c>
      <c r="N814" s="2"/>
      <c r="O814" s="2" t="str">
        <f ca="1">IFERROR(__xludf.DUMMYFUNCTION("""COMPUTED_VALUE"""),"Descubada")</f>
        <v>Descubada</v>
      </c>
      <c r="P814" s="2" t="str">
        <f ca="1">IFERROR(__xludf.DUMMYFUNCTION("""COMPUTED_VALUE"""),"Descubada")</f>
        <v>Descubada</v>
      </c>
      <c r="Q814" s="2" t="b">
        <f ca="1">IFERROR(__xludf.DUMMYFUNCTION("""COMPUTED_VALUE"""),FALSE)</f>
        <v>0</v>
      </c>
      <c r="R814" s="2" t="str">
        <f ca="1">IFERROR(__xludf.DUMMYFUNCTION("""COMPUTED_VALUE"""),"Descubada")</f>
        <v>Descubada</v>
      </c>
      <c r="S814" s="2"/>
      <c r="T814" s="2"/>
      <c r="U814" s="2" t="str">
        <f ca="1">IFERROR(__xludf.DUMMYFUNCTION("""COMPUTED_VALUE"""),"1-")</f>
        <v>1-</v>
      </c>
    </row>
    <row r="815" spans="1:21" x14ac:dyDescent="0.25">
      <c r="A815" s="2" t="str">
        <f ca="1">IFERROR(__xludf.DUMMYFUNCTION("""COMPUTED_VALUE"""),"7c514ed9")</f>
        <v>7c514ed9</v>
      </c>
      <c r="B815" s="5">
        <f ca="1">IFERROR(__xludf.DUMMYFUNCTION("""COMPUTED_VALUE"""),45821.7390162037)</f>
        <v>45821.739016203697</v>
      </c>
      <c r="C815" s="2" t="str">
        <f ca="1">IFERROR(__xludf.DUMMYFUNCTION("""COMPUTED_VALUE"""),"a9aa0086")</f>
        <v>a9aa0086</v>
      </c>
      <c r="D815" s="2">
        <f ca="1">IFERROR(__xludf.DUMMYFUNCTION("""COMPUTED_VALUE"""),114)</f>
        <v>114</v>
      </c>
      <c r="E815" s="2" t="str">
        <f ca="1">IFERROR(__xludf.DUMMYFUNCTION("""COMPUTED_VALUE"""),"Syrah Tempranillo")</f>
        <v>Syrah Tempranillo</v>
      </c>
      <c r="F815" s="2">
        <f ca="1">IFERROR(__xludf.DUMMYFUNCTION("""COMPUTED_VALUE"""),83500)</f>
        <v>83500</v>
      </c>
      <c r="G815" s="2">
        <f ca="1">IFERROR(__xludf.DUMMYFUNCTION("""COMPUTED_VALUE"""),89)</f>
        <v>89</v>
      </c>
      <c r="H815" s="2"/>
      <c r="I815" s="2"/>
      <c r="J815" s="2">
        <f ca="1">IFERROR(__xludf.DUMMYFUNCTION("""COMPUTED_VALUE"""),0)</f>
        <v>0</v>
      </c>
      <c r="K815" s="2">
        <f ca="1">IFERROR(__xludf.DUMMYFUNCTION("""COMPUTED_VALUE"""),83500)</f>
        <v>83500</v>
      </c>
      <c r="L815" s="2" t="str">
        <f ca="1">IFERROR(__xludf.DUMMYFUNCTION("""COMPUTED_VALUE"""),"dddbf851")</f>
        <v>dddbf851</v>
      </c>
      <c r="M815" s="2" t="str">
        <f ca="1">IFERROR(__xludf.DUMMYFUNCTION("""COMPUTED_VALUE"""),"Syrah Tempranillo")</f>
        <v>Syrah Tempranillo</v>
      </c>
      <c r="N815" s="2"/>
      <c r="O815" s="2" t="str">
        <f ca="1">IFERROR(__xludf.DUMMYFUNCTION("""COMPUTED_VALUE"""),"2do Trasiego")</f>
        <v>2do Trasiego</v>
      </c>
      <c r="P815" s="2"/>
      <c r="Q815" s="2" t="b">
        <f ca="1">IFERROR(__xludf.DUMMYFUNCTION("""COMPUTED_VALUE"""),FALSE)</f>
        <v>0</v>
      </c>
      <c r="R815" s="2" t="str">
        <f ca="1">IFERROR(__xludf.DUMMYFUNCTION("""COMPUTED_VALUE"""),"2do Trasiego")</f>
        <v>2do Trasiego</v>
      </c>
      <c r="S815" s="2"/>
      <c r="T815" s="2"/>
      <c r="U815" s="2" t="str">
        <f ca="1">IFERROR(__xludf.DUMMYFUNCTION("""COMPUTED_VALUE"""),"1+")</f>
        <v>1+</v>
      </c>
    </row>
    <row r="816" spans="1:21" x14ac:dyDescent="0.25">
      <c r="A816" s="2" t="str">
        <f ca="1">IFERROR(__xludf.DUMMYFUNCTION("""COMPUTED_VALUE"""),"a9d854d5")</f>
        <v>a9d854d5</v>
      </c>
      <c r="B816" s="5">
        <f ca="1">IFERROR(__xludf.DUMMYFUNCTION("""COMPUTED_VALUE"""),45821.7396412037)</f>
        <v>45821.739641203698</v>
      </c>
      <c r="C816" s="2" t="str">
        <f ca="1">IFERROR(__xludf.DUMMYFUNCTION("""COMPUTED_VALUE"""),"a9aa0086")</f>
        <v>a9aa0086</v>
      </c>
      <c r="D816" s="2">
        <f ca="1">IFERROR(__xludf.DUMMYFUNCTION("""COMPUTED_VALUE"""),114)</f>
        <v>114</v>
      </c>
      <c r="E816" s="2" t="str">
        <f ca="1">IFERROR(__xludf.DUMMYFUNCTION("""COMPUTED_VALUE"""),"Syrah Tempranillo")</f>
        <v>Syrah Tempranillo</v>
      </c>
      <c r="F816" s="2">
        <f ca="1">IFERROR(__xludf.DUMMYFUNCTION("""COMPUTED_VALUE"""),11800)</f>
        <v>11800</v>
      </c>
      <c r="G816" s="2">
        <f ca="1">IFERROR(__xludf.DUMMYFUNCTION("""COMPUTED_VALUE"""),72)</f>
        <v>72</v>
      </c>
      <c r="H816" s="2"/>
      <c r="I816" s="2"/>
      <c r="J816" s="2">
        <f ca="1">IFERROR(__xludf.DUMMYFUNCTION("""COMPUTED_VALUE"""),0)</f>
        <v>0</v>
      </c>
      <c r="K816" s="2">
        <f ca="1">IFERROR(__xludf.DUMMYFUNCTION("""COMPUTED_VALUE"""),11800)</f>
        <v>11800</v>
      </c>
      <c r="L816" s="2" t="str">
        <f ca="1">IFERROR(__xludf.DUMMYFUNCTION("""COMPUTED_VALUE"""),"fe6fc54b")</f>
        <v>fe6fc54b</v>
      </c>
      <c r="M816" s="2" t="str">
        <f ca="1">IFERROR(__xludf.DUMMYFUNCTION("""COMPUTED_VALUE"""),"Syrah Tempranillo")</f>
        <v>Syrah Tempranillo</v>
      </c>
      <c r="N816" s="2"/>
      <c r="O816" s="2" t="str">
        <f ca="1">IFERROR(__xludf.DUMMYFUNCTION("""COMPUTED_VALUE"""),"2do Trasiego")</f>
        <v>2do Trasiego</v>
      </c>
      <c r="P816" s="2"/>
      <c r="Q816" s="2" t="b">
        <f ca="1">IFERROR(__xludf.DUMMYFUNCTION("""COMPUTED_VALUE"""),FALSE)</f>
        <v>0</v>
      </c>
      <c r="R816" s="2" t="str">
        <f ca="1">IFERROR(__xludf.DUMMYFUNCTION("""COMPUTED_VALUE"""),"2do Trasiego")</f>
        <v>2do Trasiego</v>
      </c>
      <c r="S816" s="2"/>
      <c r="T816" s="2"/>
      <c r="U816" s="2" t="str">
        <f ca="1">IFERROR(__xludf.DUMMYFUNCTION("""COMPUTED_VALUE"""),"1+")</f>
        <v>1+</v>
      </c>
    </row>
    <row r="817" spans="1:21" x14ac:dyDescent="0.25">
      <c r="A817" s="2" t="str">
        <f ca="1">IFERROR(__xludf.DUMMYFUNCTION("""COMPUTED_VALUE"""),"72e2b5a0")</f>
        <v>72e2b5a0</v>
      </c>
      <c r="B817" s="5">
        <f ca="1">IFERROR(__xludf.DUMMYFUNCTION("""COMPUTED_VALUE"""),45821.7411805555)</f>
        <v>45821.741180555502</v>
      </c>
      <c r="C817" s="2" t="str">
        <f ca="1">IFERROR(__xludf.DUMMYFUNCTION("""COMPUTED_VALUE"""),"263cc8c0")</f>
        <v>263cc8c0</v>
      </c>
      <c r="D817" s="2">
        <f ca="1">IFERROR(__xludf.DUMMYFUNCTION("""COMPUTED_VALUE"""),95)</f>
        <v>95</v>
      </c>
      <c r="E817" s="2" t="str">
        <f ca="1">IFERROR(__xludf.DUMMYFUNCTION("""COMPUTED_VALUE"""),"Syrah")</f>
        <v>Syrah</v>
      </c>
      <c r="F817" s="2">
        <f ca="1">IFERROR(__xludf.DUMMYFUNCTION("""COMPUTED_VALUE"""),29600)</f>
        <v>29600</v>
      </c>
      <c r="G817" s="2">
        <f ca="1">IFERROR(__xludf.DUMMYFUNCTION("""COMPUTED_VALUE"""),6)</f>
        <v>6</v>
      </c>
      <c r="H817" s="2" t="str">
        <f ca="1">IFERROR(__xludf.DUMMYFUNCTION("""COMPUTED_VALUE"""),"309f9738")</f>
        <v>309f9738</v>
      </c>
      <c r="I817" s="2" t="str">
        <f ca="1">IFERROR(__xludf.DUMMYFUNCTION("""COMPUTED_VALUE"""),"Bonarda")</f>
        <v>Bonarda</v>
      </c>
      <c r="J817" s="2">
        <f ca="1">IFERROR(__xludf.DUMMYFUNCTION("""COMPUTED_VALUE"""),2400)</f>
        <v>2400</v>
      </c>
      <c r="K817" s="2">
        <f ca="1">IFERROR(__xludf.DUMMYFUNCTION("""COMPUTED_VALUE"""),32000)</f>
        <v>32000</v>
      </c>
      <c r="L817" s="2" t="str">
        <f ca="1">IFERROR(__xludf.DUMMYFUNCTION("""COMPUTED_VALUE"""),"397c9478")</f>
        <v>397c9478</v>
      </c>
      <c r="M817" s="2" t="str">
        <f ca="1">IFERROR(__xludf.DUMMYFUNCTION("""COMPUTED_VALUE"""),"Syrah Rectificado")</f>
        <v>Syrah Rectificado</v>
      </c>
      <c r="N817" s="2"/>
      <c r="O817" s="2" t="str">
        <f ca="1">IFERROR(__xludf.DUMMYFUNCTION("""COMPUTED_VALUE"""),"2do Trasiego")</f>
        <v>2do Trasiego</v>
      </c>
      <c r="P817" s="2" t="str">
        <f ca="1">IFERROR(__xludf.DUMMYFUNCTION("""COMPUTED_VALUE"""),"Rectificado")</f>
        <v>Rectificado</v>
      </c>
      <c r="Q817" s="2" t="b">
        <f ca="1">IFERROR(__xludf.DUMMYFUNCTION("""COMPUTED_VALUE"""),FALSE)</f>
        <v>0</v>
      </c>
      <c r="R817" s="2" t="str">
        <f ca="1">IFERROR(__xludf.DUMMYFUNCTION("""COMPUTED_VALUE"""),"2do Trasiego")</f>
        <v>2do Trasiego</v>
      </c>
      <c r="S817" s="2"/>
      <c r="T817" s="2"/>
      <c r="U817" s="2" t="str">
        <f ca="1">IFERROR(__xludf.DUMMYFUNCTION("""COMPUTED_VALUE"""),"1")</f>
        <v>1</v>
      </c>
    </row>
    <row r="818" spans="1:21" x14ac:dyDescent="0.25">
      <c r="A818" s="2" t="str">
        <f ca="1">IFERROR(__xludf.DUMMYFUNCTION("""COMPUTED_VALUE"""),"2d5f96f5")</f>
        <v>2d5f96f5</v>
      </c>
      <c r="B818" s="5">
        <f ca="1">IFERROR(__xludf.DUMMYFUNCTION("""COMPUTED_VALUE"""),45821.7441319444)</f>
        <v>45821.744131944397</v>
      </c>
      <c r="C818" s="2" t="str">
        <f ca="1">IFERROR(__xludf.DUMMYFUNCTION("""COMPUTED_VALUE"""),"94fbbcb1")</f>
        <v>94fbbcb1</v>
      </c>
      <c r="D818" s="2">
        <f ca="1">IFERROR(__xludf.DUMMYFUNCTION("""COMPUTED_VALUE"""),51)</f>
        <v>51</v>
      </c>
      <c r="E818" s="2" t="str">
        <f ca="1">IFERROR(__xludf.DUMMYFUNCTION("""COMPUTED_VALUE"""),"Tinto (Claro F)")</f>
        <v>Tinto (Claro F)</v>
      </c>
      <c r="F818" s="2">
        <f ca="1">IFERROR(__xludf.DUMMYFUNCTION("""COMPUTED_VALUE"""),1200)</f>
        <v>1200</v>
      </c>
      <c r="G818" s="2">
        <f ca="1">IFERROR(__xludf.DUMMYFUNCTION("""COMPUTED_VALUE"""),115)</f>
        <v>115</v>
      </c>
      <c r="H818" s="2"/>
      <c r="I818" s="2"/>
      <c r="J818" s="2">
        <f ca="1">IFERROR(__xludf.DUMMYFUNCTION("""COMPUTED_VALUE"""),0)</f>
        <v>0</v>
      </c>
      <c r="K818" s="2">
        <f ca="1">IFERROR(__xludf.DUMMYFUNCTION("""COMPUTED_VALUE"""),1200)</f>
        <v>1200</v>
      </c>
      <c r="L818" s="2" t="str">
        <f ca="1">IFERROR(__xludf.DUMMYFUNCTION("""COMPUTED_VALUE"""),"4bb0e577")</f>
        <v>4bb0e577</v>
      </c>
      <c r="M818" s="2" t="str">
        <f ca="1">IFERROR(__xludf.DUMMYFUNCTION("""COMPUTED_VALUE"""),"Tinto")</f>
        <v>Tinto</v>
      </c>
      <c r="N818" s="2"/>
      <c r="O818" s="2" t="str">
        <f ca="1">IFERROR(__xludf.DUMMYFUNCTION("""COMPUTED_VALUE"""),"1er Trasiego")</f>
        <v>1er Trasiego</v>
      </c>
      <c r="P818" s="2"/>
      <c r="Q818" s="2" t="b">
        <f ca="1">IFERROR(__xludf.DUMMYFUNCTION("""COMPUTED_VALUE"""),FALSE)</f>
        <v>0</v>
      </c>
      <c r="R818" s="2" t="str">
        <f ca="1">IFERROR(__xludf.DUMMYFUNCTION("""COMPUTED_VALUE"""),"1er Trasiego")</f>
        <v>1er Trasiego</v>
      </c>
      <c r="S818" s="2"/>
      <c r="T818" s="2"/>
      <c r="U818" s="2" t="str">
        <f ca="1">IFERROR(__xludf.DUMMYFUNCTION("""COMPUTED_VALUE"""),"1")</f>
        <v>1</v>
      </c>
    </row>
    <row r="819" spans="1:21" x14ac:dyDescent="0.25">
      <c r="A819" s="2" t="str">
        <f ca="1">IFERROR(__xludf.DUMMYFUNCTION("""COMPUTED_VALUE"""),"224a7365")</f>
        <v>224a7365</v>
      </c>
      <c r="B819" s="5">
        <f ca="1">IFERROR(__xludf.DUMMYFUNCTION("""COMPUTED_VALUE"""),45821.7449305555)</f>
        <v>45821.744930555498</v>
      </c>
      <c r="C819" s="2" t="str">
        <f ca="1">IFERROR(__xludf.DUMMYFUNCTION("""COMPUTED_VALUE"""),"ae9d3290")</f>
        <v>ae9d3290</v>
      </c>
      <c r="D819" s="2">
        <f ca="1">IFERROR(__xludf.DUMMYFUNCTION("""COMPUTED_VALUE"""),54)</f>
        <v>54</v>
      </c>
      <c r="E819" s="2" t="str">
        <f ca="1">IFERROR(__xludf.DUMMYFUNCTION("""COMPUTED_VALUE"""),"Tinto (Claro F)")</f>
        <v>Tinto (Claro F)</v>
      </c>
      <c r="F819" s="2">
        <f ca="1">IFERROR(__xludf.DUMMYFUNCTION("""COMPUTED_VALUE"""),7200)</f>
        <v>7200</v>
      </c>
      <c r="G819" s="2">
        <f ca="1">IFERROR(__xludf.DUMMYFUNCTION("""COMPUTED_VALUE"""),54)</f>
        <v>54</v>
      </c>
      <c r="H819" s="2" t="str">
        <f ca="1">IFERROR(__xludf.DUMMYFUNCTION("""COMPUTED_VALUE"""),"ae9d3290")</f>
        <v>ae9d3290</v>
      </c>
      <c r="I819" s="2" t="str">
        <f ca="1">IFERROR(__xludf.DUMMYFUNCTION("""COMPUTED_VALUE"""),"Tinto (Claro F)")</f>
        <v>Tinto (Claro F)</v>
      </c>
      <c r="J819" s="2">
        <f ca="1">IFERROR(__xludf.DUMMYFUNCTION("""COMPUTED_VALUE"""),10400)</f>
        <v>10400</v>
      </c>
      <c r="K819" s="2">
        <f ca="1">IFERROR(__xludf.DUMMYFUNCTION("""COMPUTED_VALUE"""),17600)</f>
        <v>17600</v>
      </c>
      <c r="L819" s="2" t="str">
        <f ca="1">IFERROR(__xludf.DUMMYFUNCTION("""COMPUTED_VALUE"""),"2cdc824f")</f>
        <v>2cdc824f</v>
      </c>
      <c r="M819" s="2" t="str">
        <f ca="1">IFERROR(__xludf.DUMMYFUNCTION("""COMPUTED_VALUE"""),"Tinto (Claro F)")</f>
        <v>Tinto (Claro F)</v>
      </c>
      <c r="N819" s="2"/>
      <c r="O819" s="2" t="str">
        <f ca="1">IFERROR(__xludf.DUMMYFUNCTION("""COMPUTED_VALUE"""),"2do Trasiego")</f>
        <v>2do Trasiego</v>
      </c>
      <c r="P819" s="2" t="str">
        <f ca="1">IFERROR(__xludf.DUMMYFUNCTION("""COMPUTED_VALUE"""),"2do Trasiego")</f>
        <v>2do Trasiego</v>
      </c>
      <c r="Q819" s="2" t="b">
        <f ca="1">IFERROR(__xludf.DUMMYFUNCTION("""COMPUTED_VALUE"""),TRUE)</f>
        <v>1</v>
      </c>
      <c r="R819" s="2" t="str">
        <f ca="1">IFERROR(__xludf.DUMMYFUNCTION("""COMPUTED_VALUE"""),"2do Trasiego")</f>
        <v>2do Trasiego</v>
      </c>
      <c r="S819" s="2"/>
      <c r="T819" s="2"/>
      <c r="U819" s="2" t="str">
        <f ca="1">IFERROR(__xludf.DUMMYFUNCTION("""COMPUTED_VALUE"""),"1")</f>
        <v>1</v>
      </c>
    </row>
    <row r="820" spans="1:21" x14ac:dyDescent="0.25">
      <c r="A820" s="2" t="str">
        <f ca="1">IFERROR(__xludf.DUMMYFUNCTION("""COMPUTED_VALUE"""),"66512b05")</f>
        <v>66512b05</v>
      </c>
      <c r="B820" s="5">
        <f ca="1">IFERROR(__xludf.DUMMYFUNCTION("""COMPUTED_VALUE"""),45821.7459722222)</f>
        <v>45821.745972222197</v>
      </c>
      <c r="C820" s="2" t="str">
        <f ca="1">IFERROR(__xludf.DUMMYFUNCTION("""COMPUTED_VALUE"""),"36493bbe")</f>
        <v>36493bbe</v>
      </c>
      <c r="D820" s="2">
        <f ca="1">IFERROR(__xludf.DUMMYFUNCTION("""COMPUTED_VALUE"""),68)</f>
        <v>68</v>
      </c>
      <c r="E820" s="2" t="str">
        <f ca="1">IFERROR(__xludf.DUMMYFUNCTION("""COMPUTED_VALUE"""),"Tinto (Ch)")</f>
        <v>Tinto (Ch)</v>
      </c>
      <c r="F820" s="2">
        <f ca="1">IFERROR(__xludf.DUMMYFUNCTION("""COMPUTED_VALUE"""),4000)</f>
        <v>4000</v>
      </c>
      <c r="G820" s="2">
        <f ca="1">IFERROR(__xludf.DUMMYFUNCTION("""COMPUTED_VALUE"""),115)</f>
        <v>115</v>
      </c>
      <c r="H820" s="2" t="str">
        <f ca="1">IFERROR(__xludf.DUMMYFUNCTION("""COMPUTED_VALUE"""),"4bb0e577")</f>
        <v>4bb0e577</v>
      </c>
      <c r="I820" s="2" t="str">
        <f ca="1">IFERROR(__xludf.DUMMYFUNCTION("""COMPUTED_VALUE"""),"Tinto")</f>
        <v>Tinto</v>
      </c>
      <c r="J820" s="2">
        <f ca="1">IFERROR(__xludf.DUMMYFUNCTION("""COMPUTED_VALUE"""),1200)</f>
        <v>1200</v>
      </c>
      <c r="K820" s="2">
        <f ca="1">IFERROR(__xludf.DUMMYFUNCTION("""COMPUTED_VALUE"""),5200)</f>
        <v>5200</v>
      </c>
      <c r="L820" s="2" t="str">
        <f ca="1">IFERROR(__xludf.DUMMYFUNCTION("""COMPUTED_VALUE"""),"7df69242")</f>
        <v>7df69242</v>
      </c>
      <c r="M820" s="2" t="str">
        <f ca="1">IFERROR(__xludf.DUMMYFUNCTION("""COMPUTED_VALUE"""),"Tinto")</f>
        <v>Tinto</v>
      </c>
      <c r="N820" s="2"/>
      <c r="O820" s="2" t="str">
        <f ca="1">IFERROR(__xludf.DUMMYFUNCTION("""COMPUTED_VALUE"""),"2do Trasiego")</f>
        <v>2do Trasiego</v>
      </c>
      <c r="P820" s="2" t="str">
        <f ca="1">IFERROR(__xludf.DUMMYFUNCTION("""COMPUTED_VALUE"""),"1er Trasiego")</f>
        <v>1er Trasiego</v>
      </c>
      <c r="Q820" s="2" t="b">
        <f ca="1">IFERROR(__xludf.DUMMYFUNCTION("""COMPUTED_VALUE"""),TRUE)</f>
        <v>1</v>
      </c>
      <c r="R820" s="2" t="str">
        <f ca="1">IFERROR(__xludf.DUMMYFUNCTION("""COMPUTED_VALUE"""),"1er Trasiego")</f>
        <v>1er Trasiego</v>
      </c>
      <c r="S820" s="2"/>
      <c r="T820" s="2"/>
      <c r="U820" s="2" t="str">
        <f ca="1">IFERROR(__xludf.DUMMYFUNCTION("""COMPUTED_VALUE"""),"1")</f>
        <v>1</v>
      </c>
    </row>
    <row r="821" spans="1:21" x14ac:dyDescent="0.25">
      <c r="A821" s="2" t="str">
        <f ca="1">IFERROR(__xludf.DUMMYFUNCTION("""COMPUTED_VALUE"""),"d1669ec2")</f>
        <v>d1669ec2</v>
      </c>
      <c r="B821" s="5">
        <f ca="1">IFERROR(__xludf.DUMMYFUNCTION("""COMPUTED_VALUE"""),45821.7465625)</f>
        <v>45821.746562499997</v>
      </c>
      <c r="C821" s="2" t="str">
        <f ca="1">IFERROR(__xludf.DUMMYFUNCTION("""COMPUTED_VALUE"""),"1cdbd1a4")</f>
        <v>1cdbd1a4</v>
      </c>
      <c r="D821" s="2">
        <f ca="1">IFERROR(__xludf.DUMMYFUNCTION("""COMPUTED_VALUE"""),70)</f>
        <v>70</v>
      </c>
      <c r="E821" s="2" t="str">
        <f ca="1">IFERROR(__xludf.DUMMYFUNCTION("""COMPUTED_VALUE"""),"Tinto G")</f>
        <v>Tinto G</v>
      </c>
      <c r="F821" s="2">
        <f ca="1">IFERROR(__xludf.DUMMYFUNCTION("""COMPUTED_VALUE"""),4000)</f>
        <v>4000</v>
      </c>
      <c r="G821" s="2">
        <f ca="1">IFERROR(__xludf.DUMMYFUNCTION("""COMPUTED_VALUE"""),115)</f>
        <v>115</v>
      </c>
      <c r="H821" s="2" t="str">
        <f ca="1">IFERROR(__xludf.DUMMYFUNCTION("""COMPUTED_VALUE"""),"7df69242")</f>
        <v>7df69242</v>
      </c>
      <c r="I821" s="2" t="str">
        <f ca="1">IFERROR(__xludf.DUMMYFUNCTION("""COMPUTED_VALUE"""),"Tinto")</f>
        <v>Tinto</v>
      </c>
      <c r="J821" s="2">
        <f ca="1">IFERROR(__xludf.DUMMYFUNCTION("""COMPUTED_VALUE"""),5200)</f>
        <v>5200</v>
      </c>
      <c r="K821" s="2">
        <f ca="1">IFERROR(__xludf.DUMMYFUNCTION("""COMPUTED_VALUE"""),9200)</f>
        <v>9200</v>
      </c>
      <c r="L821" s="2" t="str">
        <f ca="1">IFERROR(__xludf.DUMMYFUNCTION("""COMPUTED_VALUE"""),"2b0750b6")</f>
        <v>2b0750b6</v>
      </c>
      <c r="M821" s="2" t="str">
        <f ca="1">IFERROR(__xludf.DUMMYFUNCTION("""COMPUTED_VALUE"""),"Tinto")</f>
        <v>Tinto</v>
      </c>
      <c r="N821" s="2"/>
      <c r="O821" s="2" t="str">
        <f ca="1">IFERROR(__xludf.DUMMYFUNCTION("""COMPUTED_VALUE"""),"2do Trasiego")</f>
        <v>2do Trasiego</v>
      </c>
      <c r="P821" s="2" t="str">
        <f ca="1">IFERROR(__xludf.DUMMYFUNCTION("""COMPUTED_VALUE"""),"1er Trasiego")</f>
        <v>1er Trasiego</v>
      </c>
      <c r="Q821" s="2" t="b">
        <f ca="1">IFERROR(__xludf.DUMMYFUNCTION("""COMPUTED_VALUE"""),TRUE)</f>
        <v>1</v>
      </c>
      <c r="R821" s="2" t="str">
        <f ca="1">IFERROR(__xludf.DUMMYFUNCTION("""COMPUTED_VALUE"""),"1er Trasiego")</f>
        <v>1er Trasiego</v>
      </c>
      <c r="S821" s="2"/>
      <c r="T821" s="2"/>
      <c r="U821" s="2" t="str">
        <f ca="1">IFERROR(__xludf.DUMMYFUNCTION("""COMPUTED_VALUE"""),"1")</f>
        <v>1</v>
      </c>
    </row>
    <row r="822" spans="1:21" x14ac:dyDescent="0.25">
      <c r="A822" s="2" t="str">
        <f ca="1">IFERROR(__xludf.DUMMYFUNCTION("""COMPUTED_VALUE"""),"bcec5169")</f>
        <v>bcec5169</v>
      </c>
      <c r="B822" s="5">
        <f ca="1">IFERROR(__xludf.DUMMYFUNCTION("""COMPUTED_VALUE"""),45821.748125)</f>
        <v>45821.748124999998</v>
      </c>
      <c r="C822" s="2" t="str">
        <f ca="1">IFERROR(__xludf.DUMMYFUNCTION("""COMPUTED_VALUE"""),"9a261ef2")</f>
        <v>9a261ef2</v>
      </c>
      <c r="D822" s="2">
        <f ca="1">IFERROR(__xludf.DUMMYFUNCTION("""COMPUTED_VALUE"""),84)</f>
        <v>84</v>
      </c>
      <c r="E822" s="2" t="str">
        <f ca="1">IFERROR(__xludf.DUMMYFUNCTION("""COMPUTED_VALUE"""),"Tinto")</f>
        <v>Tinto</v>
      </c>
      <c r="F822" s="2">
        <f ca="1">IFERROR(__xludf.DUMMYFUNCTION("""COMPUTED_VALUE"""),16000)</f>
        <v>16000</v>
      </c>
      <c r="G822" s="2">
        <f ca="1">IFERROR(__xludf.DUMMYFUNCTION("""COMPUTED_VALUE"""),115)</f>
        <v>115</v>
      </c>
      <c r="H822" s="2" t="str">
        <f ca="1">IFERROR(__xludf.DUMMYFUNCTION("""COMPUTED_VALUE"""),"2b0750b6")</f>
        <v>2b0750b6</v>
      </c>
      <c r="I822" s="2" t="str">
        <f ca="1">IFERROR(__xludf.DUMMYFUNCTION("""COMPUTED_VALUE"""),"Tinto")</f>
        <v>Tinto</v>
      </c>
      <c r="J822" s="2">
        <f ca="1">IFERROR(__xludf.DUMMYFUNCTION("""COMPUTED_VALUE"""),9200)</f>
        <v>9200</v>
      </c>
      <c r="K822" s="2">
        <f ca="1">IFERROR(__xludf.DUMMYFUNCTION("""COMPUTED_VALUE"""),25200)</f>
        <v>25200</v>
      </c>
      <c r="L822" s="2" t="str">
        <f ca="1">IFERROR(__xludf.DUMMYFUNCTION("""COMPUTED_VALUE"""),"2b981b3e")</f>
        <v>2b981b3e</v>
      </c>
      <c r="M822" s="2" t="str">
        <f ca="1">IFERROR(__xludf.DUMMYFUNCTION("""COMPUTED_VALUE"""),"Tinto")</f>
        <v>Tinto</v>
      </c>
      <c r="N822" s="2"/>
      <c r="O822" s="2" t="str">
        <f ca="1">IFERROR(__xludf.DUMMYFUNCTION("""COMPUTED_VALUE"""),"2do Trasiego")</f>
        <v>2do Trasiego</v>
      </c>
      <c r="P822" s="2" t="str">
        <f ca="1">IFERROR(__xludf.DUMMYFUNCTION("""COMPUTED_VALUE"""),"1er Trasiego")</f>
        <v>1er Trasiego</v>
      </c>
      <c r="Q822" s="2" t="b">
        <f ca="1">IFERROR(__xludf.DUMMYFUNCTION("""COMPUTED_VALUE"""),TRUE)</f>
        <v>1</v>
      </c>
      <c r="R822" s="2" t="str">
        <f ca="1">IFERROR(__xludf.DUMMYFUNCTION("""COMPUTED_VALUE"""),"1er Trasiego")</f>
        <v>1er Trasiego</v>
      </c>
      <c r="S822" s="2"/>
      <c r="T822" s="2"/>
      <c r="U822" s="2" t="str">
        <f ca="1">IFERROR(__xludf.DUMMYFUNCTION("""COMPUTED_VALUE"""),"1")</f>
        <v>1</v>
      </c>
    </row>
    <row r="823" spans="1:21" x14ac:dyDescent="0.25">
      <c r="A823" s="2" t="str">
        <f ca="1">IFERROR(__xludf.DUMMYFUNCTION("""COMPUTED_VALUE"""),"57b2247c")</f>
        <v>57b2247c</v>
      </c>
      <c r="B823" s="5">
        <f ca="1">IFERROR(__xludf.DUMMYFUNCTION("""COMPUTED_VALUE"""),45821.7484953703)</f>
        <v>45821.748495370302</v>
      </c>
      <c r="C823" s="2" t="str">
        <f ca="1">IFERROR(__xludf.DUMMYFUNCTION("""COMPUTED_VALUE"""),"b7883137")</f>
        <v>b7883137</v>
      </c>
      <c r="D823" s="2">
        <f ca="1">IFERROR(__xludf.DUMMYFUNCTION("""COMPUTED_VALUE"""),85)</f>
        <v>85</v>
      </c>
      <c r="E823" s="2" t="str">
        <f ca="1">IFERROR(__xludf.DUMMYFUNCTION("""COMPUTED_VALUE"""),"Tinto")</f>
        <v>Tinto</v>
      </c>
      <c r="F823" s="2">
        <f ca="1">IFERROR(__xludf.DUMMYFUNCTION("""COMPUTED_VALUE"""),26400)</f>
        <v>26400</v>
      </c>
      <c r="G823" s="2">
        <f ca="1">IFERROR(__xludf.DUMMYFUNCTION("""COMPUTED_VALUE"""),115)</f>
        <v>115</v>
      </c>
      <c r="H823" s="2" t="str">
        <f ca="1">IFERROR(__xludf.DUMMYFUNCTION("""COMPUTED_VALUE"""),"2b981b3e")</f>
        <v>2b981b3e</v>
      </c>
      <c r="I823" s="2" t="str">
        <f ca="1">IFERROR(__xludf.DUMMYFUNCTION("""COMPUTED_VALUE"""),"Tinto")</f>
        <v>Tinto</v>
      </c>
      <c r="J823" s="2">
        <f ca="1">IFERROR(__xludf.DUMMYFUNCTION("""COMPUTED_VALUE"""),25200)</f>
        <v>25200</v>
      </c>
      <c r="K823" s="2">
        <f ca="1">IFERROR(__xludf.DUMMYFUNCTION("""COMPUTED_VALUE"""),51600)</f>
        <v>51600</v>
      </c>
      <c r="L823" s="2" t="str">
        <f ca="1">IFERROR(__xludf.DUMMYFUNCTION("""COMPUTED_VALUE"""),"97133f07")</f>
        <v>97133f07</v>
      </c>
      <c r="M823" s="2" t="str">
        <f ca="1">IFERROR(__xludf.DUMMYFUNCTION("""COMPUTED_VALUE"""),"Tinto")</f>
        <v>Tinto</v>
      </c>
      <c r="N823" s="2"/>
      <c r="O823" s="2" t="str">
        <f ca="1">IFERROR(__xludf.DUMMYFUNCTION("""COMPUTED_VALUE"""),"2do Trasiego")</f>
        <v>2do Trasiego</v>
      </c>
      <c r="P823" s="2" t="str">
        <f ca="1">IFERROR(__xludf.DUMMYFUNCTION("""COMPUTED_VALUE"""),"1er Trasiego")</f>
        <v>1er Trasiego</v>
      </c>
      <c r="Q823" s="2" t="b">
        <f ca="1">IFERROR(__xludf.DUMMYFUNCTION("""COMPUTED_VALUE"""),TRUE)</f>
        <v>1</v>
      </c>
      <c r="R823" s="2" t="str">
        <f ca="1">IFERROR(__xludf.DUMMYFUNCTION("""COMPUTED_VALUE"""),"1er Trasiego")</f>
        <v>1er Trasiego</v>
      </c>
      <c r="S823" s="2"/>
      <c r="T823" s="2"/>
      <c r="U823" s="2" t="str">
        <f ca="1">IFERROR(__xludf.DUMMYFUNCTION("""COMPUTED_VALUE"""),"1")</f>
        <v>1</v>
      </c>
    </row>
    <row r="824" spans="1:21" x14ac:dyDescent="0.25">
      <c r="A824" s="2" t="str">
        <f ca="1">IFERROR(__xludf.DUMMYFUNCTION("""COMPUTED_VALUE"""),"15107431")</f>
        <v>15107431</v>
      </c>
      <c r="B824" s="5">
        <f ca="1">IFERROR(__xludf.DUMMYFUNCTION("""COMPUTED_VALUE"""),45821.7487847222)</f>
        <v>45821.7487847222</v>
      </c>
      <c r="C824" s="2" t="str">
        <f ca="1">IFERROR(__xludf.DUMMYFUNCTION("""COMPUTED_VALUE"""),"b04cae80")</f>
        <v>b04cae80</v>
      </c>
      <c r="D824" s="2">
        <f ca="1">IFERROR(__xludf.DUMMYFUNCTION("""COMPUTED_VALUE"""),87)</f>
        <v>87</v>
      </c>
      <c r="E824" s="2" t="str">
        <f ca="1">IFERROR(__xludf.DUMMYFUNCTION("""COMPUTED_VALUE"""),"Tinto")</f>
        <v>Tinto</v>
      </c>
      <c r="F824" s="2">
        <f ca="1">IFERROR(__xludf.DUMMYFUNCTION("""COMPUTED_VALUE"""),29400)</f>
        <v>29400</v>
      </c>
      <c r="G824" s="2">
        <f ca="1">IFERROR(__xludf.DUMMYFUNCTION("""COMPUTED_VALUE"""),115)</f>
        <v>115</v>
      </c>
      <c r="H824" s="2" t="str">
        <f ca="1">IFERROR(__xludf.DUMMYFUNCTION("""COMPUTED_VALUE"""),"97133f07")</f>
        <v>97133f07</v>
      </c>
      <c r="I824" s="2" t="str">
        <f ca="1">IFERROR(__xludf.DUMMYFUNCTION("""COMPUTED_VALUE"""),"Tinto")</f>
        <v>Tinto</v>
      </c>
      <c r="J824" s="2">
        <f ca="1">IFERROR(__xludf.DUMMYFUNCTION("""COMPUTED_VALUE"""),51600)</f>
        <v>51600</v>
      </c>
      <c r="K824" s="2">
        <f ca="1">IFERROR(__xludf.DUMMYFUNCTION("""COMPUTED_VALUE"""),81000)</f>
        <v>81000</v>
      </c>
      <c r="L824" s="2" t="str">
        <f ca="1">IFERROR(__xludf.DUMMYFUNCTION("""COMPUTED_VALUE"""),"28e0faf1")</f>
        <v>28e0faf1</v>
      </c>
      <c r="M824" s="2" t="str">
        <f ca="1">IFERROR(__xludf.DUMMYFUNCTION("""COMPUTED_VALUE"""),"Tinto")</f>
        <v>Tinto</v>
      </c>
      <c r="N824" s="2"/>
      <c r="O824" s="2" t="str">
        <f ca="1">IFERROR(__xludf.DUMMYFUNCTION("""COMPUTED_VALUE"""),"2do Trasiego")</f>
        <v>2do Trasiego</v>
      </c>
      <c r="P824" s="2" t="str">
        <f ca="1">IFERROR(__xludf.DUMMYFUNCTION("""COMPUTED_VALUE"""),"1er Trasiego")</f>
        <v>1er Trasiego</v>
      </c>
      <c r="Q824" s="2" t="b">
        <f ca="1">IFERROR(__xludf.DUMMYFUNCTION("""COMPUTED_VALUE"""),TRUE)</f>
        <v>1</v>
      </c>
      <c r="R824" s="2" t="str">
        <f ca="1">IFERROR(__xludf.DUMMYFUNCTION("""COMPUTED_VALUE"""),"1er Trasiego")</f>
        <v>1er Trasiego</v>
      </c>
      <c r="S824" s="2"/>
      <c r="T824" s="2"/>
      <c r="U824" s="2" t="str">
        <f ca="1">IFERROR(__xludf.DUMMYFUNCTION("""COMPUTED_VALUE"""),"1")</f>
        <v>1</v>
      </c>
    </row>
    <row r="825" spans="1:21" x14ac:dyDescent="0.25">
      <c r="A825" s="2" t="str">
        <f ca="1">IFERROR(__xludf.DUMMYFUNCTION("""COMPUTED_VALUE"""),"4b763b1d")</f>
        <v>4b763b1d</v>
      </c>
      <c r="B825" s="5">
        <f ca="1">IFERROR(__xludf.DUMMYFUNCTION("""COMPUTED_VALUE"""),45821.7498611111)</f>
        <v>45821.7498611111</v>
      </c>
      <c r="C825" s="2" t="str">
        <f ca="1">IFERROR(__xludf.DUMMYFUNCTION("""COMPUTED_VALUE"""),"2d4e2ede")</f>
        <v>2d4e2ede</v>
      </c>
      <c r="D825" s="2">
        <f ca="1">IFERROR(__xludf.DUMMYFUNCTION("""COMPUTED_VALUE"""),45)</f>
        <v>45</v>
      </c>
      <c r="E825" s="2" t="str">
        <f ca="1">IFERROR(__xludf.DUMMYFUNCTION("""COMPUTED_VALUE"""),"Tinto")</f>
        <v>Tinto</v>
      </c>
      <c r="F825" s="2">
        <f ca="1">IFERROR(__xludf.DUMMYFUNCTION("""COMPUTED_VALUE"""),9000)</f>
        <v>9000</v>
      </c>
      <c r="G825" s="2">
        <f ca="1">IFERROR(__xludf.DUMMYFUNCTION("""COMPUTED_VALUE"""),115)</f>
        <v>115</v>
      </c>
      <c r="H825" s="2" t="str">
        <f ca="1">IFERROR(__xludf.DUMMYFUNCTION("""COMPUTED_VALUE"""),"28e0faf1")</f>
        <v>28e0faf1</v>
      </c>
      <c r="I825" s="2" t="str">
        <f ca="1">IFERROR(__xludf.DUMMYFUNCTION("""COMPUTED_VALUE"""),"Tinto")</f>
        <v>Tinto</v>
      </c>
      <c r="J825" s="2">
        <f ca="1">IFERROR(__xludf.DUMMYFUNCTION("""COMPUTED_VALUE"""),81000)</f>
        <v>81000</v>
      </c>
      <c r="K825" s="2">
        <f ca="1">IFERROR(__xludf.DUMMYFUNCTION("""COMPUTED_VALUE"""),90000)</f>
        <v>90000</v>
      </c>
      <c r="L825" s="2" t="str">
        <f ca="1">IFERROR(__xludf.DUMMYFUNCTION("""COMPUTED_VALUE"""),"07d0b231")</f>
        <v>07d0b231</v>
      </c>
      <c r="M825" s="2" t="str">
        <f ca="1">IFERROR(__xludf.DUMMYFUNCTION("""COMPUTED_VALUE"""),"Tinto")</f>
        <v>Tinto</v>
      </c>
      <c r="N825" s="2"/>
      <c r="O825" s="2" t="str">
        <f ca="1">IFERROR(__xludf.DUMMYFUNCTION("""COMPUTED_VALUE"""),"Rectificado")</f>
        <v>Rectificado</v>
      </c>
      <c r="P825" s="2" t="str">
        <f ca="1">IFERROR(__xludf.DUMMYFUNCTION("""COMPUTED_VALUE"""),"1er Trasiego")</f>
        <v>1er Trasiego</v>
      </c>
      <c r="Q825" s="2" t="b">
        <f ca="1">IFERROR(__xludf.DUMMYFUNCTION("""COMPUTED_VALUE"""),TRUE)</f>
        <v>1</v>
      </c>
      <c r="R825" s="2" t="str">
        <f ca="1">IFERROR(__xludf.DUMMYFUNCTION("""COMPUTED_VALUE"""),"1er Trasiego")</f>
        <v>1er Trasiego</v>
      </c>
      <c r="S825" s="2"/>
      <c r="T825" s="2"/>
      <c r="U825" s="2" t="str">
        <f ca="1">IFERROR(__xludf.DUMMYFUNCTION("""COMPUTED_VALUE"""),"1")</f>
        <v>1</v>
      </c>
    </row>
    <row r="826" spans="1:21" x14ac:dyDescent="0.25">
      <c r="A826" s="2" t="str">
        <f ca="1">IFERROR(__xludf.DUMMYFUNCTION("""COMPUTED_VALUE"""),"d2d79b9a")</f>
        <v>d2d79b9a</v>
      </c>
      <c r="B826" s="5">
        <f ca="1">IFERROR(__xludf.DUMMYFUNCTION("""COMPUTED_VALUE"""),45821.7503935185)</f>
        <v>45821.750393518501</v>
      </c>
      <c r="C826" s="2" t="str">
        <f ca="1">IFERROR(__xludf.DUMMYFUNCTION("""COMPUTED_VALUE"""),"fbfff24a")</f>
        <v>fbfff24a</v>
      </c>
      <c r="D826" s="2">
        <f ca="1">IFERROR(__xludf.DUMMYFUNCTION("""COMPUTED_VALUE"""),92)</f>
        <v>92</v>
      </c>
      <c r="E826" s="2" t="str">
        <f ca="1">IFERROR(__xludf.DUMMYFUNCTION("""COMPUTED_VALUE"""),"Tinto")</f>
        <v>Tinto</v>
      </c>
      <c r="F826" s="2">
        <f ca="1">IFERROR(__xludf.DUMMYFUNCTION("""COMPUTED_VALUE"""),19200)</f>
        <v>19200</v>
      </c>
      <c r="G826" s="2">
        <f ca="1">IFERROR(__xludf.DUMMYFUNCTION("""COMPUTED_VALUE"""),115)</f>
        <v>115</v>
      </c>
      <c r="H826" s="2" t="str">
        <f ca="1">IFERROR(__xludf.DUMMYFUNCTION("""COMPUTED_VALUE"""),"07d0b231")</f>
        <v>07d0b231</v>
      </c>
      <c r="I826" s="2" t="str">
        <f ca="1">IFERROR(__xludf.DUMMYFUNCTION("""COMPUTED_VALUE"""),"Tinto")</f>
        <v>Tinto</v>
      </c>
      <c r="J826" s="2">
        <f ca="1">IFERROR(__xludf.DUMMYFUNCTION("""COMPUTED_VALUE"""),90000)</f>
        <v>90000</v>
      </c>
      <c r="K826" s="2">
        <f ca="1">IFERROR(__xludf.DUMMYFUNCTION("""COMPUTED_VALUE"""),109200)</f>
        <v>109200</v>
      </c>
      <c r="L826" s="2" t="str">
        <f ca="1">IFERROR(__xludf.DUMMYFUNCTION("""COMPUTED_VALUE"""),"72a3240d")</f>
        <v>72a3240d</v>
      </c>
      <c r="M826" s="2" t="str">
        <f ca="1">IFERROR(__xludf.DUMMYFUNCTION("""COMPUTED_VALUE"""),"Tinto")</f>
        <v>Tinto</v>
      </c>
      <c r="N826" s="2"/>
      <c r="O826" s="2" t="str">
        <f ca="1">IFERROR(__xludf.DUMMYFUNCTION("""COMPUTED_VALUE"""),"2do Trasiego")</f>
        <v>2do Trasiego</v>
      </c>
      <c r="P826" s="2" t="str">
        <f ca="1">IFERROR(__xludf.DUMMYFUNCTION("""COMPUTED_VALUE"""),"1er Trasiego")</f>
        <v>1er Trasiego</v>
      </c>
      <c r="Q826" s="2" t="b">
        <f ca="1">IFERROR(__xludf.DUMMYFUNCTION("""COMPUTED_VALUE"""),TRUE)</f>
        <v>1</v>
      </c>
      <c r="R826" s="2" t="str">
        <f ca="1">IFERROR(__xludf.DUMMYFUNCTION("""COMPUTED_VALUE"""),"1er Trasiego")</f>
        <v>1er Trasiego</v>
      </c>
      <c r="S826" s="2"/>
      <c r="T826" s="2"/>
      <c r="U826" s="2" t="str">
        <f ca="1">IFERROR(__xludf.DUMMYFUNCTION("""COMPUTED_VALUE"""),"1")</f>
        <v>1</v>
      </c>
    </row>
    <row r="827" spans="1:21" x14ac:dyDescent="0.25">
      <c r="A827" s="2" t="str">
        <f ca="1">IFERROR(__xludf.DUMMYFUNCTION("""COMPUTED_VALUE"""),"fb2ce7eb")</f>
        <v>fb2ce7eb</v>
      </c>
      <c r="B827" s="5">
        <f ca="1">IFERROR(__xludf.DUMMYFUNCTION("""COMPUTED_VALUE"""),45821.7548958333)</f>
        <v>45821.754895833299</v>
      </c>
      <c r="C827" s="2" t="str">
        <f ca="1">IFERROR(__xludf.DUMMYFUNCTION("""COMPUTED_VALUE"""),"2cdc824f")</f>
        <v>2cdc824f</v>
      </c>
      <c r="D827" s="2">
        <f ca="1">IFERROR(__xludf.DUMMYFUNCTION("""COMPUTED_VALUE"""),54)</f>
        <v>54</v>
      </c>
      <c r="E827" s="2" t="str">
        <f ca="1">IFERROR(__xludf.DUMMYFUNCTION("""COMPUTED_VALUE"""),"Tinto (Claro F)")</f>
        <v>Tinto (Claro F)</v>
      </c>
      <c r="F827" s="2">
        <f ca="1">IFERROR(__xludf.DUMMYFUNCTION("""COMPUTED_VALUE"""),11000)</f>
        <v>11000</v>
      </c>
      <c r="G827" s="2">
        <f ca="1">IFERROR(__xludf.DUMMYFUNCTION("""COMPUTED_VALUE"""),115)</f>
        <v>115</v>
      </c>
      <c r="H827" s="2" t="str">
        <f ca="1">IFERROR(__xludf.DUMMYFUNCTION("""COMPUTED_VALUE"""),"72a3240d")</f>
        <v>72a3240d</v>
      </c>
      <c r="I827" s="2" t="str">
        <f ca="1">IFERROR(__xludf.DUMMYFUNCTION("""COMPUTED_VALUE"""),"Tinto")</f>
        <v>Tinto</v>
      </c>
      <c r="J827" s="2">
        <f ca="1">IFERROR(__xludf.DUMMYFUNCTION("""COMPUTED_VALUE"""),109200)</f>
        <v>109200</v>
      </c>
      <c r="K827" s="2">
        <f ca="1">IFERROR(__xludf.DUMMYFUNCTION("""COMPUTED_VALUE"""),120200)</f>
        <v>120200</v>
      </c>
      <c r="L827" s="2" t="str">
        <f ca="1">IFERROR(__xludf.DUMMYFUNCTION("""COMPUTED_VALUE"""),"5b15cadb")</f>
        <v>5b15cadb</v>
      </c>
      <c r="M827" s="2" t="str">
        <f ca="1">IFERROR(__xludf.DUMMYFUNCTION("""COMPUTED_VALUE"""),"Tinto (Claro F)")</f>
        <v>Tinto (Claro F)</v>
      </c>
      <c r="N827" s="2"/>
      <c r="O827" s="2" t="str">
        <f ca="1">IFERROR(__xludf.DUMMYFUNCTION("""COMPUTED_VALUE"""),"2do Trasiego")</f>
        <v>2do Trasiego</v>
      </c>
      <c r="P827" s="2" t="str">
        <f ca="1">IFERROR(__xludf.DUMMYFUNCTION("""COMPUTED_VALUE"""),"1er Trasiego")</f>
        <v>1er Trasiego</v>
      </c>
      <c r="Q827" s="2" t="b">
        <f ca="1">IFERROR(__xludf.DUMMYFUNCTION("""COMPUTED_VALUE"""),FALSE)</f>
        <v>0</v>
      </c>
      <c r="R827" s="2" t="str">
        <f ca="1">IFERROR(__xludf.DUMMYFUNCTION("""COMPUTED_VALUE"""),"2do Trasiego")</f>
        <v>2do Trasiego</v>
      </c>
      <c r="S827" s="2"/>
      <c r="T827" s="2"/>
      <c r="U827" s="2" t="str">
        <f ca="1">IFERROR(__xludf.DUMMYFUNCTION("""COMPUTED_VALUE"""),"1")</f>
        <v>1</v>
      </c>
    </row>
    <row r="828" spans="1:21" x14ac:dyDescent="0.25">
      <c r="A828" s="2" t="str">
        <f ca="1">IFERROR(__xludf.DUMMYFUNCTION("""COMPUTED_VALUE"""),"566c2a5f")</f>
        <v>566c2a5f</v>
      </c>
      <c r="B828" s="5">
        <f ca="1">IFERROR(__xludf.DUMMYFUNCTION("""COMPUTED_VALUE"""),45821.7555208333)</f>
        <v>45821.7555208333</v>
      </c>
      <c r="C828" s="2" t="str">
        <f ca="1">IFERROR(__xludf.DUMMYFUNCTION("""COMPUTED_VALUE"""),"94fbbcb1")</f>
        <v>94fbbcb1</v>
      </c>
      <c r="D828" s="2">
        <f ca="1">IFERROR(__xludf.DUMMYFUNCTION("""COMPUTED_VALUE"""),51)</f>
        <v>51</v>
      </c>
      <c r="E828" s="2" t="str">
        <f ca="1">IFERROR(__xludf.DUMMYFUNCTION("""COMPUTED_VALUE"""),"Tinto (Claro F)")</f>
        <v>Tinto (Claro F)</v>
      </c>
      <c r="F828" s="2">
        <f ca="1">IFERROR(__xludf.DUMMYFUNCTION("""COMPUTED_VALUE"""),2700)</f>
        <v>2700</v>
      </c>
      <c r="G828" s="2">
        <f ca="1">IFERROR(__xludf.DUMMYFUNCTION("""COMPUTED_VALUE"""),82)</f>
        <v>82</v>
      </c>
      <c r="H828" s="2"/>
      <c r="I828" s="2"/>
      <c r="J828" s="2">
        <f ca="1">IFERROR(__xludf.DUMMYFUNCTION("""COMPUTED_VALUE"""),0)</f>
        <v>0</v>
      </c>
      <c r="K828" s="2">
        <f ca="1">IFERROR(__xludf.DUMMYFUNCTION("""COMPUTED_VALUE"""),2700)</f>
        <v>2700</v>
      </c>
      <c r="L828" s="2" t="str">
        <f ca="1">IFERROR(__xludf.DUMMYFUNCTION("""COMPUTED_VALUE"""),"c18d0513")</f>
        <v>c18d0513</v>
      </c>
      <c r="M828" s="2" t="str">
        <f ca="1">IFERROR(__xludf.DUMMYFUNCTION("""COMPUTED_VALUE"""),"Tinto")</f>
        <v>Tinto</v>
      </c>
      <c r="N828" s="2"/>
      <c r="O828" s="2" t="str">
        <f ca="1">IFERROR(__xludf.DUMMYFUNCTION("""COMPUTED_VALUE"""),"1er Trasiego")</f>
        <v>1er Trasiego</v>
      </c>
      <c r="P828" s="2"/>
      <c r="Q828" s="2" t="b">
        <f ca="1">IFERROR(__xludf.DUMMYFUNCTION("""COMPUTED_VALUE"""),FALSE)</f>
        <v>0</v>
      </c>
      <c r="R828" s="2" t="str">
        <f ca="1">IFERROR(__xludf.DUMMYFUNCTION("""COMPUTED_VALUE"""),"2do Trasiego")</f>
        <v>2do Trasiego</v>
      </c>
      <c r="S828" s="2"/>
      <c r="T828" s="2"/>
      <c r="U828" s="2" t="str">
        <f ca="1">IFERROR(__xludf.DUMMYFUNCTION("""COMPUTED_VALUE"""),"1")</f>
        <v>1</v>
      </c>
    </row>
    <row r="829" spans="1:21" x14ac:dyDescent="0.25">
      <c r="A829" s="2" t="str">
        <f ca="1">IFERROR(__xludf.DUMMYFUNCTION("""COMPUTED_VALUE"""),"cc557a85")</f>
        <v>cc557a85</v>
      </c>
      <c r="B829" s="5">
        <f ca="1">IFERROR(__xludf.DUMMYFUNCTION("""COMPUTED_VALUE"""),45821.7559143518)</f>
        <v>45821.755914351801</v>
      </c>
      <c r="C829" s="2" t="str">
        <f ca="1">IFERROR(__xludf.DUMMYFUNCTION("""COMPUTED_VALUE"""),"2cdc824f")</f>
        <v>2cdc824f</v>
      </c>
      <c r="D829" s="2">
        <f ca="1">IFERROR(__xludf.DUMMYFUNCTION("""COMPUTED_VALUE"""),54)</f>
        <v>54</v>
      </c>
      <c r="E829" s="2" t="str">
        <f ca="1">IFERROR(__xludf.DUMMYFUNCTION("""COMPUTED_VALUE"""),"Tinto (Claro F)")</f>
        <v>Tinto (Claro F)</v>
      </c>
      <c r="F829" s="2">
        <f ca="1">IFERROR(__xludf.DUMMYFUNCTION("""COMPUTED_VALUE"""),6600)</f>
        <v>6600</v>
      </c>
      <c r="G829" s="2">
        <f ca="1">IFERROR(__xludf.DUMMYFUNCTION("""COMPUTED_VALUE"""),82)</f>
        <v>82</v>
      </c>
      <c r="H829" s="2" t="str">
        <f ca="1">IFERROR(__xludf.DUMMYFUNCTION("""COMPUTED_VALUE"""),"c18d0513")</f>
        <v>c18d0513</v>
      </c>
      <c r="I829" s="2" t="str">
        <f ca="1">IFERROR(__xludf.DUMMYFUNCTION("""COMPUTED_VALUE"""),"Tinto")</f>
        <v>Tinto</v>
      </c>
      <c r="J829" s="2">
        <f ca="1">IFERROR(__xludf.DUMMYFUNCTION("""COMPUTED_VALUE"""),2700)</f>
        <v>2700</v>
      </c>
      <c r="K829" s="2">
        <f ca="1">IFERROR(__xludf.DUMMYFUNCTION("""COMPUTED_VALUE"""),9300)</f>
        <v>9300</v>
      </c>
      <c r="L829" s="2" t="str">
        <f ca="1">IFERROR(__xludf.DUMMYFUNCTION("""COMPUTED_VALUE"""),"6ea6229d")</f>
        <v>6ea6229d</v>
      </c>
      <c r="M829" s="2" t="str">
        <f ca="1">IFERROR(__xludf.DUMMYFUNCTION("""COMPUTED_VALUE"""),"Tinto")</f>
        <v>Tinto</v>
      </c>
      <c r="N829" s="2"/>
      <c r="O829" s="2" t="str">
        <f ca="1">IFERROR(__xludf.DUMMYFUNCTION("""COMPUTED_VALUE"""),"2do Trasiego")</f>
        <v>2do Trasiego</v>
      </c>
      <c r="P829" s="2" t="str">
        <f ca="1">IFERROR(__xludf.DUMMYFUNCTION("""COMPUTED_VALUE"""),"2do Trasiego")</f>
        <v>2do Trasiego</v>
      </c>
      <c r="Q829" s="2" t="b">
        <f ca="1">IFERROR(__xludf.DUMMYFUNCTION("""COMPUTED_VALUE"""),TRUE)</f>
        <v>1</v>
      </c>
      <c r="R829" s="2" t="str">
        <f ca="1">IFERROR(__xludf.DUMMYFUNCTION("""COMPUTED_VALUE"""),"2do Trasiego")</f>
        <v>2do Trasiego</v>
      </c>
      <c r="S829" s="2"/>
      <c r="T829" s="2"/>
      <c r="U829" s="2" t="str">
        <f ca="1">IFERROR(__xludf.DUMMYFUNCTION("""COMPUTED_VALUE"""),"1")</f>
        <v>1</v>
      </c>
    </row>
    <row r="830" spans="1:21" x14ac:dyDescent="0.25">
      <c r="A830" s="2" t="str">
        <f ca="1">IFERROR(__xludf.DUMMYFUNCTION("""COMPUTED_VALUE"""),"ff3402cf")</f>
        <v>ff3402cf</v>
      </c>
      <c r="B830" s="5">
        <f ca="1">IFERROR(__xludf.DUMMYFUNCTION("""COMPUTED_VALUE"""),45821.7561342592)</f>
        <v>45821.756134259202</v>
      </c>
      <c r="C830" s="2" t="str">
        <f ca="1">IFERROR(__xludf.DUMMYFUNCTION("""COMPUTED_VALUE"""),"36493bbe")</f>
        <v>36493bbe</v>
      </c>
      <c r="D830" s="2">
        <f ca="1">IFERROR(__xludf.DUMMYFUNCTION("""COMPUTED_VALUE"""),68)</f>
        <v>68</v>
      </c>
      <c r="E830" s="2" t="str">
        <f ca="1">IFERROR(__xludf.DUMMYFUNCTION("""COMPUTED_VALUE"""),"Tinto (Ch)")</f>
        <v>Tinto (Ch)</v>
      </c>
      <c r="F830" s="2">
        <f ca="1">IFERROR(__xludf.DUMMYFUNCTION("""COMPUTED_VALUE"""),1900)</f>
        <v>1900</v>
      </c>
      <c r="G830" s="2">
        <f ca="1">IFERROR(__xludf.DUMMYFUNCTION("""COMPUTED_VALUE"""),82)</f>
        <v>82</v>
      </c>
      <c r="H830" s="2" t="str">
        <f ca="1">IFERROR(__xludf.DUMMYFUNCTION("""COMPUTED_VALUE"""),"6ea6229d")</f>
        <v>6ea6229d</v>
      </c>
      <c r="I830" s="2" t="str">
        <f ca="1">IFERROR(__xludf.DUMMYFUNCTION("""COMPUTED_VALUE"""),"Tinto")</f>
        <v>Tinto</v>
      </c>
      <c r="J830" s="2">
        <f ca="1">IFERROR(__xludf.DUMMYFUNCTION("""COMPUTED_VALUE"""),9300)</f>
        <v>9300</v>
      </c>
      <c r="K830" s="2">
        <f ca="1">IFERROR(__xludf.DUMMYFUNCTION("""COMPUTED_VALUE"""),11200)</f>
        <v>11200</v>
      </c>
      <c r="L830" s="2" t="str">
        <f ca="1">IFERROR(__xludf.DUMMYFUNCTION("""COMPUTED_VALUE"""),"9aa777e2")</f>
        <v>9aa777e2</v>
      </c>
      <c r="M830" s="2" t="str">
        <f ca="1">IFERROR(__xludf.DUMMYFUNCTION("""COMPUTED_VALUE"""),"Tinto")</f>
        <v>Tinto</v>
      </c>
      <c r="N830" s="2"/>
      <c r="O830" s="2" t="str">
        <f ca="1">IFERROR(__xludf.DUMMYFUNCTION("""COMPUTED_VALUE"""),"2do Trasiego")</f>
        <v>2do Trasiego</v>
      </c>
      <c r="P830" s="2" t="str">
        <f ca="1">IFERROR(__xludf.DUMMYFUNCTION("""COMPUTED_VALUE"""),"2do Trasiego")</f>
        <v>2do Trasiego</v>
      </c>
      <c r="Q830" s="2" t="b">
        <f ca="1">IFERROR(__xludf.DUMMYFUNCTION("""COMPUTED_VALUE"""),TRUE)</f>
        <v>1</v>
      </c>
      <c r="R830" s="2" t="str">
        <f ca="1">IFERROR(__xludf.DUMMYFUNCTION("""COMPUTED_VALUE"""),"2do Trasiego")</f>
        <v>2do Trasiego</v>
      </c>
      <c r="S830" s="2"/>
      <c r="T830" s="2"/>
      <c r="U830" s="2" t="str">
        <f ca="1">IFERROR(__xludf.DUMMYFUNCTION("""COMPUTED_VALUE"""),"1")</f>
        <v>1</v>
      </c>
    </row>
    <row r="831" spans="1:21" x14ac:dyDescent="0.25">
      <c r="A831" s="2" t="str">
        <f ca="1">IFERROR(__xludf.DUMMYFUNCTION("""COMPUTED_VALUE"""),"45728c8a")</f>
        <v>45728c8a</v>
      </c>
      <c r="B831" s="5">
        <f ca="1">IFERROR(__xludf.DUMMYFUNCTION("""COMPUTED_VALUE"""),45821.756412037)</f>
        <v>45821.756412037001</v>
      </c>
      <c r="C831" s="2" t="str">
        <f ca="1">IFERROR(__xludf.DUMMYFUNCTION("""COMPUTED_VALUE"""),"1cdbd1a4")</f>
        <v>1cdbd1a4</v>
      </c>
      <c r="D831" s="2">
        <f ca="1">IFERROR(__xludf.DUMMYFUNCTION("""COMPUTED_VALUE"""),70)</f>
        <v>70</v>
      </c>
      <c r="E831" s="2" t="str">
        <f ca="1">IFERROR(__xludf.DUMMYFUNCTION("""COMPUTED_VALUE"""),"Tinto G")</f>
        <v>Tinto G</v>
      </c>
      <c r="F831" s="2">
        <f ca="1">IFERROR(__xludf.DUMMYFUNCTION("""COMPUTED_VALUE"""),1900)</f>
        <v>1900</v>
      </c>
      <c r="G831" s="2">
        <f ca="1">IFERROR(__xludf.DUMMYFUNCTION("""COMPUTED_VALUE"""),82)</f>
        <v>82</v>
      </c>
      <c r="H831" s="2" t="str">
        <f ca="1">IFERROR(__xludf.DUMMYFUNCTION("""COMPUTED_VALUE"""),"9aa777e2")</f>
        <v>9aa777e2</v>
      </c>
      <c r="I831" s="2" t="str">
        <f ca="1">IFERROR(__xludf.DUMMYFUNCTION("""COMPUTED_VALUE"""),"Tinto")</f>
        <v>Tinto</v>
      </c>
      <c r="J831" s="2">
        <f ca="1">IFERROR(__xludf.DUMMYFUNCTION("""COMPUTED_VALUE"""),11200)</f>
        <v>11200</v>
      </c>
      <c r="K831" s="2">
        <f ca="1">IFERROR(__xludf.DUMMYFUNCTION("""COMPUTED_VALUE"""),13100)</f>
        <v>13100</v>
      </c>
      <c r="L831" s="2" t="str">
        <f ca="1">IFERROR(__xludf.DUMMYFUNCTION("""COMPUTED_VALUE"""),"fd98c394")</f>
        <v>fd98c394</v>
      </c>
      <c r="M831" s="2" t="str">
        <f ca="1">IFERROR(__xludf.DUMMYFUNCTION("""COMPUTED_VALUE"""),"Tinto")</f>
        <v>Tinto</v>
      </c>
      <c r="N831" s="2"/>
      <c r="O831" s="2" t="str">
        <f ca="1">IFERROR(__xludf.DUMMYFUNCTION("""COMPUTED_VALUE"""),"2do Trasiego")</f>
        <v>2do Trasiego</v>
      </c>
      <c r="P831" s="2" t="str">
        <f ca="1">IFERROR(__xludf.DUMMYFUNCTION("""COMPUTED_VALUE"""),"2do Trasiego")</f>
        <v>2do Trasiego</v>
      </c>
      <c r="Q831" s="2" t="b">
        <f ca="1">IFERROR(__xludf.DUMMYFUNCTION("""COMPUTED_VALUE"""),TRUE)</f>
        <v>1</v>
      </c>
      <c r="R831" s="2" t="str">
        <f ca="1">IFERROR(__xludf.DUMMYFUNCTION("""COMPUTED_VALUE"""),"2do Trasiego")</f>
        <v>2do Trasiego</v>
      </c>
      <c r="S831" s="2"/>
      <c r="T831" s="2"/>
      <c r="U831" s="2" t="str">
        <f ca="1">IFERROR(__xludf.DUMMYFUNCTION("""COMPUTED_VALUE"""),"1")</f>
        <v>1</v>
      </c>
    </row>
    <row r="832" spans="1:21" x14ac:dyDescent="0.25">
      <c r="A832" s="2" t="str">
        <f ca="1">IFERROR(__xludf.DUMMYFUNCTION("""COMPUTED_VALUE"""),"c75603e7")</f>
        <v>c75603e7</v>
      </c>
      <c r="B832" s="5">
        <f ca="1">IFERROR(__xludf.DUMMYFUNCTION("""COMPUTED_VALUE"""),45821.7566435185)</f>
        <v>45821.7566435185</v>
      </c>
      <c r="C832" s="2" t="str">
        <f ca="1">IFERROR(__xludf.DUMMYFUNCTION("""COMPUTED_VALUE"""),"9a261ef2")</f>
        <v>9a261ef2</v>
      </c>
      <c r="D832" s="2">
        <f ca="1">IFERROR(__xludf.DUMMYFUNCTION("""COMPUTED_VALUE"""),84)</f>
        <v>84</v>
      </c>
      <c r="E832" s="2" t="str">
        <f ca="1">IFERROR(__xludf.DUMMYFUNCTION("""COMPUTED_VALUE"""),"Tinto")</f>
        <v>Tinto</v>
      </c>
      <c r="F832" s="2">
        <f ca="1">IFERROR(__xludf.DUMMYFUNCTION("""COMPUTED_VALUE"""),7400)</f>
        <v>7400</v>
      </c>
      <c r="G832" s="2">
        <f ca="1">IFERROR(__xludf.DUMMYFUNCTION("""COMPUTED_VALUE"""),82)</f>
        <v>82</v>
      </c>
      <c r="H832" s="2" t="str">
        <f ca="1">IFERROR(__xludf.DUMMYFUNCTION("""COMPUTED_VALUE"""),"fd98c394")</f>
        <v>fd98c394</v>
      </c>
      <c r="I832" s="2" t="str">
        <f ca="1">IFERROR(__xludf.DUMMYFUNCTION("""COMPUTED_VALUE"""),"Tinto")</f>
        <v>Tinto</v>
      </c>
      <c r="J832" s="2">
        <f ca="1">IFERROR(__xludf.DUMMYFUNCTION("""COMPUTED_VALUE"""),13100)</f>
        <v>13100</v>
      </c>
      <c r="K832" s="2">
        <f ca="1">IFERROR(__xludf.DUMMYFUNCTION("""COMPUTED_VALUE"""),20500)</f>
        <v>20500</v>
      </c>
      <c r="L832" s="2" t="str">
        <f ca="1">IFERROR(__xludf.DUMMYFUNCTION("""COMPUTED_VALUE"""),"ec34455c")</f>
        <v>ec34455c</v>
      </c>
      <c r="M832" s="2" t="str">
        <f ca="1">IFERROR(__xludf.DUMMYFUNCTION("""COMPUTED_VALUE"""),"Tinto")</f>
        <v>Tinto</v>
      </c>
      <c r="N832" s="2"/>
      <c r="O832" s="2" t="str">
        <f ca="1">IFERROR(__xludf.DUMMYFUNCTION("""COMPUTED_VALUE"""),"2do Trasiego")</f>
        <v>2do Trasiego</v>
      </c>
      <c r="P832" s="2" t="str">
        <f ca="1">IFERROR(__xludf.DUMMYFUNCTION("""COMPUTED_VALUE"""),"2do Trasiego")</f>
        <v>2do Trasiego</v>
      </c>
      <c r="Q832" s="2" t="b">
        <f ca="1">IFERROR(__xludf.DUMMYFUNCTION("""COMPUTED_VALUE"""),TRUE)</f>
        <v>1</v>
      </c>
      <c r="R832" s="2" t="str">
        <f ca="1">IFERROR(__xludf.DUMMYFUNCTION("""COMPUTED_VALUE"""),"2do Trasiego")</f>
        <v>2do Trasiego</v>
      </c>
      <c r="S832" s="2"/>
      <c r="T832" s="2"/>
      <c r="U832" s="2" t="str">
        <f ca="1">IFERROR(__xludf.DUMMYFUNCTION("""COMPUTED_VALUE"""),"1")</f>
        <v>1</v>
      </c>
    </row>
    <row r="833" spans="1:21" x14ac:dyDescent="0.25">
      <c r="A833" s="2" t="str">
        <f ca="1">IFERROR(__xludf.DUMMYFUNCTION("""COMPUTED_VALUE"""),"37df0c32")</f>
        <v>37df0c32</v>
      </c>
      <c r="B833" s="5">
        <f ca="1">IFERROR(__xludf.DUMMYFUNCTION("""COMPUTED_VALUE"""),45821.7570138887)</f>
        <v>45821.757013888797</v>
      </c>
      <c r="C833" s="2" t="str">
        <f ca="1">IFERROR(__xludf.DUMMYFUNCTION("""COMPUTED_VALUE"""),"b7883137")</f>
        <v>b7883137</v>
      </c>
      <c r="D833" s="2">
        <f ca="1">IFERROR(__xludf.DUMMYFUNCTION("""COMPUTED_VALUE"""),85)</f>
        <v>85</v>
      </c>
      <c r="E833" s="2" t="str">
        <f ca="1">IFERROR(__xludf.DUMMYFUNCTION("""COMPUTED_VALUE"""),"Tinto")</f>
        <v>Tinto</v>
      </c>
      <c r="F833" s="2">
        <f ca="1">IFERROR(__xludf.DUMMYFUNCTION("""COMPUTED_VALUE"""),11400)</f>
        <v>11400</v>
      </c>
      <c r="G833" s="2">
        <f ca="1">IFERROR(__xludf.DUMMYFUNCTION("""COMPUTED_VALUE"""),82)</f>
        <v>82</v>
      </c>
      <c r="H833" s="2" t="str">
        <f ca="1">IFERROR(__xludf.DUMMYFUNCTION("""COMPUTED_VALUE"""),"ec34455c")</f>
        <v>ec34455c</v>
      </c>
      <c r="I833" s="2" t="str">
        <f ca="1">IFERROR(__xludf.DUMMYFUNCTION("""COMPUTED_VALUE"""),"Tinto")</f>
        <v>Tinto</v>
      </c>
      <c r="J833" s="2">
        <f ca="1">IFERROR(__xludf.DUMMYFUNCTION("""COMPUTED_VALUE"""),20500)</f>
        <v>20500</v>
      </c>
      <c r="K833" s="2">
        <f ca="1">IFERROR(__xludf.DUMMYFUNCTION("""COMPUTED_VALUE"""),31900)</f>
        <v>31900</v>
      </c>
      <c r="L833" s="2" t="str">
        <f ca="1">IFERROR(__xludf.DUMMYFUNCTION("""COMPUTED_VALUE"""),"10a0557e")</f>
        <v>10a0557e</v>
      </c>
      <c r="M833" s="2" t="str">
        <f ca="1">IFERROR(__xludf.DUMMYFUNCTION("""COMPUTED_VALUE"""),"Tinto")</f>
        <v>Tinto</v>
      </c>
      <c r="N833" s="2"/>
      <c r="O833" s="2" t="str">
        <f ca="1">IFERROR(__xludf.DUMMYFUNCTION("""COMPUTED_VALUE"""),"2do Trasiego")</f>
        <v>2do Trasiego</v>
      </c>
      <c r="P833" s="2" t="str">
        <f ca="1">IFERROR(__xludf.DUMMYFUNCTION("""COMPUTED_VALUE"""),"2do Trasiego")</f>
        <v>2do Trasiego</v>
      </c>
      <c r="Q833" s="2" t="b">
        <f ca="1">IFERROR(__xludf.DUMMYFUNCTION("""COMPUTED_VALUE"""),TRUE)</f>
        <v>1</v>
      </c>
      <c r="R833" s="2" t="str">
        <f ca="1">IFERROR(__xludf.DUMMYFUNCTION("""COMPUTED_VALUE"""),"2do Trasiego")</f>
        <v>2do Trasiego</v>
      </c>
      <c r="S833" s="2"/>
      <c r="T833" s="2"/>
      <c r="U833" s="2" t="str">
        <f ca="1">IFERROR(__xludf.DUMMYFUNCTION("""COMPUTED_VALUE"""),"1")</f>
        <v>1</v>
      </c>
    </row>
    <row r="834" spans="1:21" x14ac:dyDescent="0.25">
      <c r="A834" s="2" t="str">
        <f ca="1">IFERROR(__xludf.DUMMYFUNCTION("""COMPUTED_VALUE"""),"6bae5b3e")</f>
        <v>6bae5b3e</v>
      </c>
      <c r="B834" s="5">
        <f ca="1">IFERROR(__xludf.DUMMYFUNCTION("""COMPUTED_VALUE"""),45821.7573032407)</f>
        <v>45821.757303240702</v>
      </c>
      <c r="C834" s="2" t="str">
        <f ca="1">IFERROR(__xludf.DUMMYFUNCTION("""COMPUTED_VALUE"""),"b04cae80")</f>
        <v>b04cae80</v>
      </c>
      <c r="D834" s="2">
        <f ca="1">IFERROR(__xludf.DUMMYFUNCTION("""COMPUTED_VALUE"""),87)</f>
        <v>87</v>
      </c>
      <c r="E834" s="2" t="str">
        <f ca="1">IFERROR(__xludf.DUMMYFUNCTION("""COMPUTED_VALUE"""),"Tinto")</f>
        <v>Tinto</v>
      </c>
      <c r="F834" s="2">
        <f ca="1">IFERROR(__xludf.DUMMYFUNCTION("""COMPUTED_VALUE"""),10700)</f>
        <v>10700</v>
      </c>
      <c r="G834" s="2">
        <f ca="1">IFERROR(__xludf.DUMMYFUNCTION("""COMPUTED_VALUE"""),82)</f>
        <v>82</v>
      </c>
      <c r="H834" s="2" t="str">
        <f ca="1">IFERROR(__xludf.DUMMYFUNCTION("""COMPUTED_VALUE"""),"10a0557e")</f>
        <v>10a0557e</v>
      </c>
      <c r="I834" s="2" t="str">
        <f ca="1">IFERROR(__xludf.DUMMYFUNCTION("""COMPUTED_VALUE"""),"Tinto")</f>
        <v>Tinto</v>
      </c>
      <c r="J834" s="2">
        <f ca="1">IFERROR(__xludf.DUMMYFUNCTION("""COMPUTED_VALUE"""),31900)</f>
        <v>31900</v>
      </c>
      <c r="K834" s="2">
        <f ca="1">IFERROR(__xludf.DUMMYFUNCTION("""COMPUTED_VALUE"""),42600)</f>
        <v>42600</v>
      </c>
      <c r="L834" s="2" t="str">
        <f ca="1">IFERROR(__xludf.DUMMYFUNCTION("""COMPUTED_VALUE"""),"159aadce")</f>
        <v>159aadce</v>
      </c>
      <c r="M834" s="2" t="str">
        <f ca="1">IFERROR(__xludf.DUMMYFUNCTION("""COMPUTED_VALUE"""),"Tinto")</f>
        <v>Tinto</v>
      </c>
      <c r="N834" s="2"/>
      <c r="O834" s="2" t="str">
        <f ca="1">IFERROR(__xludf.DUMMYFUNCTION("""COMPUTED_VALUE"""),"2do Trasiego")</f>
        <v>2do Trasiego</v>
      </c>
      <c r="P834" s="2" t="str">
        <f ca="1">IFERROR(__xludf.DUMMYFUNCTION("""COMPUTED_VALUE"""),"2do Trasiego")</f>
        <v>2do Trasiego</v>
      </c>
      <c r="Q834" s="2" t="b">
        <f ca="1">IFERROR(__xludf.DUMMYFUNCTION("""COMPUTED_VALUE"""),TRUE)</f>
        <v>1</v>
      </c>
      <c r="R834" s="2" t="str">
        <f ca="1">IFERROR(__xludf.DUMMYFUNCTION("""COMPUTED_VALUE"""),"2do Trasiego")</f>
        <v>2do Trasiego</v>
      </c>
      <c r="S834" s="2"/>
      <c r="T834" s="2"/>
      <c r="U834" s="2" t="str">
        <f ca="1">IFERROR(__xludf.DUMMYFUNCTION("""COMPUTED_VALUE"""),"1")</f>
        <v>1</v>
      </c>
    </row>
    <row r="835" spans="1:21" x14ac:dyDescent="0.25">
      <c r="A835" s="2" t="str">
        <f ca="1">IFERROR(__xludf.DUMMYFUNCTION("""COMPUTED_VALUE"""),"ab90cb86")</f>
        <v>ab90cb86</v>
      </c>
      <c r="B835" s="5">
        <f ca="1">IFERROR(__xludf.DUMMYFUNCTION("""COMPUTED_VALUE"""),45821.7597337962)</f>
        <v>45821.7597337962</v>
      </c>
      <c r="C835" s="2" t="str">
        <f ca="1">IFERROR(__xludf.DUMMYFUNCTION("""COMPUTED_VALUE"""),"5091788b")</f>
        <v>5091788b</v>
      </c>
      <c r="D835" s="2">
        <f ca="1">IFERROR(__xludf.DUMMYFUNCTION("""COMPUTED_VALUE"""),102)</f>
        <v>102</v>
      </c>
      <c r="E835" s="2" t="str">
        <f ca="1">IFERROR(__xludf.DUMMYFUNCTION("""COMPUTED_VALUE"""),"Bonarda")</f>
        <v>Bonarda</v>
      </c>
      <c r="F835" s="2">
        <f ca="1">IFERROR(__xludf.DUMMYFUNCTION("""COMPUTED_VALUE"""),4400)</f>
        <v>4400</v>
      </c>
      <c r="G835" s="2">
        <f ca="1">IFERROR(__xludf.DUMMYFUNCTION("""COMPUTED_VALUE"""),46)</f>
        <v>46</v>
      </c>
      <c r="H835" s="2" t="str">
        <f ca="1">IFERROR(__xludf.DUMMYFUNCTION("""COMPUTED_VALUE"""),"7efc01f3")</f>
        <v>7efc01f3</v>
      </c>
      <c r="I835" s="2" t="str">
        <f ca="1">IFERROR(__xludf.DUMMYFUNCTION("""COMPUTED_VALUE"""),"Bonarda")</f>
        <v>Bonarda</v>
      </c>
      <c r="J835" s="2">
        <f ca="1">IFERROR(__xludf.DUMMYFUNCTION("""COMPUTED_VALUE"""),24600)</f>
        <v>24600</v>
      </c>
      <c r="K835" s="2">
        <f ca="1">IFERROR(__xludf.DUMMYFUNCTION("""COMPUTED_VALUE"""),29000)</f>
        <v>29000</v>
      </c>
      <c r="L835" s="2" t="str">
        <f ca="1">IFERROR(__xludf.DUMMYFUNCTION("""COMPUTED_VALUE"""),"9b47717c")</f>
        <v>9b47717c</v>
      </c>
      <c r="M835" s="2" t="str">
        <f ca="1">IFERROR(__xludf.DUMMYFUNCTION("""COMPUTED_VALUE"""),"Bonarda")</f>
        <v>Bonarda</v>
      </c>
      <c r="N835" s="2"/>
      <c r="O835" s="2" t="str">
        <f ca="1">IFERROR(__xludf.DUMMYFUNCTION("""COMPUTED_VALUE"""),"2do Trasiego")</f>
        <v>2do Trasiego</v>
      </c>
      <c r="P835" s="2" t="str">
        <f ca="1">IFERROR(__xludf.DUMMYFUNCTION("""COMPUTED_VALUE"""),"2do Trasiego")</f>
        <v>2do Trasiego</v>
      </c>
      <c r="Q835" s="2" t="b">
        <f ca="1">IFERROR(__xludf.DUMMYFUNCTION("""COMPUTED_VALUE"""),TRUE)</f>
        <v>1</v>
      </c>
      <c r="R835" s="2" t="str">
        <f ca="1">IFERROR(__xludf.DUMMYFUNCTION("""COMPUTED_VALUE"""),"2do Trasiego")</f>
        <v>2do Trasiego</v>
      </c>
      <c r="S835" s="2"/>
      <c r="T835" s="2"/>
      <c r="U835" s="2" t="str">
        <f ca="1">IFERROR(__xludf.DUMMYFUNCTION("""COMPUTED_VALUE"""),"1")</f>
        <v>1</v>
      </c>
    </row>
    <row r="836" spans="1:21" x14ac:dyDescent="0.25">
      <c r="A836" s="2" t="str">
        <f ca="1">IFERROR(__xludf.DUMMYFUNCTION("""COMPUTED_VALUE"""),"9a573913")</f>
        <v>9a573913</v>
      </c>
      <c r="B836" s="5">
        <f ca="1">IFERROR(__xludf.DUMMYFUNCTION("""COMPUTED_VALUE"""),45821.7599305555)</f>
        <v>45821.759930555498</v>
      </c>
      <c r="C836" s="2" t="str">
        <f ca="1">IFERROR(__xludf.DUMMYFUNCTION("""COMPUTED_VALUE"""),"5091788b")</f>
        <v>5091788b</v>
      </c>
      <c r="D836" s="2">
        <f ca="1">IFERROR(__xludf.DUMMYFUNCTION("""COMPUTED_VALUE"""),102)</f>
        <v>102</v>
      </c>
      <c r="E836" s="2" t="str">
        <f ca="1">IFERROR(__xludf.DUMMYFUNCTION("""COMPUTED_VALUE"""),"Bonarda")</f>
        <v>Bonarda</v>
      </c>
      <c r="F836" s="2">
        <f ca="1">IFERROR(__xludf.DUMMYFUNCTION("""COMPUTED_VALUE"""),1200)</f>
        <v>1200</v>
      </c>
      <c r="G836" s="2">
        <f ca="1">IFERROR(__xludf.DUMMYFUNCTION("""COMPUTED_VALUE"""),72)</f>
        <v>72</v>
      </c>
      <c r="H836" s="2" t="str">
        <f ca="1">IFERROR(__xludf.DUMMYFUNCTION("""COMPUTED_VALUE"""),"fe6fc54b")</f>
        <v>fe6fc54b</v>
      </c>
      <c r="I836" s="2" t="str">
        <f ca="1">IFERROR(__xludf.DUMMYFUNCTION("""COMPUTED_VALUE"""),"Syrah Tempranillo")</f>
        <v>Syrah Tempranillo</v>
      </c>
      <c r="J836" s="2">
        <f ca="1">IFERROR(__xludf.DUMMYFUNCTION("""COMPUTED_VALUE"""),11800)</f>
        <v>11800</v>
      </c>
      <c r="K836" s="2">
        <f ca="1">IFERROR(__xludf.DUMMYFUNCTION("""COMPUTED_VALUE"""),13000)</f>
        <v>13000</v>
      </c>
      <c r="L836" s="2" t="str">
        <f ca="1">IFERROR(__xludf.DUMMYFUNCTION("""COMPUTED_VALUE"""),"5f7e8218")</f>
        <v>5f7e8218</v>
      </c>
      <c r="M836" s="2" t="str">
        <f ca="1">IFERROR(__xludf.DUMMYFUNCTION("""COMPUTED_VALUE"""),"Syrah Tempranillo")</f>
        <v>Syrah Tempranillo</v>
      </c>
      <c r="N836" s="2"/>
      <c r="O836" s="2" t="str">
        <f ca="1">IFERROR(__xludf.DUMMYFUNCTION("""COMPUTED_VALUE"""),"2do Trasiego")</f>
        <v>2do Trasiego</v>
      </c>
      <c r="P836" s="2" t="str">
        <f ca="1">IFERROR(__xludf.DUMMYFUNCTION("""COMPUTED_VALUE"""),"2do Trasiego")</f>
        <v>2do Trasiego</v>
      </c>
      <c r="Q836" s="2" t="b">
        <f ca="1">IFERROR(__xludf.DUMMYFUNCTION("""COMPUTED_VALUE"""),TRUE)</f>
        <v>1</v>
      </c>
      <c r="R836" s="2" t="str">
        <f ca="1">IFERROR(__xludf.DUMMYFUNCTION("""COMPUTED_VALUE"""),"2do Trasiego")</f>
        <v>2do Trasiego</v>
      </c>
      <c r="S836" s="2"/>
      <c r="T836" s="2"/>
      <c r="U836" s="2" t="str">
        <f ca="1">IFERROR(__xludf.DUMMYFUNCTION("""COMPUTED_VALUE"""),"1+")</f>
        <v>1+</v>
      </c>
    </row>
    <row r="837" spans="1:21" x14ac:dyDescent="0.25">
      <c r="A837" s="2" t="str">
        <f ca="1">IFERROR(__xludf.DUMMYFUNCTION("""COMPUTED_VALUE"""),"5a3ef847")</f>
        <v>5a3ef847</v>
      </c>
      <c r="B837" s="5">
        <f ca="1">IFERROR(__xludf.DUMMYFUNCTION("""COMPUTED_VALUE"""),45821.7622453703)</f>
        <v>45821.762245370301</v>
      </c>
      <c r="C837" s="2" t="str">
        <f ca="1">IFERROR(__xludf.DUMMYFUNCTION("""COMPUTED_VALUE"""),"5091788b")</f>
        <v>5091788b</v>
      </c>
      <c r="D837" s="2">
        <f ca="1">IFERROR(__xludf.DUMMYFUNCTION("""COMPUTED_VALUE"""),102)</f>
        <v>102</v>
      </c>
      <c r="E837" s="2" t="str">
        <f ca="1">IFERROR(__xludf.DUMMYFUNCTION("""COMPUTED_VALUE"""),"Bonarda")</f>
        <v>Bonarda</v>
      </c>
      <c r="F837" s="2">
        <f ca="1">IFERROR(__xludf.DUMMYFUNCTION("""COMPUTED_VALUE"""),1400)</f>
        <v>1400</v>
      </c>
      <c r="G837" s="2">
        <f ca="1">IFERROR(__xludf.DUMMYFUNCTION("""COMPUTED_VALUE"""),26)</f>
        <v>26</v>
      </c>
      <c r="H837" s="2" t="str">
        <f ca="1">IFERROR(__xludf.DUMMYFUNCTION("""COMPUTED_VALUE"""),"46e42ed3")</f>
        <v>46e42ed3</v>
      </c>
      <c r="I837" s="2" t="str">
        <f ca="1">IFERROR(__xludf.DUMMYFUNCTION("""COMPUTED_VALUE"""),"Tinto")</f>
        <v>Tinto</v>
      </c>
      <c r="J837" s="2">
        <f ca="1">IFERROR(__xludf.DUMMYFUNCTION("""COMPUTED_VALUE"""),203000)</f>
        <v>203000</v>
      </c>
      <c r="K837" s="2">
        <f ca="1">IFERROR(__xludf.DUMMYFUNCTION("""COMPUTED_VALUE"""),204400)</f>
        <v>204400</v>
      </c>
      <c r="L837" s="2" t="str">
        <f ca="1">IFERROR(__xludf.DUMMYFUNCTION("""COMPUTED_VALUE"""),"65584c29")</f>
        <v>65584c29</v>
      </c>
      <c r="M837" s="2" t="str">
        <f ca="1">IFERROR(__xludf.DUMMYFUNCTION("""COMPUTED_VALUE"""),"Tinto")</f>
        <v>Tinto</v>
      </c>
      <c r="N837" s="2"/>
      <c r="O837" s="2" t="str">
        <f ca="1">IFERROR(__xludf.DUMMYFUNCTION("""COMPUTED_VALUE"""),"2do Trasiego")</f>
        <v>2do Trasiego</v>
      </c>
      <c r="P837" s="2" t="str">
        <f ca="1">IFERROR(__xludf.DUMMYFUNCTION("""COMPUTED_VALUE"""),"2do Trasiego")</f>
        <v>2do Trasiego</v>
      </c>
      <c r="Q837" s="2" t="b">
        <f ca="1">IFERROR(__xludf.DUMMYFUNCTION("""COMPUTED_VALUE"""),TRUE)</f>
        <v>1</v>
      </c>
      <c r="R837" s="2" t="str">
        <f ca="1">IFERROR(__xludf.DUMMYFUNCTION("""COMPUTED_VALUE"""),"2do Trasiego")</f>
        <v>2do Trasiego</v>
      </c>
      <c r="S837" s="2"/>
      <c r="T837" s="2"/>
      <c r="U837" s="2" t="str">
        <f ca="1">IFERROR(__xludf.DUMMYFUNCTION("""COMPUTED_VALUE"""),"1")</f>
        <v>1</v>
      </c>
    </row>
    <row r="838" spans="1:21" x14ac:dyDescent="0.25">
      <c r="A838" s="2" t="str">
        <f ca="1">IFERROR(__xludf.DUMMYFUNCTION("""COMPUTED_VALUE"""),"6e8160ed")</f>
        <v>6e8160ed</v>
      </c>
      <c r="B838" s="5">
        <f ca="1">IFERROR(__xludf.DUMMYFUNCTION("""COMPUTED_VALUE"""),45821.762662037)</f>
        <v>45821.762662036999</v>
      </c>
      <c r="C838" s="2" t="str">
        <f ca="1">IFERROR(__xludf.DUMMYFUNCTION("""COMPUTED_VALUE"""),"b04cae80")</f>
        <v>b04cae80</v>
      </c>
      <c r="D838" s="2">
        <f ca="1">IFERROR(__xludf.DUMMYFUNCTION("""COMPUTED_VALUE"""),87)</f>
        <v>87</v>
      </c>
      <c r="E838" s="2" t="str">
        <f ca="1">IFERROR(__xludf.DUMMYFUNCTION("""COMPUTED_VALUE"""),"Tinto")</f>
        <v>Tinto</v>
      </c>
      <c r="F838" s="2">
        <f ca="1">IFERROR(__xludf.DUMMYFUNCTION("""COMPUTED_VALUE"""),2100)</f>
        <v>2100</v>
      </c>
      <c r="G838" s="2">
        <f ca="1">IFERROR(__xludf.DUMMYFUNCTION("""COMPUTED_VALUE"""),26)</f>
        <v>26</v>
      </c>
      <c r="H838" s="2" t="str">
        <f ca="1">IFERROR(__xludf.DUMMYFUNCTION("""COMPUTED_VALUE"""),"65584c29")</f>
        <v>65584c29</v>
      </c>
      <c r="I838" s="2" t="str">
        <f ca="1">IFERROR(__xludf.DUMMYFUNCTION("""COMPUTED_VALUE"""),"Tinto")</f>
        <v>Tinto</v>
      </c>
      <c r="J838" s="2">
        <f ca="1">IFERROR(__xludf.DUMMYFUNCTION("""COMPUTED_VALUE"""),204400)</f>
        <v>204400</v>
      </c>
      <c r="K838" s="2">
        <f ca="1">IFERROR(__xludf.DUMMYFUNCTION("""COMPUTED_VALUE"""),206500)</f>
        <v>206500</v>
      </c>
      <c r="L838" s="2" t="str">
        <f ca="1">IFERROR(__xludf.DUMMYFUNCTION("""COMPUTED_VALUE"""),"3b8e29c8")</f>
        <v>3b8e29c8</v>
      </c>
      <c r="M838" s="2" t="str">
        <f ca="1">IFERROR(__xludf.DUMMYFUNCTION("""COMPUTED_VALUE"""),"Tinto")</f>
        <v>Tinto</v>
      </c>
      <c r="N838" s="2"/>
      <c r="O838" s="2" t="str">
        <f ca="1">IFERROR(__xludf.DUMMYFUNCTION("""COMPUTED_VALUE"""),"2do Trasiego")</f>
        <v>2do Trasiego</v>
      </c>
      <c r="P838" s="2" t="str">
        <f ca="1">IFERROR(__xludf.DUMMYFUNCTION("""COMPUTED_VALUE"""),"2do Trasiego")</f>
        <v>2do Trasiego</v>
      </c>
      <c r="Q838" s="2" t="b">
        <f ca="1">IFERROR(__xludf.DUMMYFUNCTION("""COMPUTED_VALUE"""),TRUE)</f>
        <v>1</v>
      </c>
      <c r="R838" s="2" t="str">
        <f ca="1">IFERROR(__xludf.DUMMYFUNCTION("""COMPUTED_VALUE"""),"2do Trasiego")</f>
        <v>2do Trasiego</v>
      </c>
      <c r="S838" s="2"/>
      <c r="T838" s="2"/>
      <c r="U838" s="2" t="str">
        <f ca="1">IFERROR(__xludf.DUMMYFUNCTION("""COMPUTED_VALUE"""),"1")</f>
        <v>1</v>
      </c>
    </row>
    <row r="839" spans="1:21" x14ac:dyDescent="0.25">
      <c r="A839" s="2" t="str">
        <f ca="1">IFERROR(__xludf.DUMMYFUNCTION("""COMPUTED_VALUE"""),"393a40a3")</f>
        <v>393a40a3</v>
      </c>
      <c r="B839" s="5">
        <f ca="1">IFERROR(__xludf.DUMMYFUNCTION("""COMPUTED_VALUE"""),45821.7629166666)</f>
        <v>45821.762916666601</v>
      </c>
      <c r="C839" s="2" t="str">
        <f ca="1">IFERROR(__xludf.DUMMYFUNCTION("""COMPUTED_VALUE"""),"fbfff24a")</f>
        <v>fbfff24a</v>
      </c>
      <c r="D839" s="2">
        <f ca="1">IFERROR(__xludf.DUMMYFUNCTION("""COMPUTED_VALUE"""),92)</f>
        <v>92</v>
      </c>
      <c r="E839" s="2" t="str">
        <f ca="1">IFERROR(__xludf.DUMMYFUNCTION("""COMPUTED_VALUE"""),"Tinto")</f>
        <v>Tinto</v>
      </c>
      <c r="F839" s="2">
        <f ca="1">IFERROR(__xludf.DUMMYFUNCTION("""COMPUTED_VALUE"""),1100)</f>
        <v>1100</v>
      </c>
      <c r="G839" s="2">
        <f ca="1">IFERROR(__xludf.DUMMYFUNCTION("""COMPUTED_VALUE"""),26)</f>
        <v>26</v>
      </c>
      <c r="H839" s="2" t="str">
        <f ca="1">IFERROR(__xludf.DUMMYFUNCTION("""COMPUTED_VALUE"""),"3b8e29c8")</f>
        <v>3b8e29c8</v>
      </c>
      <c r="I839" s="2" t="str">
        <f ca="1">IFERROR(__xludf.DUMMYFUNCTION("""COMPUTED_VALUE"""),"Tinto")</f>
        <v>Tinto</v>
      </c>
      <c r="J839" s="2">
        <f ca="1">IFERROR(__xludf.DUMMYFUNCTION("""COMPUTED_VALUE"""),206500)</f>
        <v>206500</v>
      </c>
      <c r="K839" s="2">
        <f ca="1">IFERROR(__xludf.DUMMYFUNCTION("""COMPUTED_VALUE"""),207600)</f>
        <v>207600</v>
      </c>
      <c r="L839" s="2" t="str">
        <f ca="1">IFERROR(__xludf.DUMMYFUNCTION("""COMPUTED_VALUE"""),"a37dae6b")</f>
        <v>a37dae6b</v>
      </c>
      <c r="M839" s="2" t="str">
        <f ca="1">IFERROR(__xludf.DUMMYFUNCTION("""COMPUTED_VALUE"""),"Tinto")</f>
        <v>Tinto</v>
      </c>
      <c r="N839" s="2"/>
      <c r="O839" s="2" t="str">
        <f ca="1">IFERROR(__xludf.DUMMYFUNCTION("""COMPUTED_VALUE"""),"2do Trasiego")</f>
        <v>2do Trasiego</v>
      </c>
      <c r="P839" s="2" t="str">
        <f ca="1">IFERROR(__xludf.DUMMYFUNCTION("""COMPUTED_VALUE"""),"2do Trasiego")</f>
        <v>2do Trasiego</v>
      </c>
      <c r="Q839" s="2" t="b">
        <f ca="1">IFERROR(__xludf.DUMMYFUNCTION("""COMPUTED_VALUE"""),TRUE)</f>
        <v>1</v>
      </c>
      <c r="R839" s="2" t="str">
        <f ca="1">IFERROR(__xludf.DUMMYFUNCTION("""COMPUTED_VALUE"""),"2do Trasiego")</f>
        <v>2do Trasiego</v>
      </c>
      <c r="S839" s="2"/>
      <c r="T839" s="2"/>
      <c r="U839" s="2" t="str">
        <f ca="1">IFERROR(__xludf.DUMMYFUNCTION("""COMPUTED_VALUE"""),"1")</f>
        <v>1</v>
      </c>
    </row>
    <row r="840" spans="1:21" x14ac:dyDescent="0.25">
      <c r="A840" s="2" t="str">
        <f ca="1">IFERROR(__xludf.DUMMYFUNCTION("""COMPUTED_VALUE"""),"1a09e12e")</f>
        <v>1a09e12e</v>
      </c>
      <c r="B840" s="5">
        <f ca="1">IFERROR(__xludf.DUMMYFUNCTION("""COMPUTED_VALUE"""),45825.5396064814)</f>
        <v>45825.539606481398</v>
      </c>
      <c r="C840" s="2" t="str">
        <f ca="1">IFERROR(__xludf.DUMMYFUNCTION("""COMPUTED_VALUE"""),"159aadce")</f>
        <v>159aadce</v>
      </c>
      <c r="D840" s="2">
        <f ca="1">IFERROR(__xludf.DUMMYFUNCTION("""COMPUTED_VALUE"""),82)</f>
        <v>82</v>
      </c>
      <c r="E840" s="2" t="str">
        <f ca="1">IFERROR(__xludf.DUMMYFUNCTION("""COMPUTED_VALUE"""),"Tinto")</f>
        <v>Tinto</v>
      </c>
      <c r="F840" s="2">
        <f ca="1">IFERROR(__xludf.DUMMYFUNCTION("""COMPUTED_VALUE"""),2700)</f>
        <v>2700</v>
      </c>
      <c r="G840" s="2">
        <f ca="1">IFERROR(__xludf.DUMMYFUNCTION("""COMPUTED_VALUE"""),500)</f>
        <v>500</v>
      </c>
      <c r="H840" s="2" t="str">
        <f ca="1">IFERROR(__xludf.DUMMYFUNCTION("""COMPUTED_VALUE"""),"1b1e47bd")</f>
        <v>1b1e47bd</v>
      </c>
      <c r="I840" s="2" t="str">
        <f ca="1">IFERROR(__xludf.DUMMYFUNCTION("""COMPUTED_VALUE"""),"Ajuste Arqueo 17/06/2025")</f>
        <v>Ajuste Arqueo 17/06/2025</v>
      </c>
      <c r="J840" s="2">
        <f ca="1">IFERROR(__xludf.DUMMYFUNCTION("""COMPUTED_VALUE"""),1)</f>
        <v>1</v>
      </c>
      <c r="K840" s="2">
        <f ca="1">IFERROR(__xludf.DUMMYFUNCTION("""COMPUTED_VALUE"""),2701)</f>
        <v>2701</v>
      </c>
      <c r="L840" s="2" t="str">
        <f ca="1">IFERROR(__xludf.DUMMYFUNCTION("""COMPUTED_VALUE"""),"6998d133")</f>
        <v>6998d133</v>
      </c>
      <c r="M840" s="2" t="str">
        <f ca="1">IFERROR(__xludf.DUMMYFUNCTION("""COMPUTED_VALUE"""),"Ajuste Arqueo 17/06/2025")</f>
        <v>Ajuste Arqueo 17/06/2025</v>
      </c>
      <c r="N840" s="2"/>
      <c r="O840" s="2" t="str">
        <f ca="1">IFERROR(__xludf.DUMMYFUNCTION("""COMPUTED_VALUE"""),"Traslado Venta")</f>
        <v>Traslado Venta</v>
      </c>
      <c r="P840" s="2"/>
      <c r="Q840" s="2" t="b">
        <f ca="1">IFERROR(__xludf.DUMMYFUNCTION("""COMPUTED_VALUE"""),TRUE)</f>
        <v>1</v>
      </c>
      <c r="R840" s="2"/>
      <c r="S840" s="2"/>
      <c r="T840" s="2"/>
      <c r="U840" s="2"/>
    </row>
    <row r="841" spans="1:21" x14ac:dyDescent="0.25">
      <c r="A841" s="2" t="str">
        <f ca="1">IFERROR(__xludf.DUMMYFUNCTION("""COMPUTED_VALUE"""),"bea59207")</f>
        <v>bea59207</v>
      </c>
      <c r="B841" s="5">
        <f ca="1">IFERROR(__xludf.DUMMYFUNCTION("""COMPUTED_VALUE"""),45825.5401736111)</f>
        <v>45825.540173611102</v>
      </c>
      <c r="C841" s="2" t="str">
        <f ca="1">IFERROR(__xludf.DUMMYFUNCTION("""COMPUTED_VALUE"""),"fbfff24a")</f>
        <v>fbfff24a</v>
      </c>
      <c r="D841" s="2">
        <f ca="1">IFERROR(__xludf.DUMMYFUNCTION("""COMPUTED_VALUE"""),92)</f>
        <v>92</v>
      </c>
      <c r="E841" s="2" t="str">
        <f ca="1">IFERROR(__xludf.DUMMYFUNCTION("""COMPUTED_VALUE"""),"Tinto")</f>
        <v>Tinto</v>
      </c>
      <c r="F841" s="2">
        <f ca="1">IFERROR(__xludf.DUMMYFUNCTION("""COMPUTED_VALUE"""),7200)</f>
        <v>7200</v>
      </c>
      <c r="G841" s="2">
        <f ca="1">IFERROR(__xludf.DUMMYFUNCTION("""COMPUTED_VALUE"""),500)</f>
        <v>500</v>
      </c>
      <c r="H841" s="2" t="str">
        <f ca="1">IFERROR(__xludf.DUMMYFUNCTION("""COMPUTED_VALUE"""),"6998d133")</f>
        <v>6998d133</v>
      </c>
      <c r="I841" s="2" t="str">
        <f ca="1">IFERROR(__xludf.DUMMYFUNCTION("""COMPUTED_VALUE"""),"Ajuste Arqueo 17/06/2025")</f>
        <v>Ajuste Arqueo 17/06/2025</v>
      </c>
      <c r="J841" s="2">
        <f ca="1">IFERROR(__xludf.DUMMYFUNCTION("""COMPUTED_VALUE"""),2701)</f>
        <v>2701</v>
      </c>
      <c r="K841" s="2">
        <f ca="1">IFERROR(__xludf.DUMMYFUNCTION("""COMPUTED_VALUE"""),9901)</f>
        <v>9901</v>
      </c>
      <c r="L841" s="2" t="str">
        <f ca="1">IFERROR(__xludf.DUMMYFUNCTION("""COMPUTED_VALUE"""),"1a738e1d")</f>
        <v>1a738e1d</v>
      </c>
      <c r="M841" s="2" t="str">
        <f ca="1">IFERROR(__xludf.DUMMYFUNCTION("""COMPUTED_VALUE"""),"Ajuste Arqueo 17/06/2025")</f>
        <v>Ajuste Arqueo 17/06/2025</v>
      </c>
      <c r="N841" s="2"/>
      <c r="O841" s="2" t="str">
        <f ca="1">IFERROR(__xludf.DUMMYFUNCTION("""COMPUTED_VALUE"""),"2do Trasiego")</f>
        <v>2do Trasiego</v>
      </c>
      <c r="P841" s="2"/>
      <c r="Q841" s="2" t="b">
        <f ca="1">IFERROR(__xludf.DUMMYFUNCTION("""COMPUTED_VALUE"""),TRUE)</f>
        <v>1</v>
      </c>
      <c r="R841" s="2"/>
      <c r="S841" s="2"/>
      <c r="T841" s="2"/>
      <c r="U841" s="2"/>
    </row>
    <row r="842" spans="1:21" x14ac:dyDescent="0.25">
      <c r="A842" s="2" t="str">
        <f ca="1">IFERROR(__xludf.DUMMYFUNCTION("""COMPUTED_VALUE"""),"85d6023b")</f>
        <v>85d6023b</v>
      </c>
      <c r="B842" s="5">
        <f ca="1">IFERROR(__xludf.DUMMYFUNCTION("""COMPUTED_VALUE"""),45827.7636574074)</f>
        <v>45827.763657407399</v>
      </c>
      <c r="C842" s="2" t="str">
        <f ca="1">IFERROR(__xludf.DUMMYFUNCTION("""COMPUTED_VALUE"""),"397c9478")</f>
        <v>397c9478</v>
      </c>
      <c r="D842" s="2">
        <f ca="1">IFERROR(__xludf.DUMMYFUNCTION("""COMPUTED_VALUE"""),6)</f>
        <v>6</v>
      </c>
      <c r="E842" s="2" t="str">
        <f ca="1">IFERROR(__xludf.DUMMYFUNCTION("""COMPUTED_VALUE"""),"Syrah Rectificado")</f>
        <v>Syrah Rectificado</v>
      </c>
      <c r="F842" s="2">
        <f ca="1">IFERROR(__xludf.DUMMYFUNCTION("""COMPUTED_VALUE"""),2700)</f>
        <v>2700</v>
      </c>
      <c r="G842" s="2">
        <f ca="1">IFERROR(__xludf.DUMMYFUNCTION("""COMPUTED_VALUE"""),82)</f>
        <v>82</v>
      </c>
      <c r="H842" s="2" t="str">
        <f ca="1">IFERROR(__xludf.DUMMYFUNCTION("""COMPUTED_VALUE"""),"159aadce")</f>
        <v>159aadce</v>
      </c>
      <c r="I842" s="2" t="str">
        <f ca="1">IFERROR(__xludf.DUMMYFUNCTION("""COMPUTED_VALUE"""),"Tinto")</f>
        <v>Tinto</v>
      </c>
      <c r="J842" s="2">
        <f ca="1">IFERROR(__xludf.DUMMYFUNCTION("""COMPUTED_VALUE"""),39900)</f>
        <v>39900</v>
      </c>
      <c r="K842" s="2">
        <f ca="1">IFERROR(__xludf.DUMMYFUNCTION("""COMPUTED_VALUE"""),42600)</f>
        <v>42600</v>
      </c>
      <c r="L842" s="2" t="str">
        <f ca="1">IFERROR(__xludf.DUMMYFUNCTION("""COMPUTED_VALUE"""),"539224d6")</f>
        <v>539224d6</v>
      </c>
      <c r="M842" s="2" t="str">
        <f ca="1">IFERROR(__xludf.DUMMYFUNCTION("""COMPUTED_VALUE"""),"Tinto")</f>
        <v>Tinto</v>
      </c>
      <c r="N842" s="2"/>
      <c r="O842" s="2" t="str">
        <f ca="1">IFERROR(__xludf.DUMMYFUNCTION("""COMPUTED_VALUE"""),"Rectificado")</f>
        <v>Rectificado</v>
      </c>
      <c r="P842" s="2" t="str">
        <f ca="1">IFERROR(__xludf.DUMMYFUNCTION("""COMPUTED_VALUE"""),"2do Trasiego")</f>
        <v>2do Trasiego</v>
      </c>
      <c r="Q842" s="2" t="b">
        <f ca="1">IFERROR(__xludf.DUMMYFUNCTION("""COMPUTED_VALUE"""),TRUE)</f>
        <v>1</v>
      </c>
      <c r="R842" s="2" t="str">
        <f ca="1">IFERROR(__xludf.DUMMYFUNCTION("""COMPUTED_VALUE"""),"2do Trasiego")</f>
        <v>2do Trasiego</v>
      </c>
      <c r="S842" s="2"/>
      <c r="T842" s="2"/>
      <c r="U842" s="2" t="str">
        <f ca="1">IFERROR(__xludf.DUMMYFUNCTION("""COMPUTED_VALUE"""),"1")</f>
        <v>1</v>
      </c>
    </row>
    <row r="843" spans="1:21" x14ac:dyDescent="0.25">
      <c r="A843" s="2" t="str">
        <f ca="1">IFERROR(__xludf.DUMMYFUNCTION("""COMPUTED_VALUE"""),"fb81bc69")</f>
        <v>fb81bc69</v>
      </c>
      <c r="B843" s="5">
        <f ca="1">IFERROR(__xludf.DUMMYFUNCTION("""COMPUTED_VALUE"""),45827.7649537037)</f>
        <v>45827.7649537037</v>
      </c>
      <c r="C843" s="2" t="str">
        <f ca="1">IFERROR(__xludf.DUMMYFUNCTION("""COMPUTED_VALUE"""),"8b30dc4c")</f>
        <v>8b30dc4c</v>
      </c>
      <c r="D843" s="2">
        <f ca="1">IFERROR(__xludf.DUMMYFUNCTION("""COMPUTED_VALUE"""),74)</f>
        <v>74</v>
      </c>
      <c r="E843" s="2" t="str">
        <f ca="1">IFERROR(__xludf.DUMMYFUNCTION("""COMPUTED_VALUE"""),"Malbec Montecepas 24")</f>
        <v>Malbec Montecepas 24</v>
      </c>
      <c r="F843" s="2">
        <f ca="1">IFERROR(__xludf.DUMMYFUNCTION("""COMPUTED_VALUE"""),300)</f>
        <v>300</v>
      </c>
      <c r="G843" s="2">
        <f ca="1">IFERROR(__xludf.DUMMYFUNCTION("""COMPUTED_VALUE"""),500)</f>
        <v>500</v>
      </c>
      <c r="H843" s="2"/>
      <c r="I843" s="2"/>
      <c r="J843" s="2">
        <f ca="1">IFERROR(__xludf.DUMMYFUNCTION("""COMPUTED_VALUE"""),0)</f>
        <v>0</v>
      </c>
      <c r="K843" s="2">
        <f ca="1">IFERROR(__xludf.DUMMYFUNCTION("""COMPUTED_VALUE"""),300)</f>
        <v>300</v>
      </c>
      <c r="L843" s="2" t="str">
        <f ca="1">IFERROR(__xludf.DUMMYFUNCTION("""COMPUTED_VALUE"""),"d93b980f")</f>
        <v>d93b980f</v>
      </c>
      <c r="M843" s="2" t="str">
        <f ca="1">IFERROR(__xludf.DUMMYFUNCTION("""COMPUTED_VALUE"""),"Malbec Montecepas 24 - fraccionamiento bolsas 3 lts x 100")</f>
        <v>Malbec Montecepas 24 - fraccionamiento bolsas 3 lts x 100</v>
      </c>
      <c r="N843" s="2" t="str">
        <f ca="1">IFERROR(__xludf.DUMMYFUNCTION("""COMPUTED_VALUE"""),"Malbec Montecepas 24 - fraccionamiento bolsas 3 lts x 100")</f>
        <v>Malbec Montecepas 24 - fraccionamiento bolsas 3 lts x 100</v>
      </c>
      <c r="O843" s="2" t="str">
        <f ca="1">IFERROR(__xludf.DUMMYFUNCTION("""COMPUTED_VALUE"""),"Terminado")</f>
        <v>Terminado</v>
      </c>
      <c r="P843" s="2"/>
      <c r="Q843" s="2" t="b">
        <f ca="1">IFERROR(__xludf.DUMMYFUNCTION("""COMPUTED_VALUE"""),FALSE)</f>
        <v>0</v>
      </c>
      <c r="R843" s="2" t="str">
        <f ca="1">IFERROR(__xludf.DUMMYFUNCTION("""COMPUTED_VALUE"""),"Terminado")</f>
        <v>Terminado</v>
      </c>
      <c r="S843" s="2"/>
      <c r="T843" s="2"/>
      <c r="U843" s="2"/>
    </row>
    <row r="844" spans="1:21" x14ac:dyDescent="0.25">
      <c r="A844" s="2" t="str">
        <f ca="1">IFERROR(__xludf.DUMMYFUNCTION("""COMPUTED_VALUE"""),"eb601c85")</f>
        <v>eb601c85</v>
      </c>
      <c r="B844" s="5">
        <f ca="1">IFERROR(__xludf.DUMMYFUNCTION("""COMPUTED_VALUE"""),45827.7657523148)</f>
        <v>45827.765752314801</v>
      </c>
      <c r="C844" s="2" t="str">
        <f ca="1">IFERROR(__xludf.DUMMYFUNCTION("""COMPUTED_VALUE"""),"8b30dc4c")</f>
        <v>8b30dc4c</v>
      </c>
      <c r="D844" s="2">
        <f ca="1">IFERROR(__xludf.DUMMYFUNCTION("""COMPUTED_VALUE"""),74)</f>
        <v>74</v>
      </c>
      <c r="E844" s="2" t="str">
        <f ca="1">IFERROR(__xludf.DUMMYFUNCTION("""COMPUTED_VALUE"""),"Malbec Montecepas 24")</f>
        <v>Malbec Montecepas 24</v>
      </c>
      <c r="F844" s="2">
        <f ca="1">IFERROR(__xludf.DUMMYFUNCTION("""COMPUTED_VALUE"""),-300)</f>
        <v>-300</v>
      </c>
      <c r="G844" s="2">
        <f ca="1">IFERROR(__xludf.DUMMYFUNCTION("""COMPUTED_VALUE"""),6)</f>
        <v>6</v>
      </c>
      <c r="H844" s="2" t="str">
        <f ca="1">IFERROR(__xludf.DUMMYFUNCTION("""COMPUTED_VALUE"""),"397c9478")</f>
        <v>397c9478</v>
      </c>
      <c r="I844" s="2" t="str">
        <f ca="1">IFERROR(__xludf.DUMMYFUNCTION("""COMPUTED_VALUE"""),"Syrah Rectificado")</f>
        <v>Syrah Rectificado</v>
      </c>
      <c r="J844" s="2">
        <f ca="1">IFERROR(__xludf.DUMMYFUNCTION("""COMPUTED_VALUE"""),29300)</f>
        <v>29300</v>
      </c>
      <c r="K844" s="2">
        <f ca="1">IFERROR(__xludf.DUMMYFUNCTION("""COMPUTED_VALUE"""),29000)</f>
        <v>29000</v>
      </c>
      <c r="L844" s="2" t="str">
        <f ca="1">IFERROR(__xludf.DUMMYFUNCTION("""COMPUTED_VALUE"""),"f5100dbb")</f>
        <v>f5100dbb</v>
      </c>
      <c r="M844" s="2" t="str">
        <f ca="1">IFERROR(__xludf.DUMMYFUNCTION("""COMPUTED_VALUE"""),"Syrah Rectificado")</f>
        <v>Syrah Rectificado</v>
      </c>
      <c r="N844" s="2"/>
      <c r="O844" s="2" t="str">
        <f ca="1">IFERROR(__xludf.DUMMYFUNCTION("""COMPUTED_VALUE"""),"Terminado")</f>
        <v>Terminado</v>
      </c>
      <c r="P844" s="2" t="str">
        <f ca="1">IFERROR(__xludf.DUMMYFUNCTION("""COMPUTED_VALUE"""),"Rectificado")</f>
        <v>Rectificado</v>
      </c>
      <c r="Q844" s="2" t="b">
        <f ca="1">IFERROR(__xludf.DUMMYFUNCTION("""COMPUTED_VALUE"""),TRUE)</f>
        <v>1</v>
      </c>
      <c r="R844" s="2" t="str">
        <f ca="1">IFERROR(__xludf.DUMMYFUNCTION("""COMPUTED_VALUE"""),"Rectificado")</f>
        <v>Rectificado</v>
      </c>
      <c r="S844" s="2"/>
      <c r="T844" s="2"/>
      <c r="U844" s="2" t="str">
        <f ca="1">IFERROR(__xludf.DUMMYFUNCTION("""COMPUTED_VALUE"""),"1")</f>
        <v>1</v>
      </c>
    </row>
    <row r="845" spans="1:21" x14ac:dyDescent="0.25">
      <c r="A845" s="2" t="str">
        <f ca="1">IFERROR(__xludf.DUMMYFUNCTION("""COMPUTED_VALUE"""),"0d845e2e")</f>
        <v>0d845e2e</v>
      </c>
      <c r="B845" s="5">
        <f ca="1">IFERROR(__xludf.DUMMYFUNCTION("""COMPUTED_VALUE"""),45827.7666666666)</f>
        <v>45827.766666666597</v>
      </c>
      <c r="C845" s="2" t="str">
        <f ca="1">IFERROR(__xludf.DUMMYFUNCTION("""COMPUTED_VALUE"""),"263cc8c0")</f>
        <v>263cc8c0</v>
      </c>
      <c r="D845" s="2">
        <f ca="1">IFERROR(__xludf.DUMMYFUNCTION("""COMPUTED_VALUE"""),95)</f>
        <v>95</v>
      </c>
      <c r="E845" s="2" t="str">
        <f ca="1">IFERROR(__xludf.DUMMYFUNCTION("""COMPUTED_VALUE"""),"Syrah")</f>
        <v>Syrah</v>
      </c>
      <c r="F845" s="2">
        <f ca="1">IFERROR(__xludf.DUMMYFUNCTION("""COMPUTED_VALUE"""),3000)</f>
        <v>3000</v>
      </c>
      <c r="G845" s="2">
        <f ca="1">IFERROR(__xludf.DUMMYFUNCTION("""COMPUTED_VALUE"""),6)</f>
        <v>6</v>
      </c>
      <c r="H845" s="2" t="str">
        <f ca="1">IFERROR(__xludf.DUMMYFUNCTION("""COMPUTED_VALUE"""),"f5100dbb")</f>
        <v>f5100dbb</v>
      </c>
      <c r="I845" s="2" t="str">
        <f ca="1">IFERROR(__xludf.DUMMYFUNCTION("""COMPUTED_VALUE"""),"Syrah Rectificado")</f>
        <v>Syrah Rectificado</v>
      </c>
      <c r="J845" s="2">
        <f ca="1">IFERROR(__xludf.DUMMYFUNCTION("""COMPUTED_VALUE"""),29000)</f>
        <v>29000</v>
      </c>
      <c r="K845" s="2">
        <f ca="1">IFERROR(__xludf.DUMMYFUNCTION("""COMPUTED_VALUE"""),32000)</f>
        <v>32000</v>
      </c>
      <c r="L845" s="2" t="str">
        <f ca="1">IFERROR(__xludf.DUMMYFUNCTION("""COMPUTED_VALUE"""),"0749b537")</f>
        <v>0749b537</v>
      </c>
      <c r="M845" s="2" t="str">
        <f ca="1">IFERROR(__xludf.DUMMYFUNCTION("""COMPUTED_VALUE"""),"Syrah Rectificado")</f>
        <v>Syrah Rectificado</v>
      </c>
      <c r="N845" s="2"/>
      <c r="O845" s="2" t="str">
        <f ca="1">IFERROR(__xludf.DUMMYFUNCTION("""COMPUTED_VALUE"""),"2do Trasiego")</f>
        <v>2do Trasiego</v>
      </c>
      <c r="P845" s="2" t="str">
        <f ca="1">IFERROR(__xludf.DUMMYFUNCTION("""COMPUTED_VALUE"""),"Rectificado")</f>
        <v>Rectificado</v>
      </c>
      <c r="Q845" s="2" t="b">
        <f ca="1">IFERROR(__xludf.DUMMYFUNCTION("""COMPUTED_VALUE"""),TRUE)</f>
        <v>1</v>
      </c>
      <c r="R845" s="2" t="str">
        <f ca="1">IFERROR(__xludf.DUMMYFUNCTION("""COMPUTED_VALUE"""),"Rectificado")</f>
        <v>Rectificado</v>
      </c>
      <c r="S845" s="2"/>
      <c r="T845" s="2"/>
      <c r="U845" s="2" t="str">
        <f ca="1">IFERROR(__xludf.DUMMYFUNCTION("""COMPUTED_VALUE"""),"1")</f>
        <v>1</v>
      </c>
    </row>
    <row r="846" spans="1:21" x14ac:dyDescent="0.25">
      <c r="A846" s="2" t="str">
        <f ca="1">IFERROR(__xludf.DUMMYFUNCTION("""COMPUTED_VALUE"""),"14189714")</f>
        <v>14189714</v>
      </c>
      <c r="B846" s="5">
        <f ca="1">IFERROR(__xludf.DUMMYFUNCTION("""COMPUTED_VALUE"""),45834.3572916666)</f>
        <v>45834.357291666602</v>
      </c>
      <c r="C846" s="2" t="str">
        <f ca="1">IFERROR(__xludf.DUMMYFUNCTION("""COMPUTED_VALUE"""),"47816ee0")</f>
        <v>47816ee0</v>
      </c>
      <c r="D846" s="2">
        <f ca="1">IFERROR(__xludf.DUMMYFUNCTION("""COMPUTED_VALUE"""),25)</f>
        <v>25</v>
      </c>
      <c r="E846" s="2" t="str">
        <f ca="1">IFERROR(__xludf.DUMMYFUNCTION("""COMPUTED_VALUE"""),"Syrah")</f>
        <v>Syrah</v>
      </c>
      <c r="F846" s="2">
        <f ca="1">IFERROR(__xludf.DUMMYFUNCTION("""COMPUTED_VALUE"""),46600)</f>
        <v>46600</v>
      </c>
      <c r="G846" s="2">
        <f ca="1">IFERROR(__xludf.DUMMYFUNCTION("""COMPUTED_VALUE"""),87)</f>
        <v>87</v>
      </c>
      <c r="H846" s="2"/>
      <c r="I846" s="2"/>
      <c r="J846" s="2">
        <f ca="1">IFERROR(__xludf.DUMMYFUNCTION("""COMPUTED_VALUE"""),0)</f>
        <v>0</v>
      </c>
      <c r="K846" s="2">
        <f ca="1">IFERROR(__xludf.DUMMYFUNCTION("""COMPUTED_VALUE"""),46600)</f>
        <v>46600</v>
      </c>
      <c r="L846" s="2" t="str">
        <f ca="1">IFERROR(__xludf.DUMMYFUNCTION("""COMPUTED_VALUE"""),"b05164fd")</f>
        <v>b05164fd</v>
      </c>
      <c r="M846" s="2" t="str">
        <f ca="1">IFERROR(__xludf.DUMMYFUNCTION("""COMPUTED_VALUE"""),"Syrah")</f>
        <v>Syrah</v>
      </c>
      <c r="N846" s="2"/>
      <c r="O846" s="2" t="str">
        <f ca="1">IFERROR(__xludf.DUMMYFUNCTION("""COMPUTED_VALUE"""),"2do Trasiego")</f>
        <v>2do Trasiego</v>
      </c>
      <c r="P846" s="2"/>
      <c r="Q846" s="2" t="b">
        <f ca="1">IFERROR(__xludf.DUMMYFUNCTION("""COMPUTED_VALUE"""),FALSE)</f>
        <v>0</v>
      </c>
      <c r="R846" s="2" t="str">
        <f ca="1">IFERROR(__xludf.DUMMYFUNCTION("""COMPUTED_VALUE"""),"2do Trasiego")</f>
        <v>2do Trasiego</v>
      </c>
      <c r="S846" s="2"/>
      <c r="T846" s="2"/>
      <c r="U846" s="2" t="str">
        <f ca="1">IFERROR(__xludf.DUMMYFUNCTION("""COMPUTED_VALUE"""),"1-")</f>
        <v>1-</v>
      </c>
    </row>
    <row r="847" spans="1:21" x14ac:dyDescent="0.25">
      <c r="A847" s="2" t="str">
        <f ca="1">IFERROR(__xludf.DUMMYFUNCTION("""COMPUTED_VALUE"""),"0a01f1f7")</f>
        <v>0a01f1f7</v>
      </c>
      <c r="B847" s="5">
        <f ca="1">IFERROR(__xludf.DUMMYFUNCTION("""COMPUTED_VALUE"""),45834.3584143518)</f>
        <v>45834.358414351802</v>
      </c>
      <c r="C847" s="2" t="str">
        <f ca="1">IFERROR(__xludf.DUMMYFUNCTION("""COMPUTED_VALUE"""),"47816ee0")</f>
        <v>47816ee0</v>
      </c>
      <c r="D847" s="2">
        <f ca="1">IFERROR(__xludf.DUMMYFUNCTION("""COMPUTED_VALUE"""),25)</f>
        <v>25</v>
      </c>
      <c r="E847" s="2" t="str">
        <f ca="1">IFERROR(__xludf.DUMMYFUNCTION("""COMPUTED_VALUE"""),"Syrah")</f>
        <v>Syrah</v>
      </c>
      <c r="F847" s="2">
        <f ca="1">IFERROR(__xludf.DUMMYFUNCTION("""COMPUTED_VALUE"""),44600)</f>
        <v>44600</v>
      </c>
      <c r="G847" s="2">
        <f ca="1">IFERROR(__xludf.DUMMYFUNCTION("""COMPUTED_VALUE"""),86)</f>
        <v>86</v>
      </c>
      <c r="H847" s="2"/>
      <c r="I847" s="2"/>
      <c r="J847" s="2">
        <f ca="1">IFERROR(__xludf.DUMMYFUNCTION("""COMPUTED_VALUE"""),0)</f>
        <v>0</v>
      </c>
      <c r="K847" s="2">
        <f ca="1">IFERROR(__xludf.DUMMYFUNCTION("""COMPUTED_VALUE"""),44600)</f>
        <v>44600</v>
      </c>
      <c r="L847" s="2" t="str">
        <f ca="1">IFERROR(__xludf.DUMMYFUNCTION("""COMPUTED_VALUE"""),"3caa5d42")</f>
        <v>3caa5d42</v>
      </c>
      <c r="M847" s="2" t="str">
        <f ca="1">IFERROR(__xludf.DUMMYFUNCTION("""COMPUTED_VALUE"""),"Syrah")</f>
        <v>Syrah</v>
      </c>
      <c r="N847" s="2"/>
      <c r="O847" s="2" t="str">
        <f ca="1">IFERROR(__xludf.DUMMYFUNCTION("""COMPUTED_VALUE"""),"2do Trasiego")</f>
        <v>2do Trasiego</v>
      </c>
      <c r="P847" s="2"/>
      <c r="Q847" s="2" t="b">
        <f ca="1">IFERROR(__xludf.DUMMYFUNCTION("""COMPUTED_VALUE"""),FALSE)</f>
        <v>0</v>
      </c>
      <c r="R847" s="2" t="str">
        <f ca="1">IFERROR(__xludf.DUMMYFUNCTION("""COMPUTED_VALUE"""),"2do Trasiego")</f>
        <v>2do Trasiego</v>
      </c>
      <c r="S847" s="2"/>
      <c r="T847" s="2"/>
      <c r="U847" s="2" t="str">
        <f ca="1">IFERROR(__xludf.DUMMYFUNCTION("""COMPUTED_VALUE"""),"1-")</f>
        <v>1-</v>
      </c>
    </row>
    <row r="848" spans="1:21" x14ac:dyDescent="0.25">
      <c r="A848" s="2" t="str">
        <f ca="1">IFERROR(__xludf.DUMMYFUNCTION("""COMPUTED_VALUE"""),"af885681")</f>
        <v>af885681</v>
      </c>
      <c r="B848" s="5">
        <f ca="1">IFERROR(__xludf.DUMMYFUNCTION("""COMPUTED_VALUE"""),45834.3591782407)</f>
        <v>45834.359178240702</v>
      </c>
      <c r="C848" s="2" t="str">
        <f ca="1">IFERROR(__xludf.DUMMYFUNCTION("""COMPUTED_VALUE"""),"4b0ee075")</f>
        <v>4b0ee075</v>
      </c>
      <c r="D848" s="2">
        <f ca="1">IFERROR(__xludf.DUMMYFUNCTION("""COMPUTED_VALUE"""),96)</f>
        <v>96</v>
      </c>
      <c r="E848" s="2" t="str">
        <f ca="1">IFERROR(__xludf.DUMMYFUNCTION("""COMPUTED_VALUE"""),"Syrah")</f>
        <v>Syrah</v>
      </c>
      <c r="F848" s="2">
        <f ca="1">IFERROR(__xludf.DUMMYFUNCTION("""COMPUTED_VALUE"""),20500)</f>
        <v>20500</v>
      </c>
      <c r="G848" s="2">
        <f ca="1">IFERROR(__xludf.DUMMYFUNCTION("""COMPUTED_VALUE"""),87)</f>
        <v>87</v>
      </c>
      <c r="H848" s="2" t="str">
        <f ca="1">IFERROR(__xludf.DUMMYFUNCTION("""COMPUTED_VALUE"""),"b05164fd")</f>
        <v>b05164fd</v>
      </c>
      <c r="I848" s="2" t="str">
        <f ca="1">IFERROR(__xludf.DUMMYFUNCTION("""COMPUTED_VALUE"""),"Syrah")</f>
        <v>Syrah</v>
      </c>
      <c r="J848" s="2">
        <f ca="1">IFERROR(__xludf.DUMMYFUNCTION("""COMPUTED_VALUE"""),46600)</f>
        <v>46600</v>
      </c>
      <c r="K848" s="2">
        <f ca="1">IFERROR(__xludf.DUMMYFUNCTION("""COMPUTED_VALUE"""),67100)</f>
        <v>67100</v>
      </c>
      <c r="L848" s="2" t="str">
        <f ca="1">IFERROR(__xludf.DUMMYFUNCTION("""COMPUTED_VALUE"""),"9bf6cbc3")</f>
        <v>9bf6cbc3</v>
      </c>
      <c r="M848" s="2" t="str">
        <f ca="1">IFERROR(__xludf.DUMMYFUNCTION("""COMPUTED_VALUE"""),"Syrah")</f>
        <v>Syrah</v>
      </c>
      <c r="N848" s="2"/>
      <c r="O848" s="2" t="str">
        <f ca="1">IFERROR(__xludf.DUMMYFUNCTION("""COMPUTED_VALUE"""),"2do Trasiego")</f>
        <v>2do Trasiego</v>
      </c>
      <c r="P848" s="2" t="str">
        <f ca="1">IFERROR(__xludf.DUMMYFUNCTION("""COMPUTED_VALUE"""),"2do Trasiego")</f>
        <v>2do Trasiego</v>
      </c>
      <c r="Q848" s="2" t="b">
        <f ca="1">IFERROR(__xludf.DUMMYFUNCTION("""COMPUTED_VALUE"""),TRUE)</f>
        <v>1</v>
      </c>
      <c r="R848" s="2" t="str">
        <f ca="1">IFERROR(__xludf.DUMMYFUNCTION("""COMPUTED_VALUE"""),"2do Trasiego")</f>
        <v>2do Trasiego</v>
      </c>
      <c r="S848" s="2"/>
      <c r="T848" s="2"/>
      <c r="U848" s="2" t="str">
        <f ca="1">IFERROR(__xludf.DUMMYFUNCTION("""COMPUTED_VALUE"""),"1-")</f>
        <v>1-</v>
      </c>
    </row>
    <row r="849" spans="1:21" x14ac:dyDescent="0.25">
      <c r="A849" s="2" t="str">
        <f ca="1">IFERROR(__xludf.DUMMYFUNCTION("""COMPUTED_VALUE"""),"a0cf4ea1")</f>
        <v>a0cf4ea1</v>
      </c>
      <c r="B849" s="5">
        <f ca="1">IFERROR(__xludf.DUMMYFUNCTION("""COMPUTED_VALUE"""),45834.3602430555)</f>
        <v>45834.360243055497</v>
      </c>
      <c r="C849" s="2" t="str">
        <f ca="1">IFERROR(__xludf.DUMMYFUNCTION("""COMPUTED_VALUE"""),"4b0ee075")</f>
        <v>4b0ee075</v>
      </c>
      <c r="D849" s="2">
        <f ca="1">IFERROR(__xludf.DUMMYFUNCTION("""COMPUTED_VALUE"""),96)</f>
        <v>96</v>
      </c>
      <c r="E849" s="2" t="str">
        <f ca="1">IFERROR(__xludf.DUMMYFUNCTION("""COMPUTED_VALUE"""),"Syrah")</f>
        <v>Syrah</v>
      </c>
      <c r="F849" s="2">
        <f ca="1">IFERROR(__xludf.DUMMYFUNCTION("""COMPUTED_VALUE"""),19600)</f>
        <v>19600</v>
      </c>
      <c r="G849" s="2">
        <f ca="1">IFERROR(__xludf.DUMMYFUNCTION("""COMPUTED_VALUE"""),86)</f>
        <v>86</v>
      </c>
      <c r="H849" s="2" t="str">
        <f ca="1">IFERROR(__xludf.DUMMYFUNCTION("""COMPUTED_VALUE"""),"3caa5d42")</f>
        <v>3caa5d42</v>
      </c>
      <c r="I849" s="2" t="str">
        <f ca="1">IFERROR(__xludf.DUMMYFUNCTION("""COMPUTED_VALUE"""),"Syrah")</f>
        <v>Syrah</v>
      </c>
      <c r="J849" s="2">
        <f ca="1">IFERROR(__xludf.DUMMYFUNCTION("""COMPUTED_VALUE"""),44600)</f>
        <v>44600</v>
      </c>
      <c r="K849" s="2">
        <f ca="1">IFERROR(__xludf.DUMMYFUNCTION("""COMPUTED_VALUE"""),64200)</f>
        <v>64200</v>
      </c>
      <c r="L849" s="2" t="str">
        <f ca="1">IFERROR(__xludf.DUMMYFUNCTION("""COMPUTED_VALUE"""),"dc00855e")</f>
        <v>dc00855e</v>
      </c>
      <c r="M849" s="2" t="str">
        <f ca="1">IFERROR(__xludf.DUMMYFUNCTION("""COMPUTED_VALUE"""),"Syrah")</f>
        <v>Syrah</v>
      </c>
      <c r="N849" s="2"/>
      <c r="O849" s="2" t="str">
        <f ca="1">IFERROR(__xludf.DUMMYFUNCTION("""COMPUTED_VALUE"""),"2do Trasiego")</f>
        <v>2do Trasiego</v>
      </c>
      <c r="P849" s="2" t="str">
        <f ca="1">IFERROR(__xludf.DUMMYFUNCTION("""COMPUTED_VALUE"""),"2do Trasiego")</f>
        <v>2do Trasiego</v>
      </c>
      <c r="Q849" s="2" t="b">
        <f ca="1">IFERROR(__xludf.DUMMYFUNCTION("""COMPUTED_VALUE"""),TRUE)</f>
        <v>1</v>
      </c>
      <c r="R849" s="2" t="str">
        <f ca="1">IFERROR(__xludf.DUMMYFUNCTION("""COMPUTED_VALUE"""),"2do Trasiego")</f>
        <v>2do Trasiego</v>
      </c>
      <c r="S849" s="2"/>
      <c r="T849" s="2"/>
      <c r="U849" s="2" t="str">
        <f ca="1">IFERROR(__xludf.DUMMYFUNCTION("""COMPUTED_VALUE"""),"1-")</f>
        <v>1-</v>
      </c>
    </row>
    <row r="850" spans="1:21" x14ac:dyDescent="0.25">
      <c r="A850" s="2" t="str">
        <f ca="1">IFERROR(__xludf.DUMMYFUNCTION("""COMPUTED_VALUE"""),"51b5785f")</f>
        <v>51b5785f</v>
      </c>
      <c r="B850" s="5">
        <f ca="1">IFERROR(__xludf.DUMMYFUNCTION("""COMPUTED_VALUE"""),45834.3607638888)</f>
        <v>45834.360763888799</v>
      </c>
      <c r="C850" s="2" t="str">
        <f ca="1">IFERROR(__xludf.DUMMYFUNCTION("""COMPUTED_VALUE"""),"c67f70aa")</f>
        <v>c67f70aa</v>
      </c>
      <c r="D850" s="2">
        <f ca="1">IFERROR(__xludf.DUMMYFUNCTION("""COMPUTED_VALUE"""),66)</f>
        <v>66</v>
      </c>
      <c r="E850" s="2" t="str">
        <f ca="1">IFERROR(__xludf.DUMMYFUNCTION("""COMPUTED_VALUE"""),"Syrah")</f>
        <v>Syrah</v>
      </c>
      <c r="F850" s="2">
        <f ca="1">IFERROR(__xludf.DUMMYFUNCTION("""COMPUTED_VALUE"""),5500)</f>
        <v>5500</v>
      </c>
      <c r="G850" s="2">
        <f ca="1">IFERROR(__xludf.DUMMYFUNCTION("""COMPUTED_VALUE"""),87)</f>
        <v>87</v>
      </c>
      <c r="H850" s="2" t="str">
        <f ca="1">IFERROR(__xludf.DUMMYFUNCTION("""COMPUTED_VALUE"""),"9bf6cbc3")</f>
        <v>9bf6cbc3</v>
      </c>
      <c r="I850" s="2" t="str">
        <f ca="1">IFERROR(__xludf.DUMMYFUNCTION("""COMPUTED_VALUE"""),"Syrah")</f>
        <v>Syrah</v>
      </c>
      <c r="J850" s="2">
        <f ca="1">IFERROR(__xludf.DUMMYFUNCTION("""COMPUTED_VALUE"""),67100)</f>
        <v>67100</v>
      </c>
      <c r="K850" s="2">
        <f ca="1">IFERROR(__xludf.DUMMYFUNCTION("""COMPUTED_VALUE"""),72600)</f>
        <v>72600</v>
      </c>
      <c r="L850" s="2" t="str">
        <f ca="1">IFERROR(__xludf.DUMMYFUNCTION("""COMPUTED_VALUE"""),"0eb090f9")</f>
        <v>0eb090f9</v>
      </c>
      <c r="M850" s="2" t="str">
        <f ca="1">IFERROR(__xludf.DUMMYFUNCTION("""COMPUTED_VALUE"""),"Syrah")</f>
        <v>Syrah</v>
      </c>
      <c r="N850" s="2"/>
      <c r="O850" s="2" t="str">
        <f ca="1">IFERROR(__xludf.DUMMYFUNCTION("""COMPUTED_VALUE"""),"2do Trasiego")</f>
        <v>2do Trasiego</v>
      </c>
      <c r="P850" s="2" t="str">
        <f ca="1">IFERROR(__xludf.DUMMYFUNCTION("""COMPUTED_VALUE"""),"2do Trasiego")</f>
        <v>2do Trasiego</v>
      </c>
      <c r="Q850" s="2" t="b">
        <f ca="1">IFERROR(__xludf.DUMMYFUNCTION("""COMPUTED_VALUE"""),TRUE)</f>
        <v>1</v>
      </c>
      <c r="R850" s="2" t="str">
        <f ca="1">IFERROR(__xludf.DUMMYFUNCTION("""COMPUTED_VALUE"""),"2do Trasiego")</f>
        <v>2do Trasiego</v>
      </c>
      <c r="S850" s="2"/>
      <c r="T850" s="2"/>
      <c r="U850" s="2" t="str">
        <f ca="1">IFERROR(__xludf.DUMMYFUNCTION("""COMPUTED_VALUE"""),"1-")</f>
        <v>1-</v>
      </c>
    </row>
    <row r="851" spans="1:21" x14ac:dyDescent="0.25">
      <c r="A851" s="2" t="str">
        <f ca="1">IFERROR(__xludf.DUMMYFUNCTION("""COMPUTED_VALUE"""),"3507c094")</f>
        <v>3507c094</v>
      </c>
      <c r="B851" s="5">
        <f ca="1">IFERROR(__xludf.DUMMYFUNCTION("""COMPUTED_VALUE"""),45834.3613310185)</f>
        <v>45834.361331018503</v>
      </c>
      <c r="C851" s="2" t="str">
        <f ca="1">IFERROR(__xludf.DUMMYFUNCTION("""COMPUTED_VALUE"""),"c67f70aa")</f>
        <v>c67f70aa</v>
      </c>
      <c r="D851" s="2">
        <f ca="1">IFERROR(__xludf.DUMMYFUNCTION("""COMPUTED_VALUE"""),66)</f>
        <v>66</v>
      </c>
      <c r="E851" s="2" t="str">
        <f ca="1">IFERROR(__xludf.DUMMYFUNCTION("""COMPUTED_VALUE"""),"Syrah")</f>
        <v>Syrah</v>
      </c>
      <c r="F851" s="2">
        <f ca="1">IFERROR(__xludf.DUMMYFUNCTION("""COMPUTED_VALUE"""),5200)</f>
        <v>5200</v>
      </c>
      <c r="G851" s="2">
        <f ca="1">IFERROR(__xludf.DUMMYFUNCTION("""COMPUTED_VALUE"""),86)</f>
        <v>86</v>
      </c>
      <c r="H851" s="2" t="str">
        <f ca="1">IFERROR(__xludf.DUMMYFUNCTION("""COMPUTED_VALUE"""),"dc00855e")</f>
        <v>dc00855e</v>
      </c>
      <c r="I851" s="2" t="str">
        <f ca="1">IFERROR(__xludf.DUMMYFUNCTION("""COMPUTED_VALUE"""),"Syrah")</f>
        <v>Syrah</v>
      </c>
      <c r="J851" s="2">
        <f ca="1">IFERROR(__xludf.DUMMYFUNCTION("""COMPUTED_VALUE"""),64200)</f>
        <v>64200</v>
      </c>
      <c r="K851" s="2">
        <f ca="1">IFERROR(__xludf.DUMMYFUNCTION("""COMPUTED_VALUE"""),69400)</f>
        <v>69400</v>
      </c>
      <c r="L851" s="2" t="str">
        <f ca="1">IFERROR(__xludf.DUMMYFUNCTION("""COMPUTED_VALUE"""),"d6036b7a")</f>
        <v>d6036b7a</v>
      </c>
      <c r="M851" s="2" t="str">
        <f ca="1">IFERROR(__xludf.DUMMYFUNCTION("""COMPUTED_VALUE"""),"Syrah")</f>
        <v>Syrah</v>
      </c>
      <c r="N851" s="2"/>
      <c r="O851" s="2" t="str">
        <f ca="1">IFERROR(__xludf.DUMMYFUNCTION("""COMPUTED_VALUE"""),"2do Trasiego")</f>
        <v>2do Trasiego</v>
      </c>
      <c r="P851" s="2" t="str">
        <f ca="1">IFERROR(__xludf.DUMMYFUNCTION("""COMPUTED_VALUE"""),"2do Trasiego")</f>
        <v>2do Trasiego</v>
      </c>
      <c r="Q851" s="2" t="b">
        <f ca="1">IFERROR(__xludf.DUMMYFUNCTION("""COMPUTED_VALUE"""),TRUE)</f>
        <v>1</v>
      </c>
      <c r="R851" s="2" t="str">
        <f ca="1">IFERROR(__xludf.DUMMYFUNCTION("""COMPUTED_VALUE"""),"2do Trasiego")</f>
        <v>2do Trasiego</v>
      </c>
      <c r="S851" s="2"/>
      <c r="T851" s="2"/>
      <c r="U851" s="2" t="str">
        <f ca="1">IFERROR(__xludf.DUMMYFUNCTION("""COMPUTED_VALUE"""),"1-")</f>
        <v>1-</v>
      </c>
    </row>
    <row r="852" spans="1:21" x14ac:dyDescent="0.25">
      <c r="A852" s="2" t="str">
        <f ca="1">IFERROR(__xludf.DUMMYFUNCTION("""COMPUTED_VALUE"""),"cd337d5b")</f>
        <v>cd337d5b</v>
      </c>
      <c r="B852" s="5">
        <f ca="1">IFERROR(__xludf.DUMMYFUNCTION("""COMPUTED_VALUE"""),45834.3623379629)</f>
        <v>45834.362337962899</v>
      </c>
      <c r="C852" s="2" t="str">
        <f ca="1">IFERROR(__xludf.DUMMYFUNCTION("""COMPUTED_VALUE"""),"4b0ee075")</f>
        <v>4b0ee075</v>
      </c>
      <c r="D852" s="2">
        <f ca="1">IFERROR(__xludf.DUMMYFUNCTION("""COMPUTED_VALUE"""),96)</f>
        <v>96</v>
      </c>
      <c r="E852" s="2" t="str">
        <f ca="1">IFERROR(__xludf.DUMMYFUNCTION("""COMPUTED_VALUE"""),"Syrah")</f>
        <v>Syrah</v>
      </c>
      <c r="F852" s="2">
        <f ca="1">IFERROR(__xludf.DUMMYFUNCTION("""COMPUTED_VALUE"""),45500)</f>
        <v>45500</v>
      </c>
      <c r="G852" s="2">
        <f ca="1">IFERROR(__xludf.DUMMYFUNCTION("""COMPUTED_VALUE"""),25)</f>
        <v>25</v>
      </c>
      <c r="H852" s="2" t="str">
        <f ca="1">IFERROR(__xludf.DUMMYFUNCTION("""COMPUTED_VALUE"""),"47816ee0")</f>
        <v>47816ee0</v>
      </c>
      <c r="I852" s="2" t="str">
        <f ca="1">IFERROR(__xludf.DUMMYFUNCTION("""COMPUTED_VALUE"""),"Syrah")</f>
        <v>Syrah</v>
      </c>
      <c r="J852" s="2">
        <f ca="1">IFERROR(__xludf.DUMMYFUNCTION("""COMPUTED_VALUE"""),103100)</f>
        <v>103100</v>
      </c>
      <c r="K852" s="2">
        <f ca="1">IFERROR(__xludf.DUMMYFUNCTION("""COMPUTED_VALUE"""),148600)</f>
        <v>148600</v>
      </c>
      <c r="L852" s="2" t="str">
        <f ca="1">IFERROR(__xludf.DUMMYFUNCTION("""COMPUTED_VALUE"""),"5e53321b")</f>
        <v>5e53321b</v>
      </c>
      <c r="M852" s="2" t="str">
        <f ca="1">IFERROR(__xludf.DUMMYFUNCTION("""COMPUTED_VALUE"""),"Syrah")</f>
        <v>Syrah</v>
      </c>
      <c r="N852" s="2"/>
      <c r="O852" s="2" t="str">
        <f ca="1">IFERROR(__xludf.DUMMYFUNCTION("""COMPUTED_VALUE"""),"2do Trasiego")</f>
        <v>2do Trasiego</v>
      </c>
      <c r="P852" s="2" t="str">
        <f ca="1">IFERROR(__xludf.DUMMYFUNCTION("""COMPUTED_VALUE"""),"2do Trasiego")</f>
        <v>2do Trasiego</v>
      </c>
      <c r="Q852" s="2" t="b">
        <f ca="1">IFERROR(__xludf.DUMMYFUNCTION("""COMPUTED_VALUE"""),TRUE)</f>
        <v>1</v>
      </c>
      <c r="R852" s="2" t="str">
        <f ca="1">IFERROR(__xludf.DUMMYFUNCTION("""COMPUTED_VALUE"""),"2do Trasiego")</f>
        <v>2do Trasiego</v>
      </c>
      <c r="S852" s="2"/>
      <c r="T852" s="2"/>
      <c r="U852" s="2" t="str">
        <f ca="1">IFERROR(__xludf.DUMMYFUNCTION("""COMPUTED_VALUE"""),"1-")</f>
        <v>1-</v>
      </c>
    </row>
    <row r="853" spans="1:21" x14ac:dyDescent="0.25">
      <c r="A853" s="2" t="str">
        <f ca="1">IFERROR(__xludf.DUMMYFUNCTION("""COMPUTED_VALUE"""),"44db0cce")</f>
        <v>44db0cce</v>
      </c>
      <c r="B853" s="5">
        <f ca="1">IFERROR(__xludf.DUMMYFUNCTION("""COMPUTED_VALUE"""),45834.3626851851)</f>
        <v>45834.3626851851</v>
      </c>
      <c r="C853" s="2" t="str">
        <f ca="1">IFERROR(__xludf.DUMMYFUNCTION("""COMPUTED_VALUE"""),"c67f70aa")</f>
        <v>c67f70aa</v>
      </c>
      <c r="D853" s="2">
        <f ca="1">IFERROR(__xludf.DUMMYFUNCTION("""COMPUTED_VALUE"""),66)</f>
        <v>66</v>
      </c>
      <c r="E853" s="2" t="str">
        <f ca="1">IFERROR(__xludf.DUMMYFUNCTION("""COMPUTED_VALUE"""),"Syrah")</f>
        <v>Syrah</v>
      </c>
      <c r="F853" s="2">
        <f ca="1">IFERROR(__xludf.DUMMYFUNCTION("""COMPUTED_VALUE"""),12300)</f>
        <v>12300</v>
      </c>
      <c r="G853" s="2">
        <f ca="1">IFERROR(__xludf.DUMMYFUNCTION("""COMPUTED_VALUE"""),25)</f>
        <v>25</v>
      </c>
      <c r="H853" s="2" t="str">
        <f ca="1">IFERROR(__xludf.DUMMYFUNCTION("""COMPUTED_VALUE"""),"5e53321b")</f>
        <v>5e53321b</v>
      </c>
      <c r="I853" s="2" t="str">
        <f ca="1">IFERROR(__xludf.DUMMYFUNCTION("""COMPUTED_VALUE"""),"Syrah")</f>
        <v>Syrah</v>
      </c>
      <c r="J853" s="2">
        <f ca="1">IFERROR(__xludf.DUMMYFUNCTION("""COMPUTED_VALUE"""),148600)</f>
        <v>148600</v>
      </c>
      <c r="K853" s="2">
        <f ca="1">IFERROR(__xludf.DUMMYFUNCTION("""COMPUTED_VALUE"""),160900)</f>
        <v>160900</v>
      </c>
      <c r="L853" s="2" t="str">
        <f ca="1">IFERROR(__xludf.DUMMYFUNCTION("""COMPUTED_VALUE"""),"744b9f5f")</f>
        <v>744b9f5f</v>
      </c>
      <c r="M853" s="2" t="str">
        <f ca="1">IFERROR(__xludf.DUMMYFUNCTION("""COMPUTED_VALUE"""),"Syrah")</f>
        <v>Syrah</v>
      </c>
      <c r="N853" s="2"/>
      <c r="O853" s="2" t="str">
        <f ca="1">IFERROR(__xludf.DUMMYFUNCTION("""COMPUTED_VALUE"""),"2do Trasiego")</f>
        <v>2do Trasiego</v>
      </c>
      <c r="P853" s="2" t="str">
        <f ca="1">IFERROR(__xludf.DUMMYFUNCTION("""COMPUTED_VALUE"""),"2do Trasiego")</f>
        <v>2do Trasiego</v>
      </c>
      <c r="Q853" s="2" t="b">
        <f ca="1">IFERROR(__xludf.DUMMYFUNCTION("""COMPUTED_VALUE"""),TRUE)</f>
        <v>1</v>
      </c>
      <c r="R853" s="2" t="str">
        <f ca="1">IFERROR(__xludf.DUMMYFUNCTION("""COMPUTED_VALUE"""),"2do Trasiego")</f>
        <v>2do Trasiego</v>
      </c>
      <c r="S853" s="2"/>
      <c r="T853" s="2"/>
      <c r="U853" s="2" t="str">
        <f ca="1">IFERROR(__xludf.DUMMYFUNCTION("""COMPUTED_VALUE"""),"1-")</f>
        <v>1-</v>
      </c>
    </row>
    <row r="854" spans="1:21" x14ac:dyDescent="0.25">
      <c r="A854" s="2" t="str">
        <f ca="1">IFERROR(__xludf.DUMMYFUNCTION("""COMPUTED_VALUE"""),"5a60f6f7")</f>
        <v>5a60f6f7</v>
      </c>
      <c r="B854" s="5">
        <f ca="1">IFERROR(__xludf.DUMMYFUNCTION("""COMPUTED_VALUE"""),45834.3632291666)</f>
        <v>45834.3632291666</v>
      </c>
      <c r="C854" s="2" t="str">
        <f ca="1">IFERROR(__xludf.DUMMYFUNCTION("""COMPUTED_VALUE"""),"0749b537")</f>
        <v>0749b537</v>
      </c>
      <c r="D854" s="2">
        <f ca="1">IFERROR(__xludf.DUMMYFUNCTION("""COMPUTED_VALUE"""),6)</f>
        <v>6</v>
      </c>
      <c r="E854" s="2" t="str">
        <f ca="1">IFERROR(__xludf.DUMMYFUNCTION("""COMPUTED_VALUE"""),"Syrah Rectificado")</f>
        <v>Syrah Rectificado</v>
      </c>
      <c r="F854" s="2">
        <f ca="1">IFERROR(__xludf.DUMMYFUNCTION("""COMPUTED_VALUE"""),20000)</f>
        <v>20000</v>
      </c>
      <c r="G854" s="2">
        <f ca="1">IFERROR(__xludf.DUMMYFUNCTION("""COMPUTED_VALUE"""),25)</f>
        <v>25</v>
      </c>
      <c r="H854" s="2" t="str">
        <f ca="1">IFERROR(__xludf.DUMMYFUNCTION("""COMPUTED_VALUE"""),"744b9f5f")</f>
        <v>744b9f5f</v>
      </c>
      <c r="I854" s="2" t="str">
        <f ca="1">IFERROR(__xludf.DUMMYFUNCTION("""COMPUTED_VALUE"""),"Syrah")</f>
        <v>Syrah</v>
      </c>
      <c r="J854" s="2">
        <f ca="1">IFERROR(__xludf.DUMMYFUNCTION("""COMPUTED_VALUE"""),160900)</f>
        <v>160900</v>
      </c>
      <c r="K854" s="2">
        <f ca="1">IFERROR(__xludf.DUMMYFUNCTION("""COMPUTED_VALUE"""),180900)</f>
        <v>180900</v>
      </c>
      <c r="L854" s="2" t="str">
        <f ca="1">IFERROR(__xludf.DUMMYFUNCTION("""COMPUTED_VALUE"""),"4466c2c4")</f>
        <v>4466c2c4</v>
      </c>
      <c r="M854" s="2" t="str">
        <f ca="1">IFERROR(__xludf.DUMMYFUNCTION("""COMPUTED_VALUE"""),"Syrah")</f>
        <v>Syrah</v>
      </c>
      <c r="N854" s="2"/>
      <c r="O854" s="2" t="str">
        <f ca="1">IFERROR(__xludf.DUMMYFUNCTION("""COMPUTED_VALUE"""),"Rectificado")</f>
        <v>Rectificado</v>
      </c>
      <c r="P854" s="2" t="str">
        <f ca="1">IFERROR(__xludf.DUMMYFUNCTION("""COMPUTED_VALUE"""),"2do Trasiego")</f>
        <v>2do Trasiego</v>
      </c>
      <c r="Q854" s="2" t="b">
        <f ca="1">IFERROR(__xludf.DUMMYFUNCTION("""COMPUTED_VALUE"""),TRUE)</f>
        <v>1</v>
      </c>
      <c r="R854" s="2" t="str">
        <f ca="1">IFERROR(__xludf.DUMMYFUNCTION("""COMPUTED_VALUE"""),"2do Trasiego")</f>
        <v>2do Trasiego</v>
      </c>
      <c r="S854" s="2"/>
      <c r="T854" s="2"/>
      <c r="U854" s="2" t="str">
        <f ca="1">IFERROR(__xludf.DUMMYFUNCTION("""COMPUTED_VALUE"""),"1-")</f>
        <v>1-</v>
      </c>
    </row>
    <row r="855" spans="1:21" x14ac:dyDescent="0.25">
      <c r="A855" s="2" t="str">
        <f ca="1">IFERROR(__xludf.DUMMYFUNCTION("""COMPUTED_VALUE"""),"f3b0e34b")</f>
        <v>f3b0e34b</v>
      </c>
      <c r="B855" s="5">
        <f ca="1">IFERROR(__xludf.DUMMYFUNCTION("""COMPUTED_VALUE"""),45834.3639004629)</f>
        <v>45834.3639004629</v>
      </c>
      <c r="C855" s="2" t="str">
        <f ca="1">IFERROR(__xludf.DUMMYFUNCTION("""COMPUTED_VALUE"""),"0749b537")</f>
        <v>0749b537</v>
      </c>
      <c r="D855" s="2">
        <f ca="1">IFERROR(__xludf.DUMMYFUNCTION("""COMPUTED_VALUE"""),6)</f>
        <v>6</v>
      </c>
      <c r="E855" s="2" t="str">
        <f ca="1">IFERROR(__xludf.DUMMYFUNCTION("""COMPUTED_VALUE"""),"Syrah Rectificado")</f>
        <v>Syrah Rectificado</v>
      </c>
      <c r="F855" s="2">
        <f ca="1">IFERROR(__xludf.DUMMYFUNCTION("""COMPUTED_VALUE"""),9400)</f>
        <v>9400</v>
      </c>
      <c r="G855" s="2">
        <f ca="1">IFERROR(__xludf.DUMMYFUNCTION("""COMPUTED_VALUE"""),87)</f>
        <v>87</v>
      </c>
      <c r="H855" s="2" t="str">
        <f ca="1">IFERROR(__xludf.DUMMYFUNCTION("""COMPUTED_VALUE"""),"0eb090f9")</f>
        <v>0eb090f9</v>
      </c>
      <c r="I855" s="2" t="str">
        <f ca="1">IFERROR(__xludf.DUMMYFUNCTION("""COMPUTED_VALUE"""),"Syrah")</f>
        <v>Syrah</v>
      </c>
      <c r="J855" s="2">
        <f ca="1">IFERROR(__xludf.DUMMYFUNCTION("""COMPUTED_VALUE"""),72600)</f>
        <v>72600</v>
      </c>
      <c r="K855" s="2">
        <f ca="1">IFERROR(__xludf.DUMMYFUNCTION("""COMPUTED_VALUE"""),82000)</f>
        <v>82000</v>
      </c>
      <c r="L855" s="2" t="str">
        <f ca="1">IFERROR(__xludf.DUMMYFUNCTION("""COMPUTED_VALUE"""),"20f6d1c5")</f>
        <v>20f6d1c5</v>
      </c>
      <c r="M855" s="2" t="str">
        <f ca="1">IFERROR(__xludf.DUMMYFUNCTION("""COMPUTED_VALUE"""),"Syrah")</f>
        <v>Syrah</v>
      </c>
      <c r="N855" s="2"/>
      <c r="O855" s="2" t="str">
        <f ca="1">IFERROR(__xludf.DUMMYFUNCTION("""COMPUTED_VALUE"""),"Rectificado")</f>
        <v>Rectificado</v>
      </c>
      <c r="P855" s="2" t="str">
        <f ca="1">IFERROR(__xludf.DUMMYFUNCTION("""COMPUTED_VALUE"""),"2do Trasiego")</f>
        <v>2do Trasiego</v>
      </c>
      <c r="Q855" s="2" t="b">
        <f ca="1">IFERROR(__xludf.DUMMYFUNCTION("""COMPUTED_VALUE"""),TRUE)</f>
        <v>1</v>
      </c>
      <c r="R855" s="2" t="str">
        <f ca="1">IFERROR(__xludf.DUMMYFUNCTION("""COMPUTED_VALUE"""),"2do Trasiego")</f>
        <v>2do Trasiego</v>
      </c>
      <c r="S855" s="2"/>
      <c r="T855" s="2"/>
      <c r="U855" s="2" t="str">
        <f ca="1">IFERROR(__xludf.DUMMYFUNCTION("""COMPUTED_VALUE"""),"1-")</f>
        <v>1-</v>
      </c>
    </row>
    <row r="856" spans="1:21" x14ac:dyDescent="0.25">
      <c r="A856" s="2" t="str">
        <f ca="1">IFERROR(__xludf.DUMMYFUNCTION("""COMPUTED_VALUE"""),"1f7ecd15")</f>
        <v>1f7ecd15</v>
      </c>
      <c r="B856" s="5">
        <f ca="1">IFERROR(__xludf.DUMMYFUNCTION("""COMPUTED_VALUE"""),45834.3644212963)</f>
        <v>45834.364421296297</v>
      </c>
      <c r="C856" s="2" t="str">
        <f ca="1">IFERROR(__xludf.DUMMYFUNCTION("""COMPUTED_VALUE"""),"0749b537")</f>
        <v>0749b537</v>
      </c>
      <c r="D856" s="2">
        <f ca="1">IFERROR(__xludf.DUMMYFUNCTION("""COMPUTED_VALUE"""),6)</f>
        <v>6</v>
      </c>
      <c r="E856" s="2" t="str">
        <f ca="1">IFERROR(__xludf.DUMMYFUNCTION("""COMPUTED_VALUE"""),"Syrah Rectificado")</f>
        <v>Syrah Rectificado</v>
      </c>
      <c r="F856" s="2">
        <f ca="1">IFERROR(__xludf.DUMMYFUNCTION("""COMPUTED_VALUE"""),2600)</f>
        <v>2600</v>
      </c>
      <c r="G856" s="2">
        <f ca="1">IFERROR(__xludf.DUMMYFUNCTION("""COMPUTED_VALUE"""),86)</f>
        <v>86</v>
      </c>
      <c r="H856" s="2" t="str">
        <f ca="1">IFERROR(__xludf.DUMMYFUNCTION("""COMPUTED_VALUE"""),"d6036b7a")</f>
        <v>d6036b7a</v>
      </c>
      <c r="I856" s="2" t="str">
        <f ca="1">IFERROR(__xludf.DUMMYFUNCTION("""COMPUTED_VALUE"""),"Syrah")</f>
        <v>Syrah</v>
      </c>
      <c r="J856" s="2">
        <f ca="1">IFERROR(__xludf.DUMMYFUNCTION("""COMPUTED_VALUE"""),69400)</f>
        <v>69400</v>
      </c>
      <c r="K856" s="2">
        <f ca="1">IFERROR(__xludf.DUMMYFUNCTION("""COMPUTED_VALUE"""),72000)</f>
        <v>72000</v>
      </c>
      <c r="L856" s="2" t="str">
        <f ca="1">IFERROR(__xludf.DUMMYFUNCTION("""COMPUTED_VALUE"""),"e298408d")</f>
        <v>e298408d</v>
      </c>
      <c r="M856" s="2" t="str">
        <f ca="1">IFERROR(__xludf.DUMMYFUNCTION("""COMPUTED_VALUE"""),"Syrah")</f>
        <v>Syrah</v>
      </c>
      <c r="N856" s="2"/>
      <c r="O856" s="2" t="str">
        <f ca="1">IFERROR(__xludf.DUMMYFUNCTION("""COMPUTED_VALUE"""),"Rectificado")</f>
        <v>Rectificado</v>
      </c>
      <c r="P856" s="2" t="str">
        <f ca="1">IFERROR(__xludf.DUMMYFUNCTION("""COMPUTED_VALUE"""),"2do Trasiego")</f>
        <v>2do Trasiego</v>
      </c>
      <c r="Q856" s="2" t="b">
        <f ca="1">IFERROR(__xludf.DUMMYFUNCTION("""COMPUTED_VALUE"""),TRUE)</f>
        <v>1</v>
      </c>
      <c r="R856" s="2" t="str">
        <f ca="1">IFERROR(__xludf.DUMMYFUNCTION("""COMPUTED_VALUE"""),"2do Trasiego")</f>
        <v>2do Trasiego</v>
      </c>
      <c r="S856" s="2"/>
      <c r="T856" s="2"/>
      <c r="U856" s="2" t="str">
        <f ca="1">IFERROR(__xludf.DUMMYFUNCTION("""COMPUTED_VALUE"""),"1-")</f>
        <v>1-</v>
      </c>
    </row>
    <row r="857" spans="1:21" x14ac:dyDescent="0.25">
      <c r="A857" s="2" t="str">
        <f ca="1">IFERROR(__xludf.DUMMYFUNCTION("""COMPUTED_VALUE"""),"19d78dd5")</f>
        <v>19d78dd5</v>
      </c>
      <c r="B857" s="5">
        <f ca="1">IFERROR(__xludf.DUMMYFUNCTION("""COMPUTED_VALUE"""),45834.3833449074)</f>
        <v>45834.383344907401</v>
      </c>
      <c r="C857" s="2" t="str">
        <f ca="1">IFERROR(__xludf.DUMMYFUNCTION("""COMPUTED_VALUE"""),"263cc8c0")</f>
        <v>263cc8c0</v>
      </c>
      <c r="D857" s="2">
        <f ca="1">IFERROR(__xludf.DUMMYFUNCTION("""COMPUTED_VALUE"""),95)</f>
        <v>95</v>
      </c>
      <c r="E857" s="2" t="str">
        <f ca="1">IFERROR(__xludf.DUMMYFUNCTION("""COMPUTED_VALUE"""),"Syrah")</f>
        <v>Syrah</v>
      </c>
      <c r="F857" s="2">
        <f ca="1">IFERROR(__xludf.DUMMYFUNCTION("""COMPUTED_VALUE"""),12000)</f>
        <v>12000</v>
      </c>
      <c r="G857" s="2">
        <f ca="1">IFERROR(__xludf.DUMMYFUNCTION("""COMPUTED_VALUE"""),7)</f>
        <v>7</v>
      </c>
      <c r="H857" s="2"/>
      <c r="I857" s="2"/>
      <c r="J857" s="2">
        <f ca="1">IFERROR(__xludf.DUMMYFUNCTION("""COMPUTED_VALUE"""),0)</f>
        <v>0</v>
      </c>
      <c r="K857" s="2">
        <f ca="1">IFERROR(__xludf.DUMMYFUNCTION("""COMPUTED_VALUE"""),12000)</f>
        <v>12000</v>
      </c>
      <c r="L857" s="2" t="str">
        <f ca="1">IFERROR(__xludf.DUMMYFUNCTION("""COMPUTED_VALUE"""),"710b5805")</f>
        <v>710b5805</v>
      </c>
      <c r="M857" s="2" t="str">
        <f ca="1">IFERROR(__xludf.DUMMYFUNCTION("""COMPUTED_VALUE"""),"Syrah Rect")</f>
        <v>Syrah Rect</v>
      </c>
      <c r="N857" s="2"/>
      <c r="O857" s="2" t="str">
        <f ca="1">IFERROR(__xludf.DUMMYFUNCTION("""COMPUTED_VALUE"""),"2do Trasiego")</f>
        <v>2do Trasiego</v>
      </c>
      <c r="P857" s="2"/>
      <c r="Q857" s="2" t="b">
        <f ca="1">IFERROR(__xludf.DUMMYFUNCTION("""COMPUTED_VALUE"""),FALSE)</f>
        <v>0</v>
      </c>
      <c r="R857" s="2" t="str">
        <f ca="1">IFERROR(__xludf.DUMMYFUNCTION("""COMPUTED_VALUE"""),"Rectificado")</f>
        <v>Rectificado</v>
      </c>
      <c r="S857" s="2"/>
      <c r="T857" s="2"/>
      <c r="U857" s="2" t="str">
        <f ca="1">IFERROR(__xludf.DUMMYFUNCTION("""COMPUTED_VALUE"""),"1")</f>
        <v>1</v>
      </c>
    </row>
    <row r="858" spans="1:21" x14ac:dyDescent="0.25">
      <c r="A858" s="2" t="str">
        <f ca="1">IFERROR(__xludf.DUMMYFUNCTION("""COMPUTED_VALUE"""),"91151a11")</f>
        <v>91151a11</v>
      </c>
      <c r="B858" s="5">
        <f ca="1">IFERROR(__xludf.DUMMYFUNCTION("""COMPUTED_VALUE"""),45834.3863773148)</f>
        <v>45834.386377314797</v>
      </c>
      <c r="C858" s="2" t="str">
        <f ca="1">IFERROR(__xludf.DUMMYFUNCTION("""COMPUTED_VALUE"""),"710b5805")</f>
        <v>710b5805</v>
      </c>
      <c r="D858" s="2">
        <f ca="1">IFERROR(__xludf.DUMMYFUNCTION("""COMPUTED_VALUE"""),7)</f>
        <v>7</v>
      </c>
      <c r="E858" s="2" t="str">
        <f ca="1">IFERROR(__xludf.DUMMYFUNCTION("""COMPUTED_VALUE"""),"Syrah Rect")</f>
        <v>Syrah Rect</v>
      </c>
      <c r="F858" s="2">
        <f ca="1">IFERROR(__xludf.DUMMYFUNCTION("""COMPUTED_VALUE"""),5000)</f>
        <v>5000</v>
      </c>
      <c r="G858" s="2">
        <f ca="1">IFERROR(__xludf.DUMMYFUNCTION("""COMPUTED_VALUE"""),86)</f>
        <v>86</v>
      </c>
      <c r="H858" s="2" t="str">
        <f ca="1">IFERROR(__xludf.DUMMYFUNCTION("""COMPUTED_VALUE"""),"e298408d")</f>
        <v>e298408d</v>
      </c>
      <c r="I858" s="2" t="str">
        <f ca="1">IFERROR(__xludf.DUMMYFUNCTION("""COMPUTED_VALUE"""),"Syrah")</f>
        <v>Syrah</v>
      </c>
      <c r="J858" s="2">
        <f ca="1">IFERROR(__xludf.DUMMYFUNCTION("""COMPUTED_VALUE"""),72000)</f>
        <v>72000</v>
      </c>
      <c r="K858" s="2">
        <f ca="1">IFERROR(__xludf.DUMMYFUNCTION("""COMPUTED_VALUE"""),77000)</f>
        <v>77000</v>
      </c>
      <c r="L858" s="2" t="str">
        <f ca="1">IFERROR(__xludf.DUMMYFUNCTION("""COMPUTED_VALUE"""),"bb5f3ffb")</f>
        <v>bb5f3ffb</v>
      </c>
      <c r="M858" s="2" t="str">
        <f ca="1">IFERROR(__xludf.DUMMYFUNCTION("""COMPUTED_VALUE"""),"Syrah")</f>
        <v>Syrah</v>
      </c>
      <c r="N858" s="2"/>
      <c r="O858" s="2" t="str">
        <f ca="1">IFERROR(__xludf.DUMMYFUNCTION("""COMPUTED_VALUE"""),"Rectificado")</f>
        <v>Rectificado</v>
      </c>
      <c r="P858" s="2" t="str">
        <f ca="1">IFERROR(__xludf.DUMMYFUNCTION("""COMPUTED_VALUE"""),"2do Trasiego")</f>
        <v>2do Trasiego</v>
      </c>
      <c r="Q858" s="2" t="b">
        <f ca="1">IFERROR(__xludf.DUMMYFUNCTION("""COMPUTED_VALUE"""),TRUE)</f>
        <v>1</v>
      </c>
      <c r="R858" s="2" t="str">
        <f ca="1">IFERROR(__xludf.DUMMYFUNCTION("""COMPUTED_VALUE"""),"2do Trasiego")</f>
        <v>2do Trasiego</v>
      </c>
      <c r="S858" s="2"/>
      <c r="T858" s="2"/>
      <c r="U858" s="2" t="str">
        <f ca="1">IFERROR(__xludf.DUMMYFUNCTION("""COMPUTED_VALUE"""),"1-")</f>
        <v>1-</v>
      </c>
    </row>
    <row r="859" spans="1:21" x14ac:dyDescent="0.25">
      <c r="A859" s="2" t="str">
        <f ca="1">IFERROR(__xludf.DUMMYFUNCTION("""COMPUTED_VALUE"""),"4e0b02c1")</f>
        <v>4e0b02c1</v>
      </c>
      <c r="B859" s="5">
        <f ca="1">IFERROR(__xludf.DUMMYFUNCTION("""COMPUTED_VALUE"""),45834.3875462963)</f>
        <v>45834.387546296297</v>
      </c>
      <c r="C859" s="2" t="str">
        <f ca="1">IFERROR(__xludf.DUMMYFUNCTION("""COMPUTED_VALUE"""),"263cc8c0")</f>
        <v>263cc8c0</v>
      </c>
      <c r="D859" s="2">
        <f ca="1">IFERROR(__xludf.DUMMYFUNCTION("""COMPUTED_VALUE"""),95)</f>
        <v>95</v>
      </c>
      <c r="E859" s="2" t="str">
        <f ca="1">IFERROR(__xludf.DUMMYFUNCTION("""COMPUTED_VALUE"""),"Syrah")</f>
        <v>Syrah</v>
      </c>
      <c r="F859" s="2">
        <f ca="1">IFERROR(__xludf.DUMMYFUNCTION("""COMPUTED_VALUE"""),13400)</f>
        <v>13400</v>
      </c>
      <c r="G859" s="2">
        <f ca="1">IFERROR(__xludf.DUMMYFUNCTION("""COMPUTED_VALUE"""),25)</f>
        <v>25</v>
      </c>
      <c r="H859" s="2" t="str">
        <f ca="1">IFERROR(__xludf.DUMMYFUNCTION("""COMPUTED_VALUE"""),"4466c2c4")</f>
        <v>4466c2c4</v>
      </c>
      <c r="I859" s="2" t="str">
        <f ca="1">IFERROR(__xludf.DUMMYFUNCTION("""COMPUTED_VALUE"""),"Syrah")</f>
        <v>Syrah</v>
      </c>
      <c r="J859" s="2">
        <f ca="1">IFERROR(__xludf.DUMMYFUNCTION("""COMPUTED_VALUE"""),180900)</f>
        <v>180900</v>
      </c>
      <c r="K859" s="2">
        <f ca="1">IFERROR(__xludf.DUMMYFUNCTION("""COMPUTED_VALUE"""),194300)</f>
        <v>194300</v>
      </c>
      <c r="L859" s="2" t="str">
        <f ca="1">IFERROR(__xludf.DUMMYFUNCTION("""COMPUTED_VALUE"""),"d8fb0b2f")</f>
        <v>d8fb0b2f</v>
      </c>
      <c r="M859" s="2" t="str">
        <f ca="1">IFERROR(__xludf.DUMMYFUNCTION("""COMPUTED_VALUE"""),"Syrah")</f>
        <v>Syrah</v>
      </c>
      <c r="N859" s="2"/>
      <c r="O859" s="2" t="str">
        <f ca="1">IFERROR(__xludf.DUMMYFUNCTION("""COMPUTED_VALUE"""),"2do Trasiego")</f>
        <v>2do Trasiego</v>
      </c>
      <c r="P859" s="2" t="str">
        <f ca="1">IFERROR(__xludf.DUMMYFUNCTION("""COMPUTED_VALUE"""),"2do Trasiego")</f>
        <v>2do Trasiego</v>
      </c>
      <c r="Q859" s="2" t="b">
        <f ca="1">IFERROR(__xludf.DUMMYFUNCTION("""COMPUTED_VALUE"""),TRUE)</f>
        <v>1</v>
      </c>
      <c r="R859" s="2" t="str">
        <f ca="1">IFERROR(__xludf.DUMMYFUNCTION("""COMPUTED_VALUE"""),"2do Trasiego")</f>
        <v>2do Trasiego</v>
      </c>
      <c r="S859" s="2"/>
      <c r="T859" s="2"/>
      <c r="U859" s="2" t="str">
        <f ca="1">IFERROR(__xludf.DUMMYFUNCTION("""COMPUTED_VALUE"""),"1-")</f>
        <v>1-</v>
      </c>
    </row>
    <row r="860" spans="1:21" x14ac:dyDescent="0.25">
      <c r="A860" s="2" t="str">
        <f ca="1">IFERROR(__xludf.DUMMYFUNCTION("""COMPUTED_VALUE"""),"022615d1")</f>
        <v>022615d1</v>
      </c>
      <c r="B860" s="5">
        <f ca="1">IFERROR(__xludf.DUMMYFUNCTION("""COMPUTED_VALUE"""),45834.3885069444)</f>
        <v>45834.3885069444</v>
      </c>
      <c r="C860" s="2" t="str">
        <f ca="1">IFERROR(__xludf.DUMMYFUNCTION("""COMPUTED_VALUE"""),"263cc8c0")</f>
        <v>263cc8c0</v>
      </c>
      <c r="D860" s="2">
        <f ca="1">IFERROR(__xludf.DUMMYFUNCTION("""COMPUTED_VALUE"""),95)</f>
        <v>95</v>
      </c>
      <c r="E860" s="2" t="str">
        <f ca="1">IFERROR(__xludf.DUMMYFUNCTION("""COMPUTED_VALUE"""),"Syrah")</f>
        <v>Syrah</v>
      </c>
      <c r="F860" s="2">
        <f ca="1">IFERROR(__xludf.DUMMYFUNCTION("""COMPUTED_VALUE"""),11000)</f>
        <v>11000</v>
      </c>
      <c r="G860" s="2">
        <f ca="1">IFERROR(__xludf.DUMMYFUNCTION("""COMPUTED_VALUE"""),86)</f>
        <v>86</v>
      </c>
      <c r="H860" s="2" t="str">
        <f ca="1">IFERROR(__xludf.DUMMYFUNCTION("""COMPUTED_VALUE"""),"bb5f3ffb")</f>
        <v>bb5f3ffb</v>
      </c>
      <c r="I860" s="2" t="str">
        <f ca="1">IFERROR(__xludf.DUMMYFUNCTION("""COMPUTED_VALUE"""),"Syrah")</f>
        <v>Syrah</v>
      </c>
      <c r="J860" s="2">
        <f ca="1">IFERROR(__xludf.DUMMYFUNCTION("""COMPUTED_VALUE"""),77000)</f>
        <v>77000</v>
      </c>
      <c r="K860" s="2">
        <f ca="1">IFERROR(__xludf.DUMMYFUNCTION("""COMPUTED_VALUE"""),88000)</f>
        <v>88000</v>
      </c>
      <c r="L860" s="2" t="str">
        <f ca="1">IFERROR(__xludf.DUMMYFUNCTION("""COMPUTED_VALUE"""),"aa02cc0a")</f>
        <v>aa02cc0a</v>
      </c>
      <c r="M860" s="2" t="str">
        <f ca="1">IFERROR(__xludf.DUMMYFUNCTION("""COMPUTED_VALUE"""),"Syrah")</f>
        <v>Syrah</v>
      </c>
      <c r="N860" s="2"/>
      <c r="O860" s="2" t="str">
        <f ca="1">IFERROR(__xludf.DUMMYFUNCTION("""COMPUTED_VALUE"""),"2do Trasiego")</f>
        <v>2do Trasiego</v>
      </c>
      <c r="P860" s="2" t="str">
        <f ca="1">IFERROR(__xludf.DUMMYFUNCTION("""COMPUTED_VALUE"""),"2do Trasiego")</f>
        <v>2do Trasiego</v>
      </c>
      <c r="Q860" s="2" t="b">
        <f ca="1">IFERROR(__xludf.DUMMYFUNCTION("""COMPUTED_VALUE"""),TRUE)</f>
        <v>1</v>
      </c>
      <c r="R860" s="2" t="str">
        <f ca="1">IFERROR(__xludf.DUMMYFUNCTION("""COMPUTED_VALUE"""),"2do Trasiego")</f>
        <v>2do Trasiego</v>
      </c>
      <c r="S860" s="2"/>
      <c r="T860" s="2"/>
      <c r="U860" s="2" t="str">
        <f ca="1">IFERROR(__xludf.DUMMYFUNCTION("""COMPUTED_VALUE"""),"1-")</f>
        <v>1-</v>
      </c>
    </row>
    <row r="861" spans="1:21" x14ac:dyDescent="0.25">
      <c r="A861" s="2" t="str">
        <f ca="1">IFERROR(__xludf.DUMMYFUNCTION("""COMPUTED_VALUE"""),"88a5eccd")</f>
        <v>88a5eccd</v>
      </c>
      <c r="B861" s="5">
        <f ca="1">IFERROR(__xludf.DUMMYFUNCTION("""COMPUTED_VALUE"""),45834.3889814814)</f>
        <v>45834.388981481403</v>
      </c>
      <c r="C861" s="2" t="str">
        <f ca="1">IFERROR(__xludf.DUMMYFUNCTION("""COMPUTED_VALUE"""),"263cc8c0")</f>
        <v>263cc8c0</v>
      </c>
      <c r="D861" s="2">
        <f ca="1">IFERROR(__xludf.DUMMYFUNCTION("""COMPUTED_VALUE"""),95)</f>
        <v>95</v>
      </c>
      <c r="E861" s="2" t="str">
        <f ca="1">IFERROR(__xludf.DUMMYFUNCTION("""COMPUTED_VALUE"""),"Syrah")</f>
        <v>Syrah</v>
      </c>
      <c r="F861" s="2">
        <f ca="1">IFERROR(__xludf.DUMMYFUNCTION("""COMPUTED_VALUE"""),8100)</f>
        <v>8100</v>
      </c>
      <c r="G861" s="2">
        <f ca="1">IFERROR(__xludf.DUMMYFUNCTION("""COMPUTED_VALUE"""),87)</f>
        <v>87</v>
      </c>
      <c r="H861" s="2" t="str">
        <f ca="1">IFERROR(__xludf.DUMMYFUNCTION("""COMPUTED_VALUE"""),"20f6d1c5")</f>
        <v>20f6d1c5</v>
      </c>
      <c r="I861" s="2" t="str">
        <f ca="1">IFERROR(__xludf.DUMMYFUNCTION("""COMPUTED_VALUE"""),"Syrah")</f>
        <v>Syrah</v>
      </c>
      <c r="J861" s="2">
        <f ca="1">IFERROR(__xludf.DUMMYFUNCTION("""COMPUTED_VALUE"""),82000)</f>
        <v>82000</v>
      </c>
      <c r="K861" s="2">
        <f ca="1">IFERROR(__xludf.DUMMYFUNCTION("""COMPUTED_VALUE"""),90100)</f>
        <v>90100</v>
      </c>
      <c r="L861" s="2" t="str">
        <f ca="1">IFERROR(__xludf.DUMMYFUNCTION("""COMPUTED_VALUE"""),"a8a4b52d")</f>
        <v>a8a4b52d</v>
      </c>
      <c r="M861" s="2" t="str">
        <f ca="1">IFERROR(__xludf.DUMMYFUNCTION("""COMPUTED_VALUE"""),"Syrah")</f>
        <v>Syrah</v>
      </c>
      <c r="N861" s="2"/>
      <c r="O861" s="2" t="str">
        <f ca="1">IFERROR(__xludf.DUMMYFUNCTION("""COMPUTED_VALUE"""),"2do Trasiego")</f>
        <v>2do Trasiego</v>
      </c>
      <c r="P861" s="2" t="str">
        <f ca="1">IFERROR(__xludf.DUMMYFUNCTION("""COMPUTED_VALUE"""),"2do Trasiego")</f>
        <v>2do Trasiego</v>
      </c>
      <c r="Q861" s="2" t="b">
        <f ca="1">IFERROR(__xludf.DUMMYFUNCTION("""COMPUTED_VALUE"""),TRUE)</f>
        <v>1</v>
      </c>
      <c r="R861" s="2" t="str">
        <f ca="1">IFERROR(__xludf.DUMMYFUNCTION("""COMPUTED_VALUE"""),"2do Trasiego")</f>
        <v>2do Trasiego</v>
      </c>
      <c r="S861" s="2"/>
      <c r="T861" s="2"/>
      <c r="U861" s="2" t="str">
        <f ca="1">IFERROR(__xludf.DUMMYFUNCTION("""COMPUTED_VALUE"""),"1-")</f>
        <v>1-</v>
      </c>
    </row>
    <row r="862" spans="1:21" x14ac:dyDescent="0.25">
      <c r="A862" s="2" t="str">
        <f ca="1">IFERROR(__xludf.DUMMYFUNCTION("""COMPUTED_VALUE"""),"98635b22")</f>
        <v>98635b22</v>
      </c>
      <c r="B862" s="5">
        <f ca="1">IFERROR(__xludf.DUMMYFUNCTION("""COMPUTED_VALUE"""),45835.3960763888)</f>
        <v>45835.396076388803</v>
      </c>
      <c r="C862" s="2" t="str">
        <f ca="1">IFERROR(__xludf.DUMMYFUNCTION("""COMPUTED_VALUE"""),"dddbf851")</f>
        <v>dddbf851</v>
      </c>
      <c r="D862" s="2">
        <f ca="1">IFERROR(__xludf.DUMMYFUNCTION("""COMPUTED_VALUE"""),89)</f>
        <v>89</v>
      </c>
      <c r="E862" s="2" t="str">
        <f ca="1">IFERROR(__xludf.DUMMYFUNCTION("""COMPUTED_VALUE"""),"Syrah Tempranillo")</f>
        <v>Syrah Tempranillo</v>
      </c>
      <c r="F862" s="2">
        <f ca="1">IFERROR(__xludf.DUMMYFUNCTION("""COMPUTED_VALUE"""),3600)</f>
        <v>3600</v>
      </c>
      <c r="G862" s="2">
        <f ca="1">IFERROR(__xludf.DUMMYFUNCTION("""COMPUTED_VALUE"""),87)</f>
        <v>87</v>
      </c>
      <c r="H862" s="2" t="str">
        <f ca="1">IFERROR(__xludf.DUMMYFUNCTION("""COMPUTED_VALUE"""),"a8a4b52d")</f>
        <v>a8a4b52d</v>
      </c>
      <c r="I862" s="2" t="str">
        <f ca="1">IFERROR(__xludf.DUMMYFUNCTION("""COMPUTED_VALUE"""),"Syrah")</f>
        <v>Syrah</v>
      </c>
      <c r="J862" s="2">
        <f ca="1">IFERROR(__xludf.DUMMYFUNCTION("""COMPUTED_VALUE"""),90100)</f>
        <v>90100</v>
      </c>
      <c r="K862" s="2">
        <f ca="1">IFERROR(__xludf.DUMMYFUNCTION("""COMPUTED_VALUE"""),93700)</f>
        <v>93700</v>
      </c>
      <c r="L862" s="2" t="str">
        <f ca="1">IFERROR(__xludf.DUMMYFUNCTION("""COMPUTED_VALUE"""),"502df566")</f>
        <v>502df566</v>
      </c>
      <c r="M862" s="2" t="str">
        <f ca="1">IFERROR(__xludf.DUMMYFUNCTION("""COMPUTED_VALUE"""),"Syrah")</f>
        <v>Syrah</v>
      </c>
      <c r="N862" s="2"/>
      <c r="O862" s="2" t="str">
        <f ca="1">IFERROR(__xludf.DUMMYFUNCTION("""COMPUTED_VALUE"""),"2do Trasiego")</f>
        <v>2do Trasiego</v>
      </c>
      <c r="P862" s="2" t="str">
        <f ca="1">IFERROR(__xludf.DUMMYFUNCTION("""COMPUTED_VALUE"""),"2do Trasiego")</f>
        <v>2do Trasiego</v>
      </c>
      <c r="Q862" s="2" t="b">
        <f ca="1">IFERROR(__xludf.DUMMYFUNCTION("""COMPUTED_VALUE"""),TRUE)</f>
        <v>1</v>
      </c>
      <c r="R862" s="2" t="str">
        <f ca="1">IFERROR(__xludf.DUMMYFUNCTION("""COMPUTED_VALUE"""),"2do Trasiego")</f>
        <v>2do Trasiego</v>
      </c>
      <c r="S862" s="2"/>
      <c r="T862" s="2"/>
      <c r="U862" s="2" t="str">
        <f ca="1">IFERROR(__xludf.DUMMYFUNCTION("""COMPUTED_VALUE"""),"1-")</f>
        <v>1-</v>
      </c>
    </row>
    <row r="863" spans="1:21" x14ac:dyDescent="0.25">
      <c r="A863" s="2" t="str">
        <f ca="1">IFERROR(__xludf.DUMMYFUNCTION("""COMPUTED_VALUE"""),"33dbbc52")</f>
        <v>33dbbc52</v>
      </c>
      <c r="B863" s="5">
        <f ca="1">IFERROR(__xludf.DUMMYFUNCTION("""COMPUTED_VALUE"""),45835.3966435185)</f>
        <v>45835.396643518499</v>
      </c>
      <c r="C863" s="2" t="str">
        <f ca="1">IFERROR(__xludf.DUMMYFUNCTION("""COMPUTED_VALUE"""),"710b5805")</f>
        <v>710b5805</v>
      </c>
      <c r="D863" s="2">
        <f ca="1">IFERROR(__xludf.DUMMYFUNCTION("""COMPUTED_VALUE"""),7)</f>
        <v>7</v>
      </c>
      <c r="E863" s="2" t="str">
        <f ca="1">IFERROR(__xludf.DUMMYFUNCTION("""COMPUTED_VALUE"""),"Syrah Rect")</f>
        <v>Syrah Rect</v>
      </c>
      <c r="F863" s="2">
        <f ca="1">IFERROR(__xludf.DUMMYFUNCTION("""COMPUTED_VALUE"""),3600)</f>
        <v>3600</v>
      </c>
      <c r="G863" s="2">
        <f ca="1">IFERROR(__xludf.DUMMYFUNCTION("""COMPUTED_VALUE"""),89)</f>
        <v>89</v>
      </c>
      <c r="H863" s="2" t="str">
        <f ca="1">IFERROR(__xludf.DUMMYFUNCTION("""COMPUTED_VALUE"""),"dddbf851")</f>
        <v>dddbf851</v>
      </c>
      <c r="I863" s="2" t="str">
        <f ca="1">IFERROR(__xludf.DUMMYFUNCTION("""COMPUTED_VALUE"""),"Syrah Tempranillo")</f>
        <v>Syrah Tempranillo</v>
      </c>
      <c r="J863" s="2">
        <f ca="1">IFERROR(__xludf.DUMMYFUNCTION("""COMPUTED_VALUE"""),79900)</f>
        <v>79900</v>
      </c>
      <c r="K863" s="2">
        <f ca="1">IFERROR(__xludf.DUMMYFUNCTION("""COMPUTED_VALUE"""),83500)</f>
        <v>83500</v>
      </c>
      <c r="L863" s="2" t="str">
        <f ca="1">IFERROR(__xludf.DUMMYFUNCTION("""COMPUTED_VALUE"""),"eed09ba0")</f>
        <v>eed09ba0</v>
      </c>
      <c r="M863" s="2" t="str">
        <f ca="1">IFERROR(__xludf.DUMMYFUNCTION("""COMPUTED_VALUE"""),"Syrah Tempranillo")</f>
        <v>Syrah Tempranillo</v>
      </c>
      <c r="N863" s="2"/>
      <c r="O863" s="2" t="str">
        <f ca="1">IFERROR(__xludf.DUMMYFUNCTION("""COMPUTED_VALUE"""),"Rectificado")</f>
        <v>Rectificado</v>
      </c>
      <c r="P863" s="2" t="str">
        <f ca="1">IFERROR(__xludf.DUMMYFUNCTION("""COMPUTED_VALUE"""),"2do Trasiego")</f>
        <v>2do Trasiego</v>
      </c>
      <c r="Q863" s="2" t="b">
        <f ca="1">IFERROR(__xludf.DUMMYFUNCTION("""COMPUTED_VALUE"""),TRUE)</f>
        <v>1</v>
      </c>
      <c r="R863" s="2" t="str">
        <f ca="1">IFERROR(__xludf.DUMMYFUNCTION("""COMPUTED_VALUE"""),"2do Trasiego")</f>
        <v>2do Trasiego</v>
      </c>
      <c r="S863" s="2"/>
      <c r="T863" s="2"/>
      <c r="U863" s="2" t="str">
        <f ca="1">IFERROR(__xludf.DUMMYFUNCTION("""COMPUTED_VALUE"""),"1+")</f>
        <v>1+</v>
      </c>
    </row>
    <row r="864" spans="1:21" x14ac:dyDescent="0.25">
      <c r="A864" s="2" t="str">
        <f ca="1">IFERROR(__xludf.DUMMYFUNCTION("""COMPUTED_VALUE"""),"6b7817c7")</f>
        <v>6b7817c7</v>
      </c>
      <c r="B864" s="5">
        <f ca="1">IFERROR(__xludf.DUMMYFUNCTION("""COMPUTED_VALUE"""),45835.3982407407)</f>
        <v>45835.398240740702</v>
      </c>
      <c r="C864" s="2" t="str">
        <f ca="1">IFERROR(__xludf.DUMMYFUNCTION("""COMPUTED_VALUE"""),"710b5805")</f>
        <v>710b5805</v>
      </c>
      <c r="D864" s="2">
        <f ca="1">IFERROR(__xludf.DUMMYFUNCTION("""COMPUTED_VALUE"""),7)</f>
        <v>7</v>
      </c>
      <c r="E864" s="2" t="str">
        <f ca="1">IFERROR(__xludf.DUMMYFUNCTION("""COMPUTED_VALUE"""),"Syrah Rect")</f>
        <v>Syrah Rect</v>
      </c>
      <c r="F864" s="2">
        <f ca="1">IFERROR(__xludf.DUMMYFUNCTION("""COMPUTED_VALUE"""),3400)</f>
        <v>3400</v>
      </c>
      <c r="G864" s="2">
        <f ca="1">IFERROR(__xludf.DUMMYFUNCTION("""COMPUTED_VALUE"""),500)</f>
        <v>500</v>
      </c>
      <c r="H864" s="2" t="str">
        <f ca="1">IFERROR(__xludf.DUMMYFUNCTION("""COMPUTED_VALUE"""),"aa0c81d4")</f>
        <v>aa0c81d4</v>
      </c>
      <c r="I864" s="2" t="str">
        <f ca="1">IFERROR(__xludf.DUMMYFUNCTION("""COMPUTED_VALUE"""),"Ajuste 27/06/25")</f>
        <v>Ajuste 27/06/25</v>
      </c>
      <c r="J864" s="2">
        <f ca="1">IFERROR(__xludf.DUMMYFUNCTION("""COMPUTED_VALUE"""),1)</f>
        <v>1</v>
      </c>
      <c r="K864" s="2">
        <f ca="1">IFERROR(__xludf.DUMMYFUNCTION("""COMPUTED_VALUE"""),3401)</f>
        <v>3401</v>
      </c>
      <c r="L864" s="2" t="str">
        <f ca="1">IFERROR(__xludf.DUMMYFUNCTION("""COMPUTED_VALUE"""),"7794d5a9")</f>
        <v>7794d5a9</v>
      </c>
      <c r="M864" s="2" t="str">
        <f ca="1">IFERROR(__xludf.DUMMYFUNCTION("""COMPUTED_VALUE"""),"Ajuste 27/06/25")</f>
        <v>Ajuste 27/06/25</v>
      </c>
      <c r="N864" s="2" t="str">
        <f ca="1">IFERROR(__xludf.DUMMYFUNCTION("""COMPUTED_VALUE"""),"Sobró vino recrificado")</f>
        <v>Sobró vino recrificado</v>
      </c>
      <c r="O864" s="2" t="str">
        <f ca="1">IFERROR(__xludf.DUMMYFUNCTION("""COMPUTED_VALUE"""),"Rectificado")</f>
        <v>Rectificado</v>
      </c>
      <c r="P864" s="2"/>
      <c r="Q864" s="2" t="b">
        <f ca="1">IFERROR(__xludf.DUMMYFUNCTION("""COMPUTED_VALUE"""),TRUE)</f>
        <v>1</v>
      </c>
      <c r="R864" s="2"/>
      <c r="S864" s="2"/>
      <c r="T864" s="2"/>
      <c r="U864" s="2"/>
    </row>
    <row r="865" spans="1:21" x14ac:dyDescent="0.25">
      <c r="A865" s="2" t="str">
        <f ca="1">IFERROR(__xludf.DUMMYFUNCTION("""COMPUTED_VALUE"""),"09a66870")</f>
        <v>09a66870</v>
      </c>
      <c r="B865" s="5">
        <f ca="1">IFERROR(__xludf.DUMMYFUNCTION("""COMPUTED_VALUE"""),45841.3595023148)</f>
        <v>45841.359502314801</v>
      </c>
      <c r="C865" s="2" t="str">
        <f ca="1">IFERROR(__xludf.DUMMYFUNCTION("""COMPUTED_VALUE"""),"ebb87073")</f>
        <v>ebb87073</v>
      </c>
      <c r="D865" s="2">
        <f ca="1">IFERROR(__xludf.DUMMYFUNCTION("""COMPUTED_VALUE"""),80)</f>
        <v>80</v>
      </c>
      <c r="E865" s="2" t="str">
        <f ca="1">IFERROR(__xludf.DUMMYFUNCTION("""COMPUTED_VALUE"""),"Borra")</f>
        <v>Borra</v>
      </c>
      <c r="F865" s="2">
        <f ca="1">IFERROR(__xludf.DUMMYFUNCTION("""COMPUTED_VALUE"""),20000)</f>
        <v>20000</v>
      </c>
      <c r="G865" s="2">
        <f ca="1">IFERROR(__xludf.DUMMYFUNCTION("""COMPUTED_VALUE"""),12)</f>
        <v>12</v>
      </c>
      <c r="H865" s="2"/>
      <c r="I865" s="2"/>
      <c r="J865" s="2">
        <f ca="1">IFERROR(__xludf.DUMMYFUNCTION("""COMPUTED_VALUE"""),0)</f>
        <v>0</v>
      </c>
      <c r="K865" s="2">
        <f ca="1">IFERROR(__xludf.DUMMYFUNCTION("""COMPUTED_VALUE"""),20000)</f>
        <v>20000</v>
      </c>
      <c r="L865" s="2" t="str">
        <f ca="1">IFERROR(__xludf.DUMMYFUNCTION("""COMPUTED_VALUE"""),"c441bbfa")</f>
        <v>c441bbfa</v>
      </c>
      <c r="M865" s="2" t="str">
        <f ca="1">IFERROR(__xludf.DUMMYFUNCTION("""COMPUTED_VALUE"""),"Claro de Filtro")</f>
        <v>Claro de Filtro</v>
      </c>
      <c r="N865" s="2"/>
      <c r="O865" s="2" t="str">
        <f ca="1">IFERROR(__xludf.DUMMYFUNCTION("""COMPUTED_VALUE"""),"1er Trasiego")</f>
        <v>1er Trasiego</v>
      </c>
      <c r="P865" s="2"/>
      <c r="Q865" s="2" t="b">
        <f ca="1">IFERROR(__xludf.DUMMYFUNCTION("""COMPUTED_VALUE"""),FALSE)</f>
        <v>0</v>
      </c>
      <c r="R865" s="2" t="str">
        <f ca="1">IFERROR(__xludf.DUMMYFUNCTION("""COMPUTED_VALUE"""),"2do Trasiego")</f>
        <v>2do Trasiego</v>
      </c>
      <c r="S865" s="2"/>
      <c r="T865" s="2"/>
      <c r="U865" s="2"/>
    </row>
    <row r="866" spans="1:21" x14ac:dyDescent="0.25">
      <c r="A866" s="2" t="str">
        <f ca="1">IFERROR(__xludf.DUMMYFUNCTION("""COMPUTED_VALUE"""),"ec9d0254")</f>
        <v>ec9d0254</v>
      </c>
      <c r="B866" s="5">
        <f ca="1">IFERROR(__xludf.DUMMYFUNCTION("""COMPUTED_VALUE"""),45849.7071412037)</f>
        <v>45849.707141203697</v>
      </c>
      <c r="C866" s="2" t="str">
        <f ca="1">IFERROR(__xludf.DUMMYFUNCTION("""COMPUTED_VALUE"""),"271c9c71")</f>
        <v>271c9c71</v>
      </c>
      <c r="D866" s="2">
        <f ca="1">IFERROR(__xludf.DUMMYFUNCTION("""COMPUTED_VALUE"""),69)</f>
        <v>69</v>
      </c>
      <c r="E866" s="2" t="str">
        <f ca="1">IFERROR(__xludf.DUMMYFUNCTION("""COMPUTED_VALUE"""),"Borra")</f>
        <v>Borra</v>
      </c>
      <c r="F866" s="2">
        <f ca="1">IFERROR(__xludf.DUMMYFUNCTION("""COMPUTED_VALUE"""),3000)</f>
        <v>3000</v>
      </c>
      <c r="G866" s="2">
        <f ca="1">IFERROR(__xludf.DUMMYFUNCTION("""COMPUTED_VALUE"""),12)</f>
        <v>12</v>
      </c>
      <c r="H866" s="2" t="str">
        <f ca="1">IFERROR(__xludf.DUMMYFUNCTION("""COMPUTED_VALUE"""),"c441bbfa")</f>
        <v>c441bbfa</v>
      </c>
      <c r="I866" s="2" t="str">
        <f ca="1">IFERROR(__xludf.DUMMYFUNCTION("""COMPUTED_VALUE"""),"Claro de Filtro")</f>
        <v>Claro de Filtro</v>
      </c>
      <c r="J866" s="2">
        <f ca="1">IFERROR(__xludf.DUMMYFUNCTION("""COMPUTED_VALUE"""),20000)</f>
        <v>20000</v>
      </c>
      <c r="K866" s="2">
        <f ca="1">IFERROR(__xludf.DUMMYFUNCTION("""COMPUTED_VALUE"""),23000)</f>
        <v>23000</v>
      </c>
      <c r="L866" s="2" t="str">
        <f ca="1">IFERROR(__xludf.DUMMYFUNCTION("""COMPUTED_VALUE"""),"ae993fbd")</f>
        <v>ae993fbd</v>
      </c>
      <c r="M866" s="2" t="str">
        <f ca="1">IFERROR(__xludf.DUMMYFUNCTION("""COMPUTED_VALUE"""),"Claro de Filtro")</f>
        <v>Claro de Filtro</v>
      </c>
      <c r="N866" s="2" t="str">
        <f ca="1">IFERROR(__xludf.DUMMYFUNCTION("""COMPUTED_VALUE"""),"Filtrado de borra")</f>
        <v>Filtrado de borra</v>
      </c>
      <c r="O866" s="2" t="str">
        <f ca="1">IFERROR(__xludf.DUMMYFUNCTION("""COMPUTED_VALUE"""),"Descubada")</f>
        <v>Descubada</v>
      </c>
      <c r="P866" s="2" t="str">
        <f ca="1">IFERROR(__xludf.DUMMYFUNCTION("""COMPUTED_VALUE"""),"2do Trasiego")</f>
        <v>2do Trasiego</v>
      </c>
      <c r="Q866" s="2" t="b">
        <f ca="1">IFERROR(__xludf.DUMMYFUNCTION("""COMPUTED_VALUE"""),TRUE)</f>
        <v>1</v>
      </c>
      <c r="R866" s="2" t="str">
        <f ca="1">IFERROR(__xludf.DUMMYFUNCTION("""COMPUTED_VALUE"""),"2do Trasiego")</f>
        <v>2do Trasiego</v>
      </c>
      <c r="S866" s="2"/>
      <c r="T866" s="2"/>
      <c r="U866" s="2"/>
    </row>
    <row r="867" spans="1:21" x14ac:dyDescent="0.25">
      <c r="A867" s="2" t="str">
        <f ca="1">IFERROR(__xludf.DUMMYFUNCTION("""COMPUTED_VALUE"""),"85b99611")</f>
        <v>85b99611</v>
      </c>
      <c r="B867" s="5">
        <f ca="1">IFERROR(__xludf.DUMMYFUNCTION("""COMPUTED_VALUE"""),45849.707511574)</f>
        <v>45849.707511574001</v>
      </c>
      <c r="C867" s="2" t="str">
        <f ca="1">IFERROR(__xludf.DUMMYFUNCTION("""COMPUTED_VALUE"""),"271c9c71")</f>
        <v>271c9c71</v>
      </c>
      <c r="D867" s="2">
        <f ca="1">IFERROR(__xludf.DUMMYFUNCTION("""COMPUTED_VALUE"""),69)</f>
        <v>69</v>
      </c>
      <c r="E867" s="2" t="str">
        <f ca="1">IFERROR(__xludf.DUMMYFUNCTION("""COMPUTED_VALUE"""),"Borra")</f>
        <v>Borra</v>
      </c>
      <c r="F867" s="2">
        <f ca="1">IFERROR(__xludf.DUMMYFUNCTION("""COMPUTED_VALUE"""),0)</f>
        <v>0</v>
      </c>
      <c r="G867" s="2">
        <f ca="1">IFERROR(__xludf.DUMMYFUNCTION("""COMPUTED_VALUE"""),500)</f>
        <v>500</v>
      </c>
      <c r="H867" s="2" t="str">
        <f ca="1">IFERROR(__xludf.DUMMYFUNCTION("""COMPUTED_VALUE"""),"15c039be")</f>
        <v>15c039be</v>
      </c>
      <c r="I867" s="2" t="str">
        <f ca="1">IFERROR(__xludf.DUMMYFUNCTION("""COMPUTED_VALUE"""),"Borra Seca")</f>
        <v>Borra Seca</v>
      </c>
      <c r="J867" s="2">
        <f ca="1">IFERROR(__xludf.DUMMYFUNCTION("""COMPUTED_VALUE"""),200000)</f>
        <v>200000</v>
      </c>
      <c r="K867" s="2">
        <f ca="1">IFERROR(__xludf.DUMMYFUNCTION("""COMPUTED_VALUE"""),200000)</f>
        <v>200000</v>
      </c>
      <c r="L867" s="2" t="str">
        <f ca="1">IFERROR(__xludf.DUMMYFUNCTION("""COMPUTED_VALUE"""),"0ff5560e")</f>
        <v>0ff5560e</v>
      </c>
      <c r="M867" s="2" t="str">
        <f ca="1">IFERROR(__xludf.DUMMYFUNCTION("""COMPUTED_VALUE"""),"Borra Seca")</f>
        <v>Borra Seca</v>
      </c>
      <c r="N867" s="2"/>
      <c r="O867" s="2" t="str">
        <f ca="1">IFERROR(__xludf.DUMMYFUNCTION("""COMPUTED_VALUE"""),"Descubada")</f>
        <v>Descubada</v>
      </c>
      <c r="P867" s="2"/>
      <c r="Q867" s="2" t="b">
        <f ca="1">IFERROR(__xludf.DUMMYFUNCTION("""COMPUTED_VALUE"""),TRUE)</f>
        <v>1</v>
      </c>
      <c r="R867" s="2"/>
      <c r="S867" s="2"/>
      <c r="T867" s="2"/>
      <c r="U867" s="2"/>
    </row>
    <row r="868" spans="1:21" x14ac:dyDescent="0.25">
      <c r="A868" s="2" t="str">
        <f ca="1">IFERROR(__xludf.DUMMYFUNCTION("""COMPUTED_VALUE"""),"8ff6cad4")</f>
        <v>8ff6cad4</v>
      </c>
      <c r="B868" s="5">
        <f ca="1">IFERROR(__xludf.DUMMYFUNCTION("""COMPUTED_VALUE"""),45849.7117476851)</f>
        <v>45849.711747685098</v>
      </c>
      <c r="C868" s="2" t="str">
        <f ca="1">IFERROR(__xludf.DUMMYFUNCTION("""COMPUTED_VALUE"""),"271c9c71")</f>
        <v>271c9c71</v>
      </c>
      <c r="D868" s="2">
        <f ca="1">IFERROR(__xludf.DUMMYFUNCTION("""COMPUTED_VALUE"""),69)</f>
        <v>69</v>
      </c>
      <c r="E868" s="2" t="str">
        <f ca="1">IFERROR(__xludf.DUMMYFUNCTION("""COMPUTED_VALUE"""),"Borra")</f>
        <v>Borra</v>
      </c>
      <c r="F868" s="2">
        <f ca="1">IFERROR(__xludf.DUMMYFUNCTION("""COMPUTED_VALUE"""),10000)</f>
        <v>10000</v>
      </c>
      <c r="G868" s="2">
        <f ca="1">IFERROR(__xludf.DUMMYFUNCTION("""COMPUTED_VALUE"""),500)</f>
        <v>500</v>
      </c>
      <c r="H868" s="2" t="str">
        <f ca="1">IFERROR(__xludf.DUMMYFUNCTION("""COMPUTED_VALUE"""),"0ff5560e")</f>
        <v>0ff5560e</v>
      </c>
      <c r="I868" s="2" t="str">
        <f ca="1">IFERROR(__xludf.DUMMYFUNCTION("""COMPUTED_VALUE"""),"Borra Seca")</f>
        <v>Borra Seca</v>
      </c>
      <c r="J868" s="2">
        <f ca="1">IFERROR(__xludf.DUMMYFUNCTION("""COMPUTED_VALUE"""),1)</f>
        <v>1</v>
      </c>
      <c r="K868" s="2">
        <f ca="1">IFERROR(__xludf.DUMMYFUNCTION("""COMPUTED_VALUE"""),10001)</f>
        <v>10001</v>
      </c>
      <c r="L868" s="2" t="str">
        <f ca="1">IFERROR(__xludf.DUMMYFUNCTION("""COMPUTED_VALUE"""),"ece3c136")</f>
        <v>ece3c136</v>
      </c>
      <c r="M868" s="2" t="str">
        <f ca="1">IFERROR(__xludf.DUMMYFUNCTION("""COMPUTED_VALUE"""),"Borra Seca")</f>
        <v>Borra Seca</v>
      </c>
      <c r="N868" s="2" t="str">
        <f ca="1">IFERROR(__xludf.DUMMYFUNCTION("""COMPUTED_VALUE"""),"Borra seca del filtro")</f>
        <v>Borra seca del filtro</v>
      </c>
      <c r="O868" s="2" t="str">
        <f ca="1">IFERROR(__xludf.DUMMYFUNCTION("""COMPUTED_VALUE"""),"Descubada")</f>
        <v>Descubada</v>
      </c>
      <c r="P868" s="2"/>
      <c r="Q868" s="2" t="b">
        <f ca="1">IFERROR(__xludf.DUMMYFUNCTION("""COMPUTED_VALUE"""),TRUE)</f>
        <v>1</v>
      </c>
      <c r="R868" s="2"/>
      <c r="S868" s="2"/>
      <c r="T868" s="2"/>
      <c r="U868" s="2"/>
    </row>
    <row r="869" spans="1:21" x14ac:dyDescent="0.25">
      <c r="A869" s="2" t="str">
        <f ca="1">IFERROR(__xludf.DUMMYFUNCTION("""COMPUTED_VALUE"""),"d0cbf08f")</f>
        <v>d0cbf08f</v>
      </c>
      <c r="B869" s="5">
        <f ca="1">IFERROR(__xludf.DUMMYFUNCTION("""COMPUTED_VALUE"""),45849.7121412037)</f>
        <v>45849.712141203701</v>
      </c>
      <c r="C869" s="2" t="str">
        <f ca="1">IFERROR(__xludf.DUMMYFUNCTION("""COMPUTED_VALUE"""),"ebb87073")</f>
        <v>ebb87073</v>
      </c>
      <c r="D869" s="2">
        <f ca="1">IFERROR(__xludf.DUMMYFUNCTION("""COMPUTED_VALUE"""),80)</f>
        <v>80</v>
      </c>
      <c r="E869" s="2" t="str">
        <f ca="1">IFERROR(__xludf.DUMMYFUNCTION("""COMPUTED_VALUE"""),"Borra")</f>
        <v>Borra</v>
      </c>
      <c r="F869" s="2">
        <f ca="1">IFERROR(__xludf.DUMMYFUNCTION("""COMPUTED_VALUE"""),6100)</f>
        <v>6100</v>
      </c>
      <c r="G869" s="2">
        <f ca="1">IFERROR(__xludf.DUMMYFUNCTION("""COMPUTED_VALUE"""),500)</f>
        <v>500</v>
      </c>
      <c r="H869" s="2" t="str">
        <f ca="1">IFERROR(__xludf.DUMMYFUNCTION("""COMPUTED_VALUE"""),"ece3c136")</f>
        <v>ece3c136</v>
      </c>
      <c r="I869" s="2" t="str">
        <f ca="1">IFERROR(__xludf.DUMMYFUNCTION("""COMPUTED_VALUE"""),"Borra Seca")</f>
        <v>Borra Seca</v>
      </c>
      <c r="J869" s="2">
        <f ca="1">IFERROR(__xludf.DUMMYFUNCTION("""COMPUTED_VALUE"""),10001)</f>
        <v>10001</v>
      </c>
      <c r="K869" s="2">
        <f ca="1">IFERROR(__xludf.DUMMYFUNCTION("""COMPUTED_VALUE"""),16101)</f>
        <v>16101</v>
      </c>
      <c r="L869" s="2" t="str">
        <f ca="1">IFERROR(__xludf.DUMMYFUNCTION("""COMPUTED_VALUE"""),"af74f307")</f>
        <v>af74f307</v>
      </c>
      <c r="M869" s="2" t="str">
        <f ca="1">IFERROR(__xludf.DUMMYFUNCTION("""COMPUTED_VALUE"""),"Borra Seca")</f>
        <v>Borra Seca</v>
      </c>
      <c r="N869" s="2"/>
      <c r="O869" s="2" t="str">
        <f ca="1">IFERROR(__xludf.DUMMYFUNCTION("""COMPUTED_VALUE"""),"1er Trasiego")</f>
        <v>1er Trasiego</v>
      </c>
      <c r="P869" s="2"/>
      <c r="Q869" s="2" t="b">
        <f ca="1">IFERROR(__xludf.DUMMYFUNCTION("""COMPUTED_VALUE"""),TRUE)</f>
        <v>1</v>
      </c>
      <c r="R869" s="2"/>
      <c r="S869" s="2"/>
      <c r="T869" s="2"/>
      <c r="U869" s="2"/>
    </row>
    <row r="870" spans="1:21" x14ac:dyDescent="0.25">
      <c r="A870" s="2" t="str">
        <f ca="1">IFERROR(__xludf.DUMMYFUNCTION("""COMPUTED_VALUE"""),"a94a4dd3")</f>
        <v>a94a4dd3</v>
      </c>
      <c r="B870" s="5">
        <f ca="1">IFERROR(__xludf.DUMMYFUNCTION("""COMPUTED_VALUE"""),45849.7130092591)</f>
        <v>45849.713009259198</v>
      </c>
      <c r="C870" s="2" t="str">
        <f ca="1">IFERROR(__xludf.DUMMYFUNCTION("""COMPUTED_VALUE"""),"ae993fbd")</f>
        <v>ae993fbd</v>
      </c>
      <c r="D870" s="2">
        <f ca="1">IFERROR(__xludf.DUMMYFUNCTION("""COMPUTED_VALUE"""),12)</f>
        <v>12</v>
      </c>
      <c r="E870" s="2" t="str">
        <f ca="1">IFERROR(__xludf.DUMMYFUNCTION("""COMPUTED_VALUE"""),"Claro de Filtro")</f>
        <v>Claro de Filtro</v>
      </c>
      <c r="F870" s="2">
        <f ca="1">IFERROR(__xludf.DUMMYFUNCTION("""COMPUTED_VALUE"""),11200)</f>
        <v>11200</v>
      </c>
      <c r="G870" s="2">
        <f ca="1">IFERROR(__xludf.DUMMYFUNCTION("""COMPUTED_VALUE"""),931)</f>
        <v>931</v>
      </c>
      <c r="H870" s="2"/>
      <c r="I870" s="2"/>
      <c r="J870" s="2">
        <f ca="1">IFERROR(__xludf.DUMMYFUNCTION("""COMPUTED_VALUE"""),0)</f>
        <v>0</v>
      </c>
      <c r="K870" s="2">
        <f ca="1">IFERROR(__xludf.DUMMYFUNCTION("""COMPUTED_VALUE"""),11200)</f>
        <v>11200</v>
      </c>
      <c r="L870" s="2" t="str">
        <f ca="1">IFERROR(__xludf.DUMMYFUNCTION("""COMPUTED_VALUE"""),"90fc33de")</f>
        <v>90fc33de</v>
      </c>
      <c r="M870" s="2" t="str">
        <f ca="1">IFERROR(__xludf.DUMMYFUNCTION("""COMPUTED_VALUE"""),"Claro de Filtro")</f>
        <v>Claro de Filtro</v>
      </c>
      <c r="N870" s="2"/>
      <c r="O870" s="2" t="str">
        <f ca="1">IFERROR(__xludf.DUMMYFUNCTION("""COMPUTED_VALUE"""),"2do Trasiego")</f>
        <v>2do Trasiego</v>
      </c>
      <c r="P870" s="2"/>
      <c r="Q870" s="2" t="b">
        <f ca="1">IFERROR(__xludf.DUMMYFUNCTION("""COMPUTED_VALUE"""),FALSE)</f>
        <v>0</v>
      </c>
      <c r="R870" s="2" t="str">
        <f ca="1">IFERROR(__xludf.DUMMYFUNCTION("""COMPUTED_VALUE"""),"2do Trasiego")</f>
        <v>2do Trasiego</v>
      </c>
      <c r="S870" s="2"/>
      <c r="T870" s="2"/>
      <c r="U870" s="2"/>
    </row>
    <row r="871" spans="1:21" x14ac:dyDescent="0.25">
      <c r="A871" s="2" t="str">
        <f ca="1">IFERROR(__xludf.DUMMYFUNCTION("""COMPUTED_VALUE"""),"a9764a26")</f>
        <v>a9764a26</v>
      </c>
      <c r="B871" s="5">
        <f ca="1">IFERROR(__xludf.DUMMYFUNCTION("""COMPUTED_VALUE"""),45849.713136574)</f>
        <v>45849.713136573999</v>
      </c>
      <c r="C871" s="2" t="str">
        <f ca="1">IFERROR(__xludf.DUMMYFUNCTION("""COMPUTED_VALUE"""),"ae993fbd")</f>
        <v>ae993fbd</v>
      </c>
      <c r="D871" s="2">
        <f ca="1">IFERROR(__xludf.DUMMYFUNCTION("""COMPUTED_VALUE"""),12)</f>
        <v>12</v>
      </c>
      <c r="E871" s="2" t="str">
        <f ca="1">IFERROR(__xludf.DUMMYFUNCTION("""COMPUTED_VALUE"""),"Claro de Filtro")</f>
        <v>Claro de Filtro</v>
      </c>
      <c r="F871" s="2">
        <f ca="1">IFERROR(__xludf.DUMMYFUNCTION("""COMPUTED_VALUE"""),11200)</f>
        <v>11200</v>
      </c>
      <c r="G871" s="2">
        <f ca="1">IFERROR(__xludf.DUMMYFUNCTION("""COMPUTED_VALUE"""),935)</f>
        <v>935</v>
      </c>
      <c r="H871" s="2"/>
      <c r="I871" s="2"/>
      <c r="J871" s="2">
        <f ca="1">IFERROR(__xludf.DUMMYFUNCTION("""COMPUTED_VALUE"""),0)</f>
        <v>0</v>
      </c>
      <c r="K871" s="2">
        <f ca="1">IFERROR(__xludf.DUMMYFUNCTION("""COMPUTED_VALUE"""),11200)</f>
        <v>11200</v>
      </c>
      <c r="L871" s="2" t="str">
        <f ca="1">IFERROR(__xludf.DUMMYFUNCTION("""COMPUTED_VALUE"""),"a774778b")</f>
        <v>a774778b</v>
      </c>
      <c r="M871" s="2" t="str">
        <f ca="1">IFERROR(__xludf.DUMMYFUNCTION("""COMPUTED_VALUE"""),"Claro de Filtro")</f>
        <v>Claro de Filtro</v>
      </c>
      <c r="N871" s="2"/>
      <c r="O871" s="2" t="str">
        <f ca="1">IFERROR(__xludf.DUMMYFUNCTION("""COMPUTED_VALUE"""),"2do Trasiego")</f>
        <v>2do Trasiego</v>
      </c>
      <c r="P871" s="2"/>
      <c r="Q871" s="2" t="b">
        <f ca="1">IFERROR(__xludf.DUMMYFUNCTION("""COMPUTED_VALUE"""),FALSE)</f>
        <v>0</v>
      </c>
      <c r="R871" s="2" t="str">
        <f ca="1">IFERROR(__xludf.DUMMYFUNCTION("""COMPUTED_VALUE"""),"2do Trasiego")</f>
        <v>2do Trasiego</v>
      </c>
      <c r="S871" s="2"/>
      <c r="T871" s="2"/>
      <c r="U871" s="2"/>
    </row>
    <row r="872" spans="1:21" x14ac:dyDescent="0.25">
      <c r="A872" s="2" t="str">
        <f ca="1">IFERROR(__xludf.DUMMYFUNCTION("""COMPUTED_VALUE"""),"0b413a34")</f>
        <v>0b413a34</v>
      </c>
      <c r="B872" s="5">
        <f ca="1">IFERROR(__xludf.DUMMYFUNCTION("""COMPUTED_VALUE"""),45849.7135069444)</f>
        <v>45849.713506944398</v>
      </c>
      <c r="C872" s="2" t="str">
        <f ca="1">IFERROR(__xludf.DUMMYFUNCTION("""COMPUTED_VALUE"""),"ae993fbd")</f>
        <v>ae993fbd</v>
      </c>
      <c r="D872" s="2">
        <f ca="1">IFERROR(__xludf.DUMMYFUNCTION("""COMPUTED_VALUE"""),12)</f>
        <v>12</v>
      </c>
      <c r="E872" s="2" t="str">
        <f ca="1">IFERROR(__xludf.DUMMYFUNCTION("""COMPUTED_VALUE"""),"Claro de Filtro")</f>
        <v>Claro de Filtro</v>
      </c>
      <c r="F872" s="2">
        <f ca="1">IFERROR(__xludf.DUMMYFUNCTION("""COMPUTED_VALUE"""),600)</f>
        <v>600</v>
      </c>
      <c r="G872" s="2">
        <f ca="1">IFERROR(__xludf.DUMMYFUNCTION("""COMPUTED_VALUE"""),51)</f>
        <v>51</v>
      </c>
      <c r="H872" s="2"/>
      <c r="I872" s="2"/>
      <c r="J872" s="2">
        <f ca="1">IFERROR(__xludf.DUMMYFUNCTION("""COMPUTED_VALUE"""),0)</f>
        <v>0</v>
      </c>
      <c r="K872" s="2">
        <f ca="1">IFERROR(__xludf.DUMMYFUNCTION("""COMPUTED_VALUE"""),600)</f>
        <v>600</v>
      </c>
      <c r="L872" s="2" t="str">
        <f ca="1">IFERROR(__xludf.DUMMYFUNCTION("""COMPUTED_VALUE"""),"c0887c05")</f>
        <v>c0887c05</v>
      </c>
      <c r="M872" s="2" t="str">
        <f ca="1">IFERROR(__xludf.DUMMYFUNCTION("""COMPUTED_VALUE"""),"Claro de Filtro")</f>
        <v>Claro de Filtro</v>
      </c>
      <c r="N872" s="2"/>
      <c r="O872" s="2" t="str">
        <f ca="1">IFERROR(__xludf.DUMMYFUNCTION("""COMPUTED_VALUE"""),"2do Trasiego")</f>
        <v>2do Trasiego</v>
      </c>
      <c r="P872" s="2"/>
      <c r="Q872" s="2" t="b">
        <f ca="1">IFERROR(__xludf.DUMMYFUNCTION("""COMPUTED_VALUE"""),FALSE)</f>
        <v>0</v>
      </c>
      <c r="R872" s="2" t="str">
        <f ca="1">IFERROR(__xludf.DUMMYFUNCTION("""COMPUTED_VALUE"""),"2do Trasiego")</f>
        <v>2do Trasiego</v>
      </c>
      <c r="S872" s="2"/>
      <c r="T872" s="2"/>
      <c r="U872" s="2"/>
    </row>
    <row r="873" spans="1:21" x14ac:dyDescent="0.25">
      <c r="A873" s="2" t="str">
        <f ca="1">IFERROR(__xludf.DUMMYFUNCTION("""COMPUTED_VALUE"""),"64f85161")</f>
        <v>64f85161</v>
      </c>
      <c r="B873" s="5">
        <f ca="1">IFERROR(__xludf.DUMMYFUNCTION("""COMPUTED_VALUE"""),45859.6573379629)</f>
        <v>45859.657337962897</v>
      </c>
      <c r="C873" s="2" t="str">
        <f ca="1">IFERROR(__xludf.DUMMYFUNCTION("""COMPUTED_VALUE"""),"8b30dc4c")</f>
        <v>8b30dc4c</v>
      </c>
      <c r="D873" s="2">
        <f ca="1">IFERROR(__xludf.DUMMYFUNCTION("""COMPUTED_VALUE"""),74)</f>
        <v>74</v>
      </c>
      <c r="E873" s="2" t="str">
        <f ca="1">IFERROR(__xludf.DUMMYFUNCTION("""COMPUTED_VALUE"""),"Malbec Montecepas 24")</f>
        <v>Malbec Montecepas 24</v>
      </c>
      <c r="F873" s="2">
        <f ca="1">IFERROR(__xludf.DUMMYFUNCTION("""COMPUTED_VALUE"""),13000)</f>
        <v>13000</v>
      </c>
      <c r="G873" s="2">
        <f ca="1">IFERROR(__xludf.DUMMYFUNCTION("""COMPUTED_VALUE"""),68)</f>
        <v>68</v>
      </c>
      <c r="H873" s="2"/>
      <c r="I873" s="2"/>
      <c r="J873" s="2">
        <f ca="1">IFERROR(__xludf.DUMMYFUNCTION("""COMPUTED_VALUE"""),0)</f>
        <v>0</v>
      </c>
      <c r="K873" s="2">
        <f ca="1">IFERROR(__xludf.DUMMYFUNCTION("""COMPUTED_VALUE"""),13000)</f>
        <v>13000</v>
      </c>
      <c r="L873" s="2" t="str">
        <f ca="1">IFERROR(__xludf.DUMMYFUNCTION("""COMPUTED_VALUE"""),"22a75cd4")</f>
        <v>22a75cd4</v>
      </c>
      <c r="M873" s="2" t="str">
        <f ca="1">IFERROR(__xludf.DUMMYFUNCTION("""COMPUTED_VALUE"""),"Malbec Montecepas 24")</f>
        <v>Malbec Montecepas 24</v>
      </c>
      <c r="N873" s="2"/>
      <c r="O873" s="2" t="str">
        <f ca="1">IFERROR(__xludf.DUMMYFUNCTION("""COMPUTED_VALUE"""),"Terminado")</f>
        <v>Terminado</v>
      </c>
      <c r="P873" s="2"/>
      <c r="Q873" s="2" t="b">
        <f ca="1">IFERROR(__xludf.DUMMYFUNCTION("""COMPUTED_VALUE"""),FALSE)</f>
        <v>0</v>
      </c>
      <c r="R873" s="2" t="str">
        <f ca="1">IFERROR(__xludf.DUMMYFUNCTION("""COMPUTED_VALUE"""),"Filtrado Tang")</f>
        <v>Filtrado Tang</v>
      </c>
      <c r="S873" s="2"/>
      <c r="T873" s="2"/>
      <c r="U873" s="2" t="str">
        <f ca="1">IFERROR(__xludf.DUMMYFUNCTION("""COMPUTED_VALUE"""),"1+")</f>
        <v>1+</v>
      </c>
    </row>
    <row r="874" spans="1:21" x14ac:dyDescent="0.25">
      <c r="A874" s="2" t="str">
        <f ca="1">IFERROR(__xludf.DUMMYFUNCTION("""COMPUTED_VALUE"""),"03b8ca92")</f>
        <v>03b8ca92</v>
      </c>
      <c r="B874" s="5">
        <f ca="1">IFERROR(__xludf.DUMMYFUNCTION("""COMPUTED_VALUE"""),45859.6587037037)</f>
        <v>45859.658703703702</v>
      </c>
      <c r="C874" s="2" t="str">
        <f ca="1">IFERROR(__xludf.DUMMYFUNCTION("""COMPUTED_VALUE"""),"3f3e8ee6")</f>
        <v>3f3e8ee6</v>
      </c>
      <c r="D874" s="2">
        <f ca="1">IFERROR(__xludf.DUMMYFUNCTION("""COMPUTED_VALUE"""),111)</f>
        <v>111</v>
      </c>
      <c r="E874" s="2" t="str">
        <f ca="1">IFERROR(__xludf.DUMMYFUNCTION("""COMPUTED_VALUE"""),"Malbec Magneta")</f>
        <v>Malbec Magneta</v>
      </c>
      <c r="F874" s="2">
        <f ca="1">IFERROR(__xludf.DUMMYFUNCTION("""COMPUTED_VALUE"""),4000)</f>
        <v>4000</v>
      </c>
      <c r="G874" s="2">
        <f ca="1">IFERROR(__xludf.DUMMYFUNCTION("""COMPUTED_VALUE"""),69)</f>
        <v>69</v>
      </c>
      <c r="H874" s="2"/>
      <c r="I874" s="2"/>
      <c r="J874" s="2">
        <f ca="1">IFERROR(__xludf.DUMMYFUNCTION("""COMPUTED_VALUE"""),0)</f>
        <v>0</v>
      </c>
      <c r="K874" s="2">
        <f ca="1">IFERROR(__xludf.DUMMYFUNCTION("""COMPUTED_VALUE"""),4000)</f>
        <v>4000</v>
      </c>
      <c r="L874" s="2" t="str">
        <f ca="1">IFERROR(__xludf.DUMMYFUNCTION("""COMPUTED_VALUE"""),"2ab540d2")</f>
        <v>2ab540d2</v>
      </c>
      <c r="M874" s="2" t="str">
        <f ca="1">IFERROR(__xludf.DUMMYFUNCTION("""COMPUTED_VALUE"""),"Malbec Magneta")</f>
        <v>Malbec Magneta</v>
      </c>
      <c r="N874" s="2"/>
      <c r="O874" s="2" t="str">
        <f ca="1">IFERROR(__xludf.DUMMYFUNCTION("""COMPUTED_VALUE"""),"Terminado")</f>
        <v>Terminado</v>
      </c>
      <c r="P874" s="2"/>
      <c r="Q874" s="2" t="b">
        <f ca="1">IFERROR(__xludf.DUMMYFUNCTION("""COMPUTED_VALUE"""),FALSE)</f>
        <v>0</v>
      </c>
      <c r="R874" s="2" t="str">
        <f ca="1">IFERROR(__xludf.DUMMYFUNCTION("""COMPUTED_VALUE"""),"Terminado")</f>
        <v>Terminado</v>
      </c>
      <c r="S874" s="2"/>
      <c r="T874" s="2"/>
      <c r="U874" s="2"/>
    </row>
    <row r="875" spans="1:21" x14ac:dyDescent="0.25">
      <c r="A875" s="2" t="str">
        <f ca="1">IFERROR(__xludf.DUMMYFUNCTION("""COMPUTED_VALUE"""),"e3927c4b")</f>
        <v>e3927c4b</v>
      </c>
      <c r="B875" s="5">
        <f ca="1">IFERROR(__xludf.DUMMYFUNCTION("""COMPUTED_VALUE"""),45859.6595717592)</f>
        <v>45859.659571759199</v>
      </c>
      <c r="C875" s="2" t="str">
        <f ca="1">IFERROR(__xludf.DUMMYFUNCTION("""COMPUTED_VALUE"""),"2ab540d2")</f>
        <v>2ab540d2</v>
      </c>
      <c r="D875" s="2">
        <f ca="1">IFERROR(__xludf.DUMMYFUNCTION("""COMPUTED_VALUE"""),69)</f>
        <v>69</v>
      </c>
      <c r="E875" s="2" t="str">
        <f ca="1">IFERROR(__xludf.DUMMYFUNCTION("""COMPUTED_VALUE"""),"Malbec Magneta")</f>
        <v>Malbec Magneta</v>
      </c>
      <c r="F875" s="2">
        <f ca="1">IFERROR(__xludf.DUMMYFUNCTION("""COMPUTED_VALUE"""),4000)</f>
        <v>4000</v>
      </c>
      <c r="G875" s="2">
        <f ca="1">IFERROR(__xludf.DUMMYFUNCTION("""COMPUTED_VALUE"""),111)</f>
        <v>111</v>
      </c>
      <c r="H875" s="2"/>
      <c r="I875" s="2"/>
      <c r="J875" s="2">
        <f ca="1">IFERROR(__xludf.DUMMYFUNCTION("""COMPUTED_VALUE"""),0)</f>
        <v>0</v>
      </c>
      <c r="K875" s="2">
        <f ca="1">IFERROR(__xludf.DUMMYFUNCTION("""COMPUTED_VALUE"""),4000)</f>
        <v>4000</v>
      </c>
      <c r="L875" s="2" t="str">
        <f ca="1">IFERROR(__xludf.DUMMYFUNCTION("""COMPUTED_VALUE"""),"f8287724")</f>
        <v>f8287724</v>
      </c>
      <c r="M875" s="2" t="str">
        <f ca="1">IFERROR(__xludf.DUMMYFUNCTION("""COMPUTED_VALUE"""),"Malbec Magneta")</f>
        <v>Malbec Magneta</v>
      </c>
      <c r="N875" s="2"/>
      <c r="O875" s="2" t="str">
        <f ca="1">IFERROR(__xludf.DUMMYFUNCTION("""COMPUTED_VALUE"""),"Filtrado Tang")</f>
        <v>Filtrado Tang</v>
      </c>
      <c r="P875" s="2"/>
      <c r="Q875" s="2" t="b">
        <f ca="1">IFERROR(__xludf.DUMMYFUNCTION("""COMPUTED_VALUE"""),FALSE)</f>
        <v>0</v>
      </c>
      <c r="R875" s="2" t="str">
        <f ca="1">IFERROR(__xludf.DUMMYFUNCTION("""COMPUTED_VALUE"""),"Terminado")</f>
        <v>Terminado</v>
      </c>
      <c r="S875" s="2"/>
      <c r="T875" s="2"/>
      <c r="U875" s="2"/>
    </row>
    <row r="876" spans="1:21" x14ac:dyDescent="0.25">
      <c r="A876" s="2" t="str">
        <f ca="1">IFERROR(__xludf.DUMMYFUNCTION("""COMPUTED_VALUE"""),"f2e82a3f")</f>
        <v>f2e82a3f</v>
      </c>
      <c r="B876" s="5">
        <f ca="1">IFERROR(__xludf.DUMMYFUNCTION("""COMPUTED_VALUE"""),45860.7386342592)</f>
        <v>45860.7386342592</v>
      </c>
      <c r="C876" s="2" t="str">
        <f ca="1">IFERROR(__xludf.DUMMYFUNCTION("""COMPUTED_VALUE"""),"ea27bb38")</f>
        <v>ea27bb38</v>
      </c>
      <c r="D876" s="2">
        <f ca="1">IFERROR(__xludf.DUMMYFUNCTION("""COMPUTED_VALUE"""),118)</f>
        <v>118</v>
      </c>
      <c r="E876" s="2" t="str">
        <f ca="1">IFERROR(__xludf.DUMMYFUNCTION("""COMPUTED_VALUE"""),"Cabernet Sauvignon")</f>
        <v>Cabernet Sauvignon</v>
      </c>
      <c r="F876" s="2">
        <f ca="1">IFERROR(__xludf.DUMMYFUNCTION("""COMPUTED_VALUE"""),22000)</f>
        <v>22000</v>
      </c>
      <c r="G876" s="2">
        <f ca="1">IFERROR(__xludf.DUMMYFUNCTION("""COMPUTED_VALUE"""),114)</f>
        <v>114</v>
      </c>
      <c r="H876" s="2"/>
      <c r="I876" s="2"/>
      <c r="J876" s="2">
        <f ca="1">IFERROR(__xludf.DUMMYFUNCTION("""COMPUTED_VALUE"""),0)</f>
        <v>0</v>
      </c>
      <c r="K876" s="2">
        <f ca="1">IFERROR(__xludf.DUMMYFUNCTION("""COMPUTED_VALUE"""),22000)</f>
        <v>22000</v>
      </c>
      <c r="L876" s="2" t="str">
        <f ca="1">IFERROR(__xludf.DUMMYFUNCTION("""COMPUTED_VALUE"""),"32a3c024")</f>
        <v>32a3c024</v>
      </c>
      <c r="M876" s="2" t="str">
        <f ca="1">IFERROR(__xludf.DUMMYFUNCTION("""COMPUTED_VALUE"""),"Cabernet Sauvignon")</f>
        <v>Cabernet Sauvignon</v>
      </c>
      <c r="N876" s="2"/>
      <c r="O876" s="2" t="str">
        <f ca="1">IFERROR(__xludf.DUMMYFUNCTION("""COMPUTED_VALUE"""),"2do Trasiego")</f>
        <v>2do Trasiego</v>
      </c>
      <c r="P876" s="2"/>
      <c r="Q876" s="2" t="b">
        <f ca="1">IFERROR(__xludf.DUMMYFUNCTION("""COMPUTED_VALUE"""),FALSE)</f>
        <v>0</v>
      </c>
      <c r="R876" s="2" t="str">
        <f ca="1">IFERROR(__xludf.DUMMYFUNCTION("""COMPUTED_VALUE"""),"Filtrado Tang")</f>
        <v>Filtrado Tang</v>
      </c>
      <c r="S876" s="2"/>
      <c r="T876" s="2"/>
      <c r="U876" s="2" t="str">
        <f ca="1">IFERROR(__xludf.DUMMYFUNCTION("""COMPUTED_VALUE"""),"1")</f>
        <v>1</v>
      </c>
    </row>
    <row r="877" spans="1:21" x14ac:dyDescent="0.25">
      <c r="A877" s="2" t="str">
        <f ca="1">IFERROR(__xludf.DUMMYFUNCTION("""COMPUTED_VALUE"""),"43369527")</f>
        <v>43369527</v>
      </c>
      <c r="B877" s="5">
        <f ca="1">IFERROR(__xludf.DUMMYFUNCTION("""COMPUTED_VALUE"""),45861.7149884259)</f>
        <v>45861.714988425898</v>
      </c>
      <c r="C877" s="2" t="str">
        <f ca="1">IFERROR(__xludf.DUMMYFUNCTION("""COMPUTED_VALUE"""),"ea27bb38")</f>
        <v>ea27bb38</v>
      </c>
      <c r="D877" s="2">
        <f ca="1">IFERROR(__xludf.DUMMYFUNCTION("""COMPUTED_VALUE"""),118)</f>
        <v>118</v>
      </c>
      <c r="E877" s="2" t="str">
        <f ca="1">IFERROR(__xludf.DUMMYFUNCTION("""COMPUTED_VALUE"""),"Cabernet Sauvignon")</f>
        <v>Cabernet Sauvignon</v>
      </c>
      <c r="F877" s="2">
        <f ca="1">IFERROR(__xludf.DUMMYFUNCTION("""COMPUTED_VALUE"""),37000)</f>
        <v>37000</v>
      </c>
      <c r="G877" s="2">
        <f ca="1">IFERROR(__xludf.DUMMYFUNCTION("""COMPUTED_VALUE"""),114)</f>
        <v>114</v>
      </c>
      <c r="H877" s="2" t="str">
        <f ca="1">IFERROR(__xludf.DUMMYFUNCTION("""COMPUTED_VALUE"""),"32a3c024")</f>
        <v>32a3c024</v>
      </c>
      <c r="I877" s="2" t="str">
        <f ca="1">IFERROR(__xludf.DUMMYFUNCTION("""COMPUTED_VALUE"""),"Cabernet Sauvignon")</f>
        <v>Cabernet Sauvignon</v>
      </c>
      <c r="J877" s="2">
        <f ca="1">IFERROR(__xludf.DUMMYFUNCTION("""COMPUTED_VALUE"""),22000)</f>
        <v>22000</v>
      </c>
      <c r="K877" s="2">
        <f ca="1">IFERROR(__xludf.DUMMYFUNCTION("""COMPUTED_VALUE"""),59000)</f>
        <v>59000</v>
      </c>
      <c r="L877" s="2" t="str">
        <f ca="1">IFERROR(__xludf.DUMMYFUNCTION("""COMPUTED_VALUE"""),"7906df75")</f>
        <v>7906df75</v>
      </c>
      <c r="M877" s="2" t="str">
        <f ca="1">IFERROR(__xludf.DUMMYFUNCTION("""COMPUTED_VALUE"""),"Cabernet Sauvignon")</f>
        <v>Cabernet Sauvignon</v>
      </c>
      <c r="N877" s="2"/>
      <c r="O877" s="2" t="str">
        <f ca="1">IFERROR(__xludf.DUMMYFUNCTION("""COMPUTED_VALUE"""),"2do Trasiego")</f>
        <v>2do Trasiego</v>
      </c>
      <c r="P877" s="2" t="str">
        <f ca="1">IFERROR(__xludf.DUMMYFUNCTION("""COMPUTED_VALUE"""),"Filtrado Tang")</f>
        <v>Filtrado Tang</v>
      </c>
      <c r="Q877" s="2" t="b">
        <f ca="1">IFERROR(__xludf.DUMMYFUNCTION("""COMPUTED_VALUE"""),TRUE)</f>
        <v>1</v>
      </c>
      <c r="R877" s="2" t="str">
        <f ca="1">IFERROR(__xludf.DUMMYFUNCTION("""COMPUTED_VALUE"""),"Filtrado Tang")</f>
        <v>Filtrado Tang</v>
      </c>
      <c r="S877" s="2"/>
      <c r="T877" s="2"/>
      <c r="U877" s="2" t="str">
        <f ca="1">IFERROR(__xludf.DUMMYFUNCTION("""COMPUTED_VALUE"""),"1")</f>
        <v>1</v>
      </c>
    </row>
    <row r="878" spans="1:21" x14ac:dyDescent="0.25">
      <c r="A878" s="2" t="str">
        <f ca="1">IFERROR(__xludf.DUMMYFUNCTION("""COMPUTED_VALUE"""),"d8288d77")</f>
        <v>d8288d77</v>
      </c>
      <c r="B878" s="5">
        <f ca="1">IFERROR(__xludf.DUMMYFUNCTION("""COMPUTED_VALUE"""),45862.7150925925)</f>
        <v>45862.715092592502</v>
      </c>
      <c r="C878" s="2" t="str">
        <f ca="1">IFERROR(__xludf.DUMMYFUNCTION("""COMPUTED_VALUE"""),"ea27bb38")</f>
        <v>ea27bb38</v>
      </c>
      <c r="D878" s="2">
        <f ca="1">IFERROR(__xludf.DUMMYFUNCTION("""COMPUTED_VALUE"""),118)</f>
        <v>118</v>
      </c>
      <c r="E878" s="2" t="str">
        <f ca="1">IFERROR(__xludf.DUMMYFUNCTION("""COMPUTED_VALUE"""),"Cabernet Sauvignon")</f>
        <v>Cabernet Sauvignon</v>
      </c>
      <c r="F878" s="2">
        <f ca="1">IFERROR(__xludf.DUMMYFUNCTION("""COMPUTED_VALUE"""),22000)</f>
        <v>22000</v>
      </c>
      <c r="G878" s="2">
        <f ca="1">IFERROR(__xludf.DUMMYFUNCTION("""COMPUTED_VALUE"""),114)</f>
        <v>114</v>
      </c>
      <c r="H878" s="2" t="str">
        <f ca="1">IFERROR(__xludf.DUMMYFUNCTION("""COMPUTED_VALUE"""),"7906df75")</f>
        <v>7906df75</v>
      </c>
      <c r="I878" s="2" t="str">
        <f ca="1">IFERROR(__xludf.DUMMYFUNCTION("""COMPUTED_VALUE"""),"Cabernet Sauvignon")</f>
        <v>Cabernet Sauvignon</v>
      </c>
      <c r="J878" s="2">
        <f ca="1">IFERROR(__xludf.DUMMYFUNCTION("""COMPUTED_VALUE"""),59000)</f>
        <v>59000</v>
      </c>
      <c r="K878" s="2">
        <f ca="1">IFERROR(__xludf.DUMMYFUNCTION("""COMPUTED_VALUE"""),81000)</f>
        <v>81000</v>
      </c>
      <c r="L878" s="2" t="str">
        <f ca="1">IFERROR(__xludf.DUMMYFUNCTION("""COMPUTED_VALUE"""),"dd40b3a0")</f>
        <v>dd40b3a0</v>
      </c>
      <c r="M878" s="2" t="str">
        <f ca="1">IFERROR(__xludf.DUMMYFUNCTION("""COMPUTED_VALUE"""),"Cabernet Sauvignon")</f>
        <v>Cabernet Sauvignon</v>
      </c>
      <c r="N878" s="2"/>
      <c r="O878" s="2" t="str">
        <f ca="1">IFERROR(__xludf.DUMMYFUNCTION("""COMPUTED_VALUE"""),"2do Trasiego")</f>
        <v>2do Trasiego</v>
      </c>
      <c r="P878" s="2" t="str">
        <f ca="1">IFERROR(__xludf.DUMMYFUNCTION("""COMPUTED_VALUE"""),"Filtrado Tang")</f>
        <v>Filtrado Tang</v>
      </c>
      <c r="Q878" s="2" t="b">
        <f ca="1">IFERROR(__xludf.DUMMYFUNCTION("""COMPUTED_VALUE"""),TRUE)</f>
        <v>1</v>
      </c>
      <c r="R878" s="2" t="str">
        <f ca="1">IFERROR(__xludf.DUMMYFUNCTION("""COMPUTED_VALUE"""),"Filtrado Tang")</f>
        <v>Filtrado Tang</v>
      </c>
      <c r="S878" s="2"/>
      <c r="T878" s="2"/>
      <c r="U878" s="2" t="str">
        <f ca="1">IFERROR(__xludf.DUMMYFUNCTION("""COMPUTED_VALUE"""),"1")</f>
        <v>1</v>
      </c>
    </row>
    <row r="879" spans="1:21" x14ac:dyDescent="0.25">
      <c r="A879" s="2" t="str">
        <f ca="1">IFERROR(__xludf.DUMMYFUNCTION("""COMPUTED_VALUE"""),"aa74815a")</f>
        <v>aa74815a</v>
      </c>
      <c r="B879" s="5">
        <f ca="1">IFERROR(__xludf.DUMMYFUNCTION("""COMPUTED_VALUE"""),45862.7161689814)</f>
        <v>45862.716168981402</v>
      </c>
      <c r="C879" s="2" t="str">
        <f ca="1">IFERROR(__xludf.DUMMYFUNCTION("""COMPUTED_VALUE"""),"eec28962")</f>
        <v>eec28962</v>
      </c>
      <c r="D879" s="2">
        <f ca="1">IFERROR(__xludf.DUMMYFUNCTION("""COMPUTED_VALUE"""),30)</f>
        <v>30</v>
      </c>
      <c r="E879" s="2" t="str">
        <f ca="1">IFERROR(__xludf.DUMMYFUNCTION("""COMPUTED_VALUE"""),"Aspirant 24")</f>
        <v>Aspirant 24</v>
      </c>
      <c r="F879" s="2">
        <f ca="1">IFERROR(__xludf.DUMMYFUNCTION("""COMPUTED_VALUE"""),19000)</f>
        <v>19000</v>
      </c>
      <c r="G879" s="2">
        <f ca="1">IFERROR(__xludf.DUMMYFUNCTION("""COMPUTED_VALUE"""),114)</f>
        <v>114</v>
      </c>
      <c r="H879" s="2" t="str">
        <f ca="1">IFERROR(__xludf.DUMMYFUNCTION("""COMPUTED_VALUE"""),"dd40b3a0")</f>
        <v>dd40b3a0</v>
      </c>
      <c r="I879" s="2" t="str">
        <f ca="1">IFERROR(__xludf.DUMMYFUNCTION("""COMPUTED_VALUE"""),"Cabernet Sauvignon")</f>
        <v>Cabernet Sauvignon</v>
      </c>
      <c r="J879" s="2">
        <f ca="1">IFERROR(__xludf.DUMMYFUNCTION("""COMPUTED_VALUE"""),81000)</f>
        <v>81000</v>
      </c>
      <c r="K879" s="2">
        <f ca="1">IFERROR(__xludf.DUMMYFUNCTION("""COMPUTED_VALUE"""),100000)</f>
        <v>100000</v>
      </c>
      <c r="L879" s="2" t="str">
        <f ca="1">IFERROR(__xludf.DUMMYFUNCTION("""COMPUTED_VALUE"""),"0e2a111b")</f>
        <v>0e2a111b</v>
      </c>
      <c r="M879" s="2" t="str">
        <f ca="1">IFERROR(__xludf.DUMMYFUNCTION("""COMPUTED_VALUE"""),"Cabernet Sauvignon")</f>
        <v>Cabernet Sauvignon</v>
      </c>
      <c r="N879" s="2"/>
      <c r="O879" s="2" t="str">
        <f ca="1">IFERROR(__xludf.DUMMYFUNCTION("""COMPUTED_VALUE"""),"Terminado")</f>
        <v>Terminado</v>
      </c>
      <c r="P879" s="2" t="str">
        <f ca="1">IFERROR(__xludf.DUMMYFUNCTION("""COMPUTED_VALUE"""),"Filtrado Tang")</f>
        <v>Filtrado Tang</v>
      </c>
      <c r="Q879" s="2" t="b">
        <f ca="1">IFERROR(__xludf.DUMMYFUNCTION("""COMPUTED_VALUE"""),TRUE)</f>
        <v>1</v>
      </c>
      <c r="R879" s="2" t="str">
        <f ca="1">IFERROR(__xludf.DUMMYFUNCTION("""COMPUTED_VALUE"""),"Filtrado Tang")</f>
        <v>Filtrado Tang</v>
      </c>
      <c r="S879" s="2"/>
      <c r="T879" s="2"/>
      <c r="U879" s="2" t="str">
        <f ca="1">IFERROR(__xludf.DUMMYFUNCTION("""COMPUTED_VALUE"""),"1")</f>
        <v>1</v>
      </c>
    </row>
    <row r="880" spans="1:21" x14ac:dyDescent="0.25">
      <c r="A880" s="2" t="str">
        <f ca="1">IFERROR(__xludf.DUMMYFUNCTION("""COMPUTED_VALUE"""),"96ec64d7")</f>
        <v>96ec64d7</v>
      </c>
      <c r="B880" s="5">
        <f ca="1">IFERROR(__xludf.DUMMYFUNCTION("""COMPUTED_VALUE"""),45866.6634722222)</f>
        <v>45866.663472222201</v>
      </c>
      <c r="C880" s="2" t="str">
        <f ca="1">IFERROR(__xludf.DUMMYFUNCTION("""COMPUTED_VALUE"""),"ea27bb38")</f>
        <v>ea27bb38</v>
      </c>
      <c r="D880" s="2">
        <f ca="1">IFERROR(__xludf.DUMMYFUNCTION("""COMPUTED_VALUE"""),118)</f>
        <v>118</v>
      </c>
      <c r="E880" s="2" t="str">
        <f ca="1">IFERROR(__xludf.DUMMYFUNCTION("""COMPUTED_VALUE"""),"Cabernet Sauvignon")</f>
        <v>Cabernet Sauvignon</v>
      </c>
      <c r="F880" s="2">
        <f ca="1">IFERROR(__xludf.DUMMYFUNCTION("""COMPUTED_VALUE"""),25300)</f>
        <v>25300</v>
      </c>
      <c r="G880" s="2">
        <f ca="1">IFERROR(__xludf.DUMMYFUNCTION("""COMPUTED_VALUE"""),114)</f>
        <v>114</v>
      </c>
      <c r="H880" s="2" t="str">
        <f ca="1">IFERROR(__xludf.DUMMYFUNCTION("""COMPUTED_VALUE"""),"0e2a111b")</f>
        <v>0e2a111b</v>
      </c>
      <c r="I880" s="2" t="str">
        <f ca="1">IFERROR(__xludf.DUMMYFUNCTION("""COMPUTED_VALUE"""),"Cabernet Sauvignon")</f>
        <v>Cabernet Sauvignon</v>
      </c>
      <c r="J880" s="2">
        <f ca="1">IFERROR(__xludf.DUMMYFUNCTION("""COMPUTED_VALUE"""),100000)</f>
        <v>100000</v>
      </c>
      <c r="K880" s="2">
        <f ca="1">IFERROR(__xludf.DUMMYFUNCTION("""COMPUTED_VALUE"""),125300)</f>
        <v>125300</v>
      </c>
      <c r="L880" s="2" t="str">
        <f ca="1">IFERROR(__xludf.DUMMYFUNCTION("""COMPUTED_VALUE"""),"2f7b2de3")</f>
        <v>2f7b2de3</v>
      </c>
      <c r="M880" s="2" t="str">
        <f ca="1">IFERROR(__xludf.DUMMYFUNCTION("""COMPUTED_VALUE"""),"Cabernet Sauvignon")</f>
        <v>Cabernet Sauvignon</v>
      </c>
      <c r="N880" s="2"/>
      <c r="O880" s="2" t="str">
        <f ca="1">IFERROR(__xludf.DUMMYFUNCTION("""COMPUTED_VALUE"""),"2do Trasiego")</f>
        <v>2do Trasiego</v>
      </c>
      <c r="P880" s="2" t="str">
        <f ca="1">IFERROR(__xludf.DUMMYFUNCTION("""COMPUTED_VALUE"""),"Filtrado Tang")</f>
        <v>Filtrado Tang</v>
      </c>
      <c r="Q880" s="2" t="b">
        <f ca="1">IFERROR(__xludf.DUMMYFUNCTION("""COMPUTED_VALUE"""),TRUE)</f>
        <v>1</v>
      </c>
      <c r="R880" s="2" t="str">
        <f ca="1">IFERROR(__xludf.DUMMYFUNCTION("""COMPUTED_VALUE"""),"Filtrado Tang")</f>
        <v>Filtrado Tang</v>
      </c>
      <c r="S880" s="2"/>
      <c r="T880" s="2"/>
      <c r="U880" s="2" t="str">
        <f ca="1">IFERROR(__xludf.DUMMYFUNCTION("""COMPUTED_VALUE"""),"1")</f>
        <v>1</v>
      </c>
    </row>
    <row r="881" spans="1:21" x14ac:dyDescent="0.25">
      <c r="A881" s="2" t="str">
        <f ca="1">IFERROR(__xludf.DUMMYFUNCTION("""COMPUTED_VALUE"""),"c62e1db0")</f>
        <v>c62e1db0</v>
      </c>
      <c r="B881" s="5">
        <f ca="1">IFERROR(__xludf.DUMMYFUNCTION("""COMPUTED_VALUE"""),45867.5337731481)</f>
        <v>45867.533773148098</v>
      </c>
      <c r="C881" s="2" t="str">
        <f ca="1">IFERROR(__xludf.DUMMYFUNCTION("""COMPUTED_VALUE"""),"ea27bb38")</f>
        <v>ea27bb38</v>
      </c>
      <c r="D881" s="2">
        <f ca="1">IFERROR(__xludf.DUMMYFUNCTION("""COMPUTED_VALUE"""),118)</f>
        <v>118</v>
      </c>
      <c r="E881" s="2" t="str">
        <f ca="1">IFERROR(__xludf.DUMMYFUNCTION("""COMPUTED_VALUE"""),"Cabernet Sauvignon")</f>
        <v>Cabernet Sauvignon</v>
      </c>
      <c r="F881" s="2">
        <f ca="1">IFERROR(__xludf.DUMMYFUNCTION("""COMPUTED_VALUE"""),30000)</f>
        <v>30000</v>
      </c>
      <c r="G881" s="2">
        <f ca="1">IFERROR(__xludf.DUMMYFUNCTION("""COMPUTED_VALUE"""),65)</f>
        <v>65</v>
      </c>
      <c r="H881" s="2"/>
      <c r="I881" s="2"/>
      <c r="J881" s="2">
        <f ca="1">IFERROR(__xludf.DUMMYFUNCTION("""COMPUTED_VALUE"""),0)</f>
        <v>0</v>
      </c>
      <c r="K881" s="2">
        <f ca="1">IFERROR(__xludf.DUMMYFUNCTION("""COMPUTED_VALUE"""),30000)</f>
        <v>30000</v>
      </c>
      <c r="L881" s="2" t="str">
        <f ca="1">IFERROR(__xludf.DUMMYFUNCTION("""COMPUTED_VALUE"""),"c25a65f8")</f>
        <v>c25a65f8</v>
      </c>
      <c r="M881" s="2" t="str">
        <f ca="1">IFERROR(__xludf.DUMMYFUNCTION("""COMPUTED_VALUE"""),"Cabernet Sauvignon")</f>
        <v>Cabernet Sauvignon</v>
      </c>
      <c r="N881" s="2"/>
      <c r="O881" s="2" t="str">
        <f ca="1">IFERROR(__xludf.DUMMYFUNCTION("""COMPUTED_VALUE"""),"2do Trasiego")</f>
        <v>2do Trasiego</v>
      </c>
      <c r="P881" s="2"/>
      <c r="Q881" s="2" t="b">
        <f ca="1">IFERROR(__xludf.DUMMYFUNCTION("""COMPUTED_VALUE"""),FALSE)</f>
        <v>0</v>
      </c>
      <c r="R881" s="2" t="str">
        <f ca="1">IFERROR(__xludf.DUMMYFUNCTION("""COMPUTED_VALUE"""),"Filtrado Tang")</f>
        <v>Filtrado Tang</v>
      </c>
      <c r="S881" s="2"/>
      <c r="T881" s="2"/>
      <c r="U881" s="2" t="str">
        <f ca="1">IFERROR(__xludf.DUMMYFUNCTION("""COMPUTED_VALUE"""),"1")</f>
        <v>1</v>
      </c>
    </row>
    <row r="882" spans="1:21" x14ac:dyDescent="0.25">
      <c r="A882" s="2" t="str">
        <f ca="1">IFERROR(__xludf.DUMMYFUNCTION("""COMPUTED_VALUE"""),"992f6076")</f>
        <v>992f6076</v>
      </c>
      <c r="B882" s="5">
        <f ca="1">IFERROR(__xludf.DUMMYFUNCTION("""COMPUTED_VALUE"""),45867.5343518518)</f>
        <v>45867.534351851798</v>
      </c>
      <c r="C882" s="2" t="str">
        <f ca="1">IFERROR(__xludf.DUMMYFUNCTION("""COMPUTED_VALUE"""),"ea27bb38")</f>
        <v>ea27bb38</v>
      </c>
      <c r="D882" s="2">
        <f ca="1">IFERROR(__xludf.DUMMYFUNCTION("""COMPUTED_VALUE"""),118)</f>
        <v>118</v>
      </c>
      <c r="E882" s="2" t="str">
        <f ca="1">IFERROR(__xludf.DUMMYFUNCTION("""COMPUTED_VALUE"""),"Cabernet Sauvignon")</f>
        <v>Cabernet Sauvignon</v>
      </c>
      <c r="F882" s="2">
        <f ca="1">IFERROR(__xludf.DUMMYFUNCTION("""COMPUTED_VALUE"""),13500)</f>
        <v>13500</v>
      </c>
      <c r="G882" s="2">
        <f ca="1">IFERROR(__xludf.DUMMYFUNCTION("""COMPUTED_VALUE"""),66)</f>
        <v>66</v>
      </c>
      <c r="H882" s="2"/>
      <c r="I882" s="2"/>
      <c r="J882" s="2">
        <f ca="1">IFERROR(__xludf.DUMMYFUNCTION("""COMPUTED_VALUE"""),0)</f>
        <v>0</v>
      </c>
      <c r="K882" s="2">
        <f ca="1">IFERROR(__xludf.DUMMYFUNCTION("""COMPUTED_VALUE"""),13500)</f>
        <v>13500</v>
      </c>
      <c r="L882" s="2" t="str">
        <f ca="1">IFERROR(__xludf.DUMMYFUNCTION("""COMPUTED_VALUE"""),"78e4849f")</f>
        <v>78e4849f</v>
      </c>
      <c r="M882" s="2" t="str">
        <f ca="1">IFERROR(__xludf.DUMMYFUNCTION("""COMPUTED_VALUE"""),"Cabernet Sauvignon")</f>
        <v>Cabernet Sauvignon</v>
      </c>
      <c r="N882" s="2"/>
      <c r="O882" s="2" t="str">
        <f ca="1">IFERROR(__xludf.DUMMYFUNCTION("""COMPUTED_VALUE"""),"2do Trasiego")</f>
        <v>2do Trasiego</v>
      </c>
      <c r="P882" s="2"/>
      <c r="Q882" s="2" t="b">
        <f ca="1">IFERROR(__xludf.DUMMYFUNCTION("""COMPUTED_VALUE"""),FALSE)</f>
        <v>0</v>
      </c>
      <c r="R882" s="2" t="str">
        <f ca="1">IFERROR(__xludf.DUMMYFUNCTION("""COMPUTED_VALUE"""),"Filtrado Tang")</f>
        <v>Filtrado Tang</v>
      </c>
      <c r="S882" s="2"/>
      <c r="T882" s="2"/>
      <c r="U882" s="2" t="str">
        <f ca="1">IFERROR(__xludf.DUMMYFUNCTION("""COMPUTED_VALUE"""),"1")</f>
        <v>1</v>
      </c>
    </row>
    <row r="883" spans="1:21" x14ac:dyDescent="0.25">
      <c r="A883" s="2" t="str">
        <f ca="1">IFERROR(__xludf.DUMMYFUNCTION("""COMPUTED_VALUE"""),"4c444ace")</f>
        <v>4c444ace</v>
      </c>
      <c r="B883" s="5">
        <f ca="1">IFERROR(__xludf.DUMMYFUNCTION("""COMPUTED_VALUE"""),45867.5349652777)</f>
        <v>45867.5349652777</v>
      </c>
      <c r="C883" s="2" t="str">
        <f ca="1">IFERROR(__xludf.DUMMYFUNCTION("""COMPUTED_VALUE"""),"ea27bb38")</f>
        <v>ea27bb38</v>
      </c>
      <c r="D883" s="2">
        <f ca="1">IFERROR(__xludf.DUMMYFUNCTION("""COMPUTED_VALUE"""),118)</f>
        <v>118</v>
      </c>
      <c r="E883" s="2" t="str">
        <f ca="1">IFERROR(__xludf.DUMMYFUNCTION("""COMPUTED_VALUE"""),"Cabernet Sauvignon")</f>
        <v>Cabernet Sauvignon</v>
      </c>
      <c r="F883" s="2">
        <f ca="1">IFERROR(__xludf.DUMMYFUNCTION("""COMPUTED_VALUE"""),1700)</f>
        <v>1700</v>
      </c>
      <c r="G883" s="2">
        <f ca="1">IFERROR(__xludf.DUMMYFUNCTION("""COMPUTED_VALUE"""),51)</f>
        <v>51</v>
      </c>
      <c r="H883" s="2" t="str">
        <f ca="1">IFERROR(__xludf.DUMMYFUNCTION("""COMPUTED_VALUE"""),"c0887c05")</f>
        <v>c0887c05</v>
      </c>
      <c r="I883" s="2" t="str">
        <f ca="1">IFERROR(__xludf.DUMMYFUNCTION("""COMPUTED_VALUE"""),"Claro de Filtro")</f>
        <v>Claro de Filtro</v>
      </c>
      <c r="J883" s="2">
        <f ca="1">IFERROR(__xludf.DUMMYFUNCTION("""COMPUTED_VALUE"""),600)</f>
        <v>600</v>
      </c>
      <c r="K883" s="2">
        <f ca="1">IFERROR(__xludf.DUMMYFUNCTION("""COMPUTED_VALUE"""),2300)</f>
        <v>2300</v>
      </c>
      <c r="L883" s="2" t="str">
        <f ca="1">IFERROR(__xludf.DUMMYFUNCTION("""COMPUTED_VALUE"""),"7b50f0b5")</f>
        <v>7b50f0b5</v>
      </c>
      <c r="M883" s="2" t="str">
        <f ca="1">IFERROR(__xludf.DUMMYFUNCTION("""COMPUTED_VALUE"""),"Claro de Filtro")</f>
        <v>Claro de Filtro</v>
      </c>
      <c r="N883" s="2"/>
      <c r="O883" s="2" t="str">
        <f ca="1">IFERROR(__xludf.DUMMYFUNCTION("""COMPUTED_VALUE"""),"2do Trasiego")</f>
        <v>2do Trasiego</v>
      </c>
      <c r="P883" s="2" t="str">
        <f ca="1">IFERROR(__xludf.DUMMYFUNCTION("""COMPUTED_VALUE"""),"2do Trasiego")</f>
        <v>2do Trasiego</v>
      </c>
      <c r="Q883" s="2" t="b">
        <f ca="1">IFERROR(__xludf.DUMMYFUNCTION("""COMPUTED_VALUE"""),TRUE)</f>
        <v>1</v>
      </c>
      <c r="R883" s="2" t="str">
        <f ca="1">IFERROR(__xludf.DUMMYFUNCTION("""COMPUTED_VALUE"""),"2do Trasiego")</f>
        <v>2do Trasiego</v>
      </c>
      <c r="S883" s="2"/>
      <c r="T883" s="2"/>
      <c r="U883" s="2"/>
    </row>
    <row r="884" spans="1:21" x14ac:dyDescent="0.25">
      <c r="A884" s="2" t="str">
        <f ca="1">IFERROR(__xludf.DUMMYFUNCTION("""COMPUTED_VALUE"""),"71df1fd6")</f>
        <v>71df1fd6</v>
      </c>
      <c r="B884" s="5">
        <f ca="1">IFERROR(__xludf.DUMMYFUNCTION("""COMPUTED_VALUE"""),45867.5363425925)</f>
        <v>45867.536342592502</v>
      </c>
      <c r="C884" s="2" t="str">
        <f ca="1">IFERROR(__xludf.DUMMYFUNCTION("""COMPUTED_VALUE"""),"ea27bb38")</f>
        <v>ea27bb38</v>
      </c>
      <c r="D884" s="2">
        <f ca="1">IFERROR(__xludf.DUMMYFUNCTION("""COMPUTED_VALUE"""),118)</f>
        <v>118</v>
      </c>
      <c r="E884" s="2" t="str">
        <f ca="1">IFERROR(__xludf.DUMMYFUNCTION("""COMPUTED_VALUE"""),"Cabernet Sauvignon")</f>
        <v>Cabernet Sauvignon</v>
      </c>
      <c r="F884" s="2">
        <f ca="1">IFERROR(__xludf.DUMMYFUNCTION("""COMPUTED_VALUE"""),1600)</f>
        <v>1600</v>
      </c>
      <c r="G884" s="2">
        <f ca="1">IFERROR(__xludf.DUMMYFUNCTION("""COMPUTED_VALUE"""),51)</f>
        <v>51</v>
      </c>
      <c r="H884" s="2" t="str">
        <f ca="1">IFERROR(__xludf.DUMMYFUNCTION("""COMPUTED_VALUE"""),"7b50f0b5")</f>
        <v>7b50f0b5</v>
      </c>
      <c r="I884" s="2" t="str">
        <f ca="1">IFERROR(__xludf.DUMMYFUNCTION("""COMPUTED_VALUE"""),"Claro de Filtro")</f>
        <v>Claro de Filtro</v>
      </c>
      <c r="J884" s="2">
        <f ca="1">IFERROR(__xludf.DUMMYFUNCTION("""COMPUTED_VALUE"""),2300)</f>
        <v>2300</v>
      </c>
      <c r="K884" s="2">
        <f ca="1">IFERROR(__xludf.DUMMYFUNCTION("""COMPUTED_VALUE"""),3900)</f>
        <v>3900</v>
      </c>
      <c r="L884" s="2" t="str">
        <f ca="1">IFERROR(__xludf.DUMMYFUNCTION("""COMPUTED_VALUE"""),"8bd3684f")</f>
        <v>8bd3684f</v>
      </c>
      <c r="M884" s="2" t="str">
        <f ca="1">IFERROR(__xludf.DUMMYFUNCTION("""COMPUTED_VALUE"""),"Cabernet Sauvignon")</f>
        <v>Cabernet Sauvignon</v>
      </c>
      <c r="N884" s="2"/>
      <c r="O884" s="2" t="str">
        <f ca="1">IFERROR(__xludf.DUMMYFUNCTION("""COMPUTED_VALUE"""),"2do Trasiego")</f>
        <v>2do Trasiego</v>
      </c>
      <c r="P884" s="2" t="str">
        <f ca="1">IFERROR(__xludf.DUMMYFUNCTION("""COMPUTED_VALUE"""),"2do Trasiego")</f>
        <v>2do Trasiego</v>
      </c>
      <c r="Q884" s="2" t="b">
        <f ca="1">IFERROR(__xludf.DUMMYFUNCTION("""COMPUTED_VALUE"""),FALSE)</f>
        <v>0</v>
      </c>
      <c r="R884" s="2" t="str">
        <f ca="1">IFERROR(__xludf.DUMMYFUNCTION("""COMPUTED_VALUE"""),"2do Trasiego")</f>
        <v>2do Trasiego</v>
      </c>
      <c r="S884" s="2"/>
      <c r="T884" s="2"/>
      <c r="U884" s="2" t="str">
        <f ca="1">IFERROR(__xludf.DUMMYFUNCTION("""COMPUTED_VALUE"""),"1")</f>
        <v>1</v>
      </c>
    </row>
    <row r="885" spans="1:21" x14ac:dyDescent="0.25">
      <c r="A885" s="2" t="str">
        <f ca="1">IFERROR(__xludf.DUMMYFUNCTION("""COMPUTED_VALUE"""),"8f216c0a")</f>
        <v>8f216c0a</v>
      </c>
      <c r="B885" s="5">
        <f ca="1">IFERROR(__xludf.DUMMYFUNCTION("""COMPUTED_VALUE"""),45867.5371296296)</f>
        <v>45867.5371296296</v>
      </c>
      <c r="C885" s="2" t="str">
        <f ca="1">IFERROR(__xludf.DUMMYFUNCTION("""COMPUTED_VALUE"""),"ea27bb38")</f>
        <v>ea27bb38</v>
      </c>
      <c r="D885" s="2">
        <f ca="1">IFERROR(__xludf.DUMMYFUNCTION("""COMPUTED_VALUE"""),118)</f>
        <v>118</v>
      </c>
      <c r="E885" s="2" t="str">
        <f ca="1">IFERROR(__xludf.DUMMYFUNCTION("""COMPUTED_VALUE"""),"Cabernet Sauvignon")</f>
        <v>Cabernet Sauvignon</v>
      </c>
      <c r="F885" s="2">
        <f ca="1">IFERROR(__xludf.DUMMYFUNCTION("""COMPUTED_VALUE"""),2500)</f>
        <v>2500</v>
      </c>
      <c r="G885" s="2">
        <f ca="1">IFERROR(__xludf.DUMMYFUNCTION("""COMPUTED_VALUE"""),500)</f>
        <v>500</v>
      </c>
      <c r="H885" s="2" t="str">
        <f ca="1">IFERROR(__xludf.DUMMYFUNCTION("""COMPUTED_VALUE"""),"f952d789")</f>
        <v>f952d789</v>
      </c>
      <c r="I885" s="2" t="str">
        <f ca="1">IFERROR(__xludf.DUMMYFUNCTION("""COMPUTED_VALUE"""),"Ajuste de filtrado Tang y rellenos 29/7/25")</f>
        <v>Ajuste de filtrado Tang y rellenos 29/7/25</v>
      </c>
      <c r="J885" s="2">
        <f ca="1">IFERROR(__xludf.DUMMYFUNCTION("""COMPUTED_VALUE"""),1)</f>
        <v>1</v>
      </c>
      <c r="K885" s="2">
        <f ca="1">IFERROR(__xludf.DUMMYFUNCTION("""COMPUTED_VALUE"""),2501)</f>
        <v>2501</v>
      </c>
      <c r="L885" s="2" t="str">
        <f ca="1">IFERROR(__xludf.DUMMYFUNCTION("""COMPUTED_VALUE"""),"e4144c4c")</f>
        <v>e4144c4c</v>
      </c>
      <c r="M885" s="2" t="str">
        <f ca="1">IFERROR(__xludf.DUMMYFUNCTION("""COMPUTED_VALUE"""),"Ajuste de filtrado Tang y rellenos 29/7/25")</f>
        <v>Ajuste de filtrado Tang y rellenos 29/7/25</v>
      </c>
      <c r="N885" s="2"/>
      <c r="O885" s="2" t="str">
        <f ca="1">IFERROR(__xludf.DUMMYFUNCTION("""COMPUTED_VALUE"""),"2do Trasiego")</f>
        <v>2do Trasiego</v>
      </c>
      <c r="P885" s="2"/>
      <c r="Q885" s="2" t="b">
        <f ca="1">IFERROR(__xludf.DUMMYFUNCTION("""COMPUTED_VALUE"""),TRUE)</f>
        <v>1</v>
      </c>
      <c r="R885" s="2" t="str">
        <f ca="1">IFERROR(__xludf.DUMMYFUNCTION("""COMPUTED_VALUE"""),"Terminado")</f>
        <v>Terminado</v>
      </c>
      <c r="S885" s="2"/>
      <c r="T885" s="2"/>
      <c r="U885" s="2"/>
    </row>
    <row r="886" spans="1:21" x14ac:dyDescent="0.25">
      <c r="A886" s="2" t="str">
        <f ca="1">IFERROR(__xludf.DUMMYFUNCTION("""COMPUTED_VALUE"""),"351d6caa")</f>
        <v>351d6caa</v>
      </c>
      <c r="B886" s="5">
        <f ca="1">IFERROR(__xludf.DUMMYFUNCTION("""COMPUTED_VALUE"""),45868.6767824074)</f>
        <v>45868.676782407398</v>
      </c>
      <c r="C886" s="2" t="str">
        <f ca="1">IFERROR(__xludf.DUMMYFUNCTION("""COMPUTED_VALUE"""),"eec28962")</f>
        <v>eec28962</v>
      </c>
      <c r="D886" s="2">
        <f ca="1">IFERROR(__xludf.DUMMYFUNCTION("""COMPUTED_VALUE"""),30)</f>
        <v>30</v>
      </c>
      <c r="E886" s="2" t="str">
        <f ca="1">IFERROR(__xludf.DUMMYFUNCTION("""COMPUTED_VALUE"""),"Aspirant 24")</f>
        <v>Aspirant 24</v>
      </c>
      <c r="F886" s="2">
        <f ca="1">IFERROR(__xludf.DUMMYFUNCTION("""COMPUTED_VALUE"""),5500)</f>
        <v>5500</v>
      </c>
      <c r="G886" s="2">
        <f ca="1">IFERROR(__xludf.DUMMYFUNCTION("""COMPUTED_VALUE"""),65)</f>
        <v>65</v>
      </c>
      <c r="H886" s="2" t="str">
        <f ca="1">IFERROR(__xludf.DUMMYFUNCTION("""COMPUTED_VALUE"""),"c25a65f8")</f>
        <v>c25a65f8</v>
      </c>
      <c r="I886" s="2" t="str">
        <f ca="1">IFERROR(__xludf.DUMMYFUNCTION("""COMPUTED_VALUE"""),"Cabernet Sauvignon")</f>
        <v>Cabernet Sauvignon</v>
      </c>
      <c r="J886" s="2">
        <f ca="1">IFERROR(__xludf.DUMMYFUNCTION("""COMPUTED_VALUE"""),30000)</f>
        <v>30000</v>
      </c>
      <c r="K886" s="2">
        <f ca="1">IFERROR(__xludf.DUMMYFUNCTION("""COMPUTED_VALUE"""),35500)</f>
        <v>35500</v>
      </c>
      <c r="L886" s="2" t="str">
        <f ca="1">IFERROR(__xludf.DUMMYFUNCTION("""COMPUTED_VALUE"""),"4d3f24b6")</f>
        <v>4d3f24b6</v>
      </c>
      <c r="M886" s="2" t="str">
        <f ca="1">IFERROR(__xludf.DUMMYFUNCTION("""COMPUTED_VALUE"""),"Cabernet Sauvignon")</f>
        <v>Cabernet Sauvignon</v>
      </c>
      <c r="N886" s="2"/>
      <c r="O886" s="2" t="str">
        <f ca="1">IFERROR(__xludf.DUMMYFUNCTION("""COMPUTED_VALUE"""),"Terminado")</f>
        <v>Terminado</v>
      </c>
      <c r="P886" s="2" t="str">
        <f ca="1">IFERROR(__xludf.DUMMYFUNCTION("""COMPUTED_VALUE"""),"Filtrado Tang")</f>
        <v>Filtrado Tang</v>
      </c>
      <c r="Q886" s="2" t="b">
        <f ca="1">IFERROR(__xludf.DUMMYFUNCTION("""COMPUTED_VALUE"""),TRUE)</f>
        <v>1</v>
      </c>
      <c r="R886" s="2" t="str">
        <f ca="1">IFERROR(__xludf.DUMMYFUNCTION("""COMPUTED_VALUE"""),"Filtrado Tang")</f>
        <v>Filtrado Tang</v>
      </c>
      <c r="S886" s="2"/>
      <c r="T886" s="2"/>
      <c r="U886" s="2" t="str">
        <f ca="1">IFERROR(__xludf.DUMMYFUNCTION("""COMPUTED_VALUE"""),"1")</f>
        <v>1</v>
      </c>
    </row>
    <row r="887" spans="1:21" x14ac:dyDescent="0.25">
      <c r="A887" s="2" t="str">
        <f ca="1">IFERROR(__xludf.DUMMYFUNCTION("""COMPUTED_VALUE"""),"7d045e98")</f>
        <v>7d045e98</v>
      </c>
      <c r="B887" s="5">
        <f ca="1">IFERROR(__xludf.DUMMYFUNCTION("""COMPUTED_VALUE"""),45868.6771412037)</f>
        <v>45868.677141203698</v>
      </c>
      <c r="C887" s="2" t="str">
        <f ca="1">IFERROR(__xludf.DUMMYFUNCTION("""COMPUTED_VALUE"""),"eec28962")</f>
        <v>eec28962</v>
      </c>
      <c r="D887" s="2">
        <f ca="1">IFERROR(__xludf.DUMMYFUNCTION("""COMPUTED_VALUE"""),30)</f>
        <v>30</v>
      </c>
      <c r="E887" s="2" t="str">
        <f ca="1">IFERROR(__xludf.DUMMYFUNCTION("""COMPUTED_VALUE"""),"Aspirant 24")</f>
        <v>Aspirant 24</v>
      </c>
      <c r="F887" s="2">
        <f ca="1">IFERROR(__xludf.DUMMYFUNCTION("""COMPUTED_VALUE"""),3400)</f>
        <v>3400</v>
      </c>
      <c r="G887" s="2">
        <f ca="1">IFERROR(__xludf.DUMMYFUNCTION("""COMPUTED_VALUE"""),66)</f>
        <v>66</v>
      </c>
      <c r="H887" s="2" t="str">
        <f ca="1">IFERROR(__xludf.DUMMYFUNCTION("""COMPUTED_VALUE"""),"78e4849f")</f>
        <v>78e4849f</v>
      </c>
      <c r="I887" s="2" t="str">
        <f ca="1">IFERROR(__xludf.DUMMYFUNCTION("""COMPUTED_VALUE"""),"Cabernet Sauvignon")</f>
        <v>Cabernet Sauvignon</v>
      </c>
      <c r="J887" s="2">
        <f ca="1">IFERROR(__xludf.DUMMYFUNCTION("""COMPUTED_VALUE"""),13500)</f>
        <v>13500</v>
      </c>
      <c r="K887" s="2">
        <f ca="1">IFERROR(__xludf.DUMMYFUNCTION("""COMPUTED_VALUE"""),16900)</f>
        <v>16900</v>
      </c>
      <c r="L887" s="2" t="str">
        <f ca="1">IFERROR(__xludf.DUMMYFUNCTION("""COMPUTED_VALUE"""),"32d80802")</f>
        <v>32d80802</v>
      </c>
      <c r="M887" s="2" t="str">
        <f ca="1">IFERROR(__xludf.DUMMYFUNCTION("""COMPUTED_VALUE"""),"Cabernet Sauvignon")</f>
        <v>Cabernet Sauvignon</v>
      </c>
      <c r="N887" s="2"/>
      <c r="O887" s="2" t="str">
        <f ca="1">IFERROR(__xludf.DUMMYFUNCTION("""COMPUTED_VALUE"""),"Terminado")</f>
        <v>Terminado</v>
      </c>
      <c r="P887" s="2" t="str">
        <f ca="1">IFERROR(__xludf.DUMMYFUNCTION("""COMPUTED_VALUE"""),"Filtrado Tang")</f>
        <v>Filtrado Tang</v>
      </c>
      <c r="Q887" s="2" t="b">
        <f ca="1">IFERROR(__xludf.DUMMYFUNCTION("""COMPUTED_VALUE"""),TRUE)</f>
        <v>1</v>
      </c>
      <c r="R887" s="2" t="str">
        <f ca="1">IFERROR(__xludf.DUMMYFUNCTION("""COMPUTED_VALUE"""),"Filtrado Tang")</f>
        <v>Filtrado Tang</v>
      </c>
      <c r="S887" s="2"/>
      <c r="T887" s="2"/>
      <c r="U887" s="2" t="str">
        <f ca="1">IFERROR(__xludf.DUMMYFUNCTION("""COMPUTED_VALUE"""),"1")</f>
        <v>1</v>
      </c>
    </row>
    <row r="888" spans="1:21" x14ac:dyDescent="0.25">
      <c r="A888" s="2" t="str">
        <f ca="1">IFERROR(__xludf.DUMMYFUNCTION("""COMPUTED_VALUE"""),"2987c754")</f>
        <v>2987c754</v>
      </c>
      <c r="B888" s="5">
        <f ca="1">IFERROR(__xludf.DUMMYFUNCTION("""COMPUTED_VALUE"""),45868.678136574)</f>
        <v>45868.678136574003</v>
      </c>
      <c r="C888" s="2" t="str">
        <f ca="1">IFERROR(__xludf.DUMMYFUNCTION("""COMPUTED_VALUE"""),"eec28962")</f>
        <v>eec28962</v>
      </c>
      <c r="D888" s="2">
        <f ca="1">IFERROR(__xludf.DUMMYFUNCTION("""COMPUTED_VALUE"""),30)</f>
        <v>30</v>
      </c>
      <c r="E888" s="2" t="str">
        <f ca="1">IFERROR(__xludf.DUMMYFUNCTION("""COMPUTED_VALUE"""),"Aspirant 24")</f>
        <v>Aspirant 24</v>
      </c>
      <c r="F888" s="2">
        <f ca="1">IFERROR(__xludf.DUMMYFUNCTION("""COMPUTED_VALUE"""),10900)</f>
        <v>10900</v>
      </c>
      <c r="G888" s="2">
        <f ca="1">IFERROR(__xludf.DUMMYFUNCTION("""COMPUTED_VALUE"""),69)</f>
        <v>69</v>
      </c>
      <c r="H888" s="2"/>
      <c r="I888" s="2"/>
      <c r="J888" s="2">
        <f ca="1">IFERROR(__xludf.DUMMYFUNCTION("""COMPUTED_VALUE"""),0)</f>
        <v>0</v>
      </c>
      <c r="K888" s="2">
        <f ca="1">IFERROR(__xludf.DUMMYFUNCTION("""COMPUTED_VALUE"""),10900)</f>
        <v>10900</v>
      </c>
      <c r="L888" s="2" t="str">
        <f ca="1">IFERROR(__xludf.DUMMYFUNCTION("""COMPUTED_VALUE"""),"ffb1e0f0")</f>
        <v>ffb1e0f0</v>
      </c>
      <c r="M888" s="2" t="str">
        <f ca="1">IFERROR(__xludf.DUMMYFUNCTION("""COMPUTED_VALUE"""),"Aspirant 24")</f>
        <v>Aspirant 24</v>
      </c>
      <c r="N888" s="2"/>
      <c r="O888" s="2" t="str">
        <f ca="1">IFERROR(__xludf.DUMMYFUNCTION("""COMPUTED_VALUE"""),"Terminado")</f>
        <v>Terminado</v>
      </c>
      <c r="P888" s="2"/>
      <c r="Q888" s="2" t="b">
        <f ca="1">IFERROR(__xludf.DUMMYFUNCTION("""COMPUTED_VALUE"""),FALSE)</f>
        <v>0</v>
      </c>
      <c r="R888" s="2" t="str">
        <f ca="1">IFERROR(__xludf.DUMMYFUNCTION("""COMPUTED_VALUE"""),"Filtrado Tang")</f>
        <v>Filtrado Tang</v>
      </c>
      <c r="S888" s="2"/>
      <c r="T888" s="2"/>
      <c r="U888" s="2"/>
    </row>
    <row r="889" spans="1:21" x14ac:dyDescent="0.25">
      <c r="A889" s="2" t="str">
        <f ca="1">IFERROR(__xludf.DUMMYFUNCTION("""COMPUTED_VALUE"""),"034ddd11")</f>
        <v>034ddd11</v>
      </c>
      <c r="B889" s="5">
        <f ca="1">IFERROR(__xludf.DUMMYFUNCTION("""COMPUTED_VALUE"""),45869.7465162037)</f>
        <v>45869.746516203697</v>
      </c>
      <c r="C889" s="2" t="str">
        <f ca="1">IFERROR(__xludf.DUMMYFUNCTION("""COMPUTED_VALUE"""),"1031b227")</f>
        <v>1031b227</v>
      </c>
      <c r="D889" s="2">
        <f ca="1">IFERROR(__xludf.DUMMYFUNCTION("""COMPUTED_VALUE"""),83)</f>
        <v>83</v>
      </c>
      <c r="E889" s="2" t="str">
        <f ca="1">IFERROR(__xludf.DUMMYFUNCTION("""COMPUTED_VALUE"""),"Malbec")</f>
        <v>Malbec</v>
      </c>
      <c r="F889" s="2">
        <f ca="1">IFERROR(__xludf.DUMMYFUNCTION("""COMPUTED_VALUE"""),50000)</f>
        <v>50000</v>
      </c>
      <c r="G889" s="2">
        <f ca="1">IFERROR(__xludf.DUMMYFUNCTION("""COMPUTED_VALUE"""),85)</f>
        <v>85</v>
      </c>
      <c r="H889" s="2"/>
      <c r="I889" s="2"/>
      <c r="J889" s="2">
        <f ca="1">IFERROR(__xludf.DUMMYFUNCTION("""COMPUTED_VALUE"""),0)</f>
        <v>0</v>
      </c>
      <c r="K889" s="2">
        <f ca="1">IFERROR(__xludf.DUMMYFUNCTION("""COMPUTED_VALUE"""),50000)</f>
        <v>50000</v>
      </c>
      <c r="L889" s="2" t="str">
        <f ca="1">IFERROR(__xludf.DUMMYFUNCTION("""COMPUTED_VALUE"""),"9b0ba02e")</f>
        <v>9b0ba02e</v>
      </c>
      <c r="M889" s="2" t="str">
        <f ca="1">IFERROR(__xludf.DUMMYFUNCTION("""COMPUTED_VALUE"""),"Malbec")</f>
        <v>Malbec</v>
      </c>
      <c r="N889" s="2"/>
      <c r="O889" s="2" t="str">
        <f ca="1">IFERROR(__xludf.DUMMYFUNCTION("""COMPUTED_VALUE"""),"2do Trasiego")</f>
        <v>2do Trasiego</v>
      </c>
      <c r="P889" s="2"/>
      <c r="Q889" s="2" t="b">
        <f ca="1">IFERROR(__xludf.DUMMYFUNCTION("""COMPUTED_VALUE"""),FALSE)</f>
        <v>0</v>
      </c>
      <c r="R889" s="2" t="str">
        <f ca="1">IFERROR(__xludf.DUMMYFUNCTION("""COMPUTED_VALUE"""),"Filtrado Tang")</f>
        <v>Filtrado Tang</v>
      </c>
      <c r="S889" s="2"/>
      <c r="T889" s="2"/>
      <c r="U889" s="2" t="str">
        <f ca="1">IFERROR(__xludf.DUMMYFUNCTION("""COMPUTED_VALUE"""),"1-")</f>
        <v>1-</v>
      </c>
    </row>
    <row r="890" spans="1:21" x14ac:dyDescent="0.25">
      <c r="A890" s="2" t="str">
        <f ca="1">IFERROR(__xludf.DUMMYFUNCTION("""COMPUTED_VALUE"""),"1e3fb611")</f>
        <v>1e3fb611</v>
      </c>
      <c r="B890" s="5">
        <f ca="1">IFERROR(__xludf.DUMMYFUNCTION("""COMPUTED_VALUE"""),45869.7479050925)</f>
        <v>45869.747905092503</v>
      </c>
      <c r="C890" s="2" t="str">
        <f ca="1">IFERROR(__xludf.DUMMYFUNCTION("""COMPUTED_VALUE"""),"ffb1e0f0")</f>
        <v>ffb1e0f0</v>
      </c>
      <c r="D890" s="2">
        <f ca="1">IFERROR(__xludf.DUMMYFUNCTION("""COMPUTED_VALUE"""),69)</f>
        <v>69</v>
      </c>
      <c r="E890" s="2" t="str">
        <f ca="1">IFERROR(__xludf.DUMMYFUNCTION("""COMPUTED_VALUE"""),"Aspirant 24")</f>
        <v>Aspirant 24</v>
      </c>
      <c r="F890" s="2">
        <f ca="1">IFERROR(__xludf.DUMMYFUNCTION("""COMPUTED_VALUE"""),10900)</f>
        <v>10900</v>
      </c>
      <c r="G890" s="2">
        <f ca="1">IFERROR(__xludf.DUMMYFUNCTION("""COMPUTED_VALUE"""),106)</f>
        <v>106</v>
      </c>
      <c r="H890" s="2"/>
      <c r="I890" s="2"/>
      <c r="J890" s="2">
        <f ca="1">IFERROR(__xludf.DUMMYFUNCTION("""COMPUTED_VALUE"""),0)</f>
        <v>0</v>
      </c>
      <c r="K890" s="2">
        <f ca="1">IFERROR(__xludf.DUMMYFUNCTION("""COMPUTED_VALUE"""),10900)</f>
        <v>10900</v>
      </c>
      <c r="L890" s="2" t="str">
        <f ca="1">IFERROR(__xludf.DUMMYFUNCTION("""COMPUTED_VALUE"""),"1443e2f4")</f>
        <v>1443e2f4</v>
      </c>
      <c r="M890" s="2" t="str">
        <f ca="1">IFERROR(__xludf.DUMMYFUNCTION("""COMPUTED_VALUE"""),"Aspirant 24")</f>
        <v>Aspirant 24</v>
      </c>
      <c r="N890" s="2"/>
      <c r="O890" s="2" t="str">
        <f ca="1">IFERROR(__xludf.DUMMYFUNCTION("""COMPUTED_VALUE"""),"Filtrado Tang")</f>
        <v>Filtrado Tang</v>
      </c>
      <c r="P890" s="2"/>
      <c r="Q890" s="2" t="b">
        <f ca="1">IFERROR(__xludf.DUMMYFUNCTION("""COMPUTED_VALUE"""),FALSE)</f>
        <v>0</v>
      </c>
      <c r="R890" s="2" t="str">
        <f ca="1">IFERROR(__xludf.DUMMYFUNCTION("""COMPUTED_VALUE"""),"Filtrado Tang")</f>
        <v>Filtrado Tang</v>
      </c>
      <c r="S890" s="2"/>
      <c r="T890" s="2"/>
      <c r="U890" s="2"/>
    </row>
    <row r="891" spans="1:21" x14ac:dyDescent="0.25">
      <c r="A891" s="2" t="str">
        <f ca="1">IFERROR(__xludf.DUMMYFUNCTION("""COMPUTED_VALUE"""),"31d93edc")</f>
        <v>31d93edc</v>
      </c>
      <c r="B891" s="5">
        <f ca="1">IFERROR(__xludf.DUMMYFUNCTION("""COMPUTED_VALUE"""),45869.7484375)</f>
        <v>45869.748437499999</v>
      </c>
      <c r="C891" s="2" t="str">
        <f ca="1">IFERROR(__xludf.DUMMYFUNCTION("""COMPUTED_VALUE"""),"1031b227")</f>
        <v>1031b227</v>
      </c>
      <c r="D891" s="2">
        <f ca="1">IFERROR(__xludf.DUMMYFUNCTION("""COMPUTED_VALUE"""),83)</f>
        <v>83</v>
      </c>
      <c r="E891" s="2" t="str">
        <f ca="1">IFERROR(__xludf.DUMMYFUNCTION("""COMPUTED_VALUE"""),"Malbec")</f>
        <v>Malbec</v>
      </c>
      <c r="F891" s="2">
        <f ca="1">IFERROR(__xludf.DUMMYFUNCTION("""COMPUTED_VALUE"""),100)</f>
        <v>100</v>
      </c>
      <c r="G891" s="2">
        <f ca="1">IFERROR(__xludf.DUMMYFUNCTION("""COMPUTED_VALUE"""),106)</f>
        <v>106</v>
      </c>
      <c r="H891" s="2" t="str">
        <f ca="1">IFERROR(__xludf.DUMMYFUNCTION("""COMPUTED_VALUE"""),"1443e2f4")</f>
        <v>1443e2f4</v>
      </c>
      <c r="I891" s="2" t="str">
        <f ca="1">IFERROR(__xludf.DUMMYFUNCTION("""COMPUTED_VALUE"""),"Aspirant 24")</f>
        <v>Aspirant 24</v>
      </c>
      <c r="J891" s="2">
        <f ca="1">IFERROR(__xludf.DUMMYFUNCTION("""COMPUTED_VALUE"""),10900)</f>
        <v>10900</v>
      </c>
      <c r="K891" s="2">
        <f ca="1">IFERROR(__xludf.DUMMYFUNCTION("""COMPUTED_VALUE"""),11000)</f>
        <v>11000</v>
      </c>
      <c r="L891" s="2" t="str">
        <f ca="1">IFERROR(__xludf.DUMMYFUNCTION("""COMPUTED_VALUE"""),"32fe7ee0")</f>
        <v>32fe7ee0</v>
      </c>
      <c r="M891" s="2" t="str">
        <f ca="1">IFERROR(__xludf.DUMMYFUNCTION("""COMPUTED_VALUE"""),"Aspirant 24")</f>
        <v>Aspirant 24</v>
      </c>
      <c r="N891" s="2"/>
      <c r="O891" s="2" t="str">
        <f ca="1">IFERROR(__xludf.DUMMYFUNCTION("""COMPUTED_VALUE"""),"2do Trasiego")</f>
        <v>2do Trasiego</v>
      </c>
      <c r="P891" s="2" t="str">
        <f ca="1">IFERROR(__xludf.DUMMYFUNCTION("""COMPUTED_VALUE"""),"Filtrado Tang")</f>
        <v>Filtrado Tang</v>
      </c>
      <c r="Q891" s="2" t="b">
        <f ca="1">IFERROR(__xludf.DUMMYFUNCTION("""COMPUTED_VALUE"""),TRUE)</f>
        <v>1</v>
      </c>
      <c r="R891" s="2" t="str">
        <f ca="1">IFERROR(__xludf.DUMMYFUNCTION("""COMPUTED_VALUE"""),"Filtrado Tang")</f>
        <v>Filtrado Tang</v>
      </c>
      <c r="S891" s="2"/>
      <c r="T891" s="2"/>
      <c r="U891" s="2"/>
    </row>
    <row r="892" spans="1:21" x14ac:dyDescent="0.25">
      <c r="A892" s="2" t="str">
        <f ca="1">IFERROR(__xludf.DUMMYFUNCTION("""COMPUTED_VALUE"""),"8af750ad")</f>
        <v>8af750ad</v>
      </c>
      <c r="B892" s="5">
        <f ca="1">IFERROR(__xludf.DUMMYFUNCTION("""COMPUTED_VALUE"""),45874.4648842592)</f>
        <v>45874.4648842592</v>
      </c>
      <c r="C892" s="2" t="str">
        <f ca="1">IFERROR(__xludf.DUMMYFUNCTION("""COMPUTED_VALUE"""),"1031b227")</f>
        <v>1031b227</v>
      </c>
      <c r="D892" s="2">
        <f ca="1">IFERROR(__xludf.DUMMYFUNCTION("""COMPUTED_VALUE"""),83)</f>
        <v>83</v>
      </c>
      <c r="E892" s="2" t="str">
        <f ca="1">IFERROR(__xludf.DUMMYFUNCTION("""COMPUTED_VALUE"""),"Malbec")</f>
        <v>Malbec</v>
      </c>
      <c r="F892" s="2">
        <f ca="1">IFERROR(__xludf.DUMMYFUNCTION("""COMPUTED_VALUE"""),28700)</f>
        <v>28700</v>
      </c>
      <c r="G892" s="2">
        <f ca="1">IFERROR(__xludf.DUMMYFUNCTION("""COMPUTED_VALUE"""),85)</f>
        <v>85</v>
      </c>
      <c r="H892" s="2" t="str">
        <f ca="1">IFERROR(__xludf.DUMMYFUNCTION("""COMPUTED_VALUE"""),"9b0ba02e")</f>
        <v>9b0ba02e</v>
      </c>
      <c r="I892" s="2" t="str">
        <f ca="1">IFERROR(__xludf.DUMMYFUNCTION("""COMPUTED_VALUE"""),"Malbec")</f>
        <v>Malbec</v>
      </c>
      <c r="J892" s="2">
        <f ca="1">IFERROR(__xludf.DUMMYFUNCTION("""COMPUTED_VALUE"""),50000)</f>
        <v>50000</v>
      </c>
      <c r="K892" s="2">
        <f ca="1">IFERROR(__xludf.DUMMYFUNCTION("""COMPUTED_VALUE"""),78700)</f>
        <v>78700</v>
      </c>
      <c r="L892" s="2" t="str">
        <f ca="1">IFERROR(__xludf.DUMMYFUNCTION("""COMPUTED_VALUE"""),"68dcdcc2")</f>
        <v>68dcdcc2</v>
      </c>
      <c r="M892" s="2" t="str">
        <f ca="1">IFERROR(__xludf.DUMMYFUNCTION("""COMPUTED_VALUE"""),"Malbec")</f>
        <v>Malbec</v>
      </c>
      <c r="N892" s="2"/>
      <c r="O892" s="2" t="str">
        <f ca="1">IFERROR(__xludf.DUMMYFUNCTION("""COMPUTED_VALUE"""),"2do Trasiego")</f>
        <v>2do Trasiego</v>
      </c>
      <c r="P892" s="2" t="str">
        <f ca="1">IFERROR(__xludf.DUMMYFUNCTION("""COMPUTED_VALUE"""),"Filtrado Tang")</f>
        <v>Filtrado Tang</v>
      </c>
      <c r="Q892" s="2" t="b">
        <f ca="1">IFERROR(__xludf.DUMMYFUNCTION("""COMPUTED_VALUE"""),TRUE)</f>
        <v>1</v>
      </c>
      <c r="R892" s="2" t="str">
        <f ca="1">IFERROR(__xludf.DUMMYFUNCTION("""COMPUTED_VALUE"""),"Filtrado Tang")</f>
        <v>Filtrado Tang</v>
      </c>
      <c r="S892" s="2"/>
      <c r="T892" s="2"/>
      <c r="U892" s="2" t="str">
        <f ca="1">IFERROR(__xludf.DUMMYFUNCTION("""COMPUTED_VALUE"""),"1-")</f>
        <v>1-</v>
      </c>
    </row>
    <row r="893" spans="1:21" x14ac:dyDescent="0.25">
      <c r="A893" s="2" t="str">
        <f ca="1">IFERROR(__xludf.DUMMYFUNCTION("""COMPUTED_VALUE"""),"8c5794d8")</f>
        <v>8c5794d8</v>
      </c>
      <c r="B893" s="5">
        <f ca="1">IFERROR(__xludf.DUMMYFUNCTION("""COMPUTED_VALUE"""),45874.4680208333)</f>
        <v>45874.468020833301</v>
      </c>
      <c r="C893" s="2" t="str">
        <f ca="1">IFERROR(__xludf.DUMMYFUNCTION("""COMPUTED_VALUE"""),"1031b227")</f>
        <v>1031b227</v>
      </c>
      <c r="D893" s="2">
        <f ca="1">IFERROR(__xludf.DUMMYFUNCTION("""COMPUTED_VALUE"""),83)</f>
        <v>83</v>
      </c>
      <c r="E893" s="2" t="str">
        <f ca="1">IFERROR(__xludf.DUMMYFUNCTION("""COMPUTED_VALUE"""),"Malbec")</f>
        <v>Malbec</v>
      </c>
      <c r="F893" s="2">
        <f ca="1">IFERROR(__xludf.DUMMYFUNCTION("""COMPUTED_VALUE"""),2000)</f>
        <v>2000</v>
      </c>
      <c r="G893" s="2">
        <f ca="1">IFERROR(__xludf.DUMMYFUNCTION("""COMPUTED_VALUE"""),85)</f>
        <v>85</v>
      </c>
      <c r="H893" s="2" t="str">
        <f ca="1">IFERROR(__xludf.DUMMYFUNCTION("""COMPUTED_VALUE"""),"68dcdcc2")</f>
        <v>68dcdcc2</v>
      </c>
      <c r="I893" s="2" t="str">
        <f ca="1">IFERROR(__xludf.DUMMYFUNCTION("""COMPUTED_VALUE"""),"Malbec")</f>
        <v>Malbec</v>
      </c>
      <c r="J893" s="2">
        <f ca="1">IFERROR(__xludf.DUMMYFUNCTION("""COMPUTED_VALUE"""),78700)</f>
        <v>78700</v>
      </c>
      <c r="K893" s="2">
        <f ca="1">IFERROR(__xludf.DUMMYFUNCTION("""COMPUTED_VALUE"""),80700)</f>
        <v>80700</v>
      </c>
      <c r="L893" s="2" t="str">
        <f ca="1">IFERROR(__xludf.DUMMYFUNCTION("""COMPUTED_VALUE"""),"99b9424e")</f>
        <v>99b9424e</v>
      </c>
      <c r="M893" s="2" t="str">
        <f ca="1">IFERROR(__xludf.DUMMYFUNCTION("""COMPUTED_VALUE"""),"Malbec")</f>
        <v>Malbec</v>
      </c>
      <c r="N893" s="2"/>
      <c r="O893" s="2" t="str">
        <f ca="1">IFERROR(__xludf.DUMMYFUNCTION("""COMPUTED_VALUE"""),"2do Trasiego")</f>
        <v>2do Trasiego</v>
      </c>
      <c r="P893" s="2" t="str">
        <f ca="1">IFERROR(__xludf.DUMMYFUNCTION("""COMPUTED_VALUE"""),"Filtrado Tang")</f>
        <v>Filtrado Tang</v>
      </c>
      <c r="Q893" s="2" t="b">
        <f ca="1">IFERROR(__xludf.DUMMYFUNCTION("""COMPUTED_VALUE"""),TRUE)</f>
        <v>1</v>
      </c>
      <c r="R893" s="2" t="str">
        <f ca="1">IFERROR(__xludf.DUMMYFUNCTION("""COMPUTED_VALUE"""),"Filtrado Tang")</f>
        <v>Filtrado Tang</v>
      </c>
      <c r="S893" s="2"/>
      <c r="T893" s="2"/>
      <c r="U893" s="2" t="str">
        <f ca="1">IFERROR(__xludf.DUMMYFUNCTION("""COMPUTED_VALUE"""),"1-")</f>
        <v>1-</v>
      </c>
    </row>
    <row r="894" spans="1:21" x14ac:dyDescent="0.25">
      <c r="A894" s="2" t="str">
        <f ca="1">IFERROR(__xludf.DUMMYFUNCTION("""COMPUTED_VALUE"""),"6ab6351d")</f>
        <v>6ab6351d</v>
      </c>
      <c r="B894" s="5">
        <f ca="1">IFERROR(__xludf.DUMMYFUNCTION("""COMPUTED_VALUE"""),45874.4687384259)</f>
        <v>45874.468738425901</v>
      </c>
      <c r="C894" s="2" t="str">
        <f ca="1">IFERROR(__xludf.DUMMYFUNCTION("""COMPUTED_VALUE"""),"b4fedb16")</f>
        <v>b4fedb16</v>
      </c>
      <c r="D894" s="2">
        <f ca="1">IFERROR(__xludf.DUMMYFUNCTION("""COMPUTED_VALUE"""),116)</f>
        <v>116</v>
      </c>
      <c r="E894" s="2" t="str">
        <f ca="1">IFERROR(__xludf.DUMMYFUNCTION("""COMPUTED_VALUE"""),"Malbec")</f>
        <v>Malbec</v>
      </c>
      <c r="F894" s="2">
        <f ca="1">IFERROR(__xludf.DUMMYFUNCTION("""COMPUTED_VALUE"""),3300)</f>
        <v>3300</v>
      </c>
      <c r="G894" s="2">
        <f ca="1">IFERROR(__xludf.DUMMYFUNCTION("""COMPUTED_VALUE"""),85)</f>
        <v>85</v>
      </c>
      <c r="H894" s="2" t="str">
        <f ca="1">IFERROR(__xludf.DUMMYFUNCTION("""COMPUTED_VALUE"""),"99b9424e")</f>
        <v>99b9424e</v>
      </c>
      <c r="I894" s="2" t="str">
        <f ca="1">IFERROR(__xludf.DUMMYFUNCTION("""COMPUTED_VALUE"""),"Malbec")</f>
        <v>Malbec</v>
      </c>
      <c r="J894" s="2">
        <f ca="1">IFERROR(__xludf.DUMMYFUNCTION("""COMPUTED_VALUE"""),80700)</f>
        <v>80700</v>
      </c>
      <c r="K894" s="2">
        <f ca="1">IFERROR(__xludf.DUMMYFUNCTION("""COMPUTED_VALUE"""),84000)</f>
        <v>84000</v>
      </c>
      <c r="L894" s="2" t="str">
        <f ca="1">IFERROR(__xludf.DUMMYFUNCTION("""COMPUTED_VALUE"""),"dc08aecd")</f>
        <v>dc08aecd</v>
      </c>
      <c r="M894" s="2" t="str">
        <f ca="1">IFERROR(__xludf.DUMMYFUNCTION("""COMPUTED_VALUE"""),"Malbec")</f>
        <v>Malbec</v>
      </c>
      <c r="N894" s="2"/>
      <c r="O894" s="2" t="str">
        <f ca="1">IFERROR(__xludf.DUMMYFUNCTION("""COMPUTED_VALUE"""),"2do Trasiego")</f>
        <v>2do Trasiego</v>
      </c>
      <c r="P894" s="2" t="str">
        <f ca="1">IFERROR(__xludf.DUMMYFUNCTION("""COMPUTED_VALUE"""),"Filtrado Tang")</f>
        <v>Filtrado Tang</v>
      </c>
      <c r="Q894" s="2" t="b">
        <f ca="1">IFERROR(__xludf.DUMMYFUNCTION("""COMPUTED_VALUE"""),TRUE)</f>
        <v>1</v>
      </c>
      <c r="R894" s="2" t="str">
        <f ca="1">IFERROR(__xludf.DUMMYFUNCTION("""COMPUTED_VALUE"""),"Filtrado Tang")</f>
        <v>Filtrado Tang</v>
      </c>
      <c r="S894" s="2"/>
      <c r="T894" s="2"/>
      <c r="U894" s="2" t="str">
        <f ca="1">IFERROR(__xludf.DUMMYFUNCTION("""COMPUTED_VALUE"""),"1-")</f>
        <v>1-</v>
      </c>
    </row>
    <row r="895" spans="1:21" x14ac:dyDescent="0.25">
      <c r="A895" s="2" t="str">
        <f ca="1">IFERROR(__xludf.DUMMYFUNCTION("""COMPUTED_VALUE"""),"090c9f23")</f>
        <v>090c9f23</v>
      </c>
      <c r="B895" s="5">
        <f ca="1">IFERROR(__xludf.DUMMYFUNCTION("""COMPUTED_VALUE"""),45874.4692361111)</f>
        <v>45874.469236111101</v>
      </c>
      <c r="C895" s="2" t="str">
        <f ca="1">IFERROR(__xludf.DUMMYFUNCTION("""COMPUTED_VALUE"""),"b4fedb16")</f>
        <v>b4fedb16</v>
      </c>
      <c r="D895" s="2">
        <f ca="1">IFERROR(__xludf.DUMMYFUNCTION("""COMPUTED_VALUE"""),116)</f>
        <v>116</v>
      </c>
      <c r="E895" s="2" t="str">
        <f ca="1">IFERROR(__xludf.DUMMYFUNCTION("""COMPUTED_VALUE"""),"Malbec")</f>
        <v>Malbec</v>
      </c>
      <c r="F895" s="2">
        <f ca="1">IFERROR(__xludf.DUMMYFUNCTION("""COMPUTED_VALUE"""),34700)</f>
        <v>34700</v>
      </c>
      <c r="G895" s="2">
        <f ca="1">IFERROR(__xludf.DUMMYFUNCTION("""COMPUTED_VALUE"""),84)</f>
        <v>84</v>
      </c>
      <c r="H895" s="2"/>
      <c r="I895" s="2"/>
      <c r="J895" s="2">
        <f ca="1">IFERROR(__xludf.DUMMYFUNCTION("""COMPUTED_VALUE"""),0)</f>
        <v>0</v>
      </c>
      <c r="K895" s="2">
        <f ca="1">IFERROR(__xludf.DUMMYFUNCTION("""COMPUTED_VALUE"""),34700)</f>
        <v>34700</v>
      </c>
      <c r="L895" s="2" t="str">
        <f ca="1">IFERROR(__xludf.DUMMYFUNCTION("""COMPUTED_VALUE"""),"8a500155")</f>
        <v>8a500155</v>
      </c>
      <c r="M895" s="2" t="str">
        <f ca="1">IFERROR(__xludf.DUMMYFUNCTION("""COMPUTED_VALUE"""),"Malbec")</f>
        <v>Malbec</v>
      </c>
      <c r="N895" s="2"/>
      <c r="O895" s="2" t="str">
        <f ca="1">IFERROR(__xludf.DUMMYFUNCTION("""COMPUTED_VALUE"""),"2do Trasiego")</f>
        <v>2do Trasiego</v>
      </c>
      <c r="P895" s="2"/>
      <c r="Q895" s="2" t="b">
        <f ca="1">IFERROR(__xludf.DUMMYFUNCTION("""COMPUTED_VALUE"""),FALSE)</f>
        <v>0</v>
      </c>
      <c r="R895" s="2" t="str">
        <f ca="1">IFERROR(__xludf.DUMMYFUNCTION("""COMPUTED_VALUE"""),"Filtrado Tang")</f>
        <v>Filtrado Tang</v>
      </c>
      <c r="S895" s="2"/>
      <c r="T895" s="2"/>
      <c r="U895" s="2" t="str">
        <f ca="1">IFERROR(__xludf.DUMMYFUNCTION("""COMPUTED_VALUE"""),"2+")</f>
        <v>2+</v>
      </c>
    </row>
    <row r="896" spans="1:21" x14ac:dyDescent="0.25">
      <c r="A896" s="2" t="str">
        <f ca="1">IFERROR(__xludf.DUMMYFUNCTION("""COMPUTED_VALUE"""),"f931488a")</f>
        <v>f931488a</v>
      </c>
      <c r="B896" s="5">
        <f ca="1">IFERROR(__xludf.DUMMYFUNCTION("""COMPUTED_VALUE"""),45874.4697106481)</f>
        <v>45874.469710648104</v>
      </c>
      <c r="C896" s="2" t="str">
        <f ca="1">IFERROR(__xludf.DUMMYFUNCTION("""COMPUTED_VALUE"""),"b4fedb16")</f>
        <v>b4fedb16</v>
      </c>
      <c r="D896" s="2">
        <f ca="1">IFERROR(__xludf.DUMMYFUNCTION("""COMPUTED_VALUE"""),116)</f>
        <v>116</v>
      </c>
      <c r="E896" s="2" t="str">
        <f ca="1">IFERROR(__xludf.DUMMYFUNCTION("""COMPUTED_VALUE"""),"Malbec")</f>
        <v>Malbec</v>
      </c>
      <c r="F896" s="2">
        <f ca="1">IFERROR(__xludf.DUMMYFUNCTION("""COMPUTED_VALUE"""),35000)</f>
        <v>35000</v>
      </c>
      <c r="G896" s="2">
        <f ca="1">IFERROR(__xludf.DUMMYFUNCTION("""COMPUTED_VALUE"""),84)</f>
        <v>84</v>
      </c>
      <c r="H896" s="2" t="str">
        <f ca="1">IFERROR(__xludf.DUMMYFUNCTION("""COMPUTED_VALUE"""),"8a500155")</f>
        <v>8a500155</v>
      </c>
      <c r="I896" s="2" t="str">
        <f ca="1">IFERROR(__xludf.DUMMYFUNCTION("""COMPUTED_VALUE"""),"Malbec")</f>
        <v>Malbec</v>
      </c>
      <c r="J896" s="2">
        <f ca="1">IFERROR(__xludf.DUMMYFUNCTION("""COMPUTED_VALUE"""),34700)</f>
        <v>34700</v>
      </c>
      <c r="K896" s="2">
        <f ca="1">IFERROR(__xludf.DUMMYFUNCTION("""COMPUTED_VALUE"""),69700)</f>
        <v>69700</v>
      </c>
      <c r="L896" s="2" t="str">
        <f ca="1">IFERROR(__xludf.DUMMYFUNCTION("""COMPUTED_VALUE"""),"64504a57")</f>
        <v>64504a57</v>
      </c>
      <c r="M896" s="2" t="str">
        <f ca="1">IFERROR(__xludf.DUMMYFUNCTION("""COMPUTED_VALUE"""),"Malbec")</f>
        <v>Malbec</v>
      </c>
      <c r="N896" s="2"/>
      <c r="O896" s="2" t="str">
        <f ca="1">IFERROR(__xludf.DUMMYFUNCTION("""COMPUTED_VALUE"""),"2do Trasiego")</f>
        <v>2do Trasiego</v>
      </c>
      <c r="P896" s="2" t="str">
        <f ca="1">IFERROR(__xludf.DUMMYFUNCTION("""COMPUTED_VALUE"""),"Filtrado Tang")</f>
        <v>Filtrado Tang</v>
      </c>
      <c r="Q896" s="2" t="b">
        <f ca="1">IFERROR(__xludf.DUMMYFUNCTION("""COMPUTED_VALUE"""),TRUE)</f>
        <v>1</v>
      </c>
      <c r="R896" s="2" t="str">
        <f ca="1">IFERROR(__xludf.DUMMYFUNCTION("""COMPUTED_VALUE"""),"Filtrado Tang")</f>
        <v>Filtrado Tang</v>
      </c>
      <c r="S896" s="2"/>
      <c r="T896" s="2"/>
      <c r="U896" s="2" t="str">
        <f ca="1">IFERROR(__xludf.DUMMYFUNCTION("""COMPUTED_VALUE"""),"2+")</f>
        <v>2+</v>
      </c>
    </row>
    <row r="897" spans="1:21" x14ac:dyDescent="0.25">
      <c r="A897" s="2" t="str">
        <f ca="1">IFERROR(__xludf.DUMMYFUNCTION("""COMPUTED_VALUE"""),"46472d06")</f>
        <v>46472d06</v>
      </c>
      <c r="B897" s="5">
        <f ca="1">IFERROR(__xludf.DUMMYFUNCTION("""COMPUTED_VALUE"""),45874.4725578703)</f>
        <v>45874.4725578703</v>
      </c>
      <c r="C897" s="2" t="str">
        <f ca="1">IFERROR(__xludf.DUMMYFUNCTION("""COMPUTED_VALUE"""),"1031b227")</f>
        <v>1031b227</v>
      </c>
      <c r="D897" s="2">
        <f ca="1">IFERROR(__xludf.DUMMYFUNCTION("""COMPUTED_VALUE"""),83)</f>
        <v>83</v>
      </c>
      <c r="E897" s="2" t="str">
        <f ca="1">IFERROR(__xludf.DUMMYFUNCTION("""COMPUTED_VALUE"""),"Malbec")</f>
        <v>Malbec</v>
      </c>
      <c r="F897" s="2">
        <f ca="1">IFERROR(__xludf.DUMMYFUNCTION("""COMPUTED_VALUE"""),700)</f>
        <v>700</v>
      </c>
      <c r="G897" s="2">
        <f ca="1">IFERROR(__xludf.DUMMYFUNCTION("""COMPUTED_VALUE"""),500)</f>
        <v>500</v>
      </c>
      <c r="H897" s="2" t="str">
        <f ca="1">IFERROR(__xludf.DUMMYFUNCTION("""COMPUTED_VALUE"""),"e4144c4c")</f>
        <v>e4144c4c</v>
      </c>
      <c r="I897" s="2" t="str">
        <f ca="1">IFERROR(__xludf.DUMMYFUNCTION("""COMPUTED_VALUE"""),"Ajuste de filtrado Tang y rellenos 29/7/25")</f>
        <v>Ajuste de filtrado Tang y rellenos 29/7/25</v>
      </c>
      <c r="J897" s="2">
        <f ca="1">IFERROR(__xludf.DUMMYFUNCTION("""COMPUTED_VALUE"""),2501)</f>
        <v>2501</v>
      </c>
      <c r="K897" s="2">
        <f ca="1">IFERROR(__xludf.DUMMYFUNCTION("""COMPUTED_VALUE"""),3201)</f>
        <v>3201</v>
      </c>
      <c r="L897" s="2" t="str">
        <f ca="1">IFERROR(__xludf.DUMMYFUNCTION("""COMPUTED_VALUE"""),"d56d1e16")</f>
        <v>d56d1e16</v>
      </c>
      <c r="M897" s="2" t="str">
        <f ca="1">IFERROR(__xludf.DUMMYFUNCTION("""COMPUTED_VALUE"""),"Malbec")</f>
        <v>Malbec</v>
      </c>
      <c r="N897" s="2"/>
      <c r="O897" s="2" t="str">
        <f ca="1">IFERROR(__xludf.DUMMYFUNCTION("""COMPUTED_VALUE"""),"2do Trasiego")</f>
        <v>2do Trasiego</v>
      </c>
      <c r="P897" s="2" t="str">
        <f ca="1">IFERROR(__xludf.DUMMYFUNCTION("""COMPUTED_VALUE"""),"Terminado")</f>
        <v>Terminado</v>
      </c>
      <c r="Q897" s="2" t="b">
        <f ca="1">IFERROR(__xludf.DUMMYFUNCTION("""COMPUTED_VALUE"""),FALSE)</f>
        <v>0</v>
      </c>
      <c r="R897" s="2" t="str">
        <f ca="1">IFERROR(__xludf.DUMMYFUNCTION("""COMPUTED_VALUE"""),"2do Trasiego")</f>
        <v>2do Trasiego</v>
      </c>
      <c r="S897" s="2"/>
      <c r="T897" s="2"/>
      <c r="U897" s="2" t="str">
        <f ca="1">IFERROR(__xludf.DUMMYFUNCTION("""COMPUTED_VALUE"""),"1-")</f>
        <v>1-</v>
      </c>
    </row>
    <row r="898" spans="1:21" x14ac:dyDescent="0.25">
      <c r="A898" s="2" t="str">
        <f ca="1">IFERROR(__xludf.DUMMYFUNCTION("""COMPUTED_VALUE"""),"13a22578")</f>
        <v>13a22578</v>
      </c>
      <c r="B898" s="5">
        <f ca="1">IFERROR(__xludf.DUMMYFUNCTION("""COMPUTED_VALUE"""),45874.4762384259)</f>
        <v>45874.476238425901</v>
      </c>
      <c r="C898" s="2" t="str">
        <f ca="1">IFERROR(__xludf.DUMMYFUNCTION("""COMPUTED_VALUE"""),"d8fb0b2f")</f>
        <v>d8fb0b2f</v>
      </c>
      <c r="D898" s="2">
        <f ca="1">IFERROR(__xludf.DUMMYFUNCTION("""COMPUTED_VALUE"""),25)</f>
        <v>25</v>
      </c>
      <c r="E898" s="2" t="str">
        <f ca="1">IFERROR(__xludf.DUMMYFUNCTION("""COMPUTED_VALUE"""),"Syrah")</f>
        <v>Syrah</v>
      </c>
      <c r="F898" s="2">
        <f ca="1">IFERROR(__xludf.DUMMYFUNCTION("""COMPUTED_VALUE"""),27000)</f>
        <v>27000</v>
      </c>
      <c r="G898" s="2">
        <f ca="1">IFERROR(__xludf.DUMMYFUNCTION("""COMPUTED_VALUE"""),118)</f>
        <v>118</v>
      </c>
      <c r="H898" s="2"/>
      <c r="I898" s="2"/>
      <c r="J898" s="2">
        <f ca="1">IFERROR(__xludf.DUMMYFUNCTION("""COMPUTED_VALUE"""),0)</f>
        <v>0</v>
      </c>
      <c r="K898" s="2">
        <f ca="1">IFERROR(__xludf.DUMMYFUNCTION("""COMPUTED_VALUE"""),27000)</f>
        <v>27000</v>
      </c>
      <c r="L898" s="2" t="str">
        <f ca="1">IFERROR(__xludf.DUMMYFUNCTION("""COMPUTED_VALUE"""),"a2e5798e")</f>
        <v>a2e5798e</v>
      </c>
      <c r="M898" s="2" t="str">
        <f ca="1">IFERROR(__xludf.DUMMYFUNCTION("""COMPUTED_VALUE"""),"Malbec Lopez")</f>
        <v>Malbec Lopez</v>
      </c>
      <c r="N898" s="2"/>
      <c r="O898" s="2" t="str">
        <f ca="1">IFERROR(__xludf.DUMMYFUNCTION("""COMPUTED_VALUE"""),"2do Trasiego")</f>
        <v>2do Trasiego</v>
      </c>
      <c r="P898" s="2"/>
      <c r="Q898" s="2" t="b">
        <f ca="1">IFERROR(__xludf.DUMMYFUNCTION("""COMPUTED_VALUE"""),FALSE)</f>
        <v>0</v>
      </c>
      <c r="R898" s="2" t="str">
        <f ca="1">IFERROR(__xludf.DUMMYFUNCTION("""COMPUTED_VALUE"""),"Terminado")</f>
        <v>Terminado</v>
      </c>
      <c r="S898" s="2"/>
      <c r="T898" s="2"/>
      <c r="U898" s="2" t="str">
        <f ca="1">IFERROR(__xludf.DUMMYFUNCTION("""COMPUTED_VALUE"""),"1")</f>
        <v>1</v>
      </c>
    </row>
    <row r="899" spans="1:21" x14ac:dyDescent="0.25">
      <c r="A899" s="2" t="str">
        <f ca="1">IFERROR(__xludf.DUMMYFUNCTION("""COMPUTED_VALUE"""),"04b5c7b8")</f>
        <v>04b5c7b8</v>
      </c>
      <c r="B899" s="5">
        <f ca="1">IFERROR(__xludf.DUMMYFUNCTION("""COMPUTED_VALUE"""),45874.4791087962)</f>
        <v>45874.4791087962</v>
      </c>
      <c r="C899" s="2" t="str">
        <f ca="1">IFERROR(__xludf.DUMMYFUNCTION("""COMPUTED_VALUE"""),"e62f11a1")</f>
        <v>e62f11a1</v>
      </c>
      <c r="D899" s="2">
        <f ca="1">IFERROR(__xludf.DUMMYFUNCTION("""COMPUTED_VALUE"""),90)</f>
        <v>90</v>
      </c>
      <c r="E899" s="2" t="str">
        <f ca="1">IFERROR(__xludf.DUMMYFUNCTION("""COMPUTED_VALUE"""),"Bonarda")</f>
        <v>Bonarda</v>
      </c>
      <c r="F899" s="2">
        <f ca="1">IFERROR(__xludf.DUMMYFUNCTION("""COMPUTED_VALUE"""),18000)</f>
        <v>18000</v>
      </c>
      <c r="G899" s="2">
        <f ca="1">IFERROR(__xludf.DUMMYFUNCTION("""COMPUTED_VALUE"""),118)</f>
        <v>118</v>
      </c>
      <c r="H899" s="2" t="str">
        <f ca="1">IFERROR(__xludf.DUMMYFUNCTION("""COMPUTED_VALUE"""),"a2e5798e")</f>
        <v>a2e5798e</v>
      </c>
      <c r="I899" s="2" t="str">
        <f ca="1">IFERROR(__xludf.DUMMYFUNCTION("""COMPUTED_VALUE"""),"Malbec Lopez")</f>
        <v>Malbec Lopez</v>
      </c>
      <c r="J899" s="2">
        <f ca="1">IFERROR(__xludf.DUMMYFUNCTION("""COMPUTED_VALUE"""),27000)</f>
        <v>27000</v>
      </c>
      <c r="K899" s="2">
        <f ca="1">IFERROR(__xludf.DUMMYFUNCTION("""COMPUTED_VALUE"""),45000)</f>
        <v>45000</v>
      </c>
      <c r="L899" s="2" t="str">
        <f ca="1">IFERROR(__xludf.DUMMYFUNCTION("""COMPUTED_VALUE"""),"83d74d31")</f>
        <v>83d74d31</v>
      </c>
      <c r="M899" s="2" t="str">
        <f ca="1">IFERROR(__xludf.DUMMYFUNCTION("""COMPUTED_VALUE"""),"Malbec Lopez")</f>
        <v>Malbec Lopez</v>
      </c>
      <c r="N899" s="2"/>
      <c r="O899" s="2" t="str">
        <f ca="1">IFERROR(__xludf.DUMMYFUNCTION("""COMPUTED_VALUE"""),"2do Trasiego")</f>
        <v>2do Trasiego</v>
      </c>
      <c r="P899" s="2" t="str">
        <f ca="1">IFERROR(__xludf.DUMMYFUNCTION("""COMPUTED_VALUE"""),"Terminado")</f>
        <v>Terminado</v>
      </c>
      <c r="Q899" s="2" t="b">
        <f ca="1">IFERROR(__xludf.DUMMYFUNCTION("""COMPUTED_VALUE"""),TRUE)</f>
        <v>1</v>
      </c>
      <c r="R899" s="2" t="str">
        <f ca="1">IFERROR(__xludf.DUMMYFUNCTION("""COMPUTED_VALUE"""),"Terminado")</f>
        <v>Terminado</v>
      </c>
      <c r="S899" s="2"/>
      <c r="T899" s="2"/>
      <c r="U899" s="2" t="str">
        <f ca="1">IFERROR(__xludf.DUMMYFUNCTION("""COMPUTED_VALUE"""),"1")</f>
        <v>1</v>
      </c>
    </row>
    <row r="900" spans="1:21" x14ac:dyDescent="0.25">
      <c r="A900" s="2" t="str">
        <f ca="1">IFERROR(__xludf.DUMMYFUNCTION("""COMPUTED_VALUE"""),"9ed5d907")</f>
        <v>9ed5d907</v>
      </c>
      <c r="B900" s="5">
        <f ca="1">IFERROR(__xludf.DUMMYFUNCTION("""COMPUTED_VALUE"""),45874.4796643518)</f>
        <v>45874.479664351798</v>
      </c>
      <c r="C900" s="2" t="str">
        <f ca="1">IFERROR(__xludf.DUMMYFUNCTION("""COMPUTED_VALUE"""),"02391dea")</f>
        <v>02391dea</v>
      </c>
      <c r="D900" s="2">
        <f ca="1">IFERROR(__xludf.DUMMYFUNCTION("""COMPUTED_VALUE"""),41)</f>
        <v>41</v>
      </c>
      <c r="E900" s="2" t="str">
        <f ca="1">IFERROR(__xludf.DUMMYFUNCTION("""COMPUTED_VALUE"""),"Aspirant Anccelota Gota")</f>
        <v>Aspirant Anccelota Gota</v>
      </c>
      <c r="F900" s="2">
        <f ca="1">IFERROR(__xludf.DUMMYFUNCTION("""COMPUTED_VALUE"""),7000)</f>
        <v>7000</v>
      </c>
      <c r="G900" s="2">
        <f ca="1">IFERROR(__xludf.DUMMYFUNCTION("""COMPUTED_VALUE"""),118)</f>
        <v>118</v>
      </c>
      <c r="H900" s="2" t="str">
        <f ca="1">IFERROR(__xludf.DUMMYFUNCTION("""COMPUTED_VALUE"""),"83d74d31")</f>
        <v>83d74d31</v>
      </c>
      <c r="I900" s="2" t="str">
        <f ca="1">IFERROR(__xludf.DUMMYFUNCTION("""COMPUTED_VALUE"""),"Malbec Lopez")</f>
        <v>Malbec Lopez</v>
      </c>
      <c r="J900" s="2">
        <f ca="1">IFERROR(__xludf.DUMMYFUNCTION("""COMPUTED_VALUE"""),45000)</f>
        <v>45000</v>
      </c>
      <c r="K900" s="2">
        <f ca="1">IFERROR(__xludf.DUMMYFUNCTION("""COMPUTED_VALUE"""),52000)</f>
        <v>52000</v>
      </c>
      <c r="L900" s="2" t="str">
        <f ca="1">IFERROR(__xludf.DUMMYFUNCTION("""COMPUTED_VALUE"""),"93609069")</f>
        <v>93609069</v>
      </c>
      <c r="M900" s="2" t="str">
        <f ca="1">IFERROR(__xludf.DUMMYFUNCTION("""COMPUTED_VALUE"""),"Malbec Lopez")</f>
        <v>Malbec Lopez</v>
      </c>
      <c r="N900" s="2"/>
      <c r="O900" s="2" t="str">
        <f ca="1">IFERROR(__xludf.DUMMYFUNCTION("""COMPUTED_VALUE"""),"2do Trasiego")</f>
        <v>2do Trasiego</v>
      </c>
      <c r="P900" s="2" t="str">
        <f ca="1">IFERROR(__xludf.DUMMYFUNCTION("""COMPUTED_VALUE"""),"Terminado")</f>
        <v>Terminado</v>
      </c>
      <c r="Q900" s="2" t="b">
        <f ca="1">IFERROR(__xludf.DUMMYFUNCTION("""COMPUTED_VALUE"""),TRUE)</f>
        <v>1</v>
      </c>
      <c r="R900" s="2" t="str">
        <f ca="1">IFERROR(__xludf.DUMMYFUNCTION("""COMPUTED_VALUE"""),"Terminado")</f>
        <v>Terminado</v>
      </c>
      <c r="S900" s="2"/>
      <c r="T900" s="2"/>
      <c r="U900" s="2" t="str">
        <f ca="1">IFERROR(__xludf.DUMMYFUNCTION("""COMPUTED_VALUE"""),"1")</f>
        <v>1</v>
      </c>
    </row>
    <row r="901" spans="1:21" x14ac:dyDescent="0.25">
      <c r="A901" s="2" t="str">
        <f ca="1">IFERROR(__xludf.DUMMYFUNCTION("""COMPUTED_VALUE"""),"689a2d3c")</f>
        <v>689a2d3c</v>
      </c>
      <c r="B901" s="5">
        <f ca="1">IFERROR(__xludf.DUMMYFUNCTION("""COMPUTED_VALUE"""),45874.480162037)</f>
        <v>45874.480162036998</v>
      </c>
      <c r="C901" s="2" t="str">
        <f ca="1">IFERROR(__xludf.DUMMYFUNCTION("""COMPUTED_VALUE"""),"5b15cadb")</f>
        <v>5b15cadb</v>
      </c>
      <c r="D901" s="2">
        <f ca="1">IFERROR(__xludf.DUMMYFUNCTION("""COMPUTED_VALUE"""),115)</f>
        <v>115</v>
      </c>
      <c r="E901" s="2" t="str">
        <f ca="1">IFERROR(__xludf.DUMMYFUNCTION("""COMPUTED_VALUE"""),"Tinto")</f>
        <v>Tinto</v>
      </c>
      <c r="F901" s="2">
        <f ca="1">IFERROR(__xludf.DUMMYFUNCTION("""COMPUTED_VALUE"""),35000)</f>
        <v>35000</v>
      </c>
      <c r="G901" s="2">
        <f ca="1">IFERROR(__xludf.DUMMYFUNCTION("""COMPUTED_VALUE"""),118)</f>
        <v>118</v>
      </c>
      <c r="H901" s="2" t="str">
        <f ca="1">IFERROR(__xludf.DUMMYFUNCTION("""COMPUTED_VALUE"""),"93609069")</f>
        <v>93609069</v>
      </c>
      <c r="I901" s="2" t="str">
        <f ca="1">IFERROR(__xludf.DUMMYFUNCTION("""COMPUTED_VALUE"""),"Malbec Lopez")</f>
        <v>Malbec Lopez</v>
      </c>
      <c r="J901" s="2">
        <f ca="1">IFERROR(__xludf.DUMMYFUNCTION("""COMPUTED_VALUE"""),52000)</f>
        <v>52000</v>
      </c>
      <c r="K901" s="2">
        <f ca="1">IFERROR(__xludf.DUMMYFUNCTION("""COMPUTED_VALUE"""),87000)</f>
        <v>87000</v>
      </c>
      <c r="L901" s="2" t="str">
        <f ca="1">IFERROR(__xludf.DUMMYFUNCTION("""COMPUTED_VALUE"""),"db0fbb38")</f>
        <v>db0fbb38</v>
      </c>
      <c r="M901" s="2" t="str">
        <f ca="1">IFERROR(__xludf.DUMMYFUNCTION("""COMPUTED_VALUE"""),"Malbec Lopez")</f>
        <v>Malbec Lopez</v>
      </c>
      <c r="N901" s="2"/>
      <c r="O901" s="2" t="str">
        <f ca="1">IFERROR(__xludf.DUMMYFUNCTION("""COMPUTED_VALUE"""),"2do Trasiego")</f>
        <v>2do Trasiego</v>
      </c>
      <c r="P901" s="2" t="str">
        <f ca="1">IFERROR(__xludf.DUMMYFUNCTION("""COMPUTED_VALUE"""),"Terminado")</f>
        <v>Terminado</v>
      </c>
      <c r="Q901" s="2" t="b">
        <f ca="1">IFERROR(__xludf.DUMMYFUNCTION("""COMPUTED_VALUE"""),TRUE)</f>
        <v>1</v>
      </c>
      <c r="R901" s="2" t="str">
        <f ca="1">IFERROR(__xludf.DUMMYFUNCTION("""COMPUTED_VALUE"""),"Terminado")</f>
        <v>Terminado</v>
      </c>
      <c r="S901" s="2"/>
      <c r="T901" s="2"/>
      <c r="U901" s="2" t="str">
        <f ca="1">IFERROR(__xludf.DUMMYFUNCTION("""COMPUTED_VALUE"""),"1")</f>
        <v>1</v>
      </c>
    </row>
    <row r="902" spans="1:21" x14ac:dyDescent="0.25">
      <c r="A902" s="2" t="str">
        <f ca="1">IFERROR(__xludf.DUMMYFUNCTION("""COMPUTED_VALUE"""),"b943e93f")</f>
        <v>b943e93f</v>
      </c>
      <c r="B902" s="5">
        <f ca="1">IFERROR(__xludf.DUMMYFUNCTION("""COMPUTED_VALUE"""),45874.4807175925)</f>
        <v>45874.480717592502</v>
      </c>
      <c r="C902" s="2" t="str">
        <f ca="1">IFERROR(__xludf.DUMMYFUNCTION("""COMPUTED_VALUE"""),"5f7e8218")</f>
        <v>5f7e8218</v>
      </c>
      <c r="D902" s="2">
        <f ca="1">IFERROR(__xludf.DUMMYFUNCTION("""COMPUTED_VALUE"""),72)</f>
        <v>72</v>
      </c>
      <c r="E902" s="2" t="str">
        <f ca="1">IFERROR(__xludf.DUMMYFUNCTION("""COMPUTED_VALUE"""),"Syrah Tempranillo")</f>
        <v>Syrah Tempranillo</v>
      </c>
      <c r="F902" s="2">
        <f ca="1">IFERROR(__xludf.DUMMYFUNCTION("""COMPUTED_VALUE"""),13000)</f>
        <v>13000</v>
      </c>
      <c r="G902" s="2">
        <f ca="1">IFERROR(__xludf.DUMMYFUNCTION("""COMPUTED_VALUE"""),118)</f>
        <v>118</v>
      </c>
      <c r="H902" s="2" t="str">
        <f ca="1">IFERROR(__xludf.DUMMYFUNCTION("""COMPUTED_VALUE"""),"db0fbb38")</f>
        <v>db0fbb38</v>
      </c>
      <c r="I902" s="2" t="str">
        <f ca="1">IFERROR(__xludf.DUMMYFUNCTION("""COMPUTED_VALUE"""),"Malbec Lopez")</f>
        <v>Malbec Lopez</v>
      </c>
      <c r="J902" s="2">
        <f ca="1">IFERROR(__xludf.DUMMYFUNCTION("""COMPUTED_VALUE"""),87000)</f>
        <v>87000</v>
      </c>
      <c r="K902" s="2">
        <f ca="1">IFERROR(__xludf.DUMMYFUNCTION("""COMPUTED_VALUE"""),100000)</f>
        <v>100000</v>
      </c>
      <c r="L902" s="2" t="str">
        <f ca="1">IFERROR(__xludf.DUMMYFUNCTION("""COMPUTED_VALUE"""),"cc6978c9")</f>
        <v>cc6978c9</v>
      </c>
      <c r="M902" s="2" t="str">
        <f ca="1">IFERROR(__xludf.DUMMYFUNCTION("""COMPUTED_VALUE"""),"Malbec Lopez")</f>
        <v>Malbec Lopez</v>
      </c>
      <c r="N902" s="2"/>
      <c r="O902" s="2" t="str">
        <f ca="1">IFERROR(__xludf.DUMMYFUNCTION("""COMPUTED_VALUE"""),"2do Trasiego")</f>
        <v>2do Trasiego</v>
      </c>
      <c r="P902" s="2" t="str">
        <f ca="1">IFERROR(__xludf.DUMMYFUNCTION("""COMPUTED_VALUE"""),"Terminado")</f>
        <v>Terminado</v>
      </c>
      <c r="Q902" s="2" t="b">
        <f ca="1">IFERROR(__xludf.DUMMYFUNCTION("""COMPUTED_VALUE"""),TRUE)</f>
        <v>1</v>
      </c>
      <c r="R902" s="2" t="str">
        <f ca="1">IFERROR(__xludf.DUMMYFUNCTION("""COMPUTED_VALUE"""),"Terminado")</f>
        <v>Terminado</v>
      </c>
      <c r="S902" s="2"/>
      <c r="T902" s="2"/>
      <c r="U902" s="2" t="str">
        <f ca="1">IFERROR(__xludf.DUMMYFUNCTION("""COMPUTED_VALUE"""),"1")</f>
        <v>1</v>
      </c>
    </row>
    <row r="903" spans="1:21" x14ac:dyDescent="0.25">
      <c r="A903" s="2" t="str">
        <f ca="1">IFERROR(__xludf.DUMMYFUNCTION("""COMPUTED_VALUE"""),"89ca5174")</f>
        <v>89ca5174</v>
      </c>
      <c r="B903" s="5">
        <f ca="1">IFERROR(__xludf.DUMMYFUNCTION("""COMPUTED_VALUE"""),45874.4833333333)</f>
        <v>45874.483333333301</v>
      </c>
      <c r="C903" s="2" t="str">
        <f ca="1">IFERROR(__xludf.DUMMYFUNCTION("""COMPUTED_VALUE"""),"aa02cc0a")</f>
        <v>aa02cc0a</v>
      </c>
      <c r="D903" s="2">
        <f ca="1">IFERROR(__xludf.DUMMYFUNCTION("""COMPUTED_VALUE"""),86)</f>
        <v>86</v>
      </c>
      <c r="E903" s="2" t="str">
        <f ca="1">IFERROR(__xludf.DUMMYFUNCTION("""COMPUTED_VALUE"""),"Syrah")</f>
        <v>Syrah</v>
      </c>
      <c r="F903" s="2">
        <f ca="1">IFERROR(__xludf.DUMMYFUNCTION("""COMPUTED_VALUE"""),27000)</f>
        <v>27000</v>
      </c>
      <c r="G903" s="2">
        <f ca="1">IFERROR(__xludf.DUMMYFUNCTION("""COMPUTED_VALUE"""),25)</f>
        <v>25</v>
      </c>
      <c r="H903" s="2" t="str">
        <f ca="1">IFERROR(__xludf.DUMMYFUNCTION("""COMPUTED_VALUE"""),"d8fb0b2f")</f>
        <v>d8fb0b2f</v>
      </c>
      <c r="I903" s="2" t="str">
        <f ca="1">IFERROR(__xludf.DUMMYFUNCTION("""COMPUTED_VALUE"""),"Syrah")</f>
        <v>Syrah</v>
      </c>
      <c r="J903" s="2">
        <f ca="1">IFERROR(__xludf.DUMMYFUNCTION("""COMPUTED_VALUE"""),167300)</f>
        <v>167300</v>
      </c>
      <c r="K903" s="2">
        <f ca="1">IFERROR(__xludf.DUMMYFUNCTION("""COMPUTED_VALUE"""),194300)</f>
        <v>194300</v>
      </c>
      <c r="L903" s="2" t="str">
        <f ca="1">IFERROR(__xludf.DUMMYFUNCTION("""COMPUTED_VALUE"""),"a2728d01")</f>
        <v>a2728d01</v>
      </c>
      <c r="M903" s="2" t="str">
        <f ca="1">IFERROR(__xludf.DUMMYFUNCTION("""COMPUTED_VALUE"""),"Syrah")</f>
        <v>Syrah</v>
      </c>
      <c r="N903" s="2" t="str">
        <f ca="1">IFERROR(__xludf.DUMMYFUNCTION("""COMPUTED_VALUE"""),"Relleno")</f>
        <v>Relleno</v>
      </c>
      <c r="O903" s="2" t="str">
        <f ca="1">IFERROR(__xludf.DUMMYFUNCTION("""COMPUTED_VALUE"""),"2do Trasiego")</f>
        <v>2do Trasiego</v>
      </c>
      <c r="P903" s="2" t="str">
        <f ca="1">IFERROR(__xludf.DUMMYFUNCTION("""COMPUTED_VALUE"""),"2do Trasiego")</f>
        <v>2do Trasiego</v>
      </c>
      <c r="Q903" s="2" t="b">
        <f ca="1">IFERROR(__xludf.DUMMYFUNCTION("""COMPUTED_VALUE"""),TRUE)</f>
        <v>1</v>
      </c>
      <c r="R903" s="2" t="str">
        <f ca="1">IFERROR(__xludf.DUMMYFUNCTION("""COMPUTED_VALUE"""),"2do Trasiego")</f>
        <v>2do Trasiego</v>
      </c>
      <c r="S903" s="2"/>
      <c r="T903" s="2"/>
      <c r="U903" s="2" t="str">
        <f ca="1">IFERROR(__xludf.DUMMYFUNCTION("""COMPUTED_VALUE"""),"1")</f>
        <v>1</v>
      </c>
    </row>
    <row r="904" spans="1:21" x14ac:dyDescent="0.25">
      <c r="A904" s="2" t="str">
        <f ca="1">IFERROR(__xludf.DUMMYFUNCTION("""COMPUTED_VALUE"""),"7bba3bd6")</f>
        <v>7bba3bd6</v>
      </c>
      <c r="B904" s="5">
        <f ca="1">IFERROR(__xludf.DUMMYFUNCTION("""COMPUTED_VALUE"""),45874.4838078703)</f>
        <v>45874.483807870303</v>
      </c>
      <c r="C904" s="2" t="str">
        <f ca="1">IFERROR(__xludf.DUMMYFUNCTION("""COMPUTED_VALUE"""),"aa02cc0a")</f>
        <v>aa02cc0a</v>
      </c>
      <c r="D904" s="2">
        <f ca="1">IFERROR(__xludf.DUMMYFUNCTION("""COMPUTED_VALUE"""),86)</f>
        <v>86</v>
      </c>
      <c r="E904" s="2" t="str">
        <f ca="1">IFERROR(__xludf.DUMMYFUNCTION("""COMPUTED_VALUE"""),"Syrah")</f>
        <v>Syrah</v>
      </c>
      <c r="F904" s="2">
        <f ca="1">IFERROR(__xludf.DUMMYFUNCTION("""COMPUTED_VALUE"""),18000)</f>
        <v>18000</v>
      </c>
      <c r="G904" s="2">
        <f ca="1">IFERROR(__xludf.DUMMYFUNCTION("""COMPUTED_VALUE"""),90)</f>
        <v>90</v>
      </c>
      <c r="H904" s="2" t="str">
        <f ca="1">IFERROR(__xludf.DUMMYFUNCTION("""COMPUTED_VALUE"""),"e62f11a1")</f>
        <v>e62f11a1</v>
      </c>
      <c r="I904" s="2" t="str">
        <f ca="1">IFERROR(__xludf.DUMMYFUNCTION("""COMPUTED_VALUE"""),"Bonarda")</f>
        <v>Bonarda</v>
      </c>
      <c r="J904" s="2">
        <f ca="1">IFERROR(__xludf.DUMMYFUNCTION("""COMPUTED_VALUE"""),79500)</f>
        <v>79500</v>
      </c>
      <c r="K904" s="2">
        <f ca="1">IFERROR(__xludf.DUMMYFUNCTION("""COMPUTED_VALUE"""),97500)</f>
        <v>97500</v>
      </c>
      <c r="L904" s="2" t="str">
        <f ca="1">IFERROR(__xludf.DUMMYFUNCTION("""COMPUTED_VALUE"""),"686fc77a")</f>
        <v>686fc77a</v>
      </c>
      <c r="M904" s="2" t="str">
        <f ca="1">IFERROR(__xludf.DUMMYFUNCTION("""COMPUTED_VALUE"""),"Bonarda")</f>
        <v>Bonarda</v>
      </c>
      <c r="N904" s="2" t="str">
        <f ca="1">IFERROR(__xludf.DUMMYFUNCTION("""COMPUTED_VALUE"""),"relleno")</f>
        <v>relleno</v>
      </c>
      <c r="O904" s="2" t="str">
        <f ca="1">IFERROR(__xludf.DUMMYFUNCTION("""COMPUTED_VALUE"""),"2do Trasiego")</f>
        <v>2do Trasiego</v>
      </c>
      <c r="P904" s="2" t="str">
        <f ca="1">IFERROR(__xludf.DUMMYFUNCTION("""COMPUTED_VALUE"""),"2do Trasiego")</f>
        <v>2do Trasiego</v>
      </c>
      <c r="Q904" s="2" t="b">
        <f ca="1">IFERROR(__xludf.DUMMYFUNCTION("""COMPUTED_VALUE"""),TRUE)</f>
        <v>1</v>
      </c>
      <c r="R904" s="2" t="str">
        <f ca="1">IFERROR(__xludf.DUMMYFUNCTION("""COMPUTED_VALUE"""),"2do Trasiego")</f>
        <v>2do Trasiego</v>
      </c>
      <c r="S904" s="2"/>
      <c r="T904" s="2"/>
      <c r="U904" s="2" t="str">
        <f ca="1">IFERROR(__xludf.DUMMYFUNCTION("""COMPUTED_VALUE"""),"1")</f>
        <v>1</v>
      </c>
    </row>
    <row r="905" spans="1:21" x14ac:dyDescent="0.25">
      <c r="A905" s="2" t="str">
        <f ca="1">IFERROR(__xludf.DUMMYFUNCTION("""COMPUTED_VALUE"""),"24f7f90f")</f>
        <v>24f7f90f</v>
      </c>
      <c r="B905" s="5">
        <f ca="1">IFERROR(__xludf.DUMMYFUNCTION("""COMPUTED_VALUE"""),45874.4840972222)</f>
        <v>45874.484097222201</v>
      </c>
      <c r="C905" s="2" t="str">
        <f ca="1">IFERROR(__xludf.DUMMYFUNCTION("""COMPUTED_VALUE"""),"aa02cc0a")</f>
        <v>aa02cc0a</v>
      </c>
      <c r="D905" s="2">
        <f ca="1">IFERROR(__xludf.DUMMYFUNCTION("""COMPUTED_VALUE"""),86)</f>
        <v>86</v>
      </c>
      <c r="E905" s="2" t="str">
        <f ca="1">IFERROR(__xludf.DUMMYFUNCTION("""COMPUTED_VALUE"""),"Syrah")</f>
        <v>Syrah</v>
      </c>
      <c r="F905" s="2">
        <f ca="1">IFERROR(__xludf.DUMMYFUNCTION("""COMPUTED_VALUE"""),22900)</f>
        <v>22900</v>
      </c>
      <c r="G905" s="2">
        <f ca="1">IFERROR(__xludf.DUMMYFUNCTION("""COMPUTED_VALUE"""),54)</f>
        <v>54</v>
      </c>
      <c r="H905" s="2"/>
      <c r="I905" s="2"/>
      <c r="J905" s="2">
        <f ca="1">IFERROR(__xludf.DUMMYFUNCTION("""COMPUTED_VALUE"""),0)</f>
        <v>0</v>
      </c>
      <c r="K905" s="2">
        <f ca="1">IFERROR(__xludf.DUMMYFUNCTION("""COMPUTED_VALUE"""),22900)</f>
        <v>22900</v>
      </c>
      <c r="L905" s="2" t="str">
        <f ca="1">IFERROR(__xludf.DUMMYFUNCTION("""COMPUTED_VALUE"""),"5c87f162")</f>
        <v>5c87f162</v>
      </c>
      <c r="M905" s="2" t="str">
        <f ca="1">IFERROR(__xludf.DUMMYFUNCTION("""COMPUTED_VALUE"""),"Syrah")</f>
        <v>Syrah</v>
      </c>
      <c r="N905" s="2"/>
      <c r="O905" s="2" t="str">
        <f ca="1">IFERROR(__xludf.DUMMYFUNCTION("""COMPUTED_VALUE"""),"2do Trasiego")</f>
        <v>2do Trasiego</v>
      </c>
      <c r="P905" s="2"/>
      <c r="Q905" s="2" t="b">
        <f ca="1">IFERROR(__xludf.DUMMYFUNCTION("""COMPUTED_VALUE"""),FALSE)</f>
        <v>0</v>
      </c>
      <c r="R905" s="2" t="str">
        <f ca="1">IFERROR(__xludf.DUMMYFUNCTION("""COMPUTED_VALUE"""),"2do Trasiego")</f>
        <v>2do Trasiego</v>
      </c>
      <c r="S905" s="2"/>
      <c r="T905" s="2"/>
      <c r="U905" s="2" t="str">
        <f ca="1">IFERROR(__xludf.DUMMYFUNCTION("""COMPUTED_VALUE"""),"1-")</f>
        <v>1-</v>
      </c>
    </row>
    <row r="906" spans="1:21" x14ac:dyDescent="0.25">
      <c r="A906" s="2" t="str">
        <f ca="1">IFERROR(__xludf.DUMMYFUNCTION("""COMPUTED_VALUE"""),"71bef9dc")</f>
        <v>71bef9dc</v>
      </c>
      <c r="B906" s="5">
        <f ca="1">IFERROR(__xludf.DUMMYFUNCTION("""COMPUTED_VALUE"""),45874.4844444444)</f>
        <v>45874.484444444402</v>
      </c>
      <c r="C906" s="2" t="str">
        <f ca="1">IFERROR(__xludf.DUMMYFUNCTION("""COMPUTED_VALUE"""),"aa02cc0a")</f>
        <v>aa02cc0a</v>
      </c>
      <c r="D906" s="2">
        <f ca="1">IFERROR(__xludf.DUMMYFUNCTION("""COMPUTED_VALUE"""),86)</f>
        <v>86</v>
      </c>
      <c r="E906" s="2" t="str">
        <f ca="1">IFERROR(__xludf.DUMMYFUNCTION("""COMPUTED_VALUE"""),"Syrah")</f>
        <v>Syrah</v>
      </c>
      <c r="F906" s="2">
        <f ca="1">IFERROR(__xludf.DUMMYFUNCTION("""COMPUTED_VALUE"""),19500)</f>
        <v>19500</v>
      </c>
      <c r="G906" s="2">
        <f ca="1">IFERROR(__xludf.DUMMYFUNCTION("""COMPUTED_VALUE"""),16)</f>
        <v>16</v>
      </c>
      <c r="H906" s="2"/>
      <c r="I906" s="2"/>
      <c r="J906" s="2">
        <f ca="1">IFERROR(__xludf.DUMMYFUNCTION("""COMPUTED_VALUE"""),0)</f>
        <v>0</v>
      </c>
      <c r="K906" s="2">
        <f ca="1">IFERROR(__xludf.DUMMYFUNCTION("""COMPUTED_VALUE"""),19500)</f>
        <v>19500</v>
      </c>
      <c r="L906" s="2" t="str">
        <f ca="1">IFERROR(__xludf.DUMMYFUNCTION("""COMPUTED_VALUE"""),"869e8a1b")</f>
        <v>869e8a1b</v>
      </c>
      <c r="M906" s="2" t="str">
        <f ca="1">IFERROR(__xludf.DUMMYFUNCTION("""COMPUTED_VALUE"""),"Syrah")</f>
        <v>Syrah</v>
      </c>
      <c r="N906" s="2"/>
      <c r="O906" s="2" t="str">
        <f ca="1">IFERROR(__xludf.DUMMYFUNCTION("""COMPUTED_VALUE"""),"2do Trasiego")</f>
        <v>2do Trasiego</v>
      </c>
      <c r="P906" s="2"/>
      <c r="Q906" s="2" t="b">
        <f ca="1">IFERROR(__xludf.DUMMYFUNCTION("""COMPUTED_VALUE"""),FALSE)</f>
        <v>0</v>
      </c>
      <c r="R906" s="2" t="str">
        <f ca="1">IFERROR(__xludf.DUMMYFUNCTION("""COMPUTED_VALUE"""),"2do Trasiego")</f>
        <v>2do Trasiego</v>
      </c>
      <c r="S906" s="2"/>
      <c r="T906" s="2"/>
      <c r="U906" s="2" t="str">
        <f ca="1">IFERROR(__xludf.DUMMYFUNCTION("""COMPUTED_VALUE"""),"1-")</f>
        <v>1-</v>
      </c>
    </row>
    <row r="907" spans="1:21" x14ac:dyDescent="0.25">
      <c r="A907" s="2" t="str">
        <f ca="1">IFERROR(__xludf.DUMMYFUNCTION("""COMPUTED_VALUE"""),"9a0a175c")</f>
        <v>9a0a175c</v>
      </c>
      <c r="B907" s="5">
        <f ca="1">IFERROR(__xludf.DUMMYFUNCTION("""COMPUTED_VALUE"""),45874.4859259259)</f>
        <v>45874.485925925903</v>
      </c>
      <c r="C907" s="2" t="str">
        <f ca="1">IFERROR(__xludf.DUMMYFUNCTION("""COMPUTED_VALUE"""),"02391dea")</f>
        <v>02391dea</v>
      </c>
      <c r="D907" s="2">
        <f ca="1">IFERROR(__xludf.DUMMYFUNCTION("""COMPUTED_VALUE"""),41)</f>
        <v>41</v>
      </c>
      <c r="E907" s="2" t="str">
        <f ca="1">IFERROR(__xludf.DUMMYFUNCTION("""COMPUTED_VALUE"""),"Aspirant Anccelota Gota")</f>
        <v>Aspirant Anccelota Gota</v>
      </c>
      <c r="F907" s="2">
        <f ca="1">IFERROR(__xludf.DUMMYFUNCTION("""COMPUTED_VALUE"""),28100)</f>
        <v>28100</v>
      </c>
      <c r="G907" s="2">
        <f ca="1">IFERROR(__xludf.DUMMYFUNCTION("""COMPUTED_VALUE"""),6)</f>
        <v>6</v>
      </c>
      <c r="H907" s="2"/>
      <c r="I907" s="2"/>
      <c r="J907" s="2">
        <f ca="1">IFERROR(__xludf.DUMMYFUNCTION("""COMPUTED_VALUE"""),0)</f>
        <v>0</v>
      </c>
      <c r="K907" s="2">
        <f ca="1">IFERROR(__xludf.DUMMYFUNCTION("""COMPUTED_VALUE"""),28100)</f>
        <v>28100</v>
      </c>
      <c r="L907" s="2" t="str">
        <f ca="1">IFERROR(__xludf.DUMMYFUNCTION("""COMPUTED_VALUE"""),"4136ccb7")</f>
        <v>4136ccb7</v>
      </c>
      <c r="M907" s="2" t="str">
        <f ca="1">IFERROR(__xludf.DUMMYFUNCTION("""COMPUTED_VALUE"""),"Aspirant Anccelota Gota")</f>
        <v>Aspirant Anccelota Gota</v>
      </c>
      <c r="N907" s="2"/>
      <c r="O907" s="2" t="str">
        <f ca="1">IFERROR(__xludf.DUMMYFUNCTION("""COMPUTED_VALUE"""),"2do Trasiego")</f>
        <v>2do Trasiego</v>
      </c>
      <c r="P907" s="2"/>
      <c r="Q907" s="2" t="b">
        <f ca="1">IFERROR(__xludf.DUMMYFUNCTION("""COMPUTED_VALUE"""),FALSE)</f>
        <v>0</v>
      </c>
      <c r="R907" s="2" t="str">
        <f ca="1">IFERROR(__xludf.DUMMYFUNCTION("""COMPUTED_VALUE"""),"2do Trasiego")</f>
        <v>2do Trasiego</v>
      </c>
      <c r="S907" s="2"/>
      <c r="T907" s="2"/>
      <c r="U907" s="2"/>
    </row>
    <row r="908" spans="1:21" x14ac:dyDescent="0.25">
      <c r="A908" s="2" t="str">
        <f ca="1">IFERROR(__xludf.DUMMYFUNCTION("""COMPUTED_VALUE"""),"9de3d7f5")</f>
        <v>9de3d7f5</v>
      </c>
      <c r="B908" s="5">
        <f ca="1">IFERROR(__xludf.DUMMYFUNCTION("""COMPUTED_VALUE"""),45874.4895949074)</f>
        <v>45874.489594907398</v>
      </c>
      <c r="C908" s="2" t="str">
        <f ca="1">IFERROR(__xludf.DUMMYFUNCTION("""COMPUTED_VALUE"""),"7b7453a5")</f>
        <v>7b7453a5</v>
      </c>
      <c r="D908" s="2">
        <f ca="1">IFERROR(__xludf.DUMMYFUNCTION("""COMPUTED_VALUE"""),50)</f>
        <v>50</v>
      </c>
      <c r="E908" s="2" t="str">
        <f ca="1">IFERROR(__xludf.DUMMYFUNCTION("""COMPUTED_VALUE"""),"Aspirant Anccelota Gota")</f>
        <v>Aspirant Anccelota Gota</v>
      </c>
      <c r="F908" s="2">
        <f ca="1">IFERROR(__xludf.DUMMYFUNCTION("""COMPUTED_VALUE"""),3900)</f>
        <v>3900</v>
      </c>
      <c r="G908" s="2">
        <f ca="1">IFERROR(__xludf.DUMMYFUNCTION("""COMPUTED_VALUE"""),6)</f>
        <v>6</v>
      </c>
      <c r="H908" s="2" t="str">
        <f ca="1">IFERROR(__xludf.DUMMYFUNCTION("""COMPUTED_VALUE"""),"4136ccb7")</f>
        <v>4136ccb7</v>
      </c>
      <c r="I908" s="2" t="str">
        <f ca="1">IFERROR(__xludf.DUMMYFUNCTION("""COMPUTED_VALUE"""),"Aspirant Anccelota Gota")</f>
        <v>Aspirant Anccelota Gota</v>
      </c>
      <c r="J908" s="2">
        <f ca="1">IFERROR(__xludf.DUMMYFUNCTION("""COMPUTED_VALUE"""),28100)</f>
        <v>28100</v>
      </c>
      <c r="K908" s="2">
        <f ca="1">IFERROR(__xludf.DUMMYFUNCTION("""COMPUTED_VALUE"""),32000)</f>
        <v>32000</v>
      </c>
      <c r="L908" s="2" t="str">
        <f ca="1">IFERROR(__xludf.DUMMYFUNCTION("""COMPUTED_VALUE"""),"63b0e73c")</f>
        <v>63b0e73c</v>
      </c>
      <c r="M908" s="2" t="str">
        <f ca="1">IFERROR(__xludf.DUMMYFUNCTION("""COMPUTED_VALUE"""),"Aspirant Anccelota Gota")</f>
        <v>Aspirant Anccelota Gota</v>
      </c>
      <c r="N908" s="2"/>
      <c r="O908" s="2" t="str">
        <f ca="1">IFERROR(__xludf.DUMMYFUNCTION("""COMPUTED_VALUE"""),"1er Trasiego")</f>
        <v>1er Trasiego</v>
      </c>
      <c r="P908" s="2" t="str">
        <f ca="1">IFERROR(__xludf.DUMMYFUNCTION("""COMPUTED_VALUE"""),"2do Trasiego")</f>
        <v>2do Trasiego</v>
      </c>
      <c r="Q908" s="2" t="b">
        <f ca="1">IFERROR(__xludf.DUMMYFUNCTION("""COMPUTED_VALUE"""),TRUE)</f>
        <v>1</v>
      </c>
      <c r="R908" s="2" t="str">
        <f ca="1">IFERROR(__xludf.DUMMYFUNCTION("""COMPUTED_VALUE"""),"2do Trasiego")</f>
        <v>2do Trasiego</v>
      </c>
      <c r="S908" s="2"/>
      <c r="T908" s="2"/>
      <c r="U908" s="2"/>
    </row>
    <row r="909" spans="1:21" x14ac:dyDescent="0.25">
      <c r="A909" s="2" t="str">
        <f ca="1">IFERROR(__xludf.DUMMYFUNCTION("""COMPUTED_VALUE"""),"caac857f")</f>
        <v>caac857f</v>
      </c>
      <c r="B909" s="5">
        <f ca="1">IFERROR(__xludf.DUMMYFUNCTION("""COMPUTED_VALUE"""),45875.4668634259)</f>
        <v>45875.4668634259</v>
      </c>
      <c r="C909" s="2" t="str">
        <f ca="1">IFERROR(__xludf.DUMMYFUNCTION("""COMPUTED_VALUE"""),"b4fedb16")</f>
        <v>b4fedb16</v>
      </c>
      <c r="D909" s="2">
        <f ca="1">IFERROR(__xludf.DUMMYFUNCTION("""COMPUTED_VALUE"""),116)</f>
        <v>116</v>
      </c>
      <c r="E909" s="2" t="str">
        <f ca="1">IFERROR(__xludf.DUMMYFUNCTION("""COMPUTED_VALUE"""),"Malbec")</f>
        <v>Malbec</v>
      </c>
      <c r="F909" s="2">
        <f ca="1">IFERROR(__xludf.DUMMYFUNCTION("""COMPUTED_VALUE"""),13300)</f>
        <v>13300</v>
      </c>
      <c r="G909" s="2">
        <f ca="1">IFERROR(__xludf.DUMMYFUNCTION("""COMPUTED_VALUE"""),84)</f>
        <v>84</v>
      </c>
      <c r="H909" s="2" t="str">
        <f ca="1">IFERROR(__xludf.DUMMYFUNCTION("""COMPUTED_VALUE"""),"64504a57")</f>
        <v>64504a57</v>
      </c>
      <c r="I909" s="2" t="str">
        <f ca="1">IFERROR(__xludf.DUMMYFUNCTION("""COMPUTED_VALUE"""),"Malbec")</f>
        <v>Malbec</v>
      </c>
      <c r="J909" s="2">
        <f ca="1">IFERROR(__xludf.DUMMYFUNCTION("""COMPUTED_VALUE"""),69700)</f>
        <v>69700</v>
      </c>
      <c r="K909" s="2">
        <f ca="1">IFERROR(__xludf.DUMMYFUNCTION("""COMPUTED_VALUE"""),83000)</f>
        <v>83000</v>
      </c>
      <c r="L909" s="2" t="str">
        <f ca="1">IFERROR(__xludf.DUMMYFUNCTION("""COMPUTED_VALUE"""),"52e2d0ea")</f>
        <v>52e2d0ea</v>
      </c>
      <c r="M909" s="2" t="str">
        <f ca="1">IFERROR(__xludf.DUMMYFUNCTION("""COMPUTED_VALUE"""),"Malbec")</f>
        <v>Malbec</v>
      </c>
      <c r="N909" s="2"/>
      <c r="O909" s="2" t="str">
        <f ca="1">IFERROR(__xludf.DUMMYFUNCTION("""COMPUTED_VALUE"""),"2do Trasiego")</f>
        <v>2do Trasiego</v>
      </c>
      <c r="P909" s="2" t="str">
        <f ca="1">IFERROR(__xludf.DUMMYFUNCTION("""COMPUTED_VALUE"""),"Filtrado Tang")</f>
        <v>Filtrado Tang</v>
      </c>
      <c r="Q909" s="2" t="b">
        <f ca="1">IFERROR(__xludf.DUMMYFUNCTION("""COMPUTED_VALUE"""),TRUE)</f>
        <v>1</v>
      </c>
      <c r="R909" s="2" t="str">
        <f ca="1">IFERROR(__xludf.DUMMYFUNCTION("""COMPUTED_VALUE"""),"Filtrado Tang")</f>
        <v>Filtrado Tang</v>
      </c>
      <c r="S909" s="2"/>
      <c r="T909" s="2"/>
      <c r="U909" s="2" t="str">
        <f ca="1">IFERROR(__xludf.DUMMYFUNCTION("""COMPUTED_VALUE"""),"2+")</f>
        <v>2+</v>
      </c>
    </row>
    <row r="910" spans="1:21" x14ac:dyDescent="0.25">
      <c r="A910" s="2" t="str">
        <f ca="1">IFERROR(__xludf.DUMMYFUNCTION("""COMPUTED_VALUE"""),"ea42be45")</f>
        <v>ea42be45</v>
      </c>
      <c r="B910" s="5">
        <f ca="1">IFERROR(__xludf.DUMMYFUNCTION("""COMPUTED_VALUE"""),45875.467199074)</f>
        <v>45875.467199074003</v>
      </c>
      <c r="C910" s="2" t="str">
        <f ca="1">IFERROR(__xludf.DUMMYFUNCTION("""COMPUTED_VALUE"""),"b4fedb16")</f>
        <v>b4fedb16</v>
      </c>
      <c r="D910" s="2">
        <f ca="1">IFERROR(__xludf.DUMMYFUNCTION("""COMPUTED_VALUE"""),116)</f>
        <v>116</v>
      </c>
      <c r="E910" s="2" t="str">
        <f ca="1">IFERROR(__xludf.DUMMYFUNCTION("""COMPUTED_VALUE"""),"Malbec")</f>
        <v>Malbec</v>
      </c>
      <c r="F910" s="2">
        <f ca="1">IFERROR(__xludf.DUMMYFUNCTION("""COMPUTED_VALUE"""),13300)</f>
        <v>13300</v>
      </c>
      <c r="G910" s="2">
        <f ca="1">IFERROR(__xludf.DUMMYFUNCTION("""COMPUTED_VALUE"""),83)</f>
        <v>83</v>
      </c>
      <c r="H910" s="2"/>
      <c r="I910" s="2"/>
      <c r="J910" s="2">
        <f ca="1">IFERROR(__xludf.DUMMYFUNCTION("""COMPUTED_VALUE"""),0)</f>
        <v>0</v>
      </c>
      <c r="K910" s="2">
        <f ca="1">IFERROR(__xludf.DUMMYFUNCTION("""COMPUTED_VALUE"""),13300)</f>
        <v>13300</v>
      </c>
      <c r="L910" s="2" t="str">
        <f ca="1">IFERROR(__xludf.DUMMYFUNCTION("""COMPUTED_VALUE"""),"d8db7956")</f>
        <v>d8db7956</v>
      </c>
      <c r="M910" s="2" t="str">
        <f ca="1">IFERROR(__xludf.DUMMYFUNCTION("""COMPUTED_VALUE"""),"Malbec")</f>
        <v>Malbec</v>
      </c>
      <c r="N910" s="2"/>
      <c r="O910" s="2" t="str">
        <f ca="1">IFERROR(__xludf.DUMMYFUNCTION("""COMPUTED_VALUE"""),"2do Trasiego")</f>
        <v>2do Trasiego</v>
      </c>
      <c r="P910" s="2"/>
      <c r="Q910" s="2" t="b">
        <f ca="1">IFERROR(__xludf.DUMMYFUNCTION("""COMPUTED_VALUE"""),FALSE)</f>
        <v>0</v>
      </c>
      <c r="R910" s="2" t="str">
        <f ca="1">IFERROR(__xludf.DUMMYFUNCTION("""COMPUTED_VALUE"""),"Filtrado Tang")</f>
        <v>Filtrado Tang</v>
      </c>
      <c r="S910" s="2"/>
      <c r="T910" s="2"/>
      <c r="U910" s="2" t="str">
        <f ca="1">IFERROR(__xludf.DUMMYFUNCTION("""COMPUTED_VALUE"""),"2+")</f>
        <v>2+</v>
      </c>
    </row>
    <row r="911" spans="1:21" x14ac:dyDescent="0.25">
      <c r="A911" s="2" t="str">
        <f ca="1">IFERROR(__xludf.DUMMYFUNCTION("""COMPUTED_VALUE"""),"3045d729")</f>
        <v>3045d729</v>
      </c>
      <c r="B911" s="5">
        <f ca="1">IFERROR(__xludf.DUMMYFUNCTION("""COMPUTED_VALUE"""),45875.4676041666)</f>
        <v>45875.467604166603</v>
      </c>
      <c r="C911" s="2" t="str">
        <f ca="1">IFERROR(__xludf.DUMMYFUNCTION("""COMPUTED_VALUE"""),"589807bc")</f>
        <v>589807bc</v>
      </c>
      <c r="D911" s="2">
        <f ca="1">IFERROR(__xludf.DUMMYFUNCTION("""COMPUTED_VALUE"""),121)</f>
        <v>121</v>
      </c>
      <c r="E911" s="2" t="str">
        <f ca="1">IFERROR(__xludf.DUMMYFUNCTION("""COMPUTED_VALUE"""),"Malbec")</f>
        <v>Malbec</v>
      </c>
      <c r="F911" s="2">
        <f ca="1">IFERROR(__xludf.DUMMYFUNCTION("""COMPUTED_VALUE"""),15000)</f>
        <v>15000</v>
      </c>
      <c r="G911" s="2">
        <f ca="1">IFERROR(__xludf.DUMMYFUNCTION("""COMPUTED_VALUE"""),83)</f>
        <v>83</v>
      </c>
      <c r="H911" s="2" t="str">
        <f ca="1">IFERROR(__xludf.DUMMYFUNCTION("""COMPUTED_VALUE"""),"d8db7956")</f>
        <v>d8db7956</v>
      </c>
      <c r="I911" s="2" t="str">
        <f ca="1">IFERROR(__xludf.DUMMYFUNCTION("""COMPUTED_VALUE"""),"Malbec")</f>
        <v>Malbec</v>
      </c>
      <c r="J911" s="2">
        <f ca="1">IFERROR(__xludf.DUMMYFUNCTION("""COMPUTED_VALUE"""),13300)</f>
        <v>13300</v>
      </c>
      <c r="K911" s="2">
        <f ca="1">IFERROR(__xludf.DUMMYFUNCTION("""COMPUTED_VALUE"""),28300)</f>
        <v>28300</v>
      </c>
      <c r="L911" s="2" t="str">
        <f ca="1">IFERROR(__xludf.DUMMYFUNCTION("""COMPUTED_VALUE"""),"8e0dc7e2")</f>
        <v>8e0dc7e2</v>
      </c>
      <c r="M911" s="2" t="str">
        <f ca="1">IFERROR(__xludf.DUMMYFUNCTION("""COMPUTED_VALUE"""),"Malbec")</f>
        <v>Malbec</v>
      </c>
      <c r="N911" s="2"/>
      <c r="O911" s="2" t="str">
        <f ca="1">IFERROR(__xludf.DUMMYFUNCTION("""COMPUTED_VALUE"""),"2do Trasiego")</f>
        <v>2do Trasiego</v>
      </c>
      <c r="P911" s="2" t="str">
        <f ca="1">IFERROR(__xludf.DUMMYFUNCTION("""COMPUTED_VALUE"""),"Filtrado Tang")</f>
        <v>Filtrado Tang</v>
      </c>
      <c r="Q911" s="2" t="b">
        <f ca="1">IFERROR(__xludf.DUMMYFUNCTION("""COMPUTED_VALUE"""),TRUE)</f>
        <v>1</v>
      </c>
      <c r="R911" s="2" t="str">
        <f ca="1">IFERROR(__xludf.DUMMYFUNCTION("""COMPUTED_VALUE"""),"Filtrado Tang")</f>
        <v>Filtrado Tang</v>
      </c>
      <c r="S911" s="2"/>
      <c r="T911" s="2"/>
      <c r="U911" s="2" t="str">
        <f ca="1">IFERROR(__xludf.DUMMYFUNCTION("""COMPUTED_VALUE"""),"2+")</f>
        <v>2+</v>
      </c>
    </row>
    <row r="912" spans="1:21" x14ac:dyDescent="0.25">
      <c r="A912" s="2" t="str">
        <f ca="1">IFERROR(__xludf.DUMMYFUNCTION("""COMPUTED_VALUE"""),"40177476")</f>
        <v>40177476</v>
      </c>
      <c r="B912" s="5">
        <f ca="1">IFERROR(__xludf.DUMMYFUNCTION("""COMPUTED_VALUE"""),45875.6681134259)</f>
        <v>45875.668113425898</v>
      </c>
      <c r="C912" s="2" t="str">
        <f ca="1">IFERROR(__xludf.DUMMYFUNCTION("""COMPUTED_VALUE"""),"539224d6")</f>
        <v>539224d6</v>
      </c>
      <c r="D912" s="2">
        <f ca="1">IFERROR(__xludf.DUMMYFUNCTION("""COMPUTED_VALUE"""),82)</f>
        <v>82</v>
      </c>
      <c r="E912" s="2" t="str">
        <f ca="1">IFERROR(__xludf.DUMMYFUNCTION("""COMPUTED_VALUE"""),"Tinto")</f>
        <v>Tinto</v>
      </c>
      <c r="F912" s="2">
        <f ca="1">IFERROR(__xludf.DUMMYFUNCTION("""COMPUTED_VALUE"""),35000)</f>
        <v>35000</v>
      </c>
      <c r="G912" s="2">
        <f ca="1">IFERROR(__xludf.DUMMYFUNCTION("""COMPUTED_VALUE"""),115)</f>
        <v>115</v>
      </c>
      <c r="H912" s="2" t="str">
        <f ca="1">IFERROR(__xludf.DUMMYFUNCTION("""COMPUTED_VALUE"""),"5b15cadb")</f>
        <v>5b15cadb</v>
      </c>
      <c r="I912" s="2" t="str">
        <f ca="1">IFERROR(__xludf.DUMMYFUNCTION("""COMPUTED_VALUE"""),"Tinto")</f>
        <v>Tinto</v>
      </c>
      <c r="J912" s="2">
        <f ca="1">IFERROR(__xludf.DUMMYFUNCTION("""COMPUTED_VALUE"""),85200)</f>
        <v>85200</v>
      </c>
      <c r="K912" s="2">
        <f ca="1">IFERROR(__xludf.DUMMYFUNCTION("""COMPUTED_VALUE"""),120200)</f>
        <v>120200</v>
      </c>
      <c r="L912" s="2" t="str">
        <f ca="1">IFERROR(__xludf.DUMMYFUNCTION("""COMPUTED_VALUE"""),"19567056")</f>
        <v>19567056</v>
      </c>
      <c r="M912" s="2" t="str">
        <f ca="1">IFERROR(__xludf.DUMMYFUNCTION("""COMPUTED_VALUE"""),"Tinto")</f>
        <v>Tinto</v>
      </c>
      <c r="N912" s="2"/>
      <c r="O912" s="2" t="str">
        <f ca="1">IFERROR(__xludf.DUMMYFUNCTION("""COMPUTED_VALUE"""),"2do Trasiego")</f>
        <v>2do Trasiego</v>
      </c>
      <c r="P912" s="2" t="str">
        <f ca="1">IFERROR(__xludf.DUMMYFUNCTION("""COMPUTED_VALUE"""),"2do Trasiego")</f>
        <v>2do Trasiego</v>
      </c>
      <c r="Q912" s="2" t="b">
        <f ca="1">IFERROR(__xludf.DUMMYFUNCTION("""COMPUTED_VALUE"""),TRUE)</f>
        <v>1</v>
      </c>
      <c r="R912" s="2" t="str">
        <f ca="1">IFERROR(__xludf.DUMMYFUNCTION("""COMPUTED_VALUE"""),"2do Trasiego")</f>
        <v>2do Trasiego</v>
      </c>
      <c r="S912" s="2"/>
      <c r="T912" s="2"/>
      <c r="U912" s="2" t="str">
        <f ca="1">IFERROR(__xludf.DUMMYFUNCTION("""COMPUTED_VALUE"""),"1")</f>
        <v>1</v>
      </c>
    </row>
    <row r="913" spans="1:21" x14ac:dyDescent="0.25">
      <c r="A913" s="2" t="str">
        <f ca="1">IFERROR(__xludf.DUMMYFUNCTION("""COMPUTED_VALUE"""),"69d0fe25")</f>
        <v>69d0fe25</v>
      </c>
      <c r="B913" s="5">
        <f ca="1">IFERROR(__xludf.DUMMYFUNCTION("""COMPUTED_VALUE"""),45875.6688541666)</f>
        <v>45875.668854166601</v>
      </c>
      <c r="C913" s="2" t="str">
        <f ca="1">IFERROR(__xludf.DUMMYFUNCTION("""COMPUTED_VALUE"""),"539224d6")</f>
        <v>539224d6</v>
      </c>
      <c r="D913" s="2">
        <f ca="1">IFERROR(__xludf.DUMMYFUNCTION("""COMPUTED_VALUE"""),82)</f>
        <v>82</v>
      </c>
      <c r="E913" s="2" t="str">
        <f ca="1">IFERROR(__xludf.DUMMYFUNCTION("""COMPUTED_VALUE"""),"Tinto")</f>
        <v>Tinto</v>
      </c>
      <c r="F913" s="2">
        <f ca="1">IFERROR(__xludf.DUMMYFUNCTION("""COMPUTED_VALUE"""),7600)</f>
        <v>7600</v>
      </c>
      <c r="G913" s="2">
        <f ca="1">IFERROR(__xludf.DUMMYFUNCTION("""COMPUTED_VALUE"""),71)</f>
        <v>71</v>
      </c>
      <c r="H913" s="2"/>
      <c r="I913" s="2"/>
      <c r="J913" s="2">
        <f ca="1">IFERROR(__xludf.DUMMYFUNCTION("""COMPUTED_VALUE"""),0)</f>
        <v>0</v>
      </c>
      <c r="K913" s="2">
        <f ca="1">IFERROR(__xludf.DUMMYFUNCTION("""COMPUTED_VALUE"""),7600)</f>
        <v>7600</v>
      </c>
      <c r="L913" s="2" t="str">
        <f ca="1">IFERROR(__xludf.DUMMYFUNCTION("""COMPUTED_VALUE"""),"dd0a11e8")</f>
        <v>dd0a11e8</v>
      </c>
      <c r="M913" s="2" t="str">
        <f ca="1">IFERROR(__xludf.DUMMYFUNCTION("""COMPUTED_VALUE"""),"Tinto")</f>
        <v>Tinto</v>
      </c>
      <c r="N913" s="2"/>
      <c r="O913" s="2" t="str">
        <f ca="1">IFERROR(__xludf.DUMMYFUNCTION("""COMPUTED_VALUE"""),"2do Trasiego")</f>
        <v>2do Trasiego</v>
      </c>
      <c r="P913" s="2"/>
      <c r="Q913" s="2" t="b">
        <f ca="1">IFERROR(__xludf.DUMMYFUNCTION("""COMPUTED_VALUE"""),FALSE)</f>
        <v>0</v>
      </c>
      <c r="R913" s="2" t="str">
        <f ca="1">IFERROR(__xludf.DUMMYFUNCTION("""COMPUTED_VALUE"""),"2do Trasiego")</f>
        <v>2do Trasiego</v>
      </c>
      <c r="S913" s="2"/>
      <c r="T913" s="2"/>
      <c r="U913" s="2" t="str">
        <f ca="1">IFERROR(__xludf.DUMMYFUNCTION("""COMPUTED_VALUE"""),"1")</f>
        <v>1</v>
      </c>
    </row>
    <row r="914" spans="1:21" x14ac:dyDescent="0.25">
      <c r="A914" s="2" t="str">
        <f ca="1">IFERROR(__xludf.DUMMYFUNCTION("""COMPUTED_VALUE"""),"dd286292")</f>
        <v>dd286292</v>
      </c>
      <c r="B914" s="5">
        <f ca="1">IFERROR(__xludf.DUMMYFUNCTION("""COMPUTED_VALUE"""),45875.6694328703)</f>
        <v>45875.669432870302</v>
      </c>
      <c r="C914" s="2" t="str">
        <f ca="1">IFERROR(__xludf.DUMMYFUNCTION("""COMPUTED_VALUE"""),"8bd3684f")</f>
        <v>8bd3684f</v>
      </c>
      <c r="D914" s="2">
        <f ca="1">IFERROR(__xludf.DUMMYFUNCTION("""COMPUTED_VALUE"""),51)</f>
        <v>51</v>
      </c>
      <c r="E914" s="2" t="str">
        <f ca="1">IFERROR(__xludf.DUMMYFUNCTION("""COMPUTED_VALUE"""),"Cabernet Sauvignon")</f>
        <v>Cabernet Sauvignon</v>
      </c>
      <c r="F914" s="2">
        <f ca="1">IFERROR(__xludf.DUMMYFUNCTION("""COMPUTED_VALUE"""),3900)</f>
        <v>3900</v>
      </c>
      <c r="G914" s="2">
        <f ca="1">IFERROR(__xludf.DUMMYFUNCTION("""COMPUTED_VALUE"""),71)</f>
        <v>71</v>
      </c>
      <c r="H914" s="2" t="str">
        <f ca="1">IFERROR(__xludf.DUMMYFUNCTION("""COMPUTED_VALUE"""),"dd0a11e8")</f>
        <v>dd0a11e8</v>
      </c>
      <c r="I914" s="2" t="str">
        <f ca="1">IFERROR(__xludf.DUMMYFUNCTION("""COMPUTED_VALUE"""),"Tinto")</f>
        <v>Tinto</v>
      </c>
      <c r="J914" s="2">
        <f ca="1">IFERROR(__xludf.DUMMYFUNCTION("""COMPUTED_VALUE"""),7600)</f>
        <v>7600</v>
      </c>
      <c r="K914" s="2">
        <f ca="1">IFERROR(__xludf.DUMMYFUNCTION("""COMPUTED_VALUE"""),11500)</f>
        <v>11500</v>
      </c>
      <c r="L914" s="2" t="str">
        <f ca="1">IFERROR(__xludf.DUMMYFUNCTION("""COMPUTED_VALUE"""),"7a61df09")</f>
        <v>7a61df09</v>
      </c>
      <c r="M914" s="2" t="str">
        <f ca="1">IFERROR(__xludf.DUMMYFUNCTION("""COMPUTED_VALUE"""),"Tinto")</f>
        <v>Tinto</v>
      </c>
      <c r="N914" s="2"/>
      <c r="O914" s="2" t="str">
        <f ca="1">IFERROR(__xludf.DUMMYFUNCTION("""COMPUTED_VALUE"""),"2do Trasiego")</f>
        <v>2do Trasiego</v>
      </c>
      <c r="P914" s="2" t="str">
        <f ca="1">IFERROR(__xludf.DUMMYFUNCTION("""COMPUTED_VALUE"""),"2do Trasiego")</f>
        <v>2do Trasiego</v>
      </c>
      <c r="Q914" s="2" t="b">
        <f ca="1">IFERROR(__xludf.DUMMYFUNCTION("""COMPUTED_VALUE"""),TRUE)</f>
        <v>1</v>
      </c>
      <c r="R914" s="2" t="str">
        <f ca="1">IFERROR(__xludf.DUMMYFUNCTION("""COMPUTED_VALUE"""),"2do Trasiego")</f>
        <v>2do Trasiego</v>
      </c>
      <c r="S914" s="2"/>
      <c r="T914" s="2"/>
      <c r="U914" s="2" t="str">
        <f ca="1">IFERROR(__xludf.DUMMYFUNCTION("""COMPUTED_VALUE"""),"1")</f>
        <v>1</v>
      </c>
    </row>
    <row r="915" spans="1:21" x14ac:dyDescent="0.25">
      <c r="A915" s="2" t="str">
        <f ca="1">IFERROR(__xludf.DUMMYFUNCTION("""COMPUTED_VALUE"""),"967a72c8")</f>
        <v>967a72c8</v>
      </c>
      <c r="B915" s="5">
        <f ca="1">IFERROR(__xludf.DUMMYFUNCTION("""COMPUTED_VALUE"""),45880.7044907407)</f>
        <v>45880.704490740703</v>
      </c>
      <c r="C915" s="2" t="str">
        <f ca="1">IFERROR(__xludf.DUMMYFUNCTION("""COMPUTED_VALUE"""),"cc6978c9")</f>
        <v>cc6978c9</v>
      </c>
      <c r="D915" s="2">
        <f ca="1">IFERROR(__xludf.DUMMYFUNCTION("""COMPUTED_VALUE"""),118)</f>
        <v>118</v>
      </c>
      <c r="E915" s="2" t="str">
        <f ca="1">IFERROR(__xludf.DUMMYFUNCTION("""COMPUTED_VALUE"""),"Malbec Lopez")</f>
        <v>Malbec Lopez</v>
      </c>
      <c r="F915" s="2">
        <f ca="1">IFERROR(__xludf.DUMMYFUNCTION("""COMPUTED_VALUE"""),100000)</f>
        <v>100000</v>
      </c>
      <c r="G915" s="2">
        <f ca="1">IFERROR(__xludf.DUMMYFUNCTION("""COMPUTED_VALUE"""),500)</f>
        <v>500</v>
      </c>
      <c r="H915" s="2"/>
      <c r="I915" s="2"/>
      <c r="J915" s="2">
        <f ca="1">IFERROR(__xludf.DUMMYFUNCTION("""COMPUTED_VALUE"""),0)</f>
        <v>0</v>
      </c>
      <c r="K915" s="2">
        <f ca="1">IFERROR(__xludf.DUMMYFUNCTION("""COMPUTED_VALUE"""),100000)</f>
        <v>100000</v>
      </c>
      <c r="L915" s="2" t="str">
        <f ca="1">IFERROR(__xludf.DUMMYFUNCTION("""COMPUTED_VALUE"""),"5c2023e8")</f>
        <v>5c2023e8</v>
      </c>
      <c r="M915" s="2" t="str">
        <f ca="1">IFERROR(__xludf.DUMMYFUNCTION("""COMPUTED_VALUE"""),"Malbec Lopez")</f>
        <v>Malbec Lopez</v>
      </c>
      <c r="N915" s="2"/>
      <c r="O915" s="2" t="str">
        <f ca="1">IFERROR(__xludf.DUMMYFUNCTION("""COMPUTED_VALUE"""),"Terminado")</f>
        <v>Terminado</v>
      </c>
      <c r="P915" s="2"/>
      <c r="Q915" s="2" t="b">
        <f ca="1">IFERROR(__xludf.DUMMYFUNCTION("""COMPUTED_VALUE"""),FALSE)</f>
        <v>0</v>
      </c>
      <c r="R915" s="2" t="str">
        <f ca="1">IFERROR(__xludf.DUMMYFUNCTION("""COMPUTED_VALUE"""),"Traslado Venta")</f>
        <v>Traslado Venta</v>
      </c>
      <c r="S915" s="2"/>
      <c r="T915" s="2"/>
      <c r="U915" s="2" t="str">
        <f ca="1">IFERROR(__xludf.DUMMYFUNCTION("""COMPUTED_VALUE"""),"1")</f>
        <v>1</v>
      </c>
    </row>
    <row r="916" spans="1:21" x14ac:dyDescent="0.25">
      <c r="A916" s="2" t="str">
        <f ca="1">IFERROR(__xludf.DUMMYFUNCTION("""COMPUTED_VALUE"""),"3c5863b6")</f>
        <v>3c5863b6</v>
      </c>
      <c r="B916" s="5">
        <f ca="1">IFERROR(__xludf.DUMMYFUNCTION("""COMPUTED_VALUE"""),45880.706574074)</f>
        <v>45880.706574074</v>
      </c>
      <c r="C916" s="2" t="str">
        <f ca="1">IFERROR(__xludf.DUMMYFUNCTION("""COMPUTED_VALUE"""),"b73d8cd1")</f>
        <v>b73d8cd1</v>
      </c>
      <c r="D916" s="2">
        <f ca="1">IFERROR(__xludf.DUMMYFUNCTION("""COMPUTED_VALUE"""),9)</f>
        <v>9</v>
      </c>
      <c r="E916" s="2" t="str">
        <f ca="1">IFERROR(__xludf.DUMMYFUNCTION("""COMPUTED_VALUE"""),"Chardonnay")</f>
        <v>Chardonnay</v>
      </c>
      <c r="F916" s="2">
        <f ca="1">IFERROR(__xludf.DUMMYFUNCTION("""COMPUTED_VALUE"""),30000)</f>
        <v>30000</v>
      </c>
      <c r="G916" s="2">
        <f ca="1">IFERROR(__xludf.DUMMYFUNCTION("""COMPUTED_VALUE"""),500)</f>
        <v>500</v>
      </c>
      <c r="H916" s="2"/>
      <c r="I916" s="2"/>
      <c r="J916" s="2">
        <f ca="1">IFERROR(__xludf.DUMMYFUNCTION("""COMPUTED_VALUE"""),0)</f>
        <v>0</v>
      </c>
      <c r="K916" s="2">
        <f ca="1">IFERROR(__xludf.DUMMYFUNCTION("""COMPUTED_VALUE"""),30000)</f>
        <v>30000</v>
      </c>
      <c r="L916" s="2" t="str">
        <f ca="1">IFERROR(__xludf.DUMMYFUNCTION("""COMPUTED_VALUE"""),"5da633b1")</f>
        <v>5da633b1</v>
      </c>
      <c r="M916" s="2" t="str">
        <f ca="1">IFERROR(__xludf.DUMMYFUNCTION("""COMPUTED_VALUE"""),"Chardonnay Calia Venta")</f>
        <v>Chardonnay Calia Venta</v>
      </c>
      <c r="N916" s="2"/>
      <c r="O916" s="2" t="str">
        <f ca="1">IFERROR(__xludf.DUMMYFUNCTION("""COMPUTED_VALUE"""),"Descubada")</f>
        <v>Descubada</v>
      </c>
      <c r="P916" s="2"/>
      <c r="Q916" s="2" t="b">
        <f ca="1">IFERROR(__xludf.DUMMYFUNCTION("""COMPUTED_VALUE"""),FALSE)</f>
        <v>0</v>
      </c>
      <c r="R916" s="2" t="str">
        <f ca="1">IFERROR(__xludf.DUMMYFUNCTION("""COMPUTED_VALUE"""),"Traslado Venta")</f>
        <v>Traslado Venta</v>
      </c>
      <c r="S916" s="2"/>
      <c r="T916" s="2"/>
      <c r="U916" s="2" t="str">
        <f ca="1">IFERROR(__xludf.DUMMYFUNCTION("""COMPUTED_VALUE"""),"1+")</f>
        <v>1+</v>
      </c>
    </row>
    <row r="917" spans="1:21" x14ac:dyDescent="0.25">
      <c r="A917" s="2" t="str">
        <f ca="1">IFERROR(__xludf.DUMMYFUNCTION("""COMPUTED_VALUE"""),"022dbc49")</f>
        <v>022dbc49</v>
      </c>
      <c r="B917" s="5">
        <f ca="1">IFERROR(__xludf.DUMMYFUNCTION("""COMPUTED_VALUE"""),45880.7070601851)</f>
        <v>45880.707060185101</v>
      </c>
      <c r="C917" s="2" t="str">
        <f ca="1">IFERROR(__xludf.DUMMYFUNCTION("""COMPUTED_VALUE"""),"7c5390c8")</f>
        <v>7c5390c8</v>
      </c>
      <c r="D917" s="2">
        <f ca="1">IFERROR(__xludf.DUMMYFUNCTION("""COMPUTED_VALUE"""),40)</f>
        <v>40</v>
      </c>
      <c r="E917" s="2" t="str">
        <f ca="1">IFERROR(__xludf.DUMMYFUNCTION("""COMPUTED_VALUE"""),"Chardonnay")</f>
        <v>Chardonnay</v>
      </c>
      <c r="F917" s="2">
        <f ca="1">IFERROR(__xludf.DUMMYFUNCTION("""COMPUTED_VALUE"""),24000)</f>
        <v>24000</v>
      </c>
      <c r="G917" s="2">
        <f ca="1">IFERROR(__xludf.DUMMYFUNCTION("""COMPUTED_VALUE"""),500)</f>
        <v>500</v>
      </c>
      <c r="H917" s="2" t="str">
        <f ca="1">IFERROR(__xludf.DUMMYFUNCTION("""COMPUTED_VALUE"""),"5da633b1")</f>
        <v>5da633b1</v>
      </c>
      <c r="I917" s="2" t="str">
        <f ca="1">IFERROR(__xludf.DUMMYFUNCTION("""COMPUTED_VALUE"""),"Chardonnay Calia Venta")</f>
        <v>Chardonnay Calia Venta</v>
      </c>
      <c r="J917" s="2">
        <f ca="1">IFERROR(__xludf.DUMMYFUNCTION("""COMPUTED_VALUE"""),30000)</f>
        <v>30000</v>
      </c>
      <c r="K917" s="2">
        <f ca="1">IFERROR(__xludf.DUMMYFUNCTION("""COMPUTED_VALUE"""),54000)</f>
        <v>54000</v>
      </c>
      <c r="L917" s="2" t="str">
        <f ca="1">IFERROR(__xludf.DUMMYFUNCTION("""COMPUTED_VALUE"""),"65fa0dbb")</f>
        <v>65fa0dbb</v>
      </c>
      <c r="M917" s="2" t="str">
        <f ca="1">IFERROR(__xludf.DUMMYFUNCTION("""COMPUTED_VALUE"""),"Chardonnay Calia Venta")</f>
        <v>Chardonnay Calia Venta</v>
      </c>
      <c r="N917" s="2"/>
      <c r="O917" s="2" t="str">
        <f ca="1">IFERROR(__xludf.DUMMYFUNCTION("""COMPUTED_VALUE"""),"Descubada")</f>
        <v>Descubada</v>
      </c>
      <c r="P917" s="2" t="str">
        <f ca="1">IFERROR(__xludf.DUMMYFUNCTION("""COMPUTED_VALUE"""),"Traslado Venta")</f>
        <v>Traslado Venta</v>
      </c>
      <c r="Q917" s="2" t="b">
        <f ca="1">IFERROR(__xludf.DUMMYFUNCTION("""COMPUTED_VALUE"""),TRUE)</f>
        <v>1</v>
      </c>
      <c r="R917" s="2" t="str">
        <f ca="1">IFERROR(__xludf.DUMMYFUNCTION("""COMPUTED_VALUE"""),"Traslado Venta")</f>
        <v>Traslado Venta</v>
      </c>
      <c r="S917" s="2"/>
      <c r="T917" s="2"/>
      <c r="U917" s="2" t="str">
        <f ca="1">IFERROR(__xludf.DUMMYFUNCTION("""COMPUTED_VALUE"""),"1+")</f>
        <v>1+</v>
      </c>
    </row>
    <row r="918" spans="1:21" x14ac:dyDescent="0.25">
      <c r="A918" s="2" t="str">
        <f ca="1">IFERROR(__xludf.DUMMYFUNCTION("""COMPUTED_VALUE"""),"b1e35869")</f>
        <v>b1e35869</v>
      </c>
      <c r="B918" s="5">
        <f ca="1">IFERROR(__xludf.DUMMYFUNCTION("""COMPUTED_VALUE"""),45880.7073148148)</f>
        <v>45880.707314814797</v>
      </c>
      <c r="C918" s="2" t="str">
        <f ca="1">IFERROR(__xludf.DUMMYFUNCTION("""COMPUTED_VALUE"""),"a1e13111")</f>
        <v>a1e13111</v>
      </c>
      <c r="D918" s="2">
        <f ca="1">IFERROR(__xludf.DUMMYFUNCTION("""COMPUTED_VALUE"""),32)</f>
        <v>32</v>
      </c>
      <c r="E918" s="2" t="str">
        <f ca="1">IFERROR(__xludf.DUMMYFUNCTION("""COMPUTED_VALUE"""),"Chardonnay (Filtra)")</f>
        <v>Chardonnay (Filtra)</v>
      </c>
      <c r="F918" s="2">
        <f ca="1">IFERROR(__xludf.DUMMYFUNCTION("""COMPUTED_VALUE"""),36300)</f>
        <v>36300</v>
      </c>
      <c r="G918" s="2">
        <f ca="1">IFERROR(__xludf.DUMMYFUNCTION("""COMPUTED_VALUE"""),500)</f>
        <v>500</v>
      </c>
      <c r="H918" s="2" t="str">
        <f ca="1">IFERROR(__xludf.DUMMYFUNCTION("""COMPUTED_VALUE"""),"65fa0dbb")</f>
        <v>65fa0dbb</v>
      </c>
      <c r="I918" s="2" t="str">
        <f ca="1">IFERROR(__xludf.DUMMYFUNCTION("""COMPUTED_VALUE"""),"Chardonnay Calia Venta")</f>
        <v>Chardonnay Calia Venta</v>
      </c>
      <c r="J918" s="2">
        <f ca="1">IFERROR(__xludf.DUMMYFUNCTION("""COMPUTED_VALUE"""),54000)</f>
        <v>54000</v>
      </c>
      <c r="K918" s="2">
        <f ca="1">IFERROR(__xludf.DUMMYFUNCTION("""COMPUTED_VALUE"""),90300)</f>
        <v>90300</v>
      </c>
      <c r="L918" s="2" t="str">
        <f ca="1">IFERROR(__xludf.DUMMYFUNCTION("""COMPUTED_VALUE"""),"2a8efe4b")</f>
        <v>2a8efe4b</v>
      </c>
      <c r="M918" s="2" t="str">
        <f ca="1">IFERROR(__xludf.DUMMYFUNCTION("""COMPUTED_VALUE"""),"Chardonnay Calia Venta")</f>
        <v>Chardonnay Calia Venta</v>
      </c>
      <c r="N918" s="2"/>
      <c r="O918" s="2" t="str">
        <f ca="1">IFERROR(__xludf.DUMMYFUNCTION("""COMPUTED_VALUE"""),"Descubada")</f>
        <v>Descubada</v>
      </c>
      <c r="P918" s="2" t="str">
        <f ca="1">IFERROR(__xludf.DUMMYFUNCTION("""COMPUTED_VALUE"""),"Traslado Venta")</f>
        <v>Traslado Venta</v>
      </c>
      <c r="Q918" s="2" t="b">
        <f ca="1">IFERROR(__xludf.DUMMYFUNCTION("""COMPUTED_VALUE"""),TRUE)</f>
        <v>1</v>
      </c>
      <c r="R918" s="2" t="str">
        <f ca="1">IFERROR(__xludf.DUMMYFUNCTION("""COMPUTED_VALUE"""),"Traslado Venta")</f>
        <v>Traslado Venta</v>
      </c>
      <c r="S918" s="2"/>
      <c r="T918" s="2"/>
      <c r="U918" s="2" t="str">
        <f ca="1">IFERROR(__xludf.DUMMYFUNCTION("""COMPUTED_VALUE"""),"1+")</f>
        <v>1+</v>
      </c>
    </row>
    <row r="919" spans="1:21" x14ac:dyDescent="0.25">
      <c r="A919" s="2" t="str">
        <f ca="1">IFERROR(__xludf.DUMMYFUNCTION("""COMPUTED_VALUE"""),"fb99f586")</f>
        <v>fb99f586</v>
      </c>
      <c r="B919" s="5">
        <f ca="1">IFERROR(__xludf.DUMMYFUNCTION("""COMPUTED_VALUE"""),45880.7079282407)</f>
        <v>45880.707928240699</v>
      </c>
      <c r="C919" s="2" t="str">
        <f ca="1">IFERROR(__xludf.DUMMYFUNCTION("""COMPUTED_VALUE"""),"5cdb12ce")</f>
        <v>5cdb12ce</v>
      </c>
      <c r="D919" s="2">
        <f ca="1">IFERROR(__xludf.DUMMYFUNCTION("""COMPUTED_VALUE"""),47)</f>
        <v>47</v>
      </c>
      <c r="E919" s="2" t="str">
        <f ca="1">IFERROR(__xludf.DUMMYFUNCTION("""COMPUTED_VALUE"""),"Chenin")</f>
        <v>Chenin</v>
      </c>
      <c r="F919" s="2">
        <f ca="1">IFERROR(__xludf.DUMMYFUNCTION("""COMPUTED_VALUE"""),20000)</f>
        <v>20000</v>
      </c>
      <c r="G919" s="2">
        <f ca="1">IFERROR(__xludf.DUMMYFUNCTION("""COMPUTED_VALUE"""),500)</f>
        <v>500</v>
      </c>
      <c r="H919" s="2" t="str">
        <f ca="1">IFERROR(__xludf.DUMMYFUNCTION("""COMPUTED_VALUE"""),"2a8efe4b")</f>
        <v>2a8efe4b</v>
      </c>
      <c r="I919" s="2" t="str">
        <f ca="1">IFERROR(__xludf.DUMMYFUNCTION("""COMPUTED_VALUE"""),"Chardonnay Calia Venta")</f>
        <v>Chardonnay Calia Venta</v>
      </c>
      <c r="J919" s="2">
        <f ca="1">IFERROR(__xludf.DUMMYFUNCTION("""COMPUTED_VALUE"""),90300)</f>
        <v>90300</v>
      </c>
      <c r="K919" s="2">
        <f ca="1">IFERROR(__xludf.DUMMYFUNCTION("""COMPUTED_VALUE"""),110300)</f>
        <v>110300</v>
      </c>
      <c r="L919" s="2" t="str">
        <f ca="1">IFERROR(__xludf.DUMMYFUNCTION("""COMPUTED_VALUE"""),"e8a80129")</f>
        <v>e8a80129</v>
      </c>
      <c r="M919" s="2" t="str">
        <f ca="1">IFERROR(__xludf.DUMMYFUNCTION("""COMPUTED_VALUE"""),"Chardonnay Calia Venta")</f>
        <v>Chardonnay Calia Venta</v>
      </c>
      <c r="N919" s="2"/>
      <c r="O919" s="2" t="str">
        <f ca="1">IFERROR(__xludf.DUMMYFUNCTION("""COMPUTED_VALUE"""),"Descubada")</f>
        <v>Descubada</v>
      </c>
      <c r="P919" s="2" t="str">
        <f ca="1">IFERROR(__xludf.DUMMYFUNCTION("""COMPUTED_VALUE"""),"Traslado Venta")</f>
        <v>Traslado Venta</v>
      </c>
      <c r="Q919" s="2" t="b">
        <f ca="1">IFERROR(__xludf.DUMMYFUNCTION("""COMPUTED_VALUE"""),TRUE)</f>
        <v>1</v>
      </c>
      <c r="R919" s="2" t="str">
        <f ca="1">IFERROR(__xludf.DUMMYFUNCTION("""COMPUTED_VALUE"""),"Traslado Venta")</f>
        <v>Traslado Venta</v>
      </c>
      <c r="S919" s="2"/>
      <c r="T919" s="2"/>
      <c r="U919" s="2" t="str">
        <f ca="1">IFERROR(__xludf.DUMMYFUNCTION("""COMPUTED_VALUE"""),"1+")</f>
        <v>1+</v>
      </c>
    </row>
    <row r="920" spans="1:21" x14ac:dyDescent="0.25">
      <c r="A920" s="2" t="str">
        <f ca="1">IFERROR(__xludf.DUMMYFUNCTION("""COMPUTED_VALUE"""),"c2922f20")</f>
        <v>c2922f20</v>
      </c>
      <c r="B920" s="5">
        <f ca="1">IFERROR(__xludf.DUMMYFUNCTION("""COMPUTED_VALUE"""),45880.7082523148)</f>
        <v>45880.708252314798</v>
      </c>
      <c r="C920" s="2" t="str">
        <f ca="1">IFERROR(__xludf.DUMMYFUNCTION("""COMPUTED_VALUE"""),"dcaf5b39")</f>
        <v>dcaf5b39</v>
      </c>
      <c r="D920" s="2">
        <f ca="1">IFERROR(__xludf.DUMMYFUNCTION("""COMPUTED_VALUE"""),11)</f>
        <v>11</v>
      </c>
      <c r="E920" s="2" t="str">
        <f ca="1">IFERROR(__xludf.DUMMYFUNCTION("""COMPUTED_VALUE"""),"Chardonnay")</f>
        <v>Chardonnay</v>
      </c>
      <c r="F920" s="2">
        <f ca="1">IFERROR(__xludf.DUMMYFUNCTION("""COMPUTED_VALUE"""),25000)</f>
        <v>25000</v>
      </c>
      <c r="G920" s="2">
        <f ca="1">IFERROR(__xludf.DUMMYFUNCTION("""COMPUTED_VALUE"""),500)</f>
        <v>500</v>
      </c>
      <c r="H920" s="2" t="str">
        <f ca="1">IFERROR(__xludf.DUMMYFUNCTION("""COMPUTED_VALUE"""),"e8a80129")</f>
        <v>e8a80129</v>
      </c>
      <c r="I920" s="2" t="str">
        <f ca="1">IFERROR(__xludf.DUMMYFUNCTION("""COMPUTED_VALUE"""),"Chardonnay Calia Venta")</f>
        <v>Chardonnay Calia Venta</v>
      </c>
      <c r="J920" s="2">
        <f ca="1">IFERROR(__xludf.DUMMYFUNCTION("""COMPUTED_VALUE"""),110300)</f>
        <v>110300</v>
      </c>
      <c r="K920" s="2">
        <f ca="1">IFERROR(__xludf.DUMMYFUNCTION("""COMPUTED_VALUE"""),135300)</f>
        <v>135300</v>
      </c>
      <c r="L920" s="2" t="str">
        <f ca="1">IFERROR(__xludf.DUMMYFUNCTION("""COMPUTED_VALUE"""),"86648be2")</f>
        <v>86648be2</v>
      </c>
      <c r="M920" s="2" t="str">
        <f ca="1">IFERROR(__xludf.DUMMYFUNCTION("""COMPUTED_VALUE"""),"Chardonnay Calia Venta")</f>
        <v>Chardonnay Calia Venta</v>
      </c>
      <c r="N920" s="2"/>
      <c r="O920" s="2" t="str">
        <f ca="1">IFERROR(__xludf.DUMMYFUNCTION("""COMPUTED_VALUE"""),"1er Trasiego")</f>
        <v>1er Trasiego</v>
      </c>
      <c r="P920" s="2" t="str">
        <f ca="1">IFERROR(__xludf.DUMMYFUNCTION("""COMPUTED_VALUE"""),"Traslado Venta")</f>
        <v>Traslado Venta</v>
      </c>
      <c r="Q920" s="2" t="b">
        <f ca="1">IFERROR(__xludf.DUMMYFUNCTION("""COMPUTED_VALUE"""),TRUE)</f>
        <v>1</v>
      </c>
      <c r="R920" s="2" t="str">
        <f ca="1">IFERROR(__xludf.DUMMYFUNCTION("""COMPUTED_VALUE"""),"Traslado Venta")</f>
        <v>Traslado Venta</v>
      </c>
      <c r="S920" s="2"/>
      <c r="T920" s="2"/>
      <c r="U920" s="2" t="str">
        <f ca="1">IFERROR(__xludf.DUMMYFUNCTION("""COMPUTED_VALUE"""),"1+")</f>
        <v>1+</v>
      </c>
    </row>
    <row r="921" spans="1:21" x14ac:dyDescent="0.25">
      <c r="A921" s="2" t="str">
        <f ca="1">IFERROR(__xludf.DUMMYFUNCTION("""COMPUTED_VALUE"""),"e5a39ca6")</f>
        <v>e5a39ca6</v>
      </c>
      <c r="B921" s="5">
        <f ca="1">IFERROR(__xludf.DUMMYFUNCTION("""COMPUTED_VALUE"""),45880.7132407407)</f>
        <v>45880.713240740697</v>
      </c>
      <c r="C921" s="2" t="str">
        <f ca="1">IFERROR(__xludf.DUMMYFUNCTION("""COMPUTED_VALUE"""),"589807bc")</f>
        <v>589807bc</v>
      </c>
      <c r="D921" s="2">
        <f ca="1">IFERROR(__xludf.DUMMYFUNCTION("""COMPUTED_VALUE"""),121)</f>
        <v>121</v>
      </c>
      <c r="E921" s="2" t="str">
        <f ca="1">IFERROR(__xludf.DUMMYFUNCTION("""COMPUTED_VALUE"""),"Malbec")</f>
        <v>Malbec</v>
      </c>
      <c r="F921" s="2">
        <f ca="1">IFERROR(__xludf.DUMMYFUNCTION("""COMPUTED_VALUE"""),22000)</f>
        <v>22000</v>
      </c>
      <c r="G921" s="2">
        <f ca="1">IFERROR(__xludf.DUMMYFUNCTION("""COMPUTED_VALUE"""),83)</f>
        <v>83</v>
      </c>
      <c r="H921" s="2" t="str">
        <f ca="1">IFERROR(__xludf.DUMMYFUNCTION("""COMPUTED_VALUE"""),"8e0dc7e2")</f>
        <v>8e0dc7e2</v>
      </c>
      <c r="I921" s="2" t="str">
        <f ca="1">IFERROR(__xludf.DUMMYFUNCTION("""COMPUTED_VALUE"""),"Malbec")</f>
        <v>Malbec</v>
      </c>
      <c r="J921" s="2">
        <f ca="1">IFERROR(__xludf.DUMMYFUNCTION("""COMPUTED_VALUE"""),28300)</f>
        <v>28300</v>
      </c>
      <c r="K921" s="2">
        <f ca="1">IFERROR(__xludf.DUMMYFUNCTION("""COMPUTED_VALUE"""),50300)</f>
        <v>50300</v>
      </c>
      <c r="L921" s="2" t="str">
        <f ca="1">IFERROR(__xludf.DUMMYFUNCTION("""COMPUTED_VALUE"""),"2ec84947")</f>
        <v>2ec84947</v>
      </c>
      <c r="M921" s="2" t="str">
        <f ca="1">IFERROR(__xludf.DUMMYFUNCTION("""COMPUTED_VALUE"""),"Malbec")</f>
        <v>Malbec</v>
      </c>
      <c r="N921" s="2"/>
      <c r="O921" s="2" t="str">
        <f ca="1">IFERROR(__xludf.DUMMYFUNCTION("""COMPUTED_VALUE"""),"2do Trasiego")</f>
        <v>2do Trasiego</v>
      </c>
      <c r="P921" s="2" t="str">
        <f ca="1">IFERROR(__xludf.DUMMYFUNCTION("""COMPUTED_VALUE"""),"Filtrado Tang")</f>
        <v>Filtrado Tang</v>
      </c>
      <c r="Q921" s="2" t="b">
        <f ca="1">IFERROR(__xludf.DUMMYFUNCTION("""COMPUTED_VALUE"""),TRUE)</f>
        <v>1</v>
      </c>
      <c r="R921" s="2" t="str">
        <f ca="1">IFERROR(__xludf.DUMMYFUNCTION("""COMPUTED_VALUE"""),"Filtrado Tang")</f>
        <v>Filtrado Tang</v>
      </c>
      <c r="S921" s="2"/>
      <c r="T921" s="2"/>
      <c r="U921" s="2" t="str">
        <f ca="1">IFERROR(__xludf.DUMMYFUNCTION("""COMPUTED_VALUE"""),"2+")</f>
        <v>2+</v>
      </c>
    </row>
    <row r="922" spans="1:21" x14ac:dyDescent="0.25">
      <c r="A922" s="2" t="str">
        <f ca="1">IFERROR(__xludf.DUMMYFUNCTION("""COMPUTED_VALUE"""),"016c21d2")</f>
        <v>016c21d2</v>
      </c>
      <c r="B922" s="5">
        <f ca="1">IFERROR(__xludf.DUMMYFUNCTION("""COMPUTED_VALUE"""),45880.7135185185)</f>
        <v>45880.713518518503</v>
      </c>
      <c r="C922" s="2" t="str">
        <f ca="1">IFERROR(__xludf.DUMMYFUNCTION("""COMPUTED_VALUE"""),"589807bc")</f>
        <v>589807bc</v>
      </c>
      <c r="D922" s="2">
        <f ca="1">IFERROR(__xludf.DUMMYFUNCTION("""COMPUTED_VALUE"""),121)</f>
        <v>121</v>
      </c>
      <c r="E922" s="2" t="str">
        <f ca="1">IFERROR(__xludf.DUMMYFUNCTION("""COMPUTED_VALUE"""),"Malbec")</f>
        <v>Malbec</v>
      </c>
      <c r="F922" s="2">
        <f ca="1">IFERROR(__xludf.DUMMYFUNCTION("""COMPUTED_VALUE"""),31000)</f>
        <v>31000</v>
      </c>
      <c r="G922" s="2">
        <f ca="1">IFERROR(__xludf.DUMMYFUNCTION("""COMPUTED_VALUE"""),83)</f>
        <v>83</v>
      </c>
      <c r="H922" s="2" t="str">
        <f ca="1">IFERROR(__xludf.DUMMYFUNCTION("""COMPUTED_VALUE"""),"2ec84947")</f>
        <v>2ec84947</v>
      </c>
      <c r="I922" s="2" t="str">
        <f ca="1">IFERROR(__xludf.DUMMYFUNCTION("""COMPUTED_VALUE"""),"Malbec")</f>
        <v>Malbec</v>
      </c>
      <c r="J922" s="2">
        <f ca="1">IFERROR(__xludf.DUMMYFUNCTION("""COMPUTED_VALUE"""),50300)</f>
        <v>50300</v>
      </c>
      <c r="K922" s="2">
        <f ca="1">IFERROR(__xludf.DUMMYFUNCTION("""COMPUTED_VALUE"""),81300)</f>
        <v>81300</v>
      </c>
      <c r="L922" s="2" t="str">
        <f ca="1">IFERROR(__xludf.DUMMYFUNCTION("""COMPUTED_VALUE"""),"c9bdb7c9")</f>
        <v>c9bdb7c9</v>
      </c>
      <c r="M922" s="2" t="str">
        <f ca="1">IFERROR(__xludf.DUMMYFUNCTION("""COMPUTED_VALUE"""),"Malbec")</f>
        <v>Malbec</v>
      </c>
      <c r="N922" s="2"/>
      <c r="O922" s="2" t="str">
        <f ca="1">IFERROR(__xludf.DUMMYFUNCTION("""COMPUTED_VALUE"""),"2do Trasiego")</f>
        <v>2do Trasiego</v>
      </c>
      <c r="P922" s="2" t="str">
        <f ca="1">IFERROR(__xludf.DUMMYFUNCTION("""COMPUTED_VALUE"""),"Filtrado Tang")</f>
        <v>Filtrado Tang</v>
      </c>
      <c r="Q922" s="2" t="b">
        <f ca="1">IFERROR(__xludf.DUMMYFUNCTION("""COMPUTED_VALUE"""),TRUE)</f>
        <v>1</v>
      </c>
      <c r="R922" s="2" t="str">
        <f ca="1">IFERROR(__xludf.DUMMYFUNCTION("""COMPUTED_VALUE"""),"Filtrado Tang")</f>
        <v>Filtrado Tang</v>
      </c>
      <c r="S922" s="2"/>
      <c r="T922" s="2"/>
      <c r="U922" s="2" t="str">
        <f ca="1">IFERROR(__xludf.DUMMYFUNCTION("""COMPUTED_VALUE"""),"2+")</f>
        <v>2+</v>
      </c>
    </row>
    <row r="923" spans="1:21" x14ac:dyDescent="0.25">
      <c r="A923" s="2" t="str">
        <f ca="1">IFERROR(__xludf.DUMMYFUNCTION("""COMPUTED_VALUE"""),"9d703ac8")</f>
        <v>9d703ac8</v>
      </c>
      <c r="B923" s="5">
        <f ca="1">IFERROR(__xludf.DUMMYFUNCTION("""COMPUTED_VALUE"""),45880.7145023148)</f>
        <v>45880.714502314797</v>
      </c>
      <c r="C923" s="2" t="str">
        <f ca="1">IFERROR(__xludf.DUMMYFUNCTION("""COMPUTED_VALUE"""),"589807bc")</f>
        <v>589807bc</v>
      </c>
      <c r="D923" s="2">
        <f ca="1">IFERROR(__xludf.DUMMYFUNCTION("""COMPUTED_VALUE"""),121)</f>
        <v>121</v>
      </c>
      <c r="E923" s="2" t="str">
        <f ca="1">IFERROR(__xludf.DUMMYFUNCTION("""COMPUTED_VALUE"""),"Malbec")</f>
        <v>Malbec</v>
      </c>
      <c r="F923" s="2">
        <f ca="1">IFERROR(__xludf.DUMMYFUNCTION("""COMPUTED_VALUE"""),200)</f>
        <v>200</v>
      </c>
      <c r="G923" s="2">
        <f ca="1">IFERROR(__xludf.DUMMYFUNCTION("""COMPUTED_VALUE"""),83)</f>
        <v>83</v>
      </c>
      <c r="H923" s="2" t="str">
        <f ca="1">IFERROR(__xludf.DUMMYFUNCTION("""COMPUTED_VALUE"""),"c9bdb7c9")</f>
        <v>c9bdb7c9</v>
      </c>
      <c r="I923" s="2" t="str">
        <f ca="1">IFERROR(__xludf.DUMMYFUNCTION("""COMPUTED_VALUE"""),"Malbec")</f>
        <v>Malbec</v>
      </c>
      <c r="J923" s="2">
        <f ca="1">IFERROR(__xludf.DUMMYFUNCTION("""COMPUTED_VALUE"""),81300)</f>
        <v>81300</v>
      </c>
      <c r="K923" s="2">
        <f ca="1">IFERROR(__xludf.DUMMYFUNCTION("""COMPUTED_VALUE"""),81500)</f>
        <v>81500</v>
      </c>
      <c r="L923" s="2" t="str">
        <f ca="1">IFERROR(__xludf.DUMMYFUNCTION("""COMPUTED_VALUE"""),"32396d27")</f>
        <v>32396d27</v>
      </c>
      <c r="M923" s="2" t="str">
        <f ca="1">IFERROR(__xludf.DUMMYFUNCTION("""COMPUTED_VALUE"""),"Malbec")</f>
        <v>Malbec</v>
      </c>
      <c r="N923" s="2"/>
      <c r="O923" s="2" t="str">
        <f ca="1">IFERROR(__xludf.DUMMYFUNCTION("""COMPUTED_VALUE"""),"2do Trasiego")</f>
        <v>2do Trasiego</v>
      </c>
      <c r="P923" s="2" t="str">
        <f ca="1">IFERROR(__xludf.DUMMYFUNCTION("""COMPUTED_VALUE"""),"Filtrado Tang")</f>
        <v>Filtrado Tang</v>
      </c>
      <c r="Q923" s="2" t="b">
        <f ca="1">IFERROR(__xludf.DUMMYFUNCTION("""COMPUTED_VALUE"""),TRUE)</f>
        <v>1</v>
      </c>
      <c r="R923" s="2" t="str">
        <f ca="1">IFERROR(__xludf.DUMMYFUNCTION("""COMPUTED_VALUE"""),"Filtrado Tang")</f>
        <v>Filtrado Tang</v>
      </c>
      <c r="S923" s="2"/>
      <c r="T923" s="2"/>
      <c r="U923" s="2" t="str">
        <f ca="1">IFERROR(__xludf.DUMMYFUNCTION("""COMPUTED_VALUE"""),"2+")</f>
        <v>2+</v>
      </c>
    </row>
    <row r="924" spans="1:21" x14ac:dyDescent="0.25">
      <c r="A924" s="2" t="str">
        <f ca="1">IFERROR(__xludf.DUMMYFUNCTION("""COMPUTED_VALUE"""),"72cd8195")</f>
        <v>72cd8195</v>
      </c>
      <c r="B924" s="5">
        <f ca="1">IFERROR(__xludf.DUMMYFUNCTION("""COMPUTED_VALUE"""),45880.7202662037)</f>
        <v>45880.720266203702</v>
      </c>
      <c r="C924" s="2" t="str">
        <f ca="1">IFERROR(__xludf.DUMMYFUNCTION("""COMPUTED_VALUE"""),"63b0e73c")</f>
        <v>63b0e73c</v>
      </c>
      <c r="D924" s="2">
        <f ca="1">IFERROR(__xludf.DUMMYFUNCTION("""COMPUTED_VALUE"""),6)</f>
        <v>6</v>
      </c>
      <c r="E924" s="2" t="str">
        <f ca="1">IFERROR(__xludf.DUMMYFUNCTION("""COMPUTED_VALUE"""),"Aspirant Anccelota Gota")</f>
        <v>Aspirant Anccelota Gota</v>
      </c>
      <c r="F924" s="2">
        <f ca="1">IFERROR(__xludf.DUMMYFUNCTION("""COMPUTED_VALUE"""),1000)</f>
        <v>1000</v>
      </c>
      <c r="G924" s="2">
        <f ca="1">IFERROR(__xludf.DUMMYFUNCTION("""COMPUTED_VALUE"""),500)</f>
        <v>500</v>
      </c>
      <c r="H924" s="2" t="str">
        <f ca="1">IFERROR(__xludf.DUMMYFUNCTION("""COMPUTED_VALUE"""),"30c122f9")</f>
        <v>30c122f9</v>
      </c>
      <c r="I924" s="2" t="str">
        <f ca="1">IFERROR(__xludf.DUMMYFUNCTION("""COMPUTED_VALUE"""),"Ajuste 11/08/25")</f>
        <v>Ajuste 11/08/25</v>
      </c>
      <c r="J924" s="2">
        <f ca="1">IFERROR(__xludf.DUMMYFUNCTION("""COMPUTED_VALUE"""),200000)</f>
        <v>200000</v>
      </c>
      <c r="K924" s="2">
        <f ca="1">IFERROR(__xludf.DUMMYFUNCTION("""COMPUTED_VALUE"""),201000)</f>
        <v>201000</v>
      </c>
      <c r="L924" s="2" t="str">
        <f ca="1">IFERROR(__xludf.DUMMYFUNCTION("""COMPUTED_VALUE"""),"21674f90")</f>
        <v>21674f90</v>
      </c>
      <c r="M924" s="2" t="str">
        <f ca="1">IFERROR(__xludf.DUMMYFUNCTION("""COMPUTED_VALUE"""),"Ajuste 11/08/25")</f>
        <v>Ajuste 11/08/25</v>
      </c>
      <c r="N924" s="2"/>
      <c r="O924" s="2" t="str">
        <f ca="1">IFERROR(__xludf.DUMMYFUNCTION("""COMPUTED_VALUE"""),"2do Trasiego")</f>
        <v>2do Trasiego</v>
      </c>
      <c r="P924" s="2" t="str">
        <f ca="1">IFERROR(__xludf.DUMMYFUNCTION("""COMPUTED_VALUE"""),"Terminado")</f>
        <v>Terminado</v>
      </c>
      <c r="Q924" s="2" t="b">
        <f ca="1">IFERROR(__xludf.DUMMYFUNCTION("""COMPUTED_VALUE"""),TRUE)</f>
        <v>1</v>
      </c>
      <c r="R924" s="2" t="str">
        <f ca="1">IFERROR(__xludf.DUMMYFUNCTION("""COMPUTED_VALUE"""),"Terminado")</f>
        <v>Terminado</v>
      </c>
      <c r="S924" s="2"/>
      <c r="T924" s="2"/>
      <c r="U924" s="2"/>
    </row>
    <row r="925" spans="1:21" x14ac:dyDescent="0.25">
      <c r="A925" s="2" t="str">
        <f ca="1">IFERROR(__xludf.DUMMYFUNCTION("""COMPUTED_VALUE"""),"689de1f7")</f>
        <v>689de1f7</v>
      </c>
      <c r="B925" s="5">
        <f ca="1">IFERROR(__xludf.DUMMYFUNCTION("""COMPUTED_VALUE"""),45880.7221875)</f>
        <v>45880.722187500003</v>
      </c>
      <c r="C925" s="2" t="str">
        <f ca="1">IFERROR(__xludf.DUMMYFUNCTION("""COMPUTED_VALUE"""),"aa02cc0a")</f>
        <v>aa02cc0a</v>
      </c>
      <c r="D925" s="2">
        <f ca="1">IFERROR(__xludf.DUMMYFUNCTION("""COMPUTED_VALUE"""),86)</f>
        <v>86</v>
      </c>
      <c r="E925" s="2" t="str">
        <f ca="1">IFERROR(__xludf.DUMMYFUNCTION("""COMPUTED_VALUE"""),"Syrah")</f>
        <v>Syrah</v>
      </c>
      <c r="F925" s="2">
        <f ca="1">IFERROR(__xludf.DUMMYFUNCTION("""COMPUTED_VALUE"""),-1000)</f>
        <v>-1000</v>
      </c>
      <c r="G925" s="2">
        <f ca="1">IFERROR(__xludf.DUMMYFUNCTION("""COMPUTED_VALUE"""),500)</f>
        <v>500</v>
      </c>
      <c r="H925" s="2" t="str">
        <f ca="1">IFERROR(__xludf.DUMMYFUNCTION("""COMPUTED_VALUE"""),"21674f90")</f>
        <v>21674f90</v>
      </c>
      <c r="I925" s="2" t="str">
        <f ca="1">IFERROR(__xludf.DUMMYFUNCTION("""COMPUTED_VALUE"""),"Ajuste 11/08/25")</f>
        <v>Ajuste 11/08/25</v>
      </c>
      <c r="J925" s="2">
        <f ca="1">IFERROR(__xludf.DUMMYFUNCTION("""COMPUTED_VALUE"""),201000)</f>
        <v>201000</v>
      </c>
      <c r="K925" s="2">
        <f ca="1">IFERROR(__xludf.DUMMYFUNCTION("""COMPUTED_VALUE"""),200000)</f>
        <v>200000</v>
      </c>
      <c r="L925" s="2" t="str">
        <f ca="1">IFERROR(__xludf.DUMMYFUNCTION("""COMPUTED_VALUE"""),"19243587")</f>
        <v>19243587</v>
      </c>
      <c r="M925" s="2" t="str">
        <f ca="1">IFERROR(__xludf.DUMMYFUNCTION("""COMPUTED_VALUE"""),"Ajuste 11/08/25")</f>
        <v>Ajuste 11/08/25</v>
      </c>
      <c r="N925" s="2"/>
      <c r="O925" s="2" t="str">
        <f ca="1">IFERROR(__xludf.DUMMYFUNCTION("""COMPUTED_VALUE"""),"2do Trasiego")</f>
        <v>2do Trasiego</v>
      </c>
      <c r="P925" s="2" t="str">
        <f ca="1">IFERROR(__xludf.DUMMYFUNCTION("""COMPUTED_VALUE"""),"Terminado")</f>
        <v>Terminado</v>
      </c>
      <c r="Q925" s="2" t="b">
        <f ca="1">IFERROR(__xludf.DUMMYFUNCTION("""COMPUTED_VALUE"""),TRUE)</f>
        <v>1</v>
      </c>
      <c r="R925" s="2" t="str">
        <f ca="1">IFERROR(__xludf.DUMMYFUNCTION("""COMPUTED_VALUE"""),"Terminado")</f>
        <v>Terminado</v>
      </c>
      <c r="S925" s="2"/>
      <c r="T925" s="2"/>
      <c r="U925" s="2"/>
    </row>
    <row r="926" spans="1:21" x14ac:dyDescent="0.25">
      <c r="A926" s="2" t="str">
        <f ca="1">IFERROR(__xludf.DUMMYFUNCTION("""COMPUTED_VALUE"""),"312b14eb")</f>
        <v>312b14eb</v>
      </c>
      <c r="B926" s="5">
        <f ca="1">IFERROR(__xludf.DUMMYFUNCTION("""COMPUTED_VALUE"""),45880.7242824074)</f>
        <v>45880.724282407398</v>
      </c>
      <c r="C926" s="2" t="str">
        <f ca="1">IFERROR(__xludf.DUMMYFUNCTION("""COMPUTED_VALUE"""),"aa02cc0a")</f>
        <v>aa02cc0a</v>
      </c>
      <c r="D926" s="2">
        <f ca="1">IFERROR(__xludf.DUMMYFUNCTION("""COMPUTED_VALUE"""),86)</f>
        <v>86</v>
      </c>
      <c r="E926" s="2" t="str">
        <f ca="1">IFERROR(__xludf.DUMMYFUNCTION("""COMPUTED_VALUE"""),"Syrah")</f>
        <v>Syrah</v>
      </c>
      <c r="F926" s="2">
        <f ca="1">IFERROR(__xludf.DUMMYFUNCTION("""COMPUTED_VALUE"""),1600)</f>
        <v>1600</v>
      </c>
      <c r="G926" s="2">
        <f ca="1">IFERROR(__xludf.DUMMYFUNCTION("""COMPUTED_VALUE"""),500)</f>
        <v>500</v>
      </c>
      <c r="H926" s="2" t="str">
        <f ca="1">IFERROR(__xludf.DUMMYFUNCTION("""COMPUTED_VALUE"""),"19243587")</f>
        <v>19243587</v>
      </c>
      <c r="I926" s="2" t="str">
        <f ca="1">IFERROR(__xludf.DUMMYFUNCTION("""COMPUTED_VALUE"""),"Ajuste 11/08/25")</f>
        <v>Ajuste 11/08/25</v>
      </c>
      <c r="J926" s="2">
        <f ca="1">IFERROR(__xludf.DUMMYFUNCTION("""COMPUTED_VALUE"""),600)</f>
        <v>600</v>
      </c>
      <c r="K926" s="2">
        <f ca="1">IFERROR(__xludf.DUMMYFUNCTION("""COMPUTED_VALUE"""),2200)</f>
        <v>2200</v>
      </c>
      <c r="L926" s="2" t="str">
        <f ca="1">IFERROR(__xludf.DUMMYFUNCTION("""COMPUTED_VALUE"""),"613e2a90")</f>
        <v>613e2a90</v>
      </c>
      <c r="M926" s="2" t="str">
        <f ca="1">IFERROR(__xludf.DUMMYFUNCTION("""COMPUTED_VALUE"""),"Ajuste 11/08/25")</f>
        <v>Ajuste 11/08/25</v>
      </c>
      <c r="N926" s="2"/>
      <c r="O926" s="2" t="str">
        <f ca="1">IFERROR(__xludf.DUMMYFUNCTION("""COMPUTED_VALUE"""),"2do Trasiego")</f>
        <v>2do Trasiego</v>
      </c>
      <c r="P926" s="2" t="str">
        <f ca="1">IFERROR(__xludf.DUMMYFUNCTION("""COMPUTED_VALUE"""),"Terminado")</f>
        <v>Terminado</v>
      </c>
      <c r="Q926" s="2" t="b">
        <f ca="1">IFERROR(__xludf.DUMMYFUNCTION("""COMPUTED_VALUE"""),TRUE)</f>
        <v>1</v>
      </c>
      <c r="R926" s="2" t="str">
        <f ca="1">IFERROR(__xludf.DUMMYFUNCTION("""COMPUTED_VALUE"""),"Terminado")</f>
        <v>Terminado</v>
      </c>
      <c r="S926" s="2"/>
      <c r="T926" s="2"/>
      <c r="U926" s="2"/>
    </row>
    <row r="927" spans="1:21" x14ac:dyDescent="0.25">
      <c r="A927" s="2" t="str">
        <f ca="1">IFERROR(__xludf.DUMMYFUNCTION("""COMPUTED_VALUE"""),"74364005")</f>
        <v>74364005</v>
      </c>
      <c r="B927" s="5">
        <f ca="1">IFERROR(__xludf.DUMMYFUNCTION("""COMPUTED_VALUE"""),45880.7247916666)</f>
        <v>45880.724791666602</v>
      </c>
      <c r="C927" s="2" t="str">
        <f ca="1">IFERROR(__xludf.DUMMYFUNCTION("""COMPUTED_VALUE"""),"589807bc")</f>
        <v>589807bc</v>
      </c>
      <c r="D927" s="2">
        <f ca="1">IFERROR(__xludf.DUMMYFUNCTION("""COMPUTED_VALUE"""),121)</f>
        <v>121</v>
      </c>
      <c r="E927" s="2" t="str">
        <f ca="1">IFERROR(__xludf.DUMMYFUNCTION("""COMPUTED_VALUE"""),"Malbec")</f>
        <v>Malbec</v>
      </c>
      <c r="F927" s="2">
        <f ca="1">IFERROR(__xludf.DUMMYFUNCTION("""COMPUTED_VALUE"""),17600)</f>
        <v>17600</v>
      </c>
      <c r="G927" s="2">
        <f ca="1">IFERROR(__xludf.DUMMYFUNCTION("""COMPUTED_VALUE"""),86)</f>
        <v>86</v>
      </c>
      <c r="H927" s="2"/>
      <c r="I927" s="2"/>
      <c r="J927" s="2">
        <f ca="1">IFERROR(__xludf.DUMMYFUNCTION("""COMPUTED_VALUE"""),0)</f>
        <v>0</v>
      </c>
      <c r="K927" s="2">
        <f ca="1">IFERROR(__xludf.DUMMYFUNCTION("""COMPUTED_VALUE"""),1800)</f>
        <v>1800</v>
      </c>
      <c r="L927" s="2" t="str">
        <f ca="1">IFERROR(__xludf.DUMMYFUNCTION("""COMPUTED_VALUE"""),"02df7859")</f>
        <v>02df7859</v>
      </c>
      <c r="M927" s="2" t="str">
        <f ca="1">IFERROR(__xludf.DUMMYFUNCTION("""COMPUTED_VALUE"""),"Malbec")</f>
        <v>Malbec</v>
      </c>
      <c r="N927" s="2"/>
      <c r="O927" s="2" t="str">
        <f ca="1">IFERROR(__xludf.DUMMYFUNCTION("""COMPUTED_VALUE"""),"2do Trasiego")</f>
        <v>2do Trasiego</v>
      </c>
      <c r="P927" s="2"/>
      <c r="Q927" s="2" t="b">
        <f ca="1">IFERROR(__xludf.DUMMYFUNCTION("""COMPUTED_VALUE"""),FALSE)</f>
        <v>0</v>
      </c>
      <c r="R927" s="2" t="str">
        <f ca="1">IFERROR(__xludf.DUMMYFUNCTION("""COMPUTED_VALUE"""),"Filtrado Tang")</f>
        <v>Filtrado Tang</v>
      </c>
      <c r="S927" s="2"/>
      <c r="T927" s="2"/>
      <c r="U927" s="2" t="str">
        <f ca="1">IFERROR(__xludf.DUMMYFUNCTION("""COMPUTED_VALUE"""),"1-")</f>
        <v>1-</v>
      </c>
    </row>
    <row r="928" spans="1:21" x14ac:dyDescent="0.25">
      <c r="A928" s="2" t="str">
        <f ca="1">IFERROR(__xludf.DUMMYFUNCTION("""COMPUTED_VALUE"""),"e706d404")</f>
        <v>e706d404</v>
      </c>
      <c r="B928" s="5">
        <f ca="1">IFERROR(__xludf.DUMMYFUNCTION("""COMPUTED_VALUE"""),45882.7205671296)</f>
        <v>45882.720567129603</v>
      </c>
      <c r="C928" s="2" t="str">
        <f ca="1">IFERROR(__xludf.DUMMYFUNCTION("""COMPUTED_VALUE"""),"b3a40361")</f>
        <v>b3a40361</v>
      </c>
      <c r="D928" s="2">
        <f ca="1">IFERROR(__xludf.DUMMYFUNCTION("""COMPUTED_VALUE"""),24)</f>
        <v>24</v>
      </c>
      <c r="E928" s="2" t="str">
        <f ca="1">IFERROR(__xludf.DUMMYFUNCTION("""COMPUTED_VALUE"""),"Malbec")</f>
        <v>Malbec</v>
      </c>
      <c r="F928" s="2">
        <f ca="1">IFERROR(__xludf.DUMMYFUNCTION("""COMPUTED_VALUE"""),52000)</f>
        <v>52000</v>
      </c>
      <c r="G928" s="2">
        <f ca="1">IFERROR(__xludf.DUMMYFUNCTION("""COMPUTED_VALUE"""),86)</f>
        <v>86</v>
      </c>
      <c r="H928" s="2" t="str">
        <f ca="1">IFERROR(__xludf.DUMMYFUNCTION("""COMPUTED_VALUE"""),"02df7859")</f>
        <v>02df7859</v>
      </c>
      <c r="I928" s="2" t="str">
        <f ca="1">IFERROR(__xludf.DUMMYFUNCTION("""COMPUTED_VALUE"""),"Malbec")</f>
        <v>Malbec</v>
      </c>
      <c r="J928" s="2">
        <f ca="1">IFERROR(__xludf.DUMMYFUNCTION("""COMPUTED_VALUE"""),17600)</f>
        <v>17600</v>
      </c>
      <c r="K928" s="2">
        <f ca="1">IFERROR(__xludf.DUMMYFUNCTION("""COMPUTED_VALUE"""),69600)</f>
        <v>69600</v>
      </c>
      <c r="L928" s="2" t="str">
        <f ca="1">IFERROR(__xludf.DUMMYFUNCTION("""COMPUTED_VALUE"""),"a520ce5e")</f>
        <v>a520ce5e</v>
      </c>
      <c r="M928" s="2" t="str">
        <f ca="1">IFERROR(__xludf.DUMMYFUNCTION("""COMPUTED_VALUE"""),"Malbec")</f>
        <v>Malbec</v>
      </c>
      <c r="N928" s="2"/>
      <c r="O928" s="2" t="str">
        <f ca="1">IFERROR(__xludf.DUMMYFUNCTION("""COMPUTED_VALUE"""),"2do Trasiego")</f>
        <v>2do Trasiego</v>
      </c>
      <c r="P928" s="2" t="str">
        <f ca="1">IFERROR(__xludf.DUMMYFUNCTION("""COMPUTED_VALUE"""),"Filtrado Tang")</f>
        <v>Filtrado Tang</v>
      </c>
      <c r="Q928" s="2" t="b">
        <f ca="1">IFERROR(__xludf.DUMMYFUNCTION("""COMPUTED_VALUE"""),TRUE)</f>
        <v>1</v>
      </c>
      <c r="R928" s="2" t="str">
        <f ca="1">IFERROR(__xludf.DUMMYFUNCTION("""COMPUTED_VALUE"""),"Filtrado Tang")</f>
        <v>Filtrado Tang</v>
      </c>
      <c r="S928" s="2"/>
      <c r="T928" s="2"/>
      <c r="U928" s="2" t="str">
        <f ca="1">IFERROR(__xludf.DUMMYFUNCTION("""COMPUTED_VALUE"""),"1-")</f>
        <v>1-</v>
      </c>
    </row>
    <row r="929" spans="1:21" x14ac:dyDescent="0.25">
      <c r="A929" s="2" t="str">
        <f ca="1">IFERROR(__xludf.DUMMYFUNCTION("""COMPUTED_VALUE"""),"cae6112a")</f>
        <v>cae6112a</v>
      </c>
      <c r="B929" s="5">
        <f ca="1">IFERROR(__xludf.DUMMYFUNCTION("""COMPUTED_VALUE"""),45882.7210185185)</f>
        <v>45882.721018518503</v>
      </c>
      <c r="C929" s="2" t="str">
        <f ca="1">IFERROR(__xludf.DUMMYFUNCTION("""COMPUTED_VALUE"""),"b3a40361")</f>
        <v>b3a40361</v>
      </c>
      <c r="D929" s="2">
        <f ca="1">IFERROR(__xludf.DUMMYFUNCTION("""COMPUTED_VALUE"""),24)</f>
        <v>24</v>
      </c>
      <c r="E929" s="2" t="str">
        <f ca="1">IFERROR(__xludf.DUMMYFUNCTION("""COMPUTED_VALUE"""),"Malbec")</f>
        <v>Malbec</v>
      </c>
      <c r="F929" s="2">
        <f ca="1">IFERROR(__xludf.DUMMYFUNCTION("""COMPUTED_VALUE"""),18400)</f>
        <v>18400</v>
      </c>
      <c r="G929" s="2">
        <f ca="1">IFERROR(__xludf.DUMMYFUNCTION("""COMPUTED_VALUE"""),86)</f>
        <v>86</v>
      </c>
      <c r="H929" s="2" t="str">
        <f ca="1">IFERROR(__xludf.DUMMYFUNCTION("""COMPUTED_VALUE"""),"a520ce5e")</f>
        <v>a520ce5e</v>
      </c>
      <c r="I929" s="2" t="str">
        <f ca="1">IFERROR(__xludf.DUMMYFUNCTION("""COMPUTED_VALUE"""),"Malbec")</f>
        <v>Malbec</v>
      </c>
      <c r="J929" s="2">
        <f ca="1">IFERROR(__xludf.DUMMYFUNCTION("""COMPUTED_VALUE"""),69600)</f>
        <v>69600</v>
      </c>
      <c r="K929" s="2">
        <f ca="1">IFERROR(__xludf.DUMMYFUNCTION("""COMPUTED_VALUE"""),88000)</f>
        <v>88000</v>
      </c>
      <c r="L929" s="2" t="str">
        <f ca="1">IFERROR(__xludf.DUMMYFUNCTION("""COMPUTED_VALUE"""),"734aedeb")</f>
        <v>734aedeb</v>
      </c>
      <c r="M929" s="2" t="str">
        <f ca="1">IFERROR(__xludf.DUMMYFUNCTION("""COMPUTED_VALUE"""),"Malbec")</f>
        <v>Malbec</v>
      </c>
      <c r="N929" s="2"/>
      <c r="O929" s="2" t="str">
        <f ca="1">IFERROR(__xludf.DUMMYFUNCTION("""COMPUTED_VALUE"""),"2do Trasiego")</f>
        <v>2do Trasiego</v>
      </c>
      <c r="P929" s="2" t="str">
        <f ca="1">IFERROR(__xludf.DUMMYFUNCTION("""COMPUTED_VALUE"""),"Filtrado Tang")</f>
        <v>Filtrado Tang</v>
      </c>
      <c r="Q929" s="2" t="b">
        <f ca="1">IFERROR(__xludf.DUMMYFUNCTION("""COMPUTED_VALUE"""),TRUE)</f>
        <v>1</v>
      </c>
      <c r="R929" s="2" t="str">
        <f ca="1">IFERROR(__xludf.DUMMYFUNCTION("""COMPUTED_VALUE"""),"Filtrado Tang")</f>
        <v>Filtrado Tang</v>
      </c>
      <c r="S929" s="2"/>
      <c r="T929" s="2"/>
      <c r="U929" s="2" t="str">
        <f ca="1">IFERROR(__xludf.DUMMYFUNCTION("""COMPUTED_VALUE"""),"1-")</f>
        <v>1-</v>
      </c>
    </row>
    <row r="930" spans="1:21" x14ac:dyDescent="0.25">
      <c r="A930" s="2" t="str">
        <f ca="1">IFERROR(__xludf.DUMMYFUNCTION("""COMPUTED_VALUE"""),"ac27dff6")</f>
        <v>ac27dff6</v>
      </c>
      <c r="B930" s="5">
        <f ca="1">IFERROR(__xludf.DUMMYFUNCTION("""COMPUTED_VALUE"""),45882.7215046296)</f>
        <v>45882.721504629597</v>
      </c>
      <c r="C930" s="2" t="str">
        <f ca="1">IFERROR(__xludf.DUMMYFUNCTION("""COMPUTED_VALUE"""),"b3a40361")</f>
        <v>b3a40361</v>
      </c>
      <c r="D930" s="2">
        <f ca="1">IFERROR(__xludf.DUMMYFUNCTION("""COMPUTED_VALUE"""),24)</f>
        <v>24</v>
      </c>
      <c r="E930" s="2" t="str">
        <f ca="1">IFERROR(__xludf.DUMMYFUNCTION("""COMPUTED_VALUE"""),"Malbec")</f>
        <v>Malbec</v>
      </c>
      <c r="F930" s="2">
        <f ca="1">IFERROR(__xludf.DUMMYFUNCTION("""COMPUTED_VALUE"""),30000)</f>
        <v>30000</v>
      </c>
      <c r="G930" s="2">
        <f ca="1">IFERROR(__xludf.DUMMYFUNCTION("""COMPUTED_VALUE"""),121)</f>
        <v>121</v>
      </c>
      <c r="H930" s="2"/>
      <c r="I930" s="2"/>
      <c r="J930" s="2">
        <f ca="1">IFERROR(__xludf.DUMMYFUNCTION("""COMPUTED_VALUE"""),0)</f>
        <v>0</v>
      </c>
      <c r="K930" s="2">
        <f ca="1">IFERROR(__xludf.DUMMYFUNCTION("""COMPUTED_VALUE"""),30000)</f>
        <v>30000</v>
      </c>
      <c r="L930" s="2" t="str">
        <f ca="1">IFERROR(__xludf.DUMMYFUNCTION("""COMPUTED_VALUE"""),"4567a24d")</f>
        <v>4567a24d</v>
      </c>
      <c r="M930" s="2" t="str">
        <f ca="1">IFERROR(__xludf.DUMMYFUNCTION("""COMPUTED_VALUE"""),"Malbec")</f>
        <v>Malbec</v>
      </c>
      <c r="N930" s="2"/>
      <c r="O930" s="2" t="str">
        <f ca="1">IFERROR(__xludf.DUMMYFUNCTION("""COMPUTED_VALUE"""),"2do Trasiego")</f>
        <v>2do Trasiego</v>
      </c>
      <c r="P930" s="2"/>
      <c r="Q930" s="2" t="b">
        <f ca="1">IFERROR(__xludf.DUMMYFUNCTION("""COMPUTED_VALUE"""),FALSE)</f>
        <v>0</v>
      </c>
      <c r="R930" s="2" t="str">
        <f ca="1">IFERROR(__xludf.DUMMYFUNCTION("""COMPUTED_VALUE"""),"Filtrado Tang")</f>
        <v>Filtrado Tang</v>
      </c>
      <c r="S930" s="2"/>
      <c r="T930" s="2"/>
      <c r="U930" s="2" t="str">
        <f ca="1">IFERROR(__xludf.DUMMYFUNCTION("""COMPUTED_VALUE"""),"1+")</f>
        <v>1+</v>
      </c>
    </row>
    <row r="931" spans="1:21" x14ac:dyDescent="0.25">
      <c r="A931" s="2" t="str">
        <f ca="1">IFERROR(__xludf.DUMMYFUNCTION("""COMPUTED_VALUE"""),"0caaef31")</f>
        <v>0caaef31</v>
      </c>
      <c r="B931" s="5">
        <f ca="1">IFERROR(__xludf.DUMMYFUNCTION("""COMPUTED_VALUE"""),45882.7261458333)</f>
        <v>45882.726145833301</v>
      </c>
      <c r="C931" s="2" t="str">
        <f ca="1">IFERROR(__xludf.DUMMYFUNCTION("""COMPUTED_VALUE"""),"dcaf5b39")</f>
        <v>dcaf5b39</v>
      </c>
      <c r="D931" s="2">
        <f ca="1">IFERROR(__xludf.DUMMYFUNCTION("""COMPUTED_VALUE"""),11)</f>
        <v>11</v>
      </c>
      <c r="E931" s="2" t="str">
        <f ca="1">IFERROR(__xludf.DUMMYFUNCTION("""COMPUTED_VALUE"""),"Chardonnay")</f>
        <v>Chardonnay</v>
      </c>
      <c r="F931" s="2">
        <f ca="1">IFERROR(__xludf.DUMMYFUNCTION("""COMPUTED_VALUE"""),11000)</f>
        <v>11000</v>
      </c>
      <c r="G931" s="2">
        <f ca="1">IFERROR(__xludf.DUMMYFUNCTION("""COMPUTED_VALUE"""),69)</f>
        <v>69</v>
      </c>
      <c r="H931" s="2"/>
      <c r="I931" s="2"/>
      <c r="J931" s="2">
        <f ca="1">IFERROR(__xludf.DUMMYFUNCTION("""COMPUTED_VALUE"""),0)</f>
        <v>0</v>
      </c>
      <c r="K931" s="2">
        <f ca="1">IFERROR(__xludf.DUMMYFUNCTION("""COMPUTED_VALUE"""),13000)</f>
        <v>13000</v>
      </c>
      <c r="L931" s="2" t="str">
        <f ca="1">IFERROR(__xludf.DUMMYFUNCTION("""COMPUTED_VALUE"""),"fdb74546")</f>
        <v>fdb74546</v>
      </c>
      <c r="M931" s="2" t="str">
        <f ca="1">IFERROR(__xludf.DUMMYFUNCTION("""COMPUTED_VALUE"""),"Chardonnay")</f>
        <v>Chardonnay</v>
      </c>
      <c r="N931" s="2"/>
      <c r="O931" s="2" t="str">
        <f ca="1">IFERROR(__xludf.DUMMYFUNCTION("""COMPUTED_VALUE"""),"1er Trasiego")</f>
        <v>1er Trasiego</v>
      </c>
      <c r="P931" s="2"/>
      <c r="Q931" s="2" t="b">
        <f ca="1">IFERROR(__xludf.DUMMYFUNCTION("""COMPUTED_VALUE"""),FALSE)</f>
        <v>0</v>
      </c>
      <c r="R931" s="2" t="str">
        <f ca="1">IFERROR(__xludf.DUMMYFUNCTION("""COMPUTED_VALUE"""),"1er Trasiego")</f>
        <v>1er Trasiego</v>
      </c>
      <c r="S931" s="2"/>
      <c r="T931" s="2"/>
      <c r="U931" s="2" t="str">
        <f ca="1">IFERROR(__xludf.DUMMYFUNCTION("""COMPUTED_VALUE"""),"1-")</f>
        <v>1-</v>
      </c>
    </row>
    <row r="932" spans="1:21" x14ac:dyDescent="0.25">
      <c r="A932" s="2" t="str">
        <f ca="1">IFERROR(__xludf.DUMMYFUNCTION("""COMPUTED_VALUE"""),"93fa7431")</f>
        <v>93fa7431</v>
      </c>
      <c r="B932" s="5">
        <f ca="1">IFERROR(__xludf.DUMMYFUNCTION("""COMPUTED_VALUE"""),45882.7386111111)</f>
        <v>45882.738611111097</v>
      </c>
      <c r="C932" s="2" t="str">
        <f ca="1">IFERROR(__xludf.DUMMYFUNCTION("""COMPUTED_VALUE"""),"613e2a90")</f>
        <v>613e2a90</v>
      </c>
      <c r="D932" s="2">
        <f ca="1">IFERROR(__xludf.DUMMYFUNCTION("""COMPUTED_VALUE"""),500)</f>
        <v>500</v>
      </c>
      <c r="E932" s="2" t="str">
        <f ca="1">IFERROR(__xludf.DUMMYFUNCTION("""COMPUTED_VALUE"""),"Ajuste 11/08/25")</f>
        <v>Ajuste 11/08/25</v>
      </c>
      <c r="F932" s="2">
        <f ca="1">IFERROR(__xludf.DUMMYFUNCTION("""COMPUTED_VALUE"""),6100)</f>
        <v>6100</v>
      </c>
      <c r="G932" s="2">
        <f ca="1">IFERROR(__xludf.DUMMYFUNCTION("""COMPUTED_VALUE"""),66)</f>
        <v>66</v>
      </c>
      <c r="H932" s="2" t="str">
        <f ca="1">IFERROR(__xludf.DUMMYFUNCTION("""COMPUTED_VALUE"""),"32d80802")</f>
        <v>32d80802</v>
      </c>
      <c r="I932" s="2" t="str">
        <f ca="1">IFERROR(__xludf.DUMMYFUNCTION("""COMPUTED_VALUE"""),"Cabernet Sauvignon")</f>
        <v>Cabernet Sauvignon</v>
      </c>
      <c r="J932" s="2">
        <f ca="1">IFERROR(__xludf.DUMMYFUNCTION("""COMPUTED_VALUE"""),16900)</f>
        <v>16900</v>
      </c>
      <c r="K932" s="2">
        <f ca="1">IFERROR(__xludf.DUMMYFUNCTION("""COMPUTED_VALUE"""),23000)</f>
        <v>23000</v>
      </c>
      <c r="L932" s="2" t="str">
        <f ca="1">IFERROR(__xludf.DUMMYFUNCTION("""COMPUTED_VALUE"""),"d52c4944")</f>
        <v>d52c4944</v>
      </c>
      <c r="M932" s="2" t="str">
        <f ca="1">IFERROR(__xludf.DUMMYFUNCTION("""COMPUTED_VALUE"""),"Cabernet Sauvignon")</f>
        <v>Cabernet Sauvignon</v>
      </c>
      <c r="N932" s="2" t="str">
        <f ca="1">IFERROR(__xludf.DUMMYFUNCTION("""COMPUTED_VALUE"""),"Ajuste de lo filtrado")</f>
        <v>Ajuste de lo filtrado</v>
      </c>
      <c r="O932" s="2" t="str">
        <f ca="1">IFERROR(__xludf.DUMMYFUNCTION("""COMPUTED_VALUE"""),"Terminado")</f>
        <v>Terminado</v>
      </c>
      <c r="P932" s="2" t="str">
        <f ca="1">IFERROR(__xludf.DUMMYFUNCTION("""COMPUTED_VALUE"""),"Filtrado Tang")</f>
        <v>Filtrado Tang</v>
      </c>
      <c r="Q932" s="2" t="b">
        <f ca="1">IFERROR(__xludf.DUMMYFUNCTION("""COMPUTED_VALUE"""),TRUE)</f>
        <v>1</v>
      </c>
      <c r="R932" s="2" t="str">
        <f ca="1">IFERROR(__xludf.DUMMYFUNCTION("""COMPUTED_VALUE"""),"Filtrado Tang")</f>
        <v>Filtrado Tang</v>
      </c>
      <c r="S932" s="2"/>
      <c r="T932" s="2"/>
      <c r="U932" s="2" t="str">
        <f ca="1">IFERROR(__xludf.DUMMYFUNCTION("""COMPUTED_VALUE"""),"1")</f>
        <v>1</v>
      </c>
    </row>
    <row r="933" spans="1:21" x14ac:dyDescent="0.25">
      <c r="A933" s="2" t="str">
        <f ca="1">IFERROR(__xludf.DUMMYFUNCTION("""COMPUTED_VALUE"""),"f98ca1ed")</f>
        <v>f98ca1ed</v>
      </c>
      <c r="B933" s="5">
        <f ca="1">IFERROR(__xludf.DUMMYFUNCTION("""COMPUTED_VALUE"""),45884.7319212963)</f>
        <v>45884.731921296298</v>
      </c>
      <c r="C933" s="2" t="str">
        <f ca="1">IFERROR(__xludf.DUMMYFUNCTION("""COMPUTED_VALUE"""),"b3a40361")</f>
        <v>b3a40361</v>
      </c>
      <c r="D933" s="2">
        <f ca="1">IFERROR(__xludf.DUMMYFUNCTION("""COMPUTED_VALUE"""),24)</f>
        <v>24</v>
      </c>
      <c r="E933" s="2" t="str">
        <f ca="1">IFERROR(__xludf.DUMMYFUNCTION("""COMPUTED_VALUE"""),"Malbec")</f>
        <v>Malbec</v>
      </c>
      <c r="F933" s="2">
        <f ca="1">IFERROR(__xludf.DUMMYFUNCTION("""COMPUTED_VALUE"""),45000)</f>
        <v>45000</v>
      </c>
      <c r="G933" s="2">
        <f ca="1">IFERROR(__xludf.DUMMYFUNCTION("""COMPUTED_VALUE"""),121)</f>
        <v>121</v>
      </c>
      <c r="H933" s="2" t="str">
        <f ca="1">IFERROR(__xludf.DUMMYFUNCTION("""COMPUTED_VALUE"""),"4567a24d")</f>
        <v>4567a24d</v>
      </c>
      <c r="I933" s="2" t="str">
        <f ca="1">IFERROR(__xludf.DUMMYFUNCTION("""COMPUTED_VALUE"""),"Malbec")</f>
        <v>Malbec</v>
      </c>
      <c r="J933" s="2">
        <f ca="1">IFERROR(__xludf.DUMMYFUNCTION("""COMPUTED_VALUE"""),30000)</f>
        <v>30000</v>
      </c>
      <c r="K933" s="2">
        <f ca="1">IFERROR(__xludf.DUMMYFUNCTION("""COMPUTED_VALUE"""),75000)</f>
        <v>75000</v>
      </c>
      <c r="L933" s="2" t="str">
        <f ca="1">IFERROR(__xludf.DUMMYFUNCTION("""COMPUTED_VALUE"""),"ef0406f8")</f>
        <v>ef0406f8</v>
      </c>
      <c r="M933" s="2" t="str">
        <f ca="1">IFERROR(__xludf.DUMMYFUNCTION("""COMPUTED_VALUE"""),"Malbec")</f>
        <v>Malbec</v>
      </c>
      <c r="N933" s="2"/>
      <c r="O933" s="2" t="str">
        <f ca="1">IFERROR(__xludf.DUMMYFUNCTION("""COMPUTED_VALUE"""),"2do Trasiego")</f>
        <v>2do Trasiego</v>
      </c>
      <c r="P933" s="2" t="str">
        <f ca="1">IFERROR(__xludf.DUMMYFUNCTION("""COMPUTED_VALUE"""),"Filtrado Tang")</f>
        <v>Filtrado Tang</v>
      </c>
      <c r="Q933" s="2" t="b">
        <f ca="1">IFERROR(__xludf.DUMMYFUNCTION("""COMPUTED_VALUE"""),TRUE)</f>
        <v>1</v>
      </c>
      <c r="R933" s="2" t="str">
        <f ca="1">IFERROR(__xludf.DUMMYFUNCTION("""COMPUTED_VALUE"""),"Filtrado Tang")</f>
        <v>Filtrado Tang</v>
      </c>
      <c r="S933" s="2"/>
      <c r="T933" s="2"/>
      <c r="U933" s="2" t="str">
        <f ca="1">IFERROR(__xludf.DUMMYFUNCTION("""COMPUTED_VALUE"""),"1+")</f>
        <v>1+</v>
      </c>
    </row>
    <row r="934" spans="1:21" x14ac:dyDescent="0.25">
      <c r="A934" s="2" t="str">
        <f ca="1">IFERROR(__xludf.DUMMYFUNCTION("""COMPUTED_VALUE"""),"1e473d57")</f>
        <v>1e473d57</v>
      </c>
      <c r="B934" s="5">
        <f ca="1">IFERROR(__xludf.DUMMYFUNCTION("""COMPUTED_VALUE"""),45884.7323032407)</f>
        <v>45884.7323032407</v>
      </c>
      <c r="C934" s="2" t="str">
        <f ca="1">IFERROR(__xludf.DUMMYFUNCTION("""COMPUTED_VALUE"""),"b3a40361")</f>
        <v>b3a40361</v>
      </c>
      <c r="D934" s="2">
        <f ca="1">IFERROR(__xludf.DUMMYFUNCTION("""COMPUTED_VALUE"""),24)</f>
        <v>24</v>
      </c>
      <c r="E934" s="2" t="str">
        <f ca="1">IFERROR(__xludf.DUMMYFUNCTION("""COMPUTED_VALUE"""),"Malbec")</f>
        <v>Malbec</v>
      </c>
      <c r="F934" s="2">
        <f ca="1">IFERROR(__xludf.DUMMYFUNCTION("""COMPUTED_VALUE"""),10800)</f>
        <v>10800</v>
      </c>
      <c r="G934" s="2">
        <f ca="1">IFERROR(__xludf.DUMMYFUNCTION("""COMPUTED_VALUE"""),121)</f>
        <v>121</v>
      </c>
      <c r="H934" s="2" t="str">
        <f ca="1">IFERROR(__xludf.DUMMYFUNCTION("""COMPUTED_VALUE"""),"ef0406f8")</f>
        <v>ef0406f8</v>
      </c>
      <c r="I934" s="2" t="str">
        <f ca="1">IFERROR(__xludf.DUMMYFUNCTION("""COMPUTED_VALUE"""),"Malbec")</f>
        <v>Malbec</v>
      </c>
      <c r="J934" s="2">
        <f ca="1">IFERROR(__xludf.DUMMYFUNCTION("""COMPUTED_VALUE"""),75000)</f>
        <v>75000</v>
      </c>
      <c r="K934" s="2">
        <f ca="1">IFERROR(__xludf.DUMMYFUNCTION("""COMPUTED_VALUE"""),85800)</f>
        <v>85800</v>
      </c>
      <c r="L934" s="2" t="str">
        <f ca="1">IFERROR(__xludf.DUMMYFUNCTION("""COMPUTED_VALUE"""),"887268c3")</f>
        <v>887268c3</v>
      </c>
      <c r="M934" s="2" t="str">
        <f ca="1">IFERROR(__xludf.DUMMYFUNCTION("""COMPUTED_VALUE"""),"Malbec")</f>
        <v>Malbec</v>
      </c>
      <c r="N934" s="2"/>
      <c r="O934" s="2" t="str">
        <f ca="1">IFERROR(__xludf.DUMMYFUNCTION("""COMPUTED_VALUE"""),"2do Trasiego")</f>
        <v>2do Trasiego</v>
      </c>
      <c r="P934" s="2" t="str">
        <f ca="1">IFERROR(__xludf.DUMMYFUNCTION("""COMPUTED_VALUE"""),"Filtrado Tang")</f>
        <v>Filtrado Tang</v>
      </c>
      <c r="Q934" s="2" t="b">
        <f ca="1">IFERROR(__xludf.DUMMYFUNCTION("""COMPUTED_VALUE"""),TRUE)</f>
        <v>1</v>
      </c>
      <c r="R934" s="2" t="str">
        <f ca="1">IFERROR(__xludf.DUMMYFUNCTION("""COMPUTED_VALUE"""),"Filtrado Tang")</f>
        <v>Filtrado Tang</v>
      </c>
      <c r="S934" s="2"/>
      <c r="T934" s="2"/>
      <c r="U934" s="2" t="str">
        <f ca="1">IFERROR(__xludf.DUMMYFUNCTION("""COMPUTED_VALUE"""),"1+")</f>
        <v>1+</v>
      </c>
    </row>
    <row r="935" spans="1:21" x14ac:dyDescent="0.25">
      <c r="A935" s="2" t="str">
        <f ca="1">IFERROR(__xludf.DUMMYFUNCTION("""COMPUTED_VALUE"""),"9afcea40")</f>
        <v>9afcea40</v>
      </c>
      <c r="B935" s="5">
        <f ca="1">IFERROR(__xludf.DUMMYFUNCTION("""COMPUTED_VALUE"""),45884.7327199074)</f>
        <v>45884.732719907399</v>
      </c>
      <c r="C935" s="2" t="str">
        <f ca="1">IFERROR(__xludf.DUMMYFUNCTION("""COMPUTED_VALUE"""),"b3a40361")</f>
        <v>b3a40361</v>
      </c>
      <c r="D935" s="2">
        <f ca="1">IFERROR(__xludf.DUMMYFUNCTION("""COMPUTED_VALUE"""),24)</f>
        <v>24</v>
      </c>
      <c r="E935" s="2" t="str">
        <f ca="1">IFERROR(__xludf.DUMMYFUNCTION("""COMPUTED_VALUE"""),"Malbec")</f>
        <v>Malbec</v>
      </c>
      <c r="F935" s="2">
        <f ca="1">IFERROR(__xludf.DUMMYFUNCTION("""COMPUTED_VALUE"""),22000)</f>
        <v>22000</v>
      </c>
      <c r="G935" s="2">
        <f ca="1">IFERROR(__xludf.DUMMYFUNCTION("""COMPUTED_VALUE"""),116)</f>
        <v>116</v>
      </c>
      <c r="H935" s="2"/>
      <c r="I935" s="2"/>
      <c r="J935" s="2">
        <f ca="1">IFERROR(__xludf.DUMMYFUNCTION("""COMPUTED_VALUE"""),0)</f>
        <v>0</v>
      </c>
      <c r="K935" s="2">
        <f ca="1">IFERROR(__xludf.DUMMYFUNCTION("""COMPUTED_VALUE"""),22000)</f>
        <v>22000</v>
      </c>
      <c r="L935" s="2" t="str">
        <f ca="1">IFERROR(__xludf.DUMMYFUNCTION("""COMPUTED_VALUE"""),"95271efc")</f>
        <v>95271efc</v>
      </c>
      <c r="M935" s="2" t="str">
        <f ca="1">IFERROR(__xludf.DUMMYFUNCTION("""COMPUTED_VALUE"""),"Malbec")</f>
        <v>Malbec</v>
      </c>
      <c r="N935" s="2"/>
      <c r="O935" s="2" t="str">
        <f ca="1">IFERROR(__xludf.DUMMYFUNCTION("""COMPUTED_VALUE"""),"2do Trasiego")</f>
        <v>2do Trasiego</v>
      </c>
      <c r="P935" s="2"/>
      <c r="Q935" s="2" t="b">
        <f ca="1">IFERROR(__xludf.DUMMYFUNCTION("""COMPUTED_VALUE"""),FALSE)</f>
        <v>0</v>
      </c>
      <c r="R935" s="2" t="str">
        <f ca="1">IFERROR(__xludf.DUMMYFUNCTION("""COMPUTED_VALUE"""),"Filtrado Tang")</f>
        <v>Filtrado Tang</v>
      </c>
      <c r="S935" s="2"/>
      <c r="T935" s="2"/>
      <c r="U935" s="2" t="str">
        <f ca="1">IFERROR(__xludf.DUMMYFUNCTION("""COMPUTED_VALUE"""),"1+")</f>
        <v>1+</v>
      </c>
    </row>
    <row r="936" spans="1:21" x14ac:dyDescent="0.25">
      <c r="A936" s="2" t="str">
        <f ca="1">IFERROR(__xludf.DUMMYFUNCTION("""COMPUTED_VALUE"""),"06d67ef3")</f>
        <v>06d67ef3</v>
      </c>
      <c r="B936" s="5">
        <f ca="1">IFERROR(__xludf.DUMMYFUNCTION("""COMPUTED_VALUE"""),45884.7332060185)</f>
        <v>45884.7332060185</v>
      </c>
      <c r="C936" s="2" t="str">
        <f ca="1">IFERROR(__xludf.DUMMYFUNCTION("""COMPUTED_VALUE"""),"b3a40361")</f>
        <v>b3a40361</v>
      </c>
      <c r="D936" s="2">
        <f ca="1">IFERROR(__xludf.DUMMYFUNCTION("""COMPUTED_VALUE"""),24)</f>
        <v>24</v>
      </c>
      <c r="E936" s="2" t="str">
        <f ca="1">IFERROR(__xludf.DUMMYFUNCTION("""COMPUTED_VALUE"""),"Malbec")</f>
        <v>Malbec</v>
      </c>
      <c r="F936" s="2">
        <f ca="1">IFERROR(__xludf.DUMMYFUNCTION("""COMPUTED_VALUE"""),7845)</f>
        <v>7845</v>
      </c>
      <c r="G936" s="2">
        <f ca="1">IFERROR(__xludf.DUMMYFUNCTION("""COMPUTED_VALUE"""),116)</f>
        <v>116</v>
      </c>
      <c r="H936" s="2" t="str">
        <f ca="1">IFERROR(__xludf.DUMMYFUNCTION("""COMPUTED_VALUE"""),"95271efc")</f>
        <v>95271efc</v>
      </c>
      <c r="I936" s="2" t="str">
        <f ca="1">IFERROR(__xludf.DUMMYFUNCTION("""COMPUTED_VALUE"""),"Malbec")</f>
        <v>Malbec</v>
      </c>
      <c r="J936" s="2">
        <f ca="1">IFERROR(__xludf.DUMMYFUNCTION("""COMPUTED_VALUE"""),22000)</f>
        <v>22000</v>
      </c>
      <c r="K936" s="2">
        <f ca="1">IFERROR(__xludf.DUMMYFUNCTION("""COMPUTED_VALUE"""),29845)</f>
        <v>29845</v>
      </c>
      <c r="L936" s="2" t="str">
        <f ca="1">IFERROR(__xludf.DUMMYFUNCTION("""COMPUTED_VALUE"""),"56916efb")</f>
        <v>56916efb</v>
      </c>
      <c r="M936" s="2" t="str">
        <f ca="1">IFERROR(__xludf.DUMMYFUNCTION("""COMPUTED_VALUE"""),"Malbec")</f>
        <v>Malbec</v>
      </c>
      <c r="N936" s="2"/>
      <c r="O936" s="2" t="str">
        <f ca="1">IFERROR(__xludf.DUMMYFUNCTION("""COMPUTED_VALUE"""),"2do Trasiego")</f>
        <v>2do Trasiego</v>
      </c>
      <c r="P936" s="2" t="str">
        <f ca="1">IFERROR(__xludf.DUMMYFUNCTION("""COMPUTED_VALUE"""),"Filtrado Tang")</f>
        <v>Filtrado Tang</v>
      </c>
      <c r="Q936" s="2" t="b">
        <f ca="1">IFERROR(__xludf.DUMMYFUNCTION("""COMPUTED_VALUE"""),TRUE)</f>
        <v>1</v>
      </c>
      <c r="R936" s="2" t="str">
        <f ca="1">IFERROR(__xludf.DUMMYFUNCTION("""COMPUTED_VALUE"""),"Filtrado Tang")</f>
        <v>Filtrado Tang</v>
      </c>
      <c r="S936" s="2"/>
      <c r="T936" s="2"/>
      <c r="U936" s="2" t="str">
        <f ca="1">IFERROR(__xludf.DUMMYFUNCTION("""COMPUTED_VALUE"""),"1+")</f>
        <v>1+</v>
      </c>
    </row>
    <row r="937" spans="1:21" x14ac:dyDescent="0.25">
      <c r="A937" s="2" t="str">
        <f ca="1">IFERROR(__xludf.DUMMYFUNCTION("""COMPUTED_VALUE"""),"71307367")</f>
        <v>71307367</v>
      </c>
      <c r="B937" s="5">
        <f ca="1">IFERROR(__xludf.DUMMYFUNCTION("""COMPUTED_VALUE"""),45884.7348611111)</f>
        <v>45884.734861111101</v>
      </c>
      <c r="C937" s="2" t="str">
        <f ca="1">IFERROR(__xludf.DUMMYFUNCTION("""COMPUTED_VALUE"""),"b3a40361")</f>
        <v>b3a40361</v>
      </c>
      <c r="D937" s="2">
        <f ca="1">IFERROR(__xludf.DUMMYFUNCTION("""COMPUTED_VALUE"""),24)</f>
        <v>24</v>
      </c>
      <c r="E937" s="2" t="str">
        <f ca="1">IFERROR(__xludf.DUMMYFUNCTION("""COMPUTED_VALUE"""),"Malbec")</f>
        <v>Malbec</v>
      </c>
      <c r="F937" s="2">
        <f ca="1">IFERROR(__xludf.DUMMYFUNCTION("""COMPUTED_VALUE"""),555)</f>
        <v>555</v>
      </c>
      <c r="G937" s="2">
        <f ca="1">IFERROR(__xludf.DUMMYFUNCTION("""COMPUTED_VALUE"""),500)</f>
        <v>500</v>
      </c>
      <c r="H937" s="2" t="str">
        <f ca="1">IFERROR(__xludf.DUMMYFUNCTION("""COMPUTED_VALUE"""),"613e2a90")</f>
        <v>613e2a90</v>
      </c>
      <c r="I937" s="2" t="str">
        <f ca="1">IFERROR(__xludf.DUMMYFUNCTION("""COMPUTED_VALUE"""),"Ajuste 11/08/25")</f>
        <v>Ajuste 11/08/25</v>
      </c>
      <c r="J937" s="2">
        <f ca="1">IFERROR(__xludf.DUMMYFUNCTION("""COMPUTED_VALUE"""),-3900)</f>
        <v>-3900</v>
      </c>
      <c r="K937" s="2">
        <f ca="1">IFERROR(__xludf.DUMMYFUNCTION("""COMPUTED_VALUE"""),-3345)</f>
        <v>-3345</v>
      </c>
      <c r="L937" s="2" t="str">
        <f ca="1">IFERROR(__xludf.DUMMYFUNCTION("""COMPUTED_VALUE"""),"a9a1224c")</f>
        <v>a9a1224c</v>
      </c>
      <c r="M937" s="2" t="str">
        <f ca="1">IFERROR(__xludf.DUMMYFUNCTION("""COMPUTED_VALUE"""),"Ajuste 11/08/25")</f>
        <v>Ajuste 11/08/25</v>
      </c>
      <c r="N937" s="2"/>
      <c r="O937" s="2" t="str">
        <f ca="1">IFERROR(__xludf.DUMMYFUNCTION("""COMPUTED_VALUE"""),"2do Trasiego")</f>
        <v>2do Trasiego</v>
      </c>
      <c r="P937" s="2" t="str">
        <f ca="1">IFERROR(__xludf.DUMMYFUNCTION("""COMPUTED_VALUE"""),"Terminado")</f>
        <v>Terminado</v>
      </c>
      <c r="Q937" s="2" t="b">
        <f ca="1">IFERROR(__xludf.DUMMYFUNCTION("""COMPUTED_VALUE"""),TRUE)</f>
        <v>1</v>
      </c>
      <c r="R937" s="2" t="str">
        <f ca="1">IFERROR(__xludf.DUMMYFUNCTION("""COMPUTED_VALUE"""),"Terminado")</f>
        <v>Terminado</v>
      </c>
      <c r="S937" s="2"/>
      <c r="T937" s="2"/>
      <c r="U937" s="2"/>
    </row>
    <row r="938" spans="1:21" x14ac:dyDescent="0.25">
      <c r="A938" s="2" t="str">
        <f ca="1">IFERROR(__xludf.DUMMYFUNCTION("""COMPUTED_VALUE"""),"79efd870")</f>
        <v>79efd870</v>
      </c>
      <c r="B938" s="5">
        <f ca="1">IFERROR(__xludf.DUMMYFUNCTION("""COMPUTED_VALUE"""),45884.7570949074)</f>
        <v>45884.7570949074</v>
      </c>
      <c r="C938" s="2" t="str">
        <f ca="1">IFERROR(__xludf.DUMMYFUNCTION("""COMPUTED_VALUE"""),"7b7453a5")</f>
        <v>7b7453a5</v>
      </c>
      <c r="D938" s="2">
        <f ca="1">IFERROR(__xludf.DUMMYFUNCTION("""COMPUTED_VALUE"""),50)</f>
        <v>50</v>
      </c>
      <c r="E938" s="2" t="str">
        <f ca="1">IFERROR(__xludf.DUMMYFUNCTION("""COMPUTED_VALUE"""),"Aspirant Anccelota Gota")</f>
        <v>Aspirant Anccelota Gota</v>
      </c>
      <c r="F938" s="2">
        <f ca="1">IFERROR(__xludf.DUMMYFUNCTION("""COMPUTED_VALUE"""),1000)</f>
        <v>1000</v>
      </c>
      <c r="G938" s="2">
        <f ca="1">IFERROR(__xludf.DUMMYFUNCTION("""COMPUTED_VALUE"""),6)</f>
        <v>6</v>
      </c>
      <c r="H938" s="2" t="str">
        <f ca="1">IFERROR(__xludf.DUMMYFUNCTION("""COMPUTED_VALUE"""),"63b0e73c")</f>
        <v>63b0e73c</v>
      </c>
      <c r="I938" s="2" t="str">
        <f ca="1">IFERROR(__xludf.DUMMYFUNCTION("""COMPUTED_VALUE"""),"Aspirant Anccelota Gota")</f>
        <v>Aspirant Anccelota Gota</v>
      </c>
      <c r="J938" s="2">
        <f ca="1">IFERROR(__xludf.DUMMYFUNCTION("""COMPUTED_VALUE"""),31000)</f>
        <v>31000</v>
      </c>
      <c r="K938" s="2">
        <f ca="1">IFERROR(__xludf.DUMMYFUNCTION("""COMPUTED_VALUE"""),32000)</f>
        <v>32000</v>
      </c>
      <c r="L938" s="2" t="str">
        <f ca="1">IFERROR(__xludf.DUMMYFUNCTION("""COMPUTED_VALUE"""),"a324303d")</f>
        <v>a324303d</v>
      </c>
      <c r="M938" s="2" t="str">
        <f ca="1">IFERROR(__xludf.DUMMYFUNCTION("""COMPUTED_VALUE"""),"Aspirant Anccelota Gota")</f>
        <v>Aspirant Anccelota Gota</v>
      </c>
      <c r="N938" s="2"/>
      <c r="O938" s="2" t="str">
        <f ca="1">IFERROR(__xludf.DUMMYFUNCTION("""COMPUTED_VALUE"""),"1er Trasiego")</f>
        <v>1er Trasiego</v>
      </c>
      <c r="P938" s="2" t="str">
        <f ca="1">IFERROR(__xludf.DUMMYFUNCTION("""COMPUTED_VALUE"""),"2do Trasiego")</f>
        <v>2do Trasiego</v>
      </c>
      <c r="Q938" s="2" t="b">
        <f ca="1">IFERROR(__xludf.DUMMYFUNCTION("""COMPUTED_VALUE"""),TRUE)</f>
        <v>1</v>
      </c>
      <c r="R938" s="2" t="str">
        <f ca="1">IFERROR(__xludf.DUMMYFUNCTION("""COMPUTED_VALUE"""),"2do Trasiego")</f>
        <v>2do Trasiego</v>
      </c>
      <c r="S938" s="2"/>
      <c r="T938" s="2"/>
      <c r="U938" s="2"/>
    </row>
    <row r="939" spans="1:21" x14ac:dyDescent="0.25">
      <c r="A939" s="2" t="str">
        <f ca="1">IFERROR(__xludf.DUMMYFUNCTION("""COMPUTED_VALUE"""),"467b4860")</f>
        <v>467b4860</v>
      </c>
      <c r="B939" s="5">
        <f ca="1">IFERROR(__xludf.DUMMYFUNCTION("""COMPUTED_VALUE"""),45884.7619907407)</f>
        <v>45884.761990740699</v>
      </c>
      <c r="C939" s="2" t="str">
        <f ca="1">IFERROR(__xludf.DUMMYFUNCTION("""COMPUTED_VALUE"""),"eb5a88ac")</f>
        <v>eb5a88ac</v>
      </c>
      <c r="D939" s="2">
        <f ca="1">IFERROR(__xludf.DUMMYFUNCTION("""COMPUTED_VALUE"""),103)</f>
        <v>103</v>
      </c>
      <c r="E939" s="2" t="str">
        <f ca="1">IFERROR(__xludf.DUMMYFUNCTION("""COMPUTED_VALUE"""),"Bonarda")</f>
        <v>Bonarda</v>
      </c>
      <c r="F939" s="2">
        <f ca="1">IFERROR(__xludf.DUMMYFUNCTION("""COMPUTED_VALUE"""),2700)</f>
        <v>2700</v>
      </c>
      <c r="G939" s="2">
        <f ca="1">IFERROR(__xludf.DUMMYFUNCTION("""COMPUTED_VALUE"""),50)</f>
        <v>50</v>
      </c>
      <c r="H939" s="2"/>
      <c r="I939" s="2"/>
      <c r="J939" s="2">
        <f ca="1">IFERROR(__xludf.DUMMYFUNCTION("""COMPUTED_VALUE"""),0)</f>
        <v>0</v>
      </c>
      <c r="K939" s="2">
        <f ca="1">IFERROR(__xludf.DUMMYFUNCTION("""COMPUTED_VALUE"""),2700)</f>
        <v>2700</v>
      </c>
      <c r="L939" s="2" t="str">
        <f ca="1">IFERROR(__xludf.DUMMYFUNCTION("""COMPUTED_VALUE"""),"ae07f26a")</f>
        <v>ae07f26a</v>
      </c>
      <c r="M939" s="2" t="str">
        <f ca="1">IFERROR(__xludf.DUMMYFUNCTION("""COMPUTED_VALUE"""),"Malbec Medrano L 5223")</f>
        <v>Malbec Medrano L 5223</v>
      </c>
      <c r="N939" s="2"/>
      <c r="O939" s="2" t="str">
        <f ca="1">IFERROR(__xludf.DUMMYFUNCTION("""COMPUTED_VALUE"""),"Filtrado Tang")</f>
        <v>Filtrado Tang</v>
      </c>
      <c r="P939" s="2"/>
      <c r="Q939" s="2" t="b">
        <f ca="1">IFERROR(__xludf.DUMMYFUNCTION("""COMPUTED_VALUE"""),FALSE)</f>
        <v>0</v>
      </c>
      <c r="R939" s="2" t="str">
        <f ca="1">IFERROR(__xludf.DUMMYFUNCTION("""COMPUTED_VALUE"""),"2do Trasiego")</f>
        <v>2do Trasiego</v>
      </c>
      <c r="S939" s="2"/>
      <c r="T939" s="2"/>
      <c r="U939" s="2" t="str">
        <f ca="1">IFERROR(__xludf.DUMMYFUNCTION("""COMPUTED_VALUE"""),"1+")</f>
        <v>1+</v>
      </c>
    </row>
    <row r="940" spans="1:21" x14ac:dyDescent="0.25">
      <c r="A940" s="2" t="str">
        <f ca="1">IFERROR(__xludf.DUMMYFUNCTION("""COMPUTED_VALUE"""),"ee846ecd")</f>
        <v>ee846ecd</v>
      </c>
      <c r="B940" s="5">
        <f ca="1">IFERROR(__xludf.DUMMYFUNCTION("""COMPUTED_VALUE"""),45884.7624652777)</f>
        <v>45884.762465277701</v>
      </c>
      <c r="C940" s="2" t="str">
        <f ca="1">IFERROR(__xludf.DUMMYFUNCTION("""COMPUTED_VALUE"""),"eed09ba0")</f>
        <v>eed09ba0</v>
      </c>
      <c r="D940" s="2">
        <f ca="1">IFERROR(__xludf.DUMMYFUNCTION("""COMPUTED_VALUE"""),89)</f>
        <v>89</v>
      </c>
      <c r="E940" s="2" t="str">
        <f ca="1">IFERROR(__xludf.DUMMYFUNCTION("""COMPUTED_VALUE"""),"Syrah Tempranillo")</f>
        <v>Syrah Tempranillo</v>
      </c>
      <c r="F940" s="2">
        <f ca="1">IFERROR(__xludf.DUMMYFUNCTION("""COMPUTED_VALUE"""),2400)</f>
        <v>2400</v>
      </c>
      <c r="G940" s="2">
        <f ca="1">IFERROR(__xludf.DUMMYFUNCTION("""COMPUTED_VALUE"""),50)</f>
        <v>50</v>
      </c>
      <c r="H940" s="2" t="str">
        <f ca="1">IFERROR(__xludf.DUMMYFUNCTION("""COMPUTED_VALUE"""),"ae07f26a")</f>
        <v>ae07f26a</v>
      </c>
      <c r="I940" s="2" t="str">
        <f ca="1">IFERROR(__xludf.DUMMYFUNCTION("""COMPUTED_VALUE"""),"Malbec Medrano L 5223")</f>
        <v>Malbec Medrano L 5223</v>
      </c>
      <c r="J940" s="2">
        <f ca="1">IFERROR(__xludf.DUMMYFUNCTION("""COMPUTED_VALUE"""),2700)</f>
        <v>2700</v>
      </c>
      <c r="K940" s="2">
        <f ca="1">IFERROR(__xludf.DUMMYFUNCTION("""COMPUTED_VALUE"""),5100)</f>
        <v>5100</v>
      </c>
      <c r="L940" s="2" t="str">
        <f ca="1">IFERROR(__xludf.DUMMYFUNCTION("""COMPUTED_VALUE"""),"20dba0dd")</f>
        <v>20dba0dd</v>
      </c>
      <c r="M940" s="2" t="str">
        <f ca="1">IFERROR(__xludf.DUMMYFUNCTION("""COMPUTED_VALUE"""),"Malbec Medrano L 5223")</f>
        <v>Malbec Medrano L 5223</v>
      </c>
      <c r="N940" s="2"/>
      <c r="O940" s="2" t="str">
        <f ca="1">IFERROR(__xludf.DUMMYFUNCTION("""COMPUTED_VALUE"""),"2do Trasiego")</f>
        <v>2do Trasiego</v>
      </c>
      <c r="P940" s="2" t="str">
        <f ca="1">IFERROR(__xludf.DUMMYFUNCTION("""COMPUTED_VALUE"""),"2do Trasiego")</f>
        <v>2do Trasiego</v>
      </c>
      <c r="Q940" s="2" t="b">
        <f ca="1">IFERROR(__xludf.DUMMYFUNCTION("""COMPUTED_VALUE"""),TRUE)</f>
        <v>1</v>
      </c>
      <c r="R940" s="2" t="str">
        <f ca="1">IFERROR(__xludf.DUMMYFUNCTION("""COMPUTED_VALUE"""),"Filtrado Tang")</f>
        <v>Filtrado Tang</v>
      </c>
      <c r="S940" s="2"/>
      <c r="T940" s="2"/>
      <c r="U940" s="2" t="str">
        <f ca="1">IFERROR(__xludf.DUMMYFUNCTION("""COMPUTED_VALUE"""),"1+")</f>
        <v>1+</v>
      </c>
    </row>
    <row r="941" spans="1:21" x14ac:dyDescent="0.25">
      <c r="A941" s="2" t="str">
        <f ca="1">IFERROR(__xludf.DUMMYFUNCTION("""COMPUTED_VALUE"""),"5f69a042")</f>
        <v>5f69a042</v>
      </c>
      <c r="B941" s="5">
        <f ca="1">IFERROR(__xludf.DUMMYFUNCTION("""COMPUTED_VALUE"""),45884.7638310185)</f>
        <v>45884.763831018499</v>
      </c>
      <c r="C941" s="2" t="str">
        <f ca="1">IFERROR(__xludf.DUMMYFUNCTION("""COMPUTED_VALUE"""),"869e8a1b")</f>
        <v>869e8a1b</v>
      </c>
      <c r="D941" s="2">
        <f ca="1">IFERROR(__xludf.DUMMYFUNCTION("""COMPUTED_VALUE"""),16)</f>
        <v>16</v>
      </c>
      <c r="E941" s="2" t="str">
        <f ca="1">IFERROR(__xludf.DUMMYFUNCTION("""COMPUTED_VALUE"""),"Syrah")</f>
        <v>Syrah</v>
      </c>
      <c r="F941" s="2">
        <f ca="1">IFERROR(__xludf.DUMMYFUNCTION("""COMPUTED_VALUE"""),2700)</f>
        <v>2700</v>
      </c>
      <c r="G941" s="2">
        <f ca="1">IFERROR(__xludf.DUMMYFUNCTION("""COMPUTED_VALUE"""),103)</f>
        <v>103</v>
      </c>
      <c r="H941" s="2" t="str">
        <f ca="1">IFERROR(__xludf.DUMMYFUNCTION("""COMPUTED_VALUE"""),"eb5a88ac")</f>
        <v>eb5a88ac</v>
      </c>
      <c r="I941" s="2" t="str">
        <f ca="1">IFERROR(__xludf.DUMMYFUNCTION("""COMPUTED_VALUE"""),"Bonarda")</f>
        <v>Bonarda</v>
      </c>
      <c r="J941" s="2">
        <f ca="1">IFERROR(__xludf.DUMMYFUNCTION("""COMPUTED_VALUE"""),28300)</f>
        <v>28300</v>
      </c>
      <c r="K941" s="2">
        <f ca="1">IFERROR(__xludf.DUMMYFUNCTION("""COMPUTED_VALUE"""),31000)</f>
        <v>31000</v>
      </c>
      <c r="L941" s="2" t="str">
        <f ca="1">IFERROR(__xludf.DUMMYFUNCTION("""COMPUTED_VALUE"""),"4cb5f547")</f>
        <v>4cb5f547</v>
      </c>
      <c r="M941" s="2" t="str">
        <f ca="1">IFERROR(__xludf.DUMMYFUNCTION("""COMPUTED_VALUE"""),"Bonarda")</f>
        <v>Bonarda</v>
      </c>
      <c r="N941" s="2"/>
      <c r="O941" s="2" t="str">
        <f ca="1">IFERROR(__xludf.DUMMYFUNCTION("""COMPUTED_VALUE"""),"2do Trasiego")</f>
        <v>2do Trasiego</v>
      </c>
      <c r="P941" s="2" t="str">
        <f ca="1">IFERROR(__xludf.DUMMYFUNCTION("""COMPUTED_VALUE"""),"2do Trasiego")</f>
        <v>2do Trasiego</v>
      </c>
      <c r="Q941" s="2" t="b">
        <f ca="1">IFERROR(__xludf.DUMMYFUNCTION("""COMPUTED_VALUE"""),TRUE)</f>
        <v>1</v>
      </c>
      <c r="R941" s="2" t="str">
        <f ca="1">IFERROR(__xludf.DUMMYFUNCTION("""COMPUTED_VALUE"""),"2do Trasiego")</f>
        <v>2do Trasiego</v>
      </c>
      <c r="S941" s="2"/>
      <c r="T941" s="2"/>
      <c r="U941" s="2" t="str">
        <f ca="1">IFERROR(__xludf.DUMMYFUNCTION("""COMPUTED_VALUE"""),"1+")</f>
        <v>1+</v>
      </c>
    </row>
    <row r="942" spans="1:21" x14ac:dyDescent="0.25">
      <c r="A942" s="2" t="str">
        <f ca="1">IFERROR(__xludf.DUMMYFUNCTION("""COMPUTED_VALUE"""),"efbfc658")</f>
        <v>efbfc658</v>
      </c>
      <c r="B942" s="5">
        <f ca="1">IFERROR(__xludf.DUMMYFUNCTION("""COMPUTED_VALUE"""),45884.7639699074)</f>
        <v>45884.763969907399</v>
      </c>
      <c r="C942" s="2" t="str">
        <f ca="1">IFERROR(__xludf.DUMMYFUNCTION("""COMPUTED_VALUE"""),"869e8a1b")</f>
        <v>869e8a1b</v>
      </c>
      <c r="D942" s="2">
        <f ca="1">IFERROR(__xludf.DUMMYFUNCTION("""COMPUTED_VALUE"""),16)</f>
        <v>16</v>
      </c>
      <c r="E942" s="2" t="str">
        <f ca="1">IFERROR(__xludf.DUMMYFUNCTION("""COMPUTED_VALUE"""),"Syrah")</f>
        <v>Syrah</v>
      </c>
      <c r="F942" s="2">
        <f ca="1">IFERROR(__xludf.DUMMYFUNCTION("""COMPUTED_VALUE"""),2400)</f>
        <v>2400</v>
      </c>
      <c r="G942" s="2">
        <f ca="1">IFERROR(__xludf.DUMMYFUNCTION("""COMPUTED_VALUE"""),89)</f>
        <v>89</v>
      </c>
      <c r="H942" s="2" t="str">
        <f ca="1">IFERROR(__xludf.DUMMYFUNCTION("""COMPUTED_VALUE"""),"eed09ba0")</f>
        <v>eed09ba0</v>
      </c>
      <c r="I942" s="2" t="str">
        <f ca="1">IFERROR(__xludf.DUMMYFUNCTION("""COMPUTED_VALUE"""),"Syrah Tempranillo")</f>
        <v>Syrah Tempranillo</v>
      </c>
      <c r="J942" s="2">
        <f ca="1">IFERROR(__xludf.DUMMYFUNCTION("""COMPUTED_VALUE"""),81100)</f>
        <v>81100</v>
      </c>
      <c r="K942" s="2">
        <f ca="1">IFERROR(__xludf.DUMMYFUNCTION("""COMPUTED_VALUE"""),83500)</f>
        <v>83500</v>
      </c>
      <c r="L942" s="2" t="str">
        <f ca="1">IFERROR(__xludf.DUMMYFUNCTION("""COMPUTED_VALUE"""),"6d97827a")</f>
        <v>6d97827a</v>
      </c>
      <c r="M942" s="2" t="str">
        <f ca="1">IFERROR(__xludf.DUMMYFUNCTION("""COMPUTED_VALUE"""),"Syrah Tempranillo")</f>
        <v>Syrah Tempranillo</v>
      </c>
      <c r="N942" s="2"/>
      <c r="O942" s="2" t="str">
        <f ca="1">IFERROR(__xludf.DUMMYFUNCTION("""COMPUTED_VALUE"""),"2do Trasiego")</f>
        <v>2do Trasiego</v>
      </c>
      <c r="P942" s="2" t="str">
        <f ca="1">IFERROR(__xludf.DUMMYFUNCTION("""COMPUTED_VALUE"""),"2do Trasiego")</f>
        <v>2do Trasiego</v>
      </c>
      <c r="Q942" s="2" t="b">
        <f ca="1">IFERROR(__xludf.DUMMYFUNCTION("""COMPUTED_VALUE"""),TRUE)</f>
        <v>1</v>
      </c>
      <c r="R942" s="2" t="str">
        <f ca="1">IFERROR(__xludf.DUMMYFUNCTION("""COMPUTED_VALUE"""),"2do Trasiego")</f>
        <v>2do Trasiego</v>
      </c>
      <c r="S942" s="2"/>
      <c r="T942" s="2"/>
      <c r="U942" s="2" t="str">
        <f ca="1">IFERROR(__xludf.DUMMYFUNCTION("""COMPUTED_VALUE"""),"1+")</f>
        <v>1+</v>
      </c>
    </row>
    <row r="943" spans="1:21" x14ac:dyDescent="0.25">
      <c r="A943" s="2" t="str">
        <f ca="1">IFERROR(__xludf.DUMMYFUNCTION("""COMPUTED_VALUE"""),"2e5f5821")</f>
        <v>2e5f5821</v>
      </c>
      <c r="B943" s="5">
        <f ca="1">IFERROR(__xludf.DUMMYFUNCTION("""COMPUTED_VALUE"""),45884.7818402777)</f>
        <v>45884.781840277697</v>
      </c>
      <c r="C943" s="2" t="str">
        <f ca="1">IFERROR(__xludf.DUMMYFUNCTION("""COMPUTED_VALUE"""),"20dba0dd")</f>
        <v>20dba0dd</v>
      </c>
      <c r="D943" s="2">
        <f ca="1">IFERROR(__xludf.DUMMYFUNCTION("""COMPUTED_VALUE"""),50)</f>
        <v>50</v>
      </c>
      <c r="E943" s="2" t="str">
        <f ca="1">IFERROR(__xludf.DUMMYFUNCTION("""COMPUTED_VALUE"""),"Malbec Medrano L 5223")</f>
        <v>Malbec Medrano L 5223</v>
      </c>
      <c r="F943" s="2">
        <f ca="1">IFERROR(__xludf.DUMMYFUNCTION("""COMPUTED_VALUE"""),2250)</f>
        <v>2250</v>
      </c>
      <c r="G943" s="2">
        <f ca="1">IFERROR(__xludf.DUMMYFUNCTION("""COMPUTED_VALUE"""),500)</f>
        <v>500</v>
      </c>
      <c r="H943" s="2"/>
      <c r="I943" s="2"/>
      <c r="J943" s="2">
        <f ca="1">IFERROR(__xludf.DUMMYFUNCTION("""COMPUTED_VALUE"""),0)</f>
        <v>0</v>
      </c>
      <c r="K943" s="2">
        <f ca="1">IFERROR(__xludf.DUMMYFUNCTION("""COMPUTED_VALUE"""),2250)</f>
        <v>2250</v>
      </c>
      <c r="L943" s="2" t="str">
        <f ca="1">IFERROR(__xludf.DUMMYFUNCTION("""COMPUTED_VALUE"""),"99a4f454")</f>
        <v>99a4f454</v>
      </c>
      <c r="M943" s="2" t="str">
        <f ca="1">IFERROR(__xludf.DUMMYFUNCTION("""COMPUTED_VALUE"""),"Malbec Medrano L 5223 - Fraccionado")</f>
        <v>Malbec Medrano L 5223 - Fraccionado</v>
      </c>
      <c r="N943" s="2"/>
      <c r="O943" s="2" t="str">
        <f ca="1">IFERROR(__xludf.DUMMYFUNCTION("""COMPUTED_VALUE"""),"Filtrado Tang")</f>
        <v>Filtrado Tang</v>
      </c>
      <c r="P943" s="2"/>
      <c r="Q943" s="2" t="b">
        <f ca="1">IFERROR(__xludf.DUMMYFUNCTION("""COMPUTED_VALUE"""),FALSE)</f>
        <v>0</v>
      </c>
      <c r="R943" s="2" t="str">
        <f ca="1">IFERROR(__xludf.DUMMYFUNCTION("""COMPUTED_VALUE"""),"Traslado Venta")</f>
        <v>Traslado Venta</v>
      </c>
      <c r="S943" s="2"/>
      <c r="T943" s="2"/>
      <c r="U943" s="2" t="str">
        <f ca="1">IFERROR(__xludf.DUMMYFUNCTION("""COMPUTED_VALUE"""),"1+")</f>
        <v>1+</v>
      </c>
    </row>
    <row r="944" spans="1:21" x14ac:dyDescent="0.25">
      <c r="A944" s="2" t="str">
        <f ca="1">IFERROR(__xludf.DUMMYFUNCTION("""COMPUTED_VALUE"""),"8e9234d6")</f>
        <v>8e9234d6</v>
      </c>
      <c r="B944" s="5">
        <f ca="1">IFERROR(__xludf.DUMMYFUNCTION("""COMPUTED_VALUE"""),45884.7827777777)</f>
        <v>45884.782777777698</v>
      </c>
      <c r="C944" s="2" t="str">
        <f ca="1">IFERROR(__xludf.DUMMYFUNCTION("""COMPUTED_VALUE"""),"20dba0dd")</f>
        <v>20dba0dd</v>
      </c>
      <c r="D944" s="2">
        <f ca="1">IFERROR(__xludf.DUMMYFUNCTION("""COMPUTED_VALUE"""),50)</f>
        <v>50</v>
      </c>
      <c r="E944" s="2" t="str">
        <f ca="1">IFERROR(__xludf.DUMMYFUNCTION("""COMPUTED_VALUE"""),"Malbec Medrano L 5223")</f>
        <v>Malbec Medrano L 5223</v>
      </c>
      <c r="F944" s="2">
        <f ca="1">IFERROR(__xludf.DUMMYFUNCTION("""COMPUTED_VALUE"""),600)</f>
        <v>600</v>
      </c>
      <c r="G944" s="2">
        <f ca="1">IFERROR(__xludf.DUMMYFUNCTION("""COMPUTED_VALUE"""),51)</f>
        <v>51</v>
      </c>
      <c r="H944" s="2"/>
      <c r="I944" s="2"/>
      <c r="J944" s="2">
        <f ca="1">IFERROR(__xludf.DUMMYFUNCTION("""COMPUTED_VALUE"""),0)</f>
        <v>0</v>
      </c>
      <c r="K944" s="2">
        <f ca="1">IFERROR(__xludf.DUMMYFUNCTION("""COMPUTED_VALUE"""),600)</f>
        <v>600</v>
      </c>
      <c r="L944" s="2" t="str">
        <f ca="1">IFERROR(__xludf.DUMMYFUNCTION("""COMPUTED_VALUE"""),"26f083cf")</f>
        <v>26f083cf</v>
      </c>
      <c r="M944" s="2" t="str">
        <f ca="1">IFERROR(__xludf.DUMMYFUNCTION("""COMPUTED_VALUE"""),"Malbec Medrano L 5223")</f>
        <v>Malbec Medrano L 5223</v>
      </c>
      <c r="N944" s="2"/>
      <c r="O944" s="2" t="str">
        <f ca="1">IFERROR(__xludf.DUMMYFUNCTION("""COMPUTED_VALUE"""),"Filtrado Tang")</f>
        <v>Filtrado Tang</v>
      </c>
      <c r="P944" s="2"/>
      <c r="Q944" s="2" t="b">
        <f ca="1">IFERROR(__xludf.DUMMYFUNCTION("""COMPUTED_VALUE"""),FALSE)</f>
        <v>0</v>
      </c>
      <c r="R944" s="2" t="str">
        <f ca="1">IFERROR(__xludf.DUMMYFUNCTION("""COMPUTED_VALUE"""),"Filtrado Tang")</f>
        <v>Filtrado Tang</v>
      </c>
      <c r="S944" s="2"/>
      <c r="T944" s="2"/>
      <c r="U944" s="2" t="str">
        <f ca="1">IFERROR(__xludf.DUMMYFUNCTION("""COMPUTED_VALUE"""),"1+")</f>
        <v>1+</v>
      </c>
    </row>
    <row r="945" spans="1:21" x14ac:dyDescent="0.25">
      <c r="A945" s="2" t="str">
        <f ca="1">IFERROR(__xludf.DUMMYFUNCTION("""COMPUTED_VALUE"""),"4e686bb0")</f>
        <v>4e686bb0</v>
      </c>
      <c r="B945" s="5">
        <f ca="1">IFERROR(__xludf.DUMMYFUNCTION("""COMPUTED_VALUE"""),45884.7830555555)</f>
        <v>45884.783055555497</v>
      </c>
      <c r="C945" s="2" t="str">
        <f ca="1">IFERROR(__xludf.DUMMYFUNCTION("""COMPUTED_VALUE"""),"22a75cd4")</f>
        <v>22a75cd4</v>
      </c>
      <c r="D945" s="2">
        <f ca="1">IFERROR(__xludf.DUMMYFUNCTION("""COMPUTED_VALUE"""),68)</f>
        <v>68</v>
      </c>
      <c r="E945" s="2" t="str">
        <f ca="1">IFERROR(__xludf.DUMMYFUNCTION("""COMPUTED_VALUE"""),"Malbec Montecepas 24")</f>
        <v>Malbec Montecepas 24</v>
      </c>
      <c r="F945" s="2">
        <f ca="1">IFERROR(__xludf.DUMMYFUNCTION("""COMPUTED_VALUE"""),2850)</f>
        <v>2850</v>
      </c>
      <c r="G945" s="2">
        <f ca="1">IFERROR(__xludf.DUMMYFUNCTION("""COMPUTED_VALUE"""),50)</f>
        <v>50</v>
      </c>
      <c r="H945" s="2" t="str">
        <f ca="1">IFERROR(__xludf.DUMMYFUNCTION("""COMPUTED_VALUE"""),"20dba0dd")</f>
        <v>20dba0dd</v>
      </c>
      <c r="I945" s="2" t="str">
        <f ca="1">IFERROR(__xludf.DUMMYFUNCTION("""COMPUTED_VALUE"""),"Malbec Montecepas L 5223")</f>
        <v>Malbec Montecepas L 5223</v>
      </c>
      <c r="J945" s="2">
        <f ca="1">IFERROR(__xludf.DUMMYFUNCTION("""COMPUTED_VALUE"""),2250)</f>
        <v>2250</v>
      </c>
      <c r="K945" s="2">
        <f ca="1">IFERROR(__xludf.DUMMYFUNCTION("""COMPUTED_VALUE"""),5100)</f>
        <v>5100</v>
      </c>
      <c r="L945" s="2" t="str">
        <f ca="1">IFERROR(__xludf.DUMMYFUNCTION("""COMPUTED_VALUE"""),"5db7be38")</f>
        <v>5db7be38</v>
      </c>
      <c r="M945" s="2" t="str">
        <f ca="1">IFERROR(__xludf.DUMMYFUNCTION("""COMPUTED_VALUE"""),"Malbec Montecepas L 5223")</f>
        <v>Malbec Montecepas L 5223</v>
      </c>
      <c r="N945" s="2"/>
      <c r="O945" s="2" t="str">
        <f ca="1">IFERROR(__xludf.DUMMYFUNCTION("""COMPUTED_VALUE"""),"Filtrado Tang")</f>
        <v>Filtrado Tang</v>
      </c>
      <c r="P945" s="2" t="str">
        <f ca="1">IFERROR(__xludf.DUMMYFUNCTION("""COMPUTED_VALUE"""),"Filtrado Tang")</f>
        <v>Filtrado Tang</v>
      </c>
      <c r="Q945" s="2" t="b">
        <f ca="1">IFERROR(__xludf.DUMMYFUNCTION("""COMPUTED_VALUE"""),TRUE)</f>
        <v>1</v>
      </c>
      <c r="R945" s="2" t="str">
        <f ca="1">IFERROR(__xludf.DUMMYFUNCTION("""COMPUTED_VALUE"""),"Filtrado Tang")</f>
        <v>Filtrado Tang</v>
      </c>
      <c r="S945" s="2"/>
      <c r="T945" s="2"/>
      <c r="U945" s="2" t="str">
        <f ca="1">IFERROR(__xludf.DUMMYFUNCTION("""COMPUTED_VALUE"""),"1+")</f>
        <v>1+</v>
      </c>
    </row>
    <row r="946" spans="1:21" x14ac:dyDescent="0.25">
      <c r="A946" s="2" t="str">
        <f ca="1">IFERROR(__xludf.DUMMYFUNCTION("""COMPUTED_VALUE"""),"43849457")</f>
        <v>43849457</v>
      </c>
      <c r="B946" s="5">
        <f ca="1">IFERROR(__xludf.DUMMYFUNCTION("""COMPUTED_VALUE"""),45884.7834143518)</f>
        <v>45884.783414351798</v>
      </c>
      <c r="C946" s="2" t="str">
        <f ca="1">IFERROR(__xludf.DUMMYFUNCTION("""COMPUTED_VALUE"""),"22a75cd4")</f>
        <v>22a75cd4</v>
      </c>
      <c r="D946" s="2">
        <f ca="1">IFERROR(__xludf.DUMMYFUNCTION("""COMPUTED_VALUE"""),68)</f>
        <v>68</v>
      </c>
      <c r="E946" s="2" t="str">
        <f ca="1">IFERROR(__xludf.DUMMYFUNCTION("""COMPUTED_VALUE"""),"Malbec Montecepas 24")</f>
        <v>Malbec Montecepas 24</v>
      </c>
      <c r="F946" s="2">
        <f ca="1">IFERROR(__xludf.DUMMYFUNCTION("""COMPUTED_VALUE"""),3300)</f>
        <v>3300</v>
      </c>
      <c r="G946" s="2">
        <f ca="1">IFERROR(__xludf.DUMMYFUNCTION("""COMPUTED_VALUE"""),51)</f>
        <v>51</v>
      </c>
      <c r="H946" s="2" t="str">
        <f ca="1">IFERROR(__xludf.DUMMYFUNCTION("""COMPUTED_VALUE"""),"26f083cf")</f>
        <v>26f083cf</v>
      </c>
      <c r="I946" s="2" t="str">
        <f ca="1">IFERROR(__xludf.DUMMYFUNCTION("""COMPUTED_VALUE"""),"Malbec Montecepas L 5223")</f>
        <v>Malbec Montecepas L 5223</v>
      </c>
      <c r="J946" s="2">
        <f ca="1">IFERROR(__xludf.DUMMYFUNCTION("""COMPUTED_VALUE"""),600)</f>
        <v>600</v>
      </c>
      <c r="K946" s="2">
        <f ca="1">IFERROR(__xludf.DUMMYFUNCTION("""COMPUTED_VALUE"""),3900)</f>
        <v>3900</v>
      </c>
      <c r="L946" s="2" t="str">
        <f ca="1">IFERROR(__xludf.DUMMYFUNCTION("""COMPUTED_VALUE"""),"b7784dc8")</f>
        <v>b7784dc8</v>
      </c>
      <c r="M946" s="2" t="str">
        <f ca="1">IFERROR(__xludf.DUMMYFUNCTION("""COMPUTED_VALUE"""),"Malbec Montecepas 24")</f>
        <v>Malbec Montecepas 24</v>
      </c>
      <c r="N946" s="2"/>
      <c r="O946" s="2" t="str">
        <f ca="1">IFERROR(__xludf.DUMMYFUNCTION("""COMPUTED_VALUE"""),"Filtrado Tang")</f>
        <v>Filtrado Tang</v>
      </c>
      <c r="P946" s="2" t="str">
        <f ca="1">IFERROR(__xludf.DUMMYFUNCTION("""COMPUTED_VALUE"""),"Filtrado Tang")</f>
        <v>Filtrado Tang</v>
      </c>
      <c r="Q946" s="2" t="b">
        <f ca="1">IFERROR(__xludf.DUMMYFUNCTION("""COMPUTED_VALUE"""),FALSE)</f>
        <v>0</v>
      </c>
      <c r="R946" s="2" t="str">
        <f ca="1">IFERROR(__xludf.DUMMYFUNCTION("""COMPUTED_VALUE"""),"Filtrado Tang")</f>
        <v>Filtrado Tang</v>
      </c>
      <c r="S946" s="2"/>
      <c r="T946" s="2"/>
      <c r="U946" s="2" t="str">
        <f ca="1">IFERROR(__xludf.DUMMYFUNCTION("""COMPUTED_VALUE"""),"1+")</f>
        <v>1+</v>
      </c>
    </row>
    <row r="947" spans="1:21" x14ac:dyDescent="0.25">
      <c r="A947" s="2" t="str">
        <f ca="1">IFERROR(__xludf.DUMMYFUNCTION("""COMPUTED_VALUE"""),"fef5426e")</f>
        <v>fef5426e</v>
      </c>
      <c r="B947" s="5">
        <f ca="1">IFERROR(__xludf.DUMMYFUNCTION("""COMPUTED_VALUE"""),45884.7842939814)</f>
        <v>45884.7842939814</v>
      </c>
      <c r="C947" s="2" t="str">
        <f ca="1">IFERROR(__xludf.DUMMYFUNCTION("""COMPUTED_VALUE"""),"f8287724")</f>
        <v>f8287724</v>
      </c>
      <c r="D947" s="2">
        <f ca="1">IFERROR(__xludf.DUMMYFUNCTION("""COMPUTED_VALUE"""),111)</f>
        <v>111</v>
      </c>
      <c r="E947" s="2" t="str">
        <f ca="1">IFERROR(__xludf.DUMMYFUNCTION("""COMPUTED_VALUE"""),"Malbec Magneta")</f>
        <v>Malbec Magneta</v>
      </c>
      <c r="F947" s="2">
        <f ca="1">IFERROR(__xludf.DUMMYFUNCTION("""COMPUTED_VALUE"""),4000)</f>
        <v>4000</v>
      </c>
      <c r="G947" s="2">
        <f ca="1">IFERROR(__xludf.DUMMYFUNCTION("""COMPUTED_VALUE"""),500)</f>
        <v>500</v>
      </c>
      <c r="H947" s="2"/>
      <c r="I947" s="2"/>
      <c r="J947" s="2">
        <f ca="1">IFERROR(__xludf.DUMMYFUNCTION("""COMPUTED_VALUE"""),0)</f>
        <v>0</v>
      </c>
      <c r="K947" s="2">
        <f ca="1">IFERROR(__xludf.DUMMYFUNCTION("""COMPUTED_VALUE"""),4000)</f>
        <v>4000</v>
      </c>
      <c r="L947" s="2" t="str">
        <f ca="1">IFERROR(__xludf.DUMMYFUNCTION("""COMPUTED_VALUE"""),"df10fd91")</f>
        <v>df10fd91</v>
      </c>
      <c r="M947" s="2" t="str">
        <f ca="1">IFERROR(__xludf.DUMMYFUNCTION("""COMPUTED_VALUE"""),"Malbec Magneta Fraccionado L 5223")</f>
        <v>Malbec Magneta Fraccionado L 5223</v>
      </c>
      <c r="N947" s="2"/>
      <c r="O947" s="2" t="str">
        <f ca="1">IFERROR(__xludf.DUMMYFUNCTION("""COMPUTED_VALUE"""),"Filtrado Tang")</f>
        <v>Filtrado Tang</v>
      </c>
      <c r="P947" s="2"/>
      <c r="Q947" s="2" t="b">
        <f ca="1">IFERROR(__xludf.DUMMYFUNCTION("""COMPUTED_VALUE"""),FALSE)</f>
        <v>0</v>
      </c>
      <c r="R947" s="2" t="str">
        <f ca="1">IFERROR(__xludf.DUMMYFUNCTION("""COMPUTED_VALUE"""),"Traslado Venta")</f>
        <v>Traslado Venta</v>
      </c>
      <c r="S947" s="2"/>
      <c r="T947" s="2"/>
      <c r="U947" s="2"/>
    </row>
    <row r="948" spans="1:21" x14ac:dyDescent="0.25">
      <c r="A948" s="2" t="str">
        <f ca="1">IFERROR(__xludf.DUMMYFUNCTION("""COMPUTED_VALUE"""),"938e57a4")</f>
        <v>938e57a4</v>
      </c>
      <c r="B948" s="5">
        <f ca="1">IFERROR(__xludf.DUMMYFUNCTION("""COMPUTED_VALUE"""),45888.3780439814)</f>
        <v>45888.3780439814</v>
      </c>
      <c r="C948" s="2" t="str">
        <f ca="1">IFERROR(__xludf.DUMMYFUNCTION("""COMPUTED_VALUE"""),"5db7be38")</f>
        <v>5db7be38</v>
      </c>
      <c r="D948" s="2">
        <f ca="1">IFERROR(__xludf.DUMMYFUNCTION("""COMPUTED_VALUE"""),50)</f>
        <v>50</v>
      </c>
      <c r="E948" s="2" t="str">
        <f ca="1">IFERROR(__xludf.DUMMYFUNCTION("""COMPUTED_VALUE"""),"Malbec Montecepas L 5223")</f>
        <v>Malbec Montecepas L 5223</v>
      </c>
      <c r="F948" s="2">
        <f ca="1">IFERROR(__xludf.DUMMYFUNCTION("""COMPUTED_VALUE"""),5100)</f>
        <v>5100</v>
      </c>
      <c r="G948" s="2">
        <f ca="1">IFERROR(__xludf.DUMMYFUNCTION("""COMPUTED_VALUE"""),500)</f>
        <v>500</v>
      </c>
      <c r="H948" s="2"/>
      <c r="I948" s="2"/>
      <c r="J948" s="2">
        <f ca="1">IFERROR(__xludf.DUMMYFUNCTION("""COMPUTED_VALUE"""),0)</f>
        <v>0</v>
      </c>
      <c r="K948" s="2">
        <f ca="1">IFERROR(__xludf.DUMMYFUNCTION("""COMPUTED_VALUE"""),5100)</f>
        <v>5100</v>
      </c>
      <c r="L948" s="2" t="str">
        <f ca="1">IFERROR(__xludf.DUMMYFUNCTION("""COMPUTED_VALUE"""),"aa688500")</f>
        <v>aa688500</v>
      </c>
      <c r="M948" s="2" t="str">
        <f ca="1">IFERROR(__xludf.DUMMYFUNCTION("""COMPUTED_VALUE"""),"Malbec Montecepas L 5223 - Fraccionado")</f>
        <v>Malbec Montecepas L 5223 - Fraccionado</v>
      </c>
      <c r="N948" s="2"/>
      <c r="O948" s="2" t="str">
        <f ca="1">IFERROR(__xludf.DUMMYFUNCTION("""COMPUTED_VALUE"""),"Filtrado Tang")</f>
        <v>Filtrado Tang</v>
      </c>
      <c r="P948" s="2"/>
      <c r="Q948" s="2" t="b">
        <f ca="1">IFERROR(__xludf.DUMMYFUNCTION("""COMPUTED_VALUE"""),FALSE)</f>
        <v>0</v>
      </c>
      <c r="R948" s="2" t="str">
        <f ca="1">IFERROR(__xludf.DUMMYFUNCTION("""COMPUTED_VALUE"""),"Filtrado Tang")</f>
        <v>Filtrado Tang</v>
      </c>
      <c r="S948" s="2"/>
      <c r="T948" s="2"/>
      <c r="U948" s="2" t="str">
        <f ca="1">IFERROR(__xludf.DUMMYFUNCTION("""COMPUTED_VALUE"""),"1+")</f>
        <v>1+</v>
      </c>
    </row>
    <row r="949" spans="1:21" x14ac:dyDescent="0.25">
      <c r="A949" s="2" t="str">
        <f ca="1">IFERROR(__xludf.DUMMYFUNCTION("""COMPUTED_VALUE"""),"a0dbfe74")</f>
        <v>a0dbfe74</v>
      </c>
      <c r="B949" s="5">
        <f ca="1">IFERROR(__xludf.DUMMYFUNCTION("""COMPUTED_VALUE"""),45888.3784722222)</f>
        <v>45888.378472222197</v>
      </c>
      <c r="C949" s="2" t="str">
        <f ca="1">IFERROR(__xludf.DUMMYFUNCTION("""COMPUTED_VALUE"""),"b7784dc8")</f>
        <v>b7784dc8</v>
      </c>
      <c r="D949" s="2">
        <f ca="1">IFERROR(__xludf.DUMMYFUNCTION("""COMPUTED_VALUE"""),51)</f>
        <v>51</v>
      </c>
      <c r="E949" s="2" t="str">
        <f ca="1">IFERROR(__xludf.DUMMYFUNCTION("""COMPUTED_VALUE"""),"Malbec Montecepas 24")</f>
        <v>Malbec Montecepas 24</v>
      </c>
      <c r="F949" s="2">
        <f ca="1">IFERROR(__xludf.DUMMYFUNCTION("""COMPUTED_VALUE"""),1800)</f>
        <v>1800</v>
      </c>
      <c r="G949" s="2">
        <f ca="1">IFERROR(__xludf.DUMMYFUNCTION("""COMPUTED_VALUE"""),500)</f>
        <v>500</v>
      </c>
      <c r="H949" s="2" t="str">
        <f ca="1">IFERROR(__xludf.DUMMYFUNCTION("""COMPUTED_VALUE"""),"aa688500")</f>
        <v>aa688500</v>
      </c>
      <c r="I949" s="2" t="str">
        <f ca="1">IFERROR(__xludf.DUMMYFUNCTION("""COMPUTED_VALUE"""),"Malbec Montecepas L 5223 - Fraccionado")</f>
        <v>Malbec Montecepas L 5223 - Fraccionado</v>
      </c>
      <c r="J949" s="2">
        <f ca="1">IFERROR(__xludf.DUMMYFUNCTION("""COMPUTED_VALUE"""),5100)</f>
        <v>5100</v>
      </c>
      <c r="K949" s="2">
        <f ca="1">IFERROR(__xludf.DUMMYFUNCTION("""COMPUTED_VALUE"""),6900)</f>
        <v>6900</v>
      </c>
      <c r="L949" s="2" t="str">
        <f ca="1">IFERROR(__xludf.DUMMYFUNCTION("""COMPUTED_VALUE"""),"cbc84b48")</f>
        <v>cbc84b48</v>
      </c>
      <c r="M949" s="2" t="str">
        <f ca="1">IFERROR(__xludf.DUMMYFUNCTION("""COMPUTED_VALUE"""),"Malbec Montecepas L 5223 - Fraccionado")</f>
        <v>Malbec Montecepas L 5223 - Fraccionado</v>
      </c>
      <c r="N949" s="2"/>
      <c r="O949" s="2" t="str">
        <f ca="1">IFERROR(__xludf.DUMMYFUNCTION("""COMPUTED_VALUE"""),"Filtrado Tang")</f>
        <v>Filtrado Tang</v>
      </c>
      <c r="P949" s="2" t="str">
        <f ca="1">IFERROR(__xludf.DUMMYFUNCTION("""COMPUTED_VALUE"""),"Filtrado Tang")</f>
        <v>Filtrado Tang</v>
      </c>
      <c r="Q949" s="2" t="b">
        <f ca="1">IFERROR(__xludf.DUMMYFUNCTION("""COMPUTED_VALUE"""),TRUE)</f>
        <v>1</v>
      </c>
      <c r="R949" s="2" t="str">
        <f ca="1">IFERROR(__xludf.DUMMYFUNCTION("""COMPUTED_VALUE"""),"Filtrado Tang")</f>
        <v>Filtrado Tang</v>
      </c>
      <c r="S949" s="2"/>
      <c r="T949" s="2"/>
      <c r="U949" s="2" t="str">
        <f ca="1">IFERROR(__xludf.DUMMYFUNCTION("""COMPUTED_VALUE"""),"1+")</f>
        <v>1+</v>
      </c>
    </row>
    <row r="950" spans="1:21" x14ac:dyDescent="0.25">
      <c r="A950" s="2" t="str">
        <f ca="1">IFERROR(__xludf.DUMMYFUNCTION("""COMPUTED_VALUE"""),"ec22814a")</f>
        <v>ec22814a</v>
      </c>
      <c r="B950" s="5">
        <f ca="1">IFERROR(__xludf.DUMMYFUNCTION("""COMPUTED_VALUE"""),45888.3801388888)</f>
        <v>45888.380138888802</v>
      </c>
      <c r="C950" s="2" t="str">
        <f ca="1">IFERROR(__xludf.DUMMYFUNCTION("""COMPUTED_VALUE"""),"08cd1438")</f>
        <v>08cd1438</v>
      </c>
      <c r="D950" s="2">
        <f ca="1">IFERROR(__xludf.DUMMYFUNCTION("""COMPUTED_VALUE"""),34)</f>
        <v>34</v>
      </c>
      <c r="E950" s="2" t="str">
        <f ca="1">IFERROR(__xludf.DUMMYFUNCTION("""COMPUTED_VALUE"""),"Malbec")</f>
        <v>Malbec</v>
      </c>
      <c r="F950" s="2">
        <f ca="1">IFERROR(__xludf.DUMMYFUNCTION("""COMPUTED_VALUE"""),9000)</f>
        <v>9000</v>
      </c>
      <c r="G950" s="2">
        <f ca="1">IFERROR(__xludf.DUMMYFUNCTION("""COMPUTED_VALUE"""),116)</f>
        <v>116</v>
      </c>
      <c r="H950" s="2" t="str">
        <f ca="1">IFERROR(__xludf.DUMMYFUNCTION("""COMPUTED_VALUE"""),"56916efb")</f>
        <v>56916efb</v>
      </c>
      <c r="I950" s="2" t="str">
        <f ca="1">IFERROR(__xludf.DUMMYFUNCTION("""COMPUTED_VALUE"""),"Malbec")</f>
        <v>Malbec</v>
      </c>
      <c r="J950" s="2">
        <f ca="1">IFERROR(__xludf.DUMMYFUNCTION("""COMPUTED_VALUE"""),29845)</f>
        <v>29845</v>
      </c>
      <c r="K950" s="2">
        <f ca="1">IFERROR(__xludf.DUMMYFUNCTION("""COMPUTED_VALUE"""),38845)</f>
        <v>38845</v>
      </c>
      <c r="L950" s="2" t="str">
        <f ca="1">IFERROR(__xludf.DUMMYFUNCTION("""COMPUTED_VALUE"""),"8347bdfc")</f>
        <v>8347bdfc</v>
      </c>
      <c r="M950" s="2" t="str">
        <f ca="1">IFERROR(__xludf.DUMMYFUNCTION("""COMPUTED_VALUE"""),"Malbec")</f>
        <v>Malbec</v>
      </c>
      <c r="N950" s="2"/>
      <c r="O950" s="2" t="str">
        <f ca="1">IFERROR(__xludf.DUMMYFUNCTION("""COMPUTED_VALUE"""),"2do Trasiego")</f>
        <v>2do Trasiego</v>
      </c>
      <c r="P950" s="2" t="str">
        <f ca="1">IFERROR(__xludf.DUMMYFUNCTION("""COMPUTED_VALUE"""),"Filtrado Tang")</f>
        <v>Filtrado Tang</v>
      </c>
      <c r="Q950" s="2" t="b">
        <f ca="1">IFERROR(__xludf.DUMMYFUNCTION("""COMPUTED_VALUE"""),TRUE)</f>
        <v>1</v>
      </c>
      <c r="R950" s="2" t="str">
        <f ca="1">IFERROR(__xludf.DUMMYFUNCTION("""COMPUTED_VALUE"""),"Filtrado Tang")</f>
        <v>Filtrado Tang</v>
      </c>
      <c r="S950" s="2"/>
      <c r="T950" s="2"/>
      <c r="U950" s="2" t="str">
        <f ca="1">IFERROR(__xludf.DUMMYFUNCTION("""COMPUTED_VALUE"""),"1+")</f>
        <v>1+</v>
      </c>
    </row>
    <row r="951" spans="1:21" x14ac:dyDescent="0.25">
      <c r="A951" s="2" t="str">
        <f ca="1">IFERROR(__xludf.DUMMYFUNCTION("""COMPUTED_VALUE"""),"e6896667")</f>
        <v>e6896667</v>
      </c>
      <c r="B951" s="5">
        <f ca="1">IFERROR(__xludf.DUMMYFUNCTION("""COMPUTED_VALUE"""),45890.6415277777)</f>
        <v>45890.641527777698</v>
      </c>
      <c r="C951" s="2" t="str">
        <f ca="1">IFERROR(__xludf.DUMMYFUNCTION("""COMPUTED_VALUE"""),"686fc77a")</f>
        <v>686fc77a</v>
      </c>
      <c r="D951" s="2">
        <f ca="1">IFERROR(__xludf.DUMMYFUNCTION("""COMPUTED_VALUE"""),90)</f>
        <v>90</v>
      </c>
      <c r="E951" s="2" t="str">
        <f ca="1">IFERROR(__xludf.DUMMYFUNCTION("""COMPUTED_VALUE"""),"Bonarda")</f>
        <v>Bonarda</v>
      </c>
      <c r="F951" s="2">
        <f ca="1">IFERROR(__xludf.DUMMYFUNCTION("""COMPUTED_VALUE"""),33500)</f>
        <v>33500</v>
      </c>
      <c r="G951" s="2">
        <f ca="1">IFERROR(__xludf.DUMMYFUNCTION("""COMPUTED_VALUE"""),24)</f>
        <v>24</v>
      </c>
      <c r="H951" s="2"/>
      <c r="I951" s="2"/>
      <c r="J951" s="2">
        <f ca="1">IFERROR(__xludf.DUMMYFUNCTION("""COMPUTED_VALUE"""),0)</f>
        <v>0</v>
      </c>
      <c r="K951" s="2">
        <f ca="1">IFERROR(__xludf.DUMMYFUNCTION("""COMPUTED_VALUE"""),33500)</f>
        <v>33500</v>
      </c>
      <c r="L951" s="2" t="str">
        <f ca="1">IFERROR(__xludf.DUMMYFUNCTION("""COMPUTED_VALUE"""),"b4b9d373")</f>
        <v>b4b9d373</v>
      </c>
      <c r="M951" s="2" t="str">
        <f ca="1">IFERROR(__xludf.DUMMYFUNCTION("""COMPUTED_VALUE"""),"Tinto Garbin Millan")</f>
        <v>Tinto Garbin Millan</v>
      </c>
      <c r="N951" s="2"/>
      <c r="O951" s="2" t="str">
        <f ca="1">IFERROR(__xludf.DUMMYFUNCTION("""COMPUTED_VALUE"""),"2do Trasiego")</f>
        <v>2do Trasiego</v>
      </c>
      <c r="P951" s="2"/>
      <c r="Q951" s="2" t="b">
        <f ca="1">IFERROR(__xludf.DUMMYFUNCTION("""COMPUTED_VALUE"""),FALSE)</f>
        <v>0</v>
      </c>
      <c r="R951" s="2" t="str">
        <f ca="1">IFERROR(__xludf.DUMMYFUNCTION("""COMPUTED_VALUE"""),"Terminado")</f>
        <v>Terminado</v>
      </c>
      <c r="S951" s="2"/>
      <c r="T951" s="2"/>
      <c r="U951" s="2" t="str">
        <f ca="1">IFERROR(__xludf.DUMMYFUNCTION("""COMPUTED_VALUE"""),"1")</f>
        <v>1</v>
      </c>
    </row>
    <row r="952" spans="1:21" x14ac:dyDescent="0.25">
      <c r="A952" s="2" t="str">
        <f ca="1">IFERROR(__xludf.DUMMYFUNCTION("""COMPUTED_VALUE"""),"5a1e9b51")</f>
        <v>5a1e9b51</v>
      </c>
      <c r="B952" s="5">
        <f ca="1">IFERROR(__xludf.DUMMYFUNCTION("""COMPUTED_VALUE"""),45890.6422916666)</f>
        <v>45890.642291666598</v>
      </c>
      <c r="C952" s="2" t="str">
        <f ca="1">IFERROR(__xludf.DUMMYFUNCTION("""COMPUTED_VALUE"""),"6d97827a")</f>
        <v>6d97827a</v>
      </c>
      <c r="D952" s="2">
        <f ca="1">IFERROR(__xludf.DUMMYFUNCTION("""COMPUTED_VALUE"""),89)</f>
        <v>89</v>
      </c>
      <c r="E952" s="2" t="str">
        <f ca="1">IFERROR(__xludf.DUMMYFUNCTION("""COMPUTED_VALUE"""),"Syrah Tempranillo")</f>
        <v>Syrah Tempranillo</v>
      </c>
      <c r="F952" s="2">
        <f ca="1">IFERROR(__xludf.DUMMYFUNCTION("""COMPUTED_VALUE"""),24200)</f>
        <v>24200</v>
      </c>
      <c r="G952" s="2">
        <f ca="1">IFERROR(__xludf.DUMMYFUNCTION("""COMPUTED_VALUE"""),24)</f>
        <v>24</v>
      </c>
      <c r="H952" s="2" t="str">
        <f ca="1">IFERROR(__xludf.DUMMYFUNCTION("""COMPUTED_VALUE"""),"b4b9d373")</f>
        <v>b4b9d373</v>
      </c>
      <c r="I952" s="2" t="str">
        <f ca="1">IFERROR(__xludf.DUMMYFUNCTION("""COMPUTED_VALUE"""),"Tinto Garbin Millan")</f>
        <v>Tinto Garbin Millan</v>
      </c>
      <c r="J952" s="2">
        <f ca="1">IFERROR(__xludf.DUMMYFUNCTION("""COMPUTED_VALUE"""),33500)</f>
        <v>33500</v>
      </c>
      <c r="K952" s="2">
        <f ca="1">IFERROR(__xludf.DUMMYFUNCTION("""COMPUTED_VALUE"""),57700)</f>
        <v>57700</v>
      </c>
      <c r="L952" s="2" t="str">
        <f ca="1">IFERROR(__xludf.DUMMYFUNCTION("""COMPUTED_VALUE"""),"eeb0e3cc")</f>
        <v>eeb0e3cc</v>
      </c>
      <c r="M952" s="2" t="str">
        <f ca="1">IFERROR(__xludf.DUMMYFUNCTION("""COMPUTED_VALUE"""),"Tinto Garbin Millan")</f>
        <v>Tinto Garbin Millan</v>
      </c>
      <c r="N952" s="2"/>
      <c r="O952" s="2" t="str">
        <f ca="1">IFERROR(__xludf.DUMMYFUNCTION("""COMPUTED_VALUE"""),"2do Trasiego")</f>
        <v>2do Trasiego</v>
      </c>
      <c r="P952" s="2" t="str">
        <f ca="1">IFERROR(__xludf.DUMMYFUNCTION("""COMPUTED_VALUE"""),"Terminado")</f>
        <v>Terminado</v>
      </c>
      <c r="Q952" s="2" t="b">
        <f ca="1">IFERROR(__xludf.DUMMYFUNCTION("""COMPUTED_VALUE"""),TRUE)</f>
        <v>1</v>
      </c>
      <c r="R952" s="2" t="str">
        <f ca="1">IFERROR(__xludf.DUMMYFUNCTION("""COMPUTED_VALUE"""),"Terminado")</f>
        <v>Terminado</v>
      </c>
      <c r="S952" s="2"/>
      <c r="T952" s="2"/>
      <c r="U952" s="2" t="str">
        <f ca="1">IFERROR(__xludf.DUMMYFUNCTION("""COMPUTED_VALUE"""),"1")</f>
        <v>1</v>
      </c>
    </row>
    <row r="953" spans="1:21" x14ac:dyDescent="0.25">
      <c r="A953" s="2" t="str">
        <f ca="1">IFERROR(__xludf.DUMMYFUNCTION("""COMPUTED_VALUE"""),"73238301")</f>
        <v>73238301</v>
      </c>
      <c r="B953" s="5">
        <f ca="1">IFERROR(__xludf.DUMMYFUNCTION("""COMPUTED_VALUE"""),45890.6426273148)</f>
        <v>45890.642627314803</v>
      </c>
      <c r="C953" s="2" t="str">
        <f ca="1">IFERROR(__xludf.DUMMYFUNCTION("""COMPUTED_VALUE"""),"a324303d")</f>
        <v>a324303d</v>
      </c>
      <c r="D953" s="2">
        <f ca="1">IFERROR(__xludf.DUMMYFUNCTION("""COMPUTED_VALUE"""),6)</f>
        <v>6</v>
      </c>
      <c r="E953" s="2" t="str">
        <f ca="1">IFERROR(__xludf.DUMMYFUNCTION("""COMPUTED_VALUE"""),"Aspirant Anccelota Gota")</f>
        <v>Aspirant Anccelota Gota</v>
      </c>
      <c r="F953" s="2">
        <f ca="1">IFERROR(__xludf.DUMMYFUNCTION("""COMPUTED_VALUE"""),13000)</f>
        <v>13000</v>
      </c>
      <c r="G953" s="2">
        <f ca="1">IFERROR(__xludf.DUMMYFUNCTION("""COMPUTED_VALUE"""),24)</f>
        <v>24</v>
      </c>
      <c r="H953" s="2" t="str">
        <f ca="1">IFERROR(__xludf.DUMMYFUNCTION("""COMPUTED_VALUE"""),"eeb0e3cc")</f>
        <v>eeb0e3cc</v>
      </c>
      <c r="I953" s="2" t="str">
        <f ca="1">IFERROR(__xludf.DUMMYFUNCTION("""COMPUTED_VALUE"""),"Tinto Garbin Millan")</f>
        <v>Tinto Garbin Millan</v>
      </c>
      <c r="J953" s="2">
        <f ca="1">IFERROR(__xludf.DUMMYFUNCTION("""COMPUTED_VALUE"""),57700)</f>
        <v>57700</v>
      </c>
      <c r="K953" s="2">
        <f ca="1">IFERROR(__xludf.DUMMYFUNCTION("""COMPUTED_VALUE"""),70700)</f>
        <v>70700</v>
      </c>
      <c r="L953" s="2" t="str">
        <f ca="1">IFERROR(__xludf.DUMMYFUNCTION("""COMPUTED_VALUE"""),"e7f2e4d8")</f>
        <v>e7f2e4d8</v>
      </c>
      <c r="M953" s="2" t="str">
        <f ca="1">IFERROR(__xludf.DUMMYFUNCTION("""COMPUTED_VALUE"""),"Tinto Garbin Millan")</f>
        <v>Tinto Garbin Millan</v>
      </c>
      <c r="N953" s="2"/>
      <c r="O953" s="2" t="str">
        <f ca="1">IFERROR(__xludf.DUMMYFUNCTION("""COMPUTED_VALUE"""),"2do Trasiego")</f>
        <v>2do Trasiego</v>
      </c>
      <c r="P953" s="2" t="str">
        <f ca="1">IFERROR(__xludf.DUMMYFUNCTION("""COMPUTED_VALUE"""),"Terminado")</f>
        <v>Terminado</v>
      </c>
      <c r="Q953" s="2" t="b">
        <f ca="1">IFERROR(__xludf.DUMMYFUNCTION("""COMPUTED_VALUE"""),TRUE)</f>
        <v>1</v>
      </c>
      <c r="R953" s="2" t="str">
        <f ca="1">IFERROR(__xludf.DUMMYFUNCTION("""COMPUTED_VALUE"""),"Terminado")</f>
        <v>Terminado</v>
      </c>
      <c r="S953" s="2"/>
      <c r="T953" s="2"/>
      <c r="U953" s="2" t="str">
        <f ca="1">IFERROR(__xludf.DUMMYFUNCTION("""COMPUTED_VALUE"""),"1")</f>
        <v>1</v>
      </c>
    </row>
    <row r="954" spans="1:21" x14ac:dyDescent="0.25">
      <c r="A954" s="2" t="str">
        <f ca="1">IFERROR(__xludf.DUMMYFUNCTION("""COMPUTED_VALUE"""),"9a76e2a1")</f>
        <v>9a76e2a1</v>
      </c>
      <c r="B954" s="5">
        <f ca="1">IFERROR(__xludf.DUMMYFUNCTION("""COMPUTED_VALUE"""),45890.6429398148)</f>
        <v>45890.642939814803</v>
      </c>
      <c r="C954" s="2" t="str">
        <f ca="1">IFERROR(__xludf.DUMMYFUNCTION("""COMPUTED_VALUE"""),"19567056")</f>
        <v>19567056</v>
      </c>
      <c r="D954" s="2">
        <f ca="1">IFERROR(__xludf.DUMMYFUNCTION("""COMPUTED_VALUE"""),115)</f>
        <v>115</v>
      </c>
      <c r="E954" s="2" t="str">
        <f ca="1">IFERROR(__xludf.DUMMYFUNCTION("""COMPUTED_VALUE"""),"Tinto")</f>
        <v>Tinto</v>
      </c>
      <c r="F954" s="2">
        <f ca="1">IFERROR(__xludf.DUMMYFUNCTION("""COMPUTED_VALUE"""),65100)</f>
        <v>65100</v>
      </c>
      <c r="G954" s="2">
        <f ca="1">IFERROR(__xludf.DUMMYFUNCTION("""COMPUTED_VALUE"""),24)</f>
        <v>24</v>
      </c>
      <c r="H954" s="2" t="str">
        <f ca="1">IFERROR(__xludf.DUMMYFUNCTION("""COMPUTED_VALUE"""),"e7f2e4d8")</f>
        <v>e7f2e4d8</v>
      </c>
      <c r="I954" s="2" t="str">
        <f ca="1">IFERROR(__xludf.DUMMYFUNCTION("""COMPUTED_VALUE"""),"Tinto Garbin Millan")</f>
        <v>Tinto Garbin Millan</v>
      </c>
      <c r="J954" s="2">
        <f ca="1">IFERROR(__xludf.DUMMYFUNCTION("""COMPUTED_VALUE"""),70700)</f>
        <v>70700</v>
      </c>
      <c r="K954" s="2">
        <f ca="1">IFERROR(__xludf.DUMMYFUNCTION("""COMPUTED_VALUE"""),135800)</f>
        <v>135800</v>
      </c>
      <c r="L954" s="2" t="str">
        <f ca="1">IFERROR(__xludf.DUMMYFUNCTION("""COMPUTED_VALUE"""),"aa31c842")</f>
        <v>aa31c842</v>
      </c>
      <c r="M954" s="2" t="str">
        <f ca="1">IFERROR(__xludf.DUMMYFUNCTION("""COMPUTED_VALUE"""),"Tinto Garbin Millan")</f>
        <v>Tinto Garbin Millan</v>
      </c>
      <c r="N954" s="2"/>
      <c r="O954" s="2" t="str">
        <f ca="1">IFERROR(__xludf.DUMMYFUNCTION("""COMPUTED_VALUE"""),"2do Trasiego")</f>
        <v>2do Trasiego</v>
      </c>
      <c r="P954" s="2" t="str">
        <f ca="1">IFERROR(__xludf.DUMMYFUNCTION("""COMPUTED_VALUE"""),"Terminado")</f>
        <v>Terminado</v>
      </c>
      <c r="Q954" s="2" t="b">
        <f ca="1">IFERROR(__xludf.DUMMYFUNCTION("""COMPUTED_VALUE"""),TRUE)</f>
        <v>1</v>
      </c>
      <c r="R954" s="2" t="str">
        <f ca="1">IFERROR(__xludf.DUMMYFUNCTION("""COMPUTED_VALUE"""),"Terminado")</f>
        <v>Terminado</v>
      </c>
      <c r="S954" s="2"/>
      <c r="T954" s="2"/>
      <c r="U954" s="2" t="str">
        <f ca="1">IFERROR(__xludf.DUMMYFUNCTION("""COMPUTED_VALUE"""),"1")</f>
        <v>1</v>
      </c>
    </row>
    <row r="955" spans="1:21" x14ac:dyDescent="0.25">
      <c r="A955" s="2" t="str">
        <f ca="1">IFERROR(__xludf.DUMMYFUNCTION("""COMPUTED_VALUE"""),"67f9a428")</f>
        <v>67f9a428</v>
      </c>
      <c r="B955" s="5">
        <f ca="1">IFERROR(__xludf.DUMMYFUNCTION("""COMPUTED_VALUE"""),45890.6435532407)</f>
        <v>45890.643553240698</v>
      </c>
      <c r="C955" s="2" t="str">
        <f ca="1">IFERROR(__xludf.DUMMYFUNCTION("""COMPUTED_VALUE"""),"a2728d01")</f>
        <v>a2728d01</v>
      </c>
      <c r="D955" s="2">
        <f ca="1">IFERROR(__xludf.DUMMYFUNCTION("""COMPUTED_VALUE"""),25)</f>
        <v>25</v>
      </c>
      <c r="E955" s="2" t="str">
        <f ca="1">IFERROR(__xludf.DUMMYFUNCTION("""COMPUTED_VALUE"""),"Syrah")</f>
        <v>Syrah</v>
      </c>
      <c r="F955" s="2">
        <f ca="1">IFERROR(__xludf.DUMMYFUNCTION("""COMPUTED_VALUE"""),50800)</f>
        <v>50800</v>
      </c>
      <c r="G955" s="2">
        <f ca="1">IFERROR(__xludf.DUMMYFUNCTION("""COMPUTED_VALUE"""),24)</f>
        <v>24</v>
      </c>
      <c r="H955" s="2" t="str">
        <f ca="1">IFERROR(__xludf.DUMMYFUNCTION("""COMPUTED_VALUE"""),"aa31c842")</f>
        <v>aa31c842</v>
      </c>
      <c r="I955" s="2" t="str">
        <f ca="1">IFERROR(__xludf.DUMMYFUNCTION("""COMPUTED_VALUE"""),"Tinto Garbin Millan")</f>
        <v>Tinto Garbin Millan</v>
      </c>
      <c r="J955" s="2">
        <f ca="1">IFERROR(__xludf.DUMMYFUNCTION("""COMPUTED_VALUE"""),135800)</f>
        <v>135800</v>
      </c>
      <c r="K955" s="2">
        <f ca="1">IFERROR(__xludf.DUMMYFUNCTION("""COMPUTED_VALUE"""),186600)</f>
        <v>186600</v>
      </c>
      <c r="L955" s="2" t="str">
        <f ca="1">IFERROR(__xludf.DUMMYFUNCTION("""COMPUTED_VALUE"""),"edf6771c")</f>
        <v>edf6771c</v>
      </c>
      <c r="M955" s="2" t="str">
        <f ca="1">IFERROR(__xludf.DUMMYFUNCTION("""COMPUTED_VALUE"""),"Tinto Garbin Millan")</f>
        <v>Tinto Garbin Millan</v>
      </c>
      <c r="N955" s="2"/>
      <c r="O955" s="2" t="str">
        <f ca="1">IFERROR(__xludf.DUMMYFUNCTION("""COMPUTED_VALUE"""),"2do Trasiego")</f>
        <v>2do Trasiego</v>
      </c>
      <c r="P955" s="2" t="str">
        <f ca="1">IFERROR(__xludf.DUMMYFUNCTION("""COMPUTED_VALUE"""),"Terminado")</f>
        <v>Terminado</v>
      </c>
      <c r="Q955" s="2" t="b">
        <f ca="1">IFERROR(__xludf.DUMMYFUNCTION("""COMPUTED_VALUE"""),TRUE)</f>
        <v>1</v>
      </c>
      <c r="R955" s="2" t="str">
        <f ca="1">IFERROR(__xludf.DUMMYFUNCTION("""COMPUTED_VALUE"""),"Terminado")</f>
        <v>Terminado</v>
      </c>
      <c r="S955" s="2"/>
      <c r="T955" s="2"/>
      <c r="U955" s="2" t="str">
        <f ca="1">IFERROR(__xludf.DUMMYFUNCTION("""COMPUTED_VALUE"""),"1")</f>
        <v>1</v>
      </c>
    </row>
    <row r="956" spans="1:21" x14ac:dyDescent="0.25">
      <c r="A956" s="2" t="str">
        <f ca="1">IFERROR(__xludf.DUMMYFUNCTION("""COMPUTED_VALUE"""),"e2cb6b8a")</f>
        <v>e2cb6b8a</v>
      </c>
      <c r="B956" s="5">
        <f ca="1">IFERROR(__xludf.DUMMYFUNCTION("""COMPUTED_VALUE"""),45890.6440046296)</f>
        <v>45890.644004629597</v>
      </c>
      <c r="C956" s="2" t="str">
        <f ca="1">IFERROR(__xludf.DUMMYFUNCTION("""COMPUTED_VALUE"""),"edf6771c")</f>
        <v>edf6771c</v>
      </c>
      <c r="D956" s="2">
        <f ca="1">IFERROR(__xludf.DUMMYFUNCTION("""COMPUTED_VALUE"""),24)</f>
        <v>24</v>
      </c>
      <c r="E956" s="2" t="str">
        <f ca="1">IFERROR(__xludf.DUMMYFUNCTION("""COMPUTED_VALUE"""),"Tinto Garbin Millan")</f>
        <v>Tinto Garbin Millan</v>
      </c>
      <c r="F956" s="2">
        <f ca="1">IFERROR(__xludf.DUMMYFUNCTION("""COMPUTED_VALUE"""),59000)</f>
        <v>59000</v>
      </c>
      <c r="G956" s="2">
        <f ca="1">IFERROR(__xludf.DUMMYFUNCTION("""COMPUTED_VALUE"""),500)</f>
        <v>500</v>
      </c>
      <c r="H956" s="2"/>
      <c r="I956" s="2"/>
      <c r="J956" s="2">
        <f ca="1">IFERROR(__xludf.DUMMYFUNCTION("""COMPUTED_VALUE"""),0)</f>
        <v>0</v>
      </c>
      <c r="K956" s="2">
        <f ca="1">IFERROR(__xludf.DUMMYFUNCTION("""COMPUTED_VALUE"""),59000)</f>
        <v>59000</v>
      </c>
      <c r="L956" s="2" t="str">
        <f ca="1">IFERROR(__xludf.DUMMYFUNCTION("""COMPUTED_VALUE"""),"452b9c20")</f>
        <v>452b9c20</v>
      </c>
      <c r="M956" s="2" t="str">
        <f ca="1">IFERROR(__xludf.DUMMYFUNCTION("""COMPUTED_VALUE"""),"Tinto Garbin Venta")</f>
        <v>Tinto Garbin Venta</v>
      </c>
      <c r="N956" s="2"/>
      <c r="O956" s="2" t="str">
        <f ca="1">IFERROR(__xludf.DUMMYFUNCTION("""COMPUTED_VALUE"""),"Terminado")</f>
        <v>Terminado</v>
      </c>
      <c r="P956" s="2"/>
      <c r="Q956" s="2" t="b">
        <f ca="1">IFERROR(__xludf.DUMMYFUNCTION("""COMPUTED_VALUE"""),FALSE)</f>
        <v>0</v>
      </c>
      <c r="R956" s="2" t="str">
        <f ca="1">IFERROR(__xludf.DUMMYFUNCTION("""COMPUTED_VALUE"""),"Terminado")</f>
        <v>Terminado</v>
      </c>
      <c r="S956" s="2"/>
      <c r="T956" s="2"/>
      <c r="U956" s="2" t="str">
        <f ca="1">IFERROR(__xludf.DUMMYFUNCTION("""COMPUTED_VALUE"""),"1")</f>
        <v>1</v>
      </c>
    </row>
    <row r="957" spans="1:21" x14ac:dyDescent="0.25">
      <c r="A957" s="2" t="str">
        <f ca="1">IFERROR(__xludf.DUMMYFUNCTION("""COMPUTED_VALUE"""),"f776ab86")</f>
        <v>f776ab86</v>
      </c>
      <c r="B957" s="5">
        <f ca="1">IFERROR(__xludf.DUMMYFUNCTION("""COMPUTED_VALUE"""),45891.4055324074)</f>
        <v>45891.4055324074</v>
      </c>
      <c r="C957" s="2" t="str">
        <f ca="1">IFERROR(__xludf.DUMMYFUNCTION("""COMPUTED_VALUE"""),"08cd1438")</f>
        <v>08cd1438</v>
      </c>
      <c r="D957" s="2">
        <f ca="1">IFERROR(__xludf.DUMMYFUNCTION("""COMPUTED_VALUE"""),34)</f>
        <v>34</v>
      </c>
      <c r="E957" s="2" t="str">
        <f ca="1">IFERROR(__xludf.DUMMYFUNCTION("""COMPUTED_VALUE"""),"Malbec")</f>
        <v>Malbec</v>
      </c>
      <c r="F957" s="2">
        <f ca="1">IFERROR(__xludf.DUMMYFUNCTION("""COMPUTED_VALUE"""),8700)</f>
        <v>8700</v>
      </c>
      <c r="G957" s="2">
        <f ca="1">IFERROR(__xludf.DUMMYFUNCTION("""COMPUTED_VALUE"""),116)</f>
        <v>116</v>
      </c>
      <c r="H957" s="2" t="str">
        <f ca="1">IFERROR(__xludf.DUMMYFUNCTION("""COMPUTED_VALUE"""),"8347bdfc")</f>
        <v>8347bdfc</v>
      </c>
      <c r="I957" s="2" t="str">
        <f ca="1">IFERROR(__xludf.DUMMYFUNCTION("""COMPUTED_VALUE"""),"Malbec")</f>
        <v>Malbec</v>
      </c>
      <c r="J957" s="2">
        <f ca="1">IFERROR(__xludf.DUMMYFUNCTION("""COMPUTED_VALUE"""),38845)</f>
        <v>38845</v>
      </c>
      <c r="K957" s="2">
        <f ca="1">IFERROR(__xludf.DUMMYFUNCTION("""COMPUTED_VALUE"""),47845)</f>
        <v>47845</v>
      </c>
      <c r="L957" s="2" t="str">
        <f ca="1">IFERROR(__xludf.DUMMYFUNCTION("""COMPUTED_VALUE"""),"76a79a76")</f>
        <v>76a79a76</v>
      </c>
      <c r="M957" s="2" t="str">
        <f ca="1">IFERROR(__xludf.DUMMYFUNCTION("""COMPUTED_VALUE"""),"Malbec")</f>
        <v>Malbec</v>
      </c>
      <c r="N957" s="2"/>
      <c r="O957" s="2" t="str">
        <f ca="1">IFERROR(__xludf.DUMMYFUNCTION("""COMPUTED_VALUE"""),"2do Trasiego")</f>
        <v>2do Trasiego</v>
      </c>
      <c r="P957" s="2" t="str">
        <f ca="1">IFERROR(__xludf.DUMMYFUNCTION("""COMPUTED_VALUE"""),"Filtrado Tang")</f>
        <v>Filtrado Tang</v>
      </c>
      <c r="Q957" s="2" t="b">
        <f ca="1">IFERROR(__xludf.DUMMYFUNCTION("""COMPUTED_VALUE"""),TRUE)</f>
        <v>1</v>
      </c>
      <c r="R957" s="2" t="str">
        <f ca="1">IFERROR(__xludf.DUMMYFUNCTION("""COMPUTED_VALUE"""),"Filtrado Tang")</f>
        <v>Filtrado Tang</v>
      </c>
      <c r="S957" s="2"/>
      <c r="T957" s="2"/>
      <c r="U957" s="2" t="str">
        <f ca="1">IFERROR(__xludf.DUMMYFUNCTION("""COMPUTED_VALUE"""),"1+")</f>
        <v>1+</v>
      </c>
    </row>
    <row r="958" spans="1:21" x14ac:dyDescent="0.25">
      <c r="A958" s="2" t="str">
        <f ca="1">IFERROR(__xludf.DUMMYFUNCTION("""COMPUTED_VALUE"""),"6c621aef")</f>
        <v>6c621aef</v>
      </c>
      <c r="B958" s="5">
        <f ca="1">IFERROR(__xludf.DUMMYFUNCTION("""COMPUTED_VALUE"""),45891.4073032407)</f>
        <v>45891.407303240703</v>
      </c>
      <c r="C958" s="2" t="str">
        <f ca="1">IFERROR(__xludf.DUMMYFUNCTION("""COMPUTED_VALUE"""),"90fc33de")</f>
        <v>90fc33de</v>
      </c>
      <c r="D958" s="2">
        <f ca="1">IFERROR(__xludf.DUMMYFUNCTION("""COMPUTED_VALUE"""),931)</f>
        <v>931</v>
      </c>
      <c r="E958" s="2" t="str">
        <f ca="1">IFERROR(__xludf.DUMMYFUNCTION("""COMPUTED_VALUE"""),"Claro de Filtro")</f>
        <v>Claro de Filtro</v>
      </c>
      <c r="F958" s="2">
        <f ca="1">IFERROR(__xludf.DUMMYFUNCTION("""COMPUTED_VALUE"""),11200)</f>
        <v>11200</v>
      </c>
      <c r="G958" s="2">
        <f ca="1">IFERROR(__xludf.DUMMYFUNCTION("""COMPUTED_VALUE"""),12)</f>
        <v>12</v>
      </c>
      <c r="H958" s="2"/>
      <c r="I958" s="2"/>
      <c r="J958" s="2">
        <f ca="1">IFERROR(__xludf.DUMMYFUNCTION("""COMPUTED_VALUE"""),0)</f>
        <v>0</v>
      </c>
      <c r="K958" s="2">
        <f ca="1">IFERROR(__xludf.DUMMYFUNCTION("""COMPUTED_VALUE"""),11200)</f>
        <v>11200</v>
      </c>
      <c r="L958" s="2" t="str">
        <f ca="1">IFERROR(__xludf.DUMMYFUNCTION("""COMPUTED_VALUE"""),"0a6c15e9")</f>
        <v>0a6c15e9</v>
      </c>
      <c r="M958" s="2" t="str">
        <f ca="1">IFERROR(__xludf.DUMMYFUNCTION("""COMPUTED_VALUE"""),"Tinto (cl Filt)")</f>
        <v>Tinto (cl Filt)</v>
      </c>
      <c r="N958" s="2"/>
      <c r="O958" s="2" t="str">
        <f ca="1">IFERROR(__xludf.DUMMYFUNCTION("""COMPUTED_VALUE"""),"2do Trasiego")</f>
        <v>2do Trasiego</v>
      </c>
      <c r="P958" s="2"/>
      <c r="Q958" s="2" t="b">
        <f ca="1">IFERROR(__xludf.DUMMYFUNCTION("""COMPUTED_VALUE"""),FALSE)</f>
        <v>0</v>
      </c>
      <c r="R958" s="2" t="str">
        <f ca="1">IFERROR(__xludf.DUMMYFUNCTION("""COMPUTED_VALUE"""),"Filtrado Tang")</f>
        <v>Filtrado Tang</v>
      </c>
      <c r="S958" s="2"/>
      <c r="T958" s="2"/>
      <c r="U958" s="2"/>
    </row>
    <row r="959" spans="1:21" x14ac:dyDescent="0.25">
      <c r="A959" s="2" t="str">
        <f ca="1">IFERROR(__xludf.DUMMYFUNCTION("""COMPUTED_VALUE"""),"f463f536")</f>
        <v>f463f536</v>
      </c>
      <c r="B959" s="5">
        <f ca="1">IFERROR(__xludf.DUMMYFUNCTION("""COMPUTED_VALUE"""),45891.408125)</f>
        <v>45891.408125000002</v>
      </c>
      <c r="C959" s="2" t="str">
        <f ca="1">IFERROR(__xludf.DUMMYFUNCTION("""COMPUTED_VALUE"""),"a774778b")</f>
        <v>a774778b</v>
      </c>
      <c r="D959" s="2">
        <f ca="1">IFERROR(__xludf.DUMMYFUNCTION("""COMPUTED_VALUE"""),935)</f>
        <v>935</v>
      </c>
      <c r="E959" s="2" t="str">
        <f ca="1">IFERROR(__xludf.DUMMYFUNCTION("""COMPUTED_VALUE"""),"Claro de Filtro")</f>
        <v>Claro de Filtro</v>
      </c>
      <c r="F959" s="2">
        <f ca="1">IFERROR(__xludf.DUMMYFUNCTION("""COMPUTED_VALUE"""),11200)</f>
        <v>11200</v>
      </c>
      <c r="G959" s="2">
        <f ca="1">IFERROR(__xludf.DUMMYFUNCTION("""COMPUTED_VALUE"""),12)</f>
        <v>12</v>
      </c>
      <c r="H959" s="2" t="str">
        <f ca="1">IFERROR(__xludf.DUMMYFUNCTION("""COMPUTED_VALUE"""),"0a6c15e9")</f>
        <v>0a6c15e9</v>
      </c>
      <c r="I959" s="2" t="str">
        <f ca="1">IFERROR(__xludf.DUMMYFUNCTION("""COMPUTED_VALUE"""),"Tinto (cl Filt)")</f>
        <v>Tinto (cl Filt)</v>
      </c>
      <c r="J959" s="2">
        <f ca="1">IFERROR(__xludf.DUMMYFUNCTION("""COMPUTED_VALUE"""),11200)</f>
        <v>11200</v>
      </c>
      <c r="K959" s="2">
        <f ca="1">IFERROR(__xludf.DUMMYFUNCTION("""COMPUTED_VALUE"""),22400)</f>
        <v>22400</v>
      </c>
      <c r="L959" s="2" t="str">
        <f ca="1">IFERROR(__xludf.DUMMYFUNCTION("""COMPUTED_VALUE"""),"12a63e85")</f>
        <v>12a63e85</v>
      </c>
      <c r="M959" s="2" t="str">
        <f ca="1">IFERROR(__xludf.DUMMYFUNCTION("""COMPUTED_VALUE"""),"Tinto (cl Filt)")</f>
        <v>Tinto (cl Filt)</v>
      </c>
      <c r="N959" s="2"/>
      <c r="O959" s="2" t="str">
        <f ca="1">IFERROR(__xludf.DUMMYFUNCTION("""COMPUTED_VALUE"""),"2do Trasiego")</f>
        <v>2do Trasiego</v>
      </c>
      <c r="P959" s="2" t="str">
        <f ca="1">IFERROR(__xludf.DUMMYFUNCTION("""COMPUTED_VALUE"""),"Filtrado Tang")</f>
        <v>Filtrado Tang</v>
      </c>
      <c r="Q959" s="2" t="b">
        <f ca="1">IFERROR(__xludf.DUMMYFUNCTION("""COMPUTED_VALUE"""),TRUE)</f>
        <v>1</v>
      </c>
      <c r="R959" s="2" t="str">
        <f ca="1">IFERROR(__xludf.DUMMYFUNCTION("""COMPUTED_VALUE"""),"Filtrado Tang")</f>
        <v>Filtrado Tang</v>
      </c>
      <c r="S959" s="2"/>
      <c r="T959" s="2"/>
      <c r="U959" s="2"/>
    </row>
    <row r="960" spans="1:21" x14ac:dyDescent="0.25">
      <c r="A960" s="2" t="str">
        <f ca="1">IFERROR(__xludf.DUMMYFUNCTION("""COMPUTED_VALUE"""),"da59d3a7")</f>
        <v>da59d3a7</v>
      </c>
      <c r="B960" s="5">
        <f ca="1">IFERROR(__xludf.DUMMYFUNCTION("""COMPUTED_VALUE"""),45891.4091782407)</f>
        <v>45891.409178240698</v>
      </c>
      <c r="C960" s="2" t="str">
        <f ca="1">IFERROR(__xludf.DUMMYFUNCTION("""COMPUTED_VALUE"""),"08cd1438")</f>
        <v>08cd1438</v>
      </c>
      <c r="D960" s="2">
        <f ca="1">IFERROR(__xludf.DUMMYFUNCTION("""COMPUTED_VALUE"""),34)</f>
        <v>34</v>
      </c>
      <c r="E960" s="2" t="str">
        <f ca="1">IFERROR(__xludf.DUMMYFUNCTION("""COMPUTED_VALUE"""),"Malbec")</f>
        <v>Malbec</v>
      </c>
      <c r="F960" s="2">
        <f ca="1">IFERROR(__xludf.DUMMYFUNCTION("""COMPUTED_VALUE"""),21300)</f>
        <v>21300</v>
      </c>
      <c r="G960" s="2">
        <f ca="1">IFERROR(__xludf.DUMMYFUNCTION("""COMPUTED_VALUE"""),116)</f>
        <v>116</v>
      </c>
      <c r="H960" s="2" t="str">
        <f ca="1">IFERROR(__xludf.DUMMYFUNCTION("""COMPUTED_VALUE"""),"76a79a76")</f>
        <v>76a79a76</v>
      </c>
      <c r="I960" s="2" t="str">
        <f ca="1">IFERROR(__xludf.DUMMYFUNCTION("""COMPUTED_VALUE"""),"Malbec")</f>
        <v>Malbec</v>
      </c>
      <c r="J960" s="2">
        <f ca="1">IFERROR(__xludf.DUMMYFUNCTION("""COMPUTED_VALUE"""),47845)</f>
        <v>47845</v>
      </c>
      <c r="K960" s="2">
        <f ca="1">IFERROR(__xludf.DUMMYFUNCTION("""COMPUTED_VALUE"""),69145)</f>
        <v>69145</v>
      </c>
      <c r="L960" s="2" t="str">
        <f ca="1">IFERROR(__xludf.DUMMYFUNCTION("""COMPUTED_VALUE"""),"27cc4b6e")</f>
        <v>27cc4b6e</v>
      </c>
      <c r="M960" s="2" t="str">
        <f ca="1">IFERROR(__xludf.DUMMYFUNCTION("""COMPUTED_VALUE"""),"Malbec")</f>
        <v>Malbec</v>
      </c>
      <c r="N960" s="2"/>
      <c r="O960" s="2" t="str">
        <f ca="1">IFERROR(__xludf.DUMMYFUNCTION("""COMPUTED_VALUE"""),"2do Trasiego")</f>
        <v>2do Trasiego</v>
      </c>
      <c r="P960" s="2" t="str">
        <f ca="1">IFERROR(__xludf.DUMMYFUNCTION("""COMPUTED_VALUE"""),"Filtrado Tang")</f>
        <v>Filtrado Tang</v>
      </c>
      <c r="Q960" s="2" t="b">
        <f ca="1">IFERROR(__xludf.DUMMYFUNCTION("""COMPUTED_VALUE"""),TRUE)</f>
        <v>1</v>
      </c>
      <c r="R960" s="2" t="str">
        <f ca="1">IFERROR(__xludf.DUMMYFUNCTION("""COMPUTED_VALUE"""),"Filtrado Tang")</f>
        <v>Filtrado Tang</v>
      </c>
      <c r="S960" s="2"/>
      <c r="T960" s="2"/>
      <c r="U960" s="2" t="str">
        <f ca="1">IFERROR(__xludf.DUMMYFUNCTION("""COMPUTED_VALUE"""),"1+")</f>
        <v>1+</v>
      </c>
    </row>
    <row r="961" spans="1:21" x14ac:dyDescent="0.25">
      <c r="A961" s="2" t="str">
        <f ca="1">IFERROR(__xludf.DUMMYFUNCTION("""COMPUTED_VALUE"""),"2ff35f8f")</f>
        <v>2ff35f8f</v>
      </c>
      <c r="B961" s="5">
        <f ca="1">IFERROR(__xludf.DUMMYFUNCTION("""COMPUTED_VALUE"""),45891.4101388888)</f>
        <v>45891.410138888801</v>
      </c>
      <c r="C961" s="2" t="str">
        <f ca="1">IFERROR(__xludf.DUMMYFUNCTION("""COMPUTED_VALUE"""),"08cd1438")</f>
        <v>08cd1438</v>
      </c>
      <c r="D961" s="2">
        <f ca="1">IFERROR(__xludf.DUMMYFUNCTION("""COMPUTED_VALUE"""),34)</f>
        <v>34</v>
      </c>
      <c r="E961" s="2" t="str">
        <f ca="1">IFERROR(__xludf.DUMMYFUNCTION("""COMPUTED_VALUE"""),"Malbec")</f>
        <v>Malbec</v>
      </c>
      <c r="F961" s="2">
        <f ca="1">IFERROR(__xludf.DUMMYFUNCTION("""COMPUTED_VALUE"""),500)</f>
        <v>500</v>
      </c>
      <c r="G961" s="2">
        <f ca="1">IFERROR(__xludf.DUMMYFUNCTION("""COMPUTED_VALUE"""),500)</f>
        <v>500</v>
      </c>
      <c r="H961" s="2"/>
      <c r="I961" s="2"/>
      <c r="J961" s="2">
        <f ca="1">IFERROR(__xludf.DUMMYFUNCTION("""COMPUTED_VALUE"""),0)</f>
        <v>0</v>
      </c>
      <c r="K961" s="2">
        <f ca="1">IFERROR(__xludf.DUMMYFUNCTION("""COMPUTED_VALUE"""),500)</f>
        <v>500</v>
      </c>
      <c r="L961" s="2" t="str">
        <f ca="1">IFERROR(__xludf.DUMMYFUNCTION("""COMPUTED_VALUE"""),"7dcab225")</f>
        <v>7dcab225</v>
      </c>
      <c r="M961" s="2" t="str">
        <f ca="1">IFERROR(__xludf.DUMMYFUNCTION("""COMPUTED_VALUE"""),"Malbec para Despacho 15/08/25")</f>
        <v>Malbec para Despacho 15/08/25</v>
      </c>
      <c r="N961" s="2"/>
      <c r="O961" s="2" t="str">
        <f ca="1">IFERROR(__xludf.DUMMYFUNCTION("""COMPUTED_VALUE"""),"2do Trasiego")</f>
        <v>2do Trasiego</v>
      </c>
      <c r="P961" s="2"/>
      <c r="Q961" s="2" t="b">
        <f ca="1">IFERROR(__xludf.DUMMYFUNCTION("""COMPUTED_VALUE"""),FALSE)</f>
        <v>0</v>
      </c>
      <c r="R961" s="2" t="str">
        <f ca="1">IFERROR(__xludf.DUMMYFUNCTION("""COMPUTED_VALUE"""),"Filtrado Tang")</f>
        <v>Filtrado Tang</v>
      </c>
      <c r="S961" s="2"/>
      <c r="T961" s="2"/>
      <c r="U961" s="2" t="str">
        <f ca="1">IFERROR(__xludf.DUMMYFUNCTION("""COMPUTED_VALUE"""),"1+")</f>
        <v>1+</v>
      </c>
    </row>
    <row r="962" spans="1:21" x14ac:dyDescent="0.25">
      <c r="A962" s="2" t="str">
        <f ca="1">IFERROR(__xludf.DUMMYFUNCTION("""COMPUTED_VALUE"""),"244b5170")</f>
        <v>244b5170</v>
      </c>
      <c r="B962" s="5">
        <f ca="1">IFERROR(__xludf.DUMMYFUNCTION("""COMPUTED_VALUE"""),45891.4109953703)</f>
        <v>45891.410995370301</v>
      </c>
      <c r="C962" s="2" t="str">
        <f ca="1">IFERROR(__xludf.DUMMYFUNCTION("""COMPUTED_VALUE"""),"7a61df09")</f>
        <v>7a61df09</v>
      </c>
      <c r="D962" s="2">
        <f ca="1">IFERROR(__xludf.DUMMYFUNCTION("""COMPUTED_VALUE"""),71)</f>
        <v>71</v>
      </c>
      <c r="E962" s="2" t="str">
        <f ca="1">IFERROR(__xludf.DUMMYFUNCTION("""COMPUTED_VALUE"""),"Tinto")</f>
        <v>Tinto</v>
      </c>
      <c r="F962" s="2">
        <f ca="1">IFERROR(__xludf.DUMMYFUNCTION("""COMPUTED_VALUE"""),11500)</f>
        <v>11500</v>
      </c>
      <c r="G962" s="2">
        <f ca="1">IFERROR(__xludf.DUMMYFUNCTION("""COMPUTED_VALUE"""),12)</f>
        <v>12</v>
      </c>
      <c r="H962" s="2" t="str">
        <f ca="1">IFERROR(__xludf.DUMMYFUNCTION("""COMPUTED_VALUE"""),"12a63e85")</f>
        <v>12a63e85</v>
      </c>
      <c r="I962" s="2" t="str">
        <f ca="1">IFERROR(__xludf.DUMMYFUNCTION("""COMPUTED_VALUE"""),"Tinto (cl Filt)")</f>
        <v>Tinto (cl Filt)</v>
      </c>
      <c r="J962" s="2">
        <f ca="1">IFERROR(__xludf.DUMMYFUNCTION("""COMPUTED_VALUE"""),22400)</f>
        <v>22400</v>
      </c>
      <c r="K962" s="2">
        <f ca="1">IFERROR(__xludf.DUMMYFUNCTION("""COMPUTED_VALUE"""),33900)</f>
        <v>33900</v>
      </c>
      <c r="L962" s="2" t="str">
        <f ca="1">IFERROR(__xludf.DUMMYFUNCTION("""COMPUTED_VALUE"""),"2678debf")</f>
        <v>2678debf</v>
      </c>
      <c r="M962" s="2" t="str">
        <f ca="1">IFERROR(__xludf.DUMMYFUNCTION("""COMPUTED_VALUE"""),"Tinto (cl Filt)")</f>
        <v>Tinto (cl Filt)</v>
      </c>
      <c r="N962" s="2"/>
      <c r="O962" s="2" t="str">
        <f ca="1">IFERROR(__xludf.DUMMYFUNCTION("""COMPUTED_VALUE"""),"2do Trasiego")</f>
        <v>2do Trasiego</v>
      </c>
      <c r="P962" s="2" t="str">
        <f ca="1">IFERROR(__xludf.DUMMYFUNCTION("""COMPUTED_VALUE"""),"Filtrado Tang")</f>
        <v>Filtrado Tang</v>
      </c>
      <c r="Q962" s="2" t="b">
        <f ca="1">IFERROR(__xludf.DUMMYFUNCTION("""COMPUTED_VALUE"""),TRUE)</f>
        <v>1</v>
      </c>
      <c r="R962" s="2" t="str">
        <f ca="1">IFERROR(__xludf.DUMMYFUNCTION("""COMPUTED_VALUE"""),"Filtrado Tang")</f>
        <v>Filtrado Tang</v>
      </c>
      <c r="S962" s="2"/>
      <c r="T962" s="2"/>
      <c r="U962" s="2"/>
    </row>
    <row r="963" spans="1:21" x14ac:dyDescent="0.25">
      <c r="A963" s="2" t="str">
        <f ca="1">IFERROR(__xludf.DUMMYFUNCTION("""COMPUTED_VALUE"""),"8e02bd7c")</f>
        <v>8e02bd7c</v>
      </c>
      <c r="B963" s="5">
        <f ca="1">IFERROR(__xludf.DUMMYFUNCTION("""COMPUTED_VALUE"""),45891.4114930555)</f>
        <v>45891.411493055501</v>
      </c>
      <c r="C963" s="2" t="str">
        <f ca="1">IFERROR(__xludf.DUMMYFUNCTION("""COMPUTED_VALUE"""),"19567056")</f>
        <v>19567056</v>
      </c>
      <c r="D963" s="2">
        <f ca="1">IFERROR(__xludf.DUMMYFUNCTION("""COMPUTED_VALUE"""),115)</f>
        <v>115</v>
      </c>
      <c r="E963" s="2" t="str">
        <f ca="1">IFERROR(__xludf.DUMMYFUNCTION("""COMPUTED_VALUE"""),"Tinto")</f>
        <v>Tinto</v>
      </c>
      <c r="F963" s="2">
        <f ca="1">IFERROR(__xludf.DUMMYFUNCTION("""COMPUTED_VALUE"""),1400)</f>
        <v>1400</v>
      </c>
      <c r="G963" s="2">
        <f ca="1">IFERROR(__xludf.DUMMYFUNCTION("""COMPUTED_VALUE"""),12)</f>
        <v>12</v>
      </c>
      <c r="H963" s="2" t="str">
        <f ca="1">IFERROR(__xludf.DUMMYFUNCTION("""COMPUTED_VALUE"""),"2678debf")</f>
        <v>2678debf</v>
      </c>
      <c r="I963" s="2" t="str">
        <f ca="1">IFERROR(__xludf.DUMMYFUNCTION("""COMPUTED_VALUE"""),"Tinto (cl Filt)")</f>
        <v>Tinto (cl Filt)</v>
      </c>
      <c r="J963" s="2">
        <f ca="1">IFERROR(__xludf.DUMMYFUNCTION("""COMPUTED_VALUE"""),33900)</f>
        <v>33900</v>
      </c>
      <c r="K963" s="2">
        <f ca="1">IFERROR(__xludf.DUMMYFUNCTION("""COMPUTED_VALUE"""),35300)</f>
        <v>35300</v>
      </c>
      <c r="L963" s="2" t="str">
        <f ca="1">IFERROR(__xludf.DUMMYFUNCTION("""COMPUTED_VALUE"""),"f42e90c8")</f>
        <v>f42e90c8</v>
      </c>
      <c r="M963" s="2" t="str">
        <f ca="1">IFERROR(__xludf.DUMMYFUNCTION("""COMPUTED_VALUE"""),"Tinto (cl Filt)")</f>
        <v>Tinto (cl Filt)</v>
      </c>
      <c r="N963" s="2"/>
      <c r="O963" s="2" t="str">
        <f ca="1">IFERROR(__xludf.DUMMYFUNCTION("""COMPUTED_VALUE"""),"2do Trasiego")</f>
        <v>2do Trasiego</v>
      </c>
      <c r="P963" s="2" t="str">
        <f ca="1">IFERROR(__xludf.DUMMYFUNCTION("""COMPUTED_VALUE"""),"Filtrado Tang")</f>
        <v>Filtrado Tang</v>
      </c>
      <c r="Q963" s="2" t="b">
        <f ca="1">IFERROR(__xludf.DUMMYFUNCTION("""COMPUTED_VALUE"""),TRUE)</f>
        <v>1</v>
      </c>
      <c r="R963" s="2" t="str">
        <f ca="1">IFERROR(__xludf.DUMMYFUNCTION("""COMPUTED_VALUE"""),"Filtrado Tang")</f>
        <v>Filtrado Tang</v>
      </c>
      <c r="S963" s="2"/>
      <c r="T963" s="2"/>
      <c r="U963" s="2"/>
    </row>
    <row r="964" spans="1:21" x14ac:dyDescent="0.25">
      <c r="A964" s="2" t="str">
        <f ca="1">IFERROR(__xludf.DUMMYFUNCTION("""COMPUTED_VALUE"""),"eac02468")</f>
        <v>eac02468</v>
      </c>
      <c r="B964" s="5">
        <f ca="1">IFERROR(__xludf.DUMMYFUNCTION("""COMPUTED_VALUE"""),45891.4121875)</f>
        <v>45891.412187499998</v>
      </c>
      <c r="C964" s="2" t="str">
        <f ca="1">IFERROR(__xludf.DUMMYFUNCTION("""COMPUTED_VALUE"""),"7a9e7f06")</f>
        <v>7a9e7f06</v>
      </c>
      <c r="D964" s="2">
        <f ca="1">IFERROR(__xludf.DUMMYFUNCTION("""COMPUTED_VALUE"""),75)</f>
        <v>75</v>
      </c>
      <c r="E964" s="2" t="str">
        <f ca="1">IFERROR(__xludf.DUMMYFUNCTION("""COMPUTED_VALUE"""),"Tanat")</f>
        <v>Tanat</v>
      </c>
      <c r="F964" s="2">
        <f ca="1">IFERROR(__xludf.DUMMYFUNCTION("""COMPUTED_VALUE"""),7000)</f>
        <v>7000</v>
      </c>
      <c r="G964" s="2">
        <f ca="1">IFERROR(__xludf.DUMMYFUNCTION("""COMPUTED_VALUE"""),9)</f>
        <v>9</v>
      </c>
      <c r="H964" s="2"/>
      <c r="I964" s="2"/>
      <c r="J964" s="2">
        <f ca="1">IFERROR(__xludf.DUMMYFUNCTION("""COMPUTED_VALUE"""),0)</f>
        <v>0</v>
      </c>
      <c r="K964" s="2">
        <f ca="1">IFERROR(__xludf.DUMMYFUNCTION("""COMPUTED_VALUE"""),7000)</f>
        <v>7000</v>
      </c>
      <c r="L964" s="2" t="str">
        <f ca="1">IFERROR(__xludf.DUMMYFUNCTION("""COMPUTED_VALUE"""),"e399ef8c")</f>
        <v>e399ef8c</v>
      </c>
      <c r="M964" s="2" t="str">
        <f ca="1">IFERROR(__xludf.DUMMYFUNCTION("""COMPUTED_VALUE"""),"Tanat")</f>
        <v>Tanat</v>
      </c>
      <c r="N964" s="2"/>
      <c r="O964" s="2" t="str">
        <f ca="1">IFERROR(__xludf.DUMMYFUNCTION("""COMPUTED_VALUE"""),"2do Trasiego")</f>
        <v>2do Trasiego</v>
      </c>
      <c r="P964" s="2"/>
      <c r="Q964" s="2" t="b">
        <f ca="1">IFERROR(__xludf.DUMMYFUNCTION("""COMPUTED_VALUE"""),FALSE)</f>
        <v>0</v>
      </c>
      <c r="R964" s="2" t="str">
        <f ca="1">IFERROR(__xludf.DUMMYFUNCTION("""COMPUTED_VALUE"""),"Filtrado Tang")</f>
        <v>Filtrado Tang</v>
      </c>
      <c r="S964" s="2"/>
      <c r="T964" s="2"/>
      <c r="U964" s="2"/>
    </row>
    <row r="965" spans="1:21" x14ac:dyDescent="0.25">
      <c r="A965" s="2" t="str">
        <f ca="1">IFERROR(__xludf.DUMMYFUNCTION("""COMPUTED_VALUE"""),"40b68295")</f>
        <v>40b68295</v>
      </c>
      <c r="B965" s="5">
        <f ca="1">IFERROR(__xludf.DUMMYFUNCTION("""COMPUTED_VALUE"""),45891.4127662037)</f>
        <v>45891.412766203699</v>
      </c>
      <c r="C965" s="2" t="str">
        <f ca="1">IFERROR(__xludf.DUMMYFUNCTION("""COMPUTED_VALUE"""),"da5fcb21")</f>
        <v>da5fcb21</v>
      </c>
      <c r="D965" s="2">
        <f ca="1">IFERROR(__xludf.DUMMYFUNCTION("""COMPUTED_VALUE"""),53)</f>
        <v>53</v>
      </c>
      <c r="E965" s="2" t="str">
        <f ca="1">IFERROR(__xludf.DUMMYFUNCTION("""COMPUTED_VALUE"""),"Tanat")</f>
        <v>Tanat</v>
      </c>
      <c r="F965" s="2">
        <f ca="1">IFERROR(__xludf.DUMMYFUNCTION("""COMPUTED_VALUE"""),22000)</f>
        <v>22000</v>
      </c>
      <c r="G965" s="2">
        <f ca="1">IFERROR(__xludf.DUMMYFUNCTION("""COMPUTED_VALUE"""),9)</f>
        <v>9</v>
      </c>
      <c r="H965" s="2" t="str">
        <f ca="1">IFERROR(__xludf.DUMMYFUNCTION("""COMPUTED_VALUE"""),"e399ef8c")</f>
        <v>e399ef8c</v>
      </c>
      <c r="I965" s="2" t="str">
        <f ca="1">IFERROR(__xludf.DUMMYFUNCTION("""COMPUTED_VALUE"""),"Tanat")</f>
        <v>Tanat</v>
      </c>
      <c r="J965" s="2">
        <f ca="1">IFERROR(__xludf.DUMMYFUNCTION("""COMPUTED_VALUE"""),7000)</f>
        <v>7000</v>
      </c>
      <c r="K965" s="2">
        <f ca="1">IFERROR(__xludf.DUMMYFUNCTION("""COMPUTED_VALUE"""),29000)</f>
        <v>29000</v>
      </c>
      <c r="L965" s="2" t="str">
        <f ca="1">IFERROR(__xludf.DUMMYFUNCTION("""COMPUTED_VALUE"""),"358957f4")</f>
        <v>358957f4</v>
      </c>
      <c r="M965" s="2" t="str">
        <f ca="1">IFERROR(__xludf.DUMMYFUNCTION("""COMPUTED_VALUE"""),"Tanat")</f>
        <v>Tanat</v>
      </c>
      <c r="N965" s="2"/>
      <c r="O965" s="2" t="str">
        <f ca="1">IFERROR(__xludf.DUMMYFUNCTION("""COMPUTED_VALUE"""),"2do Trasiego")</f>
        <v>2do Trasiego</v>
      </c>
      <c r="P965" s="2" t="str">
        <f ca="1">IFERROR(__xludf.DUMMYFUNCTION("""COMPUTED_VALUE"""),"Filtrado Tang")</f>
        <v>Filtrado Tang</v>
      </c>
      <c r="Q965" s="2" t="b">
        <f ca="1">IFERROR(__xludf.DUMMYFUNCTION("""COMPUTED_VALUE"""),TRUE)</f>
        <v>1</v>
      </c>
      <c r="R965" s="2" t="str">
        <f ca="1">IFERROR(__xludf.DUMMYFUNCTION("""COMPUTED_VALUE"""),"Filtrado Tang")</f>
        <v>Filtrado Tang</v>
      </c>
      <c r="S965" s="2"/>
      <c r="T965" s="2"/>
      <c r="U965" s="2"/>
    </row>
    <row r="966" spans="1:21" x14ac:dyDescent="0.25">
      <c r="A966" s="2" t="str">
        <f ca="1">IFERROR(__xludf.DUMMYFUNCTION("""COMPUTED_VALUE"""),"61f58065")</f>
        <v>61f58065</v>
      </c>
      <c r="B966" s="5">
        <f ca="1">IFERROR(__xludf.DUMMYFUNCTION("""COMPUTED_VALUE"""),45891.4196412037)</f>
        <v>45891.419641203698</v>
      </c>
      <c r="C966" s="2" t="str">
        <f ca="1">IFERROR(__xludf.DUMMYFUNCTION("""COMPUTED_VALUE"""),"6d97827a")</f>
        <v>6d97827a</v>
      </c>
      <c r="D966" s="2">
        <f ca="1">IFERROR(__xludf.DUMMYFUNCTION("""COMPUTED_VALUE"""),89)</f>
        <v>89</v>
      </c>
      <c r="E966" s="2" t="str">
        <f ca="1">IFERROR(__xludf.DUMMYFUNCTION("""COMPUTED_VALUE"""),"Syrah Tempranillo")</f>
        <v>Syrah Tempranillo</v>
      </c>
      <c r="F966" s="2">
        <f ca="1">IFERROR(__xludf.DUMMYFUNCTION("""COMPUTED_VALUE"""),7700)</f>
        <v>7700</v>
      </c>
      <c r="G966" s="2">
        <f ca="1">IFERROR(__xludf.DUMMYFUNCTION("""COMPUTED_VALUE"""),24)</f>
        <v>24</v>
      </c>
      <c r="H966" s="2" t="str">
        <f ca="1">IFERROR(__xludf.DUMMYFUNCTION("""COMPUTED_VALUE"""),"edf6771c")</f>
        <v>edf6771c</v>
      </c>
      <c r="I966" s="2" t="str">
        <f ca="1">IFERROR(__xludf.DUMMYFUNCTION("""COMPUTED_VALUE"""),"Tinto Garbin Millan")</f>
        <v>Tinto Garbin Millan</v>
      </c>
      <c r="J966" s="2">
        <f ca="1">IFERROR(__xludf.DUMMYFUNCTION("""COMPUTED_VALUE"""),127600)</f>
        <v>127600</v>
      </c>
      <c r="K966" s="2">
        <f ca="1">IFERROR(__xludf.DUMMYFUNCTION("""COMPUTED_VALUE"""),135300)</f>
        <v>135300</v>
      </c>
      <c r="L966" s="2" t="str">
        <f ca="1">IFERROR(__xludf.DUMMYFUNCTION("""COMPUTED_VALUE"""),"dd14e723")</f>
        <v>dd14e723</v>
      </c>
      <c r="M966" s="2" t="str">
        <f ca="1">IFERROR(__xludf.DUMMYFUNCTION("""COMPUTED_VALUE"""),"Tinto Garbin Millan")</f>
        <v>Tinto Garbin Millan</v>
      </c>
      <c r="N966" s="2"/>
      <c r="O966" s="2" t="str">
        <f ca="1">IFERROR(__xludf.DUMMYFUNCTION("""COMPUTED_VALUE"""),"2do Trasiego")</f>
        <v>2do Trasiego</v>
      </c>
      <c r="P966" s="2" t="str">
        <f ca="1">IFERROR(__xludf.DUMMYFUNCTION("""COMPUTED_VALUE"""),"Terminado")</f>
        <v>Terminado</v>
      </c>
      <c r="Q966" s="2" t="b">
        <f ca="1">IFERROR(__xludf.DUMMYFUNCTION("""COMPUTED_VALUE"""),TRUE)</f>
        <v>1</v>
      </c>
      <c r="R966" s="2" t="str">
        <f ca="1">IFERROR(__xludf.DUMMYFUNCTION("""COMPUTED_VALUE"""),"Terminado")</f>
        <v>Terminado</v>
      </c>
      <c r="S966" s="2"/>
      <c r="T966" s="2"/>
      <c r="U966" s="2" t="str">
        <f ca="1">IFERROR(__xludf.DUMMYFUNCTION("""COMPUTED_VALUE"""),"1")</f>
        <v>1</v>
      </c>
    </row>
    <row r="967" spans="1:21" x14ac:dyDescent="0.25">
      <c r="A967" s="2" t="str">
        <f ca="1">IFERROR(__xludf.DUMMYFUNCTION("""COMPUTED_VALUE"""),"7bb41cf2")</f>
        <v>7bb41cf2</v>
      </c>
      <c r="B967" s="5">
        <f ca="1">IFERROR(__xludf.DUMMYFUNCTION("""COMPUTED_VALUE"""),45891.4201736111)</f>
        <v>45891.420173611099</v>
      </c>
      <c r="C967" s="2" t="str">
        <f ca="1">IFERROR(__xludf.DUMMYFUNCTION("""COMPUTED_VALUE"""),"a2728d01")</f>
        <v>a2728d01</v>
      </c>
      <c r="D967" s="2">
        <f ca="1">IFERROR(__xludf.DUMMYFUNCTION("""COMPUTED_VALUE"""),25)</f>
        <v>25</v>
      </c>
      <c r="E967" s="2" t="str">
        <f ca="1">IFERROR(__xludf.DUMMYFUNCTION("""COMPUTED_VALUE"""),"Syrah")</f>
        <v>Syrah</v>
      </c>
      <c r="F967" s="2">
        <f ca="1">IFERROR(__xludf.DUMMYFUNCTION("""COMPUTED_VALUE"""),16000)</f>
        <v>16000</v>
      </c>
      <c r="G967" s="2">
        <f ca="1">IFERROR(__xludf.DUMMYFUNCTION("""COMPUTED_VALUE"""),24)</f>
        <v>24</v>
      </c>
      <c r="H967" s="2" t="str">
        <f ca="1">IFERROR(__xludf.DUMMYFUNCTION("""COMPUTED_VALUE"""),"dd14e723")</f>
        <v>dd14e723</v>
      </c>
      <c r="I967" s="2" t="str">
        <f ca="1">IFERROR(__xludf.DUMMYFUNCTION("""COMPUTED_VALUE"""),"Tinto Garbin Millan")</f>
        <v>Tinto Garbin Millan</v>
      </c>
      <c r="J967" s="2">
        <f ca="1">IFERROR(__xludf.DUMMYFUNCTION("""COMPUTED_VALUE"""),135300)</f>
        <v>135300</v>
      </c>
      <c r="K967" s="2">
        <f ca="1">IFERROR(__xludf.DUMMYFUNCTION("""COMPUTED_VALUE"""),151300)</f>
        <v>151300</v>
      </c>
      <c r="L967" s="2" t="str">
        <f ca="1">IFERROR(__xludf.DUMMYFUNCTION("""COMPUTED_VALUE"""),"45bd7b61")</f>
        <v>45bd7b61</v>
      </c>
      <c r="M967" s="2" t="str">
        <f ca="1">IFERROR(__xludf.DUMMYFUNCTION("""COMPUTED_VALUE"""),"Tinto Garbin Millan")</f>
        <v>Tinto Garbin Millan</v>
      </c>
      <c r="N967" s="2"/>
      <c r="O967" s="2" t="str">
        <f ca="1">IFERROR(__xludf.DUMMYFUNCTION("""COMPUTED_VALUE"""),"2do Trasiego")</f>
        <v>2do Trasiego</v>
      </c>
      <c r="P967" s="2" t="str">
        <f ca="1">IFERROR(__xludf.DUMMYFUNCTION("""COMPUTED_VALUE"""),"Terminado")</f>
        <v>Terminado</v>
      </c>
      <c r="Q967" s="2" t="b">
        <f ca="1">IFERROR(__xludf.DUMMYFUNCTION("""COMPUTED_VALUE"""),TRUE)</f>
        <v>1</v>
      </c>
      <c r="R967" s="2" t="str">
        <f ca="1">IFERROR(__xludf.DUMMYFUNCTION("""COMPUTED_VALUE"""),"Terminado")</f>
        <v>Terminado</v>
      </c>
      <c r="S967" s="2"/>
      <c r="T967" s="2"/>
      <c r="U967" s="2" t="str">
        <f ca="1">IFERROR(__xludf.DUMMYFUNCTION("""COMPUTED_VALUE"""),"1")</f>
        <v>1</v>
      </c>
    </row>
    <row r="968" spans="1:21" x14ac:dyDescent="0.25">
      <c r="A968" s="2" t="str">
        <f ca="1">IFERROR(__xludf.DUMMYFUNCTION("""COMPUTED_VALUE"""),"a6ceb3ef")</f>
        <v>a6ceb3ef</v>
      </c>
      <c r="B968" s="5">
        <f ca="1">IFERROR(__xludf.DUMMYFUNCTION("""COMPUTED_VALUE"""),45891.4207754629)</f>
        <v>45891.420775462902</v>
      </c>
      <c r="C968" s="2" t="str">
        <f ca="1">IFERROR(__xludf.DUMMYFUNCTION("""COMPUTED_VALUE"""),"686fc77a")</f>
        <v>686fc77a</v>
      </c>
      <c r="D968" s="2">
        <f ca="1">IFERROR(__xludf.DUMMYFUNCTION("""COMPUTED_VALUE"""),90)</f>
        <v>90</v>
      </c>
      <c r="E968" s="2" t="str">
        <f ca="1">IFERROR(__xludf.DUMMYFUNCTION("""COMPUTED_VALUE"""),"Bonarda")</f>
        <v>Bonarda</v>
      </c>
      <c r="F968" s="2">
        <f ca="1">IFERROR(__xludf.DUMMYFUNCTION("""COMPUTED_VALUE"""),10600)</f>
        <v>10600</v>
      </c>
      <c r="G968" s="2">
        <f ca="1">IFERROR(__xludf.DUMMYFUNCTION("""COMPUTED_VALUE"""),24)</f>
        <v>24</v>
      </c>
      <c r="H968" s="2" t="str">
        <f ca="1">IFERROR(__xludf.DUMMYFUNCTION("""COMPUTED_VALUE"""),"45bd7b61")</f>
        <v>45bd7b61</v>
      </c>
      <c r="I968" s="2" t="str">
        <f ca="1">IFERROR(__xludf.DUMMYFUNCTION("""COMPUTED_VALUE"""),"Tinto Garbin Millan")</f>
        <v>Tinto Garbin Millan</v>
      </c>
      <c r="J968" s="2">
        <f ca="1">IFERROR(__xludf.DUMMYFUNCTION("""COMPUTED_VALUE"""),151300)</f>
        <v>151300</v>
      </c>
      <c r="K968" s="2">
        <f ca="1">IFERROR(__xludf.DUMMYFUNCTION("""COMPUTED_VALUE"""),161900)</f>
        <v>161900</v>
      </c>
      <c r="L968" s="2" t="str">
        <f ca="1">IFERROR(__xludf.DUMMYFUNCTION("""COMPUTED_VALUE"""),"ee052141")</f>
        <v>ee052141</v>
      </c>
      <c r="M968" s="2" t="str">
        <f ca="1">IFERROR(__xludf.DUMMYFUNCTION("""COMPUTED_VALUE"""),"Tinto Garbin Millan")</f>
        <v>Tinto Garbin Millan</v>
      </c>
      <c r="N968" s="2"/>
      <c r="O968" s="2" t="str">
        <f ca="1">IFERROR(__xludf.DUMMYFUNCTION("""COMPUTED_VALUE"""),"2do Trasiego")</f>
        <v>2do Trasiego</v>
      </c>
      <c r="P968" s="2" t="str">
        <f ca="1">IFERROR(__xludf.DUMMYFUNCTION("""COMPUTED_VALUE"""),"Terminado")</f>
        <v>Terminado</v>
      </c>
      <c r="Q968" s="2" t="b">
        <f ca="1">IFERROR(__xludf.DUMMYFUNCTION("""COMPUTED_VALUE"""),TRUE)</f>
        <v>1</v>
      </c>
      <c r="R968" s="2" t="str">
        <f ca="1">IFERROR(__xludf.DUMMYFUNCTION("""COMPUTED_VALUE"""),"Terminado")</f>
        <v>Terminado</v>
      </c>
      <c r="S968" s="2"/>
      <c r="T968" s="2"/>
      <c r="U968" s="2" t="str">
        <f ca="1">IFERROR(__xludf.DUMMYFUNCTION("""COMPUTED_VALUE"""),"1")</f>
        <v>1</v>
      </c>
    </row>
    <row r="969" spans="1:21" x14ac:dyDescent="0.25">
      <c r="A969" s="2" t="str">
        <f ca="1">IFERROR(__xludf.DUMMYFUNCTION("""COMPUTED_VALUE"""),"85ffe993")</f>
        <v>85ffe993</v>
      </c>
      <c r="B969" s="5">
        <f ca="1">IFERROR(__xludf.DUMMYFUNCTION("""COMPUTED_VALUE"""),45891.421099537)</f>
        <v>45891.421099537001</v>
      </c>
      <c r="C969" s="2" t="str">
        <f ca="1">IFERROR(__xludf.DUMMYFUNCTION("""COMPUTED_VALUE"""),"19567056")</f>
        <v>19567056</v>
      </c>
      <c r="D969" s="2">
        <f ca="1">IFERROR(__xludf.DUMMYFUNCTION("""COMPUTED_VALUE"""),115)</f>
        <v>115</v>
      </c>
      <c r="E969" s="2" t="str">
        <f ca="1">IFERROR(__xludf.DUMMYFUNCTION("""COMPUTED_VALUE"""),"Tinto")</f>
        <v>Tinto</v>
      </c>
      <c r="F969" s="2">
        <f ca="1">IFERROR(__xludf.DUMMYFUNCTION("""COMPUTED_VALUE"""),20600)</f>
        <v>20600</v>
      </c>
      <c r="G969" s="2">
        <f ca="1">IFERROR(__xludf.DUMMYFUNCTION("""COMPUTED_VALUE"""),24)</f>
        <v>24</v>
      </c>
      <c r="H969" s="2" t="str">
        <f ca="1">IFERROR(__xludf.DUMMYFUNCTION("""COMPUTED_VALUE"""),"ee052141")</f>
        <v>ee052141</v>
      </c>
      <c r="I969" s="2" t="str">
        <f ca="1">IFERROR(__xludf.DUMMYFUNCTION("""COMPUTED_VALUE"""),"Tinto Garbin Millan")</f>
        <v>Tinto Garbin Millan</v>
      </c>
      <c r="J969" s="2">
        <f ca="1">IFERROR(__xludf.DUMMYFUNCTION("""COMPUTED_VALUE"""),161900)</f>
        <v>161900</v>
      </c>
      <c r="K969" s="2">
        <f ca="1">IFERROR(__xludf.DUMMYFUNCTION("""COMPUTED_VALUE"""),182500)</f>
        <v>182500</v>
      </c>
      <c r="L969" s="2" t="str">
        <f ca="1">IFERROR(__xludf.DUMMYFUNCTION("""COMPUTED_VALUE"""),"fb0f0577")</f>
        <v>fb0f0577</v>
      </c>
      <c r="M969" s="2" t="str">
        <f ca="1">IFERROR(__xludf.DUMMYFUNCTION("""COMPUTED_VALUE"""),"Tinto Garbin Millan")</f>
        <v>Tinto Garbin Millan</v>
      </c>
      <c r="N969" s="2"/>
      <c r="O969" s="2" t="str">
        <f ca="1">IFERROR(__xludf.DUMMYFUNCTION("""COMPUTED_VALUE"""),"2do Trasiego")</f>
        <v>2do Trasiego</v>
      </c>
      <c r="P969" s="2" t="str">
        <f ca="1">IFERROR(__xludf.DUMMYFUNCTION("""COMPUTED_VALUE"""),"Terminado")</f>
        <v>Terminado</v>
      </c>
      <c r="Q969" s="2" t="b">
        <f ca="1">IFERROR(__xludf.DUMMYFUNCTION("""COMPUTED_VALUE"""),TRUE)</f>
        <v>1</v>
      </c>
      <c r="R969" s="2" t="str">
        <f ca="1">IFERROR(__xludf.DUMMYFUNCTION("""COMPUTED_VALUE"""),"Terminado")</f>
        <v>Terminado</v>
      </c>
      <c r="S969" s="2"/>
      <c r="T969" s="2"/>
      <c r="U969" s="2" t="str">
        <f ca="1">IFERROR(__xludf.DUMMYFUNCTION("""COMPUTED_VALUE"""),"1")</f>
        <v>1</v>
      </c>
    </row>
    <row r="970" spans="1:21" x14ac:dyDescent="0.25">
      <c r="A970" s="2" t="str">
        <f ca="1">IFERROR(__xludf.DUMMYFUNCTION("""COMPUTED_VALUE"""),"06d01488")</f>
        <v>06d01488</v>
      </c>
      <c r="B970" s="5">
        <f ca="1">IFERROR(__xludf.DUMMYFUNCTION("""COMPUTED_VALUE"""),45891.4214467592)</f>
        <v>45891.421446759203</v>
      </c>
      <c r="C970" s="2" t="str">
        <f ca="1">IFERROR(__xludf.DUMMYFUNCTION("""COMPUTED_VALUE"""),"a324303d")</f>
        <v>a324303d</v>
      </c>
      <c r="D970" s="2">
        <f ca="1">IFERROR(__xludf.DUMMYFUNCTION("""COMPUTED_VALUE"""),6)</f>
        <v>6</v>
      </c>
      <c r="E970" s="2" t="str">
        <f ca="1">IFERROR(__xludf.DUMMYFUNCTION("""COMPUTED_VALUE"""),"Aspirant Anccelota Gota")</f>
        <v>Aspirant Anccelota Gota</v>
      </c>
      <c r="F970" s="2">
        <f ca="1">IFERROR(__xludf.DUMMYFUNCTION("""COMPUTED_VALUE"""),4100)</f>
        <v>4100</v>
      </c>
      <c r="G970" s="2">
        <f ca="1">IFERROR(__xludf.DUMMYFUNCTION("""COMPUTED_VALUE"""),24)</f>
        <v>24</v>
      </c>
      <c r="H970" s="2" t="str">
        <f ca="1">IFERROR(__xludf.DUMMYFUNCTION("""COMPUTED_VALUE"""),"fb0f0577")</f>
        <v>fb0f0577</v>
      </c>
      <c r="I970" s="2" t="str">
        <f ca="1">IFERROR(__xludf.DUMMYFUNCTION("""COMPUTED_VALUE"""),"Tinto Garbin Millan")</f>
        <v>Tinto Garbin Millan</v>
      </c>
      <c r="J970" s="2">
        <f ca="1">IFERROR(__xludf.DUMMYFUNCTION("""COMPUTED_VALUE"""),182500)</f>
        <v>182500</v>
      </c>
      <c r="K970" s="2">
        <f ca="1">IFERROR(__xludf.DUMMYFUNCTION("""COMPUTED_VALUE"""),186600)</f>
        <v>186600</v>
      </c>
      <c r="L970" s="2" t="str">
        <f ca="1">IFERROR(__xludf.DUMMYFUNCTION("""COMPUTED_VALUE"""),"e3e34051")</f>
        <v>e3e34051</v>
      </c>
      <c r="M970" s="2" t="str">
        <f ca="1">IFERROR(__xludf.DUMMYFUNCTION("""COMPUTED_VALUE"""),"Tinto Garbin Millan")</f>
        <v>Tinto Garbin Millan</v>
      </c>
      <c r="N970" s="2"/>
      <c r="O970" s="2" t="str">
        <f ca="1">IFERROR(__xludf.DUMMYFUNCTION("""COMPUTED_VALUE"""),"2do Trasiego")</f>
        <v>2do Trasiego</v>
      </c>
      <c r="P970" s="2" t="str">
        <f ca="1">IFERROR(__xludf.DUMMYFUNCTION("""COMPUTED_VALUE"""),"Terminado")</f>
        <v>Terminado</v>
      </c>
      <c r="Q970" s="2" t="b">
        <f ca="1">IFERROR(__xludf.DUMMYFUNCTION("""COMPUTED_VALUE"""),TRUE)</f>
        <v>1</v>
      </c>
      <c r="R970" s="2" t="str">
        <f ca="1">IFERROR(__xludf.DUMMYFUNCTION("""COMPUTED_VALUE"""),"Terminado")</f>
        <v>Terminado</v>
      </c>
      <c r="S970" s="2"/>
      <c r="T970" s="2"/>
      <c r="U970" s="2" t="str">
        <f ca="1">IFERROR(__xludf.DUMMYFUNCTION("""COMPUTED_VALUE"""),"1")</f>
        <v>1</v>
      </c>
    </row>
    <row r="971" spans="1:21" x14ac:dyDescent="0.25">
      <c r="A971" s="2" t="str">
        <f ca="1">IFERROR(__xludf.DUMMYFUNCTION("""COMPUTED_VALUE"""),"f0b87970")</f>
        <v>f0b87970</v>
      </c>
      <c r="B971" s="5">
        <f ca="1">IFERROR(__xludf.DUMMYFUNCTION("""COMPUTED_VALUE"""),45891.4271759259)</f>
        <v>45891.427175925899</v>
      </c>
      <c r="C971" s="2" t="str">
        <f ca="1">IFERROR(__xludf.DUMMYFUNCTION("""COMPUTED_VALUE"""),"a2728d01")</f>
        <v>a2728d01</v>
      </c>
      <c r="D971" s="2">
        <f ca="1">IFERROR(__xludf.DUMMYFUNCTION("""COMPUTED_VALUE"""),25)</f>
        <v>25</v>
      </c>
      <c r="E971" s="2" t="str">
        <f ca="1">IFERROR(__xludf.DUMMYFUNCTION("""COMPUTED_VALUE"""),"Syrah")</f>
        <v>Syrah</v>
      </c>
      <c r="F971" s="2">
        <f ca="1">IFERROR(__xludf.DUMMYFUNCTION("""COMPUTED_VALUE"""),127500)</f>
        <v>127500</v>
      </c>
      <c r="G971" s="2">
        <f ca="1">IFERROR(__xludf.DUMMYFUNCTION("""COMPUTED_VALUE"""),118)</f>
        <v>118</v>
      </c>
      <c r="H971" s="2"/>
      <c r="I971" s="2"/>
      <c r="J971" s="2">
        <f ca="1">IFERROR(__xludf.DUMMYFUNCTION("""COMPUTED_VALUE"""),0)</f>
        <v>0</v>
      </c>
      <c r="K971" s="2">
        <f ca="1">IFERROR(__xludf.DUMMYFUNCTION("""COMPUTED_VALUE"""),127500)</f>
        <v>127500</v>
      </c>
      <c r="L971" s="2" t="str">
        <f ca="1">IFERROR(__xludf.DUMMYFUNCTION("""COMPUTED_VALUE"""),"009b8898")</f>
        <v>009b8898</v>
      </c>
      <c r="M971" s="2" t="str">
        <f ca="1">IFERROR(__xludf.DUMMYFUNCTION("""COMPUTED_VALUE"""),"Syrah")</f>
        <v>Syrah</v>
      </c>
      <c r="N971" s="2"/>
      <c r="O971" s="2" t="str">
        <f ca="1">IFERROR(__xludf.DUMMYFUNCTION("""COMPUTED_VALUE"""),"2do Trasiego")</f>
        <v>2do Trasiego</v>
      </c>
      <c r="P971" s="2"/>
      <c r="Q971" s="2" t="b">
        <f ca="1">IFERROR(__xludf.DUMMYFUNCTION("""COMPUTED_VALUE"""),FALSE)</f>
        <v>0</v>
      </c>
      <c r="R971" s="2" t="str">
        <f ca="1">IFERROR(__xludf.DUMMYFUNCTION("""COMPUTED_VALUE"""),"2do Trasiego")</f>
        <v>2do Trasiego</v>
      </c>
      <c r="S971" s="2"/>
      <c r="T971" s="2"/>
      <c r="U971" s="2" t="str">
        <f ca="1">IFERROR(__xludf.DUMMYFUNCTION("""COMPUTED_VALUE"""),"1")</f>
        <v>1</v>
      </c>
    </row>
    <row r="972" spans="1:21" x14ac:dyDescent="0.25">
      <c r="A972" s="2" t="str">
        <f ca="1">IFERROR(__xludf.DUMMYFUNCTION("""COMPUTED_VALUE"""),"88bb231b")</f>
        <v>88bb231b</v>
      </c>
      <c r="B972" s="5">
        <f ca="1">IFERROR(__xludf.DUMMYFUNCTION("""COMPUTED_VALUE"""),45891.4276273148)</f>
        <v>45891.427627314799</v>
      </c>
      <c r="C972" s="2" t="str">
        <f ca="1">IFERROR(__xludf.DUMMYFUNCTION("""COMPUTED_VALUE"""),"009b8898")</f>
        <v>009b8898</v>
      </c>
      <c r="D972" s="2">
        <f ca="1">IFERROR(__xludf.DUMMYFUNCTION("""COMPUTED_VALUE"""),118)</f>
        <v>118</v>
      </c>
      <c r="E972" s="2" t="str">
        <f ca="1">IFERROR(__xludf.DUMMYFUNCTION("""COMPUTED_VALUE"""),"Syrah")</f>
        <v>Syrah</v>
      </c>
      <c r="F972" s="2">
        <f ca="1">IFERROR(__xludf.DUMMYFUNCTION("""COMPUTED_VALUE"""),1000)</f>
        <v>1000</v>
      </c>
      <c r="G972" s="2">
        <f ca="1">IFERROR(__xludf.DUMMYFUNCTION("""COMPUTED_VALUE"""),9)</f>
        <v>9</v>
      </c>
      <c r="H972" s="2" t="str">
        <f ca="1">IFERROR(__xludf.DUMMYFUNCTION("""COMPUTED_VALUE"""),"358957f4")</f>
        <v>358957f4</v>
      </c>
      <c r="I972" s="2" t="str">
        <f ca="1">IFERROR(__xludf.DUMMYFUNCTION("""COMPUTED_VALUE"""),"Tanat")</f>
        <v>Tanat</v>
      </c>
      <c r="J972" s="2">
        <f ca="1">IFERROR(__xludf.DUMMYFUNCTION("""COMPUTED_VALUE"""),29000)</f>
        <v>29000</v>
      </c>
      <c r="K972" s="2">
        <f ca="1">IFERROR(__xludf.DUMMYFUNCTION("""COMPUTED_VALUE"""),30000)</f>
        <v>30000</v>
      </c>
      <c r="L972" s="2" t="str">
        <f ca="1">IFERROR(__xludf.DUMMYFUNCTION("""COMPUTED_VALUE"""),"df5a7884")</f>
        <v>df5a7884</v>
      </c>
      <c r="M972" s="2" t="str">
        <f ca="1">IFERROR(__xludf.DUMMYFUNCTION("""COMPUTED_VALUE"""),"Tanat")</f>
        <v>Tanat</v>
      </c>
      <c r="N972" s="2"/>
      <c r="O972" s="2" t="str">
        <f ca="1">IFERROR(__xludf.DUMMYFUNCTION("""COMPUTED_VALUE"""),"2do Trasiego")</f>
        <v>2do Trasiego</v>
      </c>
      <c r="P972" s="2" t="str">
        <f ca="1">IFERROR(__xludf.DUMMYFUNCTION("""COMPUTED_VALUE"""),"Filtrado Tang")</f>
        <v>Filtrado Tang</v>
      </c>
      <c r="Q972" s="2" t="b">
        <f ca="1">IFERROR(__xludf.DUMMYFUNCTION("""COMPUTED_VALUE"""),TRUE)</f>
        <v>1</v>
      </c>
      <c r="R972" s="2" t="str">
        <f ca="1">IFERROR(__xludf.DUMMYFUNCTION("""COMPUTED_VALUE"""),"Filtrado Tang")</f>
        <v>Filtrado Tang</v>
      </c>
      <c r="S972" s="2"/>
      <c r="T972" s="2"/>
      <c r="U972" s="2"/>
    </row>
    <row r="973" spans="1:21" x14ac:dyDescent="0.25">
      <c r="A973" s="2" t="str">
        <f ca="1">IFERROR(__xludf.DUMMYFUNCTION("""COMPUTED_VALUE"""),"b1a3929d")</f>
        <v>b1a3929d</v>
      </c>
      <c r="B973" s="5">
        <f ca="1">IFERROR(__xludf.DUMMYFUNCTION("""COMPUTED_VALUE"""),45891.4279050925)</f>
        <v>45891.427905092503</v>
      </c>
      <c r="C973" s="2" t="str">
        <f ca="1">IFERROR(__xludf.DUMMYFUNCTION("""COMPUTED_VALUE"""),"009b8898")</f>
        <v>009b8898</v>
      </c>
      <c r="D973" s="2">
        <f ca="1">IFERROR(__xludf.DUMMYFUNCTION("""COMPUTED_VALUE"""),118)</f>
        <v>118</v>
      </c>
      <c r="E973" s="2" t="str">
        <f ca="1">IFERROR(__xludf.DUMMYFUNCTION("""COMPUTED_VALUE"""),"Syrah")</f>
        <v>Syrah</v>
      </c>
      <c r="F973" s="2">
        <f ca="1">IFERROR(__xludf.DUMMYFUNCTION("""COMPUTED_VALUE"""),12000)</f>
        <v>12000</v>
      </c>
      <c r="G973" s="2">
        <f ca="1">IFERROR(__xludf.DUMMYFUNCTION("""COMPUTED_VALUE"""),82)</f>
        <v>82</v>
      </c>
      <c r="H973" s="2"/>
      <c r="I973" s="2"/>
      <c r="J973" s="2">
        <f ca="1">IFERROR(__xludf.DUMMYFUNCTION("""COMPUTED_VALUE"""),0)</f>
        <v>0</v>
      </c>
      <c r="K973" s="2">
        <f ca="1">IFERROR(__xludf.DUMMYFUNCTION("""COMPUTED_VALUE"""),12000)</f>
        <v>12000</v>
      </c>
      <c r="L973" s="2" t="str">
        <f ca="1">IFERROR(__xludf.DUMMYFUNCTION("""COMPUTED_VALUE"""),"893ca699")</f>
        <v>893ca699</v>
      </c>
      <c r="M973" s="2" t="str">
        <f ca="1">IFERROR(__xludf.DUMMYFUNCTION("""COMPUTED_VALUE"""),"Syrah")</f>
        <v>Syrah</v>
      </c>
      <c r="N973" s="2"/>
      <c r="O973" s="2" t="str">
        <f ca="1">IFERROR(__xludf.DUMMYFUNCTION("""COMPUTED_VALUE"""),"2do Trasiego")</f>
        <v>2do Trasiego</v>
      </c>
      <c r="P973" s="2"/>
      <c r="Q973" s="2" t="b">
        <f ca="1">IFERROR(__xludf.DUMMYFUNCTION("""COMPUTED_VALUE"""),FALSE)</f>
        <v>0</v>
      </c>
      <c r="R973" s="2" t="str">
        <f ca="1">IFERROR(__xludf.DUMMYFUNCTION("""COMPUTED_VALUE"""),"Filtrado Tang")</f>
        <v>Filtrado Tang</v>
      </c>
      <c r="S973" s="2"/>
      <c r="T973" s="2"/>
      <c r="U973" s="2" t="str">
        <f ca="1">IFERROR(__xludf.DUMMYFUNCTION("""COMPUTED_VALUE"""),"1")</f>
        <v>1</v>
      </c>
    </row>
    <row r="974" spans="1:21" x14ac:dyDescent="0.25">
      <c r="A974" s="2" t="str">
        <f ca="1">IFERROR(__xludf.DUMMYFUNCTION("""COMPUTED_VALUE"""),"27c41f9e")</f>
        <v>27c41f9e</v>
      </c>
      <c r="B974" s="5">
        <f ca="1">IFERROR(__xludf.DUMMYFUNCTION("""COMPUTED_VALUE"""),45895.6236226851)</f>
        <v>45895.623622685103</v>
      </c>
      <c r="C974" s="2" t="str">
        <f ca="1">IFERROR(__xludf.DUMMYFUNCTION("""COMPUTED_VALUE"""),"009b8898")</f>
        <v>009b8898</v>
      </c>
      <c r="D974" s="2">
        <f ca="1">IFERROR(__xludf.DUMMYFUNCTION("""COMPUTED_VALUE"""),118)</f>
        <v>118</v>
      </c>
      <c r="E974" s="2" t="str">
        <f ca="1">IFERROR(__xludf.DUMMYFUNCTION("""COMPUTED_VALUE"""),"Syrah")</f>
        <v>Syrah</v>
      </c>
      <c r="F974" s="2">
        <f ca="1">IFERROR(__xludf.DUMMYFUNCTION("""COMPUTED_VALUE"""),18755)</f>
        <v>18755</v>
      </c>
      <c r="G974" s="2">
        <f ca="1">IFERROR(__xludf.DUMMYFUNCTION("""COMPUTED_VALUE"""),116)</f>
        <v>116</v>
      </c>
      <c r="H974" s="2" t="str">
        <f ca="1">IFERROR(__xludf.DUMMYFUNCTION("""COMPUTED_VALUE"""),"27cc4b6e")</f>
        <v>27cc4b6e</v>
      </c>
      <c r="I974" s="2" t="str">
        <f ca="1">IFERROR(__xludf.DUMMYFUNCTION("""COMPUTED_VALUE"""),"Malbec")</f>
        <v>Malbec</v>
      </c>
      <c r="J974" s="2">
        <f ca="1">IFERROR(__xludf.DUMMYFUNCTION("""COMPUTED_VALUE"""),69145)</f>
        <v>69145</v>
      </c>
      <c r="K974" s="2">
        <f ca="1">IFERROR(__xludf.DUMMYFUNCTION("""COMPUTED_VALUE"""),87900)</f>
        <v>87900</v>
      </c>
      <c r="L974" s="2" t="str">
        <f ca="1">IFERROR(__xludf.DUMMYFUNCTION("""COMPUTED_VALUE"""),"9bde5a5a")</f>
        <v>9bde5a5a</v>
      </c>
      <c r="M974" s="2" t="str">
        <f ca="1">IFERROR(__xludf.DUMMYFUNCTION("""COMPUTED_VALUE"""),"Malbec")</f>
        <v>Malbec</v>
      </c>
      <c r="N974" s="2"/>
      <c r="O974" s="2" t="str">
        <f ca="1">IFERROR(__xludf.DUMMYFUNCTION("""COMPUTED_VALUE"""),"2do Trasiego")</f>
        <v>2do Trasiego</v>
      </c>
      <c r="P974" s="2" t="str">
        <f ca="1">IFERROR(__xludf.DUMMYFUNCTION("""COMPUTED_VALUE"""),"Filtrado Tang")</f>
        <v>Filtrado Tang</v>
      </c>
      <c r="Q974" s="2" t="b">
        <f ca="1">IFERROR(__xludf.DUMMYFUNCTION("""COMPUTED_VALUE"""),TRUE)</f>
        <v>1</v>
      </c>
      <c r="R974" s="2" t="str">
        <f ca="1">IFERROR(__xludf.DUMMYFUNCTION("""COMPUTED_VALUE"""),"Filtrado Tang")</f>
        <v>Filtrado Tang</v>
      </c>
      <c r="S974" s="2"/>
      <c r="T974" s="2"/>
      <c r="U974" s="2" t="str">
        <f ca="1">IFERROR(__xludf.DUMMYFUNCTION("""COMPUTED_VALUE"""),"1+")</f>
        <v>1+</v>
      </c>
    </row>
    <row r="975" spans="1:21" x14ac:dyDescent="0.25">
      <c r="A975" s="2" t="str">
        <f ca="1">IFERROR(__xludf.DUMMYFUNCTION("""COMPUTED_VALUE"""),"6fb61773")</f>
        <v>6fb61773</v>
      </c>
      <c r="B975" s="5">
        <f ca="1">IFERROR(__xludf.DUMMYFUNCTION("""COMPUTED_VALUE"""),45895.6260069444)</f>
        <v>45895.626006944403</v>
      </c>
      <c r="C975" s="2" t="str">
        <f ca="1">IFERROR(__xludf.DUMMYFUNCTION("""COMPUTED_VALUE"""),"009b8898")</f>
        <v>009b8898</v>
      </c>
      <c r="D975" s="2">
        <f ca="1">IFERROR(__xludf.DUMMYFUNCTION("""COMPUTED_VALUE"""),118)</f>
        <v>118</v>
      </c>
      <c r="E975" s="2" t="str">
        <f ca="1">IFERROR(__xludf.DUMMYFUNCTION("""COMPUTED_VALUE"""),"Syrah")</f>
        <v>Syrah</v>
      </c>
      <c r="F975" s="2">
        <f ca="1">IFERROR(__xludf.DUMMYFUNCTION("""COMPUTED_VALUE"""),30600)</f>
        <v>30600</v>
      </c>
      <c r="G975" s="2">
        <f ca="1">IFERROR(__xludf.DUMMYFUNCTION("""COMPUTED_VALUE"""),82)</f>
        <v>82</v>
      </c>
      <c r="H975" s="2" t="str">
        <f ca="1">IFERROR(__xludf.DUMMYFUNCTION("""COMPUTED_VALUE"""),"893ca699")</f>
        <v>893ca699</v>
      </c>
      <c r="I975" s="2" t="str">
        <f ca="1">IFERROR(__xludf.DUMMYFUNCTION("""COMPUTED_VALUE"""),"Syrah")</f>
        <v>Syrah</v>
      </c>
      <c r="J975" s="2">
        <f ca="1">IFERROR(__xludf.DUMMYFUNCTION("""COMPUTED_VALUE"""),12000)</f>
        <v>12000</v>
      </c>
      <c r="K975" s="2">
        <f ca="1">IFERROR(__xludf.DUMMYFUNCTION("""COMPUTED_VALUE"""),42600)</f>
        <v>42600</v>
      </c>
      <c r="L975" s="2" t="str">
        <f ca="1">IFERROR(__xludf.DUMMYFUNCTION("""COMPUTED_VALUE"""),"872fc1c6")</f>
        <v>872fc1c6</v>
      </c>
      <c r="M975" s="2" t="str">
        <f ca="1">IFERROR(__xludf.DUMMYFUNCTION("""COMPUTED_VALUE"""),"Syrah")</f>
        <v>Syrah</v>
      </c>
      <c r="N975" s="2"/>
      <c r="O975" s="2" t="str">
        <f ca="1">IFERROR(__xludf.DUMMYFUNCTION("""COMPUTED_VALUE"""),"2do Trasiego")</f>
        <v>2do Trasiego</v>
      </c>
      <c r="P975" s="2" t="str">
        <f ca="1">IFERROR(__xludf.DUMMYFUNCTION("""COMPUTED_VALUE"""),"Filtrado Tang")</f>
        <v>Filtrado Tang</v>
      </c>
      <c r="Q975" s="2" t="b">
        <f ca="1">IFERROR(__xludf.DUMMYFUNCTION("""COMPUTED_VALUE"""),TRUE)</f>
        <v>1</v>
      </c>
      <c r="R975" s="2" t="str">
        <f ca="1">IFERROR(__xludf.DUMMYFUNCTION("""COMPUTED_VALUE"""),"Filtrado Tang")</f>
        <v>Filtrado Tang</v>
      </c>
      <c r="S975" s="2"/>
      <c r="T975" s="2"/>
      <c r="U975" s="2" t="str">
        <f ca="1">IFERROR(__xludf.DUMMYFUNCTION("""COMPUTED_VALUE"""),"1")</f>
        <v>1</v>
      </c>
    </row>
    <row r="976" spans="1:21" x14ac:dyDescent="0.25">
      <c r="A976" s="2" t="str">
        <f ca="1">IFERROR(__xludf.DUMMYFUNCTION("""COMPUTED_VALUE"""),"1e87964e")</f>
        <v>1e87964e</v>
      </c>
      <c r="B976" s="5">
        <f ca="1">IFERROR(__xludf.DUMMYFUNCTION("""COMPUTED_VALUE"""),45896.6704976851)</f>
        <v>45896.670497685103</v>
      </c>
      <c r="C976" s="2" t="str">
        <f ca="1">IFERROR(__xludf.DUMMYFUNCTION("""COMPUTED_VALUE"""),"19567056")</f>
        <v>19567056</v>
      </c>
      <c r="D976" s="2">
        <f ca="1">IFERROR(__xludf.DUMMYFUNCTION("""COMPUTED_VALUE"""),115)</f>
        <v>115</v>
      </c>
      <c r="E976" s="2" t="str">
        <f ca="1">IFERROR(__xludf.DUMMYFUNCTION("""COMPUTED_VALUE"""),"Tinto")</f>
        <v>Tinto</v>
      </c>
      <c r="F976" s="2">
        <f ca="1">IFERROR(__xludf.DUMMYFUNCTION("""COMPUTED_VALUE"""),29100)</f>
        <v>29100</v>
      </c>
      <c r="G976" s="2">
        <f ca="1">IFERROR(__xludf.DUMMYFUNCTION("""COMPUTED_VALUE"""),25)</f>
        <v>25</v>
      </c>
      <c r="H976" s="2"/>
      <c r="I976" s="2"/>
      <c r="J976" s="2">
        <f ca="1">IFERROR(__xludf.DUMMYFUNCTION("""COMPUTED_VALUE"""),0)</f>
        <v>0</v>
      </c>
      <c r="K976" s="2">
        <f ca="1">IFERROR(__xludf.DUMMYFUNCTION("""COMPUTED_VALUE"""),29100)</f>
        <v>29100</v>
      </c>
      <c r="L976" s="2" t="str">
        <f ca="1">IFERROR(__xludf.DUMMYFUNCTION("""COMPUTED_VALUE"""),"4c7a46ae")</f>
        <v>4c7a46ae</v>
      </c>
      <c r="M976" s="2" t="str">
        <f ca="1">IFERROR(__xludf.DUMMYFUNCTION("""COMPUTED_VALUE"""),"Tinto")</f>
        <v>Tinto</v>
      </c>
      <c r="N976" s="2"/>
      <c r="O976" s="2" t="str">
        <f ca="1">IFERROR(__xludf.DUMMYFUNCTION("""COMPUTED_VALUE"""),"2do Trasiego")</f>
        <v>2do Trasiego</v>
      </c>
      <c r="P976" s="2"/>
      <c r="Q976" s="2" t="b">
        <f ca="1">IFERROR(__xludf.DUMMYFUNCTION("""COMPUTED_VALUE"""),FALSE)</f>
        <v>0</v>
      </c>
      <c r="R976" s="2" t="str">
        <f ca="1">IFERROR(__xludf.DUMMYFUNCTION("""COMPUTED_VALUE"""),"2do Trasiego")</f>
        <v>2do Trasiego</v>
      </c>
      <c r="S976" s="2"/>
      <c r="T976" s="2"/>
      <c r="U976" s="2" t="str">
        <f ca="1">IFERROR(__xludf.DUMMYFUNCTION("""COMPUTED_VALUE"""),"1")</f>
        <v>1</v>
      </c>
    </row>
    <row r="977" spans="1:21" x14ac:dyDescent="0.25">
      <c r="A977" s="2" t="str">
        <f ca="1">IFERROR(__xludf.DUMMYFUNCTION("""COMPUTED_VALUE"""),"96671aa8")</f>
        <v>96671aa8</v>
      </c>
      <c r="B977" s="5">
        <f ca="1">IFERROR(__xludf.DUMMYFUNCTION("""COMPUTED_VALUE"""),45896.6713425925)</f>
        <v>45896.671342592497</v>
      </c>
      <c r="C977" s="2" t="str">
        <f ca="1">IFERROR(__xludf.DUMMYFUNCTION("""COMPUTED_VALUE"""),"19567056")</f>
        <v>19567056</v>
      </c>
      <c r="D977" s="2">
        <f ca="1">IFERROR(__xludf.DUMMYFUNCTION("""COMPUTED_VALUE"""),115)</f>
        <v>115</v>
      </c>
      <c r="E977" s="2" t="str">
        <f ca="1">IFERROR(__xludf.DUMMYFUNCTION("""COMPUTED_VALUE"""),"Tinto")</f>
        <v>Tinto</v>
      </c>
      <c r="F977" s="2">
        <f ca="1">IFERROR(__xludf.DUMMYFUNCTION("""COMPUTED_VALUE"""),4000)</f>
        <v>4000</v>
      </c>
      <c r="G977" s="2">
        <f ca="1">IFERROR(__xludf.DUMMYFUNCTION("""COMPUTED_VALUE"""),25)</f>
        <v>25</v>
      </c>
      <c r="H977" s="2" t="str">
        <f ca="1">IFERROR(__xludf.DUMMYFUNCTION("""COMPUTED_VALUE"""),"4c7a46ae")</f>
        <v>4c7a46ae</v>
      </c>
      <c r="I977" s="2" t="str">
        <f ca="1">IFERROR(__xludf.DUMMYFUNCTION("""COMPUTED_VALUE"""),"Tinto")</f>
        <v>Tinto</v>
      </c>
      <c r="J977" s="2">
        <f ca="1">IFERROR(__xludf.DUMMYFUNCTION("""COMPUTED_VALUE"""),29100)</f>
        <v>29100</v>
      </c>
      <c r="K977" s="2">
        <f ca="1">IFERROR(__xludf.DUMMYFUNCTION("""COMPUTED_VALUE"""),33100)</f>
        <v>33100</v>
      </c>
      <c r="L977" s="2" t="str">
        <f ca="1">IFERROR(__xludf.DUMMYFUNCTION("""COMPUTED_VALUE"""),"eda92067")</f>
        <v>eda92067</v>
      </c>
      <c r="M977" s="2" t="str">
        <f ca="1">IFERROR(__xludf.DUMMYFUNCTION("""COMPUTED_VALUE"""),"Tinto")</f>
        <v>Tinto</v>
      </c>
      <c r="N977" s="2"/>
      <c r="O977" s="2" t="str">
        <f ca="1">IFERROR(__xludf.DUMMYFUNCTION("""COMPUTED_VALUE"""),"2do Trasiego")</f>
        <v>2do Trasiego</v>
      </c>
      <c r="P977" s="2" t="str">
        <f ca="1">IFERROR(__xludf.DUMMYFUNCTION("""COMPUTED_VALUE"""),"2do Trasiego")</f>
        <v>2do Trasiego</v>
      </c>
      <c r="Q977" s="2" t="b">
        <f ca="1">IFERROR(__xludf.DUMMYFUNCTION("""COMPUTED_VALUE"""),TRUE)</f>
        <v>1</v>
      </c>
      <c r="R977" s="2" t="str">
        <f ca="1">IFERROR(__xludf.DUMMYFUNCTION("""COMPUTED_VALUE"""),"2do Trasiego")</f>
        <v>2do Trasiego</v>
      </c>
      <c r="S977" s="2"/>
      <c r="T977" s="2"/>
      <c r="U977" s="2" t="str">
        <f ca="1">IFERROR(__xludf.DUMMYFUNCTION("""COMPUTED_VALUE"""),"1")</f>
        <v>1</v>
      </c>
    </row>
    <row r="978" spans="1:21" x14ac:dyDescent="0.25">
      <c r="A978" s="2" t="str">
        <f ca="1">IFERROR(__xludf.DUMMYFUNCTION("""COMPUTED_VALUE"""),"ed7520f4")</f>
        <v>ed7520f4</v>
      </c>
      <c r="B978" s="5">
        <f ca="1">IFERROR(__xludf.DUMMYFUNCTION("""COMPUTED_VALUE"""),45896.6743402777)</f>
        <v>45896.674340277699</v>
      </c>
      <c r="C978" s="2" t="str">
        <f ca="1">IFERROR(__xludf.DUMMYFUNCTION("""COMPUTED_VALUE"""),"a324303d")</f>
        <v>a324303d</v>
      </c>
      <c r="D978" s="2">
        <f ca="1">IFERROR(__xludf.DUMMYFUNCTION("""COMPUTED_VALUE"""),6)</f>
        <v>6</v>
      </c>
      <c r="E978" s="2" t="str">
        <f ca="1">IFERROR(__xludf.DUMMYFUNCTION("""COMPUTED_VALUE"""),"Aspirant Anccelota Gota")</f>
        <v>Aspirant Anccelota Gota</v>
      </c>
      <c r="F978" s="2">
        <f ca="1">IFERROR(__xludf.DUMMYFUNCTION("""COMPUTED_VALUE"""),12000)</f>
        <v>12000</v>
      </c>
      <c r="G978" s="2">
        <f ca="1">IFERROR(__xludf.DUMMYFUNCTION("""COMPUTED_VALUE"""),72)</f>
        <v>72</v>
      </c>
      <c r="H978" s="2"/>
      <c r="I978" s="2"/>
      <c r="J978" s="2">
        <f ca="1">IFERROR(__xludf.DUMMYFUNCTION("""COMPUTED_VALUE"""),0)</f>
        <v>0</v>
      </c>
      <c r="K978" s="2">
        <f ca="1">IFERROR(__xludf.DUMMYFUNCTION("""COMPUTED_VALUE"""),12000)</f>
        <v>12000</v>
      </c>
      <c r="L978" s="2" t="str">
        <f ca="1">IFERROR(__xludf.DUMMYFUNCTION("""COMPUTED_VALUE"""),"803a2a0f")</f>
        <v>803a2a0f</v>
      </c>
      <c r="M978" s="2" t="str">
        <f ca="1">IFERROR(__xludf.DUMMYFUNCTION("""COMPUTED_VALUE"""),"Aspirant Anccelota Gota")</f>
        <v>Aspirant Anccelota Gota</v>
      </c>
      <c r="N978" s="2"/>
      <c r="O978" s="2" t="str">
        <f ca="1">IFERROR(__xludf.DUMMYFUNCTION("""COMPUTED_VALUE"""),"2do Trasiego")</f>
        <v>2do Trasiego</v>
      </c>
      <c r="P978" s="2"/>
      <c r="Q978" s="2" t="b">
        <f ca="1">IFERROR(__xludf.DUMMYFUNCTION("""COMPUTED_VALUE"""),FALSE)</f>
        <v>0</v>
      </c>
      <c r="R978" s="2" t="str">
        <f ca="1">IFERROR(__xludf.DUMMYFUNCTION("""COMPUTED_VALUE"""),"2do Trasiego")</f>
        <v>2do Trasiego</v>
      </c>
      <c r="S978" s="2"/>
      <c r="T978" s="2"/>
      <c r="U978" s="2"/>
    </row>
    <row r="979" spans="1:21" x14ac:dyDescent="0.25">
      <c r="A979" s="2" t="str">
        <f ca="1">IFERROR(__xludf.DUMMYFUNCTION("""COMPUTED_VALUE"""),"ec68954f")</f>
        <v>ec68954f</v>
      </c>
      <c r="B979" s="5">
        <f ca="1">IFERROR(__xludf.DUMMYFUNCTION("""COMPUTED_VALUE"""),45896.6765277777)</f>
        <v>45896.676527777701</v>
      </c>
      <c r="C979" s="2" t="str">
        <f ca="1">IFERROR(__xludf.DUMMYFUNCTION("""COMPUTED_VALUE"""),"b7784dc8")</f>
        <v>b7784dc8</v>
      </c>
      <c r="D979" s="2">
        <f ca="1">IFERROR(__xludf.DUMMYFUNCTION("""COMPUTED_VALUE"""),51)</f>
        <v>51</v>
      </c>
      <c r="E979" s="2" t="str">
        <f ca="1">IFERROR(__xludf.DUMMYFUNCTION("""COMPUTED_VALUE"""),"Malbec Montecepas 24")</f>
        <v>Malbec Montecepas 24</v>
      </c>
      <c r="F979" s="2">
        <f ca="1">IFERROR(__xludf.DUMMYFUNCTION("""COMPUTED_VALUE"""),2100)</f>
        <v>2100</v>
      </c>
      <c r="G979" s="2">
        <f ca="1">IFERROR(__xludf.DUMMYFUNCTION("""COMPUTED_VALUE"""),68)</f>
        <v>68</v>
      </c>
      <c r="H979" s="2" t="str">
        <f ca="1">IFERROR(__xludf.DUMMYFUNCTION("""COMPUTED_VALUE"""),"22a75cd4")</f>
        <v>22a75cd4</v>
      </c>
      <c r="I979" s="2" t="str">
        <f ca="1">IFERROR(__xludf.DUMMYFUNCTION("""COMPUTED_VALUE"""),"Malbec Montecepas 24")</f>
        <v>Malbec Montecepas 24</v>
      </c>
      <c r="J979" s="2">
        <f ca="1">IFERROR(__xludf.DUMMYFUNCTION("""COMPUTED_VALUE"""),6850)</f>
        <v>6850</v>
      </c>
      <c r="K979" s="2">
        <f ca="1">IFERROR(__xludf.DUMMYFUNCTION("""COMPUTED_VALUE"""),8950)</f>
        <v>8950</v>
      </c>
      <c r="L979" s="2" t="str">
        <f ca="1">IFERROR(__xludf.DUMMYFUNCTION("""COMPUTED_VALUE"""),"1f53451b")</f>
        <v>1f53451b</v>
      </c>
      <c r="M979" s="2" t="str">
        <f ca="1">IFERROR(__xludf.DUMMYFUNCTION("""COMPUTED_VALUE"""),"Malbec Montecepas 24")</f>
        <v>Malbec Montecepas 24</v>
      </c>
      <c r="N979" s="2"/>
      <c r="O979" s="2" t="str">
        <f ca="1">IFERROR(__xludf.DUMMYFUNCTION("""COMPUTED_VALUE"""),"Filtrado Tang")</f>
        <v>Filtrado Tang</v>
      </c>
      <c r="P979" s="2" t="str">
        <f ca="1">IFERROR(__xludf.DUMMYFUNCTION("""COMPUTED_VALUE"""),"Filtrado Tang")</f>
        <v>Filtrado Tang</v>
      </c>
      <c r="Q979" s="2" t="b">
        <f ca="1">IFERROR(__xludf.DUMMYFUNCTION("""COMPUTED_VALUE"""),TRUE)</f>
        <v>1</v>
      </c>
      <c r="R979" s="2" t="str">
        <f ca="1">IFERROR(__xludf.DUMMYFUNCTION("""COMPUTED_VALUE"""),"Filtrado Tang")</f>
        <v>Filtrado Tang</v>
      </c>
      <c r="S979" s="2"/>
      <c r="T979" s="2"/>
      <c r="U979" s="2" t="str">
        <f ca="1">IFERROR(__xludf.DUMMYFUNCTION("""COMPUTED_VALUE"""),"1+")</f>
        <v>1+</v>
      </c>
    </row>
    <row r="980" spans="1:21" x14ac:dyDescent="0.25">
      <c r="A980" s="2" t="str">
        <f ca="1">IFERROR(__xludf.DUMMYFUNCTION("""COMPUTED_VALUE"""),"d10fd1a3")</f>
        <v>d10fd1a3</v>
      </c>
      <c r="B980" s="5">
        <f ca="1">IFERROR(__xludf.DUMMYFUNCTION("""COMPUTED_VALUE"""),45896.6772685185)</f>
        <v>45896.677268518499</v>
      </c>
      <c r="C980" s="2" t="str">
        <f ca="1">IFERROR(__xludf.DUMMYFUNCTION("""COMPUTED_VALUE"""),"1f53451b")</f>
        <v>1f53451b</v>
      </c>
      <c r="D980" s="2">
        <f ca="1">IFERROR(__xludf.DUMMYFUNCTION("""COMPUTED_VALUE"""),68)</f>
        <v>68</v>
      </c>
      <c r="E980" s="2" t="str">
        <f ca="1">IFERROR(__xludf.DUMMYFUNCTION("""COMPUTED_VALUE"""),"Malbec Montecepas 24")</f>
        <v>Malbec Montecepas 24</v>
      </c>
      <c r="F980" s="2">
        <f ca="1">IFERROR(__xludf.DUMMYFUNCTION("""COMPUTED_VALUE"""),7000)</f>
        <v>7000</v>
      </c>
      <c r="G980" s="2">
        <f ca="1">IFERROR(__xludf.DUMMYFUNCTION("""COMPUTED_VALUE"""),75)</f>
        <v>75</v>
      </c>
      <c r="H980" s="2"/>
      <c r="I980" s="2"/>
      <c r="J980" s="2">
        <f ca="1">IFERROR(__xludf.DUMMYFUNCTION("""COMPUTED_VALUE"""),0)</f>
        <v>0</v>
      </c>
      <c r="K980" s="2">
        <f ca="1">IFERROR(__xludf.DUMMYFUNCTION("""COMPUTED_VALUE"""),7000)</f>
        <v>7000</v>
      </c>
      <c r="L980" s="2" t="str">
        <f ca="1">IFERROR(__xludf.DUMMYFUNCTION("""COMPUTED_VALUE"""),"1ec2fae4")</f>
        <v>1ec2fae4</v>
      </c>
      <c r="M980" s="2" t="str">
        <f ca="1">IFERROR(__xludf.DUMMYFUNCTION("""COMPUTED_VALUE"""),"Malbec Montecepas 24")</f>
        <v>Malbec Montecepas 24</v>
      </c>
      <c r="N980" s="2"/>
      <c r="O980" s="2" t="str">
        <f ca="1">IFERROR(__xludf.DUMMYFUNCTION("""COMPUTED_VALUE"""),"Filtrado Tang")</f>
        <v>Filtrado Tang</v>
      </c>
      <c r="P980" s="2"/>
      <c r="Q980" s="2" t="b">
        <f ca="1">IFERROR(__xludf.DUMMYFUNCTION("""COMPUTED_VALUE"""),FALSE)</f>
        <v>0</v>
      </c>
      <c r="R980" s="2" t="str">
        <f ca="1">IFERROR(__xludf.DUMMYFUNCTION("""COMPUTED_VALUE"""),"Filtrado Tang")</f>
        <v>Filtrado Tang</v>
      </c>
      <c r="S980" s="2"/>
      <c r="T980" s="2"/>
      <c r="U980" s="2" t="str">
        <f ca="1">IFERROR(__xludf.DUMMYFUNCTION("""COMPUTED_VALUE"""),"1+")</f>
        <v>1+</v>
      </c>
    </row>
    <row r="981" spans="1:21" x14ac:dyDescent="0.25">
      <c r="A981" s="2" t="str">
        <f ca="1">IFERROR(__xludf.DUMMYFUNCTION("""COMPUTED_VALUE"""),"926d08fe")</f>
        <v>926d08fe</v>
      </c>
      <c r="B981" s="5">
        <f ca="1">IFERROR(__xludf.DUMMYFUNCTION("""COMPUTED_VALUE"""),45896.6776967592)</f>
        <v>45896.677696759201</v>
      </c>
      <c r="C981" s="2" t="str">
        <f ca="1">IFERROR(__xludf.DUMMYFUNCTION("""COMPUTED_VALUE"""),"1f53451b")</f>
        <v>1f53451b</v>
      </c>
      <c r="D981" s="2">
        <f ca="1">IFERROR(__xludf.DUMMYFUNCTION("""COMPUTED_VALUE"""),68)</f>
        <v>68</v>
      </c>
      <c r="E981" s="2" t="str">
        <f ca="1">IFERROR(__xludf.DUMMYFUNCTION("""COMPUTED_VALUE"""),"Malbec Montecepas 24")</f>
        <v>Malbec Montecepas 24</v>
      </c>
      <c r="F981" s="2">
        <f ca="1">IFERROR(__xludf.DUMMYFUNCTION("""COMPUTED_VALUE"""),1950)</f>
        <v>1950</v>
      </c>
      <c r="G981" s="2">
        <f ca="1">IFERROR(__xludf.DUMMYFUNCTION("""COMPUTED_VALUE"""),50)</f>
        <v>50</v>
      </c>
      <c r="H981" s="2"/>
      <c r="I981" s="2"/>
      <c r="J981" s="2">
        <f ca="1">IFERROR(__xludf.DUMMYFUNCTION("""COMPUTED_VALUE"""),0)</f>
        <v>0</v>
      </c>
      <c r="K981" s="2">
        <f ca="1">IFERROR(__xludf.DUMMYFUNCTION("""COMPUTED_VALUE"""),1950)</f>
        <v>1950</v>
      </c>
      <c r="L981" s="2" t="str">
        <f ca="1">IFERROR(__xludf.DUMMYFUNCTION("""COMPUTED_VALUE"""),"c0adfb80")</f>
        <v>c0adfb80</v>
      </c>
      <c r="M981" s="2" t="str">
        <f ca="1">IFERROR(__xludf.DUMMYFUNCTION("""COMPUTED_VALUE"""),"Malbec Montecepas 24")</f>
        <v>Malbec Montecepas 24</v>
      </c>
      <c r="N981" s="2"/>
      <c r="O981" s="2" t="str">
        <f ca="1">IFERROR(__xludf.DUMMYFUNCTION("""COMPUTED_VALUE"""),"Filtrado Tang")</f>
        <v>Filtrado Tang</v>
      </c>
      <c r="P981" s="2"/>
      <c r="Q981" s="2" t="b">
        <f ca="1">IFERROR(__xludf.DUMMYFUNCTION("""COMPUTED_VALUE"""),FALSE)</f>
        <v>0</v>
      </c>
      <c r="R981" s="2" t="str">
        <f ca="1">IFERROR(__xludf.DUMMYFUNCTION("""COMPUTED_VALUE"""),"Filtrado Tang")</f>
        <v>Filtrado Tang</v>
      </c>
      <c r="S981" s="2"/>
      <c r="T981" s="2"/>
      <c r="U981" s="2" t="str">
        <f ca="1">IFERROR(__xludf.DUMMYFUNCTION("""COMPUTED_VALUE"""),"1+")</f>
        <v>1+</v>
      </c>
    </row>
    <row r="982" spans="1:21" x14ac:dyDescent="0.25">
      <c r="A982" s="2" t="str">
        <f ca="1">IFERROR(__xludf.DUMMYFUNCTION("""COMPUTED_VALUE"""),"2f8ef7ab")</f>
        <v>2f8ef7ab</v>
      </c>
      <c r="B982" s="5">
        <f ca="1">IFERROR(__xludf.DUMMYFUNCTION("""COMPUTED_VALUE"""),45896.678125)</f>
        <v>45896.678124999999</v>
      </c>
      <c r="C982" s="2" t="str">
        <f ca="1">IFERROR(__xludf.DUMMYFUNCTION("""COMPUTED_VALUE"""),"e3e34051")</f>
        <v>e3e34051</v>
      </c>
      <c r="D982" s="2">
        <f ca="1">IFERROR(__xludf.DUMMYFUNCTION("""COMPUTED_VALUE"""),24)</f>
        <v>24</v>
      </c>
      <c r="E982" s="2" t="str">
        <f ca="1">IFERROR(__xludf.DUMMYFUNCTION("""COMPUTED_VALUE"""),"Tinto Garbin Millan")</f>
        <v>Tinto Garbin Millan</v>
      </c>
      <c r="F982" s="2">
        <f ca="1">IFERROR(__xludf.DUMMYFUNCTION("""COMPUTED_VALUE"""),3900)</f>
        <v>3900</v>
      </c>
      <c r="G982" s="2">
        <f ca="1">IFERROR(__xludf.DUMMYFUNCTION("""COMPUTED_VALUE"""),51)</f>
        <v>51</v>
      </c>
      <c r="H982" s="2"/>
      <c r="I982" s="2"/>
      <c r="J982" s="2">
        <f ca="1">IFERROR(__xludf.DUMMYFUNCTION("""COMPUTED_VALUE"""),0)</f>
        <v>0</v>
      </c>
      <c r="K982" s="2">
        <f ca="1">IFERROR(__xludf.DUMMYFUNCTION("""COMPUTED_VALUE"""),3900)</f>
        <v>3900</v>
      </c>
      <c r="L982" s="2" t="str">
        <f ca="1">IFERROR(__xludf.DUMMYFUNCTION("""COMPUTED_VALUE"""),"6bf63b30")</f>
        <v>6bf63b30</v>
      </c>
      <c r="M982" s="2" t="str">
        <f ca="1">IFERROR(__xludf.DUMMYFUNCTION("""COMPUTED_VALUE"""),"Cabernet Sauv Carricondo")</f>
        <v>Cabernet Sauv Carricondo</v>
      </c>
      <c r="N982" s="2"/>
      <c r="O982" s="2" t="str">
        <f ca="1">IFERROR(__xludf.DUMMYFUNCTION("""COMPUTED_VALUE"""),"Terminado")</f>
        <v>Terminado</v>
      </c>
      <c r="P982" s="2"/>
      <c r="Q982" s="2" t="b">
        <f ca="1">IFERROR(__xludf.DUMMYFUNCTION("""COMPUTED_VALUE"""),FALSE)</f>
        <v>0</v>
      </c>
      <c r="R982" s="2" t="str">
        <f ca="1">IFERROR(__xludf.DUMMYFUNCTION("""COMPUTED_VALUE"""),"Terminado")</f>
        <v>Terminado</v>
      </c>
      <c r="S982" s="2"/>
      <c r="T982" s="2"/>
      <c r="U982" s="2" t="str">
        <f ca="1">IFERROR(__xludf.DUMMYFUNCTION("""COMPUTED_VALUE"""),"1")</f>
        <v>1</v>
      </c>
    </row>
    <row r="983" spans="1:21" x14ac:dyDescent="0.25">
      <c r="A983" s="2" t="str">
        <f ca="1">IFERROR(__xludf.DUMMYFUNCTION("""COMPUTED_VALUE"""),"2a1a029e")</f>
        <v>2a1a029e</v>
      </c>
      <c r="B983" s="5">
        <f ca="1">IFERROR(__xludf.DUMMYFUNCTION("""COMPUTED_VALUE"""),45896.6788078703)</f>
        <v>45896.678807870303</v>
      </c>
      <c r="C983" s="2" t="str">
        <f ca="1">IFERROR(__xludf.DUMMYFUNCTION("""COMPUTED_VALUE"""),"e3e34051")</f>
        <v>e3e34051</v>
      </c>
      <c r="D983" s="2">
        <f ca="1">IFERROR(__xludf.DUMMYFUNCTION("""COMPUTED_VALUE"""),24)</f>
        <v>24</v>
      </c>
      <c r="E983" s="2" t="str">
        <f ca="1">IFERROR(__xludf.DUMMYFUNCTION("""COMPUTED_VALUE"""),"Tinto Garbin Millan")</f>
        <v>Tinto Garbin Millan</v>
      </c>
      <c r="F983" s="2">
        <f ca="1">IFERROR(__xludf.DUMMYFUNCTION("""COMPUTED_VALUE"""),182700)</f>
        <v>182700</v>
      </c>
      <c r="G983" s="2">
        <f ca="1">IFERROR(__xludf.DUMMYFUNCTION("""COMPUTED_VALUE"""),500)</f>
        <v>500</v>
      </c>
      <c r="H983" s="2"/>
      <c r="I983" s="2"/>
      <c r="J983" s="2">
        <f ca="1">IFERROR(__xludf.DUMMYFUNCTION("""COMPUTED_VALUE"""),0)</f>
        <v>0</v>
      </c>
      <c r="K983" s="2">
        <f ca="1">IFERROR(__xludf.DUMMYFUNCTION("""COMPUTED_VALUE"""),182700)</f>
        <v>182700</v>
      </c>
      <c r="L983" s="2" t="str">
        <f ca="1">IFERROR(__xludf.DUMMYFUNCTION("""COMPUTED_VALUE"""),"3367c913")</f>
        <v>3367c913</v>
      </c>
      <c r="M983" s="2" t="str">
        <f ca="1">IFERROR(__xludf.DUMMYFUNCTION("""COMPUTED_VALUE"""),"Traslado Tinto Millan")</f>
        <v>Traslado Tinto Millan</v>
      </c>
      <c r="N983" s="2"/>
      <c r="O983" s="2" t="str">
        <f ca="1">IFERROR(__xludf.DUMMYFUNCTION("""COMPUTED_VALUE"""),"Terminado")</f>
        <v>Terminado</v>
      </c>
      <c r="P983" s="2"/>
      <c r="Q983" s="2" t="b">
        <f ca="1">IFERROR(__xludf.DUMMYFUNCTION("""COMPUTED_VALUE"""),FALSE)</f>
        <v>0</v>
      </c>
      <c r="R983" s="2" t="str">
        <f ca="1">IFERROR(__xludf.DUMMYFUNCTION("""COMPUTED_VALUE"""),"Terminado")</f>
        <v>Terminado</v>
      </c>
      <c r="S983" s="2"/>
      <c r="T983" s="2"/>
      <c r="U983" s="2" t="str">
        <f ca="1">IFERROR(__xludf.DUMMYFUNCTION("""COMPUTED_VALUE"""),"1")</f>
        <v>1</v>
      </c>
    </row>
    <row r="984" spans="1:21" x14ac:dyDescent="0.25">
      <c r="A984" s="2" t="str">
        <f ca="1">IFERROR(__xludf.DUMMYFUNCTION("""COMPUTED_VALUE"""),"ee4e63b9")</f>
        <v>ee4e63b9</v>
      </c>
      <c r="B984" s="5">
        <f ca="1">IFERROR(__xludf.DUMMYFUNCTION("""COMPUTED_VALUE"""),45896.6809027777)</f>
        <v>45896.680902777698</v>
      </c>
      <c r="C984" s="2" t="str">
        <f ca="1">IFERROR(__xludf.DUMMYFUNCTION("""COMPUTED_VALUE"""),"009b8898")</f>
        <v>009b8898</v>
      </c>
      <c r="D984" s="2">
        <f ca="1">IFERROR(__xludf.DUMMYFUNCTION("""COMPUTED_VALUE"""),118)</f>
        <v>118</v>
      </c>
      <c r="E984" s="2" t="str">
        <f ca="1">IFERROR(__xludf.DUMMYFUNCTION("""COMPUTED_VALUE"""),"Syrah")</f>
        <v>Syrah</v>
      </c>
      <c r="F984" s="2">
        <f ca="1">IFERROR(__xludf.DUMMYFUNCTION("""COMPUTED_VALUE"""),5100)</f>
        <v>5100</v>
      </c>
      <c r="G984" s="2">
        <f ca="1">IFERROR(__xludf.DUMMYFUNCTION("""COMPUTED_VALUE"""),16)</f>
        <v>16</v>
      </c>
      <c r="H984" s="2" t="str">
        <f ca="1">IFERROR(__xludf.DUMMYFUNCTION("""COMPUTED_VALUE"""),"869e8a1b")</f>
        <v>869e8a1b</v>
      </c>
      <c r="I984" s="2" t="str">
        <f ca="1">IFERROR(__xludf.DUMMYFUNCTION("""COMPUTED_VALUE"""),"Syrah")</f>
        <v>Syrah</v>
      </c>
      <c r="J984" s="2">
        <f ca="1">IFERROR(__xludf.DUMMYFUNCTION("""COMPUTED_VALUE"""),14400)</f>
        <v>14400</v>
      </c>
      <c r="K984" s="2">
        <f ca="1">IFERROR(__xludf.DUMMYFUNCTION("""COMPUTED_VALUE"""),19500)</f>
        <v>19500</v>
      </c>
      <c r="L984" s="2" t="str">
        <f ca="1">IFERROR(__xludf.DUMMYFUNCTION("""COMPUTED_VALUE"""),"f4f237ac")</f>
        <v>f4f237ac</v>
      </c>
      <c r="M984" s="2" t="str">
        <f ca="1">IFERROR(__xludf.DUMMYFUNCTION("""COMPUTED_VALUE"""),"Syrah")</f>
        <v>Syrah</v>
      </c>
      <c r="N984" s="2"/>
      <c r="O984" s="2" t="str">
        <f ca="1">IFERROR(__xludf.DUMMYFUNCTION("""COMPUTED_VALUE"""),"2do Trasiego")</f>
        <v>2do Trasiego</v>
      </c>
      <c r="P984" s="2" t="str">
        <f ca="1">IFERROR(__xludf.DUMMYFUNCTION("""COMPUTED_VALUE"""),"2do Trasiego")</f>
        <v>2do Trasiego</v>
      </c>
      <c r="Q984" s="2" t="b">
        <f ca="1">IFERROR(__xludf.DUMMYFUNCTION("""COMPUTED_VALUE"""),TRUE)</f>
        <v>1</v>
      </c>
      <c r="R984" s="2" t="str">
        <f ca="1">IFERROR(__xludf.DUMMYFUNCTION("""COMPUTED_VALUE"""),"2do Trasiego")</f>
        <v>2do Trasiego</v>
      </c>
      <c r="S984" s="2"/>
      <c r="T984" s="2"/>
      <c r="U984" s="2" t="str">
        <f ca="1">IFERROR(__xludf.DUMMYFUNCTION("""COMPUTED_VALUE"""),"1-")</f>
        <v>1-</v>
      </c>
    </row>
    <row r="985" spans="1:21" x14ac:dyDescent="0.25">
      <c r="A985" s="2" t="str">
        <f ca="1">IFERROR(__xludf.DUMMYFUNCTION("""COMPUTED_VALUE"""),"4754a574")</f>
        <v>4754a574</v>
      </c>
      <c r="B985" s="5">
        <f ca="1">IFERROR(__xludf.DUMMYFUNCTION("""COMPUTED_VALUE"""),45896.6830208333)</f>
        <v>45896.683020833298</v>
      </c>
      <c r="C985" s="2" t="str">
        <f ca="1">IFERROR(__xludf.DUMMYFUNCTION("""COMPUTED_VALUE"""),"9b47717c")</f>
        <v>9b47717c</v>
      </c>
      <c r="D985" s="2">
        <f ca="1">IFERROR(__xludf.DUMMYFUNCTION("""COMPUTED_VALUE"""),46)</f>
        <v>46</v>
      </c>
      <c r="E985" s="2" t="str">
        <f ca="1">IFERROR(__xludf.DUMMYFUNCTION("""COMPUTED_VALUE"""),"Bonarda")</f>
        <v>Bonarda</v>
      </c>
      <c r="F985" s="2">
        <f ca="1">IFERROR(__xludf.DUMMYFUNCTION("""COMPUTED_VALUE"""),29000)</f>
        <v>29000</v>
      </c>
      <c r="G985" s="2">
        <f ca="1">IFERROR(__xludf.DUMMYFUNCTION("""COMPUTED_VALUE"""),90)</f>
        <v>90</v>
      </c>
      <c r="H985" s="2" t="str">
        <f ca="1">IFERROR(__xludf.DUMMYFUNCTION("""COMPUTED_VALUE"""),"686fc77a")</f>
        <v>686fc77a</v>
      </c>
      <c r="I985" s="2" t="str">
        <f ca="1">IFERROR(__xludf.DUMMYFUNCTION("""COMPUTED_VALUE"""),"Bonarda")</f>
        <v>Bonarda</v>
      </c>
      <c r="J985" s="2">
        <f ca="1">IFERROR(__xludf.DUMMYFUNCTION("""COMPUTED_VALUE"""),53400)</f>
        <v>53400</v>
      </c>
      <c r="K985" s="2">
        <f ca="1">IFERROR(__xludf.DUMMYFUNCTION("""COMPUTED_VALUE"""),82400)</f>
        <v>82400</v>
      </c>
      <c r="L985" s="2" t="str">
        <f ca="1">IFERROR(__xludf.DUMMYFUNCTION("""COMPUTED_VALUE"""),"1a06cc05")</f>
        <v>1a06cc05</v>
      </c>
      <c r="M985" s="2" t="str">
        <f ca="1">IFERROR(__xludf.DUMMYFUNCTION("""COMPUTED_VALUE"""),"Bonarda")</f>
        <v>Bonarda</v>
      </c>
      <c r="N985" s="2"/>
      <c r="O985" s="2" t="str">
        <f ca="1">IFERROR(__xludf.DUMMYFUNCTION("""COMPUTED_VALUE"""),"2do Trasiego")</f>
        <v>2do Trasiego</v>
      </c>
      <c r="P985" s="2" t="str">
        <f ca="1">IFERROR(__xludf.DUMMYFUNCTION("""COMPUTED_VALUE"""),"2do Trasiego")</f>
        <v>2do Trasiego</v>
      </c>
      <c r="Q985" s="2" t="b">
        <f ca="1">IFERROR(__xludf.DUMMYFUNCTION("""COMPUTED_VALUE"""),TRUE)</f>
        <v>1</v>
      </c>
      <c r="R985" s="2" t="str">
        <f ca="1">IFERROR(__xludf.DUMMYFUNCTION("""COMPUTED_VALUE"""),"2do Trasiego")</f>
        <v>2do Trasiego</v>
      </c>
      <c r="S985" s="2"/>
      <c r="T985" s="2"/>
      <c r="U985" s="2" t="str">
        <f ca="1">IFERROR(__xludf.DUMMYFUNCTION("""COMPUTED_VALUE"""),"1")</f>
        <v>1</v>
      </c>
    </row>
    <row r="986" spans="1:21" x14ac:dyDescent="0.25">
      <c r="A986" s="2" t="str">
        <f ca="1">IFERROR(__xludf.DUMMYFUNCTION("""COMPUTED_VALUE"""),"e8e1a3c0")</f>
        <v>e8e1a3c0</v>
      </c>
      <c r="B986" s="5">
        <f ca="1">IFERROR(__xludf.DUMMYFUNCTION("""COMPUTED_VALUE"""),45896.6842129629)</f>
        <v>45896.6842129629</v>
      </c>
      <c r="C986" s="2" t="str">
        <f ca="1">IFERROR(__xludf.DUMMYFUNCTION("""COMPUTED_VALUE"""),"009b8898")</f>
        <v>009b8898</v>
      </c>
      <c r="D986" s="2">
        <f ca="1">IFERROR(__xludf.DUMMYFUNCTION("""COMPUTED_VALUE"""),118)</f>
        <v>118</v>
      </c>
      <c r="E986" s="2" t="str">
        <f ca="1">IFERROR(__xludf.DUMMYFUNCTION("""COMPUTED_VALUE"""),"Syrah")</f>
        <v>Syrah</v>
      </c>
      <c r="F986" s="2">
        <f ca="1">IFERROR(__xludf.DUMMYFUNCTION("""COMPUTED_VALUE"""),31900)</f>
        <v>31900</v>
      </c>
      <c r="G986" s="2">
        <f ca="1">IFERROR(__xludf.DUMMYFUNCTION("""COMPUTED_VALUE"""),89)</f>
        <v>89</v>
      </c>
      <c r="H986" s="2" t="str">
        <f ca="1">IFERROR(__xludf.DUMMYFUNCTION("""COMPUTED_VALUE"""),"6d97827a")</f>
        <v>6d97827a</v>
      </c>
      <c r="I986" s="2" t="str">
        <f ca="1">IFERROR(__xludf.DUMMYFUNCTION("""COMPUTED_VALUE"""),"Syrah Tempranillo")</f>
        <v>Syrah Tempranillo</v>
      </c>
      <c r="J986" s="2">
        <f ca="1">IFERROR(__xludf.DUMMYFUNCTION("""COMPUTED_VALUE"""),51600)</f>
        <v>51600</v>
      </c>
      <c r="K986" s="2">
        <f ca="1">IFERROR(__xludf.DUMMYFUNCTION("""COMPUTED_VALUE"""),83500)</f>
        <v>83500</v>
      </c>
      <c r="L986" s="2" t="str">
        <f ca="1">IFERROR(__xludf.DUMMYFUNCTION("""COMPUTED_VALUE"""),"f8ffe3ae")</f>
        <v>f8ffe3ae</v>
      </c>
      <c r="M986" s="2" t="str">
        <f ca="1">IFERROR(__xludf.DUMMYFUNCTION("""COMPUTED_VALUE"""),"Syrah")</f>
        <v>Syrah</v>
      </c>
      <c r="N986" s="2"/>
      <c r="O986" s="2" t="str">
        <f ca="1">IFERROR(__xludf.DUMMYFUNCTION("""COMPUTED_VALUE"""),"2do Trasiego")</f>
        <v>2do Trasiego</v>
      </c>
      <c r="P986" s="2" t="str">
        <f ca="1">IFERROR(__xludf.DUMMYFUNCTION("""COMPUTED_VALUE"""),"2do Trasiego")</f>
        <v>2do Trasiego</v>
      </c>
      <c r="Q986" s="2" t="b">
        <f ca="1">IFERROR(__xludf.DUMMYFUNCTION("""COMPUTED_VALUE"""),FALSE)</f>
        <v>0</v>
      </c>
      <c r="R986" s="2" t="str">
        <f ca="1">IFERROR(__xludf.DUMMYFUNCTION("""COMPUTED_VALUE"""),"2do Trasiego")</f>
        <v>2do Trasiego</v>
      </c>
      <c r="S986" s="2"/>
      <c r="T986" s="2"/>
      <c r="U986" s="2" t="str">
        <f ca="1">IFERROR(__xludf.DUMMYFUNCTION("""COMPUTED_VALUE"""),"1")</f>
        <v>1</v>
      </c>
    </row>
    <row r="987" spans="1:21" x14ac:dyDescent="0.25">
      <c r="A987" s="2" t="str">
        <f ca="1">IFERROR(__xludf.DUMMYFUNCTION("""COMPUTED_VALUE"""),"bebca116")</f>
        <v>bebca116</v>
      </c>
      <c r="B987" s="5">
        <f ca="1">IFERROR(__xludf.DUMMYFUNCTION("""COMPUTED_VALUE"""),45896.6845023148)</f>
        <v>45896.684502314798</v>
      </c>
      <c r="C987" s="2" t="str">
        <f ca="1">IFERROR(__xludf.DUMMYFUNCTION("""COMPUTED_VALUE"""),"009b8898")</f>
        <v>009b8898</v>
      </c>
      <c r="D987" s="2">
        <f ca="1">IFERROR(__xludf.DUMMYFUNCTION("""COMPUTED_VALUE"""),118)</f>
        <v>118</v>
      </c>
      <c r="E987" s="2" t="str">
        <f ca="1">IFERROR(__xludf.DUMMYFUNCTION("""COMPUTED_VALUE"""),"Syrah")</f>
        <v>Syrah</v>
      </c>
      <c r="F987" s="2">
        <f ca="1">IFERROR(__xludf.DUMMYFUNCTION("""COMPUTED_VALUE"""),15100)</f>
        <v>15100</v>
      </c>
      <c r="G987" s="2">
        <f ca="1">IFERROR(__xludf.DUMMYFUNCTION("""COMPUTED_VALUE"""),90)</f>
        <v>90</v>
      </c>
      <c r="H987" s="2" t="str">
        <f ca="1">IFERROR(__xludf.DUMMYFUNCTION("""COMPUTED_VALUE"""),"1a06cc05")</f>
        <v>1a06cc05</v>
      </c>
      <c r="I987" s="2" t="str">
        <f ca="1">IFERROR(__xludf.DUMMYFUNCTION("""COMPUTED_VALUE"""),"Bonarda")</f>
        <v>Bonarda</v>
      </c>
      <c r="J987" s="2">
        <f ca="1">IFERROR(__xludf.DUMMYFUNCTION("""COMPUTED_VALUE"""),82400)</f>
        <v>82400</v>
      </c>
      <c r="K987" s="2">
        <f ca="1">IFERROR(__xludf.DUMMYFUNCTION("""COMPUTED_VALUE"""),97500)</f>
        <v>97500</v>
      </c>
      <c r="L987" s="2" t="str">
        <f ca="1">IFERROR(__xludf.DUMMYFUNCTION("""COMPUTED_VALUE"""),"bda36e57")</f>
        <v>bda36e57</v>
      </c>
      <c r="M987" s="2" t="str">
        <f ca="1">IFERROR(__xludf.DUMMYFUNCTION("""COMPUTED_VALUE"""),"Bonarda")</f>
        <v>Bonarda</v>
      </c>
      <c r="N987" s="2"/>
      <c r="O987" s="2" t="str">
        <f ca="1">IFERROR(__xludf.DUMMYFUNCTION("""COMPUTED_VALUE"""),"2do Trasiego")</f>
        <v>2do Trasiego</v>
      </c>
      <c r="P987" s="2" t="str">
        <f ca="1">IFERROR(__xludf.DUMMYFUNCTION("""COMPUTED_VALUE"""),"2do Trasiego")</f>
        <v>2do Trasiego</v>
      </c>
      <c r="Q987" s="2" t="b">
        <f ca="1">IFERROR(__xludf.DUMMYFUNCTION("""COMPUTED_VALUE"""),TRUE)</f>
        <v>1</v>
      </c>
      <c r="R987" s="2" t="str">
        <f ca="1">IFERROR(__xludf.DUMMYFUNCTION("""COMPUTED_VALUE"""),"2do Trasiego")</f>
        <v>2do Trasiego</v>
      </c>
      <c r="S987" s="2"/>
      <c r="T987" s="2"/>
      <c r="U987" s="2" t="str">
        <f ca="1">IFERROR(__xludf.DUMMYFUNCTION("""COMPUTED_VALUE"""),"1")</f>
        <v>1</v>
      </c>
    </row>
    <row r="988" spans="1:21" x14ac:dyDescent="0.25">
      <c r="A988" s="2" t="str">
        <f ca="1">IFERROR(__xludf.DUMMYFUNCTION("""COMPUTED_VALUE"""),"31389bf1")</f>
        <v>31389bf1</v>
      </c>
      <c r="B988" s="5">
        <f ca="1">IFERROR(__xludf.DUMMYFUNCTION("""COMPUTED_VALUE"""),45896.6869444444)</f>
        <v>45896.686944444402</v>
      </c>
      <c r="C988" s="2" t="str">
        <f ca="1">IFERROR(__xludf.DUMMYFUNCTION("""COMPUTED_VALUE"""),"009b8898")</f>
        <v>009b8898</v>
      </c>
      <c r="D988" s="2">
        <f ca="1">IFERROR(__xludf.DUMMYFUNCTION("""COMPUTED_VALUE"""),118)</f>
        <v>118</v>
      </c>
      <c r="E988" s="2" t="str">
        <f ca="1">IFERROR(__xludf.DUMMYFUNCTION("""COMPUTED_VALUE"""),"Syrah")</f>
        <v>Syrah</v>
      </c>
      <c r="F988" s="2">
        <f ca="1">IFERROR(__xludf.DUMMYFUNCTION("""COMPUTED_VALUE"""),11700)</f>
        <v>11700</v>
      </c>
      <c r="G988" s="2">
        <f ca="1">IFERROR(__xludf.DUMMYFUNCTION("""COMPUTED_VALUE"""),116)</f>
        <v>116</v>
      </c>
      <c r="H988" s="2" t="str">
        <f ca="1">IFERROR(__xludf.DUMMYFUNCTION("""COMPUTED_VALUE"""),"9bde5a5a")</f>
        <v>9bde5a5a</v>
      </c>
      <c r="I988" s="2" t="str">
        <f ca="1">IFERROR(__xludf.DUMMYFUNCTION("""COMPUTED_VALUE"""),"Malbec")</f>
        <v>Malbec</v>
      </c>
      <c r="J988" s="2">
        <f ca="1">IFERROR(__xludf.DUMMYFUNCTION("""COMPUTED_VALUE"""),87900)</f>
        <v>87900</v>
      </c>
      <c r="K988" s="2">
        <f ca="1">IFERROR(__xludf.DUMMYFUNCTION("""COMPUTED_VALUE"""),99600)</f>
        <v>99600</v>
      </c>
      <c r="L988" s="2" t="str">
        <f ca="1">IFERROR(__xludf.DUMMYFUNCTION("""COMPUTED_VALUE"""),"bf1abf21")</f>
        <v>bf1abf21</v>
      </c>
      <c r="M988" s="2" t="str">
        <f ca="1">IFERROR(__xludf.DUMMYFUNCTION("""COMPUTED_VALUE"""),"Malbec")</f>
        <v>Malbec</v>
      </c>
      <c r="N988" s="2"/>
      <c r="O988" s="2" t="str">
        <f ca="1">IFERROR(__xludf.DUMMYFUNCTION("""COMPUTED_VALUE"""),"2do Trasiego")</f>
        <v>2do Trasiego</v>
      </c>
      <c r="P988" s="2" t="str">
        <f ca="1">IFERROR(__xludf.DUMMYFUNCTION("""COMPUTED_VALUE"""),"Filtrado Tang")</f>
        <v>Filtrado Tang</v>
      </c>
      <c r="Q988" s="2" t="b">
        <f ca="1">IFERROR(__xludf.DUMMYFUNCTION("""COMPUTED_VALUE"""),TRUE)</f>
        <v>1</v>
      </c>
      <c r="R988" s="2" t="str">
        <f ca="1">IFERROR(__xludf.DUMMYFUNCTION("""COMPUTED_VALUE"""),"Filtrado Tang")</f>
        <v>Filtrado Tang</v>
      </c>
      <c r="S988" s="2"/>
      <c r="T988" s="2"/>
      <c r="U988" s="2" t="str">
        <f ca="1">IFERROR(__xludf.DUMMYFUNCTION("""COMPUTED_VALUE"""),"1+")</f>
        <v>1+</v>
      </c>
    </row>
    <row r="989" spans="1:21" x14ac:dyDescent="0.25">
      <c r="A989" s="2" t="str">
        <f ca="1">IFERROR(__xludf.DUMMYFUNCTION("""COMPUTED_VALUE"""),"67aedc60")</f>
        <v>67aedc60</v>
      </c>
      <c r="B989" s="5">
        <f ca="1">IFERROR(__xludf.DUMMYFUNCTION("""COMPUTED_VALUE"""),45896.6877083333)</f>
        <v>45896.687708333302</v>
      </c>
      <c r="C989" s="2" t="str">
        <f ca="1">IFERROR(__xludf.DUMMYFUNCTION("""COMPUTED_VALUE"""),"009b8898")</f>
        <v>009b8898</v>
      </c>
      <c r="D989" s="2">
        <f ca="1">IFERROR(__xludf.DUMMYFUNCTION("""COMPUTED_VALUE"""),118)</f>
        <v>118</v>
      </c>
      <c r="E989" s="2" t="str">
        <f ca="1">IFERROR(__xludf.DUMMYFUNCTION("""COMPUTED_VALUE"""),"Syrah")</f>
        <v>Syrah</v>
      </c>
      <c r="F989" s="2">
        <f ca="1">IFERROR(__xludf.DUMMYFUNCTION("""COMPUTED_VALUE"""),1345)</f>
        <v>1345</v>
      </c>
      <c r="G989" s="2">
        <f ca="1">IFERROR(__xludf.DUMMYFUNCTION("""COMPUTED_VALUE"""),115)</f>
        <v>115</v>
      </c>
      <c r="H989" s="2"/>
      <c r="I989" s="2"/>
      <c r="J989" s="2">
        <f ca="1">IFERROR(__xludf.DUMMYFUNCTION("""COMPUTED_VALUE"""),0)</f>
        <v>0</v>
      </c>
      <c r="K989" s="2">
        <f ca="1">IFERROR(__xludf.DUMMYFUNCTION("""COMPUTED_VALUE"""),1345)</f>
        <v>1345</v>
      </c>
      <c r="L989" s="2" t="str">
        <f ca="1">IFERROR(__xludf.DUMMYFUNCTION("""COMPUTED_VALUE"""),"f4fb5076")</f>
        <v>f4fb5076</v>
      </c>
      <c r="M989" s="2" t="str">
        <f ca="1">IFERROR(__xludf.DUMMYFUNCTION("""COMPUTED_VALUE"""),"Syrah")</f>
        <v>Syrah</v>
      </c>
      <c r="N989" s="2"/>
      <c r="O989" s="2" t="str">
        <f ca="1">IFERROR(__xludf.DUMMYFUNCTION("""COMPUTED_VALUE"""),"2do Trasiego")</f>
        <v>2do Trasiego</v>
      </c>
      <c r="P989" s="2"/>
      <c r="Q989" s="2" t="b">
        <f ca="1">IFERROR(__xludf.DUMMYFUNCTION("""COMPUTED_VALUE"""),FALSE)</f>
        <v>0</v>
      </c>
      <c r="R989" s="2" t="str">
        <f ca="1">IFERROR(__xludf.DUMMYFUNCTION("""COMPUTED_VALUE"""),"Filtrado Tang")</f>
        <v>Filtrado Tang</v>
      </c>
      <c r="S989" s="2"/>
      <c r="T989" s="2"/>
      <c r="U989" s="2" t="str">
        <f ca="1">IFERROR(__xludf.DUMMYFUNCTION("""COMPUTED_VALUE"""),"1")</f>
        <v>1</v>
      </c>
    </row>
    <row r="990" spans="1:21" x14ac:dyDescent="0.25">
      <c r="A990" s="2" t="str">
        <f ca="1">IFERROR(__xludf.DUMMYFUNCTION("""COMPUTED_VALUE"""),"4db0ab84")</f>
        <v>4db0ab84</v>
      </c>
      <c r="B990" s="5">
        <f ca="1">IFERROR(__xludf.DUMMYFUNCTION("""COMPUTED_VALUE"""),45896.6883101851)</f>
        <v>45896.688310185098</v>
      </c>
      <c r="C990" s="2" t="str">
        <f ca="1">IFERROR(__xludf.DUMMYFUNCTION("""COMPUTED_VALUE"""),"f4f237ac")</f>
        <v>f4f237ac</v>
      </c>
      <c r="D990" s="2">
        <f ca="1">IFERROR(__xludf.DUMMYFUNCTION("""COMPUTED_VALUE"""),16)</f>
        <v>16</v>
      </c>
      <c r="E990" s="2" t="str">
        <f ca="1">IFERROR(__xludf.DUMMYFUNCTION("""COMPUTED_VALUE"""),"Syrah")</f>
        <v>Syrah</v>
      </c>
      <c r="F990" s="2">
        <f ca="1">IFERROR(__xludf.DUMMYFUNCTION("""COMPUTED_VALUE"""),17300)</f>
        <v>17300</v>
      </c>
      <c r="G990" s="2">
        <f ca="1">IFERROR(__xludf.DUMMYFUNCTION("""COMPUTED_VALUE"""),500)</f>
        <v>500</v>
      </c>
      <c r="H990" s="2" t="str">
        <f ca="1">IFERROR(__xludf.DUMMYFUNCTION("""COMPUTED_VALUE"""),"3367c913")</f>
        <v>3367c913</v>
      </c>
      <c r="I990" s="2" t="str">
        <f ca="1">IFERROR(__xludf.DUMMYFUNCTION("""COMPUTED_VALUE"""),"Traslado Tinto Millan")</f>
        <v>Traslado Tinto Millan</v>
      </c>
      <c r="J990" s="2">
        <f ca="1">IFERROR(__xludf.DUMMYFUNCTION("""COMPUTED_VALUE"""),182700)</f>
        <v>182700</v>
      </c>
      <c r="K990" s="2">
        <f ca="1">IFERROR(__xludf.DUMMYFUNCTION("""COMPUTED_VALUE"""),200000)</f>
        <v>200000</v>
      </c>
      <c r="L990" s="2" t="str">
        <f ca="1">IFERROR(__xludf.DUMMYFUNCTION("""COMPUTED_VALUE"""),"4a88e5dc")</f>
        <v>4a88e5dc</v>
      </c>
      <c r="M990" s="2" t="str">
        <f ca="1">IFERROR(__xludf.DUMMYFUNCTION("""COMPUTED_VALUE"""),"Syrah")</f>
        <v>Syrah</v>
      </c>
      <c r="N990" s="2"/>
      <c r="O990" s="2" t="str">
        <f ca="1">IFERROR(__xludf.DUMMYFUNCTION("""COMPUTED_VALUE"""),"2do Trasiego")</f>
        <v>2do Trasiego</v>
      </c>
      <c r="P990" s="2" t="str">
        <f ca="1">IFERROR(__xludf.DUMMYFUNCTION("""COMPUTED_VALUE"""),"Terminado")</f>
        <v>Terminado</v>
      </c>
      <c r="Q990" s="2" t="b">
        <f ca="1">IFERROR(__xludf.DUMMYFUNCTION("""COMPUTED_VALUE"""),FALSE)</f>
        <v>0</v>
      </c>
      <c r="R990" s="2" t="str">
        <f ca="1">IFERROR(__xludf.DUMMYFUNCTION("""COMPUTED_VALUE"""),"2do Trasiego")</f>
        <v>2do Trasiego</v>
      </c>
      <c r="S990" s="2"/>
      <c r="T990" s="2"/>
      <c r="U990" s="2" t="str">
        <f ca="1">IFERROR(__xludf.DUMMYFUNCTION("""COMPUTED_VALUE"""),"1-")</f>
        <v>1-</v>
      </c>
    </row>
    <row r="991" spans="1:21" x14ac:dyDescent="0.25">
      <c r="A991" s="2" t="str">
        <f ca="1">IFERROR(__xludf.DUMMYFUNCTION("""COMPUTED_VALUE"""),"813456de")</f>
        <v>813456de</v>
      </c>
      <c r="B991" s="5">
        <f ca="1">IFERROR(__xludf.DUMMYFUNCTION("""COMPUTED_VALUE"""),45896.6886574074)</f>
        <v>45896.688657407401</v>
      </c>
      <c r="C991" s="2" t="str">
        <f ca="1">IFERROR(__xludf.DUMMYFUNCTION("""COMPUTED_VALUE"""),"f4f237ac")</f>
        <v>f4f237ac</v>
      </c>
      <c r="D991" s="2">
        <f ca="1">IFERROR(__xludf.DUMMYFUNCTION("""COMPUTED_VALUE"""),16)</f>
        <v>16</v>
      </c>
      <c r="E991" s="2" t="str">
        <f ca="1">IFERROR(__xludf.DUMMYFUNCTION("""COMPUTED_VALUE"""),"Syrah")</f>
        <v>Syrah</v>
      </c>
      <c r="F991" s="2">
        <f ca="1">IFERROR(__xludf.DUMMYFUNCTION("""COMPUTED_VALUE"""),2200)</f>
        <v>2200</v>
      </c>
      <c r="G991" s="2">
        <f ca="1">IFERROR(__xludf.DUMMYFUNCTION("""COMPUTED_VALUE"""),115)</f>
        <v>115</v>
      </c>
      <c r="H991" s="2" t="str">
        <f ca="1">IFERROR(__xludf.DUMMYFUNCTION("""COMPUTED_VALUE"""),"f4fb5076")</f>
        <v>f4fb5076</v>
      </c>
      <c r="I991" s="2" t="str">
        <f ca="1">IFERROR(__xludf.DUMMYFUNCTION("""COMPUTED_VALUE"""),"Syrah")</f>
        <v>Syrah</v>
      </c>
      <c r="J991" s="2">
        <f ca="1">IFERROR(__xludf.DUMMYFUNCTION("""COMPUTED_VALUE"""),1345)</f>
        <v>1345</v>
      </c>
      <c r="K991" s="2">
        <f ca="1">IFERROR(__xludf.DUMMYFUNCTION("""COMPUTED_VALUE"""),3545)</f>
        <v>3545</v>
      </c>
      <c r="L991" s="2" t="str">
        <f ca="1">IFERROR(__xludf.DUMMYFUNCTION("""COMPUTED_VALUE"""),"4f131760")</f>
        <v>4f131760</v>
      </c>
      <c r="M991" s="2" t="str">
        <f ca="1">IFERROR(__xludf.DUMMYFUNCTION("""COMPUTED_VALUE"""),"Syrah")</f>
        <v>Syrah</v>
      </c>
      <c r="N991" s="2"/>
      <c r="O991" s="2" t="str">
        <f ca="1">IFERROR(__xludf.DUMMYFUNCTION("""COMPUTED_VALUE"""),"2do Trasiego")</f>
        <v>2do Trasiego</v>
      </c>
      <c r="P991" s="2" t="str">
        <f ca="1">IFERROR(__xludf.DUMMYFUNCTION("""COMPUTED_VALUE"""),"Filtrado Tang")</f>
        <v>Filtrado Tang</v>
      </c>
      <c r="Q991" s="2" t="b">
        <f ca="1">IFERROR(__xludf.DUMMYFUNCTION("""COMPUTED_VALUE"""),TRUE)</f>
        <v>1</v>
      </c>
      <c r="R991" s="2" t="str">
        <f ca="1">IFERROR(__xludf.DUMMYFUNCTION("""COMPUTED_VALUE"""),"Filtrado Tang")</f>
        <v>Filtrado Tang</v>
      </c>
      <c r="S991" s="2"/>
      <c r="T991" s="2"/>
      <c r="U991" s="2" t="str">
        <f ca="1">IFERROR(__xludf.DUMMYFUNCTION("""COMPUTED_VALUE"""),"1")</f>
        <v>1</v>
      </c>
    </row>
    <row r="992" spans="1:21" x14ac:dyDescent="0.25">
      <c r="A992" s="2" t="str">
        <f ca="1">IFERROR(__xludf.DUMMYFUNCTION("""COMPUTED_VALUE"""),"096d4ac6")</f>
        <v>096d4ac6</v>
      </c>
      <c r="B992" s="5">
        <f ca="1">IFERROR(__xludf.DUMMYFUNCTION("""COMPUTED_VALUE"""),45896.6888773148)</f>
        <v>45896.688877314802</v>
      </c>
      <c r="C992" s="2" t="str">
        <f ca="1">IFERROR(__xludf.DUMMYFUNCTION("""COMPUTED_VALUE"""),"a324303d")</f>
        <v>a324303d</v>
      </c>
      <c r="D992" s="2">
        <f ca="1">IFERROR(__xludf.DUMMYFUNCTION("""COMPUTED_VALUE"""),6)</f>
        <v>6</v>
      </c>
      <c r="E992" s="2" t="str">
        <f ca="1">IFERROR(__xludf.DUMMYFUNCTION("""COMPUTED_VALUE"""),"Aspirant Anccelota Gota")</f>
        <v>Aspirant Anccelota Gota</v>
      </c>
      <c r="F992" s="2">
        <f ca="1">IFERROR(__xludf.DUMMYFUNCTION("""COMPUTED_VALUE"""),2900)</f>
        <v>2900</v>
      </c>
      <c r="G992" s="2">
        <f ca="1">IFERROR(__xludf.DUMMYFUNCTION("""COMPUTED_VALUE"""),115)</f>
        <v>115</v>
      </c>
      <c r="H992" s="2" t="str">
        <f ca="1">IFERROR(__xludf.DUMMYFUNCTION("""COMPUTED_VALUE"""),"4f131760")</f>
        <v>4f131760</v>
      </c>
      <c r="I992" s="2" t="str">
        <f ca="1">IFERROR(__xludf.DUMMYFUNCTION("""COMPUTED_VALUE"""),"Syrah")</f>
        <v>Syrah</v>
      </c>
      <c r="J992" s="2">
        <f ca="1">IFERROR(__xludf.DUMMYFUNCTION("""COMPUTED_VALUE"""),3545)</f>
        <v>3545</v>
      </c>
      <c r="K992" s="2">
        <f ca="1">IFERROR(__xludf.DUMMYFUNCTION("""COMPUTED_VALUE"""),6445)</f>
        <v>6445</v>
      </c>
      <c r="L992" s="2" t="str">
        <f ca="1">IFERROR(__xludf.DUMMYFUNCTION("""COMPUTED_VALUE"""),"74af8465")</f>
        <v>74af8465</v>
      </c>
      <c r="M992" s="2" t="str">
        <f ca="1">IFERROR(__xludf.DUMMYFUNCTION("""COMPUTED_VALUE"""),"Syrah")</f>
        <v>Syrah</v>
      </c>
      <c r="N992" s="2"/>
      <c r="O992" s="2" t="str">
        <f ca="1">IFERROR(__xludf.DUMMYFUNCTION("""COMPUTED_VALUE"""),"2do Trasiego")</f>
        <v>2do Trasiego</v>
      </c>
      <c r="P992" s="2" t="str">
        <f ca="1">IFERROR(__xludf.DUMMYFUNCTION("""COMPUTED_VALUE"""),"Filtrado Tang")</f>
        <v>Filtrado Tang</v>
      </c>
      <c r="Q992" s="2" t="b">
        <f ca="1">IFERROR(__xludf.DUMMYFUNCTION("""COMPUTED_VALUE"""),TRUE)</f>
        <v>1</v>
      </c>
      <c r="R992" s="2" t="str">
        <f ca="1">IFERROR(__xludf.DUMMYFUNCTION("""COMPUTED_VALUE"""),"Filtrado Tang")</f>
        <v>Filtrado Tang</v>
      </c>
      <c r="S992" s="2"/>
      <c r="T992" s="2"/>
      <c r="U992" s="2" t="str">
        <f ca="1">IFERROR(__xludf.DUMMYFUNCTION("""COMPUTED_VALUE"""),"1")</f>
        <v>1</v>
      </c>
    </row>
    <row r="993" spans="1:21" x14ac:dyDescent="0.25">
      <c r="A993" s="2" t="str">
        <f ca="1">IFERROR(__xludf.DUMMYFUNCTION("""COMPUTED_VALUE"""),"1a48c9a8")</f>
        <v>1a48c9a8</v>
      </c>
      <c r="B993" s="5">
        <f ca="1">IFERROR(__xludf.DUMMYFUNCTION("""COMPUTED_VALUE"""),45896.6897685185)</f>
        <v>45896.689768518503</v>
      </c>
      <c r="C993" s="2" t="str">
        <f ca="1">IFERROR(__xludf.DUMMYFUNCTION("""COMPUTED_VALUE"""),"502df566")</f>
        <v>502df566</v>
      </c>
      <c r="D993" s="2">
        <f ca="1">IFERROR(__xludf.DUMMYFUNCTION("""COMPUTED_VALUE"""),87)</f>
        <v>87</v>
      </c>
      <c r="E993" s="2" t="str">
        <f ca="1">IFERROR(__xludf.DUMMYFUNCTION("""COMPUTED_VALUE"""),"Syrah")</f>
        <v>Syrah</v>
      </c>
      <c r="F993" s="2">
        <f ca="1">IFERROR(__xludf.DUMMYFUNCTION("""COMPUTED_VALUE"""),30000)</f>
        <v>30000</v>
      </c>
      <c r="G993" s="2">
        <f ca="1">IFERROR(__xludf.DUMMYFUNCTION("""COMPUTED_VALUE"""),115)</f>
        <v>115</v>
      </c>
      <c r="H993" s="2" t="str">
        <f ca="1">IFERROR(__xludf.DUMMYFUNCTION("""COMPUTED_VALUE"""),"74af8465")</f>
        <v>74af8465</v>
      </c>
      <c r="I993" s="2" t="str">
        <f ca="1">IFERROR(__xludf.DUMMYFUNCTION("""COMPUTED_VALUE"""),"Syrah")</f>
        <v>Syrah</v>
      </c>
      <c r="J993" s="2">
        <f ca="1">IFERROR(__xludf.DUMMYFUNCTION("""COMPUTED_VALUE"""),6445)</f>
        <v>6445</v>
      </c>
      <c r="K993" s="2">
        <f ca="1">IFERROR(__xludf.DUMMYFUNCTION("""COMPUTED_VALUE"""),36445)</f>
        <v>36445</v>
      </c>
      <c r="L993" s="2" t="str">
        <f ca="1">IFERROR(__xludf.DUMMYFUNCTION("""COMPUTED_VALUE"""),"c071e804")</f>
        <v>c071e804</v>
      </c>
      <c r="M993" s="2" t="str">
        <f ca="1">IFERROR(__xludf.DUMMYFUNCTION("""COMPUTED_VALUE"""),"Syrah")</f>
        <v>Syrah</v>
      </c>
      <c r="N993" s="2"/>
      <c r="O993" s="2" t="str">
        <f ca="1">IFERROR(__xludf.DUMMYFUNCTION("""COMPUTED_VALUE"""),"2do Trasiego")</f>
        <v>2do Trasiego</v>
      </c>
      <c r="P993" s="2" t="str">
        <f ca="1">IFERROR(__xludf.DUMMYFUNCTION("""COMPUTED_VALUE"""),"Filtrado Tang")</f>
        <v>Filtrado Tang</v>
      </c>
      <c r="Q993" s="2" t="b">
        <f ca="1">IFERROR(__xludf.DUMMYFUNCTION("""COMPUTED_VALUE"""),TRUE)</f>
        <v>1</v>
      </c>
      <c r="R993" s="2" t="str">
        <f ca="1">IFERROR(__xludf.DUMMYFUNCTION("""COMPUTED_VALUE"""),"Filtrado Tang")</f>
        <v>Filtrado Tang</v>
      </c>
      <c r="S993" s="2"/>
      <c r="T993" s="2"/>
      <c r="U993" s="2" t="str">
        <f ca="1">IFERROR(__xludf.DUMMYFUNCTION("""COMPUTED_VALUE"""),"1")</f>
        <v>1</v>
      </c>
    </row>
    <row r="994" spans="1:21" x14ac:dyDescent="0.25">
      <c r="A994" s="2" t="str">
        <f ca="1">IFERROR(__xludf.DUMMYFUNCTION("""COMPUTED_VALUE"""),"0f35e8bf")</f>
        <v>0f35e8bf</v>
      </c>
      <c r="B994" s="5">
        <f ca="1">IFERROR(__xludf.DUMMYFUNCTION("""COMPUTED_VALUE"""),45896.6920254629)</f>
        <v>45896.6920254629</v>
      </c>
      <c r="C994" s="2" t="str">
        <f ca="1">IFERROR(__xludf.DUMMYFUNCTION("""COMPUTED_VALUE"""),"a37dae6b")</f>
        <v>a37dae6b</v>
      </c>
      <c r="D994" s="2">
        <f ca="1">IFERROR(__xludf.DUMMYFUNCTION("""COMPUTED_VALUE"""),26)</f>
        <v>26</v>
      </c>
      <c r="E994" s="2" t="str">
        <f ca="1">IFERROR(__xludf.DUMMYFUNCTION("""COMPUTED_VALUE"""),"Tinto")</f>
        <v>Tinto</v>
      </c>
      <c r="F994" s="2">
        <f ca="1">IFERROR(__xludf.DUMMYFUNCTION("""COMPUTED_VALUE"""),126100)</f>
        <v>126100</v>
      </c>
      <c r="G994" s="2">
        <f ca="1">IFERROR(__xludf.DUMMYFUNCTION("""COMPUTED_VALUE"""),25)</f>
        <v>25</v>
      </c>
      <c r="H994" s="2" t="str">
        <f ca="1">IFERROR(__xludf.DUMMYFUNCTION("""COMPUTED_VALUE"""),"eda92067")</f>
        <v>eda92067</v>
      </c>
      <c r="I994" s="2" t="str">
        <f ca="1">IFERROR(__xludf.DUMMYFUNCTION("""COMPUTED_VALUE"""),"Tinto")</f>
        <v>Tinto</v>
      </c>
      <c r="J994" s="2">
        <f ca="1">IFERROR(__xludf.DUMMYFUNCTION("""COMPUTED_VALUE"""),33100)</f>
        <v>33100</v>
      </c>
      <c r="K994" s="2">
        <f ca="1">IFERROR(__xludf.DUMMYFUNCTION("""COMPUTED_VALUE"""),159200)</f>
        <v>159200</v>
      </c>
      <c r="L994" s="2" t="str">
        <f ca="1">IFERROR(__xludf.DUMMYFUNCTION("""COMPUTED_VALUE"""),"77b5a0aa")</f>
        <v>77b5a0aa</v>
      </c>
      <c r="M994" s="2" t="str">
        <f ca="1">IFERROR(__xludf.DUMMYFUNCTION("""COMPUTED_VALUE"""),"Tinto")</f>
        <v>Tinto</v>
      </c>
      <c r="N994" s="2"/>
      <c r="O994" s="2" t="str">
        <f ca="1">IFERROR(__xludf.DUMMYFUNCTION("""COMPUTED_VALUE"""),"2do Trasiego")</f>
        <v>2do Trasiego</v>
      </c>
      <c r="P994" s="2" t="str">
        <f ca="1">IFERROR(__xludf.DUMMYFUNCTION("""COMPUTED_VALUE"""),"2do Trasiego")</f>
        <v>2do Trasiego</v>
      </c>
      <c r="Q994" s="2" t="b">
        <f ca="1">IFERROR(__xludf.DUMMYFUNCTION("""COMPUTED_VALUE"""),TRUE)</f>
        <v>1</v>
      </c>
      <c r="R994" s="2" t="str">
        <f ca="1">IFERROR(__xludf.DUMMYFUNCTION("""COMPUTED_VALUE"""),"2do Trasiego")</f>
        <v>2do Trasiego</v>
      </c>
      <c r="S994" s="2"/>
      <c r="T994" s="2"/>
      <c r="U994" s="2" t="str">
        <f ca="1">IFERROR(__xludf.DUMMYFUNCTION("""COMPUTED_VALUE"""),"1")</f>
        <v>1</v>
      </c>
    </row>
    <row r="995" spans="1:21" x14ac:dyDescent="0.25">
      <c r="A995" s="2" t="str">
        <f ca="1">IFERROR(__xludf.DUMMYFUNCTION("""COMPUTED_VALUE"""),"f9c0cc8c")</f>
        <v>f9c0cc8c</v>
      </c>
      <c r="B995" s="5">
        <f ca="1">IFERROR(__xludf.DUMMYFUNCTION("""COMPUTED_VALUE"""),45896.6923958333)</f>
        <v>45896.692395833299</v>
      </c>
      <c r="C995" s="2" t="str">
        <f ca="1">IFERROR(__xludf.DUMMYFUNCTION("""COMPUTED_VALUE"""),"4cb5f547")</f>
        <v>4cb5f547</v>
      </c>
      <c r="D995" s="2">
        <f ca="1">IFERROR(__xludf.DUMMYFUNCTION("""COMPUTED_VALUE"""),103)</f>
        <v>103</v>
      </c>
      <c r="E995" s="2" t="str">
        <f ca="1">IFERROR(__xludf.DUMMYFUNCTION("""COMPUTED_VALUE"""),"Bonarda")</f>
        <v>Bonarda</v>
      </c>
      <c r="F995" s="2">
        <f ca="1">IFERROR(__xludf.DUMMYFUNCTION("""COMPUTED_VALUE"""),31000)</f>
        <v>31000</v>
      </c>
      <c r="G995" s="2">
        <f ca="1">IFERROR(__xludf.DUMMYFUNCTION("""COMPUTED_VALUE"""),25)</f>
        <v>25</v>
      </c>
      <c r="H995" s="2" t="str">
        <f ca="1">IFERROR(__xludf.DUMMYFUNCTION("""COMPUTED_VALUE"""),"77b5a0aa")</f>
        <v>77b5a0aa</v>
      </c>
      <c r="I995" s="2" t="str">
        <f ca="1">IFERROR(__xludf.DUMMYFUNCTION("""COMPUTED_VALUE"""),"Tinto")</f>
        <v>Tinto</v>
      </c>
      <c r="J995" s="2">
        <f ca="1">IFERROR(__xludf.DUMMYFUNCTION("""COMPUTED_VALUE"""),159200)</f>
        <v>159200</v>
      </c>
      <c r="K995" s="2">
        <f ca="1">IFERROR(__xludf.DUMMYFUNCTION("""COMPUTED_VALUE"""),190200)</f>
        <v>190200</v>
      </c>
      <c r="L995" s="2" t="str">
        <f ca="1">IFERROR(__xludf.DUMMYFUNCTION("""COMPUTED_VALUE"""),"8c690ba3")</f>
        <v>8c690ba3</v>
      </c>
      <c r="M995" s="2" t="str">
        <f ca="1">IFERROR(__xludf.DUMMYFUNCTION("""COMPUTED_VALUE"""),"Tinto Millan")</f>
        <v>Tinto Millan</v>
      </c>
      <c r="N995" s="2"/>
      <c r="O995" s="2" t="str">
        <f ca="1">IFERROR(__xludf.DUMMYFUNCTION("""COMPUTED_VALUE"""),"2do Trasiego")</f>
        <v>2do Trasiego</v>
      </c>
      <c r="P995" s="2" t="str">
        <f ca="1">IFERROR(__xludf.DUMMYFUNCTION("""COMPUTED_VALUE"""),"2do Trasiego")</f>
        <v>2do Trasiego</v>
      </c>
      <c r="Q995" s="2" t="b">
        <f ca="1">IFERROR(__xludf.DUMMYFUNCTION("""COMPUTED_VALUE"""),TRUE)</f>
        <v>1</v>
      </c>
      <c r="R995" s="2" t="str">
        <f ca="1">IFERROR(__xludf.DUMMYFUNCTION("""COMPUTED_VALUE"""),"2do Trasiego")</f>
        <v>2do Trasiego</v>
      </c>
      <c r="S995" s="2"/>
      <c r="T995" s="2"/>
      <c r="U995" s="2" t="str">
        <f ca="1">IFERROR(__xludf.DUMMYFUNCTION("""COMPUTED_VALUE"""),"1")</f>
        <v>1</v>
      </c>
    </row>
    <row r="996" spans="1:21" x14ac:dyDescent="0.25">
      <c r="A996" s="2" t="str">
        <f ca="1">IFERROR(__xludf.DUMMYFUNCTION("""COMPUTED_VALUE"""),"0bf6a202")</f>
        <v>0bf6a202</v>
      </c>
      <c r="B996" s="5">
        <f ca="1">IFERROR(__xludf.DUMMYFUNCTION("""COMPUTED_VALUE"""),45896.6927893518)</f>
        <v>45896.6927893518</v>
      </c>
      <c r="C996" s="2" t="str">
        <f ca="1">IFERROR(__xludf.DUMMYFUNCTION("""COMPUTED_VALUE"""),"029c104a")</f>
        <v>029c104a</v>
      </c>
      <c r="D996" s="2">
        <f ca="1">IFERROR(__xludf.DUMMYFUNCTION("""COMPUTED_VALUE"""),104)</f>
        <v>104</v>
      </c>
      <c r="E996" s="2" t="str">
        <f ca="1">IFERROR(__xludf.DUMMYFUNCTION("""COMPUTED_VALUE"""),"Bonarda")</f>
        <v>Bonarda</v>
      </c>
      <c r="F996" s="2">
        <f ca="1">IFERROR(__xludf.DUMMYFUNCTION("""COMPUTED_VALUE"""),4100)</f>
        <v>4100</v>
      </c>
      <c r="G996" s="2">
        <f ca="1">IFERROR(__xludf.DUMMYFUNCTION("""COMPUTED_VALUE"""),25)</f>
        <v>25</v>
      </c>
      <c r="H996" s="2" t="str">
        <f ca="1">IFERROR(__xludf.DUMMYFUNCTION("""COMPUTED_VALUE"""),"8c690ba3")</f>
        <v>8c690ba3</v>
      </c>
      <c r="I996" s="2" t="str">
        <f ca="1">IFERROR(__xludf.DUMMYFUNCTION("""COMPUTED_VALUE"""),"Tinto Millan")</f>
        <v>Tinto Millan</v>
      </c>
      <c r="J996" s="2">
        <f ca="1">IFERROR(__xludf.DUMMYFUNCTION("""COMPUTED_VALUE"""),190200)</f>
        <v>190200</v>
      </c>
      <c r="K996" s="2">
        <f ca="1">IFERROR(__xludf.DUMMYFUNCTION("""COMPUTED_VALUE"""),194300)</f>
        <v>194300</v>
      </c>
      <c r="L996" s="2" t="str">
        <f ca="1">IFERROR(__xludf.DUMMYFUNCTION("""COMPUTED_VALUE"""),"517dcebd")</f>
        <v>517dcebd</v>
      </c>
      <c r="M996" s="2" t="str">
        <f ca="1">IFERROR(__xludf.DUMMYFUNCTION("""COMPUTED_VALUE"""),"Tinto Millan")</f>
        <v>Tinto Millan</v>
      </c>
      <c r="N996" s="2"/>
      <c r="O996" s="2" t="str">
        <f ca="1">IFERROR(__xludf.DUMMYFUNCTION("""COMPUTED_VALUE"""),"2do Trasiego")</f>
        <v>2do Trasiego</v>
      </c>
      <c r="P996" s="2" t="str">
        <f ca="1">IFERROR(__xludf.DUMMYFUNCTION("""COMPUTED_VALUE"""),"2do Trasiego")</f>
        <v>2do Trasiego</v>
      </c>
      <c r="Q996" s="2" t="b">
        <f ca="1">IFERROR(__xludf.DUMMYFUNCTION("""COMPUTED_VALUE"""),TRUE)</f>
        <v>1</v>
      </c>
      <c r="R996" s="2" t="str">
        <f ca="1">IFERROR(__xludf.DUMMYFUNCTION("""COMPUTED_VALUE"""),"2do Trasiego")</f>
        <v>2do Trasiego</v>
      </c>
      <c r="S996" s="2"/>
      <c r="T996" s="2"/>
      <c r="U996" s="2" t="str">
        <f ca="1">IFERROR(__xludf.DUMMYFUNCTION("""COMPUTED_VALUE"""),"1")</f>
        <v>1</v>
      </c>
    </row>
    <row r="997" spans="1:21" x14ac:dyDescent="0.25">
      <c r="A997" s="2" t="str">
        <f ca="1">IFERROR(__xludf.DUMMYFUNCTION("""COMPUTED_VALUE"""),"4fda659f")</f>
        <v>4fda659f</v>
      </c>
      <c r="B997" s="5">
        <f ca="1">IFERROR(__xludf.DUMMYFUNCTION("""COMPUTED_VALUE"""),45896.693449074)</f>
        <v>45896.693449074002</v>
      </c>
      <c r="C997" s="2" t="str">
        <f ca="1">IFERROR(__xludf.DUMMYFUNCTION("""COMPUTED_VALUE"""),"517dcebd")</f>
        <v>517dcebd</v>
      </c>
      <c r="D997" s="2">
        <f ca="1">IFERROR(__xludf.DUMMYFUNCTION("""COMPUTED_VALUE"""),25)</f>
        <v>25</v>
      </c>
      <c r="E997" s="2" t="str">
        <f ca="1">IFERROR(__xludf.DUMMYFUNCTION("""COMPUTED_VALUE"""),"Tinto Millan")</f>
        <v>Tinto Millan</v>
      </c>
      <c r="F997" s="2">
        <f ca="1">IFERROR(__xludf.DUMMYFUNCTION("""COMPUTED_VALUE"""),194300)</f>
        <v>194300</v>
      </c>
      <c r="G997" s="2">
        <f ca="1">IFERROR(__xludf.DUMMYFUNCTION("""COMPUTED_VALUE"""),500)</f>
        <v>500</v>
      </c>
      <c r="H997" s="2"/>
      <c r="I997" s="2"/>
      <c r="J997" s="2">
        <f ca="1">IFERROR(__xludf.DUMMYFUNCTION("""COMPUTED_VALUE"""),0)</f>
        <v>0</v>
      </c>
      <c r="K997" s="2">
        <f ca="1">IFERROR(__xludf.DUMMYFUNCTION("""COMPUTED_VALUE"""),194300)</f>
        <v>194300</v>
      </c>
      <c r="L997" s="2" t="str">
        <f ca="1">IFERROR(__xludf.DUMMYFUNCTION("""COMPUTED_VALUE"""),"93cc40dc")</f>
        <v>93cc40dc</v>
      </c>
      <c r="M997" s="2" t="str">
        <f ca="1">IFERROR(__xludf.DUMMYFUNCTION("""COMPUTED_VALUE"""),"Tinto Millan - TRASLADO")</f>
        <v>Tinto Millan - TRASLADO</v>
      </c>
      <c r="N997" s="2"/>
      <c r="O997" s="2" t="str">
        <f ca="1">IFERROR(__xludf.DUMMYFUNCTION("""COMPUTED_VALUE"""),"2do Trasiego")</f>
        <v>2do Trasiego</v>
      </c>
      <c r="P997" s="2"/>
      <c r="Q997" s="2" t="b">
        <f ca="1">IFERROR(__xludf.DUMMYFUNCTION("""COMPUTED_VALUE"""),FALSE)</f>
        <v>0</v>
      </c>
      <c r="R997" s="2" t="str">
        <f ca="1">IFERROR(__xludf.DUMMYFUNCTION("""COMPUTED_VALUE"""),"Traslado Venta")</f>
        <v>Traslado Venta</v>
      </c>
      <c r="S997" s="2"/>
      <c r="T997" s="2"/>
      <c r="U997" s="2" t="str">
        <f ca="1">IFERROR(__xludf.DUMMYFUNCTION("""COMPUTED_VALUE"""),"1")</f>
        <v>1</v>
      </c>
    </row>
    <row r="998" spans="1:21" x14ac:dyDescent="0.25">
      <c r="A998" s="2" t="str">
        <f ca="1">IFERROR(__xludf.DUMMYFUNCTION("""COMPUTED_VALUE"""),"7f96c746")</f>
        <v>7f96c746</v>
      </c>
      <c r="B998" s="5">
        <f ca="1">IFERROR(__xludf.DUMMYFUNCTION("""COMPUTED_VALUE"""),45896.693912037)</f>
        <v>45896.693912037001</v>
      </c>
      <c r="C998" s="2" t="str">
        <f ca="1">IFERROR(__xludf.DUMMYFUNCTION("""COMPUTED_VALUE"""),"a37dae6b")</f>
        <v>a37dae6b</v>
      </c>
      <c r="D998" s="2">
        <f ca="1">IFERROR(__xludf.DUMMYFUNCTION("""COMPUTED_VALUE"""),26)</f>
        <v>26</v>
      </c>
      <c r="E998" s="2" t="str">
        <f ca="1">IFERROR(__xludf.DUMMYFUNCTION("""COMPUTED_VALUE"""),"Tinto")</f>
        <v>Tinto</v>
      </c>
      <c r="F998" s="2">
        <f ca="1">IFERROR(__xludf.DUMMYFUNCTION("""COMPUTED_VALUE"""),5700)</f>
        <v>5700</v>
      </c>
      <c r="G998" s="2">
        <f ca="1">IFERROR(__xludf.DUMMYFUNCTION("""COMPUTED_VALUE"""),500)</f>
        <v>500</v>
      </c>
      <c r="H998" s="2" t="str">
        <f ca="1">IFERROR(__xludf.DUMMYFUNCTION("""COMPUTED_VALUE"""),"93cc40dc")</f>
        <v>93cc40dc</v>
      </c>
      <c r="I998" s="2" t="str">
        <f ca="1">IFERROR(__xludf.DUMMYFUNCTION("""COMPUTED_VALUE"""),"Tinto Millan - TRASLADO")</f>
        <v>Tinto Millan - TRASLADO</v>
      </c>
      <c r="J998" s="2">
        <f ca="1">IFERROR(__xludf.DUMMYFUNCTION("""COMPUTED_VALUE"""),194300)</f>
        <v>194300</v>
      </c>
      <c r="K998" s="2">
        <f ca="1">IFERROR(__xludf.DUMMYFUNCTION("""COMPUTED_VALUE"""),200000)</f>
        <v>200000</v>
      </c>
      <c r="L998" s="2" t="str">
        <f ca="1">IFERROR(__xludf.DUMMYFUNCTION("""COMPUTED_VALUE"""),"6077ee35")</f>
        <v>6077ee35</v>
      </c>
      <c r="M998" s="2" t="str">
        <f ca="1">IFERROR(__xludf.DUMMYFUNCTION("""COMPUTED_VALUE"""),"Tinto Millan - TRASLADO")</f>
        <v>Tinto Millan - TRASLADO</v>
      </c>
      <c r="N998" s="2"/>
      <c r="O998" s="2" t="str">
        <f ca="1">IFERROR(__xludf.DUMMYFUNCTION("""COMPUTED_VALUE"""),"2do Trasiego")</f>
        <v>2do Trasiego</v>
      </c>
      <c r="P998" s="2" t="str">
        <f ca="1">IFERROR(__xludf.DUMMYFUNCTION("""COMPUTED_VALUE"""),"Traslado Venta")</f>
        <v>Traslado Venta</v>
      </c>
      <c r="Q998" s="2" t="b">
        <f ca="1">IFERROR(__xludf.DUMMYFUNCTION("""COMPUTED_VALUE"""),TRUE)</f>
        <v>1</v>
      </c>
      <c r="R998" s="2" t="str">
        <f ca="1">IFERROR(__xludf.DUMMYFUNCTION("""COMPUTED_VALUE"""),"Traslado Venta")</f>
        <v>Traslado Venta</v>
      </c>
      <c r="S998" s="2"/>
      <c r="T998" s="2"/>
      <c r="U998" s="2" t="str">
        <f ca="1">IFERROR(__xludf.DUMMYFUNCTION("""COMPUTED_VALUE"""),"1")</f>
        <v>1</v>
      </c>
    </row>
    <row r="999" spans="1:21" x14ac:dyDescent="0.25">
      <c r="A999" s="2" t="str">
        <f ca="1">IFERROR(__xludf.DUMMYFUNCTION("""COMPUTED_VALUE"""),"bae769a0")</f>
        <v>bae769a0</v>
      </c>
      <c r="B999" s="5">
        <f ca="1">IFERROR(__xludf.DUMMYFUNCTION("""COMPUTED_VALUE"""),45896.6946412037)</f>
        <v>45896.6946412037</v>
      </c>
      <c r="C999" s="2" t="str">
        <f ca="1">IFERROR(__xludf.DUMMYFUNCTION("""COMPUTED_VALUE"""),"c071e804")</f>
        <v>c071e804</v>
      </c>
      <c r="D999" s="2">
        <f ca="1">IFERROR(__xludf.DUMMYFUNCTION("""COMPUTED_VALUE"""),115)</f>
        <v>115</v>
      </c>
      <c r="E999" s="2" t="str">
        <f ca="1">IFERROR(__xludf.DUMMYFUNCTION("""COMPUTED_VALUE"""),"Syrah")</f>
        <v>Syrah</v>
      </c>
      <c r="F999" s="2">
        <f ca="1">IFERROR(__xludf.DUMMYFUNCTION("""COMPUTED_VALUE"""),1000)</f>
        <v>1000</v>
      </c>
      <c r="G999" s="2">
        <f ca="1">IFERROR(__xludf.DUMMYFUNCTION("""COMPUTED_VALUE"""),500)</f>
        <v>500</v>
      </c>
      <c r="H999" s="2" t="str">
        <f ca="1">IFERROR(__xludf.DUMMYFUNCTION("""COMPUTED_VALUE"""),"6077ee35")</f>
        <v>6077ee35</v>
      </c>
      <c r="I999" s="2" t="str">
        <f ca="1">IFERROR(__xludf.DUMMYFUNCTION("""COMPUTED_VALUE"""),"Tinto Millan - TRASLADO")</f>
        <v>Tinto Millan - TRASLADO</v>
      </c>
      <c r="J999" s="2">
        <f ca="1">IFERROR(__xludf.DUMMYFUNCTION("""COMPUTED_VALUE"""),200000)</f>
        <v>200000</v>
      </c>
      <c r="K999" s="2">
        <f ca="1">IFERROR(__xludf.DUMMYFUNCTION("""COMPUTED_VALUE"""),201000)</f>
        <v>201000</v>
      </c>
      <c r="L999" s="2" t="str">
        <f ca="1">IFERROR(__xludf.DUMMYFUNCTION("""COMPUTED_VALUE"""),"441eeee9")</f>
        <v>441eeee9</v>
      </c>
      <c r="M999" s="2" t="str">
        <f ca="1">IFERROR(__xludf.DUMMYFUNCTION("""COMPUTED_VALUE"""),"Tinto Millan - TRASLADO")</f>
        <v>Tinto Millan - TRASLADO</v>
      </c>
      <c r="N999" s="2"/>
      <c r="O999" s="2" t="str">
        <f ca="1">IFERROR(__xludf.DUMMYFUNCTION("""COMPUTED_VALUE"""),"Filtrado Tang")</f>
        <v>Filtrado Tang</v>
      </c>
      <c r="P999" s="2" t="str">
        <f ca="1">IFERROR(__xludf.DUMMYFUNCTION("""COMPUTED_VALUE"""),"Traslado Venta")</f>
        <v>Traslado Venta</v>
      </c>
      <c r="Q999" s="2" t="b">
        <f ca="1">IFERROR(__xludf.DUMMYFUNCTION("""COMPUTED_VALUE"""),TRUE)</f>
        <v>1</v>
      </c>
      <c r="R999" s="2" t="str">
        <f ca="1">IFERROR(__xludf.DUMMYFUNCTION("""COMPUTED_VALUE"""),"Traslado Venta")</f>
        <v>Traslado Venta</v>
      </c>
      <c r="S999" s="2"/>
      <c r="T999" s="2"/>
      <c r="U999" s="2" t="str">
        <f ca="1">IFERROR(__xludf.DUMMYFUNCTION("""COMPUTED_VALUE"""),"1")</f>
        <v>1</v>
      </c>
    </row>
    <row r="1000" spans="1:21" x14ac:dyDescent="0.25">
      <c r="A1000" s="2" t="str">
        <f ca="1">IFERROR(__xludf.DUMMYFUNCTION("""COMPUTED_VALUE"""),"89144fca")</f>
        <v>89144fca</v>
      </c>
      <c r="B1000" s="5">
        <f ca="1">IFERROR(__xludf.DUMMYFUNCTION("""COMPUTED_VALUE"""),45896.6966666666)</f>
        <v>45896.696666666598</v>
      </c>
      <c r="C1000" s="2" t="str">
        <f ca="1">IFERROR(__xludf.DUMMYFUNCTION("""COMPUTED_VALUE"""),"a37dae6b")</f>
        <v>a37dae6b</v>
      </c>
      <c r="D1000" s="2">
        <f ca="1">IFERROR(__xludf.DUMMYFUNCTION("""COMPUTED_VALUE"""),26)</f>
        <v>26</v>
      </c>
      <c r="E1000" s="2" t="str">
        <f ca="1">IFERROR(__xludf.DUMMYFUNCTION("""COMPUTED_VALUE"""),"Tinto")</f>
        <v>Tinto</v>
      </c>
      <c r="F1000" s="2">
        <f ca="1">IFERROR(__xludf.DUMMYFUNCTION("""COMPUTED_VALUE"""),75800)</f>
        <v>75800</v>
      </c>
      <c r="G1000" s="2">
        <f ca="1">IFERROR(__xludf.DUMMYFUNCTION("""COMPUTED_VALUE"""),118)</f>
        <v>118</v>
      </c>
      <c r="H1000" s="2"/>
      <c r="I1000" s="2"/>
      <c r="J1000" s="2">
        <f ca="1">IFERROR(__xludf.DUMMYFUNCTION("""COMPUTED_VALUE"""),0)</f>
        <v>0</v>
      </c>
      <c r="K1000" s="2">
        <f ca="1">IFERROR(__xludf.DUMMYFUNCTION("""COMPUTED_VALUE"""),75800)</f>
        <v>75800</v>
      </c>
      <c r="L1000" s="2" t="str">
        <f ca="1">IFERROR(__xludf.DUMMYFUNCTION("""COMPUTED_VALUE"""),"ee79ce4b")</f>
        <v>ee79ce4b</v>
      </c>
      <c r="M1000" s="2" t="str">
        <f ca="1">IFERROR(__xludf.DUMMYFUNCTION("""COMPUTED_VALUE"""),"Tinto")</f>
        <v>Tinto</v>
      </c>
      <c r="N1000" s="2"/>
      <c r="O1000" s="2" t="str">
        <f ca="1">IFERROR(__xludf.DUMMYFUNCTION("""COMPUTED_VALUE"""),"2do Trasiego")</f>
        <v>2do Trasiego</v>
      </c>
      <c r="P1000" s="2"/>
      <c r="Q1000" s="2" t="b">
        <f ca="1">IFERROR(__xludf.DUMMYFUNCTION("""COMPUTED_VALUE"""),FALSE)</f>
        <v>0</v>
      </c>
      <c r="R1000" s="2" t="str">
        <f ca="1">IFERROR(__xludf.DUMMYFUNCTION("""COMPUTED_VALUE"""),"2do Trasiego")</f>
        <v>2do Trasiego</v>
      </c>
      <c r="S1000" s="2"/>
      <c r="T1000" s="2"/>
      <c r="U1000" s="2" t="str">
        <f ca="1">IFERROR(__xludf.DUMMYFUNCTION("""COMPUTED_VALUE"""),"1")</f>
        <v>1</v>
      </c>
    </row>
    <row r="1001" spans="1:21" x14ac:dyDescent="0.25">
      <c r="A1001" s="2" t="str">
        <f ca="1">IFERROR(__xludf.DUMMYFUNCTION("""COMPUTED_VALUE"""),"3042ecdc")</f>
        <v>3042ecdc</v>
      </c>
      <c r="B1001" s="5">
        <f ca="1">IFERROR(__xludf.DUMMYFUNCTION("""COMPUTED_VALUE"""),45896.697037037)</f>
        <v>45896.697037037004</v>
      </c>
      <c r="C1001" s="2" t="str">
        <f ca="1">IFERROR(__xludf.DUMMYFUNCTION("""COMPUTED_VALUE"""),"f42e90c8")</f>
        <v>f42e90c8</v>
      </c>
      <c r="D1001" s="2">
        <f ca="1">IFERROR(__xludf.DUMMYFUNCTION("""COMPUTED_VALUE"""),12)</f>
        <v>12</v>
      </c>
      <c r="E1001" s="2" t="str">
        <f ca="1">IFERROR(__xludf.DUMMYFUNCTION("""COMPUTED_VALUE"""),"Tinto (cl Filt)")</f>
        <v>Tinto (cl Filt)</v>
      </c>
      <c r="F1001" s="2">
        <f ca="1">IFERROR(__xludf.DUMMYFUNCTION("""COMPUTED_VALUE"""),35300)</f>
        <v>35300</v>
      </c>
      <c r="G1001" s="2">
        <f ca="1">IFERROR(__xludf.DUMMYFUNCTION("""COMPUTED_VALUE"""),118)</f>
        <v>118</v>
      </c>
      <c r="H1001" s="2" t="str">
        <f ca="1">IFERROR(__xludf.DUMMYFUNCTION("""COMPUTED_VALUE"""),"ee79ce4b")</f>
        <v>ee79ce4b</v>
      </c>
      <c r="I1001" s="2" t="str">
        <f ca="1">IFERROR(__xludf.DUMMYFUNCTION("""COMPUTED_VALUE"""),"Tinto")</f>
        <v>Tinto</v>
      </c>
      <c r="J1001" s="2">
        <f ca="1">IFERROR(__xludf.DUMMYFUNCTION("""COMPUTED_VALUE"""),75800)</f>
        <v>75800</v>
      </c>
      <c r="K1001" s="2">
        <f ca="1">IFERROR(__xludf.DUMMYFUNCTION("""COMPUTED_VALUE"""),111100)</f>
        <v>111100</v>
      </c>
      <c r="L1001" s="2" t="str">
        <f ca="1">IFERROR(__xludf.DUMMYFUNCTION("""COMPUTED_VALUE"""),"bb1b6c7c")</f>
        <v>bb1b6c7c</v>
      </c>
      <c r="M1001" s="2" t="str">
        <f ca="1">IFERROR(__xludf.DUMMYFUNCTION("""COMPUTED_VALUE"""),"Tinto Oferta")</f>
        <v>Tinto Oferta</v>
      </c>
      <c r="N1001" s="2"/>
      <c r="O1001" s="2" t="str">
        <f ca="1">IFERROR(__xludf.DUMMYFUNCTION("""COMPUTED_VALUE"""),"Filtrado Tang")</f>
        <v>Filtrado Tang</v>
      </c>
      <c r="P1001" s="2" t="str">
        <f ca="1">IFERROR(__xludf.DUMMYFUNCTION("""COMPUTED_VALUE"""),"2do Trasiego")</f>
        <v>2do Trasiego</v>
      </c>
      <c r="Q1001" s="2" t="b">
        <f ca="1">IFERROR(__xludf.DUMMYFUNCTION("""COMPUTED_VALUE"""),TRUE)</f>
        <v>1</v>
      </c>
      <c r="R1001" s="2" t="str">
        <f ca="1">IFERROR(__xludf.DUMMYFUNCTION("""COMPUTED_VALUE"""),"2do Trasiego")</f>
        <v>2do Trasiego</v>
      </c>
      <c r="S1001" s="2"/>
      <c r="T1001" s="2"/>
      <c r="U1001" s="2" t="str">
        <f ca="1">IFERROR(__xludf.DUMMYFUNCTION("""COMPUTED_VALUE"""),"1")</f>
        <v>1</v>
      </c>
    </row>
    <row r="1002" spans="1:21" x14ac:dyDescent="0.25">
      <c r="A1002" s="2" t="str">
        <f ca="1">IFERROR(__xludf.DUMMYFUNCTION("""COMPUTED_VALUE"""),"7b5a70ed")</f>
        <v>7b5a70ed</v>
      </c>
      <c r="B1002" s="5">
        <f ca="1">IFERROR(__xludf.DUMMYFUNCTION("""COMPUTED_VALUE"""),45896.6981712962)</f>
        <v>45896.698171296201</v>
      </c>
      <c r="C1002" s="2" t="str">
        <f ca="1">IFERROR(__xludf.DUMMYFUNCTION("""COMPUTED_VALUE"""),"029c104a")</f>
        <v>029c104a</v>
      </c>
      <c r="D1002" s="2">
        <f ca="1">IFERROR(__xludf.DUMMYFUNCTION("""COMPUTED_VALUE"""),104)</f>
        <v>104</v>
      </c>
      <c r="E1002" s="2" t="str">
        <f ca="1">IFERROR(__xludf.DUMMYFUNCTION("""COMPUTED_VALUE"""),"Bonarda")</f>
        <v>Bonarda</v>
      </c>
      <c r="F1002" s="2">
        <f ca="1">IFERROR(__xludf.DUMMYFUNCTION("""COMPUTED_VALUE"""),26900)</f>
        <v>26900</v>
      </c>
      <c r="G1002" s="2">
        <f ca="1">IFERROR(__xludf.DUMMYFUNCTION("""COMPUTED_VALUE"""),118)</f>
        <v>118</v>
      </c>
      <c r="H1002" s="2" t="str">
        <f ca="1">IFERROR(__xludf.DUMMYFUNCTION("""COMPUTED_VALUE"""),"bb1b6c7c")</f>
        <v>bb1b6c7c</v>
      </c>
      <c r="I1002" s="2" t="str">
        <f ca="1">IFERROR(__xludf.DUMMYFUNCTION("""COMPUTED_VALUE"""),"Tinto Oferta")</f>
        <v>Tinto Oferta</v>
      </c>
      <c r="J1002" s="2">
        <f ca="1">IFERROR(__xludf.DUMMYFUNCTION("""COMPUTED_VALUE"""),111100)</f>
        <v>111100</v>
      </c>
      <c r="K1002" s="2">
        <f ca="1">IFERROR(__xludf.DUMMYFUNCTION("""COMPUTED_VALUE"""),138000)</f>
        <v>138000</v>
      </c>
      <c r="L1002" s="2" t="str">
        <f ca="1">IFERROR(__xludf.DUMMYFUNCTION("""COMPUTED_VALUE"""),"9bd59a13")</f>
        <v>9bd59a13</v>
      </c>
      <c r="M1002" s="2" t="str">
        <f ca="1">IFERROR(__xludf.DUMMYFUNCTION("""COMPUTED_VALUE"""),"Tinto Oferta")</f>
        <v>Tinto Oferta</v>
      </c>
      <c r="N1002" s="2"/>
      <c r="O1002" s="2" t="str">
        <f ca="1">IFERROR(__xludf.DUMMYFUNCTION("""COMPUTED_VALUE"""),"2do Trasiego")</f>
        <v>2do Trasiego</v>
      </c>
      <c r="P1002" s="2" t="str">
        <f ca="1">IFERROR(__xludf.DUMMYFUNCTION("""COMPUTED_VALUE"""),"2do Trasiego")</f>
        <v>2do Trasiego</v>
      </c>
      <c r="Q1002" s="2" t="b">
        <f ca="1">IFERROR(__xludf.DUMMYFUNCTION("""COMPUTED_VALUE"""),TRUE)</f>
        <v>1</v>
      </c>
      <c r="R1002" s="2" t="str">
        <f ca="1">IFERROR(__xludf.DUMMYFUNCTION("""COMPUTED_VALUE"""),"2do Trasiego")</f>
        <v>2do Trasiego</v>
      </c>
      <c r="S1002" s="2"/>
      <c r="T1002" s="2"/>
      <c r="U1002" s="2" t="str">
        <f ca="1">IFERROR(__xludf.DUMMYFUNCTION("""COMPUTED_VALUE"""),"1")</f>
        <v>1</v>
      </c>
    </row>
    <row r="1003" spans="1:21" x14ac:dyDescent="0.25">
      <c r="A1003" s="2" t="str">
        <f ca="1">IFERROR(__xludf.DUMMYFUNCTION("""COMPUTED_VALUE"""),"21c674cd")</f>
        <v>21c674cd</v>
      </c>
      <c r="B1003" s="5">
        <f ca="1">IFERROR(__xludf.DUMMYFUNCTION("""COMPUTED_VALUE"""),45896.6984606481)</f>
        <v>45896.698460648098</v>
      </c>
      <c r="C1003" s="2" t="str">
        <f ca="1">IFERROR(__xludf.DUMMYFUNCTION("""COMPUTED_VALUE"""),"57a4fe30")</f>
        <v>57a4fe30</v>
      </c>
      <c r="D1003" s="2">
        <f ca="1">IFERROR(__xludf.DUMMYFUNCTION("""COMPUTED_VALUE"""),105)</f>
        <v>105</v>
      </c>
      <c r="E1003" s="2" t="str">
        <f ca="1">IFERROR(__xludf.DUMMYFUNCTION("""COMPUTED_VALUE"""),"Bonarda")</f>
        <v>Bonarda</v>
      </c>
      <c r="F1003" s="2">
        <f ca="1">IFERROR(__xludf.DUMMYFUNCTION("""COMPUTED_VALUE"""),17600)</f>
        <v>17600</v>
      </c>
      <c r="G1003" s="2">
        <f ca="1">IFERROR(__xludf.DUMMYFUNCTION("""COMPUTED_VALUE"""),118)</f>
        <v>118</v>
      </c>
      <c r="H1003" s="2" t="str">
        <f ca="1">IFERROR(__xludf.DUMMYFUNCTION("""COMPUTED_VALUE"""),"9bd59a13")</f>
        <v>9bd59a13</v>
      </c>
      <c r="I1003" s="2" t="str">
        <f ca="1">IFERROR(__xludf.DUMMYFUNCTION("""COMPUTED_VALUE"""),"Tinto Oferta")</f>
        <v>Tinto Oferta</v>
      </c>
      <c r="J1003" s="2">
        <f ca="1">IFERROR(__xludf.DUMMYFUNCTION("""COMPUTED_VALUE"""),138000)</f>
        <v>138000</v>
      </c>
      <c r="K1003" s="2">
        <f ca="1">IFERROR(__xludf.DUMMYFUNCTION("""COMPUTED_VALUE"""),155600)</f>
        <v>155600</v>
      </c>
      <c r="L1003" s="2" t="str">
        <f ca="1">IFERROR(__xludf.DUMMYFUNCTION("""COMPUTED_VALUE"""),"76fe7029")</f>
        <v>76fe7029</v>
      </c>
      <c r="M1003" s="2" t="str">
        <f ca="1">IFERROR(__xludf.DUMMYFUNCTION("""COMPUTED_VALUE"""),"Bonarda")</f>
        <v>Bonarda</v>
      </c>
      <c r="N1003" s="2"/>
      <c r="O1003" s="2" t="str">
        <f ca="1">IFERROR(__xludf.DUMMYFUNCTION("""COMPUTED_VALUE"""),"2do Trasiego")</f>
        <v>2do Trasiego</v>
      </c>
      <c r="P1003" s="2" t="str">
        <f ca="1">IFERROR(__xludf.DUMMYFUNCTION("""COMPUTED_VALUE"""),"2do Trasiego")</f>
        <v>2do Trasiego</v>
      </c>
      <c r="Q1003" s="2" t="b">
        <f ca="1">IFERROR(__xludf.DUMMYFUNCTION("""COMPUTED_VALUE"""),FALSE)</f>
        <v>0</v>
      </c>
      <c r="R1003" s="2" t="str">
        <f ca="1">IFERROR(__xludf.DUMMYFUNCTION("""COMPUTED_VALUE"""),"2do Trasiego")</f>
        <v>2do Trasiego</v>
      </c>
      <c r="S1003" s="2"/>
      <c r="T1003" s="2"/>
      <c r="U1003" s="2" t="str">
        <f ca="1">IFERROR(__xludf.DUMMYFUNCTION("""COMPUTED_VALUE"""),"1+")</f>
        <v>1+</v>
      </c>
    </row>
    <row r="1004" spans="1:21" x14ac:dyDescent="0.25">
      <c r="A1004" s="2" t="str">
        <f ca="1">IFERROR(__xludf.DUMMYFUNCTION("""COMPUTED_VALUE"""),"93a6f395")</f>
        <v>93a6f395</v>
      </c>
      <c r="B1004" s="5">
        <f ca="1">IFERROR(__xludf.DUMMYFUNCTION("""COMPUTED_VALUE"""),45898.416574074)</f>
        <v>45898.416574073999</v>
      </c>
      <c r="C1004" s="2" t="str">
        <f ca="1">IFERROR(__xludf.DUMMYFUNCTION("""COMPUTED_VALUE"""),"502df566")</f>
        <v>502df566</v>
      </c>
      <c r="D1004" s="2">
        <f ca="1">IFERROR(__xludf.DUMMYFUNCTION("""COMPUTED_VALUE"""),87)</f>
        <v>87</v>
      </c>
      <c r="E1004" s="2" t="str">
        <f ca="1">IFERROR(__xludf.DUMMYFUNCTION("""COMPUTED_VALUE"""),"Syrah")</f>
        <v>Syrah</v>
      </c>
      <c r="F1004" s="2">
        <f ca="1">IFERROR(__xludf.DUMMYFUNCTION("""COMPUTED_VALUE"""),30000)</f>
        <v>30000</v>
      </c>
      <c r="G1004" s="2">
        <f ca="1">IFERROR(__xludf.DUMMYFUNCTION("""COMPUTED_VALUE"""),115)</f>
        <v>115</v>
      </c>
      <c r="H1004" s="2" t="str">
        <f ca="1">IFERROR(__xludf.DUMMYFUNCTION("""COMPUTED_VALUE"""),"c071e804")</f>
        <v>c071e804</v>
      </c>
      <c r="I1004" s="2" t="str">
        <f ca="1">IFERROR(__xludf.DUMMYFUNCTION("""COMPUTED_VALUE"""),"Syrah")</f>
        <v>Syrah</v>
      </c>
      <c r="J1004" s="2">
        <f ca="1">IFERROR(__xludf.DUMMYFUNCTION("""COMPUTED_VALUE"""),35445)</f>
        <v>35445</v>
      </c>
      <c r="K1004" s="2">
        <f ca="1">IFERROR(__xludf.DUMMYFUNCTION("""COMPUTED_VALUE"""),65445)</f>
        <v>65445</v>
      </c>
      <c r="L1004" s="2" t="str">
        <f ca="1">IFERROR(__xludf.DUMMYFUNCTION("""COMPUTED_VALUE"""),"8750949f")</f>
        <v>8750949f</v>
      </c>
      <c r="M1004" s="2" t="str">
        <f ca="1">IFERROR(__xludf.DUMMYFUNCTION("""COMPUTED_VALUE"""),"Syrah")</f>
        <v>Syrah</v>
      </c>
      <c r="N1004" s="2"/>
      <c r="O1004" s="2" t="str">
        <f ca="1">IFERROR(__xludf.DUMMYFUNCTION("""COMPUTED_VALUE"""),"2do Trasiego")</f>
        <v>2do Trasiego</v>
      </c>
      <c r="P1004" s="2" t="str">
        <f ca="1">IFERROR(__xludf.DUMMYFUNCTION("""COMPUTED_VALUE"""),"Filtrado Tang")</f>
        <v>Filtrado Tang</v>
      </c>
      <c r="Q1004" s="2" t="b">
        <f ca="1">IFERROR(__xludf.DUMMYFUNCTION("""COMPUTED_VALUE"""),TRUE)</f>
        <v>1</v>
      </c>
      <c r="R1004" s="2" t="str">
        <f ca="1">IFERROR(__xludf.DUMMYFUNCTION("""COMPUTED_VALUE"""),"Filtrado Tang")</f>
        <v>Filtrado Tang</v>
      </c>
      <c r="S1004" s="2"/>
      <c r="T1004" s="2"/>
      <c r="U1004" s="2" t="str">
        <f ca="1">IFERROR(__xludf.DUMMYFUNCTION("""COMPUTED_VALUE"""),"1")</f>
        <v>1</v>
      </c>
    </row>
    <row r="1005" spans="1:21" x14ac:dyDescent="0.25">
      <c r="A1005" s="2" t="str">
        <f ca="1">IFERROR(__xludf.DUMMYFUNCTION("""COMPUTED_VALUE"""),"18fe0ae3")</f>
        <v>18fe0ae3</v>
      </c>
      <c r="B1005" s="5">
        <f ca="1">IFERROR(__xludf.DUMMYFUNCTION("""COMPUTED_VALUE"""),45898.4169097222)</f>
        <v>45898.416909722197</v>
      </c>
      <c r="C1005" s="2" t="str">
        <f ca="1">IFERROR(__xludf.DUMMYFUNCTION("""COMPUTED_VALUE"""),"502df566")</f>
        <v>502df566</v>
      </c>
      <c r="D1005" s="2">
        <f ca="1">IFERROR(__xludf.DUMMYFUNCTION("""COMPUTED_VALUE"""),87)</f>
        <v>87</v>
      </c>
      <c r="E1005" s="2" t="str">
        <f ca="1">IFERROR(__xludf.DUMMYFUNCTION("""COMPUTED_VALUE"""),"Syrah")</f>
        <v>Syrah</v>
      </c>
      <c r="F1005" s="2">
        <f ca="1">IFERROR(__xludf.DUMMYFUNCTION("""COMPUTED_VALUE"""),29000)</f>
        <v>29000</v>
      </c>
      <c r="G1005" s="2">
        <f ca="1">IFERROR(__xludf.DUMMYFUNCTION("""COMPUTED_VALUE"""),115)</f>
        <v>115</v>
      </c>
      <c r="H1005" s="2" t="str">
        <f ca="1">IFERROR(__xludf.DUMMYFUNCTION("""COMPUTED_VALUE"""),"8750949f")</f>
        <v>8750949f</v>
      </c>
      <c r="I1005" s="2" t="str">
        <f ca="1">IFERROR(__xludf.DUMMYFUNCTION("""COMPUTED_VALUE"""),"Syrah")</f>
        <v>Syrah</v>
      </c>
      <c r="J1005" s="2">
        <f ca="1">IFERROR(__xludf.DUMMYFUNCTION("""COMPUTED_VALUE"""),65445)</f>
        <v>65445</v>
      </c>
      <c r="K1005" s="2">
        <f ca="1">IFERROR(__xludf.DUMMYFUNCTION("""COMPUTED_VALUE"""),94445)</f>
        <v>94445</v>
      </c>
      <c r="L1005" s="2" t="str">
        <f ca="1">IFERROR(__xludf.DUMMYFUNCTION("""COMPUTED_VALUE"""),"8ef62a8f")</f>
        <v>8ef62a8f</v>
      </c>
      <c r="M1005" s="2" t="str">
        <f ca="1">IFERROR(__xludf.DUMMYFUNCTION("""COMPUTED_VALUE"""),"Syrah")</f>
        <v>Syrah</v>
      </c>
      <c r="N1005" s="2"/>
      <c r="O1005" s="2" t="str">
        <f ca="1">IFERROR(__xludf.DUMMYFUNCTION("""COMPUTED_VALUE"""),"2do Trasiego")</f>
        <v>2do Trasiego</v>
      </c>
      <c r="P1005" s="2" t="str">
        <f ca="1">IFERROR(__xludf.DUMMYFUNCTION("""COMPUTED_VALUE"""),"Filtrado Tang")</f>
        <v>Filtrado Tang</v>
      </c>
      <c r="Q1005" s="2" t="b">
        <f ca="1">IFERROR(__xludf.DUMMYFUNCTION("""COMPUTED_VALUE"""),TRUE)</f>
        <v>1</v>
      </c>
      <c r="R1005" s="2" t="str">
        <f ca="1">IFERROR(__xludf.DUMMYFUNCTION("""COMPUTED_VALUE"""),"Filtrado Tang")</f>
        <v>Filtrado Tang</v>
      </c>
      <c r="S1005" s="2"/>
      <c r="T1005" s="2"/>
      <c r="U1005" s="2" t="str">
        <f ca="1">IFERROR(__xludf.DUMMYFUNCTION("""COMPUTED_VALUE"""),"1")</f>
        <v>1</v>
      </c>
    </row>
    <row r="1006" spans="1:21" x14ac:dyDescent="0.25">
      <c r="A1006" s="2" t="str">
        <f ca="1">IFERROR(__xludf.DUMMYFUNCTION("""COMPUTED_VALUE"""),"d17b40bb")</f>
        <v>d17b40bb</v>
      </c>
      <c r="B1006" s="5">
        <f ca="1">IFERROR(__xludf.DUMMYFUNCTION("""COMPUTED_VALUE"""),45898.4173379629)</f>
        <v>45898.417337962899</v>
      </c>
      <c r="C1006" s="2" t="str">
        <f ca="1">IFERROR(__xludf.DUMMYFUNCTION("""COMPUTED_VALUE"""),"502df566")</f>
        <v>502df566</v>
      </c>
      <c r="D1006" s="2">
        <f ca="1">IFERROR(__xludf.DUMMYFUNCTION("""COMPUTED_VALUE"""),87)</f>
        <v>87</v>
      </c>
      <c r="E1006" s="2" t="str">
        <f ca="1">IFERROR(__xludf.DUMMYFUNCTION("""COMPUTED_VALUE"""),"Syrah")</f>
        <v>Syrah</v>
      </c>
      <c r="F1006" s="2">
        <f ca="1">IFERROR(__xludf.DUMMYFUNCTION("""COMPUTED_VALUE"""),1000)</f>
        <v>1000</v>
      </c>
      <c r="G1006" s="2">
        <f ca="1">IFERROR(__xludf.DUMMYFUNCTION("""COMPUTED_VALUE"""),500)</f>
        <v>500</v>
      </c>
      <c r="H1006" s="2" t="str">
        <f ca="1">IFERROR(__xludf.DUMMYFUNCTION("""COMPUTED_VALUE"""),"441eeee9")</f>
        <v>441eeee9</v>
      </c>
      <c r="I1006" s="2" t="str">
        <f ca="1">IFERROR(__xludf.DUMMYFUNCTION("""COMPUTED_VALUE"""),"Tinto Millan - TRASLADO")</f>
        <v>Tinto Millan - TRASLADO</v>
      </c>
      <c r="J1006" s="2">
        <f ca="1">IFERROR(__xludf.DUMMYFUNCTION("""COMPUTED_VALUE"""),201000)</f>
        <v>201000</v>
      </c>
      <c r="K1006" s="2">
        <f ca="1">IFERROR(__xludf.DUMMYFUNCTION("""COMPUTED_VALUE"""),202000)</f>
        <v>202000</v>
      </c>
      <c r="L1006" s="2" t="str">
        <f ca="1">IFERROR(__xludf.DUMMYFUNCTION("""COMPUTED_VALUE"""),"10c2b4f5")</f>
        <v>10c2b4f5</v>
      </c>
      <c r="M1006" s="2" t="str">
        <f ca="1">IFERROR(__xludf.DUMMYFUNCTION("""COMPUTED_VALUE"""),"Tinto Millan - TRASLADO")</f>
        <v>Tinto Millan - TRASLADO</v>
      </c>
      <c r="N1006" s="2"/>
      <c r="O1006" s="2" t="str">
        <f ca="1">IFERROR(__xludf.DUMMYFUNCTION("""COMPUTED_VALUE"""),"2do Trasiego")</f>
        <v>2do Trasiego</v>
      </c>
      <c r="P1006" s="2" t="str">
        <f ca="1">IFERROR(__xludf.DUMMYFUNCTION("""COMPUTED_VALUE"""),"Traslado Venta")</f>
        <v>Traslado Venta</v>
      </c>
      <c r="Q1006" s="2" t="b">
        <f ca="1">IFERROR(__xludf.DUMMYFUNCTION("""COMPUTED_VALUE"""),TRUE)</f>
        <v>1</v>
      </c>
      <c r="R1006" s="2" t="str">
        <f ca="1">IFERROR(__xludf.DUMMYFUNCTION("""COMPUTED_VALUE"""),"Traslado Venta")</f>
        <v>Traslado Venta</v>
      </c>
      <c r="S1006" s="2"/>
      <c r="T1006" s="2"/>
      <c r="U1006" s="2" t="str">
        <f ca="1">IFERROR(__xludf.DUMMYFUNCTION("""COMPUTED_VALUE"""),"1")</f>
        <v>1</v>
      </c>
    </row>
    <row r="1007" spans="1:21" x14ac:dyDescent="0.25">
      <c r="A1007" s="2" t="str">
        <f ca="1">IFERROR(__xludf.DUMMYFUNCTION("""COMPUTED_VALUE"""),"19318eb1")</f>
        <v>19318eb1</v>
      </c>
      <c r="B1007" s="5">
        <f ca="1">IFERROR(__xludf.DUMMYFUNCTION("""COMPUTED_VALUE"""),45898.4575694444)</f>
        <v>45898.457569444399</v>
      </c>
      <c r="C1007" s="2" t="str">
        <f ca="1">IFERROR(__xludf.DUMMYFUNCTION("""COMPUTED_VALUE"""),"502df566")</f>
        <v>502df566</v>
      </c>
      <c r="D1007" s="2">
        <f ca="1">IFERROR(__xludf.DUMMYFUNCTION("""COMPUTED_VALUE"""),87)</f>
        <v>87</v>
      </c>
      <c r="E1007" s="2" t="str">
        <f ca="1">IFERROR(__xludf.DUMMYFUNCTION("""COMPUTED_VALUE"""),"Syrah")</f>
        <v>Syrah</v>
      </c>
      <c r="F1007" s="2">
        <f ca="1">IFERROR(__xludf.DUMMYFUNCTION("""COMPUTED_VALUE"""),1000)</f>
        <v>1000</v>
      </c>
      <c r="G1007" s="2">
        <f ca="1">IFERROR(__xludf.DUMMYFUNCTION("""COMPUTED_VALUE"""),72)</f>
        <v>72</v>
      </c>
      <c r="H1007" s="2" t="str">
        <f ca="1">IFERROR(__xludf.DUMMYFUNCTION("""COMPUTED_VALUE"""),"803a2a0f")</f>
        <v>803a2a0f</v>
      </c>
      <c r="I1007" s="2" t="str">
        <f ca="1">IFERROR(__xludf.DUMMYFUNCTION("""COMPUTED_VALUE"""),"Aspirant Anccelota Gota")</f>
        <v>Aspirant Anccelota Gota</v>
      </c>
      <c r="J1007" s="2">
        <f ca="1">IFERROR(__xludf.DUMMYFUNCTION("""COMPUTED_VALUE"""),12000)</f>
        <v>12000</v>
      </c>
      <c r="K1007" s="2">
        <f ca="1">IFERROR(__xludf.DUMMYFUNCTION("""COMPUTED_VALUE"""),13000)</f>
        <v>13000</v>
      </c>
      <c r="L1007" s="2" t="str">
        <f ca="1">IFERROR(__xludf.DUMMYFUNCTION("""COMPUTED_VALUE"""),"b9a9005f")</f>
        <v>b9a9005f</v>
      </c>
      <c r="M1007" s="2" t="str">
        <f ca="1">IFERROR(__xludf.DUMMYFUNCTION("""COMPUTED_VALUE"""),"Aspirant Anccelota Gota")</f>
        <v>Aspirant Anccelota Gota</v>
      </c>
      <c r="N1007" s="2"/>
      <c r="O1007" s="2" t="str">
        <f ca="1">IFERROR(__xludf.DUMMYFUNCTION("""COMPUTED_VALUE"""),"2do Trasiego")</f>
        <v>2do Trasiego</v>
      </c>
      <c r="P1007" s="2" t="str">
        <f ca="1">IFERROR(__xludf.DUMMYFUNCTION("""COMPUTED_VALUE"""),"2do Trasiego")</f>
        <v>2do Trasiego</v>
      </c>
      <c r="Q1007" s="2" t="b">
        <f ca="1">IFERROR(__xludf.DUMMYFUNCTION("""COMPUTED_VALUE"""),TRUE)</f>
        <v>1</v>
      </c>
      <c r="R1007" s="2" t="str">
        <f ca="1">IFERROR(__xludf.DUMMYFUNCTION("""COMPUTED_VALUE"""),"2do Trasiego")</f>
        <v>2do Trasiego</v>
      </c>
      <c r="S1007" s="2"/>
      <c r="T1007" s="2"/>
      <c r="U1007" s="2"/>
    </row>
    <row r="1008" spans="1:21" x14ac:dyDescent="0.25">
      <c r="A1008" s="2" t="str">
        <f ca="1">IFERROR(__xludf.DUMMYFUNCTION("""COMPUTED_VALUE"""),"8e5c0a07")</f>
        <v>8e5c0a07</v>
      </c>
      <c r="B1008" s="5">
        <f ca="1">IFERROR(__xludf.DUMMYFUNCTION("""COMPUTED_VALUE"""),45901.7196875)</f>
        <v>45901.719687500001</v>
      </c>
      <c r="C1008" s="2" t="str">
        <f ca="1">IFERROR(__xludf.DUMMYFUNCTION("""COMPUTED_VALUE"""),"502df566")</f>
        <v>502df566</v>
      </c>
      <c r="D1008" s="2">
        <f ca="1">IFERROR(__xludf.DUMMYFUNCTION("""COMPUTED_VALUE"""),87)</f>
        <v>87</v>
      </c>
      <c r="E1008" s="2" t="str">
        <f ca="1">IFERROR(__xludf.DUMMYFUNCTION("""COMPUTED_VALUE"""),"Syrah")</f>
        <v>Syrah</v>
      </c>
      <c r="F1008" s="2">
        <f ca="1">IFERROR(__xludf.DUMMYFUNCTION("""COMPUTED_VALUE"""),2700)</f>
        <v>2700</v>
      </c>
      <c r="G1008" s="2">
        <f ca="1">IFERROR(__xludf.DUMMYFUNCTION("""COMPUTED_VALUE"""),115)</f>
        <v>115</v>
      </c>
      <c r="H1008" s="2" t="str">
        <f ca="1">IFERROR(__xludf.DUMMYFUNCTION("""COMPUTED_VALUE"""),"8ef62a8f")</f>
        <v>8ef62a8f</v>
      </c>
      <c r="I1008" s="2" t="str">
        <f ca="1">IFERROR(__xludf.DUMMYFUNCTION("""COMPUTED_VALUE"""),"Syrah")</f>
        <v>Syrah</v>
      </c>
      <c r="J1008" s="2">
        <f ca="1">IFERROR(__xludf.DUMMYFUNCTION("""COMPUTED_VALUE"""),94445)</f>
        <v>94445</v>
      </c>
      <c r="K1008" s="2">
        <f ca="1">IFERROR(__xludf.DUMMYFUNCTION("""COMPUTED_VALUE"""),97145)</f>
        <v>97145</v>
      </c>
      <c r="L1008" s="2" t="str">
        <f ca="1">IFERROR(__xludf.DUMMYFUNCTION("""COMPUTED_VALUE"""),"cbf6ba5a")</f>
        <v>cbf6ba5a</v>
      </c>
      <c r="M1008" s="2" t="str">
        <f ca="1">IFERROR(__xludf.DUMMYFUNCTION("""COMPUTED_VALUE"""),"Syrah")</f>
        <v>Syrah</v>
      </c>
      <c r="N1008" s="2"/>
      <c r="O1008" s="2" t="str">
        <f ca="1">IFERROR(__xludf.DUMMYFUNCTION("""COMPUTED_VALUE"""),"2do Trasiego")</f>
        <v>2do Trasiego</v>
      </c>
      <c r="P1008" s="2" t="str">
        <f ca="1">IFERROR(__xludf.DUMMYFUNCTION("""COMPUTED_VALUE"""),"Filtrado Tang")</f>
        <v>Filtrado Tang</v>
      </c>
      <c r="Q1008" s="2" t="b">
        <f ca="1">IFERROR(__xludf.DUMMYFUNCTION("""COMPUTED_VALUE"""),TRUE)</f>
        <v>1</v>
      </c>
      <c r="R1008" s="2" t="str">
        <f ca="1">IFERROR(__xludf.DUMMYFUNCTION("""COMPUTED_VALUE"""),"Filtrado Tang")</f>
        <v>Filtrado Tang</v>
      </c>
      <c r="S1008" s="2"/>
      <c r="T1008" s="2"/>
      <c r="U1008" s="2" t="str">
        <f ca="1">IFERROR(__xludf.DUMMYFUNCTION("""COMPUTED_VALUE"""),"1")</f>
        <v>1</v>
      </c>
    </row>
    <row r="1009" spans="1:21" x14ac:dyDescent="0.25">
      <c r="A1009" s="2" t="str">
        <f ca="1">IFERROR(__xludf.DUMMYFUNCTION("""COMPUTED_VALUE"""),"2816317b")</f>
        <v>2816317b</v>
      </c>
      <c r="B1009" s="5">
        <f ca="1">IFERROR(__xludf.DUMMYFUNCTION("""COMPUTED_VALUE"""),45901.7202314814)</f>
        <v>45901.720231481399</v>
      </c>
      <c r="C1009" s="2" t="str">
        <f ca="1">IFERROR(__xludf.DUMMYFUNCTION("""COMPUTED_VALUE"""),"57a4fe30")</f>
        <v>57a4fe30</v>
      </c>
      <c r="D1009" s="2">
        <f ca="1">IFERROR(__xludf.DUMMYFUNCTION("""COMPUTED_VALUE"""),105)</f>
        <v>105</v>
      </c>
      <c r="E1009" s="2" t="str">
        <f ca="1">IFERROR(__xludf.DUMMYFUNCTION("""COMPUTED_VALUE"""),"Bonarda")</f>
        <v>Bonarda</v>
      </c>
      <c r="F1009" s="2">
        <f ca="1">IFERROR(__xludf.DUMMYFUNCTION("""COMPUTED_VALUE"""),10905)</f>
        <v>10905</v>
      </c>
      <c r="G1009" s="2">
        <f ca="1">IFERROR(__xludf.DUMMYFUNCTION("""COMPUTED_VALUE"""),115)</f>
        <v>115</v>
      </c>
      <c r="H1009" s="2" t="str">
        <f ca="1">IFERROR(__xludf.DUMMYFUNCTION("""COMPUTED_VALUE"""),"cbf6ba5a")</f>
        <v>cbf6ba5a</v>
      </c>
      <c r="I1009" s="2" t="str">
        <f ca="1">IFERROR(__xludf.DUMMYFUNCTION("""COMPUTED_VALUE"""),"Syrah")</f>
        <v>Syrah</v>
      </c>
      <c r="J1009" s="2">
        <f ca="1">IFERROR(__xludf.DUMMYFUNCTION("""COMPUTED_VALUE"""),97145)</f>
        <v>97145</v>
      </c>
      <c r="K1009" s="2">
        <f ca="1">IFERROR(__xludf.DUMMYFUNCTION("""COMPUTED_VALUE"""),108050)</f>
        <v>108050</v>
      </c>
      <c r="L1009" s="2" t="str">
        <f ca="1">IFERROR(__xludf.DUMMYFUNCTION("""COMPUTED_VALUE"""),"1a994530")</f>
        <v>1a994530</v>
      </c>
      <c r="M1009" s="2" t="str">
        <f ca="1">IFERROR(__xludf.DUMMYFUNCTION("""COMPUTED_VALUE"""),"Syrah")</f>
        <v>Syrah</v>
      </c>
      <c r="N1009" s="2"/>
      <c r="O1009" s="2" t="str">
        <f ca="1">IFERROR(__xludf.DUMMYFUNCTION("""COMPUTED_VALUE"""),"2do Trasiego")</f>
        <v>2do Trasiego</v>
      </c>
      <c r="P1009" s="2" t="str">
        <f ca="1">IFERROR(__xludf.DUMMYFUNCTION("""COMPUTED_VALUE"""),"Filtrado Tang")</f>
        <v>Filtrado Tang</v>
      </c>
      <c r="Q1009" s="2" t="b">
        <f ca="1">IFERROR(__xludf.DUMMYFUNCTION("""COMPUTED_VALUE"""),TRUE)</f>
        <v>1</v>
      </c>
      <c r="R1009" s="2" t="str">
        <f ca="1">IFERROR(__xludf.DUMMYFUNCTION("""COMPUTED_VALUE"""),"Filtrado Tang")</f>
        <v>Filtrado Tang</v>
      </c>
      <c r="S1009" s="2"/>
      <c r="T1009" s="2"/>
      <c r="U1009" s="2" t="str">
        <f ca="1">IFERROR(__xludf.DUMMYFUNCTION("""COMPUTED_VALUE"""),"1")</f>
        <v>1</v>
      </c>
    </row>
    <row r="1010" spans="1:21" x14ac:dyDescent="0.25">
      <c r="A1010" s="2" t="str">
        <f ca="1">IFERROR(__xludf.DUMMYFUNCTION("""COMPUTED_VALUE"""),"3468869f")</f>
        <v>3468869f</v>
      </c>
      <c r="B1010" s="5">
        <f ca="1">IFERROR(__xludf.DUMMYFUNCTION("""COMPUTED_VALUE"""),45901.721875)</f>
        <v>45901.721875000003</v>
      </c>
      <c r="C1010" s="2" t="str">
        <f ca="1">IFERROR(__xludf.DUMMYFUNCTION("""COMPUTED_VALUE"""),"57a4fe30")</f>
        <v>57a4fe30</v>
      </c>
      <c r="D1010" s="2">
        <f ca="1">IFERROR(__xludf.DUMMYFUNCTION("""COMPUTED_VALUE"""),105)</f>
        <v>105</v>
      </c>
      <c r="E1010" s="2" t="str">
        <f ca="1">IFERROR(__xludf.DUMMYFUNCTION("""COMPUTED_VALUE"""),"Bonarda")</f>
        <v>Bonarda</v>
      </c>
      <c r="F1010" s="2">
        <f ca="1">IFERROR(__xludf.DUMMYFUNCTION("""COMPUTED_VALUE"""),2495)</f>
        <v>2495</v>
      </c>
      <c r="G1010" s="2">
        <f ca="1">IFERROR(__xludf.DUMMYFUNCTION("""COMPUTED_VALUE"""),500)</f>
        <v>500</v>
      </c>
      <c r="H1010" s="2" t="str">
        <f ca="1">IFERROR(__xludf.DUMMYFUNCTION("""COMPUTED_VALUE"""),"182229c6")</f>
        <v>182229c6</v>
      </c>
      <c r="I1010" s="2" t="str">
        <f ca="1">IFERROR(__xludf.DUMMYFUNCTION("""COMPUTED_VALUE"""),"Ajuste Arqueo 01/09/25")</f>
        <v>Ajuste Arqueo 01/09/25</v>
      </c>
      <c r="J1010" s="2">
        <f ca="1">IFERROR(__xludf.DUMMYFUNCTION("""COMPUTED_VALUE"""),0)</f>
        <v>0</v>
      </c>
      <c r="K1010" s="2">
        <f ca="1">IFERROR(__xludf.DUMMYFUNCTION("""COMPUTED_VALUE"""),2495)</f>
        <v>2495</v>
      </c>
      <c r="L1010" s="2" t="str">
        <f ca="1">IFERROR(__xludf.DUMMYFUNCTION("""COMPUTED_VALUE"""),"69104da7")</f>
        <v>69104da7</v>
      </c>
      <c r="M1010" s="2" t="str">
        <f ca="1">IFERROR(__xludf.DUMMYFUNCTION("""COMPUTED_VALUE"""),"Ajuste Arqueo 01/09/25")</f>
        <v>Ajuste Arqueo 01/09/25</v>
      </c>
      <c r="N1010" s="2"/>
      <c r="O1010" s="2" t="str">
        <f ca="1">IFERROR(__xludf.DUMMYFUNCTION("""COMPUTED_VALUE"""),"2do Trasiego")</f>
        <v>2do Trasiego</v>
      </c>
      <c r="P1010" s="2"/>
      <c r="Q1010" s="2" t="b">
        <f ca="1">IFERROR(__xludf.DUMMYFUNCTION("""COMPUTED_VALUE"""),TRUE)</f>
        <v>1</v>
      </c>
      <c r="R1010" s="2"/>
      <c r="S1010" s="2"/>
      <c r="T1010" s="2"/>
      <c r="U1010" s="2"/>
    </row>
    <row r="1011" spans="1:21" x14ac:dyDescent="0.25">
      <c r="A1011" s="2" t="str">
        <f ca="1">IFERROR(__xludf.DUMMYFUNCTION("""COMPUTED_VALUE"""),"aaa5955d")</f>
        <v>aaa5955d</v>
      </c>
      <c r="B1011" s="5">
        <f ca="1">IFERROR(__xludf.DUMMYFUNCTION("""COMPUTED_VALUE"""),45901.7223148148)</f>
        <v>45901.722314814797</v>
      </c>
      <c r="C1011" s="2" t="str">
        <f ca="1">IFERROR(__xludf.DUMMYFUNCTION("""COMPUTED_VALUE"""),"bda36e57")</f>
        <v>bda36e57</v>
      </c>
      <c r="D1011" s="2">
        <f ca="1">IFERROR(__xludf.DUMMYFUNCTION("""COMPUTED_VALUE"""),90)</f>
        <v>90</v>
      </c>
      <c r="E1011" s="2" t="str">
        <f ca="1">IFERROR(__xludf.DUMMYFUNCTION("""COMPUTED_VALUE"""),"Bonarda")</f>
        <v>Bonarda</v>
      </c>
      <c r="F1011" s="2">
        <f ca="1">IFERROR(__xludf.DUMMYFUNCTION("""COMPUTED_VALUE"""),9150)</f>
        <v>9150</v>
      </c>
      <c r="G1011" s="2">
        <f ca="1">IFERROR(__xludf.DUMMYFUNCTION("""COMPUTED_VALUE"""),115)</f>
        <v>115</v>
      </c>
      <c r="H1011" s="2" t="str">
        <f ca="1">IFERROR(__xludf.DUMMYFUNCTION("""COMPUTED_VALUE"""),"1a994530")</f>
        <v>1a994530</v>
      </c>
      <c r="I1011" s="2" t="str">
        <f ca="1">IFERROR(__xludf.DUMMYFUNCTION("""COMPUTED_VALUE"""),"Syrah")</f>
        <v>Syrah</v>
      </c>
      <c r="J1011" s="2">
        <f ca="1">IFERROR(__xludf.DUMMYFUNCTION("""COMPUTED_VALUE"""),108050)</f>
        <v>108050</v>
      </c>
      <c r="K1011" s="2">
        <f ca="1">IFERROR(__xludf.DUMMYFUNCTION("""COMPUTED_VALUE"""),117200)</f>
        <v>117200</v>
      </c>
      <c r="L1011" s="2" t="str">
        <f ca="1">IFERROR(__xludf.DUMMYFUNCTION("""COMPUTED_VALUE"""),"9490b256")</f>
        <v>9490b256</v>
      </c>
      <c r="M1011" s="2" t="str">
        <f ca="1">IFERROR(__xludf.DUMMYFUNCTION("""COMPUTED_VALUE"""),"Syrah")</f>
        <v>Syrah</v>
      </c>
      <c r="N1011" s="2"/>
      <c r="O1011" s="2" t="str">
        <f ca="1">IFERROR(__xludf.DUMMYFUNCTION("""COMPUTED_VALUE"""),"2do Trasiego")</f>
        <v>2do Trasiego</v>
      </c>
      <c r="P1011" s="2" t="str">
        <f ca="1">IFERROR(__xludf.DUMMYFUNCTION("""COMPUTED_VALUE"""),"Filtrado Tang")</f>
        <v>Filtrado Tang</v>
      </c>
      <c r="Q1011" s="2" t="b">
        <f ca="1">IFERROR(__xludf.DUMMYFUNCTION("""COMPUTED_VALUE"""),TRUE)</f>
        <v>1</v>
      </c>
      <c r="R1011" s="2" t="str">
        <f ca="1">IFERROR(__xludf.DUMMYFUNCTION("""COMPUTED_VALUE"""),"Filtrado Tang")</f>
        <v>Filtrado Tang</v>
      </c>
      <c r="S1011" s="2"/>
      <c r="T1011" s="2"/>
      <c r="U1011" s="2" t="str">
        <f ca="1">IFERROR(__xludf.DUMMYFUNCTION("""COMPUTED_VALUE"""),"1")</f>
        <v>1</v>
      </c>
    </row>
    <row r="1012" spans="1:21" x14ac:dyDescent="0.25">
      <c r="A1012" s="2" t="str">
        <f ca="1">IFERROR(__xludf.DUMMYFUNCTION("""COMPUTED_VALUE"""),"d57dd84a")</f>
        <v>d57dd84a</v>
      </c>
      <c r="B1012" s="5">
        <f ca="1">IFERROR(__xludf.DUMMYFUNCTION("""COMPUTED_VALUE"""),45901.7346296296)</f>
        <v>45901.734629629602</v>
      </c>
      <c r="C1012" s="2" t="str">
        <f ca="1">IFERROR(__xludf.DUMMYFUNCTION("""COMPUTED_VALUE"""),"69104da7")</f>
        <v>69104da7</v>
      </c>
      <c r="D1012" s="2">
        <f ca="1">IFERROR(__xludf.DUMMYFUNCTION("""COMPUTED_VALUE"""),500)</f>
        <v>500</v>
      </c>
      <c r="E1012" s="2" t="str">
        <f ca="1">IFERROR(__xludf.DUMMYFUNCTION("""COMPUTED_VALUE"""),"Ajuste Arqueo 01/09/25")</f>
        <v>Ajuste Arqueo 01/09/25</v>
      </c>
      <c r="F1012" s="2">
        <f ca="1">IFERROR(__xludf.DUMMYFUNCTION("""COMPUTED_VALUE"""),2495)</f>
        <v>2495</v>
      </c>
      <c r="G1012" s="2">
        <f ca="1">IFERROR(__xludf.DUMMYFUNCTION("""COMPUTED_VALUE"""),115)</f>
        <v>115</v>
      </c>
      <c r="H1012" s="2" t="str">
        <f ca="1">IFERROR(__xludf.DUMMYFUNCTION("""COMPUTED_VALUE"""),"9490b256")</f>
        <v>9490b256</v>
      </c>
      <c r="I1012" s="2" t="str">
        <f ca="1">IFERROR(__xludf.DUMMYFUNCTION("""COMPUTED_VALUE"""),"Syrah")</f>
        <v>Syrah</v>
      </c>
      <c r="J1012" s="2">
        <f ca="1">IFERROR(__xludf.DUMMYFUNCTION("""COMPUTED_VALUE"""),117200)</f>
        <v>117200</v>
      </c>
      <c r="K1012" s="2">
        <f ca="1">IFERROR(__xludf.DUMMYFUNCTION("""COMPUTED_VALUE"""),119695)</f>
        <v>119695</v>
      </c>
      <c r="L1012" s="2" t="str">
        <f ca="1">IFERROR(__xludf.DUMMYFUNCTION("""COMPUTED_VALUE"""),"0fba2ec5")</f>
        <v>0fba2ec5</v>
      </c>
      <c r="M1012" s="2" t="str">
        <f ca="1">IFERROR(__xludf.DUMMYFUNCTION("""COMPUTED_VALUE"""),"Syrah")</f>
        <v>Syrah</v>
      </c>
      <c r="N1012" s="2"/>
      <c r="O1012" s="2"/>
      <c r="P1012" s="2" t="str">
        <f ca="1">IFERROR(__xludf.DUMMYFUNCTION("""COMPUTED_VALUE"""),"Filtrado Tang")</f>
        <v>Filtrado Tang</v>
      </c>
      <c r="Q1012" s="2" t="b">
        <f ca="1">IFERROR(__xludf.DUMMYFUNCTION("""COMPUTED_VALUE"""),TRUE)</f>
        <v>1</v>
      </c>
      <c r="R1012" s="2" t="str">
        <f ca="1">IFERROR(__xludf.DUMMYFUNCTION("""COMPUTED_VALUE"""),"Filtrado Tang")</f>
        <v>Filtrado Tang</v>
      </c>
      <c r="S1012" s="2"/>
      <c r="T1012" s="2"/>
      <c r="U1012" s="2" t="str">
        <f ca="1">IFERROR(__xludf.DUMMYFUNCTION("""COMPUTED_VALUE"""),"1")</f>
        <v>1</v>
      </c>
    </row>
    <row r="1013" spans="1:21" x14ac:dyDescent="0.25">
      <c r="A1013" s="2" t="str">
        <f ca="1">IFERROR(__xludf.DUMMYFUNCTION("""COMPUTED_VALUE"""),"a7b8ea2e")</f>
        <v>a7b8ea2e</v>
      </c>
      <c r="B1013" s="5">
        <f ca="1">IFERROR(__xludf.DUMMYFUNCTION("""COMPUTED_VALUE"""),45901.7384259259)</f>
        <v>45901.738425925898</v>
      </c>
      <c r="C1013" s="2" t="str">
        <f ca="1">IFERROR(__xludf.DUMMYFUNCTION("""COMPUTED_VALUE"""),"bda36e57")</f>
        <v>bda36e57</v>
      </c>
      <c r="D1013" s="2">
        <f ca="1">IFERROR(__xludf.DUMMYFUNCTION("""COMPUTED_VALUE"""),90)</f>
        <v>90</v>
      </c>
      <c r="E1013" s="2" t="str">
        <f ca="1">IFERROR(__xludf.DUMMYFUNCTION("""COMPUTED_VALUE"""),"Bonarda")</f>
        <v>Bonarda</v>
      </c>
      <c r="F1013" s="2">
        <f ca="1">IFERROR(__xludf.DUMMYFUNCTION("""COMPUTED_VALUE"""),1100)</f>
        <v>1100</v>
      </c>
      <c r="G1013" s="2">
        <f ca="1">IFERROR(__xludf.DUMMYFUNCTION("""COMPUTED_VALUE"""),51)</f>
        <v>51</v>
      </c>
      <c r="H1013" s="2" t="str">
        <f ca="1">IFERROR(__xludf.DUMMYFUNCTION("""COMPUTED_VALUE"""),"6bf63b30")</f>
        <v>6bf63b30</v>
      </c>
      <c r="I1013" s="2" t="str">
        <f ca="1">IFERROR(__xludf.DUMMYFUNCTION("""COMPUTED_VALUE"""),"Cabernet Sauv Carricondo")</f>
        <v>Cabernet Sauv Carricondo</v>
      </c>
      <c r="J1013" s="2">
        <f ca="1">IFERROR(__xludf.DUMMYFUNCTION("""COMPUTED_VALUE"""),3900)</f>
        <v>3900</v>
      </c>
      <c r="K1013" s="2">
        <f ca="1">IFERROR(__xludf.DUMMYFUNCTION("""COMPUTED_VALUE"""),5000)</f>
        <v>5000</v>
      </c>
      <c r="L1013" s="2" t="str">
        <f ca="1">IFERROR(__xludf.DUMMYFUNCTION("""COMPUTED_VALUE"""),"ea0da787")</f>
        <v>ea0da787</v>
      </c>
      <c r="M1013" s="2" t="str">
        <f ca="1">IFERROR(__xludf.DUMMYFUNCTION("""COMPUTED_VALUE"""),"Cabernet Sauv Carricondo")</f>
        <v>Cabernet Sauv Carricondo</v>
      </c>
      <c r="N1013" s="2"/>
      <c r="O1013" s="2" t="str">
        <f ca="1">IFERROR(__xludf.DUMMYFUNCTION("""COMPUTED_VALUE"""),"2do Trasiego")</f>
        <v>2do Trasiego</v>
      </c>
      <c r="P1013" s="2" t="str">
        <f ca="1">IFERROR(__xludf.DUMMYFUNCTION("""COMPUTED_VALUE"""),"Terminado")</f>
        <v>Terminado</v>
      </c>
      <c r="Q1013" s="2" t="b">
        <f ca="1">IFERROR(__xludf.DUMMYFUNCTION("""COMPUTED_VALUE"""),TRUE)</f>
        <v>1</v>
      </c>
      <c r="R1013" s="2" t="str">
        <f ca="1">IFERROR(__xludf.DUMMYFUNCTION("""COMPUTED_VALUE"""),"Traslado Venta")</f>
        <v>Traslado Venta</v>
      </c>
      <c r="S1013" s="2"/>
      <c r="T1013" s="2"/>
      <c r="U1013" s="2" t="str">
        <f ca="1">IFERROR(__xludf.DUMMYFUNCTION("""COMPUTED_VALUE"""),"1")</f>
        <v>1</v>
      </c>
    </row>
    <row r="1014" spans="1:21" x14ac:dyDescent="0.25">
      <c r="A1014" s="2" t="str">
        <f ca="1">IFERROR(__xludf.DUMMYFUNCTION("""COMPUTED_VALUE"""),"9e7d07e1")</f>
        <v>9e7d07e1</v>
      </c>
      <c r="B1014" s="5">
        <f ca="1">IFERROR(__xludf.DUMMYFUNCTION("""COMPUTED_VALUE"""),45903.7182638888)</f>
        <v>45903.718263888797</v>
      </c>
      <c r="C1014" s="2" t="str">
        <f ca="1">IFERROR(__xludf.DUMMYFUNCTION("""COMPUTED_VALUE"""),"bda36e57")</f>
        <v>bda36e57</v>
      </c>
      <c r="D1014" s="2">
        <f ca="1">IFERROR(__xludf.DUMMYFUNCTION("""COMPUTED_VALUE"""),90)</f>
        <v>90</v>
      </c>
      <c r="E1014" s="2" t="str">
        <f ca="1">IFERROR(__xludf.DUMMYFUNCTION("""COMPUTED_VALUE"""),"Bonarda")</f>
        <v>Bonarda</v>
      </c>
      <c r="F1014" s="2">
        <f ca="1">IFERROR(__xludf.DUMMYFUNCTION("""COMPUTED_VALUE"""),505)</f>
        <v>505</v>
      </c>
      <c r="G1014" s="2">
        <f ca="1">IFERROR(__xludf.DUMMYFUNCTION("""COMPUTED_VALUE"""),115)</f>
        <v>115</v>
      </c>
      <c r="H1014" s="2" t="str">
        <f ca="1">IFERROR(__xludf.DUMMYFUNCTION("""COMPUTED_VALUE"""),"0fba2ec5")</f>
        <v>0fba2ec5</v>
      </c>
      <c r="I1014" s="2" t="str">
        <f ca="1">IFERROR(__xludf.DUMMYFUNCTION("""COMPUTED_VALUE"""),"Syrah")</f>
        <v>Syrah</v>
      </c>
      <c r="J1014" s="2">
        <f ca="1">IFERROR(__xludf.DUMMYFUNCTION("""COMPUTED_VALUE"""),119695)</f>
        <v>119695</v>
      </c>
      <c r="K1014" s="2">
        <f ca="1">IFERROR(__xludf.DUMMYFUNCTION("""COMPUTED_VALUE"""),120200)</f>
        <v>120200</v>
      </c>
      <c r="L1014" s="2" t="str">
        <f ca="1">IFERROR(__xludf.DUMMYFUNCTION("""COMPUTED_VALUE"""),"97e4f782")</f>
        <v>97e4f782</v>
      </c>
      <c r="M1014" s="2" t="str">
        <f ca="1">IFERROR(__xludf.DUMMYFUNCTION("""COMPUTED_VALUE"""),"Syrah")</f>
        <v>Syrah</v>
      </c>
      <c r="N1014" s="2"/>
      <c r="O1014" s="2" t="str">
        <f ca="1">IFERROR(__xludf.DUMMYFUNCTION("""COMPUTED_VALUE"""),"2do Trasiego")</f>
        <v>2do Trasiego</v>
      </c>
      <c r="P1014" s="2" t="str">
        <f ca="1">IFERROR(__xludf.DUMMYFUNCTION("""COMPUTED_VALUE"""),"Filtrado Tang")</f>
        <v>Filtrado Tang</v>
      </c>
      <c r="Q1014" s="2" t="b">
        <f ca="1">IFERROR(__xludf.DUMMYFUNCTION("""COMPUTED_VALUE"""),TRUE)</f>
        <v>1</v>
      </c>
      <c r="R1014" s="2" t="str">
        <f ca="1">IFERROR(__xludf.DUMMYFUNCTION("""COMPUTED_VALUE"""),"Filtrado Tang")</f>
        <v>Filtrado Tang</v>
      </c>
      <c r="S1014" s="2"/>
      <c r="T1014" s="2"/>
      <c r="U1014" s="2" t="str">
        <f ca="1">IFERROR(__xludf.DUMMYFUNCTION("""COMPUTED_VALUE"""),"1")</f>
        <v>1</v>
      </c>
    </row>
    <row r="1015" spans="1:21" x14ac:dyDescent="0.25">
      <c r="A1015" s="2" t="str">
        <f ca="1">IFERROR(__xludf.DUMMYFUNCTION("""COMPUTED_VALUE"""),"ab45510b")</f>
        <v>ab45510b</v>
      </c>
      <c r="B1015" s="5">
        <f ca="1">IFERROR(__xludf.DUMMYFUNCTION("""COMPUTED_VALUE"""),45903.7186805555)</f>
        <v>45903.718680555503</v>
      </c>
      <c r="C1015" s="2" t="str">
        <f ca="1">IFERROR(__xludf.DUMMYFUNCTION("""COMPUTED_VALUE"""),"bda36e57")</f>
        <v>bda36e57</v>
      </c>
      <c r="D1015" s="2">
        <f ca="1">IFERROR(__xludf.DUMMYFUNCTION("""COMPUTED_VALUE"""),90)</f>
        <v>90</v>
      </c>
      <c r="E1015" s="2" t="str">
        <f ca="1">IFERROR(__xludf.DUMMYFUNCTION("""COMPUTED_VALUE"""),"Bonarda")</f>
        <v>Bonarda</v>
      </c>
      <c r="F1015" s="2">
        <f ca="1">IFERROR(__xludf.DUMMYFUNCTION("""COMPUTED_VALUE"""),37000)</f>
        <v>37000</v>
      </c>
      <c r="G1015" s="2">
        <f ca="1">IFERROR(__xludf.DUMMYFUNCTION("""COMPUTED_VALUE"""),88)</f>
        <v>88</v>
      </c>
      <c r="H1015" s="2"/>
      <c r="I1015" s="2"/>
      <c r="J1015" s="2">
        <f ca="1">IFERROR(__xludf.DUMMYFUNCTION("""COMPUTED_VALUE"""),0)</f>
        <v>0</v>
      </c>
      <c r="K1015" s="2">
        <f ca="1">IFERROR(__xludf.DUMMYFUNCTION("""COMPUTED_VALUE"""),37000)</f>
        <v>37000</v>
      </c>
      <c r="L1015" s="2" t="str">
        <f ca="1">IFERROR(__xludf.DUMMYFUNCTION("""COMPUTED_VALUE"""),"1f3b2dab")</f>
        <v>1f3b2dab</v>
      </c>
      <c r="M1015" s="2" t="str">
        <f ca="1">IFERROR(__xludf.DUMMYFUNCTION("""COMPUTED_VALUE"""),"Bonarda")</f>
        <v>Bonarda</v>
      </c>
      <c r="N1015" s="2"/>
      <c r="O1015" s="2" t="str">
        <f ca="1">IFERROR(__xludf.DUMMYFUNCTION("""COMPUTED_VALUE"""),"2do Trasiego")</f>
        <v>2do Trasiego</v>
      </c>
      <c r="P1015" s="2"/>
      <c r="Q1015" s="2" t="b">
        <f ca="1">IFERROR(__xludf.DUMMYFUNCTION("""COMPUTED_VALUE"""),FALSE)</f>
        <v>0</v>
      </c>
      <c r="R1015" s="2" t="str">
        <f ca="1">IFERROR(__xludf.DUMMYFUNCTION("""COMPUTED_VALUE"""),"Filtrado Tang")</f>
        <v>Filtrado Tang</v>
      </c>
      <c r="S1015" s="2"/>
      <c r="T1015" s="2"/>
      <c r="U1015" s="2" t="str">
        <f ca="1">IFERROR(__xludf.DUMMYFUNCTION("""COMPUTED_VALUE"""),"1")</f>
        <v>1</v>
      </c>
    </row>
    <row r="1016" spans="1:21" x14ac:dyDescent="0.25">
      <c r="A1016" s="2" t="str">
        <f ca="1">IFERROR(__xludf.DUMMYFUNCTION("""COMPUTED_VALUE"""),"7c27afaf")</f>
        <v>7c27afaf</v>
      </c>
      <c r="B1016" s="5">
        <f ca="1">IFERROR(__xludf.DUMMYFUNCTION("""COMPUTED_VALUE"""),45903.7212268518)</f>
        <v>45903.721226851798</v>
      </c>
      <c r="C1016" s="2" t="str">
        <f ca="1">IFERROR(__xludf.DUMMYFUNCTION("""COMPUTED_VALUE"""),"bda36e57")</f>
        <v>bda36e57</v>
      </c>
      <c r="D1016" s="2">
        <f ca="1">IFERROR(__xludf.DUMMYFUNCTION("""COMPUTED_VALUE"""),90)</f>
        <v>90</v>
      </c>
      <c r="E1016" s="2" t="str">
        <f ca="1">IFERROR(__xludf.DUMMYFUNCTION("""COMPUTED_VALUE"""),"Bonarda")</f>
        <v>Bonarda</v>
      </c>
      <c r="F1016" s="2">
        <f ca="1">IFERROR(__xludf.DUMMYFUNCTION("""COMPUTED_VALUE"""),41900)</f>
        <v>41900</v>
      </c>
      <c r="G1016" s="2">
        <f ca="1">IFERROR(__xludf.DUMMYFUNCTION("""COMPUTED_VALUE"""),88)</f>
        <v>88</v>
      </c>
      <c r="H1016" s="2" t="str">
        <f ca="1">IFERROR(__xludf.DUMMYFUNCTION("""COMPUTED_VALUE"""),"1f3b2dab")</f>
        <v>1f3b2dab</v>
      </c>
      <c r="I1016" s="2" t="str">
        <f ca="1">IFERROR(__xludf.DUMMYFUNCTION("""COMPUTED_VALUE"""),"Bonarda")</f>
        <v>Bonarda</v>
      </c>
      <c r="J1016" s="2">
        <f ca="1">IFERROR(__xludf.DUMMYFUNCTION("""COMPUTED_VALUE"""),37000)</f>
        <v>37000</v>
      </c>
      <c r="K1016" s="2">
        <f ca="1">IFERROR(__xludf.DUMMYFUNCTION("""COMPUTED_VALUE"""),78900)</f>
        <v>78900</v>
      </c>
      <c r="L1016" s="2" t="str">
        <f ca="1">IFERROR(__xludf.DUMMYFUNCTION("""COMPUTED_VALUE"""),"ee5b5592")</f>
        <v>ee5b5592</v>
      </c>
      <c r="M1016" s="2" t="str">
        <f ca="1">IFERROR(__xludf.DUMMYFUNCTION("""COMPUTED_VALUE"""),"Bonarda")</f>
        <v>Bonarda</v>
      </c>
      <c r="N1016" s="2"/>
      <c r="O1016" s="2" t="str">
        <f ca="1">IFERROR(__xludf.DUMMYFUNCTION("""COMPUTED_VALUE"""),"2do Trasiego")</f>
        <v>2do Trasiego</v>
      </c>
      <c r="P1016" s="2" t="str">
        <f ca="1">IFERROR(__xludf.DUMMYFUNCTION("""COMPUTED_VALUE"""),"Filtrado Tang")</f>
        <v>Filtrado Tang</v>
      </c>
      <c r="Q1016" s="2" t="b">
        <f ca="1">IFERROR(__xludf.DUMMYFUNCTION("""COMPUTED_VALUE"""),TRUE)</f>
        <v>1</v>
      </c>
      <c r="R1016" s="2" t="str">
        <f ca="1">IFERROR(__xludf.DUMMYFUNCTION("""COMPUTED_VALUE"""),"Filtrado Tang")</f>
        <v>Filtrado Tang</v>
      </c>
      <c r="S1016" s="2"/>
      <c r="T1016" s="2"/>
      <c r="U1016" s="2" t="str">
        <f ca="1">IFERROR(__xludf.DUMMYFUNCTION("""COMPUTED_VALUE"""),"1")</f>
        <v>1</v>
      </c>
    </row>
    <row r="1017" spans="1:21" x14ac:dyDescent="0.25">
      <c r="A1017" s="2" t="str">
        <f ca="1">IFERROR(__xludf.DUMMYFUNCTION("""COMPUTED_VALUE"""),"412808da")</f>
        <v>412808da</v>
      </c>
      <c r="B1017" s="5">
        <f ca="1">IFERROR(__xludf.DUMMYFUNCTION("""COMPUTED_VALUE"""),45903.7221296296)</f>
        <v>45903.722129629597</v>
      </c>
      <c r="C1017" s="2" t="str">
        <f ca="1">IFERROR(__xludf.DUMMYFUNCTION("""COMPUTED_VALUE"""),"bda36e57")</f>
        <v>bda36e57</v>
      </c>
      <c r="D1017" s="2">
        <f ca="1">IFERROR(__xludf.DUMMYFUNCTION("""COMPUTED_VALUE"""),90)</f>
        <v>90</v>
      </c>
      <c r="E1017" s="2" t="str">
        <f ca="1">IFERROR(__xludf.DUMMYFUNCTION("""COMPUTED_VALUE"""),"Bonarda")</f>
        <v>Bonarda</v>
      </c>
      <c r="F1017" s="2">
        <f ca="1">IFERROR(__xludf.DUMMYFUNCTION("""COMPUTED_VALUE"""),7845)</f>
        <v>7845</v>
      </c>
      <c r="G1017" s="2">
        <f ca="1">IFERROR(__xludf.DUMMYFUNCTION("""COMPUTED_VALUE"""),87)</f>
        <v>87</v>
      </c>
      <c r="H1017" s="2"/>
      <c r="I1017" s="2"/>
      <c r="J1017" s="2">
        <f ca="1">IFERROR(__xludf.DUMMYFUNCTION("""COMPUTED_VALUE"""),0)</f>
        <v>0</v>
      </c>
      <c r="K1017" s="2">
        <f ca="1">IFERROR(__xludf.DUMMYFUNCTION("""COMPUTED_VALUE"""),7845)</f>
        <v>7845</v>
      </c>
      <c r="L1017" s="2" t="str">
        <f ca="1">IFERROR(__xludf.DUMMYFUNCTION("""COMPUTED_VALUE"""),"698994ec")</f>
        <v>698994ec</v>
      </c>
      <c r="M1017" s="2" t="str">
        <f ca="1">IFERROR(__xludf.DUMMYFUNCTION("""COMPUTED_VALUE"""),"Bonarda")</f>
        <v>Bonarda</v>
      </c>
      <c r="N1017" s="2"/>
      <c r="O1017" s="2" t="str">
        <f ca="1">IFERROR(__xludf.DUMMYFUNCTION("""COMPUTED_VALUE"""),"2do Trasiego")</f>
        <v>2do Trasiego</v>
      </c>
      <c r="P1017" s="2"/>
      <c r="Q1017" s="2" t="b">
        <f ca="1">IFERROR(__xludf.DUMMYFUNCTION("""COMPUTED_VALUE"""),FALSE)</f>
        <v>0</v>
      </c>
      <c r="R1017" s="2" t="str">
        <f ca="1">IFERROR(__xludf.DUMMYFUNCTION("""COMPUTED_VALUE"""),"Filtrado Tang")</f>
        <v>Filtrado Tang</v>
      </c>
      <c r="S1017" s="2"/>
      <c r="T1017" s="2"/>
      <c r="U1017" s="2" t="str">
        <f ca="1">IFERROR(__xludf.DUMMYFUNCTION("""COMPUTED_VALUE"""),"1")</f>
        <v>1</v>
      </c>
    </row>
    <row r="1018" spans="1:21" x14ac:dyDescent="0.25">
      <c r="A1018" s="2" t="str">
        <f ca="1">IFERROR(__xludf.DUMMYFUNCTION("""COMPUTED_VALUE"""),"865f3737")</f>
        <v>865f3737</v>
      </c>
      <c r="B1018" s="5">
        <f ca="1">IFERROR(__xludf.DUMMYFUNCTION("""COMPUTED_VALUE"""),45905.6658912037)</f>
        <v>45905.665891203702</v>
      </c>
      <c r="C1018" s="2" t="str">
        <f ca="1">IFERROR(__xludf.DUMMYFUNCTION("""COMPUTED_VALUE"""),"f8ffe3ae")</f>
        <v>f8ffe3ae</v>
      </c>
      <c r="D1018" s="2">
        <f ca="1">IFERROR(__xludf.DUMMYFUNCTION("""COMPUTED_VALUE"""),89)</f>
        <v>89</v>
      </c>
      <c r="E1018" s="2" t="str">
        <f ca="1">IFERROR(__xludf.DUMMYFUNCTION("""COMPUTED_VALUE"""),"Syrah")</f>
        <v>Syrah</v>
      </c>
      <c r="F1018" s="2">
        <f ca="1">IFERROR(__xludf.DUMMYFUNCTION("""COMPUTED_VALUE"""),33000)</f>
        <v>33000</v>
      </c>
      <c r="G1018" s="2">
        <f ca="1">IFERROR(__xludf.DUMMYFUNCTION("""COMPUTED_VALUE"""),87)</f>
        <v>87</v>
      </c>
      <c r="H1018" s="2" t="str">
        <f ca="1">IFERROR(__xludf.DUMMYFUNCTION("""COMPUTED_VALUE"""),"698994ec")</f>
        <v>698994ec</v>
      </c>
      <c r="I1018" s="2" t="str">
        <f ca="1">IFERROR(__xludf.DUMMYFUNCTION("""COMPUTED_VALUE"""),"Syrah")</f>
        <v>Syrah</v>
      </c>
      <c r="J1018" s="2">
        <f ca="1">IFERROR(__xludf.DUMMYFUNCTION("""COMPUTED_VALUE"""),7845)</f>
        <v>7845</v>
      </c>
      <c r="K1018" s="2">
        <f ca="1">IFERROR(__xludf.DUMMYFUNCTION("""COMPUTED_VALUE"""),40845)</f>
        <v>40845</v>
      </c>
      <c r="L1018" s="2" t="str">
        <f ca="1">IFERROR(__xludf.DUMMYFUNCTION("""COMPUTED_VALUE"""),"8a76371b")</f>
        <v>8a76371b</v>
      </c>
      <c r="M1018" s="2" t="str">
        <f ca="1">IFERROR(__xludf.DUMMYFUNCTION("""COMPUTED_VALUE"""),"Syrah")</f>
        <v>Syrah</v>
      </c>
      <c r="N1018" s="2"/>
      <c r="O1018" s="2" t="str">
        <f ca="1">IFERROR(__xludf.DUMMYFUNCTION("""COMPUTED_VALUE"""),"2do Trasiego")</f>
        <v>2do Trasiego</v>
      </c>
      <c r="P1018" s="2" t="str">
        <f ca="1">IFERROR(__xludf.DUMMYFUNCTION("""COMPUTED_VALUE"""),"Filtrado Tang")</f>
        <v>Filtrado Tang</v>
      </c>
      <c r="Q1018" s="2" t="b">
        <f ca="1">IFERROR(__xludf.DUMMYFUNCTION("""COMPUTED_VALUE"""),FALSE)</f>
        <v>0</v>
      </c>
      <c r="R1018" s="2" t="str">
        <f ca="1">IFERROR(__xludf.DUMMYFUNCTION("""COMPUTED_VALUE"""),"2do Trasiego")</f>
        <v>2do Trasiego</v>
      </c>
      <c r="S1018" s="2"/>
      <c r="T1018" s="2"/>
      <c r="U1018" s="2" t="str">
        <f ca="1">IFERROR(__xludf.DUMMYFUNCTION("""COMPUTED_VALUE"""),"1")</f>
        <v>1</v>
      </c>
    </row>
    <row r="1019" spans="1:21" x14ac:dyDescent="0.25">
      <c r="A1019" s="2" t="str">
        <f ca="1">IFERROR(__xludf.DUMMYFUNCTION("""COMPUTED_VALUE"""),"e37893bc")</f>
        <v>e37893bc</v>
      </c>
      <c r="B1019" s="5">
        <f ca="1">IFERROR(__xludf.DUMMYFUNCTION("""COMPUTED_VALUE"""),45905.667199074)</f>
        <v>45905.667199074</v>
      </c>
      <c r="C1019" s="2" t="str">
        <f ca="1">IFERROR(__xludf.DUMMYFUNCTION("""COMPUTED_VALUE"""),"f8ffe3ae")</f>
        <v>f8ffe3ae</v>
      </c>
      <c r="D1019" s="2">
        <f ca="1">IFERROR(__xludf.DUMMYFUNCTION("""COMPUTED_VALUE"""),89)</f>
        <v>89</v>
      </c>
      <c r="E1019" s="2" t="str">
        <f ca="1">IFERROR(__xludf.DUMMYFUNCTION("""COMPUTED_VALUE"""),"Syrah")</f>
        <v>Syrah</v>
      </c>
      <c r="F1019" s="2">
        <f ca="1">IFERROR(__xludf.DUMMYFUNCTION("""COMPUTED_VALUE"""),25000)</f>
        <v>25000</v>
      </c>
      <c r="G1019" s="2">
        <f ca="1">IFERROR(__xludf.DUMMYFUNCTION("""COMPUTED_VALUE"""),87)</f>
        <v>87</v>
      </c>
      <c r="H1019" s="2" t="str">
        <f ca="1">IFERROR(__xludf.DUMMYFUNCTION("""COMPUTED_VALUE"""),"8a76371b")</f>
        <v>8a76371b</v>
      </c>
      <c r="I1019" s="2" t="str">
        <f ca="1">IFERROR(__xludf.DUMMYFUNCTION("""COMPUTED_VALUE"""),"Syrah")</f>
        <v>Syrah</v>
      </c>
      <c r="J1019" s="2">
        <f ca="1">IFERROR(__xludf.DUMMYFUNCTION("""COMPUTED_VALUE"""),40845)</f>
        <v>40845</v>
      </c>
      <c r="K1019" s="2">
        <f ca="1">IFERROR(__xludf.DUMMYFUNCTION("""COMPUTED_VALUE"""),65845)</f>
        <v>65845</v>
      </c>
      <c r="L1019" s="2" t="str">
        <f ca="1">IFERROR(__xludf.DUMMYFUNCTION("""COMPUTED_VALUE"""),"e57c87e1")</f>
        <v>e57c87e1</v>
      </c>
      <c r="M1019" s="2" t="str">
        <f ca="1">IFERROR(__xludf.DUMMYFUNCTION("""COMPUTED_VALUE"""),"Syrah")</f>
        <v>Syrah</v>
      </c>
      <c r="N1019" s="2"/>
      <c r="O1019" s="2" t="str">
        <f ca="1">IFERROR(__xludf.DUMMYFUNCTION("""COMPUTED_VALUE"""),"2do Trasiego")</f>
        <v>2do Trasiego</v>
      </c>
      <c r="P1019" s="2" t="str">
        <f ca="1">IFERROR(__xludf.DUMMYFUNCTION("""COMPUTED_VALUE"""),"2do Trasiego")</f>
        <v>2do Trasiego</v>
      </c>
      <c r="Q1019" s="2" t="b">
        <f ca="1">IFERROR(__xludf.DUMMYFUNCTION("""COMPUTED_VALUE"""),TRUE)</f>
        <v>1</v>
      </c>
      <c r="R1019" s="2" t="str">
        <f ca="1">IFERROR(__xludf.DUMMYFUNCTION("""COMPUTED_VALUE"""),"Filtrado Tang")</f>
        <v>Filtrado Tang</v>
      </c>
      <c r="S1019" s="2"/>
      <c r="T1019" s="2"/>
      <c r="U1019" s="2" t="str">
        <f ca="1">IFERROR(__xludf.DUMMYFUNCTION("""COMPUTED_VALUE"""),"1")</f>
        <v>1</v>
      </c>
    </row>
    <row r="1020" spans="1:21" x14ac:dyDescent="0.25">
      <c r="A1020" s="2" t="str">
        <f ca="1">IFERROR(__xludf.DUMMYFUNCTION("""COMPUTED_VALUE"""),"ebe9b647")</f>
        <v>ebe9b647</v>
      </c>
      <c r="B1020" s="5">
        <f ca="1">IFERROR(__xludf.DUMMYFUNCTION("""COMPUTED_VALUE"""),45909.6709027777)</f>
        <v>45909.670902777703</v>
      </c>
      <c r="C1020" s="2" t="str">
        <f ca="1">IFERROR(__xludf.DUMMYFUNCTION("""COMPUTED_VALUE"""),"f8ffe3ae")</f>
        <v>f8ffe3ae</v>
      </c>
      <c r="D1020" s="2">
        <f ca="1">IFERROR(__xludf.DUMMYFUNCTION("""COMPUTED_VALUE"""),89)</f>
        <v>89</v>
      </c>
      <c r="E1020" s="2" t="str">
        <f ca="1">IFERROR(__xludf.DUMMYFUNCTION("""COMPUTED_VALUE"""),"Syrah")</f>
        <v>Syrah</v>
      </c>
      <c r="F1020" s="2">
        <f ca="1">IFERROR(__xludf.DUMMYFUNCTION("""COMPUTED_VALUE"""),18800)</f>
        <v>18800</v>
      </c>
      <c r="G1020" s="2">
        <f ca="1">IFERROR(__xludf.DUMMYFUNCTION("""COMPUTED_VALUE"""),87)</f>
        <v>87</v>
      </c>
      <c r="H1020" s="2" t="str">
        <f ca="1">IFERROR(__xludf.DUMMYFUNCTION("""COMPUTED_VALUE"""),"e57c87e1")</f>
        <v>e57c87e1</v>
      </c>
      <c r="I1020" s="2" t="str">
        <f ca="1">IFERROR(__xludf.DUMMYFUNCTION("""COMPUTED_VALUE"""),"Syrah")</f>
        <v>Syrah</v>
      </c>
      <c r="J1020" s="2">
        <f ca="1">IFERROR(__xludf.DUMMYFUNCTION("""COMPUTED_VALUE"""),65845)</f>
        <v>65845</v>
      </c>
      <c r="K1020" s="2">
        <f ca="1">IFERROR(__xludf.DUMMYFUNCTION("""COMPUTED_VALUE"""),84645)</f>
        <v>84645</v>
      </c>
      <c r="L1020" s="2" t="str">
        <f ca="1">IFERROR(__xludf.DUMMYFUNCTION("""COMPUTED_VALUE"""),"59bbdce0")</f>
        <v>59bbdce0</v>
      </c>
      <c r="M1020" s="2" t="str">
        <f ca="1">IFERROR(__xludf.DUMMYFUNCTION("""COMPUTED_VALUE"""),"Syrah")</f>
        <v>Syrah</v>
      </c>
      <c r="N1020" s="2"/>
      <c r="O1020" s="2" t="str">
        <f ca="1">IFERROR(__xludf.DUMMYFUNCTION("""COMPUTED_VALUE"""),"2do Trasiego")</f>
        <v>2do Trasiego</v>
      </c>
      <c r="P1020" s="2" t="str">
        <f ca="1">IFERROR(__xludf.DUMMYFUNCTION("""COMPUTED_VALUE"""),"Filtrado Tang")</f>
        <v>Filtrado Tang</v>
      </c>
      <c r="Q1020" s="2" t="b">
        <f ca="1">IFERROR(__xludf.DUMMYFUNCTION("""COMPUTED_VALUE"""),TRUE)</f>
        <v>1</v>
      </c>
      <c r="R1020" s="2" t="str">
        <f ca="1">IFERROR(__xludf.DUMMYFUNCTION("""COMPUTED_VALUE"""),"Filtrado Tang")</f>
        <v>Filtrado Tang</v>
      </c>
      <c r="S1020" s="2"/>
      <c r="T1020" s="2"/>
      <c r="U1020" s="2" t="str">
        <f ca="1">IFERROR(__xludf.DUMMYFUNCTION("""COMPUTED_VALUE"""),"1")</f>
        <v>1</v>
      </c>
    </row>
    <row r="1021" spans="1:21" x14ac:dyDescent="0.25">
      <c r="A1021" s="2" t="str">
        <f ca="1">IFERROR(__xludf.DUMMYFUNCTION("""COMPUTED_VALUE"""),"d76cdf34")</f>
        <v>d76cdf34</v>
      </c>
      <c r="B1021" s="5">
        <f ca="1">IFERROR(__xludf.DUMMYFUNCTION("""COMPUTED_VALUE"""),45909.6724074074)</f>
        <v>45909.672407407401</v>
      </c>
      <c r="C1021" s="2" t="str">
        <f ca="1">IFERROR(__xludf.DUMMYFUNCTION("""COMPUTED_VALUE"""),"76fe7029")</f>
        <v>76fe7029</v>
      </c>
      <c r="D1021" s="2">
        <f ca="1">IFERROR(__xludf.DUMMYFUNCTION("""COMPUTED_VALUE"""),118)</f>
        <v>118</v>
      </c>
      <c r="E1021" s="2" t="str">
        <f ca="1">IFERROR(__xludf.DUMMYFUNCTION("""COMPUTED_VALUE"""),"Tinto")</f>
        <v>Tinto</v>
      </c>
      <c r="F1021" s="2">
        <f ca="1">IFERROR(__xludf.DUMMYFUNCTION("""COMPUTED_VALUE"""),25500)</f>
        <v>25500</v>
      </c>
      <c r="G1021" s="2">
        <f ca="1">IFERROR(__xludf.DUMMYFUNCTION("""COMPUTED_VALUE"""),76)</f>
        <v>76</v>
      </c>
      <c r="H1021" s="2"/>
      <c r="I1021" s="2"/>
      <c r="J1021" s="2">
        <f ca="1">IFERROR(__xludf.DUMMYFUNCTION("""COMPUTED_VALUE"""),0)</f>
        <v>0</v>
      </c>
      <c r="K1021" s="2">
        <f ca="1">IFERROR(__xludf.DUMMYFUNCTION("""COMPUTED_VALUE"""),25500)</f>
        <v>25500</v>
      </c>
      <c r="L1021" s="2" t="str">
        <f ca="1">IFERROR(__xludf.DUMMYFUNCTION("""COMPUTED_VALUE"""),"b6edaacc")</f>
        <v>b6edaacc</v>
      </c>
      <c r="M1021" s="2" t="str">
        <f ca="1">IFERROR(__xludf.DUMMYFUNCTION("""COMPUTED_VALUE"""),"Tinto Caroyense")</f>
        <v>Tinto Caroyense</v>
      </c>
      <c r="N1021" s="2"/>
      <c r="O1021" s="2" t="str">
        <f ca="1">IFERROR(__xludf.DUMMYFUNCTION("""COMPUTED_VALUE"""),"2do Trasiego")</f>
        <v>2do Trasiego</v>
      </c>
      <c r="P1021" s="2"/>
      <c r="Q1021" s="2" t="b">
        <f ca="1">IFERROR(__xludf.DUMMYFUNCTION("""COMPUTED_VALUE"""),FALSE)</f>
        <v>0</v>
      </c>
      <c r="R1021" s="2" t="str">
        <f ca="1">IFERROR(__xludf.DUMMYFUNCTION("""COMPUTED_VALUE"""),"Filtrado Tang")</f>
        <v>Filtrado Tang</v>
      </c>
      <c r="S1021" s="2"/>
      <c r="T1021" s="2"/>
      <c r="U1021" s="2" t="str">
        <f ca="1">IFERROR(__xludf.DUMMYFUNCTION("""COMPUTED_VALUE"""),"1+")</f>
        <v>1+</v>
      </c>
    </row>
    <row r="1022" spans="1:21" x14ac:dyDescent="0.25">
      <c r="A1022" s="2" t="str">
        <f ca="1">IFERROR(__xludf.DUMMYFUNCTION("""COMPUTED_VALUE"""),"27ddbc67")</f>
        <v>27ddbc67</v>
      </c>
      <c r="B1022" s="5">
        <f ca="1">IFERROR(__xludf.DUMMYFUNCTION("""COMPUTED_VALUE"""),45909.6732060185)</f>
        <v>45909.673206018502</v>
      </c>
      <c r="C1022" s="2" t="str">
        <f ca="1">IFERROR(__xludf.DUMMYFUNCTION("""COMPUTED_VALUE"""),"76fe7029")</f>
        <v>76fe7029</v>
      </c>
      <c r="D1022" s="2">
        <f ca="1">IFERROR(__xludf.DUMMYFUNCTION("""COMPUTED_VALUE"""),118)</f>
        <v>118</v>
      </c>
      <c r="E1022" s="2" t="str">
        <f ca="1">IFERROR(__xludf.DUMMYFUNCTION("""COMPUTED_VALUE"""),"Tinto")</f>
        <v>Tinto</v>
      </c>
      <c r="F1022" s="2">
        <f ca="1">IFERROR(__xludf.DUMMYFUNCTION("""COMPUTED_VALUE"""),13000)</f>
        <v>13000</v>
      </c>
      <c r="G1022" s="2">
        <f ca="1">IFERROR(__xludf.DUMMYFUNCTION("""COMPUTED_VALUE"""),74)</f>
        <v>74</v>
      </c>
      <c r="H1022" s="2"/>
      <c r="I1022" s="2"/>
      <c r="J1022" s="2">
        <f ca="1">IFERROR(__xludf.DUMMYFUNCTION("""COMPUTED_VALUE"""),0)</f>
        <v>0</v>
      </c>
      <c r="K1022" s="2">
        <f ca="1">IFERROR(__xludf.DUMMYFUNCTION("""COMPUTED_VALUE"""),13000)</f>
        <v>13000</v>
      </c>
      <c r="L1022" s="2" t="str">
        <f ca="1">IFERROR(__xludf.DUMMYFUNCTION("""COMPUTED_VALUE"""),"82553e9b")</f>
        <v>82553e9b</v>
      </c>
      <c r="M1022" s="2" t="str">
        <f ca="1">IFERROR(__xludf.DUMMYFUNCTION("""COMPUTED_VALUE"""),"Tinto Caroyense")</f>
        <v>Tinto Caroyense</v>
      </c>
      <c r="N1022" s="2"/>
      <c r="O1022" s="2" t="str">
        <f ca="1">IFERROR(__xludf.DUMMYFUNCTION("""COMPUTED_VALUE"""),"2do Trasiego")</f>
        <v>2do Trasiego</v>
      </c>
      <c r="P1022" s="2"/>
      <c r="Q1022" s="2" t="b">
        <f ca="1">IFERROR(__xludf.DUMMYFUNCTION("""COMPUTED_VALUE"""),FALSE)</f>
        <v>0</v>
      </c>
      <c r="R1022" s="2" t="str">
        <f ca="1">IFERROR(__xludf.DUMMYFUNCTION("""COMPUTED_VALUE"""),"Filtrado Tang")</f>
        <v>Filtrado Tang</v>
      </c>
      <c r="S1022" s="2"/>
      <c r="T1022" s="2"/>
      <c r="U1022" s="2" t="str">
        <f ca="1">IFERROR(__xludf.DUMMYFUNCTION("""COMPUTED_VALUE"""),"1+")</f>
        <v>1+</v>
      </c>
    </row>
    <row r="1023" spans="1:21" x14ac:dyDescent="0.25">
      <c r="A1023" s="2" t="str">
        <f ca="1">IFERROR(__xludf.DUMMYFUNCTION("""COMPUTED_VALUE"""),"ec00591f")</f>
        <v>ec00591f</v>
      </c>
      <c r="B1023" s="5">
        <f ca="1">IFERROR(__xludf.DUMMYFUNCTION("""COMPUTED_VALUE"""),45909.6747916666)</f>
        <v>45909.674791666599</v>
      </c>
      <c r="C1023" s="2" t="str">
        <f ca="1">IFERROR(__xludf.DUMMYFUNCTION("""COMPUTED_VALUE"""),"605416fd")</f>
        <v>605416fd</v>
      </c>
      <c r="D1023" s="2">
        <f ca="1">IFERROR(__xludf.DUMMYFUNCTION("""COMPUTED_VALUE"""),109)</f>
        <v>109</v>
      </c>
      <c r="E1023" s="2" t="str">
        <f ca="1">IFERROR(__xludf.DUMMYFUNCTION("""COMPUTED_VALUE"""),"Bonarda")</f>
        <v>Bonarda</v>
      </c>
      <c r="F1023" s="2">
        <f ca="1">IFERROR(__xludf.DUMMYFUNCTION("""COMPUTED_VALUE"""),9055)</f>
        <v>9055</v>
      </c>
      <c r="G1023" s="2">
        <f ca="1">IFERROR(__xludf.DUMMYFUNCTION("""COMPUTED_VALUE"""),87)</f>
        <v>87</v>
      </c>
      <c r="H1023" s="2" t="str">
        <f ca="1">IFERROR(__xludf.DUMMYFUNCTION("""COMPUTED_VALUE"""),"59bbdce0")</f>
        <v>59bbdce0</v>
      </c>
      <c r="I1023" s="2" t="str">
        <f ca="1">IFERROR(__xludf.DUMMYFUNCTION("""COMPUTED_VALUE"""),"Syrah")</f>
        <v>Syrah</v>
      </c>
      <c r="J1023" s="2">
        <f ca="1">IFERROR(__xludf.DUMMYFUNCTION("""COMPUTED_VALUE"""),84645)</f>
        <v>84645</v>
      </c>
      <c r="K1023" s="2">
        <f ca="1">IFERROR(__xludf.DUMMYFUNCTION("""COMPUTED_VALUE"""),93700)</f>
        <v>93700</v>
      </c>
      <c r="L1023" s="2" t="str">
        <f ca="1">IFERROR(__xludf.DUMMYFUNCTION("""COMPUTED_VALUE"""),"4ecb7cfe")</f>
        <v>4ecb7cfe</v>
      </c>
      <c r="M1023" s="2" t="str">
        <f ca="1">IFERROR(__xludf.DUMMYFUNCTION("""COMPUTED_VALUE"""),"Syrah")</f>
        <v>Syrah</v>
      </c>
      <c r="N1023" s="2"/>
      <c r="O1023" s="2" t="str">
        <f ca="1">IFERROR(__xludf.DUMMYFUNCTION("""COMPUTED_VALUE"""),"2do Trasiego")</f>
        <v>2do Trasiego</v>
      </c>
      <c r="P1023" s="2" t="str">
        <f ca="1">IFERROR(__xludf.DUMMYFUNCTION("""COMPUTED_VALUE"""),"Filtrado Tang")</f>
        <v>Filtrado Tang</v>
      </c>
      <c r="Q1023" s="2" t="b">
        <f ca="1">IFERROR(__xludf.DUMMYFUNCTION("""COMPUTED_VALUE"""),TRUE)</f>
        <v>1</v>
      </c>
      <c r="R1023" s="2" t="str">
        <f ca="1">IFERROR(__xludf.DUMMYFUNCTION("""COMPUTED_VALUE"""),"Filtrado Tang")</f>
        <v>Filtrado Tang</v>
      </c>
      <c r="S1023" s="2"/>
      <c r="T1023" s="2"/>
      <c r="U1023" s="2" t="str">
        <f ca="1">IFERROR(__xludf.DUMMYFUNCTION("""COMPUTED_VALUE"""),"1")</f>
        <v>1</v>
      </c>
    </row>
    <row r="1024" spans="1:21" x14ac:dyDescent="0.25">
      <c r="A1024" s="2" t="str">
        <f ca="1">IFERROR(__xludf.DUMMYFUNCTION("""COMPUTED_VALUE"""),"2fedebf7")</f>
        <v>2fedebf7</v>
      </c>
      <c r="B1024" s="5">
        <f ca="1">IFERROR(__xludf.DUMMYFUNCTION("""COMPUTED_VALUE"""),45909.6762384259)</f>
        <v>45909.676238425898</v>
      </c>
      <c r="C1024" s="2" t="str">
        <f ca="1">IFERROR(__xludf.DUMMYFUNCTION("""COMPUTED_VALUE"""),"1ec2fae4")</f>
        <v>1ec2fae4</v>
      </c>
      <c r="D1024" s="2">
        <f ca="1">IFERROR(__xludf.DUMMYFUNCTION("""COMPUTED_VALUE"""),75)</f>
        <v>75</v>
      </c>
      <c r="E1024" s="2" t="str">
        <f ca="1">IFERROR(__xludf.DUMMYFUNCTION("""COMPUTED_VALUE"""),"Malbec Montecepas 24")</f>
        <v>Malbec Montecepas 24</v>
      </c>
      <c r="F1024" s="2">
        <f ca="1">IFERROR(__xludf.DUMMYFUNCTION("""COMPUTED_VALUE"""),7000)</f>
        <v>7000</v>
      </c>
      <c r="G1024" s="2">
        <f ca="1">IFERROR(__xludf.DUMMYFUNCTION("""COMPUTED_VALUE"""),95)</f>
        <v>95</v>
      </c>
      <c r="H1024" s="2"/>
      <c r="I1024" s="2"/>
      <c r="J1024" s="2">
        <f ca="1">IFERROR(__xludf.DUMMYFUNCTION("""COMPUTED_VALUE"""),0)</f>
        <v>0</v>
      </c>
      <c r="K1024" s="2">
        <f ca="1">IFERROR(__xludf.DUMMYFUNCTION("""COMPUTED_VALUE"""),7000)</f>
        <v>7000</v>
      </c>
      <c r="L1024" s="2" t="str">
        <f ca="1">IFERROR(__xludf.DUMMYFUNCTION("""COMPUTED_VALUE"""),"7d3d98eb")</f>
        <v>7d3d98eb</v>
      </c>
      <c r="M1024" s="2" t="str">
        <f ca="1">IFERROR(__xludf.DUMMYFUNCTION("""COMPUTED_VALUE"""),"Malbec Montecepas 24")</f>
        <v>Malbec Montecepas 24</v>
      </c>
      <c r="N1024" s="2"/>
      <c r="O1024" s="2" t="str">
        <f ca="1">IFERROR(__xludf.DUMMYFUNCTION("""COMPUTED_VALUE"""),"Filtrado Tang")</f>
        <v>Filtrado Tang</v>
      </c>
      <c r="P1024" s="2"/>
      <c r="Q1024" s="2" t="b">
        <f ca="1">IFERROR(__xludf.DUMMYFUNCTION("""COMPUTED_VALUE"""),FALSE)</f>
        <v>0</v>
      </c>
      <c r="R1024" s="2" t="str">
        <f ca="1">IFERROR(__xludf.DUMMYFUNCTION("""COMPUTED_VALUE"""),"Filtrado Tang")</f>
        <v>Filtrado Tang</v>
      </c>
      <c r="S1024" s="2"/>
      <c r="T1024" s="2"/>
      <c r="U1024" s="2" t="str">
        <f ca="1">IFERROR(__xludf.DUMMYFUNCTION("""COMPUTED_VALUE"""),"1+")</f>
        <v>1+</v>
      </c>
    </row>
    <row r="1025" spans="1:21" x14ac:dyDescent="0.25">
      <c r="A1025" s="2" t="str">
        <f ca="1">IFERROR(__xludf.DUMMYFUNCTION("""COMPUTED_VALUE"""),"3da2ce6a")</f>
        <v>3da2ce6a</v>
      </c>
      <c r="B1025" s="5">
        <f ca="1">IFERROR(__xludf.DUMMYFUNCTION("""COMPUTED_VALUE"""),45909.6767476851)</f>
        <v>45909.676747685102</v>
      </c>
      <c r="C1025" s="2" t="str">
        <f ca="1">IFERROR(__xludf.DUMMYFUNCTION("""COMPUTED_VALUE"""),"605416fd")</f>
        <v>605416fd</v>
      </c>
      <c r="D1025" s="2">
        <f ca="1">IFERROR(__xludf.DUMMYFUNCTION("""COMPUTED_VALUE"""),109)</f>
        <v>109</v>
      </c>
      <c r="E1025" s="2" t="str">
        <f ca="1">IFERROR(__xludf.DUMMYFUNCTION("""COMPUTED_VALUE"""),"Bonarda")</f>
        <v>Bonarda</v>
      </c>
      <c r="F1025" s="2">
        <f ca="1">IFERROR(__xludf.DUMMYFUNCTION("""COMPUTED_VALUE"""),6545)</f>
        <v>6545</v>
      </c>
      <c r="G1025" s="2">
        <f ca="1">IFERROR(__xludf.DUMMYFUNCTION("""COMPUTED_VALUE"""),95)</f>
        <v>95</v>
      </c>
      <c r="H1025" s="2" t="str">
        <f ca="1">IFERROR(__xludf.DUMMYFUNCTION("""COMPUTED_VALUE"""),"7d3d98eb")</f>
        <v>7d3d98eb</v>
      </c>
      <c r="I1025" s="2" t="str">
        <f ca="1">IFERROR(__xludf.DUMMYFUNCTION("""COMPUTED_VALUE"""),"Malbec Montecepas 24")</f>
        <v>Malbec Montecepas 24</v>
      </c>
      <c r="J1025" s="2">
        <f ca="1">IFERROR(__xludf.DUMMYFUNCTION("""COMPUTED_VALUE"""),7000)</f>
        <v>7000</v>
      </c>
      <c r="K1025" s="2">
        <f ca="1">IFERROR(__xludf.DUMMYFUNCTION("""COMPUTED_VALUE"""),13545)</f>
        <v>13545</v>
      </c>
      <c r="L1025" s="2" t="str">
        <f ca="1">IFERROR(__xludf.DUMMYFUNCTION("""COMPUTED_VALUE"""),"8d1105d6")</f>
        <v>8d1105d6</v>
      </c>
      <c r="M1025" s="2" t="str">
        <f ca="1">IFERROR(__xludf.DUMMYFUNCTION("""COMPUTED_VALUE"""),"Malbec Bonarda Monte")</f>
        <v>Malbec Bonarda Monte</v>
      </c>
      <c r="N1025" s="2"/>
      <c r="O1025" s="2" t="str">
        <f ca="1">IFERROR(__xludf.DUMMYFUNCTION("""COMPUTED_VALUE"""),"2do Trasiego")</f>
        <v>2do Trasiego</v>
      </c>
      <c r="P1025" s="2" t="str">
        <f ca="1">IFERROR(__xludf.DUMMYFUNCTION("""COMPUTED_VALUE"""),"Filtrado Tang")</f>
        <v>Filtrado Tang</v>
      </c>
      <c r="Q1025" s="2" t="b">
        <f ca="1">IFERROR(__xludf.DUMMYFUNCTION("""COMPUTED_VALUE"""),TRUE)</f>
        <v>1</v>
      </c>
      <c r="R1025" s="2" t="str">
        <f ca="1">IFERROR(__xludf.DUMMYFUNCTION("""COMPUTED_VALUE"""),"Filtrado Tang")</f>
        <v>Filtrado Tang</v>
      </c>
      <c r="S1025" s="2"/>
      <c r="T1025" s="2"/>
      <c r="U1025" s="2" t="str">
        <f ca="1">IFERROR(__xludf.DUMMYFUNCTION("""COMPUTED_VALUE"""),"1+")</f>
        <v>1+</v>
      </c>
    </row>
    <row r="1026" spans="1:21" x14ac:dyDescent="0.25">
      <c r="A1026" s="2" t="str">
        <f ca="1">IFERROR(__xludf.DUMMYFUNCTION("""COMPUTED_VALUE"""),"a3511409")</f>
        <v>a3511409</v>
      </c>
      <c r="B1026" s="5">
        <f ca="1">IFERROR(__xludf.DUMMYFUNCTION("""COMPUTED_VALUE"""),45909.68375)</f>
        <v>45909.683749999997</v>
      </c>
      <c r="C1026" s="2" t="str">
        <f ca="1">IFERROR(__xludf.DUMMYFUNCTION("""COMPUTED_VALUE"""),"dccd4f5e")</f>
        <v>dccd4f5e</v>
      </c>
      <c r="D1026" s="2">
        <f ca="1">IFERROR(__xludf.DUMMYFUNCTION("""COMPUTED_VALUE"""),42)</f>
        <v>42</v>
      </c>
      <c r="E1026" s="2" t="str">
        <f ca="1">IFERROR(__xludf.DUMMYFUNCTION("""COMPUTED_VALUE"""),"Bonarda")</f>
        <v>Bonarda</v>
      </c>
      <c r="F1026" s="2">
        <f ca="1">IFERROR(__xludf.DUMMYFUNCTION("""COMPUTED_VALUE"""),35900)</f>
        <v>35900</v>
      </c>
      <c r="G1026" s="2">
        <f ca="1">IFERROR(__xludf.DUMMYFUNCTION("""COMPUTED_VALUE"""),95)</f>
        <v>95</v>
      </c>
      <c r="H1026" s="2" t="str">
        <f ca="1">IFERROR(__xludf.DUMMYFUNCTION("""COMPUTED_VALUE"""),"8d1105d6")</f>
        <v>8d1105d6</v>
      </c>
      <c r="I1026" s="2" t="str">
        <f ca="1">IFERROR(__xludf.DUMMYFUNCTION("""COMPUTED_VALUE"""),"Bonarda")</f>
        <v>Bonarda</v>
      </c>
      <c r="J1026" s="2">
        <f ca="1">IFERROR(__xludf.DUMMYFUNCTION("""COMPUTED_VALUE"""),13545)</f>
        <v>13545</v>
      </c>
      <c r="K1026" s="2">
        <f ca="1">IFERROR(__xludf.DUMMYFUNCTION("""COMPUTED_VALUE"""),49445)</f>
        <v>49445</v>
      </c>
      <c r="L1026" s="2" t="str">
        <f ca="1">IFERROR(__xludf.DUMMYFUNCTION("""COMPUTED_VALUE"""),"b8260d1d")</f>
        <v>b8260d1d</v>
      </c>
      <c r="M1026" s="2" t="str">
        <f ca="1">IFERROR(__xludf.DUMMYFUNCTION("""COMPUTED_VALUE"""),"Bonarda")</f>
        <v>Bonarda</v>
      </c>
      <c r="N1026" s="2"/>
      <c r="O1026" s="2" t="str">
        <f ca="1">IFERROR(__xludf.DUMMYFUNCTION("""COMPUTED_VALUE"""),"2do Trasiego")</f>
        <v>2do Trasiego</v>
      </c>
      <c r="P1026" s="2" t="str">
        <f ca="1">IFERROR(__xludf.DUMMYFUNCTION("""COMPUTED_VALUE"""),"Filtrado Tang")</f>
        <v>Filtrado Tang</v>
      </c>
      <c r="Q1026" s="2" t="b">
        <f ca="1">IFERROR(__xludf.DUMMYFUNCTION("""COMPUTED_VALUE"""),TRUE)</f>
        <v>1</v>
      </c>
      <c r="R1026" s="2" t="str">
        <f ca="1">IFERROR(__xludf.DUMMYFUNCTION("""COMPUTED_VALUE"""),"Filtrado Tang")</f>
        <v>Filtrado Tang</v>
      </c>
      <c r="S1026" s="2"/>
      <c r="T1026" s="2"/>
      <c r="U1026" s="2" t="str">
        <f ca="1">IFERROR(__xludf.DUMMYFUNCTION("""COMPUTED_VALUE"""),"1+")</f>
        <v>1+</v>
      </c>
    </row>
    <row r="1027" spans="1:21" x14ac:dyDescent="0.25">
      <c r="A1027" s="2" t="str">
        <f ca="1">IFERROR(__xludf.DUMMYFUNCTION("""COMPUTED_VALUE"""),"c87c5c12")</f>
        <v>c87c5c12</v>
      </c>
      <c r="B1027" s="5">
        <f ca="1">IFERROR(__xludf.DUMMYFUNCTION("""COMPUTED_VALUE"""),45910.6630555555)</f>
        <v>45910.663055555502</v>
      </c>
      <c r="C1027" s="2" t="str">
        <f ca="1">IFERROR(__xludf.DUMMYFUNCTION("""COMPUTED_VALUE"""),"5c87f162")</f>
        <v>5c87f162</v>
      </c>
      <c r="D1027" s="2">
        <f ca="1">IFERROR(__xludf.DUMMYFUNCTION("""COMPUTED_VALUE"""),54)</f>
        <v>54</v>
      </c>
      <c r="E1027" s="2" t="str">
        <f ca="1">IFERROR(__xludf.DUMMYFUNCTION("""COMPUTED_VALUE"""),"Syrah")</f>
        <v>Syrah</v>
      </c>
      <c r="F1027" s="2">
        <f ca="1">IFERROR(__xludf.DUMMYFUNCTION("""COMPUTED_VALUE"""),22900)</f>
        <v>22900</v>
      </c>
      <c r="G1027" s="2">
        <f ca="1">IFERROR(__xludf.DUMMYFUNCTION("""COMPUTED_VALUE"""),95)</f>
        <v>95</v>
      </c>
      <c r="H1027" s="2" t="str">
        <f ca="1">IFERROR(__xludf.DUMMYFUNCTION("""COMPUTED_VALUE"""),"b8260d1d")</f>
        <v>b8260d1d</v>
      </c>
      <c r="I1027" s="2" t="str">
        <f ca="1">IFERROR(__xludf.DUMMYFUNCTION("""COMPUTED_VALUE"""),"Bonarda")</f>
        <v>Bonarda</v>
      </c>
      <c r="J1027" s="2">
        <f ca="1">IFERROR(__xludf.DUMMYFUNCTION("""COMPUTED_VALUE"""),49445)</f>
        <v>49445</v>
      </c>
      <c r="K1027" s="2">
        <f ca="1">IFERROR(__xludf.DUMMYFUNCTION("""COMPUTED_VALUE"""),72345)</f>
        <v>72345</v>
      </c>
      <c r="L1027" s="2" t="str">
        <f ca="1">IFERROR(__xludf.DUMMYFUNCTION("""COMPUTED_VALUE"""),"f0de3c6a")</f>
        <v>f0de3c6a</v>
      </c>
      <c r="M1027" s="2" t="str">
        <f ca="1">IFERROR(__xludf.DUMMYFUNCTION("""COMPUTED_VALUE"""),"Bonarda")</f>
        <v>Bonarda</v>
      </c>
      <c r="N1027" s="2"/>
      <c r="O1027" s="2" t="str">
        <f ca="1">IFERROR(__xludf.DUMMYFUNCTION("""COMPUTED_VALUE"""),"2do Trasiego")</f>
        <v>2do Trasiego</v>
      </c>
      <c r="P1027" s="2" t="str">
        <f ca="1">IFERROR(__xludf.DUMMYFUNCTION("""COMPUTED_VALUE"""),"Filtrado Tang")</f>
        <v>Filtrado Tang</v>
      </c>
      <c r="Q1027" s="2" t="b">
        <f ca="1">IFERROR(__xludf.DUMMYFUNCTION("""COMPUTED_VALUE"""),TRUE)</f>
        <v>1</v>
      </c>
      <c r="R1027" s="2" t="str">
        <f ca="1">IFERROR(__xludf.DUMMYFUNCTION("""COMPUTED_VALUE"""),"Filtrado Tang")</f>
        <v>Filtrado Tang</v>
      </c>
      <c r="S1027" s="2"/>
      <c r="T1027" s="2"/>
      <c r="U1027" s="2" t="str">
        <f ca="1">IFERROR(__xludf.DUMMYFUNCTION("""COMPUTED_VALUE"""),"1+")</f>
        <v>1+</v>
      </c>
    </row>
    <row r="1028" spans="1:21" x14ac:dyDescent="0.25">
      <c r="A1028" s="2" t="str">
        <f ca="1">IFERROR(__xludf.DUMMYFUNCTION("""COMPUTED_VALUE"""),"d9a691e8")</f>
        <v>d9a691e8</v>
      </c>
      <c r="B1028" s="5">
        <f ca="1">IFERROR(__xludf.DUMMYFUNCTION("""COMPUTED_VALUE"""),45910.7401736111)</f>
        <v>45910.740173611099</v>
      </c>
      <c r="C1028" s="2" t="str">
        <f ca="1">IFERROR(__xludf.DUMMYFUNCTION("""COMPUTED_VALUE"""),"f8ffe3ae")</f>
        <v>f8ffe3ae</v>
      </c>
      <c r="D1028" s="2">
        <f ca="1">IFERROR(__xludf.DUMMYFUNCTION("""COMPUTED_VALUE"""),89)</f>
        <v>89</v>
      </c>
      <c r="E1028" s="2" t="str">
        <f ca="1">IFERROR(__xludf.DUMMYFUNCTION("""COMPUTED_VALUE"""),"Syrah")</f>
        <v>Syrah</v>
      </c>
      <c r="F1028" s="2">
        <f ca="1">IFERROR(__xludf.DUMMYFUNCTION("""COMPUTED_VALUE"""),4755)</f>
        <v>4755</v>
      </c>
      <c r="G1028" s="2">
        <f ca="1">IFERROR(__xludf.DUMMYFUNCTION("""COMPUTED_VALUE"""),95)</f>
        <v>95</v>
      </c>
      <c r="H1028" s="2" t="str">
        <f ca="1">IFERROR(__xludf.DUMMYFUNCTION("""COMPUTED_VALUE"""),"f0de3c6a")</f>
        <v>f0de3c6a</v>
      </c>
      <c r="I1028" s="2" t="str">
        <f ca="1">IFERROR(__xludf.DUMMYFUNCTION("""COMPUTED_VALUE"""),"Bonarda")</f>
        <v>Bonarda</v>
      </c>
      <c r="J1028" s="2">
        <f ca="1">IFERROR(__xludf.DUMMYFUNCTION("""COMPUTED_VALUE"""),72345)</f>
        <v>72345</v>
      </c>
      <c r="K1028" s="2">
        <f ca="1">IFERROR(__xludf.DUMMYFUNCTION("""COMPUTED_VALUE"""),77100)</f>
        <v>77100</v>
      </c>
      <c r="L1028" s="2" t="str">
        <f ca="1">IFERROR(__xludf.DUMMYFUNCTION("""COMPUTED_VALUE"""),"3817159a")</f>
        <v>3817159a</v>
      </c>
      <c r="M1028" s="2" t="str">
        <f ca="1">IFERROR(__xludf.DUMMYFUNCTION("""COMPUTED_VALUE"""),"Bonarda")</f>
        <v>Bonarda</v>
      </c>
      <c r="N1028" s="2"/>
      <c r="O1028" s="2" t="str">
        <f ca="1">IFERROR(__xludf.DUMMYFUNCTION("""COMPUTED_VALUE"""),"2do Trasiego")</f>
        <v>2do Trasiego</v>
      </c>
      <c r="P1028" s="2" t="str">
        <f ca="1">IFERROR(__xludf.DUMMYFUNCTION("""COMPUTED_VALUE"""),"Filtrado Tang")</f>
        <v>Filtrado Tang</v>
      </c>
      <c r="Q1028" s="2" t="b">
        <f ca="1">IFERROR(__xludf.DUMMYFUNCTION("""COMPUTED_VALUE"""),TRUE)</f>
        <v>1</v>
      </c>
      <c r="R1028" s="2" t="str">
        <f ca="1">IFERROR(__xludf.DUMMYFUNCTION("""COMPUTED_VALUE"""),"Filtrado Tang")</f>
        <v>Filtrado Tang</v>
      </c>
      <c r="S1028" s="2"/>
      <c r="T1028" s="2"/>
      <c r="U1028" s="2" t="str">
        <f ca="1">IFERROR(__xludf.DUMMYFUNCTION("""COMPUTED_VALUE"""),"1+")</f>
        <v>1+</v>
      </c>
    </row>
    <row r="1029" spans="1:21" x14ac:dyDescent="0.25">
      <c r="A1029" s="2" t="str">
        <f ca="1">IFERROR(__xludf.DUMMYFUNCTION("""COMPUTED_VALUE"""),"57083888")</f>
        <v>57083888</v>
      </c>
      <c r="B1029" s="5">
        <f ca="1">IFERROR(__xludf.DUMMYFUNCTION("""COMPUTED_VALUE"""),45910.740474537)</f>
        <v>45910.740474537</v>
      </c>
      <c r="C1029" s="2" t="str">
        <f ca="1">IFERROR(__xludf.DUMMYFUNCTION("""COMPUTED_VALUE"""),"f8ffe3ae")</f>
        <v>f8ffe3ae</v>
      </c>
      <c r="D1029" s="2">
        <f ca="1">IFERROR(__xludf.DUMMYFUNCTION("""COMPUTED_VALUE"""),89)</f>
        <v>89</v>
      </c>
      <c r="E1029" s="2" t="str">
        <f ca="1">IFERROR(__xludf.DUMMYFUNCTION("""COMPUTED_VALUE"""),"Syrah")</f>
        <v>Syrah</v>
      </c>
      <c r="F1029" s="2">
        <f ca="1">IFERROR(__xludf.DUMMYFUNCTION("""COMPUTED_VALUE"""),1945)</f>
        <v>1945</v>
      </c>
      <c r="G1029" s="2">
        <f ca="1">IFERROR(__xludf.DUMMYFUNCTION("""COMPUTED_VALUE"""),50)</f>
        <v>50</v>
      </c>
      <c r="H1029" s="2" t="str">
        <f ca="1">IFERROR(__xludf.DUMMYFUNCTION("""COMPUTED_VALUE"""),"c0adfb80")</f>
        <v>c0adfb80</v>
      </c>
      <c r="I1029" s="2" t="str">
        <f ca="1">IFERROR(__xludf.DUMMYFUNCTION("""COMPUTED_VALUE"""),"Malbec Montecepas 24")</f>
        <v>Malbec Montecepas 24</v>
      </c>
      <c r="J1029" s="2">
        <f ca="1">IFERROR(__xludf.DUMMYFUNCTION("""COMPUTED_VALUE"""),1950)</f>
        <v>1950</v>
      </c>
      <c r="K1029" s="2">
        <f ca="1">IFERROR(__xludf.DUMMYFUNCTION("""COMPUTED_VALUE"""),3895)</f>
        <v>3895</v>
      </c>
      <c r="L1029" s="2" t="str">
        <f ca="1">IFERROR(__xludf.DUMMYFUNCTION("""COMPUTED_VALUE"""),"6c8e752a")</f>
        <v>6c8e752a</v>
      </c>
      <c r="M1029" s="2" t="str">
        <f ca="1">IFERROR(__xludf.DUMMYFUNCTION("""COMPUTED_VALUE"""),"Syrah")</f>
        <v>Syrah</v>
      </c>
      <c r="N1029" s="2"/>
      <c r="O1029" s="2" t="str">
        <f ca="1">IFERROR(__xludf.DUMMYFUNCTION("""COMPUTED_VALUE"""),"2do Trasiego")</f>
        <v>2do Trasiego</v>
      </c>
      <c r="P1029" s="2" t="str">
        <f ca="1">IFERROR(__xludf.DUMMYFUNCTION("""COMPUTED_VALUE"""),"Filtrado Tang")</f>
        <v>Filtrado Tang</v>
      </c>
      <c r="Q1029" s="2" t="b">
        <f ca="1">IFERROR(__xludf.DUMMYFUNCTION("""COMPUTED_VALUE"""),FALSE)</f>
        <v>0</v>
      </c>
      <c r="R1029" s="2" t="str">
        <f ca="1">IFERROR(__xludf.DUMMYFUNCTION("""COMPUTED_VALUE"""),"2do Trasiego")</f>
        <v>2do Trasiego</v>
      </c>
      <c r="S1029" s="2"/>
      <c r="T1029" s="2"/>
      <c r="U1029" s="2" t="str">
        <f ca="1">IFERROR(__xludf.DUMMYFUNCTION("""COMPUTED_VALUE"""),"1")</f>
        <v>1</v>
      </c>
    </row>
    <row r="1030" spans="1:21" x14ac:dyDescent="0.25">
      <c r="A1030" s="2" t="str">
        <f ca="1">IFERROR(__xludf.DUMMYFUNCTION("""COMPUTED_VALUE"""),"c6f28b6f")</f>
        <v>c6f28b6f</v>
      </c>
      <c r="B1030" s="5">
        <f ca="1">IFERROR(__xludf.DUMMYFUNCTION("""COMPUTED_VALUE"""),45911.4544328703)</f>
        <v>45911.454432870298</v>
      </c>
      <c r="C1030" s="2" t="str">
        <f ca="1">IFERROR(__xludf.DUMMYFUNCTION("""COMPUTED_VALUE"""),"3f5178fd")</f>
        <v>3f5178fd</v>
      </c>
      <c r="D1030" s="2">
        <f ca="1">IFERROR(__xludf.DUMMYFUNCTION("""COMPUTED_VALUE"""),107)</f>
        <v>107</v>
      </c>
      <c r="E1030" s="2" t="str">
        <f ca="1">IFERROR(__xludf.DUMMYFUNCTION("""COMPUTED_VALUE"""),"Bonarda")</f>
        <v>Bonarda</v>
      </c>
      <c r="F1030" s="2">
        <f ca="1">IFERROR(__xludf.DUMMYFUNCTION("""COMPUTED_VALUE"""),1205)</f>
        <v>1205</v>
      </c>
      <c r="G1030" s="2">
        <f ca="1">IFERROR(__xludf.DUMMYFUNCTION("""COMPUTED_VALUE"""),50)</f>
        <v>50</v>
      </c>
      <c r="H1030" s="2" t="str">
        <f ca="1">IFERROR(__xludf.DUMMYFUNCTION("""COMPUTED_VALUE"""),"6c8e752a")</f>
        <v>6c8e752a</v>
      </c>
      <c r="I1030" s="2" t="str">
        <f ca="1">IFERROR(__xludf.DUMMYFUNCTION("""COMPUTED_VALUE"""),"Syrah")</f>
        <v>Syrah</v>
      </c>
      <c r="J1030" s="2">
        <f ca="1">IFERROR(__xludf.DUMMYFUNCTION("""COMPUTED_VALUE"""),3895)</f>
        <v>3895</v>
      </c>
      <c r="K1030" s="2">
        <f ca="1">IFERROR(__xludf.DUMMYFUNCTION("""COMPUTED_VALUE"""),5100)</f>
        <v>5100</v>
      </c>
      <c r="L1030" s="2" t="str">
        <f ca="1">IFERROR(__xludf.DUMMYFUNCTION("""COMPUTED_VALUE"""),"84f483bd")</f>
        <v>84f483bd</v>
      </c>
      <c r="M1030" s="2" t="str">
        <f ca="1">IFERROR(__xludf.DUMMYFUNCTION("""COMPUTED_VALUE"""),"Syrah")</f>
        <v>Syrah</v>
      </c>
      <c r="N1030" s="2"/>
      <c r="O1030" s="2" t="str">
        <f ca="1">IFERROR(__xludf.DUMMYFUNCTION("""COMPUTED_VALUE"""),"2do Trasiego")</f>
        <v>2do Trasiego</v>
      </c>
      <c r="P1030" s="2" t="str">
        <f ca="1">IFERROR(__xludf.DUMMYFUNCTION("""COMPUTED_VALUE"""),"2do Trasiego")</f>
        <v>2do Trasiego</v>
      </c>
      <c r="Q1030" s="2" t="b">
        <f ca="1">IFERROR(__xludf.DUMMYFUNCTION("""COMPUTED_VALUE"""),TRUE)</f>
        <v>1</v>
      </c>
      <c r="R1030" s="2" t="str">
        <f ca="1">IFERROR(__xludf.DUMMYFUNCTION("""COMPUTED_VALUE"""),"Filtrado Tang")</f>
        <v>Filtrado Tang</v>
      </c>
      <c r="S1030" s="2"/>
      <c r="T1030" s="2"/>
      <c r="U1030" s="2" t="str">
        <f ca="1">IFERROR(__xludf.DUMMYFUNCTION("""COMPUTED_VALUE"""),"1")</f>
        <v>1</v>
      </c>
    </row>
    <row r="1031" spans="1:21" x14ac:dyDescent="0.25">
      <c r="A1031" s="2" t="str">
        <f ca="1">IFERROR(__xludf.DUMMYFUNCTION("""COMPUTED_VALUE"""),"ec0aa30d")</f>
        <v>ec0aa30d</v>
      </c>
      <c r="B1031" s="5">
        <f ca="1">IFERROR(__xludf.DUMMYFUNCTION("""COMPUTED_VALUE"""),45911.4547222222)</f>
        <v>45911.454722222203</v>
      </c>
      <c r="C1031" s="2" t="str">
        <f ca="1">IFERROR(__xludf.DUMMYFUNCTION("""COMPUTED_VALUE"""),"3f5178fd")</f>
        <v>3f5178fd</v>
      </c>
      <c r="D1031" s="2">
        <f ca="1">IFERROR(__xludf.DUMMYFUNCTION("""COMPUTED_VALUE"""),107)</f>
        <v>107</v>
      </c>
      <c r="E1031" s="2" t="str">
        <f ca="1">IFERROR(__xludf.DUMMYFUNCTION("""COMPUTED_VALUE"""),"Bonarda")</f>
        <v>Bonarda</v>
      </c>
      <c r="F1031" s="2">
        <f ca="1">IFERROR(__xludf.DUMMYFUNCTION("""COMPUTED_VALUE"""),29000)</f>
        <v>29000</v>
      </c>
      <c r="G1031" s="2">
        <f ca="1">IFERROR(__xludf.DUMMYFUNCTION("""COMPUTED_VALUE"""),46)</f>
        <v>46</v>
      </c>
      <c r="H1031" s="2"/>
      <c r="I1031" s="2"/>
      <c r="J1031" s="2">
        <f ca="1">IFERROR(__xludf.DUMMYFUNCTION("""COMPUTED_VALUE"""),0)</f>
        <v>0</v>
      </c>
      <c r="K1031" s="2">
        <f ca="1">IFERROR(__xludf.DUMMYFUNCTION("""COMPUTED_VALUE"""),29000)</f>
        <v>29000</v>
      </c>
      <c r="L1031" s="2" t="str">
        <f ca="1">IFERROR(__xludf.DUMMYFUNCTION("""COMPUTED_VALUE"""),"c205e72b")</f>
        <v>c205e72b</v>
      </c>
      <c r="M1031" s="2" t="str">
        <f ca="1">IFERROR(__xludf.DUMMYFUNCTION("""COMPUTED_VALUE"""),"Bonarda")</f>
        <v>Bonarda</v>
      </c>
      <c r="N1031" s="2"/>
      <c r="O1031" s="2" t="str">
        <f ca="1">IFERROR(__xludf.DUMMYFUNCTION("""COMPUTED_VALUE"""),"2do Trasiego")</f>
        <v>2do Trasiego</v>
      </c>
      <c r="P1031" s="2"/>
      <c r="Q1031" s="2" t="b">
        <f ca="1">IFERROR(__xludf.DUMMYFUNCTION("""COMPUTED_VALUE"""),FALSE)</f>
        <v>0</v>
      </c>
      <c r="R1031" s="2" t="str">
        <f ca="1">IFERROR(__xludf.DUMMYFUNCTION("""COMPUTED_VALUE"""),"Filtrado Tang")</f>
        <v>Filtrado Tang</v>
      </c>
      <c r="S1031" s="2"/>
      <c r="T1031" s="2"/>
      <c r="U1031" s="2" t="str">
        <f ca="1">IFERROR(__xludf.DUMMYFUNCTION("""COMPUTED_VALUE"""),"1+")</f>
        <v>1+</v>
      </c>
    </row>
    <row r="1032" spans="1:21" x14ac:dyDescent="0.25">
      <c r="A1032" s="2" t="str">
        <f ca="1">IFERROR(__xludf.DUMMYFUNCTION("""COMPUTED_VALUE"""),"ec59ca01")</f>
        <v>ec59ca01</v>
      </c>
      <c r="B1032" s="5">
        <f ca="1">IFERROR(__xludf.DUMMYFUNCTION("""COMPUTED_VALUE"""),45911.4557754629)</f>
        <v>45911.455775462899</v>
      </c>
      <c r="C1032" s="2" t="str">
        <f ca="1">IFERROR(__xludf.DUMMYFUNCTION("""COMPUTED_VALUE"""),"3f5178fd")</f>
        <v>3f5178fd</v>
      </c>
      <c r="D1032" s="2">
        <f ca="1">IFERROR(__xludf.DUMMYFUNCTION("""COMPUTED_VALUE"""),107)</f>
        <v>107</v>
      </c>
      <c r="E1032" s="2" t="str">
        <f ca="1">IFERROR(__xludf.DUMMYFUNCTION("""COMPUTED_VALUE"""),"Bonarda")</f>
        <v>Bonarda</v>
      </c>
      <c r="F1032" s="2">
        <f ca="1">IFERROR(__xludf.DUMMYFUNCTION("""COMPUTED_VALUE"""),795)</f>
        <v>795</v>
      </c>
      <c r="G1032" s="2">
        <f ca="1">IFERROR(__xludf.DUMMYFUNCTION("""COMPUTED_VALUE"""),92)</f>
        <v>92</v>
      </c>
      <c r="H1032" s="2"/>
      <c r="I1032" s="2"/>
      <c r="J1032" s="2">
        <f ca="1">IFERROR(__xludf.DUMMYFUNCTION("""COMPUTED_VALUE"""),0)</f>
        <v>0</v>
      </c>
      <c r="K1032" s="2">
        <f ca="1">IFERROR(__xludf.DUMMYFUNCTION("""COMPUTED_VALUE"""),795)</f>
        <v>795</v>
      </c>
      <c r="L1032" s="2" t="str">
        <f ca="1">IFERROR(__xludf.DUMMYFUNCTION("""COMPUTED_VALUE"""),"a2a6a2b9")</f>
        <v>a2a6a2b9</v>
      </c>
      <c r="M1032" s="2" t="str">
        <f ca="1">IFERROR(__xludf.DUMMYFUNCTION("""COMPUTED_VALUE"""),"Bonarda")</f>
        <v>Bonarda</v>
      </c>
      <c r="N1032" s="2"/>
      <c r="O1032" s="2" t="str">
        <f ca="1">IFERROR(__xludf.DUMMYFUNCTION("""COMPUTED_VALUE"""),"2do Trasiego")</f>
        <v>2do Trasiego</v>
      </c>
      <c r="P1032" s="2"/>
      <c r="Q1032" s="2" t="b">
        <f ca="1">IFERROR(__xludf.DUMMYFUNCTION("""COMPUTED_VALUE"""),FALSE)</f>
        <v>0</v>
      </c>
      <c r="R1032" s="2" t="str">
        <f ca="1">IFERROR(__xludf.DUMMYFUNCTION("""COMPUTED_VALUE"""),"Filtrado Tang")</f>
        <v>Filtrado Tang</v>
      </c>
      <c r="S1032" s="2"/>
      <c r="T1032" s="2"/>
      <c r="U1032" s="2" t="str">
        <f ca="1">IFERROR(__xludf.DUMMYFUNCTION("""COMPUTED_VALUE"""),"1+")</f>
        <v>1+</v>
      </c>
    </row>
    <row r="1033" spans="1:21" x14ac:dyDescent="0.25">
      <c r="A1033" s="2" t="str">
        <f ca="1">IFERROR(__xludf.DUMMYFUNCTION("""COMPUTED_VALUE"""),"40583717")</f>
        <v>40583717</v>
      </c>
      <c r="B1033" s="5">
        <f ca="1">IFERROR(__xludf.DUMMYFUNCTION("""COMPUTED_VALUE"""),45911.4563194444)</f>
        <v>45911.456319444398</v>
      </c>
      <c r="C1033" s="2" t="str">
        <f ca="1">IFERROR(__xludf.DUMMYFUNCTION("""COMPUTED_VALUE"""),"eb6cce4f")</f>
        <v>eb6cce4f</v>
      </c>
      <c r="D1033" s="2">
        <f ca="1">IFERROR(__xludf.DUMMYFUNCTION("""COMPUTED_VALUE"""),67)</f>
        <v>67</v>
      </c>
      <c r="E1033" s="2" t="str">
        <f ca="1">IFERROR(__xludf.DUMMYFUNCTION("""COMPUTED_VALUE"""),"Anccelotta")</f>
        <v>Anccelotta</v>
      </c>
      <c r="F1033" s="2">
        <f ca="1">IFERROR(__xludf.DUMMYFUNCTION("""COMPUTED_VALUE"""),23000)</f>
        <v>23000</v>
      </c>
      <c r="G1033" s="2">
        <f ca="1">IFERROR(__xludf.DUMMYFUNCTION("""COMPUTED_VALUE"""),92)</f>
        <v>92</v>
      </c>
      <c r="H1033" s="2" t="str">
        <f ca="1">IFERROR(__xludf.DUMMYFUNCTION("""COMPUTED_VALUE"""),"a2a6a2b9")</f>
        <v>a2a6a2b9</v>
      </c>
      <c r="I1033" s="2" t="str">
        <f ca="1">IFERROR(__xludf.DUMMYFUNCTION("""COMPUTED_VALUE"""),"Bonarda")</f>
        <v>Bonarda</v>
      </c>
      <c r="J1033" s="2">
        <f ca="1">IFERROR(__xludf.DUMMYFUNCTION("""COMPUTED_VALUE"""),795)</f>
        <v>795</v>
      </c>
      <c r="K1033" s="2">
        <f ca="1">IFERROR(__xludf.DUMMYFUNCTION("""COMPUTED_VALUE"""),23795)</f>
        <v>23795</v>
      </c>
      <c r="L1033" s="2" t="str">
        <f ca="1">IFERROR(__xludf.DUMMYFUNCTION("""COMPUTED_VALUE"""),"02c07273")</f>
        <v>02c07273</v>
      </c>
      <c r="M1033" s="2" t="str">
        <f ca="1">IFERROR(__xludf.DUMMYFUNCTION("""COMPUTED_VALUE"""),"Anccelotta")</f>
        <v>Anccelotta</v>
      </c>
      <c r="N1033" s="2"/>
      <c r="O1033" s="2" t="str">
        <f ca="1">IFERROR(__xludf.DUMMYFUNCTION("""COMPUTED_VALUE"""),"2do Trasiego")</f>
        <v>2do Trasiego</v>
      </c>
      <c r="P1033" s="2" t="str">
        <f ca="1">IFERROR(__xludf.DUMMYFUNCTION("""COMPUTED_VALUE"""),"Filtrado Tang")</f>
        <v>Filtrado Tang</v>
      </c>
      <c r="Q1033" s="2" t="b">
        <f ca="1">IFERROR(__xludf.DUMMYFUNCTION("""COMPUTED_VALUE"""),FALSE)</f>
        <v>0</v>
      </c>
      <c r="R1033" s="2" t="str">
        <f ca="1">IFERROR(__xludf.DUMMYFUNCTION("""COMPUTED_VALUE"""),"Filtrado Tang")</f>
        <v>Filtrado Tang</v>
      </c>
      <c r="S1033" s="2"/>
      <c r="T1033" s="2"/>
      <c r="U1033" s="2" t="str">
        <f ca="1">IFERROR(__xludf.DUMMYFUNCTION("""COMPUTED_VALUE"""),"1-")</f>
        <v>1-</v>
      </c>
    </row>
    <row r="1034" spans="1:21" x14ac:dyDescent="0.25">
      <c r="A1034" s="2" t="str">
        <f ca="1">IFERROR(__xludf.DUMMYFUNCTION("""COMPUTED_VALUE"""),"3f42476a")</f>
        <v>3f42476a</v>
      </c>
      <c r="B1034" s="5">
        <f ca="1">IFERROR(__xludf.DUMMYFUNCTION("""COMPUTED_VALUE"""),45911.4567824074)</f>
        <v>45911.456782407397</v>
      </c>
      <c r="C1034" s="2" t="str">
        <f ca="1">IFERROR(__xludf.DUMMYFUNCTION("""COMPUTED_VALUE"""),"10b87434")</f>
        <v>10b87434</v>
      </c>
      <c r="D1034" s="2">
        <f ca="1">IFERROR(__xludf.DUMMYFUNCTION("""COMPUTED_VALUE"""),14)</f>
        <v>14</v>
      </c>
      <c r="E1034" s="2" t="str">
        <f ca="1">IFERROR(__xludf.DUMMYFUNCTION("""COMPUTED_VALUE"""),"Aspirant")</f>
        <v>Aspirant</v>
      </c>
      <c r="F1034" s="2">
        <f ca="1">IFERROR(__xludf.DUMMYFUNCTION("""COMPUTED_VALUE"""),37000)</f>
        <v>37000</v>
      </c>
      <c r="G1034" s="2">
        <f ca="1">IFERROR(__xludf.DUMMYFUNCTION("""COMPUTED_VALUE"""),92)</f>
        <v>92</v>
      </c>
      <c r="H1034" s="2" t="str">
        <f ca="1">IFERROR(__xludf.DUMMYFUNCTION("""COMPUTED_VALUE"""),"02c07273")</f>
        <v>02c07273</v>
      </c>
      <c r="I1034" s="2" t="str">
        <f ca="1">IFERROR(__xludf.DUMMYFUNCTION("""COMPUTED_VALUE"""),"Anccelotta")</f>
        <v>Anccelotta</v>
      </c>
      <c r="J1034" s="2">
        <f ca="1">IFERROR(__xludf.DUMMYFUNCTION("""COMPUTED_VALUE"""),23795)</f>
        <v>23795</v>
      </c>
      <c r="K1034" s="2">
        <f ca="1">IFERROR(__xludf.DUMMYFUNCTION("""COMPUTED_VALUE"""),60795)</f>
        <v>60795</v>
      </c>
      <c r="L1034" s="2" t="str">
        <f ca="1">IFERROR(__xludf.DUMMYFUNCTION("""COMPUTED_VALUE"""),"b8c6e35d")</f>
        <v>b8c6e35d</v>
      </c>
      <c r="M1034" s="2" t="str">
        <f ca="1">IFERROR(__xludf.DUMMYFUNCTION("""COMPUTED_VALUE"""),"Anccelotta Aspirant")</f>
        <v>Anccelotta Aspirant</v>
      </c>
      <c r="N1034" s="2"/>
      <c r="O1034" s="2" t="str">
        <f ca="1">IFERROR(__xludf.DUMMYFUNCTION("""COMPUTED_VALUE"""),"2do Trasiego")</f>
        <v>2do Trasiego</v>
      </c>
      <c r="P1034" s="2" t="str">
        <f ca="1">IFERROR(__xludf.DUMMYFUNCTION("""COMPUTED_VALUE"""),"Filtrado Tang")</f>
        <v>Filtrado Tang</v>
      </c>
      <c r="Q1034" s="2" t="b">
        <f ca="1">IFERROR(__xludf.DUMMYFUNCTION("""COMPUTED_VALUE"""),TRUE)</f>
        <v>1</v>
      </c>
      <c r="R1034" s="2" t="str">
        <f ca="1">IFERROR(__xludf.DUMMYFUNCTION("""COMPUTED_VALUE"""),"Filtrado Tang")</f>
        <v>Filtrado Tang</v>
      </c>
      <c r="S1034" s="2"/>
      <c r="T1034" s="2"/>
      <c r="U1034" s="2" t="str">
        <f ca="1">IFERROR(__xludf.DUMMYFUNCTION("""COMPUTED_VALUE"""),"1-")</f>
        <v>1-</v>
      </c>
    </row>
    <row r="1035" spans="1:21" x14ac:dyDescent="0.25">
      <c r="A1035" s="2" t="str">
        <f ca="1">IFERROR(__xludf.DUMMYFUNCTION("""COMPUTED_VALUE"""),"0a02e31f")</f>
        <v>0a02e31f</v>
      </c>
      <c r="B1035" s="5">
        <f ca="1">IFERROR(__xludf.DUMMYFUNCTION("""COMPUTED_VALUE"""),45911.5298263888)</f>
        <v>45911.529826388803</v>
      </c>
      <c r="C1035" s="2" t="str">
        <f ca="1">IFERROR(__xludf.DUMMYFUNCTION("""COMPUTED_VALUE"""),"82553e9b")</f>
        <v>82553e9b</v>
      </c>
      <c r="D1035" s="2">
        <f ca="1">IFERROR(__xludf.DUMMYFUNCTION("""COMPUTED_VALUE"""),74)</f>
        <v>74</v>
      </c>
      <c r="E1035" s="2" t="str">
        <f ca="1">IFERROR(__xludf.DUMMYFUNCTION("""COMPUTED_VALUE"""),"Tinto Caroyense")</f>
        <v>Tinto Caroyense</v>
      </c>
      <c r="F1035" s="2">
        <f ca="1">IFERROR(__xludf.DUMMYFUNCTION("""COMPUTED_VALUE"""),13000)</f>
        <v>13000</v>
      </c>
      <c r="G1035" s="2">
        <f ca="1">IFERROR(__xludf.DUMMYFUNCTION("""COMPUTED_VALUE"""),500)</f>
        <v>500</v>
      </c>
      <c r="H1035" s="2"/>
      <c r="I1035" s="2"/>
      <c r="J1035" s="2">
        <f ca="1">IFERROR(__xludf.DUMMYFUNCTION("""COMPUTED_VALUE"""),0)</f>
        <v>0</v>
      </c>
      <c r="K1035" s="2">
        <f ca="1">IFERROR(__xludf.DUMMYFUNCTION("""COMPUTED_VALUE"""),13000)</f>
        <v>13000</v>
      </c>
      <c r="L1035" s="2" t="str">
        <f ca="1">IFERROR(__xludf.DUMMYFUNCTION("""COMPUTED_VALUE"""),"3669b5de")</f>
        <v>3669b5de</v>
      </c>
      <c r="M1035" s="2" t="str">
        <f ca="1">IFERROR(__xludf.DUMMYFUNCTION("""COMPUTED_VALUE"""),"Tinto Caroyense - Traslado")</f>
        <v>Tinto Caroyense - Traslado</v>
      </c>
      <c r="N1035" s="2"/>
      <c r="O1035" s="2" t="str">
        <f ca="1">IFERROR(__xludf.DUMMYFUNCTION("""COMPUTED_VALUE"""),"Filtrado Tang")</f>
        <v>Filtrado Tang</v>
      </c>
      <c r="P1035" s="2"/>
      <c r="Q1035" s="2" t="b">
        <f ca="1">IFERROR(__xludf.DUMMYFUNCTION("""COMPUTED_VALUE"""),FALSE)</f>
        <v>0</v>
      </c>
      <c r="R1035" s="2" t="str">
        <f ca="1">IFERROR(__xludf.DUMMYFUNCTION("""COMPUTED_VALUE"""),"Traslado Venta")</f>
        <v>Traslado Venta</v>
      </c>
      <c r="S1035" s="2"/>
      <c r="T1035" s="2"/>
      <c r="U1035" s="2" t="str">
        <f ca="1">IFERROR(__xludf.DUMMYFUNCTION("""COMPUTED_VALUE"""),"1+")</f>
        <v>1+</v>
      </c>
    </row>
    <row r="1036" spans="1:21" x14ac:dyDescent="0.25">
      <c r="A1036" s="2" t="str">
        <f ca="1">IFERROR(__xludf.DUMMYFUNCTION("""COMPUTED_VALUE"""),"9f156284")</f>
        <v>9f156284</v>
      </c>
      <c r="B1036" s="5">
        <f ca="1">IFERROR(__xludf.DUMMYFUNCTION("""COMPUTED_VALUE"""),45911.5302199074)</f>
        <v>45911.530219907399</v>
      </c>
      <c r="C1036" s="2" t="str">
        <f ca="1">IFERROR(__xludf.DUMMYFUNCTION("""COMPUTED_VALUE"""),"b6edaacc")</f>
        <v>b6edaacc</v>
      </c>
      <c r="D1036" s="2">
        <f ca="1">IFERROR(__xludf.DUMMYFUNCTION("""COMPUTED_VALUE"""),76)</f>
        <v>76</v>
      </c>
      <c r="E1036" s="2" t="str">
        <f ca="1">IFERROR(__xludf.DUMMYFUNCTION("""COMPUTED_VALUE"""),"Tinto Caroyense")</f>
        <v>Tinto Caroyense</v>
      </c>
      <c r="F1036" s="2">
        <f ca="1">IFERROR(__xludf.DUMMYFUNCTION("""COMPUTED_VALUE"""),23600)</f>
        <v>23600</v>
      </c>
      <c r="G1036" s="2">
        <f ca="1">IFERROR(__xludf.DUMMYFUNCTION("""COMPUTED_VALUE"""),500)</f>
        <v>500</v>
      </c>
      <c r="H1036" s="2" t="str">
        <f ca="1">IFERROR(__xludf.DUMMYFUNCTION("""COMPUTED_VALUE"""),"3669b5de")</f>
        <v>3669b5de</v>
      </c>
      <c r="I1036" s="2" t="str">
        <f ca="1">IFERROR(__xludf.DUMMYFUNCTION("""COMPUTED_VALUE"""),"Tinto Caroyense - Traslado")</f>
        <v>Tinto Caroyense - Traslado</v>
      </c>
      <c r="J1036" s="2">
        <f ca="1">IFERROR(__xludf.DUMMYFUNCTION("""COMPUTED_VALUE"""),13000)</f>
        <v>13000</v>
      </c>
      <c r="K1036" s="2">
        <f ca="1">IFERROR(__xludf.DUMMYFUNCTION("""COMPUTED_VALUE"""),36600)</f>
        <v>36600</v>
      </c>
      <c r="L1036" s="2" t="str">
        <f ca="1">IFERROR(__xludf.DUMMYFUNCTION("""COMPUTED_VALUE"""),"dfcd9aa9")</f>
        <v>dfcd9aa9</v>
      </c>
      <c r="M1036" s="2" t="str">
        <f ca="1">IFERROR(__xludf.DUMMYFUNCTION("""COMPUTED_VALUE"""),"Tinto Caroyense - Traslado")</f>
        <v>Tinto Caroyense - Traslado</v>
      </c>
      <c r="N1036" s="2"/>
      <c r="O1036" s="2" t="str">
        <f ca="1">IFERROR(__xludf.DUMMYFUNCTION("""COMPUTED_VALUE"""),"Filtrado Tang")</f>
        <v>Filtrado Tang</v>
      </c>
      <c r="P1036" s="2" t="str">
        <f ca="1">IFERROR(__xludf.DUMMYFUNCTION("""COMPUTED_VALUE"""),"Traslado Venta")</f>
        <v>Traslado Venta</v>
      </c>
      <c r="Q1036" s="2" t="b">
        <f ca="1">IFERROR(__xludf.DUMMYFUNCTION("""COMPUTED_VALUE"""),TRUE)</f>
        <v>1</v>
      </c>
      <c r="R1036" s="2" t="str">
        <f ca="1">IFERROR(__xludf.DUMMYFUNCTION("""COMPUTED_VALUE"""),"Traslado Venta")</f>
        <v>Traslado Venta</v>
      </c>
      <c r="S1036" s="2"/>
      <c r="T1036" s="2"/>
      <c r="U1036" s="2" t="str">
        <f ca="1">IFERROR(__xludf.DUMMYFUNCTION("""COMPUTED_VALUE"""),"1+")</f>
        <v>1+</v>
      </c>
    </row>
    <row r="1037" spans="1:21" x14ac:dyDescent="0.25">
      <c r="A1037" s="2" t="str">
        <f ca="1">IFERROR(__xludf.DUMMYFUNCTION("""COMPUTED_VALUE"""),"e3345e30")</f>
        <v>e3345e30</v>
      </c>
      <c r="B1037" s="5">
        <f ca="1">IFERROR(__xludf.DUMMYFUNCTION("""COMPUTED_VALUE"""),45911.5308101851)</f>
        <v>45911.530810185097</v>
      </c>
      <c r="C1037" s="2" t="str">
        <f ca="1">IFERROR(__xludf.DUMMYFUNCTION("""COMPUTED_VALUE"""),"b6edaacc")</f>
        <v>b6edaacc</v>
      </c>
      <c r="D1037" s="2">
        <f ca="1">IFERROR(__xludf.DUMMYFUNCTION("""COMPUTED_VALUE"""),76)</f>
        <v>76</v>
      </c>
      <c r="E1037" s="2" t="str">
        <f ca="1">IFERROR(__xludf.DUMMYFUNCTION("""COMPUTED_VALUE"""),"Tinto Caroyense")</f>
        <v>Tinto Caroyense</v>
      </c>
      <c r="F1037" s="2">
        <f ca="1">IFERROR(__xludf.DUMMYFUNCTION("""COMPUTED_VALUE"""),1900)</f>
        <v>1900</v>
      </c>
      <c r="G1037" s="2">
        <f ca="1">IFERROR(__xludf.DUMMYFUNCTION("""COMPUTED_VALUE"""),118)</f>
        <v>118</v>
      </c>
      <c r="H1037" s="2" t="str">
        <f ca="1">IFERROR(__xludf.DUMMYFUNCTION("""COMPUTED_VALUE"""),"76fe7029")</f>
        <v>76fe7029</v>
      </c>
      <c r="I1037" s="2" t="str">
        <f ca="1">IFERROR(__xludf.DUMMYFUNCTION("""COMPUTED_VALUE"""),"Tinto")</f>
        <v>Tinto</v>
      </c>
      <c r="J1037" s="2">
        <f ca="1">IFERROR(__xludf.DUMMYFUNCTION("""COMPUTED_VALUE"""),117100)</f>
        <v>117100</v>
      </c>
      <c r="K1037" s="2">
        <f ca="1">IFERROR(__xludf.DUMMYFUNCTION("""COMPUTED_VALUE"""),119000)</f>
        <v>119000</v>
      </c>
      <c r="L1037" s="2" t="str">
        <f ca="1">IFERROR(__xludf.DUMMYFUNCTION("""COMPUTED_VALUE"""),"2a30273c")</f>
        <v>2a30273c</v>
      </c>
      <c r="M1037" s="2" t="str">
        <f ca="1">IFERROR(__xludf.DUMMYFUNCTION("""COMPUTED_VALUE"""),"Tinto")</f>
        <v>Tinto</v>
      </c>
      <c r="N1037" s="2"/>
      <c r="O1037" s="2" t="str">
        <f ca="1">IFERROR(__xludf.DUMMYFUNCTION("""COMPUTED_VALUE"""),"Filtrado Tang")</f>
        <v>Filtrado Tang</v>
      </c>
      <c r="P1037" s="2" t="str">
        <f ca="1">IFERROR(__xludf.DUMMYFUNCTION("""COMPUTED_VALUE"""),"2do Trasiego")</f>
        <v>2do Trasiego</v>
      </c>
      <c r="Q1037" s="2" t="b">
        <f ca="1">IFERROR(__xludf.DUMMYFUNCTION("""COMPUTED_VALUE"""),TRUE)</f>
        <v>1</v>
      </c>
      <c r="R1037" s="2" t="str">
        <f ca="1">IFERROR(__xludf.DUMMYFUNCTION("""COMPUTED_VALUE"""),"2do Trasiego")</f>
        <v>2do Trasiego</v>
      </c>
      <c r="S1037" s="2"/>
      <c r="T1037" s="2"/>
      <c r="U1037" s="2" t="str">
        <f ca="1">IFERROR(__xludf.DUMMYFUNCTION("""COMPUTED_VALUE"""),"1+")</f>
        <v>1+</v>
      </c>
    </row>
    <row r="1038" spans="1:21" x14ac:dyDescent="0.25">
      <c r="A1038" s="2" t="str">
        <f ca="1">IFERROR(__xludf.DUMMYFUNCTION("""COMPUTED_VALUE"""),"b4b808ef")</f>
        <v>b4b808ef</v>
      </c>
      <c r="B1038" s="5">
        <f ca="1">IFERROR(__xludf.DUMMYFUNCTION("""COMPUTED_VALUE"""),45912.719074074)</f>
        <v>45912.719074073997</v>
      </c>
      <c r="C1038" s="2" t="str">
        <f ca="1">IFERROR(__xludf.DUMMYFUNCTION("""COMPUTED_VALUE"""),"2a30273c")</f>
        <v>2a30273c</v>
      </c>
      <c r="D1038" s="2">
        <f ca="1">IFERROR(__xludf.DUMMYFUNCTION("""COMPUTED_VALUE"""),118)</f>
        <v>118</v>
      </c>
      <c r="E1038" s="2" t="str">
        <f ca="1">IFERROR(__xludf.DUMMYFUNCTION("""COMPUTED_VALUE"""),"Tinto")</f>
        <v>Tinto</v>
      </c>
      <c r="F1038" s="2">
        <f ca="1">IFERROR(__xludf.DUMMYFUNCTION("""COMPUTED_VALUE"""),119000)</f>
        <v>119000</v>
      </c>
      <c r="G1038" s="2">
        <f ca="1">IFERROR(__xludf.DUMMYFUNCTION("""COMPUTED_VALUE"""),500)</f>
        <v>500</v>
      </c>
      <c r="H1038" s="2"/>
      <c r="I1038" s="2"/>
      <c r="J1038" s="2">
        <f ca="1">IFERROR(__xludf.DUMMYFUNCTION("""COMPUTED_VALUE"""),0)</f>
        <v>0</v>
      </c>
      <c r="K1038" s="2">
        <f ca="1">IFERROR(__xludf.DUMMYFUNCTION("""COMPUTED_VALUE"""),119000)</f>
        <v>119000</v>
      </c>
      <c r="L1038" s="2" t="str">
        <f ca="1">IFERROR(__xludf.DUMMYFUNCTION("""COMPUTED_VALUE"""),"44fc8cef")</f>
        <v>44fc8cef</v>
      </c>
      <c r="M1038" s="2" t="str">
        <f ca="1">IFERROR(__xludf.DUMMYFUNCTION("""COMPUTED_VALUE"""),"Tinto Traslado Almabras")</f>
        <v>Tinto Traslado Almabras</v>
      </c>
      <c r="N1038" s="2"/>
      <c r="O1038" s="2" t="str">
        <f ca="1">IFERROR(__xludf.DUMMYFUNCTION("""COMPUTED_VALUE"""),"2do Trasiego")</f>
        <v>2do Trasiego</v>
      </c>
      <c r="P1038" s="2"/>
      <c r="Q1038" s="2" t="b">
        <f ca="1">IFERROR(__xludf.DUMMYFUNCTION("""COMPUTED_VALUE"""),FALSE)</f>
        <v>0</v>
      </c>
      <c r="R1038" s="2" t="str">
        <f ca="1">IFERROR(__xludf.DUMMYFUNCTION("""COMPUTED_VALUE"""),"2do Trasiego")</f>
        <v>2do Trasiego</v>
      </c>
      <c r="S1038" s="2"/>
      <c r="T1038" s="2"/>
      <c r="U1038" s="2" t="str">
        <f ca="1">IFERROR(__xludf.DUMMYFUNCTION("""COMPUTED_VALUE"""),"1+")</f>
        <v>1+</v>
      </c>
    </row>
    <row r="1039" spans="1:21" x14ac:dyDescent="0.25">
      <c r="A1039" s="2" t="str">
        <f ca="1">IFERROR(__xludf.DUMMYFUNCTION("""COMPUTED_VALUE"""),"faa78184")</f>
        <v>faa78184</v>
      </c>
      <c r="B1039" s="5">
        <f ca="1">IFERROR(__xludf.DUMMYFUNCTION("""COMPUTED_VALUE"""),45912.7197916666)</f>
        <v>45912.719791666597</v>
      </c>
      <c r="C1039" s="2" t="str">
        <f ca="1">IFERROR(__xludf.DUMMYFUNCTION("""COMPUTED_VALUE"""),"84f483bd")</f>
        <v>84f483bd</v>
      </c>
      <c r="D1039" s="2">
        <f ca="1">IFERROR(__xludf.DUMMYFUNCTION("""COMPUTED_VALUE"""),50)</f>
        <v>50</v>
      </c>
      <c r="E1039" s="2" t="str">
        <f ca="1">IFERROR(__xludf.DUMMYFUNCTION("""COMPUTED_VALUE"""),"Syrah")</f>
        <v>Syrah</v>
      </c>
      <c r="F1039" s="2">
        <f ca="1">IFERROR(__xludf.DUMMYFUNCTION("""COMPUTED_VALUE"""),2700)</f>
        <v>2700</v>
      </c>
      <c r="G1039" s="2">
        <f ca="1">IFERROR(__xludf.DUMMYFUNCTION("""COMPUTED_VALUE"""),500)</f>
        <v>500</v>
      </c>
      <c r="H1039" s="2" t="str">
        <f ca="1">IFERROR(__xludf.DUMMYFUNCTION("""COMPUTED_VALUE"""),"44fc8cef")</f>
        <v>44fc8cef</v>
      </c>
      <c r="I1039" s="2" t="str">
        <f ca="1">IFERROR(__xludf.DUMMYFUNCTION("""COMPUTED_VALUE"""),"Tinto Traslado Almabras")</f>
        <v>Tinto Traslado Almabras</v>
      </c>
      <c r="J1039" s="2">
        <f ca="1">IFERROR(__xludf.DUMMYFUNCTION("""COMPUTED_VALUE"""),119000)</f>
        <v>119000</v>
      </c>
      <c r="K1039" s="2">
        <f ca="1">IFERROR(__xludf.DUMMYFUNCTION("""COMPUTED_VALUE"""),121700)</f>
        <v>121700</v>
      </c>
      <c r="L1039" s="2" t="str">
        <f ca="1">IFERROR(__xludf.DUMMYFUNCTION("""COMPUTED_VALUE"""),"18e218b5")</f>
        <v>18e218b5</v>
      </c>
      <c r="M1039" s="2" t="str">
        <f ca="1">IFERROR(__xludf.DUMMYFUNCTION("""COMPUTED_VALUE"""),"Tinto Traslado Almabras")</f>
        <v>Tinto Traslado Almabras</v>
      </c>
      <c r="N1039" s="2"/>
      <c r="O1039" s="2" t="str">
        <f ca="1">IFERROR(__xludf.DUMMYFUNCTION("""COMPUTED_VALUE"""),"Filtrado Tang")</f>
        <v>Filtrado Tang</v>
      </c>
      <c r="P1039" s="2" t="str">
        <f ca="1">IFERROR(__xludf.DUMMYFUNCTION("""COMPUTED_VALUE"""),"2do Trasiego")</f>
        <v>2do Trasiego</v>
      </c>
      <c r="Q1039" s="2" t="b">
        <f ca="1">IFERROR(__xludf.DUMMYFUNCTION("""COMPUTED_VALUE"""),TRUE)</f>
        <v>1</v>
      </c>
      <c r="R1039" s="2" t="str">
        <f ca="1">IFERROR(__xludf.DUMMYFUNCTION("""COMPUTED_VALUE"""),"2do Trasiego")</f>
        <v>2do Trasiego</v>
      </c>
      <c r="S1039" s="2"/>
      <c r="T1039" s="2"/>
      <c r="U1039" s="2" t="str">
        <f ca="1">IFERROR(__xludf.DUMMYFUNCTION("""COMPUTED_VALUE"""),"1+")</f>
        <v>1+</v>
      </c>
    </row>
    <row r="1040" spans="1:21" x14ac:dyDescent="0.25">
      <c r="A1040" s="2" t="str">
        <f ca="1">IFERROR(__xludf.DUMMYFUNCTION("""COMPUTED_VALUE"""),"2363524b")</f>
        <v>2363524b</v>
      </c>
      <c r="B1040" s="5">
        <f ca="1">IFERROR(__xludf.DUMMYFUNCTION("""COMPUTED_VALUE"""),45918.5278472222)</f>
        <v>45918.527847222198</v>
      </c>
      <c r="C1040" s="2" t="str">
        <f ca="1">IFERROR(__xludf.DUMMYFUNCTION("""COMPUTED_VALUE"""),"734aedeb")</f>
        <v>734aedeb</v>
      </c>
      <c r="D1040" s="2">
        <f ca="1">IFERROR(__xludf.DUMMYFUNCTION("""COMPUTED_VALUE"""),86)</f>
        <v>86</v>
      </c>
      <c r="E1040" s="2" t="str">
        <f ca="1">IFERROR(__xludf.DUMMYFUNCTION("""COMPUTED_VALUE"""),"Malbec")</f>
        <v>Malbec</v>
      </c>
      <c r="F1040" s="2">
        <f ca="1">IFERROR(__xludf.DUMMYFUNCTION("""COMPUTED_VALUE"""),52000)</f>
        <v>52000</v>
      </c>
      <c r="G1040" s="2">
        <f ca="1">IFERROR(__xludf.DUMMYFUNCTION("""COMPUTED_VALUE"""),26)</f>
        <v>26</v>
      </c>
      <c r="H1040" s="2"/>
      <c r="I1040" s="2"/>
      <c r="J1040" s="2">
        <f ca="1">IFERROR(__xludf.DUMMYFUNCTION("""COMPUTED_VALUE"""),0)</f>
        <v>0</v>
      </c>
      <c r="K1040" s="2">
        <f ca="1">IFERROR(__xludf.DUMMYFUNCTION("""COMPUTED_VALUE"""),52000)</f>
        <v>52000</v>
      </c>
      <c r="L1040" s="2" t="str">
        <f ca="1">IFERROR(__xludf.DUMMYFUNCTION("""COMPUTED_VALUE"""),"f04b5872")</f>
        <v>f04b5872</v>
      </c>
      <c r="M1040" s="2" t="str">
        <f ca="1">IFERROR(__xludf.DUMMYFUNCTION("""COMPUTED_VALUE"""),"Malbec")</f>
        <v>Malbec</v>
      </c>
      <c r="N1040" s="2"/>
      <c r="O1040" s="2" t="str">
        <f ca="1">IFERROR(__xludf.DUMMYFUNCTION("""COMPUTED_VALUE"""),"Filtrado Tang")</f>
        <v>Filtrado Tang</v>
      </c>
      <c r="P1040" s="2"/>
      <c r="Q1040" s="2" t="b">
        <f ca="1">IFERROR(__xludf.DUMMYFUNCTION("""COMPUTED_VALUE"""),FALSE)</f>
        <v>0</v>
      </c>
      <c r="R1040" s="2" t="str">
        <f ca="1">IFERROR(__xludf.DUMMYFUNCTION("""COMPUTED_VALUE"""),"Filtrado Tang")</f>
        <v>Filtrado Tang</v>
      </c>
      <c r="S1040" s="2"/>
      <c r="T1040" s="2"/>
      <c r="U1040" s="2" t="str">
        <f ca="1">IFERROR(__xludf.DUMMYFUNCTION("""COMPUTED_VALUE"""),"1+")</f>
        <v>1+</v>
      </c>
    </row>
    <row r="1041" spans="1:21" x14ac:dyDescent="0.25">
      <c r="A1041" s="2" t="str">
        <f ca="1">IFERROR(__xludf.DUMMYFUNCTION("""COMPUTED_VALUE"""),"27594017")</f>
        <v>27594017</v>
      </c>
      <c r="B1041" s="5">
        <f ca="1">IFERROR(__xludf.DUMMYFUNCTION("""COMPUTED_VALUE"""),45918.5282754629)</f>
        <v>45918.528275462901</v>
      </c>
      <c r="C1041" s="2" t="str">
        <f ca="1">IFERROR(__xludf.DUMMYFUNCTION("""COMPUTED_VALUE"""),"3817159a")</f>
        <v>3817159a</v>
      </c>
      <c r="D1041" s="2">
        <f ca="1">IFERROR(__xludf.DUMMYFUNCTION("""COMPUTED_VALUE"""),95)</f>
        <v>95</v>
      </c>
      <c r="E1041" s="2" t="str">
        <f ca="1">IFERROR(__xludf.DUMMYFUNCTION("""COMPUTED_VALUE"""),"Bonarda")</f>
        <v>Bonarda</v>
      </c>
      <c r="F1041" s="2">
        <f ca="1">IFERROR(__xludf.DUMMYFUNCTION("""COMPUTED_VALUE"""),77100)</f>
        <v>77100</v>
      </c>
      <c r="G1041" s="2">
        <f ca="1">IFERROR(__xludf.DUMMYFUNCTION("""COMPUTED_VALUE"""),26)</f>
        <v>26</v>
      </c>
      <c r="H1041" s="2" t="str">
        <f ca="1">IFERROR(__xludf.DUMMYFUNCTION("""COMPUTED_VALUE"""),"f04b5872")</f>
        <v>f04b5872</v>
      </c>
      <c r="I1041" s="2" t="str">
        <f ca="1">IFERROR(__xludf.DUMMYFUNCTION("""COMPUTED_VALUE"""),"Malbec")</f>
        <v>Malbec</v>
      </c>
      <c r="J1041" s="2">
        <f ca="1">IFERROR(__xludf.DUMMYFUNCTION("""COMPUTED_VALUE"""),52000)</f>
        <v>52000</v>
      </c>
      <c r="K1041" s="2">
        <f ca="1">IFERROR(__xludf.DUMMYFUNCTION("""COMPUTED_VALUE"""),129100)</f>
        <v>129100</v>
      </c>
      <c r="L1041" s="2" t="str">
        <f ca="1">IFERROR(__xludf.DUMMYFUNCTION("""COMPUTED_VALUE"""),"113a60bd")</f>
        <v>113a60bd</v>
      </c>
      <c r="M1041" s="2" t="str">
        <f ca="1">IFERROR(__xludf.DUMMYFUNCTION("""COMPUTED_VALUE"""),"Malbec")</f>
        <v>Malbec</v>
      </c>
      <c r="N1041" s="2"/>
      <c r="O1041" s="2" t="str">
        <f ca="1">IFERROR(__xludf.DUMMYFUNCTION("""COMPUTED_VALUE"""),"Filtrado Tang")</f>
        <v>Filtrado Tang</v>
      </c>
      <c r="P1041" s="2" t="str">
        <f ca="1">IFERROR(__xludf.DUMMYFUNCTION("""COMPUTED_VALUE"""),"Filtrado Tang")</f>
        <v>Filtrado Tang</v>
      </c>
      <c r="Q1041" s="2" t="b">
        <f ca="1">IFERROR(__xludf.DUMMYFUNCTION("""COMPUTED_VALUE"""),TRUE)</f>
        <v>1</v>
      </c>
      <c r="R1041" s="2" t="str">
        <f ca="1">IFERROR(__xludf.DUMMYFUNCTION("""COMPUTED_VALUE"""),"Filtrado Tang")</f>
        <v>Filtrado Tang</v>
      </c>
      <c r="S1041" s="2"/>
      <c r="T1041" s="2"/>
      <c r="U1041" s="2" t="str">
        <f ca="1">IFERROR(__xludf.DUMMYFUNCTION("""COMPUTED_VALUE"""),"1+")</f>
        <v>1+</v>
      </c>
    </row>
    <row r="1042" spans="1:21" x14ac:dyDescent="0.25">
      <c r="A1042" s="2" t="str">
        <f ca="1">IFERROR(__xludf.DUMMYFUNCTION("""COMPUTED_VALUE"""),"7d7b4e38")</f>
        <v>7d7b4e38</v>
      </c>
      <c r="B1042" s="5">
        <f ca="1">IFERROR(__xludf.DUMMYFUNCTION("""COMPUTED_VALUE"""),45918.5288194444)</f>
        <v>45918.5288194444</v>
      </c>
      <c r="C1042" s="2" t="str">
        <f ca="1">IFERROR(__xludf.DUMMYFUNCTION("""COMPUTED_VALUE"""),"97e4f782")</f>
        <v>97e4f782</v>
      </c>
      <c r="D1042" s="2">
        <f ca="1">IFERROR(__xludf.DUMMYFUNCTION("""COMPUTED_VALUE"""),115)</f>
        <v>115</v>
      </c>
      <c r="E1042" s="2" t="str">
        <f ca="1">IFERROR(__xludf.DUMMYFUNCTION("""COMPUTED_VALUE"""),"Syrah")</f>
        <v>Syrah</v>
      </c>
      <c r="F1042" s="2">
        <f ca="1">IFERROR(__xludf.DUMMYFUNCTION("""COMPUTED_VALUE"""),78500)</f>
        <v>78500</v>
      </c>
      <c r="G1042" s="2">
        <f ca="1">IFERROR(__xludf.DUMMYFUNCTION("""COMPUTED_VALUE"""),26)</f>
        <v>26</v>
      </c>
      <c r="H1042" s="2" t="str">
        <f ca="1">IFERROR(__xludf.DUMMYFUNCTION("""COMPUTED_VALUE"""),"113a60bd")</f>
        <v>113a60bd</v>
      </c>
      <c r="I1042" s="2" t="str">
        <f ca="1">IFERROR(__xludf.DUMMYFUNCTION("""COMPUTED_VALUE"""),"Malbec")</f>
        <v>Malbec</v>
      </c>
      <c r="J1042" s="2">
        <f ca="1">IFERROR(__xludf.DUMMYFUNCTION("""COMPUTED_VALUE"""),129100)</f>
        <v>129100</v>
      </c>
      <c r="K1042" s="2">
        <f ca="1">IFERROR(__xludf.DUMMYFUNCTION("""COMPUTED_VALUE"""),207600)</f>
        <v>207600</v>
      </c>
      <c r="L1042" s="2" t="str">
        <f ca="1">IFERROR(__xludf.DUMMYFUNCTION("""COMPUTED_VALUE"""),"242455c6")</f>
        <v>242455c6</v>
      </c>
      <c r="M1042" s="2" t="str">
        <f ca="1">IFERROR(__xludf.DUMMYFUNCTION("""COMPUTED_VALUE"""),"Malbec")</f>
        <v>Malbec</v>
      </c>
      <c r="N1042" s="2"/>
      <c r="O1042" s="2" t="str">
        <f ca="1">IFERROR(__xludf.DUMMYFUNCTION("""COMPUTED_VALUE"""),"Filtrado Tang")</f>
        <v>Filtrado Tang</v>
      </c>
      <c r="P1042" s="2" t="str">
        <f ca="1">IFERROR(__xludf.DUMMYFUNCTION("""COMPUTED_VALUE"""),"Filtrado Tang")</f>
        <v>Filtrado Tang</v>
      </c>
      <c r="Q1042" s="2" t="b">
        <f ca="1">IFERROR(__xludf.DUMMYFUNCTION("""COMPUTED_VALUE"""),TRUE)</f>
        <v>1</v>
      </c>
      <c r="R1042" s="2" t="str">
        <f ca="1">IFERROR(__xludf.DUMMYFUNCTION("""COMPUTED_VALUE"""),"Filtrado Tang")</f>
        <v>Filtrado Tang</v>
      </c>
      <c r="S1042" s="2"/>
      <c r="T1042" s="2"/>
      <c r="U1042" s="2" t="str">
        <f ca="1">IFERROR(__xludf.DUMMYFUNCTION("""COMPUTED_VALUE"""),"1+")</f>
        <v>1+</v>
      </c>
    </row>
    <row r="1043" spans="1:21" x14ac:dyDescent="0.25">
      <c r="A1043" s="2" t="str">
        <f ca="1">IFERROR(__xludf.DUMMYFUNCTION("""COMPUTED_VALUE"""),"d85d33d4")</f>
        <v>d85d33d4</v>
      </c>
      <c r="B1043" s="5">
        <f ca="1">IFERROR(__xludf.DUMMYFUNCTION("""COMPUTED_VALUE"""),45919.4668171296)</f>
        <v>45919.4668171296</v>
      </c>
      <c r="C1043" s="2" t="str">
        <f ca="1">IFERROR(__xludf.DUMMYFUNCTION("""COMPUTED_VALUE"""),"97e4f782")</f>
        <v>97e4f782</v>
      </c>
      <c r="D1043" s="2">
        <f ca="1">IFERROR(__xludf.DUMMYFUNCTION("""COMPUTED_VALUE"""),115)</f>
        <v>115</v>
      </c>
      <c r="E1043" s="2" t="str">
        <f ca="1">IFERROR(__xludf.DUMMYFUNCTION("""COMPUTED_VALUE"""),"Syrah")</f>
        <v>Syrah</v>
      </c>
      <c r="F1043" s="2">
        <f ca="1">IFERROR(__xludf.DUMMYFUNCTION("""COMPUTED_VALUE"""),41700)</f>
        <v>41700</v>
      </c>
      <c r="G1043" s="2">
        <f ca="1">IFERROR(__xludf.DUMMYFUNCTION("""COMPUTED_VALUE"""),95)</f>
        <v>95</v>
      </c>
      <c r="H1043" s="2"/>
      <c r="I1043" s="2"/>
      <c r="J1043" s="2">
        <f ca="1">IFERROR(__xludf.DUMMYFUNCTION("""COMPUTED_VALUE"""),0)</f>
        <v>0</v>
      </c>
      <c r="K1043" s="2">
        <f ca="1">IFERROR(__xludf.DUMMYFUNCTION("""COMPUTED_VALUE"""),41700)</f>
        <v>41700</v>
      </c>
      <c r="L1043" s="2" t="str">
        <f ca="1">IFERROR(__xludf.DUMMYFUNCTION("""COMPUTED_VALUE"""),"3a99e2de")</f>
        <v>3a99e2de</v>
      </c>
      <c r="M1043" s="2" t="str">
        <f ca="1">IFERROR(__xludf.DUMMYFUNCTION("""COMPUTED_VALUE"""),"Syrah")</f>
        <v>Syrah</v>
      </c>
      <c r="N1043" s="2"/>
      <c r="O1043" s="2" t="str">
        <f ca="1">IFERROR(__xludf.DUMMYFUNCTION("""COMPUTED_VALUE"""),"Filtrado Tang")</f>
        <v>Filtrado Tang</v>
      </c>
      <c r="P1043" s="2"/>
      <c r="Q1043" s="2" t="b">
        <f ca="1">IFERROR(__xludf.DUMMYFUNCTION("""COMPUTED_VALUE"""),FALSE)</f>
        <v>0</v>
      </c>
      <c r="R1043" s="2" t="str">
        <f ca="1">IFERROR(__xludf.DUMMYFUNCTION("""COMPUTED_VALUE"""),"Filtrado Tang")</f>
        <v>Filtrado Tang</v>
      </c>
      <c r="S1043" s="2"/>
      <c r="T1043" s="2"/>
      <c r="U1043" s="2" t="str">
        <f ca="1">IFERROR(__xludf.DUMMYFUNCTION("""COMPUTED_VALUE"""),"1")</f>
        <v>1</v>
      </c>
    </row>
    <row r="1044" spans="1:21" x14ac:dyDescent="0.25">
      <c r="A1044" s="2" t="str">
        <f ca="1">IFERROR(__xludf.DUMMYFUNCTION("""COMPUTED_VALUE"""),"8089eb42")</f>
        <v>8089eb42</v>
      </c>
      <c r="B1044" s="5">
        <f ca="1">IFERROR(__xludf.DUMMYFUNCTION("""COMPUTED_VALUE"""),45919.4673379629)</f>
        <v>45919.467337962902</v>
      </c>
      <c r="C1044" s="2" t="str">
        <f ca="1">IFERROR(__xludf.DUMMYFUNCTION("""COMPUTED_VALUE"""),"734aedeb")</f>
        <v>734aedeb</v>
      </c>
      <c r="D1044" s="2">
        <f ca="1">IFERROR(__xludf.DUMMYFUNCTION("""COMPUTED_VALUE"""),86)</f>
        <v>86</v>
      </c>
      <c r="E1044" s="2" t="str">
        <f ca="1">IFERROR(__xludf.DUMMYFUNCTION("""COMPUTED_VALUE"""),"Malbec")</f>
        <v>Malbec</v>
      </c>
      <c r="F1044" s="2">
        <f ca="1">IFERROR(__xludf.DUMMYFUNCTION("""COMPUTED_VALUE"""),35400)</f>
        <v>35400</v>
      </c>
      <c r="G1044" s="2">
        <f ca="1">IFERROR(__xludf.DUMMYFUNCTION("""COMPUTED_VALUE"""),95)</f>
        <v>95</v>
      </c>
      <c r="H1044" s="2" t="str">
        <f ca="1">IFERROR(__xludf.DUMMYFUNCTION("""COMPUTED_VALUE"""),"3a99e2de")</f>
        <v>3a99e2de</v>
      </c>
      <c r="I1044" s="2" t="str">
        <f ca="1">IFERROR(__xludf.DUMMYFUNCTION("""COMPUTED_VALUE"""),"Syrah")</f>
        <v>Syrah</v>
      </c>
      <c r="J1044" s="2">
        <f ca="1">IFERROR(__xludf.DUMMYFUNCTION("""COMPUTED_VALUE"""),41700)</f>
        <v>41700</v>
      </c>
      <c r="K1044" s="2">
        <f ca="1">IFERROR(__xludf.DUMMYFUNCTION("""COMPUTED_VALUE"""),77100)</f>
        <v>77100</v>
      </c>
      <c r="L1044" s="2" t="str">
        <f ca="1">IFERROR(__xludf.DUMMYFUNCTION("""COMPUTED_VALUE"""),"83dc62c7")</f>
        <v>83dc62c7</v>
      </c>
      <c r="M1044" s="2" t="str">
        <f ca="1">IFERROR(__xludf.DUMMYFUNCTION("""COMPUTED_VALUE"""),"Syrah")</f>
        <v>Syrah</v>
      </c>
      <c r="N1044" s="2"/>
      <c r="O1044" s="2" t="str">
        <f ca="1">IFERROR(__xludf.DUMMYFUNCTION("""COMPUTED_VALUE"""),"Filtrado Tang")</f>
        <v>Filtrado Tang</v>
      </c>
      <c r="P1044" s="2" t="str">
        <f ca="1">IFERROR(__xludf.DUMMYFUNCTION("""COMPUTED_VALUE"""),"Filtrado Tang")</f>
        <v>Filtrado Tang</v>
      </c>
      <c r="Q1044" s="2" t="b">
        <f ca="1">IFERROR(__xludf.DUMMYFUNCTION("""COMPUTED_VALUE"""),TRUE)</f>
        <v>1</v>
      </c>
      <c r="R1044" s="2" t="str">
        <f ca="1">IFERROR(__xludf.DUMMYFUNCTION("""COMPUTED_VALUE"""),"Filtrado Tang")</f>
        <v>Filtrado Tang</v>
      </c>
      <c r="S1044" s="2"/>
      <c r="T1044" s="2"/>
      <c r="U1044" s="2" t="str">
        <f ca="1">IFERROR(__xludf.DUMMYFUNCTION("""COMPUTED_VALUE"""),"1")</f>
        <v>1</v>
      </c>
    </row>
    <row r="1045" spans="1:21" x14ac:dyDescent="0.25">
      <c r="A1045" s="2" t="str">
        <f ca="1">IFERROR(__xludf.DUMMYFUNCTION("""COMPUTED_VALUE"""),"6919992c")</f>
        <v>6919992c</v>
      </c>
      <c r="B1045" s="5">
        <f ca="1">IFERROR(__xludf.DUMMYFUNCTION("""COMPUTED_VALUE"""),45919.4713194444)</f>
        <v>45919.471319444398</v>
      </c>
      <c r="C1045" s="2" t="str">
        <f ca="1">IFERROR(__xludf.DUMMYFUNCTION("""COMPUTED_VALUE"""),"b9a9005f")</f>
        <v>b9a9005f</v>
      </c>
      <c r="D1045" s="2">
        <f ca="1">IFERROR(__xludf.DUMMYFUNCTION("""COMPUTED_VALUE"""),72)</f>
        <v>72</v>
      </c>
      <c r="E1045" s="2" t="str">
        <f ca="1">IFERROR(__xludf.DUMMYFUNCTION("""COMPUTED_VALUE"""),"Aspirant Anccelota Gota")</f>
        <v>Aspirant Anccelota Gota</v>
      </c>
      <c r="F1045" s="2">
        <f ca="1">IFERROR(__xludf.DUMMYFUNCTION("""COMPUTED_VALUE"""),13000)</f>
        <v>13000</v>
      </c>
      <c r="G1045" s="2">
        <f ca="1">IFERROR(__xludf.DUMMYFUNCTION("""COMPUTED_VALUE"""),92)</f>
        <v>92</v>
      </c>
      <c r="H1045" s="2" t="str">
        <f ca="1">IFERROR(__xludf.DUMMYFUNCTION("""COMPUTED_VALUE"""),"b8c6e35d")</f>
        <v>b8c6e35d</v>
      </c>
      <c r="I1045" s="2" t="str">
        <f ca="1">IFERROR(__xludf.DUMMYFUNCTION("""COMPUTED_VALUE"""),"Anccelotta Aspirant")</f>
        <v>Anccelotta Aspirant</v>
      </c>
      <c r="J1045" s="2">
        <f ca="1">IFERROR(__xludf.DUMMYFUNCTION("""COMPUTED_VALUE"""),60795)</f>
        <v>60795</v>
      </c>
      <c r="K1045" s="2">
        <f ca="1">IFERROR(__xludf.DUMMYFUNCTION("""COMPUTED_VALUE"""),73795)</f>
        <v>73795</v>
      </c>
      <c r="L1045" s="2" t="str">
        <f ca="1">IFERROR(__xludf.DUMMYFUNCTION("""COMPUTED_VALUE"""),"f56d94be")</f>
        <v>f56d94be</v>
      </c>
      <c r="M1045" s="2" t="str">
        <f ca="1">IFERROR(__xludf.DUMMYFUNCTION("""COMPUTED_VALUE"""),"Anccelotta Aspirant")</f>
        <v>Anccelotta Aspirant</v>
      </c>
      <c r="N1045" s="2"/>
      <c r="O1045" s="2" t="str">
        <f ca="1">IFERROR(__xludf.DUMMYFUNCTION("""COMPUTED_VALUE"""),"2do Trasiego")</f>
        <v>2do Trasiego</v>
      </c>
      <c r="P1045" s="2" t="str">
        <f ca="1">IFERROR(__xludf.DUMMYFUNCTION("""COMPUTED_VALUE"""),"Filtrado Tang")</f>
        <v>Filtrado Tang</v>
      </c>
      <c r="Q1045" s="2" t="b">
        <f ca="1">IFERROR(__xludf.DUMMYFUNCTION("""COMPUTED_VALUE"""),TRUE)</f>
        <v>1</v>
      </c>
      <c r="R1045" s="2" t="str">
        <f ca="1">IFERROR(__xludf.DUMMYFUNCTION("""COMPUTED_VALUE"""),"Filtrado Tang")</f>
        <v>Filtrado Tang</v>
      </c>
      <c r="S1045" s="2"/>
      <c r="T1045" s="2"/>
      <c r="U1045" s="2" t="str">
        <f ca="1">IFERROR(__xludf.DUMMYFUNCTION("""COMPUTED_VALUE"""),"1-")</f>
        <v>1-</v>
      </c>
    </row>
    <row r="1046" spans="1:21" x14ac:dyDescent="0.25">
      <c r="A1046" s="2" t="str">
        <f ca="1">IFERROR(__xludf.DUMMYFUNCTION("""COMPUTED_VALUE"""),"bd6fc26a")</f>
        <v>bd6fc26a</v>
      </c>
      <c r="B1046" s="5">
        <f ca="1">IFERROR(__xludf.DUMMYFUNCTION("""COMPUTED_VALUE"""),45919.472037037)</f>
        <v>45919.472037036998</v>
      </c>
      <c r="C1046" s="2" t="str">
        <f ca="1">IFERROR(__xludf.DUMMYFUNCTION("""COMPUTED_VALUE"""),"32fe7ee0")</f>
        <v>32fe7ee0</v>
      </c>
      <c r="D1046" s="2">
        <f ca="1">IFERROR(__xludf.DUMMYFUNCTION("""COMPUTED_VALUE"""),106)</f>
        <v>106</v>
      </c>
      <c r="E1046" s="2" t="str">
        <f ca="1">IFERROR(__xludf.DUMMYFUNCTION("""COMPUTED_VALUE"""),"Aspirant 24")</f>
        <v>Aspirant 24</v>
      </c>
      <c r="F1046" s="2">
        <f ca="1">IFERROR(__xludf.DUMMYFUNCTION("""COMPUTED_VALUE"""),2205)</f>
        <v>2205</v>
      </c>
      <c r="G1046" s="2">
        <f ca="1">IFERROR(__xludf.DUMMYFUNCTION("""COMPUTED_VALUE"""),92)</f>
        <v>92</v>
      </c>
      <c r="H1046" s="2" t="str">
        <f ca="1">IFERROR(__xludf.DUMMYFUNCTION("""COMPUTED_VALUE"""),"f56d94be")</f>
        <v>f56d94be</v>
      </c>
      <c r="I1046" s="2" t="str">
        <f ca="1">IFERROR(__xludf.DUMMYFUNCTION("""COMPUTED_VALUE"""),"Anccelotta Aspirant")</f>
        <v>Anccelotta Aspirant</v>
      </c>
      <c r="J1046" s="2">
        <f ca="1">IFERROR(__xludf.DUMMYFUNCTION("""COMPUTED_VALUE"""),73795)</f>
        <v>73795</v>
      </c>
      <c r="K1046" s="2">
        <f ca="1">IFERROR(__xludf.DUMMYFUNCTION("""COMPUTED_VALUE"""),76000)</f>
        <v>76000</v>
      </c>
      <c r="L1046" s="2" t="str">
        <f ca="1">IFERROR(__xludf.DUMMYFUNCTION("""COMPUTED_VALUE"""),"98de285d")</f>
        <v>98de285d</v>
      </c>
      <c r="M1046" s="2" t="str">
        <f ca="1">IFERROR(__xludf.DUMMYFUNCTION("""COMPUTED_VALUE"""),"Anccelotta Aspirant")</f>
        <v>Anccelotta Aspirant</v>
      </c>
      <c r="N1046" s="2"/>
      <c r="O1046" s="2" t="str">
        <f ca="1">IFERROR(__xludf.DUMMYFUNCTION("""COMPUTED_VALUE"""),"Filtrado Tang")</f>
        <v>Filtrado Tang</v>
      </c>
      <c r="P1046" s="2" t="str">
        <f ca="1">IFERROR(__xludf.DUMMYFUNCTION("""COMPUTED_VALUE"""),"Filtrado Tang")</f>
        <v>Filtrado Tang</v>
      </c>
      <c r="Q1046" s="2" t="b">
        <f ca="1">IFERROR(__xludf.DUMMYFUNCTION("""COMPUTED_VALUE"""),TRUE)</f>
        <v>1</v>
      </c>
      <c r="R1046" s="2" t="str">
        <f ca="1">IFERROR(__xludf.DUMMYFUNCTION("""COMPUTED_VALUE"""),"Filtrado Tang")</f>
        <v>Filtrado Tang</v>
      </c>
      <c r="S1046" s="2"/>
      <c r="T1046" s="2"/>
      <c r="U1046" s="2" t="str">
        <f ca="1">IFERROR(__xludf.DUMMYFUNCTION("""COMPUTED_VALUE"""),"1-")</f>
        <v>1-</v>
      </c>
    </row>
    <row r="1047" spans="1:21" x14ac:dyDescent="0.25">
      <c r="A1047" s="2" t="str">
        <f ca="1">IFERROR(__xludf.DUMMYFUNCTION("""COMPUTED_VALUE"""),"22c9db06")</f>
        <v>22c9db06</v>
      </c>
      <c r="B1047" s="5">
        <f ca="1">IFERROR(__xludf.DUMMYFUNCTION("""COMPUTED_VALUE"""),45919.4798611111)</f>
        <v>45919.479861111096</v>
      </c>
      <c r="C1047" s="2" t="str">
        <f ca="1">IFERROR(__xludf.DUMMYFUNCTION("""COMPUTED_VALUE"""),"84f483bd")</f>
        <v>84f483bd</v>
      </c>
      <c r="D1047" s="2">
        <f ca="1">IFERROR(__xludf.DUMMYFUNCTION("""COMPUTED_VALUE"""),50)</f>
        <v>50</v>
      </c>
      <c r="E1047" s="2" t="str">
        <f ca="1">IFERROR(__xludf.DUMMYFUNCTION("""COMPUTED_VALUE"""),"Syrah")</f>
        <v>Syrah</v>
      </c>
      <c r="F1047" s="2">
        <f ca="1">IFERROR(__xludf.DUMMYFUNCTION("""COMPUTED_VALUE"""),2400)</f>
        <v>2400</v>
      </c>
      <c r="G1047" s="2">
        <f ca="1">IFERROR(__xludf.DUMMYFUNCTION("""COMPUTED_VALUE"""),500)</f>
        <v>500</v>
      </c>
      <c r="H1047" s="2" t="str">
        <f ca="1">IFERROR(__xludf.DUMMYFUNCTION("""COMPUTED_VALUE"""),"18e218b5")</f>
        <v>18e218b5</v>
      </c>
      <c r="I1047" s="2" t="str">
        <f ca="1">IFERROR(__xludf.DUMMYFUNCTION("""COMPUTED_VALUE"""),"Tinto Traslado Almabras")</f>
        <v>Tinto Traslado Almabras</v>
      </c>
      <c r="J1047" s="2">
        <f ca="1">IFERROR(__xludf.DUMMYFUNCTION("""COMPUTED_VALUE"""),121700)</f>
        <v>121700</v>
      </c>
      <c r="K1047" s="2">
        <f ca="1">IFERROR(__xludf.DUMMYFUNCTION("""COMPUTED_VALUE"""),124100)</f>
        <v>124100</v>
      </c>
      <c r="L1047" s="2" t="str">
        <f ca="1">IFERROR(__xludf.DUMMYFUNCTION("""COMPUTED_VALUE"""),"bb76a106")</f>
        <v>bb76a106</v>
      </c>
      <c r="M1047" s="2" t="str">
        <f ca="1">IFERROR(__xludf.DUMMYFUNCTION("""COMPUTED_VALUE"""),"Tinto Traslado Almabras")</f>
        <v>Tinto Traslado Almabras</v>
      </c>
      <c r="N1047" s="2"/>
      <c r="O1047" s="2" t="str">
        <f ca="1">IFERROR(__xludf.DUMMYFUNCTION("""COMPUTED_VALUE"""),"Filtrado Tang")</f>
        <v>Filtrado Tang</v>
      </c>
      <c r="P1047" s="2" t="str">
        <f ca="1">IFERROR(__xludf.DUMMYFUNCTION("""COMPUTED_VALUE"""),"2do Trasiego")</f>
        <v>2do Trasiego</v>
      </c>
      <c r="Q1047" s="2" t="b">
        <f ca="1">IFERROR(__xludf.DUMMYFUNCTION("""COMPUTED_VALUE"""),TRUE)</f>
        <v>1</v>
      </c>
      <c r="R1047" s="2" t="str">
        <f ca="1">IFERROR(__xludf.DUMMYFUNCTION("""COMPUTED_VALUE"""),"2do Trasiego")</f>
        <v>2do Trasiego</v>
      </c>
      <c r="S1047" s="2"/>
      <c r="T1047" s="2"/>
      <c r="U1047" s="2" t="str">
        <f ca="1">IFERROR(__xludf.DUMMYFUNCTION("""COMPUTED_VALUE"""),"1+")</f>
        <v>1+</v>
      </c>
    </row>
    <row r="1048" spans="1:21" x14ac:dyDescent="0.25">
      <c r="A1048" s="2" t="str">
        <f ca="1">IFERROR(__xludf.DUMMYFUNCTION("""COMPUTED_VALUE"""),"73622337")</f>
        <v>73622337</v>
      </c>
      <c r="B1048" s="5">
        <f ca="1">IFERROR(__xludf.DUMMYFUNCTION("""COMPUTED_VALUE"""),45919.4809259259)</f>
        <v>45919.480925925898</v>
      </c>
      <c r="C1048" s="2" t="str">
        <f ca="1">IFERROR(__xludf.DUMMYFUNCTION("""COMPUTED_VALUE"""),"32fe7ee0")</f>
        <v>32fe7ee0</v>
      </c>
      <c r="D1048" s="2">
        <f ca="1">IFERROR(__xludf.DUMMYFUNCTION("""COMPUTED_VALUE"""),106)</f>
        <v>106</v>
      </c>
      <c r="E1048" s="2" t="str">
        <f ca="1">IFERROR(__xludf.DUMMYFUNCTION("""COMPUTED_VALUE"""),"Aspirant 24")</f>
        <v>Aspirant 24</v>
      </c>
      <c r="F1048" s="2">
        <f ca="1">IFERROR(__xludf.DUMMYFUNCTION("""COMPUTED_VALUE"""),5100)</f>
        <v>5100</v>
      </c>
      <c r="G1048" s="2">
        <f ca="1">IFERROR(__xludf.DUMMYFUNCTION("""COMPUTED_VALUE"""),50)</f>
        <v>50</v>
      </c>
      <c r="H1048" s="2"/>
      <c r="I1048" s="2"/>
      <c r="J1048" s="2">
        <f ca="1">IFERROR(__xludf.DUMMYFUNCTION("""COMPUTED_VALUE"""),0)</f>
        <v>0</v>
      </c>
      <c r="K1048" s="2">
        <f ca="1">IFERROR(__xludf.DUMMYFUNCTION("""COMPUTED_VALUE"""),5100)</f>
        <v>5100</v>
      </c>
      <c r="L1048" s="2" t="str">
        <f ca="1">IFERROR(__xludf.DUMMYFUNCTION("""COMPUTED_VALUE"""),"ffcf4de6")</f>
        <v>ffcf4de6</v>
      </c>
      <c r="M1048" s="2" t="str">
        <f ca="1">IFERROR(__xludf.DUMMYFUNCTION("""COMPUTED_VALUE"""),"Aspirant 24")</f>
        <v>Aspirant 24</v>
      </c>
      <c r="N1048" s="2"/>
      <c r="O1048" s="2" t="str">
        <f ca="1">IFERROR(__xludf.DUMMYFUNCTION("""COMPUTED_VALUE"""),"Filtrado Tang")</f>
        <v>Filtrado Tang</v>
      </c>
      <c r="P1048" s="2"/>
      <c r="Q1048" s="2" t="b">
        <f ca="1">IFERROR(__xludf.DUMMYFUNCTION("""COMPUTED_VALUE"""),FALSE)</f>
        <v>0</v>
      </c>
      <c r="R1048" s="2" t="str">
        <f ca="1">IFERROR(__xludf.DUMMYFUNCTION("""COMPUTED_VALUE"""),"Filtrado Tang")</f>
        <v>Filtrado Tang</v>
      </c>
      <c r="S1048" s="2"/>
      <c r="T1048" s="2"/>
      <c r="U1048" s="2"/>
    </row>
    <row r="1049" spans="1:21" x14ac:dyDescent="0.25">
      <c r="A1049" s="2" t="str">
        <f ca="1">IFERROR(__xludf.DUMMYFUNCTION("""COMPUTED_VALUE"""),"1ca6b2a4")</f>
        <v>1ca6b2a4</v>
      </c>
      <c r="B1049" s="5">
        <f ca="1">IFERROR(__xludf.DUMMYFUNCTION("""COMPUTED_VALUE"""),45919.4815393518)</f>
        <v>45919.4815393518</v>
      </c>
      <c r="C1049" s="2" t="str">
        <f ca="1">IFERROR(__xludf.DUMMYFUNCTION("""COMPUTED_VALUE"""),"32fe7ee0")</f>
        <v>32fe7ee0</v>
      </c>
      <c r="D1049" s="2">
        <f ca="1">IFERROR(__xludf.DUMMYFUNCTION("""COMPUTED_VALUE"""),106)</f>
        <v>106</v>
      </c>
      <c r="E1049" s="2" t="str">
        <f ca="1">IFERROR(__xludf.DUMMYFUNCTION("""COMPUTED_VALUE"""),"Aspirant 24")</f>
        <v>Aspirant 24</v>
      </c>
      <c r="F1049" s="2">
        <f ca="1">IFERROR(__xludf.DUMMYFUNCTION("""COMPUTED_VALUE"""),3695)</f>
        <v>3695</v>
      </c>
      <c r="G1049" s="2">
        <f ca="1">IFERROR(__xludf.DUMMYFUNCTION("""COMPUTED_VALUE"""),51)</f>
        <v>51</v>
      </c>
      <c r="H1049" s="2"/>
      <c r="I1049" s="2"/>
      <c r="J1049" s="2">
        <f ca="1">IFERROR(__xludf.DUMMYFUNCTION("""COMPUTED_VALUE"""),0)</f>
        <v>0</v>
      </c>
      <c r="K1049" s="2">
        <f ca="1">IFERROR(__xludf.DUMMYFUNCTION("""COMPUTED_VALUE"""),3695)</f>
        <v>3695</v>
      </c>
      <c r="L1049" s="2" t="str">
        <f ca="1">IFERROR(__xludf.DUMMYFUNCTION("""COMPUTED_VALUE"""),"b14f6c87")</f>
        <v>b14f6c87</v>
      </c>
      <c r="M1049" s="2" t="str">
        <f ca="1">IFERROR(__xludf.DUMMYFUNCTION("""COMPUTED_VALUE"""),"Aspirant 24")</f>
        <v>Aspirant 24</v>
      </c>
      <c r="N1049" s="2"/>
      <c r="O1049" s="2" t="str">
        <f ca="1">IFERROR(__xludf.DUMMYFUNCTION("""COMPUTED_VALUE"""),"Filtrado Tang")</f>
        <v>Filtrado Tang</v>
      </c>
      <c r="P1049" s="2"/>
      <c r="Q1049" s="2" t="b">
        <f ca="1">IFERROR(__xludf.DUMMYFUNCTION("""COMPUTED_VALUE"""),FALSE)</f>
        <v>0</v>
      </c>
      <c r="R1049" s="2" t="str">
        <f ca="1">IFERROR(__xludf.DUMMYFUNCTION("""COMPUTED_VALUE"""),"Filtrado Tang")</f>
        <v>Filtrado Tang</v>
      </c>
      <c r="S1049" s="2"/>
      <c r="T1049" s="2"/>
      <c r="U1049" s="2"/>
    </row>
    <row r="1050" spans="1:21" x14ac:dyDescent="0.25">
      <c r="A1050" s="2" t="str">
        <f ca="1">IFERROR(__xludf.DUMMYFUNCTION("""COMPUTED_VALUE"""),"94401f53")</f>
        <v>94401f53</v>
      </c>
      <c r="B1050" s="5">
        <f ca="1">IFERROR(__xludf.DUMMYFUNCTION("""COMPUTED_VALUE"""),45924.5489236111)</f>
        <v>45924.548923611103</v>
      </c>
      <c r="C1050" s="2" t="str">
        <f ca="1">IFERROR(__xludf.DUMMYFUNCTION("""COMPUTED_VALUE"""),"242455c6")</f>
        <v>242455c6</v>
      </c>
      <c r="D1050" s="2">
        <f ca="1">IFERROR(__xludf.DUMMYFUNCTION("""COMPUTED_VALUE"""),26)</f>
        <v>26</v>
      </c>
      <c r="E1050" s="2" t="str">
        <f ca="1">IFERROR(__xludf.DUMMYFUNCTION("""COMPUTED_VALUE"""),"Malbec")</f>
        <v>Malbec</v>
      </c>
      <c r="F1050" s="2">
        <f ca="1">IFERROR(__xludf.DUMMYFUNCTION("""COMPUTED_VALUE"""),84000)</f>
        <v>84000</v>
      </c>
      <c r="G1050" s="2">
        <f ca="1">IFERROR(__xludf.DUMMYFUNCTION("""COMPUTED_VALUE"""),500)</f>
        <v>500</v>
      </c>
      <c r="H1050" s="2"/>
      <c r="I1050" s="2"/>
      <c r="J1050" s="2">
        <f ca="1">IFERROR(__xludf.DUMMYFUNCTION("""COMPUTED_VALUE"""),0)</f>
        <v>0</v>
      </c>
      <c r="K1050" s="2">
        <f ca="1">IFERROR(__xludf.DUMMYFUNCTION("""COMPUTED_VALUE"""),84000)</f>
        <v>84000</v>
      </c>
      <c r="L1050" s="2" t="str">
        <f ca="1">IFERROR(__xludf.DUMMYFUNCTION("""COMPUTED_VALUE"""),"e0180365")</f>
        <v>e0180365</v>
      </c>
      <c r="M1050" s="2" t="str">
        <f ca="1">IFERROR(__xludf.DUMMYFUNCTION("""COMPUTED_VALUE"""),"Malbec Arizu traslado")</f>
        <v>Malbec Arizu traslado</v>
      </c>
      <c r="N1050" s="2"/>
      <c r="O1050" s="2" t="str">
        <f ca="1">IFERROR(__xludf.DUMMYFUNCTION("""COMPUTED_VALUE"""),"Filtrado Tang")</f>
        <v>Filtrado Tang</v>
      </c>
      <c r="P1050" s="2"/>
      <c r="Q1050" s="2" t="b">
        <f ca="1">IFERROR(__xludf.DUMMYFUNCTION("""COMPUTED_VALUE"""),FALSE)</f>
        <v>0</v>
      </c>
      <c r="R1050" s="2" t="str">
        <f ca="1">IFERROR(__xludf.DUMMYFUNCTION("""COMPUTED_VALUE"""),"Traslado Venta")</f>
        <v>Traslado Venta</v>
      </c>
      <c r="S1050" s="2"/>
      <c r="T1050" s="2"/>
      <c r="U1050" s="2" t="str">
        <f ca="1">IFERROR(__xludf.DUMMYFUNCTION("""COMPUTED_VALUE"""),"1+")</f>
        <v>1+</v>
      </c>
    </row>
    <row r="1051" spans="1:21" x14ac:dyDescent="0.25">
      <c r="A1051" s="2" t="str">
        <f ca="1">IFERROR(__xludf.DUMMYFUNCTION("""COMPUTED_VALUE"""),"4f73044b")</f>
        <v>4f73044b</v>
      </c>
      <c r="B1051" s="5">
        <f ca="1">IFERROR(__xludf.DUMMYFUNCTION("""COMPUTED_VALUE"""),45924.5504282407)</f>
        <v>45924.550428240698</v>
      </c>
      <c r="C1051" s="2" t="str">
        <f ca="1">IFERROR(__xludf.DUMMYFUNCTION("""COMPUTED_VALUE"""),"242455c6")</f>
        <v>242455c6</v>
      </c>
      <c r="D1051" s="2">
        <f ca="1">IFERROR(__xludf.DUMMYFUNCTION("""COMPUTED_VALUE"""),26)</f>
        <v>26</v>
      </c>
      <c r="E1051" s="2" t="str">
        <f ca="1">IFERROR(__xludf.DUMMYFUNCTION("""COMPUTED_VALUE"""),"Malbec")</f>
        <v>Malbec</v>
      </c>
      <c r="F1051" s="2">
        <f ca="1">IFERROR(__xludf.DUMMYFUNCTION("""COMPUTED_VALUE"""),120200)</f>
        <v>120200</v>
      </c>
      <c r="G1051" s="2">
        <f ca="1">IFERROR(__xludf.DUMMYFUNCTION("""COMPUTED_VALUE"""),115)</f>
        <v>115</v>
      </c>
      <c r="H1051" s="2"/>
      <c r="I1051" s="2"/>
      <c r="J1051" s="2">
        <f ca="1">IFERROR(__xludf.DUMMYFUNCTION("""COMPUTED_VALUE"""),0)</f>
        <v>0</v>
      </c>
      <c r="K1051" s="2">
        <f ca="1">IFERROR(__xludf.DUMMYFUNCTION("""COMPUTED_VALUE"""),120200)</f>
        <v>120200</v>
      </c>
      <c r="L1051" s="2" t="str">
        <f ca="1">IFERROR(__xludf.DUMMYFUNCTION("""COMPUTED_VALUE"""),"5c576664")</f>
        <v>5c576664</v>
      </c>
      <c r="M1051" s="2" t="str">
        <f ca="1">IFERROR(__xludf.DUMMYFUNCTION("""COMPUTED_VALUE"""),"Malbec")</f>
        <v>Malbec</v>
      </c>
      <c r="N1051" s="2"/>
      <c r="O1051" s="2" t="str">
        <f ca="1">IFERROR(__xludf.DUMMYFUNCTION("""COMPUTED_VALUE"""),"Filtrado Tang")</f>
        <v>Filtrado Tang</v>
      </c>
      <c r="P1051" s="2"/>
      <c r="Q1051" s="2" t="b">
        <f ca="1">IFERROR(__xludf.DUMMYFUNCTION("""COMPUTED_VALUE"""),FALSE)</f>
        <v>0</v>
      </c>
      <c r="R1051" s="2" t="str">
        <f ca="1">IFERROR(__xludf.DUMMYFUNCTION("""COMPUTED_VALUE"""),"Filtrado Tang")</f>
        <v>Filtrado Tang</v>
      </c>
      <c r="S1051" s="2"/>
      <c r="T1051" s="2"/>
      <c r="U1051" s="2" t="str">
        <f ca="1">IFERROR(__xludf.DUMMYFUNCTION("""COMPUTED_VALUE"""),"1+")</f>
        <v>1+</v>
      </c>
    </row>
    <row r="1052" spans="1:21" x14ac:dyDescent="0.25">
      <c r="A1052" s="2" t="str">
        <f ca="1">IFERROR(__xludf.DUMMYFUNCTION("""COMPUTED_VALUE"""),"36e0361d")</f>
        <v>36e0361d</v>
      </c>
      <c r="B1052" s="5">
        <f ca="1">IFERROR(__xludf.DUMMYFUNCTION("""COMPUTED_VALUE"""),45924.5518634259)</f>
        <v>45924.551863425899</v>
      </c>
      <c r="C1052" s="2" t="str">
        <f ca="1">IFERROR(__xludf.DUMMYFUNCTION("""COMPUTED_VALUE"""),"4d3f24b6")</f>
        <v>4d3f24b6</v>
      </c>
      <c r="D1052" s="2">
        <f ca="1">IFERROR(__xludf.DUMMYFUNCTION("""COMPUTED_VALUE"""),65)</f>
        <v>65</v>
      </c>
      <c r="E1052" s="2" t="str">
        <f ca="1">IFERROR(__xludf.DUMMYFUNCTION("""COMPUTED_VALUE"""),"Cabernet Sauvignon")</f>
        <v>Cabernet Sauvignon</v>
      </c>
      <c r="F1052" s="2">
        <f ca="1">IFERROR(__xludf.DUMMYFUNCTION("""COMPUTED_VALUE"""),32000)</f>
        <v>32000</v>
      </c>
      <c r="G1052" s="2">
        <f ca="1">IFERROR(__xludf.DUMMYFUNCTION("""COMPUTED_VALUE"""),6)</f>
        <v>6</v>
      </c>
      <c r="H1052" s="2"/>
      <c r="I1052" s="2"/>
      <c r="J1052" s="2">
        <f ca="1">IFERROR(__xludf.DUMMYFUNCTION("""COMPUTED_VALUE"""),0)</f>
        <v>0</v>
      </c>
      <c r="K1052" s="2">
        <f ca="1">IFERROR(__xludf.DUMMYFUNCTION("""COMPUTED_VALUE"""),32000)</f>
        <v>32000</v>
      </c>
      <c r="L1052" s="2" t="str">
        <f ca="1">IFERROR(__xludf.DUMMYFUNCTION("""COMPUTED_VALUE"""),"7471d673")</f>
        <v>7471d673</v>
      </c>
      <c r="M1052" s="2" t="str">
        <f ca="1">IFERROR(__xludf.DUMMYFUNCTION("""COMPUTED_VALUE"""),"Cabernet Sauvignon")</f>
        <v>Cabernet Sauvignon</v>
      </c>
      <c r="N1052" s="2"/>
      <c r="O1052" s="2" t="str">
        <f ca="1">IFERROR(__xludf.DUMMYFUNCTION("""COMPUTED_VALUE"""),"Filtrado Tang")</f>
        <v>Filtrado Tang</v>
      </c>
      <c r="P1052" s="2"/>
      <c r="Q1052" s="2" t="b">
        <f ca="1">IFERROR(__xludf.DUMMYFUNCTION("""COMPUTED_VALUE"""),FALSE)</f>
        <v>0</v>
      </c>
      <c r="R1052" s="2" t="str">
        <f ca="1">IFERROR(__xludf.DUMMYFUNCTION("""COMPUTED_VALUE"""),"Rectificado")</f>
        <v>Rectificado</v>
      </c>
      <c r="S1052" s="2"/>
      <c r="T1052" s="2"/>
      <c r="U1052" s="2" t="str">
        <f ca="1">IFERROR(__xludf.DUMMYFUNCTION("""COMPUTED_VALUE"""),"1")</f>
        <v>1</v>
      </c>
    </row>
    <row r="1053" spans="1:21" x14ac:dyDescent="0.25">
      <c r="A1053" s="2" t="str">
        <f ca="1">IFERROR(__xludf.DUMMYFUNCTION("""COMPUTED_VALUE"""),"40e9c7fe")</f>
        <v>40e9c7fe</v>
      </c>
      <c r="B1053" s="5">
        <f ca="1">IFERROR(__xludf.DUMMYFUNCTION("""COMPUTED_VALUE"""),45924.5521180555)</f>
        <v>45924.552118055501</v>
      </c>
      <c r="C1053" s="2" t="str">
        <f ca="1">IFERROR(__xludf.DUMMYFUNCTION("""COMPUTED_VALUE"""),"4d3f24b6")</f>
        <v>4d3f24b6</v>
      </c>
      <c r="D1053" s="2">
        <f ca="1">IFERROR(__xludf.DUMMYFUNCTION("""COMPUTED_VALUE"""),65)</f>
        <v>65</v>
      </c>
      <c r="E1053" s="2" t="str">
        <f ca="1">IFERROR(__xludf.DUMMYFUNCTION("""COMPUTED_VALUE"""),"Cabernet Sauvignon")</f>
        <v>Cabernet Sauvignon</v>
      </c>
      <c r="F1053" s="2">
        <f ca="1">IFERROR(__xludf.DUMMYFUNCTION("""COMPUTED_VALUE"""),3500)</f>
        <v>3500</v>
      </c>
      <c r="G1053" s="2">
        <f ca="1">IFERROR(__xludf.DUMMYFUNCTION("""COMPUTED_VALUE"""),7)</f>
        <v>7</v>
      </c>
      <c r="H1053" s="2"/>
      <c r="I1053" s="2"/>
      <c r="J1053" s="2">
        <f ca="1">IFERROR(__xludf.DUMMYFUNCTION("""COMPUTED_VALUE"""),0)</f>
        <v>0</v>
      </c>
      <c r="K1053" s="2">
        <f ca="1">IFERROR(__xludf.DUMMYFUNCTION("""COMPUTED_VALUE"""),3500)</f>
        <v>3500</v>
      </c>
      <c r="L1053" s="2" t="str">
        <f ca="1">IFERROR(__xludf.DUMMYFUNCTION("""COMPUTED_VALUE"""),"42250e4d")</f>
        <v>42250e4d</v>
      </c>
      <c r="M1053" s="2" t="str">
        <f ca="1">IFERROR(__xludf.DUMMYFUNCTION("""COMPUTED_VALUE"""),"Cabernet Sauvignon")</f>
        <v>Cabernet Sauvignon</v>
      </c>
      <c r="N1053" s="2"/>
      <c r="O1053" s="2" t="str">
        <f ca="1">IFERROR(__xludf.DUMMYFUNCTION("""COMPUTED_VALUE"""),"Filtrado Tang")</f>
        <v>Filtrado Tang</v>
      </c>
      <c r="P1053" s="2"/>
      <c r="Q1053" s="2" t="b">
        <f ca="1">IFERROR(__xludf.DUMMYFUNCTION("""COMPUTED_VALUE"""),FALSE)</f>
        <v>0</v>
      </c>
      <c r="R1053" s="2" t="str">
        <f ca="1">IFERROR(__xludf.DUMMYFUNCTION("""COMPUTED_VALUE"""),"Rectificado")</f>
        <v>Rectificado</v>
      </c>
      <c r="S1053" s="2"/>
      <c r="T1053" s="2"/>
      <c r="U1053" s="2" t="str">
        <f ca="1">IFERROR(__xludf.DUMMYFUNCTION("""COMPUTED_VALUE"""),"1")</f>
        <v>1</v>
      </c>
    </row>
    <row r="1054" spans="1:21" x14ac:dyDescent="0.25">
      <c r="A1054" s="2" t="str">
        <f ca="1">IFERROR(__xludf.DUMMYFUNCTION("""COMPUTED_VALUE"""),"14854b8a")</f>
        <v>14854b8a</v>
      </c>
      <c r="B1054" s="5">
        <f ca="1">IFERROR(__xludf.DUMMYFUNCTION("""COMPUTED_VALUE"""),45924.5524189814)</f>
        <v>45924.552418981402</v>
      </c>
      <c r="C1054" s="2" t="str">
        <f ca="1">IFERROR(__xludf.DUMMYFUNCTION("""COMPUTED_VALUE"""),"242455c6")</f>
        <v>242455c6</v>
      </c>
      <c r="D1054" s="2">
        <f ca="1">IFERROR(__xludf.DUMMYFUNCTION("""COMPUTED_VALUE"""),26)</f>
        <v>26</v>
      </c>
      <c r="E1054" s="2" t="str">
        <f ca="1">IFERROR(__xludf.DUMMYFUNCTION("""COMPUTED_VALUE"""),"Malbec")</f>
        <v>Malbec</v>
      </c>
      <c r="F1054" s="2">
        <f ca="1">IFERROR(__xludf.DUMMYFUNCTION("""COMPUTED_VALUE"""),3400)</f>
        <v>3400</v>
      </c>
      <c r="G1054" s="2">
        <f ca="1">IFERROR(__xludf.DUMMYFUNCTION("""COMPUTED_VALUE"""),7)</f>
        <v>7</v>
      </c>
      <c r="H1054" s="2" t="str">
        <f ca="1">IFERROR(__xludf.DUMMYFUNCTION("""COMPUTED_VALUE"""),"42250e4d")</f>
        <v>42250e4d</v>
      </c>
      <c r="I1054" s="2" t="str">
        <f ca="1">IFERROR(__xludf.DUMMYFUNCTION("""COMPUTED_VALUE"""),"Cabernet Sauvignon")</f>
        <v>Cabernet Sauvignon</v>
      </c>
      <c r="J1054" s="2">
        <f ca="1">IFERROR(__xludf.DUMMYFUNCTION("""COMPUTED_VALUE"""),3500)</f>
        <v>3500</v>
      </c>
      <c r="K1054" s="2">
        <f ca="1">IFERROR(__xludf.DUMMYFUNCTION("""COMPUTED_VALUE"""),6900)</f>
        <v>6900</v>
      </c>
      <c r="L1054" s="2" t="str">
        <f ca="1">IFERROR(__xludf.DUMMYFUNCTION("""COMPUTED_VALUE"""),"83110987")</f>
        <v>83110987</v>
      </c>
      <c r="M1054" s="2" t="str">
        <f ca="1">IFERROR(__xludf.DUMMYFUNCTION("""COMPUTED_VALUE"""),"Cabernet Sauvignon")</f>
        <v>Cabernet Sauvignon</v>
      </c>
      <c r="N1054" s="2"/>
      <c r="O1054" s="2" t="str">
        <f ca="1">IFERROR(__xludf.DUMMYFUNCTION("""COMPUTED_VALUE"""),"Filtrado Tang")</f>
        <v>Filtrado Tang</v>
      </c>
      <c r="P1054" s="2" t="str">
        <f ca="1">IFERROR(__xludf.DUMMYFUNCTION("""COMPUTED_VALUE"""),"Rectificado")</f>
        <v>Rectificado</v>
      </c>
      <c r="Q1054" s="2" t="b">
        <f ca="1">IFERROR(__xludf.DUMMYFUNCTION("""COMPUTED_VALUE"""),TRUE)</f>
        <v>1</v>
      </c>
      <c r="R1054" s="2" t="str">
        <f ca="1">IFERROR(__xludf.DUMMYFUNCTION("""COMPUTED_VALUE"""),"Rectificado")</f>
        <v>Rectificado</v>
      </c>
      <c r="S1054" s="2"/>
      <c r="T1054" s="2"/>
      <c r="U1054" s="2" t="str">
        <f ca="1">IFERROR(__xludf.DUMMYFUNCTION("""COMPUTED_VALUE"""),"1")</f>
        <v>1</v>
      </c>
    </row>
    <row r="1055" spans="1:21" x14ac:dyDescent="0.25">
      <c r="A1055" s="2" t="str">
        <f ca="1">IFERROR(__xludf.DUMMYFUNCTION("""COMPUTED_VALUE"""),"530523d9")</f>
        <v>530523d9</v>
      </c>
      <c r="B1055" s="5">
        <f ca="1">IFERROR(__xludf.DUMMYFUNCTION("""COMPUTED_VALUE"""),45924.5526851851)</f>
        <v>45924.552685185103</v>
      </c>
      <c r="C1055" s="2" t="str">
        <f ca="1">IFERROR(__xludf.DUMMYFUNCTION("""COMPUTED_VALUE"""),"32396d27")</f>
        <v>32396d27</v>
      </c>
      <c r="D1055" s="2">
        <f ca="1">IFERROR(__xludf.DUMMYFUNCTION("""COMPUTED_VALUE"""),83)</f>
        <v>83</v>
      </c>
      <c r="E1055" s="2" t="str">
        <f ca="1">IFERROR(__xludf.DUMMYFUNCTION("""COMPUTED_VALUE"""),"Malbec")</f>
        <v>Malbec</v>
      </c>
      <c r="F1055" s="2">
        <f ca="1">IFERROR(__xludf.DUMMYFUNCTION("""COMPUTED_VALUE"""),23100)</f>
        <v>23100</v>
      </c>
      <c r="G1055" s="2">
        <f ca="1">IFERROR(__xludf.DUMMYFUNCTION("""COMPUTED_VALUE"""),7)</f>
        <v>7</v>
      </c>
      <c r="H1055" s="2" t="str">
        <f ca="1">IFERROR(__xludf.DUMMYFUNCTION("""COMPUTED_VALUE"""),"83110987")</f>
        <v>83110987</v>
      </c>
      <c r="I1055" s="2" t="str">
        <f ca="1">IFERROR(__xludf.DUMMYFUNCTION("""COMPUTED_VALUE"""),"Cabernet Sauvignon")</f>
        <v>Cabernet Sauvignon</v>
      </c>
      <c r="J1055" s="2">
        <f ca="1">IFERROR(__xludf.DUMMYFUNCTION("""COMPUTED_VALUE"""),6900)</f>
        <v>6900</v>
      </c>
      <c r="K1055" s="2">
        <f ca="1">IFERROR(__xludf.DUMMYFUNCTION("""COMPUTED_VALUE"""),30000)</f>
        <v>30000</v>
      </c>
      <c r="L1055" s="2" t="str">
        <f ca="1">IFERROR(__xludf.DUMMYFUNCTION("""COMPUTED_VALUE"""),"bf5eb775")</f>
        <v>bf5eb775</v>
      </c>
      <c r="M1055" s="2" t="str">
        <f ca="1">IFERROR(__xludf.DUMMYFUNCTION("""COMPUTED_VALUE"""),"Cabernet Sauvignon")</f>
        <v>Cabernet Sauvignon</v>
      </c>
      <c r="N1055" s="2"/>
      <c r="O1055" s="2" t="str">
        <f ca="1">IFERROR(__xludf.DUMMYFUNCTION("""COMPUTED_VALUE"""),"Filtrado Tang")</f>
        <v>Filtrado Tang</v>
      </c>
      <c r="P1055" s="2" t="str">
        <f ca="1">IFERROR(__xludf.DUMMYFUNCTION("""COMPUTED_VALUE"""),"Rectificado")</f>
        <v>Rectificado</v>
      </c>
      <c r="Q1055" s="2" t="b">
        <f ca="1">IFERROR(__xludf.DUMMYFUNCTION("""COMPUTED_VALUE"""),TRUE)</f>
        <v>1</v>
      </c>
      <c r="R1055" s="2" t="str">
        <f ca="1">IFERROR(__xludf.DUMMYFUNCTION("""COMPUTED_VALUE"""),"Rectificado")</f>
        <v>Rectificado</v>
      </c>
      <c r="S1055" s="2"/>
      <c r="T1055" s="2"/>
      <c r="U1055" s="2" t="str">
        <f ca="1">IFERROR(__xludf.DUMMYFUNCTION("""COMPUTED_VALUE"""),"1")</f>
        <v>1</v>
      </c>
    </row>
    <row r="1056" spans="1:21" x14ac:dyDescent="0.25">
      <c r="A1056" s="2" t="str">
        <f ca="1">IFERROR(__xludf.DUMMYFUNCTION("""COMPUTED_VALUE"""),"1d23739e")</f>
        <v>1d23739e</v>
      </c>
      <c r="B1056" s="5">
        <f ca="1">IFERROR(__xludf.DUMMYFUNCTION("""COMPUTED_VALUE"""),45924.5528819444)</f>
        <v>45924.552881944401</v>
      </c>
      <c r="C1056" s="2" t="str">
        <f ca="1">IFERROR(__xludf.DUMMYFUNCTION("""COMPUTED_VALUE"""),"32396d27")</f>
        <v>32396d27</v>
      </c>
      <c r="D1056" s="2">
        <f ca="1">IFERROR(__xludf.DUMMYFUNCTION("""COMPUTED_VALUE"""),83)</f>
        <v>83</v>
      </c>
      <c r="E1056" s="2" t="str">
        <f ca="1">IFERROR(__xludf.DUMMYFUNCTION("""COMPUTED_VALUE"""),"Malbec")</f>
        <v>Malbec</v>
      </c>
      <c r="F1056" s="2">
        <f ca="1">IFERROR(__xludf.DUMMYFUNCTION("""COMPUTED_VALUE"""),10000)</f>
        <v>10000</v>
      </c>
      <c r="G1056" s="2">
        <f ca="1">IFERROR(__xludf.DUMMYFUNCTION("""COMPUTED_VALUE"""),45)</f>
        <v>45</v>
      </c>
      <c r="H1056" s="2"/>
      <c r="I1056" s="2"/>
      <c r="J1056" s="2">
        <f ca="1">IFERROR(__xludf.DUMMYFUNCTION("""COMPUTED_VALUE"""),0)</f>
        <v>0</v>
      </c>
      <c r="K1056" s="2">
        <f ca="1">IFERROR(__xludf.DUMMYFUNCTION("""COMPUTED_VALUE"""),10000)</f>
        <v>10000</v>
      </c>
      <c r="L1056" s="2" t="str">
        <f ca="1">IFERROR(__xludf.DUMMYFUNCTION("""COMPUTED_VALUE"""),"baafd29f")</f>
        <v>baafd29f</v>
      </c>
      <c r="M1056" s="2" t="str">
        <f ca="1">IFERROR(__xludf.DUMMYFUNCTION("""COMPUTED_VALUE"""),"Malbec")</f>
        <v>Malbec</v>
      </c>
      <c r="N1056" s="2"/>
      <c r="O1056" s="2" t="str">
        <f ca="1">IFERROR(__xludf.DUMMYFUNCTION("""COMPUTED_VALUE"""),"Filtrado Tang")</f>
        <v>Filtrado Tang</v>
      </c>
      <c r="P1056" s="2"/>
      <c r="Q1056" s="2" t="b">
        <f ca="1">IFERROR(__xludf.DUMMYFUNCTION("""COMPUTED_VALUE"""),FALSE)</f>
        <v>0</v>
      </c>
      <c r="R1056" s="2" t="str">
        <f ca="1">IFERROR(__xludf.DUMMYFUNCTION("""COMPUTED_VALUE"""),"Rectificado")</f>
        <v>Rectificado</v>
      </c>
      <c r="S1056" s="2"/>
      <c r="T1056" s="2"/>
      <c r="U1056" s="2" t="str">
        <f ca="1">IFERROR(__xludf.DUMMYFUNCTION("""COMPUTED_VALUE"""),"2+")</f>
        <v>2+</v>
      </c>
    </row>
    <row r="1057" spans="1:21" x14ac:dyDescent="0.25">
      <c r="A1057" s="2" t="str">
        <f ca="1">IFERROR(__xludf.DUMMYFUNCTION("""COMPUTED_VALUE"""),"208a4698")</f>
        <v>208a4698</v>
      </c>
      <c r="B1057" s="5">
        <f ca="1">IFERROR(__xludf.DUMMYFUNCTION("""COMPUTED_VALUE"""),45929.7014004629)</f>
        <v>45929.701400462902</v>
      </c>
      <c r="C1057" s="2" t="str">
        <f ca="1">IFERROR(__xludf.DUMMYFUNCTION("""COMPUTED_VALUE"""),"df5a7884")</f>
        <v>df5a7884</v>
      </c>
      <c r="D1057" s="2">
        <f ca="1">IFERROR(__xludf.DUMMYFUNCTION("""COMPUTED_VALUE"""),9)</f>
        <v>9</v>
      </c>
      <c r="E1057" s="2" t="str">
        <f ca="1">IFERROR(__xludf.DUMMYFUNCTION("""COMPUTED_VALUE"""),"Tanat")</f>
        <v>Tanat</v>
      </c>
      <c r="F1057" s="2">
        <f ca="1">IFERROR(__xludf.DUMMYFUNCTION("""COMPUTED_VALUE"""),4000)</f>
        <v>4000</v>
      </c>
      <c r="G1057" s="2">
        <f ca="1">IFERROR(__xludf.DUMMYFUNCTION("""COMPUTED_VALUE"""),500)</f>
        <v>500</v>
      </c>
      <c r="H1057" s="2"/>
      <c r="I1057" s="2"/>
      <c r="J1057" s="2">
        <f ca="1">IFERROR(__xludf.DUMMYFUNCTION("""COMPUTED_VALUE"""),0)</f>
        <v>0</v>
      </c>
      <c r="K1057" s="2">
        <f ca="1">IFERROR(__xludf.DUMMYFUNCTION("""COMPUTED_VALUE"""),4000)</f>
        <v>4000</v>
      </c>
      <c r="L1057" s="2" t="str">
        <f ca="1">IFERROR(__xludf.DUMMYFUNCTION("""COMPUTED_VALUE"""),"cdc2548e")</f>
        <v>cdc2548e</v>
      </c>
      <c r="M1057" s="2" t="str">
        <f ca="1">IFERROR(__xludf.DUMMYFUNCTION("""COMPUTED_VALUE"""),"Tanat traslado Belasco")</f>
        <v>Tanat traslado Belasco</v>
      </c>
      <c r="N1057" s="2"/>
      <c r="O1057" s="2" t="str">
        <f ca="1">IFERROR(__xludf.DUMMYFUNCTION("""COMPUTED_VALUE"""),"Filtrado Tang")</f>
        <v>Filtrado Tang</v>
      </c>
      <c r="P1057" s="2"/>
      <c r="Q1057" s="2" t="b">
        <f ca="1">IFERROR(__xludf.DUMMYFUNCTION("""COMPUTED_VALUE"""),FALSE)</f>
        <v>0</v>
      </c>
      <c r="R1057" s="2" t="str">
        <f ca="1">IFERROR(__xludf.DUMMYFUNCTION("""COMPUTED_VALUE"""),"Traslado Venta")</f>
        <v>Traslado Venta</v>
      </c>
      <c r="S1057" s="2"/>
      <c r="T1057" s="2"/>
      <c r="U1057" s="2"/>
    </row>
    <row r="1058" spans="1:21" x14ac:dyDescent="0.25">
      <c r="A1058" s="2" t="str">
        <f ca="1">IFERROR(__xludf.DUMMYFUNCTION("""COMPUTED_VALUE"""),"9516a6da")</f>
        <v>9516a6da</v>
      </c>
      <c r="B1058" s="5">
        <f ca="1">IFERROR(__xludf.DUMMYFUNCTION("""COMPUTED_VALUE"""),45929.7064930555)</f>
        <v>45929.706493055499</v>
      </c>
      <c r="C1058" s="2" t="str">
        <f ca="1">IFERROR(__xludf.DUMMYFUNCTION("""COMPUTED_VALUE"""),"d52c4944")</f>
        <v>d52c4944</v>
      </c>
      <c r="D1058" s="2">
        <f ca="1">IFERROR(__xludf.DUMMYFUNCTION("""COMPUTED_VALUE"""),66)</f>
        <v>66</v>
      </c>
      <c r="E1058" s="2" t="str">
        <f ca="1">IFERROR(__xludf.DUMMYFUNCTION("""COMPUTED_VALUE"""),"Cabernet Sauvignon")</f>
        <v>Cabernet Sauvignon</v>
      </c>
      <c r="F1058" s="2">
        <f ca="1">IFERROR(__xludf.DUMMYFUNCTION("""COMPUTED_VALUE"""),8500)</f>
        <v>8500</v>
      </c>
      <c r="G1058" s="2">
        <f ca="1">IFERROR(__xludf.DUMMYFUNCTION("""COMPUTED_VALUE"""),500)</f>
        <v>500</v>
      </c>
      <c r="H1058" s="2"/>
      <c r="I1058" s="2"/>
      <c r="J1058" s="2">
        <f ca="1">IFERROR(__xludf.DUMMYFUNCTION("""COMPUTED_VALUE"""),0)</f>
        <v>0</v>
      </c>
      <c r="K1058" s="2">
        <f ca="1">IFERROR(__xludf.DUMMYFUNCTION("""COMPUTED_VALUE"""),8500)</f>
        <v>8500</v>
      </c>
      <c r="L1058" s="2" t="str">
        <f ca="1">IFERROR(__xludf.DUMMYFUNCTION("""COMPUTED_VALUE"""),"65f2cddd")</f>
        <v>65f2cddd</v>
      </c>
      <c r="M1058" s="2" t="str">
        <f ca="1">IFERROR(__xludf.DUMMYFUNCTION("""COMPUTED_VALUE"""),"Cabernet Sauvignon traslado Belasco")</f>
        <v>Cabernet Sauvignon traslado Belasco</v>
      </c>
      <c r="N1058" s="2"/>
      <c r="O1058" s="2" t="str">
        <f ca="1">IFERROR(__xludf.DUMMYFUNCTION("""COMPUTED_VALUE"""),"Filtrado Tang")</f>
        <v>Filtrado Tang</v>
      </c>
      <c r="P1058" s="2"/>
      <c r="Q1058" s="2" t="b">
        <f ca="1">IFERROR(__xludf.DUMMYFUNCTION("""COMPUTED_VALUE"""),FALSE)</f>
        <v>0</v>
      </c>
      <c r="R1058" s="2" t="str">
        <f ca="1">IFERROR(__xludf.DUMMYFUNCTION("""COMPUTED_VALUE"""),"Traslado Venta")</f>
        <v>Traslado Venta</v>
      </c>
      <c r="S1058" s="2"/>
      <c r="T1058" s="2"/>
      <c r="U1058" s="2" t="str">
        <f ca="1">IFERROR(__xludf.DUMMYFUNCTION("""COMPUTED_VALUE"""),"1")</f>
        <v>1</v>
      </c>
    </row>
    <row r="1059" spans="1:21" x14ac:dyDescent="0.25">
      <c r="A1059" s="2" t="str">
        <f ca="1">IFERROR(__xludf.DUMMYFUNCTION("""COMPUTED_VALUE"""),"0c17ec1e")</f>
        <v>0c17ec1e</v>
      </c>
      <c r="B1059" s="5">
        <f ca="1">IFERROR(__xludf.DUMMYFUNCTION("""COMPUTED_VALUE"""),45929.7078125)</f>
        <v>45929.707812499997</v>
      </c>
      <c r="C1059" s="2" t="str">
        <f ca="1">IFERROR(__xludf.DUMMYFUNCTION("""COMPUTED_VALUE"""),"df5a7884")</f>
        <v>df5a7884</v>
      </c>
      <c r="D1059" s="2">
        <f ca="1">IFERROR(__xludf.DUMMYFUNCTION("""COMPUTED_VALUE"""),9)</f>
        <v>9</v>
      </c>
      <c r="E1059" s="2" t="str">
        <f ca="1">IFERROR(__xludf.DUMMYFUNCTION("""COMPUTED_VALUE"""),"Tanat")</f>
        <v>Tanat</v>
      </c>
      <c r="F1059" s="2">
        <f ca="1">IFERROR(__xludf.DUMMYFUNCTION("""COMPUTED_VALUE"""),25500)</f>
        <v>25500</v>
      </c>
      <c r="G1059" s="2">
        <f ca="1">IFERROR(__xludf.DUMMYFUNCTION("""COMPUTED_VALUE"""),76)</f>
        <v>76</v>
      </c>
      <c r="H1059" s="2"/>
      <c r="I1059" s="2"/>
      <c r="J1059" s="2">
        <f ca="1">IFERROR(__xludf.DUMMYFUNCTION("""COMPUTED_VALUE"""),0)</f>
        <v>0</v>
      </c>
      <c r="K1059" s="2">
        <f ca="1">IFERROR(__xludf.DUMMYFUNCTION("""COMPUTED_VALUE"""),25500)</f>
        <v>25500</v>
      </c>
      <c r="L1059" s="2" t="str">
        <f ca="1">IFERROR(__xludf.DUMMYFUNCTION("""COMPUTED_VALUE"""),"e454d4b3")</f>
        <v>e454d4b3</v>
      </c>
      <c r="M1059" s="2" t="str">
        <f ca="1">IFERROR(__xludf.DUMMYFUNCTION("""COMPUTED_VALUE"""),"Tanat")</f>
        <v>Tanat</v>
      </c>
      <c r="N1059" s="2"/>
      <c r="O1059" s="2" t="str">
        <f ca="1">IFERROR(__xludf.DUMMYFUNCTION("""COMPUTED_VALUE"""),"Filtrado Tang")</f>
        <v>Filtrado Tang</v>
      </c>
      <c r="P1059" s="2"/>
      <c r="Q1059" s="2" t="b">
        <f ca="1">IFERROR(__xludf.DUMMYFUNCTION("""COMPUTED_VALUE"""),FALSE)</f>
        <v>0</v>
      </c>
      <c r="R1059" s="2" t="str">
        <f ca="1">IFERROR(__xludf.DUMMYFUNCTION("""COMPUTED_VALUE"""),"Filtrado Tang")</f>
        <v>Filtrado Tang</v>
      </c>
      <c r="S1059" s="2"/>
      <c r="T1059" s="2"/>
      <c r="U1059" s="2"/>
    </row>
    <row r="1060" spans="1:21" x14ac:dyDescent="0.25">
      <c r="A1060" s="2" t="str">
        <f ca="1">IFERROR(__xludf.DUMMYFUNCTION("""COMPUTED_VALUE"""),"bf52662c")</f>
        <v>bf52662c</v>
      </c>
      <c r="B1060" s="5">
        <f ca="1">IFERROR(__xludf.DUMMYFUNCTION("""COMPUTED_VALUE"""),45929.7082986111)</f>
        <v>45929.708298611098</v>
      </c>
      <c r="C1060" s="2" t="str">
        <f ca="1">IFERROR(__xludf.DUMMYFUNCTION("""COMPUTED_VALUE"""),"d52c4944")</f>
        <v>d52c4944</v>
      </c>
      <c r="D1060" s="2">
        <f ca="1">IFERROR(__xludf.DUMMYFUNCTION("""COMPUTED_VALUE"""),66)</f>
        <v>66</v>
      </c>
      <c r="E1060" s="2" t="str">
        <f ca="1">IFERROR(__xludf.DUMMYFUNCTION("""COMPUTED_VALUE"""),"Cabernet Sauvignon")</f>
        <v>Cabernet Sauvignon</v>
      </c>
      <c r="F1060" s="2">
        <f ca="1">IFERROR(__xludf.DUMMYFUNCTION("""COMPUTED_VALUE"""),13000)</f>
        <v>13000</v>
      </c>
      <c r="G1060" s="2">
        <f ca="1">IFERROR(__xludf.DUMMYFUNCTION("""COMPUTED_VALUE"""),74)</f>
        <v>74</v>
      </c>
      <c r="H1060" s="2"/>
      <c r="I1060" s="2"/>
      <c r="J1060" s="2">
        <f ca="1">IFERROR(__xludf.DUMMYFUNCTION("""COMPUTED_VALUE"""),0)</f>
        <v>0</v>
      </c>
      <c r="K1060" s="2">
        <f ca="1">IFERROR(__xludf.DUMMYFUNCTION("""COMPUTED_VALUE"""),13000)</f>
        <v>13000</v>
      </c>
      <c r="L1060" s="2" t="str">
        <f ca="1">IFERROR(__xludf.DUMMYFUNCTION("""COMPUTED_VALUE"""),"cdfb4c74")</f>
        <v>cdfb4c74</v>
      </c>
      <c r="M1060" s="2" t="str">
        <f ca="1">IFERROR(__xludf.DUMMYFUNCTION("""COMPUTED_VALUE"""),"Cabernet Sauvignon")</f>
        <v>Cabernet Sauvignon</v>
      </c>
      <c r="N1060" s="2"/>
      <c r="O1060" s="2" t="str">
        <f ca="1">IFERROR(__xludf.DUMMYFUNCTION("""COMPUTED_VALUE"""),"Filtrado Tang")</f>
        <v>Filtrado Tang</v>
      </c>
      <c r="P1060" s="2"/>
      <c r="Q1060" s="2" t="b">
        <f ca="1">IFERROR(__xludf.DUMMYFUNCTION("""COMPUTED_VALUE"""),FALSE)</f>
        <v>0</v>
      </c>
      <c r="R1060" s="2" t="str">
        <f ca="1">IFERROR(__xludf.DUMMYFUNCTION("""COMPUTED_VALUE"""),"Filtrado Tang")</f>
        <v>Filtrado Tang</v>
      </c>
      <c r="S1060" s="2"/>
      <c r="T1060" s="2"/>
      <c r="U1060" s="2" t="str">
        <f ca="1">IFERROR(__xludf.DUMMYFUNCTION("""COMPUTED_VALUE"""),"1")</f>
        <v>1</v>
      </c>
    </row>
    <row r="1061" spans="1:21" x14ac:dyDescent="0.25">
      <c r="A1061" s="2" t="str">
        <f ca="1">IFERROR(__xludf.DUMMYFUNCTION("""COMPUTED_VALUE"""),"cfcf14cc")</f>
        <v>cfcf14cc</v>
      </c>
      <c r="B1061" s="5">
        <f ca="1">IFERROR(__xludf.DUMMYFUNCTION("""COMPUTED_VALUE"""),45929.7261111111)</f>
        <v>45929.7261111111</v>
      </c>
      <c r="C1061" s="2" t="str">
        <f ca="1">IFERROR(__xludf.DUMMYFUNCTION("""COMPUTED_VALUE"""),"734aedeb")</f>
        <v>734aedeb</v>
      </c>
      <c r="D1061" s="2">
        <f ca="1">IFERROR(__xludf.DUMMYFUNCTION("""COMPUTED_VALUE"""),86)</f>
        <v>86</v>
      </c>
      <c r="E1061" s="2" t="str">
        <f ca="1">IFERROR(__xludf.DUMMYFUNCTION("""COMPUTED_VALUE"""),"Malbec")</f>
        <v>Malbec</v>
      </c>
      <c r="F1061" s="2">
        <f ca="1">IFERROR(__xludf.DUMMYFUNCTION("""COMPUTED_VALUE"""),600)</f>
        <v>600</v>
      </c>
      <c r="G1061" s="2">
        <f ca="1">IFERROR(__xludf.DUMMYFUNCTION("""COMPUTED_VALUE"""),45)</f>
        <v>45</v>
      </c>
      <c r="H1061" s="2" t="str">
        <f ca="1">IFERROR(__xludf.DUMMYFUNCTION("""COMPUTED_VALUE"""),"baafd29f")</f>
        <v>baafd29f</v>
      </c>
      <c r="I1061" s="2" t="str">
        <f ca="1">IFERROR(__xludf.DUMMYFUNCTION("""COMPUTED_VALUE"""),"Malbec")</f>
        <v>Malbec</v>
      </c>
      <c r="J1061" s="2">
        <f ca="1">IFERROR(__xludf.DUMMYFUNCTION("""COMPUTED_VALUE"""),10000)</f>
        <v>10000</v>
      </c>
      <c r="K1061" s="2">
        <f ca="1">IFERROR(__xludf.DUMMYFUNCTION("""COMPUTED_VALUE"""),10600)</f>
        <v>10600</v>
      </c>
      <c r="L1061" s="2" t="str">
        <f ca="1">IFERROR(__xludf.DUMMYFUNCTION("""COMPUTED_VALUE"""),"695e7e53")</f>
        <v>695e7e53</v>
      </c>
      <c r="M1061" s="2" t="str">
        <f ca="1">IFERROR(__xludf.DUMMYFUNCTION("""COMPUTED_VALUE"""),"Malbec")</f>
        <v>Malbec</v>
      </c>
      <c r="N1061" s="2"/>
      <c r="O1061" s="2" t="str">
        <f ca="1">IFERROR(__xludf.DUMMYFUNCTION("""COMPUTED_VALUE"""),"Filtrado Tang")</f>
        <v>Filtrado Tang</v>
      </c>
      <c r="P1061" s="2" t="str">
        <f ca="1">IFERROR(__xludf.DUMMYFUNCTION("""COMPUTED_VALUE"""),"Rectificado")</f>
        <v>Rectificado</v>
      </c>
      <c r="Q1061" s="2" t="b">
        <f ca="1">IFERROR(__xludf.DUMMYFUNCTION("""COMPUTED_VALUE"""),TRUE)</f>
        <v>1</v>
      </c>
      <c r="R1061" s="2" t="str">
        <f ca="1">IFERROR(__xludf.DUMMYFUNCTION("""COMPUTED_VALUE"""),"Rectificado")</f>
        <v>Rectificado</v>
      </c>
      <c r="S1061" s="2"/>
      <c r="T1061" s="2"/>
      <c r="U1061" s="2" t="str">
        <f ca="1">IFERROR(__xludf.DUMMYFUNCTION("""COMPUTED_VALUE"""),"2+")</f>
        <v>2+</v>
      </c>
    </row>
    <row r="1062" spans="1:21" x14ac:dyDescent="0.25">
      <c r="A1062" s="2" t="str">
        <f ca="1">IFERROR(__xludf.DUMMYFUNCTION("""COMPUTED_VALUE"""),"b14ef041")</f>
        <v>b14ef041</v>
      </c>
      <c r="B1062" s="5">
        <f ca="1">IFERROR(__xludf.DUMMYFUNCTION("""COMPUTED_VALUE"""),45929.727037037)</f>
        <v>45929.727037037002</v>
      </c>
      <c r="C1062" s="2" t="str">
        <f ca="1">IFERROR(__xludf.DUMMYFUNCTION("""COMPUTED_VALUE"""),"32396d27")</f>
        <v>32396d27</v>
      </c>
      <c r="D1062" s="2">
        <f ca="1">IFERROR(__xludf.DUMMYFUNCTION("""COMPUTED_VALUE"""),83)</f>
        <v>83</v>
      </c>
      <c r="E1062" s="2" t="str">
        <f ca="1">IFERROR(__xludf.DUMMYFUNCTION("""COMPUTED_VALUE"""),"Malbec")</f>
        <v>Malbec</v>
      </c>
      <c r="F1062" s="2">
        <f ca="1">IFERROR(__xludf.DUMMYFUNCTION("""COMPUTED_VALUE"""),19400)</f>
        <v>19400</v>
      </c>
      <c r="G1062" s="2">
        <f ca="1">IFERROR(__xludf.DUMMYFUNCTION("""COMPUTED_VALUE"""),45)</f>
        <v>45</v>
      </c>
      <c r="H1062" s="2" t="str">
        <f ca="1">IFERROR(__xludf.DUMMYFUNCTION("""COMPUTED_VALUE"""),"695e7e53")</f>
        <v>695e7e53</v>
      </c>
      <c r="I1062" s="2" t="str">
        <f ca="1">IFERROR(__xludf.DUMMYFUNCTION("""COMPUTED_VALUE"""),"Malbec")</f>
        <v>Malbec</v>
      </c>
      <c r="J1062" s="2">
        <f ca="1">IFERROR(__xludf.DUMMYFUNCTION("""COMPUTED_VALUE"""),10600)</f>
        <v>10600</v>
      </c>
      <c r="K1062" s="2">
        <f ca="1">IFERROR(__xludf.DUMMYFUNCTION("""COMPUTED_VALUE"""),30000)</f>
        <v>30000</v>
      </c>
      <c r="L1062" s="2" t="str">
        <f ca="1">IFERROR(__xludf.DUMMYFUNCTION("""COMPUTED_VALUE"""),"56985b33")</f>
        <v>56985b33</v>
      </c>
      <c r="M1062" s="2" t="str">
        <f ca="1">IFERROR(__xludf.DUMMYFUNCTION("""COMPUTED_VALUE"""),"Malbec")</f>
        <v>Malbec</v>
      </c>
      <c r="N1062" s="2"/>
      <c r="O1062" s="2" t="str">
        <f ca="1">IFERROR(__xludf.DUMMYFUNCTION("""COMPUTED_VALUE"""),"Filtrado Tang")</f>
        <v>Filtrado Tang</v>
      </c>
      <c r="P1062" s="2" t="str">
        <f ca="1">IFERROR(__xludf.DUMMYFUNCTION("""COMPUTED_VALUE"""),"Rectificado")</f>
        <v>Rectificado</v>
      </c>
      <c r="Q1062" s="2" t="b">
        <f ca="1">IFERROR(__xludf.DUMMYFUNCTION("""COMPUTED_VALUE"""),TRUE)</f>
        <v>1</v>
      </c>
      <c r="R1062" s="2" t="str">
        <f ca="1">IFERROR(__xludf.DUMMYFUNCTION("""COMPUTED_VALUE"""),"Rectificado")</f>
        <v>Rectificado</v>
      </c>
      <c r="S1062" s="2"/>
      <c r="T1062" s="2"/>
      <c r="U1062" s="2" t="str">
        <f ca="1">IFERROR(__xludf.DUMMYFUNCTION("""COMPUTED_VALUE"""),"2+")</f>
        <v>2+</v>
      </c>
    </row>
    <row r="1063" spans="1:21" x14ac:dyDescent="0.25">
      <c r="A1063" s="2" t="str">
        <f ca="1">IFERROR(__xludf.DUMMYFUNCTION("""COMPUTED_VALUE"""),"11d67f57")</f>
        <v>11d67f57</v>
      </c>
      <c r="B1063" s="5">
        <f ca="1">IFERROR(__xludf.DUMMYFUNCTION("""COMPUTED_VALUE"""),45929.727511574)</f>
        <v>45929.727511573998</v>
      </c>
      <c r="C1063" s="2" t="str">
        <f ca="1">IFERROR(__xludf.DUMMYFUNCTION("""COMPUTED_VALUE"""),"df5a7884")</f>
        <v>df5a7884</v>
      </c>
      <c r="D1063" s="2">
        <f ca="1">IFERROR(__xludf.DUMMYFUNCTION("""COMPUTED_VALUE"""),9)</f>
        <v>9</v>
      </c>
      <c r="E1063" s="2" t="str">
        <f ca="1">IFERROR(__xludf.DUMMYFUNCTION("""COMPUTED_VALUE"""),"Tanat")</f>
        <v>Tanat</v>
      </c>
      <c r="F1063" s="2">
        <f ca="1">IFERROR(__xludf.DUMMYFUNCTION("""COMPUTED_VALUE"""),500)</f>
        <v>500</v>
      </c>
      <c r="G1063" s="2">
        <f ca="1">IFERROR(__xludf.DUMMYFUNCTION("""COMPUTED_VALUE"""),49)</f>
        <v>49</v>
      </c>
      <c r="H1063" s="2"/>
      <c r="I1063" s="2"/>
      <c r="J1063" s="2">
        <f ca="1">IFERROR(__xludf.DUMMYFUNCTION("""COMPUTED_VALUE"""),0)</f>
        <v>0</v>
      </c>
      <c r="K1063" s="2">
        <f ca="1">IFERROR(__xludf.DUMMYFUNCTION("""COMPUTED_VALUE"""),500)</f>
        <v>500</v>
      </c>
      <c r="L1063" s="2" t="str">
        <f ca="1">IFERROR(__xludf.DUMMYFUNCTION("""COMPUTED_VALUE"""),"d70f95c0")</f>
        <v>d70f95c0</v>
      </c>
      <c r="M1063" s="2" t="str">
        <f ca="1">IFERROR(__xludf.DUMMYFUNCTION("""COMPUTED_VALUE"""),"Malbec Rectificado")</f>
        <v>Malbec Rectificado</v>
      </c>
      <c r="N1063" s="2"/>
      <c r="O1063" s="2" t="str">
        <f ca="1">IFERROR(__xludf.DUMMYFUNCTION("""COMPUTED_VALUE"""),"Filtrado Tang")</f>
        <v>Filtrado Tang</v>
      </c>
      <c r="P1063" s="2"/>
      <c r="Q1063" s="2" t="b">
        <f ca="1">IFERROR(__xludf.DUMMYFUNCTION("""COMPUTED_VALUE"""),FALSE)</f>
        <v>0</v>
      </c>
      <c r="R1063" s="2" t="str">
        <f ca="1">IFERROR(__xludf.DUMMYFUNCTION("""COMPUTED_VALUE"""),"Rectificado")</f>
        <v>Rectificado</v>
      </c>
      <c r="S1063" s="2"/>
      <c r="T1063" s="2"/>
      <c r="U1063" s="2"/>
    </row>
    <row r="1064" spans="1:21" x14ac:dyDescent="0.25">
      <c r="A1064" s="2" t="str">
        <f ca="1">IFERROR(__xludf.DUMMYFUNCTION("""COMPUTED_VALUE"""),"842c648a")</f>
        <v>842c648a</v>
      </c>
      <c r="B1064" s="5">
        <f ca="1">IFERROR(__xludf.DUMMYFUNCTION("""COMPUTED_VALUE"""),45929.7282175925)</f>
        <v>45929.728217592499</v>
      </c>
      <c r="C1064" s="2" t="str">
        <f ca="1">IFERROR(__xludf.DUMMYFUNCTION("""COMPUTED_VALUE"""),"d52c4944")</f>
        <v>d52c4944</v>
      </c>
      <c r="D1064" s="2">
        <f ca="1">IFERROR(__xludf.DUMMYFUNCTION("""COMPUTED_VALUE"""),66)</f>
        <v>66</v>
      </c>
      <c r="E1064" s="2" t="str">
        <f ca="1">IFERROR(__xludf.DUMMYFUNCTION("""COMPUTED_VALUE"""),"Cabernet Sauvignon")</f>
        <v>Cabernet Sauvignon</v>
      </c>
      <c r="F1064" s="2">
        <f ca="1">IFERROR(__xludf.DUMMYFUNCTION("""COMPUTED_VALUE"""),1500)</f>
        <v>1500</v>
      </c>
      <c r="G1064" s="2">
        <f ca="1">IFERROR(__xludf.DUMMYFUNCTION("""COMPUTED_VALUE"""),49)</f>
        <v>49</v>
      </c>
      <c r="H1064" s="2" t="str">
        <f ca="1">IFERROR(__xludf.DUMMYFUNCTION("""COMPUTED_VALUE"""),"d70f95c0")</f>
        <v>d70f95c0</v>
      </c>
      <c r="I1064" s="2" t="str">
        <f ca="1">IFERROR(__xludf.DUMMYFUNCTION("""COMPUTED_VALUE"""),"Malbec Rectificado")</f>
        <v>Malbec Rectificado</v>
      </c>
      <c r="J1064" s="2">
        <f ca="1">IFERROR(__xludf.DUMMYFUNCTION("""COMPUTED_VALUE"""),500)</f>
        <v>500</v>
      </c>
      <c r="K1064" s="2">
        <f ca="1">IFERROR(__xludf.DUMMYFUNCTION("""COMPUTED_VALUE"""),2000)</f>
        <v>2000</v>
      </c>
      <c r="L1064" s="2" t="str">
        <f ca="1">IFERROR(__xludf.DUMMYFUNCTION("""COMPUTED_VALUE"""),"d420eb11")</f>
        <v>d420eb11</v>
      </c>
      <c r="M1064" s="2" t="str">
        <f ca="1">IFERROR(__xludf.DUMMYFUNCTION("""COMPUTED_VALUE"""),"Malbec Rectificado")</f>
        <v>Malbec Rectificado</v>
      </c>
      <c r="N1064" s="2"/>
      <c r="O1064" s="2" t="str">
        <f ca="1">IFERROR(__xludf.DUMMYFUNCTION("""COMPUTED_VALUE"""),"Filtrado Tang")</f>
        <v>Filtrado Tang</v>
      </c>
      <c r="P1064" s="2" t="str">
        <f ca="1">IFERROR(__xludf.DUMMYFUNCTION("""COMPUTED_VALUE"""),"Rectificado")</f>
        <v>Rectificado</v>
      </c>
      <c r="Q1064" s="2" t="b">
        <f ca="1">IFERROR(__xludf.DUMMYFUNCTION("""COMPUTED_VALUE"""),TRUE)</f>
        <v>1</v>
      </c>
      <c r="R1064" s="2" t="str">
        <f ca="1">IFERROR(__xludf.DUMMYFUNCTION("""COMPUTED_VALUE"""),"Rectificado")</f>
        <v>Rectificado</v>
      </c>
      <c r="S1064" s="2"/>
      <c r="T1064" s="2"/>
      <c r="U1064" s="2"/>
    </row>
    <row r="1065" spans="1:21" x14ac:dyDescent="0.25">
      <c r="A1065" s="2" t="str">
        <f ca="1">IFERROR(__xludf.DUMMYFUNCTION("""COMPUTED_VALUE"""),"7b88954b")</f>
        <v>7b88954b</v>
      </c>
      <c r="B1065" s="5">
        <f ca="1">IFERROR(__xludf.DUMMYFUNCTION("""COMPUTED_VALUE"""),45929.7287384259)</f>
        <v>45929.728738425903</v>
      </c>
      <c r="C1065" s="2" t="str">
        <f ca="1">IFERROR(__xludf.DUMMYFUNCTION("""COMPUTED_VALUE"""),"32396d27")</f>
        <v>32396d27</v>
      </c>
      <c r="D1065" s="2">
        <f ca="1">IFERROR(__xludf.DUMMYFUNCTION("""COMPUTED_VALUE"""),83)</f>
        <v>83</v>
      </c>
      <c r="E1065" s="2" t="str">
        <f ca="1">IFERROR(__xludf.DUMMYFUNCTION("""COMPUTED_VALUE"""),"Malbec")</f>
        <v>Malbec</v>
      </c>
      <c r="F1065" s="2">
        <f ca="1">IFERROR(__xludf.DUMMYFUNCTION("""COMPUTED_VALUE"""),205)</f>
        <v>205</v>
      </c>
      <c r="G1065" s="2">
        <f ca="1">IFERROR(__xludf.DUMMYFUNCTION("""COMPUTED_VALUE"""),51)</f>
        <v>51</v>
      </c>
      <c r="H1065" s="2" t="str">
        <f ca="1">IFERROR(__xludf.DUMMYFUNCTION("""COMPUTED_VALUE"""),"b14f6c87")</f>
        <v>b14f6c87</v>
      </c>
      <c r="I1065" s="2" t="str">
        <f ca="1">IFERROR(__xludf.DUMMYFUNCTION("""COMPUTED_VALUE"""),"Aspirant 24")</f>
        <v>Aspirant 24</v>
      </c>
      <c r="J1065" s="2">
        <f ca="1">IFERROR(__xludf.DUMMYFUNCTION("""COMPUTED_VALUE"""),3695)</f>
        <v>3695</v>
      </c>
      <c r="K1065" s="2">
        <f ca="1">IFERROR(__xludf.DUMMYFUNCTION("""COMPUTED_VALUE"""),3900)</f>
        <v>3900</v>
      </c>
      <c r="L1065" s="2" t="str">
        <f ca="1">IFERROR(__xludf.DUMMYFUNCTION("""COMPUTED_VALUE"""),"80e8c28e")</f>
        <v>80e8c28e</v>
      </c>
      <c r="M1065" s="2" t="str">
        <f ca="1">IFERROR(__xludf.DUMMYFUNCTION("""COMPUTED_VALUE"""),"Aspirant 24")</f>
        <v>Aspirant 24</v>
      </c>
      <c r="N1065" s="2"/>
      <c r="O1065" s="2" t="str">
        <f ca="1">IFERROR(__xludf.DUMMYFUNCTION("""COMPUTED_VALUE"""),"Filtrado Tang")</f>
        <v>Filtrado Tang</v>
      </c>
      <c r="P1065" s="2" t="str">
        <f ca="1">IFERROR(__xludf.DUMMYFUNCTION("""COMPUTED_VALUE"""),"Filtrado Tang")</f>
        <v>Filtrado Tang</v>
      </c>
      <c r="Q1065" s="2" t="b">
        <f ca="1">IFERROR(__xludf.DUMMYFUNCTION("""COMPUTED_VALUE"""),TRUE)</f>
        <v>1</v>
      </c>
      <c r="R1065" s="2" t="str">
        <f ca="1">IFERROR(__xludf.DUMMYFUNCTION("""COMPUTED_VALUE"""),"Filtrado Tang")</f>
        <v>Filtrado Tang</v>
      </c>
      <c r="S1065" s="2"/>
      <c r="T1065" s="2"/>
      <c r="U1065" s="2"/>
    </row>
    <row r="1066" spans="1:21" x14ac:dyDescent="0.25">
      <c r="A1066" s="2" t="str">
        <f ca="1">IFERROR(__xludf.DUMMYFUNCTION("""COMPUTED_VALUE"""),"0804e6d3")</f>
        <v>0804e6d3</v>
      </c>
      <c r="B1066" s="5">
        <f ca="1">IFERROR(__xludf.DUMMYFUNCTION("""COMPUTED_VALUE"""),45933.7530787037)</f>
        <v>45933.753078703703</v>
      </c>
      <c r="C1066" s="2" t="str">
        <f ca="1">IFERROR(__xludf.DUMMYFUNCTION("""COMPUTED_VALUE"""),"32396d27")</f>
        <v>32396d27</v>
      </c>
      <c r="D1066" s="2">
        <f ca="1">IFERROR(__xludf.DUMMYFUNCTION("""COMPUTED_VALUE"""),83)</f>
        <v>83</v>
      </c>
      <c r="E1066" s="2" t="str">
        <f ca="1">IFERROR(__xludf.DUMMYFUNCTION("""COMPUTED_VALUE"""),"Malbec")</f>
        <v>Malbec</v>
      </c>
      <c r="F1066" s="2">
        <f ca="1">IFERROR(__xludf.DUMMYFUNCTION("""COMPUTED_VALUE"""),24000)</f>
        <v>24000</v>
      </c>
      <c r="G1066" s="2">
        <f ca="1">IFERROR(__xludf.DUMMYFUNCTION("""COMPUTED_VALUE"""),49)</f>
        <v>49</v>
      </c>
      <c r="H1066" s="2" t="str">
        <f ca="1">IFERROR(__xludf.DUMMYFUNCTION("""COMPUTED_VALUE"""),"d420eb11")</f>
        <v>d420eb11</v>
      </c>
      <c r="I1066" s="2" t="str">
        <f ca="1">IFERROR(__xludf.DUMMYFUNCTION("""COMPUTED_VALUE"""),"Malbec Rectificado")</f>
        <v>Malbec Rectificado</v>
      </c>
      <c r="J1066" s="2">
        <f ca="1">IFERROR(__xludf.DUMMYFUNCTION("""COMPUTED_VALUE"""),2000)</f>
        <v>2000</v>
      </c>
      <c r="K1066" s="2">
        <f ca="1">IFERROR(__xludf.DUMMYFUNCTION("""COMPUTED_VALUE"""),26000)</f>
        <v>26000</v>
      </c>
      <c r="L1066" s="2" t="str">
        <f ca="1">IFERROR(__xludf.DUMMYFUNCTION("""COMPUTED_VALUE"""),"ee0770a6")</f>
        <v>ee0770a6</v>
      </c>
      <c r="M1066" s="2" t="str">
        <f ca="1">IFERROR(__xludf.DUMMYFUNCTION("""COMPUTED_VALUE"""),"Malbec Rectificado")</f>
        <v>Malbec Rectificado</v>
      </c>
      <c r="N1066" s="2"/>
      <c r="O1066" s="2" t="str">
        <f ca="1">IFERROR(__xludf.DUMMYFUNCTION("""COMPUTED_VALUE"""),"Filtrado Tang")</f>
        <v>Filtrado Tang</v>
      </c>
      <c r="P1066" s="2" t="str">
        <f ca="1">IFERROR(__xludf.DUMMYFUNCTION("""COMPUTED_VALUE"""),"Rectificado")</f>
        <v>Rectificado</v>
      </c>
      <c r="Q1066" s="2" t="b">
        <f ca="1">IFERROR(__xludf.DUMMYFUNCTION("""COMPUTED_VALUE"""),TRUE)</f>
        <v>1</v>
      </c>
      <c r="R1066" s="2" t="str">
        <f ca="1">IFERROR(__xludf.DUMMYFUNCTION("""COMPUTED_VALUE"""),"Rectificado")</f>
        <v>Rectificado</v>
      </c>
      <c r="S1066" s="2"/>
      <c r="T1066" s="2"/>
      <c r="U1066" s="2"/>
    </row>
    <row r="1067" spans="1:21" x14ac:dyDescent="0.25">
      <c r="A1067" s="2" t="str">
        <f ca="1">IFERROR(__xludf.DUMMYFUNCTION("""COMPUTED_VALUE"""),"390f5bb9")</f>
        <v>390f5bb9</v>
      </c>
      <c r="B1067" s="5">
        <f ca="1">IFERROR(__xludf.DUMMYFUNCTION("""COMPUTED_VALUE"""),45933.755787037)</f>
        <v>45933.755787037</v>
      </c>
      <c r="C1067" s="2" t="str">
        <f ca="1">IFERROR(__xludf.DUMMYFUNCTION("""COMPUTED_VALUE"""),"32396d27")</f>
        <v>32396d27</v>
      </c>
      <c r="D1067" s="2">
        <f ca="1">IFERROR(__xludf.DUMMYFUNCTION("""COMPUTED_VALUE"""),83)</f>
        <v>83</v>
      </c>
      <c r="E1067" s="2" t="str">
        <f ca="1">IFERROR(__xludf.DUMMYFUNCTION("""COMPUTED_VALUE"""),"Malbec")</f>
        <v>Malbec</v>
      </c>
      <c r="F1067" s="2">
        <f ca="1">IFERROR(__xludf.DUMMYFUNCTION("""COMPUTED_VALUE"""),4795)</f>
        <v>4795</v>
      </c>
      <c r="G1067" s="2">
        <f ca="1">IFERROR(__xludf.DUMMYFUNCTION("""COMPUTED_VALUE"""),44)</f>
        <v>44</v>
      </c>
      <c r="H1067" s="2"/>
      <c r="I1067" s="2"/>
      <c r="J1067" s="2">
        <f ca="1">IFERROR(__xludf.DUMMYFUNCTION("""COMPUTED_VALUE"""),0)</f>
        <v>0</v>
      </c>
      <c r="K1067" s="2">
        <f ca="1">IFERROR(__xludf.DUMMYFUNCTION("""COMPUTED_VALUE"""),4795)</f>
        <v>4795</v>
      </c>
      <c r="L1067" s="2" t="str">
        <f ca="1">IFERROR(__xludf.DUMMYFUNCTION("""COMPUTED_VALUE"""),"f1d435a7")</f>
        <v>f1d435a7</v>
      </c>
      <c r="M1067" s="2" t="str">
        <f ca="1">IFERROR(__xludf.DUMMYFUNCTION("""COMPUTED_VALUE"""),"Malbec")</f>
        <v>Malbec</v>
      </c>
      <c r="N1067" s="2"/>
      <c r="O1067" s="2" t="str">
        <f ca="1">IFERROR(__xludf.DUMMYFUNCTION("""COMPUTED_VALUE"""),"Filtrado Tang")</f>
        <v>Filtrado Tang</v>
      </c>
      <c r="P1067" s="2"/>
      <c r="Q1067" s="2" t="b">
        <f ca="1">IFERROR(__xludf.DUMMYFUNCTION("""COMPUTED_VALUE"""),FALSE)</f>
        <v>0</v>
      </c>
      <c r="R1067" s="2" t="str">
        <f ca="1">IFERROR(__xludf.DUMMYFUNCTION("""COMPUTED_VALUE"""),"Rectificado")</f>
        <v>Rectificado</v>
      </c>
      <c r="S1067" s="2"/>
      <c r="T1067" s="2"/>
      <c r="U1067" s="2" t="str">
        <f ca="1">IFERROR(__xludf.DUMMYFUNCTION("""COMPUTED_VALUE"""),"2+")</f>
        <v>2+</v>
      </c>
    </row>
    <row r="1068" spans="1:21" x14ac:dyDescent="0.25">
      <c r="A1068" s="2" t="str">
        <f ca="1">IFERROR(__xludf.DUMMYFUNCTION("""COMPUTED_VALUE"""),"71191fff")</f>
        <v>71191fff</v>
      </c>
      <c r="B1068" s="5">
        <f ca="1">IFERROR(__xludf.DUMMYFUNCTION("""COMPUTED_VALUE"""),45945.6904398148)</f>
        <v>45945.690439814804</v>
      </c>
      <c r="C1068" s="2" t="str">
        <f ca="1">IFERROR(__xludf.DUMMYFUNCTION("""COMPUTED_VALUE"""),"376dbee6")</f>
        <v>376dbee6</v>
      </c>
      <c r="D1068" s="2">
        <f ca="1">IFERROR(__xludf.DUMMYFUNCTION("""COMPUTED_VALUE"""),8)</f>
        <v>8</v>
      </c>
      <c r="E1068" s="2" t="str">
        <f ca="1">IFERROR(__xludf.DUMMYFUNCTION("""COMPUTED_VALUE"""),"Chardonnay")</f>
        <v>Chardonnay</v>
      </c>
      <c r="F1068" s="2">
        <f ca="1">IFERROR(__xludf.DUMMYFUNCTION("""COMPUTED_VALUE"""),5000)</f>
        <v>5000</v>
      </c>
      <c r="G1068" s="2">
        <f ca="1">IFERROR(__xludf.DUMMYFUNCTION("""COMPUTED_VALUE"""),500)</f>
        <v>500</v>
      </c>
      <c r="H1068" s="2"/>
      <c r="I1068" s="2"/>
      <c r="J1068" s="2">
        <f ca="1">IFERROR(__xludf.DUMMYFUNCTION("""COMPUTED_VALUE"""),0)</f>
        <v>0</v>
      </c>
      <c r="K1068" s="2">
        <f ca="1">IFERROR(__xludf.DUMMYFUNCTION("""COMPUTED_VALUE"""),5000)</f>
        <v>5000</v>
      </c>
      <c r="L1068" s="2" t="str">
        <f ca="1">IFERROR(__xludf.DUMMYFUNCTION("""COMPUTED_VALUE"""),"f9167fb8")</f>
        <v>f9167fb8</v>
      </c>
      <c r="M1068" s="2" t="str">
        <f ca="1">IFERROR(__xludf.DUMMYFUNCTION("""COMPUTED_VALUE"""),"Chardonnay Traslado Almic")</f>
        <v>Chardonnay Traslado Almic</v>
      </c>
      <c r="N1068" s="2"/>
      <c r="O1068" s="2" t="str">
        <f ca="1">IFERROR(__xludf.DUMMYFUNCTION("""COMPUTED_VALUE"""),"Descubada")</f>
        <v>Descubada</v>
      </c>
      <c r="P1068" s="2"/>
      <c r="Q1068" s="2" t="b">
        <f ca="1">IFERROR(__xludf.DUMMYFUNCTION("""COMPUTED_VALUE"""),FALSE)</f>
        <v>0</v>
      </c>
      <c r="R1068" s="2" t="str">
        <f ca="1">IFERROR(__xludf.DUMMYFUNCTION("""COMPUTED_VALUE"""),"Traslado Venta")</f>
        <v>Traslado Venta</v>
      </c>
      <c r="S1068" s="2"/>
      <c r="T1068" s="2"/>
      <c r="U1068" s="2" t="str">
        <f ca="1">IFERROR(__xludf.DUMMYFUNCTION("""COMPUTED_VALUE"""),"1")</f>
        <v>1</v>
      </c>
    </row>
    <row r="1069" spans="1:21" x14ac:dyDescent="0.25">
      <c r="A1069" s="2" t="str">
        <f ca="1">IFERROR(__xludf.DUMMYFUNCTION("""COMPUTED_VALUE"""),"db83b1a5")</f>
        <v>db83b1a5</v>
      </c>
      <c r="B1069" s="5">
        <f ca="1">IFERROR(__xludf.DUMMYFUNCTION("""COMPUTED_VALUE"""),45945.691574074)</f>
        <v>45945.691574074001</v>
      </c>
      <c r="C1069" s="2" t="str">
        <f ca="1">IFERROR(__xludf.DUMMYFUNCTION("""COMPUTED_VALUE"""),"fdb74546")</f>
        <v>fdb74546</v>
      </c>
      <c r="D1069" s="2">
        <f ca="1">IFERROR(__xludf.DUMMYFUNCTION("""COMPUTED_VALUE"""),69)</f>
        <v>69</v>
      </c>
      <c r="E1069" s="2" t="str">
        <f ca="1">IFERROR(__xludf.DUMMYFUNCTION("""COMPUTED_VALUE"""),"Chardonnay")</f>
        <v>Chardonnay</v>
      </c>
      <c r="F1069" s="2">
        <f ca="1">IFERROR(__xludf.DUMMYFUNCTION("""COMPUTED_VALUE"""),5000)</f>
        <v>5000</v>
      </c>
      <c r="G1069" s="2">
        <f ca="1">IFERROR(__xludf.DUMMYFUNCTION("""COMPUTED_VALUE"""),8)</f>
        <v>8</v>
      </c>
      <c r="H1069" s="2" t="str">
        <f ca="1">IFERROR(__xludf.DUMMYFUNCTION("""COMPUTED_VALUE"""),"376dbee6")</f>
        <v>376dbee6</v>
      </c>
      <c r="I1069" s="2" t="str">
        <f ca="1">IFERROR(__xludf.DUMMYFUNCTION("""COMPUTED_VALUE"""),"Chardonnay")</f>
        <v>Chardonnay</v>
      </c>
      <c r="J1069" s="2">
        <f ca="1">IFERROR(__xludf.DUMMYFUNCTION("""COMPUTED_VALUE"""),17000)</f>
        <v>17000</v>
      </c>
      <c r="K1069" s="2">
        <f ca="1">IFERROR(__xludf.DUMMYFUNCTION("""COMPUTED_VALUE"""),22000)</f>
        <v>22000</v>
      </c>
      <c r="L1069" s="2" t="str">
        <f ca="1">IFERROR(__xludf.DUMMYFUNCTION("""COMPUTED_VALUE"""),"26eed108")</f>
        <v>26eed108</v>
      </c>
      <c r="M1069" s="2" t="str">
        <f ca="1">IFERROR(__xludf.DUMMYFUNCTION("""COMPUTED_VALUE"""),"Chardonnay")</f>
        <v>Chardonnay</v>
      </c>
      <c r="N1069" s="2"/>
      <c r="O1069" s="2" t="str">
        <f ca="1">IFERROR(__xludf.DUMMYFUNCTION("""COMPUTED_VALUE"""),"1er Trasiego")</f>
        <v>1er Trasiego</v>
      </c>
      <c r="P1069" s="2" t="str">
        <f ca="1">IFERROR(__xludf.DUMMYFUNCTION("""COMPUTED_VALUE"""),"Descubada")</f>
        <v>Descubada</v>
      </c>
      <c r="Q1069" s="2" t="b">
        <f ca="1">IFERROR(__xludf.DUMMYFUNCTION("""COMPUTED_VALUE"""),TRUE)</f>
        <v>1</v>
      </c>
      <c r="R1069" s="2" t="str">
        <f ca="1">IFERROR(__xludf.DUMMYFUNCTION("""COMPUTED_VALUE"""),"Descubada")</f>
        <v>Descubada</v>
      </c>
      <c r="S1069" s="2"/>
      <c r="T1069" s="2"/>
      <c r="U1069" s="2" t="str">
        <f ca="1">IFERROR(__xludf.DUMMYFUNCTION("""COMPUTED_VALUE"""),"1")</f>
        <v>1</v>
      </c>
    </row>
    <row r="1070" spans="1:21" x14ac:dyDescent="0.25">
      <c r="A1070" s="2" t="str">
        <f ca="1">IFERROR(__xludf.DUMMYFUNCTION("""COMPUTED_VALUE"""),"d8a3ba6c")</f>
        <v>d8a3ba6c</v>
      </c>
      <c r="B1070" s="5">
        <f ca="1">IFERROR(__xludf.DUMMYFUNCTION("""COMPUTED_VALUE"""),45945.6917129629)</f>
        <v>45945.6917129629</v>
      </c>
      <c r="C1070" s="2" t="str">
        <f ca="1">IFERROR(__xludf.DUMMYFUNCTION("""COMPUTED_VALUE"""),"fdb74546")</f>
        <v>fdb74546</v>
      </c>
      <c r="D1070" s="2">
        <f ca="1">IFERROR(__xludf.DUMMYFUNCTION("""COMPUTED_VALUE"""),69)</f>
        <v>69</v>
      </c>
      <c r="E1070" s="2" t="str">
        <f ca="1">IFERROR(__xludf.DUMMYFUNCTION("""COMPUTED_VALUE"""),"Chardonnay")</f>
        <v>Chardonnay</v>
      </c>
      <c r="F1070" s="2">
        <f ca="1">IFERROR(__xludf.DUMMYFUNCTION("""COMPUTED_VALUE"""),7000)</f>
        <v>7000</v>
      </c>
      <c r="G1070" s="2">
        <f ca="1">IFERROR(__xludf.DUMMYFUNCTION("""COMPUTED_VALUE"""),75)</f>
        <v>75</v>
      </c>
      <c r="H1070" s="2"/>
      <c r="I1070" s="2"/>
      <c r="J1070" s="2">
        <f ca="1">IFERROR(__xludf.DUMMYFUNCTION("""COMPUTED_VALUE"""),0)</f>
        <v>0</v>
      </c>
      <c r="K1070" s="2">
        <f ca="1">IFERROR(__xludf.DUMMYFUNCTION("""COMPUTED_VALUE"""),7000)</f>
        <v>7000</v>
      </c>
      <c r="L1070" s="2" t="str">
        <f ca="1">IFERROR(__xludf.DUMMYFUNCTION("""COMPUTED_VALUE"""),"9faa1a2e")</f>
        <v>9faa1a2e</v>
      </c>
      <c r="M1070" s="2" t="str">
        <f ca="1">IFERROR(__xludf.DUMMYFUNCTION("""COMPUTED_VALUE"""),"Chardonnay")</f>
        <v>Chardonnay</v>
      </c>
      <c r="N1070" s="2"/>
      <c r="O1070" s="2" t="str">
        <f ca="1">IFERROR(__xludf.DUMMYFUNCTION("""COMPUTED_VALUE"""),"1er Trasiego")</f>
        <v>1er Trasiego</v>
      </c>
      <c r="P1070" s="2"/>
      <c r="Q1070" s="2" t="b">
        <f ca="1">IFERROR(__xludf.DUMMYFUNCTION("""COMPUTED_VALUE"""),FALSE)</f>
        <v>0</v>
      </c>
      <c r="R1070" s="2" t="str">
        <f ca="1">IFERROR(__xludf.DUMMYFUNCTION("""COMPUTED_VALUE"""),"1er Trasiego")</f>
        <v>1er Trasiego</v>
      </c>
      <c r="S1070" s="2"/>
      <c r="T1070" s="2"/>
      <c r="U1070" s="2" t="str">
        <f ca="1">IFERROR(__xludf.DUMMYFUNCTION("""COMPUTED_VALUE"""),"1-")</f>
        <v>1-</v>
      </c>
    </row>
    <row r="1071" spans="1:21" x14ac:dyDescent="0.25">
      <c r="A1071" s="2" t="str">
        <f ca="1">IFERROR(__xludf.DUMMYFUNCTION("""COMPUTED_VALUE"""),"4f555689")</f>
        <v>4f555689</v>
      </c>
      <c r="B1071" s="5">
        <f ca="1">IFERROR(__xludf.DUMMYFUNCTION("""COMPUTED_VALUE"""),45945.6924884259)</f>
        <v>45945.692488425899</v>
      </c>
      <c r="C1071" s="2" t="str">
        <f ca="1">IFERROR(__xludf.DUMMYFUNCTION("""COMPUTED_VALUE"""),"fdb74546")</f>
        <v>fdb74546</v>
      </c>
      <c r="D1071" s="2">
        <f ca="1">IFERROR(__xludf.DUMMYFUNCTION("""COMPUTED_VALUE"""),69)</f>
        <v>69</v>
      </c>
      <c r="E1071" s="2" t="str">
        <f ca="1">IFERROR(__xludf.DUMMYFUNCTION("""COMPUTED_VALUE"""),"Chardonnay")</f>
        <v>Chardonnay</v>
      </c>
      <c r="F1071" s="2">
        <f ca="1">IFERROR(__xludf.DUMMYFUNCTION("""COMPUTED_VALUE"""),1000)</f>
        <v>1000</v>
      </c>
      <c r="G1071" s="2">
        <f ca="1">IFERROR(__xludf.DUMMYFUNCTION("""COMPUTED_VALUE"""),500)</f>
        <v>500</v>
      </c>
      <c r="H1071" s="2"/>
      <c r="I1071" s="2"/>
      <c r="J1071" s="2">
        <f ca="1">IFERROR(__xludf.DUMMYFUNCTION("""COMPUTED_VALUE"""),0)</f>
        <v>0</v>
      </c>
      <c r="K1071" s="2">
        <f ca="1">IFERROR(__xludf.DUMMYFUNCTION("""COMPUTED_VALUE"""),1000)</f>
        <v>1000</v>
      </c>
      <c r="L1071" s="2" t="str">
        <f ca="1">IFERROR(__xludf.DUMMYFUNCTION("""COMPUTED_VALUE"""),"525b3c8f")</f>
        <v>525b3c8f</v>
      </c>
      <c r="M1071" s="2" t="str">
        <f ca="1">IFERROR(__xludf.DUMMYFUNCTION("""COMPUTED_VALUE"""),"Chardonnay ajuste")</f>
        <v>Chardonnay ajuste</v>
      </c>
      <c r="N1071" s="2"/>
      <c r="O1071" s="2" t="str">
        <f ca="1">IFERROR(__xludf.DUMMYFUNCTION("""COMPUTED_VALUE"""),"1er Trasiego")</f>
        <v>1er Trasiego</v>
      </c>
      <c r="P1071" s="2"/>
      <c r="Q1071" s="2" t="b">
        <f ca="1">IFERROR(__xludf.DUMMYFUNCTION("""COMPUTED_VALUE"""),FALSE)</f>
        <v>0</v>
      </c>
      <c r="R1071" s="2" t="str">
        <f ca="1">IFERROR(__xludf.DUMMYFUNCTION("""COMPUTED_VALUE"""),"1er Trasiego")</f>
        <v>1er Trasiego</v>
      </c>
      <c r="S1071" s="2"/>
      <c r="T1071" s="2"/>
      <c r="U1071" s="2" t="str">
        <f ca="1">IFERROR(__xludf.DUMMYFUNCTION("""COMPUTED_VALUE"""),"1-")</f>
        <v>1-</v>
      </c>
    </row>
    <row r="1072" spans="1:21" x14ac:dyDescent="0.25">
      <c r="A1072" s="2" t="str">
        <f ca="1">IFERROR(__xludf.DUMMYFUNCTION("""COMPUTED_VALUE"""),"5860909c")</f>
        <v>5860909c</v>
      </c>
      <c r="B1072" s="5">
        <f ca="1">IFERROR(__xludf.DUMMYFUNCTION("""COMPUTED_VALUE"""),45947.8092013888)</f>
        <v>45947.809201388802</v>
      </c>
      <c r="C1072" s="2" t="str">
        <f ca="1">IFERROR(__xludf.DUMMYFUNCTION("""COMPUTED_VALUE"""),"ebf08055")</f>
        <v>ebf08055</v>
      </c>
      <c r="D1072" s="2">
        <f ca="1">IFERROR(__xludf.DUMMYFUNCTION("""COMPUTED_VALUE"""),5)</f>
        <v>5</v>
      </c>
      <c r="E1072" s="2" t="str">
        <f ca="1">IFERROR(__xludf.DUMMYFUNCTION("""COMPUTED_VALUE"""),"Chardonnay")</f>
        <v>Chardonnay</v>
      </c>
      <c r="F1072" s="2">
        <f ca="1">IFERROR(__xludf.DUMMYFUNCTION("""COMPUTED_VALUE"""),30000)</f>
        <v>30000</v>
      </c>
      <c r="G1072" s="2">
        <f ca="1">IFERROR(__xludf.DUMMYFUNCTION("""COMPUTED_VALUE"""),500)</f>
        <v>500</v>
      </c>
      <c r="H1072" s="2"/>
      <c r="I1072" s="2"/>
      <c r="J1072" s="2">
        <f ca="1">IFERROR(__xludf.DUMMYFUNCTION("""COMPUTED_VALUE"""),0)</f>
        <v>0</v>
      </c>
      <c r="K1072" s="2">
        <f ca="1">IFERROR(__xludf.DUMMYFUNCTION("""COMPUTED_VALUE"""),30000)</f>
        <v>30000</v>
      </c>
      <c r="L1072" s="2" t="str">
        <f ca="1">IFERROR(__xludf.DUMMYFUNCTION("""COMPUTED_VALUE"""),"ce425e68")</f>
        <v>ce425e68</v>
      </c>
      <c r="M1072" s="2" t="str">
        <f ca="1">IFERROR(__xludf.DUMMYFUNCTION("""COMPUTED_VALUE"""),"Chardonnay Traslado Millan")</f>
        <v>Chardonnay Traslado Millan</v>
      </c>
      <c r="N1072" s="2"/>
      <c r="O1072" s="2" t="str">
        <f ca="1">IFERROR(__xludf.DUMMYFUNCTION("""COMPUTED_VALUE"""),"Descubada")</f>
        <v>Descubada</v>
      </c>
      <c r="P1072" s="2"/>
      <c r="Q1072" s="2" t="b">
        <f ca="1">IFERROR(__xludf.DUMMYFUNCTION("""COMPUTED_VALUE"""),FALSE)</f>
        <v>0</v>
      </c>
      <c r="R1072" s="2" t="str">
        <f ca="1">IFERROR(__xludf.DUMMYFUNCTION("""COMPUTED_VALUE"""),"Traslado Venta")</f>
        <v>Traslado Venta</v>
      </c>
      <c r="S1072" s="2"/>
      <c r="T1072" s="2"/>
      <c r="U1072" s="2" t="str">
        <f ca="1">IFERROR(__xludf.DUMMYFUNCTION("""COMPUTED_VALUE"""),"1+")</f>
        <v>1+</v>
      </c>
    </row>
    <row r="1073" spans="1:21" x14ac:dyDescent="0.25">
      <c r="A1073" s="2" t="str">
        <f ca="1">IFERROR(__xludf.DUMMYFUNCTION("""COMPUTED_VALUE"""),"141b7a22")</f>
        <v>141b7a22</v>
      </c>
      <c r="B1073" s="5">
        <f ca="1">IFERROR(__xludf.DUMMYFUNCTION("""COMPUTED_VALUE"""),45947.8102199074)</f>
        <v>45947.810219907398</v>
      </c>
      <c r="C1073" s="2" t="str">
        <f ca="1">IFERROR(__xludf.DUMMYFUNCTION("""COMPUTED_VALUE"""),"26eed108")</f>
        <v>26eed108</v>
      </c>
      <c r="D1073" s="2">
        <f ca="1">IFERROR(__xludf.DUMMYFUNCTION("""COMPUTED_VALUE"""),8)</f>
        <v>8</v>
      </c>
      <c r="E1073" s="2" t="str">
        <f ca="1">IFERROR(__xludf.DUMMYFUNCTION("""COMPUTED_VALUE"""),"Chardonnay")</f>
        <v>Chardonnay</v>
      </c>
      <c r="F1073" s="2">
        <f ca="1">IFERROR(__xludf.DUMMYFUNCTION("""COMPUTED_VALUE"""),11000)</f>
        <v>11000</v>
      </c>
      <c r="G1073" s="2">
        <f ca="1">IFERROR(__xludf.DUMMYFUNCTION("""COMPUTED_VALUE"""),500)</f>
        <v>500</v>
      </c>
      <c r="H1073" s="2" t="str">
        <f ca="1">IFERROR(__xludf.DUMMYFUNCTION("""COMPUTED_VALUE"""),"ce425e68")</f>
        <v>ce425e68</v>
      </c>
      <c r="I1073" s="2" t="str">
        <f ca="1">IFERROR(__xludf.DUMMYFUNCTION("""COMPUTED_VALUE"""),"Chardonnay Traslado Millan")</f>
        <v>Chardonnay Traslado Millan</v>
      </c>
      <c r="J1073" s="2">
        <f ca="1">IFERROR(__xludf.DUMMYFUNCTION("""COMPUTED_VALUE"""),30000)</f>
        <v>30000</v>
      </c>
      <c r="K1073" s="2">
        <f ca="1">IFERROR(__xludf.DUMMYFUNCTION("""COMPUTED_VALUE"""),41000)</f>
        <v>41000</v>
      </c>
      <c r="L1073" s="2" t="str">
        <f ca="1">IFERROR(__xludf.DUMMYFUNCTION("""COMPUTED_VALUE"""),"d61b14c5")</f>
        <v>d61b14c5</v>
      </c>
      <c r="M1073" s="2" t="str">
        <f ca="1">IFERROR(__xludf.DUMMYFUNCTION("""COMPUTED_VALUE"""),"Chardonnay Traslado Millan")</f>
        <v>Chardonnay Traslado Millan</v>
      </c>
      <c r="N1073" s="2"/>
      <c r="O1073" s="2" t="str">
        <f ca="1">IFERROR(__xludf.DUMMYFUNCTION("""COMPUTED_VALUE"""),"Descubada")</f>
        <v>Descubada</v>
      </c>
      <c r="P1073" s="2" t="str">
        <f ca="1">IFERROR(__xludf.DUMMYFUNCTION("""COMPUTED_VALUE"""),"Traslado Venta")</f>
        <v>Traslado Venta</v>
      </c>
      <c r="Q1073" s="2" t="b">
        <f ca="1">IFERROR(__xludf.DUMMYFUNCTION("""COMPUTED_VALUE"""),TRUE)</f>
        <v>1</v>
      </c>
      <c r="R1073" s="2" t="str">
        <f ca="1">IFERROR(__xludf.DUMMYFUNCTION("""COMPUTED_VALUE"""),"Traslado Venta")</f>
        <v>Traslado Venta</v>
      </c>
      <c r="S1073" s="2"/>
      <c r="T1073" s="2"/>
      <c r="U1073" s="2" t="str">
        <f ca="1">IFERROR(__xludf.DUMMYFUNCTION("""COMPUTED_VALUE"""),"1+")</f>
        <v>1+</v>
      </c>
    </row>
    <row r="1074" spans="1:21" x14ac:dyDescent="0.25">
      <c r="A1074" s="2" t="str">
        <f ca="1">IFERROR(__xludf.DUMMYFUNCTION("""COMPUTED_VALUE"""),"805a8224")</f>
        <v>805a8224</v>
      </c>
      <c r="B1074" s="5">
        <f ca="1">IFERROR(__xludf.DUMMYFUNCTION("""COMPUTED_VALUE"""),45947.8104976851)</f>
        <v>45947.810497685103</v>
      </c>
      <c r="C1074" s="2" t="str">
        <f ca="1">IFERROR(__xludf.DUMMYFUNCTION("""COMPUTED_VALUE"""),"f9bf68a3")</f>
        <v>f9bf68a3</v>
      </c>
      <c r="D1074" s="2">
        <f ca="1">IFERROR(__xludf.DUMMYFUNCTION("""COMPUTED_VALUE"""),10)</f>
        <v>10</v>
      </c>
      <c r="E1074" s="2" t="str">
        <f ca="1">IFERROR(__xludf.DUMMYFUNCTION("""COMPUTED_VALUE"""),"Chardonnay")</f>
        <v>Chardonnay</v>
      </c>
      <c r="F1074" s="2">
        <f ca="1">IFERROR(__xludf.DUMMYFUNCTION("""COMPUTED_VALUE"""),21000)</f>
        <v>21000</v>
      </c>
      <c r="G1074" s="2">
        <f ca="1">IFERROR(__xludf.DUMMYFUNCTION("""COMPUTED_VALUE"""),500)</f>
        <v>500</v>
      </c>
      <c r="H1074" s="2" t="str">
        <f ca="1">IFERROR(__xludf.DUMMYFUNCTION("""COMPUTED_VALUE"""),"d61b14c5")</f>
        <v>d61b14c5</v>
      </c>
      <c r="I1074" s="2" t="str">
        <f ca="1">IFERROR(__xludf.DUMMYFUNCTION("""COMPUTED_VALUE"""),"Chardonnay Traslado Millan")</f>
        <v>Chardonnay Traslado Millan</v>
      </c>
      <c r="J1074" s="2">
        <f ca="1">IFERROR(__xludf.DUMMYFUNCTION("""COMPUTED_VALUE"""),41000)</f>
        <v>41000</v>
      </c>
      <c r="K1074" s="2">
        <f ca="1">IFERROR(__xludf.DUMMYFUNCTION("""COMPUTED_VALUE"""),62000)</f>
        <v>62000</v>
      </c>
      <c r="L1074" s="2" t="str">
        <f ca="1">IFERROR(__xludf.DUMMYFUNCTION("""COMPUTED_VALUE"""),"246c5af1")</f>
        <v>246c5af1</v>
      </c>
      <c r="M1074" s="2" t="str">
        <f ca="1">IFERROR(__xludf.DUMMYFUNCTION("""COMPUTED_VALUE"""),"Chardonnay Traslado Millan")</f>
        <v>Chardonnay Traslado Millan</v>
      </c>
      <c r="N1074" s="2"/>
      <c r="O1074" s="2" t="str">
        <f ca="1">IFERROR(__xludf.DUMMYFUNCTION("""COMPUTED_VALUE"""),"Descubada")</f>
        <v>Descubada</v>
      </c>
      <c r="P1074" s="2" t="str">
        <f ca="1">IFERROR(__xludf.DUMMYFUNCTION("""COMPUTED_VALUE"""),"Traslado Venta")</f>
        <v>Traslado Venta</v>
      </c>
      <c r="Q1074" s="2" t="b">
        <f ca="1">IFERROR(__xludf.DUMMYFUNCTION("""COMPUTED_VALUE"""),TRUE)</f>
        <v>1</v>
      </c>
      <c r="R1074" s="2" t="str">
        <f ca="1">IFERROR(__xludf.DUMMYFUNCTION("""COMPUTED_VALUE"""),"Traslado Venta")</f>
        <v>Traslado Venta</v>
      </c>
      <c r="S1074" s="2"/>
      <c r="T1074" s="2"/>
      <c r="U1074" s="2" t="str">
        <f ca="1">IFERROR(__xludf.DUMMYFUNCTION("""COMPUTED_VALUE"""),"1+")</f>
        <v>1+</v>
      </c>
    </row>
    <row r="1075" spans="1:21" x14ac:dyDescent="0.25">
      <c r="A1075" s="2" t="str">
        <f ca="1">IFERROR(__xludf.DUMMYFUNCTION("""COMPUTED_VALUE"""),"3bec0de1")</f>
        <v>3bec0de1</v>
      </c>
      <c r="B1075" s="5">
        <f ca="1">IFERROR(__xludf.DUMMYFUNCTION("""COMPUTED_VALUE"""),45947.8107407407)</f>
        <v>45947.810740740701</v>
      </c>
      <c r="C1075" s="2" t="str">
        <f ca="1">IFERROR(__xludf.DUMMYFUNCTION("""COMPUTED_VALUE"""),"7def2139")</f>
        <v>7def2139</v>
      </c>
      <c r="D1075" s="2">
        <f ca="1">IFERROR(__xludf.DUMMYFUNCTION("""COMPUTED_VALUE"""),33)</f>
        <v>33</v>
      </c>
      <c r="E1075" s="2" t="str">
        <f ca="1">IFERROR(__xludf.DUMMYFUNCTION("""COMPUTED_VALUE"""),"Chardonnay")</f>
        <v>Chardonnay</v>
      </c>
      <c r="F1075" s="2">
        <f ca="1">IFERROR(__xludf.DUMMYFUNCTION("""COMPUTED_VALUE"""),25300)</f>
        <v>25300</v>
      </c>
      <c r="G1075" s="2">
        <f ca="1">IFERROR(__xludf.DUMMYFUNCTION("""COMPUTED_VALUE"""),500)</f>
        <v>500</v>
      </c>
      <c r="H1075" s="2" t="str">
        <f ca="1">IFERROR(__xludf.DUMMYFUNCTION("""COMPUTED_VALUE"""),"246c5af1")</f>
        <v>246c5af1</v>
      </c>
      <c r="I1075" s="2" t="str">
        <f ca="1">IFERROR(__xludf.DUMMYFUNCTION("""COMPUTED_VALUE"""),"Chardonnay Traslado Millan")</f>
        <v>Chardonnay Traslado Millan</v>
      </c>
      <c r="J1075" s="2">
        <f ca="1">IFERROR(__xludf.DUMMYFUNCTION("""COMPUTED_VALUE"""),62000)</f>
        <v>62000</v>
      </c>
      <c r="K1075" s="2">
        <f ca="1">IFERROR(__xludf.DUMMYFUNCTION("""COMPUTED_VALUE"""),87300)</f>
        <v>87300</v>
      </c>
      <c r="L1075" s="2" t="str">
        <f ca="1">IFERROR(__xludf.DUMMYFUNCTION("""COMPUTED_VALUE"""),"a5e5c2b2")</f>
        <v>a5e5c2b2</v>
      </c>
      <c r="M1075" s="2" t="str">
        <f ca="1">IFERROR(__xludf.DUMMYFUNCTION("""COMPUTED_VALUE"""),"Chardonnay Traslado Millan")</f>
        <v>Chardonnay Traslado Millan</v>
      </c>
      <c r="N1075" s="2"/>
      <c r="O1075" s="2" t="str">
        <f ca="1">IFERROR(__xludf.DUMMYFUNCTION("""COMPUTED_VALUE"""),"Descubada")</f>
        <v>Descubada</v>
      </c>
      <c r="P1075" s="2" t="str">
        <f ca="1">IFERROR(__xludf.DUMMYFUNCTION("""COMPUTED_VALUE"""),"Traslado Venta")</f>
        <v>Traslado Venta</v>
      </c>
      <c r="Q1075" s="2" t="b">
        <f ca="1">IFERROR(__xludf.DUMMYFUNCTION("""COMPUTED_VALUE"""),TRUE)</f>
        <v>1</v>
      </c>
      <c r="R1075" s="2" t="str">
        <f ca="1">IFERROR(__xludf.DUMMYFUNCTION("""COMPUTED_VALUE"""),"Traslado Venta")</f>
        <v>Traslado Venta</v>
      </c>
      <c r="S1075" s="2"/>
      <c r="T1075" s="2"/>
      <c r="U1075" s="2" t="str">
        <f ca="1">IFERROR(__xludf.DUMMYFUNCTION("""COMPUTED_VALUE"""),"1+")</f>
        <v>1+</v>
      </c>
    </row>
    <row r="1076" spans="1:21" x14ac:dyDescent="0.25">
      <c r="A1076" s="2" t="str">
        <f ca="1">IFERROR(__xludf.DUMMYFUNCTION("""COMPUTED_VALUE"""),"e2523ddb")</f>
        <v>e2523ddb</v>
      </c>
      <c r="B1076" s="5">
        <f ca="1">IFERROR(__xludf.DUMMYFUNCTION("""COMPUTED_VALUE"""),45947.8111111111)</f>
        <v>45947.811111111099</v>
      </c>
      <c r="C1076" s="2" t="str">
        <f ca="1">IFERROR(__xludf.DUMMYFUNCTION("""COMPUTED_VALUE"""),"ef198a97")</f>
        <v>ef198a97</v>
      </c>
      <c r="D1076" s="2">
        <f ca="1">IFERROR(__xludf.DUMMYFUNCTION("""COMPUTED_VALUE"""),48)</f>
        <v>48</v>
      </c>
      <c r="E1076" s="2" t="str">
        <f ca="1">IFERROR(__xludf.DUMMYFUNCTION("""COMPUTED_VALUE"""),"Pedro Gimenez")</f>
        <v>Pedro Gimenez</v>
      </c>
      <c r="F1076" s="2">
        <f ca="1">IFERROR(__xludf.DUMMYFUNCTION("""COMPUTED_VALUE"""),19500)</f>
        <v>19500</v>
      </c>
      <c r="G1076" s="2">
        <f ca="1">IFERROR(__xludf.DUMMYFUNCTION("""COMPUTED_VALUE"""),500)</f>
        <v>500</v>
      </c>
      <c r="H1076" s="2" t="str">
        <f ca="1">IFERROR(__xludf.DUMMYFUNCTION("""COMPUTED_VALUE"""),"a5e5c2b2")</f>
        <v>a5e5c2b2</v>
      </c>
      <c r="I1076" s="2" t="str">
        <f ca="1">IFERROR(__xludf.DUMMYFUNCTION("""COMPUTED_VALUE"""),"Chardonnay Traslado Millan")</f>
        <v>Chardonnay Traslado Millan</v>
      </c>
      <c r="J1076" s="2">
        <f ca="1">IFERROR(__xludf.DUMMYFUNCTION("""COMPUTED_VALUE"""),87300)</f>
        <v>87300</v>
      </c>
      <c r="K1076" s="2">
        <f ca="1">IFERROR(__xludf.DUMMYFUNCTION("""COMPUTED_VALUE"""),106800)</f>
        <v>106800</v>
      </c>
      <c r="L1076" s="2" t="str">
        <f ca="1">IFERROR(__xludf.DUMMYFUNCTION("""COMPUTED_VALUE"""),"2fe3cd09")</f>
        <v>2fe3cd09</v>
      </c>
      <c r="M1076" s="2" t="str">
        <f ca="1">IFERROR(__xludf.DUMMYFUNCTION("""COMPUTED_VALUE"""),"Chardonnay Traslado Millan")</f>
        <v>Chardonnay Traslado Millan</v>
      </c>
      <c r="N1076" s="2"/>
      <c r="O1076" s="2" t="str">
        <f ca="1">IFERROR(__xludf.DUMMYFUNCTION("""COMPUTED_VALUE"""),"Descubada")</f>
        <v>Descubada</v>
      </c>
      <c r="P1076" s="2" t="str">
        <f ca="1">IFERROR(__xludf.DUMMYFUNCTION("""COMPUTED_VALUE"""),"Traslado Venta")</f>
        <v>Traslado Venta</v>
      </c>
      <c r="Q1076" s="2" t="b">
        <f ca="1">IFERROR(__xludf.DUMMYFUNCTION("""COMPUTED_VALUE"""),TRUE)</f>
        <v>1</v>
      </c>
      <c r="R1076" s="2" t="str">
        <f ca="1">IFERROR(__xludf.DUMMYFUNCTION("""COMPUTED_VALUE"""),"Traslado Venta")</f>
        <v>Traslado Venta</v>
      </c>
      <c r="S1076" s="2"/>
      <c r="T1076" s="2"/>
      <c r="U1076" s="2" t="str">
        <f ca="1">IFERROR(__xludf.DUMMYFUNCTION("""COMPUTED_VALUE"""),"1+")</f>
        <v>1+</v>
      </c>
    </row>
    <row r="1077" spans="1:21" x14ac:dyDescent="0.25">
      <c r="A1077" s="2" t="str">
        <f ca="1">IFERROR(__xludf.DUMMYFUNCTION("""COMPUTED_VALUE"""),"cfb76883")</f>
        <v>cfb76883</v>
      </c>
      <c r="B1077" s="5">
        <f ca="1">IFERROR(__xludf.DUMMYFUNCTION("""COMPUTED_VALUE"""),45950.7214699074)</f>
        <v>45950.721469907403</v>
      </c>
      <c r="C1077" s="2" t="str">
        <f ca="1">IFERROR(__xludf.DUMMYFUNCTION("""COMPUTED_VALUE"""),"2d412906")</f>
        <v>2d412906</v>
      </c>
      <c r="D1077" s="2">
        <f ca="1">IFERROR(__xludf.DUMMYFUNCTION("""COMPUTED_VALUE"""),55)</f>
        <v>55</v>
      </c>
      <c r="E1077" s="2" t="str">
        <f ca="1">IFERROR(__xludf.DUMMYFUNCTION("""COMPUTED_VALUE"""),"Chardonnay")</f>
        <v>Chardonnay</v>
      </c>
      <c r="F1077" s="2">
        <f ca="1">IFERROR(__xludf.DUMMYFUNCTION("""COMPUTED_VALUE"""),3000)</f>
        <v>3000</v>
      </c>
      <c r="G1077" s="2">
        <f ca="1">IFERROR(__xludf.DUMMYFUNCTION("""COMPUTED_VALUE"""),52)</f>
        <v>52</v>
      </c>
      <c r="H1077" s="2"/>
      <c r="I1077" s="2"/>
      <c r="J1077" s="2">
        <f ca="1">IFERROR(__xludf.DUMMYFUNCTION("""COMPUTED_VALUE"""),0)</f>
        <v>0</v>
      </c>
      <c r="K1077" s="2">
        <f ca="1">IFERROR(__xludf.DUMMYFUNCTION("""COMPUTED_VALUE"""),3000)</f>
        <v>3000</v>
      </c>
      <c r="L1077" s="2" t="str">
        <f ca="1">IFERROR(__xludf.DUMMYFUNCTION("""COMPUTED_VALUE"""),"63addc25")</f>
        <v>63addc25</v>
      </c>
      <c r="M1077" s="2" t="str">
        <f ca="1">IFERROR(__xludf.DUMMYFUNCTION("""COMPUTED_VALUE"""),"Chardonnay")</f>
        <v>Chardonnay</v>
      </c>
      <c r="N1077" s="2"/>
      <c r="O1077" s="2" t="str">
        <f ca="1">IFERROR(__xludf.DUMMYFUNCTION("""COMPUTED_VALUE"""),"1er Trasiego")</f>
        <v>1er Trasiego</v>
      </c>
      <c r="P1077" s="2"/>
      <c r="Q1077" s="2" t="b">
        <f ca="1">IFERROR(__xludf.DUMMYFUNCTION("""COMPUTED_VALUE"""),FALSE)</f>
        <v>0</v>
      </c>
      <c r="R1077" s="2" t="str">
        <f ca="1">IFERROR(__xludf.DUMMYFUNCTION("""COMPUTED_VALUE"""),"2do Trasiego")</f>
        <v>2do Trasiego</v>
      </c>
      <c r="S1077" s="2"/>
      <c r="T1077" s="2"/>
      <c r="U1077" s="2" t="str">
        <f ca="1">IFERROR(__xludf.DUMMYFUNCTION("""COMPUTED_VALUE"""),"1-")</f>
        <v>1-</v>
      </c>
    </row>
    <row r="1078" spans="1:21" x14ac:dyDescent="0.25">
      <c r="A1078" s="2" t="str">
        <f ca="1">IFERROR(__xludf.DUMMYFUNCTION("""COMPUTED_VALUE"""),"b28817bd")</f>
        <v>b28817bd</v>
      </c>
      <c r="B1078" s="5">
        <f ca="1">IFERROR(__xludf.DUMMYFUNCTION("""COMPUTED_VALUE"""),45950.7217361111)</f>
        <v>45950.721736111103</v>
      </c>
      <c r="C1078" s="2" t="str">
        <f ca="1">IFERROR(__xludf.DUMMYFUNCTION("""COMPUTED_VALUE"""),"ef198a97")</f>
        <v>ef198a97</v>
      </c>
      <c r="D1078" s="2">
        <f ca="1">IFERROR(__xludf.DUMMYFUNCTION("""COMPUTED_VALUE"""),48)</f>
        <v>48</v>
      </c>
      <c r="E1078" s="2" t="str">
        <f ca="1">IFERROR(__xludf.DUMMYFUNCTION("""COMPUTED_VALUE"""),"Pedro Gimenez")</f>
        <v>Pedro Gimenez</v>
      </c>
      <c r="F1078" s="2">
        <f ca="1">IFERROR(__xludf.DUMMYFUNCTION("""COMPUTED_VALUE"""),6500)</f>
        <v>6500</v>
      </c>
      <c r="G1078" s="2">
        <f ca="1">IFERROR(__xludf.DUMMYFUNCTION("""COMPUTED_VALUE"""),52)</f>
        <v>52</v>
      </c>
      <c r="H1078" s="2" t="str">
        <f ca="1">IFERROR(__xludf.DUMMYFUNCTION("""COMPUTED_VALUE"""),"63addc25")</f>
        <v>63addc25</v>
      </c>
      <c r="I1078" s="2" t="str">
        <f ca="1">IFERROR(__xludf.DUMMYFUNCTION("""COMPUTED_VALUE"""),"Chardonnay")</f>
        <v>Chardonnay</v>
      </c>
      <c r="J1078" s="2">
        <f ca="1">IFERROR(__xludf.DUMMYFUNCTION("""COMPUTED_VALUE"""),3000)</f>
        <v>3000</v>
      </c>
      <c r="K1078" s="2">
        <f ca="1">IFERROR(__xludf.DUMMYFUNCTION("""COMPUTED_VALUE"""),9500)</f>
        <v>9500</v>
      </c>
      <c r="L1078" s="2" t="str">
        <f ca="1">IFERROR(__xludf.DUMMYFUNCTION("""COMPUTED_VALUE"""),"842053b1")</f>
        <v>842053b1</v>
      </c>
      <c r="M1078" s="2" t="str">
        <f ca="1">IFERROR(__xludf.DUMMYFUNCTION("""COMPUTED_VALUE"""),"Chardonnay")</f>
        <v>Chardonnay</v>
      </c>
      <c r="N1078" s="2"/>
      <c r="O1078" s="2" t="str">
        <f ca="1">IFERROR(__xludf.DUMMYFUNCTION("""COMPUTED_VALUE"""),"Descubada")</f>
        <v>Descubada</v>
      </c>
      <c r="P1078" s="2" t="str">
        <f ca="1">IFERROR(__xludf.DUMMYFUNCTION("""COMPUTED_VALUE"""),"2do Trasiego")</f>
        <v>2do Trasiego</v>
      </c>
      <c r="Q1078" s="2" t="b">
        <f ca="1">IFERROR(__xludf.DUMMYFUNCTION("""COMPUTED_VALUE"""),TRUE)</f>
        <v>1</v>
      </c>
      <c r="R1078" s="2" t="str">
        <f ca="1">IFERROR(__xludf.DUMMYFUNCTION("""COMPUTED_VALUE"""),"2do Trasiego")</f>
        <v>2do Trasiego</v>
      </c>
      <c r="S1078" s="2"/>
      <c r="T1078" s="2"/>
      <c r="U1078" s="2" t="str">
        <f ca="1">IFERROR(__xludf.DUMMYFUNCTION("""COMPUTED_VALUE"""),"1-")</f>
        <v>1-</v>
      </c>
    </row>
    <row r="1079" spans="1:21" x14ac:dyDescent="0.25">
      <c r="A1079" s="2" t="str">
        <f ca="1">IFERROR(__xludf.DUMMYFUNCTION("""COMPUTED_VALUE"""),"d39b04e0")</f>
        <v>d39b04e0</v>
      </c>
      <c r="B1079" s="5">
        <f ca="1">IFERROR(__xludf.DUMMYFUNCTION("""COMPUTED_VALUE"""),45950.7219791666)</f>
        <v>45950.721979166599</v>
      </c>
      <c r="C1079" s="2" t="str">
        <f ca="1">IFERROR(__xludf.DUMMYFUNCTION("""COMPUTED_VALUE"""),"9faa1a2e")</f>
        <v>9faa1a2e</v>
      </c>
      <c r="D1079" s="2">
        <f ca="1">IFERROR(__xludf.DUMMYFUNCTION("""COMPUTED_VALUE"""),75)</f>
        <v>75</v>
      </c>
      <c r="E1079" s="2" t="str">
        <f ca="1">IFERROR(__xludf.DUMMYFUNCTION("""COMPUTED_VALUE"""),"Chardonnay")</f>
        <v>Chardonnay</v>
      </c>
      <c r="F1079" s="2">
        <f ca="1">IFERROR(__xludf.DUMMYFUNCTION("""COMPUTED_VALUE"""),7000)</f>
        <v>7000</v>
      </c>
      <c r="G1079" s="2">
        <f ca="1">IFERROR(__xludf.DUMMYFUNCTION("""COMPUTED_VALUE"""),52)</f>
        <v>52</v>
      </c>
      <c r="H1079" s="2" t="str">
        <f ca="1">IFERROR(__xludf.DUMMYFUNCTION("""COMPUTED_VALUE"""),"842053b1")</f>
        <v>842053b1</v>
      </c>
      <c r="I1079" s="2" t="str">
        <f ca="1">IFERROR(__xludf.DUMMYFUNCTION("""COMPUTED_VALUE"""),"Chardonnay")</f>
        <v>Chardonnay</v>
      </c>
      <c r="J1079" s="2">
        <f ca="1">IFERROR(__xludf.DUMMYFUNCTION("""COMPUTED_VALUE"""),9500)</f>
        <v>9500</v>
      </c>
      <c r="K1079" s="2">
        <f ca="1">IFERROR(__xludf.DUMMYFUNCTION("""COMPUTED_VALUE"""),16500)</f>
        <v>16500</v>
      </c>
      <c r="L1079" s="2" t="str">
        <f ca="1">IFERROR(__xludf.DUMMYFUNCTION("""COMPUTED_VALUE"""),"d3be37e4")</f>
        <v>d3be37e4</v>
      </c>
      <c r="M1079" s="2" t="str">
        <f ca="1">IFERROR(__xludf.DUMMYFUNCTION("""COMPUTED_VALUE"""),"Chardonnay")</f>
        <v>Chardonnay</v>
      </c>
      <c r="N1079" s="2"/>
      <c r="O1079" s="2" t="str">
        <f ca="1">IFERROR(__xludf.DUMMYFUNCTION("""COMPUTED_VALUE"""),"1er Trasiego")</f>
        <v>1er Trasiego</v>
      </c>
      <c r="P1079" s="2" t="str">
        <f ca="1">IFERROR(__xludf.DUMMYFUNCTION("""COMPUTED_VALUE"""),"2do Trasiego")</f>
        <v>2do Trasiego</v>
      </c>
      <c r="Q1079" s="2" t="b">
        <f ca="1">IFERROR(__xludf.DUMMYFUNCTION("""COMPUTED_VALUE"""),TRUE)</f>
        <v>1</v>
      </c>
      <c r="R1079" s="2" t="str">
        <f ca="1">IFERROR(__xludf.DUMMYFUNCTION("""COMPUTED_VALUE"""),"2do Trasiego")</f>
        <v>2do Trasiego</v>
      </c>
      <c r="S1079" s="2"/>
      <c r="T1079" s="2"/>
      <c r="U1079" s="2" t="str">
        <f ca="1">IFERROR(__xludf.DUMMYFUNCTION("""COMPUTED_VALUE"""),"1-")</f>
        <v>1-</v>
      </c>
    </row>
    <row r="1080" spans="1:21" x14ac:dyDescent="0.25">
      <c r="A1080" s="2" t="str">
        <f ca="1">IFERROR(__xludf.DUMMYFUNCTION("""COMPUTED_VALUE"""),"91a50455")</f>
        <v>91a50455</v>
      </c>
      <c r="B1080" s="5">
        <f ca="1">IFERROR(__xludf.DUMMYFUNCTION("""COMPUTED_VALUE"""),45950.7228009259)</f>
        <v>45950.722800925898</v>
      </c>
      <c r="C1080" s="2" t="str">
        <f ca="1">IFERROR(__xludf.DUMMYFUNCTION("""COMPUTED_VALUE"""),"26eed108")</f>
        <v>26eed108</v>
      </c>
      <c r="D1080" s="2">
        <f ca="1">IFERROR(__xludf.DUMMYFUNCTION("""COMPUTED_VALUE"""),8)</f>
        <v>8</v>
      </c>
      <c r="E1080" s="2" t="str">
        <f ca="1">IFERROR(__xludf.DUMMYFUNCTION("""COMPUTED_VALUE"""),"Chardonnay")</f>
        <v>Chardonnay</v>
      </c>
      <c r="F1080" s="2">
        <f ca="1">IFERROR(__xludf.DUMMYFUNCTION("""COMPUTED_VALUE"""),10500)</f>
        <v>10500</v>
      </c>
      <c r="G1080" s="2">
        <f ca="1">IFERROR(__xludf.DUMMYFUNCTION("""COMPUTED_VALUE"""),52)</f>
        <v>52</v>
      </c>
      <c r="H1080" s="2" t="str">
        <f ca="1">IFERROR(__xludf.DUMMYFUNCTION("""COMPUTED_VALUE"""),"d3be37e4")</f>
        <v>d3be37e4</v>
      </c>
      <c r="I1080" s="2" t="str">
        <f ca="1">IFERROR(__xludf.DUMMYFUNCTION("""COMPUTED_VALUE"""),"Chardonnay")</f>
        <v>Chardonnay</v>
      </c>
      <c r="J1080" s="2">
        <f ca="1">IFERROR(__xludf.DUMMYFUNCTION("""COMPUTED_VALUE"""),16500)</f>
        <v>16500</v>
      </c>
      <c r="K1080" s="2">
        <f ca="1">IFERROR(__xludf.DUMMYFUNCTION("""COMPUTED_VALUE"""),27000)</f>
        <v>27000</v>
      </c>
      <c r="L1080" s="2" t="str">
        <f ca="1">IFERROR(__xludf.DUMMYFUNCTION("""COMPUTED_VALUE"""),"57cfae09")</f>
        <v>57cfae09</v>
      </c>
      <c r="M1080" s="2" t="str">
        <f ca="1">IFERROR(__xludf.DUMMYFUNCTION("""COMPUTED_VALUE"""),"Chardonnay")</f>
        <v>Chardonnay</v>
      </c>
      <c r="N1080" s="2"/>
      <c r="O1080" s="2" t="str">
        <f ca="1">IFERROR(__xludf.DUMMYFUNCTION("""COMPUTED_VALUE"""),"Descubada")</f>
        <v>Descubada</v>
      </c>
      <c r="P1080" s="2" t="str">
        <f ca="1">IFERROR(__xludf.DUMMYFUNCTION("""COMPUTED_VALUE"""),"2do Trasiego")</f>
        <v>2do Trasiego</v>
      </c>
      <c r="Q1080" s="2" t="b">
        <f ca="1">IFERROR(__xludf.DUMMYFUNCTION("""COMPUTED_VALUE"""),TRUE)</f>
        <v>1</v>
      </c>
      <c r="R1080" s="2" t="str">
        <f ca="1">IFERROR(__xludf.DUMMYFUNCTION("""COMPUTED_VALUE"""),"2do Trasiego")</f>
        <v>2do Trasiego</v>
      </c>
      <c r="S1080" s="2"/>
      <c r="T1080" s="2"/>
      <c r="U1080" s="2" t="str">
        <f ca="1">IFERROR(__xludf.DUMMYFUNCTION("""COMPUTED_VALUE"""),"1-")</f>
        <v>1-</v>
      </c>
    </row>
    <row r="1081" spans="1:21" x14ac:dyDescent="0.25">
      <c r="A1081" s="2" t="str">
        <f ca="1">IFERROR(__xludf.DUMMYFUNCTION("""COMPUTED_VALUE"""),"4a7742d8")</f>
        <v>4a7742d8</v>
      </c>
      <c r="B1081" s="5">
        <f ca="1">IFERROR(__xludf.DUMMYFUNCTION("""COMPUTED_VALUE"""),45950.7236458333)</f>
        <v>45950.723645833299</v>
      </c>
      <c r="C1081" s="2" t="str">
        <f ca="1">IFERROR(__xludf.DUMMYFUNCTION("""COMPUTED_VALUE"""),"26eed108")</f>
        <v>26eed108</v>
      </c>
      <c r="D1081" s="2">
        <f ca="1">IFERROR(__xludf.DUMMYFUNCTION("""COMPUTED_VALUE"""),8)</f>
        <v>8</v>
      </c>
      <c r="E1081" s="2" t="str">
        <f ca="1">IFERROR(__xludf.DUMMYFUNCTION("""COMPUTED_VALUE"""),"Chardonnay")</f>
        <v>Chardonnay</v>
      </c>
      <c r="F1081" s="2">
        <f ca="1">IFERROR(__xludf.DUMMYFUNCTION("""COMPUTED_VALUE"""),500)</f>
        <v>500</v>
      </c>
      <c r="G1081" s="2">
        <f ca="1">IFERROR(__xludf.DUMMYFUNCTION("""COMPUTED_VALUE"""),44)</f>
        <v>44</v>
      </c>
      <c r="H1081" s="2" t="str">
        <f ca="1">IFERROR(__xludf.DUMMYFUNCTION("""COMPUTED_VALUE"""),"f1d435a7")</f>
        <v>f1d435a7</v>
      </c>
      <c r="I1081" s="2" t="str">
        <f ca="1">IFERROR(__xludf.DUMMYFUNCTION("""COMPUTED_VALUE"""),"Malbec")</f>
        <v>Malbec</v>
      </c>
      <c r="J1081" s="2">
        <f ca="1">IFERROR(__xludf.DUMMYFUNCTION("""COMPUTED_VALUE"""),4795)</f>
        <v>4795</v>
      </c>
      <c r="K1081" s="2">
        <f ca="1">IFERROR(__xludf.DUMMYFUNCTION("""COMPUTED_VALUE"""),5295)</f>
        <v>5295</v>
      </c>
      <c r="L1081" s="2" t="str">
        <f ca="1">IFERROR(__xludf.DUMMYFUNCTION("""COMPUTED_VALUE"""),"ce6ad572")</f>
        <v>ce6ad572</v>
      </c>
      <c r="M1081" s="2" t="str">
        <f ca="1">IFERROR(__xludf.DUMMYFUNCTION("""COMPUTED_VALUE"""),"Malbec")</f>
        <v>Malbec</v>
      </c>
      <c r="N1081" s="2"/>
      <c r="O1081" s="2" t="str">
        <f ca="1">IFERROR(__xludf.DUMMYFUNCTION("""COMPUTED_VALUE"""),"Descubada")</f>
        <v>Descubada</v>
      </c>
      <c r="P1081" s="2" t="str">
        <f ca="1">IFERROR(__xludf.DUMMYFUNCTION("""COMPUTED_VALUE"""),"Rectificado")</f>
        <v>Rectificado</v>
      </c>
      <c r="Q1081" s="2" t="b">
        <f ca="1">IFERROR(__xludf.DUMMYFUNCTION("""COMPUTED_VALUE"""),TRUE)</f>
        <v>1</v>
      </c>
      <c r="R1081" s="2" t="str">
        <f ca="1">IFERROR(__xludf.DUMMYFUNCTION("""COMPUTED_VALUE"""),"Rectificado")</f>
        <v>Rectificado</v>
      </c>
      <c r="S1081" s="2"/>
      <c r="T1081" s="2"/>
      <c r="U1081" s="2" t="str">
        <f ca="1">IFERROR(__xludf.DUMMYFUNCTION("""COMPUTED_VALUE"""),"2+")</f>
        <v>2+</v>
      </c>
    </row>
    <row r="1082" spans="1:21" x14ac:dyDescent="0.25">
      <c r="A1082" s="2" t="str">
        <f ca="1">IFERROR(__xludf.DUMMYFUNCTION("""COMPUTED_VALUE"""),"da7c6bb0")</f>
        <v>da7c6bb0</v>
      </c>
      <c r="B1082" s="5">
        <f ca="1">IFERROR(__xludf.DUMMYFUNCTION("""COMPUTED_VALUE"""),45954.4915277777)</f>
        <v>45954.491527777704</v>
      </c>
      <c r="C1082" s="2" t="str">
        <f ca="1">IFERROR(__xludf.DUMMYFUNCTION("""COMPUTED_VALUE"""),"872fc1c6")</f>
        <v>872fc1c6</v>
      </c>
      <c r="D1082" s="2">
        <f ca="1">IFERROR(__xludf.DUMMYFUNCTION("""COMPUTED_VALUE"""),82)</f>
        <v>82</v>
      </c>
      <c r="E1082" s="2" t="str">
        <f ca="1">IFERROR(__xludf.DUMMYFUNCTION("""COMPUTED_VALUE"""),"Syrah")</f>
        <v>Syrah</v>
      </c>
      <c r="F1082" s="2">
        <f ca="1">IFERROR(__xludf.DUMMYFUNCTION("""COMPUTED_VALUE"""),4000)</f>
        <v>4000</v>
      </c>
      <c r="G1082" s="2">
        <f ca="1">IFERROR(__xludf.DUMMYFUNCTION("""COMPUTED_VALUE"""),111)</f>
        <v>111</v>
      </c>
      <c r="H1082" s="2"/>
      <c r="I1082" s="2"/>
      <c r="J1082" s="2">
        <f ca="1">IFERROR(__xludf.DUMMYFUNCTION("""COMPUTED_VALUE"""),0)</f>
        <v>0</v>
      </c>
      <c r="K1082" s="2">
        <f ca="1">IFERROR(__xludf.DUMMYFUNCTION("""COMPUTED_VALUE"""),4000)</f>
        <v>4000</v>
      </c>
      <c r="L1082" s="2" t="str">
        <f ca="1">IFERROR(__xludf.DUMMYFUNCTION("""COMPUTED_VALUE"""),"086af607")</f>
        <v>086af607</v>
      </c>
      <c r="M1082" s="2" t="str">
        <f ca="1">IFERROR(__xludf.DUMMYFUNCTION("""COMPUTED_VALUE"""),"Syrah")</f>
        <v>Syrah</v>
      </c>
      <c r="N1082" s="2"/>
      <c r="O1082" s="2" t="str">
        <f ca="1">IFERROR(__xludf.DUMMYFUNCTION("""COMPUTED_VALUE"""),"Filtrado Tang")</f>
        <v>Filtrado Tang</v>
      </c>
      <c r="P1082" s="2"/>
      <c r="Q1082" s="2" t="b">
        <f ca="1">IFERROR(__xludf.DUMMYFUNCTION("""COMPUTED_VALUE"""),FALSE)</f>
        <v>0</v>
      </c>
      <c r="R1082" s="2" t="str">
        <f ca="1">IFERROR(__xludf.DUMMYFUNCTION("""COMPUTED_VALUE"""),"Filtrado Tang")</f>
        <v>Filtrado Tang</v>
      </c>
      <c r="S1082" s="2"/>
      <c r="T1082" s="2"/>
      <c r="U1082" s="2" t="str">
        <f ca="1">IFERROR(__xludf.DUMMYFUNCTION("""COMPUTED_VALUE"""),"1")</f>
        <v>1</v>
      </c>
    </row>
    <row r="1083" spans="1:21" x14ac:dyDescent="0.25">
      <c r="A1083" s="2" t="str">
        <f ca="1">IFERROR(__xludf.DUMMYFUNCTION("""COMPUTED_VALUE"""),"d872fa88")</f>
        <v>d872fa88</v>
      </c>
      <c r="B1083" s="5">
        <f ca="1">IFERROR(__xludf.DUMMYFUNCTION("""COMPUTED_VALUE"""),45954.4923032407)</f>
        <v>45954.492303240702</v>
      </c>
      <c r="C1083" s="2" t="str">
        <f ca="1">IFERROR(__xludf.DUMMYFUNCTION("""COMPUTED_VALUE"""),"2f7b2de3")</f>
        <v>2f7b2de3</v>
      </c>
      <c r="D1083" s="2">
        <f ca="1">IFERROR(__xludf.DUMMYFUNCTION("""COMPUTED_VALUE"""),114)</f>
        <v>114</v>
      </c>
      <c r="E1083" s="2" t="str">
        <f ca="1">IFERROR(__xludf.DUMMYFUNCTION("""COMPUTED_VALUE"""),"Cabernet Sauvignon")</f>
        <v>Cabernet Sauvignon</v>
      </c>
      <c r="F1083" s="2">
        <f ca="1">IFERROR(__xludf.DUMMYFUNCTION("""COMPUTED_VALUE"""),4000)</f>
        <v>4000</v>
      </c>
      <c r="G1083" s="2">
        <f ca="1">IFERROR(__xludf.DUMMYFUNCTION("""COMPUTED_VALUE"""),82)</f>
        <v>82</v>
      </c>
      <c r="H1083" s="2" t="str">
        <f ca="1">IFERROR(__xludf.DUMMYFUNCTION("""COMPUTED_VALUE"""),"872fc1c6")</f>
        <v>872fc1c6</v>
      </c>
      <c r="I1083" s="2" t="str">
        <f ca="1">IFERROR(__xludf.DUMMYFUNCTION("""COMPUTED_VALUE"""),"Syrah")</f>
        <v>Syrah</v>
      </c>
      <c r="J1083" s="2">
        <f ca="1">IFERROR(__xludf.DUMMYFUNCTION("""COMPUTED_VALUE"""),38600)</f>
        <v>38600</v>
      </c>
      <c r="K1083" s="2">
        <f ca="1">IFERROR(__xludf.DUMMYFUNCTION("""COMPUTED_VALUE"""),42600)</f>
        <v>42600</v>
      </c>
      <c r="L1083" s="2" t="str">
        <f ca="1">IFERROR(__xludf.DUMMYFUNCTION("""COMPUTED_VALUE"""),"93a8c465")</f>
        <v>93a8c465</v>
      </c>
      <c r="M1083" s="2" t="str">
        <f ca="1">IFERROR(__xludf.DUMMYFUNCTION("""COMPUTED_VALUE"""),"Syrah")</f>
        <v>Syrah</v>
      </c>
      <c r="N1083" s="2"/>
      <c r="O1083" s="2" t="str">
        <f ca="1">IFERROR(__xludf.DUMMYFUNCTION("""COMPUTED_VALUE"""),"Filtrado Tang")</f>
        <v>Filtrado Tang</v>
      </c>
      <c r="P1083" s="2" t="str">
        <f ca="1">IFERROR(__xludf.DUMMYFUNCTION("""COMPUTED_VALUE"""),"Filtrado Tang")</f>
        <v>Filtrado Tang</v>
      </c>
      <c r="Q1083" s="2" t="b">
        <f ca="1">IFERROR(__xludf.DUMMYFUNCTION("""COMPUTED_VALUE"""),TRUE)</f>
        <v>1</v>
      </c>
      <c r="R1083" s="2" t="str">
        <f ca="1">IFERROR(__xludf.DUMMYFUNCTION("""COMPUTED_VALUE"""),"Filtrado Tang")</f>
        <v>Filtrado Tang</v>
      </c>
      <c r="S1083" s="2"/>
      <c r="T1083" s="2"/>
      <c r="U1083" s="2" t="str">
        <f ca="1">IFERROR(__xludf.DUMMYFUNCTION("""COMPUTED_VALUE"""),"1")</f>
        <v>1</v>
      </c>
    </row>
    <row r="1084" spans="1:21" x14ac:dyDescent="0.25">
      <c r="A1084" s="2" t="str">
        <f ca="1">IFERROR(__xludf.DUMMYFUNCTION("""COMPUTED_VALUE"""),"cb6a51f7")</f>
        <v>cb6a51f7</v>
      </c>
      <c r="B1084" s="5">
        <f ca="1">IFERROR(__xludf.DUMMYFUNCTION("""COMPUTED_VALUE"""),45954.4963657407)</f>
        <v>45954.496365740699</v>
      </c>
      <c r="C1084" s="2" t="str">
        <f ca="1">IFERROR(__xludf.DUMMYFUNCTION("""COMPUTED_VALUE"""),"2f7b2de3")</f>
        <v>2f7b2de3</v>
      </c>
      <c r="D1084" s="2">
        <f ca="1">IFERROR(__xludf.DUMMYFUNCTION("""COMPUTED_VALUE"""),114)</f>
        <v>114</v>
      </c>
      <c r="E1084" s="2" t="str">
        <f ca="1">IFERROR(__xludf.DUMMYFUNCTION("""COMPUTED_VALUE"""),"Cabernet Sauvignon")</f>
        <v>Cabernet Sauvignon</v>
      </c>
      <c r="F1084" s="2">
        <f ca="1">IFERROR(__xludf.DUMMYFUNCTION("""COMPUTED_VALUE"""),26000)</f>
        <v>26000</v>
      </c>
      <c r="G1084" s="2">
        <f ca="1">IFERROR(__xludf.DUMMYFUNCTION("""COMPUTED_VALUE"""),48)</f>
        <v>48</v>
      </c>
      <c r="H1084" s="2"/>
      <c r="I1084" s="2"/>
      <c r="J1084" s="2">
        <f ca="1">IFERROR(__xludf.DUMMYFUNCTION("""COMPUTED_VALUE"""),0)</f>
        <v>0</v>
      </c>
      <c r="K1084" s="2">
        <f ca="1">IFERROR(__xludf.DUMMYFUNCTION("""COMPUTED_VALUE"""),26000)</f>
        <v>26000</v>
      </c>
      <c r="L1084" s="2" t="str">
        <f ca="1">IFERROR(__xludf.DUMMYFUNCTION("""COMPUTED_VALUE"""),"f98c39b0")</f>
        <v>f98c39b0</v>
      </c>
      <c r="M1084" s="2" t="str">
        <f ca="1">IFERROR(__xludf.DUMMYFUNCTION("""COMPUTED_VALUE"""),"Cabernet Sauvignon")</f>
        <v>Cabernet Sauvignon</v>
      </c>
      <c r="N1084" s="2"/>
      <c r="O1084" s="2" t="str">
        <f ca="1">IFERROR(__xludf.DUMMYFUNCTION("""COMPUTED_VALUE"""),"Filtrado Tang")</f>
        <v>Filtrado Tang</v>
      </c>
      <c r="P1084" s="2"/>
      <c r="Q1084" s="2" t="b">
        <f ca="1">IFERROR(__xludf.DUMMYFUNCTION("""COMPUTED_VALUE"""),FALSE)</f>
        <v>0</v>
      </c>
      <c r="R1084" s="2" t="str">
        <f ca="1">IFERROR(__xludf.DUMMYFUNCTION("""COMPUTED_VALUE"""),"Rectificado")</f>
        <v>Rectificado</v>
      </c>
      <c r="S1084" s="2"/>
      <c r="T1084" s="2"/>
      <c r="U1084" s="2" t="str">
        <f ca="1">IFERROR(__xludf.DUMMYFUNCTION("""COMPUTED_VALUE"""),"1")</f>
        <v>1</v>
      </c>
    </row>
    <row r="1085" spans="1:21" x14ac:dyDescent="0.25">
      <c r="A1085" s="2" t="str">
        <f ca="1">IFERROR(__xludf.DUMMYFUNCTION("""COMPUTED_VALUE"""),"bb087fa1")</f>
        <v>bb087fa1</v>
      </c>
      <c r="B1085" s="5">
        <f ca="1">IFERROR(__xludf.DUMMYFUNCTION("""COMPUTED_VALUE"""),45954.4966319444)</f>
        <v>45954.496631944399</v>
      </c>
      <c r="C1085" s="2" t="str">
        <f ca="1">IFERROR(__xludf.DUMMYFUNCTION("""COMPUTED_VALUE"""),"2f7b2de3")</f>
        <v>2f7b2de3</v>
      </c>
      <c r="D1085" s="2">
        <f ca="1">IFERROR(__xludf.DUMMYFUNCTION("""COMPUTED_VALUE"""),114)</f>
        <v>114</v>
      </c>
      <c r="E1085" s="2" t="str">
        <f ca="1">IFERROR(__xludf.DUMMYFUNCTION("""COMPUTED_VALUE"""),"Cabernet Sauvignon")</f>
        <v>Cabernet Sauvignon</v>
      </c>
      <c r="F1085" s="2">
        <f ca="1">IFERROR(__xludf.DUMMYFUNCTION("""COMPUTED_VALUE"""),20000)</f>
        <v>20000</v>
      </c>
      <c r="G1085" s="2">
        <f ca="1">IFERROR(__xludf.DUMMYFUNCTION("""COMPUTED_VALUE"""),47)</f>
        <v>47</v>
      </c>
      <c r="H1085" s="2"/>
      <c r="I1085" s="2"/>
      <c r="J1085" s="2">
        <f ca="1">IFERROR(__xludf.DUMMYFUNCTION("""COMPUTED_VALUE"""),0)</f>
        <v>0</v>
      </c>
      <c r="K1085" s="2">
        <f ca="1">IFERROR(__xludf.DUMMYFUNCTION("""COMPUTED_VALUE"""),20000)</f>
        <v>20000</v>
      </c>
      <c r="L1085" s="2" t="str">
        <f ca="1">IFERROR(__xludf.DUMMYFUNCTION("""COMPUTED_VALUE"""),"7e87134c")</f>
        <v>7e87134c</v>
      </c>
      <c r="M1085" s="2" t="str">
        <f ca="1">IFERROR(__xludf.DUMMYFUNCTION("""COMPUTED_VALUE"""),"Cabernet Sauvignon")</f>
        <v>Cabernet Sauvignon</v>
      </c>
      <c r="N1085" s="2"/>
      <c r="O1085" s="2" t="str">
        <f ca="1">IFERROR(__xludf.DUMMYFUNCTION("""COMPUTED_VALUE"""),"Filtrado Tang")</f>
        <v>Filtrado Tang</v>
      </c>
      <c r="P1085" s="2"/>
      <c r="Q1085" s="2" t="b">
        <f ca="1">IFERROR(__xludf.DUMMYFUNCTION("""COMPUTED_VALUE"""),FALSE)</f>
        <v>0</v>
      </c>
      <c r="R1085" s="2" t="str">
        <f ca="1">IFERROR(__xludf.DUMMYFUNCTION("""COMPUTED_VALUE"""),"Rectificado")</f>
        <v>Rectificado</v>
      </c>
      <c r="S1085" s="2"/>
      <c r="T1085" s="2"/>
      <c r="U1085" s="2" t="str">
        <f ca="1">IFERROR(__xludf.DUMMYFUNCTION("""COMPUTED_VALUE"""),"1")</f>
        <v>1</v>
      </c>
    </row>
    <row r="1086" spans="1:21" x14ac:dyDescent="0.25">
      <c r="A1086" s="2" t="str">
        <f ca="1">IFERROR(__xludf.DUMMYFUNCTION("""COMPUTED_VALUE"""),"0b0588c2")</f>
        <v>0b0588c2</v>
      </c>
      <c r="B1086" s="5">
        <f ca="1">IFERROR(__xludf.DUMMYFUNCTION("""COMPUTED_VALUE"""),45954.4972685185)</f>
        <v>45954.497268518498</v>
      </c>
      <c r="C1086" s="2" t="str">
        <f ca="1">IFERROR(__xludf.DUMMYFUNCTION("""COMPUTED_VALUE"""),"5c576664")</f>
        <v>5c576664</v>
      </c>
      <c r="D1086" s="2">
        <f ca="1">IFERROR(__xludf.DUMMYFUNCTION("""COMPUTED_VALUE"""),115)</f>
        <v>115</v>
      </c>
      <c r="E1086" s="2" t="str">
        <f ca="1">IFERROR(__xludf.DUMMYFUNCTION("""COMPUTED_VALUE"""),"Malbec")</f>
        <v>Malbec</v>
      </c>
      <c r="F1086" s="2">
        <f ca="1">IFERROR(__xludf.DUMMYFUNCTION("""COMPUTED_VALUE"""),119250)</f>
        <v>119250</v>
      </c>
      <c r="G1086" s="2">
        <f ca="1">IFERROR(__xludf.DUMMYFUNCTION("""COMPUTED_VALUE"""),500)</f>
        <v>500</v>
      </c>
      <c r="H1086" s="2"/>
      <c r="I1086" s="2"/>
      <c r="J1086" s="2">
        <f ca="1">IFERROR(__xludf.DUMMYFUNCTION("""COMPUTED_VALUE"""),0)</f>
        <v>0</v>
      </c>
      <c r="K1086" s="2">
        <f ca="1">IFERROR(__xludf.DUMMYFUNCTION("""COMPUTED_VALUE"""),119250)</f>
        <v>119250</v>
      </c>
      <c r="L1086" s="2" t="str">
        <f ca="1">IFERROR(__xludf.DUMMYFUNCTION("""COMPUTED_VALUE"""),"2205db11")</f>
        <v>2205db11</v>
      </c>
      <c r="M1086" s="2" t="str">
        <f ca="1">IFERROR(__xludf.DUMMYFUNCTION("""COMPUTED_VALUE"""),"Malbec Traslado Millan")</f>
        <v>Malbec Traslado Millan</v>
      </c>
      <c r="N1086" s="2"/>
      <c r="O1086" s="2" t="str">
        <f ca="1">IFERROR(__xludf.DUMMYFUNCTION("""COMPUTED_VALUE"""),"Filtrado Tang")</f>
        <v>Filtrado Tang</v>
      </c>
      <c r="P1086" s="2"/>
      <c r="Q1086" s="2" t="b">
        <f ca="1">IFERROR(__xludf.DUMMYFUNCTION("""COMPUTED_VALUE"""),FALSE)</f>
        <v>0</v>
      </c>
      <c r="R1086" s="2" t="str">
        <f ca="1">IFERROR(__xludf.DUMMYFUNCTION("""COMPUTED_VALUE"""),"Traslado Venta")</f>
        <v>Traslado Venta</v>
      </c>
      <c r="S1086" s="2"/>
      <c r="T1086" s="2"/>
      <c r="U1086" s="2" t="str">
        <f ca="1">IFERROR(__xludf.DUMMYFUNCTION("""COMPUTED_VALUE"""),"1+")</f>
        <v>1+</v>
      </c>
    </row>
    <row r="1087" spans="1:21" x14ac:dyDescent="0.25">
      <c r="A1087" s="2" t="str">
        <f ca="1">IFERROR(__xludf.DUMMYFUNCTION("""COMPUTED_VALUE"""),"d39849d1")</f>
        <v>d39849d1</v>
      </c>
      <c r="B1087" s="5">
        <f ca="1">IFERROR(__xludf.DUMMYFUNCTION("""COMPUTED_VALUE"""),45954.4983333333)</f>
        <v>45954.4983333333</v>
      </c>
      <c r="C1087" s="2" t="str">
        <f ca="1">IFERROR(__xludf.DUMMYFUNCTION("""COMPUTED_VALUE"""),"5c576664")</f>
        <v>5c576664</v>
      </c>
      <c r="D1087" s="2">
        <f ca="1">IFERROR(__xludf.DUMMYFUNCTION("""COMPUTED_VALUE"""),115)</f>
        <v>115</v>
      </c>
      <c r="E1087" s="2" t="str">
        <f ca="1">IFERROR(__xludf.DUMMYFUNCTION("""COMPUTED_VALUE"""),"Malbec")</f>
        <v>Malbec</v>
      </c>
      <c r="F1087" s="2">
        <f ca="1">IFERROR(__xludf.DUMMYFUNCTION("""COMPUTED_VALUE"""),950)</f>
        <v>950</v>
      </c>
      <c r="G1087" s="2">
        <f ca="1">IFERROR(__xludf.DUMMYFUNCTION("""COMPUTED_VALUE"""),114)</f>
        <v>114</v>
      </c>
      <c r="H1087" s="2" t="str">
        <f ca="1">IFERROR(__xludf.DUMMYFUNCTION("""COMPUTED_VALUE"""),"2f7b2de3")</f>
        <v>2f7b2de3</v>
      </c>
      <c r="I1087" s="2" t="str">
        <f ca="1">IFERROR(__xludf.DUMMYFUNCTION("""COMPUTED_VALUE"""),"Cabernet Sauvignon")</f>
        <v>Cabernet Sauvignon</v>
      </c>
      <c r="J1087" s="2">
        <f ca="1">IFERROR(__xludf.DUMMYFUNCTION("""COMPUTED_VALUE"""),75300)</f>
        <v>75300</v>
      </c>
      <c r="K1087" s="2">
        <f ca="1">IFERROR(__xludf.DUMMYFUNCTION("""COMPUTED_VALUE"""),76250)</f>
        <v>76250</v>
      </c>
      <c r="L1087" s="2" t="str">
        <f ca="1">IFERROR(__xludf.DUMMYFUNCTION("""COMPUTED_VALUE"""),"ddfde07f")</f>
        <v>ddfde07f</v>
      </c>
      <c r="M1087" s="2" t="str">
        <f ca="1">IFERROR(__xludf.DUMMYFUNCTION("""COMPUTED_VALUE"""),"Cabernet Sauvignon")</f>
        <v>Cabernet Sauvignon</v>
      </c>
      <c r="N1087" s="2"/>
      <c r="O1087" s="2" t="str">
        <f ca="1">IFERROR(__xludf.DUMMYFUNCTION("""COMPUTED_VALUE"""),"Filtrado Tang")</f>
        <v>Filtrado Tang</v>
      </c>
      <c r="P1087" s="2" t="str">
        <f ca="1">IFERROR(__xludf.DUMMYFUNCTION("""COMPUTED_VALUE"""),"Filtrado Tang")</f>
        <v>Filtrado Tang</v>
      </c>
      <c r="Q1087" s="2" t="b">
        <f ca="1">IFERROR(__xludf.DUMMYFUNCTION("""COMPUTED_VALUE"""),TRUE)</f>
        <v>1</v>
      </c>
      <c r="R1087" s="2" t="str">
        <f ca="1">IFERROR(__xludf.DUMMYFUNCTION("""COMPUTED_VALUE"""),"Filtrado Tang")</f>
        <v>Filtrado Tang</v>
      </c>
      <c r="S1087" s="2"/>
      <c r="T1087" s="2"/>
      <c r="U1087" s="2" t="str">
        <f ca="1">IFERROR(__xludf.DUMMYFUNCTION("""COMPUTED_VALUE"""),"1")</f>
        <v>1</v>
      </c>
    </row>
    <row r="1088" spans="1:21" x14ac:dyDescent="0.25">
      <c r="A1088" s="2" t="str">
        <f ca="1">IFERROR(__xludf.DUMMYFUNCTION("""COMPUTED_VALUE"""),"fc8ae486")</f>
        <v>fc8ae486</v>
      </c>
      <c r="B1088" s="5">
        <f ca="1">IFERROR(__xludf.DUMMYFUNCTION("""COMPUTED_VALUE"""),45964.705636574)</f>
        <v>45964.705636573999</v>
      </c>
      <c r="C1088" s="2" t="str">
        <f ca="1">IFERROR(__xludf.DUMMYFUNCTION("""COMPUTED_VALUE"""),"7471d673")</f>
        <v>7471d673</v>
      </c>
      <c r="D1088" s="2">
        <f ca="1">IFERROR(__xludf.DUMMYFUNCTION("""COMPUTED_VALUE"""),6)</f>
        <v>6</v>
      </c>
      <c r="E1088" s="2" t="str">
        <f ca="1">IFERROR(__xludf.DUMMYFUNCTION("""COMPUTED_VALUE"""),"Cabernet Sauvignon")</f>
        <v>Cabernet Sauvignon</v>
      </c>
      <c r="F1088" s="2">
        <f ca="1">IFERROR(__xludf.DUMMYFUNCTION("""COMPUTED_VALUE"""),30000)</f>
        <v>30000</v>
      </c>
      <c r="G1088" s="2">
        <f ca="1">IFERROR(__xludf.DUMMYFUNCTION("""COMPUTED_VALUE"""),5)</f>
        <v>5</v>
      </c>
      <c r="H1088" s="2"/>
      <c r="I1088" s="2"/>
      <c r="J1088" s="2">
        <f ca="1">IFERROR(__xludf.DUMMYFUNCTION("""COMPUTED_VALUE"""),0)</f>
        <v>0</v>
      </c>
      <c r="K1088" s="2">
        <f ca="1">IFERROR(__xludf.DUMMYFUNCTION("""COMPUTED_VALUE"""),30000)</f>
        <v>30000</v>
      </c>
      <c r="L1088" s="2" t="str">
        <f ca="1">IFERROR(__xludf.DUMMYFUNCTION("""COMPUTED_VALUE"""),"200f92f0")</f>
        <v>200f92f0</v>
      </c>
      <c r="M1088" s="2" t="str">
        <f ca="1">IFERROR(__xludf.DUMMYFUNCTION("""COMPUTED_VALUE"""),"Cabernet Sauvignon")</f>
        <v>Cabernet Sauvignon</v>
      </c>
      <c r="N1088" s="2"/>
      <c r="O1088" s="2" t="str">
        <f ca="1">IFERROR(__xludf.DUMMYFUNCTION("""COMPUTED_VALUE"""),"Rectificado")</f>
        <v>Rectificado</v>
      </c>
      <c r="P1088" s="2"/>
      <c r="Q1088" s="2" t="b">
        <f ca="1">IFERROR(__xludf.DUMMYFUNCTION("""COMPUTED_VALUE"""),FALSE)</f>
        <v>0</v>
      </c>
      <c r="R1088" s="2" t="str">
        <f ca="1">IFERROR(__xludf.DUMMYFUNCTION("""COMPUTED_VALUE"""),"Rectificado")</f>
        <v>Rectificado</v>
      </c>
      <c r="S1088" s="2"/>
      <c r="T1088" s="2"/>
      <c r="U1088" s="2" t="str">
        <f ca="1">IFERROR(__xludf.DUMMYFUNCTION("""COMPUTED_VALUE"""),"1")</f>
        <v>1</v>
      </c>
    </row>
    <row r="1089" spans="1:21" x14ac:dyDescent="0.25">
      <c r="A1089" s="2" t="str">
        <f ca="1">IFERROR(__xludf.DUMMYFUNCTION("""COMPUTED_VALUE"""),"f2975ab7")</f>
        <v>f2975ab7</v>
      </c>
      <c r="B1089" s="5">
        <f ca="1">IFERROR(__xludf.DUMMYFUNCTION("""COMPUTED_VALUE"""),45964.706099537)</f>
        <v>45964.706099536997</v>
      </c>
      <c r="C1089" s="2" t="str">
        <f ca="1">IFERROR(__xludf.DUMMYFUNCTION("""COMPUTED_VALUE"""),"7471d673")</f>
        <v>7471d673</v>
      </c>
      <c r="D1089" s="2">
        <f ca="1">IFERROR(__xludf.DUMMYFUNCTION("""COMPUTED_VALUE"""),6)</f>
        <v>6</v>
      </c>
      <c r="E1089" s="2" t="str">
        <f ca="1">IFERROR(__xludf.DUMMYFUNCTION("""COMPUTED_VALUE"""),"Cabernet Sauvignon")</f>
        <v>Cabernet Sauvignon</v>
      </c>
      <c r="F1089" s="2">
        <f ca="1">IFERROR(__xludf.DUMMYFUNCTION("""COMPUTED_VALUE"""),2000)</f>
        <v>2000</v>
      </c>
      <c r="G1089" s="2">
        <f ca="1">IFERROR(__xludf.DUMMYFUNCTION("""COMPUTED_VALUE"""),44)</f>
        <v>44</v>
      </c>
      <c r="H1089" s="2" t="str">
        <f ca="1">IFERROR(__xludf.DUMMYFUNCTION("""COMPUTED_VALUE"""),"ce6ad572")</f>
        <v>ce6ad572</v>
      </c>
      <c r="I1089" s="2" t="str">
        <f ca="1">IFERROR(__xludf.DUMMYFUNCTION("""COMPUTED_VALUE"""),"Malbec")</f>
        <v>Malbec</v>
      </c>
      <c r="J1089" s="2">
        <f ca="1">IFERROR(__xludf.DUMMYFUNCTION("""COMPUTED_VALUE"""),5295)</f>
        <v>5295</v>
      </c>
      <c r="K1089" s="2">
        <f ca="1">IFERROR(__xludf.DUMMYFUNCTION("""COMPUTED_VALUE"""),7295)</f>
        <v>7295</v>
      </c>
      <c r="L1089" s="2" t="str">
        <f ca="1">IFERROR(__xludf.DUMMYFUNCTION("""COMPUTED_VALUE"""),"6130a7df")</f>
        <v>6130a7df</v>
      </c>
      <c r="M1089" s="2" t="str">
        <f ca="1">IFERROR(__xludf.DUMMYFUNCTION("""COMPUTED_VALUE"""),"Cabernet Sauvignon")</f>
        <v>Cabernet Sauvignon</v>
      </c>
      <c r="N1089" s="2"/>
      <c r="O1089" s="2" t="str">
        <f ca="1">IFERROR(__xludf.DUMMYFUNCTION("""COMPUTED_VALUE"""),"Rectificado")</f>
        <v>Rectificado</v>
      </c>
      <c r="P1089" s="2" t="str">
        <f ca="1">IFERROR(__xludf.DUMMYFUNCTION("""COMPUTED_VALUE"""),"Rectificado")</f>
        <v>Rectificado</v>
      </c>
      <c r="Q1089" s="2" t="b">
        <f ca="1">IFERROR(__xludf.DUMMYFUNCTION("""COMPUTED_VALUE"""),TRUE)</f>
        <v>1</v>
      </c>
      <c r="R1089" s="2" t="str">
        <f ca="1">IFERROR(__xludf.DUMMYFUNCTION("""COMPUTED_VALUE"""),"Rectificado")</f>
        <v>Rectificado</v>
      </c>
      <c r="S1089" s="2"/>
      <c r="T1089" s="2"/>
      <c r="U1089" s="2" t="str">
        <f ca="1">IFERROR(__xludf.DUMMYFUNCTION("""COMPUTED_VALUE"""),"2+")</f>
        <v>2+</v>
      </c>
    </row>
    <row r="1090" spans="1:21" x14ac:dyDescent="0.25">
      <c r="A1090" s="2" t="str">
        <f ca="1">IFERROR(__xludf.DUMMYFUNCTION("""COMPUTED_VALUE"""),"a08f22de")</f>
        <v>a08f22de</v>
      </c>
      <c r="B1090" s="5">
        <f ca="1">IFERROR(__xludf.DUMMYFUNCTION("""COMPUTED_VALUE"""),45964.7066666666)</f>
        <v>45964.7066666666</v>
      </c>
      <c r="C1090" s="2" t="str">
        <f ca="1">IFERROR(__xludf.DUMMYFUNCTION("""COMPUTED_VALUE"""),"ddfde07f")</f>
        <v>ddfde07f</v>
      </c>
      <c r="D1090" s="2">
        <f ca="1">IFERROR(__xludf.DUMMYFUNCTION("""COMPUTED_VALUE"""),114)</f>
        <v>114</v>
      </c>
      <c r="E1090" s="2" t="str">
        <f ca="1">IFERROR(__xludf.DUMMYFUNCTION("""COMPUTED_VALUE"""),"Cabernet Sauvignon")</f>
        <v>Cabernet Sauvignon</v>
      </c>
      <c r="F1090" s="2">
        <f ca="1">IFERROR(__xludf.DUMMYFUNCTION("""COMPUTED_VALUE"""),11805)</f>
        <v>11805</v>
      </c>
      <c r="G1090" s="2">
        <f ca="1">IFERROR(__xludf.DUMMYFUNCTION("""COMPUTED_VALUE"""),44)</f>
        <v>44</v>
      </c>
      <c r="H1090" s="2" t="str">
        <f ca="1">IFERROR(__xludf.DUMMYFUNCTION("""COMPUTED_VALUE"""),"6130a7df")</f>
        <v>6130a7df</v>
      </c>
      <c r="I1090" s="2" t="str">
        <f ca="1">IFERROR(__xludf.DUMMYFUNCTION("""COMPUTED_VALUE"""),"Cabernet Sauvignon")</f>
        <v>Cabernet Sauvignon</v>
      </c>
      <c r="J1090" s="2">
        <f ca="1">IFERROR(__xludf.DUMMYFUNCTION("""COMPUTED_VALUE"""),7295)</f>
        <v>7295</v>
      </c>
      <c r="K1090" s="2">
        <f ca="1">IFERROR(__xludf.DUMMYFUNCTION("""COMPUTED_VALUE"""),19100)</f>
        <v>19100</v>
      </c>
      <c r="L1090" s="2" t="str">
        <f ca="1">IFERROR(__xludf.DUMMYFUNCTION("""COMPUTED_VALUE"""),"4bdef056")</f>
        <v>4bdef056</v>
      </c>
      <c r="M1090" s="2" t="str">
        <f ca="1">IFERROR(__xludf.DUMMYFUNCTION("""COMPUTED_VALUE"""),"Cabernet Sauvignon")</f>
        <v>Cabernet Sauvignon</v>
      </c>
      <c r="N1090" s="2"/>
      <c r="O1090" s="2" t="str">
        <f ca="1">IFERROR(__xludf.DUMMYFUNCTION("""COMPUTED_VALUE"""),"Filtrado Tang")</f>
        <v>Filtrado Tang</v>
      </c>
      <c r="P1090" s="2" t="str">
        <f ca="1">IFERROR(__xludf.DUMMYFUNCTION("""COMPUTED_VALUE"""),"Rectificado")</f>
        <v>Rectificado</v>
      </c>
      <c r="Q1090" s="2" t="b">
        <f ca="1">IFERROR(__xludf.DUMMYFUNCTION("""COMPUTED_VALUE"""),TRUE)</f>
        <v>1</v>
      </c>
      <c r="R1090" s="2" t="str">
        <f ca="1">IFERROR(__xludf.DUMMYFUNCTION("""COMPUTED_VALUE"""),"Rectificado")</f>
        <v>Rectificado</v>
      </c>
      <c r="S1090" s="2"/>
      <c r="T1090" s="2"/>
      <c r="U1090" s="2" t="str">
        <f ca="1">IFERROR(__xludf.DUMMYFUNCTION("""COMPUTED_VALUE"""),"2+")</f>
        <v>2+</v>
      </c>
    </row>
    <row r="1091" spans="1:21" x14ac:dyDescent="0.25">
      <c r="A1091" s="2" t="str">
        <f ca="1">IFERROR(__xludf.DUMMYFUNCTION("""COMPUTED_VALUE"""),"f8d9e936")</f>
        <v>f8d9e936</v>
      </c>
      <c r="B1091" s="5">
        <f ca="1">IFERROR(__xludf.DUMMYFUNCTION("""COMPUTED_VALUE"""),45964.7146180555)</f>
        <v>45964.714618055499</v>
      </c>
      <c r="C1091" s="2" t="str">
        <f ca="1">IFERROR(__xludf.DUMMYFUNCTION("""COMPUTED_VALUE"""),"ddfde07f")</f>
        <v>ddfde07f</v>
      </c>
      <c r="D1091" s="2">
        <f ca="1">IFERROR(__xludf.DUMMYFUNCTION("""COMPUTED_VALUE"""),114)</f>
        <v>114</v>
      </c>
      <c r="E1091" s="2" t="str">
        <f ca="1">IFERROR(__xludf.DUMMYFUNCTION("""COMPUTED_VALUE"""),"Cabernet Sauvignon")</f>
        <v>Cabernet Sauvignon</v>
      </c>
      <c r="F1091" s="2">
        <f ca="1">IFERROR(__xludf.DUMMYFUNCTION("""COMPUTED_VALUE"""),15000)</f>
        <v>15000</v>
      </c>
      <c r="G1091" s="2">
        <f ca="1">IFERROR(__xludf.DUMMYFUNCTION("""COMPUTED_VALUE"""),10)</f>
        <v>10</v>
      </c>
      <c r="H1091" s="2"/>
      <c r="I1091" s="2"/>
      <c r="J1091" s="2">
        <f ca="1">IFERROR(__xludf.DUMMYFUNCTION("""COMPUTED_VALUE"""),0)</f>
        <v>0</v>
      </c>
      <c r="K1091" s="2">
        <f ca="1">IFERROR(__xludf.DUMMYFUNCTION("""COMPUTED_VALUE"""),15000)</f>
        <v>15000</v>
      </c>
      <c r="L1091" s="2" t="str">
        <f ca="1">IFERROR(__xludf.DUMMYFUNCTION("""COMPUTED_VALUE"""),"f2d3bd3e")</f>
        <v>f2d3bd3e</v>
      </c>
      <c r="M1091" s="2" t="str">
        <f ca="1">IFERROR(__xludf.DUMMYFUNCTION("""COMPUTED_VALUE"""),"Cabernet Sauvignon")</f>
        <v>Cabernet Sauvignon</v>
      </c>
      <c r="N1091" s="2"/>
      <c r="O1091" s="2" t="str">
        <f ca="1">IFERROR(__xludf.DUMMYFUNCTION("""COMPUTED_VALUE"""),"Filtrado Tang")</f>
        <v>Filtrado Tang</v>
      </c>
      <c r="P1091" s="2"/>
      <c r="Q1091" s="2" t="b">
        <f ca="1">IFERROR(__xludf.DUMMYFUNCTION("""COMPUTED_VALUE"""),FALSE)</f>
        <v>0</v>
      </c>
      <c r="R1091" s="2" t="str">
        <f ca="1">IFERROR(__xludf.DUMMYFUNCTION("""COMPUTED_VALUE"""),"Rectificado")</f>
        <v>Rectificado</v>
      </c>
      <c r="S1091" s="2"/>
      <c r="T1091" s="2"/>
      <c r="U1091" s="2" t="str">
        <f ca="1">IFERROR(__xludf.DUMMYFUNCTION("""COMPUTED_VALUE"""),"1")</f>
        <v>1</v>
      </c>
    </row>
    <row r="1092" spans="1:21" x14ac:dyDescent="0.25">
      <c r="A1092" s="2" t="str">
        <f ca="1">IFERROR(__xludf.DUMMYFUNCTION("""COMPUTED_VALUE"""),"70c7a57e")</f>
        <v>70c7a57e</v>
      </c>
      <c r="B1092" s="5">
        <f ca="1">IFERROR(__xludf.DUMMYFUNCTION("""COMPUTED_VALUE"""),45975.5094444444)</f>
        <v>45975.509444444397</v>
      </c>
      <c r="C1092" s="2" t="str">
        <f ca="1">IFERROR(__xludf.DUMMYFUNCTION("""COMPUTED_VALUE"""),"ddfde07f")</f>
        <v>ddfde07f</v>
      </c>
      <c r="D1092" s="2">
        <f ca="1">IFERROR(__xludf.DUMMYFUNCTION("""COMPUTED_VALUE"""),114)</f>
        <v>114</v>
      </c>
      <c r="E1092" s="2" t="str">
        <f ca="1">IFERROR(__xludf.DUMMYFUNCTION("""COMPUTED_VALUE"""),"Cabernet Sauvignon")</f>
        <v>Cabernet Sauvignon</v>
      </c>
      <c r="F1092" s="2">
        <f ca="1">IFERROR(__xludf.DUMMYFUNCTION("""COMPUTED_VALUE"""),6000)</f>
        <v>6000</v>
      </c>
      <c r="G1092" s="2">
        <f ca="1">IFERROR(__xludf.DUMMYFUNCTION("""COMPUTED_VALUE"""),10)</f>
        <v>10</v>
      </c>
      <c r="H1092" s="2" t="str">
        <f ca="1">IFERROR(__xludf.DUMMYFUNCTION("""COMPUTED_VALUE"""),"f2d3bd3e")</f>
        <v>f2d3bd3e</v>
      </c>
      <c r="I1092" s="2" t="str">
        <f ca="1">IFERROR(__xludf.DUMMYFUNCTION("""COMPUTED_VALUE"""),"Cabernet Sauvignon")</f>
        <v>Cabernet Sauvignon</v>
      </c>
      <c r="J1092" s="2">
        <f ca="1">IFERROR(__xludf.DUMMYFUNCTION("""COMPUTED_VALUE"""),15000)</f>
        <v>15000</v>
      </c>
      <c r="K1092" s="2">
        <f ca="1">IFERROR(__xludf.DUMMYFUNCTION("""COMPUTED_VALUE"""),21000)</f>
        <v>21000</v>
      </c>
      <c r="L1092" s="2" t="str">
        <f ca="1">IFERROR(__xludf.DUMMYFUNCTION("""COMPUTED_VALUE"""),"bf803f5c")</f>
        <v>bf803f5c</v>
      </c>
      <c r="M1092" s="2" t="str">
        <f ca="1">IFERROR(__xludf.DUMMYFUNCTION("""COMPUTED_VALUE"""),"Cabernet Sauvignon")</f>
        <v>Cabernet Sauvignon</v>
      </c>
      <c r="N1092" s="2"/>
      <c r="O1092" s="2" t="str">
        <f ca="1">IFERROR(__xludf.DUMMYFUNCTION("""COMPUTED_VALUE"""),"Filtrado Tang")</f>
        <v>Filtrado Tang</v>
      </c>
      <c r="P1092" s="2" t="str">
        <f ca="1">IFERROR(__xludf.DUMMYFUNCTION("""COMPUTED_VALUE"""),"Rectificado")</f>
        <v>Rectificado</v>
      </c>
      <c r="Q1092" s="2" t="b">
        <f ca="1">IFERROR(__xludf.DUMMYFUNCTION("""COMPUTED_VALUE"""),TRUE)</f>
        <v>1</v>
      </c>
      <c r="R1092" s="2" t="str">
        <f ca="1">IFERROR(__xludf.DUMMYFUNCTION("""COMPUTED_VALUE"""),"Rectificado")</f>
        <v>Rectificado</v>
      </c>
      <c r="S1092" s="2"/>
      <c r="T1092" s="2"/>
      <c r="U1092" s="2" t="str">
        <f ca="1">IFERROR(__xludf.DUMMYFUNCTION("""COMPUTED_VALUE"""),"1")</f>
        <v>1</v>
      </c>
    </row>
    <row r="1093" spans="1:21" x14ac:dyDescent="0.25">
      <c r="A1093" s="2" t="str">
        <f ca="1">IFERROR(__xludf.DUMMYFUNCTION("""COMPUTED_VALUE"""),"9496f256")</f>
        <v>9496f256</v>
      </c>
      <c r="B1093" s="5">
        <f ca="1">IFERROR(__xludf.DUMMYFUNCTION("""COMPUTED_VALUE"""),45975.5106134259)</f>
        <v>45975.510613425897</v>
      </c>
      <c r="C1093" s="2" t="str">
        <f ca="1">IFERROR(__xludf.DUMMYFUNCTION("""COMPUTED_VALUE"""),"ddfde07f")</f>
        <v>ddfde07f</v>
      </c>
      <c r="D1093" s="2">
        <f ca="1">IFERROR(__xludf.DUMMYFUNCTION("""COMPUTED_VALUE"""),114)</f>
        <v>114</v>
      </c>
      <c r="E1093" s="2" t="str">
        <f ca="1">IFERROR(__xludf.DUMMYFUNCTION("""COMPUTED_VALUE"""),"Cabernet Sauvignon")</f>
        <v>Cabernet Sauvignon</v>
      </c>
      <c r="F1093" s="2">
        <f ca="1">IFERROR(__xludf.DUMMYFUNCTION("""COMPUTED_VALUE"""),22900)</f>
        <v>22900</v>
      </c>
      <c r="G1093" s="2">
        <f ca="1">IFERROR(__xludf.DUMMYFUNCTION("""COMPUTED_VALUE"""),54)</f>
        <v>54</v>
      </c>
      <c r="H1093" s="2"/>
      <c r="I1093" s="2"/>
      <c r="J1093" s="2">
        <f ca="1">IFERROR(__xludf.DUMMYFUNCTION("""COMPUTED_VALUE"""),0)</f>
        <v>0</v>
      </c>
      <c r="K1093" s="2">
        <f ca="1">IFERROR(__xludf.DUMMYFUNCTION("""COMPUTED_VALUE"""),22900)</f>
        <v>22900</v>
      </c>
      <c r="L1093" s="2" t="str">
        <f ca="1">IFERROR(__xludf.DUMMYFUNCTION("""COMPUTED_VALUE"""),"9b04723e")</f>
        <v>9b04723e</v>
      </c>
      <c r="M1093" s="2" t="str">
        <f ca="1">IFERROR(__xludf.DUMMYFUNCTION("""COMPUTED_VALUE"""),"Cabernet Sauvignon Rect")</f>
        <v>Cabernet Sauvignon Rect</v>
      </c>
      <c r="N1093" s="2"/>
      <c r="O1093" s="2" t="str">
        <f ca="1">IFERROR(__xludf.DUMMYFUNCTION("""COMPUTED_VALUE"""),"Filtrado Tang")</f>
        <v>Filtrado Tang</v>
      </c>
      <c r="P1093" s="2"/>
      <c r="Q1093" s="2" t="b">
        <f ca="1">IFERROR(__xludf.DUMMYFUNCTION("""COMPUTED_VALUE"""),FALSE)</f>
        <v>0</v>
      </c>
      <c r="R1093" s="2" t="str">
        <f ca="1">IFERROR(__xludf.DUMMYFUNCTION("""COMPUTED_VALUE"""),"Rectificado")</f>
        <v>Rectificado</v>
      </c>
      <c r="S1093" s="2"/>
      <c r="T1093" s="2"/>
      <c r="U1093" s="2" t="str">
        <f ca="1">IFERROR(__xludf.DUMMYFUNCTION("""COMPUTED_VALUE"""),"1")</f>
        <v>1</v>
      </c>
    </row>
    <row r="1094" spans="1:21" x14ac:dyDescent="0.25">
      <c r="A1094" s="2" t="str">
        <f ca="1">IFERROR(__xludf.DUMMYFUNCTION("""COMPUTED_VALUE"""),"fa9c0ee4")</f>
        <v>fa9c0ee4</v>
      </c>
      <c r="B1094" s="5">
        <f ca="1">IFERROR(__xludf.DUMMYFUNCTION("""COMPUTED_VALUE"""),45975.5109143518)</f>
        <v>45975.510914351798</v>
      </c>
      <c r="C1094" s="2" t="str">
        <f ca="1">IFERROR(__xludf.DUMMYFUNCTION("""COMPUTED_VALUE"""),"ddfde07f")</f>
        <v>ddfde07f</v>
      </c>
      <c r="D1094" s="2">
        <f ca="1">IFERROR(__xludf.DUMMYFUNCTION("""COMPUTED_VALUE"""),114)</f>
        <v>114</v>
      </c>
      <c r="E1094" s="2" t="str">
        <f ca="1">IFERROR(__xludf.DUMMYFUNCTION("""COMPUTED_VALUE"""),"Cabernet Sauvignon")</f>
        <v>Cabernet Sauvignon</v>
      </c>
      <c r="F1094" s="2">
        <f ca="1">IFERROR(__xludf.DUMMYFUNCTION("""COMPUTED_VALUE"""),20545)</f>
        <v>20545</v>
      </c>
      <c r="G1094" s="2">
        <f ca="1">IFERROR(__xludf.DUMMYFUNCTION("""COMPUTED_VALUE"""),53)</f>
        <v>53</v>
      </c>
      <c r="H1094" s="2"/>
      <c r="I1094" s="2"/>
      <c r="J1094" s="2">
        <f ca="1">IFERROR(__xludf.DUMMYFUNCTION("""COMPUTED_VALUE"""),0)</f>
        <v>0</v>
      </c>
      <c r="K1094" s="2">
        <f ca="1">IFERROR(__xludf.DUMMYFUNCTION("""COMPUTED_VALUE"""),20545)</f>
        <v>20545</v>
      </c>
      <c r="L1094" s="2" t="str">
        <f ca="1">IFERROR(__xludf.DUMMYFUNCTION("""COMPUTED_VALUE"""),"33102bed")</f>
        <v>33102bed</v>
      </c>
      <c r="M1094" s="2" t="str">
        <f ca="1">IFERROR(__xludf.DUMMYFUNCTION("""COMPUTED_VALUE"""),"Cabernet Sauvignon Rect")</f>
        <v>Cabernet Sauvignon Rect</v>
      </c>
      <c r="N1094" s="2"/>
      <c r="O1094" s="2" t="str">
        <f ca="1">IFERROR(__xludf.DUMMYFUNCTION("""COMPUTED_VALUE"""),"Filtrado Tang")</f>
        <v>Filtrado Tang</v>
      </c>
      <c r="P1094" s="2"/>
      <c r="Q1094" s="2" t="b">
        <f ca="1">IFERROR(__xludf.DUMMYFUNCTION("""COMPUTED_VALUE"""),FALSE)</f>
        <v>0</v>
      </c>
      <c r="R1094" s="2" t="str">
        <f ca="1">IFERROR(__xludf.DUMMYFUNCTION("""COMPUTED_VALUE"""),"Rectificado")</f>
        <v>Rectificado</v>
      </c>
      <c r="S1094" s="2"/>
      <c r="T1094" s="2"/>
      <c r="U1094" s="2" t="str">
        <f ca="1">IFERROR(__xludf.DUMMYFUNCTION("""COMPUTED_VALUE"""),"1")</f>
        <v>1</v>
      </c>
    </row>
    <row r="1095" spans="1:21" x14ac:dyDescent="0.25">
      <c r="A1095" s="2" t="str">
        <f ca="1">IFERROR(__xludf.DUMMYFUNCTION("""COMPUTED_VALUE"""),"06e76a8a")</f>
        <v>06e76a8a</v>
      </c>
      <c r="B1095" s="5">
        <f ca="1">IFERROR(__xludf.DUMMYFUNCTION("""COMPUTED_VALUE"""),45975.5118055555)</f>
        <v>45975.511805555499</v>
      </c>
      <c r="C1095" s="2" t="str">
        <f ca="1">IFERROR(__xludf.DUMMYFUNCTION("""COMPUTED_VALUE"""),"dc08aecd")</f>
        <v>dc08aecd</v>
      </c>
      <c r="D1095" s="2">
        <f ca="1">IFERROR(__xludf.DUMMYFUNCTION("""COMPUTED_VALUE"""),85)</f>
        <v>85</v>
      </c>
      <c r="E1095" s="2" t="str">
        <f ca="1">IFERROR(__xludf.DUMMYFUNCTION("""COMPUTED_VALUE"""),"Malbec")</f>
        <v>Malbec</v>
      </c>
      <c r="F1095" s="2">
        <f ca="1">IFERROR(__xludf.DUMMYFUNCTION("""COMPUTED_VALUE"""),1455)</f>
        <v>1455</v>
      </c>
      <c r="G1095" s="2">
        <f ca="1">IFERROR(__xludf.DUMMYFUNCTION("""COMPUTED_VALUE"""),53)</f>
        <v>53</v>
      </c>
      <c r="H1095" s="2" t="str">
        <f ca="1">IFERROR(__xludf.DUMMYFUNCTION("""COMPUTED_VALUE"""),"33102bed")</f>
        <v>33102bed</v>
      </c>
      <c r="I1095" s="2" t="str">
        <f ca="1">IFERROR(__xludf.DUMMYFUNCTION("""COMPUTED_VALUE"""),"Cabernet Sauvignon Rect")</f>
        <v>Cabernet Sauvignon Rect</v>
      </c>
      <c r="J1095" s="2">
        <f ca="1">IFERROR(__xludf.DUMMYFUNCTION("""COMPUTED_VALUE"""),20545)</f>
        <v>20545</v>
      </c>
      <c r="K1095" s="2">
        <f ca="1">IFERROR(__xludf.DUMMYFUNCTION("""COMPUTED_VALUE"""),22000)</f>
        <v>22000</v>
      </c>
      <c r="L1095" s="2" t="str">
        <f ca="1">IFERROR(__xludf.DUMMYFUNCTION("""COMPUTED_VALUE"""),"bf060836")</f>
        <v>bf060836</v>
      </c>
      <c r="M1095" s="2" t="str">
        <f ca="1">IFERROR(__xludf.DUMMYFUNCTION("""COMPUTED_VALUE"""),"Cabernet Sauvignon Rect")</f>
        <v>Cabernet Sauvignon Rect</v>
      </c>
      <c r="N1095" s="2"/>
      <c r="O1095" s="2" t="str">
        <f ca="1">IFERROR(__xludf.DUMMYFUNCTION("""COMPUTED_VALUE"""),"Filtrado Tang")</f>
        <v>Filtrado Tang</v>
      </c>
      <c r="P1095" s="2" t="str">
        <f ca="1">IFERROR(__xludf.DUMMYFUNCTION("""COMPUTED_VALUE"""),"Rectificado")</f>
        <v>Rectificado</v>
      </c>
      <c r="Q1095" s="2" t="b">
        <f ca="1">IFERROR(__xludf.DUMMYFUNCTION("""COMPUTED_VALUE"""),TRUE)</f>
        <v>1</v>
      </c>
      <c r="R1095" s="2" t="str">
        <f ca="1">IFERROR(__xludf.DUMMYFUNCTION("""COMPUTED_VALUE"""),"Rectificado")</f>
        <v>Rectificado</v>
      </c>
      <c r="S1095" s="2"/>
      <c r="T1095" s="2"/>
      <c r="U1095" s="2" t="str">
        <f ca="1">IFERROR(__xludf.DUMMYFUNCTION("""COMPUTED_VALUE"""),"1")</f>
        <v>1</v>
      </c>
    </row>
    <row r="1096" spans="1:21" x14ac:dyDescent="0.25">
      <c r="A1096" s="2" t="str">
        <f ca="1">IFERROR(__xludf.DUMMYFUNCTION("""COMPUTED_VALUE"""),"e73f16bd")</f>
        <v>e73f16bd</v>
      </c>
      <c r="B1096" s="5">
        <f ca="1">IFERROR(__xludf.DUMMYFUNCTION("""COMPUTED_VALUE"""),45975.5119328703)</f>
        <v>45975.5119328703</v>
      </c>
      <c r="C1096" s="2" t="str">
        <f ca="1">IFERROR(__xludf.DUMMYFUNCTION("""COMPUTED_VALUE"""),"dc08aecd")</f>
        <v>dc08aecd</v>
      </c>
      <c r="D1096" s="2">
        <f ca="1">IFERROR(__xludf.DUMMYFUNCTION("""COMPUTED_VALUE"""),85)</f>
        <v>85</v>
      </c>
      <c r="E1096" s="2" t="str">
        <f ca="1">IFERROR(__xludf.DUMMYFUNCTION("""COMPUTED_VALUE"""),"Malbec")</f>
        <v>Malbec</v>
      </c>
      <c r="F1096" s="2">
        <f ca="1">IFERROR(__xludf.DUMMYFUNCTION("""COMPUTED_VALUE"""),30000)</f>
        <v>30000</v>
      </c>
      <c r="G1096" s="2">
        <f ca="1">IFERROR(__xludf.DUMMYFUNCTION("""COMPUTED_VALUE"""),9)</f>
        <v>9</v>
      </c>
      <c r="H1096" s="2"/>
      <c r="I1096" s="2"/>
      <c r="J1096" s="2">
        <f ca="1">IFERROR(__xludf.DUMMYFUNCTION("""COMPUTED_VALUE"""),0)</f>
        <v>0</v>
      </c>
      <c r="K1096" s="2">
        <f ca="1">IFERROR(__xludf.DUMMYFUNCTION("""COMPUTED_VALUE"""),30000)</f>
        <v>30000</v>
      </c>
      <c r="L1096" s="2" t="str">
        <f ca="1">IFERROR(__xludf.DUMMYFUNCTION("""COMPUTED_VALUE"""),"8c8c2ed7")</f>
        <v>8c8c2ed7</v>
      </c>
      <c r="M1096" s="2" t="str">
        <f ca="1">IFERROR(__xludf.DUMMYFUNCTION("""COMPUTED_VALUE"""),"Malbec Rect")</f>
        <v>Malbec Rect</v>
      </c>
      <c r="N1096" s="2"/>
      <c r="O1096" s="2" t="str">
        <f ca="1">IFERROR(__xludf.DUMMYFUNCTION("""COMPUTED_VALUE"""),"Filtrado Tang")</f>
        <v>Filtrado Tang</v>
      </c>
      <c r="P1096" s="2"/>
      <c r="Q1096" s="2" t="b">
        <f ca="1">IFERROR(__xludf.DUMMYFUNCTION("""COMPUTED_VALUE"""),FALSE)</f>
        <v>0</v>
      </c>
      <c r="R1096" s="2" t="str">
        <f ca="1">IFERROR(__xludf.DUMMYFUNCTION("""COMPUTED_VALUE"""),"Rectificado")</f>
        <v>Rectificado</v>
      </c>
      <c r="S1096" s="2"/>
      <c r="T1096" s="2"/>
      <c r="U1096" s="2" t="str">
        <f ca="1">IFERROR(__xludf.DUMMYFUNCTION("""COMPUTED_VALUE"""),"1-")</f>
        <v>1-</v>
      </c>
    </row>
    <row r="1097" spans="1:21" x14ac:dyDescent="0.25">
      <c r="A1097" s="2" t="str">
        <f ca="1">IFERROR(__xludf.DUMMYFUNCTION("""COMPUTED_VALUE"""),"a8bbf414")</f>
        <v>a8bbf414</v>
      </c>
      <c r="B1097" s="5">
        <f ca="1">IFERROR(__xludf.DUMMYFUNCTION("""COMPUTED_VALUE"""),45975.7900347222)</f>
        <v>45975.790034722202</v>
      </c>
      <c r="C1097" s="2" t="str">
        <f ca="1">IFERROR(__xludf.DUMMYFUNCTION("""COMPUTED_VALUE"""),"dc08aecd")</f>
        <v>dc08aecd</v>
      </c>
      <c r="D1097" s="2">
        <f ca="1">IFERROR(__xludf.DUMMYFUNCTION("""COMPUTED_VALUE"""),85)</f>
        <v>85</v>
      </c>
      <c r="E1097" s="2" t="str">
        <f ca="1">IFERROR(__xludf.DUMMYFUNCTION("""COMPUTED_VALUE"""),"Malbec")</f>
        <v>Malbec</v>
      </c>
      <c r="F1097" s="2">
        <f ca="1">IFERROR(__xludf.DUMMYFUNCTION("""COMPUTED_VALUE"""),10000)</f>
        <v>10000</v>
      </c>
      <c r="G1097" s="2">
        <f ca="1">IFERROR(__xludf.DUMMYFUNCTION("""COMPUTED_VALUE"""),8)</f>
        <v>8</v>
      </c>
      <c r="H1097" s="2"/>
      <c r="I1097" s="2"/>
      <c r="J1097" s="2">
        <f ca="1">IFERROR(__xludf.DUMMYFUNCTION("""COMPUTED_VALUE"""),0)</f>
        <v>0</v>
      </c>
      <c r="K1097" s="2">
        <f ca="1">IFERROR(__xludf.DUMMYFUNCTION("""COMPUTED_VALUE"""),10000)</f>
        <v>10000</v>
      </c>
      <c r="L1097" s="2" t="str">
        <f ca="1">IFERROR(__xludf.DUMMYFUNCTION("""COMPUTED_VALUE"""),"ebd1f758")</f>
        <v>ebd1f758</v>
      </c>
      <c r="M1097" s="2" t="str">
        <f ca="1">IFERROR(__xludf.DUMMYFUNCTION("""COMPUTED_VALUE"""),"Malbec Rect")</f>
        <v>Malbec Rect</v>
      </c>
      <c r="N1097" s="2"/>
      <c r="O1097" s="2" t="str">
        <f ca="1">IFERROR(__xludf.DUMMYFUNCTION("""COMPUTED_VALUE"""),"Filtrado Tang")</f>
        <v>Filtrado Tang</v>
      </c>
      <c r="P1097" s="2"/>
      <c r="Q1097" s="2" t="b">
        <f ca="1">IFERROR(__xludf.DUMMYFUNCTION("""COMPUTED_VALUE"""),FALSE)</f>
        <v>0</v>
      </c>
      <c r="R1097" s="2" t="str">
        <f ca="1">IFERROR(__xludf.DUMMYFUNCTION("""COMPUTED_VALUE"""),"Rectificado")</f>
        <v>Rectificado</v>
      </c>
      <c r="S1097" s="2"/>
      <c r="T1097" s="2"/>
      <c r="U1097" s="2" t="str">
        <f ca="1">IFERROR(__xludf.DUMMYFUNCTION("""COMPUTED_VALUE"""),"1-")</f>
        <v>1-</v>
      </c>
    </row>
    <row r="1098" spans="1:21" x14ac:dyDescent="0.25">
      <c r="A1098" s="2" t="str">
        <f ca="1">IFERROR(__xludf.DUMMYFUNCTION("""COMPUTED_VALUE"""),"aa324540")</f>
        <v>aa324540</v>
      </c>
      <c r="B1098" s="5">
        <f ca="1">IFERROR(__xludf.DUMMYFUNCTION("""COMPUTED_VALUE"""),45975.7996527777)</f>
        <v>45975.7996527777</v>
      </c>
      <c r="C1098" s="2" t="str">
        <f ca="1">IFERROR(__xludf.DUMMYFUNCTION("""COMPUTED_VALUE"""),"bf060836")</f>
        <v>bf060836</v>
      </c>
      <c r="D1098" s="2">
        <f ca="1">IFERROR(__xludf.DUMMYFUNCTION("""COMPUTED_VALUE"""),53)</f>
        <v>53</v>
      </c>
      <c r="E1098" s="2" t="str">
        <f ca="1">IFERROR(__xludf.DUMMYFUNCTION("""COMPUTED_VALUE"""),"Cabernet Sauvignon Rect")</f>
        <v>Cabernet Sauvignon Rect</v>
      </c>
      <c r="F1098" s="2">
        <f ca="1">IFERROR(__xludf.DUMMYFUNCTION("""COMPUTED_VALUE"""),22000)</f>
        <v>22000</v>
      </c>
      <c r="G1098" s="2">
        <f ca="1">IFERROR(__xludf.DUMMYFUNCTION("""COMPUTED_VALUE"""),6)</f>
        <v>6</v>
      </c>
      <c r="H1098" s="2"/>
      <c r="I1098" s="2"/>
      <c r="J1098" s="2">
        <f ca="1">IFERROR(__xludf.DUMMYFUNCTION("""COMPUTED_VALUE"""),0)</f>
        <v>0</v>
      </c>
      <c r="K1098" s="2">
        <f ca="1">IFERROR(__xludf.DUMMYFUNCTION("""COMPUTED_VALUE"""),22000)</f>
        <v>22000</v>
      </c>
      <c r="L1098" s="2" t="str">
        <f ca="1">IFERROR(__xludf.DUMMYFUNCTION("""COMPUTED_VALUE"""),"2ec8ae5c")</f>
        <v>2ec8ae5c</v>
      </c>
      <c r="M1098" s="2" t="str">
        <f ca="1">IFERROR(__xludf.DUMMYFUNCTION("""COMPUTED_VALUE"""),"Cabernet Sauvignon Rect")</f>
        <v>Cabernet Sauvignon Rect</v>
      </c>
      <c r="N1098" s="2"/>
      <c r="O1098" s="2" t="str">
        <f ca="1">IFERROR(__xludf.DUMMYFUNCTION("""COMPUTED_VALUE"""),"Rectificado")</f>
        <v>Rectificado</v>
      </c>
      <c r="P1098" s="2"/>
      <c r="Q1098" s="2" t="b">
        <f ca="1">IFERROR(__xludf.DUMMYFUNCTION("""COMPUTED_VALUE"""),FALSE)</f>
        <v>0</v>
      </c>
      <c r="R1098" s="2" t="str">
        <f ca="1">IFERROR(__xludf.DUMMYFUNCTION("""COMPUTED_VALUE"""),"Rectificado")</f>
        <v>Rectificado</v>
      </c>
      <c r="S1098" s="2"/>
      <c r="T1098" s="2"/>
      <c r="U1098" s="2" t="str">
        <f ca="1">IFERROR(__xludf.DUMMYFUNCTION("""COMPUTED_VALUE"""),"1")</f>
        <v>1</v>
      </c>
    </row>
    <row r="1099" spans="1:21" x14ac:dyDescent="0.25">
      <c r="A1099" s="2" t="str">
        <f ca="1">IFERROR(__xludf.DUMMYFUNCTION("""COMPUTED_VALUE"""),"cd11777d")</f>
        <v>cd11777d</v>
      </c>
      <c r="B1099" s="5">
        <f ca="1">IFERROR(__xludf.DUMMYFUNCTION("""COMPUTED_VALUE"""),45975.8000231481)</f>
        <v>45975.800023148098</v>
      </c>
      <c r="C1099" s="2" t="str">
        <f ca="1">IFERROR(__xludf.DUMMYFUNCTION("""COMPUTED_VALUE"""),"dc08aecd")</f>
        <v>dc08aecd</v>
      </c>
      <c r="D1099" s="2">
        <f ca="1">IFERROR(__xludf.DUMMYFUNCTION("""COMPUTED_VALUE"""),85)</f>
        <v>85</v>
      </c>
      <c r="E1099" s="2" t="str">
        <f ca="1">IFERROR(__xludf.DUMMYFUNCTION("""COMPUTED_VALUE"""),"Malbec")</f>
        <v>Malbec</v>
      </c>
      <c r="F1099" s="2">
        <f ca="1">IFERROR(__xludf.DUMMYFUNCTION("""COMPUTED_VALUE"""),10000)</f>
        <v>10000</v>
      </c>
      <c r="G1099" s="2">
        <f ca="1">IFERROR(__xludf.DUMMYFUNCTION("""COMPUTED_VALUE"""),6)</f>
        <v>6</v>
      </c>
      <c r="H1099" s="2" t="str">
        <f ca="1">IFERROR(__xludf.DUMMYFUNCTION("""COMPUTED_VALUE"""),"2ec8ae5c")</f>
        <v>2ec8ae5c</v>
      </c>
      <c r="I1099" s="2" t="str">
        <f ca="1">IFERROR(__xludf.DUMMYFUNCTION("""COMPUTED_VALUE"""),"Cabernet Sauvignon Rect")</f>
        <v>Cabernet Sauvignon Rect</v>
      </c>
      <c r="J1099" s="2">
        <f ca="1">IFERROR(__xludf.DUMMYFUNCTION("""COMPUTED_VALUE"""),22000)</f>
        <v>22000</v>
      </c>
      <c r="K1099" s="2">
        <f ca="1">IFERROR(__xludf.DUMMYFUNCTION("""COMPUTED_VALUE"""),32000)</f>
        <v>32000</v>
      </c>
      <c r="L1099" s="2" t="str">
        <f ca="1">IFERROR(__xludf.DUMMYFUNCTION("""COMPUTED_VALUE"""),"4e87c697")</f>
        <v>4e87c697</v>
      </c>
      <c r="M1099" s="2" t="str">
        <f ca="1">IFERROR(__xludf.DUMMYFUNCTION("""COMPUTED_VALUE"""),"Cabernet Sauvignon Rect")</f>
        <v>Cabernet Sauvignon Rect</v>
      </c>
      <c r="N1099" s="2"/>
      <c r="O1099" s="2" t="str">
        <f ca="1">IFERROR(__xludf.DUMMYFUNCTION("""COMPUTED_VALUE"""),"Filtrado Tang")</f>
        <v>Filtrado Tang</v>
      </c>
      <c r="P1099" s="2" t="str">
        <f ca="1">IFERROR(__xludf.DUMMYFUNCTION("""COMPUTED_VALUE"""),"Rectificado")</f>
        <v>Rectificado</v>
      </c>
      <c r="Q1099" s="2" t="b">
        <f ca="1">IFERROR(__xludf.DUMMYFUNCTION("""COMPUTED_VALUE"""),TRUE)</f>
        <v>1</v>
      </c>
      <c r="R1099" s="2" t="str">
        <f ca="1">IFERROR(__xludf.DUMMYFUNCTION("""COMPUTED_VALUE"""),"Rectificado")</f>
        <v>Rectificado</v>
      </c>
      <c r="S1099" s="2"/>
      <c r="T1099" s="2"/>
      <c r="U1099" s="2" t="str">
        <f ca="1">IFERROR(__xludf.DUMMYFUNCTION("""COMPUTED_VALUE"""),"1")</f>
        <v>1</v>
      </c>
    </row>
    <row r="1100" spans="1:21" x14ac:dyDescent="0.25">
      <c r="A1100" s="2" t="str">
        <f ca="1">IFERROR(__xludf.DUMMYFUNCTION("""COMPUTED_VALUE"""),"64efffa9")</f>
        <v>64efffa9</v>
      </c>
      <c r="B1100" s="5">
        <f ca="1">IFERROR(__xludf.DUMMYFUNCTION("""COMPUTED_VALUE"""),45975.8002546296)</f>
        <v>45975.800254629597</v>
      </c>
      <c r="C1100" s="2" t="str">
        <f ca="1">IFERROR(__xludf.DUMMYFUNCTION("""COMPUTED_VALUE"""),"dc08aecd")</f>
        <v>dc08aecd</v>
      </c>
      <c r="D1100" s="2">
        <f ca="1">IFERROR(__xludf.DUMMYFUNCTION("""COMPUTED_VALUE"""),85)</f>
        <v>85</v>
      </c>
      <c r="E1100" s="2" t="str">
        <f ca="1">IFERROR(__xludf.DUMMYFUNCTION("""COMPUTED_VALUE"""),"Malbec")</f>
        <v>Malbec</v>
      </c>
      <c r="F1100" s="2">
        <f ca="1">IFERROR(__xludf.DUMMYFUNCTION("""COMPUTED_VALUE"""),22000)</f>
        <v>22000</v>
      </c>
      <c r="G1100" s="2">
        <f ca="1">IFERROR(__xludf.DUMMYFUNCTION("""COMPUTED_VALUE"""),53)</f>
        <v>53</v>
      </c>
      <c r="H1100" s="2"/>
      <c r="I1100" s="2"/>
      <c r="J1100" s="2">
        <f ca="1">IFERROR(__xludf.DUMMYFUNCTION("""COMPUTED_VALUE"""),0)</f>
        <v>0</v>
      </c>
      <c r="K1100" s="2">
        <f ca="1">IFERROR(__xludf.DUMMYFUNCTION("""COMPUTED_VALUE"""),22000)</f>
        <v>22000</v>
      </c>
      <c r="L1100" s="2" t="str">
        <f ca="1">IFERROR(__xludf.DUMMYFUNCTION("""COMPUTED_VALUE"""),"6831c95d")</f>
        <v>6831c95d</v>
      </c>
      <c r="M1100" s="2" t="str">
        <f ca="1">IFERROR(__xludf.DUMMYFUNCTION("""COMPUTED_VALUE"""),"Malbec Rect")</f>
        <v>Malbec Rect</v>
      </c>
      <c r="N1100" s="2"/>
      <c r="O1100" s="2" t="str">
        <f ca="1">IFERROR(__xludf.DUMMYFUNCTION("""COMPUTED_VALUE"""),"Rectificado")</f>
        <v>Rectificado</v>
      </c>
      <c r="P1100" s="2"/>
      <c r="Q1100" s="2" t="b">
        <f ca="1">IFERROR(__xludf.DUMMYFUNCTION("""COMPUTED_VALUE"""),FALSE)</f>
        <v>0</v>
      </c>
      <c r="R1100" s="2" t="str">
        <f ca="1">IFERROR(__xludf.DUMMYFUNCTION("""COMPUTED_VALUE"""),"Filtrado Tang")</f>
        <v>Filtrado Tang</v>
      </c>
      <c r="S1100" s="2"/>
      <c r="T1100" s="2"/>
      <c r="U1100" s="2" t="str">
        <f ca="1">IFERROR(__xludf.DUMMYFUNCTION("""COMPUTED_VALUE"""),"1-")</f>
        <v>1-</v>
      </c>
    </row>
    <row r="1101" spans="1:21" x14ac:dyDescent="0.25">
      <c r="A1101" s="2" t="str">
        <f ca="1">IFERROR(__xludf.DUMMYFUNCTION("""COMPUTED_VALUE"""),"554bf407")</f>
        <v>554bf407</v>
      </c>
      <c r="B1101" s="5">
        <f ca="1">IFERROR(__xludf.DUMMYFUNCTION("""COMPUTED_VALUE"""),45979.6514930555)</f>
        <v>45979.651493055499</v>
      </c>
      <c r="C1101" s="2" t="str">
        <f ca="1">IFERROR(__xludf.DUMMYFUNCTION("""COMPUTED_VALUE"""),"8efff8e7")</f>
        <v>8efff8e7</v>
      </c>
      <c r="D1101" s="2">
        <f ca="1">IFERROR(__xludf.DUMMYFUNCTION("""COMPUTED_VALUE"""),31)</f>
        <v>31</v>
      </c>
      <c r="E1101" s="2" t="str">
        <f ca="1">IFERROR(__xludf.DUMMYFUNCTION("""COMPUTED_VALUE"""),"Bonarda")</f>
        <v>Bonarda</v>
      </c>
      <c r="F1101" s="2">
        <f ca="1">IFERROR(__xludf.DUMMYFUNCTION("""COMPUTED_VALUE"""),5000)</f>
        <v>5000</v>
      </c>
      <c r="G1101" s="2">
        <f ca="1">IFERROR(__xludf.DUMMYFUNCTION("""COMPUTED_VALUE"""),12)</f>
        <v>12</v>
      </c>
      <c r="H1101" s="2"/>
      <c r="I1101" s="2"/>
      <c r="J1101" s="2">
        <f ca="1">IFERROR(__xludf.DUMMYFUNCTION("""COMPUTED_VALUE"""),0)</f>
        <v>0</v>
      </c>
      <c r="K1101" s="2">
        <f ca="1">IFERROR(__xludf.DUMMYFUNCTION("""COMPUTED_VALUE"""),5000)</f>
        <v>5000</v>
      </c>
      <c r="L1101" s="2" t="str">
        <f ca="1">IFERROR(__xludf.DUMMYFUNCTION("""COMPUTED_VALUE"""),"18e2d8e5")</f>
        <v>18e2d8e5</v>
      </c>
      <c r="M1101" s="2" t="str">
        <f ca="1">IFERROR(__xludf.DUMMYFUNCTION("""COMPUTED_VALUE"""),"Bonarda")</f>
        <v>Bonarda</v>
      </c>
      <c r="N1101" s="2"/>
      <c r="O1101" s="2" t="str">
        <f ca="1">IFERROR(__xludf.DUMMYFUNCTION("""COMPUTED_VALUE"""),"Fermentando")</f>
        <v>Fermentando</v>
      </c>
      <c r="P1101" s="2"/>
      <c r="Q1101" s="2" t="b">
        <f ca="1">IFERROR(__xludf.DUMMYFUNCTION("""COMPUTED_VALUE"""),FALSE)</f>
        <v>0</v>
      </c>
      <c r="R1101" s="2" t="str">
        <f ca="1">IFERROR(__xludf.DUMMYFUNCTION("""COMPUTED_VALUE"""),"Descubada")</f>
        <v>Descubada</v>
      </c>
      <c r="S1101" s="2"/>
      <c r="T1101" s="2"/>
      <c r="U1101" s="2"/>
    </row>
    <row r="1102" spans="1:21" x14ac:dyDescent="0.25">
      <c r="A1102" s="2" t="str">
        <f ca="1">IFERROR(__xludf.DUMMYFUNCTION("""COMPUTED_VALUE"""),"14f02115")</f>
        <v>14f02115</v>
      </c>
      <c r="B1102" s="5">
        <f ca="1">IFERROR(__xludf.DUMMYFUNCTION("""COMPUTED_VALUE"""),45979.7435763888)</f>
        <v>45979.743576388799</v>
      </c>
      <c r="C1102" s="2" t="str">
        <f ca="1">IFERROR(__xludf.DUMMYFUNCTION("""COMPUTED_VALUE"""),"dc08aecd")</f>
        <v>dc08aecd</v>
      </c>
      <c r="D1102" s="2">
        <f ca="1">IFERROR(__xludf.DUMMYFUNCTION("""COMPUTED_VALUE"""),85)</f>
        <v>85</v>
      </c>
      <c r="E1102" s="2" t="str">
        <f ca="1">IFERROR(__xludf.DUMMYFUNCTION("""COMPUTED_VALUE"""),"Malbec")</f>
        <v>Malbec</v>
      </c>
      <c r="F1102" s="2">
        <f ca="1">IFERROR(__xludf.DUMMYFUNCTION("""COMPUTED_VALUE"""),10545)</f>
        <v>10545</v>
      </c>
      <c r="G1102" s="2">
        <f ca="1">IFERROR(__xludf.DUMMYFUNCTION("""COMPUTED_VALUE"""),500)</f>
        <v>500</v>
      </c>
      <c r="H1102" s="2"/>
      <c r="I1102" s="2"/>
      <c r="J1102" s="2">
        <f ca="1">IFERROR(__xludf.DUMMYFUNCTION("""COMPUTED_VALUE"""),0)</f>
        <v>0</v>
      </c>
      <c r="K1102" s="2">
        <f ca="1">IFERROR(__xludf.DUMMYFUNCTION("""COMPUTED_VALUE"""),10545)</f>
        <v>10545</v>
      </c>
      <c r="L1102" s="2" t="str">
        <f ca="1">IFERROR(__xludf.DUMMYFUNCTION("""COMPUTED_VALUE"""),"aa047cbf")</f>
        <v>aa047cbf</v>
      </c>
      <c r="M1102" s="2" t="str">
        <f ca="1">IFERROR(__xludf.DUMMYFUNCTION("""COMPUTED_VALUE"""),"Malbec - Ajuste despacho semanal de varios meses")</f>
        <v>Malbec - Ajuste despacho semanal de varios meses</v>
      </c>
      <c r="N1102" s="2"/>
      <c r="O1102" s="2" t="str">
        <f ca="1">IFERROR(__xludf.DUMMYFUNCTION("""COMPUTED_VALUE"""),"Filtrado Tang")</f>
        <v>Filtrado Tang</v>
      </c>
      <c r="P1102" s="2"/>
      <c r="Q1102" s="2" t="b">
        <f ca="1">IFERROR(__xludf.DUMMYFUNCTION("""COMPUTED_VALUE"""),FALSE)</f>
        <v>0</v>
      </c>
      <c r="R1102" s="2" t="str">
        <f ca="1">IFERROR(__xludf.DUMMYFUNCTION("""COMPUTED_VALUE"""),"Traslado Venta")</f>
        <v>Traslado Venta</v>
      </c>
      <c r="S1102" s="2"/>
      <c r="T1102" s="2"/>
      <c r="U1102" s="2" t="str">
        <f ca="1">IFERROR(__xludf.DUMMYFUNCTION("""COMPUTED_VALUE"""),"1-")</f>
        <v>1-</v>
      </c>
    </row>
    <row r="1103" spans="1:21" x14ac:dyDescent="0.25">
      <c r="A1103" s="2" t="str">
        <f ca="1">IFERROR(__xludf.DUMMYFUNCTION("""COMPUTED_VALUE"""),"e37f8cad")</f>
        <v>e37f8cad</v>
      </c>
      <c r="B1103" s="5">
        <f ca="1">IFERROR(__xludf.DUMMYFUNCTION("""COMPUTED_VALUE"""),45979.7444791666)</f>
        <v>45979.744479166598</v>
      </c>
      <c r="C1103" s="2" t="str">
        <f ca="1">IFERROR(__xludf.DUMMYFUNCTION("""COMPUTED_VALUE"""),"ebd1f758")</f>
        <v>ebd1f758</v>
      </c>
      <c r="D1103" s="2">
        <f ca="1">IFERROR(__xludf.DUMMYFUNCTION("""COMPUTED_VALUE"""),8)</f>
        <v>8</v>
      </c>
      <c r="E1103" s="2" t="str">
        <f ca="1">IFERROR(__xludf.DUMMYFUNCTION("""COMPUTED_VALUE"""),"Malbec Rect")</f>
        <v>Malbec Rect</v>
      </c>
      <c r="F1103" s="2">
        <f ca="1">IFERROR(__xludf.DUMMYFUNCTION("""COMPUTED_VALUE"""),900)</f>
        <v>900</v>
      </c>
      <c r="G1103" s="2">
        <f ca="1">IFERROR(__xludf.DUMMYFUNCTION("""COMPUTED_VALUE"""),500)</f>
        <v>500</v>
      </c>
      <c r="H1103" s="2" t="str">
        <f ca="1">IFERROR(__xludf.DUMMYFUNCTION("""COMPUTED_VALUE"""),"aa047cbf")</f>
        <v>aa047cbf</v>
      </c>
      <c r="I1103" s="2" t="str">
        <f ca="1">IFERROR(__xludf.DUMMYFUNCTION("""COMPUTED_VALUE"""),"Malbec - Ajuste despacho semanal de varios meses")</f>
        <v>Malbec - Ajuste despacho semanal de varios meses</v>
      </c>
      <c r="J1103" s="2">
        <f ca="1">IFERROR(__xludf.DUMMYFUNCTION("""COMPUTED_VALUE"""),10545)</f>
        <v>10545</v>
      </c>
      <c r="K1103" s="2">
        <f ca="1">IFERROR(__xludf.DUMMYFUNCTION("""COMPUTED_VALUE"""),11445)</f>
        <v>11445</v>
      </c>
      <c r="L1103" s="2" t="str">
        <f ca="1">IFERROR(__xludf.DUMMYFUNCTION("""COMPUTED_VALUE"""),"d619258d")</f>
        <v>d619258d</v>
      </c>
      <c r="M1103" s="2" t="str">
        <f ca="1">IFERROR(__xludf.DUMMYFUNCTION("""COMPUTED_VALUE"""),"Malbec Rect")</f>
        <v>Malbec Rect</v>
      </c>
      <c r="N1103" s="2"/>
      <c r="O1103" s="2" t="str">
        <f ca="1">IFERROR(__xludf.DUMMYFUNCTION("""COMPUTED_VALUE"""),"Rectificado")</f>
        <v>Rectificado</v>
      </c>
      <c r="P1103" s="2" t="str">
        <f ca="1">IFERROR(__xludf.DUMMYFUNCTION("""COMPUTED_VALUE"""),"Traslado Venta")</f>
        <v>Traslado Venta</v>
      </c>
      <c r="Q1103" s="2" t="b">
        <f ca="1">IFERROR(__xludf.DUMMYFUNCTION("""COMPUTED_VALUE"""),FALSE)</f>
        <v>0</v>
      </c>
      <c r="R1103" s="2" t="str">
        <f ca="1">IFERROR(__xludf.DUMMYFUNCTION("""COMPUTED_VALUE"""),"Rectificado")</f>
        <v>Rectificado</v>
      </c>
      <c r="S1103" s="2"/>
      <c r="T1103" s="2"/>
      <c r="U1103" s="2" t="str">
        <f ca="1">IFERROR(__xludf.DUMMYFUNCTION("""COMPUTED_VALUE"""),"1-")</f>
        <v>1-</v>
      </c>
    </row>
    <row r="1104" spans="1:21" x14ac:dyDescent="0.25">
      <c r="A1104" s="2" t="str">
        <f ca="1">IFERROR(__xludf.DUMMYFUNCTION("""COMPUTED_VALUE"""),"1b0300ca")</f>
        <v>1b0300ca</v>
      </c>
      <c r="B1104" s="5">
        <f ca="1">IFERROR(__xludf.DUMMYFUNCTION("""COMPUTED_VALUE"""),45989.411886574)</f>
        <v>45989.411886574002</v>
      </c>
      <c r="C1104" s="2" t="str">
        <f ca="1">IFERROR(__xludf.DUMMYFUNCTION("""COMPUTED_VALUE"""),"086af607")</f>
        <v>086af607</v>
      </c>
      <c r="D1104" s="2">
        <f ca="1">IFERROR(__xludf.DUMMYFUNCTION("""COMPUTED_VALUE"""),111)</f>
        <v>111</v>
      </c>
      <c r="E1104" s="2" t="str">
        <f ca="1">IFERROR(__xludf.DUMMYFUNCTION("""COMPUTED_VALUE"""),"Syrah")</f>
        <v>Syrah</v>
      </c>
      <c r="F1104" s="2">
        <f ca="1">IFERROR(__xludf.DUMMYFUNCTION("""COMPUTED_VALUE"""),2000)</f>
        <v>2000</v>
      </c>
      <c r="G1104" s="2">
        <f ca="1">IFERROR(__xludf.DUMMYFUNCTION("""COMPUTED_VALUE"""),500)</f>
        <v>500</v>
      </c>
      <c r="H1104" s="2"/>
      <c r="I1104" s="2"/>
      <c r="J1104" s="2">
        <f ca="1">IFERROR(__xludf.DUMMYFUNCTION("""COMPUTED_VALUE"""),0)</f>
        <v>0</v>
      </c>
      <c r="K1104" s="2">
        <f ca="1">IFERROR(__xludf.DUMMYFUNCTION("""COMPUTED_VALUE"""),2000)</f>
        <v>2000</v>
      </c>
      <c r="L1104" s="2" t="str">
        <f ca="1">IFERROR(__xludf.DUMMYFUNCTION("""COMPUTED_VALUE"""),"f736b47b")</f>
        <v>f736b47b</v>
      </c>
      <c r="M1104" s="2" t="str">
        <f ca="1">IFERROR(__xludf.DUMMYFUNCTION("""COMPUTED_VALUE"""),"Syrah con madera a fraccionar SEDIENTO")</f>
        <v>Syrah con madera a fraccionar SEDIENTO</v>
      </c>
      <c r="N1104" s="2"/>
      <c r="O1104" s="2" t="str">
        <f ca="1">IFERROR(__xludf.DUMMYFUNCTION("""COMPUTED_VALUE"""),"Filtrado Tang")</f>
        <v>Filtrado Tang</v>
      </c>
      <c r="P1104" s="2"/>
      <c r="Q1104" s="2" t="b">
        <f ca="1">IFERROR(__xludf.DUMMYFUNCTION("""COMPUTED_VALUE"""),FALSE)</f>
        <v>0</v>
      </c>
      <c r="R1104" s="2" t="str">
        <f ca="1">IFERROR(__xludf.DUMMYFUNCTION("""COMPUTED_VALUE"""),"Filtrado Tang")</f>
        <v>Filtrado Tang</v>
      </c>
      <c r="S1104" s="2"/>
      <c r="T1104" s="2"/>
      <c r="U1104" s="2" t="str">
        <f ca="1">IFERROR(__xludf.DUMMYFUNCTION("""COMPUTED_VALUE"""),"1")</f>
        <v>1</v>
      </c>
    </row>
    <row r="1105" spans="1:21" x14ac:dyDescent="0.25">
      <c r="A1105" s="2" t="str">
        <f ca="1">IFERROR(__xludf.DUMMYFUNCTION("""COMPUTED_VALUE"""),"5395b96f")</f>
        <v>5395b96f</v>
      </c>
      <c r="B1105" s="5">
        <f ca="1">IFERROR(__xludf.DUMMYFUNCTION("""COMPUTED_VALUE"""),45989.4145949074)</f>
        <v>45989.414594907401</v>
      </c>
      <c r="C1105" s="2" t="str">
        <f ca="1">IFERROR(__xludf.DUMMYFUNCTION("""COMPUTED_VALUE"""),"93a8c465")</f>
        <v>93a8c465</v>
      </c>
      <c r="D1105" s="2">
        <f ca="1">IFERROR(__xludf.DUMMYFUNCTION("""COMPUTED_VALUE"""),82)</f>
        <v>82</v>
      </c>
      <c r="E1105" s="2" t="str">
        <f ca="1">IFERROR(__xludf.DUMMYFUNCTION("""COMPUTED_VALUE"""),"Syrah")</f>
        <v>Syrah</v>
      </c>
      <c r="F1105" s="2">
        <f ca="1">IFERROR(__xludf.DUMMYFUNCTION("""COMPUTED_VALUE"""),2000)</f>
        <v>2000</v>
      </c>
      <c r="G1105" s="2">
        <f ca="1">IFERROR(__xludf.DUMMYFUNCTION("""COMPUTED_VALUE"""),111)</f>
        <v>111</v>
      </c>
      <c r="H1105" s="2" t="str">
        <f ca="1">IFERROR(__xludf.DUMMYFUNCTION("""COMPUTED_VALUE"""),"086af607")</f>
        <v>086af607</v>
      </c>
      <c r="I1105" s="2" t="str">
        <f ca="1">IFERROR(__xludf.DUMMYFUNCTION("""COMPUTED_VALUE"""),"Syrah con Madera")</f>
        <v>Syrah con Madera</v>
      </c>
      <c r="J1105" s="2">
        <f ca="1">IFERROR(__xludf.DUMMYFUNCTION("""COMPUTED_VALUE"""),2000)</f>
        <v>2000</v>
      </c>
      <c r="K1105" s="2">
        <f ca="1">IFERROR(__xludf.DUMMYFUNCTION("""COMPUTED_VALUE"""),4000)</f>
        <v>4000</v>
      </c>
      <c r="L1105" s="2" t="str">
        <f ca="1">IFERROR(__xludf.DUMMYFUNCTION("""COMPUTED_VALUE"""),"3ba92525")</f>
        <v>3ba92525</v>
      </c>
      <c r="M1105" s="2" t="str">
        <f ca="1">IFERROR(__xludf.DUMMYFUNCTION("""COMPUTED_VALUE"""),"Syrah con Madera")</f>
        <v>Syrah con Madera</v>
      </c>
      <c r="N1105" s="2" t="str">
        <f ca="1">IFERROR(__xludf.DUMMYFUNCTION("""COMPUTED_VALUE"""),"Relleno")</f>
        <v>Relleno</v>
      </c>
      <c r="O1105" s="2" t="str">
        <f ca="1">IFERROR(__xludf.DUMMYFUNCTION("""COMPUTED_VALUE"""),"Filtrado Tang")</f>
        <v>Filtrado Tang</v>
      </c>
      <c r="P1105" s="2" t="str">
        <f ca="1">IFERROR(__xludf.DUMMYFUNCTION("""COMPUTED_VALUE"""),"Filtrado Tang")</f>
        <v>Filtrado Tang</v>
      </c>
      <c r="Q1105" s="2" t="b">
        <f ca="1">IFERROR(__xludf.DUMMYFUNCTION("""COMPUTED_VALUE"""),TRUE)</f>
        <v>1</v>
      </c>
      <c r="R1105" s="2" t="str">
        <f ca="1">IFERROR(__xludf.DUMMYFUNCTION("""COMPUTED_VALUE"""),"Filtrado Tang")</f>
        <v>Filtrado Tang</v>
      </c>
      <c r="S1105" s="2"/>
      <c r="T1105" s="2"/>
      <c r="U1105" s="2" t="str">
        <f ca="1">IFERROR(__xludf.DUMMYFUNCTION("""COMPUTED_VALUE"""),"1")</f>
        <v>1</v>
      </c>
    </row>
    <row r="1106" spans="1:21" x14ac:dyDescent="0.25">
      <c r="A1106" s="2" t="str">
        <f ca="1">IFERROR(__xludf.DUMMYFUNCTION("""COMPUTED_VALUE"""),"90360a6f")</f>
        <v>90360a6f</v>
      </c>
      <c r="B1106" s="5">
        <f ca="1">IFERROR(__xludf.DUMMYFUNCTION("""COMPUTED_VALUE"""),45989.4151273148)</f>
        <v>45989.415127314802</v>
      </c>
      <c r="C1106" s="2" t="str">
        <f ca="1">IFERROR(__xludf.DUMMYFUNCTION("""COMPUTED_VALUE"""),"ebd1f758")</f>
        <v>ebd1f758</v>
      </c>
      <c r="D1106" s="2">
        <f ca="1">IFERROR(__xludf.DUMMYFUNCTION("""COMPUTED_VALUE"""),8)</f>
        <v>8</v>
      </c>
      <c r="E1106" s="2" t="str">
        <f ca="1">IFERROR(__xludf.DUMMYFUNCTION("""COMPUTED_VALUE"""),"Malbec Rect")</f>
        <v>Malbec Rect</v>
      </c>
      <c r="F1106" s="2">
        <f ca="1">IFERROR(__xludf.DUMMYFUNCTION("""COMPUTED_VALUE"""),9100)</f>
        <v>9100</v>
      </c>
      <c r="G1106" s="2">
        <f ca="1">IFERROR(__xludf.DUMMYFUNCTION("""COMPUTED_VALUE"""),79)</f>
        <v>79</v>
      </c>
      <c r="H1106" s="2"/>
      <c r="I1106" s="2"/>
      <c r="J1106" s="2">
        <f ca="1">IFERROR(__xludf.DUMMYFUNCTION("""COMPUTED_VALUE"""),0)</f>
        <v>0</v>
      </c>
      <c r="K1106" s="2">
        <f ca="1">IFERROR(__xludf.DUMMYFUNCTION("""COMPUTED_VALUE"""),9100)</f>
        <v>9100</v>
      </c>
      <c r="L1106" s="2" t="str">
        <f ca="1">IFERROR(__xludf.DUMMYFUNCTION("""COMPUTED_VALUE"""),"4b104a69")</f>
        <v>4b104a69</v>
      </c>
      <c r="M1106" s="2" t="str">
        <f ca="1">IFERROR(__xludf.DUMMYFUNCTION("""COMPUTED_VALUE"""),"Malbec Rect")</f>
        <v>Malbec Rect</v>
      </c>
      <c r="N1106" s="2"/>
      <c r="O1106" s="2" t="str">
        <f ca="1">IFERROR(__xludf.DUMMYFUNCTION("""COMPUTED_VALUE"""),"Rectificado")</f>
        <v>Rectificado</v>
      </c>
      <c r="P1106" s="2"/>
      <c r="Q1106" s="2" t="b">
        <f ca="1">IFERROR(__xludf.DUMMYFUNCTION("""COMPUTED_VALUE"""),FALSE)</f>
        <v>0</v>
      </c>
      <c r="R1106" s="2" t="str">
        <f ca="1">IFERROR(__xludf.DUMMYFUNCTION("""COMPUTED_VALUE"""),"Rectificado")</f>
        <v>Rectificado</v>
      </c>
      <c r="S1106" s="2"/>
      <c r="T1106" s="2"/>
      <c r="U1106" s="2" t="str">
        <f ca="1">IFERROR(__xludf.DUMMYFUNCTION("""COMPUTED_VALUE"""),"1-")</f>
        <v>1-</v>
      </c>
    </row>
    <row r="1107" spans="1:21" x14ac:dyDescent="0.25">
      <c r="A1107" s="2" t="str">
        <f ca="1">IFERROR(__xludf.DUMMYFUNCTION("""COMPUTED_VALUE"""),"7299a223")</f>
        <v>7299a223</v>
      </c>
      <c r="B1107" s="5">
        <f ca="1">IFERROR(__xludf.DUMMYFUNCTION("""COMPUTED_VALUE"""),45989.4154513888)</f>
        <v>45989.415451388799</v>
      </c>
      <c r="C1107" s="2" t="str">
        <f ca="1">IFERROR(__xludf.DUMMYFUNCTION("""COMPUTED_VALUE"""),"6831c95d")</f>
        <v>6831c95d</v>
      </c>
      <c r="D1107" s="2">
        <f ca="1">IFERROR(__xludf.DUMMYFUNCTION("""COMPUTED_VALUE"""),53)</f>
        <v>53</v>
      </c>
      <c r="E1107" s="2" t="str">
        <f ca="1">IFERROR(__xludf.DUMMYFUNCTION("""COMPUTED_VALUE"""),"Malbec Rect")</f>
        <v>Malbec Rect</v>
      </c>
      <c r="F1107" s="2">
        <f ca="1">IFERROR(__xludf.DUMMYFUNCTION("""COMPUTED_VALUE"""),16900)</f>
        <v>16900</v>
      </c>
      <c r="G1107" s="2">
        <f ca="1">IFERROR(__xludf.DUMMYFUNCTION("""COMPUTED_VALUE"""),79)</f>
        <v>79</v>
      </c>
      <c r="H1107" s="2" t="str">
        <f ca="1">IFERROR(__xludf.DUMMYFUNCTION("""COMPUTED_VALUE"""),"4b104a69")</f>
        <v>4b104a69</v>
      </c>
      <c r="I1107" s="2" t="str">
        <f ca="1">IFERROR(__xludf.DUMMYFUNCTION("""COMPUTED_VALUE"""),"Malbec Rect")</f>
        <v>Malbec Rect</v>
      </c>
      <c r="J1107" s="2">
        <f ca="1">IFERROR(__xludf.DUMMYFUNCTION("""COMPUTED_VALUE"""),9100)</f>
        <v>9100</v>
      </c>
      <c r="K1107" s="2">
        <f ca="1">IFERROR(__xludf.DUMMYFUNCTION("""COMPUTED_VALUE"""),26000)</f>
        <v>26000</v>
      </c>
      <c r="L1107" s="2" t="str">
        <f ca="1">IFERROR(__xludf.DUMMYFUNCTION("""COMPUTED_VALUE"""),"aa2704ae")</f>
        <v>aa2704ae</v>
      </c>
      <c r="M1107" s="2" t="str">
        <f ca="1">IFERROR(__xludf.DUMMYFUNCTION("""COMPUTED_VALUE"""),"Malbec Rect")</f>
        <v>Malbec Rect</v>
      </c>
      <c r="N1107" s="2"/>
      <c r="O1107" s="2" t="str">
        <f ca="1">IFERROR(__xludf.DUMMYFUNCTION("""COMPUTED_VALUE"""),"Rectificado")</f>
        <v>Rectificado</v>
      </c>
      <c r="P1107" s="2" t="str">
        <f ca="1">IFERROR(__xludf.DUMMYFUNCTION("""COMPUTED_VALUE"""),"Rectificado")</f>
        <v>Rectificado</v>
      </c>
      <c r="Q1107" s="2" t="b">
        <f ca="1">IFERROR(__xludf.DUMMYFUNCTION("""COMPUTED_VALUE"""),TRUE)</f>
        <v>1</v>
      </c>
      <c r="R1107" s="2" t="str">
        <f ca="1">IFERROR(__xludf.DUMMYFUNCTION("""COMPUTED_VALUE"""),"Rectificado")</f>
        <v>Rectificado</v>
      </c>
      <c r="S1107" s="2"/>
      <c r="T1107" s="2"/>
      <c r="U1107" s="2" t="str">
        <f ca="1">IFERROR(__xludf.DUMMYFUNCTION("""COMPUTED_VALUE"""),"1-")</f>
        <v>1-</v>
      </c>
    </row>
    <row r="1108" spans="1:21" x14ac:dyDescent="0.25">
      <c r="A1108" s="2" t="str">
        <f ca="1">IFERROR(__xludf.DUMMYFUNCTION("""COMPUTED_VALUE"""),"d5277347")</f>
        <v>d5277347</v>
      </c>
      <c r="B1108" s="5">
        <f ca="1">IFERROR(__xludf.DUMMYFUNCTION("""COMPUTED_VALUE"""),45989.4158101851)</f>
        <v>45989.415810185099</v>
      </c>
      <c r="C1108" s="2" t="str">
        <f ca="1">IFERROR(__xludf.DUMMYFUNCTION("""COMPUTED_VALUE"""),"6831c95d")</f>
        <v>6831c95d</v>
      </c>
      <c r="D1108" s="2">
        <f ca="1">IFERROR(__xludf.DUMMYFUNCTION("""COMPUTED_VALUE"""),53)</f>
        <v>53</v>
      </c>
      <c r="E1108" s="2" t="str">
        <f ca="1">IFERROR(__xludf.DUMMYFUNCTION("""COMPUTED_VALUE"""),"Malbec Rect")</f>
        <v>Malbec Rect</v>
      </c>
      <c r="F1108" s="2">
        <f ca="1">IFERROR(__xludf.DUMMYFUNCTION("""COMPUTED_VALUE"""),2000)</f>
        <v>2000</v>
      </c>
      <c r="G1108" s="2">
        <f ca="1">IFERROR(__xludf.DUMMYFUNCTION("""COMPUTED_VALUE"""),82)</f>
        <v>82</v>
      </c>
      <c r="H1108" s="2" t="str">
        <f ca="1">IFERROR(__xludf.DUMMYFUNCTION("""COMPUTED_VALUE"""),"93a8c465")</f>
        <v>93a8c465</v>
      </c>
      <c r="I1108" s="2" t="str">
        <f ca="1">IFERROR(__xludf.DUMMYFUNCTION("""COMPUTED_VALUE"""),"Syrah")</f>
        <v>Syrah</v>
      </c>
      <c r="J1108" s="2">
        <f ca="1">IFERROR(__xludf.DUMMYFUNCTION("""COMPUTED_VALUE"""),40600)</f>
        <v>40600</v>
      </c>
      <c r="K1108" s="2">
        <f ca="1">IFERROR(__xludf.DUMMYFUNCTION("""COMPUTED_VALUE"""),42600)</f>
        <v>42600</v>
      </c>
      <c r="L1108" s="2" t="str">
        <f ca="1">IFERROR(__xludf.DUMMYFUNCTION("""COMPUTED_VALUE"""),"f3a40125")</f>
        <v>f3a40125</v>
      </c>
      <c r="M1108" s="2" t="str">
        <f ca="1">IFERROR(__xludf.DUMMYFUNCTION("""COMPUTED_VALUE"""),"Malbec Rect")</f>
        <v>Malbec Rect</v>
      </c>
      <c r="N1108" s="2"/>
      <c r="O1108" s="2" t="str">
        <f ca="1">IFERROR(__xludf.DUMMYFUNCTION("""COMPUTED_VALUE"""),"Rectificado")</f>
        <v>Rectificado</v>
      </c>
      <c r="P1108" s="2" t="str">
        <f ca="1">IFERROR(__xludf.DUMMYFUNCTION("""COMPUTED_VALUE"""),"Filtrado Tang")</f>
        <v>Filtrado Tang</v>
      </c>
      <c r="Q1108" s="2" t="b">
        <f ca="1">IFERROR(__xludf.DUMMYFUNCTION("""COMPUTED_VALUE"""),FALSE)</f>
        <v>0</v>
      </c>
      <c r="R1108" s="2" t="str">
        <f ca="1">IFERROR(__xludf.DUMMYFUNCTION("""COMPUTED_VALUE"""),"Rectificado")</f>
        <v>Rectificado</v>
      </c>
      <c r="S1108" s="2"/>
      <c r="T1108" s="2"/>
      <c r="U1108" s="2" t="str">
        <f ca="1">IFERROR(__xludf.DUMMYFUNCTION("""COMPUTED_VALUE"""),"1-")</f>
        <v>1-</v>
      </c>
    </row>
    <row r="1109" spans="1:21" x14ac:dyDescent="0.25">
      <c r="A1109" s="2" t="str">
        <f ca="1">IFERROR(__xludf.DUMMYFUNCTION("""COMPUTED_VALUE"""),"55cfcaa2")</f>
        <v>55cfcaa2</v>
      </c>
      <c r="B1109" s="5">
        <f ca="1">IFERROR(__xludf.DUMMYFUNCTION("""COMPUTED_VALUE"""),45989.417824074)</f>
        <v>45989.417824074</v>
      </c>
      <c r="C1109" s="2" t="str">
        <f ca="1">IFERROR(__xludf.DUMMYFUNCTION("""COMPUTED_VALUE"""),"6831c95d")</f>
        <v>6831c95d</v>
      </c>
      <c r="D1109" s="2">
        <f ca="1">IFERROR(__xludf.DUMMYFUNCTION("""COMPUTED_VALUE"""),53)</f>
        <v>53</v>
      </c>
      <c r="E1109" s="2" t="str">
        <f ca="1">IFERROR(__xludf.DUMMYFUNCTION("""COMPUTED_VALUE"""),"Malbec Rect")</f>
        <v>Malbec Rect</v>
      </c>
      <c r="F1109" s="2">
        <f ca="1">IFERROR(__xludf.DUMMYFUNCTION("""COMPUTED_VALUE"""),3100)</f>
        <v>3100</v>
      </c>
      <c r="G1109" s="2">
        <f ca="1">IFERROR(__xludf.DUMMYFUNCTION("""COMPUTED_VALUE"""),75)</f>
        <v>75</v>
      </c>
      <c r="H1109" s="2"/>
      <c r="I1109" s="2"/>
      <c r="J1109" s="2">
        <f ca="1">IFERROR(__xludf.DUMMYFUNCTION("""COMPUTED_VALUE"""),0)</f>
        <v>0</v>
      </c>
      <c r="K1109" s="2">
        <f ca="1">IFERROR(__xludf.DUMMYFUNCTION("""COMPUTED_VALUE"""),3100)</f>
        <v>3100</v>
      </c>
      <c r="L1109" s="2" t="str">
        <f ca="1">IFERROR(__xludf.DUMMYFUNCTION("""COMPUTED_VALUE"""),"b177a7f8")</f>
        <v>b177a7f8</v>
      </c>
      <c r="M1109" s="2" t="str">
        <f ca="1">IFERROR(__xludf.DUMMYFUNCTION("""COMPUTED_VALUE"""),"Malbec Rect")</f>
        <v>Malbec Rect</v>
      </c>
      <c r="N1109" s="2"/>
      <c r="O1109" s="2" t="str">
        <f ca="1">IFERROR(__xludf.DUMMYFUNCTION("""COMPUTED_VALUE"""),"Rectificado")</f>
        <v>Rectificado</v>
      </c>
      <c r="P1109" s="2"/>
      <c r="Q1109" s="2" t="b">
        <f ca="1">IFERROR(__xludf.DUMMYFUNCTION("""COMPUTED_VALUE"""),FALSE)</f>
        <v>0</v>
      </c>
      <c r="R1109" s="2" t="str">
        <f ca="1">IFERROR(__xludf.DUMMYFUNCTION("""COMPUTED_VALUE"""),"Rectificado")</f>
        <v>Rectificado</v>
      </c>
      <c r="S1109" s="2"/>
      <c r="T1109" s="2"/>
      <c r="U1109" s="2" t="str">
        <f ca="1">IFERROR(__xludf.DUMMYFUNCTION("""COMPUTED_VALUE"""),"1-")</f>
        <v>1-</v>
      </c>
    </row>
    <row r="1110" spans="1:21" x14ac:dyDescent="0.25">
      <c r="A1110" s="2" t="str">
        <f ca="1">IFERROR(__xludf.DUMMYFUNCTION("""COMPUTED_VALUE"""),"3f12e965")</f>
        <v>3f12e965</v>
      </c>
      <c r="B1110" s="5">
        <f ca="1">IFERROR(__xludf.DUMMYFUNCTION("""COMPUTED_VALUE"""),45989.5089236111)</f>
        <v>45989.508923611102</v>
      </c>
      <c r="C1110" s="2" t="str">
        <f ca="1">IFERROR(__xludf.DUMMYFUNCTION("""COMPUTED_VALUE"""),"57cfae09")</f>
        <v>57cfae09</v>
      </c>
      <c r="D1110" s="2">
        <f ca="1">IFERROR(__xludf.DUMMYFUNCTION("""COMPUTED_VALUE"""),52)</f>
        <v>52</v>
      </c>
      <c r="E1110" s="2" t="str">
        <f ca="1">IFERROR(__xludf.DUMMYFUNCTION("""COMPUTED_VALUE"""),"Chardonnay")</f>
        <v>Chardonnay</v>
      </c>
      <c r="F1110" s="2">
        <f ca="1">IFERROR(__xludf.DUMMYFUNCTION("""COMPUTED_VALUE"""),23000)</f>
        <v>23000</v>
      </c>
      <c r="G1110" s="2">
        <f ca="1">IFERROR(__xludf.DUMMYFUNCTION("""COMPUTED_VALUE"""),67)</f>
        <v>67</v>
      </c>
      <c r="H1110" s="2"/>
      <c r="I1110" s="2"/>
      <c r="J1110" s="2">
        <f ca="1">IFERROR(__xludf.DUMMYFUNCTION("""COMPUTED_VALUE"""),0)</f>
        <v>0</v>
      </c>
      <c r="K1110" s="2">
        <f ca="1">IFERROR(__xludf.DUMMYFUNCTION("""COMPUTED_VALUE"""),23000)</f>
        <v>23000</v>
      </c>
      <c r="L1110" s="2" t="str">
        <f ca="1">IFERROR(__xludf.DUMMYFUNCTION("""COMPUTED_VALUE"""),"15c4b406")</f>
        <v>15c4b406</v>
      </c>
      <c r="M1110" s="2" t="str">
        <f ca="1">IFERROR(__xludf.DUMMYFUNCTION("""COMPUTED_VALUE"""),"Chardonnay")</f>
        <v>Chardonnay</v>
      </c>
      <c r="N1110" s="2"/>
      <c r="O1110" s="2" t="str">
        <f ca="1">IFERROR(__xludf.DUMMYFUNCTION("""COMPUTED_VALUE"""),"2do Trasiego")</f>
        <v>2do Trasiego</v>
      </c>
      <c r="P1110" s="2"/>
      <c r="Q1110" s="2" t="b">
        <f ca="1">IFERROR(__xludf.DUMMYFUNCTION("""COMPUTED_VALUE"""),FALSE)</f>
        <v>0</v>
      </c>
      <c r="R1110" s="2" t="str">
        <f ca="1">IFERROR(__xludf.DUMMYFUNCTION("""COMPUTED_VALUE"""),"2do Trasiego")</f>
        <v>2do Trasiego</v>
      </c>
      <c r="S1110" s="2"/>
      <c r="T1110" s="2"/>
      <c r="U1110" s="2" t="str">
        <f ca="1">IFERROR(__xludf.DUMMYFUNCTION("""COMPUTED_VALUE"""),"1-")</f>
        <v>1-</v>
      </c>
    </row>
    <row r="1111" spans="1:21" x14ac:dyDescent="0.25">
      <c r="A1111" s="2" t="str">
        <f ca="1">IFERROR(__xludf.DUMMYFUNCTION("""COMPUTED_VALUE"""),"ba7bdcd5")</f>
        <v>ba7bdcd5</v>
      </c>
      <c r="B1111" s="5">
        <f ca="1">IFERROR(__xludf.DUMMYFUNCTION("""COMPUTED_VALUE"""),45989.5095833333)</f>
        <v>45989.509583333303</v>
      </c>
      <c r="C1111" s="2" t="str">
        <f ca="1">IFERROR(__xludf.DUMMYFUNCTION("""COMPUTED_VALUE"""),"57cfae09")</f>
        <v>57cfae09</v>
      </c>
      <c r="D1111" s="2">
        <f ca="1">IFERROR(__xludf.DUMMYFUNCTION("""COMPUTED_VALUE"""),52)</f>
        <v>52</v>
      </c>
      <c r="E1111" s="2" t="str">
        <f ca="1">IFERROR(__xludf.DUMMYFUNCTION("""COMPUTED_VALUE"""),"Chardonnay")</f>
        <v>Chardonnay</v>
      </c>
      <c r="F1111" s="2">
        <f ca="1">IFERROR(__xludf.DUMMYFUNCTION("""COMPUTED_VALUE"""),2000)</f>
        <v>2000</v>
      </c>
      <c r="G1111" s="2">
        <f ca="1">IFERROR(__xludf.DUMMYFUNCTION("""COMPUTED_VALUE"""),500)</f>
        <v>500</v>
      </c>
      <c r="H1111" s="2"/>
      <c r="I1111" s="2"/>
      <c r="J1111" s="2">
        <f ca="1">IFERROR(__xludf.DUMMYFUNCTION("""COMPUTED_VALUE"""),0)</f>
        <v>0</v>
      </c>
      <c r="K1111" s="2">
        <f ca="1">IFERROR(__xludf.DUMMYFUNCTION("""COMPUTED_VALUE"""),2000)</f>
        <v>2000</v>
      </c>
      <c r="L1111" s="2" t="str">
        <f ca="1">IFERROR(__xludf.DUMMYFUNCTION("""COMPUTED_VALUE"""),"5931c7b9")</f>
        <v>5931c7b9</v>
      </c>
      <c r="M1111" s="2" t="str">
        <f ca="1">IFERROR(__xludf.DUMMYFUNCTION("""COMPUTED_VALUE"""),"Chardonnay Fraccionamiento Brasil")</f>
        <v>Chardonnay Fraccionamiento Brasil</v>
      </c>
      <c r="N1111" s="2"/>
      <c r="O1111" s="2" t="str">
        <f ca="1">IFERROR(__xludf.DUMMYFUNCTION("""COMPUTED_VALUE"""),"2do Trasiego")</f>
        <v>2do Trasiego</v>
      </c>
      <c r="P1111" s="2"/>
      <c r="Q1111" s="2" t="b">
        <f ca="1">IFERROR(__xludf.DUMMYFUNCTION("""COMPUTED_VALUE"""),FALSE)</f>
        <v>0</v>
      </c>
      <c r="R1111" s="2" t="str">
        <f ca="1">IFERROR(__xludf.DUMMYFUNCTION("""COMPUTED_VALUE"""),"Traslado Venta")</f>
        <v>Traslado Venta</v>
      </c>
      <c r="S1111" s="2"/>
      <c r="T1111" s="2"/>
      <c r="U1111" s="2" t="str">
        <f ca="1">IFERROR(__xludf.DUMMYFUNCTION("""COMPUTED_VALUE"""),"1-")</f>
        <v>1-</v>
      </c>
    </row>
    <row r="1112" spans="1:21" x14ac:dyDescent="0.25">
      <c r="A1112" s="2" t="str">
        <f ca="1">IFERROR(__xludf.DUMMYFUNCTION("""COMPUTED_VALUE"""),"80159ff9")</f>
        <v>80159ff9</v>
      </c>
      <c r="B1112" s="5">
        <f ca="1">IFERROR(__xludf.DUMMYFUNCTION("""COMPUTED_VALUE"""),45989.5103125)</f>
        <v>45989.510312500002</v>
      </c>
      <c r="C1112" s="2" t="str">
        <f ca="1">IFERROR(__xludf.DUMMYFUNCTION("""COMPUTED_VALUE"""),"57cfae09")</f>
        <v>57cfae09</v>
      </c>
      <c r="D1112" s="2">
        <f ca="1">IFERROR(__xludf.DUMMYFUNCTION("""COMPUTED_VALUE"""),52)</f>
        <v>52</v>
      </c>
      <c r="E1112" s="2" t="str">
        <f ca="1">IFERROR(__xludf.DUMMYFUNCTION("""COMPUTED_VALUE"""),"Chardonnay")</f>
        <v>Chardonnay</v>
      </c>
      <c r="F1112" s="2">
        <f ca="1">IFERROR(__xludf.DUMMYFUNCTION("""COMPUTED_VALUE"""),2000)</f>
        <v>2000</v>
      </c>
      <c r="G1112" s="2">
        <f ca="1">IFERROR(__xludf.DUMMYFUNCTION("""COMPUTED_VALUE"""),75)</f>
        <v>75</v>
      </c>
      <c r="H1112" s="2" t="str">
        <f ca="1">IFERROR(__xludf.DUMMYFUNCTION("""COMPUTED_VALUE"""),"b177a7f8")</f>
        <v>b177a7f8</v>
      </c>
      <c r="I1112" s="2" t="str">
        <f ca="1">IFERROR(__xludf.DUMMYFUNCTION("""COMPUTED_VALUE"""),"Malbec Rect")</f>
        <v>Malbec Rect</v>
      </c>
      <c r="J1112" s="2">
        <f ca="1">IFERROR(__xludf.DUMMYFUNCTION("""COMPUTED_VALUE"""),3100)</f>
        <v>3100</v>
      </c>
      <c r="K1112" s="2">
        <f ca="1">IFERROR(__xludf.DUMMYFUNCTION("""COMPUTED_VALUE"""),5100)</f>
        <v>5100</v>
      </c>
      <c r="L1112" s="2" t="str">
        <f ca="1">IFERROR(__xludf.DUMMYFUNCTION("""COMPUTED_VALUE"""),"6b68acc1")</f>
        <v>6b68acc1</v>
      </c>
      <c r="M1112" s="2" t="str">
        <f ca="1">IFERROR(__xludf.DUMMYFUNCTION("""COMPUTED_VALUE"""),"Malbec Rect")</f>
        <v>Malbec Rect</v>
      </c>
      <c r="N1112" s="2"/>
      <c r="O1112" s="2" t="str">
        <f ca="1">IFERROR(__xludf.DUMMYFUNCTION("""COMPUTED_VALUE"""),"2do Trasiego")</f>
        <v>2do Trasiego</v>
      </c>
      <c r="P1112" s="2" t="str">
        <f ca="1">IFERROR(__xludf.DUMMYFUNCTION("""COMPUTED_VALUE"""),"Rectificado")</f>
        <v>Rectificado</v>
      </c>
      <c r="Q1112" s="2" t="b">
        <f ca="1">IFERROR(__xludf.DUMMYFUNCTION("""COMPUTED_VALUE"""),TRUE)</f>
        <v>1</v>
      </c>
      <c r="R1112" s="2" t="str">
        <f ca="1">IFERROR(__xludf.DUMMYFUNCTION("""COMPUTED_VALUE"""),"Rectificado")</f>
        <v>Rectificado</v>
      </c>
      <c r="S1112" s="2"/>
      <c r="T1112" s="2"/>
      <c r="U1112" s="2" t="str">
        <f ca="1">IFERROR(__xludf.DUMMYFUNCTION("""COMPUTED_VALUE"""),"1-")</f>
        <v>1-</v>
      </c>
    </row>
    <row r="1113" spans="1:21" x14ac:dyDescent="0.25">
      <c r="A1113" s="2" t="str">
        <f ca="1">IFERROR(__xludf.DUMMYFUNCTION("""COMPUTED_VALUE"""),"4e991c99")</f>
        <v>4e991c99</v>
      </c>
      <c r="B1113" s="5">
        <f ca="1">IFERROR(__xludf.DUMMYFUNCTION("""COMPUTED_VALUE"""),45994.6932407407)</f>
        <v>45994.6932407407</v>
      </c>
      <c r="C1113" s="2" t="str">
        <f ca="1">IFERROR(__xludf.DUMMYFUNCTION("""COMPUTED_VALUE"""),"4ecb7cfe")</f>
        <v>4ecb7cfe</v>
      </c>
      <c r="D1113" s="2">
        <f ca="1">IFERROR(__xludf.DUMMYFUNCTION("""COMPUTED_VALUE"""),87)</f>
        <v>87</v>
      </c>
      <c r="E1113" s="2" t="str">
        <f ca="1">IFERROR(__xludf.DUMMYFUNCTION("""COMPUTED_VALUE"""),"Syrah")</f>
        <v>Syrah</v>
      </c>
      <c r="F1113" s="2">
        <f ca="1">IFERROR(__xludf.DUMMYFUNCTION("""COMPUTED_VALUE"""),85600)</f>
        <v>85600</v>
      </c>
      <c r="G1113" s="2">
        <f ca="1">IFERROR(__xludf.DUMMYFUNCTION("""COMPUTED_VALUE"""),96)</f>
        <v>96</v>
      </c>
      <c r="H1113" s="2"/>
      <c r="I1113" s="2"/>
      <c r="J1113" s="2">
        <f ca="1">IFERROR(__xludf.DUMMYFUNCTION("""COMPUTED_VALUE"""),0)</f>
        <v>0</v>
      </c>
      <c r="K1113" s="2">
        <f ca="1">IFERROR(__xludf.DUMMYFUNCTION("""COMPUTED_VALUE"""),85600)</f>
        <v>85600</v>
      </c>
      <c r="L1113" s="2" t="str">
        <f ca="1">IFERROR(__xludf.DUMMYFUNCTION("""COMPUTED_VALUE"""),"5eb0ebea")</f>
        <v>5eb0ebea</v>
      </c>
      <c r="M1113" s="2" t="str">
        <f ca="1">IFERROR(__xludf.DUMMYFUNCTION("""COMPUTED_VALUE"""),"Syrah")</f>
        <v>Syrah</v>
      </c>
      <c r="N1113" s="2"/>
      <c r="O1113" s="2" t="str">
        <f ca="1">IFERROR(__xludf.DUMMYFUNCTION("""COMPUTED_VALUE"""),"Filtrado Tang")</f>
        <v>Filtrado Tang</v>
      </c>
      <c r="P1113" s="2"/>
      <c r="Q1113" s="2" t="b">
        <f ca="1">IFERROR(__xludf.DUMMYFUNCTION("""COMPUTED_VALUE"""),FALSE)</f>
        <v>0</v>
      </c>
      <c r="R1113" s="2" t="str">
        <f ca="1">IFERROR(__xludf.DUMMYFUNCTION("""COMPUTED_VALUE"""),"Filtrado Tang")</f>
        <v>Filtrado Tang</v>
      </c>
      <c r="S1113" s="2"/>
      <c r="T1113" s="2"/>
      <c r="U1113" s="2" t="str">
        <f ca="1">IFERROR(__xludf.DUMMYFUNCTION("""COMPUTED_VALUE"""),"1")</f>
        <v>1</v>
      </c>
    </row>
    <row r="1114" spans="1:21" x14ac:dyDescent="0.25">
      <c r="A1114" s="2" t="str">
        <f ca="1">IFERROR(__xludf.DUMMYFUNCTION("""COMPUTED_VALUE"""),"60d574eb")</f>
        <v>60d574eb</v>
      </c>
      <c r="B1114" s="5">
        <f ca="1">IFERROR(__xludf.DUMMYFUNCTION("""COMPUTED_VALUE"""),45994.6934953703)</f>
        <v>45994.693495370302</v>
      </c>
      <c r="C1114" s="2" t="str">
        <f ca="1">IFERROR(__xludf.DUMMYFUNCTION("""COMPUTED_VALUE"""),"4ecb7cfe")</f>
        <v>4ecb7cfe</v>
      </c>
      <c r="D1114" s="2">
        <f ca="1">IFERROR(__xludf.DUMMYFUNCTION("""COMPUTED_VALUE"""),87)</f>
        <v>87</v>
      </c>
      <c r="E1114" s="2" t="str">
        <f ca="1">IFERROR(__xludf.DUMMYFUNCTION("""COMPUTED_VALUE"""),"Syrah")</f>
        <v>Syrah</v>
      </c>
      <c r="F1114" s="2">
        <f ca="1">IFERROR(__xludf.DUMMYFUNCTION("""COMPUTED_VALUE"""),8100)</f>
        <v>8100</v>
      </c>
      <c r="G1114" s="2">
        <f ca="1">IFERROR(__xludf.DUMMYFUNCTION("""COMPUTED_VALUE"""),94)</f>
        <v>94</v>
      </c>
      <c r="H1114" s="2"/>
      <c r="I1114" s="2"/>
      <c r="J1114" s="2">
        <f ca="1">IFERROR(__xludf.DUMMYFUNCTION("""COMPUTED_VALUE"""),0)</f>
        <v>0</v>
      </c>
      <c r="K1114" s="2">
        <f ca="1">IFERROR(__xludf.DUMMYFUNCTION("""COMPUTED_VALUE"""),8100)</f>
        <v>8100</v>
      </c>
      <c r="L1114" s="2" t="str">
        <f ca="1">IFERROR(__xludf.DUMMYFUNCTION("""COMPUTED_VALUE"""),"8f02ff60")</f>
        <v>8f02ff60</v>
      </c>
      <c r="M1114" s="2" t="str">
        <f ca="1">IFERROR(__xludf.DUMMYFUNCTION("""COMPUTED_VALUE"""),"Syrah")</f>
        <v>Syrah</v>
      </c>
      <c r="N1114" s="2"/>
      <c r="O1114" s="2" t="str">
        <f ca="1">IFERROR(__xludf.DUMMYFUNCTION("""COMPUTED_VALUE"""),"Filtrado Tang")</f>
        <v>Filtrado Tang</v>
      </c>
      <c r="P1114" s="2"/>
      <c r="Q1114" s="2" t="b">
        <f ca="1">IFERROR(__xludf.DUMMYFUNCTION("""COMPUTED_VALUE"""),FALSE)</f>
        <v>0</v>
      </c>
      <c r="R1114" s="2" t="str">
        <f ca="1">IFERROR(__xludf.DUMMYFUNCTION("""COMPUTED_VALUE"""),"Filtrado Tang")</f>
        <v>Filtrado Tang</v>
      </c>
      <c r="S1114" s="2"/>
      <c r="T1114" s="2"/>
      <c r="U1114" s="2" t="str">
        <f ca="1">IFERROR(__xludf.DUMMYFUNCTION("""COMPUTED_VALUE"""),"1")</f>
        <v>1</v>
      </c>
    </row>
    <row r="1115" spans="1:21" x14ac:dyDescent="0.25">
      <c r="A1115" s="2" t="str">
        <f ca="1">IFERROR(__xludf.DUMMYFUNCTION("""COMPUTED_VALUE"""),"fae80bfc")</f>
        <v>fae80bfc</v>
      </c>
      <c r="B1115" s="5">
        <f ca="1">IFERROR(__xludf.DUMMYFUNCTION("""COMPUTED_VALUE"""),45994.6937731481)</f>
        <v>45994.693773148101</v>
      </c>
      <c r="C1115" s="2" t="str">
        <f ca="1">IFERROR(__xludf.DUMMYFUNCTION("""COMPUTED_VALUE"""),"bf1abf21")</f>
        <v>bf1abf21</v>
      </c>
      <c r="D1115" s="2">
        <f ca="1">IFERROR(__xludf.DUMMYFUNCTION("""COMPUTED_VALUE"""),116)</f>
        <v>116</v>
      </c>
      <c r="E1115" s="2" t="str">
        <f ca="1">IFERROR(__xludf.DUMMYFUNCTION("""COMPUTED_VALUE"""),"Malbec")</f>
        <v>Malbec</v>
      </c>
      <c r="F1115" s="2">
        <f ca="1">IFERROR(__xludf.DUMMYFUNCTION("""COMPUTED_VALUE"""),97500)</f>
        <v>97500</v>
      </c>
      <c r="G1115" s="2">
        <f ca="1">IFERROR(__xludf.DUMMYFUNCTION("""COMPUTED_VALUE"""),90)</f>
        <v>90</v>
      </c>
      <c r="H1115" s="2"/>
      <c r="I1115" s="2"/>
      <c r="J1115" s="2">
        <f ca="1">IFERROR(__xludf.DUMMYFUNCTION("""COMPUTED_VALUE"""),0)</f>
        <v>0</v>
      </c>
      <c r="K1115" s="2">
        <f ca="1">IFERROR(__xludf.DUMMYFUNCTION("""COMPUTED_VALUE"""),97500)</f>
        <v>97500</v>
      </c>
      <c r="L1115" s="2" t="str">
        <f ca="1">IFERROR(__xludf.DUMMYFUNCTION("""COMPUTED_VALUE"""),"974d59a2")</f>
        <v>974d59a2</v>
      </c>
      <c r="M1115" s="2" t="str">
        <f ca="1">IFERROR(__xludf.DUMMYFUNCTION("""COMPUTED_VALUE"""),"Malbec")</f>
        <v>Malbec</v>
      </c>
      <c r="N1115" s="2"/>
      <c r="O1115" s="2" t="str">
        <f ca="1">IFERROR(__xludf.DUMMYFUNCTION("""COMPUTED_VALUE"""),"Filtrado Tang")</f>
        <v>Filtrado Tang</v>
      </c>
      <c r="P1115" s="2"/>
      <c r="Q1115" s="2" t="b">
        <f ca="1">IFERROR(__xludf.DUMMYFUNCTION("""COMPUTED_VALUE"""),FALSE)</f>
        <v>0</v>
      </c>
      <c r="R1115" s="2" t="str">
        <f ca="1">IFERROR(__xludf.DUMMYFUNCTION("""COMPUTED_VALUE"""),"Filtrado Tang")</f>
        <v>Filtrado Tang</v>
      </c>
      <c r="S1115" s="2"/>
      <c r="T1115" s="2"/>
      <c r="U1115" s="2" t="str">
        <f ca="1">IFERROR(__xludf.DUMMYFUNCTION("""COMPUTED_VALUE"""),"1")</f>
        <v>1</v>
      </c>
    </row>
    <row r="1116" spans="1:21" x14ac:dyDescent="0.25">
      <c r="A1116" s="2" t="str">
        <f ca="1">IFERROR(__xludf.DUMMYFUNCTION("""COMPUTED_VALUE"""),"fb99da20")</f>
        <v>fb99da20</v>
      </c>
      <c r="B1116" s="5">
        <f ca="1">IFERROR(__xludf.DUMMYFUNCTION("""COMPUTED_VALUE"""),45994.6942129629)</f>
        <v>45994.694212962902</v>
      </c>
      <c r="C1116" s="2" t="str">
        <f ca="1">IFERROR(__xludf.DUMMYFUNCTION("""COMPUTED_VALUE"""),"bf1abf21")</f>
        <v>bf1abf21</v>
      </c>
      <c r="D1116" s="2">
        <f ca="1">IFERROR(__xludf.DUMMYFUNCTION("""COMPUTED_VALUE"""),116)</f>
        <v>116</v>
      </c>
      <c r="E1116" s="2" t="str">
        <f ca="1">IFERROR(__xludf.DUMMYFUNCTION("""COMPUTED_VALUE"""),"Malbec")</f>
        <v>Malbec</v>
      </c>
      <c r="F1116" s="2">
        <f ca="1">IFERROR(__xludf.DUMMYFUNCTION("""COMPUTED_VALUE"""),2100)</f>
        <v>2100</v>
      </c>
      <c r="G1116" s="2">
        <f ca="1">IFERROR(__xludf.DUMMYFUNCTION("""COMPUTED_VALUE"""),94)</f>
        <v>94</v>
      </c>
      <c r="H1116" s="2" t="str">
        <f ca="1">IFERROR(__xludf.DUMMYFUNCTION("""COMPUTED_VALUE"""),"8f02ff60")</f>
        <v>8f02ff60</v>
      </c>
      <c r="I1116" s="2" t="str">
        <f ca="1">IFERROR(__xludf.DUMMYFUNCTION("""COMPUTED_VALUE"""),"Syrah")</f>
        <v>Syrah</v>
      </c>
      <c r="J1116" s="2">
        <f ca="1">IFERROR(__xludf.DUMMYFUNCTION("""COMPUTED_VALUE"""),8100)</f>
        <v>8100</v>
      </c>
      <c r="K1116" s="2">
        <f ca="1">IFERROR(__xludf.DUMMYFUNCTION("""COMPUTED_VALUE"""),10200)</f>
        <v>10200</v>
      </c>
      <c r="L1116" s="2" t="str">
        <f ca="1">IFERROR(__xludf.DUMMYFUNCTION("""COMPUTED_VALUE"""),"7da5825a")</f>
        <v>7da5825a</v>
      </c>
      <c r="M1116" s="2" t="str">
        <f ca="1">IFERROR(__xludf.DUMMYFUNCTION("""COMPUTED_VALUE"""),"Malbec")</f>
        <v>Malbec</v>
      </c>
      <c r="N1116" s="2"/>
      <c r="O1116" s="2" t="str">
        <f ca="1">IFERROR(__xludf.DUMMYFUNCTION("""COMPUTED_VALUE"""),"Filtrado Tang")</f>
        <v>Filtrado Tang</v>
      </c>
      <c r="P1116" s="2" t="str">
        <f ca="1">IFERROR(__xludf.DUMMYFUNCTION("""COMPUTED_VALUE"""),"Filtrado Tang")</f>
        <v>Filtrado Tang</v>
      </c>
      <c r="Q1116" s="2" t="b">
        <f ca="1">IFERROR(__xludf.DUMMYFUNCTION("""COMPUTED_VALUE"""),FALSE)</f>
        <v>0</v>
      </c>
      <c r="R1116" s="2" t="str">
        <f ca="1">IFERROR(__xludf.DUMMYFUNCTION("""COMPUTED_VALUE"""),"Filtrado Tang")</f>
        <v>Filtrado Tang</v>
      </c>
      <c r="S1116" s="2"/>
      <c r="T1116" s="2"/>
      <c r="U1116" s="2" t="str">
        <f ca="1">IFERROR(__xludf.DUMMYFUNCTION("""COMPUTED_VALUE"""),"1")</f>
        <v>1</v>
      </c>
    </row>
    <row r="1117" spans="1:21" x14ac:dyDescent="0.25">
      <c r="A1117" s="2" t="str">
        <f ca="1">IFERROR(__xludf.DUMMYFUNCTION("""COMPUTED_VALUE"""),"341fc28e")</f>
        <v>341fc28e</v>
      </c>
      <c r="B1117" s="5">
        <f ca="1">IFERROR(__xludf.DUMMYFUNCTION("""COMPUTED_VALUE"""),45994.6946180555)</f>
        <v>45994.694618055502</v>
      </c>
      <c r="C1117" s="2" t="str">
        <f ca="1">IFERROR(__xludf.DUMMYFUNCTION("""COMPUTED_VALUE"""),"ffcf4de6")</f>
        <v>ffcf4de6</v>
      </c>
      <c r="D1117" s="2">
        <f ca="1">IFERROR(__xludf.DUMMYFUNCTION("""COMPUTED_VALUE"""),50)</f>
        <v>50</v>
      </c>
      <c r="E1117" s="2" t="str">
        <f ca="1">IFERROR(__xludf.DUMMYFUNCTION("""COMPUTED_VALUE"""),"Aspirant 24")</f>
        <v>Aspirant 24</v>
      </c>
      <c r="F1117" s="2">
        <f ca="1">IFERROR(__xludf.DUMMYFUNCTION("""COMPUTED_VALUE"""),5100)</f>
        <v>5100</v>
      </c>
      <c r="G1117" s="2">
        <f ca="1">IFERROR(__xludf.DUMMYFUNCTION("""COMPUTED_VALUE"""),8)</f>
        <v>8</v>
      </c>
      <c r="H1117" s="2"/>
      <c r="I1117" s="2"/>
      <c r="J1117" s="2">
        <f ca="1">IFERROR(__xludf.DUMMYFUNCTION("""COMPUTED_VALUE"""),0)</f>
        <v>0</v>
      </c>
      <c r="K1117" s="2">
        <f ca="1">IFERROR(__xludf.DUMMYFUNCTION("""COMPUTED_VALUE"""),5100)</f>
        <v>5100</v>
      </c>
      <c r="L1117" s="2" t="str">
        <f ca="1">IFERROR(__xludf.DUMMYFUNCTION("""COMPUTED_VALUE"""),"ab285986")</f>
        <v>ab285986</v>
      </c>
      <c r="M1117" s="2" t="str">
        <f ca="1">IFERROR(__xludf.DUMMYFUNCTION("""COMPUTED_VALUE"""),"Aspirant Rect")</f>
        <v>Aspirant Rect</v>
      </c>
      <c r="N1117" s="2"/>
      <c r="O1117" s="2" t="str">
        <f ca="1">IFERROR(__xludf.DUMMYFUNCTION("""COMPUTED_VALUE"""),"Filtrado Tang")</f>
        <v>Filtrado Tang</v>
      </c>
      <c r="P1117" s="2"/>
      <c r="Q1117" s="2" t="b">
        <f ca="1">IFERROR(__xludf.DUMMYFUNCTION("""COMPUTED_VALUE"""),FALSE)</f>
        <v>0</v>
      </c>
      <c r="R1117" s="2" t="str">
        <f ca="1">IFERROR(__xludf.DUMMYFUNCTION("""COMPUTED_VALUE"""),"Rectificado")</f>
        <v>Rectificado</v>
      </c>
      <c r="S1117" s="2"/>
      <c r="T1117" s="2"/>
      <c r="U1117" s="2" t="str">
        <f ca="1">IFERROR(__xludf.DUMMYFUNCTION("""COMPUTED_VALUE"""),"2+")</f>
        <v>2+</v>
      </c>
    </row>
    <row r="1118" spans="1:21" x14ac:dyDescent="0.25">
      <c r="A1118" s="2" t="str">
        <f ca="1">IFERROR(__xludf.DUMMYFUNCTION("""COMPUTED_VALUE"""),"2415a384")</f>
        <v>2415a384</v>
      </c>
      <c r="B1118" s="5">
        <f ca="1">IFERROR(__xludf.DUMMYFUNCTION("""COMPUTED_VALUE"""),45994.6950578703)</f>
        <v>45994.695057870304</v>
      </c>
      <c r="C1118" s="2" t="str">
        <f ca="1">IFERROR(__xludf.DUMMYFUNCTION("""COMPUTED_VALUE"""),"80e8c28e")</f>
        <v>80e8c28e</v>
      </c>
      <c r="D1118" s="2">
        <f ca="1">IFERROR(__xludf.DUMMYFUNCTION("""COMPUTED_VALUE"""),51)</f>
        <v>51</v>
      </c>
      <c r="E1118" s="2" t="str">
        <f ca="1">IFERROR(__xludf.DUMMYFUNCTION("""COMPUTED_VALUE"""),"Aspirant 24")</f>
        <v>Aspirant 24</v>
      </c>
      <c r="F1118" s="2">
        <f ca="1">IFERROR(__xludf.DUMMYFUNCTION("""COMPUTED_VALUE"""),3900)</f>
        <v>3900</v>
      </c>
      <c r="G1118" s="2">
        <f ca="1">IFERROR(__xludf.DUMMYFUNCTION("""COMPUTED_VALUE"""),8)</f>
        <v>8</v>
      </c>
      <c r="H1118" s="2" t="str">
        <f ca="1">IFERROR(__xludf.DUMMYFUNCTION("""COMPUTED_VALUE"""),"ab285986")</f>
        <v>ab285986</v>
      </c>
      <c r="I1118" s="2" t="str">
        <f ca="1">IFERROR(__xludf.DUMMYFUNCTION("""COMPUTED_VALUE"""),"Aspirant Rect")</f>
        <v>Aspirant Rect</v>
      </c>
      <c r="J1118" s="2">
        <f ca="1">IFERROR(__xludf.DUMMYFUNCTION("""COMPUTED_VALUE"""),5100)</f>
        <v>5100</v>
      </c>
      <c r="K1118" s="2">
        <f ca="1">IFERROR(__xludf.DUMMYFUNCTION("""COMPUTED_VALUE"""),9000)</f>
        <v>9000</v>
      </c>
      <c r="L1118" s="2" t="str">
        <f ca="1">IFERROR(__xludf.DUMMYFUNCTION("""COMPUTED_VALUE"""),"ba739393")</f>
        <v>ba739393</v>
      </c>
      <c r="M1118" s="2" t="str">
        <f ca="1">IFERROR(__xludf.DUMMYFUNCTION("""COMPUTED_VALUE"""),"Aspirant Rect")</f>
        <v>Aspirant Rect</v>
      </c>
      <c r="N1118" s="2"/>
      <c r="O1118" s="2" t="str">
        <f ca="1">IFERROR(__xludf.DUMMYFUNCTION("""COMPUTED_VALUE"""),"Filtrado Tang")</f>
        <v>Filtrado Tang</v>
      </c>
      <c r="P1118" s="2" t="str">
        <f ca="1">IFERROR(__xludf.DUMMYFUNCTION("""COMPUTED_VALUE"""),"Rectificado")</f>
        <v>Rectificado</v>
      </c>
      <c r="Q1118" s="2" t="b">
        <f ca="1">IFERROR(__xludf.DUMMYFUNCTION("""COMPUTED_VALUE"""),TRUE)</f>
        <v>1</v>
      </c>
      <c r="R1118" s="2" t="str">
        <f ca="1">IFERROR(__xludf.DUMMYFUNCTION("""COMPUTED_VALUE"""),"Rectificado")</f>
        <v>Rectificado</v>
      </c>
      <c r="S1118" s="2"/>
      <c r="T1118" s="2"/>
      <c r="U1118" s="2" t="str">
        <f ca="1">IFERROR(__xludf.DUMMYFUNCTION("""COMPUTED_VALUE"""),"2+")</f>
        <v>2+</v>
      </c>
    </row>
    <row r="1119" spans="1:21" x14ac:dyDescent="0.25">
      <c r="A1119" s="2" t="str">
        <f ca="1">IFERROR(__xludf.DUMMYFUNCTION("""COMPUTED_VALUE"""),"fcc0921c")</f>
        <v>fcc0921c</v>
      </c>
      <c r="B1119" s="5">
        <f ca="1">IFERROR(__xludf.DUMMYFUNCTION("""COMPUTED_VALUE"""),45994.6953472222)</f>
        <v>45994.695347222201</v>
      </c>
      <c r="C1119" s="2" t="str">
        <f ca="1">IFERROR(__xludf.DUMMYFUNCTION("""COMPUTED_VALUE"""),"6b68acc1")</f>
        <v>6b68acc1</v>
      </c>
      <c r="D1119" s="2">
        <f ca="1">IFERROR(__xludf.DUMMYFUNCTION("""COMPUTED_VALUE"""),75)</f>
        <v>75</v>
      </c>
      <c r="E1119" s="2" t="str">
        <f ca="1">IFERROR(__xludf.DUMMYFUNCTION("""COMPUTED_VALUE"""),"Malbec Rect")</f>
        <v>Malbec Rect</v>
      </c>
      <c r="F1119" s="2">
        <f ca="1">IFERROR(__xludf.DUMMYFUNCTION("""COMPUTED_VALUE"""),5100)</f>
        <v>5100</v>
      </c>
      <c r="G1119" s="2">
        <f ca="1">IFERROR(__xludf.DUMMYFUNCTION("""COMPUTED_VALUE"""),8)</f>
        <v>8</v>
      </c>
      <c r="H1119" s="2" t="str">
        <f ca="1">IFERROR(__xludf.DUMMYFUNCTION("""COMPUTED_VALUE"""),"ba739393")</f>
        <v>ba739393</v>
      </c>
      <c r="I1119" s="2" t="str">
        <f ca="1">IFERROR(__xludf.DUMMYFUNCTION("""COMPUTED_VALUE"""),"Aspirant Rect")</f>
        <v>Aspirant Rect</v>
      </c>
      <c r="J1119" s="2">
        <f ca="1">IFERROR(__xludf.DUMMYFUNCTION("""COMPUTED_VALUE"""),9000)</f>
        <v>9000</v>
      </c>
      <c r="K1119" s="2">
        <f ca="1">IFERROR(__xludf.DUMMYFUNCTION("""COMPUTED_VALUE"""),14100)</f>
        <v>14100</v>
      </c>
      <c r="L1119" s="2" t="str">
        <f ca="1">IFERROR(__xludf.DUMMYFUNCTION("""COMPUTED_VALUE"""),"6f9ccf13")</f>
        <v>6f9ccf13</v>
      </c>
      <c r="M1119" s="2" t="str">
        <f ca="1">IFERROR(__xludf.DUMMYFUNCTION("""COMPUTED_VALUE"""),"Aspirant  Malbec Rect")</f>
        <v>Aspirant  Malbec Rect</v>
      </c>
      <c r="N1119" s="2"/>
      <c r="O1119" s="2" t="str">
        <f ca="1">IFERROR(__xludf.DUMMYFUNCTION("""COMPUTED_VALUE"""),"Rectificado")</f>
        <v>Rectificado</v>
      </c>
      <c r="P1119" s="2" t="str">
        <f ca="1">IFERROR(__xludf.DUMMYFUNCTION("""COMPUTED_VALUE"""),"Rectificado")</f>
        <v>Rectificado</v>
      </c>
      <c r="Q1119" s="2" t="b">
        <f ca="1">IFERROR(__xludf.DUMMYFUNCTION("""COMPUTED_VALUE"""),TRUE)</f>
        <v>1</v>
      </c>
      <c r="R1119" s="2" t="str">
        <f ca="1">IFERROR(__xludf.DUMMYFUNCTION("""COMPUTED_VALUE"""),"Rectificado")</f>
        <v>Rectificado</v>
      </c>
      <c r="S1119" s="2"/>
      <c r="T1119" s="2"/>
      <c r="U1119" s="2" t="str">
        <f ca="1">IFERROR(__xludf.DUMMYFUNCTION("""COMPUTED_VALUE"""),"2+")</f>
        <v>2+</v>
      </c>
    </row>
    <row r="1120" spans="1:21" x14ac:dyDescent="0.25">
      <c r="A1120" s="2" t="str">
        <f ca="1">IFERROR(__xludf.DUMMYFUNCTION("""COMPUTED_VALUE"""),"57cb1fd9")</f>
        <v>57cb1fd9</v>
      </c>
      <c r="B1120" s="5">
        <f ca="1">IFERROR(__xludf.DUMMYFUNCTION("""COMPUTED_VALUE"""),46003.7109606481)</f>
        <v>46003.710960648103</v>
      </c>
      <c r="C1120" s="2" t="str">
        <f ca="1">IFERROR(__xludf.DUMMYFUNCTION("""COMPUTED_VALUE"""),"6f9ccf13")</f>
        <v>6f9ccf13</v>
      </c>
      <c r="D1120" s="2">
        <f ca="1">IFERROR(__xludf.DUMMYFUNCTION("""COMPUTED_VALUE"""),8)</f>
        <v>8</v>
      </c>
      <c r="E1120" s="2" t="str">
        <f ca="1">IFERROR(__xludf.DUMMYFUNCTION("""COMPUTED_VALUE"""),"Aspirant  Malbec Rect")</f>
        <v>Aspirant  Malbec Rect</v>
      </c>
      <c r="F1120" s="2">
        <f ca="1">IFERROR(__xludf.DUMMYFUNCTION("""COMPUTED_VALUE"""),13000)</f>
        <v>13000</v>
      </c>
      <c r="G1120" s="2">
        <f ca="1">IFERROR(__xludf.DUMMYFUNCTION("""COMPUTED_VALUE"""),68)</f>
        <v>68</v>
      </c>
      <c r="H1120" s="2"/>
      <c r="I1120" s="2"/>
      <c r="J1120" s="2">
        <f ca="1">IFERROR(__xludf.DUMMYFUNCTION("""COMPUTED_VALUE"""),0)</f>
        <v>0</v>
      </c>
      <c r="K1120" s="2">
        <f ca="1">IFERROR(__xludf.DUMMYFUNCTION("""COMPUTED_VALUE"""),13000)</f>
        <v>13000</v>
      </c>
      <c r="L1120" s="2" t="str">
        <f ca="1">IFERROR(__xludf.DUMMYFUNCTION("""COMPUTED_VALUE"""),"af8d0a82")</f>
        <v>af8d0a82</v>
      </c>
      <c r="M1120" s="2" t="str">
        <f ca="1">IFERROR(__xludf.DUMMYFUNCTION("""COMPUTED_VALUE"""),"Aspirant  Malbec Rect")</f>
        <v>Aspirant  Malbec Rect</v>
      </c>
      <c r="N1120" s="2"/>
      <c r="O1120" s="2" t="str">
        <f ca="1">IFERROR(__xludf.DUMMYFUNCTION("""COMPUTED_VALUE"""),"Rectificado")</f>
        <v>Rectificado</v>
      </c>
      <c r="P1120" s="2"/>
      <c r="Q1120" s="2" t="b">
        <f ca="1">IFERROR(__xludf.DUMMYFUNCTION("""COMPUTED_VALUE"""),FALSE)</f>
        <v>0</v>
      </c>
      <c r="R1120" s="2" t="str">
        <f ca="1">IFERROR(__xludf.DUMMYFUNCTION("""COMPUTED_VALUE"""),"Rectificado")</f>
        <v>Rectificado</v>
      </c>
      <c r="S1120" s="2"/>
      <c r="T1120" s="2"/>
      <c r="U1120" s="2" t="str">
        <f ca="1">IFERROR(__xludf.DUMMYFUNCTION("""COMPUTED_VALUE"""),"2+")</f>
        <v>2+</v>
      </c>
    </row>
    <row r="1121" spans="1:21" x14ac:dyDescent="0.25">
      <c r="A1121" s="2" t="str">
        <f ca="1">IFERROR(__xludf.DUMMYFUNCTION("""COMPUTED_VALUE"""),"c6982128")</f>
        <v>c6982128</v>
      </c>
      <c r="B1121" s="5">
        <f ca="1">IFERROR(__xludf.DUMMYFUNCTION("""COMPUTED_VALUE"""),46003.7112847222)</f>
        <v>46003.711284722202</v>
      </c>
      <c r="C1121" s="2" t="str">
        <f ca="1">IFERROR(__xludf.DUMMYFUNCTION("""COMPUTED_VALUE"""),"6f9ccf13")</f>
        <v>6f9ccf13</v>
      </c>
      <c r="D1121" s="2">
        <f ca="1">IFERROR(__xludf.DUMMYFUNCTION("""COMPUTED_VALUE"""),8)</f>
        <v>8</v>
      </c>
      <c r="E1121" s="2" t="str">
        <f ca="1">IFERROR(__xludf.DUMMYFUNCTION("""COMPUTED_VALUE"""),"Aspirant  Malbec Rect")</f>
        <v>Aspirant  Malbec Rect</v>
      </c>
      <c r="F1121" s="2">
        <f ca="1">IFERROR(__xludf.DUMMYFUNCTION("""COMPUTED_VALUE"""),1100)</f>
        <v>1100</v>
      </c>
      <c r="G1121" s="2">
        <f ca="1">IFERROR(__xludf.DUMMYFUNCTION("""COMPUTED_VALUE"""),11)</f>
        <v>11</v>
      </c>
      <c r="H1121" s="2"/>
      <c r="I1121" s="2"/>
      <c r="J1121" s="2">
        <f ca="1">IFERROR(__xludf.DUMMYFUNCTION("""COMPUTED_VALUE"""),0)</f>
        <v>0</v>
      </c>
      <c r="K1121" s="2">
        <f ca="1">IFERROR(__xludf.DUMMYFUNCTION("""COMPUTED_VALUE"""),1100)</f>
        <v>1100</v>
      </c>
      <c r="L1121" s="2" t="str">
        <f ca="1">IFERROR(__xludf.DUMMYFUNCTION("""COMPUTED_VALUE"""),"f05a61a1")</f>
        <v>f05a61a1</v>
      </c>
      <c r="M1121" s="2" t="str">
        <f ca="1">IFERROR(__xludf.DUMMYFUNCTION("""COMPUTED_VALUE"""),"Aspirant  Malbec Rect")</f>
        <v>Aspirant  Malbec Rect</v>
      </c>
      <c r="N1121" s="2"/>
      <c r="O1121" s="2" t="str">
        <f ca="1">IFERROR(__xludf.DUMMYFUNCTION("""COMPUTED_VALUE"""),"Rectificado")</f>
        <v>Rectificado</v>
      </c>
      <c r="P1121" s="2"/>
      <c r="Q1121" s="2" t="b">
        <f ca="1">IFERROR(__xludf.DUMMYFUNCTION("""COMPUTED_VALUE"""),FALSE)</f>
        <v>0</v>
      </c>
      <c r="R1121" s="2" t="str">
        <f ca="1">IFERROR(__xludf.DUMMYFUNCTION("""COMPUTED_VALUE"""),"Rectificado")</f>
        <v>Rectificado</v>
      </c>
      <c r="S1121" s="2"/>
      <c r="T1121" s="2"/>
      <c r="U1121" s="2" t="str">
        <f ca="1">IFERROR(__xludf.DUMMYFUNCTION("""COMPUTED_VALUE"""),"2+")</f>
        <v>2+</v>
      </c>
    </row>
    <row r="1122" spans="1:21" x14ac:dyDescent="0.25">
      <c r="A1122" s="2" t="str">
        <f ca="1">IFERROR(__xludf.DUMMYFUNCTION("""COMPUTED_VALUE"""),"2899641c")</f>
        <v>2899641c</v>
      </c>
      <c r="B1122" s="5">
        <f ca="1">IFERROR(__xludf.DUMMYFUNCTION("""COMPUTED_VALUE"""),46003.7118634259)</f>
        <v>46003.711863425902</v>
      </c>
      <c r="C1122" s="2" t="str">
        <f ca="1">IFERROR(__xludf.DUMMYFUNCTION("""COMPUTED_VALUE"""),"98de285d")</f>
        <v>98de285d</v>
      </c>
      <c r="D1122" s="2">
        <f ca="1">IFERROR(__xludf.DUMMYFUNCTION("""COMPUTED_VALUE"""),92)</f>
        <v>92</v>
      </c>
      <c r="E1122" s="2" t="str">
        <f ca="1">IFERROR(__xludf.DUMMYFUNCTION("""COMPUTED_VALUE"""),"Anccelotta Aspirant")</f>
        <v>Anccelotta Aspirant</v>
      </c>
      <c r="F1122" s="2">
        <f ca="1">IFERROR(__xludf.DUMMYFUNCTION("""COMPUTED_VALUE"""),34900)</f>
        <v>34900</v>
      </c>
      <c r="G1122" s="2">
        <f ca="1">IFERROR(__xludf.DUMMYFUNCTION("""COMPUTED_VALUE"""),11)</f>
        <v>11</v>
      </c>
      <c r="H1122" s="2" t="str">
        <f ca="1">IFERROR(__xludf.DUMMYFUNCTION("""COMPUTED_VALUE"""),"f05a61a1")</f>
        <v>f05a61a1</v>
      </c>
      <c r="I1122" s="2" t="str">
        <f ca="1">IFERROR(__xludf.DUMMYFUNCTION("""COMPUTED_VALUE"""),"Anccellota Aspirant Rect")</f>
        <v>Anccellota Aspirant Rect</v>
      </c>
      <c r="J1122" s="2">
        <f ca="1">IFERROR(__xludf.DUMMYFUNCTION("""COMPUTED_VALUE"""),1100)</f>
        <v>1100</v>
      </c>
      <c r="K1122" s="2">
        <f ca="1">IFERROR(__xludf.DUMMYFUNCTION("""COMPUTED_VALUE"""),36000)</f>
        <v>36000</v>
      </c>
      <c r="L1122" s="2" t="str">
        <f ca="1">IFERROR(__xludf.DUMMYFUNCTION("""COMPUTED_VALUE"""),"f063695a")</f>
        <v>f063695a</v>
      </c>
      <c r="M1122" s="2" t="str">
        <f ca="1">IFERROR(__xludf.DUMMYFUNCTION("""COMPUTED_VALUE"""),"Anccellota Aspirant Rect")</f>
        <v>Anccellota Aspirant Rect</v>
      </c>
      <c r="N1122" s="2"/>
      <c r="O1122" s="2" t="str">
        <f ca="1">IFERROR(__xludf.DUMMYFUNCTION("""COMPUTED_VALUE"""),"Filtrado Tang")</f>
        <v>Filtrado Tang</v>
      </c>
      <c r="P1122" s="2" t="str">
        <f ca="1">IFERROR(__xludf.DUMMYFUNCTION("""COMPUTED_VALUE"""),"Rectificado")</f>
        <v>Rectificado</v>
      </c>
      <c r="Q1122" s="2" t="b">
        <f ca="1">IFERROR(__xludf.DUMMYFUNCTION("""COMPUTED_VALUE"""),TRUE)</f>
        <v>1</v>
      </c>
      <c r="R1122" s="2" t="str">
        <f ca="1">IFERROR(__xludf.DUMMYFUNCTION("""COMPUTED_VALUE"""),"Rectificado")</f>
        <v>Rectificado</v>
      </c>
      <c r="S1122" s="2"/>
      <c r="T1122" s="2"/>
      <c r="U1122" s="2" t="str">
        <f ca="1">IFERROR(__xludf.DUMMYFUNCTION("""COMPUTED_VALUE"""),"2+")</f>
        <v>2+</v>
      </c>
    </row>
    <row r="1123" spans="1:21" x14ac:dyDescent="0.25">
      <c r="A1123" s="2" t="str">
        <f ca="1">IFERROR(__xludf.DUMMYFUNCTION("""COMPUTED_VALUE"""),"8d66cd9b")</f>
        <v>8d66cd9b</v>
      </c>
      <c r="B1123" s="5">
        <f ca="1">IFERROR(__xludf.DUMMYFUNCTION("""COMPUTED_VALUE"""),46003.7143171296)</f>
        <v>46003.714317129597</v>
      </c>
      <c r="C1123" s="2" t="str">
        <f ca="1">IFERROR(__xludf.DUMMYFUNCTION("""COMPUTED_VALUE"""),"98de285d")</f>
        <v>98de285d</v>
      </c>
      <c r="D1123" s="2">
        <f ca="1">IFERROR(__xludf.DUMMYFUNCTION("""COMPUTED_VALUE"""),92)</f>
        <v>92</v>
      </c>
      <c r="E1123" s="2" t="str">
        <f ca="1">IFERROR(__xludf.DUMMYFUNCTION("""COMPUTED_VALUE"""),"Anccelotta Aspirant")</f>
        <v>Anccelotta Aspirant</v>
      </c>
      <c r="F1123" s="2">
        <f ca="1">IFERROR(__xludf.DUMMYFUNCTION("""COMPUTED_VALUE"""),2000)</f>
        <v>2000</v>
      </c>
      <c r="G1123" s="2">
        <f ca="1">IFERROR(__xludf.DUMMYFUNCTION("""COMPUTED_VALUE"""),500)</f>
        <v>500</v>
      </c>
      <c r="H1123" s="2"/>
      <c r="I1123" s="2"/>
      <c r="J1123" s="2">
        <f ca="1">IFERROR(__xludf.DUMMYFUNCTION("""COMPUTED_VALUE"""),0)</f>
        <v>0</v>
      </c>
      <c r="K1123" s="2">
        <f ca="1">IFERROR(__xludf.DUMMYFUNCTION("""COMPUTED_VALUE"""),2000)</f>
        <v>2000</v>
      </c>
      <c r="L1123" s="2" t="str">
        <f ca="1">IFERROR(__xludf.DUMMYFUNCTION("""COMPUTED_VALUE"""),"1be83b5d")</f>
        <v>1be83b5d</v>
      </c>
      <c r="M1123" s="2" t="str">
        <f ca="1">IFERROR(__xludf.DUMMYFUNCTION("""COMPUTED_VALUE"""),"Anccelotta Aspirant Relleno ventas y maderizar")</f>
        <v>Anccelotta Aspirant Relleno ventas y maderizar</v>
      </c>
      <c r="N1123" s="2"/>
      <c r="O1123" s="2" t="str">
        <f ca="1">IFERROR(__xludf.DUMMYFUNCTION("""COMPUTED_VALUE"""),"Filtrado Tang")</f>
        <v>Filtrado Tang</v>
      </c>
      <c r="P1123" s="2"/>
      <c r="Q1123" s="2" t="b">
        <f ca="1">IFERROR(__xludf.DUMMYFUNCTION("""COMPUTED_VALUE"""),FALSE)</f>
        <v>0</v>
      </c>
      <c r="R1123" s="2" t="str">
        <f ca="1">IFERROR(__xludf.DUMMYFUNCTION("""COMPUTED_VALUE"""),"Traslado Venta")</f>
        <v>Traslado Venta</v>
      </c>
      <c r="S1123" s="2"/>
      <c r="T1123" s="2"/>
      <c r="U1123" s="2" t="str">
        <f ca="1">IFERROR(__xludf.DUMMYFUNCTION("""COMPUTED_VALUE"""),"1-")</f>
        <v>1-</v>
      </c>
    </row>
    <row r="1124" spans="1:21" x14ac:dyDescent="0.25">
      <c r="A1124" s="2" t="str">
        <f ca="1">IFERROR(__xludf.DUMMYFUNCTION("""COMPUTED_VALUE"""),"a0c9546d")</f>
        <v>a0c9546d</v>
      </c>
      <c r="B1124" s="5">
        <f ca="1">IFERROR(__xludf.DUMMYFUNCTION("""COMPUTED_VALUE"""),46017.509710648)</f>
        <v>46017.509710648097</v>
      </c>
      <c r="C1124" s="2" t="str">
        <f ca="1">IFERROR(__xludf.DUMMYFUNCTION("""COMPUTED_VALUE"""),"98de285d")</f>
        <v>98de285d</v>
      </c>
      <c r="D1124" s="2">
        <f ca="1">IFERROR(__xludf.DUMMYFUNCTION("""COMPUTED_VALUE"""),92)</f>
        <v>92</v>
      </c>
      <c r="E1124" s="2" t="str">
        <f ca="1">IFERROR(__xludf.DUMMYFUNCTION("""COMPUTED_VALUE"""),"Anccelotta Aspirant")</f>
        <v>Anccelotta Aspirant</v>
      </c>
      <c r="F1124" s="2">
        <f ca="1">IFERROR(__xludf.DUMMYFUNCTION("""COMPUTED_VALUE"""),33000)</f>
        <v>33000</v>
      </c>
      <c r="G1124" s="2">
        <f ca="1">IFERROR(__xludf.DUMMYFUNCTION("""COMPUTED_VALUE"""),15)</f>
        <v>15</v>
      </c>
      <c r="H1124" s="2"/>
      <c r="I1124" s="2"/>
      <c r="J1124" s="2">
        <f ca="1">IFERROR(__xludf.DUMMYFUNCTION("""COMPUTED_VALUE"""),0)</f>
        <v>0</v>
      </c>
      <c r="K1124" s="2">
        <f ca="1">IFERROR(__xludf.DUMMYFUNCTION("""COMPUTED_VALUE"""),33000)</f>
        <v>33000</v>
      </c>
      <c r="L1124" s="2" t="str">
        <f ca="1">IFERROR(__xludf.DUMMYFUNCTION("""COMPUTED_VALUE"""),"cda56963")</f>
        <v>cda56963</v>
      </c>
      <c r="M1124" s="2" t="str">
        <f ca="1">IFERROR(__xludf.DUMMYFUNCTION("""COMPUTED_VALUE"""),"Anccelotta Aspirant")</f>
        <v>Anccelotta Aspirant</v>
      </c>
      <c r="N1124" s="2"/>
      <c r="O1124" s="2" t="str">
        <f ca="1">IFERROR(__xludf.DUMMYFUNCTION("""COMPUTED_VALUE"""),"Filtrado Tang")</f>
        <v>Filtrado Tang</v>
      </c>
      <c r="P1124" s="2"/>
      <c r="Q1124" s="2" t="b">
        <f ca="1">IFERROR(__xludf.DUMMYFUNCTION("""COMPUTED_VALUE"""),FALSE)</f>
        <v>0</v>
      </c>
      <c r="R1124" s="2" t="str">
        <f ca="1">IFERROR(__xludf.DUMMYFUNCTION("""COMPUTED_VALUE"""),"Filtrado Tang")</f>
        <v>Filtrado Tang</v>
      </c>
      <c r="S1124" s="2"/>
      <c r="T1124" s="2"/>
      <c r="U1124" s="2" t="str">
        <f ca="1">IFERROR(__xludf.DUMMYFUNCTION("""COMPUTED_VALUE"""),"1-")</f>
        <v>1-</v>
      </c>
    </row>
    <row r="1125" spans="1:21" x14ac:dyDescent="0.25">
      <c r="A1125" s="2" t="str">
        <f ca="1">IFERROR(__xludf.DUMMYFUNCTION("""COMPUTED_VALUE"""),"cdbb9f20")</f>
        <v>cdbb9f20</v>
      </c>
      <c r="B1125" s="5">
        <f ca="1">IFERROR(__xludf.DUMMYFUNCTION("""COMPUTED_VALUE"""),46017.5109375)</f>
        <v>46017.510937500003</v>
      </c>
      <c r="C1125" s="2" t="str">
        <f ca="1">IFERROR(__xludf.DUMMYFUNCTION("""COMPUTED_VALUE"""),"7da5825a")</f>
        <v>7da5825a</v>
      </c>
      <c r="D1125" s="2">
        <f ca="1">IFERROR(__xludf.DUMMYFUNCTION("""COMPUTED_VALUE"""),94)</f>
        <v>94</v>
      </c>
      <c r="E1125" s="2" t="str">
        <f ca="1">IFERROR(__xludf.DUMMYFUNCTION("""COMPUTED_VALUE"""),"Malbec")</f>
        <v>Malbec</v>
      </c>
      <c r="F1125" s="2">
        <f ca="1">IFERROR(__xludf.DUMMYFUNCTION("""COMPUTED_VALUE"""),-1400)</f>
        <v>-1400</v>
      </c>
      <c r="G1125" s="2">
        <f ca="1">IFERROR(__xludf.DUMMYFUNCTION("""COMPUTED_VALUE"""),92)</f>
        <v>92</v>
      </c>
      <c r="H1125" s="2" t="str">
        <f ca="1">IFERROR(__xludf.DUMMYFUNCTION("""COMPUTED_VALUE"""),"98de285d")</f>
        <v>98de285d</v>
      </c>
      <c r="I1125" s="2" t="str">
        <f ca="1">IFERROR(__xludf.DUMMYFUNCTION("""COMPUTED_VALUE"""),"Anccelotta Aspirant")</f>
        <v>Anccelotta Aspirant</v>
      </c>
      <c r="J1125" s="2">
        <f ca="1">IFERROR(__xludf.DUMMYFUNCTION("""COMPUTED_VALUE"""),6100)</f>
        <v>6100</v>
      </c>
      <c r="K1125" s="2">
        <f ca="1">IFERROR(__xludf.DUMMYFUNCTION("""COMPUTED_VALUE"""),4700)</f>
        <v>4700</v>
      </c>
      <c r="L1125" s="2" t="str">
        <f ca="1">IFERROR(__xludf.DUMMYFUNCTION("""COMPUTED_VALUE"""),"237696ba")</f>
        <v>237696ba</v>
      </c>
      <c r="M1125" s="2" t="str">
        <f ca="1">IFERROR(__xludf.DUMMYFUNCTION("""COMPUTED_VALUE"""),"Malbec")</f>
        <v>Malbec</v>
      </c>
      <c r="N1125" s="2"/>
      <c r="O1125" s="2" t="str">
        <f ca="1">IFERROR(__xludf.DUMMYFUNCTION("""COMPUTED_VALUE"""),"Filtrado Tang")</f>
        <v>Filtrado Tang</v>
      </c>
      <c r="P1125" s="2" t="str">
        <f ca="1">IFERROR(__xludf.DUMMYFUNCTION("""COMPUTED_VALUE"""),"Filtrado Tang")</f>
        <v>Filtrado Tang</v>
      </c>
      <c r="Q1125" s="2" t="b">
        <f ca="1">IFERROR(__xludf.DUMMYFUNCTION("""COMPUTED_VALUE"""),FALSE)</f>
        <v>0</v>
      </c>
      <c r="R1125" s="2" t="str">
        <f ca="1">IFERROR(__xludf.DUMMYFUNCTION("""COMPUTED_VALUE"""),"Filtrado Tang")</f>
        <v>Filtrado Tang</v>
      </c>
      <c r="S1125" s="2"/>
      <c r="T1125" s="2"/>
      <c r="U1125" s="2" t="str">
        <f ca="1">IFERROR(__xludf.DUMMYFUNCTION("""COMPUTED_VALUE"""),"1")</f>
        <v>1</v>
      </c>
    </row>
    <row r="1126" spans="1:21" x14ac:dyDescent="0.25">
      <c r="A1126" s="2" t="str">
        <f ca="1">IFERROR(__xludf.DUMMYFUNCTION("""COMPUTED_VALUE"""),"f3aa0549")</f>
        <v>f3aa0549</v>
      </c>
      <c r="B1126" s="5">
        <f ca="1">IFERROR(__xludf.DUMMYFUNCTION("""COMPUTED_VALUE"""),46017.511412037)</f>
        <v>46017.511412036998</v>
      </c>
      <c r="C1126" s="2" t="str">
        <f ca="1">IFERROR(__xludf.DUMMYFUNCTION("""COMPUTED_VALUE"""),"237696ba")</f>
        <v>237696ba</v>
      </c>
      <c r="D1126" s="2">
        <f ca="1">IFERROR(__xludf.DUMMYFUNCTION("""COMPUTED_VALUE"""),92)</f>
        <v>92</v>
      </c>
      <c r="E1126" s="2" t="str">
        <f ca="1">IFERROR(__xludf.DUMMYFUNCTION("""COMPUTED_VALUE"""),"Malbec")</f>
        <v>Malbec</v>
      </c>
      <c r="F1126" s="2">
        <f ca="1">IFERROR(__xludf.DUMMYFUNCTION("""COMPUTED_VALUE"""),4700)</f>
        <v>4700</v>
      </c>
      <c r="G1126" s="2">
        <f ca="1">IFERROR(__xludf.DUMMYFUNCTION("""COMPUTED_VALUE"""),500)</f>
        <v>500</v>
      </c>
      <c r="H1126" s="2" t="str">
        <f ca="1">IFERROR(__xludf.DUMMYFUNCTION("""COMPUTED_VALUE"""),"a04a1c06")</f>
        <v>a04a1c06</v>
      </c>
      <c r="I1126" s="2"/>
      <c r="J1126" s="2">
        <f ca="1">IFERROR(__xludf.DUMMYFUNCTION("""COMPUTED_VALUE"""),0)</f>
        <v>0</v>
      </c>
      <c r="K1126" s="2">
        <f ca="1">IFERROR(__xludf.DUMMYFUNCTION("""COMPUTED_VALUE"""),4700)</f>
        <v>4700</v>
      </c>
      <c r="L1126" s="2" t="str">
        <f ca="1">IFERROR(__xludf.DUMMYFUNCTION("""COMPUTED_VALUE"""),"ddc221ae")</f>
        <v>ddc221ae</v>
      </c>
      <c r="M1126" s="2"/>
      <c r="N1126" s="2"/>
      <c r="O1126" s="2" t="str">
        <f ca="1">IFERROR(__xludf.DUMMYFUNCTION("""COMPUTED_VALUE"""),"Filtrado Tang")</f>
        <v>Filtrado Tang</v>
      </c>
      <c r="P1126" s="2"/>
      <c r="Q1126" s="2" t="b">
        <f ca="1">IFERROR(__xludf.DUMMYFUNCTION("""COMPUTED_VALUE"""),TRUE)</f>
        <v>1</v>
      </c>
      <c r="R1126" s="2"/>
      <c r="S1126" s="2"/>
      <c r="T1126" s="2"/>
      <c r="U1126" s="2"/>
    </row>
    <row r="1127" spans="1:21" x14ac:dyDescent="0.25">
      <c r="A1127" s="2" t="str">
        <f ca="1">IFERROR(__xludf.DUMMYFUNCTION("""COMPUTED_VALUE"""),"1286fa26")</f>
        <v>1286fa26</v>
      </c>
      <c r="B1127" s="5">
        <f ca="1">IFERROR(__xludf.DUMMYFUNCTION("""COMPUTED_VALUE"""),46048.7373726851)</f>
        <v>46048.7373726851</v>
      </c>
      <c r="C1127" s="2" t="str">
        <f ca="1">IFERROR(__xludf.DUMMYFUNCTION("""COMPUTED_VALUE"""),"5eb0ebea")</f>
        <v>5eb0ebea</v>
      </c>
      <c r="D1127" s="2">
        <f ca="1">IFERROR(__xludf.DUMMYFUNCTION("""COMPUTED_VALUE"""),96)</f>
        <v>96</v>
      </c>
      <c r="E1127" s="2" t="str">
        <f ca="1">IFERROR(__xludf.DUMMYFUNCTION("""COMPUTED_VALUE"""),"Syrah")</f>
        <v>Syrah</v>
      </c>
      <c r="F1127" s="2">
        <f ca="1">IFERROR(__xludf.DUMMYFUNCTION("""COMPUTED_VALUE"""),48400)</f>
        <v>48400</v>
      </c>
      <c r="G1127" s="2">
        <f ca="1">IFERROR(__xludf.DUMMYFUNCTION("""COMPUTED_VALUE"""),120)</f>
        <v>120</v>
      </c>
      <c r="H1127" s="2"/>
      <c r="I1127" s="2"/>
      <c r="J1127" s="2">
        <f ca="1">IFERROR(__xludf.DUMMYFUNCTION("""COMPUTED_VALUE"""),0)</f>
        <v>0</v>
      </c>
      <c r="K1127" s="2">
        <f ca="1">IFERROR(__xludf.DUMMYFUNCTION("""COMPUTED_VALUE"""),48400)</f>
        <v>48400</v>
      </c>
      <c r="L1127" s="2" t="str">
        <f ca="1">IFERROR(__xludf.DUMMYFUNCTION("""COMPUTED_VALUE"""),"1abe3664")</f>
        <v>1abe3664</v>
      </c>
      <c r="M1127" s="2" t="str">
        <f ca="1">IFERROR(__xludf.DUMMYFUNCTION("""COMPUTED_VALUE"""),"Malbec Lopez")</f>
        <v>Malbec Lopez</v>
      </c>
      <c r="N1127" s="2"/>
      <c r="O1127" s="2" t="str">
        <f ca="1">IFERROR(__xludf.DUMMYFUNCTION("""COMPUTED_VALUE"""),"Filtrado Tang")</f>
        <v>Filtrado Tang</v>
      </c>
      <c r="P1127" s="2"/>
      <c r="Q1127" s="2" t="b">
        <f ca="1">IFERROR(__xludf.DUMMYFUNCTION("""COMPUTED_VALUE"""),FALSE)</f>
        <v>0</v>
      </c>
      <c r="R1127" s="2" t="str">
        <f ca="1">IFERROR(__xludf.DUMMYFUNCTION("""COMPUTED_VALUE"""),"Filtrado Tang")</f>
        <v>Filtrado Tang</v>
      </c>
      <c r="S1127" s="2"/>
      <c r="T1127" s="2"/>
      <c r="U1127" s="2" t="str">
        <f ca="1">IFERROR(__xludf.DUMMYFUNCTION("""COMPUTED_VALUE"""),"1")</f>
        <v>1</v>
      </c>
    </row>
    <row r="1128" spans="1:21" x14ac:dyDescent="0.25">
      <c r="A1128" s="2" t="str">
        <f ca="1">IFERROR(__xludf.DUMMYFUNCTION("""COMPUTED_VALUE"""),"d3130ed7")</f>
        <v>d3130ed7</v>
      </c>
      <c r="B1128" s="5">
        <f ca="1">IFERROR(__xludf.DUMMYFUNCTION("""COMPUTED_VALUE"""),46048.7378703703)</f>
        <v>46048.7378703703</v>
      </c>
      <c r="C1128" s="2" t="str">
        <f ca="1">IFERROR(__xludf.DUMMYFUNCTION("""COMPUTED_VALUE"""),"5eb0ebea")</f>
        <v>5eb0ebea</v>
      </c>
      <c r="D1128" s="2">
        <f ca="1">IFERROR(__xludf.DUMMYFUNCTION("""COMPUTED_VALUE"""),96)</f>
        <v>96</v>
      </c>
      <c r="E1128" s="2" t="str">
        <f ca="1">IFERROR(__xludf.DUMMYFUNCTION("""COMPUTED_VALUE"""),"Syrah")</f>
        <v>Syrah</v>
      </c>
      <c r="F1128" s="2">
        <f ca="1">IFERROR(__xludf.DUMMYFUNCTION("""COMPUTED_VALUE"""),8000)</f>
        <v>8000</v>
      </c>
      <c r="G1128" s="2">
        <f ca="1">IFERROR(__xludf.DUMMYFUNCTION("""COMPUTED_VALUE"""),69)</f>
        <v>69</v>
      </c>
      <c r="H1128" s="2"/>
      <c r="I1128" s="2"/>
      <c r="J1128" s="2">
        <f ca="1">IFERROR(__xludf.DUMMYFUNCTION("""COMPUTED_VALUE"""),0)</f>
        <v>0</v>
      </c>
      <c r="K1128" s="2">
        <f ca="1">IFERROR(__xludf.DUMMYFUNCTION("""COMPUTED_VALUE"""),8000)</f>
        <v>8000</v>
      </c>
      <c r="L1128" s="2" t="str">
        <f ca="1">IFERROR(__xludf.DUMMYFUNCTION("""COMPUTED_VALUE"""),"2b3bc276")</f>
        <v>2b3bc276</v>
      </c>
      <c r="M1128" s="2" t="str">
        <f ca="1">IFERROR(__xludf.DUMMYFUNCTION("""COMPUTED_VALUE"""),"Malbec Lopez")</f>
        <v>Malbec Lopez</v>
      </c>
      <c r="N1128" s="2"/>
      <c r="O1128" s="2" t="str">
        <f ca="1">IFERROR(__xludf.DUMMYFUNCTION("""COMPUTED_VALUE"""),"Filtrado Tang")</f>
        <v>Filtrado Tang</v>
      </c>
      <c r="P1128" s="2"/>
      <c r="Q1128" s="2" t="b">
        <f ca="1">IFERROR(__xludf.DUMMYFUNCTION("""COMPUTED_VALUE"""),FALSE)</f>
        <v>0</v>
      </c>
      <c r="R1128" s="2" t="str">
        <f ca="1">IFERROR(__xludf.DUMMYFUNCTION("""COMPUTED_VALUE"""),"Filtrado Tang")</f>
        <v>Filtrado Tang</v>
      </c>
      <c r="S1128" s="2"/>
      <c r="T1128" s="2"/>
      <c r="U1128" s="2" t="str">
        <f ca="1">IFERROR(__xludf.DUMMYFUNCTION("""COMPUTED_VALUE"""),"1")</f>
        <v>1</v>
      </c>
    </row>
    <row r="1129" spans="1:21" x14ac:dyDescent="0.25">
      <c r="A1129" s="2" t="str">
        <f ca="1">IFERROR(__xludf.DUMMYFUNCTION("""COMPUTED_VALUE"""),"8fa01cd6")</f>
        <v>8fa01cd6</v>
      </c>
      <c r="B1129" s="5">
        <f ca="1">IFERROR(__xludf.DUMMYFUNCTION("""COMPUTED_VALUE"""),46048.7385416666)</f>
        <v>46048.7385416666</v>
      </c>
      <c r="C1129" s="2" t="str">
        <f ca="1">IFERROR(__xludf.DUMMYFUNCTION("""COMPUTED_VALUE"""),"c205e72b")</f>
        <v>c205e72b</v>
      </c>
      <c r="D1129" s="2">
        <f ca="1">IFERROR(__xludf.DUMMYFUNCTION("""COMPUTED_VALUE"""),46)</f>
        <v>46</v>
      </c>
      <c r="E1129" s="2" t="str">
        <f ca="1">IFERROR(__xludf.DUMMYFUNCTION("""COMPUTED_VALUE"""),"Bonarda")</f>
        <v>Bonarda</v>
      </c>
      <c r="F1129" s="2">
        <f ca="1">IFERROR(__xludf.DUMMYFUNCTION("""COMPUTED_VALUE"""),22000)</f>
        <v>22000</v>
      </c>
      <c r="G1129" s="2">
        <f ca="1">IFERROR(__xludf.DUMMYFUNCTION("""COMPUTED_VALUE"""),120)</f>
        <v>120</v>
      </c>
      <c r="H1129" s="2" t="str">
        <f ca="1">IFERROR(__xludf.DUMMYFUNCTION("""COMPUTED_VALUE"""),"1abe3664")</f>
        <v>1abe3664</v>
      </c>
      <c r="I1129" s="2" t="str">
        <f ca="1">IFERROR(__xludf.DUMMYFUNCTION("""COMPUTED_VALUE"""),"Malbec Lopez")</f>
        <v>Malbec Lopez</v>
      </c>
      <c r="J1129" s="2">
        <f ca="1">IFERROR(__xludf.DUMMYFUNCTION("""COMPUTED_VALUE"""),48400)</f>
        <v>48400</v>
      </c>
      <c r="K1129" s="2">
        <f ca="1">IFERROR(__xludf.DUMMYFUNCTION("""COMPUTED_VALUE"""),70400)</f>
        <v>70400</v>
      </c>
      <c r="L1129" s="2" t="str">
        <f ca="1">IFERROR(__xludf.DUMMYFUNCTION("""COMPUTED_VALUE"""),"a8637490")</f>
        <v>a8637490</v>
      </c>
      <c r="M1129" s="2" t="str">
        <f ca="1">IFERROR(__xludf.DUMMYFUNCTION("""COMPUTED_VALUE"""),"Malbec Lopez")</f>
        <v>Malbec Lopez</v>
      </c>
      <c r="N1129" s="2"/>
      <c r="O1129" s="2" t="str">
        <f ca="1">IFERROR(__xludf.DUMMYFUNCTION("""COMPUTED_VALUE"""),"Filtrado Tang")</f>
        <v>Filtrado Tang</v>
      </c>
      <c r="P1129" s="2" t="str">
        <f ca="1">IFERROR(__xludf.DUMMYFUNCTION("""COMPUTED_VALUE"""),"Filtrado Tang")</f>
        <v>Filtrado Tang</v>
      </c>
      <c r="Q1129" s="2" t="b">
        <f ca="1">IFERROR(__xludf.DUMMYFUNCTION("""COMPUTED_VALUE"""),TRUE)</f>
        <v>1</v>
      </c>
      <c r="R1129" s="2" t="str">
        <f ca="1">IFERROR(__xludf.DUMMYFUNCTION("""COMPUTED_VALUE"""),"Filtrado Tang")</f>
        <v>Filtrado Tang</v>
      </c>
      <c r="S1129" s="2"/>
      <c r="T1129" s="2"/>
      <c r="U1129" s="2" t="str">
        <f ca="1">IFERROR(__xludf.DUMMYFUNCTION("""COMPUTED_VALUE"""),"1")</f>
        <v>1</v>
      </c>
    </row>
    <row r="1130" spans="1:21" x14ac:dyDescent="0.25">
      <c r="A1130" s="2" t="str">
        <f ca="1">IFERROR(__xludf.DUMMYFUNCTION("""COMPUTED_VALUE"""),"ffb43ca9")</f>
        <v>ffb43ca9</v>
      </c>
      <c r="B1130" s="5">
        <f ca="1">IFERROR(__xludf.DUMMYFUNCTION("""COMPUTED_VALUE"""),46048.7388657407)</f>
        <v>46048.738865740699</v>
      </c>
      <c r="C1130" s="2" t="str">
        <f ca="1">IFERROR(__xludf.DUMMYFUNCTION("""COMPUTED_VALUE"""),"c205e72b")</f>
        <v>c205e72b</v>
      </c>
      <c r="D1130" s="2">
        <f ca="1">IFERROR(__xludf.DUMMYFUNCTION("""COMPUTED_VALUE"""),46)</f>
        <v>46</v>
      </c>
      <c r="E1130" s="2" t="str">
        <f ca="1">IFERROR(__xludf.DUMMYFUNCTION("""COMPUTED_VALUE"""),"Bonarda")</f>
        <v>Bonarda</v>
      </c>
      <c r="F1130" s="2">
        <f ca="1">IFERROR(__xludf.DUMMYFUNCTION("""COMPUTED_VALUE"""),3200)</f>
        <v>3200</v>
      </c>
      <c r="G1130" s="2">
        <f ca="1">IFERROR(__xludf.DUMMYFUNCTION("""COMPUTED_VALUE"""),69)</f>
        <v>69</v>
      </c>
      <c r="H1130" s="2" t="str">
        <f ca="1">IFERROR(__xludf.DUMMYFUNCTION("""COMPUTED_VALUE"""),"2b3bc276")</f>
        <v>2b3bc276</v>
      </c>
      <c r="I1130" s="2" t="str">
        <f ca="1">IFERROR(__xludf.DUMMYFUNCTION("""COMPUTED_VALUE"""),"Malbec Lopez")</f>
        <v>Malbec Lopez</v>
      </c>
      <c r="J1130" s="2">
        <f ca="1">IFERROR(__xludf.DUMMYFUNCTION("""COMPUTED_VALUE"""),8000)</f>
        <v>8000</v>
      </c>
      <c r="K1130" s="2">
        <f ca="1">IFERROR(__xludf.DUMMYFUNCTION("""COMPUTED_VALUE"""),11200)</f>
        <v>11200</v>
      </c>
      <c r="L1130" s="2" t="str">
        <f ca="1">IFERROR(__xludf.DUMMYFUNCTION("""COMPUTED_VALUE"""),"aab08ba2")</f>
        <v>aab08ba2</v>
      </c>
      <c r="M1130" s="2" t="str">
        <f ca="1">IFERROR(__xludf.DUMMYFUNCTION("""COMPUTED_VALUE"""),"Malbec Lopez")</f>
        <v>Malbec Lopez</v>
      </c>
      <c r="N1130" s="2"/>
      <c r="O1130" s="2" t="str">
        <f ca="1">IFERROR(__xludf.DUMMYFUNCTION("""COMPUTED_VALUE"""),"Filtrado Tang")</f>
        <v>Filtrado Tang</v>
      </c>
      <c r="P1130" s="2" t="str">
        <f ca="1">IFERROR(__xludf.DUMMYFUNCTION("""COMPUTED_VALUE"""),"Filtrado Tang")</f>
        <v>Filtrado Tang</v>
      </c>
      <c r="Q1130" s="2" t="b">
        <f ca="1">IFERROR(__xludf.DUMMYFUNCTION("""COMPUTED_VALUE"""),TRUE)</f>
        <v>1</v>
      </c>
      <c r="R1130" s="2" t="str">
        <f ca="1">IFERROR(__xludf.DUMMYFUNCTION("""COMPUTED_VALUE"""),"Filtrado Tang")</f>
        <v>Filtrado Tang</v>
      </c>
      <c r="S1130" s="2"/>
      <c r="T1130" s="2"/>
      <c r="U1130" s="2" t="str">
        <f ca="1">IFERROR(__xludf.DUMMYFUNCTION("""COMPUTED_VALUE"""),"1")</f>
        <v>1</v>
      </c>
    </row>
    <row r="1131" spans="1:21" x14ac:dyDescent="0.25">
      <c r="A1131" s="2" t="str">
        <f ca="1">IFERROR(__xludf.DUMMYFUNCTION("""COMPUTED_VALUE"""),"ba42ba34")</f>
        <v>ba42ba34</v>
      </c>
      <c r="B1131" s="5">
        <f ca="1">IFERROR(__xludf.DUMMYFUNCTION("""COMPUTED_VALUE"""),46048.7392592592)</f>
        <v>46048.7392592592</v>
      </c>
      <c r="C1131" s="2" t="str">
        <f ca="1">IFERROR(__xludf.DUMMYFUNCTION("""COMPUTED_VALUE"""),"52e2d0ea")</f>
        <v>52e2d0ea</v>
      </c>
      <c r="D1131" s="2">
        <f ca="1">IFERROR(__xludf.DUMMYFUNCTION("""COMPUTED_VALUE"""),84)</f>
        <v>84</v>
      </c>
      <c r="E1131" s="2" t="str">
        <f ca="1">IFERROR(__xludf.DUMMYFUNCTION("""COMPUTED_VALUE"""),"Malbec")</f>
        <v>Malbec</v>
      </c>
      <c r="F1131" s="2">
        <f ca="1">IFERROR(__xludf.DUMMYFUNCTION("""COMPUTED_VALUE"""),18400)</f>
        <v>18400</v>
      </c>
      <c r="G1131" s="2">
        <f ca="1">IFERROR(__xludf.DUMMYFUNCTION("""COMPUTED_VALUE"""),120)</f>
        <v>120</v>
      </c>
      <c r="H1131" s="2" t="str">
        <f ca="1">IFERROR(__xludf.DUMMYFUNCTION("""COMPUTED_VALUE"""),"a8637490")</f>
        <v>a8637490</v>
      </c>
      <c r="I1131" s="2" t="str">
        <f ca="1">IFERROR(__xludf.DUMMYFUNCTION("""COMPUTED_VALUE"""),"Malbec Lopez")</f>
        <v>Malbec Lopez</v>
      </c>
      <c r="J1131" s="2">
        <f ca="1">IFERROR(__xludf.DUMMYFUNCTION("""COMPUTED_VALUE"""),70400)</f>
        <v>70400</v>
      </c>
      <c r="K1131" s="2">
        <f ca="1">IFERROR(__xludf.DUMMYFUNCTION("""COMPUTED_VALUE"""),88800)</f>
        <v>88800</v>
      </c>
      <c r="L1131" s="2" t="str">
        <f ca="1">IFERROR(__xludf.DUMMYFUNCTION("""COMPUTED_VALUE"""),"7c3114b2")</f>
        <v>7c3114b2</v>
      </c>
      <c r="M1131" s="2" t="str">
        <f ca="1">IFERROR(__xludf.DUMMYFUNCTION("""COMPUTED_VALUE"""),"Malbec Lopez")</f>
        <v>Malbec Lopez</v>
      </c>
      <c r="N1131" s="2"/>
      <c r="O1131" s="2" t="str">
        <f ca="1">IFERROR(__xludf.DUMMYFUNCTION("""COMPUTED_VALUE"""),"Filtrado Tang")</f>
        <v>Filtrado Tang</v>
      </c>
      <c r="P1131" s="2" t="str">
        <f ca="1">IFERROR(__xludf.DUMMYFUNCTION("""COMPUTED_VALUE"""),"Filtrado Tang")</f>
        <v>Filtrado Tang</v>
      </c>
      <c r="Q1131" s="2" t="b">
        <f ca="1">IFERROR(__xludf.DUMMYFUNCTION("""COMPUTED_VALUE"""),TRUE)</f>
        <v>1</v>
      </c>
      <c r="R1131" s="2" t="str">
        <f ca="1">IFERROR(__xludf.DUMMYFUNCTION("""COMPUTED_VALUE"""),"Filtrado Tang")</f>
        <v>Filtrado Tang</v>
      </c>
      <c r="S1131" s="2"/>
      <c r="T1131" s="2"/>
      <c r="U1131" s="2" t="str">
        <f ca="1">IFERROR(__xludf.DUMMYFUNCTION("""COMPUTED_VALUE"""),"1")</f>
        <v>1</v>
      </c>
    </row>
    <row r="1132" spans="1:21" x14ac:dyDescent="0.25">
      <c r="A1132" s="2" t="str">
        <f ca="1">IFERROR(__xludf.DUMMYFUNCTION("""COMPUTED_VALUE"""),"a285f319")</f>
        <v>a285f319</v>
      </c>
      <c r="B1132" s="5">
        <f ca="1">IFERROR(__xludf.DUMMYFUNCTION("""COMPUTED_VALUE"""),46048.7405902777)</f>
        <v>46048.740590277703</v>
      </c>
      <c r="C1132" s="2" t="str">
        <f ca="1">IFERROR(__xludf.DUMMYFUNCTION("""COMPUTED_VALUE"""),"52e2d0ea")</f>
        <v>52e2d0ea</v>
      </c>
      <c r="D1132" s="2">
        <f ca="1">IFERROR(__xludf.DUMMYFUNCTION("""COMPUTED_VALUE"""),84)</f>
        <v>84</v>
      </c>
      <c r="E1132" s="2" t="str">
        <f ca="1">IFERROR(__xludf.DUMMYFUNCTION("""COMPUTED_VALUE"""),"Malbec")</f>
        <v>Malbec</v>
      </c>
      <c r="F1132" s="2">
        <f ca="1">IFERROR(__xludf.DUMMYFUNCTION("""COMPUTED_VALUE"""),1800)</f>
        <v>1800</v>
      </c>
      <c r="G1132" s="2">
        <f ca="1">IFERROR(__xludf.DUMMYFUNCTION("""COMPUTED_VALUE"""),69)</f>
        <v>69</v>
      </c>
      <c r="H1132" s="2" t="str">
        <f ca="1">IFERROR(__xludf.DUMMYFUNCTION("""COMPUTED_VALUE"""),"aab08ba2")</f>
        <v>aab08ba2</v>
      </c>
      <c r="I1132" s="2" t="str">
        <f ca="1">IFERROR(__xludf.DUMMYFUNCTION("""COMPUTED_VALUE"""),"Malbec Lopez")</f>
        <v>Malbec Lopez</v>
      </c>
      <c r="J1132" s="2">
        <f ca="1">IFERROR(__xludf.DUMMYFUNCTION("""COMPUTED_VALUE"""),11200)</f>
        <v>11200</v>
      </c>
      <c r="K1132" s="2">
        <f ca="1">IFERROR(__xludf.DUMMYFUNCTION("""COMPUTED_VALUE"""),13000)</f>
        <v>13000</v>
      </c>
      <c r="L1132" s="2" t="str">
        <f ca="1">IFERROR(__xludf.DUMMYFUNCTION("""COMPUTED_VALUE"""),"f0fa3c18")</f>
        <v>f0fa3c18</v>
      </c>
      <c r="M1132" s="2" t="str">
        <f ca="1">IFERROR(__xludf.DUMMYFUNCTION("""COMPUTED_VALUE"""),"Malbec Lopez")</f>
        <v>Malbec Lopez</v>
      </c>
      <c r="N1132" s="2"/>
      <c r="O1132" s="2" t="str">
        <f ca="1">IFERROR(__xludf.DUMMYFUNCTION("""COMPUTED_VALUE"""),"Filtrado Tang")</f>
        <v>Filtrado Tang</v>
      </c>
      <c r="P1132" s="2" t="str">
        <f ca="1">IFERROR(__xludf.DUMMYFUNCTION("""COMPUTED_VALUE"""),"Filtrado Tang")</f>
        <v>Filtrado Tang</v>
      </c>
      <c r="Q1132" s="2" t="b">
        <f ca="1">IFERROR(__xludf.DUMMYFUNCTION("""COMPUTED_VALUE"""),TRUE)</f>
        <v>1</v>
      </c>
      <c r="R1132" s="2" t="str">
        <f ca="1">IFERROR(__xludf.DUMMYFUNCTION("""COMPUTED_VALUE"""),"Filtrado Tang")</f>
        <v>Filtrado Tang</v>
      </c>
      <c r="S1132" s="2"/>
      <c r="T1132" s="2"/>
      <c r="U1132" s="2" t="str">
        <f ca="1">IFERROR(__xludf.DUMMYFUNCTION("""COMPUTED_VALUE"""),"1")</f>
        <v>1</v>
      </c>
    </row>
    <row r="1133" spans="1:21" x14ac:dyDescent="0.25">
      <c r="A1133" s="2" t="str">
        <f ca="1">IFERROR(__xludf.DUMMYFUNCTION("""COMPUTED_VALUE"""),"b1648e97")</f>
        <v>b1648e97</v>
      </c>
      <c r="B1133" s="5">
        <f ca="1">IFERROR(__xludf.DUMMYFUNCTION("""COMPUTED_VALUE"""),46048.7412847222)</f>
        <v>46048.7412847222</v>
      </c>
      <c r="C1133" s="2" t="str">
        <f ca="1">IFERROR(__xludf.DUMMYFUNCTION("""COMPUTED_VALUE"""),"7c3114b2")</f>
        <v>7c3114b2</v>
      </c>
      <c r="D1133" s="2">
        <f ca="1">IFERROR(__xludf.DUMMYFUNCTION("""COMPUTED_VALUE"""),120)</f>
        <v>120</v>
      </c>
      <c r="E1133" s="2" t="str">
        <f ca="1">IFERROR(__xludf.DUMMYFUNCTION("""COMPUTED_VALUE"""),"Malbec Lopez")</f>
        <v>Malbec Lopez</v>
      </c>
      <c r="F1133" s="2">
        <f ca="1">IFERROR(__xludf.DUMMYFUNCTION("""COMPUTED_VALUE"""),88800)</f>
        <v>88800</v>
      </c>
      <c r="G1133" s="2">
        <f ca="1">IFERROR(__xludf.DUMMYFUNCTION("""COMPUTED_VALUE"""),116)</f>
        <v>116</v>
      </c>
      <c r="H1133" s="2"/>
      <c r="I1133" s="2"/>
      <c r="J1133" s="2">
        <f ca="1">IFERROR(__xludf.DUMMYFUNCTION("""COMPUTED_VALUE"""),0)</f>
        <v>0</v>
      </c>
      <c r="K1133" s="2">
        <f ca="1">IFERROR(__xludf.DUMMYFUNCTION("""COMPUTED_VALUE"""),88800)</f>
        <v>88800</v>
      </c>
      <c r="L1133" s="2" t="str">
        <f ca="1">IFERROR(__xludf.DUMMYFUNCTION("""COMPUTED_VALUE"""),"20db0b86")</f>
        <v>20db0b86</v>
      </c>
      <c r="M1133" s="2" t="str">
        <f ca="1">IFERROR(__xludf.DUMMYFUNCTION("""COMPUTED_VALUE"""),"Malbec Lopez")</f>
        <v>Malbec Lopez</v>
      </c>
      <c r="N1133" s="2"/>
      <c r="O1133" s="2" t="str">
        <f ca="1">IFERROR(__xludf.DUMMYFUNCTION("""COMPUTED_VALUE"""),"Filtrado Tang")</f>
        <v>Filtrado Tang</v>
      </c>
      <c r="P1133" s="2"/>
      <c r="Q1133" s="2" t="b">
        <f ca="1">IFERROR(__xludf.DUMMYFUNCTION("""COMPUTED_VALUE"""),FALSE)</f>
        <v>0</v>
      </c>
      <c r="R1133" s="2" t="str">
        <f ca="1">IFERROR(__xludf.DUMMYFUNCTION("""COMPUTED_VALUE"""),"Filtrado Tang")</f>
        <v>Filtrado Tang</v>
      </c>
      <c r="S1133" s="2"/>
      <c r="T1133" s="2"/>
      <c r="U1133" s="2" t="str">
        <f ca="1">IFERROR(__xludf.DUMMYFUNCTION("""COMPUTED_VALUE"""),"1")</f>
        <v>1</v>
      </c>
    </row>
    <row r="1134" spans="1:21" x14ac:dyDescent="0.25">
      <c r="A1134" s="2" t="str">
        <f ca="1">IFERROR(__xludf.DUMMYFUNCTION("""COMPUTED_VALUE"""),"7cb0bc3b")</f>
        <v>7cb0bc3b</v>
      </c>
      <c r="B1134" s="5">
        <f ca="1">IFERROR(__xludf.DUMMYFUNCTION("""COMPUTED_VALUE"""),46048.7415393518)</f>
        <v>46048.741539351802</v>
      </c>
      <c r="C1134" s="2" t="str">
        <f ca="1">IFERROR(__xludf.DUMMYFUNCTION("""COMPUTED_VALUE"""),"f0fa3c18")</f>
        <v>f0fa3c18</v>
      </c>
      <c r="D1134" s="2">
        <f ca="1">IFERROR(__xludf.DUMMYFUNCTION("""COMPUTED_VALUE"""),69)</f>
        <v>69</v>
      </c>
      <c r="E1134" s="2" t="str">
        <f ca="1">IFERROR(__xludf.DUMMYFUNCTION("""COMPUTED_VALUE"""),"Malbec Lopez")</f>
        <v>Malbec Lopez</v>
      </c>
      <c r="F1134" s="2">
        <f ca="1">IFERROR(__xludf.DUMMYFUNCTION("""COMPUTED_VALUE"""),10800)</f>
        <v>10800</v>
      </c>
      <c r="G1134" s="2">
        <f ca="1">IFERROR(__xludf.DUMMYFUNCTION("""COMPUTED_VALUE"""),116)</f>
        <v>116</v>
      </c>
      <c r="H1134" s="2" t="str">
        <f ca="1">IFERROR(__xludf.DUMMYFUNCTION("""COMPUTED_VALUE"""),"20db0b86")</f>
        <v>20db0b86</v>
      </c>
      <c r="I1134" s="2" t="str">
        <f ca="1">IFERROR(__xludf.DUMMYFUNCTION("""COMPUTED_VALUE"""),"Malbec Lopez")</f>
        <v>Malbec Lopez</v>
      </c>
      <c r="J1134" s="2">
        <f ca="1">IFERROR(__xludf.DUMMYFUNCTION("""COMPUTED_VALUE"""),88800)</f>
        <v>88800</v>
      </c>
      <c r="K1134" s="2">
        <f ca="1">IFERROR(__xludf.DUMMYFUNCTION("""COMPUTED_VALUE"""),99600)</f>
        <v>99600</v>
      </c>
      <c r="L1134" s="2" t="str">
        <f ca="1">IFERROR(__xludf.DUMMYFUNCTION("""COMPUTED_VALUE"""),"cc790276")</f>
        <v>cc790276</v>
      </c>
      <c r="M1134" s="2" t="str">
        <f ca="1">IFERROR(__xludf.DUMMYFUNCTION("""COMPUTED_VALUE"""),"Malbec Lopez")</f>
        <v>Malbec Lopez</v>
      </c>
      <c r="N1134" s="2"/>
      <c r="O1134" s="2" t="str">
        <f ca="1">IFERROR(__xludf.DUMMYFUNCTION("""COMPUTED_VALUE"""),"Filtrado Tang")</f>
        <v>Filtrado Tang</v>
      </c>
      <c r="P1134" s="2" t="str">
        <f ca="1">IFERROR(__xludf.DUMMYFUNCTION("""COMPUTED_VALUE"""),"Filtrado Tang")</f>
        <v>Filtrado Tang</v>
      </c>
      <c r="Q1134" s="2" t="b">
        <f ca="1">IFERROR(__xludf.DUMMYFUNCTION("""COMPUTED_VALUE"""),TRUE)</f>
        <v>1</v>
      </c>
      <c r="R1134" s="2" t="str">
        <f ca="1">IFERROR(__xludf.DUMMYFUNCTION("""COMPUTED_VALUE"""),"Filtrado Tang")</f>
        <v>Filtrado Tang</v>
      </c>
      <c r="S1134" s="2"/>
      <c r="T1134" s="2"/>
      <c r="U1134" s="2" t="str">
        <f ca="1">IFERROR(__xludf.DUMMYFUNCTION("""COMPUTED_VALUE"""),"1")</f>
        <v>1</v>
      </c>
    </row>
    <row r="1135" spans="1:21" x14ac:dyDescent="0.25">
      <c r="A1135" s="2" t="str">
        <f ca="1">IFERROR(__xludf.DUMMYFUNCTION("""COMPUTED_VALUE"""),"a9d66c5b")</f>
        <v>a9d66c5b</v>
      </c>
      <c r="B1135" s="5">
        <f ca="1">IFERROR(__xludf.DUMMYFUNCTION("""COMPUTED_VALUE"""),46049.7327199074)</f>
        <v>46049.732719907399</v>
      </c>
      <c r="C1135" s="2" t="str">
        <f ca="1">IFERROR(__xludf.DUMMYFUNCTION("""COMPUTED_VALUE"""),"5eb0ebea")</f>
        <v>5eb0ebea</v>
      </c>
      <c r="D1135" s="2">
        <f ca="1">IFERROR(__xludf.DUMMYFUNCTION("""COMPUTED_VALUE"""),96)</f>
        <v>96</v>
      </c>
      <c r="E1135" s="2" t="str">
        <f ca="1">IFERROR(__xludf.DUMMYFUNCTION("""COMPUTED_VALUE"""),"Syrah")</f>
        <v>Syrah</v>
      </c>
      <c r="F1135" s="2">
        <f ca="1">IFERROR(__xludf.DUMMYFUNCTION("""COMPUTED_VALUE"""),29200)</f>
        <v>29200</v>
      </c>
      <c r="G1135" s="2">
        <f ca="1">IFERROR(__xludf.DUMMYFUNCTION("""COMPUTED_VALUE"""),34)</f>
        <v>34</v>
      </c>
      <c r="H1135" s="2"/>
      <c r="I1135" s="2"/>
      <c r="J1135" s="2">
        <f ca="1">IFERROR(__xludf.DUMMYFUNCTION("""COMPUTED_VALUE"""),0)</f>
        <v>0</v>
      </c>
      <c r="K1135" s="2">
        <f ca="1">IFERROR(__xludf.DUMMYFUNCTION("""COMPUTED_VALUE"""),29200)</f>
        <v>29200</v>
      </c>
      <c r="L1135" s="2" t="str">
        <f ca="1">IFERROR(__xludf.DUMMYFUNCTION("""COMPUTED_VALUE"""),"9aa674e1")</f>
        <v>9aa674e1</v>
      </c>
      <c r="M1135" s="2" t="str">
        <f ca="1">IFERROR(__xludf.DUMMYFUNCTION("""COMPUTED_VALUE"""),"Syrah")</f>
        <v>Syrah</v>
      </c>
      <c r="N1135" s="2"/>
      <c r="O1135" s="2" t="str">
        <f ca="1">IFERROR(__xludf.DUMMYFUNCTION("""COMPUTED_VALUE"""),"Filtrado Tang")</f>
        <v>Filtrado Tang</v>
      </c>
      <c r="P1135" s="2"/>
      <c r="Q1135" s="2" t="b">
        <f ca="1">IFERROR(__xludf.DUMMYFUNCTION("""COMPUTED_VALUE"""),FALSE)</f>
        <v>0</v>
      </c>
      <c r="R1135" s="2" t="str">
        <f ca="1">IFERROR(__xludf.DUMMYFUNCTION("""COMPUTED_VALUE"""),"Filtrado Tang")</f>
        <v>Filtrado Tang</v>
      </c>
      <c r="S1135" s="2"/>
      <c r="T1135" s="2"/>
      <c r="U1135" s="2" t="str">
        <f ca="1">IFERROR(__xludf.DUMMYFUNCTION("""COMPUTED_VALUE"""),"1")</f>
        <v>1</v>
      </c>
    </row>
    <row r="1136" spans="1:21" x14ac:dyDescent="0.25">
      <c r="A1136" s="2" t="str">
        <f ca="1">IFERROR(__xludf.DUMMYFUNCTION("""COMPUTED_VALUE"""),"11355271")</f>
        <v>11355271</v>
      </c>
      <c r="B1136" s="5">
        <f ca="1">IFERROR(__xludf.DUMMYFUNCTION("""COMPUTED_VALUE"""),46049.7331134259)</f>
        <v>46049.7331134259</v>
      </c>
      <c r="C1136" s="2" t="str">
        <f ca="1">IFERROR(__xludf.DUMMYFUNCTION("""COMPUTED_VALUE"""),"c205e72b")</f>
        <v>c205e72b</v>
      </c>
      <c r="D1136" s="2">
        <f ca="1">IFERROR(__xludf.DUMMYFUNCTION("""COMPUTED_VALUE"""),46)</f>
        <v>46</v>
      </c>
      <c r="E1136" s="2" t="str">
        <f ca="1">IFERROR(__xludf.DUMMYFUNCTION("""COMPUTED_VALUE"""),"Bonarda")</f>
        <v>Bonarda</v>
      </c>
      <c r="F1136" s="2">
        <f ca="1">IFERROR(__xludf.DUMMYFUNCTION("""COMPUTED_VALUE"""),3800)</f>
        <v>3800</v>
      </c>
      <c r="G1136" s="2">
        <f ca="1">IFERROR(__xludf.DUMMYFUNCTION("""COMPUTED_VALUE"""),34)</f>
        <v>34</v>
      </c>
      <c r="H1136" s="2" t="str">
        <f ca="1">IFERROR(__xludf.DUMMYFUNCTION("""COMPUTED_VALUE"""),"9aa674e1")</f>
        <v>9aa674e1</v>
      </c>
      <c r="I1136" s="2" t="str">
        <f ca="1">IFERROR(__xludf.DUMMYFUNCTION("""COMPUTED_VALUE"""),"Syrah")</f>
        <v>Syrah</v>
      </c>
      <c r="J1136" s="2">
        <f ca="1">IFERROR(__xludf.DUMMYFUNCTION("""COMPUTED_VALUE"""),29200)</f>
        <v>29200</v>
      </c>
      <c r="K1136" s="2">
        <f ca="1">IFERROR(__xludf.DUMMYFUNCTION("""COMPUTED_VALUE"""),33000)</f>
        <v>33000</v>
      </c>
      <c r="L1136" s="2" t="str">
        <f ca="1">IFERROR(__xludf.DUMMYFUNCTION("""COMPUTED_VALUE"""),"8ad61521")</f>
        <v>8ad61521</v>
      </c>
      <c r="M1136" s="2" t="str">
        <f ca="1">IFERROR(__xludf.DUMMYFUNCTION("""COMPUTED_VALUE"""),"Malbec")</f>
        <v>Malbec</v>
      </c>
      <c r="N1136" s="2"/>
      <c r="O1136" s="2" t="str">
        <f ca="1">IFERROR(__xludf.DUMMYFUNCTION("""COMPUTED_VALUE"""),"Filtrado Tang")</f>
        <v>Filtrado Tang</v>
      </c>
      <c r="P1136" s="2" t="str">
        <f ca="1">IFERROR(__xludf.DUMMYFUNCTION("""COMPUTED_VALUE"""),"Filtrado Tang")</f>
        <v>Filtrado Tang</v>
      </c>
      <c r="Q1136" s="2" t="b">
        <f ca="1">IFERROR(__xludf.DUMMYFUNCTION("""COMPUTED_VALUE"""),TRUE)</f>
        <v>1</v>
      </c>
      <c r="R1136" s="2" t="str">
        <f ca="1">IFERROR(__xludf.DUMMYFUNCTION("""COMPUTED_VALUE"""),"Filtrado Tang")</f>
        <v>Filtrado Tang</v>
      </c>
      <c r="S1136" s="2"/>
      <c r="T1136" s="2"/>
      <c r="U1136" s="2" t="str">
        <f ca="1">IFERROR(__xludf.DUMMYFUNCTION("""COMPUTED_VALUE"""),"1")</f>
        <v>1</v>
      </c>
    </row>
    <row r="1137" spans="1:21" x14ac:dyDescent="0.25">
      <c r="A1137" s="2" t="str">
        <f ca="1">IFERROR(__xludf.DUMMYFUNCTION("""COMPUTED_VALUE"""),"31cd7c81")</f>
        <v>31cd7c81</v>
      </c>
      <c r="B1137" s="5">
        <f ca="1">IFERROR(__xludf.DUMMYFUNCTION("""COMPUTED_VALUE"""),46049.7337152777)</f>
        <v>46049.733715277704</v>
      </c>
      <c r="C1137" s="2" t="str">
        <f ca="1">IFERROR(__xludf.DUMMYFUNCTION("""COMPUTED_VALUE"""),"52e2d0ea")</f>
        <v>52e2d0ea</v>
      </c>
      <c r="D1137" s="2">
        <f ca="1">IFERROR(__xludf.DUMMYFUNCTION("""COMPUTED_VALUE"""),84)</f>
        <v>84</v>
      </c>
      <c r="E1137" s="2" t="str">
        <f ca="1">IFERROR(__xludf.DUMMYFUNCTION("""COMPUTED_VALUE"""),"Malbec")</f>
        <v>Malbec</v>
      </c>
      <c r="F1137" s="2">
        <f ca="1">IFERROR(__xludf.DUMMYFUNCTION("""COMPUTED_VALUE"""),6500)</f>
        <v>6500</v>
      </c>
      <c r="G1137" s="2">
        <f ca="1">IFERROR(__xludf.DUMMYFUNCTION("""COMPUTED_VALUE"""),34)</f>
        <v>34</v>
      </c>
      <c r="H1137" s="2" t="str">
        <f ca="1">IFERROR(__xludf.DUMMYFUNCTION("""COMPUTED_VALUE"""),"8ad61521")</f>
        <v>8ad61521</v>
      </c>
      <c r="I1137" s="2" t="str">
        <f ca="1">IFERROR(__xludf.DUMMYFUNCTION("""COMPUTED_VALUE"""),"Malbec")</f>
        <v>Malbec</v>
      </c>
      <c r="J1137" s="2">
        <f ca="1">IFERROR(__xludf.DUMMYFUNCTION("""COMPUTED_VALUE"""),33000)</f>
        <v>33000</v>
      </c>
      <c r="K1137" s="2">
        <f ca="1">IFERROR(__xludf.DUMMYFUNCTION("""COMPUTED_VALUE"""),39500)</f>
        <v>39500</v>
      </c>
      <c r="L1137" s="2" t="str">
        <f ca="1">IFERROR(__xludf.DUMMYFUNCTION("""COMPUTED_VALUE"""),"ef525c55")</f>
        <v>ef525c55</v>
      </c>
      <c r="M1137" s="2" t="str">
        <f ca="1">IFERROR(__xludf.DUMMYFUNCTION("""COMPUTED_VALUE"""),"Malbec")</f>
        <v>Malbec</v>
      </c>
      <c r="N1137" s="2"/>
      <c r="O1137" s="2" t="str">
        <f ca="1">IFERROR(__xludf.DUMMYFUNCTION("""COMPUTED_VALUE"""),"Filtrado Tang")</f>
        <v>Filtrado Tang</v>
      </c>
      <c r="P1137" s="2" t="str">
        <f ca="1">IFERROR(__xludf.DUMMYFUNCTION("""COMPUTED_VALUE"""),"Filtrado Tang")</f>
        <v>Filtrado Tang</v>
      </c>
      <c r="Q1137" s="2" t="b">
        <f ca="1">IFERROR(__xludf.DUMMYFUNCTION("""COMPUTED_VALUE"""),TRUE)</f>
        <v>1</v>
      </c>
      <c r="R1137" s="2" t="str">
        <f ca="1">IFERROR(__xludf.DUMMYFUNCTION("""COMPUTED_VALUE"""),"Filtrado Tang")</f>
        <v>Filtrado Tang</v>
      </c>
      <c r="S1137" s="2"/>
      <c r="T1137" s="2"/>
      <c r="U1137" s="2" t="str">
        <f ca="1">IFERROR(__xludf.DUMMYFUNCTION("""COMPUTED_VALUE"""),"1")</f>
        <v>1</v>
      </c>
    </row>
    <row r="1138" spans="1:21" x14ac:dyDescent="0.25">
      <c r="A1138" s="2" t="str">
        <f ca="1">IFERROR(__xludf.DUMMYFUNCTION("""COMPUTED_VALUE"""),"0bcc3a82")</f>
        <v>0bcc3a82</v>
      </c>
      <c r="B1138" s="5">
        <f ca="1">IFERROR(__xludf.DUMMYFUNCTION("""COMPUTED_VALUE"""),46049.7339351851)</f>
        <v>46049.733935185097</v>
      </c>
      <c r="C1138" s="2" t="str">
        <f ca="1">IFERROR(__xludf.DUMMYFUNCTION("""COMPUTED_VALUE"""),"52e2d0ea")</f>
        <v>52e2d0ea</v>
      </c>
      <c r="D1138" s="2">
        <f ca="1">IFERROR(__xludf.DUMMYFUNCTION("""COMPUTED_VALUE"""),84)</f>
        <v>84</v>
      </c>
      <c r="E1138" s="2" t="str">
        <f ca="1">IFERROR(__xludf.DUMMYFUNCTION("""COMPUTED_VALUE"""),"Malbec")</f>
        <v>Malbec</v>
      </c>
      <c r="F1138" s="2">
        <f ca="1">IFERROR(__xludf.DUMMYFUNCTION("""COMPUTED_VALUE"""),39300)</f>
        <v>39300</v>
      </c>
      <c r="G1138" s="2">
        <f ca="1">IFERROR(__xludf.DUMMYFUNCTION("""COMPUTED_VALUE"""),35)</f>
        <v>35</v>
      </c>
      <c r="H1138" s="2"/>
      <c r="I1138" s="2"/>
      <c r="J1138" s="2">
        <f ca="1">IFERROR(__xludf.DUMMYFUNCTION("""COMPUTED_VALUE"""),0)</f>
        <v>0</v>
      </c>
      <c r="K1138" s="2">
        <f ca="1">IFERROR(__xludf.DUMMYFUNCTION("""COMPUTED_VALUE"""),39300)</f>
        <v>39300</v>
      </c>
      <c r="L1138" s="2" t="str">
        <f ca="1">IFERROR(__xludf.DUMMYFUNCTION("""COMPUTED_VALUE"""),"2a1b9079")</f>
        <v>2a1b9079</v>
      </c>
      <c r="M1138" s="2" t="str">
        <f ca="1">IFERROR(__xludf.DUMMYFUNCTION("""COMPUTED_VALUE"""),"Malbec")</f>
        <v>Malbec</v>
      </c>
      <c r="N1138" s="2"/>
      <c r="O1138" s="2" t="str">
        <f ca="1">IFERROR(__xludf.DUMMYFUNCTION("""COMPUTED_VALUE"""),"Filtrado Tang")</f>
        <v>Filtrado Tang</v>
      </c>
      <c r="P1138" s="2"/>
      <c r="Q1138" s="2" t="b">
        <f ca="1">IFERROR(__xludf.DUMMYFUNCTION("""COMPUTED_VALUE"""),FALSE)</f>
        <v>0</v>
      </c>
      <c r="R1138" s="2" t="str">
        <f ca="1">IFERROR(__xludf.DUMMYFUNCTION("""COMPUTED_VALUE"""),"Filtrado Tang")</f>
        <v>Filtrado Tang</v>
      </c>
      <c r="S1138" s="2"/>
      <c r="T1138" s="2"/>
      <c r="U1138" s="2" t="str">
        <f ca="1">IFERROR(__xludf.DUMMYFUNCTION("""COMPUTED_VALUE"""),"2+")</f>
        <v>2+</v>
      </c>
    </row>
    <row r="1139" spans="1:21" x14ac:dyDescent="0.25">
      <c r="A1139" s="2" t="str">
        <f ca="1">IFERROR(__xludf.DUMMYFUNCTION("""COMPUTED_VALUE"""),"ebd04c16")</f>
        <v>ebd04c16</v>
      </c>
      <c r="B1139" s="5">
        <f ca="1">IFERROR(__xludf.DUMMYFUNCTION("""COMPUTED_VALUE"""),46049.7341782407)</f>
        <v>46049.734178240702</v>
      </c>
      <c r="C1139" s="2" t="str">
        <f ca="1">IFERROR(__xludf.DUMMYFUNCTION("""COMPUTED_VALUE"""),"52e2d0ea")</f>
        <v>52e2d0ea</v>
      </c>
      <c r="D1139" s="2">
        <f ca="1">IFERROR(__xludf.DUMMYFUNCTION("""COMPUTED_VALUE"""),84)</f>
        <v>84</v>
      </c>
      <c r="E1139" s="2" t="str">
        <f ca="1">IFERROR(__xludf.DUMMYFUNCTION("""COMPUTED_VALUE"""),"Malbec")</f>
        <v>Malbec</v>
      </c>
      <c r="F1139" s="2">
        <f ca="1">IFERROR(__xludf.DUMMYFUNCTION("""COMPUTED_VALUE"""),17000)</f>
        <v>17000</v>
      </c>
      <c r="G1139" s="2">
        <f ca="1">IFERROR(__xludf.DUMMYFUNCTION("""COMPUTED_VALUE"""),33)</f>
        <v>33</v>
      </c>
      <c r="H1139" s="2"/>
      <c r="I1139" s="2"/>
      <c r="J1139" s="2">
        <f ca="1">IFERROR(__xludf.DUMMYFUNCTION("""COMPUTED_VALUE"""),0)</f>
        <v>0</v>
      </c>
      <c r="K1139" s="2">
        <f ca="1">IFERROR(__xludf.DUMMYFUNCTION("""COMPUTED_VALUE"""),17000)</f>
        <v>17000</v>
      </c>
      <c r="L1139" s="2" t="str">
        <f ca="1">IFERROR(__xludf.DUMMYFUNCTION("""COMPUTED_VALUE"""),"3afe1644")</f>
        <v>3afe1644</v>
      </c>
      <c r="M1139" s="2" t="str">
        <f ca="1">IFERROR(__xludf.DUMMYFUNCTION("""COMPUTED_VALUE"""),"Malbec")</f>
        <v>Malbec</v>
      </c>
      <c r="N1139" s="2"/>
      <c r="O1139" s="2" t="str">
        <f ca="1">IFERROR(__xludf.DUMMYFUNCTION("""COMPUTED_VALUE"""),"Filtrado Tang")</f>
        <v>Filtrado Tang</v>
      </c>
      <c r="P1139" s="2"/>
      <c r="Q1139" s="2" t="b">
        <f ca="1">IFERROR(__xludf.DUMMYFUNCTION("""COMPUTED_VALUE"""),FALSE)</f>
        <v>0</v>
      </c>
      <c r="R1139" s="2" t="str">
        <f ca="1">IFERROR(__xludf.DUMMYFUNCTION("""COMPUTED_VALUE"""),"Filtrado Tang")</f>
        <v>Filtrado Tang</v>
      </c>
      <c r="S1139" s="2"/>
      <c r="T1139" s="2"/>
      <c r="U1139" s="2" t="str">
        <f ca="1">IFERROR(__xludf.DUMMYFUNCTION("""COMPUTED_VALUE"""),"2+")</f>
        <v>2+</v>
      </c>
    </row>
    <row r="1140" spans="1:21" x14ac:dyDescent="0.25">
      <c r="A1140" s="2" t="str">
        <f ca="1">IFERROR(__xludf.DUMMYFUNCTION("""COMPUTED_VALUE"""),"fc356251")</f>
        <v>fc356251</v>
      </c>
      <c r="B1140" s="5">
        <f ca="1">IFERROR(__xludf.DUMMYFUNCTION("""COMPUTED_VALUE"""),46049.7353356481)</f>
        <v>46049.735335648104</v>
      </c>
      <c r="C1140" s="2" t="str">
        <f ca="1">IFERROR(__xludf.DUMMYFUNCTION("""COMPUTED_VALUE"""),"cda56963")</f>
        <v>cda56963</v>
      </c>
      <c r="D1140" s="2">
        <f ca="1">IFERROR(__xludf.DUMMYFUNCTION("""COMPUTED_VALUE"""),15)</f>
        <v>15</v>
      </c>
      <c r="E1140" s="2" t="str">
        <f ca="1">IFERROR(__xludf.DUMMYFUNCTION("""COMPUTED_VALUE"""),"Anccelotta Aspirant")</f>
        <v>Anccelotta Aspirant</v>
      </c>
      <c r="F1140" s="2">
        <f ca="1">IFERROR(__xludf.DUMMYFUNCTION("""COMPUTED_VALUE"""),27000)</f>
        <v>27000</v>
      </c>
      <c r="G1140" s="2">
        <f ca="1">IFERROR(__xludf.DUMMYFUNCTION("""COMPUTED_VALUE"""),52)</f>
        <v>52</v>
      </c>
      <c r="H1140" s="2"/>
      <c r="I1140" s="2"/>
      <c r="J1140" s="2">
        <f ca="1">IFERROR(__xludf.DUMMYFUNCTION("""COMPUTED_VALUE"""),0)</f>
        <v>0</v>
      </c>
      <c r="K1140" s="2">
        <f ca="1">IFERROR(__xludf.DUMMYFUNCTION("""COMPUTED_VALUE"""),27000)</f>
        <v>27000</v>
      </c>
      <c r="L1140" s="2" t="str">
        <f ca="1">IFERROR(__xludf.DUMMYFUNCTION("""COMPUTED_VALUE"""),"60d69641")</f>
        <v>60d69641</v>
      </c>
      <c r="M1140" s="2" t="str">
        <f ca="1">IFERROR(__xludf.DUMMYFUNCTION("""COMPUTED_VALUE"""),"Anccelotta Aspirant")</f>
        <v>Anccelotta Aspirant</v>
      </c>
      <c r="N1140" s="2"/>
      <c r="O1140" s="2" t="str">
        <f ca="1">IFERROR(__xludf.DUMMYFUNCTION("""COMPUTED_VALUE"""),"Filtrado Tang")</f>
        <v>Filtrado Tang</v>
      </c>
      <c r="P1140" s="2"/>
      <c r="Q1140" s="2" t="b">
        <f ca="1">IFERROR(__xludf.DUMMYFUNCTION("""COMPUTED_VALUE"""),FALSE)</f>
        <v>0</v>
      </c>
      <c r="R1140" s="2" t="str">
        <f ca="1">IFERROR(__xludf.DUMMYFUNCTION("""COMPUTED_VALUE"""),"Filtrado Tang")</f>
        <v>Filtrado Tang</v>
      </c>
      <c r="S1140" s="2"/>
      <c r="T1140" s="2"/>
      <c r="U1140" s="2" t="str">
        <f ca="1">IFERROR(__xludf.DUMMYFUNCTION("""COMPUTED_VALUE"""),"1-")</f>
        <v>1-</v>
      </c>
    </row>
    <row r="1141" spans="1:21" x14ac:dyDescent="0.25">
      <c r="A1141" s="2" t="str">
        <f ca="1">IFERROR(__xludf.DUMMYFUNCTION("""COMPUTED_VALUE"""),"54470a85")</f>
        <v>54470a85</v>
      </c>
      <c r="B1141" s="5">
        <f ca="1">IFERROR(__xludf.DUMMYFUNCTION("""COMPUTED_VALUE"""),46049.7355439814)</f>
        <v>46049.735543981398</v>
      </c>
      <c r="C1141" s="2" t="str">
        <f ca="1">IFERROR(__xludf.DUMMYFUNCTION("""COMPUTED_VALUE"""),"cda56963")</f>
        <v>cda56963</v>
      </c>
      <c r="D1141" s="2">
        <f ca="1">IFERROR(__xludf.DUMMYFUNCTION("""COMPUTED_VALUE"""),15)</f>
        <v>15</v>
      </c>
      <c r="E1141" s="2" t="str">
        <f ca="1">IFERROR(__xludf.DUMMYFUNCTION("""COMPUTED_VALUE"""),"Anccelotta Aspirant")</f>
        <v>Anccelotta Aspirant</v>
      </c>
      <c r="F1141" s="2">
        <f ca="1">IFERROR(__xludf.DUMMYFUNCTION("""COMPUTED_VALUE"""),3900)</f>
        <v>3900</v>
      </c>
      <c r="G1141" s="2">
        <f ca="1">IFERROR(__xludf.DUMMYFUNCTION("""COMPUTED_VALUE"""),51)</f>
        <v>51</v>
      </c>
      <c r="H1141" s="2"/>
      <c r="I1141" s="2"/>
      <c r="J1141" s="2">
        <f ca="1">IFERROR(__xludf.DUMMYFUNCTION("""COMPUTED_VALUE"""),0)</f>
        <v>0</v>
      </c>
      <c r="K1141" s="2">
        <f ca="1">IFERROR(__xludf.DUMMYFUNCTION("""COMPUTED_VALUE"""),3900)</f>
        <v>3900</v>
      </c>
      <c r="L1141" s="2" t="str">
        <f ca="1">IFERROR(__xludf.DUMMYFUNCTION("""COMPUTED_VALUE"""),"27f50d27")</f>
        <v>27f50d27</v>
      </c>
      <c r="M1141" s="2" t="str">
        <f ca="1">IFERROR(__xludf.DUMMYFUNCTION("""COMPUTED_VALUE"""),"Anccelotta Aspirant")</f>
        <v>Anccelotta Aspirant</v>
      </c>
      <c r="N1141" s="2"/>
      <c r="O1141" s="2" t="str">
        <f ca="1">IFERROR(__xludf.DUMMYFUNCTION("""COMPUTED_VALUE"""),"Filtrado Tang")</f>
        <v>Filtrado Tang</v>
      </c>
      <c r="P1141" s="2"/>
      <c r="Q1141" s="2" t="b">
        <f ca="1">IFERROR(__xludf.DUMMYFUNCTION("""COMPUTED_VALUE"""),FALSE)</f>
        <v>0</v>
      </c>
      <c r="R1141" s="2" t="str">
        <f ca="1">IFERROR(__xludf.DUMMYFUNCTION("""COMPUTED_VALUE"""),"Filtrado Tang")</f>
        <v>Filtrado Tang</v>
      </c>
      <c r="S1141" s="2"/>
      <c r="T1141" s="2"/>
      <c r="U1141" s="2" t="str">
        <f ca="1">IFERROR(__xludf.DUMMYFUNCTION("""COMPUTED_VALUE"""),"1-")</f>
        <v>1-</v>
      </c>
    </row>
    <row r="1142" spans="1:21" x14ac:dyDescent="0.25">
      <c r="A1142" s="2" t="str">
        <f ca="1">IFERROR(__xludf.DUMMYFUNCTION("""COMPUTED_VALUE"""),"83660c38")</f>
        <v>83660c38</v>
      </c>
      <c r="B1142" s="5">
        <f ca="1">IFERROR(__xludf.DUMMYFUNCTION("""COMPUTED_VALUE"""),46049.7365625)</f>
        <v>46049.736562500002</v>
      </c>
      <c r="C1142" s="2" t="str">
        <f ca="1">IFERROR(__xludf.DUMMYFUNCTION("""COMPUTED_VALUE"""),"f0fa3c18")</f>
        <v>f0fa3c18</v>
      </c>
      <c r="D1142" s="2">
        <f ca="1">IFERROR(__xludf.DUMMYFUNCTION("""COMPUTED_VALUE"""),69)</f>
        <v>69</v>
      </c>
      <c r="E1142" s="2" t="str">
        <f ca="1">IFERROR(__xludf.DUMMYFUNCTION("""COMPUTED_VALUE"""),"Malbec Lopez")</f>
        <v>Malbec Lopez</v>
      </c>
      <c r="F1142" s="2">
        <f ca="1">IFERROR(__xludf.DUMMYFUNCTION("""COMPUTED_VALUE"""),2200)</f>
        <v>2200</v>
      </c>
      <c r="G1142" s="2">
        <f ca="1">IFERROR(__xludf.DUMMYFUNCTION("""COMPUTED_VALUE"""),33)</f>
        <v>33</v>
      </c>
      <c r="H1142" s="2" t="str">
        <f ca="1">IFERROR(__xludf.DUMMYFUNCTION("""COMPUTED_VALUE"""),"3afe1644")</f>
        <v>3afe1644</v>
      </c>
      <c r="I1142" s="2" t="str">
        <f ca="1">IFERROR(__xludf.DUMMYFUNCTION("""COMPUTED_VALUE"""),"Malbec")</f>
        <v>Malbec</v>
      </c>
      <c r="J1142" s="2">
        <f ca="1">IFERROR(__xludf.DUMMYFUNCTION("""COMPUTED_VALUE"""),17000)</f>
        <v>17000</v>
      </c>
      <c r="K1142" s="2">
        <f ca="1">IFERROR(__xludf.DUMMYFUNCTION("""COMPUTED_VALUE"""),19200)</f>
        <v>19200</v>
      </c>
      <c r="L1142" s="2" t="str">
        <f ca="1">IFERROR(__xludf.DUMMYFUNCTION("""COMPUTED_VALUE"""),"af91eee8")</f>
        <v>af91eee8</v>
      </c>
      <c r="M1142" s="2" t="str">
        <f ca="1">IFERROR(__xludf.DUMMYFUNCTION("""COMPUTED_VALUE"""),"Malbec Lopez")</f>
        <v>Malbec Lopez</v>
      </c>
      <c r="N1142" s="2"/>
      <c r="O1142" s="2" t="str">
        <f ca="1">IFERROR(__xludf.DUMMYFUNCTION("""COMPUTED_VALUE"""),"Filtrado Tang")</f>
        <v>Filtrado Tang</v>
      </c>
      <c r="P1142" s="2" t="str">
        <f ca="1">IFERROR(__xludf.DUMMYFUNCTION("""COMPUTED_VALUE"""),"Filtrado Tang")</f>
        <v>Filtrado Tang</v>
      </c>
      <c r="Q1142" s="2" t="b">
        <f ca="1">IFERROR(__xludf.DUMMYFUNCTION("""COMPUTED_VALUE"""),FALSE)</f>
        <v>0</v>
      </c>
      <c r="R1142" s="2" t="str">
        <f ca="1">IFERROR(__xludf.DUMMYFUNCTION("""COMPUTED_VALUE"""),"Filtrado Tang")</f>
        <v>Filtrado Tang</v>
      </c>
      <c r="S1142" s="2"/>
      <c r="T1142" s="2"/>
      <c r="U1142" s="2" t="str">
        <f ca="1">IFERROR(__xludf.DUMMYFUNCTION("""COMPUTED_VALUE"""),"1")</f>
        <v>1</v>
      </c>
    </row>
    <row r="1143" spans="1:21" x14ac:dyDescent="0.25">
      <c r="A1143" s="2" t="str">
        <f ca="1">IFERROR(__xludf.DUMMYFUNCTION("""COMPUTED_VALUE"""),"f85254a7")</f>
        <v>f85254a7</v>
      </c>
      <c r="B1143" s="5">
        <f ca="1">IFERROR(__xludf.DUMMYFUNCTION("""COMPUTED_VALUE"""),46049.736875)</f>
        <v>46049.736875000002</v>
      </c>
      <c r="C1143" s="2" t="str">
        <f ca="1">IFERROR(__xludf.DUMMYFUNCTION("""COMPUTED_VALUE"""),"7da5825a")</f>
        <v>7da5825a</v>
      </c>
      <c r="D1143" s="2">
        <f ca="1">IFERROR(__xludf.DUMMYFUNCTION("""COMPUTED_VALUE"""),94)</f>
        <v>94</v>
      </c>
      <c r="E1143" s="2" t="str">
        <f ca="1">IFERROR(__xludf.DUMMYFUNCTION("""COMPUTED_VALUE"""),"Malbec")</f>
        <v>Malbec</v>
      </c>
      <c r="F1143" s="2">
        <f ca="1">IFERROR(__xludf.DUMMYFUNCTION("""COMPUTED_VALUE"""),6100)</f>
        <v>6100</v>
      </c>
      <c r="G1143" s="2">
        <f ca="1">IFERROR(__xludf.DUMMYFUNCTION("""COMPUTED_VALUE"""),33)</f>
        <v>33</v>
      </c>
      <c r="H1143" s="2" t="str">
        <f ca="1">IFERROR(__xludf.DUMMYFUNCTION("""COMPUTED_VALUE"""),"af91eee8")</f>
        <v>af91eee8</v>
      </c>
      <c r="I1143" s="2" t="str">
        <f ca="1">IFERROR(__xludf.DUMMYFUNCTION("""COMPUTED_VALUE"""),"Malbec Lopez")</f>
        <v>Malbec Lopez</v>
      </c>
      <c r="J1143" s="2">
        <f ca="1">IFERROR(__xludf.DUMMYFUNCTION("""COMPUTED_VALUE"""),19200)</f>
        <v>19200</v>
      </c>
      <c r="K1143" s="2">
        <f ca="1">IFERROR(__xludf.DUMMYFUNCTION("""COMPUTED_VALUE"""),25300)</f>
        <v>25300</v>
      </c>
      <c r="L1143" s="2" t="str">
        <f ca="1">IFERROR(__xludf.DUMMYFUNCTION("""COMPUTED_VALUE"""),"26df23e4")</f>
        <v>26df23e4</v>
      </c>
      <c r="M1143" s="2" t="str">
        <f ca="1">IFERROR(__xludf.DUMMYFUNCTION("""COMPUTED_VALUE"""),"Malbec")</f>
        <v>Malbec</v>
      </c>
      <c r="N1143" s="2"/>
      <c r="O1143" s="2" t="str">
        <f ca="1">IFERROR(__xludf.DUMMYFUNCTION("""COMPUTED_VALUE"""),"Filtrado Tang")</f>
        <v>Filtrado Tang</v>
      </c>
      <c r="P1143" s="2" t="str">
        <f ca="1">IFERROR(__xludf.DUMMYFUNCTION("""COMPUTED_VALUE"""),"Filtrado Tang")</f>
        <v>Filtrado Tang</v>
      </c>
      <c r="Q1143" s="2" t="b">
        <f ca="1">IFERROR(__xludf.DUMMYFUNCTION("""COMPUTED_VALUE"""),FALSE)</f>
        <v>0</v>
      </c>
      <c r="R1143" s="2" t="str">
        <f ca="1">IFERROR(__xludf.DUMMYFUNCTION("""COMPUTED_VALUE"""),"Filtrado Tang")</f>
        <v>Filtrado Tang</v>
      </c>
      <c r="S1143" s="2"/>
      <c r="T1143" s="2"/>
      <c r="U1143" s="2" t="str">
        <f ca="1">IFERROR(__xludf.DUMMYFUNCTION("""COMPUTED_VALUE"""),"1")</f>
        <v>1</v>
      </c>
    </row>
    <row r="1144" spans="1:21" x14ac:dyDescent="0.25">
      <c r="A1144" s="2" t="str">
        <f ca="1">IFERROR(__xludf.DUMMYFUNCTION("""COMPUTED_VALUE"""),"94795421")</f>
        <v>94795421</v>
      </c>
      <c r="B1144" s="5">
        <f ca="1">IFERROR(__xludf.DUMMYFUNCTION("""COMPUTED_VALUE"""),46049.7372800925)</f>
        <v>46049.7372800925</v>
      </c>
      <c r="C1144" s="2" t="str">
        <f ca="1">IFERROR(__xludf.DUMMYFUNCTION("""COMPUTED_VALUE"""),"7da5825a")</f>
        <v>7da5825a</v>
      </c>
      <c r="D1144" s="2">
        <f ca="1">IFERROR(__xludf.DUMMYFUNCTION("""COMPUTED_VALUE"""),94)</f>
        <v>94</v>
      </c>
      <c r="E1144" s="2" t="str">
        <f ca="1">IFERROR(__xludf.DUMMYFUNCTION("""COMPUTED_VALUE"""),"Malbec")</f>
        <v>Malbec</v>
      </c>
      <c r="F1144" s="2">
        <f ca="1">IFERROR(__xludf.DUMMYFUNCTION("""COMPUTED_VALUE"""),5500)</f>
        <v>5500</v>
      </c>
      <c r="G1144" s="2">
        <f ca="1">IFERROR(__xludf.DUMMYFUNCTION("""COMPUTED_VALUE"""),500)</f>
        <v>500</v>
      </c>
      <c r="H1144" s="2" t="str">
        <f ca="1">IFERROR(__xludf.DUMMYFUNCTION("""COMPUTED_VALUE"""),"ddc221ae")</f>
        <v>ddc221ae</v>
      </c>
      <c r="I1144" s="2"/>
      <c r="J1144" s="2">
        <f ca="1">IFERROR(__xludf.DUMMYFUNCTION("""COMPUTED_VALUE"""),4700)</f>
        <v>4700</v>
      </c>
      <c r="K1144" s="2">
        <f ca="1">IFERROR(__xludf.DUMMYFUNCTION("""COMPUTED_VALUE"""),10200)</f>
        <v>10200</v>
      </c>
      <c r="L1144" s="2" t="str">
        <f ca="1">IFERROR(__xludf.DUMMYFUNCTION("""COMPUTED_VALUE"""),"44605148")</f>
        <v>44605148</v>
      </c>
      <c r="M1144" s="2" t="str">
        <f ca="1">IFERROR(__xludf.DUMMYFUNCTION("""COMPUTED_VALUE"""),"Malbec")</f>
        <v>Malbec</v>
      </c>
      <c r="N1144" s="2"/>
      <c r="O1144" s="2" t="str">
        <f ca="1">IFERROR(__xludf.DUMMYFUNCTION("""COMPUTED_VALUE"""),"Filtrado Tang")</f>
        <v>Filtrado Tang</v>
      </c>
      <c r="P1144" s="2"/>
      <c r="Q1144" s="2" t="b">
        <f ca="1">IFERROR(__xludf.DUMMYFUNCTION("""COMPUTED_VALUE"""),FALSE)</f>
        <v>0</v>
      </c>
      <c r="R1144" s="2" t="str">
        <f ca="1">IFERROR(__xludf.DUMMYFUNCTION("""COMPUTED_VALUE"""),"Filtrado Tang")</f>
        <v>Filtrado Tang</v>
      </c>
      <c r="S1144" s="2"/>
      <c r="T1144" s="2"/>
      <c r="U1144" s="2" t="str">
        <f ca="1">IFERROR(__xludf.DUMMYFUNCTION("""COMPUTED_VALUE"""),"1")</f>
        <v>1</v>
      </c>
    </row>
    <row r="1145" spans="1:21" x14ac:dyDescent="0.25">
      <c r="A1145" s="2" t="str">
        <f ca="1">IFERROR(__xludf.DUMMYFUNCTION("""COMPUTED_VALUE"""),"7b8b5c67")</f>
        <v>7b8b5c67</v>
      </c>
      <c r="B1145" s="5">
        <f ca="1">IFERROR(__xludf.DUMMYFUNCTION("""COMPUTED_VALUE"""),46049.7388888888)</f>
        <v>46049.738888888802</v>
      </c>
      <c r="C1145" s="2" t="str">
        <f ca="1">IFERROR(__xludf.DUMMYFUNCTION("""COMPUTED_VALUE"""),"cda56963")</f>
        <v>cda56963</v>
      </c>
      <c r="D1145" s="2">
        <f ca="1">IFERROR(__xludf.DUMMYFUNCTION("""COMPUTED_VALUE"""),15)</f>
        <v>15</v>
      </c>
      <c r="E1145" s="2" t="str">
        <f ca="1">IFERROR(__xludf.DUMMYFUNCTION("""COMPUTED_VALUE"""),"Anccelotta Aspirant")</f>
        <v>Anccelotta Aspirant</v>
      </c>
      <c r="F1145" s="2">
        <f ca="1">IFERROR(__xludf.DUMMYFUNCTION("""COMPUTED_VALUE"""),2100)</f>
        <v>2100</v>
      </c>
      <c r="G1145" s="2">
        <f ca="1">IFERROR(__xludf.DUMMYFUNCTION("""COMPUTED_VALUE"""),500)</f>
        <v>500</v>
      </c>
      <c r="H1145" s="2" t="str">
        <f ca="1">IFERROR(__xludf.DUMMYFUNCTION("""COMPUTED_VALUE"""),"44605148")</f>
        <v>44605148</v>
      </c>
      <c r="I1145" s="2" t="str">
        <f ca="1">IFERROR(__xludf.DUMMYFUNCTION("""COMPUTED_VALUE"""),"Malbec")</f>
        <v>Malbec</v>
      </c>
      <c r="J1145" s="2">
        <f ca="1">IFERROR(__xludf.DUMMYFUNCTION("""COMPUTED_VALUE"""),10200)</f>
        <v>10200</v>
      </c>
      <c r="K1145" s="2">
        <f ca="1">IFERROR(__xludf.DUMMYFUNCTION("""COMPUTED_VALUE"""),12300)</f>
        <v>12300</v>
      </c>
      <c r="L1145" s="2" t="str">
        <f ca="1">IFERROR(__xludf.DUMMYFUNCTION("""COMPUTED_VALUE"""),"a17d4d76")</f>
        <v>a17d4d76</v>
      </c>
      <c r="M1145" s="2" t="str">
        <f ca="1">IFERROR(__xludf.DUMMYFUNCTION("""COMPUTED_VALUE"""),"Ajuste Venta")</f>
        <v>Ajuste Venta</v>
      </c>
      <c r="N1145" s="2"/>
      <c r="O1145" s="2" t="str">
        <f ca="1">IFERROR(__xludf.DUMMYFUNCTION("""COMPUTED_VALUE"""),"Filtrado Tang")</f>
        <v>Filtrado Tang</v>
      </c>
      <c r="P1145" s="2" t="str">
        <f ca="1">IFERROR(__xludf.DUMMYFUNCTION("""COMPUTED_VALUE"""),"Filtrado Tang")</f>
        <v>Filtrado Tang</v>
      </c>
      <c r="Q1145" s="2" t="b">
        <f ca="1">IFERROR(__xludf.DUMMYFUNCTION("""COMPUTED_VALUE"""),FALSE)</f>
        <v>0</v>
      </c>
      <c r="R1145" s="2" t="str">
        <f ca="1">IFERROR(__xludf.DUMMYFUNCTION("""COMPUTED_VALUE"""),"Filtrado Tang")</f>
        <v>Filtrado Tang</v>
      </c>
      <c r="S1145" s="2"/>
      <c r="T1145" s="2"/>
      <c r="U1145" s="2" t="str">
        <f ca="1">IFERROR(__xludf.DUMMYFUNCTION("""COMPUTED_VALUE"""),"1-")</f>
        <v>1-</v>
      </c>
    </row>
    <row r="1146" spans="1:21" x14ac:dyDescent="0.25">
      <c r="A1146" s="2" t="str">
        <f ca="1">IFERROR(__xludf.DUMMYFUNCTION("""COMPUTED_VALUE"""),"477ca5b6")</f>
        <v>477ca5b6</v>
      </c>
      <c r="B1146" s="5">
        <f ca="1">IFERROR(__xludf.DUMMYFUNCTION("""COMPUTED_VALUE"""),46049.7401273148)</f>
        <v>46049.740127314799</v>
      </c>
      <c r="C1146" s="2" t="str">
        <f ca="1">IFERROR(__xludf.DUMMYFUNCTION("""COMPUTED_VALUE"""),"cdfb4c74")</f>
        <v>cdfb4c74</v>
      </c>
      <c r="D1146" s="2">
        <f ca="1">IFERROR(__xludf.DUMMYFUNCTION("""COMPUTED_VALUE"""),74)</f>
        <v>74</v>
      </c>
      <c r="E1146" s="2" t="str">
        <f ca="1">IFERROR(__xludf.DUMMYFUNCTION("""COMPUTED_VALUE"""),"Cabernet Sauvignon")</f>
        <v>Cabernet Sauvignon</v>
      </c>
      <c r="F1146" s="2">
        <f ca="1">IFERROR(__xludf.DUMMYFUNCTION("""COMPUTED_VALUE"""),500)</f>
        <v>500</v>
      </c>
      <c r="G1146" s="2">
        <f ca="1">IFERROR(__xludf.DUMMYFUNCTION("""COMPUTED_VALUE"""),500)</f>
        <v>500</v>
      </c>
      <c r="H1146" s="2" t="str">
        <f ca="1">IFERROR(__xludf.DUMMYFUNCTION("""COMPUTED_VALUE"""),"a17d4d76")</f>
        <v>a17d4d76</v>
      </c>
      <c r="I1146" s="2" t="str">
        <f ca="1">IFERROR(__xludf.DUMMYFUNCTION("""COMPUTED_VALUE"""),"Ajuste Venta")</f>
        <v>Ajuste Venta</v>
      </c>
      <c r="J1146" s="2">
        <f ca="1">IFERROR(__xludf.DUMMYFUNCTION("""COMPUTED_VALUE"""),12300)</f>
        <v>12300</v>
      </c>
      <c r="K1146" s="2">
        <f ca="1">IFERROR(__xludf.DUMMYFUNCTION("""COMPUTED_VALUE"""),12800)</f>
        <v>12800</v>
      </c>
      <c r="L1146" s="2" t="str">
        <f ca="1">IFERROR(__xludf.DUMMYFUNCTION("""COMPUTED_VALUE"""),"b46fc490")</f>
        <v>b46fc490</v>
      </c>
      <c r="M1146" s="2" t="str">
        <f ca="1">IFERROR(__xludf.DUMMYFUNCTION("""COMPUTED_VALUE"""),"Ajuste Venta")</f>
        <v>Ajuste Venta</v>
      </c>
      <c r="N1146" s="2"/>
      <c r="O1146" s="2" t="str">
        <f ca="1">IFERROR(__xludf.DUMMYFUNCTION("""COMPUTED_VALUE"""),"Filtrado Tang")</f>
        <v>Filtrado Tang</v>
      </c>
      <c r="P1146" s="2" t="str">
        <f ca="1">IFERROR(__xludf.DUMMYFUNCTION("""COMPUTED_VALUE"""),"Filtrado Tang")</f>
        <v>Filtrado Tang</v>
      </c>
      <c r="Q1146" s="2" t="b">
        <f ca="1">IFERROR(__xludf.DUMMYFUNCTION("""COMPUTED_VALUE"""),TRUE)</f>
        <v>1</v>
      </c>
      <c r="R1146" s="2" t="str">
        <f ca="1">IFERROR(__xludf.DUMMYFUNCTION("""COMPUTED_VALUE"""),"Filtrado Tang")</f>
        <v>Filtrado Tang</v>
      </c>
      <c r="S1146" s="2"/>
      <c r="T1146" s="2"/>
      <c r="U1146" s="2" t="str">
        <f ca="1">IFERROR(__xludf.DUMMYFUNCTION("""COMPUTED_VALUE"""),"1-")</f>
        <v>1-</v>
      </c>
    </row>
    <row r="1147" spans="1:21" x14ac:dyDescent="0.25">
      <c r="A1147" s="2" t="str">
        <f ca="1">IFERROR(__xludf.DUMMYFUNCTION("""COMPUTED_VALUE"""),"676f8d66")</f>
        <v>676f8d66</v>
      </c>
      <c r="B1147" s="5">
        <f ca="1">IFERROR(__xludf.DUMMYFUNCTION("""COMPUTED_VALUE"""),46059.4715046296)</f>
        <v>46059.471504629597</v>
      </c>
      <c r="C1147" s="2" t="str">
        <f ca="1">IFERROR(__xludf.DUMMYFUNCTION("""COMPUTED_VALUE"""),"4c4ed750")</f>
        <v>4c4ed750</v>
      </c>
      <c r="D1147" s="2">
        <f ca="1">IFERROR(__xludf.DUMMYFUNCTION("""COMPUTED_VALUE"""),125)</f>
        <v>125</v>
      </c>
      <c r="E1147" s="2" t="str">
        <f ca="1">IFERROR(__xludf.DUMMYFUNCTION("""COMPUTED_VALUE"""),"Chardonnay Mosto a Flotar")</f>
        <v>Chardonnay Mosto a Flotar</v>
      </c>
      <c r="F1147" s="2">
        <f ca="1">IFERROR(__xludf.DUMMYFUNCTION("""COMPUTED_VALUE"""),20000)</f>
        <v>20000</v>
      </c>
      <c r="G1147" s="2">
        <f ca="1">IFERROR(__xludf.DUMMYFUNCTION("""COMPUTED_VALUE"""),8)</f>
        <v>8</v>
      </c>
      <c r="H1147" s="2"/>
      <c r="I1147" s="2"/>
      <c r="J1147" s="2">
        <f ca="1">IFERROR(__xludf.DUMMYFUNCTION("""COMPUTED_VALUE"""),0)</f>
        <v>0</v>
      </c>
      <c r="K1147" s="2">
        <f ca="1">IFERROR(__xludf.DUMMYFUNCTION("""COMPUTED_VALUE"""),20000)</f>
        <v>20000</v>
      </c>
      <c r="L1147" s="2" t="str">
        <f ca="1">IFERROR(__xludf.DUMMYFUNCTION("""COMPUTED_VALUE"""),"bc31113b")</f>
        <v>bc31113b</v>
      </c>
      <c r="M1147" s="2" t="str">
        <f ca="1">IFERROR(__xludf.DUMMYFUNCTION("""COMPUTED_VALUE"""),"Chardonnay Mosto Rect")</f>
        <v>Chardonnay Mosto Rect</v>
      </c>
      <c r="N1147" s="2"/>
      <c r="O1147" s="2"/>
      <c r="P1147" s="2"/>
      <c r="Q1147" s="2" t="b">
        <f ca="1">IFERROR(__xludf.DUMMYFUNCTION("""COMPUTED_VALUE"""),FALSE)</f>
        <v>0</v>
      </c>
      <c r="R1147" s="2" t="str">
        <f ca="1">IFERROR(__xludf.DUMMYFUNCTION("""COMPUTED_VALUE"""),"Rectificado")</f>
        <v>Rectificado</v>
      </c>
      <c r="S1147" s="2"/>
      <c r="T1147" s="2"/>
      <c r="U1147" s="2"/>
    </row>
    <row r="1148" spans="1:21" x14ac:dyDescent="0.25">
      <c r="A1148" s="2" t="str">
        <f ca="1">IFERROR(__xludf.DUMMYFUNCTION("""COMPUTED_VALUE"""),"a01785a0")</f>
        <v>a01785a0</v>
      </c>
      <c r="B1148" s="5">
        <f ca="1">IFERROR(__xludf.DUMMYFUNCTION("""COMPUTED_VALUE"""),46059.4721412037)</f>
        <v>46059.472141203703</v>
      </c>
      <c r="C1148" s="2" t="str">
        <f ca="1">IFERROR(__xludf.DUMMYFUNCTION("""COMPUTED_VALUE"""),"4c4ed750")</f>
        <v>4c4ed750</v>
      </c>
      <c r="D1148" s="2">
        <f ca="1">IFERROR(__xludf.DUMMYFUNCTION("""COMPUTED_VALUE"""),125)</f>
        <v>125</v>
      </c>
      <c r="E1148" s="2" t="str">
        <f ca="1">IFERROR(__xludf.DUMMYFUNCTION("""COMPUTED_VALUE"""),"Chardonnay Mosto a Flotar")</f>
        <v>Chardonnay Mosto a Flotar</v>
      </c>
      <c r="F1148" s="2">
        <f ca="1">IFERROR(__xludf.DUMMYFUNCTION("""COMPUTED_VALUE"""),2000)</f>
        <v>2000</v>
      </c>
      <c r="G1148" s="2">
        <f ca="1">IFERROR(__xludf.DUMMYFUNCTION("""COMPUTED_VALUE"""),73)</f>
        <v>73</v>
      </c>
      <c r="H1148" s="2"/>
      <c r="I1148" s="2"/>
      <c r="J1148" s="2">
        <f ca="1">IFERROR(__xludf.DUMMYFUNCTION("""COMPUTED_VALUE"""),0)</f>
        <v>0</v>
      </c>
      <c r="K1148" s="2">
        <f ca="1">IFERROR(__xludf.DUMMYFUNCTION("""COMPUTED_VALUE"""),2000)</f>
        <v>2000</v>
      </c>
      <c r="L1148" s="2" t="str">
        <f ca="1">IFERROR(__xludf.DUMMYFUNCTION("""COMPUTED_VALUE"""),"0ca9d715")</f>
        <v>0ca9d715</v>
      </c>
      <c r="M1148" s="2" t="str">
        <f ca="1">IFERROR(__xludf.DUMMYFUNCTION("""COMPUTED_VALUE"""),"Chardonnay Mosto Borra")</f>
        <v>Chardonnay Mosto Borra</v>
      </c>
      <c r="N1148" s="2"/>
      <c r="O1148" s="2" t="str">
        <f ca="1">IFERROR(__xludf.DUMMYFUNCTION("""COMPUTED_VALUE"""),"Mosto")</f>
        <v>Mosto</v>
      </c>
      <c r="P1148" s="2"/>
      <c r="Q1148" s="2" t="b">
        <f ca="1">IFERROR(__xludf.DUMMYFUNCTION("""COMPUTED_VALUE"""),FALSE)</f>
        <v>0</v>
      </c>
      <c r="R1148" s="2"/>
      <c r="S1148" s="2"/>
      <c r="T1148" s="2"/>
      <c r="U1148" s="2"/>
    </row>
    <row r="1149" spans="1:21" x14ac:dyDescent="0.25">
      <c r="A1149" s="2" t="str">
        <f ca="1">IFERROR(__xludf.DUMMYFUNCTION("""COMPUTED_VALUE"""),"7c278e58")</f>
        <v>7c278e58</v>
      </c>
      <c r="B1149" s="5">
        <f ca="1">IFERROR(__xludf.DUMMYFUNCTION("""COMPUTED_VALUE"""),46062.7420254629)</f>
        <v>46062.742025462903</v>
      </c>
      <c r="C1149" s="2" t="str">
        <f ca="1">IFERROR(__xludf.DUMMYFUNCTION("""COMPUTED_VALUE"""),"0ca9d715")</f>
        <v>0ca9d715</v>
      </c>
      <c r="D1149" s="2">
        <f ca="1">IFERROR(__xludf.DUMMYFUNCTION("""COMPUTED_VALUE"""),73)</f>
        <v>73</v>
      </c>
      <c r="E1149" s="2" t="str">
        <f ca="1">IFERROR(__xludf.DUMMYFUNCTION("""COMPUTED_VALUE"""),"Chardonnay Mosto Borra")</f>
        <v>Chardonnay Mosto Borra</v>
      </c>
      <c r="F1149" s="2">
        <f ca="1">IFERROR(__xludf.DUMMYFUNCTION("""COMPUTED_VALUE"""),1800)</f>
        <v>1800</v>
      </c>
      <c r="G1149" s="2">
        <f ca="1">IFERROR(__xludf.DUMMYFUNCTION("""COMPUTED_VALUE"""),8)</f>
        <v>8</v>
      </c>
      <c r="H1149" s="2" t="str">
        <f ca="1">IFERROR(__xludf.DUMMYFUNCTION("""COMPUTED_VALUE"""),"bc31113b")</f>
        <v>bc31113b</v>
      </c>
      <c r="I1149" s="2" t="str">
        <f ca="1">IFERROR(__xludf.DUMMYFUNCTION("""COMPUTED_VALUE"""),"Chardonnay Mosto Rect")</f>
        <v>Chardonnay Mosto Rect</v>
      </c>
      <c r="J1149" s="2">
        <f ca="1">IFERROR(__xludf.DUMMYFUNCTION("""COMPUTED_VALUE"""),20000)</f>
        <v>20000</v>
      </c>
      <c r="K1149" s="2">
        <f ca="1">IFERROR(__xludf.DUMMYFUNCTION("""COMPUTED_VALUE"""),21800)</f>
        <v>21800</v>
      </c>
      <c r="L1149" s="2" t="str">
        <f ca="1">IFERROR(__xludf.DUMMYFUNCTION("""COMPUTED_VALUE"""),"28602ed3")</f>
        <v>28602ed3</v>
      </c>
      <c r="M1149" s="2" t="str">
        <f ca="1">IFERROR(__xludf.DUMMYFUNCTION("""COMPUTED_VALUE"""),"Chardonnay Mosto Borra")</f>
        <v>Chardonnay Mosto Borra</v>
      </c>
      <c r="N1149" s="2"/>
      <c r="O1149" s="2"/>
      <c r="P1149" s="2" t="str">
        <f ca="1">IFERROR(__xludf.DUMMYFUNCTION("""COMPUTED_VALUE"""),"Rectificado")</f>
        <v>Rectificado</v>
      </c>
      <c r="Q1149" s="2" t="b">
        <f ca="1">IFERROR(__xludf.DUMMYFUNCTION("""COMPUTED_VALUE"""),FALSE)</f>
        <v>0</v>
      </c>
      <c r="R1149" s="2"/>
      <c r="S1149" s="2"/>
      <c r="T1149" s="2"/>
      <c r="U1149" s="2"/>
    </row>
    <row r="1150" spans="1:21" x14ac:dyDescent="0.25">
      <c r="A1150" s="2" t="str">
        <f ca="1">IFERROR(__xludf.DUMMYFUNCTION("""COMPUTED_VALUE"""),"a54fe1ea")</f>
        <v>a54fe1ea</v>
      </c>
      <c r="B1150" s="5">
        <f ca="1">IFERROR(__xludf.DUMMYFUNCTION("""COMPUTED_VALUE"""),46063.7839814814)</f>
        <v>46063.7839814814</v>
      </c>
      <c r="C1150" s="2" t="str">
        <f ca="1">IFERROR(__xludf.DUMMYFUNCTION("""COMPUTED_VALUE"""),"28602ed3")</f>
        <v>28602ed3</v>
      </c>
      <c r="D1150" s="2">
        <f ca="1">IFERROR(__xludf.DUMMYFUNCTION("""COMPUTED_VALUE"""),8)</f>
        <v>8</v>
      </c>
      <c r="E1150" s="2" t="str">
        <f ca="1">IFERROR(__xludf.DUMMYFUNCTION("""COMPUTED_VALUE"""),"Chardonnay")</f>
        <v>Chardonnay</v>
      </c>
      <c r="F1150" s="2">
        <f ca="1">IFERROR(__xludf.DUMMYFUNCTION("""COMPUTED_VALUE"""),21800)</f>
        <v>21800</v>
      </c>
      <c r="G1150" s="2">
        <f ca="1">IFERROR(__xludf.DUMMYFUNCTION("""COMPUTED_VALUE"""),46)</f>
        <v>46</v>
      </c>
      <c r="H1150" s="2"/>
      <c r="I1150" s="2"/>
      <c r="J1150" s="2">
        <f ca="1">IFERROR(__xludf.DUMMYFUNCTION("""COMPUTED_VALUE"""),0)</f>
        <v>0</v>
      </c>
      <c r="K1150" s="2">
        <f ca="1">IFERROR(__xludf.DUMMYFUNCTION("""COMPUTED_VALUE"""),21800)</f>
        <v>21800</v>
      </c>
      <c r="L1150" s="2" t="str">
        <f ca="1">IFERROR(__xludf.DUMMYFUNCTION("""COMPUTED_VALUE"""),"f47daeb3")</f>
        <v>f47daeb3</v>
      </c>
      <c r="M1150" s="2" t="str">
        <f ca="1">IFERROR(__xludf.DUMMYFUNCTION("""COMPUTED_VALUE"""),"Chardonnay")</f>
        <v>Chardonnay</v>
      </c>
      <c r="N1150" s="2"/>
      <c r="O1150" s="2" t="str">
        <f ca="1">IFERROR(__xludf.DUMMYFUNCTION("""COMPUTED_VALUE"""),"Rectificado")</f>
        <v>Rectificado</v>
      </c>
      <c r="P1150" s="2"/>
      <c r="Q1150" s="2" t="b">
        <f ca="1">IFERROR(__xludf.DUMMYFUNCTION("""COMPUTED_VALUE"""),FALSE)</f>
        <v>0</v>
      </c>
      <c r="R1150" s="2" t="str">
        <f ca="1">IFERROR(__xludf.DUMMYFUNCTION("""COMPUTED_VALUE"""),"Rectificado")</f>
        <v>Rectificado</v>
      </c>
      <c r="S1150" s="2"/>
      <c r="T1150" s="2"/>
      <c r="U1150" s="2"/>
    </row>
    <row r="1151" spans="1:21" x14ac:dyDescent="0.25">
      <c r="A1151" s="2" t="str">
        <f ca="1">IFERROR(__xludf.DUMMYFUNCTION("""COMPUTED_VALUE"""),"1f13e7a3")</f>
        <v>1f13e7a3</v>
      </c>
      <c r="B1151" s="5">
        <f ca="1">IFERROR(__xludf.DUMMYFUNCTION("""COMPUTED_VALUE"""),46063.7844907407)</f>
        <v>46063.784490740698</v>
      </c>
      <c r="C1151" s="2" t="str">
        <f ca="1">IFERROR(__xludf.DUMMYFUNCTION("""COMPUTED_VALUE"""),"f47daeb3")</f>
        <v>f47daeb3</v>
      </c>
      <c r="D1151" s="2">
        <f ca="1">IFERROR(__xludf.DUMMYFUNCTION("""COMPUTED_VALUE"""),46)</f>
        <v>46</v>
      </c>
      <c r="E1151" s="2" t="str">
        <f ca="1">IFERROR(__xludf.DUMMYFUNCTION("""COMPUTED_VALUE"""),"Chardonnay")</f>
        <v>Chardonnay</v>
      </c>
      <c r="F1151" s="2">
        <f ca="1">IFERROR(__xludf.DUMMYFUNCTION("""COMPUTED_VALUE"""),5700)</f>
        <v>5700</v>
      </c>
      <c r="G1151" s="2">
        <f ca="1">IFERROR(__xludf.DUMMYFUNCTION("""COMPUTED_VALUE"""),77)</f>
        <v>77</v>
      </c>
      <c r="H1151" s="2" t="str">
        <f ca="1">IFERROR(__xludf.DUMMYFUNCTION("""COMPUTED_VALUE"""),"70dfdd05")</f>
        <v>70dfdd05</v>
      </c>
      <c r="I1151" s="2" t="str">
        <f ca="1">IFERROR(__xludf.DUMMYFUNCTION("""COMPUTED_VALUE"""),"Chardonnay")</f>
        <v>Chardonnay</v>
      </c>
      <c r="J1151" s="2">
        <f ca="1">IFERROR(__xludf.DUMMYFUNCTION("""COMPUTED_VALUE"""),19800)</f>
        <v>19800</v>
      </c>
      <c r="K1151" s="2">
        <f ca="1">IFERROR(__xludf.DUMMYFUNCTION("""COMPUTED_VALUE"""),25500)</f>
        <v>25500</v>
      </c>
      <c r="L1151" s="2" t="str">
        <f ca="1">IFERROR(__xludf.DUMMYFUNCTION("""COMPUTED_VALUE"""),"6925ca3a")</f>
        <v>6925ca3a</v>
      </c>
      <c r="M1151" s="2" t="str">
        <f ca="1">IFERROR(__xludf.DUMMYFUNCTION("""COMPUTED_VALUE"""),"Chardonnay")</f>
        <v>Chardonnay</v>
      </c>
      <c r="N1151" s="2" t="str">
        <f ca="1">IFERROR(__xludf.DUMMYFUNCTION("""COMPUTED_VALUE"""),"Correcion PH con rectificado")</f>
        <v>Correcion PH con rectificado</v>
      </c>
      <c r="O1151" s="2" t="str">
        <f ca="1">IFERROR(__xludf.DUMMYFUNCTION("""COMPUTED_VALUE"""),"Rectificado")</f>
        <v>Rectificado</v>
      </c>
      <c r="P1151" s="2" t="str">
        <f ca="1">IFERROR(__xludf.DUMMYFUNCTION("""COMPUTED_VALUE"""),"Fermentando")</f>
        <v>Fermentando</v>
      </c>
      <c r="Q1151" s="2" t="b">
        <f ca="1">IFERROR(__xludf.DUMMYFUNCTION("""COMPUTED_VALUE"""),TRUE)</f>
        <v>1</v>
      </c>
      <c r="R1151" s="2" t="str">
        <f ca="1">IFERROR(__xludf.DUMMYFUNCTION("""COMPUTED_VALUE"""),"Fermentando")</f>
        <v>Fermentando</v>
      </c>
      <c r="S1151" s="2"/>
      <c r="T1151" s="2"/>
      <c r="U1151" s="2"/>
    </row>
    <row r="1152" spans="1:21" x14ac:dyDescent="0.25">
      <c r="A1152" s="2" t="str">
        <f ca="1">IFERROR(__xludf.DUMMYFUNCTION("""COMPUTED_VALUE"""),"266ad904")</f>
        <v>266ad904</v>
      </c>
      <c r="B1152" s="5">
        <f ca="1">IFERROR(__xludf.DUMMYFUNCTION("""COMPUTED_VALUE"""),46064.5261921296)</f>
        <v>46064.526192129597</v>
      </c>
      <c r="C1152" s="2" t="str">
        <f ca="1">IFERROR(__xludf.DUMMYFUNCTION("""COMPUTED_VALUE"""),"bdb48937")</f>
        <v>bdb48937</v>
      </c>
      <c r="D1152" s="2">
        <f ca="1">IFERROR(__xludf.DUMMYFUNCTION("""COMPUTED_VALUE"""),80)</f>
        <v>80</v>
      </c>
      <c r="E1152" s="2" t="str">
        <f ca="1">IFERROR(__xludf.DUMMYFUNCTION("""COMPUTED_VALUE"""),"Chardonnay")</f>
        <v>Chardonnay</v>
      </c>
      <c r="F1152" s="2">
        <f ca="1">IFERROR(__xludf.DUMMYFUNCTION("""COMPUTED_VALUE"""),400)</f>
        <v>400</v>
      </c>
      <c r="G1152" s="2">
        <f ca="1">IFERROR(__xludf.DUMMYFUNCTION("""COMPUTED_VALUE"""),73)</f>
        <v>73</v>
      </c>
      <c r="H1152" s="2" t="str">
        <f ca="1">IFERROR(__xludf.DUMMYFUNCTION("""COMPUTED_VALUE"""),"0ca9d715")</f>
        <v>0ca9d715</v>
      </c>
      <c r="I1152" s="2" t="str">
        <f ca="1">IFERROR(__xludf.DUMMYFUNCTION("""COMPUTED_VALUE"""),"Chardonnay Mosto Borra")</f>
        <v>Chardonnay Mosto Borra</v>
      </c>
      <c r="J1152" s="2">
        <f ca="1">IFERROR(__xludf.DUMMYFUNCTION("""COMPUTED_VALUE"""),200)</f>
        <v>200</v>
      </c>
      <c r="K1152" s="2">
        <f ca="1">IFERROR(__xludf.DUMMYFUNCTION("""COMPUTED_VALUE"""),600)</f>
        <v>600</v>
      </c>
      <c r="L1152" s="2" t="str">
        <f ca="1">IFERROR(__xludf.DUMMYFUNCTION("""COMPUTED_VALUE"""),"eb29fd07")</f>
        <v>eb29fd07</v>
      </c>
      <c r="M1152" s="2" t="str">
        <f ca="1">IFERROR(__xludf.DUMMYFUNCTION("""COMPUTED_VALUE"""),"Chardonnay Mosto Borra")</f>
        <v>Chardonnay Mosto Borra</v>
      </c>
      <c r="N1152" s="2"/>
      <c r="O1152" s="2" t="str">
        <f ca="1">IFERROR(__xludf.DUMMYFUNCTION("""COMPUTED_VALUE"""),"Fermentando")</f>
        <v>Fermentando</v>
      </c>
      <c r="P1152" s="2"/>
      <c r="Q1152" s="2" t="b">
        <f ca="1">IFERROR(__xludf.DUMMYFUNCTION("""COMPUTED_VALUE"""),TRUE)</f>
        <v>1</v>
      </c>
      <c r="R1152" s="2"/>
      <c r="S1152" s="2"/>
      <c r="T1152" s="2"/>
      <c r="U1152" s="2"/>
    </row>
    <row r="1153" spans="1:21" x14ac:dyDescent="0.25">
      <c r="A1153" s="2" t="str">
        <f ca="1">IFERROR(__xludf.DUMMYFUNCTION("""COMPUTED_VALUE"""),"e5941849")</f>
        <v>e5941849</v>
      </c>
      <c r="B1153" s="5">
        <f ca="1">IFERROR(__xludf.DUMMYFUNCTION("""COMPUTED_VALUE"""),46065.4574652777)</f>
        <v>46065.457465277701</v>
      </c>
      <c r="C1153" s="2" t="str">
        <f ca="1">IFERROR(__xludf.DUMMYFUNCTION("""COMPUTED_VALUE"""),"5b2fb85c")</f>
        <v>5b2fb85c</v>
      </c>
      <c r="D1153" s="2">
        <f ca="1">IFERROR(__xludf.DUMMYFUNCTION("""COMPUTED_VALUE"""),65)</f>
        <v>65</v>
      </c>
      <c r="E1153" s="2" t="str">
        <f ca="1">IFERROR(__xludf.DUMMYFUNCTION("""COMPUTED_VALUE"""),"Chardonnay Ch")</f>
        <v>Chardonnay Ch</v>
      </c>
      <c r="F1153" s="2">
        <f ca="1">IFERROR(__xludf.DUMMYFUNCTION("""COMPUTED_VALUE"""),20000)</f>
        <v>20000</v>
      </c>
      <c r="G1153" s="2">
        <f ca="1">IFERROR(__xludf.DUMMYFUNCTION("""COMPUTED_VALUE"""),8)</f>
        <v>8</v>
      </c>
      <c r="H1153" s="2"/>
      <c r="I1153" s="2"/>
      <c r="J1153" s="2">
        <f ca="1">IFERROR(__xludf.DUMMYFUNCTION("""COMPUTED_VALUE"""),0)</f>
        <v>0</v>
      </c>
      <c r="K1153" s="2">
        <f ca="1">IFERROR(__xludf.DUMMYFUNCTION("""COMPUTED_VALUE"""),20000)</f>
        <v>20000</v>
      </c>
      <c r="L1153" s="2" t="str">
        <f ca="1">IFERROR(__xludf.DUMMYFUNCTION("""COMPUTED_VALUE"""),"f239cd0f")</f>
        <v>f239cd0f</v>
      </c>
      <c r="M1153" s="2" t="str">
        <f ca="1">IFERROR(__xludf.DUMMYFUNCTION("""COMPUTED_VALUE"""),"Chardonnay Ch")</f>
        <v>Chardonnay Ch</v>
      </c>
      <c r="N1153" s="2"/>
      <c r="O1153" s="2" t="str">
        <f ca="1">IFERROR(__xludf.DUMMYFUNCTION("""COMPUTED_VALUE"""),"Mosto")</f>
        <v>Mosto</v>
      </c>
      <c r="P1153" s="2"/>
      <c r="Q1153" s="2" t="b">
        <f ca="1">IFERROR(__xludf.DUMMYFUNCTION("""COMPUTED_VALUE"""),FALSE)</f>
        <v>0</v>
      </c>
      <c r="R1153" s="2" t="str">
        <f ca="1">IFERROR(__xludf.DUMMYFUNCTION("""COMPUTED_VALUE"""),"Mosto")</f>
        <v>Mosto</v>
      </c>
      <c r="S1153" s="2"/>
      <c r="T1153" s="2"/>
      <c r="U1153" s="2"/>
    </row>
    <row r="1154" spans="1:21" x14ac:dyDescent="0.25">
      <c r="A1154" s="2" t="str">
        <f ca="1">IFERROR(__xludf.DUMMYFUNCTION("""COMPUTED_VALUE"""),"bcce2d0f")</f>
        <v>bcce2d0f</v>
      </c>
      <c r="B1154" s="5">
        <f ca="1">IFERROR(__xludf.DUMMYFUNCTION("""COMPUTED_VALUE"""),46065.4716782407)</f>
        <v>46065.471678240698</v>
      </c>
      <c r="C1154" s="2" t="str">
        <f ca="1">IFERROR(__xludf.DUMMYFUNCTION("""COMPUTED_VALUE"""),"5b2fb85c")</f>
        <v>5b2fb85c</v>
      </c>
      <c r="D1154" s="2">
        <f ca="1">IFERROR(__xludf.DUMMYFUNCTION("""COMPUTED_VALUE"""),65)</f>
        <v>65</v>
      </c>
      <c r="E1154" s="2" t="str">
        <f ca="1">IFERROR(__xludf.DUMMYFUNCTION("""COMPUTED_VALUE"""),"Chardonnay Ch")</f>
        <v>Chardonnay Ch</v>
      </c>
      <c r="F1154" s="2">
        <f ca="1">IFERROR(__xludf.DUMMYFUNCTION("""COMPUTED_VALUE"""),9500)</f>
        <v>9500</v>
      </c>
      <c r="G1154" s="2">
        <f ca="1">IFERROR(__xludf.DUMMYFUNCTION("""COMPUTED_VALUE"""),70)</f>
        <v>70</v>
      </c>
      <c r="H1154" s="2"/>
      <c r="I1154" s="2"/>
      <c r="J1154" s="2">
        <f ca="1">IFERROR(__xludf.DUMMYFUNCTION("""COMPUTED_VALUE"""),0)</f>
        <v>0</v>
      </c>
      <c r="K1154" s="2">
        <f ca="1">IFERROR(__xludf.DUMMYFUNCTION("""COMPUTED_VALUE"""),9500)</f>
        <v>9500</v>
      </c>
      <c r="L1154" s="2" t="str">
        <f ca="1">IFERROR(__xludf.DUMMYFUNCTION("""COMPUTED_VALUE"""),"fcac940b")</f>
        <v>fcac940b</v>
      </c>
      <c r="M1154" s="2" t="str">
        <f ca="1">IFERROR(__xludf.DUMMYFUNCTION("""COMPUTED_VALUE"""),"Chardonnay Ch")</f>
        <v>Chardonnay Ch</v>
      </c>
      <c r="N1154" s="2"/>
      <c r="O1154" s="2" t="str">
        <f ca="1">IFERROR(__xludf.DUMMYFUNCTION("""COMPUTED_VALUE"""),"Mosto")</f>
        <v>Mosto</v>
      </c>
      <c r="P1154" s="2"/>
      <c r="Q1154" s="2" t="b">
        <f ca="1">IFERROR(__xludf.DUMMYFUNCTION("""COMPUTED_VALUE"""),FALSE)</f>
        <v>0</v>
      </c>
      <c r="R1154" s="2" t="str">
        <f ca="1">IFERROR(__xludf.DUMMYFUNCTION("""COMPUTED_VALUE"""),"Fermentando")</f>
        <v>Fermentando</v>
      </c>
      <c r="S1154" s="2"/>
      <c r="T1154" s="2"/>
      <c r="U1154" s="2"/>
    </row>
    <row r="1155" spans="1:21" x14ac:dyDescent="0.25">
      <c r="A1155" s="2" t="str">
        <f ca="1">IFERROR(__xludf.DUMMYFUNCTION("""COMPUTED_VALUE"""),"69f49314")</f>
        <v>69f49314</v>
      </c>
      <c r="B1155" s="5">
        <f ca="1">IFERROR(__xludf.DUMMYFUNCTION("""COMPUTED_VALUE"""),46065.4764004629)</f>
        <v>46065.476400462903</v>
      </c>
      <c r="C1155" s="2" t="str">
        <f ca="1">IFERROR(__xludf.DUMMYFUNCTION("""COMPUTED_VALUE"""),"eb29fd07")</f>
        <v>eb29fd07</v>
      </c>
      <c r="D1155" s="2">
        <f ca="1">IFERROR(__xludf.DUMMYFUNCTION("""COMPUTED_VALUE"""),73)</f>
        <v>73</v>
      </c>
      <c r="E1155" s="2" t="str">
        <f ca="1">IFERROR(__xludf.DUMMYFUNCTION("""COMPUTED_VALUE"""),"Chardonnay Mosto Borra")</f>
        <v>Chardonnay Mosto Borra</v>
      </c>
      <c r="F1155" s="2">
        <f ca="1">IFERROR(__xludf.DUMMYFUNCTION("""COMPUTED_VALUE"""),600)</f>
        <v>600</v>
      </c>
      <c r="G1155" s="2">
        <f ca="1">IFERROR(__xludf.DUMMYFUNCTION("""COMPUTED_VALUE"""),70)</f>
        <v>70</v>
      </c>
      <c r="H1155" s="2" t="str">
        <f ca="1">IFERROR(__xludf.DUMMYFUNCTION("""COMPUTED_VALUE"""),"fcac940b")</f>
        <v>fcac940b</v>
      </c>
      <c r="I1155" s="2" t="str">
        <f ca="1">IFERROR(__xludf.DUMMYFUNCTION("""COMPUTED_VALUE"""),"Chardonnay Ch")</f>
        <v>Chardonnay Ch</v>
      </c>
      <c r="J1155" s="2">
        <f ca="1">IFERROR(__xludf.DUMMYFUNCTION("""COMPUTED_VALUE"""),9500)</f>
        <v>9500</v>
      </c>
      <c r="K1155" s="2">
        <f ca="1">IFERROR(__xludf.DUMMYFUNCTION("""COMPUTED_VALUE"""),10100)</f>
        <v>10100</v>
      </c>
      <c r="L1155" s="2" t="str">
        <f ca="1">IFERROR(__xludf.DUMMYFUNCTION("""COMPUTED_VALUE"""),"98184b4c")</f>
        <v>98184b4c</v>
      </c>
      <c r="M1155" s="2" t="str">
        <f ca="1">IFERROR(__xludf.DUMMYFUNCTION("""COMPUTED_VALUE"""),"Chardonnay Ch")</f>
        <v>Chardonnay Ch</v>
      </c>
      <c r="N1155" s="2"/>
      <c r="O1155" s="2"/>
      <c r="P1155" s="2" t="str">
        <f ca="1">IFERROR(__xludf.DUMMYFUNCTION("""COMPUTED_VALUE"""),"Fermentando")</f>
        <v>Fermentando</v>
      </c>
      <c r="Q1155" s="2" t="b">
        <f ca="1">IFERROR(__xludf.DUMMYFUNCTION("""COMPUTED_VALUE"""),TRUE)</f>
        <v>1</v>
      </c>
      <c r="R1155" s="2" t="str">
        <f ca="1">IFERROR(__xludf.DUMMYFUNCTION("""COMPUTED_VALUE"""),"Fermentando")</f>
        <v>Fermentando</v>
      </c>
      <c r="S1155" s="2"/>
      <c r="T1155" s="2"/>
      <c r="U1155" s="2"/>
    </row>
    <row r="1156" spans="1:21" x14ac:dyDescent="0.25">
      <c r="A1156" s="2" t="str">
        <f ca="1">IFERROR(__xludf.DUMMYFUNCTION("""COMPUTED_VALUE"""),"a0923f2b")</f>
        <v>a0923f2b</v>
      </c>
      <c r="B1156" s="5">
        <f ca="1">IFERROR(__xludf.DUMMYFUNCTION("""COMPUTED_VALUE"""),46065.478599537)</f>
        <v>46065.478599536997</v>
      </c>
      <c r="C1156" s="2" t="str">
        <f ca="1">IFERROR(__xludf.DUMMYFUNCTION("""COMPUTED_VALUE"""),"5b2fb85c")</f>
        <v>5b2fb85c</v>
      </c>
      <c r="D1156" s="2">
        <f ca="1">IFERROR(__xludf.DUMMYFUNCTION("""COMPUTED_VALUE"""),65)</f>
        <v>65</v>
      </c>
      <c r="E1156" s="2" t="str">
        <f ca="1">IFERROR(__xludf.DUMMYFUNCTION("""COMPUTED_VALUE"""),"Chardonnay Ch")</f>
        <v>Chardonnay Ch</v>
      </c>
      <c r="F1156" s="2">
        <f ca="1">IFERROR(__xludf.DUMMYFUNCTION("""COMPUTED_VALUE"""),3000)</f>
        <v>3000</v>
      </c>
      <c r="G1156" s="2">
        <f ca="1">IFERROR(__xludf.DUMMYFUNCTION("""COMPUTED_VALUE"""),14)</f>
        <v>14</v>
      </c>
      <c r="H1156" s="2"/>
      <c r="I1156" s="2"/>
      <c r="J1156" s="2">
        <f ca="1">IFERROR(__xludf.DUMMYFUNCTION("""COMPUTED_VALUE"""),0)</f>
        <v>0</v>
      </c>
      <c r="K1156" s="2">
        <f ca="1">IFERROR(__xludf.DUMMYFUNCTION("""COMPUTED_VALUE"""),3000)</f>
        <v>3000</v>
      </c>
      <c r="L1156" s="2" t="str">
        <f ca="1">IFERROR(__xludf.DUMMYFUNCTION("""COMPUTED_VALUE"""),"8cc08351")</f>
        <v>8cc08351</v>
      </c>
      <c r="M1156" s="2" t="str">
        <f ca="1">IFERROR(__xludf.DUMMYFUNCTION("""COMPUTED_VALUE"""),"Chardonnay Borra")</f>
        <v>Chardonnay Borra</v>
      </c>
      <c r="N1156" s="2"/>
      <c r="O1156" s="2" t="str">
        <f ca="1">IFERROR(__xludf.DUMMYFUNCTION("""COMPUTED_VALUE"""),"Mosto")</f>
        <v>Mosto</v>
      </c>
      <c r="P1156" s="2"/>
      <c r="Q1156" s="2" t="b">
        <f ca="1">IFERROR(__xludf.DUMMYFUNCTION("""COMPUTED_VALUE"""),FALSE)</f>
        <v>0</v>
      </c>
      <c r="R1156" s="2" t="str">
        <f ca="1">IFERROR(__xludf.DUMMYFUNCTION("""COMPUTED_VALUE"""),"Mosto")</f>
        <v>Mosto</v>
      </c>
      <c r="S1156" s="2"/>
      <c r="T1156" s="2"/>
      <c r="U1156" s="2"/>
    </row>
    <row r="1157" spans="1:21" x14ac:dyDescent="0.25">
      <c r="A1157" s="2" t="str">
        <f ca="1">IFERROR(__xludf.DUMMYFUNCTION("""COMPUTED_VALUE"""),"b76edb9a")</f>
        <v>b76edb9a</v>
      </c>
      <c r="B1157" s="5">
        <f ca="1">IFERROR(__xludf.DUMMYFUNCTION("""COMPUTED_VALUE"""),46066.693287037)</f>
        <v>46066.693287037</v>
      </c>
      <c r="C1157" s="2" t="str">
        <f ca="1">IFERROR(__xludf.DUMMYFUNCTION("""COMPUTED_VALUE"""),"aa2704ae")</f>
        <v>aa2704ae</v>
      </c>
      <c r="D1157" s="2">
        <f ca="1">IFERROR(__xludf.DUMMYFUNCTION("""COMPUTED_VALUE"""),79)</f>
        <v>79</v>
      </c>
      <c r="E1157" s="2" t="str">
        <f ca="1">IFERROR(__xludf.DUMMYFUNCTION("""COMPUTED_VALUE"""),"Malbec Rect")</f>
        <v>Malbec Rect</v>
      </c>
      <c r="F1157" s="2">
        <f ca="1">IFERROR(__xludf.DUMMYFUNCTION("""COMPUTED_VALUE"""),25700)</f>
        <v>25700</v>
      </c>
      <c r="G1157" s="2">
        <f ca="1">IFERROR(__xludf.DUMMYFUNCTION("""COMPUTED_VALUE"""),31)</f>
        <v>31</v>
      </c>
      <c r="H1157" s="2"/>
      <c r="I1157" s="2"/>
      <c r="J1157" s="2">
        <f ca="1">IFERROR(__xludf.DUMMYFUNCTION("""COMPUTED_VALUE"""),0)</f>
        <v>0</v>
      </c>
      <c r="K1157" s="2">
        <f ca="1">IFERROR(__xludf.DUMMYFUNCTION("""COMPUTED_VALUE"""),25700)</f>
        <v>25700</v>
      </c>
      <c r="L1157" s="2" t="str">
        <f ca="1">IFERROR(__xludf.DUMMYFUNCTION("""COMPUTED_VALUE"""),"093bfec7")</f>
        <v>093bfec7</v>
      </c>
      <c r="M1157" s="2" t="str">
        <f ca="1">IFERROR(__xludf.DUMMYFUNCTION("""COMPUTED_VALUE"""),"Malbec Rect")</f>
        <v>Malbec Rect</v>
      </c>
      <c r="N1157" s="2"/>
      <c r="O1157" s="2" t="str">
        <f ca="1">IFERROR(__xludf.DUMMYFUNCTION("""COMPUTED_VALUE"""),"Rectificado")</f>
        <v>Rectificado</v>
      </c>
      <c r="P1157" s="2"/>
      <c r="Q1157" s="2" t="b">
        <f ca="1">IFERROR(__xludf.DUMMYFUNCTION("""COMPUTED_VALUE"""),FALSE)</f>
        <v>0</v>
      </c>
      <c r="R1157" s="2" t="str">
        <f ca="1">IFERROR(__xludf.DUMMYFUNCTION("""COMPUTED_VALUE"""),"Rectificado")</f>
        <v>Rectificado</v>
      </c>
      <c r="S1157" s="2"/>
      <c r="T1157" s="2"/>
      <c r="U1157" s="2" t="str">
        <f ca="1">IFERROR(__xludf.DUMMYFUNCTION("""COMPUTED_VALUE"""),"1-")</f>
        <v>1-</v>
      </c>
    </row>
    <row r="1158" spans="1:21" x14ac:dyDescent="0.25">
      <c r="A1158" s="2" t="str">
        <f ca="1">IFERROR(__xludf.DUMMYFUNCTION("""COMPUTED_VALUE"""),"0f4e91f3")</f>
        <v>0f4e91f3</v>
      </c>
      <c r="B1158" s="5">
        <f ca="1">IFERROR(__xludf.DUMMYFUNCTION("""COMPUTED_VALUE"""),46066.6937962963)</f>
        <v>46066.693796296298</v>
      </c>
      <c r="C1158" s="2" t="str">
        <f ca="1">IFERROR(__xludf.DUMMYFUNCTION("""COMPUTED_VALUE"""),"aa2704ae")</f>
        <v>aa2704ae</v>
      </c>
      <c r="D1158" s="2">
        <f ca="1">IFERROR(__xludf.DUMMYFUNCTION("""COMPUTED_VALUE"""),79)</f>
        <v>79</v>
      </c>
      <c r="E1158" s="2" t="str">
        <f ca="1">IFERROR(__xludf.DUMMYFUNCTION("""COMPUTED_VALUE"""),"Malbec Rect")</f>
        <v>Malbec Rect</v>
      </c>
      <c r="F1158" s="2">
        <f ca="1">IFERROR(__xludf.DUMMYFUNCTION("""COMPUTED_VALUE"""),300)</f>
        <v>300</v>
      </c>
      <c r="G1158" s="2">
        <f ca="1">IFERROR(__xludf.DUMMYFUNCTION("""COMPUTED_VALUE"""),32)</f>
        <v>32</v>
      </c>
      <c r="H1158" s="2"/>
      <c r="I1158" s="2"/>
      <c r="J1158" s="2">
        <f ca="1">IFERROR(__xludf.DUMMYFUNCTION("""COMPUTED_VALUE"""),0)</f>
        <v>0</v>
      </c>
      <c r="K1158" s="2">
        <f ca="1">IFERROR(__xludf.DUMMYFUNCTION("""COMPUTED_VALUE"""),300)</f>
        <v>300</v>
      </c>
      <c r="L1158" s="2" t="str">
        <f ca="1">IFERROR(__xludf.DUMMYFUNCTION("""COMPUTED_VALUE"""),"7675d704")</f>
        <v>7675d704</v>
      </c>
      <c r="M1158" s="2" t="str">
        <f ca="1">IFERROR(__xludf.DUMMYFUNCTION("""COMPUTED_VALUE"""),"Malbec Rect")</f>
        <v>Malbec Rect</v>
      </c>
      <c r="N1158" s="2"/>
      <c r="O1158" s="2" t="str">
        <f ca="1">IFERROR(__xludf.DUMMYFUNCTION("""COMPUTED_VALUE"""),"Rectificado")</f>
        <v>Rectificado</v>
      </c>
      <c r="P1158" s="2"/>
      <c r="Q1158" s="2" t="b">
        <f ca="1">IFERROR(__xludf.DUMMYFUNCTION("""COMPUTED_VALUE"""),FALSE)</f>
        <v>0</v>
      </c>
      <c r="R1158" s="2" t="str">
        <f ca="1">IFERROR(__xludf.DUMMYFUNCTION("""COMPUTED_VALUE"""),"Rectificado")</f>
        <v>Rectificado</v>
      </c>
      <c r="S1158" s="2"/>
      <c r="T1158" s="2"/>
      <c r="U1158" s="2" t="str">
        <f ca="1">IFERROR(__xludf.DUMMYFUNCTION("""COMPUTED_VALUE"""),"1-")</f>
        <v>1-</v>
      </c>
    </row>
    <row r="1159" spans="1:21" x14ac:dyDescent="0.25">
      <c r="A1159" s="2" t="str">
        <f ca="1">IFERROR(__xludf.DUMMYFUNCTION("""COMPUTED_VALUE"""),"1d2d510d")</f>
        <v>1d2d510d</v>
      </c>
      <c r="B1159" s="5">
        <f ca="1">IFERROR(__xludf.DUMMYFUNCTION("""COMPUTED_VALUE"""),46066.6942129629)</f>
        <v>46066.694212962902</v>
      </c>
      <c r="C1159" s="2" t="str">
        <f ca="1">IFERROR(__xludf.DUMMYFUNCTION("""COMPUTED_VALUE"""),"f3a40125")</f>
        <v>f3a40125</v>
      </c>
      <c r="D1159" s="2">
        <f ca="1">IFERROR(__xludf.DUMMYFUNCTION("""COMPUTED_VALUE"""),82)</f>
        <v>82</v>
      </c>
      <c r="E1159" s="2" t="str">
        <f ca="1">IFERROR(__xludf.DUMMYFUNCTION("""COMPUTED_VALUE"""),"Syrah")</f>
        <v>Syrah</v>
      </c>
      <c r="F1159" s="2">
        <f ca="1">IFERROR(__xludf.DUMMYFUNCTION("""COMPUTED_VALUE"""),36000)</f>
        <v>36000</v>
      </c>
      <c r="G1159" s="2">
        <f ca="1">IFERROR(__xludf.DUMMYFUNCTION("""COMPUTED_VALUE"""),32)</f>
        <v>32</v>
      </c>
      <c r="H1159" s="2" t="str">
        <f ca="1">IFERROR(__xludf.DUMMYFUNCTION("""COMPUTED_VALUE"""),"7675d704")</f>
        <v>7675d704</v>
      </c>
      <c r="I1159" s="2" t="str">
        <f ca="1">IFERROR(__xludf.DUMMYFUNCTION("""COMPUTED_VALUE"""),"Malbec Rect")</f>
        <v>Malbec Rect</v>
      </c>
      <c r="J1159" s="2">
        <f ca="1">IFERROR(__xludf.DUMMYFUNCTION("""COMPUTED_VALUE"""),300)</f>
        <v>300</v>
      </c>
      <c r="K1159" s="2">
        <f ca="1">IFERROR(__xludf.DUMMYFUNCTION("""COMPUTED_VALUE"""),36300)</f>
        <v>36300</v>
      </c>
      <c r="L1159" s="2" t="str">
        <f ca="1">IFERROR(__xludf.DUMMYFUNCTION("""COMPUTED_VALUE"""),"6f8f8dff")</f>
        <v>6f8f8dff</v>
      </c>
      <c r="M1159" s="2" t="str">
        <f ca="1">IFERROR(__xludf.DUMMYFUNCTION("""COMPUTED_VALUE"""),"Syrah")</f>
        <v>Syrah</v>
      </c>
      <c r="N1159" s="2"/>
      <c r="O1159" s="2" t="str">
        <f ca="1">IFERROR(__xludf.DUMMYFUNCTION("""COMPUTED_VALUE"""),"Filtrado Tang")</f>
        <v>Filtrado Tang</v>
      </c>
      <c r="P1159" s="2" t="str">
        <f ca="1">IFERROR(__xludf.DUMMYFUNCTION("""COMPUTED_VALUE"""),"Rectificado")</f>
        <v>Rectificado</v>
      </c>
      <c r="Q1159" s="2" t="b">
        <f ca="1">IFERROR(__xludf.DUMMYFUNCTION("""COMPUTED_VALUE"""),FALSE)</f>
        <v>0</v>
      </c>
      <c r="R1159" s="2" t="str">
        <f ca="1">IFERROR(__xludf.DUMMYFUNCTION("""COMPUTED_VALUE"""),"Filtrado Tang")</f>
        <v>Filtrado Tang</v>
      </c>
      <c r="S1159" s="2"/>
      <c r="T1159" s="2"/>
      <c r="U1159" s="2" t="str">
        <f ca="1">IFERROR(__xludf.DUMMYFUNCTION("""COMPUTED_VALUE"""),"1")</f>
        <v>1</v>
      </c>
    </row>
    <row r="1160" spans="1:21" x14ac:dyDescent="0.25">
      <c r="A1160" s="2" t="str">
        <f ca="1">IFERROR(__xludf.DUMMYFUNCTION("""COMPUTED_VALUE"""),"98cad730")</f>
        <v>98cad730</v>
      </c>
      <c r="B1160" s="5">
        <f ca="1">IFERROR(__xludf.DUMMYFUNCTION("""COMPUTED_VALUE"""),46066.6944791666)</f>
        <v>46066.694479166603</v>
      </c>
      <c r="C1160" s="2" t="str">
        <f ca="1">IFERROR(__xludf.DUMMYFUNCTION("""COMPUTED_VALUE"""),"f3a40125")</f>
        <v>f3a40125</v>
      </c>
      <c r="D1160" s="2">
        <f ca="1">IFERROR(__xludf.DUMMYFUNCTION("""COMPUTED_VALUE"""),82)</f>
        <v>82</v>
      </c>
      <c r="E1160" s="2" t="str">
        <f ca="1">IFERROR(__xludf.DUMMYFUNCTION("""COMPUTED_VALUE"""),"Syrah")</f>
        <v>Syrah</v>
      </c>
      <c r="F1160" s="2">
        <f ca="1">IFERROR(__xludf.DUMMYFUNCTION("""COMPUTED_VALUE"""),5100)</f>
        <v>5100</v>
      </c>
      <c r="G1160" s="2">
        <f ca="1">IFERROR(__xludf.DUMMYFUNCTION("""COMPUTED_VALUE"""),50)</f>
        <v>50</v>
      </c>
      <c r="H1160" s="2"/>
      <c r="I1160" s="2"/>
      <c r="J1160" s="2">
        <f ca="1">IFERROR(__xludf.DUMMYFUNCTION("""COMPUTED_VALUE"""),0)</f>
        <v>0</v>
      </c>
      <c r="K1160" s="2">
        <f ca="1">IFERROR(__xludf.DUMMYFUNCTION("""COMPUTED_VALUE"""),5100)</f>
        <v>5100</v>
      </c>
      <c r="L1160" s="2" t="str">
        <f ca="1">IFERROR(__xludf.DUMMYFUNCTION("""COMPUTED_VALUE"""),"4cd7ad7c")</f>
        <v>4cd7ad7c</v>
      </c>
      <c r="M1160" s="2" t="str">
        <f ca="1">IFERROR(__xludf.DUMMYFUNCTION("""COMPUTED_VALUE"""),"Syrah")</f>
        <v>Syrah</v>
      </c>
      <c r="N1160" s="2"/>
      <c r="O1160" s="2" t="str">
        <f ca="1">IFERROR(__xludf.DUMMYFUNCTION("""COMPUTED_VALUE"""),"Filtrado Tang")</f>
        <v>Filtrado Tang</v>
      </c>
      <c r="P1160" s="2"/>
      <c r="Q1160" s="2" t="b">
        <f ca="1">IFERROR(__xludf.DUMMYFUNCTION("""COMPUTED_VALUE"""),FALSE)</f>
        <v>0</v>
      </c>
      <c r="R1160" s="2" t="str">
        <f ca="1">IFERROR(__xludf.DUMMYFUNCTION("""COMPUTED_VALUE"""),"Filtrado Tang")</f>
        <v>Filtrado Tang</v>
      </c>
      <c r="S1160" s="2"/>
      <c r="T1160" s="2"/>
      <c r="U1160" s="2" t="str">
        <f ca="1">IFERROR(__xludf.DUMMYFUNCTION("""COMPUTED_VALUE"""),"1")</f>
        <v>1</v>
      </c>
    </row>
    <row r="1161" spans="1:21" x14ac:dyDescent="0.25">
      <c r="A1161" s="2" t="str">
        <f ca="1">IFERROR(__xludf.DUMMYFUNCTION("""COMPUTED_VALUE"""),"839fd7b5")</f>
        <v>839fd7b5</v>
      </c>
      <c r="B1161" s="5">
        <f ca="1">IFERROR(__xludf.DUMMYFUNCTION("""COMPUTED_VALUE"""),46066.7333912037)</f>
        <v>46066.733391203699</v>
      </c>
      <c r="C1161" s="2" t="str">
        <f ca="1">IFERROR(__xludf.DUMMYFUNCTION("""COMPUTED_VALUE"""),"5b2fb85c")</f>
        <v>5b2fb85c</v>
      </c>
      <c r="D1161" s="2">
        <f ca="1">IFERROR(__xludf.DUMMYFUNCTION("""COMPUTED_VALUE"""),65)</f>
        <v>65</v>
      </c>
      <c r="E1161" s="2" t="str">
        <f ca="1">IFERROR(__xludf.DUMMYFUNCTION("""COMPUTED_VALUE"""),"Chardonnay Ch")</f>
        <v>Chardonnay Ch</v>
      </c>
      <c r="F1161" s="2">
        <f ca="1">IFERROR(__xludf.DUMMYFUNCTION("""COMPUTED_VALUE"""),2100)</f>
        <v>2100</v>
      </c>
      <c r="G1161" s="2">
        <f ca="1">IFERROR(__xludf.DUMMYFUNCTION("""COMPUTED_VALUE"""),76)</f>
        <v>76</v>
      </c>
      <c r="H1161" s="2"/>
      <c r="I1161" s="2"/>
      <c r="J1161" s="2">
        <f ca="1">IFERROR(__xludf.DUMMYFUNCTION("""COMPUTED_VALUE"""),0)</f>
        <v>0</v>
      </c>
      <c r="K1161" s="2">
        <f ca="1">IFERROR(__xludf.DUMMYFUNCTION("""COMPUTED_VALUE"""),2100)</f>
        <v>2100</v>
      </c>
      <c r="L1161" s="2" t="str">
        <f ca="1">IFERROR(__xludf.DUMMYFUNCTION("""COMPUTED_VALUE"""),"921ce04e")</f>
        <v>921ce04e</v>
      </c>
      <c r="M1161" s="2" t="str">
        <f ca="1">IFERROR(__xludf.DUMMYFUNCTION("""COMPUTED_VALUE"""),"Chardonnay Ch")</f>
        <v>Chardonnay Ch</v>
      </c>
      <c r="N1161" s="2"/>
      <c r="O1161" s="2" t="str">
        <f ca="1">IFERROR(__xludf.DUMMYFUNCTION("""COMPUTED_VALUE"""),"Mosto")</f>
        <v>Mosto</v>
      </c>
      <c r="P1161" s="2"/>
      <c r="Q1161" s="2" t="b">
        <f ca="1">IFERROR(__xludf.DUMMYFUNCTION("""COMPUTED_VALUE"""),FALSE)</f>
        <v>0</v>
      </c>
      <c r="R1161" s="2" t="str">
        <f ca="1">IFERROR(__xludf.DUMMYFUNCTION("""COMPUTED_VALUE"""),"Mosto")</f>
        <v>Mosto</v>
      </c>
      <c r="S1161" s="2"/>
      <c r="T1161" s="2"/>
      <c r="U1161" s="2"/>
    </row>
    <row r="1162" spans="1:21" x14ac:dyDescent="0.25">
      <c r="A1162" s="2" t="str">
        <f ca="1">IFERROR(__xludf.DUMMYFUNCTION("""COMPUTED_VALUE"""),"425e084e")</f>
        <v>425e084e</v>
      </c>
      <c r="B1162" s="5">
        <f ca="1">IFERROR(__xludf.DUMMYFUNCTION("""COMPUTED_VALUE"""),46066.7357291666)</f>
        <v>46066.735729166598</v>
      </c>
      <c r="C1162" s="2" t="str">
        <f ca="1">IFERROR(__xludf.DUMMYFUNCTION("""COMPUTED_VALUE"""),"e3ccc0b6")</f>
        <v>e3ccc0b6</v>
      </c>
      <c r="D1162" s="2">
        <f ca="1">IFERROR(__xludf.DUMMYFUNCTION("""COMPUTED_VALUE"""),125)</f>
        <v>125</v>
      </c>
      <c r="E1162" s="2" t="str">
        <f ca="1">IFERROR(__xludf.DUMMYFUNCTION("""COMPUTED_VALUE"""),"Chardonnay")</f>
        <v>Chardonnay</v>
      </c>
      <c r="F1162" s="2">
        <f ca="1">IFERROR(__xludf.DUMMYFUNCTION("""COMPUTED_VALUE"""),9900)</f>
        <v>9900</v>
      </c>
      <c r="G1162" s="2">
        <f ca="1">IFERROR(__xludf.DUMMYFUNCTION("""COMPUTED_VALUE"""),76)</f>
        <v>76</v>
      </c>
      <c r="H1162" s="2" t="str">
        <f ca="1">IFERROR(__xludf.DUMMYFUNCTION("""COMPUTED_VALUE"""),"921ce04e")</f>
        <v>921ce04e</v>
      </c>
      <c r="I1162" s="2" t="str">
        <f ca="1">IFERROR(__xludf.DUMMYFUNCTION("""COMPUTED_VALUE"""),"Chardonnay Ch")</f>
        <v>Chardonnay Ch</v>
      </c>
      <c r="J1162" s="2">
        <f ca="1">IFERROR(__xludf.DUMMYFUNCTION("""COMPUTED_VALUE"""),2100)</f>
        <v>2100</v>
      </c>
      <c r="K1162" s="2">
        <f ca="1">IFERROR(__xludf.DUMMYFUNCTION("""COMPUTED_VALUE"""),12000)</f>
        <v>12000</v>
      </c>
      <c r="L1162" s="2" t="str">
        <f ca="1">IFERROR(__xludf.DUMMYFUNCTION("""COMPUTED_VALUE"""),"ab479d1e")</f>
        <v>ab479d1e</v>
      </c>
      <c r="M1162" s="2" t="str">
        <f ca="1">IFERROR(__xludf.DUMMYFUNCTION("""COMPUTED_VALUE"""),"Chardonnay")</f>
        <v>Chardonnay</v>
      </c>
      <c r="N1162" s="2"/>
      <c r="O1162" s="2" t="str">
        <f ca="1">IFERROR(__xludf.DUMMYFUNCTION("""COMPUTED_VALUE"""),"Fermentando")</f>
        <v>Fermentando</v>
      </c>
      <c r="P1162" s="2" t="str">
        <f ca="1">IFERROR(__xludf.DUMMYFUNCTION("""COMPUTED_VALUE"""),"Mosto")</f>
        <v>Mosto</v>
      </c>
      <c r="Q1162" s="2" t="b">
        <f ca="1">IFERROR(__xludf.DUMMYFUNCTION("""COMPUTED_VALUE"""),FALSE)</f>
        <v>0</v>
      </c>
      <c r="R1162" s="2" t="str">
        <f ca="1">IFERROR(__xludf.DUMMYFUNCTION("""COMPUTED_VALUE"""),"Fermentando")</f>
        <v>Fermentando</v>
      </c>
      <c r="S1162" s="2"/>
      <c r="T1162" s="2"/>
      <c r="U1162" s="2"/>
    </row>
    <row r="1163" spans="1:21" x14ac:dyDescent="0.25">
      <c r="A1163" s="2" t="str">
        <f ca="1">IFERROR(__xludf.DUMMYFUNCTION("""COMPUTED_VALUE"""),"0ce55eda")</f>
        <v>0ce55eda</v>
      </c>
      <c r="B1163" s="5">
        <f ca="1">IFERROR(__xludf.DUMMYFUNCTION("""COMPUTED_VALUE"""),46066.7514004629)</f>
        <v>46066.751400462897</v>
      </c>
      <c r="C1163" s="2" t="str">
        <f ca="1">IFERROR(__xludf.DUMMYFUNCTION("""COMPUTED_VALUE"""),"8cc08351")</f>
        <v>8cc08351</v>
      </c>
      <c r="D1163" s="2">
        <f ca="1">IFERROR(__xludf.DUMMYFUNCTION("""COMPUTED_VALUE"""),14)</f>
        <v>14</v>
      </c>
      <c r="E1163" s="2" t="str">
        <f ca="1">IFERROR(__xludf.DUMMYFUNCTION("""COMPUTED_VALUE"""),"Chardonnay Borra")</f>
        <v>Chardonnay Borra</v>
      </c>
      <c r="F1163" s="2">
        <f ca="1">IFERROR(__xludf.DUMMYFUNCTION("""COMPUTED_VALUE"""),3000)</f>
        <v>3000</v>
      </c>
      <c r="G1163" s="2">
        <f ca="1">IFERROR(__xludf.DUMMYFUNCTION("""COMPUTED_VALUE"""),76)</f>
        <v>76</v>
      </c>
      <c r="H1163" s="2" t="str">
        <f ca="1">IFERROR(__xludf.DUMMYFUNCTION("""COMPUTED_VALUE"""),"ab479d1e")</f>
        <v>ab479d1e</v>
      </c>
      <c r="I1163" s="2" t="str">
        <f ca="1">IFERROR(__xludf.DUMMYFUNCTION("""COMPUTED_VALUE"""),"Chardonnay")</f>
        <v>Chardonnay</v>
      </c>
      <c r="J1163" s="2">
        <f ca="1">IFERROR(__xludf.DUMMYFUNCTION("""COMPUTED_VALUE"""),12000)</f>
        <v>12000</v>
      </c>
      <c r="K1163" s="2">
        <f ca="1">IFERROR(__xludf.DUMMYFUNCTION("""COMPUTED_VALUE"""),15000)</f>
        <v>15000</v>
      </c>
      <c r="L1163" s="2" t="str">
        <f ca="1">IFERROR(__xludf.DUMMYFUNCTION("""COMPUTED_VALUE"""),"d0e76b7a")</f>
        <v>d0e76b7a</v>
      </c>
      <c r="M1163" s="2" t="str">
        <f ca="1">IFERROR(__xludf.DUMMYFUNCTION("""COMPUTED_VALUE"""),"Chardonnay")</f>
        <v>Chardonnay</v>
      </c>
      <c r="N1163" s="2"/>
      <c r="O1163" s="2" t="str">
        <f ca="1">IFERROR(__xludf.DUMMYFUNCTION("""COMPUTED_VALUE"""),"Mosto")</f>
        <v>Mosto</v>
      </c>
      <c r="P1163" s="2" t="str">
        <f ca="1">IFERROR(__xludf.DUMMYFUNCTION("""COMPUTED_VALUE"""),"Fermentando")</f>
        <v>Fermentando</v>
      </c>
      <c r="Q1163" s="2" t="b">
        <f ca="1">IFERROR(__xludf.DUMMYFUNCTION("""COMPUTED_VALUE"""),TRUE)</f>
        <v>1</v>
      </c>
      <c r="R1163" s="2" t="str">
        <f ca="1">IFERROR(__xludf.DUMMYFUNCTION("""COMPUTED_VALUE"""),"Fermentando")</f>
        <v>Fermentando</v>
      </c>
      <c r="S1163" s="2"/>
      <c r="T1163" s="2"/>
      <c r="U1163" s="2"/>
    </row>
    <row r="1164" spans="1:21" x14ac:dyDescent="0.25">
      <c r="A1164" s="2" t="str">
        <f ca="1">IFERROR(__xludf.DUMMYFUNCTION("""COMPUTED_VALUE"""),"6bcfe146")</f>
        <v>6bcfe146</v>
      </c>
      <c r="B1164" s="5">
        <f ca="1">IFERROR(__xludf.DUMMYFUNCTION("""COMPUTED_VALUE"""),46066.758761574)</f>
        <v>46066.758761573998</v>
      </c>
      <c r="C1164" s="2" t="str">
        <f ca="1">IFERROR(__xludf.DUMMYFUNCTION("""COMPUTED_VALUE"""),"d0e76b7a")</f>
        <v>d0e76b7a</v>
      </c>
      <c r="D1164" s="2">
        <f ca="1">IFERROR(__xludf.DUMMYFUNCTION("""COMPUTED_VALUE"""),76)</f>
        <v>76</v>
      </c>
      <c r="E1164" s="2" t="str">
        <f ca="1">IFERROR(__xludf.DUMMYFUNCTION("""COMPUTED_VALUE"""),"Chardonnay")</f>
        <v>Chardonnay</v>
      </c>
      <c r="F1164" s="2">
        <f ca="1">IFERROR(__xludf.DUMMYFUNCTION("""COMPUTED_VALUE"""),-4000)</f>
        <v>-4000</v>
      </c>
      <c r="G1164" s="2">
        <f ca="1">IFERROR(__xludf.DUMMYFUNCTION("""COMPUTED_VALUE"""),500)</f>
        <v>500</v>
      </c>
      <c r="H1164" s="2" t="str">
        <f ca="1">IFERROR(__xludf.DUMMYFUNCTION("""COMPUTED_VALUE"""),"6a7977c1")</f>
        <v>6a7977c1</v>
      </c>
      <c r="I1164" s="2" t="str">
        <f ca="1">IFERROR(__xludf.DUMMYFUNCTION("""COMPUTED_VALUE"""),"Ajuste semana 13/02/2025")</f>
        <v>Ajuste semana 13/02/2025</v>
      </c>
      <c r="J1164" s="2">
        <f ca="1">IFERROR(__xludf.DUMMYFUNCTION("""COMPUTED_VALUE"""),1)</f>
        <v>1</v>
      </c>
      <c r="K1164" s="2">
        <f ca="1">IFERROR(__xludf.DUMMYFUNCTION("""COMPUTED_VALUE"""),-3999)</f>
        <v>-3999</v>
      </c>
      <c r="L1164" s="2" t="str">
        <f ca="1">IFERROR(__xludf.DUMMYFUNCTION("""COMPUTED_VALUE"""),"19fe9290")</f>
        <v>19fe9290</v>
      </c>
      <c r="M1164" s="2" t="str">
        <f ca="1">IFERROR(__xludf.DUMMYFUNCTION("""COMPUTED_VALUE"""),"Ajuste semana 13/02/2025")</f>
        <v>Ajuste semana 13/02/2025</v>
      </c>
      <c r="N1164" s="2"/>
      <c r="O1164" s="2" t="str">
        <f ca="1">IFERROR(__xludf.DUMMYFUNCTION("""COMPUTED_VALUE"""),"Fermentando")</f>
        <v>Fermentando</v>
      </c>
      <c r="P1164" s="2" t="str">
        <f ca="1">IFERROR(__xludf.DUMMYFUNCTION("""COMPUTED_VALUE"""),"Terminado")</f>
        <v>Terminado</v>
      </c>
      <c r="Q1164" s="2" t="b">
        <f ca="1">IFERROR(__xludf.DUMMYFUNCTION("""COMPUTED_VALUE"""),TRUE)</f>
        <v>1</v>
      </c>
      <c r="R1164" s="2" t="str">
        <f ca="1">IFERROR(__xludf.DUMMYFUNCTION("""COMPUTED_VALUE"""),"Terminado")</f>
        <v>Terminado</v>
      </c>
      <c r="S1164" s="2"/>
      <c r="T1164" s="2"/>
      <c r="U1164" s="2"/>
    </row>
    <row r="1165" spans="1:21" x14ac:dyDescent="0.25">
      <c r="A1165" s="2" t="str">
        <f ca="1">IFERROR(__xludf.DUMMYFUNCTION("""COMPUTED_VALUE"""),"4ecb9875")</f>
        <v>4ecb9875</v>
      </c>
      <c r="B1165" s="5">
        <f ca="1">IFERROR(__xludf.DUMMYFUNCTION("""COMPUTED_VALUE"""),46066.7592361111)</f>
        <v>46066.759236111102</v>
      </c>
      <c r="C1165" s="2" t="str">
        <f ca="1">IFERROR(__xludf.DUMMYFUNCTION("""COMPUTED_VALUE"""),"6925ca3a")</f>
        <v>6925ca3a</v>
      </c>
      <c r="D1165" s="2">
        <f ca="1">IFERROR(__xludf.DUMMYFUNCTION("""COMPUTED_VALUE"""),77)</f>
        <v>77</v>
      </c>
      <c r="E1165" s="2" t="str">
        <f ca="1">IFERROR(__xludf.DUMMYFUNCTION("""COMPUTED_VALUE"""),"Chardonnay")</f>
        <v>Chardonnay</v>
      </c>
      <c r="F1165" s="2">
        <f ca="1">IFERROR(__xludf.DUMMYFUNCTION("""COMPUTED_VALUE"""),500)</f>
        <v>500</v>
      </c>
      <c r="G1165" s="2">
        <f ca="1">IFERROR(__xludf.DUMMYFUNCTION("""COMPUTED_VALUE"""),500)</f>
        <v>500</v>
      </c>
      <c r="H1165" s="2" t="str">
        <f ca="1">IFERROR(__xludf.DUMMYFUNCTION("""COMPUTED_VALUE"""),"19fe9290")</f>
        <v>19fe9290</v>
      </c>
      <c r="I1165" s="2" t="str">
        <f ca="1">IFERROR(__xludf.DUMMYFUNCTION("""COMPUTED_VALUE"""),"Ajuste semana 13/02/2025")</f>
        <v>Ajuste semana 13/02/2025</v>
      </c>
      <c r="J1165" s="2">
        <f ca="1">IFERROR(__xludf.DUMMYFUNCTION("""COMPUTED_VALUE"""),-3999)</f>
        <v>-3999</v>
      </c>
      <c r="K1165" s="2">
        <f ca="1">IFERROR(__xludf.DUMMYFUNCTION("""COMPUTED_VALUE"""),-3499)</f>
        <v>-3499</v>
      </c>
      <c r="L1165" s="2" t="str">
        <f ca="1">IFERROR(__xludf.DUMMYFUNCTION("""COMPUTED_VALUE"""),"d23d4169")</f>
        <v>d23d4169</v>
      </c>
      <c r="M1165" s="2" t="str">
        <f ca="1">IFERROR(__xludf.DUMMYFUNCTION("""COMPUTED_VALUE"""),"Ajuste semana 13/02/2025")</f>
        <v>Ajuste semana 13/02/2025</v>
      </c>
      <c r="N1165" s="2"/>
      <c r="O1165" s="2" t="str">
        <f ca="1">IFERROR(__xludf.DUMMYFUNCTION("""COMPUTED_VALUE"""),"Fermentando")</f>
        <v>Fermentando</v>
      </c>
      <c r="P1165" s="2" t="str">
        <f ca="1">IFERROR(__xludf.DUMMYFUNCTION("""COMPUTED_VALUE"""),"Terminado")</f>
        <v>Terminado</v>
      </c>
      <c r="Q1165" s="2" t="b">
        <f ca="1">IFERROR(__xludf.DUMMYFUNCTION("""COMPUTED_VALUE"""),TRUE)</f>
        <v>1</v>
      </c>
      <c r="R1165" s="2" t="str">
        <f ca="1">IFERROR(__xludf.DUMMYFUNCTION("""COMPUTED_VALUE"""),"Terminado")</f>
        <v>Terminado</v>
      </c>
      <c r="S1165" s="2"/>
      <c r="T1165" s="2"/>
      <c r="U1165" s="2"/>
    </row>
    <row r="1166" spans="1:21" x14ac:dyDescent="0.25">
      <c r="A1166" s="2" t="str">
        <f ca="1">IFERROR(__xludf.DUMMYFUNCTION("""COMPUTED_VALUE"""),"c1e966a1")</f>
        <v>c1e966a1</v>
      </c>
      <c r="B1166" s="5">
        <f ca="1">IFERROR(__xludf.DUMMYFUNCTION("""COMPUTED_VALUE"""),46066.759537037)</f>
        <v>46066.759537037004</v>
      </c>
      <c r="C1166" s="2" t="str">
        <f ca="1">IFERROR(__xludf.DUMMYFUNCTION("""COMPUTED_VALUE"""),"403b7669")</f>
        <v>403b7669</v>
      </c>
      <c r="D1166" s="2">
        <f ca="1">IFERROR(__xludf.DUMMYFUNCTION("""COMPUTED_VALUE"""),78)</f>
        <v>78</v>
      </c>
      <c r="E1166" s="2" t="str">
        <f ca="1">IFERROR(__xludf.DUMMYFUNCTION("""COMPUTED_VALUE"""),"Chardonnay")</f>
        <v>Chardonnay</v>
      </c>
      <c r="F1166" s="2">
        <f ca="1">IFERROR(__xludf.DUMMYFUNCTION("""COMPUTED_VALUE"""),-4000)</f>
        <v>-4000</v>
      </c>
      <c r="G1166" s="2">
        <f ca="1">IFERROR(__xludf.DUMMYFUNCTION("""COMPUTED_VALUE"""),500)</f>
        <v>500</v>
      </c>
      <c r="H1166" s="2" t="str">
        <f ca="1">IFERROR(__xludf.DUMMYFUNCTION("""COMPUTED_VALUE"""),"d23d4169")</f>
        <v>d23d4169</v>
      </c>
      <c r="I1166" s="2" t="str">
        <f ca="1">IFERROR(__xludf.DUMMYFUNCTION("""COMPUTED_VALUE"""),"Ajuste semana 13/02/2025")</f>
        <v>Ajuste semana 13/02/2025</v>
      </c>
      <c r="J1166" s="2">
        <f ca="1">IFERROR(__xludf.DUMMYFUNCTION("""COMPUTED_VALUE"""),-3499)</f>
        <v>-3499</v>
      </c>
      <c r="K1166" s="2">
        <f ca="1">IFERROR(__xludf.DUMMYFUNCTION("""COMPUTED_VALUE"""),-7499)</f>
        <v>-7499</v>
      </c>
      <c r="L1166" s="2" t="str">
        <f ca="1">IFERROR(__xludf.DUMMYFUNCTION("""COMPUTED_VALUE"""),"ab922e34")</f>
        <v>ab922e34</v>
      </c>
      <c r="M1166" s="2" t="str">
        <f ca="1">IFERROR(__xludf.DUMMYFUNCTION("""COMPUTED_VALUE"""),"Ajuste semana 13/02/2025")</f>
        <v>Ajuste semana 13/02/2025</v>
      </c>
      <c r="N1166" s="2"/>
      <c r="O1166" s="2" t="str">
        <f ca="1">IFERROR(__xludf.DUMMYFUNCTION("""COMPUTED_VALUE"""),"Fermentando")</f>
        <v>Fermentando</v>
      </c>
      <c r="P1166" s="2" t="str">
        <f ca="1">IFERROR(__xludf.DUMMYFUNCTION("""COMPUTED_VALUE"""),"Terminado")</f>
        <v>Terminado</v>
      </c>
      <c r="Q1166" s="2" t="b">
        <f ca="1">IFERROR(__xludf.DUMMYFUNCTION("""COMPUTED_VALUE"""),TRUE)</f>
        <v>1</v>
      </c>
      <c r="R1166" s="2" t="str">
        <f ca="1">IFERROR(__xludf.DUMMYFUNCTION("""COMPUTED_VALUE"""),"Terminado")</f>
        <v>Terminado</v>
      </c>
      <c r="S1166" s="2"/>
      <c r="T1166" s="2"/>
      <c r="U1166" s="2"/>
    </row>
    <row r="1167" spans="1:21" x14ac:dyDescent="0.25">
      <c r="A1167" s="2" t="str">
        <f ca="1">IFERROR(__xludf.DUMMYFUNCTION("""COMPUTED_VALUE"""),"86dd28a8")</f>
        <v>86dd28a8</v>
      </c>
      <c r="B1167" s="5">
        <f ca="1">IFERROR(__xludf.DUMMYFUNCTION("""COMPUTED_VALUE"""),46066.7599074074)</f>
        <v>46066.759907407402</v>
      </c>
      <c r="C1167" s="2" t="str">
        <f ca="1">IFERROR(__xludf.DUMMYFUNCTION("""COMPUTED_VALUE"""),"bdb48937")</f>
        <v>bdb48937</v>
      </c>
      <c r="D1167" s="2">
        <f ca="1">IFERROR(__xludf.DUMMYFUNCTION("""COMPUTED_VALUE"""),80)</f>
        <v>80</v>
      </c>
      <c r="E1167" s="2" t="str">
        <f ca="1">IFERROR(__xludf.DUMMYFUNCTION("""COMPUTED_VALUE"""),"Chardonnay")</f>
        <v>Chardonnay</v>
      </c>
      <c r="F1167" s="2">
        <f ca="1">IFERROR(__xludf.DUMMYFUNCTION("""COMPUTED_VALUE"""),-500)</f>
        <v>-500</v>
      </c>
      <c r="G1167" s="2">
        <f ca="1">IFERROR(__xludf.DUMMYFUNCTION("""COMPUTED_VALUE"""),500)</f>
        <v>500</v>
      </c>
      <c r="H1167" s="2" t="str">
        <f ca="1">IFERROR(__xludf.DUMMYFUNCTION("""COMPUTED_VALUE"""),"ab922e34")</f>
        <v>ab922e34</v>
      </c>
      <c r="I1167" s="2" t="str">
        <f ca="1">IFERROR(__xludf.DUMMYFUNCTION("""COMPUTED_VALUE"""),"Ajuste semana 13/02/2025")</f>
        <v>Ajuste semana 13/02/2025</v>
      </c>
      <c r="J1167" s="2">
        <f ca="1">IFERROR(__xludf.DUMMYFUNCTION("""COMPUTED_VALUE"""),-7499)</f>
        <v>-7499</v>
      </c>
      <c r="K1167" s="2">
        <f ca="1">IFERROR(__xludf.DUMMYFUNCTION("""COMPUTED_VALUE"""),-8999)</f>
        <v>-8999</v>
      </c>
      <c r="L1167" s="2" t="str">
        <f ca="1">IFERROR(__xludf.DUMMYFUNCTION("""COMPUTED_VALUE"""),"0cdacc9c")</f>
        <v>0cdacc9c</v>
      </c>
      <c r="M1167" s="2" t="str">
        <f ca="1">IFERROR(__xludf.DUMMYFUNCTION("""COMPUTED_VALUE"""),"Ajuste semana 13/02/2025")</f>
        <v>Ajuste semana 13/02/2025</v>
      </c>
      <c r="N1167" s="2"/>
      <c r="O1167" s="2" t="str">
        <f ca="1">IFERROR(__xludf.DUMMYFUNCTION("""COMPUTED_VALUE"""),"Fermentando")</f>
        <v>Fermentando</v>
      </c>
      <c r="P1167" s="2" t="str">
        <f ca="1">IFERROR(__xludf.DUMMYFUNCTION("""COMPUTED_VALUE"""),"Terminado")</f>
        <v>Terminado</v>
      </c>
      <c r="Q1167" s="2" t="b">
        <f ca="1">IFERROR(__xludf.DUMMYFUNCTION("""COMPUTED_VALUE"""),TRUE)</f>
        <v>1</v>
      </c>
      <c r="R1167" s="2" t="str">
        <f ca="1">IFERROR(__xludf.DUMMYFUNCTION("""COMPUTED_VALUE"""),"Terminado")</f>
        <v>Terminado</v>
      </c>
      <c r="S1167" s="2"/>
      <c r="T1167" s="2"/>
      <c r="U1167" s="2"/>
    </row>
    <row r="1168" spans="1:21" x14ac:dyDescent="0.25">
      <c r="A1168" s="2" t="str">
        <f ca="1">IFERROR(__xludf.DUMMYFUNCTION("""COMPUTED_VALUE"""),"fb63ec8d")</f>
        <v>fb63ec8d</v>
      </c>
      <c r="B1168" s="5">
        <f ca="1">IFERROR(__xludf.DUMMYFUNCTION("""COMPUTED_VALUE"""),46066.7607407407)</f>
        <v>46066.760740740698</v>
      </c>
      <c r="C1168" s="2" t="str">
        <f ca="1">IFERROR(__xludf.DUMMYFUNCTION("""COMPUTED_VALUE"""),"6394eca7")</f>
        <v>6394eca7</v>
      </c>
      <c r="D1168" s="2">
        <f ca="1">IFERROR(__xludf.DUMMYFUNCTION("""COMPUTED_VALUE"""),69)</f>
        <v>69</v>
      </c>
      <c r="E1168" s="2" t="str">
        <f ca="1">IFERROR(__xludf.DUMMYFUNCTION("""COMPUTED_VALUE"""),"Chardonnay")</f>
        <v>Chardonnay</v>
      </c>
      <c r="F1168" s="2">
        <f ca="1">IFERROR(__xludf.DUMMYFUNCTION("""COMPUTED_VALUE"""),-1000)</f>
        <v>-1000</v>
      </c>
      <c r="G1168" s="2">
        <f ca="1">IFERROR(__xludf.DUMMYFUNCTION("""COMPUTED_VALUE"""),500)</f>
        <v>500</v>
      </c>
      <c r="H1168" s="2" t="str">
        <f ca="1">IFERROR(__xludf.DUMMYFUNCTION("""COMPUTED_VALUE"""),"0cdacc9c")</f>
        <v>0cdacc9c</v>
      </c>
      <c r="I1168" s="2" t="str">
        <f ca="1">IFERROR(__xludf.DUMMYFUNCTION("""COMPUTED_VALUE"""),"Ajuste semana 13/02/2025")</f>
        <v>Ajuste semana 13/02/2025</v>
      </c>
      <c r="J1168" s="2">
        <f ca="1">IFERROR(__xludf.DUMMYFUNCTION("""COMPUTED_VALUE"""),-8999)</f>
        <v>-8999</v>
      </c>
      <c r="K1168" s="2">
        <f ca="1">IFERROR(__xludf.DUMMYFUNCTION("""COMPUTED_VALUE"""),-9999)</f>
        <v>-9999</v>
      </c>
      <c r="L1168" s="2" t="str">
        <f ca="1">IFERROR(__xludf.DUMMYFUNCTION("""COMPUTED_VALUE"""),"982ba269")</f>
        <v>982ba269</v>
      </c>
      <c r="M1168" s="2" t="str">
        <f ca="1">IFERROR(__xludf.DUMMYFUNCTION("""COMPUTED_VALUE"""),"Ajuste semana 13/02/2025")</f>
        <v>Ajuste semana 13/02/2025</v>
      </c>
      <c r="N1168" s="2"/>
      <c r="O1168" s="2" t="str">
        <f ca="1">IFERROR(__xludf.DUMMYFUNCTION("""COMPUTED_VALUE"""),"Fermentando")</f>
        <v>Fermentando</v>
      </c>
      <c r="P1168" s="2" t="str">
        <f ca="1">IFERROR(__xludf.DUMMYFUNCTION("""COMPUTED_VALUE"""),"Terminado")</f>
        <v>Terminado</v>
      </c>
      <c r="Q1168" s="2" t="b">
        <f ca="1">IFERROR(__xludf.DUMMYFUNCTION("""COMPUTED_VALUE"""),TRUE)</f>
        <v>1</v>
      </c>
      <c r="R1168" s="2" t="str">
        <f ca="1">IFERROR(__xludf.DUMMYFUNCTION("""COMPUTED_VALUE"""),"Terminado")</f>
        <v>Terminado</v>
      </c>
      <c r="S1168" s="2"/>
      <c r="T1168" s="2"/>
      <c r="U1168" s="2"/>
    </row>
    <row r="1169" spans="1:21" x14ac:dyDescent="0.25">
      <c r="A1169" s="2" t="str">
        <f ca="1">IFERROR(__xludf.DUMMYFUNCTION("""COMPUTED_VALUE"""),"9117fd3c")</f>
        <v>9117fd3c</v>
      </c>
      <c r="B1169" s="5">
        <f ca="1">IFERROR(__xludf.DUMMYFUNCTION("""COMPUTED_VALUE"""),46066.7610300925)</f>
        <v>46066.761030092501</v>
      </c>
      <c r="C1169" s="2" t="str">
        <f ca="1">IFERROR(__xludf.DUMMYFUNCTION("""COMPUTED_VALUE"""),"98184b4c")</f>
        <v>98184b4c</v>
      </c>
      <c r="D1169" s="2">
        <f ca="1">IFERROR(__xludf.DUMMYFUNCTION("""COMPUTED_VALUE"""),70)</f>
        <v>70</v>
      </c>
      <c r="E1169" s="2" t="str">
        <f ca="1">IFERROR(__xludf.DUMMYFUNCTION("""COMPUTED_VALUE"""),"Chardonnay Ch")</f>
        <v>Chardonnay Ch</v>
      </c>
      <c r="F1169" s="2">
        <f ca="1">IFERROR(__xludf.DUMMYFUNCTION("""COMPUTED_VALUE"""),-2400)</f>
        <v>-2400</v>
      </c>
      <c r="G1169" s="2">
        <f ca="1">IFERROR(__xludf.DUMMYFUNCTION("""COMPUTED_VALUE"""),500)</f>
        <v>500</v>
      </c>
      <c r="H1169" s="2" t="str">
        <f ca="1">IFERROR(__xludf.DUMMYFUNCTION("""COMPUTED_VALUE"""),"982ba269")</f>
        <v>982ba269</v>
      </c>
      <c r="I1169" s="2" t="str">
        <f ca="1">IFERROR(__xludf.DUMMYFUNCTION("""COMPUTED_VALUE"""),"Ajuste semana 13/02/2025")</f>
        <v>Ajuste semana 13/02/2025</v>
      </c>
      <c r="J1169" s="2">
        <f ca="1">IFERROR(__xludf.DUMMYFUNCTION("""COMPUTED_VALUE"""),-9999)</f>
        <v>-9999</v>
      </c>
      <c r="K1169" s="2">
        <f ca="1">IFERROR(__xludf.DUMMYFUNCTION("""COMPUTED_VALUE"""),-12399)</f>
        <v>-12399</v>
      </c>
      <c r="L1169" s="2" t="str">
        <f ca="1">IFERROR(__xludf.DUMMYFUNCTION("""COMPUTED_VALUE"""),"8f971f39")</f>
        <v>8f971f39</v>
      </c>
      <c r="M1169" s="2" t="str">
        <f ca="1">IFERROR(__xludf.DUMMYFUNCTION("""COMPUTED_VALUE"""),"Ajuste semana 13/02/2025")</f>
        <v>Ajuste semana 13/02/2025</v>
      </c>
      <c r="N1169" s="2"/>
      <c r="O1169" s="2" t="str">
        <f ca="1">IFERROR(__xludf.DUMMYFUNCTION("""COMPUTED_VALUE"""),"Fermentando")</f>
        <v>Fermentando</v>
      </c>
      <c r="P1169" s="2" t="str">
        <f ca="1">IFERROR(__xludf.DUMMYFUNCTION("""COMPUTED_VALUE"""),"Terminado")</f>
        <v>Terminado</v>
      </c>
      <c r="Q1169" s="2" t="b">
        <f ca="1">IFERROR(__xludf.DUMMYFUNCTION("""COMPUTED_VALUE"""),TRUE)</f>
        <v>1</v>
      </c>
      <c r="R1169" s="2" t="str">
        <f ca="1">IFERROR(__xludf.DUMMYFUNCTION("""COMPUTED_VALUE"""),"Terminado")</f>
        <v>Terminado</v>
      </c>
      <c r="S1169" s="2"/>
      <c r="T1169" s="2"/>
      <c r="U1169" s="2"/>
    </row>
    <row r="1170" spans="1:21" x14ac:dyDescent="0.25">
      <c r="A1170" s="2" t="str">
        <f ca="1">IFERROR(__xludf.DUMMYFUNCTION("""COMPUTED_VALUE"""),"341f8493")</f>
        <v>341f8493</v>
      </c>
      <c r="B1170" s="5">
        <f ca="1">IFERROR(__xludf.DUMMYFUNCTION("""COMPUTED_VALUE"""),46067.3988541666)</f>
        <v>46067.398854166597</v>
      </c>
      <c r="C1170" s="2" t="str">
        <f ca="1">IFERROR(__xludf.DUMMYFUNCTION("""COMPUTED_VALUE"""),"403b7669")</f>
        <v>403b7669</v>
      </c>
      <c r="D1170" s="2">
        <f ca="1">IFERROR(__xludf.DUMMYFUNCTION("""COMPUTED_VALUE"""),78)</f>
        <v>78</v>
      </c>
      <c r="E1170" s="2" t="str">
        <f ca="1">IFERROR(__xludf.DUMMYFUNCTION("""COMPUTED_VALUE"""),"Chardonnay")</f>
        <v>Chardonnay</v>
      </c>
      <c r="F1170" s="2">
        <f ca="1">IFERROR(__xludf.DUMMYFUNCTION("""COMPUTED_VALUE"""),4000)</f>
        <v>4000</v>
      </c>
      <c r="G1170" s="2">
        <f ca="1">IFERROR(__xludf.DUMMYFUNCTION("""COMPUTED_VALUE"""),500)</f>
        <v>500</v>
      </c>
      <c r="H1170" s="2" t="str">
        <f ca="1">IFERROR(__xludf.DUMMYFUNCTION("""COMPUTED_VALUE"""),"8f971f39")</f>
        <v>8f971f39</v>
      </c>
      <c r="I1170" s="2" t="str">
        <f ca="1">IFERROR(__xludf.DUMMYFUNCTION("""COMPUTED_VALUE"""),"Ajuste semana 13/02/2025")</f>
        <v>Ajuste semana 13/02/2025</v>
      </c>
      <c r="J1170" s="2">
        <f ca="1">IFERROR(__xludf.DUMMYFUNCTION("""COMPUTED_VALUE"""),-12399)</f>
        <v>-12399</v>
      </c>
      <c r="K1170" s="2">
        <f ca="1">IFERROR(__xludf.DUMMYFUNCTION("""COMPUTED_VALUE"""),-8399)</f>
        <v>-8399</v>
      </c>
      <c r="L1170" s="2" t="str">
        <f ca="1">IFERROR(__xludf.DUMMYFUNCTION("""COMPUTED_VALUE"""),"f1b2bb46")</f>
        <v>f1b2bb46</v>
      </c>
      <c r="M1170" s="2" t="str">
        <f ca="1">IFERROR(__xludf.DUMMYFUNCTION("""COMPUTED_VALUE"""),"Ajuste semana 13/02/2025")</f>
        <v>Ajuste semana 13/02/2025</v>
      </c>
      <c r="N1170" s="2" t="str">
        <f ca="1">IFERROR(__xludf.DUMMYFUNCTION("""COMPUTED_VALUE"""),"Correccion Ajuste")</f>
        <v>Correccion Ajuste</v>
      </c>
      <c r="O1170" s="2" t="str">
        <f ca="1">IFERROR(__xludf.DUMMYFUNCTION("""COMPUTED_VALUE"""),"Fermentando")</f>
        <v>Fermentando</v>
      </c>
      <c r="P1170" s="2" t="str">
        <f ca="1">IFERROR(__xludf.DUMMYFUNCTION("""COMPUTED_VALUE"""),"Terminado")</f>
        <v>Terminado</v>
      </c>
      <c r="Q1170" s="2" t="b">
        <f ca="1">IFERROR(__xludf.DUMMYFUNCTION("""COMPUTED_VALUE"""),TRUE)</f>
        <v>1</v>
      </c>
      <c r="R1170" s="2" t="str">
        <f ca="1">IFERROR(__xludf.DUMMYFUNCTION("""COMPUTED_VALUE"""),"Terminado")</f>
        <v>Terminado</v>
      </c>
      <c r="S1170" s="2"/>
      <c r="T1170" s="2"/>
      <c r="U1170" s="2"/>
    </row>
    <row r="1171" spans="1:21" x14ac:dyDescent="0.25">
      <c r="A1171" s="2" t="str">
        <f ca="1">IFERROR(__xludf.DUMMYFUNCTION("""COMPUTED_VALUE"""),"53a4d368")</f>
        <v>53a4d368</v>
      </c>
      <c r="B1171" s="5">
        <f ca="1">IFERROR(__xludf.DUMMYFUNCTION("""COMPUTED_VALUE"""),46067.3993518518)</f>
        <v>46067.399351851796</v>
      </c>
      <c r="C1171" s="2" t="str">
        <f ca="1">IFERROR(__xludf.DUMMYFUNCTION("""COMPUTED_VALUE"""),"f47daeb3")</f>
        <v>f47daeb3</v>
      </c>
      <c r="D1171" s="2">
        <f ca="1">IFERROR(__xludf.DUMMYFUNCTION("""COMPUTED_VALUE"""),46)</f>
        <v>46</v>
      </c>
      <c r="E1171" s="2" t="str">
        <f ca="1">IFERROR(__xludf.DUMMYFUNCTION("""COMPUTED_VALUE"""),"Chardonnay Mosto Rect")</f>
        <v>Chardonnay Mosto Rect</v>
      </c>
      <c r="F1171" s="2">
        <f ca="1">IFERROR(__xludf.DUMMYFUNCTION("""COMPUTED_VALUE"""),4000)</f>
        <v>4000</v>
      </c>
      <c r="G1171" s="2">
        <f ca="1">IFERROR(__xludf.DUMMYFUNCTION("""COMPUTED_VALUE"""),78)</f>
        <v>78</v>
      </c>
      <c r="H1171" s="2" t="str">
        <f ca="1">IFERROR(__xludf.DUMMYFUNCTION("""COMPUTED_VALUE"""),"403b7669")</f>
        <v>403b7669</v>
      </c>
      <c r="I1171" s="2" t="str">
        <f ca="1">IFERROR(__xludf.DUMMYFUNCTION("""COMPUTED_VALUE"""),"Chardonnay")</f>
        <v>Chardonnay</v>
      </c>
      <c r="J1171" s="2">
        <f ca="1">IFERROR(__xludf.DUMMYFUNCTION("""COMPUTED_VALUE"""),21000)</f>
        <v>21000</v>
      </c>
      <c r="K1171" s="2">
        <f ca="1">IFERROR(__xludf.DUMMYFUNCTION("""COMPUTED_VALUE"""),25000)</f>
        <v>25000</v>
      </c>
      <c r="L1171" s="2" t="str">
        <f ca="1">IFERROR(__xludf.DUMMYFUNCTION("""COMPUTED_VALUE"""),"879ad271")</f>
        <v>879ad271</v>
      </c>
      <c r="M1171" s="2" t="str">
        <f ca="1">IFERROR(__xludf.DUMMYFUNCTION("""COMPUTED_VALUE"""),"Chardonnay")</f>
        <v>Chardonnay</v>
      </c>
      <c r="N1171" s="2" t="str">
        <f ca="1">IFERROR(__xludf.DUMMYFUNCTION("""COMPUTED_VALUE"""),"Correcion de acidez")</f>
        <v>Correcion de acidez</v>
      </c>
      <c r="O1171" s="2" t="str">
        <f ca="1">IFERROR(__xludf.DUMMYFUNCTION("""COMPUTED_VALUE"""),"Rectificado")</f>
        <v>Rectificado</v>
      </c>
      <c r="P1171" s="2" t="str">
        <f ca="1">IFERROR(__xludf.DUMMYFUNCTION("""COMPUTED_VALUE"""),"Fermentando")</f>
        <v>Fermentando</v>
      </c>
      <c r="Q1171" s="2" t="b">
        <f ca="1">IFERROR(__xludf.DUMMYFUNCTION("""COMPUTED_VALUE"""),TRUE)</f>
        <v>1</v>
      </c>
      <c r="R1171" s="2" t="str">
        <f ca="1">IFERROR(__xludf.DUMMYFUNCTION("""COMPUTED_VALUE"""),"Fermentando")</f>
        <v>Fermentando</v>
      </c>
      <c r="S1171" s="2"/>
      <c r="T1171" s="2"/>
      <c r="U1171" s="2"/>
    </row>
    <row r="1172" spans="1:21" x14ac:dyDescent="0.25">
      <c r="A1172" s="2" t="str">
        <f ca="1">IFERROR(__xludf.DUMMYFUNCTION("""COMPUTED_VALUE"""),"7241a066")</f>
        <v>7241a066</v>
      </c>
      <c r="B1172" s="5">
        <f ca="1">IFERROR(__xludf.DUMMYFUNCTION("""COMPUTED_VALUE"""),46067.400324074)</f>
        <v>46067.400324073998</v>
      </c>
      <c r="C1172" s="2" t="str">
        <f ca="1">IFERROR(__xludf.DUMMYFUNCTION("""COMPUTED_VALUE"""),"98184b4c")</f>
        <v>98184b4c</v>
      </c>
      <c r="D1172" s="2">
        <f ca="1">IFERROR(__xludf.DUMMYFUNCTION("""COMPUTED_VALUE"""),70)</f>
        <v>70</v>
      </c>
      <c r="E1172" s="2" t="str">
        <f ca="1">IFERROR(__xludf.DUMMYFUNCTION("""COMPUTED_VALUE"""),"Chardonnay Ch")</f>
        <v>Chardonnay Ch</v>
      </c>
      <c r="F1172" s="2">
        <f ca="1">IFERROR(__xludf.DUMMYFUNCTION("""COMPUTED_VALUE"""),2400)</f>
        <v>2400</v>
      </c>
      <c r="G1172" s="2">
        <f ca="1">IFERROR(__xludf.DUMMYFUNCTION("""COMPUTED_VALUE"""),500)</f>
        <v>500</v>
      </c>
      <c r="H1172" s="2" t="str">
        <f ca="1">IFERROR(__xludf.DUMMYFUNCTION("""COMPUTED_VALUE"""),"f1b2bb46")</f>
        <v>f1b2bb46</v>
      </c>
      <c r="I1172" s="2" t="str">
        <f ca="1">IFERROR(__xludf.DUMMYFUNCTION("""COMPUTED_VALUE"""),"Ajuste semana 13/02/2025")</f>
        <v>Ajuste semana 13/02/2025</v>
      </c>
      <c r="J1172" s="2">
        <f ca="1">IFERROR(__xludf.DUMMYFUNCTION("""COMPUTED_VALUE"""),-8399)</f>
        <v>-8399</v>
      </c>
      <c r="K1172" s="2">
        <f ca="1">IFERROR(__xludf.DUMMYFUNCTION("""COMPUTED_VALUE"""),-5999)</f>
        <v>-5999</v>
      </c>
      <c r="L1172" s="2" t="str">
        <f ca="1">IFERROR(__xludf.DUMMYFUNCTION("""COMPUTED_VALUE"""),"b338a7a2")</f>
        <v>b338a7a2</v>
      </c>
      <c r="M1172" s="2" t="str">
        <f ca="1">IFERROR(__xludf.DUMMYFUNCTION("""COMPUTED_VALUE"""),"Ajuste semana 13/02/2025")</f>
        <v>Ajuste semana 13/02/2025</v>
      </c>
      <c r="N1172" s="2" t="str">
        <f ca="1">IFERROR(__xludf.DUMMYFUNCTION("""COMPUTED_VALUE"""),"Correccion ajuste")</f>
        <v>Correccion ajuste</v>
      </c>
      <c r="O1172" s="2" t="str">
        <f ca="1">IFERROR(__xludf.DUMMYFUNCTION("""COMPUTED_VALUE"""),"Fermentando")</f>
        <v>Fermentando</v>
      </c>
      <c r="P1172" s="2" t="str">
        <f ca="1">IFERROR(__xludf.DUMMYFUNCTION("""COMPUTED_VALUE"""),"Terminado")</f>
        <v>Terminado</v>
      </c>
      <c r="Q1172" s="2" t="b">
        <f ca="1">IFERROR(__xludf.DUMMYFUNCTION("""COMPUTED_VALUE"""),TRUE)</f>
        <v>1</v>
      </c>
      <c r="R1172" s="2" t="str">
        <f ca="1">IFERROR(__xludf.DUMMYFUNCTION("""COMPUTED_VALUE"""),"Terminado")</f>
        <v>Terminado</v>
      </c>
      <c r="S1172" s="2"/>
      <c r="T1172" s="2"/>
      <c r="U1172" s="2"/>
    </row>
    <row r="1173" spans="1:21" x14ac:dyDescent="0.25">
      <c r="A1173" s="2" t="str">
        <f ca="1">IFERROR(__xludf.DUMMYFUNCTION("""COMPUTED_VALUE"""),"ecdbde53")</f>
        <v>ecdbde53</v>
      </c>
      <c r="B1173" s="5">
        <f ca="1">IFERROR(__xludf.DUMMYFUNCTION("""COMPUTED_VALUE"""),46067.4012384259)</f>
        <v>46067.401238425897</v>
      </c>
      <c r="C1173" s="2" t="str">
        <f ca="1">IFERROR(__xludf.DUMMYFUNCTION("""COMPUTED_VALUE"""),"f47daeb3")</f>
        <v>f47daeb3</v>
      </c>
      <c r="D1173" s="2">
        <f ca="1">IFERROR(__xludf.DUMMYFUNCTION("""COMPUTED_VALUE"""),46)</f>
        <v>46</v>
      </c>
      <c r="E1173" s="2" t="str">
        <f ca="1">IFERROR(__xludf.DUMMYFUNCTION("""COMPUTED_VALUE"""),"Chardonnay Mosto Rect")</f>
        <v>Chardonnay Mosto Rect</v>
      </c>
      <c r="F1173" s="2">
        <f ca="1">IFERROR(__xludf.DUMMYFUNCTION("""COMPUTED_VALUE"""),2400)</f>
        <v>2400</v>
      </c>
      <c r="G1173" s="2">
        <f ca="1">IFERROR(__xludf.DUMMYFUNCTION("""COMPUTED_VALUE"""),70)</f>
        <v>70</v>
      </c>
      <c r="H1173" s="2" t="str">
        <f ca="1">IFERROR(__xludf.DUMMYFUNCTION("""COMPUTED_VALUE"""),"98184b4c")</f>
        <v>98184b4c</v>
      </c>
      <c r="I1173" s="2" t="str">
        <f ca="1">IFERROR(__xludf.DUMMYFUNCTION("""COMPUTED_VALUE"""),"Chardonnay Ch")</f>
        <v>Chardonnay Ch</v>
      </c>
      <c r="J1173" s="2">
        <f ca="1">IFERROR(__xludf.DUMMYFUNCTION("""COMPUTED_VALUE"""),10100)</f>
        <v>10100</v>
      </c>
      <c r="K1173" s="2">
        <f ca="1">IFERROR(__xludf.DUMMYFUNCTION("""COMPUTED_VALUE"""),12500)</f>
        <v>12500</v>
      </c>
      <c r="L1173" s="2" t="str">
        <f ca="1">IFERROR(__xludf.DUMMYFUNCTION("""COMPUTED_VALUE"""),"579168cd")</f>
        <v>579168cd</v>
      </c>
      <c r="M1173" s="2" t="str">
        <f ca="1">IFERROR(__xludf.DUMMYFUNCTION("""COMPUTED_VALUE"""),"Chardonnay Ch")</f>
        <v>Chardonnay Ch</v>
      </c>
      <c r="N1173" s="2"/>
      <c r="O1173" s="2" t="str">
        <f ca="1">IFERROR(__xludf.DUMMYFUNCTION("""COMPUTED_VALUE"""),"Rectificado")</f>
        <v>Rectificado</v>
      </c>
      <c r="P1173" s="2" t="str">
        <f ca="1">IFERROR(__xludf.DUMMYFUNCTION("""COMPUTED_VALUE"""),"Fermentando")</f>
        <v>Fermentando</v>
      </c>
      <c r="Q1173" s="2" t="b">
        <f ca="1">IFERROR(__xludf.DUMMYFUNCTION("""COMPUTED_VALUE"""),TRUE)</f>
        <v>1</v>
      </c>
      <c r="R1173" s="2" t="str">
        <f ca="1">IFERROR(__xludf.DUMMYFUNCTION("""COMPUTED_VALUE"""),"Fermentando")</f>
        <v>Fermentando</v>
      </c>
      <c r="S1173" s="2"/>
      <c r="T1173" s="2"/>
      <c r="U1173" s="2"/>
    </row>
    <row r="1174" spans="1:21" x14ac:dyDescent="0.25">
      <c r="A1174" s="2" t="str">
        <f ca="1">IFERROR(__xludf.DUMMYFUNCTION("""COMPUTED_VALUE"""),"c20fb06f")</f>
        <v>c20fb06f</v>
      </c>
      <c r="B1174" s="5">
        <f ca="1">IFERROR(__xludf.DUMMYFUNCTION("""COMPUTED_VALUE"""),46067.4081944444)</f>
        <v>46067.408194444397</v>
      </c>
      <c r="C1174" s="2" t="str">
        <f ca="1">IFERROR(__xludf.DUMMYFUNCTION("""COMPUTED_VALUE"""),"f47daeb3")</f>
        <v>f47daeb3</v>
      </c>
      <c r="D1174" s="2">
        <f ca="1">IFERROR(__xludf.DUMMYFUNCTION("""COMPUTED_VALUE"""),46)</f>
        <v>46</v>
      </c>
      <c r="E1174" s="2" t="str">
        <f ca="1">IFERROR(__xludf.DUMMYFUNCTION("""COMPUTED_VALUE"""),"Chardonnay Mosto Rect")</f>
        <v>Chardonnay Mosto Rect</v>
      </c>
      <c r="F1174" s="2">
        <f ca="1">IFERROR(__xludf.DUMMYFUNCTION("""COMPUTED_VALUE"""),1700)</f>
        <v>1700</v>
      </c>
      <c r="G1174" s="2">
        <f ca="1">IFERROR(__xludf.DUMMYFUNCTION("""COMPUTED_VALUE"""),500)</f>
        <v>500</v>
      </c>
      <c r="H1174" s="2" t="str">
        <f ca="1">IFERROR(__xludf.DUMMYFUNCTION("""COMPUTED_VALUE"""),"b338a7a2")</f>
        <v>b338a7a2</v>
      </c>
      <c r="I1174" s="2" t="str">
        <f ca="1">IFERROR(__xludf.DUMMYFUNCTION("""COMPUTED_VALUE"""),"Ajuste semana 13/02/2025")</f>
        <v>Ajuste semana 13/02/2025</v>
      </c>
      <c r="J1174" s="2">
        <f ca="1">IFERROR(__xludf.DUMMYFUNCTION("""COMPUTED_VALUE"""),-5999)</f>
        <v>-5999</v>
      </c>
      <c r="K1174" s="2">
        <f ca="1">IFERROR(__xludf.DUMMYFUNCTION("""COMPUTED_VALUE"""),-4299)</f>
        <v>-4299</v>
      </c>
      <c r="L1174" s="2" t="str">
        <f ca="1">IFERROR(__xludf.DUMMYFUNCTION("""COMPUTED_VALUE"""),"d2d0ea53")</f>
        <v>d2d0ea53</v>
      </c>
      <c r="M1174" s="2" t="str">
        <f ca="1">IFERROR(__xludf.DUMMYFUNCTION("""COMPUTED_VALUE"""),"Ajuste semana 13/02/2025")</f>
        <v>Ajuste semana 13/02/2025</v>
      </c>
      <c r="N1174" s="2"/>
      <c r="O1174" s="2" t="str">
        <f ca="1">IFERROR(__xludf.DUMMYFUNCTION("""COMPUTED_VALUE"""),"Rectificado")</f>
        <v>Rectificado</v>
      </c>
      <c r="P1174" s="2" t="str">
        <f ca="1">IFERROR(__xludf.DUMMYFUNCTION("""COMPUTED_VALUE"""),"Terminado")</f>
        <v>Terminado</v>
      </c>
      <c r="Q1174" s="2" t="b">
        <f ca="1">IFERROR(__xludf.DUMMYFUNCTION("""COMPUTED_VALUE"""),TRUE)</f>
        <v>1</v>
      </c>
      <c r="R1174" s="2" t="str">
        <f ca="1">IFERROR(__xludf.DUMMYFUNCTION("""COMPUTED_VALUE"""),"Terminado")</f>
        <v>Terminado</v>
      </c>
      <c r="S1174" s="2"/>
      <c r="T1174" s="2"/>
      <c r="U1174" s="2"/>
    </row>
    <row r="1175" spans="1:21" x14ac:dyDescent="0.25">
      <c r="A1175" s="2" t="str">
        <f ca="1">IFERROR(__xludf.DUMMYFUNCTION("""COMPUTED_VALUE"""),"6243316c")</f>
        <v>6243316c</v>
      </c>
      <c r="B1175" s="5">
        <f ca="1">IFERROR(__xludf.DUMMYFUNCTION("""COMPUTED_VALUE"""),46070.475324074)</f>
        <v>46070.475324074003</v>
      </c>
      <c r="C1175" s="2" t="str">
        <f ca="1">IFERROR(__xludf.DUMMYFUNCTION("""COMPUTED_VALUE"""),"d0e76b7a")</f>
        <v>d0e76b7a</v>
      </c>
      <c r="D1175" s="2">
        <f ca="1">IFERROR(__xludf.DUMMYFUNCTION("""COMPUTED_VALUE"""),76)</f>
        <v>76</v>
      </c>
      <c r="E1175" s="2" t="str">
        <f ca="1">IFERROR(__xludf.DUMMYFUNCTION("""COMPUTED_VALUE"""),"Chardonnay")</f>
        <v>Chardonnay</v>
      </c>
      <c r="F1175" s="2">
        <f ca="1">IFERROR(__xludf.DUMMYFUNCTION("""COMPUTED_VALUE"""),-5000)</f>
        <v>-5000</v>
      </c>
      <c r="G1175" s="2">
        <f ca="1">IFERROR(__xludf.DUMMYFUNCTION("""COMPUTED_VALUE"""),46)</f>
        <v>46</v>
      </c>
      <c r="H1175" s="2" t="str">
        <f ca="1">IFERROR(__xludf.DUMMYFUNCTION("""COMPUTED_VALUE"""),"f47daeb3")</f>
        <v>f47daeb3</v>
      </c>
      <c r="I1175" s="2" t="str">
        <f ca="1">IFERROR(__xludf.DUMMYFUNCTION("""COMPUTED_VALUE"""),"Chardonnay Mosto Rect")</f>
        <v>Chardonnay Mosto Rect</v>
      </c>
      <c r="J1175" s="2">
        <f ca="1">IFERROR(__xludf.DUMMYFUNCTION("""COMPUTED_VALUE"""),-5000)</f>
        <v>-5000</v>
      </c>
      <c r="K1175" s="2">
        <f ca="1">IFERROR(__xludf.DUMMYFUNCTION("""COMPUTED_VALUE"""),14000)</f>
        <v>14000</v>
      </c>
      <c r="L1175" s="2" t="str">
        <f ca="1">IFERROR(__xludf.DUMMYFUNCTION("""COMPUTED_VALUE"""),"f4ea0ff6")</f>
        <v>f4ea0ff6</v>
      </c>
      <c r="M1175" s="2" t="str">
        <f ca="1">IFERROR(__xludf.DUMMYFUNCTION("""COMPUTED_VALUE"""),"Chardonnay Mosto Rect")</f>
        <v>Chardonnay Mosto Rect</v>
      </c>
      <c r="N1175" s="2" t="str">
        <f ca="1">IFERROR(__xludf.DUMMYFUNCTION("""COMPUTED_VALUE"""),"Correcion Acidez con Rectificado")</f>
        <v>Correcion Acidez con Rectificado</v>
      </c>
      <c r="O1175" s="2" t="str">
        <f ca="1">IFERROR(__xludf.DUMMYFUNCTION("""COMPUTED_VALUE"""),"Fermentando")</f>
        <v>Fermentando</v>
      </c>
      <c r="P1175" s="2" t="str">
        <f ca="1">IFERROR(__xludf.DUMMYFUNCTION("""COMPUTED_VALUE"""),"Rectificado")</f>
        <v>Rectificado</v>
      </c>
      <c r="Q1175" s="2" t="b">
        <f ca="1">IFERROR(__xludf.DUMMYFUNCTION("""COMPUTED_VALUE"""),TRUE)</f>
        <v>1</v>
      </c>
      <c r="R1175" s="2" t="str">
        <f ca="1">IFERROR(__xludf.DUMMYFUNCTION("""COMPUTED_VALUE"""),"Rectificado")</f>
        <v>Rectificado</v>
      </c>
      <c r="S1175" s="2"/>
      <c r="T1175" s="2"/>
      <c r="U1175" s="2"/>
    </row>
    <row r="1176" spans="1:21" x14ac:dyDescent="0.25">
      <c r="A1176" s="2" t="str">
        <f ca="1">IFERROR(__xludf.DUMMYFUNCTION("""COMPUTED_VALUE"""),"5c64fce5")</f>
        <v>5c64fce5</v>
      </c>
      <c r="B1176" s="5">
        <f ca="1">IFERROR(__xludf.DUMMYFUNCTION("""COMPUTED_VALUE"""),46070.4776967592)</f>
        <v>46070.477696759197</v>
      </c>
      <c r="C1176" s="2" t="str">
        <f ca="1">IFERROR(__xludf.DUMMYFUNCTION("""COMPUTED_VALUE"""),"bdb48937")</f>
        <v>bdb48937</v>
      </c>
      <c r="D1176" s="2">
        <f ca="1">IFERROR(__xludf.DUMMYFUNCTION("""COMPUTED_VALUE"""),80)</f>
        <v>80</v>
      </c>
      <c r="E1176" s="2" t="str">
        <f ca="1">IFERROR(__xludf.DUMMYFUNCTION("""COMPUTED_VALUE"""),"Chardonnay")</f>
        <v>Chardonnay</v>
      </c>
      <c r="F1176" s="2">
        <f ca="1">IFERROR(__xludf.DUMMYFUNCTION("""COMPUTED_VALUE"""),-4800)</f>
        <v>-4800</v>
      </c>
      <c r="G1176" s="2">
        <f ca="1">IFERROR(__xludf.DUMMYFUNCTION("""COMPUTED_VALUE"""),46)</f>
        <v>46</v>
      </c>
      <c r="H1176" s="2" t="str">
        <f ca="1">IFERROR(__xludf.DUMMYFUNCTION("""COMPUTED_VALUE"""),"f4ea0ff6")</f>
        <v>f4ea0ff6</v>
      </c>
      <c r="I1176" s="2" t="str">
        <f ca="1">IFERROR(__xludf.DUMMYFUNCTION("""COMPUTED_VALUE"""),"Chardonnay Mosto Rect")</f>
        <v>Chardonnay Mosto Rect</v>
      </c>
      <c r="J1176" s="2">
        <f ca="1">IFERROR(__xludf.DUMMYFUNCTION("""COMPUTED_VALUE"""),14000)</f>
        <v>14000</v>
      </c>
      <c r="K1176" s="2">
        <f ca="1">IFERROR(__xludf.DUMMYFUNCTION("""COMPUTED_VALUE"""),9200)</f>
        <v>9200</v>
      </c>
      <c r="L1176" s="2" t="str">
        <f ca="1">IFERROR(__xludf.DUMMYFUNCTION("""COMPUTED_VALUE"""),"898c9d40")</f>
        <v>898c9d40</v>
      </c>
      <c r="M1176" s="2" t="str">
        <f ca="1">IFERROR(__xludf.DUMMYFUNCTION("""COMPUTED_VALUE"""),"Chardonnay Mosto Rect")</f>
        <v>Chardonnay Mosto Rect</v>
      </c>
      <c r="N1176" s="2"/>
      <c r="O1176" s="2" t="str">
        <f ca="1">IFERROR(__xludf.DUMMYFUNCTION("""COMPUTED_VALUE"""),"Fermentando")</f>
        <v>Fermentando</v>
      </c>
      <c r="P1176" s="2" t="str">
        <f ca="1">IFERROR(__xludf.DUMMYFUNCTION("""COMPUTED_VALUE"""),"Rectificado")</f>
        <v>Rectificado</v>
      </c>
      <c r="Q1176" s="2" t="b">
        <f ca="1">IFERROR(__xludf.DUMMYFUNCTION("""COMPUTED_VALUE"""),TRUE)</f>
        <v>1</v>
      </c>
      <c r="R1176" s="2" t="str">
        <f ca="1">IFERROR(__xludf.DUMMYFUNCTION("""COMPUTED_VALUE"""),"Rectificado")</f>
        <v>Rectificado</v>
      </c>
      <c r="S1176" s="2"/>
      <c r="T1176" s="2"/>
      <c r="U1176" s="2"/>
    </row>
    <row r="1177" spans="1:21" x14ac:dyDescent="0.25">
      <c r="A1177" s="2" t="str">
        <f ca="1">IFERROR(__xludf.DUMMYFUNCTION("""COMPUTED_VALUE"""),"66a188f2")</f>
        <v>66a188f2</v>
      </c>
      <c r="B1177" s="5">
        <f ca="1">IFERROR(__xludf.DUMMYFUNCTION("""COMPUTED_VALUE"""),46070.4940509259)</f>
        <v>46070.494050925903</v>
      </c>
      <c r="C1177" s="2" t="str">
        <f ca="1">IFERROR(__xludf.DUMMYFUNCTION("""COMPUTED_VALUE"""),"6394eca7")</f>
        <v>6394eca7</v>
      </c>
      <c r="D1177" s="2">
        <f ca="1">IFERROR(__xludf.DUMMYFUNCTION("""COMPUTED_VALUE"""),69)</f>
        <v>69</v>
      </c>
      <c r="E1177" s="2" t="str">
        <f ca="1">IFERROR(__xludf.DUMMYFUNCTION("""COMPUTED_VALUE"""),"Chardonnay")</f>
        <v>Chardonnay</v>
      </c>
      <c r="F1177" s="2">
        <f ca="1">IFERROR(__xludf.DUMMYFUNCTION("""COMPUTED_VALUE"""),-2300)</f>
        <v>-2300</v>
      </c>
      <c r="G1177" s="2">
        <f ca="1">IFERROR(__xludf.DUMMYFUNCTION("""COMPUTED_VALUE"""),46)</f>
        <v>46</v>
      </c>
      <c r="H1177" s="2" t="str">
        <f ca="1">IFERROR(__xludf.DUMMYFUNCTION("""COMPUTED_VALUE"""),"898c9d40")</f>
        <v>898c9d40</v>
      </c>
      <c r="I1177" s="2" t="str">
        <f ca="1">IFERROR(__xludf.DUMMYFUNCTION("""COMPUTED_VALUE"""),"Chardonnay Mosto Rect")</f>
        <v>Chardonnay Mosto Rect</v>
      </c>
      <c r="J1177" s="2">
        <f ca="1">IFERROR(__xludf.DUMMYFUNCTION("""COMPUTED_VALUE"""),9200)</f>
        <v>9200</v>
      </c>
      <c r="K1177" s="2">
        <f ca="1">IFERROR(__xludf.DUMMYFUNCTION("""COMPUTED_VALUE"""),6900)</f>
        <v>6900</v>
      </c>
      <c r="L1177" s="2" t="str">
        <f ca="1">IFERROR(__xludf.DUMMYFUNCTION("""COMPUTED_VALUE"""),"75f02c0d")</f>
        <v>75f02c0d</v>
      </c>
      <c r="M1177" s="2" t="str">
        <f ca="1">IFERROR(__xludf.DUMMYFUNCTION("""COMPUTED_VALUE"""),"Chardonnay Mosto Rect")</f>
        <v>Chardonnay Mosto Rect</v>
      </c>
      <c r="N1177" s="2"/>
      <c r="O1177" s="2" t="str">
        <f ca="1">IFERROR(__xludf.DUMMYFUNCTION("""COMPUTED_VALUE"""),"Fermentando")</f>
        <v>Fermentando</v>
      </c>
      <c r="P1177" s="2" t="str">
        <f ca="1">IFERROR(__xludf.DUMMYFUNCTION("""COMPUTED_VALUE"""),"Rectificado")</f>
        <v>Rectificado</v>
      </c>
      <c r="Q1177" s="2" t="b">
        <f ca="1">IFERROR(__xludf.DUMMYFUNCTION("""COMPUTED_VALUE"""),TRUE)</f>
        <v>1</v>
      </c>
      <c r="R1177" s="2" t="str">
        <f ca="1">IFERROR(__xludf.DUMMYFUNCTION("""COMPUTED_VALUE"""),"Rectificado")</f>
        <v>Rectificado</v>
      </c>
      <c r="S1177" s="2"/>
      <c r="T1177" s="2"/>
      <c r="U1177" s="2"/>
    </row>
    <row r="1178" spans="1:21" x14ac:dyDescent="0.25">
      <c r="A1178" s="2" t="str">
        <f ca="1">IFERROR(__xludf.DUMMYFUNCTION("""COMPUTED_VALUE"""),"2533a3e1")</f>
        <v>2533a3e1</v>
      </c>
      <c r="B1178" s="5">
        <f ca="1">IFERROR(__xludf.DUMMYFUNCTION("""COMPUTED_VALUE"""),46070.5068171296)</f>
        <v>46070.506817129601</v>
      </c>
      <c r="C1178" s="2" t="str">
        <f ca="1">IFERROR(__xludf.DUMMYFUNCTION("""COMPUTED_VALUE"""),"44074f99")</f>
        <v>44074f99</v>
      </c>
      <c r="D1178" s="2">
        <f ca="1">IFERROR(__xludf.DUMMYFUNCTION("""COMPUTED_VALUE"""),66)</f>
        <v>66</v>
      </c>
      <c r="E1178" s="2" t="str">
        <f ca="1">IFERROR(__xludf.DUMMYFUNCTION("""COMPUTED_VALUE"""),"Aspirant")</f>
        <v>Aspirant</v>
      </c>
      <c r="F1178" s="2">
        <f ca="1">IFERROR(__xludf.DUMMYFUNCTION("""COMPUTED_VALUE"""),-2700)</f>
        <v>-2700</v>
      </c>
      <c r="G1178" s="2">
        <f ca="1">IFERROR(__xludf.DUMMYFUNCTION("""COMPUTED_VALUE"""),44)</f>
        <v>44</v>
      </c>
      <c r="H1178" s="2" t="str">
        <f ca="1">IFERROR(__xludf.DUMMYFUNCTION("""COMPUTED_VALUE"""),"4bdef056")</f>
        <v>4bdef056</v>
      </c>
      <c r="I1178" s="2" t="str">
        <f ca="1">IFERROR(__xludf.DUMMYFUNCTION("""COMPUTED_VALUE"""),"Cabernet Sauvignon")</f>
        <v>Cabernet Sauvignon</v>
      </c>
      <c r="J1178" s="2">
        <f ca="1">IFERROR(__xludf.DUMMYFUNCTION("""COMPUTED_VALUE"""),19100)</f>
        <v>19100</v>
      </c>
      <c r="K1178" s="2">
        <f ca="1">IFERROR(__xludf.DUMMYFUNCTION("""COMPUTED_VALUE"""),16400)</f>
        <v>16400</v>
      </c>
      <c r="L1178" s="2" t="str">
        <f ca="1">IFERROR(__xludf.DUMMYFUNCTION("""COMPUTED_VALUE"""),"ed91ab12")</f>
        <v>ed91ab12</v>
      </c>
      <c r="M1178" s="2" t="str">
        <f ca="1">IFERROR(__xludf.DUMMYFUNCTION("""COMPUTED_VALUE"""),"Cabernet Sauvignon")</f>
        <v>Cabernet Sauvignon</v>
      </c>
      <c r="N1178" s="2" t="str">
        <f ca="1">IFERROR(__xludf.DUMMYFUNCTION("""COMPUTED_VALUE"""),"Correccion Acidez")</f>
        <v>Correccion Acidez</v>
      </c>
      <c r="O1178" s="2" t="str">
        <f ca="1">IFERROR(__xludf.DUMMYFUNCTION("""COMPUTED_VALUE"""),"Fermentando")</f>
        <v>Fermentando</v>
      </c>
      <c r="P1178" s="2" t="str">
        <f ca="1">IFERROR(__xludf.DUMMYFUNCTION("""COMPUTED_VALUE"""),"Rectificado")</f>
        <v>Rectificado</v>
      </c>
      <c r="Q1178" s="2" t="b">
        <f ca="1">IFERROR(__xludf.DUMMYFUNCTION("""COMPUTED_VALUE"""),TRUE)</f>
        <v>1</v>
      </c>
      <c r="R1178" s="2" t="str">
        <f ca="1">IFERROR(__xludf.DUMMYFUNCTION("""COMPUTED_VALUE"""),"Rectificado")</f>
        <v>Rectificado</v>
      </c>
      <c r="S1178" s="2"/>
      <c r="T1178" s="2"/>
      <c r="U1178" s="2" t="str">
        <f ca="1">IFERROR(__xludf.DUMMYFUNCTION("""COMPUTED_VALUE"""),"2+")</f>
        <v>2+</v>
      </c>
    </row>
    <row r="1179" spans="1:21" x14ac:dyDescent="0.25">
      <c r="A1179" s="2" t="str">
        <f ca="1">IFERROR(__xludf.DUMMYFUNCTION("""COMPUTED_VALUE"""),"c6a55f50")</f>
        <v>c6a55f50</v>
      </c>
      <c r="B1179" s="5">
        <f ca="1">IFERROR(__xludf.DUMMYFUNCTION("""COMPUTED_VALUE"""),46070.5093055555)</f>
        <v>46070.509305555497</v>
      </c>
      <c r="C1179" s="2" t="str">
        <f ca="1">IFERROR(__xludf.DUMMYFUNCTION("""COMPUTED_VALUE"""),"c83c39f8")</f>
        <v>c83c39f8</v>
      </c>
      <c r="D1179" s="2">
        <f ca="1">IFERROR(__xludf.DUMMYFUNCTION("""COMPUTED_VALUE"""),79)</f>
        <v>79</v>
      </c>
      <c r="E1179" s="2" t="str">
        <f ca="1">IFERROR(__xludf.DUMMYFUNCTION("""COMPUTED_VALUE"""),"Aspirant")</f>
        <v>Aspirant</v>
      </c>
      <c r="F1179" s="2">
        <f ca="1">IFERROR(__xludf.DUMMYFUNCTION("""COMPUTED_VALUE"""),-2700)</f>
        <v>-2700</v>
      </c>
      <c r="G1179" s="2">
        <f ca="1">IFERROR(__xludf.DUMMYFUNCTION("""COMPUTED_VALUE"""),44)</f>
        <v>44</v>
      </c>
      <c r="H1179" s="2" t="str">
        <f ca="1">IFERROR(__xludf.DUMMYFUNCTION("""COMPUTED_VALUE"""),"ed91ab12")</f>
        <v>ed91ab12</v>
      </c>
      <c r="I1179" s="2" t="str">
        <f ca="1">IFERROR(__xludf.DUMMYFUNCTION("""COMPUTED_VALUE"""),"Cabernet Sauvignon")</f>
        <v>Cabernet Sauvignon</v>
      </c>
      <c r="J1179" s="2">
        <f ca="1">IFERROR(__xludf.DUMMYFUNCTION("""COMPUTED_VALUE"""),16400)</f>
        <v>16400</v>
      </c>
      <c r="K1179" s="2">
        <f ca="1">IFERROR(__xludf.DUMMYFUNCTION("""COMPUTED_VALUE"""),13700)</f>
        <v>13700</v>
      </c>
      <c r="L1179" s="2" t="str">
        <f ca="1">IFERROR(__xludf.DUMMYFUNCTION("""COMPUTED_VALUE"""),"38377731")</f>
        <v>38377731</v>
      </c>
      <c r="M1179" s="2" t="str">
        <f ca="1">IFERROR(__xludf.DUMMYFUNCTION("""COMPUTED_VALUE"""),"Cabernet Sauvignon")</f>
        <v>Cabernet Sauvignon</v>
      </c>
      <c r="N1179" s="2"/>
      <c r="O1179" s="2" t="str">
        <f ca="1">IFERROR(__xludf.DUMMYFUNCTION("""COMPUTED_VALUE"""),"Fermentando")</f>
        <v>Fermentando</v>
      </c>
      <c r="P1179" s="2" t="str">
        <f ca="1">IFERROR(__xludf.DUMMYFUNCTION("""COMPUTED_VALUE"""),"Rectificado")</f>
        <v>Rectificado</v>
      </c>
      <c r="Q1179" s="2" t="b">
        <f ca="1">IFERROR(__xludf.DUMMYFUNCTION("""COMPUTED_VALUE"""),TRUE)</f>
        <v>1</v>
      </c>
      <c r="R1179" s="2" t="str">
        <f ca="1">IFERROR(__xludf.DUMMYFUNCTION("""COMPUTED_VALUE"""),"Rectificado")</f>
        <v>Rectificado</v>
      </c>
      <c r="S1179" s="2"/>
      <c r="T1179" s="2"/>
      <c r="U1179" s="2" t="str">
        <f ca="1">IFERROR(__xludf.DUMMYFUNCTION("""COMPUTED_VALUE"""),"2+")</f>
        <v>2+</v>
      </c>
    </row>
    <row r="1180" spans="1:21" x14ac:dyDescent="0.25">
      <c r="A1180" s="2" t="str">
        <f ca="1">IFERROR(__xludf.DUMMYFUNCTION("""COMPUTED_VALUE"""),"8ff8aeba")</f>
        <v>8ff8aeba</v>
      </c>
      <c r="B1180" s="5">
        <f ca="1">IFERROR(__xludf.DUMMYFUNCTION("""COMPUTED_VALUE"""),46070.5140393518)</f>
        <v>46070.514039351801</v>
      </c>
      <c r="C1180" s="2" t="str">
        <f ca="1">IFERROR(__xludf.DUMMYFUNCTION("""COMPUTED_VALUE"""),"3ab1fef1")</f>
        <v>3ab1fef1</v>
      </c>
      <c r="D1180" s="2">
        <f ca="1">IFERROR(__xludf.DUMMYFUNCTION("""COMPUTED_VALUE"""),65)</f>
        <v>65</v>
      </c>
      <c r="E1180" s="2" t="str">
        <f ca="1">IFERROR(__xludf.DUMMYFUNCTION("""COMPUTED_VALUE"""),"Chardonnay")</f>
        <v>Chardonnay</v>
      </c>
      <c r="F1180" s="2">
        <f ca="1">IFERROR(__xludf.DUMMYFUNCTION("""COMPUTED_VALUE"""),-4400)</f>
        <v>-4400</v>
      </c>
      <c r="G1180" s="2">
        <f ca="1">IFERROR(__xludf.DUMMYFUNCTION("""COMPUTED_VALUE"""),8)</f>
        <v>8</v>
      </c>
      <c r="H1180" s="2" t="str">
        <f ca="1">IFERROR(__xludf.DUMMYFUNCTION("""COMPUTED_VALUE"""),"f239cd0f")</f>
        <v>f239cd0f</v>
      </c>
      <c r="I1180" s="2" t="str">
        <f ca="1">IFERROR(__xludf.DUMMYFUNCTION("""COMPUTED_VALUE"""),"Chardonnay Ch")</f>
        <v>Chardonnay Ch</v>
      </c>
      <c r="J1180" s="2">
        <f ca="1">IFERROR(__xludf.DUMMYFUNCTION("""COMPUTED_VALUE"""),20000)</f>
        <v>20000</v>
      </c>
      <c r="K1180" s="2">
        <f ca="1">IFERROR(__xludf.DUMMYFUNCTION("""COMPUTED_VALUE"""),15600)</f>
        <v>15600</v>
      </c>
      <c r="L1180" s="2" t="str">
        <f ca="1">IFERROR(__xludf.DUMMYFUNCTION("""COMPUTED_VALUE"""),"3cfb7b2e")</f>
        <v>3cfb7b2e</v>
      </c>
      <c r="M1180" s="2" t="str">
        <f ca="1">IFERROR(__xludf.DUMMYFUNCTION("""COMPUTED_VALUE"""),"Chardonnay Ch")</f>
        <v>Chardonnay Ch</v>
      </c>
      <c r="N1180" s="2"/>
      <c r="O1180" s="2" t="str">
        <f ca="1">IFERROR(__xludf.DUMMYFUNCTION("""COMPUTED_VALUE"""),"Fermentando")</f>
        <v>Fermentando</v>
      </c>
      <c r="P1180" s="2" t="str">
        <f ca="1">IFERROR(__xludf.DUMMYFUNCTION("""COMPUTED_VALUE"""),"Rectificado")</f>
        <v>Rectificado</v>
      </c>
      <c r="Q1180" s="2" t="b">
        <f ca="1">IFERROR(__xludf.DUMMYFUNCTION("""COMPUTED_VALUE"""),TRUE)</f>
        <v>1</v>
      </c>
      <c r="R1180" s="2" t="str">
        <f ca="1">IFERROR(__xludf.DUMMYFUNCTION("""COMPUTED_VALUE"""),"Rectificado")</f>
        <v>Rectificado</v>
      </c>
      <c r="S1180" s="2"/>
      <c r="T1180" s="2"/>
      <c r="U1180" s="2"/>
    </row>
    <row r="1181" spans="1:21" x14ac:dyDescent="0.25">
      <c r="A1181" s="2" t="str">
        <f ca="1">IFERROR(__xludf.DUMMYFUNCTION("""COMPUTED_VALUE"""),"f74a20f8")</f>
        <v>f74a20f8</v>
      </c>
      <c r="B1181" s="5">
        <f ca="1">IFERROR(__xludf.DUMMYFUNCTION("""COMPUTED_VALUE"""),46070.7192939814)</f>
        <v>46070.719293981398</v>
      </c>
      <c r="C1181" s="2" t="str">
        <f ca="1">IFERROR(__xludf.DUMMYFUNCTION("""COMPUTED_VALUE"""),"f3a40125")</f>
        <v>f3a40125</v>
      </c>
      <c r="D1181" s="2">
        <f ca="1">IFERROR(__xludf.DUMMYFUNCTION("""COMPUTED_VALUE"""),82)</f>
        <v>82</v>
      </c>
      <c r="E1181" s="2" t="str">
        <f ca="1">IFERROR(__xludf.DUMMYFUNCTION("""COMPUTED_VALUE"""),"Syrah")</f>
        <v>Syrah</v>
      </c>
      <c r="F1181" s="2">
        <f ca="1">IFERROR(__xludf.DUMMYFUNCTION("""COMPUTED_VALUE"""),500)</f>
        <v>500</v>
      </c>
      <c r="G1181" s="2">
        <f ca="1">IFERROR(__xludf.DUMMYFUNCTION("""COMPUTED_VALUE"""),74)</f>
        <v>74</v>
      </c>
      <c r="H1181" s="2" t="str">
        <f ca="1">IFERROR(__xludf.DUMMYFUNCTION("""COMPUTED_VALUE"""),"cdfb4c74")</f>
        <v>cdfb4c74</v>
      </c>
      <c r="I1181" s="2" t="str">
        <f ca="1">IFERROR(__xludf.DUMMYFUNCTION("""COMPUTED_VALUE"""),"Cabernet Sauvignon")</f>
        <v>Cabernet Sauvignon</v>
      </c>
      <c r="J1181" s="2">
        <f ca="1">IFERROR(__xludf.DUMMYFUNCTION("""COMPUTED_VALUE"""),12500)</f>
        <v>12500</v>
      </c>
      <c r="K1181" s="2">
        <f ca="1">IFERROR(__xludf.DUMMYFUNCTION("""COMPUTED_VALUE"""),13000)</f>
        <v>13000</v>
      </c>
      <c r="L1181" s="2" t="str">
        <f ca="1">IFERROR(__xludf.DUMMYFUNCTION("""COMPUTED_VALUE"""),"b9a490b9")</f>
        <v>b9a490b9</v>
      </c>
      <c r="M1181" s="2" t="str">
        <f ca="1">IFERROR(__xludf.DUMMYFUNCTION("""COMPUTED_VALUE"""),"Cabernet Sauvignon")</f>
        <v>Cabernet Sauvignon</v>
      </c>
      <c r="N1181" s="2" t="str">
        <f ca="1">IFERROR(__xludf.DUMMYFUNCTION("""COMPUTED_VALUE"""),"Relleno")</f>
        <v>Relleno</v>
      </c>
      <c r="O1181" s="2" t="str">
        <f ca="1">IFERROR(__xludf.DUMMYFUNCTION("""COMPUTED_VALUE"""),"Filtrado Tang")</f>
        <v>Filtrado Tang</v>
      </c>
      <c r="P1181" s="2" t="str">
        <f ca="1">IFERROR(__xludf.DUMMYFUNCTION("""COMPUTED_VALUE"""),"Filtrado Tang")</f>
        <v>Filtrado Tang</v>
      </c>
      <c r="Q1181" s="2" t="b">
        <f ca="1">IFERROR(__xludf.DUMMYFUNCTION("""COMPUTED_VALUE"""),TRUE)</f>
        <v>1</v>
      </c>
      <c r="R1181" s="2" t="str">
        <f ca="1">IFERROR(__xludf.DUMMYFUNCTION("""COMPUTED_VALUE"""),"Filtrado Tang")</f>
        <v>Filtrado Tang</v>
      </c>
      <c r="S1181" s="2"/>
      <c r="T1181" s="2"/>
      <c r="U1181" s="2" t="str">
        <f ca="1">IFERROR(__xludf.DUMMYFUNCTION("""COMPUTED_VALUE"""),"1")</f>
        <v>1</v>
      </c>
    </row>
    <row r="1182" spans="1:21" x14ac:dyDescent="0.25">
      <c r="A1182" s="2" t="str">
        <f ca="1">IFERROR(__xludf.DUMMYFUNCTION("""COMPUTED_VALUE"""),"63bcace8")</f>
        <v>63bcace8</v>
      </c>
      <c r="B1182" s="5">
        <f ca="1">IFERROR(__xludf.DUMMYFUNCTION("""COMPUTED_VALUE"""),46070.7197337962)</f>
        <v>46070.719733796199</v>
      </c>
      <c r="C1182" s="2" t="str">
        <f ca="1">IFERROR(__xludf.DUMMYFUNCTION("""COMPUTED_VALUE"""),"f3a40125")</f>
        <v>f3a40125</v>
      </c>
      <c r="D1182" s="2">
        <f ca="1">IFERROR(__xludf.DUMMYFUNCTION("""COMPUTED_VALUE"""),82)</f>
        <v>82</v>
      </c>
      <c r="E1182" s="2" t="str">
        <f ca="1">IFERROR(__xludf.DUMMYFUNCTION("""COMPUTED_VALUE"""),"Syrah")</f>
        <v>Syrah</v>
      </c>
      <c r="F1182" s="2">
        <f ca="1">IFERROR(__xludf.DUMMYFUNCTION("""COMPUTED_VALUE"""),1000)</f>
        <v>1000</v>
      </c>
      <c r="G1182" s="2">
        <f ca="1">IFERROR(__xludf.DUMMYFUNCTION("""COMPUTED_VALUE"""),500)</f>
        <v>500</v>
      </c>
      <c r="H1182" s="2" t="str">
        <f ca="1">IFERROR(__xludf.DUMMYFUNCTION("""COMPUTED_VALUE"""),"d2d0ea53")</f>
        <v>d2d0ea53</v>
      </c>
      <c r="I1182" s="2" t="str">
        <f ca="1">IFERROR(__xludf.DUMMYFUNCTION("""COMPUTED_VALUE"""),"Ajuste semana 13/02/2025")</f>
        <v>Ajuste semana 13/02/2025</v>
      </c>
      <c r="J1182" s="2">
        <f ca="1">IFERROR(__xludf.DUMMYFUNCTION("""COMPUTED_VALUE"""),-4299)</f>
        <v>-4299</v>
      </c>
      <c r="K1182" s="2">
        <f ca="1">IFERROR(__xludf.DUMMYFUNCTION("""COMPUTED_VALUE"""),-3299)</f>
        <v>-3299</v>
      </c>
      <c r="L1182" s="2" t="str">
        <f ca="1">IFERROR(__xludf.DUMMYFUNCTION("""COMPUTED_VALUE"""),"3e1b3fb2")</f>
        <v>3e1b3fb2</v>
      </c>
      <c r="M1182" s="2" t="str">
        <f ca="1">IFERROR(__xludf.DUMMYFUNCTION("""COMPUTED_VALUE"""),"Ajuste semana 13/02/2025")</f>
        <v>Ajuste semana 13/02/2025</v>
      </c>
      <c r="N1182" s="2"/>
      <c r="O1182" s="2" t="str">
        <f ca="1">IFERROR(__xludf.DUMMYFUNCTION("""COMPUTED_VALUE"""),"Filtrado Tang")</f>
        <v>Filtrado Tang</v>
      </c>
      <c r="P1182" s="2" t="str">
        <f ca="1">IFERROR(__xludf.DUMMYFUNCTION("""COMPUTED_VALUE"""),"Terminado")</f>
        <v>Terminado</v>
      </c>
      <c r="Q1182" s="2" t="b">
        <f ca="1">IFERROR(__xludf.DUMMYFUNCTION("""COMPUTED_VALUE"""),TRUE)</f>
        <v>1</v>
      </c>
      <c r="R1182" s="2" t="str">
        <f ca="1">IFERROR(__xludf.DUMMYFUNCTION("""COMPUTED_VALUE"""),"Terminado")</f>
        <v>Terminado</v>
      </c>
      <c r="S1182" s="2"/>
      <c r="T1182" s="2"/>
      <c r="U1182" s="2"/>
    </row>
    <row r="1183" spans="1:21" x14ac:dyDescent="0.25">
      <c r="A1183" s="2" t="str">
        <f ca="1">IFERROR(__xludf.DUMMYFUNCTION("""COMPUTED_VALUE"""),"13ea3553")</f>
        <v>13ea3553</v>
      </c>
      <c r="B1183" s="5">
        <f ca="1">IFERROR(__xludf.DUMMYFUNCTION("""COMPUTED_VALUE"""),46070.7421759259)</f>
        <v>46070.742175925901</v>
      </c>
      <c r="C1183" s="2" t="str">
        <f ca="1">IFERROR(__xludf.DUMMYFUNCTION("""COMPUTED_VALUE"""),"f3de4bc0")</f>
        <v>f3de4bc0</v>
      </c>
      <c r="D1183" s="2">
        <f ca="1">IFERROR(__xludf.DUMMYFUNCTION("""COMPUTED_VALUE"""),81)</f>
        <v>81</v>
      </c>
      <c r="E1183" s="2" t="str">
        <f ca="1">IFERROR(__xludf.DUMMYFUNCTION("""COMPUTED_VALUE"""),"Merlot")</f>
        <v>Merlot</v>
      </c>
      <c r="F1183" s="2">
        <f ca="1">IFERROR(__xludf.DUMMYFUNCTION("""COMPUTED_VALUE"""),1000)</f>
        <v>1000</v>
      </c>
      <c r="G1183" s="2">
        <f ca="1">IFERROR(__xludf.DUMMYFUNCTION("""COMPUTED_VALUE"""),66)</f>
        <v>66</v>
      </c>
      <c r="H1183" s="2" t="str">
        <f ca="1">IFERROR(__xludf.DUMMYFUNCTION("""COMPUTED_VALUE"""),"44074f99")</f>
        <v>44074f99</v>
      </c>
      <c r="I1183" s="2" t="str">
        <f ca="1">IFERROR(__xludf.DUMMYFUNCTION("""COMPUTED_VALUE"""),"Aspirant")</f>
        <v>Aspirant</v>
      </c>
      <c r="J1183" s="2">
        <f ca="1">IFERROR(__xludf.DUMMYFUNCTION("""COMPUTED_VALUE"""),14500)</f>
        <v>14500</v>
      </c>
      <c r="K1183" s="2">
        <f ca="1">IFERROR(__xludf.DUMMYFUNCTION("""COMPUTED_VALUE"""),15500)</f>
        <v>15500</v>
      </c>
      <c r="L1183" s="2" t="str">
        <f ca="1">IFERROR(__xludf.DUMMYFUNCTION("""COMPUTED_VALUE"""),"5a47168a")</f>
        <v>5a47168a</v>
      </c>
      <c r="M1183" s="2" t="str">
        <f ca="1">IFERROR(__xludf.DUMMYFUNCTION("""COMPUTED_VALUE"""),"Aspirant")</f>
        <v>Aspirant</v>
      </c>
      <c r="N1183" s="2" t="str">
        <f ca="1">IFERROR(__xludf.DUMMYFUNCTION("""COMPUTED_VALUE"""),"Sangrado del Syrah para hacer lugar al rectificado")</f>
        <v>Sangrado del Syrah para hacer lugar al rectificado</v>
      </c>
      <c r="O1183" s="2" t="str">
        <f ca="1">IFERROR(__xludf.DUMMYFUNCTION("""COMPUTED_VALUE"""),"Fermentando")</f>
        <v>Fermentando</v>
      </c>
      <c r="P1183" s="2" t="str">
        <f ca="1">IFERROR(__xludf.DUMMYFUNCTION("""COMPUTED_VALUE"""),"Fermentando")</f>
        <v>Fermentando</v>
      </c>
      <c r="Q1183" s="2" t="b">
        <f ca="1">IFERROR(__xludf.DUMMYFUNCTION("""COMPUTED_VALUE"""),TRUE)</f>
        <v>1</v>
      </c>
      <c r="R1183" s="2" t="str">
        <f ca="1">IFERROR(__xludf.DUMMYFUNCTION("""COMPUTED_VALUE"""),"Fermentando")</f>
        <v>Fermentando</v>
      </c>
      <c r="S1183" s="2"/>
      <c r="T1183" s="2"/>
      <c r="U1183" s="2"/>
    </row>
    <row r="1184" spans="1:21" x14ac:dyDescent="0.25">
      <c r="A1184" s="2" t="str">
        <f ca="1">IFERROR(__xludf.DUMMYFUNCTION("""COMPUTED_VALUE"""),"c42aadf1")</f>
        <v>c42aadf1</v>
      </c>
      <c r="B1184" s="5">
        <f ca="1">IFERROR(__xludf.DUMMYFUNCTION("""COMPUTED_VALUE"""),46070.7426504629)</f>
        <v>46070.742650462897</v>
      </c>
      <c r="C1184" s="2" t="str">
        <f ca="1">IFERROR(__xludf.DUMMYFUNCTION("""COMPUTED_VALUE"""),"f3de4bc0")</f>
        <v>f3de4bc0</v>
      </c>
      <c r="D1184" s="2">
        <f ca="1">IFERROR(__xludf.DUMMYFUNCTION("""COMPUTED_VALUE"""),81)</f>
        <v>81</v>
      </c>
      <c r="E1184" s="2" t="str">
        <f ca="1">IFERROR(__xludf.DUMMYFUNCTION("""COMPUTED_VALUE"""),"Merlot")</f>
        <v>Merlot</v>
      </c>
      <c r="F1184" s="2">
        <f ca="1">IFERROR(__xludf.DUMMYFUNCTION("""COMPUTED_VALUE"""),-700)</f>
        <v>-700</v>
      </c>
      <c r="G1184" s="2">
        <f ca="1">IFERROR(__xludf.DUMMYFUNCTION("""COMPUTED_VALUE"""),44)</f>
        <v>44</v>
      </c>
      <c r="H1184" s="2" t="str">
        <f ca="1">IFERROR(__xludf.DUMMYFUNCTION("""COMPUTED_VALUE"""),"38377731")</f>
        <v>38377731</v>
      </c>
      <c r="I1184" s="2" t="str">
        <f ca="1">IFERROR(__xludf.DUMMYFUNCTION("""COMPUTED_VALUE"""),"Cabernet Sauvignon")</f>
        <v>Cabernet Sauvignon</v>
      </c>
      <c r="J1184" s="2">
        <f ca="1">IFERROR(__xludf.DUMMYFUNCTION("""COMPUTED_VALUE"""),13700)</f>
        <v>13700</v>
      </c>
      <c r="K1184" s="2">
        <f ca="1">IFERROR(__xludf.DUMMYFUNCTION("""COMPUTED_VALUE"""),14400)</f>
        <v>14400</v>
      </c>
      <c r="L1184" s="2" t="str">
        <f ca="1">IFERROR(__xludf.DUMMYFUNCTION("""COMPUTED_VALUE"""),"b1fc79bf")</f>
        <v>b1fc79bf</v>
      </c>
      <c r="M1184" s="2" t="str">
        <f ca="1">IFERROR(__xludf.DUMMYFUNCTION("""COMPUTED_VALUE"""),"Cabernet Sauvignon")</f>
        <v>Cabernet Sauvignon</v>
      </c>
      <c r="N1184" s="2" t="str">
        <f ca="1">IFERROR(__xludf.DUMMYFUNCTION("""COMPUTED_VALUE"""),"Agregado de REctificado para corregir acidez")</f>
        <v>Agregado de REctificado para corregir acidez</v>
      </c>
      <c r="O1184" s="2" t="str">
        <f ca="1">IFERROR(__xludf.DUMMYFUNCTION("""COMPUTED_VALUE"""),"Fermentando")</f>
        <v>Fermentando</v>
      </c>
      <c r="P1184" s="2" t="str">
        <f ca="1">IFERROR(__xludf.DUMMYFUNCTION("""COMPUTED_VALUE"""),"Rectificado")</f>
        <v>Rectificado</v>
      </c>
      <c r="Q1184" s="2" t="b">
        <f ca="1">IFERROR(__xludf.DUMMYFUNCTION("""COMPUTED_VALUE"""),TRUE)</f>
        <v>1</v>
      </c>
      <c r="R1184" s="2" t="str">
        <f ca="1">IFERROR(__xludf.DUMMYFUNCTION("""COMPUTED_VALUE"""),"Rectificado")</f>
        <v>Rectificado</v>
      </c>
      <c r="S1184" s="2"/>
      <c r="T1184" s="2"/>
      <c r="U1184" s="2" t="str">
        <f ca="1">IFERROR(__xludf.DUMMYFUNCTION("""COMPUTED_VALUE"""),"2+")</f>
        <v>2+</v>
      </c>
    </row>
    <row r="1185" spans="1:21" x14ac:dyDescent="0.25">
      <c r="A1185" s="2" t="str">
        <f ca="1">IFERROR(__xludf.DUMMYFUNCTION("""COMPUTED_VALUE"""),"eb8debd0")</f>
        <v>eb8debd0</v>
      </c>
      <c r="B1185" s="5">
        <f ca="1">IFERROR(__xludf.DUMMYFUNCTION("""COMPUTED_VALUE"""),46070.7737152777)</f>
        <v>46070.773715277697</v>
      </c>
      <c r="C1185" s="2" t="str">
        <f ca="1">IFERROR(__xludf.DUMMYFUNCTION("""COMPUTED_VALUE"""),"75f02c0d")</f>
        <v>75f02c0d</v>
      </c>
      <c r="D1185" s="2">
        <f ca="1">IFERROR(__xludf.DUMMYFUNCTION("""COMPUTED_VALUE"""),46)</f>
        <v>46</v>
      </c>
      <c r="E1185" s="2" t="str">
        <f ca="1">IFERROR(__xludf.DUMMYFUNCTION("""COMPUTED_VALUE"""),"Chardonnay Mosto Rect")</f>
        <v>Chardonnay Mosto Rect</v>
      </c>
      <c r="F1185" s="2">
        <f ca="1">IFERROR(__xludf.DUMMYFUNCTION("""COMPUTED_VALUE"""),6900)</f>
        <v>6900</v>
      </c>
      <c r="G1185" s="2">
        <f ca="1">IFERROR(__xludf.DUMMYFUNCTION("""COMPUTED_VALUE"""),500)</f>
        <v>500</v>
      </c>
      <c r="H1185" s="2" t="str">
        <f ca="1">IFERROR(__xludf.DUMMYFUNCTION("""COMPUTED_VALUE"""),"3e1b3fb2")</f>
        <v>3e1b3fb2</v>
      </c>
      <c r="I1185" s="2" t="str">
        <f ca="1">IFERROR(__xludf.DUMMYFUNCTION("""COMPUTED_VALUE"""),"Ajuste semana 13/02/2025")</f>
        <v>Ajuste semana 13/02/2025</v>
      </c>
      <c r="J1185" s="2">
        <f ca="1">IFERROR(__xludf.DUMMYFUNCTION("""COMPUTED_VALUE"""),-3299)</f>
        <v>-3299</v>
      </c>
      <c r="K1185" s="2">
        <f ca="1">IFERROR(__xludf.DUMMYFUNCTION("""COMPUTED_VALUE"""),3601)</f>
        <v>3601</v>
      </c>
      <c r="L1185" s="2" t="str">
        <f ca="1">IFERROR(__xludf.DUMMYFUNCTION("""COMPUTED_VALUE"""),"e3758573")</f>
        <v>e3758573</v>
      </c>
      <c r="M1185" s="2" t="str">
        <f ca="1">IFERROR(__xludf.DUMMYFUNCTION("""COMPUTED_VALUE"""),"Ajuste semana 13/02/2025")</f>
        <v>Ajuste semana 13/02/2025</v>
      </c>
      <c r="N1185" s="2" t="str">
        <f ca="1">IFERROR(__xludf.DUMMYFUNCTION("""COMPUTED_VALUE"""),"Este mosto ya se dosifico")</f>
        <v>Este mosto ya se dosifico</v>
      </c>
      <c r="O1185" s="2" t="str">
        <f ca="1">IFERROR(__xludf.DUMMYFUNCTION("""COMPUTED_VALUE"""),"Rectificado")</f>
        <v>Rectificado</v>
      </c>
      <c r="P1185" s="2" t="str">
        <f ca="1">IFERROR(__xludf.DUMMYFUNCTION("""COMPUTED_VALUE"""),"Terminado")</f>
        <v>Terminado</v>
      </c>
      <c r="Q1185" s="2" t="b">
        <f ca="1">IFERROR(__xludf.DUMMYFUNCTION("""COMPUTED_VALUE"""),TRUE)</f>
        <v>1</v>
      </c>
      <c r="R1185" s="2" t="str">
        <f ca="1">IFERROR(__xludf.DUMMYFUNCTION("""COMPUTED_VALUE"""),"Terminado")</f>
        <v>Terminado</v>
      </c>
      <c r="S1185" s="2"/>
      <c r="T1185" s="2"/>
      <c r="U1185" s="2"/>
    </row>
    <row r="1186" spans="1:21" x14ac:dyDescent="0.25">
      <c r="A1186" s="2" t="str">
        <f ca="1">IFERROR(__xludf.DUMMYFUNCTION("""COMPUTED_VALUE"""),"e1b58ba8")</f>
        <v>e1b58ba8</v>
      </c>
      <c r="B1186" s="5">
        <f ca="1">IFERROR(__xludf.DUMMYFUNCTION("""COMPUTED_VALUE"""),46070.7814236111)</f>
        <v>46070.781423611101</v>
      </c>
      <c r="C1186" s="2" t="str">
        <f ca="1">IFERROR(__xludf.DUMMYFUNCTION("""COMPUTED_VALUE"""),"3cfb7b2e")</f>
        <v>3cfb7b2e</v>
      </c>
      <c r="D1186" s="2">
        <f ca="1">IFERROR(__xludf.DUMMYFUNCTION("""COMPUTED_VALUE"""),8)</f>
        <v>8</v>
      </c>
      <c r="E1186" s="2" t="str">
        <f ca="1">IFERROR(__xludf.DUMMYFUNCTION("""COMPUTED_VALUE"""),"Chardonnay Ch")</f>
        <v>Chardonnay Ch</v>
      </c>
      <c r="F1186" s="2">
        <f ca="1">IFERROR(__xludf.DUMMYFUNCTION("""COMPUTED_VALUE"""),7800)</f>
        <v>7800</v>
      </c>
      <c r="G1186" s="2">
        <f ca="1">IFERROR(__xludf.DUMMYFUNCTION("""COMPUTED_VALUE"""),500)</f>
        <v>500</v>
      </c>
      <c r="H1186" s="2" t="str">
        <f ca="1">IFERROR(__xludf.DUMMYFUNCTION("""COMPUTED_VALUE"""),"e3758573")</f>
        <v>e3758573</v>
      </c>
      <c r="I1186" s="2" t="str">
        <f ca="1">IFERROR(__xludf.DUMMYFUNCTION("""COMPUTED_VALUE"""),"Ajuste semana 13/02/2025")</f>
        <v>Ajuste semana 13/02/2025</v>
      </c>
      <c r="J1186" s="2">
        <f ca="1">IFERROR(__xludf.DUMMYFUNCTION("""COMPUTED_VALUE"""),3601)</f>
        <v>3601</v>
      </c>
      <c r="K1186" s="2">
        <f ca="1">IFERROR(__xludf.DUMMYFUNCTION("""COMPUTED_VALUE"""),11401)</f>
        <v>11401</v>
      </c>
      <c r="L1186" s="2" t="str">
        <f ca="1">IFERROR(__xludf.DUMMYFUNCTION("""COMPUTED_VALUE"""),"fca5e4c9")</f>
        <v>fca5e4c9</v>
      </c>
      <c r="M1186" s="2" t="str">
        <f ca="1">IFERROR(__xludf.DUMMYFUNCTION("""COMPUTED_VALUE"""),"Ajuste semana 13/02/2025")</f>
        <v>Ajuste semana 13/02/2025</v>
      </c>
      <c r="N1186" s="2"/>
      <c r="O1186" s="2" t="str">
        <f ca="1">IFERROR(__xludf.DUMMYFUNCTION("""COMPUTED_VALUE"""),"Rectificado")</f>
        <v>Rectificado</v>
      </c>
      <c r="P1186" s="2" t="str">
        <f ca="1">IFERROR(__xludf.DUMMYFUNCTION("""COMPUTED_VALUE"""),"Terminado")</f>
        <v>Terminado</v>
      </c>
      <c r="Q1186" s="2" t="b">
        <f ca="1">IFERROR(__xludf.DUMMYFUNCTION("""COMPUTED_VALUE"""),TRUE)</f>
        <v>1</v>
      </c>
      <c r="R1186" s="2" t="str">
        <f ca="1">IFERROR(__xludf.DUMMYFUNCTION("""COMPUTED_VALUE"""),"Terminado")</f>
        <v>Terminado</v>
      </c>
      <c r="S1186" s="2"/>
      <c r="T1186" s="2"/>
      <c r="U1186" s="2"/>
    </row>
    <row r="1187" spans="1:21" x14ac:dyDescent="0.25">
      <c r="A1187" s="2" t="str">
        <f ca="1">IFERROR(__xludf.DUMMYFUNCTION("""COMPUTED_VALUE"""),"dbe9b816")</f>
        <v>dbe9b816</v>
      </c>
      <c r="B1187" s="5">
        <f ca="1">IFERROR(__xludf.DUMMYFUNCTION("""COMPUTED_VALUE"""),46070.7818981481)</f>
        <v>46070.781898148103</v>
      </c>
      <c r="C1187" s="2" t="str">
        <f ca="1">IFERROR(__xludf.DUMMYFUNCTION("""COMPUTED_VALUE"""),"b1fc79bf")</f>
        <v>b1fc79bf</v>
      </c>
      <c r="D1187" s="2">
        <f ca="1">IFERROR(__xludf.DUMMYFUNCTION("""COMPUTED_VALUE"""),44)</f>
        <v>44</v>
      </c>
      <c r="E1187" s="2" t="str">
        <f ca="1">IFERROR(__xludf.DUMMYFUNCTION("""COMPUTED_VALUE"""),"Cabernet Sauvignon")</f>
        <v>Cabernet Sauvignon</v>
      </c>
      <c r="F1187" s="2">
        <f ca="1">IFERROR(__xludf.DUMMYFUNCTION("""COMPUTED_VALUE"""),700)</f>
        <v>700</v>
      </c>
      <c r="G1187" s="2">
        <f ca="1">IFERROR(__xludf.DUMMYFUNCTION("""COMPUTED_VALUE"""),500)</f>
        <v>500</v>
      </c>
      <c r="H1187" s="2" t="str">
        <f ca="1">IFERROR(__xludf.DUMMYFUNCTION("""COMPUTED_VALUE"""),"fca5e4c9")</f>
        <v>fca5e4c9</v>
      </c>
      <c r="I1187" s="2" t="str">
        <f ca="1">IFERROR(__xludf.DUMMYFUNCTION("""COMPUTED_VALUE"""),"Ajuste semana 13/02/2025")</f>
        <v>Ajuste semana 13/02/2025</v>
      </c>
      <c r="J1187" s="2">
        <f ca="1">IFERROR(__xludf.DUMMYFUNCTION("""COMPUTED_VALUE"""),11401)</f>
        <v>11401</v>
      </c>
      <c r="K1187" s="2">
        <f ca="1">IFERROR(__xludf.DUMMYFUNCTION("""COMPUTED_VALUE"""),12101)</f>
        <v>12101</v>
      </c>
      <c r="L1187" s="2" t="str">
        <f ca="1">IFERROR(__xludf.DUMMYFUNCTION("""COMPUTED_VALUE"""),"6135feaa")</f>
        <v>6135feaa</v>
      </c>
      <c r="M1187" s="2" t="str">
        <f ca="1">IFERROR(__xludf.DUMMYFUNCTION("""COMPUTED_VALUE"""),"Ajuste semana 13/02/2025")</f>
        <v>Ajuste semana 13/02/2025</v>
      </c>
      <c r="N1187" s="2"/>
      <c r="O1187" s="2" t="str">
        <f ca="1">IFERROR(__xludf.DUMMYFUNCTION("""COMPUTED_VALUE"""),"Rectificado")</f>
        <v>Rectificado</v>
      </c>
      <c r="P1187" s="2" t="str">
        <f ca="1">IFERROR(__xludf.DUMMYFUNCTION("""COMPUTED_VALUE"""),"Terminado")</f>
        <v>Terminado</v>
      </c>
      <c r="Q1187" s="2" t="b">
        <f ca="1">IFERROR(__xludf.DUMMYFUNCTION("""COMPUTED_VALUE"""),TRUE)</f>
        <v>1</v>
      </c>
      <c r="R1187" s="2" t="str">
        <f ca="1">IFERROR(__xludf.DUMMYFUNCTION("""COMPUTED_VALUE"""),"Terminado")</f>
        <v>Terminado</v>
      </c>
      <c r="S1187" s="2"/>
      <c r="T1187" s="2"/>
      <c r="U1187" s="2"/>
    </row>
    <row r="1188" spans="1:21" x14ac:dyDescent="0.25">
      <c r="A1188" s="2" t="str">
        <f ca="1">IFERROR(__xludf.DUMMYFUNCTION("""COMPUTED_VALUE"""),"70e2ed9c")</f>
        <v>70e2ed9c</v>
      </c>
      <c r="B1188" s="5">
        <f ca="1">IFERROR(__xludf.DUMMYFUNCTION("""COMPUTED_VALUE"""),46070.782199074)</f>
        <v>46070.782199073998</v>
      </c>
      <c r="C1188" s="2" t="str">
        <f ca="1">IFERROR(__xludf.DUMMYFUNCTION("""COMPUTED_VALUE"""),"b1fc79bf")</f>
        <v>b1fc79bf</v>
      </c>
      <c r="D1188" s="2">
        <f ca="1">IFERROR(__xludf.DUMMYFUNCTION("""COMPUTED_VALUE"""),44)</f>
        <v>44</v>
      </c>
      <c r="E1188" s="2" t="str">
        <f ca="1">IFERROR(__xludf.DUMMYFUNCTION("""COMPUTED_VALUE"""),"Cabernet Sauvignon")</f>
        <v>Cabernet Sauvignon</v>
      </c>
      <c r="F1188" s="2">
        <f ca="1">IFERROR(__xludf.DUMMYFUNCTION("""COMPUTED_VALUE"""),-700)</f>
        <v>-700</v>
      </c>
      <c r="G1188" s="2">
        <f ca="1">IFERROR(__xludf.DUMMYFUNCTION("""COMPUTED_VALUE"""),500)</f>
        <v>500</v>
      </c>
      <c r="H1188" s="2" t="str">
        <f ca="1">IFERROR(__xludf.DUMMYFUNCTION("""COMPUTED_VALUE"""),"6135feaa")</f>
        <v>6135feaa</v>
      </c>
      <c r="I1188" s="2" t="str">
        <f ca="1">IFERROR(__xludf.DUMMYFUNCTION("""COMPUTED_VALUE"""),"Ajuste semana 13/02/2025")</f>
        <v>Ajuste semana 13/02/2025</v>
      </c>
      <c r="J1188" s="2">
        <f ca="1">IFERROR(__xludf.DUMMYFUNCTION("""COMPUTED_VALUE"""),12101)</f>
        <v>12101</v>
      </c>
      <c r="K1188" s="2">
        <f ca="1">IFERROR(__xludf.DUMMYFUNCTION("""COMPUTED_VALUE"""),11401)</f>
        <v>11401</v>
      </c>
      <c r="L1188" s="2" t="str">
        <f ca="1">IFERROR(__xludf.DUMMYFUNCTION("""COMPUTED_VALUE"""),"a2937c66")</f>
        <v>a2937c66</v>
      </c>
      <c r="M1188" s="2" t="str">
        <f ca="1">IFERROR(__xludf.DUMMYFUNCTION("""COMPUTED_VALUE"""),"Ajuste semana 13/02/2025")</f>
        <v>Ajuste semana 13/02/2025</v>
      </c>
      <c r="N1188" s="2"/>
      <c r="O1188" s="2" t="str">
        <f ca="1">IFERROR(__xludf.DUMMYFUNCTION("""COMPUTED_VALUE"""),"Rectificado")</f>
        <v>Rectificado</v>
      </c>
      <c r="P1188" s="2" t="str">
        <f ca="1">IFERROR(__xludf.DUMMYFUNCTION("""COMPUTED_VALUE"""),"Terminado")</f>
        <v>Terminado</v>
      </c>
      <c r="Q1188" s="2" t="b">
        <f ca="1">IFERROR(__xludf.DUMMYFUNCTION("""COMPUTED_VALUE"""),TRUE)</f>
        <v>1</v>
      </c>
      <c r="R1188" s="2" t="str">
        <f ca="1">IFERROR(__xludf.DUMMYFUNCTION("""COMPUTED_VALUE"""),"Terminado")</f>
        <v>Terminado</v>
      </c>
      <c r="S1188" s="2"/>
      <c r="T1188" s="2"/>
      <c r="U1188" s="2"/>
    </row>
    <row r="1189" spans="1:21" x14ac:dyDescent="0.25">
      <c r="A1189" s="2" t="str">
        <f ca="1">IFERROR(__xludf.DUMMYFUNCTION("""COMPUTED_VALUE"""),"08d715c7")</f>
        <v>08d715c7</v>
      </c>
      <c r="B1189" s="5">
        <f ca="1">IFERROR(__xludf.DUMMYFUNCTION("""COMPUTED_VALUE"""),46070.7829282407)</f>
        <v>46070.782928240696</v>
      </c>
      <c r="C1189" s="2" t="str">
        <f ca="1">IFERROR(__xludf.DUMMYFUNCTION("""COMPUTED_VALUE"""),"3ab1fef1")</f>
        <v>3ab1fef1</v>
      </c>
      <c r="D1189" s="2">
        <f ca="1">IFERROR(__xludf.DUMMYFUNCTION("""COMPUTED_VALUE"""),65)</f>
        <v>65</v>
      </c>
      <c r="E1189" s="2" t="str">
        <f ca="1">IFERROR(__xludf.DUMMYFUNCTION("""COMPUTED_VALUE"""),"Chardonnay")</f>
        <v>Chardonnay</v>
      </c>
      <c r="F1189" s="2">
        <f ca="1">IFERROR(__xludf.DUMMYFUNCTION("""COMPUTED_VALUE"""),600)</f>
        <v>600</v>
      </c>
      <c r="G1189" s="2">
        <f ca="1">IFERROR(__xludf.DUMMYFUNCTION("""COMPUTED_VALUE"""),500)</f>
        <v>500</v>
      </c>
      <c r="H1189" s="2" t="str">
        <f ca="1">IFERROR(__xludf.DUMMYFUNCTION("""COMPUTED_VALUE"""),"a2937c66")</f>
        <v>a2937c66</v>
      </c>
      <c r="I1189" s="2" t="str">
        <f ca="1">IFERROR(__xludf.DUMMYFUNCTION("""COMPUTED_VALUE"""),"Ajuste semana 13/02/2025")</f>
        <v>Ajuste semana 13/02/2025</v>
      </c>
      <c r="J1189" s="2">
        <f ca="1">IFERROR(__xludf.DUMMYFUNCTION("""COMPUTED_VALUE"""),11401)</f>
        <v>11401</v>
      </c>
      <c r="K1189" s="2">
        <f ca="1">IFERROR(__xludf.DUMMYFUNCTION("""COMPUTED_VALUE"""),12001)</f>
        <v>12001</v>
      </c>
      <c r="L1189" s="2" t="str">
        <f ca="1">IFERROR(__xludf.DUMMYFUNCTION("""COMPUTED_VALUE"""),"5250cb36")</f>
        <v>5250cb36</v>
      </c>
      <c r="M1189" s="2" t="str">
        <f ca="1">IFERROR(__xludf.DUMMYFUNCTION("""COMPUTED_VALUE"""),"Ajuste semana 13/02/2025")</f>
        <v>Ajuste semana 13/02/2025</v>
      </c>
      <c r="N1189" s="2"/>
      <c r="O1189" s="2" t="str">
        <f ca="1">IFERROR(__xludf.DUMMYFUNCTION("""COMPUTED_VALUE"""),"Fermentando")</f>
        <v>Fermentando</v>
      </c>
      <c r="P1189" s="2" t="str">
        <f ca="1">IFERROR(__xludf.DUMMYFUNCTION("""COMPUTED_VALUE"""),"Terminado")</f>
        <v>Terminado</v>
      </c>
      <c r="Q1189" s="2" t="b">
        <f ca="1">IFERROR(__xludf.DUMMYFUNCTION("""COMPUTED_VALUE"""),TRUE)</f>
        <v>1</v>
      </c>
      <c r="R1189" s="2" t="str">
        <f ca="1">IFERROR(__xludf.DUMMYFUNCTION("""COMPUTED_VALUE"""),"Terminado")</f>
        <v>Terminado</v>
      </c>
      <c r="S1189" s="2"/>
      <c r="T1189" s="2"/>
      <c r="U1189" s="2"/>
    </row>
    <row r="1190" spans="1:21" x14ac:dyDescent="0.25">
      <c r="A1190" s="2" t="str">
        <f ca="1">IFERROR(__xludf.DUMMYFUNCTION("""COMPUTED_VALUE"""),"7ebf80b8")</f>
        <v>7ebf80b8</v>
      </c>
      <c r="B1190" s="5">
        <f ca="1">IFERROR(__xludf.DUMMYFUNCTION("""COMPUTED_VALUE"""),46070.7832407407)</f>
        <v>46070.783240740697</v>
      </c>
      <c r="C1190" s="2" t="str">
        <f ca="1">IFERROR(__xludf.DUMMYFUNCTION("""COMPUTED_VALUE"""),"5a47168a")</f>
        <v>5a47168a</v>
      </c>
      <c r="D1190" s="2">
        <f ca="1">IFERROR(__xludf.DUMMYFUNCTION("""COMPUTED_VALUE"""),66)</f>
        <v>66</v>
      </c>
      <c r="E1190" s="2" t="str">
        <f ca="1">IFERROR(__xludf.DUMMYFUNCTION("""COMPUTED_VALUE"""),"Aspirant")</f>
        <v>Aspirant</v>
      </c>
      <c r="F1190" s="2">
        <f ca="1">IFERROR(__xludf.DUMMYFUNCTION("""COMPUTED_VALUE"""),-500)</f>
        <v>-500</v>
      </c>
      <c r="G1190" s="2">
        <f ca="1">IFERROR(__xludf.DUMMYFUNCTION("""COMPUTED_VALUE"""),500)</f>
        <v>500</v>
      </c>
      <c r="H1190" s="2" t="str">
        <f ca="1">IFERROR(__xludf.DUMMYFUNCTION("""COMPUTED_VALUE"""),"5250cb36")</f>
        <v>5250cb36</v>
      </c>
      <c r="I1190" s="2" t="str">
        <f ca="1">IFERROR(__xludf.DUMMYFUNCTION("""COMPUTED_VALUE"""),"Ajuste semana 13/02/2025")</f>
        <v>Ajuste semana 13/02/2025</v>
      </c>
      <c r="J1190" s="2">
        <f ca="1">IFERROR(__xludf.DUMMYFUNCTION("""COMPUTED_VALUE"""),12001)</f>
        <v>12001</v>
      </c>
      <c r="K1190" s="2">
        <f ca="1">IFERROR(__xludf.DUMMYFUNCTION("""COMPUTED_VALUE"""),11501)</f>
        <v>11501</v>
      </c>
      <c r="L1190" s="2" t="str">
        <f ca="1">IFERROR(__xludf.DUMMYFUNCTION("""COMPUTED_VALUE"""),"36b020e6")</f>
        <v>36b020e6</v>
      </c>
      <c r="M1190" s="2" t="str">
        <f ca="1">IFERROR(__xludf.DUMMYFUNCTION("""COMPUTED_VALUE"""),"Ajuste semana 13/02/2025")</f>
        <v>Ajuste semana 13/02/2025</v>
      </c>
      <c r="N1190" s="2"/>
      <c r="O1190" s="2" t="str">
        <f ca="1">IFERROR(__xludf.DUMMYFUNCTION("""COMPUTED_VALUE"""),"Fermentando")</f>
        <v>Fermentando</v>
      </c>
      <c r="P1190" s="2" t="str">
        <f ca="1">IFERROR(__xludf.DUMMYFUNCTION("""COMPUTED_VALUE"""),"Terminado")</f>
        <v>Terminado</v>
      </c>
      <c r="Q1190" s="2" t="b">
        <f ca="1">IFERROR(__xludf.DUMMYFUNCTION("""COMPUTED_VALUE"""),TRUE)</f>
        <v>1</v>
      </c>
      <c r="R1190" s="2" t="str">
        <f ca="1">IFERROR(__xludf.DUMMYFUNCTION("""COMPUTED_VALUE"""),"Terminado")</f>
        <v>Terminado</v>
      </c>
      <c r="S1190" s="2"/>
      <c r="T1190" s="2"/>
      <c r="U1190" s="2"/>
    </row>
    <row r="1191" spans="1:21" x14ac:dyDescent="0.25">
      <c r="A1191" s="2" t="str">
        <f ca="1">IFERROR(__xludf.DUMMYFUNCTION("""COMPUTED_VALUE"""),"68c67ad3")</f>
        <v>68c67ad3</v>
      </c>
      <c r="B1191" s="5">
        <f ca="1">IFERROR(__xludf.DUMMYFUNCTION("""COMPUTED_VALUE"""),46070.7841782407)</f>
        <v>46070.784178240698</v>
      </c>
      <c r="C1191" s="2" t="str">
        <f ca="1">IFERROR(__xludf.DUMMYFUNCTION("""COMPUTED_VALUE"""),"5a47168a")</f>
        <v>5a47168a</v>
      </c>
      <c r="D1191" s="2">
        <f ca="1">IFERROR(__xludf.DUMMYFUNCTION("""COMPUTED_VALUE"""),66)</f>
        <v>66</v>
      </c>
      <c r="E1191" s="2" t="str">
        <f ca="1">IFERROR(__xludf.DUMMYFUNCTION("""COMPUTED_VALUE"""),"Aspirant")</f>
        <v>Aspirant</v>
      </c>
      <c r="F1191" s="2">
        <f ca="1">IFERROR(__xludf.DUMMYFUNCTION("""COMPUTED_VALUE"""),1000)</f>
        <v>1000</v>
      </c>
      <c r="G1191" s="2">
        <f ca="1">IFERROR(__xludf.DUMMYFUNCTION("""COMPUTED_VALUE"""),500)</f>
        <v>500</v>
      </c>
      <c r="H1191" s="2" t="str">
        <f ca="1">IFERROR(__xludf.DUMMYFUNCTION("""COMPUTED_VALUE"""),"36b020e6")</f>
        <v>36b020e6</v>
      </c>
      <c r="I1191" s="2" t="str">
        <f ca="1">IFERROR(__xludf.DUMMYFUNCTION("""COMPUTED_VALUE"""),"Ajuste semana 13/02/2025")</f>
        <v>Ajuste semana 13/02/2025</v>
      </c>
      <c r="J1191" s="2">
        <f ca="1">IFERROR(__xludf.DUMMYFUNCTION("""COMPUTED_VALUE"""),11501)</f>
        <v>11501</v>
      </c>
      <c r="K1191" s="2">
        <f ca="1">IFERROR(__xludf.DUMMYFUNCTION("""COMPUTED_VALUE"""),12501)</f>
        <v>12501</v>
      </c>
      <c r="L1191" s="2" t="str">
        <f ca="1">IFERROR(__xludf.DUMMYFUNCTION("""COMPUTED_VALUE"""),"d92bfa4c")</f>
        <v>d92bfa4c</v>
      </c>
      <c r="M1191" s="2" t="str">
        <f ca="1">IFERROR(__xludf.DUMMYFUNCTION("""COMPUTED_VALUE"""),"Ajuste semana 13/02/2025")</f>
        <v>Ajuste semana 13/02/2025</v>
      </c>
      <c r="N1191" s="2"/>
      <c r="O1191" s="2" t="str">
        <f ca="1">IFERROR(__xludf.DUMMYFUNCTION("""COMPUTED_VALUE"""),"Fermentando")</f>
        <v>Fermentando</v>
      </c>
      <c r="P1191" s="2" t="str">
        <f ca="1">IFERROR(__xludf.DUMMYFUNCTION("""COMPUTED_VALUE"""),"Terminado")</f>
        <v>Terminado</v>
      </c>
      <c r="Q1191" s="2" t="b">
        <f ca="1">IFERROR(__xludf.DUMMYFUNCTION("""COMPUTED_VALUE"""),TRUE)</f>
        <v>1</v>
      </c>
      <c r="R1191" s="2" t="str">
        <f ca="1">IFERROR(__xludf.DUMMYFUNCTION("""COMPUTED_VALUE"""),"Terminado")</f>
        <v>Terminado</v>
      </c>
      <c r="S1191" s="2"/>
      <c r="T1191" s="2"/>
      <c r="U1191" s="2"/>
    </row>
    <row r="1192" spans="1:21" x14ac:dyDescent="0.25">
      <c r="A1192" s="2" t="str">
        <f ca="1">IFERROR(__xludf.DUMMYFUNCTION("""COMPUTED_VALUE"""),"0621b9a1")</f>
        <v>0621b9a1</v>
      </c>
      <c r="B1192" s="5">
        <f ca="1">IFERROR(__xludf.DUMMYFUNCTION("""COMPUTED_VALUE"""),46070.7850347222)</f>
        <v>46070.785034722197</v>
      </c>
      <c r="C1192" s="2" t="str">
        <f ca="1">IFERROR(__xludf.DUMMYFUNCTION("""COMPUTED_VALUE"""),"b9a490b9")</f>
        <v>b9a490b9</v>
      </c>
      <c r="D1192" s="2">
        <f ca="1">IFERROR(__xludf.DUMMYFUNCTION("""COMPUTED_VALUE"""),74)</f>
        <v>74</v>
      </c>
      <c r="E1192" s="2" t="str">
        <f ca="1">IFERROR(__xludf.DUMMYFUNCTION("""COMPUTED_VALUE"""),"Cabernet Sauvignon")</f>
        <v>Cabernet Sauvignon</v>
      </c>
      <c r="F1192" s="2">
        <f ca="1">IFERROR(__xludf.DUMMYFUNCTION("""COMPUTED_VALUE"""),3000)</f>
        <v>3000</v>
      </c>
      <c r="G1192" s="2">
        <f ca="1">IFERROR(__xludf.DUMMYFUNCTION("""COMPUTED_VALUE"""),500)</f>
        <v>500</v>
      </c>
      <c r="H1192" s="2" t="str">
        <f ca="1">IFERROR(__xludf.DUMMYFUNCTION("""COMPUTED_VALUE"""),"d92bfa4c")</f>
        <v>d92bfa4c</v>
      </c>
      <c r="I1192" s="2" t="str">
        <f ca="1">IFERROR(__xludf.DUMMYFUNCTION("""COMPUTED_VALUE"""),"Ajuste semana 13/02/2025")</f>
        <v>Ajuste semana 13/02/2025</v>
      </c>
      <c r="J1192" s="2">
        <f ca="1">IFERROR(__xludf.DUMMYFUNCTION("""COMPUTED_VALUE"""),12501)</f>
        <v>12501</v>
      </c>
      <c r="K1192" s="2">
        <f ca="1">IFERROR(__xludf.DUMMYFUNCTION("""COMPUTED_VALUE"""),15501)</f>
        <v>15501</v>
      </c>
      <c r="L1192" s="2" t="str">
        <f ca="1">IFERROR(__xludf.DUMMYFUNCTION("""COMPUTED_VALUE"""),"9f89ed5b")</f>
        <v>9f89ed5b</v>
      </c>
      <c r="M1192" s="2" t="str">
        <f ca="1">IFERROR(__xludf.DUMMYFUNCTION("""COMPUTED_VALUE"""),"Ajuste semana 13/02/2025")</f>
        <v>Ajuste semana 13/02/2025</v>
      </c>
      <c r="N1192" s="2"/>
      <c r="O1192" s="2" t="str">
        <f ca="1">IFERROR(__xludf.DUMMYFUNCTION("""COMPUTED_VALUE"""),"Filtrado Tang")</f>
        <v>Filtrado Tang</v>
      </c>
      <c r="P1192" s="2" t="str">
        <f ca="1">IFERROR(__xludf.DUMMYFUNCTION("""COMPUTED_VALUE"""),"Terminado")</f>
        <v>Terminado</v>
      </c>
      <c r="Q1192" s="2" t="b">
        <f ca="1">IFERROR(__xludf.DUMMYFUNCTION("""COMPUTED_VALUE"""),TRUE)</f>
        <v>1</v>
      </c>
      <c r="R1192" s="2" t="str">
        <f ca="1">IFERROR(__xludf.DUMMYFUNCTION("""COMPUTED_VALUE"""),"Terminado")</f>
        <v>Terminado</v>
      </c>
      <c r="S1192" s="2"/>
      <c r="T1192" s="2"/>
      <c r="U1192" s="2"/>
    </row>
    <row r="1193" spans="1:21" x14ac:dyDescent="0.25">
      <c r="A1193" s="2" t="str">
        <f ca="1">IFERROR(__xludf.DUMMYFUNCTION("""COMPUTED_VALUE"""),"4df0f6e4")</f>
        <v>4df0f6e4</v>
      </c>
      <c r="B1193" s="5">
        <f ca="1">IFERROR(__xludf.DUMMYFUNCTION("""COMPUTED_VALUE"""),46070.7853819444)</f>
        <v>46070.785381944399</v>
      </c>
      <c r="C1193" s="2" t="str">
        <f ca="1">IFERROR(__xludf.DUMMYFUNCTION("""COMPUTED_VALUE"""),"d0e76b7a")</f>
        <v>d0e76b7a</v>
      </c>
      <c r="D1193" s="2">
        <f ca="1">IFERROR(__xludf.DUMMYFUNCTION("""COMPUTED_VALUE"""),76)</f>
        <v>76</v>
      </c>
      <c r="E1193" s="2" t="str">
        <f ca="1">IFERROR(__xludf.DUMMYFUNCTION("""COMPUTED_VALUE"""),"Chardonnay")</f>
        <v>Chardonnay</v>
      </c>
      <c r="F1193" s="2">
        <f ca="1">IFERROR(__xludf.DUMMYFUNCTION("""COMPUTED_VALUE"""),-500)</f>
        <v>-500</v>
      </c>
      <c r="G1193" s="2">
        <f ca="1">IFERROR(__xludf.DUMMYFUNCTION("""COMPUTED_VALUE"""),500)</f>
        <v>500</v>
      </c>
      <c r="H1193" s="2" t="str">
        <f ca="1">IFERROR(__xludf.DUMMYFUNCTION("""COMPUTED_VALUE"""),"9f89ed5b")</f>
        <v>9f89ed5b</v>
      </c>
      <c r="I1193" s="2" t="str">
        <f ca="1">IFERROR(__xludf.DUMMYFUNCTION("""COMPUTED_VALUE"""),"Ajuste semana 13/02/2025")</f>
        <v>Ajuste semana 13/02/2025</v>
      </c>
      <c r="J1193" s="2">
        <f ca="1">IFERROR(__xludf.DUMMYFUNCTION("""COMPUTED_VALUE"""),15501)</f>
        <v>15501</v>
      </c>
      <c r="K1193" s="2">
        <f ca="1">IFERROR(__xludf.DUMMYFUNCTION("""COMPUTED_VALUE"""),15001)</f>
        <v>15001</v>
      </c>
      <c r="L1193" s="2" t="str">
        <f ca="1">IFERROR(__xludf.DUMMYFUNCTION("""COMPUTED_VALUE"""),"6cd2c023")</f>
        <v>6cd2c023</v>
      </c>
      <c r="M1193" s="2" t="str">
        <f ca="1">IFERROR(__xludf.DUMMYFUNCTION("""COMPUTED_VALUE"""),"Ajuste semana 13/02/2025")</f>
        <v>Ajuste semana 13/02/2025</v>
      </c>
      <c r="N1193" s="2"/>
      <c r="O1193" s="2" t="str">
        <f ca="1">IFERROR(__xludf.DUMMYFUNCTION("""COMPUTED_VALUE"""),"Fermentando")</f>
        <v>Fermentando</v>
      </c>
      <c r="P1193" s="2" t="str">
        <f ca="1">IFERROR(__xludf.DUMMYFUNCTION("""COMPUTED_VALUE"""),"Terminado")</f>
        <v>Terminado</v>
      </c>
      <c r="Q1193" s="2" t="b">
        <f ca="1">IFERROR(__xludf.DUMMYFUNCTION("""COMPUTED_VALUE"""),TRUE)</f>
        <v>1</v>
      </c>
      <c r="R1193" s="2" t="str">
        <f ca="1">IFERROR(__xludf.DUMMYFUNCTION("""COMPUTED_VALUE"""),"Terminado")</f>
        <v>Terminado</v>
      </c>
      <c r="S1193" s="2"/>
      <c r="T1193" s="2"/>
      <c r="U1193" s="2"/>
    </row>
    <row r="1194" spans="1:21" x14ac:dyDescent="0.25">
      <c r="A1194" s="2" t="str">
        <f ca="1">IFERROR(__xludf.DUMMYFUNCTION("""COMPUTED_VALUE"""),"88e1f97b")</f>
        <v>88e1f97b</v>
      </c>
      <c r="B1194" s="5">
        <f ca="1">IFERROR(__xludf.DUMMYFUNCTION("""COMPUTED_VALUE"""),46070.7856828703)</f>
        <v>46070.785682870301</v>
      </c>
      <c r="C1194" s="2" t="str">
        <f ca="1">IFERROR(__xludf.DUMMYFUNCTION("""COMPUTED_VALUE"""),"6925ca3a")</f>
        <v>6925ca3a</v>
      </c>
      <c r="D1194" s="2">
        <f ca="1">IFERROR(__xludf.DUMMYFUNCTION("""COMPUTED_VALUE"""),77)</f>
        <v>77</v>
      </c>
      <c r="E1194" s="2" t="str">
        <f ca="1">IFERROR(__xludf.DUMMYFUNCTION("""COMPUTED_VALUE"""),"Chardonnay")</f>
        <v>Chardonnay</v>
      </c>
      <c r="F1194" s="2">
        <f ca="1">IFERROR(__xludf.DUMMYFUNCTION("""COMPUTED_VALUE"""),-300)</f>
        <v>-300</v>
      </c>
      <c r="G1194" s="2">
        <f ca="1">IFERROR(__xludf.DUMMYFUNCTION("""COMPUTED_VALUE"""),500)</f>
        <v>500</v>
      </c>
      <c r="H1194" s="2" t="str">
        <f ca="1">IFERROR(__xludf.DUMMYFUNCTION("""COMPUTED_VALUE"""),"6cd2c023")</f>
        <v>6cd2c023</v>
      </c>
      <c r="I1194" s="2" t="str">
        <f ca="1">IFERROR(__xludf.DUMMYFUNCTION("""COMPUTED_VALUE"""),"Ajuste semana 13/02/2025")</f>
        <v>Ajuste semana 13/02/2025</v>
      </c>
      <c r="J1194" s="2">
        <f ca="1">IFERROR(__xludf.DUMMYFUNCTION("""COMPUTED_VALUE"""),15001)</f>
        <v>15001</v>
      </c>
      <c r="K1194" s="2">
        <f ca="1">IFERROR(__xludf.DUMMYFUNCTION("""COMPUTED_VALUE"""),14701)</f>
        <v>14701</v>
      </c>
      <c r="L1194" s="2" t="str">
        <f ca="1">IFERROR(__xludf.DUMMYFUNCTION("""COMPUTED_VALUE"""),"9d8917d5")</f>
        <v>9d8917d5</v>
      </c>
      <c r="M1194" s="2" t="str">
        <f ca="1">IFERROR(__xludf.DUMMYFUNCTION("""COMPUTED_VALUE"""),"Ajuste semana 13/02/2025")</f>
        <v>Ajuste semana 13/02/2025</v>
      </c>
      <c r="N1194" s="2"/>
      <c r="O1194" s="2" t="str">
        <f ca="1">IFERROR(__xludf.DUMMYFUNCTION("""COMPUTED_VALUE"""),"Fermentando")</f>
        <v>Fermentando</v>
      </c>
      <c r="P1194" s="2" t="str">
        <f ca="1">IFERROR(__xludf.DUMMYFUNCTION("""COMPUTED_VALUE"""),"Terminado")</f>
        <v>Terminado</v>
      </c>
      <c r="Q1194" s="2" t="b">
        <f ca="1">IFERROR(__xludf.DUMMYFUNCTION("""COMPUTED_VALUE"""),TRUE)</f>
        <v>1</v>
      </c>
      <c r="R1194" s="2" t="str">
        <f ca="1">IFERROR(__xludf.DUMMYFUNCTION("""COMPUTED_VALUE"""),"Terminado")</f>
        <v>Terminado</v>
      </c>
      <c r="S1194" s="2"/>
      <c r="T1194" s="2"/>
      <c r="U1194" s="2"/>
    </row>
    <row r="1195" spans="1:21" x14ac:dyDescent="0.25">
      <c r="A1195" s="2" t="str">
        <f ca="1">IFERROR(__xludf.DUMMYFUNCTION("""COMPUTED_VALUE"""),"22a9507e")</f>
        <v>22a9507e</v>
      </c>
      <c r="B1195" s="5">
        <f ca="1">IFERROR(__xludf.DUMMYFUNCTION("""COMPUTED_VALUE"""),46070.7859375)</f>
        <v>46070.785937499997</v>
      </c>
      <c r="C1195" s="2" t="str">
        <f ca="1">IFERROR(__xludf.DUMMYFUNCTION("""COMPUTED_VALUE"""),"879ad271")</f>
        <v>879ad271</v>
      </c>
      <c r="D1195" s="2">
        <f ca="1">IFERROR(__xludf.DUMMYFUNCTION("""COMPUTED_VALUE"""),78)</f>
        <v>78</v>
      </c>
      <c r="E1195" s="2" t="str">
        <f ca="1">IFERROR(__xludf.DUMMYFUNCTION("""COMPUTED_VALUE"""),"Chardonnay")</f>
        <v>Chardonnay</v>
      </c>
      <c r="F1195" s="2">
        <f ca="1">IFERROR(__xludf.DUMMYFUNCTION("""COMPUTED_VALUE"""),1000)</f>
        <v>1000</v>
      </c>
      <c r="G1195" s="2">
        <f ca="1">IFERROR(__xludf.DUMMYFUNCTION("""COMPUTED_VALUE"""),500)</f>
        <v>500</v>
      </c>
      <c r="H1195" s="2" t="str">
        <f ca="1">IFERROR(__xludf.DUMMYFUNCTION("""COMPUTED_VALUE"""),"9d8917d5")</f>
        <v>9d8917d5</v>
      </c>
      <c r="I1195" s="2" t="str">
        <f ca="1">IFERROR(__xludf.DUMMYFUNCTION("""COMPUTED_VALUE"""),"Ajuste semana 13/02/2025")</f>
        <v>Ajuste semana 13/02/2025</v>
      </c>
      <c r="J1195" s="2">
        <f ca="1">IFERROR(__xludf.DUMMYFUNCTION("""COMPUTED_VALUE"""),14701)</f>
        <v>14701</v>
      </c>
      <c r="K1195" s="2">
        <f ca="1">IFERROR(__xludf.DUMMYFUNCTION("""COMPUTED_VALUE"""),15701)</f>
        <v>15701</v>
      </c>
      <c r="L1195" s="2" t="str">
        <f ca="1">IFERROR(__xludf.DUMMYFUNCTION("""COMPUTED_VALUE"""),"e92a5fc2")</f>
        <v>e92a5fc2</v>
      </c>
      <c r="M1195" s="2" t="str">
        <f ca="1">IFERROR(__xludf.DUMMYFUNCTION("""COMPUTED_VALUE"""),"Ajuste semana 13/02/2025")</f>
        <v>Ajuste semana 13/02/2025</v>
      </c>
      <c r="N1195" s="2"/>
      <c r="O1195" s="2" t="str">
        <f ca="1">IFERROR(__xludf.DUMMYFUNCTION("""COMPUTED_VALUE"""),"Fermentando")</f>
        <v>Fermentando</v>
      </c>
      <c r="P1195" s="2" t="str">
        <f ca="1">IFERROR(__xludf.DUMMYFUNCTION("""COMPUTED_VALUE"""),"Terminado")</f>
        <v>Terminado</v>
      </c>
      <c r="Q1195" s="2" t="b">
        <f ca="1">IFERROR(__xludf.DUMMYFUNCTION("""COMPUTED_VALUE"""),TRUE)</f>
        <v>1</v>
      </c>
      <c r="R1195" s="2" t="str">
        <f ca="1">IFERROR(__xludf.DUMMYFUNCTION("""COMPUTED_VALUE"""),"Terminado")</f>
        <v>Terminado</v>
      </c>
      <c r="S1195" s="2"/>
      <c r="T1195" s="2"/>
      <c r="U1195" s="2"/>
    </row>
    <row r="1196" spans="1:21" x14ac:dyDescent="0.25">
      <c r="A1196" s="2" t="str">
        <f ca="1">IFERROR(__xludf.DUMMYFUNCTION("""COMPUTED_VALUE"""),"48b96fb7")</f>
        <v>48b96fb7</v>
      </c>
      <c r="B1196" s="5">
        <f ca="1">IFERROR(__xludf.DUMMYFUNCTION("""COMPUTED_VALUE"""),46070.786261574)</f>
        <v>46070.786261574001</v>
      </c>
      <c r="C1196" s="2" t="str">
        <f ca="1">IFERROR(__xludf.DUMMYFUNCTION("""COMPUTED_VALUE"""),"c83c39f8")</f>
        <v>c83c39f8</v>
      </c>
      <c r="D1196" s="2">
        <f ca="1">IFERROR(__xludf.DUMMYFUNCTION("""COMPUTED_VALUE"""),79)</f>
        <v>79</v>
      </c>
      <c r="E1196" s="2" t="str">
        <f ca="1">IFERROR(__xludf.DUMMYFUNCTION("""COMPUTED_VALUE"""),"Aspirant")</f>
        <v>Aspirant</v>
      </c>
      <c r="F1196" s="2">
        <f ca="1">IFERROR(__xludf.DUMMYFUNCTION("""COMPUTED_VALUE"""),1500)</f>
        <v>1500</v>
      </c>
      <c r="G1196" s="2">
        <f ca="1">IFERROR(__xludf.DUMMYFUNCTION("""COMPUTED_VALUE"""),500)</f>
        <v>500</v>
      </c>
      <c r="H1196" s="2" t="str">
        <f ca="1">IFERROR(__xludf.DUMMYFUNCTION("""COMPUTED_VALUE"""),"e92a5fc2")</f>
        <v>e92a5fc2</v>
      </c>
      <c r="I1196" s="2" t="str">
        <f ca="1">IFERROR(__xludf.DUMMYFUNCTION("""COMPUTED_VALUE"""),"Ajuste semana 13/02/2025")</f>
        <v>Ajuste semana 13/02/2025</v>
      </c>
      <c r="J1196" s="2">
        <f ca="1">IFERROR(__xludf.DUMMYFUNCTION("""COMPUTED_VALUE"""),15701)</f>
        <v>15701</v>
      </c>
      <c r="K1196" s="2">
        <f ca="1">IFERROR(__xludf.DUMMYFUNCTION("""COMPUTED_VALUE"""),17201)</f>
        <v>17201</v>
      </c>
      <c r="L1196" s="2" t="str">
        <f ca="1">IFERROR(__xludf.DUMMYFUNCTION("""COMPUTED_VALUE"""),"08d352aa")</f>
        <v>08d352aa</v>
      </c>
      <c r="M1196" s="2" t="str">
        <f ca="1">IFERROR(__xludf.DUMMYFUNCTION("""COMPUTED_VALUE"""),"Ajuste semana 13/02/2025")</f>
        <v>Ajuste semana 13/02/2025</v>
      </c>
      <c r="N1196" s="2"/>
      <c r="O1196" s="2" t="str">
        <f ca="1">IFERROR(__xludf.DUMMYFUNCTION("""COMPUTED_VALUE"""),"Fermentando")</f>
        <v>Fermentando</v>
      </c>
      <c r="P1196" s="2" t="str">
        <f ca="1">IFERROR(__xludf.DUMMYFUNCTION("""COMPUTED_VALUE"""),"Terminado")</f>
        <v>Terminado</v>
      </c>
      <c r="Q1196" s="2" t="b">
        <f ca="1">IFERROR(__xludf.DUMMYFUNCTION("""COMPUTED_VALUE"""),TRUE)</f>
        <v>1</v>
      </c>
      <c r="R1196" s="2" t="str">
        <f ca="1">IFERROR(__xludf.DUMMYFUNCTION("""COMPUTED_VALUE"""),"Terminado")</f>
        <v>Terminado</v>
      </c>
      <c r="S1196" s="2"/>
      <c r="T1196" s="2"/>
      <c r="U1196" s="2"/>
    </row>
    <row r="1197" spans="1:21" x14ac:dyDescent="0.25">
      <c r="A1197" s="2" t="str">
        <f ca="1">IFERROR(__xludf.DUMMYFUNCTION("""COMPUTED_VALUE"""),"1b25fc0a")</f>
        <v>1b25fc0a</v>
      </c>
      <c r="B1197" s="5">
        <f ca="1">IFERROR(__xludf.DUMMYFUNCTION("""COMPUTED_VALUE"""),46070.7866087963)</f>
        <v>46070.786608796298</v>
      </c>
      <c r="C1197" s="2" t="str">
        <f ca="1">IFERROR(__xludf.DUMMYFUNCTION("""COMPUTED_VALUE"""),"bdb48937")</f>
        <v>bdb48937</v>
      </c>
      <c r="D1197" s="2">
        <f ca="1">IFERROR(__xludf.DUMMYFUNCTION("""COMPUTED_VALUE"""),80)</f>
        <v>80</v>
      </c>
      <c r="E1197" s="2" t="str">
        <f ca="1">IFERROR(__xludf.DUMMYFUNCTION("""COMPUTED_VALUE"""),"Chardonnay")</f>
        <v>Chardonnay</v>
      </c>
      <c r="F1197" s="2">
        <f ca="1">IFERROR(__xludf.DUMMYFUNCTION("""COMPUTED_VALUE"""),-2300)</f>
        <v>-2300</v>
      </c>
      <c r="G1197" s="2">
        <f ca="1">IFERROR(__xludf.DUMMYFUNCTION("""COMPUTED_VALUE"""),500)</f>
        <v>500</v>
      </c>
      <c r="H1197" s="2" t="str">
        <f ca="1">IFERROR(__xludf.DUMMYFUNCTION("""COMPUTED_VALUE"""),"08d352aa")</f>
        <v>08d352aa</v>
      </c>
      <c r="I1197" s="2" t="str">
        <f ca="1">IFERROR(__xludf.DUMMYFUNCTION("""COMPUTED_VALUE"""),"Ajuste semana 13/02/2025")</f>
        <v>Ajuste semana 13/02/2025</v>
      </c>
      <c r="J1197" s="2">
        <f ca="1">IFERROR(__xludf.DUMMYFUNCTION("""COMPUTED_VALUE"""),17201)</f>
        <v>17201</v>
      </c>
      <c r="K1197" s="2">
        <f ca="1">IFERROR(__xludf.DUMMYFUNCTION("""COMPUTED_VALUE"""),14901)</f>
        <v>14901</v>
      </c>
      <c r="L1197" s="2" t="str">
        <f ca="1">IFERROR(__xludf.DUMMYFUNCTION("""COMPUTED_VALUE"""),"b0ecf72f")</f>
        <v>b0ecf72f</v>
      </c>
      <c r="M1197" s="2" t="str">
        <f ca="1">IFERROR(__xludf.DUMMYFUNCTION("""COMPUTED_VALUE"""),"Ajuste semana 13/02/2025")</f>
        <v>Ajuste semana 13/02/2025</v>
      </c>
      <c r="N1197" s="2"/>
      <c r="O1197" s="2" t="str">
        <f ca="1">IFERROR(__xludf.DUMMYFUNCTION("""COMPUTED_VALUE"""),"Fermentando")</f>
        <v>Fermentando</v>
      </c>
      <c r="P1197" s="2" t="str">
        <f ca="1">IFERROR(__xludf.DUMMYFUNCTION("""COMPUTED_VALUE"""),"Terminado")</f>
        <v>Terminado</v>
      </c>
      <c r="Q1197" s="2" t="b">
        <f ca="1">IFERROR(__xludf.DUMMYFUNCTION("""COMPUTED_VALUE"""),TRUE)</f>
        <v>1</v>
      </c>
      <c r="R1197" s="2" t="str">
        <f ca="1">IFERROR(__xludf.DUMMYFUNCTION("""COMPUTED_VALUE"""),"Terminado")</f>
        <v>Terminado</v>
      </c>
      <c r="S1197" s="2"/>
      <c r="T1197" s="2"/>
      <c r="U1197" s="2"/>
    </row>
    <row r="1198" spans="1:21" x14ac:dyDescent="0.25">
      <c r="A1198" s="2" t="str">
        <f ca="1">IFERROR(__xludf.DUMMYFUNCTION("""COMPUTED_VALUE"""),"14c4f9f5")</f>
        <v>14c4f9f5</v>
      </c>
      <c r="B1198" s="5">
        <f ca="1">IFERROR(__xludf.DUMMYFUNCTION("""COMPUTED_VALUE"""),46070.7870717592)</f>
        <v>46070.787071759201</v>
      </c>
      <c r="C1198" s="2" t="str">
        <f ca="1">IFERROR(__xludf.DUMMYFUNCTION("""COMPUTED_VALUE"""),"f3de4bc0")</f>
        <v>f3de4bc0</v>
      </c>
      <c r="D1198" s="2">
        <f ca="1">IFERROR(__xludf.DUMMYFUNCTION("""COMPUTED_VALUE"""),81)</f>
        <v>81</v>
      </c>
      <c r="E1198" s="2" t="str">
        <f ca="1">IFERROR(__xludf.DUMMYFUNCTION("""COMPUTED_VALUE"""),"Merlot")</f>
        <v>Merlot</v>
      </c>
      <c r="F1198" s="2">
        <f ca="1">IFERROR(__xludf.DUMMYFUNCTION("""COMPUTED_VALUE"""),1100)</f>
        <v>1100</v>
      </c>
      <c r="G1198" s="2">
        <f ca="1">IFERROR(__xludf.DUMMYFUNCTION("""COMPUTED_VALUE"""),500)</f>
        <v>500</v>
      </c>
      <c r="H1198" s="2" t="str">
        <f ca="1">IFERROR(__xludf.DUMMYFUNCTION("""COMPUTED_VALUE"""),"b0ecf72f")</f>
        <v>b0ecf72f</v>
      </c>
      <c r="I1198" s="2" t="str">
        <f ca="1">IFERROR(__xludf.DUMMYFUNCTION("""COMPUTED_VALUE"""),"Ajuste semana 13/02/2025")</f>
        <v>Ajuste semana 13/02/2025</v>
      </c>
      <c r="J1198" s="2">
        <f ca="1">IFERROR(__xludf.DUMMYFUNCTION("""COMPUTED_VALUE"""),14901)</f>
        <v>14901</v>
      </c>
      <c r="K1198" s="2">
        <f ca="1">IFERROR(__xludf.DUMMYFUNCTION("""COMPUTED_VALUE"""),16001)</f>
        <v>16001</v>
      </c>
      <c r="L1198" s="2" t="str">
        <f ca="1">IFERROR(__xludf.DUMMYFUNCTION("""COMPUTED_VALUE"""),"27d2815f")</f>
        <v>27d2815f</v>
      </c>
      <c r="M1198" s="2" t="str">
        <f ca="1">IFERROR(__xludf.DUMMYFUNCTION("""COMPUTED_VALUE"""),"Ajuste semana 13/02/2025")</f>
        <v>Ajuste semana 13/02/2025</v>
      </c>
      <c r="N1198" s="2"/>
      <c r="O1198" s="2" t="str">
        <f ca="1">IFERROR(__xludf.DUMMYFUNCTION("""COMPUTED_VALUE"""),"Fermentando")</f>
        <v>Fermentando</v>
      </c>
      <c r="P1198" s="2" t="str">
        <f ca="1">IFERROR(__xludf.DUMMYFUNCTION("""COMPUTED_VALUE"""),"Terminado")</f>
        <v>Terminado</v>
      </c>
      <c r="Q1198" s="2" t="b">
        <f ca="1">IFERROR(__xludf.DUMMYFUNCTION("""COMPUTED_VALUE"""),TRUE)</f>
        <v>1</v>
      </c>
      <c r="R1198" s="2" t="str">
        <f ca="1">IFERROR(__xludf.DUMMYFUNCTION("""COMPUTED_VALUE"""),"Terminado")</f>
        <v>Terminado</v>
      </c>
      <c r="S1198" s="2"/>
      <c r="T1198" s="2"/>
      <c r="U1198" s="2"/>
    </row>
    <row r="1199" spans="1:21" x14ac:dyDescent="0.25">
      <c r="A1199" s="2" t="str">
        <f ca="1">IFERROR(__xludf.DUMMYFUNCTION("""COMPUTED_VALUE"""),"a44afd3c")</f>
        <v>a44afd3c</v>
      </c>
      <c r="B1199" s="5">
        <f ca="1">IFERROR(__xludf.DUMMYFUNCTION("""COMPUTED_VALUE"""),46071.839537037)</f>
        <v>46071.839537036998</v>
      </c>
      <c r="C1199" s="2" t="str">
        <f ca="1">IFERROR(__xludf.DUMMYFUNCTION("""COMPUTED_VALUE"""),"3ab1fef1")</f>
        <v>3ab1fef1</v>
      </c>
      <c r="D1199" s="2">
        <f ca="1">IFERROR(__xludf.DUMMYFUNCTION("""COMPUTED_VALUE"""),65)</f>
        <v>65</v>
      </c>
      <c r="E1199" s="2" t="str">
        <f ca="1">IFERROR(__xludf.DUMMYFUNCTION("""COMPUTED_VALUE"""),"Chardonnay")</f>
        <v>Chardonnay</v>
      </c>
      <c r="F1199" s="2">
        <f ca="1">IFERROR(__xludf.DUMMYFUNCTION("""COMPUTED_VALUE"""),-4800)</f>
        <v>-4800</v>
      </c>
      <c r="G1199" s="2">
        <f ca="1">IFERROR(__xludf.DUMMYFUNCTION("""COMPUTED_VALUE"""),8)</f>
        <v>8</v>
      </c>
      <c r="H1199" s="2" t="str">
        <f ca="1">IFERROR(__xludf.DUMMYFUNCTION("""COMPUTED_VALUE"""),"3cfb7b2e")</f>
        <v>3cfb7b2e</v>
      </c>
      <c r="I1199" s="2" t="str">
        <f ca="1">IFERROR(__xludf.DUMMYFUNCTION("""COMPUTED_VALUE"""),"Chardonnay Ch Most Rect")</f>
        <v>Chardonnay Ch Most Rect</v>
      </c>
      <c r="J1199" s="2">
        <f ca="1">IFERROR(__xludf.DUMMYFUNCTION("""COMPUTED_VALUE"""),7800)</f>
        <v>7800</v>
      </c>
      <c r="K1199" s="2">
        <f ca="1">IFERROR(__xludf.DUMMYFUNCTION("""COMPUTED_VALUE"""),3000)</f>
        <v>3000</v>
      </c>
      <c r="L1199" s="2" t="str">
        <f ca="1">IFERROR(__xludf.DUMMYFUNCTION("""COMPUTED_VALUE"""),"521adffa")</f>
        <v>521adffa</v>
      </c>
      <c r="M1199" s="2" t="str">
        <f ca="1">IFERROR(__xludf.DUMMYFUNCTION("""COMPUTED_VALUE"""),"Chardonnay Ch Most Rect")</f>
        <v>Chardonnay Ch Most Rect</v>
      </c>
      <c r="N1199" s="2"/>
      <c r="O1199" s="2" t="str">
        <f ca="1">IFERROR(__xludf.DUMMYFUNCTION("""COMPUTED_VALUE"""),"Fermentando")</f>
        <v>Fermentando</v>
      </c>
      <c r="P1199" s="2" t="str">
        <f ca="1">IFERROR(__xludf.DUMMYFUNCTION("""COMPUTED_VALUE"""),"Rectificado")</f>
        <v>Rectificado</v>
      </c>
      <c r="Q1199" s="2" t="b">
        <f ca="1">IFERROR(__xludf.DUMMYFUNCTION("""COMPUTED_VALUE"""),TRUE)</f>
        <v>1</v>
      </c>
      <c r="R1199" s="2" t="str">
        <f ca="1">IFERROR(__xludf.DUMMYFUNCTION("""COMPUTED_VALUE"""),"Rectificado")</f>
        <v>Rectificado</v>
      </c>
      <c r="S1199" s="2"/>
      <c r="T1199" s="2"/>
      <c r="U1199" s="2"/>
    </row>
    <row r="1200" spans="1:21" x14ac:dyDescent="0.25">
      <c r="A1200" s="2" t="str">
        <f ca="1">IFERROR(__xludf.DUMMYFUNCTION("""COMPUTED_VALUE"""),"0ea9be51")</f>
        <v>0ea9be51</v>
      </c>
      <c r="B1200" s="5">
        <f ca="1">IFERROR(__xludf.DUMMYFUNCTION("""COMPUTED_VALUE"""),46074.4989699074)</f>
        <v>46074.498969907399</v>
      </c>
      <c r="C1200" s="2" t="str">
        <f ca="1">IFERROR(__xludf.DUMMYFUNCTION("""COMPUTED_VALUE"""),"a5f14d91")</f>
        <v>a5f14d91</v>
      </c>
      <c r="D1200" s="2">
        <f ca="1">IFERROR(__xludf.DUMMYFUNCTION("""COMPUTED_VALUE"""),71)</f>
        <v>71</v>
      </c>
      <c r="E1200" s="2" t="str">
        <f ca="1">IFERROR(__xludf.DUMMYFUNCTION("""COMPUTED_VALUE"""),"Chardonnay")</f>
        <v>Chardonnay</v>
      </c>
      <c r="F1200" s="2">
        <f ca="1">IFERROR(__xludf.DUMMYFUNCTION("""COMPUTED_VALUE"""),-3000)</f>
        <v>-3000</v>
      </c>
      <c r="G1200" s="2">
        <f ca="1">IFERROR(__xludf.DUMMYFUNCTION("""COMPUTED_VALUE"""),8)</f>
        <v>8</v>
      </c>
      <c r="H1200" s="2" t="str">
        <f ca="1">IFERROR(__xludf.DUMMYFUNCTION("""COMPUTED_VALUE"""),"521adffa")</f>
        <v>521adffa</v>
      </c>
      <c r="I1200" s="2" t="str">
        <f ca="1">IFERROR(__xludf.DUMMYFUNCTION("""COMPUTED_VALUE"""),"Chardonnay Ch Most Rect")</f>
        <v>Chardonnay Ch Most Rect</v>
      </c>
      <c r="J1200" s="2">
        <f ca="1">IFERROR(__xludf.DUMMYFUNCTION("""COMPUTED_VALUE"""),3000)</f>
        <v>3000</v>
      </c>
      <c r="K1200" s="2">
        <f ca="1">IFERROR(__xludf.DUMMYFUNCTION("""COMPUTED_VALUE"""),0)</f>
        <v>0</v>
      </c>
      <c r="L1200" s="2" t="str">
        <f ca="1">IFERROR(__xludf.DUMMYFUNCTION("""COMPUTED_VALUE"""),"e63f7130")</f>
        <v>e63f7130</v>
      </c>
      <c r="M1200" s="2" t="str">
        <f ca="1">IFERROR(__xludf.DUMMYFUNCTION("""COMPUTED_VALUE"""),"Chardonnay Ch Most Rect")</f>
        <v>Chardonnay Ch Most Rect</v>
      </c>
      <c r="N1200" s="2"/>
      <c r="O1200" s="2"/>
      <c r="P1200" s="2" t="str">
        <f ca="1">IFERROR(__xludf.DUMMYFUNCTION("""COMPUTED_VALUE"""),"Rectificado")</f>
        <v>Rectificado</v>
      </c>
      <c r="Q1200" s="2" t="b">
        <f ca="1">IFERROR(__xludf.DUMMYFUNCTION("""COMPUTED_VALUE"""),TRUE)</f>
        <v>1</v>
      </c>
      <c r="R1200" s="2" t="str">
        <f ca="1">IFERROR(__xludf.DUMMYFUNCTION("""COMPUTED_VALUE"""),"Rectificado")</f>
        <v>Rectificado</v>
      </c>
      <c r="S1200" s="2"/>
      <c r="T1200" s="2"/>
      <c r="U1200" s="2"/>
    </row>
    <row r="1201" spans="1:21" x14ac:dyDescent="0.25">
      <c r="A1201" s="2" t="str">
        <f ca="1">IFERROR(__xludf.DUMMYFUNCTION("""COMPUTED_VALUE"""),"fb092ba8")</f>
        <v>fb092ba8</v>
      </c>
      <c r="B1201" s="5">
        <f ca="1">IFERROR(__xludf.DUMMYFUNCTION("""COMPUTED_VALUE"""),46074.5002314814)</f>
        <v>46074.500231481397</v>
      </c>
      <c r="C1201" s="2" t="str">
        <f ca="1">IFERROR(__xludf.DUMMYFUNCTION("""COMPUTED_VALUE"""),"bdb48937")</f>
        <v>bdb48937</v>
      </c>
      <c r="D1201" s="2">
        <f ca="1">IFERROR(__xludf.DUMMYFUNCTION("""COMPUTED_VALUE"""),80)</f>
        <v>80</v>
      </c>
      <c r="E1201" s="2" t="str">
        <f ca="1">IFERROR(__xludf.DUMMYFUNCTION("""COMPUTED_VALUE"""),"Chardonnay")</f>
        <v>Chardonnay</v>
      </c>
      <c r="F1201" s="2">
        <f ca="1">IFERROR(__xludf.DUMMYFUNCTION("""COMPUTED_VALUE"""),700)</f>
        <v>700</v>
      </c>
      <c r="G1201" s="2">
        <f ca="1">IFERROR(__xludf.DUMMYFUNCTION("""COMPUTED_VALUE"""),77)</f>
        <v>77</v>
      </c>
      <c r="H1201" s="2" t="str">
        <f ca="1">IFERROR(__xludf.DUMMYFUNCTION("""COMPUTED_VALUE"""),"6925ca3a")</f>
        <v>6925ca3a</v>
      </c>
      <c r="I1201" s="2" t="str">
        <f ca="1">IFERROR(__xludf.DUMMYFUNCTION("""COMPUTED_VALUE"""),"Chardonnay")</f>
        <v>Chardonnay</v>
      </c>
      <c r="J1201" s="2">
        <f ca="1">IFERROR(__xludf.DUMMYFUNCTION("""COMPUTED_VALUE"""),25300)</f>
        <v>25300</v>
      </c>
      <c r="K1201" s="2">
        <f ca="1">IFERROR(__xludf.DUMMYFUNCTION("""COMPUTED_VALUE"""),26000)</f>
        <v>26000</v>
      </c>
      <c r="L1201" s="2" t="str">
        <f ca="1">IFERROR(__xludf.DUMMYFUNCTION("""COMPUTED_VALUE"""),"bb65fd1b")</f>
        <v>bb65fd1b</v>
      </c>
      <c r="M1201" s="2" t="str">
        <f ca="1">IFERROR(__xludf.DUMMYFUNCTION("""COMPUTED_VALUE"""),"Chardonnay")</f>
        <v>Chardonnay</v>
      </c>
      <c r="N1201" s="2" t="str">
        <f ca="1">IFERROR(__xludf.DUMMYFUNCTION("""COMPUTED_VALUE"""),"Dar lleno")</f>
        <v>Dar lleno</v>
      </c>
      <c r="O1201" s="2" t="str">
        <f ca="1">IFERROR(__xludf.DUMMYFUNCTION("""COMPUTED_VALUE"""),"Fermentando")</f>
        <v>Fermentando</v>
      </c>
      <c r="P1201" s="2" t="str">
        <f ca="1">IFERROR(__xludf.DUMMYFUNCTION("""COMPUTED_VALUE"""),"Fermentando")</f>
        <v>Fermentando</v>
      </c>
      <c r="Q1201" s="2" t="b">
        <f ca="1">IFERROR(__xludf.DUMMYFUNCTION("""COMPUTED_VALUE"""),TRUE)</f>
        <v>1</v>
      </c>
      <c r="R1201" s="2" t="str">
        <f ca="1">IFERROR(__xludf.DUMMYFUNCTION("""COMPUTED_VALUE"""),"Fermentando")</f>
        <v>Fermentando</v>
      </c>
      <c r="S1201" s="2"/>
      <c r="T1201" s="2"/>
      <c r="U1201" s="2"/>
    </row>
    <row r="1202" spans="1:21" x14ac:dyDescent="0.25">
      <c r="A1202" s="2" t="str">
        <f ca="1">IFERROR(__xludf.DUMMYFUNCTION("""COMPUTED_VALUE"""),"83b1e7b7")</f>
        <v>83b1e7b7</v>
      </c>
      <c r="B1202" s="5">
        <f ca="1">IFERROR(__xludf.DUMMYFUNCTION("""COMPUTED_VALUE"""),46074.5005902777)</f>
        <v>46074.500590277697</v>
      </c>
      <c r="C1202" s="2" t="str">
        <f ca="1">IFERROR(__xludf.DUMMYFUNCTION("""COMPUTED_VALUE"""),"bdb48937")</f>
        <v>bdb48937</v>
      </c>
      <c r="D1202" s="2">
        <f ca="1">IFERROR(__xludf.DUMMYFUNCTION("""COMPUTED_VALUE"""),80)</f>
        <v>80</v>
      </c>
      <c r="E1202" s="2" t="str">
        <f ca="1">IFERROR(__xludf.DUMMYFUNCTION("""COMPUTED_VALUE"""),"Chardonnay")</f>
        <v>Chardonnay</v>
      </c>
      <c r="F1202" s="2">
        <f ca="1">IFERROR(__xludf.DUMMYFUNCTION("""COMPUTED_VALUE"""),1800)</f>
        <v>1800</v>
      </c>
      <c r="G1202" s="2">
        <f ca="1">IFERROR(__xludf.DUMMYFUNCTION("""COMPUTED_VALUE"""),78)</f>
        <v>78</v>
      </c>
      <c r="H1202" s="2" t="str">
        <f ca="1">IFERROR(__xludf.DUMMYFUNCTION("""COMPUTED_VALUE"""),"879ad271")</f>
        <v>879ad271</v>
      </c>
      <c r="I1202" s="2" t="str">
        <f ca="1">IFERROR(__xludf.DUMMYFUNCTION("""COMPUTED_VALUE"""),"Chardonnay")</f>
        <v>Chardonnay</v>
      </c>
      <c r="J1202" s="2">
        <f ca="1">IFERROR(__xludf.DUMMYFUNCTION("""COMPUTED_VALUE"""),24000)</f>
        <v>24000</v>
      </c>
      <c r="K1202" s="2">
        <f ca="1">IFERROR(__xludf.DUMMYFUNCTION("""COMPUTED_VALUE"""),25800)</f>
        <v>25800</v>
      </c>
      <c r="L1202" s="2" t="str">
        <f ca="1">IFERROR(__xludf.DUMMYFUNCTION("""COMPUTED_VALUE"""),"1301e66e")</f>
        <v>1301e66e</v>
      </c>
      <c r="M1202" s="2" t="str">
        <f ca="1">IFERROR(__xludf.DUMMYFUNCTION("""COMPUTED_VALUE"""),"Chardonnay")</f>
        <v>Chardonnay</v>
      </c>
      <c r="N1202" s="2" t="str">
        <f ca="1">IFERROR(__xludf.DUMMYFUNCTION("""COMPUTED_VALUE"""),"Dar lleno")</f>
        <v>Dar lleno</v>
      </c>
      <c r="O1202" s="2" t="str">
        <f ca="1">IFERROR(__xludf.DUMMYFUNCTION("""COMPUTED_VALUE"""),"Fermentando")</f>
        <v>Fermentando</v>
      </c>
      <c r="P1202" s="2" t="str">
        <f ca="1">IFERROR(__xludf.DUMMYFUNCTION("""COMPUTED_VALUE"""),"Fermentando")</f>
        <v>Fermentando</v>
      </c>
      <c r="Q1202" s="2" t="b">
        <f ca="1">IFERROR(__xludf.DUMMYFUNCTION("""COMPUTED_VALUE"""),TRUE)</f>
        <v>1</v>
      </c>
      <c r="R1202" s="2" t="str">
        <f ca="1">IFERROR(__xludf.DUMMYFUNCTION("""COMPUTED_VALUE"""),"Fermentando")</f>
        <v>Fermentando</v>
      </c>
      <c r="S1202" s="2"/>
      <c r="T1202" s="2"/>
      <c r="U1202" s="2"/>
    </row>
    <row r="1203" spans="1:21" x14ac:dyDescent="0.25">
      <c r="A1203" s="2" t="str">
        <f ca="1">IFERROR(__xludf.DUMMYFUNCTION("""COMPUTED_VALUE"""),"ce88811c")</f>
        <v>ce88811c</v>
      </c>
      <c r="B1203" s="5">
        <f ca="1">IFERROR(__xludf.DUMMYFUNCTION("""COMPUTED_VALUE"""),46074.5040046296)</f>
        <v>46074.504004629598</v>
      </c>
      <c r="C1203" s="2" t="str">
        <f ca="1">IFERROR(__xludf.DUMMYFUNCTION("""COMPUTED_VALUE"""),"0c02f3ad")</f>
        <v>0c02f3ad</v>
      </c>
      <c r="D1203" s="2">
        <f ca="1">IFERROR(__xludf.DUMMYFUNCTION("""COMPUTED_VALUE"""),82)</f>
        <v>82</v>
      </c>
      <c r="E1203" s="2" t="str">
        <f ca="1">IFERROR(__xludf.DUMMYFUNCTION("""COMPUTED_VALUE"""),"Aspirant Ancc")</f>
        <v>Aspirant Ancc</v>
      </c>
      <c r="F1203" s="2">
        <f ca="1">IFERROR(__xludf.DUMMYFUNCTION("""COMPUTED_VALUE"""),-5200)</f>
        <v>-5200</v>
      </c>
      <c r="G1203" s="2">
        <f ca="1">IFERROR(__xludf.DUMMYFUNCTION("""COMPUTED_VALUE"""),44)</f>
        <v>44</v>
      </c>
      <c r="H1203" s="2" t="str">
        <f ca="1">IFERROR(__xludf.DUMMYFUNCTION("""COMPUTED_VALUE"""),"b1fc79bf")</f>
        <v>b1fc79bf</v>
      </c>
      <c r="I1203" s="2" t="str">
        <f ca="1">IFERROR(__xludf.DUMMYFUNCTION("""COMPUTED_VALUE"""),"Cabernet Sauvignon Rect")</f>
        <v>Cabernet Sauvignon Rect</v>
      </c>
      <c r="J1203" s="2">
        <f ca="1">IFERROR(__xludf.DUMMYFUNCTION("""COMPUTED_VALUE"""),13000)</f>
        <v>13000</v>
      </c>
      <c r="K1203" s="2">
        <f ca="1">IFERROR(__xludf.DUMMYFUNCTION("""COMPUTED_VALUE"""),7800)</f>
        <v>7800</v>
      </c>
      <c r="L1203" s="2" t="str">
        <f ca="1">IFERROR(__xludf.DUMMYFUNCTION("""COMPUTED_VALUE"""),"47145fe4")</f>
        <v>47145fe4</v>
      </c>
      <c r="M1203" s="2" t="str">
        <f ca="1">IFERROR(__xludf.DUMMYFUNCTION("""COMPUTED_VALUE"""),"Cabernet Sauvignon Rect")</f>
        <v>Cabernet Sauvignon Rect</v>
      </c>
      <c r="N1203" s="2"/>
      <c r="O1203" s="2" t="str">
        <f ca="1">IFERROR(__xludf.DUMMYFUNCTION("""COMPUTED_VALUE"""),"Fermentando")</f>
        <v>Fermentando</v>
      </c>
      <c r="P1203" s="2" t="str">
        <f ca="1">IFERROR(__xludf.DUMMYFUNCTION("""COMPUTED_VALUE"""),"Rectificado")</f>
        <v>Rectificado</v>
      </c>
      <c r="Q1203" s="2" t="b">
        <f ca="1">IFERROR(__xludf.DUMMYFUNCTION("""COMPUTED_VALUE"""),TRUE)</f>
        <v>1</v>
      </c>
      <c r="R1203" s="2" t="str">
        <f ca="1">IFERROR(__xludf.DUMMYFUNCTION("""COMPUTED_VALUE"""),"Rectificado")</f>
        <v>Rectificado</v>
      </c>
      <c r="S1203" s="2"/>
      <c r="T1203" s="2"/>
      <c r="U1203" s="2" t="str">
        <f ca="1">IFERROR(__xludf.DUMMYFUNCTION("""COMPUTED_VALUE"""),"2+")</f>
        <v>2+</v>
      </c>
    </row>
    <row r="1204" spans="1:21" x14ac:dyDescent="0.25">
      <c r="A1204" s="2" t="str">
        <f ca="1">IFERROR(__xludf.DUMMYFUNCTION("""COMPUTED_VALUE"""),"bddc9a6b")</f>
        <v>bddc9a6b</v>
      </c>
      <c r="B1204" s="5">
        <f ca="1">IFERROR(__xludf.DUMMYFUNCTION("""COMPUTED_VALUE"""),46076.4680555555)</f>
        <v>46076.468055555502</v>
      </c>
      <c r="C1204" s="2" t="str">
        <f ca="1">IFERROR(__xludf.DUMMYFUNCTION("""COMPUTED_VALUE"""),"60d69641")</f>
        <v>60d69641</v>
      </c>
      <c r="D1204" s="2">
        <f ca="1">IFERROR(__xludf.DUMMYFUNCTION("""COMPUTED_VALUE"""),52)</f>
        <v>52</v>
      </c>
      <c r="E1204" s="2" t="str">
        <f ca="1">IFERROR(__xludf.DUMMYFUNCTION("""COMPUTED_VALUE"""),"Anccelotta Aspirant")</f>
        <v>Anccelotta Aspirant</v>
      </c>
      <c r="F1204" s="2">
        <f ca="1">IFERROR(__xludf.DUMMYFUNCTION("""COMPUTED_VALUE"""),13500)</f>
        <v>13500</v>
      </c>
      <c r="G1204" s="2">
        <f ca="1">IFERROR(__xludf.DUMMYFUNCTION("""COMPUTED_VALUE"""),24)</f>
        <v>24</v>
      </c>
      <c r="H1204" s="2"/>
      <c r="I1204" s="2"/>
      <c r="J1204" s="2">
        <f ca="1">IFERROR(__xludf.DUMMYFUNCTION("""COMPUTED_VALUE"""),0)</f>
        <v>0</v>
      </c>
      <c r="K1204" s="2">
        <f ca="1">IFERROR(__xludf.DUMMYFUNCTION("""COMPUTED_VALUE"""),13500)</f>
        <v>13500</v>
      </c>
      <c r="L1204" s="2" t="str">
        <f ca="1">IFERROR(__xludf.DUMMYFUNCTION("""COMPUTED_VALUE"""),"6d677a82")</f>
        <v>6d677a82</v>
      </c>
      <c r="M1204" s="2" t="str">
        <f ca="1">IFERROR(__xludf.DUMMYFUNCTION("""COMPUTED_VALUE"""),"Tinto Varietal A")</f>
        <v>Tinto Varietal A</v>
      </c>
      <c r="N1204" s="2"/>
      <c r="O1204" s="2" t="str">
        <f ca="1">IFERROR(__xludf.DUMMYFUNCTION("""COMPUTED_VALUE"""),"Filtrado Tang")</f>
        <v>Filtrado Tang</v>
      </c>
      <c r="P1204" s="2"/>
      <c r="Q1204" s="2" t="b">
        <f ca="1">IFERROR(__xludf.DUMMYFUNCTION("""COMPUTED_VALUE"""),FALSE)</f>
        <v>0</v>
      </c>
      <c r="R1204" s="2" t="str">
        <f ca="1">IFERROR(__xludf.DUMMYFUNCTION("""COMPUTED_VALUE"""),"Filtrado Tang")</f>
        <v>Filtrado Tang</v>
      </c>
      <c r="S1204" s="2"/>
      <c r="T1204" s="2"/>
      <c r="U1204" s="2" t="str">
        <f ca="1">IFERROR(__xludf.DUMMYFUNCTION("""COMPUTED_VALUE"""),"1-")</f>
        <v>1-</v>
      </c>
    </row>
    <row r="1205" spans="1:21" x14ac:dyDescent="0.25">
      <c r="A1205" s="2" t="str">
        <f ca="1">IFERROR(__xludf.DUMMYFUNCTION("""COMPUTED_VALUE"""),"f29f1f49")</f>
        <v>f29f1f49</v>
      </c>
      <c r="B1205" s="5">
        <f ca="1">IFERROR(__xludf.DUMMYFUNCTION("""COMPUTED_VALUE"""),46076.4687962963)</f>
        <v>46076.4687962963</v>
      </c>
      <c r="C1205" s="2" t="str">
        <f ca="1">IFERROR(__xludf.DUMMYFUNCTION("""COMPUTED_VALUE"""),"ef525c55")</f>
        <v>ef525c55</v>
      </c>
      <c r="D1205" s="2">
        <f ca="1">IFERROR(__xludf.DUMMYFUNCTION("""COMPUTED_VALUE"""),34)</f>
        <v>34</v>
      </c>
      <c r="E1205" s="2" t="str">
        <f ca="1">IFERROR(__xludf.DUMMYFUNCTION("""COMPUTED_VALUE"""),"Malbec")</f>
        <v>Malbec</v>
      </c>
      <c r="F1205" s="2">
        <f ca="1">IFERROR(__xludf.DUMMYFUNCTION("""COMPUTED_VALUE"""),39500)</f>
        <v>39500</v>
      </c>
      <c r="G1205" s="2">
        <f ca="1">IFERROR(__xludf.DUMMYFUNCTION("""COMPUTED_VALUE"""),24)</f>
        <v>24</v>
      </c>
      <c r="H1205" s="2" t="str">
        <f ca="1">IFERROR(__xludf.DUMMYFUNCTION("""COMPUTED_VALUE"""),"6d677a82")</f>
        <v>6d677a82</v>
      </c>
      <c r="I1205" s="2" t="str">
        <f ca="1">IFERROR(__xludf.DUMMYFUNCTION("""COMPUTED_VALUE"""),"Tinto Varietal A")</f>
        <v>Tinto Varietal A</v>
      </c>
      <c r="J1205" s="2">
        <f ca="1">IFERROR(__xludf.DUMMYFUNCTION("""COMPUTED_VALUE"""),13500)</f>
        <v>13500</v>
      </c>
      <c r="K1205" s="2">
        <f ca="1">IFERROR(__xludf.DUMMYFUNCTION("""COMPUTED_VALUE"""),53000)</f>
        <v>53000</v>
      </c>
      <c r="L1205" s="2" t="str">
        <f ca="1">IFERROR(__xludf.DUMMYFUNCTION("""COMPUTED_VALUE"""),"36ed0a44")</f>
        <v>36ed0a44</v>
      </c>
      <c r="M1205" s="2" t="str">
        <f ca="1">IFERROR(__xludf.DUMMYFUNCTION("""COMPUTED_VALUE"""),"Tinto Varietal A")</f>
        <v>Tinto Varietal A</v>
      </c>
      <c r="N1205" s="2"/>
      <c r="O1205" s="2" t="str">
        <f ca="1">IFERROR(__xludf.DUMMYFUNCTION("""COMPUTED_VALUE"""),"Filtrado Tang")</f>
        <v>Filtrado Tang</v>
      </c>
      <c r="P1205" s="2" t="str">
        <f ca="1">IFERROR(__xludf.DUMMYFUNCTION("""COMPUTED_VALUE"""),"Filtrado Tang")</f>
        <v>Filtrado Tang</v>
      </c>
      <c r="Q1205" s="2" t="b">
        <f ca="1">IFERROR(__xludf.DUMMYFUNCTION("""COMPUTED_VALUE"""),TRUE)</f>
        <v>1</v>
      </c>
      <c r="R1205" s="2" t="str">
        <f ca="1">IFERROR(__xludf.DUMMYFUNCTION("""COMPUTED_VALUE"""),"Filtrado Tang")</f>
        <v>Filtrado Tang</v>
      </c>
      <c r="S1205" s="2"/>
      <c r="T1205" s="2"/>
      <c r="U1205" s="2" t="str">
        <f ca="1">IFERROR(__xludf.DUMMYFUNCTION("""COMPUTED_VALUE"""),"1-")</f>
        <v>1-</v>
      </c>
    </row>
    <row r="1206" spans="1:21" x14ac:dyDescent="0.25">
      <c r="A1206" s="2" t="str">
        <f ca="1">IFERROR(__xludf.DUMMYFUNCTION("""COMPUTED_VALUE"""),"178f5179")</f>
        <v>178f5179</v>
      </c>
      <c r="B1206" s="5">
        <f ca="1">IFERROR(__xludf.DUMMYFUNCTION("""COMPUTED_VALUE"""),46076.4702777777)</f>
        <v>46076.470277777698</v>
      </c>
      <c r="C1206" s="2" t="str">
        <f ca="1">IFERROR(__xludf.DUMMYFUNCTION("""COMPUTED_VALUE"""),"ee5b5592")</f>
        <v>ee5b5592</v>
      </c>
      <c r="D1206" s="2">
        <f ca="1">IFERROR(__xludf.DUMMYFUNCTION("""COMPUTED_VALUE"""),88)</f>
        <v>88</v>
      </c>
      <c r="E1206" s="2" t="str">
        <f ca="1">IFERROR(__xludf.DUMMYFUNCTION("""COMPUTED_VALUE"""),"Bonarda")</f>
        <v>Bonarda</v>
      </c>
      <c r="F1206" s="2">
        <f ca="1">IFERROR(__xludf.DUMMYFUNCTION("""COMPUTED_VALUE"""),78900)</f>
        <v>78900</v>
      </c>
      <c r="G1206" s="2">
        <f ca="1">IFERROR(__xludf.DUMMYFUNCTION("""COMPUTED_VALUE"""),24)</f>
        <v>24</v>
      </c>
      <c r="H1206" s="2" t="str">
        <f ca="1">IFERROR(__xludf.DUMMYFUNCTION("""COMPUTED_VALUE"""),"36ed0a44")</f>
        <v>36ed0a44</v>
      </c>
      <c r="I1206" s="2" t="str">
        <f ca="1">IFERROR(__xludf.DUMMYFUNCTION("""COMPUTED_VALUE"""),"Tinto Varietal A")</f>
        <v>Tinto Varietal A</v>
      </c>
      <c r="J1206" s="2">
        <f ca="1">IFERROR(__xludf.DUMMYFUNCTION("""COMPUTED_VALUE"""),53000)</f>
        <v>53000</v>
      </c>
      <c r="K1206" s="2">
        <f ca="1">IFERROR(__xludf.DUMMYFUNCTION("""COMPUTED_VALUE"""),131900)</f>
        <v>131900</v>
      </c>
      <c r="L1206" s="2" t="str">
        <f ca="1">IFERROR(__xludf.DUMMYFUNCTION("""COMPUTED_VALUE"""),"e6405ec8")</f>
        <v>e6405ec8</v>
      </c>
      <c r="M1206" s="2" t="str">
        <f ca="1">IFERROR(__xludf.DUMMYFUNCTION("""COMPUTED_VALUE"""),"Tinto Varietal A")</f>
        <v>Tinto Varietal A</v>
      </c>
      <c r="N1206" s="2"/>
      <c r="O1206" s="2" t="str">
        <f ca="1">IFERROR(__xludf.DUMMYFUNCTION("""COMPUTED_VALUE"""),"Filtrado Tang")</f>
        <v>Filtrado Tang</v>
      </c>
      <c r="P1206" s="2" t="str">
        <f ca="1">IFERROR(__xludf.DUMMYFUNCTION("""COMPUTED_VALUE"""),"Filtrado Tang")</f>
        <v>Filtrado Tang</v>
      </c>
      <c r="Q1206" s="2" t="b">
        <f ca="1">IFERROR(__xludf.DUMMYFUNCTION("""COMPUTED_VALUE"""),TRUE)</f>
        <v>1</v>
      </c>
      <c r="R1206" s="2" t="str">
        <f ca="1">IFERROR(__xludf.DUMMYFUNCTION("""COMPUTED_VALUE"""),"Filtrado Tang")</f>
        <v>Filtrado Tang</v>
      </c>
      <c r="S1206" s="2"/>
      <c r="T1206" s="2"/>
      <c r="U1206" s="2" t="str">
        <f ca="1">IFERROR(__xludf.DUMMYFUNCTION("""COMPUTED_VALUE"""),"1-")</f>
        <v>1-</v>
      </c>
    </row>
    <row r="1207" spans="1:21" x14ac:dyDescent="0.25">
      <c r="A1207" s="2" t="str">
        <f ca="1">IFERROR(__xludf.DUMMYFUNCTION("""COMPUTED_VALUE"""),"f791128a")</f>
        <v>f791128a</v>
      </c>
      <c r="B1207" s="5">
        <f ca="1">IFERROR(__xludf.DUMMYFUNCTION("""COMPUTED_VALUE"""),46076.4706712962)</f>
        <v>46076.4706712962</v>
      </c>
      <c r="C1207" s="2" t="str">
        <f ca="1">IFERROR(__xludf.DUMMYFUNCTION("""COMPUTED_VALUE"""),"6f8f8dff")</f>
        <v>6f8f8dff</v>
      </c>
      <c r="D1207" s="2">
        <f ca="1">IFERROR(__xludf.DUMMYFUNCTION("""COMPUTED_VALUE"""),32)</f>
        <v>32</v>
      </c>
      <c r="E1207" s="2" t="str">
        <f ca="1">IFERROR(__xludf.DUMMYFUNCTION("""COMPUTED_VALUE"""),"Syrah")</f>
        <v>Syrah</v>
      </c>
      <c r="F1207" s="2">
        <f ca="1">IFERROR(__xludf.DUMMYFUNCTION("""COMPUTED_VALUE"""),36300)</f>
        <v>36300</v>
      </c>
      <c r="G1207" s="2">
        <f ca="1">IFERROR(__xludf.DUMMYFUNCTION("""COMPUTED_VALUE"""),24)</f>
        <v>24</v>
      </c>
      <c r="H1207" s="2" t="str">
        <f ca="1">IFERROR(__xludf.DUMMYFUNCTION("""COMPUTED_VALUE"""),"e6405ec8")</f>
        <v>e6405ec8</v>
      </c>
      <c r="I1207" s="2" t="str">
        <f ca="1">IFERROR(__xludf.DUMMYFUNCTION("""COMPUTED_VALUE"""),"Tinto Varietal A")</f>
        <v>Tinto Varietal A</v>
      </c>
      <c r="J1207" s="2">
        <f ca="1">IFERROR(__xludf.DUMMYFUNCTION("""COMPUTED_VALUE"""),131900)</f>
        <v>131900</v>
      </c>
      <c r="K1207" s="2">
        <f ca="1">IFERROR(__xludf.DUMMYFUNCTION("""COMPUTED_VALUE"""),168200)</f>
        <v>168200</v>
      </c>
      <c r="L1207" s="2" t="str">
        <f ca="1">IFERROR(__xludf.DUMMYFUNCTION("""COMPUTED_VALUE"""),"d1f6795d")</f>
        <v>d1f6795d</v>
      </c>
      <c r="M1207" s="2" t="str">
        <f ca="1">IFERROR(__xludf.DUMMYFUNCTION("""COMPUTED_VALUE"""),"Tinto Varietal A")</f>
        <v>Tinto Varietal A</v>
      </c>
      <c r="N1207" s="2"/>
      <c r="O1207" s="2" t="str">
        <f ca="1">IFERROR(__xludf.DUMMYFUNCTION("""COMPUTED_VALUE"""),"Filtrado Tang")</f>
        <v>Filtrado Tang</v>
      </c>
      <c r="P1207" s="2" t="str">
        <f ca="1">IFERROR(__xludf.DUMMYFUNCTION("""COMPUTED_VALUE"""),"Filtrado Tang")</f>
        <v>Filtrado Tang</v>
      </c>
      <c r="Q1207" s="2" t="b">
        <f ca="1">IFERROR(__xludf.DUMMYFUNCTION("""COMPUTED_VALUE"""),TRUE)</f>
        <v>1</v>
      </c>
      <c r="R1207" s="2" t="str">
        <f ca="1">IFERROR(__xludf.DUMMYFUNCTION("""COMPUTED_VALUE"""),"Filtrado Tang")</f>
        <v>Filtrado Tang</v>
      </c>
      <c r="S1207" s="2"/>
      <c r="T1207" s="2"/>
      <c r="U1207" s="2" t="str">
        <f ca="1">IFERROR(__xludf.DUMMYFUNCTION("""COMPUTED_VALUE"""),"1-")</f>
        <v>1-</v>
      </c>
    </row>
    <row r="1208" spans="1:21" x14ac:dyDescent="0.25">
      <c r="A1208" s="2" t="str">
        <f ca="1">IFERROR(__xludf.DUMMYFUNCTION("""COMPUTED_VALUE"""),"14e2b303")</f>
        <v>14e2b303</v>
      </c>
      <c r="B1208" s="5">
        <f ca="1">IFERROR(__xludf.DUMMYFUNCTION("""COMPUTED_VALUE"""),46076.4710300925)</f>
        <v>46076.4710300925</v>
      </c>
      <c r="C1208" s="2" t="str">
        <f ca="1">IFERROR(__xludf.DUMMYFUNCTION("""COMPUTED_VALUE"""),"887268c3")</f>
        <v>887268c3</v>
      </c>
      <c r="D1208" s="2">
        <f ca="1">IFERROR(__xludf.DUMMYFUNCTION("""COMPUTED_VALUE"""),121)</f>
        <v>121</v>
      </c>
      <c r="E1208" s="2" t="str">
        <f ca="1">IFERROR(__xludf.DUMMYFUNCTION("""COMPUTED_VALUE"""),"Malbec")</f>
        <v>Malbec</v>
      </c>
      <c r="F1208" s="2">
        <f ca="1">IFERROR(__xludf.DUMMYFUNCTION("""COMPUTED_VALUE"""),18400)</f>
        <v>18400</v>
      </c>
      <c r="G1208" s="2">
        <f ca="1">IFERROR(__xludf.DUMMYFUNCTION("""COMPUTED_VALUE"""),24)</f>
        <v>24</v>
      </c>
      <c r="H1208" s="2" t="str">
        <f ca="1">IFERROR(__xludf.DUMMYFUNCTION("""COMPUTED_VALUE"""),"d1f6795d")</f>
        <v>d1f6795d</v>
      </c>
      <c r="I1208" s="2" t="str">
        <f ca="1">IFERROR(__xludf.DUMMYFUNCTION("""COMPUTED_VALUE"""),"Tinto Varietal A")</f>
        <v>Tinto Varietal A</v>
      </c>
      <c r="J1208" s="2">
        <f ca="1">IFERROR(__xludf.DUMMYFUNCTION("""COMPUTED_VALUE"""),168200)</f>
        <v>168200</v>
      </c>
      <c r="K1208" s="2">
        <f ca="1">IFERROR(__xludf.DUMMYFUNCTION("""COMPUTED_VALUE"""),186600)</f>
        <v>186600</v>
      </c>
      <c r="L1208" s="2" t="str">
        <f ca="1">IFERROR(__xludf.DUMMYFUNCTION("""COMPUTED_VALUE"""),"797c1148")</f>
        <v>797c1148</v>
      </c>
      <c r="M1208" s="2" t="str">
        <f ca="1">IFERROR(__xludf.DUMMYFUNCTION("""COMPUTED_VALUE"""),"Tinto Varietal A")</f>
        <v>Tinto Varietal A</v>
      </c>
      <c r="N1208" s="2"/>
      <c r="O1208" s="2" t="str">
        <f ca="1">IFERROR(__xludf.DUMMYFUNCTION("""COMPUTED_VALUE"""),"Filtrado Tang")</f>
        <v>Filtrado Tang</v>
      </c>
      <c r="P1208" s="2" t="str">
        <f ca="1">IFERROR(__xludf.DUMMYFUNCTION("""COMPUTED_VALUE"""),"Filtrado Tang")</f>
        <v>Filtrado Tang</v>
      </c>
      <c r="Q1208" s="2" t="b">
        <f ca="1">IFERROR(__xludf.DUMMYFUNCTION("""COMPUTED_VALUE"""),TRUE)</f>
        <v>1</v>
      </c>
      <c r="R1208" s="2" t="str">
        <f ca="1">IFERROR(__xludf.DUMMYFUNCTION("""COMPUTED_VALUE"""),"Filtrado Tang")</f>
        <v>Filtrado Tang</v>
      </c>
      <c r="S1208" s="2"/>
      <c r="T1208" s="2"/>
      <c r="U1208" s="2" t="str">
        <f ca="1">IFERROR(__xludf.DUMMYFUNCTION("""COMPUTED_VALUE"""),"1-")</f>
        <v>1-</v>
      </c>
    </row>
    <row r="1209" spans="1:21" x14ac:dyDescent="0.25">
      <c r="A1209" s="2" t="str">
        <f ca="1">IFERROR(__xludf.DUMMYFUNCTION("""COMPUTED_VALUE"""),"d71901b4")</f>
        <v>d71901b4</v>
      </c>
      <c r="B1209" s="5">
        <f ca="1">IFERROR(__xludf.DUMMYFUNCTION("""COMPUTED_VALUE"""),46076.4880092592)</f>
        <v>46076.488009259199</v>
      </c>
      <c r="C1209" s="2" t="str">
        <f ca="1">IFERROR(__xludf.DUMMYFUNCTION("""COMPUTED_VALUE"""),"84d6a310")</f>
        <v>84d6a310</v>
      </c>
      <c r="D1209" s="2">
        <f ca="1">IFERROR(__xludf.DUMMYFUNCTION("""COMPUTED_VALUE"""),84)</f>
        <v>84</v>
      </c>
      <c r="E1209" s="2" t="str">
        <f ca="1">IFERROR(__xludf.DUMMYFUNCTION("""COMPUTED_VALUE"""),"Aspirant Ancelotta")</f>
        <v>Aspirant Ancelotta</v>
      </c>
      <c r="F1209" s="2">
        <f ca="1">IFERROR(__xludf.DUMMYFUNCTION("""COMPUTED_VALUE"""),-6800)</f>
        <v>-6800</v>
      </c>
      <c r="G1209" s="2">
        <f ca="1">IFERROR(__xludf.DUMMYFUNCTION("""COMPUTED_VALUE"""),45)</f>
        <v>45</v>
      </c>
      <c r="H1209" s="2" t="str">
        <f ca="1">IFERROR(__xludf.DUMMYFUNCTION("""COMPUTED_VALUE"""),"56985b33")</f>
        <v>56985b33</v>
      </c>
      <c r="I1209" s="2" t="str">
        <f ca="1">IFERROR(__xludf.DUMMYFUNCTION("""COMPUTED_VALUE"""),"Malbec Rect")</f>
        <v>Malbec Rect</v>
      </c>
      <c r="J1209" s="2">
        <f ca="1">IFERROR(__xludf.DUMMYFUNCTION("""COMPUTED_VALUE"""),30000)</f>
        <v>30000</v>
      </c>
      <c r="K1209" s="2">
        <f ca="1">IFERROR(__xludf.DUMMYFUNCTION("""COMPUTED_VALUE"""),23200)</f>
        <v>23200</v>
      </c>
      <c r="L1209" s="2" t="str">
        <f ca="1">IFERROR(__xludf.DUMMYFUNCTION("""COMPUTED_VALUE"""),"5314e50c")</f>
        <v>5314e50c</v>
      </c>
      <c r="M1209" s="2" t="str">
        <f ca="1">IFERROR(__xludf.DUMMYFUNCTION("""COMPUTED_VALUE"""),"Malbec Rect")</f>
        <v>Malbec Rect</v>
      </c>
      <c r="N1209" s="2" t="str">
        <f ca="1">IFERROR(__xludf.DUMMYFUNCTION("""COMPUTED_VALUE"""),"Agregado de rectificado")</f>
        <v>Agregado de rectificado</v>
      </c>
      <c r="O1209" s="2" t="str">
        <f ca="1">IFERROR(__xludf.DUMMYFUNCTION("""COMPUTED_VALUE"""),"Fermentando")</f>
        <v>Fermentando</v>
      </c>
      <c r="P1209" s="2" t="str">
        <f ca="1">IFERROR(__xludf.DUMMYFUNCTION("""COMPUTED_VALUE"""),"Rectificado")</f>
        <v>Rectificado</v>
      </c>
      <c r="Q1209" s="2" t="b">
        <f ca="1">IFERROR(__xludf.DUMMYFUNCTION("""COMPUTED_VALUE"""),TRUE)</f>
        <v>1</v>
      </c>
      <c r="R1209" s="2" t="str">
        <f ca="1">IFERROR(__xludf.DUMMYFUNCTION("""COMPUTED_VALUE"""),"Rectificado")</f>
        <v>Rectificado</v>
      </c>
      <c r="S1209" s="2"/>
      <c r="T1209" s="2"/>
      <c r="U1209" s="2" t="str">
        <f ca="1">IFERROR(__xludf.DUMMYFUNCTION("""COMPUTED_VALUE"""),"2+")</f>
        <v>2+</v>
      </c>
    </row>
    <row r="1210" spans="1:21" x14ac:dyDescent="0.25">
      <c r="A1210" s="2" t="str">
        <f ca="1">IFERROR(__xludf.DUMMYFUNCTION("""COMPUTED_VALUE"""),"9e55b2f4")</f>
        <v>9e55b2f4</v>
      </c>
      <c r="B1210" s="5">
        <f ca="1">IFERROR(__xludf.DUMMYFUNCTION("""COMPUTED_VALUE"""),46076.7410532407)</f>
        <v>46076.741053240701</v>
      </c>
      <c r="C1210" s="2" t="str">
        <f ca="1">IFERROR(__xludf.DUMMYFUNCTION("""COMPUTED_VALUE"""),"6666d5b4")</f>
        <v>6666d5b4</v>
      </c>
      <c r="D1210" s="2">
        <f ca="1">IFERROR(__xludf.DUMMYFUNCTION("""COMPUTED_VALUE"""),83)</f>
        <v>83</v>
      </c>
      <c r="E1210" s="2" t="str">
        <f ca="1">IFERROR(__xludf.DUMMYFUNCTION("""COMPUTED_VALUE"""),"Aspirant Anccelota")</f>
        <v>Aspirant Anccelota</v>
      </c>
      <c r="F1210" s="2">
        <f ca="1">IFERROR(__xludf.DUMMYFUNCTION("""COMPUTED_VALUE"""),-7800)</f>
        <v>-7800</v>
      </c>
      <c r="G1210" s="2">
        <f ca="1">IFERROR(__xludf.DUMMYFUNCTION("""COMPUTED_VALUE"""),44)</f>
        <v>44</v>
      </c>
      <c r="H1210" s="2" t="str">
        <f ca="1">IFERROR(__xludf.DUMMYFUNCTION("""COMPUTED_VALUE"""),"47145fe4")</f>
        <v>47145fe4</v>
      </c>
      <c r="I1210" s="2" t="str">
        <f ca="1">IFERROR(__xludf.DUMMYFUNCTION("""COMPUTED_VALUE"""),"Cabernet Sauvignon Rect")</f>
        <v>Cabernet Sauvignon Rect</v>
      </c>
      <c r="J1210" s="2">
        <f ca="1">IFERROR(__xludf.DUMMYFUNCTION("""COMPUTED_VALUE"""),7800)</f>
        <v>7800</v>
      </c>
      <c r="K1210" s="2">
        <f ca="1">IFERROR(__xludf.DUMMYFUNCTION("""COMPUTED_VALUE"""),0)</f>
        <v>0</v>
      </c>
      <c r="L1210" s="2" t="str">
        <f ca="1">IFERROR(__xludf.DUMMYFUNCTION("""COMPUTED_VALUE"""),"b34f5692")</f>
        <v>b34f5692</v>
      </c>
      <c r="M1210" s="2" t="str">
        <f ca="1">IFERROR(__xludf.DUMMYFUNCTION("""COMPUTED_VALUE"""),"Cabernet Sauvignon Rect")</f>
        <v>Cabernet Sauvignon Rect</v>
      </c>
      <c r="N1210" s="2"/>
      <c r="O1210" s="2" t="str">
        <f ca="1">IFERROR(__xludf.DUMMYFUNCTION("""COMPUTED_VALUE"""),"Fermentando")</f>
        <v>Fermentando</v>
      </c>
      <c r="P1210" s="2" t="str">
        <f ca="1">IFERROR(__xludf.DUMMYFUNCTION("""COMPUTED_VALUE"""),"Rectificado")</f>
        <v>Rectificado</v>
      </c>
      <c r="Q1210" s="2" t="b">
        <f ca="1">IFERROR(__xludf.DUMMYFUNCTION("""COMPUTED_VALUE"""),TRUE)</f>
        <v>1</v>
      </c>
      <c r="R1210" s="2" t="str">
        <f ca="1">IFERROR(__xludf.DUMMYFUNCTION("""COMPUTED_VALUE"""),"Rectificado")</f>
        <v>Rectificado</v>
      </c>
      <c r="S1210" s="2"/>
      <c r="T1210" s="2"/>
      <c r="U1210" s="2" t="str">
        <f ca="1">IFERROR(__xludf.DUMMYFUNCTION("""COMPUTED_VALUE"""),"2+")</f>
        <v>2+</v>
      </c>
    </row>
    <row r="1211" spans="1:21" x14ac:dyDescent="0.25">
      <c r="A1211" s="2" t="str">
        <f ca="1">IFERROR(__xludf.DUMMYFUNCTION("""COMPUTED_VALUE"""),"e6e68c58")</f>
        <v>e6e68c58</v>
      </c>
      <c r="B1211" s="5">
        <f ca="1">IFERROR(__xludf.DUMMYFUNCTION("""COMPUTED_VALUE"""),46077.7782060184)</f>
        <v>46077.778206018498</v>
      </c>
      <c r="C1211" s="2" t="str">
        <f ca="1">IFERROR(__xludf.DUMMYFUNCTION("""COMPUTED_VALUE"""),"0c02f3ad")</f>
        <v>0c02f3ad</v>
      </c>
      <c r="D1211" s="2">
        <f ca="1">IFERROR(__xludf.DUMMYFUNCTION("""COMPUTED_VALUE"""),82)</f>
        <v>82</v>
      </c>
      <c r="E1211" s="2" t="str">
        <f ca="1">IFERROR(__xludf.DUMMYFUNCTION("""COMPUTED_VALUE"""),"Aspirant Ancc")</f>
        <v>Aspirant Ancc</v>
      </c>
      <c r="F1211" s="2">
        <f ca="1">IFERROR(__xludf.DUMMYFUNCTION("""COMPUTED_VALUE"""),5700)</f>
        <v>5700</v>
      </c>
      <c r="G1211" s="2">
        <f ca="1">IFERROR(__xludf.DUMMYFUNCTION("""COMPUTED_VALUE"""),83)</f>
        <v>83</v>
      </c>
      <c r="H1211" s="2" t="str">
        <f ca="1">IFERROR(__xludf.DUMMYFUNCTION("""COMPUTED_VALUE"""),"6666d5b4")</f>
        <v>6666d5b4</v>
      </c>
      <c r="I1211" s="2" t="str">
        <f ca="1">IFERROR(__xludf.DUMMYFUNCTION("""COMPUTED_VALUE"""),"Aspirant Anccelota PC")</f>
        <v>Aspirant Anccelota PC</v>
      </c>
      <c r="J1211" s="2">
        <f ca="1">IFERROR(__xludf.DUMMYFUNCTION("""COMPUTED_VALUE"""),45400)</f>
        <v>45400</v>
      </c>
      <c r="K1211" s="2">
        <f ca="1">IFERROR(__xludf.DUMMYFUNCTION("""COMPUTED_VALUE"""),51100)</f>
        <v>51100</v>
      </c>
      <c r="L1211" s="2" t="str">
        <f ca="1">IFERROR(__xludf.DUMMYFUNCTION("""COMPUTED_VALUE"""),"4f1c28ac")</f>
        <v>4f1c28ac</v>
      </c>
      <c r="M1211" s="2" t="str">
        <f ca="1">IFERROR(__xludf.DUMMYFUNCTION("""COMPUTED_VALUE"""),"Aspirant Anccelota PC")</f>
        <v>Aspirant Anccelota PC</v>
      </c>
      <c r="N1211" s="2" t="str">
        <f ca="1">IFERROR(__xludf.DUMMYFUNCTION("""COMPUTED_VALUE"""),"Pie de Cuba Trasiego")</f>
        <v>Pie de Cuba Trasiego</v>
      </c>
      <c r="O1211" s="2" t="str">
        <f ca="1">IFERROR(__xludf.DUMMYFUNCTION("""COMPUTED_VALUE"""),"Fermentando")</f>
        <v>Fermentando</v>
      </c>
      <c r="P1211" s="2" t="str">
        <f ca="1">IFERROR(__xludf.DUMMYFUNCTION("""COMPUTED_VALUE"""),"Fermentando")</f>
        <v>Fermentando</v>
      </c>
      <c r="Q1211" s="2" t="b">
        <f ca="1">IFERROR(__xludf.DUMMYFUNCTION("""COMPUTED_VALUE"""),TRUE)</f>
        <v>1</v>
      </c>
      <c r="R1211" s="2" t="str">
        <f ca="1">IFERROR(__xludf.DUMMYFUNCTION("""COMPUTED_VALUE"""),"Fermentando")</f>
        <v>Fermentando</v>
      </c>
      <c r="S1211" s="2"/>
      <c r="T1211" s="2"/>
      <c r="U1211" s="2"/>
    </row>
    <row r="1212" spans="1:21" x14ac:dyDescent="0.25">
      <c r="A1212" s="2" t="str">
        <f ca="1">IFERROR(__xludf.DUMMYFUNCTION("""COMPUTED_VALUE"""),"b0978c69")</f>
        <v>b0978c69</v>
      </c>
      <c r="B1212" s="5">
        <f ca="1">IFERROR(__xludf.DUMMYFUNCTION("""COMPUTED_VALUE"""),46077.779074074)</f>
        <v>46077.779074074002</v>
      </c>
      <c r="C1212" s="2" t="str">
        <f ca="1">IFERROR(__xludf.DUMMYFUNCTION("""COMPUTED_VALUE"""),"4f1c28ac")</f>
        <v>4f1c28ac</v>
      </c>
      <c r="D1212" s="2">
        <f ca="1">IFERROR(__xludf.DUMMYFUNCTION("""COMPUTED_VALUE"""),83)</f>
        <v>83</v>
      </c>
      <c r="E1212" s="2" t="str">
        <f ca="1">IFERROR(__xludf.DUMMYFUNCTION("""COMPUTED_VALUE"""),"Aspirant Anccelota PC")</f>
        <v>Aspirant Anccelota PC</v>
      </c>
      <c r="F1212" s="2">
        <f ca="1">IFERROR(__xludf.DUMMYFUNCTION("""COMPUTED_VALUE"""),3100)</f>
        <v>3100</v>
      </c>
      <c r="G1212" s="2">
        <f ca="1">IFERROR(__xludf.DUMMYFUNCTION("""COMPUTED_VALUE"""),500)</f>
        <v>500</v>
      </c>
      <c r="H1212" s="2" t="str">
        <f ca="1">IFERROR(__xludf.DUMMYFUNCTION("""COMPUTED_VALUE"""),"27d2815f")</f>
        <v>27d2815f</v>
      </c>
      <c r="I1212" s="2" t="str">
        <f ca="1">IFERROR(__xludf.DUMMYFUNCTION("""COMPUTED_VALUE"""),"Ajuste semana 13/02/2025")</f>
        <v>Ajuste semana 13/02/2025</v>
      </c>
      <c r="J1212" s="2">
        <f ca="1">IFERROR(__xludf.DUMMYFUNCTION("""COMPUTED_VALUE"""),16001)</f>
        <v>16001</v>
      </c>
      <c r="K1212" s="2">
        <f ca="1">IFERROR(__xludf.DUMMYFUNCTION("""COMPUTED_VALUE"""),19101)</f>
        <v>19101</v>
      </c>
      <c r="L1212" s="2" t="str">
        <f ca="1">IFERROR(__xludf.DUMMYFUNCTION("""COMPUTED_VALUE"""),"a1800caf")</f>
        <v>a1800caf</v>
      </c>
      <c r="M1212" s="2" t="str">
        <f ca="1">IFERROR(__xludf.DUMMYFUNCTION("""COMPUTED_VALUE"""),"Ajuste semana 13/02/2025")</f>
        <v>Ajuste semana 13/02/2025</v>
      </c>
      <c r="N1212" s="2"/>
      <c r="O1212" s="2" t="str">
        <f ca="1">IFERROR(__xludf.DUMMYFUNCTION("""COMPUTED_VALUE"""),"Fermentando")</f>
        <v>Fermentando</v>
      </c>
      <c r="P1212" s="2" t="str">
        <f ca="1">IFERROR(__xludf.DUMMYFUNCTION("""COMPUTED_VALUE"""),"Terminado")</f>
        <v>Terminado</v>
      </c>
      <c r="Q1212" s="2" t="b">
        <f ca="1">IFERROR(__xludf.DUMMYFUNCTION("""COMPUTED_VALUE"""),TRUE)</f>
        <v>1</v>
      </c>
      <c r="R1212" s="2" t="str">
        <f ca="1">IFERROR(__xludf.DUMMYFUNCTION("""COMPUTED_VALUE"""),"Terminado")</f>
        <v>Terminado</v>
      </c>
      <c r="S1212" s="2"/>
      <c r="T1212" s="2"/>
      <c r="U1212" s="2"/>
    </row>
    <row r="1213" spans="1:21" x14ac:dyDescent="0.25">
      <c r="A1213" s="2" t="str">
        <f ca="1">IFERROR(__xludf.DUMMYFUNCTION("""COMPUTED_VALUE"""),"160c24fc")</f>
        <v>160c24fc</v>
      </c>
      <c r="B1213" s="5">
        <f ca="1">IFERROR(__xludf.DUMMYFUNCTION("""COMPUTED_VALUE"""),46077.7803703703)</f>
        <v>46077.780370370303</v>
      </c>
      <c r="C1213" s="2" t="str">
        <f ca="1">IFERROR(__xludf.DUMMYFUNCTION("""COMPUTED_VALUE"""),"84d6a310")</f>
        <v>84d6a310</v>
      </c>
      <c r="D1213" s="2">
        <f ca="1">IFERROR(__xludf.DUMMYFUNCTION("""COMPUTED_VALUE"""),84)</f>
        <v>84</v>
      </c>
      <c r="E1213" s="2" t="str">
        <f ca="1">IFERROR(__xludf.DUMMYFUNCTION("""COMPUTED_VALUE"""),"Aspirant Ancelotta")</f>
        <v>Aspirant Ancelotta</v>
      </c>
      <c r="F1213" s="2">
        <f ca="1">IFERROR(__xludf.DUMMYFUNCTION("""COMPUTED_VALUE"""),-7400)</f>
        <v>-7400</v>
      </c>
      <c r="G1213" s="2">
        <f ca="1">IFERROR(__xludf.DUMMYFUNCTION("""COMPUTED_VALUE"""),500)</f>
        <v>500</v>
      </c>
      <c r="H1213" s="2" t="str">
        <f ca="1">IFERROR(__xludf.DUMMYFUNCTION("""COMPUTED_VALUE"""),"a1800caf")</f>
        <v>a1800caf</v>
      </c>
      <c r="I1213" s="2" t="str">
        <f ca="1">IFERROR(__xludf.DUMMYFUNCTION("""COMPUTED_VALUE"""),"Ajuste semana 13/02/2025")</f>
        <v>Ajuste semana 13/02/2025</v>
      </c>
      <c r="J1213" s="2">
        <f ca="1">IFERROR(__xludf.DUMMYFUNCTION("""COMPUTED_VALUE"""),19101)</f>
        <v>19101</v>
      </c>
      <c r="K1213" s="2">
        <f ca="1">IFERROR(__xludf.DUMMYFUNCTION("""COMPUTED_VALUE"""),11701)</f>
        <v>11701</v>
      </c>
      <c r="L1213" s="2" t="str">
        <f ca="1">IFERROR(__xludf.DUMMYFUNCTION("""COMPUTED_VALUE"""),"ff77b926")</f>
        <v>ff77b926</v>
      </c>
      <c r="M1213" s="2" t="str">
        <f ca="1">IFERROR(__xludf.DUMMYFUNCTION("""COMPUTED_VALUE"""),"Ajuste semana 13/02/2025")</f>
        <v>Ajuste semana 13/02/2025</v>
      </c>
      <c r="N1213" s="2"/>
      <c r="O1213" s="2" t="str">
        <f ca="1">IFERROR(__xludf.DUMMYFUNCTION("""COMPUTED_VALUE"""),"Fermentando")</f>
        <v>Fermentando</v>
      </c>
      <c r="P1213" s="2" t="str">
        <f ca="1">IFERROR(__xludf.DUMMYFUNCTION("""COMPUTED_VALUE"""),"Terminado")</f>
        <v>Terminado</v>
      </c>
      <c r="Q1213" s="2" t="b">
        <f ca="1">IFERROR(__xludf.DUMMYFUNCTION("""COMPUTED_VALUE"""),TRUE)</f>
        <v>1</v>
      </c>
      <c r="R1213" s="2" t="str">
        <f ca="1">IFERROR(__xludf.DUMMYFUNCTION("""COMPUTED_VALUE"""),"Terminado")</f>
        <v>Terminado</v>
      </c>
      <c r="S1213" s="2"/>
      <c r="T1213" s="2"/>
      <c r="U1213" s="2"/>
    </row>
    <row r="1214" spans="1:21" x14ac:dyDescent="0.25">
      <c r="A1214" s="2" t="str">
        <f ca="1">IFERROR(__xludf.DUMMYFUNCTION("""COMPUTED_VALUE"""),"346f0926")</f>
        <v>346f0926</v>
      </c>
      <c r="B1214" s="5">
        <f ca="1">IFERROR(__xludf.DUMMYFUNCTION("""COMPUTED_VALUE"""),46077.7810185185)</f>
        <v>46077.781018518501</v>
      </c>
      <c r="C1214" s="2" t="str">
        <f ca="1">IFERROR(__xludf.DUMMYFUNCTION("""COMPUTED_VALUE"""),"f3de4bc0")</f>
        <v>f3de4bc0</v>
      </c>
      <c r="D1214" s="2">
        <f ca="1">IFERROR(__xludf.DUMMYFUNCTION("""COMPUTED_VALUE"""),81)</f>
        <v>81</v>
      </c>
      <c r="E1214" s="2" t="str">
        <f ca="1">IFERROR(__xludf.DUMMYFUNCTION("""COMPUTED_VALUE"""),"Merlot")</f>
        <v>Merlot</v>
      </c>
      <c r="F1214" s="2">
        <f ca="1">IFERROR(__xludf.DUMMYFUNCTION("""COMPUTED_VALUE"""),1000)</f>
        <v>1000</v>
      </c>
      <c r="G1214" s="2">
        <f ca="1">IFERROR(__xludf.DUMMYFUNCTION("""COMPUTED_VALUE"""),500)</f>
        <v>500</v>
      </c>
      <c r="H1214" s="2" t="str">
        <f ca="1">IFERROR(__xludf.DUMMYFUNCTION("""COMPUTED_VALUE"""),"ff77b926")</f>
        <v>ff77b926</v>
      </c>
      <c r="I1214" s="2" t="str">
        <f ca="1">IFERROR(__xludf.DUMMYFUNCTION("""COMPUTED_VALUE"""),"Ajuste semana 13/02/2025")</f>
        <v>Ajuste semana 13/02/2025</v>
      </c>
      <c r="J1214" s="2">
        <f ca="1">IFERROR(__xludf.DUMMYFUNCTION("""COMPUTED_VALUE"""),11701)</f>
        <v>11701</v>
      </c>
      <c r="K1214" s="2">
        <f ca="1">IFERROR(__xludf.DUMMYFUNCTION("""COMPUTED_VALUE"""),12701)</f>
        <v>12701</v>
      </c>
      <c r="L1214" s="2" t="str">
        <f ca="1">IFERROR(__xludf.DUMMYFUNCTION("""COMPUTED_VALUE"""),"63973d1f")</f>
        <v>63973d1f</v>
      </c>
      <c r="M1214" s="2" t="str">
        <f ca="1">IFERROR(__xludf.DUMMYFUNCTION("""COMPUTED_VALUE"""),"Ajuste semana 13/02/2025")</f>
        <v>Ajuste semana 13/02/2025</v>
      </c>
      <c r="N1214" s="2"/>
      <c r="O1214" s="2" t="str">
        <f ca="1">IFERROR(__xludf.DUMMYFUNCTION("""COMPUTED_VALUE"""),"Fermentando")</f>
        <v>Fermentando</v>
      </c>
      <c r="P1214" s="2" t="str">
        <f ca="1">IFERROR(__xludf.DUMMYFUNCTION("""COMPUTED_VALUE"""),"Terminado")</f>
        <v>Terminado</v>
      </c>
      <c r="Q1214" s="2" t="b">
        <f ca="1">IFERROR(__xludf.DUMMYFUNCTION("""COMPUTED_VALUE"""),TRUE)</f>
        <v>1</v>
      </c>
      <c r="R1214" s="2" t="str">
        <f ca="1">IFERROR(__xludf.DUMMYFUNCTION("""COMPUTED_VALUE"""),"Terminado")</f>
        <v>Terminado</v>
      </c>
      <c r="S1214" s="2"/>
      <c r="T1214" s="2"/>
      <c r="U1214" s="2"/>
    </row>
    <row r="1215" spans="1:21" x14ac:dyDescent="0.25">
      <c r="A1215" s="2" t="str">
        <f ca="1">IFERROR(__xludf.DUMMYFUNCTION("""COMPUTED_VALUE"""),"cf38f9c5")</f>
        <v>cf38f9c5</v>
      </c>
      <c r="B1215" s="5">
        <f ca="1">IFERROR(__xludf.DUMMYFUNCTION("""COMPUTED_VALUE"""),46077.781724537)</f>
        <v>46077.781724537002</v>
      </c>
      <c r="C1215" s="2" t="str">
        <f ca="1">IFERROR(__xludf.DUMMYFUNCTION("""COMPUTED_VALUE"""),"5a47168a")</f>
        <v>5a47168a</v>
      </c>
      <c r="D1215" s="2">
        <f ca="1">IFERROR(__xludf.DUMMYFUNCTION("""COMPUTED_VALUE"""),66)</f>
        <v>66</v>
      </c>
      <c r="E1215" s="2" t="str">
        <f ca="1">IFERROR(__xludf.DUMMYFUNCTION("""COMPUTED_VALUE"""),"Aspirant")</f>
        <v>Aspirant</v>
      </c>
      <c r="F1215" s="2">
        <f ca="1">IFERROR(__xludf.DUMMYFUNCTION("""COMPUTED_VALUE"""),-1000)</f>
        <v>-1000</v>
      </c>
      <c r="G1215" s="2">
        <f ca="1">IFERROR(__xludf.DUMMYFUNCTION("""COMPUTED_VALUE"""),500)</f>
        <v>500</v>
      </c>
      <c r="H1215" s="2" t="str">
        <f ca="1">IFERROR(__xludf.DUMMYFUNCTION("""COMPUTED_VALUE"""),"63973d1f")</f>
        <v>63973d1f</v>
      </c>
      <c r="I1215" s="2" t="str">
        <f ca="1">IFERROR(__xludf.DUMMYFUNCTION("""COMPUTED_VALUE"""),"Ajuste semana 13/02/2025")</f>
        <v>Ajuste semana 13/02/2025</v>
      </c>
      <c r="J1215" s="2">
        <f ca="1">IFERROR(__xludf.DUMMYFUNCTION("""COMPUTED_VALUE"""),12701)</f>
        <v>12701</v>
      </c>
      <c r="K1215" s="2">
        <f ca="1">IFERROR(__xludf.DUMMYFUNCTION("""COMPUTED_VALUE"""),11701)</f>
        <v>11701</v>
      </c>
      <c r="L1215" s="2" t="str">
        <f ca="1">IFERROR(__xludf.DUMMYFUNCTION("""COMPUTED_VALUE"""),"c3af7a78")</f>
        <v>c3af7a78</v>
      </c>
      <c r="M1215" s="2" t="str">
        <f ca="1">IFERROR(__xludf.DUMMYFUNCTION("""COMPUTED_VALUE"""),"Ajuste semana 13/02/2025")</f>
        <v>Ajuste semana 13/02/2025</v>
      </c>
      <c r="N1215" s="2"/>
      <c r="O1215" s="2" t="str">
        <f ca="1">IFERROR(__xludf.DUMMYFUNCTION("""COMPUTED_VALUE"""),"Fermentando")</f>
        <v>Fermentando</v>
      </c>
      <c r="P1215" s="2" t="str">
        <f ca="1">IFERROR(__xludf.DUMMYFUNCTION("""COMPUTED_VALUE"""),"Terminado")</f>
        <v>Terminado</v>
      </c>
      <c r="Q1215" s="2" t="b">
        <f ca="1">IFERROR(__xludf.DUMMYFUNCTION("""COMPUTED_VALUE"""),TRUE)</f>
        <v>1</v>
      </c>
      <c r="R1215" s="2" t="str">
        <f ca="1">IFERROR(__xludf.DUMMYFUNCTION("""COMPUTED_VALUE"""),"Terminado")</f>
        <v>Terminado</v>
      </c>
      <c r="S1215" s="2"/>
      <c r="T1215" s="2"/>
      <c r="U1215" s="2"/>
    </row>
    <row r="1216" spans="1:21" x14ac:dyDescent="0.25">
      <c r="A1216" s="2" t="str">
        <f ca="1">IFERROR(__xludf.DUMMYFUNCTION("""COMPUTED_VALUE"""),"a81b3f91")</f>
        <v>a81b3f91</v>
      </c>
      <c r="B1216" s="5">
        <f ca="1">IFERROR(__xludf.DUMMYFUNCTION("""COMPUTED_VALUE"""),46077.7827777777)</f>
        <v>46077.782777777698</v>
      </c>
      <c r="C1216" s="2" t="str">
        <f ca="1">IFERROR(__xludf.DUMMYFUNCTION("""COMPUTED_VALUE"""),"c83c39f8")</f>
        <v>c83c39f8</v>
      </c>
      <c r="D1216" s="2">
        <f ca="1">IFERROR(__xludf.DUMMYFUNCTION("""COMPUTED_VALUE"""),79)</f>
        <v>79</v>
      </c>
      <c r="E1216" s="2" t="str">
        <f ca="1">IFERROR(__xludf.DUMMYFUNCTION("""COMPUTED_VALUE"""),"Aspirant")</f>
        <v>Aspirant</v>
      </c>
      <c r="F1216" s="2">
        <f ca="1">IFERROR(__xludf.DUMMYFUNCTION("""COMPUTED_VALUE"""),-1000)</f>
        <v>-1000</v>
      </c>
      <c r="G1216" s="2">
        <f ca="1">IFERROR(__xludf.DUMMYFUNCTION("""COMPUTED_VALUE"""),500)</f>
        <v>500</v>
      </c>
      <c r="H1216" s="2" t="str">
        <f ca="1">IFERROR(__xludf.DUMMYFUNCTION("""COMPUTED_VALUE"""),"c3af7a78")</f>
        <v>c3af7a78</v>
      </c>
      <c r="I1216" s="2" t="str">
        <f ca="1">IFERROR(__xludf.DUMMYFUNCTION("""COMPUTED_VALUE"""),"Ajuste semana 13/02/2025")</f>
        <v>Ajuste semana 13/02/2025</v>
      </c>
      <c r="J1216" s="2">
        <f ca="1">IFERROR(__xludf.DUMMYFUNCTION("""COMPUTED_VALUE"""),11701)</f>
        <v>11701</v>
      </c>
      <c r="K1216" s="2">
        <f ca="1">IFERROR(__xludf.DUMMYFUNCTION("""COMPUTED_VALUE"""),10701)</f>
        <v>10701</v>
      </c>
      <c r="L1216" s="2" t="str">
        <f ca="1">IFERROR(__xludf.DUMMYFUNCTION("""COMPUTED_VALUE"""),"574426dd")</f>
        <v>574426dd</v>
      </c>
      <c r="M1216" s="2" t="str">
        <f ca="1">IFERROR(__xludf.DUMMYFUNCTION("""COMPUTED_VALUE"""),"Ajuste semana 13/02/2025")</f>
        <v>Ajuste semana 13/02/2025</v>
      </c>
      <c r="N1216" s="2"/>
      <c r="O1216" s="2" t="str">
        <f ca="1">IFERROR(__xludf.DUMMYFUNCTION("""COMPUTED_VALUE"""),"Fermentando")</f>
        <v>Fermentando</v>
      </c>
      <c r="P1216" s="2" t="str">
        <f ca="1">IFERROR(__xludf.DUMMYFUNCTION("""COMPUTED_VALUE"""),"Terminado")</f>
        <v>Terminado</v>
      </c>
      <c r="Q1216" s="2" t="b">
        <f ca="1">IFERROR(__xludf.DUMMYFUNCTION("""COMPUTED_VALUE"""),TRUE)</f>
        <v>1</v>
      </c>
      <c r="R1216" s="2" t="str">
        <f ca="1">IFERROR(__xludf.DUMMYFUNCTION("""COMPUTED_VALUE"""),"Terminado")</f>
        <v>Terminado</v>
      </c>
      <c r="S1216" s="2"/>
      <c r="T1216" s="2"/>
      <c r="U1216" s="2"/>
    </row>
    <row r="1217" spans="1:21" x14ac:dyDescent="0.25">
      <c r="A1217" s="2" t="str">
        <f ca="1">IFERROR(__xludf.DUMMYFUNCTION("""COMPUTED_VALUE"""),"b6b4fc29")</f>
        <v>b6b4fc29</v>
      </c>
      <c r="B1217" s="5">
        <f ca="1">IFERROR(__xludf.DUMMYFUNCTION("""COMPUTED_VALUE"""),46077.7834722222)</f>
        <v>46077.783472222203</v>
      </c>
      <c r="C1217" s="2" t="str">
        <f ca="1">IFERROR(__xludf.DUMMYFUNCTION("""COMPUTED_VALUE"""),"f3de4bc0")</f>
        <v>f3de4bc0</v>
      </c>
      <c r="D1217" s="2">
        <f ca="1">IFERROR(__xludf.DUMMYFUNCTION("""COMPUTED_VALUE"""),81)</f>
        <v>81</v>
      </c>
      <c r="E1217" s="2" t="str">
        <f ca="1">IFERROR(__xludf.DUMMYFUNCTION("""COMPUTED_VALUE"""),"Merlot")</f>
        <v>Merlot</v>
      </c>
      <c r="F1217" s="2">
        <f ca="1">IFERROR(__xludf.DUMMYFUNCTION("""COMPUTED_VALUE"""),-1000)</f>
        <v>-1000</v>
      </c>
      <c r="G1217" s="2">
        <f ca="1">IFERROR(__xludf.DUMMYFUNCTION("""COMPUTED_VALUE"""),500)</f>
        <v>500</v>
      </c>
      <c r="H1217" s="2" t="str">
        <f ca="1">IFERROR(__xludf.DUMMYFUNCTION("""COMPUTED_VALUE"""),"574426dd")</f>
        <v>574426dd</v>
      </c>
      <c r="I1217" s="2" t="str">
        <f ca="1">IFERROR(__xludf.DUMMYFUNCTION("""COMPUTED_VALUE"""),"Ajuste semana 13/02/2025")</f>
        <v>Ajuste semana 13/02/2025</v>
      </c>
      <c r="J1217" s="2">
        <f ca="1">IFERROR(__xludf.DUMMYFUNCTION("""COMPUTED_VALUE"""),10701)</f>
        <v>10701</v>
      </c>
      <c r="K1217" s="2">
        <f ca="1">IFERROR(__xludf.DUMMYFUNCTION("""COMPUTED_VALUE"""),9701)</f>
        <v>9701</v>
      </c>
      <c r="L1217" s="2" t="str">
        <f ca="1">IFERROR(__xludf.DUMMYFUNCTION("""COMPUTED_VALUE"""),"d0a5731e")</f>
        <v>d0a5731e</v>
      </c>
      <c r="M1217" s="2" t="str">
        <f ca="1">IFERROR(__xludf.DUMMYFUNCTION("""COMPUTED_VALUE"""),"Ajuste semana 13/02/2025")</f>
        <v>Ajuste semana 13/02/2025</v>
      </c>
      <c r="N1217" s="2"/>
      <c r="O1217" s="2" t="str">
        <f ca="1">IFERROR(__xludf.DUMMYFUNCTION("""COMPUTED_VALUE"""),"Fermentando")</f>
        <v>Fermentando</v>
      </c>
      <c r="P1217" s="2" t="str">
        <f ca="1">IFERROR(__xludf.DUMMYFUNCTION("""COMPUTED_VALUE"""),"Terminado")</f>
        <v>Terminado</v>
      </c>
      <c r="Q1217" s="2" t="b">
        <f ca="1">IFERROR(__xludf.DUMMYFUNCTION("""COMPUTED_VALUE"""),TRUE)</f>
        <v>1</v>
      </c>
      <c r="R1217" s="2" t="str">
        <f ca="1">IFERROR(__xludf.DUMMYFUNCTION("""COMPUTED_VALUE"""),"Terminado")</f>
        <v>Terminado</v>
      </c>
      <c r="S1217" s="2"/>
      <c r="T1217" s="2"/>
      <c r="U1217" s="2"/>
    </row>
    <row r="1218" spans="1:21" x14ac:dyDescent="0.25">
      <c r="A1218" s="2" t="str">
        <f ca="1">IFERROR(__xludf.DUMMYFUNCTION("""COMPUTED_VALUE"""),"ec5609df")</f>
        <v>ec5609df</v>
      </c>
      <c r="B1218" s="5">
        <f ca="1">IFERROR(__xludf.DUMMYFUNCTION("""COMPUTED_VALUE"""),46077.784386574)</f>
        <v>46077.784386574</v>
      </c>
      <c r="C1218" s="2" t="str">
        <f ca="1">IFERROR(__xludf.DUMMYFUNCTION("""COMPUTED_VALUE"""),"5314e50c")</f>
        <v>5314e50c</v>
      </c>
      <c r="D1218" s="2">
        <f ca="1">IFERROR(__xludf.DUMMYFUNCTION("""COMPUTED_VALUE"""),45)</f>
        <v>45</v>
      </c>
      <c r="E1218" s="2" t="str">
        <f ca="1">IFERROR(__xludf.DUMMYFUNCTION("""COMPUTED_VALUE"""),"Malbec Rect")</f>
        <v>Malbec Rect</v>
      </c>
      <c r="F1218" s="2">
        <f ca="1">IFERROR(__xludf.DUMMYFUNCTION("""COMPUTED_VALUE"""),3200)</f>
        <v>3200</v>
      </c>
      <c r="G1218" s="2">
        <f ca="1">IFERROR(__xludf.DUMMYFUNCTION("""COMPUTED_VALUE"""),500)</f>
        <v>500</v>
      </c>
      <c r="H1218" s="2" t="str">
        <f ca="1">IFERROR(__xludf.DUMMYFUNCTION("""COMPUTED_VALUE"""),"d0a5731e")</f>
        <v>d0a5731e</v>
      </c>
      <c r="I1218" s="2" t="str">
        <f ca="1">IFERROR(__xludf.DUMMYFUNCTION("""COMPUTED_VALUE"""),"Ajuste semana 13/02/2025")</f>
        <v>Ajuste semana 13/02/2025</v>
      </c>
      <c r="J1218" s="2">
        <f ca="1">IFERROR(__xludf.DUMMYFUNCTION("""COMPUTED_VALUE"""),9701)</f>
        <v>9701</v>
      </c>
      <c r="K1218" s="2">
        <f ca="1">IFERROR(__xludf.DUMMYFUNCTION("""COMPUTED_VALUE"""),12901)</f>
        <v>12901</v>
      </c>
      <c r="L1218" s="2" t="str">
        <f ca="1">IFERROR(__xludf.DUMMYFUNCTION("""COMPUTED_VALUE"""),"6179d31d")</f>
        <v>6179d31d</v>
      </c>
      <c r="M1218" s="2" t="str">
        <f ca="1">IFERROR(__xludf.DUMMYFUNCTION("""COMPUTED_VALUE"""),"Ajuste semana 13/02/2025")</f>
        <v>Ajuste semana 13/02/2025</v>
      </c>
      <c r="N1218" s="2"/>
      <c r="O1218" s="2" t="str">
        <f ca="1">IFERROR(__xludf.DUMMYFUNCTION("""COMPUTED_VALUE"""),"Rectificado")</f>
        <v>Rectificado</v>
      </c>
      <c r="P1218" s="2" t="str">
        <f ca="1">IFERROR(__xludf.DUMMYFUNCTION("""COMPUTED_VALUE"""),"Terminado")</f>
        <v>Terminado</v>
      </c>
      <c r="Q1218" s="2" t="b">
        <f ca="1">IFERROR(__xludf.DUMMYFUNCTION("""COMPUTED_VALUE"""),TRUE)</f>
        <v>1</v>
      </c>
      <c r="R1218" s="2" t="str">
        <f ca="1">IFERROR(__xludf.DUMMYFUNCTION("""COMPUTED_VALUE"""),"Terminado")</f>
        <v>Terminado</v>
      </c>
      <c r="S1218" s="2"/>
      <c r="T1218" s="2"/>
      <c r="U1218" s="2"/>
    </row>
    <row r="1219" spans="1:21" x14ac:dyDescent="0.25">
      <c r="A1219" s="2" t="str">
        <f ca="1">IFERROR(__xludf.DUMMYFUNCTION("""COMPUTED_VALUE"""),"5839a4fe")</f>
        <v>5839a4fe</v>
      </c>
      <c r="B1219" s="5">
        <f ca="1">IFERROR(__xludf.DUMMYFUNCTION("""COMPUTED_VALUE"""),46077.7864699074)</f>
        <v>46077.786469907398</v>
      </c>
      <c r="C1219" s="2" t="str">
        <f ca="1">IFERROR(__xludf.DUMMYFUNCTION("""COMPUTED_VALUE"""),"26df23e4")</f>
        <v>26df23e4</v>
      </c>
      <c r="D1219" s="2">
        <f ca="1">IFERROR(__xludf.DUMMYFUNCTION("""COMPUTED_VALUE"""),33)</f>
        <v>33</v>
      </c>
      <c r="E1219" s="2" t="str">
        <f ca="1">IFERROR(__xludf.DUMMYFUNCTION("""COMPUTED_VALUE"""),"Malbec")</f>
        <v>Malbec</v>
      </c>
      <c r="F1219" s="2">
        <f ca="1">IFERROR(__xludf.DUMMYFUNCTION("""COMPUTED_VALUE"""),12650)</f>
        <v>12650</v>
      </c>
      <c r="G1219" s="2">
        <f ca="1">IFERROR(__xludf.DUMMYFUNCTION("""COMPUTED_VALUE"""),25)</f>
        <v>25</v>
      </c>
      <c r="H1219" s="2"/>
      <c r="I1219" s="2"/>
      <c r="J1219" s="2">
        <f ca="1">IFERROR(__xludf.DUMMYFUNCTION("""COMPUTED_VALUE"""),0)</f>
        <v>0</v>
      </c>
      <c r="K1219" s="2">
        <f ca="1">IFERROR(__xludf.DUMMYFUNCTION("""COMPUTED_VALUE"""),12650)</f>
        <v>12650</v>
      </c>
      <c r="L1219" s="2" t="str">
        <f ca="1">IFERROR(__xludf.DUMMYFUNCTION("""COMPUTED_VALUE"""),"edc34769")</f>
        <v>edc34769</v>
      </c>
      <c r="M1219" s="2" t="str">
        <f ca="1">IFERROR(__xludf.DUMMYFUNCTION("""COMPUTED_VALUE"""),"Tinto Varietal B")</f>
        <v>Tinto Varietal B</v>
      </c>
      <c r="N1219" s="2"/>
      <c r="O1219" s="2" t="str">
        <f ca="1">IFERROR(__xludf.DUMMYFUNCTION("""COMPUTED_VALUE"""),"Filtrado Tang")</f>
        <v>Filtrado Tang</v>
      </c>
      <c r="P1219" s="2"/>
      <c r="Q1219" s="2" t="b">
        <f ca="1">IFERROR(__xludf.DUMMYFUNCTION("""COMPUTED_VALUE"""),FALSE)</f>
        <v>0</v>
      </c>
      <c r="R1219" s="2" t="str">
        <f ca="1">IFERROR(__xludf.DUMMYFUNCTION("""COMPUTED_VALUE"""),"Filtrado Tang")</f>
        <v>Filtrado Tang</v>
      </c>
      <c r="S1219" s="2"/>
      <c r="T1219" s="2"/>
      <c r="U1219" s="2" t="str">
        <f ca="1">IFERROR(__xludf.DUMMYFUNCTION("""COMPUTED_VALUE"""),"1")</f>
        <v>1</v>
      </c>
    </row>
    <row r="1220" spans="1:21" x14ac:dyDescent="0.25">
      <c r="A1220" s="2" t="str">
        <f ca="1">IFERROR(__xludf.DUMMYFUNCTION("""COMPUTED_VALUE"""),"375019ad")</f>
        <v>375019ad</v>
      </c>
      <c r="B1220" s="5">
        <f ca="1">IFERROR(__xludf.DUMMYFUNCTION("""COMPUTED_VALUE"""),46077.7872800925)</f>
        <v>46077.787280092503</v>
      </c>
      <c r="C1220" s="2" t="str">
        <f ca="1">IFERROR(__xludf.DUMMYFUNCTION("""COMPUTED_VALUE"""),"26df23e4")</f>
        <v>26df23e4</v>
      </c>
      <c r="D1220" s="2">
        <f ca="1">IFERROR(__xludf.DUMMYFUNCTION("""COMPUTED_VALUE"""),33)</f>
        <v>33</v>
      </c>
      <c r="E1220" s="2" t="str">
        <f ca="1">IFERROR(__xludf.DUMMYFUNCTION("""COMPUTED_VALUE"""),"Malbec")</f>
        <v>Malbec</v>
      </c>
      <c r="F1220" s="2">
        <f ca="1">IFERROR(__xludf.DUMMYFUNCTION("""COMPUTED_VALUE"""),12650)</f>
        <v>12650</v>
      </c>
      <c r="G1220" s="2">
        <f ca="1">IFERROR(__xludf.DUMMYFUNCTION("""COMPUTED_VALUE"""),26)</f>
        <v>26</v>
      </c>
      <c r="H1220" s="2"/>
      <c r="I1220" s="2"/>
      <c r="J1220" s="2">
        <f ca="1">IFERROR(__xludf.DUMMYFUNCTION("""COMPUTED_VALUE"""),0)</f>
        <v>0</v>
      </c>
      <c r="K1220" s="2">
        <f ca="1">IFERROR(__xludf.DUMMYFUNCTION("""COMPUTED_VALUE"""),12650)</f>
        <v>12650</v>
      </c>
      <c r="L1220" s="2" t="str">
        <f ca="1">IFERROR(__xludf.DUMMYFUNCTION("""COMPUTED_VALUE"""),"a777b47f")</f>
        <v>a777b47f</v>
      </c>
      <c r="M1220" s="2" t="str">
        <f ca="1">IFERROR(__xludf.DUMMYFUNCTION("""COMPUTED_VALUE"""),"Tinto Varietal B")</f>
        <v>Tinto Varietal B</v>
      </c>
      <c r="N1220" s="2"/>
      <c r="O1220" s="2" t="str">
        <f ca="1">IFERROR(__xludf.DUMMYFUNCTION("""COMPUTED_VALUE"""),"Filtrado Tang")</f>
        <v>Filtrado Tang</v>
      </c>
      <c r="P1220" s="2"/>
      <c r="Q1220" s="2" t="b">
        <f ca="1">IFERROR(__xludf.DUMMYFUNCTION("""COMPUTED_VALUE"""),FALSE)</f>
        <v>0</v>
      </c>
      <c r="R1220" s="2" t="str">
        <f ca="1">IFERROR(__xludf.DUMMYFUNCTION("""COMPUTED_VALUE"""),"Filtrado Tang")</f>
        <v>Filtrado Tang</v>
      </c>
      <c r="S1220" s="2"/>
      <c r="T1220" s="2"/>
      <c r="U1220" s="2" t="str">
        <f ca="1">IFERROR(__xludf.DUMMYFUNCTION("""COMPUTED_VALUE"""),"1")</f>
        <v>1</v>
      </c>
    </row>
    <row r="1221" spans="1:21" x14ac:dyDescent="0.25">
      <c r="A1221" s="2" t="str">
        <f ca="1">IFERROR(__xludf.DUMMYFUNCTION("""COMPUTED_VALUE"""),"f47edb24")</f>
        <v>f47edb24</v>
      </c>
      <c r="B1221" s="5">
        <f ca="1">IFERROR(__xludf.DUMMYFUNCTION("""COMPUTED_VALUE"""),46077.7876273148)</f>
        <v>46077.787627314799</v>
      </c>
      <c r="C1221" s="2" t="str">
        <f ca="1">IFERROR(__xludf.DUMMYFUNCTION("""COMPUTED_VALUE"""),"2a1b9079")</f>
        <v>2a1b9079</v>
      </c>
      <c r="D1221" s="2">
        <f ca="1">IFERROR(__xludf.DUMMYFUNCTION("""COMPUTED_VALUE"""),35)</f>
        <v>35</v>
      </c>
      <c r="E1221" s="2" t="str">
        <f ca="1">IFERROR(__xludf.DUMMYFUNCTION("""COMPUTED_VALUE"""),"Malbec")</f>
        <v>Malbec</v>
      </c>
      <c r="F1221" s="2">
        <f ca="1">IFERROR(__xludf.DUMMYFUNCTION("""COMPUTED_VALUE"""),19650)</f>
        <v>19650</v>
      </c>
      <c r="G1221" s="2">
        <f ca="1">IFERROR(__xludf.DUMMYFUNCTION("""COMPUTED_VALUE"""),25)</f>
        <v>25</v>
      </c>
      <c r="H1221" s="2" t="str">
        <f ca="1">IFERROR(__xludf.DUMMYFUNCTION("""COMPUTED_VALUE"""),"edc34769")</f>
        <v>edc34769</v>
      </c>
      <c r="I1221" s="2" t="str">
        <f ca="1">IFERROR(__xludf.DUMMYFUNCTION("""COMPUTED_VALUE"""),"Tinto Varietal B")</f>
        <v>Tinto Varietal B</v>
      </c>
      <c r="J1221" s="2">
        <f ca="1">IFERROR(__xludf.DUMMYFUNCTION("""COMPUTED_VALUE"""),12650)</f>
        <v>12650</v>
      </c>
      <c r="K1221" s="2">
        <f ca="1">IFERROR(__xludf.DUMMYFUNCTION("""COMPUTED_VALUE"""),32300)</f>
        <v>32300</v>
      </c>
      <c r="L1221" s="2" t="str">
        <f ca="1">IFERROR(__xludf.DUMMYFUNCTION("""COMPUTED_VALUE"""),"1c14b6c9")</f>
        <v>1c14b6c9</v>
      </c>
      <c r="M1221" s="2" t="str">
        <f ca="1">IFERROR(__xludf.DUMMYFUNCTION("""COMPUTED_VALUE"""),"Tinto Varietal B")</f>
        <v>Tinto Varietal B</v>
      </c>
      <c r="N1221" s="2"/>
      <c r="O1221" s="2" t="str">
        <f ca="1">IFERROR(__xludf.DUMMYFUNCTION("""COMPUTED_VALUE"""),"Filtrado Tang")</f>
        <v>Filtrado Tang</v>
      </c>
      <c r="P1221" s="2" t="str">
        <f ca="1">IFERROR(__xludf.DUMMYFUNCTION("""COMPUTED_VALUE"""),"Filtrado Tang")</f>
        <v>Filtrado Tang</v>
      </c>
      <c r="Q1221" s="2" t="b">
        <f ca="1">IFERROR(__xludf.DUMMYFUNCTION("""COMPUTED_VALUE"""),TRUE)</f>
        <v>1</v>
      </c>
      <c r="R1221" s="2" t="str">
        <f ca="1">IFERROR(__xludf.DUMMYFUNCTION("""COMPUTED_VALUE"""),"Filtrado Tang")</f>
        <v>Filtrado Tang</v>
      </c>
      <c r="S1221" s="2"/>
      <c r="T1221" s="2"/>
      <c r="U1221" s="2" t="str">
        <f ca="1">IFERROR(__xludf.DUMMYFUNCTION("""COMPUTED_VALUE"""),"1")</f>
        <v>1</v>
      </c>
    </row>
    <row r="1222" spans="1:21" x14ac:dyDescent="0.25">
      <c r="A1222" s="2" t="str">
        <f ca="1">IFERROR(__xludf.DUMMYFUNCTION("""COMPUTED_VALUE"""),"4722d5c3")</f>
        <v>4722d5c3</v>
      </c>
      <c r="B1222" s="5">
        <f ca="1">IFERROR(__xludf.DUMMYFUNCTION("""COMPUTED_VALUE"""),46077.7878472222)</f>
        <v>46077.7878472222</v>
      </c>
      <c r="C1222" s="2" t="str">
        <f ca="1">IFERROR(__xludf.DUMMYFUNCTION("""COMPUTED_VALUE"""),"2a1b9079")</f>
        <v>2a1b9079</v>
      </c>
      <c r="D1222" s="2">
        <f ca="1">IFERROR(__xludf.DUMMYFUNCTION("""COMPUTED_VALUE"""),35)</f>
        <v>35</v>
      </c>
      <c r="E1222" s="2" t="str">
        <f ca="1">IFERROR(__xludf.DUMMYFUNCTION("""COMPUTED_VALUE"""),"Malbec")</f>
        <v>Malbec</v>
      </c>
      <c r="F1222" s="2">
        <f ca="1">IFERROR(__xludf.DUMMYFUNCTION("""COMPUTED_VALUE"""),19650)</f>
        <v>19650</v>
      </c>
      <c r="G1222" s="2">
        <f ca="1">IFERROR(__xludf.DUMMYFUNCTION("""COMPUTED_VALUE"""),26)</f>
        <v>26</v>
      </c>
      <c r="H1222" s="2" t="str">
        <f ca="1">IFERROR(__xludf.DUMMYFUNCTION("""COMPUTED_VALUE"""),"a777b47f")</f>
        <v>a777b47f</v>
      </c>
      <c r="I1222" s="2" t="str">
        <f ca="1">IFERROR(__xludf.DUMMYFUNCTION("""COMPUTED_VALUE"""),"Tinto Varietal B")</f>
        <v>Tinto Varietal B</v>
      </c>
      <c r="J1222" s="2">
        <f ca="1">IFERROR(__xludf.DUMMYFUNCTION("""COMPUTED_VALUE"""),12650)</f>
        <v>12650</v>
      </c>
      <c r="K1222" s="2">
        <f ca="1">IFERROR(__xludf.DUMMYFUNCTION("""COMPUTED_VALUE"""),32300)</f>
        <v>32300</v>
      </c>
      <c r="L1222" s="2" t="str">
        <f ca="1">IFERROR(__xludf.DUMMYFUNCTION("""COMPUTED_VALUE"""),"a70d7cfb")</f>
        <v>a70d7cfb</v>
      </c>
      <c r="M1222" s="2" t="str">
        <f ca="1">IFERROR(__xludf.DUMMYFUNCTION("""COMPUTED_VALUE"""),"Tinto Varietal B")</f>
        <v>Tinto Varietal B</v>
      </c>
      <c r="N1222" s="2"/>
      <c r="O1222" s="2" t="str">
        <f ca="1">IFERROR(__xludf.DUMMYFUNCTION("""COMPUTED_VALUE"""),"Filtrado Tang")</f>
        <v>Filtrado Tang</v>
      </c>
      <c r="P1222" s="2" t="str">
        <f ca="1">IFERROR(__xludf.DUMMYFUNCTION("""COMPUTED_VALUE"""),"Filtrado Tang")</f>
        <v>Filtrado Tang</v>
      </c>
      <c r="Q1222" s="2" t="b">
        <f ca="1">IFERROR(__xludf.DUMMYFUNCTION("""COMPUTED_VALUE"""),TRUE)</f>
        <v>1</v>
      </c>
      <c r="R1222" s="2" t="str">
        <f ca="1">IFERROR(__xludf.DUMMYFUNCTION("""COMPUTED_VALUE"""),"Filtrado Tang")</f>
        <v>Filtrado Tang</v>
      </c>
      <c r="S1222" s="2"/>
      <c r="T1222" s="2"/>
      <c r="U1222" s="2" t="str">
        <f ca="1">IFERROR(__xludf.DUMMYFUNCTION("""COMPUTED_VALUE"""),"1")</f>
        <v>1</v>
      </c>
    </row>
    <row r="1223" spans="1:21" x14ac:dyDescent="0.25">
      <c r="A1223" s="2" t="str">
        <f ca="1">IFERROR(__xludf.DUMMYFUNCTION("""COMPUTED_VALUE"""),"c3a03b9c")</f>
        <v>c3a03b9c</v>
      </c>
      <c r="B1223" s="5">
        <f ca="1">IFERROR(__xludf.DUMMYFUNCTION("""COMPUTED_VALUE"""),46077.7881134259)</f>
        <v>46077.788113425901</v>
      </c>
      <c r="C1223" s="2" t="str">
        <f ca="1">IFERROR(__xludf.DUMMYFUNCTION("""COMPUTED_VALUE"""),"4cd7ad7c")</f>
        <v>4cd7ad7c</v>
      </c>
      <c r="D1223" s="2">
        <f ca="1">IFERROR(__xludf.DUMMYFUNCTION("""COMPUTED_VALUE"""),50)</f>
        <v>50</v>
      </c>
      <c r="E1223" s="2" t="str">
        <f ca="1">IFERROR(__xludf.DUMMYFUNCTION("""COMPUTED_VALUE"""),"Syrah")</f>
        <v>Syrah</v>
      </c>
      <c r="F1223" s="2">
        <f ca="1">IFERROR(__xludf.DUMMYFUNCTION("""COMPUTED_VALUE"""),2500)</f>
        <v>2500</v>
      </c>
      <c r="G1223" s="2">
        <f ca="1">IFERROR(__xludf.DUMMYFUNCTION("""COMPUTED_VALUE"""),25)</f>
        <v>25</v>
      </c>
      <c r="H1223" s="2" t="str">
        <f ca="1">IFERROR(__xludf.DUMMYFUNCTION("""COMPUTED_VALUE"""),"1c14b6c9")</f>
        <v>1c14b6c9</v>
      </c>
      <c r="I1223" s="2" t="str">
        <f ca="1">IFERROR(__xludf.DUMMYFUNCTION("""COMPUTED_VALUE"""),"Tinto Varietal B")</f>
        <v>Tinto Varietal B</v>
      </c>
      <c r="J1223" s="2">
        <f ca="1">IFERROR(__xludf.DUMMYFUNCTION("""COMPUTED_VALUE"""),32300)</f>
        <v>32300</v>
      </c>
      <c r="K1223" s="2">
        <f ca="1">IFERROR(__xludf.DUMMYFUNCTION("""COMPUTED_VALUE"""),34800)</f>
        <v>34800</v>
      </c>
      <c r="L1223" s="2" t="str">
        <f ca="1">IFERROR(__xludf.DUMMYFUNCTION("""COMPUTED_VALUE"""),"fe027397")</f>
        <v>fe027397</v>
      </c>
      <c r="M1223" s="2" t="str">
        <f ca="1">IFERROR(__xludf.DUMMYFUNCTION("""COMPUTED_VALUE"""),"Tinto Varietal B")</f>
        <v>Tinto Varietal B</v>
      </c>
      <c r="N1223" s="2"/>
      <c r="O1223" s="2" t="str">
        <f ca="1">IFERROR(__xludf.DUMMYFUNCTION("""COMPUTED_VALUE"""),"Filtrado Tang")</f>
        <v>Filtrado Tang</v>
      </c>
      <c r="P1223" s="2" t="str">
        <f ca="1">IFERROR(__xludf.DUMMYFUNCTION("""COMPUTED_VALUE"""),"Filtrado Tang")</f>
        <v>Filtrado Tang</v>
      </c>
      <c r="Q1223" s="2" t="b">
        <f ca="1">IFERROR(__xludf.DUMMYFUNCTION("""COMPUTED_VALUE"""),TRUE)</f>
        <v>1</v>
      </c>
      <c r="R1223" s="2" t="str">
        <f ca="1">IFERROR(__xludf.DUMMYFUNCTION("""COMPUTED_VALUE"""),"Filtrado Tang")</f>
        <v>Filtrado Tang</v>
      </c>
      <c r="S1223" s="2"/>
      <c r="T1223" s="2"/>
      <c r="U1223" s="2" t="str">
        <f ca="1">IFERROR(__xludf.DUMMYFUNCTION("""COMPUTED_VALUE"""),"1")</f>
        <v>1</v>
      </c>
    </row>
    <row r="1224" spans="1:21" x14ac:dyDescent="0.25">
      <c r="A1224" s="2" t="str">
        <f ca="1">IFERROR(__xludf.DUMMYFUNCTION("""COMPUTED_VALUE"""),"ea43ad86")</f>
        <v>ea43ad86</v>
      </c>
      <c r="B1224" s="5">
        <f ca="1">IFERROR(__xludf.DUMMYFUNCTION("""COMPUTED_VALUE"""),46077.7882638887)</f>
        <v>46077.788263888797</v>
      </c>
      <c r="C1224" s="2" t="str">
        <f ca="1">IFERROR(__xludf.DUMMYFUNCTION("""COMPUTED_VALUE"""),"4cd7ad7c")</f>
        <v>4cd7ad7c</v>
      </c>
      <c r="D1224" s="2">
        <f ca="1">IFERROR(__xludf.DUMMYFUNCTION("""COMPUTED_VALUE"""),50)</f>
        <v>50</v>
      </c>
      <c r="E1224" s="2" t="str">
        <f ca="1">IFERROR(__xludf.DUMMYFUNCTION("""COMPUTED_VALUE"""),"Syrah")</f>
        <v>Syrah</v>
      </c>
      <c r="F1224" s="2">
        <f ca="1">IFERROR(__xludf.DUMMYFUNCTION("""COMPUTED_VALUE"""),2600)</f>
        <v>2600</v>
      </c>
      <c r="G1224" s="2">
        <f ca="1">IFERROR(__xludf.DUMMYFUNCTION("""COMPUTED_VALUE"""),26)</f>
        <v>26</v>
      </c>
      <c r="H1224" s="2" t="str">
        <f ca="1">IFERROR(__xludf.DUMMYFUNCTION("""COMPUTED_VALUE"""),"a70d7cfb")</f>
        <v>a70d7cfb</v>
      </c>
      <c r="I1224" s="2" t="str">
        <f ca="1">IFERROR(__xludf.DUMMYFUNCTION("""COMPUTED_VALUE"""),"Tinto Varietal B")</f>
        <v>Tinto Varietal B</v>
      </c>
      <c r="J1224" s="2">
        <f ca="1">IFERROR(__xludf.DUMMYFUNCTION("""COMPUTED_VALUE"""),32300)</f>
        <v>32300</v>
      </c>
      <c r="K1224" s="2">
        <f ca="1">IFERROR(__xludf.DUMMYFUNCTION("""COMPUTED_VALUE"""),34900)</f>
        <v>34900</v>
      </c>
      <c r="L1224" s="2" t="str">
        <f ca="1">IFERROR(__xludf.DUMMYFUNCTION("""COMPUTED_VALUE"""),"ab2f6072")</f>
        <v>ab2f6072</v>
      </c>
      <c r="M1224" s="2" t="str">
        <f ca="1">IFERROR(__xludf.DUMMYFUNCTION("""COMPUTED_VALUE"""),"Tinto Varietal B")</f>
        <v>Tinto Varietal B</v>
      </c>
      <c r="N1224" s="2"/>
      <c r="O1224" s="2" t="str">
        <f ca="1">IFERROR(__xludf.DUMMYFUNCTION("""COMPUTED_VALUE"""),"Filtrado Tang")</f>
        <v>Filtrado Tang</v>
      </c>
      <c r="P1224" s="2" t="str">
        <f ca="1">IFERROR(__xludf.DUMMYFUNCTION("""COMPUTED_VALUE"""),"Filtrado Tang")</f>
        <v>Filtrado Tang</v>
      </c>
      <c r="Q1224" s="2" t="b">
        <f ca="1">IFERROR(__xludf.DUMMYFUNCTION("""COMPUTED_VALUE"""),TRUE)</f>
        <v>1</v>
      </c>
      <c r="R1224" s="2" t="str">
        <f ca="1">IFERROR(__xludf.DUMMYFUNCTION("""COMPUTED_VALUE"""),"Filtrado Tang")</f>
        <v>Filtrado Tang</v>
      </c>
      <c r="S1224" s="2"/>
      <c r="T1224" s="2"/>
      <c r="U1224" s="2" t="str">
        <f ca="1">IFERROR(__xludf.DUMMYFUNCTION("""COMPUTED_VALUE"""),"1")</f>
        <v>1</v>
      </c>
    </row>
    <row r="1225" spans="1:21" x14ac:dyDescent="0.25">
      <c r="A1225" s="2" t="str">
        <f ca="1">IFERROR(__xludf.DUMMYFUNCTION("""COMPUTED_VALUE"""),"aa778829")</f>
        <v>aa778829</v>
      </c>
      <c r="B1225" s="5">
        <f ca="1">IFERROR(__xludf.DUMMYFUNCTION("""COMPUTED_VALUE"""),46077.7885069444)</f>
        <v>46077.788506944402</v>
      </c>
      <c r="C1225" s="2" t="str">
        <f ca="1">IFERROR(__xludf.DUMMYFUNCTION("""COMPUTED_VALUE"""),"27f50d27")</f>
        <v>27f50d27</v>
      </c>
      <c r="D1225" s="2">
        <f ca="1">IFERROR(__xludf.DUMMYFUNCTION("""COMPUTED_VALUE"""),51)</f>
        <v>51</v>
      </c>
      <c r="E1225" s="2" t="str">
        <f ca="1">IFERROR(__xludf.DUMMYFUNCTION("""COMPUTED_VALUE"""),"Anccelotta Aspirant")</f>
        <v>Anccelotta Aspirant</v>
      </c>
      <c r="F1225" s="2">
        <f ca="1">IFERROR(__xludf.DUMMYFUNCTION("""COMPUTED_VALUE"""),1950)</f>
        <v>1950</v>
      </c>
      <c r="G1225" s="2">
        <f ca="1">IFERROR(__xludf.DUMMYFUNCTION("""COMPUTED_VALUE"""),25)</f>
        <v>25</v>
      </c>
      <c r="H1225" s="2" t="str">
        <f ca="1">IFERROR(__xludf.DUMMYFUNCTION("""COMPUTED_VALUE"""),"fe027397")</f>
        <v>fe027397</v>
      </c>
      <c r="I1225" s="2" t="str">
        <f ca="1">IFERROR(__xludf.DUMMYFUNCTION("""COMPUTED_VALUE"""),"Tinto Varietal B")</f>
        <v>Tinto Varietal B</v>
      </c>
      <c r="J1225" s="2">
        <f ca="1">IFERROR(__xludf.DUMMYFUNCTION("""COMPUTED_VALUE"""),34800)</f>
        <v>34800</v>
      </c>
      <c r="K1225" s="2">
        <f ca="1">IFERROR(__xludf.DUMMYFUNCTION("""COMPUTED_VALUE"""),36750)</f>
        <v>36750</v>
      </c>
      <c r="L1225" s="2" t="str">
        <f ca="1">IFERROR(__xludf.DUMMYFUNCTION("""COMPUTED_VALUE"""),"c842d562")</f>
        <v>c842d562</v>
      </c>
      <c r="M1225" s="2" t="str">
        <f ca="1">IFERROR(__xludf.DUMMYFUNCTION("""COMPUTED_VALUE"""),"Tinto Varietal B")</f>
        <v>Tinto Varietal B</v>
      </c>
      <c r="N1225" s="2"/>
      <c r="O1225" s="2" t="str">
        <f ca="1">IFERROR(__xludf.DUMMYFUNCTION("""COMPUTED_VALUE"""),"Filtrado Tang")</f>
        <v>Filtrado Tang</v>
      </c>
      <c r="P1225" s="2" t="str">
        <f ca="1">IFERROR(__xludf.DUMMYFUNCTION("""COMPUTED_VALUE"""),"Filtrado Tang")</f>
        <v>Filtrado Tang</v>
      </c>
      <c r="Q1225" s="2" t="b">
        <f ca="1">IFERROR(__xludf.DUMMYFUNCTION("""COMPUTED_VALUE"""),TRUE)</f>
        <v>1</v>
      </c>
      <c r="R1225" s="2" t="str">
        <f ca="1">IFERROR(__xludf.DUMMYFUNCTION("""COMPUTED_VALUE"""),"Filtrado Tang")</f>
        <v>Filtrado Tang</v>
      </c>
      <c r="S1225" s="2"/>
      <c r="T1225" s="2"/>
      <c r="U1225" s="2" t="str">
        <f ca="1">IFERROR(__xludf.DUMMYFUNCTION("""COMPUTED_VALUE"""),"1")</f>
        <v>1</v>
      </c>
    </row>
    <row r="1226" spans="1:21" x14ac:dyDescent="0.25">
      <c r="A1226" s="2" t="str">
        <f ca="1">IFERROR(__xludf.DUMMYFUNCTION("""COMPUTED_VALUE"""),"70f7129c")</f>
        <v>70f7129c</v>
      </c>
      <c r="B1226" s="5">
        <f ca="1">IFERROR(__xludf.DUMMYFUNCTION("""COMPUTED_VALUE"""),46077.78875)</f>
        <v>46077.78875</v>
      </c>
      <c r="C1226" s="2" t="str">
        <f ca="1">IFERROR(__xludf.DUMMYFUNCTION("""COMPUTED_VALUE"""),"27f50d27")</f>
        <v>27f50d27</v>
      </c>
      <c r="D1226" s="2">
        <f ca="1">IFERROR(__xludf.DUMMYFUNCTION("""COMPUTED_VALUE"""),51)</f>
        <v>51</v>
      </c>
      <c r="E1226" s="2" t="str">
        <f ca="1">IFERROR(__xludf.DUMMYFUNCTION("""COMPUTED_VALUE"""),"Anccelotta Aspirant")</f>
        <v>Anccelotta Aspirant</v>
      </c>
      <c r="F1226" s="2">
        <f ca="1">IFERROR(__xludf.DUMMYFUNCTION("""COMPUTED_VALUE"""),1950)</f>
        <v>1950</v>
      </c>
      <c r="G1226" s="2">
        <f ca="1">IFERROR(__xludf.DUMMYFUNCTION("""COMPUTED_VALUE"""),26)</f>
        <v>26</v>
      </c>
      <c r="H1226" s="2" t="str">
        <f ca="1">IFERROR(__xludf.DUMMYFUNCTION("""COMPUTED_VALUE"""),"ab2f6072")</f>
        <v>ab2f6072</v>
      </c>
      <c r="I1226" s="2" t="str">
        <f ca="1">IFERROR(__xludf.DUMMYFUNCTION("""COMPUTED_VALUE"""),"Tinto Varietal B")</f>
        <v>Tinto Varietal B</v>
      </c>
      <c r="J1226" s="2">
        <f ca="1">IFERROR(__xludf.DUMMYFUNCTION("""COMPUTED_VALUE"""),34900)</f>
        <v>34900</v>
      </c>
      <c r="K1226" s="2">
        <f ca="1">IFERROR(__xludf.DUMMYFUNCTION("""COMPUTED_VALUE"""),36850)</f>
        <v>36850</v>
      </c>
      <c r="L1226" s="2" t="str">
        <f ca="1">IFERROR(__xludf.DUMMYFUNCTION("""COMPUTED_VALUE"""),"3310e6c9")</f>
        <v>3310e6c9</v>
      </c>
      <c r="M1226" s="2" t="str">
        <f ca="1">IFERROR(__xludf.DUMMYFUNCTION("""COMPUTED_VALUE"""),"Tinto Varietal B")</f>
        <v>Tinto Varietal B</v>
      </c>
      <c r="N1226" s="2"/>
      <c r="O1226" s="2" t="str">
        <f ca="1">IFERROR(__xludf.DUMMYFUNCTION("""COMPUTED_VALUE"""),"Filtrado Tang")</f>
        <v>Filtrado Tang</v>
      </c>
      <c r="P1226" s="2" t="str">
        <f ca="1">IFERROR(__xludf.DUMMYFUNCTION("""COMPUTED_VALUE"""),"Filtrado Tang")</f>
        <v>Filtrado Tang</v>
      </c>
      <c r="Q1226" s="2" t="b">
        <f ca="1">IFERROR(__xludf.DUMMYFUNCTION("""COMPUTED_VALUE"""),TRUE)</f>
        <v>1</v>
      </c>
      <c r="R1226" s="2" t="str">
        <f ca="1">IFERROR(__xludf.DUMMYFUNCTION("""COMPUTED_VALUE"""),"Filtrado Tang")</f>
        <v>Filtrado Tang</v>
      </c>
      <c r="S1226" s="2"/>
      <c r="T1226" s="2"/>
      <c r="U1226" s="2" t="str">
        <f ca="1">IFERROR(__xludf.DUMMYFUNCTION("""COMPUTED_VALUE"""),"1")</f>
        <v>1</v>
      </c>
    </row>
    <row r="1227" spans="1:21" x14ac:dyDescent="0.25">
      <c r="A1227" s="2" t="str">
        <f ca="1">IFERROR(__xludf.DUMMYFUNCTION("""COMPUTED_VALUE"""),"744e925c")</f>
        <v>744e925c</v>
      </c>
      <c r="B1227" s="5">
        <f ca="1">IFERROR(__xludf.DUMMYFUNCTION("""COMPUTED_VALUE"""),46077.7889699074)</f>
        <v>46077.7889699074</v>
      </c>
      <c r="C1227" s="2" t="str">
        <f ca="1">IFERROR(__xludf.DUMMYFUNCTION("""COMPUTED_VALUE"""),"60d69641")</f>
        <v>60d69641</v>
      </c>
      <c r="D1227" s="2">
        <f ca="1">IFERROR(__xludf.DUMMYFUNCTION("""COMPUTED_VALUE"""),52)</f>
        <v>52</v>
      </c>
      <c r="E1227" s="2" t="str">
        <f ca="1">IFERROR(__xludf.DUMMYFUNCTION("""COMPUTED_VALUE"""),"Anccelotta Aspirant")</f>
        <v>Anccelotta Aspirant</v>
      </c>
      <c r="F1227" s="2">
        <f ca="1">IFERROR(__xludf.DUMMYFUNCTION("""COMPUTED_VALUE"""),6700)</f>
        <v>6700</v>
      </c>
      <c r="G1227" s="2">
        <f ca="1">IFERROR(__xludf.DUMMYFUNCTION("""COMPUTED_VALUE"""),25)</f>
        <v>25</v>
      </c>
      <c r="H1227" s="2" t="str">
        <f ca="1">IFERROR(__xludf.DUMMYFUNCTION("""COMPUTED_VALUE"""),"c842d562")</f>
        <v>c842d562</v>
      </c>
      <c r="I1227" s="2" t="str">
        <f ca="1">IFERROR(__xludf.DUMMYFUNCTION("""COMPUTED_VALUE"""),"Tinto Varietal B")</f>
        <v>Tinto Varietal B</v>
      </c>
      <c r="J1227" s="2">
        <f ca="1">IFERROR(__xludf.DUMMYFUNCTION("""COMPUTED_VALUE"""),36750)</f>
        <v>36750</v>
      </c>
      <c r="K1227" s="2">
        <f ca="1">IFERROR(__xludf.DUMMYFUNCTION("""COMPUTED_VALUE"""),43450)</f>
        <v>43450</v>
      </c>
      <c r="L1227" s="2" t="str">
        <f ca="1">IFERROR(__xludf.DUMMYFUNCTION("""COMPUTED_VALUE"""),"942e38dd")</f>
        <v>942e38dd</v>
      </c>
      <c r="M1227" s="2" t="str">
        <f ca="1">IFERROR(__xludf.DUMMYFUNCTION("""COMPUTED_VALUE"""),"Tinto Varietal B")</f>
        <v>Tinto Varietal B</v>
      </c>
      <c r="N1227" s="2"/>
      <c r="O1227" s="2" t="str">
        <f ca="1">IFERROR(__xludf.DUMMYFUNCTION("""COMPUTED_VALUE"""),"Filtrado Tang")</f>
        <v>Filtrado Tang</v>
      </c>
      <c r="P1227" s="2" t="str">
        <f ca="1">IFERROR(__xludf.DUMMYFUNCTION("""COMPUTED_VALUE"""),"Filtrado Tang")</f>
        <v>Filtrado Tang</v>
      </c>
      <c r="Q1227" s="2" t="b">
        <f ca="1">IFERROR(__xludf.DUMMYFUNCTION("""COMPUTED_VALUE"""),TRUE)</f>
        <v>1</v>
      </c>
      <c r="R1227" s="2" t="str">
        <f ca="1">IFERROR(__xludf.DUMMYFUNCTION("""COMPUTED_VALUE"""),"Filtrado Tang")</f>
        <v>Filtrado Tang</v>
      </c>
      <c r="S1227" s="2"/>
      <c r="T1227" s="2"/>
      <c r="U1227" s="2" t="str">
        <f ca="1">IFERROR(__xludf.DUMMYFUNCTION("""COMPUTED_VALUE"""),"1")</f>
        <v>1</v>
      </c>
    </row>
    <row r="1228" spans="1:21" x14ac:dyDescent="0.25">
      <c r="A1228" s="2" t="str">
        <f ca="1">IFERROR(__xludf.DUMMYFUNCTION("""COMPUTED_VALUE"""),"1911d39e")</f>
        <v>1911d39e</v>
      </c>
      <c r="B1228" s="5">
        <f ca="1">IFERROR(__xludf.DUMMYFUNCTION("""COMPUTED_VALUE"""),46077.7892592592)</f>
        <v>46077.789259259203</v>
      </c>
      <c r="C1228" s="2" t="str">
        <f ca="1">IFERROR(__xludf.DUMMYFUNCTION("""COMPUTED_VALUE"""),"60d69641")</f>
        <v>60d69641</v>
      </c>
      <c r="D1228" s="2">
        <f ca="1">IFERROR(__xludf.DUMMYFUNCTION("""COMPUTED_VALUE"""),52)</f>
        <v>52</v>
      </c>
      <c r="E1228" s="2" t="str">
        <f ca="1">IFERROR(__xludf.DUMMYFUNCTION("""COMPUTED_VALUE"""),"Anccelotta Aspirant")</f>
        <v>Anccelotta Aspirant</v>
      </c>
      <c r="F1228" s="2">
        <f ca="1">IFERROR(__xludf.DUMMYFUNCTION("""COMPUTED_VALUE"""),6800)</f>
        <v>6800</v>
      </c>
      <c r="G1228" s="2">
        <f ca="1">IFERROR(__xludf.DUMMYFUNCTION("""COMPUTED_VALUE"""),26)</f>
        <v>26</v>
      </c>
      <c r="H1228" s="2" t="str">
        <f ca="1">IFERROR(__xludf.DUMMYFUNCTION("""COMPUTED_VALUE"""),"3310e6c9")</f>
        <v>3310e6c9</v>
      </c>
      <c r="I1228" s="2" t="str">
        <f ca="1">IFERROR(__xludf.DUMMYFUNCTION("""COMPUTED_VALUE"""),"Tinto Varietal B")</f>
        <v>Tinto Varietal B</v>
      </c>
      <c r="J1228" s="2">
        <f ca="1">IFERROR(__xludf.DUMMYFUNCTION("""COMPUTED_VALUE"""),36850)</f>
        <v>36850</v>
      </c>
      <c r="K1228" s="2">
        <f ca="1">IFERROR(__xludf.DUMMYFUNCTION("""COMPUTED_VALUE"""),43650)</f>
        <v>43650</v>
      </c>
      <c r="L1228" s="2" t="str">
        <f ca="1">IFERROR(__xludf.DUMMYFUNCTION("""COMPUTED_VALUE"""),"6f46463d")</f>
        <v>6f46463d</v>
      </c>
      <c r="M1228" s="2" t="str">
        <f ca="1">IFERROR(__xludf.DUMMYFUNCTION("""COMPUTED_VALUE"""),"Tinto Varietal B")</f>
        <v>Tinto Varietal B</v>
      </c>
      <c r="N1228" s="2"/>
      <c r="O1228" s="2" t="str">
        <f ca="1">IFERROR(__xludf.DUMMYFUNCTION("""COMPUTED_VALUE"""),"Filtrado Tang")</f>
        <v>Filtrado Tang</v>
      </c>
      <c r="P1228" s="2" t="str">
        <f ca="1">IFERROR(__xludf.DUMMYFUNCTION("""COMPUTED_VALUE"""),"Filtrado Tang")</f>
        <v>Filtrado Tang</v>
      </c>
      <c r="Q1228" s="2" t="b">
        <f ca="1">IFERROR(__xludf.DUMMYFUNCTION("""COMPUTED_VALUE"""),TRUE)</f>
        <v>1</v>
      </c>
      <c r="R1228" s="2" t="str">
        <f ca="1">IFERROR(__xludf.DUMMYFUNCTION("""COMPUTED_VALUE"""),"Filtrado Tang")</f>
        <v>Filtrado Tang</v>
      </c>
      <c r="S1228" s="2"/>
      <c r="T1228" s="2"/>
      <c r="U1228" s="2" t="str">
        <f ca="1">IFERROR(__xludf.DUMMYFUNCTION("""COMPUTED_VALUE"""),"1")</f>
        <v>1</v>
      </c>
    </row>
    <row r="1229" spans="1:21" x14ac:dyDescent="0.25">
      <c r="A1229" s="2" t="str">
        <f ca="1">IFERROR(__xludf.DUMMYFUNCTION("""COMPUTED_VALUE"""),"e95faee7")</f>
        <v>e95faee7</v>
      </c>
      <c r="B1229" s="5">
        <f ca="1">IFERROR(__xludf.DUMMYFUNCTION("""COMPUTED_VALUE"""),46077.7896527777)</f>
        <v>46077.789652777697</v>
      </c>
      <c r="C1229" s="2" t="str">
        <f ca="1">IFERROR(__xludf.DUMMYFUNCTION("""COMPUTED_VALUE"""),"b9a490b9")</f>
        <v>b9a490b9</v>
      </c>
      <c r="D1229" s="2">
        <f ca="1">IFERROR(__xludf.DUMMYFUNCTION("""COMPUTED_VALUE"""),74)</f>
        <v>74</v>
      </c>
      <c r="E1229" s="2" t="str">
        <f ca="1">IFERROR(__xludf.DUMMYFUNCTION("""COMPUTED_VALUE"""),"Cabernet Sauvignon")</f>
        <v>Cabernet Sauvignon</v>
      </c>
      <c r="F1229" s="2">
        <f ca="1">IFERROR(__xludf.DUMMYFUNCTION("""COMPUTED_VALUE"""),5000)</f>
        <v>5000</v>
      </c>
      <c r="G1229" s="2">
        <f ca="1">IFERROR(__xludf.DUMMYFUNCTION("""COMPUTED_VALUE"""),25)</f>
        <v>25</v>
      </c>
      <c r="H1229" s="2" t="str">
        <f ca="1">IFERROR(__xludf.DUMMYFUNCTION("""COMPUTED_VALUE"""),"942e38dd")</f>
        <v>942e38dd</v>
      </c>
      <c r="I1229" s="2" t="str">
        <f ca="1">IFERROR(__xludf.DUMMYFUNCTION("""COMPUTED_VALUE"""),"Tinto Varietal B")</f>
        <v>Tinto Varietal B</v>
      </c>
      <c r="J1229" s="2">
        <f ca="1">IFERROR(__xludf.DUMMYFUNCTION("""COMPUTED_VALUE"""),43450)</f>
        <v>43450</v>
      </c>
      <c r="K1229" s="2">
        <f ca="1">IFERROR(__xludf.DUMMYFUNCTION("""COMPUTED_VALUE"""),48450)</f>
        <v>48450</v>
      </c>
      <c r="L1229" s="2" t="str">
        <f ca="1">IFERROR(__xludf.DUMMYFUNCTION("""COMPUTED_VALUE"""),"f41fab4c")</f>
        <v>f41fab4c</v>
      </c>
      <c r="M1229" s="2" t="str">
        <f ca="1">IFERROR(__xludf.DUMMYFUNCTION("""COMPUTED_VALUE"""),"Tinto Varietal B")</f>
        <v>Tinto Varietal B</v>
      </c>
      <c r="N1229" s="2"/>
      <c r="O1229" s="2" t="str">
        <f ca="1">IFERROR(__xludf.DUMMYFUNCTION("""COMPUTED_VALUE"""),"Filtrado Tang")</f>
        <v>Filtrado Tang</v>
      </c>
      <c r="P1229" s="2" t="str">
        <f ca="1">IFERROR(__xludf.DUMMYFUNCTION("""COMPUTED_VALUE"""),"Filtrado Tang")</f>
        <v>Filtrado Tang</v>
      </c>
      <c r="Q1229" s="2" t="b">
        <f ca="1">IFERROR(__xludf.DUMMYFUNCTION("""COMPUTED_VALUE"""),TRUE)</f>
        <v>1</v>
      </c>
      <c r="R1229" s="2" t="str">
        <f ca="1">IFERROR(__xludf.DUMMYFUNCTION("""COMPUTED_VALUE"""),"Filtrado Tang")</f>
        <v>Filtrado Tang</v>
      </c>
      <c r="S1229" s="2"/>
      <c r="T1229" s="2"/>
      <c r="U1229" s="2" t="str">
        <f ca="1">IFERROR(__xludf.DUMMYFUNCTION("""COMPUTED_VALUE"""),"1")</f>
        <v>1</v>
      </c>
    </row>
    <row r="1230" spans="1:21" x14ac:dyDescent="0.25">
      <c r="A1230" s="2" t="str">
        <f ca="1">IFERROR(__xludf.DUMMYFUNCTION("""COMPUTED_VALUE"""),"ede32411")</f>
        <v>ede32411</v>
      </c>
      <c r="B1230" s="5">
        <f ca="1">IFERROR(__xludf.DUMMYFUNCTION("""COMPUTED_VALUE"""),46077.7898148148)</f>
        <v>46077.789814814802</v>
      </c>
      <c r="C1230" s="2" t="str">
        <f ca="1">IFERROR(__xludf.DUMMYFUNCTION("""COMPUTED_VALUE"""),"b9a490b9")</f>
        <v>b9a490b9</v>
      </c>
      <c r="D1230" s="2">
        <f ca="1">IFERROR(__xludf.DUMMYFUNCTION("""COMPUTED_VALUE"""),74)</f>
        <v>74</v>
      </c>
      <c r="E1230" s="2" t="str">
        <f ca="1">IFERROR(__xludf.DUMMYFUNCTION("""COMPUTED_VALUE"""),"Cabernet Sauvignon")</f>
        <v>Cabernet Sauvignon</v>
      </c>
      <c r="F1230" s="2">
        <f ca="1">IFERROR(__xludf.DUMMYFUNCTION("""COMPUTED_VALUE"""),5000)</f>
        <v>5000</v>
      </c>
      <c r="G1230" s="2">
        <f ca="1">IFERROR(__xludf.DUMMYFUNCTION("""COMPUTED_VALUE"""),26)</f>
        <v>26</v>
      </c>
      <c r="H1230" s="2" t="str">
        <f ca="1">IFERROR(__xludf.DUMMYFUNCTION("""COMPUTED_VALUE"""),"6f46463d")</f>
        <v>6f46463d</v>
      </c>
      <c r="I1230" s="2" t="str">
        <f ca="1">IFERROR(__xludf.DUMMYFUNCTION("""COMPUTED_VALUE"""),"Tinto Varietal B")</f>
        <v>Tinto Varietal B</v>
      </c>
      <c r="J1230" s="2">
        <f ca="1">IFERROR(__xludf.DUMMYFUNCTION("""COMPUTED_VALUE"""),43650)</f>
        <v>43650</v>
      </c>
      <c r="K1230" s="2">
        <f ca="1">IFERROR(__xludf.DUMMYFUNCTION("""COMPUTED_VALUE"""),48650)</f>
        <v>48650</v>
      </c>
      <c r="L1230" s="2" t="str">
        <f ca="1">IFERROR(__xludf.DUMMYFUNCTION("""COMPUTED_VALUE"""),"347d083c")</f>
        <v>347d083c</v>
      </c>
      <c r="M1230" s="2" t="str">
        <f ca="1">IFERROR(__xludf.DUMMYFUNCTION("""COMPUTED_VALUE"""),"Tinto Varietal B")</f>
        <v>Tinto Varietal B</v>
      </c>
      <c r="N1230" s="2"/>
      <c r="O1230" s="2" t="str">
        <f ca="1">IFERROR(__xludf.DUMMYFUNCTION("""COMPUTED_VALUE"""),"Filtrado Tang")</f>
        <v>Filtrado Tang</v>
      </c>
      <c r="P1230" s="2" t="str">
        <f ca="1">IFERROR(__xludf.DUMMYFUNCTION("""COMPUTED_VALUE"""),"Filtrado Tang")</f>
        <v>Filtrado Tang</v>
      </c>
      <c r="Q1230" s="2" t="b">
        <f ca="1">IFERROR(__xludf.DUMMYFUNCTION("""COMPUTED_VALUE"""),TRUE)</f>
        <v>1</v>
      </c>
      <c r="R1230" s="2" t="str">
        <f ca="1">IFERROR(__xludf.DUMMYFUNCTION("""COMPUTED_VALUE"""),"Filtrado Tang")</f>
        <v>Filtrado Tang</v>
      </c>
      <c r="S1230" s="2"/>
      <c r="T1230" s="2"/>
      <c r="U1230" s="2" t="str">
        <f ca="1">IFERROR(__xludf.DUMMYFUNCTION("""COMPUTED_VALUE"""),"1")</f>
        <v>1</v>
      </c>
    </row>
    <row r="1231" spans="1:21" x14ac:dyDescent="0.25">
      <c r="A1231" s="2" t="str">
        <f ca="1">IFERROR(__xludf.DUMMYFUNCTION("""COMPUTED_VALUE"""),"60ba0e5f")</f>
        <v>60ba0e5f</v>
      </c>
      <c r="B1231" s="5">
        <f ca="1">IFERROR(__xludf.DUMMYFUNCTION("""COMPUTED_VALUE"""),46077.7901967592)</f>
        <v>46077.790196759197</v>
      </c>
      <c r="C1231" s="2" t="str">
        <f ca="1">IFERROR(__xludf.DUMMYFUNCTION("""COMPUTED_VALUE"""),"974d59a2")</f>
        <v>974d59a2</v>
      </c>
      <c r="D1231" s="2">
        <f ca="1">IFERROR(__xludf.DUMMYFUNCTION("""COMPUTED_VALUE"""),90)</f>
        <v>90</v>
      </c>
      <c r="E1231" s="2" t="str">
        <f ca="1">IFERROR(__xludf.DUMMYFUNCTION("""COMPUTED_VALUE"""),"Malbec")</f>
        <v>Malbec</v>
      </c>
      <c r="F1231" s="2">
        <f ca="1">IFERROR(__xludf.DUMMYFUNCTION("""COMPUTED_VALUE"""),48750)</f>
        <v>48750</v>
      </c>
      <c r="G1231" s="2">
        <f ca="1">IFERROR(__xludf.DUMMYFUNCTION("""COMPUTED_VALUE"""),25)</f>
        <v>25</v>
      </c>
      <c r="H1231" s="2" t="str">
        <f ca="1">IFERROR(__xludf.DUMMYFUNCTION("""COMPUTED_VALUE"""),"f41fab4c")</f>
        <v>f41fab4c</v>
      </c>
      <c r="I1231" s="2" t="str">
        <f ca="1">IFERROR(__xludf.DUMMYFUNCTION("""COMPUTED_VALUE"""),"Tinto Varietal B")</f>
        <v>Tinto Varietal B</v>
      </c>
      <c r="J1231" s="2">
        <f ca="1">IFERROR(__xludf.DUMMYFUNCTION("""COMPUTED_VALUE"""),48450)</f>
        <v>48450</v>
      </c>
      <c r="K1231" s="2">
        <f ca="1">IFERROR(__xludf.DUMMYFUNCTION("""COMPUTED_VALUE"""),97200)</f>
        <v>97200</v>
      </c>
      <c r="L1231" s="2" t="str">
        <f ca="1">IFERROR(__xludf.DUMMYFUNCTION("""COMPUTED_VALUE"""),"b26b9e00")</f>
        <v>b26b9e00</v>
      </c>
      <c r="M1231" s="2" t="str">
        <f ca="1">IFERROR(__xludf.DUMMYFUNCTION("""COMPUTED_VALUE"""),"Tinto Varietal B")</f>
        <v>Tinto Varietal B</v>
      </c>
      <c r="N1231" s="2"/>
      <c r="O1231" s="2" t="str">
        <f ca="1">IFERROR(__xludf.DUMMYFUNCTION("""COMPUTED_VALUE"""),"Filtrado Tang")</f>
        <v>Filtrado Tang</v>
      </c>
      <c r="P1231" s="2" t="str">
        <f ca="1">IFERROR(__xludf.DUMMYFUNCTION("""COMPUTED_VALUE"""),"Filtrado Tang")</f>
        <v>Filtrado Tang</v>
      </c>
      <c r="Q1231" s="2" t="b">
        <f ca="1">IFERROR(__xludf.DUMMYFUNCTION("""COMPUTED_VALUE"""),TRUE)</f>
        <v>1</v>
      </c>
      <c r="R1231" s="2" t="str">
        <f ca="1">IFERROR(__xludf.DUMMYFUNCTION("""COMPUTED_VALUE"""),"Filtrado Tang")</f>
        <v>Filtrado Tang</v>
      </c>
      <c r="S1231" s="2"/>
      <c r="T1231" s="2"/>
      <c r="U1231" s="2" t="str">
        <f ca="1">IFERROR(__xludf.DUMMYFUNCTION("""COMPUTED_VALUE"""),"1")</f>
        <v>1</v>
      </c>
    </row>
    <row r="1232" spans="1:21" x14ac:dyDescent="0.25">
      <c r="A1232" s="2" t="str">
        <f ca="1">IFERROR(__xludf.DUMMYFUNCTION("""COMPUTED_VALUE"""),"d34866bd")</f>
        <v>d34866bd</v>
      </c>
      <c r="B1232" s="5">
        <f ca="1">IFERROR(__xludf.DUMMYFUNCTION("""COMPUTED_VALUE"""),46077.7906134259)</f>
        <v>46077.790613425903</v>
      </c>
      <c r="C1232" s="2" t="str">
        <f ca="1">IFERROR(__xludf.DUMMYFUNCTION("""COMPUTED_VALUE"""),"974d59a2")</f>
        <v>974d59a2</v>
      </c>
      <c r="D1232" s="2">
        <f ca="1">IFERROR(__xludf.DUMMYFUNCTION("""COMPUTED_VALUE"""),90)</f>
        <v>90</v>
      </c>
      <c r="E1232" s="2" t="str">
        <f ca="1">IFERROR(__xludf.DUMMYFUNCTION("""COMPUTED_VALUE"""),"Malbec")</f>
        <v>Malbec</v>
      </c>
      <c r="F1232" s="2">
        <f ca="1">IFERROR(__xludf.DUMMYFUNCTION("""COMPUTED_VALUE"""),48750)</f>
        <v>48750</v>
      </c>
      <c r="G1232" s="2">
        <f ca="1">IFERROR(__xludf.DUMMYFUNCTION("""COMPUTED_VALUE"""),26)</f>
        <v>26</v>
      </c>
      <c r="H1232" s="2" t="str">
        <f ca="1">IFERROR(__xludf.DUMMYFUNCTION("""COMPUTED_VALUE"""),"347d083c")</f>
        <v>347d083c</v>
      </c>
      <c r="I1232" s="2" t="str">
        <f ca="1">IFERROR(__xludf.DUMMYFUNCTION("""COMPUTED_VALUE"""),"Tinto Varietal B")</f>
        <v>Tinto Varietal B</v>
      </c>
      <c r="J1232" s="2">
        <f ca="1">IFERROR(__xludf.DUMMYFUNCTION("""COMPUTED_VALUE"""),48650)</f>
        <v>48650</v>
      </c>
      <c r="K1232" s="2">
        <f ca="1">IFERROR(__xludf.DUMMYFUNCTION("""COMPUTED_VALUE"""),97400)</f>
        <v>97400</v>
      </c>
      <c r="L1232" s="2" t="str">
        <f ca="1">IFERROR(__xludf.DUMMYFUNCTION("""COMPUTED_VALUE"""),"d96391c3")</f>
        <v>d96391c3</v>
      </c>
      <c r="M1232" s="2" t="str">
        <f ca="1">IFERROR(__xludf.DUMMYFUNCTION("""COMPUTED_VALUE"""),"Malbec")</f>
        <v>Malbec</v>
      </c>
      <c r="N1232" s="2"/>
      <c r="O1232" s="2" t="str">
        <f ca="1">IFERROR(__xludf.DUMMYFUNCTION("""COMPUTED_VALUE"""),"Filtrado Tang")</f>
        <v>Filtrado Tang</v>
      </c>
      <c r="P1232" s="2" t="str">
        <f ca="1">IFERROR(__xludf.DUMMYFUNCTION("""COMPUTED_VALUE"""),"Filtrado Tang")</f>
        <v>Filtrado Tang</v>
      </c>
      <c r="Q1232" s="2" t="b">
        <f ca="1">IFERROR(__xludf.DUMMYFUNCTION("""COMPUTED_VALUE"""),FALSE)</f>
        <v>0</v>
      </c>
      <c r="R1232" s="2" t="str">
        <f ca="1">IFERROR(__xludf.DUMMYFUNCTION("""COMPUTED_VALUE"""),"Filtrado Tang")</f>
        <v>Filtrado Tang</v>
      </c>
      <c r="S1232" s="2"/>
      <c r="T1232" s="2"/>
      <c r="U1232" s="2" t="str">
        <f ca="1">IFERROR(__xludf.DUMMYFUNCTION("""COMPUTED_VALUE"""),"1")</f>
        <v>1</v>
      </c>
    </row>
    <row r="1233" spans="1:21" x14ac:dyDescent="0.25">
      <c r="A1233" s="2" t="str">
        <f ca="1">IFERROR(__xludf.DUMMYFUNCTION("""COMPUTED_VALUE"""),"92e7c921")</f>
        <v>92e7c921</v>
      </c>
      <c r="B1233" s="5">
        <f ca="1">IFERROR(__xludf.DUMMYFUNCTION("""COMPUTED_VALUE"""),46077.791261574)</f>
        <v>46077.791261573999</v>
      </c>
      <c r="C1233" s="2" t="str">
        <f ca="1">IFERROR(__xludf.DUMMYFUNCTION("""COMPUTED_VALUE"""),"cc790276")</f>
        <v>cc790276</v>
      </c>
      <c r="D1233" s="2">
        <f ca="1">IFERROR(__xludf.DUMMYFUNCTION("""COMPUTED_VALUE"""),116)</f>
        <v>116</v>
      </c>
      <c r="E1233" s="2" t="str">
        <f ca="1">IFERROR(__xludf.DUMMYFUNCTION("""COMPUTED_VALUE"""),"Malbec Lopez")</f>
        <v>Malbec Lopez</v>
      </c>
      <c r="F1233" s="2">
        <f ca="1">IFERROR(__xludf.DUMMYFUNCTION("""COMPUTED_VALUE"""),49800)</f>
        <v>49800</v>
      </c>
      <c r="G1233" s="2">
        <f ca="1">IFERROR(__xludf.DUMMYFUNCTION("""COMPUTED_VALUE"""),25)</f>
        <v>25</v>
      </c>
      <c r="H1233" s="2" t="str">
        <f ca="1">IFERROR(__xludf.DUMMYFUNCTION("""COMPUTED_VALUE"""),"b26b9e00")</f>
        <v>b26b9e00</v>
      </c>
      <c r="I1233" s="2" t="str">
        <f ca="1">IFERROR(__xludf.DUMMYFUNCTION("""COMPUTED_VALUE"""),"Tinto Varietal B")</f>
        <v>Tinto Varietal B</v>
      </c>
      <c r="J1233" s="2">
        <f ca="1">IFERROR(__xludf.DUMMYFUNCTION("""COMPUTED_VALUE"""),97200)</f>
        <v>97200</v>
      </c>
      <c r="K1233" s="2">
        <f ca="1">IFERROR(__xludf.DUMMYFUNCTION("""COMPUTED_VALUE"""),147000)</f>
        <v>147000</v>
      </c>
      <c r="L1233" s="2" t="str">
        <f ca="1">IFERROR(__xludf.DUMMYFUNCTION("""COMPUTED_VALUE"""),"2737b08b")</f>
        <v>2737b08b</v>
      </c>
      <c r="M1233" s="2" t="str">
        <f ca="1">IFERROR(__xludf.DUMMYFUNCTION("""COMPUTED_VALUE"""),"Tinto Varietal B")</f>
        <v>Tinto Varietal B</v>
      </c>
      <c r="N1233" s="2"/>
      <c r="O1233" s="2" t="str">
        <f ca="1">IFERROR(__xludf.DUMMYFUNCTION("""COMPUTED_VALUE"""),"Filtrado Tang")</f>
        <v>Filtrado Tang</v>
      </c>
      <c r="P1233" s="2" t="str">
        <f ca="1">IFERROR(__xludf.DUMMYFUNCTION("""COMPUTED_VALUE"""),"Filtrado Tang")</f>
        <v>Filtrado Tang</v>
      </c>
      <c r="Q1233" s="2" t="b">
        <f ca="1">IFERROR(__xludf.DUMMYFUNCTION("""COMPUTED_VALUE"""),TRUE)</f>
        <v>1</v>
      </c>
      <c r="R1233" s="2" t="str">
        <f ca="1">IFERROR(__xludf.DUMMYFUNCTION("""COMPUTED_VALUE"""),"Filtrado Tang")</f>
        <v>Filtrado Tang</v>
      </c>
      <c r="S1233" s="2"/>
      <c r="T1233" s="2"/>
      <c r="U1233" s="2" t="str">
        <f ca="1">IFERROR(__xludf.DUMMYFUNCTION("""COMPUTED_VALUE"""),"1")</f>
        <v>1</v>
      </c>
    </row>
    <row r="1234" spans="1:21" x14ac:dyDescent="0.25">
      <c r="A1234" s="2" t="str">
        <f ca="1">IFERROR(__xludf.DUMMYFUNCTION("""COMPUTED_VALUE"""),"7654bbd2")</f>
        <v>7654bbd2</v>
      </c>
      <c r="B1234" s="5">
        <f ca="1">IFERROR(__xludf.DUMMYFUNCTION("""COMPUTED_VALUE"""),46077.7919560185)</f>
        <v>46077.791956018496</v>
      </c>
      <c r="C1234" s="2" t="str">
        <f ca="1">IFERROR(__xludf.DUMMYFUNCTION("""COMPUTED_VALUE"""),"cc790276")</f>
        <v>cc790276</v>
      </c>
      <c r="D1234" s="2">
        <f ca="1">IFERROR(__xludf.DUMMYFUNCTION("""COMPUTED_VALUE"""),116)</f>
        <v>116</v>
      </c>
      <c r="E1234" s="2" t="str">
        <f ca="1">IFERROR(__xludf.DUMMYFUNCTION("""COMPUTED_VALUE"""),"Malbec Lopez")</f>
        <v>Malbec Lopez</v>
      </c>
      <c r="F1234" s="2">
        <f ca="1">IFERROR(__xludf.DUMMYFUNCTION("""COMPUTED_VALUE"""),49800)</f>
        <v>49800</v>
      </c>
      <c r="G1234" s="2">
        <f ca="1">IFERROR(__xludf.DUMMYFUNCTION("""COMPUTED_VALUE"""),26)</f>
        <v>26</v>
      </c>
      <c r="H1234" s="2" t="str">
        <f ca="1">IFERROR(__xludf.DUMMYFUNCTION("""COMPUTED_VALUE"""),"d96391c3")</f>
        <v>d96391c3</v>
      </c>
      <c r="I1234" s="2" t="str">
        <f ca="1">IFERROR(__xludf.DUMMYFUNCTION("""COMPUTED_VALUE"""),"Malbec")</f>
        <v>Malbec</v>
      </c>
      <c r="J1234" s="2">
        <f ca="1">IFERROR(__xludf.DUMMYFUNCTION("""COMPUTED_VALUE"""),97400)</f>
        <v>97400</v>
      </c>
      <c r="K1234" s="2">
        <f ca="1">IFERROR(__xludf.DUMMYFUNCTION("""COMPUTED_VALUE"""),147200)</f>
        <v>147200</v>
      </c>
      <c r="L1234" s="2" t="str">
        <f ca="1">IFERROR(__xludf.DUMMYFUNCTION("""COMPUTED_VALUE"""),"fa437f2d")</f>
        <v>fa437f2d</v>
      </c>
      <c r="M1234" s="2" t="str">
        <f ca="1">IFERROR(__xludf.DUMMYFUNCTION("""COMPUTED_VALUE"""),"Tinto Varietal B")</f>
        <v>Tinto Varietal B</v>
      </c>
      <c r="N1234" s="2"/>
      <c r="O1234" s="2" t="str">
        <f ca="1">IFERROR(__xludf.DUMMYFUNCTION("""COMPUTED_VALUE"""),"Filtrado Tang")</f>
        <v>Filtrado Tang</v>
      </c>
      <c r="P1234" s="2" t="str">
        <f ca="1">IFERROR(__xludf.DUMMYFUNCTION("""COMPUTED_VALUE"""),"Filtrado Tang")</f>
        <v>Filtrado Tang</v>
      </c>
      <c r="Q1234" s="2" t="b">
        <f ca="1">IFERROR(__xludf.DUMMYFUNCTION("""COMPUTED_VALUE"""),TRUE)</f>
        <v>1</v>
      </c>
      <c r="R1234" s="2" t="str">
        <f ca="1">IFERROR(__xludf.DUMMYFUNCTION("""COMPUTED_VALUE"""),"Filtrado Tang")</f>
        <v>Filtrado Tang</v>
      </c>
      <c r="S1234" s="2"/>
      <c r="T1234" s="2"/>
      <c r="U1234" s="2" t="str">
        <f ca="1">IFERROR(__xludf.DUMMYFUNCTION("""COMPUTED_VALUE"""),"1")</f>
        <v>1</v>
      </c>
    </row>
    <row r="1235" spans="1:21" x14ac:dyDescent="0.25">
      <c r="A1235" s="2" t="str">
        <f ca="1">IFERROR(__xludf.DUMMYFUNCTION("""COMPUTED_VALUE"""),"302df947")</f>
        <v>302df947</v>
      </c>
      <c r="B1235" s="5">
        <f ca="1">IFERROR(__xludf.DUMMYFUNCTION("""COMPUTED_VALUE"""),46077.7935416666)</f>
        <v>46077.793541666601</v>
      </c>
      <c r="C1235" s="2" t="str">
        <f ca="1">IFERROR(__xludf.DUMMYFUNCTION("""COMPUTED_VALUE"""),"887268c3")</f>
        <v>887268c3</v>
      </c>
      <c r="D1235" s="2">
        <f ca="1">IFERROR(__xludf.DUMMYFUNCTION("""COMPUTED_VALUE"""),121)</f>
        <v>121</v>
      </c>
      <c r="E1235" s="2" t="str">
        <f ca="1">IFERROR(__xludf.DUMMYFUNCTION("""COMPUTED_VALUE"""),"Malbec")</f>
        <v>Malbec</v>
      </c>
      <c r="F1235" s="2">
        <f ca="1">IFERROR(__xludf.DUMMYFUNCTION("""COMPUTED_VALUE"""),33700)</f>
        <v>33700</v>
      </c>
      <c r="G1235" s="2">
        <f ca="1">IFERROR(__xludf.DUMMYFUNCTION("""COMPUTED_VALUE"""),25)</f>
        <v>25</v>
      </c>
      <c r="H1235" s="2" t="str">
        <f ca="1">IFERROR(__xludf.DUMMYFUNCTION("""COMPUTED_VALUE"""),"2737b08b")</f>
        <v>2737b08b</v>
      </c>
      <c r="I1235" s="2" t="str">
        <f ca="1">IFERROR(__xludf.DUMMYFUNCTION("""COMPUTED_VALUE"""),"Tinto Varietal B")</f>
        <v>Tinto Varietal B</v>
      </c>
      <c r="J1235" s="2">
        <f ca="1">IFERROR(__xludf.DUMMYFUNCTION("""COMPUTED_VALUE"""),147000)</f>
        <v>147000</v>
      </c>
      <c r="K1235" s="2">
        <f ca="1">IFERROR(__xludf.DUMMYFUNCTION("""COMPUTED_VALUE"""),180700)</f>
        <v>180700</v>
      </c>
      <c r="L1235" s="2" t="str">
        <f ca="1">IFERROR(__xludf.DUMMYFUNCTION("""COMPUTED_VALUE"""),"bdab86ee")</f>
        <v>bdab86ee</v>
      </c>
      <c r="M1235" s="2" t="str">
        <f ca="1">IFERROR(__xludf.DUMMYFUNCTION("""COMPUTED_VALUE"""),"Tinto Varietal B")</f>
        <v>Tinto Varietal B</v>
      </c>
      <c r="N1235" s="2"/>
      <c r="O1235" s="2" t="str">
        <f ca="1">IFERROR(__xludf.DUMMYFUNCTION("""COMPUTED_VALUE"""),"Filtrado Tang")</f>
        <v>Filtrado Tang</v>
      </c>
      <c r="P1235" s="2" t="str">
        <f ca="1">IFERROR(__xludf.DUMMYFUNCTION("""COMPUTED_VALUE"""),"Filtrado Tang")</f>
        <v>Filtrado Tang</v>
      </c>
      <c r="Q1235" s="2" t="b">
        <f ca="1">IFERROR(__xludf.DUMMYFUNCTION("""COMPUTED_VALUE"""),TRUE)</f>
        <v>1</v>
      </c>
      <c r="R1235" s="2" t="str">
        <f ca="1">IFERROR(__xludf.DUMMYFUNCTION("""COMPUTED_VALUE"""),"Filtrado Tang")</f>
        <v>Filtrado Tang</v>
      </c>
      <c r="S1235" s="2"/>
      <c r="T1235" s="2"/>
      <c r="U1235" s="2" t="str">
        <f ca="1">IFERROR(__xludf.DUMMYFUNCTION("""COMPUTED_VALUE"""),"1")</f>
        <v>1</v>
      </c>
    </row>
    <row r="1236" spans="1:21" x14ac:dyDescent="0.25">
      <c r="A1236" s="2" t="str">
        <f ca="1">IFERROR(__xludf.DUMMYFUNCTION("""COMPUTED_VALUE"""),"3c041103")</f>
        <v>3c041103</v>
      </c>
      <c r="B1236" s="5">
        <f ca="1">IFERROR(__xludf.DUMMYFUNCTION("""COMPUTED_VALUE"""),46077.7937037037)</f>
        <v>46077.793703703697</v>
      </c>
      <c r="C1236" s="2" t="str">
        <f ca="1">IFERROR(__xludf.DUMMYFUNCTION("""COMPUTED_VALUE"""),"887268c3")</f>
        <v>887268c3</v>
      </c>
      <c r="D1236" s="2">
        <f ca="1">IFERROR(__xludf.DUMMYFUNCTION("""COMPUTED_VALUE"""),121)</f>
        <v>121</v>
      </c>
      <c r="E1236" s="2" t="str">
        <f ca="1">IFERROR(__xludf.DUMMYFUNCTION("""COMPUTED_VALUE"""),"Malbec")</f>
        <v>Malbec</v>
      </c>
      <c r="F1236" s="2">
        <f ca="1">IFERROR(__xludf.DUMMYFUNCTION("""COMPUTED_VALUE"""),33700)</f>
        <v>33700</v>
      </c>
      <c r="G1236" s="2">
        <f ca="1">IFERROR(__xludf.DUMMYFUNCTION("""COMPUTED_VALUE"""),26)</f>
        <v>26</v>
      </c>
      <c r="H1236" s="2" t="str">
        <f ca="1">IFERROR(__xludf.DUMMYFUNCTION("""COMPUTED_VALUE"""),"fa437f2d")</f>
        <v>fa437f2d</v>
      </c>
      <c r="I1236" s="2" t="str">
        <f ca="1">IFERROR(__xludf.DUMMYFUNCTION("""COMPUTED_VALUE"""),"Tinto Varietal B")</f>
        <v>Tinto Varietal B</v>
      </c>
      <c r="J1236" s="2">
        <f ca="1">IFERROR(__xludf.DUMMYFUNCTION("""COMPUTED_VALUE"""),147200)</f>
        <v>147200</v>
      </c>
      <c r="K1236" s="2">
        <f ca="1">IFERROR(__xludf.DUMMYFUNCTION("""COMPUTED_VALUE"""),180900)</f>
        <v>180900</v>
      </c>
      <c r="L1236" s="2" t="str">
        <f ca="1">IFERROR(__xludf.DUMMYFUNCTION("""COMPUTED_VALUE"""),"daa32bcc")</f>
        <v>daa32bcc</v>
      </c>
      <c r="M1236" s="2" t="str">
        <f ca="1">IFERROR(__xludf.DUMMYFUNCTION("""COMPUTED_VALUE"""),"Tinto Varietal B")</f>
        <v>Tinto Varietal B</v>
      </c>
      <c r="N1236" s="2"/>
      <c r="O1236" s="2" t="str">
        <f ca="1">IFERROR(__xludf.DUMMYFUNCTION("""COMPUTED_VALUE"""),"Filtrado Tang")</f>
        <v>Filtrado Tang</v>
      </c>
      <c r="P1236" s="2" t="str">
        <f ca="1">IFERROR(__xludf.DUMMYFUNCTION("""COMPUTED_VALUE"""),"Filtrado Tang")</f>
        <v>Filtrado Tang</v>
      </c>
      <c r="Q1236" s="2" t="b">
        <f ca="1">IFERROR(__xludf.DUMMYFUNCTION("""COMPUTED_VALUE"""),TRUE)</f>
        <v>1</v>
      </c>
      <c r="R1236" s="2" t="str">
        <f ca="1">IFERROR(__xludf.DUMMYFUNCTION("""COMPUTED_VALUE"""),"Filtrado Tang")</f>
        <v>Filtrado Tang</v>
      </c>
      <c r="S1236" s="2"/>
      <c r="T1236" s="2"/>
      <c r="U1236" s="2" t="str">
        <f ca="1">IFERROR(__xludf.DUMMYFUNCTION("""COMPUTED_VALUE"""),"1")</f>
        <v>1</v>
      </c>
    </row>
    <row r="1237" spans="1:21" x14ac:dyDescent="0.25">
      <c r="A1237" s="2" t="str">
        <f ca="1">IFERROR(__xludf.DUMMYFUNCTION("""COMPUTED_VALUE"""),"46a9aa3e")</f>
        <v>46a9aa3e</v>
      </c>
      <c r="B1237" s="5">
        <f ca="1">IFERROR(__xludf.DUMMYFUNCTION("""COMPUTED_VALUE"""),46077.795)</f>
        <v>46077.794999999998</v>
      </c>
      <c r="C1237" s="2" t="str">
        <f ca="1">IFERROR(__xludf.DUMMYFUNCTION("""COMPUTED_VALUE"""),"83dc62c7")</f>
        <v>83dc62c7</v>
      </c>
      <c r="D1237" s="2">
        <f ca="1">IFERROR(__xludf.DUMMYFUNCTION("""COMPUTED_VALUE"""),95)</f>
        <v>95</v>
      </c>
      <c r="E1237" s="2" t="str">
        <f ca="1">IFERROR(__xludf.DUMMYFUNCTION("""COMPUTED_VALUE"""),"Malbec")</f>
        <v>Malbec</v>
      </c>
      <c r="F1237" s="2">
        <f ca="1">IFERROR(__xludf.DUMMYFUNCTION("""COMPUTED_VALUE"""),13600)</f>
        <v>13600</v>
      </c>
      <c r="G1237" s="2">
        <f ca="1">IFERROR(__xludf.DUMMYFUNCTION("""COMPUTED_VALUE"""),25)</f>
        <v>25</v>
      </c>
      <c r="H1237" s="2" t="str">
        <f ca="1">IFERROR(__xludf.DUMMYFUNCTION("""COMPUTED_VALUE"""),"bdab86ee")</f>
        <v>bdab86ee</v>
      </c>
      <c r="I1237" s="2" t="str">
        <f ca="1">IFERROR(__xludf.DUMMYFUNCTION("""COMPUTED_VALUE"""),"Tinto Varietal B")</f>
        <v>Tinto Varietal B</v>
      </c>
      <c r="J1237" s="2">
        <f ca="1">IFERROR(__xludf.DUMMYFUNCTION("""COMPUTED_VALUE"""),180700)</f>
        <v>180700</v>
      </c>
      <c r="K1237" s="2">
        <f ca="1">IFERROR(__xludf.DUMMYFUNCTION("""COMPUTED_VALUE"""),194300)</f>
        <v>194300</v>
      </c>
      <c r="L1237" s="2" t="str">
        <f ca="1">IFERROR(__xludf.DUMMYFUNCTION("""COMPUTED_VALUE"""),"9373e0cf")</f>
        <v>9373e0cf</v>
      </c>
      <c r="M1237" s="2" t="str">
        <f ca="1">IFERROR(__xludf.DUMMYFUNCTION("""COMPUTED_VALUE"""),"Tinto Varietal B")</f>
        <v>Tinto Varietal B</v>
      </c>
      <c r="N1237" s="2"/>
      <c r="O1237" s="2" t="str">
        <f ca="1">IFERROR(__xludf.DUMMYFUNCTION("""COMPUTED_VALUE"""),"Filtrado Tang")</f>
        <v>Filtrado Tang</v>
      </c>
      <c r="P1237" s="2" t="str">
        <f ca="1">IFERROR(__xludf.DUMMYFUNCTION("""COMPUTED_VALUE"""),"Filtrado Tang")</f>
        <v>Filtrado Tang</v>
      </c>
      <c r="Q1237" s="2" t="b">
        <f ca="1">IFERROR(__xludf.DUMMYFUNCTION("""COMPUTED_VALUE"""),TRUE)</f>
        <v>1</v>
      </c>
      <c r="R1237" s="2" t="str">
        <f ca="1">IFERROR(__xludf.DUMMYFUNCTION("""COMPUTED_VALUE"""),"Filtrado Tang")</f>
        <v>Filtrado Tang</v>
      </c>
      <c r="S1237" s="2"/>
      <c r="T1237" s="2"/>
      <c r="U1237" s="2" t="str">
        <f ca="1">IFERROR(__xludf.DUMMYFUNCTION("""COMPUTED_VALUE"""),"1")</f>
        <v>1</v>
      </c>
    </row>
    <row r="1238" spans="1:21" x14ac:dyDescent="0.25">
      <c r="A1238" s="2" t="str">
        <f ca="1">IFERROR(__xludf.DUMMYFUNCTION("""COMPUTED_VALUE"""),"0c90e422")</f>
        <v>0c90e422</v>
      </c>
      <c r="B1238" s="5">
        <f ca="1">IFERROR(__xludf.DUMMYFUNCTION("""COMPUTED_VALUE"""),46077.795162037)</f>
        <v>46077.795162037</v>
      </c>
      <c r="C1238" s="2" t="str">
        <f ca="1">IFERROR(__xludf.DUMMYFUNCTION("""COMPUTED_VALUE"""),"83dc62c7")</f>
        <v>83dc62c7</v>
      </c>
      <c r="D1238" s="2">
        <f ca="1">IFERROR(__xludf.DUMMYFUNCTION("""COMPUTED_VALUE"""),95)</f>
        <v>95</v>
      </c>
      <c r="E1238" s="2" t="str">
        <f ca="1">IFERROR(__xludf.DUMMYFUNCTION("""COMPUTED_VALUE"""),"Malbec")</f>
        <v>Malbec</v>
      </c>
      <c r="F1238" s="2">
        <f ca="1">IFERROR(__xludf.DUMMYFUNCTION("""COMPUTED_VALUE"""),26700)</f>
        <v>26700</v>
      </c>
      <c r="G1238" s="2">
        <f ca="1">IFERROR(__xludf.DUMMYFUNCTION("""COMPUTED_VALUE"""),26)</f>
        <v>26</v>
      </c>
      <c r="H1238" s="2" t="str">
        <f ca="1">IFERROR(__xludf.DUMMYFUNCTION("""COMPUTED_VALUE"""),"daa32bcc")</f>
        <v>daa32bcc</v>
      </c>
      <c r="I1238" s="2" t="str">
        <f ca="1">IFERROR(__xludf.DUMMYFUNCTION("""COMPUTED_VALUE"""),"Tinto Varietal B")</f>
        <v>Tinto Varietal B</v>
      </c>
      <c r="J1238" s="2">
        <f ca="1">IFERROR(__xludf.DUMMYFUNCTION("""COMPUTED_VALUE"""),180900)</f>
        <v>180900</v>
      </c>
      <c r="K1238" s="2">
        <f ca="1">IFERROR(__xludf.DUMMYFUNCTION("""COMPUTED_VALUE"""),207600)</f>
        <v>207600</v>
      </c>
      <c r="L1238" s="2" t="str">
        <f ca="1">IFERROR(__xludf.DUMMYFUNCTION("""COMPUTED_VALUE"""),"d588820c")</f>
        <v>d588820c</v>
      </c>
      <c r="M1238" s="2" t="str">
        <f ca="1">IFERROR(__xludf.DUMMYFUNCTION("""COMPUTED_VALUE"""),"Tinto Varietal B")</f>
        <v>Tinto Varietal B</v>
      </c>
      <c r="N1238" s="2"/>
      <c r="O1238" s="2" t="str">
        <f ca="1">IFERROR(__xludf.DUMMYFUNCTION("""COMPUTED_VALUE"""),"Filtrado Tang")</f>
        <v>Filtrado Tang</v>
      </c>
      <c r="P1238" s="2" t="str">
        <f ca="1">IFERROR(__xludf.DUMMYFUNCTION("""COMPUTED_VALUE"""),"Filtrado Tang")</f>
        <v>Filtrado Tang</v>
      </c>
      <c r="Q1238" s="2" t="b">
        <f ca="1">IFERROR(__xludf.DUMMYFUNCTION("""COMPUTED_VALUE"""),TRUE)</f>
        <v>1</v>
      </c>
      <c r="R1238" s="2" t="str">
        <f ca="1">IFERROR(__xludf.DUMMYFUNCTION("""COMPUTED_VALUE"""),"Filtrado Tang")</f>
        <v>Filtrado Tang</v>
      </c>
      <c r="S1238" s="2"/>
      <c r="T1238" s="2"/>
      <c r="U1238" s="2" t="str">
        <f ca="1">IFERROR(__xludf.DUMMYFUNCTION("""COMPUTED_VALUE"""),"1")</f>
        <v>1</v>
      </c>
    </row>
    <row r="1239" spans="1:21" x14ac:dyDescent="0.25">
      <c r="A1239" s="2" t="str">
        <f ca="1">IFERROR(__xludf.DUMMYFUNCTION("""COMPUTED_VALUE"""),"4e5d51f2")</f>
        <v>4e5d51f2</v>
      </c>
      <c r="B1239" s="5">
        <f ca="1">IFERROR(__xludf.DUMMYFUNCTION("""COMPUTED_VALUE"""),46078.8666435185)</f>
        <v>46078.8666435185</v>
      </c>
      <c r="C1239" s="2" t="str">
        <f ca="1">IFERROR(__xludf.DUMMYFUNCTION("""COMPUTED_VALUE"""),"fbdd5288")</f>
        <v>fbdd5288</v>
      </c>
      <c r="D1239" s="2">
        <f ca="1">IFERROR(__xludf.DUMMYFUNCTION("""COMPUTED_VALUE"""),72)</f>
        <v>72</v>
      </c>
      <c r="E1239" s="2" t="str">
        <f ca="1">IFERROR(__xludf.DUMMYFUNCTION("""COMPUTED_VALUE"""),"Chardonnay Mosto")</f>
        <v>Chardonnay Mosto</v>
      </c>
      <c r="F1239" s="2">
        <f ca="1">IFERROR(__xludf.DUMMYFUNCTION("""COMPUTED_VALUE"""),14500)</f>
        <v>14500</v>
      </c>
      <c r="G1239" s="2">
        <f ca="1">IFERROR(__xludf.DUMMYFUNCTION("""COMPUTED_VALUE"""),8)</f>
        <v>8</v>
      </c>
      <c r="H1239" s="2"/>
      <c r="I1239" s="2"/>
      <c r="J1239" s="2">
        <f ca="1">IFERROR(__xludf.DUMMYFUNCTION("""COMPUTED_VALUE"""),0)</f>
        <v>0</v>
      </c>
      <c r="K1239" s="2">
        <f ca="1">IFERROR(__xludf.DUMMYFUNCTION("""COMPUTED_VALUE"""),14500)</f>
        <v>14500</v>
      </c>
      <c r="L1239" s="2" t="str">
        <f ca="1">IFERROR(__xludf.DUMMYFUNCTION("""COMPUTED_VALUE"""),"0103419e")</f>
        <v>0103419e</v>
      </c>
      <c r="M1239" s="2" t="str">
        <f ca="1">IFERROR(__xludf.DUMMYFUNCTION("""COMPUTED_VALUE"""),"Chardonnay Mosto Rect")</f>
        <v>Chardonnay Mosto Rect</v>
      </c>
      <c r="N1239" s="2"/>
      <c r="O1239" s="2" t="str">
        <f ca="1">IFERROR(__xludf.DUMMYFUNCTION("""COMPUTED_VALUE"""),"Mosto")</f>
        <v>Mosto</v>
      </c>
      <c r="P1239" s="2"/>
      <c r="Q1239" s="2" t="b">
        <f ca="1">IFERROR(__xludf.DUMMYFUNCTION("""COMPUTED_VALUE"""),FALSE)</f>
        <v>0</v>
      </c>
      <c r="R1239" s="2" t="str">
        <f ca="1">IFERROR(__xludf.DUMMYFUNCTION("""COMPUTED_VALUE"""),"Rectificado")</f>
        <v>Rectificado</v>
      </c>
      <c r="S1239" s="2"/>
      <c r="T1239" s="2"/>
      <c r="U1239" s="2"/>
    </row>
    <row r="1240" spans="1:21" x14ac:dyDescent="0.25">
      <c r="A1240" s="2" t="str">
        <f ca="1">IFERROR(__xludf.DUMMYFUNCTION("""COMPUTED_VALUE"""),"ba12900a")</f>
        <v>ba12900a</v>
      </c>
      <c r="B1240" s="5">
        <f ca="1">IFERROR(__xludf.DUMMYFUNCTION("""COMPUTED_VALUE"""),46078.8740856481)</f>
        <v>46078.874085648102</v>
      </c>
      <c r="C1240" s="2" t="str">
        <f ca="1">IFERROR(__xludf.DUMMYFUNCTION("""COMPUTED_VALUE"""),"d0e76b7a")</f>
        <v>d0e76b7a</v>
      </c>
      <c r="D1240" s="2">
        <f ca="1">IFERROR(__xludf.DUMMYFUNCTION("""COMPUTED_VALUE"""),76)</f>
        <v>76</v>
      </c>
      <c r="E1240" s="2" t="str">
        <f ca="1">IFERROR(__xludf.DUMMYFUNCTION("""COMPUTED_VALUE"""),"Chardonnay")</f>
        <v>Chardonnay</v>
      </c>
      <c r="F1240" s="2">
        <f ca="1">IFERROR(__xludf.DUMMYFUNCTION("""COMPUTED_VALUE"""),3300)</f>
        <v>3300</v>
      </c>
      <c r="G1240" s="2">
        <f ca="1">IFERROR(__xludf.DUMMYFUNCTION("""COMPUTED_VALUE"""),80)</f>
        <v>80</v>
      </c>
      <c r="H1240" s="2" t="str">
        <f ca="1">IFERROR(__xludf.DUMMYFUNCTION("""COMPUTED_VALUE"""),"bdb48937")</f>
        <v>bdb48937</v>
      </c>
      <c r="I1240" s="2" t="str">
        <f ca="1">IFERROR(__xludf.DUMMYFUNCTION("""COMPUTED_VALUE"""),"Chardonnay")</f>
        <v>Chardonnay</v>
      </c>
      <c r="J1240" s="2">
        <f ca="1">IFERROR(__xludf.DUMMYFUNCTION("""COMPUTED_VALUE"""),22800)</f>
        <v>22800</v>
      </c>
      <c r="K1240" s="2">
        <f ca="1">IFERROR(__xludf.DUMMYFUNCTION("""COMPUTED_VALUE"""),26100)</f>
        <v>26100</v>
      </c>
      <c r="L1240" s="2" t="str">
        <f ca="1">IFERROR(__xludf.DUMMYFUNCTION("""COMPUTED_VALUE"""),"4df62b7e")</f>
        <v>4df62b7e</v>
      </c>
      <c r="M1240" s="2" t="str">
        <f ca="1">IFERROR(__xludf.DUMMYFUNCTION("""COMPUTED_VALUE"""),"Chardonnay")</f>
        <v>Chardonnay</v>
      </c>
      <c r="N1240" s="2"/>
      <c r="O1240" s="2" t="str">
        <f ca="1">IFERROR(__xludf.DUMMYFUNCTION("""COMPUTED_VALUE"""),"Fermentando")</f>
        <v>Fermentando</v>
      </c>
      <c r="P1240" s="2" t="str">
        <f ca="1">IFERROR(__xludf.DUMMYFUNCTION("""COMPUTED_VALUE"""),"Fermentando")</f>
        <v>Fermentando</v>
      </c>
      <c r="Q1240" s="2" t="b">
        <f ca="1">IFERROR(__xludf.DUMMYFUNCTION("""COMPUTED_VALUE"""),TRUE)</f>
        <v>1</v>
      </c>
      <c r="R1240" s="2" t="str">
        <f ca="1">IFERROR(__xludf.DUMMYFUNCTION("""COMPUTED_VALUE"""),"Fermentando")</f>
        <v>Fermentando</v>
      </c>
      <c r="S1240" s="2"/>
      <c r="T1240" s="2"/>
      <c r="U1240" s="2"/>
    </row>
    <row r="1241" spans="1:21" x14ac:dyDescent="0.25">
      <c r="A1241" s="2" t="str">
        <f ca="1">IFERROR(__xludf.DUMMYFUNCTION("""COMPUTED_VALUE"""),"a20adf38")</f>
        <v>a20adf38</v>
      </c>
      <c r="B1241" s="5">
        <f ca="1">IFERROR(__xludf.DUMMYFUNCTION("""COMPUTED_VALUE"""),46078.8742939814)</f>
        <v>46078.874293981396</v>
      </c>
      <c r="C1241" s="2" t="str">
        <f ca="1">IFERROR(__xludf.DUMMYFUNCTION("""COMPUTED_VALUE"""),"d0e76b7a")</f>
        <v>d0e76b7a</v>
      </c>
      <c r="D1241" s="2">
        <f ca="1">IFERROR(__xludf.DUMMYFUNCTION("""COMPUTED_VALUE"""),76)</f>
        <v>76</v>
      </c>
      <c r="E1241" s="2" t="str">
        <f ca="1">IFERROR(__xludf.DUMMYFUNCTION("""COMPUTED_VALUE"""),"Chardonnay")</f>
        <v>Chardonnay</v>
      </c>
      <c r="F1241" s="2">
        <f ca="1">IFERROR(__xludf.DUMMYFUNCTION("""COMPUTED_VALUE"""),700)</f>
        <v>700</v>
      </c>
      <c r="G1241" s="2">
        <f ca="1">IFERROR(__xludf.DUMMYFUNCTION("""COMPUTED_VALUE"""),69)</f>
        <v>69</v>
      </c>
      <c r="H1241" s="2" t="str">
        <f ca="1">IFERROR(__xludf.DUMMYFUNCTION("""COMPUTED_VALUE"""),"6394eca7")</f>
        <v>6394eca7</v>
      </c>
      <c r="I1241" s="2" t="str">
        <f ca="1">IFERROR(__xludf.DUMMYFUNCTION("""COMPUTED_VALUE"""),"Chardonnay")</f>
        <v>Chardonnay</v>
      </c>
      <c r="J1241" s="2">
        <f ca="1">IFERROR(__xludf.DUMMYFUNCTION("""COMPUTED_VALUE"""),12300)</f>
        <v>12300</v>
      </c>
      <c r="K1241" s="2">
        <f ca="1">IFERROR(__xludf.DUMMYFUNCTION("""COMPUTED_VALUE"""),13000)</f>
        <v>13000</v>
      </c>
      <c r="L1241" s="2" t="str">
        <f ca="1">IFERROR(__xludf.DUMMYFUNCTION("""COMPUTED_VALUE"""),"a15f1bfe")</f>
        <v>a15f1bfe</v>
      </c>
      <c r="M1241" s="2" t="str">
        <f ca="1">IFERROR(__xludf.DUMMYFUNCTION("""COMPUTED_VALUE"""),"Chardonnay")</f>
        <v>Chardonnay</v>
      </c>
      <c r="N1241" s="2"/>
      <c r="O1241" s="2" t="str">
        <f ca="1">IFERROR(__xludf.DUMMYFUNCTION("""COMPUTED_VALUE"""),"Fermentando")</f>
        <v>Fermentando</v>
      </c>
      <c r="P1241" s="2" t="str">
        <f ca="1">IFERROR(__xludf.DUMMYFUNCTION("""COMPUTED_VALUE"""),"Fermentando")</f>
        <v>Fermentando</v>
      </c>
      <c r="Q1241" s="2" t="b">
        <f ca="1">IFERROR(__xludf.DUMMYFUNCTION("""COMPUTED_VALUE"""),TRUE)</f>
        <v>1</v>
      </c>
      <c r="R1241" s="2" t="str">
        <f ca="1">IFERROR(__xludf.DUMMYFUNCTION("""COMPUTED_VALUE"""),"Fermentando")</f>
        <v>Fermentando</v>
      </c>
      <c r="S1241" s="2"/>
      <c r="T1241" s="2"/>
      <c r="U1241" s="2"/>
    </row>
    <row r="1242" spans="1:21" x14ac:dyDescent="0.25">
      <c r="A1242" s="2" t="str">
        <f ca="1">IFERROR(__xludf.DUMMYFUNCTION("""COMPUTED_VALUE"""),"ef5ec8e9")</f>
        <v>ef5ec8e9</v>
      </c>
      <c r="B1242" s="5">
        <f ca="1">IFERROR(__xludf.DUMMYFUNCTION("""COMPUTED_VALUE"""),46078.8745023148)</f>
        <v>46078.8745023148</v>
      </c>
      <c r="C1242" s="2" t="str">
        <f ca="1">IFERROR(__xludf.DUMMYFUNCTION("""COMPUTED_VALUE"""),"d0e76b7a")</f>
        <v>d0e76b7a</v>
      </c>
      <c r="D1242" s="2">
        <f ca="1">IFERROR(__xludf.DUMMYFUNCTION("""COMPUTED_VALUE"""),76)</f>
        <v>76</v>
      </c>
      <c r="E1242" s="2" t="str">
        <f ca="1">IFERROR(__xludf.DUMMYFUNCTION("""COMPUTED_VALUE"""),"Chardonnay")</f>
        <v>Chardonnay</v>
      </c>
      <c r="F1242" s="2">
        <f ca="1">IFERROR(__xludf.DUMMYFUNCTION("""COMPUTED_VALUE"""),500)</f>
        <v>500</v>
      </c>
      <c r="G1242" s="2">
        <f ca="1">IFERROR(__xludf.DUMMYFUNCTION("""COMPUTED_VALUE"""),70)</f>
        <v>70</v>
      </c>
      <c r="H1242" s="2" t="str">
        <f ca="1">IFERROR(__xludf.DUMMYFUNCTION("""COMPUTED_VALUE"""),"579168cd")</f>
        <v>579168cd</v>
      </c>
      <c r="I1242" s="2" t="str">
        <f ca="1">IFERROR(__xludf.DUMMYFUNCTION("""COMPUTED_VALUE"""),"Chardonnay Ch")</f>
        <v>Chardonnay Ch</v>
      </c>
      <c r="J1242" s="2">
        <f ca="1">IFERROR(__xludf.DUMMYFUNCTION("""COMPUTED_VALUE"""),12500)</f>
        <v>12500</v>
      </c>
      <c r="K1242" s="2">
        <f ca="1">IFERROR(__xludf.DUMMYFUNCTION("""COMPUTED_VALUE"""),13000)</f>
        <v>13000</v>
      </c>
      <c r="L1242" s="2" t="str">
        <f ca="1">IFERROR(__xludf.DUMMYFUNCTION("""COMPUTED_VALUE"""),"8229fc7d")</f>
        <v>8229fc7d</v>
      </c>
      <c r="M1242" s="2" t="str">
        <f ca="1">IFERROR(__xludf.DUMMYFUNCTION("""COMPUTED_VALUE"""),"Chardonnay Ch")</f>
        <v>Chardonnay Ch</v>
      </c>
      <c r="N1242" s="2"/>
      <c r="O1242" s="2" t="str">
        <f ca="1">IFERROR(__xludf.DUMMYFUNCTION("""COMPUTED_VALUE"""),"Fermentando")</f>
        <v>Fermentando</v>
      </c>
      <c r="P1242" s="2" t="str">
        <f ca="1">IFERROR(__xludf.DUMMYFUNCTION("""COMPUTED_VALUE"""),"Fermentando")</f>
        <v>Fermentando</v>
      </c>
      <c r="Q1242" s="2" t="b">
        <f ca="1">IFERROR(__xludf.DUMMYFUNCTION("""COMPUTED_VALUE"""),TRUE)</f>
        <v>1</v>
      </c>
      <c r="R1242" s="2" t="str">
        <f ca="1">IFERROR(__xludf.DUMMYFUNCTION("""COMPUTED_VALUE"""),"Fermentando")</f>
        <v>Fermentando</v>
      </c>
      <c r="S1242" s="2"/>
      <c r="T1242" s="2"/>
      <c r="U1242" s="2"/>
    </row>
    <row r="1243" spans="1:21" x14ac:dyDescent="0.25">
      <c r="A1243" s="2" t="str">
        <f ca="1">IFERROR(__xludf.DUMMYFUNCTION("""COMPUTED_VALUE"""),"e0e9db31")</f>
        <v>e0e9db31</v>
      </c>
      <c r="B1243" s="5">
        <f ca="1">IFERROR(__xludf.DUMMYFUNCTION("""COMPUTED_VALUE"""),46078.8748611111)</f>
        <v>46078.8748611111</v>
      </c>
      <c r="C1243" s="2" t="str">
        <f ca="1">IFERROR(__xludf.DUMMYFUNCTION("""COMPUTED_VALUE"""),"d0e76b7a")</f>
        <v>d0e76b7a</v>
      </c>
      <c r="D1243" s="2">
        <f ca="1">IFERROR(__xludf.DUMMYFUNCTION("""COMPUTED_VALUE"""),76)</f>
        <v>76</v>
      </c>
      <c r="E1243" s="2" t="str">
        <f ca="1">IFERROR(__xludf.DUMMYFUNCTION("""COMPUTED_VALUE"""),"Chardonnay")</f>
        <v>Chardonnay</v>
      </c>
      <c r="F1243" s="2">
        <f ca="1">IFERROR(__xludf.DUMMYFUNCTION("""COMPUTED_VALUE"""),1700)</f>
        <v>1700</v>
      </c>
      <c r="G1243" s="2">
        <f ca="1">IFERROR(__xludf.DUMMYFUNCTION("""COMPUTED_VALUE"""),65)</f>
        <v>65</v>
      </c>
      <c r="H1243" s="2" t="str">
        <f ca="1">IFERROR(__xludf.DUMMYFUNCTION("""COMPUTED_VALUE"""),"3ab1fef1")</f>
        <v>3ab1fef1</v>
      </c>
      <c r="I1243" s="2" t="str">
        <f ca="1">IFERROR(__xludf.DUMMYFUNCTION("""COMPUTED_VALUE"""),"Chardonnay")</f>
        <v>Chardonnay</v>
      </c>
      <c r="J1243" s="2">
        <f ca="1">IFERROR(__xludf.DUMMYFUNCTION("""COMPUTED_VALUE"""),33800)</f>
        <v>33800</v>
      </c>
      <c r="K1243" s="2">
        <f ca="1">IFERROR(__xludf.DUMMYFUNCTION("""COMPUTED_VALUE"""),35500)</f>
        <v>35500</v>
      </c>
      <c r="L1243" s="2" t="str">
        <f ca="1">IFERROR(__xludf.DUMMYFUNCTION("""COMPUTED_VALUE"""),"32880d74")</f>
        <v>32880d74</v>
      </c>
      <c r="M1243" s="2" t="str">
        <f ca="1">IFERROR(__xludf.DUMMYFUNCTION("""COMPUTED_VALUE"""),"Chardonnay")</f>
        <v>Chardonnay</v>
      </c>
      <c r="N1243" s="2"/>
      <c r="O1243" s="2" t="str">
        <f ca="1">IFERROR(__xludf.DUMMYFUNCTION("""COMPUTED_VALUE"""),"Fermentando")</f>
        <v>Fermentando</v>
      </c>
      <c r="P1243" s="2" t="str">
        <f ca="1">IFERROR(__xludf.DUMMYFUNCTION("""COMPUTED_VALUE"""),"Fermentando")</f>
        <v>Fermentando</v>
      </c>
      <c r="Q1243" s="2" t="b">
        <f ca="1">IFERROR(__xludf.DUMMYFUNCTION("""COMPUTED_VALUE"""),TRUE)</f>
        <v>1</v>
      </c>
      <c r="R1243" s="2" t="str">
        <f ca="1">IFERROR(__xludf.DUMMYFUNCTION("""COMPUTED_VALUE"""),"Fermentando")</f>
        <v>Fermentando</v>
      </c>
      <c r="S1243" s="2"/>
      <c r="T1243" s="2"/>
      <c r="U1243" s="2"/>
    </row>
    <row r="1244" spans="1:21" x14ac:dyDescent="0.25">
      <c r="A1244" s="2" t="str">
        <f ca="1">IFERROR(__xludf.DUMMYFUNCTION("""COMPUTED_VALUE"""),"faac9dec")</f>
        <v>faac9dec</v>
      </c>
      <c r="B1244" s="5">
        <f ca="1">IFERROR(__xludf.DUMMYFUNCTION("""COMPUTED_VALUE"""),46079.6796759259)</f>
        <v>46079.679675925901</v>
      </c>
      <c r="C1244" s="2" t="str">
        <f ca="1">IFERROR(__xludf.DUMMYFUNCTION("""COMPUTED_VALUE"""),"d0e76b7a")</f>
        <v>d0e76b7a</v>
      </c>
      <c r="D1244" s="2">
        <f ca="1">IFERROR(__xludf.DUMMYFUNCTION("""COMPUTED_VALUE"""),76)</f>
        <v>76</v>
      </c>
      <c r="E1244" s="2" t="str">
        <f ca="1">IFERROR(__xludf.DUMMYFUNCTION("""COMPUTED_VALUE"""),"Chardonnay")</f>
        <v>Chardonnay</v>
      </c>
      <c r="F1244" s="2">
        <f ca="1">IFERROR(__xludf.DUMMYFUNCTION("""COMPUTED_VALUE"""),18300)</f>
        <v>18300</v>
      </c>
      <c r="G1244" s="2">
        <f ca="1">IFERROR(__xludf.DUMMYFUNCTION("""COMPUTED_VALUE"""),44)</f>
        <v>44</v>
      </c>
      <c r="H1244" s="2"/>
      <c r="I1244" s="2"/>
      <c r="J1244" s="2">
        <f ca="1">IFERROR(__xludf.DUMMYFUNCTION("""COMPUTED_VALUE"""),0)</f>
        <v>0</v>
      </c>
      <c r="K1244" s="2">
        <f ca="1">IFERROR(__xludf.DUMMYFUNCTION("""COMPUTED_VALUE"""),18300)</f>
        <v>18300</v>
      </c>
      <c r="L1244" s="2" t="str">
        <f ca="1">IFERROR(__xludf.DUMMYFUNCTION("""COMPUTED_VALUE"""),"d78107c8")</f>
        <v>d78107c8</v>
      </c>
      <c r="M1244" s="2" t="str">
        <f ca="1">IFERROR(__xludf.DUMMYFUNCTION("""COMPUTED_VALUE"""),"Chardonnay")</f>
        <v>Chardonnay</v>
      </c>
      <c r="N1244" s="2"/>
      <c r="O1244" s="2" t="str">
        <f ca="1">IFERROR(__xludf.DUMMYFUNCTION("""COMPUTED_VALUE"""),"Fermentando")</f>
        <v>Fermentando</v>
      </c>
      <c r="P1244" s="2"/>
      <c r="Q1244" s="2" t="b">
        <f ca="1">IFERROR(__xludf.DUMMYFUNCTION("""COMPUTED_VALUE"""),FALSE)</f>
        <v>0</v>
      </c>
      <c r="R1244" s="2" t="str">
        <f ca="1">IFERROR(__xludf.DUMMYFUNCTION("""COMPUTED_VALUE"""),"Fermentando")</f>
        <v>Fermentando</v>
      </c>
      <c r="S1244" s="2"/>
      <c r="T1244" s="2"/>
      <c r="U1244" s="2"/>
    </row>
    <row r="1245" spans="1:21" x14ac:dyDescent="0.25">
      <c r="A1245" s="2" t="str">
        <f ca="1">IFERROR(__xludf.DUMMYFUNCTION("""COMPUTED_VALUE"""),"30fbb400")</f>
        <v>30fbb400</v>
      </c>
      <c r="B1245" s="5">
        <f ca="1">IFERROR(__xludf.DUMMYFUNCTION("""COMPUTED_VALUE"""),46079.6872453703)</f>
        <v>46079.687245370304</v>
      </c>
      <c r="C1245" s="2" t="str">
        <f ca="1">IFERROR(__xludf.DUMMYFUNCTION("""COMPUTED_VALUE"""),"a5f14d91")</f>
        <v>a5f14d91</v>
      </c>
      <c r="D1245" s="2">
        <f ca="1">IFERROR(__xludf.DUMMYFUNCTION("""COMPUTED_VALUE"""),71)</f>
        <v>71</v>
      </c>
      <c r="E1245" s="2" t="str">
        <f ca="1">IFERROR(__xludf.DUMMYFUNCTION("""COMPUTED_VALUE"""),"Chardonnay")</f>
        <v>Chardonnay</v>
      </c>
      <c r="F1245" s="2">
        <f ca="1">IFERROR(__xludf.DUMMYFUNCTION("""COMPUTED_VALUE"""),2500)</f>
        <v>2500</v>
      </c>
      <c r="G1245" s="2">
        <f ca="1">IFERROR(__xludf.DUMMYFUNCTION("""COMPUTED_VALUE"""),76)</f>
        <v>76</v>
      </c>
      <c r="H1245" s="2" t="str">
        <f ca="1">IFERROR(__xludf.DUMMYFUNCTION("""COMPUTED_VALUE"""),"f6241d08")</f>
        <v>f6241d08</v>
      </c>
      <c r="I1245" s="2" t="str">
        <f ca="1">IFERROR(__xludf.DUMMYFUNCTION("""COMPUTED_VALUE"""),"Chardonnay")</f>
        <v>Chardonnay</v>
      </c>
      <c r="J1245" s="2">
        <f ca="1">IFERROR(__xludf.DUMMYFUNCTION("""COMPUTED_VALUE"""),14500)</f>
        <v>14500</v>
      </c>
      <c r="K1245" s="2">
        <f ca="1">IFERROR(__xludf.DUMMYFUNCTION("""COMPUTED_VALUE"""),17000)</f>
        <v>17000</v>
      </c>
      <c r="L1245" s="2" t="str">
        <f ca="1">IFERROR(__xludf.DUMMYFUNCTION("""COMPUTED_VALUE"""),"24592bd2")</f>
        <v>24592bd2</v>
      </c>
      <c r="M1245" s="2" t="str">
        <f ca="1">IFERROR(__xludf.DUMMYFUNCTION("""COMPUTED_VALUE"""),"Chardonnay")</f>
        <v>Chardonnay</v>
      </c>
      <c r="N1245" s="2" t="str">
        <f ca="1">IFERROR(__xludf.DUMMYFUNCTION("""COMPUTED_VALUE"""),"Pie de Cuba sembrado de levaduras")</f>
        <v>Pie de Cuba sembrado de levaduras</v>
      </c>
      <c r="O1245" s="2" t="str">
        <f ca="1">IFERROR(__xludf.DUMMYFUNCTION("""COMPUTED_VALUE"""),"Fermentando")</f>
        <v>Fermentando</v>
      </c>
      <c r="P1245" s="2" t="str">
        <f ca="1">IFERROR(__xludf.DUMMYFUNCTION("""COMPUTED_VALUE"""),"Fermentando")</f>
        <v>Fermentando</v>
      </c>
      <c r="Q1245" s="2" t="b">
        <f ca="1">IFERROR(__xludf.DUMMYFUNCTION("""COMPUTED_VALUE"""),TRUE)</f>
        <v>1</v>
      </c>
      <c r="R1245" s="2" t="str">
        <f ca="1">IFERROR(__xludf.DUMMYFUNCTION("""COMPUTED_VALUE"""),"Fermentando")</f>
        <v>Fermentando</v>
      </c>
      <c r="S1245" s="2"/>
      <c r="T1245" s="2"/>
      <c r="U1245" s="2"/>
    </row>
    <row r="1246" spans="1:21" x14ac:dyDescent="0.25">
      <c r="A1246" s="2" t="str">
        <f ca="1">IFERROR(__xludf.DUMMYFUNCTION("""COMPUTED_VALUE"""),"ff88d8fe")</f>
        <v>ff88d8fe</v>
      </c>
      <c r="B1246" s="5">
        <f ca="1">IFERROR(__xludf.DUMMYFUNCTION("""COMPUTED_VALUE"""),46079.6877314814)</f>
        <v>46079.687731481397</v>
      </c>
      <c r="C1246" s="2" t="str">
        <f ca="1">IFERROR(__xludf.DUMMYFUNCTION("""COMPUTED_VALUE"""),"e636c09f")</f>
        <v>e636c09f</v>
      </c>
      <c r="D1246" s="2">
        <f ca="1">IFERROR(__xludf.DUMMYFUNCTION("""COMPUTED_VALUE"""),86)</f>
        <v>86</v>
      </c>
      <c r="E1246" s="2" t="str">
        <f ca="1">IFERROR(__xludf.DUMMYFUNCTION("""COMPUTED_VALUE"""),"Aspirant Anccelota")</f>
        <v>Aspirant Anccelota</v>
      </c>
      <c r="F1246" s="2">
        <f ca="1">IFERROR(__xludf.DUMMYFUNCTION("""COMPUTED_VALUE"""),6000)</f>
        <v>6000</v>
      </c>
      <c r="G1246" s="2">
        <f ca="1">IFERROR(__xludf.DUMMYFUNCTION("""COMPUTED_VALUE"""),85)</f>
        <v>85</v>
      </c>
      <c r="H1246" s="2" t="str">
        <f ca="1">IFERROR(__xludf.DUMMYFUNCTION("""COMPUTED_VALUE"""),"564607ff")</f>
        <v>564607ff</v>
      </c>
      <c r="I1246" s="2" t="str">
        <f ca="1">IFERROR(__xludf.DUMMYFUNCTION("""COMPUTED_VALUE"""),"Syrah")</f>
        <v>Syrah</v>
      </c>
      <c r="J1246" s="2">
        <f ca="1">IFERROR(__xludf.DUMMYFUNCTION("""COMPUTED_VALUE"""),31800)</f>
        <v>31800</v>
      </c>
      <c r="K1246" s="2">
        <f ca="1">IFERROR(__xludf.DUMMYFUNCTION("""COMPUTED_VALUE"""),37800)</f>
        <v>37800</v>
      </c>
      <c r="L1246" s="2" t="str">
        <f ca="1">IFERROR(__xludf.DUMMYFUNCTION("""COMPUTED_VALUE"""),"fb826632")</f>
        <v>fb826632</v>
      </c>
      <c r="M1246" s="2" t="str">
        <f ca="1">IFERROR(__xludf.DUMMYFUNCTION("""COMPUTED_VALUE"""),"Syrah")</f>
        <v>Syrah</v>
      </c>
      <c r="N1246" s="2" t="str">
        <f ca="1">IFERROR(__xludf.DUMMYFUNCTION("""COMPUTED_VALUE"""),"pie de cuba sembrado de levaduras")</f>
        <v>pie de cuba sembrado de levaduras</v>
      </c>
      <c r="O1246" s="2" t="str">
        <f ca="1">IFERROR(__xludf.DUMMYFUNCTION("""COMPUTED_VALUE"""),"Fermentando")</f>
        <v>Fermentando</v>
      </c>
      <c r="P1246" s="2" t="str">
        <f ca="1">IFERROR(__xludf.DUMMYFUNCTION("""COMPUTED_VALUE"""),"Fermentando")</f>
        <v>Fermentando</v>
      </c>
      <c r="Q1246" s="2" t="b">
        <f ca="1">IFERROR(__xludf.DUMMYFUNCTION("""COMPUTED_VALUE"""),TRUE)</f>
        <v>1</v>
      </c>
      <c r="R1246" s="2" t="str">
        <f ca="1">IFERROR(__xludf.DUMMYFUNCTION("""COMPUTED_VALUE"""),"Fermentando")</f>
        <v>Fermentando</v>
      </c>
      <c r="S1246" s="2"/>
      <c r="T1246" s="2"/>
      <c r="U1246" s="2"/>
    </row>
    <row r="1247" spans="1:21" x14ac:dyDescent="0.25">
      <c r="A1247" s="2" t="str">
        <f ca="1">IFERROR(__xludf.DUMMYFUNCTION("""COMPUTED_VALUE"""),"116f4b8a")</f>
        <v>116f4b8a</v>
      </c>
      <c r="B1247" s="5">
        <f ca="1">IFERROR(__xludf.DUMMYFUNCTION("""COMPUTED_VALUE"""),46079.6891550925)</f>
        <v>46079.689155092499</v>
      </c>
      <c r="C1247" s="2" t="str">
        <f ca="1">IFERROR(__xludf.DUMMYFUNCTION("""COMPUTED_VALUE"""),"e636c09f")</f>
        <v>e636c09f</v>
      </c>
      <c r="D1247" s="2">
        <f ca="1">IFERROR(__xludf.DUMMYFUNCTION("""COMPUTED_VALUE"""),86)</f>
        <v>86</v>
      </c>
      <c r="E1247" s="2" t="str">
        <f ca="1">IFERROR(__xludf.DUMMYFUNCTION("""COMPUTED_VALUE"""),"Aspirant Anccelota")</f>
        <v>Aspirant Anccelota</v>
      </c>
      <c r="F1247" s="2">
        <f ca="1">IFERROR(__xludf.DUMMYFUNCTION("""COMPUTED_VALUE"""),-6800)</f>
        <v>-6800</v>
      </c>
      <c r="G1247" s="2">
        <f ca="1">IFERROR(__xludf.DUMMYFUNCTION("""COMPUTED_VALUE"""),45)</f>
        <v>45</v>
      </c>
      <c r="H1247" s="2" t="str">
        <f ca="1">IFERROR(__xludf.DUMMYFUNCTION("""COMPUTED_VALUE"""),"5314e50c")</f>
        <v>5314e50c</v>
      </c>
      <c r="I1247" s="2" t="str">
        <f ca="1">IFERROR(__xludf.DUMMYFUNCTION("""COMPUTED_VALUE"""),"Malbec Rect")</f>
        <v>Malbec Rect</v>
      </c>
      <c r="J1247" s="2">
        <f ca="1">IFERROR(__xludf.DUMMYFUNCTION("""COMPUTED_VALUE"""),20000)</f>
        <v>20000</v>
      </c>
      <c r="K1247" s="2">
        <f ca="1">IFERROR(__xludf.DUMMYFUNCTION("""COMPUTED_VALUE"""),13200)</f>
        <v>13200</v>
      </c>
      <c r="L1247" s="2" t="str">
        <f ca="1">IFERROR(__xludf.DUMMYFUNCTION("""COMPUTED_VALUE"""),"6251eade")</f>
        <v>6251eade</v>
      </c>
      <c r="M1247" s="2" t="str">
        <f ca="1">IFERROR(__xludf.DUMMYFUNCTION("""COMPUTED_VALUE"""),"Malbec Rect")</f>
        <v>Malbec Rect</v>
      </c>
      <c r="N1247" s="2" t="str">
        <f ca="1">IFERROR(__xludf.DUMMYFUNCTION("""COMPUTED_VALUE"""),"rectificaciom de acidez")</f>
        <v>rectificaciom de acidez</v>
      </c>
      <c r="O1247" s="2" t="str">
        <f ca="1">IFERROR(__xludf.DUMMYFUNCTION("""COMPUTED_VALUE"""),"Fermentando")</f>
        <v>Fermentando</v>
      </c>
      <c r="P1247" s="2" t="str">
        <f ca="1">IFERROR(__xludf.DUMMYFUNCTION("""COMPUTED_VALUE"""),"Rectificado")</f>
        <v>Rectificado</v>
      </c>
      <c r="Q1247" s="2" t="b">
        <f ca="1">IFERROR(__xludf.DUMMYFUNCTION("""COMPUTED_VALUE"""),TRUE)</f>
        <v>1</v>
      </c>
      <c r="R1247" s="2" t="str">
        <f ca="1">IFERROR(__xludf.DUMMYFUNCTION("""COMPUTED_VALUE"""),"Rectificado")</f>
        <v>Rectificado</v>
      </c>
      <c r="S1247" s="2"/>
      <c r="T1247" s="2"/>
      <c r="U1247" s="2" t="str">
        <f ca="1">IFERROR(__xludf.DUMMYFUNCTION("""COMPUTED_VALUE"""),"2+")</f>
        <v>2+</v>
      </c>
    </row>
    <row r="1248" spans="1:21" x14ac:dyDescent="0.25">
      <c r="A1248" s="2" t="str">
        <f ca="1">IFERROR(__xludf.DUMMYFUNCTION("""COMPUTED_VALUE"""),"dd0707c8")</f>
        <v>dd0707c8</v>
      </c>
      <c r="B1248" s="5">
        <f ca="1">IFERROR(__xludf.DUMMYFUNCTION("""COMPUTED_VALUE"""),46080.5143981481)</f>
        <v>46080.514398148101</v>
      </c>
      <c r="C1248" s="2" t="str">
        <f ca="1">IFERROR(__xludf.DUMMYFUNCTION("""COMPUTED_VALUE"""),"bb65fd1b")</f>
        <v>bb65fd1b</v>
      </c>
      <c r="D1248" s="2">
        <f ca="1">IFERROR(__xludf.DUMMYFUNCTION("""COMPUTED_VALUE"""),77)</f>
        <v>77</v>
      </c>
      <c r="E1248" s="2" t="str">
        <f ca="1">IFERROR(__xludf.DUMMYFUNCTION("""COMPUTED_VALUE"""),"Chardonnay")</f>
        <v>Chardonnay</v>
      </c>
      <c r="F1248" s="2">
        <f ca="1">IFERROR(__xludf.DUMMYFUNCTION("""COMPUTED_VALUE"""),800)</f>
        <v>800</v>
      </c>
      <c r="G1248" s="2">
        <f ca="1">IFERROR(__xludf.DUMMYFUNCTION("""COMPUTED_VALUE"""),44)</f>
        <v>44</v>
      </c>
      <c r="H1248" s="2" t="str">
        <f ca="1">IFERROR(__xludf.DUMMYFUNCTION("""COMPUTED_VALUE"""),"d78107c8")</f>
        <v>d78107c8</v>
      </c>
      <c r="I1248" s="2" t="str">
        <f ca="1">IFERROR(__xludf.DUMMYFUNCTION("""COMPUTED_VALUE"""),"Chardonnay")</f>
        <v>Chardonnay</v>
      </c>
      <c r="J1248" s="2">
        <f ca="1">IFERROR(__xludf.DUMMYFUNCTION("""COMPUTED_VALUE"""),18300)</f>
        <v>18300</v>
      </c>
      <c r="K1248" s="2">
        <f ca="1">IFERROR(__xludf.DUMMYFUNCTION("""COMPUTED_VALUE"""),19100)</f>
        <v>19100</v>
      </c>
      <c r="L1248" s="2" t="str">
        <f ca="1">IFERROR(__xludf.DUMMYFUNCTION("""COMPUTED_VALUE"""),"b4d0796a")</f>
        <v>b4d0796a</v>
      </c>
      <c r="M1248" s="2" t="str">
        <f ca="1">IFERROR(__xludf.DUMMYFUNCTION("""COMPUTED_VALUE"""),"Chardonnay")</f>
        <v>Chardonnay</v>
      </c>
      <c r="N1248" s="2"/>
      <c r="O1248" s="2" t="str">
        <f ca="1">IFERROR(__xludf.DUMMYFUNCTION("""COMPUTED_VALUE"""),"Fermentando")</f>
        <v>Fermentando</v>
      </c>
      <c r="P1248" s="2" t="str">
        <f ca="1">IFERROR(__xludf.DUMMYFUNCTION("""COMPUTED_VALUE"""),"Fermentando")</f>
        <v>Fermentando</v>
      </c>
      <c r="Q1248" s="2" t="b">
        <f ca="1">IFERROR(__xludf.DUMMYFUNCTION("""COMPUTED_VALUE"""),TRUE)</f>
        <v>1</v>
      </c>
      <c r="R1248" s="2" t="str">
        <f ca="1">IFERROR(__xludf.DUMMYFUNCTION("""COMPUTED_VALUE"""),"Descubada")</f>
        <v>Descubada</v>
      </c>
      <c r="S1248" s="2"/>
      <c r="T1248" s="2"/>
      <c r="U1248" s="2"/>
    </row>
    <row r="1249" spans="1:21" x14ac:dyDescent="0.25">
      <c r="A1249" s="2" t="str">
        <f ca="1">IFERROR(__xludf.DUMMYFUNCTION("""COMPUTED_VALUE"""),"af1f9cbd")</f>
        <v>af1f9cbd</v>
      </c>
      <c r="B1249" s="5">
        <f ca="1">IFERROR(__xludf.DUMMYFUNCTION("""COMPUTED_VALUE"""),46080.5147337963)</f>
        <v>46080.514733796299</v>
      </c>
      <c r="C1249" s="2" t="str">
        <f ca="1">IFERROR(__xludf.DUMMYFUNCTION("""COMPUTED_VALUE"""),"bb65fd1b")</f>
        <v>bb65fd1b</v>
      </c>
      <c r="D1249" s="2">
        <f ca="1">IFERROR(__xludf.DUMMYFUNCTION("""COMPUTED_VALUE"""),77)</f>
        <v>77</v>
      </c>
      <c r="E1249" s="2" t="str">
        <f ca="1">IFERROR(__xludf.DUMMYFUNCTION("""COMPUTED_VALUE"""),"Chardonnay")</f>
        <v>Chardonnay</v>
      </c>
      <c r="F1249" s="2">
        <f ca="1">IFERROR(__xludf.DUMMYFUNCTION("""COMPUTED_VALUE"""),25200)</f>
        <v>25200</v>
      </c>
      <c r="G1249" s="2">
        <f ca="1">IFERROR(__xludf.DUMMYFUNCTION("""COMPUTED_VALUE"""),33)</f>
        <v>33</v>
      </c>
      <c r="H1249" s="2"/>
      <c r="I1249" s="2"/>
      <c r="J1249" s="2">
        <f ca="1">IFERROR(__xludf.DUMMYFUNCTION("""COMPUTED_VALUE"""),0)</f>
        <v>0</v>
      </c>
      <c r="K1249" s="2">
        <f ca="1">IFERROR(__xludf.DUMMYFUNCTION("""COMPUTED_VALUE"""),25200)</f>
        <v>25200</v>
      </c>
      <c r="L1249" s="2" t="str">
        <f ca="1">IFERROR(__xludf.DUMMYFUNCTION("""COMPUTED_VALUE"""),"946c563d")</f>
        <v>946c563d</v>
      </c>
      <c r="M1249" s="2" t="str">
        <f ca="1">IFERROR(__xludf.DUMMYFUNCTION("""COMPUTED_VALUE"""),"Chardonnay")</f>
        <v>Chardonnay</v>
      </c>
      <c r="N1249" s="2"/>
      <c r="O1249" s="2" t="str">
        <f ca="1">IFERROR(__xludf.DUMMYFUNCTION("""COMPUTED_VALUE"""),"Fermentando")</f>
        <v>Fermentando</v>
      </c>
      <c r="P1249" s="2"/>
      <c r="Q1249" s="2" t="b">
        <f ca="1">IFERROR(__xludf.DUMMYFUNCTION("""COMPUTED_VALUE"""),FALSE)</f>
        <v>0</v>
      </c>
      <c r="R1249" s="2" t="str">
        <f ca="1">IFERROR(__xludf.DUMMYFUNCTION("""COMPUTED_VALUE"""),"Descubada")</f>
        <v>Descubada</v>
      </c>
      <c r="S1249" s="2"/>
      <c r="T1249" s="2"/>
      <c r="U1249" s="2"/>
    </row>
    <row r="1250" spans="1:21" x14ac:dyDescent="0.25">
      <c r="A1250" s="2" t="str">
        <f ca="1">IFERROR(__xludf.DUMMYFUNCTION("""COMPUTED_VALUE"""),"87103312")</f>
        <v>87103312</v>
      </c>
      <c r="B1250" s="5">
        <f ca="1">IFERROR(__xludf.DUMMYFUNCTION("""COMPUTED_VALUE"""),46080.5150462963)</f>
        <v>46080.515046296299</v>
      </c>
      <c r="C1250" s="2" t="str">
        <f ca="1">IFERROR(__xludf.DUMMYFUNCTION("""COMPUTED_VALUE"""),"1301e66e")</f>
        <v>1301e66e</v>
      </c>
      <c r="D1250" s="2">
        <f ca="1">IFERROR(__xludf.DUMMYFUNCTION("""COMPUTED_VALUE"""),78)</f>
        <v>78</v>
      </c>
      <c r="E1250" s="2" t="str">
        <f ca="1">IFERROR(__xludf.DUMMYFUNCTION("""COMPUTED_VALUE"""),"Chardonnay")</f>
        <v>Chardonnay</v>
      </c>
      <c r="F1250" s="2">
        <f ca="1">IFERROR(__xludf.DUMMYFUNCTION("""COMPUTED_VALUE"""),100)</f>
        <v>100</v>
      </c>
      <c r="G1250" s="2">
        <f ca="1">IFERROR(__xludf.DUMMYFUNCTION("""COMPUTED_VALUE"""),33)</f>
        <v>33</v>
      </c>
      <c r="H1250" s="2" t="str">
        <f ca="1">IFERROR(__xludf.DUMMYFUNCTION("""COMPUTED_VALUE"""),"946c563d")</f>
        <v>946c563d</v>
      </c>
      <c r="I1250" s="2" t="str">
        <f ca="1">IFERROR(__xludf.DUMMYFUNCTION("""COMPUTED_VALUE"""),"Chardonnay")</f>
        <v>Chardonnay</v>
      </c>
      <c r="J1250" s="2">
        <f ca="1">IFERROR(__xludf.DUMMYFUNCTION("""COMPUTED_VALUE"""),25200)</f>
        <v>25200</v>
      </c>
      <c r="K1250" s="2">
        <f ca="1">IFERROR(__xludf.DUMMYFUNCTION("""COMPUTED_VALUE"""),25300)</f>
        <v>25300</v>
      </c>
      <c r="L1250" s="2" t="str">
        <f ca="1">IFERROR(__xludf.DUMMYFUNCTION("""COMPUTED_VALUE"""),"7a77b210")</f>
        <v>7a77b210</v>
      </c>
      <c r="M1250" s="2" t="str">
        <f ca="1">IFERROR(__xludf.DUMMYFUNCTION("""COMPUTED_VALUE"""),"Chardonnay")</f>
        <v>Chardonnay</v>
      </c>
      <c r="N1250" s="2"/>
      <c r="O1250" s="2" t="str">
        <f ca="1">IFERROR(__xludf.DUMMYFUNCTION("""COMPUTED_VALUE"""),"Fermentando")</f>
        <v>Fermentando</v>
      </c>
      <c r="P1250" s="2" t="str">
        <f ca="1">IFERROR(__xludf.DUMMYFUNCTION("""COMPUTED_VALUE"""),"Descubada")</f>
        <v>Descubada</v>
      </c>
      <c r="Q1250" s="2" t="b">
        <f ca="1">IFERROR(__xludf.DUMMYFUNCTION("""COMPUTED_VALUE"""),TRUE)</f>
        <v>1</v>
      </c>
      <c r="R1250" s="2" t="str">
        <f ca="1">IFERROR(__xludf.DUMMYFUNCTION("""COMPUTED_VALUE"""),"Descubada")</f>
        <v>Descubada</v>
      </c>
      <c r="S1250" s="2"/>
      <c r="T1250" s="2"/>
      <c r="U1250" s="2"/>
    </row>
    <row r="1251" spans="1:21" x14ac:dyDescent="0.25">
      <c r="A1251" s="2" t="str">
        <f ca="1">IFERROR(__xludf.DUMMYFUNCTION("""COMPUTED_VALUE"""),"5ec13bdc")</f>
        <v>5ec13bdc</v>
      </c>
      <c r="B1251" s="5">
        <f ca="1">IFERROR(__xludf.DUMMYFUNCTION("""COMPUTED_VALUE"""),46080.5152083333)</f>
        <v>46080.515208333301</v>
      </c>
      <c r="C1251" s="2" t="str">
        <f ca="1">IFERROR(__xludf.DUMMYFUNCTION("""COMPUTED_VALUE"""),"1301e66e")</f>
        <v>1301e66e</v>
      </c>
      <c r="D1251" s="2">
        <f ca="1">IFERROR(__xludf.DUMMYFUNCTION("""COMPUTED_VALUE"""),78)</f>
        <v>78</v>
      </c>
      <c r="E1251" s="2" t="str">
        <f ca="1">IFERROR(__xludf.DUMMYFUNCTION("""COMPUTED_VALUE"""),"Chardonnay")</f>
        <v>Chardonnay</v>
      </c>
      <c r="F1251" s="2">
        <f ca="1">IFERROR(__xludf.DUMMYFUNCTION("""COMPUTED_VALUE"""),22000)</f>
        <v>22000</v>
      </c>
      <c r="G1251" s="2">
        <f ca="1">IFERROR(__xludf.DUMMYFUNCTION("""COMPUTED_VALUE"""),40)</f>
        <v>40</v>
      </c>
      <c r="H1251" s="2"/>
      <c r="I1251" s="2"/>
      <c r="J1251" s="2">
        <f ca="1">IFERROR(__xludf.DUMMYFUNCTION("""COMPUTED_VALUE"""),0)</f>
        <v>0</v>
      </c>
      <c r="K1251" s="2">
        <f ca="1">IFERROR(__xludf.DUMMYFUNCTION("""COMPUTED_VALUE"""),22000)</f>
        <v>22000</v>
      </c>
      <c r="L1251" s="2" t="str">
        <f ca="1">IFERROR(__xludf.DUMMYFUNCTION("""COMPUTED_VALUE"""),"547f7e13")</f>
        <v>547f7e13</v>
      </c>
      <c r="M1251" s="2" t="str">
        <f ca="1">IFERROR(__xludf.DUMMYFUNCTION("""COMPUTED_VALUE"""),"Chardonnay")</f>
        <v>Chardonnay</v>
      </c>
      <c r="N1251" s="2"/>
      <c r="O1251" s="2" t="str">
        <f ca="1">IFERROR(__xludf.DUMMYFUNCTION("""COMPUTED_VALUE"""),"Fermentando")</f>
        <v>Fermentando</v>
      </c>
      <c r="P1251" s="2"/>
      <c r="Q1251" s="2" t="b">
        <f ca="1">IFERROR(__xludf.DUMMYFUNCTION("""COMPUTED_VALUE"""),FALSE)</f>
        <v>0</v>
      </c>
      <c r="R1251" s="2" t="str">
        <f ca="1">IFERROR(__xludf.DUMMYFUNCTION("""COMPUTED_VALUE"""),"Descubada")</f>
        <v>Descubada</v>
      </c>
      <c r="S1251" s="2"/>
      <c r="T1251" s="2"/>
      <c r="U1251" s="2"/>
    </row>
    <row r="1252" spans="1:21" x14ac:dyDescent="0.25">
      <c r="A1252" s="2" t="str">
        <f ca="1">IFERROR(__xludf.DUMMYFUNCTION("""COMPUTED_VALUE"""),"60357992")</f>
        <v>60357992</v>
      </c>
      <c r="B1252" s="5">
        <f ca="1">IFERROR(__xludf.DUMMYFUNCTION("""COMPUTED_VALUE"""),46080.516261574)</f>
        <v>46080.516261573997</v>
      </c>
      <c r="C1252" s="2" t="str">
        <f ca="1">IFERROR(__xludf.DUMMYFUNCTION("""COMPUTED_VALUE"""),"1301e66e")</f>
        <v>1301e66e</v>
      </c>
      <c r="D1252" s="2">
        <f ca="1">IFERROR(__xludf.DUMMYFUNCTION("""COMPUTED_VALUE"""),78)</f>
        <v>78</v>
      </c>
      <c r="E1252" s="2" t="str">
        <f ca="1">IFERROR(__xludf.DUMMYFUNCTION("""COMPUTED_VALUE"""),"Chardonnay")</f>
        <v>Chardonnay</v>
      </c>
      <c r="F1252" s="2">
        <f ca="1">IFERROR(__xludf.DUMMYFUNCTION("""COMPUTED_VALUE"""),3700)</f>
        <v>3700</v>
      </c>
      <c r="G1252" s="2">
        <f ca="1">IFERROR(__xludf.DUMMYFUNCTION("""COMPUTED_VALUE"""),500)</f>
        <v>500</v>
      </c>
      <c r="H1252" s="2" t="str">
        <f ca="1">IFERROR(__xludf.DUMMYFUNCTION("""COMPUTED_VALUE"""),"6179d31d")</f>
        <v>6179d31d</v>
      </c>
      <c r="I1252" s="2" t="str">
        <f ca="1">IFERROR(__xludf.DUMMYFUNCTION("""COMPUTED_VALUE"""),"Ajuste semana 13/02/2025")</f>
        <v>Ajuste semana 13/02/2025</v>
      </c>
      <c r="J1252" s="2">
        <f ca="1">IFERROR(__xludf.DUMMYFUNCTION("""COMPUTED_VALUE"""),12901)</f>
        <v>12901</v>
      </c>
      <c r="K1252" s="2">
        <f ca="1">IFERROR(__xludf.DUMMYFUNCTION("""COMPUTED_VALUE"""),16601)</f>
        <v>16601</v>
      </c>
      <c r="L1252" s="2" t="str">
        <f ca="1">IFERROR(__xludf.DUMMYFUNCTION("""COMPUTED_VALUE"""),"e7e533ed")</f>
        <v>e7e533ed</v>
      </c>
      <c r="M1252" s="2" t="str">
        <f ca="1">IFERROR(__xludf.DUMMYFUNCTION("""COMPUTED_VALUE"""),"Ajuste semana 13/02/2025")</f>
        <v>Ajuste semana 13/02/2025</v>
      </c>
      <c r="N1252" s="2"/>
      <c r="O1252" s="2" t="str">
        <f ca="1">IFERROR(__xludf.DUMMYFUNCTION("""COMPUTED_VALUE"""),"Fermentando")</f>
        <v>Fermentando</v>
      </c>
      <c r="P1252" s="2" t="str">
        <f ca="1">IFERROR(__xludf.DUMMYFUNCTION("""COMPUTED_VALUE"""),"Terminado")</f>
        <v>Terminado</v>
      </c>
      <c r="Q1252" s="2" t="b">
        <f ca="1">IFERROR(__xludf.DUMMYFUNCTION("""COMPUTED_VALUE"""),TRUE)</f>
        <v>1</v>
      </c>
      <c r="R1252" s="2" t="str">
        <f ca="1">IFERROR(__xludf.DUMMYFUNCTION("""COMPUTED_VALUE"""),"Terminado")</f>
        <v>Terminado</v>
      </c>
      <c r="S1252" s="2"/>
      <c r="T1252" s="2"/>
      <c r="U1252" s="2"/>
    </row>
    <row r="1253" spans="1:21" x14ac:dyDescent="0.25">
      <c r="A1253" s="2" t="str">
        <f ca="1">IFERROR(__xludf.DUMMYFUNCTION("""COMPUTED_VALUE"""),"4f366040")</f>
        <v>4f366040</v>
      </c>
      <c r="B1253" s="5">
        <f ca="1">IFERROR(__xludf.DUMMYFUNCTION("""COMPUTED_VALUE"""),46083.4975462963)</f>
        <v>46083.497546296298</v>
      </c>
      <c r="C1253" s="2" t="str">
        <f ca="1">IFERROR(__xludf.DUMMYFUNCTION("""COMPUTED_VALUE"""),"8229fc7d")</f>
        <v>8229fc7d</v>
      </c>
      <c r="D1253" s="2">
        <f ca="1">IFERROR(__xludf.DUMMYFUNCTION("""COMPUTED_VALUE"""),70)</f>
        <v>70</v>
      </c>
      <c r="E1253" s="2" t="str">
        <f ca="1">IFERROR(__xludf.DUMMYFUNCTION("""COMPUTED_VALUE"""),"Chardonnay Ch")</f>
        <v>Chardonnay Ch</v>
      </c>
      <c r="F1253" s="2">
        <f ca="1">IFERROR(__xludf.DUMMYFUNCTION("""COMPUTED_VALUE"""),13000)</f>
        <v>13000</v>
      </c>
      <c r="G1253" s="2">
        <f ca="1">IFERROR(__xludf.DUMMYFUNCTION("""COMPUTED_VALUE"""),30)</f>
        <v>30</v>
      </c>
      <c r="H1253" s="2"/>
      <c r="I1253" s="2"/>
      <c r="J1253" s="2">
        <f ca="1">IFERROR(__xludf.DUMMYFUNCTION("""COMPUTED_VALUE"""),0)</f>
        <v>0</v>
      </c>
      <c r="K1253" s="2">
        <f ca="1">IFERROR(__xludf.DUMMYFUNCTION("""COMPUTED_VALUE"""),13000)</f>
        <v>13000</v>
      </c>
      <c r="L1253" s="2" t="str">
        <f ca="1">IFERROR(__xludf.DUMMYFUNCTION("""COMPUTED_VALUE"""),"593fae57")</f>
        <v>593fae57</v>
      </c>
      <c r="M1253" s="2" t="str">
        <f ca="1">IFERROR(__xludf.DUMMYFUNCTION("""COMPUTED_VALUE"""),"Chardonnay Ch")</f>
        <v>Chardonnay Ch</v>
      </c>
      <c r="N1253" s="2"/>
      <c r="O1253" s="2" t="str">
        <f ca="1">IFERROR(__xludf.DUMMYFUNCTION("""COMPUTED_VALUE"""),"Fermentando")</f>
        <v>Fermentando</v>
      </c>
      <c r="P1253" s="2"/>
      <c r="Q1253" s="2" t="b">
        <f ca="1">IFERROR(__xludf.DUMMYFUNCTION("""COMPUTED_VALUE"""),FALSE)</f>
        <v>0</v>
      </c>
      <c r="R1253" s="2" t="str">
        <f ca="1">IFERROR(__xludf.DUMMYFUNCTION("""COMPUTED_VALUE"""),"Descubada")</f>
        <v>Descubada</v>
      </c>
      <c r="S1253" s="2"/>
      <c r="T1253" s="2"/>
      <c r="U1253" s="2"/>
    </row>
    <row r="1254" spans="1:21" x14ac:dyDescent="0.25">
      <c r="A1254" s="2" t="str">
        <f ca="1">IFERROR(__xludf.DUMMYFUNCTION("""COMPUTED_VALUE"""),"ae41bc67")</f>
        <v>ae41bc67</v>
      </c>
      <c r="B1254" s="5">
        <f ca="1">IFERROR(__xludf.DUMMYFUNCTION("""COMPUTED_VALUE"""),46083.4980208333)</f>
        <v>46083.4980208333</v>
      </c>
      <c r="C1254" s="2" t="str">
        <f ca="1">IFERROR(__xludf.DUMMYFUNCTION("""COMPUTED_VALUE"""),"a15f1bfe")</f>
        <v>a15f1bfe</v>
      </c>
      <c r="D1254" s="2">
        <f ca="1">IFERROR(__xludf.DUMMYFUNCTION("""COMPUTED_VALUE"""),69)</f>
        <v>69</v>
      </c>
      <c r="E1254" s="2" t="str">
        <f ca="1">IFERROR(__xludf.DUMMYFUNCTION("""COMPUTED_VALUE"""),"Chardonnay")</f>
        <v>Chardonnay</v>
      </c>
      <c r="F1254" s="2">
        <f ca="1">IFERROR(__xludf.DUMMYFUNCTION("""COMPUTED_VALUE"""),13000)</f>
        <v>13000</v>
      </c>
      <c r="G1254" s="2">
        <f ca="1">IFERROR(__xludf.DUMMYFUNCTION("""COMPUTED_VALUE"""),30)</f>
        <v>30</v>
      </c>
      <c r="H1254" s="2" t="str">
        <f ca="1">IFERROR(__xludf.DUMMYFUNCTION("""COMPUTED_VALUE"""),"593fae57")</f>
        <v>593fae57</v>
      </c>
      <c r="I1254" s="2" t="str">
        <f ca="1">IFERROR(__xludf.DUMMYFUNCTION("""COMPUTED_VALUE"""),"Chardonnay Ch")</f>
        <v>Chardonnay Ch</v>
      </c>
      <c r="J1254" s="2">
        <f ca="1">IFERROR(__xludf.DUMMYFUNCTION("""COMPUTED_VALUE"""),13000)</f>
        <v>13000</v>
      </c>
      <c r="K1254" s="2">
        <f ca="1">IFERROR(__xludf.DUMMYFUNCTION("""COMPUTED_VALUE"""),26000)</f>
        <v>26000</v>
      </c>
      <c r="L1254" s="2" t="str">
        <f ca="1">IFERROR(__xludf.DUMMYFUNCTION("""COMPUTED_VALUE"""),"a2f33e47")</f>
        <v>a2f33e47</v>
      </c>
      <c r="M1254" s="2" t="str">
        <f ca="1">IFERROR(__xludf.DUMMYFUNCTION("""COMPUTED_VALUE"""),"Chardonnay Ch")</f>
        <v>Chardonnay Ch</v>
      </c>
      <c r="N1254" s="2"/>
      <c r="O1254" s="2" t="str">
        <f ca="1">IFERROR(__xludf.DUMMYFUNCTION("""COMPUTED_VALUE"""),"Fermentando")</f>
        <v>Fermentando</v>
      </c>
      <c r="P1254" s="2" t="str">
        <f ca="1">IFERROR(__xludf.DUMMYFUNCTION("""COMPUTED_VALUE"""),"Descubada")</f>
        <v>Descubada</v>
      </c>
      <c r="Q1254" s="2" t="b">
        <f ca="1">IFERROR(__xludf.DUMMYFUNCTION("""COMPUTED_VALUE"""),TRUE)</f>
        <v>1</v>
      </c>
      <c r="R1254" s="2" t="str">
        <f ca="1">IFERROR(__xludf.DUMMYFUNCTION("""COMPUTED_VALUE"""),"Descubada")</f>
        <v>Descubada</v>
      </c>
      <c r="S1254" s="2"/>
      <c r="T1254" s="2"/>
      <c r="U1254" s="2"/>
    </row>
    <row r="1255" spans="1:21" x14ac:dyDescent="0.25">
      <c r="A1255" s="2" t="str">
        <f ca="1">IFERROR(__xludf.DUMMYFUNCTION("""COMPUTED_VALUE"""),"e634e693")</f>
        <v>e634e693</v>
      </c>
      <c r="B1255" s="5">
        <f ca="1">IFERROR(__xludf.DUMMYFUNCTION("""COMPUTED_VALUE"""),46083.8036111111)</f>
        <v>46083.8036111111</v>
      </c>
      <c r="C1255" s="2" t="str">
        <f ca="1">IFERROR(__xludf.DUMMYFUNCTION("""COMPUTED_VALUE"""),"c83c39f8")</f>
        <v>c83c39f8</v>
      </c>
      <c r="D1255" s="2">
        <f ca="1">IFERROR(__xludf.DUMMYFUNCTION("""COMPUTED_VALUE"""),79)</f>
        <v>79</v>
      </c>
      <c r="E1255" s="2" t="str">
        <f ca="1">IFERROR(__xludf.DUMMYFUNCTION("""COMPUTED_VALUE"""),"Aspirant")</f>
        <v>Aspirant</v>
      </c>
      <c r="F1255" s="2">
        <f ca="1">IFERROR(__xludf.DUMMYFUNCTION("""COMPUTED_VALUE"""),12750)</f>
        <v>12750</v>
      </c>
      <c r="G1255" s="2">
        <f ca="1">IFERROR(__xludf.DUMMYFUNCTION("""COMPUTED_VALUE"""),46)</f>
        <v>46</v>
      </c>
      <c r="H1255" s="2"/>
      <c r="I1255" s="2"/>
      <c r="J1255" s="2">
        <f ca="1">IFERROR(__xludf.DUMMYFUNCTION("""COMPUTED_VALUE"""),0)</f>
        <v>0</v>
      </c>
      <c r="K1255" s="2">
        <f ca="1">IFERROR(__xludf.DUMMYFUNCTION("""COMPUTED_VALUE"""),12750)</f>
        <v>12750</v>
      </c>
      <c r="L1255" s="2" t="str">
        <f ca="1">IFERROR(__xludf.DUMMYFUNCTION("""COMPUTED_VALUE"""),"a2e5db02")</f>
        <v>a2e5db02</v>
      </c>
      <c r="M1255" s="2" t="str">
        <f ca="1">IFERROR(__xludf.DUMMYFUNCTION("""COMPUTED_VALUE"""),"Aspirant")</f>
        <v>Aspirant</v>
      </c>
      <c r="N1255" s="2"/>
      <c r="O1255" s="2" t="str">
        <f ca="1">IFERROR(__xludf.DUMMYFUNCTION("""COMPUTED_VALUE"""),"Fermentando")</f>
        <v>Fermentando</v>
      </c>
      <c r="P1255" s="2"/>
      <c r="Q1255" s="2" t="b">
        <f ca="1">IFERROR(__xludf.DUMMYFUNCTION("""COMPUTED_VALUE"""),FALSE)</f>
        <v>0</v>
      </c>
      <c r="R1255" s="2" t="str">
        <f ca="1">IFERROR(__xludf.DUMMYFUNCTION("""COMPUTED_VALUE"""),"Descubada")</f>
        <v>Descubada</v>
      </c>
      <c r="S1255" s="2"/>
      <c r="T1255" s="2"/>
      <c r="U1255" s="2"/>
    </row>
    <row r="1256" spans="1:21" x14ac:dyDescent="0.25">
      <c r="A1256" s="2" t="str">
        <f ca="1">IFERROR(__xludf.DUMMYFUNCTION("""COMPUTED_VALUE"""),"481398b3")</f>
        <v>481398b3</v>
      </c>
      <c r="B1256" s="5">
        <f ca="1">IFERROR(__xludf.DUMMYFUNCTION("""COMPUTED_VALUE"""),46083.8049537037)</f>
        <v>46083.8049537037</v>
      </c>
      <c r="C1256" s="2" t="str">
        <f ca="1">IFERROR(__xludf.DUMMYFUNCTION("""COMPUTED_VALUE"""),"5a47168a")</f>
        <v>5a47168a</v>
      </c>
      <c r="D1256" s="2">
        <f ca="1">IFERROR(__xludf.DUMMYFUNCTION("""COMPUTED_VALUE"""),66)</f>
        <v>66</v>
      </c>
      <c r="E1256" s="2" t="str">
        <f ca="1">IFERROR(__xludf.DUMMYFUNCTION("""COMPUTED_VALUE"""),"Aspirant")</f>
        <v>Aspirant</v>
      </c>
      <c r="F1256" s="2">
        <f ca="1">IFERROR(__xludf.DUMMYFUNCTION("""COMPUTED_VALUE"""),12000)</f>
        <v>12000</v>
      </c>
      <c r="G1256" s="2">
        <f ca="1">IFERROR(__xludf.DUMMYFUNCTION("""COMPUTED_VALUE"""),46)</f>
        <v>46</v>
      </c>
      <c r="H1256" s="2" t="str">
        <f ca="1">IFERROR(__xludf.DUMMYFUNCTION("""COMPUTED_VALUE"""),"a2e5db02")</f>
        <v>a2e5db02</v>
      </c>
      <c r="I1256" s="2" t="str">
        <f ca="1">IFERROR(__xludf.DUMMYFUNCTION("""COMPUTED_VALUE"""),"Aspirant")</f>
        <v>Aspirant</v>
      </c>
      <c r="J1256" s="2">
        <f ca="1">IFERROR(__xludf.DUMMYFUNCTION("""COMPUTED_VALUE"""),12750)</f>
        <v>12750</v>
      </c>
      <c r="K1256" s="2">
        <f ca="1">IFERROR(__xludf.DUMMYFUNCTION("""COMPUTED_VALUE"""),24750)</f>
        <v>24750</v>
      </c>
      <c r="L1256" s="2" t="str">
        <f ca="1">IFERROR(__xludf.DUMMYFUNCTION("""COMPUTED_VALUE"""),"bfa7866a")</f>
        <v>bfa7866a</v>
      </c>
      <c r="M1256" s="2" t="str">
        <f ca="1">IFERROR(__xludf.DUMMYFUNCTION("""COMPUTED_VALUE"""),"Aspirant")</f>
        <v>Aspirant</v>
      </c>
      <c r="N1256" s="2"/>
      <c r="O1256" s="2" t="str">
        <f ca="1">IFERROR(__xludf.DUMMYFUNCTION("""COMPUTED_VALUE"""),"Fermentando")</f>
        <v>Fermentando</v>
      </c>
      <c r="P1256" s="2" t="str">
        <f ca="1">IFERROR(__xludf.DUMMYFUNCTION("""COMPUTED_VALUE"""),"Descubada")</f>
        <v>Descubada</v>
      </c>
      <c r="Q1256" s="2" t="b">
        <f ca="1">IFERROR(__xludf.DUMMYFUNCTION("""COMPUTED_VALUE"""),TRUE)</f>
        <v>1</v>
      </c>
      <c r="R1256" s="2" t="str">
        <f ca="1">IFERROR(__xludf.DUMMYFUNCTION("""COMPUTED_VALUE"""),"Descubada")</f>
        <v>Descubada</v>
      </c>
      <c r="S1256" s="2"/>
      <c r="T1256" s="2"/>
      <c r="U1256" s="2"/>
    </row>
    <row r="1257" spans="1:21" x14ac:dyDescent="0.25">
      <c r="A1257" s="2" t="str">
        <f ca="1">IFERROR(__xludf.DUMMYFUNCTION("""COMPUTED_VALUE"""),"8647805e")</f>
        <v>8647805e</v>
      </c>
      <c r="B1257" s="5">
        <f ca="1">IFERROR(__xludf.DUMMYFUNCTION("""COMPUTED_VALUE"""),46083.8057291666)</f>
        <v>46083.805729166597</v>
      </c>
      <c r="C1257" s="2" t="str">
        <f ca="1">IFERROR(__xludf.DUMMYFUNCTION("""COMPUTED_VALUE"""),"fb826632")</f>
        <v>fb826632</v>
      </c>
      <c r="D1257" s="2">
        <f ca="1">IFERROR(__xludf.DUMMYFUNCTION("""COMPUTED_VALUE"""),85)</f>
        <v>85</v>
      </c>
      <c r="E1257" s="2" t="str">
        <f ca="1">IFERROR(__xludf.DUMMYFUNCTION("""COMPUTED_VALUE"""),"Syrah")</f>
        <v>Syrah</v>
      </c>
      <c r="F1257" s="2">
        <f ca="1">IFERROR(__xludf.DUMMYFUNCTION("""COMPUTED_VALUE"""),-6800)</f>
        <v>-6800</v>
      </c>
      <c r="G1257" s="2">
        <f ca="1">IFERROR(__xludf.DUMMYFUNCTION("""COMPUTED_VALUE"""),45)</f>
        <v>45</v>
      </c>
      <c r="H1257" s="2" t="str">
        <f ca="1">IFERROR(__xludf.DUMMYFUNCTION("""COMPUTED_VALUE"""),"6251eade")</f>
        <v>6251eade</v>
      </c>
      <c r="I1257" s="2" t="str">
        <f ca="1">IFERROR(__xludf.DUMMYFUNCTION("""COMPUTED_VALUE"""),"Malbec Rect")</f>
        <v>Malbec Rect</v>
      </c>
      <c r="J1257" s="2">
        <f ca="1">IFERROR(__xludf.DUMMYFUNCTION("""COMPUTED_VALUE"""),13200)</f>
        <v>13200</v>
      </c>
      <c r="K1257" s="2">
        <f ca="1">IFERROR(__xludf.DUMMYFUNCTION("""COMPUTED_VALUE"""),6400)</f>
        <v>6400</v>
      </c>
      <c r="L1257" s="2" t="str">
        <f ca="1">IFERROR(__xludf.DUMMYFUNCTION("""COMPUTED_VALUE"""),"6a732a3e")</f>
        <v>6a732a3e</v>
      </c>
      <c r="M1257" s="2" t="str">
        <f ca="1">IFERROR(__xludf.DUMMYFUNCTION("""COMPUTED_VALUE"""),"Malbec Rect")</f>
        <v>Malbec Rect</v>
      </c>
      <c r="N1257" s="2" t="str">
        <f ca="1">IFERROR(__xludf.DUMMYFUNCTION("""COMPUTED_VALUE"""),"rectificacion")</f>
        <v>rectificacion</v>
      </c>
      <c r="O1257" s="2" t="str">
        <f ca="1">IFERROR(__xludf.DUMMYFUNCTION("""COMPUTED_VALUE"""),"Fermentando")</f>
        <v>Fermentando</v>
      </c>
      <c r="P1257" s="2" t="str">
        <f ca="1">IFERROR(__xludf.DUMMYFUNCTION("""COMPUTED_VALUE"""),"Rectificado")</f>
        <v>Rectificado</v>
      </c>
      <c r="Q1257" s="2" t="b">
        <f ca="1">IFERROR(__xludf.DUMMYFUNCTION("""COMPUTED_VALUE"""),TRUE)</f>
        <v>1</v>
      </c>
      <c r="R1257" s="2" t="str">
        <f ca="1">IFERROR(__xludf.DUMMYFUNCTION("""COMPUTED_VALUE"""),"Rectificado")</f>
        <v>Rectificado</v>
      </c>
      <c r="S1257" s="2"/>
      <c r="T1257" s="2"/>
      <c r="U1257" s="2" t="str">
        <f ca="1">IFERROR(__xludf.DUMMYFUNCTION("""COMPUTED_VALUE"""),"2+")</f>
        <v>2+</v>
      </c>
    </row>
    <row r="1258" spans="1:21" x14ac:dyDescent="0.25">
      <c r="A1258" s="2" t="str">
        <f ca="1">IFERROR(__xludf.DUMMYFUNCTION("""COMPUTED_VALUE"""),"d78f4031")</f>
        <v>d78f4031</v>
      </c>
      <c r="B1258" s="5">
        <f ca="1">IFERROR(__xludf.DUMMYFUNCTION("""COMPUTED_VALUE"""),46083.8126736111)</f>
        <v>46083.812673611101</v>
      </c>
      <c r="C1258" s="2" t="str">
        <f ca="1">IFERROR(__xludf.DUMMYFUNCTION("""COMPUTED_VALUE"""),"49306261")</f>
        <v>49306261</v>
      </c>
      <c r="D1258" s="2">
        <f ca="1">IFERROR(__xludf.DUMMYFUNCTION("""COMPUTED_VALUE"""),77)</f>
        <v>77</v>
      </c>
      <c r="E1258" s="2" t="str">
        <f ca="1">IFERROR(__xludf.DUMMYFUNCTION("""COMPUTED_VALUE"""),"Chardonnay")</f>
        <v>Chardonnay</v>
      </c>
      <c r="F1258" s="2">
        <f ca="1">IFERROR(__xludf.DUMMYFUNCTION("""COMPUTED_VALUE"""),7500)</f>
        <v>7500</v>
      </c>
      <c r="G1258" s="2">
        <f ca="1">IFERROR(__xludf.DUMMYFUNCTION("""COMPUTED_VALUE"""),8)</f>
        <v>8</v>
      </c>
      <c r="H1258" s="2" t="str">
        <f ca="1">IFERROR(__xludf.DUMMYFUNCTION("""COMPUTED_VALUE"""),"0103419e")</f>
        <v>0103419e</v>
      </c>
      <c r="I1258" s="2" t="str">
        <f ca="1">IFERROR(__xludf.DUMMYFUNCTION("""COMPUTED_VALUE"""),"Chardonnay Mosto Rect")</f>
        <v>Chardonnay Mosto Rect</v>
      </c>
      <c r="J1258" s="2">
        <f ca="1">IFERROR(__xludf.DUMMYFUNCTION("""COMPUTED_VALUE"""),14500)</f>
        <v>14500</v>
      </c>
      <c r="K1258" s="2">
        <f ca="1">IFERROR(__xludf.DUMMYFUNCTION("""COMPUTED_VALUE"""),22000)</f>
        <v>22000</v>
      </c>
      <c r="L1258" s="2" t="str">
        <f ca="1">IFERROR(__xludf.DUMMYFUNCTION("""COMPUTED_VALUE"""),"3d2b21c3")</f>
        <v>3d2b21c3</v>
      </c>
      <c r="M1258" s="2" t="str">
        <f ca="1">IFERROR(__xludf.DUMMYFUNCTION("""COMPUTED_VALUE"""),"Chardonnay Mosto Rect")</f>
        <v>Chardonnay Mosto Rect</v>
      </c>
      <c r="N1258" s="2"/>
      <c r="O1258" s="2" t="str">
        <f ca="1">IFERROR(__xludf.DUMMYFUNCTION("""COMPUTED_VALUE"""),"Fermentando")</f>
        <v>Fermentando</v>
      </c>
      <c r="P1258" s="2" t="str">
        <f ca="1">IFERROR(__xludf.DUMMYFUNCTION("""COMPUTED_VALUE"""),"Rectificado")</f>
        <v>Rectificado</v>
      </c>
      <c r="Q1258" s="2" t="b">
        <f ca="1">IFERROR(__xludf.DUMMYFUNCTION("""COMPUTED_VALUE"""),TRUE)</f>
        <v>1</v>
      </c>
      <c r="R1258" s="2" t="str">
        <f ca="1">IFERROR(__xludf.DUMMYFUNCTION("""COMPUTED_VALUE"""),"Rectificado")</f>
        <v>Rectificado</v>
      </c>
      <c r="S1258" s="2"/>
      <c r="T1258" s="2"/>
      <c r="U1258" s="2"/>
    </row>
    <row r="1259" spans="1:21" x14ac:dyDescent="0.25">
      <c r="A1259" s="2" t="str">
        <f ca="1">IFERROR(__xludf.DUMMYFUNCTION("""COMPUTED_VALUE"""),"b1b1529e")</f>
        <v>b1b1529e</v>
      </c>
      <c r="B1259" s="5">
        <f ca="1">IFERROR(__xludf.DUMMYFUNCTION("""COMPUTED_VALUE"""),46083.8203587963)</f>
        <v>46083.8203587963</v>
      </c>
      <c r="C1259" s="2" t="str">
        <f ca="1">IFERROR(__xludf.DUMMYFUNCTION("""COMPUTED_VALUE"""),"f3de4bc0")</f>
        <v>f3de4bc0</v>
      </c>
      <c r="D1259" s="2">
        <f ca="1">IFERROR(__xludf.DUMMYFUNCTION("""COMPUTED_VALUE"""),81)</f>
        <v>81</v>
      </c>
      <c r="E1259" s="2" t="str">
        <f ca="1">IFERROR(__xludf.DUMMYFUNCTION("""COMPUTED_VALUE"""),"Merlot")</f>
        <v>Merlot</v>
      </c>
      <c r="F1259" s="2">
        <f ca="1">IFERROR(__xludf.DUMMYFUNCTION("""COMPUTED_VALUE"""),9500)</f>
        <v>9500</v>
      </c>
      <c r="G1259" s="2">
        <f ca="1">IFERROR(__xludf.DUMMYFUNCTION("""COMPUTED_VALUE"""),66)</f>
        <v>66</v>
      </c>
      <c r="H1259" s="2" t="str">
        <f ca="1">IFERROR(__xludf.DUMMYFUNCTION("""COMPUTED_VALUE"""),"5a47168a")</f>
        <v>5a47168a</v>
      </c>
      <c r="I1259" s="2" t="str">
        <f ca="1">IFERROR(__xludf.DUMMYFUNCTION("""COMPUTED_VALUE"""),"Aspirant")</f>
        <v>Aspirant</v>
      </c>
      <c r="J1259" s="2">
        <f ca="1">IFERROR(__xludf.DUMMYFUNCTION("""COMPUTED_VALUE"""),4000)</f>
        <v>4000</v>
      </c>
      <c r="K1259" s="2">
        <f ca="1">IFERROR(__xludf.DUMMYFUNCTION("""COMPUTED_VALUE"""),13500)</f>
        <v>13500</v>
      </c>
      <c r="L1259" s="2" t="str">
        <f ca="1">IFERROR(__xludf.DUMMYFUNCTION("""COMPUTED_VALUE"""),"8589d4e4")</f>
        <v>8589d4e4</v>
      </c>
      <c r="M1259" s="2" t="str">
        <f ca="1">IFERROR(__xludf.DUMMYFUNCTION("""COMPUTED_VALUE"""),"Merlot s/Asp")</f>
        <v>Merlot s/Asp</v>
      </c>
      <c r="N1259" s="2"/>
      <c r="O1259" s="2" t="str">
        <f ca="1">IFERROR(__xludf.DUMMYFUNCTION("""COMPUTED_VALUE"""),"Fermentando")</f>
        <v>Fermentando</v>
      </c>
      <c r="P1259" s="2" t="str">
        <f ca="1">IFERROR(__xludf.DUMMYFUNCTION("""COMPUTED_VALUE"""),"Fermentando")</f>
        <v>Fermentando</v>
      </c>
      <c r="Q1259" s="2" t="b">
        <f ca="1">IFERROR(__xludf.DUMMYFUNCTION("""COMPUTED_VALUE"""),FALSE)</f>
        <v>0</v>
      </c>
      <c r="R1259" s="2" t="str">
        <f ca="1">IFERROR(__xludf.DUMMYFUNCTION("""COMPUTED_VALUE"""),"Fermentando")</f>
        <v>Fermentando</v>
      </c>
      <c r="S1259" s="2"/>
      <c r="T1259" s="2"/>
      <c r="U1259" s="2"/>
    </row>
    <row r="1260" spans="1:21" x14ac:dyDescent="0.25">
      <c r="A1260" s="2" t="str">
        <f ca="1">IFERROR(__xludf.DUMMYFUNCTION("""COMPUTED_VALUE"""),"1f94d362")</f>
        <v>1f94d362</v>
      </c>
      <c r="B1260" s="5">
        <f ca="1">IFERROR(__xludf.DUMMYFUNCTION("""COMPUTED_VALUE"""),46083.8207407407)</f>
        <v>46083.820740740703</v>
      </c>
      <c r="C1260" s="2" t="str">
        <f ca="1">IFERROR(__xludf.DUMMYFUNCTION("""COMPUTED_VALUE"""),"f3de4bc0")</f>
        <v>f3de4bc0</v>
      </c>
      <c r="D1260" s="2">
        <f ca="1">IFERROR(__xludf.DUMMYFUNCTION("""COMPUTED_VALUE"""),81)</f>
        <v>81</v>
      </c>
      <c r="E1260" s="2" t="str">
        <f ca="1">IFERROR(__xludf.DUMMYFUNCTION("""COMPUTED_VALUE"""),"Merlot")</f>
        <v>Merlot</v>
      </c>
      <c r="F1260" s="2">
        <f ca="1">IFERROR(__xludf.DUMMYFUNCTION("""COMPUTED_VALUE"""),9500)</f>
        <v>9500</v>
      </c>
      <c r="G1260" s="2">
        <f ca="1">IFERROR(__xludf.DUMMYFUNCTION("""COMPUTED_VALUE"""),79)</f>
        <v>79</v>
      </c>
      <c r="H1260" s="2" t="str">
        <f ca="1">IFERROR(__xludf.DUMMYFUNCTION("""COMPUTED_VALUE"""),"c83c39f8")</f>
        <v>c83c39f8</v>
      </c>
      <c r="I1260" s="2" t="str">
        <f ca="1">IFERROR(__xludf.DUMMYFUNCTION("""COMPUTED_VALUE"""),"Aspirant")</f>
        <v>Aspirant</v>
      </c>
      <c r="J1260" s="2">
        <f ca="1">IFERROR(__xludf.DUMMYFUNCTION("""COMPUTED_VALUE"""),4250)</f>
        <v>4250</v>
      </c>
      <c r="K1260" s="2">
        <f ca="1">IFERROR(__xludf.DUMMYFUNCTION("""COMPUTED_VALUE"""),13750)</f>
        <v>13750</v>
      </c>
      <c r="L1260" s="2" t="str">
        <f ca="1">IFERROR(__xludf.DUMMYFUNCTION("""COMPUTED_VALUE"""),"3fd40691")</f>
        <v>3fd40691</v>
      </c>
      <c r="M1260" s="2" t="str">
        <f ca="1">IFERROR(__xludf.DUMMYFUNCTION("""COMPUTED_VALUE"""),"Merlot s/Asp")</f>
        <v>Merlot s/Asp</v>
      </c>
      <c r="N1260" s="2"/>
      <c r="O1260" s="2" t="str">
        <f ca="1">IFERROR(__xludf.DUMMYFUNCTION("""COMPUTED_VALUE"""),"Fermentando")</f>
        <v>Fermentando</v>
      </c>
      <c r="P1260" s="2" t="str">
        <f ca="1">IFERROR(__xludf.DUMMYFUNCTION("""COMPUTED_VALUE"""),"Fermentando")</f>
        <v>Fermentando</v>
      </c>
      <c r="Q1260" s="2" t="b">
        <f ca="1">IFERROR(__xludf.DUMMYFUNCTION("""COMPUTED_VALUE"""),FALSE)</f>
        <v>0</v>
      </c>
      <c r="R1260" s="2" t="str">
        <f ca="1">IFERROR(__xludf.DUMMYFUNCTION("""COMPUTED_VALUE"""),"Descubada")</f>
        <v>Descubada</v>
      </c>
      <c r="S1260" s="2"/>
      <c r="T1260" s="2"/>
      <c r="U1260" s="2"/>
    </row>
    <row r="1261" spans="1:21" x14ac:dyDescent="0.25">
      <c r="A1261" s="2" t="str">
        <f ca="1">IFERROR(__xludf.DUMMYFUNCTION("""COMPUTED_VALUE"""),"e7f86174")</f>
        <v>e7f86174</v>
      </c>
      <c r="B1261" s="5">
        <f ca="1">IFERROR(__xludf.DUMMYFUNCTION("""COMPUTED_VALUE"""),46083.8247453703)</f>
        <v>46083.824745370301</v>
      </c>
      <c r="C1261" s="2" t="str">
        <f ca="1">IFERROR(__xludf.DUMMYFUNCTION("""COMPUTED_VALUE"""),"8589d4e4")</f>
        <v>8589d4e4</v>
      </c>
      <c r="D1261" s="2">
        <f ca="1">IFERROR(__xludf.DUMMYFUNCTION("""COMPUTED_VALUE"""),66)</f>
        <v>66</v>
      </c>
      <c r="E1261" s="2" t="str">
        <f ca="1">IFERROR(__xludf.DUMMYFUNCTION("""COMPUTED_VALUE"""),"Merlot s/Asp")</f>
        <v>Merlot s/Asp</v>
      </c>
      <c r="F1261" s="2">
        <f ca="1">IFERROR(__xludf.DUMMYFUNCTION("""COMPUTED_VALUE"""),10500)</f>
        <v>10500</v>
      </c>
      <c r="G1261" s="2">
        <f ca="1">IFERROR(__xludf.DUMMYFUNCTION("""COMPUTED_VALUE"""),74)</f>
        <v>74</v>
      </c>
      <c r="H1261" s="2"/>
      <c r="I1261" s="2"/>
      <c r="J1261" s="2">
        <f ca="1">IFERROR(__xludf.DUMMYFUNCTION("""COMPUTED_VALUE"""),0)</f>
        <v>0</v>
      </c>
      <c r="K1261" s="2">
        <f ca="1">IFERROR(__xludf.DUMMYFUNCTION("""COMPUTED_VALUE"""),10500)</f>
        <v>10500</v>
      </c>
      <c r="L1261" s="2" t="str">
        <f ca="1">IFERROR(__xludf.DUMMYFUNCTION("""COMPUTED_VALUE"""),"864244ea")</f>
        <v>864244ea</v>
      </c>
      <c r="M1261" s="2"/>
      <c r="N1261" s="2"/>
      <c r="O1261" s="2" t="str">
        <f ca="1">IFERROR(__xludf.DUMMYFUNCTION("""COMPUTED_VALUE"""),"Fermentando")</f>
        <v>Fermentando</v>
      </c>
      <c r="P1261" s="2"/>
      <c r="Q1261" s="2" t="b">
        <f ca="1">IFERROR(__xludf.DUMMYFUNCTION("""COMPUTED_VALUE"""),TRUE)</f>
        <v>1</v>
      </c>
      <c r="R1261" s="2"/>
      <c r="S1261" s="2"/>
      <c r="T1261" s="2"/>
      <c r="U1261" s="2"/>
    </row>
    <row r="1262" spans="1:21" x14ac:dyDescent="0.25">
      <c r="A1262" s="2" t="str">
        <f ca="1">IFERROR(__xludf.DUMMYFUNCTION("""COMPUTED_VALUE"""),"dbbb6512")</f>
        <v>dbbb6512</v>
      </c>
      <c r="B1262" s="5">
        <f ca="1">IFERROR(__xludf.DUMMYFUNCTION("""COMPUTED_VALUE"""),46083.8252314814)</f>
        <v>46083.825231481402</v>
      </c>
      <c r="C1262" s="2" t="str">
        <f ca="1">IFERROR(__xludf.DUMMYFUNCTION("""COMPUTED_VALUE"""),"3fd40691")</f>
        <v>3fd40691</v>
      </c>
      <c r="D1262" s="2">
        <f ca="1">IFERROR(__xludf.DUMMYFUNCTION("""COMPUTED_VALUE"""),79)</f>
        <v>79</v>
      </c>
      <c r="E1262" s="2" t="str">
        <f ca="1">IFERROR(__xludf.DUMMYFUNCTION("""COMPUTED_VALUE"""),"Merlot s/Asp")</f>
        <v>Merlot s/Asp</v>
      </c>
      <c r="F1262" s="2">
        <f ca="1">IFERROR(__xludf.DUMMYFUNCTION("""COMPUTED_VALUE"""),2500)</f>
        <v>2500</v>
      </c>
      <c r="G1262" s="2">
        <f ca="1">IFERROR(__xludf.DUMMYFUNCTION("""COMPUTED_VALUE"""),74)</f>
        <v>74</v>
      </c>
      <c r="H1262" s="2" t="str">
        <f ca="1">IFERROR(__xludf.DUMMYFUNCTION("""COMPUTED_VALUE"""),"864244ea")</f>
        <v>864244ea</v>
      </c>
      <c r="I1262" s="2"/>
      <c r="J1262" s="2">
        <f ca="1">IFERROR(__xludf.DUMMYFUNCTION("""COMPUTED_VALUE"""),10500)</f>
        <v>10500</v>
      </c>
      <c r="K1262" s="2">
        <f ca="1">IFERROR(__xludf.DUMMYFUNCTION("""COMPUTED_VALUE"""),13000)</f>
        <v>13000</v>
      </c>
      <c r="L1262" s="2" t="str">
        <f ca="1">IFERROR(__xludf.DUMMYFUNCTION("""COMPUTED_VALUE"""),"f5ce46f7")</f>
        <v>f5ce46f7</v>
      </c>
      <c r="M1262" s="2"/>
      <c r="N1262" s="2"/>
      <c r="O1262" s="2" t="str">
        <f ca="1">IFERROR(__xludf.DUMMYFUNCTION("""COMPUTED_VALUE"""),"Descubada")</f>
        <v>Descubada</v>
      </c>
      <c r="P1262" s="2"/>
      <c r="Q1262" s="2" t="b">
        <f ca="1">IFERROR(__xludf.DUMMYFUNCTION("""COMPUTED_VALUE"""),TRUE)</f>
        <v>1</v>
      </c>
      <c r="R1262" s="2"/>
      <c r="S1262" s="2"/>
      <c r="T1262" s="2"/>
      <c r="U1262" s="2"/>
    </row>
    <row r="1263" spans="1:21" x14ac:dyDescent="0.25">
      <c r="A1263" s="2" t="str">
        <f ca="1">IFERROR(__xludf.DUMMYFUNCTION("""COMPUTED_VALUE"""),"bcd539a0")</f>
        <v>bcd539a0</v>
      </c>
      <c r="B1263" s="5">
        <f ca="1">IFERROR(__xludf.DUMMYFUNCTION("""COMPUTED_VALUE"""),46083.8268981481)</f>
        <v>46083.826898148101</v>
      </c>
      <c r="C1263" s="2" t="str">
        <f ca="1">IFERROR(__xludf.DUMMYFUNCTION("""COMPUTED_VALUE"""),"0c02f3ad")</f>
        <v>0c02f3ad</v>
      </c>
      <c r="D1263" s="2">
        <f ca="1">IFERROR(__xludf.DUMMYFUNCTION("""COMPUTED_VALUE"""),82)</f>
        <v>82</v>
      </c>
      <c r="E1263" s="2" t="str">
        <f ca="1">IFERROR(__xludf.DUMMYFUNCTION("""COMPUTED_VALUE"""),"Aspirant Ancc")</f>
        <v>Aspirant Ancc</v>
      </c>
      <c r="F1263" s="2">
        <f ca="1">IFERROR(__xludf.DUMMYFUNCTION("""COMPUTED_VALUE"""),4250)</f>
        <v>4250</v>
      </c>
      <c r="G1263" s="2">
        <f ca="1">IFERROR(__xludf.DUMMYFUNCTION("""COMPUTED_VALUE"""),46)</f>
        <v>46</v>
      </c>
      <c r="H1263" s="2" t="str">
        <f ca="1">IFERROR(__xludf.DUMMYFUNCTION("""COMPUTED_VALUE"""),"bfa7866a")</f>
        <v>bfa7866a</v>
      </c>
      <c r="I1263" s="2" t="str">
        <f ca="1">IFERROR(__xludf.DUMMYFUNCTION("""COMPUTED_VALUE"""),"Aspirant")</f>
        <v>Aspirant</v>
      </c>
      <c r="J1263" s="2">
        <f ca="1">IFERROR(__xludf.DUMMYFUNCTION("""COMPUTED_VALUE"""),24750)</f>
        <v>24750</v>
      </c>
      <c r="K1263" s="2">
        <f ca="1">IFERROR(__xludf.DUMMYFUNCTION("""COMPUTED_VALUE"""),29000)</f>
        <v>29000</v>
      </c>
      <c r="L1263" s="2" t="str">
        <f ca="1">IFERROR(__xludf.DUMMYFUNCTION("""COMPUTED_VALUE"""),"555ad119")</f>
        <v>555ad119</v>
      </c>
      <c r="M1263" s="2" t="str">
        <f ca="1">IFERROR(__xludf.DUMMYFUNCTION("""COMPUTED_VALUE"""),"Aspirant")</f>
        <v>Aspirant</v>
      </c>
      <c r="N1263" s="2"/>
      <c r="O1263" s="2" t="str">
        <f ca="1">IFERROR(__xludf.DUMMYFUNCTION("""COMPUTED_VALUE"""),"Fermentando")</f>
        <v>Fermentando</v>
      </c>
      <c r="P1263" s="2" t="str">
        <f ca="1">IFERROR(__xludf.DUMMYFUNCTION("""COMPUTED_VALUE"""),"Descubada")</f>
        <v>Descubada</v>
      </c>
      <c r="Q1263" s="2" t="b">
        <f ca="1">IFERROR(__xludf.DUMMYFUNCTION("""COMPUTED_VALUE"""),TRUE)</f>
        <v>1</v>
      </c>
      <c r="R1263" s="2" t="str">
        <f ca="1">IFERROR(__xludf.DUMMYFUNCTION("""COMPUTED_VALUE"""),"Descubada")</f>
        <v>Descubada</v>
      </c>
      <c r="S1263" s="2"/>
      <c r="T1263" s="2"/>
      <c r="U1263" s="2"/>
    </row>
    <row r="1264" spans="1:21" x14ac:dyDescent="0.25">
      <c r="A1264" s="2" t="str">
        <f ca="1">IFERROR(__xludf.DUMMYFUNCTION("""COMPUTED_VALUE"""),"dee8310e")</f>
        <v>dee8310e</v>
      </c>
      <c r="B1264" s="5">
        <f ca="1">IFERROR(__xludf.DUMMYFUNCTION("""COMPUTED_VALUE"""),46083.8280324074)</f>
        <v>46083.8280324074</v>
      </c>
      <c r="C1264" s="2" t="str">
        <f ca="1">IFERROR(__xludf.DUMMYFUNCTION("""COMPUTED_VALUE"""),"0c02f3ad")</f>
        <v>0c02f3ad</v>
      </c>
      <c r="D1264" s="2">
        <f ca="1">IFERROR(__xludf.DUMMYFUNCTION("""COMPUTED_VALUE"""),82)</f>
        <v>82</v>
      </c>
      <c r="E1264" s="2" t="str">
        <f ca="1">IFERROR(__xludf.DUMMYFUNCTION("""COMPUTED_VALUE"""),"Aspirant Ancc")</f>
        <v>Aspirant Ancc</v>
      </c>
      <c r="F1264" s="2">
        <f ca="1">IFERROR(__xludf.DUMMYFUNCTION("""COMPUTED_VALUE"""),14000)</f>
        <v>14000</v>
      </c>
      <c r="G1264" s="2">
        <f ca="1">IFERROR(__xludf.DUMMYFUNCTION("""COMPUTED_VALUE"""),16)</f>
        <v>16</v>
      </c>
      <c r="H1264" s="2"/>
      <c r="I1264" s="2"/>
      <c r="J1264" s="2">
        <f ca="1">IFERROR(__xludf.DUMMYFUNCTION("""COMPUTED_VALUE"""),0)</f>
        <v>0</v>
      </c>
      <c r="K1264" s="2">
        <f ca="1">IFERROR(__xludf.DUMMYFUNCTION("""COMPUTED_VALUE"""),14000)</f>
        <v>14000</v>
      </c>
      <c r="L1264" s="2" t="str">
        <f ca="1">IFERROR(__xludf.DUMMYFUNCTION("""COMPUTED_VALUE"""),"59dbc8fe")</f>
        <v>59dbc8fe</v>
      </c>
      <c r="M1264" s="2" t="str">
        <f ca="1">IFERROR(__xludf.DUMMYFUNCTION("""COMPUTED_VALUE"""),"Aspirant Ancc")</f>
        <v>Aspirant Ancc</v>
      </c>
      <c r="N1264" s="2"/>
      <c r="O1264" s="2" t="str">
        <f ca="1">IFERROR(__xludf.DUMMYFUNCTION("""COMPUTED_VALUE"""),"Fermentando")</f>
        <v>Fermentando</v>
      </c>
      <c r="P1264" s="2"/>
      <c r="Q1264" s="2" t="b">
        <f ca="1">IFERROR(__xludf.DUMMYFUNCTION("""COMPUTED_VALUE"""),FALSE)</f>
        <v>0</v>
      </c>
      <c r="R1264" s="2" t="str">
        <f ca="1">IFERROR(__xludf.DUMMYFUNCTION("""COMPUTED_VALUE"""),"Descubada")</f>
        <v>Descubada</v>
      </c>
      <c r="S1264" s="2"/>
      <c r="T1264" s="2"/>
      <c r="U1264" s="2"/>
    </row>
    <row r="1265" spans="1:21" x14ac:dyDescent="0.25">
      <c r="A1265" s="2" t="str">
        <f ca="1">IFERROR(__xludf.DUMMYFUNCTION("""COMPUTED_VALUE"""),"4a48d5c2")</f>
        <v>4a48d5c2</v>
      </c>
      <c r="B1265" s="5">
        <f ca="1">IFERROR(__xludf.DUMMYFUNCTION("""COMPUTED_VALUE"""),46083.8327430555)</f>
        <v>46083.8327430555</v>
      </c>
      <c r="C1265" s="2" t="str">
        <f ca="1">IFERROR(__xludf.DUMMYFUNCTION("""COMPUTED_VALUE"""),"fb826632")</f>
        <v>fb826632</v>
      </c>
      <c r="D1265" s="2">
        <f ca="1">IFERROR(__xludf.DUMMYFUNCTION("""COMPUTED_VALUE"""),85)</f>
        <v>85</v>
      </c>
      <c r="E1265" s="2" t="str">
        <f ca="1">IFERROR(__xludf.DUMMYFUNCTION("""COMPUTED_VALUE"""),"Syrah")</f>
        <v>Syrah</v>
      </c>
      <c r="F1265" s="2">
        <f ca="1">IFERROR(__xludf.DUMMYFUNCTION("""COMPUTED_VALUE"""),10000)</f>
        <v>10000</v>
      </c>
      <c r="G1265" s="2">
        <f ca="1">IFERROR(__xludf.DUMMYFUNCTION("""COMPUTED_VALUE"""),82)</f>
        <v>82</v>
      </c>
      <c r="H1265" s="2" t="str">
        <f ca="1">IFERROR(__xludf.DUMMYFUNCTION("""COMPUTED_VALUE"""),"0c02f3ad")</f>
        <v>0c02f3ad</v>
      </c>
      <c r="I1265" s="2" t="str">
        <f ca="1">IFERROR(__xludf.DUMMYFUNCTION("""COMPUTED_VALUE"""),"Aspirant Ancc")</f>
        <v>Aspirant Ancc</v>
      </c>
      <c r="J1265" s="2">
        <f ca="1">IFERROR(__xludf.DUMMYFUNCTION("""COMPUTED_VALUE"""),9750)</f>
        <v>9750</v>
      </c>
      <c r="K1265" s="2">
        <f ca="1">IFERROR(__xludf.DUMMYFUNCTION("""COMPUTED_VALUE"""),19750)</f>
        <v>19750</v>
      </c>
      <c r="L1265" s="2" t="str">
        <f ca="1">IFERROR(__xludf.DUMMYFUNCTION("""COMPUTED_VALUE"""),"8d429f4c")</f>
        <v>8d429f4c</v>
      </c>
      <c r="M1265" s="2" t="str">
        <f ca="1">IFERROR(__xludf.DUMMYFUNCTION("""COMPUTED_VALUE"""),"Syrah s/Asp")</f>
        <v>Syrah s/Asp</v>
      </c>
      <c r="N1265" s="2"/>
      <c r="O1265" s="2" t="str">
        <f ca="1">IFERROR(__xludf.DUMMYFUNCTION("""COMPUTED_VALUE"""),"Fermentando")</f>
        <v>Fermentando</v>
      </c>
      <c r="P1265" s="2" t="str">
        <f ca="1">IFERROR(__xludf.DUMMYFUNCTION("""COMPUTED_VALUE"""),"Fermentando")</f>
        <v>Fermentando</v>
      </c>
      <c r="Q1265" s="2" t="b">
        <f ca="1">IFERROR(__xludf.DUMMYFUNCTION("""COMPUTED_VALUE"""),FALSE)</f>
        <v>0</v>
      </c>
      <c r="R1265" s="2" t="str">
        <f ca="1">IFERROR(__xludf.DUMMYFUNCTION("""COMPUTED_VALUE"""),"Fermentando")</f>
        <v>Fermentando</v>
      </c>
      <c r="S1265" s="2"/>
      <c r="T1265" s="2"/>
      <c r="U1265" s="2"/>
    </row>
    <row r="1266" spans="1:21" x14ac:dyDescent="0.25">
      <c r="A1266" s="2" t="str">
        <f ca="1">IFERROR(__xludf.DUMMYFUNCTION("""COMPUTED_VALUE"""),"6b35504e")</f>
        <v>6b35504e</v>
      </c>
      <c r="B1266" s="5">
        <f ca="1">IFERROR(__xludf.DUMMYFUNCTION("""COMPUTED_VALUE"""),46083.8336226851)</f>
        <v>46083.833622685102</v>
      </c>
      <c r="C1266" s="2" t="str">
        <f ca="1">IFERROR(__xludf.DUMMYFUNCTION("""COMPUTED_VALUE"""),"fb826632")</f>
        <v>fb826632</v>
      </c>
      <c r="D1266" s="2">
        <f ca="1">IFERROR(__xludf.DUMMYFUNCTION("""COMPUTED_VALUE"""),85)</f>
        <v>85</v>
      </c>
      <c r="E1266" s="2" t="str">
        <f ca="1">IFERROR(__xludf.DUMMYFUNCTION("""COMPUTED_VALUE"""),"Syrah")</f>
        <v>Syrah</v>
      </c>
      <c r="F1266" s="2">
        <f ca="1">IFERROR(__xludf.DUMMYFUNCTION("""COMPUTED_VALUE"""),7000)</f>
        <v>7000</v>
      </c>
      <c r="G1266" s="2">
        <f ca="1">IFERROR(__xludf.DUMMYFUNCTION("""COMPUTED_VALUE"""),79)</f>
        <v>79</v>
      </c>
      <c r="H1266" s="2" t="str">
        <f ca="1">IFERROR(__xludf.DUMMYFUNCTION("""COMPUTED_VALUE"""),"3fd40691")</f>
        <v>3fd40691</v>
      </c>
      <c r="I1266" s="2" t="str">
        <f ca="1">IFERROR(__xludf.DUMMYFUNCTION("""COMPUTED_VALUE"""),"Merlot s/Asp")</f>
        <v>Merlot s/Asp</v>
      </c>
      <c r="J1266" s="2">
        <f ca="1">IFERROR(__xludf.DUMMYFUNCTION("""COMPUTED_VALUE"""),11250)</f>
        <v>11250</v>
      </c>
      <c r="K1266" s="2">
        <f ca="1">IFERROR(__xludf.DUMMYFUNCTION("""COMPUTED_VALUE"""),18250)</f>
        <v>18250</v>
      </c>
      <c r="L1266" s="2" t="str">
        <f ca="1">IFERROR(__xludf.DUMMYFUNCTION("""COMPUTED_VALUE"""),"d7315025")</f>
        <v>d7315025</v>
      </c>
      <c r="M1266" s="2" t="str">
        <f ca="1">IFERROR(__xludf.DUMMYFUNCTION("""COMPUTED_VALUE"""),"Syrah s/Asp 2")</f>
        <v>Syrah s/Asp 2</v>
      </c>
      <c r="N1266" s="2"/>
      <c r="O1266" s="2" t="str">
        <f ca="1">IFERROR(__xludf.DUMMYFUNCTION("""COMPUTED_VALUE"""),"Fermentando")</f>
        <v>Fermentando</v>
      </c>
      <c r="P1266" s="2" t="str">
        <f ca="1">IFERROR(__xludf.DUMMYFUNCTION("""COMPUTED_VALUE"""),"Descubada")</f>
        <v>Descubada</v>
      </c>
      <c r="Q1266" s="2" t="b">
        <f ca="1">IFERROR(__xludf.DUMMYFUNCTION("""COMPUTED_VALUE"""),FALSE)</f>
        <v>0</v>
      </c>
      <c r="R1266" s="2" t="str">
        <f ca="1">IFERROR(__xludf.DUMMYFUNCTION("""COMPUTED_VALUE"""),"Fermentando")</f>
        <v>Fermentando</v>
      </c>
      <c r="S1266" s="2"/>
      <c r="T1266" s="2"/>
      <c r="U1266" s="2"/>
    </row>
    <row r="1267" spans="1:21" x14ac:dyDescent="0.25">
      <c r="A1267" s="2" t="str">
        <f ca="1">IFERROR(__xludf.DUMMYFUNCTION("""COMPUTED_VALUE"""),"83252633")</f>
        <v>83252633</v>
      </c>
      <c r="B1267" s="5">
        <f ca="1">IFERROR(__xludf.DUMMYFUNCTION("""COMPUTED_VALUE"""),46083.8342129629)</f>
        <v>46083.834212962902</v>
      </c>
      <c r="C1267" s="2" t="str">
        <f ca="1">IFERROR(__xludf.DUMMYFUNCTION("""COMPUTED_VALUE"""),"fb826632")</f>
        <v>fb826632</v>
      </c>
      <c r="D1267" s="2">
        <f ca="1">IFERROR(__xludf.DUMMYFUNCTION("""COMPUTED_VALUE"""),85)</f>
        <v>85</v>
      </c>
      <c r="E1267" s="2" t="str">
        <f ca="1">IFERROR(__xludf.DUMMYFUNCTION("""COMPUTED_VALUE"""),"Syrah")</f>
        <v>Syrah</v>
      </c>
      <c r="F1267" s="2">
        <f ca="1">IFERROR(__xludf.DUMMYFUNCTION("""COMPUTED_VALUE"""),16000)</f>
        <v>16000</v>
      </c>
      <c r="G1267" s="2">
        <f ca="1">IFERROR(__xludf.DUMMYFUNCTION("""COMPUTED_VALUE"""),66)</f>
        <v>66</v>
      </c>
      <c r="H1267" s="2" t="str">
        <f ca="1">IFERROR(__xludf.DUMMYFUNCTION("""COMPUTED_VALUE"""),"8589d4e4")</f>
        <v>8589d4e4</v>
      </c>
      <c r="I1267" s="2" t="str">
        <f ca="1">IFERROR(__xludf.DUMMYFUNCTION("""COMPUTED_VALUE"""),"Merlot s/Asp")</f>
        <v>Merlot s/Asp</v>
      </c>
      <c r="J1267" s="2">
        <f ca="1">IFERROR(__xludf.DUMMYFUNCTION("""COMPUTED_VALUE"""),3000)</f>
        <v>3000</v>
      </c>
      <c r="K1267" s="2">
        <f ca="1">IFERROR(__xludf.DUMMYFUNCTION("""COMPUTED_VALUE"""),19000)</f>
        <v>19000</v>
      </c>
      <c r="L1267" s="2" t="str">
        <f ca="1">IFERROR(__xludf.DUMMYFUNCTION("""COMPUTED_VALUE"""),"fdccbcf1")</f>
        <v>fdccbcf1</v>
      </c>
      <c r="M1267" s="2" t="str">
        <f ca="1">IFERROR(__xludf.DUMMYFUNCTION("""COMPUTED_VALUE"""),"Syrah s/Asp 2")</f>
        <v>Syrah s/Asp 2</v>
      </c>
      <c r="N1267" s="2"/>
      <c r="O1267" s="2" t="str">
        <f ca="1">IFERROR(__xludf.DUMMYFUNCTION("""COMPUTED_VALUE"""),"Fermentando")</f>
        <v>Fermentando</v>
      </c>
      <c r="P1267" s="2" t="str">
        <f ca="1">IFERROR(__xludf.DUMMYFUNCTION("""COMPUTED_VALUE"""),"Fermentando")</f>
        <v>Fermentando</v>
      </c>
      <c r="Q1267" s="2" t="b">
        <f ca="1">IFERROR(__xludf.DUMMYFUNCTION("""COMPUTED_VALUE"""),FALSE)</f>
        <v>0</v>
      </c>
      <c r="R1267" s="2" t="str">
        <f ca="1">IFERROR(__xludf.DUMMYFUNCTION("""COMPUTED_VALUE"""),"Fermentando")</f>
        <v>Fermentando</v>
      </c>
      <c r="S1267" s="2"/>
      <c r="T1267" s="2"/>
      <c r="U1267" s="2"/>
    </row>
    <row r="1268" spans="1:21" x14ac:dyDescent="0.25">
      <c r="A1268" s="2" t="str">
        <f ca="1">IFERROR(__xludf.DUMMYFUNCTION("""COMPUTED_VALUE"""),"69ec50d9")</f>
        <v>69ec50d9</v>
      </c>
      <c r="B1268" s="5">
        <f ca="1">IFERROR(__xludf.DUMMYFUNCTION("""COMPUTED_VALUE"""),46083.8349768518)</f>
        <v>46083.834976851802</v>
      </c>
      <c r="C1268" s="2" t="str">
        <f ca="1">IFERROR(__xludf.DUMMYFUNCTION("""COMPUTED_VALUE"""),"fb826632")</f>
        <v>fb826632</v>
      </c>
      <c r="D1268" s="2">
        <f ca="1">IFERROR(__xludf.DUMMYFUNCTION("""COMPUTED_VALUE"""),85)</f>
        <v>85</v>
      </c>
      <c r="E1268" s="2" t="str">
        <f ca="1">IFERROR(__xludf.DUMMYFUNCTION("""COMPUTED_VALUE"""),"Syrah")</f>
        <v>Syrah</v>
      </c>
      <c r="F1268" s="2">
        <f ca="1">IFERROR(__xludf.DUMMYFUNCTION("""COMPUTED_VALUE"""),17000)</f>
        <v>17000</v>
      </c>
      <c r="G1268" s="2">
        <f ca="1">IFERROR(__xludf.DUMMYFUNCTION("""COMPUTED_VALUE"""),82)</f>
        <v>82</v>
      </c>
      <c r="H1268" s="2" t="str">
        <f ca="1">IFERROR(__xludf.DUMMYFUNCTION("""COMPUTED_VALUE"""),"8d429f4c")</f>
        <v>8d429f4c</v>
      </c>
      <c r="I1268" s="2" t="str">
        <f ca="1">IFERROR(__xludf.DUMMYFUNCTION("""COMPUTED_VALUE"""),"Syrah s/Asp")</f>
        <v>Syrah s/Asp</v>
      </c>
      <c r="J1268" s="2">
        <f ca="1">IFERROR(__xludf.DUMMYFUNCTION("""COMPUTED_VALUE"""),19750)</f>
        <v>19750</v>
      </c>
      <c r="K1268" s="2">
        <f ca="1">IFERROR(__xludf.DUMMYFUNCTION("""COMPUTED_VALUE"""),36750)</f>
        <v>36750</v>
      </c>
      <c r="L1268" s="2" t="str">
        <f ca="1">IFERROR(__xludf.DUMMYFUNCTION("""COMPUTED_VALUE"""),"d9c4d0aa")</f>
        <v>d9c4d0aa</v>
      </c>
      <c r="M1268" s="2" t="str">
        <f ca="1">IFERROR(__xludf.DUMMYFUNCTION("""COMPUTED_VALUE"""),"Syrah s/Asp")</f>
        <v>Syrah s/Asp</v>
      </c>
      <c r="N1268" s="2"/>
      <c r="O1268" s="2" t="str">
        <f ca="1">IFERROR(__xludf.DUMMYFUNCTION("""COMPUTED_VALUE"""),"Fermentando")</f>
        <v>Fermentando</v>
      </c>
      <c r="P1268" s="2" t="str">
        <f ca="1">IFERROR(__xludf.DUMMYFUNCTION("""COMPUTED_VALUE"""),"Fermentando")</f>
        <v>Fermentando</v>
      </c>
      <c r="Q1268" s="2" t="b">
        <f ca="1">IFERROR(__xludf.DUMMYFUNCTION("""COMPUTED_VALUE"""),TRUE)</f>
        <v>1</v>
      </c>
      <c r="R1268" s="2" t="str">
        <f ca="1">IFERROR(__xludf.DUMMYFUNCTION("""COMPUTED_VALUE"""),"Fermentando")</f>
        <v>Fermentando</v>
      </c>
      <c r="S1268" s="2"/>
      <c r="T1268" s="2"/>
      <c r="U1268" s="2"/>
    </row>
    <row r="1269" spans="1:21" x14ac:dyDescent="0.25">
      <c r="A1269" s="2" t="str">
        <f ca="1">IFERROR(__xludf.DUMMYFUNCTION("""COMPUTED_VALUE"""),"9ca9cdf8")</f>
        <v>9ca9cdf8</v>
      </c>
      <c r="B1269" s="5">
        <f ca="1">IFERROR(__xludf.DUMMYFUNCTION("""COMPUTED_VALUE"""),46083.835324074)</f>
        <v>46083.835324074003</v>
      </c>
      <c r="C1269" s="2" t="str">
        <f ca="1">IFERROR(__xludf.DUMMYFUNCTION("""COMPUTED_VALUE"""),"fb826632")</f>
        <v>fb826632</v>
      </c>
      <c r="D1269" s="2">
        <f ca="1">IFERROR(__xludf.DUMMYFUNCTION("""COMPUTED_VALUE"""),85)</f>
        <v>85</v>
      </c>
      <c r="E1269" s="2" t="str">
        <f ca="1">IFERROR(__xludf.DUMMYFUNCTION("""COMPUTED_VALUE"""),"Syrah")</f>
        <v>Syrah</v>
      </c>
      <c r="F1269" s="2">
        <f ca="1">IFERROR(__xludf.DUMMYFUNCTION("""COMPUTED_VALUE"""),3500)</f>
        <v>3500</v>
      </c>
      <c r="G1269" s="2">
        <f ca="1">IFERROR(__xludf.DUMMYFUNCTION("""COMPUTED_VALUE"""),79)</f>
        <v>79</v>
      </c>
      <c r="H1269" s="2" t="str">
        <f ca="1">IFERROR(__xludf.DUMMYFUNCTION("""COMPUTED_VALUE"""),"d7315025")</f>
        <v>d7315025</v>
      </c>
      <c r="I1269" s="2" t="str">
        <f ca="1">IFERROR(__xludf.DUMMYFUNCTION("""COMPUTED_VALUE"""),"Syrah s/Asp 2")</f>
        <v>Syrah s/Asp 2</v>
      </c>
      <c r="J1269" s="2">
        <f ca="1">IFERROR(__xludf.DUMMYFUNCTION("""COMPUTED_VALUE"""),18250)</f>
        <v>18250</v>
      </c>
      <c r="K1269" s="2">
        <f ca="1">IFERROR(__xludf.DUMMYFUNCTION("""COMPUTED_VALUE"""),21750)</f>
        <v>21750</v>
      </c>
      <c r="L1269" s="2" t="str">
        <f ca="1">IFERROR(__xludf.DUMMYFUNCTION("""COMPUTED_VALUE"""),"5fb8b8c6")</f>
        <v>5fb8b8c6</v>
      </c>
      <c r="M1269" s="2" t="str">
        <f ca="1">IFERROR(__xludf.DUMMYFUNCTION("""COMPUTED_VALUE"""),"Syrah s/Asp 2")</f>
        <v>Syrah s/Asp 2</v>
      </c>
      <c r="N1269" s="2"/>
      <c r="O1269" s="2" t="str">
        <f ca="1">IFERROR(__xludf.DUMMYFUNCTION("""COMPUTED_VALUE"""),"Fermentando")</f>
        <v>Fermentando</v>
      </c>
      <c r="P1269" s="2" t="str">
        <f ca="1">IFERROR(__xludf.DUMMYFUNCTION("""COMPUTED_VALUE"""),"Fermentando")</f>
        <v>Fermentando</v>
      </c>
      <c r="Q1269" s="2" t="b">
        <f ca="1">IFERROR(__xludf.DUMMYFUNCTION("""COMPUTED_VALUE"""),TRUE)</f>
        <v>1</v>
      </c>
      <c r="R1269" s="2" t="str">
        <f ca="1">IFERROR(__xludf.DUMMYFUNCTION("""COMPUTED_VALUE"""),"Fermentando")</f>
        <v>Fermentando</v>
      </c>
      <c r="S1269" s="2"/>
      <c r="T1269" s="2"/>
      <c r="U1269" s="2"/>
    </row>
    <row r="1270" spans="1:21" x14ac:dyDescent="0.25">
      <c r="A1270" s="2" t="str">
        <f ca="1">IFERROR(__xludf.DUMMYFUNCTION("""COMPUTED_VALUE"""),"1fe665bc")</f>
        <v>1fe665bc</v>
      </c>
      <c r="B1270" s="5">
        <f ca="1">IFERROR(__xludf.DUMMYFUNCTION("""COMPUTED_VALUE"""),46083.8391550925)</f>
        <v>46083.839155092501</v>
      </c>
      <c r="C1270" s="2" t="str">
        <f ca="1">IFERROR(__xludf.DUMMYFUNCTION("""COMPUTED_VALUE"""),"a5f14d91")</f>
        <v>a5f14d91</v>
      </c>
      <c r="D1270" s="2">
        <f ca="1">IFERROR(__xludf.DUMMYFUNCTION("""COMPUTED_VALUE"""),71)</f>
        <v>71</v>
      </c>
      <c r="E1270" s="2" t="str">
        <f ca="1">IFERROR(__xludf.DUMMYFUNCTION("""COMPUTED_VALUE"""),"Chardonnay")</f>
        <v>Chardonnay</v>
      </c>
      <c r="F1270" s="2">
        <f ca="1">IFERROR(__xludf.DUMMYFUNCTION("""COMPUTED_VALUE"""),2000)</f>
        <v>2000</v>
      </c>
      <c r="G1270" s="2">
        <f ca="1">IFERROR(__xludf.DUMMYFUNCTION("""COMPUTED_VALUE"""),40)</f>
        <v>40</v>
      </c>
      <c r="H1270" s="2" t="str">
        <f ca="1">IFERROR(__xludf.DUMMYFUNCTION("""COMPUTED_VALUE"""),"547f7e13")</f>
        <v>547f7e13</v>
      </c>
      <c r="I1270" s="2" t="str">
        <f ca="1">IFERROR(__xludf.DUMMYFUNCTION("""COMPUTED_VALUE"""),"Chardonnay")</f>
        <v>Chardonnay</v>
      </c>
      <c r="J1270" s="2">
        <f ca="1">IFERROR(__xludf.DUMMYFUNCTION("""COMPUTED_VALUE"""),22000)</f>
        <v>22000</v>
      </c>
      <c r="K1270" s="2">
        <f ca="1">IFERROR(__xludf.DUMMYFUNCTION("""COMPUTED_VALUE"""),24000)</f>
        <v>24000</v>
      </c>
      <c r="L1270" s="2" t="str">
        <f ca="1">IFERROR(__xludf.DUMMYFUNCTION("""COMPUTED_VALUE"""),"964bb1ba")</f>
        <v>964bb1ba</v>
      </c>
      <c r="M1270" s="2" t="str">
        <f ca="1">IFERROR(__xludf.DUMMYFUNCTION("""COMPUTED_VALUE"""),"Chardonnay")</f>
        <v>Chardonnay</v>
      </c>
      <c r="N1270" s="2"/>
      <c r="O1270" s="2" t="str">
        <f ca="1">IFERROR(__xludf.DUMMYFUNCTION("""COMPUTED_VALUE"""),"Fermentando")</f>
        <v>Fermentando</v>
      </c>
      <c r="P1270" s="2" t="str">
        <f ca="1">IFERROR(__xludf.DUMMYFUNCTION("""COMPUTED_VALUE"""),"Descubada")</f>
        <v>Descubada</v>
      </c>
      <c r="Q1270" s="2" t="b">
        <f ca="1">IFERROR(__xludf.DUMMYFUNCTION("""COMPUTED_VALUE"""),TRUE)</f>
        <v>1</v>
      </c>
      <c r="R1270" s="2" t="str">
        <f ca="1">IFERROR(__xludf.DUMMYFUNCTION("""COMPUTED_VALUE"""),"Descubada")</f>
        <v>Descubada</v>
      </c>
      <c r="S1270" s="2"/>
      <c r="T1270" s="2"/>
      <c r="U1270" s="2"/>
    </row>
    <row r="1271" spans="1:21" x14ac:dyDescent="0.25">
      <c r="A1271" s="2" t="str">
        <f ca="1">IFERROR(__xludf.DUMMYFUNCTION("""COMPUTED_VALUE"""),"5535f003")</f>
        <v>5535f003</v>
      </c>
      <c r="B1271" s="5">
        <f ca="1">IFERROR(__xludf.DUMMYFUNCTION("""COMPUTED_VALUE"""),46083.8393171296)</f>
        <v>46083.839317129597</v>
      </c>
      <c r="C1271" s="2" t="str">
        <f ca="1">IFERROR(__xludf.DUMMYFUNCTION("""COMPUTED_VALUE"""),"a5f14d91")</f>
        <v>a5f14d91</v>
      </c>
      <c r="D1271" s="2">
        <f ca="1">IFERROR(__xludf.DUMMYFUNCTION("""COMPUTED_VALUE"""),71)</f>
        <v>71</v>
      </c>
      <c r="E1271" s="2" t="str">
        <f ca="1">IFERROR(__xludf.DUMMYFUNCTION("""COMPUTED_VALUE"""),"Chardonnay")</f>
        <v>Chardonnay</v>
      </c>
      <c r="F1271" s="2">
        <f ca="1">IFERROR(__xludf.DUMMYFUNCTION("""COMPUTED_VALUE"""),5000)</f>
        <v>5000</v>
      </c>
      <c r="G1271" s="2">
        <f ca="1">IFERROR(__xludf.DUMMYFUNCTION("""COMPUTED_VALUE"""),30)</f>
        <v>30</v>
      </c>
      <c r="H1271" s="2" t="str">
        <f ca="1">IFERROR(__xludf.DUMMYFUNCTION("""COMPUTED_VALUE"""),"a2f33e47")</f>
        <v>a2f33e47</v>
      </c>
      <c r="I1271" s="2" t="str">
        <f ca="1">IFERROR(__xludf.DUMMYFUNCTION("""COMPUTED_VALUE"""),"Chardonnay Ch")</f>
        <v>Chardonnay Ch</v>
      </c>
      <c r="J1271" s="2">
        <f ca="1">IFERROR(__xludf.DUMMYFUNCTION("""COMPUTED_VALUE"""),26000)</f>
        <v>26000</v>
      </c>
      <c r="K1271" s="2">
        <f ca="1">IFERROR(__xludf.DUMMYFUNCTION("""COMPUTED_VALUE"""),31000)</f>
        <v>31000</v>
      </c>
      <c r="L1271" s="2" t="str">
        <f ca="1">IFERROR(__xludf.DUMMYFUNCTION("""COMPUTED_VALUE"""),"05a173ae")</f>
        <v>05a173ae</v>
      </c>
      <c r="M1271" s="2" t="str">
        <f ca="1">IFERROR(__xludf.DUMMYFUNCTION("""COMPUTED_VALUE"""),"Chardonnay Ch")</f>
        <v>Chardonnay Ch</v>
      </c>
      <c r="N1271" s="2"/>
      <c r="O1271" s="2" t="str">
        <f ca="1">IFERROR(__xludf.DUMMYFUNCTION("""COMPUTED_VALUE"""),"Fermentando")</f>
        <v>Fermentando</v>
      </c>
      <c r="P1271" s="2" t="str">
        <f ca="1">IFERROR(__xludf.DUMMYFUNCTION("""COMPUTED_VALUE"""),"Descubada")</f>
        <v>Descubada</v>
      </c>
      <c r="Q1271" s="2" t="b">
        <f ca="1">IFERROR(__xludf.DUMMYFUNCTION("""COMPUTED_VALUE"""),TRUE)</f>
        <v>1</v>
      </c>
      <c r="R1271" s="2" t="str">
        <f ca="1">IFERROR(__xludf.DUMMYFUNCTION("""COMPUTED_VALUE"""),"Descubada")</f>
        <v>Descubada</v>
      </c>
      <c r="S1271" s="2"/>
      <c r="T1271" s="2"/>
      <c r="U1271" s="2"/>
    </row>
    <row r="1272" spans="1:21" x14ac:dyDescent="0.25">
      <c r="A1272" s="2" t="str">
        <f ca="1">IFERROR(__xludf.DUMMYFUNCTION("""COMPUTED_VALUE"""),"9da4c477")</f>
        <v>9da4c477</v>
      </c>
      <c r="B1272" s="5">
        <f ca="1">IFERROR(__xludf.DUMMYFUNCTION("""COMPUTED_VALUE"""),46083.8428125)</f>
        <v>46083.842812499999</v>
      </c>
      <c r="C1272" s="2" t="str">
        <f ca="1">IFERROR(__xludf.DUMMYFUNCTION("""COMPUTED_VALUE"""),"24592bd2")</f>
        <v>24592bd2</v>
      </c>
      <c r="D1272" s="2">
        <f ca="1">IFERROR(__xludf.DUMMYFUNCTION("""COMPUTED_VALUE"""),76)</f>
        <v>76</v>
      </c>
      <c r="E1272" s="2" t="str">
        <f ca="1">IFERROR(__xludf.DUMMYFUNCTION("""COMPUTED_VALUE"""),"Chardonnay")</f>
        <v>Chardonnay</v>
      </c>
      <c r="F1272" s="2">
        <f ca="1">IFERROR(__xludf.DUMMYFUNCTION("""COMPUTED_VALUE"""),1000)</f>
        <v>1000</v>
      </c>
      <c r="G1272" s="2">
        <f ca="1">IFERROR(__xludf.DUMMYFUNCTION("""COMPUTED_VALUE"""),78)</f>
        <v>78</v>
      </c>
      <c r="H1272" s="2" t="str">
        <f ca="1">IFERROR(__xludf.DUMMYFUNCTION("""COMPUTED_VALUE"""),"df8c63ee")</f>
        <v>df8c63ee</v>
      </c>
      <c r="I1272" s="2" t="str">
        <f ca="1">IFERROR(__xludf.DUMMYFUNCTION("""COMPUTED_VALUE"""),"Torrontes Viog")</f>
        <v>Torrontes Viog</v>
      </c>
      <c r="J1272" s="2">
        <f ca="1">IFERROR(__xludf.DUMMYFUNCTION("""COMPUTED_VALUE"""),19000)</f>
        <v>19000</v>
      </c>
      <c r="K1272" s="2">
        <f ca="1">IFERROR(__xludf.DUMMYFUNCTION("""COMPUTED_VALUE"""),20000)</f>
        <v>20000</v>
      </c>
      <c r="L1272" s="2" t="str">
        <f ca="1">IFERROR(__xludf.DUMMYFUNCTION("""COMPUTED_VALUE"""),"af88deee")</f>
        <v>af88deee</v>
      </c>
      <c r="M1272" s="2" t="str">
        <f ca="1">IFERROR(__xludf.DUMMYFUNCTION("""COMPUTED_VALUE"""),"Torrontes Viog")</f>
        <v>Torrontes Viog</v>
      </c>
      <c r="N1272" s="2" t="str">
        <f ca="1">IFERROR(__xludf.DUMMYFUNCTION("""COMPUTED_VALUE"""),"Pie de Cuba")</f>
        <v>Pie de Cuba</v>
      </c>
      <c r="O1272" s="2" t="str">
        <f ca="1">IFERROR(__xludf.DUMMYFUNCTION("""COMPUTED_VALUE"""),"Fermentando")</f>
        <v>Fermentando</v>
      </c>
      <c r="P1272" s="2" t="str">
        <f ca="1">IFERROR(__xludf.DUMMYFUNCTION("""COMPUTED_VALUE"""),"Mosto")</f>
        <v>Mosto</v>
      </c>
      <c r="Q1272" s="2" t="b">
        <f ca="1">IFERROR(__xludf.DUMMYFUNCTION("""COMPUTED_VALUE"""),TRUE)</f>
        <v>1</v>
      </c>
      <c r="R1272" s="2" t="str">
        <f ca="1">IFERROR(__xludf.DUMMYFUNCTION("""COMPUTED_VALUE"""),"Fermentando")</f>
        <v>Fermentando</v>
      </c>
      <c r="S1272" s="2"/>
      <c r="T1272" s="2"/>
      <c r="U1272" s="2"/>
    </row>
    <row r="1273" spans="1:21" x14ac:dyDescent="0.25">
      <c r="A1273" s="2" t="str">
        <f ca="1">IFERROR(__xludf.DUMMYFUNCTION("""COMPUTED_VALUE"""),"d2e32734")</f>
        <v>d2e32734</v>
      </c>
      <c r="B1273" s="5">
        <f ca="1">IFERROR(__xludf.DUMMYFUNCTION("""COMPUTED_VALUE"""),46083.8445138888)</f>
        <v>46083.844513888798</v>
      </c>
      <c r="C1273" s="2" t="str">
        <f ca="1">IFERROR(__xludf.DUMMYFUNCTION("""COMPUTED_VALUE"""),"49306261")</f>
        <v>49306261</v>
      </c>
      <c r="D1273" s="2">
        <f ca="1">IFERROR(__xludf.DUMMYFUNCTION("""COMPUTED_VALUE"""),77)</f>
        <v>77</v>
      </c>
      <c r="E1273" s="2" t="str">
        <f ca="1">IFERROR(__xludf.DUMMYFUNCTION("""COMPUTED_VALUE"""),"Chardonnay")</f>
        <v>Chardonnay</v>
      </c>
      <c r="F1273" s="2">
        <f ca="1">IFERROR(__xludf.DUMMYFUNCTION("""COMPUTED_VALUE"""),5200)</f>
        <v>5200</v>
      </c>
      <c r="G1273" s="2">
        <f ca="1">IFERROR(__xludf.DUMMYFUNCTION("""COMPUTED_VALUE"""),72)</f>
        <v>72</v>
      </c>
      <c r="H1273" s="2"/>
      <c r="I1273" s="2"/>
      <c r="J1273" s="2">
        <f ca="1">IFERROR(__xludf.DUMMYFUNCTION("""COMPUTED_VALUE"""),0)</f>
        <v>0</v>
      </c>
      <c r="K1273" s="2">
        <f ca="1">IFERROR(__xludf.DUMMYFUNCTION("""COMPUTED_VALUE"""),5200)</f>
        <v>5200</v>
      </c>
      <c r="L1273" s="2" t="str">
        <f ca="1">IFERROR(__xludf.DUMMYFUNCTION("""COMPUTED_VALUE"""),"ca9c5562")</f>
        <v>ca9c5562</v>
      </c>
      <c r="M1273" s="2" t="str">
        <f ca="1">IFERROR(__xludf.DUMMYFUNCTION("""COMPUTED_VALUE"""),"Chardonnay")</f>
        <v>Chardonnay</v>
      </c>
      <c r="N1273" s="2"/>
      <c r="O1273" s="2" t="str">
        <f ca="1">IFERROR(__xludf.DUMMYFUNCTION("""COMPUTED_VALUE"""),"Fermentando")</f>
        <v>Fermentando</v>
      </c>
      <c r="P1273" s="2"/>
      <c r="Q1273" s="2" t="b">
        <f ca="1">IFERROR(__xludf.DUMMYFUNCTION("""COMPUTED_VALUE"""),FALSE)</f>
        <v>0</v>
      </c>
      <c r="R1273" s="2" t="str">
        <f ca="1">IFERROR(__xludf.DUMMYFUNCTION("""COMPUTED_VALUE"""),"Fermentando")</f>
        <v>Fermentando</v>
      </c>
      <c r="S1273" s="2"/>
      <c r="T1273" s="2"/>
      <c r="U1273" s="2"/>
    </row>
    <row r="1274" spans="1:21" x14ac:dyDescent="0.25">
      <c r="A1274" s="2" t="str">
        <f ca="1">IFERROR(__xludf.DUMMYFUNCTION("""COMPUTED_VALUE"""),"41a03876")</f>
        <v>41a03876</v>
      </c>
      <c r="B1274" s="5">
        <f ca="1">IFERROR(__xludf.DUMMYFUNCTION("""COMPUTED_VALUE"""),46083.8450578703)</f>
        <v>46083.845057870298</v>
      </c>
      <c r="C1274" s="2" t="str">
        <f ca="1">IFERROR(__xludf.DUMMYFUNCTION("""COMPUTED_VALUE"""),"af88deee")</f>
        <v>af88deee</v>
      </c>
      <c r="D1274" s="2">
        <f ca="1">IFERROR(__xludf.DUMMYFUNCTION("""COMPUTED_VALUE"""),78)</f>
        <v>78</v>
      </c>
      <c r="E1274" s="2" t="str">
        <f ca="1">IFERROR(__xludf.DUMMYFUNCTION("""COMPUTED_VALUE"""),"Torrontes Viog")</f>
        <v>Torrontes Viog</v>
      </c>
      <c r="F1274" s="2">
        <f ca="1">IFERROR(__xludf.DUMMYFUNCTION("""COMPUTED_VALUE"""),3000)</f>
        <v>3000</v>
      </c>
      <c r="G1274" s="2">
        <f ca="1">IFERROR(__xludf.DUMMYFUNCTION("""COMPUTED_VALUE"""),72)</f>
        <v>72</v>
      </c>
      <c r="H1274" s="2" t="str">
        <f ca="1">IFERROR(__xludf.DUMMYFUNCTION("""COMPUTED_VALUE"""),"ca9c5562")</f>
        <v>ca9c5562</v>
      </c>
      <c r="I1274" s="2" t="str">
        <f ca="1">IFERROR(__xludf.DUMMYFUNCTION("""COMPUTED_VALUE"""),"Chardonnay")</f>
        <v>Chardonnay</v>
      </c>
      <c r="J1274" s="2">
        <f ca="1">IFERROR(__xludf.DUMMYFUNCTION("""COMPUTED_VALUE"""),5200)</f>
        <v>5200</v>
      </c>
      <c r="K1274" s="2">
        <f ca="1">IFERROR(__xludf.DUMMYFUNCTION("""COMPUTED_VALUE"""),8200)</f>
        <v>8200</v>
      </c>
      <c r="L1274" s="2" t="str">
        <f ca="1">IFERROR(__xludf.DUMMYFUNCTION("""COMPUTED_VALUE"""),"69720bda")</f>
        <v>69720bda</v>
      </c>
      <c r="M1274" s="2" t="str">
        <f ca="1">IFERROR(__xludf.DUMMYFUNCTION("""COMPUTED_VALUE"""),"Chardonnay")</f>
        <v>Chardonnay</v>
      </c>
      <c r="N1274" s="2"/>
      <c r="O1274" s="2" t="str">
        <f ca="1">IFERROR(__xludf.DUMMYFUNCTION("""COMPUTED_VALUE"""),"Fermentando")</f>
        <v>Fermentando</v>
      </c>
      <c r="P1274" s="2" t="str">
        <f ca="1">IFERROR(__xludf.DUMMYFUNCTION("""COMPUTED_VALUE"""),"Fermentando")</f>
        <v>Fermentando</v>
      </c>
      <c r="Q1274" s="2" t="b">
        <f ca="1">IFERROR(__xludf.DUMMYFUNCTION("""COMPUTED_VALUE"""),TRUE)</f>
        <v>1</v>
      </c>
      <c r="R1274" s="2" t="str">
        <f ca="1">IFERROR(__xludf.DUMMYFUNCTION("""COMPUTED_VALUE"""),"Fermentando")</f>
        <v>Fermentando</v>
      </c>
      <c r="S1274" s="2"/>
      <c r="T1274" s="2"/>
      <c r="U1274" s="2"/>
    </row>
    <row r="1275" spans="1:21" x14ac:dyDescent="0.25">
      <c r="A1275" s="2" t="str">
        <f ca="1">IFERROR(__xludf.DUMMYFUNCTION("""COMPUTED_VALUE"""),"d1ce41ac")</f>
        <v>d1ce41ac</v>
      </c>
      <c r="B1275" s="5">
        <f ca="1">IFERROR(__xludf.DUMMYFUNCTION("""COMPUTED_VALUE"""),46083.845474537)</f>
        <v>46083.845474537004</v>
      </c>
      <c r="C1275" s="2" t="str">
        <f ca="1">IFERROR(__xludf.DUMMYFUNCTION("""COMPUTED_VALUE"""),"24592bd2")</f>
        <v>24592bd2</v>
      </c>
      <c r="D1275" s="2">
        <f ca="1">IFERROR(__xludf.DUMMYFUNCTION("""COMPUTED_VALUE"""),76)</f>
        <v>76</v>
      </c>
      <c r="E1275" s="2" t="str">
        <f ca="1">IFERROR(__xludf.DUMMYFUNCTION("""COMPUTED_VALUE"""),"Chardonnay")</f>
        <v>Chardonnay</v>
      </c>
      <c r="F1275" s="2">
        <f ca="1">IFERROR(__xludf.DUMMYFUNCTION("""COMPUTED_VALUE"""),1000)</f>
        <v>1000</v>
      </c>
      <c r="G1275" s="2">
        <f ca="1">IFERROR(__xludf.DUMMYFUNCTION("""COMPUTED_VALUE"""),72)</f>
        <v>72</v>
      </c>
      <c r="H1275" s="2" t="str">
        <f ca="1">IFERROR(__xludf.DUMMYFUNCTION("""COMPUTED_VALUE"""),"69720bda")</f>
        <v>69720bda</v>
      </c>
      <c r="I1275" s="2" t="str">
        <f ca="1">IFERROR(__xludf.DUMMYFUNCTION("""COMPUTED_VALUE"""),"Chardonnay")</f>
        <v>Chardonnay</v>
      </c>
      <c r="J1275" s="2">
        <f ca="1">IFERROR(__xludf.DUMMYFUNCTION("""COMPUTED_VALUE"""),8200)</f>
        <v>8200</v>
      </c>
      <c r="K1275" s="2">
        <f ca="1">IFERROR(__xludf.DUMMYFUNCTION("""COMPUTED_VALUE"""),9200)</f>
        <v>9200</v>
      </c>
      <c r="L1275" s="2" t="str">
        <f ca="1">IFERROR(__xludf.DUMMYFUNCTION("""COMPUTED_VALUE"""),"d0f8eef2")</f>
        <v>d0f8eef2</v>
      </c>
      <c r="M1275" s="2" t="str">
        <f ca="1">IFERROR(__xludf.DUMMYFUNCTION("""COMPUTED_VALUE"""),"Chardonnay")</f>
        <v>Chardonnay</v>
      </c>
      <c r="N1275" s="2" t="str">
        <f ca="1">IFERROR(__xludf.DUMMYFUNCTION("""COMPUTED_VALUE"""),"Pie Cuba")</f>
        <v>Pie Cuba</v>
      </c>
      <c r="O1275" s="2" t="str">
        <f ca="1">IFERROR(__xludf.DUMMYFUNCTION("""COMPUTED_VALUE"""),"Fermentando")</f>
        <v>Fermentando</v>
      </c>
      <c r="P1275" s="2" t="str">
        <f ca="1">IFERROR(__xludf.DUMMYFUNCTION("""COMPUTED_VALUE"""),"Fermentando")</f>
        <v>Fermentando</v>
      </c>
      <c r="Q1275" s="2" t="b">
        <f ca="1">IFERROR(__xludf.DUMMYFUNCTION("""COMPUTED_VALUE"""),TRUE)</f>
        <v>1</v>
      </c>
      <c r="R1275" s="2" t="str">
        <f ca="1">IFERROR(__xludf.DUMMYFUNCTION("""COMPUTED_VALUE"""),"Fermentando")</f>
        <v>Fermentando</v>
      </c>
      <c r="S1275" s="2"/>
      <c r="T1275" s="2"/>
      <c r="U1275" s="2"/>
    </row>
    <row r="1276" spans="1:21" x14ac:dyDescent="0.25">
      <c r="A1276" s="2" t="str">
        <f ca="1">IFERROR(__xludf.DUMMYFUNCTION("""COMPUTED_VALUE"""),"a0fd73e0")</f>
        <v>a0fd73e0</v>
      </c>
      <c r="B1276" s="5">
        <f ca="1">IFERROR(__xludf.DUMMYFUNCTION("""COMPUTED_VALUE"""),46083.8462384259)</f>
        <v>46083.846238425896</v>
      </c>
      <c r="C1276" s="2" t="str">
        <f ca="1">IFERROR(__xludf.DUMMYFUNCTION("""COMPUTED_VALUE"""),"af88deee")</f>
        <v>af88deee</v>
      </c>
      <c r="D1276" s="2">
        <f ca="1">IFERROR(__xludf.DUMMYFUNCTION("""COMPUTED_VALUE"""),78)</f>
        <v>78</v>
      </c>
      <c r="E1276" s="2" t="str">
        <f ca="1">IFERROR(__xludf.DUMMYFUNCTION("""COMPUTED_VALUE"""),"Torrontes Viog")</f>
        <v>Torrontes Viog</v>
      </c>
      <c r="F1276" s="2">
        <f ca="1">IFERROR(__xludf.DUMMYFUNCTION("""COMPUTED_VALUE"""),-5000)</f>
        <v>-5000</v>
      </c>
      <c r="G1276" s="2">
        <f ca="1">IFERROR(__xludf.DUMMYFUNCTION("""COMPUTED_VALUE"""),8)</f>
        <v>8</v>
      </c>
      <c r="H1276" s="2" t="str">
        <f ca="1">IFERROR(__xludf.DUMMYFUNCTION("""COMPUTED_VALUE"""),"3d2b21c3")</f>
        <v>3d2b21c3</v>
      </c>
      <c r="I1276" s="2" t="str">
        <f ca="1">IFERROR(__xludf.DUMMYFUNCTION("""COMPUTED_VALUE"""),"Chardonnay Mosto Rect")</f>
        <v>Chardonnay Mosto Rect</v>
      </c>
      <c r="J1276" s="2">
        <f ca="1">IFERROR(__xludf.DUMMYFUNCTION("""COMPUTED_VALUE"""),22000)</f>
        <v>22000</v>
      </c>
      <c r="K1276" s="2">
        <f ca="1">IFERROR(__xludf.DUMMYFUNCTION("""COMPUTED_VALUE"""),17000)</f>
        <v>17000</v>
      </c>
      <c r="L1276" s="2" t="str">
        <f ca="1">IFERROR(__xludf.DUMMYFUNCTION("""COMPUTED_VALUE"""),"5be257f8")</f>
        <v>5be257f8</v>
      </c>
      <c r="M1276" s="2" t="str">
        <f ca="1">IFERROR(__xludf.DUMMYFUNCTION("""COMPUTED_VALUE"""),"Chardonnay Mosto Rect")</f>
        <v>Chardonnay Mosto Rect</v>
      </c>
      <c r="N1276" s="2"/>
      <c r="O1276" s="2" t="str">
        <f ca="1">IFERROR(__xludf.DUMMYFUNCTION("""COMPUTED_VALUE"""),"Fermentando")</f>
        <v>Fermentando</v>
      </c>
      <c r="P1276" s="2" t="str">
        <f ca="1">IFERROR(__xludf.DUMMYFUNCTION("""COMPUTED_VALUE"""),"Rectificado")</f>
        <v>Rectificado</v>
      </c>
      <c r="Q1276" s="2" t="b">
        <f ca="1">IFERROR(__xludf.DUMMYFUNCTION("""COMPUTED_VALUE"""),TRUE)</f>
        <v>1</v>
      </c>
      <c r="R1276" s="2" t="str">
        <f ca="1">IFERROR(__xludf.DUMMYFUNCTION("""COMPUTED_VALUE"""),"Rectificado")</f>
        <v>Rectificado</v>
      </c>
      <c r="S1276" s="2"/>
      <c r="T1276" s="2"/>
      <c r="U1276" s="2"/>
    </row>
    <row r="1277" spans="1:21" x14ac:dyDescent="0.25">
      <c r="A1277" s="2" t="str">
        <f ca="1">IFERROR(__xludf.DUMMYFUNCTION("""COMPUTED_VALUE"""),"a6878822")</f>
        <v>a6878822</v>
      </c>
      <c r="B1277" s="5">
        <f ca="1">IFERROR(__xludf.DUMMYFUNCTION("""COMPUTED_VALUE"""),46083.8465046296)</f>
        <v>46083.846504629597</v>
      </c>
      <c r="C1277" s="2" t="str">
        <f ca="1">IFERROR(__xludf.DUMMYFUNCTION("""COMPUTED_VALUE"""),"d0f8eef2")</f>
        <v>d0f8eef2</v>
      </c>
      <c r="D1277" s="2">
        <f ca="1">IFERROR(__xludf.DUMMYFUNCTION("""COMPUTED_VALUE"""),72)</f>
        <v>72</v>
      </c>
      <c r="E1277" s="2" t="str">
        <f ca="1">IFERROR(__xludf.DUMMYFUNCTION("""COMPUTED_VALUE"""),"Chardonnay")</f>
        <v>Chardonnay</v>
      </c>
      <c r="F1277" s="2">
        <f ca="1">IFERROR(__xludf.DUMMYFUNCTION("""COMPUTED_VALUE"""),-3000)</f>
        <v>-3000</v>
      </c>
      <c r="G1277" s="2">
        <f ca="1">IFERROR(__xludf.DUMMYFUNCTION("""COMPUTED_VALUE"""),8)</f>
        <v>8</v>
      </c>
      <c r="H1277" s="2" t="str">
        <f ca="1">IFERROR(__xludf.DUMMYFUNCTION("""COMPUTED_VALUE"""),"5be257f8")</f>
        <v>5be257f8</v>
      </c>
      <c r="I1277" s="2" t="str">
        <f ca="1">IFERROR(__xludf.DUMMYFUNCTION("""COMPUTED_VALUE"""),"Chardonnay Mosto Rect")</f>
        <v>Chardonnay Mosto Rect</v>
      </c>
      <c r="J1277" s="2">
        <f ca="1">IFERROR(__xludf.DUMMYFUNCTION("""COMPUTED_VALUE"""),17000)</f>
        <v>17000</v>
      </c>
      <c r="K1277" s="2">
        <f ca="1">IFERROR(__xludf.DUMMYFUNCTION("""COMPUTED_VALUE"""),14000)</f>
        <v>14000</v>
      </c>
      <c r="L1277" s="2" t="str">
        <f ca="1">IFERROR(__xludf.DUMMYFUNCTION("""COMPUTED_VALUE"""),"678b4b09")</f>
        <v>678b4b09</v>
      </c>
      <c r="M1277" s="2" t="str">
        <f ca="1">IFERROR(__xludf.DUMMYFUNCTION("""COMPUTED_VALUE"""),"Chardonnay Mosto Rect")</f>
        <v>Chardonnay Mosto Rect</v>
      </c>
      <c r="N1277" s="2"/>
      <c r="O1277" s="2" t="str">
        <f ca="1">IFERROR(__xludf.DUMMYFUNCTION("""COMPUTED_VALUE"""),"Fermentando")</f>
        <v>Fermentando</v>
      </c>
      <c r="P1277" s="2" t="str">
        <f ca="1">IFERROR(__xludf.DUMMYFUNCTION("""COMPUTED_VALUE"""),"Rectificado")</f>
        <v>Rectificado</v>
      </c>
      <c r="Q1277" s="2" t="b">
        <f ca="1">IFERROR(__xludf.DUMMYFUNCTION("""COMPUTED_VALUE"""),TRUE)</f>
        <v>1</v>
      </c>
      <c r="R1277" s="2" t="str">
        <f ca="1">IFERROR(__xludf.DUMMYFUNCTION("""COMPUTED_VALUE"""),"Rectificado")</f>
        <v>Rectificado</v>
      </c>
      <c r="S1277" s="2"/>
      <c r="T1277" s="2"/>
      <c r="U1277" s="2"/>
    </row>
    <row r="1278" spans="1:21" x14ac:dyDescent="0.25">
      <c r="A1278" s="2" t="str">
        <f ca="1">IFERROR(__xludf.DUMMYFUNCTION("""COMPUTED_VALUE"""),"4fb7cbb1")</f>
        <v>4fb7cbb1</v>
      </c>
      <c r="B1278" s="5">
        <f ca="1">IFERROR(__xludf.DUMMYFUNCTION("""COMPUTED_VALUE"""),46083.8467476851)</f>
        <v>46083.8467476851</v>
      </c>
      <c r="C1278" s="2" t="str">
        <f ca="1">IFERROR(__xludf.DUMMYFUNCTION("""COMPUTED_VALUE"""),"24592bd2")</f>
        <v>24592bd2</v>
      </c>
      <c r="D1278" s="2">
        <f ca="1">IFERROR(__xludf.DUMMYFUNCTION("""COMPUTED_VALUE"""),76)</f>
        <v>76</v>
      </c>
      <c r="E1278" s="2" t="str">
        <f ca="1">IFERROR(__xludf.DUMMYFUNCTION("""COMPUTED_VALUE"""),"Chardonnay")</f>
        <v>Chardonnay</v>
      </c>
      <c r="F1278" s="2">
        <f ca="1">IFERROR(__xludf.DUMMYFUNCTION("""COMPUTED_VALUE"""),-5000)</f>
        <v>-5000</v>
      </c>
      <c r="G1278" s="2">
        <f ca="1">IFERROR(__xludf.DUMMYFUNCTION("""COMPUTED_VALUE"""),8)</f>
        <v>8</v>
      </c>
      <c r="H1278" s="2" t="str">
        <f ca="1">IFERROR(__xludf.DUMMYFUNCTION("""COMPUTED_VALUE"""),"678b4b09")</f>
        <v>678b4b09</v>
      </c>
      <c r="I1278" s="2" t="str">
        <f ca="1">IFERROR(__xludf.DUMMYFUNCTION("""COMPUTED_VALUE"""),"Chardonnay Mosto Rect")</f>
        <v>Chardonnay Mosto Rect</v>
      </c>
      <c r="J1278" s="2">
        <f ca="1">IFERROR(__xludf.DUMMYFUNCTION("""COMPUTED_VALUE"""),14000)</f>
        <v>14000</v>
      </c>
      <c r="K1278" s="2">
        <f ca="1">IFERROR(__xludf.DUMMYFUNCTION("""COMPUTED_VALUE"""),9000)</f>
        <v>9000</v>
      </c>
      <c r="L1278" s="2" t="str">
        <f ca="1">IFERROR(__xludf.DUMMYFUNCTION("""COMPUTED_VALUE"""),"239f8a8d")</f>
        <v>239f8a8d</v>
      </c>
      <c r="M1278" s="2" t="str">
        <f ca="1">IFERROR(__xludf.DUMMYFUNCTION("""COMPUTED_VALUE"""),"Chardonnay Mosto Rect")</f>
        <v>Chardonnay Mosto Rect</v>
      </c>
      <c r="N1278" s="2"/>
      <c r="O1278" s="2" t="str">
        <f ca="1">IFERROR(__xludf.DUMMYFUNCTION("""COMPUTED_VALUE"""),"Fermentando")</f>
        <v>Fermentando</v>
      </c>
      <c r="P1278" s="2" t="str">
        <f ca="1">IFERROR(__xludf.DUMMYFUNCTION("""COMPUTED_VALUE"""),"Rectificado")</f>
        <v>Rectificado</v>
      </c>
      <c r="Q1278" s="2" t="b">
        <f ca="1">IFERROR(__xludf.DUMMYFUNCTION("""COMPUTED_VALUE"""),TRUE)</f>
        <v>1</v>
      </c>
      <c r="R1278" s="2" t="str">
        <f ca="1">IFERROR(__xludf.DUMMYFUNCTION("""COMPUTED_VALUE"""),"Rectificado")</f>
        <v>Rectificado</v>
      </c>
      <c r="S1278" s="2"/>
      <c r="T1278" s="2"/>
      <c r="U1278" s="2"/>
    </row>
    <row r="1279" spans="1:21" x14ac:dyDescent="0.25">
      <c r="A1279" s="2" t="str">
        <f ca="1">IFERROR(__xludf.DUMMYFUNCTION("""COMPUTED_VALUE"""),"8c846198")</f>
        <v>8c846198</v>
      </c>
      <c r="B1279" s="5">
        <f ca="1">IFERROR(__xludf.DUMMYFUNCTION("""COMPUTED_VALUE"""),46084.7520717591)</f>
        <v>46084.752071759198</v>
      </c>
      <c r="C1279" s="2" t="str">
        <f ca="1">IFERROR(__xludf.DUMMYFUNCTION("""COMPUTED_VALUE"""),"4f1c28ac")</f>
        <v>4f1c28ac</v>
      </c>
      <c r="D1279" s="2">
        <f ca="1">IFERROR(__xludf.DUMMYFUNCTION("""COMPUTED_VALUE"""),83)</f>
        <v>83</v>
      </c>
      <c r="E1279" s="2" t="str">
        <f ca="1">IFERROR(__xludf.DUMMYFUNCTION("""COMPUTED_VALUE"""),"Aspirant Anccelota PC")</f>
        <v>Aspirant Anccelota PC</v>
      </c>
      <c r="F1279" s="2">
        <f ca="1">IFERROR(__xludf.DUMMYFUNCTION("""COMPUTED_VALUE"""),27400)</f>
        <v>27400</v>
      </c>
      <c r="G1279" s="2">
        <f ca="1">IFERROR(__xludf.DUMMYFUNCTION("""COMPUTED_VALUE"""),121)</f>
        <v>121</v>
      </c>
      <c r="H1279" s="2"/>
      <c r="I1279" s="2"/>
      <c r="J1279" s="2">
        <f ca="1">IFERROR(__xludf.DUMMYFUNCTION("""COMPUTED_VALUE"""),0)</f>
        <v>0</v>
      </c>
      <c r="K1279" s="2">
        <f ca="1">IFERROR(__xludf.DUMMYFUNCTION("""COMPUTED_VALUE"""),48000)</f>
        <v>48000</v>
      </c>
      <c r="L1279" s="2" t="str">
        <f ca="1">IFERROR(__xludf.DUMMYFUNCTION("""COMPUTED_VALUE"""),"ba3fa42f")</f>
        <v>ba3fa42f</v>
      </c>
      <c r="M1279" s="2" t="str">
        <f ca="1">IFERROR(__xludf.DUMMYFUNCTION("""COMPUTED_VALUE"""),"Aspirant Anccelota PC")</f>
        <v>Aspirant Anccelota PC</v>
      </c>
      <c r="N1279" s="2" t="str">
        <f ca="1">IFERROR(__xludf.DUMMYFUNCTION("""COMPUTED_VALUE"""),"Gota")</f>
        <v>Gota</v>
      </c>
      <c r="O1279" s="2" t="str">
        <f ca="1">IFERROR(__xludf.DUMMYFUNCTION("""COMPUTED_VALUE"""),"Fermentando")</f>
        <v>Fermentando</v>
      </c>
      <c r="P1279" s="2"/>
      <c r="Q1279" s="2" t="b">
        <f ca="1">IFERROR(__xludf.DUMMYFUNCTION("""COMPUTED_VALUE"""),FALSE)</f>
        <v>0</v>
      </c>
      <c r="R1279" s="2" t="str">
        <f ca="1">IFERROR(__xludf.DUMMYFUNCTION("""COMPUTED_VALUE"""),"Descubada")</f>
        <v>Descubada</v>
      </c>
      <c r="S1279" s="2"/>
      <c r="T1279" s="2"/>
      <c r="U1279" s="2"/>
    </row>
    <row r="1280" spans="1:21" x14ac:dyDescent="0.25">
      <c r="A1280" s="2" t="str">
        <f ca="1">IFERROR(__xludf.DUMMYFUNCTION("""COMPUTED_VALUE"""),"c6bfd8b2")</f>
        <v>c6bfd8b2</v>
      </c>
      <c r="B1280" s="5">
        <f ca="1">IFERROR(__xludf.DUMMYFUNCTION("""COMPUTED_VALUE"""),46084.758761574)</f>
        <v>46084.758761573998</v>
      </c>
      <c r="C1280" s="2" t="str">
        <f ca="1">IFERROR(__xludf.DUMMYFUNCTION("""COMPUTED_VALUE"""),"3d1614e3")</f>
        <v>3d1614e3</v>
      </c>
      <c r="D1280" s="2">
        <f ca="1">IFERROR(__xludf.DUMMYFUNCTION("""COMPUTED_VALUE"""),87)</f>
        <v>87</v>
      </c>
      <c r="E1280" s="2" t="str">
        <f ca="1">IFERROR(__xludf.DUMMYFUNCTION("""COMPUTED_VALUE"""),"Syrah")</f>
        <v>Syrah</v>
      </c>
      <c r="F1280" s="2">
        <f ca="1">IFERROR(__xludf.DUMMYFUNCTION("""COMPUTED_VALUE"""),9000)</f>
        <v>9000</v>
      </c>
      <c r="G1280" s="2">
        <f ca="1">IFERROR(__xludf.DUMMYFUNCTION("""COMPUTED_VALUE"""),45)</f>
        <v>45</v>
      </c>
      <c r="H1280" s="2" t="str">
        <f ca="1">IFERROR(__xludf.DUMMYFUNCTION("""COMPUTED_VALUE"""),"6a732a3e")</f>
        <v>6a732a3e</v>
      </c>
      <c r="I1280" s="2" t="str">
        <f ca="1">IFERROR(__xludf.DUMMYFUNCTION("""COMPUTED_VALUE"""),"Malbec Rect")</f>
        <v>Malbec Rect</v>
      </c>
      <c r="J1280" s="2">
        <f ca="1">IFERROR(__xludf.DUMMYFUNCTION("""COMPUTED_VALUE"""),6400)</f>
        <v>6400</v>
      </c>
      <c r="K1280" s="2">
        <f ca="1">IFERROR(__xludf.DUMMYFUNCTION("""COMPUTED_VALUE"""),15400)</f>
        <v>15400</v>
      </c>
      <c r="L1280" s="2" t="str">
        <f ca="1">IFERROR(__xludf.DUMMYFUNCTION("""COMPUTED_VALUE"""),"a0e117b7")</f>
        <v>a0e117b7</v>
      </c>
      <c r="M1280" s="2" t="str">
        <f ca="1">IFERROR(__xludf.DUMMYFUNCTION("""COMPUTED_VALUE"""),"Malbec Rect")</f>
        <v>Malbec Rect</v>
      </c>
      <c r="N1280" s="2" t="str">
        <f ca="1">IFERROR(__xludf.DUMMYFUNCTION("""COMPUTED_VALUE"""),"rectificado")</f>
        <v>rectificado</v>
      </c>
      <c r="O1280" s="2" t="str">
        <f ca="1">IFERROR(__xludf.DUMMYFUNCTION("""COMPUTED_VALUE"""),"Fermentando")</f>
        <v>Fermentando</v>
      </c>
      <c r="P1280" s="2" t="str">
        <f ca="1">IFERROR(__xludf.DUMMYFUNCTION("""COMPUTED_VALUE"""),"Rectificado")</f>
        <v>Rectificado</v>
      </c>
      <c r="Q1280" s="2" t="b">
        <f ca="1">IFERROR(__xludf.DUMMYFUNCTION("""COMPUTED_VALUE"""),TRUE)</f>
        <v>1</v>
      </c>
      <c r="R1280" s="2" t="str">
        <f ca="1">IFERROR(__xludf.DUMMYFUNCTION("""COMPUTED_VALUE"""),"Rectificado")</f>
        <v>Rectificado</v>
      </c>
      <c r="S1280" s="2"/>
      <c r="T1280" s="2"/>
      <c r="U1280" s="2" t="str">
        <f ca="1">IFERROR(__xludf.DUMMYFUNCTION("""COMPUTED_VALUE"""),"2+")</f>
        <v>2+</v>
      </c>
    </row>
    <row r="1281" spans="1:21" x14ac:dyDescent="0.25">
      <c r="A1281" s="2" t="str">
        <f ca="1">IFERROR(__xludf.DUMMYFUNCTION("""COMPUTED_VALUE"""),"87d66405")</f>
        <v>87d66405</v>
      </c>
      <c r="B1281" s="5">
        <f ca="1">IFERROR(__xludf.DUMMYFUNCTION("""COMPUTED_VALUE"""),46084.774537037)</f>
        <v>46084.774537037003</v>
      </c>
      <c r="C1281" s="2" t="str">
        <f ca="1">IFERROR(__xludf.DUMMYFUNCTION("""COMPUTED_VALUE"""),"3d1614e3")</f>
        <v>3d1614e3</v>
      </c>
      <c r="D1281" s="2">
        <f ca="1">IFERROR(__xludf.DUMMYFUNCTION("""COMPUTED_VALUE"""),87)</f>
        <v>87</v>
      </c>
      <c r="E1281" s="2" t="str">
        <f ca="1">IFERROR(__xludf.DUMMYFUNCTION("""COMPUTED_VALUE"""),"Syrah")</f>
        <v>Syrah</v>
      </c>
      <c r="F1281" s="2">
        <f ca="1">IFERROR(__xludf.DUMMYFUNCTION("""COMPUTED_VALUE"""),-14600)</f>
        <v>-14600</v>
      </c>
      <c r="G1281" s="2">
        <f ca="1">IFERROR(__xludf.DUMMYFUNCTION("""COMPUTED_VALUE"""),45)</f>
        <v>45</v>
      </c>
      <c r="H1281" s="2" t="str">
        <f ca="1">IFERROR(__xludf.DUMMYFUNCTION("""COMPUTED_VALUE"""),"a0e117b7")</f>
        <v>a0e117b7</v>
      </c>
      <c r="I1281" s="2" t="str">
        <f ca="1">IFERROR(__xludf.DUMMYFUNCTION("""COMPUTED_VALUE"""),"Malbec Rect")</f>
        <v>Malbec Rect</v>
      </c>
      <c r="J1281" s="2">
        <f ca="1">IFERROR(__xludf.DUMMYFUNCTION("""COMPUTED_VALUE"""),15400)</f>
        <v>15400</v>
      </c>
      <c r="K1281" s="2">
        <f ca="1">IFERROR(__xludf.DUMMYFUNCTION("""COMPUTED_VALUE"""),800)</f>
        <v>800</v>
      </c>
      <c r="L1281" s="2" t="str">
        <f ca="1">IFERROR(__xludf.DUMMYFUNCTION("""COMPUTED_VALUE"""),"580a55ff")</f>
        <v>580a55ff</v>
      </c>
      <c r="M1281" s="2" t="str">
        <f ca="1">IFERROR(__xludf.DUMMYFUNCTION("""COMPUTED_VALUE"""),"Malbec Rect")</f>
        <v>Malbec Rect</v>
      </c>
      <c r="N1281" s="2"/>
      <c r="O1281" s="2" t="str">
        <f ca="1">IFERROR(__xludf.DUMMYFUNCTION("""COMPUTED_VALUE"""),"Fermentando")</f>
        <v>Fermentando</v>
      </c>
      <c r="P1281" s="2" t="str">
        <f ca="1">IFERROR(__xludf.DUMMYFUNCTION("""COMPUTED_VALUE"""),"Rectificado")</f>
        <v>Rectificado</v>
      </c>
      <c r="Q1281" s="2" t="b">
        <f ca="1">IFERROR(__xludf.DUMMYFUNCTION("""COMPUTED_VALUE"""),TRUE)</f>
        <v>1</v>
      </c>
      <c r="R1281" s="2" t="str">
        <f ca="1">IFERROR(__xludf.DUMMYFUNCTION("""COMPUTED_VALUE"""),"Rectificado")</f>
        <v>Rectificado</v>
      </c>
      <c r="S1281" s="2"/>
      <c r="T1281" s="2"/>
      <c r="U1281" s="2" t="str">
        <f ca="1">IFERROR(__xludf.DUMMYFUNCTION("""COMPUTED_VALUE"""),"2+")</f>
        <v>2+</v>
      </c>
    </row>
    <row r="1282" spans="1:21" x14ac:dyDescent="0.25">
      <c r="A1282" s="2" t="str">
        <f ca="1">IFERROR(__xludf.DUMMYFUNCTION("""COMPUTED_VALUE"""),"64a99c80")</f>
        <v>64a99c80</v>
      </c>
      <c r="B1282" s="5">
        <f ca="1">IFERROR(__xludf.DUMMYFUNCTION("""COMPUTED_VALUE"""),46084.7755555555)</f>
        <v>46084.775555555498</v>
      </c>
      <c r="C1282" s="2" t="str">
        <f ca="1">IFERROR(__xludf.DUMMYFUNCTION("""COMPUTED_VALUE"""),"3d1614e3")</f>
        <v>3d1614e3</v>
      </c>
      <c r="D1282" s="2">
        <f ca="1">IFERROR(__xludf.DUMMYFUNCTION("""COMPUTED_VALUE"""),87)</f>
        <v>87</v>
      </c>
      <c r="E1282" s="2" t="str">
        <f ca="1">IFERROR(__xludf.DUMMYFUNCTION("""COMPUTED_VALUE"""),"Syrah")</f>
        <v>Syrah</v>
      </c>
      <c r="F1282" s="2">
        <f ca="1">IFERROR(__xludf.DUMMYFUNCTION("""COMPUTED_VALUE"""),8000)</f>
        <v>8000</v>
      </c>
      <c r="G1282" s="2">
        <f ca="1">IFERROR(__xludf.DUMMYFUNCTION("""COMPUTED_VALUE"""),89)</f>
        <v>89</v>
      </c>
      <c r="H1282" s="2" t="str">
        <f ca="1">IFERROR(__xludf.DUMMYFUNCTION("""COMPUTED_VALUE"""),"39f8c1f8")</f>
        <v>39f8c1f8</v>
      </c>
      <c r="I1282" s="2" t="str">
        <f ca="1">IFERROR(__xludf.DUMMYFUNCTION("""COMPUTED_VALUE"""),"Syrah Anc PC")</f>
        <v>Syrah Anc PC</v>
      </c>
      <c r="J1282" s="2">
        <f ca="1">IFERROR(__xludf.DUMMYFUNCTION("""COMPUTED_VALUE"""),45000)</f>
        <v>45000</v>
      </c>
      <c r="K1282" s="2">
        <f ca="1">IFERROR(__xludf.DUMMYFUNCTION("""COMPUTED_VALUE"""),53000)</f>
        <v>53000</v>
      </c>
      <c r="L1282" s="2" t="str">
        <f ca="1">IFERROR(__xludf.DUMMYFUNCTION("""COMPUTED_VALUE"""),"c17f715b")</f>
        <v>c17f715b</v>
      </c>
      <c r="M1282" s="2" t="str">
        <f ca="1">IFERROR(__xludf.DUMMYFUNCTION("""COMPUTED_VALUE"""),"Syrah Anc PC")</f>
        <v>Syrah Anc PC</v>
      </c>
      <c r="N1282" s="2" t="str">
        <f ca="1">IFERROR(__xludf.DUMMYFUNCTION("""COMPUTED_VALUE"""),"Pie de cuba")</f>
        <v>Pie de cuba</v>
      </c>
      <c r="O1282" s="2" t="str">
        <f ca="1">IFERROR(__xludf.DUMMYFUNCTION("""COMPUTED_VALUE"""),"Fermentando")</f>
        <v>Fermentando</v>
      </c>
      <c r="P1282" s="2" t="str">
        <f ca="1">IFERROR(__xludf.DUMMYFUNCTION("""COMPUTED_VALUE"""),"Fermentando")</f>
        <v>Fermentando</v>
      </c>
      <c r="Q1282" s="2" t="b">
        <f ca="1">IFERROR(__xludf.DUMMYFUNCTION("""COMPUTED_VALUE"""),TRUE)</f>
        <v>1</v>
      </c>
      <c r="R1282" s="2" t="str">
        <f ca="1">IFERROR(__xludf.DUMMYFUNCTION("""COMPUTED_VALUE"""),"Fermentando")</f>
        <v>Fermentando</v>
      </c>
      <c r="S1282" s="2"/>
      <c r="T1282" s="2"/>
      <c r="U1282" s="2"/>
    </row>
    <row r="1283" spans="1:21" x14ac:dyDescent="0.25">
      <c r="A1283" s="2" t="str">
        <f ca="1">IFERROR(__xludf.DUMMYFUNCTION("""COMPUTED_VALUE"""),"5f9a2df8")</f>
        <v>5f9a2df8</v>
      </c>
      <c r="B1283" s="5">
        <f ca="1">IFERROR(__xludf.DUMMYFUNCTION("""COMPUTED_VALUE"""),46084.7799537037)</f>
        <v>46084.779953703699</v>
      </c>
      <c r="C1283" s="2" t="str">
        <f ca="1">IFERROR(__xludf.DUMMYFUNCTION("""COMPUTED_VALUE"""),"3d1614e3")</f>
        <v>3d1614e3</v>
      </c>
      <c r="D1283" s="2">
        <f ca="1">IFERROR(__xludf.DUMMYFUNCTION("""COMPUTED_VALUE"""),87)</f>
        <v>87</v>
      </c>
      <c r="E1283" s="2" t="str">
        <f ca="1">IFERROR(__xludf.DUMMYFUNCTION("""COMPUTED_VALUE"""),"Syrah")</f>
        <v>Syrah</v>
      </c>
      <c r="F1283" s="2">
        <f ca="1">IFERROR(__xludf.DUMMYFUNCTION("""COMPUTED_VALUE"""),27600)</f>
        <v>27600</v>
      </c>
      <c r="G1283" s="2">
        <f ca="1">IFERROR(__xludf.DUMMYFUNCTION("""COMPUTED_VALUE"""),83)</f>
        <v>83</v>
      </c>
      <c r="H1283" s="2" t="str">
        <f ca="1">IFERROR(__xludf.DUMMYFUNCTION("""COMPUTED_VALUE"""),"4f1c28ac")</f>
        <v>4f1c28ac</v>
      </c>
      <c r="I1283" s="2" t="str">
        <f ca="1">IFERROR(__xludf.DUMMYFUNCTION("""COMPUTED_VALUE"""),"Aspirant Anccelota PC")</f>
        <v>Aspirant Anccelota PC</v>
      </c>
      <c r="J1283" s="2">
        <f ca="1">IFERROR(__xludf.DUMMYFUNCTION("""COMPUTED_VALUE"""),20600)</f>
        <v>20600</v>
      </c>
      <c r="K1283" s="2">
        <f ca="1">IFERROR(__xludf.DUMMYFUNCTION("""COMPUTED_VALUE"""),48200)</f>
        <v>48200</v>
      </c>
      <c r="L1283" s="2" t="str">
        <f ca="1">IFERROR(__xludf.DUMMYFUNCTION("""COMPUTED_VALUE"""),"5dace063")</f>
        <v>5dace063</v>
      </c>
      <c r="M1283" s="2" t="str">
        <f ca="1">IFERROR(__xludf.DUMMYFUNCTION("""COMPUTED_VALUE"""),"Syrah s/Asp 1")</f>
        <v>Syrah s/Asp 1</v>
      </c>
      <c r="N1283" s="2"/>
      <c r="O1283" s="2" t="str">
        <f ca="1">IFERROR(__xludf.DUMMYFUNCTION("""COMPUTED_VALUE"""),"Fermentando")</f>
        <v>Fermentando</v>
      </c>
      <c r="P1283" s="2" t="str">
        <f ca="1">IFERROR(__xludf.DUMMYFUNCTION("""COMPUTED_VALUE"""),"Fermentando")</f>
        <v>Fermentando</v>
      </c>
      <c r="Q1283" s="2" t="b">
        <f ca="1">IFERROR(__xludf.DUMMYFUNCTION("""COMPUTED_VALUE"""),FALSE)</f>
        <v>0</v>
      </c>
      <c r="R1283" s="2" t="str">
        <f ca="1">IFERROR(__xludf.DUMMYFUNCTION("""COMPUTED_VALUE"""),"Fermentando")</f>
        <v>Fermentando</v>
      </c>
      <c r="S1283" s="2"/>
      <c r="T1283" s="2"/>
      <c r="U1283" s="2"/>
    </row>
    <row r="1284" spans="1:21" x14ac:dyDescent="0.25">
      <c r="A1284" s="2" t="str">
        <f ca="1">IFERROR(__xludf.DUMMYFUNCTION("""COMPUTED_VALUE"""),"a4d72bca")</f>
        <v>a4d72bca</v>
      </c>
      <c r="B1284" s="5">
        <f ca="1">IFERROR(__xludf.DUMMYFUNCTION("""COMPUTED_VALUE"""),46084.7809027777)</f>
        <v>46084.780902777697</v>
      </c>
      <c r="C1284" s="2" t="str">
        <f ca="1">IFERROR(__xludf.DUMMYFUNCTION("""COMPUTED_VALUE"""),"83dc62c7")</f>
        <v>83dc62c7</v>
      </c>
      <c r="D1284" s="2">
        <f ca="1">IFERROR(__xludf.DUMMYFUNCTION("""COMPUTED_VALUE"""),95)</f>
        <v>95</v>
      </c>
      <c r="E1284" s="2" t="str">
        <f ca="1">IFERROR(__xludf.DUMMYFUNCTION("""COMPUTED_VALUE"""),"Malbec")</f>
        <v>Malbec</v>
      </c>
      <c r="F1284" s="2">
        <f ca="1">IFERROR(__xludf.DUMMYFUNCTION("""COMPUTED_VALUE"""),22000)</f>
        <v>22000</v>
      </c>
      <c r="G1284" s="2">
        <f ca="1">IFERROR(__xludf.DUMMYFUNCTION("""COMPUTED_VALUE"""),53)</f>
        <v>53</v>
      </c>
      <c r="H1284" s="2"/>
      <c r="I1284" s="2"/>
      <c r="J1284" s="2">
        <f ca="1">IFERROR(__xludf.DUMMYFUNCTION("""COMPUTED_VALUE"""),0)</f>
        <v>0</v>
      </c>
      <c r="K1284" s="2">
        <f ca="1">IFERROR(__xludf.DUMMYFUNCTION("""COMPUTED_VALUE"""),22000)</f>
        <v>22000</v>
      </c>
      <c r="L1284" s="2" t="str">
        <f ca="1">IFERROR(__xludf.DUMMYFUNCTION("""COMPUTED_VALUE"""),"ba499da1")</f>
        <v>ba499da1</v>
      </c>
      <c r="M1284" s="2" t="str">
        <f ca="1">IFERROR(__xludf.DUMMYFUNCTION("""COMPUTED_VALUE"""),"Malbec")</f>
        <v>Malbec</v>
      </c>
      <c r="N1284" s="2"/>
      <c r="O1284" s="2" t="str">
        <f ca="1">IFERROR(__xludf.DUMMYFUNCTION("""COMPUTED_VALUE"""),"Filtrado Tang")</f>
        <v>Filtrado Tang</v>
      </c>
      <c r="P1284" s="2"/>
      <c r="Q1284" s="2" t="b">
        <f ca="1">IFERROR(__xludf.DUMMYFUNCTION("""COMPUTED_VALUE"""),FALSE)</f>
        <v>0</v>
      </c>
      <c r="R1284" s="2" t="str">
        <f ca="1">IFERROR(__xludf.DUMMYFUNCTION("""COMPUTED_VALUE"""),"Filtrado Tang")</f>
        <v>Filtrado Tang</v>
      </c>
      <c r="S1284" s="2"/>
      <c r="T1284" s="2"/>
      <c r="U1284" s="2" t="str">
        <f ca="1">IFERROR(__xludf.DUMMYFUNCTION("""COMPUTED_VALUE"""),"1")</f>
        <v>1</v>
      </c>
    </row>
    <row r="1285" spans="1:21" x14ac:dyDescent="0.25">
      <c r="A1285" s="2" t="str">
        <f ca="1">IFERROR(__xludf.DUMMYFUNCTION("""COMPUTED_VALUE"""),"05a932a2")</f>
        <v>05a932a2</v>
      </c>
      <c r="B1285" s="5">
        <f ca="1">IFERROR(__xludf.DUMMYFUNCTION("""COMPUTED_VALUE"""),46084.7811805555)</f>
        <v>46084.781180555503</v>
      </c>
      <c r="C1285" s="2" t="str">
        <f ca="1">IFERROR(__xludf.DUMMYFUNCTION("""COMPUTED_VALUE"""),"83dc62c7")</f>
        <v>83dc62c7</v>
      </c>
      <c r="D1285" s="2">
        <f ca="1">IFERROR(__xludf.DUMMYFUNCTION("""COMPUTED_VALUE"""),95)</f>
        <v>95</v>
      </c>
      <c r="E1285" s="2" t="str">
        <f ca="1">IFERROR(__xludf.DUMMYFUNCTION("""COMPUTED_VALUE"""),"Malbec")</f>
        <v>Malbec</v>
      </c>
      <c r="F1285" s="2">
        <f ca="1">IFERROR(__xludf.DUMMYFUNCTION("""COMPUTED_VALUE"""),5100)</f>
        <v>5100</v>
      </c>
      <c r="G1285" s="2">
        <f ca="1">IFERROR(__xludf.DUMMYFUNCTION("""COMPUTED_VALUE"""),50)</f>
        <v>50</v>
      </c>
      <c r="H1285" s="2"/>
      <c r="I1285" s="2"/>
      <c r="J1285" s="2">
        <f ca="1">IFERROR(__xludf.DUMMYFUNCTION("""COMPUTED_VALUE"""),0)</f>
        <v>0</v>
      </c>
      <c r="K1285" s="2">
        <f ca="1">IFERROR(__xludf.DUMMYFUNCTION("""COMPUTED_VALUE"""),5100)</f>
        <v>5100</v>
      </c>
      <c r="L1285" s="2" t="str">
        <f ca="1">IFERROR(__xludf.DUMMYFUNCTION("""COMPUTED_VALUE"""),"fa9988f0")</f>
        <v>fa9988f0</v>
      </c>
      <c r="M1285" s="2" t="str">
        <f ca="1">IFERROR(__xludf.DUMMYFUNCTION("""COMPUTED_VALUE"""),"Malbec")</f>
        <v>Malbec</v>
      </c>
      <c r="N1285" s="2"/>
      <c r="O1285" s="2" t="str">
        <f ca="1">IFERROR(__xludf.DUMMYFUNCTION("""COMPUTED_VALUE"""),"Filtrado Tang")</f>
        <v>Filtrado Tang</v>
      </c>
      <c r="P1285" s="2"/>
      <c r="Q1285" s="2" t="b">
        <f ca="1">IFERROR(__xludf.DUMMYFUNCTION("""COMPUTED_VALUE"""),FALSE)</f>
        <v>0</v>
      </c>
      <c r="R1285" s="2" t="str">
        <f ca="1">IFERROR(__xludf.DUMMYFUNCTION("""COMPUTED_VALUE"""),"Filtrado Tang")</f>
        <v>Filtrado Tang</v>
      </c>
      <c r="S1285" s="2"/>
      <c r="T1285" s="2"/>
      <c r="U1285" s="2" t="str">
        <f ca="1">IFERROR(__xludf.DUMMYFUNCTION("""COMPUTED_VALUE"""),"1")</f>
        <v>1</v>
      </c>
    </row>
    <row r="1286" spans="1:21" x14ac:dyDescent="0.25">
      <c r="A1286" s="2" t="str">
        <f ca="1">IFERROR(__xludf.DUMMYFUNCTION("""COMPUTED_VALUE"""),"953c63e7")</f>
        <v>953c63e7</v>
      </c>
      <c r="B1286" s="5">
        <f ca="1">IFERROR(__xludf.DUMMYFUNCTION("""COMPUTED_VALUE"""),46084.7813657407)</f>
        <v>46084.781365740702</v>
      </c>
      <c r="C1286" s="2" t="str">
        <f ca="1">IFERROR(__xludf.DUMMYFUNCTION("""COMPUTED_VALUE"""),"83dc62c7")</f>
        <v>83dc62c7</v>
      </c>
      <c r="D1286" s="2">
        <f ca="1">IFERROR(__xludf.DUMMYFUNCTION("""COMPUTED_VALUE"""),95)</f>
        <v>95</v>
      </c>
      <c r="E1286" s="2" t="str">
        <f ca="1">IFERROR(__xludf.DUMMYFUNCTION("""COMPUTED_VALUE"""),"Malbec")</f>
        <v>Malbec</v>
      </c>
      <c r="F1286" s="2">
        <f ca="1">IFERROR(__xludf.DUMMYFUNCTION("""COMPUTED_VALUE"""),3900)</f>
        <v>3900</v>
      </c>
      <c r="G1286" s="2">
        <f ca="1">IFERROR(__xludf.DUMMYFUNCTION("""COMPUTED_VALUE"""),51)</f>
        <v>51</v>
      </c>
      <c r="H1286" s="2"/>
      <c r="I1286" s="2"/>
      <c r="J1286" s="2">
        <f ca="1">IFERROR(__xludf.DUMMYFUNCTION("""COMPUTED_VALUE"""),0)</f>
        <v>0</v>
      </c>
      <c r="K1286" s="2">
        <f ca="1">IFERROR(__xludf.DUMMYFUNCTION("""COMPUTED_VALUE"""),3900)</f>
        <v>3900</v>
      </c>
      <c r="L1286" s="2" t="str">
        <f ca="1">IFERROR(__xludf.DUMMYFUNCTION("""COMPUTED_VALUE"""),"661c51ce")</f>
        <v>661c51ce</v>
      </c>
      <c r="M1286" s="2" t="str">
        <f ca="1">IFERROR(__xludf.DUMMYFUNCTION("""COMPUTED_VALUE"""),"Malbec")</f>
        <v>Malbec</v>
      </c>
      <c r="N1286" s="2"/>
      <c r="O1286" s="2" t="str">
        <f ca="1">IFERROR(__xludf.DUMMYFUNCTION("""COMPUTED_VALUE"""),"Filtrado Tang")</f>
        <v>Filtrado Tang</v>
      </c>
      <c r="P1286" s="2"/>
      <c r="Q1286" s="2" t="b">
        <f ca="1">IFERROR(__xludf.DUMMYFUNCTION("""COMPUTED_VALUE"""),FALSE)</f>
        <v>0</v>
      </c>
      <c r="R1286" s="2" t="str">
        <f ca="1">IFERROR(__xludf.DUMMYFUNCTION("""COMPUTED_VALUE"""),"Filtrado Tang")</f>
        <v>Filtrado Tang</v>
      </c>
      <c r="S1286" s="2"/>
      <c r="T1286" s="2"/>
      <c r="U1286" s="2" t="str">
        <f ca="1">IFERROR(__xludf.DUMMYFUNCTION("""COMPUTED_VALUE"""),"1")</f>
        <v>1</v>
      </c>
    </row>
    <row r="1287" spans="1:21" x14ac:dyDescent="0.25">
      <c r="A1287" s="2" t="str">
        <f ca="1">IFERROR(__xludf.DUMMYFUNCTION("""COMPUTED_VALUE"""),"1332241c")</f>
        <v>1332241c</v>
      </c>
      <c r="B1287" s="5">
        <f ca="1">IFERROR(__xludf.DUMMYFUNCTION("""COMPUTED_VALUE"""),46085.7515509259)</f>
        <v>46085.751550925903</v>
      </c>
      <c r="C1287" s="2" t="str">
        <f ca="1">IFERROR(__xludf.DUMMYFUNCTION("""COMPUTED_VALUE"""),"6bb3342c")</f>
        <v>6bb3342c</v>
      </c>
      <c r="D1287" s="2">
        <f ca="1">IFERROR(__xludf.DUMMYFUNCTION("""COMPUTED_VALUE"""),88)</f>
        <v>88</v>
      </c>
      <c r="E1287" s="2" t="str">
        <f ca="1">IFERROR(__xludf.DUMMYFUNCTION("""COMPUTED_VALUE"""),"Malbec Mer")</f>
        <v>Malbec Mer</v>
      </c>
      <c r="F1287" s="2">
        <f ca="1">IFERROR(__xludf.DUMMYFUNCTION("""COMPUTED_VALUE"""),-9300)</f>
        <v>-9300</v>
      </c>
      <c r="G1287" s="2">
        <f ca="1">IFERROR(__xludf.DUMMYFUNCTION("""COMPUTED_VALUE"""),85)</f>
        <v>85</v>
      </c>
      <c r="H1287" s="2" t="str">
        <f ca="1">IFERROR(__xludf.DUMMYFUNCTION("""COMPUTED_VALUE"""),"fb826632")</f>
        <v>fb826632</v>
      </c>
      <c r="I1287" s="2" t="str">
        <f ca="1">IFERROR(__xludf.DUMMYFUNCTION("""COMPUTED_VALUE"""),"Syrah")</f>
        <v>Syrah</v>
      </c>
      <c r="J1287" s="2">
        <f ca="1">IFERROR(__xludf.DUMMYFUNCTION("""COMPUTED_VALUE"""),9300)</f>
        <v>9300</v>
      </c>
      <c r="K1287" s="2">
        <f ca="1">IFERROR(__xludf.DUMMYFUNCTION("""COMPUTED_VALUE"""),0)</f>
        <v>0</v>
      </c>
      <c r="L1287" s="2" t="str">
        <f ca="1">IFERROR(__xludf.DUMMYFUNCTION("""COMPUTED_VALUE"""),"313f8966")</f>
        <v>313f8966</v>
      </c>
      <c r="M1287" s="2" t="str">
        <f ca="1">IFERROR(__xludf.DUMMYFUNCTION("""COMPUTED_VALUE"""),"Syrah")</f>
        <v>Syrah</v>
      </c>
      <c r="N1287" s="2" t="str">
        <f ca="1">IFERROR(__xludf.DUMMYFUNCTION("""COMPUTED_VALUE"""),"Pie de cuba")</f>
        <v>Pie de cuba</v>
      </c>
      <c r="O1287" s="2" t="str">
        <f ca="1">IFERROR(__xludf.DUMMYFUNCTION("""COMPUTED_VALUE"""),"Fermentando")</f>
        <v>Fermentando</v>
      </c>
      <c r="P1287" s="2" t="str">
        <f ca="1">IFERROR(__xludf.DUMMYFUNCTION("""COMPUTED_VALUE"""),"Fermentando")</f>
        <v>Fermentando</v>
      </c>
      <c r="Q1287" s="2" t="b">
        <f ca="1">IFERROR(__xludf.DUMMYFUNCTION("""COMPUTED_VALUE"""),TRUE)</f>
        <v>1</v>
      </c>
      <c r="R1287" s="2" t="str">
        <f ca="1">IFERROR(__xludf.DUMMYFUNCTION("""COMPUTED_VALUE"""),"Fermentando")</f>
        <v>Fermentando</v>
      </c>
      <c r="S1287" s="2"/>
      <c r="T1287" s="2"/>
      <c r="U1287" s="2"/>
    </row>
    <row r="1288" spans="1:21" x14ac:dyDescent="0.25">
      <c r="A1288" s="2" t="str">
        <f ca="1">IFERROR(__xludf.DUMMYFUNCTION("""COMPUTED_VALUE"""),"6edb3abe")</f>
        <v>6edb3abe</v>
      </c>
      <c r="B1288" s="5">
        <f ca="1">IFERROR(__xludf.DUMMYFUNCTION("""COMPUTED_VALUE"""),46086.8055902777)</f>
        <v>46086.805590277698</v>
      </c>
      <c r="C1288" s="2" t="str">
        <f ca="1">IFERROR(__xludf.DUMMYFUNCTION("""COMPUTED_VALUE"""),"24592bd2")</f>
        <v>24592bd2</v>
      </c>
      <c r="D1288" s="2">
        <f ca="1">IFERROR(__xludf.DUMMYFUNCTION("""COMPUTED_VALUE"""),76)</f>
        <v>76</v>
      </c>
      <c r="E1288" s="2" t="str">
        <f ca="1">IFERROR(__xludf.DUMMYFUNCTION("""COMPUTED_VALUE"""),"Chardonnay")</f>
        <v>Chardonnay</v>
      </c>
      <c r="F1288" s="2">
        <f ca="1">IFERROR(__xludf.DUMMYFUNCTION("""COMPUTED_VALUE"""),-3500)</f>
        <v>-3500</v>
      </c>
      <c r="G1288" s="2">
        <f ca="1">IFERROR(__xludf.DUMMYFUNCTION("""COMPUTED_VALUE"""),8)</f>
        <v>8</v>
      </c>
      <c r="H1288" s="2" t="str">
        <f ca="1">IFERROR(__xludf.DUMMYFUNCTION("""COMPUTED_VALUE"""),"239f8a8d")</f>
        <v>239f8a8d</v>
      </c>
      <c r="I1288" s="2" t="str">
        <f ca="1">IFERROR(__xludf.DUMMYFUNCTION("""COMPUTED_VALUE"""),"Chardonnay Mosto Rect")</f>
        <v>Chardonnay Mosto Rect</v>
      </c>
      <c r="J1288" s="2">
        <f ca="1">IFERROR(__xludf.DUMMYFUNCTION("""COMPUTED_VALUE"""),9000)</f>
        <v>9000</v>
      </c>
      <c r="K1288" s="2">
        <f ca="1">IFERROR(__xludf.DUMMYFUNCTION("""COMPUTED_VALUE"""),5500)</f>
        <v>5500</v>
      </c>
      <c r="L1288" s="2" t="str">
        <f ca="1">IFERROR(__xludf.DUMMYFUNCTION("""COMPUTED_VALUE"""),"e8d6b776")</f>
        <v>e8d6b776</v>
      </c>
      <c r="M1288" s="2" t="str">
        <f ca="1">IFERROR(__xludf.DUMMYFUNCTION("""COMPUTED_VALUE"""),"Chardonnay Mosto Rect")</f>
        <v>Chardonnay Mosto Rect</v>
      </c>
      <c r="N1288" s="2"/>
      <c r="O1288" s="2" t="str">
        <f ca="1">IFERROR(__xludf.DUMMYFUNCTION("""COMPUTED_VALUE"""),"Fermentando")</f>
        <v>Fermentando</v>
      </c>
      <c r="P1288" s="2" t="str">
        <f ca="1">IFERROR(__xludf.DUMMYFUNCTION("""COMPUTED_VALUE"""),"Rectificado")</f>
        <v>Rectificado</v>
      </c>
      <c r="Q1288" s="2" t="b">
        <f ca="1">IFERROR(__xludf.DUMMYFUNCTION("""COMPUTED_VALUE"""),TRUE)</f>
        <v>1</v>
      </c>
      <c r="R1288" s="2" t="str">
        <f ca="1">IFERROR(__xludf.DUMMYFUNCTION("""COMPUTED_VALUE"""),"Rectificado")</f>
        <v>Rectificado</v>
      </c>
      <c r="S1288" s="2"/>
      <c r="T1288" s="2"/>
      <c r="U1288" s="2"/>
    </row>
    <row r="1289" spans="1:21" x14ac:dyDescent="0.25">
      <c r="A1289" s="2" t="str">
        <f ca="1">IFERROR(__xludf.DUMMYFUNCTION("""COMPUTED_VALUE"""),"b62c0658")</f>
        <v>b62c0658</v>
      </c>
      <c r="B1289" s="5">
        <f ca="1">IFERROR(__xludf.DUMMYFUNCTION("""COMPUTED_VALUE"""),46086.8060185185)</f>
        <v>46086.806018518502</v>
      </c>
      <c r="C1289" s="2" t="str">
        <f ca="1">IFERROR(__xludf.DUMMYFUNCTION("""COMPUTED_VALUE"""),"af88deee")</f>
        <v>af88deee</v>
      </c>
      <c r="D1289" s="2">
        <f ca="1">IFERROR(__xludf.DUMMYFUNCTION("""COMPUTED_VALUE"""),78)</f>
        <v>78</v>
      </c>
      <c r="E1289" s="2" t="str">
        <f ca="1">IFERROR(__xludf.DUMMYFUNCTION("""COMPUTED_VALUE"""),"Torrontes Viog")</f>
        <v>Torrontes Viog</v>
      </c>
      <c r="F1289" s="2">
        <f ca="1">IFERROR(__xludf.DUMMYFUNCTION("""COMPUTED_VALUE"""),-2600)</f>
        <v>-2600</v>
      </c>
      <c r="G1289" s="2">
        <f ca="1">IFERROR(__xludf.DUMMYFUNCTION("""COMPUTED_VALUE"""),8)</f>
        <v>8</v>
      </c>
      <c r="H1289" s="2" t="str">
        <f ca="1">IFERROR(__xludf.DUMMYFUNCTION("""COMPUTED_VALUE"""),"e8d6b776")</f>
        <v>e8d6b776</v>
      </c>
      <c r="I1289" s="2" t="str">
        <f ca="1">IFERROR(__xludf.DUMMYFUNCTION("""COMPUTED_VALUE"""),"Chardonnay Mosto Rect")</f>
        <v>Chardonnay Mosto Rect</v>
      </c>
      <c r="J1289" s="2">
        <f ca="1">IFERROR(__xludf.DUMMYFUNCTION("""COMPUTED_VALUE"""),5500)</f>
        <v>5500</v>
      </c>
      <c r="K1289" s="2">
        <f ca="1">IFERROR(__xludf.DUMMYFUNCTION("""COMPUTED_VALUE"""),2900)</f>
        <v>2900</v>
      </c>
      <c r="L1289" s="2" t="str">
        <f ca="1">IFERROR(__xludf.DUMMYFUNCTION("""COMPUTED_VALUE"""),"b550c76d")</f>
        <v>b550c76d</v>
      </c>
      <c r="M1289" s="2" t="str">
        <f ca="1">IFERROR(__xludf.DUMMYFUNCTION("""COMPUTED_VALUE"""),"Chardonnay Mosto Rect")</f>
        <v>Chardonnay Mosto Rect</v>
      </c>
      <c r="N1289" s="2"/>
      <c r="O1289" s="2" t="str">
        <f ca="1">IFERROR(__xludf.DUMMYFUNCTION("""COMPUTED_VALUE"""),"Fermentando")</f>
        <v>Fermentando</v>
      </c>
      <c r="P1289" s="2" t="str">
        <f ca="1">IFERROR(__xludf.DUMMYFUNCTION("""COMPUTED_VALUE"""),"Rectificado")</f>
        <v>Rectificado</v>
      </c>
      <c r="Q1289" s="2" t="b">
        <f ca="1">IFERROR(__xludf.DUMMYFUNCTION("""COMPUTED_VALUE"""),TRUE)</f>
        <v>1</v>
      </c>
      <c r="R1289" s="2" t="str">
        <f ca="1">IFERROR(__xludf.DUMMYFUNCTION("""COMPUTED_VALUE"""),"Rectificado")</f>
        <v>Rectificado</v>
      </c>
      <c r="S1289" s="2"/>
      <c r="T1289" s="2"/>
      <c r="U1289" s="2"/>
    </row>
    <row r="1290" spans="1:21" x14ac:dyDescent="0.25">
      <c r="A1290" s="2" t="str">
        <f ca="1">IFERROR(__xludf.DUMMYFUNCTION("""COMPUTED_VALUE"""),"8dc5f0d5")</f>
        <v>8dc5f0d5</v>
      </c>
      <c r="B1290" s="5">
        <f ca="1">IFERROR(__xludf.DUMMYFUNCTION("""COMPUTED_VALUE"""),46086.8072222222)</f>
        <v>46086.807222222204</v>
      </c>
      <c r="C1290" s="2" t="str">
        <f ca="1">IFERROR(__xludf.DUMMYFUNCTION("""COMPUTED_VALUE"""),"fdccbcf1")</f>
        <v>fdccbcf1</v>
      </c>
      <c r="D1290" s="2">
        <f ca="1">IFERROR(__xludf.DUMMYFUNCTION("""COMPUTED_VALUE"""),66)</f>
        <v>66</v>
      </c>
      <c r="E1290" s="2" t="str">
        <f ca="1">IFERROR(__xludf.DUMMYFUNCTION("""COMPUTED_VALUE"""),"Syrah s/Asp 2")</f>
        <v>Syrah s/Asp 2</v>
      </c>
      <c r="F1290" s="2">
        <f ca="1">IFERROR(__xludf.DUMMYFUNCTION("""COMPUTED_VALUE"""),9000)</f>
        <v>9000</v>
      </c>
      <c r="G1290" s="2">
        <f ca="1">IFERROR(__xludf.DUMMYFUNCTION("""COMPUTED_VALUE"""),73)</f>
        <v>73</v>
      </c>
      <c r="H1290" s="2"/>
      <c r="I1290" s="2"/>
      <c r="J1290" s="2">
        <f ca="1">IFERROR(__xludf.DUMMYFUNCTION("""COMPUTED_VALUE"""),0)</f>
        <v>0</v>
      </c>
      <c r="K1290" s="2">
        <f ca="1">IFERROR(__xludf.DUMMYFUNCTION("""COMPUTED_VALUE"""),9000)</f>
        <v>9000</v>
      </c>
      <c r="L1290" s="2" t="str">
        <f ca="1">IFERROR(__xludf.DUMMYFUNCTION("""COMPUTED_VALUE"""),"8e292d12")</f>
        <v>8e292d12</v>
      </c>
      <c r="M1290" s="2" t="str">
        <f ca="1">IFERROR(__xludf.DUMMYFUNCTION("""COMPUTED_VALUE"""),"Syrah s/Asp 2")</f>
        <v>Syrah s/Asp 2</v>
      </c>
      <c r="N1290" s="2" t="str">
        <f ca="1">IFERROR(__xludf.DUMMYFUNCTION("""COMPUTED_VALUE"""),"Gota")</f>
        <v>Gota</v>
      </c>
      <c r="O1290" s="2" t="str">
        <f ca="1">IFERROR(__xludf.DUMMYFUNCTION("""COMPUTED_VALUE"""),"Fermentando")</f>
        <v>Fermentando</v>
      </c>
      <c r="P1290" s="2"/>
      <c r="Q1290" s="2" t="b">
        <f ca="1">IFERROR(__xludf.DUMMYFUNCTION("""COMPUTED_VALUE"""),FALSE)</f>
        <v>0</v>
      </c>
      <c r="R1290" s="2" t="str">
        <f ca="1">IFERROR(__xludf.DUMMYFUNCTION("""COMPUTED_VALUE"""),"Descubada")</f>
        <v>Descubada</v>
      </c>
      <c r="S1290" s="2"/>
      <c r="T1290" s="2"/>
      <c r="U1290" s="2"/>
    </row>
    <row r="1291" spans="1:21" x14ac:dyDescent="0.25">
      <c r="A1291" s="2" t="str">
        <f ca="1">IFERROR(__xludf.DUMMYFUNCTION("""COMPUTED_VALUE"""),"c11aa157")</f>
        <v>c11aa157</v>
      </c>
      <c r="B1291" s="5">
        <f ca="1">IFERROR(__xludf.DUMMYFUNCTION("""COMPUTED_VALUE"""),46086.8078125)</f>
        <v>46086.807812500003</v>
      </c>
      <c r="C1291" s="2" t="str">
        <f ca="1">IFERROR(__xludf.DUMMYFUNCTION("""COMPUTED_VALUE"""),"5fb8b8c6")</f>
        <v>5fb8b8c6</v>
      </c>
      <c r="D1291" s="2">
        <f ca="1">IFERROR(__xludf.DUMMYFUNCTION("""COMPUTED_VALUE"""),79)</f>
        <v>79</v>
      </c>
      <c r="E1291" s="2" t="str">
        <f ca="1">IFERROR(__xludf.DUMMYFUNCTION("""COMPUTED_VALUE"""),"Syrah s/Asp 2")</f>
        <v>Syrah s/Asp 2</v>
      </c>
      <c r="F1291" s="2">
        <f ca="1">IFERROR(__xludf.DUMMYFUNCTION("""COMPUTED_VALUE"""),4000)</f>
        <v>4000</v>
      </c>
      <c r="G1291" s="2">
        <f ca="1">IFERROR(__xludf.DUMMYFUNCTION("""COMPUTED_VALUE"""),73)</f>
        <v>73</v>
      </c>
      <c r="H1291" s="2" t="str">
        <f ca="1">IFERROR(__xludf.DUMMYFUNCTION("""COMPUTED_VALUE"""),"8e292d12")</f>
        <v>8e292d12</v>
      </c>
      <c r="I1291" s="2" t="str">
        <f ca="1">IFERROR(__xludf.DUMMYFUNCTION("""COMPUTED_VALUE"""),"Syrah s/Asp 2")</f>
        <v>Syrah s/Asp 2</v>
      </c>
      <c r="J1291" s="2">
        <f ca="1">IFERROR(__xludf.DUMMYFUNCTION("""COMPUTED_VALUE"""),9000)</f>
        <v>9000</v>
      </c>
      <c r="K1291" s="2">
        <f ca="1">IFERROR(__xludf.DUMMYFUNCTION("""COMPUTED_VALUE"""),13000)</f>
        <v>13000</v>
      </c>
      <c r="L1291" s="2" t="str">
        <f ca="1">IFERROR(__xludf.DUMMYFUNCTION("""COMPUTED_VALUE"""),"95936008")</f>
        <v>95936008</v>
      </c>
      <c r="M1291" s="2" t="str">
        <f ca="1">IFERROR(__xludf.DUMMYFUNCTION("""COMPUTED_VALUE"""),"Syrah s/Asp 2")</f>
        <v>Syrah s/Asp 2</v>
      </c>
      <c r="N1291" s="2"/>
      <c r="O1291" s="2" t="str">
        <f ca="1">IFERROR(__xludf.DUMMYFUNCTION("""COMPUTED_VALUE"""),"Fermentando")</f>
        <v>Fermentando</v>
      </c>
      <c r="P1291" s="2" t="str">
        <f ca="1">IFERROR(__xludf.DUMMYFUNCTION("""COMPUTED_VALUE"""),"Descubada")</f>
        <v>Descubada</v>
      </c>
      <c r="Q1291" s="2" t="b">
        <f ca="1">IFERROR(__xludf.DUMMYFUNCTION("""COMPUTED_VALUE"""),TRUE)</f>
        <v>1</v>
      </c>
      <c r="R1291" s="2" t="str">
        <f ca="1">IFERROR(__xludf.DUMMYFUNCTION("""COMPUTED_VALUE"""),"Descubada")</f>
        <v>Descubada</v>
      </c>
      <c r="S1291" s="2"/>
      <c r="T1291" s="2"/>
      <c r="U1291" s="2"/>
    </row>
    <row r="1292" spans="1:21" x14ac:dyDescent="0.25">
      <c r="A1292" s="2" t="str">
        <f ca="1">IFERROR(__xludf.DUMMYFUNCTION("""COMPUTED_VALUE"""),"501f6740")</f>
        <v>501f6740</v>
      </c>
      <c r="B1292" s="5">
        <f ca="1">IFERROR(__xludf.DUMMYFUNCTION("""COMPUTED_VALUE"""),46086.808287037)</f>
        <v>46086.808287036998</v>
      </c>
      <c r="C1292" s="2" t="str">
        <f ca="1">IFERROR(__xludf.DUMMYFUNCTION("""COMPUTED_VALUE"""),"5fb8b8c6")</f>
        <v>5fb8b8c6</v>
      </c>
      <c r="D1292" s="2">
        <f ca="1">IFERROR(__xludf.DUMMYFUNCTION("""COMPUTED_VALUE"""),79)</f>
        <v>79</v>
      </c>
      <c r="E1292" s="2" t="str">
        <f ca="1">IFERROR(__xludf.DUMMYFUNCTION("""COMPUTED_VALUE"""),"Syrah s/Asp 2")</f>
        <v>Syrah s/Asp 2</v>
      </c>
      <c r="F1292" s="2">
        <f ca="1">IFERROR(__xludf.DUMMYFUNCTION("""COMPUTED_VALUE"""),6000)</f>
        <v>6000</v>
      </c>
      <c r="G1292" s="2">
        <f ca="1">IFERROR(__xludf.DUMMYFUNCTION("""COMPUTED_VALUE"""),71)</f>
        <v>71</v>
      </c>
      <c r="H1292" s="2"/>
      <c r="I1292" s="2"/>
      <c r="J1292" s="2">
        <f ca="1">IFERROR(__xludf.DUMMYFUNCTION("""COMPUTED_VALUE"""),0)</f>
        <v>0</v>
      </c>
      <c r="K1292" s="2">
        <f ca="1">IFERROR(__xludf.DUMMYFUNCTION("""COMPUTED_VALUE"""),6000)</f>
        <v>6000</v>
      </c>
      <c r="L1292" s="2" t="str">
        <f ca="1">IFERROR(__xludf.DUMMYFUNCTION("""COMPUTED_VALUE"""),"be3ca69c")</f>
        <v>be3ca69c</v>
      </c>
      <c r="M1292" s="2" t="str">
        <f ca="1">IFERROR(__xludf.DUMMYFUNCTION("""COMPUTED_VALUE"""),"Syrah s/Asp 2")</f>
        <v>Syrah s/Asp 2</v>
      </c>
      <c r="N1292" s="2"/>
      <c r="O1292" s="2" t="str">
        <f ca="1">IFERROR(__xludf.DUMMYFUNCTION("""COMPUTED_VALUE"""),"Fermentando")</f>
        <v>Fermentando</v>
      </c>
      <c r="P1292" s="2"/>
      <c r="Q1292" s="2" t="b">
        <f ca="1">IFERROR(__xludf.DUMMYFUNCTION("""COMPUTED_VALUE"""),FALSE)</f>
        <v>0</v>
      </c>
      <c r="R1292" s="2" t="str">
        <f ca="1">IFERROR(__xludf.DUMMYFUNCTION("""COMPUTED_VALUE"""),"Descubada")</f>
        <v>Descubada</v>
      </c>
      <c r="S1292" s="2"/>
      <c r="T1292" s="2"/>
      <c r="U1292" s="2"/>
    </row>
    <row r="1293" spans="1:21" x14ac:dyDescent="0.25">
      <c r="A1293" s="2" t="str">
        <f ca="1">IFERROR(__xludf.DUMMYFUNCTION("""COMPUTED_VALUE"""),"5a38392e")</f>
        <v>5a38392e</v>
      </c>
      <c r="B1293" s="5">
        <f ca="1">IFERROR(__xludf.DUMMYFUNCTION("""COMPUTED_VALUE"""),46086.8101157407)</f>
        <v>46086.8101157407</v>
      </c>
      <c r="C1293" s="2" t="str">
        <f ca="1">IFERROR(__xludf.DUMMYFUNCTION("""COMPUTED_VALUE"""),"c17f715b")</f>
        <v>c17f715b</v>
      </c>
      <c r="D1293" s="2">
        <f ca="1">IFERROR(__xludf.DUMMYFUNCTION("""COMPUTED_VALUE"""),89)</f>
        <v>89</v>
      </c>
      <c r="E1293" s="2" t="str">
        <f ca="1">IFERROR(__xludf.DUMMYFUNCTION("""COMPUTED_VALUE"""),"Syrah Anc PC")</f>
        <v>Syrah Anc PC</v>
      </c>
      <c r="F1293" s="2">
        <f ca="1">IFERROR(__xludf.DUMMYFUNCTION("""COMPUTED_VALUE"""),9000)</f>
        <v>9000</v>
      </c>
      <c r="G1293" s="2">
        <f ca="1">IFERROR(__xludf.DUMMYFUNCTION("""COMPUTED_VALUE"""),66)</f>
        <v>66</v>
      </c>
      <c r="H1293" s="2" t="str">
        <f ca="1">IFERROR(__xludf.DUMMYFUNCTION("""COMPUTED_VALUE"""),"fdccbcf1")</f>
        <v>fdccbcf1</v>
      </c>
      <c r="I1293" s="2" t="str">
        <f ca="1">IFERROR(__xludf.DUMMYFUNCTION("""COMPUTED_VALUE"""),"Syrah s/Asp 2")</f>
        <v>Syrah s/Asp 2</v>
      </c>
      <c r="J1293" s="2">
        <f ca="1">IFERROR(__xludf.DUMMYFUNCTION("""COMPUTED_VALUE"""),10000)</f>
        <v>10000</v>
      </c>
      <c r="K1293" s="2">
        <f ca="1">IFERROR(__xludf.DUMMYFUNCTION("""COMPUTED_VALUE"""),19000)</f>
        <v>19000</v>
      </c>
      <c r="L1293" s="2" t="str">
        <f ca="1">IFERROR(__xludf.DUMMYFUNCTION("""COMPUTED_VALUE"""),"f45cc2c7")</f>
        <v>f45cc2c7</v>
      </c>
      <c r="M1293" s="2" t="str">
        <f ca="1">IFERROR(__xludf.DUMMYFUNCTION("""COMPUTED_VALUE"""),"Syrah Anc PC s/Asp 3")</f>
        <v>Syrah Anc PC s/Asp 3</v>
      </c>
      <c r="N1293" s="2" t="str">
        <f ca="1">IFERROR(__xludf.DUMMYFUNCTION("""COMPUTED_VALUE"""),"Sangria")</f>
        <v>Sangria</v>
      </c>
      <c r="O1293" s="2" t="str">
        <f ca="1">IFERROR(__xludf.DUMMYFUNCTION("""COMPUTED_VALUE"""),"Fermentando")</f>
        <v>Fermentando</v>
      </c>
      <c r="P1293" s="2" t="str">
        <f ca="1">IFERROR(__xludf.DUMMYFUNCTION("""COMPUTED_VALUE"""),"Fermentando")</f>
        <v>Fermentando</v>
      </c>
      <c r="Q1293" s="2" t="b">
        <f ca="1">IFERROR(__xludf.DUMMYFUNCTION("""COMPUTED_VALUE"""),TRUE)</f>
        <v>1</v>
      </c>
      <c r="R1293" s="2" t="str">
        <f ca="1">IFERROR(__xludf.DUMMYFUNCTION("""COMPUTED_VALUE"""),"Fermentando")</f>
        <v>Fermentando</v>
      </c>
      <c r="S1293" s="2"/>
      <c r="T1293" s="2"/>
      <c r="U1293" s="2"/>
    </row>
    <row r="1294" spans="1:21" x14ac:dyDescent="0.25">
      <c r="A1294" s="2" t="str">
        <f ca="1">IFERROR(__xludf.DUMMYFUNCTION("""COMPUTED_VALUE"""),"736fda56")</f>
        <v>736fda56</v>
      </c>
      <c r="B1294" s="5">
        <f ca="1">IFERROR(__xludf.DUMMYFUNCTION("""COMPUTED_VALUE"""),46086.8105787037)</f>
        <v>46086.810578703698</v>
      </c>
      <c r="C1294" s="2" t="str">
        <f ca="1">IFERROR(__xludf.DUMMYFUNCTION("""COMPUTED_VALUE"""),"6bb3342c")</f>
        <v>6bb3342c</v>
      </c>
      <c r="D1294" s="2">
        <f ca="1">IFERROR(__xludf.DUMMYFUNCTION("""COMPUTED_VALUE"""),88)</f>
        <v>88</v>
      </c>
      <c r="E1294" s="2" t="str">
        <f ca="1">IFERROR(__xludf.DUMMYFUNCTION("""COMPUTED_VALUE"""),"Malbec Mer")</f>
        <v>Malbec Mer</v>
      </c>
      <c r="F1294" s="2">
        <f ca="1">IFERROR(__xludf.DUMMYFUNCTION("""COMPUTED_VALUE"""),9000)</f>
        <v>9000</v>
      </c>
      <c r="G1294" s="2">
        <f ca="1">IFERROR(__xludf.DUMMYFUNCTION("""COMPUTED_VALUE"""),79)</f>
        <v>79</v>
      </c>
      <c r="H1294" s="2" t="str">
        <f ca="1">IFERROR(__xludf.DUMMYFUNCTION("""COMPUTED_VALUE"""),"5fb8b8c6")</f>
        <v>5fb8b8c6</v>
      </c>
      <c r="I1294" s="2" t="str">
        <f ca="1">IFERROR(__xludf.DUMMYFUNCTION("""COMPUTED_VALUE"""),"Malbec Mer s/Asp 3")</f>
        <v>Malbec Mer s/Asp 3</v>
      </c>
      <c r="J1294" s="2">
        <f ca="1">IFERROR(__xludf.DUMMYFUNCTION("""COMPUTED_VALUE"""),11750)</f>
        <v>11750</v>
      </c>
      <c r="K1294" s="2">
        <f ca="1">IFERROR(__xludf.DUMMYFUNCTION("""COMPUTED_VALUE"""),20750)</f>
        <v>20750</v>
      </c>
      <c r="L1294" s="2" t="str">
        <f ca="1">IFERROR(__xludf.DUMMYFUNCTION("""COMPUTED_VALUE"""),"aeb3f134")</f>
        <v>aeb3f134</v>
      </c>
      <c r="M1294" s="2" t="str">
        <f ca="1">IFERROR(__xludf.DUMMYFUNCTION("""COMPUTED_VALUE"""),"Malbec Mer s/Asp 3")</f>
        <v>Malbec Mer s/Asp 3</v>
      </c>
      <c r="N1294" s="2" t="str">
        <f ca="1">IFERROR(__xludf.DUMMYFUNCTION("""COMPUTED_VALUE"""),"Sangria")</f>
        <v>Sangria</v>
      </c>
      <c r="O1294" s="2" t="str">
        <f ca="1">IFERROR(__xludf.DUMMYFUNCTION("""COMPUTED_VALUE"""),"Fermentando")</f>
        <v>Fermentando</v>
      </c>
      <c r="P1294" s="2" t="str">
        <f ca="1">IFERROR(__xludf.DUMMYFUNCTION("""COMPUTED_VALUE"""),"Fermentando")</f>
        <v>Fermentando</v>
      </c>
      <c r="Q1294" s="2" t="b">
        <f ca="1">IFERROR(__xludf.DUMMYFUNCTION("""COMPUTED_VALUE"""),TRUE)</f>
        <v>1</v>
      </c>
      <c r="R1294" s="2" t="str">
        <f ca="1">IFERROR(__xludf.DUMMYFUNCTION("""COMPUTED_VALUE"""),"Fermentando")</f>
        <v>Fermentando</v>
      </c>
      <c r="S1294" s="2"/>
      <c r="T1294" s="2"/>
      <c r="U1294" s="2"/>
    </row>
    <row r="1295" spans="1:21" x14ac:dyDescent="0.25">
      <c r="A1295" s="2" t="str">
        <f ca="1">IFERROR(__xludf.DUMMYFUNCTION("""COMPUTED_VALUE"""),"7896a84c")</f>
        <v>7896a84c</v>
      </c>
      <c r="B1295" s="5">
        <f ca="1">IFERROR(__xludf.DUMMYFUNCTION("""COMPUTED_VALUE"""),46086.8117013887)</f>
        <v>46086.811701388797</v>
      </c>
      <c r="C1295" s="2" t="str">
        <f ca="1">IFERROR(__xludf.DUMMYFUNCTION("""COMPUTED_VALUE"""),"6bb3342c")</f>
        <v>6bb3342c</v>
      </c>
      <c r="D1295" s="2">
        <f ca="1">IFERROR(__xludf.DUMMYFUNCTION("""COMPUTED_VALUE"""),88)</f>
        <v>88</v>
      </c>
      <c r="E1295" s="2" t="str">
        <f ca="1">IFERROR(__xludf.DUMMYFUNCTION("""COMPUTED_VALUE"""),"Malbec Mer")</f>
        <v>Malbec Mer</v>
      </c>
      <c r="F1295" s="2">
        <f ca="1">IFERROR(__xludf.DUMMYFUNCTION("""COMPUTED_VALUE"""),-8000)</f>
        <v>-8000</v>
      </c>
      <c r="G1295" s="2">
        <f ca="1">IFERROR(__xludf.DUMMYFUNCTION("""COMPUTED_VALUE"""),49)</f>
        <v>49</v>
      </c>
      <c r="H1295" s="2" t="str">
        <f ca="1">IFERROR(__xludf.DUMMYFUNCTION("""COMPUTED_VALUE"""),"ee0770a6")</f>
        <v>ee0770a6</v>
      </c>
      <c r="I1295" s="2" t="str">
        <f ca="1">IFERROR(__xludf.DUMMYFUNCTION("""COMPUTED_VALUE"""),"Malbec Rectificado")</f>
        <v>Malbec Rectificado</v>
      </c>
      <c r="J1295" s="2">
        <f ca="1">IFERROR(__xludf.DUMMYFUNCTION("""COMPUTED_VALUE"""),26000)</f>
        <v>26000</v>
      </c>
      <c r="K1295" s="2">
        <f ca="1">IFERROR(__xludf.DUMMYFUNCTION("""COMPUTED_VALUE"""),18000)</f>
        <v>18000</v>
      </c>
      <c r="L1295" s="2" t="str">
        <f ca="1">IFERROR(__xludf.DUMMYFUNCTION("""COMPUTED_VALUE"""),"7161f26d")</f>
        <v>7161f26d</v>
      </c>
      <c r="M1295" s="2" t="str">
        <f ca="1">IFERROR(__xludf.DUMMYFUNCTION("""COMPUTED_VALUE"""),"Malbec Rectificado")</f>
        <v>Malbec Rectificado</v>
      </c>
      <c r="N1295" s="2"/>
      <c r="O1295" s="2" t="str">
        <f ca="1">IFERROR(__xludf.DUMMYFUNCTION("""COMPUTED_VALUE"""),"Fermentando")</f>
        <v>Fermentando</v>
      </c>
      <c r="P1295" s="2" t="str">
        <f ca="1">IFERROR(__xludf.DUMMYFUNCTION("""COMPUTED_VALUE"""),"Rectificado")</f>
        <v>Rectificado</v>
      </c>
      <c r="Q1295" s="2" t="b">
        <f ca="1">IFERROR(__xludf.DUMMYFUNCTION("""COMPUTED_VALUE"""),TRUE)</f>
        <v>1</v>
      </c>
      <c r="R1295" s="2" t="str">
        <f ca="1">IFERROR(__xludf.DUMMYFUNCTION("""COMPUTED_VALUE"""),"Rectificado")</f>
        <v>Rectificado</v>
      </c>
      <c r="S1295" s="2"/>
      <c r="T1295" s="2"/>
      <c r="U1295" s="2" t="str">
        <f ca="1">IFERROR(__xludf.DUMMYFUNCTION("""COMPUTED_VALUE"""),"1")</f>
        <v>1</v>
      </c>
    </row>
    <row r="1296" spans="1:21" x14ac:dyDescent="0.25">
      <c r="A1296" s="2" t="str">
        <f ca="1">IFERROR(__xludf.DUMMYFUNCTION("""COMPUTED_VALUE"""),"43a72649")</f>
        <v>43a72649</v>
      </c>
      <c r="B1296" s="5">
        <f ca="1">IFERROR(__xludf.DUMMYFUNCTION("""COMPUTED_VALUE"""),46086.8120138888)</f>
        <v>46086.812013888797</v>
      </c>
      <c r="C1296" s="2" t="str">
        <f ca="1">IFERROR(__xludf.DUMMYFUNCTION("""COMPUTED_VALUE"""),"c17f715b")</f>
        <v>c17f715b</v>
      </c>
      <c r="D1296" s="2">
        <f ca="1">IFERROR(__xludf.DUMMYFUNCTION("""COMPUTED_VALUE"""),89)</f>
        <v>89</v>
      </c>
      <c r="E1296" s="2" t="str">
        <f ca="1">IFERROR(__xludf.DUMMYFUNCTION("""COMPUTED_VALUE"""),"Syrah Anc PC")</f>
        <v>Syrah Anc PC</v>
      </c>
      <c r="F1296" s="2">
        <f ca="1">IFERROR(__xludf.DUMMYFUNCTION("""COMPUTED_VALUE"""),-8000)</f>
        <v>-8000</v>
      </c>
      <c r="G1296" s="2">
        <f ca="1">IFERROR(__xludf.DUMMYFUNCTION("""COMPUTED_VALUE"""),49)</f>
        <v>49</v>
      </c>
      <c r="H1296" s="2" t="str">
        <f ca="1">IFERROR(__xludf.DUMMYFUNCTION("""COMPUTED_VALUE"""),"7161f26d")</f>
        <v>7161f26d</v>
      </c>
      <c r="I1296" s="2" t="str">
        <f ca="1">IFERROR(__xludf.DUMMYFUNCTION("""COMPUTED_VALUE"""),"Malbec Rectificado")</f>
        <v>Malbec Rectificado</v>
      </c>
      <c r="J1296" s="2">
        <f ca="1">IFERROR(__xludf.DUMMYFUNCTION("""COMPUTED_VALUE"""),18000)</f>
        <v>18000</v>
      </c>
      <c r="K1296" s="2">
        <f ca="1">IFERROR(__xludf.DUMMYFUNCTION("""COMPUTED_VALUE"""),10000)</f>
        <v>10000</v>
      </c>
      <c r="L1296" s="2" t="str">
        <f ca="1">IFERROR(__xludf.DUMMYFUNCTION("""COMPUTED_VALUE"""),"099cbce1")</f>
        <v>099cbce1</v>
      </c>
      <c r="M1296" s="2" t="str">
        <f ca="1">IFERROR(__xludf.DUMMYFUNCTION("""COMPUTED_VALUE"""),"Malbec Rectificado")</f>
        <v>Malbec Rectificado</v>
      </c>
      <c r="N1296" s="2"/>
      <c r="O1296" s="2" t="str">
        <f ca="1">IFERROR(__xludf.DUMMYFUNCTION("""COMPUTED_VALUE"""),"Fermentando")</f>
        <v>Fermentando</v>
      </c>
      <c r="P1296" s="2" t="str">
        <f ca="1">IFERROR(__xludf.DUMMYFUNCTION("""COMPUTED_VALUE"""),"Rectificado")</f>
        <v>Rectificado</v>
      </c>
      <c r="Q1296" s="2" t="b">
        <f ca="1">IFERROR(__xludf.DUMMYFUNCTION("""COMPUTED_VALUE"""),TRUE)</f>
        <v>1</v>
      </c>
      <c r="R1296" s="2" t="str">
        <f ca="1">IFERROR(__xludf.DUMMYFUNCTION("""COMPUTED_VALUE"""),"Rectificado")</f>
        <v>Rectificado</v>
      </c>
      <c r="S1296" s="2"/>
      <c r="T1296" s="2"/>
      <c r="U1296" s="2" t="str">
        <f ca="1">IFERROR(__xludf.DUMMYFUNCTION("""COMPUTED_VALUE"""),"1")</f>
        <v>1</v>
      </c>
    </row>
    <row r="1297" spans="1:21" x14ac:dyDescent="0.25">
      <c r="A1297" s="2" t="str">
        <f ca="1">IFERROR(__xludf.DUMMYFUNCTION("""COMPUTED_VALUE"""),"daa919a1")</f>
        <v>daa919a1</v>
      </c>
      <c r="B1297" s="5">
        <f ca="1">IFERROR(__xludf.DUMMYFUNCTION("""COMPUTED_VALUE"""),46087.7888425925)</f>
        <v>46087.788842592498</v>
      </c>
      <c r="C1297" s="2" t="str">
        <f ca="1">IFERROR(__xludf.DUMMYFUNCTION("""COMPUTED_VALUE"""),"84d6a310")</f>
        <v>84d6a310</v>
      </c>
      <c r="D1297" s="2">
        <f ca="1">IFERROR(__xludf.DUMMYFUNCTION("""COMPUTED_VALUE"""),84)</f>
        <v>84</v>
      </c>
      <c r="E1297" s="2" t="str">
        <f ca="1">IFERROR(__xludf.DUMMYFUNCTION("""COMPUTED_VALUE"""),"Aspirant Ancelotta")</f>
        <v>Aspirant Ancelotta</v>
      </c>
      <c r="F1297" s="2">
        <f ca="1">IFERROR(__xludf.DUMMYFUNCTION("""COMPUTED_VALUE"""),27400)</f>
        <v>27400</v>
      </c>
      <c r="G1297" s="2">
        <f ca="1">IFERROR(__xludf.DUMMYFUNCTION("""COMPUTED_VALUE"""),121)</f>
        <v>121</v>
      </c>
      <c r="H1297" s="2" t="str">
        <f ca="1">IFERROR(__xludf.DUMMYFUNCTION("""COMPUTED_VALUE"""),"ba3fa42f")</f>
        <v>ba3fa42f</v>
      </c>
      <c r="I1297" s="2" t="str">
        <f ca="1">IFERROR(__xludf.DUMMYFUNCTION("""COMPUTED_VALUE"""),"Aspirant Anccelota PC")</f>
        <v>Aspirant Anccelota PC</v>
      </c>
      <c r="J1297" s="2">
        <f ca="1">IFERROR(__xludf.DUMMYFUNCTION("""COMPUTED_VALUE"""),27400)</f>
        <v>27400</v>
      </c>
      <c r="K1297" s="2">
        <f ca="1">IFERROR(__xludf.DUMMYFUNCTION("""COMPUTED_VALUE"""),54800)</f>
        <v>54800</v>
      </c>
      <c r="L1297" s="2" t="str">
        <f ca="1">IFERROR(__xludf.DUMMYFUNCTION("""COMPUTED_VALUE"""),"d9f9bd56")</f>
        <v>d9f9bd56</v>
      </c>
      <c r="M1297" s="2" t="str">
        <f ca="1">IFERROR(__xludf.DUMMYFUNCTION("""COMPUTED_VALUE"""),"Aspirant Anccelota PC")</f>
        <v>Aspirant Anccelota PC</v>
      </c>
      <c r="N1297" s="2" t="str">
        <f ca="1">IFERROR(__xludf.DUMMYFUNCTION("""COMPUTED_VALUE"""),"Gota")</f>
        <v>Gota</v>
      </c>
      <c r="O1297" s="2" t="str">
        <f ca="1">IFERROR(__xludf.DUMMYFUNCTION("""COMPUTED_VALUE"""),"Fermentando")</f>
        <v>Fermentando</v>
      </c>
      <c r="P1297" s="2" t="str">
        <f ca="1">IFERROR(__xludf.DUMMYFUNCTION("""COMPUTED_VALUE"""),"Descubada")</f>
        <v>Descubada</v>
      </c>
      <c r="Q1297" s="2" t="b">
        <f ca="1">IFERROR(__xludf.DUMMYFUNCTION("""COMPUTED_VALUE"""),TRUE)</f>
        <v>1</v>
      </c>
      <c r="R1297" s="2" t="str">
        <f ca="1">IFERROR(__xludf.DUMMYFUNCTION("""COMPUTED_VALUE"""),"Descubada")</f>
        <v>Descubada</v>
      </c>
      <c r="S1297" s="2"/>
      <c r="T1297" s="2"/>
      <c r="U1297" s="2"/>
    </row>
    <row r="1298" spans="1:21" x14ac:dyDescent="0.25">
      <c r="A1298" s="2" t="str">
        <f ca="1">IFERROR(__xludf.DUMMYFUNCTION("""COMPUTED_VALUE"""),"c2da68d8")</f>
        <v>c2da68d8</v>
      </c>
      <c r="B1298" s="5">
        <f ca="1">IFERROR(__xludf.DUMMYFUNCTION("""COMPUTED_VALUE"""),46087.7894560185)</f>
        <v>46087.789456018501</v>
      </c>
      <c r="C1298" s="2" t="str">
        <f ca="1">IFERROR(__xludf.DUMMYFUNCTION("""COMPUTED_VALUE"""),"e636c09f")</f>
        <v>e636c09f</v>
      </c>
      <c r="D1298" s="2">
        <f ca="1">IFERROR(__xludf.DUMMYFUNCTION("""COMPUTED_VALUE"""),86)</f>
        <v>86</v>
      </c>
      <c r="E1298" s="2" t="str">
        <f ca="1">IFERROR(__xludf.DUMMYFUNCTION("""COMPUTED_VALUE"""),"Aspirant Anccelota")</f>
        <v>Aspirant Anccelota</v>
      </c>
      <c r="F1298" s="2">
        <f ca="1">IFERROR(__xludf.DUMMYFUNCTION("""COMPUTED_VALUE"""),20000)</f>
        <v>20000</v>
      </c>
      <c r="G1298" s="2">
        <f ca="1">IFERROR(__xludf.DUMMYFUNCTION("""COMPUTED_VALUE"""),121)</f>
        <v>121</v>
      </c>
      <c r="H1298" s="2" t="str">
        <f ca="1">IFERROR(__xludf.DUMMYFUNCTION("""COMPUTED_VALUE"""),"d9f9bd56")</f>
        <v>d9f9bd56</v>
      </c>
      <c r="I1298" s="2" t="str">
        <f ca="1">IFERROR(__xludf.DUMMYFUNCTION("""COMPUTED_VALUE"""),"Aspirant Anccelota PC")</f>
        <v>Aspirant Anccelota PC</v>
      </c>
      <c r="J1298" s="2">
        <f ca="1">IFERROR(__xludf.DUMMYFUNCTION("""COMPUTED_VALUE"""),54800)</f>
        <v>54800</v>
      </c>
      <c r="K1298" s="2">
        <f ca="1">IFERROR(__xludf.DUMMYFUNCTION("""COMPUTED_VALUE"""),74800)</f>
        <v>74800</v>
      </c>
      <c r="L1298" s="2" t="str">
        <f ca="1">IFERROR(__xludf.DUMMYFUNCTION("""COMPUTED_VALUE"""),"e00d7591")</f>
        <v>e00d7591</v>
      </c>
      <c r="M1298" s="2" t="str">
        <f ca="1">IFERROR(__xludf.DUMMYFUNCTION("""COMPUTED_VALUE"""),"Aspirant Anccelota PC")</f>
        <v>Aspirant Anccelota PC</v>
      </c>
      <c r="N1298" s="2" t="str">
        <f ca="1">IFERROR(__xludf.DUMMYFUNCTION("""COMPUTED_VALUE"""),"Gota")</f>
        <v>Gota</v>
      </c>
      <c r="O1298" s="2" t="str">
        <f ca="1">IFERROR(__xludf.DUMMYFUNCTION("""COMPUTED_VALUE"""),"Fermentando")</f>
        <v>Fermentando</v>
      </c>
      <c r="P1298" s="2" t="str">
        <f ca="1">IFERROR(__xludf.DUMMYFUNCTION("""COMPUTED_VALUE"""),"Descubada")</f>
        <v>Descubada</v>
      </c>
      <c r="Q1298" s="2" t="b">
        <f ca="1">IFERROR(__xludf.DUMMYFUNCTION("""COMPUTED_VALUE"""),TRUE)</f>
        <v>1</v>
      </c>
      <c r="R1298" s="2" t="str">
        <f ca="1">IFERROR(__xludf.DUMMYFUNCTION("""COMPUTED_VALUE"""),"Descubada")</f>
        <v>Descubada</v>
      </c>
      <c r="S1298" s="2"/>
      <c r="T1298" s="2"/>
      <c r="U1298" s="2"/>
    </row>
    <row r="1299" spans="1:21" x14ac:dyDescent="0.25">
      <c r="A1299" s="2" t="str">
        <f ca="1">IFERROR(__xludf.DUMMYFUNCTION("""COMPUTED_VALUE"""),"763db287")</f>
        <v>763db287</v>
      </c>
      <c r="B1299" s="5">
        <f ca="1">IFERROR(__xludf.DUMMYFUNCTION("""COMPUTED_VALUE"""),46087.7905787037)</f>
        <v>46087.790578703702</v>
      </c>
      <c r="C1299" s="2" t="str">
        <f ca="1">IFERROR(__xludf.DUMMYFUNCTION("""COMPUTED_VALUE"""),"6bb3342c")</f>
        <v>6bb3342c</v>
      </c>
      <c r="D1299" s="2">
        <f ca="1">IFERROR(__xludf.DUMMYFUNCTION("""COMPUTED_VALUE"""),88)</f>
        <v>88</v>
      </c>
      <c r="E1299" s="2" t="str">
        <f ca="1">IFERROR(__xludf.DUMMYFUNCTION("""COMPUTED_VALUE"""),"Malbec Mer")</f>
        <v>Malbec Mer</v>
      </c>
      <c r="F1299" s="2">
        <f ca="1">IFERROR(__xludf.DUMMYFUNCTION("""COMPUTED_VALUE"""),27400)</f>
        <v>27400</v>
      </c>
      <c r="G1299" s="2">
        <f ca="1">IFERROR(__xludf.DUMMYFUNCTION("""COMPUTED_VALUE"""),84)</f>
        <v>84</v>
      </c>
      <c r="H1299" s="2" t="str">
        <f ca="1">IFERROR(__xludf.DUMMYFUNCTION("""COMPUTED_VALUE"""),"84d6a310")</f>
        <v>84d6a310</v>
      </c>
      <c r="I1299" s="2" t="str">
        <f ca="1">IFERROR(__xludf.DUMMYFUNCTION("""COMPUTED_VALUE"""),"Aspirant Ancelotta")</f>
        <v>Aspirant Ancelotta</v>
      </c>
      <c r="J1299" s="2">
        <f ca="1">IFERROR(__xludf.DUMMYFUNCTION("""COMPUTED_VALUE"""),20600)</f>
        <v>20600</v>
      </c>
      <c r="K1299" s="2">
        <f ca="1">IFERROR(__xludf.DUMMYFUNCTION("""COMPUTED_VALUE"""),48000)</f>
        <v>48000</v>
      </c>
      <c r="L1299" s="2" t="str">
        <f ca="1">IFERROR(__xludf.DUMMYFUNCTION("""COMPUTED_VALUE"""),"6c73bc22")</f>
        <v>6c73bc22</v>
      </c>
      <c r="M1299" s="2" t="str">
        <f ca="1">IFERROR(__xludf.DUMMYFUNCTION("""COMPUTED_VALUE"""),"Malbec Mer s/Asp")</f>
        <v>Malbec Mer s/Asp</v>
      </c>
      <c r="N1299" s="2"/>
      <c r="O1299" s="2" t="str">
        <f ca="1">IFERROR(__xludf.DUMMYFUNCTION("""COMPUTED_VALUE"""),"Fermentando")</f>
        <v>Fermentando</v>
      </c>
      <c r="P1299" s="2" t="str">
        <f ca="1">IFERROR(__xludf.DUMMYFUNCTION("""COMPUTED_VALUE"""),"Fermentando")</f>
        <v>Fermentando</v>
      </c>
      <c r="Q1299" s="2" t="b">
        <f ca="1">IFERROR(__xludf.DUMMYFUNCTION("""COMPUTED_VALUE"""),FALSE)</f>
        <v>0</v>
      </c>
      <c r="R1299" s="2" t="str">
        <f ca="1">IFERROR(__xludf.DUMMYFUNCTION("""COMPUTED_VALUE"""),"Fermentando")</f>
        <v>Fermentando</v>
      </c>
      <c r="S1299" s="2"/>
      <c r="T1299" s="2"/>
      <c r="U1299" s="2"/>
    </row>
    <row r="1300" spans="1:21" x14ac:dyDescent="0.25">
      <c r="A1300" s="2" t="str">
        <f ca="1">IFERROR(__xludf.DUMMYFUNCTION("""COMPUTED_VALUE"""),"7a735557")</f>
        <v>7a735557</v>
      </c>
      <c r="B1300" s="5">
        <f ca="1">IFERROR(__xludf.DUMMYFUNCTION("""COMPUTED_VALUE"""),46087.7920717592)</f>
        <v>46087.792071759199</v>
      </c>
      <c r="C1300" s="2" t="str">
        <f ca="1">IFERROR(__xludf.DUMMYFUNCTION("""COMPUTED_VALUE"""),"6bb3342c")</f>
        <v>6bb3342c</v>
      </c>
      <c r="D1300" s="2">
        <f ca="1">IFERROR(__xludf.DUMMYFUNCTION("""COMPUTED_VALUE"""),88)</f>
        <v>88</v>
      </c>
      <c r="E1300" s="2" t="str">
        <f ca="1">IFERROR(__xludf.DUMMYFUNCTION("""COMPUTED_VALUE"""),"Malbec Mer")</f>
        <v>Malbec Mer</v>
      </c>
      <c r="F1300" s="2">
        <f ca="1">IFERROR(__xludf.DUMMYFUNCTION("""COMPUTED_VALUE"""),11500)</f>
        <v>11500</v>
      </c>
      <c r="G1300" s="2">
        <f ca="1">IFERROR(__xludf.DUMMYFUNCTION("""COMPUTED_VALUE"""),84)</f>
        <v>84</v>
      </c>
      <c r="H1300" s="2" t="str">
        <f ca="1">IFERROR(__xludf.DUMMYFUNCTION("""COMPUTED_VALUE"""),"6c73bc22")</f>
        <v>6c73bc22</v>
      </c>
      <c r="I1300" s="2" t="str">
        <f ca="1">IFERROR(__xludf.DUMMYFUNCTION("""COMPUTED_VALUE"""),"Malbec Mer s/Asp")</f>
        <v>Malbec Mer s/Asp</v>
      </c>
      <c r="J1300" s="2">
        <f ca="1">IFERROR(__xludf.DUMMYFUNCTION("""COMPUTED_VALUE"""),48000)</f>
        <v>48000</v>
      </c>
      <c r="K1300" s="2">
        <f ca="1">IFERROR(__xludf.DUMMYFUNCTION("""COMPUTED_VALUE"""),59500)</f>
        <v>59500</v>
      </c>
      <c r="L1300" s="2" t="str">
        <f ca="1">IFERROR(__xludf.DUMMYFUNCTION("""COMPUTED_VALUE"""),"f607b045")</f>
        <v>f607b045</v>
      </c>
      <c r="M1300" s="2" t="str">
        <f ca="1">IFERROR(__xludf.DUMMYFUNCTION("""COMPUTED_VALUE"""),"Malbec Mer s/Asp")</f>
        <v>Malbec Mer s/Asp</v>
      </c>
      <c r="N1300" s="2"/>
      <c r="O1300" s="2" t="str">
        <f ca="1">IFERROR(__xludf.DUMMYFUNCTION("""COMPUTED_VALUE"""),"Fermentando")</f>
        <v>Fermentando</v>
      </c>
      <c r="P1300" s="2" t="str">
        <f ca="1">IFERROR(__xludf.DUMMYFUNCTION("""COMPUTED_VALUE"""),"Fermentando")</f>
        <v>Fermentando</v>
      </c>
      <c r="Q1300" s="2" t="b">
        <f ca="1">IFERROR(__xludf.DUMMYFUNCTION("""COMPUTED_VALUE"""),TRUE)</f>
        <v>1</v>
      </c>
      <c r="R1300" s="2" t="str">
        <f ca="1">IFERROR(__xludf.DUMMYFUNCTION("""COMPUTED_VALUE"""),"Fermentando")</f>
        <v>Fermentando</v>
      </c>
      <c r="S1300" s="2"/>
      <c r="T1300" s="2"/>
      <c r="U1300" s="2"/>
    </row>
    <row r="1301" spans="1:21" x14ac:dyDescent="0.25">
      <c r="A1301" s="2" t="str">
        <f ca="1">IFERROR(__xludf.DUMMYFUNCTION("""COMPUTED_VALUE"""),"a8412b77")</f>
        <v>a8412b77</v>
      </c>
      <c r="B1301" s="5">
        <f ca="1">IFERROR(__xludf.DUMMYFUNCTION("""COMPUTED_VALUE"""),46087.7927430555)</f>
        <v>46087.792743055499</v>
      </c>
      <c r="C1301" s="2" t="str">
        <f ca="1">IFERROR(__xludf.DUMMYFUNCTION("""COMPUTED_VALUE"""),"6bb3342c")</f>
        <v>6bb3342c</v>
      </c>
      <c r="D1301" s="2">
        <f ca="1">IFERROR(__xludf.DUMMYFUNCTION("""COMPUTED_VALUE"""),88)</f>
        <v>88</v>
      </c>
      <c r="E1301" s="2" t="str">
        <f ca="1">IFERROR(__xludf.DUMMYFUNCTION("""COMPUTED_VALUE"""),"Malbec Mer")</f>
        <v>Malbec Mer</v>
      </c>
      <c r="F1301" s="2">
        <f ca="1">IFERROR(__xludf.DUMMYFUNCTION("""COMPUTED_VALUE"""),11000)</f>
        <v>11000</v>
      </c>
      <c r="G1301" s="2">
        <f ca="1">IFERROR(__xludf.DUMMYFUNCTION("""COMPUTED_VALUE"""),86)</f>
        <v>86</v>
      </c>
      <c r="H1301" s="2" t="str">
        <f ca="1">IFERROR(__xludf.DUMMYFUNCTION("""COMPUTED_VALUE"""),"e636c09f")</f>
        <v>e636c09f</v>
      </c>
      <c r="I1301" s="2" t="str">
        <f ca="1">IFERROR(__xludf.DUMMYFUNCTION("""COMPUTED_VALUE"""),"Aspirant Anccelota")</f>
        <v>Aspirant Anccelota</v>
      </c>
      <c r="J1301" s="2">
        <f ca="1">IFERROR(__xludf.DUMMYFUNCTION("""COMPUTED_VALUE"""),20700)</f>
        <v>20700</v>
      </c>
      <c r="K1301" s="2">
        <f ca="1">IFERROR(__xludf.DUMMYFUNCTION("""COMPUTED_VALUE"""),31700)</f>
        <v>31700</v>
      </c>
      <c r="L1301" s="2" t="str">
        <f ca="1">IFERROR(__xludf.DUMMYFUNCTION("""COMPUTED_VALUE"""),"d54f843c")</f>
        <v>d54f843c</v>
      </c>
      <c r="M1301" s="2" t="str">
        <f ca="1">IFERROR(__xludf.DUMMYFUNCTION("""COMPUTED_VALUE"""),"Malbec Mer s/Asp")</f>
        <v>Malbec Mer s/Asp</v>
      </c>
      <c r="N1301" s="2"/>
      <c r="O1301" s="2" t="str">
        <f ca="1">IFERROR(__xludf.DUMMYFUNCTION("""COMPUTED_VALUE"""),"Fermentando")</f>
        <v>Fermentando</v>
      </c>
      <c r="P1301" s="2" t="str">
        <f ca="1">IFERROR(__xludf.DUMMYFUNCTION("""COMPUTED_VALUE"""),"Fermentando")</f>
        <v>Fermentando</v>
      </c>
      <c r="Q1301" s="2" t="b">
        <f ca="1">IFERROR(__xludf.DUMMYFUNCTION("""COMPUTED_VALUE"""),FALSE)</f>
        <v>0</v>
      </c>
      <c r="R1301" s="2" t="str">
        <f ca="1">IFERROR(__xludf.DUMMYFUNCTION("""COMPUTED_VALUE"""),"Fermentando")</f>
        <v>Fermentando</v>
      </c>
      <c r="S1301" s="2"/>
      <c r="T1301" s="2"/>
      <c r="U1301" s="2"/>
    </row>
    <row r="1302" spans="1:21" x14ac:dyDescent="0.25">
      <c r="A1302" s="2" t="str">
        <f ca="1">IFERROR(__xludf.DUMMYFUNCTION("""COMPUTED_VALUE"""),"004b371a")</f>
        <v>004b371a</v>
      </c>
      <c r="B1302" s="5">
        <f ca="1">IFERROR(__xludf.DUMMYFUNCTION("""COMPUTED_VALUE"""),46090.8177662037)</f>
        <v>46090.817766203698</v>
      </c>
      <c r="C1302" s="2" t="str">
        <f ca="1">IFERROR(__xludf.DUMMYFUNCTION("""COMPUTED_VALUE"""),"c17f715b")</f>
        <v>c17f715b</v>
      </c>
      <c r="D1302" s="2">
        <f ca="1">IFERROR(__xludf.DUMMYFUNCTION("""COMPUTED_VALUE"""),89)</f>
        <v>89</v>
      </c>
      <c r="E1302" s="2" t="str">
        <f ca="1">IFERROR(__xludf.DUMMYFUNCTION("""COMPUTED_VALUE"""),"Syrah Anc PC")</f>
        <v>Syrah Anc PC</v>
      </c>
      <c r="F1302" s="2">
        <f ca="1">IFERROR(__xludf.DUMMYFUNCTION("""COMPUTED_VALUE"""),28300)</f>
        <v>28300</v>
      </c>
      <c r="G1302" s="2">
        <f ca="1">IFERROR(__xludf.DUMMYFUNCTION("""COMPUTED_VALUE"""),86)</f>
        <v>86</v>
      </c>
      <c r="H1302" s="2" t="str">
        <f ca="1">IFERROR(__xludf.DUMMYFUNCTION("""COMPUTED_VALUE"""),"d54f843c")</f>
        <v>d54f843c</v>
      </c>
      <c r="I1302" s="2" t="str">
        <f ca="1">IFERROR(__xludf.DUMMYFUNCTION("""COMPUTED_VALUE"""),"Syrah Anc s/Asp 2")</f>
        <v>Syrah Anc s/Asp 2</v>
      </c>
      <c r="J1302" s="2">
        <f ca="1">IFERROR(__xludf.DUMMYFUNCTION("""COMPUTED_VALUE"""),31700)</f>
        <v>31700</v>
      </c>
      <c r="K1302" s="2">
        <f ca="1">IFERROR(__xludf.DUMMYFUNCTION("""COMPUTED_VALUE"""),60000)</f>
        <v>60000</v>
      </c>
      <c r="L1302" s="2" t="str">
        <f ca="1">IFERROR(__xludf.DUMMYFUNCTION("""COMPUTED_VALUE"""),"1e90a5fc")</f>
        <v>1e90a5fc</v>
      </c>
      <c r="M1302" s="2" t="str">
        <f ca="1">IFERROR(__xludf.DUMMYFUNCTION("""COMPUTED_VALUE"""),"Syrah Anc s/Asp 2")</f>
        <v>Syrah Anc s/Asp 2</v>
      </c>
      <c r="N1302" s="2"/>
      <c r="O1302" s="2" t="str">
        <f ca="1">IFERROR(__xludf.DUMMYFUNCTION("""COMPUTED_VALUE"""),"Fermentando")</f>
        <v>Fermentando</v>
      </c>
      <c r="P1302" s="2" t="str">
        <f ca="1">IFERROR(__xludf.DUMMYFUNCTION("""COMPUTED_VALUE"""),"Fermentando")</f>
        <v>Fermentando</v>
      </c>
      <c r="Q1302" s="2" t="b">
        <f ca="1">IFERROR(__xludf.DUMMYFUNCTION("""COMPUTED_VALUE"""),TRUE)</f>
        <v>1</v>
      </c>
      <c r="R1302" s="2" t="str">
        <f ca="1">IFERROR(__xludf.DUMMYFUNCTION("""COMPUTED_VALUE"""),"Fermentando")</f>
        <v>Fermentando</v>
      </c>
      <c r="S1302" s="2"/>
      <c r="T1302" s="2"/>
      <c r="U1302" s="2"/>
    </row>
    <row r="1303" spans="1:21" x14ac:dyDescent="0.25">
      <c r="A1303" s="2" t="str">
        <f ca="1">IFERROR(__xludf.DUMMYFUNCTION("""COMPUTED_VALUE"""),"3c7b691e")</f>
        <v>3c7b691e</v>
      </c>
      <c r="B1303" s="5">
        <f ca="1">IFERROR(__xludf.DUMMYFUNCTION("""COMPUTED_VALUE"""),46090.821261574)</f>
        <v>46090.821261573998</v>
      </c>
      <c r="C1303" s="2" t="str">
        <f ca="1">IFERROR(__xludf.DUMMYFUNCTION("""COMPUTED_VALUE"""),"c17f715b")</f>
        <v>c17f715b</v>
      </c>
      <c r="D1303" s="2">
        <f ca="1">IFERROR(__xludf.DUMMYFUNCTION("""COMPUTED_VALUE"""),89)</f>
        <v>89</v>
      </c>
      <c r="E1303" s="2" t="str">
        <f ca="1">IFERROR(__xludf.DUMMYFUNCTION("""COMPUTED_VALUE"""),"Syrah Anc PC")</f>
        <v>Syrah Anc PC</v>
      </c>
      <c r="F1303" s="2">
        <f ca="1">IFERROR(__xludf.DUMMYFUNCTION("""COMPUTED_VALUE"""),23700)</f>
        <v>23700</v>
      </c>
      <c r="G1303" s="2">
        <f ca="1">IFERROR(__xludf.DUMMYFUNCTION("""COMPUTED_VALUE"""),83)</f>
        <v>83</v>
      </c>
      <c r="H1303" s="2" t="str">
        <f ca="1">IFERROR(__xludf.DUMMYFUNCTION("""COMPUTED_VALUE"""),"5dace063")</f>
        <v>5dace063</v>
      </c>
      <c r="I1303" s="2" t="str">
        <f ca="1">IFERROR(__xludf.DUMMYFUNCTION("""COMPUTED_VALUE"""),"Syrah s/Asp 1")</f>
        <v>Syrah s/Asp 1</v>
      </c>
      <c r="J1303" s="2">
        <f ca="1">IFERROR(__xludf.DUMMYFUNCTION("""COMPUTED_VALUE"""),48200)</f>
        <v>48200</v>
      </c>
      <c r="K1303" s="2">
        <f ca="1">IFERROR(__xludf.DUMMYFUNCTION("""COMPUTED_VALUE"""),71900)</f>
        <v>71900</v>
      </c>
      <c r="L1303" s="2" t="str">
        <f ca="1">IFERROR(__xludf.DUMMYFUNCTION("""COMPUTED_VALUE"""),"aad6a585")</f>
        <v>aad6a585</v>
      </c>
      <c r="M1303" s="2" t="str">
        <f ca="1">IFERROR(__xludf.DUMMYFUNCTION("""COMPUTED_VALUE"""),"Syrah Anc PC s/Asp 2")</f>
        <v>Syrah Anc PC s/Asp 2</v>
      </c>
      <c r="N1303" s="2"/>
      <c r="O1303" s="2" t="str">
        <f ca="1">IFERROR(__xludf.DUMMYFUNCTION("""COMPUTED_VALUE"""),"Fermentando")</f>
        <v>Fermentando</v>
      </c>
      <c r="P1303" s="2" t="str">
        <f ca="1">IFERROR(__xludf.DUMMYFUNCTION("""COMPUTED_VALUE"""),"Fermentando")</f>
        <v>Fermentando</v>
      </c>
      <c r="Q1303" s="2" t="b">
        <f ca="1">IFERROR(__xludf.DUMMYFUNCTION("""COMPUTED_VALUE"""),FALSE)</f>
        <v>0</v>
      </c>
      <c r="R1303" s="2" t="str">
        <f ca="1">IFERROR(__xludf.DUMMYFUNCTION("""COMPUTED_VALUE"""),"Fermentando")</f>
        <v>Fermentando</v>
      </c>
      <c r="S1303" s="2"/>
      <c r="T1303" s="2"/>
      <c r="U1303" s="2"/>
    </row>
    <row r="1304" spans="1:21" x14ac:dyDescent="0.25">
      <c r="A1304" s="2" t="str">
        <f ca="1">IFERROR(__xludf.DUMMYFUNCTION("""COMPUTED_VALUE"""),"7800fb94")</f>
        <v>7800fb94</v>
      </c>
      <c r="B1304" s="5">
        <f ca="1">IFERROR(__xludf.DUMMYFUNCTION("""COMPUTED_VALUE"""),46090.8256018518)</f>
        <v>46090.8256018518</v>
      </c>
      <c r="C1304" s="2" t="str">
        <f ca="1">IFERROR(__xludf.DUMMYFUNCTION("""COMPUTED_VALUE"""),"aeb3f134")</f>
        <v>aeb3f134</v>
      </c>
      <c r="D1304" s="2">
        <f ca="1">IFERROR(__xludf.DUMMYFUNCTION("""COMPUTED_VALUE"""),79)</f>
        <v>79</v>
      </c>
      <c r="E1304" s="2" t="str">
        <f ca="1">IFERROR(__xludf.DUMMYFUNCTION("""COMPUTED_VALUE"""),"Malbec Mer s/Asp 3")</f>
        <v>Malbec Mer s/Asp 3</v>
      </c>
      <c r="F1304" s="2">
        <f ca="1">IFERROR(__xludf.DUMMYFUNCTION("""COMPUTED_VALUE"""),20750)</f>
        <v>20750</v>
      </c>
      <c r="G1304" s="2">
        <f ca="1">IFERROR(__xludf.DUMMYFUNCTION("""COMPUTED_VALUE"""),41)</f>
        <v>41</v>
      </c>
      <c r="H1304" s="2"/>
      <c r="I1304" s="2"/>
      <c r="J1304" s="2">
        <f ca="1">IFERROR(__xludf.DUMMYFUNCTION("""COMPUTED_VALUE"""),0)</f>
        <v>0</v>
      </c>
      <c r="K1304" s="2">
        <f ca="1">IFERROR(__xludf.DUMMYFUNCTION("""COMPUTED_VALUE"""),20750)</f>
        <v>20750</v>
      </c>
      <c r="L1304" s="2" t="str">
        <f ca="1">IFERROR(__xludf.DUMMYFUNCTION("""COMPUTED_VALUE"""),"d598321b")</f>
        <v>d598321b</v>
      </c>
      <c r="M1304" s="2" t="str">
        <f ca="1">IFERROR(__xludf.DUMMYFUNCTION("""COMPUTED_VALUE"""),"Malbec Mer s/Asp 3")</f>
        <v>Malbec Mer s/Asp 3</v>
      </c>
      <c r="N1304" s="2"/>
      <c r="O1304" s="2" t="str">
        <f ca="1">IFERROR(__xludf.DUMMYFUNCTION("""COMPUTED_VALUE"""),"Fermentando")</f>
        <v>Fermentando</v>
      </c>
      <c r="P1304" s="2"/>
      <c r="Q1304" s="2" t="b">
        <f ca="1">IFERROR(__xludf.DUMMYFUNCTION("""COMPUTED_VALUE"""),FALSE)</f>
        <v>0</v>
      </c>
      <c r="R1304" s="2" t="str">
        <f ca="1">IFERROR(__xludf.DUMMYFUNCTION("""COMPUTED_VALUE"""),"Descubada")</f>
        <v>Descubada</v>
      </c>
      <c r="S1304" s="2"/>
      <c r="T1304" s="2"/>
      <c r="U1304" s="2"/>
    </row>
    <row r="1305" spans="1:21" x14ac:dyDescent="0.25">
      <c r="A1305" s="2" t="str">
        <f ca="1">IFERROR(__xludf.DUMMYFUNCTION("""COMPUTED_VALUE"""),"3b21dd65")</f>
        <v>3b21dd65</v>
      </c>
      <c r="B1305" s="5">
        <f ca="1">IFERROR(__xludf.DUMMYFUNCTION("""COMPUTED_VALUE"""),46090.8260069444)</f>
        <v>46090.8260069444</v>
      </c>
      <c r="C1305" s="2" t="str">
        <f ca="1">IFERROR(__xludf.DUMMYFUNCTION("""COMPUTED_VALUE"""),"f45cc2c7")</f>
        <v>f45cc2c7</v>
      </c>
      <c r="D1305" s="2">
        <f ca="1">IFERROR(__xludf.DUMMYFUNCTION("""COMPUTED_VALUE"""),66)</f>
        <v>66</v>
      </c>
      <c r="E1305" s="2" t="str">
        <f ca="1">IFERROR(__xludf.DUMMYFUNCTION("""COMPUTED_VALUE"""),"Syrah Anc PC s/Asp 3")</f>
        <v>Syrah Anc PC s/Asp 3</v>
      </c>
      <c r="F1305" s="2">
        <f ca="1">IFERROR(__xludf.DUMMYFUNCTION("""COMPUTED_VALUE"""),14350)</f>
        <v>14350</v>
      </c>
      <c r="G1305" s="2">
        <f ca="1">IFERROR(__xludf.DUMMYFUNCTION("""COMPUTED_VALUE"""),41)</f>
        <v>41</v>
      </c>
      <c r="H1305" s="2" t="str">
        <f ca="1">IFERROR(__xludf.DUMMYFUNCTION("""COMPUTED_VALUE"""),"d598321b")</f>
        <v>d598321b</v>
      </c>
      <c r="I1305" s="2" t="str">
        <f ca="1">IFERROR(__xludf.DUMMYFUNCTION("""COMPUTED_VALUE"""),"Malbec Mer s/Asp 3")</f>
        <v>Malbec Mer s/Asp 3</v>
      </c>
      <c r="J1305" s="2">
        <f ca="1">IFERROR(__xludf.DUMMYFUNCTION("""COMPUTED_VALUE"""),20750)</f>
        <v>20750</v>
      </c>
      <c r="K1305" s="2">
        <f ca="1">IFERROR(__xludf.DUMMYFUNCTION("""COMPUTED_VALUE"""),35100)</f>
        <v>35100</v>
      </c>
      <c r="L1305" s="2" t="str">
        <f ca="1">IFERROR(__xludf.DUMMYFUNCTION("""COMPUTED_VALUE"""),"37b886cf")</f>
        <v>37b886cf</v>
      </c>
      <c r="M1305" s="2" t="str">
        <f ca="1">IFERROR(__xludf.DUMMYFUNCTION("""COMPUTED_VALUE"""),"Malbec Mer s/Asp 3")</f>
        <v>Malbec Mer s/Asp 3</v>
      </c>
      <c r="N1305" s="2"/>
      <c r="O1305" s="2" t="str">
        <f ca="1">IFERROR(__xludf.DUMMYFUNCTION("""COMPUTED_VALUE"""),"Fermentando")</f>
        <v>Fermentando</v>
      </c>
      <c r="P1305" s="2" t="str">
        <f ca="1">IFERROR(__xludf.DUMMYFUNCTION("""COMPUTED_VALUE"""),"Descubada")</f>
        <v>Descubada</v>
      </c>
      <c r="Q1305" s="2" t="b">
        <f ca="1">IFERROR(__xludf.DUMMYFUNCTION("""COMPUTED_VALUE"""),TRUE)</f>
        <v>1</v>
      </c>
      <c r="R1305" s="2" t="str">
        <f ca="1">IFERROR(__xludf.DUMMYFUNCTION("""COMPUTED_VALUE"""),"Descubada")</f>
        <v>Descubada</v>
      </c>
      <c r="S1305" s="2"/>
      <c r="T1305" s="2"/>
      <c r="U1305" s="2"/>
    </row>
    <row r="1306" spans="1:21" x14ac:dyDescent="0.25">
      <c r="A1306" s="2" t="str">
        <f ca="1">IFERROR(__xludf.DUMMYFUNCTION("""COMPUTED_VALUE"""),"d566c17f")</f>
        <v>d566c17f</v>
      </c>
      <c r="B1306" s="5">
        <f ca="1">IFERROR(__xludf.DUMMYFUNCTION("""COMPUTED_VALUE"""),46090.8262731481)</f>
        <v>46090.826273148101</v>
      </c>
      <c r="C1306" s="2" t="str">
        <f ca="1">IFERROR(__xludf.DUMMYFUNCTION("""COMPUTED_VALUE"""),"f45cc2c7")</f>
        <v>f45cc2c7</v>
      </c>
      <c r="D1306" s="2">
        <f ca="1">IFERROR(__xludf.DUMMYFUNCTION("""COMPUTED_VALUE"""),66)</f>
        <v>66</v>
      </c>
      <c r="E1306" s="2" t="str">
        <f ca="1">IFERROR(__xludf.DUMMYFUNCTION("""COMPUTED_VALUE"""),"Syrah Anc PC s/Asp 3")</f>
        <v>Syrah Anc PC s/Asp 3</v>
      </c>
      <c r="F1306" s="2">
        <f ca="1">IFERROR(__xludf.DUMMYFUNCTION("""COMPUTED_VALUE"""),4650)</f>
        <v>4650</v>
      </c>
      <c r="G1306" s="2">
        <f ca="1">IFERROR(__xludf.DUMMYFUNCTION("""COMPUTED_VALUE"""),42)</f>
        <v>42</v>
      </c>
      <c r="H1306" s="2"/>
      <c r="I1306" s="2"/>
      <c r="J1306" s="2">
        <f ca="1">IFERROR(__xludf.DUMMYFUNCTION("""COMPUTED_VALUE"""),0)</f>
        <v>0</v>
      </c>
      <c r="K1306" s="2">
        <f ca="1">IFERROR(__xludf.DUMMYFUNCTION("""COMPUTED_VALUE"""),4650)</f>
        <v>4650</v>
      </c>
      <c r="L1306" s="2" t="str">
        <f ca="1">IFERROR(__xludf.DUMMYFUNCTION("""COMPUTED_VALUE"""),"b4099d8b")</f>
        <v>b4099d8b</v>
      </c>
      <c r="M1306" s="2" t="str">
        <f ca="1">IFERROR(__xludf.DUMMYFUNCTION("""COMPUTED_VALUE"""),"Syrah Anc PC s/Asp 3")</f>
        <v>Syrah Anc PC s/Asp 3</v>
      </c>
      <c r="N1306" s="2"/>
      <c r="O1306" s="2" t="str">
        <f ca="1">IFERROR(__xludf.DUMMYFUNCTION("""COMPUTED_VALUE"""),"Fermentando")</f>
        <v>Fermentando</v>
      </c>
      <c r="P1306" s="2"/>
      <c r="Q1306" s="2" t="b">
        <f ca="1">IFERROR(__xludf.DUMMYFUNCTION("""COMPUTED_VALUE"""),FALSE)</f>
        <v>0</v>
      </c>
      <c r="R1306" s="2" t="str">
        <f ca="1">IFERROR(__xludf.DUMMYFUNCTION("""COMPUTED_VALUE"""),"Descubada")</f>
        <v>Descubada</v>
      </c>
      <c r="S1306" s="2"/>
      <c r="T1306" s="2"/>
      <c r="U1306" s="2"/>
    </row>
    <row r="1307" spans="1:21" x14ac:dyDescent="0.25">
      <c r="A1307" s="2" t="str">
        <f ca="1">IFERROR(__xludf.DUMMYFUNCTION("""COMPUTED_VALUE"""),"6d642299")</f>
        <v>6d642299</v>
      </c>
      <c r="B1307" s="5">
        <f ca="1">IFERROR(__xludf.DUMMYFUNCTION("""COMPUTED_VALUE"""),46090.826724537)</f>
        <v>46090.826724537001</v>
      </c>
      <c r="C1307" s="2" t="str">
        <f ca="1">IFERROR(__xludf.DUMMYFUNCTION("""COMPUTED_VALUE"""),"38762156")</f>
        <v>38762156</v>
      </c>
      <c r="D1307" s="2">
        <f ca="1">IFERROR(__xludf.DUMMYFUNCTION("""COMPUTED_VALUE"""),87)</f>
        <v>87</v>
      </c>
      <c r="E1307" s="2" t="str">
        <f ca="1">IFERROR(__xludf.DUMMYFUNCTION("""COMPUTED_VALUE"""),"Syrah Merlot")</f>
        <v>Syrah Merlot</v>
      </c>
      <c r="F1307" s="2">
        <f ca="1">IFERROR(__xludf.DUMMYFUNCTION("""COMPUTED_VALUE"""),-10000)</f>
        <v>-10000</v>
      </c>
      <c r="G1307" s="2">
        <f ca="1">IFERROR(__xludf.DUMMYFUNCTION("""COMPUTED_VALUE"""),49)</f>
        <v>49</v>
      </c>
      <c r="H1307" s="2" t="str">
        <f ca="1">IFERROR(__xludf.DUMMYFUNCTION("""COMPUTED_VALUE"""),"099cbce1")</f>
        <v>099cbce1</v>
      </c>
      <c r="I1307" s="2" t="str">
        <f ca="1">IFERROR(__xludf.DUMMYFUNCTION("""COMPUTED_VALUE"""),"Malbec Rectificado")</f>
        <v>Malbec Rectificado</v>
      </c>
      <c r="J1307" s="2">
        <f ca="1">IFERROR(__xludf.DUMMYFUNCTION("""COMPUTED_VALUE"""),10000)</f>
        <v>10000</v>
      </c>
      <c r="K1307" s="2">
        <f ca="1">IFERROR(__xludf.DUMMYFUNCTION("""COMPUTED_VALUE"""),0)</f>
        <v>0</v>
      </c>
      <c r="L1307" s="2" t="str">
        <f ca="1">IFERROR(__xludf.DUMMYFUNCTION("""COMPUTED_VALUE"""),"f6e3f327")</f>
        <v>f6e3f327</v>
      </c>
      <c r="M1307" s="2" t="str">
        <f ca="1">IFERROR(__xludf.DUMMYFUNCTION("""COMPUTED_VALUE"""),"Malbec Rectificado")</f>
        <v>Malbec Rectificado</v>
      </c>
      <c r="N1307" s="2"/>
      <c r="O1307" s="2"/>
      <c r="P1307" s="2" t="str">
        <f ca="1">IFERROR(__xludf.DUMMYFUNCTION("""COMPUTED_VALUE"""),"Rectificado")</f>
        <v>Rectificado</v>
      </c>
      <c r="Q1307" s="2" t="b">
        <f ca="1">IFERROR(__xludf.DUMMYFUNCTION("""COMPUTED_VALUE"""),TRUE)</f>
        <v>1</v>
      </c>
      <c r="R1307" s="2" t="str">
        <f ca="1">IFERROR(__xludf.DUMMYFUNCTION("""COMPUTED_VALUE"""),"Rectificado")</f>
        <v>Rectificado</v>
      </c>
      <c r="S1307" s="2"/>
      <c r="T1307" s="2"/>
      <c r="U1307" s="2" t="str">
        <f ca="1">IFERROR(__xludf.DUMMYFUNCTION("""COMPUTED_VALUE"""),"1")</f>
        <v>1</v>
      </c>
    </row>
    <row r="1308" spans="1:21" x14ac:dyDescent="0.25">
      <c r="A1308" s="2" t="str">
        <f ca="1">IFERROR(__xludf.DUMMYFUNCTION("""COMPUTED_VALUE"""),"1835dc5d")</f>
        <v>1835dc5d</v>
      </c>
      <c r="B1308" s="5">
        <f ca="1">IFERROR(__xludf.DUMMYFUNCTION("""COMPUTED_VALUE"""),46090.8272222222)</f>
        <v>46090.8272222222</v>
      </c>
      <c r="C1308" s="2" t="str">
        <f ca="1">IFERROR(__xludf.DUMMYFUNCTION("""COMPUTED_VALUE"""),"38762156")</f>
        <v>38762156</v>
      </c>
      <c r="D1308" s="2">
        <f ca="1">IFERROR(__xludf.DUMMYFUNCTION("""COMPUTED_VALUE"""),87)</f>
        <v>87</v>
      </c>
      <c r="E1308" s="2" t="str">
        <f ca="1">IFERROR(__xludf.DUMMYFUNCTION("""COMPUTED_VALUE"""),"Syrah Merlot")</f>
        <v>Syrah Merlot</v>
      </c>
      <c r="F1308" s="2">
        <f ca="1">IFERROR(__xludf.DUMMYFUNCTION("""COMPUTED_VALUE"""),-3000)</f>
        <v>-3000</v>
      </c>
      <c r="G1308" s="2">
        <f ca="1">IFERROR(__xludf.DUMMYFUNCTION("""COMPUTED_VALUE"""),48)</f>
        <v>48</v>
      </c>
      <c r="H1308" s="2" t="str">
        <f ca="1">IFERROR(__xludf.DUMMYFUNCTION("""COMPUTED_VALUE"""),"f98c39b0")</f>
        <v>f98c39b0</v>
      </c>
      <c r="I1308" s="2" t="str">
        <f ca="1">IFERROR(__xludf.DUMMYFUNCTION("""COMPUTED_VALUE"""),"Cabernet Sauvignon Rect")</f>
        <v>Cabernet Sauvignon Rect</v>
      </c>
      <c r="J1308" s="2">
        <f ca="1">IFERROR(__xludf.DUMMYFUNCTION("""COMPUTED_VALUE"""),26000)</f>
        <v>26000</v>
      </c>
      <c r="K1308" s="2">
        <f ca="1">IFERROR(__xludf.DUMMYFUNCTION("""COMPUTED_VALUE"""),23000)</f>
        <v>23000</v>
      </c>
      <c r="L1308" s="2" t="str">
        <f ca="1">IFERROR(__xludf.DUMMYFUNCTION("""COMPUTED_VALUE"""),"ffc45ae1")</f>
        <v>ffc45ae1</v>
      </c>
      <c r="M1308" s="2" t="str">
        <f ca="1">IFERROR(__xludf.DUMMYFUNCTION("""COMPUTED_VALUE"""),"Cabernet Sauvignon Rect")</f>
        <v>Cabernet Sauvignon Rect</v>
      </c>
      <c r="N1308" s="2"/>
      <c r="O1308" s="2"/>
      <c r="P1308" s="2" t="str">
        <f ca="1">IFERROR(__xludf.DUMMYFUNCTION("""COMPUTED_VALUE"""),"Rectificado")</f>
        <v>Rectificado</v>
      </c>
      <c r="Q1308" s="2" t="b">
        <f ca="1">IFERROR(__xludf.DUMMYFUNCTION("""COMPUTED_VALUE"""),TRUE)</f>
        <v>1</v>
      </c>
      <c r="R1308" s="2" t="str">
        <f ca="1">IFERROR(__xludf.DUMMYFUNCTION("""COMPUTED_VALUE"""),"Rectificado")</f>
        <v>Rectificado</v>
      </c>
      <c r="S1308" s="2"/>
      <c r="T1308" s="2"/>
      <c r="U1308" s="2" t="str">
        <f ca="1">IFERROR(__xludf.DUMMYFUNCTION("""COMPUTED_VALUE"""),"1")</f>
        <v>1</v>
      </c>
    </row>
    <row r="1309" spans="1:21" x14ac:dyDescent="0.25">
      <c r="A1309" s="2" t="str">
        <f ca="1">IFERROR(__xludf.DUMMYFUNCTION("""COMPUTED_VALUE"""),"0a5a5dcf")</f>
        <v>0a5a5dcf</v>
      </c>
      <c r="B1309" s="5">
        <f ca="1">IFERROR(__xludf.DUMMYFUNCTION("""COMPUTED_VALUE"""),46090.8280439814)</f>
        <v>46090.828043981397</v>
      </c>
      <c r="C1309" s="2" t="str">
        <f ca="1">IFERROR(__xludf.DUMMYFUNCTION("""COMPUTED_VALUE"""),"4df62b7e")</f>
        <v>4df62b7e</v>
      </c>
      <c r="D1309" s="2">
        <f ca="1">IFERROR(__xludf.DUMMYFUNCTION("""COMPUTED_VALUE"""),80)</f>
        <v>80</v>
      </c>
      <c r="E1309" s="2" t="str">
        <f ca="1">IFERROR(__xludf.DUMMYFUNCTION("""COMPUTED_VALUE"""),"Chardonnay")</f>
        <v>Chardonnay</v>
      </c>
      <c r="F1309" s="2">
        <f ca="1">IFERROR(__xludf.DUMMYFUNCTION("""COMPUTED_VALUE"""),7800)</f>
        <v>7800</v>
      </c>
      <c r="G1309" s="2">
        <f ca="1">IFERROR(__xludf.DUMMYFUNCTION("""COMPUTED_VALUE"""),30)</f>
        <v>30</v>
      </c>
      <c r="H1309" s="2" t="str">
        <f ca="1">IFERROR(__xludf.DUMMYFUNCTION("""COMPUTED_VALUE"""),"05a173ae")</f>
        <v>05a173ae</v>
      </c>
      <c r="I1309" s="2" t="str">
        <f ca="1">IFERROR(__xludf.DUMMYFUNCTION("""COMPUTED_VALUE"""),"Chardonnay Ch")</f>
        <v>Chardonnay Ch</v>
      </c>
      <c r="J1309" s="2">
        <f ca="1">IFERROR(__xludf.DUMMYFUNCTION("""COMPUTED_VALUE"""),31000)</f>
        <v>31000</v>
      </c>
      <c r="K1309" s="2">
        <f ca="1">IFERROR(__xludf.DUMMYFUNCTION("""COMPUTED_VALUE"""),38800)</f>
        <v>38800</v>
      </c>
      <c r="L1309" s="2" t="str">
        <f ca="1">IFERROR(__xludf.DUMMYFUNCTION("""COMPUTED_VALUE"""),"0432aaa0")</f>
        <v>0432aaa0</v>
      </c>
      <c r="M1309" s="2" t="str">
        <f ca="1">IFERROR(__xludf.DUMMYFUNCTION("""COMPUTED_VALUE"""),"Chardonnay Ch")</f>
        <v>Chardonnay Ch</v>
      </c>
      <c r="N1309" s="2"/>
      <c r="O1309" s="2" t="str">
        <f ca="1">IFERROR(__xludf.DUMMYFUNCTION("""COMPUTED_VALUE"""),"Fermentando")</f>
        <v>Fermentando</v>
      </c>
      <c r="P1309" s="2" t="str">
        <f ca="1">IFERROR(__xludf.DUMMYFUNCTION("""COMPUTED_VALUE"""),"Descubada")</f>
        <v>Descubada</v>
      </c>
      <c r="Q1309" s="2" t="b">
        <f ca="1">IFERROR(__xludf.DUMMYFUNCTION("""COMPUTED_VALUE"""),TRUE)</f>
        <v>1</v>
      </c>
      <c r="R1309" s="2" t="str">
        <f ca="1">IFERROR(__xludf.DUMMYFUNCTION("""COMPUTED_VALUE"""),"Descubada")</f>
        <v>Descubada</v>
      </c>
      <c r="S1309" s="2"/>
      <c r="T1309" s="2"/>
      <c r="U1309" s="2"/>
    </row>
    <row r="1310" spans="1:21" x14ac:dyDescent="0.25">
      <c r="A1310" s="2" t="str">
        <f ca="1">IFERROR(__xludf.DUMMYFUNCTION("""COMPUTED_VALUE"""),"4692759a")</f>
        <v>4692759a</v>
      </c>
      <c r="B1310" s="5">
        <f ca="1">IFERROR(__xludf.DUMMYFUNCTION("""COMPUTED_VALUE"""),46090.830324074)</f>
        <v>46090.830324073999</v>
      </c>
      <c r="C1310" s="2" t="str">
        <f ca="1">IFERROR(__xludf.DUMMYFUNCTION("""COMPUTED_VALUE"""),"38762156")</f>
        <v>38762156</v>
      </c>
      <c r="D1310" s="2">
        <f ca="1">IFERROR(__xludf.DUMMYFUNCTION("""COMPUTED_VALUE"""),87)</f>
        <v>87</v>
      </c>
      <c r="E1310" s="2" t="str">
        <f ca="1">IFERROR(__xludf.DUMMYFUNCTION("""COMPUTED_VALUE"""),"Syrah Merlot")</f>
        <v>Syrah Merlot</v>
      </c>
      <c r="F1310" s="2">
        <f ca="1">IFERROR(__xludf.DUMMYFUNCTION("""COMPUTED_VALUE"""),-800)</f>
        <v>-800</v>
      </c>
      <c r="G1310" s="2">
        <f ca="1">IFERROR(__xludf.DUMMYFUNCTION("""COMPUTED_VALUE"""),45)</f>
        <v>45</v>
      </c>
      <c r="H1310" s="2" t="str">
        <f ca="1">IFERROR(__xludf.DUMMYFUNCTION("""COMPUTED_VALUE"""),"580a55ff")</f>
        <v>580a55ff</v>
      </c>
      <c r="I1310" s="2" t="str">
        <f ca="1">IFERROR(__xludf.DUMMYFUNCTION("""COMPUTED_VALUE"""),"Malbec Rect")</f>
        <v>Malbec Rect</v>
      </c>
      <c r="J1310" s="2">
        <f ca="1">IFERROR(__xludf.DUMMYFUNCTION("""COMPUTED_VALUE"""),800)</f>
        <v>800</v>
      </c>
      <c r="K1310" s="2">
        <f ca="1">IFERROR(__xludf.DUMMYFUNCTION("""COMPUTED_VALUE"""),0)</f>
        <v>0</v>
      </c>
      <c r="L1310" s="2" t="str">
        <f ca="1">IFERROR(__xludf.DUMMYFUNCTION("""COMPUTED_VALUE"""),"a6b9e2bc")</f>
        <v>a6b9e2bc</v>
      </c>
      <c r="M1310" s="2" t="str">
        <f ca="1">IFERROR(__xludf.DUMMYFUNCTION("""COMPUTED_VALUE"""),"Malbec Rect")</f>
        <v>Malbec Rect</v>
      </c>
      <c r="N1310" s="2"/>
      <c r="O1310" s="2"/>
      <c r="P1310" s="2" t="str">
        <f ca="1">IFERROR(__xludf.DUMMYFUNCTION("""COMPUTED_VALUE"""),"Rectificado")</f>
        <v>Rectificado</v>
      </c>
      <c r="Q1310" s="2" t="b">
        <f ca="1">IFERROR(__xludf.DUMMYFUNCTION("""COMPUTED_VALUE"""),TRUE)</f>
        <v>1</v>
      </c>
      <c r="R1310" s="2" t="str">
        <f ca="1">IFERROR(__xludf.DUMMYFUNCTION("""COMPUTED_VALUE"""),"Rectificado")</f>
        <v>Rectificado</v>
      </c>
      <c r="S1310" s="2"/>
      <c r="T1310" s="2"/>
      <c r="U1310" s="2" t="str">
        <f ca="1">IFERROR(__xludf.DUMMYFUNCTION("""COMPUTED_VALUE"""),"2+")</f>
        <v>2+</v>
      </c>
    </row>
    <row r="1311" spans="1:21" x14ac:dyDescent="0.25">
      <c r="A1311" s="2" t="str">
        <f ca="1">IFERROR(__xludf.DUMMYFUNCTION("""COMPUTED_VALUE"""),"5dc3a95b")</f>
        <v>5dc3a95b</v>
      </c>
      <c r="B1311" s="5">
        <f ca="1">IFERROR(__xludf.DUMMYFUNCTION("""COMPUTED_VALUE"""),46091.5288773148)</f>
        <v>46091.528877314799</v>
      </c>
      <c r="C1311" s="2" t="str">
        <f ca="1">IFERROR(__xludf.DUMMYFUNCTION("""COMPUTED_VALUE"""),"fa9988f0")</f>
        <v>fa9988f0</v>
      </c>
      <c r="D1311" s="2">
        <f ca="1">IFERROR(__xludf.DUMMYFUNCTION("""COMPUTED_VALUE"""),50)</f>
        <v>50</v>
      </c>
      <c r="E1311" s="2" t="str">
        <f ca="1">IFERROR(__xludf.DUMMYFUNCTION("""COMPUTED_VALUE"""),"Malbec")</f>
        <v>Malbec</v>
      </c>
      <c r="F1311" s="2">
        <f ca="1">IFERROR(__xludf.DUMMYFUNCTION("""COMPUTED_VALUE"""),2400)</f>
        <v>2400</v>
      </c>
      <c r="G1311" s="2">
        <f ca="1">IFERROR(__xludf.DUMMYFUNCTION("""COMPUTED_VALUE"""),500)</f>
        <v>500</v>
      </c>
      <c r="H1311" s="2" t="str">
        <f ca="1">IFERROR(__xludf.DUMMYFUNCTION("""COMPUTED_VALUE"""),"e7e533ed")</f>
        <v>e7e533ed</v>
      </c>
      <c r="I1311" s="2" t="str">
        <f ca="1">IFERROR(__xludf.DUMMYFUNCTION("""COMPUTED_VALUE"""),"Ajuste semana 13/02/2025")</f>
        <v>Ajuste semana 13/02/2025</v>
      </c>
      <c r="J1311" s="2">
        <f ca="1">IFERROR(__xludf.DUMMYFUNCTION("""COMPUTED_VALUE"""),16601)</f>
        <v>16601</v>
      </c>
      <c r="K1311" s="2">
        <f ca="1">IFERROR(__xludf.DUMMYFUNCTION("""COMPUTED_VALUE"""),19001)</f>
        <v>19001</v>
      </c>
      <c r="L1311" s="2" t="str">
        <f ca="1">IFERROR(__xludf.DUMMYFUNCTION("""COMPUTED_VALUE"""),"780e80e3")</f>
        <v>780e80e3</v>
      </c>
      <c r="M1311" s="2" t="str">
        <f ca="1">IFERROR(__xludf.DUMMYFUNCTION("""COMPUTED_VALUE"""),"Ajuste semana 13/02/2025")</f>
        <v>Ajuste semana 13/02/2025</v>
      </c>
      <c r="N1311" s="2"/>
      <c r="O1311" s="2" t="str">
        <f ca="1">IFERROR(__xludf.DUMMYFUNCTION("""COMPUTED_VALUE"""),"Filtrado Tang")</f>
        <v>Filtrado Tang</v>
      </c>
      <c r="P1311" s="2" t="str">
        <f ca="1">IFERROR(__xludf.DUMMYFUNCTION("""COMPUTED_VALUE"""),"Terminado")</f>
        <v>Terminado</v>
      </c>
      <c r="Q1311" s="2" t="b">
        <f ca="1">IFERROR(__xludf.DUMMYFUNCTION("""COMPUTED_VALUE"""),TRUE)</f>
        <v>1</v>
      </c>
      <c r="R1311" s="2" t="str">
        <f ca="1">IFERROR(__xludf.DUMMYFUNCTION("""COMPUTED_VALUE"""),"Terminado")</f>
        <v>Terminado</v>
      </c>
      <c r="S1311" s="2"/>
      <c r="T1311" s="2"/>
      <c r="U1311" s="2"/>
    </row>
    <row r="1312" spans="1:21" x14ac:dyDescent="0.25">
      <c r="A1312" s="2" t="str">
        <f ca="1">IFERROR(__xludf.DUMMYFUNCTION("""COMPUTED_VALUE"""),"52c9cb01")</f>
        <v>52c9cb01</v>
      </c>
      <c r="B1312" s="5">
        <f ca="1">IFERROR(__xludf.DUMMYFUNCTION("""COMPUTED_VALUE"""),46091.5293055555)</f>
        <v>46091.529305555501</v>
      </c>
      <c r="C1312" s="2" t="str">
        <f ca="1">IFERROR(__xludf.DUMMYFUNCTION("""COMPUTED_VALUE"""),"661c51ce")</f>
        <v>661c51ce</v>
      </c>
      <c r="D1312" s="2">
        <f ca="1">IFERROR(__xludf.DUMMYFUNCTION("""COMPUTED_VALUE"""),51)</f>
        <v>51</v>
      </c>
      <c r="E1312" s="2" t="str">
        <f ca="1">IFERROR(__xludf.DUMMYFUNCTION("""COMPUTED_VALUE"""),"Malbec")</f>
        <v>Malbec</v>
      </c>
      <c r="F1312" s="2">
        <f ca="1">IFERROR(__xludf.DUMMYFUNCTION("""COMPUTED_VALUE"""),3900)</f>
        <v>3900</v>
      </c>
      <c r="G1312" s="2">
        <f ca="1">IFERROR(__xludf.DUMMYFUNCTION("""COMPUTED_VALUE"""),500)</f>
        <v>500</v>
      </c>
      <c r="H1312" s="2" t="str">
        <f ca="1">IFERROR(__xludf.DUMMYFUNCTION("""COMPUTED_VALUE"""),"780e80e3")</f>
        <v>780e80e3</v>
      </c>
      <c r="I1312" s="2" t="str">
        <f ca="1">IFERROR(__xludf.DUMMYFUNCTION("""COMPUTED_VALUE"""),"Ajuste semana 13/02/2025")</f>
        <v>Ajuste semana 13/02/2025</v>
      </c>
      <c r="J1312" s="2">
        <f ca="1">IFERROR(__xludf.DUMMYFUNCTION("""COMPUTED_VALUE"""),19001)</f>
        <v>19001</v>
      </c>
      <c r="K1312" s="2">
        <f ca="1">IFERROR(__xludf.DUMMYFUNCTION("""COMPUTED_VALUE"""),22901)</f>
        <v>22901</v>
      </c>
      <c r="L1312" s="2" t="str">
        <f ca="1">IFERROR(__xludf.DUMMYFUNCTION("""COMPUTED_VALUE"""),"aab7f215")</f>
        <v>aab7f215</v>
      </c>
      <c r="M1312" s="2" t="str">
        <f ca="1">IFERROR(__xludf.DUMMYFUNCTION("""COMPUTED_VALUE"""),"Ajuste semana 13/02/2025")</f>
        <v>Ajuste semana 13/02/2025</v>
      </c>
      <c r="N1312" s="2"/>
      <c r="O1312" s="2" t="str">
        <f ca="1">IFERROR(__xludf.DUMMYFUNCTION("""COMPUTED_VALUE"""),"Filtrado Tang")</f>
        <v>Filtrado Tang</v>
      </c>
      <c r="P1312" s="2" t="str">
        <f ca="1">IFERROR(__xludf.DUMMYFUNCTION("""COMPUTED_VALUE"""),"Terminado")</f>
        <v>Terminado</v>
      </c>
      <c r="Q1312" s="2" t="b">
        <f ca="1">IFERROR(__xludf.DUMMYFUNCTION("""COMPUTED_VALUE"""),TRUE)</f>
        <v>1</v>
      </c>
      <c r="R1312" s="2" t="str">
        <f ca="1">IFERROR(__xludf.DUMMYFUNCTION("""COMPUTED_VALUE"""),"Terminado")</f>
        <v>Terminado</v>
      </c>
      <c r="S1312" s="2"/>
      <c r="T1312" s="2"/>
      <c r="U1312" s="2"/>
    </row>
    <row r="1313" spans="1:21" x14ac:dyDescent="0.25">
      <c r="A1313" s="2" t="str">
        <f ca="1">IFERROR(__xludf.DUMMYFUNCTION("""COMPUTED_VALUE"""),"c298f788")</f>
        <v>c298f788</v>
      </c>
      <c r="B1313" s="5">
        <f ca="1">IFERROR(__xludf.DUMMYFUNCTION("""COMPUTED_VALUE"""),46091.7833680555)</f>
        <v>46091.783368055498</v>
      </c>
      <c r="C1313" s="2" t="str">
        <f ca="1">IFERROR(__xludf.DUMMYFUNCTION("""COMPUTED_VALUE"""),"be3ca69c")</f>
        <v>be3ca69c</v>
      </c>
      <c r="D1313" s="2">
        <f ca="1">IFERROR(__xludf.DUMMYFUNCTION("""COMPUTED_VALUE"""),71)</f>
        <v>71</v>
      </c>
      <c r="E1313" s="2" t="str">
        <f ca="1">IFERROR(__xludf.DUMMYFUNCTION("""COMPUTED_VALUE"""),"Syrah s/Asp 2")</f>
        <v>Syrah s/Asp 2</v>
      </c>
      <c r="F1313" s="2">
        <f ca="1">IFERROR(__xludf.DUMMYFUNCTION("""COMPUTED_VALUE"""),-4000)</f>
        <v>-4000</v>
      </c>
      <c r="G1313" s="2">
        <f ca="1">IFERROR(__xludf.DUMMYFUNCTION("""COMPUTED_VALUE"""),500)</f>
        <v>500</v>
      </c>
      <c r="H1313" s="2" t="str">
        <f ca="1">IFERROR(__xludf.DUMMYFUNCTION("""COMPUTED_VALUE"""),"aab7f215")</f>
        <v>aab7f215</v>
      </c>
      <c r="I1313" s="2" t="str">
        <f ca="1">IFERROR(__xludf.DUMMYFUNCTION("""COMPUTED_VALUE"""),"Ajuste semana 13/02/2025")</f>
        <v>Ajuste semana 13/02/2025</v>
      </c>
      <c r="J1313" s="2">
        <f ca="1">IFERROR(__xludf.DUMMYFUNCTION("""COMPUTED_VALUE"""),22901)</f>
        <v>22901</v>
      </c>
      <c r="K1313" s="2">
        <f ca="1">IFERROR(__xludf.DUMMYFUNCTION("""COMPUTED_VALUE"""),18901)</f>
        <v>18901</v>
      </c>
      <c r="L1313" s="2" t="str">
        <f ca="1">IFERROR(__xludf.DUMMYFUNCTION("""COMPUTED_VALUE"""),"eb988d4a")</f>
        <v>eb988d4a</v>
      </c>
      <c r="M1313" s="2" t="str">
        <f ca="1">IFERROR(__xludf.DUMMYFUNCTION("""COMPUTED_VALUE"""),"Ajuste semana 13/02/2025")</f>
        <v>Ajuste semana 13/02/2025</v>
      </c>
      <c r="N1313" s="2" t="str">
        <f ca="1">IFERROR(__xludf.DUMMYFUNCTION("""COMPUTED_VALUE"""),"Ajuste")</f>
        <v>Ajuste</v>
      </c>
      <c r="O1313" s="2" t="str">
        <f ca="1">IFERROR(__xludf.DUMMYFUNCTION("""COMPUTED_VALUE"""),"Descubada")</f>
        <v>Descubada</v>
      </c>
      <c r="P1313" s="2" t="str">
        <f ca="1">IFERROR(__xludf.DUMMYFUNCTION("""COMPUTED_VALUE"""),"Terminado")</f>
        <v>Terminado</v>
      </c>
      <c r="Q1313" s="2" t="b">
        <f ca="1">IFERROR(__xludf.DUMMYFUNCTION("""COMPUTED_VALUE"""),TRUE)</f>
        <v>1</v>
      </c>
      <c r="R1313" s="2" t="str">
        <f ca="1">IFERROR(__xludf.DUMMYFUNCTION("""COMPUTED_VALUE"""),"Terminado")</f>
        <v>Terminado</v>
      </c>
      <c r="S1313" s="2"/>
      <c r="T1313" s="2"/>
      <c r="U1313" s="2"/>
    </row>
    <row r="1314" spans="1:21" x14ac:dyDescent="0.25">
      <c r="A1314" s="2" t="str">
        <f ca="1">IFERROR(__xludf.DUMMYFUNCTION("""COMPUTED_VALUE"""),"8d3edb12")</f>
        <v>8d3edb12</v>
      </c>
      <c r="B1314" s="5">
        <f ca="1">IFERROR(__xludf.DUMMYFUNCTION("""COMPUTED_VALUE"""),46091.7838541666)</f>
        <v>46091.783854166599</v>
      </c>
      <c r="C1314" s="2" t="str">
        <f ca="1">IFERROR(__xludf.DUMMYFUNCTION("""COMPUTED_VALUE"""),"b4099d8b")</f>
        <v>b4099d8b</v>
      </c>
      <c r="D1314" s="2">
        <f ca="1">IFERROR(__xludf.DUMMYFUNCTION("""COMPUTED_VALUE"""),42)</f>
        <v>42</v>
      </c>
      <c r="E1314" s="2" t="str">
        <f ca="1">IFERROR(__xludf.DUMMYFUNCTION("""COMPUTED_VALUE"""),"Syrah Anc PC s/Asp 3")</f>
        <v>Syrah Anc PC s/Asp 3</v>
      </c>
      <c r="F1314" s="2">
        <f ca="1">IFERROR(__xludf.DUMMYFUNCTION("""COMPUTED_VALUE"""),4650)</f>
        <v>4650</v>
      </c>
      <c r="G1314" s="2">
        <f ca="1">IFERROR(__xludf.DUMMYFUNCTION("""COMPUTED_VALUE"""),500)</f>
        <v>500</v>
      </c>
      <c r="H1314" s="2" t="str">
        <f ca="1">IFERROR(__xludf.DUMMYFUNCTION("""COMPUTED_VALUE"""),"eb988d4a")</f>
        <v>eb988d4a</v>
      </c>
      <c r="I1314" s="2" t="str">
        <f ca="1">IFERROR(__xludf.DUMMYFUNCTION("""COMPUTED_VALUE"""),"Ajuste semana 13/02/2025")</f>
        <v>Ajuste semana 13/02/2025</v>
      </c>
      <c r="J1314" s="2">
        <f ca="1">IFERROR(__xludf.DUMMYFUNCTION("""COMPUTED_VALUE"""),18901)</f>
        <v>18901</v>
      </c>
      <c r="K1314" s="2">
        <f ca="1">IFERROR(__xludf.DUMMYFUNCTION("""COMPUTED_VALUE"""),23551)</f>
        <v>23551</v>
      </c>
      <c r="L1314" s="2" t="str">
        <f ca="1">IFERROR(__xludf.DUMMYFUNCTION("""COMPUTED_VALUE"""),"9408ddeb")</f>
        <v>9408ddeb</v>
      </c>
      <c r="M1314" s="2" t="str">
        <f ca="1">IFERROR(__xludf.DUMMYFUNCTION("""COMPUTED_VALUE"""),"Ajuste semana 13/02/2025")</f>
        <v>Ajuste semana 13/02/2025</v>
      </c>
      <c r="N1314" s="2"/>
      <c r="O1314" s="2" t="str">
        <f ca="1">IFERROR(__xludf.DUMMYFUNCTION("""COMPUTED_VALUE"""),"Descubada")</f>
        <v>Descubada</v>
      </c>
      <c r="P1314" s="2" t="str">
        <f ca="1">IFERROR(__xludf.DUMMYFUNCTION("""COMPUTED_VALUE"""),"Terminado")</f>
        <v>Terminado</v>
      </c>
      <c r="Q1314" s="2" t="b">
        <f ca="1">IFERROR(__xludf.DUMMYFUNCTION("""COMPUTED_VALUE"""),TRUE)</f>
        <v>1</v>
      </c>
      <c r="R1314" s="2" t="str">
        <f ca="1">IFERROR(__xludf.DUMMYFUNCTION("""COMPUTED_VALUE"""),"Terminado")</f>
        <v>Terminado</v>
      </c>
      <c r="S1314" s="2"/>
      <c r="T1314" s="2"/>
      <c r="U1314" s="2"/>
    </row>
    <row r="1315" spans="1:21" x14ac:dyDescent="0.25">
      <c r="A1315" s="2" t="str">
        <f ca="1">IFERROR(__xludf.DUMMYFUNCTION("""COMPUTED_VALUE"""),"ffac3db9")</f>
        <v>ffac3db9</v>
      </c>
      <c r="B1315" s="5">
        <f ca="1">IFERROR(__xludf.DUMMYFUNCTION("""COMPUTED_VALUE"""),46091.7842592592)</f>
        <v>46091.784259259199</v>
      </c>
      <c r="C1315" s="2" t="str">
        <f ca="1">IFERROR(__xludf.DUMMYFUNCTION("""COMPUTED_VALUE"""),"37b886cf")</f>
        <v>37b886cf</v>
      </c>
      <c r="D1315" s="2">
        <f ca="1">IFERROR(__xludf.DUMMYFUNCTION("""COMPUTED_VALUE"""),41)</f>
        <v>41</v>
      </c>
      <c r="E1315" s="2" t="str">
        <f ca="1">IFERROR(__xludf.DUMMYFUNCTION("""COMPUTED_VALUE"""),"Malbec Mer s/Asp 3")</f>
        <v>Malbec Mer s/Asp 3</v>
      </c>
      <c r="F1315" s="2">
        <f ca="1">IFERROR(__xludf.DUMMYFUNCTION("""COMPUTED_VALUE"""),7100)</f>
        <v>7100</v>
      </c>
      <c r="G1315" s="2">
        <f ca="1">IFERROR(__xludf.DUMMYFUNCTION("""COMPUTED_VALUE"""),500)</f>
        <v>500</v>
      </c>
      <c r="H1315" s="2" t="str">
        <f ca="1">IFERROR(__xludf.DUMMYFUNCTION("""COMPUTED_VALUE"""),"9408ddeb")</f>
        <v>9408ddeb</v>
      </c>
      <c r="I1315" s="2" t="str">
        <f ca="1">IFERROR(__xludf.DUMMYFUNCTION("""COMPUTED_VALUE"""),"Ajuste semana 13/02/2025")</f>
        <v>Ajuste semana 13/02/2025</v>
      </c>
      <c r="J1315" s="2">
        <f ca="1">IFERROR(__xludf.DUMMYFUNCTION("""COMPUTED_VALUE"""),23551)</f>
        <v>23551</v>
      </c>
      <c r="K1315" s="2">
        <f ca="1">IFERROR(__xludf.DUMMYFUNCTION("""COMPUTED_VALUE"""),30651)</f>
        <v>30651</v>
      </c>
      <c r="L1315" s="2" t="str">
        <f ca="1">IFERROR(__xludf.DUMMYFUNCTION("""COMPUTED_VALUE"""),"942bbcb8")</f>
        <v>942bbcb8</v>
      </c>
      <c r="M1315" s="2" t="str">
        <f ca="1">IFERROR(__xludf.DUMMYFUNCTION("""COMPUTED_VALUE"""),"Ajuste semana 13/02/2025")</f>
        <v>Ajuste semana 13/02/2025</v>
      </c>
      <c r="N1315" s="2"/>
      <c r="O1315" s="2" t="str">
        <f ca="1">IFERROR(__xludf.DUMMYFUNCTION("""COMPUTED_VALUE"""),"Descubada")</f>
        <v>Descubada</v>
      </c>
      <c r="P1315" s="2" t="str">
        <f ca="1">IFERROR(__xludf.DUMMYFUNCTION("""COMPUTED_VALUE"""),"Terminado")</f>
        <v>Terminado</v>
      </c>
      <c r="Q1315" s="2" t="b">
        <f ca="1">IFERROR(__xludf.DUMMYFUNCTION("""COMPUTED_VALUE"""),TRUE)</f>
        <v>1</v>
      </c>
      <c r="R1315" s="2" t="str">
        <f ca="1">IFERROR(__xludf.DUMMYFUNCTION("""COMPUTED_VALUE"""),"Terminado")</f>
        <v>Terminado</v>
      </c>
      <c r="S1315" s="2"/>
      <c r="T1315" s="2"/>
      <c r="U1315" s="2"/>
    </row>
    <row r="1316" spans="1:21" x14ac:dyDescent="0.25">
      <c r="A1316" s="2" t="str">
        <f ca="1">IFERROR(__xludf.DUMMYFUNCTION("""COMPUTED_VALUE"""),"56331738")</f>
        <v>56331738</v>
      </c>
      <c r="B1316" s="5">
        <f ca="1">IFERROR(__xludf.DUMMYFUNCTION("""COMPUTED_VALUE"""),46091.7862152777)</f>
        <v>46091.786215277702</v>
      </c>
      <c r="C1316" s="2" t="str">
        <f ca="1">IFERROR(__xludf.DUMMYFUNCTION("""COMPUTED_VALUE"""),"38762156")</f>
        <v>38762156</v>
      </c>
      <c r="D1316" s="2">
        <f ca="1">IFERROR(__xludf.DUMMYFUNCTION("""COMPUTED_VALUE"""),87)</f>
        <v>87</v>
      </c>
      <c r="E1316" s="2" t="str">
        <f ca="1">IFERROR(__xludf.DUMMYFUNCTION("""COMPUTED_VALUE"""),"Syrah Merlot")</f>
        <v>Syrah Merlot</v>
      </c>
      <c r="F1316" s="2">
        <f ca="1">IFERROR(__xludf.DUMMYFUNCTION("""COMPUTED_VALUE"""),3000)</f>
        <v>3000</v>
      </c>
      <c r="G1316" s="2">
        <f ca="1">IFERROR(__xludf.DUMMYFUNCTION("""COMPUTED_VALUE"""),81)</f>
        <v>81</v>
      </c>
      <c r="H1316" s="2" t="str">
        <f ca="1">IFERROR(__xludf.DUMMYFUNCTION("""COMPUTED_VALUE"""),"c9f8a480")</f>
        <v>c9f8a480</v>
      </c>
      <c r="I1316" s="2" t="str">
        <f ca="1">IFERROR(__xludf.DUMMYFUNCTION("""COMPUTED_VALUE"""),"Syrah")</f>
        <v>Syrah</v>
      </c>
      <c r="J1316" s="2">
        <f ca="1">IFERROR(__xludf.DUMMYFUNCTION("""COMPUTED_VALUE"""),15000)</f>
        <v>15000</v>
      </c>
      <c r="K1316" s="2">
        <f ca="1">IFERROR(__xludf.DUMMYFUNCTION("""COMPUTED_VALUE"""),18000)</f>
        <v>18000</v>
      </c>
      <c r="L1316" s="2" t="str">
        <f ca="1">IFERROR(__xludf.DUMMYFUNCTION("""COMPUTED_VALUE"""),"fa24ada7")</f>
        <v>fa24ada7</v>
      </c>
      <c r="M1316" s="2" t="str">
        <f ca="1">IFERROR(__xludf.DUMMYFUNCTION("""COMPUTED_VALUE"""),"Syrah")</f>
        <v>Syrah</v>
      </c>
      <c r="N1316" s="2" t="str">
        <f ca="1">IFERROR(__xludf.DUMMYFUNCTION("""COMPUTED_VALUE"""),"Pie de cuba")</f>
        <v>Pie de cuba</v>
      </c>
      <c r="O1316" s="2"/>
      <c r="P1316" s="2"/>
      <c r="Q1316" s="2" t="b">
        <f ca="1">IFERROR(__xludf.DUMMYFUNCTION("""COMPUTED_VALUE"""),TRUE)</f>
        <v>1</v>
      </c>
      <c r="R1316" s="2"/>
      <c r="S1316" s="2"/>
      <c r="T1316" s="2"/>
      <c r="U1316" s="2"/>
    </row>
    <row r="1317" spans="1:21" x14ac:dyDescent="0.25">
      <c r="A1317" s="2" t="str">
        <f ca="1">IFERROR(__xludf.DUMMYFUNCTION("""COMPUTED_VALUE"""),"001ad604")</f>
        <v>001ad604</v>
      </c>
      <c r="B1317" s="5">
        <f ca="1">IFERROR(__xludf.DUMMYFUNCTION("""COMPUTED_VALUE"""),46091.7895717592)</f>
        <v>46091.789571759196</v>
      </c>
      <c r="C1317" s="2" t="str">
        <f ca="1">IFERROR(__xludf.DUMMYFUNCTION("""COMPUTED_VALUE"""),"aad6a585")</f>
        <v>aad6a585</v>
      </c>
      <c r="D1317" s="2">
        <f ca="1">IFERROR(__xludf.DUMMYFUNCTION("""COMPUTED_VALUE"""),83)</f>
        <v>83</v>
      </c>
      <c r="E1317" s="2" t="str">
        <f ca="1">IFERROR(__xludf.DUMMYFUNCTION("""COMPUTED_VALUE"""),"Syrah Anc PC s/Asp 2")</f>
        <v>Syrah Anc PC s/Asp 2</v>
      </c>
      <c r="F1317" s="2">
        <f ca="1">IFERROR(__xludf.DUMMYFUNCTION("""COMPUTED_VALUE"""),42000)</f>
        <v>42000</v>
      </c>
      <c r="G1317" s="2">
        <f ca="1">IFERROR(__xludf.DUMMYFUNCTION("""COMPUTED_VALUE"""),120)</f>
        <v>120</v>
      </c>
      <c r="H1317" s="2"/>
      <c r="I1317" s="2"/>
      <c r="J1317" s="2">
        <f ca="1">IFERROR(__xludf.DUMMYFUNCTION("""COMPUTED_VALUE"""),0)</f>
        <v>0</v>
      </c>
      <c r="K1317" s="2">
        <f ca="1">IFERROR(__xludf.DUMMYFUNCTION("""COMPUTED_VALUE"""),42000)</f>
        <v>42000</v>
      </c>
      <c r="L1317" s="2" t="str">
        <f ca="1">IFERROR(__xludf.DUMMYFUNCTION("""COMPUTED_VALUE"""),"16486a58")</f>
        <v>16486a58</v>
      </c>
      <c r="M1317" s="2" t="str">
        <f ca="1">IFERROR(__xludf.DUMMYFUNCTION("""COMPUTED_VALUE"""),"Syrah Anc PC s/Asp 2")</f>
        <v>Syrah Anc PC s/Asp 2</v>
      </c>
      <c r="N1317" s="2"/>
      <c r="O1317" s="2" t="str">
        <f ca="1">IFERROR(__xludf.DUMMYFUNCTION("""COMPUTED_VALUE"""),"Fermentando")</f>
        <v>Fermentando</v>
      </c>
      <c r="P1317" s="2"/>
      <c r="Q1317" s="2" t="b">
        <f ca="1">IFERROR(__xludf.DUMMYFUNCTION("""COMPUTED_VALUE"""),FALSE)</f>
        <v>0</v>
      </c>
      <c r="R1317" s="2" t="str">
        <f ca="1">IFERROR(__xludf.DUMMYFUNCTION("""COMPUTED_VALUE"""),"Descubada")</f>
        <v>Descubada</v>
      </c>
      <c r="S1317" s="2"/>
      <c r="T1317" s="2"/>
      <c r="U1317" s="2"/>
    </row>
    <row r="1318" spans="1:21" x14ac:dyDescent="0.25">
      <c r="A1318" s="2" t="str">
        <f ca="1">IFERROR(__xludf.DUMMYFUNCTION("""COMPUTED_VALUE"""),"d94d05da")</f>
        <v>d94d05da</v>
      </c>
      <c r="B1318" s="5">
        <f ca="1">IFERROR(__xludf.DUMMYFUNCTION("""COMPUTED_VALUE"""),46091.7901736111)</f>
        <v>46091.790173611102</v>
      </c>
      <c r="C1318" s="2" t="str">
        <f ca="1">IFERROR(__xludf.DUMMYFUNCTION("""COMPUTED_VALUE"""),"f607b045")</f>
        <v>f607b045</v>
      </c>
      <c r="D1318" s="2">
        <f ca="1">IFERROR(__xludf.DUMMYFUNCTION("""COMPUTED_VALUE"""),84)</f>
        <v>84</v>
      </c>
      <c r="E1318" s="2" t="str">
        <f ca="1">IFERROR(__xludf.DUMMYFUNCTION("""COMPUTED_VALUE"""),"Malbec Mer s/Asp")</f>
        <v>Malbec Mer s/Asp</v>
      </c>
      <c r="F1318" s="2">
        <f ca="1">IFERROR(__xludf.DUMMYFUNCTION("""COMPUTED_VALUE"""),36000)</f>
        <v>36000</v>
      </c>
      <c r="G1318" s="2">
        <f ca="1">IFERROR(__xludf.DUMMYFUNCTION("""COMPUTED_VALUE"""),120)</f>
        <v>120</v>
      </c>
      <c r="H1318" s="2" t="str">
        <f ca="1">IFERROR(__xludf.DUMMYFUNCTION("""COMPUTED_VALUE"""),"16486a58")</f>
        <v>16486a58</v>
      </c>
      <c r="I1318" s="2" t="str">
        <f ca="1">IFERROR(__xludf.DUMMYFUNCTION("""COMPUTED_VALUE"""),"Syrah Anc PC s/Asp 2")</f>
        <v>Syrah Anc PC s/Asp 2</v>
      </c>
      <c r="J1318" s="2">
        <f ca="1">IFERROR(__xludf.DUMMYFUNCTION("""COMPUTED_VALUE"""),42000)</f>
        <v>42000</v>
      </c>
      <c r="K1318" s="2">
        <f ca="1">IFERROR(__xludf.DUMMYFUNCTION("""COMPUTED_VALUE"""),78000)</f>
        <v>78000</v>
      </c>
      <c r="L1318" s="2" t="str">
        <f ca="1">IFERROR(__xludf.DUMMYFUNCTION("""COMPUTED_VALUE"""),"f6a1da38")</f>
        <v>f6a1da38</v>
      </c>
      <c r="M1318" s="2" t="str">
        <f ca="1">IFERROR(__xludf.DUMMYFUNCTION("""COMPUTED_VALUE"""),"Syrah Anc PC s/Asp 2")</f>
        <v>Syrah Anc PC s/Asp 2</v>
      </c>
      <c r="N1318" s="2"/>
      <c r="O1318" s="2" t="str">
        <f ca="1">IFERROR(__xludf.DUMMYFUNCTION("""COMPUTED_VALUE"""),"Fermentando")</f>
        <v>Fermentando</v>
      </c>
      <c r="P1318" s="2" t="str">
        <f ca="1">IFERROR(__xludf.DUMMYFUNCTION("""COMPUTED_VALUE"""),"Descubada")</f>
        <v>Descubada</v>
      </c>
      <c r="Q1318" s="2" t="b">
        <f ca="1">IFERROR(__xludf.DUMMYFUNCTION("""COMPUTED_VALUE"""),TRUE)</f>
        <v>1</v>
      </c>
      <c r="R1318" s="2" t="str">
        <f ca="1">IFERROR(__xludf.DUMMYFUNCTION("""COMPUTED_VALUE"""),"Descubada")</f>
        <v>Descubada</v>
      </c>
      <c r="S1318" s="2"/>
      <c r="T1318" s="2"/>
      <c r="U1318" s="2"/>
    </row>
    <row r="1319" spans="1:21" x14ac:dyDescent="0.25">
      <c r="A1319" s="2" t="str">
        <f ca="1">IFERROR(__xludf.DUMMYFUNCTION("""COMPUTED_VALUE"""),"3f4da042")</f>
        <v>3f4da042</v>
      </c>
      <c r="B1319" s="5">
        <f ca="1">IFERROR(__xludf.DUMMYFUNCTION("""COMPUTED_VALUE"""),46091.7909143518)</f>
        <v>46091.790914351797</v>
      </c>
      <c r="C1319" s="2" t="str">
        <f ca="1">IFERROR(__xludf.DUMMYFUNCTION("""COMPUTED_VALUE"""),"aad6a585")</f>
        <v>aad6a585</v>
      </c>
      <c r="D1319" s="2">
        <f ca="1">IFERROR(__xludf.DUMMYFUNCTION("""COMPUTED_VALUE"""),83)</f>
        <v>83</v>
      </c>
      <c r="E1319" s="2" t="str">
        <f ca="1">IFERROR(__xludf.DUMMYFUNCTION("""COMPUTED_VALUE"""),"Syrah Anc PC s/Asp 2")</f>
        <v>Syrah Anc PC s/Asp 2</v>
      </c>
      <c r="F1319" s="2">
        <f ca="1">IFERROR(__xludf.DUMMYFUNCTION("""COMPUTED_VALUE"""),8000)</f>
        <v>8000</v>
      </c>
      <c r="G1319" s="2"/>
      <c r="H1319" s="2"/>
      <c r="I1319" s="2"/>
      <c r="J1319" s="2"/>
      <c r="K1319" s="2">
        <f ca="1">IFERROR(__xludf.DUMMYFUNCTION("""COMPUTED_VALUE"""),8000)</f>
        <v>8000</v>
      </c>
      <c r="L1319" s="2" t="str">
        <f ca="1">IFERROR(__xludf.DUMMYFUNCTION("""COMPUTED_VALUE"""),"ffe03d20")</f>
        <v>ffe03d20</v>
      </c>
      <c r="M1319" s="2"/>
      <c r="N1319" s="2"/>
      <c r="O1319" s="2" t="str">
        <f ca="1">IFERROR(__xludf.DUMMYFUNCTION("""COMPUTED_VALUE"""),"Fermentando")</f>
        <v>Fermentando</v>
      </c>
      <c r="P1319" s="2"/>
      <c r="Q1319" s="2" t="b">
        <f ca="1">IFERROR(__xludf.DUMMYFUNCTION("""COMPUTED_VALUE"""),TRUE)</f>
        <v>1</v>
      </c>
      <c r="R1319" s="2"/>
      <c r="S1319" s="2"/>
      <c r="T1319" s="2"/>
      <c r="U1319" s="2"/>
    </row>
    <row r="1320" spans="1:21" x14ac:dyDescent="0.25">
      <c r="A1320" s="2" t="str">
        <f ca="1">IFERROR(__xludf.DUMMYFUNCTION("""COMPUTED_VALUE"""),"1506318f")</f>
        <v>1506318f</v>
      </c>
      <c r="B1320" s="5">
        <f ca="1">IFERROR(__xludf.DUMMYFUNCTION("""COMPUTED_VALUE"""),46091.7911805555)</f>
        <v>46091.791180555498</v>
      </c>
      <c r="C1320" s="2" t="str">
        <f ca="1">IFERROR(__xludf.DUMMYFUNCTION("""COMPUTED_VALUE"""),"f607b045")</f>
        <v>f607b045</v>
      </c>
      <c r="D1320" s="2">
        <f ca="1">IFERROR(__xludf.DUMMYFUNCTION("""COMPUTED_VALUE"""),84)</f>
        <v>84</v>
      </c>
      <c r="E1320" s="2" t="str">
        <f ca="1">IFERROR(__xludf.DUMMYFUNCTION("""COMPUTED_VALUE"""),"Malbec Mer s/Asp")</f>
        <v>Malbec Mer s/Asp</v>
      </c>
      <c r="F1320" s="2">
        <f ca="1">IFERROR(__xludf.DUMMYFUNCTION("""COMPUTED_VALUE"""),5000)</f>
        <v>5000</v>
      </c>
      <c r="G1320" s="2">
        <f ca="1">IFERROR(__xludf.DUMMYFUNCTION("""COMPUTED_VALUE"""),120)</f>
        <v>120</v>
      </c>
      <c r="H1320" s="2" t="str">
        <f ca="1">IFERROR(__xludf.DUMMYFUNCTION("""COMPUTED_VALUE"""),"f6a1da38")</f>
        <v>f6a1da38</v>
      </c>
      <c r="I1320" s="2" t="str">
        <f ca="1">IFERROR(__xludf.DUMMYFUNCTION("""COMPUTED_VALUE"""),"Syrah Anc PC s/Asp 2")</f>
        <v>Syrah Anc PC s/Asp 2</v>
      </c>
      <c r="J1320" s="2">
        <f ca="1">IFERROR(__xludf.DUMMYFUNCTION("""COMPUTED_VALUE"""),78000)</f>
        <v>78000</v>
      </c>
      <c r="K1320" s="2">
        <f ca="1">IFERROR(__xludf.DUMMYFUNCTION("""COMPUTED_VALUE"""),83000)</f>
        <v>83000</v>
      </c>
      <c r="L1320" s="2" t="str">
        <f ca="1">IFERROR(__xludf.DUMMYFUNCTION("""COMPUTED_VALUE"""),"1bc4049f")</f>
        <v>1bc4049f</v>
      </c>
      <c r="M1320" s="2" t="str">
        <f ca="1">IFERROR(__xludf.DUMMYFUNCTION("""COMPUTED_VALUE"""),"Syrah Anc PC s/Asp 2")</f>
        <v>Syrah Anc PC s/Asp 2</v>
      </c>
      <c r="N1320" s="2"/>
      <c r="O1320" s="2" t="str">
        <f ca="1">IFERROR(__xludf.DUMMYFUNCTION("""COMPUTED_VALUE"""),"Fermentando")</f>
        <v>Fermentando</v>
      </c>
      <c r="P1320" s="2" t="str">
        <f ca="1">IFERROR(__xludf.DUMMYFUNCTION("""COMPUTED_VALUE"""),"Descubada")</f>
        <v>Descubada</v>
      </c>
      <c r="Q1320" s="2" t="b">
        <f ca="1">IFERROR(__xludf.DUMMYFUNCTION("""COMPUTED_VALUE"""),TRUE)</f>
        <v>1</v>
      </c>
      <c r="R1320" s="2" t="str">
        <f ca="1">IFERROR(__xludf.DUMMYFUNCTION("""COMPUTED_VALUE"""),"Descubada")</f>
        <v>Descubada</v>
      </c>
      <c r="S1320" s="2"/>
      <c r="T1320" s="2"/>
      <c r="U1320" s="2"/>
    </row>
    <row r="1321" spans="1:21" x14ac:dyDescent="0.25">
      <c r="A1321" s="2" t="str">
        <f ca="1">IFERROR(__xludf.DUMMYFUNCTION("""COMPUTED_VALUE"""),"7d674152")</f>
        <v>7d674152</v>
      </c>
      <c r="B1321" s="5">
        <f ca="1">IFERROR(__xludf.DUMMYFUNCTION("""COMPUTED_VALUE"""),46091.7926157407)</f>
        <v>46091.792615740698</v>
      </c>
      <c r="C1321" s="2" t="str">
        <f ca="1">IFERROR(__xludf.DUMMYFUNCTION("""COMPUTED_VALUE"""),"aad6a585")</f>
        <v>aad6a585</v>
      </c>
      <c r="D1321" s="2">
        <f ca="1">IFERROR(__xludf.DUMMYFUNCTION("""COMPUTED_VALUE"""),83)</f>
        <v>83</v>
      </c>
      <c r="E1321" s="2" t="str">
        <f ca="1">IFERROR(__xludf.DUMMYFUNCTION("""COMPUTED_VALUE"""),"Syrah Anc PC s/Asp 2")</f>
        <v>Syrah Anc PC s/Asp 2</v>
      </c>
      <c r="F1321" s="2">
        <f ca="1">IFERROR(__xludf.DUMMYFUNCTION("""COMPUTED_VALUE"""),3800)</f>
        <v>3800</v>
      </c>
      <c r="G1321" s="2">
        <f ca="1">IFERROR(__xludf.DUMMYFUNCTION("""COMPUTED_VALUE"""),120)</f>
        <v>120</v>
      </c>
      <c r="H1321" s="2" t="str">
        <f ca="1">IFERROR(__xludf.DUMMYFUNCTION("""COMPUTED_VALUE"""),"1bc4049f")</f>
        <v>1bc4049f</v>
      </c>
      <c r="I1321" s="2" t="str">
        <f ca="1">IFERROR(__xludf.DUMMYFUNCTION("""COMPUTED_VALUE"""),"Syrah Anc PC s/Asp 2")</f>
        <v>Syrah Anc PC s/Asp 2</v>
      </c>
      <c r="J1321" s="2">
        <f ca="1">IFERROR(__xludf.DUMMYFUNCTION("""COMPUTED_VALUE"""),83000)</f>
        <v>83000</v>
      </c>
      <c r="K1321" s="2">
        <f ca="1">IFERROR(__xludf.DUMMYFUNCTION("""COMPUTED_VALUE"""),86800)</f>
        <v>86800</v>
      </c>
      <c r="L1321" s="2" t="str">
        <f ca="1">IFERROR(__xludf.DUMMYFUNCTION("""COMPUTED_VALUE"""),"ca20431c")</f>
        <v>ca20431c</v>
      </c>
      <c r="M1321" s="2" t="str">
        <f ca="1">IFERROR(__xludf.DUMMYFUNCTION("""COMPUTED_VALUE"""),"Syrah Anc PC s/Asp 2")</f>
        <v>Syrah Anc PC s/Asp 2</v>
      </c>
      <c r="N1321" s="2"/>
      <c r="O1321" s="2" t="str">
        <f ca="1">IFERROR(__xludf.DUMMYFUNCTION("""COMPUTED_VALUE"""),"Fermentando")</f>
        <v>Fermentando</v>
      </c>
      <c r="P1321" s="2" t="str">
        <f ca="1">IFERROR(__xludf.DUMMYFUNCTION("""COMPUTED_VALUE"""),"Descubada")</f>
        <v>Descubada</v>
      </c>
      <c r="Q1321" s="2" t="b">
        <f ca="1">IFERROR(__xludf.DUMMYFUNCTION("""COMPUTED_VALUE"""),TRUE)</f>
        <v>1</v>
      </c>
      <c r="R1321" s="2" t="str">
        <f ca="1">IFERROR(__xludf.DUMMYFUNCTION("""COMPUTED_VALUE"""),"Descubada")</f>
        <v>Descubada</v>
      </c>
      <c r="S1321" s="2"/>
      <c r="T1321" s="2"/>
      <c r="U1321" s="2"/>
    </row>
    <row r="1322" spans="1:21" x14ac:dyDescent="0.25">
      <c r="A1322" s="2" t="str">
        <f ca="1">IFERROR(__xludf.DUMMYFUNCTION("""COMPUTED_VALUE"""),"55c1159e")</f>
        <v>55c1159e</v>
      </c>
      <c r="B1322" s="5">
        <f ca="1">IFERROR(__xludf.DUMMYFUNCTION("""COMPUTED_VALUE"""),46091.7954976851)</f>
        <v>46091.795497685103</v>
      </c>
      <c r="C1322" s="2" t="str">
        <f ca="1">IFERROR(__xludf.DUMMYFUNCTION("""COMPUTED_VALUE"""),"38762156")</f>
        <v>38762156</v>
      </c>
      <c r="D1322" s="2">
        <f ca="1">IFERROR(__xludf.DUMMYFUNCTION("""COMPUTED_VALUE"""),87)</f>
        <v>87</v>
      </c>
      <c r="E1322" s="2" t="str">
        <f ca="1">IFERROR(__xludf.DUMMYFUNCTION("""COMPUTED_VALUE"""),"Syrah Merlot")</f>
        <v>Syrah Merlot</v>
      </c>
      <c r="F1322" s="2">
        <f ca="1">IFERROR(__xludf.DUMMYFUNCTION("""COMPUTED_VALUE"""),43400)</f>
        <v>43400</v>
      </c>
      <c r="G1322" s="2">
        <f ca="1">IFERROR(__xludf.DUMMYFUNCTION("""COMPUTED_VALUE"""),83)</f>
        <v>83</v>
      </c>
      <c r="H1322" s="2" t="str">
        <f ca="1">IFERROR(__xludf.DUMMYFUNCTION("""COMPUTED_VALUE"""),"aad6a585")</f>
        <v>aad6a585</v>
      </c>
      <c r="I1322" s="2" t="str">
        <f ca="1">IFERROR(__xludf.DUMMYFUNCTION("""COMPUTED_VALUE"""),"Syrah Anc PC s/Asp 2")</f>
        <v>Syrah Anc PC s/Asp 2</v>
      </c>
      <c r="J1322" s="2">
        <f ca="1">IFERROR(__xludf.DUMMYFUNCTION("""COMPUTED_VALUE"""),18100)</f>
        <v>18100</v>
      </c>
      <c r="K1322" s="2">
        <f ca="1">IFERROR(__xludf.DUMMYFUNCTION("""COMPUTED_VALUE"""),60500)</f>
        <v>60500</v>
      </c>
      <c r="L1322" s="2" t="str">
        <f ca="1">IFERROR(__xludf.DUMMYFUNCTION("""COMPUTED_VALUE"""),"9c60e76b")</f>
        <v>9c60e76b</v>
      </c>
      <c r="M1322" s="2" t="str">
        <f ca="1">IFERROR(__xludf.DUMMYFUNCTION("""COMPUTED_VALUE"""),"Syrah Merlot s/Asp 3")</f>
        <v>Syrah Merlot s/Asp 3</v>
      </c>
      <c r="N1322" s="2" t="str">
        <f ca="1">IFERROR(__xludf.DUMMYFUNCTION("""COMPUTED_VALUE"""),"Gota y Prensa")</f>
        <v>Gota y Prensa</v>
      </c>
      <c r="O1322" s="2" t="str">
        <f ca="1">IFERROR(__xludf.DUMMYFUNCTION("""COMPUTED_VALUE"""),"Fermentando")</f>
        <v>Fermentando</v>
      </c>
      <c r="P1322" s="2" t="str">
        <f ca="1">IFERROR(__xludf.DUMMYFUNCTION("""COMPUTED_VALUE"""),"Fermentando")</f>
        <v>Fermentando</v>
      </c>
      <c r="Q1322" s="2" t="b">
        <f ca="1">IFERROR(__xludf.DUMMYFUNCTION("""COMPUTED_VALUE"""),FALSE)</f>
        <v>0</v>
      </c>
      <c r="R1322" s="2" t="str">
        <f ca="1">IFERROR(__xludf.DUMMYFUNCTION("""COMPUTED_VALUE"""),"Fermentando")</f>
        <v>Fermentando</v>
      </c>
      <c r="S1322" s="2"/>
      <c r="T1322" s="2"/>
      <c r="U1322" s="2"/>
    </row>
    <row r="1323" spans="1:21" x14ac:dyDescent="0.25">
      <c r="A1323" s="2" t="str">
        <f ca="1">IFERROR(__xludf.DUMMYFUNCTION("""COMPUTED_VALUE"""),"afd01090")</f>
        <v>afd01090</v>
      </c>
      <c r="B1323" s="5">
        <f ca="1">IFERROR(__xludf.DUMMYFUNCTION("""COMPUTED_VALUE"""),46091.7980324074)</f>
        <v>46091.798032407401</v>
      </c>
      <c r="C1323" s="2" t="str">
        <f ca="1">IFERROR(__xludf.DUMMYFUNCTION("""COMPUTED_VALUE"""),"38762156")</f>
        <v>38762156</v>
      </c>
      <c r="D1323" s="2">
        <f ca="1">IFERROR(__xludf.DUMMYFUNCTION("""COMPUTED_VALUE"""),87)</f>
        <v>87</v>
      </c>
      <c r="E1323" s="2" t="str">
        <f ca="1">IFERROR(__xludf.DUMMYFUNCTION("""COMPUTED_VALUE"""),"Syrah Merlot")</f>
        <v>Syrah Merlot</v>
      </c>
      <c r="F1323" s="2">
        <f ca="1">IFERROR(__xludf.DUMMYFUNCTION("""COMPUTED_VALUE"""),22400)</f>
        <v>22400</v>
      </c>
      <c r="G1323" s="2">
        <f ca="1">IFERROR(__xludf.DUMMYFUNCTION("""COMPUTED_VALUE"""),84)</f>
        <v>84</v>
      </c>
      <c r="H1323" s="2" t="str">
        <f ca="1">IFERROR(__xludf.DUMMYFUNCTION("""COMPUTED_VALUE"""),"f607b045")</f>
        <v>f607b045</v>
      </c>
      <c r="I1323" s="2" t="str">
        <f ca="1">IFERROR(__xludf.DUMMYFUNCTION("""COMPUTED_VALUE"""),"Malbec Mer s/Asp")</f>
        <v>Malbec Mer s/Asp</v>
      </c>
      <c r="J1323" s="2">
        <f ca="1">IFERROR(__xludf.DUMMYFUNCTION("""COMPUTED_VALUE"""),18500)</f>
        <v>18500</v>
      </c>
      <c r="K1323" s="2">
        <f ca="1">IFERROR(__xludf.DUMMYFUNCTION("""COMPUTED_VALUE"""),40900)</f>
        <v>40900</v>
      </c>
      <c r="L1323" s="2" t="str">
        <f ca="1">IFERROR(__xludf.DUMMYFUNCTION("""COMPUTED_VALUE"""),"3b6cbb3c")</f>
        <v>3b6cbb3c</v>
      </c>
      <c r="M1323" s="2" t="str">
        <f ca="1">IFERROR(__xludf.DUMMYFUNCTION("""COMPUTED_VALUE"""),"Syrah Merlot s/Asp 2")</f>
        <v>Syrah Merlot s/Asp 2</v>
      </c>
      <c r="N1323" s="2"/>
      <c r="O1323" s="2" t="str">
        <f ca="1">IFERROR(__xludf.DUMMYFUNCTION("""COMPUTED_VALUE"""),"Fermentando")</f>
        <v>Fermentando</v>
      </c>
      <c r="P1323" s="2" t="str">
        <f ca="1">IFERROR(__xludf.DUMMYFUNCTION("""COMPUTED_VALUE"""),"Fermentando")</f>
        <v>Fermentando</v>
      </c>
      <c r="Q1323" s="2" t="b">
        <f ca="1">IFERROR(__xludf.DUMMYFUNCTION("""COMPUTED_VALUE"""),FALSE)</f>
        <v>0</v>
      </c>
      <c r="R1323" s="2" t="str">
        <f ca="1">IFERROR(__xludf.DUMMYFUNCTION("""COMPUTED_VALUE"""),"Fermentando")</f>
        <v>Fermentando</v>
      </c>
      <c r="S1323" s="2"/>
      <c r="T1323" s="2"/>
      <c r="U1323" s="2"/>
    </row>
    <row r="1324" spans="1:21" x14ac:dyDescent="0.25">
      <c r="A1324" s="2" t="str">
        <f ca="1">IFERROR(__xludf.DUMMYFUNCTION("""COMPUTED_VALUE"""),"63399b09")</f>
        <v>63399b09</v>
      </c>
      <c r="B1324" s="5">
        <f ca="1">IFERROR(__xludf.DUMMYFUNCTION("""COMPUTED_VALUE"""),46091.8003125)</f>
        <v>46091.800312500003</v>
      </c>
      <c r="C1324" s="2" t="str">
        <f ca="1">IFERROR(__xludf.DUMMYFUNCTION("""COMPUTED_VALUE"""),"b0ae0a62")</f>
        <v>b0ae0a62</v>
      </c>
      <c r="D1324" s="2">
        <f ca="1">IFERROR(__xludf.DUMMYFUNCTION("""COMPUTED_VALUE"""),85)</f>
        <v>85</v>
      </c>
      <c r="E1324" s="2" t="str">
        <f ca="1">IFERROR(__xludf.DUMMYFUNCTION("""COMPUTED_VALUE"""),"Syrah Malbec")</f>
        <v>Syrah Malbec</v>
      </c>
      <c r="F1324" s="2">
        <f ca="1">IFERROR(__xludf.DUMMYFUNCTION("""COMPUTED_VALUE"""),-10500)</f>
        <v>-10500</v>
      </c>
      <c r="G1324" s="2">
        <f ca="1">IFERROR(__xludf.DUMMYFUNCTION("""COMPUTED_VALUE"""),48)</f>
        <v>48</v>
      </c>
      <c r="H1324" s="2" t="str">
        <f ca="1">IFERROR(__xludf.DUMMYFUNCTION("""COMPUTED_VALUE"""),"ffc45ae1")</f>
        <v>ffc45ae1</v>
      </c>
      <c r="I1324" s="2" t="str">
        <f ca="1">IFERROR(__xludf.DUMMYFUNCTION("""COMPUTED_VALUE"""),"Cabernet Sauvignon Rect")</f>
        <v>Cabernet Sauvignon Rect</v>
      </c>
      <c r="J1324" s="2">
        <f ca="1">IFERROR(__xludf.DUMMYFUNCTION("""COMPUTED_VALUE"""),23000)</f>
        <v>23000</v>
      </c>
      <c r="K1324" s="2">
        <f ca="1">IFERROR(__xludf.DUMMYFUNCTION("""COMPUTED_VALUE"""),12500)</f>
        <v>12500</v>
      </c>
      <c r="L1324" s="2" t="str">
        <f ca="1">IFERROR(__xludf.DUMMYFUNCTION("""COMPUTED_VALUE"""),"194ca8c2")</f>
        <v>194ca8c2</v>
      </c>
      <c r="M1324" s="2" t="str">
        <f ca="1">IFERROR(__xludf.DUMMYFUNCTION("""COMPUTED_VALUE"""),"Cabernet Sauvignon Rect")</f>
        <v>Cabernet Sauvignon Rect</v>
      </c>
      <c r="N1324" s="2"/>
      <c r="O1324" s="2" t="str">
        <f ca="1">IFERROR(__xludf.DUMMYFUNCTION("""COMPUTED_VALUE"""),"Fermentando")</f>
        <v>Fermentando</v>
      </c>
      <c r="P1324" s="2" t="str">
        <f ca="1">IFERROR(__xludf.DUMMYFUNCTION("""COMPUTED_VALUE"""),"Rectificado")</f>
        <v>Rectificado</v>
      </c>
      <c r="Q1324" s="2" t="b">
        <f ca="1">IFERROR(__xludf.DUMMYFUNCTION("""COMPUTED_VALUE"""),TRUE)</f>
        <v>1</v>
      </c>
      <c r="R1324" s="2" t="str">
        <f ca="1">IFERROR(__xludf.DUMMYFUNCTION("""COMPUTED_VALUE"""),"Rectificado")</f>
        <v>Rectificado</v>
      </c>
      <c r="S1324" s="2"/>
      <c r="T1324" s="2"/>
      <c r="U1324" s="2" t="str">
        <f ca="1">IFERROR(__xludf.DUMMYFUNCTION("""COMPUTED_VALUE"""),"1")</f>
        <v>1</v>
      </c>
    </row>
    <row r="1325" spans="1:21" x14ac:dyDescent="0.25">
      <c r="A1325" s="2" t="str">
        <f ca="1">IFERROR(__xludf.DUMMYFUNCTION("""COMPUTED_VALUE"""),"3d9ae00b")</f>
        <v>3d9ae00b</v>
      </c>
      <c r="B1325" s="5">
        <f ca="1">IFERROR(__xludf.DUMMYFUNCTION("""COMPUTED_VALUE"""),46091.8010185185)</f>
        <v>46091.801018518498</v>
      </c>
      <c r="C1325" s="2" t="str">
        <f ca="1">IFERROR(__xludf.DUMMYFUNCTION("""COMPUTED_VALUE"""),"59dbc8fe")</f>
        <v>59dbc8fe</v>
      </c>
      <c r="D1325" s="2">
        <f ca="1">IFERROR(__xludf.DUMMYFUNCTION("""COMPUTED_VALUE"""),16)</f>
        <v>16</v>
      </c>
      <c r="E1325" s="2" t="str">
        <f ca="1">IFERROR(__xludf.DUMMYFUNCTION("""COMPUTED_VALUE"""),"Aspirant Ancc")</f>
        <v>Aspirant Ancc</v>
      </c>
      <c r="F1325" s="2">
        <f ca="1">IFERROR(__xludf.DUMMYFUNCTION("""COMPUTED_VALUE"""),11000)</f>
        <v>11000</v>
      </c>
      <c r="G1325" s="2">
        <f ca="1">IFERROR(__xludf.DUMMYFUNCTION("""COMPUTED_VALUE"""),121)</f>
        <v>121</v>
      </c>
      <c r="H1325" s="2" t="str">
        <f ca="1">IFERROR(__xludf.DUMMYFUNCTION("""COMPUTED_VALUE"""),"e00d7591")</f>
        <v>e00d7591</v>
      </c>
      <c r="I1325" s="2" t="str">
        <f ca="1">IFERROR(__xludf.DUMMYFUNCTION("""COMPUTED_VALUE"""),"Aspirant Anccelota PC")</f>
        <v>Aspirant Anccelota PC</v>
      </c>
      <c r="J1325" s="2">
        <f ca="1">IFERROR(__xludf.DUMMYFUNCTION("""COMPUTED_VALUE"""),74800)</f>
        <v>74800</v>
      </c>
      <c r="K1325" s="2">
        <f ca="1">IFERROR(__xludf.DUMMYFUNCTION("""COMPUTED_VALUE"""),85800)</f>
        <v>85800</v>
      </c>
      <c r="L1325" s="2" t="str">
        <f ca="1">IFERROR(__xludf.DUMMYFUNCTION("""COMPUTED_VALUE"""),"b41b9422")</f>
        <v>b41b9422</v>
      </c>
      <c r="M1325" s="2" t="str">
        <f ca="1">IFERROR(__xludf.DUMMYFUNCTION("""COMPUTED_VALUE"""),"Aspirant Anccelota PC")</f>
        <v>Aspirant Anccelota PC</v>
      </c>
      <c r="N1325" s="2"/>
      <c r="O1325" s="2" t="str">
        <f ca="1">IFERROR(__xludf.DUMMYFUNCTION("""COMPUTED_VALUE"""),"Descubada")</f>
        <v>Descubada</v>
      </c>
      <c r="P1325" s="2" t="str">
        <f ca="1">IFERROR(__xludf.DUMMYFUNCTION("""COMPUTED_VALUE"""),"Descubada")</f>
        <v>Descubada</v>
      </c>
      <c r="Q1325" s="2" t="b">
        <f ca="1">IFERROR(__xludf.DUMMYFUNCTION("""COMPUTED_VALUE"""),TRUE)</f>
        <v>1</v>
      </c>
      <c r="R1325" s="2" t="str">
        <f ca="1">IFERROR(__xludf.DUMMYFUNCTION("""COMPUTED_VALUE"""),"Descubada")</f>
        <v>Descubada</v>
      </c>
      <c r="S1325" s="2"/>
      <c r="T1325" s="2"/>
      <c r="U1325" s="2"/>
    </row>
    <row r="1326" spans="1:21" x14ac:dyDescent="0.25">
      <c r="A1326" s="2" t="str">
        <f ca="1">IFERROR(__xludf.DUMMYFUNCTION("""COMPUTED_VALUE"""),"8a55b87f")</f>
        <v>8a55b87f</v>
      </c>
      <c r="B1326" s="5">
        <f ca="1">IFERROR(__xludf.DUMMYFUNCTION("""COMPUTED_VALUE"""),46091.8014814814)</f>
        <v>46091.801481481401</v>
      </c>
      <c r="C1326" s="2" t="str">
        <f ca="1">IFERROR(__xludf.DUMMYFUNCTION("""COMPUTED_VALUE"""),"59dbc8fe")</f>
        <v>59dbc8fe</v>
      </c>
      <c r="D1326" s="2">
        <f ca="1">IFERROR(__xludf.DUMMYFUNCTION("""COMPUTED_VALUE"""),16)</f>
        <v>16</v>
      </c>
      <c r="E1326" s="2" t="str">
        <f ca="1">IFERROR(__xludf.DUMMYFUNCTION("""COMPUTED_VALUE"""),"Aspirant Ancc")</f>
        <v>Aspirant Ancc</v>
      </c>
      <c r="F1326" s="2">
        <f ca="1">IFERROR(__xludf.DUMMYFUNCTION("""COMPUTED_VALUE"""),2000)</f>
        <v>2000</v>
      </c>
      <c r="G1326" s="2">
        <f ca="1">IFERROR(__xludf.DUMMYFUNCTION("""COMPUTED_VALUE"""),120)</f>
        <v>120</v>
      </c>
      <c r="H1326" s="2" t="str">
        <f ca="1">IFERROR(__xludf.DUMMYFUNCTION("""COMPUTED_VALUE"""),"ca20431c")</f>
        <v>ca20431c</v>
      </c>
      <c r="I1326" s="2" t="str">
        <f ca="1">IFERROR(__xludf.DUMMYFUNCTION("""COMPUTED_VALUE"""),"Syrah Anc PC s/Asp 2")</f>
        <v>Syrah Anc PC s/Asp 2</v>
      </c>
      <c r="J1326" s="2">
        <f ca="1">IFERROR(__xludf.DUMMYFUNCTION("""COMPUTED_VALUE"""),86800)</f>
        <v>86800</v>
      </c>
      <c r="K1326" s="2">
        <f ca="1">IFERROR(__xludf.DUMMYFUNCTION("""COMPUTED_VALUE"""),88800)</f>
        <v>88800</v>
      </c>
      <c r="L1326" s="2" t="str">
        <f ca="1">IFERROR(__xludf.DUMMYFUNCTION("""COMPUTED_VALUE"""),"0763aa8e")</f>
        <v>0763aa8e</v>
      </c>
      <c r="M1326" s="2" t="str">
        <f ca="1">IFERROR(__xludf.DUMMYFUNCTION("""COMPUTED_VALUE"""),"Syrah Anc PC s/Asp 2")</f>
        <v>Syrah Anc PC s/Asp 2</v>
      </c>
      <c r="N1326" s="2"/>
      <c r="O1326" s="2" t="str">
        <f ca="1">IFERROR(__xludf.DUMMYFUNCTION("""COMPUTED_VALUE"""),"Descubada")</f>
        <v>Descubada</v>
      </c>
      <c r="P1326" s="2" t="str">
        <f ca="1">IFERROR(__xludf.DUMMYFUNCTION("""COMPUTED_VALUE"""),"Descubada")</f>
        <v>Descubada</v>
      </c>
      <c r="Q1326" s="2" t="b">
        <f ca="1">IFERROR(__xludf.DUMMYFUNCTION("""COMPUTED_VALUE"""),TRUE)</f>
        <v>1</v>
      </c>
      <c r="R1326" s="2" t="str">
        <f ca="1">IFERROR(__xludf.DUMMYFUNCTION("""COMPUTED_VALUE"""),"Descubada")</f>
        <v>Descubada</v>
      </c>
      <c r="S1326" s="2"/>
      <c r="T1326" s="2"/>
      <c r="U1326" s="2"/>
    </row>
    <row r="1327" spans="1:21" x14ac:dyDescent="0.25">
      <c r="A1327" s="2" t="str">
        <f ca="1">IFERROR(__xludf.DUMMYFUNCTION("""COMPUTED_VALUE"""),"fc0f5bc4")</f>
        <v>fc0f5bc4</v>
      </c>
      <c r="B1327" s="5">
        <f ca="1">IFERROR(__xludf.DUMMYFUNCTION("""COMPUTED_VALUE"""),46091.8016435184)</f>
        <v>46091.801643518498</v>
      </c>
      <c r="C1327" s="2" t="str">
        <f ca="1">IFERROR(__xludf.DUMMYFUNCTION("""COMPUTED_VALUE"""),"59dbc8fe")</f>
        <v>59dbc8fe</v>
      </c>
      <c r="D1327" s="2">
        <f ca="1">IFERROR(__xludf.DUMMYFUNCTION("""COMPUTED_VALUE"""),16)</f>
        <v>16</v>
      </c>
      <c r="E1327" s="2" t="str">
        <f ca="1">IFERROR(__xludf.DUMMYFUNCTION("""COMPUTED_VALUE"""),"Aspirant Ancc")</f>
        <v>Aspirant Ancc</v>
      </c>
      <c r="F1327" s="2">
        <f ca="1">IFERROR(__xludf.DUMMYFUNCTION("""COMPUTED_VALUE"""),1000)</f>
        <v>1000</v>
      </c>
      <c r="G1327" s="2">
        <f ca="1">IFERROR(__xludf.DUMMYFUNCTION("""COMPUTED_VALUE"""),71)</f>
        <v>71</v>
      </c>
      <c r="H1327" s="2" t="str">
        <f ca="1">IFERROR(__xludf.DUMMYFUNCTION("""COMPUTED_VALUE"""),"be3ca69c")</f>
        <v>be3ca69c</v>
      </c>
      <c r="I1327" s="2" t="str">
        <f ca="1">IFERROR(__xludf.DUMMYFUNCTION("""COMPUTED_VALUE"""),"Syrah s/Asp 2")</f>
        <v>Syrah s/Asp 2</v>
      </c>
      <c r="J1327" s="2">
        <f ca="1">IFERROR(__xludf.DUMMYFUNCTION("""COMPUTED_VALUE"""),10000)</f>
        <v>10000</v>
      </c>
      <c r="K1327" s="2">
        <f ca="1">IFERROR(__xludf.DUMMYFUNCTION("""COMPUTED_VALUE"""),11000)</f>
        <v>11000</v>
      </c>
      <c r="L1327" s="2" t="str">
        <f ca="1">IFERROR(__xludf.DUMMYFUNCTION("""COMPUTED_VALUE"""),"9cbd78b9")</f>
        <v>9cbd78b9</v>
      </c>
      <c r="M1327" s="2" t="str">
        <f ca="1">IFERROR(__xludf.DUMMYFUNCTION("""COMPUTED_VALUE"""),"Syrah s/Asp 2")</f>
        <v>Syrah s/Asp 2</v>
      </c>
      <c r="N1327" s="2"/>
      <c r="O1327" s="2" t="str">
        <f ca="1">IFERROR(__xludf.DUMMYFUNCTION("""COMPUTED_VALUE"""),"Descubada")</f>
        <v>Descubada</v>
      </c>
      <c r="P1327" s="2" t="str">
        <f ca="1">IFERROR(__xludf.DUMMYFUNCTION("""COMPUTED_VALUE"""),"Descubada")</f>
        <v>Descubada</v>
      </c>
      <c r="Q1327" s="2" t="b">
        <f ca="1">IFERROR(__xludf.DUMMYFUNCTION("""COMPUTED_VALUE"""),TRUE)</f>
        <v>1</v>
      </c>
      <c r="R1327" s="2" t="str">
        <f ca="1">IFERROR(__xludf.DUMMYFUNCTION("""COMPUTED_VALUE"""),"Descubada")</f>
        <v>Descubada</v>
      </c>
      <c r="S1327" s="2"/>
      <c r="T1327" s="2"/>
      <c r="U1327" s="2"/>
    </row>
    <row r="1328" spans="1:21" x14ac:dyDescent="0.25">
      <c r="A1328" s="2" t="str">
        <f ca="1">IFERROR(__xludf.DUMMYFUNCTION("""COMPUTED_VALUE"""),"b07b2927")</f>
        <v>b07b2927</v>
      </c>
      <c r="B1328" s="5">
        <f ca="1">IFERROR(__xludf.DUMMYFUNCTION("""COMPUTED_VALUE"""),46092.7904050925)</f>
        <v>46092.790405092499</v>
      </c>
      <c r="C1328" s="2" t="str">
        <f ca="1">IFERROR(__xludf.DUMMYFUNCTION("""COMPUTED_VALUE"""),"4df62b7e")</f>
        <v>4df62b7e</v>
      </c>
      <c r="D1328" s="2">
        <f ca="1">IFERROR(__xludf.DUMMYFUNCTION("""COMPUTED_VALUE"""),80)</f>
        <v>80</v>
      </c>
      <c r="E1328" s="2" t="str">
        <f ca="1">IFERROR(__xludf.DUMMYFUNCTION("""COMPUTED_VALUE"""),"Chardonnay")</f>
        <v>Chardonnay</v>
      </c>
      <c r="F1328" s="2">
        <f ca="1">IFERROR(__xludf.DUMMYFUNCTION("""COMPUTED_VALUE"""),18300)</f>
        <v>18300</v>
      </c>
      <c r="G1328" s="2">
        <f ca="1">IFERROR(__xludf.DUMMYFUNCTION("""COMPUTED_VALUE"""),49)</f>
        <v>49</v>
      </c>
      <c r="H1328" s="2"/>
      <c r="I1328" s="2"/>
      <c r="J1328" s="2">
        <f ca="1">IFERROR(__xludf.DUMMYFUNCTION("""COMPUTED_VALUE"""),0)</f>
        <v>0</v>
      </c>
      <c r="K1328" s="2">
        <f ca="1">IFERROR(__xludf.DUMMYFUNCTION("""COMPUTED_VALUE"""),18300)</f>
        <v>18300</v>
      </c>
      <c r="L1328" s="2" t="str">
        <f ca="1">IFERROR(__xludf.DUMMYFUNCTION("""COMPUTED_VALUE"""),"3dc51f5a")</f>
        <v>3dc51f5a</v>
      </c>
      <c r="M1328" s="2" t="str">
        <f ca="1">IFERROR(__xludf.DUMMYFUNCTION("""COMPUTED_VALUE"""),"Chardonnay")</f>
        <v>Chardonnay</v>
      </c>
      <c r="N1328" s="2"/>
      <c r="O1328" s="2" t="str">
        <f ca="1">IFERROR(__xludf.DUMMYFUNCTION("""COMPUTED_VALUE"""),"Fermentando")</f>
        <v>Fermentando</v>
      </c>
      <c r="P1328" s="2"/>
      <c r="Q1328" s="2" t="b">
        <f ca="1">IFERROR(__xludf.DUMMYFUNCTION("""COMPUTED_VALUE"""),FALSE)</f>
        <v>0</v>
      </c>
      <c r="R1328" s="2" t="str">
        <f ca="1">IFERROR(__xludf.DUMMYFUNCTION("""COMPUTED_VALUE"""),"Descubada")</f>
        <v>Descubada</v>
      </c>
      <c r="S1328" s="2"/>
      <c r="T1328" s="2"/>
      <c r="U1328" s="2"/>
    </row>
    <row r="1329" spans="1:21" x14ac:dyDescent="0.25">
      <c r="A1329" s="2" t="str">
        <f ca="1">IFERROR(__xludf.DUMMYFUNCTION("""COMPUTED_VALUE"""),"eda0f6ac")</f>
        <v>eda0f6ac</v>
      </c>
      <c r="B1329" s="5">
        <f ca="1">IFERROR(__xludf.DUMMYFUNCTION("""COMPUTED_VALUE"""),46092.7911805555)</f>
        <v>46092.791180555498</v>
      </c>
      <c r="C1329" s="2" t="str">
        <f ca="1">IFERROR(__xludf.DUMMYFUNCTION("""COMPUTED_VALUE"""),"32880d74")</f>
        <v>32880d74</v>
      </c>
      <c r="D1329" s="2">
        <f ca="1">IFERROR(__xludf.DUMMYFUNCTION("""COMPUTED_VALUE"""),65)</f>
        <v>65</v>
      </c>
      <c r="E1329" s="2" t="str">
        <f ca="1">IFERROR(__xludf.DUMMYFUNCTION("""COMPUTED_VALUE"""),"Chardonnay")</f>
        <v>Chardonnay</v>
      </c>
      <c r="F1329" s="2">
        <f ca="1">IFERROR(__xludf.DUMMYFUNCTION("""COMPUTED_VALUE"""),7700)</f>
        <v>7700</v>
      </c>
      <c r="G1329" s="2">
        <f ca="1">IFERROR(__xludf.DUMMYFUNCTION("""COMPUTED_VALUE"""),49)</f>
        <v>49</v>
      </c>
      <c r="H1329" s="2" t="str">
        <f ca="1">IFERROR(__xludf.DUMMYFUNCTION("""COMPUTED_VALUE"""),"3dc51f5a")</f>
        <v>3dc51f5a</v>
      </c>
      <c r="I1329" s="2" t="str">
        <f ca="1">IFERROR(__xludf.DUMMYFUNCTION("""COMPUTED_VALUE"""),"Chardonnay")</f>
        <v>Chardonnay</v>
      </c>
      <c r="J1329" s="2">
        <f ca="1">IFERROR(__xludf.DUMMYFUNCTION("""COMPUTED_VALUE"""),18300)</f>
        <v>18300</v>
      </c>
      <c r="K1329" s="2">
        <f ca="1">IFERROR(__xludf.DUMMYFUNCTION("""COMPUTED_VALUE"""),26000)</f>
        <v>26000</v>
      </c>
      <c r="L1329" s="2" t="str">
        <f ca="1">IFERROR(__xludf.DUMMYFUNCTION("""COMPUTED_VALUE"""),"f2237628")</f>
        <v>f2237628</v>
      </c>
      <c r="M1329" s="2" t="str">
        <f ca="1">IFERROR(__xludf.DUMMYFUNCTION("""COMPUTED_VALUE"""),"Chardonnay")</f>
        <v>Chardonnay</v>
      </c>
      <c r="N1329" s="2"/>
      <c r="O1329" s="2" t="str">
        <f ca="1">IFERROR(__xludf.DUMMYFUNCTION("""COMPUTED_VALUE"""),"Fermentando")</f>
        <v>Fermentando</v>
      </c>
      <c r="P1329" s="2" t="str">
        <f ca="1">IFERROR(__xludf.DUMMYFUNCTION("""COMPUTED_VALUE"""),"Descubada")</f>
        <v>Descubada</v>
      </c>
      <c r="Q1329" s="2" t="b">
        <f ca="1">IFERROR(__xludf.DUMMYFUNCTION("""COMPUTED_VALUE"""),TRUE)</f>
        <v>1</v>
      </c>
      <c r="R1329" s="2" t="str">
        <f ca="1">IFERROR(__xludf.DUMMYFUNCTION("""COMPUTED_VALUE"""),"Descubada")</f>
        <v>Descubada</v>
      </c>
      <c r="S1329" s="2"/>
      <c r="T1329" s="2"/>
      <c r="U1329" s="2"/>
    </row>
    <row r="1330" spans="1:21" x14ac:dyDescent="0.25">
      <c r="A1330" s="2" t="str">
        <f ca="1">IFERROR(__xludf.DUMMYFUNCTION("""COMPUTED_VALUE"""),"101a83cf")</f>
        <v>101a83cf</v>
      </c>
      <c r="B1330" s="5">
        <f ca="1">IFERROR(__xludf.DUMMYFUNCTION("""COMPUTED_VALUE"""),46092.7914004629)</f>
        <v>46092.791400462898</v>
      </c>
      <c r="C1330" s="2" t="str">
        <f ca="1">IFERROR(__xludf.DUMMYFUNCTION("""COMPUTED_VALUE"""),"32880d74")</f>
        <v>32880d74</v>
      </c>
      <c r="D1330" s="2">
        <f ca="1">IFERROR(__xludf.DUMMYFUNCTION("""COMPUTED_VALUE"""),65)</f>
        <v>65</v>
      </c>
      <c r="E1330" s="2" t="str">
        <f ca="1">IFERROR(__xludf.DUMMYFUNCTION("""COMPUTED_VALUE"""),"Chardonnay")</f>
        <v>Chardonnay</v>
      </c>
      <c r="F1330" s="2">
        <f ca="1">IFERROR(__xludf.DUMMYFUNCTION("""COMPUTED_VALUE"""),27000)</f>
        <v>27000</v>
      </c>
      <c r="G1330" s="2">
        <f ca="1">IFERROR(__xludf.DUMMYFUNCTION("""COMPUTED_VALUE"""),52)</f>
        <v>52</v>
      </c>
      <c r="H1330" s="2"/>
      <c r="I1330" s="2"/>
      <c r="J1330" s="2">
        <f ca="1">IFERROR(__xludf.DUMMYFUNCTION("""COMPUTED_VALUE"""),0)</f>
        <v>0</v>
      </c>
      <c r="K1330" s="2">
        <f ca="1">IFERROR(__xludf.DUMMYFUNCTION("""COMPUTED_VALUE"""),27000)</f>
        <v>27000</v>
      </c>
      <c r="L1330" s="2" t="str">
        <f ca="1">IFERROR(__xludf.DUMMYFUNCTION("""COMPUTED_VALUE"""),"057306c8")</f>
        <v>057306c8</v>
      </c>
      <c r="M1330" s="2" t="str">
        <f ca="1">IFERROR(__xludf.DUMMYFUNCTION("""COMPUTED_VALUE"""),"Chardonnay")</f>
        <v>Chardonnay</v>
      </c>
      <c r="N1330" s="2"/>
      <c r="O1330" s="2" t="str">
        <f ca="1">IFERROR(__xludf.DUMMYFUNCTION("""COMPUTED_VALUE"""),"Fermentando")</f>
        <v>Fermentando</v>
      </c>
      <c r="P1330" s="2"/>
      <c r="Q1330" s="2" t="b">
        <f ca="1">IFERROR(__xludf.DUMMYFUNCTION("""COMPUTED_VALUE"""),FALSE)</f>
        <v>0</v>
      </c>
      <c r="R1330" s="2" t="str">
        <f ca="1">IFERROR(__xludf.DUMMYFUNCTION("""COMPUTED_VALUE"""),"Descubada")</f>
        <v>Descubada</v>
      </c>
      <c r="S1330" s="2"/>
      <c r="T1330" s="2"/>
      <c r="U1330" s="2"/>
    </row>
    <row r="1331" spans="1:21" x14ac:dyDescent="0.25">
      <c r="A1331" s="2" t="str">
        <f ca="1">IFERROR(__xludf.DUMMYFUNCTION("""COMPUTED_VALUE"""),"14e0e83c")</f>
        <v>14e0e83c</v>
      </c>
      <c r="B1331" s="5">
        <f ca="1">IFERROR(__xludf.DUMMYFUNCTION("""COMPUTED_VALUE"""),46092.7916550925)</f>
        <v>46092.7916550925</v>
      </c>
      <c r="C1331" s="2" t="str">
        <f ca="1">IFERROR(__xludf.DUMMYFUNCTION("""COMPUTED_VALUE"""),"32880d74")</f>
        <v>32880d74</v>
      </c>
      <c r="D1331" s="2">
        <f ca="1">IFERROR(__xludf.DUMMYFUNCTION("""COMPUTED_VALUE"""),65)</f>
        <v>65</v>
      </c>
      <c r="E1331" s="2" t="str">
        <f ca="1">IFERROR(__xludf.DUMMYFUNCTION("""COMPUTED_VALUE"""),"Chardonnay")</f>
        <v>Chardonnay</v>
      </c>
      <c r="F1331" s="2">
        <f ca="1">IFERROR(__xludf.DUMMYFUNCTION("""COMPUTED_VALUE"""),800)</f>
        <v>800</v>
      </c>
      <c r="G1331" s="2">
        <f ca="1">IFERROR(__xludf.DUMMYFUNCTION("""COMPUTED_VALUE"""),51)</f>
        <v>51</v>
      </c>
      <c r="H1331" s="2"/>
      <c r="I1331" s="2"/>
      <c r="J1331" s="2">
        <f ca="1">IFERROR(__xludf.DUMMYFUNCTION("""COMPUTED_VALUE"""),0)</f>
        <v>0</v>
      </c>
      <c r="K1331" s="2">
        <f ca="1">IFERROR(__xludf.DUMMYFUNCTION("""COMPUTED_VALUE"""),800)</f>
        <v>800</v>
      </c>
      <c r="L1331" s="2" t="str">
        <f ca="1">IFERROR(__xludf.DUMMYFUNCTION("""COMPUTED_VALUE"""),"67f965b5")</f>
        <v>67f965b5</v>
      </c>
      <c r="M1331" s="2" t="str">
        <f ca="1">IFERROR(__xludf.DUMMYFUNCTION("""COMPUTED_VALUE"""),"Chardonnay")</f>
        <v>Chardonnay</v>
      </c>
      <c r="N1331" s="2"/>
      <c r="O1331" s="2" t="str">
        <f ca="1">IFERROR(__xludf.DUMMYFUNCTION("""COMPUTED_VALUE"""),"Fermentando")</f>
        <v>Fermentando</v>
      </c>
      <c r="P1331" s="2"/>
      <c r="Q1331" s="2" t="b">
        <f ca="1">IFERROR(__xludf.DUMMYFUNCTION("""COMPUTED_VALUE"""),FALSE)</f>
        <v>0</v>
      </c>
      <c r="R1331" s="2" t="str">
        <f ca="1">IFERROR(__xludf.DUMMYFUNCTION("""COMPUTED_VALUE"""),"Descubada")</f>
        <v>Descubada</v>
      </c>
      <c r="S1331" s="2"/>
      <c r="T1331" s="2"/>
      <c r="U1331" s="2"/>
    </row>
    <row r="1332" spans="1:21" x14ac:dyDescent="0.25">
      <c r="A1332" s="2" t="str">
        <f ca="1">IFERROR(__xludf.DUMMYFUNCTION("""COMPUTED_VALUE"""),"a639b813")</f>
        <v>a639b813</v>
      </c>
      <c r="B1332" s="5">
        <f ca="1">IFERROR(__xludf.DUMMYFUNCTION("""COMPUTED_VALUE"""),46092.7953819444)</f>
        <v>46092.795381944401</v>
      </c>
      <c r="C1332" s="2" t="str">
        <f ca="1">IFERROR(__xludf.DUMMYFUNCTION("""COMPUTED_VALUE"""),"1e90a5fc")</f>
        <v>1e90a5fc</v>
      </c>
      <c r="D1332" s="2">
        <f ca="1">IFERROR(__xludf.DUMMYFUNCTION("""COMPUTED_VALUE"""),86)</f>
        <v>86</v>
      </c>
      <c r="E1332" s="2" t="str">
        <f ca="1">IFERROR(__xludf.DUMMYFUNCTION("""COMPUTED_VALUE"""),"Syrah Anc s/Asp 2")</f>
        <v>Syrah Anc s/Asp 2</v>
      </c>
      <c r="F1332" s="2">
        <f ca="1">IFERROR(__xludf.DUMMYFUNCTION("""COMPUTED_VALUE"""),7100)</f>
        <v>7100</v>
      </c>
      <c r="G1332" s="2">
        <f ca="1">IFERROR(__xludf.DUMMYFUNCTION("""COMPUTED_VALUE"""),41)</f>
        <v>41</v>
      </c>
      <c r="H1332" s="2" t="str">
        <f ca="1">IFERROR(__xludf.DUMMYFUNCTION("""COMPUTED_VALUE"""),"37b886cf")</f>
        <v>37b886cf</v>
      </c>
      <c r="I1332" s="2" t="str">
        <f ca="1">IFERROR(__xludf.DUMMYFUNCTION("""COMPUTED_VALUE"""),"Malbec Mer s/Asp 3")</f>
        <v>Malbec Mer s/Asp 3</v>
      </c>
      <c r="J1332" s="2">
        <f ca="1">IFERROR(__xludf.DUMMYFUNCTION("""COMPUTED_VALUE"""),28000)</f>
        <v>28000</v>
      </c>
      <c r="K1332" s="2">
        <f ca="1">IFERROR(__xludf.DUMMYFUNCTION("""COMPUTED_VALUE"""),35100)</f>
        <v>35100</v>
      </c>
      <c r="L1332" s="2" t="str">
        <f ca="1">IFERROR(__xludf.DUMMYFUNCTION("""COMPUTED_VALUE"""),"ee47bf75")</f>
        <v>ee47bf75</v>
      </c>
      <c r="M1332" s="2" t="str">
        <f ca="1">IFERROR(__xludf.DUMMYFUNCTION("""COMPUTED_VALUE"""),"Malbec Mer s/Asp 3")</f>
        <v>Malbec Mer s/Asp 3</v>
      </c>
      <c r="N1332" s="2"/>
      <c r="O1332" s="2" t="str">
        <f ca="1">IFERROR(__xludf.DUMMYFUNCTION("""COMPUTED_VALUE"""),"Fermentando")</f>
        <v>Fermentando</v>
      </c>
      <c r="P1332" s="2" t="str">
        <f ca="1">IFERROR(__xludf.DUMMYFUNCTION("""COMPUTED_VALUE"""),"Descubada")</f>
        <v>Descubada</v>
      </c>
      <c r="Q1332" s="2" t="b">
        <f ca="1">IFERROR(__xludf.DUMMYFUNCTION("""COMPUTED_VALUE"""),TRUE)</f>
        <v>1</v>
      </c>
      <c r="R1332" s="2" t="str">
        <f ca="1">IFERROR(__xludf.DUMMYFUNCTION("""COMPUTED_VALUE"""),"Descubada")</f>
        <v>Descubada</v>
      </c>
      <c r="S1332" s="2"/>
      <c r="T1332" s="2"/>
      <c r="U1332" s="2"/>
    </row>
    <row r="1333" spans="1:21" x14ac:dyDescent="0.25">
      <c r="A1333" s="2" t="str">
        <f ca="1">IFERROR(__xludf.DUMMYFUNCTION("""COMPUTED_VALUE"""),"fbbc6ed8")</f>
        <v>fbbc6ed8</v>
      </c>
      <c r="B1333" s="5">
        <f ca="1">IFERROR(__xludf.DUMMYFUNCTION("""COMPUTED_VALUE"""),46092.8022222222)</f>
        <v>46092.802222222199</v>
      </c>
      <c r="C1333" s="2" t="str">
        <f ca="1">IFERROR(__xludf.DUMMYFUNCTION("""COMPUTED_VALUE"""),"1e90a5fc")</f>
        <v>1e90a5fc</v>
      </c>
      <c r="D1333" s="2">
        <f ca="1">IFERROR(__xludf.DUMMYFUNCTION("""COMPUTED_VALUE"""),86)</f>
        <v>86</v>
      </c>
      <c r="E1333" s="2" t="str">
        <f ca="1">IFERROR(__xludf.DUMMYFUNCTION("""COMPUTED_VALUE"""),"Syrah Anc s/Asp 2")</f>
        <v>Syrah Anc s/Asp 2</v>
      </c>
      <c r="F1333" s="2">
        <f ca="1">IFERROR(__xludf.DUMMYFUNCTION("""COMPUTED_VALUE"""),31000)</f>
        <v>31000</v>
      </c>
      <c r="G1333" s="2">
        <f ca="1">IFERROR(__xludf.DUMMYFUNCTION("""COMPUTED_VALUE"""),102)</f>
        <v>102</v>
      </c>
      <c r="H1333" s="2"/>
      <c r="I1333" s="2"/>
      <c r="J1333" s="2">
        <f ca="1">IFERROR(__xludf.DUMMYFUNCTION("""COMPUTED_VALUE"""),0)</f>
        <v>0</v>
      </c>
      <c r="K1333" s="2">
        <f ca="1">IFERROR(__xludf.DUMMYFUNCTION("""COMPUTED_VALUE"""),31000)</f>
        <v>31000</v>
      </c>
      <c r="L1333" s="2" t="str">
        <f ca="1">IFERROR(__xludf.DUMMYFUNCTION("""COMPUTED_VALUE"""),"15c1aa14")</f>
        <v>15c1aa14</v>
      </c>
      <c r="M1333" s="2" t="str">
        <f ca="1">IFERROR(__xludf.DUMMYFUNCTION("""COMPUTED_VALUE"""),"Syrah Anc s/Asp 2")</f>
        <v>Syrah Anc s/Asp 2</v>
      </c>
      <c r="N1333" s="2"/>
      <c r="O1333" s="2" t="str">
        <f ca="1">IFERROR(__xludf.DUMMYFUNCTION("""COMPUTED_VALUE"""),"Fermentando")</f>
        <v>Fermentando</v>
      </c>
      <c r="P1333" s="2"/>
      <c r="Q1333" s="2" t="b">
        <f ca="1">IFERROR(__xludf.DUMMYFUNCTION("""COMPUTED_VALUE"""),FALSE)</f>
        <v>0</v>
      </c>
      <c r="R1333" s="2" t="str">
        <f ca="1">IFERROR(__xludf.DUMMYFUNCTION("""COMPUTED_VALUE"""),"Descubada")</f>
        <v>Descubada</v>
      </c>
      <c r="S1333" s="2"/>
      <c r="T1333" s="2"/>
      <c r="U1333" s="2"/>
    </row>
    <row r="1334" spans="1:21" x14ac:dyDescent="0.25">
      <c r="A1334" s="2" t="str">
        <f ca="1">IFERROR(__xludf.DUMMYFUNCTION("""COMPUTED_VALUE"""),"5ea8b988")</f>
        <v>5ea8b988</v>
      </c>
      <c r="B1334" s="5">
        <f ca="1">IFERROR(__xludf.DUMMYFUNCTION("""COMPUTED_VALUE"""),46092.8041087963)</f>
        <v>46092.804108796299</v>
      </c>
      <c r="C1334" s="2" t="str">
        <f ca="1">IFERROR(__xludf.DUMMYFUNCTION("""COMPUTED_VALUE"""),"1e90a5fc")</f>
        <v>1e90a5fc</v>
      </c>
      <c r="D1334" s="2">
        <f ca="1">IFERROR(__xludf.DUMMYFUNCTION("""COMPUTED_VALUE"""),86)</f>
        <v>86</v>
      </c>
      <c r="E1334" s="2" t="str">
        <f ca="1">IFERROR(__xludf.DUMMYFUNCTION("""COMPUTED_VALUE"""),"Syrah Anc s/Asp 2")</f>
        <v>Syrah Anc s/Asp 2</v>
      </c>
      <c r="F1334" s="2">
        <f ca="1">IFERROR(__xludf.DUMMYFUNCTION("""COMPUTED_VALUE"""),3000)</f>
        <v>3000</v>
      </c>
      <c r="G1334" s="2">
        <f ca="1">IFERROR(__xludf.DUMMYFUNCTION("""COMPUTED_VALUE"""),103)</f>
        <v>103</v>
      </c>
      <c r="H1334" s="2"/>
      <c r="I1334" s="2"/>
      <c r="J1334" s="2">
        <f ca="1">IFERROR(__xludf.DUMMYFUNCTION("""COMPUTED_VALUE"""),0)</f>
        <v>0</v>
      </c>
      <c r="K1334" s="2">
        <f ca="1">IFERROR(__xludf.DUMMYFUNCTION("""COMPUTED_VALUE"""),3000)</f>
        <v>3000</v>
      </c>
      <c r="L1334" s="2" t="str">
        <f ca="1">IFERROR(__xludf.DUMMYFUNCTION("""COMPUTED_VALUE"""),"81b2ba61")</f>
        <v>81b2ba61</v>
      </c>
      <c r="M1334" s="2" t="str">
        <f ca="1">IFERROR(__xludf.DUMMYFUNCTION("""COMPUTED_VALUE"""),"Syrah Anc s/Asp 2")</f>
        <v>Syrah Anc s/Asp 2</v>
      </c>
      <c r="N1334" s="2"/>
      <c r="O1334" s="2" t="str">
        <f ca="1">IFERROR(__xludf.DUMMYFUNCTION("""COMPUTED_VALUE"""),"Fermentando")</f>
        <v>Fermentando</v>
      </c>
      <c r="P1334" s="2"/>
      <c r="Q1334" s="2" t="b">
        <f ca="1">IFERROR(__xludf.DUMMYFUNCTION("""COMPUTED_VALUE"""),FALSE)</f>
        <v>0</v>
      </c>
      <c r="R1334" s="2" t="str">
        <f ca="1">IFERROR(__xludf.DUMMYFUNCTION("""COMPUTED_VALUE"""),"Descubada")</f>
        <v>Descubada</v>
      </c>
      <c r="S1334" s="2"/>
      <c r="T1334" s="2"/>
      <c r="U1334" s="2"/>
    </row>
    <row r="1335" spans="1:21" x14ac:dyDescent="0.25">
      <c r="A1335" s="2" t="str">
        <f ca="1">IFERROR(__xludf.DUMMYFUNCTION("""COMPUTED_VALUE"""),"177c3cb9")</f>
        <v>177c3cb9</v>
      </c>
      <c r="B1335" s="5">
        <f ca="1">IFERROR(__xludf.DUMMYFUNCTION("""COMPUTED_VALUE"""),46092.8050578703)</f>
        <v>46092.805057870297</v>
      </c>
      <c r="C1335" s="2" t="str">
        <f ca="1">IFERROR(__xludf.DUMMYFUNCTION("""COMPUTED_VALUE"""),"d9c4d0aa")</f>
        <v>d9c4d0aa</v>
      </c>
      <c r="D1335" s="2">
        <f ca="1">IFERROR(__xludf.DUMMYFUNCTION("""COMPUTED_VALUE"""),82)</f>
        <v>82</v>
      </c>
      <c r="E1335" s="2" t="str">
        <f ca="1">IFERROR(__xludf.DUMMYFUNCTION("""COMPUTED_VALUE"""),"Syrah s/Asp")</f>
        <v>Syrah s/Asp</v>
      </c>
      <c r="F1335" s="2">
        <f ca="1">IFERROR(__xludf.DUMMYFUNCTION("""COMPUTED_VALUE"""),17000)</f>
        <v>17000</v>
      </c>
      <c r="G1335" s="2">
        <f ca="1">IFERROR(__xludf.DUMMYFUNCTION("""COMPUTED_VALUE"""),103)</f>
        <v>103</v>
      </c>
      <c r="H1335" s="2" t="str">
        <f ca="1">IFERROR(__xludf.DUMMYFUNCTION("""COMPUTED_VALUE"""),"81b2ba61")</f>
        <v>81b2ba61</v>
      </c>
      <c r="I1335" s="2" t="str">
        <f ca="1">IFERROR(__xludf.DUMMYFUNCTION("""COMPUTED_VALUE"""),"Syrah Anc s/Asp 2")</f>
        <v>Syrah Anc s/Asp 2</v>
      </c>
      <c r="J1335" s="2">
        <f ca="1">IFERROR(__xludf.DUMMYFUNCTION("""COMPUTED_VALUE"""),3000)</f>
        <v>3000</v>
      </c>
      <c r="K1335" s="2">
        <f ca="1">IFERROR(__xludf.DUMMYFUNCTION("""COMPUTED_VALUE"""),20000)</f>
        <v>20000</v>
      </c>
      <c r="L1335" s="2" t="str">
        <f ca="1">IFERROR(__xludf.DUMMYFUNCTION("""COMPUTED_VALUE"""),"5e27b625")</f>
        <v>5e27b625</v>
      </c>
      <c r="M1335" s="2" t="str">
        <f ca="1">IFERROR(__xludf.DUMMYFUNCTION("""COMPUTED_VALUE"""),"Syrah Anc s/Asp 2")</f>
        <v>Syrah Anc s/Asp 2</v>
      </c>
      <c r="N1335" s="2"/>
      <c r="O1335" s="2" t="str">
        <f ca="1">IFERROR(__xludf.DUMMYFUNCTION("""COMPUTED_VALUE"""),"Fermentando")</f>
        <v>Fermentando</v>
      </c>
      <c r="P1335" s="2" t="str">
        <f ca="1">IFERROR(__xludf.DUMMYFUNCTION("""COMPUTED_VALUE"""),"Descubada")</f>
        <v>Descubada</v>
      </c>
      <c r="Q1335" s="2" t="b">
        <f ca="1">IFERROR(__xludf.DUMMYFUNCTION("""COMPUTED_VALUE"""),TRUE)</f>
        <v>1</v>
      </c>
      <c r="R1335" s="2" t="str">
        <f ca="1">IFERROR(__xludf.DUMMYFUNCTION("""COMPUTED_VALUE"""),"Descubada")</f>
        <v>Descubada</v>
      </c>
      <c r="S1335" s="2"/>
      <c r="T1335" s="2"/>
      <c r="U1335" s="2"/>
    </row>
    <row r="1336" spans="1:21" x14ac:dyDescent="0.25">
      <c r="A1336" s="2" t="str">
        <f ca="1">IFERROR(__xludf.DUMMYFUNCTION("""COMPUTED_VALUE"""),"9ae34a95")</f>
        <v>9ae34a95</v>
      </c>
      <c r="B1336" s="5">
        <f ca="1">IFERROR(__xludf.DUMMYFUNCTION("""COMPUTED_VALUE"""),46092.8080902777)</f>
        <v>46092.8080902777</v>
      </c>
      <c r="C1336" s="2" t="str">
        <f ca="1">IFERROR(__xludf.DUMMYFUNCTION("""COMPUTED_VALUE"""),"15c1aa14")</f>
        <v>15c1aa14</v>
      </c>
      <c r="D1336" s="2">
        <f ca="1">IFERROR(__xludf.DUMMYFUNCTION("""COMPUTED_VALUE"""),102)</f>
        <v>102</v>
      </c>
      <c r="E1336" s="2" t="str">
        <f ca="1">IFERROR(__xludf.DUMMYFUNCTION("""COMPUTED_VALUE"""),"Syrah Anc s/Asp 2")</f>
        <v>Syrah Anc s/Asp 2</v>
      </c>
      <c r="F1336" s="2">
        <f ca="1">IFERROR(__xludf.DUMMYFUNCTION("""COMPUTED_VALUE"""),3000)</f>
        <v>3000</v>
      </c>
      <c r="G1336" s="2">
        <f ca="1">IFERROR(__xludf.DUMMYFUNCTION("""COMPUTED_VALUE"""),103)</f>
        <v>103</v>
      </c>
      <c r="H1336" s="2" t="str">
        <f ca="1">IFERROR(__xludf.DUMMYFUNCTION("""COMPUTED_VALUE"""),"5e27b625")</f>
        <v>5e27b625</v>
      </c>
      <c r="I1336" s="2" t="str">
        <f ca="1">IFERROR(__xludf.DUMMYFUNCTION("""COMPUTED_VALUE"""),"Syrah Anc s/Asp 2")</f>
        <v>Syrah Anc s/Asp 2</v>
      </c>
      <c r="J1336" s="2">
        <f ca="1">IFERROR(__xludf.DUMMYFUNCTION("""COMPUTED_VALUE"""),20000)</f>
        <v>20000</v>
      </c>
      <c r="K1336" s="2">
        <f ca="1">IFERROR(__xludf.DUMMYFUNCTION("""COMPUTED_VALUE"""),23000)</f>
        <v>23000</v>
      </c>
      <c r="L1336" s="2" t="str">
        <f ca="1">IFERROR(__xludf.DUMMYFUNCTION("""COMPUTED_VALUE"""),"85dfc886")</f>
        <v>85dfc886</v>
      </c>
      <c r="M1336" s="2" t="str">
        <f ca="1">IFERROR(__xludf.DUMMYFUNCTION("""COMPUTED_VALUE"""),"Syrah Anc s/Asp 2")</f>
        <v>Syrah Anc s/Asp 2</v>
      </c>
      <c r="N1336" s="2"/>
      <c r="O1336" s="2" t="str">
        <f ca="1">IFERROR(__xludf.DUMMYFUNCTION("""COMPUTED_VALUE"""),"Descubada")</f>
        <v>Descubada</v>
      </c>
      <c r="P1336" s="2" t="str">
        <f ca="1">IFERROR(__xludf.DUMMYFUNCTION("""COMPUTED_VALUE"""),"Descubada")</f>
        <v>Descubada</v>
      </c>
      <c r="Q1336" s="2" t="b">
        <f ca="1">IFERROR(__xludf.DUMMYFUNCTION("""COMPUTED_VALUE"""),TRUE)</f>
        <v>1</v>
      </c>
      <c r="R1336" s="2" t="str">
        <f ca="1">IFERROR(__xludf.DUMMYFUNCTION("""COMPUTED_VALUE"""),"Descubada")</f>
        <v>Descubada</v>
      </c>
      <c r="S1336" s="2"/>
      <c r="T1336" s="2"/>
      <c r="U1336" s="2"/>
    </row>
    <row r="1337" spans="1:21" x14ac:dyDescent="0.25">
      <c r="A1337" s="2" t="str">
        <f ca="1">IFERROR(__xludf.DUMMYFUNCTION("""COMPUTED_VALUE"""),"f6ea025c")</f>
        <v>f6ea025c</v>
      </c>
      <c r="B1337" s="5">
        <f ca="1">IFERROR(__xludf.DUMMYFUNCTION("""COMPUTED_VALUE"""),46092.8085532407)</f>
        <v>46092.808553240699</v>
      </c>
      <c r="C1337" s="2" t="str">
        <f ca="1">IFERROR(__xludf.DUMMYFUNCTION("""COMPUTED_VALUE"""),"1e90a5fc")</f>
        <v>1e90a5fc</v>
      </c>
      <c r="D1337" s="2">
        <f ca="1">IFERROR(__xludf.DUMMYFUNCTION("""COMPUTED_VALUE"""),86)</f>
        <v>86</v>
      </c>
      <c r="E1337" s="2" t="str">
        <f ca="1">IFERROR(__xludf.DUMMYFUNCTION("""COMPUTED_VALUE"""),"Syrah Anc s/Asp 2")</f>
        <v>Syrah Anc s/Asp 2</v>
      </c>
      <c r="F1337" s="2">
        <f ca="1">IFERROR(__xludf.DUMMYFUNCTION("""COMPUTED_VALUE"""),5000)</f>
        <v>5000</v>
      </c>
      <c r="G1337" s="2">
        <f ca="1">IFERROR(__xludf.DUMMYFUNCTION("""COMPUTED_VALUE"""),103)</f>
        <v>103</v>
      </c>
      <c r="H1337" s="2" t="str">
        <f ca="1">IFERROR(__xludf.DUMMYFUNCTION("""COMPUTED_VALUE"""),"85dfc886")</f>
        <v>85dfc886</v>
      </c>
      <c r="I1337" s="2" t="str">
        <f ca="1">IFERROR(__xludf.DUMMYFUNCTION("""COMPUTED_VALUE"""),"Syrah Anc s/Asp 2")</f>
        <v>Syrah Anc s/Asp 2</v>
      </c>
      <c r="J1337" s="2">
        <f ca="1">IFERROR(__xludf.DUMMYFUNCTION("""COMPUTED_VALUE"""),23000)</f>
        <v>23000</v>
      </c>
      <c r="K1337" s="2">
        <f ca="1">IFERROR(__xludf.DUMMYFUNCTION("""COMPUTED_VALUE"""),28000)</f>
        <v>28000</v>
      </c>
      <c r="L1337" s="2" t="str">
        <f ca="1">IFERROR(__xludf.DUMMYFUNCTION("""COMPUTED_VALUE"""),"a8f01ef9")</f>
        <v>a8f01ef9</v>
      </c>
      <c r="M1337" s="2" t="str">
        <f ca="1">IFERROR(__xludf.DUMMYFUNCTION("""COMPUTED_VALUE"""),"Syrah Anc s/Asp 2")</f>
        <v>Syrah Anc s/Asp 2</v>
      </c>
      <c r="N1337" s="2"/>
      <c r="O1337" s="2" t="str">
        <f ca="1">IFERROR(__xludf.DUMMYFUNCTION("""COMPUTED_VALUE"""),"Fermentando")</f>
        <v>Fermentando</v>
      </c>
      <c r="P1337" s="2" t="str">
        <f ca="1">IFERROR(__xludf.DUMMYFUNCTION("""COMPUTED_VALUE"""),"Descubada")</f>
        <v>Descubada</v>
      </c>
      <c r="Q1337" s="2" t="b">
        <f ca="1">IFERROR(__xludf.DUMMYFUNCTION("""COMPUTED_VALUE"""),TRUE)</f>
        <v>1</v>
      </c>
      <c r="R1337" s="2" t="str">
        <f ca="1">IFERROR(__xludf.DUMMYFUNCTION("""COMPUTED_VALUE"""),"Descubada")</f>
        <v>Descubada</v>
      </c>
      <c r="S1337" s="2"/>
      <c r="T1337" s="2"/>
      <c r="U1337" s="2"/>
    </row>
    <row r="1338" spans="1:21" x14ac:dyDescent="0.25">
      <c r="A1338" s="2" t="str">
        <f ca="1">IFERROR(__xludf.DUMMYFUNCTION("""COMPUTED_VALUE"""),"d44591c3")</f>
        <v>d44591c3</v>
      </c>
      <c r="B1338" s="5">
        <f ca="1">IFERROR(__xludf.DUMMYFUNCTION("""COMPUTED_VALUE"""),46092.8087962962)</f>
        <v>46092.808796296202</v>
      </c>
      <c r="C1338" s="2" t="str">
        <f ca="1">IFERROR(__xludf.DUMMYFUNCTION("""COMPUTED_VALUE"""),"b0ae0a62")</f>
        <v>b0ae0a62</v>
      </c>
      <c r="D1338" s="2">
        <f ca="1">IFERROR(__xludf.DUMMYFUNCTION("""COMPUTED_VALUE"""),85)</f>
        <v>85</v>
      </c>
      <c r="E1338" s="2" t="str">
        <f ca="1">IFERROR(__xludf.DUMMYFUNCTION("""COMPUTED_VALUE"""),"Syrah Malbec")</f>
        <v>Syrah Malbec</v>
      </c>
      <c r="F1338" s="2">
        <f ca="1">IFERROR(__xludf.DUMMYFUNCTION("""COMPUTED_VALUE"""),48000)</f>
        <v>48000</v>
      </c>
      <c r="G1338" s="2">
        <f ca="1">IFERROR(__xludf.DUMMYFUNCTION("""COMPUTED_VALUE"""),86)</f>
        <v>86</v>
      </c>
      <c r="H1338" s="2" t="str">
        <f ca="1">IFERROR(__xludf.DUMMYFUNCTION("""COMPUTED_VALUE"""),"1e90a5fc")</f>
        <v>1e90a5fc</v>
      </c>
      <c r="I1338" s="2" t="str">
        <f ca="1">IFERROR(__xludf.DUMMYFUNCTION("""COMPUTED_VALUE"""),"Syrah Anc s/Asp 2")</f>
        <v>Syrah Anc s/Asp 2</v>
      </c>
      <c r="J1338" s="2">
        <f ca="1">IFERROR(__xludf.DUMMYFUNCTION("""COMPUTED_VALUE"""),13900)</f>
        <v>13900</v>
      </c>
      <c r="K1338" s="2">
        <f ca="1">IFERROR(__xludf.DUMMYFUNCTION("""COMPUTED_VALUE"""),61900)</f>
        <v>61900</v>
      </c>
      <c r="L1338" s="2" t="str">
        <f ca="1">IFERROR(__xludf.DUMMYFUNCTION("""COMPUTED_VALUE"""),"d08aca8e")</f>
        <v>d08aca8e</v>
      </c>
      <c r="M1338" s="2" t="str">
        <f ca="1">IFERROR(__xludf.DUMMYFUNCTION("""COMPUTED_VALUE"""),"Syrah Malbec s/Asp 3")</f>
        <v>Syrah Malbec s/Asp 3</v>
      </c>
      <c r="N1338" s="2"/>
      <c r="O1338" s="2" t="str">
        <f ca="1">IFERROR(__xludf.DUMMYFUNCTION("""COMPUTED_VALUE"""),"Fermentando")</f>
        <v>Fermentando</v>
      </c>
      <c r="P1338" s="2" t="str">
        <f ca="1">IFERROR(__xludf.DUMMYFUNCTION("""COMPUTED_VALUE"""),"Fermentando")</f>
        <v>Fermentando</v>
      </c>
      <c r="Q1338" s="2" t="b">
        <f ca="1">IFERROR(__xludf.DUMMYFUNCTION("""COMPUTED_VALUE"""),FALSE)</f>
        <v>0</v>
      </c>
      <c r="R1338" s="2" t="str">
        <f ca="1">IFERROR(__xludf.DUMMYFUNCTION("""COMPUTED_VALUE"""),"Fermentando")</f>
        <v>Fermentando</v>
      </c>
      <c r="S1338" s="2"/>
      <c r="T1338" s="2"/>
      <c r="U1338" s="2"/>
    </row>
    <row r="1339" spans="1:21" x14ac:dyDescent="0.25">
      <c r="A1339" s="2" t="str">
        <f ca="1">IFERROR(__xludf.DUMMYFUNCTION("""COMPUTED_VALUE"""),"5c656142")</f>
        <v>5c656142</v>
      </c>
      <c r="B1339" s="5">
        <f ca="1">IFERROR(__xludf.DUMMYFUNCTION("""COMPUTED_VALUE"""),46092.8099884259)</f>
        <v>46092.809988425899</v>
      </c>
      <c r="C1339" s="2" t="str">
        <f ca="1">IFERROR(__xludf.DUMMYFUNCTION("""COMPUTED_VALUE"""),"b0ae0a62")</f>
        <v>b0ae0a62</v>
      </c>
      <c r="D1339" s="2">
        <f ca="1">IFERROR(__xludf.DUMMYFUNCTION("""COMPUTED_VALUE"""),85)</f>
        <v>85</v>
      </c>
      <c r="E1339" s="2" t="str">
        <f ca="1">IFERROR(__xludf.DUMMYFUNCTION("""COMPUTED_VALUE"""),"Syrah Malbec")</f>
        <v>Syrah Malbec</v>
      </c>
      <c r="F1339" s="2">
        <f ca="1">IFERROR(__xludf.DUMMYFUNCTION("""COMPUTED_VALUE"""),15500)</f>
        <v>15500</v>
      </c>
      <c r="G1339" s="2">
        <f ca="1">IFERROR(__xludf.DUMMYFUNCTION("""COMPUTED_VALUE"""),82)</f>
        <v>82</v>
      </c>
      <c r="H1339" s="2" t="str">
        <f ca="1">IFERROR(__xludf.DUMMYFUNCTION("""COMPUTED_VALUE"""),"d9c4d0aa")</f>
        <v>d9c4d0aa</v>
      </c>
      <c r="I1339" s="2" t="str">
        <f ca="1">IFERROR(__xludf.DUMMYFUNCTION("""COMPUTED_VALUE"""),"Syrah s/Asp")</f>
        <v>Syrah s/Asp</v>
      </c>
      <c r="J1339" s="2">
        <f ca="1">IFERROR(__xludf.DUMMYFUNCTION("""COMPUTED_VALUE"""),19750)</f>
        <v>19750</v>
      </c>
      <c r="K1339" s="2">
        <f ca="1">IFERROR(__xludf.DUMMYFUNCTION("""COMPUTED_VALUE"""),35250)</f>
        <v>35250</v>
      </c>
      <c r="L1339" s="2" t="str">
        <f ca="1">IFERROR(__xludf.DUMMYFUNCTION("""COMPUTED_VALUE"""),"6a072a2b")</f>
        <v>6a072a2b</v>
      </c>
      <c r="M1339" s="2" t="str">
        <f ca="1">IFERROR(__xludf.DUMMYFUNCTION("""COMPUTED_VALUE"""),"Syrah Malbec s/Asp 2")</f>
        <v>Syrah Malbec s/Asp 2</v>
      </c>
      <c r="N1339" s="2"/>
      <c r="O1339" s="2" t="str">
        <f ca="1">IFERROR(__xludf.DUMMYFUNCTION("""COMPUTED_VALUE"""),"Fermentando")</f>
        <v>Fermentando</v>
      </c>
      <c r="P1339" s="2" t="str">
        <f ca="1">IFERROR(__xludf.DUMMYFUNCTION("""COMPUTED_VALUE"""),"Fermentando")</f>
        <v>Fermentando</v>
      </c>
      <c r="Q1339" s="2" t="b">
        <f ca="1">IFERROR(__xludf.DUMMYFUNCTION("""COMPUTED_VALUE"""),FALSE)</f>
        <v>0</v>
      </c>
      <c r="R1339" s="2" t="str">
        <f ca="1">IFERROR(__xludf.DUMMYFUNCTION("""COMPUTED_VALUE"""),"Fermentando")</f>
        <v>Fermentando</v>
      </c>
      <c r="S1339" s="2"/>
      <c r="T1339" s="2"/>
      <c r="U1339" s="2"/>
    </row>
    <row r="1340" spans="1:21" x14ac:dyDescent="0.25">
      <c r="A1340" s="2" t="str">
        <f ca="1">IFERROR(__xludf.DUMMYFUNCTION("""COMPUTED_VALUE"""),"285727b6")</f>
        <v>285727b6</v>
      </c>
      <c r="B1340" s="5">
        <f ca="1">IFERROR(__xludf.DUMMYFUNCTION("""COMPUTED_VALUE"""),46092.8121296296)</f>
        <v>46092.812129629601</v>
      </c>
      <c r="C1340" s="2" t="str">
        <f ca="1">IFERROR(__xludf.DUMMYFUNCTION("""COMPUTED_VALUE"""),"fa24ada7")</f>
        <v>fa24ada7</v>
      </c>
      <c r="D1340" s="2">
        <f ca="1">IFERROR(__xludf.DUMMYFUNCTION("""COMPUTED_VALUE"""),81)</f>
        <v>81</v>
      </c>
      <c r="E1340" s="2" t="str">
        <f ca="1">IFERROR(__xludf.DUMMYFUNCTION("""COMPUTED_VALUE"""),"Syrah")</f>
        <v>Syrah</v>
      </c>
      <c r="F1340" s="2">
        <f ca="1">IFERROR(__xludf.DUMMYFUNCTION("""COMPUTED_VALUE"""),-4000)</f>
        <v>-4000</v>
      </c>
      <c r="G1340" s="2">
        <f ca="1">IFERROR(__xludf.DUMMYFUNCTION("""COMPUTED_VALUE"""),48)</f>
        <v>48</v>
      </c>
      <c r="H1340" s="2" t="str">
        <f ca="1">IFERROR(__xludf.DUMMYFUNCTION("""COMPUTED_VALUE"""),"194ca8c2")</f>
        <v>194ca8c2</v>
      </c>
      <c r="I1340" s="2" t="str">
        <f ca="1">IFERROR(__xludf.DUMMYFUNCTION("""COMPUTED_VALUE"""),"Cabernet Sauvignon Rect")</f>
        <v>Cabernet Sauvignon Rect</v>
      </c>
      <c r="J1340" s="2">
        <f ca="1">IFERROR(__xludf.DUMMYFUNCTION("""COMPUTED_VALUE"""),12500)</f>
        <v>12500</v>
      </c>
      <c r="K1340" s="2">
        <f ca="1">IFERROR(__xludf.DUMMYFUNCTION("""COMPUTED_VALUE"""),8500)</f>
        <v>8500</v>
      </c>
      <c r="L1340" s="2" t="str">
        <f ca="1">IFERROR(__xludf.DUMMYFUNCTION("""COMPUTED_VALUE"""),"c4e0169e")</f>
        <v>c4e0169e</v>
      </c>
      <c r="M1340" s="2" t="str">
        <f ca="1">IFERROR(__xludf.DUMMYFUNCTION("""COMPUTED_VALUE"""),"Cabernet Sauvignon Rect")</f>
        <v>Cabernet Sauvignon Rect</v>
      </c>
      <c r="N1340" s="2" t="str">
        <f ca="1">IFERROR(__xludf.DUMMYFUNCTION("""COMPUTED_VALUE"""),"rectificado")</f>
        <v>rectificado</v>
      </c>
      <c r="O1340" s="2" t="str">
        <f ca="1">IFERROR(__xludf.DUMMYFUNCTION("""COMPUTED_VALUE"""),"Fermentando")</f>
        <v>Fermentando</v>
      </c>
      <c r="P1340" s="2" t="str">
        <f ca="1">IFERROR(__xludf.DUMMYFUNCTION("""COMPUTED_VALUE"""),"Rectificado")</f>
        <v>Rectificado</v>
      </c>
      <c r="Q1340" s="2" t="b">
        <f ca="1">IFERROR(__xludf.DUMMYFUNCTION("""COMPUTED_VALUE"""),TRUE)</f>
        <v>1</v>
      </c>
      <c r="R1340" s="2" t="str">
        <f ca="1">IFERROR(__xludf.DUMMYFUNCTION("""COMPUTED_VALUE"""),"Rectificado")</f>
        <v>Rectificado</v>
      </c>
      <c r="S1340" s="2"/>
      <c r="T1340" s="2"/>
      <c r="U1340" s="2" t="str">
        <f ca="1">IFERROR(__xludf.DUMMYFUNCTION("""COMPUTED_VALUE"""),"1")</f>
        <v>1</v>
      </c>
    </row>
    <row r="1341" spans="1:21" x14ac:dyDescent="0.25">
      <c r="A1341" s="2" t="str">
        <f ca="1">IFERROR(__xludf.DUMMYFUNCTION("""COMPUTED_VALUE"""),"bad4ce20")</f>
        <v>bad4ce20</v>
      </c>
      <c r="B1341" s="5">
        <f ca="1">IFERROR(__xludf.DUMMYFUNCTION("""COMPUTED_VALUE"""),46093.8165509259)</f>
        <v>46093.816550925898</v>
      </c>
      <c r="C1341" s="2" t="str">
        <f ca="1">IFERROR(__xludf.DUMMYFUNCTION("""COMPUTED_VALUE"""),"797c1148")</f>
        <v>797c1148</v>
      </c>
      <c r="D1341" s="2">
        <f ca="1">IFERROR(__xludf.DUMMYFUNCTION("""COMPUTED_VALUE"""),24)</f>
        <v>24</v>
      </c>
      <c r="E1341" s="2" t="str">
        <f ca="1">IFERROR(__xludf.DUMMYFUNCTION("""COMPUTED_VALUE"""),"Tinto Varietal A")</f>
        <v>Tinto Varietal A</v>
      </c>
      <c r="F1341" s="2">
        <f ca="1">IFERROR(__xludf.DUMMYFUNCTION("""COMPUTED_VALUE"""),77100)</f>
        <v>77100</v>
      </c>
      <c r="G1341" s="2">
        <f ca="1">IFERROR(__xludf.DUMMYFUNCTION("""COMPUTED_VALUE"""),95)</f>
        <v>95</v>
      </c>
      <c r="H1341" s="2" t="str">
        <f ca="1">IFERROR(__xludf.DUMMYFUNCTION("""COMPUTED_VALUE"""),"83dc62c7")</f>
        <v>83dc62c7</v>
      </c>
      <c r="I1341" s="2" t="str">
        <f ca="1">IFERROR(__xludf.DUMMYFUNCTION("""COMPUTED_VALUE"""),"Malbec")</f>
        <v>Malbec</v>
      </c>
      <c r="J1341" s="2">
        <f ca="1">IFERROR(__xludf.DUMMYFUNCTION("""COMPUTED_VALUE"""),5800)</f>
        <v>5800</v>
      </c>
      <c r="K1341" s="2">
        <f ca="1">IFERROR(__xludf.DUMMYFUNCTION("""COMPUTED_VALUE"""),82900)</f>
        <v>82900</v>
      </c>
      <c r="L1341" s="2" t="str">
        <f ca="1">IFERROR(__xludf.DUMMYFUNCTION("""COMPUTED_VALUE"""),"a2e0d2ff")</f>
        <v>a2e0d2ff</v>
      </c>
      <c r="M1341" s="2" t="str">
        <f ca="1">IFERROR(__xludf.DUMMYFUNCTION("""COMPUTED_VALUE"""),"Corte Millan")</f>
        <v>Corte Millan</v>
      </c>
      <c r="N1341" s="2"/>
      <c r="O1341" s="2" t="str">
        <f ca="1">IFERROR(__xludf.DUMMYFUNCTION("""COMPUTED_VALUE"""),"Terminado")</f>
        <v>Terminado</v>
      </c>
      <c r="P1341" s="2" t="str">
        <f ca="1">IFERROR(__xludf.DUMMYFUNCTION("""COMPUTED_VALUE"""),"Filtrado Tang")</f>
        <v>Filtrado Tang</v>
      </c>
      <c r="Q1341" s="2" t="b">
        <f ca="1">IFERROR(__xludf.DUMMYFUNCTION("""COMPUTED_VALUE"""),FALSE)</f>
        <v>0</v>
      </c>
      <c r="R1341" s="2" t="str">
        <f ca="1">IFERROR(__xludf.DUMMYFUNCTION("""COMPUTED_VALUE"""),"Terminado")</f>
        <v>Terminado</v>
      </c>
      <c r="S1341" s="2"/>
      <c r="T1341" s="2"/>
      <c r="U1341" s="2" t="str">
        <f ca="1">IFERROR(__xludf.DUMMYFUNCTION("""COMPUTED_VALUE"""),"1")</f>
        <v>1</v>
      </c>
    </row>
    <row r="1342" spans="1:21" x14ac:dyDescent="0.25">
      <c r="A1342" s="2" t="str">
        <f ca="1">IFERROR(__xludf.DUMMYFUNCTION("""COMPUTED_VALUE"""),"6da14277")</f>
        <v>6da14277</v>
      </c>
      <c r="B1342" s="5">
        <f ca="1">IFERROR(__xludf.DUMMYFUNCTION("""COMPUTED_VALUE"""),46093.8170717592)</f>
        <v>46093.8170717592</v>
      </c>
      <c r="C1342" s="2" t="str">
        <f ca="1">IFERROR(__xludf.DUMMYFUNCTION("""COMPUTED_VALUE"""),"9373e0cf")</f>
        <v>9373e0cf</v>
      </c>
      <c r="D1342" s="2">
        <f ca="1">IFERROR(__xludf.DUMMYFUNCTION("""COMPUTED_VALUE"""),25)</f>
        <v>25</v>
      </c>
      <c r="E1342" s="2" t="str">
        <f ca="1">IFERROR(__xludf.DUMMYFUNCTION("""COMPUTED_VALUE"""),"Tinto Varietal B")</f>
        <v>Tinto Varietal B</v>
      </c>
      <c r="F1342" s="2">
        <f ca="1">IFERROR(__xludf.DUMMYFUNCTION("""COMPUTED_VALUE"""),85600)</f>
        <v>85600</v>
      </c>
      <c r="G1342" s="2">
        <f ca="1">IFERROR(__xludf.DUMMYFUNCTION("""COMPUTED_VALUE"""),96)</f>
        <v>96</v>
      </c>
      <c r="H1342" s="2"/>
      <c r="I1342" s="2"/>
      <c r="J1342" s="2">
        <f ca="1">IFERROR(__xludf.DUMMYFUNCTION("""COMPUTED_VALUE"""),0)</f>
        <v>0</v>
      </c>
      <c r="K1342" s="2">
        <f ca="1">IFERROR(__xludf.DUMMYFUNCTION("""COMPUTED_VALUE"""),85600)</f>
        <v>85600</v>
      </c>
      <c r="L1342" s="2" t="str">
        <f ca="1">IFERROR(__xludf.DUMMYFUNCTION("""COMPUTED_VALUE"""),"e6286b68")</f>
        <v>e6286b68</v>
      </c>
      <c r="M1342" s="2" t="str">
        <f ca="1">IFERROR(__xludf.DUMMYFUNCTION("""COMPUTED_VALUE"""),"Corte Millan")</f>
        <v>Corte Millan</v>
      </c>
      <c r="N1342" s="2"/>
      <c r="O1342" s="2" t="str">
        <f ca="1">IFERROR(__xludf.DUMMYFUNCTION("""COMPUTED_VALUE"""),"Terminado")</f>
        <v>Terminado</v>
      </c>
      <c r="P1342" s="2"/>
      <c r="Q1342" s="2" t="b">
        <f ca="1">IFERROR(__xludf.DUMMYFUNCTION("""COMPUTED_VALUE"""),FALSE)</f>
        <v>0</v>
      </c>
      <c r="R1342" s="2" t="str">
        <f ca="1">IFERROR(__xludf.DUMMYFUNCTION("""COMPUTED_VALUE"""),"Terminado")</f>
        <v>Terminado</v>
      </c>
      <c r="S1342" s="2"/>
      <c r="T1342" s="2"/>
      <c r="U1342" s="2" t="str">
        <f ca="1">IFERROR(__xludf.DUMMYFUNCTION("""COMPUTED_VALUE"""),"1")</f>
        <v>1</v>
      </c>
    </row>
    <row r="1343" spans="1:21" x14ac:dyDescent="0.25">
      <c r="A1343" s="2" t="str">
        <f ca="1">IFERROR(__xludf.DUMMYFUNCTION("""COMPUTED_VALUE"""),"6c520aff")</f>
        <v>6c520aff</v>
      </c>
      <c r="B1343" s="5">
        <f ca="1">IFERROR(__xludf.DUMMYFUNCTION("""COMPUTED_VALUE"""),46093.8175810185)</f>
        <v>46093.817581018498</v>
      </c>
      <c r="C1343" s="2" t="str">
        <f ca="1">IFERROR(__xludf.DUMMYFUNCTION("""COMPUTED_VALUE"""),"9373e0cf")</f>
        <v>9373e0cf</v>
      </c>
      <c r="D1343" s="2">
        <f ca="1">IFERROR(__xludf.DUMMYFUNCTION("""COMPUTED_VALUE"""),25)</f>
        <v>25</v>
      </c>
      <c r="E1343" s="2" t="str">
        <f ca="1">IFERROR(__xludf.DUMMYFUNCTION("""COMPUTED_VALUE"""),"Tinto Varietal B")</f>
        <v>Tinto Varietal B</v>
      </c>
      <c r="F1343" s="2">
        <f ca="1">IFERROR(__xludf.DUMMYFUNCTION("""COMPUTED_VALUE"""),70000)</f>
        <v>70000</v>
      </c>
      <c r="G1343" s="2">
        <f ca="1">IFERROR(__xludf.DUMMYFUNCTION("""COMPUTED_VALUE"""),92)</f>
        <v>92</v>
      </c>
      <c r="H1343" s="2"/>
      <c r="I1343" s="2"/>
      <c r="J1343" s="2">
        <f ca="1">IFERROR(__xludf.DUMMYFUNCTION("""COMPUTED_VALUE"""),0)</f>
        <v>0</v>
      </c>
      <c r="K1343" s="2">
        <f ca="1">IFERROR(__xludf.DUMMYFUNCTION("""COMPUTED_VALUE"""),70000)</f>
        <v>70000</v>
      </c>
      <c r="L1343" s="2" t="str">
        <f ca="1">IFERROR(__xludf.DUMMYFUNCTION("""COMPUTED_VALUE"""),"ef7d4d6c")</f>
        <v>ef7d4d6c</v>
      </c>
      <c r="M1343" s="2" t="str">
        <f ca="1">IFERROR(__xludf.DUMMYFUNCTION("""COMPUTED_VALUE"""),"Corte Millan")</f>
        <v>Corte Millan</v>
      </c>
      <c r="N1343" s="2"/>
      <c r="O1343" s="2" t="str">
        <f ca="1">IFERROR(__xludf.DUMMYFUNCTION("""COMPUTED_VALUE"""),"Terminado")</f>
        <v>Terminado</v>
      </c>
      <c r="P1343" s="2"/>
      <c r="Q1343" s="2" t="b">
        <f ca="1">IFERROR(__xludf.DUMMYFUNCTION("""COMPUTED_VALUE"""),FALSE)</f>
        <v>0</v>
      </c>
      <c r="R1343" s="2" t="str">
        <f ca="1">IFERROR(__xludf.DUMMYFUNCTION("""COMPUTED_VALUE"""),"Terminado")</f>
        <v>Terminado</v>
      </c>
      <c r="S1343" s="2"/>
      <c r="T1343" s="2"/>
      <c r="U1343" s="2" t="str">
        <f ca="1">IFERROR(__xludf.DUMMYFUNCTION("""COMPUTED_VALUE"""),"1")</f>
        <v>1</v>
      </c>
    </row>
    <row r="1344" spans="1:21" x14ac:dyDescent="0.25">
      <c r="A1344" s="2" t="str">
        <f ca="1">IFERROR(__xludf.DUMMYFUNCTION("""COMPUTED_VALUE"""),"fd19ee88")</f>
        <v>fd19ee88</v>
      </c>
      <c r="B1344" s="5">
        <f ca="1">IFERROR(__xludf.DUMMYFUNCTION("""COMPUTED_VALUE"""),46093.8194675925)</f>
        <v>46093.819467592497</v>
      </c>
      <c r="C1344" s="2" t="str">
        <f ca="1">IFERROR(__xludf.DUMMYFUNCTION("""COMPUTED_VALUE"""),"a2e0d2ff")</f>
        <v>a2e0d2ff</v>
      </c>
      <c r="D1344" s="2">
        <f ca="1">IFERROR(__xludf.DUMMYFUNCTION("""COMPUTED_VALUE"""),95)</f>
        <v>95</v>
      </c>
      <c r="E1344" s="2" t="str">
        <f ca="1">IFERROR(__xludf.DUMMYFUNCTION("""COMPUTED_VALUE"""),"Corte Millan")</f>
        <v>Corte Millan</v>
      </c>
      <c r="F1344" s="2">
        <f ca="1">IFERROR(__xludf.DUMMYFUNCTION("""COMPUTED_VALUE"""),77100)</f>
        <v>77100</v>
      </c>
      <c r="G1344" s="2">
        <f ca="1">IFERROR(__xludf.DUMMYFUNCTION("""COMPUTED_VALUE"""),25)</f>
        <v>25</v>
      </c>
      <c r="H1344" s="2" t="str">
        <f ca="1">IFERROR(__xludf.DUMMYFUNCTION("""COMPUTED_VALUE"""),"9373e0cf")</f>
        <v>9373e0cf</v>
      </c>
      <c r="I1344" s="2" t="str">
        <f ca="1">IFERROR(__xludf.DUMMYFUNCTION("""COMPUTED_VALUE"""),"Tinto Varietal B")</f>
        <v>Tinto Varietal B</v>
      </c>
      <c r="J1344" s="2">
        <f ca="1">IFERROR(__xludf.DUMMYFUNCTION("""COMPUTED_VALUE"""),38700)</f>
        <v>38700</v>
      </c>
      <c r="K1344" s="2">
        <f ca="1">IFERROR(__xludf.DUMMYFUNCTION("""COMPUTED_VALUE"""),115800)</f>
        <v>115800</v>
      </c>
      <c r="L1344" s="2" t="str">
        <f ca="1">IFERROR(__xludf.DUMMYFUNCTION("""COMPUTED_VALUE"""),"aae66af0")</f>
        <v>aae66af0</v>
      </c>
      <c r="M1344" s="2" t="str">
        <f ca="1">IFERROR(__xludf.DUMMYFUNCTION("""COMPUTED_VALUE"""),"Corte Millan")</f>
        <v>Corte Millan</v>
      </c>
      <c r="N1344" s="2"/>
      <c r="O1344" s="2" t="str">
        <f ca="1">IFERROR(__xludf.DUMMYFUNCTION("""COMPUTED_VALUE"""),"Terminado")</f>
        <v>Terminado</v>
      </c>
      <c r="P1344" s="2" t="str">
        <f ca="1">IFERROR(__xludf.DUMMYFUNCTION("""COMPUTED_VALUE"""),"Terminado")</f>
        <v>Terminado</v>
      </c>
      <c r="Q1344" s="2" t="b">
        <f ca="1">IFERROR(__xludf.DUMMYFUNCTION("""COMPUTED_VALUE"""),FALSE)</f>
        <v>0</v>
      </c>
      <c r="R1344" s="2" t="str">
        <f ca="1">IFERROR(__xludf.DUMMYFUNCTION("""COMPUTED_VALUE"""),"Terminado")</f>
        <v>Terminado</v>
      </c>
      <c r="S1344" s="2"/>
      <c r="T1344" s="2"/>
      <c r="U1344" s="2" t="str">
        <f ca="1">IFERROR(__xludf.DUMMYFUNCTION("""COMPUTED_VALUE"""),"1")</f>
        <v>1</v>
      </c>
    </row>
    <row r="1345" spans="1:21" x14ac:dyDescent="0.25">
      <c r="A1345" s="2" t="str">
        <f ca="1">IFERROR(__xludf.DUMMYFUNCTION("""COMPUTED_VALUE"""),"6194ef2e")</f>
        <v>6194ef2e</v>
      </c>
      <c r="B1345" s="5">
        <f ca="1">IFERROR(__xludf.DUMMYFUNCTION("""COMPUTED_VALUE"""),46093.8199768518)</f>
        <v>46093.819976851802</v>
      </c>
      <c r="C1345" s="2" t="str">
        <f ca="1">IFERROR(__xludf.DUMMYFUNCTION("""COMPUTED_VALUE"""),"a2e0d2ff")</f>
        <v>a2e0d2ff</v>
      </c>
      <c r="D1345" s="2">
        <f ca="1">IFERROR(__xludf.DUMMYFUNCTION("""COMPUTED_VALUE"""),95)</f>
        <v>95</v>
      </c>
      <c r="E1345" s="2" t="str">
        <f ca="1">IFERROR(__xludf.DUMMYFUNCTION("""COMPUTED_VALUE"""),"Corte Millan")</f>
        <v>Corte Millan</v>
      </c>
      <c r="F1345" s="2">
        <f ca="1">IFERROR(__xludf.DUMMYFUNCTION("""COMPUTED_VALUE"""),5800)</f>
        <v>5800</v>
      </c>
      <c r="G1345" s="2">
        <f ca="1">IFERROR(__xludf.DUMMYFUNCTION("""COMPUTED_VALUE"""),24)</f>
        <v>24</v>
      </c>
      <c r="H1345" s="2" t="str">
        <f ca="1">IFERROR(__xludf.DUMMYFUNCTION("""COMPUTED_VALUE"""),"797c1148")</f>
        <v>797c1148</v>
      </c>
      <c r="I1345" s="2" t="str">
        <f ca="1">IFERROR(__xludf.DUMMYFUNCTION("""COMPUTED_VALUE"""),"Tinto Varietal A")</f>
        <v>Tinto Varietal A</v>
      </c>
      <c r="J1345" s="2">
        <f ca="1">IFERROR(__xludf.DUMMYFUNCTION("""COMPUTED_VALUE"""),109500)</f>
        <v>109500</v>
      </c>
      <c r="K1345" s="2">
        <f ca="1">IFERROR(__xludf.DUMMYFUNCTION("""COMPUTED_VALUE"""),115300)</f>
        <v>115300</v>
      </c>
      <c r="L1345" s="2" t="str">
        <f ca="1">IFERROR(__xludf.DUMMYFUNCTION("""COMPUTED_VALUE"""),"bf019425")</f>
        <v>bf019425</v>
      </c>
      <c r="M1345" s="2" t="str">
        <f ca="1">IFERROR(__xludf.DUMMYFUNCTION("""COMPUTED_VALUE"""),"Corte Millan")</f>
        <v>Corte Millan</v>
      </c>
      <c r="N1345" s="2"/>
      <c r="O1345" s="2" t="str">
        <f ca="1">IFERROR(__xludf.DUMMYFUNCTION("""COMPUTED_VALUE"""),"Terminado")</f>
        <v>Terminado</v>
      </c>
      <c r="P1345" s="2" t="str">
        <f ca="1">IFERROR(__xludf.DUMMYFUNCTION("""COMPUTED_VALUE"""),"Terminado")</f>
        <v>Terminado</v>
      </c>
      <c r="Q1345" s="2" t="b">
        <f ca="1">IFERROR(__xludf.DUMMYFUNCTION("""COMPUTED_VALUE"""),FALSE)</f>
        <v>0</v>
      </c>
      <c r="R1345" s="2" t="str">
        <f ca="1">IFERROR(__xludf.DUMMYFUNCTION("""COMPUTED_VALUE"""),"Terminado")</f>
        <v>Terminado</v>
      </c>
      <c r="S1345" s="2"/>
      <c r="T1345" s="2"/>
      <c r="U1345" s="2" t="str">
        <f ca="1">IFERROR(__xludf.DUMMYFUNCTION("""COMPUTED_VALUE"""),"1")</f>
        <v>1</v>
      </c>
    </row>
    <row r="1346" spans="1:21" x14ac:dyDescent="0.25">
      <c r="A1346" s="2" t="str">
        <f ca="1">IFERROR(__xludf.DUMMYFUNCTION("""COMPUTED_VALUE"""),"3e643a53")</f>
        <v>3e643a53</v>
      </c>
      <c r="B1346" s="5">
        <f ca="1">IFERROR(__xludf.DUMMYFUNCTION("""COMPUTED_VALUE"""),46093.8202662037)</f>
        <v>46093.8202662037</v>
      </c>
      <c r="C1346" s="2" t="str">
        <f ca="1">IFERROR(__xludf.DUMMYFUNCTION("""COMPUTED_VALUE"""),"15c4b406")</f>
        <v>15c4b406</v>
      </c>
      <c r="D1346" s="2">
        <f ca="1">IFERROR(__xludf.DUMMYFUNCTION("""COMPUTED_VALUE"""),67)</f>
        <v>67</v>
      </c>
      <c r="E1346" s="2" t="str">
        <f ca="1">IFERROR(__xludf.DUMMYFUNCTION("""COMPUTED_VALUE"""),"Chardonnay")</f>
        <v>Chardonnay</v>
      </c>
      <c r="F1346" s="2">
        <f ca="1">IFERROR(__xludf.DUMMYFUNCTION("""COMPUTED_VALUE"""),9800)</f>
        <v>9800</v>
      </c>
      <c r="G1346" s="2">
        <f ca="1">IFERROR(__xludf.DUMMYFUNCTION("""COMPUTED_VALUE"""),25)</f>
        <v>25</v>
      </c>
      <c r="H1346" s="2" t="str">
        <f ca="1">IFERROR(__xludf.DUMMYFUNCTION("""COMPUTED_VALUE"""),"aae66af0")</f>
        <v>aae66af0</v>
      </c>
      <c r="I1346" s="2" t="str">
        <f ca="1">IFERROR(__xludf.DUMMYFUNCTION("""COMPUTED_VALUE"""),"Corte Millan")</f>
        <v>Corte Millan</v>
      </c>
      <c r="J1346" s="2">
        <f ca="1">IFERROR(__xludf.DUMMYFUNCTION("""COMPUTED_VALUE"""),115800)</f>
        <v>115800</v>
      </c>
      <c r="K1346" s="2">
        <f ca="1">IFERROR(__xludf.DUMMYFUNCTION("""COMPUTED_VALUE"""),125600)</f>
        <v>125600</v>
      </c>
      <c r="L1346" s="2" t="str">
        <f ca="1">IFERROR(__xludf.DUMMYFUNCTION("""COMPUTED_VALUE"""),"bc466ce0")</f>
        <v>bc466ce0</v>
      </c>
      <c r="M1346" s="2" t="str">
        <f ca="1">IFERROR(__xludf.DUMMYFUNCTION("""COMPUTED_VALUE"""),"Corte Millan")</f>
        <v>Corte Millan</v>
      </c>
      <c r="N1346" s="2"/>
      <c r="O1346" s="2" t="str">
        <f ca="1">IFERROR(__xludf.DUMMYFUNCTION("""COMPUTED_VALUE"""),"Terminado")</f>
        <v>Terminado</v>
      </c>
      <c r="P1346" s="2" t="str">
        <f ca="1">IFERROR(__xludf.DUMMYFUNCTION("""COMPUTED_VALUE"""),"Terminado")</f>
        <v>Terminado</v>
      </c>
      <c r="Q1346" s="2" t="b">
        <f ca="1">IFERROR(__xludf.DUMMYFUNCTION("""COMPUTED_VALUE"""),TRUE)</f>
        <v>1</v>
      </c>
      <c r="R1346" s="2" t="str">
        <f ca="1">IFERROR(__xludf.DUMMYFUNCTION("""COMPUTED_VALUE"""),"Terminado")</f>
        <v>Terminado</v>
      </c>
      <c r="S1346" s="2"/>
      <c r="T1346" s="2"/>
      <c r="U1346" s="2" t="str">
        <f ca="1">IFERROR(__xludf.DUMMYFUNCTION("""COMPUTED_VALUE"""),"1")</f>
        <v>1</v>
      </c>
    </row>
    <row r="1347" spans="1:21" x14ac:dyDescent="0.25">
      <c r="A1347" s="2" t="str">
        <f ca="1">IFERROR(__xludf.DUMMYFUNCTION("""COMPUTED_VALUE"""),"1620d1c2")</f>
        <v>1620d1c2</v>
      </c>
      <c r="B1347" s="5">
        <f ca="1">IFERROR(__xludf.DUMMYFUNCTION("""COMPUTED_VALUE"""),46093.8206134259)</f>
        <v>46093.820613425902</v>
      </c>
      <c r="C1347" s="2" t="str">
        <f ca="1">IFERROR(__xludf.DUMMYFUNCTION("""COMPUTED_VALUE"""),"f063695a")</f>
        <v>f063695a</v>
      </c>
      <c r="D1347" s="2">
        <f ca="1">IFERROR(__xludf.DUMMYFUNCTION("""COMPUTED_VALUE"""),11)</f>
        <v>11</v>
      </c>
      <c r="E1347" s="2" t="str">
        <f ca="1">IFERROR(__xludf.DUMMYFUNCTION("""COMPUTED_VALUE"""),"Anccellota Aspirant Rect")</f>
        <v>Anccellota Aspirant Rect</v>
      </c>
      <c r="F1347" s="2">
        <f ca="1">IFERROR(__xludf.DUMMYFUNCTION("""COMPUTED_VALUE"""),6800)</f>
        <v>6800</v>
      </c>
      <c r="G1347" s="2">
        <f ca="1">IFERROR(__xludf.DUMMYFUNCTION("""COMPUTED_VALUE"""),25)</f>
        <v>25</v>
      </c>
      <c r="H1347" s="2" t="str">
        <f ca="1">IFERROR(__xludf.DUMMYFUNCTION("""COMPUTED_VALUE"""),"bc466ce0")</f>
        <v>bc466ce0</v>
      </c>
      <c r="I1347" s="2" t="str">
        <f ca="1">IFERROR(__xludf.DUMMYFUNCTION("""COMPUTED_VALUE"""),"Corte Millan")</f>
        <v>Corte Millan</v>
      </c>
      <c r="J1347" s="2">
        <f ca="1">IFERROR(__xludf.DUMMYFUNCTION("""COMPUTED_VALUE"""),125600)</f>
        <v>125600</v>
      </c>
      <c r="K1347" s="2">
        <f ca="1">IFERROR(__xludf.DUMMYFUNCTION("""COMPUTED_VALUE"""),132400)</f>
        <v>132400</v>
      </c>
      <c r="L1347" s="2" t="str">
        <f ca="1">IFERROR(__xludf.DUMMYFUNCTION("""COMPUTED_VALUE"""),"b942d2a0")</f>
        <v>b942d2a0</v>
      </c>
      <c r="M1347" s="2" t="str">
        <f ca="1">IFERROR(__xludf.DUMMYFUNCTION("""COMPUTED_VALUE"""),"Corte Millan")</f>
        <v>Corte Millan</v>
      </c>
      <c r="N1347" s="2"/>
      <c r="O1347" s="2" t="str">
        <f ca="1">IFERROR(__xludf.DUMMYFUNCTION("""COMPUTED_VALUE"""),"Rectificado")</f>
        <v>Rectificado</v>
      </c>
      <c r="P1347" s="2" t="str">
        <f ca="1">IFERROR(__xludf.DUMMYFUNCTION("""COMPUTED_VALUE"""),"Terminado")</f>
        <v>Terminado</v>
      </c>
      <c r="Q1347" s="2" t="b">
        <f ca="1">IFERROR(__xludf.DUMMYFUNCTION("""COMPUTED_VALUE"""),TRUE)</f>
        <v>1</v>
      </c>
      <c r="R1347" s="2" t="str">
        <f ca="1">IFERROR(__xludf.DUMMYFUNCTION("""COMPUTED_VALUE"""),"Terminado")</f>
        <v>Terminado</v>
      </c>
      <c r="S1347" s="2"/>
      <c r="T1347" s="2"/>
      <c r="U1347" s="2" t="str">
        <f ca="1">IFERROR(__xludf.DUMMYFUNCTION("""COMPUTED_VALUE"""),"1")</f>
        <v>1</v>
      </c>
    </row>
    <row r="1348" spans="1:21" x14ac:dyDescent="0.25">
      <c r="A1348" s="2" t="str">
        <f ca="1">IFERROR(__xludf.DUMMYFUNCTION("""COMPUTED_VALUE"""),"656cc6f5")</f>
        <v>656cc6f5</v>
      </c>
      <c r="B1348" s="5">
        <f ca="1">IFERROR(__xludf.DUMMYFUNCTION("""COMPUTED_VALUE"""),46093.8209606481)</f>
        <v>46093.820960648103</v>
      </c>
      <c r="C1348" s="2" t="str">
        <f ca="1">IFERROR(__xludf.DUMMYFUNCTION("""COMPUTED_VALUE"""),"555ad119")</f>
        <v>555ad119</v>
      </c>
      <c r="D1348" s="2">
        <f ca="1">IFERROR(__xludf.DUMMYFUNCTION("""COMPUTED_VALUE"""),46)</f>
        <v>46</v>
      </c>
      <c r="E1348" s="2" t="str">
        <f ca="1">IFERROR(__xludf.DUMMYFUNCTION("""COMPUTED_VALUE"""),"Aspirant")</f>
        <v>Aspirant</v>
      </c>
      <c r="F1348" s="2">
        <f ca="1">IFERROR(__xludf.DUMMYFUNCTION("""COMPUTED_VALUE"""),1300)</f>
        <v>1300</v>
      </c>
      <c r="G1348" s="2">
        <f ca="1">IFERROR(__xludf.DUMMYFUNCTION("""COMPUTED_VALUE"""),25)</f>
        <v>25</v>
      </c>
      <c r="H1348" s="2" t="str">
        <f ca="1">IFERROR(__xludf.DUMMYFUNCTION("""COMPUTED_VALUE"""),"b942d2a0")</f>
        <v>b942d2a0</v>
      </c>
      <c r="I1348" s="2" t="str">
        <f ca="1">IFERROR(__xludf.DUMMYFUNCTION("""COMPUTED_VALUE"""),"Corte Millan")</f>
        <v>Corte Millan</v>
      </c>
      <c r="J1348" s="2">
        <f ca="1">IFERROR(__xludf.DUMMYFUNCTION("""COMPUTED_VALUE"""),132400)</f>
        <v>132400</v>
      </c>
      <c r="K1348" s="2">
        <f ca="1">IFERROR(__xludf.DUMMYFUNCTION("""COMPUTED_VALUE"""),133700)</f>
        <v>133700</v>
      </c>
      <c r="L1348" s="2" t="str">
        <f ca="1">IFERROR(__xludf.DUMMYFUNCTION("""COMPUTED_VALUE"""),"e7f421ba")</f>
        <v>e7f421ba</v>
      </c>
      <c r="M1348" s="2" t="str">
        <f ca="1">IFERROR(__xludf.DUMMYFUNCTION("""COMPUTED_VALUE"""),"Corte Millan")</f>
        <v>Corte Millan</v>
      </c>
      <c r="N1348" s="2"/>
      <c r="O1348" s="2" t="str">
        <f ca="1">IFERROR(__xludf.DUMMYFUNCTION("""COMPUTED_VALUE"""),"Descubada")</f>
        <v>Descubada</v>
      </c>
      <c r="P1348" s="2" t="str">
        <f ca="1">IFERROR(__xludf.DUMMYFUNCTION("""COMPUTED_VALUE"""),"Terminado")</f>
        <v>Terminado</v>
      </c>
      <c r="Q1348" s="2" t="b">
        <f ca="1">IFERROR(__xludf.DUMMYFUNCTION("""COMPUTED_VALUE"""),TRUE)</f>
        <v>1</v>
      </c>
      <c r="R1348" s="2" t="str">
        <f ca="1">IFERROR(__xludf.DUMMYFUNCTION("""COMPUTED_VALUE"""),"Terminado")</f>
        <v>Terminado</v>
      </c>
      <c r="S1348" s="2"/>
      <c r="T1348" s="2"/>
      <c r="U1348" s="2" t="str">
        <f ca="1">IFERROR(__xludf.DUMMYFUNCTION("""COMPUTED_VALUE"""),"1")</f>
        <v>1</v>
      </c>
    </row>
    <row r="1349" spans="1:21" x14ac:dyDescent="0.25">
      <c r="A1349" s="2" t="str">
        <f ca="1">IFERROR(__xludf.DUMMYFUNCTION("""COMPUTED_VALUE"""),"1334a026")</f>
        <v>1334a026</v>
      </c>
      <c r="B1349" s="5">
        <f ca="1">IFERROR(__xludf.DUMMYFUNCTION("""COMPUTED_VALUE"""),46093.8213773148)</f>
        <v>46093.821377314802</v>
      </c>
      <c r="C1349" s="2" t="str">
        <f ca="1">IFERROR(__xludf.DUMMYFUNCTION("""COMPUTED_VALUE"""),"ef7d4d6c")</f>
        <v>ef7d4d6c</v>
      </c>
      <c r="D1349" s="2">
        <f ca="1">IFERROR(__xludf.DUMMYFUNCTION("""COMPUTED_VALUE"""),92)</f>
        <v>92</v>
      </c>
      <c r="E1349" s="2" t="str">
        <f ca="1">IFERROR(__xludf.DUMMYFUNCTION("""COMPUTED_VALUE"""),"Corte Millan")</f>
        <v>Corte Millan</v>
      </c>
      <c r="F1349" s="2">
        <f ca="1">IFERROR(__xludf.DUMMYFUNCTION("""COMPUTED_VALUE"""),50500)</f>
        <v>50500</v>
      </c>
      <c r="G1349" s="2">
        <f ca="1">IFERROR(__xludf.DUMMYFUNCTION("""COMPUTED_VALUE"""),24)</f>
        <v>24</v>
      </c>
      <c r="H1349" s="2" t="str">
        <f ca="1">IFERROR(__xludf.DUMMYFUNCTION("""COMPUTED_VALUE"""),"bf019425")</f>
        <v>bf019425</v>
      </c>
      <c r="I1349" s="2" t="str">
        <f ca="1">IFERROR(__xludf.DUMMYFUNCTION("""COMPUTED_VALUE"""),"Corte Millan")</f>
        <v>Corte Millan</v>
      </c>
      <c r="J1349" s="2">
        <f ca="1">IFERROR(__xludf.DUMMYFUNCTION("""COMPUTED_VALUE"""),115300)</f>
        <v>115300</v>
      </c>
      <c r="K1349" s="2">
        <f ca="1">IFERROR(__xludf.DUMMYFUNCTION("""COMPUTED_VALUE"""),165800)</f>
        <v>165800</v>
      </c>
      <c r="L1349" s="2" t="str">
        <f ca="1">IFERROR(__xludf.DUMMYFUNCTION("""COMPUTED_VALUE"""),"950ee469")</f>
        <v>950ee469</v>
      </c>
      <c r="M1349" s="2" t="str">
        <f ca="1">IFERROR(__xludf.DUMMYFUNCTION("""COMPUTED_VALUE"""),"Corte Millan")</f>
        <v>Corte Millan</v>
      </c>
      <c r="N1349" s="2"/>
      <c r="O1349" s="2" t="str">
        <f ca="1">IFERROR(__xludf.DUMMYFUNCTION("""COMPUTED_VALUE"""),"Terminado")</f>
        <v>Terminado</v>
      </c>
      <c r="P1349" s="2" t="str">
        <f ca="1">IFERROR(__xludf.DUMMYFUNCTION("""COMPUTED_VALUE"""),"Terminado")</f>
        <v>Terminado</v>
      </c>
      <c r="Q1349" s="2" t="b">
        <f ca="1">IFERROR(__xludf.DUMMYFUNCTION("""COMPUTED_VALUE"""),TRUE)</f>
        <v>1</v>
      </c>
      <c r="R1349" s="2" t="str">
        <f ca="1">IFERROR(__xludf.DUMMYFUNCTION("""COMPUTED_VALUE"""),"Terminado")</f>
        <v>Terminado</v>
      </c>
      <c r="S1349" s="2"/>
      <c r="T1349" s="2"/>
      <c r="U1349" s="2" t="str">
        <f ca="1">IFERROR(__xludf.DUMMYFUNCTION("""COMPUTED_VALUE"""),"1")</f>
        <v>1</v>
      </c>
    </row>
    <row r="1350" spans="1:21" x14ac:dyDescent="0.25">
      <c r="A1350" s="2" t="str">
        <f ca="1">IFERROR(__xludf.DUMMYFUNCTION("""COMPUTED_VALUE"""),"d75872c2")</f>
        <v>d75872c2</v>
      </c>
      <c r="B1350" s="5">
        <f ca="1">IFERROR(__xludf.DUMMYFUNCTION("""COMPUTED_VALUE"""),46093.8216666666)</f>
        <v>46093.821666666598</v>
      </c>
      <c r="C1350" s="2" t="str">
        <f ca="1">IFERROR(__xludf.DUMMYFUNCTION("""COMPUTED_VALUE"""),"15c4b406")</f>
        <v>15c4b406</v>
      </c>
      <c r="D1350" s="2">
        <f ca="1">IFERROR(__xludf.DUMMYFUNCTION("""COMPUTED_VALUE"""),67)</f>
        <v>67</v>
      </c>
      <c r="E1350" s="2" t="str">
        <f ca="1">IFERROR(__xludf.DUMMYFUNCTION("""COMPUTED_VALUE"""),"Chardonnay")</f>
        <v>Chardonnay</v>
      </c>
      <c r="F1350" s="2">
        <f ca="1">IFERROR(__xludf.DUMMYFUNCTION("""COMPUTED_VALUE"""),13200)</f>
        <v>13200</v>
      </c>
      <c r="G1350" s="2">
        <f ca="1">IFERROR(__xludf.DUMMYFUNCTION("""COMPUTED_VALUE"""),24)</f>
        <v>24</v>
      </c>
      <c r="H1350" s="2" t="str">
        <f ca="1">IFERROR(__xludf.DUMMYFUNCTION("""COMPUTED_VALUE"""),"950ee469")</f>
        <v>950ee469</v>
      </c>
      <c r="I1350" s="2" t="str">
        <f ca="1">IFERROR(__xludf.DUMMYFUNCTION("""COMPUTED_VALUE"""),"Corte Millan")</f>
        <v>Corte Millan</v>
      </c>
      <c r="J1350" s="2">
        <f ca="1">IFERROR(__xludf.DUMMYFUNCTION("""COMPUTED_VALUE"""),165800)</f>
        <v>165800</v>
      </c>
      <c r="K1350" s="2">
        <f ca="1">IFERROR(__xludf.DUMMYFUNCTION("""COMPUTED_VALUE"""),179000)</f>
        <v>179000</v>
      </c>
      <c r="L1350" s="2" t="str">
        <f ca="1">IFERROR(__xludf.DUMMYFUNCTION("""COMPUTED_VALUE"""),"b798319f")</f>
        <v>b798319f</v>
      </c>
      <c r="M1350" s="2" t="str">
        <f ca="1">IFERROR(__xludf.DUMMYFUNCTION("""COMPUTED_VALUE"""),"Corte Millan")</f>
        <v>Corte Millan</v>
      </c>
      <c r="N1350" s="2"/>
      <c r="O1350" s="2" t="str">
        <f ca="1">IFERROR(__xludf.DUMMYFUNCTION("""COMPUTED_VALUE"""),"Terminado")</f>
        <v>Terminado</v>
      </c>
      <c r="P1350" s="2" t="str">
        <f ca="1">IFERROR(__xludf.DUMMYFUNCTION("""COMPUTED_VALUE"""),"Terminado")</f>
        <v>Terminado</v>
      </c>
      <c r="Q1350" s="2" t="b">
        <f ca="1">IFERROR(__xludf.DUMMYFUNCTION("""COMPUTED_VALUE"""),TRUE)</f>
        <v>1</v>
      </c>
      <c r="R1350" s="2" t="str">
        <f ca="1">IFERROR(__xludf.DUMMYFUNCTION("""COMPUTED_VALUE"""),"Terminado")</f>
        <v>Terminado</v>
      </c>
      <c r="S1350" s="2"/>
      <c r="T1350" s="2"/>
      <c r="U1350" s="2" t="str">
        <f ca="1">IFERROR(__xludf.DUMMYFUNCTION("""COMPUTED_VALUE"""),"1")</f>
        <v>1</v>
      </c>
    </row>
    <row r="1351" spans="1:21" x14ac:dyDescent="0.25">
      <c r="A1351" s="2" t="str">
        <f ca="1">IFERROR(__xludf.DUMMYFUNCTION("""COMPUTED_VALUE"""),"0247f117")</f>
        <v>0247f117</v>
      </c>
      <c r="B1351" s="5">
        <f ca="1">IFERROR(__xludf.DUMMYFUNCTION("""COMPUTED_VALUE"""),46093.8247800925)</f>
        <v>46093.824780092502</v>
      </c>
      <c r="C1351" s="2" t="str">
        <f ca="1">IFERROR(__xludf.DUMMYFUNCTION("""COMPUTED_VALUE"""),"f063695a")</f>
        <v>f063695a</v>
      </c>
      <c r="D1351" s="2">
        <f ca="1">IFERROR(__xludf.DUMMYFUNCTION("""COMPUTED_VALUE"""),11)</f>
        <v>11</v>
      </c>
      <c r="E1351" s="2" t="str">
        <f ca="1">IFERROR(__xludf.DUMMYFUNCTION("""COMPUTED_VALUE"""),"Anccellota Aspirant Rect")</f>
        <v>Anccellota Aspirant Rect</v>
      </c>
      <c r="F1351" s="2">
        <f ca="1">IFERROR(__xludf.DUMMYFUNCTION("""COMPUTED_VALUE"""),7600)</f>
        <v>7600</v>
      </c>
      <c r="G1351" s="2">
        <f ca="1">IFERROR(__xludf.DUMMYFUNCTION("""COMPUTED_VALUE"""),24)</f>
        <v>24</v>
      </c>
      <c r="H1351" s="2" t="str">
        <f ca="1">IFERROR(__xludf.DUMMYFUNCTION("""COMPUTED_VALUE"""),"b798319f")</f>
        <v>b798319f</v>
      </c>
      <c r="I1351" s="2" t="str">
        <f ca="1">IFERROR(__xludf.DUMMYFUNCTION("""COMPUTED_VALUE"""),"Corte Millan")</f>
        <v>Corte Millan</v>
      </c>
      <c r="J1351" s="2">
        <f ca="1">IFERROR(__xludf.DUMMYFUNCTION("""COMPUTED_VALUE"""),179000)</f>
        <v>179000</v>
      </c>
      <c r="K1351" s="2">
        <f ca="1">IFERROR(__xludf.DUMMYFUNCTION("""COMPUTED_VALUE"""),186600)</f>
        <v>186600</v>
      </c>
      <c r="L1351" s="2" t="str">
        <f ca="1">IFERROR(__xludf.DUMMYFUNCTION("""COMPUTED_VALUE"""),"4ecbdfc2")</f>
        <v>4ecbdfc2</v>
      </c>
      <c r="M1351" s="2" t="str">
        <f ca="1">IFERROR(__xludf.DUMMYFUNCTION("""COMPUTED_VALUE"""),"Corte Millan")</f>
        <v>Corte Millan</v>
      </c>
      <c r="N1351" s="2"/>
      <c r="O1351" s="2" t="str">
        <f ca="1">IFERROR(__xludf.DUMMYFUNCTION("""COMPUTED_VALUE"""),"Rectificado")</f>
        <v>Rectificado</v>
      </c>
      <c r="P1351" s="2" t="str">
        <f ca="1">IFERROR(__xludf.DUMMYFUNCTION("""COMPUTED_VALUE"""),"Terminado")</f>
        <v>Terminado</v>
      </c>
      <c r="Q1351" s="2" t="b">
        <f ca="1">IFERROR(__xludf.DUMMYFUNCTION("""COMPUTED_VALUE"""),TRUE)</f>
        <v>1</v>
      </c>
      <c r="R1351" s="2" t="str">
        <f ca="1">IFERROR(__xludf.DUMMYFUNCTION("""COMPUTED_VALUE"""),"Terminado")</f>
        <v>Terminado</v>
      </c>
      <c r="S1351" s="2"/>
      <c r="T1351" s="2"/>
      <c r="U1351" s="2" t="str">
        <f ca="1">IFERROR(__xludf.DUMMYFUNCTION("""COMPUTED_VALUE"""),"1")</f>
        <v>1</v>
      </c>
    </row>
    <row r="1352" spans="1:21" x14ac:dyDescent="0.25">
      <c r="A1352" s="2" t="str">
        <f ca="1">IFERROR(__xludf.DUMMYFUNCTION("""COMPUTED_VALUE"""),"edf46f12")</f>
        <v>edf46f12</v>
      </c>
      <c r="B1352" s="5">
        <f ca="1">IFERROR(__xludf.DUMMYFUNCTION("""COMPUTED_VALUE"""),46093.8250578703)</f>
        <v>46093.825057870301</v>
      </c>
      <c r="C1352" s="2" t="str">
        <f ca="1">IFERROR(__xludf.DUMMYFUNCTION("""COMPUTED_VALUE"""),"f063695a")</f>
        <v>f063695a</v>
      </c>
      <c r="D1352" s="2">
        <f ca="1">IFERROR(__xludf.DUMMYFUNCTION("""COMPUTED_VALUE"""),11)</f>
        <v>11</v>
      </c>
      <c r="E1352" s="2" t="str">
        <f ca="1">IFERROR(__xludf.DUMMYFUNCTION("""COMPUTED_VALUE"""),"Anccellota Aspirant Rect")</f>
        <v>Anccellota Aspirant Rect</v>
      </c>
      <c r="F1352" s="2">
        <f ca="1">IFERROR(__xludf.DUMMYFUNCTION("""COMPUTED_VALUE"""),1400)</f>
        <v>1400</v>
      </c>
      <c r="G1352" s="2">
        <f ca="1">IFERROR(__xludf.DUMMYFUNCTION("""COMPUTED_VALUE"""),25)</f>
        <v>25</v>
      </c>
      <c r="H1352" s="2" t="str">
        <f ca="1">IFERROR(__xludf.DUMMYFUNCTION("""COMPUTED_VALUE"""),"e7f421ba")</f>
        <v>e7f421ba</v>
      </c>
      <c r="I1352" s="2" t="str">
        <f ca="1">IFERROR(__xludf.DUMMYFUNCTION("""COMPUTED_VALUE"""),"Corte Millan")</f>
        <v>Corte Millan</v>
      </c>
      <c r="J1352" s="2">
        <f ca="1">IFERROR(__xludf.DUMMYFUNCTION("""COMPUTED_VALUE"""),133700)</f>
        <v>133700</v>
      </c>
      <c r="K1352" s="2">
        <f ca="1">IFERROR(__xludf.DUMMYFUNCTION("""COMPUTED_VALUE"""),135100)</f>
        <v>135100</v>
      </c>
      <c r="L1352" s="2" t="str">
        <f ca="1">IFERROR(__xludf.DUMMYFUNCTION("""COMPUTED_VALUE"""),"b6717cc2")</f>
        <v>b6717cc2</v>
      </c>
      <c r="M1352" s="2" t="str">
        <f ca="1">IFERROR(__xludf.DUMMYFUNCTION("""COMPUTED_VALUE"""),"Corte Millan")</f>
        <v>Corte Millan</v>
      </c>
      <c r="N1352" s="2"/>
      <c r="O1352" s="2" t="str">
        <f ca="1">IFERROR(__xludf.DUMMYFUNCTION("""COMPUTED_VALUE"""),"Rectificado")</f>
        <v>Rectificado</v>
      </c>
      <c r="P1352" s="2" t="str">
        <f ca="1">IFERROR(__xludf.DUMMYFUNCTION("""COMPUTED_VALUE"""),"Terminado")</f>
        <v>Terminado</v>
      </c>
      <c r="Q1352" s="2" t="b">
        <f ca="1">IFERROR(__xludf.DUMMYFUNCTION("""COMPUTED_VALUE"""),TRUE)</f>
        <v>1</v>
      </c>
      <c r="R1352" s="2" t="str">
        <f ca="1">IFERROR(__xludf.DUMMYFUNCTION("""COMPUTED_VALUE"""),"Terminado")</f>
        <v>Terminado</v>
      </c>
      <c r="S1352" s="2"/>
      <c r="T1352" s="2"/>
      <c r="U1352" s="2" t="str">
        <f ca="1">IFERROR(__xludf.DUMMYFUNCTION("""COMPUTED_VALUE"""),"1")</f>
        <v>1</v>
      </c>
    </row>
    <row r="1353" spans="1:21" x14ac:dyDescent="0.25">
      <c r="A1353" s="2" t="str">
        <f ca="1">IFERROR(__xludf.DUMMYFUNCTION("""COMPUTED_VALUE"""),"6c5e2ca8")</f>
        <v>6c5e2ca8</v>
      </c>
      <c r="B1353" s="5">
        <f ca="1">IFERROR(__xludf.DUMMYFUNCTION("""COMPUTED_VALUE"""),46093.8253819444)</f>
        <v>46093.8253819444</v>
      </c>
      <c r="C1353" s="2" t="str">
        <f ca="1">IFERROR(__xludf.DUMMYFUNCTION("""COMPUTED_VALUE"""),"555ad119")</f>
        <v>555ad119</v>
      </c>
      <c r="D1353" s="2">
        <f ca="1">IFERROR(__xludf.DUMMYFUNCTION("""COMPUTED_VALUE"""),46)</f>
        <v>46</v>
      </c>
      <c r="E1353" s="2" t="str">
        <f ca="1">IFERROR(__xludf.DUMMYFUNCTION("""COMPUTED_VALUE"""),"Aspirant")</f>
        <v>Aspirant</v>
      </c>
      <c r="F1353" s="2">
        <f ca="1">IFERROR(__xludf.DUMMYFUNCTION("""COMPUTED_VALUE"""),1700)</f>
        <v>1700</v>
      </c>
      <c r="G1353" s="2">
        <f ca="1">IFERROR(__xludf.DUMMYFUNCTION("""COMPUTED_VALUE"""),25)</f>
        <v>25</v>
      </c>
      <c r="H1353" s="2" t="str">
        <f ca="1">IFERROR(__xludf.DUMMYFUNCTION("""COMPUTED_VALUE"""),"b6717cc2")</f>
        <v>b6717cc2</v>
      </c>
      <c r="I1353" s="2" t="str">
        <f ca="1">IFERROR(__xludf.DUMMYFUNCTION("""COMPUTED_VALUE"""),"Corte Millan")</f>
        <v>Corte Millan</v>
      </c>
      <c r="J1353" s="2">
        <f ca="1">IFERROR(__xludf.DUMMYFUNCTION("""COMPUTED_VALUE"""),135100)</f>
        <v>135100</v>
      </c>
      <c r="K1353" s="2">
        <f ca="1">IFERROR(__xludf.DUMMYFUNCTION("""COMPUTED_VALUE"""),136800)</f>
        <v>136800</v>
      </c>
      <c r="L1353" s="2" t="str">
        <f ca="1">IFERROR(__xludf.DUMMYFUNCTION("""COMPUTED_VALUE"""),"d6a24ea6")</f>
        <v>d6a24ea6</v>
      </c>
      <c r="M1353" s="2" t="str">
        <f ca="1">IFERROR(__xludf.DUMMYFUNCTION("""COMPUTED_VALUE"""),"Corte Millan")</f>
        <v>Corte Millan</v>
      </c>
      <c r="N1353" s="2"/>
      <c r="O1353" s="2" t="str">
        <f ca="1">IFERROR(__xludf.DUMMYFUNCTION("""COMPUTED_VALUE"""),"Descubada")</f>
        <v>Descubada</v>
      </c>
      <c r="P1353" s="2" t="str">
        <f ca="1">IFERROR(__xludf.DUMMYFUNCTION("""COMPUTED_VALUE"""),"Terminado")</f>
        <v>Terminado</v>
      </c>
      <c r="Q1353" s="2" t="b">
        <f ca="1">IFERROR(__xludf.DUMMYFUNCTION("""COMPUTED_VALUE"""),TRUE)</f>
        <v>1</v>
      </c>
      <c r="R1353" s="2" t="str">
        <f ca="1">IFERROR(__xludf.DUMMYFUNCTION("""COMPUTED_VALUE"""),"Terminado")</f>
        <v>Terminado</v>
      </c>
      <c r="S1353" s="2"/>
      <c r="T1353" s="2"/>
      <c r="U1353" s="2" t="str">
        <f ca="1">IFERROR(__xludf.DUMMYFUNCTION("""COMPUTED_VALUE"""),"1")</f>
        <v>1</v>
      </c>
    </row>
    <row r="1354" spans="1:21" x14ac:dyDescent="0.25">
      <c r="A1354" s="2" t="str">
        <f ca="1">IFERROR(__xludf.DUMMYFUNCTION("""COMPUTED_VALUE"""),"e4798f34")</f>
        <v>e4798f34</v>
      </c>
      <c r="B1354" s="5">
        <f ca="1">IFERROR(__xludf.DUMMYFUNCTION("""COMPUTED_VALUE"""),46093.8317824074)</f>
        <v>46093.831782407397</v>
      </c>
      <c r="C1354" s="2" t="str">
        <f ca="1">IFERROR(__xludf.DUMMYFUNCTION("""COMPUTED_VALUE"""),"4ecbdfc2")</f>
        <v>4ecbdfc2</v>
      </c>
      <c r="D1354" s="2">
        <f ca="1">IFERROR(__xludf.DUMMYFUNCTION("""COMPUTED_VALUE"""),24)</f>
        <v>24</v>
      </c>
      <c r="E1354" s="2" t="str">
        <f ca="1">IFERROR(__xludf.DUMMYFUNCTION("""COMPUTED_VALUE"""),"Corte Millan")</f>
        <v>Corte Millan</v>
      </c>
      <c r="F1354" s="2">
        <f ca="1">IFERROR(__xludf.DUMMYFUNCTION("""COMPUTED_VALUE"""),186600)</f>
        <v>186600</v>
      </c>
      <c r="G1354" s="2"/>
      <c r="H1354" s="2"/>
      <c r="I1354" s="2"/>
      <c r="J1354" s="2"/>
      <c r="K1354" s="2">
        <f ca="1">IFERROR(__xludf.DUMMYFUNCTION("""COMPUTED_VALUE"""),186600)</f>
        <v>186600</v>
      </c>
      <c r="L1354" s="2" t="str">
        <f ca="1">IFERROR(__xludf.DUMMYFUNCTION("""COMPUTED_VALUE"""),"bc268948")</f>
        <v>bc268948</v>
      </c>
      <c r="M1354" s="2" t="str">
        <f ca="1">IFERROR(__xludf.DUMMYFUNCTION("""COMPUTED_VALUE"""),"Corte Millan")</f>
        <v>Corte Millan</v>
      </c>
      <c r="N1354" s="2" t="str">
        <f ca="1">IFERROR(__xludf.DUMMYFUNCTION("""COMPUTED_VALUE"""),"Venta Millan")</f>
        <v>Venta Millan</v>
      </c>
      <c r="O1354" s="2" t="str">
        <f ca="1">IFERROR(__xludf.DUMMYFUNCTION("""COMPUTED_VALUE"""),"Traslado Venta")</f>
        <v>Traslado Venta</v>
      </c>
      <c r="P1354" s="2"/>
      <c r="Q1354" s="2" t="b">
        <f ca="1">IFERROR(__xludf.DUMMYFUNCTION("""COMPUTED_VALUE"""),FALSE)</f>
        <v>0</v>
      </c>
      <c r="R1354" s="2" t="str">
        <f ca="1">IFERROR(__xludf.DUMMYFUNCTION("""COMPUTED_VALUE"""),"Terminado")</f>
        <v>Terminado</v>
      </c>
      <c r="S1354" s="2"/>
      <c r="T1354" s="2"/>
      <c r="U1354" s="2" t="str">
        <f ca="1">IFERROR(__xludf.DUMMYFUNCTION("""COMPUTED_VALUE"""),"1")</f>
        <v>1</v>
      </c>
    </row>
    <row r="1355" spans="1:21" x14ac:dyDescent="0.25">
      <c r="A1355" s="2" t="str">
        <f ca="1">IFERROR(__xludf.DUMMYFUNCTION("""COMPUTED_VALUE"""),"8e9d97ba")</f>
        <v>8e9d97ba</v>
      </c>
      <c r="B1355" s="5">
        <f ca="1">IFERROR(__xludf.DUMMYFUNCTION("""COMPUTED_VALUE"""),46093.8325)</f>
        <v>46093.832499999997</v>
      </c>
      <c r="C1355" s="2" t="str">
        <f ca="1">IFERROR(__xludf.DUMMYFUNCTION("""COMPUTED_VALUE"""),"d6a24ea6")</f>
        <v>d6a24ea6</v>
      </c>
      <c r="D1355" s="2">
        <f ca="1">IFERROR(__xludf.DUMMYFUNCTION("""COMPUTED_VALUE"""),25)</f>
        <v>25</v>
      </c>
      <c r="E1355" s="2" t="str">
        <f ca="1">IFERROR(__xludf.DUMMYFUNCTION("""COMPUTED_VALUE"""),"Corte Millan")</f>
        <v>Corte Millan</v>
      </c>
      <c r="F1355" s="2">
        <f ca="1">IFERROR(__xludf.DUMMYFUNCTION("""COMPUTED_VALUE"""),130400)</f>
        <v>130400</v>
      </c>
      <c r="G1355" s="2"/>
      <c r="H1355" s="2"/>
      <c r="I1355" s="2"/>
      <c r="J1355" s="2"/>
      <c r="K1355" s="2">
        <f ca="1">IFERROR(__xludf.DUMMYFUNCTION("""COMPUTED_VALUE"""),130400)</f>
        <v>130400</v>
      </c>
      <c r="L1355" s="2" t="str">
        <f ca="1">IFERROR(__xludf.DUMMYFUNCTION("""COMPUTED_VALUE"""),"bc2a2a7e")</f>
        <v>bc2a2a7e</v>
      </c>
      <c r="M1355" s="2" t="str">
        <f ca="1">IFERROR(__xludf.DUMMYFUNCTION("""COMPUTED_VALUE"""),"Corte Millan")</f>
        <v>Corte Millan</v>
      </c>
      <c r="N1355" s="2" t="str">
        <f ca="1">IFERROR(__xludf.DUMMYFUNCTION("""COMPUTED_VALUE"""),"Traslado Millan")</f>
        <v>Traslado Millan</v>
      </c>
      <c r="O1355" s="2" t="str">
        <f ca="1">IFERROR(__xludf.DUMMYFUNCTION("""COMPUTED_VALUE"""),"Terminado")</f>
        <v>Terminado</v>
      </c>
      <c r="P1355" s="2"/>
      <c r="Q1355" s="2" t="b">
        <f ca="1">IFERROR(__xludf.DUMMYFUNCTION("""COMPUTED_VALUE"""),FALSE)</f>
        <v>0</v>
      </c>
      <c r="R1355" s="2" t="str">
        <f ca="1">IFERROR(__xludf.DUMMYFUNCTION("""COMPUTED_VALUE"""),"Traslado Venta")</f>
        <v>Traslado Venta</v>
      </c>
      <c r="S1355" s="2"/>
      <c r="T1355" s="2"/>
      <c r="U1355" s="2" t="str">
        <f ca="1">IFERROR(__xludf.DUMMYFUNCTION("""COMPUTED_VALUE"""),"1")</f>
        <v>1</v>
      </c>
    </row>
    <row r="1356" spans="1:21" x14ac:dyDescent="0.25">
      <c r="A1356" s="2" t="str">
        <f ca="1">IFERROR(__xludf.DUMMYFUNCTION("""COMPUTED_VALUE"""),"97467232")</f>
        <v>97467232</v>
      </c>
      <c r="B1356" s="5">
        <f ca="1">IFERROR(__xludf.DUMMYFUNCTION("""COMPUTED_VALUE"""),46093.8357060185)</f>
        <v>46093.835706018501</v>
      </c>
      <c r="C1356" s="2" t="str">
        <f ca="1">IFERROR(__xludf.DUMMYFUNCTION("""COMPUTED_VALUE"""),"fa24ada7")</f>
        <v>fa24ada7</v>
      </c>
      <c r="D1356" s="2">
        <f ca="1">IFERROR(__xludf.DUMMYFUNCTION("""COMPUTED_VALUE"""),81)</f>
        <v>81</v>
      </c>
      <c r="E1356" s="2" t="str">
        <f ca="1">IFERROR(__xludf.DUMMYFUNCTION("""COMPUTED_VALUE"""),"Syrah")</f>
        <v>Syrah</v>
      </c>
      <c r="F1356" s="2">
        <f ca="1">IFERROR(__xludf.DUMMYFUNCTION("""COMPUTED_VALUE"""),4000)</f>
        <v>4000</v>
      </c>
      <c r="G1356" s="2">
        <f ca="1">IFERROR(__xludf.DUMMYFUNCTION("""COMPUTED_VALUE"""),88)</f>
        <v>88</v>
      </c>
      <c r="H1356" s="2" t="str">
        <f ca="1">IFERROR(__xludf.DUMMYFUNCTION("""COMPUTED_VALUE"""),"284109a2")</f>
        <v>284109a2</v>
      </c>
      <c r="I1356" s="2" t="str">
        <f ca="1">IFERROR(__xludf.DUMMYFUNCTION("""COMPUTED_VALUE"""),"Syrah")</f>
        <v>Syrah</v>
      </c>
      <c r="J1356" s="2">
        <f ca="1">IFERROR(__xludf.DUMMYFUNCTION("""COMPUTED_VALUE"""),42800)</f>
        <v>42800</v>
      </c>
      <c r="K1356" s="2">
        <f ca="1">IFERROR(__xludf.DUMMYFUNCTION("""COMPUTED_VALUE"""),46800)</f>
        <v>46800</v>
      </c>
      <c r="L1356" s="2" t="str">
        <f ca="1">IFERROR(__xludf.DUMMYFUNCTION("""COMPUTED_VALUE"""),"69a8bead")</f>
        <v>69a8bead</v>
      </c>
      <c r="M1356" s="2" t="str">
        <f ca="1">IFERROR(__xludf.DUMMYFUNCTION("""COMPUTED_VALUE"""),"Syrah pc")</f>
        <v>Syrah pc</v>
      </c>
      <c r="N1356" s="2" t="str">
        <f ca="1">IFERROR(__xludf.DUMMYFUNCTION("""COMPUTED_VALUE"""),"Pie de Cuba")</f>
        <v>Pie de Cuba</v>
      </c>
      <c r="O1356" s="2" t="str">
        <f ca="1">IFERROR(__xludf.DUMMYFUNCTION("""COMPUTED_VALUE"""),"Fermentando")</f>
        <v>Fermentando</v>
      </c>
      <c r="P1356" s="2" t="str">
        <f ca="1">IFERROR(__xludf.DUMMYFUNCTION("""COMPUTED_VALUE"""),"Fermentando")</f>
        <v>Fermentando</v>
      </c>
      <c r="Q1356" s="2" t="b">
        <f ca="1">IFERROR(__xludf.DUMMYFUNCTION("""COMPUTED_VALUE"""),TRUE)</f>
        <v>1</v>
      </c>
      <c r="R1356" s="2" t="str">
        <f ca="1">IFERROR(__xludf.DUMMYFUNCTION("""COMPUTED_VALUE"""),"Fermentando")</f>
        <v>Fermentando</v>
      </c>
      <c r="S1356" s="2"/>
      <c r="T1356" s="2"/>
      <c r="U1356" s="2"/>
    </row>
    <row r="1357" spans="1:21" x14ac:dyDescent="0.25">
      <c r="A1357" s="2" t="str">
        <f ca="1">IFERROR(__xludf.DUMMYFUNCTION("""COMPUTED_VALUE"""),"cf387f8e")</f>
        <v>cf387f8e</v>
      </c>
      <c r="B1357" s="5">
        <f ca="1">IFERROR(__xludf.DUMMYFUNCTION("""COMPUTED_VALUE"""),46093.8361226851)</f>
        <v>46093.836122685098</v>
      </c>
      <c r="C1357" s="2" t="str">
        <f ca="1">IFERROR(__xludf.DUMMYFUNCTION("""COMPUTED_VALUE"""),"fa24ada7")</f>
        <v>fa24ada7</v>
      </c>
      <c r="D1357" s="2">
        <f ca="1">IFERROR(__xludf.DUMMYFUNCTION("""COMPUTED_VALUE"""),81)</f>
        <v>81</v>
      </c>
      <c r="E1357" s="2" t="str">
        <f ca="1">IFERROR(__xludf.DUMMYFUNCTION("""COMPUTED_VALUE"""),"Syrah")</f>
        <v>Syrah</v>
      </c>
      <c r="F1357" s="2">
        <f ca="1">IFERROR(__xludf.DUMMYFUNCTION("""COMPUTED_VALUE"""),4000)</f>
        <v>4000</v>
      </c>
      <c r="G1357" s="2">
        <f ca="1">IFERROR(__xludf.DUMMYFUNCTION("""COMPUTED_VALUE"""),89)</f>
        <v>89</v>
      </c>
      <c r="H1357" s="2" t="str">
        <f ca="1">IFERROR(__xludf.DUMMYFUNCTION("""COMPUTED_VALUE"""),"95b82903")</f>
        <v>95b82903</v>
      </c>
      <c r="I1357" s="2" t="str">
        <f ca="1">IFERROR(__xludf.DUMMYFUNCTION("""COMPUTED_VALUE"""),"Syrah")</f>
        <v>Syrah</v>
      </c>
      <c r="J1357" s="2">
        <f ca="1">IFERROR(__xludf.DUMMYFUNCTION("""COMPUTED_VALUE"""),38200)</f>
        <v>38200</v>
      </c>
      <c r="K1357" s="2">
        <f ca="1">IFERROR(__xludf.DUMMYFUNCTION("""COMPUTED_VALUE"""),42200)</f>
        <v>42200</v>
      </c>
      <c r="L1357" s="2" t="str">
        <f ca="1">IFERROR(__xludf.DUMMYFUNCTION("""COMPUTED_VALUE"""),"ed448032")</f>
        <v>ed448032</v>
      </c>
      <c r="M1357" s="2" t="str">
        <f ca="1">IFERROR(__xludf.DUMMYFUNCTION("""COMPUTED_VALUE"""),"Syrah pc")</f>
        <v>Syrah pc</v>
      </c>
      <c r="N1357" s="2" t="str">
        <f ca="1">IFERROR(__xludf.DUMMYFUNCTION("""COMPUTED_VALUE"""),"Pie de Cuba")</f>
        <v>Pie de Cuba</v>
      </c>
      <c r="O1357" s="2" t="str">
        <f ca="1">IFERROR(__xludf.DUMMYFUNCTION("""COMPUTED_VALUE"""),"Fermentando")</f>
        <v>Fermentando</v>
      </c>
      <c r="P1357" s="2" t="str">
        <f ca="1">IFERROR(__xludf.DUMMYFUNCTION("""COMPUTED_VALUE"""),"Fermentando")</f>
        <v>Fermentando</v>
      </c>
      <c r="Q1357" s="2" t="b">
        <f ca="1">IFERROR(__xludf.DUMMYFUNCTION("""COMPUTED_VALUE"""),TRUE)</f>
        <v>1</v>
      </c>
      <c r="R1357" s="2" t="str">
        <f ca="1">IFERROR(__xludf.DUMMYFUNCTION("""COMPUTED_VALUE"""),"Fermentando")</f>
        <v>Fermentando</v>
      </c>
      <c r="S1357" s="2"/>
      <c r="T1357" s="2"/>
      <c r="U1357" s="2"/>
    </row>
    <row r="1358" spans="1:21" x14ac:dyDescent="0.25">
      <c r="A1358" s="2" t="str">
        <f ca="1">IFERROR(__xludf.DUMMYFUNCTION("""COMPUTED_VALUE"""),"228faf1a")</f>
        <v>228faf1a</v>
      </c>
      <c r="B1358" s="5">
        <f ca="1">IFERROR(__xludf.DUMMYFUNCTION("""COMPUTED_VALUE"""),46094.5198263888)</f>
        <v>46094.519826388801</v>
      </c>
      <c r="C1358" s="2" t="str">
        <f ca="1">IFERROR(__xludf.DUMMYFUNCTION("""COMPUTED_VALUE"""),"942bbcb8")</f>
        <v>942bbcb8</v>
      </c>
      <c r="D1358" s="2">
        <f ca="1">IFERROR(__xludf.DUMMYFUNCTION("""COMPUTED_VALUE"""),500)</f>
        <v>500</v>
      </c>
      <c r="E1358" s="2" t="str">
        <f ca="1">IFERROR(__xludf.DUMMYFUNCTION("""COMPUTED_VALUE"""),"Ajuste semana 13/02/2025")</f>
        <v>Ajuste semana 13/02/2025</v>
      </c>
      <c r="F1358" s="2">
        <f ca="1">IFERROR(__xludf.DUMMYFUNCTION("""COMPUTED_VALUE"""),9000)</f>
        <v>9000</v>
      </c>
      <c r="G1358" s="2">
        <f ca="1">IFERROR(__xludf.DUMMYFUNCTION("""COMPUTED_VALUE"""),104)</f>
        <v>104</v>
      </c>
      <c r="H1358" s="2"/>
      <c r="I1358" s="2" t="str">
        <f ca="1">IFERROR(__xludf.DUMMYFUNCTION("""COMPUTED_VALUE"""),"Syrah sobre Aspirant - Lote Origen 1e90a5fc")</f>
        <v>Syrah sobre Aspirant - Lote Origen 1e90a5fc</v>
      </c>
      <c r="J1358" s="2">
        <f ca="1">IFERROR(__xludf.DUMMYFUNCTION("""COMPUTED_VALUE"""),0)</f>
        <v>0</v>
      </c>
      <c r="K1358" s="2">
        <f ca="1">IFERROR(__xludf.DUMMYFUNCTION("""COMPUTED_VALUE"""),9000)</f>
        <v>9000</v>
      </c>
      <c r="L1358" s="2" t="str">
        <f ca="1">IFERROR(__xludf.DUMMYFUNCTION("""COMPUTED_VALUE"""),"c85ad333")</f>
        <v>c85ad333</v>
      </c>
      <c r="M1358" s="2" t="str">
        <f ca="1">IFERROR(__xludf.DUMMYFUNCTION("""COMPUTED_VALUE"""),"Syrah s/Asp")</f>
        <v>Syrah s/Asp</v>
      </c>
      <c r="N1358" s="2"/>
      <c r="O1358" s="2" t="str">
        <f ca="1">IFERROR(__xludf.DUMMYFUNCTION("""COMPUTED_VALUE"""),"Terminado")</f>
        <v>Terminado</v>
      </c>
      <c r="P1358" s="2"/>
      <c r="Q1358" s="2" t="b">
        <f ca="1">IFERROR(__xludf.DUMMYFUNCTION("""COMPUTED_VALUE"""),FALSE)</f>
        <v>0</v>
      </c>
      <c r="R1358" s="2" t="str">
        <f ca="1">IFERROR(__xludf.DUMMYFUNCTION("""COMPUTED_VALUE"""),"Descubada")</f>
        <v>Descubada</v>
      </c>
      <c r="S1358" s="2"/>
      <c r="T1358" s="2"/>
      <c r="U1358" s="2"/>
    </row>
    <row r="1359" spans="1:21" x14ac:dyDescent="0.25">
      <c r="A1359" s="2" t="str">
        <f ca="1">IFERROR(__xludf.DUMMYFUNCTION("""COMPUTED_VALUE"""),"0e3a4235")</f>
        <v>0e3a4235</v>
      </c>
      <c r="B1359" s="5">
        <f ca="1">IFERROR(__xludf.DUMMYFUNCTION("""COMPUTED_VALUE"""),46094.7280439814)</f>
        <v>46094.728043981399</v>
      </c>
      <c r="C1359" s="2" t="str">
        <f ca="1">IFERROR(__xludf.DUMMYFUNCTION("""COMPUTED_VALUE"""),"69a8bead")</f>
        <v>69a8bead</v>
      </c>
      <c r="D1359" s="2">
        <f ca="1">IFERROR(__xludf.DUMMYFUNCTION("""COMPUTED_VALUE"""),88)</f>
        <v>88</v>
      </c>
      <c r="E1359" s="2" t="str">
        <f ca="1">IFERROR(__xludf.DUMMYFUNCTION("""COMPUTED_VALUE"""),"Syrah pc")</f>
        <v>Syrah pc</v>
      </c>
      <c r="F1359" s="2">
        <f ca="1">IFERROR(__xludf.DUMMYFUNCTION("""COMPUTED_VALUE"""),-9300)</f>
        <v>-9300</v>
      </c>
      <c r="G1359" s="2">
        <f ca="1">IFERROR(__xludf.DUMMYFUNCTION("""COMPUTED_VALUE"""),47)</f>
        <v>47</v>
      </c>
      <c r="H1359" s="2" t="str">
        <f ca="1">IFERROR(__xludf.DUMMYFUNCTION("""COMPUTED_VALUE"""),"7e87134c")</f>
        <v>7e87134c</v>
      </c>
      <c r="I1359" s="2" t="str">
        <f ca="1">IFERROR(__xludf.DUMMYFUNCTION("""COMPUTED_VALUE"""),"Cabernet Sauvignon Rect")</f>
        <v>Cabernet Sauvignon Rect</v>
      </c>
      <c r="J1359" s="2">
        <f ca="1">IFERROR(__xludf.DUMMYFUNCTION("""COMPUTED_VALUE"""),20000)</f>
        <v>20000</v>
      </c>
      <c r="K1359" s="2">
        <f ca="1">IFERROR(__xludf.DUMMYFUNCTION("""COMPUTED_VALUE"""),10700)</f>
        <v>10700</v>
      </c>
      <c r="L1359" s="2" t="str">
        <f ca="1">IFERROR(__xludf.DUMMYFUNCTION("""COMPUTED_VALUE"""),"914ccdca")</f>
        <v>914ccdca</v>
      </c>
      <c r="M1359" s="2" t="str">
        <f ca="1">IFERROR(__xludf.DUMMYFUNCTION("""COMPUTED_VALUE"""),"Cabernet Sauvignon Rect")</f>
        <v>Cabernet Sauvignon Rect</v>
      </c>
      <c r="N1359" s="2"/>
      <c r="O1359" s="2" t="str">
        <f ca="1">IFERROR(__xludf.DUMMYFUNCTION("""COMPUTED_VALUE"""),"Fermentando")</f>
        <v>Fermentando</v>
      </c>
      <c r="P1359" s="2" t="str">
        <f ca="1">IFERROR(__xludf.DUMMYFUNCTION("""COMPUTED_VALUE"""),"Rectificado")</f>
        <v>Rectificado</v>
      </c>
      <c r="Q1359" s="2" t="b">
        <f ca="1">IFERROR(__xludf.DUMMYFUNCTION("""COMPUTED_VALUE"""),TRUE)</f>
        <v>1</v>
      </c>
      <c r="R1359" s="2" t="str">
        <f ca="1">IFERROR(__xludf.DUMMYFUNCTION("""COMPUTED_VALUE"""),"Rectificado")</f>
        <v>Rectificado</v>
      </c>
      <c r="S1359" s="2"/>
      <c r="T1359" s="2"/>
      <c r="U1359" s="2" t="str">
        <f ca="1">IFERROR(__xludf.DUMMYFUNCTION("""COMPUTED_VALUE"""),"1")</f>
        <v>1</v>
      </c>
    </row>
    <row r="1360" spans="1:21" x14ac:dyDescent="0.25">
      <c r="A1360" s="2" t="str">
        <f ca="1">IFERROR(__xludf.DUMMYFUNCTION("""COMPUTED_VALUE"""),"100eccd0")</f>
        <v>100eccd0</v>
      </c>
      <c r="B1360" s="5">
        <f ca="1">IFERROR(__xludf.DUMMYFUNCTION("""COMPUTED_VALUE"""),46094.7286921296)</f>
        <v>46094.728692129604</v>
      </c>
      <c r="C1360" s="2" t="str">
        <f ca="1">IFERROR(__xludf.DUMMYFUNCTION("""COMPUTED_VALUE"""),"ed448032")</f>
        <v>ed448032</v>
      </c>
      <c r="D1360" s="2">
        <f ca="1">IFERROR(__xludf.DUMMYFUNCTION("""COMPUTED_VALUE"""),89)</f>
        <v>89</v>
      </c>
      <c r="E1360" s="2" t="str">
        <f ca="1">IFERROR(__xludf.DUMMYFUNCTION("""COMPUTED_VALUE"""),"Syrah pc")</f>
        <v>Syrah pc</v>
      </c>
      <c r="F1360" s="2">
        <f ca="1">IFERROR(__xludf.DUMMYFUNCTION("""COMPUTED_VALUE"""),-8500)</f>
        <v>-8500</v>
      </c>
      <c r="G1360" s="2">
        <f ca="1">IFERROR(__xludf.DUMMYFUNCTION("""COMPUTED_VALUE"""),48)</f>
        <v>48</v>
      </c>
      <c r="H1360" s="2" t="str">
        <f ca="1">IFERROR(__xludf.DUMMYFUNCTION("""COMPUTED_VALUE"""),"c4e0169e")</f>
        <v>c4e0169e</v>
      </c>
      <c r="I1360" s="2" t="str">
        <f ca="1">IFERROR(__xludf.DUMMYFUNCTION("""COMPUTED_VALUE"""),"Cabernet Sauvignon Rect")</f>
        <v>Cabernet Sauvignon Rect</v>
      </c>
      <c r="J1360" s="2">
        <f ca="1">IFERROR(__xludf.DUMMYFUNCTION("""COMPUTED_VALUE"""),8500)</f>
        <v>8500</v>
      </c>
      <c r="K1360" s="2">
        <f ca="1">IFERROR(__xludf.DUMMYFUNCTION("""COMPUTED_VALUE"""),0)</f>
        <v>0</v>
      </c>
      <c r="L1360" s="2" t="str">
        <f ca="1">IFERROR(__xludf.DUMMYFUNCTION("""COMPUTED_VALUE"""),"b8788e91")</f>
        <v>b8788e91</v>
      </c>
      <c r="M1360" s="2" t="str">
        <f ca="1">IFERROR(__xludf.DUMMYFUNCTION("""COMPUTED_VALUE"""),"Cabernet Sauvignon Rect")</f>
        <v>Cabernet Sauvignon Rect</v>
      </c>
      <c r="N1360" s="2"/>
      <c r="O1360" s="2" t="str">
        <f ca="1">IFERROR(__xludf.DUMMYFUNCTION("""COMPUTED_VALUE"""),"Fermentando")</f>
        <v>Fermentando</v>
      </c>
      <c r="P1360" s="2" t="str">
        <f ca="1">IFERROR(__xludf.DUMMYFUNCTION("""COMPUTED_VALUE"""),"Rectificado")</f>
        <v>Rectificado</v>
      </c>
      <c r="Q1360" s="2" t="b">
        <f ca="1">IFERROR(__xludf.DUMMYFUNCTION("""COMPUTED_VALUE"""),TRUE)</f>
        <v>1</v>
      </c>
      <c r="R1360" s="2" t="str">
        <f ca="1">IFERROR(__xludf.DUMMYFUNCTION("""COMPUTED_VALUE"""),"Rectificado")</f>
        <v>Rectificado</v>
      </c>
      <c r="S1360" s="2"/>
      <c r="T1360" s="2"/>
      <c r="U1360" s="2" t="str">
        <f ca="1">IFERROR(__xludf.DUMMYFUNCTION("""COMPUTED_VALUE"""),"1")</f>
        <v>1</v>
      </c>
    </row>
    <row r="1361" spans="1:21" x14ac:dyDescent="0.25">
      <c r="A1361" s="2" t="str">
        <f ca="1">IFERROR(__xludf.DUMMYFUNCTION("""COMPUTED_VALUE"""),"0facfa19")</f>
        <v>0facfa19</v>
      </c>
      <c r="B1361" s="5">
        <f ca="1">IFERROR(__xludf.DUMMYFUNCTION("""COMPUTED_VALUE"""),46094.729224537)</f>
        <v>46094.729224536997</v>
      </c>
      <c r="C1361" s="2" t="str">
        <f ca="1">IFERROR(__xludf.DUMMYFUNCTION("""COMPUTED_VALUE"""),"ed448032")</f>
        <v>ed448032</v>
      </c>
      <c r="D1361" s="2">
        <f ca="1">IFERROR(__xludf.DUMMYFUNCTION("""COMPUTED_VALUE"""),89)</f>
        <v>89</v>
      </c>
      <c r="E1361" s="2" t="str">
        <f ca="1">IFERROR(__xludf.DUMMYFUNCTION("""COMPUTED_VALUE"""),"Syrah pc")</f>
        <v>Syrah pc</v>
      </c>
      <c r="F1361" s="2">
        <f ca="1">IFERROR(__xludf.DUMMYFUNCTION("""COMPUTED_VALUE"""),-1000)</f>
        <v>-1000</v>
      </c>
      <c r="G1361" s="2">
        <f ca="1">IFERROR(__xludf.DUMMYFUNCTION("""COMPUTED_VALUE"""),47)</f>
        <v>47</v>
      </c>
      <c r="H1361" s="2" t="str">
        <f ca="1">IFERROR(__xludf.DUMMYFUNCTION("""COMPUTED_VALUE"""),"914ccdca")</f>
        <v>914ccdca</v>
      </c>
      <c r="I1361" s="2" t="str">
        <f ca="1">IFERROR(__xludf.DUMMYFUNCTION("""COMPUTED_VALUE"""),"Cabernet Sauvignon Rect")</f>
        <v>Cabernet Sauvignon Rect</v>
      </c>
      <c r="J1361" s="2">
        <f ca="1">IFERROR(__xludf.DUMMYFUNCTION("""COMPUTED_VALUE"""),10700)</f>
        <v>10700</v>
      </c>
      <c r="K1361" s="2">
        <f ca="1">IFERROR(__xludf.DUMMYFUNCTION("""COMPUTED_VALUE"""),9700)</f>
        <v>9700</v>
      </c>
      <c r="L1361" s="2" t="str">
        <f ca="1">IFERROR(__xludf.DUMMYFUNCTION("""COMPUTED_VALUE"""),"20ea01bd")</f>
        <v>20ea01bd</v>
      </c>
      <c r="M1361" s="2" t="str">
        <f ca="1">IFERROR(__xludf.DUMMYFUNCTION("""COMPUTED_VALUE"""),"Cabernet Sauvignon Rect")</f>
        <v>Cabernet Sauvignon Rect</v>
      </c>
      <c r="N1361" s="2"/>
      <c r="O1361" s="2" t="str">
        <f ca="1">IFERROR(__xludf.DUMMYFUNCTION("""COMPUTED_VALUE"""),"Fermentando")</f>
        <v>Fermentando</v>
      </c>
      <c r="P1361" s="2" t="str">
        <f ca="1">IFERROR(__xludf.DUMMYFUNCTION("""COMPUTED_VALUE"""),"Rectificado")</f>
        <v>Rectificado</v>
      </c>
      <c r="Q1361" s="2" t="b">
        <f ca="1">IFERROR(__xludf.DUMMYFUNCTION("""COMPUTED_VALUE"""),TRUE)</f>
        <v>1</v>
      </c>
      <c r="R1361" s="2" t="str">
        <f ca="1">IFERROR(__xludf.DUMMYFUNCTION("""COMPUTED_VALUE"""),"Rectificado")</f>
        <v>Rectificado</v>
      </c>
      <c r="S1361" s="2"/>
      <c r="T1361" s="2"/>
      <c r="U1361" s="2" t="str">
        <f ca="1">IFERROR(__xludf.DUMMYFUNCTION("""COMPUTED_VALUE"""),"1")</f>
        <v>1</v>
      </c>
    </row>
    <row r="1362" spans="1:21" x14ac:dyDescent="0.25">
      <c r="A1362" s="2" t="str">
        <f ca="1">IFERROR(__xludf.DUMMYFUNCTION("""COMPUTED_VALUE"""),"f051bb05")</f>
        <v>f051bb05</v>
      </c>
      <c r="B1362" s="5">
        <f ca="1">IFERROR(__xludf.DUMMYFUNCTION("""COMPUTED_VALUE"""),46094.7595833333)</f>
        <v>46094.759583333303</v>
      </c>
      <c r="C1362" s="2" t="str">
        <f ca="1">IFERROR(__xludf.DUMMYFUNCTION("""COMPUTED_VALUE"""),"d6a24ea6")</f>
        <v>d6a24ea6</v>
      </c>
      <c r="D1362" s="2">
        <f ca="1">IFERROR(__xludf.DUMMYFUNCTION("""COMPUTED_VALUE"""),25)</f>
        <v>25</v>
      </c>
      <c r="E1362" s="2" t="str">
        <f ca="1">IFERROR(__xludf.DUMMYFUNCTION("""COMPUTED_VALUE"""),"Corte Millan")</f>
        <v>Corte Millan</v>
      </c>
      <c r="F1362" s="2">
        <f ca="1">IFERROR(__xludf.DUMMYFUNCTION("""COMPUTED_VALUE"""),6400)</f>
        <v>6400</v>
      </c>
      <c r="G1362" s="2">
        <f ca="1">IFERROR(__xludf.DUMMYFUNCTION("""COMPUTED_VALUE"""),92)</f>
        <v>92</v>
      </c>
      <c r="H1362" s="2" t="str">
        <f ca="1">IFERROR(__xludf.DUMMYFUNCTION("""COMPUTED_VALUE"""),"ef7d4d6c")</f>
        <v>ef7d4d6c</v>
      </c>
      <c r="I1362" s="2" t="str">
        <f ca="1">IFERROR(__xludf.DUMMYFUNCTION("""COMPUTED_VALUE"""),"Corte Millan")</f>
        <v>Corte Millan</v>
      </c>
      <c r="J1362" s="2">
        <f ca="1">IFERROR(__xludf.DUMMYFUNCTION("""COMPUTED_VALUE"""),19500)</f>
        <v>19500</v>
      </c>
      <c r="K1362" s="2">
        <f ca="1">IFERROR(__xludf.DUMMYFUNCTION("""COMPUTED_VALUE"""),25900)</f>
        <v>25900</v>
      </c>
      <c r="L1362" s="2" t="str">
        <f ca="1">IFERROR(__xludf.DUMMYFUNCTION("""COMPUTED_VALUE"""),"9b75624d")</f>
        <v>9b75624d</v>
      </c>
      <c r="M1362" s="2" t="str">
        <f ca="1">IFERROR(__xludf.DUMMYFUNCTION("""COMPUTED_VALUE"""),"Corte Millan")</f>
        <v>Corte Millan</v>
      </c>
      <c r="N1362" s="2"/>
      <c r="O1362" s="2" t="str">
        <f ca="1">IFERROR(__xludf.DUMMYFUNCTION("""COMPUTED_VALUE"""),"Terminado")</f>
        <v>Terminado</v>
      </c>
      <c r="P1362" s="2" t="str">
        <f ca="1">IFERROR(__xludf.DUMMYFUNCTION("""COMPUTED_VALUE"""),"Terminado")</f>
        <v>Terminado</v>
      </c>
      <c r="Q1362" s="2" t="b">
        <f ca="1">IFERROR(__xludf.DUMMYFUNCTION("""COMPUTED_VALUE"""),TRUE)</f>
        <v>1</v>
      </c>
      <c r="R1362" s="2" t="str">
        <f ca="1">IFERROR(__xludf.DUMMYFUNCTION("""COMPUTED_VALUE"""),"Terminado")</f>
        <v>Terminado</v>
      </c>
      <c r="S1362" s="2"/>
      <c r="T1362" s="2"/>
      <c r="U1362" s="2" t="str">
        <f ca="1">IFERROR(__xludf.DUMMYFUNCTION("""COMPUTED_VALUE"""),"1")</f>
        <v>1</v>
      </c>
    </row>
    <row r="1363" spans="1:21" x14ac:dyDescent="0.25">
      <c r="A1363" s="2" t="str">
        <f ca="1">IFERROR(__xludf.DUMMYFUNCTION("""COMPUTED_VALUE"""),"11757532")</f>
        <v>11757532</v>
      </c>
      <c r="B1363" s="5">
        <f ca="1">IFERROR(__xludf.DUMMYFUNCTION("""COMPUTED_VALUE"""),46097.5039930555)</f>
        <v>46097.503993055499</v>
      </c>
      <c r="C1363" s="2" t="str">
        <f ca="1">IFERROR(__xludf.DUMMYFUNCTION("""COMPUTED_VALUE"""),"d03cb183")</f>
        <v>d03cb183</v>
      </c>
      <c r="D1363" s="2">
        <f ca="1">IFERROR(__xludf.DUMMYFUNCTION("""COMPUTED_VALUE"""),87)</f>
        <v>87</v>
      </c>
      <c r="E1363" s="2" t="str">
        <f ca="1">IFERROR(__xludf.DUMMYFUNCTION("""COMPUTED_VALUE"""),"Syrah Tempranillo")</f>
        <v>Syrah Tempranillo</v>
      </c>
      <c r="F1363" s="2">
        <f ca="1">IFERROR(__xludf.DUMMYFUNCTION("""COMPUTED_VALUE"""),-9700)</f>
        <v>-9700</v>
      </c>
      <c r="G1363" s="2">
        <f ca="1">IFERROR(__xludf.DUMMYFUNCTION("""COMPUTED_VALUE"""),47)</f>
        <v>47</v>
      </c>
      <c r="H1363" s="2" t="str">
        <f ca="1">IFERROR(__xludf.DUMMYFUNCTION("""COMPUTED_VALUE"""),"20ea01bd")</f>
        <v>20ea01bd</v>
      </c>
      <c r="I1363" s="2" t="str">
        <f ca="1">IFERROR(__xludf.DUMMYFUNCTION("""COMPUTED_VALUE"""),"Cabernet Sauvignon Rect")</f>
        <v>Cabernet Sauvignon Rect</v>
      </c>
      <c r="J1363" s="2">
        <f ca="1">IFERROR(__xludf.DUMMYFUNCTION("""COMPUTED_VALUE"""),9700)</f>
        <v>9700</v>
      </c>
      <c r="K1363" s="2">
        <f ca="1">IFERROR(__xludf.DUMMYFUNCTION("""COMPUTED_VALUE"""),0)</f>
        <v>0</v>
      </c>
      <c r="L1363" s="2" t="str">
        <f ca="1">IFERROR(__xludf.DUMMYFUNCTION("""COMPUTED_VALUE"""),"9aa08336")</f>
        <v>9aa08336</v>
      </c>
      <c r="M1363" s="2" t="str">
        <f ca="1">IFERROR(__xludf.DUMMYFUNCTION("""COMPUTED_VALUE"""),"Cabernet Sauvignon Rect")</f>
        <v>Cabernet Sauvignon Rect</v>
      </c>
      <c r="N1363" s="2"/>
      <c r="O1363" s="2" t="str">
        <f ca="1">IFERROR(__xludf.DUMMYFUNCTION("""COMPUTED_VALUE"""),"Fermentando")</f>
        <v>Fermentando</v>
      </c>
      <c r="P1363" s="2" t="str">
        <f ca="1">IFERROR(__xludf.DUMMYFUNCTION("""COMPUTED_VALUE"""),"Rectificado")</f>
        <v>Rectificado</v>
      </c>
      <c r="Q1363" s="2" t="b">
        <f ca="1">IFERROR(__xludf.DUMMYFUNCTION("""COMPUTED_VALUE"""),TRUE)</f>
        <v>1</v>
      </c>
      <c r="R1363" s="2" t="str">
        <f ca="1">IFERROR(__xludf.DUMMYFUNCTION("""COMPUTED_VALUE"""),"Rectificado")</f>
        <v>Rectificado</v>
      </c>
      <c r="S1363" s="2"/>
      <c r="T1363" s="2"/>
      <c r="U1363" s="2" t="str">
        <f ca="1">IFERROR(__xludf.DUMMYFUNCTION("""COMPUTED_VALUE"""),"1")</f>
        <v>1</v>
      </c>
    </row>
    <row r="1364" spans="1:21" x14ac:dyDescent="0.25">
      <c r="A1364" s="2" t="str">
        <f ca="1">IFERROR(__xludf.DUMMYFUNCTION("""COMPUTED_VALUE"""),"8072e2e3")</f>
        <v>8072e2e3</v>
      </c>
      <c r="B1364" s="5">
        <f ca="1">IFERROR(__xludf.DUMMYFUNCTION("""COMPUTED_VALUE"""),46097.5046296296)</f>
        <v>46097.504629629599</v>
      </c>
      <c r="C1364" s="2" t="str">
        <f ca="1">IFERROR(__xludf.DUMMYFUNCTION("""COMPUTED_VALUE"""),"9b75624d")</f>
        <v>9b75624d</v>
      </c>
      <c r="D1364" s="2">
        <f ca="1">IFERROR(__xludf.DUMMYFUNCTION("""COMPUTED_VALUE"""),92)</f>
        <v>92</v>
      </c>
      <c r="E1364" s="2" t="str">
        <f ca="1">IFERROR(__xludf.DUMMYFUNCTION("""COMPUTED_VALUE"""),"Corte Millan")</f>
        <v>Corte Millan</v>
      </c>
      <c r="F1364" s="2">
        <f ca="1">IFERROR(__xludf.DUMMYFUNCTION("""COMPUTED_VALUE"""),19500)</f>
        <v>19500</v>
      </c>
      <c r="G1364" s="2">
        <f ca="1">IFERROR(__xludf.DUMMYFUNCTION("""COMPUTED_VALUE"""),16)</f>
        <v>16</v>
      </c>
      <c r="H1364" s="2"/>
      <c r="I1364" s="2"/>
      <c r="J1364" s="2">
        <f ca="1">IFERROR(__xludf.DUMMYFUNCTION("""COMPUTED_VALUE"""),0)</f>
        <v>0</v>
      </c>
      <c r="K1364" s="2">
        <f ca="1">IFERROR(__xludf.DUMMYFUNCTION("""COMPUTED_VALUE"""),19500)</f>
        <v>19500</v>
      </c>
      <c r="L1364" s="2" t="str">
        <f ca="1">IFERROR(__xludf.DUMMYFUNCTION("""COMPUTED_VALUE"""),"eed6b107")</f>
        <v>eed6b107</v>
      </c>
      <c r="M1364" s="2" t="str">
        <f ca="1">IFERROR(__xludf.DUMMYFUNCTION("""COMPUTED_VALUE"""),"Tinto Varielta (corte Millan)")</f>
        <v>Tinto Varielta (corte Millan)</v>
      </c>
      <c r="N1364" s="2"/>
      <c r="O1364" s="2" t="str">
        <f ca="1">IFERROR(__xludf.DUMMYFUNCTION("""COMPUTED_VALUE"""),"Terminado")</f>
        <v>Terminado</v>
      </c>
      <c r="P1364" s="2"/>
      <c r="Q1364" s="2" t="b">
        <f ca="1">IFERROR(__xludf.DUMMYFUNCTION("""COMPUTED_VALUE"""),FALSE)</f>
        <v>0</v>
      </c>
      <c r="R1364" s="2" t="str">
        <f ca="1">IFERROR(__xludf.DUMMYFUNCTION("""COMPUTED_VALUE"""),"Terminado")</f>
        <v>Terminado</v>
      </c>
      <c r="S1364" s="2"/>
      <c r="T1364" s="2"/>
      <c r="U1364" s="2" t="str">
        <f ca="1">IFERROR(__xludf.DUMMYFUNCTION("""COMPUTED_VALUE"""),"1")</f>
        <v>1</v>
      </c>
    </row>
    <row r="1365" spans="1:21" x14ac:dyDescent="0.25">
      <c r="A1365" s="2" t="str">
        <f ca="1">IFERROR(__xludf.DUMMYFUNCTION("""COMPUTED_VALUE"""),"583a46a6")</f>
        <v>583a46a6</v>
      </c>
      <c r="B1365" s="5">
        <f ca="1">IFERROR(__xludf.DUMMYFUNCTION("""COMPUTED_VALUE"""),46097.505324074)</f>
        <v>46097.505324074002</v>
      </c>
      <c r="C1365" s="2" t="str">
        <f ca="1">IFERROR(__xludf.DUMMYFUNCTION("""COMPUTED_VALUE"""),"9b75624d")</f>
        <v>9b75624d</v>
      </c>
      <c r="D1365" s="2">
        <f ca="1">IFERROR(__xludf.DUMMYFUNCTION("""COMPUTED_VALUE"""),92)</f>
        <v>92</v>
      </c>
      <c r="E1365" s="2" t="str">
        <f ca="1">IFERROR(__xludf.DUMMYFUNCTION("""COMPUTED_VALUE"""),"Corte Millan")</f>
        <v>Corte Millan</v>
      </c>
      <c r="F1365" s="2">
        <f ca="1">IFERROR(__xludf.DUMMYFUNCTION("""COMPUTED_VALUE"""),6400)</f>
        <v>6400</v>
      </c>
      <c r="G1365" s="2">
        <f ca="1">IFERROR(__xludf.DUMMYFUNCTION("""COMPUTED_VALUE"""),11)</f>
        <v>11</v>
      </c>
      <c r="H1365" s="2" t="str">
        <f ca="1">IFERROR(__xludf.DUMMYFUNCTION("""COMPUTED_VALUE"""),"f063695a")</f>
        <v>f063695a</v>
      </c>
      <c r="I1365" s="2" t="str">
        <f ca="1">IFERROR(__xludf.DUMMYFUNCTION("""COMPUTED_VALUE"""),"Anccellota Aspirant Rect")</f>
        <v>Anccellota Aspirant Rect</v>
      </c>
      <c r="J1365" s="2">
        <f ca="1">IFERROR(__xludf.DUMMYFUNCTION("""COMPUTED_VALUE"""),20200)</f>
        <v>20200</v>
      </c>
      <c r="K1365" s="2">
        <f ca="1">IFERROR(__xludf.DUMMYFUNCTION("""COMPUTED_VALUE"""),26600)</f>
        <v>26600</v>
      </c>
      <c r="L1365" s="2" t="str">
        <f ca="1">IFERROR(__xludf.DUMMYFUNCTION("""COMPUTED_VALUE"""),"e5f7b9d7")</f>
        <v>e5f7b9d7</v>
      </c>
      <c r="M1365" s="2" t="str">
        <f ca="1">IFERROR(__xludf.DUMMYFUNCTION("""COMPUTED_VALUE"""),"Anccellota Aspirant Rect")</f>
        <v>Anccellota Aspirant Rect</v>
      </c>
      <c r="N1365" s="2"/>
      <c r="O1365" s="2" t="str">
        <f ca="1">IFERROR(__xludf.DUMMYFUNCTION("""COMPUTED_VALUE"""),"Terminado")</f>
        <v>Terminado</v>
      </c>
      <c r="P1365" s="2" t="str">
        <f ca="1">IFERROR(__xludf.DUMMYFUNCTION("""COMPUTED_VALUE"""),"Rectificado")</f>
        <v>Rectificado</v>
      </c>
      <c r="Q1365" s="2" t="b">
        <f ca="1">IFERROR(__xludf.DUMMYFUNCTION("""COMPUTED_VALUE"""),TRUE)</f>
        <v>1</v>
      </c>
      <c r="R1365" s="2" t="str">
        <f ca="1">IFERROR(__xludf.DUMMYFUNCTION("""COMPUTED_VALUE"""),"Rectificado")</f>
        <v>Rectificado</v>
      </c>
      <c r="S1365" s="2"/>
      <c r="T1365" s="2"/>
      <c r="U1365" s="2" t="str">
        <f ca="1">IFERROR(__xludf.DUMMYFUNCTION("""COMPUTED_VALUE"""),"2+")</f>
        <v>2+</v>
      </c>
    </row>
    <row r="1366" spans="1:21" x14ac:dyDescent="0.25">
      <c r="A1366" s="2" t="str">
        <f ca="1">IFERROR(__xludf.DUMMYFUNCTION("""COMPUTED_VALUE"""),"992ce113")</f>
        <v>992ce113</v>
      </c>
      <c r="B1366" s="5">
        <f ca="1">IFERROR(__xludf.DUMMYFUNCTION("""COMPUTED_VALUE"""),46097.505787037)</f>
        <v>46097.505787037</v>
      </c>
      <c r="C1366" s="2" t="str">
        <f ca="1">IFERROR(__xludf.DUMMYFUNCTION("""COMPUTED_VALUE"""),"3b6cbb3c")</f>
        <v>3b6cbb3c</v>
      </c>
      <c r="D1366" s="2">
        <f ca="1">IFERROR(__xludf.DUMMYFUNCTION("""COMPUTED_VALUE"""),84)</f>
        <v>84</v>
      </c>
      <c r="E1366" s="2" t="str">
        <f ca="1">IFERROR(__xludf.DUMMYFUNCTION("""COMPUTED_VALUE"""),"Syrah Merlot s/Asp 2")</f>
        <v>Syrah Merlot s/Asp 2</v>
      </c>
      <c r="F1366" s="2">
        <f ca="1">IFERROR(__xludf.DUMMYFUNCTION("""COMPUTED_VALUE"""),22000)</f>
        <v>22000</v>
      </c>
      <c r="G1366" s="2">
        <f ca="1">IFERROR(__xludf.DUMMYFUNCTION("""COMPUTED_VALUE"""),104)</f>
        <v>104</v>
      </c>
      <c r="H1366" s="2" t="str">
        <f ca="1">IFERROR(__xludf.DUMMYFUNCTION("""COMPUTED_VALUE"""),"c85ad333")</f>
        <v>c85ad333</v>
      </c>
      <c r="I1366" s="2" t="str">
        <f ca="1">IFERROR(__xludf.DUMMYFUNCTION("""COMPUTED_VALUE"""),"Syrah s/Asp")</f>
        <v>Syrah s/Asp</v>
      </c>
      <c r="J1366" s="2">
        <f ca="1">IFERROR(__xludf.DUMMYFUNCTION("""COMPUTED_VALUE"""),9000)</f>
        <v>9000</v>
      </c>
      <c r="K1366" s="2">
        <f ca="1">IFERROR(__xludf.DUMMYFUNCTION("""COMPUTED_VALUE"""),31000)</f>
        <v>31000</v>
      </c>
      <c r="L1366" s="2" t="str">
        <f ca="1">IFERROR(__xludf.DUMMYFUNCTION("""COMPUTED_VALUE"""),"7831ca4f")</f>
        <v>7831ca4f</v>
      </c>
      <c r="M1366" s="2" t="str">
        <f ca="1">IFERROR(__xludf.DUMMYFUNCTION("""COMPUTED_VALUE"""),"Syrah s/Asp")</f>
        <v>Syrah s/Asp</v>
      </c>
      <c r="N1366" s="2"/>
      <c r="O1366" s="2" t="str">
        <f ca="1">IFERROR(__xludf.DUMMYFUNCTION("""COMPUTED_VALUE"""),"Fermentando")</f>
        <v>Fermentando</v>
      </c>
      <c r="P1366" s="2" t="str">
        <f ca="1">IFERROR(__xludf.DUMMYFUNCTION("""COMPUTED_VALUE"""),"Descubada")</f>
        <v>Descubada</v>
      </c>
      <c r="Q1366" s="2" t="b">
        <f ca="1">IFERROR(__xludf.DUMMYFUNCTION("""COMPUTED_VALUE"""),TRUE)</f>
        <v>1</v>
      </c>
      <c r="R1366" s="2" t="str">
        <f ca="1">IFERROR(__xludf.DUMMYFUNCTION("""COMPUTED_VALUE"""),"Descubada")</f>
        <v>Descubada</v>
      </c>
      <c r="S1366" s="2"/>
      <c r="T1366" s="2"/>
      <c r="U1366" s="2"/>
    </row>
    <row r="1367" spans="1:21" x14ac:dyDescent="0.25">
      <c r="A1367" s="2" t="str">
        <f ca="1">IFERROR(__xludf.DUMMYFUNCTION("""COMPUTED_VALUE"""),"cc7f9ba5")</f>
        <v>cc7f9ba5</v>
      </c>
      <c r="B1367" s="5">
        <f ca="1">IFERROR(__xludf.DUMMYFUNCTION("""COMPUTED_VALUE"""),46097.5062268518)</f>
        <v>46097.506226851801</v>
      </c>
      <c r="C1367" s="2" t="str">
        <f ca="1">IFERROR(__xludf.DUMMYFUNCTION("""COMPUTED_VALUE"""),"3b6cbb3c")</f>
        <v>3b6cbb3c</v>
      </c>
      <c r="D1367" s="2">
        <f ca="1">IFERROR(__xludf.DUMMYFUNCTION("""COMPUTED_VALUE"""),84)</f>
        <v>84</v>
      </c>
      <c r="E1367" s="2" t="str">
        <f ca="1">IFERROR(__xludf.DUMMYFUNCTION("""COMPUTED_VALUE"""),"Syrah Merlot s/Asp 2")</f>
        <v>Syrah Merlot s/Asp 2</v>
      </c>
      <c r="F1367" s="2">
        <f ca="1">IFERROR(__xludf.DUMMYFUNCTION("""COMPUTED_VALUE"""),3000)</f>
        <v>3000</v>
      </c>
      <c r="G1367" s="2">
        <f ca="1">IFERROR(__xludf.DUMMYFUNCTION("""COMPUTED_VALUE"""),46)</f>
        <v>46</v>
      </c>
      <c r="H1367" s="2" t="str">
        <f ca="1">IFERROR(__xludf.DUMMYFUNCTION("""COMPUTED_VALUE"""),"555ad119")</f>
        <v>555ad119</v>
      </c>
      <c r="I1367" s="2" t="str">
        <f ca="1">IFERROR(__xludf.DUMMYFUNCTION("""COMPUTED_VALUE"""),"Aspirant")</f>
        <v>Aspirant</v>
      </c>
      <c r="J1367" s="2">
        <f ca="1">IFERROR(__xludf.DUMMYFUNCTION("""COMPUTED_VALUE"""),26000)</f>
        <v>26000</v>
      </c>
      <c r="K1367" s="2">
        <f ca="1">IFERROR(__xludf.DUMMYFUNCTION("""COMPUTED_VALUE"""),29000)</f>
        <v>29000</v>
      </c>
      <c r="L1367" s="2" t="str">
        <f ca="1">IFERROR(__xludf.DUMMYFUNCTION("""COMPUTED_VALUE"""),"0f375d43")</f>
        <v>0f375d43</v>
      </c>
      <c r="M1367" s="2" t="str">
        <f ca="1">IFERROR(__xludf.DUMMYFUNCTION("""COMPUTED_VALUE"""),"Aspirant")</f>
        <v>Aspirant</v>
      </c>
      <c r="N1367" s="2"/>
      <c r="O1367" s="2" t="str">
        <f ca="1">IFERROR(__xludf.DUMMYFUNCTION("""COMPUTED_VALUE"""),"Fermentando")</f>
        <v>Fermentando</v>
      </c>
      <c r="P1367" s="2" t="str">
        <f ca="1">IFERROR(__xludf.DUMMYFUNCTION("""COMPUTED_VALUE"""),"Descubada")</f>
        <v>Descubada</v>
      </c>
      <c r="Q1367" s="2" t="b">
        <f ca="1">IFERROR(__xludf.DUMMYFUNCTION("""COMPUTED_VALUE"""),TRUE)</f>
        <v>1</v>
      </c>
      <c r="R1367" s="2" t="str">
        <f ca="1">IFERROR(__xludf.DUMMYFUNCTION("""COMPUTED_VALUE"""),"Descubada")</f>
        <v>Descubada</v>
      </c>
      <c r="S1367" s="2"/>
      <c r="T1367" s="2"/>
      <c r="U1367" s="2"/>
    </row>
    <row r="1368" spans="1:21" x14ac:dyDescent="0.25">
      <c r="A1368" s="2" t="str">
        <f ca="1">IFERROR(__xludf.DUMMYFUNCTION("""COMPUTED_VALUE"""),"bd433451")</f>
        <v>bd433451</v>
      </c>
      <c r="B1368" s="5">
        <f ca="1">IFERROR(__xludf.DUMMYFUNCTION("""COMPUTED_VALUE"""),46097.5064814814)</f>
        <v>46097.506481481403</v>
      </c>
      <c r="C1368" s="2" t="str">
        <f ca="1">IFERROR(__xludf.DUMMYFUNCTION("""COMPUTED_VALUE"""),"3b6cbb3c")</f>
        <v>3b6cbb3c</v>
      </c>
      <c r="D1368" s="2">
        <f ca="1">IFERROR(__xludf.DUMMYFUNCTION("""COMPUTED_VALUE"""),84)</f>
        <v>84</v>
      </c>
      <c r="E1368" s="2" t="str">
        <f ca="1">IFERROR(__xludf.DUMMYFUNCTION("""COMPUTED_VALUE"""),"Syrah Merlot s/Asp 2")</f>
        <v>Syrah Merlot s/Asp 2</v>
      </c>
      <c r="F1368" s="2">
        <f ca="1">IFERROR(__xludf.DUMMYFUNCTION("""COMPUTED_VALUE"""),2000)</f>
        <v>2000</v>
      </c>
      <c r="G1368" s="2">
        <f ca="1">IFERROR(__xludf.DUMMYFUNCTION("""COMPUTED_VALUE"""),71)</f>
        <v>71</v>
      </c>
      <c r="H1368" s="2" t="str">
        <f ca="1">IFERROR(__xludf.DUMMYFUNCTION("""COMPUTED_VALUE"""),"9cbd78b9")</f>
        <v>9cbd78b9</v>
      </c>
      <c r="I1368" s="2" t="str">
        <f ca="1">IFERROR(__xludf.DUMMYFUNCTION("""COMPUTED_VALUE"""),"Syrah s/Asp 2")</f>
        <v>Syrah s/Asp 2</v>
      </c>
      <c r="J1368" s="2">
        <f ca="1">IFERROR(__xludf.DUMMYFUNCTION("""COMPUTED_VALUE"""),11000)</f>
        <v>11000</v>
      </c>
      <c r="K1368" s="2">
        <f ca="1">IFERROR(__xludf.DUMMYFUNCTION("""COMPUTED_VALUE"""),13000)</f>
        <v>13000</v>
      </c>
      <c r="L1368" s="2" t="str">
        <f ca="1">IFERROR(__xludf.DUMMYFUNCTION("""COMPUTED_VALUE"""),"42662ec0")</f>
        <v>42662ec0</v>
      </c>
      <c r="M1368" s="2" t="str">
        <f ca="1">IFERROR(__xludf.DUMMYFUNCTION("""COMPUTED_VALUE"""),"Syrah s/Asp 2")</f>
        <v>Syrah s/Asp 2</v>
      </c>
      <c r="N1368" s="2"/>
      <c r="O1368" s="2" t="str">
        <f ca="1">IFERROR(__xludf.DUMMYFUNCTION("""COMPUTED_VALUE"""),"Fermentando")</f>
        <v>Fermentando</v>
      </c>
      <c r="P1368" s="2" t="str">
        <f ca="1">IFERROR(__xludf.DUMMYFUNCTION("""COMPUTED_VALUE"""),"Descubada")</f>
        <v>Descubada</v>
      </c>
      <c r="Q1368" s="2" t="b">
        <f ca="1">IFERROR(__xludf.DUMMYFUNCTION("""COMPUTED_VALUE"""),TRUE)</f>
        <v>1</v>
      </c>
      <c r="R1368" s="2" t="str">
        <f ca="1">IFERROR(__xludf.DUMMYFUNCTION("""COMPUTED_VALUE"""),"Descubada")</f>
        <v>Descubada</v>
      </c>
      <c r="S1368" s="2"/>
      <c r="T1368" s="2"/>
      <c r="U1368" s="2"/>
    </row>
    <row r="1369" spans="1:21" x14ac:dyDescent="0.25">
      <c r="A1369" s="2" t="str">
        <f ca="1">IFERROR(__xludf.DUMMYFUNCTION("""COMPUTED_VALUE"""),"d6ae7082")</f>
        <v>d6ae7082</v>
      </c>
      <c r="B1369" s="5">
        <f ca="1">IFERROR(__xludf.DUMMYFUNCTION("""COMPUTED_VALUE"""),46097.5066435185)</f>
        <v>46097.5066435185</v>
      </c>
      <c r="C1369" s="2" t="str">
        <f ca="1">IFERROR(__xludf.DUMMYFUNCTION("""COMPUTED_VALUE"""),"3b6cbb3c")</f>
        <v>3b6cbb3c</v>
      </c>
      <c r="D1369" s="2">
        <f ca="1">IFERROR(__xludf.DUMMYFUNCTION("""COMPUTED_VALUE"""),84)</f>
        <v>84</v>
      </c>
      <c r="E1369" s="2" t="str">
        <f ca="1">IFERROR(__xludf.DUMMYFUNCTION("""COMPUTED_VALUE"""),"Syrah Merlot s/Asp 2")</f>
        <v>Syrah Merlot s/Asp 2</v>
      </c>
      <c r="F1369" s="2">
        <f ca="1">IFERROR(__xludf.DUMMYFUNCTION("""COMPUTED_VALUE"""),9400)</f>
        <v>9400</v>
      </c>
      <c r="G1369" s="2">
        <f ca="1">IFERROR(__xludf.DUMMYFUNCTION("""COMPUTED_VALUE"""),11)</f>
        <v>11</v>
      </c>
      <c r="H1369" s="2" t="str">
        <f ca="1">IFERROR(__xludf.DUMMYFUNCTION("""COMPUTED_VALUE"""),"e5f7b9d7")</f>
        <v>e5f7b9d7</v>
      </c>
      <c r="I1369" s="2" t="str">
        <f ca="1">IFERROR(__xludf.DUMMYFUNCTION("""COMPUTED_VALUE"""),"Anccellota Aspirant Rect")</f>
        <v>Anccellota Aspirant Rect</v>
      </c>
      <c r="J1369" s="2">
        <f ca="1">IFERROR(__xludf.DUMMYFUNCTION("""COMPUTED_VALUE"""),26600)</f>
        <v>26600</v>
      </c>
      <c r="K1369" s="2">
        <f ca="1">IFERROR(__xludf.DUMMYFUNCTION("""COMPUTED_VALUE"""),36000)</f>
        <v>36000</v>
      </c>
      <c r="L1369" s="2" t="str">
        <f ca="1">IFERROR(__xludf.DUMMYFUNCTION("""COMPUTED_VALUE"""),"b78c78e8")</f>
        <v>b78c78e8</v>
      </c>
      <c r="M1369" s="2" t="str">
        <f ca="1">IFERROR(__xludf.DUMMYFUNCTION("""COMPUTED_VALUE"""),"Anccellota Aspirant Rect")</f>
        <v>Anccellota Aspirant Rect</v>
      </c>
      <c r="N1369" s="2"/>
      <c r="O1369" s="2" t="str">
        <f ca="1">IFERROR(__xludf.DUMMYFUNCTION("""COMPUTED_VALUE"""),"Fermentando")</f>
        <v>Fermentando</v>
      </c>
      <c r="P1369" s="2" t="str">
        <f ca="1">IFERROR(__xludf.DUMMYFUNCTION("""COMPUTED_VALUE"""),"Rectificado")</f>
        <v>Rectificado</v>
      </c>
      <c r="Q1369" s="2" t="b">
        <f ca="1">IFERROR(__xludf.DUMMYFUNCTION("""COMPUTED_VALUE"""),TRUE)</f>
        <v>1</v>
      </c>
      <c r="R1369" s="2" t="str">
        <f ca="1">IFERROR(__xludf.DUMMYFUNCTION("""COMPUTED_VALUE"""),"Rectificado")</f>
        <v>Rectificado</v>
      </c>
      <c r="S1369" s="2"/>
      <c r="T1369" s="2"/>
      <c r="U1369" s="2" t="str">
        <f ca="1">IFERROR(__xludf.DUMMYFUNCTION("""COMPUTED_VALUE"""),"2+")</f>
        <v>2+</v>
      </c>
    </row>
    <row r="1370" spans="1:21" x14ac:dyDescent="0.25">
      <c r="A1370" s="2" t="str">
        <f ca="1">IFERROR(__xludf.DUMMYFUNCTION("""COMPUTED_VALUE"""),"a94c00e8")</f>
        <v>a94c00e8</v>
      </c>
      <c r="B1370" s="5">
        <f ca="1">IFERROR(__xludf.DUMMYFUNCTION("""COMPUTED_VALUE"""),46097.5070717592)</f>
        <v>46097.507071759203</v>
      </c>
      <c r="C1370" s="2" t="str">
        <f ca="1">IFERROR(__xludf.DUMMYFUNCTION("""COMPUTED_VALUE"""),"3b6cbb3c")</f>
        <v>3b6cbb3c</v>
      </c>
      <c r="D1370" s="2">
        <f ca="1">IFERROR(__xludf.DUMMYFUNCTION("""COMPUTED_VALUE"""),84)</f>
        <v>84</v>
      </c>
      <c r="E1370" s="2" t="str">
        <f ca="1">IFERROR(__xludf.DUMMYFUNCTION("""COMPUTED_VALUE"""),"Syrah Merlot s/Asp 2")</f>
        <v>Syrah Merlot s/Asp 2</v>
      </c>
      <c r="F1370" s="2">
        <f ca="1">IFERROR(__xludf.DUMMYFUNCTION("""COMPUTED_VALUE"""),4500)</f>
        <v>4500</v>
      </c>
      <c r="G1370" s="2">
        <f ca="1">IFERROR(__xludf.DUMMYFUNCTION("""COMPUTED_VALUE"""),105)</f>
        <v>105</v>
      </c>
      <c r="H1370" s="2"/>
      <c r="I1370" s="2"/>
      <c r="J1370" s="2">
        <f ca="1">IFERROR(__xludf.DUMMYFUNCTION("""COMPUTED_VALUE"""),0)</f>
        <v>0</v>
      </c>
      <c r="K1370" s="2">
        <f ca="1">IFERROR(__xludf.DUMMYFUNCTION("""COMPUTED_VALUE"""),4500)</f>
        <v>4500</v>
      </c>
      <c r="L1370" s="2" t="str">
        <f ca="1">IFERROR(__xludf.DUMMYFUNCTION("""COMPUTED_VALUE"""),"14bf31ed")</f>
        <v>14bf31ed</v>
      </c>
      <c r="M1370" s="2" t="str">
        <f ca="1">IFERROR(__xludf.DUMMYFUNCTION("""COMPUTED_VALUE"""),"Syrah Merlot s/Asp 2")</f>
        <v>Syrah Merlot s/Asp 2</v>
      </c>
      <c r="N1370" s="2"/>
      <c r="O1370" s="2" t="str">
        <f ca="1">IFERROR(__xludf.DUMMYFUNCTION("""COMPUTED_VALUE"""),"Fermentando")</f>
        <v>Fermentando</v>
      </c>
      <c r="P1370" s="2"/>
      <c r="Q1370" s="2" t="b">
        <f ca="1">IFERROR(__xludf.DUMMYFUNCTION("""COMPUTED_VALUE"""),FALSE)</f>
        <v>0</v>
      </c>
      <c r="R1370" s="2" t="str">
        <f ca="1">IFERROR(__xludf.DUMMYFUNCTION("""COMPUTED_VALUE"""),"Descubada")</f>
        <v>Descubada</v>
      </c>
      <c r="S1370" s="2"/>
      <c r="T1370" s="2"/>
      <c r="U1370" s="2"/>
    </row>
    <row r="1371" spans="1:21" x14ac:dyDescent="0.25">
      <c r="A1371" s="2" t="str">
        <f ca="1">IFERROR(__xludf.DUMMYFUNCTION("""COMPUTED_VALUE"""),"94365445")</f>
        <v>94365445</v>
      </c>
      <c r="B1371" s="5">
        <f ca="1">IFERROR(__xludf.DUMMYFUNCTION("""COMPUTED_VALUE"""),46097.5120833333)</f>
        <v>46097.512083333299</v>
      </c>
      <c r="C1371" s="2" t="str">
        <f ca="1">IFERROR(__xludf.DUMMYFUNCTION("""COMPUTED_VALUE"""),"1670daf6")</f>
        <v>1670daf6</v>
      </c>
      <c r="D1371" s="2">
        <f ca="1">IFERROR(__xludf.DUMMYFUNCTION("""COMPUTED_VALUE"""),85)</f>
        <v>85</v>
      </c>
      <c r="E1371" s="2" t="str">
        <f ca="1">IFERROR(__xludf.DUMMYFUNCTION("""COMPUTED_VALUE"""),"Syrah")</f>
        <v>Syrah</v>
      </c>
      <c r="F1371" s="2">
        <f ca="1">IFERROR(__xludf.DUMMYFUNCTION("""COMPUTED_VALUE"""),-8500)</f>
        <v>-8500</v>
      </c>
      <c r="G1371" s="2">
        <f ca="1">IFERROR(__xludf.DUMMYFUNCTION("""COMPUTED_VALUE"""),5)</f>
        <v>5</v>
      </c>
      <c r="H1371" s="2" t="str">
        <f ca="1">IFERROR(__xludf.DUMMYFUNCTION("""COMPUTED_VALUE"""),"200f92f0")</f>
        <v>200f92f0</v>
      </c>
      <c r="I1371" s="2" t="str">
        <f ca="1">IFERROR(__xludf.DUMMYFUNCTION("""COMPUTED_VALUE"""),"Cabernet Sauvignon Rect")</f>
        <v>Cabernet Sauvignon Rect</v>
      </c>
      <c r="J1371" s="2">
        <f ca="1">IFERROR(__xludf.DUMMYFUNCTION("""COMPUTED_VALUE"""),30000)</f>
        <v>30000</v>
      </c>
      <c r="K1371" s="2">
        <f ca="1">IFERROR(__xludf.DUMMYFUNCTION("""COMPUTED_VALUE"""),21500)</f>
        <v>21500</v>
      </c>
      <c r="L1371" s="2" t="str">
        <f ca="1">IFERROR(__xludf.DUMMYFUNCTION("""COMPUTED_VALUE"""),"5c2c4485")</f>
        <v>5c2c4485</v>
      </c>
      <c r="M1371" s="2" t="str">
        <f ca="1">IFERROR(__xludf.DUMMYFUNCTION("""COMPUTED_VALUE"""),"Cabernet Sauvignon Rect")</f>
        <v>Cabernet Sauvignon Rect</v>
      </c>
      <c r="N1371" s="2"/>
      <c r="O1371" s="2" t="str">
        <f ca="1">IFERROR(__xludf.DUMMYFUNCTION("""COMPUTED_VALUE"""),"Fermentando")</f>
        <v>Fermentando</v>
      </c>
      <c r="P1371" s="2" t="str">
        <f ca="1">IFERROR(__xludf.DUMMYFUNCTION("""COMPUTED_VALUE"""),"Rectificado")</f>
        <v>Rectificado</v>
      </c>
      <c r="Q1371" s="2" t="b">
        <f ca="1">IFERROR(__xludf.DUMMYFUNCTION("""COMPUTED_VALUE"""),TRUE)</f>
        <v>1</v>
      </c>
      <c r="R1371" s="2" t="str">
        <f ca="1">IFERROR(__xludf.DUMMYFUNCTION("""COMPUTED_VALUE"""),"Rectificado")</f>
        <v>Rectificado</v>
      </c>
      <c r="S1371" s="2"/>
      <c r="T1371" s="2"/>
      <c r="U1371" s="2" t="str">
        <f ca="1">IFERROR(__xludf.DUMMYFUNCTION("""COMPUTED_VALUE"""),"1")</f>
        <v>1</v>
      </c>
    </row>
    <row r="1372" spans="1:21" x14ac:dyDescent="0.25">
      <c r="A1372" s="2" t="str">
        <f ca="1">IFERROR(__xludf.DUMMYFUNCTION("""COMPUTED_VALUE"""),"12ceb23e")</f>
        <v>12ceb23e</v>
      </c>
      <c r="B1372" s="5">
        <f ca="1">IFERROR(__xludf.DUMMYFUNCTION("""COMPUTED_VALUE"""),46097.5123611111)</f>
        <v>46097.512361111098</v>
      </c>
      <c r="C1372" s="2" t="str">
        <f ca="1">IFERROR(__xludf.DUMMYFUNCTION("""COMPUTED_VALUE"""),"f3173f78")</f>
        <v>f3173f78</v>
      </c>
      <c r="D1372" s="2">
        <f ca="1">IFERROR(__xludf.DUMMYFUNCTION("""COMPUTED_VALUE"""),67)</f>
        <v>67</v>
      </c>
      <c r="E1372" s="2" t="str">
        <f ca="1">IFERROR(__xludf.DUMMYFUNCTION("""COMPUTED_VALUE"""),"Bonarda Sy")</f>
        <v>Bonarda Sy</v>
      </c>
      <c r="F1372" s="2">
        <f ca="1">IFERROR(__xludf.DUMMYFUNCTION("""COMPUTED_VALUE"""),-3500)</f>
        <v>-3500</v>
      </c>
      <c r="G1372" s="2">
        <f ca="1">IFERROR(__xludf.DUMMYFUNCTION("""COMPUTED_VALUE"""),5)</f>
        <v>5</v>
      </c>
      <c r="H1372" s="2" t="str">
        <f ca="1">IFERROR(__xludf.DUMMYFUNCTION("""COMPUTED_VALUE"""),"5c2c4485")</f>
        <v>5c2c4485</v>
      </c>
      <c r="I1372" s="2" t="str">
        <f ca="1">IFERROR(__xludf.DUMMYFUNCTION("""COMPUTED_VALUE"""),"Cabernet Sauvignon Rect")</f>
        <v>Cabernet Sauvignon Rect</v>
      </c>
      <c r="J1372" s="2">
        <f ca="1">IFERROR(__xludf.DUMMYFUNCTION("""COMPUTED_VALUE"""),21500)</f>
        <v>21500</v>
      </c>
      <c r="K1372" s="2">
        <f ca="1">IFERROR(__xludf.DUMMYFUNCTION("""COMPUTED_VALUE"""),18000)</f>
        <v>18000</v>
      </c>
      <c r="L1372" s="2" t="str">
        <f ca="1">IFERROR(__xludf.DUMMYFUNCTION("""COMPUTED_VALUE"""),"a1c6829b")</f>
        <v>a1c6829b</v>
      </c>
      <c r="M1372" s="2" t="str">
        <f ca="1">IFERROR(__xludf.DUMMYFUNCTION("""COMPUTED_VALUE"""),"Cabernet Sauvignon Rect")</f>
        <v>Cabernet Sauvignon Rect</v>
      </c>
      <c r="N1372" s="2"/>
      <c r="O1372" s="2" t="str">
        <f ca="1">IFERROR(__xludf.DUMMYFUNCTION("""COMPUTED_VALUE"""),"Fermentando")</f>
        <v>Fermentando</v>
      </c>
      <c r="P1372" s="2" t="str">
        <f ca="1">IFERROR(__xludf.DUMMYFUNCTION("""COMPUTED_VALUE"""),"Rectificado")</f>
        <v>Rectificado</v>
      </c>
      <c r="Q1372" s="2" t="b">
        <f ca="1">IFERROR(__xludf.DUMMYFUNCTION("""COMPUTED_VALUE"""),TRUE)</f>
        <v>1</v>
      </c>
      <c r="R1372" s="2" t="str">
        <f ca="1">IFERROR(__xludf.DUMMYFUNCTION("""COMPUTED_VALUE"""),"Rectificado")</f>
        <v>Rectificado</v>
      </c>
      <c r="S1372" s="2"/>
      <c r="T1372" s="2"/>
      <c r="U1372" s="2" t="str">
        <f ca="1">IFERROR(__xludf.DUMMYFUNCTION("""COMPUTED_VALUE"""),"1")</f>
        <v>1</v>
      </c>
    </row>
    <row r="1373" spans="1:21" x14ac:dyDescent="0.25">
      <c r="A1373" s="2" t="str">
        <f ca="1">IFERROR(__xludf.DUMMYFUNCTION("""COMPUTED_VALUE"""),"224219b1")</f>
        <v>224219b1</v>
      </c>
      <c r="B1373" s="5">
        <f ca="1">IFERROR(__xludf.DUMMYFUNCTION("""COMPUTED_VALUE"""),46097.5126967592)</f>
        <v>46097.5126967592</v>
      </c>
      <c r="C1373" s="2" t="str">
        <f ca="1">IFERROR(__xludf.DUMMYFUNCTION("""COMPUTED_VALUE"""),"94ab543f")</f>
        <v>94ab543f</v>
      </c>
      <c r="D1373" s="2">
        <f ca="1">IFERROR(__xludf.DUMMYFUNCTION("""COMPUTED_VALUE"""),66)</f>
        <v>66</v>
      </c>
      <c r="E1373" s="2" t="str">
        <f ca="1">IFERROR(__xludf.DUMMYFUNCTION("""COMPUTED_VALUE"""),"Bonarda")</f>
        <v>Bonarda</v>
      </c>
      <c r="F1373" s="2">
        <f ca="1">IFERROR(__xludf.DUMMYFUNCTION("""COMPUTED_VALUE"""),-3500)</f>
        <v>-3500</v>
      </c>
      <c r="G1373" s="2">
        <f ca="1">IFERROR(__xludf.DUMMYFUNCTION("""COMPUTED_VALUE"""),5)</f>
        <v>5</v>
      </c>
      <c r="H1373" s="2" t="str">
        <f ca="1">IFERROR(__xludf.DUMMYFUNCTION("""COMPUTED_VALUE"""),"a1c6829b")</f>
        <v>a1c6829b</v>
      </c>
      <c r="I1373" s="2" t="str">
        <f ca="1">IFERROR(__xludf.DUMMYFUNCTION("""COMPUTED_VALUE"""),"Cabernet Sauvignon Rect")</f>
        <v>Cabernet Sauvignon Rect</v>
      </c>
      <c r="J1373" s="2">
        <f ca="1">IFERROR(__xludf.DUMMYFUNCTION("""COMPUTED_VALUE"""),18000)</f>
        <v>18000</v>
      </c>
      <c r="K1373" s="2">
        <f ca="1">IFERROR(__xludf.DUMMYFUNCTION("""COMPUTED_VALUE"""),14500)</f>
        <v>14500</v>
      </c>
      <c r="L1373" s="2" t="str">
        <f ca="1">IFERROR(__xludf.DUMMYFUNCTION("""COMPUTED_VALUE"""),"8c34d28b")</f>
        <v>8c34d28b</v>
      </c>
      <c r="M1373" s="2" t="str">
        <f ca="1">IFERROR(__xludf.DUMMYFUNCTION("""COMPUTED_VALUE"""),"Cabernet Sauvignon Rect")</f>
        <v>Cabernet Sauvignon Rect</v>
      </c>
      <c r="N1373" s="2"/>
      <c r="O1373" s="2" t="str">
        <f ca="1">IFERROR(__xludf.DUMMYFUNCTION("""COMPUTED_VALUE"""),"Fermentando")</f>
        <v>Fermentando</v>
      </c>
      <c r="P1373" s="2" t="str">
        <f ca="1">IFERROR(__xludf.DUMMYFUNCTION("""COMPUTED_VALUE"""),"Rectificado")</f>
        <v>Rectificado</v>
      </c>
      <c r="Q1373" s="2" t="b">
        <f ca="1">IFERROR(__xludf.DUMMYFUNCTION("""COMPUTED_VALUE"""),TRUE)</f>
        <v>1</v>
      </c>
      <c r="R1373" s="2" t="str">
        <f ca="1">IFERROR(__xludf.DUMMYFUNCTION("""COMPUTED_VALUE"""),"Rectificado")</f>
        <v>Rectificado</v>
      </c>
      <c r="S1373" s="2"/>
      <c r="T1373" s="2"/>
      <c r="U1373" s="2" t="str">
        <f ca="1">IFERROR(__xludf.DUMMYFUNCTION("""COMPUTED_VALUE"""),"1")</f>
        <v>1</v>
      </c>
    </row>
    <row r="1374" spans="1:21" x14ac:dyDescent="0.25">
      <c r="A1374" s="2" t="str">
        <f ca="1">IFERROR(__xludf.DUMMYFUNCTION("""COMPUTED_VALUE"""),"5bb4f289")</f>
        <v>5bb4f289</v>
      </c>
      <c r="B1374" s="5">
        <f ca="1">IFERROR(__xludf.DUMMYFUNCTION("""COMPUTED_VALUE"""),46097.5130787037)</f>
        <v>46097.513078703698</v>
      </c>
      <c r="C1374" s="2" t="str">
        <f ca="1">IFERROR(__xludf.DUMMYFUNCTION("""COMPUTED_VALUE"""),"181268cf")</f>
        <v>181268cf</v>
      </c>
      <c r="D1374" s="2">
        <f ca="1">IFERROR(__xludf.DUMMYFUNCTION("""COMPUTED_VALUE"""),65)</f>
        <v>65</v>
      </c>
      <c r="E1374" s="2" t="str">
        <f ca="1">IFERROR(__xludf.DUMMYFUNCTION("""COMPUTED_VALUE"""),"Syrah Temp")</f>
        <v>Syrah Temp</v>
      </c>
      <c r="F1374" s="2">
        <f ca="1">IFERROR(__xludf.DUMMYFUNCTION("""COMPUTED_VALUE"""),-3500)</f>
        <v>-3500</v>
      </c>
      <c r="G1374" s="2">
        <f ca="1">IFERROR(__xludf.DUMMYFUNCTION("""COMPUTED_VALUE"""),5)</f>
        <v>5</v>
      </c>
      <c r="H1374" s="2" t="str">
        <f ca="1">IFERROR(__xludf.DUMMYFUNCTION("""COMPUTED_VALUE"""),"8c34d28b")</f>
        <v>8c34d28b</v>
      </c>
      <c r="I1374" s="2" t="str">
        <f ca="1">IFERROR(__xludf.DUMMYFUNCTION("""COMPUTED_VALUE"""),"Cabernet Sauvignon Rect")</f>
        <v>Cabernet Sauvignon Rect</v>
      </c>
      <c r="J1374" s="2">
        <f ca="1">IFERROR(__xludf.DUMMYFUNCTION("""COMPUTED_VALUE"""),14500)</f>
        <v>14500</v>
      </c>
      <c r="K1374" s="2">
        <f ca="1">IFERROR(__xludf.DUMMYFUNCTION("""COMPUTED_VALUE"""),11000)</f>
        <v>11000</v>
      </c>
      <c r="L1374" s="2" t="str">
        <f ca="1">IFERROR(__xludf.DUMMYFUNCTION("""COMPUTED_VALUE"""),"730fdcb9")</f>
        <v>730fdcb9</v>
      </c>
      <c r="M1374" s="2" t="str">
        <f ca="1">IFERROR(__xludf.DUMMYFUNCTION("""COMPUTED_VALUE"""),"Cabernet Sauvignon Rect")</f>
        <v>Cabernet Sauvignon Rect</v>
      </c>
      <c r="N1374" s="2"/>
      <c r="O1374" s="2" t="str">
        <f ca="1">IFERROR(__xludf.DUMMYFUNCTION("""COMPUTED_VALUE"""),"Fermentando")</f>
        <v>Fermentando</v>
      </c>
      <c r="P1374" s="2" t="str">
        <f ca="1">IFERROR(__xludf.DUMMYFUNCTION("""COMPUTED_VALUE"""),"Rectificado")</f>
        <v>Rectificado</v>
      </c>
      <c r="Q1374" s="2" t="b">
        <f ca="1">IFERROR(__xludf.DUMMYFUNCTION("""COMPUTED_VALUE"""),TRUE)</f>
        <v>1</v>
      </c>
      <c r="R1374" s="2" t="str">
        <f ca="1">IFERROR(__xludf.DUMMYFUNCTION("""COMPUTED_VALUE"""),"Rectificado")</f>
        <v>Rectificado</v>
      </c>
      <c r="S1374" s="2"/>
      <c r="T1374" s="2"/>
      <c r="U1374" s="2" t="str">
        <f ca="1">IFERROR(__xludf.DUMMYFUNCTION("""COMPUTED_VALUE"""),"1")</f>
        <v>1</v>
      </c>
    </row>
    <row r="1375" spans="1:21" x14ac:dyDescent="0.25">
      <c r="A1375" s="2" t="str">
        <f ca="1">IFERROR(__xludf.DUMMYFUNCTION("""COMPUTED_VALUE"""),"29276932")</f>
        <v>29276932</v>
      </c>
      <c r="B1375" s="5">
        <f ca="1">IFERROR(__xludf.DUMMYFUNCTION("""COMPUTED_VALUE"""),46097.783912037)</f>
        <v>46097.783912036997</v>
      </c>
      <c r="C1375" s="2" t="str">
        <f ca="1">IFERROR(__xludf.DUMMYFUNCTION("""COMPUTED_VALUE"""),"24592bd2")</f>
        <v>24592bd2</v>
      </c>
      <c r="D1375" s="2">
        <f ca="1">IFERROR(__xludf.DUMMYFUNCTION("""COMPUTED_VALUE"""),76)</f>
        <v>76</v>
      </c>
      <c r="E1375" s="2" t="str">
        <f ca="1">IFERROR(__xludf.DUMMYFUNCTION("""COMPUTED_VALUE"""),"Chardonnay")</f>
        <v>Chardonnay</v>
      </c>
      <c r="F1375" s="2">
        <f ca="1">IFERROR(__xludf.DUMMYFUNCTION("""COMPUTED_VALUE"""),-800)</f>
        <v>-800</v>
      </c>
      <c r="G1375" s="2">
        <f ca="1">IFERROR(__xludf.DUMMYFUNCTION("""COMPUTED_VALUE"""),51)</f>
        <v>51</v>
      </c>
      <c r="H1375" s="2" t="str">
        <f ca="1">IFERROR(__xludf.DUMMYFUNCTION("""COMPUTED_VALUE"""),"67f965b5")</f>
        <v>67f965b5</v>
      </c>
      <c r="I1375" s="2" t="str">
        <f ca="1">IFERROR(__xludf.DUMMYFUNCTION("""COMPUTED_VALUE"""),"Chardonnay")</f>
        <v>Chardonnay</v>
      </c>
      <c r="J1375" s="2">
        <f ca="1">IFERROR(__xludf.DUMMYFUNCTION("""COMPUTED_VALUE"""),800)</f>
        <v>800</v>
      </c>
      <c r="K1375" s="2">
        <f ca="1">IFERROR(__xludf.DUMMYFUNCTION("""COMPUTED_VALUE"""),0)</f>
        <v>0</v>
      </c>
      <c r="L1375" s="2" t="str">
        <f ca="1">IFERROR(__xludf.DUMMYFUNCTION("""COMPUTED_VALUE"""),"bd7e87d6")</f>
        <v>bd7e87d6</v>
      </c>
      <c r="M1375" s="2" t="str">
        <f ca="1">IFERROR(__xludf.DUMMYFUNCTION("""COMPUTED_VALUE"""),"Chardonnay")</f>
        <v>Chardonnay</v>
      </c>
      <c r="N1375" s="2"/>
      <c r="O1375" s="2" t="str">
        <f ca="1">IFERROR(__xludf.DUMMYFUNCTION("""COMPUTED_VALUE"""),"Fermentando")</f>
        <v>Fermentando</v>
      </c>
      <c r="P1375" s="2" t="str">
        <f ca="1">IFERROR(__xludf.DUMMYFUNCTION("""COMPUTED_VALUE"""),"Descubada")</f>
        <v>Descubada</v>
      </c>
      <c r="Q1375" s="2" t="b">
        <f ca="1">IFERROR(__xludf.DUMMYFUNCTION("""COMPUTED_VALUE"""),TRUE)</f>
        <v>1</v>
      </c>
      <c r="R1375" s="2" t="str">
        <f ca="1">IFERROR(__xludf.DUMMYFUNCTION("""COMPUTED_VALUE"""),"Descubada")</f>
        <v>Descubada</v>
      </c>
      <c r="S1375" s="2"/>
      <c r="T1375" s="2"/>
      <c r="U1375" s="2"/>
    </row>
    <row r="1376" spans="1:21" x14ac:dyDescent="0.25">
      <c r="A1376" s="2" t="str">
        <f ca="1">IFERROR(__xludf.DUMMYFUNCTION("""COMPUTED_VALUE"""),"d0c021af")</f>
        <v>d0c021af</v>
      </c>
      <c r="B1376" s="5">
        <f ca="1">IFERROR(__xludf.DUMMYFUNCTION("""COMPUTED_VALUE"""),46097.7856712962)</f>
        <v>46097.785671296297</v>
      </c>
      <c r="C1376" s="2" t="str">
        <f ca="1">IFERROR(__xludf.DUMMYFUNCTION("""COMPUTED_VALUE"""),"d0f8eef2")</f>
        <v>d0f8eef2</v>
      </c>
      <c r="D1376" s="2">
        <f ca="1">IFERROR(__xludf.DUMMYFUNCTION("""COMPUTED_VALUE"""),72)</f>
        <v>72</v>
      </c>
      <c r="E1376" s="2" t="str">
        <f ca="1">IFERROR(__xludf.DUMMYFUNCTION("""COMPUTED_VALUE"""),"Chardonnay")</f>
        <v>Chardonnay</v>
      </c>
      <c r="F1376" s="2">
        <f ca="1">IFERROR(__xludf.DUMMYFUNCTION("""COMPUTED_VALUE"""),-800)</f>
        <v>-800</v>
      </c>
      <c r="G1376" s="2">
        <f ca="1">IFERROR(__xludf.DUMMYFUNCTION("""COMPUTED_VALUE"""),500)</f>
        <v>500</v>
      </c>
      <c r="H1376" s="2" t="str">
        <f ca="1">IFERROR(__xludf.DUMMYFUNCTION("""COMPUTED_VALUE"""),"942bbcb8")</f>
        <v>942bbcb8</v>
      </c>
      <c r="I1376" s="2" t="str">
        <f ca="1">IFERROR(__xludf.DUMMYFUNCTION("""COMPUTED_VALUE"""),"Ajuste semana 13/02/2025")</f>
        <v>Ajuste semana 13/02/2025</v>
      </c>
      <c r="J1376" s="2">
        <f ca="1">IFERROR(__xludf.DUMMYFUNCTION("""COMPUTED_VALUE"""),21651)</f>
        <v>21651</v>
      </c>
      <c r="K1376" s="2">
        <f ca="1">IFERROR(__xludf.DUMMYFUNCTION("""COMPUTED_VALUE"""),20851)</f>
        <v>20851</v>
      </c>
      <c r="L1376" s="2" t="str">
        <f ca="1">IFERROR(__xludf.DUMMYFUNCTION("""COMPUTED_VALUE"""),"5ffbec67")</f>
        <v>5ffbec67</v>
      </c>
      <c r="M1376" s="2" t="str">
        <f ca="1">IFERROR(__xludf.DUMMYFUNCTION("""COMPUTED_VALUE"""),"Ajuste semana 13/02/2025")</f>
        <v>Ajuste semana 13/02/2025</v>
      </c>
      <c r="N1376" s="2"/>
      <c r="O1376" s="2" t="str">
        <f ca="1">IFERROR(__xludf.DUMMYFUNCTION("""COMPUTED_VALUE"""),"Fermentando")</f>
        <v>Fermentando</v>
      </c>
      <c r="P1376" s="2" t="str">
        <f ca="1">IFERROR(__xludf.DUMMYFUNCTION("""COMPUTED_VALUE"""),"Terminado")</f>
        <v>Terminado</v>
      </c>
      <c r="Q1376" s="2" t="b">
        <f ca="1">IFERROR(__xludf.DUMMYFUNCTION("""COMPUTED_VALUE"""),TRUE)</f>
        <v>1</v>
      </c>
      <c r="R1376" s="2" t="str">
        <f ca="1">IFERROR(__xludf.DUMMYFUNCTION("""COMPUTED_VALUE"""),"Terminado")</f>
        <v>Terminado</v>
      </c>
      <c r="S1376" s="2"/>
      <c r="T1376" s="2"/>
      <c r="U1376" s="2"/>
    </row>
    <row r="1377" spans="1:21" x14ac:dyDescent="0.25">
      <c r="A1377" s="2" t="str">
        <f ca="1">IFERROR(__xludf.DUMMYFUNCTION("""COMPUTED_VALUE"""),"d3e789d9")</f>
        <v>d3e789d9</v>
      </c>
      <c r="B1377" s="5">
        <f ca="1">IFERROR(__xludf.DUMMYFUNCTION("""COMPUTED_VALUE"""),46097.7861689814)</f>
        <v>46097.786168981402</v>
      </c>
      <c r="C1377" s="2" t="str">
        <f ca="1">IFERROR(__xludf.DUMMYFUNCTION("""COMPUTED_VALUE"""),"24592bd2")</f>
        <v>24592bd2</v>
      </c>
      <c r="D1377" s="2">
        <f ca="1">IFERROR(__xludf.DUMMYFUNCTION("""COMPUTED_VALUE"""),76)</f>
        <v>76</v>
      </c>
      <c r="E1377" s="2" t="str">
        <f ca="1">IFERROR(__xludf.DUMMYFUNCTION("""COMPUTED_VALUE"""),"Chardonnay")</f>
        <v>Chardonnay</v>
      </c>
      <c r="F1377" s="2">
        <f ca="1">IFERROR(__xludf.DUMMYFUNCTION("""COMPUTED_VALUE"""),-1200)</f>
        <v>-1200</v>
      </c>
      <c r="G1377" s="2">
        <f ca="1">IFERROR(__xludf.DUMMYFUNCTION("""COMPUTED_VALUE"""),500)</f>
        <v>500</v>
      </c>
      <c r="H1377" s="2" t="str">
        <f ca="1">IFERROR(__xludf.DUMMYFUNCTION("""COMPUTED_VALUE"""),"5ffbec67")</f>
        <v>5ffbec67</v>
      </c>
      <c r="I1377" s="2" t="str">
        <f ca="1">IFERROR(__xludf.DUMMYFUNCTION("""COMPUTED_VALUE"""),"Ajuste semana 13/02/2025")</f>
        <v>Ajuste semana 13/02/2025</v>
      </c>
      <c r="J1377" s="2">
        <f ca="1">IFERROR(__xludf.DUMMYFUNCTION("""COMPUTED_VALUE"""),20851)</f>
        <v>20851</v>
      </c>
      <c r="K1377" s="2">
        <f ca="1">IFERROR(__xludf.DUMMYFUNCTION("""COMPUTED_VALUE"""),19651)</f>
        <v>19651</v>
      </c>
      <c r="L1377" s="2" t="str">
        <f ca="1">IFERROR(__xludf.DUMMYFUNCTION("""COMPUTED_VALUE"""),"bca1092d")</f>
        <v>bca1092d</v>
      </c>
      <c r="M1377" s="2" t="str">
        <f ca="1">IFERROR(__xludf.DUMMYFUNCTION("""COMPUTED_VALUE"""),"Ajuste semana 13/02/2025")</f>
        <v>Ajuste semana 13/02/2025</v>
      </c>
      <c r="N1377" s="2"/>
      <c r="O1377" s="2" t="str">
        <f ca="1">IFERROR(__xludf.DUMMYFUNCTION("""COMPUTED_VALUE"""),"Fermentando")</f>
        <v>Fermentando</v>
      </c>
      <c r="P1377" s="2" t="str">
        <f ca="1">IFERROR(__xludf.DUMMYFUNCTION("""COMPUTED_VALUE"""),"Terminado")</f>
        <v>Terminado</v>
      </c>
      <c r="Q1377" s="2" t="b">
        <f ca="1">IFERROR(__xludf.DUMMYFUNCTION("""COMPUTED_VALUE"""),TRUE)</f>
        <v>1</v>
      </c>
      <c r="R1377" s="2" t="str">
        <f ca="1">IFERROR(__xludf.DUMMYFUNCTION("""COMPUTED_VALUE"""),"Terminado")</f>
        <v>Terminado</v>
      </c>
      <c r="S1377" s="2"/>
      <c r="T1377" s="2"/>
      <c r="U1377" s="2"/>
    </row>
    <row r="1378" spans="1:21" x14ac:dyDescent="0.25">
      <c r="A1378" s="2" t="str">
        <f ca="1">IFERROR(__xludf.DUMMYFUNCTION("""COMPUTED_VALUE"""),"24707be5")</f>
        <v>24707be5</v>
      </c>
      <c r="B1378" s="5">
        <f ca="1">IFERROR(__xludf.DUMMYFUNCTION("""COMPUTED_VALUE"""),46097.7865046296)</f>
        <v>46097.786504629599</v>
      </c>
      <c r="C1378" s="2" t="str">
        <f ca="1">IFERROR(__xludf.DUMMYFUNCTION("""COMPUTED_VALUE"""),"af88deee")</f>
        <v>af88deee</v>
      </c>
      <c r="D1378" s="2">
        <f ca="1">IFERROR(__xludf.DUMMYFUNCTION("""COMPUTED_VALUE"""),78)</f>
        <v>78</v>
      </c>
      <c r="E1378" s="2" t="str">
        <f ca="1">IFERROR(__xludf.DUMMYFUNCTION("""COMPUTED_VALUE"""),"Torrontes Viog")</f>
        <v>Torrontes Viog</v>
      </c>
      <c r="F1378" s="2">
        <f ca="1">IFERROR(__xludf.DUMMYFUNCTION("""COMPUTED_VALUE"""),-1200)</f>
        <v>-1200</v>
      </c>
      <c r="G1378" s="2">
        <f ca="1">IFERROR(__xludf.DUMMYFUNCTION("""COMPUTED_VALUE"""),500)</f>
        <v>500</v>
      </c>
      <c r="H1378" s="2" t="str">
        <f ca="1">IFERROR(__xludf.DUMMYFUNCTION("""COMPUTED_VALUE"""),"bca1092d")</f>
        <v>bca1092d</v>
      </c>
      <c r="I1378" s="2" t="str">
        <f ca="1">IFERROR(__xludf.DUMMYFUNCTION("""COMPUTED_VALUE"""),"Ajuste semana 13/02/2025")</f>
        <v>Ajuste semana 13/02/2025</v>
      </c>
      <c r="J1378" s="2">
        <f ca="1">IFERROR(__xludf.DUMMYFUNCTION("""COMPUTED_VALUE"""),19651)</f>
        <v>19651</v>
      </c>
      <c r="K1378" s="2">
        <f ca="1">IFERROR(__xludf.DUMMYFUNCTION("""COMPUTED_VALUE"""),18451)</f>
        <v>18451</v>
      </c>
      <c r="L1378" s="2" t="str">
        <f ca="1">IFERROR(__xludf.DUMMYFUNCTION("""COMPUTED_VALUE"""),"9d77188e")</f>
        <v>9d77188e</v>
      </c>
      <c r="M1378" s="2" t="str">
        <f ca="1">IFERROR(__xludf.DUMMYFUNCTION("""COMPUTED_VALUE"""),"Ajuste semana 13/02/2025")</f>
        <v>Ajuste semana 13/02/2025</v>
      </c>
      <c r="N1378" s="2"/>
      <c r="O1378" s="2" t="str">
        <f ca="1">IFERROR(__xludf.DUMMYFUNCTION("""COMPUTED_VALUE"""),"Fermentando")</f>
        <v>Fermentando</v>
      </c>
      <c r="P1378" s="2" t="str">
        <f ca="1">IFERROR(__xludf.DUMMYFUNCTION("""COMPUTED_VALUE"""),"Terminado")</f>
        <v>Terminado</v>
      </c>
      <c r="Q1378" s="2" t="b">
        <f ca="1">IFERROR(__xludf.DUMMYFUNCTION("""COMPUTED_VALUE"""),TRUE)</f>
        <v>1</v>
      </c>
      <c r="R1378" s="2" t="str">
        <f ca="1">IFERROR(__xludf.DUMMYFUNCTION("""COMPUTED_VALUE"""),"Terminado")</f>
        <v>Terminado</v>
      </c>
      <c r="S1378" s="2"/>
      <c r="T1378" s="2"/>
      <c r="U1378" s="2"/>
    </row>
    <row r="1379" spans="1:21" x14ac:dyDescent="0.25">
      <c r="A1379" s="2" t="str">
        <f ca="1">IFERROR(__xludf.DUMMYFUNCTION("""COMPUTED_VALUE"""),"99c5c668")</f>
        <v>99c5c668</v>
      </c>
      <c r="B1379" s="5">
        <f ca="1">IFERROR(__xludf.DUMMYFUNCTION("""COMPUTED_VALUE"""),46097.7973263888)</f>
        <v>46097.797326388798</v>
      </c>
      <c r="C1379" s="2" t="str">
        <f ca="1">IFERROR(__xludf.DUMMYFUNCTION("""COMPUTED_VALUE"""),"730fdcb9")</f>
        <v>730fdcb9</v>
      </c>
      <c r="D1379" s="2">
        <f ca="1">IFERROR(__xludf.DUMMYFUNCTION("""COMPUTED_VALUE"""),5)</f>
        <v>5</v>
      </c>
      <c r="E1379" s="2" t="str">
        <f ca="1">IFERROR(__xludf.DUMMYFUNCTION("""COMPUTED_VALUE"""),"Cabernet Sauvignon Rect")</f>
        <v>Cabernet Sauvignon Rect</v>
      </c>
      <c r="F1379" s="2">
        <f ca="1">IFERROR(__xludf.DUMMYFUNCTION("""COMPUTED_VALUE"""),-7000)</f>
        <v>-7000</v>
      </c>
      <c r="G1379" s="2">
        <f ca="1">IFERROR(__xludf.DUMMYFUNCTION("""COMPUTED_VALUE"""),500)</f>
        <v>500</v>
      </c>
      <c r="H1379" s="2" t="str">
        <f ca="1">IFERROR(__xludf.DUMMYFUNCTION("""COMPUTED_VALUE"""),"9d77188e")</f>
        <v>9d77188e</v>
      </c>
      <c r="I1379" s="2" t="str">
        <f ca="1">IFERROR(__xludf.DUMMYFUNCTION("""COMPUTED_VALUE"""),"Ajuste semana 13/02/2025")</f>
        <v>Ajuste semana 13/02/2025</v>
      </c>
      <c r="J1379" s="2">
        <f ca="1">IFERROR(__xludf.DUMMYFUNCTION("""COMPUTED_VALUE"""),18451)</f>
        <v>18451</v>
      </c>
      <c r="K1379" s="2">
        <f ca="1">IFERROR(__xludf.DUMMYFUNCTION("""COMPUTED_VALUE"""),11451)</f>
        <v>11451</v>
      </c>
      <c r="L1379" s="2" t="str">
        <f ca="1">IFERROR(__xludf.DUMMYFUNCTION("""COMPUTED_VALUE"""),"796974ce")</f>
        <v>796974ce</v>
      </c>
      <c r="M1379" s="2" t="str">
        <f ca="1">IFERROR(__xludf.DUMMYFUNCTION("""COMPUTED_VALUE"""),"Ajuste semana 13/02/2025")</f>
        <v>Ajuste semana 13/02/2025</v>
      </c>
      <c r="N1379" s="2"/>
      <c r="O1379" s="2" t="str">
        <f ca="1">IFERROR(__xludf.DUMMYFUNCTION("""COMPUTED_VALUE"""),"Rectificado")</f>
        <v>Rectificado</v>
      </c>
      <c r="P1379" s="2" t="str">
        <f ca="1">IFERROR(__xludf.DUMMYFUNCTION("""COMPUTED_VALUE"""),"Terminado")</f>
        <v>Terminado</v>
      </c>
      <c r="Q1379" s="2" t="b">
        <f ca="1">IFERROR(__xludf.DUMMYFUNCTION("""COMPUTED_VALUE"""),TRUE)</f>
        <v>1</v>
      </c>
      <c r="R1379" s="2" t="str">
        <f ca="1">IFERROR(__xludf.DUMMYFUNCTION("""COMPUTED_VALUE"""),"Terminado")</f>
        <v>Terminado</v>
      </c>
      <c r="S1379" s="2"/>
      <c r="T1379" s="2"/>
      <c r="U1379" s="2"/>
    </row>
    <row r="1380" spans="1:21" x14ac:dyDescent="0.25">
      <c r="A1380" s="2" t="str">
        <f ca="1">IFERROR(__xludf.DUMMYFUNCTION("""COMPUTED_VALUE"""),"2518a5da")</f>
        <v>2518a5da</v>
      </c>
      <c r="B1380" s="5">
        <f ca="1">IFERROR(__xludf.DUMMYFUNCTION("""COMPUTED_VALUE"""),46097.7981481481)</f>
        <v>46097.798148148097</v>
      </c>
      <c r="C1380" s="2" t="str">
        <f ca="1">IFERROR(__xludf.DUMMYFUNCTION("""COMPUTED_VALUE"""),"fa9988f0")</f>
        <v>fa9988f0</v>
      </c>
      <c r="D1380" s="2">
        <f ca="1">IFERROR(__xludf.DUMMYFUNCTION("""COMPUTED_VALUE"""),50)</f>
        <v>50</v>
      </c>
      <c r="E1380" s="2" t="str">
        <f ca="1">IFERROR(__xludf.DUMMYFUNCTION("""COMPUTED_VALUE"""),"Malbec")</f>
        <v>Malbec</v>
      </c>
      <c r="F1380" s="2">
        <f ca="1">IFERROR(__xludf.DUMMYFUNCTION("""COMPUTED_VALUE"""),-2400)</f>
        <v>-2400</v>
      </c>
      <c r="G1380" s="2">
        <f ca="1">IFERROR(__xludf.DUMMYFUNCTION("""COMPUTED_VALUE"""),500)</f>
        <v>500</v>
      </c>
      <c r="H1380" s="2" t="str">
        <f ca="1">IFERROR(__xludf.DUMMYFUNCTION("""COMPUTED_VALUE"""),"796974ce")</f>
        <v>796974ce</v>
      </c>
      <c r="I1380" s="2" t="str">
        <f ca="1">IFERROR(__xludf.DUMMYFUNCTION("""COMPUTED_VALUE"""),"Ajuste semana 13/02/2025")</f>
        <v>Ajuste semana 13/02/2025</v>
      </c>
      <c r="J1380" s="2">
        <f ca="1">IFERROR(__xludf.DUMMYFUNCTION("""COMPUTED_VALUE"""),11451)</f>
        <v>11451</v>
      </c>
      <c r="K1380" s="2">
        <f ca="1">IFERROR(__xludf.DUMMYFUNCTION("""COMPUTED_VALUE"""),9051)</f>
        <v>9051</v>
      </c>
      <c r="L1380" s="2" t="str">
        <f ca="1">IFERROR(__xludf.DUMMYFUNCTION("""COMPUTED_VALUE"""),"4fd8e613")</f>
        <v>4fd8e613</v>
      </c>
      <c r="M1380" s="2" t="str">
        <f ca="1">IFERROR(__xludf.DUMMYFUNCTION("""COMPUTED_VALUE"""),"Ajuste semana 13/02/2025")</f>
        <v>Ajuste semana 13/02/2025</v>
      </c>
      <c r="N1380" s="2"/>
      <c r="O1380" s="2" t="str">
        <f ca="1">IFERROR(__xludf.DUMMYFUNCTION("""COMPUTED_VALUE"""),"Filtrado Tang")</f>
        <v>Filtrado Tang</v>
      </c>
      <c r="P1380" s="2" t="str">
        <f ca="1">IFERROR(__xludf.DUMMYFUNCTION("""COMPUTED_VALUE"""),"Terminado")</f>
        <v>Terminado</v>
      </c>
      <c r="Q1380" s="2" t="b">
        <f ca="1">IFERROR(__xludf.DUMMYFUNCTION("""COMPUTED_VALUE"""),TRUE)</f>
        <v>1</v>
      </c>
      <c r="R1380" s="2" t="str">
        <f ca="1">IFERROR(__xludf.DUMMYFUNCTION("""COMPUTED_VALUE"""),"Terminado")</f>
        <v>Terminado</v>
      </c>
      <c r="S1380" s="2"/>
      <c r="T1380" s="2"/>
      <c r="U1380" s="2"/>
    </row>
    <row r="1381" spans="1:21" x14ac:dyDescent="0.25">
      <c r="A1381" s="2" t="str">
        <f ca="1">IFERROR(__xludf.DUMMYFUNCTION("""COMPUTED_VALUE"""),"aa049093")</f>
        <v>aa049093</v>
      </c>
      <c r="B1381" s="5">
        <f ca="1">IFERROR(__xludf.DUMMYFUNCTION("""COMPUTED_VALUE"""),46097.7992939813)</f>
        <v>46097.799293981399</v>
      </c>
      <c r="C1381" s="2" t="str">
        <f ca="1">IFERROR(__xludf.DUMMYFUNCTION("""COMPUTED_VALUE"""),"6a072a2b")</f>
        <v>6a072a2b</v>
      </c>
      <c r="D1381" s="2">
        <f ca="1">IFERROR(__xludf.DUMMYFUNCTION("""COMPUTED_VALUE"""),82)</f>
        <v>82</v>
      </c>
      <c r="E1381" s="2" t="str">
        <f ca="1">IFERROR(__xludf.DUMMYFUNCTION("""COMPUTED_VALUE"""),"Syrah Malbec s/Asp 2")</f>
        <v>Syrah Malbec s/Asp 2</v>
      </c>
      <c r="F1381" s="2">
        <f ca="1">IFERROR(__xludf.DUMMYFUNCTION("""COMPUTED_VALUE"""),5250)</f>
        <v>5250</v>
      </c>
      <c r="G1381" s="2">
        <f ca="1">IFERROR(__xludf.DUMMYFUNCTION("""COMPUTED_VALUE"""),500)</f>
        <v>500</v>
      </c>
      <c r="H1381" s="2" t="str">
        <f ca="1">IFERROR(__xludf.DUMMYFUNCTION("""COMPUTED_VALUE"""),"4fd8e613")</f>
        <v>4fd8e613</v>
      </c>
      <c r="I1381" s="2" t="str">
        <f ca="1">IFERROR(__xludf.DUMMYFUNCTION("""COMPUTED_VALUE"""),"Ajuste semana 13/02/2025")</f>
        <v>Ajuste semana 13/02/2025</v>
      </c>
      <c r="J1381" s="2">
        <f ca="1">IFERROR(__xludf.DUMMYFUNCTION("""COMPUTED_VALUE"""),9051)</f>
        <v>9051</v>
      </c>
      <c r="K1381" s="2">
        <f ca="1">IFERROR(__xludf.DUMMYFUNCTION("""COMPUTED_VALUE"""),14301)</f>
        <v>14301</v>
      </c>
      <c r="L1381" s="2" t="str">
        <f ca="1">IFERROR(__xludf.DUMMYFUNCTION("""COMPUTED_VALUE"""),"635f5fd0")</f>
        <v>635f5fd0</v>
      </c>
      <c r="M1381" s="2" t="str">
        <f ca="1">IFERROR(__xludf.DUMMYFUNCTION("""COMPUTED_VALUE"""),"Ajuste semana 13/02/2025")</f>
        <v>Ajuste semana 13/02/2025</v>
      </c>
      <c r="N1381" s="2"/>
      <c r="O1381" s="2" t="str">
        <f ca="1">IFERROR(__xludf.DUMMYFUNCTION("""COMPUTED_VALUE"""),"Fermentando")</f>
        <v>Fermentando</v>
      </c>
      <c r="P1381" s="2" t="str">
        <f ca="1">IFERROR(__xludf.DUMMYFUNCTION("""COMPUTED_VALUE"""),"Terminado")</f>
        <v>Terminado</v>
      </c>
      <c r="Q1381" s="2" t="b">
        <f ca="1">IFERROR(__xludf.DUMMYFUNCTION("""COMPUTED_VALUE"""),TRUE)</f>
        <v>1</v>
      </c>
      <c r="R1381" s="2" t="str">
        <f ca="1">IFERROR(__xludf.DUMMYFUNCTION("""COMPUTED_VALUE"""),"Terminado")</f>
        <v>Terminado</v>
      </c>
      <c r="S1381" s="2"/>
      <c r="T1381" s="2"/>
      <c r="U1381" s="2"/>
    </row>
    <row r="1382" spans="1:21" x14ac:dyDescent="0.25">
      <c r="A1382" s="2" t="str">
        <f ca="1">IFERROR(__xludf.DUMMYFUNCTION("""COMPUTED_VALUE"""),"94823d3d")</f>
        <v>94823d3d</v>
      </c>
      <c r="B1382" s="5">
        <f ca="1">IFERROR(__xludf.DUMMYFUNCTION("""COMPUTED_VALUE"""),46097.801574074)</f>
        <v>46097.801574074001</v>
      </c>
      <c r="C1382" s="2" t="str">
        <f ca="1">IFERROR(__xludf.DUMMYFUNCTION("""COMPUTED_VALUE"""),"9c60e76b")</f>
        <v>9c60e76b</v>
      </c>
      <c r="D1382" s="2">
        <f ca="1">IFERROR(__xludf.DUMMYFUNCTION("""COMPUTED_VALUE"""),83)</f>
        <v>83</v>
      </c>
      <c r="E1382" s="2" t="str">
        <f ca="1">IFERROR(__xludf.DUMMYFUNCTION("""COMPUTED_VALUE"""),"Syrah Merlot s/Asp 3")</f>
        <v>Syrah Merlot s/Asp 3</v>
      </c>
      <c r="F1382" s="2">
        <f ca="1">IFERROR(__xludf.DUMMYFUNCTION("""COMPUTED_VALUE"""),28500)</f>
        <v>28500</v>
      </c>
      <c r="G1382" s="2">
        <f ca="1">IFERROR(__xludf.DUMMYFUNCTION("""COMPUTED_VALUE"""),500)</f>
        <v>500</v>
      </c>
      <c r="H1382" s="2" t="str">
        <f ca="1">IFERROR(__xludf.DUMMYFUNCTION("""COMPUTED_VALUE"""),"635f5fd0")</f>
        <v>635f5fd0</v>
      </c>
      <c r="I1382" s="2" t="str">
        <f ca="1">IFERROR(__xludf.DUMMYFUNCTION("""COMPUTED_VALUE"""),"Ajuste semana 13/02/2025")</f>
        <v>Ajuste semana 13/02/2025</v>
      </c>
      <c r="J1382" s="2">
        <f ca="1">IFERROR(__xludf.DUMMYFUNCTION("""COMPUTED_VALUE"""),14301)</f>
        <v>14301</v>
      </c>
      <c r="K1382" s="2">
        <f ca="1">IFERROR(__xludf.DUMMYFUNCTION("""COMPUTED_VALUE"""),-14199)</f>
        <v>-14199</v>
      </c>
      <c r="L1382" s="2" t="str">
        <f ca="1">IFERROR(__xludf.DUMMYFUNCTION("""COMPUTED_VALUE"""),"1a7f3ce0")</f>
        <v>1a7f3ce0</v>
      </c>
      <c r="M1382" s="2" t="str">
        <f ca="1">IFERROR(__xludf.DUMMYFUNCTION("""COMPUTED_VALUE"""),"Ajuste semana 13/02/2025")</f>
        <v>Ajuste semana 13/02/2025</v>
      </c>
      <c r="N1382" s="2"/>
      <c r="O1382" s="2" t="str">
        <f ca="1">IFERROR(__xludf.DUMMYFUNCTION("""COMPUTED_VALUE"""),"Fermentando")</f>
        <v>Fermentando</v>
      </c>
      <c r="P1382" s="2" t="str">
        <f ca="1">IFERROR(__xludf.DUMMYFUNCTION("""COMPUTED_VALUE"""),"Terminado")</f>
        <v>Terminado</v>
      </c>
      <c r="Q1382" s="2" t="b">
        <f ca="1">IFERROR(__xludf.DUMMYFUNCTION("""COMPUTED_VALUE"""),TRUE)</f>
        <v>1</v>
      </c>
      <c r="R1382" s="2" t="str">
        <f ca="1">IFERROR(__xludf.DUMMYFUNCTION("""COMPUTED_VALUE"""),"Terminado")</f>
        <v>Terminado</v>
      </c>
      <c r="S1382" s="2"/>
      <c r="T1382" s="2"/>
      <c r="U1382" s="2"/>
    </row>
    <row r="1383" spans="1:21" x14ac:dyDescent="0.25">
      <c r="A1383" s="2" t="str">
        <f ca="1">IFERROR(__xludf.DUMMYFUNCTION("""COMPUTED_VALUE"""),"8f39c1a8")</f>
        <v>8f39c1a8</v>
      </c>
      <c r="B1383" s="5">
        <f ca="1">IFERROR(__xludf.DUMMYFUNCTION("""COMPUTED_VALUE"""),46097.8032060185)</f>
        <v>46097.8032060185</v>
      </c>
      <c r="C1383" s="2" t="str">
        <f ca="1">IFERROR(__xludf.DUMMYFUNCTION("""COMPUTED_VALUE"""),"1670daf6")</f>
        <v>1670daf6</v>
      </c>
      <c r="D1383" s="2">
        <f ca="1">IFERROR(__xludf.DUMMYFUNCTION("""COMPUTED_VALUE"""),85)</f>
        <v>85</v>
      </c>
      <c r="E1383" s="2" t="str">
        <f ca="1">IFERROR(__xludf.DUMMYFUNCTION("""COMPUTED_VALUE"""),"Syrah")</f>
        <v>Syrah</v>
      </c>
      <c r="F1383" s="2">
        <f ca="1">IFERROR(__xludf.DUMMYFUNCTION("""COMPUTED_VALUE"""),4600)</f>
        <v>4600</v>
      </c>
      <c r="G1383" s="2">
        <f ca="1">IFERROR(__xludf.DUMMYFUNCTION("""COMPUTED_VALUE"""),500)</f>
        <v>500</v>
      </c>
      <c r="H1383" s="2" t="str">
        <f ca="1">IFERROR(__xludf.DUMMYFUNCTION("""COMPUTED_VALUE"""),"1a7f3ce0")</f>
        <v>1a7f3ce0</v>
      </c>
      <c r="I1383" s="2" t="str">
        <f ca="1">IFERROR(__xludf.DUMMYFUNCTION("""COMPUTED_VALUE"""),"Ajuste semana 13/02/2025")</f>
        <v>Ajuste semana 13/02/2025</v>
      </c>
      <c r="J1383" s="2">
        <f ca="1">IFERROR(__xludf.DUMMYFUNCTION("""COMPUTED_VALUE"""),42800)</f>
        <v>42800</v>
      </c>
      <c r="K1383" s="2">
        <f ca="1">IFERROR(__xludf.DUMMYFUNCTION("""COMPUTED_VALUE"""),47400)</f>
        <v>47400</v>
      </c>
      <c r="L1383" s="2" t="str">
        <f ca="1">IFERROR(__xludf.DUMMYFUNCTION("""COMPUTED_VALUE"""),"af70c08b")</f>
        <v>af70c08b</v>
      </c>
      <c r="M1383" s="2" t="str">
        <f ca="1">IFERROR(__xludf.DUMMYFUNCTION("""COMPUTED_VALUE"""),"Ajuste semana 13/02/2025")</f>
        <v>Ajuste semana 13/02/2025</v>
      </c>
      <c r="N1383" s="2"/>
      <c r="O1383" s="2" t="str">
        <f ca="1">IFERROR(__xludf.DUMMYFUNCTION("""COMPUTED_VALUE"""),"Fermentando")</f>
        <v>Fermentando</v>
      </c>
      <c r="P1383" s="2" t="str">
        <f ca="1">IFERROR(__xludf.DUMMYFUNCTION("""COMPUTED_VALUE"""),"Terminado")</f>
        <v>Terminado</v>
      </c>
      <c r="Q1383" s="2" t="b">
        <f ca="1">IFERROR(__xludf.DUMMYFUNCTION("""COMPUTED_VALUE"""),TRUE)</f>
        <v>1</v>
      </c>
      <c r="R1383" s="2" t="str">
        <f ca="1">IFERROR(__xludf.DUMMYFUNCTION("""COMPUTED_VALUE"""),"Terminado")</f>
        <v>Terminado</v>
      </c>
      <c r="S1383" s="2"/>
      <c r="T1383" s="2"/>
      <c r="U1383" s="2"/>
    </row>
    <row r="1384" spans="1:21" x14ac:dyDescent="0.25">
      <c r="A1384" s="2" t="str">
        <f ca="1">IFERROR(__xludf.DUMMYFUNCTION("""COMPUTED_VALUE"""),"b7cc6cf2")</f>
        <v>b7cc6cf2</v>
      </c>
      <c r="B1384" s="5">
        <f ca="1">IFERROR(__xludf.DUMMYFUNCTION("""COMPUTED_VALUE"""),46097.8037037037)</f>
        <v>46097.803703703699</v>
      </c>
      <c r="C1384" s="2" t="str">
        <f ca="1">IFERROR(__xludf.DUMMYFUNCTION("""COMPUTED_VALUE"""),"d08aca8e")</f>
        <v>d08aca8e</v>
      </c>
      <c r="D1384" s="2">
        <f ca="1">IFERROR(__xludf.DUMMYFUNCTION("""COMPUTED_VALUE"""),86)</f>
        <v>86</v>
      </c>
      <c r="E1384" s="2" t="str">
        <f ca="1">IFERROR(__xludf.DUMMYFUNCTION("""COMPUTED_VALUE"""),"Syrah Malbec s/Asp 2")</f>
        <v>Syrah Malbec s/Asp 2</v>
      </c>
      <c r="F1384" s="2">
        <f ca="1">IFERROR(__xludf.DUMMYFUNCTION("""COMPUTED_VALUE"""),3900)</f>
        <v>3900</v>
      </c>
      <c r="G1384" s="2">
        <f ca="1">IFERROR(__xludf.DUMMYFUNCTION("""COMPUTED_VALUE"""),500)</f>
        <v>500</v>
      </c>
      <c r="H1384" s="2" t="str">
        <f ca="1">IFERROR(__xludf.DUMMYFUNCTION("""COMPUTED_VALUE"""),"af70c08b")</f>
        <v>af70c08b</v>
      </c>
      <c r="I1384" s="2" t="str">
        <f ca="1">IFERROR(__xludf.DUMMYFUNCTION("""COMPUTED_VALUE"""),"Ajuste semana 13/02/2025")</f>
        <v>Ajuste semana 13/02/2025</v>
      </c>
      <c r="J1384" s="2">
        <f ca="1">IFERROR(__xludf.DUMMYFUNCTION("""COMPUTED_VALUE"""),47400)</f>
        <v>47400</v>
      </c>
      <c r="K1384" s="2">
        <f ca="1">IFERROR(__xludf.DUMMYFUNCTION("""COMPUTED_VALUE"""),51300)</f>
        <v>51300</v>
      </c>
      <c r="L1384" s="2" t="str">
        <f ca="1">IFERROR(__xludf.DUMMYFUNCTION("""COMPUTED_VALUE"""),"5cb0d539")</f>
        <v>5cb0d539</v>
      </c>
      <c r="M1384" s="2" t="str">
        <f ca="1">IFERROR(__xludf.DUMMYFUNCTION("""COMPUTED_VALUE"""),"Ajuste semana 13/02/2025")</f>
        <v>Ajuste semana 13/02/2025</v>
      </c>
      <c r="N1384" s="2"/>
      <c r="O1384" s="2" t="str">
        <f ca="1">IFERROR(__xludf.DUMMYFUNCTION("""COMPUTED_VALUE"""),"Fermentando")</f>
        <v>Fermentando</v>
      </c>
      <c r="P1384" s="2" t="str">
        <f ca="1">IFERROR(__xludf.DUMMYFUNCTION("""COMPUTED_VALUE"""),"Terminado")</f>
        <v>Terminado</v>
      </c>
      <c r="Q1384" s="2" t="b">
        <f ca="1">IFERROR(__xludf.DUMMYFUNCTION("""COMPUTED_VALUE"""),TRUE)</f>
        <v>1</v>
      </c>
      <c r="R1384" s="2" t="str">
        <f ca="1">IFERROR(__xludf.DUMMYFUNCTION("""COMPUTED_VALUE"""),"Terminado")</f>
        <v>Terminado</v>
      </c>
      <c r="S1384" s="2"/>
      <c r="T1384" s="2"/>
      <c r="U1384" s="2"/>
    </row>
    <row r="1385" spans="1:21" x14ac:dyDescent="0.25">
      <c r="A1385" s="2" t="str">
        <f ca="1">IFERROR(__xludf.DUMMYFUNCTION("""COMPUTED_VALUE"""),"566d5593")</f>
        <v>566d5593</v>
      </c>
      <c r="B1385" s="5">
        <f ca="1">IFERROR(__xludf.DUMMYFUNCTION("""COMPUTED_VALUE"""),46097.8040277777)</f>
        <v>46097.804027777704</v>
      </c>
      <c r="C1385" s="2" t="str">
        <f ca="1">IFERROR(__xludf.DUMMYFUNCTION("""COMPUTED_VALUE"""),"d03cb183")</f>
        <v>d03cb183</v>
      </c>
      <c r="D1385" s="2">
        <f ca="1">IFERROR(__xludf.DUMMYFUNCTION("""COMPUTED_VALUE"""),87)</f>
        <v>87</v>
      </c>
      <c r="E1385" s="2" t="str">
        <f ca="1">IFERROR(__xludf.DUMMYFUNCTION("""COMPUTED_VALUE"""),"Syrah Tempranillo")</f>
        <v>Syrah Tempranillo</v>
      </c>
      <c r="F1385" s="2">
        <f ca="1">IFERROR(__xludf.DUMMYFUNCTION("""COMPUTED_VALUE"""),5500)</f>
        <v>5500</v>
      </c>
      <c r="G1385" s="2">
        <f ca="1">IFERROR(__xludf.DUMMYFUNCTION("""COMPUTED_VALUE"""),500)</f>
        <v>500</v>
      </c>
      <c r="H1385" s="2" t="str">
        <f ca="1">IFERROR(__xludf.DUMMYFUNCTION("""COMPUTED_VALUE"""),"5cb0d539")</f>
        <v>5cb0d539</v>
      </c>
      <c r="I1385" s="2" t="str">
        <f ca="1">IFERROR(__xludf.DUMMYFUNCTION("""COMPUTED_VALUE"""),"Ajuste semana 13/02/2025")</f>
        <v>Ajuste semana 13/02/2025</v>
      </c>
      <c r="J1385" s="2">
        <f ca="1">IFERROR(__xludf.DUMMYFUNCTION("""COMPUTED_VALUE"""),51300)</f>
        <v>51300</v>
      </c>
      <c r="K1385" s="2">
        <f ca="1">IFERROR(__xludf.DUMMYFUNCTION("""COMPUTED_VALUE"""),56800)</f>
        <v>56800</v>
      </c>
      <c r="L1385" s="2" t="str">
        <f ca="1">IFERROR(__xludf.DUMMYFUNCTION("""COMPUTED_VALUE"""),"71e2ebbf")</f>
        <v>71e2ebbf</v>
      </c>
      <c r="M1385" s="2" t="str">
        <f ca="1">IFERROR(__xludf.DUMMYFUNCTION("""COMPUTED_VALUE"""),"Ajuste semana 13/02/2025")</f>
        <v>Ajuste semana 13/02/2025</v>
      </c>
      <c r="N1385" s="2"/>
      <c r="O1385" s="2" t="str">
        <f ca="1">IFERROR(__xludf.DUMMYFUNCTION("""COMPUTED_VALUE"""),"Fermentando")</f>
        <v>Fermentando</v>
      </c>
      <c r="P1385" s="2" t="str">
        <f ca="1">IFERROR(__xludf.DUMMYFUNCTION("""COMPUTED_VALUE"""),"Terminado")</f>
        <v>Terminado</v>
      </c>
      <c r="Q1385" s="2" t="b">
        <f ca="1">IFERROR(__xludf.DUMMYFUNCTION("""COMPUTED_VALUE"""),TRUE)</f>
        <v>1</v>
      </c>
      <c r="R1385" s="2" t="str">
        <f ca="1">IFERROR(__xludf.DUMMYFUNCTION("""COMPUTED_VALUE"""),"Terminado")</f>
        <v>Terminado</v>
      </c>
      <c r="S1385" s="2"/>
      <c r="T1385" s="2"/>
      <c r="U1385" s="2"/>
    </row>
    <row r="1386" spans="1:21" x14ac:dyDescent="0.25">
      <c r="A1386" s="2" t="str">
        <f ca="1">IFERROR(__xludf.DUMMYFUNCTION("""COMPUTED_VALUE"""),"50b16aa6")</f>
        <v>50b16aa6</v>
      </c>
      <c r="B1386" s="5">
        <f ca="1">IFERROR(__xludf.DUMMYFUNCTION("""COMPUTED_VALUE"""),46097.8043055555)</f>
        <v>46097.804305555503</v>
      </c>
      <c r="C1386" s="2" t="str">
        <f ca="1">IFERROR(__xludf.DUMMYFUNCTION("""COMPUTED_VALUE"""),"69a8bead")</f>
        <v>69a8bead</v>
      </c>
      <c r="D1386" s="2">
        <f ca="1">IFERROR(__xludf.DUMMYFUNCTION("""COMPUTED_VALUE"""),88)</f>
        <v>88</v>
      </c>
      <c r="E1386" s="2" t="str">
        <f ca="1">IFERROR(__xludf.DUMMYFUNCTION("""COMPUTED_VALUE"""),"Syrah pc")</f>
        <v>Syrah pc</v>
      </c>
      <c r="F1386" s="2">
        <f ca="1">IFERROR(__xludf.DUMMYFUNCTION("""COMPUTED_VALUE"""),3100)</f>
        <v>3100</v>
      </c>
      <c r="G1386" s="2">
        <f ca="1">IFERROR(__xludf.DUMMYFUNCTION("""COMPUTED_VALUE"""),500)</f>
        <v>500</v>
      </c>
      <c r="H1386" s="2" t="str">
        <f ca="1">IFERROR(__xludf.DUMMYFUNCTION("""COMPUTED_VALUE"""),"71e2ebbf")</f>
        <v>71e2ebbf</v>
      </c>
      <c r="I1386" s="2" t="str">
        <f ca="1">IFERROR(__xludf.DUMMYFUNCTION("""COMPUTED_VALUE"""),"Ajuste semana 13/02/2025")</f>
        <v>Ajuste semana 13/02/2025</v>
      </c>
      <c r="J1386" s="2">
        <f ca="1">IFERROR(__xludf.DUMMYFUNCTION("""COMPUTED_VALUE"""),56800)</f>
        <v>56800</v>
      </c>
      <c r="K1386" s="2">
        <f ca="1">IFERROR(__xludf.DUMMYFUNCTION("""COMPUTED_VALUE"""),59900)</f>
        <v>59900</v>
      </c>
      <c r="L1386" s="2" t="str">
        <f ca="1">IFERROR(__xludf.DUMMYFUNCTION("""COMPUTED_VALUE"""),"6126cb4a")</f>
        <v>6126cb4a</v>
      </c>
      <c r="M1386" s="2" t="str">
        <f ca="1">IFERROR(__xludf.DUMMYFUNCTION("""COMPUTED_VALUE"""),"Ajuste semana 13/02/2025")</f>
        <v>Ajuste semana 13/02/2025</v>
      </c>
      <c r="N1386" s="2"/>
      <c r="O1386" s="2" t="str">
        <f ca="1">IFERROR(__xludf.DUMMYFUNCTION("""COMPUTED_VALUE"""),"Fermentando")</f>
        <v>Fermentando</v>
      </c>
      <c r="P1386" s="2" t="str">
        <f ca="1">IFERROR(__xludf.DUMMYFUNCTION("""COMPUTED_VALUE"""),"Terminado")</f>
        <v>Terminado</v>
      </c>
      <c r="Q1386" s="2" t="b">
        <f ca="1">IFERROR(__xludf.DUMMYFUNCTION("""COMPUTED_VALUE"""),TRUE)</f>
        <v>1</v>
      </c>
      <c r="R1386" s="2" t="str">
        <f ca="1">IFERROR(__xludf.DUMMYFUNCTION("""COMPUTED_VALUE"""),"Terminado")</f>
        <v>Terminado</v>
      </c>
      <c r="S1386" s="2"/>
      <c r="T1386" s="2"/>
      <c r="U1386" s="2"/>
    </row>
    <row r="1387" spans="1:21" x14ac:dyDescent="0.25">
      <c r="A1387" s="2" t="str">
        <f ca="1">IFERROR(__xludf.DUMMYFUNCTION("""COMPUTED_VALUE"""),"f2a07758")</f>
        <v>f2a07758</v>
      </c>
      <c r="B1387" s="5">
        <f ca="1">IFERROR(__xludf.DUMMYFUNCTION("""COMPUTED_VALUE"""),46097.804537037)</f>
        <v>46097.804537037002</v>
      </c>
      <c r="C1387" s="2" t="str">
        <f ca="1">IFERROR(__xludf.DUMMYFUNCTION("""COMPUTED_VALUE"""),"ed448032")</f>
        <v>ed448032</v>
      </c>
      <c r="D1387" s="2">
        <f ca="1">IFERROR(__xludf.DUMMYFUNCTION("""COMPUTED_VALUE"""),89)</f>
        <v>89</v>
      </c>
      <c r="E1387" s="2" t="str">
        <f ca="1">IFERROR(__xludf.DUMMYFUNCTION("""COMPUTED_VALUE"""),"Syrah pc")</f>
        <v>Syrah pc</v>
      </c>
      <c r="F1387" s="2">
        <f ca="1">IFERROR(__xludf.DUMMYFUNCTION("""COMPUTED_VALUE"""),-2300)</f>
        <v>-2300</v>
      </c>
      <c r="G1387" s="2">
        <f ca="1">IFERROR(__xludf.DUMMYFUNCTION("""COMPUTED_VALUE"""),500)</f>
        <v>500</v>
      </c>
      <c r="H1387" s="2" t="str">
        <f ca="1">IFERROR(__xludf.DUMMYFUNCTION("""COMPUTED_VALUE"""),"6126cb4a")</f>
        <v>6126cb4a</v>
      </c>
      <c r="I1387" s="2" t="str">
        <f ca="1">IFERROR(__xludf.DUMMYFUNCTION("""COMPUTED_VALUE"""),"Ajuste semana 13/02/2025")</f>
        <v>Ajuste semana 13/02/2025</v>
      </c>
      <c r="J1387" s="2">
        <f ca="1">IFERROR(__xludf.DUMMYFUNCTION("""COMPUTED_VALUE"""),59900)</f>
        <v>59900</v>
      </c>
      <c r="K1387" s="2">
        <f ca="1">IFERROR(__xludf.DUMMYFUNCTION("""COMPUTED_VALUE"""),57600)</f>
        <v>57600</v>
      </c>
      <c r="L1387" s="2" t="str">
        <f ca="1">IFERROR(__xludf.DUMMYFUNCTION("""COMPUTED_VALUE"""),"92c57fbe")</f>
        <v>92c57fbe</v>
      </c>
      <c r="M1387" s="2" t="str">
        <f ca="1">IFERROR(__xludf.DUMMYFUNCTION("""COMPUTED_VALUE"""),"Ajuste semana 13/02/2025")</f>
        <v>Ajuste semana 13/02/2025</v>
      </c>
      <c r="N1387" s="2"/>
      <c r="O1387" s="2" t="str">
        <f ca="1">IFERROR(__xludf.DUMMYFUNCTION("""COMPUTED_VALUE"""),"Fermentando")</f>
        <v>Fermentando</v>
      </c>
      <c r="P1387" s="2" t="str">
        <f ca="1">IFERROR(__xludf.DUMMYFUNCTION("""COMPUTED_VALUE"""),"Terminado")</f>
        <v>Terminado</v>
      </c>
      <c r="Q1387" s="2" t="b">
        <f ca="1">IFERROR(__xludf.DUMMYFUNCTION("""COMPUTED_VALUE"""),TRUE)</f>
        <v>1</v>
      </c>
      <c r="R1387" s="2" t="str">
        <f ca="1">IFERROR(__xludf.DUMMYFUNCTION("""COMPUTED_VALUE"""),"Terminado")</f>
        <v>Terminado</v>
      </c>
      <c r="S1387" s="2"/>
      <c r="T1387" s="2"/>
      <c r="U1387" s="2"/>
    </row>
    <row r="1388" spans="1:21" x14ac:dyDescent="0.25">
      <c r="A1388" s="2" t="str">
        <f ca="1">IFERROR(__xludf.DUMMYFUNCTION("""COMPUTED_VALUE"""),"11ad0ab8")</f>
        <v>11ad0ab8</v>
      </c>
      <c r="B1388" s="5">
        <f ca="1">IFERROR(__xludf.DUMMYFUNCTION("""COMPUTED_VALUE"""),46097.8050347222)</f>
        <v>46097.805034722202</v>
      </c>
      <c r="C1388" s="2" t="str">
        <f ca="1">IFERROR(__xludf.DUMMYFUNCTION("""COMPUTED_VALUE"""),"7831ca4f")</f>
        <v>7831ca4f</v>
      </c>
      <c r="D1388" s="2">
        <f ca="1">IFERROR(__xludf.DUMMYFUNCTION("""COMPUTED_VALUE"""),104)</f>
        <v>104</v>
      </c>
      <c r="E1388" s="2" t="str">
        <f ca="1">IFERROR(__xludf.DUMMYFUNCTION("""COMPUTED_VALUE"""),"Syrah s/Asp")</f>
        <v>Syrah s/Asp</v>
      </c>
      <c r="F1388" s="2">
        <f ca="1">IFERROR(__xludf.DUMMYFUNCTION("""COMPUTED_VALUE"""),3000)</f>
        <v>3000</v>
      </c>
      <c r="G1388" s="2">
        <f ca="1">IFERROR(__xludf.DUMMYFUNCTION("""COMPUTED_VALUE"""),105)</f>
        <v>105</v>
      </c>
      <c r="H1388" s="2" t="str">
        <f ca="1">IFERROR(__xludf.DUMMYFUNCTION("""COMPUTED_VALUE"""),"14bf31ed")</f>
        <v>14bf31ed</v>
      </c>
      <c r="I1388" s="2" t="str">
        <f ca="1">IFERROR(__xludf.DUMMYFUNCTION("""COMPUTED_VALUE"""),"Syrah Merlot s/Asp 2")</f>
        <v>Syrah Merlot s/Asp 2</v>
      </c>
      <c r="J1388" s="2">
        <f ca="1">IFERROR(__xludf.DUMMYFUNCTION("""COMPUTED_VALUE"""),4500)</f>
        <v>4500</v>
      </c>
      <c r="K1388" s="2">
        <f ca="1">IFERROR(__xludf.DUMMYFUNCTION("""COMPUTED_VALUE"""),7500)</f>
        <v>7500</v>
      </c>
      <c r="L1388" s="2" t="str">
        <f ca="1">IFERROR(__xludf.DUMMYFUNCTION("""COMPUTED_VALUE"""),"30e20ade")</f>
        <v>30e20ade</v>
      </c>
      <c r="M1388" s="2" t="str">
        <f ca="1">IFERROR(__xludf.DUMMYFUNCTION("""COMPUTED_VALUE"""),"Syrah Merlot s/Asp 2")</f>
        <v>Syrah Merlot s/Asp 2</v>
      </c>
      <c r="N1388" s="2"/>
      <c r="O1388" s="2" t="str">
        <f ca="1">IFERROR(__xludf.DUMMYFUNCTION("""COMPUTED_VALUE"""),"Descubada")</f>
        <v>Descubada</v>
      </c>
      <c r="P1388" s="2" t="str">
        <f ca="1">IFERROR(__xludf.DUMMYFUNCTION("""COMPUTED_VALUE"""),"Descubada")</f>
        <v>Descubada</v>
      </c>
      <c r="Q1388" s="2" t="b">
        <f ca="1">IFERROR(__xludf.DUMMYFUNCTION("""COMPUTED_VALUE"""),TRUE)</f>
        <v>1</v>
      </c>
      <c r="R1388" s="2" t="str">
        <f ca="1">IFERROR(__xludf.DUMMYFUNCTION("""COMPUTED_VALUE"""),"Descubada")</f>
        <v>Descubada</v>
      </c>
      <c r="S1388" s="2"/>
      <c r="T1388" s="2"/>
      <c r="U1388" s="2"/>
    </row>
    <row r="1389" spans="1:21" x14ac:dyDescent="0.25">
      <c r="A1389" s="2" t="str">
        <f ca="1">IFERROR(__xludf.DUMMYFUNCTION("""COMPUTED_VALUE"""),"86bcea2c")</f>
        <v>86bcea2c</v>
      </c>
      <c r="B1389" s="5">
        <f ca="1">IFERROR(__xludf.DUMMYFUNCTION("""COMPUTED_VALUE"""),46099.7603703703)</f>
        <v>46099.760370370299</v>
      </c>
      <c r="C1389" s="2" t="str">
        <f ca="1">IFERROR(__xludf.DUMMYFUNCTION("""COMPUTED_VALUE"""),"d12e5727")</f>
        <v>d12e5727</v>
      </c>
      <c r="D1389" s="2">
        <f ca="1">IFERROR(__xludf.DUMMYFUNCTION("""COMPUTED_VALUE"""),77)</f>
        <v>77</v>
      </c>
      <c r="E1389" s="2" t="str">
        <f ca="1">IFERROR(__xludf.DUMMYFUNCTION("""COMPUTED_VALUE"""),"Torrontes")</f>
        <v>Torrontes</v>
      </c>
      <c r="F1389" s="2">
        <f ca="1">IFERROR(__xludf.DUMMYFUNCTION("""COMPUTED_VALUE"""),2000)</f>
        <v>2000</v>
      </c>
      <c r="G1389" s="2">
        <f ca="1">IFERROR(__xludf.DUMMYFUNCTION("""COMPUTED_VALUE"""),14)</f>
        <v>14</v>
      </c>
      <c r="H1389" s="2"/>
      <c r="I1389" s="2"/>
      <c r="J1389" s="2">
        <f ca="1">IFERROR(__xludf.DUMMYFUNCTION("""COMPUTED_VALUE"""),0)</f>
        <v>0</v>
      </c>
      <c r="K1389" s="2">
        <f ca="1">IFERROR(__xludf.DUMMYFUNCTION("""COMPUTED_VALUE"""),2000)</f>
        <v>2000</v>
      </c>
      <c r="L1389" s="2" t="str">
        <f ca="1">IFERROR(__xludf.DUMMYFUNCTION("""COMPUTED_VALUE"""),"83d2d6b4")</f>
        <v>83d2d6b4</v>
      </c>
      <c r="M1389" s="2" t="str">
        <f ca="1">IFERROR(__xludf.DUMMYFUNCTION("""COMPUTED_VALUE"""),"Borra Torrontes")</f>
        <v>Borra Torrontes</v>
      </c>
      <c r="N1389" s="2"/>
      <c r="O1389" s="2" t="str">
        <f ca="1">IFERROR(__xludf.DUMMYFUNCTION("""COMPUTED_VALUE"""),"Fermentando")</f>
        <v>Fermentando</v>
      </c>
      <c r="P1389" s="2"/>
      <c r="Q1389" s="2" t="b">
        <f ca="1">IFERROR(__xludf.DUMMYFUNCTION("""COMPUTED_VALUE"""),FALSE)</f>
        <v>0</v>
      </c>
      <c r="R1389" s="2" t="str">
        <f ca="1">IFERROR(__xludf.DUMMYFUNCTION("""COMPUTED_VALUE"""),"Fermentando")</f>
        <v>Fermentando</v>
      </c>
      <c r="S1389" s="2"/>
      <c r="T1389" s="2"/>
      <c r="U1389" s="2"/>
    </row>
    <row r="1390" spans="1:21" x14ac:dyDescent="0.25">
      <c r="A1390" s="2" t="str">
        <f ca="1">IFERROR(__xludf.DUMMYFUNCTION("""COMPUTED_VALUE"""),"882a10e7")</f>
        <v>882a10e7</v>
      </c>
      <c r="B1390" s="5">
        <f ca="1">IFERROR(__xludf.DUMMYFUNCTION("""COMPUTED_VALUE"""),46099.7610416666)</f>
        <v>46099.761041666599</v>
      </c>
      <c r="C1390" s="2" t="str">
        <f ca="1">IFERROR(__xludf.DUMMYFUNCTION("""COMPUTED_VALUE"""),"d12e5727")</f>
        <v>d12e5727</v>
      </c>
      <c r="D1390" s="2">
        <f ca="1">IFERROR(__xludf.DUMMYFUNCTION("""COMPUTED_VALUE"""),77)</f>
        <v>77</v>
      </c>
      <c r="E1390" s="2" t="str">
        <f ca="1">IFERROR(__xludf.DUMMYFUNCTION("""COMPUTED_VALUE"""),"Torrontes")</f>
        <v>Torrontes</v>
      </c>
      <c r="F1390" s="2">
        <f ca="1">IFERROR(__xludf.DUMMYFUNCTION("""COMPUTED_VALUE"""),4000)</f>
        <v>4000</v>
      </c>
      <c r="G1390" s="2">
        <f ca="1">IFERROR(__xludf.DUMMYFUNCTION("""COMPUTED_VALUE"""),75)</f>
        <v>75</v>
      </c>
      <c r="H1390" s="2"/>
      <c r="I1390" s="2"/>
      <c r="J1390" s="2">
        <f ca="1">IFERROR(__xludf.DUMMYFUNCTION("""COMPUTED_VALUE"""),0)</f>
        <v>0</v>
      </c>
      <c r="K1390" s="2">
        <f ca="1">IFERROR(__xludf.DUMMYFUNCTION("""COMPUTED_VALUE"""),4000)</f>
        <v>4000</v>
      </c>
      <c r="L1390" s="2" t="str">
        <f ca="1">IFERROR(__xludf.DUMMYFUNCTION("""COMPUTED_VALUE"""),"8ea83d94")</f>
        <v>8ea83d94</v>
      </c>
      <c r="M1390" s="2" t="str">
        <f ca="1">IFERROR(__xludf.DUMMYFUNCTION("""COMPUTED_VALUE"""),"Torrontes")</f>
        <v>Torrontes</v>
      </c>
      <c r="N1390" s="2"/>
      <c r="O1390" s="2" t="str">
        <f ca="1">IFERROR(__xludf.DUMMYFUNCTION("""COMPUTED_VALUE"""),"Fermentando")</f>
        <v>Fermentando</v>
      </c>
      <c r="P1390" s="2"/>
      <c r="Q1390" s="2" t="b">
        <f ca="1">IFERROR(__xludf.DUMMYFUNCTION("""COMPUTED_VALUE"""),FALSE)</f>
        <v>0</v>
      </c>
      <c r="R1390" s="2" t="str">
        <f ca="1">IFERROR(__xludf.DUMMYFUNCTION("""COMPUTED_VALUE"""),"Fermentando")</f>
        <v>Fermentando</v>
      </c>
      <c r="S1390" s="2"/>
      <c r="T1390" s="2"/>
      <c r="U1390" s="2"/>
    </row>
    <row r="1391" spans="1:21" x14ac:dyDescent="0.25">
      <c r="A1391" s="2" t="str">
        <f ca="1">IFERROR(__xludf.DUMMYFUNCTION("""COMPUTED_VALUE"""),"ef1e1847")</f>
        <v>ef1e1847</v>
      </c>
      <c r="B1391" s="5">
        <f ca="1">IFERROR(__xludf.DUMMYFUNCTION("""COMPUTED_VALUE"""),46100.8316782407)</f>
        <v>46100.831678240698</v>
      </c>
      <c r="C1391" s="2" t="str">
        <f ca="1">IFERROR(__xludf.DUMMYFUNCTION("""COMPUTED_VALUE"""),"b550c76d")</f>
        <v>b550c76d</v>
      </c>
      <c r="D1391" s="2">
        <f ca="1">IFERROR(__xludf.DUMMYFUNCTION("""COMPUTED_VALUE"""),8)</f>
        <v>8</v>
      </c>
      <c r="E1391" s="2" t="str">
        <f ca="1">IFERROR(__xludf.DUMMYFUNCTION("""COMPUTED_VALUE"""),"Chardonnay Mosto Rect")</f>
        <v>Chardonnay Mosto Rect</v>
      </c>
      <c r="F1391" s="2">
        <f ca="1">IFERROR(__xludf.DUMMYFUNCTION("""COMPUTED_VALUE"""),2900)</f>
        <v>2900</v>
      </c>
      <c r="G1391" s="2">
        <f ca="1">IFERROR(__xludf.DUMMYFUNCTION("""COMPUTED_VALUE"""),500)</f>
        <v>500</v>
      </c>
      <c r="H1391" s="2" t="str">
        <f ca="1">IFERROR(__xludf.DUMMYFUNCTION("""COMPUTED_VALUE"""),"92c57fbe")</f>
        <v>92c57fbe</v>
      </c>
      <c r="I1391" s="2" t="str">
        <f ca="1">IFERROR(__xludf.DUMMYFUNCTION("""COMPUTED_VALUE"""),"Ajuste semana 13/02/2025")</f>
        <v>Ajuste semana 13/02/2025</v>
      </c>
      <c r="J1391" s="2">
        <f ca="1">IFERROR(__xludf.DUMMYFUNCTION("""COMPUTED_VALUE"""),57600)</f>
        <v>57600</v>
      </c>
      <c r="K1391" s="2">
        <f ca="1">IFERROR(__xludf.DUMMYFUNCTION("""COMPUTED_VALUE"""),60500)</f>
        <v>60500</v>
      </c>
      <c r="L1391" s="2" t="str">
        <f ca="1">IFERROR(__xludf.DUMMYFUNCTION("""COMPUTED_VALUE"""),"207f29ea")</f>
        <v>207f29ea</v>
      </c>
      <c r="M1391" s="2" t="str">
        <f ca="1">IFERROR(__xludf.DUMMYFUNCTION("""COMPUTED_VALUE"""),"Ajuste semana 13/02/2025")</f>
        <v>Ajuste semana 13/02/2025</v>
      </c>
      <c r="N1391" s="2" t="str">
        <f ca="1">IFERROR(__xludf.DUMMYFUNCTION("""COMPUTED_VALUE"""),"se acetifico el mosto")</f>
        <v>se acetifico el mosto</v>
      </c>
      <c r="O1391" s="2" t="str">
        <f ca="1">IFERROR(__xludf.DUMMYFUNCTION("""COMPUTED_VALUE"""),"Rectificado")</f>
        <v>Rectificado</v>
      </c>
      <c r="P1391" s="2" t="str">
        <f ca="1">IFERROR(__xludf.DUMMYFUNCTION("""COMPUTED_VALUE"""),"Terminado")</f>
        <v>Terminado</v>
      </c>
      <c r="Q1391" s="2" t="b">
        <f ca="1">IFERROR(__xludf.DUMMYFUNCTION("""COMPUTED_VALUE"""),TRUE)</f>
        <v>1</v>
      </c>
      <c r="R1391" s="2" t="str">
        <f ca="1">IFERROR(__xludf.DUMMYFUNCTION("""COMPUTED_VALUE"""),"Terminado")</f>
        <v>Terminado</v>
      </c>
      <c r="S1391" s="2"/>
      <c r="T1391" s="2"/>
      <c r="U1391" s="2"/>
    </row>
    <row r="1392" spans="1:21" x14ac:dyDescent="0.25">
      <c r="A1392" s="2" t="str">
        <f ca="1">IFERROR(__xludf.DUMMYFUNCTION("""COMPUTED_VALUE"""),"0b48fe24")</f>
        <v>0b48fe24</v>
      </c>
      <c r="B1392" s="5">
        <f ca="1">IFERROR(__xludf.DUMMYFUNCTION("""COMPUTED_VALUE"""),46100.8324305555)</f>
        <v>46100.8324305555</v>
      </c>
      <c r="C1392" s="2" t="str">
        <f ca="1">IFERROR(__xludf.DUMMYFUNCTION("""COMPUTED_VALUE"""),"8ea83d94")</f>
        <v>8ea83d94</v>
      </c>
      <c r="D1392" s="2">
        <f ca="1">IFERROR(__xludf.DUMMYFUNCTION("""COMPUTED_VALUE"""),75)</f>
        <v>75</v>
      </c>
      <c r="E1392" s="2" t="str">
        <f ca="1">IFERROR(__xludf.DUMMYFUNCTION("""COMPUTED_VALUE"""),"Torrontes")</f>
        <v>Torrontes</v>
      </c>
      <c r="F1392" s="2">
        <f ca="1">IFERROR(__xludf.DUMMYFUNCTION("""COMPUTED_VALUE"""),4000)</f>
        <v>4000</v>
      </c>
      <c r="G1392" s="2">
        <f ca="1">IFERROR(__xludf.DUMMYFUNCTION("""COMPUTED_VALUE"""),8)</f>
        <v>8</v>
      </c>
      <c r="H1392" s="2"/>
      <c r="I1392" s="2"/>
      <c r="J1392" s="2">
        <f ca="1">IFERROR(__xludf.DUMMYFUNCTION("""COMPUTED_VALUE"""),0)</f>
        <v>0</v>
      </c>
      <c r="K1392" s="2">
        <f ca="1">IFERROR(__xludf.DUMMYFUNCTION("""COMPUTED_VALUE"""),4000)</f>
        <v>4000</v>
      </c>
      <c r="L1392" s="2" t="str">
        <f ca="1">IFERROR(__xludf.DUMMYFUNCTION("""COMPUTED_VALUE"""),"c8c0b1ea")</f>
        <v>c8c0b1ea</v>
      </c>
      <c r="M1392" s="2" t="str">
        <f ca="1">IFERROR(__xludf.DUMMYFUNCTION("""COMPUTED_VALUE"""),"Torrontes Rect")</f>
        <v>Torrontes Rect</v>
      </c>
      <c r="N1392" s="2"/>
      <c r="O1392" s="2" t="str">
        <f ca="1">IFERROR(__xludf.DUMMYFUNCTION("""COMPUTED_VALUE"""),"Fermentando")</f>
        <v>Fermentando</v>
      </c>
      <c r="P1392" s="2"/>
      <c r="Q1392" s="2" t="b">
        <f ca="1">IFERROR(__xludf.DUMMYFUNCTION("""COMPUTED_VALUE"""),FALSE)</f>
        <v>0</v>
      </c>
      <c r="R1392" s="2" t="str">
        <f ca="1">IFERROR(__xludf.DUMMYFUNCTION("""COMPUTED_VALUE"""),"Rectificado")</f>
        <v>Rectificado</v>
      </c>
      <c r="S1392" s="2"/>
      <c r="T1392" s="2"/>
      <c r="U1392" s="2"/>
    </row>
    <row r="1393" spans="1:21" x14ac:dyDescent="0.25">
      <c r="A1393" s="2" t="str">
        <f ca="1">IFERROR(__xludf.DUMMYFUNCTION("""COMPUTED_VALUE"""),"6d95574e")</f>
        <v>6d95574e</v>
      </c>
      <c r="B1393" s="5">
        <f ca="1">IFERROR(__xludf.DUMMYFUNCTION("""COMPUTED_VALUE"""),46100.832974537)</f>
        <v>46100.832974536999</v>
      </c>
      <c r="C1393" s="2" t="str">
        <f ca="1">IFERROR(__xludf.DUMMYFUNCTION("""COMPUTED_VALUE"""),"d12e5727")</f>
        <v>d12e5727</v>
      </c>
      <c r="D1393" s="2">
        <f ca="1">IFERROR(__xludf.DUMMYFUNCTION("""COMPUTED_VALUE"""),77)</f>
        <v>77</v>
      </c>
      <c r="E1393" s="2" t="str">
        <f ca="1">IFERROR(__xludf.DUMMYFUNCTION("""COMPUTED_VALUE"""),"Torrontes")</f>
        <v>Torrontes</v>
      </c>
      <c r="F1393" s="2">
        <f ca="1">IFERROR(__xludf.DUMMYFUNCTION("""COMPUTED_VALUE"""),8000)</f>
        <v>8000</v>
      </c>
      <c r="G1393" s="2">
        <f ca="1">IFERROR(__xludf.DUMMYFUNCTION("""COMPUTED_VALUE"""),8)</f>
        <v>8</v>
      </c>
      <c r="H1393" s="2" t="str">
        <f ca="1">IFERROR(__xludf.DUMMYFUNCTION("""COMPUTED_VALUE"""),"c8c0b1ea")</f>
        <v>c8c0b1ea</v>
      </c>
      <c r="I1393" s="2" t="str">
        <f ca="1">IFERROR(__xludf.DUMMYFUNCTION("""COMPUTED_VALUE"""),"Torrontes Rect")</f>
        <v>Torrontes Rect</v>
      </c>
      <c r="J1393" s="2">
        <f ca="1">IFERROR(__xludf.DUMMYFUNCTION("""COMPUTED_VALUE"""),4000)</f>
        <v>4000</v>
      </c>
      <c r="K1393" s="2">
        <f ca="1">IFERROR(__xludf.DUMMYFUNCTION("""COMPUTED_VALUE"""),12000)</f>
        <v>12000</v>
      </c>
      <c r="L1393" s="2" t="str">
        <f ca="1">IFERROR(__xludf.DUMMYFUNCTION("""COMPUTED_VALUE"""),"b6ab5b2e")</f>
        <v>b6ab5b2e</v>
      </c>
      <c r="M1393" s="2" t="str">
        <f ca="1">IFERROR(__xludf.DUMMYFUNCTION("""COMPUTED_VALUE"""),"Torrontes Rect")</f>
        <v>Torrontes Rect</v>
      </c>
      <c r="N1393" s="2"/>
      <c r="O1393" s="2" t="str">
        <f ca="1">IFERROR(__xludf.DUMMYFUNCTION("""COMPUTED_VALUE"""),"Fermentando")</f>
        <v>Fermentando</v>
      </c>
      <c r="P1393" s="2" t="str">
        <f ca="1">IFERROR(__xludf.DUMMYFUNCTION("""COMPUTED_VALUE"""),"Rectificado")</f>
        <v>Rectificado</v>
      </c>
      <c r="Q1393" s="2" t="b">
        <f ca="1">IFERROR(__xludf.DUMMYFUNCTION("""COMPUTED_VALUE"""),TRUE)</f>
        <v>1</v>
      </c>
      <c r="R1393" s="2" t="str">
        <f ca="1">IFERROR(__xludf.DUMMYFUNCTION("""COMPUTED_VALUE"""),"Rectificado")</f>
        <v>Rectificado</v>
      </c>
      <c r="S1393" s="2"/>
      <c r="T1393" s="2"/>
      <c r="U1393" s="2"/>
    </row>
    <row r="1394" spans="1:21" x14ac:dyDescent="0.25">
      <c r="A1394" s="2" t="str">
        <f ca="1">IFERROR(__xludf.DUMMYFUNCTION("""COMPUTED_VALUE"""),"fdcdee48")</f>
        <v>fdcdee48</v>
      </c>
      <c r="B1394" s="5">
        <f ca="1">IFERROR(__xludf.DUMMYFUNCTION("""COMPUTED_VALUE"""),46100.8346527777)</f>
        <v>46100.834652777703</v>
      </c>
      <c r="C1394" s="2" t="str">
        <f ca="1">IFERROR(__xludf.DUMMYFUNCTION("""COMPUTED_VALUE"""),"af88deee")</f>
        <v>af88deee</v>
      </c>
      <c r="D1394" s="2">
        <f ca="1">IFERROR(__xludf.DUMMYFUNCTION("""COMPUTED_VALUE"""),78)</f>
        <v>78</v>
      </c>
      <c r="E1394" s="2" t="str">
        <f ca="1">IFERROR(__xludf.DUMMYFUNCTION("""COMPUTED_VALUE"""),"Torrontes Viog")</f>
        <v>Torrontes Viog</v>
      </c>
      <c r="F1394" s="2">
        <f ca="1">IFERROR(__xludf.DUMMYFUNCTION("""COMPUTED_VALUE"""),25800)</f>
        <v>25800</v>
      </c>
      <c r="G1394" s="2">
        <f ca="1">IFERROR(__xludf.DUMMYFUNCTION("""COMPUTED_VALUE"""),48)</f>
        <v>48</v>
      </c>
      <c r="H1394" s="2"/>
      <c r="I1394" s="2"/>
      <c r="J1394" s="2">
        <f ca="1">IFERROR(__xludf.DUMMYFUNCTION("""COMPUTED_VALUE"""),0)</f>
        <v>0</v>
      </c>
      <c r="K1394" s="2">
        <f ca="1">IFERROR(__xludf.DUMMYFUNCTION("""COMPUTED_VALUE"""),25800)</f>
        <v>25800</v>
      </c>
      <c r="L1394" s="2" t="str">
        <f ca="1">IFERROR(__xludf.DUMMYFUNCTION("""COMPUTED_VALUE"""),"3a5b57ea")</f>
        <v>3a5b57ea</v>
      </c>
      <c r="M1394" s="2" t="str">
        <f ca="1">IFERROR(__xludf.DUMMYFUNCTION("""COMPUTED_VALUE"""),"Torrontes Viog")</f>
        <v>Torrontes Viog</v>
      </c>
      <c r="N1394" s="2"/>
      <c r="O1394" s="2" t="str">
        <f ca="1">IFERROR(__xludf.DUMMYFUNCTION("""COMPUTED_VALUE"""),"Fermentando")</f>
        <v>Fermentando</v>
      </c>
      <c r="P1394" s="2"/>
      <c r="Q1394" s="2" t="b">
        <f ca="1">IFERROR(__xludf.DUMMYFUNCTION("""COMPUTED_VALUE"""),FALSE)</f>
        <v>0</v>
      </c>
      <c r="R1394" s="2" t="str">
        <f ca="1">IFERROR(__xludf.DUMMYFUNCTION("""COMPUTED_VALUE"""),"Descubada")</f>
        <v>Descubada</v>
      </c>
      <c r="S1394" s="2"/>
      <c r="T1394" s="2"/>
      <c r="U1394" s="2" t="str">
        <f ca="1">IFERROR(__xludf.DUMMYFUNCTION("""COMPUTED_VALUE"""),"1+")</f>
        <v>1+</v>
      </c>
    </row>
    <row r="1395" spans="1:21" x14ac:dyDescent="0.25">
      <c r="A1395" s="2" t="str">
        <f ca="1">IFERROR(__xludf.DUMMYFUNCTION("""COMPUTED_VALUE"""),"4c05687e")</f>
        <v>4c05687e</v>
      </c>
      <c r="B1395" s="5">
        <f ca="1">IFERROR(__xludf.DUMMYFUNCTION("""COMPUTED_VALUE"""),46100.8351504629)</f>
        <v>46100.835150462903</v>
      </c>
      <c r="C1395" s="2" t="str">
        <f ca="1">IFERROR(__xludf.DUMMYFUNCTION("""COMPUTED_VALUE"""),"24592bd2")</f>
        <v>24592bd2</v>
      </c>
      <c r="D1395" s="2">
        <f ca="1">IFERROR(__xludf.DUMMYFUNCTION("""COMPUTED_VALUE"""),76)</f>
        <v>76</v>
      </c>
      <c r="E1395" s="2" t="str">
        <f ca="1">IFERROR(__xludf.DUMMYFUNCTION("""COMPUTED_VALUE"""),"Chardonnay")</f>
        <v>Chardonnay</v>
      </c>
      <c r="F1395" s="2">
        <f ca="1">IFERROR(__xludf.DUMMYFUNCTION("""COMPUTED_VALUE"""),200)</f>
        <v>200</v>
      </c>
      <c r="G1395" s="2">
        <f ca="1">IFERROR(__xludf.DUMMYFUNCTION("""COMPUTED_VALUE"""),48)</f>
        <v>48</v>
      </c>
      <c r="H1395" s="2" t="str">
        <f ca="1">IFERROR(__xludf.DUMMYFUNCTION("""COMPUTED_VALUE"""),"3a5b57ea")</f>
        <v>3a5b57ea</v>
      </c>
      <c r="I1395" s="2" t="str">
        <f ca="1">IFERROR(__xludf.DUMMYFUNCTION("""COMPUTED_VALUE"""),"Torrontes Viog")</f>
        <v>Torrontes Viog</v>
      </c>
      <c r="J1395" s="2">
        <f ca="1">IFERROR(__xludf.DUMMYFUNCTION("""COMPUTED_VALUE"""),25800)</f>
        <v>25800</v>
      </c>
      <c r="K1395" s="2">
        <f ca="1">IFERROR(__xludf.DUMMYFUNCTION("""COMPUTED_VALUE"""),26000)</f>
        <v>26000</v>
      </c>
      <c r="L1395" s="2" t="str">
        <f ca="1">IFERROR(__xludf.DUMMYFUNCTION("""COMPUTED_VALUE"""),"7cb704de")</f>
        <v>7cb704de</v>
      </c>
      <c r="M1395" s="2" t="str">
        <f ca="1">IFERROR(__xludf.DUMMYFUNCTION("""COMPUTED_VALUE"""),"Torrontes Viog")</f>
        <v>Torrontes Viog</v>
      </c>
      <c r="N1395" s="2"/>
      <c r="O1395" s="2" t="str">
        <f ca="1">IFERROR(__xludf.DUMMYFUNCTION("""COMPUTED_VALUE"""),"Fermentando")</f>
        <v>Fermentando</v>
      </c>
      <c r="P1395" s="2" t="str">
        <f ca="1">IFERROR(__xludf.DUMMYFUNCTION("""COMPUTED_VALUE"""),"Descubada")</f>
        <v>Descubada</v>
      </c>
      <c r="Q1395" s="2" t="b">
        <f ca="1">IFERROR(__xludf.DUMMYFUNCTION("""COMPUTED_VALUE"""),TRUE)</f>
        <v>1</v>
      </c>
      <c r="R1395" s="2" t="str">
        <f ca="1">IFERROR(__xludf.DUMMYFUNCTION("""COMPUTED_VALUE"""),"Descubada")</f>
        <v>Descubada</v>
      </c>
      <c r="S1395" s="2"/>
      <c r="T1395" s="2"/>
      <c r="U1395" s="2" t="str">
        <f ca="1">IFERROR(__xludf.DUMMYFUNCTION("""COMPUTED_VALUE"""),"1+")</f>
        <v>1+</v>
      </c>
    </row>
    <row r="1396" spans="1:21" x14ac:dyDescent="0.25">
      <c r="A1396" s="2" t="str">
        <f ca="1">IFERROR(__xludf.DUMMYFUNCTION("""COMPUTED_VALUE"""),"3218c608")</f>
        <v>3218c608</v>
      </c>
      <c r="B1396" s="5">
        <f ca="1">IFERROR(__xludf.DUMMYFUNCTION("""COMPUTED_VALUE"""),46100.8355787037)</f>
        <v>46100.8355787037</v>
      </c>
      <c r="C1396" s="2" t="str">
        <f ca="1">IFERROR(__xludf.DUMMYFUNCTION("""COMPUTED_VALUE"""),"24592bd2")</f>
        <v>24592bd2</v>
      </c>
      <c r="D1396" s="2">
        <f ca="1">IFERROR(__xludf.DUMMYFUNCTION("""COMPUTED_VALUE"""),76)</f>
        <v>76</v>
      </c>
      <c r="E1396" s="2" t="str">
        <f ca="1">IFERROR(__xludf.DUMMYFUNCTION("""COMPUTED_VALUE"""),"Chardonnay")</f>
        <v>Chardonnay</v>
      </c>
      <c r="F1396" s="2">
        <f ca="1">IFERROR(__xludf.DUMMYFUNCTION("""COMPUTED_VALUE"""),20000)</f>
        <v>20000</v>
      </c>
      <c r="G1396" s="2">
        <f ca="1">IFERROR(__xludf.DUMMYFUNCTION("""COMPUTED_VALUE"""),47)</f>
        <v>47</v>
      </c>
      <c r="H1396" s="2"/>
      <c r="I1396" s="2"/>
      <c r="J1396" s="2">
        <f ca="1">IFERROR(__xludf.DUMMYFUNCTION("""COMPUTED_VALUE"""),0)</f>
        <v>0</v>
      </c>
      <c r="K1396" s="2">
        <f ca="1">IFERROR(__xludf.DUMMYFUNCTION("""COMPUTED_VALUE"""),20000)</f>
        <v>20000</v>
      </c>
      <c r="L1396" s="2" t="str">
        <f ca="1">IFERROR(__xludf.DUMMYFUNCTION("""COMPUTED_VALUE"""),"5d1f812a")</f>
        <v>5d1f812a</v>
      </c>
      <c r="M1396" s="2" t="str">
        <f ca="1">IFERROR(__xludf.DUMMYFUNCTION("""COMPUTED_VALUE"""),"Chardonnay")</f>
        <v>Chardonnay</v>
      </c>
      <c r="N1396" s="2"/>
      <c r="O1396" s="2" t="str">
        <f ca="1">IFERROR(__xludf.DUMMYFUNCTION("""COMPUTED_VALUE"""),"Fermentando")</f>
        <v>Fermentando</v>
      </c>
      <c r="P1396" s="2"/>
      <c r="Q1396" s="2" t="b">
        <f ca="1">IFERROR(__xludf.DUMMYFUNCTION("""COMPUTED_VALUE"""),FALSE)</f>
        <v>0</v>
      </c>
      <c r="R1396" s="2" t="str">
        <f ca="1">IFERROR(__xludf.DUMMYFUNCTION("""COMPUTED_VALUE"""),"Descubada")</f>
        <v>Descubada</v>
      </c>
      <c r="S1396" s="2"/>
      <c r="T1396" s="2"/>
      <c r="U1396" s="2" t="str">
        <f ca="1">IFERROR(__xludf.DUMMYFUNCTION("""COMPUTED_VALUE"""),"1")</f>
        <v>1</v>
      </c>
    </row>
    <row r="1397" spans="1:21" x14ac:dyDescent="0.25">
      <c r="A1397" s="2" t="str">
        <f ca="1">IFERROR(__xludf.DUMMYFUNCTION("""COMPUTED_VALUE"""),"53b6e3cb")</f>
        <v>53b6e3cb</v>
      </c>
      <c r="B1397" s="5">
        <f ca="1">IFERROR(__xludf.DUMMYFUNCTION("""COMPUTED_VALUE"""),46100.8360416666)</f>
        <v>46100.836041666596</v>
      </c>
      <c r="C1397" s="2" t="str">
        <f ca="1">IFERROR(__xludf.DUMMYFUNCTION("""COMPUTED_VALUE"""),"24592bd2")</f>
        <v>24592bd2</v>
      </c>
      <c r="D1397" s="2">
        <f ca="1">IFERROR(__xludf.DUMMYFUNCTION("""COMPUTED_VALUE"""),76)</f>
        <v>76</v>
      </c>
      <c r="E1397" s="2" t="str">
        <f ca="1">IFERROR(__xludf.DUMMYFUNCTION("""COMPUTED_VALUE"""),"Chardonnay")</f>
        <v>Chardonnay</v>
      </c>
      <c r="F1397" s="2">
        <f ca="1">IFERROR(__xludf.DUMMYFUNCTION("""COMPUTED_VALUE"""),3500)</f>
        <v>3500</v>
      </c>
      <c r="G1397" s="2">
        <f ca="1">IFERROR(__xludf.DUMMYFUNCTION("""COMPUTED_VALUE"""),51)</f>
        <v>51</v>
      </c>
      <c r="H1397" s="2"/>
      <c r="I1397" s="2"/>
      <c r="J1397" s="2">
        <f ca="1">IFERROR(__xludf.DUMMYFUNCTION("""COMPUTED_VALUE"""),0)</f>
        <v>0</v>
      </c>
      <c r="K1397" s="2">
        <f ca="1">IFERROR(__xludf.DUMMYFUNCTION("""COMPUTED_VALUE"""),3500)</f>
        <v>3500</v>
      </c>
      <c r="L1397" s="2" t="str">
        <f ca="1">IFERROR(__xludf.DUMMYFUNCTION("""COMPUTED_VALUE"""),"c77c499a")</f>
        <v>c77c499a</v>
      </c>
      <c r="M1397" s="2" t="str">
        <f ca="1">IFERROR(__xludf.DUMMYFUNCTION("""COMPUTED_VALUE"""),"Chardonnay")</f>
        <v>Chardonnay</v>
      </c>
      <c r="N1397" s="2"/>
      <c r="O1397" s="2" t="str">
        <f ca="1">IFERROR(__xludf.DUMMYFUNCTION("""COMPUTED_VALUE"""),"Fermentando")</f>
        <v>Fermentando</v>
      </c>
      <c r="P1397" s="2"/>
      <c r="Q1397" s="2" t="b">
        <f ca="1">IFERROR(__xludf.DUMMYFUNCTION("""COMPUTED_VALUE"""),FALSE)</f>
        <v>0</v>
      </c>
      <c r="R1397" s="2" t="str">
        <f ca="1">IFERROR(__xludf.DUMMYFUNCTION("""COMPUTED_VALUE"""),"Fermentando")</f>
        <v>Fermentando</v>
      </c>
      <c r="S1397" s="2"/>
      <c r="T1397" s="2"/>
      <c r="U1397" s="2" t="str">
        <f ca="1">IFERROR(__xludf.DUMMYFUNCTION("""COMPUTED_VALUE"""),"1")</f>
        <v>1</v>
      </c>
    </row>
    <row r="1398" spans="1:21" x14ac:dyDescent="0.25">
      <c r="A1398" s="2" t="str">
        <f ca="1">IFERROR(__xludf.DUMMYFUNCTION("""COMPUTED_VALUE"""),"c88e9a16")</f>
        <v>c88e9a16</v>
      </c>
      <c r="B1398" s="5">
        <f ca="1">IFERROR(__xludf.DUMMYFUNCTION("""COMPUTED_VALUE"""),46100.8364699074)</f>
        <v>46100.836469907401</v>
      </c>
      <c r="C1398" s="2" t="str">
        <f ca="1">IFERROR(__xludf.DUMMYFUNCTION("""COMPUTED_VALUE"""),"24592bd2")</f>
        <v>24592bd2</v>
      </c>
      <c r="D1398" s="2">
        <f ca="1">IFERROR(__xludf.DUMMYFUNCTION("""COMPUTED_VALUE"""),76)</f>
        <v>76</v>
      </c>
      <c r="E1398" s="2" t="str">
        <f ca="1">IFERROR(__xludf.DUMMYFUNCTION("""COMPUTED_VALUE"""),"Chardonnay")</f>
        <v>Chardonnay</v>
      </c>
      <c r="F1398" s="2">
        <f ca="1">IFERROR(__xludf.DUMMYFUNCTION("""COMPUTED_VALUE"""),1800)</f>
        <v>1800</v>
      </c>
      <c r="G1398" s="2">
        <f ca="1">IFERROR(__xludf.DUMMYFUNCTION("""COMPUTED_VALUE"""),500)</f>
        <v>500</v>
      </c>
      <c r="H1398" s="2" t="str">
        <f ca="1">IFERROR(__xludf.DUMMYFUNCTION("""COMPUTED_VALUE"""),"207f29ea")</f>
        <v>207f29ea</v>
      </c>
      <c r="I1398" s="2" t="str">
        <f ca="1">IFERROR(__xludf.DUMMYFUNCTION("""COMPUTED_VALUE"""),"Ajuste semana 13/02/2025")</f>
        <v>Ajuste semana 13/02/2025</v>
      </c>
      <c r="J1398" s="2">
        <f ca="1">IFERROR(__xludf.DUMMYFUNCTION("""COMPUTED_VALUE"""),60500)</f>
        <v>60500</v>
      </c>
      <c r="K1398" s="2">
        <f ca="1">IFERROR(__xludf.DUMMYFUNCTION("""COMPUTED_VALUE"""),62300)</f>
        <v>62300</v>
      </c>
      <c r="L1398" s="2" t="str">
        <f ca="1">IFERROR(__xludf.DUMMYFUNCTION("""COMPUTED_VALUE"""),"0354076e")</f>
        <v>0354076e</v>
      </c>
      <c r="M1398" s="2" t="str">
        <f ca="1">IFERROR(__xludf.DUMMYFUNCTION("""COMPUTED_VALUE"""),"Chardonnay")</f>
        <v>Chardonnay</v>
      </c>
      <c r="N1398" s="2" t="str">
        <f ca="1">IFERROR(__xludf.DUMMYFUNCTION("""COMPUTED_VALUE"""),"Borra")</f>
        <v>Borra</v>
      </c>
      <c r="O1398" s="2" t="str">
        <f ca="1">IFERROR(__xludf.DUMMYFUNCTION("""COMPUTED_VALUE"""),"Fermentando")</f>
        <v>Fermentando</v>
      </c>
      <c r="P1398" s="2" t="str">
        <f ca="1">IFERROR(__xludf.DUMMYFUNCTION("""COMPUTED_VALUE"""),"Terminado")</f>
        <v>Terminado</v>
      </c>
      <c r="Q1398" s="2" t="b">
        <f ca="1">IFERROR(__xludf.DUMMYFUNCTION("""COMPUTED_VALUE"""),FALSE)</f>
        <v>0</v>
      </c>
      <c r="R1398" s="2" t="str">
        <f ca="1">IFERROR(__xludf.DUMMYFUNCTION("""COMPUTED_VALUE"""),"Fermentando")</f>
        <v>Fermentando</v>
      </c>
      <c r="S1398" s="2"/>
      <c r="T1398" s="2"/>
      <c r="U1398" s="2" t="str">
        <f ca="1">IFERROR(__xludf.DUMMYFUNCTION("""COMPUTED_VALUE"""),"1")</f>
        <v>1</v>
      </c>
    </row>
    <row r="1399" spans="1:21" x14ac:dyDescent="0.25">
      <c r="A1399" s="2" t="str">
        <f ca="1">IFERROR(__xludf.DUMMYFUNCTION("""COMPUTED_VALUE"""),"b28a4733")</f>
        <v>b28a4733</v>
      </c>
      <c r="B1399" s="5">
        <f ca="1">IFERROR(__xludf.DUMMYFUNCTION("""COMPUTED_VALUE"""),46100.8380092591)</f>
        <v>46100.838009259198</v>
      </c>
      <c r="C1399" s="2" t="str">
        <f ca="1">IFERROR(__xludf.DUMMYFUNCTION("""COMPUTED_VALUE"""),"b6cb38ec")</f>
        <v>b6cb38ec</v>
      </c>
      <c r="D1399" s="2">
        <f ca="1">IFERROR(__xludf.DUMMYFUNCTION("""COMPUTED_VALUE"""),80)</f>
        <v>80</v>
      </c>
      <c r="E1399" s="2" t="str">
        <f ca="1">IFERROR(__xludf.DUMMYFUNCTION("""COMPUTED_VALUE"""),"Pedro Gimenez")</f>
        <v>Pedro Gimenez</v>
      </c>
      <c r="F1399" s="2">
        <f ca="1">IFERROR(__xludf.DUMMYFUNCTION("""COMPUTED_VALUE"""),7000)</f>
        <v>7000</v>
      </c>
      <c r="G1399" s="2">
        <f ca="1">IFERROR(__xludf.DUMMYFUNCTION("""COMPUTED_VALUE"""),42)</f>
        <v>42</v>
      </c>
      <c r="H1399" s="2"/>
      <c r="I1399" s="2"/>
      <c r="J1399" s="2">
        <f ca="1">IFERROR(__xludf.DUMMYFUNCTION("""COMPUTED_VALUE"""),0)</f>
        <v>0</v>
      </c>
      <c r="K1399" s="2">
        <f ca="1">IFERROR(__xludf.DUMMYFUNCTION("""COMPUTED_VALUE"""),7000)</f>
        <v>7000</v>
      </c>
      <c r="L1399" s="2" t="str">
        <f ca="1">IFERROR(__xludf.DUMMYFUNCTION("""COMPUTED_VALUE"""),"515ed17d")</f>
        <v>515ed17d</v>
      </c>
      <c r="M1399" s="2" t="str">
        <f ca="1">IFERROR(__xludf.DUMMYFUNCTION("""COMPUTED_VALUE"""),"Pedro Gimenez Rect")</f>
        <v>Pedro Gimenez Rect</v>
      </c>
      <c r="N1399" s="2"/>
      <c r="O1399" s="2" t="str">
        <f ca="1">IFERROR(__xludf.DUMMYFUNCTION("""COMPUTED_VALUE"""),"Fermentando")</f>
        <v>Fermentando</v>
      </c>
      <c r="P1399" s="2"/>
      <c r="Q1399" s="2" t="b">
        <f ca="1">IFERROR(__xludf.DUMMYFUNCTION("""COMPUTED_VALUE"""),FALSE)</f>
        <v>0</v>
      </c>
      <c r="R1399" s="2" t="str">
        <f ca="1">IFERROR(__xludf.DUMMYFUNCTION("""COMPUTED_VALUE"""),"Rectificado")</f>
        <v>Rectificado</v>
      </c>
      <c r="S1399" s="2"/>
      <c r="T1399" s="2"/>
      <c r="U1399" s="2"/>
    </row>
    <row r="1400" spans="1:21" x14ac:dyDescent="0.25">
      <c r="A1400" s="2" t="str">
        <f ca="1">IFERROR(__xludf.DUMMYFUNCTION("""COMPUTED_VALUE"""),"c234e347")</f>
        <v>c234e347</v>
      </c>
      <c r="B1400" s="5">
        <f ca="1">IFERROR(__xludf.DUMMYFUNCTION("""COMPUTED_VALUE"""),46100.8395601851)</f>
        <v>46100.839560185101</v>
      </c>
      <c r="C1400" s="2" t="str">
        <f ca="1">IFERROR(__xludf.DUMMYFUNCTION("""COMPUTED_VALUE"""),"b6ab5b2e")</f>
        <v>b6ab5b2e</v>
      </c>
      <c r="D1400" s="2">
        <f ca="1">IFERROR(__xludf.DUMMYFUNCTION("""COMPUTED_VALUE"""),8)</f>
        <v>8</v>
      </c>
      <c r="E1400" s="2" t="str">
        <f ca="1">IFERROR(__xludf.DUMMYFUNCTION("""COMPUTED_VALUE"""),"Torrontes Rect")</f>
        <v>Torrontes Rect</v>
      </c>
      <c r="F1400" s="2">
        <f ca="1">IFERROR(__xludf.DUMMYFUNCTION("""COMPUTED_VALUE"""),2000)</f>
        <v>2000</v>
      </c>
      <c r="G1400" s="2">
        <f ca="1">IFERROR(__xludf.DUMMYFUNCTION("""COMPUTED_VALUE"""),80)</f>
        <v>80</v>
      </c>
      <c r="H1400" s="2" t="str">
        <f ca="1">IFERROR(__xludf.DUMMYFUNCTION("""COMPUTED_VALUE"""),"b6cb38ec")</f>
        <v>b6cb38ec</v>
      </c>
      <c r="I1400" s="2" t="str">
        <f ca="1">IFERROR(__xludf.DUMMYFUNCTION("""COMPUTED_VALUE"""),"Pedro Gimenez")</f>
        <v>Pedro Gimenez</v>
      </c>
      <c r="J1400" s="2">
        <f ca="1">IFERROR(__xludf.DUMMYFUNCTION("""COMPUTED_VALUE"""),9000)</f>
        <v>9000</v>
      </c>
      <c r="K1400" s="2">
        <f ca="1">IFERROR(__xludf.DUMMYFUNCTION("""COMPUTED_VALUE"""),11000)</f>
        <v>11000</v>
      </c>
      <c r="L1400" s="2" t="str">
        <f ca="1">IFERROR(__xludf.DUMMYFUNCTION("""COMPUTED_VALUE"""),"6f795374")</f>
        <v>6f795374</v>
      </c>
      <c r="M1400" s="2" t="str">
        <f ca="1">IFERROR(__xludf.DUMMYFUNCTION("""COMPUTED_VALUE"""),"Pedro Gimenez")</f>
        <v>Pedro Gimenez</v>
      </c>
      <c r="N1400" s="2"/>
      <c r="O1400" s="2" t="str">
        <f ca="1">IFERROR(__xludf.DUMMYFUNCTION("""COMPUTED_VALUE"""),"Rectificado")</f>
        <v>Rectificado</v>
      </c>
      <c r="P1400" s="2" t="str">
        <f ca="1">IFERROR(__xludf.DUMMYFUNCTION("""COMPUTED_VALUE"""),"Fermentando")</f>
        <v>Fermentando</v>
      </c>
      <c r="Q1400" s="2" t="b">
        <f ca="1">IFERROR(__xludf.DUMMYFUNCTION("""COMPUTED_VALUE"""),TRUE)</f>
        <v>1</v>
      </c>
      <c r="R1400" s="2" t="str">
        <f ca="1">IFERROR(__xludf.DUMMYFUNCTION("""COMPUTED_VALUE"""),"Fermentando")</f>
        <v>Fermentando</v>
      </c>
      <c r="S1400" s="2"/>
      <c r="T1400" s="2"/>
      <c r="U1400" s="2"/>
    </row>
    <row r="1401" spans="1:21" x14ac:dyDescent="0.25">
      <c r="A1401" s="2" t="str">
        <f ca="1">IFERROR(__xludf.DUMMYFUNCTION("""COMPUTED_VALUE"""),"63306a49")</f>
        <v>63306a49</v>
      </c>
      <c r="B1401" s="5">
        <f ca="1">IFERROR(__xludf.DUMMYFUNCTION("""COMPUTED_VALUE"""),46100.8400347222)</f>
        <v>46100.840034722198</v>
      </c>
      <c r="C1401" s="2" t="str">
        <f ca="1">IFERROR(__xludf.DUMMYFUNCTION("""COMPUTED_VALUE"""),"83d2d6b4")</f>
        <v>83d2d6b4</v>
      </c>
      <c r="D1401" s="2">
        <f ca="1">IFERROR(__xludf.DUMMYFUNCTION("""COMPUTED_VALUE"""),14)</f>
        <v>14</v>
      </c>
      <c r="E1401" s="2" t="str">
        <f ca="1">IFERROR(__xludf.DUMMYFUNCTION("""COMPUTED_VALUE"""),"Borra Torrontes")</f>
        <v>Borra Torrontes</v>
      </c>
      <c r="F1401" s="2">
        <f ca="1">IFERROR(__xludf.DUMMYFUNCTION("""COMPUTED_VALUE"""),2000)</f>
        <v>2000</v>
      </c>
      <c r="G1401" s="2">
        <f ca="1">IFERROR(__xludf.DUMMYFUNCTION("""COMPUTED_VALUE"""),80)</f>
        <v>80</v>
      </c>
      <c r="H1401" s="2" t="str">
        <f ca="1">IFERROR(__xludf.DUMMYFUNCTION("""COMPUTED_VALUE"""),"6f795374")</f>
        <v>6f795374</v>
      </c>
      <c r="I1401" s="2" t="str">
        <f ca="1">IFERROR(__xludf.DUMMYFUNCTION("""COMPUTED_VALUE"""),"Pedro Gimenez")</f>
        <v>Pedro Gimenez</v>
      </c>
      <c r="J1401" s="2">
        <f ca="1">IFERROR(__xludf.DUMMYFUNCTION("""COMPUTED_VALUE"""),11000)</f>
        <v>11000</v>
      </c>
      <c r="K1401" s="2">
        <f ca="1">IFERROR(__xludf.DUMMYFUNCTION("""COMPUTED_VALUE"""),13000)</f>
        <v>13000</v>
      </c>
      <c r="L1401" s="2" t="str">
        <f ca="1">IFERROR(__xludf.DUMMYFUNCTION("""COMPUTED_VALUE"""),"54b0a239")</f>
        <v>54b0a239</v>
      </c>
      <c r="M1401" s="2" t="str">
        <f ca="1">IFERROR(__xludf.DUMMYFUNCTION("""COMPUTED_VALUE"""),"Pedro Gimenez")</f>
        <v>Pedro Gimenez</v>
      </c>
      <c r="N1401" s="2"/>
      <c r="O1401" s="2" t="str">
        <f ca="1">IFERROR(__xludf.DUMMYFUNCTION("""COMPUTED_VALUE"""),"Fermentando")</f>
        <v>Fermentando</v>
      </c>
      <c r="P1401" s="2" t="str">
        <f ca="1">IFERROR(__xludf.DUMMYFUNCTION("""COMPUTED_VALUE"""),"Fermentando")</f>
        <v>Fermentando</v>
      </c>
      <c r="Q1401" s="2" t="b">
        <f ca="1">IFERROR(__xludf.DUMMYFUNCTION("""COMPUTED_VALUE"""),TRUE)</f>
        <v>1</v>
      </c>
      <c r="R1401" s="2" t="str">
        <f ca="1">IFERROR(__xludf.DUMMYFUNCTION("""COMPUTED_VALUE"""),"Fermentando")</f>
        <v>Fermentando</v>
      </c>
      <c r="S1401" s="2"/>
      <c r="T1401" s="2"/>
      <c r="U1401" s="2"/>
    </row>
    <row r="1402" spans="1:21" x14ac:dyDescent="0.25">
      <c r="A1402" s="2" t="str">
        <f ca="1">IFERROR(__xludf.DUMMYFUNCTION("""COMPUTED_VALUE"""),"35fef53d")</f>
        <v>35fef53d</v>
      </c>
      <c r="B1402" s="5">
        <f ca="1">IFERROR(__xludf.DUMMYFUNCTION("""COMPUTED_VALUE"""),46101.7199189814)</f>
        <v>46101.719918981398</v>
      </c>
      <c r="C1402" s="2" t="str">
        <f ca="1">IFERROR(__xludf.DUMMYFUNCTION("""COMPUTED_VALUE"""),"f3181bb8")</f>
        <v>f3181bb8</v>
      </c>
      <c r="D1402" s="2">
        <f ca="1">IFERROR(__xludf.DUMMYFUNCTION("""COMPUTED_VALUE"""),78)</f>
        <v>78</v>
      </c>
      <c r="E1402" s="2" t="str">
        <f ca="1">IFERROR(__xludf.DUMMYFUNCTION("""COMPUTED_VALUE"""),"Criolla")</f>
        <v>Criolla</v>
      </c>
      <c r="F1402" s="2">
        <f ca="1">IFERROR(__xludf.DUMMYFUNCTION("""COMPUTED_VALUE"""),4900)</f>
        <v>4900</v>
      </c>
      <c r="G1402" s="2">
        <f ca="1">IFERROR(__xludf.DUMMYFUNCTION("""COMPUTED_VALUE"""),95)</f>
        <v>95</v>
      </c>
      <c r="H1402" s="2"/>
      <c r="I1402" s="2"/>
      <c r="J1402" s="2">
        <f ca="1">IFERROR(__xludf.DUMMYFUNCTION("""COMPUTED_VALUE"""),0)</f>
        <v>0</v>
      </c>
      <c r="K1402" s="2">
        <f ca="1">IFERROR(__xludf.DUMMYFUNCTION("""COMPUTED_VALUE"""),4900)</f>
        <v>4900</v>
      </c>
      <c r="L1402" s="2" t="str">
        <f ca="1">IFERROR(__xludf.DUMMYFUNCTION("""COMPUTED_VALUE"""),"69222465")</f>
        <v>69222465</v>
      </c>
      <c r="M1402" s="2" t="str">
        <f ca="1">IFERROR(__xludf.DUMMYFUNCTION("""COMPUTED_VALUE"""),"Criolla")</f>
        <v>Criolla</v>
      </c>
      <c r="N1402" s="2"/>
      <c r="O1402" s="2" t="str">
        <f ca="1">IFERROR(__xludf.DUMMYFUNCTION("""COMPUTED_VALUE"""),"Fermentando")</f>
        <v>Fermentando</v>
      </c>
      <c r="P1402" s="2"/>
      <c r="Q1402" s="2" t="b">
        <f ca="1">IFERROR(__xludf.DUMMYFUNCTION("""COMPUTED_VALUE"""),FALSE)</f>
        <v>0</v>
      </c>
      <c r="R1402" s="2" t="str">
        <f ca="1">IFERROR(__xludf.DUMMYFUNCTION("""COMPUTED_VALUE"""),"Fermentando")</f>
        <v>Fermentando</v>
      </c>
      <c r="S1402" s="2"/>
      <c r="T1402" s="2"/>
      <c r="U1402" s="2"/>
    </row>
    <row r="1403" spans="1:21" x14ac:dyDescent="0.25">
      <c r="A1403" s="2" t="str">
        <f ca="1">IFERROR(__xludf.DUMMYFUNCTION("""COMPUTED_VALUE"""),"1c715578")</f>
        <v>1c715578</v>
      </c>
      <c r="B1403" s="5">
        <f ca="1">IFERROR(__xludf.DUMMYFUNCTION("""COMPUTED_VALUE"""),46101.7298148148)</f>
        <v>46101.729814814797</v>
      </c>
      <c r="C1403" s="2" t="str">
        <f ca="1">IFERROR(__xludf.DUMMYFUNCTION("""COMPUTED_VALUE"""),"9c60e76b")</f>
        <v>9c60e76b</v>
      </c>
      <c r="D1403" s="2">
        <f ca="1">IFERROR(__xludf.DUMMYFUNCTION("""COMPUTED_VALUE"""),83)</f>
        <v>83</v>
      </c>
      <c r="E1403" s="2" t="str">
        <f ca="1">IFERROR(__xludf.DUMMYFUNCTION("""COMPUTED_VALUE"""),"Syrah Merlot s/Asp 3")</f>
        <v>Syrah Merlot s/Asp 3</v>
      </c>
      <c r="F1403" s="2">
        <f ca="1">IFERROR(__xludf.DUMMYFUNCTION("""COMPUTED_VALUE"""),21500)</f>
        <v>21500</v>
      </c>
      <c r="G1403" s="2">
        <f ca="1">IFERROR(__xludf.DUMMYFUNCTION("""COMPUTED_VALUE"""),105)</f>
        <v>105</v>
      </c>
      <c r="H1403" s="2" t="str">
        <f ca="1">IFERROR(__xludf.DUMMYFUNCTION("""COMPUTED_VALUE"""),"30e20ade")</f>
        <v>30e20ade</v>
      </c>
      <c r="I1403" s="2" t="str">
        <f ca="1">IFERROR(__xludf.DUMMYFUNCTION("""COMPUTED_VALUE"""),"Syrah Merlot s/Asp 2")</f>
        <v>Syrah Merlot s/Asp 2</v>
      </c>
      <c r="J1403" s="2">
        <f ca="1">IFERROR(__xludf.DUMMYFUNCTION("""COMPUTED_VALUE"""),7500)</f>
        <v>7500</v>
      </c>
      <c r="K1403" s="2">
        <f ca="1">IFERROR(__xludf.DUMMYFUNCTION("""COMPUTED_VALUE"""),29000)</f>
        <v>29000</v>
      </c>
      <c r="L1403" s="2" t="str">
        <f ca="1">IFERROR(__xludf.DUMMYFUNCTION("""COMPUTED_VALUE"""),"c904d65f")</f>
        <v>c904d65f</v>
      </c>
      <c r="M1403" s="2" t="str">
        <f ca="1">IFERROR(__xludf.DUMMYFUNCTION("""COMPUTED_VALUE"""),"Syrah Merlot s/Asp 3")</f>
        <v>Syrah Merlot s/Asp 3</v>
      </c>
      <c r="N1403" s="2"/>
      <c r="O1403" s="2" t="str">
        <f ca="1">IFERROR(__xludf.DUMMYFUNCTION("""COMPUTED_VALUE"""),"Fermentando")</f>
        <v>Fermentando</v>
      </c>
      <c r="P1403" s="2" t="str">
        <f ca="1">IFERROR(__xludf.DUMMYFUNCTION("""COMPUTED_VALUE"""),"Descubada")</f>
        <v>Descubada</v>
      </c>
      <c r="Q1403" s="2" t="b">
        <f ca="1">IFERROR(__xludf.DUMMYFUNCTION("""COMPUTED_VALUE"""),FALSE)</f>
        <v>0</v>
      </c>
      <c r="R1403" s="2" t="str">
        <f ca="1">IFERROR(__xludf.DUMMYFUNCTION("""COMPUTED_VALUE"""),"Fermentando")</f>
        <v>Fermentando</v>
      </c>
      <c r="S1403" s="2"/>
      <c r="T1403" s="2"/>
      <c r="U1403" s="2" t="str">
        <f ca="1">IFERROR(__xludf.DUMMYFUNCTION("""COMPUTED_VALUE"""),"1")</f>
        <v>1</v>
      </c>
    </row>
    <row r="1404" spans="1:21" x14ac:dyDescent="0.25">
      <c r="A1404" s="2" t="str">
        <f ca="1">IFERROR(__xludf.DUMMYFUNCTION("""COMPUTED_VALUE"""),"9bfa20fb")</f>
        <v>9bfa20fb</v>
      </c>
      <c r="B1404" s="5">
        <f ca="1">IFERROR(__xludf.DUMMYFUNCTION("""COMPUTED_VALUE"""),46101.7307175925)</f>
        <v>46101.730717592502</v>
      </c>
      <c r="C1404" s="2" t="str">
        <f ca="1">IFERROR(__xludf.DUMMYFUNCTION("""COMPUTED_VALUE"""),"9c60e76b")</f>
        <v>9c60e76b</v>
      </c>
      <c r="D1404" s="2">
        <f ca="1">IFERROR(__xludf.DUMMYFUNCTION("""COMPUTED_VALUE"""),83)</f>
        <v>83</v>
      </c>
      <c r="E1404" s="2" t="str">
        <f ca="1">IFERROR(__xludf.DUMMYFUNCTION("""COMPUTED_VALUE"""),"Syrah Merlot s/Asp 3")</f>
        <v>Syrah Merlot s/Asp 3</v>
      </c>
      <c r="F1404" s="2">
        <f ca="1">IFERROR(__xludf.DUMMYFUNCTION("""COMPUTED_VALUE"""),10)</f>
        <v>10</v>
      </c>
      <c r="G1404" s="2">
        <f ca="1">IFERROR(__xludf.DUMMYFUNCTION("""COMPUTED_VALUE"""),106)</f>
        <v>106</v>
      </c>
      <c r="H1404" s="2"/>
      <c r="I1404" s="2"/>
      <c r="J1404" s="2">
        <f ca="1">IFERROR(__xludf.DUMMYFUNCTION("""COMPUTED_VALUE"""),0)</f>
        <v>0</v>
      </c>
      <c r="K1404" s="2">
        <f ca="1">IFERROR(__xludf.DUMMYFUNCTION("""COMPUTED_VALUE"""),10)</f>
        <v>10</v>
      </c>
      <c r="L1404" s="2" t="str">
        <f ca="1">IFERROR(__xludf.DUMMYFUNCTION("""COMPUTED_VALUE"""),"34abe2cd")</f>
        <v>34abe2cd</v>
      </c>
      <c r="M1404" s="2" t="str">
        <f ca="1">IFERROR(__xludf.DUMMYFUNCTION("""COMPUTED_VALUE"""),"Syrah Merlot s/Asp 3")</f>
        <v>Syrah Merlot s/Asp 3</v>
      </c>
      <c r="N1404" s="2"/>
      <c r="O1404" s="2" t="str">
        <f ca="1">IFERROR(__xludf.DUMMYFUNCTION("""COMPUTED_VALUE"""),"Fermentando")</f>
        <v>Fermentando</v>
      </c>
      <c r="P1404" s="2"/>
      <c r="Q1404" s="2" t="b">
        <f ca="1">IFERROR(__xludf.DUMMYFUNCTION("""COMPUTED_VALUE"""),FALSE)</f>
        <v>0</v>
      </c>
      <c r="R1404" s="2" t="str">
        <f ca="1">IFERROR(__xludf.DUMMYFUNCTION("""COMPUTED_VALUE"""),"Descubada")</f>
        <v>Descubada</v>
      </c>
      <c r="S1404" s="2"/>
      <c r="T1404" s="2"/>
      <c r="U1404" s="2" t="str">
        <f ca="1">IFERROR(__xludf.DUMMYFUNCTION("""COMPUTED_VALUE"""),"1")</f>
        <v>1</v>
      </c>
    </row>
    <row r="1405" spans="1:21" x14ac:dyDescent="0.25">
      <c r="A1405" s="2" t="str">
        <f ca="1">IFERROR(__xludf.DUMMYFUNCTION("""COMPUTED_VALUE"""),"e65710b2")</f>
        <v>e65710b2</v>
      </c>
      <c r="B1405" s="5">
        <f ca="1">IFERROR(__xludf.DUMMYFUNCTION("""COMPUTED_VALUE"""),46101.7312384259)</f>
        <v>46101.731238425898</v>
      </c>
      <c r="C1405" s="2" t="str">
        <f ca="1">IFERROR(__xludf.DUMMYFUNCTION("""COMPUTED_VALUE"""),"9c60e76b")</f>
        <v>9c60e76b</v>
      </c>
      <c r="D1405" s="2">
        <f ca="1">IFERROR(__xludf.DUMMYFUNCTION("""COMPUTED_VALUE"""),83)</f>
        <v>83</v>
      </c>
      <c r="E1405" s="2" t="str">
        <f ca="1">IFERROR(__xludf.DUMMYFUNCTION("""COMPUTED_VALUE"""),"Syrah Merlot s/Asp 3")</f>
        <v>Syrah Merlot s/Asp 3</v>
      </c>
      <c r="F1405" s="2">
        <f ca="1">IFERROR(__xludf.DUMMYFUNCTION("""COMPUTED_VALUE"""),29000)</f>
        <v>29000</v>
      </c>
      <c r="G1405" s="2">
        <f ca="1">IFERROR(__xludf.DUMMYFUNCTION("""COMPUTED_VALUE"""),107)</f>
        <v>107</v>
      </c>
      <c r="H1405" s="2"/>
      <c r="I1405" s="2"/>
      <c r="J1405" s="2">
        <f ca="1">IFERROR(__xludf.DUMMYFUNCTION("""COMPUTED_VALUE"""),0)</f>
        <v>0</v>
      </c>
      <c r="K1405" s="2">
        <f ca="1">IFERROR(__xludf.DUMMYFUNCTION("""COMPUTED_VALUE"""),29000)</f>
        <v>29000</v>
      </c>
      <c r="L1405" s="2" t="str">
        <f ca="1">IFERROR(__xludf.DUMMYFUNCTION("""COMPUTED_VALUE"""),"5b072ae5")</f>
        <v>5b072ae5</v>
      </c>
      <c r="M1405" s="2" t="str">
        <f ca="1">IFERROR(__xludf.DUMMYFUNCTION("""COMPUTED_VALUE"""),"Syrah Merlot s/Asp 3")</f>
        <v>Syrah Merlot s/Asp 3</v>
      </c>
      <c r="N1405" s="2"/>
      <c r="O1405" s="2" t="str">
        <f ca="1">IFERROR(__xludf.DUMMYFUNCTION("""COMPUTED_VALUE"""),"Fermentando")</f>
        <v>Fermentando</v>
      </c>
      <c r="P1405" s="2"/>
      <c r="Q1405" s="2" t="b">
        <f ca="1">IFERROR(__xludf.DUMMYFUNCTION("""COMPUTED_VALUE"""),FALSE)</f>
        <v>0</v>
      </c>
      <c r="R1405" s="2" t="str">
        <f ca="1">IFERROR(__xludf.DUMMYFUNCTION("""COMPUTED_VALUE"""),"Descubada")</f>
        <v>Descubada</v>
      </c>
      <c r="S1405" s="2"/>
      <c r="T1405" s="2"/>
      <c r="U1405" s="2" t="str">
        <f ca="1">IFERROR(__xludf.DUMMYFUNCTION("""COMPUTED_VALUE"""),"1")</f>
        <v>1</v>
      </c>
    </row>
    <row r="1406" spans="1:21" x14ac:dyDescent="0.25">
      <c r="A1406" s="2" t="str">
        <f ca="1">IFERROR(__xludf.DUMMYFUNCTION("""COMPUTED_VALUE"""),"193f8910")</f>
        <v>193f8910</v>
      </c>
      <c r="B1406" s="5">
        <f ca="1">IFERROR(__xludf.DUMMYFUNCTION("""COMPUTED_VALUE"""),46101.7317592592)</f>
        <v>46101.731759259201</v>
      </c>
      <c r="C1406" s="2" t="str">
        <f ca="1">IFERROR(__xludf.DUMMYFUNCTION("""COMPUTED_VALUE"""),"9c60e76b")</f>
        <v>9c60e76b</v>
      </c>
      <c r="D1406" s="2">
        <f ca="1">IFERROR(__xludf.DUMMYFUNCTION("""COMPUTED_VALUE"""),83)</f>
        <v>83</v>
      </c>
      <c r="E1406" s="2" t="str">
        <f ca="1">IFERROR(__xludf.DUMMYFUNCTION("""COMPUTED_VALUE"""),"Syrah Merlot s/Asp 3")</f>
        <v>Syrah Merlot s/Asp 3</v>
      </c>
      <c r="F1406" s="2">
        <f ca="1">IFERROR(__xludf.DUMMYFUNCTION("""COMPUTED_VALUE"""),2490)</f>
        <v>2490</v>
      </c>
      <c r="G1406" s="2">
        <f ca="1">IFERROR(__xludf.DUMMYFUNCTION("""COMPUTED_VALUE"""),108)</f>
        <v>108</v>
      </c>
      <c r="H1406" s="2"/>
      <c r="I1406" s="2"/>
      <c r="J1406" s="2">
        <f ca="1">IFERROR(__xludf.DUMMYFUNCTION("""COMPUTED_VALUE"""),0)</f>
        <v>0</v>
      </c>
      <c r="K1406" s="2">
        <f ca="1">IFERROR(__xludf.DUMMYFUNCTION("""COMPUTED_VALUE"""),2490)</f>
        <v>2490</v>
      </c>
      <c r="L1406" s="2" t="str">
        <f ca="1">IFERROR(__xludf.DUMMYFUNCTION("""COMPUTED_VALUE"""),"fcdf31e8")</f>
        <v>fcdf31e8</v>
      </c>
      <c r="M1406" s="2" t="str">
        <f ca="1">IFERROR(__xludf.DUMMYFUNCTION("""COMPUTED_VALUE"""),"Syrah Merlot s/Asp 3")</f>
        <v>Syrah Merlot s/Asp 3</v>
      </c>
      <c r="N1406" s="2"/>
      <c r="O1406" s="2" t="str">
        <f ca="1">IFERROR(__xludf.DUMMYFUNCTION("""COMPUTED_VALUE"""),"Fermentando")</f>
        <v>Fermentando</v>
      </c>
      <c r="P1406" s="2"/>
      <c r="Q1406" s="2" t="b">
        <f ca="1">IFERROR(__xludf.DUMMYFUNCTION("""COMPUTED_VALUE"""),FALSE)</f>
        <v>0</v>
      </c>
      <c r="R1406" s="2" t="str">
        <f ca="1">IFERROR(__xludf.DUMMYFUNCTION("""COMPUTED_VALUE"""),"Descubada")</f>
        <v>Descubada</v>
      </c>
      <c r="S1406" s="2"/>
      <c r="T1406" s="2"/>
      <c r="U1406" s="2" t="str">
        <f ca="1">IFERROR(__xludf.DUMMYFUNCTION("""COMPUTED_VALUE"""),"1")</f>
        <v>1</v>
      </c>
    </row>
    <row r="1407" spans="1:21" x14ac:dyDescent="0.25">
      <c r="A1407" s="2" t="str">
        <f ca="1">IFERROR(__xludf.DUMMYFUNCTION("""COMPUTED_VALUE"""),"9b216bfa")</f>
        <v>9b216bfa</v>
      </c>
      <c r="B1407" s="5">
        <f ca="1">IFERROR(__xludf.DUMMYFUNCTION("""COMPUTED_VALUE"""),46104.5076157407)</f>
        <v>46104.507615740702</v>
      </c>
      <c r="C1407" s="2" t="str">
        <f ca="1">IFERROR(__xludf.DUMMYFUNCTION("""COMPUTED_VALUE"""),"d12e5727")</f>
        <v>d12e5727</v>
      </c>
      <c r="D1407" s="2">
        <f ca="1">IFERROR(__xludf.DUMMYFUNCTION("""COMPUTED_VALUE"""),77)</f>
        <v>77</v>
      </c>
      <c r="E1407" s="2" t="str">
        <f ca="1">IFERROR(__xludf.DUMMYFUNCTION("""COMPUTED_VALUE"""),"Torrontes")</f>
        <v>Torrontes</v>
      </c>
      <c r="F1407" s="2">
        <f ca="1">IFERROR(__xludf.DUMMYFUNCTION("""COMPUTED_VALUE"""),-8900)</f>
        <v>-8900</v>
      </c>
      <c r="G1407" s="2">
        <f ca="1">IFERROR(__xludf.DUMMYFUNCTION("""COMPUTED_VALUE"""),8)</f>
        <v>8</v>
      </c>
      <c r="H1407" s="2" t="str">
        <f ca="1">IFERROR(__xludf.DUMMYFUNCTION("""COMPUTED_VALUE"""),"b6ab5b2e")</f>
        <v>b6ab5b2e</v>
      </c>
      <c r="I1407" s="2" t="str">
        <f ca="1">IFERROR(__xludf.DUMMYFUNCTION("""COMPUTED_VALUE"""),"Torrontes Rect")</f>
        <v>Torrontes Rect</v>
      </c>
      <c r="J1407" s="2">
        <f ca="1">IFERROR(__xludf.DUMMYFUNCTION("""COMPUTED_VALUE"""),10000)</f>
        <v>10000</v>
      </c>
      <c r="K1407" s="2">
        <f ca="1">IFERROR(__xludf.DUMMYFUNCTION("""COMPUTED_VALUE"""),1100)</f>
        <v>1100</v>
      </c>
      <c r="L1407" s="2" t="str">
        <f ca="1">IFERROR(__xludf.DUMMYFUNCTION("""COMPUTED_VALUE"""),"411e1a11")</f>
        <v>411e1a11</v>
      </c>
      <c r="M1407" s="2" t="str">
        <f ca="1">IFERROR(__xludf.DUMMYFUNCTION("""COMPUTED_VALUE"""),"Torrontes Rect")</f>
        <v>Torrontes Rect</v>
      </c>
      <c r="N1407" s="2"/>
      <c r="O1407" s="2" t="str">
        <f ca="1">IFERROR(__xludf.DUMMYFUNCTION("""COMPUTED_VALUE"""),"Fermentando")</f>
        <v>Fermentando</v>
      </c>
      <c r="P1407" s="2" t="str">
        <f ca="1">IFERROR(__xludf.DUMMYFUNCTION("""COMPUTED_VALUE"""),"Rectificado")</f>
        <v>Rectificado</v>
      </c>
      <c r="Q1407" s="2" t="b">
        <f ca="1">IFERROR(__xludf.DUMMYFUNCTION("""COMPUTED_VALUE"""),TRUE)</f>
        <v>1</v>
      </c>
      <c r="R1407" s="2" t="str">
        <f ca="1">IFERROR(__xludf.DUMMYFUNCTION("""COMPUTED_VALUE"""),"Rectificado")</f>
        <v>Rectificado</v>
      </c>
      <c r="S1407" s="2"/>
      <c r="T1407" s="2"/>
      <c r="U1407" s="2"/>
    </row>
    <row r="1408" spans="1:21" x14ac:dyDescent="0.25">
      <c r="A1408" s="2" t="str">
        <f ca="1">IFERROR(__xludf.DUMMYFUNCTION("""COMPUTED_VALUE"""),"7cd136d7")</f>
        <v>7cd136d7</v>
      </c>
      <c r="B1408" s="5">
        <f ca="1">IFERROR(__xludf.DUMMYFUNCTION("""COMPUTED_VALUE"""),46104.5098958333)</f>
        <v>46104.509895833296</v>
      </c>
      <c r="C1408" s="2" t="str">
        <f ca="1">IFERROR(__xludf.DUMMYFUNCTION("""COMPUTED_VALUE"""),"f3181bb8")</f>
        <v>f3181bb8</v>
      </c>
      <c r="D1408" s="2">
        <f ca="1">IFERROR(__xludf.DUMMYFUNCTION("""COMPUTED_VALUE"""),78)</f>
        <v>78</v>
      </c>
      <c r="E1408" s="2" t="str">
        <f ca="1">IFERROR(__xludf.DUMMYFUNCTION("""COMPUTED_VALUE"""),"Criolla")</f>
        <v>Criolla</v>
      </c>
      <c r="F1408" s="2">
        <f ca="1">IFERROR(__xludf.DUMMYFUNCTION("""COMPUTED_VALUE"""),1000)</f>
        <v>1000</v>
      </c>
      <c r="G1408" s="2">
        <f ca="1">IFERROR(__xludf.DUMMYFUNCTION("""COMPUTED_VALUE"""),95)</f>
        <v>95</v>
      </c>
      <c r="H1408" s="2" t="str">
        <f ca="1">IFERROR(__xludf.DUMMYFUNCTION("""COMPUTED_VALUE"""),"69222465")</f>
        <v>69222465</v>
      </c>
      <c r="I1408" s="2" t="str">
        <f ca="1">IFERROR(__xludf.DUMMYFUNCTION("""COMPUTED_VALUE"""),"Cabernet Sauvignon")</f>
        <v>Cabernet Sauvignon</v>
      </c>
      <c r="J1408" s="2">
        <f ca="1">IFERROR(__xludf.DUMMYFUNCTION("""COMPUTED_VALUE"""),4900)</f>
        <v>4900</v>
      </c>
      <c r="K1408" s="2">
        <f ca="1">IFERROR(__xludf.DUMMYFUNCTION("""COMPUTED_VALUE"""),5900)</f>
        <v>5900</v>
      </c>
      <c r="L1408" s="2" t="str">
        <f ca="1">IFERROR(__xludf.DUMMYFUNCTION("""COMPUTED_VALUE"""),"0684c059")</f>
        <v>0684c059</v>
      </c>
      <c r="M1408" s="2" t="str">
        <f ca="1">IFERROR(__xludf.DUMMYFUNCTION("""COMPUTED_VALUE"""),"Cabernet Sauvignon")</f>
        <v>Cabernet Sauvignon</v>
      </c>
      <c r="N1408" s="2"/>
      <c r="O1408" s="2" t="str">
        <f ca="1">IFERROR(__xludf.DUMMYFUNCTION("""COMPUTED_VALUE"""),"Fermentando")</f>
        <v>Fermentando</v>
      </c>
      <c r="P1408" s="2" t="str">
        <f ca="1">IFERROR(__xludf.DUMMYFUNCTION("""COMPUTED_VALUE"""),"Fermentando")</f>
        <v>Fermentando</v>
      </c>
      <c r="Q1408" s="2" t="b">
        <f ca="1">IFERROR(__xludf.DUMMYFUNCTION("""COMPUTED_VALUE"""),TRUE)</f>
        <v>1</v>
      </c>
      <c r="R1408" s="2" t="str">
        <f ca="1">IFERROR(__xludf.DUMMYFUNCTION("""COMPUTED_VALUE"""),"Fermentando")</f>
        <v>Fermentando</v>
      </c>
      <c r="S1408" s="2"/>
      <c r="T1408" s="2"/>
      <c r="U1408" s="2"/>
    </row>
    <row r="1409" spans="1:21" x14ac:dyDescent="0.25">
      <c r="A1409" s="2" t="str">
        <f ca="1">IFERROR(__xludf.DUMMYFUNCTION("""COMPUTED_VALUE"""),"4c885189")</f>
        <v>4c885189</v>
      </c>
      <c r="B1409" s="5">
        <f ca="1">IFERROR(__xludf.DUMMYFUNCTION("""COMPUTED_VALUE"""),46104.5103819444)</f>
        <v>46104.510381944398</v>
      </c>
      <c r="C1409" s="2" t="str">
        <f ca="1">IFERROR(__xludf.DUMMYFUNCTION("""COMPUTED_VALUE"""),"f3181bb8")</f>
        <v>f3181bb8</v>
      </c>
      <c r="D1409" s="2">
        <f ca="1">IFERROR(__xludf.DUMMYFUNCTION("""COMPUTED_VALUE"""),78)</f>
        <v>78</v>
      </c>
      <c r="E1409" s="2" t="str">
        <f ca="1">IFERROR(__xludf.DUMMYFUNCTION("""COMPUTED_VALUE"""),"Criolla")</f>
        <v>Criolla</v>
      </c>
      <c r="F1409" s="2">
        <f ca="1">IFERROR(__xludf.DUMMYFUNCTION("""COMPUTED_VALUE"""),-1100)</f>
        <v>-1100</v>
      </c>
      <c r="G1409" s="2">
        <f ca="1">IFERROR(__xludf.DUMMYFUNCTION("""COMPUTED_VALUE"""),8)</f>
        <v>8</v>
      </c>
      <c r="H1409" s="2" t="str">
        <f ca="1">IFERROR(__xludf.DUMMYFUNCTION("""COMPUTED_VALUE"""),"411e1a11")</f>
        <v>411e1a11</v>
      </c>
      <c r="I1409" s="2" t="str">
        <f ca="1">IFERROR(__xludf.DUMMYFUNCTION("""COMPUTED_VALUE"""),"Torrontes Rect")</f>
        <v>Torrontes Rect</v>
      </c>
      <c r="J1409" s="2">
        <f ca="1">IFERROR(__xludf.DUMMYFUNCTION("""COMPUTED_VALUE"""),1100)</f>
        <v>1100</v>
      </c>
      <c r="K1409" s="2">
        <f ca="1">IFERROR(__xludf.DUMMYFUNCTION("""COMPUTED_VALUE"""),0)</f>
        <v>0</v>
      </c>
      <c r="L1409" s="2" t="str">
        <f ca="1">IFERROR(__xludf.DUMMYFUNCTION("""COMPUTED_VALUE"""),"5acc54c9")</f>
        <v>5acc54c9</v>
      </c>
      <c r="M1409" s="2" t="str">
        <f ca="1">IFERROR(__xludf.DUMMYFUNCTION("""COMPUTED_VALUE"""),"Torrontes Rect")</f>
        <v>Torrontes Rect</v>
      </c>
      <c r="N1409" s="2"/>
      <c r="O1409" s="2" t="str">
        <f ca="1">IFERROR(__xludf.DUMMYFUNCTION("""COMPUTED_VALUE"""),"Fermentando")</f>
        <v>Fermentando</v>
      </c>
      <c r="P1409" s="2" t="str">
        <f ca="1">IFERROR(__xludf.DUMMYFUNCTION("""COMPUTED_VALUE"""),"Rectificado")</f>
        <v>Rectificado</v>
      </c>
      <c r="Q1409" s="2" t="b">
        <f ca="1">IFERROR(__xludf.DUMMYFUNCTION("""COMPUTED_VALUE"""),TRUE)</f>
        <v>1</v>
      </c>
      <c r="R1409" s="2" t="str">
        <f ca="1">IFERROR(__xludf.DUMMYFUNCTION("""COMPUTED_VALUE"""),"Rectificado")</f>
        <v>Rectificado</v>
      </c>
      <c r="S1409" s="2"/>
      <c r="T1409" s="2"/>
      <c r="U1409" s="2"/>
    </row>
    <row r="1410" spans="1:21" x14ac:dyDescent="0.25">
      <c r="A1410" s="2" t="str">
        <f ca="1">IFERROR(__xludf.DUMMYFUNCTION("""COMPUTED_VALUE"""),"7e292bc4")</f>
        <v>7e292bc4</v>
      </c>
      <c r="B1410" s="5">
        <f ca="1">IFERROR(__xludf.DUMMYFUNCTION("""COMPUTED_VALUE"""),46104.5110879629)</f>
        <v>46104.511087962899</v>
      </c>
      <c r="C1410" s="2" t="str">
        <f ca="1">IFERROR(__xludf.DUMMYFUNCTION("""COMPUTED_VALUE"""),"54b0a239")</f>
        <v>54b0a239</v>
      </c>
      <c r="D1410" s="2">
        <f ca="1">IFERROR(__xludf.DUMMYFUNCTION("""COMPUTED_VALUE"""),80)</f>
        <v>80</v>
      </c>
      <c r="E1410" s="2" t="str">
        <f ca="1">IFERROR(__xludf.DUMMYFUNCTION("""COMPUTED_VALUE"""),"Pedro Gimenez")</f>
        <v>Pedro Gimenez</v>
      </c>
      <c r="F1410" s="2">
        <f ca="1">IFERROR(__xludf.DUMMYFUNCTION("""COMPUTED_VALUE"""),-7000)</f>
        <v>-7000</v>
      </c>
      <c r="G1410" s="2">
        <f ca="1">IFERROR(__xludf.DUMMYFUNCTION("""COMPUTED_VALUE"""),42)</f>
        <v>42</v>
      </c>
      <c r="H1410" s="2" t="str">
        <f ca="1">IFERROR(__xludf.DUMMYFUNCTION("""COMPUTED_VALUE"""),"515ed17d")</f>
        <v>515ed17d</v>
      </c>
      <c r="I1410" s="2" t="str">
        <f ca="1">IFERROR(__xludf.DUMMYFUNCTION("""COMPUTED_VALUE"""),"Pedro Gimenez Rect")</f>
        <v>Pedro Gimenez Rect</v>
      </c>
      <c r="J1410" s="2">
        <f ca="1">IFERROR(__xludf.DUMMYFUNCTION("""COMPUTED_VALUE"""),7000)</f>
        <v>7000</v>
      </c>
      <c r="K1410" s="2">
        <f ca="1">IFERROR(__xludf.DUMMYFUNCTION("""COMPUTED_VALUE"""),0)</f>
        <v>0</v>
      </c>
      <c r="L1410" s="2" t="str">
        <f ca="1">IFERROR(__xludf.DUMMYFUNCTION("""COMPUTED_VALUE"""),"27c5f3b0")</f>
        <v>27c5f3b0</v>
      </c>
      <c r="M1410" s="2" t="str">
        <f ca="1">IFERROR(__xludf.DUMMYFUNCTION("""COMPUTED_VALUE"""),"Pedro Gimenez Rect")</f>
        <v>Pedro Gimenez Rect</v>
      </c>
      <c r="N1410" s="2"/>
      <c r="O1410" s="2" t="str">
        <f ca="1">IFERROR(__xludf.DUMMYFUNCTION("""COMPUTED_VALUE"""),"Fermentando")</f>
        <v>Fermentando</v>
      </c>
      <c r="P1410" s="2" t="str">
        <f ca="1">IFERROR(__xludf.DUMMYFUNCTION("""COMPUTED_VALUE"""),"Rectificado")</f>
        <v>Rectificado</v>
      </c>
      <c r="Q1410" s="2" t="b">
        <f ca="1">IFERROR(__xludf.DUMMYFUNCTION("""COMPUTED_VALUE"""),TRUE)</f>
        <v>1</v>
      </c>
      <c r="R1410" s="2" t="str">
        <f ca="1">IFERROR(__xludf.DUMMYFUNCTION("""COMPUTED_VALUE"""),"Rectificado")</f>
        <v>Rectificado</v>
      </c>
      <c r="S1410" s="2"/>
      <c r="T1410" s="2"/>
      <c r="U1410" s="2"/>
    </row>
    <row r="1411" spans="1:21" x14ac:dyDescent="0.25">
      <c r="A1411" s="2" t="str">
        <f ca="1">IFERROR(__xludf.DUMMYFUNCTION("""COMPUTED_VALUE"""),"6b7f6b6a")</f>
        <v>6b7f6b6a</v>
      </c>
      <c r="B1411" s="5">
        <f ca="1">IFERROR(__xludf.DUMMYFUNCTION("""COMPUTED_VALUE"""),46104.514375)</f>
        <v>46104.514374999999</v>
      </c>
      <c r="C1411" s="2" t="str">
        <f ca="1">IFERROR(__xludf.DUMMYFUNCTION("""COMPUTED_VALUE"""),"f3181bb8")</f>
        <v>f3181bb8</v>
      </c>
      <c r="D1411" s="2">
        <f ca="1">IFERROR(__xludf.DUMMYFUNCTION("""COMPUTED_VALUE"""),78)</f>
        <v>78</v>
      </c>
      <c r="E1411" s="2" t="str">
        <f ca="1">IFERROR(__xludf.DUMMYFUNCTION("""COMPUTED_VALUE"""),"Criolla")</f>
        <v>Criolla</v>
      </c>
      <c r="F1411" s="2">
        <f ca="1">IFERROR(__xludf.DUMMYFUNCTION("""COMPUTED_VALUE"""),10000)</f>
        <v>10000</v>
      </c>
      <c r="G1411" s="2">
        <f ca="1">IFERROR(__xludf.DUMMYFUNCTION("""COMPUTED_VALUE"""),36)</f>
        <v>36</v>
      </c>
      <c r="H1411" s="2"/>
      <c r="I1411" s="2"/>
      <c r="J1411" s="2">
        <f ca="1">IFERROR(__xludf.DUMMYFUNCTION("""COMPUTED_VALUE"""),0)</f>
        <v>0</v>
      </c>
      <c r="K1411" s="2">
        <f ca="1">IFERROR(__xludf.DUMMYFUNCTION("""COMPUTED_VALUE"""),10000)</f>
        <v>10000</v>
      </c>
      <c r="L1411" s="2" t="str">
        <f ca="1">IFERROR(__xludf.DUMMYFUNCTION("""COMPUTED_VALUE"""),"1f1e547e")</f>
        <v>1f1e547e</v>
      </c>
      <c r="M1411" s="2" t="str">
        <f ca="1">IFERROR(__xludf.DUMMYFUNCTION("""COMPUTED_VALUE"""),"Criolla Rectificado")</f>
        <v>Criolla Rectificado</v>
      </c>
      <c r="N1411" s="2"/>
      <c r="O1411" s="2" t="str">
        <f ca="1">IFERROR(__xludf.DUMMYFUNCTION("""COMPUTED_VALUE"""),"Fermentando")</f>
        <v>Fermentando</v>
      </c>
      <c r="P1411" s="2"/>
      <c r="Q1411" s="2" t="b">
        <f ca="1">IFERROR(__xludf.DUMMYFUNCTION("""COMPUTED_VALUE"""),FALSE)</f>
        <v>0</v>
      </c>
      <c r="R1411" s="2" t="str">
        <f ca="1">IFERROR(__xludf.DUMMYFUNCTION("""COMPUTED_VALUE"""),"Rectificado")</f>
        <v>Rectificado</v>
      </c>
      <c r="S1411" s="2"/>
      <c r="T1411" s="2"/>
      <c r="U1411" s="2"/>
    </row>
    <row r="1412" spans="1:21" x14ac:dyDescent="0.25">
      <c r="A1412" s="2" t="str">
        <f ca="1">IFERROR(__xludf.DUMMYFUNCTION("""COMPUTED_VALUE"""),"7475be45")</f>
        <v>7475be45</v>
      </c>
      <c r="B1412" s="5">
        <f ca="1">IFERROR(__xludf.DUMMYFUNCTION("""COMPUTED_VALUE"""),46104.5148611111)</f>
        <v>46104.5148611111</v>
      </c>
      <c r="C1412" s="2" t="str">
        <f ca="1">IFERROR(__xludf.DUMMYFUNCTION("""COMPUTED_VALUE"""),"f3181bb8")</f>
        <v>f3181bb8</v>
      </c>
      <c r="D1412" s="2">
        <f ca="1">IFERROR(__xludf.DUMMYFUNCTION("""COMPUTED_VALUE"""),78)</f>
        <v>78</v>
      </c>
      <c r="E1412" s="2" t="str">
        <f ca="1">IFERROR(__xludf.DUMMYFUNCTION("""COMPUTED_VALUE"""),"Criolla")</f>
        <v>Criolla</v>
      </c>
      <c r="F1412" s="2">
        <f ca="1">IFERROR(__xludf.DUMMYFUNCTION("""COMPUTED_VALUE"""),-10000)</f>
        <v>-10000</v>
      </c>
      <c r="G1412" s="2">
        <f ca="1">IFERROR(__xludf.DUMMYFUNCTION("""COMPUTED_VALUE"""),36)</f>
        <v>36</v>
      </c>
      <c r="H1412" s="2" t="str">
        <f ca="1">IFERROR(__xludf.DUMMYFUNCTION("""COMPUTED_VALUE"""),"1f1e547e")</f>
        <v>1f1e547e</v>
      </c>
      <c r="I1412" s="2" t="str">
        <f ca="1">IFERROR(__xludf.DUMMYFUNCTION("""COMPUTED_VALUE"""),"Criolla Rectificado")</f>
        <v>Criolla Rectificado</v>
      </c>
      <c r="J1412" s="2">
        <f ca="1">IFERROR(__xludf.DUMMYFUNCTION("""COMPUTED_VALUE"""),10000)</f>
        <v>10000</v>
      </c>
      <c r="K1412" s="2">
        <f ca="1">IFERROR(__xludf.DUMMYFUNCTION("""COMPUTED_VALUE"""),0)</f>
        <v>0</v>
      </c>
      <c r="L1412" s="2" t="str">
        <f ca="1">IFERROR(__xludf.DUMMYFUNCTION("""COMPUTED_VALUE"""),"773a0f55")</f>
        <v>773a0f55</v>
      </c>
      <c r="M1412" s="2" t="str">
        <f ca="1">IFERROR(__xludf.DUMMYFUNCTION("""COMPUTED_VALUE"""),"Criolla Rectificado")</f>
        <v>Criolla Rectificado</v>
      </c>
      <c r="N1412" s="2"/>
      <c r="O1412" s="2" t="str">
        <f ca="1">IFERROR(__xludf.DUMMYFUNCTION("""COMPUTED_VALUE"""),"Fermentando")</f>
        <v>Fermentando</v>
      </c>
      <c r="P1412" s="2" t="str">
        <f ca="1">IFERROR(__xludf.DUMMYFUNCTION("""COMPUTED_VALUE"""),"Rectificado")</f>
        <v>Rectificado</v>
      </c>
      <c r="Q1412" s="2" t="b">
        <f ca="1">IFERROR(__xludf.DUMMYFUNCTION("""COMPUTED_VALUE"""),TRUE)</f>
        <v>1</v>
      </c>
      <c r="R1412" s="2" t="str">
        <f ca="1">IFERROR(__xludf.DUMMYFUNCTION("""COMPUTED_VALUE"""),"Rectificado")</f>
        <v>Rectificado</v>
      </c>
      <c r="S1412" s="2"/>
      <c r="T1412" s="2"/>
      <c r="U1412" s="2"/>
    </row>
    <row r="1413" spans="1:21" x14ac:dyDescent="0.25">
      <c r="A1413" s="2" t="str">
        <f ca="1">IFERROR(__xludf.DUMMYFUNCTION("""COMPUTED_VALUE"""),"be54aeaf")</f>
        <v>be54aeaf</v>
      </c>
      <c r="B1413" s="5">
        <f ca="1">IFERROR(__xludf.DUMMYFUNCTION("""COMPUTED_VALUE"""),46104.5169444444)</f>
        <v>46104.516944444404</v>
      </c>
      <c r="C1413" s="2" t="str">
        <f ca="1">IFERROR(__xludf.DUMMYFUNCTION("""COMPUTED_VALUE"""),"a8f01ef9")</f>
        <v>a8f01ef9</v>
      </c>
      <c r="D1413" s="2">
        <f ca="1">IFERROR(__xludf.DUMMYFUNCTION("""COMPUTED_VALUE"""),103)</f>
        <v>103</v>
      </c>
      <c r="E1413" s="2" t="str">
        <f ca="1">IFERROR(__xludf.DUMMYFUNCTION("""COMPUTED_VALUE"""),"Syrah Anc s/Asp 2")</f>
        <v>Syrah Anc s/Asp 2</v>
      </c>
      <c r="F1413" s="2">
        <f ca="1">IFERROR(__xludf.DUMMYFUNCTION("""COMPUTED_VALUE"""),-3000)</f>
        <v>-3000</v>
      </c>
      <c r="G1413" s="2">
        <f ca="1">IFERROR(__xludf.DUMMYFUNCTION("""COMPUTED_VALUE"""),102)</f>
        <v>102</v>
      </c>
      <c r="H1413" s="2" t="str">
        <f ca="1">IFERROR(__xludf.DUMMYFUNCTION("""COMPUTED_VALUE"""),"15c1aa14")</f>
        <v>15c1aa14</v>
      </c>
      <c r="I1413" s="2" t="str">
        <f ca="1">IFERROR(__xludf.DUMMYFUNCTION("""COMPUTED_VALUE"""),"Syrah Anc s/Asp 2")</f>
        <v>Syrah Anc s/Asp 2</v>
      </c>
      <c r="J1413" s="2">
        <f ca="1">IFERROR(__xludf.DUMMYFUNCTION("""COMPUTED_VALUE"""),28000)</f>
        <v>28000</v>
      </c>
      <c r="K1413" s="2">
        <f ca="1">IFERROR(__xludf.DUMMYFUNCTION("""COMPUTED_VALUE"""),25000)</f>
        <v>25000</v>
      </c>
      <c r="L1413" s="2" t="str">
        <f ca="1">IFERROR(__xludf.DUMMYFUNCTION("""COMPUTED_VALUE"""),"65cf741f")</f>
        <v>65cf741f</v>
      </c>
      <c r="M1413" s="2" t="str">
        <f ca="1">IFERROR(__xludf.DUMMYFUNCTION("""COMPUTED_VALUE"""),"Syrah Anc s/Asp 2")</f>
        <v>Syrah Anc s/Asp 2</v>
      </c>
      <c r="N1413" s="2"/>
      <c r="O1413" s="2" t="str">
        <f ca="1">IFERROR(__xludf.DUMMYFUNCTION("""COMPUTED_VALUE"""),"Descubada")</f>
        <v>Descubada</v>
      </c>
      <c r="P1413" s="2" t="str">
        <f ca="1">IFERROR(__xludf.DUMMYFUNCTION("""COMPUTED_VALUE"""),"Descubada")</f>
        <v>Descubada</v>
      </c>
      <c r="Q1413" s="2" t="b">
        <f ca="1">IFERROR(__xludf.DUMMYFUNCTION("""COMPUTED_VALUE"""),TRUE)</f>
        <v>1</v>
      </c>
      <c r="R1413" s="2" t="str">
        <f ca="1">IFERROR(__xludf.DUMMYFUNCTION("""COMPUTED_VALUE"""),"Descubada")</f>
        <v>Descubada</v>
      </c>
      <c r="S1413" s="2"/>
      <c r="T1413" s="2"/>
      <c r="U1413" s="2" t="str">
        <f ca="1">IFERROR(__xludf.DUMMYFUNCTION("""COMPUTED_VALUE"""),"1+")</f>
        <v>1+</v>
      </c>
    </row>
    <row r="1414" spans="1:21" x14ac:dyDescent="0.25">
      <c r="A1414" s="2" t="str">
        <f ca="1">IFERROR(__xludf.DUMMYFUNCTION("""COMPUTED_VALUE"""),"5ab02091")</f>
        <v>5ab02091</v>
      </c>
      <c r="B1414" s="5">
        <f ca="1">IFERROR(__xludf.DUMMYFUNCTION("""COMPUTED_VALUE"""),46104.5172222222)</f>
        <v>46104.517222222203</v>
      </c>
      <c r="C1414" s="2" t="str">
        <f ca="1">IFERROR(__xludf.DUMMYFUNCTION("""COMPUTED_VALUE"""),"7831ca4f")</f>
        <v>7831ca4f</v>
      </c>
      <c r="D1414" s="2">
        <f ca="1">IFERROR(__xludf.DUMMYFUNCTION("""COMPUTED_VALUE"""),104)</f>
        <v>104</v>
      </c>
      <c r="E1414" s="2" t="str">
        <f ca="1">IFERROR(__xludf.DUMMYFUNCTION("""COMPUTED_VALUE"""),"Syrah s/Asp")</f>
        <v>Syrah s/Asp</v>
      </c>
      <c r="F1414" s="2">
        <f ca="1">IFERROR(__xludf.DUMMYFUNCTION("""COMPUTED_VALUE"""),3000)</f>
        <v>3000</v>
      </c>
      <c r="G1414" s="2">
        <f ca="1">IFERROR(__xludf.DUMMYFUNCTION("""COMPUTED_VALUE"""),102)</f>
        <v>102</v>
      </c>
      <c r="H1414" s="2" t="str">
        <f ca="1">IFERROR(__xludf.DUMMYFUNCTION("""COMPUTED_VALUE"""),"65cf741f")</f>
        <v>65cf741f</v>
      </c>
      <c r="I1414" s="2" t="str">
        <f ca="1">IFERROR(__xludf.DUMMYFUNCTION("""COMPUTED_VALUE"""),"Syrah Anc s/Asp 2")</f>
        <v>Syrah Anc s/Asp 2</v>
      </c>
      <c r="J1414" s="2">
        <f ca="1">IFERROR(__xludf.DUMMYFUNCTION("""COMPUTED_VALUE"""),25000)</f>
        <v>25000</v>
      </c>
      <c r="K1414" s="2">
        <f ca="1">IFERROR(__xludf.DUMMYFUNCTION("""COMPUTED_VALUE"""),28000)</f>
        <v>28000</v>
      </c>
      <c r="L1414" s="2" t="str">
        <f ca="1">IFERROR(__xludf.DUMMYFUNCTION("""COMPUTED_VALUE"""),"65f5f277")</f>
        <v>65f5f277</v>
      </c>
      <c r="M1414" s="2" t="str">
        <f ca="1">IFERROR(__xludf.DUMMYFUNCTION("""COMPUTED_VALUE"""),"Syrah Anc s/Asp 2")</f>
        <v>Syrah Anc s/Asp 2</v>
      </c>
      <c r="N1414" s="2"/>
      <c r="O1414" s="2" t="str">
        <f ca="1">IFERROR(__xludf.DUMMYFUNCTION("""COMPUTED_VALUE"""),"Descubada")</f>
        <v>Descubada</v>
      </c>
      <c r="P1414" s="2" t="str">
        <f ca="1">IFERROR(__xludf.DUMMYFUNCTION("""COMPUTED_VALUE"""),"Descubada")</f>
        <v>Descubada</v>
      </c>
      <c r="Q1414" s="2" t="b">
        <f ca="1">IFERROR(__xludf.DUMMYFUNCTION("""COMPUTED_VALUE"""),TRUE)</f>
        <v>1</v>
      </c>
      <c r="R1414" s="2" t="str">
        <f ca="1">IFERROR(__xludf.DUMMYFUNCTION("""COMPUTED_VALUE"""),"Descubada")</f>
        <v>Descubada</v>
      </c>
      <c r="S1414" s="2"/>
      <c r="T1414" s="2"/>
      <c r="U1414" s="2" t="str">
        <f ca="1">IFERROR(__xludf.DUMMYFUNCTION("""COMPUTED_VALUE"""),"1+")</f>
        <v>1+</v>
      </c>
    </row>
    <row r="1415" spans="1:21" x14ac:dyDescent="0.25">
      <c r="A1415" s="2" t="str">
        <f ca="1">IFERROR(__xludf.DUMMYFUNCTION("""COMPUTED_VALUE"""),"d07845e2")</f>
        <v>d07845e2</v>
      </c>
      <c r="B1415" s="5">
        <f ca="1">IFERROR(__xludf.DUMMYFUNCTION("""COMPUTED_VALUE"""),46104.5175)</f>
        <v>46104.517500000002</v>
      </c>
      <c r="C1415" s="2" t="str">
        <f ca="1">IFERROR(__xludf.DUMMYFUNCTION("""COMPUTED_VALUE"""),"c904d65f")</f>
        <v>c904d65f</v>
      </c>
      <c r="D1415" s="2">
        <f ca="1">IFERROR(__xludf.DUMMYFUNCTION("""COMPUTED_VALUE"""),105)</f>
        <v>105</v>
      </c>
      <c r="E1415" s="2" t="str">
        <f ca="1">IFERROR(__xludf.DUMMYFUNCTION("""COMPUTED_VALUE"""),"Syrah Merlot s/Asp 3")</f>
        <v>Syrah Merlot s/Asp 3</v>
      </c>
      <c r="F1415" s="2">
        <f ca="1">IFERROR(__xludf.DUMMYFUNCTION("""COMPUTED_VALUE"""),-2000)</f>
        <v>-2000</v>
      </c>
      <c r="G1415" s="2">
        <f ca="1">IFERROR(__xludf.DUMMYFUNCTION("""COMPUTED_VALUE"""),102)</f>
        <v>102</v>
      </c>
      <c r="H1415" s="2" t="str">
        <f ca="1">IFERROR(__xludf.DUMMYFUNCTION("""COMPUTED_VALUE"""),"65f5f277")</f>
        <v>65f5f277</v>
      </c>
      <c r="I1415" s="2" t="str">
        <f ca="1">IFERROR(__xludf.DUMMYFUNCTION("""COMPUTED_VALUE"""),"Syrah Anc s/Asp 2")</f>
        <v>Syrah Anc s/Asp 2</v>
      </c>
      <c r="J1415" s="2">
        <f ca="1">IFERROR(__xludf.DUMMYFUNCTION("""COMPUTED_VALUE"""),28000)</f>
        <v>28000</v>
      </c>
      <c r="K1415" s="2">
        <f ca="1">IFERROR(__xludf.DUMMYFUNCTION("""COMPUTED_VALUE"""),26000)</f>
        <v>26000</v>
      </c>
      <c r="L1415" s="2" t="str">
        <f ca="1">IFERROR(__xludf.DUMMYFUNCTION("""COMPUTED_VALUE"""),"4249bc66")</f>
        <v>4249bc66</v>
      </c>
      <c r="M1415" s="2" t="str">
        <f ca="1">IFERROR(__xludf.DUMMYFUNCTION("""COMPUTED_VALUE"""),"Syrah Anc s/Asp 2")</f>
        <v>Syrah Anc s/Asp 2</v>
      </c>
      <c r="N1415" s="2"/>
      <c r="O1415" s="2" t="str">
        <f ca="1">IFERROR(__xludf.DUMMYFUNCTION("""COMPUTED_VALUE"""),"Descubada")</f>
        <v>Descubada</v>
      </c>
      <c r="P1415" s="2" t="str">
        <f ca="1">IFERROR(__xludf.DUMMYFUNCTION("""COMPUTED_VALUE"""),"Descubada")</f>
        <v>Descubada</v>
      </c>
      <c r="Q1415" s="2" t="b">
        <f ca="1">IFERROR(__xludf.DUMMYFUNCTION("""COMPUTED_VALUE"""),TRUE)</f>
        <v>1</v>
      </c>
      <c r="R1415" s="2" t="str">
        <f ca="1">IFERROR(__xludf.DUMMYFUNCTION("""COMPUTED_VALUE"""),"Descubada")</f>
        <v>Descubada</v>
      </c>
      <c r="S1415" s="2"/>
      <c r="T1415" s="2"/>
      <c r="U1415" s="2" t="str">
        <f ca="1">IFERROR(__xludf.DUMMYFUNCTION("""COMPUTED_VALUE"""),"1+")</f>
        <v>1+</v>
      </c>
    </row>
    <row r="1416" spans="1:21" x14ac:dyDescent="0.25">
      <c r="A1416" s="2" t="str">
        <f ca="1">IFERROR(__xludf.DUMMYFUNCTION("""COMPUTED_VALUE"""),"b057c443")</f>
        <v>b057c443</v>
      </c>
      <c r="B1416" s="5">
        <f ca="1">IFERROR(__xludf.DUMMYFUNCTION("""COMPUTED_VALUE"""),46104.5177893518)</f>
        <v>46104.517789351798</v>
      </c>
      <c r="C1416" s="2" t="str">
        <f ca="1">IFERROR(__xludf.DUMMYFUNCTION("""COMPUTED_VALUE"""),"7831ca4f")</f>
        <v>7831ca4f</v>
      </c>
      <c r="D1416" s="2">
        <f ca="1">IFERROR(__xludf.DUMMYFUNCTION("""COMPUTED_VALUE"""),104)</f>
        <v>104</v>
      </c>
      <c r="E1416" s="2" t="str">
        <f ca="1">IFERROR(__xludf.DUMMYFUNCTION("""COMPUTED_VALUE"""),"Syrah s/Asp")</f>
        <v>Syrah s/Asp</v>
      </c>
      <c r="F1416" s="2">
        <f ca="1">IFERROR(__xludf.DUMMYFUNCTION("""COMPUTED_VALUE"""),-6000)</f>
        <v>-6000</v>
      </c>
      <c r="G1416" s="2">
        <f ca="1">IFERROR(__xludf.DUMMYFUNCTION("""COMPUTED_VALUE"""),102)</f>
        <v>102</v>
      </c>
      <c r="H1416" s="2" t="str">
        <f ca="1">IFERROR(__xludf.DUMMYFUNCTION("""COMPUTED_VALUE"""),"4249bc66")</f>
        <v>4249bc66</v>
      </c>
      <c r="I1416" s="2" t="str">
        <f ca="1">IFERROR(__xludf.DUMMYFUNCTION("""COMPUTED_VALUE"""),"Syrah Anc s/Asp 2")</f>
        <v>Syrah Anc s/Asp 2</v>
      </c>
      <c r="J1416" s="2">
        <f ca="1">IFERROR(__xludf.DUMMYFUNCTION("""COMPUTED_VALUE"""),26000)</f>
        <v>26000</v>
      </c>
      <c r="K1416" s="2">
        <f ca="1">IFERROR(__xludf.DUMMYFUNCTION("""COMPUTED_VALUE"""),20000)</f>
        <v>20000</v>
      </c>
      <c r="L1416" s="2" t="str">
        <f ca="1">IFERROR(__xludf.DUMMYFUNCTION("""COMPUTED_VALUE"""),"84a00b94")</f>
        <v>84a00b94</v>
      </c>
      <c r="M1416" s="2" t="str">
        <f ca="1">IFERROR(__xludf.DUMMYFUNCTION("""COMPUTED_VALUE"""),"Syrah Anc s/Asp 2")</f>
        <v>Syrah Anc s/Asp 2</v>
      </c>
      <c r="N1416" s="2"/>
      <c r="O1416" s="2" t="str">
        <f ca="1">IFERROR(__xludf.DUMMYFUNCTION("""COMPUTED_VALUE"""),"Descubada")</f>
        <v>Descubada</v>
      </c>
      <c r="P1416" s="2" t="str">
        <f ca="1">IFERROR(__xludf.DUMMYFUNCTION("""COMPUTED_VALUE"""),"Descubada")</f>
        <v>Descubada</v>
      </c>
      <c r="Q1416" s="2" t="b">
        <f ca="1">IFERROR(__xludf.DUMMYFUNCTION("""COMPUTED_VALUE"""),TRUE)</f>
        <v>1</v>
      </c>
      <c r="R1416" s="2" t="str">
        <f ca="1">IFERROR(__xludf.DUMMYFUNCTION("""COMPUTED_VALUE"""),"Descubada")</f>
        <v>Descubada</v>
      </c>
      <c r="S1416" s="2"/>
      <c r="T1416" s="2"/>
      <c r="U1416" s="2" t="str">
        <f ca="1">IFERROR(__xludf.DUMMYFUNCTION("""COMPUTED_VALUE"""),"1+")</f>
        <v>1+</v>
      </c>
    </row>
    <row r="1417" spans="1:21" x14ac:dyDescent="0.25">
      <c r="A1417" s="2" t="str">
        <f ca="1">IFERROR(__xludf.DUMMYFUNCTION("""COMPUTED_VALUE"""),"17d3fb98")</f>
        <v>17d3fb98</v>
      </c>
      <c r="B1417" s="5">
        <f ca="1">IFERROR(__xludf.DUMMYFUNCTION("""COMPUTED_VALUE"""),46104.5194444444)</f>
        <v>46104.519444444399</v>
      </c>
      <c r="C1417" s="2" t="str">
        <f ca="1">IFERROR(__xludf.DUMMYFUNCTION("""COMPUTED_VALUE"""),"d08aca8e")</f>
        <v>d08aca8e</v>
      </c>
      <c r="D1417" s="2">
        <f ca="1">IFERROR(__xludf.DUMMYFUNCTION("""COMPUTED_VALUE"""),86)</f>
        <v>86</v>
      </c>
      <c r="E1417" s="2" t="str">
        <f ca="1">IFERROR(__xludf.DUMMYFUNCTION("""COMPUTED_VALUE"""),"Syrah Malbec s/Asp 2")</f>
        <v>Syrah Malbec s/Asp 2</v>
      </c>
      <c r="F1417" s="2">
        <f ca="1">IFERROR(__xludf.DUMMYFUNCTION("""COMPUTED_VALUE"""),10000)</f>
        <v>10000</v>
      </c>
      <c r="G1417" s="2">
        <f ca="1">IFERROR(__xludf.DUMMYFUNCTION("""COMPUTED_VALUE"""),106)</f>
        <v>106</v>
      </c>
      <c r="H1417" s="2" t="str">
        <f ca="1">IFERROR(__xludf.DUMMYFUNCTION("""COMPUTED_VALUE"""),"34abe2cd")</f>
        <v>34abe2cd</v>
      </c>
      <c r="I1417" s="2" t="str">
        <f ca="1">IFERROR(__xludf.DUMMYFUNCTION("""COMPUTED_VALUE"""),"Syrah Merlot s/Asp 3")</f>
        <v>Syrah Merlot s/Asp 3</v>
      </c>
      <c r="J1417" s="2">
        <f ca="1">IFERROR(__xludf.DUMMYFUNCTION("""COMPUTED_VALUE"""),10)</f>
        <v>10</v>
      </c>
      <c r="K1417" s="2">
        <f ca="1">IFERROR(__xludf.DUMMYFUNCTION("""COMPUTED_VALUE"""),10010)</f>
        <v>10010</v>
      </c>
      <c r="L1417" s="2" t="str">
        <f ca="1">IFERROR(__xludf.DUMMYFUNCTION("""COMPUTED_VALUE"""),"a55a2b1c")</f>
        <v>a55a2b1c</v>
      </c>
      <c r="M1417" s="2" t="str">
        <f ca="1">IFERROR(__xludf.DUMMYFUNCTION("""COMPUTED_VALUE"""),"Syrah Merlot s/Asp 3")</f>
        <v>Syrah Merlot s/Asp 3</v>
      </c>
      <c r="N1417" s="2"/>
      <c r="O1417" s="2" t="str">
        <f ca="1">IFERROR(__xludf.DUMMYFUNCTION("""COMPUTED_VALUE"""),"Fermentando")</f>
        <v>Fermentando</v>
      </c>
      <c r="P1417" s="2" t="str">
        <f ca="1">IFERROR(__xludf.DUMMYFUNCTION("""COMPUTED_VALUE"""),"Descubada")</f>
        <v>Descubada</v>
      </c>
      <c r="Q1417" s="2" t="b">
        <f ca="1">IFERROR(__xludf.DUMMYFUNCTION("""COMPUTED_VALUE"""),TRUE)</f>
        <v>1</v>
      </c>
      <c r="R1417" s="2" t="str">
        <f ca="1">IFERROR(__xludf.DUMMYFUNCTION("""COMPUTED_VALUE"""),"Descubada")</f>
        <v>Descubada</v>
      </c>
      <c r="S1417" s="2"/>
      <c r="T1417" s="2"/>
      <c r="U1417" s="2" t="str">
        <f ca="1">IFERROR(__xludf.DUMMYFUNCTION("""COMPUTED_VALUE"""),"1")</f>
        <v>1</v>
      </c>
    </row>
    <row r="1418" spans="1:21" x14ac:dyDescent="0.25">
      <c r="A1418" s="2" t="str">
        <f ca="1">IFERROR(__xludf.DUMMYFUNCTION("""COMPUTED_VALUE"""),"574c769b")</f>
        <v>574c769b</v>
      </c>
      <c r="B1418" s="5">
        <f ca="1">IFERROR(__xludf.DUMMYFUNCTION("""COMPUTED_VALUE"""),46104.5215856481)</f>
        <v>46104.521585648101</v>
      </c>
      <c r="C1418" s="2" t="str">
        <f ca="1">IFERROR(__xludf.DUMMYFUNCTION("""COMPUTED_VALUE"""),"d08aca8e")</f>
        <v>d08aca8e</v>
      </c>
      <c r="D1418" s="2">
        <f ca="1">IFERROR(__xludf.DUMMYFUNCTION("""COMPUTED_VALUE"""),86)</f>
        <v>86</v>
      </c>
      <c r="E1418" s="2" t="str">
        <f ca="1">IFERROR(__xludf.DUMMYFUNCTION("""COMPUTED_VALUE"""),"Syrah Malbec s/Asp 2")</f>
        <v>Syrah Malbec s/Asp 2</v>
      </c>
      <c r="F1418" s="2">
        <f ca="1">IFERROR(__xludf.DUMMYFUNCTION("""COMPUTED_VALUE"""),27000)</f>
        <v>27000</v>
      </c>
      <c r="G1418" s="2">
        <f ca="1">IFERROR(__xludf.DUMMYFUNCTION("""COMPUTED_VALUE"""),108)</f>
        <v>108</v>
      </c>
      <c r="H1418" s="2" t="str">
        <f ca="1">IFERROR(__xludf.DUMMYFUNCTION("""COMPUTED_VALUE"""),"fcdf31e8")</f>
        <v>fcdf31e8</v>
      </c>
      <c r="I1418" s="2" t="str">
        <f ca="1">IFERROR(__xludf.DUMMYFUNCTION("""COMPUTED_VALUE"""),"Syrah Merlot s/Asp 3")</f>
        <v>Syrah Merlot s/Asp 3</v>
      </c>
      <c r="J1418" s="2">
        <f ca="1">IFERROR(__xludf.DUMMYFUNCTION("""COMPUTED_VALUE"""),2490)</f>
        <v>2490</v>
      </c>
      <c r="K1418" s="2">
        <f ca="1">IFERROR(__xludf.DUMMYFUNCTION("""COMPUTED_VALUE"""),29490)</f>
        <v>29490</v>
      </c>
      <c r="L1418" s="2" t="str">
        <f ca="1">IFERROR(__xludf.DUMMYFUNCTION("""COMPUTED_VALUE"""),"8cabfa9f")</f>
        <v>8cabfa9f</v>
      </c>
      <c r="M1418" s="2" t="str">
        <f ca="1">IFERROR(__xludf.DUMMYFUNCTION("""COMPUTED_VALUE"""),"Syrah Malbec s/Asp 2")</f>
        <v>Syrah Malbec s/Asp 2</v>
      </c>
      <c r="N1418" s="2"/>
      <c r="O1418" s="2" t="str">
        <f ca="1">IFERROR(__xludf.DUMMYFUNCTION("""COMPUTED_VALUE"""),"Fermentando")</f>
        <v>Fermentando</v>
      </c>
      <c r="P1418" s="2" t="str">
        <f ca="1">IFERROR(__xludf.DUMMYFUNCTION("""COMPUTED_VALUE"""),"Descubada")</f>
        <v>Descubada</v>
      </c>
      <c r="Q1418" s="2" t="b">
        <f ca="1">IFERROR(__xludf.DUMMYFUNCTION("""COMPUTED_VALUE"""),FALSE)</f>
        <v>0</v>
      </c>
      <c r="R1418" s="2" t="str">
        <f ca="1">IFERROR(__xludf.DUMMYFUNCTION("""COMPUTED_VALUE"""),"Descubada")</f>
        <v>Descubada</v>
      </c>
      <c r="S1418" s="2"/>
      <c r="T1418" s="2"/>
      <c r="U1418" s="2"/>
    </row>
    <row r="1419" spans="1:21" x14ac:dyDescent="0.25">
      <c r="A1419" s="2" t="str">
        <f ca="1">IFERROR(__xludf.DUMMYFUNCTION("""COMPUTED_VALUE"""),"5b50b72f")</f>
        <v>5b50b72f</v>
      </c>
      <c r="B1419" s="5">
        <f ca="1">IFERROR(__xludf.DUMMYFUNCTION("""COMPUTED_VALUE"""),46104.5227314814)</f>
        <v>46104.522731481396</v>
      </c>
      <c r="C1419" s="2" t="str">
        <f ca="1">IFERROR(__xludf.DUMMYFUNCTION("""COMPUTED_VALUE"""),"d08aca8e")</f>
        <v>d08aca8e</v>
      </c>
      <c r="D1419" s="2">
        <f ca="1">IFERROR(__xludf.DUMMYFUNCTION("""COMPUTED_VALUE"""),86)</f>
        <v>86</v>
      </c>
      <c r="E1419" s="2" t="str">
        <f ca="1">IFERROR(__xludf.DUMMYFUNCTION("""COMPUTED_VALUE"""),"Syrah Malbec s/Asp 2")</f>
        <v>Syrah Malbec s/Asp 2</v>
      </c>
      <c r="F1419" s="2">
        <f ca="1">IFERROR(__xludf.DUMMYFUNCTION("""COMPUTED_VALUE"""),15600)</f>
        <v>15600</v>
      </c>
      <c r="G1419" s="2">
        <f ca="1">IFERROR(__xludf.DUMMYFUNCTION("""COMPUTED_VALUE"""),109)</f>
        <v>109</v>
      </c>
      <c r="H1419" s="2"/>
      <c r="I1419" s="2"/>
      <c r="J1419" s="2">
        <f ca="1">IFERROR(__xludf.DUMMYFUNCTION("""COMPUTED_VALUE"""),0)</f>
        <v>0</v>
      </c>
      <c r="K1419" s="2">
        <f ca="1">IFERROR(__xludf.DUMMYFUNCTION("""COMPUTED_VALUE"""),15600)</f>
        <v>15600</v>
      </c>
      <c r="L1419" s="2" t="str">
        <f ca="1">IFERROR(__xludf.DUMMYFUNCTION("""COMPUTED_VALUE"""),"61b89555")</f>
        <v>61b89555</v>
      </c>
      <c r="M1419" s="2" t="str">
        <f ca="1">IFERROR(__xludf.DUMMYFUNCTION("""COMPUTED_VALUE"""),"Syrah Malbec s/Asp 2")</f>
        <v>Syrah Malbec s/Asp 2</v>
      </c>
      <c r="N1419" s="2"/>
      <c r="O1419" s="2" t="str">
        <f ca="1">IFERROR(__xludf.DUMMYFUNCTION("""COMPUTED_VALUE"""),"Fermentando")</f>
        <v>Fermentando</v>
      </c>
      <c r="P1419" s="2"/>
      <c r="Q1419" s="2" t="b">
        <f ca="1">IFERROR(__xludf.DUMMYFUNCTION("""COMPUTED_VALUE"""),FALSE)</f>
        <v>0</v>
      </c>
      <c r="R1419" s="2" t="str">
        <f ca="1">IFERROR(__xludf.DUMMYFUNCTION("""COMPUTED_VALUE"""),"Descubada")</f>
        <v>Descubada</v>
      </c>
      <c r="S1419" s="2"/>
      <c r="T1419" s="2"/>
      <c r="U1419" s="2"/>
    </row>
    <row r="1420" spans="1:21" x14ac:dyDescent="0.25">
      <c r="A1420" s="2" t="str">
        <f ca="1">IFERROR(__xludf.DUMMYFUNCTION("""COMPUTED_VALUE"""),"2d51804c")</f>
        <v>2d51804c</v>
      </c>
      <c r="B1420" s="5">
        <f ca="1">IFERROR(__xludf.DUMMYFUNCTION("""COMPUTED_VALUE"""),46104.5248032407)</f>
        <v>46104.524803240703</v>
      </c>
      <c r="C1420" s="2" t="str">
        <f ca="1">IFERROR(__xludf.DUMMYFUNCTION("""COMPUTED_VALUE"""),"a55a2b1c")</f>
        <v>a55a2b1c</v>
      </c>
      <c r="D1420" s="2">
        <f ca="1">IFERROR(__xludf.DUMMYFUNCTION("""COMPUTED_VALUE"""),106)</f>
        <v>106</v>
      </c>
      <c r="E1420" s="2" t="str">
        <f ca="1">IFERROR(__xludf.DUMMYFUNCTION("""COMPUTED_VALUE"""),"Syrah Merlot s/Asp 3")</f>
        <v>Syrah Merlot s/Asp 3</v>
      </c>
      <c r="F1420" s="2">
        <f ca="1">IFERROR(__xludf.DUMMYFUNCTION("""COMPUTED_VALUE"""),-990)</f>
        <v>-990</v>
      </c>
      <c r="G1420" s="2">
        <f ca="1">IFERROR(__xludf.DUMMYFUNCTION("""COMPUTED_VALUE"""),102)</f>
        <v>102</v>
      </c>
      <c r="H1420" s="2" t="str">
        <f ca="1">IFERROR(__xludf.DUMMYFUNCTION("""COMPUTED_VALUE"""),"84a00b94")</f>
        <v>84a00b94</v>
      </c>
      <c r="I1420" s="2" t="str">
        <f ca="1">IFERROR(__xludf.DUMMYFUNCTION("""COMPUTED_VALUE"""),"Syrah Anc s/Asp 2")</f>
        <v>Syrah Anc s/Asp 2</v>
      </c>
      <c r="J1420" s="2">
        <f ca="1">IFERROR(__xludf.DUMMYFUNCTION("""COMPUTED_VALUE"""),20000)</f>
        <v>20000</v>
      </c>
      <c r="K1420" s="2">
        <f ca="1">IFERROR(__xludf.DUMMYFUNCTION("""COMPUTED_VALUE"""),19010)</f>
        <v>19010</v>
      </c>
      <c r="L1420" s="2" t="str">
        <f ca="1">IFERROR(__xludf.DUMMYFUNCTION("""COMPUTED_VALUE"""),"851837dd")</f>
        <v>851837dd</v>
      </c>
      <c r="M1420" s="2" t="str">
        <f ca="1">IFERROR(__xludf.DUMMYFUNCTION("""COMPUTED_VALUE"""),"Syrah Anc s/Asp 2")</f>
        <v>Syrah Anc s/Asp 2</v>
      </c>
      <c r="N1420" s="2"/>
      <c r="O1420" s="2" t="str">
        <f ca="1">IFERROR(__xludf.DUMMYFUNCTION("""COMPUTED_VALUE"""),"Descubada")</f>
        <v>Descubada</v>
      </c>
      <c r="P1420" s="2" t="str">
        <f ca="1">IFERROR(__xludf.DUMMYFUNCTION("""COMPUTED_VALUE"""),"Descubada")</f>
        <v>Descubada</v>
      </c>
      <c r="Q1420" s="2" t="b">
        <f ca="1">IFERROR(__xludf.DUMMYFUNCTION("""COMPUTED_VALUE"""),TRUE)</f>
        <v>1</v>
      </c>
      <c r="R1420" s="2" t="str">
        <f ca="1">IFERROR(__xludf.DUMMYFUNCTION("""COMPUTED_VALUE"""),"Descubada")</f>
        <v>Descubada</v>
      </c>
      <c r="S1420" s="2"/>
      <c r="T1420" s="2"/>
      <c r="U1420" s="2" t="str">
        <f ca="1">IFERROR(__xludf.DUMMYFUNCTION("""COMPUTED_VALUE"""),"1+")</f>
        <v>1+</v>
      </c>
    </row>
    <row r="1421" spans="1:21" x14ac:dyDescent="0.25">
      <c r="A1421" s="2" t="str">
        <f ca="1">IFERROR(__xludf.DUMMYFUNCTION("""COMPUTED_VALUE"""),"2a828cd4")</f>
        <v>2a828cd4</v>
      </c>
      <c r="B1421" s="5">
        <f ca="1">IFERROR(__xludf.DUMMYFUNCTION("""COMPUTED_VALUE"""),46104.5249652777)</f>
        <v>46104.524965277698</v>
      </c>
      <c r="C1421" s="2" t="str">
        <f ca="1">IFERROR(__xludf.DUMMYFUNCTION("""COMPUTED_VALUE"""),"5b072ae5")</f>
        <v>5b072ae5</v>
      </c>
      <c r="D1421" s="2">
        <f ca="1">IFERROR(__xludf.DUMMYFUNCTION("""COMPUTED_VALUE"""),107)</f>
        <v>107</v>
      </c>
      <c r="E1421" s="2" t="str">
        <f ca="1">IFERROR(__xludf.DUMMYFUNCTION("""COMPUTED_VALUE"""),"Syrah Merlot s/Asp 3")</f>
        <v>Syrah Merlot s/Asp 3</v>
      </c>
      <c r="F1421" s="2">
        <f ca="1">IFERROR(__xludf.DUMMYFUNCTION("""COMPUTED_VALUE"""),-2000)</f>
        <v>-2000</v>
      </c>
      <c r="G1421" s="2">
        <f ca="1">IFERROR(__xludf.DUMMYFUNCTION("""COMPUTED_VALUE"""),102)</f>
        <v>102</v>
      </c>
      <c r="H1421" s="2" t="str">
        <f ca="1">IFERROR(__xludf.DUMMYFUNCTION("""COMPUTED_VALUE"""),"851837dd")</f>
        <v>851837dd</v>
      </c>
      <c r="I1421" s="2" t="str">
        <f ca="1">IFERROR(__xludf.DUMMYFUNCTION("""COMPUTED_VALUE"""),"Syrah Anc s/Asp 2")</f>
        <v>Syrah Anc s/Asp 2</v>
      </c>
      <c r="J1421" s="2">
        <f ca="1">IFERROR(__xludf.DUMMYFUNCTION("""COMPUTED_VALUE"""),19010)</f>
        <v>19010</v>
      </c>
      <c r="K1421" s="2">
        <f ca="1">IFERROR(__xludf.DUMMYFUNCTION("""COMPUTED_VALUE"""),17010)</f>
        <v>17010</v>
      </c>
      <c r="L1421" s="2" t="str">
        <f ca="1">IFERROR(__xludf.DUMMYFUNCTION("""COMPUTED_VALUE"""),"4dabc8dc")</f>
        <v>4dabc8dc</v>
      </c>
      <c r="M1421" s="2" t="str">
        <f ca="1">IFERROR(__xludf.DUMMYFUNCTION("""COMPUTED_VALUE"""),"Syrah Anc s/Asp 2")</f>
        <v>Syrah Anc s/Asp 2</v>
      </c>
      <c r="N1421" s="2"/>
      <c r="O1421" s="2" t="str">
        <f ca="1">IFERROR(__xludf.DUMMYFUNCTION("""COMPUTED_VALUE"""),"Descubada")</f>
        <v>Descubada</v>
      </c>
      <c r="P1421" s="2" t="str">
        <f ca="1">IFERROR(__xludf.DUMMYFUNCTION("""COMPUTED_VALUE"""),"Descubada")</f>
        <v>Descubada</v>
      </c>
      <c r="Q1421" s="2" t="b">
        <f ca="1">IFERROR(__xludf.DUMMYFUNCTION("""COMPUTED_VALUE"""),TRUE)</f>
        <v>1</v>
      </c>
      <c r="R1421" s="2" t="str">
        <f ca="1">IFERROR(__xludf.DUMMYFUNCTION("""COMPUTED_VALUE"""),"Descubada")</f>
        <v>Descubada</v>
      </c>
      <c r="S1421" s="2"/>
      <c r="T1421" s="2"/>
      <c r="U1421" s="2" t="str">
        <f ca="1">IFERROR(__xludf.DUMMYFUNCTION("""COMPUTED_VALUE"""),"1+")</f>
        <v>1+</v>
      </c>
    </row>
    <row r="1422" spans="1:21" x14ac:dyDescent="0.25">
      <c r="A1422" s="2" t="str">
        <f ca="1">IFERROR(__xludf.DUMMYFUNCTION("""COMPUTED_VALUE"""),"b68efaad")</f>
        <v>b68efaad</v>
      </c>
      <c r="B1422" s="5">
        <f ca="1">IFERROR(__xludf.DUMMYFUNCTION("""COMPUTED_VALUE"""),46104.5252314814)</f>
        <v>46104.525231481399</v>
      </c>
      <c r="C1422" s="2" t="str">
        <f ca="1">IFERROR(__xludf.DUMMYFUNCTION("""COMPUTED_VALUE"""),"8cabfa9f")</f>
        <v>8cabfa9f</v>
      </c>
      <c r="D1422" s="2">
        <f ca="1">IFERROR(__xludf.DUMMYFUNCTION("""COMPUTED_VALUE"""),108)</f>
        <v>108</v>
      </c>
      <c r="E1422" s="2" t="str">
        <f ca="1">IFERROR(__xludf.DUMMYFUNCTION("""COMPUTED_VALUE"""),"Syrah Malbec s/Asp 2")</f>
        <v>Syrah Malbec s/Asp 2</v>
      </c>
      <c r="F1422" s="2">
        <f ca="1">IFERROR(__xludf.DUMMYFUNCTION("""COMPUTED_VALUE"""),-1510)</f>
        <v>-1510</v>
      </c>
      <c r="G1422" s="2">
        <f ca="1">IFERROR(__xludf.DUMMYFUNCTION("""COMPUTED_VALUE"""),102)</f>
        <v>102</v>
      </c>
      <c r="H1422" s="2" t="str">
        <f ca="1">IFERROR(__xludf.DUMMYFUNCTION("""COMPUTED_VALUE"""),"4dabc8dc")</f>
        <v>4dabc8dc</v>
      </c>
      <c r="I1422" s="2" t="str">
        <f ca="1">IFERROR(__xludf.DUMMYFUNCTION("""COMPUTED_VALUE"""),"Syrah Anc s/Asp 2")</f>
        <v>Syrah Anc s/Asp 2</v>
      </c>
      <c r="J1422" s="2">
        <f ca="1">IFERROR(__xludf.DUMMYFUNCTION("""COMPUTED_VALUE"""),17010)</f>
        <v>17010</v>
      </c>
      <c r="K1422" s="2">
        <f ca="1">IFERROR(__xludf.DUMMYFUNCTION("""COMPUTED_VALUE"""),15500)</f>
        <v>15500</v>
      </c>
      <c r="L1422" s="2" t="str">
        <f ca="1">IFERROR(__xludf.DUMMYFUNCTION("""COMPUTED_VALUE"""),"d093bb1f")</f>
        <v>d093bb1f</v>
      </c>
      <c r="M1422" s="2" t="str">
        <f ca="1">IFERROR(__xludf.DUMMYFUNCTION("""COMPUTED_VALUE"""),"Syrah Anc s/Asp 2")</f>
        <v>Syrah Anc s/Asp 2</v>
      </c>
      <c r="N1422" s="2"/>
      <c r="O1422" s="2" t="str">
        <f ca="1">IFERROR(__xludf.DUMMYFUNCTION("""COMPUTED_VALUE"""),"Descubada")</f>
        <v>Descubada</v>
      </c>
      <c r="P1422" s="2" t="str">
        <f ca="1">IFERROR(__xludf.DUMMYFUNCTION("""COMPUTED_VALUE"""),"Descubada")</f>
        <v>Descubada</v>
      </c>
      <c r="Q1422" s="2" t="b">
        <f ca="1">IFERROR(__xludf.DUMMYFUNCTION("""COMPUTED_VALUE"""),TRUE)</f>
        <v>1</v>
      </c>
      <c r="R1422" s="2" t="str">
        <f ca="1">IFERROR(__xludf.DUMMYFUNCTION("""COMPUTED_VALUE"""),"Descubada")</f>
        <v>Descubada</v>
      </c>
      <c r="S1422" s="2"/>
      <c r="T1422" s="2"/>
      <c r="U1422" s="2" t="str">
        <f ca="1">IFERROR(__xludf.DUMMYFUNCTION("""COMPUTED_VALUE"""),"1+")</f>
        <v>1+</v>
      </c>
    </row>
    <row r="1423" spans="1:21" x14ac:dyDescent="0.25">
      <c r="A1423" s="2" t="str">
        <f ca="1">IFERROR(__xludf.DUMMYFUNCTION("""COMPUTED_VALUE"""),"ade5d15b")</f>
        <v>ade5d15b</v>
      </c>
      <c r="B1423" s="5">
        <f ca="1">IFERROR(__xludf.DUMMYFUNCTION("""COMPUTED_VALUE"""),46104.5255902777)</f>
        <v>46104.525590277699</v>
      </c>
      <c r="C1423" s="2" t="str">
        <f ca="1">IFERROR(__xludf.DUMMYFUNCTION("""COMPUTED_VALUE"""),"d08aca8e")</f>
        <v>d08aca8e</v>
      </c>
      <c r="D1423" s="2">
        <f ca="1">IFERROR(__xludf.DUMMYFUNCTION("""COMPUTED_VALUE"""),86)</f>
        <v>86</v>
      </c>
      <c r="E1423" s="2" t="str">
        <f ca="1">IFERROR(__xludf.DUMMYFUNCTION("""COMPUTED_VALUE"""),"Syrah Malbec s/Asp 2")</f>
        <v>Syrah Malbec s/Asp 2</v>
      </c>
      <c r="F1423" s="2">
        <f ca="1">IFERROR(__xludf.DUMMYFUNCTION("""COMPUTED_VALUE"""),5400)</f>
        <v>5400</v>
      </c>
      <c r="G1423" s="2">
        <f ca="1">IFERROR(__xludf.DUMMYFUNCTION("""COMPUTED_VALUE"""),102)</f>
        <v>102</v>
      </c>
      <c r="H1423" s="2" t="str">
        <f ca="1">IFERROR(__xludf.DUMMYFUNCTION("""COMPUTED_VALUE"""),"d093bb1f")</f>
        <v>d093bb1f</v>
      </c>
      <c r="I1423" s="2" t="str">
        <f ca="1">IFERROR(__xludf.DUMMYFUNCTION("""COMPUTED_VALUE"""),"Syrah Anc s/Asp 2")</f>
        <v>Syrah Anc s/Asp 2</v>
      </c>
      <c r="J1423" s="2">
        <f ca="1">IFERROR(__xludf.DUMMYFUNCTION("""COMPUTED_VALUE"""),15500)</f>
        <v>15500</v>
      </c>
      <c r="K1423" s="2">
        <f ca="1">IFERROR(__xludf.DUMMYFUNCTION("""COMPUTED_VALUE"""),20900)</f>
        <v>20900</v>
      </c>
      <c r="L1423" s="2" t="str">
        <f ca="1">IFERROR(__xludf.DUMMYFUNCTION("""COMPUTED_VALUE"""),"6d46c98d")</f>
        <v>6d46c98d</v>
      </c>
      <c r="M1423" s="2" t="str">
        <f ca="1">IFERROR(__xludf.DUMMYFUNCTION("""COMPUTED_VALUE"""),"Syrah Anc s/Asp 2")</f>
        <v>Syrah Anc s/Asp 2</v>
      </c>
      <c r="N1423" s="2"/>
      <c r="O1423" s="2" t="str">
        <f ca="1">IFERROR(__xludf.DUMMYFUNCTION("""COMPUTED_VALUE"""),"Fermentando")</f>
        <v>Fermentando</v>
      </c>
      <c r="P1423" s="2" t="str">
        <f ca="1">IFERROR(__xludf.DUMMYFUNCTION("""COMPUTED_VALUE"""),"Descubada")</f>
        <v>Descubada</v>
      </c>
      <c r="Q1423" s="2" t="b">
        <f ca="1">IFERROR(__xludf.DUMMYFUNCTION("""COMPUTED_VALUE"""),TRUE)</f>
        <v>1</v>
      </c>
      <c r="R1423" s="2" t="str">
        <f ca="1">IFERROR(__xludf.DUMMYFUNCTION("""COMPUTED_VALUE"""),"Descubada")</f>
        <v>Descubada</v>
      </c>
      <c r="S1423" s="2"/>
      <c r="T1423" s="2"/>
      <c r="U1423" s="2" t="str">
        <f ca="1">IFERROR(__xludf.DUMMYFUNCTION("""COMPUTED_VALUE"""),"1+")</f>
        <v>1+</v>
      </c>
    </row>
    <row r="1424" spans="1:21" x14ac:dyDescent="0.25">
      <c r="A1424" s="2" t="str">
        <f ca="1">IFERROR(__xludf.DUMMYFUNCTION("""COMPUTED_VALUE"""),"48f0b32e")</f>
        <v>48f0b32e</v>
      </c>
      <c r="B1424" s="5">
        <f ca="1">IFERROR(__xludf.DUMMYFUNCTION("""COMPUTED_VALUE"""),46104.5296180555)</f>
        <v>46104.529618055501</v>
      </c>
      <c r="C1424" s="2" t="str">
        <f ca="1">IFERROR(__xludf.DUMMYFUNCTION("""COMPUTED_VALUE"""),"b21af4e4")</f>
        <v>b21af4e4</v>
      </c>
      <c r="D1424" s="2">
        <f ca="1">IFERROR(__xludf.DUMMYFUNCTION("""COMPUTED_VALUE"""),84)</f>
        <v>84</v>
      </c>
      <c r="E1424" s="2" t="str">
        <f ca="1">IFERROR(__xludf.DUMMYFUNCTION("""COMPUTED_VALUE"""),"Malbec")</f>
        <v>Malbec</v>
      </c>
      <c r="F1424" s="2">
        <f ca="1">IFERROR(__xludf.DUMMYFUNCTION("""COMPUTED_VALUE"""),-8500)</f>
        <v>-8500</v>
      </c>
      <c r="G1424" s="2">
        <f ca="1">IFERROR(__xludf.DUMMYFUNCTION("""COMPUTED_VALUE"""),9)</f>
        <v>9</v>
      </c>
      <c r="H1424" s="2" t="str">
        <f ca="1">IFERROR(__xludf.DUMMYFUNCTION("""COMPUTED_VALUE"""),"8c8c2ed7")</f>
        <v>8c8c2ed7</v>
      </c>
      <c r="I1424" s="2" t="str">
        <f ca="1">IFERROR(__xludf.DUMMYFUNCTION("""COMPUTED_VALUE"""),"Malbec Rect")</f>
        <v>Malbec Rect</v>
      </c>
      <c r="J1424" s="2">
        <f ca="1">IFERROR(__xludf.DUMMYFUNCTION("""COMPUTED_VALUE"""),30000)</f>
        <v>30000</v>
      </c>
      <c r="K1424" s="2">
        <f ca="1">IFERROR(__xludf.DUMMYFUNCTION("""COMPUTED_VALUE"""),21500)</f>
        <v>21500</v>
      </c>
      <c r="L1424" s="2" t="str">
        <f ca="1">IFERROR(__xludf.DUMMYFUNCTION("""COMPUTED_VALUE"""),"0ed2cf2b")</f>
        <v>0ed2cf2b</v>
      </c>
      <c r="M1424" s="2" t="str">
        <f ca="1">IFERROR(__xludf.DUMMYFUNCTION("""COMPUTED_VALUE"""),"Malbec Rect")</f>
        <v>Malbec Rect</v>
      </c>
      <c r="N1424" s="2"/>
      <c r="O1424" s="2" t="str">
        <f ca="1">IFERROR(__xludf.DUMMYFUNCTION("""COMPUTED_VALUE"""),"Fermentando")</f>
        <v>Fermentando</v>
      </c>
      <c r="P1424" s="2" t="str">
        <f ca="1">IFERROR(__xludf.DUMMYFUNCTION("""COMPUTED_VALUE"""),"Rectificado")</f>
        <v>Rectificado</v>
      </c>
      <c r="Q1424" s="2" t="b">
        <f ca="1">IFERROR(__xludf.DUMMYFUNCTION("""COMPUTED_VALUE"""),TRUE)</f>
        <v>1</v>
      </c>
      <c r="R1424" s="2" t="str">
        <f ca="1">IFERROR(__xludf.DUMMYFUNCTION("""COMPUTED_VALUE"""),"Rectificado")</f>
        <v>Rectificado</v>
      </c>
      <c r="S1424" s="2"/>
      <c r="T1424" s="2"/>
      <c r="U1424" s="2" t="str">
        <f ca="1">IFERROR(__xludf.DUMMYFUNCTION("""COMPUTED_VALUE"""),"1-")</f>
        <v>1-</v>
      </c>
    </row>
    <row r="1425" spans="1:21" x14ac:dyDescent="0.25">
      <c r="A1425" s="2" t="str">
        <f ca="1">IFERROR(__xludf.DUMMYFUNCTION("""COMPUTED_VALUE"""),"64bdfb04")</f>
        <v>64bdfb04</v>
      </c>
      <c r="B1425" s="5">
        <f ca="1">IFERROR(__xludf.DUMMYFUNCTION("""COMPUTED_VALUE"""),46104.5302083333)</f>
        <v>46104.530208333301</v>
      </c>
      <c r="C1425" s="2" t="str">
        <f ca="1">IFERROR(__xludf.DUMMYFUNCTION("""COMPUTED_VALUE"""),"990d3af1")</f>
        <v>990d3af1</v>
      </c>
      <c r="D1425" s="2">
        <f ca="1">IFERROR(__xludf.DUMMYFUNCTION("""COMPUTED_VALUE"""),90)</f>
        <v>90</v>
      </c>
      <c r="E1425" s="2" t="str">
        <f ca="1">IFERROR(__xludf.DUMMYFUNCTION("""COMPUTED_VALUE"""),"Syrah Bonarda")</f>
        <v>Syrah Bonarda</v>
      </c>
      <c r="F1425" s="2">
        <f ca="1">IFERROR(__xludf.DUMMYFUNCTION("""COMPUTED_VALUE"""),-11900)</f>
        <v>-11900</v>
      </c>
      <c r="G1425" s="2">
        <f ca="1">IFERROR(__xludf.DUMMYFUNCTION("""COMPUTED_VALUE"""),5)</f>
        <v>5</v>
      </c>
      <c r="H1425" s="2" t="str">
        <f ca="1">IFERROR(__xludf.DUMMYFUNCTION("""COMPUTED_VALUE"""),"730fdcb9")</f>
        <v>730fdcb9</v>
      </c>
      <c r="I1425" s="2" t="str">
        <f ca="1">IFERROR(__xludf.DUMMYFUNCTION("""COMPUTED_VALUE"""),"Cabernet Sauvignon Rect")</f>
        <v>Cabernet Sauvignon Rect</v>
      </c>
      <c r="J1425" s="2">
        <f ca="1">IFERROR(__xludf.DUMMYFUNCTION("""COMPUTED_VALUE"""),18000)</f>
        <v>18000</v>
      </c>
      <c r="K1425" s="2">
        <f ca="1">IFERROR(__xludf.DUMMYFUNCTION("""COMPUTED_VALUE"""),6100)</f>
        <v>6100</v>
      </c>
      <c r="L1425" s="2" t="str">
        <f ca="1">IFERROR(__xludf.DUMMYFUNCTION("""COMPUTED_VALUE"""),"e935964c")</f>
        <v>e935964c</v>
      </c>
      <c r="M1425" s="2" t="str">
        <f ca="1">IFERROR(__xludf.DUMMYFUNCTION("""COMPUTED_VALUE"""),"Cabernet Sauvignon Rect")</f>
        <v>Cabernet Sauvignon Rect</v>
      </c>
      <c r="N1425" s="2"/>
      <c r="O1425" s="2" t="str">
        <f ca="1">IFERROR(__xludf.DUMMYFUNCTION("""COMPUTED_VALUE"""),"Fermentando")</f>
        <v>Fermentando</v>
      </c>
      <c r="P1425" s="2" t="str">
        <f ca="1">IFERROR(__xludf.DUMMYFUNCTION("""COMPUTED_VALUE"""),"Rectificado")</f>
        <v>Rectificado</v>
      </c>
      <c r="Q1425" s="2" t="b">
        <f ca="1">IFERROR(__xludf.DUMMYFUNCTION("""COMPUTED_VALUE"""),TRUE)</f>
        <v>1</v>
      </c>
      <c r="R1425" s="2" t="str">
        <f ca="1">IFERROR(__xludf.DUMMYFUNCTION("""COMPUTED_VALUE"""),"Rectificado")</f>
        <v>Rectificado</v>
      </c>
      <c r="S1425" s="2"/>
      <c r="T1425" s="2"/>
      <c r="U1425" s="2" t="str">
        <f ca="1">IFERROR(__xludf.DUMMYFUNCTION("""COMPUTED_VALUE"""),"1")</f>
        <v>1</v>
      </c>
    </row>
    <row r="1426" spans="1:21" x14ac:dyDescent="0.25">
      <c r="A1426" s="2" t="str">
        <f ca="1">IFERROR(__xludf.DUMMYFUNCTION("""COMPUTED_VALUE"""),"85ff8780")</f>
        <v>85ff8780</v>
      </c>
      <c r="B1426" s="5">
        <f ca="1">IFERROR(__xludf.DUMMYFUNCTION("""COMPUTED_VALUE"""),46104.5313310185)</f>
        <v>46104.531331018501</v>
      </c>
      <c r="C1426" s="2" t="str">
        <f ca="1">IFERROR(__xludf.DUMMYFUNCTION("""COMPUTED_VALUE"""),"6a072a2b")</f>
        <v>6a072a2b</v>
      </c>
      <c r="D1426" s="2">
        <f ca="1">IFERROR(__xludf.DUMMYFUNCTION("""COMPUTED_VALUE"""),82)</f>
        <v>82</v>
      </c>
      <c r="E1426" s="2" t="str">
        <f ca="1">IFERROR(__xludf.DUMMYFUNCTION("""COMPUTED_VALUE"""),"Syrah Malbec s/Asp 2")</f>
        <v>Syrah Malbec s/Asp 2</v>
      </c>
      <c r="F1426" s="2">
        <f ca="1">IFERROR(__xludf.DUMMYFUNCTION("""COMPUTED_VALUE"""),10100)</f>
        <v>10100</v>
      </c>
      <c r="G1426" s="2">
        <f ca="1">IFERROR(__xludf.DUMMYFUNCTION("""COMPUTED_VALUE"""),102)</f>
        <v>102</v>
      </c>
      <c r="H1426" s="2" t="str">
        <f ca="1">IFERROR(__xludf.DUMMYFUNCTION("""COMPUTED_VALUE"""),"6d46c98d")</f>
        <v>6d46c98d</v>
      </c>
      <c r="I1426" s="2" t="str">
        <f ca="1">IFERROR(__xludf.DUMMYFUNCTION("""COMPUTED_VALUE"""),"Syrah Anc s/Asp 2")</f>
        <v>Syrah Anc s/Asp 2</v>
      </c>
      <c r="J1426" s="2">
        <f ca="1">IFERROR(__xludf.DUMMYFUNCTION("""COMPUTED_VALUE"""),20900)</f>
        <v>20900</v>
      </c>
      <c r="K1426" s="2">
        <f ca="1">IFERROR(__xludf.DUMMYFUNCTION("""COMPUTED_VALUE"""),31000)</f>
        <v>31000</v>
      </c>
      <c r="L1426" s="2" t="str">
        <f ca="1">IFERROR(__xludf.DUMMYFUNCTION("""COMPUTED_VALUE"""),"bc1c84db")</f>
        <v>bc1c84db</v>
      </c>
      <c r="M1426" s="2" t="str">
        <f ca="1">IFERROR(__xludf.DUMMYFUNCTION("""COMPUTED_VALUE"""),"Syrah Anc s/Asp 2")</f>
        <v>Syrah Anc s/Asp 2</v>
      </c>
      <c r="N1426" s="2" t="str">
        <f ca="1">IFERROR(__xludf.DUMMYFUNCTION("""COMPUTED_VALUE"""),"descube")</f>
        <v>descube</v>
      </c>
      <c r="O1426" s="2" t="str">
        <f ca="1">IFERROR(__xludf.DUMMYFUNCTION("""COMPUTED_VALUE"""),"Fermentando")</f>
        <v>Fermentando</v>
      </c>
      <c r="P1426" s="2" t="str">
        <f ca="1">IFERROR(__xludf.DUMMYFUNCTION("""COMPUTED_VALUE"""),"Descubada")</f>
        <v>Descubada</v>
      </c>
      <c r="Q1426" s="2" t="b">
        <f ca="1">IFERROR(__xludf.DUMMYFUNCTION("""COMPUTED_VALUE"""),TRUE)</f>
        <v>1</v>
      </c>
      <c r="R1426" s="2" t="str">
        <f ca="1">IFERROR(__xludf.DUMMYFUNCTION("""COMPUTED_VALUE"""),"Descubada")</f>
        <v>Descubada</v>
      </c>
      <c r="S1426" s="2"/>
      <c r="T1426" s="2"/>
      <c r="U1426" s="2" t="str">
        <f ca="1">IFERROR(__xludf.DUMMYFUNCTION("""COMPUTED_VALUE"""),"1+")</f>
        <v>1+</v>
      </c>
    </row>
    <row r="1427" spans="1:21" x14ac:dyDescent="0.25">
      <c r="A1427" s="2" t="str">
        <f ca="1">IFERROR(__xludf.DUMMYFUNCTION("""COMPUTED_VALUE"""),"fd423cf1")</f>
        <v>fd423cf1</v>
      </c>
      <c r="B1427" s="5">
        <f ca="1">IFERROR(__xludf.DUMMYFUNCTION("""COMPUTED_VALUE"""),46104.5316319444)</f>
        <v>46104.531631944403</v>
      </c>
      <c r="C1427" s="2" t="str">
        <f ca="1">IFERROR(__xludf.DUMMYFUNCTION("""COMPUTED_VALUE"""),"6a072a2b")</f>
        <v>6a072a2b</v>
      </c>
      <c r="D1427" s="2">
        <f ca="1">IFERROR(__xludf.DUMMYFUNCTION("""COMPUTED_VALUE"""),82)</f>
        <v>82</v>
      </c>
      <c r="E1427" s="2" t="str">
        <f ca="1">IFERROR(__xludf.DUMMYFUNCTION("""COMPUTED_VALUE"""),"Syrah Malbec s/Asp 2")</f>
        <v>Syrah Malbec s/Asp 2</v>
      </c>
      <c r="F1427" s="2">
        <f ca="1">IFERROR(__xludf.DUMMYFUNCTION("""COMPUTED_VALUE"""),15600)</f>
        <v>15600</v>
      </c>
      <c r="G1427" s="2">
        <f ca="1">IFERROR(__xludf.DUMMYFUNCTION("""COMPUTED_VALUE"""),110)</f>
        <v>110</v>
      </c>
      <c r="H1427" s="2"/>
      <c r="I1427" s="2"/>
      <c r="J1427" s="2">
        <f ca="1">IFERROR(__xludf.DUMMYFUNCTION("""COMPUTED_VALUE"""),0)</f>
        <v>0</v>
      </c>
      <c r="K1427" s="2">
        <f ca="1">IFERROR(__xludf.DUMMYFUNCTION("""COMPUTED_VALUE"""),15600)</f>
        <v>15600</v>
      </c>
      <c r="L1427" s="2" t="str">
        <f ca="1">IFERROR(__xludf.DUMMYFUNCTION("""COMPUTED_VALUE"""),"8a8cc2d8")</f>
        <v>8a8cc2d8</v>
      </c>
      <c r="M1427" s="2" t="str">
        <f ca="1">IFERROR(__xludf.DUMMYFUNCTION("""COMPUTED_VALUE"""),"Syrah Malbec s/Asp 2")</f>
        <v>Syrah Malbec s/Asp 2</v>
      </c>
      <c r="N1427" s="2"/>
      <c r="O1427" s="2" t="str">
        <f ca="1">IFERROR(__xludf.DUMMYFUNCTION("""COMPUTED_VALUE"""),"Fermentando")</f>
        <v>Fermentando</v>
      </c>
      <c r="P1427" s="2"/>
      <c r="Q1427" s="2" t="b">
        <f ca="1">IFERROR(__xludf.DUMMYFUNCTION("""COMPUTED_VALUE"""),FALSE)</f>
        <v>0</v>
      </c>
      <c r="R1427" s="2" t="str">
        <f ca="1">IFERROR(__xludf.DUMMYFUNCTION("""COMPUTED_VALUE"""),"Descubada")</f>
        <v>Descubada</v>
      </c>
      <c r="S1427" s="2"/>
      <c r="T1427" s="2"/>
      <c r="U1427" s="2" t="str">
        <f ca="1">IFERROR(__xludf.DUMMYFUNCTION("""COMPUTED_VALUE"""),"1-")</f>
        <v>1-</v>
      </c>
    </row>
    <row r="1428" spans="1:21" x14ac:dyDescent="0.25">
      <c r="A1428" s="2" t="str">
        <f ca="1">IFERROR(__xludf.DUMMYFUNCTION("""COMPUTED_VALUE"""),"6b757dbc")</f>
        <v>6b757dbc</v>
      </c>
      <c r="B1428" s="5">
        <f ca="1">IFERROR(__xludf.DUMMYFUNCTION("""COMPUTED_VALUE"""),46104.5325694444)</f>
        <v>46104.532569444404</v>
      </c>
      <c r="C1428" s="2" t="str">
        <f ca="1">IFERROR(__xludf.DUMMYFUNCTION("""COMPUTED_VALUE"""),"6a072a2b")</f>
        <v>6a072a2b</v>
      </c>
      <c r="D1428" s="2">
        <f ca="1">IFERROR(__xludf.DUMMYFUNCTION("""COMPUTED_VALUE"""),82)</f>
        <v>82</v>
      </c>
      <c r="E1428" s="2" t="str">
        <f ca="1">IFERROR(__xludf.DUMMYFUNCTION("""COMPUTED_VALUE"""),"Syrah Malbec s/Asp 2")</f>
        <v>Syrah Malbec s/Asp 2</v>
      </c>
      <c r="F1428" s="2">
        <f ca="1">IFERROR(__xludf.DUMMYFUNCTION("""COMPUTED_VALUE"""),4300)</f>
        <v>4300</v>
      </c>
      <c r="G1428" s="2">
        <f ca="1">IFERROR(__xludf.DUMMYFUNCTION("""COMPUTED_VALUE"""),114)</f>
        <v>114</v>
      </c>
      <c r="H1428" s="2"/>
      <c r="I1428" s="2"/>
      <c r="J1428" s="2">
        <f ca="1">IFERROR(__xludf.DUMMYFUNCTION("""COMPUTED_VALUE"""),0)</f>
        <v>0</v>
      </c>
      <c r="K1428" s="2">
        <f ca="1">IFERROR(__xludf.DUMMYFUNCTION("""COMPUTED_VALUE"""),4300)</f>
        <v>4300</v>
      </c>
      <c r="L1428" s="2" t="str">
        <f ca="1">IFERROR(__xludf.DUMMYFUNCTION("""COMPUTED_VALUE"""),"2b6e52af")</f>
        <v>2b6e52af</v>
      </c>
      <c r="M1428" s="2" t="str">
        <f ca="1">IFERROR(__xludf.DUMMYFUNCTION("""COMPUTED_VALUE"""),"Syrah Malbec s/Asp 2")</f>
        <v>Syrah Malbec s/Asp 2</v>
      </c>
      <c r="N1428" s="2"/>
      <c r="O1428" s="2" t="str">
        <f ca="1">IFERROR(__xludf.DUMMYFUNCTION("""COMPUTED_VALUE"""),"Fermentando")</f>
        <v>Fermentando</v>
      </c>
      <c r="P1428" s="2"/>
      <c r="Q1428" s="2" t="b">
        <f ca="1">IFERROR(__xludf.DUMMYFUNCTION("""COMPUTED_VALUE"""),FALSE)</f>
        <v>0</v>
      </c>
      <c r="R1428" s="2" t="str">
        <f ca="1">IFERROR(__xludf.DUMMYFUNCTION("""COMPUTED_VALUE"""),"Descubada")</f>
        <v>Descubada</v>
      </c>
      <c r="S1428" s="2"/>
      <c r="T1428" s="2"/>
      <c r="U1428" s="2" t="str">
        <f ca="1">IFERROR(__xludf.DUMMYFUNCTION("""COMPUTED_VALUE"""),"1-")</f>
        <v>1-</v>
      </c>
    </row>
    <row r="1429" spans="1:21" x14ac:dyDescent="0.25">
      <c r="A1429" s="2" t="str">
        <f ca="1">IFERROR(__xludf.DUMMYFUNCTION("""COMPUTED_VALUE"""),"d68237e6")</f>
        <v>d68237e6</v>
      </c>
      <c r="B1429" s="5">
        <f ca="1">IFERROR(__xludf.DUMMYFUNCTION("""COMPUTED_VALUE"""),46104.5332407407)</f>
        <v>46104.533240740697</v>
      </c>
      <c r="C1429" s="2" t="str">
        <f ca="1">IFERROR(__xludf.DUMMYFUNCTION("""COMPUTED_VALUE"""),"fa24ada7")</f>
        <v>fa24ada7</v>
      </c>
      <c r="D1429" s="2">
        <f ca="1">IFERROR(__xludf.DUMMYFUNCTION("""COMPUTED_VALUE"""),81)</f>
        <v>81</v>
      </c>
      <c r="E1429" s="2" t="str">
        <f ca="1">IFERROR(__xludf.DUMMYFUNCTION("""COMPUTED_VALUE"""),"Syrah")</f>
        <v>Syrah</v>
      </c>
      <c r="F1429" s="2">
        <f ca="1">IFERROR(__xludf.DUMMYFUNCTION("""COMPUTED_VALUE"""),14000)</f>
        <v>14000</v>
      </c>
      <c r="G1429" s="2">
        <f ca="1">IFERROR(__xludf.DUMMYFUNCTION("""COMPUTED_VALUE"""),114)</f>
        <v>114</v>
      </c>
      <c r="H1429" s="2" t="str">
        <f ca="1">IFERROR(__xludf.DUMMYFUNCTION("""COMPUTED_VALUE"""),"2b6e52af")</f>
        <v>2b6e52af</v>
      </c>
      <c r="I1429" s="2" t="str">
        <f ca="1">IFERROR(__xludf.DUMMYFUNCTION("""COMPUTED_VALUE"""),"Syrah Malbec s/Asp 2")</f>
        <v>Syrah Malbec s/Asp 2</v>
      </c>
      <c r="J1429" s="2">
        <f ca="1">IFERROR(__xludf.DUMMYFUNCTION("""COMPUTED_VALUE"""),4300)</f>
        <v>4300</v>
      </c>
      <c r="K1429" s="2">
        <f ca="1">IFERROR(__xludf.DUMMYFUNCTION("""COMPUTED_VALUE"""),18300)</f>
        <v>18300</v>
      </c>
      <c r="L1429" s="2" t="str">
        <f ca="1">IFERROR(__xludf.DUMMYFUNCTION("""COMPUTED_VALUE"""),"51284a24")</f>
        <v>51284a24</v>
      </c>
      <c r="M1429" s="2" t="str">
        <f ca="1">IFERROR(__xludf.DUMMYFUNCTION("""COMPUTED_VALUE"""),"Syrah")</f>
        <v>Syrah</v>
      </c>
      <c r="N1429" s="2"/>
      <c r="O1429" s="2" t="str">
        <f ca="1">IFERROR(__xludf.DUMMYFUNCTION("""COMPUTED_VALUE"""),"Fermentando")</f>
        <v>Fermentando</v>
      </c>
      <c r="P1429" s="2" t="str">
        <f ca="1">IFERROR(__xludf.DUMMYFUNCTION("""COMPUTED_VALUE"""),"Descubada")</f>
        <v>Descubada</v>
      </c>
      <c r="Q1429" s="2" t="b">
        <f ca="1">IFERROR(__xludf.DUMMYFUNCTION("""COMPUTED_VALUE"""),TRUE)</f>
        <v>1</v>
      </c>
      <c r="R1429" s="2" t="str">
        <f ca="1">IFERROR(__xludf.DUMMYFUNCTION("""COMPUTED_VALUE"""),"Descubada")</f>
        <v>Descubada</v>
      </c>
      <c r="S1429" s="2"/>
      <c r="T1429" s="2"/>
      <c r="U1429" s="2" t="str">
        <f ca="1">IFERROR(__xludf.DUMMYFUNCTION("""COMPUTED_VALUE"""),"1-")</f>
        <v>1-</v>
      </c>
    </row>
    <row r="1430" spans="1:21" x14ac:dyDescent="0.25">
      <c r="A1430" s="2" t="str">
        <f ca="1">IFERROR(__xludf.DUMMYFUNCTION("""COMPUTED_VALUE"""),"868dd295")</f>
        <v>868dd295</v>
      </c>
      <c r="B1430" s="5">
        <f ca="1">IFERROR(__xludf.DUMMYFUNCTION("""COMPUTED_VALUE"""),46104.533912037)</f>
        <v>46104.533912036997</v>
      </c>
      <c r="C1430" s="2" t="str">
        <f ca="1">IFERROR(__xludf.DUMMYFUNCTION("""COMPUTED_VALUE"""),"69a8bead")</f>
        <v>69a8bead</v>
      </c>
      <c r="D1430" s="2">
        <f ca="1">IFERROR(__xludf.DUMMYFUNCTION("""COMPUTED_VALUE"""),88)</f>
        <v>88</v>
      </c>
      <c r="E1430" s="2" t="str">
        <f ca="1">IFERROR(__xludf.DUMMYFUNCTION("""COMPUTED_VALUE"""),"Syrah pc")</f>
        <v>Syrah pc</v>
      </c>
      <c r="F1430" s="2">
        <f ca="1">IFERROR(__xludf.DUMMYFUNCTION("""COMPUTED_VALUE"""),53000)</f>
        <v>53000</v>
      </c>
      <c r="G1430" s="2">
        <f ca="1">IFERROR(__xludf.DUMMYFUNCTION("""COMPUTED_VALUE"""),114)</f>
        <v>114</v>
      </c>
      <c r="H1430" s="2" t="str">
        <f ca="1">IFERROR(__xludf.DUMMYFUNCTION("""COMPUTED_VALUE"""),"51284a24")</f>
        <v>51284a24</v>
      </c>
      <c r="I1430" s="2" t="str">
        <f ca="1">IFERROR(__xludf.DUMMYFUNCTION("""COMPUTED_VALUE"""),"Syrah")</f>
        <v>Syrah</v>
      </c>
      <c r="J1430" s="2">
        <f ca="1">IFERROR(__xludf.DUMMYFUNCTION("""COMPUTED_VALUE"""),18300)</f>
        <v>18300</v>
      </c>
      <c r="K1430" s="2">
        <f ca="1">IFERROR(__xludf.DUMMYFUNCTION("""COMPUTED_VALUE"""),71300)</f>
        <v>71300</v>
      </c>
      <c r="L1430" s="2" t="str">
        <f ca="1">IFERROR(__xludf.DUMMYFUNCTION("""COMPUTED_VALUE"""),"1eef661b")</f>
        <v>1eef661b</v>
      </c>
      <c r="M1430" s="2" t="str">
        <f ca="1">IFERROR(__xludf.DUMMYFUNCTION("""COMPUTED_VALUE"""),"Syrah")</f>
        <v>Syrah</v>
      </c>
      <c r="N1430" s="2"/>
      <c r="O1430" s="2" t="str">
        <f ca="1">IFERROR(__xludf.DUMMYFUNCTION("""COMPUTED_VALUE"""),"Fermentando")</f>
        <v>Fermentando</v>
      </c>
      <c r="P1430" s="2" t="str">
        <f ca="1">IFERROR(__xludf.DUMMYFUNCTION("""COMPUTED_VALUE"""),"Descubada")</f>
        <v>Descubada</v>
      </c>
      <c r="Q1430" s="2" t="b">
        <f ca="1">IFERROR(__xludf.DUMMYFUNCTION("""COMPUTED_VALUE"""),TRUE)</f>
        <v>1</v>
      </c>
      <c r="R1430" s="2" t="str">
        <f ca="1">IFERROR(__xludf.DUMMYFUNCTION("""COMPUTED_VALUE"""),"Descubada")</f>
        <v>Descubada</v>
      </c>
      <c r="S1430" s="2"/>
      <c r="T1430" s="2"/>
      <c r="U1430" s="2" t="str">
        <f ca="1">IFERROR(__xludf.DUMMYFUNCTION("""COMPUTED_VALUE"""),"1-")</f>
        <v>1-</v>
      </c>
    </row>
    <row r="1431" spans="1:21" x14ac:dyDescent="0.25">
      <c r="A1431" s="2" t="str">
        <f ca="1">IFERROR(__xludf.DUMMYFUNCTION("""COMPUTED_VALUE"""),"3cce5b9d")</f>
        <v>3cce5b9d</v>
      </c>
      <c r="B1431" s="5">
        <f ca="1">IFERROR(__xludf.DUMMYFUNCTION("""COMPUTED_VALUE"""),46104.5347106481)</f>
        <v>46104.534710648099</v>
      </c>
      <c r="C1431" s="2" t="str">
        <f ca="1">IFERROR(__xludf.DUMMYFUNCTION("""COMPUTED_VALUE"""),"067d11e7")</f>
        <v>067d11e7</v>
      </c>
      <c r="D1431" s="2">
        <f ca="1">IFERROR(__xludf.DUMMYFUNCTION("""COMPUTED_VALUE"""),92)</f>
        <v>92</v>
      </c>
      <c r="E1431" s="2" t="str">
        <f ca="1">IFERROR(__xludf.DUMMYFUNCTION("""COMPUTED_VALUE"""),"Cabernet Sauv")</f>
        <v>Cabernet Sauv</v>
      </c>
      <c r="F1431" s="2">
        <f ca="1">IFERROR(__xludf.DUMMYFUNCTION("""COMPUTED_VALUE"""),-7600)</f>
        <v>-7600</v>
      </c>
      <c r="G1431" s="2">
        <f ca="1">IFERROR(__xludf.DUMMYFUNCTION("""COMPUTED_VALUE"""),9)</f>
        <v>9</v>
      </c>
      <c r="H1431" s="2" t="str">
        <f ca="1">IFERROR(__xludf.DUMMYFUNCTION("""COMPUTED_VALUE"""),"0ed2cf2b")</f>
        <v>0ed2cf2b</v>
      </c>
      <c r="I1431" s="2" t="str">
        <f ca="1">IFERROR(__xludf.DUMMYFUNCTION("""COMPUTED_VALUE"""),"Malbec Rect")</f>
        <v>Malbec Rect</v>
      </c>
      <c r="J1431" s="2">
        <f ca="1">IFERROR(__xludf.DUMMYFUNCTION("""COMPUTED_VALUE"""),21500)</f>
        <v>21500</v>
      </c>
      <c r="K1431" s="2">
        <f ca="1">IFERROR(__xludf.DUMMYFUNCTION("""COMPUTED_VALUE"""),13900)</f>
        <v>13900</v>
      </c>
      <c r="L1431" s="2" t="str">
        <f ca="1">IFERROR(__xludf.DUMMYFUNCTION("""COMPUTED_VALUE"""),"363011be")</f>
        <v>363011be</v>
      </c>
      <c r="M1431" s="2" t="str">
        <f ca="1">IFERROR(__xludf.DUMMYFUNCTION("""COMPUTED_VALUE"""),"Malbec Rect")</f>
        <v>Malbec Rect</v>
      </c>
      <c r="N1431" s="2"/>
      <c r="O1431" s="2" t="str">
        <f ca="1">IFERROR(__xludf.DUMMYFUNCTION("""COMPUTED_VALUE"""),"Fermentando")</f>
        <v>Fermentando</v>
      </c>
      <c r="P1431" s="2" t="str">
        <f ca="1">IFERROR(__xludf.DUMMYFUNCTION("""COMPUTED_VALUE"""),"Rectificado")</f>
        <v>Rectificado</v>
      </c>
      <c r="Q1431" s="2" t="b">
        <f ca="1">IFERROR(__xludf.DUMMYFUNCTION("""COMPUTED_VALUE"""),TRUE)</f>
        <v>1</v>
      </c>
      <c r="R1431" s="2" t="str">
        <f ca="1">IFERROR(__xludf.DUMMYFUNCTION("""COMPUTED_VALUE"""),"Rectificado")</f>
        <v>Rectificado</v>
      </c>
      <c r="S1431" s="2"/>
      <c r="T1431" s="2"/>
      <c r="U1431" s="2" t="str">
        <f ca="1">IFERROR(__xludf.DUMMYFUNCTION("""COMPUTED_VALUE"""),"1-")</f>
        <v>1-</v>
      </c>
    </row>
    <row r="1432" spans="1:21" x14ac:dyDescent="0.25">
      <c r="A1432" s="2" t="str">
        <f ca="1">IFERROR(__xludf.DUMMYFUNCTION("""COMPUTED_VALUE"""),"6a314d2b")</f>
        <v>6a314d2b</v>
      </c>
      <c r="B1432" s="5">
        <f ca="1">IFERROR(__xludf.DUMMYFUNCTION("""COMPUTED_VALUE"""),46104.535474537)</f>
        <v>46104.535474536999</v>
      </c>
      <c r="C1432" s="2" t="str">
        <f ca="1">IFERROR(__xludf.DUMMYFUNCTION("""COMPUTED_VALUE"""),"0684c059")</f>
        <v>0684c059</v>
      </c>
      <c r="D1432" s="2">
        <f ca="1">IFERROR(__xludf.DUMMYFUNCTION("""COMPUTED_VALUE"""),95)</f>
        <v>95</v>
      </c>
      <c r="E1432" s="2" t="str">
        <f ca="1">IFERROR(__xludf.DUMMYFUNCTION("""COMPUTED_VALUE"""),"Cabernet Sauvignon")</f>
        <v>Cabernet Sauvignon</v>
      </c>
      <c r="F1432" s="2">
        <f ca="1">IFERROR(__xludf.DUMMYFUNCTION("""COMPUTED_VALUE"""),-4000)</f>
        <v>-4000</v>
      </c>
      <c r="G1432" s="2">
        <f ca="1">IFERROR(__xludf.DUMMYFUNCTION("""COMPUTED_VALUE"""),9)</f>
        <v>9</v>
      </c>
      <c r="H1432" s="2" t="str">
        <f ca="1">IFERROR(__xludf.DUMMYFUNCTION("""COMPUTED_VALUE"""),"363011be")</f>
        <v>363011be</v>
      </c>
      <c r="I1432" s="2" t="str">
        <f ca="1">IFERROR(__xludf.DUMMYFUNCTION("""COMPUTED_VALUE"""),"Malbec Rect")</f>
        <v>Malbec Rect</v>
      </c>
      <c r="J1432" s="2">
        <f ca="1">IFERROR(__xludf.DUMMYFUNCTION("""COMPUTED_VALUE"""),13900)</f>
        <v>13900</v>
      </c>
      <c r="K1432" s="2">
        <f ca="1">IFERROR(__xludf.DUMMYFUNCTION("""COMPUTED_VALUE"""),9900)</f>
        <v>9900</v>
      </c>
      <c r="L1432" s="2" t="str">
        <f ca="1">IFERROR(__xludf.DUMMYFUNCTION("""COMPUTED_VALUE"""),"9b8bf2d4")</f>
        <v>9b8bf2d4</v>
      </c>
      <c r="M1432" s="2" t="str">
        <f ca="1">IFERROR(__xludf.DUMMYFUNCTION("""COMPUTED_VALUE"""),"Malbec Rect")</f>
        <v>Malbec Rect</v>
      </c>
      <c r="N1432" s="2"/>
      <c r="O1432" s="2" t="str">
        <f ca="1">IFERROR(__xludf.DUMMYFUNCTION("""COMPUTED_VALUE"""),"Fermentando")</f>
        <v>Fermentando</v>
      </c>
      <c r="P1432" s="2" t="str">
        <f ca="1">IFERROR(__xludf.DUMMYFUNCTION("""COMPUTED_VALUE"""),"Rectificado")</f>
        <v>Rectificado</v>
      </c>
      <c r="Q1432" s="2" t="b">
        <f ca="1">IFERROR(__xludf.DUMMYFUNCTION("""COMPUTED_VALUE"""),TRUE)</f>
        <v>1</v>
      </c>
      <c r="R1432" s="2" t="str">
        <f ca="1">IFERROR(__xludf.DUMMYFUNCTION("""COMPUTED_VALUE"""),"Rectificado")</f>
        <v>Rectificado</v>
      </c>
      <c r="S1432" s="2"/>
      <c r="T1432" s="2"/>
      <c r="U1432" s="2" t="str">
        <f ca="1">IFERROR(__xludf.DUMMYFUNCTION("""COMPUTED_VALUE"""),"1-")</f>
        <v>1-</v>
      </c>
    </row>
    <row r="1433" spans="1:21" x14ac:dyDescent="0.25">
      <c r="A1433" s="2" t="str">
        <f ca="1">IFERROR(__xludf.DUMMYFUNCTION("""COMPUTED_VALUE"""),"6620ee76")</f>
        <v>6620ee76</v>
      </c>
      <c r="B1433" s="5">
        <f ca="1">IFERROR(__xludf.DUMMYFUNCTION("""COMPUTED_VALUE"""),46107.3875578703)</f>
        <v>46107.387557870301</v>
      </c>
      <c r="C1433" s="2" t="str">
        <f ca="1">IFERROR(__xludf.DUMMYFUNCTION("""COMPUTED_VALUE"""),"94ab543f")</f>
        <v>94ab543f</v>
      </c>
      <c r="D1433" s="2">
        <f ca="1">IFERROR(__xludf.DUMMYFUNCTION("""COMPUTED_VALUE"""),66)</f>
        <v>66</v>
      </c>
      <c r="E1433" s="2" t="str">
        <f ca="1">IFERROR(__xludf.DUMMYFUNCTION("""COMPUTED_VALUE"""),"Bonarda")</f>
        <v>Bonarda</v>
      </c>
      <c r="F1433" s="2">
        <f ca="1">IFERROR(__xludf.DUMMYFUNCTION("""COMPUTED_VALUE"""),15000)</f>
        <v>15000</v>
      </c>
      <c r="G1433" s="2">
        <f ca="1">IFERROR(__xludf.DUMMYFUNCTION("""COMPUTED_VALUE"""),114)</f>
        <v>114</v>
      </c>
      <c r="H1433" s="2" t="str">
        <f ca="1">IFERROR(__xludf.DUMMYFUNCTION("""COMPUTED_VALUE"""),"1eef661b")</f>
        <v>1eef661b</v>
      </c>
      <c r="I1433" s="2" t="str">
        <f ca="1">IFERROR(__xludf.DUMMYFUNCTION("""COMPUTED_VALUE"""),"Syrah")</f>
        <v>Syrah</v>
      </c>
      <c r="J1433" s="2">
        <f ca="1">IFERROR(__xludf.DUMMYFUNCTION("""COMPUTED_VALUE"""),71300)</f>
        <v>71300</v>
      </c>
      <c r="K1433" s="2">
        <f ca="1">IFERROR(__xludf.DUMMYFUNCTION("""COMPUTED_VALUE"""),86300)</f>
        <v>86300</v>
      </c>
      <c r="L1433" s="2" t="str">
        <f ca="1">IFERROR(__xludf.DUMMYFUNCTION("""COMPUTED_VALUE"""),"e6f6d6ba")</f>
        <v>e6f6d6ba</v>
      </c>
      <c r="M1433" s="2" t="str">
        <f ca="1">IFERROR(__xludf.DUMMYFUNCTION("""COMPUTED_VALUE"""),"Syrah")</f>
        <v>Syrah</v>
      </c>
      <c r="N1433" s="2" t="str">
        <f ca="1">IFERROR(__xludf.DUMMYFUNCTION("""COMPUTED_VALUE"""),"Descube gota y prensa")</f>
        <v>Descube gota y prensa</v>
      </c>
      <c r="O1433" s="2" t="str">
        <f ca="1">IFERROR(__xludf.DUMMYFUNCTION("""COMPUTED_VALUE"""),"Fermentando")</f>
        <v>Fermentando</v>
      </c>
      <c r="P1433" s="2" t="str">
        <f ca="1">IFERROR(__xludf.DUMMYFUNCTION("""COMPUTED_VALUE"""),"Descubada")</f>
        <v>Descubada</v>
      </c>
      <c r="Q1433" s="2" t="b">
        <f ca="1">IFERROR(__xludf.DUMMYFUNCTION("""COMPUTED_VALUE"""),TRUE)</f>
        <v>1</v>
      </c>
      <c r="R1433" s="2" t="str">
        <f ca="1">IFERROR(__xludf.DUMMYFUNCTION("""COMPUTED_VALUE"""),"Descubada")</f>
        <v>Descubada</v>
      </c>
      <c r="S1433" s="2"/>
      <c r="T1433" s="2"/>
      <c r="U1433" s="2" t="str">
        <f ca="1">IFERROR(__xludf.DUMMYFUNCTION("""COMPUTED_VALUE"""),"1-")</f>
        <v>1-</v>
      </c>
    </row>
    <row r="1434" spans="1:21" x14ac:dyDescent="0.25">
      <c r="A1434" s="2" t="str">
        <f ca="1">IFERROR(__xludf.DUMMYFUNCTION("""COMPUTED_VALUE"""),"c90e3569")</f>
        <v>c90e3569</v>
      </c>
      <c r="B1434" s="5">
        <f ca="1">IFERROR(__xludf.DUMMYFUNCTION("""COMPUTED_VALUE"""),46107.387974537)</f>
        <v>46107.387974537</v>
      </c>
      <c r="C1434" s="2" t="str">
        <f ca="1">IFERROR(__xludf.DUMMYFUNCTION("""COMPUTED_VALUE"""),"f3173f78")</f>
        <v>f3173f78</v>
      </c>
      <c r="D1434" s="2">
        <f ca="1">IFERROR(__xludf.DUMMYFUNCTION("""COMPUTED_VALUE"""),67)</f>
        <v>67</v>
      </c>
      <c r="E1434" s="2" t="str">
        <f ca="1">IFERROR(__xludf.DUMMYFUNCTION("""COMPUTED_VALUE"""),"Bonarda Sy")</f>
        <v>Bonarda Sy</v>
      </c>
      <c r="F1434" s="2">
        <f ca="1">IFERROR(__xludf.DUMMYFUNCTION("""COMPUTED_VALUE"""),15000)</f>
        <v>15000</v>
      </c>
      <c r="G1434" s="2">
        <f ca="1">IFERROR(__xludf.DUMMYFUNCTION("""COMPUTED_VALUE"""),114)</f>
        <v>114</v>
      </c>
      <c r="H1434" s="2" t="str">
        <f ca="1">IFERROR(__xludf.DUMMYFUNCTION("""COMPUTED_VALUE"""),"e6f6d6ba")</f>
        <v>e6f6d6ba</v>
      </c>
      <c r="I1434" s="2" t="str">
        <f ca="1">IFERROR(__xludf.DUMMYFUNCTION("""COMPUTED_VALUE"""),"Syrah")</f>
        <v>Syrah</v>
      </c>
      <c r="J1434" s="2">
        <f ca="1">IFERROR(__xludf.DUMMYFUNCTION("""COMPUTED_VALUE"""),86300)</f>
        <v>86300</v>
      </c>
      <c r="K1434" s="2">
        <f ca="1">IFERROR(__xludf.DUMMYFUNCTION("""COMPUTED_VALUE"""),101300)</f>
        <v>101300</v>
      </c>
      <c r="L1434" s="2" t="str">
        <f ca="1">IFERROR(__xludf.DUMMYFUNCTION("""COMPUTED_VALUE"""),"99baf285")</f>
        <v>99baf285</v>
      </c>
      <c r="M1434" s="2" t="str">
        <f ca="1">IFERROR(__xludf.DUMMYFUNCTION("""COMPUTED_VALUE"""),"Syrah")</f>
        <v>Syrah</v>
      </c>
      <c r="N1434" s="2" t="str">
        <f ca="1">IFERROR(__xludf.DUMMYFUNCTION("""COMPUTED_VALUE"""),"Descube gota y prensa")</f>
        <v>Descube gota y prensa</v>
      </c>
      <c r="O1434" s="2" t="str">
        <f ca="1">IFERROR(__xludf.DUMMYFUNCTION("""COMPUTED_VALUE"""),"Fermentando")</f>
        <v>Fermentando</v>
      </c>
      <c r="P1434" s="2" t="str">
        <f ca="1">IFERROR(__xludf.DUMMYFUNCTION("""COMPUTED_VALUE"""),"Descubada")</f>
        <v>Descubada</v>
      </c>
      <c r="Q1434" s="2" t="b">
        <f ca="1">IFERROR(__xludf.DUMMYFUNCTION("""COMPUTED_VALUE"""),TRUE)</f>
        <v>1</v>
      </c>
      <c r="R1434" s="2" t="str">
        <f ca="1">IFERROR(__xludf.DUMMYFUNCTION("""COMPUTED_VALUE"""),"Descubada")</f>
        <v>Descubada</v>
      </c>
      <c r="S1434" s="2"/>
      <c r="T1434" s="2"/>
      <c r="U1434" s="2" t="str">
        <f ca="1">IFERROR(__xludf.DUMMYFUNCTION("""COMPUTED_VALUE"""),"1-")</f>
        <v>1-</v>
      </c>
    </row>
    <row r="1435" spans="1:21" x14ac:dyDescent="0.25">
      <c r="A1435" s="2" t="str">
        <f ca="1">IFERROR(__xludf.DUMMYFUNCTION("""COMPUTED_VALUE"""),"7281fd4a")</f>
        <v>7281fd4a</v>
      </c>
      <c r="B1435" s="5">
        <f ca="1">IFERROR(__xludf.DUMMYFUNCTION("""COMPUTED_VALUE"""),46107.3887268518)</f>
        <v>46107.388726851801</v>
      </c>
      <c r="C1435" s="2" t="str">
        <f ca="1">IFERROR(__xludf.DUMMYFUNCTION("""COMPUTED_VALUE"""),"bb0d3dc1")</f>
        <v>bb0d3dc1</v>
      </c>
      <c r="D1435" s="2">
        <f ca="1">IFERROR(__xludf.DUMMYFUNCTION("""COMPUTED_VALUE"""),79)</f>
        <v>79</v>
      </c>
      <c r="E1435" s="2" t="str">
        <f ca="1">IFERROR(__xludf.DUMMYFUNCTION("""COMPUTED_VALUE"""),"Criolla")</f>
        <v>Criolla</v>
      </c>
      <c r="F1435" s="2">
        <f ca="1">IFERROR(__xludf.DUMMYFUNCTION("""COMPUTED_VALUE"""),9000)</f>
        <v>9000</v>
      </c>
      <c r="G1435" s="2">
        <f ca="1">IFERROR(__xludf.DUMMYFUNCTION("""COMPUTED_VALUE"""),8)</f>
        <v>8</v>
      </c>
      <c r="H1435" s="2"/>
      <c r="I1435" s="2"/>
      <c r="J1435" s="2">
        <f ca="1">IFERROR(__xludf.DUMMYFUNCTION("""COMPUTED_VALUE"""),0)</f>
        <v>0</v>
      </c>
      <c r="K1435" s="2">
        <f ca="1">IFERROR(__xludf.DUMMYFUNCTION("""COMPUTED_VALUE"""),9000)</f>
        <v>9000</v>
      </c>
      <c r="L1435" s="2" t="str">
        <f ca="1">IFERROR(__xludf.DUMMYFUNCTION("""COMPUTED_VALUE"""),"f7e6632a")</f>
        <v>f7e6632a</v>
      </c>
      <c r="M1435" s="2" t="str">
        <f ca="1">IFERROR(__xludf.DUMMYFUNCTION("""COMPUTED_VALUE"""),"Criolla Rectificada")</f>
        <v>Criolla Rectificada</v>
      </c>
      <c r="N1435" s="2"/>
      <c r="O1435" s="2" t="str">
        <f ca="1">IFERROR(__xludf.DUMMYFUNCTION("""COMPUTED_VALUE"""),"Fermentando")</f>
        <v>Fermentando</v>
      </c>
      <c r="P1435" s="2"/>
      <c r="Q1435" s="2" t="b">
        <f ca="1">IFERROR(__xludf.DUMMYFUNCTION("""COMPUTED_VALUE"""),FALSE)</f>
        <v>0</v>
      </c>
      <c r="R1435" s="2" t="str">
        <f ca="1">IFERROR(__xludf.DUMMYFUNCTION("""COMPUTED_VALUE"""),"Rectificado")</f>
        <v>Rectificado</v>
      </c>
      <c r="S1435" s="2"/>
      <c r="T1435" s="2"/>
      <c r="U1435" s="2"/>
    </row>
    <row r="1436" spans="1:21" x14ac:dyDescent="0.25">
      <c r="A1436" s="2" t="str">
        <f ca="1">IFERROR(__xludf.DUMMYFUNCTION("""COMPUTED_VALUE"""),"040173f6")</f>
        <v>040173f6</v>
      </c>
      <c r="B1436" s="5">
        <f ca="1">IFERROR(__xludf.DUMMYFUNCTION("""COMPUTED_VALUE"""),46107.4461805555)</f>
        <v>46107.446180555497</v>
      </c>
      <c r="C1436" s="2" t="str">
        <f ca="1">IFERROR(__xludf.DUMMYFUNCTION("""COMPUTED_VALUE"""),"f3f41b27")</f>
        <v>f3f41b27</v>
      </c>
      <c r="D1436" s="2">
        <f ca="1">IFERROR(__xludf.DUMMYFUNCTION("""COMPUTED_VALUE"""),79)</f>
        <v>79</v>
      </c>
      <c r="E1436" s="2" t="str">
        <f ca="1">IFERROR(__xludf.DUMMYFUNCTION("""COMPUTED_VALUE"""),"Criolla")</f>
        <v>Criolla</v>
      </c>
      <c r="F1436" s="2">
        <f ca="1">IFERROR(__xludf.DUMMYFUNCTION("""COMPUTED_VALUE"""),7600)</f>
        <v>7600</v>
      </c>
      <c r="G1436" s="2">
        <f ca="1">IFERROR(__xludf.DUMMYFUNCTION("""COMPUTED_VALUE"""),12)</f>
        <v>12</v>
      </c>
      <c r="H1436" s="2"/>
      <c r="I1436" s="2"/>
      <c r="J1436" s="2">
        <f ca="1">IFERROR(__xludf.DUMMYFUNCTION("""COMPUTED_VALUE"""),0)</f>
        <v>0</v>
      </c>
      <c r="K1436" s="2">
        <f ca="1">IFERROR(__xludf.DUMMYFUNCTION("""COMPUTED_VALUE"""),7600)</f>
        <v>7600</v>
      </c>
      <c r="L1436" s="2" t="str">
        <f ca="1">IFERROR(__xludf.DUMMYFUNCTION("""COMPUTED_VALUE"""),"c027f71f")</f>
        <v>c027f71f</v>
      </c>
      <c r="M1436" s="2" t="str">
        <f ca="1">IFERROR(__xludf.DUMMYFUNCTION("""COMPUTED_VALUE"""),"Criolla Rectificada")</f>
        <v>Criolla Rectificada</v>
      </c>
      <c r="N1436" s="2"/>
      <c r="O1436" s="2" t="str">
        <f ca="1">IFERROR(__xludf.DUMMYFUNCTION("""COMPUTED_VALUE"""),"Fermentando")</f>
        <v>Fermentando</v>
      </c>
      <c r="P1436" s="2"/>
      <c r="Q1436" s="2" t="b">
        <f ca="1">IFERROR(__xludf.DUMMYFUNCTION("""COMPUTED_VALUE"""),FALSE)</f>
        <v>0</v>
      </c>
      <c r="R1436" s="2" t="str">
        <f ca="1">IFERROR(__xludf.DUMMYFUNCTION("""COMPUTED_VALUE"""),"Rectificado")</f>
        <v>Rectificado</v>
      </c>
      <c r="S1436" s="2"/>
      <c r="T1436" s="2"/>
      <c r="U1436" s="2"/>
    </row>
    <row r="1437" spans="1:21" x14ac:dyDescent="0.25">
      <c r="A1437" s="2" t="str">
        <f ca="1">IFERROR(__xludf.DUMMYFUNCTION("""COMPUTED_VALUE"""),"9d886845")</f>
        <v>9d886845</v>
      </c>
      <c r="B1437" s="5">
        <f ca="1">IFERROR(__xludf.DUMMYFUNCTION("""COMPUTED_VALUE"""),46107.4466319444)</f>
        <v>46107.446631944404</v>
      </c>
      <c r="C1437" s="2" t="str">
        <f ca="1">IFERROR(__xludf.DUMMYFUNCTION("""COMPUTED_VALUE"""),"f3f41b27")</f>
        <v>f3f41b27</v>
      </c>
      <c r="D1437" s="2">
        <f ca="1">IFERROR(__xludf.DUMMYFUNCTION("""COMPUTED_VALUE"""),79)</f>
        <v>79</v>
      </c>
      <c r="E1437" s="2" t="str">
        <f ca="1">IFERROR(__xludf.DUMMYFUNCTION("""COMPUTED_VALUE"""),"Criolla")</f>
        <v>Criolla</v>
      </c>
      <c r="F1437" s="2">
        <f ca="1">IFERROR(__xludf.DUMMYFUNCTION("""COMPUTED_VALUE"""),5000)</f>
        <v>5000</v>
      </c>
      <c r="G1437" s="2">
        <f ca="1">IFERROR(__xludf.DUMMYFUNCTION("""COMPUTED_VALUE"""),75)</f>
        <v>75</v>
      </c>
      <c r="H1437" s="2"/>
      <c r="I1437" s="2"/>
      <c r="J1437" s="2">
        <f ca="1">IFERROR(__xludf.DUMMYFUNCTION("""COMPUTED_VALUE"""),0)</f>
        <v>0</v>
      </c>
      <c r="K1437" s="2">
        <f ca="1">IFERROR(__xludf.DUMMYFUNCTION("""COMPUTED_VALUE"""),5000)</f>
        <v>5000</v>
      </c>
      <c r="L1437" s="2" t="str">
        <f ca="1">IFERROR(__xludf.DUMMYFUNCTION("""COMPUTED_VALUE"""),"de620113")</f>
        <v>de620113</v>
      </c>
      <c r="M1437" s="2" t="str">
        <f ca="1">IFERROR(__xludf.DUMMYFUNCTION("""COMPUTED_VALUE"""),"Criolla")</f>
        <v>Criolla</v>
      </c>
      <c r="N1437" s="2"/>
      <c r="O1437" s="2" t="str">
        <f ca="1">IFERROR(__xludf.DUMMYFUNCTION("""COMPUTED_VALUE"""),"Fermentando")</f>
        <v>Fermentando</v>
      </c>
      <c r="P1437" s="2"/>
      <c r="Q1437" s="2" t="b">
        <f ca="1">IFERROR(__xludf.DUMMYFUNCTION("""COMPUTED_VALUE"""),FALSE)</f>
        <v>0</v>
      </c>
      <c r="R1437" s="2" t="str">
        <f ca="1">IFERROR(__xludf.DUMMYFUNCTION("""COMPUTED_VALUE"""),"Fermentando")</f>
        <v>Fermentando</v>
      </c>
      <c r="S1437" s="2"/>
      <c r="T1437" s="2"/>
      <c r="U1437" s="2"/>
    </row>
    <row r="1438" spans="1:21" x14ac:dyDescent="0.25">
      <c r="A1438" s="2" t="str">
        <f ca="1">IFERROR(__xludf.DUMMYFUNCTION("""COMPUTED_VALUE"""),"2ace7021")</f>
        <v>2ace7021</v>
      </c>
      <c r="B1438" s="5">
        <f ca="1">IFERROR(__xludf.DUMMYFUNCTION("""COMPUTED_VALUE"""),46107.8258449074)</f>
        <v>46107.825844907398</v>
      </c>
      <c r="C1438" s="2" t="str">
        <f ca="1">IFERROR(__xludf.DUMMYFUNCTION("""COMPUTED_VALUE"""),"ed448032")</f>
        <v>ed448032</v>
      </c>
      <c r="D1438" s="2">
        <f ca="1">IFERROR(__xludf.DUMMYFUNCTION("""COMPUTED_VALUE"""),89)</f>
        <v>89</v>
      </c>
      <c r="E1438" s="2" t="str">
        <f ca="1">IFERROR(__xludf.DUMMYFUNCTION("""COMPUTED_VALUE"""),"Syrah pc")</f>
        <v>Syrah pc</v>
      </c>
      <c r="F1438" s="2">
        <f ca="1">IFERROR(__xludf.DUMMYFUNCTION("""COMPUTED_VALUE"""),24000)</f>
        <v>24000</v>
      </c>
      <c r="G1438" s="2">
        <f ca="1">IFERROR(__xludf.DUMMYFUNCTION("""COMPUTED_VALUE"""),114)</f>
        <v>114</v>
      </c>
      <c r="H1438" s="2" t="str">
        <f ca="1">IFERROR(__xludf.DUMMYFUNCTION("""COMPUTED_VALUE"""),"99baf285")</f>
        <v>99baf285</v>
      </c>
      <c r="I1438" s="2" t="str">
        <f ca="1">IFERROR(__xludf.DUMMYFUNCTION("""COMPUTED_VALUE"""),"Syrah")</f>
        <v>Syrah</v>
      </c>
      <c r="J1438" s="2">
        <f ca="1">IFERROR(__xludf.DUMMYFUNCTION("""COMPUTED_VALUE"""),101300)</f>
        <v>101300</v>
      </c>
      <c r="K1438" s="2">
        <f ca="1">IFERROR(__xludf.DUMMYFUNCTION("""COMPUTED_VALUE"""),125300)</f>
        <v>125300</v>
      </c>
      <c r="L1438" s="2" t="str">
        <f ca="1">IFERROR(__xludf.DUMMYFUNCTION("""COMPUTED_VALUE"""),"9e280bc6")</f>
        <v>9e280bc6</v>
      </c>
      <c r="M1438" s="2" t="str">
        <f ca="1">IFERROR(__xludf.DUMMYFUNCTION("""COMPUTED_VALUE"""),"Syrah")</f>
        <v>Syrah</v>
      </c>
      <c r="N1438" s="2"/>
      <c r="O1438" s="2" t="str">
        <f ca="1">IFERROR(__xludf.DUMMYFUNCTION("""COMPUTED_VALUE"""),"Fermentando")</f>
        <v>Fermentando</v>
      </c>
      <c r="P1438" s="2" t="str">
        <f ca="1">IFERROR(__xludf.DUMMYFUNCTION("""COMPUTED_VALUE"""),"Descubada")</f>
        <v>Descubada</v>
      </c>
      <c r="Q1438" s="2" t="b">
        <f ca="1">IFERROR(__xludf.DUMMYFUNCTION("""COMPUTED_VALUE"""),TRUE)</f>
        <v>1</v>
      </c>
      <c r="R1438" s="2" t="str">
        <f ca="1">IFERROR(__xludf.DUMMYFUNCTION("""COMPUTED_VALUE"""),"Descubada")</f>
        <v>Descubada</v>
      </c>
      <c r="S1438" s="2"/>
      <c r="T1438" s="2"/>
      <c r="U1438" s="2" t="str">
        <f ca="1">IFERROR(__xludf.DUMMYFUNCTION("""COMPUTED_VALUE"""),"1-")</f>
        <v>1-</v>
      </c>
    </row>
    <row r="1439" spans="1:21" x14ac:dyDescent="0.25">
      <c r="A1439" s="2" t="str">
        <f ca="1">IFERROR(__xludf.DUMMYFUNCTION("""COMPUTED_VALUE"""),"528dd7c0")</f>
        <v>528dd7c0</v>
      </c>
      <c r="B1439" s="5">
        <f ca="1">IFERROR(__xludf.DUMMYFUNCTION("""COMPUTED_VALUE"""),46107.826261574)</f>
        <v>46107.826261574002</v>
      </c>
      <c r="C1439" s="2" t="str">
        <f ca="1">IFERROR(__xludf.DUMMYFUNCTION("""COMPUTED_VALUE"""),"ed448032")</f>
        <v>ed448032</v>
      </c>
      <c r="D1439" s="2">
        <f ca="1">IFERROR(__xludf.DUMMYFUNCTION("""COMPUTED_VALUE"""),89)</f>
        <v>89</v>
      </c>
      <c r="E1439" s="2" t="str">
        <f ca="1">IFERROR(__xludf.DUMMYFUNCTION("""COMPUTED_VALUE"""),"Syrah pc")</f>
        <v>Syrah pc</v>
      </c>
      <c r="F1439" s="2">
        <f ca="1">IFERROR(__xludf.DUMMYFUNCTION("""COMPUTED_VALUE"""),30000)</f>
        <v>30000</v>
      </c>
      <c r="G1439" s="2">
        <f ca="1">IFERROR(__xludf.DUMMYFUNCTION("""COMPUTED_VALUE"""),115)</f>
        <v>115</v>
      </c>
      <c r="H1439" s="2"/>
      <c r="I1439" s="2"/>
      <c r="J1439" s="2">
        <f ca="1">IFERROR(__xludf.DUMMYFUNCTION("""COMPUTED_VALUE"""),0)</f>
        <v>0</v>
      </c>
      <c r="K1439" s="2">
        <f ca="1">IFERROR(__xludf.DUMMYFUNCTION("""COMPUTED_VALUE"""),30000)</f>
        <v>30000</v>
      </c>
      <c r="L1439" s="2" t="str">
        <f ca="1">IFERROR(__xludf.DUMMYFUNCTION("""COMPUTED_VALUE"""),"2d5185da")</f>
        <v>2d5185da</v>
      </c>
      <c r="M1439" s="2" t="str">
        <f ca="1">IFERROR(__xludf.DUMMYFUNCTION("""COMPUTED_VALUE"""),"Syrah pc")</f>
        <v>Syrah pc</v>
      </c>
      <c r="N1439" s="2"/>
      <c r="O1439" s="2" t="str">
        <f ca="1">IFERROR(__xludf.DUMMYFUNCTION("""COMPUTED_VALUE"""),"Fermentando")</f>
        <v>Fermentando</v>
      </c>
      <c r="P1439" s="2"/>
      <c r="Q1439" s="2" t="b">
        <f ca="1">IFERROR(__xludf.DUMMYFUNCTION("""COMPUTED_VALUE"""),FALSE)</f>
        <v>0</v>
      </c>
      <c r="R1439" s="2" t="str">
        <f ca="1">IFERROR(__xludf.DUMMYFUNCTION("""COMPUTED_VALUE"""),"Descubada")</f>
        <v>Descubada</v>
      </c>
      <c r="S1439" s="2"/>
      <c r="T1439" s="2"/>
      <c r="U1439" s="2" t="str">
        <f ca="1">IFERROR(__xludf.DUMMYFUNCTION("""COMPUTED_VALUE"""),"1+")</f>
        <v>1+</v>
      </c>
    </row>
    <row r="1440" spans="1:21" x14ac:dyDescent="0.25">
      <c r="A1440" s="2" t="str">
        <f ca="1">IFERROR(__xludf.DUMMYFUNCTION("""COMPUTED_VALUE"""),"2dcaabac")</f>
        <v>2dcaabac</v>
      </c>
      <c r="B1440" s="5">
        <f ca="1">IFERROR(__xludf.DUMMYFUNCTION("""COMPUTED_VALUE"""),46107.8340972222)</f>
        <v>46107.834097222199</v>
      </c>
      <c r="C1440" s="2" t="str">
        <f ca="1">IFERROR(__xludf.DUMMYFUNCTION("""COMPUTED_VALUE"""),"e8af8964")</f>
        <v>e8af8964</v>
      </c>
      <c r="D1440" s="2">
        <f ca="1">IFERROR(__xludf.DUMMYFUNCTION("""COMPUTED_VALUE"""),78)</f>
        <v>78</v>
      </c>
      <c r="E1440" s="2" t="str">
        <f ca="1">IFERROR(__xludf.DUMMYFUNCTION("""COMPUTED_VALUE"""),"Criolla")</f>
        <v>Criolla</v>
      </c>
      <c r="F1440" s="2">
        <f ca="1">IFERROR(__xludf.DUMMYFUNCTION("""COMPUTED_VALUE"""),8000)</f>
        <v>8000</v>
      </c>
      <c r="G1440" s="2">
        <f ca="1">IFERROR(__xludf.DUMMYFUNCTION("""COMPUTED_VALUE"""),36)</f>
        <v>36</v>
      </c>
      <c r="H1440" s="2"/>
      <c r="I1440" s="2"/>
      <c r="J1440" s="2">
        <f ca="1">IFERROR(__xludf.DUMMYFUNCTION("""COMPUTED_VALUE"""),0)</f>
        <v>0</v>
      </c>
      <c r="K1440" s="2">
        <f ca="1">IFERROR(__xludf.DUMMYFUNCTION("""COMPUTED_VALUE"""),8000)</f>
        <v>8000</v>
      </c>
      <c r="L1440" s="2" t="str">
        <f ca="1">IFERROR(__xludf.DUMMYFUNCTION("""COMPUTED_VALUE"""),"3528ca74")</f>
        <v>3528ca74</v>
      </c>
      <c r="M1440" s="2" t="str">
        <f ca="1">IFERROR(__xludf.DUMMYFUNCTION("""COMPUTED_VALUE"""),"Criolla Rectificado")</f>
        <v>Criolla Rectificado</v>
      </c>
      <c r="N1440" s="2"/>
      <c r="O1440" s="2"/>
      <c r="P1440" s="2"/>
      <c r="Q1440" s="2" t="b">
        <f ca="1">IFERROR(__xludf.DUMMYFUNCTION("""COMPUTED_VALUE"""),FALSE)</f>
        <v>0</v>
      </c>
      <c r="R1440" s="2" t="str">
        <f ca="1">IFERROR(__xludf.DUMMYFUNCTION("""COMPUTED_VALUE"""),"Rectificado")</f>
        <v>Rectificado</v>
      </c>
      <c r="S1440" s="2"/>
      <c r="T1440" s="2"/>
      <c r="U1440" s="2"/>
    </row>
    <row r="1441" spans="1:21" x14ac:dyDescent="0.25">
      <c r="A1441" s="2" t="str">
        <f ca="1">IFERROR(__xludf.DUMMYFUNCTION("""COMPUTED_VALUE"""),"4b90be33")</f>
        <v>4b90be33</v>
      </c>
      <c r="B1441" s="5">
        <f ca="1">IFERROR(__xludf.DUMMYFUNCTION("""COMPUTED_VALUE"""),46107.8347916666)</f>
        <v>46107.834791666603</v>
      </c>
      <c r="C1441" s="2" t="str">
        <f ca="1">IFERROR(__xludf.DUMMYFUNCTION("""COMPUTED_VALUE"""),"e8af8964")</f>
        <v>e8af8964</v>
      </c>
      <c r="D1441" s="2">
        <f ca="1">IFERROR(__xludf.DUMMYFUNCTION("""COMPUTED_VALUE"""),78)</f>
        <v>78</v>
      </c>
      <c r="E1441" s="2" t="str">
        <f ca="1">IFERROR(__xludf.DUMMYFUNCTION("""COMPUTED_VALUE"""),"Criolla")</f>
        <v>Criolla</v>
      </c>
      <c r="F1441" s="2">
        <f ca="1">IFERROR(__xludf.DUMMYFUNCTION("""COMPUTED_VALUE"""),-8000)</f>
        <v>-8000</v>
      </c>
      <c r="G1441" s="2">
        <f ca="1">IFERROR(__xludf.DUMMYFUNCTION("""COMPUTED_VALUE"""),36)</f>
        <v>36</v>
      </c>
      <c r="H1441" s="2" t="str">
        <f ca="1">IFERROR(__xludf.DUMMYFUNCTION("""COMPUTED_VALUE"""),"3528ca74")</f>
        <v>3528ca74</v>
      </c>
      <c r="I1441" s="2" t="str">
        <f ca="1">IFERROR(__xludf.DUMMYFUNCTION("""COMPUTED_VALUE"""),"Criolla Rectificado")</f>
        <v>Criolla Rectificado</v>
      </c>
      <c r="J1441" s="2">
        <f ca="1">IFERROR(__xludf.DUMMYFUNCTION("""COMPUTED_VALUE"""),8000)</f>
        <v>8000</v>
      </c>
      <c r="K1441" s="2">
        <f ca="1">IFERROR(__xludf.DUMMYFUNCTION("""COMPUTED_VALUE"""),0)</f>
        <v>0</v>
      </c>
      <c r="L1441" s="2" t="str">
        <f ca="1">IFERROR(__xludf.DUMMYFUNCTION("""COMPUTED_VALUE"""),"464dda8d")</f>
        <v>464dda8d</v>
      </c>
      <c r="M1441" s="2" t="str">
        <f ca="1">IFERROR(__xludf.DUMMYFUNCTION("""COMPUTED_VALUE"""),"Criolla Rectificado")</f>
        <v>Criolla Rectificado</v>
      </c>
      <c r="N1441" s="2"/>
      <c r="O1441" s="2" t="str">
        <f ca="1">IFERROR(__xludf.DUMMYFUNCTION("""COMPUTED_VALUE"""),"Fermentando")</f>
        <v>Fermentando</v>
      </c>
      <c r="P1441" s="2" t="str">
        <f ca="1">IFERROR(__xludf.DUMMYFUNCTION("""COMPUTED_VALUE"""),"Rectificado")</f>
        <v>Rectificado</v>
      </c>
      <c r="Q1441" s="2" t="b">
        <f ca="1">IFERROR(__xludf.DUMMYFUNCTION("""COMPUTED_VALUE"""),TRUE)</f>
        <v>1</v>
      </c>
      <c r="R1441" s="2" t="str">
        <f ca="1">IFERROR(__xludf.DUMMYFUNCTION("""COMPUTED_VALUE"""),"Rectificado")</f>
        <v>Rectificado</v>
      </c>
      <c r="S1441" s="2"/>
      <c r="T1441" s="2"/>
      <c r="U1441" s="2"/>
    </row>
    <row r="1442" spans="1:21" x14ac:dyDescent="0.25">
      <c r="A1442" s="2" t="str">
        <f ca="1">IFERROR(__xludf.DUMMYFUNCTION("""COMPUTED_VALUE"""),"2235275f")</f>
        <v>2235275f</v>
      </c>
      <c r="B1442" s="5">
        <f ca="1">IFERROR(__xludf.DUMMYFUNCTION("""COMPUTED_VALUE"""),46107.8368055555)</f>
        <v>46107.836805555497</v>
      </c>
      <c r="C1442" s="2" t="str">
        <f ca="1">IFERROR(__xludf.DUMMYFUNCTION("""COMPUTED_VALUE"""),"a0c53502")</f>
        <v>a0c53502</v>
      </c>
      <c r="D1442" s="2">
        <f ca="1">IFERROR(__xludf.DUMMYFUNCTION("""COMPUTED_VALUE"""),83)</f>
        <v>83</v>
      </c>
      <c r="E1442" s="2" t="str">
        <f ca="1">IFERROR(__xludf.DUMMYFUNCTION("""COMPUTED_VALUE"""),"Cabernet Sau")</f>
        <v>Cabernet Sau</v>
      </c>
      <c r="F1442" s="2">
        <f ca="1">IFERROR(__xludf.DUMMYFUNCTION("""COMPUTED_VALUE"""),-7000)</f>
        <v>-7000</v>
      </c>
      <c r="G1442" s="2">
        <f ca="1">IFERROR(__xludf.DUMMYFUNCTION("""COMPUTED_VALUE"""),9)</f>
        <v>9</v>
      </c>
      <c r="H1442" s="2" t="str">
        <f ca="1">IFERROR(__xludf.DUMMYFUNCTION("""COMPUTED_VALUE"""),"9b8bf2d4")</f>
        <v>9b8bf2d4</v>
      </c>
      <c r="I1442" s="2" t="str">
        <f ca="1">IFERROR(__xludf.DUMMYFUNCTION("""COMPUTED_VALUE"""),"Malbec Rect")</f>
        <v>Malbec Rect</v>
      </c>
      <c r="J1442" s="2">
        <f ca="1">IFERROR(__xludf.DUMMYFUNCTION("""COMPUTED_VALUE"""),9900)</f>
        <v>9900</v>
      </c>
      <c r="K1442" s="2">
        <f ca="1">IFERROR(__xludf.DUMMYFUNCTION("""COMPUTED_VALUE"""),2900)</f>
        <v>2900</v>
      </c>
      <c r="L1442" s="2" t="str">
        <f ca="1">IFERROR(__xludf.DUMMYFUNCTION("""COMPUTED_VALUE"""),"b715f41c")</f>
        <v>b715f41c</v>
      </c>
      <c r="M1442" s="2" t="str">
        <f ca="1">IFERROR(__xludf.DUMMYFUNCTION("""COMPUTED_VALUE"""),"Malbec Rect")</f>
        <v>Malbec Rect</v>
      </c>
      <c r="N1442" s="2"/>
      <c r="O1442" s="2" t="str">
        <f ca="1">IFERROR(__xludf.DUMMYFUNCTION("""COMPUTED_VALUE"""),"Fermentando")</f>
        <v>Fermentando</v>
      </c>
      <c r="P1442" s="2" t="str">
        <f ca="1">IFERROR(__xludf.DUMMYFUNCTION("""COMPUTED_VALUE"""),"Rectificado")</f>
        <v>Rectificado</v>
      </c>
      <c r="Q1442" s="2" t="b">
        <f ca="1">IFERROR(__xludf.DUMMYFUNCTION("""COMPUTED_VALUE"""),TRUE)</f>
        <v>1</v>
      </c>
      <c r="R1442" s="2" t="str">
        <f ca="1">IFERROR(__xludf.DUMMYFUNCTION("""COMPUTED_VALUE"""),"Rectificado")</f>
        <v>Rectificado</v>
      </c>
      <c r="S1442" s="2"/>
      <c r="T1442" s="2"/>
      <c r="U1442" s="2" t="str">
        <f ca="1">IFERROR(__xludf.DUMMYFUNCTION("""COMPUTED_VALUE"""),"1-")</f>
        <v>1-</v>
      </c>
    </row>
    <row r="1443" spans="1:21" x14ac:dyDescent="0.25">
      <c r="A1443" s="2" t="str">
        <f ca="1">IFERROR(__xludf.DUMMYFUNCTION("""COMPUTED_VALUE"""),"6401021b")</f>
        <v>6401021b</v>
      </c>
      <c r="B1443" s="5">
        <f ca="1">IFERROR(__xludf.DUMMYFUNCTION("""COMPUTED_VALUE"""),46107.838599537)</f>
        <v>46107.838599536997</v>
      </c>
      <c r="C1443" s="2" t="str">
        <f ca="1">IFERROR(__xludf.DUMMYFUNCTION("""COMPUTED_VALUE"""),"0684c059")</f>
        <v>0684c059</v>
      </c>
      <c r="D1443" s="2">
        <f ca="1">IFERROR(__xludf.DUMMYFUNCTION("""COMPUTED_VALUE"""),95)</f>
        <v>95</v>
      </c>
      <c r="E1443" s="2" t="str">
        <f ca="1">IFERROR(__xludf.DUMMYFUNCTION("""COMPUTED_VALUE"""),"Cabernet Sauvignon")</f>
        <v>Cabernet Sauvignon</v>
      </c>
      <c r="F1443" s="2">
        <f ca="1">IFERROR(__xludf.DUMMYFUNCTION("""COMPUTED_VALUE"""),6000)</f>
        <v>6000</v>
      </c>
      <c r="G1443" s="2">
        <f ca="1">IFERROR(__xludf.DUMMYFUNCTION("""COMPUTED_VALUE"""),86)</f>
        <v>86</v>
      </c>
      <c r="H1443" s="2" t="str">
        <f ca="1">IFERROR(__xludf.DUMMYFUNCTION("""COMPUTED_VALUE"""),"7de2b9cd")</f>
        <v>7de2b9cd</v>
      </c>
      <c r="I1443" s="2" t="str">
        <f ca="1">IFERROR(__xludf.DUMMYFUNCTION("""COMPUTED_VALUE"""),"Malbec")</f>
        <v>Malbec</v>
      </c>
      <c r="J1443" s="2">
        <f ca="1">IFERROR(__xludf.DUMMYFUNCTION("""COMPUTED_VALUE"""),40600)</f>
        <v>40600</v>
      </c>
      <c r="K1443" s="2">
        <f ca="1">IFERROR(__xludf.DUMMYFUNCTION("""COMPUTED_VALUE"""),46600)</f>
        <v>46600</v>
      </c>
      <c r="L1443" s="2" t="str">
        <f ca="1">IFERROR(__xludf.DUMMYFUNCTION("""COMPUTED_VALUE"""),"53cc4912")</f>
        <v>53cc4912</v>
      </c>
      <c r="M1443" s="2" t="str">
        <f ca="1">IFERROR(__xludf.DUMMYFUNCTION("""COMPUTED_VALUE"""),"Malbec PC")</f>
        <v>Malbec PC</v>
      </c>
      <c r="N1443" s="2"/>
      <c r="O1443" s="2" t="str">
        <f ca="1">IFERROR(__xludf.DUMMYFUNCTION("""COMPUTED_VALUE"""),"Fermentando")</f>
        <v>Fermentando</v>
      </c>
      <c r="P1443" s="2" t="str">
        <f ca="1">IFERROR(__xludf.DUMMYFUNCTION("""COMPUTED_VALUE"""),"Fermentando")</f>
        <v>Fermentando</v>
      </c>
      <c r="Q1443" s="2" t="b">
        <f ca="1">IFERROR(__xludf.DUMMYFUNCTION("""COMPUTED_VALUE"""),TRUE)</f>
        <v>1</v>
      </c>
      <c r="R1443" s="2" t="str">
        <f ca="1">IFERROR(__xludf.DUMMYFUNCTION("""COMPUTED_VALUE"""),"Fermentando")</f>
        <v>Fermentando</v>
      </c>
      <c r="S1443" s="2"/>
      <c r="T1443" s="2"/>
      <c r="U1443" s="2"/>
    </row>
    <row r="1444" spans="1:21" x14ac:dyDescent="0.25">
      <c r="A1444" s="2" t="str">
        <f ca="1">IFERROR(__xludf.DUMMYFUNCTION("""COMPUTED_VALUE"""),"a18cb1f7")</f>
        <v>a18cb1f7</v>
      </c>
      <c r="B1444" s="5">
        <f ca="1">IFERROR(__xludf.DUMMYFUNCTION("""COMPUTED_VALUE"""),46107.8444907407)</f>
        <v>46107.844490740703</v>
      </c>
      <c r="C1444" s="2" t="str">
        <f ca="1">IFERROR(__xludf.DUMMYFUNCTION("""COMPUTED_VALUE"""),"f3f41b27")</f>
        <v>f3f41b27</v>
      </c>
      <c r="D1444" s="2">
        <f ca="1">IFERROR(__xludf.DUMMYFUNCTION("""COMPUTED_VALUE"""),79)</f>
        <v>79</v>
      </c>
      <c r="E1444" s="2" t="str">
        <f ca="1">IFERROR(__xludf.DUMMYFUNCTION("""COMPUTED_VALUE"""),"Criolla")</f>
        <v>Criolla</v>
      </c>
      <c r="F1444" s="2">
        <f ca="1">IFERROR(__xludf.DUMMYFUNCTION("""COMPUTED_VALUE"""),-6000)</f>
        <v>-6000</v>
      </c>
      <c r="G1444" s="2">
        <f ca="1">IFERROR(__xludf.DUMMYFUNCTION("""COMPUTED_VALUE"""),12)</f>
        <v>12</v>
      </c>
      <c r="H1444" s="2" t="str">
        <f ca="1">IFERROR(__xludf.DUMMYFUNCTION("""COMPUTED_VALUE"""),"c027f71f")</f>
        <v>c027f71f</v>
      </c>
      <c r="I1444" s="2" t="str">
        <f ca="1">IFERROR(__xludf.DUMMYFUNCTION("""COMPUTED_VALUE"""),"Criolla Rectificada")</f>
        <v>Criolla Rectificada</v>
      </c>
      <c r="J1444" s="2">
        <f ca="1">IFERROR(__xludf.DUMMYFUNCTION("""COMPUTED_VALUE"""),7600)</f>
        <v>7600</v>
      </c>
      <c r="K1444" s="2">
        <f ca="1">IFERROR(__xludf.DUMMYFUNCTION("""COMPUTED_VALUE"""),1600)</f>
        <v>1600</v>
      </c>
      <c r="L1444" s="2" t="str">
        <f ca="1">IFERROR(__xludf.DUMMYFUNCTION("""COMPUTED_VALUE"""),"29e47de6")</f>
        <v>29e47de6</v>
      </c>
      <c r="M1444" s="2" t="str">
        <f ca="1">IFERROR(__xludf.DUMMYFUNCTION("""COMPUTED_VALUE"""),"Criolla")</f>
        <v>Criolla</v>
      </c>
      <c r="N1444" s="2"/>
      <c r="O1444" s="2" t="str">
        <f ca="1">IFERROR(__xludf.DUMMYFUNCTION("""COMPUTED_VALUE"""),"Fermentando")</f>
        <v>Fermentando</v>
      </c>
      <c r="P1444" s="2" t="str">
        <f ca="1">IFERROR(__xludf.DUMMYFUNCTION("""COMPUTED_VALUE"""),"Rectificado")</f>
        <v>Rectificado</v>
      </c>
      <c r="Q1444" s="2" t="b">
        <f ca="1">IFERROR(__xludf.DUMMYFUNCTION("""COMPUTED_VALUE"""),FALSE)</f>
        <v>0</v>
      </c>
      <c r="R1444" s="2" t="str">
        <f ca="1">IFERROR(__xludf.DUMMYFUNCTION("""COMPUTED_VALUE"""),"Fermentando")</f>
        <v>Fermentando</v>
      </c>
      <c r="S1444" s="2"/>
      <c r="T1444" s="2"/>
      <c r="U1444" s="2"/>
    </row>
    <row r="1445" spans="1:21" x14ac:dyDescent="0.25">
      <c r="A1445" s="2" t="str">
        <f ca="1">IFERROR(__xludf.DUMMYFUNCTION("""COMPUTED_VALUE"""),"914d3ccc")</f>
        <v>914d3ccc</v>
      </c>
      <c r="B1445" s="5">
        <f ca="1">IFERROR(__xludf.DUMMYFUNCTION("""COMPUTED_VALUE"""),46107.8452083333)</f>
        <v>46107.845208333303</v>
      </c>
      <c r="C1445" s="2" t="str">
        <f ca="1">IFERROR(__xludf.DUMMYFUNCTION("""COMPUTED_VALUE"""),"de620113")</f>
        <v>de620113</v>
      </c>
      <c r="D1445" s="2">
        <f ca="1">IFERROR(__xludf.DUMMYFUNCTION("""COMPUTED_VALUE"""),75)</f>
        <v>75</v>
      </c>
      <c r="E1445" s="2" t="str">
        <f ca="1">IFERROR(__xludf.DUMMYFUNCTION("""COMPUTED_VALUE"""),"Criolla")</f>
        <v>Criolla</v>
      </c>
      <c r="F1445" s="2">
        <f ca="1">IFERROR(__xludf.DUMMYFUNCTION("""COMPUTED_VALUE"""),5000)</f>
        <v>5000</v>
      </c>
      <c r="G1445" s="2">
        <f ca="1">IFERROR(__xludf.DUMMYFUNCTION("""COMPUTED_VALUE"""),70)</f>
        <v>70</v>
      </c>
      <c r="H1445" s="2"/>
      <c r="I1445" s="2"/>
      <c r="J1445" s="2">
        <f ca="1">IFERROR(__xludf.DUMMYFUNCTION("""COMPUTED_VALUE"""),0)</f>
        <v>0</v>
      </c>
      <c r="K1445" s="2">
        <f ca="1">IFERROR(__xludf.DUMMYFUNCTION("""COMPUTED_VALUE"""),5000)</f>
        <v>5000</v>
      </c>
      <c r="L1445" s="2" t="str">
        <f ca="1">IFERROR(__xludf.DUMMYFUNCTION("""COMPUTED_VALUE"""),"6fdc6312")</f>
        <v>6fdc6312</v>
      </c>
      <c r="M1445" s="2" t="str">
        <f ca="1">IFERROR(__xludf.DUMMYFUNCTION("""COMPUTED_VALUE"""),"Criolla Filt")</f>
        <v>Criolla Filt</v>
      </c>
      <c r="N1445" s="2"/>
      <c r="O1445" s="2" t="str">
        <f ca="1">IFERROR(__xludf.DUMMYFUNCTION("""COMPUTED_VALUE"""),"Fermentando")</f>
        <v>Fermentando</v>
      </c>
      <c r="P1445" s="2"/>
      <c r="Q1445" s="2" t="b">
        <f ca="1">IFERROR(__xludf.DUMMYFUNCTION("""COMPUTED_VALUE"""),FALSE)</f>
        <v>0</v>
      </c>
      <c r="R1445" s="2" t="str">
        <f ca="1">IFERROR(__xludf.DUMMYFUNCTION("""COMPUTED_VALUE"""),"Fermentando")</f>
        <v>Fermentando</v>
      </c>
      <c r="S1445" s="2"/>
      <c r="T1445" s="2"/>
      <c r="U1445" s="2"/>
    </row>
    <row r="1446" spans="1:21" x14ac:dyDescent="0.25">
      <c r="A1446" s="2" t="str">
        <f ca="1">IFERROR(__xludf.DUMMYFUNCTION("""COMPUTED_VALUE"""),"129fd69b")</f>
        <v>129fd69b</v>
      </c>
      <c r="B1446" s="5">
        <f ca="1">IFERROR(__xludf.DUMMYFUNCTION("""COMPUTED_VALUE"""),46107.8456712962)</f>
        <v>46107.8456712962</v>
      </c>
      <c r="C1446" s="2" t="str">
        <f ca="1">IFERROR(__xludf.DUMMYFUNCTION("""COMPUTED_VALUE"""),"29e47de6")</f>
        <v>29e47de6</v>
      </c>
      <c r="D1446" s="2">
        <f ca="1">IFERROR(__xludf.DUMMYFUNCTION("""COMPUTED_VALUE"""),12)</f>
        <v>12</v>
      </c>
      <c r="E1446" s="2" t="str">
        <f ca="1">IFERROR(__xludf.DUMMYFUNCTION("""COMPUTED_VALUE"""),"Criolla")</f>
        <v>Criolla</v>
      </c>
      <c r="F1446" s="2">
        <f ca="1">IFERROR(__xludf.DUMMYFUNCTION("""COMPUTED_VALUE"""),1600)</f>
        <v>1600</v>
      </c>
      <c r="G1446" s="2">
        <f ca="1">IFERROR(__xludf.DUMMYFUNCTION("""COMPUTED_VALUE"""),70)</f>
        <v>70</v>
      </c>
      <c r="H1446" s="2" t="str">
        <f ca="1">IFERROR(__xludf.DUMMYFUNCTION("""COMPUTED_VALUE"""),"6fdc6312")</f>
        <v>6fdc6312</v>
      </c>
      <c r="I1446" s="2" t="str">
        <f ca="1">IFERROR(__xludf.DUMMYFUNCTION("""COMPUTED_VALUE"""),"Criolla Filt")</f>
        <v>Criolla Filt</v>
      </c>
      <c r="J1446" s="2">
        <f ca="1">IFERROR(__xludf.DUMMYFUNCTION("""COMPUTED_VALUE"""),5000)</f>
        <v>5000</v>
      </c>
      <c r="K1446" s="2">
        <f ca="1">IFERROR(__xludf.DUMMYFUNCTION("""COMPUTED_VALUE"""),6600)</f>
        <v>6600</v>
      </c>
      <c r="L1446" s="2" t="str">
        <f ca="1">IFERROR(__xludf.DUMMYFUNCTION("""COMPUTED_VALUE"""),"31c21fdb")</f>
        <v>31c21fdb</v>
      </c>
      <c r="M1446" s="2" t="str">
        <f ca="1">IFERROR(__xludf.DUMMYFUNCTION("""COMPUTED_VALUE"""),"Criolla Filt")</f>
        <v>Criolla Filt</v>
      </c>
      <c r="N1446" s="2"/>
      <c r="O1446" s="2" t="str">
        <f ca="1">IFERROR(__xludf.DUMMYFUNCTION("""COMPUTED_VALUE"""),"Fermentando")</f>
        <v>Fermentando</v>
      </c>
      <c r="P1446" s="2" t="str">
        <f ca="1">IFERROR(__xludf.DUMMYFUNCTION("""COMPUTED_VALUE"""),"Fermentando")</f>
        <v>Fermentando</v>
      </c>
      <c r="Q1446" s="2" t="b">
        <f ca="1">IFERROR(__xludf.DUMMYFUNCTION("""COMPUTED_VALUE"""),TRUE)</f>
        <v>1</v>
      </c>
      <c r="R1446" s="2" t="str">
        <f ca="1">IFERROR(__xludf.DUMMYFUNCTION("""COMPUTED_VALUE"""),"Fermentando")</f>
        <v>Fermentando</v>
      </c>
      <c r="S1446" s="2"/>
      <c r="T1446" s="2"/>
      <c r="U1446" s="2"/>
    </row>
    <row r="1447" spans="1:21" x14ac:dyDescent="0.25">
      <c r="A1447" s="2" t="str">
        <f ca="1">IFERROR(__xludf.DUMMYFUNCTION("""COMPUTED_VALUE"""),"52a29d30")</f>
        <v>52a29d30</v>
      </c>
      <c r="B1447" s="5">
        <f ca="1">IFERROR(__xludf.DUMMYFUNCTION("""COMPUTED_VALUE"""),46108.761261574)</f>
        <v>46108.761261574</v>
      </c>
      <c r="C1447" s="2" t="str">
        <f ca="1">IFERROR(__xludf.DUMMYFUNCTION("""COMPUTED_VALUE"""),"d03cb183")</f>
        <v>d03cb183</v>
      </c>
      <c r="D1447" s="2">
        <f ca="1">IFERROR(__xludf.DUMMYFUNCTION("""COMPUTED_VALUE"""),87)</f>
        <v>87</v>
      </c>
      <c r="E1447" s="2" t="str">
        <f ca="1">IFERROR(__xludf.DUMMYFUNCTION("""COMPUTED_VALUE"""),"Syrah Tempranillo")</f>
        <v>Syrah Tempranillo</v>
      </c>
      <c r="F1447" s="2">
        <f ca="1">IFERROR(__xludf.DUMMYFUNCTION("""COMPUTED_VALUE"""),48000)</f>
        <v>48000</v>
      </c>
      <c r="G1447" s="2">
        <f ca="1">IFERROR(__xludf.DUMMYFUNCTION("""COMPUTED_VALUE"""),115)</f>
        <v>115</v>
      </c>
      <c r="H1447" s="2" t="str">
        <f ca="1">IFERROR(__xludf.DUMMYFUNCTION("""COMPUTED_VALUE"""),"2d5185da")</f>
        <v>2d5185da</v>
      </c>
      <c r="I1447" s="2" t="str">
        <f ca="1">IFERROR(__xludf.DUMMYFUNCTION("""COMPUTED_VALUE"""),"Syrah pc")</f>
        <v>Syrah pc</v>
      </c>
      <c r="J1447" s="2">
        <f ca="1">IFERROR(__xludf.DUMMYFUNCTION("""COMPUTED_VALUE"""),30000)</f>
        <v>30000</v>
      </c>
      <c r="K1447" s="2">
        <f ca="1">IFERROR(__xludf.DUMMYFUNCTION("""COMPUTED_VALUE"""),78000)</f>
        <v>78000</v>
      </c>
      <c r="L1447" s="2" t="str">
        <f ca="1">IFERROR(__xludf.DUMMYFUNCTION("""COMPUTED_VALUE"""),"7f660062")</f>
        <v>7f660062</v>
      </c>
      <c r="M1447" s="2" t="str">
        <f ca="1">IFERROR(__xludf.DUMMYFUNCTION("""COMPUTED_VALUE"""),"Syrah")</f>
        <v>Syrah</v>
      </c>
      <c r="N1447" s="2"/>
      <c r="O1447" s="2" t="str">
        <f ca="1">IFERROR(__xludf.DUMMYFUNCTION("""COMPUTED_VALUE"""),"Fermentando")</f>
        <v>Fermentando</v>
      </c>
      <c r="P1447" s="2" t="str">
        <f ca="1">IFERROR(__xludf.DUMMYFUNCTION("""COMPUTED_VALUE"""),"Descubada")</f>
        <v>Descubada</v>
      </c>
      <c r="Q1447" s="2" t="b">
        <f ca="1">IFERROR(__xludf.DUMMYFUNCTION("""COMPUTED_VALUE"""),TRUE)</f>
        <v>1</v>
      </c>
      <c r="R1447" s="2" t="str">
        <f ca="1">IFERROR(__xludf.DUMMYFUNCTION("""COMPUTED_VALUE"""),"Descubada")</f>
        <v>Descubada</v>
      </c>
      <c r="S1447" s="2"/>
      <c r="T1447" s="2"/>
      <c r="U1447" s="2" t="str">
        <f ca="1">IFERROR(__xludf.DUMMYFUNCTION("""COMPUTED_VALUE"""),"1+")</f>
        <v>1+</v>
      </c>
    </row>
    <row r="1448" spans="1:21" x14ac:dyDescent="0.25">
      <c r="A1448" s="2" t="str">
        <f ca="1">IFERROR(__xludf.DUMMYFUNCTION("""COMPUTED_VALUE"""),"4f2d84cf")</f>
        <v>4f2d84cf</v>
      </c>
      <c r="B1448" s="5">
        <f ca="1">IFERROR(__xludf.DUMMYFUNCTION("""COMPUTED_VALUE"""),46111.6548263888)</f>
        <v>46111.654826388803</v>
      </c>
      <c r="C1448" s="2" t="str">
        <f ca="1">IFERROR(__xludf.DUMMYFUNCTION("""COMPUTED_VALUE"""),"1670daf6")</f>
        <v>1670daf6</v>
      </c>
      <c r="D1448" s="2">
        <f ca="1">IFERROR(__xludf.DUMMYFUNCTION("""COMPUTED_VALUE"""),85)</f>
        <v>85</v>
      </c>
      <c r="E1448" s="2" t="str">
        <f ca="1">IFERROR(__xludf.DUMMYFUNCTION("""COMPUTED_VALUE"""),"Syrah")</f>
        <v>Syrah</v>
      </c>
      <c r="F1448" s="2">
        <f ca="1">IFERROR(__xludf.DUMMYFUNCTION("""COMPUTED_VALUE"""),42200)</f>
        <v>42200</v>
      </c>
      <c r="G1448" s="2">
        <f ca="1">IFERROR(__xludf.DUMMYFUNCTION("""COMPUTED_VALUE"""),115)</f>
        <v>115</v>
      </c>
      <c r="H1448" s="2" t="str">
        <f ca="1">IFERROR(__xludf.DUMMYFUNCTION("""COMPUTED_VALUE"""),"7f660062")</f>
        <v>7f660062</v>
      </c>
      <c r="I1448" s="2" t="str">
        <f ca="1">IFERROR(__xludf.DUMMYFUNCTION("""COMPUTED_VALUE"""),"Syrah")</f>
        <v>Syrah</v>
      </c>
      <c r="J1448" s="2">
        <f ca="1">IFERROR(__xludf.DUMMYFUNCTION("""COMPUTED_VALUE"""),78000)</f>
        <v>78000</v>
      </c>
      <c r="K1448" s="2">
        <f ca="1">IFERROR(__xludf.DUMMYFUNCTION("""COMPUTED_VALUE"""),120200)</f>
        <v>120200</v>
      </c>
      <c r="L1448" s="2" t="str">
        <f ca="1">IFERROR(__xludf.DUMMYFUNCTION("""COMPUTED_VALUE"""),"8923dcaa")</f>
        <v>8923dcaa</v>
      </c>
      <c r="M1448" s="2" t="str">
        <f ca="1">IFERROR(__xludf.DUMMYFUNCTION("""COMPUTED_VALUE"""),"Syrah")</f>
        <v>Syrah</v>
      </c>
      <c r="N1448" s="2" t="str">
        <f ca="1">IFERROR(__xludf.DUMMYFUNCTION("""COMPUTED_VALUE"""),"Descube")</f>
        <v>Descube</v>
      </c>
      <c r="O1448" s="2" t="str">
        <f ca="1">IFERROR(__xludf.DUMMYFUNCTION("""COMPUTED_VALUE"""),"Fermentando")</f>
        <v>Fermentando</v>
      </c>
      <c r="P1448" s="2" t="str">
        <f ca="1">IFERROR(__xludf.DUMMYFUNCTION("""COMPUTED_VALUE"""),"Descubada")</f>
        <v>Descubada</v>
      </c>
      <c r="Q1448" s="2" t="b">
        <f ca="1">IFERROR(__xludf.DUMMYFUNCTION("""COMPUTED_VALUE"""),TRUE)</f>
        <v>1</v>
      </c>
      <c r="R1448" s="2" t="str">
        <f ca="1">IFERROR(__xludf.DUMMYFUNCTION("""COMPUTED_VALUE"""),"Descubada")</f>
        <v>Descubada</v>
      </c>
      <c r="S1448" s="2"/>
      <c r="T1448" s="2"/>
      <c r="U1448" s="2" t="str">
        <f ca="1">IFERROR(__xludf.DUMMYFUNCTION("""COMPUTED_VALUE"""),"1+")</f>
        <v>1+</v>
      </c>
    </row>
    <row r="1449" spans="1:21" x14ac:dyDescent="0.25">
      <c r="A1449" s="2" t="str">
        <f ca="1">IFERROR(__xludf.DUMMYFUNCTION("""COMPUTED_VALUE"""),"a86079d2")</f>
        <v>a86079d2</v>
      </c>
      <c r="B1449" s="5">
        <f ca="1">IFERROR(__xludf.DUMMYFUNCTION("""COMPUTED_VALUE"""),46111.7428819444)</f>
        <v>46111.742881944403</v>
      </c>
      <c r="C1449" s="2" t="str">
        <f ca="1">IFERROR(__xludf.DUMMYFUNCTION("""COMPUTED_VALUE"""),"990d3af1")</f>
        <v>990d3af1</v>
      </c>
      <c r="D1449" s="2">
        <f ca="1">IFERROR(__xludf.DUMMYFUNCTION("""COMPUTED_VALUE"""),90)</f>
        <v>90</v>
      </c>
      <c r="E1449" s="2" t="str">
        <f ca="1">IFERROR(__xludf.DUMMYFUNCTION("""COMPUTED_VALUE"""),"Syrah Bonarda")</f>
        <v>Syrah Bonarda</v>
      </c>
      <c r="F1449" s="2">
        <f ca="1">IFERROR(__xludf.DUMMYFUNCTION("""COMPUTED_VALUE"""),-6100)</f>
        <v>-6100</v>
      </c>
      <c r="G1449" s="2">
        <f ca="1">IFERROR(__xludf.DUMMYFUNCTION("""COMPUTED_VALUE"""),5)</f>
        <v>5</v>
      </c>
      <c r="H1449" s="2" t="str">
        <f ca="1">IFERROR(__xludf.DUMMYFUNCTION("""COMPUTED_VALUE"""),"e935964c")</f>
        <v>e935964c</v>
      </c>
      <c r="I1449" s="2" t="str">
        <f ca="1">IFERROR(__xludf.DUMMYFUNCTION("""COMPUTED_VALUE"""),"Cabernet Sauvignon Rect")</f>
        <v>Cabernet Sauvignon Rect</v>
      </c>
      <c r="J1449" s="2">
        <f ca="1">IFERROR(__xludf.DUMMYFUNCTION("""COMPUTED_VALUE"""),6100)</f>
        <v>6100</v>
      </c>
      <c r="K1449" s="2">
        <f ca="1">IFERROR(__xludf.DUMMYFUNCTION("""COMPUTED_VALUE"""),0)</f>
        <v>0</v>
      </c>
      <c r="L1449" s="2" t="str">
        <f ca="1">IFERROR(__xludf.DUMMYFUNCTION("""COMPUTED_VALUE"""),"685824c7")</f>
        <v>685824c7</v>
      </c>
      <c r="M1449" s="2" t="str">
        <f ca="1">IFERROR(__xludf.DUMMYFUNCTION("""COMPUTED_VALUE"""),"Cabernet Sauvignon Rect")</f>
        <v>Cabernet Sauvignon Rect</v>
      </c>
      <c r="N1449" s="2"/>
      <c r="O1449" s="2" t="str">
        <f ca="1">IFERROR(__xludf.DUMMYFUNCTION("""COMPUTED_VALUE"""),"Fermentando")</f>
        <v>Fermentando</v>
      </c>
      <c r="P1449" s="2" t="str">
        <f ca="1">IFERROR(__xludf.DUMMYFUNCTION("""COMPUTED_VALUE"""),"Rectificado")</f>
        <v>Rectificado</v>
      </c>
      <c r="Q1449" s="2" t="b">
        <f ca="1">IFERROR(__xludf.DUMMYFUNCTION("""COMPUTED_VALUE"""),TRUE)</f>
        <v>1</v>
      </c>
      <c r="R1449" s="2" t="str">
        <f ca="1">IFERROR(__xludf.DUMMYFUNCTION("""COMPUTED_VALUE"""),"Rectificado")</f>
        <v>Rectificado</v>
      </c>
      <c r="S1449" s="2"/>
      <c r="T1449" s="2"/>
      <c r="U1449" s="2" t="str">
        <f ca="1">IFERROR(__xludf.DUMMYFUNCTION("""COMPUTED_VALUE"""),"1")</f>
        <v>1</v>
      </c>
    </row>
    <row r="1450" spans="1:21" x14ac:dyDescent="0.25">
      <c r="A1450" s="2" t="str">
        <f ca="1">IFERROR(__xludf.DUMMYFUNCTION("""COMPUTED_VALUE"""),"7ba67ac2")</f>
        <v>7ba67ac2</v>
      </c>
      <c r="B1450" s="5">
        <f ca="1">IFERROR(__xludf.DUMMYFUNCTION("""COMPUTED_VALUE"""),46111.7443634259)</f>
        <v>46111.744363425903</v>
      </c>
      <c r="C1450" s="2" t="str">
        <f ca="1">IFERROR(__xludf.DUMMYFUNCTION("""COMPUTED_VALUE"""),"1670daf6")</f>
        <v>1670daf6</v>
      </c>
      <c r="D1450" s="2">
        <f ca="1">IFERROR(__xludf.DUMMYFUNCTION("""COMPUTED_VALUE"""),85)</f>
        <v>85</v>
      </c>
      <c r="E1450" s="2" t="str">
        <f ca="1">IFERROR(__xludf.DUMMYFUNCTION("""COMPUTED_VALUE"""),"Syrah")</f>
        <v>Syrah</v>
      </c>
      <c r="F1450" s="2">
        <f ca="1">IFERROR(__xludf.DUMMYFUNCTION("""COMPUTED_VALUE"""),16800)</f>
        <v>16800</v>
      </c>
      <c r="G1450" s="2">
        <f ca="1">IFERROR(__xludf.DUMMYFUNCTION("""COMPUTED_VALUE"""),5)</f>
        <v>5</v>
      </c>
      <c r="H1450" s="2"/>
      <c r="I1450" s="2"/>
      <c r="J1450" s="2">
        <f ca="1">IFERROR(__xludf.DUMMYFUNCTION("""COMPUTED_VALUE"""),0)</f>
        <v>0</v>
      </c>
      <c r="K1450" s="2">
        <f ca="1">IFERROR(__xludf.DUMMYFUNCTION("""COMPUTED_VALUE"""),16800)</f>
        <v>16800</v>
      </c>
      <c r="L1450" s="2" t="str">
        <f ca="1">IFERROR(__xludf.DUMMYFUNCTION("""COMPUTED_VALUE"""),"4f1e42df")</f>
        <v>4f1e42df</v>
      </c>
      <c r="M1450" s="2" t="str">
        <f ca="1">IFERROR(__xludf.DUMMYFUNCTION("""COMPUTED_VALUE"""),"Syrah")</f>
        <v>Syrah</v>
      </c>
      <c r="N1450" s="2"/>
      <c r="O1450" s="2" t="str">
        <f ca="1">IFERROR(__xludf.DUMMYFUNCTION("""COMPUTED_VALUE"""),"Fermentando")</f>
        <v>Fermentando</v>
      </c>
      <c r="P1450" s="2"/>
      <c r="Q1450" s="2" t="b">
        <f ca="1">IFERROR(__xludf.DUMMYFUNCTION("""COMPUTED_VALUE"""),FALSE)</f>
        <v>0</v>
      </c>
      <c r="R1450" s="2" t="str">
        <f ca="1">IFERROR(__xludf.DUMMYFUNCTION("""COMPUTED_VALUE"""),"Descubada")</f>
        <v>Descubada</v>
      </c>
      <c r="S1450" s="2"/>
      <c r="T1450" s="2"/>
      <c r="U1450" s="2" t="str">
        <f ca="1">IFERROR(__xludf.DUMMYFUNCTION("""COMPUTED_VALUE"""),"1+")</f>
        <v>1+</v>
      </c>
    </row>
    <row r="1451" spans="1:21" x14ac:dyDescent="0.25">
      <c r="A1451" s="2" t="str">
        <f ca="1">IFERROR(__xludf.DUMMYFUNCTION("""COMPUTED_VALUE"""),"00bb37e8")</f>
        <v>00bb37e8</v>
      </c>
      <c r="B1451" s="5">
        <f ca="1">IFERROR(__xludf.DUMMYFUNCTION("""COMPUTED_VALUE"""),46111.7652430555)</f>
        <v>46111.765243055503</v>
      </c>
      <c r="C1451" s="2" t="str">
        <f ca="1">IFERROR(__xludf.DUMMYFUNCTION("""COMPUTED_VALUE"""),"a0c53502")</f>
        <v>a0c53502</v>
      </c>
      <c r="D1451" s="2">
        <f ca="1">IFERROR(__xludf.DUMMYFUNCTION("""COMPUTED_VALUE"""),83)</f>
        <v>83</v>
      </c>
      <c r="E1451" s="2" t="str">
        <f ca="1">IFERROR(__xludf.DUMMYFUNCTION("""COMPUTED_VALUE"""),"Cabernet Sau")</f>
        <v>Cabernet Sau</v>
      </c>
      <c r="F1451" s="2">
        <f ca="1">IFERROR(__xludf.DUMMYFUNCTION("""COMPUTED_VALUE"""),5000)</f>
        <v>5000</v>
      </c>
      <c r="G1451" s="2">
        <f ca="1">IFERROR(__xludf.DUMMYFUNCTION("""COMPUTED_VALUE"""),89)</f>
        <v>89</v>
      </c>
      <c r="H1451" s="2" t="str">
        <f ca="1">IFERROR(__xludf.DUMMYFUNCTION("""COMPUTED_VALUE"""),"aedafca4")</f>
        <v>aedafca4</v>
      </c>
      <c r="I1451" s="2" t="str">
        <f ca="1">IFERROR(__xludf.DUMMYFUNCTION("""COMPUTED_VALUE"""),"Malbec")</f>
        <v>Malbec</v>
      </c>
      <c r="J1451" s="2">
        <f ca="1">IFERROR(__xludf.DUMMYFUNCTION("""COMPUTED_VALUE"""),34400)</f>
        <v>34400</v>
      </c>
      <c r="K1451" s="2">
        <f ca="1">IFERROR(__xludf.DUMMYFUNCTION("""COMPUTED_VALUE"""),39400)</f>
        <v>39400</v>
      </c>
      <c r="L1451" s="2" t="str">
        <f ca="1">IFERROR(__xludf.DUMMYFUNCTION("""COMPUTED_VALUE"""),"3c4bd290")</f>
        <v>3c4bd290</v>
      </c>
      <c r="M1451" s="2" t="str">
        <f ca="1">IFERROR(__xludf.DUMMYFUNCTION("""COMPUTED_VALUE"""),"Malbec pc")</f>
        <v>Malbec pc</v>
      </c>
      <c r="N1451" s="2" t="str">
        <f ca="1">IFERROR(__xludf.DUMMYFUNCTION("""COMPUTED_VALUE"""),"pie de cuba")</f>
        <v>pie de cuba</v>
      </c>
      <c r="O1451" s="2" t="str">
        <f ca="1">IFERROR(__xludf.DUMMYFUNCTION("""COMPUTED_VALUE"""),"Fermentando")</f>
        <v>Fermentando</v>
      </c>
      <c r="P1451" s="2" t="str">
        <f ca="1">IFERROR(__xludf.DUMMYFUNCTION("""COMPUTED_VALUE"""),"Fermentando")</f>
        <v>Fermentando</v>
      </c>
      <c r="Q1451" s="2" t="b">
        <f ca="1">IFERROR(__xludf.DUMMYFUNCTION("""COMPUTED_VALUE"""),TRUE)</f>
        <v>1</v>
      </c>
      <c r="R1451" s="2" t="str">
        <f ca="1">IFERROR(__xludf.DUMMYFUNCTION("""COMPUTED_VALUE"""),"Fermentando")</f>
        <v>Fermentando</v>
      </c>
      <c r="S1451" s="2"/>
      <c r="T1451" s="2"/>
      <c r="U1451" s="2"/>
    </row>
    <row r="1452" spans="1:21" x14ac:dyDescent="0.25">
      <c r="A1452" s="2" t="str">
        <f ca="1">IFERROR(__xludf.DUMMYFUNCTION("""COMPUTED_VALUE"""),"bac8d2b0")</f>
        <v>bac8d2b0</v>
      </c>
      <c r="B1452" s="5">
        <f ca="1">IFERROR(__xludf.DUMMYFUNCTION("""COMPUTED_VALUE"""),46111.7658101851)</f>
        <v>46111.765810185098</v>
      </c>
      <c r="C1452" s="2" t="str">
        <f ca="1">IFERROR(__xludf.DUMMYFUNCTION("""COMPUTED_VALUE"""),"a0c53502")</f>
        <v>a0c53502</v>
      </c>
      <c r="D1452" s="2">
        <f ca="1">IFERROR(__xludf.DUMMYFUNCTION("""COMPUTED_VALUE"""),83)</f>
        <v>83</v>
      </c>
      <c r="E1452" s="2" t="str">
        <f ca="1">IFERROR(__xludf.DUMMYFUNCTION("""COMPUTED_VALUE"""),"Cabernet Sau")</f>
        <v>Cabernet Sau</v>
      </c>
      <c r="F1452" s="2">
        <f ca="1">IFERROR(__xludf.DUMMYFUNCTION("""COMPUTED_VALUE"""),2500)</f>
        <v>2500</v>
      </c>
      <c r="G1452" s="2">
        <f ca="1">IFERROR(__xludf.DUMMYFUNCTION("""COMPUTED_VALUE"""),82)</f>
        <v>82</v>
      </c>
      <c r="H1452" s="2" t="str">
        <f ca="1">IFERROR(__xludf.DUMMYFUNCTION("""COMPUTED_VALUE"""),"5c732619")</f>
        <v>5c732619</v>
      </c>
      <c r="I1452" s="2" t="str">
        <f ca="1">IFERROR(__xludf.DUMMYFUNCTION("""COMPUTED_VALUE"""),"Bonarda")</f>
        <v>Bonarda</v>
      </c>
      <c r="J1452" s="2">
        <f ca="1">IFERROR(__xludf.DUMMYFUNCTION("""COMPUTED_VALUE"""),29000)</f>
        <v>29000</v>
      </c>
      <c r="K1452" s="2">
        <f ca="1">IFERROR(__xludf.DUMMYFUNCTION("""COMPUTED_VALUE"""),31500)</f>
        <v>31500</v>
      </c>
      <c r="L1452" s="2" t="str">
        <f ca="1">IFERROR(__xludf.DUMMYFUNCTION("""COMPUTED_VALUE"""),"4a77f14f")</f>
        <v>4a77f14f</v>
      </c>
      <c r="M1452" s="2" t="str">
        <f ca="1">IFERROR(__xludf.DUMMYFUNCTION("""COMPUTED_VALUE"""),"Bonarda PC")</f>
        <v>Bonarda PC</v>
      </c>
      <c r="N1452" s="2" t="str">
        <f ca="1">IFERROR(__xludf.DUMMYFUNCTION("""COMPUTED_VALUE"""),"Pie de cuba")</f>
        <v>Pie de cuba</v>
      </c>
      <c r="O1452" s="2" t="str">
        <f ca="1">IFERROR(__xludf.DUMMYFUNCTION("""COMPUTED_VALUE"""),"Fermentando")</f>
        <v>Fermentando</v>
      </c>
      <c r="P1452" s="2" t="str">
        <f ca="1">IFERROR(__xludf.DUMMYFUNCTION("""COMPUTED_VALUE"""),"Fermentando")</f>
        <v>Fermentando</v>
      </c>
      <c r="Q1452" s="2" t="b">
        <f ca="1">IFERROR(__xludf.DUMMYFUNCTION("""COMPUTED_VALUE"""),TRUE)</f>
        <v>1</v>
      </c>
      <c r="R1452" s="2" t="str">
        <f ca="1">IFERROR(__xludf.DUMMYFUNCTION("""COMPUTED_VALUE"""),"Fermentando")</f>
        <v>Fermentando</v>
      </c>
      <c r="S1452" s="2"/>
      <c r="T1452" s="2"/>
      <c r="U1452" s="2"/>
    </row>
    <row r="1453" spans="1:21" x14ac:dyDescent="0.25">
      <c r="A1453" s="2" t="str">
        <f ca="1">IFERROR(__xludf.DUMMYFUNCTION("""COMPUTED_VALUE"""),"5ba2c9f9")</f>
        <v>5ba2c9f9</v>
      </c>
      <c r="B1453" s="5">
        <f ca="1">IFERROR(__xludf.DUMMYFUNCTION("""COMPUTED_VALUE"""),46111.7662731481)</f>
        <v>46111.766273148103</v>
      </c>
      <c r="C1453" s="2" t="str">
        <f ca="1">IFERROR(__xludf.DUMMYFUNCTION("""COMPUTED_VALUE"""),"a0c53502")</f>
        <v>a0c53502</v>
      </c>
      <c r="D1453" s="2">
        <f ca="1">IFERROR(__xludf.DUMMYFUNCTION("""COMPUTED_VALUE"""),83)</f>
        <v>83</v>
      </c>
      <c r="E1453" s="2" t="str">
        <f ca="1">IFERROR(__xludf.DUMMYFUNCTION("""COMPUTED_VALUE"""),"Cabernet Sau")</f>
        <v>Cabernet Sau</v>
      </c>
      <c r="F1453" s="2">
        <f ca="1">IFERROR(__xludf.DUMMYFUNCTION("""COMPUTED_VALUE"""),2000)</f>
        <v>2000</v>
      </c>
      <c r="G1453" s="2">
        <f ca="1">IFERROR(__xludf.DUMMYFUNCTION("""COMPUTED_VALUE"""),81)</f>
        <v>81</v>
      </c>
      <c r="H1453" s="2" t="str">
        <f ca="1">IFERROR(__xludf.DUMMYFUNCTION("""COMPUTED_VALUE"""),"51258d47")</f>
        <v>51258d47</v>
      </c>
      <c r="I1453" s="2" t="str">
        <f ca="1">IFERROR(__xludf.DUMMYFUNCTION("""COMPUTED_VALUE"""),"Malbec")</f>
        <v>Malbec</v>
      </c>
      <c r="J1453" s="2">
        <f ca="1">IFERROR(__xludf.DUMMYFUNCTION("""COMPUTED_VALUE"""),14500)</f>
        <v>14500</v>
      </c>
      <c r="K1453" s="2">
        <f ca="1">IFERROR(__xludf.DUMMYFUNCTION("""COMPUTED_VALUE"""),16500)</f>
        <v>16500</v>
      </c>
      <c r="L1453" s="2" t="str">
        <f ca="1">IFERROR(__xludf.DUMMYFUNCTION("""COMPUTED_VALUE"""),"cd07b237")</f>
        <v>cd07b237</v>
      </c>
      <c r="M1453" s="2" t="str">
        <f ca="1">IFERROR(__xludf.DUMMYFUNCTION("""COMPUTED_VALUE"""),"Malbec PC")</f>
        <v>Malbec PC</v>
      </c>
      <c r="N1453" s="2" t="str">
        <f ca="1">IFERROR(__xludf.DUMMYFUNCTION("""COMPUTED_VALUE"""),"Pie de cuba")</f>
        <v>Pie de cuba</v>
      </c>
      <c r="O1453" s="2" t="str">
        <f ca="1">IFERROR(__xludf.DUMMYFUNCTION("""COMPUTED_VALUE"""),"Fermentando")</f>
        <v>Fermentando</v>
      </c>
      <c r="P1453" s="2" t="str">
        <f ca="1">IFERROR(__xludf.DUMMYFUNCTION("""COMPUTED_VALUE"""),"Fermentando")</f>
        <v>Fermentando</v>
      </c>
      <c r="Q1453" s="2" t="b">
        <f ca="1">IFERROR(__xludf.DUMMYFUNCTION("""COMPUTED_VALUE"""),TRUE)</f>
        <v>1</v>
      </c>
      <c r="R1453" s="2" t="str">
        <f ca="1">IFERROR(__xludf.DUMMYFUNCTION("""COMPUTED_VALUE"""),"Fermentando")</f>
        <v>Fermentando</v>
      </c>
      <c r="S1453" s="2"/>
      <c r="T1453" s="2"/>
      <c r="U1453" s="2"/>
    </row>
    <row r="1454" spans="1:21" x14ac:dyDescent="0.25">
      <c r="A1454" s="2" t="str">
        <f ca="1">IFERROR(__xludf.DUMMYFUNCTION("""COMPUTED_VALUE"""),"a2c84dc4")</f>
        <v>a2c84dc4</v>
      </c>
      <c r="B1454" s="5">
        <f ca="1">IFERROR(__xludf.DUMMYFUNCTION("""COMPUTED_VALUE"""),46111.780324074)</f>
        <v>46111.780324074003</v>
      </c>
      <c r="C1454" s="2" t="str">
        <f ca="1">IFERROR(__xludf.DUMMYFUNCTION("""COMPUTED_VALUE"""),"3c4bd290")</f>
        <v>3c4bd290</v>
      </c>
      <c r="D1454" s="2">
        <f ca="1">IFERROR(__xludf.DUMMYFUNCTION("""COMPUTED_VALUE"""),89)</f>
        <v>89</v>
      </c>
      <c r="E1454" s="2" t="str">
        <f ca="1">IFERROR(__xludf.DUMMYFUNCTION("""COMPUTED_VALUE"""),"Malbec pc")</f>
        <v>Malbec pc</v>
      </c>
      <c r="F1454" s="2">
        <f ca="1">IFERROR(__xludf.DUMMYFUNCTION("""COMPUTED_VALUE"""),2000)</f>
        <v>2000</v>
      </c>
      <c r="G1454" s="2">
        <f ca="1">IFERROR(__xludf.DUMMYFUNCTION("""COMPUTED_VALUE"""),67)</f>
        <v>67</v>
      </c>
      <c r="H1454" s="2" t="str">
        <f ca="1">IFERROR(__xludf.DUMMYFUNCTION("""COMPUTED_VALUE"""),"a08798fe")</f>
        <v>a08798fe</v>
      </c>
      <c r="I1454" s="2" t="str">
        <f ca="1">IFERROR(__xludf.DUMMYFUNCTION("""COMPUTED_VALUE"""),"Bonarda")</f>
        <v>Bonarda</v>
      </c>
      <c r="J1454" s="2">
        <f ca="1">IFERROR(__xludf.DUMMYFUNCTION("""COMPUTED_VALUE"""),15100)</f>
        <v>15100</v>
      </c>
      <c r="K1454" s="2">
        <f ca="1">IFERROR(__xludf.DUMMYFUNCTION("""COMPUTED_VALUE"""),17100)</f>
        <v>17100</v>
      </c>
      <c r="L1454" s="2" t="str">
        <f ca="1">IFERROR(__xludf.DUMMYFUNCTION("""COMPUTED_VALUE"""),"8267c94a")</f>
        <v>8267c94a</v>
      </c>
      <c r="M1454" s="2" t="str">
        <f ca="1">IFERROR(__xludf.DUMMYFUNCTION("""COMPUTED_VALUE"""),"Bonarda PC")</f>
        <v>Bonarda PC</v>
      </c>
      <c r="N1454" s="2" t="str">
        <f ca="1">IFERROR(__xludf.DUMMYFUNCTION("""COMPUTED_VALUE"""),"Pie de cuba")</f>
        <v>Pie de cuba</v>
      </c>
      <c r="O1454" s="2" t="str">
        <f ca="1">IFERROR(__xludf.DUMMYFUNCTION("""COMPUTED_VALUE"""),"Fermentando")</f>
        <v>Fermentando</v>
      </c>
      <c r="P1454" s="2" t="str">
        <f ca="1">IFERROR(__xludf.DUMMYFUNCTION("""COMPUTED_VALUE"""),"Fermentando")</f>
        <v>Fermentando</v>
      </c>
      <c r="Q1454" s="2" t="b">
        <f ca="1">IFERROR(__xludf.DUMMYFUNCTION("""COMPUTED_VALUE"""),TRUE)</f>
        <v>1</v>
      </c>
      <c r="R1454" s="2" t="str">
        <f ca="1">IFERROR(__xludf.DUMMYFUNCTION("""COMPUTED_VALUE"""),"Fermentando")</f>
        <v>Fermentando</v>
      </c>
      <c r="S1454" s="2"/>
      <c r="T1454" s="2"/>
      <c r="U1454" s="2"/>
    </row>
    <row r="1455" spans="1:21" x14ac:dyDescent="0.25">
      <c r="A1455" s="2" t="str">
        <f ca="1">IFERROR(__xludf.DUMMYFUNCTION("""COMPUTED_VALUE"""),"2eed29e2")</f>
        <v>2eed29e2</v>
      </c>
      <c r="B1455" s="5">
        <f ca="1">IFERROR(__xludf.DUMMYFUNCTION("""COMPUTED_VALUE"""),46111.7809953703)</f>
        <v>46111.780995370304</v>
      </c>
      <c r="C1455" s="2" t="str">
        <f ca="1">IFERROR(__xludf.DUMMYFUNCTION("""COMPUTED_VALUE"""),"8267c94a")</f>
        <v>8267c94a</v>
      </c>
      <c r="D1455" s="2">
        <f ca="1">IFERROR(__xludf.DUMMYFUNCTION("""COMPUTED_VALUE"""),67)</f>
        <v>67</v>
      </c>
      <c r="E1455" s="2" t="str">
        <f ca="1">IFERROR(__xludf.DUMMYFUNCTION("""COMPUTED_VALUE"""),"Bonarda PC")</f>
        <v>Bonarda PC</v>
      </c>
      <c r="F1455" s="2">
        <f ca="1">IFERROR(__xludf.DUMMYFUNCTION("""COMPUTED_VALUE"""),-6000)</f>
        <v>-6000</v>
      </c>
      <c r="G1455" s="2">
        <f ca="1">IFERROR(__xludf.DUMMYFUNCTION("""COMPUTED_VALUE"""),9)</f>
        <v>9</v>
      </c>
      <c r="H1455" s="2" t="str">
        <f ca="1">IFERROR(__xludf.DUMMYFUNCTION("""COMPUTED_VALUE"""),"b715f41c")</f>
        <v>b715f41c</v>
      </c>
      <c r="I1455" s="2" t="str">
        <f ca="1">IFERROR(__xludf.DUMMYFUNCTION("""COMPUTED_VALUE"""),"Malbec Rect")</f>
        <v>Malbec Rect</v>
      </c>
      <c r="J1455" s="2">
        <f ca="1">IFERROR(__xludf.DUMMYFUNCTION("""COMPUTED_VALUE"""),2900)</f>
        <v>2900</v>
      </c>
      <c r="K1455" s="2">
        <f ca="1">IFERROR(__xludf.DUMMYFUNCTION("""COMPUTED_VALUE"""),-3100)</f>
        <v>-3100</v>
      </c>
      <c r="L1455" s="2" t="str">
        <f ca="1">IFERROR(__xludf.DUMMYFUNCTION("""COMPUTED_VALUE"""),"b8a1b7b0")</f>
        <v>b8a1b7b0</v>
      </c>
      <c r="M1455" s="2" t="str">
        <f ca="1">IFERROR(__xludf.DUMMYFUNCTION("""COMPUTED_VALUE"""),"Malbec Rect")</f>
        <v>Malbec Rect</v>
      </c>
      <c r="N1455" s="2"/>
      <c r="O1455" s="2" t="str">
        <f ca="1">IFERROR(__xludf.DUMMYFUNCTION("""COMPUTED_VALUE"""),"Fermentando")</f>
        <v>Fermentando</v>
      </c>
      <c r="P1455" s="2" t="str">
        <f ca="1">IFERROR(__xludf.DUMMYFUNCTION("""COMPUTED_VALUE"""),"Rectificado")</f>
        <v>Rectificado</v>
      </c>
      <c r="Q1455" s="2" t="b">
        <f ca="1">IFERROR(__xludf.DUMMYFUNCTION("""COMPUTED_VALUE"""),TRUE)</f>
        <v>1</v>
      </c>
      <c r="R1455" s="2" t="str">
        <f ca="1">IFERROR(__xludf.DUMMYFUNCTION("""COMPUTED_VALUE"""),"Rectificado")</f>
        <v>Rectificado</v>
      </c>
      <c r="S1455" s="2"/>
      <c r="T1455" s="2"/>
      <c r="U1455" s="2" t="str">
        <f ca="1">IFERROR(__xludf.DUMMYFUNCTION("""COMPUTED_VALUE"""),"1-")</f>
        <v>1-</v>
      </c>
    </row>
    <row r="1456" spans="1:21" x14ac:dyDescent="0.25">
      <c r="A1456" s="2" t="str">
        <f ca="1">IFERROR(__xludf.DUMMYFUNCTION("""COMPUTED_VALUE"""),"402608c3")</f>
        <v>402608c3</v>
      </c>
      <c r="B1456" s="5">
        <f ca="1">IFERROR(__xludf.DUMMYFUNCTION("""COMPUTED_VALUE"""),46111.7818171296)</f>
        <v>46111.781817129602</v>
      </c>
      <c r="C1456" s="2" t="str">
        <f ca="1">IFERROR(__xludf.DUMMYFUNCTION("""COMPUTED_VALUE"""),"990d3af1")</f>
        <v>990d3af1</v>
      </c>
      <c r="D1456" s="2">
        <f ca="1">IFERROR(__xludf.DUMMYFUNCTION("""COMPUTED_VALUE"""),90)</f>
        <v>90</v>
      </c>
      <c r="E1456" s="2" t="str">
        <f ca="1">IFERROR(__xludf.DUMMYFUNCTION("""COMPUTED_VALUE"""),"Syrah Bonarda")</f>
        <v>Syrah Bonarda</v>
      </c>
      <c r="F1456" s="2">
        <f ca="1">IFERROR(__xludf.DUMMYFUNCTION("""COMPUTED_VALUE"""),13200)</f>
        <v>13200</v>
      </c>
      <c r="G1456" s="2">
        <f ca="1">IFERROR(__xludf.DUMMYFUNCTION("""COMPUTED_VALUE"""),5)</f>
        <v>5</v>
      </c>
      <c r="H1456" s="2" t="str">
        <f ca="1">IFERROR(__xludf.DUMMYFUNCTION("""COMPUTED_VALUE"""),"4f1e42df")</f>
        <v>4f1e42df</v>
      </c>
      <c r="I1456" s="2" t="str">
        <f ca="1">IFERROR(__xludf.DUMMYFUNCTION("""COMPUTED_VALUE"""),"Syrah")</f>
        <v>Syrah</v>
      </c>
      <c r="J1456" s="2">
        <f ca="1">IFERROR(__xludf.DUMMYFUNCTION("""COMPUTED_VALUE"""),16800)</f>
        <v>16800</v>
      </c>
      <c r="K1456" s="2">
        <f ca="1">IFERROR(__xludf.DUMMYFUNCTION("""COMPUTED_VALUE"""),30000)</f>
        <v>30000</v>
      </c>
      <c r="L1456" s="2" t="str">
        <f ca="1">IFERROR(__xludf.DUMMYFUNCTION("""COMPUTED_VALUE"""),"13d2ef6f")</f>
        <v>13d2ef6f</v>
      </c>
      <c r="M1456" s="2" t="str">
        <f ca="1">IFERROR(__xludf.DUMMYFUNCTION("""COMPUTED_VALUE"""),"Syrah")</f>
        <v>Syrah</v>
      </c>
      <c r="N1456" s="2"/>
      <c r="O1456" s="2" t="str">
        <f ca="1">IFERROR(__xludf.DUMMYFUNCTION("""COMPUTED_VALUE"""),"Fermentando")</f>
        <v>Fermentando</v>
      </c>
      <c r="P1456" s="2" t="str">
        <f ca="1">IFERROR(__xludf.DUMMYFUNCTION("""COMPUTED_VALUE"""),"Descubada")</f>
        <v>Descubada</v>
      </c>
      <c r="Q1456" s="2" t="b">
        <f ca="1">IFERROR(__xludf.DUMMYFUNCTION("""COMPUTED_VALUE"""),TRUE)</f>
        <v>1</v>
      </c>
      <c r="R1456" s="2" t="str">
        <f ca="1">IFERROR(__xludf.DUMMYFUNCTION("""COMPUTED_VALUE"""),"Descubada")</f>
        <v>Descubada</v>
      </c>
      <c r="S1456" s="2"/>
      <c r="T1456" s="2"/>
      <c r="U1456" s="2" t="str">
        <f ca="1">IFERROR(__xludf.DUMMYFUNCTION("""COMPUTED_VALUE"""),"1+")</f>
        <v>1+</v>
      </c>
    </row>
    <row r="1457" spans="1:21" x14ac:dyDescent="0.25">
      <c r="A1457" s="2" t="str">
        <f ca="1">IFERROR(__xludf.DUMMYFUNCTION("""COMPUTED_VALUE"""),"7d98fa80")</f>
        <v>7d98fa80</v>
      </c>
      <c r="B1457" s="5">
        <f ca="1">IFERROR(__xludf.DUMMYFUNCTION("""COMPUTED_VALUE"""),46111.7822106481)</f>
        <v>46111.782210648104</v>
      </c>
      <c r="C1457" s="2" t="str">
        <f ca="1">IFERROR(__xludf.DUMMYFUNCTION("""COMPUTED_VALUE"""),"990d3af1")</f>
        <v>990d3af1</v>
      </c>
      <c r="D1457" s="2">
        <f ca="1">IFERROR(__xludf.DUMMYFUNCTION("""COMPUTED_VALUE"""),90)</f>
        <v>90</v>
      </c>
      <c r="E1457" s="2" t="str">
        <f ca="1">IFERROR(__xludf.DUMMYFUNCTION("""COMPUTED_VALUE"""),"Syrah Bonarda")</f>
        <v>Syrah Bonarda</v>
      </c>
      <c r="F1457" s="2">
        <f ca="1">IFERROR(__xludf.DUMMYFUNCTION("""COMPUTED_VALUE"""),55400)</f>
        <v>55400</v>
      </c>
      <c r="G1457" s="2">
        <f ca="1">IFERROR(__xludf.DUMMYFUNCTION("""COMPUTED_VALUE"""),118)</f>
        <v>118</v>
      </c>
      <c r="H1457" s="2"/>
      <c r="I1457" s="2"/>
      <c r="J1457" s="2">
        <f ca="1">IFERROR(__xludf.DUMMYFUNCTION("""COMPUTED_VALUE"""),0)</f>
        <v>0</v>
      </c>
      <c r="K1457" s="2">
        <f ca="1">IFERROR(__xludf.DUMMYFUNCTION("""COMPUTED_VALUE"""),55400)</f>
        <v>55400</v>
      </c>
      <c r="L1457" s="2" t="str">
        <f ca="1">IFERROR(__xludf.DUMMYFUNCTION("""COMPUTED_VALUE"""),"52f88149")</f>
        <v>52f88149</v>
      </c>
      <c r="M1457" s="2" t="str">
        <f ca="1">IFERROR(__xludf.DUMMYFUNCTION("""COMPUTED_VALUE"""),"Syrah Bonarda")</f>
        <v>Syrah Bonarda</v>
      </c>
      <c r="N1457" s="2"/>
      <c r="O1457" s="2" t="str">
        <f ca="1">IFERROR(__xludf.DUMMYFUNCTION("""COMPUTED_VALUE"""),"Fermentando")</f>
        <v>Fermentando</v>
      </c>
      <c r="P1457" s="2"/>
      <c r="Q1457" s="2" t="b">
        <f ca="1">IFERROR(__xludf.DUMMYFUNCTION("""COMPUTED_VALUE"""),FALSE)</f>
        <v>0</v>
      </c>
      <c r="R1457" s="2" t="str">
        <f ca="1">IFERROR(__xludf.DUMMYFUNCTION("""COMPUTED_VALUE"""),"Descubada")</f>
        <v>Descubada</v>
      </c>
      <c r="S1457" s="2"/>
      <c r="T1457" s="2"/>
      <c r="U1457" s="2" t="str">
        <f ca="1">IFERROR(__xludf.DUMMYFUNCTION("""COMPUTED_VALUE"""),"1")</f>
        <v>1</v>
      </c>
    </row>
    <row r="1458" spans="1:21" x14ac:dyDescent="0.25">
      <c r="A1458" s="2" t="str">
        <f ca="1">IFERROR(__xludf.DUMMYFUNCTION("""COMPUTED_VALUE"""),"58a2469b")</f>
        <v>58a2469b</v>
      </c>
      <c r="B1458" s="5">
        <f ca="1">IFERROR(__xludf.DUMMYFUNCTION("""COMPUTED_VALUE"""),46111.7828703703)</f>
        <v>46111.782870370298</v>
      </c>
      <c r="C1458" s="2" t="str">
        <f ca="1">IFERROR(__xludf.DUMMYFUNCTION("""COMPUTED_VALUE"""),"3c4bd290")</f>
        <v>3c4bd290</v>
      </c>
      <c r="D1458" s="2">
        <f ca="1">IFERROR(__xludf.DUMMYFUNCTION("""COMPUTED_VALUE"""),89)</f>
        <v>89</v>
      </c>
      <c r="E1458" s="2" t="str">
        <f ca="1">IFERROR(__xludf.DUMMYFUNCTION("""COMPUTED_VALUE"""),"Malbec pc")</f>
        <v>Malbec pc</v>
      </c>
      <c r="F1458" s="2">
        <f ca="1">IFERROR(__xludf.DUMMYFUNCTION("""COMPUTED_VALUE"""),-8500)</f>
        <v>-8500</v>
      </c>
      <c r="G1458" s="2">
        <f ca="1">IFERROR(__xludf.DUMMYFUNCTION("""COMPUTED_VALUE"""),9)</f>
        <v>9</v>
      </c>
      <c r="H1458" s="2" t="str">
        <f ca="1">IFERROR(__xludf.DUMMYFUNCTION("""COMPUTED_VALUE"""),"b8a1b7b0")</f>
        <v>b8a1b7b0</v>
      </c>
      <c r="I1458" s="2" t="str">
        <f ca="1">IFERROR(__xludf.DUMMYFUNCTION("""COMPUTED_VALUE"""),"Malbec Rect")</f>
        <v>Malbec Rect</v>
      </c>
      <c r="J1458" s="2">
        <f ca="1">IFERROR(__xludf.DUMMYFUNCTION("""COMPUTED_VALUE"""),-3100)</f>
        <v>-3100</v>
      </c>
      <c r="K1458" s="2">
        <f ca="1">IFERROR(__xludf.DUMMYFUNCTION("""COMPUTED_VALUE"""),15000)</f>
        <v>15000</v>
      </c>
      <c r="L1458" s="2" t="str">
        <f ca="1">IFERROR(__xludf.DUMMYFUNCTION("""COMPUTED_VALUE"""),"9f8f93c1")</f>
        <v>9f8f93c1</v>
      </c>
      <c r="M1458" s="2" t="str">
        <f ca="1">IFERROR(__xludf.DUMMYFUNCTION("""COMPUTED_VALUE"""),"Malbec Rect")</f>
        <v>Malbec Rect</v>
      </c>
      <c r="N1458" s="2"/>
      <c r="O1458" s="2" t="str">
        <f ca="1">IFERROR(__xludf.DUMMYFUNCTION("""COMPUTED_VALUE"""),"Fermentando")</f>
        <v>Fermentando</v>
      </c>
      <c r="P1458" s="2" t="str">
        <f ca="1">IFERROR(__xludf.DUMMYFUNCTION("""COMPUTED_VALUE"""),"Rectificado")</f>
        <v>Rectificado</v>
      </c>
      <c r="Q1458" s="2" t="b">
        <f ca="1">IFERROR(__xludf.DUMMYFUNCTION("""COMPUTED_VALUE"""),TRUE)</f>
        <v>1</v>
      </c>
      <c r="R1458" s="2" t="str">
        <f ca="1">IFERROR(__xludf.DUMMYFUNCTION("""COMPUTED_VALUE"""),"Rectificado")</f>
        <v>Rectificado</v>
      </c>
      <c r="S1458" s="2"/>
      <c r="T1458" s="2"/>
      <c r="U1458" s="2" t="str">
        <f ca="1">IFERROR(__xludf.DUMMYFUNCTION("""COMPUTED_VALUE"""),"1-")</f>
        <v>1-</v>
      </c>
    </row>
    <row r="1459" spans="1:21" x14ac:dyDescent="0.25">
      <c r="A1459" s="2" t="str">
        <f ca="1">IFERROR(__xludf.DUMMYFUNCTION("""COMPUTED_VALUE"""),"0f0644e2")</f>
        <v>0f0644e2</v>
      </c>
      <c r="B1459" s="5">
        <f ca="1">IFERROR(__xludf.DUMMYFUNCTION("""COMPUTED_VALUE"""),46111.7841087962)</f>
        <v>46111.784108796201</v>
      </c>
      <c r="C1459" s="2" t="str">
        <f ca="1">IFERROR(__xludf.DUMMYFUNCTION("""COMPUTED_VALUE"""),"4930e6d3")</f>
        <v>4930e6d3</v>
      </c>
      <c r="D1459" s="2">
        <f ca="1">IFERROR(__xludf.DUMMYFUNCTION("""COMPUTED_VALUE"""),88)</f>
        <v>88</v>
      </c>
      <c r="E1459" s="2" t="str">
        <f ca="1">IFERROR(__xludf.DUMMYFUNCTION("""COMPUTED_VALUE"""),"Malbec")</f>
        <v>Malbec</v>
      </c>
      <c r="F1459" s="2">
        <f ca="1">IFERROR(__xludf.DUMMYFUNCTION("""COMPUTED_VALUE"""),-8500)</f>
        <v>-8500</v>
      </c>
      <c r="G1459" s="2">
        <f ca="1">IFERROR(__xludf.DUMMYFUNCTION("""COMPUTED_VALUE"""),6)</f>
        <v>6</v>
      </c>
      <c r="H1459" s="2" t="str">
        <f ca="1">IFERROR(__xludf.DUMMYFUNCTION("""COMPUTED_VALUE"""),"4e87c697")</f>
        <v>4e87c697</v>
      </c>
      <c r="I1459" s="2" t="str">
        <f ca="1">IFERROR(__xludf.DUMMYFUNCTION("""COMPUTED_VALUE"""),"Cabernet Sauvignon Rect")</f>
        <v>Cabernet Sauvignon Rect</v>
      </c>
      <c r="J1459" s="2">
        <f ca="1">IFERROR(__xludf.DUMMYFUNCTION("""COMPUTED_VALUE"""),32000)</f>
        <v>32000</v>
      </c>
      <c r="K1459" s="2">
        <f ca="1">IFERROR(__xludf.DUMMYFUNCTION("""COMPUTED_VALUE"""),23500)</f>
        <v>23500</v>
      </c>
      <c r="L1459" s="2" t="str">
        <f ca="1">IFERROR(__xludf.DUMMYFUNCTION("""COMPUTED_VALUE"""),"1dab84ab")</f>
        <v>1dab84ab</v>
      </c>
      <c r="M1459" s="2" t="str">
        <f ca="1">IFERROR(__xludf.DUMMYFUNCTION("""COMPUTED_VALUE"""),"Cabernet Sauvignon Rect")</f>
        <v>Cabernet Sauvignon Rect</v>
      </c>
      <c r="N1459" s="2"/>
      <c r="O1459" s="2" t="str">
        <f ca="1">IFERROR(__xludf.DUMMYFUNCTION("""COMPUTED_VALUE"""),"Fermentando")</f>
        <v>Fermentando</v>
      </c>
      <c r="P1459" s="2" t="str">
        <f ca="1">IFERROR(__xludf.DUMMYFUNCTION("""COMPUTED_VALUE"""),"Rectificado")</f>
        <v>Rectificado</v>
      </c>
      <c r="Q1459" s="2" t="b">
        <f ca="1">IFERROR(__xludf.DUMMYFUNCTION("""COMPUTED_VALUE"""),TRUE)</f>
        <v>1</v>
      </c>
      <c r="R1459" s="2" t="str">
        <f ca="1">IFERROR(__xludf.DUMMYFUNCTION("""COMPUTED_VALUE"""),"Rectificado")</f>
        <v>Rectificado</v>
      </c>
      <c r="S1459" s="2"/>
      <c r="T1459" s="2"/>
      <c r="U1459" s="2" t="str">
        <f ca="1">IFERROR(__xludf.DUMMYFUNCTION("""COMPUTED_VALUE"""),"1")</f>
        <v>1</v>
      </c>
    </row>
    <row r="1460" spans="1:21" x14ac:dyDescent="0.25">
      <c r="A1460" s="2" t="str">
        <f ca="1">IFERROR(__xludf.DUMMYFUNCTION("""COMPUTED_VALUE"""),"ffdc73ab")</f>
        <v>ffdc73ab</v>
      </c>
      <c r="B1460" s="5">
        <f ca="1">IFERROR(__xludf.DUMMYFUNCTION("""COMPUTED_VALUE"""),46111.7866203703)</f>
        <v>46111.786620370302</v>
      </c>
      <c r="C1460" s="2" t="str">
        <f ca="1">IFERROR(__xludf.DUMMYFUNCTION("""COMPUTED_VALUE"""),"53cc4912")</f>
        <v>53cc4912</v>
      </c>
      <c r="D1460" s="2">
        <f ca="1">IFERROR(__xludf.DUMMYFUNCTION("""COMPUTED_VALUE"""),86)</f>
        <v>86</v>
      </c>
      <c r="E1460" s="2" t="str">
        <f ca="1">IFERROR(__xludf.DUMMYFUNCTION("""COMPUTED_VALUE"""),"Malbec PC")</f>
        <v>Malbec PC</v>
      </c>
      <c r="F1460" s="2">
        <f ca="1">IFERROR(__xludf.DUMMYFUNCTION("""COMPUTED_VALUE"""),-6500)</f>
        <v>-6500</v>
      </c>
      <c r="G1460" s="2">
        <f ca="1">IFERROR(__xludf.DUMMYFUNCTION("""COMPUTED_VALUE"""),6)</f>
        <v>6</v>
      </c>
      <c r="H1460" s="2" t="str">
        <f ca="1">IFERROR(__xludf.DUMMYFUNCTION("""COMPUTED_VALUE"""),"1dab84ab")</f>
        <v>1dab84ab</v>
      </c>
      <c r="I1460" s="2" t="str">
        <f ca="1">IFERROR(__xludf.DUMMYFUNCTION("""COMPUTED_VALUE"""),"Cabernet Sauvignon Rect")</f>
        <v>Cabernet Sauvignon Rect</v>
      </c>
      <c r="J1460" s="2">
        <f ca="1">IFERROR(__xludf.DUMMYFUNCTION("""COMPUTED_VALUE"""),23500)</f>
        <v>23500</v>
      </c>
      <c r="K1460" s="2">
        <f ca="1">IFERROR(__xludf.DUMMYFUNCTION("""COMPUTED_VALUE"""),17000)</f>
        <v>17000</v>
      </c>
      <c r="L1460" s="2" t="str">
        <f ca="1">IFERROR(__xludf.DUMMYFUNCTION("""COMPUTED_VALUE"""),"7acfc2b2")</f>
        <v>7acfc2b2</v>
      </c>
      <c r="M1460" s="2" t="str">
        <f ca="1">IFERROR(__xludf.DUMMYFUNCTION("""COMPUTED_VALUE"""),"Cabernet Sauvignon Rect")</f>
        <v>Cabernet Sauvignon Rect</v>
      </c>
      <c r="N1460" s="2"/>
      <c r="O1460" s="2" t="str">
        <f ca="1">IFERROR(__xludf.DUMMYFUNCTION("""COMPUTED_VALUE"""),"Fermentando")</f>
        <v>Fermentando</v>
      </c>
      <c r="P1460" s="2" t="str">
        <f ca="1">IFERROR(__xludf.DUMMYFUNCTION("""COMPUTED_VALUE"""),"Rectificado")</f>
        <v>Rectificado</v>
      </c>
      <c r="Q1460" s="2" t="b">
        <f ca="1">IFERROR(__xludf.DUMMYFUNCTION("""COMPUTED_VALUE"""),TRUE)</f>
        <v>1</v>
      </c>
      <c r="R1460" s="2" t="str">
        <f ca="1">IFERROR(__xludf.DUMMYFUNCTION("""COMPUTED_VALUE"""),"Rectificado")</f>
        <v>Rectificado</v>
      </c>
      <c r="S1460" s="2"/>
      <c r="T1460" s="2"/>
      <c r="U1460" s="2" t="str">
        <f ca="1">IFERROR(__xludf.DUMMYFUNCTION("""COMPUTED_VALUE"""),"1")</f>
        <v>1</v>
      </c>
    </row>
    <row r="1461" spans="1:21" x14ac:dyDescent="0.25">
      <c r="A1461" s="2" t="str">
        <f ca="1">IFERROR(__xludf.DUMMYFUNCTION("""COMPUTED_VALUE"""),"16766b9f")</f>
        <v>16766b9f</v>
      </c>
      <c r="B1461" s="5">
        <f ca="1">IFERROR(__xludf.DUMMYFUNCTION("""COMPUTED_VALUE"""),46111.7871412037)</f>
        <v>46111.787141203698</v>
      </c>
      <c r="C1461" s="2" t="str">
        <f ca="1">IFERROR(__xludf.DUMMYFUNCTION("""COMPUTED_VALUE"""),"4a77f14f")</f>
        <v>4a77f14f</v>
      </c>
      <c r="D1461" s="2">
        <f ca="1">IFERROR(__xludf.DUMMYFUNCTION("""COMPUTED_VALUE"""),82)</f>
        <v>82</v>
      </c>
      <c r="E1461" s="2" t="str">
        <f ca="1">IFERROR(__xludf.DUMMYFUNCTION("""COMPUTED_VALUE"""),"Bonarda PC")</f>
        <v>Bonarda PC</v>
      </c>
      <c r="F1461" s="2">
        <f ca="1">IFERROR(__xludf.DUMMYFUNCTION("""COMPUTED_VALUE"""),-5100)</f>
        <v>-5100</v>
      </c>
      <c r="G1461" s="2">
        <f ca="1">IFERROR(__xludf.DUMMYFUNCTION("""COMPUTED_VALUE"""),6)</f>
        <v>6</v>
      </c>
      <c r="H1461" s="2" t="str">
        <f ca="1">IFERROR(__xludf.DUMMYFUNCTION("""COMPUTED_VALUE"""),"7acfc2b2")</f>
        <v>7acfc2b2</v>
      </c>
      <c r="I1461" s="2" t="str">
        <f ca="1">IFERROR(__xludf.DUMMYFUNCTION("""COMPUTED_VALUE"""),"Cabernet Sauvignon Rect")</f>
        <v>Cabernet Sauvignon Rect</v>
      </c>
      <c r="J1461" s="2">
        <f ca="1">IFERROR(__xludf.DUMMYFUNCTION("""COMPUTED_VALUE"""),17000)</f>
        <v>17000</v>
      </c>
      <c r="K1461" s="2">
        <f ca="1">IFERROR(__xludf.DUMMYFUNCTION("""COMPUTED_VALUE"""),11900)</f>
        <v>11900</v>
      </c>
      <c r="L1461" s="2" t="str">
        <f ca="1">IFERROR(__xludf.DUMMYFUNCTION("""COMPUTED_VALUE"""),"885a1594")</f>
        <v>885a1594</v>
      </c>
      <c r="M1461" s="2" t="str">
        <f ca="1">IFERROR(__xludf.DUMMYFUNCTION("""COMPUTED_VALUE"""),"Cabernet Sauvignon Rect")</f>
        <v>Cabernet Sauvignon Rect</v>
      </c>
      <c r="N1461" s="2"/>
      <c r="O1461" s="2" t="str">
        <f ca="1">IFERROR(__xludf.DUMMYFUNCTION("""COMPUTED_VALUE"""),"Fermentando")</f>
        <v>Fermentando</v>
      </c>
      <c r="P1461" s="2" t="str">
        <f ca="1">IFERROR(__xludf.DUMMYFUNCTION("""COMPUTED_VALUE"""),"Rectificado")</f>
        <v>Rectificado</v>
      </c>
      <c r="Q1461" s="2" t="b">
        <f ca="1">IFERROR(__xludf.DUMMYFUNCTION("""COMPUTED_VALUE"""),TRUE)</f>
        <v>1</v>
      </c>
      <c r="R1461" s="2" t="str">
        <f ca="1">IFERROR(__xludf.DUMMYFUNCTION("""COMPUTED_VALUE"""),"Rectificado")</f>
        <v>Rectificado</v>
      </c>
      <c r="S1461" s="2"/>
      <c r="T1461" s="2"/>
      <c r="U1461" s="2" t="str">
        <f ca="1">IFERROR(__xludf.DUMMYFUNCTION("""COMPUTED_VALUE"""),"1")</f>
        <v>1</v>
      </c>
    </row>
    <row r="1462" spans="1:21" x14ac:dyDescent="0.25">
      <c r="A1462" s="2" t="str">
        <f ca="1">IFERROR(__xludf.DUMMYFUNCTION("""COMPUTED_VALUE"""),"15e949ff")</f>
        <v>15e949ff</v>
      </c>
      <c r="B1462" s="5">
        <f ca="1">IFERROR(__xludf.DUMMYFUNCTION("""COMPUTED_VALUE"""),46111.7875925925)</f>
        <v>46111.787592592496</v>
      </c>
      <c r="C1462" s="2" t="str">
        <f ca="1">IFERROR(__xludf.DUMMYFUNCTION("""COMPUTED_VALUE"""),"cd07b237")</f>
        <v>cd07b237</v>
      </c>
      <c r="D1462" s="2">
        <f ca="1">IFERROR(__xludf.DUMMYFUNCTION("""COMPUTED_VALUE"""),81)</f>
        <v>81</v>
      </c>
      <c r="E1462" s="2" t="str">
        <f ca="1">IFERROR(__xludf.DUMMYFUNCTION("""COMPUTED_VALUE"""),"Malbec PC")</f>
        <v>Malbec PC</v>
      </c>
      <c r="F1462" s="2">
        <f ca="1">IFERROR(__xludf.DUMMYFUNCTION("""COMPUTED_VALUE"""),-5100)</f>
        <v>-5100</v>
      </c>
      <c r="G1462" s="2">
        <f ca="1">IFERROR(__xludf.DUMMYFUNCTION("""COMPUTED_VALUE"""),6)</f>
        <v>6</v>
      </c>
      <c r="H1462" s="2" t="str">
        <f ca="1">IFERROR(__xludf.DUMMYFUNCTION("""COMPUTED_VALUE"""),"885a1594")</f>
        <v>885a1594</v>
      </c>
      <c r="I1462" s="2" t="str">
        <f ca="1">IFERROR(__xludf.DUMMYFUNCTION("""COMPUTED_VALUE"""),"Cabernet Sauvignon Rect")</f>
        <v>Cabernet Sauvignon Rect</v>
      </c>
      <c r="J1462" s="2">
        <f ca="1">IFERROR(__xludf.DUMMYFUNCTION("""COMPUTED_VALUE"""),11900)</f>
        <v>11900</v>
      </c>
      <c r="K1462" s="2">
        <f ca="1">IFERROR(__xludf.DUMMYFUNCTION("""COMPUTED_VALUE"""),6800)</f>
        <v>6800</v>
      </c>
      <c r="L1462" s="2" t="str">
        <f ca="1">IFERROR(__xludf.DUMMYFUNCTION("""COMPUTED_VALUE"""),"6368132b")</f>
        <v>6368132b</v>
      </c>
      <c r="M1462" s="2" t="str">
        <f ca="1">IFERROR(__xludf.DUMMYFUNCTION("""COMPUTED_VALUE"""),"Cabernet Sauvignon Rect")</f>
        <v>Cabernet Sauvignon Rect</v>
      </c>
      <c r="N1462" s="2"/>
      <c r="O1462" s="2" t="str">
        <f ca="1">IFERROR(__xludf.DUMMYFUNCTION("""COMPUTED_VALUE"""),"Fermentando")</f>
        <v>Fermentando</v>
      </c>
      <c r="P1462" s="2" t="str">
        <f ca="1">IFERROR(__xludf.DUMMYFUNCTION("""COMPUTED_VALUE"""),"Rectificado")</f>
        <v>Rectificado</v>
      </c>
      <c r="Q1462" s="2" t="b">
        <f ca="1">IFERROR(__xludf.DUMMYFUNCTION("""COMPUTED_VALUE"""),TRUE)</f>
        <v>1</v>
      </c>
      <c r="R1462" s="2" t="str">
        <f ca="1">IFERROR(__xludf.DUMMYFUNCTION("""COMPUTED_VALUE"""),"Rectificado")</f>
        <v>Rectificado</v>
      </c>
      <c r="S1462" s="2"/>
      <c r="T1462" s="2"/>
      <c r="U1462" s="2" t="str">
        <f ca="1">IFERROR(__xludf.DUMMYFUNCTION("""COMPUTED_VALUE"""),"1")</f>
        <v>1</v>
      </c>
    </row>
    <row r="1463" spans="1:21" x14ac:dyDescent="0.25">
      <c r="A1463" s="2" t="str">
        <f ca="1">IFERROR(__xludf.DUMMYFUNCTION("""COMPUTED_VALUE"""),"2eb6d084")</f>
        <v>2eb6d084</v>
      </c>
      <c r="B1463" s="5">
        <f ca="1">IFERROR(__xludf.DUMMYFUNCTION("""COMPUTED_VALUE"""),46112.7661226851)</f>
        <v>46112.766122685098</v>
      </c>
      <c r="C1463" s="2" t="str">
        <f ca="1">IFERROR(__xludf.DUMMYFUNCTION("""COMPUTED_VALUE"""),"181268cf")</f>
        <v>181268cf</v>
      </c>
      <c r="D1463" s="2">
        <f ca="1">IFERROR(__xludf.DUMMYFUNCTION("""COMPUTED_VALUE"""),65)</f>
        <v>65</v>
      </c>
      <c r="E1463" s="2" t="str">
        <f ca="1">IFERROR(__xludf.DUMMYFUNCTION("""COMPUTED_VALUE"""),"Syrah Temp")</f>
        <v>Syrah Temp</v>
      </c>
      <c r="F1463" s="2">
        <f ca="1">IFERROR(__xludf.DUMMYFUNCTION("""COMPUTED_VALUE"""),-2900)</f>
        <v>-2900</v>
      </c>
      <c r="G1463" s="2">
        <f ca="1">IFERROR(__xludf.DUMMYFUNCTION("""COMPUTED_VALUE"""),9)</f>
        <v>9</v>
      </c>
      <c r="H1463" s="2" t="str">
        <f ca="1">IFERROR(__xludf.DUMMYFUNCTION("""COMPUTED_VALUE"""),"9f8f93c1")</f>
        <v>9f8f93c1</v>
      </c>
      <c r="I1463" s="2" t="str">
        <f ca="1">IFERROR(__xludf.DUMMYFUNCTION("""COMPUTED_VALUE"""),"Malbec Rect")</f>
        <v>Malbec Rect</v>
      </c>
      <c r="J1463" s="2">
        <f ca="1">IFERROR(__xludf.DUMMYFUNCTION("""COMPUTED_VALUE"""),15000)</f>
        <v>15000</v>
      </c>
      <c r="K1463" s="2">
        <f ca="1">IFERROR(__xludf.DUMMYFUNCTION("""COMPUTED_VALUE"""),12100)</f>
        <v>12100</v>
      </c>
      <c r="L1463" s="2" t="str">
        <f ca="1">IFERROR(__xludf.DUMMYFUNCTION("""COMPUTED_VALUE"""),"d7a4a599")</f>
        <v>d7a4a599</v>
      </c>
      <c r="M1463" s="2" t="str">
        <f ca="1">IFERROR(__xludf.DUMMYFUNCTION("""COMPUTED_VALUE"""),"Malbec Rect")</f>
        <v>Malbec Rect</v>
      </c>
      <c r="N1463" s="2"/>
      <c r="O1463" s="2" t="str">
        <f ca="1">IFERROR(__xludf.DUMMYFUNCTION("""COMPUTED_VALUE"""),"Fermentando")</f>
        <v>Fermentando</v>
      </c>
      <c r="P1463" s="2" t="str">
        <f ca="1">IFERROR(__xludf.DUMMYFUNCTION("""COMPUTED_VALUE"""),"Rectificado")</f>
        <v>Rectificado</v>
      </c>
      <c r="Q1463" s="2" t="b">
        <f ca="1">IFERROR(__xludf.DUMMYFUNCTION("""COMPUTED_VALUE"""),TRUE)</f>
        <v>1</v>
      </c>
      <c r="R1463" s="2" t="str">
        <f ca="1">IFERROR(__xludf.DUMMYFUNCTION("""COMPUTED_VALUE"""),"Rectificado")</f>
        <v>Rectificado</v>
      </c>
      <c r="S1463" s="2"/>
      <c r="T1463" s="2"/>
      <c r="U1463" s="2" t="str">
        <f ca="1">IFERROR(__xludf.DUMMYFUNCTION("""COMPUTED_VALUE"""),"1-")</f>
        <v>1-</v>
      </c>
    </row>
    <row r="1464" spans="1:21" x14ac:dyDescent="0.25">
      <c r="A1464" s="2" t="str">
        <f ca="1">IFERROR(__xludf.DUMMYFUNCTION("""COMPUTED_VALUE"""),"a7fe1505")</f>
        <v>a7fe1505</v>
      </c>
      <c r="B1464" s="5">
        <f ca="1">IFERROR(__xludf.DUMMYFUNCTION("""COMPUTED_VALUE"""),46112.7751851851)</f>
        <v>46112.775185185099</v>
      </c>
      <c r="C1464" s="2" t="str">
        <f ca="1">IFERROR(__xludf.DUMMYFUNCTION("""COMPUTED_VALUE"""),"8267c94a")</f>
        <v>8267c94a</v>
      </c>
      <c r="D1464" s="2">
        <f ca="1">IFERROR(__xludf.DUMMYFUNCTION("""COMPUTED_VALUE"""),67)</f>
        <v>67</v>
      </c>
      <c r="E1464" s="2" t="str">
        <f ca="1">IFERROR(__xludf.DUMMYFUNCTION("""COMPUTED_VALUE"""),"Bonarda PC")</f>
        <v>Bonarda PC</v>
      </c>
      <c r="F1464" s="2">
        <f ca="1">IFERROR(__xludf.DUMMYFUNCTION("""COMPUTED_VALUE"""),5100)</f>
        <v>5100</v>
      </c>
      <c r="G1464" s="2">
        <f ca="1">IFERROR(__xludf.DUMMYFUNCTION("""COMPUTED_VALUE"""),500)</f>
        <v>500</v>
      </c>
      <c r="H1464" s="2" t="str">
        <f ca="1">IFERROR(__xludf.DUMMYFUNCTION("""COMPUTED_VALUE"""),"0354076e")</f>
        <v>0354076e</v>
      </c>
      <c r="I1464" s="2" t="str">
        <f ca="1">IFERROR(__xludf.DUMMYFUNCTION("""COMPUTED_VALUE"""),"Chardonnay")</f>
        <v>Chardonnay</v>
      </c>
      <c r="J1464" s="2">
        <f ca="1">IFERROR(__xludf.DUMMYFUNCTION("""COMPUTED_VALUE"""),62300)</f>
        <v>62300</v>
      </c>
      <c r="K1464" s="2">
        <f ca="1">IFERROR(__xludf.DUMMYFUNCTION("""COMPUTED_VALUE"""),67400)</f>
        <v>67400</v>
      </c>
      <c r="L1464" s="2" t="str">
        <f ca="1">IFERROR(__xludf.DUMMYFUNCTION("""COMPUTED_VALUE"""),"a11e74d9")</f>
        <v>a11e74d9</v>
      </c>
      <c r="M1464" s="2" t="str">
        <f ca="1">IFERROR(__xludf.DUMMYFUNCTION("""COMPUTED_VALUE"""),"AJUSTE COSECHA 2026")</f>
        <v>AJUSTE COSECHA 2026</v>
      </c>
      <c r="N1464" s="2"/>
      <c r="O1464" s="2" t="str">
        <f ca="1">IFERROR(__xludf.DUMMYFUNCTION("""COMPUTED_VALUE"""),"Fermentando")</f>
        <v>Fermentando</v>
      </c>
      <c r="P1464" s="2" t="str">
        <f ca="1">IFERROR(__xludf.DUMMYFUNCTION("""COMPUTED_VALUE"""),"Fermentando")</f>
        <v>Fermentando</v>
      </c>
      <c r="Q1464" s="2" t="b">
        <f ca="1">IFERROR(__xludf.DUMMYFUNCTION("""COMPUTED_VALUE"""),TRUE)</f>
        <v>1</v>
      </c>
      <c r="R1464" s="2" t="str">
        <f ca="1">IFERROR(__xludf.DUMMYFUNCTION("""COMPUTED_VALUE"""),"Fermentando")</f>
        <v>Fermentando</v>
      </c>
      <c r="S1464" s="2"/>
      <c r="T1464" s="2"/>
      <c r="U1464" s="2" t="str">
        <f ca="1">IFERROR(__xludf.DUMMYFUNCTION("""COMPUTED_VALUE"""),"1")</f>
        <v>1</v>
      </c>
    </row>
    <row r="1465" spans="1:21" x14ac:dyDescent="0.25">
      <c r="A1465" s="2" t="str">
        <f ca="1">IFERROR(__xludf.DUMMYFUNCTION("""COMPUTED_VALUE"""),"92b40ded")</f>
        <v>92b40ded</v>
      </c>
      <c r="B1465" s="5">
        <f ca="1">IFERROR(__xludf.DUMMYFUNCTION("""COMPUTED_VALUE"""),46112.7774884259)</f>
        <v>46112.777488425898</v>
      </c>
      <c r="C1465" s="2" t="str">
        <f ca="1">IFERROR(__xludf.DUMMYFUNCTION("""COMPUTED_VALUE"""),"fa9988f0")</f>
        <v>fa9988f0</v>
      </c>
      <c r="D1465" s="2">
        <f ca="1">IFERROR(__xludf.DUMMYFUNCTION("""COMPUTED_VALUE"""),50)</f>
        <v>50</v>
      </c>
      <c r="E1465" s="2" t="str">
        <f ca="1">IFERROR(__xludf.DUMMYFUNCTION("""COMPUTED_VALUE"""),"Malbec")</f>
        <v>Malbec</v>
      </c>
      <c r="F1465" s="2">
        <f ca="1">IFERROR(__xludf.DUMMYFUNCTION("""COMPUTED_VALUE"""),1100)</f>
        <v>1100</v>
      </c>
      <c r="G1465" s="2">
        <f ca="1">IFERROR(__xludf.DUMMYFUNCTION("""COMPUTED_VALUE"""),500)</f>
        <v>500</v>
      </c>
      <c r="H1465" s="2" t="str">
        <f ca="1">IFERROR(__xludf.DUMMYFUNCTION("""COMPUTED_VALUE"""),"a11e74d9")</f>
        <v>a11e74d9</v>
      </c>
      <c r="I1465" s="2" t="str">
        <f ca="1">IFERROR(__xludf.DUMMYFUNCTION("""COMPUTED_VALUE"""),"AJUSTE COSECHA 2026")</f>
        <v>AJUSTE COSECHA 2026</v>
      </c>
      <c r="J1465" s="2">
        <f ca="1">IFERROR(__xludf.DUMMYFUNCTION("""COMPUTED_VALUE"""),67400)</f>
        <v>67400</v>
      </c>
      <c r="K1465" s="2">
        <f ca="1">IFERROR(__xludf.DUMMYFUNCTION("""COMPUTED_VALUE"""),68500)</f>
        <v>68500</v>
      </c>
      <c r="L1465" s="2" t="str">
        <f ca="1">IFERROR(__xludf.DUMMYFUNCTION("""COMPUTED_VALUE"""),"2030aa82")</f>
        <v>2030aa82</v>
      </c>
      <c r="M1465" s="2" t="str">
        <f ca="1">IFERROR(__xludf.DUMMYFUNCTION("""COMPUTED_VALUE"""),"AJUSTE COSECHA 2026")</f>
        <v>AJUSTE COSECHA 2026</v>
      </c>
      <c r="N1465" s="2"/>
      <c r="O1465" s="2" t="str">
        <f ca="1">IFERROR(__xludf.DUMMYFUNCTION("""COMPUTED_VALUE"""),"Terminado")</f>
        <v>Terminado</v>
      </c>
      <c r="P1465" s="2" t="str">
        <f ca="1">IFERROR(__xludf.DUMMYFUNCTION("""COMPUTED_VALUE"""),"Fermentando")</f>
        <v>Fermentando</v>
      </c>
      <c r="Q1465" s="2" t="b">
        <f ca="1">IFERROR(__xludf.DUMMYFUNCTION("""COMPUTED_VALUE"""),TRUE)</f>
        <v>1</v>
      </c>
      <c r="R1465" s="2" t="str">
        <f ca="1">IFERROR(__xludf.DUMMYFUNCTION("""COMPUTED_VALUE"""),"Fermentando")</f>
        <v>Fermentando</v>
      </c>
      <c r="S1465" s="2"/>
      <c r="T1465" s="2"/>
      <c r="U1465" s="2" t="str">
        <f ca="1">IFERROR(__xludf.DUMMYFUNCTION("""COMPUTED_VALUE"""),"1")</f>
        <v>1</v>
      </c>
    </row>
    <row r="1466" spans="1:21" x14ac:dyDescent="0.25">
      <c r="A1466" s="2" t="str">
        <f ca="1">IFERROR(__xludf.DUMMYFUNCTION("""COMPUTED_VALUE"""),"2713f9bd")</f>
        <v>2713f9bd</v>
      </c>
      <c r="B1466" s="5">
        <f ca="1">IFERROR(__xludf.DUMMYFUNCTION("""COMPUTED_VALUE"""),46112.7869444444)</f>
        <v>46112.7869444444</v>
      </c>
      <c r="C1466" s="2" t="str">
        <f ca="1">IFERROR(__xludf.DUMMYFUNCTION("""COMPUTED_VALUE"""),"31c21fdb")</f>
        <v>31c21fdb</v>
      </c>
      <c r="D1466" s="2">
        <f ca="1">IFERROR(__xludf.DUMMYFUNCTION("""COMPUTED_VALUE"""),70)</f>
        <v>70</v>
      </c>
      <c r="E1466" s="2" t="str">
        <f ca="1">IFERROR(__xludf.DUMMYFUNCTION("""COMPUTED_VALUE"""),"Criolla Filt")</f>
        <v>Criolla Filt</v>
      </c>
      <c r="F1466" s="2">
        <f ca="1">IFERROR(__xludf.DUMMYFUNCTION("""COMPUTED_VALUE"""),-5400)</f>
        <v>-5400</v>
      </c>
      <c r="G1466" s="2">
        <f ca="1">IFERROR(__xludf.DUMMYFUNCTION("""COMPUTED_VALUE"""),500)</f>
        <v>500</v>
      </c>
      <c r="H1466" s="2" t="str">
        <f ca="1">IFERROR(__xludf.DUMMYFUNCTION("""COMPUTED_VALUE"""),"2030aa82")</f>
        <v>2030aa82</v>
      </c>
      <c r="I1466" s="2" t="str">
        <f ca="1">IFERROR(__xludf.DUMMYFUNCTION("""COMPUTED_VALUE"""),"AJUSTE COSECHA 2026")</f>
        <v>AJUSTE COSECHA 2026</v>
      </c>
      <c r="J1466" s="2">
        <f ca="1">IFERROR(__xludf.DUMMYFUNCTION("""COMPUTED_VALUE"""),68500)</f>
        <v>68500</v>
      </c>
      <c r="K1466" s="2">
        <f ca="1">IFERROR(__xludf.DUMMYFUNCTION("""COMPUTED_VALUE"""),63100)</f>
        <v>63100</v>
      </c>
      <c r="L1466" s="2" t="str">
        <f ca="1">IFERROR(__xludf.DUMMYFUNCTION("""COMPUTED_VALUE"""),"d353d4f6")</f>
        <v>d353d4f6</v>
      </c>
      <c r="M1466" s="2" t="str">
        <f ca="1">IFERROR(__xludf.DUMMYFUNCTION("""COMPUTED_VALUE"""),"AJUSTE COSECHA 2026")</f>
        <v>AJUSTE COSECHA 2026</v>
      </c>
      <c r="N1466" s="2"/>
      <c r="O1466" s="2" t="str">
        <f ca="1">IFERROR(__xludf.DUMMYFUNCTION("""COMPUTED_VALUE"""),"Fermentando")</f>
        <v>Fermentando</v>
      </c>
      <c r="P1466" s="2" t="str">
        <f ca="1">IFERROR(__xludf.DUMMYFUNCTION("""COMPUTED_VALUE"""),"Fermentando")</f>
        <v>Fermentando</v>
      </c>
      <c r="Q1466" s="2" t="b">
        <f ca="1">IFERROR(__xludf.DUMMYFUNCTION("""COMPUTED_VALUE"""),TRUE)</f>
        <v>1</v>
      </c>
      <c r="R1466" s="2" t="str">
        <f ca="1">IFERROR(__xludf.DUMMYFUNCTION("""COMPUTED_VALUE"""),"Fermentando")</f>
        <v>Fermentando</v>
      </c>
      <c r="S1466" s="2"/>
      <c r="T1466" s="2"/>
      <c r="U1466" s="2" t="str">
        <f ca="1">IFERROR(__xludf.DUMMYFUNCTION("""COMPUTED_VALUE"""),"1")</f>
        <v>1</v>
      </c>
    </row>
    <row r="1467" spans="1:21" x14ac:dyDescent="0.25">
      <c r="A1467" s="2" t="str">
        <f ca="1">IFERROR(__xludf.DUMMYFUNCTION("""COMPUTED_VALUE"""),"3d9651be")</f>
        <v>3d9651be</v>
      </c>
      <c r="B1467" s="5">
        <f ca="1">IFERROR(__xludf.DUMMYFUNCTION("""COMPUTED_VALUE"""),46112.7874652777)</f>
        <v>46112.787465277703</v>
      </c>
      <c r="C1467" s="2" t="str">
        <f ca="1">IFERROR(__xludf.DUMMYFUNCTION("""COMPUTED_VALUE"""),"e8af8964")</f>
        <v>e8af8964</v>
      </c>
      <c r="D1467" s="2">
        <f ca="1">IFERROR(__xludf.DUMMYFUNCTION("""COMPUTED_VALUE"""),78)</f>
        <v>78</v>
      </c>
      <c r="E1467" s="2" t="str">
        <f ca="1">IFERROR(__xludf.DUMMYFUNCTION("""COMPUTED_VALUE"""),"Criolla")</f>
        <v>Criolla</v>
      </c>
      <c r="F1467" s="2">
        <f ca="1">IFERROR(__xludf.DUMMYFUNCTION("""COMPUTED_VALUE"""),-2000)</f>
        <v>-2000</v>
      </c>
      <c r="G1467" s="2">
        <f ca="1">IFERROR(__xludf.DUMMYFUNCTION("""COMPUTED_VALUE"""),500)</f>
        <v>500</v>
      </c>
      <c r="H1467" s="2" t="str">
        <f ca="1">IFERROR(__xludf.DUMMYFUNCTION("""COMPUTED_VALUE"""),"d353d4f6")</f>
        <v>d353d4f6</v>
      </c>
      <c r="I1467" s="2" t="str">
        <f ca="1">IFERROR(__xludf.DUMMYFUNCTION("""COMPUTED_VALUE"""),"AJUSTE COSECHA 2026")</f>
        <v>AJUSTE COSECHA 2026</v>
      </c>
      <c r="J1467" s="2">
        <f ca="1">IFERROR(__xludf.DUMMYFUNCTION("""COMPUTED_VALUE"""),63100)</f>
        <v>63100</v>
      </c>
      <c r="K1467" s="2">
        <f ca="1">IFERROR(__xludf.DUMMYFUNCTION("""COMPUTED_VALUE"""),61100)</f>
        <v>61100</v>
      </c>
      <c r="L1467" s="2" t="str">
        <f ca="1">IFERROR(__xludf.DUMMYFUNCTION("""COMPUTED_VALUE"""),"c82493e8")</f>
        <v>c82493e8</v>
      </c>
      <c r="M1467" s="2" t="str">
        <f ca="1">IFERROR(__xludf.DUMMYFUNCTION("""COMPUTED_VALUE"""),"AJUSTE COSECHA 2026")</f>
        <v>AJUSTE COSECHA 2026</v>
      </c>
      <c r="N1467" s="2"/>
      <c r="O1467" s="2" t="str">
        <f ca="1">IFERROR(__xludf.DUMMYFUNCTION("""COMPUTED_VALUE"""),"Fermentando")</f>
        <v>Fermentando</v>
      </c>
      <c r="P1467" s="2" t="str">
        <f ca="1">IFERROR(__xludf.DUMMYFUNCTION("""COMPUTED_VALUE"""),"Fermentando")</f>
        <v>Fermentando</v>
      </c>
      <c r="Q1467" s="2" t="b">
        <f ca="1">IFERROR(__xludf.DUMMYFUNCTION("""COMPUTED_VALUE"""),TRUE)</f>
        <v>1</v>
      </c>
      <c r="R1467" s="2" t="str">
        <f ca="1">IFERROR(__xludf.DUMMYFUNCTION("""COMPUTED_VALUE"""),"Fermentando")</f>
        <v>Fermentando</v>
      </c>
      <c r="S1467" s="2"/>
      <c r="T1467" s="2"/>
      <c r="U1467" s="2" t="str">
        <f ca="1">IFERROR(__xludf.DUMMYFUNCTION("""COMPUTED_VALUE"""),"1")</f>
        <v>1</v>
      </c>
    </row>
    <row r="1468" spans="1:21" x14ac:dyDescent="0.25">
      <c r="A1468" s="2" t="str">
        <f ca="1">IFERROR(__xludf.DUMMYFUNCTION("""COMPUTED_VALUE"""),"0d154e77")</f>
        <v>0d154e77</v>
      </c>
      <c r="B1468" s="5">
        <f ca="1">IFERROR(__xludf.DUMMYFUNCTION("""COMPUTED_VALUE"""),46112.7888657407)</f>
        <v>46112.788865740702</v>
      </c>
      <c r="C1468" s="2" t="str">
        <f ca="1">IFERROR(__xludf.DUMMYFUNCTION("""COMPUTED_VALUE"""),"f3f41b27")</f>
        <v>f3f41b27</v>
      </c>
      <c r="D1468" s="2">
        <f ca="1">IFERROR(__xludf.DUMMYFUNCTION("""COMPUTED_VALUE"""),79)</f>
        <v>79</v>
      </c>
      <c r="E1468" s="2" t="str">
        <f ca="1">IFERROR(__xludf.DUMMYFUNCTION("""COMPUTED_VALUE"""),"Criolla")</f>
        <v>Criolla</v>
      </c>
      <c r="F1468" s="2">
        <f ca="1">IFERROR(__xludf.DUMMYFUNCTION("""COMPUTED_VALUE"""),14000)</f>
        <v>14000</v>
      </c>
      <c r="G1468" s="2">
        <f ca="1">IFERROR(__xludf.DUMMYFUNCTION("""COMPUTED_VALUE"""),500)</f>
        <v>500</v>
      </c>
      <c r="H1468" s="2" t="str">
        <f ca="1">IFERROR(__xludf.DUMMYFUNCTION("""COMPUTED_VALUE"""),"c82493e8")</f>
        <v>c82493e8</v>
      </c>
      <c r="I1468" s="2" t="str">
        <f ca="1">IFERROR(__xludf.DUMMYFUNCTION("""COMPUTED_VALUE"""),"AJUSTE COSECHA 2026")</f>
        <v>AJUSTE COSECHA 2026</v>
      </c>
      <c r="J1468" s="2">
        <f ca="1">IFERROR(__xludf.DUMMYFUNCTION("""COMPUTED_VALUE"""),61100)</f>
        <v>61100</v>
      </c>
      <c r="K1468" s="2">
        <f ca="1">IFERROR(__xludf.DUMMYFUNCTION("""COMPUTED_VALUE"""),75100)</f>
        <v>75100</v>
      </c>
      <c r="L1468" s="2" t="str">
        <f ca="1">IFERROR(__xludf.DUMMYFUNCTION("""COMPUTED_VALUE"""),"1fd69a4e")</f>
        <v>1fd69a4e</v>
      </c>
      <c r="M1468" s="2" t="str">
        <f ca="1">IFERROR(__xludf.DUMMYFUNCTION("""COMPUTED_VALUE"""),"AJUSTE COSECHA 2026")</f>
        <v>AJUSTE COSECHA 2026</v>
      </c>
      <c r="N1468" s="2"/>
      <c r="O1468" s="2" t="str">
        <f ca="1">IFERROR(__xludf.DUMMYFUNCTION("""COMPUTED_VALUE"""),"Fermentando")</f>
        <v>Fermentando</v>
      </c>
      <c r="P1468" s="2" t="str">
        <f ca="1">IFERROR(__xludf.DUMMYFUNCTION("""COMPUTED_VALUE"""),"Fermentando")</f>
        <v>Fermentando</v>
      </c>
      <c r="Q1468" s="2" t="b">
        <f ca="1">IFERROR(__xludf.DUMMYFUNCTION("""COMPUTED_VALUE"""),TRUE)</f>
        <v>1</v>
      </c>
      <c r="R1468" s="2" t="str">
        <f ca="1">IFERROR(__xludf.DUMMYFUNCTION("""COMPUTED_VALUE"""),"Fermentando")</f>
        <v>Fermentando</v>
      </c>
      <c r="S1468" s="2"/>
      <c r="T1468" s="2"/>
      <c r="U1468" s="2" t="str">
        <f ca="1">IFERROR(__xludf.DUMMYFUNCTION("""COMPUTED_VALUE"""),"1")</f>
        <v>1</v>
      </c>
    </row>
    <row r="1469" spans="1:21" x14ac:dyDescent="0.25">
      <c r="A1469" s="2" t="str">
        <f ca="1">IFERROR(__xludf.DUMMYFUNCTION("""COMPUTED_VALUE"""),"34901611")</f>
        <v>34901611</v>
      </c>
      <c r="B1469" s="5">
        <f ca="1">IFERROR(__xludf.DUMMYFUNCTION("""COMPUTED_VALUE"""),46112.816412037)</f>
        <v>46112.816412036998</v>
      </c>
      <c r="C1469" s="2" t="str">
        <f ca="1">IFERROR(__xludf.DUMMYFUNCTION("""COMPUTED_VALUE"""),"54b0a239")</f>
        <v>54b0a239</v>
      </c>
      <c r="D1469" s="2">
        <f ca="1">IFERROR(__xludf.DUMMYFUNCTION("""COMPUTED_VALUE"""),80)</f>
        <v>80</v>
      </c>
      <c r="E1469" s="2" t="str">
        <f ca="1">IFERROR(__xludf.DUMMYFUNCTION("""COMPUTED_VALUE"""),"Pedro Gimenez")</f>
        <v>Pedro Gimenez</v>
      </c>
      <c r="F1469" s="2">
        <f ca="1">IFERROR(__xludf.DUMMYFUNCTION("""COMPUTED_VALUE"""),-2000)</f>
        <v>-2000</v>
      </c>
      <c r="G1469" s="2">
        <f ca="1">IFERROR(__xludf.DUMMYFUNCTION("""COMPUTED_VALUE"""),500)</f>
        <v>500</v>
      </c>
      <c r="H1469" s="2" t="str">
        <f ca="1">IFERROR(__xludf.DUMMYFUNCTION("""COMPUTED_VALUE"""),"1fd69a4e")</f>
        <v>1fd69a4e</v>
      </c>
      <c r="I1469" s="2" t="str">
        <f ca="1">IFERROR(__xludf.DUMMYFUNCTION("""COMPUTED_VALUE"""),"AJUSTE COSECHA 2026")</f>
        <v>AJUSTE COSECHA 2026</v>
      </c>
      <c r="J1469" s="2">
        <f ca="1">IFERROR(__xludf.DUMMYFUNCTION("""COMPUTED_VALUE"""),75100)</f>
        <v>75100</v>
      </c>
      <c r="K1469" s="2">
        <f ca="1">IFERROR(__xludf.DUMMYFUNCTION("""COMPUTED_VALUE"""),73100)</f>
        <v>73100</v>
      </c>
      <c r="L1469" s="2" t="str">
        <f ca="1">IFERROR(__xludf.DUMMYFUNCTION("""COMPUTED_VALUE"""),"c47bd837")</f>
        <v>c47bd837</v>
      </c>
      <c r="M1469" s="2" t="str">
        <f ca="1">IFERROR(__xludf.DUMMYFUNCTION("""COMPUTED_VALUE"""),"AJUSTE COSECHA 2026")</f>
        <v>AJUSTE COSECHA 2026</v>
      </c>
      <c r="N1469" s="2"/>
      <c r="O1469" s="2" t="str">
        <f ca="1">IFERROR(__xludf.DUMMYFUNCTION("""COMPUTED_VALUE"""),"Fermentando")</f>
        <v>Fermentando</v>
      </c>
      <c r="P1469" s="2" t="str">
        <f ca="1">IFERROR(__xludf.DUMMYFUNCTION("""COMPUTED_VALUE"""),"Fermentando")</f>
        <v>Fermentando</v>
      </c>
      <c r="Q1469" s="2" t="b">
        <f ca="1">IFERROR(__xludf.DUMMYFUNCTION("""COMPUTED_VALUE"""),TRUE)</f>
        <v>1</v>
      </c>
      <c r="R1469" s="2" t="str">
        <f ca="1">IFERROR(__xludf.DUMMYFUNCTION("""COMPUTED_VALUE"""),"Fermentando")</f>
        <v>Fermentando</v>
      </c>
      <c r="S1469" s="2"/>
      <c r="T1469" s="2"/>
      <c r="U1469" s="2" t="str">
        <f ca="1">IFERROR(__xludf.DUMMYFUNCTION("""COMPUTED_VALUE"""),"1")</f>
        <v>1</v>
      </c>
    </row>
    <row r="1470" spans="1:21" x14ac:dyDescent="0.25">
      <c r="A1470" s="2" t="str">
        <f ca="1">IFERROR(__xludf.DUMMYFUNCTION("""COMPUTED_VALUE"""),"5063b6da")</f>
        <v>5063b6da</v>
      </c>
      <c r="B1470" s="5">
        <f ca="1">IFERROR(__xludf.DUMMYFUNCTION("""COMPUTED_VALUE"""),46112.8181134259)</f>
        <v>46112.818113425899</v>
      </c>
      <c r="C1470" s="2" t="str">
        <f ca="1">IFERROR(__xludf.DUMMYFUNCTION("""COMPUTED_VALUE"""),"0684c059")</f>
        <v>0684c059</v>
      </c>
      <c r="D1470" s="2">
        <f ca="1">IFERROR(__xludf.DUMMYFUNCTION("""COMPUTED_VALUE"""),95)</f>
        <v>95</v>
      </c>
      <c r="E1470" s="2" t="str">
        <f ca="1">IFERROR(__xludf.DUMMYFUNCTION("""COMPUTED_VALUE"""),"Cabernet Sauvignon")</f>
        <v>Cabernet Sauvignon</v>
      </c>
      <c r="F1470" s="2">
        <f ca="1">IFERROR(__xludf.DUMMYFUNCTION("""COMPUTED_VALUE"""),-18000)</f>
        <v>-18000</v>
      </c>
      <c r="G1470" s="2">
        <f ca="1">IFERROR(__xludf.DUMMYFUNCTION("""COMPUTED_VALUE"""),500)</f>
        <v>500</v>
      </c>
      <c r="H1470" s="2" t="str">
        <f ca="1">IFERROR(__xludf.DUMMYFUNCTION("""COMPUTED_VALUE"""),"c47bd837")</f>
        <v>c47bd837</v>
      </c>
      <c r="I1470" s="2" t="str">
        <f ca="1">IFERROR(__xludf.DUMMYFUNCTION("""COMPUTED_VALUE"""),"AJUSTE COSECHA 2026")</f>
        <v>AJUSTE COSECHA 2026</v>
      </c>
      <c r="J1470" s="2">
        <f ca="1">IFERROR(__xludf.DUMMYFUNCTION("""COMPUTED_VALUE"""),73100)</f>
        <v>73100</v>
      </c>
      <c r="K1470" s="2">
        <f ca="1">IFERROR(__xludf.DUMMYFUNCTION("""COMPUTED_VALUE"""),55100)</f>
        <v>55100</v>
      </c>
      <c r="L1470" s="2" t="str">
        <f ca="1">IFERROR(__xludf.DUMMYFUNCTION("""COMPUTED_VALUE"""),"ca789fd6")</f>
        <v>ca789fd6</v>
      </c>
      <c r="M1470" s="2" t="str">
        <f ca="1">IFERROR(__xludf.DUMMYFUNCTION("""COMPUTED_VALUE"""),"AJUSTE COSECHA 2026")</f>
        <v>AJUSTE COSECHA 2026</v>
      </c>
      <c r="N1470" s="2"/>
      <c r="O1470" s="2" t="str">
        <f ca="1">IFERROR(__xludf.DUMMYFUNCTION("""COMPUTED_VALUE"""),"Fermentando")</f>
        <v>Fermentando</v>
      </c>
      <c r="P1470" s="2" t="str">
        <f ca="1">IFERROR(__xludf.DUMMYFUNCTION("""COMPUTED_VALUE"""),"Fermentando")</f>
        <v>Fermentando</v>
      </c>
      <c r="Q1470" s="2" t="b">
        <f ca="1">IFERROR(__xludf.DUMMYFUNCTION("""COMPUTED_VALUE"""),TRUE)</f>
        <v>1</v>
      </c>
      <c r="R1470" s="2" t="str">
        <f ca="1">IFERROR(__xludf.DUMMYFUNCTION("""COMPUTED_VALUE"""),"Fermentando")</f>
        <v>Fermentando</v>
      </c>
      <c r="S1470" s="2"/>
      <c r="T1470" s="2"/>
      <c r="U1470" s="2" t="str">
        <f ca="1">IFERROR(__xludf.DUMMYFUNCTION("""COMPUTED_VALUE"""),"1")</f>
        <v>1</v>
      </c>
    </row>
    <row r="1471" spans="1:21" x14ac:dyDescent="0.25">
      <c r="A1471" s="2" t="str">
        <f ca="1">IFERROR(__xludf.DUMMYFUNCTION("""COMPUTED_VALUE"""),"f243c6e2")</f>
        <v>f243c6e2</v>
      </c>
      <c r="B1471" s="5">
        <f ca="1">IFERROR(__xludf.DUMMYFUNCTION("""COMPUTED_VALUE"""),46112.8883101851)</f>
        <v>46112.888310185102</v>
      </c>
      <c r="C1471" s="2" t="str">
        <f ca="1">IFERROR(__xludf.DUMMYFUNCTION("""COMPUTED_VALUE"""),"f3f41b27")</f>
        <v>f3f41b27</v>
      </c>
      <c r="D1471" s="2">
        <f ca="1">IFERROR(__xludf.DUMMYFUNCTION("""COMPUTED_VALUE"""),79)</f>
        <v>79</v>
      </c>
      <c r="E1471" s="2" t="str">
        <f ca="1">IFERROR(__xludf.DUMMYFUNCTION("""COMPUTED_VALUE"""),"Criolla")</f>
        <v>Criolla</v>
      </c>
      <c r="F1471" s="2">
        <f ca="1">IFERROR(__xludf.DUMMYFUNCTION("""COMPUTED_VALUE"""),-12800)</f>
        <v>-12800</v>
      </c>
      <c r="G1471" s="2">
        <f ca="1">IFERROR(__xludf.DUMMYFUNCTION("""COMPUTED_VALUE"""),500)</f>
        <v>500</v>
      </c>
      <c r="H1471" s="2" t="str">
        <f ca="1">IFERROR(__xludf.DUMMYFUNCTION("""COMPUTED_VALUE"""),"ca789fd6")</f>
        <v>ca789fd6</v>
      </c>
      <c r="I1471" s="2" t="str">
        <f ca="1">IFERROR(__xludf.DUMMYFUNCTION("""COMPUTED_VALUE"""),"AJUSTE COSECHA 2026")</f>
        <v>AJUSTE COSECHA 2026</v>
      </c>
      <c r="J1471" s="2">
        <f ca="1">IFERROR(__xludf.DUMMYFUNCTION("""COMPUTED_VALUE"""),55100)</f>
        <v>55100</v>
      </c>
      <c r="K1471" s="2">
        <f ca="1">IFERROR(__xludf.DUMMYFUNCTION("""COMPUTED_VALUE"""),42300)</f>
        <v>42300</v>
      </c>
      <c r="L1471" s="2" t="str">
        <f ca="1">IFERROR(__xludf.DUMMYFUNCTION("""COMPUTED_VALUE"""),"91eb4b2e")</f>
        <v>91eb4b2e</v>
      </c>
      <c r="M1471" s="2" t="str">
        <f ca="1">IFERROR(__xludf.DUMMYFUNCTION("""COMPUTED_VALUE"""),"AJUSTE COSECHA 2026")</f>
        <v>AJUSTE COSECHA 2026</v>
      </c>
      <c r="N1471" s="2"/>
      <c r="O1471" s="2" t="str">
        <f ca="1">IFERROR(__xludf.DUMMYFUNCTION("""COMPUTED_VALUE"""),"Fermentando")</f>
        <v>Fermentando</v>
      </c>
      <c r="P1471" s="2" t="str">
        <f ca="1">IFERROR(__xludf.DUMMYFUNCTION("""COMPUTED_VALUE"""),"Fermentando")</f>
        <v>Fermentando</v>
      </c>
      <c r="Q1471" s="2" t="b">
        <f ca="1">IFERROR(__xludf.DUMMYFUNCTION("""COMPUTED_VALUE"""),TRUE)</f>
        <v>1</v>
      </c>
      <c r="R1471" s="2" t="str">
        <f ca="1">IFERROR(__xludf.DUMMYFUNCTION("""COMPUTED_VALUE"""),"Fermentando")</f>
        <v>Fermentando</v>
      </c>
      <c r="S1471" s="2"/>
      <c r="T1471" s="2"/>
      <c r="U1471" s="2" t="str">
        <f ca="1">IFERROR(__xludf.DUMMYFUNCTION("""COMPUTED_VALUE"""),"1")</f>
        <v>1</v>
      </c>
    </row>
    <row r="1472" spans="1:21" x14ac:dyDescent="0.25">
      <c r="A1472" s="2" t="str">
        <f ca="1">IFERROR(__xludf.DUMMYFUNCTION("""COMPUTED_VALUE"""),"851e040a")</f>
        <v>851e040a</v>
      </c>
      <c r="B1472" s="5">
        <f ca="1">IFERROR(__xludf.DUMMYFUNCTION("""COMPUTED_VALUE"""),46113.5105787037)</f>
        <v>46113.510578703703</v>
      </c>
      <c r="C1472" s="2" t="str">
        <f ca="1">IFERROR(__xludf.DUMMYFUNCTION("""COMPUTED_VALUE"""),"f66c787f")</f>
        <v>f66c787f</v>
      </c>
      <c r="D1472" s="2">
        <f ca="1">IFERROR(__xludf.DUMMYFUNCTION("""COMPUTED_VALUE"""),125)</f>
        <v>125</v>
      </c>
      <c r="E1472" s="2" t="str">
        <f ca="1">IFERROR(__xludf.DUMMYFUNCTION("""COMPUTED_VALUE"""),"Criolla Mosto")</f>
        <v>Criolla Mosto</v>
      </c>
      <c r="F1472" s="2">
        <f ca="1">IFERROR(__xludf.DUMMYFUNCTION("""COMPUTED_VALUE"""),29600)</f>
        <v>29600</v>
      </c>
      <c r="G1472" s="2">
        <f ca="1">IFERROR(__xludf.DUMMYFUNCTION("""COMPUTED_VALUE"""),126)</f>
        <v>126</v>
      </c>
      <c r="H1472" s="2"/>
      <c r="I1472" s="2"/>
      <c r="J1472" s="2">
        <f ca="1">IFERROR(__xludf.DUMMYFUNCTION("""COMPUTED_VALUE"""),0)</f>
        <v>0</v>
      </c>
      <c r="K1472" s="2">
        <f ca="1">IFERROR(__xludf.DUMMYFUNCTION("""COMPUTED_VALUE"""),29600)</f>
        <v>29600</v>
      </c>
      <c r="L1472" s="2" t="str">
        <f ca="1">IFERROR(__xludf.DUMMYFUNCTION("""COMPUTED_VALUE"""),"cade6b9a")</f>
        <v>cade6b9a</v>
      </c>
      <c r="M1472" s="2" t="str">
        <f ca="1">IFERROR(__xludf.DUMMYFUNCTION("""COMPUTED_VALUE"""),"Criolla Mosto")</f>
        <v>Criolla Mosto</v>
      </c>
      <c r="N1472" s="2"/>
      <c r="O1472" s="2" t="str">
        <f ca="1">IFERROR(__xludf.DUMMYFUNCTION("""COMPUTED_VALUE"""),"Mosto")</f>
        <v>Mosto</v>
      </c>
      <c r="P1472" s="2"/>
      <c r="Q1472" s="2" t="b">
        <f ca="1">IFERROR(__xludf.DUMMYFUNCTION("""COMPUTED_VALUE"""),FALSE)</f>
        <v>0</v>
      </c>
      <c r="R1472" s="2" t="str">
        <f ca="1">IFERROR(__xludf.DUMMYFUNCTION("""COMPUTED_VALUE"""),"Mosto")</f>
        <v>Mosto</v>
      </c>
      <c r="S1472" s="2"/>
      <c r="T1472" s="2"/>
      <c r="U1472" s="2"/>
    </row>
    <row r="1473" spans="1:21" x14ac:dyDescent="0.25">
      <c r="A1473" s="2" t="str">
        <f ca="1">IFERROR(__xludf.DUMMYFUNCTION("""COMPUTED_VALUE"""),"3c5b659c")</f>
        <v>3c5b659c</v>
      </c>
      <c r="B1473" s="5">
        <f ca="1">IFERROR(__xludf.DUMMYFUNCTION("""COMPUTED_VALUE"""),46113.5110300925)</f>
        <v>46113.511030092501</v>
      </c>
      <c r="C1473" s="2" t="str">
        <f ca="1">IFERROR(__xludf.DUMMYFUNCTION("""COMPUTED_VALUE"""),"cade6b9a")</f>
        <v>cade6b9a</v>
      </c>
      <c r="D1473" s="2">
        <f ca="1">IFERROR(__xludf.DUMMYFUNCTION("""COMPUTED_VALUE"""),126)</f>
        <v>126</v>
      </c>
      <c r="E1473" s="2" t="str">
        <f ca="1">IFERROR(__xludf.DUMMYFUNCTION("""COMPUTED_VALUE"""),"Criolla Mosto")</f>
        <v>Criolla Mosto</v>
      </c>
      <c r="F1473" s="2">
        <f ca="1">IFERROR(__xludf.DUMMYFUNCTION("""COMPUTED_VALUE"""),22000)</f>
        <v>22000</v>
      </c>
      <c r="G1473" s="2">
        <f ca="1">IFERROR(__xludf.DUMMYFUNCTION("""COMPUTED_VALUE"""),8)</f>
        <v>8</v>
      </c>
      <c r="H1473" s="2"/>
      <c r="I1473" s="2"/>
      <c r="J1473" s="2">
        <f ca="1">IFERROR(__xludf.DUMMYFUNCTION("""COMPUTED_VALUE"""),0)</f>
        <v>0</v>
      </c>
      <c r="K1473" s="2">
        <f ca="1">IFERROR(__xludf.DUMMYFUNCTION("""COMPUTED_VALUE"""),22000)</f>
        <v>22000</v>
      </c>
      <c r="L1473" s="2" t="str">
        <f ca="1">IFERROR(__xludf.DUMMYFUNCTION("""COMPUTED_VALUE"""),"6493978c")</f>
        <v>6493978c</v>
      </c>
      <c r="M1473" s="2" t="str">
        <f ca="1">IFERROR(__xludf.DUMMYFUNCTION("""COMPUTED_VALUE"""),"Criolla Mosto Rect")</f>
        <v>Criolla Mosto Rect</v>
      </c>
      <c r="N1473" s="2"/>
      <c r="O1473" s="2" t="str">
        <f ca="1">IFERROR(__xludf.DUMMYFUNCTION("""COMPUTED_VALUE"""),"Mosto")</f>
        <v>Mosto</v>
      </c>
      <c r="P1473" s="2"/>
      <c r="Q1473" s="2" t="b">
        <f ca="1">IFERROR(__xludf.DUMMYFUNCTION("""COMPUTED_VALUE"""),FALSE)</f>
        <v>0</v>
      </c>
      <c r="R1473" s="2" t="str">
        <f ca="1">IFERROR(__xludf.DUMMYFUNCTION("""COMPUTED_VALUE"""),"Rectificado")</f>
        <v>Rectificado</v>
      </c>
      <c r="S1473" s="2"/>
      <c r="T1473" s="2"/>
      <c r="U1473" s="2"/>
    </row>
    <row r="1474" spans="1:21" x14ac:dyDescent="0.25">
      <c r="A1474" s="2" t="str">
        <f ca="1">IFERROR(__xludf.DUMMYFUNCTION("""COMPUTED_VALUE"""),"9382d913")</f>
        <v>9382d913</v>
      </c>
      <c r="B1474" s="5">
        <f ca="1">IFERROR(__xludf.DUMMYFUNCTION("""COMPUTED_VALUE"""),46113.5120949074)</f>
        <v>46113.512094907397</v>
      </c>
      <c r="C1474" s="2" t="str">
        <f ca="1">IFERROR(__xludf.DUMMYFUNCTION("""COMPUTED_VALUE"""),"f3f41b27")</f>
        <v>f3f41b27</v>
      </c>
      <c r="D1474" s="2">
        <f ca="1">IFERROR(__xludf.DUMMYFUNCTION("""COMPUTED_VALUE"""),79)</f>
        <v>79</v>
      </c>
      <c r="E1474" s="2" t="str">
        <f ca="1">IFERROR(__xludf.DUMMYFUNCTION("""COMPUTED_VALUE"""),"Criolla")</f>
        <v>Criolla</v>
      </c>
      <c r="F1474" s="2">
        <f ca="1">IFERROR(__xludf.DUMMYFUNCTION("""COMPUTED_VALUE"""),24020)</f>
        <v>24020</v>
      </c>
      <c r="G1474" s="2">
        <f ca="1">IFERROR(__xludf.DUMMYFUNCTION("""COMPUTED_VALUE"""),127)</f>
        <v>127</v>
      </c>
      <c r="H1474" s="2"/>
      <c r="I1474" s="2"/>
      <c r="J1474" s="2">
        <f ca="1">IFERROR(__xludf.DUMMYFUNCTION("""COMPUTED_VALUE"""),0)</f>
        <v>0</v>
      </c>
      <c r="K1474" s="2">
        <f ca="1">IFERROR(__xludf.DUMMYFUNCTION("""COMPUTED_VALUE"""),24020)</f>
        <v>24020</v>
      </c>
      <c r="L1474" s="2" t="str">
        <f ca="1">IFERROR(__xludf.DUMMYFUNCTION("""COMPUTED_VALUE"""),"ba82b2bc")</f>
        <v>ba82b2bc</v>
      </c>
      <c r="M1474" s="2" t="str">
        <f ca="1">IFERROR(__xludf.DUMMYFUNCTION("""COMPUTED_VALUE"""),"Criolla")</f>
        <v>Criolla</v>
      </c>
      <c r="N1474" s="2"/>
      <c r="O1474" s="2" t="str">
        <f ca="1">IFERROR(__xludf.DUMMYFUNCTION("""COMPUTED_VALUE"""),"Fermentando")</f>
        <v>Fermentando</v>
      </c>
      <c r="P1474" s="2"/>
      <c r="Q1474" s="2" t="b">
        <f ca="1">IFERROR(__xludf.DUMMYFUNCTION("""COMPUTED_VALUE"""),FALSE)</f>
        <v>0</v>
      </c>
      <c r="R1474" s="2" t="str">
        <f ca="1">IFERROR(__xludf.DUMMYFUNCTION("""COMPUTED_VALUE"""),"Fermentando")</f>
        <v>Fermentando</v>
      </c>
      <c r="S1474" s="2"/>
      <c r="T1474" s="2"/>
      <c r="U1474" s="2"/>
    </row>
    <row r="1475" spans="1:21" x14ac:dyDescent="0.25">
      <c r="A1475" s="2" t="str">
        <f ca="1">IFERROR(__xludf.DUMMYFUNCTION("""COMPUTED_VALUE"""),"c12d0bd2")</f>
        <v>c12d0bd2</v>
      </c>
      <c r="B1475" s="5">
        <f ca="1">IFERROR(__xludf.DUMMYFUNCTION("""COMPUTED_VALUE"""),46113.5127199074)</f>
        <v>46113.512719907398</v>
      </c>
      <c r="C1475" s="2" t="str">
        <f ca="1">IFERROR(__xludf.DUMMYFUNCTION("""COMPUTED_VALUE"""),"e6286b68")</f>
        <v>e6286b68</v>
      </c>
      <c r="D1475" s="2">
        <f ca="1">IFERROR(__xludf.DUMMYFUNCTION("""COMPUTED_VALUE"""),96)</f>
        <v>96</v>
      </c>
      <c r="E1475" s="2" t="str">
        <f ca="1">IFERROR(__xludf.DUMMYFUNCTION("""COMPUTED_VALUE"""),"Tinto Varietal B")</f>
        <v>Tinto Varietal B</v>
      </c>
      <c r="F1475" s="2">
        <f ca="1">IFERROR(__xludf.DUMMYFUNCTION("""COMPUTED_VALUE"""),35900)</f>
        <v>35900</v>
      </c>
      <c r="G1475" s="2">
        <f ca="1">IFERROR(__xludf.DUMMYFUNCTION("""COMPUTED_VALUE"""),42)</f>
        <v>42</v>
      </c>
      <c r="H1475" s="2"/>
      <c r="I1475" s="2"/>
      <c r="J1475" s="2">
        <f ca="1">IFERROR(__xludf.DUMMYFUNCTION("""COMPUTED_VALUE"""),0)</f>
        <v>0</v>
      </c>
      <c r="K1475" s="2">
        <f ca="1">IFERROR(__xludf.DUMMYFUNCTION("""COMPUTED_VALUE"""),35900)</f>
        <v>35900</v>
      </c>
      <c r="L1475" s="2" t="str">
        <f ca="1">IFERROR(__xludf.DUMMYFUNCTION("""COMPUTED_VALUE"""),"2c1f7013")</f>
        <v>2c1f7013</v>
      </c>
      <c r="M1475" s="2" t="str">
        <f ca="1">IFERROR(__xludf.DUMMYFUNCTION("""COMPUTED_VALUE"""),"Tinto Varietal B")</f>
        <v>Tinto Varietal B</v>
      </c>
      <c r="N1475" s="2"/>
      <c r="O1475" s="2" t="str">
        <f ca="1">IFERROR(__xludf.DUMMYFUNCTION("""COMPUTED_VALUE"""),"Terminado")</f>
        <v>Terminado</v>
      </c>
      <c r="P1475" s="2"/>
      <c r="Q1475" s="2" t="b">
        <f ca="1">IFERROR(__xludf.DUMMYFUNCTION("""COMPUTED_VALUE"""),FALSE)</f>
        <v>0</v>
      </c>
      <c r="R1475" s="2" t="str">
        <f ca="1">IFERROR(__xludf.DUMMYFUNCTION("""COMPUTED_VALUE"""),"Terminado")</f>
        <v>Terminado</v>
      </c>
      <c r="S1475" s="2"/>
      <c r="T1475" s="2"/>
      <c r="U1475" s="2" t="str">
        <f ca="1">IFERROR(__xludf.DUMMYFUNCTION("""COMPUTED_VALUE"""),"1")</f>
        <v>1</v>
      </c>
    </row>
    <row r="1476" spans="1:21" x14ac:dyDescent="0.25">
      <c r="A1476" s="2" t="str">
        <f ca="1">IFERROR(__xludf.DUMMYFUNCTION("""COMPUTED_VALUE"""),"42e2c9da")</f>
        <v>42e2c9da</v>
      </c>
      <c r="B1476" s="5">
        <f ca="1">IFERROR(__xludf.DUMMYFUNCTION("""COMPUTED_VALUE"""),46113.5128703703)</f>
        <v>46113.512870370301</v>
      </c>
      <c r="C1476" s="2" t="str">
        <f ca="1">IFERROR(__xludf.DUMMYFUNCTION("""COMPUTED_VALUE"""),"e6286b68")</f>
        <v>e6286b68</v>
      </c>
      <c r="D1476" s="2">
        <f ca="1">IFERROR(__xludf.DUMMYFUNCTION("""COMPUTED_VALUE"""),96)</f>
        <v>96</v>
      </c>
      <c r="E1476" s="2" t="str">
        <f ca="1">IFERROR(__xludf.DUMMYFUNCTION("""COMPUTED_VALUE"""),"Tinto Varietal B")</f>
        <v>Tinto Varietal B</v>
      </c>
      <c r="F1476" s="2">
        <f ca="1">IFERROR(__xludf.DUMMYFUNCTION("""COMPUTED_VALUE"""),19700)</f>
        <v>19700</v>
      </c>
      <c r="G1476" s="2">
        <f ca="1">IFERROR(__xludf.DUMMYFUNCTION("""COMPUTED_VALUE"""),36)</f>
        <v>36</v>
      </c>
      <c r="H1476" s="2"/>
      <c r="I1476" s="2"/>
      <c r="J1476" s="2">
        <f ca="1">IFERROR(__xludf.DUMMYFUNCTION("""COMPUTED_VALUE"""),0)</f>
        <v>0</v>
      </c>
      <c r="K1476" s="2">
        <f ca="1">IFERROR(__xludf.DUMMYFUNCTION("""COMPUTED_VALUE"""),19700)</f>
        <v>19700</v>
      </c>
      <c r="L1476" s="2" t="str">
        <f ca="1">IFERROR(__xludf.DUMMYFUNCTION("""COMPUTED_VALUE"""),"f5732c0d")</f>
        <v>f5732c0d</v>
      </c>
      <c r="M1476" s="2" t="str">
        <f ca="1">IFERROR(__xludf.DUMMYFUNCTION("""COMPUTED_VALUE"""),"Tinto Varietal B")</f>
        <v>Tinto Varietal B</v>
      </c>
      <c r="N1476" s="2"/>
      <c r="O1476" s="2" t="str">
        <f ca="1">IFERROR(__xludf.DUMMYFUNCTION("""COMPUTED_VALUE"""),"Terminado")</f>
        <v>Terminado</v>
      </c>
      <c r="P1476" s="2"/>
      <c r="Q1476" s="2" t="b">
        <f ca="1">IFERROR(__xludf.DUMMYFUNCTION("""COMPUTED_VALUE"""),FALSE)</f>
        <v>0</v>
      </c>
      <c r="R1476" s="2" t="str">
        <f ca="1">IFERROR(__xludf.DUMMYFUNCTION("""COMPUTED_VALUE"""),"Terminado")</f>
        <v>Terminado</v>
      </c>
      <c r="S1476" s="2"/>
      <c r="T1476" s="2"/>
      <c r="U1476" s="2" t="str">
        <f ca="1">IFERROR(__xludf.DUMMYFUNCTION("""COMPUTED_VALUE"""),"1")</f>
        <v>1</v>
      </c>
    </row>
    <row r="1477" spans="1:21" x14ac:dyDescent="0.25">
      <c r="A1477" s="2" t="str">
        <f ca="1">IFERROR(__xludf.DUMMYFUNCTION("""COMPUTED_VALUE"""),"5ec3c911")</f>
        <v>5ec3c911</v>
      </c>
      <c r="B1477" s="5">
        <f ca="1">IFERROR(__xludf.DUMMYFUNCTION("""COMPUTED_VALUE"""),46113.5130439814)</f>
        <v>46113.513043981402</v>
      </c>
      <c r="C1477" s="2" t="str">
        <f ca="1">IFERROR(__xludf.DUMMYFUNCTION("""COMPUTED_VALUE"""),"e6286b68")</f>
        <v>e6286b68</v>
      </c>
      <c r="D1477" s="2">
        <f ca="1">IFERROR(__xludf.DUMMYFUNCTION("""COMPUTED_VALUE"""),96)</f>
        <v>96</v>
      </c>
      <c r="E1477" s="2" t="str">
        <f ca="1">IFERROR(__xludf.DUMMYFUNCTION("""COMPUTED_VALUE"""),"Tinto Varietal B")</f>
        <v>Tinto Varietal B</v>
      </c>
      <c r="F1477" s="2">
        <f ca="1">IFERROR(__xludf.DUMMYFUNCTION("""COMPUTED_VALUE"""),30000)</f>
        <v>30000</v>
      </c>
      <c r="G1477" s="2">
        <f ca="1">IFERROR(__xludf.DUMMYFUNCTION("""COMPUTED_VALUE"""),45)</f>
        <v>45</v>
      </c>
      <c r="H1477" s="2"/>
      <c r="I1477" s="2"/>
      <c r="J1477" s="2">
        <f ca="1">IFERROR(__xludf.DUMMYFUNCTION("""COMPUTED_VALUE"""),0)</f>
        <v>0</v>
      </c>
      <c r="K1477" s="2">
        <f ca="1">IFERROR(__xludf.DUMMYFUNCTION("""COMPUTED_VALUE"""),30000)</f>
        <v>30000</v>
      </c>
      <c r="L1477" s="2" t="str">
        <f ca="1">IFERROR(__xludf.DUMMYFUNCTION("""COMPUTED_VALUE"""),"34d5df80")</f>
        <v>34d5df80</v>
      </c>
      <c r="M1477" s="2" t="str">
        <f ca="1">IFERROR(__xludf.DUMMYFUNCTION("""COMPUTED_VALUE"""),"Tinto Varietal B")</f>
        <v>Tinto Varietal B</v>
      </c>
      <c r="N1477" s="2"/>
      <c r="O1477" s="2" t="str">
        <f ca="1">IFERROR(__xludf.DUMMYFUNCTION("""COMPUTED_VALUE"""),"Terminado")</f>
        <v>Terminado</v>
      </c>
      <c r="P1477" s="2"/>
      <c r="Q1477" s="2" t="b">
        <f ca="1">IFERROR(__xludf.DUMMYFUNCTION("""COMPUTED_VALUE"""),FALSE)</f>
        <v>0</v>
      </c>
      <c r="R1477" s="2" t="str">
        <f ca="1">IFERROR(__xludf.DUMMYFUNCTION("""COMPUTED_VALUE"""),"Terminado")</f>
        <v>Terminado</v>
      </c>
      <c r="S1477" s="2"/>
      <c r="T1477" s="2"/>
      <c r="U1477" s="2" t="str">
        <f ca="1">IFERROR(__xludf.DUMMYFUNCTION("""COMPUTED_VALUE"""),"1")</f>
        <v>1</v>
      </c>
    </row>
    <row r="1478" spans="1:21" x14ac:dyDescent="0.25">
      <c r="A1478" s="2" t="str">
        <f ca="1">IFERROR(__xludf.DUMMYFUNCTION("""COMPUTED_VALUE"""),"16a6da47")</f>
        <v>16a6da47</v>
      </c>
      <c r="B1478" s="5">
        <f ca="1">IFERROR(__xludf.DUMMYFUNCTION("""COMPUTED_VALUE"""),46113.5136458333)</f>
        <v>46113.5136458333</v>
      </c>
      <c r="C1478" s="2" t="str">
        <f ca="1">IFERROR(__xludf.DUMMYFUNCTION("""COMPUTED_VALUE"""),"067d11e7")</f>
        <v>067d11e7</v>
      </c>
      <c r="D1478" s="2">
        <f ca="1">IFERROR(__xludf.DUMMYFUNCTION("""COMPUTED_VALUE"""),92)</f>
        <v>92</v>
      </c>
      <c r="E1478" s="2" t="str">
        <f ca="1">IFERROR(__xludf.DUMMYFUNCTION("""COMPUTED_VALUE"""),"Cabernet Sauv")</f>
        <v>Cabernet Sauv</v>
      </c>
      <c r="F1478" s="2">
        <f ca="1">IFERROR(__xludf.DUMMYFUNCTION("""COMPUTED_VALUE"""),55600)</f>
        <v>55600</v>
      </c>
      <c r="G1478" s="2">
        <f ca="1">IFERROR(__xludf.DUMMYFUNCTION("""COMPUTED_VALUE"""),118)</f>
        <v>118</v>
      </c>
      <c r="H1478" s="2" t="str">
        <f ca="1">IFERROR(__xludf.DUMMYFUNCTION("""COMPUTED_VALUE"""),"52f88149")</f>
        <v>52f88149</v>
      </c>
      <c r="I1478" s="2" t="str">
        <f ca="1">IFERROR(__xludf.DUMMYFUNCTION("""COMPUTED_VALUE"""),"Syrah Bonarda")</f>
        <v>Syrah Bonarda</v>
      </c>
      <c r="J1478" s="2">
        <f ca="1">IFERROR(__xludf.DUMMYFUNCTION("""COMPUTED_VALUE"""),55400)</f>
        <v>55400</v>
      </c>
      <c r="K1478" s="2">
        <f ca="1">IFERROR(__xludf.DUMMYFUNCTION("""COMPUTED_VALUE"""),111000)</f>
        <v>111000</v>
      </c>
      <c r="L1478" s="2" t="str">
        <f ca="1">IFERROR(__xludf.DUMMYFUNCTION("""COMPUTED_VALUE"""),"75903343")</f>
        <v>75903343</v>
      </c>
      <c r="M1478" s="2" t="str">
        <f ca="1">IFERROR(__xludf.DUMMYFUNCTION("""COMPUTED_VALUE"""),"Syrah Bonarda")</f>
        <v>Syrah Bonarda</v>
      </c>
      <c r="N1478" s="2"/>
      <c r="O1478" s="2" t="str">
        <f ca="1">IFERROR(__xludf.DUMMYFUNCTION("""COMPUTED_VALUE"""),"Fermentando")</f>
        <v>Fermentando</v>
      </c>
      <c r="P1478" s="2" t="str">
        <f ca="1">IFERROR(__xludf.DUMMYFUNCTION("""COMPUTED_VALUE"""),"Descubada")</f>
        <v>Descubada</v>
      </c>
      <c r="Q1478" s="2" t="b">
        <f ca="1">IFERROR(__xludf.DUMMYFUNCTION("""COMPUTED_VALUE"""),TRUE)</f>
        <v>1</v>
      </c>
      <c r="R1478" s="2" t="str">
        <f ca="1">IFERROR(__xludf.DUMMYFUNCTION("""COMPUTED_VALUE"""),"Descubada")</f>
        <v>Descubada</v>
      </c>
      <c r="S1478" s="2"/>
      <c r="T1478" s="2"/>
      <c r="U1478" s="2" t="str">
        <f ca="1">IFERROR(__xludf.DUMMYFUNCTION("""COMPUTED_VALUE"""),"1")</f>
        <v>1</v>
      </c>
    </row>
    <row r="1479" spans="1:21" x14ac:dyDescent="0.25">
      <c r="A1479" s="2" t="str">
        <f ca="1">IFERROR(__xludf.DUMMYFUNCTION("""COMPUTED_VALUE"""),"0188c9d8")</f>
        <v>0188c9d8</v>
      </c>
      <c r="B1479" s="5">
        <f ca="1">IFERROR(__xludf.DUMMYFUNCTION("""COMPUTED_VALUE"""),46113.5139814814)</f>
        <v>46113.513981481403</v>
      </c>
      <c r="C1479" s="2" t="str">
        <f ca="1">IFERROR(__xludf.DUMMYFUNCTION("""COMPUTED_VALUE"""),"181268cf")</f>
        <v>181268cf</v>
      </c>
      <c r="D1479" s="2">
        <f ca="1">IFERROR(__xludf.DUMMYFUNCTION("""COMPUTED_VALUE"""),65)</f>
        <v>65</v>
      </c>
      <c r="E1479" s="2" t="str">
        <f ca="1">IFERROR(__xludf.DUMMYFUNCTION("""COMPUTED_VALUE"""),"Syrah Temp")</f>
        <v>Syrah Temp</v>
      </c>
      <c r="F1479" s="2">
        <f ca="1">IFERROR(__xludf.DUMMYFUNCTION("""COMPUTED_VALUE"""),26500)</f>
        <v>26500</v>
      </c>
      <c r="G1479" s="2">
        <f ca="1">IFERROR(__xludf.DUMMYFUNCTION("""COMPUTED_VALUE"""),118)</f>
        <v>118</v>
      </c>
      <c r="H1479" s="2" t="str">
        <f ca="1">IFERROR(__xludf.DUMMYFUNCTION("""COMPUTED_VALUE"""),"75903343")</f>
        <v>75903343</v>
      </c>
      <c r="I1479" s="2" t="str">
        <f ca="1">IFERROR(__xludf.DUMMYFUNCTION("""COMPUTED_VALUE"""),"Syrah Bonarda")</f>
        <v>Syrah Bonarda</v>
      </c>
      <c r="J1479" s="2">
        <f ca="1">IFERROR(__xludf.DUMMYFUNCTION("""COMPUTED_VALUE"""),111000)</f>
        <v>111000</v>
      </c>
      <c r="K1479" s="2">
        <f ca="1">IFERROR(__xludf.DUMMYFUNCTION("""COMPUTED_VALUE"""),137500)</f>
        <v>137500</v>
      </c>
      <c r="L1479" s="2" t="str">
        <f ca="1">IFERROR(__xludf.DUMMYFUNCTION("""COMPUTED_VALUE"""),"a5156e38")</f>
        <v>a5156e38</v>
      </c>
      <c r="M1479" s="2" t="str">
        <f ca="1">IFERROR(__xludf.DUMMYFUNCTION("""COMPUTED_VALUE"""),"Syrah Temp")</f>
        <v>Syrah Temp</v>
      </c>
      <c r="N1479" s="2"/>
      <c r="O1479" s="2" t="str">
        <f ca="1">IFERROR(__xludf.DUMMYFUNCTION("""COMPUTED_VALUE"""),"Fermentando")</f>
        <v>Fermentando</v>
      </c>
      <c r="P1479" s="2" t="str">
        <f ca="1">IFERROR(__xludf.DUMMYFUNCTION("""COMPUTED_VALUE"""),"Descubada")</f>
        <v>Descubada</v>
      </c>
      <c r="Q1479" s="2" t="b">
        <f ca="1">IFERROR(__xludf.DUMMYFUNCTION("""COMPUTED_VALUE"""),FALSE)</f>
        <v>0</v>
      </c>
      <c r="R1479" s="2" t="str">
        <f ca="1">IFERROR(__xludf.DUMMYFUNCTION("""COMPUTED_VALUE"""),"Fermentando")</f>
        <v>Fermentando</v>
      </c>
      <c r="S1479" s="2"/>
      <c r="T1479" s="2"/>
      <c r="U1479" s="2" t="str">
        <f ca="1">IFERROR(__xludf.DUMMYFUNCTION("""COMPUTED_VALUE"""),"1+")</f>
        <v>1+</v>
      </c>
    </row>
    <row r="1480" spans="1:21" x14ac:dyDescent="0.25">
      <c r="A1480" s="2" t="str">
        <f ca="1">IFERROR(__xludf.DUMMYFUNCTION("""COMPUTED_VALUE"""),"f1f93361")</f>
        <v>f1f93361</v>
      </c>
      <c r="B1480" s="5">
        <f ca="1">IFERROR(__xludf.DUMMYFUNCTION("""COMPUTED_VALUE"""),46114.5053819444)</f>
        <v>46114.5053819444</v>
      </c>
      <c r="C1480" s="2" t="str">
        <f ca="1">IFERROR(__xludf.DUMMYFUNCTION("""COMPUTED_VALUE"""),"608410f5")</f>
        <v>608410f5</v>
      </c>
      <c r="D1480" s="2">
        <f ca="1">IFERROR(__xludf.DUMMYFUNCTION("""COMPUTED_VALUE"""),87)</f>
        <v>87</v>
      </c>
      <c r="E1480" s="2" t="str">
        <f ca="1">IFERROR(__xludf.DUMMYFUNCTION("""COMPUTED_VALUE"""),"Malbec")</f>
        <v>Malbec</v>
      </c>
      <c r="F1480" s="2">
        <f ca="1">IFERROR(__xludf.DUMMYFUNCTION("""COMPUTED_VALUE"""),5000)</f>
        <v>5000</v>
      </c>
      <c r="G1480" s="2">
        <f ca="1">IFERROR(__xludf.DUMMYFUNCTION("""COMPUTED_VALUE"""),90)</f>
        <v>90</v>
      </c>
      <c r="H1480" s="2" t="str">
        <f ca="1">IFERROR(__xludf.DUMMYFUNCTION("""COMPUTED_VALUE"""),"b6a0e793")</f>
        <v>b6a0e793</v>
      </c>
      <c r="I1480" s="2" t="str">
        <f ca="1">IFERROR(__xludf.DUMMYFUNCTION("""COMPUTED_VALUE"""),"Malbec")</f>
        <v>Malbec</v>
      </c>
      <c r="J1480" s="2">
        <f ca="1">IFERROR(__xludf.DUMMYFUNCTION("""COMPUTED_VALUE"""),53500)</f>
        <v>53500</v>
      </c>
      <c r="K1480" s="2">
        <f ca="1">IFERROR(__xludf.DUMMYFUNCTION("""COMPUTED_VALUE"""),58500)</f>
        <v>58500</v>
      </c>
      <c r="L1480" s="2" t="str">
        <f ca="1">IFERROR(__xludf.DUMMYFUNCTION("""COMPUTED_VALUE"""),"1ba01bfa")</f>
        <v>1ba01bfa</v>
      </c>
      <c r="M1480" s="2" t="str">
        <f ca="1">IFERROR(__xludf.DUMMYFUNCTION("""COMPUTED_VALUE"""),"Malbec PC")</f>
        <v>Malbec PC</v>
      </c>
      <c r="N1480" s="2"/>
      <c r="O1480" s="2" t="str">
        <f ca="1">IFERROR(__xludf.DUMMYFUNCTION("""COMPUTED_VALUE"""),"Fermentando")</f>
        <v>Fermentando</v>
      </c>
      <c r="P1480" s="2" t="str">
        <f ca="1">IFERROR(__xludf.DUMMYFUNCTION("""COMPUTED_VALUE"""),"Fermentando")</f>
        <v>Fermentando</v>
      </c>
      <c r="Q1480" s="2" t="b">
        <f ca="1">IFERROR(__xludf.DUMMYFUNCTION("""COMPUTED_VALUE"""),TRUE)</f>
        <v>1</v>
      </c>
      <c r="R1480" s="2" t="str">
        <f ca="1">IFERROR(__xludf.DUMMYFUNCTION("""COMPUTED_VALUE"""),"Fermentando")</f>
        <v>Fermentando</v>
      </c>
      <c r="S1480" s="2"/>
      <c r="T1480" s="2"/>
      <c r="U1480" s="2"/>
    </row>
    <row r="1481" spans="1:21" x14ac:dyDescent="0.25">
      <c r="A1481" s="2" t="str">
        <f ca="1">IFERROR(__xludf.DUMMYFUNCTION("""COMPUTED_VALUE"""),"e6d87c05")</f>
        <v>e6d87c05</v>
      </c>
      <c r="B1481" s="5">
        <f ca="1">IFERROR(__xludf.DUMMYFUNCTION("""COMPUTED_VALUE"""),46114.5060185185)</f>
        <v>46114.506018518499</v>
      </c>
      <c r="C1481" s="2" t="str">
        <f ca="1">IFERROR(__xludf.DUMMYFUNCTION("""COMPUTED_VALUE"""),"608410f5")</f>
        <v>608410f5</v>
      </c>
      <c r="D1481" s="2">
        <f ca="1">IFERROR(__xludf.DUMMYFUNCTION("""COMPUTED_VALUE"""),87)</f>
        <v>87</v>
      </c>
      <c r="E1481" s="2" t="str">
        <f ca="1">IFERROR(__xludf.DUMMYFUNCTION("""COMPUTED_VALUE"""),"Malbec")</f>
        <v>Malbec</v>
      </c>
      <c r="F1481" s="2">
        <f ca="1">IFERROR(__xludf.DUMMYFUNCTION("""COMPUTED_VALUE"""),1000)</f>
        <v>1000</v>
      </c>
      <c r="G1481" s="2">
        <f ca="1">IFERROR(__xludf.DUMMYFUNCTION("""COMPUTED_VALUE"""),79)</f>
        <v>79</v>
      </c>
      <c r="H1481" s="2" t="str">
        <f ca="1">IFERROR(__xludf.DUMMYFUNCTION("""COMPUTED_VALUE"""),"2a72924d")</f>
        <v>2a72924d</v>
      </c>
      <c r="I1481" s="2" t="str">
        <f ca="1">IFERROR(__xludf.DUMMYFUNCTION("""COMPUTED_VALUE"""),"Malbec Maq")</f>
        <v>Malbec Maq</v>
      </c>
      <c r="J1481" s="2">
        <f ca="1">IFERROR(__xludf.DUMMYFUNCTION("""COMPUTED_VALUE"""),9000)</f>
        <v>9000</v>
      </c>
      <c r="K1481" s="2">
        <f ca="1">IFERROR(__xludf.DUMMYFUNCTION("""COMPUTED_VALUE"""),10000)</f>
        <v>10000</v>
      </c>
      <c r="L1481" s="2" t="str">
        <f ca="1">IFERROR(__xludf.DUMMYFUNCTION("""COMPUTED_VALUE"""),"9a4dc22a")</f>
        <v>9a4dc22a</v>
      </c>
      <c r="M1481" s="2" t="str">
        <f ca="1">IFERROR(__xludf.DUMMYFUNCTION("""COMPUTED_VALUE"""),"Malbec Maq PC")</f>
        <v>Malbec Maq PC</v>
      </c>
      <c r="N1481" s="2"/>
      <c r="O1481" s="2" t="str">
        <f ca="1">IFERROR(__xludf.DUMMYFUNCTION("""COMPUTED_VALUE"""),"Fermentando")</f>
        <v>Fermentando</v>
      </c>
      <c r="P1481" s="2" t="str">
        <f ca="1">IFERROR(__xludf.DUMMYFUNCTION("""COMPUTED_VALUE"""),"Fermentando")</f>
        <v>Fermentando</v>
      </c>
      <c r="Q1481" s="2" t="b">
        <f ca="1">IFERROR(__xludf.DUMMYFUNCTION("""COMPUTED_VALUE"""),TRUE)</f>
        <v>1</v>
      </c>
      <c r="R1481" s="2" t="str">
        <f ca="1">IFERROR(__xludf.DUMMYFUNCTION("""COMPUTED_VALUE"""),"Fermentando")</f>
        <v>Fermentando</v>
      </c>
      <c r="S1481" s="2"/>
      <c r="T1481" s="2"/>
      <c r="U1481" s="2"/>
    </row>
    <row r="1482" spans="1:21" x14ac:dyDescent="0.25">
      <c r="A1482" s="2" t="str">
        <f ca="1">IFERROR(__xludf.DUMMYFUNCTION("""COMPUTED_VALUE"""),"55a24e4c")</f>
        <v>55a24e4c</v>
      </c>
      <c r="B1482" s="5">
        <f ca="1">IFERROR(__xludf.DUMMYFUNCTION("""COMPUTED_VALUE"""),46114.5068634259)</f>
        <v>46114.506863425901</v>
      </c>
      <c r="C1482" s="2" t="str">
        <f ca="1">IFERROR(__xludf.DUMMYFUNCTION("""COMPUTED_VALUE"""),"608410f5")</f>
        <v>608410f5</v>
      </c>
      <c r="D1482" s="2">
        <f ca="1">IFERROR(__xludf.DUMMYFUNCTION("""COMPUTED_VALUE"""),87)</f>
        <v>87</v>
      </c>
      <c r="E1482" s="2" t="str">
        <f ca="1">IFERROR(__xludf.DUMMYFUNCTION("""COMPUTED_VALUE"""),"Malbec")</f>
        <v>Malbec</v>
      </c>
      <c r="F1482" s="2">
        <f ca="1">IFERROR(__xludf.DUMMYFUNCTION("""COMPUTED_VALUE"""),6000)</f>
        <v>6000</v>
      </c>
      <c r="G1482" s="2">
        <f ca="1">IFERROR(__xludf.DUMMYFUNCTION("""COMPUTED_VALUE"""),96)</f>
        <v>96</v>
      </c>
      <c r="H1482" s="2" t="str">
        <f ca="1">IFERROR(__xludf.DUMMYFUNCTION("""COMPUTED_VALUE"""),"7180c38d")</f>
        <v>7180c38d</v>
      </c>
      <c r="I1482" s="2" t="str">
        <f ca="1">IFERROR(__xludf.DUMMYFUNCTION("""COMPUTED_VALUE"""),"Bonarda NV - Cabernet Sa")</f>
        <v>Bonarda NV - Cabernet Sa</v>
      </c>
      <c r="J1482" s="2">
        <f ca="1">IFERROR(__xludf.DUMMYFUNCTION("""COMPUTED_VALUE"""),40000)</f>
        <v>40000</v>
      </c>
      <c r="K1482" s="2">
        <f ca="1">IFERROR(__xludf.DUMMYFUNCTION("""COMPUTED_VALUE"""),46000)</f>
        <v>46000</v>
      </c>
      <c r="L1482" s="2" t="str">
        <f ca="1">IFERROR(__xludf.DUMMYFUNCTION("""COMPUTED_VALUE"""),"a2de3afc")</f>
        <v>a2de3afc</v>
      </c>
      <c r="M1482" s="2" t="str">
        <f ca="1">IFERROR(__xludf.DUMMYFUNCTION("""COMPUTED_VALUE"""),"Bonarda NV - Cabernet Sau PC")</f>
        <v>Bonarda NV - Cabernet Sau PC</v>
      </c>
      <c r="N1482" s="2"/>
      <c r="O1482" s="2" t="str">
        <f ca="1">IFERROR(__xludf.DUMMYFUNCTION("""COMPUTED_VALUE"""),"Fermentando")</f>
        <v>Fermentando</v>
      </c>
      <c r="P1482" s="2" t="str">
        <f ca="1">IFERROR(__xludf.DUMMYFUNCTION("""COMPUTED_VALUE"""),"Fermentando")</f>
        <v>Fermentando</v>
      </c>
      <c r="Q1482" s="2" t="b">
        <f ca="1">IFERROR(__xludf.DUMMYFUNCTION("""COMPUTED_VALUE"""),TRUE)</f>
        <v>1</v>
      </c>
      <c r="R1482" s="2" t="str">
        <f ca="1">IFERROR(__xludf.DUMMYFUNCTION("""COMPUTED_VALUE"""),"Fermentando")</f>
        <v>Fermentando</v>
      </c>
      <c r="S1482" s="2"/>
      <c r="T1482" s="2"/>
      <c r="U1482" s="2"/>
    </row>
    <row r="1483" spans="1:21" x14ac:dyDescent="0.25">
      <c r="A1483" s="2" t="str">
        <f ca="1">IFERROR(__xludf.DUMMYFUNCTION("""COMPUTED_VALUE"""),"f63bc9bf")</f>
        <v>f63bc9bf</v>
      </c>
      <c r="B1483" s="5">
        <f ca="1">IFERROR(__xludf.DUMMYFUNCTION("""COMPUTED_VALUE"""),46114.5082060185)</f>
        <v>46114.508206018501</v>
      </c>
      <c r="C1483" s="2" t="str">
        <f ca="1">IFERROR(__xludf.DUMMYFUNCTION("""COMPUTED_VALUE"""),"608410f5")</f>
        <v>608410f5</v>
      </c>
      <c r="D1483" s="2">
        <f ca="1">IFERROR(__xludf.DUMMYFUNCTION("""COMPUTED_VALUE"""),87)</f>
        <v>87</v>
      </c>
      <c r="E1483" s="2" t="str">
        <f ca="1">IFERROR(__xludf.DUMMYFUNCTION("""COMPUTED_VALUE"""),"Malbec")</f>
        <v>Malbec</v>
      </c>
      <c r="F1483" s="2">
        <f ca="1">IFERROR(__xludf.DUMMYFUNCTION("""COMPUTED_VALUE"""),-6800)</f>
        <v>-6800</v>
      </c>
      <c r="G1483" s="2">
        <f ca="1">IFERROR(__xludf.DUMMYFUNCTION("""COMPUTED_VALUE"""),6)</f>
        <v>6</v>
      </c>
      <c r="H1483" s="2" t="str">
        <f ca="1">IFERROR(__xludf.DUMMYFUNCTION("""COMPUTED_VALUE"""),"6368132b")</f>
        <v>6368132b</v>
      </c>
      <c r="I1483" s="2" t="str">
        <f ca="1">IFERROR(__xludf.DUMMYFUNCTION("""COMPUTED_VALUE"""),"Cabernet Sauvignon Rect")</f>
        <v>Cabernet Sauvignon Rect</v>
      </c>
      <c r="J1483" s="2">
        <f ca="1">IFERROR(__xludf.DUMMYFUNCTION("""COMPUTED_VALUE"""),6800)</f>
        <v>6800</v>
      </c>
      <c r="K1483" s="2">
        <f ca="1">IFERROR(__xludf.DUMMYFUNCTION("""COMPUTED_VALUE"""),0)</f>
        <v>0</v>
      </c>
      <c r="L1483" s="2" t="str">
        <f ca="1">IFERROR(__xludf.DUMMYFUNCTION("""COMPUTED_VALUE"""),"291d7fe7")</f>
        <v>291d7fe7</v>
      </c>
      <c r="M1483" s="2" t="str">
        <f ca="1">IFERROR(__xludf.DUMMYFUNCTION("""COMPUTED_VALUE"""),"Cabernet Sauvignon Rect")</f>
        <v>Cabernet Sauvignon Rect</v>
      </c>
      <c r="N1483" s="2"/>
      <c r="O1483" s="2" t="str">
        <f ca="1">IFERROR(__xludf.DUMMYFUNCTION("""COMPUTED_VALUE"""),"Fermentando")</f>
        <v>Fermentando</v>
      </c>
      <c r="P1483" s="2" t="str">
        <f ca="1">IFERROR(__xludf.DUMMYFUNCTION("""COMPUTED_VALUE"""),"Rectificado")</f>
        <v>Rectificado</v>
      </c>
      <c r="Q1483" s="2" t="b">
        <f ca="1">IFERROR(__xludf.DUMMYFUNCTION("""COMPUTED_VALUE"""),TRUE)</f>
        <v>1</v>
      </c>
      <c r="R1483" s="2" t="str">
        <f ca="1">IFERROR(__xludf.DUMMYFUNCTION("""COMPUTED_VALUE"""),"Rectificado")</f>
        <v>Rectificado</v>
      </c>
      <c r="S1483" s="2"/>
      <c r="T1483" s="2"/>
      <c r="U1483" s="2" t="str">
        <f ca="1">IFERROR(__xludf.DUMMYFUNCTION("""COMPUTED_VALUE"""),"1")</f>
        <v>1</v>
      </c>
    </row>
    <row r="1484" spans="1:21" x14ac:dyDescent="0.25">
      <c r="A1484" s="2" t="str">
        <f ca="1">IFERROR(__xludf.DUMMYFUNCTION("""COMPUTED_VALUE"""),"71258020")</f>
        <v>71258020</v>
      </c>
      <c r="B1484" s="5">
        <f ca="1">IFERROR(__xludf.DUMMYFUNCTION("""COMPUTED_VALUE"""),46114.5084606481)</f>
        <v>46114.508460648103</v>
      </c>
      <c r="C1484" s="2" t="str">
        <f ca="1">IFERROR(__xludf.DUMMYFUNCTION("""COMPUTED_VALUE"""),"608410f5")</f>
        <v>608410f5</v>
      </c>
      <c r="D1484" s="2">
        <f ca="1">IFERROR(__xludf.DUMMYFUNCTION("""COMPUTED_VALUE"""),87)</f>
        <v>87</v>
      </c>
      <c r="E1484" s="2" t="str">
        <f ca="1">IFERROR(__xludf.DUMMYFUNCTION("""COMPUTED_VALUE"""),"Malbec")</f>
        <v>Malbec</v>
      </c>
      <c r="F1484" s="2">
        <f ca="1">IFERROR(__xludf.DUMMYFUNCTION("""COMPUTED_VALUE"""),-3500)</f>
        <v>-3500</v>
      </c>
      <c r="G1484" s="2">
        <f ca="1">IFERROR(__xludf.DUMMYFUNCTION("""COMPUTED_VALUE"""),7)</f>
        <v>7</v>
      </c>
      <c r="H1484" s="2" t="str">
        <f ca="1">IFERROR(__xludf.DUMMYFUNCTION("""COMPUTED_VALUE"""),"bf5eb775")</f>
        <v>bf5eb775</v>
      </c>
      <c r="I1484" s="2" t="str">
        <f ca="1">IFERROR(__xludf.DUMMYFUNCTION("""COMPUTED_VALUE"""),"Malbec Rect")</f>
        <v>Malbec Rect</v>
      </c>
      <c r="J1484" s="2">
        <f ca="1">IFERROR(__xludf.DUMMYFUNCTION("""COMPUTED_VALUE"""),30000)</f>
        <v>30000</v>
      </c>
      <c r="K1484" s="2">
        <f ca="1">IFERROR(__xludf.DUMMYFUNCTION("""COMPUTED_VALUE"""),26500)</f>
        <v>26500</v>
      </c>
      <c r="L1484" s="2" t="str">
        <f ca="1">IFERROR(__xludf.DUMMYFUNCTION("""COMPUTED_VALUE"""),"3e1a0b39")</f>
        <v>3e1a0b39</v>
      </c>
      <c r="M1484" s="2" t="str">
        <f ca="1">IFERROR(__xludf.DUMMYFUNCTION("""COMPUTED_VALUE"""),"Malbec Rect")</f>
        <v>Malbec Rect</v>
      </c>
      <c r="N1484" s="2"/>
      <c r="O1484" s="2" t="str">
        <f ca="1">IFERROR(__xludf.DUMMYFUNCTION("""COMPUTED_VALUE"""),"Fermentando")</f>
        <v>Fermentando</v>
      </c>
      <c r="P1484" s="2" t="str">
        <f ca="1">IFERROR(__xludf.DUMMYFUNCTION("""COMPUTED_VALUE"""),"Rectificado")</f>
        <v>Rectificado</v>
      </c>
      <c r="Q1484" s="2" t="b">
        <f ca="1">IFERROR(__xludf.DUMMYFUNCTION("""COMPUTED_VALUE"""),TRUE)</f>
        <v>1</v>
      </c>
      <c r="R1484" s="2" t="str">
        <f ca="1">IFERROR(__xludf.DUMMYFUNCTION("""COMPUTED_VALUE"""),"Rectificado")</f>
        <v>Rectificado</v>
      </c>
      <c r="S1484" s="2"/>
      <c r="T1484" s="2"/>
      <c r="U1484" s="2" t="str">
        <f ca="1">IFERROR(__xludf.DUMMYFUNCTION("""COMPUTED_VALUE"""),"1")</f>
        <v>1</v>
      </c>
    </row>
    <row r="1485" spans="1:21" x14ac:dyDescent="0.25">
      <c r="A1485" s="2" t="str">
        <f ca="1">IFERROR(__xludf.DUMMYFUNCTION("""COMPUTED_VALUE"""),"2126281d")</f>
        <v>2126281d</v>
      </c>
      <c r="B1485" s="5">
        <f ca="1">IFERROR(__xludf.DUMMYFUNCTION("""COMPUTED_VALUE"""),46114.5094791666)</f>
        <v>46114.509479166598</v>
      </c>
      <c r="C1485" s="2" t="str">
        <f ca="1">IFERROR(__xludf.DUMMYFUNCTION("""COMPUTED_VALUE"""),"9dafdb04")</f>
        <v>9dafdb04</v>
      </c>
      <c r="D1485" s="2">
        <f ca="1">IFERROR(__xludf.DUMMYFUNCTION("""COMPUTED_VALUE"""),85)</f>
        <v>85</v>
      </c>
      <c r="E1485" s="2" t="str">
        <f ca="1">IFERROR(__xludf.DUMMYFUNCTION("""COMPUTED_VALUE"""),"Bonarda")</f>
        <v>Bonarda</v>
      </c>
      <c r="F1485" s="2">
        <f ca="1">IFERROR(__xludf.DUMMYFUNCTION("""COMPUTED_VALUE"""),-8500)</f>
        <v>-8500</v>
      </c>
      <c r="G1485" s="2">
        <f ca="1">IFERROR(__xludf.DUMMYFUNCTION("""COMPUTED_VALUE"""),7)</f>
        <v>7</v>
      </c>
      <c r="H1485" s="2" t="str">
        <f ca="1">IFERROR(__xludf.DUMMYFUNCTION("""COMPUTED_VALUE"""),"3e1a0b39")</f>
        <v>3e1a0b39</v>
      </c>
      <c r="I1485" s="2" t="str">
        <f ca="1">IFERROR(__xludf.DUMMYFUNCTION("""COMPUTED_VALUE"""),"Malbec Rect")</f>
        <v>Malbec Rect</v>
      </c>
      <c r="J1485" s="2">
        <f ca="1">IFERROR(__xludf.DUMMYFUNCTION("""COMPUTED_VALUE"""),26500)</f>
        <v>26500</v>
      </c>
      <c r="K1485" s="2">
        <f ca="1">IFERROR(__xludf.DUMMYFUNCTION("""COMPUTED_VALUE"""),18000)</f>
        <v>18000</v>
      </c>
      <c r="L1485" s="2" t="str">
        <f ca="1">IFERROR(__xludf.DUMMYFUNCTION("""COMPUTED_VALUE"""),"4ddd8538")</f>
        <v>4ddd8538</v>
      </c>
      <c r="M1485" s="2" t="str">
        <f ca="1">IFERROR(__xludf.DUMMYFUNCTION("""COMPUTED_VALUE"""),"Malbec Rect")</f>
        <v>Malbec Rect</v>
      </c>
      <c r="N1485" s="2"/>
      <c r="O1485" s="2" t="str">
        <f ca="1">IFERROR(__xludf.DUMMYFUNCTION("""COMPUTED_VALUE"""),"Fermentando")</f>
        <v>Fermentando</v>
      </c>
      <c r="P1485" s="2" t="str">
        <f ca="1">IFERROR(__xludf.DUMMYFUNCTION("""COMPUTED_VALUE"""),"Rectificado")</f>
        <v>Rectificado</v>
      </c>
      <c r="Q1485" s="2" t="b">
        <f ca="1">IFERROR(__xludf.DUMMYFUNCTION("""COMPUTED_VALUE"""),TRUE)</f>
        <v>1</v>
      </c>
      <c r="R1485" s="2" t="str">
        <f ca="1">IFERROR(__xludf.DUMMYFUNCTION("""COMPUTED_VALUE"""),"Rectificado")</f>
        <v>Rectificado</v>
      </c>
      <c r="S1485" s="2"/>
      <c r="T1485" s="2"/>
      <c r="U1485" s="2" t="str">
        <f ca="1">IFERROR(__xludf.DUMMYFUNCTION("""COMPUTED_VALUE"""),"1")</f>
        <v>1</v>
      </c>
    </row>
    <row r="1486" spans="1:21" x14ac:dyDescent="0.25">
      <c r="A1486" s="2" t="str">
        <f ca="1">IFERROR(__xludf.DUMMYFUNCTION("""COMPUTED_VALUE"""),"548760c6")</f>
        <v>548760c6</v>
      </c>
      <c r="B1486" s="5">
        <f ca="1">IFERROR(__xludf.DUMMYFUNCTION("""COMPUTED_VALUE"""),46114.5100694444)</f>
        <v>46114.510069444397</v>
      </c>
      <c r="C1486" s="2" t="str">
        <f ca="1">IFERROR(__xludf.DUMMYFUNCTION("""COMPUTED_VALUE"""),"608410f5")</f>
        <v>608410f5</v>
      </c>
      <c r="D1486" s="2">
        <f ca="1">IFERROR(__xludf.DUMMYFUNCTION("""COMPUTED_VALUE"""),87)</f>
        <v>87</v>
      </c>
      <c r="E1486" s="2" t="str">
        <f ca="1">IFERROR(__xludf.DUMMYFUNCTION("""COMPUTED_VALUE"""),"Malbec")</f>
        <v>Malbec</v>
      </c>
      <c r="F1486" s="2">
        <f ca="1">IFERROR(__xludf.DUMMYFUNCTION("""COMPUTED_VALUE"""),2000)</f>
        <v>2000</v>
      </c>
      <c r="G1486" s="2">
        <f ca="1">IFERROR(__xludf.DUMMYFUNCTION("""COMPUTED_VALUE"""),66)</f>
        <v>66</v>
      </c>
      <c r="H1486" s="2" t="str">
        <f ca="1">IFERROR(__xludf.DUMMYFUNCTION("""COMPUTED_VALUE"""),"7cc65679")</f>
        <v>7cc65679</v>
      </c>
      <c r="I1486" s="2" t="str">
        <f ca="1">IFERROR(__xludf.DUMMYFUNCTION("""COMPUTED_VALUE"""),"Malbec")</f>
        <v>Malbec</v>
      </c>
      <c r="J1486" s="2">
        <f ca="1">IFERROR(__xludf.DUMMYFUNCTION("""COMPUTED_VALUE"""),16800)</f>
        <v>16800</v>
      </c>
      <c r="K1486" s="2">
        <f ca="1">IFERROR(__xludf.DUMMYFUNCTION("""COMPUTED_VALUE"""),18800)</f>
        <v>18800</v>
      </c>
      <c r="L1486" s="2" t="str">
        <f ca="1">IFERROR(__xludf.DUMMYFUNCTION("""COMPUTED_VALUE"""),"d381a136")</f>
        <v>d381a136</v>
      </c>
      <c r="M1486" s="2" t="str">
        <f ca="1">IFERROR(__xludf.DUMMYFUNCTION("""COMPUTED_VALUE"""),"Malbec PC")</f>
        <v>Malbec PC</v>
      </c>
      <c r="N1486" s="2"/>
      <c r="O1486" s="2" t="str">
        <f ca="1">IFERROR(__xludf.DUMMYFUNCTION("""COMPUTED_VALUE"""),"Fermentando")</f>
        <v>Fermentando</v>
      </c>
      <c r="P1486" s="2" t="str">
        <f ca="1">IFERROR(__xludf.DUMMYFUNCTION("""COMPUTED_VALUE"""),"Fermentando")</f>
        <v>Fermentando</v>
      </c>
      <c r="Q1486" s="2" t="b">
        <f ca="1">IFERROR(__xludf.DUMMYFUNCTION("""COMPUTED_VALUE"""),TRUE)</f>
        <v>1</v>
      </c>
      <c r="R1486" s="2" t="str">
        <f ca="1">IFERROR(__xludf.DUMMYFUNCTION("""COMPUTED_VALUE"""),"Fermentando")</f>
        <v>Fermentando</v>
      </c>
      <c r="S1486" s="2"/>
      <c r="T1486" s="2"/>
      <c r="U1486" s="2"/>
    </row>
    <row r="1487" spans="1:21" x14ac:dyDescent="0.25">
      <c r="A1487" s="2" t="str">
        <f ca="1">IFERROR(__xludf.DUMMYFUNCTION("""COMPUTED_VALUE"""),"0c2599a0")</f>
        <v>0c2599a0</v>
      </c>
      <c r="B1487" s="5">
        <f ca="1">IFERROR(__xludf.DUMMYFUNCTION("""COMPUTED_VALUE"""),46114.7466087962)</f>
        <v>46114.746608796297</v>
      </c>
      <c r="C1487" s="2" t="str">
        <f ca="1">IFERROR(__xludf.DUMMYFUNCTION("""COMPUTED_VALUE"""),"cade6b9a")</f>
        <v>cade6b9a</v>
      </c>
      <c r="D1487" s="2">
        <f ca="1">IFERROR(__xludf.DUMMYFUNCTION("""COMPUTED_VALUE"""),126)</f>
        <v>126</v>
      </c>
      <c r="E1487" s="2" t="str">
        <f ca="1">IFERROR(__xludf.DUMMYFUNCTION("""COMPUTED_VALUE"""),"Criolla Mosto")</f>
        <v>Criolla Mosto</v>
      </c>
      <c r="F1487" s="2">
        <f ca="1">IFERROR(__xludf.DUMMYFUNCTION("""COMPUTED_VALUE"""),7600)</f>
        <v>7600</v>
      </c>
      <c r="G1487" s="2">
        <f ca="1">IFERROR(__xludf.DUMMYFUNCTION("""COMPUTED_VALUE"""),69)</f>
        <v>69</v>
      </c>
      <c r="H1487" s="2"/>
      <c r="I1487" s="2"/>
      <c r="J1487" s="2">
        <f ca="1">IFERROR(__xludf.DUMMYFUNCTION("""COMPUTED_VALUE"""),0)</f>
        <v>0</v>
      </c>
      <c r="K1487" s="2">
        <f ca="1">IFERROR(__xludf.DUMMYFUNCTION("""COMPUTED_VALUE"""),7600)</f>
        <v>7600</v>
      </c>
      <c r="L1487" s="2" t="str">
        <f ca="1">IFERROR(__xludf.DUMMYFUNCTION("""COMPUTED_VALUE"""),"ca101950")</f>
        <v>ca101950</v>
      </c>
      <c r="M1487" s="2" t="str">
        <f ca="1">IFERROR(__xludf.DUMMYFUNCTION("""COMPUTED_VALUE"""),"Criolla Filt")</f>
        <v>Criolla Filt</v>
      </c>
      <c r="N1487" s="2"/>
      <c r="O1487" s="2" t="str">
        <f ca="1">IFERROR(__xludf.DUMMYFUNCTION("""COMPUTED_VALUE"""),"Mosto")</f>
        <v>Mosto</v>
      </c>
      <c r="P1487" s="2"/>
      <c r="Q1487" s="2" t="b">
        <f ca="1">IFERROR(__xludf.DUMMYFUNCTION("""COMPUTED_VALUE"""),FALSE)</f>
        <v>0</v>
      </c>
      <c r="R1487" s="2" t="str">
        <f ca="1">IFERROR(__xludf.DUMMYFUNCTION("""COMPUTED_VALUE"""),"Mosto")</f>
        <v>Mosto</v>
      </c>
      <c r="S1487" s="2"/>
      <c r="T1487" s="2"/>
      <c r="U1487" s="2"/>
    </row>
    <row r="1488" spans="1:21" x14ac:dyDescent="0.25">
      <c r="A1488" s="2" t="str">
        <f ca="1">IFERROR(__xludf.DUMMYFUNCTION("""COMPUTED_VALUE"""),"89c5bdb0")</f>
        <v>89c5bdb0</v>
      </c>
      <c r="B1488" s="5">
        <f ca="1">IFERROR(__xludf.DUMMYFUNCTION("""COMPUTED_VALUE"""),46114.7472916666)</f>
        <v>46114.747291666601</v>
      </c>
      <c r="C1488" s="2" t="str">
        <f ca="1">IFERROR(__xludf.DUMMYFUNCTION("""COMPUTED_VALUE"""),"ca101950")</f>
        <v>ca101950</v>
      </c>
      <c r="D1488" s="2">
        <f ca="1">IFERROR(__xludf.DUMMYFUNCTION("""COMPUTED_VALUE"""),69)</f>
        <v>69</v>
      </c>
      <c r="E1488" s="2" t="str">
        <f ca="1">IFERROR(__xludf.DUMMYFUNCTION("""COMPUTED_VALUE"""),"Criolla Filt")</f>
        <v>Criolla Filt</v>
      </c>
      <c r="F1488" s="2">
        <f ca="1">IFERROR(__xludf.DUMMYFUNCTION("""COMPUTED_VALUE"""),-4400)</f>
        <v>-4400</v>
      </c>
      <c r="G1488" s="2">
        <f ca="1">IFERROR(__xludf.DUMMYFUNCTION("""COMPUTED_VALUE"""),8)</f>
        <v>8</v>
      </c>
      <c r="H1488" s="2" t="str">
        <f ca="1">IFERROR(__xludf.DUMMYFUNCTION("""COMPUTED_VALUE"""),"6493978c")</f>
        <v>6493978c</v>
      </c>
      <c r="I1488" s="2" t="str">
        <f ca="1">IFERROR(__xludf.DUMMYFUNCTION("""COMPUTED_VALUE"""),"Criolla Mosto Rect")</f>
        <v>Criolla Mosto Rect</v>
      </c>
      <c r="J1488" s="2">
        <f ca="1">IFERROR(__xludf.DUMMYFUNCTION("""COMPUTED_VALUE"""),22000)</f>
        <v>22000</v>
      </c>
      <c r="K1488" s="2">
        <f ca="1">IFERROR(__xludf.DUMMYFUNCTION("""COMPUTED_VALUE"""),15400)</f>
        <v>15400</v>
      </c>
      <c r="L1488" s="2" t="str">
        <f ca="1">IFERROR(__xludf.DUMMYFUNCTION("""COMPUTED_VALUE"""),"3afd7948")</f>
        <v>3afd7948</v>
      </c>
      <c r="M1488" s="2" t="str">
        <f ca="1">IFERROR(__xludf.DUMMYFUNCTION("""COMPUTED_VALUE"""),"Criolla Mosto Rect")</f>
        <v>Criolla Mosto Rect</v>
      </c>
      <c r="N1488" s="2"/>
      <c r="O1488" s="2" t="str">
        <f ca="1">IFERROR(__xludf.DUMMYFUNCTION("""COMPUTED_VALUE"""),"Mosto")</f>
        <v>Mosto</v>
      </c>
      <c r="P1488" s="2" t="str">
        <f ca="1">IFERROR(__xludf.DUMMYFUNCTION("""COMPUTED_VALUE"""),"Rectificado")</f>
        <v>Rectificado</v>
      </c>
      <c r="Q1488" s="2" t="b">
        <f ca="1">IFERROR(__xludf.DUMMYFUNCTION("""COMPUTED_VALUE"""),TRUE)</f>
        <v>1</v>
      </c>
      <c r="R1488" s="2" t="str">
        <f ca="1">IFERROR(__xludf.DUMMYFUNCTION("""COMPUTED_VALUE"""),"Rectificado")</f>
        <v>Rectificado</v>
      </c>
      <c r="S1488" s="2"/>
      <c r="T1488" s="2"/>
      <c r="U1488" s="2"/>
    </row>
    <row r="1489" spans="1:21" x14ac:dyDescent="0.25">
      <c r="A1489" s="2" t="str">
        <f ca="1">IFERROR(__xludf.DUMMYFUNCTION("""COMPUTED_VALUE"""),"addf337b")</f>
        <v>addf337b</v>
      </c>
      <c r="B1489" s="5">
        <f ca="1">IFERROR(__xludf.DUMMYFUNCTION("""COMPUTED_VALUE"""),46116.5032986111)</f>
        <v>46116.503298611096</v>
      </c>
      <c r="C1489" s="2" t="str">
        <f ca="1">IFERROR(__xludf.DUMMYFUNCTION("""COMPUTED_VALUE"""),"1ba01bfa")</f>
        <v>1ba01bfa</v>
      </c>
      <c r="D1489" s="2">
        <f ca="1">IFERROR(__xludf.DUMMYFUNCTION("""COMPUTED_VALUE"""),90)</f>
        <v>90</v>
      </c>
      <c r="E1489" s="2" t="str">
        <f ca="1">IFERROR(__xludf.DUMMYFUNCTION("""COMPUTED_VALUE"""),"Malbec PC")</f>
        <v>Malbec PC</v>
      </c>
      <c r="F1489" s="2">
        <f ca="1">IFERROR(__xludf.DUMMYFUNCTION("""COMPUTED_VALUE"""),-10000)</f>
        <v>-10000</v>
      </c>
      <c r="G1489" s="2">
        <f ca="1">IFERROR(__xludf.DUMMYFUNCTION("""COMPUTED_VALUE"""),7)</f>
        <v>7</v>
      </c>
      <c r="H1489" s="2" t="str">
        <f ca="1">IFERROR(__xludf.DUMMYFUNCTION("""COMPUTED_VALUE"""),"4ddd8538")</f>
        <v>4ddd8538</v>
      </c>
      <c r="I1489" s="2" t="str">
        <f ca="1">IFERROR(__xludf.DUMMYFUNCTION("""COMPUTED_VALUE"""),"Malbec Rect")</f>
        <v>Malbec Rect</v>
      </c>
      <c r="J1489" s="2">
        <f ca="1">IFERROR(__xludf.DUMMYFUNCTION("""COMPUTED_VALUE"""),18000)</f>
        <v>18000</v>
      </c>
      <c r="K1489" s="2">
        <f ca="1">IFERROR(__xludf.DUMMYFUNCTION("""COMPUTED_VALUE"""),8000)</f>
        <v>8000</v>
      </c>
      <c r="L1489" s="2" t="str">
        <f ca="1">IFERROR(__xludf.DUMMYFUNCTION("""COMPUTED_VALUE"""),"0a92c842")</f>
        <v>0a92c842</v>
      </c>
      <c r="M1489" s="2" t="str">
        <f ca="1">IFERROR(__xludf.DUMMYFUNCTION("""COMPUTED_VALUE"""),"Malbec Rect")</f>
        <v>Malbec Rect</v>
      </c>
      <c r="N1489" s="2"/>
      <c r="O1489" s="2" t="str">
        <f ca="1">IFERROR(__xludf.DUMMYFUNCTION("""COMPUTED_VALUE"""),"Fermentando")</f>
        <v>Fermentando</v>
      </c>
      <c r="P1489" s="2" t="str">
        <f ca="1">IFERROR(__xludf.DUMMYFUNCTION("""COMPUTED_VALUE"""),"Rectificado")</f>
        <v>Rectificado</v>
      </c>
      <c r="Q1489" s="2" t="b">
        <f ca="1">IFERROR(__xludf.DUMMYFUNCTION("""COMPUTED_VALUE"""),TRUE)</f>
        <v>1</v>
      </c>
      <c r="R1489" s="2" t="str">
        <f ca="1">IFERROR(__xludf.DUMMYFUNCTION("""COMPUTED_VALUE"""),"Rectificado")</f>
        <v>Rectificado</v>
      </c>
      <c r="S1489" s="2"/>
      <c r="T1489" s="2"/>
      <c r="U1489" s="2" t="str">
        <f ca="1">IFERROR(__xludf.DUMMYFUNCTION("""COMPUTED_VALUE"""),"1")</f>
        <v>1</v>
      </c>
    </row>
    <row r="1490" spans="1:21" x14ac:dyDescent="0.25">
      <c r="A1490" s="2" t="str">
        <f ca="1">IFERROR(__xludf.DUMMYFUNCTION("""COMPUTED_VALUE"""),"b36e4142")</f>
        <v>b36e4142</v>
      </c>
      <c r="B1490" s="5">
        <f ca="1">IFERROR(__xludf.DUMMYFUNCTION("""COMPUTED_VALUE"""),46116.5049884259)</f>
        <v>46116.504988425899</v>
      </c>
      <c r="C1490" s="2" t="str">
        <f ca="1">IFERROR(__xludf.DUMMYFUNCTION("""COMPUTED_VALUE"""),"44461346")</f>
        <v>44461346</v>
      </c>
      <c r="D1490" s="2">
        <f ca="1">IFERROR(__xludf.DUMMYFUNCTION("""COMPUTED_VALUE"""),91)</f>
        <v>91</v>
      </c>
      <c r="E1490" s="2" t="str">
        <f ca="1">IFERROR(__xludf.DUMMYFUNCTION("""COMPUTED_VALUE"""),"Cabernet Sauv")</f>
        <v>Cabernet Sauv</v>
      </c>
      <c r="F1490" s="2">
        <f ca="1">IFERROR(__xludf.DUMMYFUNCTION("""COMPUTED_VALUE"""),36500)</f>
        <v>36500</v>
      </c>
      <c r="G1490" s="2">
        <f ca="1">IFERROR(__xludf.DUMMYFUNCTION("""COMPUTED_VALUE"""),15)</f>
        <v>15</v>
      </c>
      <c r="H1490" s="2"/>
      <c r="I1490" s="2"/>
      <c r="J1490" s="2">
        <f ca="1">IFERROR(__xludf.DUMMYFUNCTION("""COMPUTED_VALUE"""),0)</f>
        <v>0</v>
      </c>
      <c r="K1490" s="2">
        <f ca="1">IFERROR(__xludf.DUMMYFUNCTION("""COMPUTED_VALUE"""),36500)</f>
        <v>36500</v>
      </c>
      <c r="L1490" s="2" t="str">
        <f ca="1">IFERROR(__xludf.DUMMYFUNCTION("""COMPUTED_VALUE"""),"22490f6b")</f>
        <v>22490f6b</v>
      </c>
      <c r="M1490" s="2" t="str">
        <f ca="1">IFERROR(__xludf.DUMMYFUNCTION("""COMPUTED_VALUE"""),"Cabernet Sauv G")</f>
        <v>Cabernet Sauv G</v>
      </c>
      <c r="N1490" s="2" t="str">
        <f ca="1">IFERROR(__xludf.DUMMYFUNCTION("""COMPUTED_VALUE"""),"Descube gota")</f>
        <v>Descube gota</v>
      </c>
      <c r="O1490" s="2" t="str">
        <f ca="1">IFERROR(__xludf.DUMMYFUNCTION("""COMPUTED_VALUE"""),"Fermentando")</f>
        <v>Fermentando</v>
      </c>
      <c r="P1490" s="2"/>
      <c r="Q1490" s="2" t="b">
        <f ca="1">IFERROR(__xludf.DUMMYFUNCTION("""COMPUTED_VALUE"""),FALSE)</f>
        <v>0</v>
      </c>
      <c r="R1490" s="2" t="str">
        <f ca="1">IFERROR(__xludf.DUMMYFUNCTION("""COMPUTED_VALUE"""),"Descubada")</f>
        <v>Descubada</v>
      </c>
      <c r="S1490" s="2"/>
      <c r="T1490" s="2"/>
      <c r="U1490" s="2" t="str">
        <f ca="1">IFERROR(__xludf.DUMMYFUNCTION("""COMPUTED_VALUE"""),"1-")</f>
        <v>1-</v>
      </c>
    </row>
    <row r="1491" spans="1:21" x14ac:dyDescent="0.25">
      <c r="A1491" s="2" t="str">
        <f ca="1">IFERROR(__xludf.DUMMYFUNCTION("""COMPUTED_VALUE"""),"ee36a823")</f>
        <v>ee36a823</v>
      </c>
      <c r="B1491" s="5">
        <f ca="1">IFERROR(__xludf.DUMMYFUNCTION("""COMPUTED_VALUE"""),46116.5055324074)</f>
        <v>46116.505532407398</v>
      </c>
      <c r="C1491" s="2" t="str">
        <f ca="1">IFERROR(__xludf.DUMMYFUNCTION("""COMPUTED_VALUE"""),"44461346")</f>
        <v>44461346</v>
      </c>
      <c r="D1491" s="2">
        <f ca="1">IFERROR(__xludf.DUMMYFUNCTION("""COMPUTED_VALUE"""),91)</f>
        <v>91</v>
      </c>
      <c r="E1491" s="2" t="str">
        <f ca="1">IFERROR(__xludf.DUMMYFUNCTION("""COMPUTED_VALUE"""),"Cabernet Sauv")</f>
        <v>Cabernet Sauv</v>
      </c>
      <c r="F1491" s="2">
        <f ca="1">IFERROR(__xludf.DUMMYFUNCTION("""COMPUTED_VALUE"""),6900)</f>
        <v>6900</v>
      </c>
      <c r="G1491" s="2">
        <f ca="1">IFERROR(__xludf.DUMMYFUNCTION("""COMPUTED_VALUE"""),32)</f>
        <v>32</v>
      </c>
      <c r="H1491" s="2"/>
      <c r="I1491" s="2"/>
      <c r="J1491" s="2">
        <f ca="1">IFERROR(__xludf.DUMMYFUNCTION("""COMPUTED_VALUE"""),0)</f>
        <v>0</v>
      </c>
      <c r="K1491" s="2">
        <f ca="1">IFERROR(__xludf.DUMMYFUNCTION("""COMPUTED_VALUE"""),6900)</f>
        <v>6900</v>
      </c>
      <c r="L1491" s="2" t="str">
        <f ca="1">IFERROR(__xludf.DUMMYFUNCTION("""COMPUTED_VALUE"""),"1c09841b")</f>
        <v>1c09841b</v>
      </c>
      <c r="M1491" s="2" t="str">
        <f ca="1">IFERROR(__xludf.DUMMYFUNCTION("""COMPUTED_VALUE"""),"Cabernet Sauv")</f>
        <v>Cabernet Sauv</v>
      </c>
      <c r="N1491" s="2" t="str">
        <f ca="1">IFERROR(__xludf.DUMMYFUNCTION("""COMPUTED_VALUE"""),"Descube prensa")</f>
        <v>Descube prensa</v>
      </c>
      <c r="O1491" s="2" t="str">
        <f ca="1">IFERROR(__xludf.DUMMYFUNCTION("""COMPUTED_VALUE"""),"Fermentando")</f>
        <v>Fermentando</v>
      </c>
      <c r="P1491" s="2"/>
      <c r="Q1491" s="2" t="b">
        <f ca="1">IFERROR(__xludf.DUMMYFUNCTION("""COMPUTED_VALUE"""),FALSE)</f>
        <v>0</v>
      </c>
      <c r="R1491" s="2" t="str">
        <f ca="1">IFERROR(__xludf.DUMMYFUNCTION("""COMPUTED_VALUE"""),"Descubada")</f>
        <v>Descubada</v>
      </c>
      <c r="S1491" s="2"/>
      <c r="T1491" s="2"/>
      <c r="U1491" s="2" t="str">
        <f ca="1">IFERROR(__xludf.DUMMYFUNCTION("""COMPUTED_VALUE"""),"1-")</f>
        <v>1-</v>
      </c>
    </row>
    <row r="1492" spans="1:21" x14ac:dyDescent="0.25">
      <c r="A1492" s="2" t="str">
        <f ca="1">IFERROR(__xludf.DUMMYFUNCTION("""COMPUTED_VALUE"""),"00d4f71a")</f>
        <v>00d4f71a</v>
      </c>
      <c r="B1492" s="5">
        <f ca="1">IFERROR(__xludf.DUMMYFUNCTION("""COMPUTED_VALUE"""),46116.5065625)</f>
        <v>46116.506562499999</v>
      </c>
      <c r="C1492" s="2" t="str">
        <f ca="1">IFERROR(__xludf.DUMMYFUNCTION("""COMPUTED_VALUE"""),"54b0a239")</f>
        <v>54b0a239</v>
      </c>
      <c r="D1492" s="2">
        <f ca="1">IFERROR(__xludf.DUMMYFUNCTION("""COMPUTED_VALUE"""),80)</f>
        <v>80</v>
      </c>
      <c r="E1492" s="2" t="str">
        <f ca="1">IFERROR(__xludf.DUMMYFUNCTION("""COMPUTED_VALUE"""),"Pedro Gimenez")</f>
        <v>Pedro Gimenez</v>
      </c>
      <c r="F1492" s="2">
        <f ca="1">IFERROR(__xludf.DUMMYFUNCTION("""COMPUTED_VALUE"""),400)</f>
        <v>400</v>
      </c>
      <c r="G1492" s="2">
        <f ca="1">IFERROR(__xludf.DUMMYFUNCTION("""COMPUTED_VALUE"""),51)</f>
        <v>51</v>
      </c>
      <c r="H1492" s="2" t="str">
        <f ca="1">IFERROR(__xludf.DUMMYFUNCTION("""COMPUTED_VALUE"""),"c77c499a")</f>
        <v>c77c499a</v>
      </c>
      <c r="I1492" s="2" t="str">
        <f ca="1">IFERROR(__xludf.DUMMYFUNCTION("""COMPUTED_VALUE"""),"Chardonnay")</f>
        <v>Chardonnay</v>
      </c>
      <c r="J1492" s="2">
        <f ca="1">IFERROR(__xludf.DUMMYFUNCTION("""COMPUTED_VALUE"""),3500)</f>
        <v>3500</v>
      </c>
      <c r="K1492" s="2">
        <f ca="1">IFERROR(__xludf.DUMMYFUNCTION("""COMPUTED_VALUE"""),3900)</f>
        <v>3900</v>
      </c>
      <c r="L1492" s="2" t="str">
        <f ca="1">IFERROR(__xludf.DUMMYFUNCTION("""COMPUTED_VALUE"""),"239e649e")</f>
        <v>239e649e</v>
      </c>
      <c r="M1492" s="2" t="str">
        <f ca="1">IFERROR(__xludf.DUMMYFUNCTION("""COMPUTED_VALUE"""),"Chardonnay")</f>
        <v>Chardonnay</v>
      </c>
      <c r="N1492" s="2"/>
      <c r="O1492" s="2" t="str">
        <f ca="1">IFERROR(__xludf.DUMMYFUNCTION("""COMPUTED_VALUE"""),"Fermentando")</f>
        <v>Fermentando</v>
      </c>
      <c r="P1492" s="2" t="str">
        <f ca="1">IFERROR(__xludf.DUMMYFUNCTION("""COMPUTED_VALUE"""),"Fermentando")</f>
        <v>Fermentando</v>
      </c>
      <c r="Q1492" s="2" t="b">
        <f ca="1">IFERROR(__xludf.DUMMYFUNCTION("""COMPUTED_VALUE"""),TRUE)</f>
        <v>1</v>
      </c>
      <c r="R1492" s="2" t="str">
        <f ca="1">IFERROR(__xludf.DUMMYFUNCTION("""COMPUTED_VALUE"""),"Descubada")</f>
        <v>Descubada</v>
      </c>
      <c r="S1492" s="2"/>
      <c r="T1492" s="2"/>
      <c r="U1492" s="2" t="str">
        <f ca="1">IFERROR(__xludf.DUMMYFUNCTION("""COMPUTED_VALUE"""),"1")</f>
        <v>1</v>
      </c>
    </row>
    <row r="1493" spans="1:21" x14ac:dyDescent="0.25">
      <c r="A1493" s="2" t="str">
        <f ca="1">IFERROR(__xludf.DUMMYFUNCTION("""COMPUTED_VALUE"""),"ed9cacd6")</f>
        <v>ed9cacd6</v>
      </c>
      <c r="B1493" s="5">
        <f ca="1">IFERROR(__xludf.DUMMYFUNCTION("""COMPUTED_VALUE"""),46118.7915856481)</f>
        <v>46118.791585648098</v>
      </c>
      <c r="C1493" s="2" t="str">
        <f ca="1">IFERROR(__xludf.DUMMYFUNCTION("""COMPUTED_VALUE"""),"b21af4e4")</f>
        <v>b21af4e4</v>
      </c>
      <c r="D1493" s="2">
        <f ca="1">IFERROR(__xludf.DUMMYFUNCTION("""COMPUTED_VALUE"""),84)</f>
        <v>84</v>
      </c>
      <c r="E1493" s="2" t="str">
        <f ca="1">IFERROR(__xludf.DUMMYFUNCTION("""COMPUTED_VALUE"""),"Malbec Man")</f>
        <v>Malbec Man</v>
      </c>
      <c r="F1493" s="2">
        <f ca="1">IFERROR(__xludf.DUMMYFUNCTION("""COMPUTED_VALUE"""),59700)</f>
        <v>59700</v>
      </c>
      <c r="G1493" s="2">
        <f ca="1">IFERROR(__xludf.DUMMYFUNCTION("""COMPUTED_VALUE"""),25)</f>
        <v>25</v>
      </c>
      <c r="H1493" s="2"/>
      <c r="I1493" s="2"/>
      <c r="J1493" s="2">
        <f ca="1">IFERROR(__xludf.DUMMYFUNCTION("""COMPUTED_VALUE"""),0)</f>
        <v>0</v>
      </c>
      <c r="K1493" s="2">
        <f ca="1">IFERROR(__xludf.DUMMYFUNCTION("""COMPUTED_VALUE"""),59700)</f>
        <v>59700</v>
      </c>
      <c r="L1493" s="2" t="str">
        <f ca="1">IFERROR(__xludf.DUMMYFUNCTION("""COMPUTED_VALUE"""),"eeabd5d4")</f>
        <v>eeabd5d4</v>
      </c>
      <c r="M1493" s="2" t="str">
        <f ca="1">IFERROR(__xludf.DUMMYFUNCTION("""COMPUTED_VALUE"""),"Malbec Man")</f>
        <v>Malbec Man</v>
      </c>
      <c r="N1493" s="2"/>
      <c r="O1493" s="2" t="str">
        <f ca="1">IFERROR(__xludf.DUMMYFUNCTION("""COMPUTED_VALUE"""),"Fermentando")</f>
        <v>Fermentando</v>
      </c>
      <c r="P1493" s="2"/>
      <c r="Q1493" s="2" t="b">
        <f ca="1">IFERROR(__xludf.DUMMYFUNCTION("""COMPUTED_VALUE"""),FALSE)</f>
        <v>0</v>
      </c>
      <c r="R1493" s="2" t="str">
        <f ca="1">IFERROR(__xludf.DUMMYFUNCTION("""COMPUTED_VALUE"""),"Descubada")</f>
        <v>Descubada</v>
      </c>
      <c r="S1493" s="2"/>
      <c r="T1493" s="2"/>
      <c r="U1493" s="2" t="str">
        <f ca="1">IFERROR(__xludf.DUMMYFUNCTION("""COMPUTED_VALUE"""),"1")</f>
        <v>1</v>
      </c>
    </row>
    <row r="1494" spans="1:21" x14ac:dyDescent="0.25">
      <c r="A1494" s="2" t="str">
        <f ca="1">IFERROR(__xludf.DUMMYFUNCTION("""COMPUTED_VALUE"""),"1d8150e0")</f>
        <v>1d8150e0</v>
      </c>
      <c r="B1494" s="5">
        <f ca="1">IFERROR(__xludf.DUMMYFUNCTION("""COMPUTED_VALUE"""),46118.7924305555)</f>
        <v>46118.792430555499</v>
      </c>
      <c r="C1494" s="2" t="str">
        <f ca="1">IFERROR(__xludf.DUMMYFUNCTION("""COMPUTED_VALUE"""),"a0c53502")</f>
        <v>a0c53502</v>
      </c>
      <c r="D1494" s="2">
        <f ca="1">IFERROR(__xludf.DUMMYFUNCTION("""COMPUTED_VALUE"""),83)</f>
        <v>83</v>
      </c>
      <c r="E1494" s="2" t="str">
        <f ca="1">IFERROR(__xludf.DUMMYFUNCTION("""COMPUTED_VALUE"""),"Cabernet Sau")</f>
        <v>Cabernet Sau</v>
      </c>
      <c r="F1494" s="2">
        <f ca="1">IFERROR(__xludf.DUMMYFUNCTION("""COMPUTED_VALUE"""),34100)</f>
        <v>34100</v>
      </c>
      <c r="G1494" s="2">
        <f ca="1">IFERROR(__xludf.DUMMYFUNCTION("""COMPUTED_VALUE"""),25)</f>
        <v>25</v>
      </c>
      <c r="H1494" s="2" t="str">
        <f ca="1">IFERROR(__xludf.DUMMYFUNCTION("""COMPUTED_VALUE"""),"eeabd5d4")</f>
        <v>eeabd5d4</v>
      </c>
      <c r="I1494" s="2" t="str">
        <f ca="1">IFERROR(__xludf.DUMMYFUNCTION("""COMPUTED_VALUE"""),"Malbec Man")</f>
        <v>Malbec Man</v>
      </c>
      <c r="J1494" s="2">
        <f ca="1">IFERROR(__xludf.DUMMYFUNCTION("""COMPUTED_VALUE"""),59700)</f>
        <v>59700</v>
      </c>
      <c r="K1494" s="2">
        <f ca="1">IFERROR(__xludf.DUMMYFUNCTION("""COMPUTED_VALUE"""),93800)</f>
        <v>93800</v>
      </c>
      <c r="L1494" s="2" t="str">
        <f ca="1">IFERROR(__xludf.DUMMYFUNCTION("""COMPUTED_VALUE"""),"17666613")</f>
        <v>17666613</v>
      </c>
      <c r="M1494" s="2" t="str">
        <f ca="1">IFERROR(__xludf.DUMMYFUNCTION("""COMPUTED_VALUE"""),"Malbec Man")</f>
        <v>Malbec Man</v>
      </c>
      <c r="N1494" s="2"/>
      <c r="O1494" s="2" t="str">
        <f ca="1">IFERROR(__xludf.DUMMYFUNCTION("""COMPUTED_VALUE"""),"Fermentando")</f>
        <v>Fermentando</v>
      </c>
      <c r="P1494" s="2" t="str">
        <f ca="1">IFERROR(__xludf.DUMMYFUNCTION("""COMPUTED_VALUE"""),"Descubada")</f>
        <v>Descubada</v>
      </c>
      <c r="Q1494" s="2" t="b">
        <f ca="1">IFERROR(__xludf.DUMMYFUNCTION("""COMPUTED_VALUE"""),TRUE)</f>
        <v>1</v>
      </c>
      <c r="R1494" s="2" t="str">
        <f ca="1">IFERROR(__xludf.DUMMYFUNCTION("""COMPUTED_VALUE"""),"Descubada")</f>
        <v>Descubada</v>
      </c>
      <c r="S1494" s="2"/>
      <c r="T1494" s="2"/>
      <c r="U1494" s="2" t="str">
        <f ca="1">IFERROR(__xludf.DUMMYFUNCTION("""COMPUTED_VALUE"""),"1")</f>
        <v>1</v>
      </c>
    </row>
    <row r="1495" spans="1:21" x14ac:dyDescent="0.25">
      <c r="A1495" s="2" t="str">
        <f ca="1">IFERROR(__xludf.DUMMYFUNCTION("""COMPUTED_VALUE"""),"a776f6c9")</f>
        <v>a776f6c9</v>
      </c>
      <c r="B1495" s="5">
        <f ca="1">IFERROR(__xludf.DUMMYFUNCTION("""COMPUTED_VALUE"""),46118.7949768518)</f>
        <v>46118.794976851801</v>
      </c>
      <c r="C1495" s="2" t="str">
        <f ca="1">IFERROR(__xludf.DUMMYFUNCTION("""COMPUTED_VALUE"""),"e19785aa")</f>
        <v>e19785aa</v>
      </c>
      <c r="D1495" s="2">
        <f ca="1">IFERROR(__xludf.DUMMYFUNCTION("""COMPUTED_VALUE"""),92)</f>
        <v>92</v>
      </c>
      <c r="E1495" s="2" t="str">
        <f ca="1">IFERROR(__xludf.DUMMYFUNCTION("""COMPUTED_VALUE"""),"Malbec")</f>
        <v>Malbec</v>
      </c>
      <c r="F1495" s="2">
        <f ca="1">IFERROR(__xludf.DUMMYFUNCTION("""COMPUTED_VALUE"""),-6800)</f>
        <v>-6800</v>
      </c>
      <c r="G1495" s="2">
        <f ca="1">IFERROR(__xludf.DUMMYFUNCTION("""COMPUTED_VALUE"""),7)</f>
        <v>7</v>
      </c>
      <c r="H1495" s="2" t="str">
        <f ca="1">IFERROR(__xludf.DUMMYFUNCTION("""COMPUTED_VALUE"""),"0a92c842")</f>
        <v>0a92c842</v>
      </c>
      <c r="I1495" s="2" t="str">
        <f ca="1">IFERROR(__xludf.DUMMYFUNCTION("""COMPUTED_VALUE"""),"Malbec Rect")</f>
        <v>Malbec Rect</v>
      </c>
      <c r="J1495" s="2">
        <f ca="1">IFERROR(__xludf.DUMMYFUNCTION("""COMPUTED_VALUE"""),8000)</f>
        <v>8000</v>
      </c>
      <c r="K1495" s="2">
        <f ca="1">IFERROR(__xludf.DUMMYFUNCTION("""COMPUTED_VALUE"""),1200)</f>
        <v>1200</v>
      </c>
      <c r="L1495" s="2" t="str">
        <f ca="1">IFERROR(__xludf.DUMMYFUNCTION("""COMPUTED_VALUE"""),"5c110d27")</f>
        <v>5c110d27</v>
      </c>
      <c r="M1495" s="2" t="str">
        <f ca="1">IFERROR(__xludf.DUMMYFUNCTION("""COMPUTED_VALUE"""),"Malbec Rect")</f>
        <v>Malbec Rect</v>
      </c>
      <c r="N1495" s="2"/>
      <c r="O1495" s="2" t="str">
        <f ca="1">IFERROR(__xludf.DUMMYFUNCTION("""COMPUTED_VALUE"""),"Fermentando")</f>
        <v>Fermentando</v>
      </c>
      <c r="P1495" s="2" t="str">
        <f ca="1">IFERROR(__xludf.DUMMYFUNCTION("""COMPUTED_VALUE"""),"Rectificado")</f>
        <v>Rectificado</v>
      </c>
      <c r="Q1495" s="2" t="b">
        <f ca="1">IFERROR(__xludf.DUMMYFUNCTION("""COMPUTED_VALUE"""),TRUE)</f>
        <v>1</v>
      </c>
      <c r="R1495" s="2" t="str">
        <f ca="1">IFERROR(__xludf.DUMMYFUNCTION("""COMPUTED_VALUE"""),"Rectificado")</f>
        <v>Rectificado</v>
      </c>
      <c r="S1495" s="2"/>
      <c r="T1495" s="2"/>
      <c r="U1495" s="2" t="str">
        <f ca="1">IFERROR(__xludf.DUMMYFUNCTION("""COMPUTED_VALUE"""),"1")</f>
        <v>1</v>
      </c>
    </row>
    <row r="1496" spans="1:21" x14ac:dyDescent="0.25">
      <c r="A1496" s="2" t="str">
        <f ca="1">IFERROR(__xludf.DUMMYFUNCTION("""COMPUTED_VALUE"""),"6760aff7")</f>
        <v>6760aff7</v>
      </c>
      <c r="B1496" s="5">
        <f ca="1">IFERROR(__xludf.DUMMYFUNCTION("""COMPUTED_VALUE"""),46118.7986226851)</f>
        <v>46118.798622685099</v>
      </c>
      <c r="C1496" s="2" t="str">
        <f ca="1">IFERROR(__xludf.DUMMYFUNCTION("""COMPUTED_VALUE"""),"0684c059")</f>
        <v>0684c059</v>
      </c>
      <c r="D1496" s="2">
        <f ca="1">IFERROR(__xludf.DUMMYFUNCTION("""COMPUTED_VALUE"""),95)</f>
        <v>95</v>
      </c>
      <c r="E1496" s="2" t="str">
        <f ca="1">IFERROR(__xludf.DUMMYFUNCTION("""COMPUTED_VALUE"""),"Cabernet Sauvignon")</f>
        <v>Cabernet Sauvignon</v>
      </c>
      <c r="F1496" s="2">
        <f ca="1">IFERROR(__xludf.DUMMYFUNCTION("""COMPUTED_VALUE"""),18100)</f>
        <v>18100</v>
      </c>
      <c r="G1496" s="2">
        <f ca="1">IFERROR(__xludf.DUMMYFUNCTION("""COMPUTED_VALUE"""),118)</f>
        <v>118</v>
      </c>
      <c r="H1496" s="2" t="str">
        <f ca="1">IFERROR(__xludf.DUMMYFUNCTION("""COMPUTED_VALUE"""),"a5156e38")</f>
        <v>a5156e38</v>
      </c>
      <c r="I1496" s="2" t="str">
        <f ca="1">IFERROR(__xludf.DUMMYFUNCTION("""COMPUTED_VALUE"""),"Syrah Temp")</f>
        <v>Syrah Temp</v>
      </c>
      <c r="J1496" s="2">
        <f ca="1">IFERROR(__xludf.DUMMYFUNCTION("""COMPUTED_VALUE"""),137500)</f>
        <v>137500</v>
      </c>
      <c r="K1496" s="2">
        <f ca="1">IFERROR(__xludf.DUMMYFUNCTION("""COMPUTED_VALUE"""),155600)</f>
        <v>155600</v>
      </c>
      <c r="L1496" s="2" t="str">
        <f ca="1">IFERROR(__xludf.DUMMYFUNCTION("""COMPUTED_VALUE"""),"0cee4951")</f>
        <v>0cee4951</v>
      </c>
      <c r="M1496" s="2" t="str">
        <f ca="1">IFERROR(__xludf.DUMMYFUNCTION("""COMPUTED_VALUE"""),"Syrah Temp")</f>
        <v>Syrah Temp</v>
      </c>
      <c r="N1496" s="2"/>
      <c r="O1496" s="2" t="str">
        <f ca="1">IFERROR(__xludf.DUMMYFUNCTION("""COMPUTED_VALUE"""),"Fermentando")</f>
        <v>Fermentando</v>
      </c>
      <c r="P1496" s="2" t="str">
        <f ca="1">IFERROR(__xludf.DUMMYFUNCTION("""COMPUTED_VALUE"""),"Fermentando")</f>
        <v>Fermentando</v>
      </c>
      <c r="Q1496" s="2" t="b">
        <f ca="1">IFERROR(__xludf.DUMMYFUNCTION("""COMPUTED_VALUE"""),TRUE)</f>
        <v>1</v>
      </c>
      <c r="R1496" s="2" t="str">
        <f ca="1">IFERROR(__xludf.DUMMYFUNCTION("""COMPUTED_VALUE"""),"Fermentando")</f>
        <v>Fermentando</v>
      </c>
      <c r="S1496" s="2"/>
      <c r="T1496" s="2"/>
      <c r="U1496" s="2" t="str">
        <f ca="1">IFERROR(__xludf.DUMMYFUNCTION("""COMPUTED_VALUE"""),"1")</f>
        <v>1</v>
      </c>
    </row>
    <row r="1497" spans="1:21" x14ac:dyDescent="0.25">
      <c r="A1497" s="2" t="str">
        <f ca="1">IFERROR(__xludf.DUMMYFUNCTION("""COMPUTED_VALUE"""),"671c7979")</f>
        <v>671c7979</v>
      </c>
      <c r="B1497" s="5">
        <f ca="1">IFERROR(__xludf.DUMMYFUNCTION("""COMPUTED_VALUE"""),46118.7995486111)</f>
        <v>46118.799548611103</v>
      </c>
      <c r="C1497" s="2" t="str">
        <f ca="1">IFERROR(__xludf.DUMMYFUNCTION("""COMPUTED_VALUE"""),"0684c059")</f>
        <v>0684c059</v>
      </c>
      <c r="D1497" s="2">
        <f ca="1">IFERROR(__xludf.DUMMYFUNCTION("""COMPUTED_VALUE"""),95)</f>
        <v>95</v>
      </c>
      <c r="E1497" s="2" t="str">
        <f ca="1">IFERROR(__xludf.DUMMYFUNCTION("""COMPUTED_VALUE"""),"Cabernet Sauvignon")</f>
        <v>Cabernet Sauvignon</v>
      </c>
      <c r="F1497" s="2">
        <f ca="1">IFERROR(__xludf.DUMMYFUNCTION("""COMPUTED_VALUE"""),29400)</f>
        <v>29400</v>
      </c>
      <c r="G1497" s="2">
        <f ca="1">IFERROR(__xludf.DUMMYFUNCTION("""COMPUTED_VALUE"""),32)</f>
        <v>32</v>
      </c>
      <c r="H1497" s="2" t="str">
        <f ca="1">IFERROR(__xludf.DUMMYFUNCTION("""COMPUTED_VALUE"""),"1c09841b")</f>
        <v>1c09841b</v>
      </c>
      <c r="I1497" s="2" t="str">
        <f ca="1">IFERROR(__xludf.DUMMYFUNCTION("""COMPUTED_VALUE"""),"Cabernet Sauv")</f>
        <v>Cabernet Sauv</v>
      </c>
      <c r="J1497" s="2">
        <f ca="1">IFERROR(__xludf.DUMMYFUNCTION("""COMPUTED_VALUE"""),6900)</f>
        <v>6900</v>
      </c>
      <c r="K1497" s="2">
        <f ca="1">IFERROR(__xludf.DUMMYFUNCTION("""COMPUTED_VALUE"""),36300)</f>
        <v>36300</v>
      </c>
      <c r="L1497" s="2" t="str">
        <f ca="1">IFERROR(__xludf.DUMMYFUNCTION("""COMPUTED_VALUE"""),"62dbc574")</f>
        <v>62dbc574</v>
      </c>
      <c r="M1497" s="2" t="str">
        <f ca="1">IFERROR(__xludf.DUMMYFUNCTION("""COMPUTED_VALUE"""),"Cabernet Sauv")</f>
        <v>Cabernet Sauv</v>
      </c>
      <c r="N1497" s="2"/>
      <c r="O1497" s="2" t="str">
        <f ca="1">IFERROR(__xludf.DUMMYFUNCTION("""COMPUTED_VALUE"""),"Fermentando")</f>
        <v>Fermentando</v>
      </c>
      <c r="P1497" s="2" t="str">
        <f ca="1">IFERROR(__xludf.DUMMYFUNCTION("""COMPUTED_VALUE"""),"Descubada")</f>
        <v>Descubada</v>
      </c>
      <c r="Q1497" s="2" t="b">
        <f ca="1">IFERROR(__xludf.DUMMYFUNCTION("""COMPUTED_VALUE"""),TRUE)</f>
        <v>1</v>
      </c>
      <c r="R1497" s="2" t="str">
        <f ca="1">IFERROR(__xludf.DUMMYFUNCTION("""COMPUTED_VALUE"""),"Descubada")</f>
        <v>Descubada</v>
      </c>
      <c r="S1497" s="2"/>
      <c r="T1497" s="2"/>
      <c r="U1497" s="2" t="str">
        <f ca="1">IFERROR(__xludf.DUMMYFUNCTION("""COMPUTED_VALUE"""),"1-")</f>
        <v>1-</v>
      </c>
    </row>
    <row r="1498" spans="1:21" x14ac:dyDescent="0.25">
      <c r="A1498" s="2" t="str">
        <f ca="1">IFERROR(__xludf.DUMMYFUNCTION("""COMPUTED_VALUE"""),"827ec854")</f>
        <v>827ec854</v>
      </c>
      <c r="B1498" s="5">
        <f ca="1">IFERROR(__xludf.DUMMYFUNCTION("""COMPUTED_VALUE"""),46118.8359837963)</f>
        <v>46118.8359837963</v>
      </c>
      <c r="C1498" s="2" t="str">
        <f ca="1">IFERROR(__xludf.DUMMYFUNCTION("""COMPUTED_VALUE"""),"0684c059")</f>
        <v>0684c059</v>
      </c>
      <c r="D1498" s="2">
        <f ca="1">IFERROR(__xludf.DUMMYFUNCTION("""COMPUTED_VALUE"""),95)</f>
        <v>95</v>
      </c>
      <c r="E1498" s="2" t="str">
        <f ca="1">IFERROR(__xludf.DUMMYFUNCTION("""COMPUTED_VALUE"""),"Cabernet Sauvignon")</f>
        <v>Cabernet Sauvignon</v>
      </c>
      <c r="F1498" s="2">
        <f ca="1">IFERROR(__xludf.DUMMYFUNCTION("""COMPUTED_VALUE"""),6500)</f>
        <v>6500</v>
      </c>
      <c r="G1498" s="2">
        <f ca="1">IFERROR(__xludf.DUMMYFUNCTION("""COMPUTED_VALUE"""),500)</f>
        <v>500</v>
      </c>
      <c r="H1498" s="2" t="str">
        <f ca="1">IFERROR(__xludf.DUMMYFUNCTION("""COMPUTED_VALUE"""),"91eb4b2e")</f>
        <v>91eb4b2e</v>
      </c>
      <c r="I1498" s="2" t="str">
        <f ca="1">IFERROR(__xludf.DUMMYFUNCTION("""COMPUTED_VALUE"""),"AJUSTE COSECHA 2026")</f>
        <v>AJUSTE COSECHA 2026</v>
      </c>
      <c r="J1498" s="2">
        <f ca="1">IFERROR(__xludf.DUMMYFUNCTION("""COMPUTED_VALUE"""),42300)</f>
        <v>42300</v>
      </c>
      <c r="K1498" s="2">
        <f ca="1">IFERROR(__xludf.DUMMYFUNCTION("""COMPUTED_VALUE"""),48800)</f>
        <v>48800</v>
      </c>
      <c r="L1498" s="2" t="str">
        <f ca="1">IFERROR(__xludf.DUMMYFUNCTION("""COMPUTED_VALUE"""),"61b24dce")</f>
        <v>61b24dce</v>
      </c>
      <c r="M1498" s="2" t="str">
        <f ca="1">IFERROR(__xludf.DUMMYFUNCTION("""COMPUTED_VALUE"""),"AJUSTE COSECHA 2026")</f>
        <v>AJUSTE COSECHA 2026</v>
      </c>
      <c r="N1498" s="2"/>
      <c r="O1498" s="2" t="str">
        <f ca="1">IFERROR(__xludf.DUMMYFUNCTION("""COMPUTED_VALUE"""),"Fermentando")</f>
        <v>Fermentando</v>
      </c>
      <c r="P1498" s="2" t="str">
        <f ca="1">IFERROR(__xludf.DUMMYFUNCTION("""COMPUTED_VALUE"""),"Fermentando")</f>
        <v>Fermentando</v>
      </c>
      <c r="Q1498" s="2" t="b">
        <f ca="1">IFERROR(__xludf.DUMMYFUNCTION("""COMPUTED_VALUE"""),TRUE)</f>
        <v>1</v>
      </c>
      <c r="R1498" s="2" t="str">
        <f ca="1">IFERROR(__xludf.DUMMYFUNCTION("""COMPUTED_VALUE"""),"Fermentando")</f>
        <v>Fermentando</v>
      </c>
      <c r="S1498" s="2"/>
      <c r="T1498" s="2"/>
      <c r="U1498" s="2" t="str">
        <f ca="1">IFERROR(__xludf.DUMMYFUNCTION("""COMPUTED_VALUE"""),"1")</f>
        <v>1</v>
      </c>
    </row>
    <row r="1499" spans="1:21" x14ac:dyDescent="0.25">
      <c r="A1499" s="2" t="str">
        <f ca="1">IFERROR(__xludf.DUMMYFUNCTION("""COMPUTED_VALUE"""),"3e81217c")</f>
        <v>3e81217c</v>
      </c>
      <c r="B1499" s="5">
        <f ca="1">IFERROR(__xludf.DUMMYFUNCTION("""COMPUTED_VALUE"""),46118.8361921296)</f>
        <v>46118.836192129602</v>
      </c>
      <c r="C1499" s="2" t="str">
        <f ca="1">IFERROR(__xludf.DUMMYFUNCTION("""COMPUTED_VALUE"""),"a2de3afc")</f>
        <v>a2de3afc</v>
      </c>
      <c r="D1499" s="2">
        <f ca="1">IFERROR(__xludf.DUMMYFUNCTION("""COMPUTED_VALUE"""),96)</f>
        <v>96</v>
      </c>
      <c r="E1499" s="2" t="str">
        <f ca="1">IFERROR(__xludf.DUMMYFUNCTION("""COMPUTED_VALUE"""),"Bonarda NV - Cabernet Sau PC")</f>
        <v>Bonarda NV - Cabernet Sau PC</v>
      </c>
      <c r="F1499" s="2">
        <f ca="1">IFERROR(__xludf.DUMMYFUNCTION("""COMPUTED_VALUE"""),-3000)</f>
        <v>-3000</v>
      </c>
      <c r="G1499" s="2">
        <f ca="1">IFERROR(__xludf.DUMMYFUNCTION("""COMPUTED_VALUE"""),500)</f>
        <v>500</v>
      </c>
      <c r="H1499" s="2" t="str">
        <f ca="1">IFERROR(__xludf.DUMMYFUNCTION("""COMPUTED_VALUE"""),"61b24dce")</f>
        <v>61b24dce</v>
      </c>
      <c r="I1499" s="2" t="str">
        <f ca="1">IFERROR(__xludf.DUMMYFUNCTION("""COMPUTED_VALUE"""),"AJUSTE COSECHA 2026")</f>
        <v>AJUSTE COSECHA 2026</v>
      </c>
      <c r="J1499" s="2">
        <f ca="1">IFERROR(__xludf.DUMMYFUNCTION("""COMPUTED_VALUE"""),48800)</f>
        <v>48800</v>
      </c>
      <c r="K1499" s="2">
        <f ca="1">IFERROR(__xludf.DUMMYFUNCTION("""COMPUTED_VALUE"""),45800)</f>
        <v>45800</v>
      </c>
      <c r="L1499" s="2" t="str">
        <f ca="1">IFERROR(__xludf.DUMMYFUNCTION("""COMPUTED_VALUE"""),"3c409283")</f>
        <v>3c409283</v>
      </c>
      <c r="M1499" s="2" t="str">
        <f ca="1">IFERROR(__xludf.DUMMYFUNCTION("""COMPUTED_VALUE"""),"AJUSTE COSECHA 2026")</f>
        <v>AJUSTE COSECHA 2026</v>
      </c>
      <c r="N1499" s="2"/>
      <c r="O1499" s="2" t="str">
        <f ca="1">IFERROR(__xludf.DUMMYFUNCTION("""COMPUTED_VALUE"""),"Fermentando")</f>
        <v>Fermentando</v>
      </c>
      <c r="P1499" s="2" t="str">
        <f ca="1">IFERROR(__xludf.DUMMYFUNCTION("""COMPUTED_VALUE"""),"Fermentando")</f>
        <v>Fermentando</v>
      </c>
      <c r="Q1499" s="2" t="b">
        <f ca="1">IFERROR(__xludf.DUMMYFUNCTION("""COMPUTED_VALUE"""),TRUE)</f>
        <v>1</v>
      </c>
      <c r="R1499" s="2" t="str">
        <f ca="1">IFERROR(__xludf.DUMMYFUNCTION("""COMPUTED_VALUE"""),"Fermentando")</f>
        <v>Fermentando</v>
      </c>
      <c r="S1499" s="2"/>
      <c r="T1499" s="2"/>
      <c r="U1499" s="2" t="str">
        <f ca="1">IFERROR(__xludf.DUMMYFUNCTION("""COMPUTED_VALUE"""),"1")</f>
        <v>1</v>
      </c>
    </row>
    <row r="1500" spans="1:21" x14ac:dyDescent="0.25">
      <c r="A1500" s="2" t="str">
        <f ca="1">IFERROR(__xludf.DUMMYFUNCTION("""COMPUTED_VALUE"""),"13d457c5")</f>
        <v>13d457c5</v>
      </c>
      <c r="B1500" s="5">
        <f ca="1">IFERROR(__xludf.DUMMYFUNCTION("""COMPUTED_VALUE"""),46118.8373263888)</f>
        <v>46118.837326388799</v>
      </c>
      <c r="C1500" s="2" t="str">
        <f ca="1">IFERROR(__xludf.DUMMYFUNCTION("""COMPUTED_VALUE"""),"e19785aa")</f>
        <v>e19785aa</v>
      </c>
      <c r="D1500" s="2">
        <f ca="1">IFERROR(__xludf.DUMMYFUNCTION("""COMPUTED_VALUE"""),92)</f>
        <v>92</v>
      </c>
      <c r="E1500" s="2" t="str">
        <f ca="1">IFERROR(__xludf.DUMMYFUNCTION("""COMPUTED_VALUE"""),"Malbec")</f>
        <v>Malbec</v>
      </c>
      <c r="F1500" s="2">
        <f ca="1">IFERROR(__xludf.DUMMYFUNCTION("""COMPUTED_VALUE"""),-7000)</f>
        <v>-7000</v>
      </c>
      <c r="G1500" s="2">
        <f ca="1">IFERROR(__xludf.DUMMYFUNCTION("""COMPUTED_VALUE"""),9)</f>
        <v>9</v>
      </c>
      <c r="H1500" s="2" t="str">
        <f ca="1">IFERROR(__xludf.DUMMYFUNCTION("""COMPUTED_VALUE"""),"d7a4a599")</f>
        <v>d7a4a599</v>
      </c>
      <c r="I1500" s="2" t="str">
        <f ca="1">IFERROR(__xludf.DUMMYFUNCTION("""COMPUTED_VALUE"""),"Malbec Rect")</f>
        <v>Malbec Rect</v>
      </c>
      <c r="J1500" s="2">
        <f ca="1">IFERROR(__xludf.DUMMYFUNCTION("""COMPUTED_VALUE"""),12100)</f>
        <v>12100</v>
      </c>
      <c r="K1500" s="2">
        <f ca="1">IFERROR(__xludf.DUMMYFUNCTION("""COMPUTED_VALUE"""),5100)</f>
        <v>5100</v>
      </c>
      <c r="L1500" s="2" t="str">
        <f ca="1">IFERROR(__xludf.DUMMYFUNCTION("""COMPUTED_VALUE"""),"fc482da6")</f>
        <v>fc482da6</v>
      </c>
      <c r="M1500" s="2" t="str">
        <f ca="1">IFERROR(__xludf.DUMMYFUNCTION("""COMPUTED_VALUE"""),"Malbec Rect")</f>
        <v>Malbec Rect</v>
      </c>
      <c r="N1500" s="2"/>
      <c r="O1500" s="2" t="str">
        <f ca="1">IFERROR(__xludf.DUMMYFUNCTION("""COMPUTED_VALUE"""),"Fermentando")</f>
        <v>Fermentando</v>
      </c>
      <c r="P1500" s="2" t="str">
        <f ca="1">IFERROR(__xludf.DUMMYFUNCTION("""COMPUTED_VALUE"""),"Rectificado")</f>
        <v>Rectificado</v>
      </c>
      <c r="Q1500" s="2" t="b">
        <f ca="1">IFERROR(__xludf.DUMMYFUNCTION("""COMPUTED_VALUE"""),TRUE)</f>
        <v>1</v>
      </c>
      <c r="R1500" s="2" t="str">
        <f ca="1">IFERROR(__xludf.DUMMYFUNCTION("""COMPUTED_VALUE"""),"Rectificado")</f>
        <v>Rectificado</v>
      </c>
      <c r="S1500" s="2"/>
      <c r="T1500" s="2"/>
      <c r="U1500" s="2" t="str">
        <f ca="1">IFERROR(__xludf.DUMMYFUNCTION("""COMPUTED_VALUE"""),"1-")</f>
        <v>1-</v>
      </c>
    </row>
    <row r="1501" spans="1:21" x14ac:dyDescent="0.25">
      <c r="A1501" s="2" t="str">
        <f ca="1">IFERROR(__xludf.DUMMYFUNCTION("""COMPUTED_VALUE"""),"4da71467")</f>
        <v>4da71467</v>
      </c>
      <c r="B1501" s="5">
        <f ca="1">IFERROR(__xludf.DUMMYFUNCTION("""COMPUTED_VALUE"""),46118.8383680555)</f>
        <v>46118.838368055498</v>
      </c>
      <c r="C1501" s="2" t="str">
        <f ca="1">IFERROR(__xludf.DUMMYFUNCTION("""COMPUTED_VALUE"""),"3c4bd290")</f>
        <v>3c4bd290</v>
      </c>
      <c r="D1501" s="2">
        <f ca="1">IFERROR(__xludf.DUMMYFUNCTION("""COMPUTED_VALUE"""),89)</f>
        <v>89</v>
      </c>
      <c r="E1501" s="2" t="str">
        <f ca="1">IFERROR(__xludf.DUMMYFUNCTION("""COMPUTED_VALUE"""),"Malbec pc")</f>
        <v>Malbec pc</v>
      </c>
      <c r="F1501" s="2">
        <f ca="1">IFERROR(__xludf.DUMMYFUNCTION("""COMPUTED_VALUE"""),-14100)</f>
        <v>-14100</v>
      </c>
      <c r="G1501" s="2">
        <f ca="1">IFERROR(__xludf.DUMMYFUNCTION("""COMPUTED_VALUE"""),500)</f>
        <v>500</v>
      </c>
      <c r="H1501" s="2" t="str">
        <f ca="1">IFERROR(__xludf.DUMMYFUNCTION("""COMPUTED_VALUE"""),"3c409283")</f>
        <v>3c409283</v>
      </c>
      <c r="I1501" s="2" t="str">
        <f ca="1">IFERROR(__xludf.DUMMYFUNCTION("""COMPUTED_VALUE"""),"AJUSTE COSECHA 2026")</f>
        <v>AJUSTE COSECHA 2026</v>
      </c>
      <c r="J1501" s="2">
        <f ca="1">IFERROR(__xludf.DUMMYFUNCTION("""COMPUTED_VALUE"""),45800)</f>
        <v>45800</v>
      </c>
      <c r="K1501" s="2">
        <f ca="1">IFERROR(__xludf.DUMMYFUNCTION("""COMPUTED_VALUE"""),31700)</f>
        <v>31700</v>
      </c>
      <c r="L1501" s="2" t="str">
        <f ca="1">IFERROR(__xludf.DUMMYFUNCTION("""COMPUTED_VALUE"""),"f8c54c62")</f>
        <v>f8c54c62</v>
      </c>
      <c r="M1501" s="2" t="str">
        <f ca="1">IFERROR(__xludf.DUMMYFUNCTION("""COMPUTED_VALUE"""),"AJUSTE COSECHA 2026")</f>
        <v>AJUSTE COSECHA 2026</v>
      </c>
      <c r="N1501" s="2"/>
      <c r="O1501" s="2" t="str">
        <f ca="1">IFERROR(__xludf.DUMMYFUNCTION("""COMPUTED_VALUE"""),"Fermentando")</f>
        <v>Fermentando</v>
      </c>
      <c r="P1501" s="2" t="str">
        <f ca="1">IFERROR(__xludf.DUMMYFUNCTION("""COMPUTED_VALUE"""),"Fermentando")</f>
        <v>Fermentando</v>
      </c>
      <c r="Q1501" s="2" t="b">
        <f ca="1">IFERROR(__xludf.DUMMYFUNCTION("""COMPUTED_VALUE"""),TRUE)</f>
        <v>1</v>
      </c>
      <c r="R1501" s="2" t="str">
        <f ca="1">IFERROR(__xludf.DUMMYFUNCTION("""COMPUTED_VALUE"""),"Fermentando")</f>
        <v>Fermentando</v>
      </c>
      <c r="S1501" s="2"/>
      <c r="T1501" s="2"/>
      <c r="U1501" s="2" t="str">
        <f ca="1">IFERROR(__xludf.DUMMYFUNCTION("""COMPUTED_VALUE"""),"1")</f>
        <v>1</v>
      </c>
    </row>
    <row r="1502" spans="1:21" x14ac:dyDescent="0.25">
      <c r="A1502" s="2" t="str">
        <f ca="1">IFERROR(__xludf.DUMMYFUNCTION("""COMPUTED_VALUE"""),"98dd0636")</f>
        <v>98dd0636</v>
      </c>
      <c r="B1502" s="5">
        <f ca="1">IFERROR(__xludf.DUMMYFUNCTION("""COMPUTED_VALUE"""),46118.838761574)</f>
        <v>46118.838761573999</v>
      </c>
      <c r="C1502" s="2" t="str">
        <f ca="1">IFERROR(__xludf.DUMMYFUNCTION("""COMPUTED_VALUE"""),"4930e6d3")</f>
        <v>4930e6d3</v>
      </c>
      <c r="D1502" s="2">
        <f ca="1">IFERROR(__xludf.DUMMYFUNCTION("""COMPUTED_VALUE"""),88)</f>
        <v>88</v>
      </c>
      <c r="E1502" s="2" t="str">
        <f ca="1">IFERROR(__xludf.DUMMYFUNCTION("""COMPUTED_VALUE"""),"Malbec")</f>
        <v>Malbec</v>
      </c>
      <c r="F1502" s="2">
        <f ca="1">IFERROR(__xludf.DUMMYFUNCTION("""COMPUTED_VALUE"""),-1500)</f>
        <v>-1500</v>
      </c>
      <c r="G1502" s="2">
        <f ca="1">IFERROR(__xludf.DUMMYFUNCTION("""COMPUTED_VALUE"""),500)</f>
        <v>500</v>
      </c>
      <c r="H1502" s="2" t="str">
        <f ca="1">IFERROR(__xludf.DUMMYFUNCTION("""COMPUTED_VALUE"""),"f8c54c62")</f>
        <v>f8c54c62</v>
      </c>
      <c r="I1502" s="2" t="str">
        <f ca="1">IFERROR(__xludf.DUMMYFUNCTION("""COMPUTED_VALUE"""),"AJUSTE COSECHA 2026")</f>
        <v>AJUSTE COSECHA 2026</v>
      </c>
      <c r="J1502" s="2">
        <f ca="1">IFERROR(__xludf.DUMMYFUNCTION("""COMPUTED_VALUE"""),31700)</f>
        <v>31700</v>
      </c>
      <c r="K1502" s="2">
        <f ca="1">IFERROR(__xludf.DUMMYFUNCTION("""COMPUTED_VALUE"""),30200)</f>
        <v>30200</v>
      </c>
      <c r="L1502" s="2" t="str">
        <f ca="1">IFERROR(__xludf.DUMMYFUNCTION("""COMPUTED_VALUE"""),"e1d2b1a5")</f>
        <v>e1d2b1a5</v>
      </c>
      <c r="M1502" s="2" t="str">
        <f ca="1">IFERROR(__xludf.DUMMYFUNCTION("""COMPUTED_VALUE"""),"AJUSTE COSECHA 2026")</f>
        <v>AJUSTE COSECHA 2026</v>
      </c>
      <c r="N1502" s="2"/>
      <c r="O1502" s="2" t="str">
        <f ca="1">IFERROR(__xludf.DUMMYFUNCTION("""COMPUTED_VALUE"""),"Fermentando")</f>
        <v>Fermentando</v>
      </c>
      <c r="P1502" s="2" t="str">
        <f ca="1">IFERROR(__xludf.DUMMYFUNCTION("""COMPUTED_VALUE"""),"Fermentando")</f>
        <v>Fermentando</v>
      </c>
      <c r="Q1502" s="2" t="b">
        <f ca="1">IFERROR(__xludf.DUMMYFUNCTION("""COMPUTED_VALUE"""),TRUE)</f>
        <v>1</v>
      </c>
      <c r="R1502" s="2" t="str">
        <f ca="1">IFERROR(__xludf.DUMMYFUNCTION("""COMPUTED_VALUE"""),"Fermentando")</f>
        <v>Fermentando</v>
      </c>
      <c r="S1502" s="2"/>
      <c r="T1502" s="2"/>
      <c r="U1502" s="2" t="str">
        <f ca="1">IFERROR(__xludf.DUMMYFUNCTION("""COMPUTED_VALUE"""),"1")</f>
        <v>1</v>
      </c>
    </row>
    <row r="1503" spans="1:21" x14ac:dyDescent="0.25">
      <c r="A1503" s="2" t="str">
        <f ca="1">IFERROR(__xludf.DUMMYFUNCTION("""COMPUTED_VALUE"""),"bc6a7359")</f>
        <v>bc6a7359</v>
      </c>
      <c r="B1503" s="5">
        <f ca="1">IFERROR(__xludf.DUMMYFUNCTION("""COMPUTED_VALUE"""),46118.8446180555)</f>
        <v>46118.844618055497</v>
      </c>
      <c r="C1503" s="2" t="str">
        <f ca="1">IFERROR(__xludf.DUMMYFUNCTION("""COMPUTED_VALUE"""),"9dafdb04")</f>
        <v>9dafdb04</v>
      </c>
      <c r="D1503" s="2">
        <f ca="1">IFERROR(__xludf.DUMMYFUNCTION("""COMPUTED_VALUE"""),85)</f>
        <v>85</v>
      </c>
      <c r="E1503" s="2" t="str">
        <f ca="1">IFERROR(__xludf.DUMMYFUNCTION("""COMPUTED_VALUE"""),"Bonarda")</f>
        <v>Bonarda</v>
      </c>
      <c r="F1503" s="2">
        <f ca="1">IFERROR(__xludf.DUMMYFUNCTION("""COMPUTED_VALUE"""),-8500)</f>
        <v>-8500</v>
      </c>
      <c r="G1503" s="2">
        <f ca="1">IFERROR(__xludf.DUMMYFUNCTION("""COMPUTED_VALUE"""),500)</f>
        <v>500</v>
      </c>
      <c r="H1503" s="2" t="str">
        <f ca="1">IFERROR(__xludf.DUMMYFUNCTION("""COMPUTED_VALUE"""),"e1d2b1a5")</f>
        <v>e1d2b1a5</v>
      </c>
      <c r="I1503" s="2" t="str">
        <f ca="1">IFERROR(__xludf.DUMMYFUNCTION("""COMPUTED_VALUE"""),"AJUSTE COSECHA 2026")</f>
        <v>AJUSTE COSECHA 2026</v>
      </c>
      <c r="J1503" s="2">
        <f ca="1">IFERROR(__xludf.DUMMYFUNCTION("""COMPUTED_VALUE"""),30200)</f>
        <v>30200</v>
      </c>
      <c r="K1503" s="2">
        <f ca="1">IFERROR(__xludf.DUMMYFUNCTION("""COMPUTED_VALUE"""),21700)</f>
        <v>21700</v>
      </c>
      <c r="L1503" s="2" t="str">
        <f ca="1">IFERROR(__xludf.DUMMYFUNCTION("""COMPUTED_VALUE"""),"6bf1688c")</f>
        <v>6bf1688c</v>
      </c>
      <c r="M1503" s="2" t="str">
        <f ca="1">IFERROR(__xludf.DUMMYFUNCTION("""COMPUTED_VALUE"""),"AJUSTE COSECHA 2026")</f>
        <v>AJUSTE COSECHA 2026</v>
      </c>
      <c r="N1503" s="2"/>
      <c r="O1503" s="2" t="str">
        <f ca="1">IFERROR(__xludf.DUMMYFUNCTION("""COMPUTED_VALUE"""),"Fermentando")</f>
        <v>Fermentando</v>
      </c>
      <c r="P1503" s="2" t="str">
        <f ca="1">IFERROR(__xludf.DUMMYFUNCTION("""COMPUTED_VALUE"""),"Fermentando")</f>
        <v>Fermentando</v>
      </c>
      <c r="Q1503" s="2" t="b">
        <f ca="1">IFERROR(__xludf.DUMMYFUNCTION("""COMPUTED_VALUE"""),TRUE)</f>
        <v>1</v>
      </c>
      <c r="R1503" s="2" t="str">
        <f ca="1">IFERROR(__xludf.DUMMYFUNCTION("""COMPUTED_VALUE"""),"Fermentando")</f>
        <v>Fermentando</v>
      </c>
      <c r="S1503" s="2"/>
      <c r="T1503" s="2"/>
      <c r="U1503" s="2" t="str">
        <f ca="1">IFERROR(__xludf.DUMMYFUNCTION("""COMPUTED_VALUE"""),"1")</f>
        <v>1</v>
      </c>
    </row>
    <row r="1504" spans="1:21" x14ac:dyDescent="0.25">
      <c r="A1504" s="2" t="str">
        <f ca="1">IFERROR(__xludf.DUMMYFUNCTION("""COMPUTED_VALUE"""),"03b3eb3c")</f>
        <v>03b3eb3c</v>
      </c>
      <c r="B1504" s="5">
        <f ca="1">IFERROR(__xludf.DUMMYFUNCTION("""COMPUTED_VALUE"""),46118.8458333333)</f>
        <v>46118.845833333296</v>
      </c>
      <c r="C1504" s="2" t="str">
        <f ca="1">IFERROR(__xludf.DUMMYFUNCTION("""COMPUTED_VALUE"""),"53cc4912")</f>
        <v>53cc4912</v>
      </c>
      <c r="D1504" s="2">
        <f ca="1">IFERROR(__xludf.DUMMYFUNCTION("""COMPUTED_VALUE"""),86)</f>
        <v>86</v>
      </c>
      <c r="E1504" s="2" t="str">
        <f ca="1">IFERROR(__xludf.DUMMYFUNCTION("""COMPUTED_VALUE"""),"Malbec PC")</f>
        <v>Malbec PC</v>
      </c>
      <c r="F1504" s="2">
        <f ca="1">IFERROR(__xludf.DUMMYFUNCTION("""COMPUTED_VALUE"""),53100)</f>
        <v>53100</v>
      </c>
      <c r="G1504" s="2">
        <f ca="1">IFERROR(__xludf.DUMMYFUNCTION("""COMPUTED_VALUE"""),25)</f>
        <v>25</v>
      </c>
      <c r="H1504" s="2" t="str">
        <f ca="1">IFERROR(__xludf.DUMMYFUNCTION("""COMPUTED_VALUE"""),"17666613")</f>
        <v>17666613</v>
      </c>
      <c r="I1504" s="2" t="str">
        <f ca="1">IFERROR(__xludf.DUMMYFUNCTION("""COMPUTED_VALUE"""),"Malbec Man")</f>
        <v>Malbec Man</v>
      </c>
      <c r="J1504" s="2">
        <f ca="1">IFERROR(__xludf.DUMMYFUNCTION("""COMPUTED_VALUE"""),93800)</f>
        <v>93800</v>
      </c>
      <c r="K1504" s="2">
        <f ca="1">IFERROR(__xludf.DUMMYFUNCTION("""COMPUTED_VALUE"""),146900)</f>
        <v>146900</v>
      </c>
      <c r="L1504" s="2" t="str">
        <f ca="1">IFERROR(__xludf.DUMMYFUNCTION("""COMPUTED_VALUE"""),"bf64e514")</f>
        <v>bf64e514</v>
      </c>
      <c r="M1504" s="2" t="str">
        <f ca="1">IFERROR(__xludf.DUMMYFUNCTION("""COMPUTED_VALUE"""),"Malbec Man")</f>
        <v>Malbec Man</v>
      </c>
      <c r="N1504" s="2"/>
      <c r="O1504" s="2" t="str">
        <f ca="1">IFERROR(__xludf.DUMMYFUNCTION("""COMPUTED_VALUE"""),"Fermentando")</f>
        <v>Fermentando</v>
      </c>
      <c r="P1504" s="2" t="str">
        <f ca="1">IFERROR(__xludf.DUMMYFUNCTION("""COMPUTED_VALUE"""),"Descubada")</f>
        <v>Descubada</v>
      </c>
      <c r="Q1504" s="2" t="b">
        <f ca="1">IFERROR(__xludf.DUMMYFUNCTION("""COMPUTED_VALUE"""),TRUE)</f>
        <v>1</v>
      </c>
      <c r="R1504" s="2" t="str">
        <f ca="1">IFERROR(__xludf.DUMMYFUNCTION("""COMPUTED_VALUE"""),"Descubada")</f>
        <v>Descubada</v>
      </c>
      <c r="S1504" s="2"/>
      <c r="T1504" s="2"/>
      <c r="U1504" s="2" t="str">
        <f ca="1">IFERROR(__xludf.DUMMYFUNCTION("""COMPUTED_VALUE"""),"1")</f>
        <v>1</v>
      </c>
    </row>
    <row r="1505" spans="1:21" x14ac:dyDescent="0.25">
      <c r="A1505" s="2" t="str">
        <f ca="1">IFERROR(__xludf.DUMMYFUNCTION("""COMPUTED_VALUE"""),"b599d25b")</f>
        <v>b599d25b</v>
      </c>
      <c r="B1505" s="5">
        <f ca="1">IFERROR(__xludf.DUMMYFUNCTION("""COMPUTED_VALUE"""),46118.8467476851)</f>
        <v>46118.8467476851</v>
      </c>
      <c r="C1505" s="2" t="str">
        <f ca="1">IFERROR(__xludf.DUMMYFUNCTION("""COMPUTED_VALUE"""),"4a77f14f")</f>
        <v>4a77f14f</v>
      </c>
      <c r="D1505" s="2">
        <f ca="1">IFERROR(__xludf.DUMMYFUNCTION("""COMPUTED_VALUE"""),82)</f>
        <v>82</v>
      </c>
      <c r="E1505" s="2" t="str">
        <f ca="1">IFERROR(__xludf.DUMMYFUNCTION("""COMPUTED_VALUE"""),"Bonarda PC")</f>
        <v>Bonarda PC</v>
      </c>
      <c r="F1505" s="2">
        <f ca="1">IFERROR(__xludf.DUMMYFUNCTION("""COMPUTED_VALUE"""),6600)</f>
        <v>6600</v>
      </c>
      <c r="G1505" s="2">
        <f ca="1">IFERROR(__xludf.DUMMYFUNCTION("""COMPUTED_VALUE"""),500)</f>
        <v>500</v>
      </c>
      <c r="H1505" s="2" t="str">
        <f ca="1">IFERROR(__xludf.DUMMYFUNCTION("""COMPUTED_VALUE"""),"6bf1688c")</f>
        <v>6bf1688c</v>
      </c>
      <c r="I1505" s="2" t="str">
        <f ca="1">IFERROR(__xludf.DUMMYFUNCTION("""COMPUTED_VALUE"""),"AJUSTE COSECHA 2026")</f>
        <v>AJUSTE COSECHA 2026</v>
      </c>
      <c r="J1505" s="2">
        <f ca="1">IFERROR(__xludf.DUMMYFUNCTION("""COMPUTED_VALUE"""),21700)</f>
        <v>21700</v>
      </c>
      <c r="K1505" s="2">
        <f ca="1">IFERROR(__xludf.DUMMYFUNCTION("""COMPUTED_VALUE"""),28300)</f>
        <v>28300</v>
      </c>
      <c r="L1505" s="2" t="str">
        <f ca="1">IFERROR(__xludf.DUMMYFUNCTION("""COMPUTED_VALUE"""),"72915c2d")</f>
        <v>72915c2d</v>
      </c>
      <c r="M1505" s="2" t="str">
        <f ca="1">IFERROR(__xludf.DUMMYFUNCTION("""COMPUTED_VALUE"""),"AJUSTE COSECHA 2026")</f>
        <v>AJUSTE COSECHA 2026</v>
      </c>
      <c r="N1505" s="2"/>
      <c r="O1505" s="2" t="str">
        <f ca="1">IFERROR(__xludf.DUMMYFUNCTION("""COMPUTED_VALUE"""),"Fermentando")</f>
        <v>Fermentando</v>
      </c>
      <c r="P1505" s="2" t="str">
        <f ca="1">IFERROR(__xludf.DUMMYFUNCTION("""COMPUTED_VALUE"""),"Fermentando")</f>
        <v>Fermentando</v>
      </c>
      <c r="Q1505" s="2" t="b">
        <f ca="1">IFERROR(__xludf.DUMMYFUNCTION("""COMPUTED_VALUE"""),TRUE)</f>
        <v>1</v>
      </c>
      <c r="R1505" s="2" t="str">
        <f ca="1">IFERROR(__xludf.DUMMYFUNCTION("""COMPUTED_VALUE"""),"Fermentando")</f>
        <v>Fermentando</v>
      </c>
      <c r="S1505" s="2"/>
      <c r="T1505" s="2"/>
      <c r="U1505" s="2" t="str">
        <f ca="1">IFERROR(__xludf.DUMMYFUNCTION("""COMPUTED_VALUE"""),"1")</f>
        <v>1</v>
      </c>
    </row>
    <row r="1506" spans="1:21" x14ac:dyDescent="0.25">
      <c r="A1506" s="2" t="str">
        <f ca="1">IFERROR(__xludf.DUMMYFUNCTION("""COMPUTED_VALUE"""),"f3cd077f")</f>
        <v>f3cd077f</v>
      </c>
      <c r="B1506" s="5">
        <f ca="1">IFERROR(__xludf.DUMMYFUNCTION("""COMPUTED_VALUE"""),46118.8473379629)</f>
        <v>46118.847337962899</v>
      </c>
      <c r="C1506" s="2" t="str">
        <f ca="1">IFERROR(__xludf.DUMMYFUNCTION("""COMPUTED_VALUE"""),"4a77f14f")</f>
        <v>4a77f14f</v>
      </c>
      <c r="D1506" s="2">
        <f ca="1">IFERROR(__xludf.DUMMYFUNCTION("""COMPUTED_VALUE"""),82)</f>
        <v>82</v>
      </c>
      <c r="E1506" s="2" t="str">
        <f ca="1">IFERROR(__xludf.DUMMYFUNCTION("""COMPUTED_VALUE"""),"Bonarda PC")</f>
        <v>Bonarda PC</v>
      </c>
      <c r="F1506" s="2">
        <f ca="1">IFERROR(__xludf.DUMMYFUNCTION("""COMPUTED_VALUE"""),12600)</f>
        <v>12600</v>
      </c>
      <c r="G1506" s="2">
        <f ca="1">IFERROR(__xludf.DUMMYFUNCTION("""COMPUTED_VALUE"""),500)</f>
        <v>500</v>
      </c>
      <c r="H1506" s="2" t="str">
        <f ca="1">IFERROR(__xludf.DUMMYFUNCTION("""COMPUTED_VALUE"""),"72915c2d")</f>
        <v>72915c2d</v>
      </c>
      <c r="I1506" s="2" t="str">
        <f ca="1">IFERROR(__xludf.DUMMYFUNCTION("""COMPUTED_VALUE"""),"AJUSTE COSECHA 2026")</f>
        <v>AJUSTE COSECHA 2026</v>
      </c>
      <c r="J1506" s="2">
        <f ca="1">IFERROR(__xludf.DUMMYFUNCTION("""COMPUTED_VALUE"""),28300)</f>
        <v>28300</v>
      </c>
      <c r="K1506" s="2">
        <f ca="1">IFERROR(__xludf.DUMMYFUNCTION("""COMPUTED_VALUE"""),40900)</f>
        <v>40900</v>
      </c>
      <c r="L1506" s="2" t="str">
        <f ca="1">IFERROR(__xludf.DUMMYFUNCTION("""COMPUTED_VALUE"""),"56074493")</f>
        <v>56074493</v>
      </c>
      <c r="M1506" s="2" t="str">
        <f ca="1">IFERROR(__xludf.DUMMYFUNCTION("""COMPUTED_VALUE"""),"AJUSTE COSECHA 2026")</f>
        <v>AJUSTE COSECHA 2026</v>
      </c>
      <c r="N1506" s="2"/>
      <c r="O1506" s="2" t="str">
        <f ca="1">IFERROR(__xludf.DUMMYFUNCTION("""COMPUTED_VALUE"""),"Fermentando")</f>
        <v>Fermentando</v>
      </c>
      <c r="P1506" s="2" t="str">
        <f ca="1">IFERROR(__xludf.DUMMYFUNCTION("""COMPUTED_VALUE"""),"Fermentando")</f>
        <v>Fermentando</v>
      </c>
      <c r="Q1506" s="2" t="b">
        <f ca="1">IFERROR(__xludf.DUMMYFUNCTION("""COMPUTED_VALUE"""),TRUE)</f>
        <v>1</v>
      </c>
      <c r="R1506" s="2" t="str">
        <f ca="1">IFERROR(__xludf.DUMMYFUNCTION("""COMPUTED_VALUE"""),"Fermentando")</f>
        <v>Fermentando</v>
      </c>
      <c r="S1506" s="2"/>
      <c r="T1506" s="2"/>
      <c r="U1506" s="2" t="str">
        <f ca="1">IFERROR(__xludf.DUMMYFUNCTION("""COMPUTED_VALUE"""),"1")</f>
        <v>1</v>
      </c>
    </row>
    <row r="1507" spans="1:21" x14ac:dyDescent="0.25">
      <c r="A1507" s="2" t="str">
        <f ca="1">IFERROR(__xludf.DUMMYFUNCTION("""COMPUTED_VALUE"""),"1f015686")</f>
        <v>1f015686</v>
      </c>
      <c r="B1507" s="5">
        <f ca="1">IFERROR(__xludf.DUMMYFUNCTION("""COMPUTED_VALUE"""),46118.8477662037)</f>
        <v>46118.847766203697</v>
      </c>
      <c r="C1507" s="2" t="str">
        <f ca="1">IFERROR(__xludf.DUMMYFUNCTION("""COMPUTED_VALUE"""),"4a77f14f")</f>
        <v>4a77f14f</v>
      </c>
      <c r="D1507" s="2">
        <f ca="1">IFERROR(__xludf.DUMMYFUNCTION("""COMPUTED_VALUE"""),82)</f>
        <v>82</v>
      </c>
      <c r="E1507" s="2" t="str">
        <f ca="1">IFERROR(__xludf.DUMMYFUNCTION("""COMPUTED_VALUE"""),"Bonarda PC")</f>
        <v>Bonarda PC</v>
      </c>
      <c r="F1507" s="2">
        <f ca="1">IFERROR(__xludf.DUMMYFUNCTION("""COMPUTED_VALUE"""),-12600)</f>
        <v>-12600</v>
      </c>
      <c r="G1507" s="2">
        <f ca="1">IFERROR(__xludf.DUMMYFUNCTION("""COMPUTED_VALUE"""),500)</f>
        <v>500</v>
      </c>
      <c r="H1507" s="2" t="str">
        <f ca="1">IFERROR(__xludf.DUMMYFUNCTION("""COMPUTED_VALUE"""),"56074493")</f>
        <v>56074493</v>
      </c>
      <c r="I1507" s="2" t="str">
        <f ca="1">IFERROR(__xludf.DUMMYFUNCTION("""COMPUTED_VALUE"""),"AJUSTE COSECHA 2026")</f>
        <v>AJUSTE COSECHA 2026</v>
      </c>
      <c r="J1507" s="2">
        <f ca="1">IFERROR(__xludf.DUMMYFUNCTION("""COMPUTED_VALUE"""),40900)</f>
        <v>40900</v>
      </c>
      <c r="K1507" s="2">
        <f ca="1">IFERROR(__xludf.DUMMYFUNCTION("""COMPUTED_VALUE"""),28300)</f>
        <v>28300</v>
      </c>
      <c r="L1507" s="2" t="str">
        <f ca="1">IFERROR(__xludf.DUMMYFUNCTION("""COMPUTED_VALUE"""),"60bdcedb")</f>
        <v>60bdcedb</v>
      </c>
      <c r="M1507" s="2" t="str">
        <f ca="1">IFERROR(__xludf.DUMMYFUNCTION("""COMPUTED_VALUE"""),"AJUSTE COSECHA 2026")</f>
        <v>AJUSTE COSECHA 2026</v>
      </c>
      <c r="N1507" s="2"/>
      <c r="O1507" s="2" t="str">
        <f ca="1">IFERROR(__xludf.DUMMYFUNCTION("""COMPUTED_VALUE"""),"Fermentando")</f>
        <v>Fermentando</v>
      </c>
      <c r="P1507" s="2" t="str">
        <f ca="1">IFERROR(__xludf.DUMMYFUNCTION("""COMPUTED_VALUE"""),"Fermentando")</f>
        <v>Fermentando</v>
      </c>
      <c r="Q1507" s="2" t="b">
        <f ca="1">IFERROR(__xludf.DUMMYFUNCTION("""COMPUTED_VALUE"""),TRUE)</f>
        <v>1</v>
      </c>
      <c r="R1507" s="2" t="str">
        <f ca="1">IFERROR(__xludf.DUMMYFUNCTION("""COMPUTED_VALUE"""),"Fermentando")</f>
        <v>Fermentando</v>
      </c>
      <c r="S1507" s="2"/>
      <c r="T1507" s="2"/>
      <c r="U1507" s="2" t="str">
        <f ca="1">IFERROR(__xludf.DUMMYFUNCTION("""COMPUTED_VALUE"""),"1")</f>
        <v>1</v>
      </c>
    </row>
    <row r="1508" spans="1:21" x14ac:dyDescent="0.25">
      <c r="A1508" s="2" t="str">
        <f ca="1">IFERROR(__xludf.DUMMYFUNCTION("""COMPUTED_VALUE"""),"2d71e3ed")</f>
        <v>2d71e3ed</v>
      </c>
      <c r="B1508" s="5">
        <f ca="1">IFERROR(__xludf.DUMMYFUNCTION("""COMPUTED_VALUE"""),46118.8483796296)</f>
        <v>46118.848379629599</v>
      </c>
      <c r="C1508" s="2" t="str">
        <f ca="1">IFERROR(__xludf.DUMMYFUNCTION("""COMPUTED_VALUE"""),"cd07b237")</f>
        <v>cd07b237</v>
      </c>
      <c r="D1508" s="2">
        <f ca="1">IFERROR(__xludf.DUMMYFUNCTION("""COMPUTED_VALUE"""),81)</f>
        <v>81</v>
      </c>
      <c r="E1508" s="2" t="str">
        <f ca="1">IFERROR(__xludf.DUMMYFUNCTION("""COMPUTED_VALUE"""),"Malbec PC")</f>
        <v>Malbec PC</v>
      </c>
      <c r="F1508" s="2">
        <f ca="1">IFERROR(__xludf.DUMMYFUNCTION("""COMPUTED_VALUE"""),3600)</f>
        <v>3600</v>
      </c>
      <c r="G1508" s="2">
        <f ca="1">IFERROR(__xludf.DUMMYFUNCTION("""COMPUTED_VALUE"""),500)</f>
        <v>500</v>
      </c>
      <c r="H1508" s="2" t="str">
        <f ca="1">IFERROR(__xludf.DUMMYFUNCTION("""COMPUTED_VALUE"""),"60bdcedb")</f>
        <v>60bdcedb</v>
      </c>
      <c r="I1508" s="2" t="str">
        <f ca="1">IFERROR(__xludf.DUMMYFUNCTION("""COMPUTED_VALUE"""),"AJUSTE COSECHA 2026")</f>
        <v>AJUSTE COSECHA 2026</v>
      </c>
      <c r="J1508" s="2">
        <f ca="1">IFERROR(__xludf.DUMMYFUNCTION("""COMPUTED_VALUE"""),28300)</f>
        <v>28300</v>
      </c>
      <c r="K1508" s="2">
        <f ca="1">IFERROR(__xludf.DUMMYFUNCTION("""COMPUTED_VALUE"""),31900)</f>
        <v>31900</v>
      </c>
      <c r="L1508" s="2" t="str">
        <f ca="1">IFERROR(__xludf.DUMMYFUNCTION("""COMPUTED_VALUE"""),"27f7a919")</f>
        <v>27f7a919</v>
      </c>
      <c r="M1508" s="2" t="str">
        <f ca="1">IFERROR(__xludf.DUMMYFUNCTION("""COMPUTED_VALUE"""),"AJUSTE COSECHA 2026")</f>
        <v>AJUSTE COSECHA 2026</v>
      </c>
      <c r="N1508" s="2"/>
      <c r="O1508" s="2" t="str">
        <f ca="1">IFERROR(__xludf.DUMMYFUNCTION("""COMPUTED_VALUE"""),"Fermentando")</f>
        <v>Fermentando</v>
      </c>
      <c r="P1508" s="2" t="str">
        <f ca="1">IFERROR(__xludf.DUMMYFUNCTION("""COMPUTED_VALUE"""),"Fermentando")</f>
        <v>Fermentando</v>
      </c>
      <c r="Q1508" s="2" t="b">
        <f ca="1">IFERROR(__xludf.DUMMYFUNCTION("""COMPUTED_VALUE"""),TRUE)</f>
        <v>1</v>
      </c>
      <c r="R1508" s="2" t="str">
        <f ca="1">IFERROR(__xludf.DUMMYFUNCTION("""COMPUTED_VALUE"""),"Fermentando")</f>
        <v>Fermentando</v>
      </c>
      <c r="S1508" s="2"/>
      <c r="T1508" s="2"/>
      <c r="U1508" s="2" t="str">
        <f ca="1">IFERROR(__xludf.DUMMYFUNCTION("""COMPUTED_VALUE"""),"1")</f>
        <v>1</v>
      </c>
    </row>
    <row r="1509" spans="1:21" x14ac:dyDescent="0.25">
      <c r="A1509" s="2" t="str">
        <f ca="1">IFERROR(__xludf.DUMMYFUNCTION("""COMPUTED_VALUE"""),"20ab19e3")</f>
        <v>20ab19e3</v>
      </c>
      <c r="B1509" s="5">
        <f ca="1">IFERROR(__xludf.DUMMYFUNCTION("""COMPUTED_VALUE"""),46118.8490162037)</f>
        <v>46118.849016203698</v>
      </c>
      <c r="C1509" s="2" t="str">
        <f ca="1">IFERROR(__xludf.DUMMYFUNCTION("""COMPUTED_VALUE"""),"9a4dc22a")</f>
        <v>9a4dc22a</v>
      </c>
      <c r="D1509" s="2">
        <f ca="1">IFERROR(__xludf.DUMMYFUNCTION("""COMPUTED_VALUE"""),79)</f>
        <v>79</v>
      </c>
      <c r="E1509" s="2" t="str">
        <f ca="1">IFERROR(__xludf.DUMMYFUNCTION("""COMPUTED_VALUE"""),"Malbec Maq PC")</f>
        <v>Malbec Maq PC</v>
      </c>
      <c r="F1509" s="2">
        <f ca="1">IFERROR(__xludf.DUMMYFUNCTION("""COMPUTED_VALUE"""),-6000)</f>
        <v>-6000</v>
      </c>
      <c r="G1509" s="2">
        <f ca="1">IFERROR(__xludf.DUMMYFUNCTION("""COMPUTED_VALUE"""),500)</f>
        <v>500</v>
      </c>
      <c r="H1509" s="2" t="str">
        <f ca="1">IFERROR(__xludf.DUMMYFUNCTION("""COMPUTED_VALUE"""),"27f7a919")</f>
        <v>27f7a919</v>
      </c>
      <c r="I1509" s="2" t="str">
        <f ca="1">IFERROR(__xludf.DUMMYFUNCTION("""COMPUTED_VALUE"""),"AJUSTE COSECHA 2026")</f>
        <v>AJUSTE COSECHA 2026</v>
      </c>
      <c r="J1509" s="2">
        <f ca="1">IFERROR(__xludf.DUMMYFUNCTION("""COMPUTED_VALUE"""),31900)</f>
        <v>31900</v>
      </c>
      <c r="K1509" s="2">
        <f ca="1">IFERROR(__xludf.DUMMYFUNCTION("""COMPUTED_VALUE"""),25900)</f>
        <v>25900</v>
      </c>
      <c r="L1509" s="2" t="str">
        <f ca="1">IFERROR(__xludf.DUMMYFUNCTION("""COMPUTED_VALUE"""),"c5d1c334")</f>
        <v>c5d1c334</v>
      </c>
      <c r="M1509" s="2" t="str">
        <f ca="1">IFERROR(__xludf.DUMMYFUNCTION("""COMPUTED_VALUE"""),"AJUSTE COSECHA 2026")</f>
        <v>AJUSTE COSECHA 2026</v>
      </c>
      <c r="N1509" s="2"/>
      <c r="O1509" s="2" t="str">
        <f ca="1">IFERROR(__xludf.DUMMYFUNCTION("""COMPUTED_VALUE"""),"Fermentando")</f>
        <v>Fermentando</v>
      </c>
      <c r="P1509" s="2" t="str">
        <f ca="1">IFERROR(__xludf.DUMMYFUNCTION("""COMPUTED_VALUE"""),"Fermentando")</f>
        <v>Fermentando</v>
      </c>
      <c r="Q1509" s="2" t="b">
        <f ca="1">IFERROR(__xludf.DUMMYFUNCTION("""COMPUTED_VALUE"""),TRUE)</f>
        <v>1</v>
      </c>
      <c r="R1509" s="2" t="str">
        <f ca="1">IFERROR(__xludf.DUMMYFUNCTION("""COMPUTED_VALUE"""),"Fermentando")</f>
        <v>Fermentando</v>
      </c>
      <c r="S1509" s="2"/>
      <c r="T1509" s="2"/>
      <c r="U1509" s="2" t="str">
        <f ca="1">IFERROR(__xludf.DUMMYFUNCTION("""COMPUTED_VALUE"""),"1")</f>
        <v>1</v>
      </c>
    </row>
    <row r="1510" spans="1:21" x14ac:dyDescent="0.25">
      <c r="A1510" s="2" t="str">
        <f ca="1">IFERROR(__xludf.DUMMYFUNCTION("""COMPUTED_VALUE"""),"604fe1e1")</f>
        <v>604fe1e1</v>
      </c>
      <c r="B1510" s="5">
        <f ca="1">IFERROR(__xludf.DUMMYFUNCTION("""COMPUTED_VALUE"""),46118.8494444444)</f>
        <v>46118.8494444444</v>
      </c>
      <c r="C1510" s="2" t="str">
        <f ca="1">IFERROR(__xludf.DUMMYFUNCTION("""COMPUTED_VALUE"""),"d381a136")</f>
        <v>d381a136</v>
      </c>
      <c r="D1510" s="2">
        <f ca="1">IFERROR(__xludf.DUMMYFUNCTION("""COMPUTED_VALUE"""),66)</f>
        <v>66</v>
      </c>
      <c r="E1510" s="2" t="str">
        <f ca="1">IFERROR(__xludf.DUMMYFUNCTION("""COMPUTED_VALUE"""),"Malbec PC")</f>
        <v>Malbec PC</v>
      </c>
      <c r="F1510" s="2">
        <f ca="1">IFERROR(__xludf.DUMMYFUNCTION("""COMPUTED_VALUE"""),2800)</f>
        <v>2800</v>
      </c>
      <c r="G1510" s="2">
        <f ca="1">IFERROR(__xludf.DUMMYFUNCTION("""COMPUTED_VALUE"""),500)</f>
        <v>500</v>
      </c>
      <c r="H1510" s="2" t="str">
        <f ca="1">IFERROR(__xludf.DUMMYFUNCTION("""COMPUTED_VALUE"""),"c5d1c334")</f>
        <v>c5d1c334</v>
      </c>
      <c r="I1510" s="2" t="str">
        <f ca="1">IFERROR(__xludf.DUMMYFUNCTION("""COMPUTED_VALUE"""),"AJUSTE COSECHA 2026")</f>
        <v>AJUSTE COSECHA 2026</v>
      </c>
      <c r="J1510" s="2">
        <f ca="1">IFERROR(__xludf.DUMMYFUNCTION("""COMPUTED_VALUE"""),25900)</f>
        <v>25900</v>
      </c>
      <c r="K1510" s="2">
        <f ca="1">IFERROR(__xludf.DUMMYFUNCTION("""COMPUTED_VALUE"""),28700)</f>
        <v>28700</v>
      </c>
      <c r="L1510" s="2" t="str">
        <f ca="1">IFERROR(__xludf.DUMMYFUNCTION("""COMPUTED_VALUE"""),"30a63601")</f>
        <v>30a63601</v>
      </c>
      <c r="M1510" s="2" t="str">
        <f ca="1">IFERROR(__xludf.DUMMYFUNCTION("""COMPUTED_VALUE"""),"AJUSTE COSECHA 2026")</f>
        <v>AJUSTE COSECHA 2026</v>
      </c>
      <c r="N1510" s="2"/>
      <c r="O1510" s="2" t="str">
        <f ca="1">IFERROR(__xludf.DUMMYFUNCTION("""COMPUTED_VALUE"""),"Fermentando")</f>
        <v>Fermentando</v>
      </c>
      <c r="P1510" s="2" t="str">
        <f ca="1">IFERROR(__xludf.DUMMYFUNCTION("""COMPUTED_VALUE"""),"Fermentando")</f>
        <v>Fermentando</v>
      </c>
      <c r="Q1510" s="2" t="b">
        <f ca="1">IFERROR(__xludf.DUMMYFUNCTION("""COMPUTED_VALUE"""),TRUE)</f>
        <v>1</v>
      </c>
      <c r="R1510" s="2" t="str">
        <f ca="1">IFERROR(__xludf.DUMMYFUNCTION("""COMPUTED_VALUE"""),"Fermentando")</f>
        <v>Fermentando</v>
      </c>
      <c r="S1510" s="2"/>
      <c r="T1510" s="2"/>
      <c r="U1510" s="2" t="str">
        <f ca="1">IFERROR(__xludf.DUMMYFUNCTION("""COMPUTED_VALUE"""),"1")</f>
        <v>1</v>
      </c>
    </row>
    <row r="1511" spans="1:21" x14ac:dyDescent="0.25">
      <c r="A1511" s="2" t="str">
        <f ca="1">IFERROR(__xludf.DUMMYFUNCTION("""COMPUTED_VALUE"""),"3d6cc0d7")</f>
        <v>3d6cc0d7</v>
      </c>
      <c r="B1511" s="5">
        <f ca="1">IFERROR(__xludf.DUMMYFUNCTION("""COMPUTED_VALUE"""),46118.8496064814)</f>
        <v>46118.849606481403</v>
      </c>
      <c r="C1511" s="2" t="str">
        <f ca="1">IFERROR(__xludf.DUMMYFUNCTION("""COMPUTED_VALUE"""),"8267c94a")</f>
        <v>8267c94a</v>
      </c>
      <c r="D1511" s="2">
        <f ca="1">IFERROR(__xludf.DUMMYFUNCTION("""COMPUTED_VALUE"""),67)</f>
        <v>67</v>
      </c>
      <c r="E1511" s="2" t="str">
        <f ca="1">IFERROR(__xludf.DUMMYFUNCTION("""COMPUTED_VALUE"""),"Bonarda PC")</f>
        <v>Bonarda PC</v>
      </c>
      <c r="F1511" s="2">
        <f ca="1">IFERROR(__xludf.DUMMYFUNCTION("""COMPUTED_VALUE"""),2000)</f>
        <v>2000</v>
      </c>
      <c r="G1511" s="2">
        <f ca="1">IFERROR(__xludf.DUMMYFUNCTION("""COMPUTED_VALUE"""),500)</f>
        <v>500</v>
      </c>
      <c r="H1511" s="2" t="str">
        <f ca="1">IFERROR(__xludf.DUMMYFUNCTION("""COMPUTED_VALUE"""),"30a63601")</f>
        <v>30a63601</v>
      </c>
      <c r="I1511" s="2" t="str">
        <f ca="1">IFERROR(__xludf.DUMMYFUNCTION("""COMPUTED_VALUE"""),"AJUSTE COSECHA 2026")</f>
        <v>AJUSTE COSECHA 2026</v>
      </c>
      <c r="J1511" s="2">
        <f ca="1">IFERROR(__xludf.DUMMYFUNCTION("""COMPUTED_VALUE"""),28700)</f>
        <v>28700</v>
      </c>
      <c r="K1511" s="2">
        <f ca="1">IFERROR(__xludf.DUMMYFUNCTION("""COMPUTED_VALUE"""),30700)</f>
        <v>30700</v>
      </c>
      <c r="L1511" s="2" t="str">
        <f ca="1">IFERROR(__xludf.DUMMYFUNCTION("""COMPUTED_VALUE"""),"29ec178c")</f>
        <v>29ec178c</v>
      </c>
      <c r="M1511" s="2" t="str">
        <f ca="1">IFERROR(__xludf.DUMMYFUNCTION("""COMPUTED_VALUE"""),"AJUSTE COSECHA 2026")</f>
        <v>AJUSTE COSECHA 2026</v>
      </c>
      <c r="N1511" s="2"/>
      <c r="O1511" s="2" t="str">
        <f ca="1">IFERROR(__xludf.DUMMYFUNCTION("""COMPUTED_VALUE"""),"Fermentando")</f>
        <v>Fermentando</v>
      </c>
      <c r="P1511" s="2" t="str">
        <f ca="1">IFERROR(__xludf.DUMMYFUNCTION("""COMPUTED_VALUE"""),"Fermentando")</f>
        <v>Fermentando</v>
      </c>
      <c r="Q1511" s="2" t="b">
        <f ca="1">IFERROR(__xludf.DUMMYFUNCTION("""COMPUTED_VALUE"""),TRUE)</f>
        <v>1</v>
      </c>
      <c r="R1511" s="2" t="str">
        <f ca="1">IFERROR(__xludf.DUMMYFUNCTION("""COMPUTED_VALUE"""),"Fermentando")</f>
        <v>Fermentando</v>
      </c>
      <c r="S1511" s="2"/>
      <c r="T1511" s="2"/>
      <c r="U1511" s="2" t="str">
        <f ca="1">IFERROR(__xludf.DUMMYFUNCTION("""COMPUTED_VALUE"""),"1")</f>
        <v>1</v>
      </c>
    </row>
    <row r="1512" spans="1:21" x14ac:dyDescent="0.25">
      <c r="A1512" s="2" t="str">
        <f ca="1">IFERROR(__xludf.DUMMYFUNCTION("""COMPUTED_VALUE"""),"9b6d6c99")</f>
        <v>9b6d6c99</v>
      </c>
      <c r="B1512" s="5">
        <f ca="1">IFERROR(__xludf.DUMMYFUNCTION("""COMPUTED_VALUE"""),46118.8504976851)</f>
        <v>46118.850497685104</v>
      </c>
      <c r="C1512" s="2" t="str">
        <f ca="1">IFERROR(__xludf.DUMMYFUNCTION("""COMPUTED_VALUE"""),"62dbc574")</f>
        <v>62dbc574</v>
      </c>
      <c r="D1512" s="2">
        <f ca="1">IFERROR(__xludf.DUMMYFUNCTION("""COMPUTED_VALUE"""),32)</f>
        <v>32</v>
      </c>
      <c r="E1512" s="2" t="str">
        <f ca="1">IFERROR(__xludf.DUMMYFUNCTION("""COMPUTED_VALUE"""),"Cabernet Sauv")</f>
        <v>Cabernet Sauv</v>
      </c>
      <c r="F1512" s="2">
        <f ca="1">IFERROR(__xludf.DUMMYFUNCTION("""COMPUTED_VALUE"""),30300)</f>
        <v>30300</v>
      </c>
      <c r="G1512" s="2">
        <f ca="1">IFERROR(__xludf.DUMMYFUNCTION("""COMPUTED_VALUE"""),500)</f>
        <v>500</v>
      </c>
      <c r="H1512" s="2" t="str">
        <f ca="1">IFERROR(__xludf.DUMMYFUNCTION("""COMPUTED_VALUE"""),"29ec178c")</f>
        <v>29ec178c</v>
      </c>
      <c r="I1512" s="2" t="str">
        <f ca="1">IFERROR(__xludf.DUMMYFUNCTION("""COMPUTED_VALUE"""),"AJUSTE COSECHA 2026")</f>
        <v>AJUSTE COSECHA 2026</v>
      </c>
      <c r="J1512" s="2">
        <f ca="1">IFERROR(__xludf.DUMMYFUNCTION("""COMPUTED_VALUE"""),30700)</f>
        <v>30700</v>
      </c>
      <c r="K1512" s="2">
        <f ca="1">IFERROR(__xludf.DUMMYFUNCTION("""COMPUTED_VALUE"""),61000)</f>
        <v>61000</v>
      </c>
      <c r="L1512" s="2" t="str">
        <f ca="1">IFERROR(__xludf.DUMMYFUNCTION("""COMPUTED_VALUE"""),"a40b9fa7")</f>
        <v>a40b9fa7</v>
      </c>
      <c r="M1512" s="2" t="str">
        <f ca="1">IFERROR(__xludf.DUMMYFUNCTION("""COMPUTED_VALUE"""),"AJUSTE COSECHA 2026")</f>
        <v>AJUSTE COSECHA 2026</v>
      </c>
      <c r="N1512" s="2"/>
      <c r="O1512" s="2" t="str">
        <f ca="1">IFERROR(__xludf.DUMMYFUNCTION("""COMPUTED_VALUE"""),"Descubada")</f>
        <v>Descubada</v>
      </c>
      <c r="P1512" s="2" t="str">
        <f ca="1">IFERROR(__xludf.DUMMYFUNCTION("""COMPUTED_VALUE"""),"Fermentando")</f>
        <v>Fermentando</v>
      </c>
      <c r="Q1512" s="2" t="b">
        <f ca="1">IFERROR(__xludf.DUMMYFUNCTION("""COMPUTED_VALUE"""),TRUE)</f>
        <v>1</v>
      </c>
      <c r="R1512" s="2" t="str">
        <f ca="1">IFERROR(__xludf.DUMMYFUNCTION("""COMPUTED_VALUE"""),"Fermentando")</f>
        <v>Fermentando</v>
      </c>
      <c r="S1512" s="2"/>
      <c r="T1512" s="2"/>
      <c r="U1512" s="2" t="str">
        <f ca="1">IFERROR(__xludf.DUMMYFUNCTION("""COMPUTED_VALUE"""),"1")</f>
        <v>1</v>
      </c>
    </row>
    <row r="1513" spans="1:21" x14ac:dyDescent="0.25">
      <c r="A1513" s="2" t="str">
        <f ca="1">IFERROR(__xludf.DUMMYFUNCTION("""COMPUTED_VALUE"""),"796baa7c")</f>
        <v>796baa7c</v>
      </c>
      <c r="B1513" s="5">
        <f ca="1">IFERROR(__xludf.DUMMYFUNCTION("""COMPUTED_VALUE"""),46118.8581597222)</f>
        <v>46118.8581597222</v>
      </c>
      <c r="C1513" s="2" t="str">
        <f ca="1">IFERROR(__xludf.DUMMYFUNCTION("""COMPUTED_VALUE"""),"bf64e514")</f>
        <v>bf64e514</v>
      </c>
      <c r="D1513" s="2">
        <f ca="1">IFERROR(__xludf.DUMMYFUNCTION("""COMPUTED_VALUE"""),25)</f>
        <v>25</v>
      </c>
      <c r="E1513" s="2" t="str">
        <f ca="1">IFERROR(__xludf.DUMMYFUNCTION("""COMPUTED_VALUE"""),"Malbec Man")</f>
        <v>Malbec Man</v>
      </c>
      <c r="F1513" s="2">
        <f ca="1">IFERROR(__xludf.DUMMYFUNCTION("""COMPUTED_VALUE"""),20000)</f>
        <v>20000</v>
      </c>
      <c r="G1513" s="2">
        <f ca="1">IFERROR(__xludf.DUMMYFUNCTION("""COMPUTED_VALUE"""),500)</f>
        <v>500</v>
      </c>
      <c r="H1513" s="2" t="str">
        <f ca="1">IFERROR(__xludf.DUMMYFUNCTION("""COMPUTED_VALUE"""),"a40b9fa7")</f>
        <v>a40b9fa7</v>
      </c>
      <c r="I1513" s="2" t="str">
        <f ca="1">IFERROR(__xludf.DUMMYFUNCTION("""COMPUTED_VALUE"""),"AJUSTE COSECHA 2026")</f>
        <v>AJUSTE COSECHA 2026</v>
      </c>
      <c r="J1513" s="2">
        <f ca="1">IFERROR(__xludf.DUMMYFUNCTION("""COMPUTED_VALUE"""),61000)</f>
        <v>61000</v>
      </c>
      <c r="K1513" s="2">
        <f ca="1">IFERROR(__xludf.DUMMYFUNCTION("""COMPUTED_VALUE"""),81000)</f>
        <v>81000</v>
      </c>
      <c r="L1513" s="2" t="str">
        <f ca="1">IFERROR(__xludf.DUMMYFUNCTION("""COMPUTED_VALUE"""),"1acd483b")</f>
        <v>1acd483b</v>
      </c>
      <c r="M1513" s="2" t="str">
        <f ca="1">IFERROR(__xludf.DUMMYFUNCTION("""COMPUTED_VALUE"""),"AJUSTE COSECHA 2026")</f>
        <v>AJUSTE COSECHA 2026</v>
      </c>
      <c r="N1513" s="2"/>
      <c r="O1513" s="2" t="str">
        <f ca="1">IFERROR(__xludf.DUMMYFUNCTION("""COMPUTED_VALUE"""),"Descubada")</f>
        <v>Descubada</v>
      </c>
      <c r="P1513" s="2" t="str">
        <f ca="1">IFERROR(__xludf.DUMMYFUNCTION("""COMPUTED_VALUE"""),"Fermentando")</f>
        <v>Fermentando</v>
      </c>
      <c r="Q1513" s="2" t="b">
        <f ca="1">IFERROR(__xludf.DUMMYFUNCTION("""COMPUTED_VALUE"""),TRUE)</f>
        <v>1</v>
      </c>
      <c r="R1513" s="2" t="str">
        <f ca="1">IFERROR(__xludf.DUMMYFUNCTION("""COMPUTED_VALUE"""),"Fermentando")</f>
        <v>Fermentando</v>
      </c>
      <c r="S1513" s="2"/>
      <c r="T1513" s="2"/>
      <c r="U1513" s="2" t="str">
        <f ca="1">IFERROR(__xludf.DUMMYFUNCTION("""COMPUTED_VALUE"""),"1")</f>
        <v>1</v>
      </c>
    </row>
    <row r="1514" spans="1:21" x14ac:dyDescent="0.25">
      <c r="A1514" s="2" t="str">
        <f ca="1">IFERROR(__xludf.DUMMYFUNCTION("""COMPUTED_VALUE"""),"6eedaf49")</f>
        <v>6eedaf49</v>
      </c>
      <c r="B1514" s="5">
        <f ca="1">IFERROR(__xludf.DUMMYFUNCTION("""COMPUTED_VALUE"""),46119.8926273148)</f>
        <v>46119.892627314803</v>
      </c>
      <c r="C1514" s="2" t="str">
        <f ca="1">IFERROR(__xludf.DUMMYFUNCTION("""COMPUTED_VALUE"""),"4930e6d3")</f>
        <v>4930e6d3</v>
      </c>
      <c r="D1514" s="2">
        <f ca="1">IFERROR(__xludf.DUMMYFUNCTION("""COMPUTED_VALUE"""),88)</f>
        <v>88</v>
      </c>
      <c r="E1514" s="2" t="str">
        <f ca="1">IFERROR(__xludf.DUMMYFUNCTION("""COMPUTED_VALUE"""),"Malbec")</f>
        <v>Malbec</v>
      </c>
      <c r="F1514" s="2">
        <f ca="1">IFERROR(__xludf.DUMMYFUNCTION("""COMPUTED_VALUE"""),50000)</f>
        <v>50000</v>
      </c>
      <c r="G1514" s="2">
        <f ca="1">IFERROR(__xludf.DUMMYFUNCTION("""COMPUTED_VALUE"""),25)</f>
        <v>25</v>
      </c>
      <c r="H1514" s="2" t="str">
        <f ca="1">IFERROR(__xludf.DUMMYFUNCTION("""COMPUTED_VALUE"""),"bf64e514")</f>
        <v>bf64e514</v>
      </c>
      <c r="I1514" s="2" t="str">
        <f ca="1">IFERROR(__xludf.DUMMYFUNCTION("""COMPUTED_VALUE"""),"Malbec Man")</f>
        <v>Malbec Man</v>
      </c>
      <c r="J1514" s="2">
        <f ca="1">IFERROR(__xludf.DUMMYFUNCTION("""COMPUTED_VALUE"""),126900)</f>
        <v>126900</v>
      </c>
      <c r="K1514" s="2">
        <f ca="1">IFERROR(__xludf.DUMMYFUNCTION("""COMPUTED_VALUE"""),176900)</f>
        <v>176900</v>
      </c>
      <c r="L1514" s="2" t="str">
        <f ca="1">IFERROR(__xludf.DUMMYFUNCTION("""COMPUTED_VALUE"""),"56c846cb")</f>
        <v>56c846cb</v>
      </c>
      <c r="M1514" s="2" t="str">
        <f ca="1">IFERROR(__xludf.DUMMYFUNCTION("""COMPUTED_VALUE"""),"Malbec Man")</f>
        <v>Malbec Man</v>
      </c>
      <c r="N1514" s="2"/>
      <c r="O1514" s="2" t="str">
        <f ca="1">IFERROR(__xludf.DUMMYFUNCTION("""COMPUTED_VALUE"""),"Fermentando")</f>
        <v>Fermentando</v>
      </c>
      <c r="P1514" s="2" t="str">
        <f ca="1">IFERROR(__xludf.DUMMYFUNCTION("""COMPUTED_VALUE"""),"Descubada")</f>
        <v>Descubada</v>
      </c>
      <c r="Q1514" s="2" t="b">
        <f ca="1">IFERROR(__xludf.DUMMYFUNCTION("""COMPUTED_VALUE"""),TRUE)</f>
        <v>1</v>
      </c>
      <c r="R1514" s="2" t="str">
        <f ca="1">IFERROR(__xludf.DUMMYFUNCTION("""COMPUTED_VALUE"""),"Descubada")</f>
        <v>Descubada</v>
      </c>
      <c r="S1514" s="2"/>
      <c r="T1514" s="2"/>
      <c r="U1514" s="2" t="str">
        <f ca="1">IFERROR(__xludf.DUMMYFUNCTION("""COMPUTED_VALUE"""),"1")</f>
        <v>1</v>
      </c>
    </row>
    <row r="1515" spans="1:21" x14ac:dyDescent="0.25">
      <c r="A1515" s="2" t="str">
        <f ca="1">IFERROR(__xludf.DUMMYFUNCTION("""COMPUTED_VALUE"""),"60447633")</f>
        <v>60447633</v>
      </c>
      <c r="B1515" s="5">
        <f ca="1">IFERROR(__xludf.DUMMYFUNCTION("""COMPUTED_VALUE"""),46120.7657638888)</f>
        <v>46120.765763888798</v>
      </c>
      <c r="C1515" s="2" t="str">
        <f ca="1">IFERROR(__xludf.DUMMYFUNCTION("""COMPUTED_VALUE"""),"65f72a8b")</f>
        <v>65f72a8b</v>
      </c>
      <c r="D1515" s="2">
        <f ca="1">IFERROR(__xludf.DUMMYFUNCTION("""COMPUTED_VALUE"""),125)</f>
        <v>125</v>
      </c>
      <c r="E1515" s="2" t="str">
        <f ca="1">IFERROR(__xludf.DUMMYFUNCTION("""COMPUTED_VALUE"""),"Criolla Mosto")</f>
        <v>Criolla Mosto</v>
      </c>
      <c r="F1515" s="2">
        <f ca="1">IFERROR(__xludf.DUMMYFUNCTION("""COMPUTED_VALUE"""),20000)</f>
        <v>20000</v>
      </c>
      <c r="G1515" s="2">
        <f ca="1">IFERROR(__xludf.DUMMYFUNCTION("""COMPUTED_VALUE"""),126)</f>
        <v>126</v>
      </c>
      <c r="H1515" s="2"/>
      <c r="I1515" s="2"/>
      <c r="J1515" s="2">
        <f ca="1">IFERROR(__xludf.DUMMYFUNCTION("""COMPUTED_VALUE"""),0)</f>
        <v>0</v>
      </c>
      <c r="K1515" s="2">
        <f ca="1">IFERROR(__xludf.DUMMYFUNCTION("""COMPUTED_VALUE"""),20000)</f>
        <v>20000</v>
      </c>
      <c r="L1515" s="2" t="str">
        <f ca="1">IFERROR(__xludf.DUMMYFUNCTION("""COMPUTED_VALUE"""),"81695a7e")</f>
        <v>81695a7e</v>
      </c>
      <c r="M1515" s="2" t="str">
        <f ca="1">IFERROR(__xludf.DUMMYFUNCTION("""COMPUTED_VALUE"""),"Criolla Mosto")</f>
        <v>Criolla Mosto</v>
      </c>
      <c r="N1515" s="2"/>
      <c r="O1515" s="2" t="str">
        <f ca="1">IFERROR(__xludf.DUMMYFUNCTION("""COMPUTED_VALUE"""),"Mosto")</f>
        <v>Mosto</v>
      </c>
      <c r="P1515" s="2"/>
      <c r="Q1515" s="2" t="b">
        <f ca="1">IFERROR(__xludf.DUMMYFUNCTION("""COMPUTED_VALUE"""),FALSE)</f>
        <v>0</v>
      </c>
      <c r="R1515" s="2" t="str">
        <f ca="1">IFERROR(__xludf.DUMMYFUNCTION("""COMPUTED_VALUE"""),"Fermentando")</f>
        <v>Fermentando</v>
      </c>
      <c r="S1515" s="2"/>
      <c r="T1515" s="2"/>
      <c r="U1515" s="2"/>
    </row>
    <row r="1516" spans="1:21" x14ac:dyDescent="0.25">
      <c r="A1516" s="2" t="str">
        <f ca="1">IFERROR(__xludf.DUMMYFUNCTION("""COMPUTED_VALUE"""),"63fcdd94")</f>
        <v>63fcdd94</v>
      </c>
      <c r="B1516" s="5">
        <f ca="1">IFERROR(__xludf.DUMMYFUNCTION("""COMPUTED_VALUE"""),46120.7664583333)</f>
        <v>46120.766458333303</v>
      </c>
      <c r="C1516" s="2" t="str">
        <f ca="1">IFERROR(__xludf.DUMMYFUNCTION("""COMPUTED_VALUE"""),"65f72a8b")</f>
        <v>65f72a8b</v>
      </c>
      <c r="D1516" s="2">
        <f ca="1">IFERROR(__xludf.DUMMYFUNCTION("""COMPUTED_VALUE"""),125)</f>
        <v>125</v>
      </c>
      <c r="E1516" s="2" t="str">
        <f ca="1">IFERROR(__xludf.DUMMYFUNCTION("""COMPUTED_VALUE"""),"Criolla Mosto")</f>
        <v>Criolla Mosto</v>
      </c>
      <c r="F1516" s="2">
        <f ca="1">IFERROR(__xludf.DUMMYFUNCTION("""COMPUTED_VALUE"""),5000)</f>
        <v>5000</v>
      </c>
      <c r="G1516" s="2">
        <f ca="1">IFERROR(__xludf.DUMMYFUNCTION("""COMPUTED_VALUE"""),126)</f>
        <v>126</v>
      </c>
      <c r="H1516" s="2" t="str">
        <f ca="1">IFERROR(__xludf.DUMMYFUNCTION("""COMPUTED_VALUE"""),"81695a7e")</f>
        <v>81695a7e</v>
      </c>
      <c r="I1516" s="2" t="str">
        <f ca="1">IFERROR(__xludf.DUMMYFUNCTION("""COMPUTED_VALUE"""),"Criolla Mosto")</f>
        <v>Criolla Mosto</v>
      </c>
      <c r="J1516" s="2">
        <f ca="1">IFERROR(__xludf.DUMMYFUNCTION("""COMPUTED_VALUE"""),20000)</f>
        <v>20000</v>
      </c>
      <c r="K1516" s="2">
        <f ca="1">IFERROR(__xludf.DUMMYFUNCTION("""COMPUTED_VALUE"""),25000)</f>
        <v>25000</v>
      </c>
      <c r="L1516" s="2" t="str">
        <f ca="1">IFERROR(__xludf.DUMMYFUNCTION("""COMPUTED_VALUE"""),"5297538b")</f>
        <v>5297538b</v>
      </c>
      <c r="M1516" s="2" t="str">
        <f ca="1">IFERROR(__xludf.DUMMYFUNCTION("""COMPUTED_VALUE"""),"Criolla Mosto")</f>
        <v>Criolla Mosto</v>
      </c>
      <c r="N1516" s="2"/>
      <c r="O1516" s="2" t="str">
        <f ca="1">IFERROR(__xludf.DUMMYFUNCTION("""COMPUTED_VALUE"""),"Mosto")</f>
        <v>Mosto</v>
      </c>
      <c r="P1516" s="2" t="str">
        <f ca="1">IFERROR(__xludf.DUMMYFUNCTION("""COMPUTED_VALUE"""),"Fermentando")</f>
        <v>Fermentando</v>
      </c>
      <c r="Q1516" s="2" t="b">
        <f ca="1">IFERROR(__xludf.DUMMYFUNCTION("""COMPUTED_VALUE"""),TRUE)</f>
        <v>1</v>
      </c>
      <c r="R1516" s="2" t="str">
        <f ca="1">IFERROR(__xludf.DUMMYFUNCTION("""COMPUTED_VALUE"""),"Fermentando")</f>
        <v>Fermentando</v>
      </c>
      <c r="S1516" s="2"/>
      <c r="T1516" s="2"/>
      <c r="U1516" s="2"/>
    </row>
    <row r="1517" spans="1:21" x14ac:dyDescent="0.25">
      <c r="A1517" s="2" t="str">
        <f ca="1">IFERROR(__xludf.DUMMYFUNCTION("""COMPUTED_VALUE"""),"91a0bcd5")</f>
        <v>91a0bcd5</v>
      </c>
      <c r="B1517" s="5">
        <f ca="1">IFERROR(__xludf.DUMMYFUNCTION("""COMPUTED_VALUE"""),46120.7668518518)</f>
        <v>46120.766851851797</v>
      </c>
      <c r="C1517" s="2" t="str">
        <f ca="1">IFERROR(__xludf.DUMMYFUNCTION("""COMPUTED_VALUE"""),"3afd7948")</f>
        <v>3afd7948</v>
      </c>
      <c r="D1517" s="2">
        <f ca="1">IFERROR(__xludf.DUMMYFUNCTION("""COMPUTED_VALUE"""),8)</f>
        <v>8</v>
      </c>
      <c r="E1517" s="2" t="str">
        <f ca="1">IFERROR(__xludf.DUMMYFUNCTION("""COMPUTED_VALUE"""),"Criolla Mosto Rect")</f>
        <v>Criolla Mosto Rect</v>
      </c>
      <c r="F1517" s="2">
        <f ca="1">IFERROR(__xludf.DUMMYFUNCTION("""COMPUTED_VALUE"""),5000)</f>
        <v>5000</v>
      </c>
      <c r="G1517" s="2">
        <f ca="1">IFERROR(__xludf.DUMMYFUNCTION("""COMPUTED_VALUE"""),126)</f>
        <v>126</v>
      </c>
      <c r="H1517" s="2" t="str">
        <f ca="1">IFERROR(__xludf.DUMMYFUNCTION("""COMPUTED_VALUE"""),"5297538b")</f>
        <v>5297538b</v>
      </c>
      <c r="I1517" s="2" t="str">
        <f ca="1">IFERROR(__xludf.DUMMYFUNCTION("""COMPUTED_VALUE"""),"Criolla Mosto")</f>
        <v>Criolla Mosto</v>
      </c>
      <c r="J1517" s="2">
        <f ca="1">IFERROR(__xludf.DUMMYFUNCTION("""COMPUTED_VALUE"""),25000)</f>
        <v>25000</v>
      </c>
      <c r="K1517" s="2">
        <f ca="1">IFERROR(__xludf.DUMMYFUNCTION("""COMPUTED_VALUE"""),30000)</f>
        <v>30000</v>
      </c>
      <c r="L1517" s="2" t="str">
        <f ca="1">IFERROR(__xludf.DUMMYFUNCTION("""COMPUTED_VALUE"""),"21fc2cc1")</f>
        <v>21fc2cc1</v>
      </c>
      <c r="M1517" s="2" t="str">
        <f ca="1">IFERROR(__xludf.DUMMYFUNCTION("""COMPUTED_VALUE"""),"Criolla PC")</f>
        <v>Criolla PC</v>
      </c>
      <c r="N1517" s="2" t="str">
        <f ca="1">IFERROR(__xludf.DUMMYFUNCTION("""COMPUTED_VALUE"""),"Pileta 8 Rectificado Fermentando")</f>
        <v>Pileta 8 Rectificado Fermentando</v>
      </c>
      <c r="O1517" s="2" t="str">
        <f ca="1">IFERROR(__xludf.DUMMYFUNCTION("""COMPUTED_VALUE"""),"Fermentando")</f>
        <v>Fermentando</v>
      </c>
      <c r="P1517" s="2" t="str">
        <f ca="1">IFERROR(__xludf.DUMMYFUNCTION("""COMPUTED_VALUE"""),"Fermentando")</f>
        <v>Fermentando</v>
      </c>
      <c r="Q1517" s="2" t="b">
        <f ca="1">IFERROR(__xludf.DUMMYFUNCTION("""COMPUTED_VALUE"""),TRUE)</f>
        <v>1</v>
      </c>
      <c r="R1517" s="2" t="str">
        <f ca="1">IFERROR(__xludf.DUMMYFUNCTION("""COMPUTED_VALUE"""),"Fermentando")</f>
        <v>Fermentando</v>
      </c>
      <c r="S1517" s="2"/>
      <c r="T1517" s="2"/>
      <c r="U1517" s="2"/>
    </row>
    <row r="1518" spans="1:21" x14ac:dyDescent="0.25">
      <c r="A1518" s="2" t="str">
        <f ca="1">IFERROR(__xludf.DUMMYFUNCTION("""COMPUTED_VALUE"""),"d9dbe260")</f>
        <v>d9dbe260</v>
      </c>
      <c r="B1518" s="5">
        <f ca="1">IFERROR(__xludf.DUMMYFUNCTION("""COMPUTED_VALUE"""),46120.7674074074)</f>
        <v>46120.767407407402</v>
      </c>
      <c r="C1518" s="2" t="str">
        <f ca="1">IFERROR(__xludf.DUMMYFUNCTION("""COMPUTED_VALUE"""),"3afd7948")</f>
        <v>3afd7948</v>
      </c>
      <c r="D1518" s="2">
        <f ca="1">IFERROR(__xludf.DUMMYFUNCTION("""COMPUTED_VALUE"""),8)</f>
        <v>8</v>
      </c>
      <c r="E1518" s="2" t="str">
        <f ca="1">IFERROR(__xludf.DUMMYFUNCTION("""COMPUTED_VALUE"""),"Criolla Mosto Rect")</f>
        <v>Criolla Mosto Rect</v>
      </c>
      <c r="F1518" s="2">
        <f ca="1">IFERROR(__xludf.DUMMYFUNCTION("""COMPUTED_VALUE"""),10400)</f>
        <v>10400</v>
      </c>
      <c r="G1518" s="2">
        <f ca="1">IFERROR(__xludf.DUMMYFUNCTION("""COMPUTED_VALUE"""),65)</f>
        <v>65</v>
      </c>
      <c r="H1518" s="2"/>
      <c r="I1518" s="2"/>
      <c r="J1518" s="2">
        <f ca="1">IFERROR(__xludf.DUMMYFUNCTION("""COMPUTED_VALUE"""),0)</f>
        <v>0</v>
      </c>
      <c r="K1518" s="2">
        <f ca="1">IFERROR(__xludf.DUMMYFUNCTION("""COMPUTED_VALUE"""),10400)</f>
        <v>10400</v>
      </c>
      <c r="L1518" s="2" t="str">
        <f ca="1">IFERROR(__xludf.DUMMYFUNCTION("""COMPUTED_VALUE"""),"78ecdc36")</f>
        <v>78ecdc36</v>
      </c>
      <c r="M1518" s="2" t="str">
        <f ca="1">IFERROR(__xludf.DUMMYFUNCTION("""COMPUTED_VALUE"""),"Criolla Mosto Rect")</f>
        <v>Criolla Mosto Rect</v>
      </c>
      <c r="N1518" s="2"/>
      <c r="O1518" s="2" t="str">
        <f ca="1">IFERROR(__xludf.DUMMYFUNCTION("""COMPUTED_VALUE"""),"Fermentando")</f>
        <v>Fermentando</v>
      </c>
      <c r="P1518" s="2"/>
      <c r="Q1518" s="2" t="b">
        <f ca="1">IFERROR(__xludf.DUMMYFUNCTION("""COMPUTED_VALUE"""),FALSE)</f>
        <v>0</v>
      </c>
      <c r="R1518" s="2" t="str">
        <f ca="1">IFERROR(__xludf.DUMMYFUNCTION("""COMPUTED_VALUE"""),"Fermentando")</f>
        <v>Fermentando</v>
      </c>
      <c r="S1518" s="2"/>
      <c r="T1518" s="2"/>
      <c r="U1518" s="2"/>
    </row>
    <row r="1519" spans="1:21" x14ac:dyDescent="0.25">
      <c r="A1519" s="2" t="str">
        <f ca="1">IFERROR(__xludf.DUMMYFUNCTION("""COMPUTED_VALUE"""),"a6ed3a76")</f>
        <v>a6ed3a76</v>
      </c>
      <c r="B1519" s="5">
        <f ca="1">IFERROR(__xludf.DUMMYFUNCTION("""COMPUTED_VALUE"""),46120.7677314814)</f>
        <v>46120.767731481399</v>
      </c>
      <c r="C1519" s="2" t="str">
        <f ca="1">IFERROR(__xludf.DUMMYFUNCTION("""COMPUTED_VALUE"""),"65f72a8b")</f>
        <v>65f72a8b</v>
      </c>
      <c r="D1519" s="2">
        <f ca="1">IFERROR(__xludf.DUMMYFUNCTION("""COMPUTED_VALUE"""),125)</f>
        <v>125</v>
      </c>
      <c r="E1519" s="2" t="str">
        <f ca="1">IFERROR(__xludf.DUMMYFUNCTION("""COMPUTED_VALUE"""),"Criolla Mosto")</f>
        <v>Criolla Mosto</v>
      </c>
      <c r="F1519" s="2">
        <f ca="1">IFERROR(__xludf.DUMMYFUNCTION("""COMPUTED_VALUE"""),11000)</f>
        <v>11000</v>
      </c>
      <c r="G1519" s="2">
        <f ca="1">IFERROR(__xludf.DUMMYFUNCTION("""COMPUTED_VALUE"""),65)</f>
        <v>65</v>
      </c>
      <c r="H1519" s="2" t="str">
        <f ca="1">IFERROR(__xludf.DUMMYFUNCTION("""COMPUTED_VALUE"""),"78ecdc36")</f>
        <v>78ecdc36</v>
      </c>
      <c r="I1519" s="2" t="str">
        <f ca="1">IFERROR(__xludf.DUMMYFUNCTION("""COMPUTED_VALUE"""),"Criolla Mosto Rect")</f>
        <v>Criolla Mosto Rect</v>
      </c>
      <c r="J1519" s="2">
        <f ca="1">IFERROR(__xludf.DUMMYFUNCTION("""COMPUTED_VALUE"""),10400)</f>
        <v>10400</v>
      </c>
      <c r="K1519" s="2">
        <f ca="1">IFERROR(__xludf.DUMMYFUNCTION("""COMPUTED_VALUE"""),21400)</f>
        <v>21400</v>
      </c>
      <c r="L1519" s="2" t="str">
        <f ca="1">IFERROR(__xludf.DUMMYFUNCTION("""COMPUTED_VALUE"""),"e494b3e1")</f>
        <v>e494b3e1</v>
      </c>
      <c r="M1519" s="2" t="str">
        <f ca="1">IFERROR(__xludf.DUMMYFUNCTION("""COMPUTED_VALUE"""),"Criolla PC")</f>
        <v>Criolla PC</v>
      </c>
      <c r="N1519" s="2"/>
      <c r="O1519" s="2" t="str">
        <f ca="1">IFERROR(__xludf.DUMMYFUNCTION("""COMPUTED_VALUE"""),"Mosto")</f>
        <v>Mosto</v>
      </c>
      <c r="P1519" s="2" t="str">
        <f ca="1">IFERROR(__xludf.DUMMYFUNCTION("""COMPUTED_VALUE"""),"Fermentando")</f>
        <v>Fermentando</v>
      </c>
      <c r="Q1519" s="2" t="b">
        <f ca="1">IFERROR(__xludf.DUMMYFUNCTION("""COMPUTED_VALUE"""),TRUE)</f>
        <v>1</v>
      </c>
      <c r="R1519" s="2" t="str">
        <f ca="1">IFERROR(__xludf.DUMMYFUNCTION("""COMPUTED_VALUE"""),"Fermentando")</f>
        <v>Fermentando</v>
      </c>
      <c r="S1519" s="2"/>
      <c r="T1519" s="2"/>
      <c r="U1519" s="2"/>
    </row>
    <row r="1520" spans="1:21" x14ac:dyDescent="0.25">
      <c r="A1520" s="2" t="str">
        <f ca="1">IFERROR(__xludf.DUMMYFUNCTION("""COMPUTED_VALUE"""),"fc46101f")</f>
        <v>fc46101f</v>
      </c>
      <c r="B1520" s="5">
        <f ca="1">IFERROR(__xludf.DUMMYFUNCTION("""COMPUTED_VALUE"""),46120.7885648148)</f>
        <v>46120.7885648148</v>
      </c>
      <c r="C1520" s="2" t="str">
        <f ca="1">IFERROR(__xludf.DUMMYFUNCTION("""COMPUTED_VALUE"""),"ba82b2bc")</f>
        <v>ba82b2bc</v>
      </c>
      <c r="D1520" s="2">
        <f ca="1">IFERROR(__xludf.DUMMYFUNCTION("""COMPUTED_VALUE"""),127)</f>
        <v>127</v>
      </c>
      <c r="E1520" s="2" t="str">
        <f ca="1">IFERROR(__xludf.DUMMYFUNCTION("""COMPUTED_VALUE"""),"Criolla")</f>
        <v>Criolla</v>
      </c>
      <c r="F1520" s="2">
        <f ca="1">IFERROR(__xludf.DUMMYFUNCTION("""COMPUTED_VALUE"""),24020)</f>
        <v>24020</v>
      </c>
      <c r="G1520" s="2">
        <f ca="1">IFERROR(__xludf.DUMMYFUNCTION("""COMPUTED_VALUE"""),34)</f>
        <v>34</v>
      </c>
      <c r="H1520" s="2"/>
      <c r="I1520" s="2"/>
      <c r="J1520" s="2">
        <f ca="1">IFERROR(__xludf.DUMMYFUNCTION("""COMPUTED_VALUE"""),0)</f>
        <v>0</v>
      </c>
      <c r="K1520" s="2">
        <f ca="1">IFERROR(__xludf.DUMMYFUNCTION("""COMPUTED_VALUE"""),24020)</f>
        <v>24020</v>
      </c>
      <c r="L1520" s="2" t="str">
        <f ca="1">IFERROR(__xludf.DUMMYFUNCTION("""COMPUTED_VALUE"""),"feffca11")</f>
        <v>feffca11</v>
      </c>
      <c r="M1520" s="2" t="str">
        <f ca="1">IFERROR(__xludf.DUMMYFUNCTION("""COMPUTED_VALUE"""),"Criolla")</f>
        <v>Criolla</v>
      </c>
      <c r="N1520" s="2"/>
      <c r="O1520" s="2" t="str">
        <f ca="1">IFERROR(__xludf.DUMMYFUNCTION("""COMPUTED_VALUE"""),"Fermentando")</f>
        <v>Fermentando</v>
      </c>
      <c r="P1520" s="2"/>
      <c r="Q1520" s="2" t="b">
        <f ca="1">IFERROR(__xludf.DUMMYFUNCTION("""COMPUTED_VALUE"""),FALSE)</f>
        <v>0</v>
      </c>
      <c r="R1520" s="2" t="str">
        <f ca="1">IFERROR(__xludf.DUMMYFUNCTION("""COMPUTED_VALUE"""),"Descubada")</f>
        <v>Descubada</v>
      </c>
      <c r="S1520" s="2"/>
      <c r="T1520" s="2"/>
      <c r="U1520" s="2"/>
    </row>
    <row r="1521" spans="1:21" x14ac:dyDescent="0.25">
      <c r="A1521" s="2" t="str">
        <f ca="1">IFERROR(__xludf.DUMMYFUNCTION("""COMPUTED_VALUE"""),"a9b01018")</f>
        <v>a9b01018</v>
      </c>
      <c r="B1521" s="5">
        <f ca="1">IFERROR(__xludf.DUMMYFUNCTION("""COMPUTED_VALUE"""),46120.7905092592)</f>
        <v>46120.790509259197</v>
      </c>
      <c r="C1521" s="2" t="str">
        <f ca="1">IFERROR(__xludf.DUMMYFUNCTION("""COMPUTED_VALUE"""),"54b0a239")</f>
        <v>54b0a239</v>
      </c>
      <c r="D1521" s="2">
        <f ca="1">IFERROR(__xludf.DUMMYFUNCTION("""COMPUTED_VALUE"""),80)</f>
        <v>80</v>
      </c>
      <c r="E1521" s="2" t="str">
        <f ca="1">IFERROR(__xludf.DUMMYFUNCTION("""COMPUTED_VALUE"""),"Pedro Gimenez")</f>
        <v>Pedro Gimenez</v>
      </c>
      <c r="F1521" s="2">
        <f ca="1">IFERROR(__xludf.DUMMYFUNCTION("""COMPUTED_VALUE"""),21600)</f>
        <v>21600</v>
      </c>
      <c r="G1521" s="2">
        <f ca="1">IFERROR(__xludf.DUMMYFUNCTION("""COMPUTED_VALUE"""),8)</f>
        <v>8</v>
      </c>
      <c r="H1521" s="2"/>
      <c r="I1521" s="2"/>
      <c r="J1521" s="2">
        <f ca="1">IFERROR(__xludf.DUMMYFUNCTION("""COMPUTED_VALUE"""),0)</f>
        <v>0</v>
      </c>
      <c r="K1521" s="2">
        <f ca="1">IFERROR(__xludf.DUMMYFUNCTION("""COMPUTED_VALUE"""),21600)</f>
        <v>21600</v>
      </c>
      <c r="L1521" s="2" t="str">
        <f ca="1">IFERROR(__xludf.DUMMYFUNCTION("""COMPUTED_VALUE"""),"76379bb5")</f>
        <v>76379bb5</v>
      </c>
      <c r="M1521" s="2" t="str">
        <f ca="1">IFERROR(__xludf.DUMMYFUNCTION("""COMPUTED_VALUE"""),"Pedro Gimenez")</f>
        <v>Pedro Gimenez</v>
      </c>
      <c r="N1521" s="2"/>
      <c r="O1521" s="2" t="str">
        <f ca="1">IFERROR(__xludf.DUMMYFUNCTION("""COMPUTED_VALUE"""),"Fermentando")</f>
        <v>Fermentando</v>
      </c>
      <c r="P1521" s="2"/>
      <c r="Q1521" s="2" t="b">
        <f ca="1">IFERROR(__xludf.DUMMYFUNCTION("""COMPUTED_VALUE"""),FALSE)</f>
        <v>0</v>
      </c>
      <c r="R1521" s="2" t="str">
        <f ca="1">IFERROR(__xludf.DUMMYFUNCTION("""COMPUTED_VALUE"""),"Descubada")</f>
        <v>Descubada</v>
      </c>
      <c r="S1521" s="2"/>
      <c r="T1521" s="2"/>
      <c r="U1521" s="2" t="str">
        <f ca="1">IFERROR(__xludf.DUMMYFUNCTION("""COMPUTED_VALUE"""),"1")</f>
        <v>1</v>
      </c>
    </row>
    <row r="1522" spans="1:21" x14ac:dyDescent="0.25">
      <c r="A1522" s="2" t="str">
        <f ca="1">IFERROR(__xludf.DUMMYFUNCTION("""COMPUTED_VALUE"""),"cafb1c8c")</f>
        <v>cafb1c8c</v>
      </c>
      <c r="B1522" s="5">
        <f ca="1">IFERROR(__xludf.DUMMYFUNCTION("""COMPUTED_VALUE"""),46120.7912037037)</f>
        <v>46120.791203703702</v>
      </c>
      <c r="C1522" s="2" t="str">
        <f ca="1">IFERROR(__xludf.DUMMYFUNCTION("""COMPUTED_VALUE"""),"3c4bd290")</f>
        <v>3c4bd290</v>
      </c>
      <c r="D1522" s="2">
        <f ca="1">IFERROR(__xludf.DUMMYFUNCTION("""COMPUTED_VALUE"""),89)</f>
        <v>89</v>
      </c>
      <c r="E1522" s="2" t="str">
        <f ca="1">IFERROR(__xludf.DUMMYFUNCTION("""COMPUTED_VALUE"""),"Malbec pc")</f>
        <v>Malbec pc</v>
      </c>
      <c r="F1522" s="2">
        <f ca="1">IFERROR(__xludf.DUMMYFUNCTION("""COMPUTED_VALUE"""),17400)</f>
        <v>17400</v>
      </c>
      <c r="G1522" s="2">
        <f ca="1">IFERROR(__xludf.DUMMYFUNCTION("""COMPUTED_VALUE"""),25)</f>
        <v>25</v>
      </c>
      <c r="H1522" s="2" t="str">
        <f ca="1">IFERROR(__xludf.DUMMYFUNCTION("""COMPUTED_VALUE"""),"56c846cb")</f>
        <v>56c846cb</v>
      </c>
      <c r="I1522" s="2" t="str">
        <f ca="1">IFERROR(__xludf.DUMMYFUNCTION("""COMPUTED_VALUE"""),"Malbec Man")</f>
        <v>Malbec Man</v>
      </c>
      <c r="J1522" s="2">
        <f ca="1">IFERROR(__xludf.DUMMYFUNCTION("""COMPUTED_VALUE"""),176900)</f>
        <v>176900</v>
      </c>
      <c r="K1522" s="2">
        <f ca="1">IFERROR(__xludf.DUMMYFUNCTION("""COMPUTED_VALUE"""),194300)</f>
        <v>194300</v>
      </c>
      <c r="L1522" s="2" t="str">
        <f ca="1">IFERROR(__xludf.DUMMYFUNCTION("""COMPUTED_VALUE"""),"072a8a51")</f>
        <v>072a8a51</v>
      </c>
      <c r="M1522" s="2" t="str">
        <f ca="1">IFERROR(__xludf.DUMMYFUNCTION("""COMPUTED_VALUE"""),"Malbec Man")</f>
        <v>Malbec Man</v>
      </c>
      <c r="N1522" s="2"/>
      <c r="O1522" s="2" t="str">
        <f ca="1">IFERROR(__xludf.DUMMYFUNCTION("""COMPUTED_VALUE"""),"Fermentando")</f>
        <v>Fermentando</v>
      </c>
      <c r="P1522" s="2" t="str">
        <f ca="1">IFERROR(__xludf.DUMMYFUNCTION("""COMPUTED_VALUE"""),"Descubada")</f>
        <v>Descubada</v>
      </c>
      <c r="Q1522" s="2" t="b">
        <f ca="1">IFERROR(__xludf.DUMMYFUNCTION("""COMPUTED_VALUE"""),TRUE)</f>
        <v>1</v>
      </c>
      <c r="R1522" s="2" t="str">
        <f ca="1">IFERROR(__xludf.DUMMYFUNCTION("""COMPUTED_VALUE"""),"Descubada")</f>
        <v>Descubada</v>
      </c>
      <c r="S1522" s="2"/>
      <c r="T1522" s="2"/>
      <c r="U1522" s="2" t="str">
        <f ca="1">IFERROR(__xludf.DUMMYFUNCTION("""COMPUTED_VALUE"""),"1")</f>
        <v>1</v>
      </c>
    </row>
    <row r="1523" spans="1:21" x14ac:dyDescent="0.25">
      <c r="A1523" s="2" t="str">
        <f ca="1">IFERROR(__xludf.DUMMYFUNCTION("""COMPUTED_VALUE"""),"44458b55")</f>
        <v>44458b55</v>
      </c>
      <c r="B1523" s="5">
        <f ca="1">IFERROR(__xludf.DUMMYFUNCTION("""COMPUTED_VALUE"""),46120.7926504629)</f>
        <v>46120.792650462899</v>
      </c>
      <c r="C1523" s="2" t="str">
        <f ca="1">IFERROR(__xludf.DUMMYFUNCTION("""COMPUTED_VALUE"""),"3c4bd290")</f>
        <v>3c4bd290</v>
      </c>
      <c r="D1523" s="2">
        <f ca="1">IFERROR(__xludf.DUMMYFUNCTION("""COMPUTED_VALUE"""),89)</f>
        <v>89</v>
      </c>
      <c r="E1523" s="2" t="str">
        <f ca="1">IFERROR(__xludf.DUMMYFUNCTION("""COMPUTED_VALUE"""),"Malbec pc")</f>
        <v>Malbec pc</v>
      </c>
      <c r="F1523" s="2">
        <f ca="1">IFERROR(__xludf.DUMMYFUNCTION("""COMPUTED_VALUE"""),42600)</f>
        <v>42600</v>
      </c>
      <c r="G1523" s="2">
        <f ca="1">IFERROR(__xludf.DUMMYFUNCTION("""COMPUTED_VALUE"""),24)</f>
        <v>24</v>
      </c>
      <c r="H1523" s="2"/>
      <c r="I1523" s="2"/>
      <c r="J1523" s="2">
        <f ca="1">IFERROR(__xludf.DUMMYFUNCTION("""COMPUTED_VALUE"""),0)</f>
        <v>0</v>
      </c>
      <c r="K1523" s="2">
        <f ca="1">IFERROR(__xludf.DUMMYFUNCTION("""COMPUTED_VALUE"""),42600)</f>
        <v>42600</v>
      </c>
      <c r="L1523" s="2" t="str">
        <f ca="1">IFERROR(__xludf.DUMMYFUNCTION("""COMPUTED_VALUE"""),"b7ca37d7")</f>
        <v>b7ca37d7</v>
      </c>
      <c r="M1523" s="2" t="str">
        <f ca="1">IFERROR(__xludf.DUMMYFUNCTION("""COMPUTED_VALUE"""),"Malbec pc")</f>
        <v>Malbec pc</v>
      </c>
      <c r="N1523" s="2"/>
      <c r="O1523" s="2" t="str">
        <f ca="1">IFERROR(__xludf.DUMMYFUNCTION("""COMPUTED_VALUE"""),"Fermentando")</f>
        <v>Fermentando</v>
      </c>
      <c r="P1523" s="2"/>
      <c r="Q1523" s="2" t="b">
        <f ca="1">IFERROR(__xludf.DUMMYFUNCTION("""COMPUTED_VALUE"""),FALSE)</f>
        <v>0</v>
      </c>
      <c r="R1523" s="2" t="str">
        <f ca="1">IFERROR(__xludf.DUMMYFUNCTION("""COMPUTED_VALUE"""),"Descubada")</f>
        <v>Descubada</v>
      </c>
      <c r="S1523" s="2"/>
      <c r="T1523" s="2"/>
      <c r="U1523" s="2" t="str">
        <f ca="1">IFERROR(__xludf.DUMMYFUNCTION("""COMPUTED_VALUE"""),"1")</f>
        <v>1</v>
      </c>
    </row>
    <row r="1524" spans="1:21" x14ac:dyDescent="0.25">
      <c r="A1524" s="2" t="str">
        <f ca="1">IFERROR(__xludf.DUMMYFUNCTION("""COMPUTED_VALUE"""),"7a4ce181")</f>
        <v>7a4ce181</v>
      </c>
      <c r="B1524" s="5">
        <f ca="1">IFERROR(__xludf.DUMMYFUNCTION("""COMPUTED_VALUE"""),46121.7873726851)</f>
        <v>46121.787372685103</v>
      </c>
      <c r="C1524" s="2" t="str">
        <f ca="1">IFERROR(__xludf.DUMMYFUNCTION("""COMPUTED_VALUE"""),"6d19079d")</f>
        <v>6d19079d</v>
      </c>
      <c r="D1524" s="2">
        <f ca="1">IFERROR(__xludf.DUMMYFUNCTION("""COMPUTED_VALUE"""),125)</f>
        <v>125</v>
      </c>
      <c r="E1524" s="2" t="str">
        <f ca="1">IFERROR(__xludf.DUMMYFUNCTION("""COMPUTED_VALUE"""),"Criolla Mosto")</f>
        <v>Criolla Mosto</v>
      </c>
      <c r="F1524" s="2">
        <f ca="1">IFERROR(__xludf.DUMMYFUNCTION("""COMPUTED_VALUE"""),13000)</f>
        <v>13000</v>
      </c>
      <c r="G1524" s="2">
        <f ca="1">IFERROR(__xludf.DUMMYFUNCTION("""COMPUTED_VALUE"""),65)</f>
        <v>65</v>
      </c>
      <c r="H1524" s="2" t="str">
        <f ca="1">IFERROR(__xludf.DUMMYFUNCTION("""COMPUTED_VALUE"""),"e494b3e1")</f>
        <v>e494b3e1</v>
      </c>
      <c r="I1524" s="2" t="str">
        <f ca="1">IFERROR(__xludf.DUMMYFUNCTION("""COMPUTED_VALUE"""),"Criolla PC")</f>
        <v>Criolla PC</v>
      </c>
      <c r="J1524" s="2">
        <f ca="1">IFERROR(__xludf.DUMMYFUNCTION("""COMPUTED_VALUE"""),21400)</f>
        <v>21400</v>
      </c>
      <c r="K1524" s="2">
        <f ca="1">IFERROR(__xludf.DUMMYFUNCTION("""COMPUTED_VALUE"""),34400)</f>
        <v>34400</v>
      </c>
      <c r="L1524" s="2" t="str">
        <f ca="1">IFERROR(__xludf.DUMMYFUNCTION("""COMPUTED_VALUE"""),"d932789c")</f>
        <v>d932789c</v>
      </c>
      <c r="M1524" s="2" t="str">
        <f ca="1">IFERROR(__xludf.DUMMYFUNCTION("""COMPUTED_VALUE"""),"Criolla PC")</f>
        <v>Criolla PC</v>
      </c>
      <c r="N1524" s="2"/>
      <c r="O1524" s="2" t="str">
        <f ca="1">IFERROR(__xludf.DUMMYFUNCTION("""COMPUTED_VALUE"""),"Mosto")</f>
        <v>Mosto</v>
      </c>
      <c r="P1524" s="2" t="str">
        <f ca="1">IFERROR(__xludf.DUMMYFUNCTION("""COMPUTED_VALUE"""),"Fermentando")</f>
        <v>Fermentando</v>
      </c>
      <c r="Q1524" s="2" t="b">
        <f ca="1">IFERROR(__xludf.DUMMYFUNCTION("""COMPUTED_VALUE"""),TRUE)</f>
        <v>1</v>
      </c>
      <c r="R1524" s="2" t="str">
        <f ca="1">IFERROR(__xludf.DUMMYFUNCTION("""COMPUTED_VALUE"""),"Fermentando")</f>
        <v>Fermentando</v>
      </c>
      <c r="S1524" s="2"/>
      <c r="T1524" s="2"/>
      <c r="U1524" s="2"/>
    </row>
    <row r="1525" spans="1:21" x14ac:dyDescent="0.25">
      <c r="A1525" s="2" t="str">
        <f ca="1">IFERROR(__xludf.DUMMYFUNCTION("""COMPUTED_VALUE"""),"2925c61c")</f>
        <v>2925c61c</v>
      </c>
      <c r="B1525" s="5">
        <f ca="1">IFERROR(__xludf.DUMMYFUNCTION("""COMPUTED_VALUE"""),46121.7880787037)</f>
        <v>46121.788078703699</v>
      </c>
      <c r="C1525" s="2" t="str">
        <f ca="1">IFERROR(__xludf.DUMMYFUNCTION("""COMPUTED_VALUE"""),"6d19079d")</f>
        <v>6d19079d</v>
      </c>
      <c r="D1525" s="2">
        <f ca="1">IFERROR(__xludf.DUMMYFUNCTION("""COMPUTED_VALUE"""),125)</f>
        <v>125</v>
      </c>
      <c r="E1525" s="2" t="str">
        <f ca="1">IFERROR(__xludf.DUMMYFUNCTION("""COMPUTED_VALUE"""),"Criolla Mosto")</f>
        <v>Criolla Mosto</v>
      </c>
      <c r="F1525" s="2">
        <f ca="1">IFERROR(__xludf.DUMMYFUNCTION("""COMPUTED_VALUE"""),3000)</f>
        <v>3000</v>
      </c>
      <c r="G1525" s="2">
        <f ca="1">IFERROR(__xludf.DUMMYFUNCTION("""COMPUTED_VALUE"""),127)</f>
        <v>127</v>
      </c>
      <c r="H1525" s="2"/>
      <c r="I1525" s="2"/>
      <c r="J1525" s="2">
        <f ca="1">IFERROR(__xludf.DUMMYFUNCTION("""COMPUTED_VALUE"""),0)</f>
        <v>0</v>
      </c>
      <c r="K1525" s="2">
        <f ca="1">IFERROR(__xludf.DUMMYFUNCTION("""COMPUTED_VALUE"""),3000)</f>
        <v>3000</v>
      </c>
      <c r="L1525" s="2" t="str">
        <f ca="1">IFERROR(__xludf.DUMMYFUNCTION("""COMPUTED_VALUE"""),"06d085dd")</f>
        <v>06d085dd</v>
      </c>
      <c r="M1525" s="2" t="str">
        <f ca="1">IFERROR(__xludf.DUMMYFUNCTION("""COMPUTED_VALUE"""),"Criolla Mosto")</f>
        <v>Criolla Mosto</v>
      </c>
      <c r="N1525" s="2"/>
      <c r="O1525" s="2" t="str">
        <f ca="1">IFERROR(__xludf.DUMMYFUNCTION("""COMPUTED_VALUE"""),"Mosto")</f>
        <v>Mosto</v>
      </c>
      <c r="P1525" s="2"/>
      <c r="Q1525" s="2" t="b">
        <f ca="1">IFERROR(__xludf.DUMMYFUNCTION("""COMPUTED_VALUE"""),FALSE)</f>
        <v>0</v>
      </c>
      <c r="R1525" s="2" t="str">
        <f ca="1">IFERROR(__xludf.DUMMYFUNCTION("""COMPUTED_VALUE"""),"Fermentando")</f>
        <v>Fermentando</v>
      </c>
      <c r="S1525" s="2"/>
      <c r="T1525" s="2"/>
      <c r="U1525" s="2"/>
    </row>
    <row r="1526" spans="1:21" x14ac:dyDescent="0.25">
      <c r="A1526" s="2" t="str">
        <f ca="1">IFERROR(__xludf.DUMMYFUNCTION("""COMPUTED_VALUE"""),"ded68839")</f>
        <v>ded68839</v>
      </c>
      <c r="B1526" s="5">
        <f ca="1">IFERROR(__xludf.DUMMYFUNCTION("""COMPUTED_VALUE"""),46121.7884837963)</f>
        <v>46121.788483796299</v>
      </c>
      <c r="C1526" s="2" t="str">
        <f ca="1">IFERROR(__xludf.DUMMYFUNCTION("""COMPUTED_VALUE"""),"6d19079d")</f>
        <v>6d19079d</v>
      </c>
      <c r="D1526" s="2">
        <f ca="1">IFERROR(__xludf.DUMMYFUNCTION("""COMPUTED_VALUE"""),125)</f>
        <v>125</v>
      </c>
      <c r="E1526" s="2" t="str">
        <f ca="1">IFERROR(__xludf.DUMMYFUNCTION("""COMPUTED_VALUE"""),"Criolla Mosto")</f>
        <v>Criolla Mosto</v>
      </c>
      <c r="F1526" s="2">
        <f ca="1">IFERROR(__xludf.DUMMYFUNCTION("""COMPUTED_VALUE"""),20800)</f>
        <v>20800</v>
      </c>
      <c r="G1526" s="2">
        <f ca="1">IFERROR(__xludf.DUMMYFUNCTION("""COMPUTED_VALUE"""),12)</f>
        <v>12</v>
      </c>
      <c r="H1526" s="2"/>
      <c r="I1526" s="2"/>
      <c r="J1526" s="2">
        <f ca="1">IFERROR(__xludf.DUMMYFUNCTION("""COMPUTED_VALUE"""),0)</f>
        <v>0</v>
      </c>
      <c r="K1526" s="2">
        <f ca="1">IFERROR(__xludf.DUMMYFUNCTION("""COMPUTED_VALUE"""),20800)</f>
        <v>20800</v>
      </c>
      <c r="L1526" s="2" t="str">
        <f ca="1">IFERROR(__xludf.DUMMYFUNCTION("""COMPUTED_VALUE"""),"142f3fa8")</f>
        <v>142f3fa8</v>
      </c>
      <c r="M1526" s="2" t="str">
        <f ca="1">IFERROR(__xludf.DUMMYFUNCTION("""COMPUTED_VALUE"""),"Criolla Mosto con borra")</f>
        <v>Criolla Mosto con borra</v>
      </c>
      <c r="N1526" s="2"/>
      <c r="O1526" s="2" t="str">
        <f ca="1">IFERROR(__xludf.DUMMYFUNCTION("""COMPUTED_VALUE"""),"Mosto")</f>
        <v>Mosto</v>
      </c>
      <c r="P1526" s="2"/>
      <c r="Q1526" s="2" t="b">
        <f ca="1">IFERROR(__xludf.DUMMYFUNCTION("""COMPUTED_VALUE"""),FALSE)</f>
        <v>0</v>
      </c>
      <c r="R1526" s="2" t="str">
        <f ca="1">IFERROR(__xludf.DUMMYFUNCTION("""COMPUTED_VALUE"""),"Mosto")</f>
        <v>Mosto</v>
      </c>
      <c r="S1526" s="2"/>
      <c r="T1526" s="2"/>
      <c r="U1526" s="2"/>
    </row>
    <row r="1527" spans="1:21" x14ac:dyDescent="0.25">
      <c r="A1527" s="2" t="str">
        <f ca="1">IFERROR(__xludf.DUMMYFUNCTION("""COMPUTED_VALUE"""),"bda5c3a4")</f>
        <v>bda5c3a4</v>
      </c>
      <c r="B1527" s="5">
        <f ca="1">IFERROR(__xludf.DUMMYFUNCTION("""COMPUTED_VALUE"""),46121.7900694444)</f>
        <v>46121.790069444403</v>
      </c>
      <c r="C1527" s="2" t="str">
        <f ca="1">IFERROR(__xludf.DUMMYFUNCTION("""COMPUTED_VALUE"""),"608410f5")</f>
        <v>608410f5</v>
      </c>
      <c r="D1527" s="2">
        <f ca="1">IFERROR(__xludf.DUMMYFUNCTION("""COMPUTED_VALUE"""),87)</f>
        <v>87</v>
      </c>
      <c r="E1527" s="2" t="str">
        <f ca="1">IFERROR(__xludf.DUMMYFUNCTION("""COMPUTED_VALUE"""),"Malbec")</f>
        <v>Malbec</v>
      </c>
      <c r="F1527" s="2">
        <f ca="1">IFERROR(__xludf.DUMMYFUNCTION("""COMPUTED_VALUE"""),30300)</f>
        <v>30300</v>
      </c>
      <c r="G1527" s="2">
        <f ca="1">IFERROR(__xludf.DUMMYFUNCTION("""COMPUTED_VALUE"""),32)</f>
        <v>32</v>
      </c>
      <c r="H1527" s="2" t="str">
        <f ca="1">IFERROR(__xludf.DUMMYFUNCTION("""COMPUTED_VALUE"""),"62dbc574")</f>
        <v>62dbc574</v>
      </c>
      <c r="I1527" s="2" t="str">
        <f ca="1">IFERROR(__xludf.DUMMYFUNCTION("""COMPUTED_VALUE"""),"Cabernet Sauv")</f>
        <v>Cabernet Sauv</v>
      </c>
      <c r="J1527" s="2">
        <f ca="1">IFERROR(__xludf.DUMMYFUNCTION("""COMPUTED_VALUE"""),6000)</f>
        <v>6000</v>
      </c>
      <c r="K1527" s="2">
        <f ca="1">IFERROR(__xludf.DUMMYFUNCTION("""COMPUTED_VALUE"""),36300)</f>
        <v>36300</v>
      </c>
      <c r="L1527" s="2" t="str">
        <f ca="1">IFERROR(__xludf.DUMMYFUNCTION("""COMPUTED_VALUE"""),"8a001ceb")</f>
        <v>8a001ceb</v>
      </c>
      <c r="M1527" s="2" t="str">
        <f ca="1">IFERROR(__xludf.DUMMYFUNCTION("""COMPUTED_VALUE"""),"Malbec")</f>
        <v>Malbec</v>
      </c>
      <c r="N1527" s="2"/>
      <c r="O1527" s="2" t="str">
        <f ca="1">IFERROR(__xludf.DUMMYFUNCTION("""COMPUTED_VALUE"""),"Fermentando")</f>
        <v>Fermentando</v>
      </c>
      <c r="P1527" s="2" t="str">
        <f ca="1">IFERROR(__xludf.DUMMYFUNCTION("""COMPUTED_VALUE"""),"Descubada")</f>
        <v>Descubada</v>
      </c>
      <c r="Q1527" s="2" t="b">
        <f ca="1">IFERROR(__xludf.DUMMYFUNCTION("""COMPUTED_VALUE"""),FALSE)</f>
        <v>0</v>
      </c>
      <c r="R1527" s="2" t="str">
        <f ca="1">IFERROR(__xludf.DUMMYFUNCTION("""COMPUTED_VALUE"""),"Descubada")</f>
        <v>Descubada</v>
      </c>
      <c r="S1527" s="2"/>
      <c r="T1527" s="2"/>
      <c r="U1527" s="2"/>
    </row>
    <row r="1528" spans="1:21" x14ac:dyDescent="0.25">
      <c r="A1528" s="2" t="str">
        <f ca="1">IFERROR(__xludf.DUMMYFUNCTION("""COMPUTED_VALUE"""),"03ec545d")</f>
        <v>03ec545d</v>
      </c>
      <c r="B1528" s="5">
        <f ca="1">IFERROR(__xludf.DUMMYFUNCTION("""COMPUTED_VALUE"""),46121.7904861111)</f>
        <v>46121.790486111102</v>
      </c>
      <c r="C1528" s="2" t="str">
        <f ca="1">IFERROR(__xludf.DUMMYFUNCTION("""COMPUTED_VALUE"""),"608410f5")</f>
        <v>608410f5</v>
      </c>
      <c r="D1528" s="2">
        <f ca="1">IFERROR(__xludf.DUMMYFUNCTION("""COMPUTED_VALUE"""),87)</f>
        <v>87</v>
      </c>
      <c r="E1528" s="2" t="str">
        <f ca="1">IFERROR(__xludf.DUMMYFUNCTION("""COMPUTED_VALUE"""),"Malbec")</f>
        <v>Malbec</v>
      </c>
      <c r="F1528" s="2">
        <f ca="1">IFERROR(__xludf.DUMMYFUNCTION("""COMPUTED_VALUE"""),500)</f>
        <v>500</v>
      </c>
      <c r="G1528" s="2">
        <f ca="1">IFERROR(__xludf.DUMMYFUNCTION("""COMPUTED_VALUE"""),24)</f>
        <v>24</v>
      </c>
      <c r="H1528" s="2" t="str">
        <f ca="1">IFERROR(__xludf.DUMMYFUNCTION("""COMPUTED_VALUE"""),"b7ca37d7")</f>
        <v>b7ca37d7</v>
      </c>
      <c r="I1528" s="2" t="str">
        <f ca="1">IFERROR(__xludf.DUMMYFUNCTION("""COMPUTED_VALUE"""),"Malbec pc")</f>
        <v>Malbec pc</v>
      </c>
      <c r="J1528" s="2">
        <f ca="1">IFERROR(__xludf.DUMMYFUNCTION("""COMPUTED_VALUE"""),42600)</f>
        <v>42600</v>
      </c>
      <c r="K1528" s="2">
        <f ca="1">IFERROR(__xludf.DUMMYFUNCTION("""COMPUTED_VALUE"""),43100)</f>
        <v>43100</v>
      </c>
      <c r="L1528" s="2" t="str">
        <f ca="1">IFERROR(__xludf.DUMMYFUNCTION("""COMPUTED_VALUE"""),"b2d27cc1")</f>
        <v>b2d27cc1</v>
      </c>
      <c r="M1528" s="2" t="str">
        <f ca="1">IFERROR(__xludf.DUMMYFUNCTION("""COMPUTED_VALUE"""),"Malbec pc")</f>
        <v>Malbec pc</v>
      </c>
      <c r="N1528" s="2"/>
      <c r="O1528" s="2" t="str">
        <f ca="1">IFERROR(__xludf.DUMMYFUNCTION("""COMPUTED_VALUE"""),"Fermentando")</f>
        <v>Fermentando</v>
      </c>
      <c r="P1528" s="2" t="str">
        <f ca="1">IFERROR(__xludf.DUMMYFUNCTION("""COMPUTED_VALUE"""),"Descubada")</f>
        <v>Descubada</v>
      </c>
      <c r="Q1528" s="2" t="b">
        <f ca="1">IFERROR(__xludf.DUMMYFUNCTION("""COMPUTED_VALUE"""),TRUE)</f>
        <v>1</v>
      </c>
      <c r="R1528" s="2" t="str">
        <f ca="1">IFERROR(__xludf.DUMMYFUNCTION("""COMPUTED_VALUE"""),"Descubada")</f>
        <v>Descubada</v>
      </c>
      <c r="S1528" s="2"/>
      <c r="T1528" s="2"/>
      <c r="U1528" s="2" t="str">
        <f ca="1">IFERROR(__xludf.DUMMYFUNCTION("""COMPUTED_VALUE"""),"1")</f>
        <v>1</v>
      </c>
    </row>
    <row r="1529" spans="1:21" x14ac:dyDescent="0.25">
      <c r="A1529" s="2" t="str">
        <f ca="1">IFERROR(__xludf.DUMMYFUNCTION("""COMPUTED_VALUE"""),"b8880f55")</f>
        <v>b8880f55</v>
      </c>
      <c r="B1529" s="5">
        <f ca="1">IFERROR(__xludf.DUMMYFUNCTION("""COMPUTED_VALUE"""),46122.4627314814)</f>
        <v>46122.462731481399</v>
      </c>
      <c r="C1529" s="2" t="str">
        <f ca="1">IFERROR(__xludf.DUMMYFUNCTION("""COMPUTED_VALUE"""),"76379bb5")</f>
        <v>76379bb5</v>
      </c>
      <c r="D1529" s="2">
        <f ca="1">IFERROR(__xludf.DUMMYFUNCTION("""COMPUTED_VALUE"""),8)</f>
        <v>8</v>
      </c>
      <c r="E1529" s="2" t="str">
        <f ca="1">IFERROR(__xludf.DUMMYFUNCTION("""COMPUTED_VALUE"""),"Pedro Gimenez")</f>
        <v>Pedro Gimenez</v>
      </c>
      <c r="F1529" s="2">
        <f ca="1">IFERROR(__xludf.DUMMYFUNCTION("""COMPUTED_VALUE"""),-400)</f>
        <v>-400</v>
      </c>
      <c r="G1529" s="2">
        <f ca="1">IFERROR(__xludf.DUMMYFUNCTION("""COMPUTED_VALUE"""),500)</f>
        <v>500</v>
      </c>
      <c r="H1529" s="2" t="str">
        <f ca="1">IFERROR(__xludf.DUMMYFUNCTION("""COMPUTED_VALUE"""),"1acd483b")</f>
        <v>1acd483b</v>
      </c>
      <c r="I1529" s="2" t="str">
        <f ca="1">IFERROR(__xludf.DUMMYFUNCTION("""COMPUTED_VALUE"""),"AJUSTE COSECHA 2026")</f>
        <v>AJUSTE COSECHA 2026</v>
      </c>
      <c r="J1529" s="2">
        <f ca="1">IFERROR(__xludf.DUMMYFUNCTION("""COMPUTED_VALUE"""),81000)</f>
        <v>81000</v>
      </c>
      <c r="K1529" s="2">
        <f ca="1">IFERROR(__xludf.DUMMYFUNCTION("""COMPUTED_VALUE"""),80600)</f>
        <v>80600</v>
      </c>
      <c r="L1529" s="2" t="str">
        <f ca="1">IFERROR(__xludf.DUMMYFUNCTION("""COMPUTED_VALUE"""),"2caf6785")</f>
        <v>2caf6785</v>
      </c>
      <c r="M1529" s="2" t="str">
        <f ca="1">IFERROR(__xludf.DUMMYFUNCTION("""COMPUTED_VALUE"""),"AJUSTE COSECHA 2026")</f>
        <v>AJUSTE COSECHA 2026</v>
      </c>
      <c r="N1529" s="2"/>
      <c r="O1529" s="2" t="str">
        <f ca="1">IFERROR(__xludf.DUMMYFUNCTION("""COMPUTED_VALUE"""),"Descubada")</f>
        <v>Descubada</v>
      </c>
      <c r="P1529" s="2" t="str">
        <f ca="1">IFERROR(__xludf.DUMMYFUNCTION("""COMPUTED_VALUE"""),"Fermentando")</f>
        <v>Fermentando</v>
      </c>
      <c r="Q1529" s="2" t="b">
        <f ca="1">IFERROR(__xludf.DUMMYFUNCTION("""COMPUTED_VALUE"""),TRUE)</f>
        <v>1</v>
      </c>
      <c r="R1529" s="2" t="str">
        <f ca="1">IFERROR(__xludf.DUMMYFUNCTION("""COMPUTED_VALUE"""),"Fermentando")</f>
        <v>Fermentando</v>
      </c>
      <c r="S1529" s="2"/>
      <c r="T1529" s="2"/>
      <c r="U1529" s="2" t="str">
        <f ca="1">IFERROR(__xludf.DUMMYFUNCTION("""COMPUTED_VALUE"""),"1")</f>
        <v>1</v>
      </c>
    </row>
    <row r="1530" spans="1:21" x14ac:dyDescent="0.25">
      <c r="A1530" s="2" t="str">
        <f ca="1">IFERROR(__xludf.DUMMYFUNCTION("""COMPUTED_VALUE"""),"43092741")</f>
        <v>43092741</v>
      </c>
      <c r="B1530" s="5">
        <f ca="1">IFERROR(__xludf.DUMMYFUNCTION("""COMPUTED_VALUE"""),46122.8556481481)</f>
        <v>46122.855648148099</v>
      </c>
      <c r="C1530" s="2" t="str">
        <f ca="1">IFERROR(__xludf.DUMMYFUNCTION("""COMPUTED_VALUE"""),"1ba01bfa")</f>
        <v>1ba01bfa</v>
      </c>
      <c r="D1530" s="2">
        <f ca="1">IFERROR(__xludf.DUMMYFUNCTION("""COMPUTED_VALUE"""),90)</f>
        <v>90</v>
      </c>
      <c r="E1530" s="2" t="str">
        <f ca="1">IFERROR(__xludf.DUMMYFUNCTION("""COMPUTED_VALUE"""),"Malbec PC")</f>
        <v>Malbec PC</v>
      </c>
      <c r="F1530" s="2">
        <f ca="1">IFERROR(__xludf.DUMMYFUNCTION("""COMPUTED_VALUE"""),68500)</f>
        <v>68500</v>
      </c>
      <c r="G1530" s="2">
        <f ca="1">IFERROR(__xludf.DUMMYFUNCTION("""COMPUTED_VALUE"""),24)</f>
        <v>24</v>
      </c>
      <c r="H1530" s="2" t="str">
        <f ca="1">IFERROR(__xludf.DUMMYFUNCTION("""COMPUTED_VALUE"""),"b2d27cc1")</f>
        <v>b2d27cc1</v>
      </c>
      <c r="I1530" s="2" t="str">
        <f ca="1">IFERROR(__xludf.DUMMYFUNCTION("""COMPUTED_VALUE"""),"Malbec pc")</f>
        <v>Malbec pc</v>
      </c>
      <c r="J1530" s="2">
        <f ca="1">IFERROR(__xludf.DUMMYFUNCTION("""COMPUTED_VALUE"""),43100)</f>
        <v>43100</v>
      </c>
      <c r="K1530" s="2">
        <f ca="1">IFERROR(__xludf.DUMMYFUNCTION("""COMPUTED_VALUE"""),111600)</f>
        <v>111600</v>
      </c>
      <c r="L1530" s="2" t="str">
        <f ca="1">IFERROR(__xludf.DUMMYFUNCTION("""COMPUTED_VALUE"""),"97ec467a")</f>
        <v>97ec467a</v>
      </c>
      <c r="M1530" s="2" t="str">
        <f ca="1">IFERROR(__xludf.DUMMYFUNCTION("""COMPUTED_VALUE"""),"Malbec pc")</f>
        <v>Malbec pc</v>
      </c>
      <c r="N1530" s="2" t="str">
        <f ca="1">IFERROR(__xludf.DUMMYFUNCTION("""COMPUTED_VALUE"""),"Gota y prensa")</f>
        <v>Gota y prensa</v>
      </c>
      <c r="O1530" s="2" t="str">
        <f ca="1">IFERROR(__xludf.DUMMYFUNCTION("""COMPUTED_VALUE"""),"Fermentando")</f>
        <v>Fermentando</v>
      </c>
      <c r="P1530" s="2" t="str">
        <f ca="1">IFERROR(__xludf.DUMMYFUNCTION("""COMPUTED_VALUE"""),"Descubada")</f>
        <v>Descubada</v>
      </c>
      <c r="Q1530" s="2" t="b">
        <f ca="1">IFERROR(__xludf.DUMMYFUNCTION("""COMPUTED_VALUE"""),TRUE)</f>
        <v>1</v>
      </c>
      <c r="R1530" s="2" t="str">
        <f ca="1">IFERROR(__xludf.DUMMYFUNCTION("""COMPUTED_VALUE"""),"Descubada")</f>
        <v>Descubada</v>
      </c>
      <c r="S1530" s="2"/>
      <c r="T1530" s="2"/>
      <c r="U1530" s="2" t="str">
        <f ca="1">IFERROR(__xludf.DUMMYFUNCTION("""COMPUTED_VALUE"""),"1")</f>
        <v>1</v>
      </c>
    </row>
    <row r="1531" spans="1:21" x14ac:dyDescent="0.25">
      <c r="A1531" s="2" t="str">
        <f ca="1">IFERROR(__xludf.DUMMYFUNCTION("""COMPUTED_VALUE"""),"272b635d")</f>
        <v>272b635d</v>
      </c>
      <c r="B1531" s="5">
        <f ca="1">IFERROR(__xludf.DUMMYFUNCTION("""COMPUTED_VALUE"""),46122.8582523148)</f>
        <v>46122.8582523148</v>
      </c>
      <c r="C1531" s="2" t="str">
        <f ca="1">IFERROR(__xludf.DUMMYFUNCTION("""COMPUTED_VALUE"""),"e9938d85")</f>
        <v>e9938d85</v>
      </c>
      <c r="D1531" s="2">
        <f ca="1">IFERROR(__xludf.DUMMYFUNCTION("""COMPUTED_VALUE"""),125)</f>
        <v>125</v>
      </c>
      <c r="E1531" s="2" t="str">
        <f ca="1">IFERROR(__xludf.DUMMYFUNCTION("""COMPUTED_VALUE"""),"Criolla")</f>
        <v>Criolla</v>
      </c>
      <c r="F1531" s="2">
        <f ca="1">IFERROR(__xludf.DUMMYFUNCTION("""COMPUTED_VALUE"""),27000)</f>
        <v>27000</v>
      </c>
      <c r="G1531" s="2">
        <f ca="1">IFERROR(__xludf.DUMMYFUNCTION("""COMPUTED_VALUE"""),127)</f>
        <v>127</v>
      </c>
      <c r="H1531" s="2" t="str">
        <f ca="1">IFERROR(__xludf.DUMMYFUNCTION("""COMPUTED_VALUE"""),"06d085dd")</f>
        <v>06d085dd</v>
      </c>
      <c r="I1531" s="2" t="str">
        <f ca="1">IFERROR(__xludf.DUMMYFUNCTION("""COMPUTED_VALUE"""),"Criolla Mosto")</f>
        <v>Criolla Mosto</v>
      </c>
      <c r="J1531" s="2">
        <f ca="1">IFERROR(__xludf.DUMMYFUNCTION("""COMPUTED_VALUE"""),3000)</f>
        <v>3000</v>
      </c>
      <c r="K1531" s="2">
        <f ca="1">IFERROR(__xludf.DUMMYFUNCTION("""COMPUTED_VALUE"""),30000)</f>
        <v>30000</v>
      </c>
      <c r="L1531" s="2" t="str">
        <f ca="1">IFERROR(__xludf.DUMMYFUNCTION("""COMPUTED_VALUE"""),"87285660")</f>
        <v>87285660</v>
      </c>
      <c r="M1531" s="2" t="str">
        <f ca="1">IFERROR(__xludf.DUMMYFUNCTION("""COMPUTED_VALUE"""),"Criolla Mosto")</f>
        <v>Criolla Mosto</v>
      </c>
      <c r="N1531" s="2"/>
      <c r="O1531" s="2" t="str">
        <f ca="1">IFERROR(__xludf.DUMMYFUNCTION("""COMPUTED_VALUE"""),"Mosto")</f>
        <v>Mosto</v>
      </c>
      <c r="P1531" s="2" t="str">
        <f ca="1">IFERROR(__xludf.DUMMYFUNCTION("""COMPUTED_VALUE"""),"Fermentando")</f>
        <v>Fermentando</v>
      </c>
      <c r="Q1531" s="2" t="b">
        <f ca="1">IFERROR(__xludf.DUMMYFUNCTION("""COMPUTED_VALUE"""),TRUE)</f>
        <v>1</v>
      </c>
      <c r="R1531" s="2" t="str">
        <f ca="1">IFERROR(__xludf.DUMMYFUNCTION("""COMPUTED_VALUE"""),"Fermentando")</f>
        <v>Fermentando</v>
      </c>
      <c r="S1531" s="2"/>
      <c r="T1531" s="2"/>
      <c r="U1531" s="2" t="str">
        <f ca="1">IFERROR(__xludf.DUMMYFUNCTION("""COMPUTED_VALUE"""),"1")</f>
        <v>1</v>
      </c>
    </row>
    <row r="1532" spans="1:21" x14ac:dyDescent="0.25">
      <c r="A1532" s="2" t="str">
        <f ca="1">IFERROR(__xludf.DUMMYFUNCTION("""COMPUTED_VALUE"""),"129a91cc")</f>
        <v>129a91cc</v>
      </c>
      <c r="B1532" s="5">
        <f ca="1">IFERROR(__xludf.DUMMYFUNCTION("""COMPUTED_VALUE"""),46122.8585069444)</f>
        <v>46122.858506944402</v>
      </c>
      <c r="C1532" s="2" t="str">
        <f ca="1">IFERROR(__xludf.DUMMYFUNCTION("""COMPUTED_VALUE"""),"e9938d85")</f>
        <v>e9938d85</v>
      </c>
      <c r="D1532" s="2">
        <f ca="1">IFERROR(__xludf.DUMMYFUNCTION("""COMPUTED_VALUE"""),125)</f>
        <v>125</v>
      </c>
      <c r="E1532" s="2" t="str">
        <f ca="1">IFERROR(__xludf.DUMMYFUNCTION("""COMPUTED_VALUE"""),"Criolla")</f>
        <v>Criolla</v>
      </c>
      <c r="F1532" s="2">
        <f ca="1">IFERROR(__xludf.DUMMYFUNCTION("""COMPUTED_VALUE"""),9000)</f>
        <v>9000</v>
      </c>
      <c r="G1532" s="2">
        <f ca="1">IFERROR(__xludf.DUMMYFUNCTION("""COMPUTED_VALUE"""),80)</f>
        <v>80</v>
      </c>
      <c r="H1532" s="2"/>
      <c r="I1532" s="2"/>
      <c r="J1532" s="2">
        <f ca="1">IFERROR(__xludf.DUMMYFUNCTION("""COMPUTED_VALUE"""),0)</f>
        <v>0</v>
      </c>
      <c r="K1532" s="2">
        <f ca="1">IFERROR(__xludf.DUMMYFUNCTION("""COMPUTED_VALUE"""),9000)</f>
        <v>9000</v>
      </c>
      <c r="L1532" s="2" t="str">
        <f ca="1">IFERROR(__xludf.DUMMYFUNCTION("""COMPUTED_VALUE"""),"cff8ae6b")</f>
        <v>cff8ae6b</v>
      </c>
      <c r="M1532" s="2" t="str">
        <f ca="1">IFERROR(__xludf.DUMMYFUNCTION("""COMPUTED_VALUE"""),"Criolla")</f>
        <v>Criolla</v>
      </c>
      <c r="N1532" s="2"/>
      <c r="O1532" s="2" t="str">
        <f ca="1">IFERROR(__xludf.DUMMYFUNCTION("""COMPUTED_VALUE"""),"Mosto")</f>
        <v>Mosto</v>
      </c>
      <c r="P1532" s="2"/>
      <c r="Q1532" s="2" t="b">
        <f ca="1">IFERROR(__xludf.DUMMYFUNCTION("""COMPUTED_VALUE"""),FALSE)</f>
        <v>0</v>
      </c>
      <c r="R1532" s="2" t="str">
        <f ca="1">IFERROR(__xludf.DUMMYFUNCTION("""COMPUTED_VALUE"""),"Fermentando")</f>
        <v>Fermentando</v>
      </c>
      <c r="S1532" s="2"/>
      <c r="T1532" s="2"/>
      <c r="U1532" s="2"/>
    </row>
    <row r="1533" spans="1:21" x14ac:dyDescent="0.25">
      <c r="A1533" s="2" t="str">
        <f ca="1">IFERROR(__xludf.DUMMYFUNCTION("""COMPUTED_VALUE"""),"0039359e")</f>
        <v>0039359e</v>
      </c>
      <c r="B1533" s="5">
        <f ca="1">IFERROR(__xludf.DUMMYFUNCTION("""COMPUTED_VALUE"""),46122.8590509259)</f>
        <v>46122.859050925901</v>
      </c>
      <c r="C1533" s="2" t="str">
        <f ca="1">IFERROR(__xludf.DUMMYFUNCTION("""COMPUTED_VALUE"""),"142f3fa8")</f>
        <v>142f3fa8</v>
      </c>
      <c r="D1533" s="2">
        <f ca="1">IFERROR(__xludf.DUMMYFUNCTION("""COMPUTED_VALUE"""),12)</f>
        <v>12</v>
      </c>
      <c r="E1533" s="2" t="str">
        <f ca="1">IFERROR(__xludf.DUMMYFUNCTION("""COMPUTED_VALUE"""),"Criolla Mosto con borra")</f>
        <v>Criolla Mosto con borra</v>
      </c>
      <c r="F1533" s="2">
        <f ca="1">IFERROR(__xludf.DUMMYFUNCTION("""COMPUTED_VALUE"""),12000)</f>
        <v>12000</v>
      </c>
      <c r="G1533" s="2">
        <f ca="1">IFERROR(__xludf.DUMMYFUNCTION("""COMPUTED_VALUE"""),80)</f>
        <v>80</v>
      </c>
      <c r="H1533" s="2" t="str">
        <f ca="1">IFERROR(__xludf.DUMMYFUNCTION("""COMPUTED_VALUE"""),"cff8ae6b")</f>
        <v>cff8ae6b</v>
      </c>
      <c r="I1533" s="2" t="str">
        <f ca="1">IFERROR(__xludf.DUMMYFUNCTION("""COMPUTED_VALUE"""),"Criolla")</f>
        <v>Criolla</v>
      </c>
      <c r="J1533" s="2">
        <f ca="1">IFERROR(__xludf.DUMMYFUNCTION("""COMPUTED_VALUE"""),9000)</f>
        <v>9000</v>
      </c>
      <c r="K1533" s="2">
        <f ca="1">IFERROR(__xludf.DUMMYFUNCTION("""COMPUTED_VALUE"""),21000)</f>
        <v>21000</v>
      </c>
      <c r="L1533" s="2" t="str">
        <f ca="1">IFERROR(__xludf.DUMMYFUNCTION("""COMPUTED_VALUE"""),"006dbf5a")</f>
        <v>006dbf5a</v>
      </c>
      <c r="M1533" s="2" t="str">
        <f ca="1">IFERROR(__xludf.DUMMYFUNCTION("""COMPUTED_VALUE"""),"Criolla")</f>
        <v>Criolla</v>
      </c>
      <c r="N1533" s="2" t="str">
        <f ca="1">IFERROR(__xludf.DUMMYFUNCTION("""COMPUTED_VALUE"""),"Claro de filtrado de borra")</f>
        <v>Claro de filtrado de borra</v>
      </c>
      <c r="O1533" s="2" t="str">
        <f ca="1">IFERROR(__xludf.DUMMYFUNCTION("""COMPUTED_VALUE"""),"Mosto")</f>
        <v>Mosto</v>
      </c>
      <c r="P1533" s="2" t="str">
        <f ca="1">IFERROR(__xludf.DUMMYFUNCTION("""COMPUTED_VALUE"""),"Fermentando")</f>
        <v>Fermentando</v>
      </c>
      <c r="Q1533" s="2" t="b">
        <f ca="1">IFERROR(__xludf.DUMMYFUNCTION("""COMPUTED_VALUE"""),TRUE)</f>
        <v>1</v>
      </c>
      <c r="R1533" s="2" t="str">
        <f ca="1">IFERROR(__xludf.DUMMYFUNCTION("""COMPUTED_VALUE"""),"Fermentando")</f>
        <v>Fermentando</v>
      </c>
      <c r="S1533" s="2"/>
      <c r="T1533" s="2"/>
      <c r="U1533" s="2"/>
    </row>
    <row r="1534" spans="1:21" x14ac:dyDescent="0.25">
      <c r="A1534" s="2" t="str">
        <f ca="1">IFERROR(__xludf.DUMMYFUNCTION("""COMPUTED_VALUE"""),"bd874ece")</f>
        <v>bd874ece</v>
      </c>
      <c r="B1534" s="5">
        <f ca="1">IFERROR(__xludf.DUMMYFUNCTION("""COMPUTED_VALUE"""),46122.8594328703)</f>
        <v>46122.859432870297</v>
      </c>
      <c r="C1534" s="2" t="str">
        <f ca="1">IFERROR(__xludf.DUMMYFUNCTION("""COMPUTED_VALUE"""),"142f3fa8")</f>
        <v>142f3fa8</v>
      </c>
      <c r="D1534" s="2">
        <f ca="1">IFERROR(__xludf.DUMMYFUNCTION("""COMPUTED_VALUE"""),12)</f>
        <v>12</v>
      </c>
      <c r="E1534" s="2" t="str">
        <f ca="1">IFERROR(__xludf.DUMMYFUNCTION("""COMPUTED_VALUE"""),"Criolla Mosto con borra")</f>
        <v>Criolla Mosto con borra</v>
      </c>
      <c r="F1534" s="2">
        <f ca="1">IFERROR(__xludf.DUMMYFUNCTION("""COMPUTED_VALUE"""),8800)</f>
        <v>8800</v>
      </c>
      <c r="G1534" s="2">
        <f ca="1">IFERROR(__xludf.DUMMYFUNCTION("""COMPUTED_VALUE"""),87)</f>
        <v>87</v>
      </c>
      <c r="H1534" s="2"/>
      <c r="I1534" s="2"/>
      <c r="J1534" s="2">
        <f ca="1">IFERROR(__xludf.DUMMYFUNCTION("""COMPUTED_VALUE"""),0)</f>
        <v>0</v>
      </c>
      <c r="K1534" s="2">
        <f ca="1">IFERROR(__xludf.DUMMYFUNCTION("""COMPUTED_VALUE"""),8800)</f>
        <v>8800</v>
      </c>
      <c r="L1534" s="2" t="str">
        <f ca="1">IFERROR(__xludf.DUMMYFUNCTION("""COMPUTED_VALUE"""),"00da080a")</f>
        <v>00da080a</v>
      </c>
      <c r="M1534" s="2" t="str">
        <f ca="1">IFERROR(__xludf.DUMMYFUNCTION("""COMPUTED_VALUE"""),"Criolla Mosto con borra")</f>
        <v>Criolla Mosto con borra</v>
      </c>
      <c r="N1534" s="2"/>
      <c r="O1534" s="2" t="str">
        <f ca="1">IFERROR(__xludf.DUMMYFUNCTION("""COMPUTED_VALUE"""),"Mosto")</f>
        <v>Mosto</v>
      </c>
      <c r="P1534" s="2"/>
      <c r="Q1534" s="2" t="b">
        <f ca="1">IFERROR(__xludf.DUMMYFUNCTION("""COMPUTED_VALUE"""),FALSE)</f>
        <v>0</v>
      </c>
      <c r="R1534" s="2" t="str">
        <f ca="1">IFERROR(__xludf.DUMMYFUNCTION("""COMPUTED_VALUE"""),"Fermentando")</f>
        <v>Fermentando</v>
      </c>
      <c r="S1534" s="2"/>
      <c r="T1534" s="2"/>
      <c r="U1534" s="2"/>
    </row>
    <row r="1535" spans="1:21" x14ac:dyDescent="0.25">
      <c r="A1535" s="2" t="str">
        <f ca="1">IFERROR(__xludf.DUMMYFUNCTION("""COMPUTED_VALUE"""),"cc097274")</f>
        <v>cc097274</v>
      </c>
      <c r="B1535" s="5">
        <f ca="1">IFERROR(__xludf.DUMMYFUNCTION("""COMPUTED_VALUE"""),46122.8626967592)</f>
        <v>46122.862696759199</v>
      </c>
      <c r="C1535" s="2" t="str">
        <f ca="1">IFERROR(__xludf.DUMMYFUNCTION("""COMPUTED_VALUE"""),"86b4e029")</f>
        <v>86b4e029</v>
      </c>
      <c r="D1535" s="2">
        <f ca="1">IFERROR(__xludf.DUMMYFUNCTION("""COMPUTED_VALUE"""),76)</f>
        <v>76</v>
      </c>
      <c r="E1535" s="2" t="str">
        <f ca="1">IFERROR(__xludf.DUMMYFUNCTION("""COMPUTED_VALUE"""),"Malbec")</f>
        <v>Malbec</v>
      </c>
      <c r="F1535" s="2">
        <f ca="1">IFERROR(__xludf.DUMMYFUNCTION("""COMPUTED_VALUE"""),-5100)</f>
        <v>-5100</v>
      </c>
      <c r="G1535" s="2">
        <f ca="1">IFERROR(__xludf.DUMMYFUNCTION("""COMPUTED_VALUE"""),9)</f>
        <v>9</v>
      </c>
      <c r="H1535" s="2" t="str">
        <f ca="1">IFERROR(__xludf.DUMMYFUNCTION("""COMPUTED_VALUE"""),"fc482da6")</f>
        <v>fc482da6</v>
      </c>
      <c r="I1535" s="2" t="str">
        <f ca="1">IFERROR(__xludf.DUMMYFUNCTION("""COMPUTED_VALUE"""),"Malbec Rect")</f>
        <v>Malbec Rect</v>
      </c>
      <c r="J1535" s="2">
        <f ca="1">IFERROR(__xludf.DUMMYFUNCTION("""COMPUTED_VALUE"""),5100)</f>
        <v>5100</v>
      </c>
      <c r="K1535" s="2">
        <f ca="1">IFERROR(__xludf.DUMMYFUNCTION("""COMPUTED_VALUE"""),0)</f>
        <v>0</v>
      </c>
      <c r="L1535" s="2" t="str">
        <f ca="1">IFERROR(__xludf.DUMMYFUNCTION("""COMPUTED_VALUE"""),"2a8ad284")</f>
        <v>2a8ad284</v>
      </c>
      <c r="M1535" s="2" t="str">
        <f ca="1">IFERROR(__xludf.DUMMYFUNCTION("""COMPUTED_VALUE"""),"Malbec Rect")</f>
        <v>Malbec Rect</v>
      </c>
      <c r="N1535" s="2"/>
      <c r="O1535" s="2" t="str">
        <f ca="1">IFERROR(__xludf.DUMMYFUNCTION("""COMPUTED_VALUE"""),"Fermentando")</f>
        <v>Fermentando</v>
      </c>
      <c r="P1535" s="2" t="str">
        <f ca="1">IFERROR(__xludf.DUMMYFUNCTION("""COMPUTED_VALUE"""),"Rectificado")</f>
        <v>Rectificado</v>
      </c>
      <c r="Q1535" s="2" t="b">
        <f ca="1">IFERROR(__xludf.DUMMYFUNCTION("""COMPUTED_VALUE"""),TRUE)</f>
        <v>1</v>
      </c>
      <c r="R1535" s="2" t="str">
        <f ca="1">IFERROR(__xludf.DUMMYFUNCTION("""COMPUTED_VALUE"""),"Rectificado")</f>
        <v>Rectificado</v>
      </c>
      <c r="S1535" s="2"/>
      <c r="T1535" s="2"/>
      <c r="U1535" s="2" t="str">
        <f ca="1">IFERROR(__xludf.DUMMYFUNCTION("""COMPUTED_VALUE"""),"1-")</f>
        <v>1-</v>
      </c>
    </row>
    <row r="1536" spans="1:21" x14ac:dyDescent="0.25">
      <c r="A1536" s="2" t="str">
        <f ca="1">IFERROR(__xludf.DUMMYFUNCTION("""COMPUTED_VALUE"""),"7b83cf6c")</f>
        <v>7b83cf6c</v>
      </c>
      <c r="B1536" s="5">
        <f ca="1">IFERROR(__xludf.DUMMYFUNCTION("""COMPUTED_VALUE"""),46122.8634606481)</f>
        <v>46122.863460648099</v>
      </c>
      <c r="C1536" s="2" t="str">
        <f ca="1">IFERROR(__xludf.DUMMYFUNCTION("""COMPUTED_VALUE"""),"a2de3afc")</f>
        <v>a2de3afc</v>
      </c>
      <c r="D1536" s="2">
        <f ca="1">IFERROR(__xludf.DUMMYFUNCTION("""COMPUTED_VALUE"""),96)</f>
        <v>96</v>
      </c>
      <c r="E1536" s="2" t="str">
        <f ca="1">IFERROR(__xludf.DUMMYFUNCTION("""COMPUTED_VALUE"""),"Bonarda NV - Cabernet Sau PC")</f>
        <v>Bonarda NV - Cabernet Sau PC</v>
      </c>
      <c r="F1536" s="2">
        <f ca="1">IFERROR(__xludf.DUMMYFUNCTION("""COMPUTED_VALUE"""),-10000)</f>
        <v>-10000</v>
      </c>
      <c r="G1536" s="2">
        <f ca="1">IFERROR(__xludf.DUMMYFUNCTION("""COMPUTED_VALUE"""),31)</f>
        <v>31</v>
      </c>
      <c r="H1536" s="2" t="str">
        <f ca="1">IFERROR(__xludf.DUMMYFUNCTION("""COMPUTED_VALUE"""),"093bfec7")</f>
        <v>093bfec7</v>
      </c>
      <c r="I1536" s="2" t="str">
        <f ca="1">IFERROR(__xludf.DUMMYFUNCTION("""COMPUTED_VALUE"""),"Malbec Rect")</f>
        <v>Malbec Rect</v>
      </c>
      <c r="J1536" s="2">
        <f ca="1">IFERROR(__xludf.DUMMYFUNCTION("""COMPUTED_VALUE"""),25700)</f>
        <v>25700</v>
      </c>
      <c r="K1536" s="2">
        <f ca="1">IFERROR(__xludf.DUMMYFUNCTION("""COMPUTED_VALUE"""),15700)</f>
        <v>15700</v>
      </c>
      <c r="L1536" s="2" t="str">
        <f ca="1">IFERROR(__xludf.DUMMYFUNCTION("""COMPUTED_VALUE"""),"52c5fd16")</f>
        <v>52c5fd16</v>
      </c>
      <c r="M1536" s="2" t="str">
        <f ca="1">IFERROR(__xludf.DUMMYFUNCTION("""COMPUTED_VALUE"""),"Malbec Rect")</f>
        <v>Malbec Rect</v>
      </c>
      <c r="N1536" s="2"/>
      <c r="O1536" s="2" t="str">
        <f ca="1">IFERROR(__xludf.DUMMYFUNCTION("""COMPUTED_VALUE"""),"Fermentando")</f>
        <v>Fermentando</v>
      </c>
      <c r="P1536" s="2" t="str">
        <f ca="1">IFERROR(__xludf.DUMMYFUNCTION("""COMPUTED_VALUE"""),"Rectificado")</f>
        <v>Rectificado</v>
      </c>
      <c r="Q1536" s="2" t="b">
        <f ca="1">IFERROR(__xludf.DUMMYFUNCTION("""COMPUTED_VALUE"""),TRUE)</f>
        <v>1</v>
      </c>
      <c r="R1536" s="2" t="str">
        <f ca="1">IFERROR(__xludf.DUMMYFUNCTION("""COMPUTED_VALUE"""),"Rectificado")</f>
        <v>Rectificado</v>
      </c>
      <c r="S1536" s="2"/>
      <c r="T1536" s="2"/>
      <c r="U1536" s="2" t="str">
        <f ca="1">IFERROR(__xludf.DUMMYFUNCTION("""COMPUTED_VALUE"""),"1-")</f>
        <v>1-</v>
      </c>
    </row>
    <row r="1537" spans="1:21" x14ac:dyDescent="0.25">
      <c r="A1537" s="2" t="str">
        <f ca="1">IFERROR(__xludf.DUMMYFUNCTION("""COMPUTED_VALUE"""),"b838830e")</f>
        <v>b838830e</v>
      </c>
      <c r="B1537" s="5">
        <f ca="1">IFERROR(__xludf.DUMMYFUNCTION("""COMPUTED_VALUE"""),46122.8638541666)</f>
        <v>46122.863854166601</v>
      </c>
      <c r="C1537" s="2" t="str">
        <f ca="1">IFERROR(__xludf.DUMMYFUNCTION("""COMPUTED_VALUE"""),"d381a136")</f>
        <v>d381a136</v>
      </c>
      <c r="D1537" s="2">
        <f ca="1">IFERROR(__xludf.DUMMYFUNCTION("""COMPUTED_VALUE"""),66)</f>
        <v>66</v>
      </c>
      <c r="E1537" s="2" t="str">
        <f ca="1">IFERROR(__xludf.DUMMYFUNCTION("""COMPUTED_VALUE"""),"Malbec PC")</f>
        <v>Malbec PC</v>
      </c>
      <c r="F1537" s="2">
        <f ca="1">IFERROR(__xludf.DUMMYFUNCTION("""COMPUTED_VALUE"""),-3200)</f>
        <v>-3200</v>
      </c>
      <c r="G1537" s="2">
        <f ca="1">IFERROR(__xludf.DUMMYFUNCTION("""COMPUTED_VALUE"""),31)</f>
        <v>31</v>
      </c>
      <c r="H1537" s="2" t="str">
        <f ca="1">IFERROR(__xludf.DUMMYFUNCTION("""COMPUTED_VALUE"""),"52c5fd16")</f>
        <v>52c5fd16</v>
      </c>
      <c r="I1537" s="2" t="str">
        <f ca="1">IFERROR(__xludf.DUMMYFUNCTION("""COMPUTED_VALUE"""),"Malbec Rect")</f>
        <v>Malbec Rect</v>
      </c>
      <c r="J1537" s="2">
        <f ca="1">IFERROR(__xludf.DUMMYFUNCTION("""COMPUTED_VALUE"""),15700)</f>
        <v>15700</v>
      </c>
      <c r="K1537" s="2">
        <f ca="1">IFERROR(__xludf.DUMMYFUNCTION("""COMPUTED_VALUE"""),12500)</f>
        <v>12500</v>
      </c>
      <c r="L1537" s="2" t="str">
        <f ca="1">IFERROR(__xludf.DUMMYFUNCTION("""COMPUTED_VALUE"""),"5e54c4d5")</f>
        <v>5e54c4d5</v>
      </c>
      <c r="M1537" s="2" t="str">
        <f ca="1">IFERROR(__xludf.DUMMYFUNCTION("""COMPUTED_VALUE"""),"Malbec Rect")</f>
        <v>Malbec Rect</v>
      </c>
      <c r="N1537" s="2"/>
      <c r="O1537" s="2" t="str">
        <f ca="1">IFERROR(__xludf.DUMMYFUNCTION("""COMPUTED_VALUE"""),"Fermentando")</f>
        <v>Fermentando</v>
      </c>
      <c r="P1537" s="2" t="str">
        <f ca="1">IFERROR(__xludf.DUMMYFUNCTION("""COMPUTED_VALUE"""),"Rectificado")</f>
        <v>Rectificado</v>
      </c>
      <c r="Q1537" s="2" t="b">
        <f ca="1">IFERROR(__xludf.DUMMYFUNCTION("""COMPUTED_VALUE"""),TRUE)</f>
        <v>1</v>
      </c>
      <c r="R1537" s="2" t="str">
        <f ca="1">IFERROR(__xludf.DUMMYFUNCTION("""COMPUTED_VALUE"""),"Rectificado")</f>
        <v>Rectificado</v>
      </c>
      <c r="S1537" s="2"/>
      <c r="T1537" s="2"/>
      <c r="U1537" s="2" t="str">
        <f ca="1">IFERROR(__xludf.DUMMYFUNCTION("""COMPUTED_VALUE"""),"1-")</f>
        <v>1-</v>
      </c>
    </row>
    <row r="1538" spans="1:21" x14ac:dyDescent="0.25">
      <c r="A1538" s="2" t="str">
        <f ca="1">IFERROR(__xludf.DUMMYFUNCTION("""COMPUTED_VALUE"""),"513cdbf0")</f>
        <v>513cdbf0</v>
      </c>
      <c r="B1538" s="5">
        <f ca="1">IFERROR(__xludf.DUMMYFUNCTION("""COMPUTED_VALUE"""),46122.8642013888)</f>
        <v>46122.864201388802</v>
      </c>
      <c r="C1538" s="2" t="str">
        <f ca="1">IFERROR(__xludf.DUMMYFUNCTION("""COMPUTED_VALUE"""),"d381a136")</f>
        <v>d381a136</v>
      </c>
      <c r="D1538" s="2">
        <f ca="1">IFERROR(__xludf.DUMMYFUNCTION("""COMPUTED_VALUE"""),66)</f>
        <v>66</v>
      </c>
      <c r="E1538" s="2" t="str">
        <f ca="1">IFERROR(__xludf.DUMMYFUNCTION("""COMPUTED_VALUE"""),"Malbec PC")</f>
        <v>Malbec PC</v>
      </c>
      <c r="F1538" s="2">
        <f ca="1">IFERROR(__xludf.DUMMYFUNCTION("""COMPUTED_VALUE"""),-1200)</f>
        <v>-1200</v>
      </c>
      <c r="G1538" s="2">
        <f ca="1">IFERROR(__xludf.DUMMYFUNCTION("""COMPUTED_VALUE"""),7)</f>
        <v>7</v>
      </c>
      <c r="H1538" s="2" t="str">
        <f ca="1">IFERROR(__xludf.DUMMYFUNCTION("""COMPUTED_VALUE"""),"5c110d27")</f>
        <v>5c110d27</v>
      </c>
      <c r="I1538" s="2" t="str">
        <f ca="1">IFERROR(__xludf.DUMMYFUNCTION("""COMPUTED_VALUE"""),"Malbec Rect")</f>
        <v>Malbec Rect</v>
      </c>
      <c r="J1538" s="2">
        <f ca="1">IFERROR(__xludf.DUMMYFUNCTION("""COMPUTED_VALUE"""),1200)</f>
        <v>1200</v>
      </c>
      <c r="K1538" s="2">
        <f ca="1">IFERROR(__xludf.DUMMYFUNCTION("""COMPUTED_VALUE"""),0)</f>
        <v>0</v>
      </c>
      <c r="L1538" s="2" t="str">
        <f ca="1">IFERROR(__xludf.DUMMYFUNCTION("""COMPUTED_VALUE"""),"5ddbc6bd")</f>
        <v>5ddbc6bd</v>
      </c>
      <c r="M1538" s="2" t="str">
        <f ca="1">IFERROR(__xludf.DUMMYFUNCTION("""COMPUTED_VALUE"""),"Malbec Rect")</f>
        <v>Malbec Rect</v>
      </c>
      <c r="N1538" s="2"/>
      <c r="O1538" s="2" t="str">
        <f ca="1">IFERROR(__xludf.DUMMYFUNCTION("""COMPUTED_VALUE"""),"Fermentando")</f>
        <v>Fermentando</v>
      </c>
      <c r="P1538" s="2" t="str">
        <f ca="1">IFERROR(__xludf.DUMMYFUNCTION("""COMPUTED_VALUE"""),"Rectificado")</f>
        <v>Rectificado</v>
      </c>
      <c r="Q1538" s="2" t="b">
        <f ca="1">IFERROR(__xludf.DUMMYFUNCTION("""COMPUTED_VALUE"""),TRUE)</f>
        <v>1</v>
      </c>
      <c r="R1538" s="2" t="str">
        <f ca="1">IFERROR(__xludf.DUMMYFUNCTION("""COMPUTED_VALUE"""),"Rectificado")</f>
        <v>Rectificado</v>
      </c>
      <c r="S1538" s="2"/>
      <c r="T1538" s="2"/>
      <c r="U1538" s="2" t="str">
        <f ca="1">IFERROR(__xludf.DUMMYFUNCTION("""COMPUTED_VALUE"""),"1")</f>
        <v>1</v>
      </c>
    </row>
    <row r="1539" spans="1:21" x14ac:dyDescent="0.25">
      <c r="A1539" s="2" t="str">
        <f ca="1">IFERROR(__xludf.DUMMYFUNCTION("""COMPUTED_VALUE"""),"7e36025e")</f>
        <v>7e36025e</v>
      </c>
      <c r="B1539" s="5">
        <f ca="1">IFERROR(__xludf.DUMMYFUNCTION("""COMPUTED_VALUE"""),46122.8645717592)</f>
        <v>46122.864571759201</v>
      </c>
      <c r="C1539" s="2" t="str">
        <f ca="1">IFERROR(__xludf.DUMMYFUNCTION("""COMPUTED_VALUE"""),"9a4dc22a")</f>
        <v>9a4dc22a</v>
      </c>
      <c r="D1539" s="2">
        <f ca="1">IFERROR(__xludf.DUMMYFUNCTION("""COMPUTED_VALUE"""),79)</f>
        <v>79</v>
      </c>
      <c r="E1539" s="2" t="str">
        <f ca="1">IFERROR(__xludf.DUMMYFUNCTION("""COMPUTED_VALUE"""),"Malbec Maq PC")</f>
        <v>Malbec Maq PC</v>
      </c>
      <c r="F1539" s="2">
        <f ca="1">IFERROR(__xludf.DUMMYFUNCTION("""COMPUTED_VALUE"""),-3200)</f>
        <v>-3200</v>
      </c>
      <c r="G1539" s="2">
        <f ca="1">IFERROR(__xludf.DUMMYFUNCTION("""COMPUTED_VALUE"""),79)</f>
        <v>79</v>
      </c>
      <c r="H1539" s="2" t="str">
        <f ca="1">IFERROR(__xludf.DUMMYFUNCTION("""COMPUTED_VALUE"""),"9a4dc22a")</f>
        <v>9a4dc22a</v>
      </c>
      <c r="I1539" s="2" t="str">
        <f ca="1">IFERROR(__xludf.DUMMYFUNCTION("""COMPUTED_VALUE"""),"Malbec Maq PC")</f>
        <v>Malbec Maq PC</v>
      </c>
      <c r="J1539" s="2">
        <f ca="1">IFERROR(__xludf.DUMMYFUNCTION("""COMPUTED_VALUE"""),16000)</f>
        <v>16000</v>
      </c>
      <c r="K1539" s="2">
        <f ca="1">IFERROR(__xludf.DUMMYFUNCTION("""COMPUTED_VALUE"""),12800)</f>
        <v>12800</v>
      </c>
      <c r="L1539" s="2" t="str">
        <f ca="1">IFERROR(__xludf.DUMMYFUNCTION("""COMPUTED_VALUE"""),"7f5d2834")</f>
        <v>7f5d2834</v>
      </c>
      <c r="M1539" s="2" t="str">
        <f ca="1">IFERROR(__xludf.DUMMYFUNCTION("""COMPUTED_VALUE"""),"Malbec Maq PC")</f>
        <v>Malbec Maq PC</v>
      </c>
      <c r="N1539" s="2"/>
      <c r="O1539" s="2" t="str">
        <f ca="1">IFERROR(__xludf.DUMMYFUNCTION("""COMPUTED_VALUE"""),"Fermentando")</f>
        <v>Fermentando</v>
      </c>
      <c r="P1539" s="2" t="str">
        <f ca="1">IFERROR(__xludf.DUMMYFUNCTION("""COMPUTED_VALUE"""),"Fermentando")</f>
        <v>Fermentando</v>
      </c>
      <c r="Q1539" s="2" t="b">
        <f ca="1">IFERROR(__xludf.DUMMYFUNCTION("""COMPUTED_VALUE"""),TRUE)</f>
        <v>1</v>
      </c>
      <c r="R1539" s="2" t="str">
        <f ca="1">IFERROR(__xludf.DUMMYFUNCTION("""COMPUTED_VALUE"""),"Fermentando")</f>
        <v>Fermentando</v>
      </c>
      <c r="S1539" s="2"/>
      <c r="T1539" s="2"/>
      <c r="U1539" s="2"/>
    </row>
    <row r="1540" spans="1:21" x14ac:dyDescent="0.25">
      <c r="A1540" s="2" t="str">
        <f ca="1">IFERROR(__xludf.DUMMYFUNCTION("""COMPUTED_VALUE"""),"7023d332")</f>
        <v>7023d332</v>
      </c>
      <c r="B1540" s="5">
        <f ca="1">IFERROR(__xludf.DUMMYFUNCTION("""COMPUTED_VALUE"""),46122.8649074074)</f>
        <v>46122.864907407398</v>
      </c>
      <c r="C1540" s="2" t="str">
        <f ca="1">IFERROR(__xludf.DUMMYFUNCTION("""COMPUTED_VALUE"""),"38741cb2")</f>
        <v>38741cb2</v>
      </c>
      <c r="D1540" s="2">
        <f ca="1">IFERROR(__xludf.DUMMYFUNCTION("""COMPUTED_VALUE"""),91)</f>
        <v>91</v>
      </c>
      <c r="E1540" s="2" t="str">
        <f ca="1">IFERROR(__xludf.DUMMYFUNCTION("""COMPUTED_VALUE"""),"Bonarda Maq")</f>
        <v>Bonarda Maq</v>
      </c>
      <c r="F1540" s="2">
        <f ca="1">IFERROR(__xludf.DUMMYFUNCTION("""COMPUTED_VALUE"""),-10000)</f>
        <v>-10000</v>
      </c>
      <c r="G1540" s="2">
        <f ca="1">IFERROR(__xludf.DUMMYFUNCTION("""COMPUTED_VALUE"""),10)</f>
        <v>10</v>
      </c>
      <c r="H1540" s="2" t="str">
        <f ca="1">IFERROR(__xludf.DUMMYFUNCTION("""COMPUTED_VALUE"""),"bf803f5c")</f>
        <v>bf803f5c</v>
      </c>
      <c r="I1540" s="2" t="str">
        <f ca="1">IFERROR(__xludf.DUMMYFUNCTION("""COMPUTED_VALUE"""),"Cabernet Sauvignon Rect")</f>
        <v>Cabernet Sauvignon Rect</v>
      </c>
      <c r="J1540" s="2">
        <f ca="1">IFERROR(__xludf.DUMMYFUNCTION("""COMPUTED_VALUE"""),21000)</f>
        <v>21000</v>
      </c>
      <c r="K1540" s="2">
        <f ca="1">IFERROR(__xludf.DUMMYFUNCTION("""COMPUTED_VALUE"""),11000)</f>
        <v>11000</v>
      </c>
      <c r="L1540" s="2" t="str">
        <f ca="1">IFERROR(__xludf.DUMMYFUNCTION("""COMPUTED_VALUE"""),"28e5e08c")</f>
        <v>28e5e08c</v>
      </c>
      <c r="M1540" s="2" t="str">
        <f ca="1">IFERROR(__xludf.DUMMYFUNCTION("""COMPUTED_VALUE"""),"Cabernet Sauvignon Rect")</f>
        <v>Cabernet Sauvignon Rect</v>
      </c>
      <c r="N1540" s="2"/>
      <c r="O1540" s="2" t="str">
        <f ca="1">IFERROR(__xludf.DUMMYFUNCTION("""COMPUTED_VALUE"""),"Fermentando")</f>
        <v>Fermentando</v>
      </c>
      <c r="P1540" s="2" t="str">
        <f ca="1">IFERROR(__xludf.DUMMYFUNCTION("""COMPUTED_VALUE"""),"Rectificado")</f>
        <v>Rectificado</v>
      </c>
      <c r="Q1540" s="2" t="b">
        <f ca="1">IFERROR(__xludf.DUMMYFUNCTION("""COMPUTED_VALUE"""),TRUE)</f>
        <v>1</v>
      </c>
      <c r="R1540" s="2" t="str">
        <f ca="1">IFERROR(__xludf.DUMMYFUNCTION("""COMPUTED_VALUE"""),"Rectificado")</f>
        <v>Rectificado</v>
      </c>
      <c r="S1540" s="2"/>
      <c r="T1540" s="2"/>
      <c r="U1540" s="2" t="str">
        <f ca="1">IFERROR(__xludf.DUMMYFUNCTION("""COMPUTED_VALUE"""),"1")</f>
        <v>1</v>
      </c>
    </row>
    <row r="1541" spans="1:21" x14ac:dyDescent="0.25">
      <c r="A1541" s="2" t="str">
        <f ca="1">IFERROR(__xludf.DUMMYFUNCTION("""COMPUTED_VALUE"""),"816da649")</f>
        <v>816da649</v>
      </c>
      <c r="B1541" s="5">
        <f ca="1">IFERROR(__xludf.DUMMYFUNCTION("""COMPUTED_VALUE"""),46122.8652314814)</f>
        <v>46122.865231481403</v>
      </c>
      <c r="C1541" s="2" t="str">
        <f ca="1">IFERROR(__xludf.DUMMYFUNCTION("""COMPUTED_VALUE"""),"e835b1c0")</f>
        <v>e835b1c0</v>
      </c>
      <c r="D1541" s="2">
        <f ca="1">IFERROR(__xludf.DUMMYFUNCTION("""COMPUTED_VALUE"""),95)</f>
        <v>95</v>
      </c>
      <c r="E1541" s="2" t="str">
        <f ca="1">IFERROR(__xludf.DUMMYFUNCTION("""COMPUTED_VALUE"""),"Bonarda C2")</f>
        <v>Bonarda C2</v>
      </c>
      <c r="F1541" s="2">
        <f ca="1">IFERROR(__xludf.DUMMYFUNCTION("""COMPUTED_VALUE"""),-7000)</f>
        <v>-7000</v>
      </c>
      <c r="G1541" s="2">
        <f ca="1">IFERROR(__xludf.DUMMYFUNCTION("""COMPUTED_VALUE"""),68)</f>
        <v>68</v>
      </c>
      <c r="H1541" s="2" t="str">
        <f ca="1">IFERROR(__xludf.DUMMYFUNCTION("""COMPUTED_VALUE"""),"af8d0a82")</f>
        <v>af8d0a82</v>
      </c>
      <c r="I1541" s="2" t="str">
        <f ca="1">IFERROR(__xludf.DUMMYFUNCTION("""COMPUTED_VALUE"""),"Aspirant  Malbec Rect")</f>
        <v>Aspirant  Malbec Rect</v>
      </c>
      <c r="J1541" s="2">
        <f ca="1">IFERROR(__xludf.DUMMYFUNCTION("""COMPUTED_VALUE"""),13000)</f>
        <v>13000</v>
      </c>
      <c r="K1541" s="2">
        <f ca="1">IFERROR(__xludf.DUMMYFUNCTION("""COMPUTED_VALUE"""),6000)</f>
        <v>6000</v>
      </c>
      <c r="L1541" s="2" t="str">
        <f ca="1">IFERROR(__xludf.DUMMYFUNCTION("""COMPUTED_VALUE"""),"c73a1a4e")</f>
        <v>c73a1a4e</v>
      </c>
      <c r="M1541" s="2" t="str">
        <f ca="1">IFERROR(__xludf.DUMMYFUNCTION("""COMPUTED_VALUE"""),"Aspirant  Malbec Rect")</f>
        <v>Aspirant  Malbec Rect</v>
      </c>
      <c r="N1541" s="2"/>
      <c r="O1541" s="2" t="str">
        <f ca="1">IFERROR(__xludf.DUMMYFUNCTION("""COMPUTED_VALUE"""),"Fermentando")</f>
        <v>Fermentando</v>
      </c>
      <c r="P1541" s="2" t="str">
        <f ca="1">IFERROR(__xludf.DUMMYFUNCTION("""COMPUTED_VALUE"""),"Rectificado")</f>
        <v>Rectificado</v>
      </c>
      <c r="Q1541" s="2" t="b">
        <f ca="1">IFERROR(__xludf.DUMMYFUNCTION("""COMPUTED_VALUE"""),TRUE)</f>
        <v>1</v>
      </c>
      <c r="R1541" s="2" t="str">
        <f ca="1">IFERROR(__xludf.DUMMYFUNCTION("""COMPUTED_VALUE"""),"Rectificado")</f>
        <v>Rectificado</v>
      </c>
      <c r="S1541" s="2"/>
      <c r="T1541" s="2"/>
      <c r="U1541" s="2" t="str">
        <f ca="1">IFERROR(__xludf.DUMMYFUNCTION("""COMPUTED_VALUE"""),"2+")</f>
        <v>2+</v>
      </c>
    </row>
    <row r="1542" spans="1:21" x14ac:dyDescent="0.25">
      <c r="A1542" s="2" t="str">
        <f ca="1">IFERROR(__xludf.DUMMYFUNCTION("""COMPUTED_VALUE"""),"c055856e")</f>
        <v>c055856e</v>
      </c>
      <c r="B1542" s="5">
        <f ca="1">IFERROR(__xludf.DUMMYFUNCTION("""COMPUTED_VALUE"""),46122.865636574)</f>
        <v>46122.865636574003</v>
      </c>
      <c r="C1542" s="2" t="str">
        <f ca="1">IFERROR(__xludf.DUMMYFUNCTION("""COMPUTED_VALUE"""),"8fd0424b")</f>
        <v>8fd0424b</v>
      </c>
      <c r="D1542" s="2">
        <f ca="1">IFERROR(__xludf.DUMMYFUNCTION("""COMPUTED_VALUE"""),84)</f>
        <v>84</v>
      </c>
      <c r="E1542" s="2" t="str">
        <f ca="1">IFERROR(__xludf.DUMMYFUNCTION("""COMPUTED_VALUE"""),"Bonarda")</f>
        <v>Bonarda</v>
      </c>
      <c r="F1542" s="2">
        <f ca="1">IFERROR(__xludf.DUMMYFUNCTION("""COMPUTED_VALUE"""),-10500)</f>
        <v>-10500</v>
      </c>
      <c r="G1542" s="2">
        <f ca="1">IFERROR(__xludf.DUMMYFUNCTION("""COMPUTED_VALUE"""),54)</f>
        <v>54</v>
      </c>
      <c r="H1542" s="2" t="str">
        <f ca="1">IFERROR(__xludf.DUMMYFUNCTION("""COMPUTED_VALUE"""),"9b04723e")</f>
        <v>9b04723e</v>
      </c>
      <c r="I1542" s="2" t="str">
        <f ca="1">IFERROR(__xludf.DUMMYFUNCTION("""COMPUTED_VALUE"""),"Cabernet Sauvignon Rect")</f>
        <v>Cabernet Sauvignon Rect</v>
      </c>
      <c r="J1542" s="2">
        <f ca="1">IFERROR(__xludf.DUMMYFUNCTION("""COMPUTED_VALUE"""),22900)</f>
        <v>22900</v>
      </c>
      <c r="K1542" s="2">
        <f ca="1">IFERROR(__xludf.DUMMYFUNCTION("""COMPUTED_VALUE"""),12400)</f>
        <v>12400</v>
      </c>
      <c r="L1542" s="2" t="str">
        <f ca="1">IFERROR(__xludf.DUMMYFUNCTION("""COMPUTED_VALUE"""),"6fb40aed")</f>
        <v>6fb40aed</v>
      </c>
      <c r="M1542" s="2" t="str">
        <f ca="1">IFERROR(__xludf.DUMMYFUNCTION("""COMPUTED_VALUE"""),"Cabernet Sauvignon Rect")</f>
        <v>Cabernet Sauvignon Rect</v>
      </c>
      <c r="N1542" s="2"/>
      <c r="O1542" s="2" t="str">
        <f ca="1">IFERROR(__xludf.DUMMYFUNCTION("""COMPUTED_VALUE"""),"Fermentando")</f>
        <v>Fermentando</v>
      </c>
      <c r="P1542" s="2" t="str">
        <f ca="1">IFERROR(__xludf.DUMMYFUNCTION("""COMPUTED_VALUE"""),"Rectificado")</f>
        <v>Rectificado</v>
      </c>
      <c r="Q1542" s="2" t="b">
        <f ca="1">IFERROR(__xludf.DUMMYFUNCTION("""COMPUTED_VALUE"""),TRUE)</f>
        <v>1</v>
      </c>
      <c r="R1542" s="2" t="str">
        <f ca="1">IFERROR(__xludf.DUMMYFUNCTION("""COMPUTED_VALUE"""),"Rectificado")</f>
        <v>Rectificado</v>
      </c>
      <c r="S1542" s="2"/>
      <c r="T1542" s="2"/>
      <c r="U1542" s="2" t="str">
        <f ca="1">IFERROR(__xludf.DUMMYFUNCTION("""COMPUTED_VALUE"""),"1")</f>
        <v>1</v>
      </c>
    </row>
    <row r="1543" spans="1:21" x14ac:dyDescent="0.25">
      <c r="A1543" s="2" t="str">
        <f ca="1">IFERROR(__xludf.DUMMYFUNCTION("""COMPUTED_VALUE"""),"bb315129")</f>
        <v>bb315129</v>
      </c>
      <c r="B1543" s="5">
        <f ca="1">IFERROR(__xludf.DUMMYFUNCTION("""COMPUTED_VALUE"""),46122.8664814814)</f>
        <v>46122.866481481396</v>
      </c>
      <c r="C1543" s="2" t="str">
        <f ca="1">IFERROR(__xludf.DUMMYFUNCTION("""COMPUTED_VALUE"""),"38741cb2")</f>
        <v>38741cb2</v>
      </c>
      <c r="D1543" s="2">
        <f ca="1">IFERROR(__xludf.DUMMYFUNCTION("""COMPUTED_VALUE"""),91)</f>
        <v>91</v>
      </c>
      <c r="E1543" s="2" t="str">
        <f ca="1">IFERROR(__xludf.DUMMYFUNCTION("""COMPUTED_VALUE"""),"Bonarda Maq")</f>
        <v>Bonarda Maq</v>
      </c>
      <c r="F1543" s="2">
        <f ca="1">IFERROR(__xludf.DUMMYFUNCTION("""COMPUTED_VALUE"""),5000)</f>
        <v>5000</v>
      </c>
      <c r="G1543" s="2">
        <f ca="1">IFERROR(__xludf.DUMMYFUNCTION("""COMPUTED_VALUE"""),86)</f>
        <v>86</v>
      </c>
      <c r="H1543" s="2" t="str">
        <f ca="1">IFERROR(__xludf.DUMMYFUNCTION("""COMPUTED_VALUE"""),"b601078c")</f>
        <v>b601078c</v>
      </c>
      <c r="I1543" s="2" t="str">
        <f ca="1">IFERROR(__xludf.DUMMYFUNCTION("""COMPUTED_VALUE"""),"Bonarda")</f>
        <v>Bonarda</v>
      </c>
      <c r="J1543" s="2">
        <f ca="1">IFERROR(__xludf.DUMMYFUNCTION("""COMPUTED_VALUE"""),44500)</f>
        <v>44500</v>
      </c>
      <c r="K1543" s="2">
        <f ca="1">IFERROR(__xludf.DUMMYFUNCTION("""COMPUTED_VALUE"""),49500)</f>
        <v>49500</v>
      </c>
      <c r="L1543" s="2" t="str">
        <f ca="1">IFERROR(__xludf.DUMMYFUNCTION("""COMPUTED_VALUE"""),"aed16735")</f>
        <v>aed16735</v>
      </c>
      <c r="M1543" s="2" t="str">
        <f ca="1">IFERROR(__xludf.DUMMYFUNCTION("""COMPUTED_VALUE"""),"Bonarda PC")</f>
        <v>Bonarda PC</v>
      </c>
      <c r="N1543" s="2"/>
      <c r="O1543" s="2" t="str">
        <f ca="1">IFERROR(__xludf.DUMMYFUNCTION("""COMPUTED_VALUE"""),"Fermentando")</f>
        <v>Fermentando</v>
      </c>
      <c r="P1543" s="2" t="str">
        <f ca="1">IFERROR(__xludf.DUMMYFUNCTION("""COMPUTED_VALUE"""),"Fermentando")</f>
        <v>Fermentando</v>
      </c>
      <c r="Q1543" s="2" t="b">
        <f ca="1">IFERROR(__xludf.DUMMYFUNCTION("""COMPUTED_VALUE"""),TRUE)</f>
        <v>1</v>
      </c>
      <c r="R1543" s="2" t="str">
        <f ca="1">IFERROR(__xludf.DUMMYFUNCTION("""COMPUTED_VALUE"""),"Fermentando")</f>
        <v>Fermentando</v>
      </c>
      <c r="S1543" s="2"/>
      <c r="T1543" s="2"/>
      <c r="U1543" s="2"/>
    </row>
    <row r="1544" spans="1:21" x14ac:dyDescent="0.25">
      <c r="A1544" s="2" t="str">
        <f ca="1">IFERROR(__xludf.DUMMYFUNCTION("""COMPUTED_VALUE"""),"ce1f54b3")</f>
        <v>ce1f54b3</v>
      </c>
      <c r="B1544" s="5">
        <f ca="1">IFERROR(__xludf.DUMMYFUNCTION("""COMPUTED_VALUE"""),46125.7964583333)</f>
        <v>46125.796458333301</v>
      </c>
      <c r="C1544" s="2" t="str">
        <f ca="1">IFERROR(__xludf.DUMMYFUNCTION("""COMPUTED_VALUE"""),"8fd0424b")</f>
        <v>8fd0424b</v>
      </c>
      <c r="D1544" s="2">
        <f ca="1">IFERROR(__xludf.DUMMYFUNCTION("""COMPUTED_VALUE"""),84)</f>
        <v>84</v>
      </c>
      <c r="E1544" s="2" t="str">
        <f ca="1">IFERROR(__xludf.DUMMYFUNCTION("""COMPUTED_VALUE"""),"Bonarda")</f>
        <v>Bonarda</v>
      </c>
      <c r="F1544" s="2">
        <f ca="1">IFERROR(__xludf.DUMMYFUNCTION("""COMPUTED_VALUE"""),10000)</f>
        <v>10000</v>
      </c>
      <c r="G1544" s="2">
        <f ca="1">IFERROR(__xludf.DUMMYFUNCTION("""COMPUTED_VALUE"""),88)</f>
        <v>88</v>
      </c>
      <c r="H1544" s="2" t="str">
        <f ca="1">IFERROR(__xludf.DUMMYFUNCTION("""COMPUTED_VALUE"""),"8018808a")</f>
        <v>8018808a</v>
      </c>
      <c r="I1544" s="2" t="str">
        <f ca="1">IFERROR(__xludf.DUMMYFUNCTION("""COMPUTED_VALUE"""),"Bonarda")</f>
        <v>Bonarda</v>
      </c>
      <c r="J1544" s="2">
        <f ca="1">IFERROR(__xludf.DUMMYFUNCTION("""COMPUTED_VALUE"""),48300)</f>
        <v>48300</v>
      </c>
      <c r="K1544" s="2">
        <f ca="1">IFERROR(__xludf.DUMMYFUNCTION("""COMPUTED_VALUE"""),58300)</f>
        <v>58300</v>
      </c>
      <c r="L1544" s="2" t="str">
        <f ca="1">IFERROR(__xludf.DUMMYFUNCTION("""COMPUTED_VALUE"""),"085d8481")</f>
        <v>085d8481</v>
      </c>
      <c r="M1544" s="2" t="str">
        <f ca="1">IFERROR(__xludf.DUMMYFUNCTION("""COMPUTED_VALUE"""),"Bonarda PC")</f>
        <v>Bonarda PC</v>
      </c>
      <c r="N1544" s="2"/>
      <c r="O1544" s="2" t="str">
        <f ca="1">IFERROR(__xludf.DUMMYFUNCTION("""COMPUTED_VALUE"""),"Fermentando")</f>
        <v>Fermentando</v>
      </c>
      <c r="P1544" s="2" t="str">
        <f ca="1">IFERROR(__xludf.DUMMYFUNCTION("""COMPUTED_VALUE"""),"Fermentando")</f>
        <v>Fermentando</v>
      </c>
      <c r="Q1544" s="2" t="b">
        <f ca="1">IFERROR(__xludf.DUMMYFUNCTION("""COMPUTED_VALUE"""),TRUE)</f>
        <v>1</v>
      </c>
      <c r="R1544" s="2" t="str">
        <f ca="1">IFERROR(__xludf.DUMMYFUNCTION("""COMPUTED_VALUE"""),"Fermentando")</f>
        <v>Fermentando</v>
      </c>
      <c r="S1544" s="2"/>
      <c r="T1544" s="2"/>
      <c r="U1544" s="2" t="str">
        <f ca="1">IFERROR(__xludf.DUMMYFUNCTION("""COMPUTED_VALUE"""),"1")</f>
        <v>1</v>
      </c>
    </row>
    <row r="1545" spans="1:21" x14ac:dyDescent="0.25">
      <c r="A1545" s="2" t="str">
        <f ca="1">IFERROR(__xludf.DUMMYFUNCTION("""COMPUTED_VALUE"""),"9c47c192")</f>
        <v>9c47c192</v>
      </c>
      <c r="B1545" s="5">
        <f ca="1">IFERROR(__xludf.DUMMYFUNCTION("""COMPUTED_VALUE"""),46125.7973842592)</f>
        <v>46125.797384259196</v>
      </c>
      <c r="C1545" s="2" t="str">
        <f ca="1">IFERROR(__xludf.DUMMYFUNCTION("""COMPUTED_VALUE"""),"8fd0424b")</f>
        <v>8fd0424b</v>
      </c>
      <c r="D1545" s="2">
        <f ca="1">IFERROR(__xludf.DUMMYFUNCTION("""COMPUTED_VALUE"""),84)</f>
        <v>84</v>
      </c>
      <c r="E1545" s="2" t="str">
        <f ca="1">IFERROR(__xludf.DUMMYFUNCTION("""COMPUTED_VALUE"""),"Bonarda")</f>
        <v>Bonarda</v>
      </c>
      <c r="F1545" s="2">
        <f ca="1">IFERROR(__xludf.DUMMYFUNCTION("""COMPUTED_VALUE"""),10000)</f>
        <v>10000</v>
      </c>
      <c r="G1545" s="2">
        <f ca="1">IFERROR(__xludf.DUMMYFUNCTION("""COMPUTED_VALUE"""),83)</f>
        <v>83</v>
      </c>
      <c r="H1545" s="2" t="str">
        <f ca="1">IFERROR(__xludf.DUMMYFUNCTION("""COMPUTED_VALUE"""),"64ffdaa1")</f>
        <v>64ffdaa1</v>
      </c>
      <c r="I1545" s="2" t="str">
        <f ca="1">IFERROR(__xludf.DUMMYFUNCTION("""COMPUTED_VALUE"""),"Bonarda")</f>
        <v>Bonarda</v>
      </c>
      <c r="J1545" s="2">
        <f ca="1">IFERROR(__xludf.DUMMYFUNCTION("""COMPUTED_VALUE"""),53000)</f>
        <v>53000</v>
      </c>
      <c r="K1545" s="2">
        <f ca="1">IFERROR(__xludf.DUMMYFUNCTION("""COMPUTED_VALUE"""),63000)</f>
        <v>63000</v>
      </c>
      <c r="L1545" s="2" t="str">
        <f ca="1">IFERROR(__xludf.DUMMYFUNCTION("""COMPUTED_VALUE"""),"92cb02dd")</f>
        <v>92cb02dd</v>
      </c>
      <c r="M1545" s="2" t="str">
        <f ca="1">IFERROR(__xludf.DUMMYFUNCTION("""COMPUTED_VALUE"""),"Bonarda PC")</f>
        <v>Bonarda PC</v>
      </c>
      <c r="N1545" s="2"/>
      <c r="O1545" s="2" t="str">
        <f ca="1">IFERROR(__xludf.DUMMYFUNCTION("""COMPUTED_VALUE"""),"Fermentando")</f>
        <v>Fermentando</v>
      </c>
      <c r="P1545" s="2" t="str">
        <f ca="1">IFERROR(__xludf.DUMMYFUNCTION("""COMPUTED_VALUE"""),"Fermentando")</f>
        <v>Fermentando</v>
      </c>
      <c r="Q1545" s="2" t="b">
        <f ca="1">IFERROR(__xludf.DUMMYFUNCTION("""COMPUTED_VALUE"""),TRUE)</f>
        <v>1</v>
      </c>
      <c r="R1545" s="2" t="str">
        <f ca="1">IFERROR(__xludf.DUMMYFUNCTION("""COMPUTED_VALUE"""),"Fermentando")</f>
        <v>Fermentando</v>
      </c>
      <c r="S1545" s="2"/>
      <c r="T1545" s="2"/>
      <c r="U1545" s="2"/>
    </row>
    <row r="1546" spans="1:21" x14ac:dyDescent="0.25">
      <c r="A1546" s="2" t="str">
        <f ca="1">IFERROR(__xludf.DUMMYFUNCTION("""COMPUTED_VALUE"""),"e55c4075")</f>
        <v>e55c4075</v>
      </c>
      <c r="B1546" s="5">
        <f ca="1">IFERROR(__xludf.DUMMYFUNCTION("""COMPUTED_VALUE"""),46125.7984722222)</f>
        <v>46125.798472222203</v>
      </c>
      <c r="C1546" s="2" t="str">
        <f ca="1">IFERROR(__xludf.DUMMYFUNCTION("""COMPUTED_VALUE"""),"4a77f14f")</f>
        <v>4a77f14f</v>
      </c>
      <c r="D1546" s="2">
        <f ca="1">IFERROR(__xludf.DUMMYFUNCTION("""COMPUTED_VALUE"""),82)</f>
        <v>82</v>
      </c>
      <c r="E1546" s="2" t="str">
        <f ca="1">IFERROR(__xludf.DUMMYFUNCTION("""COMPUTED_VALUE"""),"Bonarda PC")</f>
        <v>Bonarda PC</v>
      </c>
      <c r="F1546" s="2">
        <f ca="1">IFERROR(__xludf.DUMMYFUNCTION("""COMPUTED_VALUE"""),20000)</f>
        <v>20000</v>
      </c>
      <c r="G1546" s="2">
        <f ca="1">IFERROR(__xludf.DUMMYFUNCTION("""COMPUTED_VALUE"""),24)</f>
        <v>24</v>
      </c>
      <c r="H1546" s="2" t="str">
        <f ca="1">IFERROR(__xludf.DUMMYFUNCTION("""COMPUTED_VALUE"""),"97ec467a")</f>
        <v>97ec467a</v>
      </c>
      <c r="I1546" s="2" t="str">
        <f ca="1">IFERROR(__xludf.DUMMYFUNCTION("""COMPUTED_VALUE"""),"Malbec pc")</f>
        <v>Malbec pc</v>
      </c>
      <c r="J1546" s="2">
        <f ca="1">IFERROR(__xludf.DUMMYFUNCTION("""COMPUTED_VALUE"""),111600)</f>
        <v>111600</v>
      </c>
      <c r="K1546" s="2">
        <f ca="1">IFERROR(__xludf.DUMMYFUNCTION("""COMPUTED_VALUE"""),131600)</f>
        <v>131600</v>
      </c>
      <c r="L1546" s="2" t="str">
        <f ca="1">IFERROR(__xludf.DUMMYFUNCTION("""COMPUTED_VALUE"""),"e4485081")</f>
        <v>e4485081</v>
      </c>
      <c r="M1546" s="2" t="str">
        <f ca="1">IFERROR(__xludf.DUMMYFUNCTION("""COMPUTED_VALUE"""),"Malbec pc")</f>
        <v>Malbec pc</v>
      </c>
      <c r="N1546" s="2"/>
      <c r="O1546" s="2" t="str">
        <f ca="1">IFERROR(__xludf.DUMMYFUNCTION("""COMPUTED_VALUE"""),"Fermentando")</f>
        <v>Fermentando</v>
      </c>
      <c r="P1546" s="2" t="str">
        <f ca="1">IFERROR(__xludf.DUMMYFUNCTION("""COMPUTED_VALUE"""),"Descubada")</f>
        <v>Descubada</v>
      </c>
      <c r="Q1546" s="2" t="b">
        <f ca="1">IFERROR(__xludf.DUMMYFUNCTION("""COMPUTED_VALUE"""),TRUE)</f>
        <v>1</v>
      </c>
      <c r="R1546" s="2" t="str">
        <f ca="1">IFERROR(__xludf.DUMMYFUNCTION("""COMPUTED_VALUE"""),"Descubada")</f>
        <v>Descubada</v>
      </c>
      <c r="S1546" s="2"/>
      <c r="T1546" s="2"/>
      <c r="U1546" s="2" t="str">
        <f ca="1">IFERROR(__xludf.DUMMYFUNCTION("""COMPUTED_VALUE"""),"1")</f>
        <v>1</v>
      </c>
    </row>
    <row r="1547" spans="1:21" x14ac:dyDescent="0.25">
      <c r="A1547" s="2" t="str">
        <f ca="1">IFERROR(__xludf.DUMMYFUNCTION("""COMPUTED_VALUE"""),"3927c807")</f>
        <v>3927c807</v>
      </c>
      <c r="B1547" s="5">
        <f ca="1">IFERROR(__xludf.DUMMYFUNCTION("""COMPUTED_VALUE"""),46125.8003703703)</f>
        <v>46125.8003703703</v>
      </c>
      <c r="C1547" s="2" t="str">
        <f ca="1">IFERROR(__xludf.DUMMYFUNCTION("""COMPUTED_VALUE"""),"9dafdb04")</f>
        <v>9dafdb04</v>
      </c>
      <c r="D1547" s="2">
        <f ca="1">IFERROR(__xludf.DUMMYFUNCTION("""COMPUTED_VALUE"""),85)</f>
        <v>85</v>
      </c>
      <c r="E1547" s="2" t="str">
        <f ca="1">IFERROR(__xludf.DUMMYFUNCTION("""COMPUTED_VALUE"""),"Bonarda")</f>
        <v>Bonarda</v>
      </c>
      <c r="F1547" s="2">
        <f ca="1">IFERROR(__xludf.DUMMYFUNCTION("""COMPUTED_VALUE"""),40000)</f>
        <v>40000</v>
      </c>
      <c r="G1547" s="2">
        <f ca="1">IFERROR(__xludf.DUMMYFUNCTION("""COMPUTED_VALUE"""),24)</f>
        <v>24</v>
      </c>
      <c r="H1547" s="2" t="str">
        <f ca="1">IFERROR(__xludf.DUMMYFUNCTION("""COMPUTED_VALUE"""),"e4485081")</f>
        <v>e4485081</v>
      </c>
      <c r="I1547" s="2" t="str">
        <f ca="1">IFERROR(__xludf.DUMMYFUNCTION("""COMPUTED_VALUE"""),"Malbec pc")</f>
        <v>Malbec pc</v>
      </c>
      <c r="J1547" s="2">
        <f ca="1">IFERROR(__xludf.DUMMYFUNCTION("""COMPUTED_VALUE"""),131600)</f>
        <v>131600</v>
      </c>
      <c r="K1547" s="2">
        <f ca="1">IFERROR(__xludf.DUMMYFUNCTION("""COMPUTED_VALUE"""),171600)</f>
        <v>171600</v>
      </c>
      <c r="L1547" s="2" t="str">
        <f ca="1">IFERROR(__xludf.DUMMYFUNCTION("""COMPUTED_VALUE"""),"4c079f49")</f>
        <v>4c079f49</v>
      </c>
      <c r="M1547" s="2" t="str">
        <f ca="1">IFERROR(__xludf.DUMMYFUNCTION("""COMPUTED_VALUE"""),"Malbec pc")</f>
        <v>Malbec pc</v>
      </c>
      <c r="N1547" s="2" t="str">
        <f ca="1">IFERROR(__xludf.DUMMYFUNCTION("""COMPUTED_VALUE"""),"Descube Gota")</f>
        <v>Descube Gota</v>
      </c>
      <c r="O1547" s="2" t="str">
        <f ca="1">IFERROR(__xludf.DUMMYFUNCTION("""COMPUTED_VALUE"""),"Fermentando")</f>
        <v>Fermentando</v>
      </c>
      <c r="P1547" s="2" t="str">
        <f ca="1">IFERROR(__xludf.DUMMYFUNCTION("""COMPUTED_VALUE"""),"Descubada")</f>
        <v>Descubada</v>
      </c>
      <c r="Q1547" s="2" t="b">
        <f ca="1">IFERROR(__xludf.DUMMYFUNCTION("""COMPUTED_VALUE"""),TRUE)</f>
        <v>1</v>
      </c>
      <c r="R1547" s="2" t="str">
        <f ca="1">IFERROR(__xludf.DUMMYFUNCTION("""COMPUTED_VALUE"""),"Descubada")</f>
        <v>Descubada</v>
      </c>
      <c r="S1547" s="2"/>
      <c r="T1547" s="2"/>
      <c r="U1547" s="2" t="str">
        <f ca="1">IFERROR(__xludf.DUMMYFUNCTION("""COMPUTED_VALUE"""),"1")</f>
        <v>1</v>
      </c>
    </row>
    <row r="1548" spans="1:21" x14ac:dyDescent="0.25">
      <c r="A1548" s="2" t="str">
        <f ca="1">IFERROR(__xludf.DUMMYFUNCTION("""COMPUTED_VALUE"""),"e199a2e1")</f>
        <v>e199a2e1</v>
      </c>
      <c r="B1548" s="5">
        <f ca="1">IFERROR(__xludf.DUMMYFUNCTION("""COMPUTED_VALUE"""),46125.8672800925)</f>
        <v>46125.867280092498</v>
      </c>
      <c r="C1548" s="2" t="str">
        <f ca="1">IFERROR(__xludf.DUMMYFUNCTION("""COMPUTED_VALUE"""),"b264a03d")</f>
        <v>b264a03d</v>
      </c>
      <c r="D1548" s="2">
        <f ca="1">IFERROR(__xludf.DUMMYFUNCTION("""COMPUTED_VALUE"""),9)</f>
        <v>9</v>
      </c>
      <c r="E1548" s="2" t="str">
        <f ca="1">IFERROR(__xludf.DUMMYFUNCTION("""COMPUTED_VALUE"""),"Criolla")</f>
        <v>Criolla</v>
      </c>
      <c r="F1548" s="2">
        <f ca="1">IFERROR(__xludf.DUMMYFUNCTION("""COMPUTED_VALUE"""),3000)</f>
        <v>3000</v>
      </c>
      <c r="G1548" s="2">
        <f ca="1">IFERROR(__xludf.DUMMYFUNCTION("""COMPUTED_VALUE"""),80)</f>
        <v>80</v>
      </c>
      <c r="H1548" s="2" t="str">
        <f ca="1">IFERROR(__xludf.DUMMYFUNCTION("""COMPUTED_VALUE"""),"006dbf5a")</f>
        <v>006dbf5a</v>
      </c>
      <c r="I1548" s="2" t="str">
        <f ca="1">IFERROR(__xludf.DUMMYFUNCTION("""COMPUTED_VALUE"""),"Criolla")</f>
        <v>Criolla</v>
      </c>
      <c r="J1548" s="2">
        <f ca="1">IFERROR(__xludf.DUMMYFUNCTION("""COMPUTED_VALUE"""),21000)</f>
        <v>21000</v>
      </c>
      <c r="K1548" s="2">
        <f ca="1">IFERROR(__xludf.DUMMYFUNCTION("""COMPUTED_VALUE"""),24000)</f>
        <v>24000</v>
      </c>
      <c r="L1548" s="2" t="str">
        <f ca="1">IFERROR(__xludf.DUMMYFUNCTION("""COMPUTED_VALUE"""),"a816c3ff")</f>
        <v>a816c3ff</v>
      </c>
      <c r="M1548" s="2" t="str">
        <f ca="1">IFERROR(__xludf.DUMMYFUNCTION("""COMPUTED_VALUE"""),"Criolla")</f>
        <v>Criolla</v>
      </c>
      <c r="N1548" s="2"/>
      <c r="O1548" s="2" t="str">
        <f ca="1">IFERROR(__xludf.DUMMYFUNCTION("""COMPUTED_VALUE"""),"Mosto")</f>
        <v>Mosto</v>
      </c>
      <c r="P1548" s="2" t="str">
        <f ca="1">IFERROR(__xludf.DUMMYFUNCTION("""COMPUTED_VALUE"""),"Fermentando")</f>
        <v>Fermentando</v>
      </c>
      <c r="Q1548" s="2" t="b">
        <f ca="1">IFERROR(__xludf.DUMMYFUNCTION("""COMPUTED_VALUE"""),TRUE)</f>
        <v>1</v>
      </c>
      <c r="R1548" s="2" t="str">
        <f ca="1">IFERROR(__xludf.DUMMYFUNCTION("""COMPUTED_VALUE"""),"Fermentando")</f>
        <v>Fermentando</v>
      </c>
      <c r="S1548" s="2"/>
      <c r="T1548" s="2"/>
      <c r="U1548" s="2"/>
    </row>
    <row r="1549" spans="1:21" x14ac:dyDescent="0.25">
      <c r="A1549" s="2" t="str">
        <f ca="1">IFERROR(__xludf.DUMMYFUNCTION("""COMPUTED_VALUE"""),"449f3944")</f>
        <v>449f3944</v>
      </c>
      <c r="B1549" s="5">
        <f ca="1">IFERROR(__xludf.DUMMYFUNCTION("""COMPUTED_VALUE"""),46125.8676851851)</f>
        <v>46125.867685185098</v>
      </c>
      <c r="C1549" s="2" t="str">
        <f ca="1">IFERROR(__xludf.DUMMYFUNCTION("""COMPUTED_VALUE"""),"b264a03d")</f>
        <v>b264a03d</v>
      </c>
      <c r="D1549" s="2">
        <f ca="1">IFERROR(__xludf.DUMMYFUNCTION("""COMPUTED_VALUE"""),9)</f>
        <v>9</v>
      </c>
      <c r="E1549" s="2" t="str">
        <f ca="1">IFERROR(__xludf.DUMMYFUNCTION("""COMPUTED_VALUE"""),"Criolla")</f>
        <v>Criolla</v>
      </c>
      <c r="F1549" s="2">
        <f ca="1">IFERROR(__xludf.DUMMYFUNCTION("""COMPUTED_VALUE"""),19000)</f>
        <v>19000</v>
      </c>
      <c r="G1549" s="2">
        <f ca="1">IFERROR(__xludf.DUMMYFUNCTION("""COMPUTED_VALUE"""),14)</f>
        <v>14</v>
      </c>
      <c r="H1549" s="2"/>
      <c r="I1549" s="2"/>
      <c r="J1549" s="2">
        <f ca="1">IFERROR(__xludf.DUMMYFUNCTION("""COMPUTED_VALUE"""),0)</f>
        <v>0</v>
      </c>
      <c r="K1549" s="2">
        <f ca="1">IFERROR(__xludf.DUMMYFUNCTION("""COMPUTED_VALUE"""),19000)</f>
        <v>19000</v>
      </c>
      <c r="L1549" s="2" t="str">
        <f ca="1">IFERROR(__xludf.DUMMYFUNCTION("""COMPUTED_VALUE"""),"71ea6a8a")</f>
        <v>71ea6a8a</v>
      </c>
      <c r="M1549" s="2" t="str">
        <f ca="1">IFERROR(__xludf.DUMMYFUNCTION("""COMPUTED_VALUE"""),"Criolla")</f>
        <v>Criolla</v>
      </c>
      <c r="N1549" s="2"/>
      <c r="O1549" s="2" t="str">
        <f ca="1">IFERROR(__xludf.DUMMYFUNCTION("""COMPUTED_VALUE"""),"Mosto")</f>
        <v>Mosto</v>
      </c>
      <c r="P1549" s="2"/>
      <c r="Q1549" s="2" t="b">
        <f ca="1">IFERROR(__xludf.DUMMYFUNCTION("""COMPUTED_VALUE"""),FALSE)</f>
        <v>0</v>
      </c>
      <c r="R1549" s="2" t="str">
        <f ca="1">IFERROR(__xludf.DUMMYFUNCTION("""COMPUTED_VALUE"""),"Fermentando")</f>
        <v>Fermentando</v>
      </c>
      <c r="S1549" s="2"/>
      <c r="T1549" s="2"/>
      <c r="U1549" s="2"/>
    </row>
    <row r="1550" spans="1:21" x14ac:dyDescent="0.25">
      <c r="A1550" s="2" t="str">
        <f ca="1">IFERROR(__xludf.DUMMYFUNCTION("""COMPUTED_VALUE"""),"32b580f4")</f>
        <v>32b580f4</v>
      </c>
      <c r="B1550" s="5">
        <f ca="1">IFERROR(__xludf.DUMMYFUNCTION("""COMPUTED_VALUE"""),46125.8692476851)</f>
        <v>46125.869247685099</v>
      </c>
      <c r="C1550" s="2" t="str">
        <f ca="1">IFERROR(__xludf.DUMMYFUNCTION("""COMPUTED_VALUE"""),"00da080a")</f>
        <v>00da080a</v>
      </c>
      <c r="D1550" s="2">
        <f ca="1">IFERROR(__xludf.DUMMYFUNCTION("""COMPUTED_VALUE"""),87)</f>
        <v>87</v>
      </c>
      <c r="E1550" s="2" t="str">
        <f ca="1">IFERROR(__xludf.DUMMYFUNCTION("""COMPUTED_VALUE"""),"Bonarda c/criolla")</f>
        <v>Bonarda c/criolla</v>
      </c>
      <c r="F1550" s="2">
        <f ca="1">IFERROR(__xludf.DUMMYFUNCTION("""COMPUTED_VALUE"""),0)</f>
        <v>0</v>
      </c>
      <c r="G1550" s="2">
        <f ca="1">IFERROR(__xludf.DUMMYFUNCTION("""COMPUTED_VALUE"""),14)</f>
        <v>14</v>
      </c>
      <c r="H1550" s="2" t="str">
        <f ca="1">IFERROR(__xludf.DUMMYFUNCTION("""COMPUTED_VALUE"""),"71ea6a8a")</f>
        <v>71ea6a8a</v>
      </c>
      <c r="I1550" s="2" t="str">
        <f ca="1">IFERROR(__xludf.DUMMYFUNCTION("""COMPUTED_VALUE"""),"Criolla")</f>
        <v>Criolla</v>
      </c>
      <c r="J1550" s="2">
        <f ca="1">IFERROR(__xludf.DUMMYFUNCTION("""COMPUTED_VALUE"""),19000)</f>
        <v>19000</v>
      </c>
      <c r="K1550" s="2">
        <f ca="1">IFERROR(__xludf.DUMMYFUNCTION("""COMPUTED_VALUE"""),0)</f>
        <v>0</v>
      </c>
      <c r="L1550" s="2" t="str">
        <f ca="1">IFERROR(__xludf.DUMMYFUNCTION("""COMPUTED_VALUE"""),"688b1ee4")</f>
        <v>688b1ee4</v>
      </c>
      <c r="M1550" s="2" t="str">
        <f ca="1">IFERROR(__xludf.DUMMYFUNCTION("""COMPUTED_VALUE"""),"Criolla")</f>
        <v>Criolla</v>
      </c>
      <c r="N1550" s="2"/>
      <c r="O1550" s="2" t="str">
        <f ca="1">IFERROR(__xludf.DUMMYFUNCTION("""COMPUTED_VALUE"""),"Fermentando")</f>
        <v>Fermentando</v>
      </c>
      <c r="P1550" s="2" t="str">
        <f ca="1">IFERROR(__xludf.DUMMYFUNCTION("""COMPUTED_VALUE"""),"Fermentando")</f>
        <v>Fermentando</v>
      </c>
      <c r="Q1550" s="2" t="b">
        <f ca="1">IFERROR(__xludf.DUMMYFUNCTION("""COMPUTED_VALUE"""),TRUE)</f>
        <v>1</v>
      </c>
      <c r="R1550" s="2" t="str">
        <f ca="1">IFERROR(__xludf.DUMMYFUNCTION("""COMPUTED_VALUE"""),"Fermentando")</f>
        <v>Fermentando</v>
      </c>
      <c r="S1550" s="2"/>
      <c r="T1550" s="2"/>
      <c r="U1550" s="2"/>
    </row>
    <row r="1551" spans="1:21" x14ac:dyDescent="0.25">
      <c r="A1551" s="2" t="str">
        <f ca="1">IFERROR(__xludf.DUMMYFUNCTION("""COMPUTED_VALUE"""),"7ecb0cdb")</f>
        <v>7ecb0cdb</v>
      </c>
      <c r="B1551" s="5">
        <f ca="1">IFERROR(__xludf.DUMMYFUNCTION("""COMPUTED_VALUE"""),46126.0074884259)</f>
        <v>46126.007488425901</v>
      </c>
      <c r="C1551" s="2" t="str">
        <f ca="1">IFERROR(__xludf.DUMMYFUNCTION("""COMPUTED_VALUE"""),"a2de3afc")</f>
        <v>a2de3afc</v>
      </c>
      <c r="D1551" s="2">
        <f ca="1">IFERROR(__xludf.DUMMYFUNCTION("""COMPUTED_VALUE"""),96)</f>
        <v>96</v>
      </c>
      <c r="E1551" s="2" t="str">
        <f ca="1">IFERROR(__xludf.DUMMYFUNCTION("""COMPUTED_VALUE"""),"Bonarda NV - Cabernet Sau PC")</f>
        <v>Bonarda NV - Cabernet Sau PC</v>
      </c>
      <c r="F1551" s="2">
        <f ca="1">IFERROR(__xludf.DUMMYFUNCTION("""COMPUTED_VALUE"""),-6500)</f>
        <v>-6500</v>
      </c>
      <c r="G1551" s="2">
        <f ca="1">IFERROR(__xludf.DUMMYFUNCTION("""COMPUTED_VALUE"""),31)</f>
        <v>31</v>
      </c>
      <c r="H1551" s="2" t="str">
        <f ca="1">IFERROR(__xludf.DUMMYFUNCTION("""COMPUTED_VALUE"""),"5e54c4d5")</f>
        <v>5e54c4d5</v>
      </c>
      <c r="I1551" s="2" t="str">
        <f ca="1">IFERROR(__xludf.DUMMYFUNCTION("""COMPUTED_VALUE"""),"Malbec Rect")</f>
        <v>Malbec Rect</v>
      </c>
      <c r="J1551" s="2">
        <f ca="1">IFERROR(__xludf.DUMMYFUNCTION("""COMPUTED_VALUE"""),12500)</f>
        <v>12500</v>
      </c>
      <c r="K1551" s="2">
        <f ca="1">IFERROR(__xludf.DUMMYFUNCTION("""COMPUTED_VALUE"""),6000)</f>
        <v>6000</v>
      </c>
      <c r="L1551" s="2" t="str">
        <f ca="1">IFERROR(__xludf.DUMMYFUNCTION("""COMPUTED_VALUE"""),"69434c5a")</f>
        <v>69434c5a</v>
      </c>
      <c r="M1551" s="2" t="str">
        <f ca="1">IFERROR(__xludf.DUMMYFUNCTION("""COMPUTED_VALUE"""),"Malbec Rect")</f>
        <v>Malbec Rect</v>
      </c>
      <c r="N1551" s="2"/>
      <c r="O1551" s="2" t="str">
        <f ca="1">IFERROR(__xludf.DUMMYFUNCTION("""COMPUTED_VALUE"""),"Fermentando")</f>
        <v>Fermentando</v>
      </c>
      <c r="P1551" s="2" t="str">
        <f ca="1">IFERROR(__xludf.DUMMYFUNCTION("""COMPUTED_VALUE"""),"Rectificado")</f>
        <v>Rectificado</v>
      </c>
      <c r="Q1551" s="2" t="b">
        <f ca="1">IFERROR(__xludf.DUMMYFUNCTION("""COMPUTED_VALUE"""),TRUE)</f>
        <v>1</v>
      </c>
      <c r="R1551" s="2" t="str">
        <f ca="1">IFERROR(__xludf.DUMMYFUNCTION("""COMPUTED_VALUE"""),"Rectificado")</f>
        <v>Rectificado</v>
      </c>
      <c r="S1551" s="2"/>
      <c r="T1551" s="2"/>
      <c r="U1551" s="2" t="str">
        <f ca="1">IFERROR(__xludf.DUMMYFUNCTION("""COMPUTED_VALUE"""),"1-")</f>
        <v>1-</v>
      </c>
    </row>
    <row r="1552" spans="1:21" x14ac:dyDescent="0.25">
      <c r="A1552" s="2" t="str">
        <f ca="1">IFERROR(__xludf.DUMMYFUNCTION("""COMPUTED_VALUE"""),"09002fdf")</f>
        <v>09002fdf</v>
      </c>
      <c r="B1552" s="5">
        <f ca="1">IFERROR(__xludf.DUMMYFUNCTION("""COMPUTED_VALUE"""),46126.0078125)</f>
        <v>46126.0078125</v>
      </c>
      <c r="C1552" s="2" t="str">
        <f ca="1">IFERROR(__xludf.DUMMYFUNCTION("""COMPUTED_VALUE"""),"7f5d2834")</f>
        <v>7f5d2834</v>
      </c>
      <c r="D1552" s="2">
        <f ca="1">IFERROR(__xludf.DUMMYFUNCTION("""COMPUTED_VALUE"""),79)</f>
        <v>79</v>
      </c>
      <c r="E1552" s="2" t="str">
        <f ca="1">IFERROR(__xludf.DUMMYFUNCTION("""COMPUTED_VALUE"""),"Malbec Maq PC")</f>
        <v>Malbec Maq PC</v>
      </c>
      <c r="F1552" s="2">
        <f ca="1">IFERROR(__xludf.DUMMYFUNCTION("""COMPUTED_VALUE"""),-6000)</f>
        <v>-6000</v>
      </c>
      <c r="G1552" s="2">
        <f ca="1">IFERROR(__xludf.DUMMYFUNCTION("""COMPUTED_VALUE"""),31)</f>
        <v>31</v>
      </c>
      <c r="H1552" s="2" t="str">
        <f ca="1">IFERROR(__xludf.DUMMYFUNCTION("""COMPUTED_VALUE"""),"69434c5a")</f>
        <v>69434c5a</v>
      </c>
      <c r="I1552" s="2" t="str">
        <f ca="1">IFERROR(__xludf.DUMMYFUNCTION("""COMPUTED_VALUE"""),"Malbec Rect")</f>
        <v>Malbec Rect</v>
      </c>
      <c r="J1552" s="2">
        <f ca="1">IFERROR(__xludf.DUMMYFUNCTION("""COMPUTED_VALUE"""),6000)</f>
        <v>6000</v>
      </c>
      <c r="K1552" s="2">
        <f ca="1">IFERROR(__xludf.DUMMYFUNCTION("""COMPUTED_VALUE"""),0)</f>
        <v>0</v>
      </c>
      <c r="L1552" s="2" t="str">
        <f ca="1">IFERROR(__xludf.DUMMYFUNCTION("""COMPUTED_VALUE"""),"35db27f7")</f>
        <v>35db27f7</v>
      </c>
      <c r="M1552" s="2" t="str">
        <f ca="1">IFERROR(__xludf.DUMMYFUNCTION("""COMPUTED_VALUE"""),"Malbec Rect")</f>
        <v>Malbec Rect</v>
      </c>
      <c r="N1552" s="2"/>
      <c r="O1552" s="2" t="str">
        <f ca="1">IFERROR(__xludf.DUMMYFUNCTION("""COMPUTED_VALUE"""),"Fermentando")</f>
        <v>Fermentando</v>
      </c>
      <c r="P1552" s="2" t="str">
        <f ca="1">IFERROR(__xludf.DUMMYFUNCTION("""COMPUTED_VALUE"""),"Rectificado")</f>
        <v>Rectificado</v>
      </c>
      <c r="Q1552" s="2" t="b">
        <f ca="1">IFERROR(__xludf.DUMMYFUNCTION("""COMPUTED_VALUE"""),TRUE)</f>
        <v>1</v>
      </c>
      <c r="R1552" s="2" t="str">
        <f ca="1">IFERROR(__xludf.DUMMYFUNCTION("""COMPUTED_VALUE"""),"Rectificado")</f>
        <v>Rectificado</v>
      </c>
      <c r="S1552" s="2"/>
      <c r="T1552" s="2"/>
      <c r="U1552" s="2" t="str">
        <f ca="1">IFERROR(__xludf.DUMMYFUNCTION("""COMPUTED_VALUE"""),"1-")</f>
        <v>1-</v>
      </c>
    </row>
    <row r="1553" spans="1:21" x14ac:dyDescent="0.25">
      <c r="A1553" s="2" t="str">
        <f ca="1">IFERROR(__xludf.DUMMYFUNCTION("""COMPUTED_VALUE"""),"80c45324")</f>
        <v>80c45324</v>
      </c>
      <c r="B1553" s="5">
        <f ca="1">IFERROR(__xludf.DUMMYFUNCTION("""COMPUTED_VALUE"""),46126.0091782407)</f>
        <v>46126.009178240703</v>
      </c>
      <c r="C1553" s="2" t="str">
        <f ca="1">IFERROR(__xludf.DUMMYFUNCTION("""COMPUTED_VALUE"""),"d12e5727")</f>
        <v>d12e5727</v>
      </c>
      <c r="D1553" s="2">
        <f ca="1">IFERROR(__xludf.DUMMYFUNCTION("""COMPUTED_VALUE"""),77)</f>
        <v>77</v>
      </c>
      <c r="E1553" s="2" t="str">
        <f ca="1">IFERROR(__xludf.DUMMYFUNCTION("""COMPUTED_VALUE"""),"Torrontes")</f>
        <v>Torrontes</v>
      </c>
      <c r="F1553" s="2">
        <f ca="1">IFERROR(__xludf.DUMMYFUNCTION("""COMPUTED_VALUE"""),25000)</f>
        <v>25000</v>
      </c>
      <c r="G1553" s="2">
        <f ca="1">IFERROR(__xludf.DUMMYFUNCTION("""COMPUTED_VALUE"""),31)</f>
        <v>31</v>
      </c>
      <c r="H1553" s="2"/>
      <c r="I1553" s="2"/>
      <c r="J1553" s="2">
        <f ca="1">IFERROR(__xludf.DUMMYFUNCTION("""COMPUTED_VALUE"""),0)</f>
        <v>0</v>
      </c>
      <c r="K1553" s="2">
        <f ca="1">IFERROR(__xludf.DUMMYFUNCTION("""COMPUTED_VALUE"""),25000)</f>
        <v>25000</v>
      </c>
      <c r="L1553" s="2" t="str">
        <f ca="1">IFERROR(__xludf.DUMMYFUNCTION("""COMPUTED_VALUE"""),"fed1f4a1")</f>
        <v>fed1f4a1</v>
      </c>
      <c r="M1553" s="2" t="str">
        <f ca="1">IFERROR(__xludf.DUMMYFUNCTION("""COMPUTED_VALUE"""),"Torrontes")</f>
        <v>Torrontes</v>
      </c>
      <c r="N1553" s="2"/>
      <c r="O1553" s="2" t="str">
        <f ca="1">IFERROR(__xludf.DUMMYFUNCTION("""COMPUTED_VALUE"""),"Fermentando")</f>
        <v>Fermentando</v>
      </c>
      <c r="P1553" s="2"/>
      <c r="Q1553" s="2" t="b">
        <f ca="1">IFERROR(__xludf.DUMMYFUNCTION("""COMPUTED_VALUE"""),FALSE)</f>
        <v>0</v>
      </c>
      <c r="R1553" s="2" t="str">
        <f ca="1">IFERROR(__xludf.DUMMYFUNCTION("""COMPUTED_VALUE"""),"Descubada")</f>
        <v>Descubada</v>
      </c>
      <c r="S1553" s="2"/>
      <c r="T1553" s="2"/>
      <c r="U1553" s="2" t="str">
        <f ca="1">IFERROR(__xludf.DUMMYFUNCTION("""COMPUTED_VALUE"""),"1-")</f>
        <v>1-</v>
      </c>
    </row>
    <row r="1554" spans="1:21" x14ac:dyDescent="0.25">
      <c r="A1554" s="2" t="str">
        <f ca="1">IFERROR(__xludf.DUMMYFUNCTION("""COMPUTED_VALUE"""),"c40b84d8")</f>
        <v>c40b84d8</v>
      </c>
      <c r="B1554" s="5">
        <f ca="1">IFERROR(__xludf.DUMMYFUNCTION("""COMPUTED_VALUE"""),46126.5362037037)</f>
        <v>46126.536203703698</v>
      </c>
      <c r="C1554" s="2" t="str">
        <f ca="1">IFERROR(__xludf.DUMMYFUNCTION("""COMPUTED_VALUE"""),"cf68c2c6")</f>
        <v>cf68c2c6</v>
      </c>
      <c r="D1554" s="2">
        <f ca="1">IFERROR(__xludf.DUMMYFUNCTION("""COMPUTED_VALUE"""),89)</f>
        <v>89</v>
      </c>
      <c r="E1554" s="2" t="str">
        <f ca="1">IFERROR(__xludf.DUMMYFUNCTION("""COMPUTED_VALUE"""),"Bonarda")</f>
        <v>Bonarda</v>
      </c>
      <c r="F1554" s="2">
        <f ca="1">IFERROR(__xludf.DUMMYFUNCTION("""COMPUTED_VALUE"""),-6000)</f>
        <v>-6000</v>
      </c>
      <c r="G1554" s="2">
        <f ca="1">IFERROR(__xludf.DUMMYFUNCTION("""COMPUTED_VALUE"""),68)</f>
        <v>68</v>
      </c>
      <c r="H1554" s="2" t="str">
        <f ca="1">IFERROR(__xludf.DUMMYFUNCTION("""COMPUTED_VALUE"""),"c73a1a4e")</f>
        <v>c73a1a4e</v>
      </c>
      <c r="I1554" s="2" t="str">
        <f ca="1">IFERROR(__xludf.DUMMYFUNCTION("""COMPUTED_VALUE"""),"Aspirant  Malbec Rect")</f>
        <v>Aspirant  Malbec Rect</v>
      </c>
      <c r="J1554" s="2">
        <f ca="1">IFERROR(__xludf.DUMMYFUNCTION("""COMPUTED_VALUE"""),6000)</f>
        <v>6000</v>
      </c>
      <c r="K1554" s="2">
        <f ca="1">IFERROR(__xludf.DUMMYFUNCTION("""COMPUTED_VALUE"""),0)</f>
        <v>0</v>
      </c>
      <c r="L1554" s="2" t="str">
        <f ca="1">IFERROR(__xludf.DUMMYFUNCTION("""COMPUTED_VALUE"""),"bb84046b")</f>
        <v>bb84046b</v>
      </c>
      <c r="M1554" s="2" t="str">
        <f ca="1">IFERROR(__xludf.DUMMYFUNCTION("""COMPUTED_VALUE"""),"Aspirant  Malbec Rect")</f>
        <v>Aspirant  Malbec Rect</v>
      </c>
      <c r="N1554" s="2"/>
      <c r="O1554" s="2" t="str">
        <f ca="1">IFERROR(__xludf.DUMMYFUNCTION("""COMPUTED_VALUE"""),"Fermentando")</f>
        <v>Fermentando</v>
      </c>
      <c r="P1554" s="2" t="str">
        <f ca="1">IFERROR(__xludf.DUMMYFUNCTION("""COMPUTED_VALUE"""),"Rectificado")</f>
        <v>Rectificado</v>
      </c>
      <c r="Q1554" s="2" t="b">
        <f ca="1">IFERROR(__xludf.DUMMYFUNCTION("""COMPUTED_VALUE"""),TRUE)</f>
        <v>1</v>
      </c>
      <c r="R1554" s="2" t="str">
        <f ca="1">IFERROR(__xludf.DUMMYFUNCTION("""COMPUTED_VALUE"""),"Rectificado")</f>
        <v>Rectificado</v>
      </c>
      <c r="S1554" s="2"/>
      <c r="T1554" s="2"/>
      <c r="U1554" s="2" t="str">
        <f ca="1">IFERROR(__xludf.DUMMYFUNCTION("""COMPUTED_VALUE"""),"2+")</f>
        <v>2+</v>
      </c>
    </row>
    <row r="1555" spans="1:21" x14ac:dyDescent="0.25">
      <c r="A1555" s="2" t="str">
        <f ca="1">IFERROR(__xludf.DUMMYFUNCTION("""COMPUTED_VALUE"""),"0771a9e0")</f>
        <v>0771a9e0</v>
      </c>
      <c r="B1555" s="5">
        <f ca="1">IFERROR(__xludf.DUMMYFUNCTION("""COMPUTED_VALUE"""),46126.7867824074)</f>
        <v>46126.786782407398</v>
      </c>
      <c r="C1555" s="2" t="str">
        <f ca="1">IFERROR(__xludf.DUMMYFUNCTION("""COMPUTED_VALUE"""),"6fb40aed")</f>
        <v>6fb40aed</v>
      </c>
      <c r="D1555" s="2">
        <f ca="1">IFERROR(__xludf.DUMMYFUNCTION("""COMPUTED_VALUE"""),54)</f>
        <v>54</v>
      </c>
      <c r="E1555" s="2" t="str">
        <f ca="1">IFERROR(__xludf.DUMMYFUNCTION("""COMPUTED_VALUE"""),"Cabernet Sauvignon Rect")</f>
        <v>Cabernet Sauvignon Rect</v>
      </c>
      <c r="F1555" s="2">
        <f ca="1">IFERROR(__xludf.DUMMYFUNCTION("""COMPUTED_VALUE"""),-10500)</f>
        <v>-10500</v>
      </c>
      <c r="G1555" s="2">
        <f ca="1">IFERROR(__xludf.DUMMYFUNCTION("""COMPUTED_VALUE"""),500)</f>
        <v>500</v>
      </c>
      <c r="H1555" s="2" t="str">
        <f ca="1">IFERROR(__xludf.DUMMYFUNCTION("""COMPUTED_VALUE"""),"2caf6785")</f>
        <v>2caf6785</v>
      </c>
      <c r="I1555" s="2" t="str">
        <f ca="1">IFERROR(__xludf.DUMMYFUNCTION("""COMPUTED_VALUE"""),"AJUSTE COSECHA 2026")</f>
        <v>AJUSTE COSECHA 2026</v>
      </c>
      <c r="J1555" s="2">
        <f ca="1">IFERROR(__xludf.DUMMYFUNCTION("""COMPUTED_VALUE"""),80600)</f>
        <v>80600</v>
      </c>
      <c r="K1555" s="2">
        <f ca="1">IFERROR(__xludf.DUMMYFUNCTION("""COMPUTED_VALUE"""),70100)</f>
        <v>70100</v>
      </c>
      <c r="L1555" s="2" t="str">
        <f ca="1">IFERROR(__xludf.DUMMYFUNCTION("""COMPUTED_VALUE"""),"d9b8f530")</f>
        <v>d9b8f530</v>
      </c>
      <c r="M1555" s="2" t="str">
        <f ca="1">IFERROR(__xludf.DUMMYFUNCTION("""COMPUTED_VALUE"""),"AJUSTE COSECHA 2026")</f>
        <v>AJUSTE COSECHA 2026</v>
      </c>
      <c r="N1555" s="2"/>
      <c r="O1555" s="2" t="str">
        <f ca="1">IFERROR(__xludf.DUMMYFUNCTION("""COMPUTED_VALUE"""),"Rectificado")</f>
        <v>Rectificado</v>
      </c>
      <c r="P1555" s="2" t="str">
        <f ca="1">IFERROR(__xludf.DUMMYFUNCTION("""COMPUTED_VALUE"""),"Fermentando")</f>
        <v>Fermentando</v>
      </c>
      <c r="Q1555" s="2" t="b">
        <f ca="1">IFERROR(__xludf.DUMMYFUNCTION("""COMPUTED_VALUE"""),TRUE)</f>
        <v>1</v>
      </c>
      <c r="R1555" s="2" t="str">
        <f ca="1">IFERROR(__xludf.DUMMYFUNCTION("""COMPUTED_VALUE"""),"Fermentando")</f>
        <v>Fermentando</v>
      </c>
      <c r="S1555" s="2"/>
      <c r="T1555" s="2"/>
      <c r="U1555" s="2" t="str">
        <f ca="1">IFERROR(__xludf.DUMMYFUNCTION("""COMPUTED_VALUE"""),"1")</f>
        <v>1</v>
      </c>
    </row>
    <row r="1556" spans="1:21" x14ac:dyDescent="0.25">
      <c r="A1556" s="2" t="str">
        <f ca="1">IFERROR(__xludf.DUMMYFUNCTION("""COMPUTED_VALUE"""),"beb78638")</f>
        <v>beb78638</v>
      </c>
      <c r="B1556" s="5">
        <f ca="1">IFERROR(__xludf.DUMMYFUNCTION("""COMPUTED_VALUE"""),46126.7873032407)</f>
        <v>46126.787303240701</v>
      </c>
      <c r="C1556" s="2" t="str">
        <f ca="1">IFERROR(__xludf.DUMMYFUNCTION("""COMPUTED_VALUE"""),"bb84046b")</f>
        <v>bb84046b</v>
      </c>
      <c r="D1556" s="2">
        <f ca="1">IFERROR(__xludf.DUMMYFUNCTION("""COMPUTED_VALUE"""),68)</f>
        <v>68</v>
      </c>
      <c r="E1556" s="2" t="str">
        <f ca="1">IFERROR(__xludf.DUMMYFUNCTION("""COMPUTED_VALUE"""),"Aspirant  Malbec Rect")</f>
        <v>Aspirant  Malbec Rect</v>
      </c>
      <c r="F1556" s="2">
        <f ca="1">IFERROR(__xludf.DUMMYFUNCTION("""COMPUTED_VALUE"""),-13000)</f>
        <v>-13000</v>
      </c>
      <c r="G1556" s="2">
        <f ca="1">IFERROR(__xludf.DUMMYFUNCTION("""COMPUTED_VALUE"""),500)</f>
        <v>500</v>
      </c>
      <c r="H1556" s="2" t="str">
        <f ca="1">IFERROR(__xludf.DUMMYFUNCTION("""COMPUTED_VALUE"""),"d9b8f530")</f>
        <v>d9b8f530</v>
      </c>
      <c r="I1556" s="2" t="str">
        <f ca="1">IFERROR(__xludf.DUMMYFUNCTION("""COMPUTED_VALUE"""),"AJUSTE COSECHA 2026")</f>
        <v>AJUSTE COSECHA 2026</v>
      </c>
      <c r="J1556" s="2">
        <f ca="1">IFERROR(__xludf.DUMMYFUNCTION("""COMPUTED_VALUE"""),70100)</f>
        <v>70100</v>
      </c>
      <c r="K1556" s="2">
        <f ca="1">IFERROR(__xludf.DUMMYFUNCTION("""COMPUTED_VALUE"""),57100)</f>
        <v>57100</v>
      </c>
      <c r="L1556" s="2" t="str">
        <f ca="1">IFERROR(__xludf.DUMMYFUNCTION("""COMPUTED_VALUE"""),"d774ca96")</f>
        <v>d774ca96</v>
      </c>
      <c r="M1556" s="2" t="str">
        <f ca="1">IFERROR(__xludf.DUMMYFUNCTION("""COMPUTED_VALUE"""),"AJUSTE COSECHA 2026")</f>
        <v>AJUSTE COSECHA 2026</v>
      </c>
      <c r="N1556" s="2"/>
      <c r="O1556" s="2" t="str">
        <f ca="1">IFERROR(__xludf.DUMMYFUNCTION("""COMPUTED_VALUE"""),"Rectificado")</f>
        <v>Rectificado</v>
      </c>
      <c r="P1556" s="2" t="str">
        <f ca="1">IFERROR(__xludf.DUMMYFUNCTION("""COMPUTED_VALUE"""),"Fermentando")</f>
        <v>Fermentando</v>
      </c>
      <c r="Q1556" s="2" t="b">
        <f ca="1">IFERROR(__xludf.DUMMYFUNCTION("""COMPUTED_VALUE"""),TRUE)</f>
        <v>1</v>
      </c>
      <c r="R1556" s="2" t="str">
        <f ca="1">IFERROR(__xludf.DUMMYFUNCTION("""COMPUTED_VALUE"""),"Fermentando")</f>
        <v>Fermentando</v>
      </c>
      <c r="S1556" s="2"/>
      <c r="T1556" s="2"/>
      <c r="U1556" s="2" t="str">
        <f ca="1">IFERROR(__xludf.DUMMYFUNCTION("""COMPUTED_VALUE"""),"1")</f>
        <v>1</v>
      </c>
    </row>
    <row r="1557" spans="1:21" x14ac:dyDescent="0.25">
      <c r="A1557" s="2" t="str">
        <f ca="1">IFERROR(__xludf.DUMMYFUNCTION("""COMPUTED_VALUE"""),"ddfab42b")</f>
        <v>ddfab42b</v>
      </c>
      <c r="B1557" s="5">
        <f ca="1">IFERROR(__xludf.DUMMYFUNCTION("""COMPUTED_VALUE"""),46126.8114814814)</f>
        <v>46126.811481481403</v>
      </c>
      <c r="C1557" s="2" t="str">
        <f ca="1">IFERROR(__xludf.DUMMYFUNCTION("""COMPUTED_VALUE"""),"00da080a")</f>
        <v>00da080a</v>
      </c>
      <c r="D1557" s="2">
        <f ca="1">IFERROR(__xludf.DUMMYFUNCTION("""COMPUTED_VALUE"""),87)</f>
        <v>87</v>
      </c>
      <c r="E1557" s="2" t="str">
        <f ca="1">IFERROR(__xludf.DUMMYFUNCTION("""COMPUTED_VALUE"""),"Bonarda c/criolla")</f>
        <v>Bonarda c/criolla</v>
      </c>
      <c r="F1557" s="2">
        <f ca="1">IFERROR(__xludf.DUMMYFUNCTION("""COMPUTED_VALUE"""),-5000)</f>
        <v>-5000</v>
      </c>
      <c r="G1557" s="2">
        <f ca="1">IFERROR(__xludf.DUMMYFUNCTION("""COMPUTED_VALUE"""),9)</f>
        <v>9</v>
      </c>
      <c r="H1557" s="2" t="str">
        <f ca="1">IFERROR(__xludf.DUMMYFUNCTION("""COMPUTED_VALUE"""),"b264a03d")</f>
        <v>b264a03d</v>
      </c>
      <c r="I1557" s="2" t="str">
        <f ca="1">IFERROR(__xludf.DUMMYFUNCTION("""COMPUTED_VALUE"""),"Criolla")</f>
        <v>Criolla</v>
      </c>
      <c r="J1557" s="2">
        <f ca="1">IFERROR(__xludf.DUMMYFUNCTION("""COMPUTED_VALUE"""),17500)</f>
        <v>17500</v>
      </c>
      <c r="K1557" s="2">
        <f ca="1">IFERROR(__xludf.DUMMYFUNCTION("""COMPUTED_VALUE"""),12500)</f>
        <v>12500</v>
      </c>
      <c r="L1557" s="2" t="str">
        <f ca="1">IFERROR(__xludf.DUMMYFUNCTION("""COMPUTED_VALUE"""),"32422fdf")</f>
        <v>32422fdf</v>
      </c>
      <c r="M1557" s="2" t="str">
        <f ca="1">IFERROR(__xludf.DUMMYFUNCTION("""COMPUTED_VALUE"""),"Bonarda c/criolla")</f>
        <v>Bonarda c/criolla</v>
      </c>
      <c r="N1557" s="2"/>
      <c r="O1557" s="2" t="str">
        <f ca="1">IFERROR(__xludf.DUMMYFUNCTION("""COMPUTED_VALUE"""),"Fermentando")</f>
        <v>Fermentando</v>
      </c>
      <c r="P1557" s="2" t="str">
        <f ca="1">IFERROR(__xludf.DUMMYFUNCTION("""COMPUTED_VALUE"""),"Mosto")</f>
        <v>Mosto</v>
      </c>
      <c r="Q1557" s="2" t="b">
        <f ca="1">IFERROR(__xludf.DUMMYFUNCTION("""COMPUTED_VALUE"""),FALSE)</f>
        <v>0</v>
      </c>
      <c r="R1557" s="2" t="str">
        <f ca="1">IFERROR(__xludf.DUMMYFUNCTION("""COMPUTED_VALUE"""),"Fermentando")</f>
        <v>Fermentando</v>
      </c>
      <c r="S1557" s="2"/>
      <c r="T1557" s="2"/>
      <c r="U1557" s="2"/>
    </row>
    <row r="1558" spans="1:21" x14ac:dyDescent="0.25">
      <c r="A1558" s="2" t="str">
        <f ca="1">IFERROR(__xludf.DUMMYFUNCTION("""COMPUTED_VALUE"""),"d56929ea")</f>
        <v>d56929ea</v>
      </c>
      <c r="B1558" s="5">
        <f ca="1">IFERROR(__xludf.DUMMYFUNCTION("""COMPUTED_VALUE"""),46126.8214467592)</f>
        <v>46126.821446759197</v>
      </c>
      <c r="C1558" s="2" t="str">
        <f ca="1">IFERROR(__xludf.DUMMYFUNCTION("""COMPUTED_VALUE"""),"32422fdf")</f>
        <v>32422fdf</v>
      </c>
      <c r="D1558" s="2">
        <f ca="1">IFERROR(__xludf.DUMMYFUNCTION("""COMPUTED_VALUE"""),9)</f>
        <v>9</v>
      </c>
      <c r="E1558" s="2" t="str">
        <f ca="1">IFERROR(__xludf.DUMMYFUNCTION("""COMPUTED_VALUE"""),"Criolla")</f>
        <v>Criolla</v>
      </c>
      <c r="F1558" s="2">
        <f ca="1">IFERROR(__xludf.DUMMYFUNCTION("""COMPUTED_VALUE"""),12500)</f>
        <v>12500</v>
      </c>
      <c r="G1558" s="2">
        <f ca="1">IFERROR(__xludf.DUMMYFUNCTION("""COMPUTED_VALUE"""),77)</f>
        <v>77</v>
      </c>
      <c r="H1558" s="2"/>
      <c r="I1558" s="2"/>
      <c r="J1558" s="2">
        <f ca="1">IFERROR(__xludf.DUMMYFUNCTION("""COMPUTED_VALUE"""),0)</f>
        <v>0</v>
      </c>
      <c r="K1558" s="2">
        <f ca="1">IFERROR(__xludf.DUMMYFUNCTION("""COMPUTED_VALUE"""),12500)</f>
        <v>12500</v>
      </c>
      <c r="L1558" s="2" t="str">
        <f ca="1">IFERROR(__xludf.DUMMYFUNCTION("""COMPUTED_VALUE"""),"989bf939")</f>
        <v>989bf939</v>
      </c>
      <c r="M1558" s="2" t="str">
        <f ca="1">IFERROR(__xludf.DUMMYFUNCTION("""COMPUTED_VALUE"""),"Criolla")</f>
        <v>Criolla</v>
      </c>
      <c r="N1558" s="2"/>
      <c r="O1558" s="2" t="str">
        <f ca="1">IFERROR(__xludf.DUMMYFUNCTION("""COMPUTED_VALUE"""),"Fermentando")</f>
        <v>Fermentando</v>
      </c>
      <c r="P1558" s="2"/>
      <c r="Q1558" s="2" t="b">
        <f ca="1">IFERROR(__xludf.DUMMYFUNCTION("""COMPUTED_VALUE"""),FALSE)</f>
        <v>0</v>
      </c>
      <c r="R1558" s="2" t="str">
        <f ca="1">IFERROR(__xludf.DUMMYFUNCTION("""COMPUTED_VALUE"""),"Fermentando")</f>
        <v>Fermentando</v>
      </c>
      <c r="S1558" s="2"/>
      <c r="T1558" s="2"/>
      <c r="U1558" s="2"/>
    </row>
    <row r="1559" spans="1:21" x14ac:dyDescent="0.25">
      <c r="A1559" s="2" t="str">
        <f ca="1">IFERROR(__xludf.DUMMYFUNCTION("""COMPUTED_VALUE"""),"7815837b")</f>
        <v>7815837b</v>
      </c>
      <c r="B1559" s="5">
        <f ca="1">IFERROR(__xludf.DUMMYFUNCTION("""COMPUTED_VALUE"""),46126.8311574074)</f>
        <v>46126.831157407403</v>
      </c>
      <c r="C1559" s="2" t="str">
        <f ca="1">IFERROR(__xludf.DUMMYFUNCTION("""COMPUTED_VALUE"""),"4c079f49")</f>
        <v>4c079f49</v>
      </c>
      <c r="D1559" s="2">
        <f ca="1">IFERROR(__xludf.DUMMYFUNCTION("""COMPUTED_VALUE"""),24)</f>
        <v>24</v>
      </c>
      <c r="E1559" s="2" t="str">
        <f ca="1">IFERROR(__xludf.DUMMYFUNCTION("""COMPUTED_VALUE"""),"Malbec pc")</f>
        <v>Malbec pc</v>
      </c>
      <c r="F1559" s="2">
        <f ca="1">IFERROR(__xludf.DUMMYFUNCTION("""COMPUTED_VALUE"""),-15000)</f>
        <v>-15000</v>
      </c>
      <c r="G1559" s="2">
        <f ca="1">IFERROR(__xludf.DUMMYFUNCTION("""COMPUTED_VALUE"""),500)</f>
        <v>500</v>
      </c>
      <c r="H1559" s="2" t="str">
        <f ca="1">IFERROR(__xludf.DUMMYFUNCTION("""COMPUTED_VALUE"""),"d774ca96")</f>
        <v>d774ca96</v>
      </c>
      <c r="I1559" s="2" t="str">
        <f ca="1">IFERROR(__xludf.DUMMYFUNCTION("""COMPUTED_VALUE"""),"AJUSTE COSECHA 2026")</f>
        <v>AJUSTE COSECHA 2026</v>
      </c>
      <c r="J1559" s="2">
        <f ca="1">IFERROR(__xludf.DUMMYFUNCTION("""COMPUTED_VALUE"""),57100)</f>
        <v>57100</v>
      </c>
      <c r="K1559" s="2">
        <f ca="1">IFERROR(__xludf.DUMMYFUNCTION("""COMPUTED_VALUE"""),42100)</f>
        <v>42100</v>
      </c>
      <c r="L1559" s="2" t="str">
        <f ca="1">IFERROR(__xludf.DUMMYFUNCTION("""COMPUTED_VALUE"""),"4346a623")</f>
        <v>4346a623</v>
      </c>
      <c r="M1559" s="2" t="str">
        <f ca="1">IFERROR(__xludf.DUMMYFUNCTION("""COMPUTED_VALUE"""),"AJUSTE COSECHA 2026")</f>
        <v>AJUSTE COSECHA 2026</v>
      </c>
      <c r="N1559" s="2"/>
      <c r="O1559" s="2" t="str">
        <f ca="1">IFERROR(__xludf.DUMMYFUNCTION("""COMPUTED_VALUE"""),"Descubada")</f>
        <v>Descubada</v>
      </c>
      <c r="P1559" s="2" t="str">
        <f ca="1">IFERROR(__xludf.DUMMYFUNCTION("""COMPUTED_VALUE"""),"Fermentando")</f>
        <v>Fermentando</v>
      </c>
      <c r="Q1559" s="2" t="b">
        <f ca="1">IFERROR(__xludf.DUMMYFUNCTION("""COMPUTED_VALUE"""),TRUE)</f>
        <v>1</v>
      </c>
      <c r="R1559" s="2" t="str">
        <f ca="1">IFERROR(__xludf.DUMMYFUNCTION("""COMPUTED_VALUE"""),"Fermentando")</f>
        <v>Fermentando</v>
      </c>
      <c r="S1559" s="2"/>
      <c r="T1559" s="2"/>
      <c r="U1559" s="2" t="str">
        <f ca="1">IFERROR(__xludf.DUMMYFUNCTION("""COMPUTED_VALUE"""),"1")</f>
        <v>1</v>
      </c>
    </row>
    <row r="1560" spans="1:21" x14ac:dyDescent="0.25">
      <c r="A1560" s="2" t="str">
        <f ca="1">IFERROR(__xludf.DUMMYFUNCTION("""COMPUTED_VALUE"""),"2652547a")</f>
        <v>2652547a</v>
      </c>
      <c r="B1560" s="5">
        <f ca="1">IFERROR(__xludf.DUMMYFUNCTION("""COMPUTED_VALUE"""),46126.8321412037)</f>
        <v>46126.832141203697</v>
      </c>
      <c r="C1560" s="2" t="str">
        <f ca="1">IFERROR(__xludf.DUMMYFUNCTION("""COMPUTED_VALUE"""),"fa9988f0")</f>
        <v>fa9988f0</v>
      </c>
      <c r="D1560" s="2">
        <f ca="1">IFERROR(__xludf.DUMMYFUNCTION("""COMPUTED_VALUE"""),50)</f>
        <v>50</v>
      </c>
      <c r="E1560" s="2" t="str">
        <f ca="1">IFERROR(__xludf.DUMMYFUNCTION("""COMPUTED_VALUE"""),"Malbec")</f>
        <v>Malbec</v>
      </c>
      <c r="F1560" s="2">
        <f ca="1">IFERROR(__xludf.DUMMYFUNCTION("""COMPUTED_VALUE"""),-1100)</f>
        <v>-1100</v>
      </c>
      <c r="G1560" s="2">
        <f ca="1">IFERROR(__xludf.DUMMYFUNCTION("""COMPUTED_VALUE"""),500)</f>
        <v>500</v>
      </c>
      <c r="H1560" s="2" t="str">
        <f ca="1">IFERROR(__xludf.DUMMYFUNCTION("""COMPUTED_VALUE"""),"4346a623")</f>
        <v>4346a623</v>
      </c>
      <c r="I1560" s="2" t="str">
        <f ca="1">IFERROR(__xludf.DUMMYFUNCTION("""COMPUTED_VALUE"""),"AJUSTE COSECHA 2026")</f>
        <v>AJUSTE COSECHA 2026</v>
      </c>
      <c r="J1560" s="2">
        <f ca="1">IFERROR(__xludf.DUMMYFUNCTION("""COMPUTED_VALUE"""),42100)</f>
        <v>42100</v>
      </c>
      <c r="K1560" s="2">
        <f ca="1">IFERROR(__xludf.DUMMYFUNCTION("""COMPUTED_VALUE"""),41000)</f>
        <v>41000</v>
      </c>
      <c r="L1560" s="2" t="str">
        <f ca="1">IFERROR(__xludf.DUMMYFUNCTION("""COMPUTED_VALUE"""),"c7326218")</f>
        <v>c7326218</v>
      </c>
      <c r="M1560" s="2" t="str">
        <f ca="1">IFERROR(__xludf.DUMMYFUNCTION("""COMPUTED_VALUE"""),"AJUSTE COSECHA 2026")</f>
        <v>AJUSTE COSECHA 2026</v>
      </c>
      <c r="N1560" s="2"/>
      <c r="O1560" s="2" t="str">
        <f ca="1">IFERROR(__xludf.DUMMYFUNCTION("""COMPUTED_VALUE"""),"Terminado")</f>
        <v>Terminado</v>
      </c>
      <c r="P1560" s="2" t="str">
        <f ca="1">IFERROR(__xludf.DUMMYFUNCTION("""COMPUTED_VALUE"""),"Fermentando")</f>
        <v>Fermentando</v>
      </c>
      <c r="Q1560" s="2" t="b">
        <f ca="1">IFERROR(__xludf.DUMMYFUNCTION("""COMPUTED_VALUE"""),TRUE)</f>
        <v>1</v>
      </c>
      <c r="R1560" s="2" t="str">
        <f ca="1">IFERROR(__xludf.DUMMYFUNCTION("""COMPUTED_VALUE"""),"Fermentando")</f>
        <v>Fermentando</v>
      </c>
      <c r="S1560" s="2"/>
      <c r="T1560" s="2"/>
      <c r="U1560" s="2" t="str">
        <f ca="1">IFERROR(__xludf.DUMMYFUNCTION("""COMPUTED_VALUE"""),"1")</f>
        <v>1</v>
      </c>
    </row>
    <row r="1561" spans="1:21" x14ac:dyDescent="0.25">
      <c r="A1561" s="2" t="str">
        <f ca="1">IFERROR(__xludf.DUMMYFUNCTION("""COMPUTED_VALUE"""),"2f7bc4f4")</f>
        <v>2f7bc4f4</v>
      </c>
      <c r="B1561" s="5">
        <f ca="1">IFERROR(__xludf.DUMMYFUNCTION("""COMPUTED_VALUE"""),46126.8328935184)</f>
        <v>46126.832893518498</v>
      </c>
      <c r="C1561" s="2" t="str">
        <f ca="1">IFERROR(__xludf.DUMMYFUNCTION("""COMPUTED_VALUE"""),"d381a136")</f>
        <v>d381a136</v>
      </c>
      <c r="D1561" s="2">
        <f ca="1">IFERROR(__xludf.DUMMYFUNCTION("""COMPUTED_VALUE"""),66)</f>
        <v>66</v>
      </c>
      <c r="E1561" s="2" t="str">
        <f ca="1">IFERROR(__xludf.DUMMYFUNCTION("""COMPUTED_VALUE"""),"Malbec PC")</f>
        <v>Malbec PC</v>
      </c>
      <c r="F1561" s="2">
        <f ca="1">IFERROR(__xludf.DUMMYFUNCTION("""COMPUTED_VALUE"""),4400)</f>
        <v>4400</v>
      </c>
      <c r="G1561" s="2">
        <f ca="1">IFERROR(__xludf.DUMMYFUNCTION("""COMPUTED_VALUE"""),500)</f>
        <v>500</v>
      </c>
      <c r="H1561" s="2" t="str">
        <f ca="1">IFERROR(__xludf.DUMMYFUNCTION("""COMPUTED_VALUE"""),"c7326218")</f>
        <v>c7326218</v>
      </c>
      <c r="I1561" s="2" t="str">
        <f ca="1">IFERROR(__xludf.DUMMYFUNCTION("""COMPUTED_VALUE"""),"AJUSTE COSECHA 2026")</f>
        <v>AJUSTE COSECHA 2026</v>
      </c>
      <c r="J1561" s="2">
        <f ca="1">IFERROR(__xludf.DUMMYFUNCTION("""COMPUTED_VALUE"""),41000)</f>
        <v>41000</v>
      </c>
      <c r="K1561" s="2">
        <f ca="1">IFERROR(__xludf.DUMMYFUNCTION("""COMPUTED_VALUE"""),45400)</f>
        <v>45400</v>
      </c>
      <c r="L1561" s="2" t="str">
        <f ca="1">IFERROR(__xludf.DUMMYFUNCTION("""COMPUTED_VALUE"""),"edb1f705")</f>
        <v>edb1f705</v>
      </c>
      <c r="M1561" s="2" t="str">
        <f ca="1">IFERROR(__xludf.DUMMYFUNCTION("""COMPUTED_VALUE"""),"AJUSTE COSECHA 2026")</f>
        <v>AJUSTE COSECHA 2026</v>
      </c>
      <c r="N1561" s="2"/>
      <c r="O1561" s="2" t="str">
        <f ca="1">IFERROR(__xludf.DUMMYFUNCTION("""COMPUTED_VALUE"""),"Fermentando")</f>
        <v>Fermentando</v>
      </c>
      <c r="P1561" s="2" t="str">
        <f ca="1">IFERROR(__xludf.DUMMYFUNCTION("""COMPUTED_VALUE"""),"Fermentando")</f>
        <v>Fermentando</v>
      </c>
      <c r="Q1561" s="2" t="b">
        <f ca="1">IFERROR(__xludf.DUMMYFUNCTION("""COMPUTED_VALUE"""),TRUE)</f>
        <v>1</v>
      </c>
      <c r="R1561" s="2" t="str">
        <f ca="1">IFERROR(__xludf.DUMMYFUNCTION("""COMPUTED_VALUE"""),"Fermentando")</f>
        <v>Fermentando</v>
      </c>
      <c r="S1561" s="2"/>
      <c r="T1561" s="2"/>
      <c r="U1561" s="2" t="str">
        <f ca="1">IFERROR(__xludf.DUMMYFUNCTION("""COMPUTED_VALUE"""),"1")</f>
        <v>1</v>
      </c>
    </row>
    <row r="1562" spans="1:21" x14ac:dyDescent="0.25">
      <c r="A1562" s="2" t="str">
        <f ca="1">IFERROR(__xludf.DUMMYFUNCTION("""COMPUTED_VALUE"""),"3c6dbff9")</f>
        <v>3c6dbff9</v>
      </c>
      <c r="B1562" s="5">
        <f ca="1">IFERROR(__xludf.DUMMYFUNCTION("""COMPUTED_VALUE"""),46126.8336458333)</f>
        <v>46126.8336458333</v>
      </c>
      <c r="C1562" s="2" t="str">
        <f ca="1">IFERROR(__xludf.DUMMYFUNCTION("""COMPUTED_VALUE"""),"aed16735")</f>
        <v>aed16735</v>
      </c>
      <c r="D1562" s="2">
        <f ca="1">IFERROR(__xludf.DUMMYFUNCTION("""COMPUTED_VALUE"""),86)</f>
        <v>86</v>
      </c>
      <c r="E1562" s="2" t="str">
        <f ca="1">IFERROR(__xludf.DUMMYFUNCTION("""COMPUTED_VALUE"""),"Bonarda PC")</f>
        <v>Bonarda PC</v>
      </c>
      <c r="F1562" s="2">
        <f ca="1">IFERROR(__xludf.DUMMYFUNCTION("""COMPUTED_VALUE"""),-11500)</f>
        <v>-11500</v>
      </c>
      <c r="G1562" s="2">
        <f ca="1">IFERROR(__xludf.DUMMYFUNCTION("""COMPUTED_VALUE"""),500)</f>
        <v>500</v>
      </c>
      <c r="H1562" s="2" t="str">
        <f ca="1">IFERROR(__xludf.DUMMYFUNCTION("""COMPUTED_VALUE"""),"edb1f705")</f>
        <v>edb1f705</v>
      </c>
      <c r="I1562" s="2" t="str">
        <f ca="1">IFERROR(__xludf.DUMMYFUNCTION("""COMPUTED_VALUE"""),"AJUSTE COSECHA 2026")</f>
        <v>AJUSTE COSECHA 2026</v>
      </c>
      <c r="J1562" s="2">
        <f ca="1">IFERROR(__xludf.DUMMYFUNCTION("""COMPUTED_VALUE"""),45400)</f>
        <v>45400</v>
      </c>
      <c r="K1562" s="2">
        <f ca="1">IFERROR(__xludf.DUMMYFUNCTION("""COMPUTED_VALUE"""),33900)</f>
        <v>33900</v>
      </c>
      <c r="L1562" s="2" t="str">
        <f ca="1">IFERROR(__xludf.DUMMYFUNCTION("""COMPUTED_VALUE"""),"4db4b4ac")</f>
        <v>4db4b4ac</v>
      </c>
      <c r="M1562" s="2" t="str">
        <f ca="1">IFERROR(__xludf.DUMMYFUNCTION("""COMPUTED_VALUE"""),"AJUSTE COSECHA 2026")</f>
        <v>AJUSTE COSECHA 2026</v>
      </c>
      <c r="N1562" s="2"/>
      <c r="O1562" s="2" t="str">
        <f ca="1">IFERROR(__xludf.DUMMYFUNCTION("""COMPUTED_VALUE"""),"Fermentando")</f>
        <v>Fermentando</v>
      </c>
      <c r="P1562" s="2" t="str">
        <f ca="1">IFERROR(__xludf.DUMMYFUNCTION("""COMPUTED_VALUE"""),"Fermentando")</f>
        <v>Fermentando</v>
      </c>
      <c r="Q1562" s="2" t="b">
        <f ca="1">IFERROR(__xludf.DUMMYFUNCTION("""COMPUTED_VALUE"""),TRUE)</f>
        <v>1</v>
      </c>
      <c r="R1562" s="2" t="str">
        <f ca="1">IFERROR(__xludf.DUMMYFUNCTION("""COMPUTED_VALUE"""),"Fermentando")</f>
        <v>Fermentando</v>
      </c>
      <c r="S1562" s="2"/>
      <c r="T1562" s="2"/>
      <c r="U1562" s="2" t="str">
        <f ca="1">IFERROR(__xludf.DUMMYFUNCTION("""COMPUTED_VALUE"""),"1")</f>
        <v>1</v>
      </c>
    </row>
    <row r="1563" spans="1:21" x14ac:dyDescent="0.25">
      <c r="A1563" s="2" t="str">
        <f ca="1">IFERROR(__xludf.DUMMYFUNCTION("""COMPUTED_VALUE"""),"13c82215")</f>
        <v>13c82215</v>
      </c>
      <c r="B1563" s="5">
        <f ca="1">IFERROR(__xludf.DUMMYFUNCTION("""COMPUTED_VALUE"""),46126.8348842592)</f>
        <v>46126.834884259202</v>
      </c>
      <c r="C1563" s="2" t="str">
        <f ca="1">IFERROR(__xludf.DUMMYFUNCTION("""COMPUTED_VALUE"""),"28e5e08c")</f>
        <v>28e5e08c</v>
      </c>
      <c r="D1563" s="2">
        <f ca="1">IFERROR(__xludf.DUMMYFUNCTION("""COMPUTED_VALUE"""),10)</f>
        <v>10</v>
      </c>
      <c r="E1563" s="2" t="str">
        <f ca="1">IFERROR(__xludf.DUMMYFUNCTION("""COMPUTED_VALUE"""),"Cabernet Sauvignon Rect")</f>
        <v>Cabernet Sauvignon Rect</v>
      </c>
      <c r="F1563" s="2">
        <f ca="1">IFERROR(__xludf.DUMMYFUNCTION("""COMPUTED_VALUE"""),-10000)</f>
        <v>-10000</v>
      </c>
      <c r="G1563" s="2">
        <f ca="1">IFERROR(__xludf.DUMMYFUNCTION("""COMPUTED_VALUE"""),500)</f>
        <v>500</v>
      </c>
      <c r="H1563" s="2" t="str">
        <f ca="1">IFERROR(__xludf.DUMMYFUNCTION("""COMPUTED_VALUE"""),"4db4b4ac")</f>
        <v>4db4b4ac</v>
      </c>
      <c r="I1563" s="2" t="str">
        <f ca="1">IFERROR(__xludf.DUMMYFUNCTION("""COMPUTED_VALUE"""),"AJUSTE COSECHA 2026")</f>
        <v>AJUSTE COSECHA 2026</v>
      </c>
      <c r="J1563" s="2">
        <f ca="1">IFERROR(__xludf.DUMMYFUNCTION("""COMPUTED_VALUE"""),33900)</f>
        <v>33900</v>
      </c>
      <c r="K1563" s="2">
        <f ca="1">IFERROR(__xludf.DUMMYFUNCTION("""COMPUTED_VALUE"""),23900)</f>
        <v>23900</v>
      </c>
      <c r="L1563" s="2" t="str">
        <f ca="1">IFERROR(__xludf.DUMMYFUNCTION("""COMPUTED_VALUE"""),"8df72b57")</f>
        <v>8df72b57</v>
      </c>
      <c r="M1563" s="2" t="str">
        <f ca="1">IFERROR(__xludf.DUMMYFUNCTION("""COMPUTED_VALUE"""),"AJUSTE COSECHA 2026")</f>
        <v>AJUSTE COSECHA 2026</v>
      </c>
      <c r="N1563" s="2"/>
      <c r="O1563" s="2" t="str">
        <f ca="1">IFERROR(__xludf.DUMMYFUNCTION("""COMPUTED_VALUE"""),"Rectificado")</f>
        <v>Rectificado</v>
      </c>
      <c r="P1563" s="2" t="str">
        <f ca="1">IFERROR(__xludf.DUMMYFUNCTION("""COMPUTED_VALUE"""),"Fermentando")</f>
        <v>Fermentando</v>
      </c>
      <c r="Q1563" s="2" t="b">
        <f ca="1">IFERROR(__xludf.DUMMYFUNCTION("""COMPUTED_VALUE"""),TRUE)</f>
        <v>1</v>
      </c>
      <c r="R1563" s="2" t="str">
        <f ca="1">IFERROR(__xludf.DUMMYFUNCTION("""COMPUTED_VALUE"""),"Fermentando")</f>
        <v>Fermentando</v>
      </c>
      <c r="S1563" s="2"/>
      <c r="T1563" s="2"/>
      <c r="U1563" s="2" t="str">
        <f ca="1">IFERROR(__xludf.DUMMYFUNCTION("""COMPUTED_VALUE"""),"1")</f>
        <v>1</v>
      </c>
    </row>
    <row r="1564" spans="1:21" x14ac:dyDescent="0.25">
      <c r="A1564" s="2" t="str">
        <f ca="1">IFERROR(__xludf.DUMMYFUNCTION("""COMPUTED_VALUE"""),"f13ed167")</f>
        <v>f13ed167</v>
      </c>
      <c r="B1564" s="5">
        <f ca="1">IFERROR(__xludf.DUMMYFUNCTION("""COMPUTED_VALUE"""),46126.8354861111)</f>
        <v>46126.8354861111</v>
      </c>
      <c r="C1564" s="2" t="str">
        <f ca="1">IFERROR(__xludf.DUMMYFUNCTION("""COMPUTED_VALUE"""),"fed1f4a1")</f>
        <v>fed1f4a1</v>
      </c>
      <c r="D1564" s="2">
        <f ca="1">IFERROR(__xludf.DUMMYFUNCTION("""COMPUTED_VALUE"""),31)</f>
        <v>31</v>
      </c>
      <c r="E1564" s="2" t="str">
        <f ca="1">IFERROR(__xludf.DUMMYFUNCTION("""COMPUTED_VALUE"""),"Torrontes")</f>
        <v>Torrontes</v>
      </c>
      <c r="F1564" s="2">
        <f ca="1">IFERROR(__xludf.DUMMYFUNCTION("""COMPUTED_VALUE"""),-700)</f>
        <v>-700</v>
      </c>
      <c r="G1564" s="2">
        <f ca="1">IFERROR(__xludf.DUMMYFUNCTION("""COMPUTED_VALUE"""),51)</f>
        <v>51</v>
      </c>
      <c r="H1564" s="2" t="str">
        <f ca="1">IFERROR(__xludf.DUMMYFUNCTION("""COMPUTED_VALUE"""),"239e649e")</f>
        <v>239e649e</v>
      </c>
      <c r="I1564" s="2" t="str">
        <f ca="1">IFERROR(__xludf.DUMMYFUNCTION("""COMPUTED_VALUE"""),"Chardonnay")</f>
        <v>Chardonnay</v>
      </c>
      <c r="J1564" s="2">
        <f ca="1">IFERROR(__xludf.DUMMYFUNCTION("""COMPUTED_VALUE"""),3900)</f>
        <v>3900</v>
      </c>
      <c r="K1564" s="2">
        <f ca="1">IFERROR(__xludf.DUMMYFUNCTION("""COMPUTED_VALUE"""),3200)</f>
        <v>3200</v>
      </c>
      <c r="L1564" s="2" t="str">
        <f ca="1">IFERROR(__xludf.DUMMYFUNCTION("""COMPUTED_VALUE"""),"383a8d69")</f>
        <v>383a8d69</v>
      </c>
      <c r="M1564" s="2" t="str">
        <f ca="1">IFERROR(__xludf.DUMMYFUNCTION("""COMPUTED_VALUE"""),"Chardonnay")</f>
        <v>Chardonnay</v>
      </c>
      <c r="N1564" s="2"/>
      <c r="O1564" s="2" t="str">
        <f ca="1">IFERROR(__xludf.DUMMYFUNCTION("""COMPUTED_VALUE"""),"Descubada")</f>
        <v>Descubada</v>
      </c>
      <c r="P1564" s="2" t="str">
        <f ca="1">IFERROR(__xludf.DUMMYFUNCTION("""COMPUTED_VALUE"""),"Descubada")</f>
        <v>Descubada</v>
      </c>
      <c r="Q1564" s="2" t="b">
        <f ca="1">IFERROR(__xludf.DUMMYFUNCTION("""COMPUTED_VALUE"""),TRUE)</f>
        <v>1</v>
      </c>
      <c r="R1564" s="2" t="str">
        <f ca="1">IFERROR(__xludf.DUMMYFUNCTION("""COMPUTED_VALUE"""),"Descubada")</f>
        <v>Descubada</v>
      </c>
      <c r="S1564" s="2"/>
      <c r="T1564" s="2"/>
      <c r="U1564" s="2" t="str">
        <f ca="1">IFERROR(__xludf.DUMMYFUNCTION("""COMPUTED_VALUE"""),"1")</f>
        <v>1</v>
      </c>
    </row>
    <row r="1565" spans="1:21" x14ac:dyDescent="0.25">
      <c r="A1565" s="2" t="str">
        <f ca="1">IFERROR(__xludf.DUMMYFUNCTION("""COMPUTED_VALUE"""),"bf9f31ac")</f>
        <v>bf9f31ac</v>
      </c>
      <c r="B1565" s="5">
        <f ca="1">IFERROR(__xludf.DUMMYFUNCTION("""COMPUTED_VALUE"""),46126.8368634259)</f>
        <v>46126.836863425902</v>
      </c>
      <c r="C1565" s="2" t="str">
        <f ca="1">IFERROR(__xludf.DUMMYFUNCTION("""COMPUTED_VALUE"""),"4c079f49")</f>
        <v>4c079f49</v>
      </c>
      <c r="D1565" s="2">
        <f ca="1">IFERROR(__xludf.DUMMYFUNCTION("""COMPUTED_VALUE"""),24)</f>
        <v>24</v>
      </c>
      <c r="E1565" s="2" t="str">
        <f ca="1">IFERROR(__xludf.DUMMYFUNCTION("""COMPUTED_VALUE"""),"Malbec pc")</f>
        <v>Malbec pc</v>
      </c>
      <c r="F1565" s="2">
        <f ca="1">IFERROR(__xludf.DUMMYFUNCTION("""COMPUTED_VALUE"""),6600)</f>
        <v>6600</v>
      </c>
      <c r="G1565" s="2">
        <f ca="1">IFERROR(__xludf.DUMMYFUNCTION("""COMPUTED_VALUE"""),500)</f>
        <v>500</v>
      </c>
      <c r="H1565" s="2" t="str">
        <f ca="1">IFERROR(__xludf.DUMMYFUNCTION("""COMPUTED_VALUE"""),"8df72b57")</f>
        <v>8df72b57</v>
      </c>
      <c r="I1565" s="2" t="str">
        <f ca="1">IFERROR(__xludf.DUMMYFUNCTION("""COMPUTED_VALUE"""),"AJUSTE COSECHA 2026")</f>
        <v>AJUSTE COSECHA 2026</v>
      </c>
      <c r="J1565" s="2">
        <f ca="1">IFERROR(__xludf.DUMMYFUNCTION("""COMPUTED_VALUE"""),23900)</f>
        <v>23900</v>
      </c>
      <c r="K1565" s="2">
        <f ca="1">IFERROR(__xludf.DUMMYFUNCTION("""COMPUTED_VALUE"""),30500)</f>
        <v>30500</v>
      </c>
      <c r="L1565" s="2" t="str">
        <f ca="1">IFERROR(__xludf.DUMMYFUNCTION("""COMPUTED_VALUE"""),"04f2febf")</f>
        <v>04f2febf</v>
      </c>
      <c r="M1565" s="2" t="str">
        <f ca="1">IFERROR(__xludf.DUMMYFUNCTION("""COMPUTED_VALUE"""),"AJUSTE COSECHA 2026")</f>
        <v>AJUSTE COSECHA 2026</v>
      </c>
      <c r="N1565" s="2"/>
      <c r="O1565" s="2" t="str">
        <f ca="1">IFERROR(__xludf.DUMMYFUNCTION("""COMPUTED_VALUE"""),"Descubada")</f>
        <v>Descubada</v>
      </c>
      <c r="P1565" s="2" t="str">
        <f ca="1">IFERROR(__xludf.DUMMYFUNCTION("""COMPUTED_VALUE"""),"Fermentando")</f>
        <v>Fermentando</v>
      </c>
      <c r="Q1565" s="2" t="b">
        <f ca="1">IFERROR(__xludf.DUMMYFUNCTION("""COMPUTED_VALUE"""),TRUE)</f>
        <v>1</v>
      </c>
      <c r="R1565" s="2" t="str">
        <f ca="1">IFERROR(__xludf.DUMMYFUNCTION("""COMPUTED_VALUE"""),"Fermentando")</f>
        <v>Fermentando</v>
      </c>
      <c r="S1565" s="2"/>
      <c r="T1565" s="2"/>
      <c r="U1565" s="2" t="str">
        <f ca="1">IFERROR(__xludf.DUMMYFUNCTION("""COMPUTED_VALUE"""),"1")</f>
        <v>1</v>
      </c>
    </row>
    <row r="1566" spans="1:21" x14ac:dyDescent="0.25">
      <c r="A1566" s="2" t="str">
        <f ca="1">IFERROR(__xludf.DUMMYFUNCTION("""COMPUTED_VALUE"""),"98d73089")</f>
        <v>98d73089</v>
      </c>
      <c r="B1566" s="5">
        <f ca="1">IFERROR(__xludf.DUMMYFUNCTION("""COMPUTED_VALUE"""),46126.8383564813)</f>
        <v>46126.838356481399</v>
      </c>
      <c r="C1566" s="2" t="str">
        <f ca="1">IFERROR(__xludf.DUMMYFUNCTION("""COMPUTED_VALUE"""),"085d8481")</f>
        <v>085d8481</v>
      </c>
      <c r="D1566" s="2">
        <f ca="1">IFERROR(__xludf.DUMMYFUNCTION("""COMPUTED_VALUE"""),88)</f>
        <v>88</v>
      </c>
      <c r="E1566" s="2" t="str">
        <f ca="1">IFERROR(__xludf.DUMMYFUNCTION("""COMPUTED_VALUE"""),"Bonarda PC")</f>
        <v>Bonarda PC</v>
      </c>
      <c r="F1566" s="2">
        <f ca="1">IFERROR(__xludf.DUMMYFUNCTION("""COMPUTED_VALUE"""),-5800)</f>
        <v>-5800</v>
      </c>
      <c r="G1566" s="2">
        <f ca="1">IFERROR(__xludf.DUMMYFUNCTION("""COMPUTED_VALUE"""),54)</f>
        <v>54</v>
      </c>
      <c r="H1566" s="2" t="str">
        <f ca="1">IFERROR(__xludf.DUMMYFUNCTION("""COMPUTED_VALUE"""),"6fb40aed")</f>
        <v>6fb40aed</v>
      </c>
      <c r="I1566" s="2" t="str">
        <f ca="1">IFERROR(__xludf.DUMMYFUNCTION("""COMPUTED_VALUE"""),"Cabernet Sauvignon Rect")</f>
        <v>Cabernet Sauvignon Rect</v>
      </c>
      <c r="J1566" s="2">
        <f ca="1">IFERROR(__xludf.DUMMYFUNCTION("""COMPUTED_VALUE"""),22900)</f>
        <v>22900</v>
      </c>
      <c r="K1566" s="2">
        <f ca="1">IFERROR(__xludf.DUMMYFUNCTION("""COMPUTED_VALUE"""),17100)</f>
        <v>17100</v>
      </c>
      <c r="L1566" s="2" t="str">
        <f ca="1">IFERROR(__xludf.DUMMYFUNCTION("""COMPUTED_VALUE"""),"6738bd2f")</f>
        <v>6738bd2f</v>
      </c>
      <c r="M1566" s="2" t="str">
        <f ca="1">IFERROR(__xludf.DUMMYFUNCTION("""COMPUTED_VALUE"""),"Cabernet Sauvignon Rect")</f>
        <v>Cabernet Sauvignon Rect</v>
      </c>
      <c r="N1566" s="2"/>
      <c r="O1566" s="2" t="str">
        <f ca="1">IFERROR(__xludf.DUMMYFUNCTION("""COMPUTED_VALUE"""),"Fermentando")</f>
        <v>Fermentando</v>
      </c>
      <c r="P1566" s="2" t="str">
        <f ca="1">IFERROR(__xludf.DUMMYFUNCTION("""COMPUTED_VALUE"""),"Rectificado")</f>
        <v>Rectificado</v>
      </c>
      <c r="Q1566" s="2" t="b">
        <f ca="1">IFERROR(__xludf.DUMMYFUNCTION("""COMPUTED_VALUE"""),TRUE)</f>
        <v>1</v>
      </c>
      <c r="R1566" s="2" t="str">
        <f ca="1">IFERROR(__xludf.DUMMYFUNCTION("""COMPUTED_VALUE"""),"Rectificado")</f>
        <v>Rectificado</v>
      </c>
      <c r="S1566" s="2"/>
      <c r="T1566" s="2"/>
      <c r="U1566" s="2" t="str">
        <f ca="1">IFERROR(__xludf.DUMMYFUNCTION("""COMPUTED_VALUE"""),"1")</f>
        <v>1</v>
      </c>
    </row>
    <row r="1567" spans="1:21" x14ac:dyDescent="0.25">
      <c r="A1567" s="2" t="str">
        <f ca="1">IFERROR(__xludf.DUMMYFUNCTION("""COMPUTED_VALUE"""),"fec7556d")</f>
        <v>fec7556d</v>
      </c>
      <c r="B1567" s="5">
        <f ca="1">IFERROR(__xludf.DUMMYFUNCTION("""COMPUTED_VALUE"""),46126.8393634259)</f>
        <v>46126.839363425897</v>
      </c>
      <c r="C1567" s="2" t="str">
        <f ca="1">IFERROR(__xludf.DUMMYFUNCTION("""COMPUTED_VALUE"""),"00da080a")</f>
        <v>00da080a</v>
      </c>
      <c r="D1567" s="2">
        <f ca="1">IFERROR(__xludf.DUMMYFUNCTION("""COMPUTED_VALUE"""),87)</f>
        <v>87</v>
      </c>
      <c r="E1567" s="2" t="str">
        <f ca="1">IFERROR(__xludf.DUMMYFUNCTION("""COMPUTED_VALUE"""),"Bonarda c/criolla")</f>
        <v>Bonarda c/criolla</v>
      </c>
      <c r="F1567" s="2">
        <f ca="1">IFERROR(__xludf.DUMMYFUNCTION("""COMPUTED_VALUE"""),-5500)</f>
        <v>-5500</v>
      </c>
      <c r="G1567" s="2">
        <f ca="1">IFERROR(__xludf.DUMMYFUNCTION("""COMPUTED_VALUE"""),68)</f>
        <v>68</v>
      </c>
      <c r="H1567" s="2" t="str">
        <f ca="1">IFERROR(__xludf.DUMMYFUNCTION("""COMPUTED_VALUE"""),"bb84046b")</f>
        <v>bb84046b</v>
      </c>
      <c r="I1567" s="2" t="str">
        <f ca="1">IFERROR(__xludf.DUMMYFUNCTION("""COMPUTED_VALUE"""),"Aspirant  Malbec Rect")</f>
        <v>Aspirant  Malbec Rect</v>
      </c>
      <c r="J1567" s="2">
        <f ca="1">IFERROR(__xludf.DUMMYFUNCTION("""COMPUTED_VALUE"""),13000)</f>
        <v>13000</v>
      </c>
      <c r="K1567" s="2">
        <f ca="1">IFERROR(__xludf.DUMMYFUNCTION("""COMPUTED_VALUE"""),7500)</f>
        <v>7500</v>
      </c>
      <c r="L1567" s="2" t="str">
        <f ca="1">IFERROR(__xludf.DUMMYFUNCTION("""COMPUTED_VALUE"""),"310b45c2")</f>
        <v>310b45c2</v>
      </c>
      <c r="M1567" s="2" t="str">
        <f ca="1">IFERROR(__xludf.DUMMYFUNCTION("""COMPUTED_VALUE"""),"Aspirant  Malbec Rect")</f>
        <v>Aspirant  Malbec Rect</v>
      </c>
      <c r="N1567" s="2"/>
      <c r="O1567" s="2" t="str">
        <f ca="1">IFERROR(__xludf.DUMMYFUNCTION("""COMPUTED_VALUE"""),"Fermentando")</f>
        <v>Fermentando</v>
      </c>
      <c r="P1567" s="2" t="str">
        <f ca="1">IFERROR(__xludf.DUMMYFUNCTION("""COMPUTED_VALUE"""),"Rectificado")</f>
        <v>Rectificado</v>
      </c>
      <c r="Q1567" s="2" t="b">
        <f ca="1">IFERROR(__xludf.DUMMYFUNCTION("""COMPUTED_VALUE"""),TRUE)</f>
        <v>1</v>
      </c>
      <c r="R1567" s="2" t="str">
        <f ca="1">IFERROR(__xludf.DUMMYFUNCTION("""COMPUTED_VALUE"""),"Rectificado")</f>
        <v>Rectificado</v>
      </c>
      <c r="S1567" s="2"/>
      <c r="T1567" s="2"/>
      <c r="U1567" s="2" t="str">
        <f ca="1">IFERROR(__xludf.DUMMYFUNCTION("""COMPUTED_VALUE"""),"2+")</f>
        <v>2+</v>
      </c>
    </row>
    <row r="1568" spans="1:21" x14ac:dyDescent="0.25">
      <c r="A1568" s="2" t="str">
        <f ca="1">IFERROR(__xludf.DUMMYFUNCTION("""COMPUTED_VALUE"""),"d500f604")</f>
        <v>d500f604</v>
      </c>
      <c r="B1568" s="5">
        <f ca="1">IFERROR(__xludf.DUMMYFUNCTION("""COMPUTED_VALUE"""),46126.8405324073)</f>
        <v>46126.840532407397</v>
      </c>
      <c r="C1568" s="2" t="str">
        <f ca="1">IFERROR(__xludf.DUMMYFUNCTION("""COMPUTED_VALUE"""),"310b45c2")</f>
        <v>310b45c2</v>
      </c>
      <c r="D1568" s="2">
        <f ca="1">IFERROR(__xludf.DUMMYFUNCTION("""COMPUTED_VALUE"""),68)</f>
        <v>68</v>
      </c>
      <c r="E1568" s="2" t="str">
        <f ca="1">IFERROR(__xludf.DUMMYFUNCTION("""COMPUTED_VALUE"""),"Aspirant  Malbec Rect")</f>
        <v>Aspirant  Malbec Rect</v>
      </c>
      <c r="F1568" s="2">
        <f ca="1">IFERROR(__xludf.DUMMYFUNCTION("""COMPUTED_VALUE"""),7500)</f>
        <v>7500</v>
      </c>
      <c r="G1568" s="2">
        <f ca="1">IFERROR(__xludf.DUMMYFUNCTION("""COMPUTED_VALUE"""),500)</f>
        <v>500</v>
      </c>
      <c r="H1568" s="2" t="str">
        <f ca="1">IFERROR(__xludf.DUMMYFUNCTION("""COMPUTED_VALUE"""),"04f2febf")</f>
        <v>04f2febf</v>
      </c>
      <c r="I1568" s="2" t="str">
        <f ca="1">IFERROR(__xludf.DUMMYFUNCTION("""COMPUTED_VALUE"""),"AJUSTE COSECHA 2026")</f>
        <v>AJUSTE COSECHA 2026</v>
      </c>
      <c r="J1568" s="2">
        <f ca="1">IFERROR(__xludf.DUMMYFUNCTION("""COMPUTED_VALUE"""),30500)</f>
        <v>30500</v>
      </c>
      <c r="K1568" s="2">
        <f ca="1">IFERROR(__xludf.DUMMYFUNCTION("""COMPUTED_VALUE"""),38000)</f>
        <v>38000</v>
      </c>
      <c r="L1568" s="2" t="str">
        <f ca="1">IFERROR(__xludf.DUMMYFUNCTION("""COMPUTED_VALUE"""),"952512d3")</f>
        <v>952512d3</v>
      </c>
      <c r="M1568" s="2" t="str">
        <f ca="1">IFERROR(__xludf.DUMMYFUNCTION("""COMPUTED_VALUE"""),"AJUSTE COSECHA 2026")</f>
        <v>AJUSTE COSECHA 2026</v>
      </c>
      <c r="N1568" s="2"/>
      <c r="O1568" s="2" t="str">
        <f ca="1">IFERROR(__xludf.DUMMYFUNCTION("""COMPUTED_VALUE"""),"Rectificado")</f>
        <v>Rectificado</v>
      </c>
      <c r="P1568" s="2" t="str">
        <f ca="1">IFERROR(__xludf.DUMMYFUNCTION("""COMPUTED_VALUE"""),"Fermentando")</f>
        <v>Fermentando</v>
      </c>
      <c r="Q1568" s="2" t="b">
        <f ca="1">IFERROR(__xludf.DUMMYFUNCTION("""COMPUTED_VALUE"""),TRUE)</f>
        <v>1</v>
      </c>
      <c r="R1568" s="2" t="str">
        <f ca="1">IFERROR(__xludf.DUMMYFUNCTION("""COMPUTED_VALUE"""),"Fermentando")</f>
        <v>Fermentando</v>
      </c>
      <c r="S1568" s="2"/>
      <c r="T1568" s="2"/>
      <c r="U1568" s="2" t="str">
        <f ca="1">IFERROR(__xludf.DUMMYFUNCTION("""COMPUTED_VALUE"""),"1")</f>
        <v>1</v>
      </c>
    </row>
    <row r="1569" spans="1:21" x14ac:dyDescent="0.25">
      <c r="A1569" s="2" t="str">
        <f ca="1">IFERROR(__xludf.DUMMYFUNCTION("""COMPUTED_VALUE"""),"4679451f")</f>
        <v>4679451f</v>
      </c>
      <c r="B1569" s="5">
        <f ca="1">IFERROR(__xludf.DUMMYFUNCTION("""COMPUTED_VALUE"""),46126.8486342592)</f>
        <v>46126.8486342592</v>
      </c>
      <c r="C1569" s="2" t="str">
        <f ca="1">IFERROR(__xludf.DUMMYFUNCTION("""COMPUTED_VALUE"""),"4c079f49")</f>
        <v>4c079f49</v>
      </c>
      <c r="D1569" s="2">
        <f ca="1">IFERROR(__xludf.DUMMYFUNCTION("""COMPUTED_VALUE"""),24)</f>
        <v>24</v>
      </c>
      <c r="E1569" s="2" t="str">
        <f ca="1">IFERROR(__xludf.DUMMYFUNCTION("""COMPUTED_VALUE"""),"Malbec pc")</f>
        <v>Malbec pc</v>
      </c>
      <c r="F1569" s="2">
        <f ca="1">IFERROR(__xludf.DUMMYFUNCTION("""COMPUTED_VALUE"""),-6600)</f>
        <v>-6600</v>
      </c>
      <c r="G1569" s="2">
        <f ca="1">IFERROR(__xludf.DUMMYFUNCTION("""COMPUTED_VALUE"""),500)</f>
        <v>500</v>
      </c>
      <c r="H1569" s="2" t="str">
        <f ca="1">IFERROR(__xludf.DUMMYFUNCTION("""COMPUTED_VALUE"""),"952512d3")</f>
        <v>952512d3</v>
      </c>
      <c r="I1569" s="2" t="str">
        <f ca="1">IFERROR(__xludf.DUMMYFUNCTION("""COMPUTED_VALUE"""),"AJUSTE COSECHA 2026")</f>
        <v>AJUSTE COSECHA 2026</v>
      </c>
      <c r="J1569" s="2">
        <f ca="1">IFERROR(__xludf.DUMMYFUNCTION("""COMPUTED_VALUE"""),38000)</f>
        <v>38000</v>
      </c>
      <c r="K1569" s="2">
        <f ca="1">IFERROR(__xludf.DUMMYFUNCTION("""COMPUTED_VALUE"""),31400)</f>
        <v>31400</v>
      </c>
      <c r="L1569" s="2" t="str">
        <f ca="1">IFERROR(__xludf.DUMMYFUNCTION("""COMPUTED_VALUE"""),"8ecf1241")</f>
        <v>8ecf1241</v>
      </c>
      <c r="M1569" s="2" t="str">
        <f ca="1">IFERROR(__xludf.DUMMYFUNCTION("""COMPUTED_VALUE"""),"AJUSTE COSECHA 2026")</f>
        <v>AJUSTE COSECHA 2026</v>
      </c>
      <c r="N1569" s="2"/>
      <c r="O1569" s="2" t="str">
        <f ca="1">IFERROR(__xludf.DUMMYFUNCTION("""COMPUTED_VALUE"""),"Descubada")</f>
        <v>Descubada</v>
      </c>
      <c r="P1569" s="2" t="str">
        <f ca="1">IFERROR(__xludf.DUMMYFUNCTION("""COMPUTED_VALUE"""),"Fermentando")</f>
        <v>Fermentando</v>
      </c>
      <c r="Q1569" s="2" t="b">
        <f ca="1">IFERROR(__xludf.DUMMYFUNCTION("""COMPUTED_VALUE"""),TRUE)</f>
        <v>1</v>
      </c>
      <c r="R1569" s="2" t="str">
        <f ca="1">IFERROR(__xludf.DUMMYFUNCTION("""COMPUTED_VALUE"""),"Fermentando")</f>
        <v>Fermentando</v>
      </c>
      <c r="S1569" s="2"/>
      <c r="T1569" s="2"/>
      <c r="U1569" s="2" t="str">
        <f ca="1">IFERROR(__xludf.DUMMYFUNCTION("""COMPUTED_VALUE"""),"1")</f>
        <v>1</v>
      </c>
    </row>
    <row r="1570" spans="1:21" x14ac:dyDescent="0.25">
      <c r="A1570" s="2" t="str">
        <f ca="1">IFERROR(__xludf.DUMMYFUNCTION("""COMPUTED_VALUE"""),"217bb860")</f>
        <v>217bb860</v>
      </c>
      <c r="B1570" s="5">
        <f ca="1">IFERROR(__xludf.DUMMYFUNCTION("""COMPUTED_VALUE"""),46126.8500462963)</f>
        <v>46126.850046296298</v>
      </c>
      <c r="C1570" s="2" t="str">
        <f ca="1">IFERROR(__xludf.DUMMYFUNCTION("""COMPUTED_VALUE"""),"5d71e564")</f>
        <v>5d71e564</v>
      </c>
      <c r="D1570" s="2">
        <f ca="1">IFERROR(__xludf.DUMMYFUNCTION("""COMPUTED_VALUE"""),119)</f>
        <v>119</v>
      </c>
      <c r="E1570" s="2" t="str">
        <f ca="1">IFERROR(__xludf.DUMMYFUNCTION("""COMPUTED_VALUE"""),"Criolla Mosto")</f>
        <v>Criolla Mosto</v>
      </c>
      <c r="F1570" s="2">
        <f ca="1">IFERROR(__xludf.DUMMYFUNCTION("""COMPUTED_VALUE"""),15000)</f>
        <v>15000</v>
      </c>
      <c r="G1570" s="2">
        <f ca="1">IFERROR(__xludf.DUMMYFUNCTION("""COMPUTED_VALUE"""),85)</f>
        <v>85</v>
      </c>
      <c r="H1570" s="2" t="str">
        <f ca="1">IFERROR(__xludf.DUMMYFUNCTION("""COMPUTED_VALUE"""),"9dafdb04")</f>
        <v>9dafdb04</v>
      </c>
      <c r="I1570" s="2" t="str">
        <f ca="1">IFERROR(__xludf.DUMMYFUNCTION("""COMPUTED_VALUE"""),"Bonarda")</f>
        <v>Bonarda</v>
      </c>
      <c r="J1570" s="2">
        <f ca="1">IFERROR(__xludf.DUMMYFUNCTION("""COMPUTED_VALUE"""),15000)</f>
        <v>15000</v>
      </c>
      <c r="K1570" s="2">
        <f ca="1">IFERROR(__xludf.DUMMYFUNCTION("""COMPUTED_VALUE"""),30000)</f>
        <v>30000</v>
      </c>
      <c r="L1570" s="2" t="str">
        <f ca="1">IFERROR(__xludf.DUMMYFUNCTION("""COMPUTED_VALUE"""),"b22066db")</f>
        <v>b22066db</v>
      </c>
      <c r="M1570" s="2" t="str">
        <f ca="1">IFERROR(__xludf.DUMMYFUNCTION("""COMPUTED_VALUE"""),"Criolla Recarga")</f>
        <v>Criolla Recarga</v>
      </c>
      <c r="N1570" s="2"/>
      <c r="O1570" s="2" t="str">
        <f ca="1">IFERROR(__xludf.DUMMYFUNCTION("""COMPUTED_VALUE"""),"Mosto")</f>
        <v>Mosto</v>
      </c>
      <c r="P1570" s="2" t="str">
        <f ca="1">IFERROR(__xludf.DUMMYFUNCTION("""COMPUTED_VALUE"""),"Fermentando")</f>
        <v>Fermentando</v>
      </c>
      <c r="Q1570" s="2" t="b">
        <f ca="1">IFERROR(__xludf.DUMMYFUNCTION("""COMPUTED_VALUE"""),FALSE)</f>
        <v>0</v>
      </c>
      <c r="R1570" s="2" t="str">
        <f ca="1">IFERROR(__xludf.DUMMYFUNCTION("""COMPUTED_VALUE"""),"Mosto")</f>
        <v>Mosto</v>
      </c>
      <c r="S1570" s="2"/>
      <c r="T1570" s="2"/>
      <c r="U1570" s="2"/>
    </row>
    <row r="1571" spans="1:21" x14ac:dyDescent="0.25">
      <c r="A1571" s="2" t="str">
        <f ca="1">IFERROR(__xludf.DUMMYFUNCTION("""COMPUTED_VALUE"""),"7f00fb3a")</f>
        <v>7f00fb3a</v>
      </c>
      <c r="B1571" s="5">
        <f ca="1">IFERROR(__xludf.DUMMYFUNCTION("""COMPUTED_VALUE"""),46126.8505092592)</f>
        <v>46126.850509259202</v>
      </c>
      <c r="C1571" s="2" t="str">
        <f ca="1">IFERROR(__xludf.DUMMYFUNCTION("""COMPUTED_VALUE"""),"5d71e564")</f>
        <v>5d71e564</v>
      </c>
      <c r="D1571" s="2">
        <f ca="1">IFERROR(__xludf.DUMMYFUNCTION("""COMPUTED_VALUE"""),119)</f>
        <v>119</v>
      </c>
      <c r="E1571" s="2" t="str">
        <f ca="1">IFERROR(__xludf.DUMMYFUNCTION("""COMPUTED_VALUE"""),"Criolla Mosto")</f>
        <v>Criolla Mosto</v>
      </c>
      <c r="F1571" s="2">
        <f ca="1">IFERROR(__xludf.DUMMYFUNCTION("""COMPUTED_VALUE"""),15000)</f>
        <v>15000</v>
      </c>
      <c r="G1571" s="2">
        <f ca="1">IFERROR(__xludf.DUMMYFUNCTION("""COMPUTED_VALUE"""),82)</f>
        <v>82</v>
      </c>
      <c r="H1571" s="2" t="str">
        <f ca="1">IFERROR(__xludf.DUMMYFUNCTION("""COMPUTED_VALUE"""),"4a77f14f")</f>
        <v>4a77f14f</v>
      </c>
      <c r="I1571" s="2" t="str">
        <f ca="1">IFERROR(__xludf.DUMMYFUNCTION("""COMPUTED_VALUE"""),"Bonarda PC")</f>
        <v>Bonarda PC</v>
      </c>
      <c r="J1571" s="2">
        <f ca="1">IFERROR(__xludf.DUMMYFUNCTION("""COMPUTED_VALUE"""),10000)</f>
        <v>10000</v>
      </c>
      <c r="K1571" s="2">
        <f ca="1">IFERROR(__xludf.DUMMYFUNCTION("""COMPUTED_VALUE"""),25000)</f>
        <v>25000</v>
      </c>
      <c r="L1571" s="2" t="str">
        <f ca="1">IFERROR(__xludf.DUMMYFUNCTION("""COMPUTED_VALUE"""),"bfcedb73")</f>
        <v>bfcedb73</v>
      </c>
      <c r="M1571" s="2" t="str">
        <f ca="1">IFERROR(__xludf.DUMMYFUNCTION("""COMPUTED_VALUE"""),"Criolla Recarga")</f>
        <v>Criolla Recarga</v>
      </c>
      <c r="N1571" s="2"/>
      <c r="O1571" s="2" t="str">
        <f ca="1">IFERROR(__xludf.DUMMYFUNCTION("""COMPUTED_VALUE"""),"Mosto")</f>
        <v>Mosto</v>
      </c>
      <c r="P1571" s="2" t="str">
        <f ca="1">IFERROR(__xludf.DUMMYFUNCTION("""COMPUTED_VALUE"""),"Fermentando")</f>
        <v>Fermentando</v>
      </c>
      <c r="Q1571" s="2" t="b">
        <f ca="1">IFERROR(__xludf.DUMMYFUNCTION("""COMPUTED_VALUE"""),FALSE)</f>
        <v>0</v>
      </c>
      <c r="R1571" s="2" t="str">
        <f ca="1">IFERROR(__xludf.DUMMYFUNCTION("""COMPUTED_VALUE"""),"Fermentando")</f>
        <v>Fermentando</v>
      </c>
      <c r="S1571" s="2"/>
      <c r="T1571" s="2"/>
      <c r="U1571" s="2"/>
    </row>
    <row r="1572" spans="1:2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</row>
    <row r="1573" spans="1:21" x14ac:dyDescent="0.25">
      <c r="A1573" s="2" t="str">
        <f ca="1">IFERROR(__xludf.DUMMYFUNCTION("""COMPUTED_VALUE"""),"35117ff3")</f>
        <v>35117ff3</v>
      </c>
      <c r="B1573" s="5">
        <f ca="1">IFERROR(__xludf.DUMMYFUNCTION("""COMPUTED_VALUE"""),46126.85375)</f>
        <v>46126.853750000002</v>
      </c>
      <c r="C1573" s="2" t="str">
        <f ca="1">IFERROR(__xludf.DUMMYFUNCTION("""COMPUTED_VALUE"""),"7f5d2834")</f>
        <v>7f5d2834</v>
      </c>
      <c r="D1573" s="2">
        <f ca="1">IFERROR(__xludf.DUMMYFUNCTION("""COMPUTED_VALUE"""),79)</f>
        <v>79</v>
      </c>
      <c r="E1573" s="2" t="str">
        <f ca="1">IFERROR(__xludf.DUMMYFUNCTION("""COMPUTED_VALUE"""),"Malbec Maq PC")</f>
        <v>Malbec Maq PC</v>
      </c>
      <c r="F1573" s="2">
        <f ca="1">IFERROR(__xludf.DUMMYFUNCTION("""COMPUTED_VALUE"""),15000)</f>
        <v>15000</v>
      </c>
      <c r="G1573" s="2">
        <f ca="1">IFERROR(__xludf.DUMMYFUNCTION("""COMPUTED_VALUE"""),116)</f>
        <v>116</v>
      </c>
      <c r="H1573" s="2"/>
      <c r="I1573" s="2"/>
      <c r="J1573" s="2">
        <f ca="1">IFERROR(__xludf.DUMMYFUNCTION("""COMPUTED_VALUE"""),0)</f>
        <v>0</v>
      </c>
      <c r="K1573" s="2">
        <f ca="1">IFERROR(__xludf.DUMMYFUNCTION("""COMPUTED_VALUE"""),15000)</f>
        <v>15000</v>
      </c>
      <c r="L1573" s="2" t="str">
        <f ca="1">IFERROR(__xludf.DUMMYFUNCTION("""COMPUTED_VALUE"""),"985b08d3")</f>
        <v>985b08d3</v>
      </c>
      <c r="M1573" s="2"/>
      <c r="N1573" s="2"/>
      <c r="O1573" s="2" t="str">
        <f ca="1">IFERROR(__xludf.DUMMYFUNCTION("""COMPUTED_VALUE"""),"Fermentando")</f>
        <v>Fermentando</v>
      </c>
      <c r="P1573" s="2"/>
      <c r="Q1573" s="2" t="b">
        <f ca="1">IFERROR(__xludf.DUMMYFUNCTION("""COMPUTED_VALUE"""),TRUE)</f>
        <v>1</v>
      </c>
      <c r="R1573" s="2"/>
      <c r="S1573" s="2"/>
      <c r="T1573" s="2"/>
      <c r="U1573" s="2"/>
    </row>
    <row r="1574" spans="1:21" x14ac:dyDescent="0.25">
      <c r="A1574" s="2" t="str">
        <f ca="1">IFERROR(__xludf.DUMMYFUNCTION("""COMPUTED_VALUE"""),"3dcc9661")</f>
        <v>3dcc9661</v>
      </c>
      <c r="B1574" s="5">
        <f ca="1">IFERROR(__xludf.DUMMYFUNCTION("""COMPUTED_VALUE"""),46126.855162037)</f>
        <v>46126.855162036998</v>
      </c>
      <c r="C1574" s="2" t="str">
        <f ca="1">IFERROR(__xludf.DUMMYFUNCTION("""COMPUTED_VALUE"""),"8267c94a")</f>
        <v>8267c94a</v>
      </c>
      <c r="D1574" s="2">
        <f ca="1">IFERROR(__xludf.DUMMYFUNCTION("""COMPUTED_VALUE"""),67)</f>
        <v>67</v>
      </c>
      <c r="E1574" s="2" t="str">
        <f ca="1">IFERROR(__xludf.DUMMYFUNCTION("""COMPUTED_VALUE"""),"Bonarda PC")</f>
        <v>Bonarda PC</v>
      </c>
      <c r="F1574" s="2">
        <f ca="1">IFERROR(__xludf.DUMMYFUNCTION("""COMPUTED_VALUE"""),10000)</f>
        <v>10000</v>
      </c>
      <c r="G1574" s="2">
        <f ca="1">IFERROR(__xludf.DUMMYFUNCTION("""COMPUTED_VALUE"""),116)</f>
        <v>116</v>
      </c>
      <c r="H1574" s="2" t="str">
        <f ca="1">IFERROR(__xludf.DUMMYFUNCTION("""COMPUTED_VALUE"""),"985b08d3")</f>
        <v>985b08d3</v>
      </c>
      <c r="I1574" s="2"/>
      <c r="J1574" s="2">
        <f ca="1">IFERROR(__xludf.DUMMYFUNCTION("""COMPUTED_VALUE"""),15000)</f>
        <v>15000</v>
      </c>
      <c r="K1574" s="2">
        <f ca="1">IFERROR(__xludf.DUMMYFUNCTION("""COMPUTED_VALUE"""),25000)</f>
        <v>25000</v>
      </c>
      <c r="L1574" s="2" t="str">
        <f ca="1">IFERROR(__xludf.DUMMYFUNCTION("""COMPUTED_VALUE"""),"bad2ded4")</f>
        <v>bad2ded4</v>
      </c>
      <c r="M1574" s="2" t="str">
        <f ca="1">IFERROR(__xludf.DUMMYFUNCTION("""COMPUTED_VALUE"""),"Bonarda")</f>
        <v>Bonarda</v>
      </c>
      <c r="N1574" s="2"/>
      <c r="O1574" s="2" t="str">
        <f ca="1">IFERROR(__xludf.DUMMYFUNCTION("""COMPUTED_VALUE"""),"Fermentando")</f>
        <v>Fermentando</v>
      </c>
      <c r="P1574" s="2" t="str">
        <f ca="1">IFERROR(__xludf.DUMMYFUNCTION("""COMPUTED_VALUE"""),"Descubada")</f>
        <v>Descubada</v>
      </c>
      <c r="Q1574" s="2" t="b">
        <f ca="1">IFERROR(__xludf.DUMMYFUNCTION("""COMPUTED_VALUE"""),TRUE)</f>
        <v>1</v>
      </c>
      <c r="R1574" s="2"/>
      <c r="S1574" s="2"/>
      <c r="T1574" s="2"/>
      <c r="U1574" s="2"/>
    </row>
    <row r="1575" spans="1:21" x14ac:dyDescent="0.25">
      <c r="A1575" s="2" t="str">
        <f ca="1">IFERROR(__xludf.DUMMYFUNCTION("""COMPUTED_VALUE"""),"3955fbc2")</f>
        <v>3955fbc2</v>
      </c>
      <c r="B1575" s="5">
        <f ca="1">IFERROR(__xludf.DUMMYFUNCTION("""COMPUTED_VALUE"""),46126.8562384259)</f>
        <v>46126.856238425898</v>
      </c>
      <c r="C1575" s="2" t="str">
        <f ca="1">IFERROR(__xludf.DUMMYFUNCTION("""COMPUTED_VALUE"""),"5d71e564")</f>
        <v>5d71e564</v>
      </c>
      <c r="D1575" s="2">
        <f ca="1">IFERROR(__xludf.DUMMYFUNCTION("""COMPUTED_VALUE"""),119)</f>
        <v>119</v>
      </c>
      <c r="E1575" s="2" t="str">
        <f ca="1">IFERROR(__xludf.DUMMYFUNCTION("""COMPUTED_VALUE"""),"Criolla Mosto")</f>
        <v>Criolla Mosto</v>
      </c>
      <c r="F1575" s="2">
        <f ca="1">IFERROR(__xludf.DUMMYFUNCTION("""COMPUTED_VALUE"""),14000)</f>
        <v>14000</v>
      </c>
      <c r="G1575" s="2">
        <f ca="1">IFERROR(__xludf.DUMMYFUNCTION("""COMPUTED_VALUE"""),67)</f>
        <v>67</v>
      </c>
      <c r="H1575" s="2" t="str">
        <f ca="1">IFERROR(__xludf.DUMMYFUNCTION("""COMPUTED_VALUE"""),"8267c94a")</f>
        <v>8267c94a</v>
      </c>
      <c r="I1575" s="2" t="str">
        <f ca="1">IFERROR(__xludf.DUMMYFUNCTION("""COMPUTED_VALUE"""),"Bonarda PC")</f>
        <v>Bonarda PC</v>
      </c>
      <c r="J1575" s="2">
        <f ca="1">IFERROR(__xludf.DUMMYFUNCTION("""COMPUTED_VALUE"""),6000)</f>
        <v>6000</v>
      </c>
      <c r="K1575" s="2">
        <f ca="1">IFERROR(__xludf.DUMMYFUNCTION("""COMPUTED_VALUE"""),20000)</f>
        <v>20000</v>
      </c>
      <c r="L1575" s="2" t="str">
        <f ca="1">IFERROR(__xludf.DUMMYFUNCTION("""COMPUTED_VALUE"""),"27cd6e8f")</f>
        <v>27cd6e8f</v>
      </c>
      <c r="M1575" s="2" t="str">
        <f ca="1">IFERROR(__xludf.DUMMYFUNCTION("""COMPUTED_VALUE"""),"Criolla Recarga")</f>
        <v>Criolla Recarga</v>
      </c>
      <c r="N1575" s="2"/>
      <c r="O1575" s="2" t="str">
        <f ca="1">IFERROR(__xludf.DUMMYFUNCTION("""COMPUTED_VALUE"""),"Mosto")</f>
        <v>Mosto</v>
      </c>
      <c r="P1575" s="2" t="str">
        <f ca="1">IFERROR(__xludf.DUMMYFUNCTION("""COMPUTED_VALUE"""),"Fermentando")</f>
        <v>Fermentando</v>
      </c>
      <c r="Q1575" s="2" t="b">
        <f ca="1">IFERROR(__xludf.DUMMYFUNCTION("""COMPUTED_VALUE"""),FALSE)</f>
        <v>0</v>
      </c>
      <c r="R1575" s="2" t="str">
        <f ca="1">IFERROR(__xludf.DUMMYFUNCTION("""COMPUTED_VALUE"""),"Recarga Fermentando")</f>
        <v>Recarga Fermentando</v>
      </c>
      <c r="S1575" s="2"/>
      <c r="T1575" s="2"/>
      <c r="U1575" s="2"/>
    </row>
    <row r="1576" spans="1:21" x14ac:dyDescent="0.25">
      <c r="A1576" s="2" t="str">
        <f ca="1">IFERROR(__xludf.DUMMYFUNCTION("""COMPUTED_VALUE"""),"266b3261")</f>
        <v>266b3261</v>
      </c>
      <c r="B1576" s="5">
        <f ca="1">IFERROR(__xludf.DUMMYFUNCTION("""COMPUTED_VALUE"""),46126.8567592592)</f>
        <v>46126.856759259201</v>
      </c>
      <c r="C1576" s="2" t="str">
        <f ca="1">IFERROR(__xludf.DUMMYFUNCTION("""COMPUTED_VALUE"""),"5d71e564")</f>
        <v>5d71e564</v>
      </c>
      <c r="D1576" s="2">
        <f ca="1">IFERROR(__xludf.DUMMYFUNCTION("""COMPUTED_VALUE"""),119)</f>
        <v>119</v>
      </c>
      <c r="E1576" s="2" t="str">
        <f ca="1">IFERROR(__xludf.DUMMYFUNCTION("""COMPUTED_VALUE"""),"Criolla Mosto")</f>
        <v>Criolla Mosto</v>
      </c>
      <c r="F1576" s="2">
        <f ca="1">IFERROR(__xludf.DUMMYFUNCTION("""COMPUTED_VALUE"""),20000)</f>
        <v>20000</v>
      </c>
      <c r="G1576" s="2">
        <f ca="1">IFERROR(__xludf.DUMMYFUNCTION("""COMPUTED_VALUE"""),79)</f>
        <v>79</v>
      </c>
      <c r="H1576" s="2" t="str">
        <f ca="1">IFERROR(__xludf.DUMMYFUNCTION("""COMPUTED_VALUE"""),"7f5d2834")</f>
        <v>7f5d2834</v>
      </c>
      <c r="I1576" s="2" t="str">
        <f ca="1">IFERROR(__xludf.DUMMYFUNCTION("""COMPUTED_VALUE"""),"Malbec Maq PC")</f>
        <v>Malbec Maq PC</v>
      </c>
      <c r="J1576" s="2">
        <f ca="1">IFERROR(__xludf.DUMMYFUNCTION("""COMPUTED_VALUE"""),3800)</f>
        <v>3800</v>
      </c>
      <c r="K1576" s="2">
        <f ca="1">IFERROR(__xludf.DUMMYFUNCTION("""COMPUTED_VALUE"""),23800)</f>
        <v>23800</v>
      </c>
      <c r="L1576" s="2" t="str">
        <f ca="1">IFERROR(__xludf.DUMMYFUNCTION("""COMPUTED_VALUE"""),"91372a0c")</f>
        <v>91372a0c</v>
      </c>
      <c r="M1576" s="2" t="str">
        <f ca="1">IFERROR(__xludf.DUMMYFUNCTION("""COMPUTED_VALUE"""),"Criolla Recarga")</f>
        <v>Criolla Recarga</v>
      </c>
      <c r="N1576" s="2"/>
      <c r="O1576" s="2" t="str">
        <f ca="1">IFERROR(__xludf.DUMMYFUNCTION("""COMPUTED_VALUE"""),"Mosto")</f>
        <v>Mosto</v>
      </c>
      <c r="P1576" s="2" t="str">
        <f ca="1">IFERROR(__xludf.DUMMYFUNCTION("""COMPUTED_VALUE"""),"Fermentando")</f>
        <v>Fermentando</v>
      </c>
      <c r="Q1576" s="2" t="b">
        <f ca="1">IFERROR(__xludf.DUMMYFUNCTION("""COMPUTED_VALUE"""),FALSE)</f>
        <v>0</v>
      </c>
      <c r="R1576" s="2" t="str">
        <f ca="1">IFERROR(__xludf.DUMMYFUNCTION("""COMPUTED_VALUE"""),"Recarga Fermentando")</f>
        <v>Recarga Fermentando</v>
      </c>
      <c r="S1576" s="2"/>
      <c r="T1576" s="2"/>
      <c r="U1576" s="2"/>
    </row>
    <row r="1577" spans="1:21" x14ac:dyDescent="0.25">
      <c r="A1577" s="2" t="str">
        <f ca="1">IFERROR(__xludf.DUMMYFUNCTION("""COMPUTED_VALUE"""),"9cbf9002")</f>
        <v>9cbf9002</v>
      </c>
      <c r="B1577" s="5">
        <f ca="1">IFERROR(__xludf.DUMMYFUNCTION("""COMPUTED_VALUE"""),46126.8591666666)</f>
        <v>46126.859166666603</v>
      </c>
      <c r="C1577" s="2" t="str">
        <f ca="1">IFERROR(__xludf.DUMMYFUNCTION("""COMPUTED_VALUE"""),"cd07b237")</f>
        <v>cd07b237</v>
      </c>
      <c r="D1577" s="2">
        <f ca="1">IFERROR(__xludf.DUMMYFUNCTION("""COMPUTED_VALUE"""),81)</f>
        <v>81</v>
      </c>
      <c r="E1577" s="2" t="str">
        <f ca="1">IFERROR(__xludf.DUMMYFUNCTION("""COMPUTED_VALUE"""),"Malbec PC")</f>
        <v>Malbec PC</v>
      </c>
      <c r="F1577" s="2">
        <f ca="1">IFERROR(__xludf.DUMMYFUNCTION("""COMPUTED_VALUE"""),12000)</f>
        <v>12000</v>
      </c>
      <c r="G1577" s="2">
        <f ca="1">IFERROR(__xludf.DUMMYFUNCTION("""COMPUTED_VALUE"""),35)</f>
        <v>35</v>
      </c>
      <c r="H1577" s="2"/>
      <c r="I1577" s="2"/>
      <c r="J1577" s="2">
        <f ca="1">IFERROR(__xludf.DUMMYFUNCTION("""COMPUTED_VALUE"""),0)</f>
        <v>0</v>
      </c>
      <c r="K1577" s="2">
        <f ca="1">IFERROR(__xludf.DUMMYFUNCTION("""COMPUTED_VALUE"""),12000)</f>
        <v>12000</v>
      </c>
      <c r="L1577" s="2" t="str">
        <f ca="1">IFERROR(__xludf.DUMMYFUNCTION("""COMPUTED_VALUE"""),"6b94586d")</f>
        <v>6b94586d</v>
      </c>
      <c r="M1577" s="2"/>
      <c r="N1577" s="2"/>
      <c r="O1577" s="2" t="str">
        <f ca="1">IFERROR(__xludf.DUMMYFUNCTION("""COMPUTED_VALUE"""),"Fermentando")</f>
        <v>Fermentando</v>
      </c>
      <c r="P1577" s="2"/>
      <c r="Q1577" s="2" t="b">
        <f ca="1">IFERROR(__xludf.DUMMYFUNCTION("""COMPUTED_VALUE"""),TRUE)</f>
        <v>1</v>
      </c>
      <c r="R1577" s="2"/>
      <c r="S1577" s="2"/>
      <c r="T1577" s="2"/>
      <c r="U1577" s="2"/>
    </row>
    <row r="1578" spans="1:21" x14ac:dyDescent="0.25">
      <c r="A1578" s="2" t="str">
        <f ca="1">IFERROR(__xludf.DUMMYFUNCTION("""COMPUTED_VALUE"""),"55f002c5")</f>
        <v>55f002c5</v>
      </c>
      <c r="B1578" s="5">
        <f ca="1">IFERROR(__xludf.DUMMYFUNCTION("""COMPUTED_VALUE"""),46126.8595254629)</f>
        <v>46126.859525462904</v>
      </c>
      <c r="C1578" s="2" t="str">
        <f ca="1">IFERROR(__xludf.DUMMYFUNCTION("""COMPUTED_VALUE"""),"d381a136")</f>
        <v>d381a136</v>
      </c>
      <c r="D1578" s="2">
        <f ca="1">IFERROR(__xludf.DUMMYFUNCTION("""COMPUTED_VALUE"""),66)</f>
        <v>66</v>
      </c>
      <c r="E1578" s="2" t="str">
        <f ca="1">IFERROR(__xludf.DUMMYFUNCTION("""COMPUTED_VALUE"""),"Malbec PC")</f>
        <v>Malbec PC</v>
      </c>
      <c r="F1578" s="2">
        <f ca="1">IFERROR(__xludf.DUMMYFUNCTION("""COMPUTED_VALUE"""),10000)</f>
        <v>10000</v>
      </c>
      <c r="G1578" s="2">
        <f ca="1">IFERROR(__xludf.DUMMYFUNCTION("""COMPUTED_VALUE"""),35)</f>
        <v>35</v>
      </c>
      <c r="H1578" s="2" t="str">
        <f ca="1">IFERROR(__xludf.DUMMYFUNCTION("""COMPUTED_VALUE"""),"6b94586d")</f>
        <v>6b94586d</v>
      </c>
      <c r="I1578" s="2"/>
      <c r="J1578" s="2">
        <f ca="1">IFERROR(__xludf.DUMMYFUNCTION("""COMPUTED_VALUE"""),12000)</f>
        <v>12000</v>
      </c>
      <c r="K1578" s="2">
        <f ca="1">IFERROR(__xludf.DUMMYFUNCTION("""COMPUTED_VALUE"""),22000)</f>
        <v>22000</v>
      </c>
      <c r="L1578" s="2" t="str">
        <f ca="1">IFERROR(__xludf.DUMMYFUNCTION("""COMPUTED_VALUE"""),"33dde63a")</f>
        <v>33dde63a</v>
      </c>
      <c r="M1578" s="2" t="str">
        <f ca="1">IFERROR(__xludf.DUMMYFUNCTION("""COMPUTED_VALUE"""),"Malbec")</f>
        <v>Malbec</v>
      </c>
      <c r="N1578" s="2"/>
      <c r="O1578" s="2" t="str">
        <f ca="1">IFERROR(__xludf.DUMMYFUNCTION("""COMPUTED_VALUE"""),"Fermentando")</f>
        <v>Fermentando</v>
      </c>
      <c r="P1578" s="2"/>
      <c r="Q1578" s="2" t="b">
        <f ca="1">IFERROR(__xludf.DUMMYFUNCTION("""COMPUTED_VALUE"""),FALSE)</f>
        <v>0</v>
      </c>
      <c r="R1578" s="2" t="str">
        <f ca="1">IFERROR(__xludf.DUMMYFUNCTION("""COMPUTED_VALUE"""),"Descubada")</f>
        <v>Descubada</v>
      </c>
      <c r="S1578" s="2"/>
      <c r="T1578" s="2"/>
      <c r="U1578" s="2"/>
    </row>
    <row r="1579" spans="1:21" x14ac:dyDescent="0.25">
      <c r="A1579" s="2" t="str">
        <f ca="1">IFERROR(__xludf.DUMMYFUNCTION("""COMPUTED_VALUE"""),"7cc4a131")</f>
        <v>7cc4a131</v>
      </c>
      <c r="B1579" s="5">
        <f ca="1">IFERROR(__xludf.DUMMYFUNCTION("""COMPUTED_VALUE"""),46126.8600694444)</f>
        <v>46126.860069444403</v>
      </c>
      <c r="C1579" s="2" t="str">
        <f ca="1">IFERROR(__xludf.DUMMYFUNCTION("""COMPUTED_VALUE"""),"86b4e029")</f>
        <v>86b4e029</v>
      </c>
      <c r="D1579" s="2">
        <f ca="1">IFERROR(__xludf.DUMMYFUNCTION("""COMPUTED_VALUE"""),76)</f>
        <v>76</v>
      </c>
      <c r="E1579" s="2" t="str">
        <f ca="1">IFERROR(__xludf.DUMMYFUNCTION("""COMPUTED_VALUE"""),"Malbec")</f>
        <v>Malbec</v>
      </c>
      <c r="F1579" s="2">
        <f ca="1">IFERROR(__xludf.DUMMYFUNCTION("""COMPUTED_VALUE"""),17300)</f>
        <v>17300</v>
      </c>
      <c r="G1579" s="2">
        <f ca="1">IFERROR(__xludf.DUMMYFUNCTION("""COMPUTED_VALUE"""),35)</f>
        <v>35</v>
      </c>
      <c r="H1579" s="2" t="str">
        <f ca="1">IFERROR(__xludf.DUMMYFUNCTION("""COMPUTED_VALUE"""),"33dde63a")</f>
        <v>33dde63a</v>
      </c>
      <c r="I1579" s="2" t="str">
        <f ca="1">IFERROR(__xludf.DUMMYFUNCTION("""COMPUTED_VALUE"""),"Malbec")</f>
        <v>Malbec</v>
      </c>
      <c r="J1579" s="2">
        <f ca="1">IFERROR(__xludf.DUMMYFUNCTION("""COMPUTED_VALUE"""),22000)</f>
        <v>22000</v>
      </c>
      <c r="K1579" s="2">
        <f ca="1">IFERROR(__xludf.DUMMYFUNCTION("""COMPUTED_VALUE"""),39300)</f>
        <v>39300</v>
      </c>
      <c r="L1579" s="2" t="str">
        <f ca="1">IFERROR(__xludf.DUMMYFUNCTION("""COMPUTED_VALUE"""),"a232f267")</f>
        <v>a232f267</v>
      </c>
      <c r="M1579" s="2" t="str">
        <f ca="1">IFERROR(__xludf.DUMMYFUNCTION("""COMPUTED_VALUE"""),"Malbec")</f>
        <v>Malbec</v>
      </c>
      <c r="N1579" s="2"/>
      <c r="O1579" s="2" t="str">
        <f ca="1">IFERROR(__xludf.DUMMYFUNCTION("""COMPUTED_VALUE"""),"Fermentando")</f>
        <v>Fermentando</v>
      </c>
      <c r="P1579" s="2" t="str">
        <f ca="1">IFERROR(__xludf.DUMMYFUNCTION("""COMPUTED_VALUE"""),"Descubada")</f>
        <v>Descubada</v>
      </c>
      <c r="Q1579" s="2" t="b">
        <f ca="1">IFERROR(__xludf.DUMMYFUNCTION("""COMPUTED_VALUE"""),TRUE)</f>
        <v>1</v>
      </c>
      <c r="R1579" s="2" t="str">
        <f ca="1">IFERROR(__xludf.DUMMYFUNCTION("""COMPUTED_VALUE"""),"Descubada")</f>
        <v>Descubada</v>
      </c>
      <c r="S1579" s="2"/>
      <c r="T1579" s="2"/>
      <c r="U1579" s="2"/>
    </row>
    <row r="1580" spans="1:21" x14ac:dyDescent="0.25">
      <c r="A1580" s="2" t="str">
        <f ca="1">IFERROR(__xludf.DUMMYFUNCTION("""COMPUTED_VALUE"""),"8ef5fc49")</f>
        <v>8ef5fc49</v>
      </c>
      <c r="B1580" s="5">
        <f ca="1">IFERROR(__xludf.DUMMYFUNCTION("""COMPUTED_VALUE"""),46126.8604976851)</f>
        <v>46126.860497685098</v>
      </c>
      <c r="C1580" s="2" t="str">
        <f ca="1">IFERROR(__xludf.DUMMYFUNCTION("""COMPUTED_VALUE"""),"a2de3afc")</f>
        <v>a2de3afc</v>
      </c>
      <c r="D1580" s="2">
        <f ca="1">IFERROR(__xludf.DUMMYFUNCTION("""COMPUTED_VALUE"""),96)</f>
        <v>96</v>
      </c>
      <c r="E1580" s="2" t="str">
        <f ca="1">IFERROR(__xludf.DUMMYFUNCTION("""COMPUTED_VALUE"""),"Bonarda NV - Cabernet Sau PC")</f>
        <v>Bonarda NV - Cabernet Sau PC</v>
      </c>
      <c r="F1580" s="2">
        <f ca="1">IFERROR(__xludf.DUMMYFUNCTION("""COMPUTED_VALUE"""),50000)</f>
        <v>50000</v>
      </c>
      <c r="G1580" s="2">
        <f ca="1">IFERROR(__xludf.DUMMYFUNCTION("""COMPUTED_VALUE"""),116)</f>
        <v>116</v>
      </c>
      <c r="H1580" s="2" t="str">
        <f ca="1">IFERROR(__xludf.DUMMYFUNCTION("""COMPUTED_VALUE"""),"bad2ded4")</f>
        <v>bad2ded4</v>
      </c>
      <c r="I1580" s="2" t="str">
        <f ca="1">IFERROR(__xludf.DUMMYFUNCTION("""COMPUTED_VALUE"""),"Bonarda")</f>
        <v>Bonarda</v>
      </c>
      <c r="J1580" s="2">
        <f ca="1">IFERROR(__xludf.DUMMYFUNCTION("""COMPUTED_VALUE"""),25000)</f>
        <v>25000</v>
      </c>
      <c r="K1580" s="2">
        <f ca="1">IFERROR(__xludf.DUMMYFUNCTION("""COMPUTED_VALUE"""),75000)</f>
        <v>75000</v>
      </c>
      <c r="L1580" s="2" t="str">
        <f ca="1">IFERROR(__xludf.DUMMYFUNCTION("""COMPUTED_VALUE"""),"2071cd43")</f>
        <v>2071cd43</v>
      </c>
      <c r="M1580" s="2" t="str">
        <f ca="1">IFERROR(__xludf.DUMMYFUNCTION("""COMPUTED_VALUE"""),"Bonarda")</f>
        <v>Bonarda</v>
      </c>
      <c r="N1580" s="2"/>
      <c r="O1580" s="2" t="str">
        <f ca="1">IFERROR(__xludf.DUMMYFUNCTION("""COMPUTED_VALUE"""),"Fermentando")</f>
        <v>Fermentando</v>
      </c>
      <c r="P1580" s="2" t="str">
        <f ca="1">IFERROR(__xludf.DUMMYFUNCTION("""COMPUTED_VALUE"""),"Descubada")</f>
        <v>Descubada</v>
      </c>
      <c r="Q1580" s="2" t="b">
        <f ca="1">IFERROR(__xludf.DUMMYFUNCTION("""COMPUTED_VALUE"""),TRUE)</f>
        <v>1</v>
      </c>
      <c r="R1580" s="2" t="str">
        <f ca="1">IFERROR(__xludf.DUMMYFUNCTION("""COMPUTED_VALUE"""),"Descubada")</f>
        <v>Descubada</v>
      </c>
      <c r="S1580" s="2"/>
      <c r="T1580" s="2"/>
      <c r="U1580" s="2"/>
    </row>
    <row r="1581" spans="1:21" x14ac:dyDescent="0.25">
      <c r="A1581" s="2" t="str">
        <f ca="1">IFERROR(__xludf.DUMMYFUNCTION("""COMPUTED_VALUE"""),"699d8b23")</f>
        <v>699d8b23</v>
      </c>
      <c r="B1581" s="5">
        <f ca="1">IFERROR(__xludf.DUMMYFUNCTION("""COMPUTED_VALUE"""),46127.8089930555)</f>
        <v>46127.8089930555</v>
      </c>
      <c r="C1581" s="2" t="str">
        <f ca="1">IFERROR(__xludf.DUMMYFUNCTION("""COMPUTED_VALUE"""),"59187353")</f>
        <v>59187353</v>
      </c>
      <c r="D1581" s="2">
        <f ca="1">IFERROR(__xludf.DUMMYFUNCTION("""COMPUTED_VALUE"""),117)</f>
        <v>117</v>
      </c>
      <c r="E1581" s="2" t="str">
        <f ca="1">IFERROR(__xludf.DUMMYFUNCTION("""COMPUTED_VALUE"""),"Criolla Mosto")</f>
        <v>Criolla Mosto</v>
      </c>
      <c r="F1581" s="2">
        <f ca="1">IFERROR(__xludf.DUMMYFUNCTION("""COMPUTED_VALUE"""),15000)</f>
        <v>15000</v>
      </c>
      <c r="G1581" s="2">
        <f ca="1">IFERROR(__xludf.DUMMYFUNCTION("""COMPUTED_VALUE"""),81)</f>
        <v>81</v>
      </c>
      <c r="H1581" s="2" t="str">
        <f ca="1">IFERROR(__xludf.DUMMYFUNCTION("""COMPUTED_VALUE"""),"cd07b237")</f>
        <v>cd07b237</v>
      </c>
      <c r="I1581" s="2" t="str">
        <f ca="1">IFERROR(__xludf.DUMMYFUNCTION("""COMPUTED_VALUE"""),"Malbec PC")</f>
        <v>Malbec PC</v>
      </c>
      <c r="J1581" s="2">
        <f ca="1">IFERROR(__xludf.DUMMYFUNCTION("""COMPUTED_VALUE"""),6000)</f>
        <v>6000</v>
      </c>
      <c r="K1581" s="2">
        <f ca="1">IFERROR(__xludf.DUMMYFUNCTION("""COMPUTED_VALUE"""),21000)</f>
        <v>21000</v>
      </c>
      <c r="L1581" s="2" t="str">
        <f ca="1">IFERROR(__xludf.DUMMYFUNCTION("""COMPUTED_VALUE"""),"cb11cfe9")</f>
        <v>cb11cfe9</v>
      </c>
      <c r="M1581" s="2" t="str">
        <f ca="1">IFERROR(__xludf.DUMMYFUNCTION("""COMPUTED_VALUE"""),"Criolla Recarga")</f>
        <v>Criolla Recarga</v>
      </c>
      <c r="N1581" s="2"/>
      <c r="O1581" s="2" t="str">
        <f ca="1">IFERROR(__xludf.DUMMYFUNCTION("""COMPUTED_VALUE"""),"Mosto")</f>
        <v>Mosto</v>
      </c>
      <c r="P1581" s="2" t="str">
        <f ca="1">IFERROR(__xludf.DUMMYFUNCTION("""COMPUTED_VALUE"""),"Fermentando")</f>
        <v>Fermentando</v>
      </c>
      <c r="Q1581" s="2" t="b">
        <f ca="1">IFERROR(__xludf.DUMMYFUNCTION("""COMPUTED_VALUE"""),FALSE)</f>
        <v>0</v>
      </c>
      <c r="R1581" s="2" t="str">
        <f ca="1">IFERROR(__xludf.DUMMYFUNCTION("""COMPUTED_VALUE"""),"Recarga Fermentando")</f>
        <v>Recarga Fermentando</v>
      </c>
      <c r="S1581" s="2"/>
      <c r="T1581" s="2"/>
      <c r="U1581" s="2"/>
    </row>
    <row r="1582" spans="1:21" x14ac:dyDescent="0.25">
      <c r="A1582" s="2" t="str">
        <f ca="1">IFERROR(__xludf.DUMMYFUNCTION("""COMPUTED_VALUE"""),"1c1e09a6")</f>
        <v>1c1e09a6</v>
      </c>
      <c r="B1582" s="5">
        <f ca="1">IFERROR(__xludf.DUMMYFUNCTION("""COMPUTED_VALUE"""),46127.8095833333)</f>
        <v>46127.809583333299</v>
      </c>
      <c r="C1582" s="2" t="str">
        <f ca="1">IFERROR(__xludf.DUMMYFUNCTION("""COMPUTED_VALUE"""),"59187353")</f>
        <v>59187353</v>
      </c>
      <c r="D1582" s="2">
        <f ca="1">IFERROR(__xludf.DUMMYFUNCTION("""COMPUTED_VALUE"""),117)</f>
        <v>117</v>
      </c>
      <c r="E1582" s="2" t="str">
        <f ca="1">IFERROR(__xludf.DUMMYFUNCTION("""COMPUTED_VALUE"""),"Criolla Mosto")</f>
        <v>Criolla Mosto</v>
      </c>
      <c r="F1582" s="2">
        <f ca="1">IFERROR(__xludf.DUMMYFUNCTION("""COMPUTED_VALUE"""),17000)</f>
        <v>17000</v>
      </c>
      <c r="G1582" s="2">
        <f ca="1">IFERROR(__xludf.DUMMYFUNCTION("""COMPUTED_VALUE"""),76)</f>
        <v>76</v>
      </c>
      <c r="H1582" s="2" t="str">
        <f ca="1">IFERROR(__xludf.DUMMYFUNCTION("""COMPUTED_VALUE"""),"86b4e029")</f>
        <v>86b4e029</v>
      </c>
      <c r="I1582" s="2" t="str">
        <f ca="1">IFERROR(__xludf.DUMMYFUNCTION("""COMPUTED_VALUE"""),"Malbec")</f>
        <v>Malbec</v>
      </c>
      <c r="J1582" s="2">
        <f ca="1">IFERROR(__xludf.DUMMYFUNCTION("""COMPUTED_VALUE"""),2800)</f>
        <v>2800</v>
      </c>
      <c r="K1582" s="2">
        <f ca="1">IFERROR(__xludf.DUMMYFUNCTION("""COMPUTED_VALUE"""),19800)</f>
        <v>19800</v>
      </c>
      <c r="L1582" s="2" t="str">
        <f ca="1">IFERROR(__xludf.DUMMYFUNCTION("""COMPUTED_VALUE"""),"2d6c9111")</f>
        <v>2d6c9111</v>
      </c>
      <c r="M1582" s="2" t="str">
        <f ca="1">IFERROR(__xludf.DUMMYFUNCTION("""COMPUTED_VALUE"""),"Criolla Recarga")</f>
        <v>Criolla Recarga</v>
      </c>
      <c r="N1582" s="2"/>
      <c r="O1582" s="2" t="str">
        <f ca="1">IFERROR(__xludf.DUMMYFUNCTION("""COMPUTED_VALUE"""),"Mosto")</f>
        <v>Mosto</v>
      </c>
      <c r="P1582" s="2" t="str">
        <f ca="1">IFERROR(__xludf.DUMMYFUNCTION("""COMPUTED_VALUE"""),"Fermentando")</f>
        <v>Fermentando</v>
      </c>
      <c r="Q1582" s="2" t="b">
        <f ca="1">IFERROR(__xludf.DUMMYFUNCTION("""COMPUTED_VALUE"""),FALSE)</f>
        <v>0</v>
      </c>
      <c r="R1582" s="2" t="str">
        <f ca="1">IFERROR(__xludf.DUMMYFUNCTION("""COMPUTED_VALUE"""),"Recarga Fermentando")</f>
        <v>Recarga Fermentando</v>
      </c>
      <c r="S1582" s="2"/>
      <c r="T1582" s="2"/>
      <c r="U1582" s="2"/>
    </row>
    <row r="1583" spans="1:21" x14ac:dyDescent="0.25">
      <c r="A1583" s="2" t="str">
        <f ca="1">IFERROR(__xludf.DUMMYFUNCTION("""COMPUTED_VALUE"""),"50a2c579")</f>
        <v>50a2c579</v>
      </c>
      <c r="B1583" s="5">
        <f ca="1">IFERROR(__xludf.DUMMYFUNCTION("""COMPUTED_VALUE"""),46127.81)</f>
        <v>46127.81</v>
      </c>
      <c r="C1583" s="2" t="str">
        <f ca="1">IFERROR(__xludf.DUMMYFUNCTION("""COMPUTED_VALUE"""),"59187353")</f>
        <v>59187353</v>
      </c>
      <c r="D1583" s="2">
        <f ca="1">IFERROR(__xludf.DUMMYFUNCTION("""COMPUTED_VALUE"""),117)</f>
        <v>117</v>
      </c>
      <c r="E1583" s="2" t="str">
        <f ca="1">IFERROR(__xludf.DUMMYFUNCTION("""COMPUTED_VALUE"""),"Criolla Mosto")</f>
        <v>Criolla Mosto</v>
      </c>
      <c r="F1583" s="2">
        <f ca="1">IFERROR(__xludf.DUMMYFUNCTION("""COMPUTED_VALUE"""),14000)</f>
        <v>14000</v>
      </c>
      <c r="G1583" s="2">
        <f ca="1">IFERROR(__xludf.DUMMYFUNCTION("""COMPUTED_VALUE"""),66)</f>
        <v>66</v>
      </c>
      <c r="H1583" s="2" t="str">
        <f ca="1">IFERROR(__xludf.DUMMYFUNCTION("""COMPUTED_VALUE"""),"d381a136")</f>
        <v>d381a136</v>
      </c>
      <c r="I1583" s="2" t="str">
        <f ca="1">IFERROR(__xludf.DUMMYFUNCTION("""COMPUTED_VALUE"""),"Malbec PC")</f>
        <v>Malbec PC</v>
      </c>
      <c r="J1583" s="2">
        <f ca="1">IFERROR(__xludf.DUMMYFUNCTION("""COMPUTED_VALUE"""),6000)</f>
        <v>6000</v>
      </c>
      <c r="K1583" s="2">
        <f ca="1">IFERROR(__xludf.DUMMYFUNCTION("""COMPUTED_VALUE"""),20000)</f>
        <v>20000</v>
      </c>
      <c r="L1583" s="2" t="str">
        <f ca="1">IFERROR(__xludf.DUMMYFUNCTION("""COMPUTED_VALUE"""),"a2a6d407")</f>
        <v>a2a6d407</v>
      </c>
      <c r="M1583" s="2" t="str">
        <f ca="1">IFERROR(__xludf.DUMMYFUNCTION("""COMPUTED_VALUE"""),"Criolla Recarga")</f>
        <v>Criolla Recarga</v>
      </c>
      <c r="N1583" s="2"/>
      <c r="O1583" s="2" t="str">
        <f ca="1">IFERROR(__xludf.DUMMYFUNCTION("""COMPUTED_VALUE"""),"Mosto")</f>
        <v>Mosto</v>
      </c>
      <c r="P1583" s="2" t="str">
        <f ca="1">IFERROR(__xludf.DUMMYFUNCTION("""COMPUTED_VALUE"""),"Fermentando")</f>
        <v>Fermentando</v>
      </c>
      <c r="Q1583" s="2" t="b">
        <f ca="1">IFERROR(__xludf.DUMMYFUNCTION("""COMPUTED_VALUE"""),FALSE)</f>
        <v>0</v>
      </c>
      <c r="R1583" s="2" t="str">
        <f ca="1">IFERROR(__xludf.DUMMYFUNCTION("""COMPUTED_VALUE"""),"Recarga Fermentando")</f>
        <v>Recarga Fermentando</v>
      </c>
      <c r="S1583" s="2"/>
      <c r="T1583" s="2"/>
      <c r="U1583" s="2"/>
    </row>
    <row r="1584" spans="1:21" x14ac:dyDescent="0.25">
      <c r="A1584" s="2" t="str">
        <f ca="1">IFERROR(__xludf.DUMMYFUNCTION("""COMPUTED_VALUE"""),"91e5ce5a")</f>
        <v>91e5ce5a</v>
      </c>
      <c r="B1584" s="5">
        <f ca="1">IFERROR(__xludf.DUMMYFUNCTION("""COMPUTED_VALUE"""),46127.8103472222)</f>
        <v>46127.810347222199</v>
      </c>
      <c r="C1584" s="2" t="str">
        <f ca="1">IFERROR(__xludf.DUMMYFUNCTION("""COMPUTED_VALUE"""),"59187353")</f>
        <v>59187353</v>
      </c>
      <c r="D1584" s="2">
        <f ca="1">IFERROR(__xludf.DUMMYFUNCTION("""COMPUTED_VALUE"""),117)</f>
        <v>117</v>
      </c>
      <c r="E1584" s="2" t="str">
        <f ca="1">IFERROR(__xludf.DUMMYFUNCTION("""COMPUTED_VALUE"""),"Criolla Mosto")</f>
        <v>Criolla Mosto</v>
      </c>
      <c r="F1584" s="2">
        <f ca="1">IFERROR(__xludf.DUMMYFUNCTION("""COMPUTED_VALUE"""),11000)</f>
        <v>11000</v>
      </c>
      <c r="G1584" s="2">
        <f ca="1">IFERROR(__xludf.DUMMYFUNCTION("""COMPUTED_VALUE"""),96)</f>
        <v>96</v>
      </c>
      <c r="H1584" s="2" t="str">
        <f ca="1">IFERROR(__xludf.DUMMYFUNCTION("""COMPUTED_VALUE"""),"a2de3afc")</f>
        <v>a2de3afc</v>
      </c>
      <c r="I1584" s="2" t="str">
        <f ca="1">IFERROR(__xludf.DUMMYFUNCTION("""COMPUTED_VALUE"""),"Bonarda NV - Cabernet Sau PC")</f>
        <v>Bonarda NV - Cabernet Sau PC</v>
      </c>
      <c r="J1584" s="2">
        <f ca="1">IFERROR(__xludf.DUMMYFUNCTION("""COMPUTED_VALUE"""),15500)</f>
        <v>15500</v>
      </c>
      <c r="K1584" s="2">
        <f ca="1">IFERROR(__xludf.DUMMYFUNCTION("""COMPUTED_VALUE"""),26500)</f>
        <v>26500</v>
      </c>
      <c r="L1584" s="2" t="str">
        <f ca="1">IFERROR(__xludf.DUMMYFUNCTION("""COMPUTED_VALUE"""),"dbe2e636")</f>
        <v>dbe2e636</v>
      </c>
      <c r="M1584" s="2" t="str">
        <f ca="1">IFERROR(__xludf.DUMMYFUNCTION("""COMPUTED_VALUE"""),"Criolla Recarga")</f>
        <v>Criolla Recarga</v>
      </c>
      <c r="N1584" s="2"/>
      <c r="O1584" s="2" t="str">
        <f ca="1">IFERROR(__xludf.DUMMYFUNCTION("""COMPUTED_VALUE"""),"Mosto")</f>
        <v>Mosto</v>
      </c>
      <c r="P1584" s="2" t="str">
        <f ca="1">IFERROR(__xludf.DUMMYFUNCTION("""COMPUTED_VALUE"""),"Fermentando")</f>
        <v>Fermentando</v>
      </c>
      <c r="Q1584" s="2" t="b">
        <f ca="1">IFERROR(__xludf.DUMMYFUNCTION("""COMPUTED_VALUE"""),FALSE)</f>
        <v>0</v>
      </c>
      <c r="R1584" s="2" t="str">
        <f ca="1">IFERROR(__xludf.DUMMYFUNCTION("""COMPUTED_VALUE"""),"Recarga Fermentando")</f>
        <v>Recarga Fermentando</v>
      </c>
      <c r="S1584" s="2"/>
      <c r="T1584" s="2"/>
      <c r="U1584" s="2"/>
    </row>
    <row r="1585" spans="1:21" x14ac:dyDescent="0.25">
      <c r="A1585" s="2" t="str">
        <f ca="1">IFERROR(__xludf.DUMMYFUNCTION("""COMPUTED_VALUE"""),"a377d9bb")</f>
        <v>a377d9bb</v>
      </c>
      <c r="B1585" s="5">
        <f ca="1">IFERROR(__xludf.DUMMYFUNCTION("""COMPUTED_VALUE"""),46127.8120601851)</f>
        <v>46127.812060185097</v>
      </c>
      <c r="C1585" s="2" t="str">
        <f ca="1">IFERROR(__xludf.DUMMYFUNCTION("""COMPUTED_VALUE"""),"cf68c2c6")</f>
        <v>cf68c2c6</v>
      </c>
      <c r="D1585" s="2">
        <f ca="1">IFERROR(__xludf.DUMMYFUNCTION("""COMPUTED_VALUE"""),89)</f>
        <v>89</v>
      </c>
      <c r="E1585" s="2" t="str">
        <f ca="1">IFERROR(__xludf.DUMMYFUNCTION("""COMPUTED_VALUE"""),"Bonarda")</f>
        <v>Bonarda</v>
      </c>
      <c r="F1585" s="2">
        <f ca="1">IFERROR(__xludf.DUMMYFUNCTION("""COMPUTED_VALUE"""),2000)</f>
        <v>2000</v>
      </c>
      <c r="G1585" s="2">
        <f ca="1">IFERROR(__xludf.DUMMYFUNCTION("""COMPUTED_VALUE"""),96)</f>
        <v>96</v>
      </c>
      <c r="H1585" s="2" t="str">
        <f ca="1">IFERROR(__xludf.DUMMYFUNCTION("""COMPUTED_VALUE"""),"dbe2e636")</f>
        <v>dbe2e636</v>
      </c>
      <c r="I1585" s="2" t="str">
        <f ca="1">IFERROR(__xludf.DUMMYFUNCTION("""COMPUTED_VALUE"""),"Criolla Recarga")</f>
        <v>Criolla Recarga</v>
      </c>
      <c r="J1585" s="2">
        <f ca="1">IFERROR(__xludf.DUMMYFUNCTION("""COMPUTED_VALUE"""),26500)</f>
        <v>26500</v>
      </c>
      <c r="K1585" s="2">
        <f ca="1">IFERROR(__xludf.DUMMYFUNCTION("""COMPUTED_VALUE"""),28500)</f>
        <v>28500</v>
      </c>
      <c r="L1585" s="2" t="str">
        <f ca="1">IFERROR(__xludf.DUMMYFUNCTION("""COMPUTED_VALUE"""),"aeeb8799")</f>
        <v>aeeb8799</v>
      </c>
      <c r="M1585" s="2" t="str">
        <f ca="1">IFERROR(__xludf.DUMMYFUNCTION("""COMPUTED_VALUE"""),"Criolla Recarga PC")</f>
        <v>Criolla Recarga PC</v>
      </c>
      <c r="N1585" s="2"/>
      <c r="O1585" s="2" t="str">
        <f ca="1">IFERROR(__xludf.DUMMYFUNCTION("""COMPUTED_VALUE"""),"Fermentando")</f>
        <v>Fermentando</v>
      </c>
      <c r="P1585" s="2" t="str">
        <f ca="1">IFERROR(__xludf.DUMMYFUNCTION("""COMPUTED_VALUE"""),"Recarga Fermentando")</f>
        <v>Recarga Fermentando</v>
      </c>
      <c r="Q1585" s="2" t="b">
        <f ca="1">IFERROR(__xludf.DUMMYFUNCTION("""COMPUTED_VALUE"""),TRUE)</f>
        <v>1</v>
      </c>
      <c r="R1585" s="2" t="str">
        <f ca="1">IFERROR(__xludf.DUMMYFUNCTION("""COMPUTED_VALUE"""),"Recarga Fermentando")</f>
        <v>Recarga Fermentando</v>
      </c>
      <c r="S1585" s="2"/>
      <c r="T1585" s="2"/>
      <c r="U1585" s="2"/>
    </row>
    <row r="1586" spans="1:21" x14ac:dyDescent="0.25">
      <c r="A1586" s="2" t="str">
        <f ca="1">IFERROR(__xludf.DUMMYFUNCTION("""COMPUTED_VALUE"""),"c474b9dd")</f>
        <v>c474b9dd</v>
      </c>
      <c r="B1586" s="5">
        <f ca="1">IFERROR(__xludf.DUMMYFUNCTION("""COMPUTED_VALUE"""),46127.8123263888)</f>
        <v>46127.812326388797</v>
      </c>
      <c r="C1586" s="2" t="str">
        <f ca="1">IFERROR(__xludf.DUMMYFUNCTION("""COMPUTED_VALUE"""),"cf68c2c6")</f>
        <v>cf68c2c6</v>
      </c>
      <c r="D1586" s="2">
        <f ca="1">IFERROR(__xludf.DUMMYFUNCTION("""COMPUTED_VALUE"""),89)</f>
        <v>89</v>
      </c>
      <c r="E1586" s="2" t="str">
        <f ca="1">IFERROR(__xludf.DUMMYFUNCTION("""COMPUTED_VALUE"""),"Bonarda")</f>
        <v>Bonarda</v>
      </c>
      <c r="F1586" s="2">
        <f ca="1">IFERROR(__xludf.DUMMYFUNCTION("""COMPUTED_VALUE"""),1500)</f>
        <v>1500</v>
      </c>
      <c r="G1586" s="2">
        <f ca="1">IFERROR(__xludf.DUMMYFUNCTION("""COMPUTED_VALUE"""),67)</f>
        <v>67</v>
      </c>
      <c r="H1586" s="2" t="str">
        <f ca="1">IFERROR(__xludf.DUMMYFUNCTION("""COMPUTED_VALUE"""),"27cd6e8f")</f>
        <v>27cd6e8f</v>
      </c>
      <c r="I1586" s="2" t="str">
        <f ca="1">IFERROR(__xludf.DUMMYFUNCTION("""COMPUTED_VALUE"""),"Criolla Recarga")</f>
        <v>Criolla Recarga</v>
      </c>
      <c r="J1586" s="2">
        <f ca="1">IFERROR(__xludf.DUMMYFUNCTION("""COMPUTED_VALUE"""),20000)</f>
        <v>20000</v>
      </c>
      <c r="K1586" s="2">
        <f ca="1">IFERROR(__xludf.DUMMYFUNCTION("""COMPUTED_VALUE"""),21500)</f>
        <v>21500</v>
      </c>
      <c r="L1586" s="2" t="str">
        <f ca="1">IFERROR(__xludf.DUMMYFUNCTION("""COMPUTED_VALUE"""),"d083b80a")</f>
        <v>d083b80a</v>
      </c>
      <c r="M1586" s="2" t="str">
        <f ca="1">IFERROR(__xludf.DUMMYFUNCTION("""COMPUTED_VALUE"""),"Criolla Recarga PC")</f>
        <v>Criolla Recarga PC</v>
      </c>
      <c r="N1586" s="2"/>
      <c r="O1586" s="2" t="str">
        <f ca="1">IFERROR(__xludf.DUMMYFUNCTION("""COMPUTED_VALUE"""),"Fermentando")</f>
        <v>Fermentando</v>
      </c>
      <c r="P1586" s="2" t="str">
        <f ca="1">IFERROR(__xludf.DUMMYFUNCTION("""COMPUTED_VALUE"""),"Recarga Fermentando")</f>
        <v>Recarga Fermentando</v>
      </c>
      <c r="Q1586" s="2" t="b">
        <f ca="1">IFERROR(__xludf.DUMMYFUNCTION("""COMPUTED_VALUE"""),TRUE)</f>
        <v>1</v>
      </c>
      <c r="R1586" s="2" t="str">
        <f ca="1">IFERROR(__xludf.DUMMYFUNCTION("""COMPUTED_VALUE"""),"Recarga Fermentando")</f>
        <v>Recarga Fermentando</v>
      </c>
      <c r="S1586" s="2"/>
      <c r="T1586" s="2"/>
      <c r="U1586" s="2"/>
    </row>
    <row r="1587" spans="1:21" x14ac:dyDescent="0.25">
      <c r="A1587" s="2" t="str">
        <f ca="1">IFERROR(__xludf.DUMMYFUNCTION("""COMPUTED_VALUE"""),"aa8f85fb")</f>
        <v>aa8f85fb</v>
      </c>
      <c r="B1587" s="5">
        <f ca="1">IFERROR(__xludf.DUMMYFUNCTION("""COMPUTED_VALUE"""),46127.8126504629)</f>
        <v>46127.812650462904</v>
      </c>
      <c r="C1587" s="2" t="str">
        <f ca="1">IFERROR(__xludf.DUMMYFUNCTION("""COMPUTED_VALUE"""),"cf68c2c6")</f>
        <v>cf68c2c6</v>
      </c>
      <c r="D1587" s="2">
        <f ca="1">IFERROR(__xludf.DUMMYFUNCTION("""COMPUTED_VALUE"""),89)</f>
        <v>89</v>
      </c>
      <c r="E1587" s="2" t="str">
        <f ca="1">IFERROR(__xludf.DUMMYFUNCTION("""COMPUTED_VALUE"""),"Bonarda")</f>
        <v>Bonarda</v>
      </c>
      <c r="F1587" s="2">
        <f ca="1">IFERROR(__xludf.DUMMYFUNCTION("""COMPUTED_VALUE"""),2000)</f>
        <v>2000</v>
      </c>
      <c r="G1587" s="2">
        <f ca="1">IFERROR(__xludf.DUMMYFUNCTION("""COMPUTED_VALUE"""),79)</f>
        <v>79</v>
      </c>
      <c r="H1587" s="2" t="str">
        <f ca="1">IFERROR(__xludf.DUMMYFUNCTION("""COMPUTED_VALUE"""),"91372a0c")</f>
        <v>91372a0c</v>
      </c>
      <c r="I1587" s="2" t="str">
        <f ca="1">IFERROR(__xludf.DUMMYFUNCTION("""COMPUTED_VALUE"""),"Criolla Recarga")</f>
        <v>Criolla Recarga</v>
      </c>
      <c r="J1587" s="2">
        <f ca="1">IFERROR(__xludf.DUMMYFUNCTION("""COMPUTED_VALUE"""),23800)</f>
        <v>23800</v>
      </c>
      <c r="K1587" s="2">
        <f ca="1">IFERROR(__xludf.DUMMYFUNCTION("""COMPUTED_VALUE"""),25800)</f>
        <v>25800</v>
      </c>
      <c r="L1587" s="2" t="str">
        <f ca="1">IFERROR(__xludf.DUMMYFUNCTION("""COMPUTED_VALUE"""),"a65efef7")</f>
        <v>a65efef7</v>
      </c>
      <c r="M1587" s="2" t="str">
        <f ca="1">IFERROR(__xludf.DUMMYFUNCTION("""COMPUTED_VALUE"""),"Criolla Recarga PC")</f>
        <v>Criolla Recarga PC</v>
      </c>
      <c r="N1587" s="2"/>
      <c r="O1587" s="2" t="str">
        <f ca="1">IFERROR(__xludf.DUMMYFUNCTION("""COMPUTED_VALUE"""),"Fermentando")</f>
        <v>Fermentando</v>
      </c>
      <c r="P1587" s="2" t="str">
        <f ca="1">IFERROR(__xludf.DUMMYFUNCTION("""COMPUTED_VALUE"""),"Recarga Fermentando")</f>
        <v>Recarga Fermentando</v>
      </c>
      <c r="Q1587" s="2" t="b">
        <f ca="1">IFERROR(__xludf.DUMMYFUNCTION("""COMPUTED_VALUE"""),TRUE)</f>
        <v>1</v>
      </c>
      <c r="R1587" s="2" t="str">
        <f ca="1">IFERROR(__xludf.DUMMYFUNCTION("""COMPUTED_VALUE"""),"Recarga Fermentando")</f>
        <v>Recarga Fermentando</v>
      </c>
      <c r="S1587" s="2"/>
      <c r="T1587" s="2"/>
      <c r="U1587" s="2"/>
    </row>
    <row r="1588" spans="1:21" x14ac:dyDescent="0.25">
      <c r="A1588" s="2" t="str">
        <f ca="1">IFERROR(__xludf.DUMMYFUNCTION("""COMPUTED_VALUE"""),"9e9e6a08")</f>
        <v>9e9e6a08</v>
      </c>
      <c r="B1588" s="5">
        <f ca="1">IFERROR(__xludf.DUMMYFUNCTION("""COMPUTED_VALUE"""),46127.8129166666)</f>
        <v>46127.812916666597</v>
      </c>
      <c r="C1588" s="2" t="str">
        <f ca="1">IFERROR(__xludf.DUMMYFUNCTION("""COMPUTED_VALUE"""),"cf68c2c6")</f>
        <v>cf68c2c6</v>
      </c>
      <c r="D1588" s="2">
        <f ca="1">IFERROR(__xludf.DUMMYFUNCTION("""COMPUTED_VALUE"""),89)</f>
        <v>89</v>
      </c>
      <c r="E1588" s="2" t="str">
        <f ca="1">IFERROR(__xludf.DUMMYFUNCTION("""COMPUTED_VALUE"""),"Bonarda")</f>
        <v>Bonarda</v>
      </c>
      <c r="F1588" s="2">
        <f ca="1">IFERROR(__xludf.DUMMYFUNCTION("""COMPUTED_VALUE"""),2000)</f>
        <v>2000</v>
      </c>
      <c r="G1588" s="2">
        <f ca="1">IFERROR(__xludf.DUMMYFUNCTION("""COMPUTED_VALUE"""),81)</f>
        <v>81</v>
      </c>
      <c r="H1588" s="2" t="str">
        <f ca="1">IFERROR(__xludf.DUMMYFUNCTION("""COMPUTED_VALUE"""),"cb11cfe9")</f>
        <v>cb11cfe9</v>
      </c>
      <c r="I1588" s="2" t="str">
        <f ca="1">IFERROR(__xludf.DUMMYFUNCTION("""COMPUTED_VALUE"""),"Criolla Recarga")</f>
        <v>Criolla Recarga</v>
      </c>
      <c r="J1588" s="2">
        <f ca="1">IFERROR(__xludf.DUMMYFUNCTION("""COMPUTED_VALUE"""),21000)</f>
        <v>21000</v>
      </c>
      <c r="K1588" s="2">
        <f ca="1">IFERROR(__xludf.DUMMYFUNCTION("""COMPUTED_VALUE"""),23000)</f>
        <v>23000</v>
      </c>
      <c r="L1588" s="2" t="str">
        <f ca="1">IFERROR(__xludf.DUMMYFUNCTION("""COMPUTED_VALUE"""),"9abdd345")</f>
        <v>9abdd345</v>
      </c>
      <c r="M1588" s="2" t="str">
        <f ca="1">IFERROR(__xludf.DUMMYFUNCTION("""COMPUTED_VALUE"""),"Criolla Recarga PC")</f>
        <v>Criolla Recarga PC</v>
      </c>
      <c r="N1588" s="2"/>
      <c r="O1588" s="2" t="str">
        <f ca="1">IFERROR(__xludf.DUMMYFUNCTION("""COMPUTED_VALUE"""),"Fermentando")</f>
        <v>Fermentando</v>
      </c>
      <c r="P1588" s="2" t="str">
        <f ca="1">IFERROR(__xludf.DUMMYFUNCTION("""COMPUTED_VALUE"""),"Recarga Fermentando")</f>
        <v>Recarga Fermentando</v>
      </c>
      <c r="Q1588" s="2" t="b">
        <f ca="1">IFERROR(__xludf.DUMMYFUNCTION("""COMPUTED_VALUE"""),TRUE)</f>
        <v>1</v>
      </c>
      <c r="R1588" s="2" t="str">
        <f ca="1">IFERROR(__xludf.DUMMYFUNCTION("""COMPUTED_VALUE"""),"Recarga Fermentando")</f>
        <v>Recarga Fermentando</v>
      </c>
      <c r="S1588" s="2"/>
      <c r="T1588" s="2"/>
      <c r="U1588" s="2"/>
    </row>
    <row r="1589" spans="1:21" x14ac:dyDescent="0.25">
      <c r="A1589" s="2" t="str">
        <f ca="1">IFERROR(__xludf.DUMMYFUNCTION("""COMPUTED_VALUE"""),"cfa840e6")</f>
        <v>cfa840e6</v>
      </c>
      <c r="B1589" s="5">
        <f ca="1">IFERROR(__xludf.DUMMYFUNCTION("""COMPUTED_VALUE"""),46127.8136805555)</f>
        <v>46127.813680555497</v>
      </c>
      <c r="C1589" s="2" t="str">
        <f ca="1">IFERROR(__xludf.DUMMYFUNCTION("""COMPUTED_VALUE"""),"cf68c2c6")</f>
        <v>cf68c2c6</v>
      </c>
      <c r="D1589" s="2">
        <f ca="1">IFERROR(__xludf.DUMMYFUNCTION("""COMPUTED_VALUE"""),89)</f>
        <v>89</v>
      </c>
      <c r="E1589" s="2" t="str">
        <f ca="1">IFERROR(__xludf.DUMMYFUNCTION("""COMPUTED_VALUE"""),"Bonarda")</f>
        <v>Bonarda</v>
      </c>
      <c r="F1589" s="2">
        <f ca="1">IFERROR(__xludf.DUMMYFUNCTION("""COMPUTED_VALUE"""),1500)</f>
        <v>1500</v>
      </c>
      <c r="G1589" s="2">
        <f ca="1">IFERROR(__xludf.DUMMYFUNCTION("""COMPUTED_VALUE"""),66)</f>
        <v>66</v>
      </c>
      <c r="H1589" s="2" t="str">
        <f ca="1">IFERROR(__xludf.DUMMYFUNCTION("""COMPUTED_VALUE"""),"a2a6d407")</f>
        <v>a2a6d407</v>
      </c>
      <c r="I1589" s="2" t="str">
        <f ca="1">IFERROR(__xludf.DUMMYFUNCTION("""COMPUTED_VALUE"""),"Criolla Recarga")</f>
        <v>Criolla Recarga</v>
      </c>
      <c r="J1589" s="2">
        <f ca="1">IFERROR(__xludf.DUMMYFUNCTION("""COMPUTED_VALUE"""),20000)</f>
        <v>20000</v>
      </c>
      <c r="K1589" s="2">
        <f ca="1">IFERROR(__xludf.DUMMYFUNCTION("""COMPUTED_VALUE"""),21500)</f>
        <v>21500</v>
      </c>
      <c r="L1589" s="2" t="str">
        <f ca="1">IFERROR(__xludf.DUMMYFUNCTION("""COMPUTED_VALUE"""),"2365fc81")</f>
        <v>2365fc81</v>
      </c>
      <c r="M1589" s="2" t="str">
        <f ca="1">IFERROR(__xludf.DUMMYFUNCTION("""COMPUTED_VALUE"""),"Criolla Recarga PC")</f>
        <v>Criolla Recarga PC</v>
      </c>
      <c r="N1589" s="2"/>
      <c r="O1589" s="2" t="str">
        <f ca="1">IFERROR(__xludf.DUMMYFUNCTION("""COMPUTED_VALUE"""),"Fermentando")</f>
        <v>Fermentando</v>
      </c>
      <c r="P1589" s="2" t="str">
        <f ca="1">IFERROR(__xludf.DUMMYFUNCTION("""COMPUTED_VALUE"""),"Recarga Fermentando")</f>
        <v>Recarga Fermentando</v>
      </c>
      <c r="Q1589" s="2" t="b">
        <f ca="1">IFERROR(__xludf.DUMMYFUNCTION("""COMPUTED_VALUE"""),TRUE)</f>
        <v>1</v>
      </c>
      <c r="R1589" s="2" t="str">
        <f ca="1">IFERROR(__xludf.DUMMYFUNCTION("""COMPUTED_VALUE"""),"Recarga Fermentando")</f>
        <v>Recarga Fermentando</v>
      </c>
      <c r="S1589" s="2"/>
      <c r="T1589" s="2"/>
      <c r="U1589" s="2"/>
    </row>
    <row r="1590" spans="1:21" x14ac:dyDescent="0.25">
      <c r="A1590" s="2" t="str">
        <f ca="1">IFERROR(__xludf.DUMMYFUNCTION("""COMPUTED_VALUE"""),"d72f086e")</f>
        <v>d72f086e</v>
      </c>
      <c r="B1590" s="5">
        <f ca="1">IFERROR(__xludf.DUMMYFUNCTION("""COMPUTED_VALUE"""),46127.8139930555)</f>
        <v>46127.813993055497</v>
      </c>
      <c r="C1590" s="2" t="str">
        <f ca="1">IFERROR(__xludf.DUMMYFUNCTION("""COMPUTED_VALUE"""),"cf68c2c6")</f>
        <v>cf68c2c6</v>
      </c>
      <c r="D1590" s="2">
        <f ca="1">IFERROR(__xludf.DUMMYFUNCTION("""COMPUTED_VALUE"""),89)</f>
        <v>89</v>
      </c>
      <c r="E1590" s="2" t="str">
        <f ca="1">IFERROR(__xludf.DUMMYFUNCTION("""COMPUTED_VALUE"""),"Bonarda")</f>
        <v>Bonarda</v>
      </c>
      <c r="F1590" s="2">
        <f ca="1">IFERROR(__xludf.DUMMYFUNCTION("""COMPUTED_VALUE"""),2000)</f>
        <v>2000</v>
      </c>
      <c r="G1590" s="2">
        <f ca="1">IFERROR(__xludf.DUMMYFUNCTION("""COMPUTED_VALUE"""),76)</f>
        <v>76</v>
      </c>
      <c r="H1590" s="2" t="str">
        <f ca="1">IFERROR(__xludf.DUMMYFUNCTION("""COMPUTED_VALUE"""),"2d6c9111")</f>
        <v>2d6c9111</v>
      </c>
      <c r="I1590" s="2" t="str">
        <f ca="1">IFERROR(__xludf.DUMMYFUNCTION("""COMPUTED_VALUE"""),"Criolla Recarga")</f>
        <v>Criolla Recarga</v>
      </c>
      <c r="J1590" s="2">
        <f ca="1">IFERROR(__xludf.DUMMYFUNCTION("""COMPUTED_VALUE"""),19800)</f>
        <v>19800</v>
      </c>
      <c r="K1590" s="2">
        <f ca="1">IFERROR(__xludf.DUMMYFUNCTION("""COMPUTED_VALUE"""),21800)</f>
        <v>21800</v>
      </c>
      <c r="L1590" s="2" t="str">
        <f ca="1">IFERROR(__xludf.DUMMYFUNCTION("""COMPUTED_VALUE"""),"7509d70b")</f>
        <v>7509d70b</v>
      </c>
      <c r="M1590" s="2" t="str">
        <f ca="1">IFERROR(__xludf.DUMMYFUNCTION("""COMPUTED_VALUE"""),"Criolla Recarga PC")</f>
        <v>Criolla Recarga PC</v>
      </c>
      <c r="N1590" s="2"/>
      <c r="O1590" s="2" t="str">
        <f ca="1">IFERROR(__xludf.DUMMYFUNCTION("""COMPUTED_VALUE"""),"Fermentando")</f>
        <v>Fermentando</v>
      </c>
      <c r="P1590" s="2" t="str">
        <f ca="1">IFERROR(__xludf.DUMMYFUNCTION("""COMPUTED_VALUE"""),"Recarga Fermentando")</f>
        <v>Recarga Fermentando</v>
      </c>
      <c r="Q1590" s="2" t="b">
        <f ca="1">IFERROR(__xludf.DUMMYFUNCTION("""COMPUTED_VALUE"""),TRUE)</f>
        <v>1</v>
      </c>
      <c r="R1590" s="2" t="str">
        <f ca="1">IFERROR(__xludf.DUMMYFUNCTION("""COMPUTED_VALUE"""),"Recarga Fermentando")</f>
        <v>Recarga Fermentando</v>
      </c>
      <c r="S1590" s="2"/>
      <c r="T1590" s="2"/>
      <c r="U1590" s="2"/>
    </row>
    <row r="1591" spans="1:21" x14ac:dyDescent="0.25">
      <c r="A1591" s="2" t="str">
        <f ca="1">IFERROR(__xludf.DUMMYFUNCTION("""COMPUTED_VALUE"""),"1e96857f")</f>
        <v>1e96857f</v>
      </c>
      <c r="B1591" s="5">
        <f ca="1">IFERROR(__xludf.DUMMYFUNCTION("""COMPUTED_VALUE"""),46127.8163541666)</f>
        <v>46127.8163541666</v>
      </c>
      <c r="C1591" s="2" t="str">
        <f ca="1">IFERROR(__xludf.DUMMYFUNCTION("""COMPUTED_VALUE"""),"e19785aa")</f>
        <v>e19785aa</v>
      </c>
      <c r="D1591" s="2">
        <f ca="1">IFERROR(__xludf.DUMMYFUNCTION("""COMPUTED_VALUE"""),92)</f>
        <v>92</v>
      </c>
      <c r="E1591" s="2" t="str">
        <f ca="1">IFERROR(__xludf.DUMMYFUNCTION("""COMPUTED_VALUE"""),"Malbec")</f>
        <v>Malbec</v>
      </c>
      <c r="F1591" s="2">
        <f ca="1">IFERROR(__xludf.DUMMYFUNCTION("""COMPUTED_VALUE"""),24600)</f>
        <v>24600</v>
      </c>
      <c r="G1591" s="2">
        <f ca="1">IFERROR(__xludf.DUMMYFUNCTION("""COMPUTED_VALUE"""),116)</f>
        <v>116</v>
      </c>
      <c r="H1591" s="2" t="str">
        <f ca="1">IFERROR(__xludf.DUMMYFUNCTION("""COMPUTED_VALUE"""),"2071cd43")</f>
        <v>2071cd43</v>
      </c>
      <c r="I1591" s="2" t="str">
        <f ca="1">IFERROR(__xludf.DUMMYFUNCTION("""COMPUTED_VALUE"""),"Bonarda")</f>
        <v>Bonarda</v>
      </c>
      <c r="J1591" s="2">
        <f ca="1">IFERROR(__xludf.DUMMYFUNCTION("""COMPUTED_VALUE"""),75000)</f>
        <v>75000</v>
      </c>
      <c r="K1591" s="2">
        <f ca="1">IFERROR(__xludf.DUMMYFUNCTION("""COMPUTED_VALUE"""),99600)</f>
        <v>99600</v>
      </c>
      <c r="L1591" s="2" t="str">
        <f ca="1">IFERROR(__xludf.DUMMYFUNCTION("""COMPUTED_VALUE"""),"2e2886b4")</f>
        <v>2e2886b4</v>
      </c>
      <c r="M1591" s="2" t="str">
        <f ca="1">IFERROR(__xludf.DUMMYFUNCTION("""COMPUTED_VALUE"""),"Bonarda")</f>
        <v>Bonarda</v>
      </c>
      <c r="N1591" s="2"/>
      <c r="O1591" s="2" t="str">
        <f ca="1">IFERROR(__xludf.DUMMYFUNCTION("""COMPUTED_VALUE"""),"Fermentando")</f>
        <v>Fermentando</v>
      </c>
      <c r="P1591" s="2" t="str">
        <f ca="1">IFERROR(__xludf.DUMMYFUNCTION("""COMPUTED_VALUE"""),"Descubada")</f>
        <v>Descubada</v>
      </c>
      <c r="Q1591" s="2" t="b">
        <f ca="1">IFERROR(__xludf.DUMMYFUNCTION("""COMPUTED_VALUE"""),TRUE)</f>
        <v>1</v>
      </c>
      <c r="R1591" s="2" t="str">
        <f ca="1">IFERROR(__xludf.DUMMYFUNCTION("""COMPUTED_VALUE"""),"Descubada")</f>
        <v>Descubada</v>
      </c>
      <c r="S1591" s="2"/>
      <c r="T1591" s="2"/>
      <c r="U1591" s="2"/>
    </row>
    <row r="1592" spans="1:21" x14ac:dyDescent="0.25">
      <c r="A1592" s="2" t="str">
        <f ca="1">IFERROR(__xludf.DUMMYFUNCTION("""COMPUTED_VALUE"""),"294c65db")</f>
        <v>294c65db</v>
      </c>
      <c r="B1592" s="5">
        <f ca="1">IFERROR(__xludf.DUMMYFUNCTION("""COMPUTED_VALUE"""),46128.8354629629)</f>
        <v>46128.835462962903</v>
      </c>
      <c r="C1592" s="2" t="str">
        <f ca="1">IFERROR(__xludf.DUMMYFUNCTION("""COMPUTED_VALUE"""),"38741cb2")</f>
        <v>38741cb2</v>
      </c>
      <c r="D1592" s="2">
        <f ca="1">IFERROR(__xludf.DUMMYFUNCTION("""COMPUTED_VALUE"""),91)</f>
        <v>91</v>
      </c>
      <c r="E1592" s="2" t="str">
        <f ca="1">IFERROR(__xludf.DUMMYFUNCTION("""COMPUTED_VALUE"""),"Bonarda Maq")</f>
        <v>Bonarda Maq</v>
      </c>
      <c r="F1592" s="2">
        <f ca="1">IFERROR(__xludf.DUMMYFUNCTION("""COMPUTED_VALUE"""),36000)</f>
        <v>36000</v>
      </c>
      <c r="G1592" s="2">
        <f ca="1">IFERROR(__xludf.DUMMYFUNCTION("""COMPUTED_VALUE"""),28)</f>
        <v>28</v>
      </c>
      <c r="H1592" s="2"/>
      <c r="I1592" s="2"/>
      <c r="J1592" s="2">
        <f ca="1">IFERROR(__xludf.DUMMYFUNCTION("""COMPUTED_VALUE"""),0)</f>
        <v>0</v>
      </c>
      <c r="K1592" s="2">
        <f ca="1">IFERROR(__xludf.DUMMYFUNCTION("""COMPUTED_VALUE"""),36000)</f>
        <v>36000</v>
      </c>
      <c r="L1592" s="2" t="str">
        <f ca="1">IFERROR(__xludf.DUMMYFUNCTION("""COMPUTED_VALUE"""),"414dde72")</f>
        <v>414dde72</v>
      </c>
      <c r="M1592" s="2" t="str">
        <f ca="1">IFERROR(__xludf.DUMMYFUNCTION("""COMPUTED_VALUE"""),"Bonarda Maq")</f>
        <v>Bonarda Maq</v>
      </c>
      <c r="N1592" s="2" t="str">
        <f ca="1">IFERROR(__xludf.DUMMYFUNCTION("""COMPUTED_VALUE"""),"Gota - Desvine")</f>
        <v>Gota - Desvine</v>
      </c>
      <c r="O1592" s="2" t="str">
        <f ca="1">IFERROR(__xludf.DUMMYFUNCTION("""COMPUTED_VALUE"""),"Fermentando")</f>
        <v>Fermentando</v>
      </c>
      <c r="P1592" s="2"/>
      <c r="Q1592" s="2" t="b">
        <f ca="1">IFERROR(__xludf.DUMMYFUNCTION("""COMPUTED_VALUE"""),FALSE)</f>
        <v>0</v>
      </c>
      <c r="R1592" s="2" t="str">
        <f ca="1">IFERROR(__xludf.DUMMYFUNCTION("""COMPUTED_VALUE"""),"Descubada")</f>
        <v>Descubada</v>
      </c>
      <c r="S1592" s="2"/>
      <c r="T1592" s="2"/>
      <c r="U1592" s="2"/>
    </row>
    <row r="1593" spans="1:21" x14ac:dyDescent="0.25">
      <c r="A1593" s="2" t="str">
        <f ca="1">IFERROR(__xludf.DUMMYFUNCTION("""COMPUTED_VALUE"""),"f3486cc3")</f>
        <v>f3486cc3</v>
      </c>
      <c r="B1593" s="5">
        <f ca="1">IFERROR(__xludf.DUMMYFUNCTION("""COMPUTED_VALUE"""),46128.8361921296)</f>
        <v>46128.836192129602</v>
      </c>
      <c r="C1593" s="2" t="str">
        <f ca="1">IFERROR(__xludf.DUMMYFUNCTION("""COMPUTED_VALUE"""),"8fd0424b")</f>
        <v>8fd0424b</v>
      </c>
      <c r="D1593" s="2">
        <f ca="1">IFERROR(__xludf.DUMMYFUNCTION("""COMPUTED_VALUE"""),84)</f>
        <v>84</v>
      </c>
      <c r="E1593" s="2" t="str">
        <f ca="1">IFERROR(__xludf.DUMMYFUNCTION("""COMPUTED_VALUE"""),"Bonarda")</f>
        <v>Bonarda</v>
      </c>
      <c r="F1593" s="2">
        <f ca="1">IFERROR(__xludf.DUMMYFUNCTION("""COMPUTED_VALUE"""),44500)</f>
        <v>44500</v>
      </c>
      <c r="G1593" s="2">
        <f ca="1">IFERROR(__xludf.DUMMYFUNCTION("""COMPUTED_VALUE"""),28)</f>
        <v>28</v>
      </c>
      <c r="H1593" s="2" t="str">
        <f ca="1">IFERROR(__xludf.DUMMYFUNCTION("""COMPUTED_VALUE"""),"414dde72")</f>
        <v>414dde72</v>
      </c>
      <c r="I1593" s="2" t="str">
        <f ca="1">IFERROR(__xludf.DUMMYFUNCTION("""COMPUTED_VALUE"""),"Bonarda Maq")</f>
        <v>Bonarda Maq</v>
      </c>
      <c r="J1593" s="2">
        <f ca="1">IFERROR(__xludf.DUMMYFUNCTION("""COMPUTED_VALUE"""),36000)</f>
        <v>36000</v>
      </c>
      <c r="K1593" s="2">
        <f ca="1">IFERROR(__xludf.DUMMYFUNCTION("""COMPUTED_VALUE"""),80500)</f>
        <v>80500</v>
      </c>
      <c r="L1593" s="2" t="str">
        <f ca="1">IFERROR(__xludf.DUMMYFUNCTION("""COMPUTED_VALUE"""),"d3360e8f")</f>
        <v>d3360e8f</v>
      </c>
      <c r="M1593" s="2" t="str">
        <f ca="1">IFERROR(__xludf.DUMMYFUNCTION("""COMPUTED_VALUE"""),"Bonarda Maq")</f>
        <v>Bonarda Maq</v>
      </c>
      <c r="N1593" s="2" t="str">
        <f ca="1">IFERROR(__xludf.DUMMYFUNCTION("""COMPUTED_VALUE"""),"Gota y prensa")</f>
        <v>Gota y prensa</v>
      </c>
      <c r="O1593" s="2" t="str">
        <f ca="1">IFERROR(__xludf.DUMMYFUNCTION("""COMPUTED_VALUE"""),"Fermentando")</f>
        <v>Fermentando</v>
      </c>
      <c r="P1593" s="2" t="str">
        <f ca="1">IFERROR(__xludf.DUMMYFUNCTION("""COMPUTED_VALUE"""),"Descubada")</f>
        <v>Descubada</v>
      </c>
      <c r="Q1593" s="2" t="b">
        <f ca="1">IFERROR(__xludf.DUMMYFUNCTION("""COMPUTED_VALUE"""),TRUE)</f>
        <v>1</v>
      </c>
      <c r="R1593" s="2" t="str">
        <f ca="1">IFERROR(__xludf.DUMMYFUNCTION("""COMPUTED_VALUE"""),"Descubada")</f>
        <v>Descubada</v>
      </c>
      <c r="S1593" s="2"/>
      <c r="T1593" s="2"/>
      <c r="U1593" s="2"/>
    </row>
    <row r="1594" spans="1:21" x14ac:dyDescent="0.25">
      <c r="A1594" s="2" t="str">
        <f ca="1">IFERROR(__xludf.DUMMYFUNCTION("""COMPUTED_VALUE"""),"5d082c02")</f>
        <v>5d082c02</v>
      </c>
      <c r="B1594" s="5">
        <f ca="1">IFERROR(__xludf.DUMMYFUNCTION("""COMPUTED_VALUE"""),46128.8399074074)</f>
        <v>46128.839907407397</v>
      </c>
      <c r="C1594" s="2" t="str">
        <f ca="1">IFERROR(__xludf.DUMMYFUNCTION("""COMPUTED_VALUE"""),"d083b80a")</f>
        <v>d083b80a</v>
      </c>
      <c r="D1594" s="2">
        <f ca="1">IFERROR(__xludf.DUMMYFUNCTION("""COMPUTED_VALUE"""),67)</f>
        <v>67</v>
      </c>
      <c r="E1594" s="2" t="str">
        <f ca="1">IFERROR(__xludf.DUMMYFUNCTION("""COMPUTED_VALUE"""),"Criolla Recarga PC")</f>
        <v>Criolla Recarga PC</v>
      </c>
      <c r="F1594" s="2">
        <f ca="1">IFERROR(__xludf.DUMMYFUNCTION("""COMPUTED_VALUE"""),-2000)</f>
        <v>-2000</v>
      </c>
      <c r="G1594" s="2">
        <f ca="1">IFERROR(__xludf.DUMMYFUNCTION("""COMPUTED_VALUE"""),54)</f>
        <v>54</v>
      </c>
      <c r="H1594" s="2" t="str">
        <f ca="1">IFERROR(__xludf.DUMMYFUNCTION("""COMPUTED_VALUE"""),"6738bd2f")</f>
        <v>6738bd2f</v>
      </c>
      <c r="I1594" s="2" t="str">
        <f ca="1">IFERROR(__xludf.DUMMYFUNCTION("""COMPUTED_VALUE"""),"Cabernet Sauvignon Rect")</f>
        <v>Cabernet Sauvignon Rect</v>
      </c>
      <c r="J1594" s="2">
        <f ca="1">IFERROR(__xludf.DUMMYFUNCTION("""COMPUTED_VALUE"""),17100)</f>
        <v>17100</v>
      </c>
      <c r="K1594" s="2">
        <f ca="1">IFERROR(__xludf.DUMMYFUNCTION("""COMPUTED_VALUE"""),15100)</f>
        <v>15100</v>
      </c>
      <c r="L1594" s="2" t="str">
        <f ca="1">IFERROR(__xludf.DUMMYFUNCTION("""COMPUTED_VALUE"""),"0e31125c")</f>
        <v>0e31125c</v>
      </c>
      <c r="M1594" s="2" t="str">
        <f ca="1">IFERROR(__xludf.DUMMYFUNCTION("""COMPUTED_VALUE"""),"Cabernet Sauvignon Rect")</f>
        <v>Cabernet Sauvignon Rect</v>
      </c>
      <c r="N1594" s="2"/>
      <c r="O1594" s="2" t="str">
        <f ca="1">IFERROR(__xludf.DUMMYFUNCTION("""COMPUTED_VALUE"""),"Recarga Fermentando")</f>
        <v>Recarga Fermentando</v>
      </c>
      <c r="P1594" s="2" t="str">
        <f ca="1">IFERROR(__xludf.DUMMYFUNCTION("""COMPUTED_VALUE"""),"Rectificado")</f>
        <v>Rectificado</v>
      </c>
      <c r="Q1594" s="2" t="b">
        <f ca="1">IFERROR(__xludf.DUMMYFUNCTION("""COMPUTED_VALUE"""),TRUE)</f>
        <v>1</v>
      </c>
      <c r="R1594" s="2" t="str">
        <f ca="1">IFERROR(__xludf.DUMMYFUNCTION("""COMPUTED_VALUE"""),"Rectificado")</f>
        <v>Rectificado</v>
      </c>
      <c r="S1594" s="2"/>
      <c r="T1594" s="2"/>
      <c r="U1594" s="2" t="str">
        <f ca="1">IFERROR(__xludf.DUMMYFUNCTION("""COMPUTED_VALUE"""),"1")</f>
        <v>1</v>
      </c>
    </row>
    <row r="1595" spans="1:21" x14ac:dyDescent="0.25">
      <c r="A1595" s="2" t="str">
        <f ca="1">IFERROR(__xludf.DUMMYFUNCTION("""COMPUTED_VALUE"""),"a8ee9c37")</f>
        <v>a8ee9c37</v>
      </c>
      <c r="B1595" s="5">
        <f ca="1">IFERROR(__xludf.DUMMYFUNCTION("""COMPUTED_VALUE"""),46128.8402314814)</f>
        <v>46128.840231481401</v>
      </c>
      <c r="C1595" s="2" t="str">
        <f ca="1">IFERROR(__xludf.DUMMYFUNCTION("""COMPUTED_VALUE"""),"a65efef7")</f>
        <v>a65efef7</v>
      </c>
      <c r="D1595" s="2">
        <f ca="1">IFERROR(__xludf.DUMMYFUNCTION("""COMPUTED_VALUE"""),79)</f>
        <v>79</v>
      </c>
      <c r="E1595" s="2" t="str">
        <f ca="1">IFERROR(__xludf.DUMMYFUNCTION("""COMPUTED_VALUE"""),"Criolla Recarga PC")</f>
        <v>Criolla Recarga PC</v>
      </c>
      <c r="F1595" s="2">
        <f ca="1">IFERROR(__xludf.DUMMYFUNCTION("""COMPUTED_VALUE"""),-2000)</f>
        <v>-2000</v>
      </c>
      <c r="G1595" s="2">
        <f ca="1">IFERROR(__xludf.DUMMYFUNCTION("""COMPUTED_VALUE"""),54)</f>
        <v>54</v>
      </c>
      <c r="H1595" s="2" t="str">
        <f ca="1">IFERROR(__xludf.DUMMYFUNCTION("""COMPUTED_VALUE"""),"0e31125c")</f>
        <v>0e31125c</v>
      </c>
      <c r="I1595" s="2" t="str">
        <f ca="1">IFERROR(__xludf.DUMMYFUNCTION("""COMPUTED_VALUE"""),"Cabernet Sauvignon Rect")</f>
        <v>Cabernet Sauvignon Rect</v>
      </c>
      <c r="J1595" s="2">
        <f ca="1">IFERROR(__xludf.DUMMYFUNCTION("""COMPUTED_VALUE"""),15100)</f>
        <v>15100</v>
      </c>
      <c r="K1595" s="2">
        <f ca="1">IFERROR(__xludf.DUMMYFUNCTION("""COMPUTED_VALUE"""),13100)</f>
        <v>13100</v>
      </c>
      <c r="L1595" s="2" t="str">
        <f ca="1">IFERROR(__xludf.DUMMYFUNCTION("""COMPUTED_VALUE"""),"f3a4db59")</f>
        <v>f3a4db59</v>
      </c>
      <c r="M1595" s="2" t="str">
        <f ca="1">IFERROR(__xludf.DUMMYFUNCTION("""COMPUTED_VALUE"""),"Cabernet Sauvignon Rect")</f>
        <v>Cabernet Sauvignon Rect</v>
      </c>
      <c r="N1595" s="2"/>
      <c r="O1595" s="2" t="str">
        <f ca="1">IFERROR(__xludf.DUMMYFUNCTION("""COMPUTED_VALUE"""),"Recarga Fermentando")</f>
        <v>Recarga Fermentando</v>
      </c>
      <c r="P1595" s="2" t="str">
        <f ca="1">IFERROR(__xludf.DUMMYFUNCTION("""COMPUTED_VALUE"""),"Rectificado")</f>
        <v>Rectificado</v>
      </c>
      <c r="Q1595" s="2" t="b">
        <f ca="1">IFERROR(__xludf.DUMMYFUNCTION("""COMPUTED_VALUE"""),TRUE)</f>
        <v>1</v>
      </c>
      <c r="R1595" s="2" t="str">
        <f ca="1">IFERROR(__xludf.DUMMYFUNCTION("""COMPUTED_VALUE"""),"Rectificado")</f>
        <v>Rectificado</v>
      </c>
      <c r="S1595" s="2"/>
      <c r="T1595" s="2"/>
      <c r="U1595" s="2" t="str">
        <f ca="1">IFERROR(__xludf.DUMMYFUNCTION("""COMPUTED_VALUE"""),"1")</f>
        <v>1</v>
      </c>
    </row>
    <row r="1596" spans="1:21" x14ac:dyDescent="0.25">
      <c r="A1596" s="2" t="str">
        <f ca="1">IFERROR(__xludf.DUMMYFUNCTION("""COMPUTED_VALUE"""),"328a7886")</f>
        <v>328a7886</v>
      </c>
      <c r="B1596" s="5">
        <f ca="1">IFERROR(__xludf.DUMMYFUNCTION("""COMPUTED_VALUE"""),46128.8404513888)</f>
        <v>46128.840451388802</v>
      </c>
      <c r="C1596" s="2" t="str">
        <f ca="1">IFERROR(__xludf.DUMMYFUNCTION("""COMPUTED_VALUE"""),"9abdd345")</f>
        <v>9abdd345</v>
      </c>
      <c r="D1596" s="2">
        <f ca="1">IFERROR(__xludf.DUMMYFUNCTION("""COMPUTED_VALUE"""),81)</f>
        <v>81</v>
      </c>
      <c r="E1596" s="2" t="str">
        <f ca="1">IFERROR(__xludf.DUMMYFUNCTION("""COMPUTED_VALUE"""),"Criolla Recarga PC")</f>
        <v>Criolla Recarga PC</v>
      </c>
      <c r="F1596" s="2">
        <f ca="1">IFERROR(__xludf.DUMMYFUNCTION("""COMPUTED_VALUE"""),-2000)</f>
        <v>-2000</v>
      </c>
      <c r="G1596" s="2">
        <f ca="1">IFERROR(__xludf.DUMMYFUNCTION("""COMPUTED_VALUE"""),54)</f>
        <v>54</v>
      </c>
      <c r="H1596" s="2" t="str">
        <f ca="1">IFERROR(__xludf.DUMMYFUNCTION("""COMPUTED_VALUE"""),"f3a4db59")</f>
        <v>f3a4db59</v>
      </c>
      <c r="I1596" s="2" t="str">
        <f ca="1">IFERROR(__xludf.DUMMYFUNCTION("""COMPUTED_VALUE"""),"Cabernet Sauvignon Rect")</f>
        <v>Cabernet Sauvignon Rect</v>
      </c>
      <c r="J1596" s="2">
        <f ca="1">IFERROR(__xludf.DUMMYFUNCTION("""COMPUTED_VALUE"""),13100)</f>
        <v>13100</v>
      </c>
      <c r="K1596" s="2">
        <f ca="1">IFERROR(__xludf.DUMMYFUNCTION("""COMPUTED_VALUE"""),11100)</f>
        <v>11100</v>
      </c>
      <c r="L1596" s="2" t="str">
        <f ca="1">IFERROR(__xludf.DUMMYFUNCTION("""COMPUTED_VALUE"""),"d24cdc82")</f>
        <v>d24cdc82</v>
      </c>
      <c r="M1596" s="2" t="str">
        <f ca="1">IFERROR(__xludf.DUMMYFUNCTION("""COMPUTED_VALUE"""),"Cabernet Sauvignon Rect")</f>
        <v>Cabernet Sauvignon Rect</v>
      </c>
      <c r="N1596" s="2"/>
      <c r="O1596" s="2" t="str">
        <f ca="1">IFERROR(__xludf.DUMMYFUNCTION("""COMPUTED_VALUE"""),"Recarga Fermentando")</f>
        <v>Recarga Fermentando</v>
      </c>
      <c r="P1596" s="2" t="str">
        <f ca="1">IFERROR(__xludf.DUMMYFUNCTION("""COMPUTED_VALUE"""),"Rectificado")</f>
        <v>Rectificado</v>
      </c>
      <c r="Q1596" s="2" t="b">
        <f ca="1">IFERROR(__xludf.DUMMYFUNCTION("""COMPUTED_VALUE"""),TRUE)</f>
        <v>1</v>
      </c>
      <c r="R1596" s="2" t="str">
        <f ca="1">IFERROR(__xludf.DUMMYFUNCTION("""COMPUTED_VALUE"""),"Rectificado")</f>
        <v>Rectificado</v>
      </c>
      <c r="S1596" s="2"/>
      <c r="T1596" s="2"/>
      <c r="U1596" s="2" t="str">
        <f ca="1">IFERROR(__xludf.DUMMYFUNCTION("""COMPUTED_VALUE"""),"1")</f>
        <v>1</v>
      </c>
    </row>
    <row r="1597" spans="1:21" x14ac:dyDescent="0.25">
      <c r="A1597" s="2" t="str">
        <f ca="1">IFERROR(__xludf.DUMMYFUNCTION("""COMPUTED_VALUE"""),"af2e57c2")</f>
        <v>af2e57c2</v>
      </c>
      <c r="B1597" s="5">
        <f ca="1">IFERROR(__xludf.DUMMYFUNCTION("""COMPUTED_VALUE"""),46128.8408564814)</f>
        <v>46128.840856481402</v>
      </c>
      <c r="C1597" s="2" t="str">
        <f ca="1">IFERROR(__xludf.DUMMYFUNCTION("""COMPUTED_VALUE"""),"2365fc81")</f>
        <v>2365fc81</v>
      </c>
      <c r="D1597" s="2">
        <f ca="1">IFERROR(__xludf.DUMMYFUNCTION("""COMPUTED_VALUE"""),66)</f>
        <v>66</v>
      </c>
      <c r="E1597" s="2" t="str">
        <f ca="1">IFERROR(__xludf.DUMMYFUNCTION("""COMPUTED_VALUE"""),"Criolla Recarga PC")</f>
        <v>Criolla Recarga PC</v>
      </c>
      <c r="F1597" s="2">
        <f ca="1">IFERROR(__xludf.DUMMYFUNCTION("""COMPUTED_VALUE"""),-1000)</f>
        <v>-1000</v>
      </c>
      <c r="G1597" s="2">
        <f ca="1">IFERROR(__xludf.DUMMYFUNCTION("""COMPUTED_VALUE"""),54)</f>
        <v>54</v>
      </c>
      <c r="H1597" s="2" t="str">
        <f ca="1">IFERROR(__xludf.DUMMYFUNCTION("""COMPUTED_VALUE"""),"d24cdc82")</f>
        <v>d24cdc82</v>
      </c>
      <c r="I1597" s="2" t="str">
        <f ca="1">IFERROR(__xludf.DUMMYFUNCTION("""COMPUTED_VALUE"""),"Cabernet Sauvignon Rect")</f>
        <v>Cabernet Sauvignon Rect</v>
      </c>
      <c r="J1597" s="2">
        <f ca="1">IFERROR(__xludf.DUMMYFUNCTION("""COMPUTED_VALUE"""),11100)</f>
        <v>11100</v>
      </c>
      <c r="K1597" s="2">
        <f ca="1">IFERROR(__xludf.DUMMYFUNCTION("""COMPUTED_VALUE"""),10100)</f>
        <v>10100</v>
      </c>
      <c r="L1597" s="2" t="str">
        <f ca="1">IFERROR(__xludf.DUMMYFUNCTION("""COMPUTED_VALUE"""),"2ea78e63")</f>
        <v>2ea78e63</v>
      </c>
      <c r="M1597" s="2" t="str">
        <f ca="1">IFERROR(__xludf.DUMMYFUNCTION("""COMPUTED_VALUE"""),"Cabernet Sauvignon Rect")</f>
        <v>Cabernet Sauvignon Rect</v>
      </c>
      <c r="N1597" s="2"/>
      <c r="O1597" s="2" t="str">
        <f ca="1">IFERROR(__xludf.DUMMYFUNCTION("""COMPUTED_VALUE"""),"Recarga Fermentando")</f>
        <v>Recarga Fermentando</v>
      </c>
      <c r="P1597" s="2" t="str">
        <f ca="1">IFERROR(__xludf.DUMMYFUNCTION("""COMPUTED_VALUE"""),"Rectificado")</f>
        <v>Rectificado</v>
      </c>
      <c r="Q1597" s="2" t="b">
        <f ca="1">IFERROR(__xludf.DUMMYFUNCTION("""COMPUTED_VALUE"""),TRUE)</f>
        <v>1</v>
      </c>
      <c r="R1597" s="2" t="str">
        <f ca="1">IFERROR(__xludf.DUMMYFUNCTION("""COMPUTED_VALUE"""),"Rectificado")</f>
        <v>Rectificado</v>
      </c>
      <c r="S1597" s="2"/>
      <c r="T1597" s="2"/>
      <c r="U1597" s="2" t="str">
        <f ca="1">IFERROR(__xludf.DUMMYFUNCTION("""COMPUTED_VALUE"""),"1")</f>
        <v>1</v>
      </c>
    </row>
    <row r="1598" spans="1:21" x14ac:dyDescent="0.25">
      <c r="A1598" s="2" t="str">
        <f ca="1">IFERROR(__xludf.DUMMYFUNCTION("""COMPUTED_VALUE"""),"dd724348")</f>
        <v>dd724348</v>
      </c>
      <c r="B1598" s="5">
        <f ca="1">IFERROR(__xludf.DUMMYFUNCTION("""COMPUTED_VALUE"""),46128.8411342592)</f>
        <v>46128.841134259201</v>
      </c>
      <c r="C1598" s="2" t="str">
        <f ca="1">IFERROR(__xludf.DUMMYFUNCTION("""COMPUTED_VALUE"""),"7509d70b")</f>
        <v>7509d70b</v>
      </c>
      <c r="D1598" s="2">
        <f ca="1">IFERROR(__xludf.DUMMYFUNCTION("""COMPUTED_VALUE"""),76)</f>
        <v>76</v>
      </c>
      <c r="E1598" s="2" t="str">
        <f ca="1">IFERROR(__xludf.DUMMYFUNCTION("""COMPUTED_VALUE"""),"Criolla Recarga PC")</f>
        <v>Criolla Recarga PC</v>
      </c>
      <c r="F1598" s="2">
        <f ca="1">IFERROR(__xludf.DUMMYFUNCTION("""COMPUTED_VALUE"""),-2000)</f>
        <v>-2000</v>
      </c>
      <c r="G1598" s="2">
        <f ca="1">IFERROR(__xludf.DUMMYFUNCTION("""COMPUTED_VALUE"""),54)</f>
        <v>54</v>
      </c>
      <c r="H1598" s="2" t="str">
        <f ca="1">IFERROR(__xludf.DUMMYFUNCTION("""COMPUTED_VALUE"""),"2ea78e63")</f>
        <v>2ea78e63</v>
      </c>
      <c r="I1598" s="2" t="str">
        <f ca="1">IFERROR(__xludf.DUMMYFUNCTION("""COMPUTED_VALUE"""),"Cabernet Sauvignon Rect")</f>
        <v>Cabernet Sauvignon Rect</v>
      </c>
      <c r="J1598" s="2">
        <f ca="1">IFERROR(__xludf.DUMMYFUNCTION("""COMPUTED_VALUE"""),10100)</f>
        <v>10100</v>
      </c>
      <c r="K1598" s="2">
        <f ca="1">IFERROR(__xludf.DUMMYFUNCTION("""COMPUTED_VALUE"""),8100)</f>
        <v>8100</v>
      </c>
      <c r="L1598" s="2" t="str">
        <f ca="1">IFERROR(__xludf.DUMMYFUNCTION("""COMPUTED_VALUE"""),"27c9b381")</f>
        <v>27c9b381</v>
      </c>
      <c r="M1598" s="2" t="str">
        <f ca="1">IFERROR(__xludf.DUMMYFUNCTION("""COMPUTED_VALUE"""),"Cabernet Sauvignon Rect")</f>
        <v>Cabernet Sauvignon Rect</v>
      </c>
      <c r="N1598" s="2"/>
      <c r="O1598" s="2" t="str">
        <f ca="1">IFERROR(__xludf.DUMMYFUNCTION("""COMPUTED_VALUE"""),"Recarga Fermentando")</f>
        <v>Recarga Fermentando</v>
      </c>
      <c r="P1598" s="2" t="str">
        <f ca="1">IFERROR(__xludf.DUMMYFUNCTION("""COMPUTED_VALUE"""),"Rectificado")</f>
        <v>Rectificado</v>
      </c>
      <c r="Q1598" s="2" t="b">
        <f ca="1">IFERROR(__xludf.DUMMYFUNCTION("""COMPUTED_VALUE"""),TRUE)</f>
        <v>1</v>
      </c>
      <c r="R1598" s="2" t="str">
        <f ca="1">IFERROR(__xludf.DUMMYFUNCTION("""COMPUTED_VALUE"""),"Rectificado")</f>
        <v>Rectificado</v>
      </c>
      <c r="S1598" s="2"/>
      <c r="T1598" s="2"/>
      <c r="U1598" s="2" t="str">
        <f ca="1">IFERROR(__xludf.DUMMYFUNCTION("""COMPUTED_VALUE"""),"1")</f>
        <v>1</v>
      </c>
    </row>
    <row r="1599" spans="1:21" x14ac:dyDescent="0.25">
      <c r="A1599" s="2" t="str">
        <f ca="1">IFERROR(__xludf.DUMMYFUNCTION("""COMPUTED_VALUE"""),"eabd9a7b")</f>
        <v>eabd9a7b</v>
      </c>
      <c r="B1599" s="5">
        <f ca="1">IFERROR(__xludf.DUMMYFUNCTION("""COMPUTED_VALUE"""),46128.8415393518)</f>
        <v>46128.841539351801</v>
      </c>
      <c r="C1599" s="2" t="str">
        <f ca="1">IFERROR(__xludf.DUMMYFUNCTION("""COMPUTED_VALUE"""),"aeeb8799")</f>
        <v>aeeb8799</v>
      </c>
      <c r="D1599" s="2">
        <f ca="1">IFERROR(__xludf.DUMMYFUNCTION("""COMPUTED_VALUE"""),96)</f>
        <v>96</v>
      </c>
      <c r="E1599" s="2" t="str">
        <f ca="1">IFERROR(__xludf.DUMMYFUNCTION("""COMPUTED_VALUE"""),"Criolla Recarga PC")</f>
        <v>Criolla Recarga PC</v>
      </c>
      <c r="F1599" s="2">
        <f ca="1">IFERROR(__xludf.DUMMYFUNCTION("""COMPUTED_VALUE"""),-3000)</f>
        <v>-3000</v>
      </c>
      <c r="G1599" s="2">
        <f ca="1">IFERROR(__xludf.DUMMYFUNCTION("""COMPUTED_VALUE"""),54)</f>
        <v>54</v>
      </c>
      <c r="H1599" s="2" t="str">
        <f ca="1">IFERROR(__xludf.DUMMYFUNCTION("""COMPUTED_VALUE"""),"27c9b381")</f>
        <v>27c9b381</v>
      </c>
      <c r="I1599" s="2" t="str">
        <f ca="1">IFERROR(__xludf.DUMMYFUNCTION("""COMPUTED_VALUE"""),"Cabernet Sauvignon Rect")</f>
        <v>Cabernet Sauvignon Rect</v>
      </c>
      <c r="J1599" s="2">
        <f ca="1">IFERROR(__xludf.DUMMYFUNCTION("""COMPUTED_VALUE"""),8100)</f>
        <v>8100</v>
      </c>
      <c r="K1599" s="2">
        <f ca="1">IFERROR(__xludf.DUMMYFUNCTION("""COMPUTED_VALUE"""),5100)</f>
        <v>5100</v>
      </c>
      <c r="L1599" s="2" t="str">
        <f ca="1">IFERROR(__xludf.DUMMYFUNCTION("""COMPUTED_VALUE"""),"e849909d")</f>
        <v>e849909d</v>
      </c>
      <c r="M1599" s="2" t="str">
        <f ca="1">IFERROR(__xludf.DUMMYFUNCTION("""COMPUTED_VALUE"""),"Cabernet Sauvignon Rect")</f>
        <v>Cabernet Sauvignon Rect</v>
      </c>
      <c r="N1599" s="2"/>
      <c r="O1599" s="2" t="str">
        <f ca="1">IFERROR(__xludf.DUMMYFUNCTION("""COMPUTED_VALUE"""),"Recarga Fermentando")</f>
        <v>Recarga Fermentando</v>
      </c>
      <c r="P1599" s="2" t="str">
        <f ca="1">IFERROR(__xludf.DUMMYFUNCTION("""COMPUTED_VALUE"""),"Rectificado")</f>
        <v>Rectificado</v>
      </c>
      <c r="Q1599" s="2" t="b">
        <f ca="1">IFERROR(__xludf.DUMMYFUNCTION("""COMPUTED_VALUE"""),TRUE)</f>
        <v>1</v>
      </c>
      <c r="R1599" s="2" t="str">
        <f ca="1">IFERROR(__xludf.DUMMYFUNCTION("""COMPUTED_VALUE"""),"Rectificado")</f>
        <v>Rectificado</v>
      </c>
      <c r="S1599" s="2"/>
      <c r="T1599" s="2"/>
      <c r="U1599" s="2" t="str">
        <f ca="1">IFERROR(__xludf.DUMMYFUNCTION("""COMPUTED_VALUE"""),"1")</f>
        <v>1</v>
      </c>
    </row>
    <row r="1600" spans="1:21" x14ac:dyDescent="0.25">
      <c r="A1600" s="2" t="str">
        <f ca="1">IFERROR(__xludf.DUMMYFUNCTION("""COMPUTED_VALUE"""),"91cf78a2")</f>
        <v>91cf78a2</v>
      </c>
      <c r="B1600" s="5">
        <f ca="1">IFERROR(__xludf.DUMMYFUNCTION("""COMPUTED_VALUE"""),46128.8420254629)</f>
        <v>46128.842025462902</v>
      </c>
      <c r="C1600" s="2" t="str">
        <f ca="1">IFERROR(__xludf.DUMMYFUNCTION("""COMPUTED_VALUE"""),"e19785aa")</f>
        <v>e19785aa</v>
      </c>
      <c r="D1600" s="2">
        <f ca="1">IFERROR(__xludf.DUMMYFUNCTION("""COMPUTED_VALUE"""),92)</f>
        <v>92</v>
      </c>
      <c r="E1600" s="2" t="str">
        <f ca="1">IFERROR(__xludf.DUMMYFUNCTION("""COMPUTED_VALUE"""),"Malbec")</f>
        <v>Malbec</v>
      </c>
      <c r="F1600" s="2">
        <f ca="1">IFERROR(__xludf.DUMMYFUNCTION("""COMPUTED_VALUE"""),-3000)</f>
        <v>-3000</v>
      </c>
      <c r="G1600" s="2">
        <f ca="1">IFERROR(__xludf.DUMMYFUNCTION("""COMPUTED_VALUE"""),54)</f>
        <v>54</v>
      </c>
      <c r="H1600" s="2" t="str">
        <f ca="1">IFERROR(__xludf.DUMMYFUNCTION("""COMPUTED_VALUE"""),"e849909d")</f>
        <v>e849909d</v>
      </c>
      <c r="I1600" s="2" t="str">
        <f ca="1">IFERROR(__xludf.DUMMYFUNCTION("""COMPUTED_VALUE"""),"Cabernet Sauvignon Rect")</f>
        <v>Cabernet Sauvignon Rect</v>
      </c>
      <c r="J1600" s="2">
        <f ca="1">IFERROR(__xludf.DUMMYFUNCTION("""COMPUTED_VALUE"""),5100)</f>
        <v>5100</v>
      </c>
      <c r="K1600" s="2">
        <f ca="1">IFERROR(__xludf.DUMMYFUNCTION("""COMPUTED_VALUE"""),2100)</f>
        <v>2100</v>
      </c>
      <c r="L1600" s="2" t="str">
        <f ca="1">IFERROR(__xludf.DUMMYFUNCTION("""COMPUTED_VALUE"""),"05b13639")</f>
        <v>05b13639</v>
      </c>
      <c r="M1600" s="2" t="str">
        <f ca="1">IFERROR(__xludf.DUMMYFUNCTION("""COMPUTED_VALUE"""),"Cabernet Sauvignon Rect")</f>
        <v>Cabernet Sauvignon Rect</v>
      </c>
      <c r="N1600" s="2"/>
      <c r="O1600" s="2" t="str">
        <f ca="1">IFERROR(__xludf.DUMMYFUNCTION("""COMPUTED_VALUE"""),"Fermentando")</f>
        <v>Fermentando</v>
      </c>
      <c r="P1600" s="2" t="str">
        <f ca="1">IFERROR(__xludf.DUMMYFUNCTION("""COMPUTED_VALUE"""),"Rectificado")</f>
        <v>Rectificado</v>
      </c>
      <c r="Q1600" s="2" t="b">
        <f ca="1">IFERROR(__xludf.DUMMYFUNCTION("""COMPUTED_VALUE"""),TRUE)</f>
        <v>1</v>
      </c>
      <c r="R1600" s="2" t="str">
        <f ca="1">IFERROR(__xludf.DUMMYFUNCTION("""COMPUTED_VALUE"""),"Rectificado")</f>
        <v>Rectificado</v>
      </c>
      <c r="S1600" s="2"/>
      <c r="T1600" s="2"/>
      <c r="U1600" s="2" t="str">
        <f ca="1">IFERROR(__xludf.DUMMYFUNCTION("""COMPUTED_VALUE"""),"1")</f>
        <v>1</v>
      </c>
    </row>
    <row r="1601" spans="1:21" x14ac:dyDescent="0.25">
      <c r="A1601" s="2" t="str">
        <f ca="1">IFERROR(__xludf.DUMMYFUNCTION("""COMPUTED_VALUE"""),"f736233c")</f>
        <v>f736233c</v>
      </c>
      <c r="B1601" s="5">
        <f ca="1">IFERROR(__xludf.DUMMYFUNCTION("""COMPUTED_VALUE"""),46128.8423611111)</f>
        <v>46128.842361111099</v>
      </c>
      <c r="C1601" s="2" t="str">
        <f ca="1">IFERROR(__xludf.DUMMYFUNCTION("""COMPUTED_VALUE"""),"989bf939")</f>
        <v>989bf939</v>
      </c>
      <c r="D1601" s="2">
        <f ca="1">IFERROR(__xludf.DUMMYFUNCTION("""COMPUTED_VALUE"""),77)</f>
        <v>77</v>
      </c>
      <c r="E1601" s="2" t="str">
        <f ca="1">IFERROR(__xludf.DUMMYFUNCTION("""COMPUTED_VALUE"""),"Criolla")</f>
        <v>Criolla</v>
      </c>
      <c r="F1601" s="2">
        <f ca="1">IFERROR(__xludf.DUMMYFUNCTION("""COMPUTED_VALUE"""),-2100)</f>
        <v>-2100</v>
      </c>
      <c r="G1601" s="2">
        <f ca="1">IFERROR(__xludf.DUMMYFUNCTION("""COMPUTED_VALUE"""),54)</f>
        <v>54</v>
      </c>
      <c r="H1601" s="2" t="str">
        <f ca="1">IFERROR(__xludf.DUMMYFUNCTION("""COMPUTED_VALUE"""),"05b13639")</f>
        <v>05b13639</v>
      </c>
      <c r="I1601" s="2" t="str">
        <f ca="1">IFERROR(__xludf.DUMMYFUNCTION("""COMPUTED_VALUE"""),"Cabernet Sauvignon Rect")</f>
        <v>Cabernet Sauvignon Rect</v>
      </c>
      <c r="J1601" s="2">
        <f ca="1">IFERROR(__xludf.DUMMYFUNCTION("""COMPUTED_VALUE"""),2100)</f>
        <v>2100</v>
      </c>
      <c r="K1601" s="2">
        <f ca="1">IFERROR(__xludf.DUMMYFUNCTION("""COMPUTED_VALUE"""),0)</f>
        <v>0</v>
      </c>
      <c r="L1601" s="2" t="str">
        <f ca="1">IFERROR(__xludf.DUMMYFUNCTION("""COMPUTED_VALUE"""),"e9d22477")</f>
        <v>e9d22477</v>
      </c>
      <c r="M1601" s="2" t="str">
        <f ca="1">IFERROR(__xludf.DUMMYFUNCTION("""COMPUTED_VALUE"""),"Cabernet Sauvignon Rect")</f>
        <v>Cabernet Sauvignon Rect</v>
      </c>
      <c r="N1601" s="2"/>
      <c r="O1601" s="2" t="str">
        <f ca="1">IFERROR(__xludf.DUMMYFUNCTION("""COMPUTED_VALUE"""),"Fermentando")</f>
        <v>Fermentando</v>
      </c>
      <c r="P1601" s="2" t="str">
        <f ca="1">IFERROR(__xludf.DUMMYFUNCTION("""COMPUTED_VALUE"""),"Rectificado")</f>
        <v>Rectificado</v>
      </c>
      <c r="Q1601" s="2" t="b">
        <f ca="1">IFERROR(__xludf.DUMMYFUNCTION("""COMPUTED_VALUE"""),TRUE)</f>
        <v>1</v>
      </c>
      <c r="R1601" s="2" t="str">
        <f ca="1">IFERROR(__xludf.DUMMYFUNCTION("""COMPUTED_VALUE"""),"Rectificado")</f>
        <v>Rectificado</v>
      </c>
      <c r="S1601" s="2"/>
      <c r="T1601" s="2"/>
      <c r="U1601" s="2" t="str">
        <f ca="1">IFERROR(__xludf.DUMMYFUNCTION("""COMPUTED_VALUE"""),"1")</f>
        <v>1</v>
      </c>
    </row>
    <row r="1602" spans="1:21" x14ac:dyDescent="0.25">
      <c r="A1602" s="2" t="str">
        <f ca="1">IFERROR(__xludf.DUMMYFUNCTION("""COMPUTED_VALUE"""),"5b57cbd7")</f>
        <v>5b57cbd7</v>
      </c>
      <c r="B1602" s="5">
        <f ca="1">IFERROR(__xludf.DUMMYFUNCTION("""COMPUTED_VALUE"""),46128.8435763888)</f>
        <v>46128.843576388797</v>
      </c>
      <c r="C1602" s="2" t="str">
        <f ca="1">IFERROR(__xludf.DUMMYFUNCTION("""COMPUTED_VALUE"""),"aeeb8799")</f>
        <v>aeeb8799</v>
      </c>
      <c r="D1602" s="2">
        <f ca="1">IFERROR(__xludf.DUMMYFUNCTION("""COMPUTED_VALUE"""),96)</f>
        <v>96</v>
      </c>
      <c r="E1602" s="2" t="str">
        <f ca="1">IFERROR(__xludf.DUMMYFUNCTION("""COMPUTED_VALUE"""),"Criolla Recarga PC")</f>
        <v>Criolla Recarga PC</v>
      </c>
      <c r="F1602" s="2">
        <f ca="1">IFERROR(__xludf.DUMMYFUNCTION("""COMPUTED_VALUE"""),-2000)</f>
        <v>-2000</v>
      </c>
      <c r="G1602" s="2">
        <f ca="1">IFERROR(__xludf.DUMMYFUNCTION("""COMPUTED_VALUE"""),96)</f>
        <v>96</v>
      </c>
      <c r="H1602" s="2" t="str">
        <f ca="1">IFERROR(__xludf.DUMMYFUNCTION("""COMPUTED_VALUE"""),"aeeb8799")</f>
        <v>aeeb8799</v>
      </c>
      <c r="I1602" s="2" t="str">
        <f ca="1">IFERROR(__xludf.DUMMYFUNCTION("""COMPUTED_VALUE"""),"Criolla Recarga PC")</f>
        <v>Criolla Recarga PC</v>
      </c>
      <c r="J1602" s="2">
        <f ca="1">IFERROR(__xludf.DUMMYFUNCTION("""COMPUTED_VALUE"""),31500)</f>
        <v>31500</v>
      </c>
      <c r="K1602" s="2">
        <f ca="1">IFERROR(__xludf.DUMMYFUNCTION("""COMPUTED_VALUE"""),29500)</f>
        <v>29500</v>
      </c>
      <c r="L1602" s="2" t="str">
        <f ca="1">IFERROR(__xludf.DUMMYFUNCTION("""COMPUTED_VALUE"""),"f9c4a069")</f>
        <v>f9c4a069</v>
      </c>
      <c r="M1602" s="2" t="str">
        <f ca="1">IFERROR(__xludf.DUMMYFUNCTION("""COMPUTED_VALUE"""),"Criolla Recarga PC")</f>
        <v>Criolla Recarga PC</v>
      </c>
      <c r="N1602" s="2"/>
      <c r="O1602" s="2" t="str">
        <f ca="1">IFERROR(__xludf.DUMMYFUNCTION("""COMPUTED_VALUE"""),"Recarga Fermentando")</f>
        <v>Recarga Fermentando</v>
      </c>
      <c r="P1602" s="2" t="str">
        <f ca="1">IFERROR(__xludf.DUMMYFUNCTION("""COMPUTED_VALUE"""),"Recarga Fermentando")</f>
        <v>Recarga Fermentando</v>
      </c>
      <c r="Q1602" s="2" t="b">
        <f ca="1">IFERROR(__xludf.DUMMYFUNCTION("""COMPUTED_VALUE"""),TRUE)</f>
        <v>1</v>
      </c>
      <c r="R1602" s="2" t="str">
        <f ca="1">IFERROR(__xludf.DUMMYFUNCTION("""COMPUTED_VALUE"""),"Recarga Fermentando")</f>
        <v>Recarga Fermentando</v>
      </c>
      <c r="S1602" s="2"/>
      <c r="T1602" s="2"/>
      <c r="U1602" s="2"/>
    </row>
    <row r="1603" spans="1:21" x14ac:dyDescent="0.25">
      <c r="A1603" s="2" t="str">
        <f ca="1">IFERROR(__xludf.DUMMYFUNCTION("""COMPUTED_VALUE"""),"185d1d11")</f>
        <v>185d1d11</v>
      </c>
      <c r="B1603" s="5">
        <f ca="1">IFERROR(__xludf.DUMMYFUNCTION("""COMPUTED_VALUE"""),46128.8535069444)</f>
        <v>46128.853506944397</v>
      </c>
      <c r="C1603" s="2" t="str">
        <f ca="1">IFERROR(__xludf.DUMMYFUNCTION("""COMPUTED_VALUE"""),"ca101950")</f>
        <v>ca101950</v>
      </c>
      <c r="D1603" s="2">
        <f ca="1">IFERROR(__xludf.DUMMYFUNCTION("""COMPUTED_VALUE"""),69)</f>
        <v>69</v>
      </c>
      <c r="E1603" s="2" t="str">
        <f ca="1">IFERROR(__xludf.DUMMYFUNCTION("""COMPUTED_VALUE"""),"Criolla Filt")</f>
        <v>Criolla Filt</v>
      </c>
      <c r="F1603" s="2">
        <f ca="1">IFERROR(__xludf.DUMMYFUNCTION("""COMPUTED_VALUE"""),12000)</f>
        <v>12000</v>
      </c>
      <c r="G1603" s="2">
        <f ca="1">IFERROR(__xludf.DUMMYFUNCTION("""COMPUTED_VALUE"""),34)</f>
        <v>34</v>
      </c>
      <c r="H1603" s="2" t="str">
        <f ca="1">IFERROR(__xludf.DUMMYFUNCTION("""COMPUTED_VALUE"""),"feffca11")</f>
        <v>feffca11</v>
      </c>
      <c r="I1603" s="2" t="str">
        <f ca="1">IFERROR(__xludf.DUMMYFUNCTION("""COMPUTED_VALUE"""),"Criolla")</f>
        <v>Criolla</v>
      </c>
      <c r="J1603" s="2">
        <f ca="1">IFERROR(__xludf.DUMMYFUNCTION("""COMPUTED_VALUE"""),24020)</f>
        <v>24020</v>
      </c>
      <c r="K1603" s="2">
        <f ca="1">IFERROR(__xludf.DUMMYFUNCTION("""COMPUTED_VALUE"""),36020)</f>
        <v>36020</v>
      </c>
      <c r="L1603" s="2" t="str">
        <f ca="1">IFERROR(__xludf.DUMMYFUNCTION("""COMPUTED_VALUE"""),"0639975d")</f>
        <v>0639975d</v>
      </c>
      <c r="M1603" s="2" t="str">
        <f ca="1">IFERROR(__xludf.DUMMYFUNCTION("""COMPUTED_VALUE"""),"Criolla")</f>
        <v>Criolla</v>
      </c>
      <c r="N1603" s="2"/>
      <c r="O1603" s="2" t="str">
        <f ca="1">IFERROR(__xludf.DUMMYFUNCTION("""COMPUTED_VALUE"""),"Fermentando")</f>
        <v>Fermentando</v>
      </c>
      <c r="P1603" s="2" t="str">
        <f ca="1">IFERROR(__xludf.DUMMYFUNCTION("""COMPUTED_VALUE"""),"Descubada")</f>
        <v>Descubada</v>
      </c>
      <c r="Q1603" s="2" t="b">
        <f ca="1">IFERROR(__xludf.DUMMYFUNCTION("""COMPUTED_VALUE"""),TRUE)</f>
        <v>1</v>
      </c>
      <c r="R1603" s="2" t="str">
        <f ca="1">IFERROR(__xludf.DUMMYFUNCTION("""COMPUTED_VALUE"""),"Descubada")</f>
        <v>Descubada</v>
      </c>
      <c r="S1603" s="2"/>
      <c r="T1603" s="2"/>
      <c r="U1603" s="2"/>
    </row>
    <row r="1604" spans="1:21" x14ac:dyDescent="0.25">
      <c r="A1604" s="2" t="str">
        <f ca="1">IFERROR(__xludf.DUMMYFUNCTION("""COMPUTED_VALUE"""),"a04f0abb")</f>
        <v>a04f0abb</v>
      </c>
      <c r="B1604" s="5">
        <f ca="1">IFERROR(__xludf.DUMMYFUNCTION("""COMPUTED_VALUE"""),46128.8536805555)</f>
        <v>46128.853680555498</v>
      </c>
      <c r="C1604" s="2" t="str">
        <f ca="1">IFERROR(__xludf.DUMMYFUNCTION("""COMPUTED_VALUE"""),"31c21fdb")</f>
        <v>31c21fdb</v>
      </c>
      <c r="D1604" s="2">
        <f ca="1">IFERROR(__xludf.DUMMYFUNCTION("""COMPUTED_VALUE"""),70)</f>
        <v>70</v>
      </c>
      <c r="E1604" s="2" t="str">
        <f ca="1">IFERROR(__xludf.DUMMYFUNCTION("""COMPUTED_VALUE"""),"Criolla Filt")</f>
        <v>Criolla Filt</v>
      </c>
      <c r="F1604" s="2">
        <f ca="1">IFERROR(__xludf.DUMMYFUNCTION("""COMPUTED_VALUE"""),3480)</f>
        <v>3480</v>
      </c>
      <c r="G1604" s="2">
        <f ca="1">IFERROR(__xludf.DUMMYFUNCTION("""COMPUTED_VALUE"""),34)</f>
        <v>34</v>
      </c>
      <c r="H1604" s="2" t="str">
        <f ca="1">IFERROR(__xludf.DUMMYFUNCTION("""COMPUTED_VALUE"""),"0639975d")</f>
        <v>0639975d</v>
      </c>
      <c r="I1604" s="2" t="str">
        <f ca="1">IFERROR(__xludf.DUMMYFUNCTION("""COMPUTED_VALUE"""),"Criolla")</f>
        <v>Criolla</v>
      </c>
      <c r="J1604" s="2">
        <f ca="1">IFERROR(__xludf.DUMMYFUNCTION("""COMPUTED_VALUE"""),36020)</f>
        <v>36020</v>
      </c>
      <c r="K1604" s="2">
        <f ca="1">IFERROR(__xludf.DUMMYFUNCTION("""COMPUTED_VALUE"""),39500)</f>
        <v>39500</v>
      </c>
      <c r="L1604" s="2" t="str">
        <f ca="1">IFERROR(__xludf.DUMMYFUNCTION("""COMPUTED_VALUE"""),"4c8bfcfe")</f>
        <v>4c8bfcfe</v>
      </c>
      <c r="M1604" s="2" t="str">
        <f ca="1">IFERROR(__xludf.DUMMYFUNCTION("""COMPUTED_VALUE"""),"Criolla")</f>
        <v>Criolla</v>
      </c>
      <c r="N1604" s="2"/>
      <c r="O1604" s="2" t="str">
        <f ca="1">IFERROR(__xludf.DUMMYFUNCTION("""COMPUTED_VALUE"""),"Fermentando")</f>
        <v>Fermentando</v>
      </c>
      <c r="P1604" s="2" t="str">
        <f ca="1">IFERROR(__xludf.DUMMYFUNCTION("""COMPUTED_VALUE"""),"Descubada")</f>
        <v>Descubada</v>
      </c>
      <c r="Q1604" s="2" t="b">
        <f ca="1">IFERROR(__xludf.DUMMYFUNCTION("""COMPUTED_VALUE"""),TRUE)</f>
        <v>1</v>
      </c>
      <c r="R1604" s="2" t="str">
        <f ca="1">IFERROR(__xludf.DUMMYFUNCTION("""COMPUTED_VALUE"""),"Descubada")</f>
        <v>Descubada</v>
      </c>
      <c r="S1604" s="2"/>
      <c r="T1604" s="2"/>
      <c r="U1604" s="2"/>
    </row>
    <row r="1605" spans="1:21" x14ac:dyDescent="0.25">
      <c r="A1605" s="2" t="str">
        <f ca="1">IFERROR(__xludf.DUMMYFUNCTION("""COMPUTED_VALUE"""),"d2e191bc")</f>
        <v>d2e191bc</v>
      </c>
      <c r="B1605" s="5">
        <f ca="1">IFERROR(__xludf.DUMMYFUNCTION("""COMPUTED_VALUE"""),46128.8569097222)</f>
        <v>46128.856909722199</v>
      </c>
      <c r="C1605" s="2" t="str">
        <f ca="1">IFERROR(__xludf.DUMMYFUNCTION("""COMPUTED_VALUE"""),"b823331d")</f>
        <v>b823331d</v>
      </c>
      <c r="D1605" s="2">
        <f ca="1">IFERROR(__xludf.DUMMYFUNCTION("""COMPUTED_VALUE"""),117)</f>
        <v>117</v>
      </c>
      <c r="E1605" s="2" t="str">
        <f ca="1">IFERROR(__xludf.DUMMYFUNCTION("""COMPUTED_VALUE"""),"Criolla Mosto")</f>
        <v>Criolla Mosto</v>
      </c>
      <c r="F1605" s="2">
        <f ca="1">IFERROR(__xludf.DUMMYFUNCTION("""COMPUTED_VALUE"""),27000)</f>
        <v>27000</v>
      </c>
      <c r="G1605" s="2">
        <f ca="1">IFERROR(__xludf.DUMMYFUNCTION("""COMPUTED_VALUE"""),92)</f>
        <v>92</v>
      </c>
      <c r="H1605" s="2" t="str">
        <f ca="1">IFERROR(__xludf.DUMMYFUNCTION("""COMPUTED_VALUE"""),"e19785aa")</f>
        <v>e19785aa</v>
      </c>
      <c r="I1605" s="2" t="str">
        <f ca="1">IFERROR(__xludf.DUMMYFUNCTION("""COMPUTED_VALUE"""),"Malbec")</f>
        <v>Malbec</v>
      </c>
      <c r="J1605" s="2">
        <f ca="1">IFERROR(__xludf.DUMMYFUNCTION("""COMPUTED_VALUE"""),26400)</f>
        <v>26400</v>
      </c>
      <c r="K1605" s="2">
        <f ca="1">IFERROR(__xludf.DUMMYFUNCTION("""COMPUTED_VALUE"""),53400)</f>
        <v>53400</v>
      </c>
      <c r="L1605" s="2" t="str">
        <f ca="1">IFERROR(__xludf.DUMMYFUNCTION("""COMPUTED_VALUE"""),"01d16622")</f>
        <v>01d16622</v>
      </c>
      <c r="M1605" s="2" t="str">
        <f ca="1">IFERROR(__xludf.DUMMYFUNCTION("""COMPUTED_VALUE"""),"Criolla Recarga")</f>
        <v>Criolla Recarga</v>
      </c>
      <c r="N1605" s="2"/>
      <c r="O1605" s="2" t="str">
        <f ca="1">IFERROR(__xludf.DUMMYFUNCTION("""COMPUTED_VALUE"""),"Mosto")</f>
        <v>Mosto</v>
      </c>
      <c r="P1605" s="2" t="str">
        <f ca="1">IFERROR(__xludf.DUMMYFUNCTION("""COMPUTED_VALUE"""),"Fermentando")</f>
        <v>Fermentando</v>
      </c>
      <c r="Q1605" s="2" t="b">
        <f ca="1">IFERROR(__xludf.DUMMYFUNCTION("""COMPUTED_VALUE"""),FALSE)</f>
        <v>0</v>
      </c>
      <c r="R1605" s="2" t="str">
        <f ca="1">IFERROR(__xludf.DUMMYFUNCTION("""COMPUTED_VALUE"""),"Recarga Fermentando")</f>
        <v>Recarga Fermentando</v>
      </c>
      <c r="S1605" s="2"/>
      <c r="T1605" s="2"/>
      <c r="U1605" s="2"/>
    </row>
    <row r="1606" spans="1:21" x14ac:dyDescent="0.25">
      <c r="A1606" s="2" t="str">
        <f ca="1">IFERROR(__xludf.DUMMYFUNCTION("""COMPUTED_VALUE"""),"39e0dabb")</f>
        <v>39e0dabb</v>
      </c>
      <c r="B1606" s="5">
        <f ca="1">IFERROR(__xludf.DUMMYFUNCTION("""COMPUTED_VALUE"""),46128.8572916666)</f>
        <v>46128.857291666602</v>
      </c>
      <c r="C1606" s="2" t="str">
        <f ca="1">IFERROR(__xludf.DUMMYFUNCTION("""COMPUTED_VALUE"""),"b823331d")</f>
        <v>b823331d</v>
      </c>
      <c r="D1606" s="2">
        <f ca="1">IFERROR(__xludf.DUMMYFUNCTION("""COMPUTED_VALUE"""),117)</f>
        <v>117</v>
      </c>
      <c r="E1606" s="2" t="str">
        <f ca="1">IFERROR(__xludf.DUMMYFUNCTION("""COMPUTED_VALUE"""),"Criolla Mosto")</f>
        <v>Criolla Mosto</v>
      </c>
      <c r="F1606" s="2">
        <f ca="1">IFERROR(__xludf.DUMMYFUNCTION("""COMPUTED_VALUE"""),5000)</f>
        <v>5000</v>
      </c>
      <c r="G1606" s="2">
        <f ca="1">IFERROR(__xludf.DUMMYFUNCTION("""COMPUTED_VALUE"""),14)</f>
        <v>14</v>
      </c>
      <c r="H1606" s="2" t="str">
        <f ca="1">IFERROR(__xludf.DUMMYFUNCTION("""COMPUTED_VALUE"""),"71ea6a8a")</f>
        <v>71ea6a8a</v>
      </c>
      <c r="I1606" s="2" t="str">
        <f ca="1">IFERROR(__xludf.DUMMYFUNCTION("""COMPUTED_VALUE"""),"Criolla con Claro filtro")</f>
        <v>Criolla con Claro filtro</v>
      </c>
      <c r="J1606" s="2">
        <f ca="1">IFERROR(__xludf.DUMMYFUNCTION("""COMPUTED_VALUE"""),19000)</f>
        <v>19000</v>
      </c>
      <c r="K1606" s="2">
        <f ca="1">IFERROR(__xludf.DUMMYFUNCTION("""COMPUTED_VALUE"""),24000)</f>
        <v>24000</v>
      </c>
      <c r="L1606" s="2" t="str">
        <f ca="1">IFERROR(__xludf.DUMMYFUNCTION("""COMPUTED_VALUE"""),"531869ce")</f>
        <v>531869ce</v>
      </c>
      <c r="M1606" s="2" t="str">
        <f ca="1">IFERROR(__xludf.DUMMYFUNCTION("""COMPUTED_VALUE"""),"Criolla con Claro filtro")</f>
        <v>Criolla con Claro filtro</v>
      </c>
      <c r="N1606" s="2"/>
      <c r="O1606" s="2" t="str">
        <f ca="1">IFERROR(__xludf.DUMMYFUNCTION("""COMPUTED_VALUE"""),"Mosto")</f>
        <v>Mosto</v>
      </c>
      <c r="P1606" s="2" t="str">
        <f ca="1">IFERROR(__xludf.DUMMYFUNCTION("""COMPUTED_VALUE"""),"Fermentando")</f>
        <v>Fermentando</v>
      </c>
      <c r="Q1606" s="2" t="b">
        <f ca="1">IFERROR(__xludf.DUMMYFUNCTION("""COMPUTED_VALUE"""),TRUE)</f>
        <v>1</v>
      </c>
      <c r="R1606" s="2" t="str">
        <f ca="1">IFERROR(__xludf.DUMMYFUNCTION("""COMPUTED_VALUE"""),"Fermentando")</f>
        <v>Fermentando</v>
      </c>
      <c r="S1606" s="2"/>
      <c r="T1606" s="2"/>
      <c r="U1606" s="2"/>
    </row>
    <row r="1607" spans="1:21" x14ac:dyDescent="0.25">
      <c r="A1607" s="2" t="str">
        <f ca="1">IFERROR(__xludf.DUMMYFUNCTION("""COMPUTED_VALUE"""),"411d4721")</f>
        <v>411d4721</v>
      </c>
      <c r="B1607" s="5">
        <f ca="1">IFERROR(__xludf.DUMMYFUNCTION("""COMPUTED_VALUE"""),46128.8630555555)</f>
        <v>46128.863055555499</v>
      </c>
      <c r="C1607" s="2" t="str">
        <f ca="1">IFERROR(__xludf.DUMMYFUNCTION("""COMPUTED_VALUE"""),"4d0ffeff")</f>
        <v>4d0ffeff</v>
      </c>
      <c r="D1607" s="2">
        <f ca="1">IFERROR(__xludf.DUMMYFUNCTION("""COMPUTED_VALUE"""),125)</f>
        <v>125</v>
      </c>
      <c r="E1607" s="2" t="str">
        <f ca="1">IFERROR(__xludf.DUMMYFUNCTION("""COMPUTED_VALUE"""),"Criolla Mosto")</f>
        <v>Criolla Mosto</v>
      </c>
      <c r="F1607" s="2">
        <f ca="1">IFERROR(__xludf.DUMMYFUNCTION("""COMPUTED_VALUE"""),27000)</f>
        <v>27000</v>
      </c>
      <c r="G1607" s="2">
        <f ca="1">IFERROR(__xludf.DUMMYFUNCTION("""COMPUTED_VALUE"""),91)</f>
        <v>91</v>
      </c>
      <c r="H1607" s="2" t="str">
        <f ca="1">IFERROR(__xludf.DUMMYFUNCTION("""COMPUTED_VALUE"""),"38741cb2")</f>
        <v>38741cb2</v>
      </c>
      <c r="I1607" s="2" t="str">
        <f ca="1">IFERROR(__xludf.DUMMYFUNCTION("""COMPUTED_VALUE"""),"Bonarda Maq")</f>
        <v>Bonarda Maq</v>
      </c>
      <c r="J1607" s="2">
        <f ca="1">IFERROR(__xludf.DUMMYFUNCTION("""COMPUTED_VALUE"""),20500)</f>
        <v>20500</v>
      </c>
      <c r="K1607" s="2">
        <f ca="1">IFERROR(__xludf.DUMMYFUNCTION("""COMPUTED_VALUE"""),47500)</f>
        <v>47500</v>
      </c>
      <c r="L1607" s="2" t="str">
        <f ca="1">IFERROR(__xludf.DUMMYFUNCTION("""COMPUTED_VALUE"""),"7f528a7d")</f>
        <v>7f528a7d</v>
      </c>
      <c r="M1607" s="2" t="str">
        <f ca="1">IFERROR(__xludf.DUMMYFUNCTION("""COMPUTED_VALUE"""),"Criolla Recarga")</f>
        <v>Criolla Recarga</v>
      </c>
      <c r="N1607" s="2"/>
      <c r="O1607" s="2" t="str">
        <f ca="1">IFERROR(__xludf.DUMMYFUNCTION("""COMPUTED_VALUE"""),"Mosto")</f>
        <v>Mosto</v>
      </c>
      <c r="P1607" s="2" t="str">
        <f ca="1">IFERROR(__xludf.DUMMYFUNCTION("""COMPUTED_VALUE"""),"Fermentando")</f>
        <v>Fermentando</v>
      </c>
      <c r="Q1607" s="2" t="b">
        <f ca="1">IFERROR(__xludf.DUMMYFUNCTION("""COMPUTED_VALUE"""),FALSE)</f>
        <v>0</v>
      </c>
      <c r="R1607" s="2" t="str">
        <f ca="1">IFERROR(__xludf.DUMMYFUNCTION("""COMPUTED_VALUE"""),"Recarga Fermentando")</f>
        <v>Recarga Fermentando</v>
      </c>
      <c r="S1607" s="2"/>
      <c r="T1607" s="2"/>
      <c r="U1607" s="2"/>
    </row>
    <row r="1608" spans="1:21" x14ac:dyDescent="0.25">
      <c r="A1608" s="2" t="str">
        <f ca="1">IFERROR(__xludf.DUMMYFUNCTION("""COMPUTED_VALUE"""),"1ee8fcc4")</f>
        <v>1ee8fcc4</v>
      </c>
      <c r="B1608" s="5">
        <f ca="1">IFERROR(__xludf.DUMMYFUNCTION("""COMPUTED_VALUE"""),46129.7522916666)</f>
        <v>46129.752291666598</v>
      </c>
      <c r="C1608" s="2" t="str">
        <f ca="1">IFERROR(__xludf.DUMMYFUNCTION("""COMPUTED_VALUE"""),"e835b1c0")</f>
        <v>e835b1c0</v>
      </c>
      <c r="D1608" s="2">
        <f ca="1">IFERROR(__xludf.DUMMYFUNCTION("""COMPUTED_VALUE"""),95)</f>
        <v>95</v>
      </c>
      <c r="E1608" s="2" t="str">
        <f ca="1">IFERROR(__xludf.DUMMYFUNCTION("""COMPUTED_VALUE"""),"Bonarda C2")</f>
        <v>Bonarda C2</v>
      </c>
      <c r="F1608" s="2">
        <f ca="1">IFERROR(__xludf.DUMMYFUNCTION("""COMPUTED_VALUE"""),35300)</f>
        <v>35300</v>
      </c>
      <c r="G1608" s="2">
        <f ca="1">IFERROR(__xludf.DUMMYFUNCTION("""COMPUTED_VALUE"""),12)</f>
        <v>12</v>
      </c>
      <c r="H1608" s="2"/>
      <c r="I1608" s="2"/>
      <c r="J1608" s="2">
        <f ca="1">IFERROR(__xludf.DUMMYFUNCTION("""COMPUTED_VALUE"""),0)</f>
        <v>0</v>
      </c>
      <c r="K1608" s="2">
        <f ca="1">IFERROR(__xludf.DUMMYFUNCTION("""COMPUTED_VALUE"""),35300)</f>
        <v>35300</v>
      </c>
      <c r="L1608" s="2" t="str">
        <f ca="1">IFERROR(__xludf.DUMMYFUNCTION("""COMPUTED_VALUE"""),"0b275cb3")</f>
        <v>0b275cb3</v>
      </c>
      <c r="M1608" s="2" t="str">
        <f ca="1">IFERROR(__xludf.DUMMYFUNCTION("""COMPUTED_VALUE"""),"Bonarda C2")</f>
        <v>Bonarda C2</v>
      </c>
      <c r="N1608" s="2"/>
      <c r="O1608" s="2" t="str">
        <f ca="1">IFERROR(__xludf.DUMMYFUNCTION("""COMPUTED_VALUE"""),"Fermentando")</f>
        <v>Fermentando</v>
      </c>
      <c r="P1608" s="2"/>
      <c r="Q1608" s="2" t="b">
        <f ca="1">IFERROR(__xludf.DUMMYFUNCTION("""COMPUTED_VALUE"""),FALSE)</f>
        <v>0</v>
      </c>
      <c r="R1608" s="2" t="str">
        <f ca="1">IFERROR(__xludf.DUMMYFUNCTION("""COMPUTED_VALUE"""),"Descubada")</f>
        <v>Descubada</v>
      </c>
      <c r="S1608" s="2"/>
      <c r="T1608" s="2"/>
      <c r="U1608" s="2"/>
    </row>
    <row r="1609" spans="1:21" x14ac:dyDescent="0.25">
      <c r="A1609" s="2" t="str">
        <f ca="1">IFERROR(__xludf.DUMMYFUNCTION("""COMPUTED_VALUE"""),"1b11f5c8")</f>
        <v>1b11f5c8</v>
      </c>
      <c r="B1609" s="5">
        <f ca="1">IFERROR(__xludf.DUMMYFUNCTION("""COMPUTED_VALUE"""),46129.7547800925)</f>
        <v>46129.754780092502</v>
      </c>
      <c r="C1609" s="2" t="str">
        <f ca="1">IFERROR(__xludf.DUMMYFUNCTION("""COMPUTED_VALUE"""),"e835b1c0")</f>
        <v>e835b1c0</v>
      </c>
      <c r="D1609" s="2">
        <f ca="1">IFERROR(__xludf.DUMMYFUNCTION("""COMPUTED_VALUE"""),95)</f>
        <v>95</v>
      </c>
      <c r="E1609" s="2" t="str">
        <f ca="1">IFERROR(__xludf.DUMMYFUNCTION("""COMPUTED_VALUE"""),"Bonarda C2")</f>
        <v>Bonarda C2</v>
      </c>
      <c r="F1609" s="2">
        <f ca="1">IFERROR(__xludf.DUMMYFUNCTION("""COMPUTED_VALUE"""),8500)</f>
        <v>8500</v>
      </c>
      <c r="G1609" s="2">
        <f ca="1">IFERROR(__xludf.DUMMYFUNCTION("""COMPUTED_VALUE"""),28)</f>
        <v>28</v>
      </c>
      <c r="H1609" s="2" t="str">
        <f ca="1">IFERROR(__xludf.DUMMYFUNCTION("""COMPUTED_VALUE"""),"d3360e8f")</f>
        <v>d3360e8f</v>
      </c>
      <c r="I1609" s="2" t="str">
        <f ca="1">IFERROR(__xludf.DUMMYFUNCTION("""COMPUTED_VALUE"""),"Bonarda Maq")</f>
        <v>Bonarda Maq</v>
      </c>
      <c r="J1609" s="2">
        <f ca="1">IFERROR(__xludf.DUMMYFUNCTION("""COMPUTED_VALUE"""),80500)</f>
        <v>80500</v>
      </c>
      <c r="K1609" s="2">
        <f ca="1">IFERROR(__xludf.DUMMYFUNCTION("""COMPUTED_VALUE"""),89000)</f>
        <v>89000</v>
      </c>
      <c r="L1609" s="2" t="str">
        <f ca="1">IFERROR(__xludf.DUMMYFUNCTION("""COMPUTED_VALUE"""),"11cf7001")</f>
        <v>11cf7001</v>
      </c>
      <c r="M1609" s="2" t="str">
        <f ca="1">IFERROR(__xludf.DUMMYFUNCTION("""COMPUTED_VALUE"""),"Bonarda C2")</f>
        <v>Bonarda C2</v>
      </c>
      <c r="N1609" s="2"/>
      <c r="O1609" s="2" t="str">
        <f ca="1">IFERROR(__xludf.DUMMYFUNCTION("""COMPUTED_VALUE"""),"Fermentando")</f>
        <v>Fermentando</v>
      </c>
      <c r="P1609" s="2" t="str">
        <f ca="1">IFERROR(__xludf.DUMMYFUNCTION("""COMPUTED_VALUE"""),"Descubada")</f>
        <v>Descubada</v>
      </c>
      <c r="Q1609" s="2" t="b">
        <f ca="1">IFERROR(__xludf.DUMMYFUNCTION("""COMPUTED_VALUE"""),FALSE)</f>
        <v>0</v>
      </c>
      <c r="R1609" s="2" t="str">
        <f ca="1">IFERROR(__xludf.DUMMYFUNCTION("""COMPUTED_VALUE"""),"Fermentando")</f>
        <v>Fermentando</v>
      </c>
      <c r="S1609" s="2"/>
      <c r="T1609" s="2"/>
      <c r="U1609" s="2"/>
    </row>
    <row r="1610" spans="1:21" x14ac:dyDescent="0.25">
      <c r="A1610" s="2" t="str">
        <f ca="1">IFERROR(__xludf.DUMMYFUNCTION("""COMPUTED_VALUE"""),"6e8d8b9e")</f>
        <v>6e8d8b9e</v>
      </c>
      <c r="B1610" s="5">
        <f ca="1">IFERROR(__xludf.DUMMYFUNCTION("""COMPUTED_VALUE"""),46132.9525)</f>
        <v>46132.952499999999</v>
      </c>
      <c r="C1610" s="2" t="str">
        <f ca="1">IFERROR(__xludf.DUMMYFUNCTION("""COMPUTED_VALUE"""),"aed16735")</f>
        <v>aed16735</v>
      </c>
      <c r="D1610" s="2">
        <f ca="1">IFERROR(__xludf.DUMMYFUNCTION("""COMPUTED_VALUE"""),86)</f>
        <v>86</v>
      </c>
      <c r="E1610" s="2" t="str">
        <f ca="1">IFERROR(__xludf.DUMMYFUNCTION("""COMPUTED_VALUE"""),"Bonarda PC")</f>
        <v>Bonarda PC</v>
      </c>
      <c r="F1610" s="2">
        <f ca="1">IFERROR(__xludf.DUMMYFUNCTION("""COMPUTED_VALUE"""),45000)</f>
        <v>45000</v>
      </c>
      <c r="G1610" s="2">
        <f ca="1">IFERROR(__xludf.DUMMYFUNCTION("""COMPUTED_VALUE"""),28)</f>
        <v>28</v>
      </c>
      <c r="H1610" s="2" t="str">
        <f ca="1">IFERROR(__xludf.DUMMYFUNCTION("""COMPUTED_VALUE"""),"11cf7001")</f>
        <v>11cf7001</v>
      </c>
      <c r="I1610" s="2" t="str">
        <f ca="1">IFERROR(__xludf.DUMMYFUNCTION("""COMPUTED_VALUE"""),"Bonarda C2")</f>
        <v>Bonarda C2</v>
      </c>
      <c r="J1610" s="2">
        <f ca="1">IFERROR(__xludf.DUMMYFUNCTION("""COMPUTED_VALUE"""),89000)</f>
        <v>89000</v>
      </c>
      <c r="K1610" s="2">
        <f ca="1">IFERROR(__xludf.DUMMYFUNCTION("""COMPUTED_VALUE"""),134000)</f>
        <v>134000</v>
      </c>
      <c r="L1610" s="2" t="str">
        <f ca="1">IFERROR(__xludf.DUMMYFUNCTION("""COMPUTED_VALUE"""),"51395f5d")</f>
        <v>51395f5d</v>
      </c>
      <c r="M1610" s="2" t="str">
        <f ca="1">IFERROR(__xludf.DUMMYFUNCTION("""COMPUTED_VALUE"""),"Bonarda C2")</f>
        <v>Bonarda C2</v>
      </c>
      <c r="N1610" s="2" t="str">
        <f ca="1">IFERROR(__xludf.DUMMYFUNCTION("""COMPUTED_VALUE"""),"Desvine")</f>
        <v>Desvine</v>
      </c>
      <c r="O1610" s="2" t="str">
        <f ca="1">IFERROR(__xludf.DUMMYFUNCTION("""COMPUTED_VALUE"""),"Fermentando")</f>
        <v>Fermentando</v>
      </c>
      <c r="P1610" s="2" t="str">
        <f ca="1">IFERROR(__xludf.DUMMYFUNCTION("""COMPUTED_VALUE"""),"Fermentando")</f>
        <v>Fermentando</v>
      </c>
      <c r="Q1610" s="2" t="b">
        <f ca="1">IFERROR(__xludf.DUMMYFUNCTION("""COMPUTED_VALUE"""),TRUE)</f>
        <v>1</v>
      </c>
      <c r="R1610" s="2" t="str">
        <f ca="1">IFERROR(__xludf.DUMMYFUNCTION("""COMPUTED_VALUE"""),"Fermentando")</f>
        <v>Fermentando</v>
      </c>
      <c r="S1610" s="2"/>
      <c r="T1610" s="2"/>
      <c r="U1610" s="2"/>
    </row>
    <row r="1611" spans="1:21" x14ac:dyDescent="0.25">
      <c r="A1611" s="2" t="str">
        <f ca="1">IFERROR(__xludf.DUMMYFUNCTION("""COMPUTED_VALUE"""),"698ce1f2")</f>
        <v>698ce1f2</v>
      </c>
      <c r="B1611" s="5">
        <f ca="1">IFERROR(__xludf.DUMMYFUNCTION("""COMPUTED_VALUE"""),46133.0496875)</f>
        <v>46133.049687500003</v>
      </c>
      <c r="C1611" s="2" t="str">
        <f ca="1">IFERROR(__xludf.DUMMYFUNCTION("""COMPUTED_VALUE"""),"b22066db")</f>
        <v>b22066db</v>
      </c>
      <c r="D1611" s="2">
        <f ca="1">IFERROR(__xludf.DUMMYFUNCTION("""COMPUTED_VALUE"""),85)</f>
        <v>85</v>
      </c>
      <c r="E1611" s="2" t="str">
        <f ca="1">IFERROR(__xludf.DUMMYFUNCTION("""COMPUTED_VALUE"""),"Criolla Recarga")</f>
        <v>Criolla Recarga</v>
      </c>
      <c r="F1611" s="2">
        <f ca="1">IFERROR(__xludf.DUMMYFUNCTION("""COMPUTED_VALUE"""),4000)</f>
        <v>4000</v>
      </c>
      <c r="G1611" s="2">
        <f ca="1">IFERROR(__xludf.DUMMYFUNCTION("""COMPUTED_VALUE"""),91)</f>
        <v>91</v>
      </c>
      <c r="H1611" s="2" t="str">
        <f ca="1">IFERROR(__xludf.DUMMYFUNCTION("""COMPUTED_VALUE"""),"7f528a7d")</f>
        <v>7f528a7d</v>
      </c>
      <c r="I1611" s="2" t="str">
        <f ca="1">IFERROR(__xludf.DUMMYFUNCTION("""COMPUTED_VALUE"""),"Criolla Recarga")</f>
        <v>Criolla Recarga</v>
      </c>
      <c r="J1611" s="2">
        <f ca="1">IFERROR(__xludf.DUMMYFUNCTION("""COMPUTED_VALUE"""),47500)</f>
        <v>47500</v>
      </c>
      <c r="K1611" s="2">
        <f ca="1">IFERROR(__xludf.DUMMYFUNCTION("""COMPUTED_VALUE"""),51500)</f>
        <v>51500</v>
      </c>
      <c r="L1611" s="2" t="str">
        <f ca="1">IFERROR(__xludf.DUMMYFUNCTION("""COMPUTED_VALUE"""),"3c72c6cd")</f>
        <v>3c72c6cd</v>
      </c>
      <c r="M1611" s="2" t="str">
        <f ca="1">IFERROR(__xludf.DUMMYFUNCTION("""COMPUTED_VALUE"""),"Criolla Recarga PC")</f>
        <v>Criolla Recarga PC</v>
      </c>
      <c r="N1611" s="2"/>
      <c r="O1611" s="2" t="str">
        <f ca="1">IFERROR(__xludf.DUMMYFUNCTION("""COMPUTED_VALUE"""),"Recarga Fermentando")</f>
        <v>Recarga Fermentando</v>
      </c>
      <c r="P1611" s="2" t="str">
        <f ca="1">IFERROR(__xludf.DUMMYFUNCTION("""COMPUTED_VALUE"""),"Recarga Fermentando")</f>
        <v>Recarga Fermentando</v>
      </c>
      <c r="Q1611" s="2" t="b">
        <f ca="1">IFERROR(__xludf.DUMMYFUNCTION("""COMPUTED_VALUE"""),TRUE)</f>
        <v>1</v>
      </c>
      <c r="R1611" s="2" t="str">
        <f ca="1">IFERROR(__xludf.DUMMYFUNCTION("""COMPUTED_VALUE"""),"Recarga Fermentando")</f>
        <v>Recarga Fermentando</v>
      </c>
      <c r="S1611" s="2"/>
      <c r="T1611" s="2"/>
      <c r="U1611" s="2"/>
    </row>
    <row r="1612" spans="1:21" x14ac:dyDescent="0.25">
      <c r="A1612" s="2" t="str">
        <f ca="1">IFERROR(__xludf.DUMMYFUNCTION("""COMPUTED_VALUE"""),"ccfbed4b")</f>
        <v>ccfbed4b</v>
      </c>
      <c r="B1612" s="5">
        <f ca="1">IFERROR(__xludf.DUMMYFUNCTION("""COMPUTED_VALUE"""),46133.3976851851)</f>
        <v>46133.397685185097</v>
      </c>
      <c r="C1612" s="2" t="str">
        <f ca="1">IFERROR(__xludf.DUMMYFUNCTION("""COMPUTED_VALUE"""),"1f4095e5")</f>
        <v>1f4095e5</v>
      </c>
      <c r="D1612" s="2">
        <f ca="1">IFERROR(__xludf.DUMMYFUNCTION("""COMPUTED_VALUE"""),119)</f>
        <v>119</v>
      </c>
      <c r="E1612" s="2" t="str">
        <f ca="1">IFERROR(__xludf.DUMMYFUNCTION("""COMPUTED_VALUE"""),"Criolla Mosto")</f>
        <v>Criolla Mosto</v>
      </c>
      <c r="F1612" s="2">
        <f ca="1">IFERROR(__xludf.DUMMYFUNCTION("""COMPUTED_VALUE"""),12000)</f>
        <v>12000</v>
      </c>
      <c r="G1612" s="2">
        <f ca="1">IFERROR(__xludf.DUMMYFUNCTION("""COMPUTED_VALUE"""),91)</f>
        <v>91</v>
      </c>
      <c r="H1612" s="2" t="str">
        <f ca="1">IFERROR(__xludf.DUMMYFUNCTION("""COMPUTED_VALUE"""),"3c72c6cd")</f>
        <v>3c72c6cd</v>
      </c>
      <c r="I1612" s="2" t="str">
        <f ca="1">IFERROR(__xludf.DUMMYFUNCTION("""COMPUTED_VALUE"""),"Criolla Recarga PC")</f>
        <v>Criolla Recarga PC</v>
      </c>
      <c r="J1612" s="2">
        <f ca="1">IFERROR(__xludf.DUMMYFUNCTION("""COMPUTED_VALUE"""),51500)</f>
        <v>51500</v>
      </c>
      <c r="K1612" s="2">
        <f ca="1">IFERROR(__xludf.DUMMYFUNCTION("""COMPUTED_VALUE"""),63500)</f>
        <v>63500</v>
      </c>
      <c r="L1612" s="2" t="str">
        <f ca="1">IFERROR(__xludf.DUMMYFUNCTION("""COMPUTED_VALUE"""),"973c96fb")</f>
        <v>973c96fb</v>
      </c>
      <c r="M1612" s="2" t="str">
        <f ca="1">IFERROR(__xludf.DUMMYFUNCTION("""COMPUTED_VALUE"""),"Criolla Recarga PC")</f>
        <v>Criolla Recarga PC</v>
      </c>
      <c r="N1612" s="2"/>
      <c r="O1612" s="2" t="str">
        <f ca="1">IFERROR(__xludf.DUMMYFUNCTION("""COMPUTED_VALUE"""),"Mosto")</f>
        <v>Mosto</v>
      </c>
      <c r="P1612" s="2" t="str">
        <f ca="1">IFERROR(__xludf.DUMMYFUNCTION("""COMPUTED_VALUE"""),"Recarga Fermentando")</f>
        <v>Recarga Fermentando</v>
      </c>
      <c r="Q1612" s="2" t="b">
        <f ca="1">IFERROR(__xludf.DUMMYFUNCTION("""COMPUTED_VALUE"""),TRUE)</f>
        <v>1</v>
      </c>
      <c r="R1612" s="2" t="str">
        <f ca="1">IFERROR(__xludf.DUMMYFUNCTION("""COMPUTED_VALUE"""),"Recarga Fermentando")</f>
        <v>Recarga Fermentando</v>
      </c>
      <c r="S1612" s="2"/>
      <c r="T1612" s="2"/>
      <c r="U1612" s="2"/>
    </row>
    <row r="1613" spans="1:21" x14ac:dyDescent="0.25">
      <c r="A1613" s="2" t="str">
        <f ca="1">IFERROR(__xludf.DUMMYFUNCTION("""COMPUTED_VALUE"""),"c7b48241")</f>
        <v>c7b48241</v>
      </c>
      <c r="B1613" s="5">
        <f ca="1">IFERROR(__xludf.DUMMYFUNCTION("""COMPUTED_VALUE"""),46133.3982060185)</f>
        <v>46133.398206018501</v>
      </c>
      <c r="C1613" s="2" t="str">
        <f ca="1">IFERROR(__xludf.DUMMYFUNCTION("""COMPUTED_VALUE"""),"1f4095e5")</f>
        <v>1f4095e5</v>
      </c>
      <c r="D1613" s="2">
        <f ca="1">IFERROR(__xludf.DUMMYFUNCTION("""COMPUTED_VALUE"""),119)</f>
        <v>119</v>
      </c>
      <c r="E1613" s="2" t="str">
        <f ca="1">IFERROR(__xludf.DUMMYFUNCTION("""COMPUTED_VALUE"""),"Criolla Mosto")</f>
        <v>Criolla Mosto</v>
      </c>
      <c r="F1613" s="2">
        <f ca="1">IFERROR(__xludf.DUMMYFUNCTION("""COMPUTED_VALUE"""),11000)</f>
        <v>11000</v>
      </c>
      <c r="G1613" s="2">
        <f ca="1">IFERROR(__xludf.DUMMYFUNCTION("""COMPUTED_VALUE"""),68)</f>
        <v>68</v>
      </c>
      <c r="H1613" s="2"/>
      <c r="I1613" s="2"/>
      <c r="J1613" s="2">
        <f ca="1">IFERROR(__xludf.DUMMYFUNCTION("""COMPUTED_VALUE"""),0)</f>
        <v>0</v>
      </c>
      <c r="K1613" s="2">
        <f ca="1">IFERROR(__xludf.DUMMYFUNCTION("""COMPUTED_VALUE"""),11000)</f>
        <v>11000</v>
      </c>
      <c r="L1613" s="2" t="str">
        <f ca="1">IFERROR(__xludf.DUMMYFUNCTION("""COMPUTED_VALUE"""),"b1ede5bc")</f>
        <v>b1ede5bc</v>
      </c>
      <c r="M1613" s="2" t="str">
        <f ca="1">IFERROR(__xludf.DUMMYFUNCTION("""COMPUTED_VALUE"""),"Criolla Mosto")</f>
        <v>Criolla Mosto</v>
      </c>
      <c r="N1613" s="2"/>
      <c r="O1613" s="2" t="str">
        <f ca="1">IFERROR(__xludf.DUMMYFUNCTION("""COMPUTED_VALUE"""),"Mosto")</f>
        <v>Mosto</v>
      </c>
      <c r="P1613" s="2"/>
      <c r="Q1613" s="2" t="b">
        <f ca="1">IFERROR(__xludf.DUMMYFUNCTION("""COMPUTED_VALUE"""),FALSE)</f>
        <v>0</v>
      </c>
      <c r="R1613" s="2" t="str">
        <f ca="1">IFERROR(__xludf.DUMMYFUNCTION("""COMPUTED_VALUE"""),"Fermentando")</f>
        <v>Fermentando</v>
      </c>
      <c r="S1613" s="2"/>
      <c r="T1613" s="2"/>
      <c r="U1613" s="2"/>
    </row>
    <row r="1614" spans="1:21" x14ac:dyDescent="0.25">
      <c r="A1614" s="2" t="str">
        <f ca="1">IFERROR(__xludf.DUMMYFUNCTION("""COMPUTED_VALUE"""),"b4671da2")</f>
        <v>b4671da2</v>
      </c>
      <c r="B1614" s="5">
        <f ca="1">IFERROR(__xludf.DUMMYFUNCTION("""COMPUTED_VALUE"""),46133.4003472222)</f>
        <v>46133.400347222203</v>
      </c>
      <c r="C1614" s="2" t="str">
        <f ca="1">IFERROR(__xludf.DUMMYFUNCTION("""COMPUTED_VALUE"""),"1f4095e5")</f>
        <v>1f4095e5</v>
      </c>
      <c r="D1614" s="2">
        <f ca="1">IFERROR(__xludf.DUMMYFUNCTION("""COMPUTED_VALUE"""),119)</f>
        <v>119</v>
      </c>
      <c r="E1614" s="2" t="str">
        <f ca="1">IFERROR(__xludf.DUMMYFUNCTION("""COMPUTED_VALUE"""),"Criolla Mosto")</f>
        <v>Criolla Mosto</v>
      </c>
      <c r="F1614" s="2">
        <f ca="1">IFERROR(__xludf.DUMMYFUNCTION("""COMPUTED_VALUE"""),8900)</f>
        <v>8900</v>
      </c>
      <c r="G1614" s="2">
        <f ca="1">IFERROR(__xludf.DUMMYFUNCTION("""COMPUTED_VALUE"""),91)</f>
        <v>91</v>
      </c>
      <c r="H1614" s="2" t="str">
        <f ca="1">IFERROR(__xludf.DUMMYFUNCTION("""COMPUTED_VALUE"""),"973c96fb")</f>
        <v>973c96fb</v>
      </c>
      <c r="I1614" s="2" t="str">
        <f ca="1">IFERROR(__xludf.DUMMYFUNCTION("""COMPUTED_VALUE"""),"Criolla Recarga PC")</f>
        <v>Criolla Recarga PC</v>
      </c>
      <c r="J1614" s="2">
        <f ca="1">IFERROR(__xludf.DUMMYFUNCTION("""COMPUTED_VALUE"""),63500)</f>
        <v>63500</v>
      </c>
      <c r="K1614" s="2">
        <f ca="1">IFERROR(__xludf.DUMMYFUNCTION("""COMPUTED_VALUE"""),72400)</f>
        <v>72400</v>
      </c>
      <c r="L1614" s="2" t="str">
        <f ca="1">IFERROR(__xludf.DUMMYFUNCTION("""COMPUTED_VALUE"""),"bebcd666")</f>
        <v>bebcd666</v>
      </c>
      <c r="M1614" s="2" t="str">
        <f ca="1">IFERROR(__xludf.DUMMYFUNCTION("""COMPUTED_VALUE"""),"Criolla Recarga PC")</f>
        <v>Criolla Recarga PC</v>
      </c>
      <c r="N1614" s="2"/>
      <c r="O1614" s="2" t="str">
        <f ca="1">IFERROR(__xludf.DUMMYFUNCTION("""COMPUTED_VALUE"""),"Mosto")</f>
        <v>Mosto</v>
      </c>
      <c r="P1614" s="2" t="str">
        <f ca="1">IFERROR(__xludf.DUMMYFUNCTION("""COMPUTED_VALUE"""),"Recarga Fermentando")</f>
        <v>Recarga Fermentando</v>
      </c>
      <c r="Q1614" s="2" t="b">
        <f ca="1">IFERROR(__xludf.DUMMYFUNCTION("""COMPUTED_VALUE"""),TRUE)</f>
        <v>1</v>
      </c>
      <c r="R1614" s="2" t="str">
        <f ca="1">IFERROR(__xludf.DUMMYFUNCTION("""COMPUTED_VALUE"""),"Recarga Fermentando")</f>
        <v>Recarga Fermentando</v>
      </c>
      <c r="S1614" s="2"/>
      <c r="T1614" s="2"/>
      <c r="U1614" s="2"/>
    </row>
    <row r="1615" spans="1:21" x14ac:dyDescent="0.25">
      <c r="A1615" s="2" t="str">
        <f ca="1">IFERROR(__xludf.DUMMYFUNCTION("""COMPUTED_VALUE"""),"fa58b1b2")</f>
        <v>fa58b1b2</v>
      </c>
      <c r="B1615" s="5">
        <f ca="1">IFERROR(__xludf.DUMMYFUNCTION("""COMPUTED_VALUE"""),46133.4118518518)</f>
        <v>46133.411851851801</v>
      </c>
      <c r="C1615" s="2" t="str">
        <f ca="1">IFERROR(__xludf.DUMMYFUNCTION("""COMPUTED_VALUE"""),"92cb02dd")</f>
        <v>92cb02dd</v>
      </c>
      <c r="D1615" s="2">
        <f ca="1">IFERROR(__xludf.DUMMYFUNCTION("""COMPUTED_VALUE"""),83)</f>
        <v>83</v>
      </c>
      <c r="E1615" s="2" t="str">
        <f ca="1">IFERROR(__xludf.DUMMYFUNCTION("""COMPUTED_VALUE"""),"Bonarda PC")</f>
        <v>Bonarda PC</v>
      </c>
      <c r="F1615" s="2">
        <f ca="1">IFERROR(__xludf.DUMMYFUNCTION("""COMPUTED_VALUE"""),63000)</f>
        <v>63000</v>
      </c>
      <c r="G1615" s="2">
        <f ca="1">IFERROR(__xludf.DUMMYFUNCTION("""COMPUTED_VALUE"""),28)</f>
        <v>28</v>
      </c>
      <c r="H1615" s="2" t="str">
        <f ca="1">IFERROR(__xludf.DUMMYFUNCTION("""COMPUTED_VALUE"""),"51395f5d")</f>
        <v>51395f5d</v>
      </c>
      <c r="I1615" s="2" t="str">
        <f ca="1">IFERROR(__xludf.DUMMYFUNCTION("""COMPUTED_VALUE"""),"Bonarda C2")</f>
        <v>Bonarda C2</v>
      </c>
      <c r="J1615" s="2">
        <f ca="1">IFERROR(__xludf.DUMMYFUNCTION("""COMPUTED_VALUE"""),134000)</f>
        <v>134000</v>
      </c>
      <c r="K1615" s="2">
        <f ca="1">IFERROR(__xludf.DUMMYFUNCTION("""COMPUTED_VALUE"""),197000)</f>
        <v>197000</v>
      </c>
      <c r="L1615" s="2" t="str">
        <f ca="1">IFERROR(__xludf.DUMMYFUNCTION("""COMPUTED_VALUE"""),"77fc6ec8")</f>
        <v>77fc6ec8</v>
      </c>
      <c r="M1615" s="2" t="str">
        <f ca="1">IFERROR(__xludf.DUMMYFUNCTION("""COMPUTED_VALUE"""),"Bonarda C2")</f>
        <v>Bonarda C2</v>
      </c>
      <c r="N1615" s="2"/>
      <c r="O1615" s="2" t="str">
        <f ca="1">IFERROR(__xludf.DUMMYFUNCTION("""COMPUTED_VALUE"""),"Fermentando")</f>
        <v>Fermentando</v>
      </c>
      <c r="P1615" s="2" t="str">
        <f ca="1">IFERROR(__xludf.DUMMYFUNCTION("""COMPUTED_VALUE"""),"Fermentando")</f>
        <v>Fermentando</v>
      </c>
      <c r="Q1615" s="2" t="b">
        <f ca="1">IFERROR(__xludf.DUMMYFUNCTION("""COMPUTED_VALUE"""),TRUE)</f>
        <v>1</v>
      </c>
      <c r="R1615" s="2" t="str">
        <f ca="1">IFERROR(__xludf.DUMMYFUNCTION("""COMPUTED_VALUE"""),"Descubada")</f>
        <v>Descubada</v>
      </c>
      <c r="S1615" s="2"/>
      <c r="T1615" s="2"/>
      <c r="U1615" s="2"/>
    </row>
    <row r="1616" spans="1:21" x14ac:dyDescent="0.25">
      <c r="A1616" s="2" t="str">
        <f ca="1">IFERROR(__xludf.DUMMYFUNCTION("""COMPUTED_VALUE"""),"92640dc9")</f>
        <v>92640dc9</v>
      </c>
      <c r="B1616" s="5">
        <f ca="1">IFERROR(__xludf.DUMMYFUNCTION("""COMPUTED_VALUE"""),46133.4148611111)</f>
        <v>46133.414861111101</v>
      </c>
      <c r="C1616" s="2" t="str">
        <f ca="1">IFERROR(__xludf.DUMMYFUNCTION("""COMPUTED_VALUE"""),"b1ede5bc")</f>
        <v>b1ede5bc</v>
      </c>
      <c r="D1616" s="2">
        <f ca="1">IFERROR(__xludf.DUMMYFUNCTION("""COMPUTED_VALUE"""),68)</f>
        <v>68</v>
      </c>
      <c r="E1616" s="2" t="str">
        <f ca="1">IFERROR(__xludf.DUMMYFUNCTION("""COMPUTED_VALUE"""),"Criolla Mosto")</f>
        <v>Criolla Mosto</v>
      </c>
      <c r="F1616" s="2">
        <f ca="1">IFERROR(__xludf.DUMMYFUNCTION("""COMPUTED_VALUE"""),11000)</f>
        <v>11000</v>
      </c>
      <c r="G1616" s="2">
        <f ca="1">IFERROR(__xludf.DUMMYFUNCTION("""COMPUTED_VALUE"""),91)</f>
        <v>91</v>
      </c>
      <c r="H1616" s="2" t="str">
        <f ca="1">IFERROR(__xludf.DUMMYFUNCTION("""COMPUTED_VALUE"""),"bebcd666")</f>
        <v>bebcd666</v>
      </c>
      <c r="I1616" s="2" t="str">
        <f ca="1">IFERROR(__xludf.DUMMYFUNCTION("""COMPUTED_VALUE"""),"Criolla Recarga PC")</f>
        <v>Criolla Recarga PC</v>
      </c>
      <c r="J1616" s="2">
        <f ca="1">IFERROR(__xludf.DUMMYFUNCTION("""COMPUTED_VALUE"""),72400)</f>
        <v>72400</v>
      </c>
      <c r="K1616" s="2">
        <f ca="1">IFERROR(__xludf.DUMMYFUNCTION("""COMPUTED_VALUE"""),83400)</f>
        <v>83400</v>
      </c>
      <c r="L1616" s="2" t="str">
        <f ca="1">IFERROR(__xludf.DUMMYFUNCTION("""COMPUTED_VALUE"""),"3a62302c")</f>
        <v>3a62302c</v>
      </c>
      <c r="M1616" s="2" t="str">
        <f ca="1">IFERROR(__xludf.DUMMYFUNCTION("""COMPUTED_VALUE"""),"Criolla Recarga PC")</f>
        <v>Criolla Recarga PC</v>
      </c>
      <c r="N1616" s="2"/>
      <c r="O1616" s="2" t="str">
        <f ca="1">IFERROR(__xludf.DUMMYFUNCTION("""COMPUTED_VALUE"""),"Fermentando")</f>
        <v>Fermentando</v>
      </c>
      <c r="P1616" s="2" t="str">
        <f ca="1">IFERROR(__xludf.DUMMYFUNCTION("""COMPUTED_VALUE"""),"Recarga Fermentando")</f>
        <v>Recarga Fermentando</v>
      </c>
      <c r="Q1616" s="2" t="b">
        <f ca="1">IFERROR(__xludf.DUMMYFUNCTION("""COMPUTED_VALUE"""),TRUE)</f>
        <v>1</v>
      </c>
      <c r="R1616" s="2" t="str">
        <f ca="1">IFERROR(__xludf.DUMMYFUNCTION("""COMPUTED_VALUE"""),"Recarga Fermentando")</f>
        <v>Recarga Fermentando</v>
      </c>
      <c r="S1616" s="2"/>
      <c r="T1616" s="2"/>
      <c r="U1616" s="2"/>
    </row>
    <row r="1617" spans="1:21" x14ac:dyDescent="0.25">
      <c r="A1617" s="2" t="str">
        <f ca="1">IFERROR(__xludf.DUMMYFUNCTION("""COMPUTED_VALUE"""),"e55eeba9")</f>
        <v>e55eeba9</v>
      </c>
      <c r="B1617" s="5">
        <f ca="1">IFERROR(__xludf.DUMMYFUNCTION("""COMPUTED_VALUE"""),46135.4869097222)</f>
        <v>46135.486909722204</v>
      </c>
      <c r="C1617" s="2" t="str">
        <f ca="1">IFERROR(__xludf.DUMMYFUNCTION("""COMPUTED_VALUE"""),"804a467b")</f>
        <v>804a467b</v>
      </c>
      <c r="D1617" s="2">
        <f ca="1">IFERROR(__xludf.DUMMYFUNCTION("""COMPUTED_VALUE"""),125)</f>
        <v>125</v>
      </c>
      <c r="E1617" s="2" t="str">
        <f ca="1">IFERROR(__xludf.DUMMYFUNCTION("""COMPUTED_VALUE"""),"Criolla Mosto")</f>
        <v>Criolla Mosto</v>
      </c>
      <c r="F1617" s="2">
        <f ca="1">IFERROR(__xludf.DUMMYFUNCTION("""COMPUTED_VALUE"""),26000)</f>
        <v>26000</v>
      </c>
      <c r="G1617" s="2">
        <f ca="1">IFERROR(__xludf.DUMMYFUNCTION("""COMPUTED_VALUE"""),86)</f>
        <v>86</v>
      </c>
      <c r="H1617" s="2" t="str">
        <f ca="1">IFERROR(__xludf.DUMMYFUNCTION("""COMPUTED_VALUE"""),"aed16735")</f>
        <v>aed16735</v>
      </c>
      <c r="I1617" s="2" t="str">
        <f ca="1">IFERROR(__xludf.DUMMYFUNCTION("""COMPUTED_VALUE"""),"Bonarda PC")</f>
        <v>Bonarda PC</v>
      </c>
      <c r="J1617" s="2">
        <f ca="1">IFERROR(__xludf.DUMMYFUNCTION("""COMPUTED_VALUE"""),16000)</f>
        <v>16000</v>
      </c>
      <c r="K1617" s="2">
        <f ca="1">IFERROR(__xludf.DUMMYFUNCTION("""COMPUTED_VALUE"""),42000)</f>
        <v>42000</v>
      </c>
      <c r="L1617" s="2" t="str">
        <f ca="1">IFERROR(__xludf.DUMMYFUNCTION("""COMPUTED_VALUE"""),"20a7407a")</f>
        <v>20a7407a</v>
      </c>
      <c r="M1617" s="2" t="str">
        <f ca="1">IFERROR(__xludf.DUMMYFUNCTION("""COMPUTED_VALUE"""),"Criolla Recarga")</f>
        <v>Criolla Recarga</v>
      </c>
      <c r="N1617" s="2"/>
      <c r="O1617" s="2" t="str">
        <f ca="1">IFERROR(__xludf.DUMMYFUNCTION("""COMPUTED_VALUE"""),"Mosto")</f>
        <v>Mosto</v>
      </c>
      <c r="P1617" s="2" t="str">
        <f ca="1">IFERROR(__xludf.DUMMYFUNCTION("""COMPUTED_VALUE"""),"Fermentando")</f>
        <v>Fermentando</v>
      </c>
      <c r="Q1617" s="2" t="b">
        <f ca="1">IFERROR(__xludf.DUMMYFUNCTION("""COMPUTED_VALUE"""),TRUE)</f>
        <v>1</v>
      </c>
      <c r="R1617" s="2" t="str">
        <f ca="1">IFERROR(__xludf.DUMMYFUNCTION("""COMPUTED_VALUE"""),"Recarga Fermentando")</f>
        <v>Recarga Fermentando</v>
      </c>
      <c r="S1617" s="2"/>
      <c r="T1617" s="2"/>
      <c r="U1617" s="2"/>
    </row>
    <row r="1618" spans="1:21" x14ac:dyDescent="0.25">
      <c r="A1618" s="2" t="str">
        <f ca="1">IFERROR(__xludf.DUMMYFUNCTION("""COMPUTED_VALUE"""),"109c5428")</f>
        <v>109c5428</v>
      </c>
      <c r="B1618" s="5">
        <f ca="1">IFERROR(__xludf.DUMMYFUNCTION("""COMPUTED_VALUE"""),46135.5138773148)</f>
        <v>46135.513877314799</v>
      </c>
      <c r="C1618" s="2" t="str">
        <f ca="1">IFERROR(__xludf.DUMMYFUNCTION("""COMPUTED_VALUE"""),"b22066db")</f>
        <v>b22066db</v>
      </c>
      <c r="D1618" s="2">
        <f ca="1">IFERROR(__xludf.DUMMYFUNCTION("""COMPUTED_VALUE"""),85)</f>
        <v>85</v>
      </c>
      <c r="E1618" s="2" t="str">
        <f ca="1">IFERROR(__xludf.DUMMYFUNCTION("""COMPUTED_VALUE"""),"Criolla Recarga")</f>
        <v>Criolla Recarga</v>
      </c>
      <c r="F1618" s="2">
        <f ca="1">IFERROR(__xludf.DUMMYFUNCTION("""COMPUTED_VALUE"""),26000)</f>
        <v>26000</v>
      </c>
      <c r="G1618" s="2">
        <f ca="1">IFERROR(__xludf.DUMMYFUNCTION("""COMPUTED_VALUE"""),95)</f>
        <v>95</v>
      </c>
      <c r="H1618" s="2"/>
      <c r="I1618" s="2"/>
      <c r="J1618" s="2">
        <f ca="1">IFERROR(__xludf.DUMMYFUNCTION("""COMPUTED_VALUE"""),0)</f>
        <v>0</v>
      </c>
      <c r="K1618" s="2">
        <f ca="1">IFERROR(__xludf.DUMMYFUNCTION("""COMPUTED_VALUE"""),26000)</f>
        <v>26000</v>
      </c>
      <c r="L1618" s="2" t="str">
        <f ca="1">IFERROR(__xludf.DUMMYFUNCTION("""COMPUTED_VALUE"""),"7c4c9bc1")</f>
        <v>7c4c9bc1</v>
      </c>
      <c r="M1618" s="2" t="str">
        <f ca="1">IFERROR(__xludf.DUMMYFUNCTION("""COMPUTED_VALUE"""),"Criolla Recarga")</f>
        <v>Criolla Recarga</v>
      </c>
      <c r="N1618" s="2"/>
      <c r="O1618" s="2" t="str">
        <f ca="1">IFERROR(__xludf.DUMMYFUNCTION("""COMPUTED_VALUE"""),"Recarga Fermentando")</f>
        <v>Recarga Fermentando</v>
      </c>
      <c r="P1618" s="2"/>
      <c r="Q1618" s="2" t="b">
        <f ca="1">IFERROR(__xludf.DUMMYFUNCTION("""COMPUTED_VALUE"""),FALSE)</f>
        <v>0</v>
      </c>
      <c r="R1618" s="2" t="str">
        <f ca="1">IFERROR(__xludf.DUMMYFUNCTION("""COMPUTED_VALUE"""),"Descubada")</f>
        <v>Descubada</v>
      </c>
      <c r="S1618" s="2"/>
      <c r="T1618" s="2"/>
      <c r="U1618" s="2"/>
    </row>
    <row r="1619" spans="1:21" x14ac:dyDescent="0.25">
      <c r="A1619" s="2" t="str">
        <f ca="1">IFERROR(__xludf.DUMMYFUNCTION("""COMPUTED_VALUE"""),"6f844f78")</f>
        <v>6f844f78</v>
      </c>
      <c r="B1619" s="5">
        <f ca="1">IFERROR(__xludf.DUMMYFUNCTION("""COMPUTED_VALUE"""),46135.5143981481)</f>
        <v>46135.514398148101</v>
      </c>
      <c r="C1619" s="2" t="str">
        <f ca="1">IFERROR(__xludf.DUMMYFUNCTION("""COMPUTED_VALUE"""),"bfcedb73")</f>
        <v>bfcedb73</v>
      </c>
      <c r="D1619" s="2">
        <f ca="1">IFERROR(__xludf.DUMMYFUNCTION("""COMPUTED_VALUE"""),82)</f>
        <v>82</v>
      </c>
      <c r="E1619" s="2" t="str">
        <f ca="1">IFERROR(__xludf.DUMMYFUNCTION("""COMPUTED_VALUE"""),"Criolla Recarga")</f>
        <v>Criolla Recarga</v>
      </c>
      <c r="F1619" s="2">
        <f ca="1">IFERROR(__xludf.DUMMYFUNCTION("""COMPUTED_VALUE"""),25000)</f>
        <v>25000</v>
      </c>
      <c r="G1619" s="2">
        <f ca="1">IFERROR(__xludf.DUMMYFUNCTION("""COMPUTED_VALUE"""),95)</f>
        <v>95</v>
      </c>
      <c r="H1619" s="2" t="str">
        <f ca="1">IFERROR(__xludf.DUMMYFUNCTION("""COMPUTED_VALUE"""),"7c4c9bc1")</f>
        <v>7c4c9bc1</v>
      </c>
      <c r="I1619" s="2" t="str">
        <f ca="1">IFERROR(__xludf.DUMMYFUNCTION("""COMPUTED_VALUE"""),"Criolla Recarga")</f>
        <v>Criolla Recarga</v>
      </c>
      <c r="J1619" s="2">
        <f ca="1">IFERROR(__xludf.DUMMYFUNCTION("""COMPUTED_VALUE"""),26000)</f>
        <v>26000</v>
      </c>
      <c r="K1619" s="2">
        <f ca="1">IFERROR(__xludf.DUMMYFUNCTION("""COMPUTED_VALUE"""),51000)</f>
        <v>51000</v>
      </c>
      <c r="L1619" s="2" t="str">
        <f ca="1">IFERROR(__xludf.DUMMYFUNCTION("""COMPUTED_VALUE"""),"1457a37c")</f>
        <v>1457a37c</v>
      </c>
      <c r="M1619" s="2" t="str">
        <f ca="1">IFERROR(__xludf.DUMMYFUNCTION("""COMPUTED_VALUE"""),"Criolla Recarga")</f>
        <v>Criolla Recarga</v>
      </c>
      <c r="N1619" s="2"/>
      <c r="O1619" s="2" t="str">
        <f ca="1">IFERROR(__xludf.DUMMYFUNCTION("""COMPUTED_VALUE"""),"Recarga Fermentando")</f>
        <v>Recarga Fermentando</v>
      </c>
      <c r="P1619" s="2" t="str">
        <f ca="1">IFERROR(__xludf.DUMMYFUNCTION("""COMPUTED_VALUE"""),"Descubada")</f>
        <v>Descubada</v>
      </c>
      <c r="Q1619" s="2" t="b">
        <f ca="1">IFERROR(__xludf.DUMMYFUNCTION("""COMPUTED_VALUE"""),TRUE)</f>
        <v>1</v>
      </c>
      <c r="R1619" s="2" t="str">
        <f ca="1">IFERROR(__xludf.DUMMYFUNCTION("""COMPUTED_VALUE"""),"Descubada")</f>
        <v>Descubada</v>
      </c>
      <c r="S1619" s="2"/>
      <c r="T1619" s="2"/>
      <c r="U1619" s="2"/>
    </row>
    <row r="1620" spans="1:21" x14ac:dyDescent="0.25">
      <c r="A1620" s="2" t="str">
        <f ca="1">IFERROR(__xludf.DUMMYFUNCTION("""COMPUTED_VALUE"""),"eaa1ae0f")</f>
        <v>eaa1ae0f</v>
      </c>
      <c r="B1620" s="5">
        <f ca="1">IFERROR(__xludf.DUMMYFUNCTION("""COMPUTED_VALUE"""),46135.5147106481)</f>
        <v>46135.514710648102</v>
      </c>
      <c r="C1620" s="2" t="str">
        <f ca="1">IFERROR(__xludf.DUMMYFUNCTION("""COMPUTED_VALUE"""),"d083b80a")</f>
        <v>d083b80a</v>
      </c>
      <c r="D1620" s="2">
        <f ca="1">IFERROR(__xludf.DUMMYFUNCTION("""COMPUTED_VALUE"""),67)</f>
        <v>67</v>
      </c>
      <c r="E1620" s="2" t="str">
        <f ca="1">IFERROR(__xludf.DUMMYFUNCTION("""COMPUTED_VALUE"""),"Criolla Recarga PC")</f>
        <v>Criolla Recarga PC</v>
      </c>
      <c r="F1620" s="2">
        <f ca="1">IFERROR(__xludf.DUMMYFUNCTION("""COMPUTED_VALUE"""),23500)</f>
        <v>23500</v>
      </c>
      <c r="G1620" s="2">
        <f ca="1">IFERROR(__xludf.DUMMYFUNCTION("""COMPUTED_VALUE"""),95)</f>
        <v>95</v>
      </c>
      <c r="H1620" s="2" t="str">
        <f ca="1">IFERROR(__xludf.DUMMYFUNCTION("""COMPUTED_VALUE"""),"1457a37c")</f>
        <v>1457a37c</v>
      </c>
      <c r="I1620" s="2" t="str">
        <f ca="1">IFERROR(__xludf.DUMMYFUNCTION("""COMPUTED_VALUE"""),"Criolla Recarga")</f>
        <v>Criolla Recarga</v>
      </c>
      <c r="J1620" s="2">
        <f ca="1">IFERROR(__xludf.DUMMYFUNCTION("""COMPUTED_VALUE"""),51000)</f>
        <v>51000</v>
      </c>
      <c r="K1620" s="2">
        <f ca="1">IFERROR(__xludf.DUMMYFUNCTION("""COMPUTED_VALUE"""),74500)</f>
        <v>74500</v>
      </c>
      <c r="L1620" s="2" t="str">
        <f ca="1">IFERROR(__xludf.DUMMYFUNCTION("""COMPUTED_VALUE"""),"b9f7c6aa")</f>
        <v>b9f7c6aa</v>
      </c>
      <c r="M1620" s="2" t="str">
        <f ca="1">IFERROR(__xludf.DUMMYFUNCTION("""COMPUTED_VALUE"""),"Criolla Recarga")</f>
        <v>Criolla Recarga</v>
      </c>
      <c r="N1620" s="2"/>
      <c r="O1620" s="2" t="str">
        <f ca="1">IFERROR(__xludf.DUMMYFUNCTION("""COMPUTED_VALUE"""),"Recarga Fermentando")</f>
        <v>Recarga Fermentando</v>
      </c>
      <c r="P1620" s="2" t="str">
        <f ca="1">IFERROR(__xludf.DUMMYFUNCTION("""COMPUTED_VALUE"""),"Descubada")</f>
        <v>Descubada</v>
      </c>
      <c r="Q1620" s="2" t="b">
        <f ca="1">IFERROR(__xludf.DUMMYFUNCTION("""COMPUTED_VALUE"""),TRUE)</f>
        <v>1</v>
      </c>
      <c r="R1620" s="2" t="str">
        <f ca="1">IFERROR(__xludf.DUMMYFUNCTION("""COMPUTED_VALUE"""),"Descubada")</f>
        <v>Descubada</v>
      </c>
      <c r="S1620" s="2"/>
      <c r="T1620" s="2"/>
      <c r="U1620" s="2"/>
    </row>
    <row r="1621" spans="1:21" x14ac:dyDescent="0.25">
      <c r="A1621" s="2" t="str">
        <f ca="1">IFERROR(__xludf.DUMMYFUNCTION("""COMPUTED_VALUE"""),"26c96147")</f>
        <v>26c96147</v>
      </c>
      <c r="B1621" s="5">
        <f ca="1">IFERROR(__xludf.DUMMYFUNCTION("""COMPUTED_VALUE"""),46135.5246180555)</f>
        <v>46135.524618055497</v>
      </c>
      <c r="C1621" s="2" t="str">
        <f ca="1">IFERROR(__xludf.DUMMYFUNCTION("""COMPUTED_VALUE"""),"9abdd345")</f>
        <v>9abdd345</v>
      </c>
      <c r="D1621" s="2">
        <f ca="1">IFERROR(__xludf.DUMMYFUNCTION("""COMPUTED_VALUE"""),81)</f>
        <v>81</v>
      </c>
      <c r="E1621" s="2" t="str">
        <f ca="1">IFERROR(__xludf.DUMMYFUNCTION("""COMPUTED_VALUE"""),"Criolla Recarga PC")</f>
        <v>Criolla Recarga PC</v>
      </c>
      <c r="F1621" s="2">
        <f ca="1">IFERROR(__xludf.DUMMYFUNCTION("""COMPUTED_VALUE"""),2600)</f>
        <v>2600</v>
      </c>
      <c r="G1621" s="2">
        <f ca="1">IFERROR(__xludf.DUMMYFUNCTION("""COMPUTED_VALUE"""),95)</f>
        <v>95</v>
      </c>
      <c r="H1621" s="2" t="str">
        <f ca="1">IFERROR(__xludf.DUMMYFUNCTION("""COMPUTED_VALUE"""),"b9f7c6aa")</f>
        <v>b9f7c6aa</v>
      </c>
      <c r="I1621" s="2" t="str">
        <f ca="1">IFERROR(__xludf.DUMMYFUNCTION("""COMPUTED_VALUE"""),"Criolla Recarga")</f>
        <v>Criolla Recarga</v>
      </c>
      <c r="J1621" s="2">
        <f ca="1">IFERROR(__xludf.DUMMYFUNCTION("""COMPUTED_VALUE"""),74500)</f>
        <v>74500</v>
      </c>
      <c r="K1621" s="2">
        <f ca="1">IFERROR(__xludf.DUMMYFUNCTION("""COMPUTED_VALUE"""),77100)</f>
        <v>77100</v>
      </c>
      <c r="L1621" s="2" t="str">
        <f ca="1">IFERROR(__xludf.DUMMYFUNCTION("""COMPUTED_VALUE"""),"f9653f2a")</f>
        <v>f9653f2a</v>
      </c>
      <c r="M1621" s="2" t="str">
        <f ca="1">IFERROR(__xludf.DUMMYFUNCTION("""COMPUTED_VALUE"""),"Criolla Recarga")</f>
        <v>Criolla Recarga</v>
      </c>
      <c r="N1621" s="2"/>
      <c r="O1621" s="2" t="str">
        <f ca="1">IFERROR(__xludf.DUMMYFUNCTION("""COMPUTED_VALUE"""),"Recarga Fermentando")</f>
        <v>Recarga Fermentando</v>
      </c>
      <c r="P1621" s="2" t="str">
        <f ca="1">IFERROR(__xludf.DUMMYFUNCTION("""COMPUTED_VALUE"""),"Descubada")</f>
        <v>Descubada</v>
      </c>
      <c r="Q1621" s="2" t="b">
        <f ca="1">IFERROR(__xludf.DUMMYFUNCTION("""COMPUTED_VALUE"""),TRUE)</f>
        <v>1</v>
      </c>
      <c r="R1621" s="2" t="str">
        <f ca="1">IFERROR(__xludf.DUMMYFUNCTION("""COMPUTED_VALUE"""),"Descubada")</f>
        <v>Descubada</v>
      </c>
      <c r="S1621" s="2"/>
      <c r="T1621" s="2"/>
      <c r="U1621" s="2"/>
    </row>
    <row r="1622" spans="1:21" x14ac:dyDescent="0.25">
      <c r="A1622" s="2" t="str">
        <f ca="1">IFERROR(__xludf.DUMMYFUNCTION("""COMPUTED_VALUE"""),"b6e7a4c0")</f>
        <v>b6e7a4c0</v>
      </c>
      <c r="B1622" s="5">
        <f ca="1">IFERROR(__xludf.DUMMYFUNCTION("""COMPUTED_VALUE"""),46135.5247916666)</f>
        <v>46135.524791666598</v>
      </c>
      <c r="C1622" s="2" t="str">
        <f ca="1">IFERROR(__xludf.DUMMYFUNCTION("""COMPUTED_VALUE"""),"9abdd345")</f>
        <v>9abdd345</v>
      </c>
      <c r="D1622" s="2">
        <f ca="1">IFERROR(__xludf.DUMMYFUNCTION("""COMPUTED_VALUE"""),81)</f>
        <v>81</v>
      </c>
      <c r="E1622" s="2" t="str">
        <f ca="1">IFERROR(__xludf.DUMMYFUNCTION("""COMPUTED_VALUE"""),"Criolla Recarga PC")</f>
        <v>Criolla Recarga PC</v>
      </c>
      <c r="F1622" s="2">
        <f ca="1">IFERROR(__xludf.DUMMYFUNCTION("""COMPUTED_VALUE"""),22400)</f>
        <v>22400</v>
      </c>
      <c r="G1622" s="2">
        <f ca="1">IFERROR(__xludf.DUMMYFUNCTION("""COMPUTED_VALUE"""),83)</f>
        <v>83</v>
      </c>
      <c r="H1622" s="2"/>
      <c r="I1622" s="2"/>
      <c r="J1622" s="2">
        <f ca="1">IFERROR(__xludf.DUMMYFUNCTION("""COMPUTED_VALUE"""),0)</f>
        <v>0</v>
      </c>
      <c r="K1622" s="2">
        <f ca="1">IFERROR(__xludf.DUMMYFUNCTION("""COMPUTED_VALUE"""),22400)</f>
        <v>22400</v>
      </c>
      <c r="L1622" s="2" t="str">
        <f ca="1">IFERROR(__xludf.DUMMYFUNCTION("""COMPUTED_VALUE"""),"9cd0e67f")</f>
        <v>9cd0e67f</v>
      </c>
      <c r="M1622" s="2" t="str">
        <f ca="1">IFERROR(__xludf.DUMMYFUNCTION("""COMPUTED_VALUE"""),"Criolla Recarga")</f>
        <v>Criolla Recarga</v>
      </c>
      <c r="N1622" s="2"/>
      <c r="O1622" s="2" t="str">
        <f ca="1">IFERROR(__xludf.DUMMYFUNCTION("""COMPUTED_VALUE"""),"Recarga Fermentando")</f>
        <v>Recarga Fermentando</v>
      </c>
      <c r="P1622" s="2"/>
      <c r="Q1622" s="2" t="b">
        <f ca="1">IFERROR(__xludf.DUMMYFUNCTION("""COMPUTED_VALUE"""),FALSE)</f>
        <v>0</v>
      </c>
      <c r="R1622" s="2" t="str">
        <f ca="1">IFERROR(__xludf.DUMMYFUNCTION("""COMPUTED_VALUE"""),"Descubada")</f>
        <v>Descubada</v>
      </c>
      <c r="S1622" s="2"/>
      <c r="T1622" s="2"/>
      <c r="U1622" s="2"/>
    </row>
    <row r="1623" spans="1:21" x14ac:dyDescent="0.25">
      <c r="A1623" s="2" t="str">
        <f ca="1">IFERROR(__xludf.DUMMYFUNCTION("""COMPUTED_VALUE"""),"9588a3d6")</f>
        <v>9588a3d6</v>
      </c>
      <c r="B1623" s="5">
        <f ca="1">IFERROR(__xludf.DUMMYFUNCTION("""COMPUTED_VALUE"""),46135.5262384259)</f>
        <v>46135.526238425897</v>
      </c>
      <c r="C1623" s="2" t="str">
        <f ca="1">IFERROR(__xludf.DUMMYFUNCTION("""COMPUTED_VALUE"""),"2365fc81")</f>
        <v>2365fc81</v>
      </c>
      <c r="D1623" s="2">
        <f ca="1">IFERROR(__xludf.DUMMYFUNCTION("""COMPUTED_VALUE"""),66)</f>
        <v>66</v>
      </c>
      <c r="E1623" s="2" t="str">
        <f ca="1">IFERROR(__xludf.DUMMYFUNCTION("""COMPUTED_VALUE"""),"Criolla Recarga PC")</f>
        <v>Criolla Recarga PC</v>
      </c>
      <c r="F1623" s="2">
        <f ca="1">IFERROR(__xludf.DUMMYFUNCTION("""COMPUTED_VALUE"""),22500)</f>
        <v>22500</v>
      </c>
      <c r="G1623" s="2">
        <f ca="1">IFERROR(__xludf.DUMMYFUNCTION("""COMPUTED_VALUE"""),83)</f>
        <v>83</v>
      </c>
      <c r="H1623" s="2" t="str">
        <f ca="1">IFERROR(__xludf.DUMMYFUNCTION("""COMPUTED_VALUE"""),"9cd0e67f")</f>
        <v>9cd0e67f</v>
      </c>
      <c r="I1623" s="2" t="str">
        <f ca="1">IFERROR(__xludf.DUMMYFUNCTION("""COMPUTED_VALUE"""),"Criolla Recarga")</f>
        <v>Criolla Recarga</v>
      </c>
      <c r="J1623" s="2">
        <f ca="1">IFERROR(__xludf.DUMMYFUNCTION("""COMPUTED_VALUE"""),22400)</f>
        <v>22400</v>
      </c>
      <c r="K1623" s="2">
        <f ca="1">IFERROR(__xludf.DUMMYFUNCTION("""COMPUTED_VALUE"""),44900)</f>
        <v>44900</v>
      </c>
      <c r="L1623" s="2" t="str">
        <f ca="1">IFERROR(__xludf.DUMMYFUNCTION("""COMPUTED_VALUE"""),"82743b25")</f>
        <v>82743b25</v>
      </c>
      <c r="M1623" s="2" t="str">
        <f ca="1">IFERROR(__xludf.DUMMYFUNCTION("""COMPUTED_VALUE"""),"Criolla Recarga")</f>
        <v>Criolla Recarga</v>
      </c>
      <c r="N1623" s="2"/>
      <c r="O1623" s="2" t="str">
        <f ca="1">IFERROR(__xludf.DUMMYFUNCTION("""COMPUTED_VALUE"""),"Recarga Fermentando")</f>
        <v>Recarga Fermentando</v>
      </c>
      <c r="P1623" s="2" t="str">
        <f ca="1">IFERROR(__xludf.DUMMYFUNCTION("""COMPUTED_VALUE"""),"Descubada")</f>
        <v>Descubada</v>
      </c>
      <c r="Q1623" s="2" t="b">
        <f ca="1">IFERROR(__xludf.DUMMYFUNCTION("""COMPUTED_VALUE"""),TRUE)</f>
        <v>1</v>
      </c>
      <c r="R1623" s="2" t="str">
        <f ca="1">IFERROR(__xludf.DUMMYFUNCTION("""COMPUTED_VALUE"""),"Descubada")</f>
        <v>Descubada</v>
      </c>
      <c r="S1623" s="2"/>
      <c r="T1623" s="2"/>
      <c r="U1623" s="2"/>
    </row>
    <row r="1624" spans="1:21" x14ac:dyDescent="0.25">
      <c r="A1624" s="2" t="str">
        <f ca="1">IFERROR(__xludf.DUMMYFUNCTION("""COMPUTED_VALUE"""),"112cc1dd")</f>
        <v>112cc1dd</v>
      </c>
      <c r="B1624" s="5">
        <f ca="1">IFERROR(__xludf.DUMMYFUNCTION("""COMPUTED_VALUE"""),46135.5265393518)</f>
        <v>46135.526539351798</v>
      </c>
      <c r="C1624" s="2" t="str">
        <f ca="1">IFERROR(__xludf.DUMMYFUNCTION("""COMPUTED_VALUE"""),"7509d70b")</f>
        <v>7509d70b</v>
      </c>
      <c r="D1624" s="2">
        <f ca="1">IFERROR(__xludf.DUMMYFUNCTION("""COMPUTED_VALUE"""),76)</f>
        <v>76</v>
      </c>
      <c r="E1624" s="2" t="str">
        <f ca="1">IFERROR(__xludf.DUMMYFUNCTION("""COMPUTED_VALUE"""),"Criolla Recarga PC")</f>
        <v>Criolla Recarga PC</v>
      </c>
      <c r="F1624" s="2">
        <f ca="1">IFERROR(__xludf.DUMMYFUNCTION("""COMPUTED_VALUE"""),23800)</f>
        <v>23800</v>
      </c>
      <c r="G1624" s="2">
        <f ca="1">IFERROR(__xludf.DUMMYFUNCTION("""COMPUTED_VALUE"""),83)</f>
        <v>83</v>
      </c>
      <c r="H1624" s="2" t="str">
        <f ca="1">IFERROR(__xludf.DUMMYFUNCTION("""COMPUTED_VALUE"""),"82743b25")</f>
        <v>82743b25</v>
      </c>
      <c r="I1624" s="2" t="str">
        <f ca="1">IFERROR(__xludf.DUMMYFUNCTION("""COMPUTED_VALUE"""),"Criolla Recarga")</f>
        <v>Criolla Recarga</v>
      </c>
      <c r="J1624" s="2">
        <f ca="1">IFERROR(__xludf.DUMMYFUNCTION("""COMPUTED_VALUE"""),44900)</f>
        <v>44900</v>
      </c>
      <c r="K1624" s="2">
        <f ca="1">IFERROR(__xludf.DUMMYFUNCTION("""COMPUTED_VALUE"""),68700)</f>
        <v>68700</v>
      </c>
      <c r="L1624" s="2" t="str">
        <f ca="1">IFERROR(__xludf.DUMMYFUNCTION("""COMPUTED_VALUE"""),"9e7c9d78")</f>
        <v>9e7c9d78</v>
      </c>
      <c r="M1624" s="2" t="str">
        <f ca="1">IFERROR(__xludf.DUMMYFUNCTION("""COMPUTED_VALUE"""),"Criolla Recarga")</f>
        <v>Criolla Recarga</v>
      </c>
      <c r="N1624" s="2"/>
      <c r="O1624" s="2" t="str">
        <f ca="1">IFERROR(__xludf.DUMMYFUNCTION("""COMPUTED_VALUE"""),"Recarga Fermentando")</f>
        <v>Recarga Fermentando</v>
      </c>
      <c r="P1624" s="2" t="str">
        <f ca="1">IFERROR(__xludf.DUMMYFUNCTION("""COMPUTED_VALUE"""),"Descubada")</f>
        <v>Descubada</v>
      </c>
      <c r="Q1624" s="2" t="b">
        <f ca="1">IFERROR(__xludf.DUMMYFUNCTION("""COMPUTED_VALUE"""),TRUE)</f>
        <v>1</v>
      </c>
      <c r="R1624" s="2" t="str">
        <f ca="1">IFERROR(__xludf.DUMMYFUNCTION("""COMPUTED_VALUE"""),"Descubada")</f>
        <v>Descubada</v>
      </c>
      <c r="S1624" s="2"/>
      <c r="T1624" s="2"/>
      <c r="U1624" s="2"/>
    </row>
    <row r="1625" spans="1:21" x14ac:dyDescent="0.25">
      <c r="A1625" s="2" t="str">
        <f ca="1">IFERROR(__xludf.DUMMYFUNCTION("""COMPUTED_VALUE"""),"22c97082")</f>
        <v>22c97082</v>
      </c>
      <c r="B1625" s="5">
        <f ca="1">IFERROR(__xludf.DUMMYFUNCTION("""COMPUTED_VALUE"""),46135.5268634259)</f>
        <v>46135.526863425897</v>
      </c>
      <c r="C1625" s="2" t="str">
        <f ca="1">IFERROR(__xludf.DUMMYFUNCTION("""COMPUTED_VALUE"""),"a65efef7")</f>
        <v>a65efef7</v>
      </c>
      <c r="D1625" s="2">
        <f ca="1">IFERROR(__xludf.DUMMYFUNCTION("""COMPUTED_VALUE"""),79)</f>
        <v>79</v>
      </c>
      <c r="E1625" s="2" t="str">
        <f ca="1">IFERROR(__xludf.DUMMYFUNCTION("""COMPUTED_VALUE"""),"Criolla Recarga PC")</f>
        <v>Criolla Recarga PC</v>
      </c>
      <c r="F1625" s="2">
        <f ca="1">IFERROR(__xludf.DUMMYFUNCTION("""COMPUTED_VALUE"""),12800)</f>
        <v>12800</v>
      </c>
      <c r="G1625" s="2">
        <f ca="1">IFERROR(__xludf.DUMMYFUNCTION("""COMPUTED_VALUE"""),83)</f>
        <v>83</v>
      </c>
      <c r="H1625" s="2" t="str">
        <f ca="1">IFERROR(__xludf.DUMMYFUNCTION("""COMPUTED_VALUE"""),"9e7c9d78")</f>
        <v>9e7c9d78</v>
      </c>
      <c r="I1625" s="2" t="str">
        <f ca="1">IFERROR(__xludf.DUMMYFUNCTION("""COMPUTED_VALUE"""),"Criolla Recarga")</f>
        <v>Criolla Recarga</v>
      </c>
      <c r="J1625" s="2">
        <f ca="1">IFERROR(__xludf.DUMMYFUNCTION("""COMPUTED_VALUE"""),68700)</f>
        <v>68700</v>
      </c>
      <c r="K1625" s="2">
        <f ca="1">IFERROR(__xludf.DUMMYFUNCTION("""COMPUTED_VALUE"""),81500)</f>
        <v>81500</v>
      </c>
      <c r="L1625" s="2" t="str">
        <f ca="1">IFERROR(__xludf.DUMMYFUNCTION("""COMPUTED_VALUE"""),"3659102b")</f>
        <v>3659102b</v>
      </c>
      <c r="M1625" s="2" t="str">
        <f ca="1">IFERROR(__xludf.DUMMYFUNCTION("""COMPUTED_VALUE"""),"Criolla Recarga PC")</f>
        <v>Criolla Recarga PC</v>
      </c>
      <c r="N1625" s="2"/>
      <c r="O1625" s="2" t="str">
        <f ca="1">IFERROR(__xludf.DUMMYFUNCTION("""COMPUTED_VALUE"""),"Recarga Fermentando")</f>
        <v>Recarga Fermentando</v>
      </c>
      <c r="P1625" s="2" t="str">
        <f ca="1">IFERROR(__xludf.DUMMYFUNCTION("""COMPUTED_VALUE"""),"Descubada")</f>
        <v>Descubada</v>
      </c>
      <c r="Q1625" s="2" t="b">
        <f ca="1">IFERROR(__xludf.DUMMYFUNCTION("""COMPUTED_VALUE"""),FALSE)</f>
        <v>0</v>
      </c>
      <c r="R1625" s="2" t="str">
        <f ca="1">IFERROR(__xludf.DUMMYFUNCTION("""COMPUTED_VALUE"""),"Recarga Fermentando")</f>
        <v>Recarga Fermentando</v>
      </c>
      <c r="S1625" s="2"/>
      <c r="T1625" s="2"/>
      <c r="U1625" s="2"/>
    </row>
    <row r="1626" spans="1:21" x14ac:dyDescent="0.25">
      <c r="A1626" s="2" t="str">
        <f ca="1">IFERROR(__xludf.DUMMYFUNCTION("""COMPUTED_VALUE"""),"26dfb057")</f>
        <v>26dfb057</v>
      </c>
      <c r="B1626" s="5">
        <f ca="1">IFERROR(__xludf.DUMMYFUNCTION("""COMPUTED_VALUE"""),46135.5282407407)</f>
        <v>46135.528240740699</v>
      </c>
      <c r="C1626" s="2" t="str">
        <f ca="1">IFERROR(__xludf.DUMMYFUNCTION("""COMPUTED_VALUE"""),"31c21fdb")</f>
        <v>31c21fdb</v>
      </c>
      <c r="D1626" s="2">
        <f ca="1">IFERROR(__xludf.DUMMYFUNCTION("""COMPUTED_VALUE"""),70)</f>
        <v>70</v>
      </c>
      <c r="E1626" s="2" t="str">
        <f ca="1">IFERROR(__xludf.DUMMYFUNCTION("""COMPUTED_VALUE"""),"Criolla Filt")</f>
        <v>Criolla Filt</v>
      </c>
      <c r="F1626" s="2">
        <f ca="1">IFERROR(__xludf.DUMMYFUNCTION("""COMPUTED_VALUE"""),1000)</f>
        <v>1000</v>
      </c>
      <c r="G1626" s="2">
        <f ca="1">IFERROR(__xludf.DUMMYFUNCTION("""COMPUTED_VALUE"""),126)</f>
        <v>126</v>
      </c>
      <c r="H1626" s="2" t="str">
        <f ca="1">IFERROR(__xludf.DUMMYFUNCTION("""COMPUTED_VALUE"""),"21fc2cc1")</f>
        <v>21fc2cc1</v>
      </c>
      <c r="I1626" s="2" t="str">
        <f ca="1">IFERROR(__xludf.DUMMYFUNCTION("""COMPUTED_VALUE"""),"Criolla PC")</f>
        <v>Criolla PC</v>
      </c>
      <c r="J1626" s="2">
        <f ca="1">IFERROR(__xludf.DUMMYFUNCTION("""COMPUTED_VALUE"""),30000)</f>
        <v>30000</v>
      </c>
      <c r="K1626" s="2">
        <f ca="1">IFERROR(__xludf.DUMMYFUNCTION("""COMPUTED_VALUE"""),31000)</f>
        <v>31000</v>
      </c>
      <c r="L1626" s="2" t="str">
        <f ca="1">IFERROR(__xludf.DUMMYFUNCTION("""COMPUTED_VALUE"""),"0a6a2e5b")</f>
        <v>0a6a2e5b</v>
      </c>
      <c r="M1626" s="2" t="str">
        <f ca="1">IFERROR(__xludf.DUMMYFUNCTION("""COMPUTED_VALUE"""),"Criolla Filt")</f>
        <v>Criolla Filt</v>
      </c>
      <c r="N1626" s="2"/>
      <c r="O1626" s="2" t="str">
        <f ca="1">IFERROR(__xludf.DUMMYFUNCTION("""COMPUTED_VALUE"""),"Fermentando")</f>
        <v>Fermentando</v>
      </c>
      <c r="P1626" s="2" t="str">
        <f ca="1">IFERROR(__xludf.DUMMYFUNCTION("""COMPUTED_VALUE"""),"Fermentando")</f>
        <v>Fermentando</v>
      </c>
      <c r="Q1626" s="2" t="b">
        <f ca="1">IFERROR(__xludf.DUMMYFUNCTION("""COMPUTED_VALUE"""),FALSE)</f>
        <v>0</v>
      </c>
      <c r="R1626" s="2" t="str">
        <f ca="1">IFERROR(__xludf.DUMMYFUNCTION("""COMPUTED_VALUE"""),"Fermentando")</f>
        <v>Fermentando</v>
      </c>
      <c r="S1626" s="2"/>
      <c r="T1626" s="2"/>
      <c r="U1626" s="2" t="str">
        <f ca="1">IFERROR(__xludf.DUMMYFUNCTION("""COMPUTED_VALUE"""),"1")</f>
        <v>1</v>
      </c>
    </row>
    <row r="1627" spans="1:21" x14ac:dyDescent="0.25">
      <c r="A1627" s="2" t="str">
        <f ca="1">IFERROR(__xludf.DUMMYFUNCTION("""COMPUTED_VALUE"""),"c511e648")</f>
        <v>c511e648</v>
      </c>
      <c r="B1627" s="5">
        <f ca="1">IFERROR(__xludf.DUMMYFUNCTION("""COMPUTED_VALUE"""),46135.5283796295)</f>
        <v>46135.528379629599</v>
      </c>
      <c r="C1627" s="2" t="str">
        <f ca="1">IFERROR(__xludf.DUMMYFUNCTION("""COMPUTED_VALUE"""),"31c21fdb")</f>
        <v>31c21fdb</v>
      </c>
      <c r="D1627" s="2">
        <f ca="1">IFERROR(__xludf.DUMMYFUNCTION("""COMPUTED_VALUE"""),70)</f>
        <v>70</v>
      </c>
      <c r="E1627" s="2" t="str">
        <f ca="1">IFERROR(__xludf.DUMMYFUNCTION("""COMPUTED_VALUE"""),"Criolla Filt")</f>
        <v>Criolla Filt</v>
      </c>
      <c r="F1627" s="2">
        <f ca="1">IFERROR(__xludf.DUMMYFUNCTION("""COMPUTED_VALUE"""),1000)</f>
        <v>1000</v>
      </c>
      <c r="G1627" s="2">
        <f ca="1">IFERROR(__xludf.DUMMYFUNCTION("""COMPUTED_VALUE"""),127)</f>
        <v>127</v>
      </c>
      <c r="H1627" s="2" t="str">
        <f ca="1">IFERROR(__xludf.DUMMYFUNCTION("""COMPUTED_VALUE"""),"87285660")</f>
        <v>87285660</v>
      </c>
      <c r="I1627" s="2" t="str">
        <f ca="1">IFERROR(__xludf.DUMMYFUNCTION("""COMPUTED_VALUE"""),"Criolla Mosto")</f>
        <v>Criolla Mosto</v>
      </c>
      <c r="J1627" s="2">
        <f ca="1">IFERROR(__xludf.DUMMYFUNCTION("""COMPUTED_VALUE"""),30000)</f>
        <v>30000</v>
      </c>
      <c r="K1627" s="2">
        <f ca="1">IFERROR(__xludf.DUMMYFUNCTION("""COMPUTED_VALUE"""),31000)</f>
        <v>31000</v>
      </c>
      <c r="L1627" s="2" t="str">
        <f ca="1">IFERROR(__xludf.DUMMYFUNCTION("""COMPUTED_VALUE"""),"e515b905")</f>
        <v>e515b905</v>
      </c>
      <c r="M1627" s="2" t="str">
        <f ca="1">IFERROR(__xludf.DUMMYFUNCTION("""COMPUTED_VALUE"""),"Criolla")</f>
        <v>Criolla</v>
      </c>
      <c r="N1627" s="2"/>
      <c r="O1627" s="2" t="str">
        <f ca="1">IFERROR(__xludf.DUMMYFUNCTION("""COMPUTED_VALUE"""),"Fermentando")</f>
        <v>Fermentando</v>
      </c>
      <c r="P1627" s="2" t="str">
        <f ca="1">IFERROR(__xludf.DUMMYFUNCTION("""COMPUTED_VALUE"""),"Fermentando")</f>
        <v>Fermentando</v>
      </c>
      <c r="Q1627" s="2" t="b">
        <f ca="1">IFERROR(__xludf.DUMMYFUNCTION("""COMPUTED_VALUE"""),TRUE)</f>
        <v>1</v>
      </c>
      <c r="R1627" s="2" t="str">
        <f ca="1">IFERROR(__xludf.DUMMYFUNCTION("""COMPUTED_VALUE"""),"Fermentando")</f>
        <v>Fermentando</v>
      </c>
      <c r="S1627" s="2"/>
      <c r="T1627" s="2"/>
      <c r="U1627" s="2" t="str">
        <f ca="1">IFERROR(__xludf.DUMMYFUNCTION("""COMPUTED_VALUE"""),"1")</f>
        <v>1</v>
      </c>
    </row>
    <row r="1628" spans="1:21" x14ac:dyDescent="0.25">
      <c r="A1628" s="2" t="str">
        <f ca="1">IFERROR(__xludf.DUMMYFUNCTION("""COMPUTED_VALUE"""),"354fc4e3")</f>
        <v>354fc4e3</v>
      </c>
      <c r="B1628" s="5">
        <f ca="1">IFERROR(__xludf.DUMMYFUNCTION("""COMPUTED_VALUE"""),46135.8005439814)</f>
        <v>46135.800543981401</v>
      </c>
      <c r="C1628" s="2" t="str">
        <f ca="1">IFERROR(__xludf.DUMMYFUNCTION("""COMPUTED_VALUE"""),"d588820c")</f>
        <v>d588820c</v>
      </c>
      <c r="D1628" s="2">
        <f ca="1">IFERROR(__xludf.DUMMYFUNCTION("""COMPUTED_VALUE"""),26)</f>
        <v>26</v>
      </c>
      <c r="E1628" s="2" t="str">
        <f ca="1">IFERROR(__xludf.DUMMYFUNCTION("""COMPUTED_VALUE"""),"Tinto Varietal B")</f>
        <v>Tinto Varietal B</v>
      </c>
      <c r="F1628" s="2">
        <f ca="1">IFERROR(__xludf.DUMMYFUNCTION("""COMPUTED_VALUE"""),62500)</f>
        <v>62500</v>
      </c>
      <c r="G1628" s="2">
        <f ca="1">IFERROR(__xludf.DUMMYFUNCTION("""COMPUTED_VALUE"""),27)</f>
        <v>27</v>
      </c>
      <c r="H1628" s="2"/>
      <c r="I1628" s="2"/>
      <c r="J1628" s="2">
        <f ca="1">IFERROR(__xludf.DUMMYFUNCTION("""COMPUTED_VALUE"""),0)</f>
        <v>0</v>
      </c>
      <c r="K1628" s="2">
        <f ca="1">IFERROR(__xludf.DUMMYFUNCTION("""COMPUTED_VALUE"""),62500)</f>
        <v>62500</v>
      </c>
      <c r="L1628" s="2" t="str">
        <f ca="1">IFERROR(__xludf.DUMMYFUNCTION("""COMPUTED_VALUE"""),"cffb7fdd")</f>
        <v>cffb7fdd</v>
      </c>
      <c r="M1628" s="2" t="str">
        <f ca="1">IFERROR(__xludf.DUMMYFUNCTION("""COMPUTED_VALUE"""),"Tinto Varietal Garbin")</f>
        <v>Tinto Varietal Garbin</v>
      </c>
      <c r="N1628" s="2"/>
      <c r="O1628" s="2" t="str">
        <f ca="1">IFERROR(__xludf.DUMMYFUNCTION("""COMPUTED_VALUE"""),"Terminado")</f>
        <v>Terminado</v>
      </c>
      <c r="P1628" s="2"/>
      <c r="Q1628" s="2" t="b">
        <f ca="1">IFERROR(__xludf.DUMMYFUNCTION("""COMPUTED_VALUE"""),FALSE)</f>
        <v>0</v>
      </c>
      <c r="R1628" s="2" t="str">
        <f ca="1">IFERROR(__xludf.DUMMYFUNCTION("""COMPUTED_VALUE"""),"Terminado")</f>
        <v>Terminado</v>
      </c>
      <c r="S1628" s="2"/>
      <c r="T1628" s="2"/>
      <c r="U1628" s="2" t="str">
        <f ca="1">IFERROR(__xludf.DUMMYFUNCTION("""COMPUTED_VALUE"""),"1")</f>
        <v>1</v>
      </c>
    </row>
    <row r="1629" spans="1:21" x14ac:dyDescent="0.25">
      <c r="A1629" s="2" t="str">
        <f ca="1">IFERROR(__xludf.DUMMYFUNCTION("""COMPUTED_VALUE"""),"7cac6851")</f>
        <v>7cac6851</v>
      </c>
      <c r="B1629" s="5">
        <f ca="1">IFERROR(__xludf.DUMMYFUNCTION("""COMPUTED_VALUE"""),46135.8011111111)</f>
        <v>46135.801111111097</v>
      </c>
      <c r="C1629" s="2" t="str">
        <f ca="1">IFERROR(__xludf.DUMMYFUNCTION("""COMPUTED_VALUE"""),"34d5df80")</f>
        <v>34d5df80</v>
      </c>
      <c r="D1629" s="2">
        <f ca="1">IFERROR(__xludf.DUMMYFUNCTION("""COMPUTED_VALUE"""),45)</f>
        <v>45</v>
      </c>
      <c r="E1629" s="2" t="str">
        <f ca="1">IFERROR(__xludf.DUMMYFUNCTION("""COMPUTED_VALUE"""),"Tinto Varietal B")</f>
        <v>Tinto Varietal B</v>
      </c>
      <c r="F1629" s="2">
        <f ca="1">IFERROR(__xludf.DUMMYFUNCTION("""COMPUTED_VALUE"""),9000)</f>
        <v>9000</v>
      </c>
      <c r="G1629" s="2">
        <f ca="1">IFERROR(__xludf.DUMMYFUNCTION("""COMPUTED_VALUE"""),27)</f>
        <v>27</v>
      </c>
      <c r="H1629" s="2" t="str">
        <f ca="1">IFERROR(__xludf.DUMMYFUNCTION("""COMPUTED_VALUE"""),"cffb7fdd")</f>
        <v>cffb7fdd</v>
      </c>
      <c r="I1629" s="2" t="str">
        <f ca="1">IFERROR(__xludf.DUMMYFUNCTION("""COMPUTED_VALUE"""),"Tinto Varietal Garbin")</f>
        <v>Tinto Varietal Garbin</v>
      </c>
      <c r="J1629" s="2">
        <f ca="1">IFERROR(__xludf.DUMMYFUNCTION("""COMPUTED_VALUE"""),62500)</f>
        <v>62500</v>
      </c>
      <c r="K1629" s="2">
        <f ca="1">IFERROR(__xludf.DUMMYFUNCTION("""COMPUTED_VALUE"""),71500)</f>
        <v>71500</v>
      </c>
      <c r="L1629" s="2" t="str">
        <f ca="1">IFERROR(__xludf.DUMMYFUNCTION("""COMPUTED_VALUE"""),"340e3ab7")</f>
        <v>340e3ab7</v>
      </c>
      <c r="M1629" s="2" t="str">
        <f ca="1">IFERROR(__xludf.DUMMYFUNCTION("""COMPUTED_VALUE"""),"Tinto Varietal Garbin")</f>
        <v>Tinto Varietal Garbin</v>
      </c>
      <c r="N1629" s="2"/>
      <c r="O1629" s="2" t="str">
        <f ca="1">IFERROR(__xludf.DUMMYFUNCTION("""COMPUTED_VALUE"""),"Terminado")</f>
        <v>Terminado</v>
      </c>
      <c r="P1629" s="2" t="str">
        <f ca="1">IFERROR(__xludf.DUMMYFUNCTION("""COMPUTED_VALUE"""),"Terminado")</f>
        <v>Terminado</v>
      </c>
      <c r="Q1629" s="2" t="b">
        <f ca="1">IFERROR(__xludf.DUMMYFUNCTION("""COMPUTED_VALUE"""),TRUE)</f>
        <v>1</v>
      </c>
      <c r="R1629" s="2" t="str">
        <f ca="1">IFERROR(__xludf.DUMMYFUNCTION("""COMPUTED_VALUE"""),"Terminado")</f>
        <v>Terminado</v>
      </c>
      <c r="S1629" s="2"/>
      <c r="T1629" s="2"/>
      <c r="U1629" s="2" t="str">
        <f ca="1">IFERROR(__xludf.DUMMYFUNCTION("""COMPUTED_VALUE"""),"1")</f>
        <v>1</v>
      </c>
    </row>
    <row r="1630" spans="1:21" x14ac:dyDescent="0.25">
      <c r="A1630" s="2" t="str">
        <f ca="1">IFERROR(__xludf.DUMMYFUNCTION("""COMPUTED_VALUE"""),"af869349")</f>
        <v>af869349</v>
      </c>
      <c r="B1630" s="5">
        <f ca="1">IFERROR(__xludf.DUMMYFUNCTION("""COMPUTED_VALUE"""),46135.8027083333)</f>
        <v>46135.8027083333</v>
      </c>
      <c r="C1630" s="2" t="str">
        <f ca="1">IFERROR(__xludf.DUMMYFUNCTION("""COMPUTED_VALUE"""),"34d5df80")</f>
        <v>34d5df80</v>
      </c>
      <c r="D1630" s="2">
        <f ca="1">IFERROR(__xludf.DUMMYFUNCTION("""COMPUTED_VALUE"""),45)</f>
        <v>45</v>
      </c>
      <c r="E1630" s="2" t="str">
        <f ca="1">IFERROR(__xludf.DUMMYFUNCTION("""COMPUTED_VALUE"""),"Tinto Varietal B")</f>
        <v>Tinto Varietal B</v>
      </c>
      <c r="F1630" s="2">
        <f ca="1">IFERROR(__xludf.DUMMYFUNCTION("""COMPUTED_VALUE"""),21000)</f>
        <v>21000</v>
      </c>
      <c r="G1630" s="2">
        <f ca="1">IFERROR(__xludf.DUMMYFUNCTION("""COMPUTED_VALUE"""),26)</f>
        <v>26</v>
      </c>
      <c r="H1630" s="2" t="str">
        <f ca="1">IFERROR(__xludf.DUMMYFUNCTION("""COMPUTED_VALUE"""),"d588820c")</f>
        <v>d588820c</v>
      </c>
      <c r="I1630" s="2" t="str">
        <f ca="1">IFERROR(__xludf.DUMMYFUNCTION("""COMPUTED_VALUE"""),"Tinto Varietal B")</f>
        <v>Tinto Varietal B</v>
      </c>
      <c r="J1630" s="2">
        <f ca="1">IFERROR(__xludf.DUMMYFUNCTION("""COMPUTED_VALUE"""),145100)</f>
        <v>145100</v>
      </c>
      <c r="K1630" s="2">
        <f ca="1">IFERROR(__xludf.DUMMYFUNCTION("""COMPUTED_VALUE"""),166100)</f>
        <v>166100</v>
      </c>
      <c r="L1630" s="2" t="str">
        <f ca="1">IFERROR(__xludf.DUMMYFUNCTION("""COMPUTED_VALUE"""),"f46f4bb4")</f>
        <v>f46f4bb4</v>
      </c>
      <c r="M1630" s="2" t="str">
        <f ca="1">IFERROR(__xludf.DUMMYFUNCTION("""COMPUTED_VALUE"""),"Tinto Varietal B")</f>
        <v>Tinto Varietal B</v>
      </c>
      <c r="N1630" s="2"/>
      <c r="O1630" s="2" t="str">
        <f ca="1">IFERROR(__xludf.DUMMYFUNCTION("""COMPUTED_VALUE"""),"Terminado")</f>
        <v>Terminado</v>
      </c>
      <c r="P1630" s="2" t="str">
        <f ca="1">IFERROR(__xludf.DUMMYFUNCTION("""COMPUTED_VALUE"""),"Terminado")</f>
        <v>Terminado</v>
      </c>
      <c r="Q1630" s="2" t="b">
        <f ca="1">IFERROR(__xludf.DUMMYFUNCTION("""COMPUTED_VALUE"""),FALSE)</f>
        <v>0</v>
      </c>
      <c r="R1630" s="2" t="str">
        <f ca="1">IFERROR(__xludf.DUMMYFUNCTION("""COMPUTED_VALUE"""),"Terminado")</f>
        <v>Terminado</v>
      </c>
      <c r="S1630" s="2"/>
      <c r="T1630" s="2"/>
      <c r="U1630" s="2" t="str">
        <f ca="1">IFERROR(__xludf.DUMMYFUNCTION("""COMPUTED_VALUE"""),"1")</f>
        <v>1</v>
      </c>
    </row>
    <row r="1631" spans="1:21" x14ac:dyDescent="0.25">
      <c r="A1631" s="2" t="str">
        <f ca="1">IFERROR(__xludf.DUMMYFUNCTION("""COMPUTED_VALUE"""),"fa9c5d79")</f>
        <v>fa9c5d79</v>
      </c>
      <c r="B1631" s="5">
        <f ca="1">IFERROR(__xludf.DUMMYFUNCTION("""COMPUTED_VALUE"""),46135.802974537)</f>
        <v>46135.802974537</v>
      </c>
      <c r="C1631" s="2" t="str">
        <f ca="1">IFERROR(__xludf.DUMMYFUNCTION("""COMPUTED_VALUE"""),"2c1f7013")</f>
        <v>2c1f7013</v>
      </c>
      <c r="D1631" s="2">
        <f ca="1">IFERROR(__xludf.DUMMYFUNCTION("""COMPUTED_VALUE"""),42)</f>
        <v>42</v>
      </c>
      <c r="E1631" s="2" t="str">
        <f ca="1">IFERROR(__xludf.DUMMYFUNCTION("""COMPUTED_VALUE"""),"Tinto Varietal B")</f>
        <v>Tinto Varietal B</v>
      </c>
      <c r="F1631" s="2">
        <f ca="1">IFERROR(__xludf.DUMMYFUNCTION("""COMPUTED_VALUE"""),9000)</f>
        <v>9000</v>
      </c>
      <c r="G1631" s="2">
        <f ca="1">IFERROR(__xludf.DUMMYFUNCTION("""COMPUTED_VALUE"""),27)</f>
        <v>27</v>
      </c>
      <c r="H1631" s="2" t="str">
        <f ca="1">IFERROR(__xludf.DUMMYFUNCTION("""COMPUTED_VALUE"""),"340e3ab7")</f>
        <v>340e3ab7</v>
      </c>
      <c r="I1631" s="2" t="str">
        <f ca="1">IFERROR(__xludf.DUMMYFUNCTION("""COMPUTED_VALUE"""),"Tinto Varietal Garbin")</f>
        <v>Tinto Varietal Garbin</v>
      </c>
      <c r="J1631" s="2">
        <f ca="1">IFERROR(__xludf.DUMMYFUNCTION("""COMPUTED_VALUE"""),71500)</f>
        <v>71500</v>
      </c>
      <c r="K1631" s="2">
        <f ca="1">IFERROR(__xludf.DUMMYFUNCTION("""COMPUTED_VALUE"""),80500)</f>
        <v>80500</v>
      </c>
      <c r="L1631" s="2" t="str">
        <f ca="1">IFERROR(__xludf.DUMMYFUNCTION("""COMPUTED_VALUE"""),"bbfdef55")</f>
        <v>bbfdef55</v>
      </c>
      <c r="M1631" s="2" t="str">
        <f ca="1">IFERROR(__xludf.DUMMYFUNCTION("""COMPUTED_VALUE"""),"Tinto Varietal Garbin")</f>
        <v>Tinto Varietal Garbin</v>
      </c>
      <c r="N1631" s="2"/>
      <c r="O1631" s="2" t="str">
        <f ca="1">IFERROR(__xludf.DUMMYFUNCTION("""COMPUTED_VALUE"""),"Terminado")</f>
        <v>Terminado</v>
      </c>
      <c r="P1631" s="2" t="str">
        <f ca="1">IFERROR(__xludf.DUMMYFUNCTION("""COMPUTED_VALUE"""),"Terminado")</f>
        <v>Terminado</v>
      </c>
      <c r="Q1631" s="2" t="b">
        <f ca="1">IFERROR(__xludf.DUMMYFUNCTION("""COMPUTED_VALUE"""),TRUE)</f>
        <v>1</v>
      </c>
      <c r="R1631" s="2" t="str">
        <f ca="1">IFERROR(__xludf.DUMMYFUNCTION("""COMPUTED_VALUE"""),"Terminado")</f>
        <v>Terminado</v>
      </c>
      <c r="S1631" s="2"/>
      <c r="T1631" s="2"/>
      <c r="U1631" s="2" t="str">
        <f ca="1">IFERROR(__xludf.DUMMYFUNCTION("""COMPUTED_VALUE"""),"1")</f>
        <v>1</v>
      </c>
    </row>
    <row r="1632" spans="1:21" x14ac:dyDescent="0.25">
      <c r="A1632" s="2" t="str">
        <f ca="1">IFERROR(__xludf.DUMMYFUNCTION("""COMPUTED_VALUE"""),"30d9ae4b")</f>
        <v>30d9ae4b</v>
      </c>
      <c r="B1632" s="5">
        <f ca="1">IFERROR(__xludf.DUMMYFUNCTION("""COMPUTED_VALUE"""),46135.8032754629)</f>
        <v>46135.803275462902</v>
      </c>
      <c r="C1632" s="2" t="str">
        <f ca="1">IFERROR(__xludf.DUMMYFUNCTION("""COMPUTED_VALUE"""),"2c1f7013")</f>
        <v>2c1f7013</v>
      </c>
      <c r="D1632" s="2">
        <f ca="1">IFERROR(__xludf.DUMMYFUNCTION("""COMPUTED_VALUE"""),42)</f>
        <v>42</v>
      </c>
      <c r="E1632" s="2" t="str">
        <f ca="1">IFERROR(__xludf.DUMMYFUNCTION("""COMPUTED_VALUE"""),"Tinto Varietal B")</f>
        <v>Tinto Varietal B</v>
      </c>
      <c r="F1632" s="2">
        <f ca="1">IFERROR(__xludf.DUMMYFUNCTION("""COMPUTED_VALUE"""),26900)</f>
        <v>26900</v>
      </c>
      <c r="G1632" s="2">
        <f ca="1">IFERROR(__xludf.DUMMYFUNCTION("""COMPUTED_VALUE"""),26)</f>
        <v>26</v>
      </c>
      <c r="H1632" s="2" t="str">
        <f ca="1">IFERROR(__xludf.DUMMYFUNCTION("""COMPUTED_VALUE"""),"f46f4bb4")</f>
        <v>f46f4bb4</v>
      </c>
      <c r="I1632" s="2" t="str">
        <f ca="1">IFERROR(__xludf.DUMMYFUNCTION("""COMPUTED_VALUE"""),"Tinto Varietal B")</f>
        <v>Tinto Varietal B</v>
      </c>
      <c r="J1632" s="2">
        <f ca="1">IFERROR(__xludf.DUMMYFUNCTION("""COMPUTED_VALUE"""),166100)</f>
        <v>166100</v>
      </c>
      <c r="K1632" s="2">
        <f ca="1">IFERROR(__xludf.DUMMYFUNCTION("""COMPUTED_VALUE"""),193000)</f>
        <v>193000</v>
      </c>
      <c r="L1632" s="2" t="str">
        <f ca="1">IFERROR(__xludf.DUMMYFUNCTION("""COMPUTED_VALUE"""),"0d57755b")</f>
        <v>0d57755b</v>
      </c>
      <c r="M1632" s="2" t="str">
        <f ca="1">IFERROR(__xludf.DUMMYFUNCTION("""COMPUTED_VALUE"""),"Tinto Varietal B")</f>
        <v>Tinto Varietal B</v>
      </c>
      <c r="N1632" s="2"/>
      <c r="O1632" s="2" t="str">
        <f ca="1">IFERROR(__xludf.DUMMYFUNCTION("""COMPUTED_VALUE"""),"Terminado")</f>
        <v>Terminado</v>
      </c>
      <c r="P1632" s="2" t="str">
        <f ca="1">IFERROR(__xludf.DUMMYFUNCTION("""COMPUTED_VALUE"""),"Terminado")</f>
        <v>Terminado</v>
      </c>
      <c r="Q1632" s="2" t="b">
        <f ca="1">IFERROR(__xludf.DUMMYFUNCTION("""COMPUTED_VALUE"""),TRUE)</f>
        <v>1</v>
      </c>
      <c r="R1632" s="2" t="str">
        <f ca="1">IFERROR(__xludf.DUMMYFUNCTION("""COMPUTED_VALUE"""),"Terminado")</f>
        <v>Terminado</v>
      </c>
      <c r="S1632" s="2"/>
      <c r="T1632" s="2"/>
      <c r="U1632" s="2" t="str">
        <f ca="1">IFERROR(__xludf.DUMMYFUNCTION("""COMPUTED_VALUE"""),"1")</f>
        <v>1</v>
      </c>
    </row>
    <row r="1633" spans="1:21" x14ac:dyDescent="0.25">
      <c r="A1633" s="2" t="str">
        <f ca="1">IFERROR(__xludf.DUMMYFUNCTION("""COMPUTED_VALUE"""),"d94ad317")</f>
        <v>d94ad317</v>
      </c>
      <c r="B1633" s="5">
        <f ca="1">IFERROR(__xludf.DUMMYFUNCTION("""COMPUTED_VALUE"""),46135.803599537)</f>
        <v>46135.803599537001</v>
      </c>
      <c r="C1633" s="2" t="str">
        <f ca="1">IFERROR(__xludf.DUMMYFUNCTION("""COMPUTED_VALUE"""),"eed6b107")</f>
        <v>eed6b107</v>
      </c>
      <c r="D1633" s="2">
        <f ca="1">IFERROR(__xludf.DUMMYFUNCTION("""COMPUTED_VALUE"""),16)</f>
        <v>16</v>
      </c>
      <c r="E1633" s="2" t="str">
        <f ca="1">IFERROR(__xludf.DUMMYFUNCTION("""COMPUTED_VALUE"""),"Tinto Varielta (corte Millan)")</f>
        <v>Tinto Varielta (corte Millan)</v>
      </c>
      <c r="F1633" s="2">
        <f ca="1">IFERROR(__xludf.DUMMYFUNCTION("""COMPUTED_VALUE"""),6000)</f>
        <v>6000</v>
      </c>
      <c r="G1633" s="2">
        <f ca="1">IFERROR(__xludf.DUMMYFUNCTION("""COMPUTED_VALUE"""),27)</f>
        <v>27</v>
      </c>
      <c r="H1633" s="2" t="str">
        <f ca="1">IFERROR(__xludf.DUMMYFUNCTION("""COMPUTED_VALUE"""),"bbfdef55")</f>
        <v>bbfdef55</v>
      </c>
      <c r="I1633" s="2" t="str">
        <f ca="1">IFERROR(__xludf.DUMMYFUNCTION("""COMPUTED_VALUE"""),"Tinto Varietal Garbin")</f>
        <v>Tinto Varietal Garbin</v>
      </c>
      <c r="J1633" s="2">
        <f ca="1">IFERROR(__xludf.DUMMYFUNCTION("""COMPUTED_VALUE"""),80500)</f>
        <v>80500</v>
      </c>
      <c r="K1633" s="2">
        <f ca="1">IFERROR(__xludf.DUMMYFUNCTION("""COMPUTED_VALUE"""),86500)</f>
        <v>86500</v>
      </c>
      <c r="L1633" s="2" t="str">
        <f ca="1">IFERROR(__xludf.DUMMYFUNCTION("""COMPUTED_VALUE"""),"ba88be2f")</f>
        <v>ba88be2f</v>
      </c>
      <c r="M1633" s="2" t="str">
        <f ca="1">IFERROR(__xludf.DUMMYFUNCTION("""COMPUTED_VALUE"""),"Tinto Varietal Garbin")</f>
        <v>Tinto Varietal Garbin</v>
      </c>
      <c r="N1633" s="2"/>
      <c r="O1633" s="2" t="str">
        <f ca="1">IFERROR(__xludf.DUMMYFUNCTION("""COMPUTED_VALUE"""),"Terminado")</f>
        <v>Terminado</v>
      </c>
      <c r="P1633" s="2" t="str">
        <f ca="1">IFERROR(__xludf.DUMMYFUNCTION("""COMPUTED_VALUE"""),"Terminado")</f>
        <v>Terminado</v>
      </c>
      <c r="Q1633" s="2" t="b">
        <f ca="1">IFERROR(__xludf.DUMMYFUNCTION("""COMPUTED_VALUE"""),TRUE)</f>
        <v>1</v>
      </c>
      <c r="R1633" s="2" t="str">
        <f ca="1">IFERROR(__xludf.DUMMYFUNCTION("""COMPUTED_VALUE"""),"Terminado")</f>
        <v>Terminado</v>
      </c>
      <c r="S1633" s="2"/>
      <c r="T1633" s="2"/>
      <c r="U1633" s="2" t="str">
        <f ca="1">IFERROR(__xludf.DUMMYFUNCTION("""COMPUTED_VALUE"""),"1")</f>
        <v>1</v>
      </c>
    </row>
    <row r="1634" spans="1:21" x14ac:dyDescent="0.25">
      <c r="A1634" s="2" t="str">
        <f ca="1">IFERROR(__xludf.DUMMYFUNCTION("""COMPUTED_VALUE"""),"1a4d392d")</f>
        <v>1a4d392d</v>
      </c>
      <c r="B1634" s="5">
        <f ca="1">IFERROR(__xludf.DUMMYFUNCTION("""COMPUTED_VALUE"""),46135.8038773148)</f>
        <v>46135.8038773148</v>
      </c>
      <c r="C1634" s="2" t="str">
        <f ca="1">IFERROR(__xludf.DUMMYFUNCTION("""COMPUTED_VALUE"""),"eed6b107")</f>
        <v>eed6b107</v>
      </c>
      <c r="D1634" s="2">
        <f ca="1">IFERROR(__xludf.DUMMYFUNCTION("""COMPUTED_VALUE"""),16)</f>
        <v>16</v>
      </c>
      <c r="E1634" s="2" t="str">
        <f ca="1">IFERROR(__xludf.DUMMYFUNCTION("""COMPUTED_VALUE"""),"Tinto Varielta (corte Millan)")</f>
        <v>Tinto Varielta (corte Millan)</v>
      </c>
      <c r="F1634" s="2">
        <f ca="1">IFERROR(__xludf.DUMMYFUNCTION("""COMPUTED_VALUE"""),13500)</f>
        <v>13500</v>
      </c>
      <c r="G1634" s="2">
        <f ca="1">IFERROR(__xludf.DUMMYFUNCTION("""COMPUTED_VALUE"""),26)</f>
        <v>26</v>
      </c>
      <c r="H1634" s="2" t="str">
        <f ca="1">IFERROR(__xludf.DUMMYFUNCTION("""COMPUTED_VALUE"""),"0d57755b")</f>
        <v>0d57755b</v>
      </c>
      <c r="I1634" s="2" t="str">
        <f ca="1">IFERROR(__xludf.DUMMYFUNCTION("""COMPUTED_VALUE"""),"Tinto Varietal B")</f>
        <v>Tinto Varietal B</v>
      </c>
      <c r="J1634" s="2">
        <f ca="1">IFERROR(__xludf.DUMMYFUNCTION("""COMPUTED_VALUE"""),193000)</f>
        <v>193000</v>
      </c>
      <c r="K1634" s="2">
        <f ca="1">IFERROR(__xludf.DUMMYFUNCTION("""COMPUTED_VALUE"""),206500)</f>
        <v>206500</v>
      </c>
      <c r="L1634" s="2" t="str">
        <f ca="1">IFERROR(__xludf.DUMMYFUNCTION("""COMPUTED_VALUE"""),"60850275")</f>
        <v>60850275</v>
      </c>
      <c r="M1634" s="2" t="str">
        <f ca="1">IFERROR(__xludf.DUMMYFUNCTION("""COMPUTED_VALUE"""),"Tinto Varietal B")</f>
        <v>Tinto Varietal B</v>
      </c>
      <c r="N1634" s="2"/>
      <c r="O1634" s="2" t="str">
        <f ca="1">IFERROR(__xludf.DUMMYFUNCTION("""COMPUTED_VALUE"""),"Terminado")</f>
        <v>Terminado</v>
      </c>
      <c r="P1634" s="2" t="str">
        <f ca="1">IFERROR(__xludf.DUMMYFUNCTION("""COMPUTED_VALUE"""),"Terminado")</f>
        <v>Terminado</v>
      </c>
      <c r="Q1634" s="2" t="b">
        <f ca="1">IFERROR(__xludf.DUMMYFUNCTION("""COMPUTED_VALUE"""),TRUE)</f>
        <v>1</v>
      </c>
      <c r="R1634" s="2" t="str">
        <f ca="1">IFERROR(__xludf.DUMMYFUNCTION("""COMPUTED_VALUE"""),"Terminado")</f>
        <v>Terminado</v>
      </c>
      <c r="S1634" s="2"/>
      <c r="T1634" s="2"/>
      <c r="U1634" s="2" t="str">
        <f ca="1">IFERROR(__xludf.DUMMYFUNCTION("""COMPUTED_VALUE"""),"1")</f>
        <v>1</v>
      </c>
    </row>
    <row r="1635" spans="1:21" x14ac:dyDescent="0.25">
      <c r="A1635" s="2" t="str">
        <f ca="1">IFERROR(__xludf.DUMMYFUNCTION("""COMPUTED_VALUE"""),"edcd5e72")</f>
        <v>edcd5e72</v>
      </c>
      <c r="B1635" s="5">
        <f ca="1">IFERROR(__xludf.DUMMYFUNCTION("""COMPUTED_VALUE"""),46135.8041782407)</f>
        <v>46135.804178240702</v>
      </c>
      <c r="C1635" s="2" t="str">
        <f ca="1">IFERROR(__xludf.DUMMYFUNCTION("""COMPUTED_VALUE"""),"f5732c0d")</f>
        <v>f5732c0d</v>
      </c>
      <c r="D1635" s="2">
        <f ca="1">IFERROR(__xludf.DUMMYFUNCTION("""COMPUTED_VALUE"""),36)</f>
        <v>36</v>
      </c>
      <c r="E1635" s="2" t="str">
        <f ca="1">IFERROR(__xludf.DUMMYFUNCTION("""COMPUTED_VALUE"""),"Tinto Varietal B")</f>
        <v>Tinto Varietal B</v>
      </c>
      <c r="F1635" s="2">
        <f ca="1">IFERROR(__xludf.DUMMYFUNCTION("""COMPUTED_VALUE"""),6000)</f>
        <v>6000</v>
      </c>
      <c r="G1635" s="2">
        <f ca="1">IFERROR(__xludf.DUMMYFUNCTION("""COMPUTED_VALUE"""),27)</f>
        <v>27</v>
      </c>
      <c r="H1635" s="2" t="str">
        <f ca="1">IFERROR(__xludf.DUMMYFUNCTION("""COMPUTED_VALUE"""),"ba88be2f")</f>
        <v>ba88be2f</v>
      </c>
      <c r="I1635" s="2" t="str">
        <f ca="1">IFERROR(__xludf.DUMMYFUNCTION("""COMPUTED_VALUE"""),"Tinto Varietal Garbin")</f>
        <v>Tinto Varietal Garbin</v>
      </c>
      <c r="J1635" s="2">
        <f ca="1">IFERROR(__xludf.DUMMYFUNCTION("""COMPUTED_VALUE"""),86500)</f>
        <v>86500</v>
      </c>
      <c r="K1635" s="2">
        <f ca="1">IFERROR(__xludf.DUMMYFUNCTION("""COMPUTED_VALUE"""),92500)</f>
        <v>92500</v>
      </c>
      <c r="L1635" s="2" t="str">
        <f ca="1">IFERROR(__xludf.DUMMYFUNCTION("""COMPUTED_VALUE"""),"abee7119")</f>
        <v>abee7119</v>
      </c>
      <c r="M1635" s="2" t="str">
        <f ca="1">IFERROR(__xludf.DUMMYFUNCTION("""COMPUTED_VALUE"""),"Tinto Varietal Garbin")</f>
        <v>Tinto Varietal Garbin</v>
      </c>
      <c r="N1635" s="2"/>
      <c r="O1635" s="2" t="str">
        <f ca="1">IFERROR(__xludf.DUMMYFUNCTION("""COMPUTED_VALUE"""),"Terminado")</f>
        <v>Terminado</v>
      </c>
      <c r="P1635" s="2" t="str">
        <f ca="1">IFERROR(__xludf.DUMMYFUNCTION("""COMPUTED_VALUE"""),"Terminado")</f>
        <v>Terminado</v>
      </c>
      <c r="Q1635" s="2" t="b">
        <f ca="1">IFERROR(__xludf.DUMMYFUNCTION("""COMPUTED_VALUE"""),TRUE)</f>
        <v>1</v>
      </c>
      <c r="R1635" s="2" t="str">
        <f ca="1">IFERROR(__xludf.DUMMYFUNCTION("""COMPUTED_VALUE"""),"Terminado")</f>
        <v>Terminado</v>
      </c>
      <c r="S1635" s="2"/>
      <c r="T1635" s="2"/>
      <c r="U1635" s="2" t="str">
        <f ca="1">IFERROR(__xludf.DUMMYFUNCTION("""COMPUTED_VALUE"""),"1")</f>
        <v>1</v>
      </c>
    </row>
    <row r="1636" spans="1:21" x14ac:dyDescent="0.25">
      <c r="A1636" s="2" t="str">
        <f ca="1">IFERROR(__xludf.DUMMYFUNCTION("""COMPUTED_VALUE"""),"b79ce515")</f>
        <v>b79ce515</v>
      </c>
      <c r="B1636" s="5">
        <f ca="1">IFERROR(__xludf.DUMMYFUNCTION("""COMPUTED_VALUE"""),46135.8048263888)</f>
        <v>46135.804826388798</v>
      </c>
      <c r="C1636" s="2" t="str">
        <f ca="1">IFERROR(__xludf.DUMMYFUNCTION("""COMPUTED_VALUE"""),"f5732c0d")</f>
        <v>f5732c0d</v>
      </c>
      <c r="D1636" s="2">
        <f ca="1">IFERROR(__xludf.DUMMYFUNCTION("""COMPUTED_VALUE"""),36)</f>
        <v>36</v>
      </c>
      <c r="E1636" s="2" t="str">
        <f ca="1">IFERROR(__xludf.DUMMYFUNCTION("""COMPUTED_VALUE"""),"Tinto Varietal B")</f>
        <v>Tinto Varietal B</v>
      </c>
      <c r="F1636" s="2">
        <f ca="1">IFERROR(__xludf.DUMMYFUNCTION("""COMPUTED_VALUE"""),1100)</f>
        <v>1100</v>
      </c>
      <c r="G1636" s="2">
        <f ca="1">IFERROR(__xludf.DUMMYFUNCTION("""COMPUTED_VALUE"""),26)</f>
        <v>26</v>
      </c>
      <c r="H1636" s="2" t="str">
        <f ca="1">IFERROR(__xludf.DUMMYFUNCTION("""COMPUTED_VALUE"""),"60850275")</f>
        <v>60850275</v>
      </c>
      <c r="I1636" s="2" t="str">
        <f ca="1">IFERROR(__xludf.DUMMYFUNCTION("""COMPUTED_VALUE"""),"Tinto Varietal B")</f>
        <v>Tinto Varietal B</v>
      </c>
      <c r="J1636" s="2">
        <f ca="1">IFERROR(__xludf.DUMMYFUNCTION("""COMPUTED_VALUE"""),206500)</f>
        <v>206500</v>
      </c>
      <c r="K1636" s="2">
        <f ca="1">IFERROR(__xludf.DUMMYFUNCTION("""COMPUTED_VALUE"""),207600)</f>
        <v>207600</v>
      </c>
      <c r="L1636" s="2" t="str">
        <f ca="1">IFERROR(__xludf.DUMMYFUNCTION("""COMPUTED_VALUE"""),"deec46bc")</f>
        <v>deec46bc</v>
      </c>
      <c r="M1636" s="2" t="str">
        <f ca="1">IFERROR(__xludf.DUMMYFUNCTION("""COMPUTED_VALUE"""),"Tinto Varietal B")</f>
        <v>Tinto Varietal B</v>
      </c>
      <c r="N1636" s="2"/>
      <c r="O1636" s="2" t="str">
        <f ca="1">IFERROR(__xludf.DUMMYFUNCTION("""COMPUTED_VALUE"""),"Terminado")</f>
        <v>Terminado</v>
      </c>
      <c r="P1636" s="2" t="str">
        <f ca="1">IFERROR(__xludf.DUMMYFUNCTION("""COMPUTED_VALUE"""),"Terminado")</f>
        <v>Terminado</v>
      </c>
      <c r="Q1636" s="2" t="b">
        <f ca="1">IFERROR(__xludf.DUMMYFUNCTION("""COMPUTED_VALUE"""),TRUE)</f>
        <v>1</v>
      </c>
      <c r="R1636" s="2" t="str">
        <f ca="1">IFERROR(__xludf.DUMMYFUNCTION("""COMPUTED_VALUE"""),"Terminado")</f>
        <v>Terminado</v>
      </c>
      <c r="S1636" s="2"/>
      <c r="T1636" s="2"/>
      <c r="U1636" s="2" t="str">
        <f ca="1">IFERROR(__xludf.DUMMYFUNCTION("""COMPUTED_VALUE"""),"1")</f>
        <v>1</v>
      </c>
    </row>
    <row r="1637" spans="1:21" x14ac:dyDescent="0.25">
      <c r="A1637" s="2" t="str">
        <f ca="1">IFERROR(__xludf.DUMMYFUNCTION("""COMPUTED_VALUE"""),"9f658e34")</f>
        <v>9f658e34</v>
      </c>
      <c r="B1637" s="5">
        <f ca="1">IFERROR(__xludf.DUMMYFUNCTION("""COMPUTED_VALUE"""),46135.8265393518)</f>
        <v>46135.826539351801</v>
      </c>
      <c r="C1637" s="2" t="str">
        <f ca="1">IFERROR(__xludf.DUMMYFUNCTION("""COMPUTED_VALUE"""),"a65efef7")</f>
        <v>a65efef7</v>
      </c>
      <c r="D1637" s="2">
        <f ca="1">IFERROR(__xludf.DUMMYFUNCTION("""COMPUTED_VALUE"""),79)</f>
        <v>79</v>
      </c>
      <c r="E1637" s="2" t="str">
        <f ca="1">IFERROR(__xludf.DUMMYFUNCTION("""COMPUTED_VALUE"""),"Criolla Recarga PC")</f>
        <v>Criolla Recarga PC</v>
      </c>
      <c r="F1637" s="2">
        <f ca="1">IFERROR(__xludf.DUMMYFUNCTION("""COMPUTED_VALUE"""),15000)</f>
        <v>15000</v>
      </c>
      <c r="G1637" s="2">
        <f ca="1">IFERROR(__xludf.DUMMYFUNCTION("""COMPUTED_VALUE"""),500)</f>
        <v>500</v>
      </c>
      <c r="H1637" s="2" t="str">
        <f ca="1">IFERROR(__xludf.DUMMYFUNCTION("""COMPUTED_VALUE"""),"8ecf1241")</f>
        <v>8ecf1241</v>
      </c>
      <c r="I1637" s="2" t="str">
        <f ca="1">IFERROR(__xludf.DUMMYFUNCTION("""COMPUTED_VALUE"""),"AJUSTE COSECHA 2026")</f>
        <v>AJUSTE COSECHA 2026</v>
      </c>
      <c r="J1637" s="2">
        <f ca="1">IFERROR(__xludf.DUMMYFUNCTION("""COMPUTED_VALUE"""),31400)</f>
        <v>31400</v>
      </c>
      <c r="K1637" s="2">
        <f ca="1">IFERROR(__xludf.DUMMYFUNCTION("""COMPUTED_VALUE"""),46400)</f>
        <v>46400</v>
      </c>
      <c r="L1637" s="2" t="str">
        <f ca="1">IFERROR(__xludf.DUMMYFUNCTION("""COMPUTED_VALUE"""),"d8ca72fa")</f>
        <v>d8ca72fa</v>
      </c>
      <c r="M1637" s="2" t="str">
        <f ca="1">IFERROR(__xludf.DUMMYFUNCTION("""COMPUTED_VALUE"""),"AJUSTE COSECHA 2026")</f>
        <v>AJUSTE COSECHA 2026</v>
      </c>
      <c r="N1637" s="2"/>
      <c r="O1637" s="2" t="str">
        <f ca="1">IFERROR(__xludf.DUMMYFUNCTION("""COMPUTED_VALUE"""),"Recarga Fermentando")</f>
        <v>Recarga Fermentando</v>
      </c>
      <c r="P1637" s="2" t="str">
        <f ca="1">IFERROR(__xludf.DUMMYFUNCTION("""COMPUTED_VALUE"""),"Terminado")</f>
        <v>Terminado</v>
      </c>
      <c r="Q1637" s="2" t="b">
        <f ca="1">IFERROR(__xludf.DUMMYFUNCTION("""COMPUTED_VALUE"""),TRUE)</f>
        <v>1</v>
      </c>
      <c r="R1637" s="2" t="str">
        <f ca="1">IFERROR(__xludf.DUMMYFUNCTION("""COMPUTED_VALUE"""),"Terminado")</f>
        <v>Terminado</v>
      </c>
      <c r="S1637" s="2"/>
      <c r="T1637" s="2"/>
      <c r="U1637" s="2" t="str">
        <f ca="1">IFERROR(__xludf.DUMMYFUNCTION("""COMPUTED_VALUE"""),"1")</f>
        <v>1</v>
      </c>
    </row>
    <row r="1638" spans="1:21" x14ac:dyDescent="0.25">
      <c r="A1638" s="2" t="str">
        <f ca="1">IFERROR(__xludf.DUMMYFUNCTION("""COMPUTED_VALUE"""),"317c62f1")</f>
        <v>317c62f1</v>
      </c>
      <c r="B1638" s="5">
        <f ca="1">IFERROR(__xludf.DUMMYFUNCTION("""COMPUTED_VALUE"""),46135.8274537037)</f>
        <v>46135.8274537037</v>
      </c>
      <c r="C1638" s="2" t="str">
        <f ca="1">IFERROR(__xludf.DUMMYFUNCTION("""COMPUTED_VALUE"""),"98f8bbd2")</f>
        <v>98f8bbd2</v>
      </c>
      <c r="D1638" s="2">
        <f ca="1">IFERROR(__xludf.DUMMYFUNCTION("""COMPUTED_VALUE"""),125)</f>
        <v>125</v>
      </c>
      <c r="E1638" s="2" t="str">
        <f ca="1">IFERROR(__xludf.DUMMYFUNCTION("""COMPUTED_VALUE"""),"Criolla Mosto")</f>
        <v>Criolla Mosto</v>
      </c>
      <c r="F1638" s="2">
        <f ca="1">IFERROR(__xludf.DUMMYFUNCTION("""COMPUTED_VALUE"""),23000)</f>
        <v>23000</v>
      </c>
      <c r="G1638" s="2">
        <f ca="1">IFERROR(__xludf.DUMMYFUNCTION("""COMPUTED_VALUE"""),79)</f>
        <v>79</v>
      </c>
      <c r="H1638" s="2"/>
      <c r="I1638" s="2"/>
      <c r="J1638" s="2">
        <f ca="1">IFERROR(__xludf.DUMMYFUNCTION("""COMPUTED_VALUE"""),0)</f>
        <v>0</v>
      </c>
      <c r="K1638" s="2">
        <f ca="1">IFERROR(__xludf.DUMMYFUNCTION("""COMPUTED_VALUE"""),23000)</f>
        <v>23000</v>
      </c>
      <c r="L1638" s="2" t="str">
        <f ca="1">IFERROR(__xludf.DUMMYFUNCTION("""COMPUTED_VALUE"""),"94c98a03")</f>
        <v>94c98a03</v>
      </c>
      <c r="M1638" s="2" t="str">
        <f ca="1">IFERROR(__xludf.DUMMYFUNCTION("""COMPUTED_VALUE"""),"Criolla")</f>
        <v>Criolla</v>
      </c>
      <c r="N1638" s="2"/>
      <c r="O1638" s="2"/>
      <c r="P1638" s="2" t="str">
        <f ca="1">IFERROR(__xludf.DUMMYFUNCTION("""COMPUTED_VALUE"""),"Fermentando")</f>
        <v>Fermentando</v>
      </c>
      <c r="Q1638" s="2" t="b">
        <f ca="1">IFERROR(__xludf.DUMMYFUNCTION("""COMPUTED_VALUE"""),FALSE)</f>
        <v>0</v>
      </c>
      <c r="R1638" s="2" t="str">
        <f ca="1">IFERROR(__xludf.DUMMYFUNCTION("""COMPUTED_VALUE"""),"Fermentando")</f>
        <v>Fermentando</v>
      </c>
      <c r="S1638" s="2"/>
      <c r="T1638" s="2"/>
      <c r="U1638" s="2"/>
    </row>
    <row r="1639" spans="1:21" x14ac:dyDescent="0.25">
      <c r="A1639" s="2" t="str">
        <f ca="1">IFERROR(__xludf.DUMMYFUNCTION("""COMPUTED_VALUE"""),"8202d8f0")</f>
        <v>8202d8f0</v>
      </c>
      <c r="B1639" s="5">
        <f ca="1">IFERROR(__xludf.DUMMYFUNCTION("""COMPUTED_VALUE"""),46136.7051388888)</f>
        <v>46136.705138888799</v>
      </c>
      <c r="C1639" s="2" t="str">
        <f ca="1">IFERROR(__xludf.DUMMYFUNCTION("""COMPUTED_VALUE"""),"31c21fdb")</f>
        <v>31c21fdb</v>
      </c>
      <c r="D1639" s="2">
        <f ca="1">IFERROR(__xludf.DUMMYFUNCTION("""COMPUTED_VALUE"""),70)</f>
        <v>70</v>
      </c>
      <c r="E1639" s="2" t="str">
        <f ca="1">IFERROR(__xludf.DUMMYFUNCTION("""COMPUTED_VALUE"""),"Criolla Filt")</f>
        <v>Criolla Filt</v>
      </c>
      <c r="F1639" s="2">
        <f ca="1">IFERROR(__xludf.DUMMYFUNCTION("""COMPUTED_VALUE"""),6520)</f>
        <v>6520</v>
      </c>
      <c r="G1639" s="2">
        <f ca="1">IFERROR(__xludf.DUMMYFUNCTION("""COMPUTED_VALUE"""),500)</f>
        <v>500</v>
      </c>
      <c r="H1639" s="2" t="str">
        <f ca="1">IFERROR(__xludf.DUMMYFUNCTION("""COMPUTED_VALUE"""),"d8ca72fa")</f>
        <v>d8ca72fa</v>
      </c>
      <c r="I1639" s="2" t="str">
        <f ca="1">IFERROR(__xludf.DUMMYFUNCTION("""COMPUTED_VALUE"""),"AJUSTE COSECHA 2026")</f>
        <v>AJUSTE COSECHA 2026</v>
      </c>
      <c r="J1639" s="2">
        <f ca="1">IFERROR(__xludf.DUMMYFUNCTION("""COMPUTED_VALUE"""),46400)</f>
        <v>46400</v>
      </c>
      <c r="K1639" s="2">
        <f ca="1">IFERROR(__xludf.DUMMYFUNCTION("""COMPUTED_VALUE"""),52920)</f>
        <v>52920</v>
      </c>
      <c r="L1639" s="2" t="str">
        <f ca="1">IFERROR(__xludf.DUMMYFUNCTION("""COMPUTED_VALUE"""),"d90a205b")</f>
        <v>d90a205b</v>
      </c>
      <c r="M1639" s="2" t="str">
        <f ca="1">IFERROR(__xludf.DUMMYFUNCTION("""COMPUTED_VALUE"""),"AJUSTE COSECHA 2026")</f>
        <v>AJUSTE COSECHA 2026</v>
      </c>
      <c r="N1639" s="2"/>
      <c r="O1639" s="2" t="str">
        <f ca="1">IFERROR(__xludf.DUMMYFUNCTION("""COMPUTED_VALUE"""),"Fermentando")</f>
        <v>Fermentando</v>
      </c>
      <c r="P1639" s="2" t="str">
        <f ca="1">IFERROR(__xludf.DUMMYFUNCTION("""COMPUTED_VALUE"""),"Terminado")</f>
        <v>Terminado</v>
      </c>
      <c r="Q1639" s="2" t="b">
        <f ca="1">IFERROR(__xludf.DUMMYFUNCTION("""COMPUTED_VALUE"""),TRUE)</f>
        <v>1</v>
      </c>
      <c r="R1639" s="2" t="str">
        <f ca="1">IFERROR(__xludf.DUMMYFUNCTION("""COMPUTED_VALUE"""),"Terminado")</f>
        <v>Terminado</v>
      </c>
      <c r="S1639" s="2"/>
      <c r="T1639" s="2"/>
      <c r="U1639" s="2" t="str">
        <f ca="1">IFERROR(__xludf.DUMMYFUNCTION("""COMPUTED_VALUE"""),"1")</f>
        <v>1</v>
      </c>
    </row>
    <row r="1640" spans="1:21" x14ac:dyDescent="0.25">
      <c r="A1640" s="2" t="str">
        <f ca="1">IFERROR(__xludf.DUMMYFUNCTION("""COMPUTED_VALUE"""),"12800e3b")</f>
        <v>12800e3b</v>
      </c>
      <c r="B1640" s="5">
        <f ca="1">IFERROR(__xludf.DUMMYFUNCTION("""COMPUTED_VALUE"""),46136.8621759259)</f>
        <v>46136.862175925897</v>
      </c>
      <c r="C1640" s="2" t="str">
        <f ca="1">IFERROR(__xludf.DUMMYFUNCTION("""COMPUTED_VALUE"""),"00da080a")</f>
        <v>00da080a</v>
      </c>
      <c r="D1640" s="2">
        <f ca="1">IFERROR(__xludf.DUMMYFUNCTION("""COMPUTED_VALUE"""),87)</f>
        <v>87</v>
      </c>
      <c r="E1640" s="2" t="str">
        <f ca="1">IFERROR(__xludf.DUMMYFUNCTION("""COMPUTED_VALUE"""),"Bonarda c/criolla")</f>
        <v>Bonarda c/criolla</v>
      </c>
      <c r="F1640" s="2">
        <f ca="1">IFERROR(__xludf.DUMMYFUNCTION("""COMPUTED_VALUE"""),42600)</f>
        <v>42600</v>
      </c>
      <c r="G1640" s="2">
        <f ca="1">IFERROR(__xludf.DUMMYFUNCTION("""COMPUTED_VALUE"""),82)</f>
        <v>82</v>
      </c>
      <c r="H1640" s="2"/>
      <c r="I1640" s="2"/>
      <c r="J1640" s="2">
        <f ca="1">IFERROR(__xludf.DUMMYFUNCTION("""COMPUTED_VALUE"""),0)</f>
        <v>0</v>
      </c>
      <c r="K1640" s="2">
        <f ca="1">IFERROR(__xludf.DUMMYFUNCTION("""COMPUTED_VALUE"""),42600)</f>
        <v>42600</v>
      </c>
      <c r="L1640" s="2" t="str">
        <f ca="1">IFERROR(__xludf.DUMMYFUNCTION("""COMPUTED_VALUE"""),"a21e63a2")</f>
        <v>a21e63a2</v>
      </c>
      <c r="M1640" s="2" t="str">
        <f ca="1">IFERROR(__xludf.DUMMYFUNCTION("""COMPUTED_VALUE"""),"Bonarda c/criolla")</f>
        <v>Bonarda c/criolla</v>
      </c>
      <c r="N1640" s="2"/>
      <c r="O1640" s="2" t="str">
        <f ca="1">IFERROR(__xludf.DUMMYFUNCTION("""COMPUTED_VALUE"""),"Fermentando")</f>
        <v>Fermentando</v>
      </c>
      <c r="P1640" s="2"/>
      <c r="Q1640" s="2" t="b">
        <f ca="1">IFERROR(__xludf.DUMMYFUNCTION("""COMPUTED_VALUE"""),FALSE)</f>
        <v>0</v>
      </c>
      <c r="R1640" s="2" t="str">
        <f ca="1">IFERROR(__xludf.DUMMYFUNCTION("""COMPUTED_VALUE"""),"Descubada")</f>
        <v>Descubada</v>
      </c>
      <c r="S1640" s="2"/>
      <c r="T1640" s="2"/>
      <c r="U1640" s="2"/>
    </row>
    <row r="1641" spans="1:21" x14ac:dyDescent="0.25">
      <c r="A1641" s="2" t="str">
        <f ca="1">IFERROR(__xludf.DUMMYFUNCTION("""COMPUTED_VALUE"""),"4408fde1")</f>
        <v>4408fde1</v>
      </c>
      <c r="B1641" s="5">
        <f ca="1">IFERROR(__xludf.DUMMYFUNCTION("""COMPUTED_VALUE"""),46136.862349537)</f>
        <v>46136.862349536997</v>
      </c>
      <c r="C1641" s="2" t="str">
        <f ca="1">IFERROR(__xludf.DUMMYFUNCTION("""COMPUTED_VALUE"""),"00da080a")</f>
        <v>00da080a</v>
      </c>
      <c r="D1641" s="2">
        <f ca="1">IFERROR(__xludf.DUMMYFUNCTION("""COMPUTED_VALUE"""),87)</f>
        <v>87</v>
      </c>
      <c r="E1641" s="2" t="str">
        <f ca="1">IFERROR(__xludf.DUMMYFUNCTION("""COMPUTED_VALUE"""),"Bonarda c/criolla")</f>
        <v>Bonarda c/criolla</v>
      </c>
      <c r="F1641" s="2">
        <f ca="1">IFERROR(__xludf.DUMMYFUNCTION("""COMPUTED_VALUE"""),13400)</f>
        <v>13400</v>
      </c>
      <c r="G1641" s="2">
        <f ca="1">IFERROR(__xludf.DUMMYFUNCTION("""COMPUTED_VALUE"""),81)</f>
        <v>81</v>
      </c>
      <c r="H1641" s="2"/>
      <c r="I1641" s="2"/>
      <c r="J1641" s="2">
        <f ca="1">IFERROR(__xludf.DUMMYFUNCTION("""COMPUTED_VALUE"""),0)</f>
        <v>0</v>
      </c>
      <c r="K1641" s="2">
        <f ca="1">IFERROR(__xludf.DUMMYFUNCTION("""COMPUTED_VALUE"""),13400)</f>
        <v>13400</v>
      </c>
      <c r="L1641" s="2" t="str">
        <f ca="1">IFERROR(__xludf.DUMMYFUNCTION("""COMPUTED_VALUE"""),"95c357c0")</f>
        <v>95c357c0</v>
      </c>
      <c r="M1641" s="2" t="str">
        <f ca="1">IFERROR(__xludf.DUMMYFUNCTION("""COMPUTED_VALUE"""),"Bonarda c/criolla")</f>
        <v>Bonarda c/criolla</v>
      </c>
      <c r="N1641" s="2"/>
      <c r="O1641" s="2" t="str">
        <f ca="1">IFERROR(__xludf.DUMMYFUNCTION("""COMPUTED_VALUE"""),"Fermentando")</f>
        <v>Fermentando</v>
      </c>
      <c r="P1641" s="2"/>
      <c r="Q1641" s="2" t="b">
        <f ca="1">IFERROR(__xludf.DUMMYFUNCTION("""COMPUTED_VALUE"""),FALSE)</f>
        <v>0</v>
      </c>
      <c r="R1641" s="2" t="str">
        <f ca="1">IFERROR(__xludf.DUMMYFUNCTION("""COMPUTED_VALUE"""),"Descubada")</f>
        <v>Descubada</v>
      </c>
      <c r="S1641" s="2"/>
      <c r="T1641" s="2"/>
      <c r="U1641" s="2"/>
    </row>
    <row r="1642" spans="1:21" x14ac:dyDescent="0.25">
      <c r="A1642" s="2" t="str">
        <f ca="1">IFERROR(__xludf.DUMMYFUNCTION("""COMPUTED_VALUE"""),"4776fd3a")</f>
        <v>4776fd3a</v>
      </c>
      <c r="B1642" s="5">
        <f ca="1">IFERROR(__xludf.DUMMYFUNCTION("""COMPUTED_VALUE"""),46136.8653356481)</f>
        <v>46136.865335648101</v>
      </c>
      <c r="C1642" s="2" t="str">
        <f ca="1">IFERROR(__xludf.DUMMYFUNCTION("""COMPUTED_VALUE"""),"f9c4a069")</f>
        <v>f9c4a069</v>
      </c>
      <c r="D1642" s="2">
        <f ca="1">IFERROR(__xludf.DUMMYFUNCTION("""COMPUTED_VALUE"""),96)</f>
        <v>96</v>
      </c>
      <c r="E1642" s="2" t="str">
        <f ca="1">IFERROR(__xludf.DUMMYFUNCTION("""COMPUTED_VALUE"""),"Criolla Recarga PC")</f>
        <v>Criolla Recarga PC</v>
      </c>
      <c r="F1642" s="2">
        <f ca="1">IFERROR(__xludf.DUMMYFUNCTION("""COMPUTED_VALUE"""),29500)</f>
        <v>29500</v>
      </c>
      <c r="G1642" s="2">
        <f ca="1">IFERROR(__xludf.DUMMYFUNCTION("""COMPUTED_VALUE"""),87)</f>
        <v>87</v>
      </c>
      <c r="H1642" s="2"/>
      <c r="I1642" s="2"/>
      <c r="J1642" s="2">
        <f ca="1">IFERROR(__xludf.DUMMYFUNCTION("""COMPUTED_VALUE"""),0)</f>
        <v>0</v>
      </c>
      <c r="K1642" s="2">
        <f ca="1">IFERROR(__xludf.DUMMYFUNCTION("""COMPUTED_VALUE"""),29500)</f>
        <v>29500</v>
      </c>
      <c r="L1642" s="2" t="str">
        <f ca="1">IFERROR(__xludf.DUMMYFUNCTION("""COMPUTED_VALUE"""),"c8c4fa38")</f>
        <v>c8c4fa38</v>
      </c>
      <c r="M1642" s="2" t="str">
        <f ca="1">IFERROR(__xludf.DUMMYFUNCTION("""COMPUTED_VALUE"""),"Criolla Recarga PC")</f>
        <v>Criolla Recarga PC</v>
      </c>
      <c r="N1642" s="2"/>
      <c r="O1642" s="2" t="str">
        <f ca="1">IFERROR(__xludf.DUMMYFUNCTION("""COMPUTED_VALUE"""),"Recarga Fermentando")</f>
        <v>Recarga Fermentando</v>
      </c>
      <c r="P1642" s="2"/>
      <c r="Q1642" s="2" t="b">
        <f ca="1">IFERROR(__xludf.DUMMYFUNCTION("""COMPUTED_VALUE"""),FALSE)</f>
        <v>0</v>
      </c>
      <c r="R1642" s="2" t="str">
        <f ca="1">IFERROR(__xludf.DUMMYFUNCTION("""COMPUTED_VALUE"""),"Descubada")</f>
        <v>Descubada</v>
      </c>
      <c r="S1642" s="2"/>
      <c r="T1642" s="2"/>
      <c r="U1642" s="2"/>
    </row>
    <row r="1643" spans="1:21" x14ac:dyDescent="0.25">
      <c r="A1643" s="2" t="str">
        <f ca="1">IFERROR(__xludf.DUMMYFUNCTION("""COMPUTED_VALUE"""),"bd048fe7")</f>
        <v>bd048fe7</v>
      </c>
      <c r="B1643" s="5">
        <f ca="1">IFERROR(__xludf.DUMMYFUNCTION("""COMPUTED_VALUE"""),46136.8658449074)</f>
        <v>46136.865844907399</v>
      </c>
      <c r="C1643" s="2" t="str">
        <f ca="1">IFERROR(__xludf.DUMMYFUNCTION("""COMPUTED_VALUE"""),"cf68c2c6")</f>
        <v>cf68c2c6</v>
      </c>
      <c r="D1643" s="2">
        <f ca="1">IFERROR(__xludf.DUMMYFUNCTION("""COMPUTED_VALUE"""),89)</f>
        <v>89</v>
      </c>
      <c r="E1643" s="2" t="str">
        <f ca="1">IFERROR(__xludf.DUMMYFUNCTION("""COMPUTED_VALUE"""),"Bonarda")</f>
        <v>Bonarda</v>
      </c>
      <c r="F1643" s="2">
        <f ca="1">IFERROR(__xludf.DUMMYFUNCTION("""COMPUTED_VALUE"""),13100)</f>
        <v>13100</v>
      </c>
      <c r="G1643" s="2">
        <f ca="1">IFERROR(__xludf.DUMMYFUNCTION("""COMPUTED_VALUE"""),81)</f>
        <v>81</v>
      </c>
      <c r="H1643" s="2" t="str">
        <f ca="1">IFERROR(__xludf.DUMMYFUNCTION("""COMPUTED_VALUE"""),"95c357c0")</f>
        <v>95c357c0</v>
      </c>
      <c r="I1643" s="2" t="str">
        <f ca="1">IFERROR(__xludf.DUMMYFUNCTION("""COMPUTED_VALUE"""),"Bonarda c/criolla")</f>
        <v>Bonarda c/criolla</v>
      </c>
      <c r="J1643" s="2">
        <f ca="1">IFERROR(__xludf.DUMMYFUNCTION("""COMPUTED_VALUE"""),13400)</f>
        <v>13400</v>
      </c>
      <c r="K1643" s="2">
        <f ca="1">IFERROR(__xludf.DUMMYFUNCTION("""COMPUTED_VALUE"""),26500)</f>
        <v>26500</v>
      </c>
      <c r="L1643" s="2" t="str">
        <f ca="1">IFERROR(__xludf.DUMMYFUNCTION("""COMPUTED_VALUE"""),"253bec17")</f>
        <v>253bec17</v>
      </c>
      <c r="M1643" s="2" t="str">
        <f ca="1">IFERROR(__xludf.DUMMYFUNCTION("""COMPUTED_VALUE"""),"Bonarda c/criolla")</f>
        <v>Bonarda c/criolla</v>
      </c>
      <c r="N1643" s="2"/>
      <c r="O1643" s="2" t="str">
        <f ca="1">IFERROR(__xludf.DUMMYFUNCTION("""COMPUTED_VALUE"""),"Fermentando")</f>
        <v>Fermentando</v>
      </c>
      <c r="P1643" s="2" t="str">
        <f ca="1">IFERROR(__xludf.DUMMYFUNCTION("""COMPUTED_VALUE"""),"Descubada")</f>
        <v>Descubada</v>
      </c>
      <c r="Q1643" s="2" t="b">
        <f ca="1">IFERROR(__xludf.DUMMYFUNCTION("""COMPUTED_VALUE"""),TRUE)</f>
        <v>1</v>
      </c>
      <c r="R1643" s="2" t="str">
        <f ca="1">IFERROR(__xludf.DUMMYFUNCTION("""COMPUTED_VALUE"""),"Descubada")</f>
        <v>Descubada</v>
      </c>
      <c r="S1643" s="2"/>
      <c r="T1643" s="2"/>
      <c r="U1643" s="2"/>
    </row>
    <row r="1644" spans="1:21" x14ac:dyDescent="0.25">
      <c r="A1644" s="2" t="str">
        <f ca="1">IFERROR(__xludf.DUMMYFUNCTION("""COMPUTED_VALUE"""),"43ae02c3")</f>
        <v>43ae02c3</v>
      </c>
      <c r="B1644" s="5">
        <f ca="1">IFERROR(__xludf.DUMMYFUNCTION("""COMPUTED_VALUE"""),46136.8666319444)</f>
        <v>46136.866631944402</v>
      </c>
      <c r="C1644" s="2" t="str">
        <f ca="1">IFERROR(__xludf.DUMMYFUNCTION("""COMPUTED_VALUE"""),"cf68c2c6")</f>
        <v>cf68c2c6</v>
      </c>
      <c r="D1644" s="2">
        <f ca="1">IFERROR(__xludf.DUMMYFUNCTION("""COMPUTED_VALUE"""),89)</f>
        <v>89</v>
      </c>
      <c r="E1644" s="2" t="str">
        <f ca="1">IFERROR(__xludf.DUMMYFUNCTION("""COMPUTED_VALUE"""),"Bonarda")</f>
        <v>Bonarda</v>
      </c>
      <c r="F1644" s="2">
        <f ca="1">IFERROR(__xludf.DUMMYFUNCTION("""COMPUTED_VALUE"""),16000)</f>
        <v>16000</v>
      </c>
      <c r="G1644" s="2">
        <f ca="1">IFERROR(__xludf.DUMMYFUNCTION("""COMPUTED_VALUE"""),67)</f>
        <v>67</v>
      </c>
      <c r="H1644" s="2"/>
      <c r="I1644" s="2"/>
      <c r="J1644" s="2">
        <f ca="1">IFERROR(__xludf.DUMMYFUNCTION("""COMPUTED_VALUE"""),0)</f>
        <v>0</v>
      </c>
      <c r="K1644" s="2">
        <f ca="1">IFERROR(__xludf.DUMMYFUNCTION("""COMPUTED_VALUE"""),16000)</f>
        <v>16000</v>
      </c>
      <c r="L1644" s="2" t="str">
        <f ca="1">IFERROR(__xludf.DUMMYFUNCTION("""COMPUTED_VALUE"""),"267e3ee0")</f>
        <v>267e3ee0</v>
      </c>
      <c r="M1644" s="2" t="str">
        <f ca="1">IFERROR(__xludf.DUMMYFUNCTION("""COMPUTED_VALUE"""),"Bonarda")</f>
        <v>Bonarda</v>
      </c>
      <c r="N1644" s="2"/>
      <c r="O1644" s="2" t="str">
        <f ca="1">IFERROR(__xludf.DUMMYFUNCTION("""COMPUTED_VALUE"""),"Fermentando")</f>
        <v>Fermentando</v>
      </c>
      <c r="P1644" s="2"/>
      <c r="Q1644" s="2" t="b">
        <f ca="1">IFERROR(__xludf.DUMMYFUNCTION("""COMPUTED_VALUE"""),FALSE)</f>
        <v>0</v>
      </c>
      <c r="R1644" s="2" t="str">
        <f ca="1">IFERROR(__xludf.DUMMYFUNCTION("""COMPUTED_VALUE"""),"Descubada")</f>
        <v>Descubada</v>
      </c>
      <c r="S1644" s="2"/>
      <c r="T1644" s="2"/>
      <c r="U1644" s="2"/>
    </row>
    <row r="1645" spans="1:21" x14ac:dyDescent="0.25">
      <c r="A1645" s="2" t="str">
        <f ca="1">IFERROR(__xludf.DUMMYFUNCTION("""COMPUTED_VALUE"""),"af7ec9fc")</f>
        <v>af7ec9fc</v>
      </c>
      <c r="B1645" s="5">
        <f ca="1">IFERROR(__xludf.DUMMYFUNCTION("""COMPUTED_VALUE"""),46136.8677083333)</f>
        <v>46136.867708333302</v>
      </c>
      <c r="C1645" s="2" t="str">
        <f ca="1">IFERROR(__xludf.DUMMYFUNCTION("""COMPUTED_VALUE"""),"94c98a03")</f>
        <v>94c98a03</v>
      </c>
      <c r="D1645" s="2">
        <f ca="1">IFERROR(__xludf.DUMMYFUNCTION("""COMPUTED_VALUE"""),79)</f>
        <v>79</v>
      </c>
      <c r="E1645" s="2" t="str">
        <f ca="1">IFERROR(__xludf.DUMMYFUNCTION("""COMPUTED_VALUE"""),"Criolla")</f>
        <v>Criolla</v>
      </c>
      <c r="F1645" s="2">
        <f ca="1">IFERROR(__xludf.DUMMYFUNCTION("""COMPUTED_VALUE"""),23000)</f>
        <v>23000</v>
      </c>
      <c r="G1645" s="2">
        <f ca="1">IFERROR(__xludf.DUMMYFUNCTION("""COMPUTED_VALUE"""),89)</f>
        <v>89</v>
      </c>
      <c r="H1645" s="2" t="str">
        <f ca="1">IFERROR(__xludf.DUMMYFUNCTION("""COMPUTED_VALUE"""),"cf68c2c6")</f>
        <v>cf68c2c6</v>
      </c>
      <c r="I1645" s="2" t="str">
        <f ca="1">IFERROR(__xludf.DUMMYFUNCTION("""COMPUTED_VALUE"""),"Bonarda")</f>
        <v>Bonarda</v>
      </c>
      <c r="J1645" s="2">
        <f ca="1">IFERROR(__xludf.DUMMYFUNCTION("""COMPUTED_VALUE"""),15900)</f>
        <v>15900</v>
      </c>
      <c r="K1645" s="2">
        <f ca="1">IFERROR(__xludf.DUMMYFUNCTION("""COMPUTED_VALUE"""),38900)</f>
        <v>38900</v>
      </c>
      <c r="L1645" s="2" t="str">
        <f ca="1">IFERROR(__xludf.DUMMYFUNCTION("""COMPUTED_VALUE"""),"b4b1b66c")</f>
        <v>b4b1b66c</v>
      </c>
      <c r="M1645" s="2" t="str">
        <f ca="1">IFERROR(__xludf.DUMMYFUNCTION("""COMPUTED_VALUE"""),"Criolla Recarga")</f>
        <v>Criolla Recarga</v>
      </c>
      <c r="N1645" s="2"/>
      <c r="O1645" s="2" t="str">
        <f ca="1">IFERROR(__xludf.DUMMYFUNCTION("""COMPUTED_VALUE"""),"Fermentando")</f>
        <v>Fermentando</v>
      </c>
      <c r="P1645" s="2" t="str">
        <f ca="1">IFERROR(__xludf.DUMMYFUNCTION("""COMPUTED_VALUE"""),"Fermentando")</f>
        <v>Fermentando</v>
      </c>
      <c r="Q1645" s="2" t="b">
        <f ca="1">IFERROR(__xludf.DUMMYFUNCTION("""COMPUTED_VALUE"""),FALSE)</f>
        <v>0</v>
      </c>
      <c r="R1645" s="2" t="str">
        <f ca="1">IFERROR(__xludf.DUMMYFUNCTION("""COMPUTED_VALUE"""),"Recarga Fermentando")</f>
        <v>Recarga Fermentando</v>
      </c>
      <c r="S1645" s="2"/>
      <c r="T1645" s="2"/>
      <c r="U1645" s="2"/>
    </row>
    <row r="1646" spans="1:21" x14ac:dyDescent="0.25">
      <c r="A1646" s="2" t="str">
        <f ca="1">IFERROR(__xludf.DUMMYFUNCTION("""COMPUTED_VALUE"""),"52e6d294")</f>
        <v>52e6d294</v>
      </c>
      <c r="B1646" s="5">
        <f ca="1">IFERROR(__xludf.DUMMYFUNCTION("""COMPUTED_VALUE"""),46139.3069791666)</f>
        <v>46139.306979166598</v>
      </c>
      <c r="C1646" s="2" t="str">
        <f ca="1">IFERROR(__xludf.DUMMYFUNCTION("""COMPUTED_VALUE"""),"98f8bbd2")</f>
        <v>98f8bbd2</v>
      </c>
      <c r="D1646" s="2">
        <f ca="1">IFERROR(__xludf.DUMMYFUNCTION("""COMPUTED_VALUE"""),125)</f>
        <v>125</v>
      </c>
      <c r="E1646" s="2" t="str">
        <f ca="1">IFERROR(__xludf.DUMMYFUNCTION("""COMPUTED_VALUE"""),"Criolla Mosto")</f>
        <v>Criolla Mosto</v>
      </c>
      <c r="F1646" s="2">
        <f ca="1">IFERROR(__xludf.DUMMYFUNCTION("""COMPUTED_VALUE"""),2000)</f>
        <v>2000</v>
      </c>
      <c r="G1646" s="2">
        <f ca="1">IFERROR(__xludf.DUMMYFUNCTION("""COMPUTED_VALUE"""),79)</f>
        <v>79</v>
      </c>
      <c r="H1646" s="2"/>
      <c r="I1646" s="2"/>
      <c r="J1646" s="2">
        <f ca="1">IFERROR(__xludf.DUMMYFUNCTION("""COMPUTED_VALUE"""),0)</f>
        <v>0</v>
      </c>
      <c r="K1646" s="2">
        <f ca="1">IFERROR(__xludf.DUMMYFUNCTION("""COMPUTED_VALUE"""),2000)</f>
        <v>2000</v>
      </c>
      <c r="L1646" s="2" t="str">
        <f ca="1">IFERROR(__xludf.DUMMYFUNCTION("""COMPUTED_VALUE"""),"ffc3af1d")</f>
        <v>ffc3af1d</v>
      </c>
      <c r="M1646" s="2" t="str">
        <f ca="1">IFERROR(__xludf.DUMMYFUNCTION("""COMPUTED_VALUE"""),"Criolla")</f>
        <v>Criolla</v>
      </c>
      <c r="N1646" s="2"/>
      <c r="O1646" s="2"/>
      <c r="P1646" s="2"/>
      <c r="Q1646" s="2" t="b">
        <f ca="1">IFERROR(__xludf.DUMMYFUNCTION("""COMPUTED_VALUE"""),FALSE)</f>
        <v>0</v>
      </c>
      <c r="R1646" s="2" t="str">
        <f ca="1">IFERROR(__xludf.DUMMYFUNCTION("""COMPUTED_VALUE"""),"Fermentando")</f>
        <v>Fermentando</v>
      </c>
      <c r="S1646" s="2"/>
      <c r="T1646" s="2"/>
      <c r="U1646" s="2"/>
    </row>
    <row r="1647" spans="1:21" x14ac:dyDescent="0.25">
      <c r="A1647" s="2" t="str">
        <f ca="1">IFERROR(__xludf.DUMMYFUNCTION("""COMPUTED_VALUE"""),"182be2cc")</f>
        <v>182be2cc</v>
      </c>
      <c r="B1647" s="5">
        <f ca="1">IFERROR(__xludf.DUMMYFUNCTION("""COMPUTED_VALUE"""),46139.7825462962)</f>
        <v>46139.782546296199</v>
      </c>
      <c r="C1647" s="2" t="str">
        <f ca="1">IFERROR(__xludf.DUMMYFUNCTION("""COMPUTED_VALUE"""),"01d16622")</f>
        <v>01d16622</v>
      </c>
      <c r="D1647" s="2">
        <f ca="1">IFERROR(__xludf.DUMMYFUNCTION("""COMPUTED_VALUE"""),92)</f>
        <v>92</v>
      </c>
      <c r="E1647" s="2" t="str">
        <f ca="1">IFERROR(__xludf.DUMMYFUNCTION("""COMPUTED_VALUE"""),"Criolla Recarga")</f>
        <v>Criolla Recarga</v>
      </c>
      <c r="F1647" s="2">
        <f ca="1">IFERROR(__xludf.DUMMYFUNCTION("""COMPUTED_VALUE"""),53400)</f>
        <v>53400</v>
      </c>
      <c r="G1647" s="2">
        <f ca="1">IFERROR(__xludf.DUMMYFUNCTION("""COMPUTED_VALUE"""),87)</f>
        <v>87</v>
      </c>
      <c r="H1647" s="2" t="str">
        <f ca="1">IFERROR(__xludf.DUMMYFUNCTION("""COMPUTED_VALUE"""),"c8c4fa38")</f>
        <v>c8c4fa38</v>
      </c>
      <c r="I1647" s="2" t="str">
        <f ca="1">IFERROR(__xludf.DUMMYFUNCTION("""COMPUTED_VALUE"""),"Criolla Recarga PC")</f>
        <v>Criolla Recarga PC</v>
      </c>
      <c r="J1647" s="2">
        <f ca="1">IFERROR(__xludf.DUMMYFUNCTION("""COMPUTED_VALUE"""),29500)</f>
        <v>29500</v>
      </c>
      <c r="K1647" s="2">
        <f ca="1">IFERROR(__xludf.DUMMYFUNCTION("""COMPUTED_VALUE"""),82900)</f>
        <v>82900</v>
      </c>
      <c r="L1647" s="2" t="str">
        <f ca="1">IFERROR(__xludf.DUMMYFUNCTION("""COMPUTED_VALUE"""),"0f7ec44b")</f>
        <v>0f7ec44b</v>
      </c>
      <c r="M1647" s="2" t="str">
        <f ca="1">IFERROR(__xludf.DUMMYFUNCTION("""COMPUTED_VALUE"""),"Criolla Recarga PC")</f>
        <v>Criolla Recarga PC</v>
      </c>
      <c r="N1647" s="2"/>
      <c r="O1647" s="2" t="str">
        <f ca="1">IFERROR(__xludf.DUMMYFUNCTION("""COMPUTED_VALUE"""),"Recarga Fermentando")</f>
        <v>Recarga Fermentando</v>
      </c>
      <c r="P1647" s="2" t="str">
        <f ca="1">IFERROR(__xludf.DUMMYFUNCTION("""COMPUTED_VALUE"""),"Descubada")</f>
        <v>Descubada</v>
      </c>
      <c r="Q1647" s="2" t="b">
        <f ca="1">IFERROR(__xludf.DUMMYFUNCTION("""COMPUTED_VALUE"""),TRUE)</f>
        <v>1</v>
      </c>
      <c r="R1647" s="2" t="str">
        <f ca="1">IFERROR(__xludf.DUMMYFUNCTION("""COMPUTED_VALUE"""),"Descubada")</f>
        <v>Descubada</v>
      </c>
      <c r="S1647" s="2"/>
      <c r="T1647" s="2"/>
      <c r="U1647" s="2"/>
    </row>
    <row r="1648" spans="1:21" x14ac:dyDescent="0.25">
      <c r="A1648" s="2" t="str">
        <f ca="1">IFERROR(__xludf.DUMMYFUNCTION("""COMPUTED_VALUE"""),"a61f8670")</f>
        <v>a61f8670</v>
      </c>
      <c r="B1648" s="5">
        <f ca="1">IFERROR(__xludf.DUMMYFUNCTION("""COMPUTED_VALUE"""),46139.7839583333)</f>
        <v>46139.783958333297</v>
      </c>
      <c r="C1648" s="2" t="str">
        <f ca="1">IFERROR(__xludf.DUMMYFUNCTION("""COMPUTED_VALUE"""),"9bdb98e8")</f>
        <v>9bdb98e8</v>
      </c>
      <c r="D1648" s="2">
        <f ca="1">IFERROR(__xludf.DUMMYFUNCTION("""COMPUTED_VALUE"""),84)</f>
        <v>84</v>
      </c>
      <c r="E1648" s="2" t="str">
        <f ca="1">IFERROR(__xludf.DUMMYFUNCTION("""COMPUTED_VALUE"""),"Bonarda")</f>
        <v>Bonarda</v>
      </c>
      <c r="F1648" s="2">
        <f ca="1">IFERROR(__xludf.DUMMYFUNCTION("""COMPUTED_VALUE"""),-7000)</f>
        <v>-7000</v>
      </c>
      <c r="G1648" s="2">
        <f ca="1">IFERROR(__xludf.DUMMYFUNCTION("""COMPUTED_VALUE"""),10)</f>
        <v>10</v>
      </c>
      <c r="H1648" s="2" t="str">
        <f ca="1">IFERROR(__xludf.DUMMYFUNCTION("""COMPUTED_VALUE"""),"28e5e08c")</f>
        <v>28e5e08c</v>
      </c>
      <c r="I1648" s="2" t="str">
        <f ca="1">IFERROR(__xludf.DUMMYFUNCTION("""COMPUTED_VALUE"""),"Cabernet Sauvignon Rect")</f>
        <v>Cabernet Sauvignon Rect</v>
      </c>
      <c r="J1648" s="2">
        <f ca="1">IFERROR(__xludf.DUMMYFUNCTION("""COMPUTED_VALUE"""),21000)</f>
        <v>21000</v>
      </c>
      <c r="K1648" s="2">
        <f ca="1">IFERROR(__xludf.DUMMYFUNCTION("""COMPUTED_VALUE"""),14000)</f>
        <v>14000</v>
      </c>
      <c r="L1648" s="2" t="str">
        <f ca="1">IFERROR(__xludf.DUMMYFUNCTION("""COMPUTED_VALUE"""),"686997c5")</f>
        <v>686997c5</v>
      </c>
      <c r="M1648" s="2" t="str">
        <f ca="1">IFERROR(__xludf.DUMMYFUNCTION("""COMPUTED_VALUE"""),"Cabernet Sauvignon Rect")</f>
        <v>Cabernet Sauvignon Rect</v>
      </c>
      <c r="N1648" s="2"/>
      <c r="O1648" s="2" t="str">
        <f ca="1">IFERROR(__xludf.DUMMYFUNCTION("""COMPUTED_VALUE"""),"Fermentando")</f>
        <v>Fermentando</v>
      </c>
      <c r="P1648" s="2" t="str">
        <f ca="1">IFERROR(__xludf.DUMMYFUNCTION("""COMPUTED_VALUE"""),"Rectificado")</f>
        <v>Rectificado</v>
      </c>
      <c r="Q1648" s="2" t="b">
        <f ca="1">IFERROR(__xludf.DUMMYFUNCTION("""COMPUTED_VALUE"""),TRUE)</f>
        <v>1</v>
      </c>
      <c r="R1648" s="2" t="str">
        <f ca="1">IFERROR(__xludf.DUMMYFUNCTION("""COMPUTED_VALUE"""),"Rectificado")</f>
        <v>Rectificado</v>
      </c>
      <c r="S1648" s="2"/>
      <c r="T1648" s="2"/>
      <c r="U1648" s="2" t="str">
        <f ca="1">IFERROR(__xludf.DUMMYFUNCTION("""COMPUTED_VALUE"""),"1")</f>
        <v>1</v>
      </c>
    </row>
    <row r="1649" spans="1:21" x14ac:dyDescent="0.25">
      <c r="A1649" s="2" t="str">
        <f ca="1">IFERROR(__xludf.DUMMYFUNCTION("""COMPUTED_VALUE"""),"c15e4d0a")</f>
        <v>c15e4d0a</v>
      </c>
      <c r="B1649" s="5">
        <f ca="1">IFERROR(__xludf.DUMMYFUNCTION("""COMPUTED_VALUE"""),46139.7842361111)</f>
        <v>46139.784236111103</v>
      </c>
      <c r="C1649" s="2" t="str">
        <f ca="1">IFERROR(__xludf.DUMMYFUNCTION("""COMPUTED_VALUE"""),"b4b1b66c")</f>
        <v>b4b1b66c</v>
      </c>
      <c r="D1649" s="2">
        <f ca="1">IFERROR(__xludf.DUMMYFUNCTION("""COMPUTED_VALUE"""),89)</f>
        <v>89</v>
      </c>
      <c r="E1649" s="2" t="str">
        <f ca="1">IFERROR(__xludf.DUMMYFUNCTION("""COMPUTED_VALUE"""),"Criolla Recarga")</f>
        <v>Criolla Recarga</v>
      </c>
      <c r="F1649" s="2">
        <f ca="1">IFERROR(__xludf.DUMMYFUNCTION("""COMPUTED_VALUE"""),-4000)</f>
        <v>-4000</v>
      </c>
      <c r="G1649" s="2">
        <f ca="1">IFERROR(__xludf.DUMMYFUNCTION("""COMPUTED_VALUE"""),10)</f>
        <v>10</v>
      </c>
      <c r="H1649" s="2" t="str">
        <f ca="1">IFERROR(__xludf.DUMMYFUNCTION("""COMPUTED_VALUE"""),"686997c5")</f>
        <v>686997c5</v>
      </c>
      <c r="I1649" s="2" t="str">
        <f ca="1">IFERROR(__xludf.DUMMYFUNCTION("""COMPUTED_VALUE"""),"Cabernet Sauvignon Rect")</f>
        <v>Cabernet Sauvignon Rect</v>
      </c>
      <c r="J1649" s="2">
        <f ca="1">IFERROR(__xludf.DUMMYFUNCTION("""COMPUTED_VALUE"""),14000)</f>
        <v>14000</v>
      </c>
      <c r="K1649" s="2">
        <f ca="1">IFERROR(__xludf.DUMMYFUNCTION("""COMPUTED_VALUE"""),10000)</f>
        <v>10000</v>
      </c>
      <c r="L1649" s="2" t="str">
        <f ca="1">IFERROR(__xludf.DUMMYFUNCTION("""COMPUTED_VALUE"""),"2c516729")</f>
        <v>2c516729</v>
      </c>
      <c r="M1649" s="2" t="str">
        <f ca="1">IFERROR(__xludf.DUMMYFUNCTION("""COMPUTED_VALUE"""),"Cabernet Sauvignon Rect")</f>
        <v>Cabernet Sauvignon Rect</v>
      </c>
      <c r="N1649" s="2"/>
      <c r="O1649" s="2" t="str">
        <f ca="1">IFERROR(__xludf.DUMMYFUNCTION("""COMPUTED_VALUE"""),"Recarga Fermentando")</f>
        <v>Recarga Fermentando</v>
      </c>
      <c r="P1649" s="2" t="str">
        <f ca="1">IFERROR(__xludf.DUMMYFUNCTION("""COMPUTED_VALUE"""),"Rectificado")</f>
        <v>Rectificado</v>
      </c>
      <c r="Q1649" s="2" t="b">
        <f ca="1">IFERROR(__xludf.DUMMYFUNCTION("""COMPUTED_VALUE"""),TRUE)</f>
        <v>1</v>
      </c>
      <c r="R1649" s="2" t="str">
        <f ca="1">IFERROR(__xludf.DUMMYFUNCTION("""COMPUTED_VALUE"""),"Rectificado")</f>
        <v>Rectificado</v>
      </c>
      <c r="S1649" s="2"/>
      <c r="T1649" s="2"/>
      <c r="U1649" s="2" t="str">
        <f ca="1">IFERROR(__xludf.DUMMYFUNCTION("""COMPUTED_VALUE"""),"1")</f>
        <v>1</v>
      </c>
    </row>
    <row r="1650" spans="1:21" x14ac:dyDescent="0.25">
      <c r="A1650" s="2" t="str">
        <f ca="1">IFERROR(__xludf.DUMMYFUNCTION("""COMPUTED_VALUE"""),"0bff873c")</f>
        <v>0bff873c</v>
      </c>
      <c r="B1650" s="5">
        <f ca="1">IFERROR(__xludf.DUMMYFUNCTION("""COMPUTED_VALUE"""),46139.7847106481)</f>
        <v>46139.784710648099</v>
      </c>
      <c r="C1650" s="2" t="str">
        <f ca="1">IFERROR(__xludf.DUMMYFUNCTION("""COMPUTED_VALUE"""),"b078fbc6")</f>
        <v>b078fbc6</v>
      </c>
      <c r="D1650" s="2">
        <f ca="1">IFERROR(__xludf.DUMMYFUNCTION("""COMPUTED_VALUE"""),76)</f>
        <v>76</v>
      </c>
      <c r="E1650" s="2" t="str">
        <f ca="1">IFERROR(__xludf.DUMMYFUNCTION("""COMPUTED_VALUE"""),"Bonarda")</f>
        <v>Bonarda</v>
      </c>
      <c r="F1650" s="2">
        <f ca="1">IFERROR(__xludf.DUMMYFUNCTION("""COMPUTED_VALUE"""),-4500)</f>
        <v>-4500</v>
      </c>
      <c r="G1650" s="2">
        <f ca="1">IFERROR(__xludf.DUMMYFUNCTION("""COMPUTED_VALUE"""),10)</f>
        <v>10</v>
      </c>
      <c r="H1650" s="2" t="str">
        <f ca="1">IFERROR(__xludf.DUMMYFUNCTION("""COMPUTED_VALUE"""),"2c516729")</f>
        <v>2c516729</v>
      </c>
      <c r="I1650" s="2" t="str">
        <f ca="1">IFERROR(__xludf.DUMMYFUNCTION("""COMPUTED_VALUE"""),"Cabernet Sauvignon Rect")</f>
        <v>Cabernet Sauvignon Rect</v>
      </c>
      <c r="J1650" s="2">
        <f ca="1">IFERROR(__xludf.DUMMYFUNCTION("""COMPUTED_VALUE"""),10000)</f>
        <v>10000</v>
      </c>
      <c r="K1650" s="2">
        <f ca="1">IFERROR(__xludf.DUMMYFUNCTION("""COMPUTED_VALUE"""),5500)</f>
        <v>5500</v>
      </c>
      <c r="L1650" s="2" t="str">
        <f ca="1">IFERROR(__xludf.DUMMYFUNCTION("""COMPUTED_VALUE"""),"00a0cc09")</f>
        <v>00a0cc09</v>
      </c>
      <c r="M1650" s="2" t="str">
        <f ca="1">IFERROR(__xludf.DUMMYFUNCTION("""COMPUTED_VALUE"""),"Bonarda")</f>
        <v>Bonarda</v>
      </c>
      <c r="N1650" s="2"/>
      <c r="O1650" s="2" t="str">
        <f ca="1">IFERROR(__xludf.DUMMYFUNCTION("""COMPUTED_VALUE"""),"Fermentando")</f>
        <v>Fermentando</v>
      </c>
      <c r="P1650" s="2" t="str">
        <f ca="1">IFERROR(__xludf.DUMMYFUNCTION("""COMPUTED_VALUE"""),"Rectificado")</f>
        <v>Rectificado</v>
      </c>
      <c r="Q1650" s="2" t="b">
        <f ca="1">IFERROR(__xludf.DUMMYFUNCTION("""COMPUTED_VALUE"""),FALSE)</f>
        <v>0</v>
      </c>
      <c r="R1650" s="2" t="str">
        <f ca="1">IFERROR(__xludf.DUMMYFUNCTION("""COMPUTED_VALUE"""),"Fermentando")</f>
        <v>Fermentando</v>
      </c>
      <c r="S1650" s="2"/>
      <c r="T1650" s="2"/>
      <c r="U1650" s="2"/>
    </row>
    <row r="1651" spans="1:21" x14ac:dyDescent="0.25">
      <c r="A1651" s="2" t="str">
        <f ca="1">IFERROR(__xludf.DUMMYFUNCTION("""COMPUTED_VALUE"""),"253483f5")</f>
        <v>253483f5</v>
      </c>
      <c r="B1651" s="5">
        <f ca="1">IFERROR(__xludf.DUMMYFUNCTION("""COMPUTED_VALUE"""),46139.7863657406)</f>
        <v>46139.7863657407</v>
      </c>
      <c r="C1651" s="2" t="str">
        <f ca="1">IFERROR(__xludf.DUMMYFUNCTION("""COMPUTED_VALUE"""),"9bdb98e8")</f>
        <v>9bdb98e8</v>
      </c>
      <c r="D1651" s="2">
        <f ca="1">IFERROR(__xludf.DUMMYFUNCTION("""COMPUTED_VALUE"""),84)</f>
        <v>84</v>
      </c>
      <c r="E1651" s="2" t="str">
        <f ca="1">IFERROR(__xludf.DUMMYFUNCTION("""COMPUTED_VALUE"""),"Bonarda")</f>
        <v>Bonarda</v>
      </c>
      <c r="F1651" s="2">
        <f ca="1">IFERROR(__xludf.DUMMYFUNCTION("""COMPUTED_VALUE"""),-1500)</f>
        <v>-1500</v>
      </c>
      <c r="G1651" s="2">
        <f ca="1">IFERROR(__xludf.DUMMYFUNCTION("""COMPUTED_VALUE"""),10)</f>
        <v>10</v>
      </c>
      <c r="H1651" s="2" t="str">
        <f ca="1">IFERROR(__xludf.DUMMYFUNCTION("""COMPUTED_VALUE"""),"00a0cc09")</f>
        <v>00a0cc09</v>
      </c>
      <c r="I1651" s="2" t="str">
        <f ca="1">IFERROR(__xludf.DUMMYFUNCTION("""COMPUTED_VALUE"""),"Cabernet Rectificado")</f>
        <v>Cabernet Rectificado</v>
      </c>
      <c r="J1651" s="2">
        <f ca="1">IFERROR(__xludf.DUMMYFUNCTION("""COMPUTED_VALUE"""),5500)</f>
        <v>5500</v>
      </c>
      <c r="K1651" s="2">
        <f ca="1">IFERROR(__xludf.DUMMYFUNCTION("""COMPUTED_VALUE"""),4000)</f>
        <v>4000</v>
      </c>
      <c r="L1651" s="2" t="str">
        <f ca="1">IFERROR(__xludf.DUMMYFUNCTION("""COMPUTED_VALUE"""),"9688c372")</f>
        <v>9688c372</v>
      </c>
      <c r="M1651" s="2" t="str">
        <f ca="1">IFERROR(__xludf.DUMMYFUNCTION("""COMPUTED_VALUE"""),"Cabernet Rectificado")</f>
        <v>Cabernet Rectificado</v>
      </c>
      <c r="N1651" s="2"/>
      <c r="O1651" s="2" t="str">
        <f ca="1">IFERROR(__xludf.DUMMYFUNCTION("""COMPUTED_VALUE"""),"Fermentando")</f>
        <v>Fermentando</v>
      </c>
      <c r="P1651" s="2" t="str">
        <f ca="1">IFERROR(__xludf.DUMMYFUNCTION("""COMPUTED_VALUE"""),"Rectificado")</f>
        <v>Rectificado</v>
      </c>
      <c r="Q1651" s="2" t="b">
        <f ca="1">IFERROR(__xludf.DUMMYFUNCTION("""COMPUTED_VALUE"""),TRUE)</f>
        <v>1</v>
      </c>
      <c r="R1651" s="2" t="str">
        <f ca="1">IFERROR(__xludf.DUMMYFUNCTION("""COMPUTED_VALUE"""),"Rectificado")</f>
        <v>Rectificado</v>
      </c>
      <c r="S1651" s="2"/>
      <c r="T1651" s="2"/>
      <c r="U1651" s="2"/>
    </row>
    <row r="1652" spans="1:21" x14ac:dyDescent="0.25">
      <c r="A1652" s="2" t="str">
        <f ca="1">IFERROR(__xludf.DUMMYFUNCTION("""COMPUTED_VALUE"""),"4d5829ba")</f>
        <v>4d5829ba</v>
      </c>
      <c r="B1652" s="5">
        <f ca="1">IFERROR(__xludf.DUMMYFUNCTION("""COMPUTED_VALUE"""),46139.7900347222)</f>
        <v>46139.790034722202</v>
      </c>
      <c r="C1652" s="2" t="str">
        <f ca="1">IFERROR(__xludf.DUMMYFUNCTION("""COMPUTED_VALUE"""),"abee7119")</f>
        <v>abee7119</v>
      </c>
      <c r="D1652" s="2">
        <f ca="1">IFERROR(__xludf.DUMMYFUNCTION("""COMPUTED_VALUE"""),27)</f>
        <v>27</v>
      </c>
      <c r="E1652" s="2" t="str">
        <f ca="1">IFERROR(__xludf.DUMMYFUNCTION("""COMPUTED_VALUE"""),"Tinto Varietal Garbin")</f>
        <v>Tinto Varietal Garbin</v>
      </c>
      <c r="F1652" s="2">
        <f ca="1">IFERROR(__xludf.DUMMYFUNCTION("""COMPUTED_VALUE"""),90000)</f>
        <v>90000</v>
      </c>
      <c r="G1652" s="2"/>
      <c r="H1652" s="2"/>
      <c r="I1652" s="2"/>
      <c r="J1652" s="2"/>
      <c r="K1652" s="2">
        <f ca="1">IFERROR(__xludf.DUMMYFUNCTION("""COMPUTED_VALUE"""),90000)</f>
        <v>90000</v>
      </c>
      <c r="L1652" s="2" t="str">
        <f ca="1">IFERROR(__xludf.DUMMYFUNCTION("""COMPUTED_VALUE"""),"f358a541")</f>
        <v>f358a541</v>
      </c>
      <c r="M1652" s="2" t="str">
        <f ca="1">IFERROR(__xludf.DUMMYFUNCTION("""COMPUTED_VALUE"""),"Tinto Varietal Garbin")</f>
        <v>Tinto Varietal Garbin</v>
      </c>
      <c r="N1652" s="2" t="str">
        <f ca="1">IFERROR(__xludf.DUMMYFUNCTION("""COMPUTED_VALUE"""),"Venta Traslado Garbin")</f>
        <v>Venta Traslado Garbin</v>
      </c>
      <c r="O1652" s="2" t="str">
        <f ca="1">IFERROR(__xludf.DUMMYFUNCTION("""COMPUTED_VALUE"""),"Terminado")</f>
        <v>Terminado</v>
      </c>
      <c r="P1652" s="2"/>
      <c r="Q1652" s="2" t="b">
        <f ca="1">IFERROR(__xludf.DUMMYFUNCTION("""COMPUTED_VALUE"""),FALSE)</f>
        <v>0</v>
      </c>
      <c r="R1652" s="2" t="str">
        <f ca="1">IFERROR(__xludf.DUMMYFUNCTION("""COMPUTED_VALUE"""),"Traslado Venta")</f>
        <v>Traslado Venta</v>
      </c>
      <c r="S1652" s="2"/>
      <c r="T1652" s="2"/>
      <c r="U1652" s="2" t="str">
        <f ca="1">IFERROR(__xludf.DUMMYFUNCTION("""COMPUTED_VALUE"""),"1")</f>
        <v>1</v>
      </c>
    </row>
    <row r="1653" spans="1:21" x14ac:dyDescent="0.25">
      <c r="A1653" s="2" t="str">
        <f ca="1">IFERROR(__xludf.DUMMYFUNCTION("""COMPUTED_VALUE"""),"0191421c")</f>
        <v>0191421c</v>
      </c>
      <c r="B1653" s="5">
        <f ca="1">IFERROR(__xludf.DUMMYFUNCTION("""COMPUTED_VALUE"""),46139.7913425925)</f>
        <v>46139.7913425925</v>
      </c>
      <c r="C1653" s="2" t="str">
        <f ca="1">IFERROR(__xludf.DUMMYFUNCTION("""COMPUTED_VALUE"""),"f5732c0d")</f>
        <v>f5732c0d</v>
      </c>
      <c r="D1653" s="2">
        <f ca="1">IFERROR(__xludf.DUMMYFUNCTION("""COMPUTED_VALUE"""),36)</f>
        <v>36</v>
      </c>
      <c r="E1653" s="2" t="str">
        <f ca="1">IFERROR(__xludf.DUMMYFUNCTION("""COMPUTED_VALUE"""),"Tinto Varietal B")</f>
        <v>Tinto Varietal B</v>
      </c>
      <c r="F1653" s="2">
        <f ca="1">IFERROR(__xludf.DUMMYFUNCTION("""COMPUTED_VALUE"""),9000)</f>
        <v>9000</v>
      </c>
      <c r="G1653" s="2">
        <f ca="1">IFERROR(__xludf.DUMMYFUNCTION("""COMPUTED_VALUE"""),68)</f>
        <v>68</v>
      </c>
      <c r="H1653" s="2"/>
      <c r="I1653" s="2"/>
      <c r="J1653" s="2">
        <f ca="1">IFERROR(__xludf.DUMMYFUNCTION("""COMPUTED_VALUE"""),0)</f>
        <v>0</v>
      </c>
      <c r="K1653" s="2">
        <f ca="1">IFERROR(__xludf.DUMMYFUNCTION("""COMPUTED_VALUE"""),9000)</f>
        <v>9000</v>
      </c>
      <c r="L1653" s="2" t="str">
        <f ca="1">IFERROR(__xludf.DUMMYFUNCTION("""COMPUTED_VALUE"""),"c91f293f")</f>
        <v>c91f293f</v>
      </c>
      <c r="M1653" s="2" t="str">
        <f ca="1">IFERROR(__xludf.DUMMYFUNCTION("""COMPUTED_VALUE"""),"Tinto Varietal B")</f>
        <v>Tinto Varietal B</v>
      </c>
      <c r="N1653" s="2"/>
      <c r="O1653" s="2" t="str">
        <f ca="1">IFERROR(__xludf.DUMMYFUNCTION("""COMPUTED_VALUE"""),"Terminado")</f>
        <v>Terminado</v>
      </c>
      <c r="P1653" s="2"/>
      <c r="Q1653" s="2" t="b">
        <f ca="1">IFERROR(__xludf.DUMMYFUNCTION("""COMPUTED_VALUE"""),FALSE)</f>
        <v>0</v>
      </c>
      <c r="R1653" s="2" t="str">
        <f ca="1">IFERROR(__xludf.DUMMYFUNCTION("""COMPUTED_VALUE"""),"Terminado")</f>
        <v>Terminado</v>
      </c>
      <c r="S1653" s="2"/>
      <c r="T1653" s="2"/>
      <c r="U1653" s="2" t="str">
        <f ca="1">IFERROR(__xludf.DUMMYFUNCTION("""COMPUTED_VALUE"""),"1")</f>
        <v>1</v>
      </c>
    </row>
    <row r="1654" spans="1:21" x14ac:dyDescent="0.25">
      <c r="A1654" s="2" t="str">
        <f ca="1">IFERROR(__xludf.DUMMYFUNCTION("""COMPUTED_VALUE"""),"e473eded")</f>
        <v>e473eded</v>
      </c>
      <c r="B1654" s="5">
        <f ca="1">IFERROR(__xludf.DUMMYFUNCTION("""COMPUTED_VALUE"""),46139.7916435185)</f>
        <v>46139.791643518503</v>
      </c>
      <c r="C1654" s="2" t="str">
        <f ca="1">IFERROR(__xludf.DUMMYFUNCTION("""COMPUTED_VALUE"""),"f5732c0d")</f>
        <v>f5732c0d</v>
      </c>
      <c r="D1654" s="2">
        <f ca="1">IFERROR(__xludf.DUMMYFUNCTION("""COMPUTED_VALUE"""),36)</f>
        <v>36</v>
      </c>
      <c r="E1654" s="2" t="str">
        <f ca="1">IFERROR(__xludf.DUMMYFUNCTION("""COMPUTED_VALUE"""),"Tinto Varietal B")</f>
        <v>Tinto Varietal B</v>
      </c>
      <c r="F1654" s="2">
        <f ca="1">IFERROR(__xludf.DUMMYFUNCTION("""COMPUTED_VALUE"""),3600)</f>
        <v>3600</v>
      </c>
      <c r="G1654" s="2">
        <f ca="1">IFERROR(__xludf.DUMMYFUNCTION("""COMPUTED_VALUE"""),500)</f>
        <v>500</v>
      </c>
      <c r="H1654" s="2" t="str">
        <f ca="1">IFERROR(__xludf.DUMMYFUNCTION("""COMPUTED_VALUE"""),"d90a205b")</f>
        <v>d90a205b</v>
      </c>
      <c r="I1654" s="2" t="str">
        <f ca="1">IFERROR(__xludf.DUMMYFUNCTION("""COMPUTED_VALUE"""),"AJUSTE COSECHA 2026")</f>
        <v>AJUSTE COSECHA 2026</v>
      </c>
      <c r="J1654" s="2">
        <f ca="1">IFERROR(__xludf.DUMMYFUNCTION("""COMPUTED_VALUE"""),52920)</f>
        <v>52920</v>
      </c>
      <c r="K1654" s="2">
        <f ca="1">IFERROR(__xludf.DUMMYFUNCTION("""COMPUTED_VALUE"""),56520)</f>
        <v>56520</v>
      </c>
      <c r="L1654" s="2" t="str">
        <f ca="1">IFERROR(__xludf.DUMMYFUNCTION("""COMPUTED_VALUE"""),"8250b31d")</f>
        <v>8250b31d</v>
      </c>
      <c r="M1654" s="2" t="str">
        <f ca="1">IFERROR(__xludf.DUMMYFUNCTION("""COMPUTED_VALUE"""),"AJUSTE COSECHA 2026")</f>
        <v>AJUSTE COSECHA 2026</v>
      </c>
      <c r="N1654" s="2"/>
      <c r="O1654" s="2" t="str">
        <f ca="1">IFERROR(__xludf.DUMMYFUNCTION("""COMPUTED_VALUE"""),"Terminado")</f>
        <v>Terminado</v>
      </c>
      <c r="P1654" s="2" t="str">
        <f ca="1">IFERROR(__xludf.DUMMYFUNCTION("""COMPUTED_VALUE"""),"Terminado")</f>
        <v>Terminado</v>
      </c>
      <c r="Q1654" s="2" t="b">
        <f ca="1">IFERROR(__xludf.DUMMYFUNCTION("""COMPUTED_VALUE"""),TRUE)</f>
        <v>1</v>
      </c>
      <c r="R1654" s="2" t="str">
        <f ca="1">IFERROR(__xludf.DUMMYFUNCTION("""COMPUTED_VALUE"""),"Terminado")</f>
        <v>Terminado</v>
      </c>
      <c r="S1654" s="2"/>
      <c r="T1654" s="2"/>
      <c r="U1654" s="2" t="str">
        <f ca="1">IFERROR(__xludf.DUMMYFUNCTION("""COMPUTED_VALUE"""),"1")</f>
        <v>1</v>
      </c>
    </row>
    <row r="1655" spans="1:21" x14ac:dyDescent="0.25">
      <c r="A1655" s="2" t="str">
        <f ca="1">IFERROR(__xludf.DUMMYFUNCTION("""COMPUTED_VALUE"""),"f13b0a17")</f>
        <v>f13b0a17</v>
      </c>
      <c r="B1655" s="5">
        <f ca="1">IFERROR(__xludf.DUMMYFUNCTION("""COMPUTED_VALUE"""),46139.7940046295)</f>
        <v>46139.794004629599</v>
      </c>
      <c r="C1655" s="2" t="str">
        <f ca="1">IFERROR(__xludf.DUMMYFUNCTION("""COMPUTED_VALUE"""),"ffc3af1d")</f>
        <v>ffc3af1d</v>
      </c>
      <c r="D1655" s="2">
        <f ca="1">IFERROR(__xludf.DUMMYFUNCTION("""COMPUTED_VALUE"""),79)</f>
        <v>79</v>
      </c>
      <c r="E1655" s="2" t="str">
        <f ca="1">IFERROR(__xludf.DUMMYFUNCTION("""COMPUTED_VALUE"""),"Criolla")</f>
        <v>Criolla</v>
      </c>
      <c r="F1655" s="2">
        <f ca="1">IFERROR(__xludf.DUMMYFUNCTION("""COMPUTED_VALUE"""),2000)</f>
        <v>2000</v>
      </c>
      <c r="G1655" s="2">
        <f ca="1">IFERROR(__xludf.DUMMYFUNCTION("""COMPUTED_VALUE"""),500)</f>
        <v>500</v>
      </c>
      <c r="H1655" s="2" t="str">
        <f ca="1">IFERROR(__xludf.DUMMYFUNCTION("""COMPUTED_VALUE"""),"8250b31d")</f>
        <v>8250b31d</v>
      </c>
      <c r="I1655" s="2" t="str">
        <f ca="1">IFERROR(__xludf.DUMMYFUNCTION("""COMPUTED_VALUE"""),"AJUSTE COSECHA 2026")</f>
        <v>AJUSTE COSECHA 2026</v>
      </c>
      <c r="J1655" s="2">
        <f ca="1">IFERROR(__xludf.DUMMYFUNCTION("""COMPUTED_VALUE"""),56520)</f>
        <v>56520</v>
      </c>
      <c r="K1655" s="2">
        <f ca="1">IFERROR(__xludf.DUMMYFUNCTION("""COMPUTED_VALUE"""),58520)</f>
        <v>58520</v>
      </c>
      <c r="L1655" s="2" t="str">
        <f ca="1">IFERROR(__xludf.DUMMYFUNCTION("""COMPUTED_VALUE"""),"5d55b488")</f>
        <v>5d55b488</v>
      </c>
      <c r="M1655" s="2" t="str">
        <f ca="1">IFERROR(__xludf.DUMMYFUNCTION("""COMPUTED_VALUE"""),"AJUSTE COSECHA 2026")</f>
        <v>AJUSTE COSECHA 2026</v>
      </c>
      <c r="N1655" s="2"/>
      <c r="O1655" s="2" t="str">
        <f ca="1">IFERROR(__xludf.DUMMYFUNCTION("""COMPUTED_VALUE"""),"Fermentando")</f>
        <v>Fermentando</v>
      </c>
      <c r="P1655" s="2" t="str">
        <f ca="1">IFERROR(__xludf.DUMMYFUNCTION("""COMPUTED_VALUE"""),"Terminado")</f>
        <v>Terminado</v>
      </c>
      <c r="Q1655" s="2" t="b">
        <f ca="1">IFERROR(__xludf.DUMMYFUNCTION("""COMPUTED_VALUE"""),TRUE)</f>
        <v>1</v>
      </c>
      <c r="R1655" s="2" t="str">
        <f ca="1">IFERROR(__xludf.DUMMYFUNCTION("""COMPUTED_VALUE"""),"Terminado")</f>
        <v>Terminado</v>
      </c>
      <c r="S1655" s="2"/>
      <c r="T1655" s="2"/>
      <c r="U1655" s="2" t="str">
        <f ca="1">IFERROR(__xludf.DUMMYFUNCTION("""COMPUTED_VALUE"""),"1")</f>
        <v>1</v>
      </c>
    </row>
    <row r="1656" spans="1:21" x14ac:dyDescent="0.25">
      <c r="A1656" s="2" t="str">
        <f ca="1">IFERROR(__xludf.DUMMYFUNCTION("""COMPUTED_VALUE"""),"16eb4b57")</f>
        <v>16eb4b57</v>
      </c>
      <c r="B1656" s="5">
        <f ca="1">IFERROR(__xludf.DUMMYFUNCTION("""COMPUTED_VALUE"""),46139.794386574)</f>
        <v>46139.794386574002</v>
      </c>
      <c r="C1656" s="2" t="str">
        <f ca="1">IFERROR(__xludf.DUMMYFUNCTION("""COMPUTED_VALUE"""),"989bf939")</f>
        <v>989bf939</v>
      </c>
      <c r="D1656" s="2">
        <f ca="1">IFERROR(__xludf.DUMMYFUNCTION("""COMPUTED_VALUE"""),77)</f>
        <v>77</v>
      </c>
      <c r="E1656" s="2" t="str">
        <f ca="1">IFERROR(__xludf.DUMMYFUNCTION("""COMPUTED_VALUE"""),"Criolla")</f>
        <v>Criolla</v>
      </c>
      <c r="F1656" s="2">
        <f ca="1">IFERROR(__xludf.DUMMYFUNCTION("""COMPUTED_VALUE"""),-9400)</f>
        <v>-9400</v>
      </c>
      <c r="G1656" s="2">
        <f ca="1">IFERROR(__xludf.DUMMYFUNCTION("""COMPUTED_VALUE"""),500)</f>
        <v>500</v>
      </c>
      <c r="H1656" s="2" t="str">
        <f ca="1">IFERROR(__xludf.DUMMYFUNCTION("""COMPUTED_VALUE"""),"5d55b488")</f>
        <v>5d55b488</v>
      </c>
      <c r="I1656" s="2" t="str">
        <f ca="1">IFERROR(__xludf.DUMMYFUNCTION("""COMPUTED_VALUE"""),"AJUSTE COSECHA 2026")</f>
        <v>AJUSTE COSECHA 2026</v>
      </c>
      <c r="J1656" s="2">
        <f ca="1">IFERROR(__xludf.DUMMYFUNCTION("""COMPUTED_VALUE"""),58520)</f>
        <v>58520</v>
      </c>
      <c r="K1656" s="2">
        <f ca="1">IFERROR(__xludf.DUMMYFUNCTION("""COMPUTED_VALUE"""),49120)</f>
        <v>49120</v>
      </c>
      <c r="L1656" s="2" t="str">
        <f ca="1">IFERROR(__xludf.DUMMYFUNCTION("""COMPUTED_VALUE"""),"b7f77ddb")</f>
        <v>b7f77ddb</v>
      </c>
      <c r="M1656" s="2" t="str">
        <f ca="1">IFERROR(__xludf.DUMMYFUNCTION("""COMPUTED_VALUE"""),"AJUSTE COSECHA 2026")</f>
        <v>AJUSTE COSECHA 2026</v>
      </c>
      <c r="N1656" s="2"/>
      <c r="O1656" s="2" t="str">
        <f ca="1">IFERROR(__xludf.DUMMYFUNCTION("""COMPUTED_VALUE"""),"Fermentando")</f>
        <v>Fermentando</v>
      </c>
      <c r="P1656" s="2" t="str">
        <f ca="1">IFERROR(__xludf.DUMMYFUNCTION("""COMPUTED_VALUE"""),"Terminado")</f>
        <v>Terminado</v>
      </c>
      <c r="Q1656" s="2" t="b">
        <f ca="1">IFERROR(__xludf.DUMMYFUNCTION("""COMPUTED_VALUE"""),TRUE)</f>
        <v>1</v>
      </c>
      <c r="R1656" s="2" t="str">
        <f ca="1">IFERROR(__xludf.DUMMYFUNCTION("""COMPUTED_VALUE"""),"Terminado")</f>
        <v>Terminado</v>
      </c>
      <c r="S1656" s="2"/>
      <c r="T1656" s="2"/>
      <c r="U1656" s="2" t="str">
        <f ca="1">IFERROR(__xludf.DUMMYFUNCTION("""COMPUTED_VALUE"""),"1")</f>
        <v>1</v>
      </c>
    </row>
    <row r="1657" spans="1:21" x14ac:dyDescent="0.25">
      <c r="A1657" s="2" t="str">
        <f ca="1">IFERROR(__xludf.DUMMYFUNCTION("""COMPUTED_VALUE"""),"9cfc192f")</f>
        <v>9cfc192f</v>
      </c>
      <c r="B1657" s="5">
        <f ca="1">IFERROR(__xludf.DUMMYFUNCTION("""COMPUTED_VALUE"""),46139.7947800925)</f>
        <v>46139.794780092503</v>
      </c>
      <c r="C1657" s="2" t="str">
        <f ca="1">IFERROR(__xludf.DUMMYFUNCTION("""COMPUTED_VALUE"""),"a816c3ff")</f>
        <v>a816c3ff</v>
      </c>
      <c r="D1657" s="2">
        <f ca="1">IFERROR(__xludf.DUMMYFUNCTION("""COMPUTED_VALUE"""),80)</f>
        <v>80</v>
      </c>
      <c r="E1657" s="2" t="str">
        <f ca="1">IFERROR(__xludf.DUMMYFUNCTION("""COMPUTED_VALUE"""),"Criolla")</f>
        <v>Criolla</v>
      </c>
      <c r="F1657" s="2">
        <f ca="1">IFERROR(__xludf.DUMMYFUNCTION("""COMPUTED_VALUE"""),-1000)</f>
        <v>-1000</v>
      </c>
      <c r="G1657" s="2">
        <f ca="1">IFERROR(__xludf.DUMMYFUNCTION("""COMPUTED_VALUE"""),500)</f>
        <v>500</v>
      </c>
      <c r="H1657" s="2" t="str">
        <f ca="1">IFERROR(__xludf.DUMMYFUNCTION("""COMPUTED_VALUE"""),"b7f77ddb")</f>
        <v>b7f77ddb</v>
      </c>
      <c r="I1657" s="2" t="str">
        <f ca="1">IFERROR(__xludf.DUMMYFUNCTION("""COMPUTED_VALUE"""),"AJUSTE COSECHA 2026")</f>
        <v>AJUSTE COSECHA 2026</v>
      </c>
      <c r="J1657" s="2">
        <f ca="1">IFERROR(__xludf.DUMMYFUNCTION("""COMPUTED_VALUE"""),49120)</f>
        <v>49120</v>
      </c>
      <c r="K1657" s="2">
        <f ca="1">IFERROR(__xludf.DUMMYFUNCTION("""COMPUTED_VALUE"""),48120)</f>
        <v>48120</v>
      </c>
      <c r="L1657" s="2" t="str">
        <f ca="1">IFERROR(__xludf.DUMMYFUNCTION("""COMPUTED_VALUE"""),"d3d95ffe")</f>
        <v>d3d95ffe</v>
      </c>
      <c r="M1657" s="2" t="str">
        <f ca="1">IFERROR(__xludf.DUMMYFUNCTION("""COMPUTED_VALUE"""),"AJUSTE COSECHA 2026")</f>
        <v>AJUSTE COSECHA 2026</v>
      </c>
      <c r="N1657" s="2"/>
      <c r="O1657" s="2" t="str">
        <f ca="1">IFERROR(__xludf.DUMMYFUNCTION("""COMPUTED_VALUE"""),"Fermentando")</f>
        <v>Fermentando</v>
      </c>
      <c r="P1657" s="2" t="str">
        <f ca="1">IFERROR(__xludf.DUMMYFUNCTION("""COMPUTED_VALUE"""),"Terminado")</f>
        <v>Terminado</v>
      </c>
      <c r="Q1657" s="2" t="b">
        <f ca="1">IFERROR(__xludf.DUMMYFUNCTION("""COMPUTED_VALUE"""),TRUE)</f>
        <v>1</v>
      </c>
      <c r="R1657" s="2" t="str">
        <f ca="1">IFERROR(__xludf.DUMMYFUNCTION("""COMPUTED_VALUE"""),"Terminado")</f>
        <v>Terminado</v>
      </c>
      <c r="S1657" s="2"/>
      <c r="T1657" s="2"/>
      <c r="U1657" s="2" t="str">
        <f ca="1">IFERROR(__xludf.DUMMYFUNCTION("""COMPUTED_VALUE"""),"1")</f>
        <v>1</v>
      </c>
    </row>
    <row r="1658" spans="1:21" x14ac:dyDescent="0.25">
      <c r="A1658" s="2" t="str">
        <f ca="1">IFERROR(__xludf.DUMMYFUNCTION("""COMPUTED_VALUE"""),"deaa9438")</f>
        <v>deaa9438</v>
      </c>
      <c r="B1658" s="5">
        <f ca="1">IFERROR(__xludf.DUMMYFUNCTION("""COMPUTED_VALUE"""),46139.7950694444)</f>
        <v>46139.795069444401</v>
      </c>
      <c r="C1658" s="2" t="str">
        <f ca="1">IFERROR(__xludf.DUMMYFUNCTION("""COMPUTED_VALUE"""),"20a7407a")</f>
        <v>20a7407a</v>
      </c>
      <c r="D1658" s="2">
        <f ca="1">IFERROR(__xludf.DUMMYFUNCTION("""COMPUTED_VALUE"""),86)</f>
        <v>86</v>
      </c>
      <c r="E1658" s="2" t="str">
        <f ca="1">IFERROR(__xludf.DUMMYFUNCTION("""COMPUTED_VALUE"""),"Criolla Recarga")</f>
        <v>Criolla Recarga</v>
      </c>
      <c r="F1658" s="2">
        <f ca="1">IFERROR(__xludf.DUMMYFUNCTION("""COMPUTED_VALUE"""),-18000)</f>
        <v>-18000</v>
      </c>
      <c r="G1658" s="2"/>
      <c r="H1658" s="2"/>
      <c r="I1658" s="2"/>
      <c r="J1658" s="2"/>
      <c r="K1658" s="2">
        <f ca="1">IFERROR(__xludf.DUMMYFUNCTION("""COMPUTED_VALUE"""),-18000)</f>
        <v>-18000</v>
      </c>
      <c r="L1658" s="2" t="str">
        <f ca="1">IFERROR(__xludf.DUMMYFUNCTION("""COMPUTED_VALUE"""),"79d0d5e3")</f>
        <v>79d0d5e3</v>
      </c>
      <c r="M1658" s="2"/>
      <c r="N1658" s="2"/>
      <c r="O1658" s="2" t="str">
        <f ca="1">IFERROR(__xludf.DUMMYFUNCTION("""COMPUTED_VALUE"""),"Recarga Fermentando")</f>
        <v>Recarga Fermentando</v>
      </c>
      <c r="P1658" s="2"/>
      <c r="Q1658" s="2" t="b">
        <f ca="1">IFERROR(__xludf.DUMMYFUNCTION("""COMPUTED_VALUE"""),TRUE)</f>
        <v>1</v>
      </c>
      <c r="R1658" s="2"/>
      <c r="S1658" s="2"/>
      <c r="T1658" s="2"/>
      <c r="U1658" s="2"/>
    </row>
    <row r="1659" spans="1:21" x14ac:dyDescent="0.25">
      <c r="A1659" s="2" t="str">
        <f ca="1">IFERROR(__xludf.DUMMYFUNCTION("""COMPUTED_VALUE"""),"d820d95e")</f>
        <v>d820d95e</v>
      </c>
      <c r="B1659" s="5">
        <f ca="1">IFERROR(__xludf.DUMMYFUNCTION("""COMPUTED_VALUE"""),46139.7955439814)</f>
        <v>46139.795543981403</v>
      </c>
      <c r="C1659" s="2" t="str">
        <f ca="1">IFERROR(__xludf.DUMMYFUNCTION("""COMPUTED_VALUE"""),"0f7ec44b")</f>
        <v>0f7ec44b</v>
      </c>
      <c r="D1659" s="2">
        <f ca="1">IFERROR(__xludf.DUMMYFUNCTION("""COMPUTED_VALUE"""),87)</f>
        <v>87</v>
      </c>
      <c r="E1659" s="2" t="str">
        <f ca="1">IFERROR(__xludf.DUMMYFUNCTION("""COMPUTED_VALUE"""),"Criolla Recarga PC")</f>
        <v>Criolla Recarga PC</v>
      </c>
      <c r="F1659" s="2">
        <f ca="1">IFERROR(__xludf.DUMMYFUNCTION("""COMPUTED_VALUE"""),-6100)</f>
        <v>-6100</v>
      </c>
      <c r="G1659" s="2">
        <f ca="1">IFERROR(__xludf.DUMMYFUNCTION("""COMPUTED_VALUE"""),500)</f>
        <v>500</v>
      </c>
      <c r="H1659" s="2" t="str">
        <f ca="1">IFERROR(__xludf.DUMMYFUNCTION("""COMPUTED_VALUE"""),"d3d95ffe")</f>
        <v>d3d95ffe</v>
      </c>
      <c r="I1659" s="2" t="str">
        <f ca="1">IFERROR(__xludf.DUMMYFUNCTION("""COMPUTED_VALUE"""),"AJUSTE COSECHA 2026")</f>
        <v>AJUSTE COSECHA 2026</v>
      </c>
      <c r="J1659" s="2">
        <f ca="1">IFERROR(__xludf.DUMMYFUNCTION("""COMPUTED_VALUE"""),48120)</f>
        <v>48120</v>
      </c>
      <c r="K1659" s="2">
        <f ca="1">IFERROR(__xludf.DUMMYFUNCTION("""COMPUTED_VALUE"""),42020)</f>
        <v>42020</v>
      </c>
      <c r="L1659" s="2" t="str">
        <f ca="1">IFERROR(__xludf.DUMMYFUNCTION("""COMPUTED_VALUE"""),"ca8f77d8")</f>
        <v>ca8f77d8</v>
      </c>
      <c r="M1659" s="2" t="str">
        <f ca="1">IFERROR(__xludf.DUMMYFUNCTION("""COMPUTED_VALUE"""),"AJUSTE COSECHA 2026")</f>
        <v>AJUSTE COSECHA 2026</v>
      </c>
      <c r="N1659" s="2"/>
      <c r="O1659" s="2" t="str">
        <f ca="1">IFERROR(__xludf.DUMMYFUNCTION("""COMPUTED_VALUE"""),"Descubada")</f>
        <v>Descubada</v>
      </c>
      <c r="P1659" s="2" t="str">
        <f ca="1">IFERROR(__xludf.DUMMYFUNCTION("""COMPUTED_VALUE"""),"Terminado")</f>
        <v>Terminado</v>
      </c>
      <c r="Q1659" s="2" t="b">
        <f ca="1">IFERROR(__xludf.DUMMYFUNCTION("""COMPUTED_VALUE"""),TRUE)</f>
        <v>1</v>
      </c>
      <c r="R1659" s="2" t="str">
        <f ca="1">IFERROR(__xludf.DUMMYFUNCTION("""COMPUTED_VALUE"""),"Terminado")</f>
        <v>Terminado</v>
      </c>
      <c r="S1659" s="2"/>
      <c r="T1659" s="2"/>
      <c r="U1659" s="2" t="str">
        <f ca="1">IFERROR(__xludf.DUMMYFUNCTION("""COMPUTED_VALUE"""),"1")</f>
        <v>1</v>
      </c>
    </row>
    <row r="1660" spans="1:21" x14ac:dyDescent="0.25">
      <c r="A1660" s="2" t="str">
        <f ca="1">IFERROR(__xludf.DUMMYFUNCTION("""COMPUTED_VALUE"""),"ff95d1a6")</f>
        <v>ff95d1a6</v>
      </c>
      <c r="B1660" s="5">
        <f ca="1">IFERROR(__xludf.DUMMYFUNCTION("""COMPUTED_VALUE"""),46139.7958101851)</f>
        <v>46139.795810185104</v>
      </c>
      <c r="C1660" s="2" t="str">
        <f ca="1">IFERROR(__xludf.DUMMYFUNCTION("""COMPUTED_VALUE"""),"3a62302c")</f>
        <v>3a62302c</v>
      </c>
      <c r="D1660" s="2">
        <f ca="1">IFERROR(__xludf.DUMMYFUNCTION("""COMPUTED_VALUE"""),91)</f>
        <v>91</v>
      </c>
      <c r="E1660" s="2" t="str">
        <f ca="1">IFERROR(__xludf.DUMMYFUNCTION("""COMPUTED_VALUE"""),"Criolla Recarga PC")</f>
        <v>Criolla Recarga PC</v>
      </c>
      <c r="F1660" s="2">
        <f ca="1">IFERROR(__xludf.DUMMYFUNCTION("""COMPUTED_VALUE"""),32400)</f>
        <v>32400</v>
      </c>
      <c r="G1660" s="2">
        <f ca="1">IFERROR(__xludf.DUMMYFUNCTION("""COMPUTED_VALUE"""),500)</f>
        <v>500</v>
      </c>
      <c r="H1660" s="2" t="str">
        <f ca="1">IFERROR(__xludf.DUMMYFUNCTION("""COMPUTED_VALUE"""),"ca8f77d8")</f>
        <v>ca8f77d8</v>
      </c>
      <c r="I1660" s="2" t="str">
        <f ca="1">IFERROR(__xludf.DUMMYFUNCTION("""COMPUTED_VALUE"""),"AJUSTE COSECHA 2026")</f>
        <v>AJUSTE COSECHA 2026</v>
      </c>
      <c r="J1660" s="2">
        <f ca="1">IFERROR(__xludf.DUMMYFUNCTION("""COMPUTED_VALUE"""),42020)</f>
        <v>42020</v>
      </c>
      <c r="K1660" s="2">
        <f ca="1">IFERROR(__xludf.DUMMYFUNCTION("""COMPUTED_VALUE"""),74420)</f>
        <v>74420</v>
      </c>
      <c r="L1660" s="2" t="str">
        <f ca="1">IFERROR(__xludf.DUMMYFUNCTION("""COMPUTED_VALUE"""),"9e6e5db5")</f>
        <v>9e6e5db5</v>
      </c>
      <c r="M1660" s="2" t="str">
        <f ca="1">IFERROR(__xludf.DUMMYFUNCTION("""COMPUTED_VALUE"""),"AJUSTE COSECHA 2026")</f>
        <v>AJUSTE COSECHA 2026</v>
      </c>
      <c r="N1660" s="2"/>
      <c r="O1660" s="2" t="str">
        <f ca="1">IFERROR(__xludf.DUMMYFUNCTION("""COMPUTED_VALUE"""),"Recarga Fermentando")</f>
        <v>Recarga Fermentando</v>
      </c>
      <c r="P1660" s="2" t="str">
        <f ca="1">IFERROR(__xludf.DUMMYFUNCTION("""COMPUTED_VALUE"""),"Terminado")</f>
        <v>Terminado</v>
      </c>
      <c r="Q1660" s="2" t="b">
        <f ca="1">IFERROR(__xludf.DUMMYFUNCTION("""COMPUTED_VALUE"""),TRUE)</f>
        <v>1</v>
      </c>
      <c r="R1660" s="2" t="str">
        <f ca="1">IFERROR(__xludf.DUMMYFUNCTION("""COMPUTED_VALUE"""),"Terminado")</f>
        <v>Terminado</v>
      </c>
      <c r="S1660" s="2"/>
      <c r="T1660" s="2"/>
      <c r="U1660" s="2" t="str">
        <f ca="1">IFERROR(__xludf.DUMMYFUNCTION("""COMPUTED_VALUE"""),"1")</f>
        <v>1</v>
      </c>
    </row>
    <row r="1661" spans="1:21" x14ac:dyDescent="0.25">
      <c r="A1661" s="2" t="str">
        <f ca="1">IFERROR(__xludf.DUMMYFUNCTION("""COMPUTED_VALUE"""),"3ededd52")</f>
        <v>3ededd52</v>
      </c>
      <c r="B1661" s="5">
        <f ca="1">IFERROR(__xludf.DUMMYFUNCTION("""COMPUTED_VALUE"""),46139.7963541666)</f>
        <v>46139.796354166603</v>
      </c>
      <c r="C1661" s="2" t="str">
        <f ca="1">IFERROR(__xludf.DUMMYFUNCTION("""COMPUTED_VALUE"""),"bc1c84db")</f>
        <v>bc1c84db</v>
      </c>
      <c r="D1661" s="2">
        <f ca="1">IFERROR(__xludf.DUMMYFUNCTION("""COMPUTED_VALUE"""),102)</f>
        <v>102</v>
      </c>
      <c r="E1661" s="2" t="str">
        <f ca="1">IFERROR(__xludf.DUMMYFUNCTION("""COMPUTED_VALUE"""),"Syrah Anc s/Asp 2")</f>
        <v>Syrah Anc s/Asp 2</v>
      </c>
      <c r="F1661" s="2">
        <f ca="1">IFERROR(__xludf.DUMMYFUNCTION("""COMPUTED_VALUE"""),4000)</f>
        <v>4000</v>
      </c>
      <c r="G1661" s="2">
        <f ca="1">IFERROR(__xludf.DUMMYFUNCTION("""COMPUTED_VALUE"""),500)</f>
        <v>500</v>
      </c>
      <c r="H1661" s="2" t="str">
        <f ca="1">IFERROR(__xludf.DUMMYFUNCTION("""COMPUTED_VALUE"""),"9e6e5db5")</f>
        <v>9e6e5db5</v>
      </c>
      <c r="I1661" s="2" t="str">
        <f ca="1">IFERROR(__xludf.DUMMYFUNCTION("""COMPUTED_VALUE"""),"AJUSTE COSECHA 2026")</f>
        <v>AJUSTE COSECHA 2026</v>
      </c>
      <c r="J1661" s="2">
        <f ca="1">IFERROR(__xludf.DUMMYFUNCTION("""COMPUTED_VALUE"""),74420)</f>
        <v>74420</v>
      </c>
      <c r="K1661" s="2">
        <f ca="1">IFERROR(__xludf.DUMMYFUNCTION("""COMPUTED_VALUE"""),78420)</f>
        <v>78420</v>
      </c>
      <c r="L1661" s="2" t="str">
        <f ca="1">IFERROR(__xludf.DUMMYFUNCTION("""COMPUTED_VALUE"""),"a3b7415d")</f>
        <v>a3b7415d</v>
      </c>
      <c r="M1661" s="2" t="str">
        <f ca="1">IFERROR(__xludf.DUMMYFUNCTION("""COMPUTED_VALUE"""),"AJUSTE COSECHA 2026")</f>
        <v>AJUSTE COSECHA 2026</v>
      </c>
      <c r="N1661" s="2"/>
      <c r="O1661" s="2" t="str">
        <f ca="1">IFERROR(__xludf.DUMMYFUNCTION("""COMPUTED_VALUE"""),"Descubada")</f>
        <v>Descubada</v>
      </c>
      <c r="P1661" s="2" t="str">
        <f ca="1">IFERROR(__xludf.DUMMYFUNCTION("""COMPUTED_VALUE"""),"Terminado")</f>
        <v>Terminado</v>
      </c>
      <c r="Q1661" s="2" t="b">
        <f ca="1">IFERROR(__xludf.DUMMYFUNCTION("""COMPUTED_VALUE"""),TRUE)</f>
        <v>1</v>
      </c>
      <c r="R1661" s="2" t="str">
        <f ca="1">IFERROR(__xludf.DUMMYFUNCTION("""COMPUTED_VALUE"""),"Terminado")</f>
        <v>Terminado</v>
      </c>
      <c r="S1661" s="2"/>
      <c r="T1661" s="2"/>
      <c r="U1661" s="2" t="str">
        <f ca="1">IFERROR(__xludf.DUMMYFUNCTION("""COMPUTED_VALUE"""),"1")</f>
        <v>1</v>
      </c>
    </row>
    <row r="1662" spans="1:21" x14ac:dyDescent="0.25">
      <c r="A1662" s="2" t="str">
        <f ca="1">IFERROR(__xludf.DUMMYFUNCTION("""COMPUTED_VALUE"""),"c4b3d187")</f>
        <v>c4b3d187</v>
      </c>
      <c r="B1662" s="5">
        <f ca="1">IFERROR(__xludf.DUMMYFUNCTION("""COMPUTED_VALUE"""),46139.7972337962)</f>
        <v>46139.797233796198</v>
      </c>
      <c r="C1662" s="2" t="str">
        <f ca="1">IFERROR(__xludf.DUMMYFUNCTION("""COMPUTED_VALUE"""),"531869ce")</f>
        <v>531869ce</v>
      </c>
      <c r="D1662" s="2">
        <f ca="1">IFERROR(__xludf.DUMMYFUNCTION("""COMPUTED_VALUE"""),14)</f>
        <v>14</v>
      </c>
      <c r="E1662" s="2" t="str">
        <f ca="1">IFERROR(__xludf.DUMMYFUNCTION("""COMPUTED_VALUE"""),"Criolla con Claro filtro")</f>
        <v>Criolla con Claro filtro</v>
      </c>
      <c r="F1662" s="2">
        <f ca="1">IFERROR(__xludf.DUMMYFUNCTION("""COMPUTED_VALUE"""),-8000)</f>
        <v>-8000</v>
      </c>
      <c r="G1662" s="2">
        <f ca="1">IFERROR(__xludf.DUMMYFUNCTION("""COMPUTED_VALUE"""),500)</f>
        <v>500</v>
      </c>
      <c r="H1662" s="2" t="str">
        <f ca="1">IFERROR(__xludf.DUMMYFUNCTION("""COMPUTED_VALUE"""),"a3b7415d")</f>
        <v>a3b7415d</v>
      </c>
      <c r="I1662" s="2" t="str">
        <f ca="1">IFERROR(__xludf.DUMMYFUNCTION("""COMPUTED_VALUE"""),"AJUSTE COSECHA 2026")</f>
        <v>AJUSTE COSECHA 2026</v>
      </c>
      <c r="J1662" s="2">
        <f ca="1">IFERROR(__xludf.DUMMYFUNCTION("""COMPUTED_VALUE"""),78420)</f>
        <v>78420</v>
      </c>
      <c r="K1662" s="2">
        <f ca="1">IFERROR(__xludf.DUMMYFUNCTION("""COMPUTED_VALUE"""),70420)</f>
        <v>70420</v>
      </c>
      <c r="L1662" s="2" t="str">
        <f ca="1">IFERROR(__xludf.DUMMYFUNCTION("""COMPUTED_VALUE"""),"5a26c0b1")</f>
        <v>5a26c0b1</v>
      </c>
      <c r="M1662" s="2" t="str">
        <f ca="1">IFERROR(__xludf.DUMMYFUNCTION("""COMPUTED_VALUE"""),"AJUSTE COSECHA 2026")</f>
        <v>AJUSTE COSECHA 2026</v>
      </c>
      <c r="N1662" s="2"/>
      <c r="O1662" s="2" t="str">
        <f ca="1">IFERROR(__xludf.DUMMYFUNCTION("""COMPUTED_VALUE"""),"Fermentando")</f>
        <v>Fermentando</v>
      </c>
      <c r="P1662" s="2" t="str">
        <f ca="1">IFERROR(__xludf.DUMMYFUNCTION("""COMPUTED_VALUE"""),"Terminado")</f>
        <v>Terminado</v>
      </c>
      <c r="Q1662" s="2" t="b">
        <f ca="1">IFERROR(__xludf.DUMMYFUNCTION("""COMPUTED_VALUE"""),TRUE)</f>
        <v>1</v>
      </c>
      <c r="R1662" s="2" t="str">
        <f ca="1">IFERROR(__xludf.DUMMYFUNCTION("""COMPUTED_VALUE"""),"Terminado")</f>
        <v>Terminado</v>
      </c>
      <c r="S1662" s="2"/>
      <c r="T1662" s="2"/>
      <c r="U1662" s="2" t="str">
        <f ca="1">IFERROR(__xludf.DUMMYFUNCTION("""COMPUTED_VALUE"""),"1")</f>
        <v>1</v>
      </c>
    </row>
    <row r="1663" spans="1:21" x14ac:dyDescent="0.25">
      <c r="A1663" s="2" t="str">
        <f ca="1">IFERROR(__xludf.DUMMYFUNCTION("""COMPUTED_VALUE"""),"3a4ab8db")</f>
        <v>3a4ab8db</v>
      </c>
      <c r="B1663" s="5">
        <f ca="1">IFERROR(__xludf.DUMMYFUNCTION("""COMPUTED_VALUE"""),46139.7979513888)</f>
        <v>46139.797951388799</v>
      </c>
      <c r="C1663" s="2" t="str">
        <f ca="1">IFERROR(__xludf.DUMMYFUNCTION("""COMPUTED_VALUE"""),"383a8d69")</f>
        <v>383a8d69</v>
      </c>
      <c r="D1663" s="2">
        <f ca="1">IFERROR(__xludf.DUMMYFUNCTION("""COMPUTED_VALUE"""),51)</f>
        <v>51</v>
      </c>
      <c r="E1663" s="2" t="str">
        <f ca="1">IFERROR(__xludf.DUMMYFUNCTION("""COMPUTED_VALUE"""),"Chardonnay")</f>
        <v>Chardonnay</v>
      </c>
      <c r="F1663" s="2">
        <f ca="1">IFERROR(__xludf.DUMMYFUNCTION("""COMPUTED_VALUE"""),3200)</f>
        <v>3200</v>
      </c>
      <c r="G1663" s="2">
        <f ca="1">IFERROR(__xludf.DUMMYFUNCTION("""COMPUTED_VALUE"""),500)</f>
        <v>500</v>
      </c>
      <c r="H1663" s="2" t="str">
        <f ca="1">IFERROR(__xludf.DUMMYFUNCTION("""COMPUTED_VALUE"""),"5a26c0b1")</f>
        <v>5a26c0b1</v>
      </c>
      <c r="I1663" s="2" t="str">
        <f ca="1">IFERROR(__xludf.DUMMYFUNCTION("""COMPUTED_VALUE"""),"AJUSTE COSECHA 2026")</f>
        <v>AJUSTE COSECHA 2026</v>
      </c>
      <c r="J1663" s="2">
        <f ca="1">IFERROR(__xludf.DUMMYFUNCTION("""COMPUTED_VALUE"""),70420)</f>
        <v>70420</v>
      </c>
      <c r="K1663" s="2">
        <f ca="1">IFERROR(__xludf.DUMMYFUNCTION("""COMPUTED_VALUE"""),73620)</f>
        <v>73620</v>
      </c>
      <c r="L1663" s="2" t="str">
        <f ca="1">IFERROR(__xludf.DUMMYFUNCTION("""COMPUTED_VALUE"""),"74c4ef7c")</f>
        <v>74c4ef7c</v>
      </c>
      <c r="M1663" s="2" t="str">
        <f ca="1">IFERROR(__xludf.DUMMYFUNCTION("""COMPUTED_VALUE"""),"AJUSTE COSECHA 2026")</f>
        <v>AJUSTE COSECHA 2026</v>
      </c>
      <c r="N1663" s="2"/>
      <c r="O1663" s="2" t="str">
        <f ca="1">IFERROR(__xludf.DUMMYFUNCTION("""COMPUTED_VALUE"""),"Descubada")</f>
        <v>Descubada</v>
      </c>
      <c r="P1663" s="2" t="str">
        <f ca="1">IFERROR(__xludf.DUMMYFUNCTION("""COMPUTED_VALUE"""),"Terminado")</f>
        <v>Terminado</v>
      </c>
      <c r="Q1663" s="2" t="b">
        <f ca="1">IFERROR(__xludf.DUMMYFUNCTION("""COMPUTED_VALUE"""),TRUE)</f>
        <v>1</v>
      </c>
      <c r="R1663" s="2" t="str">
        <f ca="1">IFERROR(__xludf.DUMMYFUNCTION("""COMPUTED_VALUE"""),"Terminado")</f>
        <v>Terminado</v>
      </c>
      <c r="S1663" s="2"/>
      <c r="T1663" s="2"/>
      <c r="U1663" s="2" t="str">
        <f ca="1">IFERROR(__xludf.DUMMYFUNCTION("""COMPUTED_VALUE"""),"1")</f>
        <v>1</v>
      </c>
    </row>
    <row r="1664" spans="1:21" x14ac:dyDescent="0.25">
      <c r="A1664" s="2" t="str">
        <f ca="1">IFERROR(__xludf.DUMMYFUNCTION("""COMPUTED_VALUE"""),"965f40bb")</f>
        <v>965f40bb</v>
      </c>
      <c r="B1664" s="5">
        <f ca="1">IFERROR(__xludf.DUMMYFUNCTION("""COMPUTED_VALUE"""),46139.7982291666)</f>
        <v>46139.798229166598</v>
      </c>
      <c r="C1664" s="2" t="str">
        <f ca="1">IFERROR(__xludf.DUMMYFUNCTION("""COMPUTED_VALUE"""),"abee7119")</f>
        <v>abee7119</v>
      </c>
      <c r="D1664" s="2">
        <f ca="1">IFERROR(__xludf.DUMMYFUNCTION("""COMPUTED_VALUE"""),27)</f>
        <v>27</v>
      </c>
      <c r="E1664" s="2" t="str">
        <f ca="1">IFERROR(__xludf.DUMMYFUNCTION("""COMPUTED_VALUE"""),"Tinto Varietal Garbin")</f>
        <v>Tinto Varietal Garbin</v>
      </c>
      <c r="F1664" s="2">
        <f ca="1">IFERROR(__xludf.DUMMYFUNCTION("""COMPUTED_VALUE"""),2500)</f>
        <v>2500</v>
      </c>
      <c r="G1664" s="2">
        <f ca="1">IFERROR(__xludf.DUMMYFUNCTION("""COMPUTED_VALUE"""),51)</f>
        <v>51</v>
      </c>
      <c r="H1664" s="2"/>
      <c r="I1664" s="2"/>
      <c r="J1664" s="2">
        <f ca="1">IFERROR(__xludf.DUMMYFUNCTION("""COMPUTED_VALUE"""),0)</f>
        <v>0</v>
      </c>
      <c r="K1664" s="2">
        <f ca="1">IFERROR(__xludf.DUMMYFUNCTION("""COMPUTED_VALUE"""),2500)</f>
        <v>2500</v>
      </c>
      <c r="L1664" s="2" t="str">
        <f ca="1">IFERROR(__xludf.DUMMYFUNCTION("""COMPUTED_VALUE"""),"5fdc27be")</f>
        <v>5fdc27be</v>
      </c>
      <c r="M1664" s="2" t="str">
        <f ca="1">IFERROR(__xludf.DUMMYFUNCTION("""COMPUTED_VALUE"""),"Tinto Varietal Garbin")</f>
        <v>Tinto Varietal Garbin</v>
      </c>
      <c r="N1664" s="2"/>
      <c r="O1664" s="2" t="str">
        <f ca="1">IFERROR(__xludf.DUMMYFUNCTION("""COMPUTED_VALUE"""),"Terminado")</f>
        <v>Terminado</v>
      </c>
      <c r="P1664" s="2"/>
      <c r="Q1664" s="2" t="b">
        <f ca="1">IFERROR(__xludf.DUMMYFUNCTION("""COMPUTED_VALUE"""),FALSE)</f>
        <v>0</v>
      </c>
      <c r="R1664" s="2" t="str">
        <f ca="1">IFERROR(__xludf.DUMMYFUNCTION("""COMPUTED_VALUE"""),"Terminado")</f>
        <v>Terminado</v>
      </c>
      <c r="S1664" s="2"/>
      <c r="T1664" s="2"/>
      <c r="U1664" s="2" t="str">
        <f ca="1">IFERROR(__xludf.DUMMYFUNCTION("""COMPUTED_VALUE"""),"1")</f>
        <v>1</v>
      </c>
    </row>
    <row r="1665" spans="1:21" x14ac:dyDescent="0.25">
      <c r="A1665" s="2" t="str">
        <f ca="1">IFERROR(__xludf.DUMMYFUNCTION("""COMPUTED_VALUE"""),"477b6528")</f>
        <v>477b6528</v>
      </c>
      <c r="B1665" s="5">
        <f ca="1">IFERROR(__xludf.DUMMYFUNCTION("""COMPUTED_VALUE"""),46139.7985185185)</f>
        <v>46139.798518518503</v>
      </c>
      <c r="C1665" s="2" t="str">
        <f ca="1">IFERROR(__xludf.DUMMYFUNCTION("""COMPUTED_VALUE"""),"5fdc27be")</f>
        <v>5fdc27be</v>
      </c>
      <c r="D1665" s="2">
        <f ca="1">IFERROR(__xludf.DUMMYFUNCTION("""COMPUTED_VALUE"""),51)</f>
        <v>51</v>
      </c>
      <c r="E1665" s="2" t="str">
        <f ca="1">IFERROR(__xludf.DUMMYFUNCTION("""COMPUTED_VALUE"""),"Tinto Varietal Garbin")</f>
        <v>Tinto Varietal Garbin</v>
      </c>
      <c r="F1665" s="2">
        <f ca="1">IFERROR(__xludf.DUMMYFUNCTION("""COMPUTED_VALUE"""),-1400)</f>
        <v>-1400</v>
      </c>
      <c r="G1665" s="2">
        <f ca="1">IFERROR(__xludf.DUMMYFUNCTION("""COMPUTED_VALUE"""),500)</f>
        <v>500</v>
      </c>
      <c r="H1665" s="2" t="str">
        <f ca="1">IFERROR(__xludf.DUMMYFUNCTION("""COMPUTED_VALUE"""),"74c4ef7c")</f>
        <v>74c4ef7c</v>
      </c>
      <c r="I1665" s="2" t="str">
        <f ca="1">IFERROR(__xludf.DUMMYFUNCTION("""COMPUTED_VALUE"""),"AJUSTE COSECHA 2026")</f>
        <v>AJUSTE COSECHA 2026</v>
      </c>
      <c r="J1665" s="2">
        <f ca="1">IFERROR(__xludf.DUMMYFUNCTION("""COMPUTED_VALUE"""),73620)</f>
        <v>73620</v>
      </c>
      <c r="K1665" s="2">
        <f ca="1">IFERROR(__xludf.DUMMYFUNCTION("""COMPUTED_VALUE"""),72220)</f>
        <v>72220</v>
      </c>
      <c r="L1665" s="2" t="str">
        <f ca="1">IFERROR(__xludf.DUMMYFUNCTION("""COMPUTED_VALUE"""),"a3c86e02")</f>
        <v>a3c86e02</v>
      </c>
      <c r="M1665" s="2" t="str">
        <f ca="1">IFERROR(__xludf.DUMMYFUNCTION("""COMPUTED_VALUE"""),"AJUSTE COSECHA 2026")</f>
        <v>AJUSTE COSECHA 2026</v>
      </c>
      <c r="N1665" s="2"/>
      <c r="O1665" s="2" t="str">
        <f ca="1">IFERROR(__xludf.DUMMYFUNCTION("""COMPUTED_VALUE"""),"Terminado")</f>
        <v>Terminado</v>
      </c>
      <c r="P1665" s="2" t="str">
        <f ca="1">IFERROR(__xludf.DUMMYFUNCTION("""COMPUTED_VALUE"""),"Terminado")</f>
        <v>Terminado</v>
      </c>
      <c r="Q1665" s="2" t="b">
        <f ca="1">IFERROR(__xludf.DUMMYFUNCTION("""COMPUTED_VALUE"""),TRUE)</f>
        <v>1</v>
      </c>
      <c r="R1665" s="2" t="str">
        <f ca="1">IFERROR(__xludf.DUMMYFUNCTION("""COMPUTED_VALUE"""),"Terminado")</f>
        <v>Terminado</v>
      </c>
      <c r="S1665" s="2"/>
      <c r="T1665" s="2"/>
      <c r="U1665" s="2" t="str">
        <f ca="1">IFERROR(__xludf.DUMMYFUNCTION("""COMPUTED_VALUE"""),"1")</f>
        <v>1</v>
      </c>
    </row>
    <row r="1666" spans="1:21" x14ac:dyDescent="0.25">
      <c r="A1666" s="2" t="str">
        <f ca="1">IFERROR(__xludf.DUMMYFUNCTION("""COMPUTED_VALUE"""),"666e3de7")</f>
        <v>666e3de7</v>
      </c>
      <c r="B1666" s="5">
        <f ca="1">IFERROR(__xludf.DUMMYFUNCTION("""COMPUTED_VALUE"""),46139.8004050925)</f>
        <v>46139.800405092501</v>
      </c>
      <c r="C1666" s="2" t="str">
        <f ca="1">IFERROR(__xludf.DUMMYFUNCTION("""COMPUTED_VALUE"""),"9bdb98e8")</f>
        <v>9bdb98e8</v>
      </c>
      <c r="D1666" s="2">
        <f ca="1">IFERROR(__xludf.DUMMYFUNCTION("""COMPUTED_VALUE"""),84)</f>
        <v>84</v>
      </c>
      <c r="E1666" s="2" t="str">
        <f ca="1">IFERROR(__xludf.DUMMYFUNCTION("""COMPUTED_VALUE"""),"Bonarda")</f>
        <v>Bonarda</v>
      </c>
      <c r="F1666" s="2">
        <f ca="1">IFERROR(__xludf.DUMMYFUNCTION("""COMPUTED_VALUE"""),-9700)</f>
        <v>-9700</v>
      </c>
      <c r="G1666" s="2">
        <f ca="1">IFERROR(__xludf.DUMMYFUNCTION("""COMPUTED_VALUE"""),500)</f>
        <v>500</v>
      </c>
      <c r="H1666" s="2" t="str">
        <f ca="1">IFERROR(__xludf.DUMMYFUNCTION("""COMPUTED_VALUE"""),"a3c86e02")</f>
        <v>a3c86e02</v>
      </c>
      <c r="I1666" s="2" t="str">
        <f ca="1">IFERROR(__xludf.DUMMYFUNCTION("""COMPUTED_VALUE"""),"AJUSTE COSECHA 2026")</f>
        <v>AJUSTE COSECHA 2026</v>
      </c>
      <c r="J1666" s="2">
        <f ca="1">IFERROR(__xludf.DUMMYFUNCTION("""COMPUTED_VALUE"""),72220)</f>
        <v>72220</v>
      </c>
      <c r="K1666" s="2">
        <f ca="1">IFERROR(__xludf.DUMMYFUNCTION("""COMPUTED_VALUE"""),62520)</f>
        <v>62520</v>
      </c>
      <c r="L1666" s="2" t="str">
        <f ca="1">IFERROR(__xludf.DUMMYFUNCTION("""COMPUTED_VALUE"""),"a2d639ed")</f>
        <v>a2d639ed</v>
      </c>
      <c r="M1666" s="2" t="str">
        <f ca="1">IFERROR(__xludf.DUMMYFUNCTION("""COMPUTED_VALUE"""),"AJUSTE COSECHA 2026")</f>
        <v>AJUSTE COSECHA 2026</v>
      </c>
      <c r="N1666" s="2"/>
      <c r="O1666" s="2" t="str">
        <f ca="1">IFERROR(__xludf.DUMMYFUNCTION("""COMPUTED_VALUE"""),"Fermentando")</f>
        <v>Fermentando</v>
      </c>
      <c r="P1666" s="2" t="str">
        <f ca="1">IFERROR(__xludf.DUMMYFUNCTION("""COMPUTED_VALUE"""),"Terminado")</f>
        <v>Terminado</v>
      </c>
      <c r="Q1666" s="2" t="b">
        <f ca="1">IFERROR(__xludf.DUMMYFUNCTION("""COMPUTED_VALUE"""),TRUE)</f>
        <v>1</v>
      </c>
      <c r="R1666" s="2" t="str">
        <f ca="1">IFERROR(__xludf.DUMMYFUNCTION("""COMPUTED_VALUE"""),"Terminado")</f>
        <v>Terminado</v>
      </c>
      <c r="S1666" s="2"/>
      <c r="T1666" s="2"/>
      <c r="U1666" s="2" t="str">
        <f ca="1">IFERROR(__xludf.DUMMYFUNCTION("""COMPUTED_VALUE"""),"1")</f>
        <v>1</v>
      </c>
    </row>
    <row r="1667" spans="1:21" x14ac:dyDescent="0.25">
      <c r="A1667" s="2" t="str">
        <f ca="1">IFERROR(__xludf.DUMMYFUNCTION("""COMPUTED_VALUE"""),"9fc9bb27")</f>
        <v>9fc9bb27</v>
      </c>
      <c r="B1667" s="5">
        <f ca="1">IFERROR(__xludf.DUMMYFUNCTION("""COMPUTED_VALUE"""),46139.8016319444)</f>
        <v>46139.8016319444</v>
      </c>
      <c r="C1667" s="2" t="str">
        <f ca="1">IFERROR(__xludf.DUMMYFUNCTION("""COMPUTED_VALUE"""),"3c9ad7dc")</f>
        <v>3c9ad7dc</v>
      </c>
      <c r="D1667" s="2">
        <f ca="1">IFERROR(__xludf.DUMMYFUNCTION("""COMPUTED_VALUE"""),90)</f>
        <v>90</v>
      </c>
      <c r="E1667" s="2" t="str">
        <f ca="1">IFERROR(__xludf.DUMMYFUNCTION("""COMPUTED_VALUE"""),"Bonarda")</f>
        <v>Bonarda</v>
      </c>
      <c r="F1667" s="2">
        <f ca="1">IFERROR(__xludf.DUMMYFUNCTION("""COMPUTED_VALUE"""),-20000)</f>
        <v>-20000</v>
      </c>
      <c r="G1667" s="2">
        <f ca="1">IFERROR(__xludf.DUMMYFUNCTION("""COMPUTED_VALUE"""),500)</f>
        <v>500</v>
      </c>
      <c r="H1667" s="2" t="str">
        <f ca="1">IFERROR(__xludf.DUMMYFUNCTION("""COMPUTED_VALUE"""),"a2d639ed")</f>
        <v>a2d639ed</v>
      </c>
      <c r="I1667" s="2" t="str">
        <f ca="1">IFERROR(__xludf.DUMMYFUNCTION("""COMPUTED_VALUE"""),"AJUSTE COSECHA 2026")</f>
        <v>AJUSTE COSECHA 2026</v>
      </c>
      <c r="J1667" s="2">
        <f ca="1">IFERROR(__xludf.DUMMYFUNCTION("""COMPUTED_VALUE"""),62520)</f>
        <v>62520</v>
      </c>
      <c r="K1667" s="2">
        <f ca="1">IFERROR(__xludf.DUMMYFUNCTION("""COMPUTED_VALUE"""),42520)</f>
        <v>42520</v>
      </c>
      <c r="L1667" s="2" t="str">
        <f ca="1">IFERROR(__xludf.DUMMYFUNCTION("""COMPUTED_VALUE"""),"d4bcb1c5")</f>
        <v>d4bcb1c5</v>
      </c>
      <c r="M1667" s="2" t="str">
        <f ca="1">IFERROR(__xludf.DUMMYFUNCTION("""COMPUTED_VALUE"""),"AJUSTE COSECHA 2026")</f>
        <v>AJUSTE COSECHA 2026</v>
      </c>
      <c r="N1667" s="2"/>
      <c r="O1667" s="2" t="str">
        <f ca="1">IFERROR(__xludf.DUMMYFUNCTION("""COMPUTED_VALUE"""),"Fermentando")</f>
        <v>Fermentando</v>
      </c>
      <c r="P1667" s="2" t="str">
        <f ca="1">IFERROR(__xludf.DUMMYFUNCTION("""COMPUTED_VALUE"""),"Terminado")</f>
        <v>Terminado</v>
      </c>
      <c r="Q1667" s="2" t="b">
        <f ca="1">IFERROR(__xludf.DUMMYFUNCTION("""COMPUTED_VALUE"""),TRUE)</f>
        <v>1</v>
      </c>
      <c r="R1667" s="2" t="str">
        <f ca="1">IFERROR(__xludf.DUMMYFUNCTION("""COMPUTED_VALUE"""),"Terminado")</f>
        <v>Terminado</v>
      </c>
      <c r="S1667" s="2"/>
      <c r="T1667" s="2"/>
      <c r="U1667" s="2" t="str">
        <f ca="1">IFERROR(__xludf.DUMMYFUNCTION("""COMPUTED_VALUE"""),"1")</f>
        <v>1</v>
      </c>
    </row>
    <row r="1668" spans="1:21" x14ac:dyDescent="0.25">
      <c r="A1668" s="2" t="str">
        <f ca="1">IFERROR(__xludf.DUMMYFUNCTION("""COMPUTED_VALUE"""),"2491cf1f")</f>
        <v>2491cf1f</v>
      </c>
      <c r="B1668" s="5">
        <f ca="1">IFERROR(__xludf.DUMMYFUNCTION("""COMPUTED_VALUE"""),46140.7205324074)</f>
        <v>46140.720532407402</v>
      </c>
      <c r="C1668" s="2" t="str">
        <f ca="1">IFERROR(__xludf.DUMMYFUNCTION("""COMPUTED_VALUE"""),"3a62302c")</f>
        <v>3a62302c</v>
      </c>
      <c r="D1668" s="2">
        <f ca="1">IFERROR(__xludf.DUMMYFUNCTION("""COMPUTED_VALUE"""),91)</f>
        <v>91</v>
      </c>
      <c r="E1668" s="2" t="str">
        <f ca="1">IFERROR(__xludf.DUMMYFUNCTION("""COMPUTED_VALUE"""),"Criolla Recarga PC")</f>
        <v>Criolla Recarga PC</v>
      </c>
      <c r="F1668" s="2">
        <f ca="1">IFERROR(__xludf.DUMMYFUNCTION("""COMPUTED_VALUE"""),51000)</f>
        <v>51000</v>
      </c>
      <c r="G1668" s="2">
        <f ca="1">IFERROR(__xludf.DUMMYFUNCTION("""COMPUTED_VALUE"""),96)</f>
        <v>96</v>
      </c>
      <c r="H1668" s="2"/>
      <c r="I1668" s="2"/>
      <c r="J1668" s="2">
        <f ca="1">IFERROR(__xludf.DUMMYFUNCTION("""COMPUTED_VALUE"""),0)</f>
        <v>0</v>
      </c>
      <c r="K1668" s="2">
        <f ca="1">IFERROR(__xludf.DUMMYFUNCTION("""COMPUTED_VALUE"""),51000)</f>
        <v>51000</v>
      </c>
      <c r="L1668" s="2" t="str">
        <f ca="1">IFERROR(__xludf.DUMMYFUNCTION("""COMPUTED_VALUE"""),"780b261a")</f>
        <v>780b261a</v>
      </c>
      <c r="M1668" s="2" t="str">
        <f ca="1">IFERROR(__xludf.DUMMYFUNCTION("""COMPUTED_VALUE"""),"Criolla Recarga")</f>
        <v>Criolla Recarga</v>
      </c>
      <c r="N1668" s="2"/>
      <c r="O1668" s="2" t="str">
        <f ca="1">IFERROR(__xludf.DUMMYFUNCTION("""COMPUTED_VALUE"""),"Recarga Fermentando")</f>
        <v>Recarga Fermentando</v>
      </c>
      <c r="P1668" s="2"/>
      <c r="Q1668" s="2" t="b">
        <f ca="1">IFERROR(__xludf.DUMMYFUNCTION("""COMPUTED_VALUE"""),FALSE)</f>
        <v>0</v>
      </c>
      <c r="R1668" s="2" t="str">
        <f ca="1">IFERROR(__xludf.DUMMYFUNCTION("""COMPUTED_VALUE"""),"Descubada")</f>
        <v>Descubada</v>
      </c>
      <c r="S1668" s="2"/>
      <c r="T1668" s="2"/>
      <c r="U1668" s="2"/>
    </row>
    <row r="1669" spans="1:21" x14ac:dyDescent="0.25">
      <c r="A1669" s="2" t="str">
        <f ca="1">IFERROR(__xludf.DUMMYFUNCTION("""COMPUTED_VALUE"""),"7a44ca49")</f>
        <v>7a44ca49</v>
      </c>
      <c r="B1669" s="5">
        <f ca="1">IFERROR(__xludf.DUMMYFUNCTION("""COMPUTED_VALUE"""),46140.7217476851)</f>
        <v>46140.7217476851</v>
      </c>
      <c r="C1669" s="2" t="str">
        <f ca="1">IFERROR(__xludf.DUMMYFUNCTION("""COMPUTED_VALUE"""),"e515b905")</f>
        <v>e515b905</v>
      </c>
      <c r="D1669" s="2">
        <f ca="1">IFERROR(__xludf.DUMMYFUNCTION("""COMPUTED_VALUE"""),127)</f>
        <v>127</v>
      </c>
      <c r="E1669" s="2" t="str">
        <f ca="1">IFERROR(__xludf.DUMMYFUNCTION("""COMPUTED_VALUE"""),"Criolla")</f>
        <v>Criolla</v>
      </c>
      <c r="F1669" s="2">
        <f ca="1">IFERROR(__xludf.DUMMYFUNCTION("""COMPUTED_VALUE"""),30000)</f>
        <v>30000</v>
      </c>
      <c r="G1669" s="2">
        <f ca="1">IFERROR(__xludf.DUMMYFUNCTION("""COMPUTED_VALUE"""),9)</f>
        <v>9</v>
      </c>
      <c r="H1669" s="2"/>
      <c r="I1669" s="2"/>
      <c r="J1669" s="2">
        <f ca="1">IFERROR(__xludf.DUMMYFUNCTION("""COMPUTED_VALUE"""),0)</f>
        <v>0</v>
      </c>
      <c r="K1669" s="2">
        <f ca="1">IFERROR(__xludf.DUMMYFUNCTION("""COMPUTED_VALUE"""),30000)</f>
        <v>30000</v>
      </c>
      <c r="L1669" s="2" t="str">
        <f ca="1">IFERROR(__xludf.DUMMYFUNCTION("""COMPUTED_VALUE"""),"26d61091")</f>
        <v>26d61091</v>
      </c>
      <c r="M1669" s="2" t="str">
        <f ca="1">IFERROR(__xludf.DUMMYFUNCTION("""COMPUTED_VALUE"""),"Criolla")</f>
        <v>Criolla</v>
      </c>
      <c r="N1669" s="2"/>
      <c r="O1669" s="2" t="str">
        <f ca="1">IFERROR(__xludf.DUMMYFUNCTION("""COMPUTED_VALUE"""),"Fermentando")</f>
        <v>Fermentando</v>
      </c>
      <c r="P1669" s="2"/>
      <c r="Q1669" s="2" t="b">
        <f ca="1">IFERROR(__xludf.DUMMYFUNCTION("""COMPUTED_VALUE"""),FALSE)</f>
        <v>0</v>
      </c>
      <c r="R1669" s="2" t="str">
        <f ca="1">IFERROR(__xludf.DUMMYFUNCTION("""COMPUTED_VALUE"""),"Descubada")</f>
        <v>Descubada</v>
      </c>
      <c r="S1669" s="2"/>
      <c r="T1669" s="2"/>
      <c r="U1669" s="2" t="str">
        <f ca="1">IFERROR(__xludf.DUMMYFUNCTION("""COMPUTED_VALUE"""),"1")</f>
        <v>1</v>
      </c>
    </row>
    <row r="1670" spans="1:21" x14ac:dyDescent="0.25">
      <c r="A1670" s="2" t="str">
        <f ca="1">IFERROR(__xludf.DUMMYFUNCTION("""COMPUTED_VALUE"""),"8c67a7d8")</f>
        <v>8c67a7d8</v>
      </c>
      <c r="B1670" s="5">
        <f ca="1">IFERROR(__xludf.DUMMYFUNCTION("""COMPUTED_VALUE"""),46140.722511574)</f>
        <v>46140.722511574</v>
      </c>
      <c r="C1670" s="2" t="str">
        <f ca="1">IFERROR(__xludf.DUMMYFUNCTION("""COMPUTED_VALUE"""),"0a6a2e5b")</f>
        <v>0a6a2e5b</v>
      </c>
      <c r="D1670" s="2">
        <f ca="1">IFERROR(__xludf.DUMMYFUNCTION("""COMPUTED_VALUE"""),126)</f>
        <v>126</v>
      </c>
      <c r="E1670" s="2" t="str">
        <f ca="1">IFERROR(__xludf.DUMMYFUNCTION("""COMPUTED_VALUE"""),"Criolla Filt")</f>
        <v>Criolla Filt</v>
      </c>
      <c r="F1670" s="2">
        <f ca="1">IFERROR(__xludf.DUMMYFUNCTION("""COMPUTED_VALUE"""),30000)</f>
        <v>30000</v>
      </c>
      <c r="G1670" s="2">
        <f ca="1">IFERROR(__xludf.DUMMYFUNCTION("""COMPUTED_VALUE"""),7)</f>
        <v>7</v>
      </c>
      <c r="H1670" s="2"/>
      <c r="I1670" s="2"/>
      <c r="J1670" s="2">
        <f ca="1">IFERROR(__xludf.DUMMYFUNCTION("""COMPUTED_VALUE"""),0)</f>
        <v>0</v>
      </c>
      <c r="K1670" s="2">
        <f ca="1">IFERROR(__xludf.DUMMYFUNCTION("""COMPUTED_VALUE"""),30000)</f>
        <v>30000</v>
      </c>
      <c r="L1670" s="2" t="str">
        <f ca="1">IFERROR(__xludf.DUMMYFUNCTION("""COMPUTED_VALUE"""),"32ecefdc")</f>
        <v>32ecefdc</v>
      </c>
      <c r="M1670" s="2" t="str">
        <f ca="1">IFERROR(__xludf.DUMMYFUNCTION("""COMPUTED_VALUE"""),"Criolla")</f>
        <v>Criolla</v>
      </c>
      <c r="N1670" s="2"/>
      <c r="O1670" s="2" t="str">
        <f ca="1">IFERROR(__xludf.DUMMYFUNCTION("""COMPUTED_VALUE"""),"Fermentando")</f>
        <v>Fermentando</v>
      </c>
      <c r="P1670" s="2"/>
      <c r="Q1670" s="2" t="b">
        <f ca="1">IFERROR(__xludf.DUMMYFUNCTION("""COMPUTED_VALUE"""),FALSE)</f>
        <v>0</v>
      </c>
      <c r="R1670" s="2" t="str">
        <f ca="1">IFERROR(__xludf.DUMMYFUNCTION("""COMPUTED_VALUE"""),"Descubada")</f>
        <v>Descubada</v>
      </c>
      <c r="S1670" s="2"/>
      <c r="T1670" s="2"/>
      <c r="U1670" s="2" t="str">
        <f ca="1">IFERROR(__xludf.DUMMYFUNCTION("""COMPUTED_VALUE"""),"1")</f>
        <v>1</v>
      </c>
    </row>
    <row r="1671" spans="1:21" x14ac:dyDescent="0.25">
      <c r="A1671" s="2" t="str">
        <f ca="1">IFERROR(__xludf.DUMMYFUNCTION("""COMPUTED_VALUE"""),"63f77f25")</f>
        <v>63f77f25</v>
      </c>
      <c r="B1671" s="5">
        <f ca="1">IFERROR(__xludf.DUMMYFUNCTION("""COMPUTED_VALUE"""),46140.7235648148)</f>
        <v>46140.723564814798</v>
      </c>
      <c r="C1671" s="2" t="str">
        <f ca="1">IFERROR(__xludf.DUMMYFUNCTION("""COMPUTED_VALUE"""),"5fdc27be")</f>
        <v>5fdc27be</v>
      </c>
      <c r="D1671" s="2">
        <f ca="1">IFERROR(__xludf.DUMMYFUNCTION("""COMPUTED_VALUE"""),51)</f>
        <v>51</v>
      </c>
      <c r="E1671" s="2" t="str">
        <f ca="1">IFERROR(__xludf.DUMMYFUNCTION("""COMPUTED_VALUE"""),"Tinto Varietal Garbin")</f>
        <v>Tinto Varietal Garbin</v>
      </c>
      <c r="F1671" s="2">
        <f ca="1">IFERROR(__xludf.DUMMYFUNCTION("""COMPUTED_VALUE"""),3900)</f>
        <v>3900</v>
      </c>
      <c r="G1671" s="2">
        <f ca="1">IFERROR(__xludf.DUMMYFUNCTION("""COMPUTED_VALUE"""),68)</f>
        <v>68</v>
      </c>
      <c r="H1671" s="2" t="str">
        <f ca="1">IFERROR(__xludf.DUMMYFUNCTION("""COMPUTED_VALUE"""),"c91f293f")</f>
        <v>c91f293f</v>
      </c>
      <c r="I1671" s="2" t="str">
        <f ca="1">IFERROR(__xludf.DUMMYFUNCTION("""COMPUTED_VALUE"""),"Tinto Varietal B")</f>
        <v>Tinto Varietal B</v>
      </c>
      <c r="J1671" s="2">
        <f ca="1">IFERROR(__xludf.DUMMYFUNCTION("""COMPUTED_VALUE"""),9000)</f>
        <v>9000</v>
      </c>
      <c r="K1671" s="2">
        <f ca="1">IFERROR(__xludf.DUMMYFUNCTION("""COMPUTED_VALUE"""),12900)</f>
        <v>12900</v>
      </c>
      <c r="L1671" s="2" t="str">
        <f ca="1">IFERROR(__xludf.DUMMYFUNCTION("""COMPUTED_VALUE"""),"162f9462")</f>
        <v>162f9462</v>
      </c>
      <c r="M1671" s="2" t="str">
        <f ca="1">IFERROR(__xludf.DUMMYFUNCTION("""COMPUTED_VALUE"""),"Tinto Varietal B")</f>
        <v>Tinto Varietal B</v>
      </c>
      <c r="N1671" s="2"/>
      <c r="O1671" s="2" t="str">
        <f ca="1">IFERROR(__xludf.DUMMYFUNCTION("""COMPUTED_VALUE"""),"Terminado")</f>
        <v>Terminado</v>
      </c>
      <c r="P1671" s="2" t="str">
        <f ca="1">IFERROR(__xludf.DUMMYFUNCTION("""COMPUTED_VALUE"""),"Terminado")</f>
        <v>Terminado</v>
      </c>
      <c r="Q1671" s="2" t="b">
        <f ca="1">IFERROR(__xludf.DUMMYFUNCTION("""COMPUTED_VALUE"""),TRUE)</f>
        <v>1</v>
      </c>
      <c r="R1671" s="2" t="str">
        <f ca="1">IFERROR(__xludf.DUMMYFUNCTION("""COMPUTED_VALUE"""),"Terminado")</f>
        <v>Terminado</v>
      </c>
      <c r="S1671" s="2"/>
      <c r="T1671" s="2"/>
      <c r="U1671" s="2" t="str">
        <f ca="1">IFERROR(__xludf.DUMMYFUNCTION("""COMPUTED_VALUE"""),"1")</f>
        <v>1</v>
      </c>
    </row>
    <row r="1672" spans="1:21" x14ac:dyDescent="0.25">
      <c r="A1672" s="2" t="str">
        <f ca="1">IFERROR(__xludf.DUMMYFUNCTION("""COMPUTED_VALUE"""),"51320ee9")</f>
        <v>51320ee9</v>
      </c>
      <c r="B1672" s="5">
        <f ca="1">IFERROR(__xludf.DUMMYFUNCTION("""COMPUTED_VALUE"""),46140.7243981481)</f>
        <v>46140.724398148101</v>
      </c>
      <c r="C1672" s="2" t="str">
        <f ca="1">IFERROR(__xludf.DUMMYFUNCTION("""COMPUTED_VALUE"""),"0a6a2e5b")</f>
        <v>0a6a2e5b</v>
      </c>
      <c r="D1672" s="2">
        <f ca="1">IFERROR(__xludf.DUMMYFUNCTION("""COMPUTED_VALUE"""),126)</f>
        <v>126</v>
      </c>
      <c r="E1672" s="2" t="str">
        <f ca="1">IFERROR(__xludf.DUMMYFUNCTION("""COMPUTED_VALUE"""),"Criolla Filt")</f>
        <v>Criolla Filt</v>
      </c>
      <c r="F1672" s="2">
        <f ca="1">IFERROR(__xludf.DUMMYFUNCTION("""COMPUTED_VALUE"""),1000)</f>
        <v>1000</v>
      </c>
      <c r="G1672" s="2">
        <f ca="1">IFERROR(__xludf.DUMMYFUNCTION("""COMPUTED_VALUE"""),500)</f>
        <v>500</v>
      </c>
      <c r="H1672" s="2" t="str">
        <f ca="1">IFERROR(__xludf.DUMMYFUNCTION("""COMPUTED_VALUE"""),"d4bcb1c5")</f>
        <v>d4bcb1c5</v>
      </c>
      <c r="I1672" s="2" t="str">
        <f ca="1">IFERROR(__xludf.DUMMYFUNCTION("""COMPUTED_VALUE"""),"AJUSTE COSECHA 2026")</f>
        <v>AJUSTE COSECHA 2026</v>
      </c>
      <c r="J1672" s="2">
        <f ca="1">IFERROR(__xludf.DUMMYFUNCTION("""COMPUTED_VALUE"""),42520)</f>
        <v>42520</v>
      </c>
      <c r="K1672" s="2">
        <f ca="1">IFERROR(__xludf.DUMMYFUNCTION("""COMPUTED_VALUE"""),43520)</f>
        <v>43520</v>
      </c>
      <c r="L1672" s="2" t="str">
        <f ca="1">IFERROR(__xludf.DUMMYFUNCTION("""COMPUTED_VALUE"""),"d3b48c4c")</f>
        <v>d3b48c4c</v>
      </c>
      <c r="M1672" s="2" t="str">
        <f ca="1">IFERROR(__xludf.DUMMYFUNCTION("""COMPUTED_VALUE"""),"AJUSTE COSECHA 2026")</f>
        <v>AJUSTE COSECHA 2026</v>
      </c>
      <c r="N1672" s="2"/>
      <c r="O1672" s="2" t="str">
        <f ca="1">IFERROR(__xludf.DUMMYFUNCTION("""COMPUTED_VALUE"""),"Fermentando")</f>
        <v>Fermentando</v>
      </c>
      <c r="P1672" s="2" t="str">
        <f ca="1">IFERROR(__xludf.DUMMYFUNCTION("""COMPUTED_VALUE"""),"Terminado")</f>
        <v>Terminado</v>
      </c>
      <c r="Q1672" s="2" t="b">
        <f ca="1">IFERROR(__xludf.DUMMYFUNCTION("""COMPUTED_VALUE"""),TRUE)</f>
        <v>1</v>
      </c>
      <c r="R1672" s="2" t="str">
        <f ca="1">IFERROR(__xludf.DUMMYFUNCTION("""COMPUTED_VALUE"""),"Terminado")</f>
        <v>Terminado</v>
      </c>
      <c r="S1672" s="2"/>
      <c r="T1672" s="2"/>
      <c r="U1672" s="2" t="str">
        <f ca="1">IFERROR(__xludf.DUMMYFUNCTION("""COMPUTED_VALUE"""),"1")</f>
        <v>1</v>
      </c>
    </row>
    <row r="1673" spans="1:21" x14ac:dyDescent="0.25">
      <c r="A1673" s="2" t="str">
        <f ca="1">IFERROR(__xludf.DUMMYFUNCTION("""COMPUTED_VALUE"""),"817d7917")</f>
        <v>817d7917</v>
      </c>
      <c r="B1673" s="5">
        <f ca="1">IFERROR(__xludf.DUMMYFUNCTION("""COMPUTED_VALUE"""),46141.4093287037)</f>
        <v>46141.409328703703</v>
      </c>
      <c r="C1673" s="2" t="str">
        <f ca="1">IFERROR(__xludf.DUMMYFUNCTION("""COMPUTED_VALUE"""),"085d8481")</f>
        <v>085d8481</v>
      </c>
      <c r="D1673" s="2">
        <f ca="1">IFERROR(__xludf.DUMMYFUNCTION("""COMPUTED_VALUE"""),88)</f>
        <v>88</v>
      </c>
      <c r="E1673" s="2" t="str">
        <f ca="1">IFERROR(__xludf.DUMMYFUNCTION("""COMPUTED_VALUE"""),"Bonarda PC")</f>
        <v>Bonarda PC</v>
      </c>
      <c r="F1673" s="2">
        <f ca="1">IFERROR(__xludf.DUMMYFUNCTION("""COMPUTED_VALUE"""),7000)</f>
        <v>7000</v>
      </c>
      <c r="G1673" s="2">
        <f ca="1">IFERROR(__xludf.DUMMYFUNCTION("""COMPUTED_VALUE"""),67)</f>
        <v>67</v>
      </c>
      <c r="H1673" s="2" t="str">
        <f ca="1">IFERROR(__xludf.DUMMYFUNCTION("""COMPUTED_VALUE"""),"267e3ee0")</f>
        <v>267e3ee0</v>
      </c>
      <c r="I1673" s="2" t="str">
        <f ca="1">IFERROR(__xludf.DUMMYFUNCTION("""COMPUTED_VALUE"""),"Bonarda")</f>
        <v>Bonarda</v>
      </c>
      <c r="J1673" s="2">
        <f ca="1">IFERROR(__xludf.DUMMYFUNCTION("""COMPUTED_VALUE"""),16000)</f>
        <v>16000</v>
      </c>
      <c r="K1673" s="2">
        <f ca="1">IFERROR(__xludf.DUMMYFUNCTION("""COMPUTED_VALUE"""),23000)</f>
        <v>23000</v>
      </c>
      <c r="L1673" s="2" t="str">
        <f ca="1">IFERROR(__xludf.DUMMYFUNCTION("""COMPUTED_VALUE"""),"1d29e77e")</f>
        <v>1d29e77e</v>
      </c>
      <c r="M1673" s="2" t="str">
        <f ca="1">IFERROR(__xludf.DUMMYFUNCTION("""COMPUTED_VALUE"""),"Bonarda")</f>
        <v>Bonarda</v>
      </c>
      <c r="N1673" s="2"/>
      <c r="O1673" s="2" t="str">
        <f ca="1">IFERROR(__xludf.DUMMYFUNCTION("""COMPUTED_VALUE"""),"Fermentando")</f>
        <v>Fermentando</v>
      </c>
      <c r="P1673" s="2" t="str">
        <f ca="1">IFERROR(__xludf.DUMMYFUNCTION("""COMPUTED_VALUE"""),"Descubada")</f>
        <v>Descubada</v>
      </c>
      <c r="Q1673" s="2" t="b">
        <f ca="1">IFERROR(__xludf.DUMMYFUNCTION("""COMPUTED_VALUE"""),TRUE)</f>
        <v>1</v>
      </c>
      <c r="R1673" s="2" t="str">
        <f ca="1">IFERROR(__xludf.DUMMYFUNCTION("""COMPUTED_VALUE"""),"Descubada")</f>
        <v>Descubada</v>
      </c>
      <c r="S1673" s="2"/>
      <c r="T1673" s="2"/>
      <c r="U1673" s="2"/>
    </row>
    <row r="1674" spans="1:21" x14ac:dyDescent="0.25">
      <c r="A1674" s="2" t="str">
        <f ca="1">IFERROR(__xludf.DUMMYFUNCTION("""COMPUTED_VALUE"""),"389e9a72")</f>
        <v>389e9a72</v>
      </c>
      <c r="B1674" s="5">
        <f ca="1">IFERROR(__xludf.DUMMYFUNCTION("""COMPUTED_VALUE"""),46141.4103819444)</f>
        <v>46141.410381944399</v>
      </c>
      <c r="C1674" s="2" t="str">
        <f ca="1">IFERROR(__xludf.DUMMYFUNCTION("""COMPUTED_VALUE"""),"0f7ec44b")</f>
        <v>0f7ec44b</v>
      </c>
      <c r="D1674" s="2">
        <f ca="1">IFERROR(__xludf.DUMMYFUNCTION("""COMPUTED_VALUE"""),87)</f>
        <v>87</v>
      </c>
      <c r="E1674" s="2" t="str">
        <f ca="1">IFERROR(__xludf.DUMMYFUNCTION("""COMPUTED_VALUE"""),"Criolla Recarga PC")</f>
        <v>Criolla Recarga PC</v>
      </c>
      <c r="F1674" s="2">
        <f ca="1">IFERROR(__xludf.DUMMYFUNCTION("""COMPUTED_VALUE"""),-4700)</f>
        <v>-4700</v>
      </c>
      <c r="G1674" s="2">
        <f ca="1">IFERROR(__xludf.DUMMYFUNCTION("""COMPUTED_VALUE"""),500)</f>
        <v>500</v>
      </c>
      <c r="H1674" s="2" t="str">
        <f ca="1">IFERROR(__xludf.DUMMYFUNCTION("""COMPUTED_VALUE"""),"d3b48c4c")</f>
        <v>d3b48c4c</v>
      </c>
      <c r="I1674" s="2" t="str">
        <f ca="1">IFERROR(__xludf.DUMMYFUNCTION("""COMPUTED_VALUE"""),"AJUSTE COSECHA 2026")</f>
        <v>AJUSTE COSECHA 2026</v>
      </c>
      <c r="J1674" s="2">
        <f ca="1">IFERROR(__xludf.DUMMYFUNCTION("""COMPUTED_VALUE"""),43520)</f>
        <v>43520</v>
      </c>
      <c r="K1674" s="2">
        <f ca="1">IFERROR(__xludf.DUMMYFUNCTION("""COMPUTED_VALUE"""),38820)</f>
        <v>38820</v>
      </c>
      <c r="L1674" s="2" t="str">
        <f ca="1">IFERROR(__xludf.DUMMYFUNCTION("""COMPUTED_VALUE"""),"e8a55daf")</f>
        <v>e8a55daf</v>
      </c>
      <c r="M1674" s="2" t="str">
        <f ca="1">IFERROR(__xludf.DUMMYFUNCTION("""COMPUTED_VALUE"""),"AJUSTE COSECHA 2026")</f>
        <v>AJUSTE COSECHA 2026</v>
      </c>
      <c r="N1674" s="2"/>
      <c r="O1674" s="2" t="str">
        <f ca="1">IFERROR(__xludf.DUMMYFUNCTION("""COMPUTED_VALUE"""),"Descubada")</f>
        <v>Descubada</v>
      </c>
      <c r="P1674" s="2" t="str">
        <f ca="1">IFERROR(__xludf.DUMMYFUNCTION("""COMPUTED_VALUE"""),"Terminado")</f>
        <v>Terminado</v>
      </c>
      <c r="Q1674" s="2" t="b">
        <f ca="1">IFERROR(__xludf.DUMMYFUNCTION("""COMPUTED_VALUE"""),TRUE)</f>
        <v>1</v>
      </c>
      <c r="R1674" s="2" t="str">
        <f ca="1">IFERROR(__xludf.DUMMYFUNCTION("""COMPUTED_VALUE"""),"Terminado")</f>
        <v>Terminado</v>
      </c>
      <c r="S1674" s="2"/>
      <c r="T1674" s="2"/>
      <c r="U1674" s="2" t="str">
        <f ca="1">IFERROR(__xludf.DUMMYFUNCTION("""COMPUTED_VALUE"""),"1")</f>
        <v>1</v>
      </c>
    </row>
    <row r="1675" spans="1:21" x14ac:dyDescent="0.25">
      <c r="A1675" s="2" t="str">
        <f ca="1">IFERROR(__xludf.DUMMYFUNCTION("""COMPUTED_VALUE"""),"ba15c35a")</f>
        <v>ba15c35a</v>
      </c>
      <c r="B1675" s="5">
        <f ca="1">IFERROR(__xludf.DUMMYFUNCTION("""COMPUTED_VALUE"""),46141.4187037037)</f>
        <v>46141.418703703697</v>
      </c>
      <c r="C1675" s="2" t="str">
        <f ca="1">IFERROR(__xludf.DUMMYFUNCTION("""COMPUTED_VALUE"""),"085d8481")</f>
        <v>085d8481</v>
      </c>
      <c r="D1675" s="2">
        <f ca="1">IFERROR(__xludf.DUMMYFUNCTION("""COMPUTED_VALUE"""),88)</f>
        <v>88</v>
      </c>
      <c r="E1675" s="2" t="str">
        <f ca="1">IFERROR(__xludf.DUMMYFUNCTION("""COMPUTED_VALUE"""),"Bonarda PC")</f>
        <v>Bonarda PC</v>
      </c>
      <c r="F1675" s="2">
        <f ca="1">IFERROR(__xludf.DUMMYFUNCTION("""COMPUTED_VALUE"""),23000)</f>
        <v>23000</v>
      </c>
      <c r="G1675" s="2">
        <f ca="1">IFERROR(__xludf.DUMMYFUNCTION("""COMPUTED_VALUE"""),66)</f>
        <v>66</v>
      </c>
      <c r="H1675" s="2"/>
      <c r="I1675" s="2"/>
      <c r="J1675" s="2">
        <f ca="1">IFERROR(__xludf.DUMMYFUNCTION("""COMPUTED_VALUE"""),0)</f>
        <v>0</v>
      </c>
      <c r="K1675" s="2">
        <f ca="1">IFERROR(__xludf.DUMMYFUNCTION("""COMPUTED_VALUE"""),23000)</f>
        <v>23000</v>
      </c>
      <c r="L1675" s="2" t="str">
        <f ca="1">IFERROR(__xludf.DUMMYFUNCTION("""COMPUTED_VALUE"""),"ae299cc9")</f>
        <v>ae299cc9</v>
      </c>
      <c r="M1675" s="2" t="str">
        <f ca="1">IFERROR(__xludf.DUMMYFUNCTION("""COMPUTED_VALUE"""),"Bonarda PC")</f>
        <v>Bonarda PC</v>
      </c>
      <c r="N1675" s="2"/>
      <c r="O1675" s="2" t="str">
        <f ca="1">IFERROR(__xludf.DUMMYFUNCTION("""COMPUTED_VALUE"""),"Fermentando")</f>
        <v>Fermentando</v>
      </c>
      <c r="P1675" s="2"/>
      <c r="Q1675" s="2" t="b">
        <f ca="1">IFERROR(__xludf.DUMMYFUNCTION("""COMPUTED_VALUE"""),FALSE)</f>
        <v>0</v>
      </c>
      <c r="R1675" s="2" t="str">
        <f ca="1">IFERROR(__xludf.DUMMYFUNCTION("""COMPUTED_VALUE"""),"Descubada")</f>
        <v>Descubada</v>
      </c>
      <c r="S1675" s="2"/>
      <c r="T1675" s="2"/>
      <c r="U1675" s="2" t="str">
        <f ca="1">IFERROR(__xludf.DUMMYFUNCTION("""COMPUTED_VALUE"""),"1+")</f>
        <v>1+</v>
      </c>
    </row>
    <row r="1676" spans="1:21" x14ac:dyDescent="0.25">
      <c r="A1676" s="2" t="str">
        <f ca="1">IFERROR(__xludf.DUMMYFUNCTION("""COMPUTED_VALUE"""),"49fbfa49")</f>
        <v>49fbfa49</v>
      </c>
      <c r="B1676" s="5">
        <f ca="1">IFERROR(__xludf.DUMMYFUNCTION("""COMPUTED_VALUE"""),46141.4190625)</f>
        <v>46141.419062499997</v>
      </c>
      <c r="C1676" s="2" t="str">
        <f ca="1">IFERROR(__xludf.DUMMYFUNCTION("""COMPUTED_VALUE"""),"085d8481")</f>
        <v>085d8481</v>
      </c>
      <c r="D1676" s="2">
        <f ca="1">IFERROR(__xludf.DUMMYFUNCTION("""COMPUTED_VALUE"""),88)</f>
        <v>88</v>
      </c>
      <c r="E1676" s="2" t="str">
        <f ca="1">IFERROR(__xludf.DUMMYFUNCTION("""COMPUTED_VALUE"""),"Bonarda PC")</f>
        <v>Bonarda PC</v>
      </c>
      <c r="F1676" s="2">
        <f ca="1">IFERROR(__xludf.DUMMYFUNCTION("""COMPUTED_VALUE"""),5100)</f>
        <v>5100</v>
      </c>
      <c r="G1676" s="2">
        <f ca="1">IFERROR(__xludf.DUMMYFUNCTION("""COMPUTED_VALUE"""),45)</f>
        <v>45</v>
      </c>
      <c r="H1676" s="2"/>
      <c r="I1676" s="2"/>
      <c r="J1676" s="2">
        <f ca="1">IFERROR(__xludf.DUMMYFUNCTION("""COMPUTED_VALUE"""),0)</f>
        <v>0</v>
      </c>
      <c r="K1676" s="2">
        <f ca="1">IFERROR(__xludf.DUMMYFUNCTION("""COMPUTED_VALUE"""),5100)</f>
        <v>5100</v>
      </c>
      <c r="L1676" s="2" t="str">
        <f ca="1">IFERROR(__xludf.DUMMYFUNCTION("""COMPUTED_VALUE"""),"a9a582bf")</f>
        <v>a9a582bf</v>
      </c>
      <c r="M1676" s="2" t="str">
        <f ca="1">IFERROR(__xludf.DUMMYFUNCTION("""COMPUTED_VALUE"""),"Bonarda PC")</f>
        <v>Bonarda PC</v>
      </c>
      <c r="N1676" s="2"/>
      <c r="O1676" s="2" t="str">
        <f ca="1">IFERROR(__xludf.DUMMYFUNCTION("""COMPUTED_VALUE"""),"Fermentando")</f>
        <v>Fermentando</v>
      </c>
      <c r="P1676" s="2"/>
      <c r="Q1676" s="2" t="b">
        <f ca="1">IFERROR(__xludf.DUMMYFUNCTION("""COMPUTED_VALUE"""),FALSE)</f>
        <v>0</v>
      </c>
      <c r="R1676" s="2" t="str">
        <f ca="1">IFERROR(__xludf.DUMMYFUNCTION("""COMPUTED_VALUE"""),"Descubada")</f>
        <v>Descubada</v>
      </c>
      <c r="S1676" s="2"/>
      <c r="T1676" s="2"/>
      <c r="U1676" s="2" t="str">
        <f ca="1">IFERROR(__xludf.DUMMYFUNCTION("""COMPUTED_VALUE"""),"1+")</f>
        <v>1+</v>
      </c>
    </row>
    <row r="1677" spans="1:21" x14ac:dyDescent="0.25">
      <c r="A1677" s="2" t="str">
        <f ca="1">IFERROR(__xludf.DUMMYFUNCTION("""COMPUTED_VALUE"""),"4f778760")</f>
        <v>4f778760</v>
      </c>
      <c r="B1677" s="5">
        <f ca="1">IFERROR(__xludf.DUMMYFUNCTION("""COMPUTED_VALUE"""),46141.8855555555)</f>
        <v>46141.885555555498</v>
      </c>
      <c r="C1677" s="2" t="str">
        <f ca="1">IFERROR(__xludf.DUMMYFUNCTION("""COMPUTED_VALUE"""),"3c9ad7dc")</f>
        <v>3c9ad7dc</v>
      </c>
      <c r="D1677" s="2">
        <f ca="1">IFERROR(__xludf.DUMMYFUNCTION("""COMPUTED_VALUE"""),90)</f>
        <v>90</v>
      </c>
      <c r="E1677" s="2" t="str">
        <f ca="1">IFERROR(__xludf.DUMMYFUNCTION("""COMPUTED_VALUE"""),"Bonarda")</f>
        <v>Bonarda</v>
      </c>
      <c r="F1677" s="2">
        <f ca="1">IFERROR(__xludf.DUMMYFUNCTION("""COMPUTED_VALUE"""),24900)</f>
        <v>24900</v>
      </c>
      <c r="G1677" s="2">
        <f ca="1">IFERROR(__xludf.DUMMYFUNCTION("""COMPUTED_VALUE"""),45)</f>
        <v>45</v>
      </c>
      <c r="H1677" s="2" t="str">
        <f ca="1">IFERROR(__xludf.DUMMYFUNCTION("""COMPUTED_VALUE"""),"a9a582bf")</f>
        <v>a9a582bf</v>
      </c>
      <c r="I1677" s="2" t="str">
        <f ca="1">IFERROR(__xludf.DUMMYFUNCTION("""COMPUTED_VALUE"""),"Bonarda PC")</f>
        <v>Bonarda PC</v>
      </c>
      <c r="J1677" s="2">
        <f ca="1">IFERROR(__xludf.DUMMYFUNCTION("""COMPUTED_VALUE"""),5100)</f>
        <v>5100</v>
      </c>
      <c r="K1677" s="2">
        <f ca="1">IFERROR(__xludf.DUMMYFUNCTION("""COMPUTED_VALUE"""),30000)</f>
        <v>30000</v>
      </c>
      <c r="L1677" s="2" t="str">
        <f ca="1">IFERROR(__xludf.DUMMYFUNCTION("""COMPUTED_VALUE"""),"3f401895")</f>
        <v>3f401895</v>
      </c>
      <c r="M1677" s="2" t="str">
        <f ca="1">IFERROR(__xludf.DUMMYFUNCTION("""COMPUTED_VALUE"""),"Bonarda PC")</f>
        <v>Bonarda PC</v>
      </c>
      <c r="N1677" s="2"/>
      <c r="O1677" s="2" t="str">
        <f ca="1">IFERROR(__xludf.DUMMYFUNCTION("""COMPUTED_VALUE"""),"Fermentando")</f>
        <v>Fermentando</v>
      </c>
      <c r="P1677" s="2" t="str">
        <f ca="1">IFERROR(__xludf.DUMMYFUNCTION("""COMPUTED_VALUE"""),"Descubada")</f>
        <v>Descubada</v>
      </c>
      <c r="Q1677" s="2" t="b">
        <f ca="1">IFERROR(__xludf.DUMMYFUNCTION("""COMPUTED_VALUE"""),TRUE)</f>
        <v>1</v>
      </c>
      <c r="R1677" s="2" t="str">
        <f ca="1">IFERROR(__xludf.DUMMYFUNCTION("""COMPUTED_VALUE"""),"Descubada")</f>
        <v>Descubada</v>
      </c>
      <c r="S1677" s="2"/>
      <c r="T1677" s="2"/>
      <c r="U1677" s="2" t="str">
        <f ca="1">IFERROR(__xludf.DUMMYFUNCTION("""COMPUTED_VALUE"""),"1+")</f>
        <v>1+</v>
      </c>
    </row>
    <row r="1678" spans="1:21" x14ac:dyDescent="0.25">
      <c r="A1678" s="2" t="str">
        <f ca="1">IFERROR(__xludf.DUMMYFUNCTION("""COMPUTED_VALUE"""),"69ab1516")</f>
        <v>69ab1516</v>
      </c>
      <c r="B1678" s="5">
        <f ca="1">IFERROR(__xludf.DUMMYFUNCTION("""COMPUTED_VALUE"""),46141.885787037)</f>
        <v>46141.885787036997</v>
      </c>
      <c r="C1678" s="2" t="str">
        <f ca="1">IFERROR(__xludf.DUMMYFUNCTION("""COMPUTED_VALUE"""),"3c9ad7dc")</f>
        <v>3c9ad7dc</v>
      </c>
      <c r="D1678" s="2">
        <f ca="1">IFERROR(__xludf.DUMMYFUNCTION("""COMPUTED_VALUE"""),90)</f>
        <v>90</v>
      </c>
      <c r="E1678" s="2" t="str">
        <f ca="1">IFERROR(__xludf.DUMMYFUNCTION("""COMPUTED_VALUE"""),"Bonarda")</f>
        <v>Bonarda</v>
      </c>
      <c r="F1678" s="2">
        <f ca="1">IFERROR(__xludf.DUMMYFUNCTION("""COMPUTED_VALUE"""),35900)</f>
        <v>35900</v>
      </c>
      <c r="G1678" s="2">
        <f ca="1">IFERROR(__xludf.DUMMYFUNCTION("""COMPUTED_VALUE"""),42)</f>
        <v>42</v>
      </c>
      <c r="H1678" s="2"/>
      <c r="I1678" s="2"/>
      <c r="J1678" s="2">
        <f ca="1">IFERROR(__xludf.DUMMYFUNCTION("""COMPUTED_VALUE"""),0)</f>
        <v>0</v>
      </c>
      <c r="K1678" s="2">
        <f ca="1">IFERROR(__xludf.DUMMYFUNCTION("""COMPUTED_VALUE"""),35900)</f>
        <v>35900</v>
      </c>
      <c r="L1678" s="2" t="str">
        <f ca="1">IFERROR(__xludf.DUMMYFUNCTION("""COMPUTED_VALUE"""),"759766f6")</f>
        <v>759766f6</v>
      </c>
      <c r="M1678" s="2" t="str">
        <f ca="1">IFERROR(__xludf.DUMMYFUNCTION("""COMPUTED_VALUE"""),"Bonarda")</f>
        <v>Bonarda</v>
      </c>
      <c r="N1678" s="2"/>
      <c r="O1678" s="2" t="str">
        <f ca="1">IFERROR(__xludf.DUMMYFUNCTION("""COMPUTED_VALUE"""),"Fermentando")</f>
        <v>Fermentando</v>
      </c>
      <c r="P1678" s="2"/>
      <c r="Q1678" s="2" t="b">
        <f ca="1">IFERROR(__xludf.DUMMYFUNCTION("""COMPUTED_VALUE"""),FALSE)</f>
        <v>0</v>
      </c>
      <c r="R1678" s="2" t="str">
        <f ca="1">IFERROR(__xludf.DUMMYFUNCTION("""COMPUTED_VALUE"""),"Descubada")</f>
        <v>Descubada</v>
      </c>
      <c r="S1678" s="2"/>
      <c r="T1678" s="2"/>
      <c r="U1678" s="2"/>
    </row>
    <row r="1679" spans="1:21" x14ac:dyDescent="0.25">
      <c r="A1679" s="2" t="str">
        <f ca="1">IFERROR(__xludf.DUMMYFUNCTION("""COMPUTED_VALUE"""),"93649b4e")</f>
        <v>93649b4e</v>
      </c>
      <c r="B1679" s="5">
        <f ca="1">IFERROR(__xludf.DUMMYFUNCTION("""COMPUTED_VALUE"""),46141.8872685185)</f>
        <v>46141.887268518498</v>
      </c>
      <c r="C1679" s="2" t="str">
        <f ca="1">IFERROR(__xludf.DUMMYFUNCTION("""COMPUTED_VALUE"""),"d12d20f3")</f>
        <v>d12d20f3</v>
      </c>
      <c r="D1679" s="2">
        <f ca="1">IFERROR(__xludf.DUMMYFUNCTION("""COMPUTED_VALUE"""),85)</f>
        <v>85</v>
      </c>
      <c r="E1679" s="2" t="str">
        <f ca="1">IFERROR(__xludf.DUMMYFUNCTION("""COMPUTED_VALUE"""),"Bonarda")</f>
        <v>Bonarda</v>
      </c>
      <c r="F1679" s="2">
        <f ca="1">IFERROR(__xludf.DUMMYFUNCTION("""COMPUTED_VALUE"""),-4000)</f>
        <v>-4000</v>
      </c>
      <c r="G1679" s="2">
        <f ca="1">IFERROR(__xludf.DUMMYFUNCTION("""COMPUTED_VALUE"""),10)</f>
        <v>10</v>
      </c>
      <c r="H1679" s="2" t="str">
        <f ca="1">IFERROR(__xludf.DUMMYFUNCTION("""COMPUTED_VALUE"""),"9688c372")</f>
        <v>9688c372</v>
      </c>
      <c r="I1679" s="2" t="str">
        <f ca="1">IFERROR(__xludf.DUMMYFUNCTION("""COMPUTED_VALUE"""),"Cabernet Rectificado")</f>
        <v>Cabernet Rectificado</v>
      </c>
      <c r="J1679" s="2">
        <f ca="1">IFERROR(__xludf.DUMMYFUNCTION("""COMPUTED_VALUE"""),4000)</f>
        <v>4000</v>
      </c>
      <c r="K1679" s="2">
        <f ca="1">IFERROR(__xludf.DUMMYFUNCTION("""COMPUTED_VALUE"""),0)</f>
        <v>0</v>
      </c>
      <c r="L1679" s="2" t="str">
        <f ca="1">IFERROR(__xludf.DUMMYFUNCTION("""COMPUTED_VALUE"""),"56cc386b")</f>
        <v>56cc386b</v>
      </c>
      <c r="M1679" s="2" t="str">
        <f ca="1">IFERROR(__xludf.DUMMYFUNCTION("""COMPUTED_VALUE"""),"Cabernet Rectificado")</f>
        <v>Cabernet Rectificado</v>
      </c>
      <c r="N1679" s="2"/>
      <c r="O1679" s="2" t="str">
        <f ca="1">IFERROR(__xludf.DUMMYFUNCTION("""COMPUTED_VALUE"""),"Fermentando")</f>
        <v>Fermentando</v>
      </c>
      <c r="P1679" s="2" t="str">
        <f ca="1">IFERROR(__xludf.DUMMYFUNCTION("""COMPUTED_VALUE"""),"Rectificado")</f>
        <v>Rectificado</v>
      </c>
      <c r="Q1679" s="2" t="b">
        <f ca="1">IFERROR(__xludf.DUMMYFUNCTION("""COMPUTED_VALUE"""),TRUE)</f>
        <v>1</v>
      </c>
      <c r="R1679" s="2" t="str">
        <f ca="1">IFERROR(__xludf.DUMMYFUNCTION("""COMPUTED_VALUE"""),"Rectificado")</f>
        <v>Rectificado</v>
      </c>
      <c r="S1679" s="2"/>
      <c r="T1679" s="2"/>
      <c r="U1679" s="2"/>
    </row>
    <row r="1680" spans="1:21" x14ac:dyDescent="0.25">
      <c r="A1680" s="2" t="str">
        <f ca="1">IFERROR(__xludf.DUMMYFUNCTION("""COMPUTED_VALUE"""),"86f4687e")</f>
        <v>86f4687e</v>
      </c>
      <c r="B1680" s="5">
        <f ca="1">IFERROR(__xludf.DUMMYFUNCTION("""COMPUTED_VALUE"""),46142.4609606481)</f>
        <v>46142.460960648103</v>
      </c>
      <c r="C1680" s="2" t="str">
        <f ca="1">IFERROR(__xludf.DUMMYFUNCTION("""COMPUTED_VALUE"""),"531869ce")</f>
        <v>531869ce</v>
      </c>
      <c r="D1680" s="2">
        <f ca="1">IFERROR(__xludf.DUMMYFUNCTION("""COMPUTED_VALUE"""),14)</f>
        <v>14</v>
      </c>
      <c r="E1680" s="2" t="str">
        <f ca="1">IFERROR(__xludf.DUMMYFUNCTION("""COMPUTED_VALUE"""),"Criolla con Claro filtro")</f>
        <v>Criolla con Claro filtro</v>
      </c>
      <c r="F1680" s="2">
        <f ca="1">IFERROR(__xludf.DUMMYFUNCTION("""COMPUTED_VALUE"""),31000)</f>
        <v>31000</v>
      </c>
      <c r="G1680" s="2">
        <f ca="1">IFERROR(__xludf.DUMMYFUNCTION("""COMPUTED_VALUE"""),127)</f>
        <v>127</v>
      </c>
      <c r="H1680" s="2"/>
      <c r="I1680" s="2"/>
      <c r="J1680" s="2">
        <f ca="1">IFERROR(__xludf.DUMMYFUNCTION("""COMPUTED_VALUE"""),0)</f>
        <v>0</v>
      </c>
      <c r="K1680" s="2">
        <f ca="1">IFERROR(__xludf.DUMMYFUNCTION("""COMPUTED_VALUE"""),31000)</f>
        <v>31000</v>
      </c>
      <c r="L1680" s="2" t="str">
        <f ca="1">IFERROR(__xludf.DUMMYFUNCTION("""COMPUTED_VALUE"""),"8ee1438e")</f>
        <v>8ee1438e</v>
      </c>
      <c r="M1680" s="2" t="str">
        <f ca="1">IFERROR(__xludf.DUMMYFUNCTION("""COMPUTED_VALUE"""),"Criolla Vol")</f>
        <v>Criolla Vol</v>
      </c>
      <c r="N1680" s="2"/>
      <c r="O1680" s="2" t="str">
        <f ca="1">IFERROR(__xludf.DUMMYFUNCTION("""COMPUTED_VALUE"""),"Fermentando")</f>
        <v>Fermentando</v>
      </c>
      <c r="P1680" s="2"/>
      <c r="Q1680" s="2" t="b">
        <f ca="1">IFERROR(__xludf.DUMMYFUNCTION("""COMPUTED_VALUE"""),FALSE)</f>
        <v>0</v>
      </c>
      <c r="R1680" s="2" t="str">
        <f ca="1">IFERROR(__xludf.DUMMYFUNCTION("""COMPUTED_VALUE"""),"Descubada")</f>
        <v>Descubada</v>
      </c>
      <c r="S1680" s="2"/>
      <c r="T1680" s="2"/>
      <c r="U1680" s="2"/>
    </row>
    <row r="1681" spans="1:21" x14ac:dyDescent="0.25">
      <c r="A1681" s="2" t="str">
        <f ca="1">IFERROR(__xludf.DUMMYFUNCTION("""COMPUTED_VALUE"""),"66fe15f4")</f>
        <v>66fe15f4</v>
      </c>
      <c r="B1681" s="5">
        <f ca="1">IFERROR(__xludf.DUMMYFUNCTION("""COMPUTED_VALUE"""),46142.4614351851)</f>
        <v>46142.461435185098</v>
      </c>
      <c r="C1681" s="2" t="str">
        <f ca="1">IFERROR(__xludf.DUMMYFUNCTION("""COMPUTED_VALUE"""),"531869ce")</f>
        <v>531869ce</v>
      </c>
      <c r="D1681" s="2">
        <f ca="1">IFERROR(__xludf.DUMMYFUNCTION("""COMPUTED_VALUE"""),14)</f>
        <v>14</v>
      </c>
      <c r="E1681" s="2" t="str">
        <f ca="1">IFERROR(__xludf.DUMMYFUNCTION("""COMPUTED_VALUE"""),"Criolla con Claro filtro")</f>
        <v>Criolla con Claro filtro</v>
      </c>
      <c r="F1681" s="2">
        <f ca="1">IFERROR(__xludf.DUMMYFUNCTION("""COMPUTED_VALUE"""),1000)</f>
        <v>1000</v>
      </c>
      <c r="G1681" s="2">
        <f ca="1">IFERROR(__xludf.DUMMYFUNCTION("""COMPUTED_VALUE"""),51)</f>
        <v>51</v>
      </c>
      <c r="H1681" s="2"/>
      <c r="I1681" s="2"/>
      <c r="J1681" s="2">
        <f ca="1">IFERROR(__xludf.DUMMYFUNCTION("""COMPUTED_VALUE"""),0)</f>
        <v>0</v>
      </c>
      <c r="K1681" s="2">
        <f ca="1">IFERROR(__xludf.DUMMYFUNCTION("""COMPUTED_VALUE"""),1000)</f>
        <v>1000</v>
      </c>
      <c r="L1681" s="2" t="str">
        <f ca="1">IFERROR(__xludf.DUMMYFUNCTION("""COMPUTED_VALUE"""),"2f82461c")</f>
        <v>2f82461c</v>
      </c>
      <c r="M1681" s="2" t="str">
        <f ca="1">IFERROR(__xludf.DUMMYFUNCTION("""COMPUTED_VALUE"""),"Criolla Vol")</f>
        <v>Criolla Vol</v>
      </c>
      <c r="N1681" s="2"/>
      <c r="O1681" s="2" t="str">
        <f ca="1">IFERROR(__xludf.DUMMYFUNCTION("""COMPUTED_VALUE"""),"Fermentando")</f>
        <v>Fermentando</v>
      </c>
      <c r="P1681" s="2"/>
      <c r="Q1681" s="2" t="b">
        <f ca="1">IFERROR(__xludf.DUMMYFUNCTION("""COMPUTED_VALUE"""),FALSE)</f>
        <v>0</v>
      </c>
      <c r="R1681" s="2" t="str">
        <f ca="1">IFERROR(__xludf.DUMMYFUNCTION("""COMPUTED_VALUE"""),"Descubada")</f>
        <v>Descubada</v>
      </c>
      <c r="S1681" s="2"/>
      <c r="T1681" s="2"/>
      <c r="U1681" s="2"/>
    </row>
    <row r="1682" spans="1:21" x14ac:dyDescent="0.25">
      <c r="A1682" s="2" t="str">
        <f ca="1">IFERROR(__xludf.DUMMYFUNCTION("""COMPUTED_VALUE"""),"ab1e2479")</f>
        <v>ab1e2479</v>
      </c>
      <c r="B1682" s="5">
        <f ca="1">IFERROR(__xludf.DUMMYFUNCTION("""COMPUTED_VALUE"""),46147.3527083333)</f>
        <v>46147.352708333303</v>
      </c>
      <c r="C1682" s="2" t="str">
        <f ca="1">IFERROR(__xludf.DUMMYFUNCTION("""COMPUTED_VALUE"""),"20a7407a")</f>
        <v>20a7407a</v>
      </c>
      <c r="D1682" s="2">
        <f ca="1">IFERROR(__xludf.DUMMYFUNCTION("""COMPUTED_VALUE"""),86)</f>
        <v>86</v>
      </c>
      <c r="E1682" s="2" t="str">
        <f ca="1">IFERROR(__xludf.DUMMYFUNCTION("""COMPUTED_VALUE"""),"Criolla Recarga")</f>
        <v>Criolla Recarga</v>
      </c>
      <c r="F1682" s="2">
        <f ca="1">IFERROR(__xludf.DUMMYFUNCTION("""COMPUTED_VALUE"""),60000)</f>
        <v>60000</v>
      </c>
      <c r="G1682" s="2">
        <f ca="1">IFERROR(__xludf.DUMMYFUNCTION("""COMPUTED_VALUE"""),92)</f>
        <v>92</v>
      </c>
      <c r="H1682" s="2"/>
      <c r="I1682" s="2"/>
      <c r="J1682" s="2">
        <f ca="1">IFERROR(__xludf.DUMMYFUNCTION("""COMPUTED_VALUE"""),0)</f>
        <v>0</v>
      </c>
      <c r="K1682" s="2">
        <f ca="1">IFERROR(__xludf.DUMMYFUNCTION("""COMPUTED_VALUE"""),60000)</f>
        <v>60000</v>
      </c>
      <c r="L1682" s="2" t="str">
        <f ca="1">IFERROR(__xludf.DUMMYFUNCTION("""COMPUTED_VALUE"""),"71f14d09")</f>
        <v>71f14d09</v>
      </c>
      <c r="M1682" s="2" t="str">
        <f ca="1">IFERROR(__xludf.DUMMYFUNCTION("""COMPUTED_VALUE"""),"Criolla Recarga")</f>
        <v>Criolla Recarga</v>
      </c>
      <c r="N1682" s="2" t="str">
        <f ca="1">IFERROR(__xludf.DUMMYFUNCTION("""COMPUTED_VALUE"""),"Gota y Prensa")</f>
        <v>Gota y Prensa</v>
      </c>
      <c r="O1682" s="2" t="str">
        <f ca="1">IFERROR(__xludf.DUMMYFUNCTION("""COMPUTED_VALUE"""),"Recarga Fermentando")</f>
        <v>Recarga Fermentando</v>
      </c>
      <c r="P1682" s="2"/>
      <c r="Q1682" s="2" t="b">
        <f ca="1">IFERROR(__xludf.DUMMYFUNCTION("""COMPUTED_VALUE"""),FALSE)</f>
        <v>0</v>
      </c>
      <c r="R1682" s="2" t="str">
        <f ca="1">IFERROR(__xludf.DUMMYFUNCTION("""COMPUTED_VALUE"""),"Descubada")</f>
        <v>Descubada</v>
      </c>
      <c r="S1682" s="2"/>
      <c r="T1682" s="2"/>
      <c r="U1682" s="2"/>
    </row>
    <row r="1683" spans="1:21" x14ac:dyDescent="0.25">
      <c r="A1683" s="2" t="str">
        <f ca="1">IFERROR(__xludf.DUMMYFUNCTION("""COMPUTED_VALUE"""),"9366b9cd")</f>
        <v>9366b9cd</v>
      </c>
      <c r="B1683" s="5">
        <f ca="1">IFERROR(__xludf.DUMMYFUNCTION("""COMPUTED_VALUE"""),46147.3542129629)</f>
        <v>46147.354212962899</v>
      </c>
      <c r="C1683" s="2" t="str">
        <f ca="1">IFERROR(__xludf.DUMMYFUNCTION("""COMPUTED_VALUE"""),"77fc6ec8")</f>
        <v>77fc6ec8</v>
      </c>
      <c r="D1683" s="2">
        <f ca="1">IFERROR(__xludf.DUMMYFUNCTION("""COMPUTED_VALUE"""),28)</f>
        <v>28</v>
      </c>
      <c r="E1683" s="2" t="str">
        <f ca="1">IFERROR(__xludf.DUMMYFUNCTION("""COMPUTED_VALUE"""),"Bonarda C2")</f>
        <v>Bonarda C2</v>
      </c>
      <c r="F1683" s="2">
        <f ca="1">IFERROR(__xludf.DUMMYFUNCTION("""COMPUTED_VALUE"""),94300)</f>
        <v>94300</v>
      </c>
      <c r="G1683" s="2">
        <f ca="1">IFERROR(__xludf.DUMMYFUNCTION("""COMPUTED_VALUE"""),90)</f>
        <v>90</v>
      </c>
      <c r="H1683" s="2" t="str">
        <f ca="1">IFERROR(__xludf.DUMMYFUNCTION("""COMPUTED_VALUE"""),"3c9ad7dc")</f>
        <v>3c9ad7dc</v>
      </c>
      <c r="I1683" s="2" t="str">
        <f ca="1">IFERROR(__xludf.DUMMYFUNCTION("""COMPUTED_VALUE"""),"Bonarda")</f>
        <v>Bonarda</v>
      </c>
      <c r="J1683" s="2">
        <f ca="1">IFERROR(__xludf.DUMMYFUNCTION("""COMPUTED_VALUE"""),3200)</f>
        <v>3200</v>
      </c>
      <c r="K1683" s="2">
        <f ca="1">IFERROR(__xludf.DUMMYFUNCTION("""COMPUTED_VALUE"""),97500)</f>
        <v>97500</v>
      </c>
      <c r="L1683" s="2" t="str">
        <f ca="1">IFERROR(__xludf.DUMMYFUNCTION("""COMPUTED_VALUE"""),"33d07dd0")</f>
        <v>33d07dd0</v>
      </c>
      <c r="M1683" s="2" t="str">
        <f ca="1">IFERROR(__xludf.DUMMYFUNCTION("""COMPUTED_VALUE"""),"Bonarda")</f>
        <v>Bonarda</v>
      </c>
      <c r="N1683" s="2"/>
      <c r="O1683" s="2" t="str">
        <f ca="1">IFERROR(__xludf.DUMMYFUNCTION("""COMPUTED_VALUE"""),"Descubada")</f>
        <v>Descubada</v>
      </c>
      <c r="P1683" s="2" t="str">
        <f ca="1">IFERROR(__xludf.DUMMYFUNCTION("""COMPUTED_VALUE"""),"Fermentando")</f>
        <v>Fermentando</v>
      </c>
      <c r="Q1683" s="2" t="b">
        <f ca="1">IFERROR(__xludf.DUMMYFUNCTION("""COMPUTED_VALUE"""),FALSE)</f>
        <v>0</v>
      </c>
      <c r="R1683" s="2" t="str">
        <f ca="1">IFERROR(__xludf.DUMMYFUNCTION("""COMPUTED_VALUE"""),"1er Trasiego")</f>
        <v>1er Trasiego</v>
      </c>
      <c r="S1683" s="2"/>
      <c r="T1683" s="2"/>
      <c r="U1683" s="2"/>
    </row>
    <row r="1684" spans="1:21" x14ac:dyDescent="0.25">
      <c r="A1684" s="2" t="str">
        <f ca="1">IFERROR(__xludf.DUMMYFUNCTION("""COMPUTED_VALUE"""),"9809b104")</f>
        <v>9809b104</v>
      </c>
      <c r="B1684" s="5">
        <f ca="1">IFERROR(__xludf.DUMMYFUNCTION("""COMPUTED_VALUE"""),46147.3594097222)</f>
        <v>46147.359409722201</v>
      </c>
      <c r="C1684" s="2" t="str">
        <f ca="1">IFERROR(__xludf.DUMMYFUNCTION("""COMPUTED_VALUE"""),"77fc6ec8")</f>
        <v>77fc6ec8</v>
      </c>
      <c r="D1684" s="2">
        <f ca="1">IFERROR(__xludf.DUMMYFUNCTION("""COMPUTED_VALUE"""),28)</f>
        <v>28</v>
      </c>
      <c r="E1684" s="2" t="str">
        <f ca="1">IFERROR(__xludf.DUMMYFUNCTION("""COMPUTED_VALUE"""),"Bonarda C2")</f>
        <v>Bonarda C2</v>
      </c>
      <c r="F1684" s="2">
        <f ca="1">IFERROR(__xludf.DUMMYFUNCTION("""COMPUTED_VALUE"""),86000)</f>
        <v>86000</v>
      </c>
      <c r="G1684" s="2">
        <f ca="1">IFERROR(__xludf.DUMMYFUNCTION("""COMPUTED_VALUE"""),91)</f>
        <v>91</v>
      </c>
      <c r="H1684" s="2"/>
      <c r="I1684" s="2"/>
      <c r="J1684" s="2">
        <f ca="1">IFERROR(__xludf.DUMMYFUNCTION("""COMPUTED_VALUE"""),0)</f>
        <v>0</v>
      </c>
      <c r="K1684" s="2">
        <f ca="1">IFERROR(__xludf.DUMMYFUNCTION("""COMPUTED_VALUE"""),86000)</f>
        <v>86000</v>
      </c>
      <c r="L1684" s="2" t="str">
        <f ca="1">IFERROR(__xludf.DUMMYFUNCTION("""COMPUTED_VALUE"""),"34fa2752")</f>
        <v>34fa2752</v>
      </c>
      <c r="M1684" s="2" t="str">
        <f ca="1">IFERROR(__xludf.DUMMYFUNCTION("""COMPUTED_VALUE"""),"Bonarda C2")</f>
        <v>Bonarda C2</v>
      </c>
      <c r="N1684" s="2"/>
      <c r="O1684" s="2" t="str">
        <f ca="1">IFERROR(__xludf.DUMMYFUNCTION("""COMPUTED_VALUE"""),"Descubada")</f>
        <v>Descubada</v>
      </c>
      <c r="P1684" s="2"/>
      <c r="Q1684" s="2" t="b">
        <f ca="1">IFERROR(__xludf.DUMMYFUNCTION("""COMPUTED_VALUE"""),FALSE)</f>
        <v>0</v>
      </c>
      <c r="R1684" s="2" t="str">
        <f ca="1">IFERROR(__xludf.DUMMYFUNCTION("""COMPUTED_VALUE"""),"1er Trasiego")</f>
        <v>1er Trasiego</v>
      </c>
      <c r="S1684" s="2"/>
      <c r="T1684" s="2"/>
      <c r="U1684" s="2"/>
    </row>
    <row r="1685" spans="1:21" x14ac:dyDescent="0.25">
      <c r="A1685" s="2" t="str">
        <f ca="1">IFERROR(__xludf.DUMMYFUNCTION("""COMPUTED_VALUE"""),"25f96419")</f>
        <v>25f96419</v>
      </c>
      <c r="B1685" s="5">
        <f ca="1">IFERROR(__xludf.DUMMYFUNCTION("""COMPUTED_VALUE"""),46147.3621412037)</f>
        <v>46147.362141203703</v>
      </c>
      <c r="C1685" s="2" t="str">
        <f ca="1">IFERROR(__xludf.DUMMYFUNCTION("""COMPUTED_VALUE"""),"b4b1b66c")</f>
        <v>b4b1b66c</v>
      </c>
      <c r="D1685" s="2">
        <f ca="1">IFERROR(__xludf.DUMMYFUNCTION("""COMPUTED_VALUE"""),89)</f>
        <v>89</v>
      </c>
      <c r="E1685" s="2" t="str">
        <f ca="1">IFERROR(__xludf.DUMMYFUNCTION("""COMPUTED_VALUE"""),"Criolla Recarga")</f>
        <v>Criolla Recarga</v>
      </c>
      <c r="F1685" s="2">
        <f ca="1">IFERROR(__xludf.DUMMYFUNCTION("""COMPUTED_VALUE"""),34600)</f>
        <v>34600</v>
      </c>
      <c r="G1685" s="2">
        <f ca="1">IFERROR(__xludf.DUMMYFUNCTION("""COMPUTED_VALUE"""),96)</f>
        <v>96</v>
      </c>
      <c r="H1685" s="2" t="str">
        <f ca="1">IFERROR(__xludf.DUMMYFUNCTION("""COMPUTED_VALUE"""),"780b261a")</f>
        <v>780b261a</v>
      </c>
      <c r="I1685" s="2" t="str">
        <f ca="1">IFERROR(__xludf.DUMMYFUNCTION("""COMPUTED_VALUE"""),"Criolla Recarga")</f>
        <v>Criolla Recarga</v>
      </c>
      <c r="J1685" s="2">
        <f ca="1">IFERROR(__xludf.DUMMYFUNCTION("""COMPUTED_VALUE"""),51000)</f>
        <v>51000</v>
      </c>
      <c r="K1685" s="2">
        <f ca="1">IFERROR(__xludf.DUMMYFUNCTION("""COMPUTED_VALUE"""),85600)</f>
        <v>85600</v>
      </c>
      <c r="L1685" s="2" t="str">
        <f ca="1">IFERROR(__xludf.DUMMYFUNCTION("""COMPUTED_VALUE"""),"6ccca7d0")</f>
        <v>6ccca7d0</v>
      </c>
      <c r="M1685" s="2" t="str">
        <f ca="1">IFERROR(__xludf.DUMMYFUNCTION("""COMPUTED_VALUE"""),"Criolla Recarga")</f>
        <v>Criolla Recarga</v>
      </c>
      <c r="N1685" s="2"/>
      <c r="O1685" s="2" t="str">
        <f ca="1">IFERROR(__xludf.DUMMYFUNCTION("""COMPUTED_VALUE"""),"Recarga Fermentando")</f>
        <v>Recarga Fermentando</v>
      </c>
      <c r="P1685" s="2" t="str">
        <f ca="1">IFERROR(__xludf.DUMMYFUNCTION("""COMPUTED_VALUE"""),"Descubada")</f>
        <v>Descubada</v>
      </c>
      <c r="Q1685" s="2" t="b">
        <f ca="1">IFERROR(__xludf.DUMMYFUNCTION("""COMPUTED_VALUE"""),TRUE)</f>
        <v>1</v>
      </c>
      <c r="R1685" s="2" t="str">
        <f ca="1">IFERROR(__xludf.DUMMYFUNCTION("""COMPUTED_VALUE"""),"Descubada")</f>
        <v>Descubada</v>
      </c>
      <c r="S1685" s="2"/>
      <c r="T1685" s="2"/>
      <c r="U1685" s="2"/>
    </row>
    <row r="1686" spans="1:21" x14ac:dyDescent="0.25">
      <c r="A1686" s="2" t="str">
        <f ca="1">IFERROR(__xludf.DUMMYFUNCTION("""COMPUTED_VALUE"""),"593de8f5")</f>
        <v>593de8f5</v>
      </c>
      <c r="B1686" s="5">
        <f ca="1">IFERROR(__xludf.DUMMYFUNCTION("""COMPUTED_VALUE"""),46147.3624768518)</f>
        <v>46147.362476851798</v>
      </c>
      <c r="C1686" s="2" t="str">
        <f ca="1">IFERROR(__xludf.DUMMYFUNCTION("""COMPUTED_VALUE"""),"b4b1b66c")</f>
        <v>b4b1b66c</v>
      </c>
      <c r="D1686" s="2">
        <f ca="1">IFERROR(__xludf.DUMMYFUNCTION("""COMPUTED_VALUE"""),89)</f>
        <v>89</v>
      </c>
      <c r="E1686" s="2" t="str">
        <f ca="1">IFERROR(__xludf.DUMMYFUNCTION("""COMPUTED_VALUE"""),"Criolla Recarga")</f>
        <v>Criolla Recarga</v>
      </c>
      <c r="F1686" s="2">
        <f ca="1">IFERROR(__xludf.DUMMYFUNCTION("""COMPUTED_VALUE"""),8300)</f>
        <v>8300</v>
      </c>
      <c r="G1686" s="2">
        <f ca="1">IFERROR(__xludf.DUMMYFUNCTION("""COMPUTED_VALUE"""),6)</f>
        <v>6</v>
      </c>
      <c r="H1686" s="2"/>
      <c r="I1686" s="2"/>
      <c r="J1686" s="2">
        <f ca="1">IFERROR(__xludf.DUMMYFUNCTION("""COMPUTED_VALUE"""),0)</f>
        <v>0</v>
      </c>
      <c r="K1686" s="2">
        <f ca="1">IFERROR(__xludf.DUMMYFUNCTION("""COMPUTED_VALUE"""),8300)</f>
        <v>8300</v>
      </c>
      <c r="L1686" s="2" t="str">
        <f ca="1">IFERROR(__xludf.DUMMYFUNCTION("""COMPUTED_VALUE"""),"ea65ad9a")</f>
        <v>ea65ad9a</v>
      </c>
      <c r="M1686" s="2" t="str">
        <f ca="1">IFERROR(__xludf.DUMMYFUNCTION("""COMPUTED_VALUE"""),"Criolla Recarga")</f>
        <v>Criolla Recarga</v>
      </c>
      <c r="N1686" s="2"/>
      <c r="O1686" s="2" t="str">
        <f ca="1">IFERROR(__xludf.DUMMYFUNCTION("""COMPUTED_VALUE"""),"Recarga Fermentando")</f>
        <v>Recarga Fermentando</v>
      </c>
      <c r="P1686" s="2"/>
      <c r="Q1686" s="2" t="b">
        <f ca="1">IFERROR(__xludf.DUMMYFUNCTION("""COMPUTED_VALUE"""),FALSE)</f>
        <v>0</v>
      </c>
      <c r="R1686" s="2" t="str">
        <f ca="1">IFERROR(__xludf.DUMMYFUNCTION("""COMPUTED_VALUE"""),"Descubada")</f>
        <v>Descubada</v>
      </c>
      <c r="S1686" s="2"/>
      <c r="T1686" s="2"/>
      <c r="U1686" s="2" t="str">
        <f ca="1">IFERROR(__xludf.DUMMYFUNCTION("""COMPUTED_VALUE"""),"1+")</f>
        <v>1+</v>
      </c>
    </row>
    <row r="1687" spans="1:21" x14ac:dyDescent="0.25">
      <c r="A1687" s="2" t="str">
        <f ca="1">IFERROR(__xludf.DUMMYFUNCTION("""COMPUTED_VALUE"""),"69beb174")</f>
        <v>69beb174</v>
      </c>
      <c r="B1687" s="5">
        <f ca="1">IFERROR(__xludf.DUMMYFUNCTION("""COMPUTED_VALUE"""),46147.3790625)</f>
        <v>46147.379062499997</v>
      </c>
      <c r="C1687" s="2" t="str">
        <f ca="1">IFERROR(__xludf.DUMMYFUNCTION("""COMPUTED_VALUE"""),"8763fe64")</f>
        <v>8763fe64</v>
      </c>
      <c r="D1687" s="2">
        <f ca="1">IFERROR(__xludf.DUMMYFUNCTION("""COMPUTED_VALUE"""),125)</f>
        <v>125</v>
      </c>
      <c r="E1687" s="2" t="str">
        <f ca="1">IFERROR(__xludf.DUMMYFUNCTION("""COMPUTED_VALUE"""),"Criolla Mosto")</f>
        <v>Criolla Mosto</v>
      </c>
      <c r="F1687" s="2">
        <f ca="1">IFERROR(__xludf.DUMMYFUNCTION("""COMPUTED_VALUE"""),22900)</f>
        <v>22900</v>
      </c>
      <c r="G1687" s="2">
        <f ca="1">IFERROR(__xludf.DUMMYFUNCTION("""COMPUTED_VALUE"""),88)</f>
        <v>88</v>
      </c>
      <c r="H1687" s="2" t="str">
        <f ca="1">IFERROR(__xludf.DUMMYFUNCTION("""COMPUTED_VALUE"""),"085d8481")</f>
        <v>085d8481</v>
      </c>
      <c r="I1687" s="2" t="str">
        <f ca="1">IFERROR(__xludf.DUMMYFUNCTION("""COMPUTED_VALUE"""),"Bonarda PC")</f>
        <v>Bonarda PC</v>
      </c>
      <c r="J1687" s="2">
        <f ca="1">IFERROR(__xludf.DUMMYFUNCTION("""COMPUTED_VALUE"""),29000)</f>
        <v>29000</v>
      </c>
      <c r="K1687" s="2">
        <f ca="1">IFERROR(__xludf.DUMMYFUNCTION("""COMPUTED_VALUE"""),51900)</f>
        <v>51900</v>
      </c>
      <c r="L1687" s="2" t="str">
        <f ca="1">IFERROR(__xludf.DUMMYFUNCTION("""COMPUTED_VALUE"""),"21d47579")</f>
        <v>21d47579</v>
      </c>
      <c r="M1687" s="2" t="str">
        <f ca="1">IFERROR(__xludf.DUMMYFUNCTION("""COMPUTED_VALUE"""),"Criolla Recarga")</f>
        <v>Criolla Recarga</v>
      </c>
      <c r="N1687" s="2"/>
      <c r="O1687" s="2" t="str">
        <f ca="1">IFERROR(__xludf.DUMMYFUNCTION("""COMPUTED_VALUE"""),"Mosto")</f>
        <v>Mosto</v>
      </c>
      <c r="P1687" s="2" t="str">
        <f ca="1">IFERROR(__xludf.DUMMYFUNCTION("""COMPUTED_VALUE"""),"Fermentando")</f>
        <v>Fermentando</v>
      </c>
      <c r="Q1687" s="2" t="b">
        <f ca="1">IFERROR(__xludf.DUMMYFUNCTION("""COMPUTED_VALUE"""),FALSE)</f>
        <v>0</v>
      </c>
      <c r="R1687" s="2" t="str">
        <f ca="1">IFERROR(__xludf.DUMMYFUNCTION("""COMPUTED_VALUE"""),"Recarga Fermentando")</f>
        <v>Recarga Fermentando</v>
      </c>
      <c r="S1687" s="2"/>
      <c r="T1687" s="2"/>
      <c r="U1687" s="2"/>
    </row>
    <row r="1688" spans="1:21" x14ac:dyDescent="0.25">
      <c r="A1688" s="2" t="str">
        <f ca="1">IFERROR(__xludf.DUMMYFUNCTION("""COMPUTED_VALUE"""),"65f42d9b")</f>
        <v>65f42d9b</v>
      </c>
      <c r="B1688" s="5">
        <f ca="1">IFERROR(__xludf.DUMMYFUNCTION("""COMPUTED_VALUE"""),46148.3800810185)</f>
        <v>46148.380081018498</v>
      </c>
      <c r="C1688" s="2" t="str">
        <f ca="1">IFERROR(__xludf.DUMMYFUNCTION("""COMPUTED_VALUE"""),"9bdb98e8")</f>
        <v>9bdb98e8</v>
      </c>
      <c r="D1688" s="2">
        <f ca="1">IFERROR(__xludf.DUMMYFUNCTION("""COMPUTED_VALUE"""),84)</f>
        <v>84</v>
      </c>
      <c r="E1688" s="2" t="str">
        <f ca="1">IFERROR(__xludf.DUMMYFUNCTION("""COMPUTED_VALUE"""),"Bonarda")</f>
        <v>Bonarda</v>
      </c>
      <c r="F1688" s="2">
        <f ca="1">IFERROR(__xludf.DUMMYFUNCTION("""COMPUTED_VALUE"""),37000)</f>
        <v>37000</v>
      </c>
      <c r="G1688" s="2">
        <f ca="1">IFERROR(__xludf.DUMMYFUNCTION("""COMPUTED_VALUE"""),14)</f>
        <v>14</v>
      </c>
      <c r="H1688" s="2"/>
      <c r="I1688" s="2"/>
      <c r="J1688" s="2">
        <f ca="1">IFERROR(__xludf.DUMMYFUNCTION("""COMPUTED_VALUE"""),0)</f>
        <v>0</v>
      </c>
      <c r="K1688" s="2">
        <f ca="1">IFERROR(__xludf.DUMMYFUNCTION("""COMPUTED_VALUE"""),37000)</f>
        <v>37000</v>
      </c>
      <c r="L1688" s="2" t="str">
        <f ca="1">IFERROR(__xludf.DUMMYFUNCTION("""COMPUTED_VALUE"""),"2be33c71")</f>
        <v>2be33c71</v>
      </c>
      <c r="M1688" s="2" t="str">
        <f ca="1">IFERROR(__xludf.DUMMYFUNCTION("""COMPUTED_VALUE"""),"Bonarda")</f>
        <v>Bonarda</v>
      </c>
      <c r="N1688" s="2"/>
      <c r="O1688" s="2" t="str">
        <f ca="1">IFERROR(__xludf.DUMMYFUNCTION("""COMPUTED_VALUE"""),"Fermentando")</f>
        <v>Fermentando</v>
      </c>
      <c r="P1688" s="2"/>
      <c r="Q1688" s="2" t="b">
        <f ca="1">IFERROR(__xludf.DUMMYFUNCTION("""COMPUTED_VALUE"""),FALSE)</f>
        <v>0</v>
      </c>
      <c r="R1688" s="2" t="str">
        <f ca="1">IFERROR(__xludf.DUMMYFUNCTION("""COMPUTED_VALUE"""),"Descubada")</f>
        <v>Descubada</v>
      </c>
      <c r="S1688" s="2"/>
      <c r="T1688" s="2"/>
      <c r="U1688" s="2"/>
    </row>
    <row r="1689" spans="1:21" x14ac:dyDescent="0.25">
      <c r="A1689" s="2" t="str">
        <f ca="1">IFERROR(__xludf.DUMMYFUNCTION("""COMPUTED_VALUE"""),"20d9aa7c")</f>
        <v>20d9aa7c</v>
      </c>
      <c r="B1689" s="5">
        <f ca="1">IFERROR(__xludf.DUMMYFUNCTION("""COMPUTED_VALUE"""),46148.3802777777)</f>
        <v>46148.380277777702</v>
      </c>
      <c r="C1689" s="2" t="str">
        <f ca="1">IFERROR(__xludf.DUMMYFUNCTION("""COMPUTED_VALUE"""),"9bdb98e8")</f>
        <v>9bdb98e8</v>
      </c>
      <c r="D1689" s="2">
        <f ca="1">IFERROR(__xludf.DUMMYFUNCTION("""COMPUTED_VALUE"""),84)</f>
        <v>84</v>
      </c>
      <c r="E1689" s="2" t="str">
        <f ca="1">IFERROR(__xludf.DUMMYFUNCTION("""COMPUTED_VALUE"""),"Bonarda")</f>
        <v>Bonarda</v>
      </c>
      <c r="F1689" s="2">
        <f ca="1">IFERROR(__xludf.DUMMYFUNCTION("""COMPUTED_VALUE"""),19000)</f>
        <v>19000</v>
      </c>
      <c r="G1689" s="2">
        <f ca="1">IFERROR(__xludf.DUMMYFUNCTION("""COMPUTED_VALUE"""),10)</f>
        <v>10</v>
      </c>
      <c r="H1689" s="2"/>
      <c r="I1689" s="2"/>
      <c r="J1689" s="2">
        <f ca="1">IFERROR(__xludf.DUMMYFUNCTION("""COMPUTED_VALUE"""),0)</f>
        <v>0</v>
      </c>
      <c r="K1689" s="2">
        <f ca="1">IFERROR(__xludf.DUMMYFUNCTION("""COMPUTED_VALUE"""),19000)</f>
        <v>19000</v>
      </c>
      <c r="L1689" s="2" t="str">
        <f ca="1">IFERROR(__xludf.DUMMYFUNCTION("""COMPUTED_VALUE"""),"75fa80cd")</f>
        <v>75fa80cd</v>
      </c>
      <c r="M1689" s="2" t="str">
        <f ca="1">IFERROR(__xludf.DUMMYFUNCTION("""COMPUTED_VALUE"""),"Bonarda")</f>
        <v>Bonarda</v>
      </c>
      <c r="N1689" s="2"/>
      <c r="O1689" s="2" t="str">
        <f ca="1">IFERROR(__xludf.DUMMYFUNCTION("""COMPUTED_VALUE"""),"Fermentando")</f>
        <v>Fermentando</v>
      </c>
      <c r="P1689" s="2"/>
      <c r="Q1689" s="2" t="b">
        <f ca="1">IFERROR(__xludf.DUMMYFUNCTION("""COMPUTED_VALUE"""),FALSE)</f>
        <v>0</v>
      </c>
      <c r="R1689" s="2" t="str">
        <f ca="1">IFERROR(__xludf.DUMMYFUNCTION("""COMPUTED_VALUE"""),"Descubada")</f>
        <v>Descubada</v>
      </c>
      <c r="S1689" s="2"/>
      <c r="T1689" s="2"/>
      <c r="U1689" s="2"/>
    </row>
    <row r="1690" spans="1:21" x14ac:dyDescent="0.25">
      <c r="A1690" s="2" t="str">
        <f ca="1">IFERROR(__xludf.DUMMYFUNCTION("""COMPUTED_VALUE"""),"bd328312")</f>
        <v>bd328312</v>
      </c>
      <c r="B1690" s="5">
        <f ca="1">IFERROR(__xludf.DUMMYFUNCTION("""COMPUTED_VALUE"""),46148.3815393518)</f>
        <v>46148.381539351802</v>
      </c>
      <c r="C1690" s="2" t="str">
        <f ca="1">IFERROR(__xludf.DUMMYFUNCTION("""COMPUTED_VALUE"""),"0763aa8e")</f>
        <v>0763aa8e</v>
      </c>
      <c r="D1690" s="2">
        <f ca="1">IFERROR(__xludf.DUMMYFUNCTION("""COMPUTED_VALUE"""),120)</f>
        <v>120</v>
      </c>
      <c r="E1690" s="2" t="str">
        <f ca="1">IFERROR(__xludf.DUMMYFUNCTION("""COMPUTED_VALUE"""),"Syrah Anc PC s/Asp 2")</f>
        <v>Syrah Anc PC s/Asp 2</v>
      </c>
      <c r="F1690" s="2">
        <f ca="1">IFERROR(__xludf.DUMMYFUNCTION("""COMPUTED_VALUE"""),88000)</f>
        <v>88000</v>
      </c>
      <c r="G1690" s="2">
        <f ca="1">IFERROR(__xludf.DUMMYFUNCTION("""COMPUTED_VALUE"""),86)</f>
        <v>86</v>
      </c>
      <c r="H1690" s="2"/>
      <c r="I1690" s="2"/>
      <c r="J1690" s="2">
        <f ca="1">IFERROR(__xludf.DUMMYFUNCTION("""COMPUTED_VALUE"""),0)</f>
        <v>0</v>
      </c>
      <c r="K1690" s="2">
        <f ca="1">IFERROR(__xludf.DUMMYFUNCTION("""COMPUTED_VALUE"""),88000)</f>
        <v>88000</v>
      </c>
      <c r="L1690" s="2" t="str">
        <f ca="1">IFERROR(__xludf.DUMMYFUNCTION("""COMPUTED_VALUE"""),"3dbf6d25")</f>
        <v>3dbf6d25</v>
      </c>
      <c r="M1690" s="2" t="str">
        <f ca="1">IFERROR(__xludf.DUMMYFUNCTION("""COMPUTED_VALUE"""),"Syrah Anc PC s/Asp 2")</f>
        <v>Syrah Anc PC s/Asp 2</v>
      </c>
      <c r="N1690" s="2"/>
      <c r="O1690" s="2" t="str">
        <f ca="1">IFERROR(__xludf.DUMMYFUNCTION("""COMPUTED_VALUE"""),"Descubada")</f>
        <v>Descubada</v>
      </c>
      <c r="P1690" s="2"/>
      <c r="Q1690" s="2" t="b">
        <f ca="1">IFERROR(__xludf.DUMMYFUNCTION("""COMPUTED_VALUE"""),FALSE)</f>
        <v>0</v>
      </c>
      <c r="R1690" s="2" t="str">
        <f ca="1">IFERROR(__xludf.DUMMYFUNCTION("""COMPUTED_VALUE"""),"1er Trasiego")</f>
        <v>1er Trasiego</v>
      </c>
      <c r="S1690" s="2"/>
      <c r="T1690" s="2"/>
      <c r="U1690" s="2"/>
    </row>
    <row r="1691" spans="1:21" x14ac:dyDescent="0.25">
      <c r="A1691" s="2" t="str">
        <f ca="1">IFERROR(__xludf.DUMMYFUNCTION("""COMPUTED_VALUE"""),"ec1c3808")</f>
        <v>ec1c3808</v>
      </c>
      <c r="B1691" s="5">
        <f ca="1">IFERROR(__xludf.DUMMYFUNCTION("""COMPUTED_VALUE"""),46148.3818518518)</f>
        <v>46148.381851851802</v>
      </c>
      <c r="C1691" s="2" t="str">
        <f ca="1">IFERROR(__xludf.DUMMYFUNCTION("""COMPUTED_VALUE"""),"0763aa8e")</f>
        <v>0763aa8e</v>
      </c>
      <c r="D1691" s="2">
        <f ca="1">IFERROR(__xludf.DUMMYFUNCTION("""COMPUTED_VALUE"""),120)</f>
        <v>120</v>
      </c>
      <c r="E1691" s="2" t="str">
        <f ca="1">IFERROR(__xludf.DUMMYFUNCTION("""COMPUTED_VALUE"""),"Syrah Anc PC s/Asp 2")</f>
        <v>Syrah Anc PC s/Asp 2</v>
      </c>
      <c r="F1691" s="2">
        <f ca="1">IFERROR(__xludf.DUMMYFUNCTION("""COMPUTED_VALUE"""),800)</f>
        <v>800</v>
      </c>
      <c r="G1691" s="2">
        <f ca="1">IFERROR(__xludf.DUMMYFUNCTION("""COMPUTED_VALUE"""),69)</f>
        <v>69</v>
      </c>
      <c r="H1691" s="2"/>
      <c r="I1691" s="2"/>
      <c r="J1691" s="2">
        <f ca="1">IFERROR(__xludf.DUMMYFUNCTION("""COMPUTED_VALUE"""),0)</f>
        <v>0</v>
      </c>
      <c r="K1691" s="2">
        <f ca="1">IFERROR(__xludf.DUMMYFUNCTION("""COMPUTED_VALUE"""),800)</f>
        <v>800</v>
      </c>
      <c r="L1691" s="2" t="str">
        <f ca="1">IFERROR(__xludf.DUMMYFUNCTION("""COMPUTED_VALUE"""),"56cb7230")</f>
        <v>56cb7230</v>
      </c>
      <c r="M1691" s="2" t="str">
        <f ca="1">IFERROR(__xludf.DUMMYFUNCTION("""COMPUTED_VALUE"""),"Borra")</f>
        <v>Borra</v>
      </c>
      <c r="N1691" s="2"/>
      <c r="O1691" s="2" t="str">
        <f ca="1">IFERROR(__xludf.DUMMYFUNCTION("""COMPUTED_VALUE"""),"Descubada")</f>
        <v>Descubada</v>
      </c>
      <c r="P1691" s="2"/>
      <c r="Q1691" s="2" t="b">
        <f ca="1">IFERROR(__xludf.DUMMYFUNCTION("""COMPUTED_VALUE"""),FALSE)</f>
        <v>0</v>
      </c>
      <c r="R1691" s="2" t="str">
        <f ca="1">IFERROR(__xludf.DUMMYFUNCTION("""COMPUTED_VALUE"""),"1er Trasiego")</f>
        <v>1er Trasiego</v>
      </c>
      <c r="S1691" s="2"/>
      <c r="T1691" s="2"/>
      <c r="U1691" s="2"/>
    </row>
    <row r="1692" spans="1:21" x14ac:dyDescent="0.25">
      <c r="A1692" s="2" t="str">
        <f ca="1">IFERROR(__xludf.DUMMYFUNCTION("""COMPUTED_VALUE"""),"683ff631")</f>
        <v>683ff631</v>
      </c>
      <c r="B1692" s="5">
        <f ca="1">IFERROR(__xludf.DUMMYFUNCTION("""COMPUTED_VALUE"""),46148.3824768518)</f>
        <v>46148.382476851802</v>
      </c>
      <c r="C1692" s="2" t="str">
        <f ca="1">IFERROR(__xludf.DUMMYFUNCTION("""COMPUTED_VALUE"""),"bc1c84db")</f>
        <v>bc1c84db</v>
      </c>
      <c r="D1692" s="2">
        <f ca="1">IFERROR(__xludf.DUMMYFUNCTION("""COMPUTED_VALUE"""),102)</f>
        <v>102</v>
      </c>
      <c r="E1692" s="2" t="str">
        <f ca="1">IFERROR(__xludf.DUMMYFUNCTION("""COMPUTED_VALUE"""),"Syrah Anc s/Asp 2")</f>
        <v>Syrah Anc s/Asp 2</v>
      </c>
      <c r="F1692" s="2">
        <f ca="1">IFERROR(__xludf.DUMMYFUNCTION("""COMPUTED_VALUE"""),27000)</f>
        <v>27000</v>
      </c>
      <c r="G1692" s="2">
        <f ca="1">IFERROR(__xludf.DUMMYFUNCTION("""COMPUTED_VALUE"""),126)</f>
        <v>126</v>
      </c>
      <c r="H1692" s="2"/>
      <c r="I1692" s="2"/>
      <c r="J1692" s="2">
        <f ca="1">IFERROR(__xludf.DUMMYFUNCTION("""COMPUTED_VALUE"""),0)</f>
        <v>0</v>
      </c>
      <c r="K1692" s="2">
        <f ca="1">IFERROR(__xludf.DUMMYFUNCTION("""COMPUTED_VALUE"""),27000)</f>
        <v>27000</v>
      </c>
      <c r="L1692" s="2" t="str">
        <f ca="1">IFERROR(__xludf.DUMMYFUNCTION("""COMPUTED_VALUE"""),"e72d58cb")</f>
        <v>e72d58cb</v>
      </c>
      <c r="M1692" s="2" t="str">
        <f ca="1">IFERROR(__xludf.DUMMYFUNCTION("""COMPUTED_VALUE"""),"Syrah Anc s/Asp 2")</f>
        <v>Syrah Anc s/Asp 2</v>
      </c>
      <c r="N1692" s="2"/>
      <c r="O1692" s="2" t="str">
        <f ca="1">IFERROR(__xludf.DUMMYFUNCTION("""COMPUTED_VALUE"""),"Descubada")</f>
        <v>Descubada</v>
      </c>
      <c r="P1692" s="2"/>
      <c r="Q1692" s="2" t="b">
        <f ca="1">IFERROR(__xludf.DUMMYFUNCTION("""COMPUTED_VALUE"""),FALSE)</f>
        <v>0</v>
      </c>
      <c r="R1692" s="2" t="str">
        <f ca="1">IFERROR(__xludf.DUMMYFUNCTION("""COMPUTED_VALUE"""),"1er Trasiego")</f>
        <v>1er Trasiego</v>
      </c>
      <c r="S1692" s="2"/>
      <c r="T1692" s="2"/>
      <c r="U1692" s="2" t="str">
        <f ca="1">IFERROR(__xludf.DUMMYFUNCTION("""COMPUTED_VALUE"""),"1+")</f>
        <v>1+</v>
      </c>
    </row>
    <row r="1693" spans="1:21" x14ac:dyDescent="0.25">
      <c r="A1693" s="2" t="str">
        <f ca="1">IFERROR(__xludf.DUMMYFUNCTION("""COMPUTED_VALUE"""),"48297fef")</f>
        <v>48297fef</v>
      </c>
      <c r="B1693" s="5">
        <f ca="1">IFERROR(__xludf.DUMMYFUNCTION("""COMPUTED_VALUE"""),46148.3827546296)</f>
        <v>46148.382754629602</v>
      </c>
      <c r="C1693" s="2" t="str">
        <f ca="1">IFERROR(__xludf.DUMMYFUNCTION("""COMPUTED_VALUE"""),"a55a2b1c")</f>
        <v>a55a2b1c</v>
      </c>
      <c r="D1693" s="2">
        <f ca="1">IFERROR(__xludf.DUMMYFUNCTION("""COMPUTED_VALUE"""),106)</f>
        <v>106</v>
      </c>
      <c r="E1693" s="2" t="str">
        <f ca="1">IFERROR(__xludf.DUMMYFUNCTION("""COMPUTED_VALUE"""),"Syrah Merlot s/Asp 3")</f>
        <v>Syrah Merlot s/Asp 3</v>
      </c>
      <c r="F1693" s="2">
        <f ca="1">IFERROR(__xludf.DUMMYFUNCTION("""COMPUTED_VALUE"""),4000)</f>
        <v>4000</v>
      </c>
      <c r="G1693" s="2">
        <f ca="1">IFERROR(__xludf.DUMMYFUNCTION("""COMPUTED_VALUE"""),126)</f>
        <v>126</v>
      </c>
      <c r="H1693" s="2" t="str">
        <f ca="1">IFERROR(__xludf.DUMMYFUNCTION("""COMPUTED_VALUE"""),"e72d58cb")</f>
        <v>e72d58cb</v>
      </c>
      <c r="I1693" s="2" t="str">
        <f ca="1">IFERROR(__xludf.DUMMYFUNCTION("""COMPUTED_VALUE"""),"Syrah Anc s/Asp 2")</f>
        <v>Syrah Anc s/Asp 2</v>
      </c>
      <c r="J1693" s="2">
        <f ca="1">IFERROR(__xludf.DUMMYFUNCTION("""COMPUTED_VALUE"""),27000)</f>
        <v>27000</v>
      </c>
      <c r="K1693" s="2">
        <f ca="1">IFERROR(__xludf.DUMMYFUNCTION("""COMPUTED_VALUE"""),31000)</f>
        <v>31000</v>
      </c>
      <c r="L1693" s="2" t="str">
        <f ca="1">IFERROR(__xludf.DUMMYFUNCTION("""COMPUTED_VALUE"""),"50c7cf74")</f>
        <v>50c7cf74</v>
      </c>
      <c r="M1693" s="2" t="str">
        <f ca="1">IFERROR(__xludf.DUMMYFUNCTION("""COMPUTED_VALUE"""),"Syrah Anc s/Asp 2")</f>
        <v>Syrah Anc s/Asp 2</v>
      </c>
      <c r="N1693" s="2"/>
      <c r="O1693" s="2" t="str">
        <f ca="1">IFERROR(__xludf.DUMMYFUNCTION("""COMPUTED_VALUE"""),"Descubada")</f>
        <v>Descubada</v>
      </c>
      <c r="P1693" s="2" t="str">
        <f ca="1">IFERROR(__xludf.DUMMYFUNCTION("""COMPUTED_VALUE"""),"1er Trasiego")</f>
        <v>1er Trasiego</v>
      </c>
      <c r="Q1693" s="2" t="b">
        <f ca="1">IFERROR(__xludf.DUMMYFUNCTION("""COMPUTED_VALUE"""),TRUE)</f>
        <v>1</v>
      </c>
      <c r="R1693" s="2" t="str">
        <f ca="1">IFERROR(__xludf.DUMMYFUNCTION("""COMPUTED_VALUE"""),"1er Trasiego")</f>
        <v>1er Trasiego</v>
      </c>
      <c r="S1693" s="2"/>
      <c r="T1693" s="2"/>
      <c r="U1693" s="2" t="str">
        <f ca="1">IFERROR(__xludf.DUMMYFUNCTION("""COMPUTED_VALUE"""),"1+")</f>
        <v>1+</v>
      </c>
    </row>
    <row r="1694" spans="1:21" x14ac:dyDescent="0.25">
      <c r="A1694" s="2" t="str">
        <f ca="1">IFERROR(__xludf.DUMMYFUNCTION("""COMPUTED_VALUE"""),"0aa325a0")</f>
        <v>0aa325a0</v>
      </c>
      <c r="B1694" s="5">
        <f ca="1">IFERROR(__xludf.DUMMYFUNCTION("""COMPUTED_VALUE"""),46148.3838657407)</f>
        <v>46148.383865740703</v>
      </c>
      <c r="C1694" s="2" t="str">
        <f ca="1">IFERROR(__xludf.DUMMYFUNCTION("""COMPUTED_VALUE"""),"a8f01ef9")</f>
        <v>a8f01ef9</v>
      </c>
      <c r="D1694" s="2">
        <f ca="1">IFERROR(__xludf.DUMMYFUNCTION("""COMPUTED_VALUE"""),103)</f>
        <v>103</v>
      </c>
      <c r="E1694" s="2" t="str">
        <f ca="1">IFERROR(__xludf.DUMMYFUNCTION("""COMPUTED_VALUE"""),"Syrah Anc s/Asp 2")</f>
        <v>Syrah Anc s/Asp 2</v>
      </c>
      <c r="F1694" s="2">
        <f ca="1">IFERROR(__xludf.DUMMYFUNCTION("""COMPUTED_VALUE"""),31000)</f>
        <v>31000</v>
      </c>
      <c r="G1694" s="2">
        <f ca="1">IFERROR(__xludf.DUMMYFUNCTION("""COMPUTED_VALUE"""),102)</f>
        <v>102</v>
      </c>
      <c r="H1694" s="2"/>
      <c r="I1694" s="2"/>
      <c r="J1694" s="2">
        <f ca="1">IFERROR(__xludf.DUMMYFUNCTION("""COMPUTED_VALUE"""),0)</f>
        <v>0</v>
      </c>
      <c r="K1694" s="2">
        <f ca="1">IFERROR(__xludf.DUMMYFUNCTION("""COMPUTED_VALUE"""),31000)</f>
        <v>31000</v>
      </c>
      <c r="L1694" s="2" t="str">
        <f ca="1">IFERROR(__xludf.DUMMYFUNCTION("""COMPUTED_VALUE"""),"d692801e")</f>
        <v>d692801e</v>
      </c>
      <c r="M1694" s="2" t="str">
        <f ca="1">IFERROR(__xludf.DUMMYFUNCTION("""COMPUTED_VALUE"""),"Syrah Anc s/Asp 2")</f>
        <v>Syrah Anc s/Asp 2</v>
      </c>
      <c r="N1694" s="2"/>
      <c r="O1694" s="2" t="str">
        <f ca="1">IFERROR(__xludf.DUMMYFUNCTION("""COMPUTED_VALUE"""),"Descubada")</f>
        <v>Descubada</v>
      </c>
      <c r="P1694" s="2"/>
      <c r="Q1694" s="2" t="b">
        <f ca="1">IFERROR(__xludf.DUMMYFUNCTION("""COMPUTED_VALUE"""),FALSE)</f>
        <v>0</v>
      </c>
      <c r="R1694" s="2" t="str">
        <f ca="1">IFERROR(__xludf.DUMMYFUNCTION("""COMPUTED_VALUE"""),"1er Trasiego")</f>
        <v>1er Trasiego</v>
      </c>
      <c r="S1694" s="2"/>
      <c r="T1694" s="2"/>
      <c r="U1694" s="2" t="str">
        <f ca="1">IFERROR(__xludf.DUMMYFUNCTION("""COMPUTED_VALUE"""),"1+")</f>
        <v>1+</v>
      </c>
    </row>
    <row r="1695" spans="1:21" x14ac:dyDescent="0.25">
      <c r="A1695" s="2" t="str">
        <f ca="1">IFERROR(__xludf.DUMMYFUNCTION("""COMPUTED_VALUE"""),"21de9f38")</f>
        <v>21de9f38</v>
      </c>
      <c r="B1695" s="5">
        <f ca="1">IFERROR(__xludf.DUMMYFUNCTION("""COMPUTED_VALUE"""),46148.3850694444)</f>
        <v>46148.385069444397</v>
      </c>
      <c r="C1695" s="2" t="str">
        <f ca="1">IFERROR(__xludf.DUMMYFUNCTION("""COMPUTED_VALUE"""),"b41b9422")</f>
        <v>b41b9422</v>
      </c>
      <c r="D1695" s="2">
        <f ca="1">IFERROR(__xludf.DUMMYFUNCTION("""COMPUTED_VALUE"""),121)</f>
        <v>121</v>
      </c>
      <c r="E1695" s="2" t="str">
        <f ca="1">IFERROR(__xludf.DUMMYFUNCTION("""COMPUTED_VALUE"""),"Aspirant Anccelota PC")</f>
        <v>Aspirant Anccelota PC</v>
      </c>
      <c r="F1695" s="2">
        <f ca="1">IFERROR(__xludf.DUMMYFUNCTION("""COMPUTED_VALUE"""),85800)</f>
        <v>85800</v>
      </c>
      <c r="G1695" s="2">
        <f ca="1">IFERROR(__xludf.DUMMYFUNCTION("""COMPUTED_VALUE"""),120)</f>
        <v>120</v>
      </c>
      <c r="H1695" s="2"/>
      <c r="I1695" s="2"/>
      <c r="J1695" s="2">
        <f ca="1">IFERROR(__xludf.DUMMYFUNCTION("""COMPUTED_VALUE"""),0)</f>
        <v>0</v>
      </c>
      <c r="K1695" s="2">
        <f ca="1">IFERROR(__xludf.DUMMYFUNCTION("""COMPUTED_VALUE"""),85800)</f>
        <v>85800</v>
      </c>
      <c r="L1695" s="2" t="str">
        <f ca="1">IFERROR(__xludf.DUMMYFUNCTION("""COMPUTED_VALUE"""),"aa8077cb")</f>
        <v>aa8077cb</v>
      </c>
      <c r="M1695" s="2" t="str">
        <f ca="1">IFERROR(__xludf.DUMMYFUNCTION("""COMPUTED_VALUE"""),"Aspirant Anccelota PC")</f>
        <v>Aspirant Anccelota PC</v>
      </c>
      <c r="N1695" s="2"/>
      <c r="O1695" s="2" t="str">
        <f ca="1">IFERROR(__xludf.DUMMYFUNCTION("""COMPUTED_VALUE"""),"Descubada")</f>
        <v>Descubada</v>
      </c>
      <c r="P1695" s="2"/>
      <c r="Q1695" s="2" t="b">
        <f ca="1">IFERROR(__xludf.DUMMYFUNCTION("""COMPUTED_VALUE"""),FALSE)</f>
        <v>0</v>
      </c>
      <c r="R1695" s="2" t="str">
        <f ca="1">IFERROR(__xludf.DUMMYFUNCTION("""COMPUTED_VALUE"""),"1er Trasiego")</f>
        <v>1er Trasiego</v>
      </c>
      <c r="S1695" s="2"/>
      <c r="T1695" s="2"/>
      <c r="U1695" s="2"/>
    </row>
    <row r="1696" spans="1:21" x14ac:dyDescent="0.25">
      <c r="A1696" s="2" t="str">
        <f ca="1">IFERROR(__xludf.DUMMYFUNCTION("""COMPUTED_VALUE"""),"93ef769e")</f>
        <v>93ef769e</v>
      </c>
      <c r="B1696" s="5">
        <f ca="1">IFERROR(__xludf.DUMMYFUNCTION("""COMPUTED_VALUE"""),46148.3855092592)</f>
        <v>46148.385509259198</v>
      </c>
      <c r="C1696" s="2" t="str">
        <f ca="1">IFERROR(__xludf.DUMMYFUNCTION("""COMPUTED_VALUE"""),"989bf939")</f>
        <v>989bf939</v>
      </c>
      <c r="D1696" s="2">
        <f ca="1">IFERROR(__xludf.DUMMYFUNCTION("""COMPUTED_VALUE"""),77)</f>
        <v>77</v>
      </c>
      <c r="E1696" s="2" t="str">
        <f ca="1">IFERROR(__xludf.DUMMYFUNCTION("""COMPUTED_VALUE"""),"Criolla")</f>
        <v>Criolla</v>
      </c>
      <c r="F1696" s="2">
        <f ca="1">IFERROR(__xludf.DUMMYFUNCTION("""COMPUTED_VALUE"""),19500)</f>
        <v>19500</v>
      </c>
      <c r="G1696" s="2">
        <f ca="1">IFERROR(__xludf.DUMMYFUNCTION("""COMPUTED_VALUE"""),16)</f>
        <v>16</v>
      </c>
      <c r="H1696" s="2"/>
      <c r="I1696" s="2"/>
      <c r="J1696" s="2">
        <f ca="1">IFERROR(__xludf.DUMMYFUNCTION("""COMPUTED_VALUE"""),0)</f>
        <v>0</v>
      </c>
      <c r="K1696" s="2">
        <f ca="1">IFERROR(__xludf.DUMMYFUNCTION("""COMPUTED_VALUE"""),19000)</f>
        <v>19000</v>
      </c>
      <c r="L1696" s="2" t="str">
        <f ca="1">IFERROR(__xludf.DUMMYFUNCTION("""COMPUTED_VALUE"""),"d3b686a2")</f>
        <v>d3b686a2</v>
      </c>
      <c r="M1696" s="2" t="str">
        <f ca="1">IFERROR(__xludf.DUMMYFUNCTION("""COMPUTED_VALUE"""),"Criolla")</f>
        <v>Criolla</v>
      </c>
      <c r="N1696" s="2"/>
      <c r="O1696" s="2" t="str">
        <f ca="1">IFERROR(__xludf.DUMMYFUNCTION("""COMPUTED_VALUE"""),"Fermentando")</f>
        <v>Fermentando</v>
      </c>
      <c r="P1696" s="2"/>
      <c r="Q1696" s="2" t="b">
        <f ca="1">IFERROR(__xludf.DUMMYFUNCTION("""COMPUTED_VALUE"""),FALSE)</f>
        <v>0</v>
      </c>
      <c r="R1696" s="2" t="str">
        <f ca="1">IFERROR(__xludf.DUMMYFUNCTION("""COMPUTED_VALUE"""),"Descubada")</f>
        <v>Descubada</v>
      </c>
      <c r="S1696" s="2"/>
      <c r="T1696" s="2"/>
      <c r="U1696" s="2" t="str">
        <f ca="1">IFERROR(__xludf.DUMMYFUNCTION("""COMPUTED_VALUE"""),"1-")</f>
        <v>1-</v>
      </c>
    </row>
    <row r="1697" spans="1:21" x14ac:dyDescent="0.25">
      <c r="A1697" s="2" t="str">
        <f ca="1">IFERROR(__xludf.DUMMYFUNCTION("""COMPUTED_VALUE"""),"0f95fe07")</f>
        <v>0f95fe07</v>
      </c>
      <c r="B1697" s="5">
        <f ca="1">IFERROR(__xludf.DUMMYFUNCTION("""COMPUTED_VALUE"""),46148.3860532407)</f>
        <v>46148.386053240698</v>
      </c>
      <c r="C1697" s="2" t="str">
        <f ca="1">IFERROR(__xludf.DUMMYFUNCTION("""COMPUTED_VALUE"""),"989bf939")</f>
        <v>989bf939</v>
      </c>
      <c r="D1697" s="2">
        <f ca="1">IFERROR(__xludf.DUMMYFUNCTION("""COMPUTED_VALUE"""),77)</f>
        <v>77</v>
      </c>
      <c r="E1697" s="2" t="str">
        <f ca="1">IFERROR(__xludf.DUMMYFUNCTION("""COMPUTED_VALUE"""),"Criolla")</f>
        <v>Criolla</v>
      </c>
      <c r="F1697" s="2">
        <f ca="1">IFERROR(__xludf.DUMMYFUNCTION("""COMPUTED_VALUE"""),4500)</f>
        <v>4500</v>
      </c>
      <c r="G1697" s="2">
        <f ca="1">IFERROR(__xludf.DUMMYFUNCTION("""COMPUTED_VALUE"""),69)</f>
        <v>69</v>
      </c>
      <c r="H1697" s="2" t="str">
        <f ca="1">IFERROR(__xludf.DUMMYFUNCTION("""COMPUTED_VALUE"""),"56cb7230")</f>
        <v>56cb7230</v>
      </c>
      <c r="I1697" s="2" t="str">
        <f ca="1">IFERROR(__xludf.DUMMYFUNCTION("""COMPUTED_VALUE"""),"Borra")</f>
        <v>Borra</v>
      </c>
      <c r="J1697" s="2">
        <f ca="1">IFERROR(__xludf.DUMMYFUNCTION("""COMPUTED_VALUE"""),800)</f>
        <v>800</v>
      </c>
      <c r="K1697" s="2">
        <f ca="1">IFERROR(__xludf.DUMMYFUNCTION("""COMPUTED_VALUE"""),5300)</f>
        <v>5300</v>
      </c>
      <c r="L1697" s="2" t="str">
        <f ca="1">IFERROR(__xludf.DUMMYFUNCTION("""COMPUTED_VALUE"""),"4b5e9bfd")</f>
        <v>4b5e9bfd</v>
      </c>
      <c r="M1697" s="2" t="str">
        <f ca="1">IFERROR(__xludf.DUMMYFUNCTION("""COMPUTED_VALUE"""),"Borra")</f>
        <v>Borra</v>
      </c>
      <c r="N1697" s="2"/>
      <c r="O1697" s="2" t="str">
        <f ca="1">IFERROR(__xludf.DUMMYFUNCTION("""COMPUTED_VALUE"""),"Fermentando")</f>
        <v>Fermentando</v>
      </c>
      <c r="P1697" s="2" t="str">
        <f ca="1">IFERROR(__xludf.DUMMYFUNCTION("""COMPUTED_VALUE"""),"1er Trasiego")</f>
        <v>1er Trasiego</v>
      </c>
      <c r="Q1697" s="2" t="b">
        <f ca="1">IFERROR(__xludf.DUMMYFUNCTION("""COMPUTED_VALUE"""),TRUE)</f>
        <v>1</v>
      </c>
      <c r="R1697" s="2" t="str">
        <f ca="1">IFERROR(__xludf.DUMMYFUNCTION("""COMPUTED_VALUE"""),"1er Trasiego")</f>
        <v>1er Trasiego</v>
      </c>
      <c r="S1697" s="2"/>
      <c r="T1697" s="2"/>
      <c r="U1697" s="2"/>
    </row>
    <row r="1698" spans="1:21" x14ac:dyDescent="0.25">
      <c r="A1698" s="2" t="str">
        <f ca="1">IFERROR(__xludf.DUMMYFUNCTION("""COMPUTED_VALUE"""),"b648577e")</f>
        <v>b648577e</v>
      </c>
      <c r="B1698" s="5">
        <f ca="1">IFERROR(__xludf.DUMMYFUNCTION("""COMPUTED_VALUE"""),46149.4660416666)</f>
        <v>46149.466041666601</v>
      </c>
      <c r="C1698" s="2" t="str">
        <f ca="1">IFERROR(__xludf.DUMMYFUNCTION("""COMPUTED_VALUE"""),"50c7cf74")</f>
        <v>50c7cf74</v>
      </c>
      <c r="D1698" s="2">
        <f ca="1">IFERROR(__xludf.DUMMYFUNCTION("""COMPUTED_VALUE"""),126)</f>
        <v>126</v>
      </c>
      <c r="E1698" s="2" t="str">
        <f ca="1">IFERROR(__xludf.DUMMYFUNCTION("""COMPUTED_VALUE"""),"Syrah Anc s/Asp 2")</f>
        <v>Syrah Anc s/Asp 2</v>
      </c>
      <c r="F1698" s="2">
        <f ca="1">IFERROR(__xludf.DUMMYFUNCTION("""COMPUTED_VALUE"""),31000)</f>
        <v>31000</v>
      </c>
      <c r="G1698" s="2">
        <f ca="1">IFERROR(__xludf.DUMMYFUNCTION("""COMPUTED_VALUE"""),125)</f>
        <v>125</v>
      </c>
      <c r="H1698" s="2"/>
      <c r="I1698" s="2"/>
      <c r="J1698" s="2">
        <f ca="1">IFERROR(__xludf.DUMMYFUNCTION("""COMPUTED_VALUE"""),0)</f>
        <v>0</v>
      </c>
      <c r="K1698" s="2">
        <f ca="1">IFERROR(__xludf.DUMMYFUNCTION("""COMPUTED_VALUE"""),31000)</f>
        <v>31000</v>
      </c>
      <c r="L1698" s="2" t="str">
        <f ca="1">IFERROR(__xludf.DUMMYFUNCTION("""COMPUTED_VALUE"""),"3574f330")</f>
        <v>3574f330</v>
      </c>
      <c r="M1698" s="2" t="str">
        <f ca="1">IFERROR(__xludf.DUMMYFUNCTION("""COMPUTED_VALUE"""),"Syrah Anc s/Asp 2")</f>
        <v>Syrah Anc s/Asp 2</v>
      </c>
      <c r="N1698" s="2"/>
      <c r="O1698" s="2" t="str">
        <f ca="1">IFERROR(__xludf.DUMMYFUNCTION("""COMPUTED_VALUE"""),"1er Trasiego")</f>
        <v>1er Trasiego</v>
      </c>
      <c r="P1698" s="2"/>
      <c r="Q1698" s="2" t="b">
        <f ca="1">IFERROR(__xludf.DUMMYFUNCTION("""COMPUTED_VALUE"""),FALSE)</f>
        <v>0</v>
      </c>
      <c r="R1698" s="2" t="str">
        <f ca="1">IFERROR(__xludf.DUMMYFUNCTION("""COMPUTED_VALUE"""),"1er Trasiego")</f>
        <v>1er Trasiego</v>
      </c>
      <c r="S1698" s="2"/>
      <c r="T1698" s="2"/>
      <c r="U1698" s="2" t="str">
        <f ca="1">IFERROR(__xludf.DUMMYFUNCTION("""COMPUTED_VALUE"""),"1+")</f>
        <v>1+</v>
      </c>
    </row>
    <row r="1699" spans="1:21" x14ac:dyDescent="0.25">
      <c r="A1699" s="2" t="str">
        <f ca="1">IFERROR(__xludf.DUMMYFUNCTION("""COMPUTED_VALUE"""),"21d33603")</f>
        <v>21d33603</v>
      </c>
      <c r="B1699" s="5">
        <f ca="1">IFERROR(__xludf.DUMMYFUNCTION("""COMPUTED_VALUE"""),46149.4688888888)</f>
        <v>46149.468888888798</v>
      </c>
      <c r="C1699" s="2" t="str">
        <f ca="1">IFERROR(__xludf.DUMMYFUNCTION("""COMPUTED_VALUE"""),"21d47579")</f>
        <v>21d47579</v>
      </c>
      <c r="D1699" s="2">
        <f ca="1">IFERROR(__xludf.DUMMYFUNCTION("""COMPUTED_VALUE"""),88)</f>
        <v>88</v>
      </c>
      <c r="E1699" s="2" t="str">
        <f ca="1">IFERROR(__xludf.DUMMYFUNCTION("""COMPUTED_VALUE"""),"Criolla Recarga")</f>
        <v>Criolla Recarga</v>
      </c>
      <c r="F1699" s="2">
        <f ca="1">IFERROR(__xludf.DUMMYFUNCTION("""COMPUTED_VALUE"""),22900)</f>
        <v>22900</v>
      </c>
      <c r="G1699" s="2">
        <f ca="1">IFERROR(__xludf.DUMMYFUNCTION("""COMPUTED_VALUE"""),54)</f>
        <v>54</v>
      </c>
      <c r="H1699" s="2"/>
      <c r="I1699" s="2"/>
      <c r="J1699" s="2">
        <f ca="1">IFERROR(__xludf.DUMMYFUNCTION("""COMPUTED_VALUE"""),0)</f>
        <v>0</v>
      </c>
      <c r="K1699" s="2">
        <f ca="1">IFERROR(__xludf.DUMMYFUNCTION("""COMPUTED_VALUE"""),22900)</f>
        <v>22900</v>
      </c>
      <c r="L1699" s="2" t="str">
        <f ca="1">IFERROR(__xludf.DUMMYFUNCTION("""COMPUTED_VALUE"""),"3f8a4231")</f>
        <v>3f8a4231</v>
      </c>
      <c r="M1699" s="2" t="str">
        <f ca="1">IFERROR(__xludf.DUMMYFUNCTION("""COMPUTED_VALUE"""),"Criolla Recarga")</f>
        <v>Criolla Recarga</v>
      </c>
      <c r="N1699" s="2"/>
      <c r="O1699" s="2" t="str">
        <f ca="1">IFERROR(__xludf.DUMMYFUNCTION("""COMPUTED_VALUE"""),"Recarga Fermentando")</f>
        <v>Recarga Fermentando</v>
      </c>
      <c r="P1699" s="2"/>
      <c r="Q1699" s="2" t="b">
        <f ca="1">IFERROR(__xludf.DUMMYFUNCTION("""COMPUTED_VALUE"""),FALSE)</f>
        <v>0</v>
      </c>
      <c r="R1699" s="2" t="str">
        <f ca="1">IFERROR(__xludf.DUMMYFUNCTION("""COMPUTED_VALUE"""),"Descubada")</f>
        <v>Descubada</v>
      </c>
      <c r="S1699" s="2"/>
      <c r="T1699" s="2"/>
      <c r="U1699" s="2"/>
    </row>
    <row r="1700" spans="1:21" x14ac:dyDescent="0.25">
      <c r="A1700" s="2" t="str">
        <f ca="1">IFERROR(__xludf.DUMMYFUNCTION("""COMPUTED_VALUE"""),"08758cc4")</f>
        <v>08758cc4</v>
      </c>
      <c r="B1700" s="5">
        <f ca="1">IFERROR(__xludf.DUMMYFUNCTION("""COMPUTED_VALUE"""),46149.4691898148)</f>
        <v>46149.469189814801</v>
      </c>
      <c r="C1700" s="2" t="str">
        <f ca="1">IFERROR(__xludf.DUMMYFUNCTION("""COMPUTED_VALUE"""),"21d47579")</f>
        <v>21d47579</v>
      </c>
      <c r="D1700" s="2">
        <f ca="1">IFERROR(__xludf.DUMMYFUNCTION("""COMPUTED_VALUE"""),88)</f>
        <v>88</v>
      </c>
      <c r="E1700" s="2" t="str">
        <f ca="1">IFERROR(__xludf.DUMMYFUNCTION("""COMPUTED_VALUE"""),"Criolla Recarga")</f>
        <v>Criolla Recarga</v>
      </c>
      <c r="F1700" s="2">
        <f ca="1">IFERROR(__xludf.DUMMYFUNCTION("""COMPUTED_VALUE"""),26000)</f>
        <v>26000</v>
      </c>
      <c r="G1700" s="2">
        <f ca="1">IFERROR(__xludf.DUMMYFUNCTION("""COMPUTED_VALUE"""),77)</f>
        <v>77</v>
      </c>
      <c r="H1700" s="2"/>
      <c r="I1700" s="2"/>
      <c r="J1700" s="2">
        <f ca="1">IFERROR(__xludf.DUMMYFUNCTION("""COMPUTED_VALUE"""),0)</f>
        <v>0</v>
      </c>
      <c r="K1700" s="2">
        <f ca="1">IFERROR(__xludf.DUMMYFUNCTION("""COMPUTED_VALUE"""),26000)</f>
        <v>26000</v>
      </c>
      <c r="L1700" s="2" t="str">
        <f ca="1">IFERROR(__xludf.DUMMYFUNCTION("""COMPUTED_VALUE"""),"cf5c2a34")</f>
        <v>cf5c2a34</v>
      </c>
      <c r="M1700" s="2" t="str">
        <f ca="1">IFERROR(__xludf.DUMMYFUNCTION("""COMPUTED_VALUE"""),"Criolla Recarga")</f>
        <v>Criolla Recarga</v>
      </c>
      <c r="N1700" s="2"/>
      <c r="O1700" s="2" t="str">
        <f ca="1">IFERROR(__xludf.DUMMYFUNCTION("""COMPUTED_VALUE"""),"Recarga Fermentando")</f>
        <v>Recarga Fermentando</v>
      </c>
      <c r="P1700" s="2"/>
      <c r="Q1700" s="2" t="b">
        <f ca="1">IFERROR(__xludf.DUMMYFUNCTION("""COMPUTED_VALUE"""),FALSE)</f>
        <v>0</v>
      </c>
      <c r="R1700" s="2" t="str">
        <f ca="1">IFERROR(__xludf.DUMMYFUNCTION("""COMPUTED_VALUE"""),"Descubada")</f>
        <v>Descubada</v>
      </c>
      <c r="S1700" s="2"/>
      <c r="T1700" s="2"/>
      <c r="U1700" s="2"/>
    </row>
    <row r="1701" spans="1:21" x14ac:dyDescent="0.25">
      <c r="A1701" s="2" t="str">
        <f ca="1">IFERROR(__xludf.DUMMYFUNCTION("""COMPUTED_VALUE"""),"4be9e4d3")</f>
        <v>4be9e4d3</v>
      </c>
      <c r="B1701" s="5">
        <f ca="1">IFERROR(__xludf.DUMMYFUNCTION("""COMPUTED_VALUE"""),46149.4694675925)</f>
        <v>46149.469467592498</v>
      </c>
      <c r="C1701" s="2" t="str">
        <f ca="1">IFERROR(__xludf.DUMMYFUNCTION("""COMPUTED_VALUE"""),"21d47579")</f>
        <v>21d47579</v>
      </c>
      <c r="D1701" s="2">
        <f ca="1">IFERROR(__xludf.DUMMYFUNCTION("""COMPUTED_VALUE"""),88)</f>
        <v>88</v>
      </c>
      <c r="E1701" s="2" t="str">
        <f ca="1">IFERROR(__xludf.DUMMYFUNCTION("""COMPUTED_VALUE"""),"Criolla Recarga")</f>
        <v>Criolla Recarga</v>
      </c>
      <c r="F1701" s="2">
        <f ca="1">IFERROR(__xludf.DUMMYFUNCTION("""COMPUTED_VALUE"""),3000)</f>
        <v>3000</v>
      </c>
      <c r="G1701" s="2">
        <f ca="1">IFERROR(__xludf.DUMMYFUNCTION("""COMPUTED_VALUE"""),69)</f>
        <v>69</v>
      </c>
      <c r="H1701" s="2" t="str">
        <f ca="1">IFERROR(__xludf.DUMMYFUNCTION("""COMPUTED_VALUE"""),"4b5e9bfd")</f>
        <v>4b5e9bfd</v>
      </c>
      <c r="I1701" s="2" t="str">
        <f ca="1">IFERROR(__xludf.DUMMYFUNCTION("""COMPUTED_VALUE"""),"Borra")</f>
        <v>Borra</v>
      </c>
      <c r="J1701" s="2">
        <f ca="1">IFERROR(__xludf.DUMMYFUNCTION("""COMPUTED_VALUE"""),5300)</f>
        <v>5300</v>
      </c>
      <c r="K1701" s="2">
        <f ca="1">IFERROR(__xludf.DUMMYFUNCTION("""COMPUTED_VALUE"""),8300)</f>
        <v>8300</v>
      </c>
      <c r="L1701" s="2" t="str">
        <f ca="1">IFERROR(__xludf.DUMMYFUNCTION("""COMPUTED_VALUE"""),"081b56e7")</f>
        <v>081b56e7</v>
      </c>
      <c r="M1701" s="2" t="str">
        <f ca="1">IFERROR(__xludf.DUMMYFUNCTION("""COMPUTED_VALUE"""),"Borra")</f>
        <v>Borra</v>
      </c>
      <c r="N1701" s="2"/>
      <c r="O1701" s="2" t="str">
        <f ca="1">IFERROR(__xludf.DUMMYFUNCTION("""COMPUTED_VALUE"""),"Recarga Fermentando")</f>
        <v>Recarga Fermentando</v>
      </c>
      <c r="P1701" s="2" t="str">
        <f ca="1">IFERROR(__xludf.DUMMYFUNCTION("""COMPUTED_VALUE"""),"1er Trasiego")</f>
        <v>1er Trasiego</v>
      </c>
      <c r="Q1701" s="2" t="b">
        <f ca="1">IFERROR(__xludf.DUMMYFUNCTION("""COMPUTED_VALUE"""),TRUE)</f>
        <v>1</v>
      </c>
      <c r="R1701" s="2" t="str">
        <f ca="1">IFERROR(__xludf.DUMMYFUNCTION("""COMPUTED_VALUE"""),"1er Trasiego")</f>
        <v>1er Trasiego</v>
      </c>
      <c r="S1701" s="2"/>
      <c r="T1701" s="2"/>
      <c r="U1701" s="2"/>
    </row>
    <row r="1702" spans="1:21" x14ac:dyDescent="0.25">
      <c r="A1702" s="2" t="str">
        <f ca="1">IFERROR(__xludf.DUMMYFUNCTION("""COMPUTED_VALUE"""),"82a27f12")</f>
        <v>82a27f12</v>
      </c>
      <c r="B1702" s="5">
        <f ca="1">IFERROR(__xludf.DUMMYFUNCTION("""COMPUTED_VALUE"""),46149.4709606481)</f>
        <v>46149.470960648097</v>
      </c>
      <c r="C1702" s="2" t="str">
        <f ca="1">IFERROR(__xludf.DUMMYFUNCTION("""COMPUTED_VALUE"""),"7831ca4f")</f>
        <v>7831ca4f</v>
      </c>
      <c r="D1702" s="2">
        <f ca="1">IFERROR(__xludf.DUMMYFUNCTION("""COMPUTED_VALUE"""),104)</f>
        <v>104</v>
      </c>
      <c r="E1702" s="2" t="str">
        <f ca="1">IFERROR(__xludf.DUMMYFUNCTION("""COMPUTED_VALUE"""),"Syrah s/Asp")</f>
        <v>Syrah s/Asp</v>
      </c>
      <c r="F1702" s="2">
        <f ca="1">IFERROR(__xludf.DUMMYFUNCTION("""COMPUTED_VALUE"""),31000)</f>
        <v>31000</v>
      </c>
      <c r="G1702" s="2">
        <f ca="1">IFERROR(__xludf.DUMMYFUNCTION("""COMPUTED_VALUE"""),103)</f>
        <v>103</v>
      </c>
      <c r="H1702" s="2"/>
      <c r="I1702" s="2"/>
      <c r="J1702" s="2">
        <f ca="1">IFERROR(__xludf.DUMMYFUNCTION("""COMPUTED_VALUE"""),0)</f>
        <v>0</v>
      </c>
      <c r="K1702" s="2">
        <f ca="1">IFERROR(__xludf.DUMMYFUNCTION("""COMPUTED_VALUE"""),31000)</f>
        <v>31000</v>
      </c>
      <c r="L1702" s="2" t="str">
        <f ca="1">IFERROR(__xludf.DUMMYFUNCTION("""COMPUTED_VALUE"""),"a9c64acb")</f>
        <v>a9c64acb</v>
      </c>
      <c r="M1702" s="2" t="str">
        <f ca="1">IFERROR(__xludf.DUMMYFUNCTION("""COMPUTED_VALUE"""),"Syrah s/Asp")</f>
        <v>Syrah s/Asp</v>
      </c>
      <c r="N1702" s="2"/>
      <c r="O1702" s="2" t="str">
        <f ca="1">IFERROR(__xludf.DUMMYFUNCTION("""COMPUTED_VALUE"""),"Descubada")</f>
        <v>Descubada</v>
      </c>
      <c r="P1702" s="2"/>
      <c r="Q1702" s="2" t="b">
        <f ca="1">IFERROR(__xludf.DUMMYFUNCTION("""COMPUTED_VALUE"""),FALSE)</f>
        <v>0</v>
      </c>
      <c r="R1702" s="2" t="str">
        <f ca="1">IFERROR(__xludf.DUMMYFUNCTION("""COMPUTED_VALUE"""),"1er Trasiego")</f>
        <v>1er Trasiego</v>
      </c>
      <c r="S1702" s="2"/>
      <c r="T1702" s="2"/>
      <c r="U1702" s="2" t="str">
        <f ca="1">IFERROR(__xludf.DUMMYFUNCTION("""COMPUTED_VALUE"""),"1+")</f>
        <v>1+</v>
      </c>
    </row>
    <row r="1703" spans="1:21" x14ac:dyDescent="0.25">
      <c r="A1703" s="2" t="str">
        <f ca="1">IFERROR(__xludf.DUMMYFUNCTION("""COMPUTED_VALUE"""),"d64d578c")</f>
        <v>d64d578c</v>
      </c>
      <c r="B1703" s="5">
        <f ca="1">IFERROR(__xludf.DUMMYFUNCTION("""COMPUTED_VALUE"""),46149.4713078703)</f>
        <v>46149.471307870299</v>
      </c>
      <c r="C1703" s="2" t="str">
        <f ca="1">IFERROR(__xludf.DUMMYFUNCTION("""COMPUTED_VALUE"""),"c904d65f")</f>
        <v>c904d65f</v>
      </c>
      <c r="D1703" s="2">
        <f ca="1">IFERROR(__xludf.DUMMYFUNCTION("""COMPUTED_VALUE"""),105)</f>
        <v>105</v>
      </c>
      <c r="E1703" s="2" t="str">
        <f ca="1">IFERROR(__xludf.DUMMYFUNCTION("""COMPUTED_VALUE"""),"Syrah Merlot s/Asp 3")</f>
        <v>Syrah Merlot s/Asp 3</v>
      </c>
      <c r="F1703" s="2">
        <f ca="1">IFERROR(__xludf.DUMMYFUNCTION("""COMPUTED_VALUE"""),31000)</f>
        <v>31000</v>
      </c>
      <c r="G1703" s="2">
        <f ca="1">IFERROR(__xludf.DUMMYFUNCTION("""COMPUTED_VALUE"""),104)</f>
        <v>104</v>
      </c>
      <c r="H1703" s="2"/>
      <c r="I1703" s="2"/>
      <c r="J1703" s="2">
        <f ca="1">IFERROR(__xludf.DUMMYFUNCTION("""COMPUTED_VALUE"""),0)</f>
        <v>0</v>
      </c>
      <c r="K1703" s="2">
        <f ca="1">IFERROR(__xludf.DUMMYFUNCTION("""COMPUTED_VALUE"""),31000)</f>
        <v>31000</v>
      </c>
      <c r="L1703" s="2" t="str">
        <f ca="1">IFERROR(__xludf.DUMMYFUNCTION("""COMPUTED_VALUE"""),"0a8c721d")</f>
        <v>0a8c721d</v>
      </c>
      <c r="M1703" s="2" t="str">
        <f ca="1">IFERROR(__xludf.DUMMYFUNCTION("""COMPUTED_VALUE"""),"Syrah Merlot s/Asp 3")</f>
        <v>Syrah Merlot s/Asp 3</v>
      </c>
      <c r="N1703" s="2"/>
      <c r="O1703" s="2" t="str">
        <f ca="1">IFERROR(__xludf.DUMMYFUNCTION("""COMPUTED_VALUE"""),"Descubada")</f>
        <v>Descubada</v>
      </c>
      <c r="P1703" s="2"/>
      <c r="Q1703" s="2" t="b">
        <f ca="1">IFERROR(__xludf.DUMMYFUNCTION("""COMPUTED_VALUE"""),FALSE)</f>
        <v>0</v>
      </c>
      <c r="R1703" s="2" t="str">
        <f ca="1">IFERROR(__xludf.DUMMYFUNCTION("""COMPUTED_VALUE"""),"1er Trasiego")</f>
        <v>1er Trasiego</v>
      </c>
      <c r="S1703" s="2"/>
      <c r="T1703" s="2"/>
      <c r="U1703" s="2" t="str">
        <f ca="1">IFERROR(__xludf.DUMMYFUNCTION("""COMPUTED_VALUE"""),"1")</f>
        <v>1</v>
      </c>
    </row>
    <row r="1704" spans="1:21" x14ac:dyDescent="0.25">
      <c r="A1704" s="2" t="str">
        <f ca="1">IFERROR(__xludf.DUMMYFUNCTION("""COMPUTED_VALUE"""),"5ae9b208")</f>
        <v>5ae9b208</v>
      </c>
      <c r="B1704" s="5">
        <f ca="1">IFERROR(__xludf.DUMMYFUNCTION("""COMPUTED_VALUE"""),46149.4717592592)</f>
        <v>46149.471759259199</v>
      </c>
      <c r="C1704" s="2" t="str">
        <f ca="1">IFERROR(__xludf.DUMMYFUNCTION("""COMPUTED_VALUE"""),"5b072ae5")</f>
        <v>5b072ae5</v>
      </c>
      <c r="D1704" s="2">
        <f ca="1">IFERROR(__xludf.DUMMYFUNCTION("""COMPUTED_VALUE"""),107)</f>
        <v>107</v>
      </c>
      <c r="E1704" s="2" t="str">
        <f ca="1">IFERROR(__xludf.DUMMYFUNCTION("""COMPUTED_VALUE"""),"Syrah Merlot s/Asp 3")</f>
        <v>Syrah Merlot s/Asp 3</v>
      </c>
      <c r="F1704" s="2">
        <f ca="1">IFERROR(__xludf.DUMMYFUNCTION("""COMPUTED_VALUE"""),31000)</f>
        <v>31000</v>
      </c>
      <c r="G1704" s="2">
        <f ca="1">IFERROR(__xludf.DUMMYFUNCTION("""COMPUTED_VALUE"""),105)</f>
        <v>105</v>
      </c>
      <c r="H1704" s="2"/>
      <c r="I1704" s="2"/>
      <c r="J1704" s="2">
        <f ca="1">IFERROR(__xludf.DUMMYFUNCTION("""COMPUTED_VALUE"""),0)</f>
        <v>0</v>
      </c>
      <c r="K1704" s="2">
        <f ca="1">IFERROR(__xludf.DUMMYFUNCTION("""COMPUTED_VALUE"""),31000)</f>
        <v>31000</v>
      </c>
      <c r="L1704" s="2" t="str">
        <f ca="1">IFERROR(__xludf.DUMMYFUNCTION("""COMPUTED_VALUE"""),"ea92c15b")</f>
        <v>ea92c15b</v>
      </c>
      <c r="M1704" s="2" t="str">
        <f ca="1">IFERROR(__xludf.DUMMYFUNCTION("""COMPUTED_VALUE"""),"Syrah Merlot s/Asp 3")</f>
        <v>Syrah Merlot s/Asp 3</v>
      </c>
      <c r="N1704" s="2"/>
      <c r="O1704" s="2" t="str">
        <f ca="1">IFERROR(__xludf.DUMMYFUNCTION("""COMPUTED_VALUE"""),"Descubada")</f>
        <v>Descubada</v>
      </c>
      <c r="P1704" s="2"/>
      <c r="Q1704" s="2" t="b">
        <f ca="1">IFERROR(__xludf.DUMMYFUNCTION("""COMPUTED_VALUE"""),FALSE)</f>
        <v>0</v>
      </c>
      <c r="R1704" s="2" t="str">
        <f ca="1">IFERROR(__xludf.DUMMYFUNCTION("""COMPUTED_VALUE"""),"1er Trasiego")</f>
        <v>1er Trasiego</v>
      </c>
      <c r="S1704" s="2"/>
      <c r="T1704" s="2"/>
      <c r="U1704" s="2" t="str">
        <f ca="1">IFERROR(__xludf.DUMMYFUNCTION("""COMPUTED_VALUE"""),"1")</f>
        <v>1</v>
      </c>
    </row>
    <row r="1705" spans="1:21" x14ac:dyDescent="0.25">
      <c r="A1705" s="2" t="str">
        <f ca="1">IFERROR(__xludf.DUMMYFUNCTION("""COMPUTED_VALUE"""),"0cbf3659")</f>
        <v>0cbf3659</v>
      </c>
      <c r="B1705" s="5">
        <f ca="1">IFERROR(__xludf.DUMMYFUNCTION("""COMPUTED_VALUE"""),46149.4720486111)</f>
        <v>46149.472048611096</v>
      </c>
      <c r="C1705" s="2" t="str">
        <f ca="1">IFERROR(__xludf.DUMMYFUNCTION("""COMPUTED_VALUE"""),"8cabfa9f")</f>
        <v>8cabfa9f</v>
      </c>
      <c r="D1705" s="2">
        <f ca="1">IFERROR(__xludf.DUMMYFUNCTION("""COMPUTED_VALUE"""),108)</f>
        <v>108</v>
      </c>
      <c r="E1705" s="2" t="str">
        <f ca="1">IFERROR(__xludf.DUMMYFUNCTION("""COMPUTED_VALUE"""),"Syrah Malbec s/Asp 2")</f>
        <v>Syrah Malbec s/Asp 2</v>
      </c>
      <c r="F1705" s="2">
        <f ca="1">IFERROR(__xludf.DUMMYFUNCTION("""COMPUTED_VALUE"""),31000)</f>
        <v>31000</v>
      </c>
      <c r="G1705" s="2">
        <f ca="1">IFERROR(__xludf.DUMMYFUNCTION("""COMPUTED_VALUE"""),107)</f>
        <v>107</v>
      </c>
      <c r="H1705" s="2"/>
      <c r="I1705" s="2"/>
      <c r="J1705" s="2">
        <f ca="1">IFERROR(__xludf.DUMMYFUNCTION("""COMPUTED_VALUE"""),0)</f>
        <v>0</v>
      </c>
      <c r="K1705" s="2">
        <f ca="1">IFERROR(__xludf.DUMMYFUNCTION("""COMPUTED_VALUE"""),31000)</f>
        <v>31000</v>
      </c>
      <c r="L1705" s="2" t="str">
        <f ca="1">IFERROR(__xludf.DUMMYFUNCTION("""COMPUTED_VALUE"""),"99ab0a68")</f>
        <v>99ab0a68</v>
      </c>
      <c r="M1705" s="2" t="str">
        <f ca="1">IFERROR(__xludf.DUMMYFUNCTION("""COMPUTED_VALUE"""),"Syrah Malbec s/Asp 2")</f>
        <v>Syrah Malbec s/Asp 2</v>
      </c>
      <c r="N1705" s="2"/>
      <c r="O1705" s="2" t="str">
        <f ca="1">IFERROR(__xludf.DUMMYFUNCTION("""COMPUTED_VALUE"""),"Descubada")</f>
        <v>Descubada</v>
      </c>
      <c r="P1705" s="2"/>
      <c r="Q1705" s="2" t="b">
        <f ca="1">IFERROR(__xludf.DUMMYFUNCTION("""COMPUTED_VALUE"""),FALSE)</f>
        <v>0</v>
      </c>
      <c r="R1705" s="2" t="str">
        <f ca="1">IFERROR(__xludf.DUMMYFUNCTION("""COMPUTED_VALUE"""),"1er Trasiego")</f>
        <v>1er Trasiego</v>
      </c>
      <c r="S1705" s="2"/>
      <c r="T1705" s="2"/>
      <c r="U1705" s="2"/>
    </row>
    <row r="1706" spans="1:21" x14ac:dyDescent="0.25">
      <c r="A1706" s="2" t="str">
        <f ca="1">IFERROR(__xludf.DUMMYFUNCTION("""COMPUTED_VALUE"""),"f01264bc")</f>
        <v>f01264bc</v>
      </c>
      <c r="B1706" s="5">
        <f ca="1">IFERROR(__xludf.DUMMYFUNCTION("""COMPUTED_VALUE"""),46150.440636574)</f>
        <v>46150.440636574</v>
      </c>
      <c r="C1706" s="2" t="str">
        <f ca="1">IFERROR(__xludf.DUMMYFUNCTION("""COMPUTED_VALUE"""),"b78c78e8")</f>
        <v>b78c78e8</v>
      </c>
      <c r="D1706" s="2">
        <f ca="1">IFERROR(__xludf.DUMMYFUNCTION("""COMPUTED_VALUE"""),11)</f>
        <v>11</v>
      </c>
      <c r="E1706" s="2" t="str">
        <f ca="1">IFERROR(__xludf.DUMMYFUNCTION("""COMPUTED_VALUE"""),"Anccellota Aspirant Rect")</f>
        <v>Anccellota Aspirant Rect</v>
      </c>
      <c r="F1706" s="2">
        <f ca="1">IFERROR(__xludf.DUMMYFUNCTION("""COMPUTED_VALUE"""),100)</f>
        <v>100</v>
      </c>
      <c r="G1706" s="2">
        <f ca="1">IFERROR(__xludf.DUMMYFUNCTION("""COMPUTED_VALUE"""),68)</f>
        <v>68</v>
      </c>
      <c r="H1706" s="2" t="str">
        <f ca="1">IFERROR(__xludf.DUMMYFUNCTION("""COMPUTED_VALUE"""),"162f9462")</f>
        <v>162f9462</v>
      </c>
      <c r="I1706" s="2" t="str">
        <f ca="1">IFERROR(__xludf.DUMMYFUNCTION("""COMPUTED_VALUE"""),"Tinto Varietal B")</f>
        <v>Tinto Varietal B</v>
      </c>
      <c r="J1706" s="2">
        <f ca="1">IFERROR(__xludf.DUMMYFUNCTION("""COMPUTED_VALUE"""),12900)</f>
        <v>12900</v>
      </c>
      <c r="K1706" s="2">
        <f ca="1">IFERROR(__xludf.DUMMYFUNCTION("""COMPUTED_VALUE"""),13000)</f>
        <v>13000</v>
      </c>
      <c r="L1706" s="2" t="str">
        <f ca="1">IFERROR(__xludf.DUMMYFUNCTION("""COMPUTED_VALUE"""),"5e10969c")</f>
        <v>5e10969c</v>
      </c>
      <c r="M1706" s="2" t="str">
        <f ca="1">IFERROR(__xludf.DUMMYFUNCTION("""COMPUTED_VALUE"""),"Tinto Varietal B")</f>
        <v>Tinto Varietal B</v>
      </c>
      <c r="N1706" s="2"/>
      <c r="O1706" s="2" t="str">
        <f ca="1">IFERROR(__xludf.DUMMYFUNCTION("""COMPUTED_VALUE"""),"Rectificado")</f>
        <v>Rectificado</v>
      </c>
      <c r="P1706" s="2" t="str">
        <f ca="1">IFERROR(__xludf.DUMMYFUNCTION("""COMPUTED_VALUE"""),"Terminado")</f>
        <v>Terminado</v>
      </c>
      <c r="Q1706" s="2" t="b">
        <f ca="1">IFERROR(__xludf.DUMMYFUNCTION("""COMPUTED_VALUE"""),TRUE)</f>
        <v>1</v>
      </c>
      <c r="R1706" s="2" t="str">
        <f ca="1">IFERROR(__xludf.DUMMYFUNCTION("""COMPUTED_VALUE"""),"Terminado")</f>
        <v>Terminado</v>
      </c>
      <c r="S1706" s="2"/>
      <c r="T1706" s="2"/>
      <c r="U1706" s="2" t="str">
        <f ca="1">IFERROR(__xludf.DUMMYFUNCTION("""COMPUTED_VALUE"""),"1")</f>
        <v>1</v>
      </c>
    </row>
    <row r="1707" spans="1:21" x14ac:dyDescent="0.25">
      <c r="A1707" s="2" t="str">
        <f ca="1">IFERROR(__xludf.DUMMYFUNCTION("""COMPUTED_VALUE"""),"989a169a")</f>
        <v>989a169a</v>
      </c>
      <c r="B1707" s="5">
        <f ca="1">IFERROR(__xludf.DUMMYFUNCTION("""COMPUTED_VALUE"""),46150.4416435185)</f>
        <v>46150.441643518498</v>
      </c>
      <c r="C1707" s="2" t="str">
        <f ca="1">IFERROR(__xludf.DUMMYFUNCTION("""COMPUTED_VALUE"""),"aa8077cb")</f>
        <v>aa8077cb</v>
      </c>
      <c r="D1707" s="2">
        <f ca="1">IFERROR(__xludf.DUMMYFUNCTION("""COMPUTED_VALUE"""),120)</f>
        <v>120</v>
      </c>
      <c r="E1707" s="2" t="str">
        <f ca="1">IFERROR(__xludf.DUMMYFUNCTION("""COMPUTED_VALUE"""),"Aspirant Anccelota PC")</f>
        <v>Aspirant Anccelota PC</v>
      </c>
      <c r="F1707" s="2">
        <f ca="1">IFERROR(__xludf.DUMMYFUNCTION("""COMPUTED_VALUE"""),-3000)</f>
        <v>-3000</v>
      </c>
      <c r="G1707" s="2">
        <f ca="1">IFERROR(__xludf.DUMMYFUNCTION("""COMPUTED_VALUE"""),11)</f>
        <v>11</v>
      </c>
      <c r="H1707" s="2" t="str">
        <f ca="1">IFERROR(__xludf.DUMMYFUNCTION("""COMPUTED_VALUE"""),"b78c78e8")</f>
        <v>b78c78e8</v>
      </c>
      <c r="I1707" s="2" t="str">
        <f ca="1">IFERROR(__xludf.DUMMYFUNCTION("""COMPUTED_VALUE"""),"Anccellota Aspirant Rect")</f>
        <v>Anccellota Aspirant Rect</v>
      </c>
      <c r="J1707" s="2">
        <f ca="1">IFERROR(__xludf.DUMMYFUNCTION("""COMPUTED_VALUE"""),35900)</f>
        <v>35900</v>
      </c>
      <c r="K1707" s="2">
        <f ca="1">IFERROR(__xludf.DUMMYFUNCTION("""COMPUTED_VALUE"""),32900)</f>
        <v>32900</v>
      </c>
      <c r="L1707" s="2" t="str">
        <f ca="1">IFERROR(__xludf.DUMMYFUNCTION("""COMPUTED_VALUE"""),"8d4b92f4")</f>
        <v>8d4b92f4</v>
      </c>
      <c r="M1707" s="2" t="str">
        <f ca="1">IFERROR(__xludf.DUMMYFUNCTION("""COMPUTED_VALUE"""),"Anccellota Aspirant Rect")</f>
        <v>Anccellota Aspirant Rect</v>
      </c>
      <c r="N1707" s="2"/>
      <c r="O1707" s="2" t="str">
        <f ca="1">IFERROR(__xludf.DUMMYFUNCTION("""COMPUTED_VALUE"""),"1er Trasiego")</f>
        <v>1er Trasiego</v>
      </c>
      <c r="P1707" s="2" t="str">
        <f ca="1">IFERROR(__xludf.DUMMYFUNCTION("""COMPUTED_VALUE"""),"Rectificado")</f>
        <v>Rectificado</v>
      </c>
      <c r="Q1707" s="2" t="b">
        <f ca="1">IFERROR(__xludf.DUMMYFUNCTION("""COMPUTED_VALUE"""),TRUE)</f>
        <v>1</v>
      </c>
      <c r="R1707" s="2" t="str">
        <f ca="1">IFERROR(__xludf.DUMMYFUNCTION("""COMPUTED_VALUE"""),"Rectificado")</f>
        <v>Rectificado</v>
      </c>
      <c r="S1707" s="2"/>
      <c r="T1707" s="2"/>
      <c r="U1707" s="2" t="str">
        <f ca="1">IFERROR(__xludf.DUMMYFUNCTION("""COMPUTED_VALUE"""),"2+")</f>
        <v>2+</v>
      </c>
    </row>
    <row r="1708" spans="1:21" x14ac:dyDescent="0.25">
      <c r="A1708" s="2" t="str">
        <f ca="1">IFERROR(__xludf.DUMMYFUNCTION("""COMPUTED_VALUE"""),"21ea44b0")</f>
        <v>21ea44b0</v>
      </c>
      <c r="B1708" s="5">
        <f ca="1">IFERROR(__xludf.DUMMYFUNCTION("""COMPUTED_VALUE"""),46150.4419791666)</f>
        <v>46150.441979166601</v>
      </c>
      <c r="C1708" s="2" t="str">
        <f ca="1">IFERROR(__xludf.DUMMYFUNCTION("""COMPUTED_VALUE"""),"d3b686a2")</f>
        <v>d3b686a2</v>
      </c>
      <c r="D1708" s="2">
        <f ca="1">IFERROR(__xludf.DUMMYFUNCTION("""COMPUTED_VALUE"""),16)</f>
        <v>16</v>
      </c>
      <c r="E1708" s="2" t="str">
        <f ca="1">IFERROR(__xludf.DUMMYFUNCTION("""COMPUTED_VALUE"""),"Criolla")</f>
        <v>Criolla</v>
      </c>
      <c r="F1708" s="2">
        <f ca="1">IFERROR(__xludf.DUMMYFUNCTION("""COMPUTED_VALUE"""),-500)</f>
        <v>-500</v>
      </c>
      <c r="G1708" s="2">
        <f ca="1">IFERROR(__xludf.DUMMYFUNCTION("""COMPUTED_VALUE"""),11)</f>
        <v>11</v>
      </c>
      <c r="H1708" s="2" t="str">
        <f ca="1">IFERROR(__xludf.DUMMYFUNCTION("""COMPUTED_VALUE"""),"8d4b92f4")</f>
        <v>8d4b92f4</v>
      </c>
      <c r="I1708" s="2" t="str">
        <f ca="1">IFERROR(__xludf.DUMMYFUNCTION("""COMPUTED_VALUE"""),"Anccellota Aspirant Rect")</f>
        <v>Anccellota Aspirant Rect</v>
      </c>
      <c r="J1708" s="2">
        <f ca="1">IFERROR(__xludf.DUMMYFUNCTION("""COMPUTED_VALUE"""),32900)</f>
        <v>32900</v>
      </c>
      <c r="K1708" s="2">
        <f ca="1">IFERROR(__xludf.DUMMYFUNCTION("""COMPUTED_VALUE"""),32400)</f>
        <v>32400</v>
      </c>
      <c r="L1708" s="2" t="str">
        <f ca="1">IFERROR(__xludf.DUMMYFUNCTION("""COMPUTED_VALUE"""),"b5cd66a6")</f>
        <v>b5cd66a6</v>
      </c>
      <c r="M1708" s="2" t="str">
        <f ca="1">IFERROR(__xludf.DUMMYFUNCTION("""COMPUTED_VALUE"""),"Anccellota Aspirant Rect")</f>
        <v>Anccellota Aspirant Rect</v>
      </c>
      <c r="N1708" s="2"/>
      <c r="O1708" s="2" t="str">
        <f ca="1">IFERROR(__xludf.DUMMYFUNCTION("""COMPUTED_VALUE"""),"Descubada")</f>
        <v>Descubada</v>
      </c>
      <c r="P1708" s="2" t="str">
        <f ca="1">IFERROR(__xludf.DUMMYFUNCTION("""COMPUTED_VALUE"""),"Rectificado")</f>
        <v>Rectificado</v>
      </c>
      <c r="Q1708" s="2" t="b">
        <f ca="1">IFERROR(__xludf.DUMMYFUNCTION("""COMPUTED_VALUE"""),TRUE)</f>
        <v>1</v>
      </c>
      <c r="R1708" s="2" t="str">
        <f ca="1">IFERROR(__xludf.DUMMYFUNCTION("""COMPUTED_VALUE"""),"Rectificado")</f>
        <v>Rectificado</v>
      </c>
      <c r="S1708" s="2"/>
      <c r="T1708" s="2"/>
      <c r="U1708" s="2" t="str">
        <f ca="1">IFERROR(__xludf.DUMMYFUNCTION("""COMPUTED_VALUE"""),"2+")</f>
        <v>2+</v>
      </c>
    </row>
    <row r="1709" spans="1:21" x14ac:dyDescent="0.25">
      <c r="A1709" s="2" t="str">
        <f ca="1">IFERROR(__xludf.DUMMYFUNCTION("""COMPUTED_VALUE"""),"32bbd3f0")</f>
        <v>32bbd3f0</v>
      </c>
      <c r="B1709" s="5">
        <f ca="1">IFERROR(__xludf.DUMMYFUNCTION("""COMPUTED_VALUE"""),46150.5292708333)</f>
        <v>46150.5292708333</v>
      </c>
      <c r="C1709" s="2" t="str">
        <f ca="1">IFERROR(__xludf.DUMMYFUNCTION("""COMPUTED_VALUE"""),"61b89555")</f>
        <v>61b89555</v>
      </c>
      <c r="D1709" s="2">
        <f ca="1">IFERROR(__xludf.DUMMYFUNCTION("""COMPUTED_VALUE"""),109)</f>
        <v>109</v>
      </c>
      <c r="E1709" s="2" t="str">
        <f ca="1">IFERROR(__xludf.DUMMYFUNCTION("""COMPUTED_VALUE"""),"Syrah Malbec s/Asp 2")</f>
        <v>Syrah Malbec s/Asp 2</v>
      </c>
      <c r="F1709" s="2">
        <f ca="1">IFERROR(__xludf.DUMMYFUNCTION("""COMPUTED_VALUE"""),15000)</f>
        <v>15000</v>
      </c>
      <c r="G1709" s="2">
        <f ca="1">IFERROR(__xludf.DUMMYFUNCTION("""COMPUTED_VALUE"""),108)</f>
        <v>108</v>
      </c>
      <c r="H1709" s="2"/>
      <c r="I1709" s="2"/>
      <c r="J1709" s="2">
        <f ca="1">IFERROR(__xludf.DUMMYFUNCTION("""COMPUTED_VALUE"""),0)</f>
        <v>0</v>
      </c>
      <c r="K1709" s="2">
        <f ca="1">IFERROR(__xludf.DUMMYFUNCTION("""COMPUTED_VALUE"""),15000)</f>
        <v>15000</v>
      </c>
      <c r="L1709" s="2" t="str">
        <f ca="1">IFERROR(__xludf.DUMMYFUNCTION("""COMPUTED_VALUE"""),"775addbb")</f>
        <v>775addbb</v>
      </c>
      <c r="M1709" s="2" t="str">
        <f ca="1">IFERROR(__xludf.DUMMYFUNCTION("""COMPUTED_VALUE"""),"Syrah Malbec s/Asp 2")</f>
        <v>Syrah Malbec s/Asp 2</v>
      </c>
      <c r="N1709" s="2"/>
      <c r="O1709" s="2" t="str">
        <f ca="1">IFERROR(__xludf.DUMMYFUNCTION("""COMPUTED_VALUE"""),"Descubada")</f>
        <v>Descubada</v>
      </c>
      <c r="P1709" s="2"/>
      <c r="Q1709" s="2" t="b">
        <f ca="1">IFERROR(__xludf.DUMMYFUNCTION("""COMPUTED_VALUE"""),FALSE)</f>
        <v>0</v>
      </c>
      <c r="R1709" s="2" t="str">
        <f ca="1">IFERROR(__xludf.DUMMYFUNCTION("""COMPUTED_VALUE"""),"1er Trasiego")</f>
        <v>1er Trasiego</v>
      </c>
      <c r="S1709" s="2"/>
      <c r="T1709" s="2"/>
      <c r="U1709" s="2"/>
    </row>
    <row r="1710" spans="1:21" x14ac:dyDescent="0.25">
      <c r="A1710" s="2" t="str">
        <f ca="1">IFERROR(__xludf.DUMMYFUNCTION("""COMPUTED_VALUE"""),"a8b61500")</f>
        <v>a8b61500</v>
      </c>
      <c r="B1710" s="5">
        <f ca="1">IFERROR(__xludf.DUMMYFUNCTION("""COMPUTED_VALUE"""),46150.5302662037)</f>
        <v>46150.530266203699</v>
      </c>
      <c r="C1710" s="2" t="str">
        <f ca="1">IFERROR(__xludf.DUMMYFUNCTION("""COMPUTED_VALUE"""),"61b89555")</f>
        <v>61b89555</v>
      </c>
      <c r="D1710" s="2">
        <f ca="1">IFERROR(__xludf.DUMMYFUNCTION("""COMPUTED_VALUE"""),109)</f>
        <v>109</v>
      </c>
      <c r="E1710" s="2" t="str">
        <f ca="1">IFERROR(__xludf.DUMMYFUNCTION("""COMPUTED_VALUE"""),"Syrah Malbec s/Asp 2")</f>
        <v>Syrah Malbec s/Asp 2</v>
      </c>
      <c r="F1710" s="2">
        <f ca="1">IFERROR(__xludf.DUMMYFUNCTION("""COMPUTED_VALUE"""),600)</f>
        <v>600</v>
      </c>
      <c r="G1710" s="2">
        <f ca="1">IFERROR(__xludf.DUMMYFUNCTION("""COMPUTED_VALUE"""),70)</f>
        <v>70</v>
      </c>
      <c r="H1710" s="2"/>
      <c r="I1710" s="2"/>
      <c r="J1710" s="2">
        <f ca="1">IFERROR(__xludf.DUMMYFUNCTION("""COMPUTED_VALUE"""),0)</f>
        <v>0</v>
      </c>
      <c r="K1710" s="2">
        <f ca="1">IFERROR(__xludf.DUMMYFUNCTION("""COMPUTED_VALUE"""),600)</f>
        <v>600</v>
      </c>
      <c r="L1710" s="2" t="str">
        <f ca="1">IFERROR(__xludf.DUMMYFUNCTION("""COMPUTED_VALUE"""),"1948cbb7")</f>
        <v>1948cbb7</v>
      </c>
      <c r="M1710" s="2" t="str">
        <f ca="1">IFERROR(__xludf.DUMMYFUNCTION("""COMPUTED_VALUE"""),"Borra trasiego")</f>
        <v>Borra trasiego</v>
      </c>
      <c r="N1710" s="2"/>
      <c r="O1710" s="2" t="str">
        <f ca="1">IFERROR(__xludf.DUMMYFUNCTION("""COMPUTED_VALUE"""),"Descubada")</f>
        <v>Descubada</v>
      </c>
      <c r="P1710" s="2"/>
      <c r="Q1710" s="2" t="b">
        <f ca="1">IFERROR(__xludf.DUMMYFUNCTION("""COMPUTED_VALUE"""),FALSE)</f>
        <v>0</v>
      </c>
      <c r="R1710" s="2" t="str">
        <f ca="1">IFERROR(__xludf.DUMMYFUNCTION("""COMPUTED_VALUE"""),"1er Trasiego")</f>
        <v>1er Trasiego</v>
      </c>
      <c r="S1710" s="2"/>
      <c r="T1710" s="2"/>
      <c r="U1710" s="2"/>
    </row>
    <row r="1711" spans="1:21" x14ac:dyDescent="0.25">
      <c r="A1711" s="2" t="str">
        <f ca="1">IFERROR(__xludf.DUMMYFUNCTION("""COMPUTED_VALUE"""),"85af9208")</f>
        <v>85af9208</v>
      </c>
      <c r="B1711" s="5">
        <f ca="1">IFERROR(__xludf.DUMMYFUNCTION("""COMPUTED_VALUE"""),46150.5308217592)</f>
        <v>46150.530821759203</v>
      </c>
      <c r="C1711" s="2" t="str">
        <f ca="1">IFERROR(__xludf.DUMMYFUNCTION("""COMPUTED_VALUE"""),"081b56e7")</f>
        <v>081b56e7</v>
      </c>
      <c r="D1711" s="2">
        <f ca="1">IFERROR(__xludf.DUMMYFUNCTION("""COMPUTED_VALUE"""),69)</f>
        <v>69</v>
      </c>
      <c r="E1711" s="2" t="str">
        <f ca="1">IFERROR(__xludf.DUMMYFUNCTION("""COMPUTED_VALUE"""),"Borra")</f>
        <v>Borra</v>
      </c>
      <c r="F1711" s="2">
        <f ca="1">IFERROR(__xludf.DUMMYFUNCTION("""COMPUTED_VALUE"""),-4700)</f>
        <v>-4700</v>
      </c>
      <c r="G1711" s="2">
        <f ca="1">IFERROR(__xludf.DUMMYFUNCTION("""COMPUTED_VALUE"""),500)</f>
        <v>500</v>
      </c>
      <c r="H1711" s="2" t="str">
        <f ca="1">IFERROR(__xludf.DUMMYFUNCTION("""COMPUTED_VALUE"""),"e8a55daf")</f>
        <v>e8a55daf</v>
      </c>
      <c r="I1711" s="2" t="str">
        <f ca="1">IFERROR(__xludf.DUMMYFUNCTION("""COMPUTED_VALUE"""),"AJUSTE COSECHA 2026")</f>
        <v>AJUSTE COSECHA 2026</v>
      </c>
      <c r="J1711" s="2">
        <f ca="1">IFERROR(__xludf.DUMMYFUNCTION("""COMPUTED_VALUE"""),38820)</f>
        <v>38820</v>
      </c>
      <c r="K1711" s="2">
        <f ca="1">IFERROR(__xludf.DUMMYFUNCTION("""COMPUTED_VALUE"""),34120)</f>
        <v>34120</v>
      </c>
      <c r="L1711" s="2" t="str">
        <f ca="1">IFERROR(__xludf.DUMMYFUNCTION("""COMPUTED_VALUE"""),"a9bc2dea")</f>
        <v>a9bc2dea</v>
      </c>
      <c r="M1711" s="2" t="str">
        <f ca="1">IFERROR(__xludf.DUMMYFUNCTION("""COMPUTED_VALUE"""),"AJUSTE COSECHA 2026")</f>
        <v>AJUSTE COSECHA 2026</v>
      </c>
      <c r="N1711" s="2"/>
      <c r="O1711" s="2" t="str">
        <f ca="1">IFERROR(__xludf.DUMMYFUNCTION("""COMPUTED_VALUE"""),"1er Trasiego")</f>
        <v>1er Trasiego</v>
      </c>
      <c r="P1711" s="2" t="str">
        <f ca="1">IFERROR(__xludf.DUMMYFUNCTION("""COMPUTED_VALUE"""),"Terminado")</f>
        <v>Terminado</v>
      </c>
      <c r="Q1711" s="2" t="b">
        <f ca="1">IFERROR(__xludf.DUMMYFUNCTION("""COMPUTED_VALUE"""),TRUE)</f>
        <v>1</v>
      </c>
      <c r="R1711" s="2" t="str">
        <f ca="1">IFERROR(__xludf.DUMMYFUNCTION("""COMPUTED_VALUE"""),"Terminado")</f>
        <v>Terminado</v>
      </c>
      <c r="S1711" s="2"/>
      <c r="T1711" s="2"/>
      <c r="U1711" s="2" t="str">
        <f ca="1">IFERROR(__xludf.DUMMYFUNCTION("""COMPUTED_VALUE"""),"1")</f>
        <v>1</v>
      </c>
    </row>
    <row r="1712" spans="1:21" x14ac:dyDescent="0.25">
      <c r="A1712" s="2" t="str">
        <f ca="1">IFERROR(__xludf.DUMMYFUNCTION("""COMPUTED_VALUE"""),"4df009d5")</f>
        <v>4df009d5</v>
      </c>
      <c r="B1712" s="5">
        <f ca="1">IFERROR(__xludf.DUMMYFUNCTION("""COMPUTED_VALUE"""),46153.6828125)</f>
        <v>46153.682812500003</v>
      </c>
      <c r="C1712" s="2" t="str">
        <f ca="1">IFERROR(__xludf.DUMMYFUNCTION("""COMPUTED_VALUE"""),"0432aaa0")</f>
        <v>0432aaa0</v>
      </c>
      <c r="D1712" s="2">
        <f ca="1">IFERROR(__xludf.DUMMYFUNCTION("""COMPUTED_VALUE"""),30)</f>
        <v>30</v>
      </c>
      <c r="E1712" s="2" t="str">
        <f ca="1">IFERROR(__xludf.DUMMYFUNCTION("""COMPUTED_VALUE"""),"Chardonnay Ch")</f>
        <v>Chardonnay Ch</v>
      </c>
      <c r="F1712" s="2">
        <f ca="1">IFERROR(__xludf.DUMMYFUNCTION("""COMPUTED_VALUE"""),10000)</f>
        <v>10000</v>
      </c>
      <c r="G1712" s="2">
        <f ca="1">IFERROR(__xludf.DUMMYFUNCTION("""COMPUTED_VALUE"""),84)</f>
        <v>84</v>
      </c>
      <c r="H1712" s="2"/>
      <c r="I1712" s="2"/>
      <c r="J1712" s="2">
        <f ca="1">IFERROR(__xludf.DUMMYFUNCTION("""COMPUTED_VALUE"""),0)</f>
        <v>0</v>
      </c>
      <c r="K1712" s="2">
        <f ca="1">IFERROR(__xludf.DUMMYFUNCTION("""COMPUTED_VALUE"""),10000)</f>
        <v>10000</v>
      </c>
      <c r="L1712" s="2" t="str">
        <f ca="1">IFERROR(__xludf.DUMMYFUNCTION("""COMPUTED_VALUE"""),"16af5c61")</f>
        <v>16af5c61</v>
      </c>
      <c r="M1712" s="2" t="str">
        <f ca="1">IFERROR(__xludf.DUMMYFUNCTION("""COMPUTED_VALUE"""),"Chardonnay Reac")</f>
        <v>Chardonnay Reac</v>
      </c>
      <c r="N1712" s="2"/>
      <c r="O1712" s="2" t="str">
        <f ca="1">IFERROR(__xludf.DUMMYFUNCTION("""COMPUTED_VALUE"""),"Descubada")</f>
        <v>Descubada</v>
      </c>
      <c r="P1712" s="2"/>
      <c r="Q1712" s="2" t="b">
        <f ca="1">IFERROR(__xludf.DUMMYFUNCTION("""COMPUTED_VALUE"""),FALSE)</f>
        <v>0</v>
      </c>
      <c r="R1712" s="2" t="str">
        <f ca="1">IFERROR(__xludf.DUMMYFUNCTION("""COMPUTED_VALUE"""),"1er Trasiego")</f>
        <v>1er Trasiego</v>
      </c>
      <c r="S1712" s="2"/>
      <c r="T1712" s="2"/>
      <c r="U1712" s="2" t="str">
        <f ca="1">IFERROR(__xludf.DUMMYFUNCTION("""COMPUTED_VALUE"""),"1")</f>
        <v>1</v>
      </c>
    </row>
    <row r="1713" spans="1:21" x14ac:dyDescent="0.25">
      <c r="A1713" s="2" t="str">
        <f ca="1">IFERROR(__xludf.DUMMYFUNCTION("""COMPUTED_VALUE"""),"068c5681")</f>
        <v>068c5681</v>
      </c>
      <c r="B1713" s="5">
        <f ca="1">IFERROR(__xludf.DUMMYFUNCTION("""COMPUTED_VALUE"""),46153.6836111111)</f>
        <v>46153.683611111097</v>
      </c>
      <c r="C1713" s="2" t="str">
        <f ca="1">IFERROR(__xludf.DUMMYFUNCTION("""COMPUTED_VALUE"""),"4c8bfcfe")</f>
        <v>4c8bfcfe</v>
      </c>
      <c r="D1713" s="2">
        <f ca="1">IFERROR(__xludf.DUMMYFUNCTION("""COMPUTED_VALUE"""),34)</f>
        <v>34</v>
      </c>
      <c r="E1713" s="2" t="str">
        <f ca="1">IFERROR(__xludf.DUMMYFUNCTION("""COMPUTED_VALUE"""),"Criolla")</f>
        <v>Criolla</v>
      </c>
      <c r="F1713" s="2">
        <f ca="1">IFERROR(__xludf.DUMMYFUNCTION("""COMPUTED_VALUE"""),6600)</f>
        <v>6600</v>
      </c>
      <c r="G1713" s="2">
        <f ca="1">IFERROR(__xludf.DUMMYFUNCTION("""COMPUTED_VALUE"""),84)</f>
        <v>84</v>
      </c>
      <c r="H1713" s="2" t="str">
        <f ca="1">IFERROR(__xludf.DUMMYFUNCTION("""COMPUTED_VALUE"""),"16af5c61")</f>
        <v>16af5c61</v>
      </c>
      <c r="I1713" s="2" t="str">
        <f ca="1">IFERROR(__xludf.DUMMYFUNCTION("""COMPUTED_VALUE"""),"Chardonnay Reac")</f>
        <v>Chardonnay Reac</v>
      </c>
      <c r="J1713" s="2">
        <f ca="1">IFERROR(__xludf.DUMMYFUNCTION("""COMPUTED_VALUE"""),10000)</f>
        <v>10000</v>
      </c>
      <c r="K1713" s="2">
        <f ca="1">IFERROR(__xludf.DUMMYFUNCTION("""COMPUTED_VALUE"""),16600)</f>
        <v>16600</v>
      </c>
      <c r="L1713" s="2" t="str">
        <f ca="1">IFERROR(__xludf.DUMMYFUNCTION("""COMPUTED_VALUE"""),"35f9cfa7")</f>
        <v>35f9cfa7</v>
      </c>
      <c r="M1713" s="2" t="str">
        <f ca="1">IFERROR(__xludf.DUMMYFUNCTION("""COMPUTED_VALUE"""),"Chardonnay Reac")</f>
        <v>Chardonnay Reac</v>
      </c>
      <c r="N1713" s="2"/>
      <c r="O1713" s="2" t="str">
        <f ca="1">IFERROR(__xludf.DUMMYFUNCTION("""COMPUTED_VALUE"""),"Descubada")</f>
        <v>Descubada</v>
      </c>
      <c r="P1713" s="2" t="str">
        <f ca="1">IFERROR(__xludf.DUMMYFUNCTION("""COMPUTED_VALUE"""),"1er Trasiego")</f>
        <v>1er Trasiego</v>
      </c>
      <c r="Q1713" s="2" t="b">
        <f ca="1">IFERROR(__xludf.DUMMYFUNCTION("""COMPUTED_VALUE"""),TRUE)</f>
        <v>1</v>
      </c>
      <c r="R1713" s="2" t="str">
        <f ca="1">IFERROR(__xludf.DUMMYFUNCTION("""COMPUTED_VALUE"""),"1er Trasiego")</f>
        <v>1er Trasiego</v>
      </c>
      <c r="S1713" s="2"/>
      <c r="T1713" s="2"/>
      <c r="U1713" s="2" t="str">
        <f ca="1">IFERROR(__xludf.DUMMYFUNCTION("""COMPUTED_VALUE"""),"1")</f>
        <v>1</v>
      </c>
    </row>
    <row r="1714" spans="1:21" x14ac:dyDescent="0.25">
      <c r="A1714" s="2" t="str">
        <f ca="1">IFERROR(__xludf.DUMMYFUNCTION("""COMPUTED_VALUE"""),"62bc936b")</f>
        <v>62bc936b</v>
      </c>
      <c r="B1714" s="5">
        <f ca="1">IFERROR(__xludf.DUMMYFUNCTION("""COMPUTED_VALUE"""),46153.684386574)</f>
        <v>46153.684386574001</v>
      </c>
      <c r="C1714" s="2" t="str">
        <f ca="1">IFERROR(__xludf.DUMMYFUNCTION("""COMPUTED_VALUE"""),"964bb1ba")</f>
        <v>964bb1ba</v>
      </c>
      <c r="D1714" s="2">
        <f ca="1">IFERROR(__xludf.DUMMYFUNCTION("""COMPUTED_VALUE"""),40)</f>
        <v>40</v>
      </c>
      <c r="E1714" s="2" t="str">
        <f ca="1">IFERROR(__xludf.DUMMYFUNCTION("""COMPUTED_VALUE"""),"Chardonnay")</f>
        <v>Chardonnay</v>
      </c>
      <c r="F1714" s="2">
        <f ca="1">IFERROR(__xludf.DUMMYFUNCTION("""COMPUTED_VALUE"""),6600)</f>
        <v>6600</v>
      </c>
      <c r="G1714" s="2">
        <f ca="1">IFERROR(__xludf.DUMMYFUNCTION("""COMPUTED_VALUE"""),84)</f>
        <v>84</v>
      </c>
      <c r="H1714" s="2" t="str">
        <f ca="1">IFERROR(__xludf.DUMMYFUNCTION("""COMPUTED_VALUE"""),"35f9cfa7")</f>
        <v>35f9cfa7</v>
      </c>
      <c r="I1714" s="2" t="str">
        <f ca="1">IFERROR(__xludf.DUMMYFUNCTION("""COMPUTED_VALUE"""),"Chardonnay Reac")</f>
        <v>Chardonnay Reac</v>
      </c>
      <c r="J1714" s="2">
        <f ca="1">IFERROR(__xludf.DUMMYFUNCTION("""COMPUTED_VALUE"""),16600)</f>
        <v>16600</v>
      </c>
      <c r="K1714" s="2">
        <f ca="1">IFERROR(__xludf.DUMMYFUNCTION("""COMPUTED_VALUE"""),23200)</f>
        <v>23200</v>
      </c>
      <c r="L1714" s="2" t="str">
        <f ca="1">IFERROR(__xludf.DUMMYFUNCTION("""COMPUTED_VALUE"""),"24e9e6b5")</f>
        <v>24e9e6b5</v>
      </c>
      <c r="M1714" s="2" t="str">
        <f ca="1">IFERROR(__xludf.DUMMYFUNCTION("""COMPUTED_VALUE"""),"Chardonnay Reac")</f>
        <v>Chardonnay Reac</v>
      </c>
      <c r="N1714" s="2"/>
      <c r="O1714" s="2" t="str">
        <f ca="1">IFERROR(__xludf.DUMMYFUNCTION("""COMPUTED_VALUE"""),"Descubada")</f>
        <v>Descubada</v>
      </c>
      <c r="P1714" s="2" t="str">
        <f ca="1">IFERROR(__xludf.DUMMYFUNCTION("""COMPUTED_VALUE"""),"1er Trasiego")</f>
        <v>1er Trasiego</v>
      </c>
      <c r="Q1714" s="2" t="b">
        <f ca="1">IFERROR(__xludf.DUMMYFUNCTION("""COMPUTED_VALUE"""),TRUE)</f>
        <v>1</v>
      </c>
      <c r="R1714" s="2" t="str">
        <f ca="1">IFERROR(__xludf.DUMMYFUNCTION("""COMPUTED_VALUE"""),"1er Trasiego")</f>
        <v>1er Trasiego</v>
      </c>
      <c r="S1714" s="2"/>
      <c r="T1714" s="2"/>
      <c r="U1714" s="2" t="str">
        <f ca="1">IFERROR(__xludf.DUMMYFUNCTION("""COMPUTED_VALUE"""),"1")</f>
        <v>1</v>
      </c>
    </row>
    <row r="1715" spans="1:21" x14ac:dyDescent="0.25">
      <c r="A1715" s="2" t="str">
        <f ca="1">IFERROR(__xludf.DUMMYFUNCTION("""COMPUTED_VALUE"""),"b9c55dfe")</f>
        <v>b9c55dfe</v>
      </c>
      <c r="B1715" s="5">
        <f ca="1">IFERROR(__xludf.DUMMYFUNCTION("""COMPUTED_VALUE"""),46153.6849421296)</f>
        <v>46153.684942129599</v>
      </c>
      <c r="C1715" s="2" t="str">
        <f ca="1">IFERROR(__xludf.DUMMYFUNCTION("""COMPUTED_VALUE"""),"b4d0796a")</f>
        <v>b4d0796a</v>
      </c>
      <c r="D1715" s="2">
        <f ca="1">IFERROR(__xludf.DUMMYFUNCTION("""COMPUTED_VALUE"""),44)</f>
        <v>44</v>
      </c>
      <c r="E1715" s="2" t="str">
        <f ca="1">IFERROR(__xludf.DUMMYFUNCTION("""COMPUTED_VALUE"""),"Chardonnay")</f>
        <v>Chardonnay</v>
      </c>
      <c r="F1715" s="2">
        <f ca="1">IFERROR(__xludf.DUMMYFUNCTION("""COMPUTED_VALUE"""),4800)</f>
        <v>4800</v>
      </c>
      <c r="G1715" s="2">
        <f ca="1">IFERROR(__xludf.DUMMYFUNCTION("""COMPUTED_VALUE"""),84)</f>
        <v>84</v>
      </c>
      <c r="H1715" s="2" t="str">
        <f ca="1">IFERROR(__xludf.DUMMYFUNCTION("""COMPUTED_VALUE"""),"24e9e6b5")</f>
        <v>24e9e6b5</v>
      </c>
      <c r="I1715" s="2" t="str">
        <f ca="1">IFERROR(__xludf.DUMMYFUNCTION("""COMPUTED_VALUE"""),"Chardonnay Reac")</f>
        <v>Chardonnay Reac</v>
      </c>
      <c r="J1715" s="2">
        <f ca="1">IFERROR(__xludf.DUMMYFUNCTION("""COMPUTED_VALUE"""),23200)</f>
        <v>23200</v>
      </c>
      <c r="K1715" s="2">
        <f ca="1">IFERROR(__xludf.DUMMYFUNCTION("""COMPUTED_VALUE"""),28000)</f>
        <v>28000</v>
      </c>
      <c r="L1715" s="2" t="str">
        <f ca="1">IFERROR(__xludf.DUMMYFUNCTION("""COMPUTED_VALUE"""),"400f3901")</f>
        <v>400f3901</v>
      </c>
      <c r="M1715" s="2" t="str">
        <f ca="1">IFERROR(__xludf.DUMMYFUNCTION("""COMPUTED_VALUE"""),"Chardonnay Reac")</f>
        <v>Chardonnay Reac</v>
      </c>
      <c r="N1715" s="2"/>
      <c r="O1715" s="2" t="str">
        <f ca="1">IFERROR(__xludf.DUMMYFUNCTION("""COMPUTED_VALUE"""),"Descubada")</f>
        <v>Descubada</v>
      </c>
      <c r="P1715" s="2" t="str">
        <f ca="1">IFERROR(__xludf.DUMMYFUNCTION("""COMPUTED_VALUE"""),"1er Trasiego")</f>
        <v>1er Trasiego</v>
      </c>
      <c r="Q1715" s="2" t="b">
        <f ca="1">IFERROR(__xludf.DUMMYFUNCTION("""COMPUTED_VALUE"""),TRUE)</f>
        <v>1</v>
      </c>
      <c r="R1715" s="2" t="str">
        <f ca="1">IFERROR(__xludf.DUMMYFUNCTION("""COMPUTED_VALUE"""),"1er Trasiego")</f>
        <v>1er Trasiego</v>
      </c>
      <c r="S1715" s="2"/>
      <c r="T1715" s="2"/>
      <c r="U1715" s="2" t="str">
        <f ca="1">IFERROR(__xludf.DUMMYFUNCTION("""COMPUTED_VALUE"""),"1")</f>
        <v>1</v>
      </c>
    </row>
    <row r="1716" spans="1:21" x14ac:dyDescent="0.25">
      <c r="A1716" s="2" t="str">
        <f ca="1">IFERROR(__xludf.DUMMYFUNCTION("""COMPUTED_VALUE"""),"6379089f")</f>
        <v>6379089f</v>
      </c>
      <c r="B1716" s="5">
        <f ca="1">IFERROR(__xludf.DUMMYFUNCTION("""COMPUTED_VALUE"""),46153.6852893518)</f>
        <v>46153.685289351801</v>
      </c>
      <c r="C1716" s="2" t="str">
        <f ca="1">IFERROR(__xludf.DUMMYFUNCTION("""COMPUTED_VALUE"""),"5d1f812a")</f>
        <v>5d1f812a</v>
      </c>
      <c r="D1716" s="2">
        <f ca="1">IFERROR(__xludf.DUMMYFUNCTION("""COMPUTED_VALUE"""),47)</f>
        <v>47</v>
      </c>
      <c r="E1716" s="2" t="str">
        <f ca="1">IFERROR(__xludf.DUMMYFUNCTION("""COMPUTED_VALUE"""),"Chardonnay")</f>
        <v>Chardonnay</v>
      </c>
      <c r="F1716" s="2">
        <f ca="1">IFERROR(__xludf.DUMMYFUNCTION("""COMPUTED_VALUE"""),5100)</f>
        <v>5100</v>
      </c>
      <c r="G1716" s="2">
        <f ca="1">IFERROR(__xludf.DUMMYFUNCTION("""COMPUTED_VALUE"""),84)</f>
        <v>84</v>
      </c>
      <c r="H1716" s="2" t="str">
        <f ca="1">IFERROR(__xludf.DUMMYFUNCTION("""COMPUTED_VALUE"""),"400f3901")</f>
        <v>400f3901</v>
      </c>
      <c r="I1716" s="2" t="str">
        <f ca="1">IFERROR(__xludf.DUMMYFUNCTION("""COMPUTED_VALUE"""),"Chardonnay Reac")</f>
        <v>Chardonnay Reac</v>
      </c>
      <c r="J1716" s="2">
        <f ca="1">IFERROR(__xludf.DUMMYFUNCTION("""COMPUTED_VALUE"""),28000)</f>
        <v>28000</v>
      </c>
      <c r="K1716" s="2">
        <f ca="1">IFERROR(__xludf.DUMMYFUNCTION("""COMPUTED_VALUE"""),33100)</f>
        <v>33100</v>
      </c>
      <c r="L1716" s="2" t="str">
        <f ca="1">IFERROR(__xludf.DUMMYFUNCTION("""COMPUTED_VALUE"""),"f46804b4")</f>
        <v>f46804b4</v>
      </c>
      <c r="M1716" s="2" t="str">
        <f ca="1">IFERROR(__xludf.DUMMYFUNCTION("""COMPUTED_VALUE"""),"Chardonnay Reac")</f>
        <v>Chardonnay Reac</v>
      </c>
      <c r="N1716" s="2"/>
      <c r="O1716" s="2" t="str">
        <f ca="1">IFERROR(__xludf.DUMMYFUNCTION("""COMPUTED_VALUE"""),"Descubada")</f>
        <v>Descubada</v>
      </c>
      <c r="P1716" s="2" t="str">
        <f ca="1">IFERROR(__xludf.DUMMYFUNCTION("""COMPUTED_VALUE"""),"1er Trasiego")</f>
        <v>1er Trasiego</v>
      </c>
      <c r="Q1716" s="2" t="b">
        <f ca="1">IFERROR(__xludf.DUMMYFUNCTION("""COMPUTED_VALUE"""),TRUE)</f>
        <v>1</v>
      </c>
      <c r="R1716" s="2" t="str">
        <f ca="1">IFERROR(__xludf.DUMMYFUNCTION("""COMPUTED_VALUE"""),"1er Trasiego")</f>
        <v>1er Trasiego</v>
      </c>
      <c r="S1716" s="2"/>
      <c r="T1716" s="2"/>
      <c r="U1716" s="2" t="str">
        <f ca="1">IFERROR(__xludf.DUMMYFUNCTION("""COMPUTED_VALUE"""),"1")</f>
        <v>1</v>
      </c>
    </row>
    <row r="1717" spans="1:21" x14ac:dyDescent="0.25">
      <c r="A1717" s="2" t="str">
        <f ca="1">IFERROR(__xludf.DUMMYFUNCTION("""COMPUTED_VALUE"""),"73fda2c5")</f>
        <v>73fda2c5</v>
      </c>
      <c r="B1717" s="5">
        <f ca="1">IFERROR(__xludf.DUMMYFUNCTION("""COMPUTED_VALUE"""),46153.6857407407)</f>
        <v>46153.685740740701</v>
      </c>
      <c r="C1717" s="2" t="str">
        <f ca="1">IFERROR(__xludf.DUMMYFUNCTION("""COMPUTED_VALUE"""),"f2237628")</f>
        <v>f2237628</v>
      </c>
      <c r="D1717" s="2">
        <f ca="1">IFERROR(__xludf.DUMMYFUNCTION("""COMPUTED_VALUE"""),49)</f>
        <v>49</v>
      </c>
      <c r="E1717" s="2" t="str">
        <f ca="1">IFERROR(__xludf.DUMMYFUNCTION("""COMPUTED_VALUE"""),"Chardonnay")</f>
        <v>Chardonnay</v>
      </c>
      <c r="F1717" s="2">
        <f ca="1">IFERROR(__xludf.DUMMYFUNCTION("""COMPUTED_VALUE"""),6600)</f>
        <v>6600</v>
      </c>
      <c r="G1717" s="2">
        <f ca="1">IFERROR(__xludf.DUMMYFUNCTION("""COMPUTED_VALUE"""),84)</f>
        <v>84</v>
      </c>
      <c r="H1717" s="2" t="str">
        <f ca="1">IFERROR(__xludf.DUMMYFUNCTION("""COMPUTED_VALUE"""),"f46804b4")</f>
        <v>f46804b4</v>
      </c>
      <c r="I1717" s="2" t="str">
        <f ca="1">IFERROR(__xludf.DUMMYFUNCTION("""COMPUTED_VALUE"""),"Chardonnay Reac")</f>
        <v>Chardonnay Reac</v>
      </c>
      <c r="J1717" s="2">
        <f ca="1">IFERROR(__xludf.DUMMYFUNCTION("""COMPUTED_VALUE"""),33100)</f>
        <v>33100</v>
      </c>
      <c r="K1717" s="2">
        <f ca="1">IFERROR(__xludf.DUMMYFUNCTION("""COMPUTED_VALUE"""),39700)</f>
        <v>39700</v>
      </c>
      <c r="L1717" s="2" t="str">
        <f ca="1">IFERROR(__xludf.DUMMYFUNCTION("""COMPUTED_VALUE"""),"2f043489")</f>
        <v>2f043489</v>
      </c>
      <c r="M1717" s="2" t="str">
        <f ca="1">IFERROR(__xludf.DUMMYFUNCTION("""COMPUTED_VALUE"""),"Chardonnay Reac")</f>
        <v>Chardonnay Reac</v>
      </c>
      <c r="N1717" s="2"/>
      <c r="O1717" s="2" t="str">
        <f ca="1">IFERROR(__xludf.DUMMYFUNCTION("""COMPUTED_VALUE"""),"Descubada")</f>
        <v>Descubada</v>
      </c>
      <c r="P1717" s="2" t="str">
        <f ca="1">IFERROR(__xludf.DUMMYFUNCTION("""COMPUTED_VALUE"""),"1er Trasiego")</f>
        <v>1er Trasiego</v>
      </c>
      <c r="Q1717" s="2" t="b">
        <f ca="1">IFERROR(__xludf.DUMMYFUNCTION("""COMPUTED_VALUE"""),TRUE)</f>
        <v>1</v>
      </c>
      <c r="R1717" s="2" t="str">
        <f ca="1">IFERROR(__xludf.DUMMYFUNCTION("""COMPUTED_VALUE"""),"1er Trasiego")</f>
        <v>1er Trasiego</v>
      </c>
      <c r="S1717" s="2"/>
      <c r="T1717" s="2"/>
      <c r="U1717" s="2" t="str">
        <f ca="1">IFERROR(__xludf.DUMMYFUNCTION("""COMPUTED_VALUE"""),"1")</f>
        <v>1</v>
      </c>
    </row>
    <row r="1718" spans="1:21" x14ac:dyDescent="0.25">
      <c r="A1718" s="2" t="str">
        <f ca="1">IFERROR(__xludf.DUMMYFUNCTION("""COMPUTED_VALUE"""),"d5d7141c")</f>
        <v>d5d7141c</v>
      </c>
      <c r="B1718" s="5">
        <f ca="1">IFERROR(__xludf.DUMMYFUNCTION("""COMPUTED_VALUE"""),46153.685949074)</f>
        <v>46153.685949074003</v>
      </c>
      <c r="C1718" s="2" t="str">
        <f ca="1">IFERROR(__xludf.DUMMYFUNCTION("""COMPUTED_VALUE"""),"f2237628")</f>
        <v>f2237628</v>
      </c>
      <c r="D1718" s="2">
        <f ca="1">IFERROR(__xludf.DUMMYFUNCTION("""COMPUTED_VALUE"""),49)</f>
        <v>49</v>
      </c>
      <c r="E1718" s="2" t="str">
        <f ca="1">IFERROR(__xludf.DUMMYFUNCTION("""COMPUTED_VALUE"""),"Chardonnay")</f>
        <v>Chardonnay</v>
      </c>
      <c r="F1718" s="2">
        <f ca="1">IFERROR(__xludf.DUMMYFUNCTION("""COMPUTED_VALUE"""),7000)</f>
        <v>7000</v>
      </c>
      <c r="G1718" s="2">
        <f ca="1">IFERROR(__xludf.DUMMYFUNCTION("""COMPUTED_VALUE"""),84)</f>
        <v>84</v>
      </c>
      <c r="H1718" s="2" t="str">
        <f ca="1">IFERROR(__xludf.DUMMYFUNCTION("""COMPUTED_VALUE"""),"2f043489")</f>
        <v>2f043489</v>
      </c>
      <c r="I1718" s="2" t="str">
        <f ca="1">IFERROR(__xludf.DUMMYFUNCTION("""COMPUTED_VALUE"""),"Chardonnay Reac")</f>
        <v>Chardonnay Reac</v>
      </c>
      <c r="J1718" s="2">
        <f ca="1">IFERROR(__xludf.DUMMYFUNCTION("""COMPUTED_VALUE"""),39700)</f>
        <v>39700</v>
      </c>
      <c r="K1718" s="2">
        <f ca="1">IFERROR(__xludf.DUMMYFUNCTION("""COMPUTED_VALUE"""),46700)</f>
        <v>46700</v>
      </c>
      <c r="L1718" s="2" t="str">
        <f ca="1">IFERROR(__xludf.DUMMYFUNCTION("""COMPUTED_VALUE"""),"7f0929fd")</f>
        <v>7f0929fd</v>
      </c>
      <c r="M1718" s="2" t="str">
        <f ca="1">IFERROR(__xludf.DUMMYFUNCTION("""COMPUTED_VALUE"""),"Chardonnay Reac")</f>
        <v>Chardonnay Reac</v>
      </c>
      <c r="N1718" s="2"/>
      <c r="O1718" s="2" t="str">
        <f ca="1">IFERROR(__xludf.DUMMYFUNCTION("""COMPUTED_VALUE"""),"Descubada")</f>
        <v>Descubada</v>
      </c>
      <c r="P1718" s="2" t="str">
        <f ca="1">IFERROR(__xludf.DUMMYFUNCTION("""COMPUTED_VALUE"""),"1er Trasiego")</f>
        <v>1er Trasiego</v>
      </c>
      <c r="Q1718" s="2" t="b">
        <f ca="1">IFERROR(__xludf.DUMMYFUNCTION("""COMPUTED_VALUE"""),TRUE)</f>
        <v>1</v>
      </c>
      <c r="R1718" s="2" t="str">
        <f ca="1">IFERROR(__xludf.DUMMYFUNCTION("""COMPUTED_VALUE"""),"1er Trasiego")</f>
        <v>1er Trasiego</v>
      </c>
      <c r="S1718" s="2"/>
      <c r="T1718" s="2"/>
      <c r="U1718" s="2" t="str">
        <f ca="1">IFERROR(__xludf.DUMMYFUNCTION("""COMPUTED_VALUE"""),"1")</f>
        <v>1</v>
      </c>
    </row>
    <row r="1719" spans="1:21" x14ac:dyDescent="0.25">
      <c r="A1719" s="2" t="str">
        <f ca="1">IFERROR(__xludf.DUMMYFUNCTION("""COMPUTED_VALUE"""),"8a7fda2b")</f>
        <v>8a7fda2b</v>
      </c>
      <c r="B1719" s="5">
        <f ca="1">IFERROR(__xludf.DUMMYFUNCTION("""COMPUTED_VALUE"""),46153.6863888888)</f>
        <v>46153.686388888797</v>
      </c>
      <c r="C1719" s="2" t="str">
        <f ca="1">IFERROR(__xludf.DUMMYFUNCTION("""COMPUTED_VALUE"""),"d0f8eef2")</f>
        <v>d0f8eef2</v>
      </c>
      <c r="D1719" s="2">
        <f ca="1">IFERROR(__xludf.DUMMYFUNCTION("""COMPUTED_VALUE"""),72)</f>
        <v>72</v>
      </c>
      <c r="E1719" s="2" t="str">
        <f ca="1">IFERROR(__xludf.DUMMYFUNCTION("""COMPUTED_VALUE"""),"Chardonnay Oak")</f>
        <v>Chardonnay Oak</v>
      </c>
      <c r="F1719" s="2">
        <f ca="1">IFERROR(__xludf.DUMMYFUNCTION("""COMPUTED_VALUE"""),3700)</f>
        <v>3700</v>
      </c>
      <c r="G1719" s="2">
        <f ca="1">IFERROR(__xludf.DUMMYFUNCTION("""COMPUTED_VALUE"""),84)</f>
        <v>84</v>
      </c>
      <c r="H1719" s="2" t="str">
        <f ca="1">IFERROR(__xludf.DUMMYFUNCTION("""COMPUTED_VALUE"""),"7f0929fd")</f>
        <v>7f0929fd</v>
      </c>
      <c r="I1719" s="2" t="str">
        <f ca="1">IFERROR(__xludf.DUMMYFUNCTION("""COMPUTED_VALUE"""),"Chardonnay Reac")</f>
        <v>Chardonnay Reac</v>
      </c>
      <c r="J1719" s="2">
        <f ca="1">IFERROR(__xludf.DUMMYFUNCTION("""COMPUTED_VALUE"""),46700)</f>
        <v>46700</v>
      </c>
      <c r="K1719" s="2">
        <f ca="1">IFERROR(__xludf.DUMMYFUNCTION("""COMPUTED_VALUE"""),50400)</f>
        <v>50400</v>
      </c>
      <c r="L1719" s="2" t="str">
        <f ca="1">IFERROR(__xludf.DUMMYFUNCTION("""COMPUTED_VALUE"""),"bf0decd7")</f>
        <v>bf0decd7</v>
      </c>
      <c r="M1719" s="2" t="str">
        <f ca="1">IFERROR(__xludf.DUMMYFUNCTION("""COMPUTED_VALUE"""),"Chardonnay Reac")</f>
        <v>Chardonnay Reac</v>
      </c>
      <c r="N1719" s="2"/>
      <c r="O1719" s="2" t="str">
        <f ca="1">IFERROR(__xludf.DUMMYFUNCTION("""COMPUTED_VALUE"""),"Fermentando")</f>
        <v>Fermentando</v>
      </c>
      <c r="P1719" s="2" t="str">
        <f ca="1">IFERROR(__xludf.DUMMYFUNCTION("""COMPUTED_VALUE"""),"1er Trasiego")</f>
        <v>1er Trasiego</v>
      </c>
      <c r="Q1719" s="2" t="b">
        <f ca="1">IFERROR(__xludf.DUMMYFUNCTION("""COMPUTED_VALUE"""),TRUE)</f>
        <v>1</v>
      </c>
      <c r="R1719" s="2" t="str">
        <f ca="1">IFERROR(__xludf.DUMMYFUNCTION("""COMPUTED_VALUE"""),"1er Trasiego")</f>
        <v>1er Trasiego</v>
      </c>
      <c r="S1719" s="2"/>
      <c r="T1719" s="2"/>
      <c r="U1719" s="2" t="str">
        <f ca="1">IFERROR(__xludf.DUMMYFUNCTION("""COMPUTED_VALUE"""),"1")</f>
        <v>1</v>
      </c>
    </row>
    <row r="1720" spans="1:21" x14ac:dyDescent="0.25">
      <c r="A1720" s="2" t="str">
        <f ca="1">IFERROR(__xludf.DUMMYFUNCTION("""COMPUTED_VALUE"""),"fe7e674d")</f>
        <v>fe7e674d</v>
      </c>
      <c r="B1720" s="5">
        <f ca="1">IFERROR(__xludf.DUMMYFUNCTION("""COMPUTED_VALUE"""),46153.6886689814)</f>
        <v>46153.688668981398</v>
      </c>
      <c r="C1720" s="2" t="str">
        <f ca="1">IFERROR(__xludf.DUMMYFUNCTION("""COMPUTED_VALUE"""),"0cee4951")</f>
        <v>0cee4951</v>
      </c>
      <c r="D1720" s="2">
        <f ca="1">IFERROR(__xludf.DUMMYFUNCTION("""COMPUTED_VALUE"""),118)</f>
        <v>118</v>
      </c>
      <c r="E1720" s="2" t="str">
        <f ca="1">IFERROR(__xludf.DUMMYFUNCTION("""COMPUTED_VALUE"""),"Syrah Temp")</f>
        <v>Syrah Temp</v>
      </c>
      <c r="F1720" s="2">
        <f ca="1">IFERROR(__xludf.DUMMYFUNCTION("""COMPUTED_VALUE"""),78900)</f>
        <v>78900</v>
      </c>
      <c r="G1720" s="2">
        <f ca="1">IFERROR(__xludf.DUMMYFUNCTION("""COMPUTED_VALUE"""),88)</f>
        <v>88</v>
      </c>
      <c r="H1720" s="2"/>
      <c r="I1720" s="2"/>
      <c r="J1720" s="2">
        <f ca="1">IFERROR(__xludf.DUMMYFUNCTION("""COMPUTED_VALUE"""),0)</f>
        <v>0</v>
      </c>
      <c r="K1720" s="2">
        <f ca="1">IFERROR(__xludf.DUMMYFUNCTION("""COMPUTED_VALUE"""),78900)</f>
        <v>78900</v>
      </c>
      <c r="L1720" s="2" t="str">
        <f ca="1">IFERROR(__xludf.DUMMYFUNCTION("""COMPUTED_VALUE"""),"028d4ed0")</f>
        <v>028d4ed0</v>
      </c>
      <c r="M1720" s="2" t="str">
        <f ca="1">IFERROR(__xludf.DUMMYFUNCTION("""COMPUTED_VALUE"""),"Syrah Temp")</f>
        <v>Syrah Temp</v>
      </c>
      <c r="N1720" s="2"/>
      <c r="O1720" s="2" t="str">
        <f ca="1">IFERROR(__xludf.DUMMYFUNCTION("""COMPUTED_VALUE"""),"Descubada")</f>
        <v>Descubada</v>
      </c>
      <c r="P1720" s="2"/>
      <c r="Q1720" s="2" t="b">
        <f ca="1">IFERROR(__xludf.DUMMYFUNCTION("""COMPUTED_VALUE"""),FALSE)</f>
        <v>0</v>
      </c>
      <c r="R1720" s="2" t="str">
        <f ca="1">IFERROR(__xludf.DUMMYFUNCTION("""COMPUTED_VALUE"""),"1er Trasiego")</f>
        <v>1er Trasiego</v>
      </c>
      <c r="S1720" s="2"/>
      <c r="T1720" s="2"/>
      <c r="U1720" s="2" t="str">
        <f ca="1">IFERROR(__xludf.DUMMYFUNCTION("""COMPUTED_VALUE"""),"1")</f>
        <v>1</v>
      </c>
    </row>
    <row r="1721" spans="1:21" x14ac:dyDescent="0.25">
      <c r="A1721" s="2" t="str">
        <f ca="1">IFERROR(__xludf.DUMMYFUNCTION("""COMPUTED_VALUE"""),"ee5b4e36")</f>
        <v>ee5b4e36</v>
      </c>
      <c r="B1721" s="5">
        <f ca="1">IFERROR(__xludf.DUMMYFUNCTION("""COMPUTED_VALUE"""),46153.6891435185)</f>
        <v>46153.689143518503</v>
      </c>
      <c r="C1721" s="2" t="str">
        <f ca="1">IFERROR(__xludf.DUMMYFUNCTION("""COMPUTED_VALUE"""),"0cee4951")</f>
        <v>0cee4951</v>
      </c>
      <c r="D1721" s="2">
        <f ca="1">IFERROR(__xludf.DUMMYFUNCTION("""COMPUTED_VALUE"""),118)</f>
        <v>118</v>
      </c>
      <c r="E1721" s="2" t="str">
        <f ca="1">IFERROR(__xludf.DUMMYFUNCTION("""COMPUTED_VALUE"""),"Syrah Temp")</f>
        <v>Syrah Temp</v>
      </c>
      <c r="F1721" s="2">
        <f ca="1">IFERROR(__xludf.DUMMYFUNCTION("""COMPUTED_VALUE"""),76700)</f>
        <v>76700</v>
      </c>
      <c r="G1721" s="2">
        <f ca="1">IFERROR(__xludf.DUMMYFUNCTION("""COMPUTED_VALUE"""),89)</f>
        <v>89</v>
      </c>
      <c r="H1721" s="2"/>
      <c r="I1721" s="2"/>
      <c r="J1721" s="2">
        <f ca="1">IFERROR(__xludf.DUMMYFUNCTION("""COMPUTED_VALUE"""),0)</f>
        <v>0</v>
      </c>
      <c r="K1721" s="2">
        <f ca="1">IFERROR(__xludf.DUMMYFUNCTION("""COMPUTED_VALUE"""),76700)</f>
        <v>76700</v>
      </c>
      <c r="L1721" s="2" t="str">
        <f ca="1">IFERROR(__xludf.DUMMYFUNCTION("""COMPUTED_VALUE"""),"0443b3f9")</f>
        <v>0443b3f9</v>
      </c>
      <c r="M1721" s="2" t="str">
        <f ca="1">IFERROR(__xludf.DUMMYFUNCTION("""COMPUTED_VALUE"""),"Syrah Temp")</f>
        <v>Syrah Temp</v>
      </c>
      <c r="N1721" s="2"/>
      <c r="O1721" s="2" t="str">
        <f ca="1">IFERROR(__xludf.DUMMYFUNCTION("""COMPUTED_VALUE"""),"Descubada")</f>
        <v>Descubada</v>
      </c>
      <c r="P1721" s="2"/>
      <c r="Q1721" s="2" t="b">
        <f ca="1">IFERROR(__xludf.DUMMYFUNCTION("""COMPUTED_VALUE"""),FALSE)</f>
        <v>0</v>
      </c>
      <c r="R1721" s="2" t="str">
        <f ca="1">IFERROR(__xludf.DUMMYFUNCTION("""COMPUTED_VALUE"""),"1er Trasiego")</f>
        <v>1er Trasiego</v>
      </c>
      <c r="S1721" s="2"/>
      <c r="T1721" s="2"/>
      <c r="U1721" s="2" t="str">
        <f ca="1">IFERROR(__xludf.DUMMYFUNCTION("""COMPUTED_VALUE"""),"1")</f>
        <v>1</v>
      </c>
    </row>
    <row r="1722" spans="1:21" x14ac:dyDescent="0.25">
      <c r="A1722" s="2" t="str">
        <f ca="1">IFERROR(__xludf.DUMMYFUNCTION("""COMPUTED_VALUE"""),"02146a6c")</f>
        <v>02146a6c</v>
      </c>
      <c r="B1722" s="5">
        <f ca="1">IFERROR(__xludf.DUMMYFUNCTION("""COMPUTED_VALUE"""),46153.6911226851)</f>
        <v>46153.691122685101</v>
      </c>
      <c r="C1722" s="2" t="str">
        <f ca="1">IFERROR(__xludf.DUMMYFUNCTION("""COMPUTED_VALUE"""),"0432aaa0")</f>
        <v>0432aaa0</v>
      </c>
      <c r="D1722" s="2">
        <f ca="1">IFERROR(__xludf.DUMMYFUNCTION("""COMPUTED_VALUE"""),30)</f>
        <v>30</v>
      </c>
      <c r="E1722" s="2" t="str">
        <f ca="1">IFERROR(__xludf.DUMMYFUNCTION("""COMPUTED_VALUE"""),"Chardonnay Ch")</f>
        <v>Chardonnay Ch</v>
      </c>
      <c r="F1722" s="2">
        <f ca="1">IFERROR(__xludf.DUMMYFUNCTION("""COMPUTED_VALUE"""),10000)</f>
        <v>10000</v>
      </c>
      <c r="G1722" s="2">
        <f ca="1">IFERROR(__xludf.DUMMYFUNCTION("""COMPUTED_VALUE"""),121)</f>
        <v>121</v>
      </c>
      <c r="H1722" s="2"/>
      <c r="I1722" s="2"/>
      <c r="J1722" s="2">
        <f ca="1">IFERROR(__xludf.DUMMYFUNCTION("""COMPUTED_VALUE"""),0)</f>
        <v>0</v>
      </c>
      <c r="K1722" s="2">
        <f ca="1">IFERROR(__xludf.DUMMYFUNCTION("""COMPUTED_VALUE"""),10000)</f>
        <v>10000</v>
      </c>
      <c r="L1722" s="2" t="str">
        <f ca="1">IFERROR(__xludf.DUMMYFUNCTION("""COMPUTED_VALUE"""),"4bd7782a")</f>
        <v>4bd7782a</v>
      </c>
      <c r="M1722" s="2" t="str">
        <f ca="1">IFERROR(__xludf.DUMMYFUNCTION("""COMPUTED_VALUE"""),"Chardonnay Ch")</f>
        <v>Chardonnay Ch</v>
      </c>
      <c r="N1722" s="2"/>
      <c r="O1722" s="2" t="str">
        <f ca="1">IFERROR(__xludf.DUMMYFUNCTION("""COMPUTED_VALUE"""),"Descubada")</f>
        <v>Descubada</v>
      </c>
      <c r="P1722" s="2"/>
      <c r="Q1722" s="2" t="b">
        <f ca="1">IFERROR(__xludf.DUMMYFUNCTION("""COMPUTED_VALUE"""),FALSE)</f>
        <v>0</v>
      </c>
      <c r="R1722" s="2" t="str">
        <f ca="1">IFERROR(__xludf.DUMMYFUNCTION("""COMPUTED_VALUE"""),"1er Trasiego")</f>
        <v>1er Trasiego</v>
      </c>
      <c r="S1722" s="2"/>
      <c r="T1722" s="2"/>
      <c r="U1722" s="2" t="str">
        <f ca="1">IFERROR(__xludf.DUMMYFUNCTION("""COMPUTED_VALUE"""),"1")</f>
        <v>1</v>
      </c>
    </row>
    <row r="1723" spans="1:21" x14ac:dyDescent="0.25">
      <c r="A1723" s="2" t="str">
        <f ca="1">IFERROR(__xludf.DUMMYFUNCTION("""COMPUTED_VALUE"""),"8d5640c9")</f>
        <v>8d5640c9</v>
      </c>
      <c r="B1723" s="5">
        <f ca="1">IFERROR(__xludf.DUMMYFUNCTION("""COMPUTED_VALUE"""),46153.6917361111)</f>
        <v>46153.691736111097</v>
      </c>
      <c r="C1723" s="2" t="str">
        <f ca="1">IFERROR(__xludf.DUMMYFUNCTION("""COMPUTED_VALUE"""),"7a77b210")</f>
        <v>7a77b210</v>
      </c>
      <c r="D1723" s="2">
        <f ca="1">IFERROR(__xludf.DUMMYFUNCTION("""COMPUTED_VALUE"""),33)</f>
        <v>33</v>
      </c>
      <c r="E1723" s="2" t="str">
        <f ca="1">IFERROR(__xludf.DUMMYFUNCTION("""COMPUTED_VALUE"""),"Chardonnay")</f>
        <v>Chardonnay</v>
      </c>
      <c r="F1723" s="2">
        <f ca="1">IFERROR(__xludf.DUMMYFUNCTION("""COMPUTED_VALUE"""),6600)</f>
        <v>6600</v>
      </c>
      <c r="G1723" s="2">
        <f ca="1">IFERROR(__xludf.DUMMYFUNCTION("""COMPUTED_VALUE"""),121)</f>
        <v>121</v>
      </c>
      <c r="H1723" s="2" t="str">
        <f ca="1">IFERROR(__xludf.DUMMYFUNCTION("""COMPUTED_VALUE"""),"4bd7782a")</f>
        <v>4bd7782a</v>
      </c>
      <c r="I1723" s="2" t="str">
        <f ca="1">IFERROR(__xludf.DUMMYFUNCTION("""COMPUTED_VALUE"""),"Chardonnay Ch")</f>
        <v>Chardonnay Ch</v>
      </c>
      <c r="J1723" s="2">
        <f ca="1">IFERROR(__xludf.DUMMYFUNCTION("""COMPUTED_VALUE"""),10000)</f>
        <v>10000</v>
      </c>
      <c r="K1723" s="2">
        <f ca="1">IFERROR(__xludf.DUMMYFUNCTION("""COMPUTED_VALUE"""),16600)</f>
        <v>16600</v>
      </c>
      <c r="L1723" s="2" t="str">
        <f ca="1">IFERROR(__xludf.DUMMYFUNCTION("""COMPUTED_VALUE"""),"f7c8ff89")</f>
        <v>f7c8ff89</v>
      </c>
      <c r="M1723" s="2" t="str">
        <f ca="1">IFERROR(__xludf.DUMMYFUNCTION("""COMPUTED_VALUE"""),"Chardonnay Ch")</f>
        <v>Chardonnay Ch</v>
      </c>
      <c r="N1723" s="2"/>
      <c r="O1723" s="2" t="str">
        <f ca="1">IFERROR(__xludf.DUMMYFUNCTION("""COMPUTED_VALUE"""),"Descubada")</f>
        <v>Descubada</v>
      </c>
      <c r="P1723" s="2" t="str">
        <f ca="1">IFERROR(__xludf.DUMMYFUNCTION("""COMPUTED_VALUE"""),"1er Trasiego")</f>
        <v>1er Trasiego</v>
      </c>
      <c r="Q1723" s="2" t="b">
        <f ca="1">IFERROR(__xludf.DUMMYFUNCTION("""COMPUTED_VALUE"""),TRUE)</f>
        <v>1</v>
      </c>
      <c r="R1723" s="2" t="str">
        <f ca="1">IFERROR(__xludf.DUMMYFUNCTION("""COMPUTED_VALUE"""),"1er Trasiego")</f>
        <v>1er Trasiego</v>
      </c>
      <c r="S1723" s="2"/>
      <c r="T1723" s="2"/>
      <c r="U1723" s="2" t="str">
        <f ca="1">IFERROR(__xludf.DUMMYFUNCTION("""COMPUTED_VALUE"""),"1")</f>
        <v>1</v>
      </c>
    </row>
    <row r="1724" spans="1:21" x14ac:dyDescent="0.25">
      <c r="A1724" s="2" t="str">
        <f ca="1">IFERROR(__xludf.DUMMYFUNCTION("""COMPUTED_VALUE"""),"9f935aaa")</f>
        <v>9f935aaa</v>
      </c>
      <c r="B1724" s="5">
        <f ca="1">IFERROR(__xludf.DUMMYFUNCTION("""COMPUTED_VALUE"""),46153.6921875)</f>
        <v>46153.692187499997</v>
      </c>
      <c r="C1724" s="2" t="str">
        <f ca="1">IFERROR(__xludf.DUMMYFUNCTION("""COMPUTED_VALUE"""),"964bb1ba")</f>
        <v>964bb1ba</v>
      </c>
      <c r="D1724" s="2">
        <f ca="1">IFERROR(__xludf.DUMMYFUNCTION("""COMPUTED_VALUE"""),40)</f>
        <v>40</v>
      </c>
      <c r="E1724" s="2" t="str">
        <f ca="1">IFERROR(__xludf.DUMMYFUNCTION("""COMPUTED_VALUE"""),"Chardonnay")</f>
        <v>Chardonnay</v>
      </c>
      <c r="F1724" s="2">
        <f ca="1">IFERROR(__xludf.DUMMYFUNCTION("""COMPUTED_VALUE"""),6600)</f>
        <v>6600</v>
      </c>
      <c r="G1724" s="2">
        <f ca="1">IFERROR(__xludf.DUMMYFUNCTION("""COMPUTED_VALUE"""),121)</f>
        <v>121</v>
      </c>
      <c r="H1724" s="2" t="str">
        <f ca="1">IFERROR(__xludf.DUMMYFUNCTION("""COMPUTED_VALUE"""),"f7c8ff89")</f>
        <v>f7c8ff89</v>
      </c>
      <c r="I1724" s="2" t="str">
        <f ca="1">IFERROR(__xludf.DUMMYFUNCTION("""COMPUTED_VALUE"""),"Chardonnay Ch")</f>
        <v>Chardonnay Ch</v>
      </c>
      <c r="J1724" s="2">
        <f ca="1">IFERROR(__xludf.DUMMYFUNCTION("""COMPUTED_VALUE"""),16600)</f>
        <v>16600</v>
      </c>
      <c r="K1724" s="2">
        <f ca="1">IFERROR(__xludf.DUMMYFUNCTION("""COMPUTED_VALUE"""),23200)</f>
        <v>23200</v>
      </c>
      <c r="L1724" s="2" t="str">
        <f ca="1">IFERROR(__xludf.DUMMYFUNCTION("""COMPUTED_VALUE"""),"d3a2543c")</f>
        <v>d3a2543c</v>
      </c>
      <c r="M1724" s="2" t="str">
        <f ca="1">IFERROR(__xludf.DUMMYFUNCTION("""COMPUTED_VALUE"""),"Chardonnay Ch")</f>
        <v>Chardonnay Ch</v>
      </c>
      <c r="N1724" s="2"/>
      <c r="O1724" s="2" t="str">
        <f ca="1">IFERROR(__xludf.DUMMYFUNCTION("""COMPUTED_VALUE"""),"Descubada")</f>
        <v>Descubada</v>
      </c>
      <c r="P1724" s="2" t="str">
        <f ca="1">IFERROR(__xludf.DUMMYFUNCTION("""COMPUTED_VALUE"""),"1er Trasiego")</f>
        <v>1er Trasiego</v>
      </c>
      <c r="Q1724" s="2" t="b">
        <f ca="1">IFERROR(__xludf.DUMMYFUNCTION("""COMPUTED_VALUE"""),TRUE)</f>
        <v>1</v>
      </c>
      <c r="R1724" s="2" t="str">
        <f ca="1">IFERROR(__xludf.DUMMYFUNCTION("""COMPUTED_VALUE"""),"1er Trasiego")</f>
        <v>1er Trasiego</v>
      </c>
      <c r="S1724" s="2"/>
      <c r="T1724" s="2"/>
      <c r="U1724" s="2" t="str">
        <f ca="1">IFERROR(__xludf.DUMMYFUNCTION("""COMPUTED_VALUE"""),"1")</f>
        <v>1</v>
      </c>
    </row>
    <row r="1725" spans="1:21" x14ac:dyDescent="0.25">
      <c r="A1725" s="2" t="str">
        <f ca="1">IFERROR(__xludf.DUMMYFUNCTION("""COMPUTED_VALUE"""),"506c9756")</f>
        <v>506c9756</v>
      </c>
      <c r="B1725" s="5">
        <f ca="1">IFERROR(__xludf.DUMMYFUNCTION("""COMPUTED_VALUE"""),46153.6926504629)</f>
        <v>46153.692650462901</v>
      </c>
      <c r="C1725" s="2" t="str">
        <f ca="1">IFERROR(__xludf.DUMMYFUNCTION("""COMPUTED_VALUE"""),"b4d0796a")</f>
        <v>b4d0796a</v>
      </c>
      <c r="D1725" s="2">
        <f ca="1">IFERROR(__xludf.DUMMYFUNCTION("""COMPUTED_VALUE"""),44)</f>
        <v>44</v>
      </c>
      <c r="E1725" s="2" t="str">
        <f ca="1">IFERROR(__xludf.DUMMYFUNCTION("""COMPUTED_VALUE"""),"Chardonnay")</f>
        <v>Chardonnay</v>
      </c>
      <c r="F1725" s="2">
        <f ca="1">IFERROR(__xludf.DUMMYFUNCTION("""COMPUTED_VALUE"""),4800)</f>
        <v>4800</v>
      </c>
      <c r="G1725" s="2">
        <f ca="1">IFERROR(__xludf.DUMMYFUNCTION("""COMPUTED_VALUE"""),121)</f>
        <v>121</v>
      </c>
      <c r="H1725" s="2" t="str">
        <f ca="1">IFERROR(__xludf.DUMMYFUNCTION("""COMPUTED_VALUE"""),"d3a2543c")</f>
        <v>d3a2543c</v>
      </c>
      <c r="I1725" s="2" t="str">
        <f ca="1">IFERROR(__xludf.DUMMYFUNCTION("""COMPUTED_VALUE"""),"Chardonnay Ch")</f>
        <v>Chardonnay Ch</v>
      </c>
      <c r="J1725" s="2">
        <f ca="1">IFERROR(__xludf.DUMMYFUNCTION("""COMPUTED_VALUE"""),23200)</f>
        <v>23200</v>
      </c>
      <c r="K1725" s="2">
        <f ca="1">IFERROR(__xludf.DUMMYFUNCTION("""COMPUTED_VALUE"""),28000)</f>
        <v>28000</v>
      </c>
      <c r="L1725" s="2" t="str">
        <f ca="1">IFERROR(__xludf.DUMMYFUNCTION("""COMPUTED_VALUE"""),"07f16fa3")</f>
        <v>07f16fa3</v>
      </c>
      <c r="M1725" s="2" t="str">
        <f ca="1">IFERROR(__xludf.DUMMYFUNCTION("""COMPUTED_VALUE"""),"Chardonnay Ch")</f>
        <v>Chardonnay Ch</v>
      </c>
      <c r="N1725" s="2"/>
      <c r="O1725" s="2" t="str">
        <f ca="1">IFERROR(__xludf.DUMMYFUNCTION("""COMPUTED_VALUE"""),"Descubada")</f>
        <v>Descubada</v>
      </c>
      <c r="P1725" s="2" t="str">
        <f ca="1">IFERROR(__xludf.DUMMYFUNCTION("""COMPUTED_VALUE"""),"1er Trasiego")</f>
        <v>1er Trasiego</v>
      </c>
      <c r="Q1725" s="2" t="b">
        <f ca="1">IFERROR(__xludf.DUMMYFUNCTION("""COMPUTED_VALUE"""),TRUE)</f>
        <v>1</v>
      </c>
      <c r="R1725" s="2" t="str">
        <f ca="1">IFERROR(__xludf.DUMMYFUNCTION("""COMPUTED_VALUE"""),"1er Trasiego")</f>
        <v>1er Trasiego</v>
      </c>
      <c r="S1725" s="2"/>
      <c r="T1725" s="2"/>
      <c r="U1725" s="2" t="str">
        <f ca="1">IFERROR(__xludf.DUMMYFUNCTION("""COMPUTED_VALUE"""),"1")</f>
        <v>1</v>
      </c>
    </row>
    <row r="1726" spans="1:21" x14ac:dyDescent="0.25">
      <c r="A1726" s="2" t="str">
        <f ca="1">IFERROR(__xludf.DUMMYFUNCTION("""COMPUTED_VALUE"""),"a58bda0a")</f>
        <v>a58bda0a</v>
      </c>
      <c r="B1726" s="5">
        <f ca="1">IFERROR(__xludf.DUMMYFUNCTION("""COMPUTED_VALUE"""),46153.6930324074)</f>
        <v>46153.693032407398</v>
      </c>
      <c r="C1726" s="2" t="str">
        <f ca="1">IFERROR(__xludf.DUMMYFUNCTION("""COMPUTED_VALUE"""),"5d1f812a")</f>
        <v>5d1f812a</v>
      </c>
      <c r="D1726" s="2">
        <f ca="1">IFERROR(__xludf.DUMMYFUNCTION("""COMPUTED_VALUE"""),47)</f>
        <v>47</v>
      </c>
      <c r="E1726" s="2" t="str">
        <f ca="1">IFERROR(__xludf.DUMMYFUNCTION("""COMPUTED_VALUE"""),"Chardonnay")</f>
        <v>Chardonnay</v>
      </c>
      <c r="F1726" s="2">
        <f ca="1">IFERROR(__xludf.DUMMYFUNCTION("""COMPUTED_VALUE"""),5100)</f>
        <v>5100</v>
      </c>
      <c r="G1726" s="2">
        <f ca="1">IFERROR(__xludf.DUMMYFUNCTION("""COMPUTED_VALUE"""),121)</f>
        <v>121</v>
      </c>
      <c r="H1726" s="2" t="str">
        <f ca="1">IFERROR(__xludf.DUMMYFUNCTION("""COMPUTED_VALUE"""),"07f16fa3")</f>
        <v>07f16fa3</v>
      </c>
      <c r="I1726" s="2" t="str">
        <f ca="1">IFERROR(__xludf.DUMMYFUNCTION("""COMPUTED_VALUE"""),"Chardonnay Ch")</f>
        <v>Chardonnay Ch</v>
      </c>
      <c r="J1726" s="2">
        <f ca="1">IFERROR(__xludf.DUMMYFUNCTION("""COMPUTED_VALUE"""),28000)</f>
        <v>28000</v>
      </c>
      <c r="K1726" s="2">
        <f ca="1">IFERROR(__xludf.DUMMYFUNCTION("""COMPUTED_VALUE"""),33100)</f>
        <v>33100</v>
      </c>
      <c r="L1726" s="2" t="str">
        <f ca="1">IFERROR(__xludf.DUMMYFUNCTION("""COMPUTED_VALUE"""),"d048630b")</f>
        <v>d048630b</v>
      </c>
      <c r="M1726" s="2" t="str">
        <f ca="1">IFERROR(__xludf.DUMMYFUNCTION("""COMPUTED_VALUE"""),"Chardonnay Ch")</f>
        <v>Chardonnay Ch</v>
      </c>
      <c r="N1726" s="2"/>
      <c r="O1726" s="2" t="str">
        <f ca="1">IFERROR(__xludf.DUMMYFUNCTION("""COMPUTED_VALUE"""),"Descubada")</f>
        <v>Descubada</v>
      </c>
      <c r="P1726" s="2" t="str">
        <f ca="1">IFERROR(__xludf.DUMMYFUNCTION("""COMPUTED_VALUE"""),"1er Trasiego")</f>
        <v>1er Trasiego</v>
      </c>
      <c r="Q1726" s="2" t="b">
        <f ca="1">IFERROR(__xludf.DUMMYFUNCTION("""COMPUTED_VALUE"""),TRUE)</f>
        <v>1</v>
      </c>
      <c r="R1726" s="2" t="str">
        <f ca="1">IFERROR(__xludf.DUMMYFUNCTION("""COMPUTED_VALUE"""),"1er Trasiego")</f>
        <v>1er Trasiego</v>
      </c>
      <c r="S1726" s="2"/>
      <c r="T1726" s="2"/>
      <c r="U1726" s="2" t="str">
        <f ca="1">IFERROR(__xludf.DUMMYFUNCTION("""COMPUTED_VALUE"""),"1")</f>
        <v>1</v>
      </c>
    </row>
    <row r="1727" spans="1:21" x14ac:dyDescent="0.25">
      <c r="A1727" s="2" t="str">
        <f ca="1">IFERROR(__xludf.DUMMYFUNCTION("""COMPUTED_VALUE"""),"2b0aa00e")</f>
        <v>2b0aa00e</v>
      </c>
      <c r="B1727" s="5">
        <f ca="1">IFERROR(__xludf.DUMMYFUNCTION("""COMPUTED_VALUE"""),46153.6952662037)</f>
        <v>46153.6952662037</v>
      </c>
      <c r="C1727" s="2" t="str">
        <f ca="1">IFERROR(__xludf.DUMMYFUNCTION("""COMPUTED_VALUE"""),"f2237628")</f>
        <v>f2237628</v>
      </c>
      <c r="D1727" s="2">
        <f ca="1">IFERROR(__xludf.DUMMYFUNCTION("""COMPUTED_VALUE"""),49)</f>
        <v>49</v>
      </c>
      <c r="E1727" s="2" t="str">
        <f ca="1">IFERROR(__xludf.DUMMYFUNCTION("""COMPUTED_VALUE"""),"Chardonnay")</f>
        <v>Chardonnay</v>
      </c>
      <c r="F1727" s="2">
        <f ca="1">IFERROR(__xludf.DUMMYFUNCTION("""COMPUTED_VALUE"""),6600)</f>
        <v>6600</v>
      </c>
      <c r="G1727" s="2">
        <f ca="1">IFERROR(__xludf.DUMMYFUNCTION("""COMPUTED_VALUE"""),121)</f>
        <v>121</v>
      </c>
      <c r="H1727" s="2" t="str">
        <f ca="1">IFERROR(__xludf.DUMMYFUNCTION("""COMPUTED_VALUE"""),"d048630b")</f>
        <v>d048630b</v>
      </c>
      <c r="I1727" s="2" t="str">
        <f ca="1">IFERROR(__xludf.DUMMYFUNCTION("""COMPUTED_VALUE"""),"Chardonnay Ch")</f>
        <v>Chardonnay Ch</v>
      </c>
      <c r="J1727" s="2">
        <f ca="1">IFERROR(__xludf.DUMMYFUNCTION("""COMPUTED_VALUE"""),33100)</f>
        <v>33100</v>
      </c>
      <c r="K1727" s="2">
        <f ca="1">IFERROR(__xludf.DUMMYFUNCTION("""COMPUTED_VALUE"""),39700)</f>
        <v>39700</v>
      </c>
      <c r="L1727" s="2" t="str">
        <f ca="1">IFERROR(__xludf.DUMMYFUNCTION("""COMPUTED_VALUE"""),"903dff61")</f>
        <v>903dff61</v>
      </c>
      <c r="M1727" s="2" t="str">
        <f ca="1">IFERROR(__xludf.DUMMYFUNCTION("""COMPUTED_VALUE"""),"Chardonnay Ch")</f>
        <v>Chardonnay Ch</v>
      </c>
      <c r="N1727" s="2"/>
      <c r="O1727" s="2" t="str">
        <f ca="1">IFERROR(__xludf.DUMMYFUNCTION("""COMPUTED_VALUE"""),"Descubada")</f>
        <v>Descubada</v>
      </c>
      <c r="P1727" s="2" t="str">
        <f ca="1">IFERROR(__xludf.DUMMYFUNCTION("""COMPUTED_VALUE"""),"1er Trasiego")</f>
        <v>1er Trasiego</v>
      </c>
      <c r="Q1727" s="2" t="b">
        <f ca="1">IFERROR(__xludf.DUMMYFUNCTION("""COMPUTED_VALUE"""),TRUE)</f>
        <v>1</v>
      </c>
      <c r="R1727" s="2" t="str">
        <f ca="1">IFERROR(__xludf.DUMMYFUNCTION("""COMPUTED_VALUE"""),"1er Trasiego")</f>
        <v>1er Trasiego</v>
      </c>
      <c r="S1727" s="2"/>
      <c r="T1727" s="2"/>
      <c r="U1727" s="2" t="str">
        <f ca="1">IFERROR(__xludf.DUMMYFUNCTION("""COMPUTED_VALUE"""),"1")</f>
        <v>1</v>
      </c>
    </row>
    <row r="1728" spans="1:21" x14ac:dyDescent="0.25">
      <c r="A1728" s="2" t="str">
        <f ca="1">IFERROR(__xludf.DUMMYFUNCTION("""COMPUTED_VALUE"""),"1ace0f6d")</f>
        <v>1ace0f6d</v>
      </c>
      <c r="B1728" s="5">
        <f ca="1">IFERROR(__xludf.DUMMYFUNCTION("""COMPUTED_VALUE"""),46153.6957523148)</f>
        <v>46153.695752314801</v>
      </c>
      <c r="C1728" s="2" t="str">
        <f ca="1">IFERROR(__xludf.DUMMYFUNCTION("""COMPUTED_VALUE"""),"057306c8")</f>
        <v>057306c8</v>
      </c>
      <c r="D1728" s="2">
        <f ca="1">IFERROR(__xludf.DUMMYFUNCTION("""COMPUTED_VALUE"""),52)</f>
        <v>52</v>
      </c>
      <c r="E1728" s="2" t="str">
        <f ca="1">IFERROR(__xludf.DUMMYFUNCTION("""COMPUTED_VALUE"""),"Chardonnay")</f>
        <v>Chardonnay</v>
      </c>
      <c r="F1728" s="2">
        <f ca="1">IFERROR(__xludf.DUMMYFUNCTION("""COMPUTED_VALUE"""),7000)</f>
        <v>7000</v>
      </c>
      <c r="G1728" s="2">
        <f ca="1">IFERROR(__xludf.DUMMYFUNCTION("""COMPUTED_VALUE"""),121)</f>
        <v>121</v>
      </c>
      <c r="H1728" s="2" t="str">
        <f ca="1">IFERROR(__xludf.DUMMYFUNCTION("""COMPUTED_VALUE"""),"903dff61")</f>
        <v>903dff61</v>
      </c>
      <c r="I1728" s="2" t="str">
        <f ca="1">IFERROR(__xludf.DUMMYFUNCTION("""COMPUTED_VALUE"""),"Chardonnay Ch")</f>
        <v>Chardonnay Ch</v>
      </c>
      <c r="J1728" s="2">
        <f ca="1">IFERROR(__xludf.DUMMYFUNCTION("""COMPUTED_VALUE"""),39700)</f>
        <v>39700</v>
      </c>
      <c r="K1728" s="2">
        <f ca="1">IFERROR(__xludf.DUMMYFUNCTION("""COMPUTED_VALUE"""),46700)</f>
        <v>46700</v>
      </c>
      <c r="L1728" s="2" t="str">
        <f ca="1">IFERROR(__xludf.DUMMYFUNCTION("""COMPUTED_VALUE"""),"26b7e88e")</f>
        <v>26b7e88e</v>
      </c>
      <c r="M1728" s="2" t="str">
        <f ca="1">IFERROR(__xludf.DUMMYFUNCTION("""COMPUTED_VALUE"""),"Chardonnay Ch")</f>
        <v>Chardonnay Ch</v>
      </c>
      <c r="N1728" s="2"/>
      <c r="O1728" s="2" t="str">
        <f ca="1">IFERROR(__xludf.DUMMYFUNCTION("""COMPUTED_VALUE"""),"Descubada")</f>
        <v>Descubada</v>
      </c>
      <c r="P1728" s="2" t="str">
        <f ca="1">IFERROR(__xludf.DUMMYFUNCTION("""COMPUTED_VALUE"""),"1er Trasiego")</f>
        <v>1er Trasiego</v>
      </c>
      <c r="Q1728" s="2" t="b">
        <f ca="1">IFERROR(__xludf.DUMMYFUNCTION("""COMPUTED_VALUE"""),TRUE)</f>
        <v>1</v>
      </c>
      <c r="R1728" s="2" t="str">
        <f ca="1">IFERROR(__xludf.DUMMYFUNCTION("""COMPUTED_VALUE"""),"1er Trasiego")</f>
        <v>1er Trasiego</v>
      </c>
      <c r="S1728" s="2"/>
      <c r="T1728" s="2"/>
      <c r="U1728" s="2" t="str">
        <f ca="1">IFERROR(__xludf.DUMMYFUNCTION("""COMPUTED_VALUE"""),"1")</f>
        <v>1</v>
      </c>
    </row>
    <row r="1729" spans="1:21" x14ac:dyDescent="0.25">
      <c r="A1729" s="2" t="str">
        <f ca="1">IFERROR(__xludf.DUMMYFUNCTION("""COMPUTED_VALUE"""),"8db3b8f3")</f>
        <v>8db3b8f3</v>
      </c>
      <c r="B1729" s="5">
        <f ca="1">IFERROR(__xludf.DUMMYFUNCTION("""COMPUTED_VALUE"""),46153.6961805555)</f>
        <v>46153.696180555497</v>
      </c>
      <c r="C1729" s="2" t="str">
        <f ca="1">IFERROR(__xludf.DUMMYFUNCTION("""COMPUTED_VALUE"""),"d0f8eef2")</f>
        <v>d0f8eef2</v>
      </c>
      <c r="D1729" s="2">
        <f ca="1">IFERROR(__xludf.DUMMYFUNCTION("""COMPUTED_VALUE"""),72)</f>
        <v>72</v>
      </c>
      <c r="E1729" s="2" t="str">
        <f ca="1">IFERROR(__xludf.DUMMYFUNCTION("""COMPUTED_VALUE"""),"Chardonnay Oak")</f>
        <v>Chardonnay Oak</v>
      </c>
      <c r="F1729" s="2">
        <f ca="1">IFERROR(__xludf.DUMMYFUNCTION("""COMPUTED_VALUE"""),3700)</f>
        <v>3700</v>
      </c>
      <c r="G1729" s="2">
        <f ca="1">IFERROR(__xludf.DUMMYFUNCTION("""COMPUTED_VALUE"""),121)</f>
        <v>121</v>
      </c>
      <c r="H1729" s="2" t="str">
        <f ca="1">IFERROR(__xludf.DUMMYFUNCTION("""COMPUTED_VALUE"""),"26b7e88e")</f>
        <v>26b7e88e</v>
      </c>
      <c r="I1729" s="2" t="str">
        <f ca="1">IFERROR(__xludf.DUMMYFUNCTION("""COMPUTED_VALUE"""),"Chardonnay Ch")</f>
        <v>Chardonnay Ch</v>
      </c>
      <c r="J1729" s="2">
        <f ca="1">IFERROR(__xludf.DUMMYFUNCTION("""COMPUTED_VALUE"""),46700)</f>
        <v>46700</v>
      </c>
      <c r="K1729" s="2">
        <f ca="1">IFERROR(__xludf.DUMMYFUNCTION("""COMPUTED_VALUE"""),50400)</f>
        <v>50400</v>
      </c>
      <c r="L1729" s="2" t="str">
        <f ca="1">IFERROR(__xludf.DUMMYFUNCTION("""COMPUTED_VALUE"""),"fd6b0834")</f>
        <v>fd6b0834</v>
      </c>
      <c r="M1729" s="2" t="str">
        <f ca="1">IFERROR(__xludf.DUMMYFUNCTION("""COMPUTED_VALUE"""),"Chardonnay Salentein")</f>
        <v>Chardonnay Salentein</v>
      </c>
      <c r="N1729" s="2"/>
      <c r="O1729" s="2" t="str">
        <f ca="1">IFERROR(__xludf.DUMMYFUNCTION("""COMPUTED_VALUE"""),"Fermentando")</f>
        <v>Fermentando</v>
      </c>
      <c r="P1729" s="2" t="str">
        <f ca="1">IFERROR(__xludf.DUMMYFUNCTION("""COMPUTED_VALUE"""),"1er Trasiego")</f>
        <v>1er Trasiego</v>
      </c>
      <c r="Q1729" s="2" t="b">
        <f ca="1">IFERROR(__xludf.DUMMYFUNCTION("""COMPUTED_VALUE"""),TRUE)</f>
        <v>1</v>
      </c>
      <c r="R1729" s="2" t="str">
        <f ca="1">IFERROR(__xludf.DUMMYFUNCTION("""COMPUTED_VALUE"""),"1er Trasiego")</f>
        <v>1er Trasiego</v>
      </c>
      <c r="S1729" s="2"/>
      <c r="T1729" s="2"/>
      <c r="U1729" s="2" t="str">
        <f ca="1">IFERROR(__xludf.DUMMYFUNCTION("""COMPUTED_VALUE"""),"1")</f>
        <v>1</v>
      </c>
    </row>
    <row r="1730" spans="1:21" x14ac:dyDescent="0.25">
      <c r="A1730" s="2" t="str">
        <f ca="1">IFERROR(__xludf.DUMMYFUNCTION("""COMPUTED_VALUE"""),"1ed7c7a0")</f>
        <v>1ed7c7a0</v>
      </c>
      <c r="B1730" s="5">
        <f ca="1">IFERROR(__xludf.DUMMYFUNCTION("""COMPUTED_VALUE"""),46153.6969212962)</f>
        <v>46153.696921296199</v>
      </c>
      <c r="C1730" s="2" t="str">
        <f ca="1">IFERROR(__xludf.DUMMYFUNCTION("""COMPUTED_VALUE"""),"057306c8")</f>
        <v>057306c8</v>
      </c>
      <c r="D1730" s="2">
        <f ca="1">IFERROR(__xludf.DUMMYFUNCTION("""COMPUTED_VALUE"""),52)</f>
        <v>52</v>
      </c>
      <c r="E1730" s="2" t="str">
        <f ca="1">IFERROR(__xludf.DUMMYFUNCTION("""COMPUTED_VALUE"""),"Chardonnay")</f>
        <v>Chardonnay</v>
      </c>
      <c r="F1730" s="2">
        <f ca="1">IFERROR(__xludf.DUMMYFUNCTION("""COMPUTED_VALUE"""),7000)</f>
        <v>7000</v>
      </c>
      <c r="G1730" s="2">
        <f ca="1">IFERROR(__xludf.DUMMYFUNCTION("""COMPUTED_VALUE"""),49)</f>
        <v>49</v>
      </c>
      <c r="H1730" s="2" t="str">
        <f ca="1">IFERROR(__xludf.DUMMYFUNCTION("""COMPUTED_VALUE"""),"f2237628")</f>
        <v>f2237628</v>
      </c>
      <c r="I1730" s="2" t="str">
        <f ca="1">IFERROR(__xludf.DUMMYFUNCTION("""COMPUTED_VALUE"""),"Chardonnay")</f>
        <v>Chardonnay</v>
      </c>
      <c r="J1730" s="2">
        <f ca="1">IFERROR(__xludf.DUMMYFUNCTION("""COMPUTED_VALUE"""),5800)</f>
        <v>5800</v>
      </c>
      <c r="K1730" s="2">
        <f ca="1">IFERROR(__xludf.DUMMYFUNCTION("""COMPUTED_VALUE"""),12800)</f>
        <v>12800</v>
      </c>
      <c r="L1730" s="2" t="str">
        <f ca="1">IFERROR(__xludf.DUMMYFUNCTION("""COMPUTED_VALUE"""),"d174ba9b")</f>
        <v>d174ba9b</v>
      </c>
      <c r="M1730" s="2" t="str">
        <f ca="1">IFERROR(__xludf.DUMMYFUNCTION("""COMPUTED_VALUE"""),"Chardonnay")</f>
        <v>Chardonnay</v>
      </c>
      <c r="N1730" s="2"/>
      <c r="O1730" s="2" t="str">
        <f ca="1">IFERROR(__xludf.DUMMYFUNCTION("""COMPUTED_VALUE"""),"Descubada")</f>
        <v>Descubada</v>
      </c>
      <c r="P1730" s="2" t="str">
        <f ca="1">IFERROR(__xludf.DUMMYFUNCTION("""COMPUTED_VALUE"""),"Descubada")</f>
        <v>Descubada</v>
      </c>
      <c r="Q1730" s="2" t="b">
        <f ca="1">IFERROR(__xludf.DUMMYFUNCTION("""COMPUTED_VALUE"""),TRUE)</f>
        <v>1</v>
      </c>
      <c r="R1730" s="2" t="str">
        <f ca="1">IFERROR(__xludf.DUMMYFUNCTION("""COMPUTED_VALUE"""),"Descubada")</f>
        <v>Descubada</v>
      </c>
      <c r="S1730" s="2"/>
      <c r="T1730" s="2"/>
      <c r="U1730" s="2"/>
    </row>
    <row r="1731" spans="1:21" x14ac:dyDescent="0.25">
      <c r="A1731" s="2" t="str">
        <f ca="1">IFERROR(__xludf.DUMMYFUNCTION("""COMPUTED_VALUE"""),"26bffe38")</f>
        <v>26bffe38</v>
      </c>
      <c r="B1731" s="5">
        <f ca="1">IFERROR(__xludf.DUMMYFUNCTION("""COMPUTED_VALUE"""),46155.4189583333)</f>
        <v>46155.418958333299</v>
      </c>
      <c r="C1731" s="2" t="str">
        <f ca="1">IFERROR(__xludf.DUMMYFUNCTION("""COMPUTED_VALUE"""),"b078fbc6")</f>
        <v>b078fbc6</v>
      </c>
      <c r="D1731" s="2">
        <f ca="1">IFERROR(__xludf.DUMMYFUNCTION("""COMPUTED_VALUE"""),76)</f>
        <v>76</v>
      </c>
      <c r="E1731" s="2" t="str">
        <f ca="1">IFERROR(__xludf.DUMMYFUNCTION("""COMPUTED_VALUE"""),"Bonarda")</f>
        <v>Bonarda</v>
      </c>
      <c r="F1731" s="2">
        <f ca="1">IFERROR(__xludf.DUMMYFUNCTION("""COMPUTED_VALUE"""),22500)</f>
        <v>22500</v>
      </c>
      <c r="G1731" s="2">
        <f ca="1">IFERROR(__xludf.DUMMYFUNCTION("""COMPUTED_VALUE"""),126)</f>
        <v>126</v>
      </c>
      <c r="H1731" s="2"/>
      <c r="I1731" s="2"/>
      <c r="J1731" s="2">
        <f ca="1">IFERROR(__xludf.DUMMYFUNCTION("""COMPUTED_VALUE"""),0)</f>
        <v>0</v>
      </c>
      <c r="K1731" s="2">
        <f ca="1">IFERROR(__xludf.DUMMYFUNCTION("""COMPUTED_VALUE"""),22500)</f>
        <v>22500</v>
      </c>
      <c r="L1731" s="2" t="str">
        <f ca="1">IFERROR(__xludf.DUMMYFUNCTION("""COMPUTED_VALUE"""),"317ed02c")</f>
        <v>317ed02c</v>
      </c>
      <c r="M1731" s="2" t="str">
        <f ca="1">IFERROR(__xludf.DUMMYFUNCTION("""COMPUTED_VALUE"""),"Bonarda")</f>
        <v>Bonarda</v>
      </c>
      <c r="N1731" s="2"/>
      <c r="O1731" s="2" t="str">
        <f ca="1">IFERROR(__xludf.DUMMYFUNCTION("""COMPUTED_VALUE"""),"Fermentando")</f>
        <v>Fermentando</v>
      </c>
      <c r="P1731" s="2"/>
      <c r="Q1731" s="2" t="b">
        <f ca="1">IFERROR(__xludf.DUMMYFUNCTION("""COMPUTED_VALUE"""),FALSE)</f>
        <v>0</v>
      </c>
      <c r="R1731" s="2" t="str">
        <f ca="1">IFERROR(__xludf.DUMMYFUNCTION("""COMPUTED_VALUE"""),"Descubada")</f>
        <v>Descubada</v>
      </c>
      <c r="S1731" s="2"/>
      <c r="T1731" s="2"/>
      <c r="U1731" s="2"/>
    </row>
    <row r="1732" spans="1:21" x14ac:dyDescent="0.25">
      <c r="A1732" s="2" t="str">
        <f ca="1">IFERROR(__xludf.DUMMYFUNCTION("""COMPUTED_VALUE"""),"b10d0778")</f>
        <v>b10d0778</v>
      </c>
      <c r="B1732" s="5">
        <f ca="1">IFERROR(__xludf.DUMMYFUNCTION("""COMPUTED_VALUE"""),46155.4204629629)</f>
        <v>46155.420462962902</v>
      </c>
      <c r="C1732" s="2" t="str">
        <f ca="1">IFERROR(__xludf.DUMMYFUNCTION("""COMPUTED_VALUE"""),"d12d20f3")</f>
        <v>d12d20f3</v>
      </c>
      <c r="D1732" s="2">
        <f ca="1">IFERROR(__xludf.DUMMYFUNCTION("""COMPUTED_VALUE"""),85)</f>
        <v>85</v>
      </c>
      <c r="E1732" s="2" t="str">
        <f ca="1">IFERROR(__xludf.DUMMYFUNCTION("""COMPUTED_VALUE"""),"Bonarda")</f>
        <v>Bonarda</v>
      </c>
      <c r="F1732" s="2">
        <f ca="1">IFERROR(__xludf.DUMMYFUNCTION("""COMPUTED_VALUE"""),8500)</f>
        <v>8500</v>
      </c>
      <c r="G1732" s="2">
        <f ca="1">IFERROR(__xludf.DUMMYFUNCTION("""COMPUTED_VALUE"""),126)</f>
        <v>126</v>
      </c>
      <c r="H1732" s="2" t="str">
        <f ca="1">IFERROR(__xludf.DUMMYFUNCTION("""COMPUTED_VALUE"""),"317ed02c")</f>
        <v>317ed02c</v>
      </c>
      <c r="I1732" s="2" t="str">
        <f ca="1">IFERROR(__xludf.DUMMYFUNCTION("""COMPUTED_VALUE"""),"Bonarda")</f>
        <v>Bonarda</v>
      </c>
      <c r="J1732" s="2">
        <f ca="1">IFERROR(__xludf.DUMMYFUNCTION("""COMPUTED_VALUE"""),22500)</f>
        <v>22500</v>
      </c>
      <c r="K1732" s="2">
        <f ca="1">IFERROR(__xludf.DUMMYFUNCTION("""COMPUTED_VALUE"""),31000)</f>
        <v>31000</v>
      </c>
      <c r="L1732" s="2" t="str">
        <f ca="1">IFERROR(__xludf.DUMMYFUNCTION("""COMPUTED_VALUE"""),"69dea9c1")</f>
        <v>69dea9c1</v>
      </c>
      <c r="M1732" s="2" t="str">
        <f ca="1">IFERROR(__xludf.DUMMYFUNCTION("""COMPUTED_VALUE"""),"Bonarda")</f>
        <v>Bonarda</v>
      </c>
      <c r="N1732" s="2"/>
      <c r="O1732" s="2" t="str">
        <f ca="1">IFERROR(__xludf.DUMMYFUNCTION("""COMPUTED_VALUE"""),"Fermentando")</f>
        <v>Fermentando</v>
      </c>
      <c r="P1732" s="2" t="str">
        <f ca="1">IFERROR(__xludf.DUMMYFUNCTION("""COMPUTED_VALUE"""),"Descubada")</f>
        <v>Descubada</v>
      </c>
      <c r="Q1732" s="2" t="b">
        <f ca="1">IFERROR(__xludf.DUMMYFUNCTION("""COMPUTED_VALUE"""),TRUE)</f>
        <v>1</v>
      </c>
      <c r="R1732" s="2" t="str">
        <f ca="1">IFERROR(__xludf.DUMMYFUNCTION("""COMPUTED_VALUE"""),"Descubada")</f>
        <v>Descubada</v>
      </c>
      <c r="S1732" s="2"/>
      <c r="T1732" s="2"/>
      <c r="U1732" s="2"/>
    </row>
    <row r="1733" spans="1:21" x14ac:dyDescent="0.25">
      <c r="A1733" s="2" t="str">
        <f ca="1">IFERROR(__xludf.DUMMYFUNCTION("""COMPUTED_VALUE"""),"d17d4594")</f>
        <v>d17d4594</v>
      </c>
      <c r="B1733" s="5">
        <f ca="1">IFERROR(__xludf.DUMMYFUNCTION("""COMPUTED_VALUE"""),46155.420787037)</f>
        <v>46155.420787037001</v>
      </c>
      <c r="C1733" s="2" t="str">
        <f ca="1">IFERROR(__xludf.DUMMYFUNCTION("""COMPUTED_VALUE"""),"d12d20f3")</f>
        <v>d12d20f3</v>
      </c>
      <c r="D1733" s="2">
        <f ca="1">IFERROR(__xludf.DUMMYFUNCTION("""COMPUTED_VALUE"""),85)</f>
        <v>85</v>
      </c>
      <c r="E1733" s="2" t="str">
        <f ca="1">IFERROR(__xludf.DUMMYFUNCTION("""COMPUTED_VALUE"""),"Bonarda")</f>
        <v>Bonarda</v>
      </c>
      <c r="F1733" s="2">
        <f ca="1">IFERROR(__xludf.DUMMYFUNCTION("""COMPUTED_VALUE"""),26000)</f>
        <v>26000</v>
      </c>
      <c r="G1733" s="2">
        <f ca="1">IFERROR(__xludf.DUMMYFUNCTION("""COMPUTED_VALUE"""),79)</f>
        <v>79</v>
      </c>
      <c r="H1733" s="2"/>
      <c r="I1733" s="2"/>
      <c r="J1733" s="2">
        <f ca="1">IFERROR(__xludf.DUMMYFUNCTION("""COMPUTED_VALUE"""),0)</f>
        <v>0</v>
      </c>
      <c r="K1733" s="2">
        <f ca="1">IFERROR(__xludf.DUMMYFUNCTION("""COMPUTED_VALUE"""),26000)</f>
        <v>26000</v>
      </c>
      <c r="L1733" s="2" t="str">
        <f ca="1">IFERROR(__xludf.DUMMYFUNCTION("""COMPUTED_VALUE"""),"f97aa62d")</f>
        <v>f97aa62d</v>
      </c>
      <c r="M1733" s="2" t="str">
        <f ca="1">IFERROR(__xludf.DUMMYFUNCTION("""COMPUTED_VALUE"""),"Bonarda")</f>
        <v>Bonarda</v>
      </c>
      <c r="N1733" s="2"/>
      <c r="O1733" s="2" t="str">
        <f ca="1">IFERROR(__xludf.DUMMYFUNCTION("""COMPUTED_VALUE"""),"Fermentando")</f>
        <v>Fermentando</v>
      </c>
      <c r="P1733" s="2"/>
      <c r="Q1733" s="2" t="b">
        <f ca="1">IFERROR(__xludf.DUMMYFUNCTION("""COMPUTED_VALUE"""),FALSE)</f>
        <v>0</v>
      </c>
      <c r="R1733" s="2" t="str">
        <f ca="1">IFERROR(__xludf.DUMMYFUNCTION("""COMPUTED_VALUE"""),"Descubada")</f>
        <v>Descubada</v>
      </c>
      <c r="S1733" s="2"/>
      <c r="T1733" s="2"/>
      <c r="U1733" s="2" t="str">
        <f ca="1">IFERROR(__xludf.DUMMYFUNCTION("""COMPUTED_VALUE"""),"1-")</f>
        <v>1-</v>
      </c>
    </row>
    <row r="1734" spans="1:21" x14ac:dyDescent="0.25">
      <c r="A1734" s="2" t="str">
        <f ca="1">IFERROR(__xludf.DUMMYFUNCTION("""COMPUTED_VALUE"""),"1a81b8f7")</f>
        <v>1a81b8f7</v>
      </c>
      <c r="B1734" s="5">
        <f ca="1">IFERROR(__xludf.DUMMYFUNCTION("""COMPUTED_VALUE"""),46155.4248032407)</f>
        <v>46155.424803240698</v>
      </c>
      <c r="C1734" s="2" t="str">
        <f ca="1">IFERROR(__xludf.DUMMYFUNCTION("""COMPUTED_VALUE"""),"9e280bc6")</f>
        <v>9e280bc6</v>
      </c>
      <c r="D1734" s="2">
        <f ca="1">IFERROR(__xludf.DUMMYFUNCTION("""COMPUTED_VALUE"""),114)</f>
        <v>114</v>
      </c>
      <c r="E1734" s="2" t="str">
        <f ca="1">IFERROR(__xludf.DUMMYFUNCTION("""COMPUTED_VALUE"""),"Syrah")</f>
        <v>Syrah</v>
      </c>
      <c r="F1734" s="2">
        <f ca="1">IFERROR(__xludf.DUMMYFUNCTION("""COMPUTED_VALUE"""),6800)</f>
        <v>6800</v>
      </c>
      <c r="G1734" s="2">
        <f ca="1">IFERROR(__xludf.DUMMYFUNCTION("""COMPUTED_VALUE"""),89)</f>
        <v>89</v>
      </c>
      <c r="H1734" s="2" t="str">
        <f ca="1">IFERROR(__xludf.DUMMYFUNCTION("""COMPUTED_VALUE"""),"0443b3f9")</f>
        <v>0443b3f9</v>
      </c>
      <c r="I1734" s="2" t="str">
        <f ca="1">IFERROR(__xludf.DUMMYFUNCTION("""COMPUTED_VALUE"""),"Syrah Temp")</f>
        <v>Syrah Temp</v>
      </c>
      <c r="J1734" s="2">
        <f ca="1">IFERROR(__xludf.DUMMYFUNCTION("""COMPUTED_VALUE"""),76700)</f>
        <v>76700</v>
      </c>
      <c r="K1734" s="2">
        <f ca="1">IFERROR(__xludf.DUMMYFUNCTION("""COMPUTED_VALUE"""),83500)</f>
        <v>83500</v>
      </c>
      <c r="L1734" s="2" t="str">
        <f ca="1">IFERROR(__xludf.DUMMYFUNCTION("""COMPUTED_VALUE"""),"ac97825f")</f>
        <v>ac97825f</v>
      </c>
      <c r="M1734" s="2" t="str">
        <f ca="1">IFERROR(__xludf.DUMMYFUNCTION("""COMPUTED_VALUE"""),"Syrah Temp")</f>
        <v>Syrah Temp</v>
      </c>
      <c r="N1734" s="2"/>
      <c r="O1734" s="2" t="str">
        <f ca="1">IFERROR(__xludf.DUMMYFUNCTION("""COMPUTED_VALUE"""),"Descubada")</f>
        <v>Descubada</v>
      </c>
      <c r="P1734" s="2" t="str">
        <f ca="1">IFERROR(__xludf.DUMMYFUNCTION("""COMPUTED_VALUE"""),"1er Trasiego")</f>
        <v>1er Trasiego</v>
      </c>
      <c r="Q1734" s="2" t="b">
        <f ca="1">IFERROR(__xludf.DUMMYFUNCTION("""COMPUTED_VALUE"""),TRUE)</f>
        <v>1</v>
      </c>
      <c r="R1734" s="2" t="str">
        <f ca="1">IFERROR(__xludf.DUMMYFUNCTION("""COMPUTED_VALUE"""),"1er Trasiego")</f>
        <v>1er Trasiego</v>
      </c>
      <c r="S1734" s="2"/>
      <c r="T1734" s="2"/>
      <c r="U1734" s="2" t="str">
        <f ca="1">IFERROR(__xludf.DUMMYFUNCTION("""COMPUTED_VALUE"""),"1")</f>
        <v>1</v>
      </c>
    </row>
    <row r="1735" spans="1:21" x14ac:dyDescent="0.25">
      <c r="A1735" s="2" t="str">
        <f ca="1">IFERROR(__xludf.DUMMYFUNCTION("""COMPUTED_VALUE"""),"239665dc")</f>
        <v>239665dc</v>
      </c>
      <c r="B1735" s="5">
        <f ca="1">IFERROR(__xludf.DUMMYFUNCTION("""COMPUTED_VALUE"""),46155.4251736111)</f>
        <v>46155.425173611096</v>
      </c>
      <c r="C1735" s="2" t="str">
        <f ca="1">IFERROR(__xludf.DUMMYFUNCTION("""COMPUTED_VALUE"""),"9e280bc6")</f>
        <v>9e280bc6</v>
      </c>
      <c r="D1735" s="2">
        <f ca="1">IFERROR(__xludf.DUMMYFUNCTION("""COMPUTED_VALUE"""),114)</f>
        <v>114</v>
      </c>
      <c r="E1735" s="2" t="str">
        <f ca="1">IFERROR(__xludf.DUMMYFUNCTION("""COMPUTED_VALUE"""),"Syrah")</f>
        <v>Syrah</v>
      </c>
      <c r="F1735" s="2">
        <f ca="1">IFERROR(__xludf.DUMMYFUNCTION("""COMPUTED_VALUE"""),118500)</f>
        <v>118500</v>
      </c>
      <c r="G1735" s="2">
        <f ca="1">IFERROR(__xludf.DUMMYFUNCTION("""COMPUTED_VALUE"""),118)</f>
        <v>118</v>
      </c>
      <c r="H1735" s="2"/>
      <c r="I1735" s="2"/>
      <c r="J1735" s="2">
        <f ca="1">IFERROR(__xludf.DUMMYFUNCTION("""COMPUTED_VALUE"""),0)</f>
        <v>0</v>
      </c>
      <c r="K1735" s="2">
        <f ca="1">IFERROR(__xludf.DUMMYFUNCTION("""COMPUTED_VALUE"""),118500)</f>
        <v>118500</v>
      </c>
      <c r="L1735" s="2" t="str">
        <f ca="1">IFERROR(__xludf.DUMMYFUNCTION("""COMPUTED_VALUE"""),"62813463")</f>
        <v>62813463</v>
      </c>
      <c r="M1735" s="2" t="str">
        <f ca="1">IFERROR(__xludf.DUMMYFUNCTION("""COMPUTED_VALUE"""),"Syrah")</f>
        <v>Syrah</v>
      </c>
      <c r="N1735" s="2"/>
      <c r="O1735" s="2" t="str">
        <f ca="1">IFERROR(__xludf.DUMMYFUNCTION("""COMPUTED_VALUE"""),"Descubada")</f>
        <v>Descubada</v>
      </c>
      <c r="P1735" s="2"/>
      <c r="Q1735" s="2" t="b">
        <f ca="1">IFERROR(__xludf.DUMMYFUNCTION("""COMPUTED_VALUE"""),FALSE)</f>
        <v>0</v>
      </c>
      <c r="R1735" s="2" t="str">
        <f ca="1">IFERROR(__xludf.DUMMYFUNCTION("""COMPUTED_VALUE"""),"1er Trasiego")</f>
        <v>1er Trasiego</v>
      </c>
      <c r="S1735" s="2"/>
      <c r="T1735" s="2"/>
      <c r="U1735" s="2" t="str">
        <f ca="1">IFERROR(__xludf.DUMMYFUNCTION("""COMPUTED_VALUE"""),"1")</f>
        <v>1</v>
      </c>
    </row>
    <row r="1736" spans="1:21" x14ac:dyDescent="0.25">
      <c r="A1736" s="2" t="str">
        <f ca="1">IFERROR(__xludf.DUMMYFUNCTION("""COMPUTED_VALUE"""),"9630074d")</f>
        <v>9630074d</v>
      </c>
      <c r="B1736" s="5">
        <f ca="1">IFERROR(__xludf.DUMMYFUNCTION("""COMPUTED_VALUE"""),46155.4255555555)</f>
        <v>46155.425555555499</v>
      </c>
      <c r="C1736" s="2" t="str">
        <f ca="1">IFERROR(__xludf.DUMMYFUNCTION("""COMPUTED_VALUE"""),"8923dcaa")</f>
        <v>8923dcaa</v>
      </c>
      <c r="D1736" s="2">
        <f ca="1">IFERROR(__xludf.DUMMYFUNCTION("""COMPUTED_VALUE"""),115)</f>
        <v>115</v>
      </c>
      <c r="E1736" s="2" t="str">
        <f ca="1">IFERROR(__xludf.DUMMYFUNCTION("""COMPUTED_VALUE"""),"Syrah")</f>
        <v>Syrah</v>
      </c>
      <c r="F1736" s="2">
        <f ca="1">IFERROR(__xludf.DUMMYFUNCTION("""COMPUTED_VALUE"""),37100)</f>
        <v>37100</v>
      </c>
      <c r="G1736" s="2">
        <f ca="1">IFERROR(__xludf.DUMMYFUNCTION("""COMPUTED_VALUE"""),118)</f>
        <v>118</v>
      </c>
      <c r="H1736" s="2" t="str">
        <f ca="1">IFERROR(__xludf.DUMMYFUNCTION("""COMPUTED_VALUE"""),"62813463")</f>
        <v>62813463</v>
      </c>
      <c r="I1736" s="2" t="str">
        <f ca="1">IFERROR(__xludf.DUMMYFUNCTION("""COMPUTED_VALUE"""),"Syrah")</f>
        <v>Syrah</v>
      </c>
      <c r="J1736" s="2">
        <f ca="1">IFERROR(__xludf.DUMMYFUNCTION("""COMPUTED_VALUE"""),118500)</f>
        <v>118500</v>
      </c>
      <c r="K1736" s="2">
        <f ca="1">IFERROR(__xludf.DUMMYFUNCTION("""COMPUTED_VALUE"""),155600)</f>
        <v>155600</v>
      </c>
      <c r="L1736" s="2" t="str">
        <f ca="1">IFERROR(__xludf.DUMMYFUNCTION("""COMPUTED_VALUE"""),"37dfb150")</f>
        <v>37dfb150</v>
      </c>
      <c r="M1736" s="2" t="str">
        <f ca="1">IFERROR(__xludf.DUMMYFUNCTION("""COMPUTED_VALUE"""),"Syrah")</f>
        <v>Syrah</v>
      </c>
      <c r="N1736" s="2"/>
      <c r="O1736" s="2" t="str">
        <f ca="1">IFERROR(__xludf.DUMMYFUNCTION("""COMPUTED_VALUE"""),"Descubada")</f>
        <v>Descubada</v>
      </c>
      <c r="P1736" s="2" t="str">
        <f ca="1">IFERROR(__xludf.DUMMYFUNCTION("""COMPUTED_VALUE"""),"1er Trasiego")</f>
        <v>1er Trasiego</v>
      </c>
      <c r="Q1736" s="2" t="b">
        <f ca="1">IFERROR(__xludf.DUMMYFUNCTION("""COMPUTED_VALUE"""),TRUE)</f>
        <v>1</v>
      </c>
      <c r="R1736" s="2" t="str">
        <f ca="1">IFERROR(__xludf.DUMMYFUNCTION("""COMPUTED_VALUE"""),"1er Trasiego")</f>
        <v>1er Trasiego</v>
      </c>
      <c r="S1736" s="2"/>
      <c r="T1736" s="2"/>
      <c r="U1736" s="2" t="str">
        <f ca="1">IFERROR(__xludf.DUMMYFUNCTION("""COMPUTED_VALUE"""),"1")</f>
        <v>1</v>
      </c>
    </row>
    <row r="1737" spans="1:21" x14ac:dyDescent="0.25">
      <c r="A1737" s="2" t="str">
        <f ca="1">IFERROR(__xludf.DUMMYFUNCTION("""COMPUTED_VALUE"""),"09da563f")</f>
        <v>09da563f</v>
      </c>
      <c r="B1737" s="5">
        <f ca="1">IFERROR(__xludf.DUMMYFUNCTION("""COMPUTED_VALUE"""),46155.4258449074)</f>
        <v>46155.425844907397</v>
      </c>
      <c r="C1737" s="2" t="str">
        <f ca="1">IFERROR(__xludf.DUMMYFUNCTION("""COMPUTED_VALUE"""),"8923dcaa")</f>
        <v>8923dcaa</v>
      </c>
      <c r="D1737" s="2">
        <f ca="1">IFERROR(__xludf.DUMMYFUNCTION("""COMPUTED_VALUE"""),115)</f>
        <v>115</v>
      </c>
      <c r="E1737" s="2" t="str">
        <f ca="1">IFERROR(__xludf.DUMMYFUNCTION("""COMPUTED_VALUE"""),"Syrah")</f>
        <v>Syrah</v>
      </c>
      <c r="F1737" s="2">
        <f ca="1">IFERROR(__xludf.DUMMYFUNCTION("""COMPUTED_VALUE"""),83100)</f>
        <v>83100</v>
      </c>
      <c r="G1737" s="2">
        <f ca="1">IFERROR(__xludf.DUMMYFUNCTION("""COMPUTED_VALUE"""),114)</f>
        <v>114</v>
      </c>
      <c r="H1737" s="2"/>
      <c r="I1737" s="2"/>
      <c r="J1737" s="2">
        <f ca="1">IFERROR(__xludf.DUMMYFUNCTION("""COMPUTED_VALUE"""),0)</f>
        <v>0</v>
      </c>
      <c r="K1737" s="2">
        <f ca="1">IFERROR(__xludf.DUMMYFUNCTION("""COMPUTED_VALUE"""),83100)</f>
        <v>83100</v>
      </c>
      <c r="L1737" s="2" t="str">
        <f ca="1">IFERROR(__xludf.DUMMYFUNCTION("""COMPUTED_VALUE"""),"b72aa464")</f>
        <v>b72aa464</v>
      </c>
      <c r="M1737" s="2" t="str">
        <f ca="1">IFERROR(__xludf.DUMMYFUNCTION("""COMPUTED_VALUE"""),"Syrah")</f>
        <v>Syrah</v>
      </c>
      <c r="N1737" s="2"/>
      <c r="O1737" s="2" t="str">
        <f ca="1">IFERROR(__xludf.DUMMYFUNCTION("""COMPUTED_VALUE"""),"Descubada")</f>
        <v>Descubada</v>
      </c>
      <c r="P1737" s="2"/>
      <c r="Q1737" s="2" t="b">
        <f ca="1">IFERROR(__xludf.DUMMYFUNCTION("""COMPUTED_VALUE"""),FALSE)</f>
        <v>0</v>
      </c>
      <c r="R1737" s="2" t="str">
        <f ca="1">IFERROR(__xludf.DUMMYFUNCTION("""COMPUTED_VALUE"""),"1er Trasiego")</f>
        <v>1er Trasiego</v>
      </c>
      <c r="S1737" s="2"/>
      <c r="T1737" s="2"/>
      <c r="U1737" s="2" t="str">
        <f ca="1">IFERROR(__xludf.DUMMYFUNCTION("""COMPUTED_VALUE"""),"1+")</f>
        <v>1+</v>
      </c>
    </row>
    <row r="1738" spans="1:21" x14ac:dyDescent="0.25">
      <c r="A1738" s="2" t="str">
        <f ca="1">IFERROR(__xludf.DUMMYFUNCTION("""COMPUTED_VALUE"""),"dafe5e5c")</f>
        <v>dafe5e5c</v>
      </c>
      <c r="B1738" s="5">
        <f ca="1">IFERROR(__xludf.DUMMYFUNCTION("""COMPUTED_VALUE"""),46155.4262037037)</f>
        <v>46155.426203703697</v>
      </c>
      <c r="C1738" s="2" t="str">
        <f ca="1">IFERROR(__xludf.DUMMYFUNCTION("""COMPUTED_VALUE"""),"2e2886b4")</f>
        <v>2e2886b4</v>
      </c>
      <c r="D1738" s="2">
        <f ca="1">IFERROR(__xludf.DUMMYFUNCTION("""COMPUTED_VALUE"""),116)</f>
        <v>116</v>
      </c>
      <c r="E1738" s="2" t="str">
        <f ca="1">IFERROR(__xludf.DUMMYFUNCTION("""COMPUTED_VALUE"""),"Bonarda")</f>
        <v>Bonarda</v>
      </c>
      <c r="F1738" s="2">
        <f ca="1">IFERROR(__xludf.DUMMYFUNCTION("""COMPUTED_VALUE"""),42200)</f>
        <v>42200</v>
      </c>
      <c r="G1738" s="2">
        <f ca="1">IFERROR(__xludf.DUMMYFUNCTION("""COMPUTED_VALUE"""),114)</f>
        <v>114</v>
      </c>
      <c r="H1738" s="2" t="str">
        <f ca="1">IFERROR(__xludf.DUMMYFUNCTION("""COMPUTED_VALUE"""),"b72aa464")</f>
        <v>b72aa464</v>
      </c>
      <c r="I1738" s="2" t="str">
        <f ca="1">IFERROR(__xludf.DUMMYFUNCTION("""COMPUTED_VALUE"""),"Syrah")</f>
        <v>Syrah</v>
      </c>
      <c r="J1738" s="2">
        <f ca="1">IFERROR(__xludf.DUMMYFUNCTION("""COMPUTED_VALUE"""),83100)</f>
        <v>83100</v>
      </c>
      <c r="K1738" s="2">
        <f ca="1">IFERROR(__xludf.DUMMYFUNCTION("""COMPUTED_VALUE"""),125300)</f>
        <v>125300</v>
      </c>
      <c r="L1738" s="2" t="str">
        <f ca="1">IFERROR(__xludf.DUMMYFUNCTION("""COMPUTED_VALUE"""),"eb6cf98d")</f>
        <v>eb6cf98d</v>
      </c>
      <c r="M1738" s="2" t="str">
        <f ca="1">IFERROR(__xludf.DUMMYFUNCTION("""COMPUTED_VALUE"""),"Syrah")</f>
        <v>Syrah</v>
      </c>
      <c r="N1738" s="2"/>
      <c r="O1738" s="2" t="str">
        <f ca="1">IFERROR(__xludf.DUMMYFUNCTION("""COMPUTED_VALUE"""),"Descubada")</f>
        <v>Descubada</v>
      </c>
      <c r="P1738" s="2" t="str">
        <f ca="1">IFERROR(__xludf.DUMMYFUNCTION("""COMPUTED_VALUE"""),"1er Trasiego")</f>
        <v>1er Trasiego</v>
      </c>
      <c r="Q1738" s="2" t="b">
        <f ca="1">IFERROR(__xludf.DUMMYFUNCTION("""COMPUTED_VALUE"""),TRUE)</f>
        <v>1</v>
      </c>
      <c r="R1738" s="2" t="str">
        <f ca="1">IFERROR(__xludf.DUMMYFUNCTION("""COMPUTED_VALUE"""),"1er Trasiego")</f>
        <v>1er Trasiego</v>
      </c>
      <c r="S1738" s="2"/>
      <c r="T1738" s="2"/>
      <c r="U1738" s="2" t="str">
        <f ca="1">IFERROR(__xludf.DUMMYFUNCTION("""COMPUTED_VALUE"""),"1+")</f>
        <v>1+</v>
      </c>
    </row>
    <row r="1739" spans="1:21" x14ac:dyDescent="0.25">
      <c r="A1739" s="2" t="str">
        <f ca="1">IFERROR(__xludf.DUMMYFUNCTION("""COMPUTED_VALUE"""),"28e9255c")</f>
        <v>28e9255c</v>
      </c>
      <c r="B1739" s="5">
        <f ca="1">IFERROR(__xludf.DUMMYFUNCTION("""COMPUTED_VALUE"""),46155.4504050925)</f>
        <v>46155.450405092502</v>
      </c>
      <c r="C1739" s="2" t="str">
        <f ca="1">IFERROR(__xludf.DUMMYFUNCTION("""COMPUTED_VALUE"""),"d0f8eef2")</f>
        <v>d0f8eef2</v>
      </c>
      <c r="D1739" s="2">
        <f ca="1">IFERROR(__xludf.DUMMYFUNCTION("""COMPUTED_VALUE"""),72)</f>
        <v>72</v>
      </c>
      <c r="E1739" s="2" t="str">
        <f ca="1">IFERROR(__xludf.DUMMYFUNCTION("""COMPUTED_VALUE"""),"Chardonnay Oak")</f>
        <v>Chardonnay Oak</v>
      </c>
      <c r="F1739" s="2">
        <f ca="1">IFERROR(__xludf.DUMMYFUNCTION("""COMPUTED_VALUE"""),5600)</f>
        <v>5600</v>
      </c>
      <c r="G1739" s="2">
        <f ca="1">IFERROR(__xludf.DUMMYFUNCTION("""COMPUTED_VALUE"""),30)</f>
        <v>30</v>
      </c>
      <c r="H1739" s="2" t="str">
        <f ca="1">IFERROR(__xludf.DUMMYFUNCTION("""COMPUTED_VALUE"""),"0432aaa0")</f>
        <v>0432aaa0</v>
      </c>
      <c r="I1739" s="2" t="str">
        <f ca="1">IFERROR(__xludf.DUMMYFUNCTION("""COMPUTED_VALUE"""),"Chardonnay Ch")</f>
        <v>Chardonnay Ch</v>
      </c>
      <c r="J1739" s="2">
        <f ca="1">IFERROR(__xludf.DUMMYFUNCTION("""COMPUTED_VALUE"""),18800)</f>
        <v>18800</v>
      </c>
      <c r="K1739" s="2">
        <f ca="1">IFERROR(__xludf.DUMMYFUNCTION("""COMPUTED_VALUE"""),24400)</f>
        <v>24400</v>
      </c>
      <c r="L1739" s="2" t="str">
        <f ca="1">IFERROR(__xludf.DUMMYFUNCTION("""COMPUTED_VALUE"""),"b014e9e9")</f>
        <v>b014e9e9</v>
      </c>
      <c r="M1739" s="2" t="str">
        <f ca="1">IFERROR(__xludf.DUMMYFUNCTION("""COMPUTED_VALUE"""),"Chardonnay Ch")</f>
        <v>Chardonnay Ch</v>
      </c>
      <c r="N1739" s="2"/>
      <c r="O1739" s="2" t="str">
        <f ca="1">IFERROR(__xludf.DUMMYFUNCTION("""COMPUTED_VALUE"""),"Fermentando")</f>
        <v>Fermentando</v>
      </c>
      <c r="P1739" s="2" t="str">
        <f ca="1">IFERROR(__xludf.DUMMYFUNCTION("""COMPUTED_VALUE"""),"Descubada")</f>
        <v>Descubada</v>
      </c>
      <c r="Q1739" s="2" t="b">
        <f ca="1">IFERROR(__xludf.DUMMYFUNCTION("""COMPUTED_VALUE"""),TRUE)</f>
        <v>1</v>
      </c>
      <c r="R1739" s="2" t="str">
        <f ca="1">IFERROR(__xludf.DUMMYFUNCTION("""COMPUTED_VALUE"""),"Descubada")</f>
        <v>Descubada</v>
      </c>
      <c r="S1739" s="2"/>
      <c r="T1739" s="2"/>
      <c r="U1739" s="2" t="str">
        <f ca="1">IFERROR(__xludf.DUMMYFUNCTION("""COMPUTED_VALUE"""),"1")</f>
        <v>1</v>
      </c>
    </row>
    <row r="1740" spans="1:21" x14ac:dyDescent="0.25">
      <c r="A1740" s="2" t="str">
        <f ca="1">IFERROR(__xludf.DUMMYFUNCTION("""COMPUTED_VALUE"""),"0e34a499")</f>
        <v>0e34a499</v>
      </c>
      <c r="B1740" s="5">
        <f ca="1">IFERROR(__xludf.DUMMYFUNCTION("""COMPUTED_VALUE"""),46155.4523263887)</f>
        <v>46155.452326388797</v>
      </c>
      <c r="C1740" s="2" t="str">
        <f ca="1">IFERROR(__xludf.DUMMYFUNCTION("""COMPUTED_VALUE"""),"057306c8")</f>
        <v>057306c8</v>
      </c>
      <c r="D1740" s="2">
        <f ca="1">IFERROR(__xludf.DUMMYFUNCTION("""COMPUTED_VALUE"""),52)</f>
        <v>52</v>
      </c>
      <c r="E1740" s="2" t="str">
        <f ca="1">IFERROR(__xludf.DUMMYFUNCTION("""COMPUTED_VALUE"""),"Chardonnay")</f>
        <v>Chardonnay</v>
      </c>
      <c r="F1740" s="2">
        <f ca="1">IFERROR(__xludf.DUMMYFUNCTION("""COMPUTED_VALUE"""),13000)</f>
        <v>13000</v>
      </c>
      <c r="G1740" s="2">
        <f ca="1">IFERROR(__xludf.DUMMYFUNCTION("""COMPUTED_VALUE"""),30)</f>
        <v>30</v>
      </c>
      <c r="H1740" s="2" t="str">
        <f ca="1">IFERROR(__xludf.DUMMYFUNCTION("""COMPUTED_VALUE"""),"b014e9e9")</f>
        <v>b014e9e9</v>
      </c>
      <c r="I1740" s="2" t="str">
        <f ca="1">IFERROR(__xludf.DUMMYFUNCTION("""COMPUTED_VALUE"""),"Chardonnay Ch")</f>
        <v>Chardonnay Ch</v>
      </c>
      <c r="J1740" s="2">
        <f ca="1">IFERROR(__xludf.DUMMYFUNCTION("""COMPUTED_VALUE"""),24400)</f>
        <v>24400</v>
      </c>
      <c r="K1740" s="2">
        <f ca="1">IFERROR(__xludf.DUMMYFUNCTION("""COMPUTED_VALUE"""),37400)</f>
        <v>37400</v>
      </c>
      <c r="L1740" s="2" t="str">
        <f ca="1">IFERROR(__xludf.DUMMYFUNCTION("""COMPUTED_VALUE"""),"9d672e58")</f>
        <v>9d672e58</v>
      </c>
      <c r="M1740" s="2" t="str">
        <f ca="1">IFERROR(__xludf.DUMMYFUNCTION("""COMPUTED_VALUE"""),"Chardonnay Ch")</f>
        <v>Chardonnay Ch</v>
      </c>
      <c r="N1740" s="2"/>
      <c r="O1740" s="2" t="str">
        <f ca="1">IFERROR(__xludf.DUMMYFUNCTION("""COMPUTED_VALUE"""),"Descubada")</f>
        <v>Descubada</v>
      </c>
      <c r="P1740" s="2" t="str">
        <f ca="1">IFERROR(__xludf.DUMMYFUNCTION("""COMPUTED_VALUE"""),"Descubada")</f>
        <v>Descubada</v>
      </c>
      <c r="Q1740" s="2" t="b">
        <f ca="1">IFERROR(__xludf.DUMMYFUNCTION("""COMPUTED_VALUE"""),TRUE)</f>
        <v>1</v>
      </c>
      <c r="R1740" s="2" t="str">
        <f ca="1">IFERROR(__xludf.DUMMYFUNCTION("""COMPUTED_VALUE"""),"Descubada")</f>
        <v>Descubada</v>
      </c>
      <c r="S1740" s="2"/>
      <c r="T1740" s="2"/>
      <c r="U1740" s="2" t="str">
        <f ca="1">IFERROR(__xludf.DUMMYFUNCTION("""COMPUTED_VALUE"""),"1")</f>
        <v>1</v>
      </c>
    </row>
    <row r="1741" spans="1:21" x14ac:dyDescent="0.25">
      <c r="A1741" s="2" t="str">
        <f ca="1">IFERROR(__xludf.DUMMYFUNCTION("""COMPUTED_VALUE"""),"eae7f3f8")</f>
        <v>eae7f3f8</v>
      </c>
      <c r="B1741" s="5">
        <f ca="1">IFERROR(__xludf.DUMMYFUNCTION("""COMPUTED_VALUE"""),46155.4543171296)</f>
        <v>46155.454317129603</v>
      </c>
      <c r="C1741" s="2" t="str">
        <f ca="1">IFERROR(__xludf.DUMMYFUNCTION("""COMPUTED_VALUE"""),"d174ba9b")</f>
        <v>d174ba9b</v>
      </c>
      <c r="D1741" s="2">
        <f ca="1">IFERROR(__xludf.DUMMYFUNCTION("""COMPUTED_VALUE"""),49)</f>
        <v>49</v>
      </c>
      <c r="E1741" s="2" t="str">
        <f ca="1">IFERROR(__xludf.DUMMYFUNCTION("""COMPUTED_VALUE"""),"Chardonnay")</f>
        <v>Chardonnay</v>
      </c>
      <c r="F1741" s="2">
        <f ca="1">IFERROR(__xludf.DUMMYFUNCTION("""COMPUTED_VALUE"""),6600)</f>
        <v>6600</v>
      </c>
      <c r="G1741" s="2">
        <f ca="1">IFERROR(__xludf.DUMMYFUNCTION("""COMPUTED_VALUE"""),33)</f>
        <v>33</v>
      </c>
      <c r="H1741" s="2" t="str">
        <f ca="1">IFERROR(__xludf.DUMMYFUNCTION("""COMPUTED_VALUE"""),"7a77b210")</f>
        <v>7a77b210</v>
      </c>
      <c r="I1741" s="2" t="str">
        <f ca="1">IFERROR(__xludf.DUMMYFUNCTION("""COMPUTED_VALUE"""),"Chardonnay")</f>
        <v>Chardonnay</v>
      </c>
      <c r="J1741" s="2">
        <f ca="1">IFERROR(__xludf.DUMMYFUNCTION("""COMPUTED_VALUE"""),18700)</f>
        <v>18700</v>
      </c>
      <c r="K1741" s="2">
        <f ca="1">IFERROR(__xludf.DUMMYFUNCTION("""COMPUTED_VALUE"""),25300)</f>
        <v>25300</v>
      </c>
      <c r="L1741" s="2" t="str">
        <f ca="1">IFERROR(__xludf.DUMMYFUNCTION("""COMPUTED_VALUE"""),"ed08a2c0")</f>
        <v>ed08a2c0</v>
      </c>
      <c r="M1741" s="2" t="str">
        <f ca="1">IFERROR(__xludf.DUMMYFUNCTION("""COMPUTED_VALUE"""),"Chardonnay")</f>
        <v>Chardonnay</v>
      </c>
      <c r="N1741" s="2"/>
      <c r="O1741" s="2" t="str">
        <f ca="1">IFERROR(__xludf.DUMMYFUNCTION("""COMPUTED_VALUE"""),"Descubada")</f>
        <v>Descubada</v>
      </c>
      <c r="P1741" s="2" t="str">
        <f ca="1">IFERROR(__xludf.DUMMYFUNCTION("""COMPUTED_VALUE"""),"Descubada")</f>
        <v>Descubada</v>
      </c>
      <c r="Q1741" s="2" t="b">
        <f ca="1">IFERROR(__xludf.DUMMYFUNCTION("""COMPUTED_VALUE"""),TRUE)</f>
        <v>1</v>
      </c>
      <c r="R1741" s="2" t="str">
        <f ca="1">IFERROR(__xludf.DUMMYFUNCTION("""COMPUTED_VALUE"""),"Descubada")</f>
        <v>Descubada</v>
      </c>
      <c r="S1741" s="2"/>
      <c r="T1741" s="2"/>
      <c r="U1741" s="2" t="str">
        <f ca="1">IFERROR(__xludf.DUMMYFUNCTION("""COMPUTED_VALUE"""),"1+")</f>
        <v>1+</v>
      </c>
    </row>
    <row r="1742" spans="1:21" x14ac:dyDescent="0.25">
      <c r="A1742" s="2" t="str">
        <f ca="1">IFERROR(__xludf.DUMMYFUNCTION("""COMPUTED_VALUE"""),"7f1eb8d2")</f>
        <v>7f1eb8d2</v>
      </c>
      <c r="B1742" s="5">
        <f ca="1">IFERROR(__xludf.DUMMYFUNCTION("""COMPUTED_VALUE"""),46155.4546643518)</f>
        <v>46155.454664351797</v>
      </c>
      <c r="C1742" s="2" t="str">
        <f ca="1">IFERROR(__xludf.DUMMYFUNCTION("""COMPUTED_VALUE"""),"d174ba9b")</f>
        <v>d174ba9b</v>
      </c>
      <c r="D1742" s="2">
        <f ca="1">IFERROR(__xludf.DUMMYFUNCTION("""COMPUTED_VALUE"""),49)</f>
        <v>49</v>
      </c>
      <c r="E1742" s="2" t="str">
        <f ca="1">IFERROR(__xludf.DUMMYFUNCTION("""COMPUTED_VALUE"""),"Chardonnay")</f>
        <v>Chardonnay</v>
      </c>
      <c r="F1742" s="2">
        <f ca="1">IFERROR(__xludf.DUMMYFUNCTION("""COMPUTED_VALUE"""),6200)</f>
        <v>6200</v>
      </c>
      <c r="G1742" s="2">
        <f ca="1">IFERROR(__xludf.DUMMYFUNCTION("""COMPUTED_VALUE"""),44)</f>
        <v>44</v>
      </c>
      <c r="H1742" s="2" t="str">
        <f ca="1">IFERROR(__xludf.DUMMYFUNCTION("""COMPUTED_VALUE"""),"b4d0796a")</f>
        <v>b4d0796a</v>
      </c>
      <c r="I1742" s="2" t="str">
        <f ca="1">IFERROR(__xludf.DUMMYFUNCTION("""COMPUTED_VALUE"""),"Chardonnay")</f>
        <v>Chardonnay</v>
      </c>
      <c r="J1742" s="2">
        <f ca="1">IFERROR(__xludf.DUMMYFUNCTION("""COMPUTED_VALUE"""),9500)</f>
        <v>9500</v>
      </c>
      <c r="K1742" s="2">
        <f ca="1">IFERROR(__xludf.DUMMYFUNCTION("""COMPUTED_VALUE"""),15700)</f>
        <v>15700</v>
      </c>
      <c r="L1742" s="2" t="str">
        <f ca="1">IFERROR(__xludf.DUMMYFUNCTION("""COMPUTED_VALUE"""),"13feafe6")</f>
        <v>13feafe6</v>
      </c>
      <c r="M1742" s="2" t="str">
        <f ca="1">IFERROR(__xludf.DUMMYFUNCTION("""COMPUTED_VALUE"""),"Chardonnay")</f>
        <v>Chardonnay</v>
      </c>
      <c r="N1742" s="2"/>
      <c r="O1742" s="2" t="str">
        <f ca="1">IFERROR(__xludf.DUMMYFUNCTION("""COMPUTED_VALUE"""),"Descubada")</f>
        <v>Descubada</v>
      </c>
      <c r="P1742" s="2" t="str">
        <f ca="1">IFERROR(__xludf.DUMMYFUNCTION("""COMPUTED_VALUE"""),"Descubada")</f>
        <v>Descubada</v>
      </c>
      <c r="Q1742" s="2" t="b">
        <f ca="1">IFERROR(__xludf.DUMMYFUNCTION("""COMPUTED_VALUE"""),TRUE)</f>
        <v>1</v>
      </c>
      <c r="R1742" s="2" t="str">
        <f ca="1">IFERROR(__xludf.DUMMYFUNCTION("""COMPUTED_VALUE"""),"1er Trasiego")</f>
        <v>1er Trasiego</v>
      </c>
      <c r="S1742" s="2"/>
      <c r="T1742" s="2"/>
      <c r="U1742" s="2"/>
    </row>
    <row r="1743" spans="1:21" x14ac:dyDescent="0.25">
      <c r="A1743" s="2" t="str">
        <f ca="1">IFERROR(__xludf.DUMMYFUNCTION("""COMPUTED_VALUE"""),"0c0a880c")</f>
        <v>0c0a880c</v>
      </c>
      <c r="B1743" s="5">
        <f ca="1">IFERROR(__xludf.DUMMYFUNCTION("""COMPUTED_VALUE"""),46155.4553356481)</f>
        <v>46155.455335648097</v>
      </c>
      <c r="C1743" s="2" t="str">
        <f ca="1">IFERROR(__xludf.DUMMYFUNCTION("""COMPUTED_VALUE"""),"964bb1ba")</f>
        <v>964bb1ba</v>
      </c>
      <c r="D1743" s="2">
        <f ca="1">IFERROR(__xludf.DUMMYFUNCTION("""COMPUTED_VALUE"""),40)</f>
        <v>40</v>
      </c>
      <c r="E1743" s="2" t="str">
        <f ca="1">IFERROR(__xludf.DUMMYFUNCTION("""COMPUTED_VALUE"""),"Chardonnay")</f>
        <v>Chardonnay</v>
      </c>
      <c r="F1743" s="2">
        <f ca="1">IFERROR(__xludf.DUMMYFUNCTION("""COMPUTED_VALUE"""),3400)</f>
        <v>3400</v>
      </c>
      <c r="G1743" s="2">
        <f ca="1">IFERROR(__xludf.DUMMYFUNCTION("""COMPUTED_VALUE"""),44)</f>
        <v>44</v>
      </c>
      <c r="H1743" s="2" t="str">
        <f ca="1">IFERROR(__xludf.DUMMYFUNCTION("""COMPUTED_VALUE"""),"13feafe6")</f>
        <v>13feafe6</v>
      </c>
      <c r="I1743" s="2" t="str">
        <f ca="1">IFERROR(__xludf.DUMMYFUNCTION("""COMPUTED_VALUE"""),"Chardonnay")</f>
        <v>Chardonnay</v>
      </c>
      <c r="J1743" s="2">
        <f ca="1">IFERROR(__xludf.DUMMYFUNCTION("""COMPUTED_VALUE"""),15700)</f>
        <v>15700</v>
      </c>
      <c r="K1743" s="2">
        <f ca="1">IFERROR(__xludf.DUMMYFUNCTION("""COMPUTED_VALUE"""),19100)</f>
        <v>19100</v>
      </c>
      <c r="L1743" s="2" t="str">
        <f ca="1">IFERROR(__xludf.DUMMYFUNCTION("""COMPUTED_VALUE"""),"4a70a363")</f>
        <v>4a70a363</v>
      </c>
      <c r="M1743" s="2" t="str">
        <f ca="1">IFERROR(__xludf.DUMMYFUNCTION("""COMPUTED_VALUE"""),"Chardonnay")</f>
        <v>Chardonnay</v>
      </c>
      <c r="N1743" s="2"/>
      <c r="O1743" s="2" t="str">
        <f ca="1">IFERROR(__xludf.DUMMYFUNCTION("""COMPUTED_VALUE"""),"Descubada")</f>
        <v>Descubada</v>
      </c>
      <c r="P1743" s="2" t="str">
        <f ca="1">IFERROR(__xludf.DUMMYFUNCTION("""COMPUTED_VALUE"""),"1er Trasiego")</f>
        <v>1er Trasiego</v>
      </c>
      <c r="Q1743" s="2" t="b">
        <f ca="1">IFERROR(__xludf.DUMMYFUNCTION("""COMPUTED_VALUE"""),TRUE)</f>
        <v>1</v>
      </c>
      <c r="R1743" s="2" t="str">
        <f ca="1">IFERROR(__xludf.DUMMYFUNCTION("""COMPUTED_VALUE"""),"1er Trasiego")</f>
        <v>1er Trasiego</v>
      </c>
      <c r="S1743" s="2"/>
      <c r="T1743" s="2"/>
      <c r="U1743" s="2"/>
    </row>
    <row r="1744" spans="1:21" x14ac:dyDescent="0.25">
      <c r="A1744" s="2" t="str">
        <f ca="1">IFERROR(__xludf.DUMMYFUNCTION("""COMPUTED_VALUE"""),"7f21b1f0")</f>
        <v>7f21b1f0</v>
      </c>
      <c r="B1744" s="5">
        <f ca="1">IFERROR(__xludf.DUMMYFUNCTION("""COMPUTED_VALUE"""),46155.4555324074)</f>
        <v>46155.455532407403</v>
      </c>
      <c r="C1744" s="2" t="str">
        <f ca="1">IFERROR(__xludf.DUMMYFUNCTION("""COMPUTED_VALUE"""),"964bb1ba")</f>
        <v>964bb1ba</v>
      </c>
      <c r="D1744" s="2">
        <f ca="1">IFERROR(__xludf.DUMMYFUNCTION("""COMPUTED_VALUE"""),40)</f>
        <v>40</v>
      </c>
      <c r="E1744" s="2" t="str">
        <f ca="1">IFERROR(__xludf.DUMMYFUNCTION("""COMPUTED_VALUE"""),"Chardonnay")</f>
        <v>Chardonnay</v>
      </c>
      <c r="F1744" s="2">
        <f ca="1">IFERROR(__xludf.DUMMYFUNCTION("""COMPUTED_VALUE"""),7400)</f>
        <v>7400</v>
      </c>
      <c r="G1744" s="2">
        <f ca="1">IFERROR(__xludf.DUMMYFUNCTION("""COMPUTED_VALUE"""),72)</f>
        <v>72</v>
      </c>
      <c r="H1744" s="2"/>
      <c r="I1744" s="2"/>
      <c r="J1744" s="2">
        <f ca="1">IFERROR(__xludf.DUMMYFUNCTION("""COMPUTED_VALUE"""),0)</f>
        <v>0</v>
      </c>
      <c r="K1744" s="2">
        <f ca="1">IFERROR(__xludf.DUMMYFUNCTION("""COMPUTED_VALUE"""),7400)</f>
        <v>7400</v>
      </c>
      <c r="L1744" s="2" t="str">
        <f ca="1">IFERROR(__xludf.DUMMYFUNCTION("""COMPUTED_VALUE"""),"92f3b287")</f>
        <v>92f3b287</v>
      </c>
      <c r="M1744" s="2" t="str">
        <f ca="1">IFERROR(__xludf.DUMMYFUNCTION("""COMPUTED_VALUE"""),"Chardonnay")</f>
        <v>Chardonnay</v>
      </c>
      <c r="N1744" s="2"/>
      <c r="O1744" s="2" t="str">
        <f ca="1">IFERROR(__xludf.DUMMYFUNCTION("""COMPUTED_VALUE"""),"Descubada")</f>
        <v>Descubada</v>
      </c>
      <c r="P1744" s="2"/>
      <c r="Q1744" s="2" t="b">
        <f ca="1">IFERROR(__xludf.DUMMYFUNCTION("""COMPUTED_VALUE"""),FALSE)</f>
        <v>0</v>
      </c>
      <c r="R1744" s="2" t="str">
        <f ca="1">IFERROR(__xludf.DUMMYFUNCTION("""COMPUTED_VALUE"""),"1er Trasiego")</f>
        <v>1er Trasiego</v>
      </c>
      <c r="S1744" s="2"/>
      <c r="T1744" s="2"/>
      <c r="U1744" s="2"/>
    </row>
    <row r="1745" spans="1:21" x14ac:dyDescent="0.25">
      <c r="A1745" s="2" t="str">
        <f ca="1">IFERROR(__xludf.DUMMYFUNCTION("""COMPUTED_VALUE"""),"fe7ab772")</f>
        <v>fe7ab772</v>
      </c>
      <c r="B1745" s="5">
        <f ca="1">IFERROR(__xludf.DUMMYFUNCTION("""COMPUTED_VALUE"""),46155.4558217592)</f>
        <v>46155.455821759198</v>
      </c>
      <c r="C1745" s="2" t="str">
        <f ca="1">IFERROR(__xludf.DUMMYFUNCTION("""COMPUTED_VALUE"""),"5d1f812a")</f>
        <v>5d1f812a</v>
      </c>
      <c r="D1745" s="2">
        <f ca="1">IFERROR(__xludf.DUMMYFUNCTION("""COMPUTED_VALUE"""),47)</f>
        <v>47</v>
      </c>
      <c r="E1745" s="2" t="str">
        <f ca="1">IFERROR(__xludf.DUMMYFUNCTION("""COMPUTED_VALUE"""),"Chardonnay")</f>
        <v>Chardonnay</v>
      </c>
      <c r="F1745" s="2">
        <f ca="1">IFERROR(__xludf.DUMMYFUNCTION("""COMPUTED_VALUE"""),5600)</f>
        <v>5600</v>
      </c>
      <c r="G1745" s="2">
        <f ca="1">IFERROR(__xludf.DUMMYFUNCTION("""COMPUTED_VALUE"""),72)</f>
        <v>72</v>
      </c>
      <c r="H1745" s="2" t="str">
        <f ca="1">IFERROR(__xludf.DUMMYFUNCTION("""COMPUTED_VALUE"""),"92f3b287")</f>
        <v>92f3b287</v>
      </c>
      <c r="I1745" s="2" t="str">
        <f ca="1">IFERROR(__xludf.DUMMYFUNCTION("""COMPUTED_VALUE"""),"Chardonnay")</f>
        <v>Chardonnay</v>
      </c>
      <c r="J1745" s="2">
        <f ca="1">IFERROR(__xludf.DUMMYFUNCTION("""COMPUTED_VALUE"""),7400)</f>
        <v>7400</v>
      </c>
      <c r="K1745" s="2">
        <f ca="1">IFERROR(__xludf.DUMMYFUNCTION("""COMPUTED_VALUE"""),13000)</f>
        <v>13000</v>
      </c>
      <c r="L1745" s="2" t="str">
        <f ca="1">IFERROR(__xludf.DUMMYFUNCTION("""COMPUTED_VALUE"""),"794ce23f")</f>
        <v>794ce23f</v>
      </c>
      <c r="M1745" s="2" t="str">
        <f ca="1">IFERROR(__xludf.DUMMYFUNCTION("""COMPUTED_VALUE"""),"Chardonnay")</f>
        <v>Chardonnay</v>
      </c>
      <c r="N1745" s="2"/>
      <c r="O1745" s="2" t="str">
        <f ca="1">IFERROR(__xludf.DUMMYFUNCTION("""COMPUTED_VALUE"""),"Descubada")</f>
        <v>Descubada</v>
      </c>
      <c r="P1745" s="2" t="str">
        <f ca="1">IFERROR(__xludf.DUMMYFUNCTION("""COMPUTED_VALUE"""),"1er Trasiego")</f>
        <v>1er Trasiego</v>
      </c>
      <c r="Q1745" s="2" t="b">
        <f ca="1">IFERROR(__xludf.DUMMYFUNCTION("""COMPUTED_VALUE"""),TRUE)</f>
        <v>1</v>
      </c>
      <c r="R1745" s="2" t="str">
        <f ca="1">IFERROR(__xludf.DUMMYFUNCTION("""COMPUTED_VALUE"""),"1er Trasiego")</f>
        <v>1er Trasiego</v>
      </c>
      <c r="S1745" s="2"/>
      <c r="T1745" s="2"/>
      <c r="U1745" s="2"/>
    </row>
    <row r="1746" spans="1:21" x14ac:dyDescent="0.25">
      <c r="A1746" s="2" t="str">
        <f ca="1">IFERROR(__xludf.DUMMYFUNCTION("""COMPUTED_VALUE"""),"255ca488")</f>
        <v>255ca488</v>
      </c>
      <c r="B1746" s="5">
        <f ca="1">IFERROR(__xludf.DUMMYFUNCTION("""COMPUTED_VALUE"""),46155.4564236111)</f>
        <v>46155.456423611096</v>
      </c>
      <c r="C1746" s="2" t="str">
        <f ca="1">IFERROR(__xludf.DUMMYFUNCTION("""COMPUTED_VALUE"""),"fd6b0834")</f>
        <v>fd6b0834</v>
      </c>
      <c r="D1746" s="2">
        <f ca="1">IFERROR(__xludf.DUMMYFUNCTION("""COMPUTED_VALUE"""),121)</f>
        <v>121</v>
      </c>
      <c r="E1746" s="2" t="str">
        <f ca="1">IFERROR(__xludf.DUMMYFUNCTION("""COMPUTED_VALUE"""),"Chardonnay Salentein")</f>
        <v>Chardonnay Salentein</v>
      </c>
      <c r="F1746" s="2">
        <f ca="1">IFERROR(__xludf.DUMMYFUNCTION("""COMPUTED_VALUE"""),50400)</f>
        <v>50400</v>
      </c>
      <c r="G1746" s="2"/>
      <c r="H1746" s="2"/>
      <c r="I1746" s="2"/>
      <c r="J1746" s="2"/>
      <c r="K1746" s="2">
        <f ca="1">IFERROR(__xludf.DUMMYFUNCTION("""COMPUTED_VALUE"""),50400)</f>
        <v>50400</v>
      </c>
      <c r="L1746" s="2" t="str">
        <f ca="1">IFERROR(__xludf.DUMMYFUNCTION("""COMPUTED_VALUE"""),"e2480819")</f>
        <v>e2480819</v>
      </c>
      <c r="M1746" s="2" t="str">
        <f ca="1">IFERROR(__xludf.DUMMYFUNCTION("""COMPUTED_VALUE"""),"Chardonnay Salentein")</f>
        <v>Chardonnay Salentein</v>
      </c>
      <c r="N1746" s="2"/>
      <c r="O1746" s="2" t="str">
        <f ca="1">IFERROR(__xludf.DUMMYFUNCTION("""COMPUTED_VALUE"""),"1er Trasiego")</f>
        <v>1er Trasiego</v>
      </c>
      <c r="P1746" s="2"/>
      <c r="Q1746" s="2" t="b">
        <f ca="1">IFERROR(__xludf.DUMMYFUNCTION("""COMPUTED_VALUE"""),FALSE)</f>
        <v>0</v>
      </c>
      <c r="R1746" s="2" t="str">
        <f ca="1">IFERROR(__xludf.DUMMYFUNCTION("""COMPUTED_VALUE"""),"Traslado Venta")</f>
        <v>Traslado Venta</v>
      </c>
      <c r="S1746" s="2"/>
      <c r="T1746" s="2"/>
      <c r="U1746" s="2" t="str">
        <f ca="1">IFERROR(__xludf.DUMMYFUNCTION("""COMPUTED_VALUE"""),"1")</f>
        <v>1</v>
      </c>
    </row>
    <row r="1747" spans="1:21" x14ac:dyDescent="0.25">
      <c r="A1747" s="2" t="str">
        <f ca="1">IFERROR(__xludf.DUMMYFUNCTION("""COMPUTED_VALUE"""),"75655628")</f>
        <v>75655628</v>
      </c>
      <c r="B1747" s="5">
        <f ca="1">IFERROR(__xludf.DUMMYFUNCTION("""COMPUTED_VALUE"""),46155.5136226851)</f>
        <v>46155.513622685103</v>
      </c>
      <c r="C1747" s="2" t="str">
        <f ca="1">IFERROR(__xludf.DUMMYFUNCTION("""COMPUTED_VALUE"""),"5d1f812a")</f>
        <v>5d1f812a</v>
      </c>
      <c r="D1747" s="2">
        <f ca="1">IFERROR(__xludf.DUMMYFUNCTION("""COMPUTED_VALUE"""),47)</f>
        <v>47</v>
      </c>
      <c r="E1747" s="2" t="str">
        <f ca="1">IFERROR(__xludf.DUMMYFUNCTION("""COMPUTED_VALUE"""),"Chardonnay")</f>
        <v>Chardonnay</v>
      </c>
      <c r="F1747" s="2">
        <f ca="1">IFERROR(__xludf.DUMMYFUNCTION("""COMPUTED_VALUE"""),1400)</f>
        <v>1400</v>
      </c>
      <c r="G1747" s="2">
        <f ca="1">IFERROR(__xludf.DUMMYFUNCTION("""COMPUTED_VALUE"""),30)</f>
        <v>30</v>
      </c>
      <c r="H1747" s="2" t="str">
        <f ca="1">IFERROR(__xludf.DUMMYFUNCTION("""COMPUTED_VALUE"""),"9d672e58")</f>
        <v>9d672e58</v>
      </c>
      <c r="I1747" s="2" t="str">
        <f ca="1">IFERROR(__xludf.DUMMYFUNCTION("""COMPUTED_VALUE"""),"Chardonnay Ch")</f>
        <v>Chardonnay Ch</v>
      </c>
      <c r="J1747" s="2">
        <f ca="1">IFERROR(__xludf.DUMMYFUNCTION("""COMPUTED_VALUE"""),37400)</f>
        <v>37400</v>
      </c>
      <c r="K1747" s="2">
        <f ca="1">IFERROR(__xludf.DUMMYFUNCTION("""COMPUTED_VALUE"""),38800)</f>
        <v>38800</v>
      </c>
      <c r="L1747" s="2" t="str">
        <f ca="1">IFERROR(__xludf.DUMMYFUNCTION("""COMPUTED_VALUE"""),"7925389c")</f>
        <v>7925389c</v>
      </c>
      <c r="M1747" s="2" t="str">
        <f ca="1">IFERROR(__xludf.DUMMYFUNCTION("""COMPUTED_VALUE"""),"Chardonnay Ch")</f>
        <v>Chardonnay Ch</v>
      </c>
      <c r="N1747" s="2"/>
      <c r="O1747" s="2" t="str">
        <f ca="1">IFERROR(__xludf.DUMMYFUNCTION("""COMPUTED_VALUE"""),"Descubada")</f>
        <v>Descubada</v>
      </c>
      <c r="P1747" s="2" t="str">
        <f ca="1">IFERROR(__xludf.DUMMYFUNCTION("""COMPUTED_VALUE"""),"Descubada")</f>
        <v>Descubada</v>
      </c>
      <c r="Q1747" s="2" t="b">
        <f ca="1">IFERROR(__xludf.DUMMYFUNCTION("""COMPUTED_VALUE"""),TRUE)</f>
        <v>1</v>
      </c>
      <c r="R1747" s="2" t="str">
        <f ca="1">IFERROR(__xludf.DUMMYFUNCTION("""COMPUTED_VALUE"""),"Descubada")</f>
        <v>Descubada</v>
      </c>
      <c r="S1747" s="2"/>
      <c r="T1747" s="2"/>
      <c r="U1747" s="2" t="str">
        <f ca="1">IFERROR(__xludf.DUMMYFUNCTION("""COMPUTED_VALUE"""),"1")</f>
        <v>1</v>
      </c>
    </row>
    <row r="1748" spans="1:21" x14ac:dyDescent="0.25">
      <c r="A1748" s="2" t="str">
        <f ca="1">IFERROR(__xludf.DUMMYFUNCTION("""COMPUTED_VALUE"""),"dff4420d")</f>
        <v>dff4420d</v>
      </c>
      <c r="B1748" s="5">
        <f ca="1">IFERROR(__xludf.DUMMYFUNCTION("""COMPUTED_VALUE"""),46155.5137962963)</f>
        <v>46155.513796296298</v>
      </c>
      <c r="C1748" s="2" t="str">
        <f ca="1">IFERROR(__xludf.DUMMYFUNCTION("""COMPUTED_VALUE"""),"5d1f812a")</f>
        <v>5d1f812a</v>
      </c>
      <c r="D1748" s="2">
        <f ca="1">IFERROR(__xludf.DUMMYFUNCTION("""COMPUTED_VALUE"""),47)</f>
        <v>47</v>
      </c>
      <c r="E1748" s="2" t="str">
        <f ca="1">IFERROR(__xludf.DUMMYFUNCTION("""COMPUTED_VALUE"""),"Chardonnay")</f>
        <v>Chardonnay</v>
      </c>
      <c r="F1748" s="2">
        <f ca="1">IFERROR(__xludf.DUMMYFUNCTION("""COMPUTED_VALUE"""),2800)</f>
        <v>2800</v>
      </c>
      <c r="G1748" s="2">
        <f ca="1">IFERROR(__xludf.DUMMYFUNCTION("""COMPUTED_VALUE"""),40)</f>
        <v>40</v>
      </c>
      <c r="H1748" s="2"/>
      <c r="I1748" s="2"/>
      <c r="J1748" s="2">
        <f ca="1">IFERROR(__xludf.DUMMYFUNCTION("""COMPUTED_VALUE"""),0)</f>
        <v>0</v>
      </c>
      <c r="K1748" s="2">
        <f ca="1">IFERROR(__xludf.DUMMYFUNCTION("""COMPUTED_VALUE"""),2800)</f>
        <v>2800</v>
      </c>
      <c r="L1748" s="2" t="str">
        <f ca="1">IFERROR(__xludf.DUMMYFUNCTION("""COMPUTED_VALUE"""),"88061827")</f>
        <v>88061827</v>
      </c>
      <c r="M1748" s="2" t="str">
        <f ca="1">IFERROR(__xludf.DUMMYFUNCTION("""COMPUTED_VALUE"""),"Chardonnay")</f>
        <v>Chardonnay</v>
      </c>
      <c r="N1748" s="2"/>
      <c r="O1748" s="2" t="str">
        <f ca="1">IFERROR(__xludf.DUMMYFUNCTION("""COMPUTED_VALUE"""),"Descubada")</f>
        <v>Descubada</v>
      </c>
      <c r="P1748" s="2"/>
      <c r="Q1748" s="2" t="b">
        <f ca="1">IFERROR(__xludf.DUMMYFUNCTION("""COMPUTED_VALUE"""),FALSE)</f>
        <v>0</v>
      </c>
      <c r="R1748" s="2" t="str">
        <f ca="1">IFERROR(__xludf.DUMMYFUNCTION("""COMPUTED_VALUE"""),"1er Trasiego")</f>
        <v>1er Trasiego</v>
      </c>
      <c r="S1748" s="2"/>
      <c r="T1748" s="2"/>
      <c r="U1748" s="2" t="str">
        <f ca="1">IFERROR(__xludf.DUMMYFUNCTION("""COMPUTED_VALUE"""),"1")</f>
        <v>1</v>
      </c>
    </row>
    <row r="1749" spans="1:21" x14ac:dyDescent="0.25">
      <c r="A1749" s="2" t="str">
        <f ca="1">IFERROR(__xludf.DUMMYFUNCTION("""COMPUTED_VALUE"""),"7560c8d5")</f>
        <v>7560c8d5</v>
      </c>
      <c r="B1749" s="5">
        <f ca="1">IFERROR(__xludf.DUMMYFUNCTION("""COMPUTED_VALUE"""),46155.5145717592)</f>
        <v>46155.514571759202</v>
      </c>
      <c r="C1749" s="2" t="str">
        <f ca="1">IFERROR(__xludf.DUMMYFUNCTION("""COMPUTED_VALUE"""),"d12d20f3")</f>
        <v>d12d20f3</v>
      </c>
      <c r="D1749" s="2">
        <f ca="1">IFERROR(__xludf.DUMMYFUNCTION("""COMPUTED_VALUE"""),85)</f>
        <v>85</v>
      </c>
      <c r="E1749" s="2" t="str">
        <f ca="1">IFERROR(__xludf.DUMMYFUNCTION("""COMPUTED_VALUE"""),"Bonarda")</f>
        <v>Bonarda</v>
      </c>
      <c r="F1749" s="2">
        <f ca="1">IFERROR(__xludf.DUMMYFUNCTION("""COMPUTED_VALUE"""),17500)</f>
        <v>17500</v>
      </c>
      <c r="G1749" s="2">
        <f ca="1">IFERROR(__xludf.DUMMYFUNCTION("""COMPUTED_VALUE"""),76)</f>
        <v>76</v>
      </c>
      <c r="H1749" s="2"/>
      <c r="I1749" s="2"/>
      <c r="J1749" s="2">
        <f ca="1">IFERROR(__xludf.DUMMYFUNCTION("""COMPUTED_VALUE"""),0)</f>
        <v>0</v>
      </c>
      <c r="K1749" s="2">
        <f ca="1">IFERROR(__xludf.DUMMYFUNCTION("""COMPUTED_VALUE"""),17500)</f>
        <v>17500</v>
      </c>
      <c r="L1749" s="2" t="str">
        <f ca="1">IFERROR(__xludf.DUMMYFUNCTION("""COMPUTED_VALUE"""),"d094cdee")</f>
        <v>d094cdee</v>
      </c>
      <c r="M1749" s="2" t="str">
        <f ca="1">IFERROR(__xludf.DUMMYFUNCTION("""COMPUTED_VALUE"""),"Bonarda")</f>
        <v>Bonarda</v>
      </c>
      <c r="N1749" s="2"/>
      <c r="O1749" s="2" t="str">
        <f ca="1">IFERROR(__xludf.DUMMYFUNCTION("""COMPUTED_VALUE"""),"Fermentando")</f>
        <v>Fermentando</v>
      </c>
      <c r="P1749" s="2"/>
      <c r="Q1749" s="2" t="b">
        <f ca="1">IFERROR(__xludf.DUMMYFUNCTION("""COMPUTED_VALUE"""),FALSE)</f>
        <v>0</v>
      </c>
      <c r="R1749" s="2" t="str">
        <f ca="1">IFERROR(__xludf.DUMMYFUNCTION("""COMPUTED_VALUE"""),"Descubada")</f>
        <v>Descubada</v>
      </c>
      <c r="S1749" s="2"/>
      <c r="T1749" s="2"/>
      <c r="U1749" s="2" t="str">
        <f ca="1">IFERROR(__xludf.DUMMYFUNCTION("""COMPUTED_VALUE"""),"1-")</f>
        <v>1-</v>
      </c>
    </row>
    <row r="1750" spans="1:21" x14ac:dyDescent="0.25">
      <c r="A1750" s="2" t="str">
        <f ca="1">IFERROR(__xludf.DUMMYFUNCTION("""COMPUTED_VALUE"""),"592f3ca9")</f>
        <v>592f3ca9</v>
      </c>
      <c r="B1750" s="5">
        <f ca="1">IFERROR(__xludf.DUMMYFUNCTION("""COMPUTED_VALUE"""),46157.4403009259)</f>
        <v>46157.440300925897</v>
      </c>
      <c r="C1750" s="2" t="str">
        <f ca="1">IFERROR(__xludf.DUMMYFUNCTION("""COMPUTED_VALUE"""),"bf0decd7")</f>
        <v>bf0decd7</v>
      </c>
      <c r="D1750" s="2">
        <f ca="1">IFERROR(__xludf.DUMMYFUNCTION("""COMPUTED_VALUE"""),84)</f>
        <v>84</v>
      </c>
      <c r="E1750" s="2" t="str">
        <f ca="1">IFERROR(__xludf.DUMMYFUNCTION("""COMPUTED_VALUE"""),"Chardonnay Reac")</f>
        <v>Chardonnay Reac</v>
      </c>
      <c r="F1750" s="2">
        <f ca="1">IFERROR(__xludf.DUMMYFUNCTION("""COMPUTED_VALUE"""),26000)</f>
        <v>26000</v>
      </c>
      <c r="G1750" s="2">
        <f ca="1">IFERROR(__xludf.DUMMYFUNCTION("""COMPUTED_VALUE"""),49)</f>
        <v>49</v>
      </c>
      <c r="H1750" s="2"/>
      <c r="I1750" s="2"/>
      <c r="J1750" s="2">
        <f ca="1">IFERROR(__xludf.DUMMYFUNCTION("""COMPUTED_VALUE"""),0)</f>
        <v>0</v>
      </c>
      <c r="K1750" s="2">
        <f ca="1">IFERROR(__xludf.DUMMYFUNCTION("""COMPUTED_VALUE"""),26000)</f>
        <v>26000</v>
      </c>
      <c r="L1750" s="2" t="str">
        <f ca="1">IFERROR(__xludf.DUMMYFUNCTION("""COMPUTED_VALUE"""),"8335a590")</f>
        <v>8335a590</v>
      </c>
      <c r="M1750" s="2" t="str">
        <f ca="1">IFERROR(__xludf.DUMMYFUNCTION("""COMPUTED_VALUE"""),"Chardonnay Reac")</f>
        <v>Chardonnay Reac</v>
      </c>
      <c r="N1750" s="2"/>
      <c r="O1750" s="2" t="str">
        <f ca="1">IFERROR(__xludf.DUMMYFUNCTION("""COMPUTED_VALUE"""),"1er Trasiego")</f>
        <v>1er Trasiego</v>
      </c>
      <c r="P1750" s="2"/>
      <c r="Q1750" s="2" t="b">
        <f ca="1">IFERROR(__xludf.DUMMYFUNCTION("""COMPUTED_VALUE"""),FALSE)</f>
        <v>0</v>
      </c>
      <c r="R1750" s="2" t="str">
        <f ca="1">IFERROR(__xludf.DUMMYFUNCTION("""COMPUTED_VALUE"""),"1er Trasiego")</f>
        <v>1er Trasiego</v>
      </c>
      <c r="S1750" s="2"/>
      <c r="T1750" s="2"/>
      <c r="U1750" s="2" t="str">
        <f ca="1">IFERROR(__xludf.DUMMYFUNCTION("""COMPUTED_VALUE"""),"1")</f>
        <v>1</v>
      </c>
    </row>
    <row r="1751" spans="1:21" x14ac:dyDescent="0.25">
      <c r="A1751" s="2" t="str">
        <f ca="1">IFERROR(__xludf.DUMMYFUNCTION("""COMPUTED_VALUE"""),"1e6ce625")</f>
        <v>1e6ce625</v>
      </c>
      <c r="B1751" s="5">
        <f ca="1">IFERROR(__xludf.DUMMYFUNCTION("""COMPUTED_VALUE"""),46157.4408333333)</f>
        <v>46157.440833333298</v>
      </c>
      <c r="C1751" s="2" t="str">
        <f ca="1">IFERROR(__xludf.DUMMYFUNCTION("""COMPUTED_VALUE"""),"bf0decd7")</f>
        <v>bf0decd7</v>
      </c>
      <c r="D1751" s="2">
        <f ca="1">IFERROR(__xludf.DUMMYFUNCTION("""COMPUTED_VALUE"""),84)</f>
        <v>84</v>
      </c>
      <c r="E1751" s="2" t="str">
        <f ca="1">IFERROR(__xludf.DUMMYFUNCTION("""COMPUTED_VALUE"""),"Chardonnay Reac")</f>
        <v>Chardonnay Reac</v>
      </c>
      <c r="F1751" s="2">
        <f ca="1">IFERROR(__xludf.DUMMYFUNCTION("""COMPUTED_VALUE"""),21200)</f>
        <v>21200</v>
      </c>
      <c r="G1751" s="2">
        <f ca="1">IFERROR(__xludf.DUMMYFUNCTION("""COMPUTED_VALUE"""),40)</f>
        <v>40</v>
      </c>
      <c r="H1751" s="2" t="str">
        <f ca="1">IFERROR(__xludf.DUMMYFUNCTION("""COMPUTED_VALUE"""),"88061827")</f>
        <v>88061827</v>
      </c>
      <c r="I1751" s="2" t="str">
        <f ca="1">IFERROR(__xludf.DUMMYFUNCTION("""COMPUTED_VALUE"""),"Chardonnay")</f>
        <v>Chardonnay</v>
      </c>
      <c r="J1751" s="2">
        <f ca="1">IFERROR(__xludf.DUMMYFUNCTION("""COMPUTED_VALUE"""),2800)</f>
        <v>2800</v>
      </c>
      <c r="K1751" s="2">
        <f ca="1">IFERROR(__xludf.DUMMYFUNCTION("""COMPUTED_VALUE"""),24000)</f>
        <v>24000</v>
      </c>
      <c r="L1751" s="2" t="str">
        <f ca="1">IFERROR(__xludf.DUMMYFUNCTION("""COMPUTED_VALUE"""),"1f31c1f9")</f>
        <v>1f31c1f9</v>
      </c>
      <c r="M1751" s="2" t="str">
        <f ca="1">IFERROR(__xludf.DUMMYFUNCTION("""COMPUTED_VALUE"""),"Chardonnay Reac")</f>
        <v>Chardonnay Reac</v>
      </c>
      <c r="N1751" s="2"/>
      <c r="O1751" s="2" t="str">
        <f ca="1">IFERROR(__xludf.DUMMYFUNCTION("""COMPUTED_VALUE"""),"1er Trasiego")</f>
        <v>1er Trasiego</v>
      </c>
      <c r="P1751" s="2" t="str">
        <f ca="1">IFERROR(__xludf.DUMMYFUNCTION("""COMPUTED_VALUE"""),"1er Trasiego")</f>
        <v>1er Trasiego</v>
      </c>
      <c r="Q1751" s="2" t="b">
        <f ca="1">IFERROR(__xludf.DUMMYFUNCTION("""COMPUTED_VALUE"""),FALSE)</f>
        <v>0</v>
      </c>
      <c r="R1751" s="2" t="str">
        <f ca="1">IFERROR(__xludf.DUMMYFUNCTION("""COMPUTED_VALUE"""),"1er Trasiego")</f>
        <v>1er Trasiego</v>
      </c>
      <c r="S1751" s="2"/>
      <c r="T1751" s="2"/>
      <c r="U1751" s="2" t="str">
        <f ca="1">IFERROR(__xludf.DUMMYFUNCTION("""COMPUTED_VALUE"""),"1")</f>
        <v>1</v>
      </c>
    </row>
    <row r="1752" spans="1:21" x14ac:dyDescent="0.25">
      <c r="A1752" s="2" t="str">
        <f ca="1">IFERROR(__xludf.DUMMYFUNCTION("""COMPUTED_VALUE"""),"618fc7e0")</f>
        <v>618fc7e0</v>
      </c>
      <c r="B1752" s="5">
        <f ca="1">IFERROR(__xludf.DUMMYFUNCTION("""COMPUTED_VALUE"""),46157.4412847222)</f>
        <v>46157.441284722197</v>
      </c>
      <c r="C1752" s="2" t="str">
        <f ca="1">IFERROR(__xludf.DUMMYFUNCTION("""COMPUTED_VALUE"""),"bf0decd7")</f>
        <v>bf0decd7</v>
      </c>
      <c r="D1752" s="2">
        <f ca="1">IFERROR(__xludf.DUMMYFUNCTION("""COMPUTED_VALUE"""),84)</f>
        <v>84</v>
      </c>
      <c r="E1752" s="2" t="str">
        <f ca="1">IFERROR(__xludf.DUMMYFUNCTION("""COMPUTED_VALUE"""),"Chardonnay Reac")</f>
        <v>Chardonnay Reac</v>
      </c>
      <c r="F1752" s="2">
        <f ca="1">IFERROR(__xludf.DUMMYFUNCTION("""COMPUTED_VALUE"""),3000)</f>
        <v>3000</v>
      </c>
      <c r="G1752" s="2">
        <f ca="1">IFERROR(__xludf.DUMMYFUNCTION("""COMPUTED_VALUE"""),55)</f>
        <v>55</v>
      </c>
      <c r="H1752" s="2"/>
      <c r="I1752" s="2"/>
      <c r="J1752" s="2">
        <f ca="1">IFERROR(__xludf.DUMMYFUNCTION("""COMPUTED_VALUE"""),0)</f>
        <v>0</v>
      </c>
      <c r="K1752" s="2">
        <f ca="1">IFERROR(__xludf.DUMMYFUNCTION("""COMPUTED_VALUE"""),3000)</f>
        <v>3000</v>
      </c>
      <c r="L1752" s="2" t="str">
        <f ca="1">IFERROR(__xludf.DUMMYFUNCTION("""COMPUTED_VALUE"""),"5488ed13")</f>
        <v>5488ed13</v>
      </c>
      <c r="M1752" s="2" t="str">
        <f ca="1">IFERROR(__xludf.DUMMYFUNCTION("""COMPUTED_VALUE"""),"Chardonnay Reac")</f>
        <v>Chardonnay Reac</v>
      </c>
      <c r="N1752" s="2"/>
      <c r="O1752" s="2" t="str">
        <f ca="1">IFERROR(__xludf.DUMMYFUNCTION("""COMPUTED_VALUE"""),"1er Trasiego")</f>
        <v>1er Trasiego</v>
      </c>
      <c r="P1752" s="2"/>
      <c r="Q1752" s="2" t="b">
        <f ca="1">IFERROR(__xludf.DUMMYFUNCTION("""COMPUTED_VALUE"""),FALSE)</f>
        <v>0</v>
      </c>
      <c r="R1752" s="2" t="str">
        <f ca="1">IFERROR(__xludf.DUMMYFUNCTION("""COMPUTED_VALUE"""),"1er Trasiego")</f>
        <v>1er Trasiego</v>
      </c>
      <c r="S1752" s="2"/>
      <c r="T1752" s="2"/>
      <c r="U1752" s="2" t="str">
        <f ca="1">IFERROR(__xludf.DUMMYFUNCTION("""COMPUTED_VALUE"""),"1")</f>
        <v>1</v>
      </c>
    </row>
    <row r="1753" spans="1:21" x14ac:dyDescent="0.25">
      <c r="A1753" s="2" t="str">
        <f ca="1">IFERROR(__xludf.DUMMYFUNCTION("""COMPUTED_VALUE"""),"f8df7183")</f>
        <v>f8df7183</v>
      </c>
      <c r="B1753" s="5">
        <f ca="1">IFERROR(__xludf.DUMMYFUNCTION("""COMPUTED_VALUE"""),46157.4415393518)</f>
        <v>46157.441539351799</v>
      </c>
      <c r="C1753" s="2" t="str">
        <f ca="1">IFERROR(__xludf.DUMMYFUNCTION("""COMPUTED_VALUE"""),"bf0decd7")</f>
        <v>bf0decd7</v>
      </c>
      <c r="D1753" s="2">
        <f ca="1">IFERROR(__xludf.DUMMYFUNCTION("""COMPUTED_VALUE"""),84)</f>
        <v>84</v>
      </c>
      <c r="E1753" s="2" t="str">
        <f ca="1">IFERROR(__xludf.DUMMYFUNCTION("""COMPUTED_VALUE"""),"Chardonnay Reac")</f>
        <v>Chardonnay Reac</v>
      </c>
      <c r="F1753" s="2">
        <f ca="1">IFERROR(__xludf.DUMMYFUNCTION("""COMPUTED_VALUE"""),200)</f>
        <v>200</v>
      </c>
      <c r="G1753" s="2">
        <f ca="1">IFERROR(__xludf.DUMMYFUNCTION("""COMPUTED_VALUE"""),70)</f>
        <v>70</v>
      </c>
      <c r="H1753" s="2" t="str">
        <f ca="1">IFERROR(__xludf.DUMMYFUNCTION("""COMPUTED_VALUE"""),"1948cbb7")</f>
        <v>1948cbb7</v>
      </c>
      <c r="I1753" s="2" t="str">
        <f ca="1">IFERROR(__xludf.DUMMYFUNCTION("""COMPUTED_VALUE"""),"Borra trasiego")</f>
        <v>Borra trasiego</v>
      </c>
      <c r="J1753" s="2">
        <f ca="1">IFERROR(__xludf.DUMMYFUNCTION("""COMPUTED_VALUE"""),600)</f>
        <v>600</v>
      </c>
      <c r="K1753" s="2">
        <f ca="1">IFERROR(__xludf.DUMMYFUNCTION("""COMPUTED_VALUE"""),800)</f>
        <v>800</v>
      </c>
      <c r="L1753" s="2" t="str">
        <f ca="1">IFERROR(__xludf.DUMMYFUNCTION("""COMPUTED_VALUE"""),"bcf7be01")</f>
        <v>bcf7be01</v>
      </c>
      <c r="M1753" s="2" t="str">
        <f ca="1">IFERROR(__xludf.DUMMYFUNCTION("""COMPUTED_VALUE"""),"Borra trasiego")</f>
        <v>Borra trasiego</v>
      </c>
      <c r="N1753" s="2"/>
      <c r="O1753" s="2" t="str">
        <f ca="1">IFERROR(__xludf.DUMMYFUNCTION("""COMPUTED_VALUE"""),"1er Trasiego")</f>
        <v>1er Trasiego</v>
      </c>
      <c r="P1753" s="2" t="str">
        <f ca="1">IFERROR(__xludf.DUMMYFUNCTION("""COMPUTED_VALUE"""),"1er Trasiego")</f>
        <v>1er Trasiego</v>
      </c>
      <c r="Q1753" s="2" t="b">
        <f ca="1">IFERROR(__xludf.DUMMYFUNCTION("""COMPUTED_VALUE"""),TRUE)</f>
        <v>1</v>
      </c>
      <c r="R1753" s="2" t="str">
        <f ca="1">IFERROR(__xludf.DUMMYFUNCTION("""COMPUTED_VALUE"""),"1er Trasiego")</f>
        <v>1er Trasiego</v>
      </c>
      <c r="S1753" s="2"/>
      <c r="T1753" s="2"/>
      <c r="U1753" s="2"/>
    </row>
    <row r="1754" spans="1:21" x14ac:dyDescent="0.25">
      <c r="A1754" s="2" t="str">
        <f ca="1">IFERROR(__xludf.DUMMYFUNCTION("""COMPUTED_VALUE"""),"7b91c54d")</f>
        <v>7b91c54d</v>
      </c>
      <c r="B1754" s="5">
        <f ca="1">IFERROR(__xludf.DUMMYFUNCTION("""COMPUTED_VALUE"""),46157.4750231481)</f>
        <v>46157.475023148101</v>
      </c>
      <c r="C1754" s="2" t="str">
        <f ca="1">IFERROR(__xludf.DUMMYFUNCTION("""COMPUTED_VALUE"""),"4c079f49")</f>
        <v>4c079f49</v>
      </c>
      <c r="D1754" s="2">
        <f ca="1">IFERROR(__xludf.DUMMYFUNCTION("""COMPUTED_VALUE"""),24)</f>
        <v>24</v>
      </c>
      <c r="E1754" s="2" t="str">
        <f ca="1">IFERROR(__xludf.DUMMYFUNCTION("""COMPUTED_VALUE"""),"Malbec pc")</f>
        <v>Malbec pc</v>
      </c>
      <c r="F1754" s="2">
        <f ca="1">IFERROR(__xludf.DUMMYFUNCTION("""COMPUTED_VALUE"""),120200)</f>
        <v>120200</v>
      </c>
      <c r="G1754" s="2">
        <f ca="1">IFERROR(__xludf.DUMMYFUNCTION("""COMPUTED_VALUE"""),115)</f>
        <v>115</v>
      </c>
      <c r="H1754" s="2"/>
      <c r="I1754" s="2"/>
      <c r="J1754" s="2">
        <f ca="1">IFERROR(__xludf.DUMMYFUNCTION("""COMPUTED_VALUE"""),0)</f>
        <v>0</v>
      </c>
      <c r="K1754" s="2">
        <f ca="1">IFERROR(__xludf.DUMMYFUNCTION("""COMPUTED_VALUE"""),120200)</f>
        <v>120200</v>
      </c>
      <c r="L1754" s="2" t="str">
        <f ca="1">IFERROR(__xludf.DUMMYFUNCTION("""COMPUTED_VALUE"""),"1ec5d4ff")</f>
        <v>1ec5d4ff</v>
      </c>
      <c r="M1754" s="2" t="str">
        <f ca="1">IFERROR(__xludf.DUMMYFUNCTION("""COMPUTED_VALUE"""),"Malbec pc")</f>
        <v>Malbec pc</v>
      </c>
      <c r="N1754" s="2"/>
      <c r="O1754" s="2" t="str">
        <f ca="1">IFERROR(__xludf.DUMMYFUNCTION("""COMPUTED_VALUE"""),"Descubada")</f>
        <v>Descubada</v>
      </c>
      <c r="P1754" s="2"/>
      <c r="Q1754" s="2" t="b">
        <f ca="1">IFERROR(__xludf.DUMMYFUNCTION("""COMPUTED_VALUE"""),FALSE)</f>
        <v>0</v>
      </c>
      <c r="R1754" s="2" t="str">
        <f ca="1">IFERROR(__xludf.DUMMYFUNCTION("""COMPUTED_VALUE"""),"1er Trasiego")</f>
        <v>1er Trasiego</v>
      </c>
      <c r="S1754" s="2"/>
      <c r="T1754" s="2"/>
      <c r="U1754" s="2" t="str">
        <f ca="1">IFERROR(__xludf.DUMMYFUNCTION("""COMPUTED_VALUE"""),"1+")</f>
        <v>1+</v>
      </c>
    </row>
    <row r="1755" spans="1:21" x14ac:dyDescent="0.25">
      <c r="A1755" s="2" t="str">
        <f ca="1">IFERROR(__xludf.DUMMYFUNCTION("""COMPUTED_VALUE"""),"5c67f9f8")</f>
        <v>5c67f9f8</v>
      </c>
      <c r="B1755" s="5">
        <f ca="1">IFERROR(__xludf.DUMMYFUNCTION("""COMPUTED_VALUE"""),46157.4759027777)</f>
        <v>46157.475902777704</v>
      </c>
      <c r="C1755" s="2" t="str">
        <f ca="1">IFERROR(__xludf.DUMMYFUNCTION("""COMPUTED_VALUE"""),"4c079f49")</f>
        <v>4c079f49</v>
      </c>
      <c r="D1755" s="2">
        <f ca="1">IFERROR(__xludf.DUMMYFUNCTION("""COMPUTED_VALUE"""),24)</f>
        <v>24</v>
      </c>
      <c r="E1755" s="2" t="str">
        <f ca="1">IFERROR(__xludf.DUMMYFUNCTION("""COMPUTED_VALUE"""),"Malbec pc")</f>
        <v>Malbec pc</v>
      </c>
      <c r="F1755" s="2">
        <f ca="1">IFERROR(__xludf.DUMMYFUNCTION("""COMPUTED_VALUE"""),66400)</f>
        <v>66400</v>
      </c>
      <c r="G1755" s="2">
        <f ca="1">IFERROR(__xludf.DUMMYFUNCTION("""COMPUTED_VALUE"""),84)</f>
        <v>84</v>
      </c>
      <c r="H1755" s="2"/>
      <c r="I1755" s="2"/>
      <c r="J1755" s="2">
        <f ca="1">IFERROR(__xludf.DUMMYFUNCTION("""COMPUTED_VALUE"""),0)</f>
        <v>0</v>
      </c>
      <c r="K1755" s="2">
        <f ca="1">IFERROR(__xludf.DUMMYFUNCTION("""COMPUTED_VALUE"""),66400)</f>
        <v>66400</v>
      </c>
      <c r="L1755" s="2" t="str">
        <f ca="1">IFERROR(__xludf.DUMMYFUNCTION("""COMPUTED_VALUE"""),"d89e9a7b")</f>
        <v>d89e9a7b</v>
      </c>
      <c r="M1755" s="2" t="str">
        <f ca="1">IFERROR(__xludf.DUMMYFUNCTION("""COMPUTED_VALUE"""),"Malbec pc")</f>
        <v>Malbec pc</v>
      </c>
      <c r="N1755" s="2"/>
      <c r="O1755" s="2" t="str">
        <f ca="1">IFERROR(__xludf.DUMMYFUNCTION("""COMPUTED_VALUE"""),"Descubada")</f>
        <v>Descubada</v>
      </c>
      <c r="P1755" s="2"/>
      <c r="Q1755" s="2" t="b">
        <f ca="1">IFERROR(__xludf.DUMMYFUNCTION("""COMPUTED_VALUE"""),FALSE)</f>
        <v>0</v>
      </c>
      <c r="R1755" s="2" t="str">
        <f ca="1">IFERROR(__xludf.DUMMYFUNCTION("""COMPUTED_VALUE"""),"1er Trasiego")</f>
        <v>1er Trasiego</v>
      </c>
      <c r="S1755" s="2"/>
      <c r="T1755" s="2"/>
      <c r="U1755" s="2" t="str">
        <f ca="1">IFERROR(__xludf.DUMMYFUNCTION("""COMPUTED_VALUE"""),"1+")</f>
        <v>1+</v>
      </c>
    </row>
    <row r="1756" spans="1:21" x14ac:dyDescent="0.25">
      <c r="A1756" s="2" t="str">
        <f ca="1">IFERROR(__xludf.DUMMYFUNCTION("""COMPUTED_VALUE"""),"d5047f7a")</f>
        <v>d5047f7a</v>
      </c>
      <c r="B1756" s="5">
        <f ca="1">IFERROR(__xludf.DUMMYFUNCTION("""COMPUTED_VALUE"""),46157.4765393518)</f>
        <v>46157.476539351803</v>
      </c>
      <c r="C1756" s="2" t="str">
        <f ca="1">IFERROR(__xludf.DUMMYFUNCTION("""COMPUTED_VALUE"""),"8ee1438e")</f>
        <v>8ee1438e</v>
      </c>
      <c r="D1756" s="2">
        <f ca="1">IFERROR(__xludf.DUMMYFUNCTION("""COMPUTED_VALUE"""),127)</f>
        <v>127</v>
      </c>
      <c r="E1756" s="2" t="str">
        <f ca="1">IFERROR(__xludf.DUMMYFUNCTION("""COMPUTED_VALUE"""),"Criolla Vol")</f>
        <v>Criolla Vol</v>
      </c>
      <c r="F1756" s="2">
        <f ca="1">IFERROR(__xludf.DUMMYFUNCTION("""COMPUTED_VALUE"""),19700)</f>
        <v>19700</v>
      </c>
      <c r="G1756" s="2">
        <f ca="1">IFERROR(__xludf.DUMMYFUNCTION("""COMPUTED_VALUE"""),36)</f>
        <v>36</v>
      </c>
      <c r="H1756" s="2"/>
      <c r="I1756" s="2"/>
      <c r="J1756" s="2">
        <f ca="1">IFERROR(__xludf.DUMMYFUNCTION("""COMPUTED_VALUE"""),0)</f>
        <v>0</v>
      </c>
      <c r="K1756" s="2">
        <f ca="1">IFERROR(__xludf.DUMMYFUNCTION("""COMPUTED_VALUE"""),19700)</f>
        <v>19700</v>
      </c>
      <c r="L1756" s="2" t="str">
        <f ca="1">IFERROR(__xludf.DUMMYFUNCTION("""COMPUTED_VALUE"""),"fc498499")</f>
        <v>fc498499</v>
      </c>
      <c r="M1756" s="2" t="str">
        <f ca="1">IFERROR(__xludf.DUMMYFUNCTION("""COMPUTED_VALUE"""),"Criolla Vol")</f>
        <v>Criolla Vol</v>
      </c>
      <c r="N1756" s="2"/>
      <c r="O1756" s="2" t="str">
        <f ca="1">IFERROR(__xludf.DUMMYFUNCTION("""COMPUTED_VALUE"""),"Descubada")</f>
        <v>Descubada</v>
      </c>
      <c r="P1756" s="2"/>
      <c r="Q1756" s="2" t="b">
        <f ca="1">IFERROR(__xludf.DUMMYFUNCTION("""COMPUTED_VALUE"""),FALSE)</f>
        <v>0</v>
      </c>
      <c r="R1756" s="2" t="str">
        <f ca="1">IFERROR(__xludf.DUMMYFUNCTION("""COMPUTED_VALUE"""),"Rectificado")</f>
        <v>Rectificado</v>
      </c>
      <c r="S1756" s="2"/>
      <c r="T1756" s="2"/>
      <c r="U1756" s="2" t="str">
        <f ca="1">IFERROR(__xludf.DUMMYFUNCTION("""COMPUTED_VALUE"""),"1-")</f>
        <v>1-</v>
      </c>
    </row>
    <row r="1757" spans="1:21" x14ac:dyDescent="0.25">
      <c r="A1757" s="2" t="str">
        <f ca="1">IFERROR(__xludf.DUMMYFUNCTION("""COMPUTED_VALUE"""),"3b80debe")</f>
        <v>3b80debe</v>
      </c>
      <c r="B1757" s="5">
        <f ca="1">IFERROR(__xludf.DUMMYFUNCTION("""COMPUTED_VALUE"""),46157.6951041666)</f>
        <v>46157.695104166603</v>
      </c>
      <c r="C1757" s="2" t="str">
        <f ca="1">IFERROR(__xludf.DUMMYFUNCTION("""COMPUTED_VALUE"""),"072a8a51")</f>
        <v>072a8a51</v>
      </c>
      <c r="D1757" s="2">
        <f ca="1">IFERROR(__xludf.DUMMYFUNCTION("""COMPUTED_VALUE"""),25)</f>
        <v>25</v>
      </c>
      <c r="E1757" s="2" t="str">
        <f ca="1">IFERROR(__xludf.DUMMYFUNCTION("""COMPUTED_VALUE"""),"Malbec")</f>
        <v>Malbec</v>
      </c>
      <c r="F1757" s="2">
        <f ca="1">IFERROR(__xludf.DUMMYFUNCTION("""COMPUTED_VALUE"""),16600)</f>
        <v>16600</v>
      </c>
      <c r="G1757" s="2">
        <f ca="1">IFERROR(__xludf.DUMMYFUNCTION("""COMPUTED_VALUE"""),84)</f>
        <v>84</v>
      </c>
      <c r="H1757" s="2" t="str">
        <f ca="1">IFERROR(__xludf.DUMMYFUNCTION("""COMPUTED_VALUE"""),"d89e9a7b")</f>
        <v>d89e9a7b</v>
      </c>
      <c r="I1757" s="2" t="str">
        <f ca="1">IFERROR(__xludf.DUMMYFUNCTION("""COMPUTED_VALUE"""),"Malbec pc")</f>
        <v>Malbec pc</v>
      </c>
      <c r="J1757" s="2">
        <f ca="1">IFERROR(__xludf.DUMMYFUNCTION("""COMPUTED_VALUE"""),66400)</f>
        <v>66400</v>
      </c>
      <c r="K1757" s="2">
        <f ca="1">IFERROR(__xludf.DUMMYFUNCTION("""COMPUTED_VALUE"""),83000)</f>
        <v>83000</v>
      </c>
      <c r="L1757" s="2" t="str">
        <f ca="1">IFERROR(__xludf.DUMMYFUNCTION("""COMPUTED_VALUE"""),"ed49752c")</f>
        <v>ed49752c</v>
      </c>
      <c r="M1757" s="2" t="str">
        <f ca="1">IFERROR(__xludf.DUMMYFUNCTION("""COMPUTED_VALUE"""),"Malbec pc")</f>
        <v>Malbec pc</v>
      </c>
      <c r="N1757" s="2"/>
      <c r="O1757" s="2" t="str">
        <f ca="1">IFERROR(__xludf.DUMMYFUNCTION("""COMPUTED_VALUE"""),"Descubada")</f>
        <v>Descubada</v>
      </c>
      <c r="P1757" s="2" t="str">
        <f ca="1">IFERROR(__xludf.DUMMYFUNCTION("""COMPUTED_VALUE"""),"1er Trasiego")</f>
        <v>1er Trasiego</v>
      </c>
      <c r="Q1757" s="2" t="b">
        <f ca="1">IFERROR(__xludf.DUMMYFUNCTION("""COMPUTED_VALUE"""),TRUE)</f>
        <v>1</v>
      </c>
      <c r="R1757" s="2" t="str">
        <f ca="1">IFERROR(__xludf.DUMMYFUNCTION("""COMPUTED_VALUE"""),"1er Trasiego")</f>
        <v>1er Trasiego</v>
      </c>
      <c r="S1757" s="2"/>
      <c r="T1757" s="2"/>
      <c r="U1757" s="2" t="str">
        <f ca="1">IFERROR(__xludf.DUMMYFUNCTION("""COMPUTED_VALUE"""),"1+")</f>
        <v>1+</v>
      </c>
    </row>
    <row r="1758" spans="1:21" x14ac:dyDescent="0.25">
      <c r="A1758" s="2" t="str">
        <f ca="1">IFERROR(__xludf.DUMMYFUNCTION("""COMPUTED_VALUE"""),"e3c8135c")</f>
        <v>e3c8135c</v>
      </c>
      <c r="B1758" s="5">
        <f ca="1">IFERROR(__xludf.DUMMYFUNCTION("""COMPUTED_VALUE"""),46157.7075694444)</f>
        <v>46157.707569444399</v>
      </c>
      <c r="C1758" s="2" t="str">
        <f ca="1">IFERROR(__xludf.DUMMYFUNCTION("""COMPUTED_VALUE"""),"ed49752c")</f>
        <v>ed49752c</v>
      </c>
      <c r="D1758" s="2">
        <f ca="1">IFERROR(__xludf.DUMMYFUNCTION("""COMPUTED_VALUE"""),84)</f>
        <v>84</v>
      </c>
      <c r="E1758" s="2" t="str">
        <f ca="1">IFERROR(__xludf.DUMMYFUNCTION("""COMPUTED_VALUE"""),"Malbec pc")</f>
        <v>Malbec pc</v>
      </c>
      <c r="F1758" s="2">
        <f ca="1">IFERROR(__xludf.DUMMYFUNCTION("""COMPUTED_VALUE"""),40000)</f>
        <v>40000</v>
      </c>
      <c r="G1758" s="2">
        <f ca="1">IFERROR(__xludf.DUMMYFUNCTION("""COMPUTED_VALUE"""),85)</f>
        <v>85</v>
      </c>
      <c r="H1758" s="2"/>
      <c r="I1758" s="2"/>
      <c r="J1758" s="2">
        <f ca="1">IFERROR(__xludf.DUMMYFUNCTION("""COMPUTED_VALUE"""),0)</f>
        <v>0</v>
      </c>
      <c r="K1758" s="2">
        <f ca="1">IFERROR(__xludf.DUMMYFUNCTION("""COMPUTED_VALUE"""),40000)</f>
        <v>40000</v>
      </c>
      <c r="L1758" s="2" t="str">
        <f ca="1">IFERROR(__xludf.DUMMYFUNCTION("""COMPUTED_VALUE"""),"efc339be")</f>
        <v>efc339be</v>
      </c>
      <c r="M1758" s="2" t="str">
        <f ca="1">IFERROR(__xludf.DUMMYFUNCTION("""COMPUTED_VALUE"""),"Malbec pc")</f>
        <v>Malbec pc</v>
      </c>
      <c r="N1758" s="2"/>
      <c r="O1758" s="2" t="str">
        <f ca="1">IFERROR(__xludf.DUMMYFUNCTION("""COMPUTED_VALUE"""),"1er Trasiego")</f>
        <v>1er Trasiego</v>
      </c>
      <c r="P1758" s="2"/>
      <c r="Q1758" s="2" t="b">
        <f ca="1">IFERROR(__xludf.DUMMYFUNCTION("""COMPUTED_VALUE"""),FALSE)</f>
        <v>0</v>
      </c>
      <c r="R1758" s="2" t="str">
        <f ca="1">IFERROR(__xludf.DUMMYFUNCTION("""COMPUTED_VALUE"""),"1er Trasiego")</f>
        <v>1er Trasiego</v>
      </c>
      <c r="S1758" s="2"/>
      <c r="T1758" s="2"/>
      <c r="U1758" s="2" t="str">
        <f ca="1">IFERROR(__xludf.DUMMYFUNCTION("""COMPUTED_VALUE"""),"1+")</f>
        <v>1+</v>
      </c>
    </row>
    <row r="1759" spans="1:21" x14ac:dyDescent="0.25">
      <c r="A1759" s="2" t="str">
        <f ca="1">IFERROR(__xludf.DUMMYFUNCTION("""COMPUTED_VALUE"""),"d246dc74")</f>
        <v>d246dc74</v>
      </c>
      <c r="B1759" s="5">
        <f ca="1">IFERROR(__xludf.DUMMYFUNCTION("""COMPUTED_VALUE"""),46157.7084375)</f>
        <v>46157.708437499998</v>
      </c>
      <c r="C1759" s="2" t="str">
        <f ca="1">IFERROR(__xludf.DUMMYFUNCTION("""COMPUTED_VALUE"""),"1ec5d4ff")</f>
        <v>1ec5d4ff</v>
      </c>
      <c r="D1759" s="2">
        <f ca="1">IFERROR(__xludf.DUMMYFUNCTION("""COMPUTED_VALUE"""),115)</f>
        <v>115</v>
      </c>
      <c r="E1759" s="2" t="str">
        <f ca="1">IFERROR(__xludf.DUMMYFUNCTION("""COMPUTED_VALUE"""),"Malbec pc")</f>
        <v>Malbec pc</v>
      </c>
      <c r="F1759" s="2">
        <f ca="1">IFERROR(__xludf.DUMMYFUNCTION("""COMPUTED_VALUE"""),44000)</f>
        <v>44000</v>
      </c>
      <c r="G1759" s="2">
        <f ca="1">IFERROR(__xludf.DUMMYFUNCTION("""COMPUTED_VALUE"""),85)</f>
        <v>85</v>
      </c>
      <c r="H1759" s="2" t="str">
        <f ca="1">IFERROR(__xludf.DUMMYFUNCTION("""COMPUTED_VALUE"""),"efc339be")</f>
        <v>efc339be</v>
      </c>
      <c r="I1759" s="2" t="str">
        <f ca="1">IFERROR(__xludf.DUMMYFUNCTION("""COMPUTED_VALUE"""),"Malbec pc")</f>
        <v>Malbec pc</v>
      </c>
      <c r="J1759" s="2">
        <f ca="1">IFERROR(__xludf.DUMMYFUNCTION("""COMPUTED_VALUE"""),40000)</f>
        <v>40000</v>
      </c>
      <c r="K1759" s="2">
        <f ca="1">IFERROR(__xludf.DUMMYFUNCTION("""COMPUTED_VALUE"""),84000)</f>
        <v>84000</v>
      </c>
      <c r="L1759" s="2" t="str">
        <f ca="1">IFERROR(__xludf.DUMMYFUNCTION("""COMPUTED_VALUE"""),"7ec3170e")</f>
        <v>7ec3170e</v>
      </c>
      <c r="M1759" s="2" t="str">
        <f ca="1">IFERROR(__xludf.DUMMYFUNCTION("""COMPUTED_VALUE"""),"Malbec pc")</f>
        <v>Malbec pc</v>
      </c>
      <c r="N1759" s="2"/>
      <c r="O1759" s="2" t="str">
        <f ca="1">IFERROR(__xludf.DUMMYFUNCTION("""COMPUTED_VALUE"""),"1er Trasiego")</f>
        <v>1er Trasiego</v>
      </c>
      <c r="P1759" s="2" t="str">
        <f ca="1">IFERROR(__xludf.DUMMYFUNCTION("""COMPUTED_VALUE"""),"1er Trasiego")</f>
        <v>1er Trasiego</v>
      </c>
      <c r="Q1759" s="2" t="b">
        <f ca="1">IFERROR(__xludf.DUMMYFUNCTION("""COMPUTED_VALUE"""),TRUE)</f>
        <v>1</v>
      </c>
      <c r="R1759" s="2" t="str">
        <f ca="1">IFERROR(__xludf.DUMMYFUNCTION("""COMPUTED_VALUE"""),"1er Trasiego")</f>
        <v>1er Trasiego</v>
      </c>
      <c r="S1759" s="2"/>
      <c r="T1759" s="2"/>
      <c r="U1759" s="2" t="str">
        <f ca="1">IFERROR(__xludf.DUMMYFUNCTION("""COMPUTED_VALUE"""),"1+")</f>
        <v>1+</v>
      </c>
    </row>
    <row r="1760" spans="1:21" x14ac:dyDescent="0.25">
      <c r="A1760" s="2" t="str">
        <f ca="1">IFERROR(__xludf.DUMMYFUNCTION("""COMPUTED_VALUE"""),"0c8045ba")</f>
        <v>0c8045ba</v>
      </c>
      <c r="B1760" s="5">
        <f ca="1">IFERROR(__xludf.DUMMYFUNCTION("""COMPUTED_VALUE"""),46157.7087962963)</f>
        <v>46157.708796296298</v>
      </c>
      <c r="C1760" s="2" t="str">
        <f ca="1">IFERROR(__xludf.DUMMYFUNCTION("""COMPUTED_VALUE"""),"2e2886b4")</f>
        <v>2e2886b4</v>
      </c>
      <c r="D1760" s="2">
        <f ca="1">IFERROR(__xludf.DUMMYFUNCTION("""COMPUTED_VALUE"""),116)</f>
        <v>116</v>
      </c>
      <c r="E1760" s="2" t="str">
        <f ca="1">IFERROR(__xludf.DUMMYFUNCTION("""COMPUTED_VALUE"""),"Bonarda")</f>
        <v>Bonarda</v>
      </c>
      <c r="F1760" s="2">
        <f ca="1">IFERROR(__xludf.DUMMYFUNCTION("""COMPUTED_VALUE"""),44000)</f>
        <v>44000</v>
      </c>
      <c r="G1760" s="2">
        <f ca="1">IFERROR(__xludf.DUMMYFUNCTION("""COMPUTED_VALUE"""),115)</f>
        <v>115</v>
      </c>
      <c r="H1760" s="2" t="str">
        <f ca="1">IFERROR(__xludf.DUMMYFUNCTION("""COMPUTED_VALUE"""),"1ec5d4ff")</f>
        <v>1ec5d4ff</v>
      </c>
      <c r="I1760" s="2" t="str">
        <f ca="1">IFERROR(__xludf.DUMMYFUNCTION("""COMPUTED_VALUE"""),"Malbec pc")</f>
        <v>Malbec pc</v>
      </c>
      <c r="J1760" s="2">
        <f ca="1">IFERROR(__xludf.DUMMYFUNCTION("""COMPUTED_VALUE"""),76200)</f>
        <v>76200</v>
      </c>
      <c r="K1760" s="2">
        <f ca="1">IFERROR(__xludf.DUMMYFUNCTION("""COMPUTED_VALUE"""),120200)</f>
        <v>120200</v>
      </c>
      <c r="L1760" s="2" t="str">
        <f ca="1">IFERROR(__xludf.DUMMYFUNCTION("""COMPUTED_VALUE"""),"bd824973")</f>
        <v>bd824973</v>
      </c>
      <c r="M1760" s="2" t="str">
        <f ca="1">IFERROR(__xludf.DUMMYFUNCTION("""COMPUTED_VALUE"""),"Malbec pc")</f>
        <v>Malbec pc</v>
      </c>
      <c r="N1760" s="2"/>
      <c r="O1760" s="2" t="str">
        <f ca="1">IFERROR(__xludf.DUMMYFUNCTION("""COMPUTED_VALUE"""),"Descubada")</f>
        <v>Descubada</v>
      </c>
      <c r="P1760" s="2" t="str">
        <f ca="1">IFERROR(__xludf.DUMMYFUNCTION("""COMPUTED_VALUE"""),"1er Trasiego")</f>
        <v>1er Trasiego</v>
      </c>
      <c r="Q1760" s="2" t="b">
        <f ca="1">IFERROR(__xludf.DUMMYFUNCTION("""COMPUTED_VALUE"""),TRUE)</f>
        <v>1</v>
      </c>
      <c r="R1760" s="2" t="str">
        <f ca="1">IFERROR(__xludf.DUMMYFUNCTION("""COMPUTED_VALUE"""),"1er Trasiego")</f>
        <v>1er Trasiego</v>
      </c>
      <c r="S1760" s="2"/>
      <c r="T1760" s="2"/>
      <c r="U1760" s="2" t="str">
        <f ca="1">IFERROR(__xludf.DUMMYFUNCTION("""COMPUTED_VALUE"""),"1+")</f>
        <v>1+</v>
      </c>
    </row>
    <row r="1761" spans="1:21" x14ac:dyDescent="0.25">
      <c r="A1761" s="2" t="str">
        <f ca="1">IFERROR(__xludf.DUMMYFUNCTION("""COMPUTED_VALUE"""),"4edc89c2")</f>
        <v>4edc89c2</v>
      </c>
      <c r="B1761" s="5">
        <f ca="1">IFERROR(__xludf.DUMMYFUNCTION("""COMPUTED_VALUE"""),46157.7097106481)</f>
        <v>46157.709710648101</v>
      </c>
      <c r="C1761" s="2" t="str">
        <f ca="1">IFERROR(__xludf.DUMMYFUNCTION("""COMPUTED_VALUE"""),"2e2886b4")</f>
        <v>2e2886b4</v>
      </c>
      <c r="D1761" s="2">
        <f ca="1">IFERROR(__xludf.DUMMYFUNCTION("""COMPUTED_VALUE"""),116)</f>
        <v>116</v>
      </c>
      <c r="E1761" s="2" t="str">
        <f ca="1">IFERROR(__xludf.DUMMYFUNCTION("""COMPUTED_VALUE"""),"Bonarda")</f>
        <v>Bonarda</v>
      </c>
      <c r="F1761" s="2">
        <f ca="1">IFERROR(__xludf.DUMMYFUNCTION("""COMPUTED_VALUE"""),13400)</f>
        <v>13400</v>
      </c>
      <c r="G1761" s="2">
        <f ca="1">IFERROR(__xludf.DUMMYFUNCTION("""COMPUTED_VALUE"""),500)</f>
        <v>500</v>
      </c>
      <c r="H1761" s="2" t="str">
        <f ca="1">IFERROR(__xludf.DUMMYFUNCTION("""COMPUTED_VALUE"""),"a9bc2dea")</f>
        <v>a9bc2dea</v>
      </c>
      <c r="I1761" s="2" t="str">
        <f ca="1">IFERROR(__xludf.DUMMYFUNCTION("""COMPUTED_VALUE"""),"AJUSTE COSECHA 2026")</f>
        <v>AJUSTE COSECHA 2026</v>
      </c>
      <c r="J1761" s="2">
        <f ca="1">IFERROR(__xludf.DUMMYFUNCTION("""COMPUTED_VALUE"""),34120)</f>
        <v>34120</v>
      </c>
      <c r="K1761" s="2">
        <f ca="1">IFERROR(__xludf.DUMMYFUNCTION("""COMPUTED_VALUE"""),47520)</f>
        <v>47520</v>
      </c>
      <c r="L1761" s="2" t="str">
        <f ca="1">IFERROR(__xludf.DUMMYFUNCTION("""COMPUTED_VALUE"""),"b95c7e74")</f>
        <v>b95c7e74</v>
      </c>
      <c r="M1761" s="2" t="str">
        <f ca="1">IFERROR(__xludf.DUMMYFUNCTION("""COMPUTED_VALUE"""),"AJUSTE COSECHA 2026")</f>
        <v>AJUSTE COSECHA 2026</v>
      </c>
      <c r="N1761" s="2"/>
      <c r="O1761" s="2" t="str">
        <f ca="1">IFERROR(__xludf.DUMMYFUNCTION("""COMPUTED_VALUE"""),"Descubada")</f>
        <v>Descubada</v>
      </c>
      <c r="P1761" s="2" t="str">
        <f ca="1">IFERROR(__xludf.DUMMYFUNCTION("""COMPUTED_VALUE"""),"Terminado")</f>
        <v>Terminado</v>
      </c>
      <c r="Q1761" s="2" t="b">
        <f ca="1">IFERROR(__xludf.DUMMYFUNCTION("""COMPUTED_VALUE"""),TRUE)</f>
        <v>1</v>
      </c>
      <c r="R1761" s="2" t="str">
        <f ca="1">IFERROR(__xludf.DUMMYFUNCTION("""COMPUTED_VALUE"""),"Terminado")</f>
        <v>Terminado</v>
      </c>
      <c r="S1761" s="2"/>
      <c r="T1761" s="2"/>
      <c r="U1761" s="2" t="str">
        <f ca="1">IFERROR(__xludf.DUMMYFUNCTION("""COMPUTED_VALUE"""),"1")</f>
        <v>1</v>
      </c>
    </row>
    <row r="1762" spans="1:21" x14ac:dyDescent="0.25">
      <c r="A1762" s="2" t="str">
        <f ca="1">IFERROR(__xludf.DUMMYFUNCTION("""COMPUTED_VALUE"""),"0893d58c")</f>
        <v>0893d58c</v>
      </c>
      <c r="B1762" s="5">
        <f ca="1">IFERROR(__xludf.DUMMYFUNCTION("""COMPUTED_VALUE"""),46157.7104398148)</f>
        <v>46157.7104398148</v>
      </c>
      <c r="C1762" s="2" t="str">
        <f ca="1">IFERROR(__xludf.DUMMYFUNCTION("""COMPUTED_VALUE"""),"072a8a51")</f>
        <v>072a8a51</v>
      </c>
      <c r="D1762" s="2">
        <f ca="1">IFERROR(__xludf.DUMMYFUNCTION("""COMPUTED_VALUE"""),25)</f>
        <v>25</v>
      </c>
      <c r="E1762" s="2" t="str">
        <f ca="1">IFERROR(__xludf.DUMMYFUNCTION("""COMPUTED_VALUE"""),"Malbec")</f>
        <v>Malbec</v>
      </c>
      <c r="F1762" s="2">
        <f ca="1">IFERROR(__xludf.DUMMYFUNCTION("""COMPUTED_VALUE"""),99600)</f>
        <v>99600</v>
      </c>
      <c r="G1762" s="2">
        <f ca="1">IFERROR(__xludf.DUMMYFUNCTION("""COMPUTED_VALUE"""),116)</f>
        <v>116</v>
      </c>
      <c r="H1762" s="2"/>
      <c r="I1762" s="2"/>
      <c r="J1762" s="2">
        <f ca="1">IFERROR(__xludf.DUMMYFUNCTION("""COMPUTED_VALUE"""),0)</f>
        <v>0</v>
      </c>
      <c r="K1762" s="2">
        <f ca="1">IFERROR(__xludf.DUMMYFUNCTION("""COMPUTED_VALUE"""),99600)</f>
        <v>99600</v>
      </c>
      <c r="L1762" s="2" t="str">
        <f ca="1">IFERROR(__xludf.DUMMYFUNCTION("""COMPUTED_VALUE"""),"606a2ad7")</f>
        <v>606a2ad7</v>
      </c>
      <c r="M1762" s="2" t="str">
        <f ca="1">IFERROR(__xludf.DUMMYFUNCTION("""COMPUTED_VALUE"""),"Malbec")</f>
        <v>Malbec</v>
      </c>
      <c r="N1762" s="2"/>
      <c r="O1762" s="2" t="str">
        <f ca="1">IFERROR(__xludf.DUMMYFUNCTION("""COMPUTED_VALUE"""),"Descubada")</f>
        <v>Descubada</v>
      </c>
      <c r="P1762" s="2"/>
      <c r="Q1762" s="2" t="b">
        <f ca="1">IFERROR(__xludf.DUMMYFUNCTION("""COMPUTED_VALUE"""),FALSE)</f>
        <v>0</v>
      </c>
      <c r="R1762" s="2" t="str">
        <f ca="1">IFERROR(__xludf.DUMMYFUNCTION("""COMPUTED_VALUE"""),"1er Trasiego")</f>
        <v>1er Trasiego</v>
      </c>
      <c r="S1762" s="2"/>
      <c r="T1762" s="2"/>
      <c r="U1762" s="2" t="str">
        <f ca="1">IFERROR(__xludf.DUMMYFUNCTION("""COMPUTED_VALUE"""),"1")</f>
        <v>1</v>
      </c>
    </row>
    <row r="1763" spans="1:21" x14ac:dyDescent="0.25">
      <c r="A1763" s="2" t="str">
        <f ca="1">IFERROR(__xludf.DUMMYFUNCTION("""COMPUTED_VALUE"""),"4e8161b5")</f>
        <v>4e8161b5</v>
      </c>
      <c r="B1763" s="5">
        <f ca="1">IFERROR(__xludf.DUMMYFUNCTION("""COMPUTED_VALUE"""),46157.7425578703)</f>
        <v>46157.742557870297</v>
      </c>
      <c r="C1763" s="2" t="str">
        <f ca="1">IFERROR(__xludf.DUMMYFUNCTION("""COMPUTED_VALUE"""),"8a8cc2d8")</f>
        <v>8a8cc2d8</v>
      </c>
      <c r="D1763" s="2">
        <f ca="1">IFERROR(__xludf.DUMMYFUNCTION("""COMPUTED_VALUE"""),110)</f>
        <v>110</v>
      </c>
      <c r="E1763" s="2" t="str">
        <f ca="1">IFERROR(__xludf.DUMMYFUNCTION("""COMPUTED_VALUE"""),"Syrah Malbec s/Asp 2")</f>
        <v>Syrah Malbec s/Asp 2</v>
      </c>
      <c r="F1763" s="2">
        <f ca="1">IFERROR(__xludf.DUMMYFUNCTION("""COMPUTED_VALUE"""),15600)</f>
        <v>15600</v>
      </c>
      <c r="G1763" s="2">
        <f ca="1">IFERROR(__xludf.DUMMYFUNCTION("""COMPUTED_VALUE"""),108)</f>
        <v>108</v>
      </c>
      <c r="H1763" s="2" t="str">
        <f ca="1">IFERROR(__xludf.DUMMYFUNCTION("""COMPUTED_VALUE"""),"775addbb")</f>
        <v>775addbb</v>
      </c>
      <c r="I1763" s="2" t="str">
        <f ca="1">IFERROR(__xludf.DUMMYFUNCTION("""COMPUTED_VALUE"""),"Syrah Malbec s/Asp 2")</f>
        <v>Syrah Malbec s/Asp 2</v>
      </c>
      <c r="J1763" s="2">
        <f ca="1">IFERROR(__xludf.DUMMYFUNCTION("""COMPUTED_VALUE"""),15000)</f>
        <v>15000</v>
      </c>
      <c r="K1763" s="2">
        <f ca="1">IFERROR(__xludf.DUMMYFUNCTION("""COMPUTED_VALUE"""),30600)</f>
        <v>30600</v>
      </c>
      <c r="L1763" s="2" t="str">
        <f ca="1">IFERROR(__xludf.DUMMYFUNCTION("""COMPUTED_VALUE"""),"4f56ab94")</f>
        <v>4f56ab94</v>
      </c>
      <c r="M1763" s="2" t="str">
        <f ca="1">IFERROR(__xludf.DUMMYFUNCTION("""COMPUTED_VALUE"""),"Syrah Malbec s/Asp 2")</f>
        <v>Syrah Malbec s/Asp 2</v>
      </c>
      <c r="N1763" s="2"/>
      <c r="O1763" s="2" t="str">
        <f ca="1">IFERROR(__xludf.DUMMYFUNCTION("""COMPUTED_VALUE"""),"Descubada")</f>
        <v>Descubada</v>
      </c>
      <c r="P1763" s="2" t="str">
        <f ca="1">IFERROR(__xludf.DUMMYFUNCTION("""COMPUTED_VALUE"""),"1er Trasiego")</f>
        <v>1er Trasiego</v>
      </c>
      <c r="Q1763" s="2" t="b">
        <f ca="1">IFERROR(__xludf.DUMMYFUNCTION("""COMPUTED_VALUE"""),TRUE)</f>
        <v>1</v>
      </c>
      <c r="R1763" s="2" t="str">
        <f ca="1">IFERROR(__xludf.DUMMYFUNCTION("""COMPUTED_VALUE"""),"1er Trasiego")</f>
        <v>1er Trasiego</v>
      </c>
      <c r="S1763" s="2"/>
      <c r="T1763" s="2"/>
      <c r="U1763" s="2"/>
    </row>
    <row r="1764" spans="1:21" x14ac:dyDescent="0.25">
      <c r="A1764" s="2" t="str">
        <f ca="1">IFERROR(__xludf.DUMMYFUNCTION("""COMPUTED_VALUE"""),"739ce885")</f>
        <v>739ce885</v>
      </c>
      <c r="B1764" s="5">
        <f ca="1">IFERROR(__xludf.DUMMYFUNCTION("""COMPUTED_VALUE"""),46157.7454629629)</f>
        <v>46157.745462962899</v>
      </c>
      <c r="C1764" s="2" t="str">
        <f ca="1">IFERROR(__xludf.DUMMYFUNCTION("""COMPUTED_VALUE"""),"8ee1438e")</f>
        <v>8ee1438e</v>
      </c>
      <c r="D1764" s="2">
        <f ca="1">IFERROR(__xludf.DUMMYFUNCTION("""COMPUTED_VALUE"""),127)</f>
        <v>127</v>
      </c>
      <c r="E1764" s="2" t="str">
        <f ca="1">IFERROR(__xludf.DUMMYFUNCTION("""COMPUTED_VALUE"""),"Criolla Vol")</f>
        <v>Criolla Vol</v>
      </c>
      <c r="F1764" s="2">
        <f ca="1">IFERROR(__xludf.DUMMYFUNCTION("""COMPUTED_VALUE"""),6600)</f>
        <v>6600</v>
      </c>
      <c r="G1764" s="2">
        <f ca="1">IFERROR(__xludf.DUMMYFUNCTION("""COMPUTED_VALUE"""),34)</f>
        <v>34</v>
      </c>
      <c r="H1764" s="2" t="str">
        <f ca="1">IFERROR(__xludf.DUMMYFUNCTION("""COMPUTED_VALUE"""),"4c8bfcfe")</f>
        <v>4c8bfcfe</v>
      </c>
      <c r="I1764" s="2" t="str">
        <f ca="1">IFERROR(__xludf.DUMMYFUNCTION("""COMPUTED_VALUE"""),"Criolla")</f>
        <v>Criolla</v>
      </c>
      <c r="J1764" s="2">
        <f ca="1">IFERROR(__xludf.DUMMYFUNCTION("""COMPUTED_VALUE"""),32900)</f>
        <v>32900</v>
      </c>
      <c r="K1764" s="2">
        <f ca="1">IFERROR(__xludf.DUMMYFUNCTION("""COMPUTED_VALUE"""),39500)</f>
        <v>39500</v>
      </c>
      <c r="L1764" s="2" t="str">
        <f ca="1">IFERROR(__xludf.DUMMYFUNCTION("""COMPUTED_VALUE"""),"20d24f3c")</f>
        <v>20d24f3c</v>
      </c>
      <c r="M1764" s="2" t="str">
        <f ca="1">IFERROR(__xludf.DUMMYFUNCTION("""COMPUTED_VALUE"""),"Criolla")</f>
        <v>Criolla</v>
      </c>
      <c r="N1764" s="2"/>
      <c r="O1764" s="2" t="str">
        <f ca="1">IFERROR(__xludf.DUMMYFUNCTION("""COMPUTED_VALUE"""),"Rectificado")</f>
        <v>Rectificado</v>
      </c>
      <c r="P1764" s="2" t="str">
        <f ca="1">IFERROR(__xludf.DUMMYFUNCTION("""COMPUTED_VALUE"""),"Descubada")</f>
        <v>Descubada</v>
      </c>
      <c r="Q1764" s="2" t="b">
        <f ca="1">IFERROR(__xludf.DUMMYFUNCTION("""COMPUTED_VALUE"""),TRUE)</f>
        <v>1</v>
      </c>
      <c r="R1764" s="2" t="str">
        <f ca="1">IFERROR(__xludf.DUMMYFUNCTION("""COMPUTED_VALUE"""),"Descubada")</f>
        <v>Descubada</v>
      </c>
      <c r="S1764" s="2"/>
      <c r="T1764" s="2"/>
      <c r="U1764" s="2" t="str">
        <f ca="1">IFERROR(__xludf.DUMMYFUNCTION("""COMPUTED_VALUE"""),"1")</f>
        <v>1</v>
      </c>
    </row>
    <row r="1765" spans="1:21" x14ac:dyDescent="0.25">
      <c r="A1765" s="2" t="str">
        <f ca="1">IFERROR(__xludf.DUMMYFUNCTION("""COMPUTED_VALUE"""),"b817b8db")</f>
        <v>b817b8db</v>
      </c>
      <c r="B1765" s="5">
        <f ca="1">IFERROR(__xludf.DUMMYFUNCTION("""COMPUTED_VALUE"""),46157.7460300925)</f>
        <v>46157.746030092501</v>
      </c>
      <c r="C1765" s="2" t="str">
        <f ca="1">IFERROR(__xludf.DUMMYFUNCTION("""COMPUTED_VALUE"""),"8ee1438e")</f>
        <v>8ee1438e</v>
      </c>
      <c r="D1765" s="2">
        <f ca="1">IFERROR(__xludf.DUMMYFUNCTION("""COMPUTED_VALUE"""),127)</f>
        <v>127</v>
      </c>
      <c r="E1765" s="2" t="str">
        <f ca="1">IFERROR(__xludf.DUMMYFUNCTION("""COMPUTED_VALUE"""),"Criolla Vol")</f>
        <v>Criolla Vol</v>
      </c>
      <c r="F1765" s="2">
        <f ca="1">IFERROR(__xludf.DUMMYFUNCTION("""COMPUTED_VALUE"""),4700)</f>
        <v>4700</v>
      </c>
      <c r="G1765" s="2">
        <f ca="1">IFERROR(__xludf.DUMMYFUNCTION("""COMPUTED_VALUE"""),52)</f>
        <v>52</v>
      </c>
      <c r="H1765" s="2"/>
      <c r="I1765" s="2"/>
      <c r="J1765" s="2">
        <f ca="1">IFERROR(__xludf.DUMMYFUNCTION("""COMPUTED_VALUE"""),0)</f>
        <v>0</v>
      </c>
      <c r="K1765" s="2">
        <f ca="1">IFERROR(__xludf.DUMMYFUNCTION("""COMPUTED_VALUE"""),4700)</f>
        <v>4700</v>
      </c>
      <c r="L1765" s="2" t="str">
        <f ca="1">IFERROR(__xludf.DUMMYFUNCTION("""COMPUTED_VALUE"""),"cf52dbc2")</f>
        <v>cf52dbc2</v>
      </c>
      <c r="M1765" s="2" t="str">
        <f ca="1">IFERROR(__xludf.DUMMYFUNCTION("""COMPUTED_VALUE"""),"Criolla Vol")</f>
        <v>Criolla Vol</v>
      </c>
      <c r="N1765" s="2"/>
      <c r="O1765" s="2" t="str">
        <f ca="1">IFERROR(__xludf.DUMMYFUNCTION("""COMPUTED_VALUE"""),"Descubada")</f>
        <v>Descubada</v>
      </c>
      <c r="P1765" s="2"/>
      <c r="Q1765" s="2" t="b">
        <f ca="1">IFERROR(__xludf.DUMMYFUNCTION("""COMPUTED_VALUE"""),FALSE)</f>
        <v>0</v>
      </c>
      <c r="R1765" s="2" t="str">
        <f ca="1">IFERROR(__xludf.DUMMYFUNCTION("""COMPUTED_VALUE"""),"Rectificado")</f>
        <v>Rectificado</v>
      </c>
      <c r="S1765" s="2"/>
      <c r="T1765" s="2"/>
      <c r="U1765" s="2" t="str">
        <f ca="1">IFERROR(__xludf.DUMMYFUNCTION("""COMPUTED_VALUE"""),"1-")</f>
        <v>1-</v>
      </c>
    </row>
    <row r="1766" spans="1:21" x14ac:dyDescent="0.25">
      <c r="A1766" s="2" t="str">
        <f ca="1">IFERROR(__xludf.DUMMYFUNCTION("""COMPUTED_VALUE"""),"65528f41")</f>
        <v>65528f41</v>
      </c>
      <c r="B1766" s="5">
        <f ca="1">IFERROR(__xludf.DUMMYFUNCTION("""COMPUTED_VALUE"""),46157.7483449074)</f>
        <v>46157.748344907399</v>
      </c>
      <c r="C1766" s="2" t="str">
        <f ca="1">IFERROR(__xludf.DUMMYFUNCTION("""COMPUTED_VALUE"""),"a55a2b1c")</f>
        <v>a55a2b1c</v>
      </c>
      <c r="D1766" s="2">
        <f ca="1">IFERROR(__xludf.DUMMYFUNCTION("""COMPUTED_VALUE"""),106)</f>
        <v>106</v>
      </c>
      <c r="E1766" s="2" t="str">
        <f ca="1">IFERROR(__xludf.DUMMYFUNCTION("""COMPUTED_VALUE"""),"Syrah Merlot s/Asp 3")</f>
        <v>Syrah Merlot s/Asp 3</v>
      </c>
      <c r="F1766" s="2">
        <f ca="1">IFERROR(__xludf.DUMMYFUNCTION("""COMPUTED_VALUE"""),7000)</f>
        <v>7000</v>
      </c>
      <c r="G1766" s="2">
        <f ca="1">IFERROR(__xludf.DUMMYFUNCTION("""COMPUTED_VALUE"""),70)</f>
        <v>70</v>
      </c>
      <c r="H1766" s="2" t="str">
        <f ca="1">IFERROR(__xludf.DUMMYFUNCTION("""COMPUTED_VALUE"""),"bcf7be01")</f>
        <v>bcf7be01</v>
      </c>
      <c r="I1766" s="2" t="str">
        <f ca="1">IFERROR(__xludf.DUMMYFUNCTION("""COMPUTED_VALUE"""),"Borra trasiego")</f>
        <v>Borra trasiego</v>
      </c>
      <c r="J1766" s="2">
        <f ca="1">IFERROR(__xludf.DUMMYFUNCTION("""COMPUTED_VALUE"""),800)</f>
        <v>800</v>
      </c>
      <c r="K1766" s="2">
        <f ca="1">IFERROR(__xludf.DUMMYFUNCTION("""COMPUTED_VALUE"""),7800)</f>
        <v>7800</v>
      </c>
      <c r="L1766" s="2" t="str">
        <f ca="1">IFERROR(__xludf.DUMMYFUNCTION("""COMPUTED_VALUE"""),"1fc63228")</f>
        <v>1fc63228</v>
      </c>
      <c r="M1766" s="2" t="str">
        <f ca="1">IFERROR(__xludf.DUMMYFUNCTION("""COMPUTED_VALUE"""),"Borra trasiego")</f>
        <v>Borra trasiego</v>
      </c>
      <c r="N1766" s="2"/>
      <c r="O1766" s="2" t="str">
        <f ca="1">IFERROR(__xludf.DUMMYFUNCTION("""COMPUTED_VALUE"""),"Descubada")</f>
        <v>Descubada</v>
      </c>
      <c r="P1766" s="2" t="str">
        <f ca="1">IFERROR(__xludf.DUMMYFUNCTION("""COMPUTED_VALUE"""),"1er Trasiego")</f>
        <v>1er Trasiego</v>
      </c>
      <c r="Q1766" s="2" t="b">
        <f ca="1">IFERROR(__xludf.DUMMYFUNCTION("""COMPUTED_VALUE"""),TRUE)</f>
        <v>1</v>
      </c>
      <c r="R1766" s="2" t="str">
        <f ca="1">IFERROR(__xludf.DUMMYFUNCTION("""COMPUTED_VALUE"""),"1er Trasiego")</f>
        <v>1er Trasiego</v>
      </c>
      <c r="S1766" s="2"/>
      <c r="T1766" s="2"/>
      <c r="U1766" s="2"/>
    </row>
    <row r="1767" spans="1:21" x14ac:dyDescent="0.25">
      <c r="A1767" s="2" t="str">
        <f ca="1">IFERROR(__xludf.DUMMYFUNCTION("""COMPUTED_VALUE"""),"dc7740fc")</f>
        <v>dc7740fc</v>
      </c>
      <c r="B1767" s="5">
        <f ca="1">IFERROR(__xludf.DUMMYFUNCTION("""COMPUTED_VALUE"""),46160.6739930555)</f>
        <v>46160.673993055498</v>
      </c>
      <c r="C1767" s="2" t="str">
        <f ca="1">IFERROR(__xludf.DUMMYFUNCTION("""COMPUTED_VALUE"""),"072a8a51")</f>
        <v>072a8a51</v>
      </c>
      <c r="D1767" s="2">
        <f ca="1">IFERROR(__xludf.DUMMYFUNCTION("""COMPUTED_VALUE"""),25)</f>
        <v>25</v>
      </c>
      <c r="E1767" s="2" t="str">
        <f ca="1">IFERROR(__xludf.DUMMYFUNCTION("""COMPUTED_VALUE"""),"Malbec")</f>
        <v>Malbec</v>
      </c>
      <c r="F1767" s="2">
        <f ca="1">IFERROR(__xludf.DUMMYFUNCTION("""COMPUTED_VALUE"""),31000)</f>
        <v>31000</v>
      </c>
      <c r="G1767" s="2">
        <f ca="1">IFERROR(__xludf.DUMMYFUNCTION("""COMPUTED_VALUE"""),121)</f>
        <v>121</v>
      </c>
      <c r="H1767" s="2"/>
      <c r="I1767" s="2"/>
      <c r="J1767" s="2">
        <f ca="1">IFERROR(__xludf.DUMMYFUNCTION("""COMPUTED_VALUE"""),0)</f>
        <v>0</v>
      </c>
      <c r="K1767" s="2">
        <f ca="1">IFERROR(__xludf.DUMMYFUNCTION("""COMPUTED_VALUE"""),31000)</f>
        <v>31000</v>
      </c>
      <c r="L1767" s="2" t="str">
        <f ca="1">IFERROR(__xludf.DUMMYFUNCTION("""COMPUTED_VALUE"""),"cc55ff02")</f>
        <v>cc55ff02</v>
      </c>
      <c r="M1767" s="2" t="str">
        <f ca="1">IFERROR(__xludf.DUMMYFUNCTION("""COMPUTED_VALUE"""),"Malbec")</f>
        <v>Malbec</v>
      </c>
      <c r="N1767" s="2"/>
      <c r="O1767" s="2" t="str">
        <f ca="1">IFERROR(__xludf.DUMMYFUNCTION("""COMPUTED_VALUE"""),"Descubada")</f>
        <v>Descubada</v>
      </c>
      <c r="P1767" s="2"/>
      <c r="Q1767" s="2" t="b">
        <f ca="1">IFERROR(__xludf.DUMMYFUNCTION("""COMPUTED_VALUE"""),FALSE)</f>
        <v>0</v>
      </c>
      <c r="R1767" s="2" t="str">
        <f ca="1">IFERROR(__xludf.DUMMYFUNCTION("""COMPUTED_VALUE"""),"Descubada")</f>
        <v>Descubada</v>
      </c>
      <c r="S1767" s="2"/>
      <c r="T1767" s="2"/>
      <c r="U1767" s="2" t="str">
        <f ca="1">IFERROR(__xludf.DUMMYFUNCTION("""COMPUTED_VALUE"""),"1")</f>
        <v>1</v>
      </c>
    </row>
    <row r="1768" spans="1:21" x14ac:dyDescent="0.25">
      <c r="A1768" s="2" t="str">
        <f ca="1">IFERROR(__xludf.DUMMYFUNCTION("""COMPUTED_VALUE"""),"3e89f833")</f>
        <v>3e89f833</v>
      </c>
      <c r="B1768" s="5">
        <f ca="1">IFERROR(__xludf.DUMMYFUNCTION("""COMPUTED_VALUE"""),46160.6904050925)</f>
        <v>46160.6904050925</v>
      </c>
      <c r="C1768" s="2" t="str">
        <f ca="1">IFERROR(__xludf.DUMMYFUNCTION("""COMPUTED_VALUE"""),"072a8a51")</f>
        <v>072a8a51</v>
      </c>
      <c r="D1768" s="2">
        <f ca="1">IFERROR(__xludf.DUMMYFUNCTION("""COMPUTED_VALUE"""),25)</f>
        <v>25</v>
      </c>
      <c r="E1768" s="2" t="str">
        <f ca="1">IFERROR(__xludf.DUMMYFUNCTION("""COMPUTED_VALUE"""),"Malbec")</f>
        <v>Malbec</v>
      </c>
      <c r="F1768" s="2">
        <f ca="1">IFERROR(__xludf.DUMMYFUNCTION("""COMPUTED_VALUE"""),40000)</f>
        <v>40000</v>
      </c>
      <c r="G1768" s="2">
        <f ca="1">IFERROR(__xludf.DUMMYFUNCTION("""COMPUTED_VALUE"""),84)</f>
        <v>84</v>
      </c>
      <c r="H1768" s="2" t="str">
        <f ca="1">IFERROR(__xludf.DUMMYFUNCTION("""COMPUTED_VALUE"""),"ed49752c")</f>
        <v>ed49752c</v>
      </c>
      <c r="I1768" s="2" t="str">
        <f ca="1">IFERROR(__xludf.DUMMYFUNCTION("""COMPUTED_VALUE"""),"Malbec pc")</f>
        <v>Malbec pc</v>
      </c>
      <c r="J1768" s="2">
        <f ca="1">IFERROR(__xludf.DUMMYFUNCTION("""COMPUTED_VALUE"""),43000)</f>
        <v>43000</v>
      </c>
      <c r="K1768" s="2">
        <f ca="1">IFERROR(__xludf.DUMMYFUNCTION("""COMPUTED_VALUE"""),83000)</f>
        <v>83000</v>
      </c>
      <c r="L1768" s="2" t="str">
        <f ca="1">IFERROR(__xludf.DUMMYFUNCTION("""COMPUTED_VALUE"""),"55047269")</f>
        <v>55047269</v>
      </c>
      <c r="M1768" s="2" t="str">
        <f ca="1">IFERROR(__xludf.DUMMYFUNCTION("""COMPUTED_VALUE"""),"Malbec pc")</f>
        <v>Malbec pc</v>
      </c>
      <c r="N1768" s="2"/>
      <c r="O1768" s="2" t="str">
        <f ca="1">IFERROR(__xludf.DUMMYFUNCTION("""COMPUTED_VALUE"""),"Descubada")</f>
        <v>Descubada</v>
      </c>
      <c r="P1768" s="2" t="str">
        <f ca="1">IFERROR(__xludf.DUMMYFUNCTION("""COMPUTED_VALUE"""),"1er Trasiego")</f>
        <v>1er Trasiego</v>
      </c>
      <c r="Q1768" s="2" t="b">
        <f ca="1">IFERROR(__xludf.DUMMYFUNCTION("""COMPUTED_VALUE"""),TRUE)</f>
        <v>1</v>
      </c>
      <c r="R1768" s="2" t="str">
        <f ca="1">IFERROR(__xludf.DUMMYFUNCTION("""COMPUTED_VALUE"""),"1er Trasiego")</f>
        <v>1er Trasiego</v>
      </c>
      <c r="S1768" s="2"/>
      <c r="T1768" s="2"/>
      <c r="U1768" s="2" t="str">
        <f ca="1">IFERROR(__xludf.DUMMYFUNCTION("""COMPUTED_VALUE"""),"1+")</f>
        <v>1+</v>
      </c>
    </row>
    <row r="1769" spans="1:21" x14ac:dyDescent="0.25">
      <c r="A1769" s="2" t="str">
        <f ca="1">IFERROR(__xludf.DUMMYFUNCTION("""COMPUTED_VALUE"""),"c6c993f8")</f>
        <v>c6c993f8</v>
      </c>
      <c r="B1769" s="5">
        <f ca="1">IFERROR(__xludf.DUMMYFUNCTION("""COMPUTED_VALUE"""),46160.6910416666)</f>
        <v>46160.6910416666</v>
      </c>
      <c r="C1769" s="2" t="str">
        <f ca="1">IFERROR(__xludf.DUMMYFUNCTION("""COMPUTED_VALUE"""),"072a8a51")</f>
        <v>072a8a51</v>
      </c>
      <c r="D1769" s="2">
        <f ca="1">IFERROR(__xludf.DUMMYFUNCTION("""COMPUTED_VALUE"""),25)</f>
        <v>25</v>
      </c>
      <c r="E1769" s="2" t="str">
        <f ca="1">IFERROR(__xludf.DUMMYFUNCTION("""COMPUTED_VALUE"""),"Malbec")</f>
        <v>Malbec</v>
      </c>
      <c r="F1769" s="2">
        <f ca="1">IFERROR(__xludf.DUMMYFUNCTION("""COMPUTED_VALUE"""),7100)</f>
        <v>7100</v>
      </c>
      <c r="G1769" s="2">
        <f ca="1">IFERROR(__xludf.DUMMYFUNCTION("""COMPUTED_VALUE"""),931)</f>
        <v>931</v>
      </c>
      <c r="H1769" s="2"/>
      <c r="I1769" s="2"/>
      <c r="J1769" s="2">
        <f ca="1">IFERROR(__xludf.DUMMYFUNCTION("""COMPUTED_VALUE"""),0)</f>
        <v>0</v>
      </c>
      <c r="K1769" s="2">
        <f ca="1">IFERROR(__xludf.DUMMYFUNCTION("""COMPUTED_VALUE"""),7100)</f>
        <v>7100</v>
      </c>
      <c r="L1769" s="2" t="str">
        <f ca="1">IFERROR(__xludf.DUMMYFUNCTION("""COMPUTED_VALUE"""),"f7f712c7")</f>
        <v>f7f712c7</v>
      </c>
      <c r="M1769" s="2" t="str">
        <f ca="1">IFERROR(__xludf.DUMMYFUNCTION("""COMPUTED_VALUE"""),"Borra")</f>
        <v>Borra</v>
      </c>
      <c r="N1769" s="2"/>
      <c r="O1769" s="2" t="str">
        <f ca="1">IFERROR(__xludf.DUMMYFUNCTION("""COMPUTED_VALUE"""),"Descubada")</f>
        <v>Descubada</v>
      </c>
      <c r="P1769" s="2"/>
      <c r="Q1769" s="2" t="b">
        <f ca="1">IFERROR(__xludf.DUMMYFUNCTION("""COMPUTED_VALUE"""),FALSE)</f>
        <v>0</v>
      </c>
      <c r="R1769" s="2" t="str">
        <f ca="1">IFERROR(__xludf.DUMMYFUNCTION("""COMPUTED_VALUE"""),"1er Trasiego")</f>
        <v>1er Trasiego</v>
      </c>
      <c r="S1769" s="2"/>
      <c r="T1769" s="2"/>
      <c r="U1769" s="2" t="str">
        <f ca="1">IFERROR(__xludf.DUMMYFUNCTION("""COMPUTED_VALUE"""),"1")</f>
        <v>1</v>
      </c>
    </row>
    <row r="1770" spans="1:21" x14ac:dyDescent="0.25">
      <c r="A1770" s="2" t="str">
        <f ca="1">IFERROR(__xludf.DUMMYFUNCTION("""COMPUTED_VALUE"""),"dd89da83")</f>
        <v>dd89da83</v>
      </c>
      <c r="B1770" s="5">
        <f ca="1">IFERROR(__xludf.DUMMYFUNCTION("""COMPUTED_VALUE"""),46160.695636574)</f>
        <v>46160.695636573997</v>
      </c>
      <c r="C1770" s="2" t="str">
        <f ca="1">IFERROR(__xludf.DUMMYFUNCTION("""COMPUTED_VALUE"""),"77fc6ec8")</f>
        <v>77fc6ec8</v>
      </c>
      <c r="D1770" s="2">
        <f ca="1">IFERROR(__xludf.DUMMYFUNCTION("""COMPUTED_VALUE"""),28)</f>
        <v>28</v>
      </c>
      <c r="E1770" s="2" t="str">
        <f ca="1">IFERROR(__xludf.DUMMYFUNCTION("""COMPUTED_VALUE"""),"Bonarda C2")</f>
        <v>Bonarda C2</v>
      </c>
      <c r="F1770" s="2">
        <f ca="1">IFERROR(__xludf.DUMMYFUNCTION("""COMPUTED_VALUE"""),5200)</f>
        <v>5200</v>
      </c>
      <c r="G1770" s="2">
        <f ca="1">IFERROR(__xludf.DUMMYFUNCTION("""COMPUTED_VALUE"""),70)</f>
        <v>70</v>
      </c>
      <c r="H1770" s="2" t="str">
        <f ca="1">IFERROR(__xludf.DUMMYFUNCTION("""COMPUTED_VALUE"""),"1fc63228")</f>
        <v>1fc63228</v>
      </c>
      <c r="I1770" s="2" t="str">
        <f ca="1">IFERROR(__xludf.DUMMYFUNCTION("""COMPUTED_VALUE"""),"Borra trasiego")</f>
        <v>Borra trasiego</v>
      </c>
      <c r="J1770" s="2">
        <f ca="1">IFERROR(__xludf.DUMMYFUNCTION("""COMPUTED_VALUE"""),7800)</f>
        <v>7800</v>
      </c>
      <c r="K1770" s="2">
        <f ca="1">IFERROR(__xludf.DUMMYFUNCTION("""COMPUTED_VALUE"""),13000)</f>
        <v>13000</v>
      </c>
      <c r="L1770" s="2" t="str">
        <f ca="1">IFERROR(__xludf.DUMMYFUNCTION("""COMPUTED_VALUE"""),"6f3cd259")</f>
        <v>6f3cd259</v>
      </c>
      <c r="M1770" s="2" t="str">
        <f ca="1">IFERROR(__xludf.DUMMYFUNCTION("""COMPUTED_VALUE"""),"Borra trasiego")</f>
        <v>Borra trasiego</v>
      </c>
      <c r="N1770" s="2"/>
      <c r="O1770" s="2" t="str">
        <f ca="1">IFERROR(__xludf.DUMMYFUNCTION("""COMPUTED_VALUE"""),"Descubada")</f>
        <v>Descubada</v>
      </c>
      <c r="P1770" s="2" t="str">
        <f ca="1">IFERROR(__xludf.DUMMYFUNCTION("""COMPUTED_VALUE"""),"1er Trasiego")</f>
        <v>1er Trasiego</v>
      </c>
      <c r="Q1770" s="2" t="b">
        <f ca="1">IFERROR(__xludf.DUMMYFUNCTION("""COMPUTED_VALUE"""),TRUE)</f>
        <v>1</v>
      </c>
      <c r="R1770" s="2" t="str">
        <f ca="1">IFERROR(__xludf.DUMMYFUNCTION("""COMPUTED_VALUE"""),"1er Trasiego")</f>
        <v>1er Trasiego</v>
      </c>
      <c r="S1770" s="2"/>
      <c r="T1770" s="2"/>
      <c r="U1770" s="2"/>
    </row>
    <row r="1771" spans="1:21" x14ac:dyDescent="0.25">
      <c r="A1771" s="2" t="str">
        <f ca="1">IFERROR(__xludf.DUMMYFUNCTION("""COMPUTED_VALUE"""),"2628473f")</f>
        <v>2628473f</v>
      </c>
      <c r="B1771" s="5">
        <f ca="1">IFERROR(__xludf.DUMMYFUNCTION("""COMPUTED_VALUE"""),46160.6959027777)</f>
        <v>46160.695902777697</v>
      </c>
      <c r="C1771" s="2" t="str">
        <f ca="1">IFERROR(__xludf.DUMMYFUNCTION("""COMPUTED_VALUE"""),"77fc6ec8")</f>
        <v>77fc6ec8</v>
      </c>
      <c r="D1771" s="2">
        <f ca="1">IFERROR(__xludf.DUMMYFUNCTION("""COMPUTED_VALUE"""),28)</f>
        <v>28</v>
      </c>
      <c r="E1771" s="2" t="str">
        <f ca="1">IFERROR(__xludf.DUMMYFUNCTION("""COMPUTED_VALUE"""),"Bonarda C2")</f>
        <v>Bonarda C2</v>
      </c>
      <c r="F1771" s="2">
        <f ca="1">IFERROR(__xludf.DUMMYFUNCTION("""COMPUTED_VALUE"""),2900)</f>
        <v>2900</v>
      </c>
      <c r="G1771" s="2">
        <f ca="1">IFERROR(__xludf.DUMMYFUNCTION("""COMPUTED_VALUE"""),931)</f>
        <v>931</v>
      </c>
      <c r="H1771" s="2" t="str">
        <f ca="1">IFERROR(__xludf.DUMMYFUNCTION("""COMPUTED_VALUE"""),"f7f712c7")</f>
        <v>f7f712c7</v>
      </c>
      <c r="I1771" s="2" t="str">
        <f ca="1">IFERROR(__xludf.DUMMYFUNCTION("""COMPUTED_VALUE"""),"Borra")</f>
        <v>Borra</v>
      </c>
      <c r="J1771" s="2">
        <f ca="1">IFERROR(__xludf.DUMMYFUNCTION("""COMPUTED_VALUE"""),7100)</f>
        <v>7100</v>
      </c>
      <c r="K1771" s="2">
        <f ca="1">IFERROR(__xludf.DUMMYFUNCTION("""COMPUTED_VALUE"""),10000)</f>
        <v>10000</v>
      </c>
      <c r="L1771" s="2" t="str">
        <f ca="1">IFERROR(__xludf.DUMMYFUNCTION("""COMPUTED_VALUE"""),"9d61d4ee")</f>
        <v>9d61d4ee</v>
      </c>
      <c r="M1771" s="2" t="str">
        <f ca="1">IFERROR(__xludf.DUMMYFUNCTION("""COMPUTED_VALUE"""),"Borra")</f>
        <v>Borra</v>
      </c>
      <c r="N1771" s="2"/>
      <c r="O1771" s="2" t="str">
        <f ca="1">IFERROR(__xludf.DUMMYFUNCTION("""COMPUTED_VALUE"""),"Descubada")</f>
        <v>Descubada</v>
      </c>
      <c r="P1771" s="2" t="str">
        <f ca="1">IFERROR(__xludf.DUMMYFUNCTION("""COMPUTED_VALUE"""),"1er Trasiego")</f>
        <v>1er Trasiego</v>
      </c>
      <c r="Q1771" s="2" t="b">
        <f ca="1">IFERROR(__xludf.DUMMYFUNCTION("""COMPUTED_VALUE"""),TRUE)</f>
        <v>1</v>
      </c>
      <c r="R1771" s="2" t="str">
        <f ca="1">IFERROR(__xludf.DUMMYFUNCTION("""COMPUTED_VALUE"""),"1er Trasiego")</f>
        <v>1er Trasiego</v>
      </c>
      <c r="S1771" s="2"/>
      <c r="T1771" s="2"/>
      <c r="U1771" s="2" t="str">
        <f ca="1">IFERROR(__xludf.DUMMYFUNCTION("""COMPUTED_VALUE"""),"1")</f>
        <v>1</v>
      </c>
    </row>
    <row r="1772" spans="1:21" x14ac:dyDescent="0.25">
      <c r="A1772" s="2" t="str">
        <f ca="1">IFERROR(__xludf.DUMMYFUNCTION("""COMPUTED_VALUE"""),"5f2f3aa9")</f>
        <v>5f2f3aa9</v>
      </c>
      <c r="B1772" s="5">
        <f ca="1">IFERROR(__xludf.DUMMYFUNCTION("""COMPUTED_VALUE"""),46160.7157638888)</f>
        <v>46160.715763888802</v>
      </c>
      <c r="C1772" s="2" t="str">
        <f ca="1">IFERROR(__xludf.DUMMYFUNCTION("""COMPUTED_VALUE"""),"77fc6ec8")</f>
        <v>77fc6ec8</v>
      </c>
      <c r="D1772" s="2">
        <f ca="1">IFERROR(__xludf.DUMMYFUNCTION("""COMPUTED_VALUE"""),28)</f>
        <v>28</v>
      </c>
      <c r="E1772" s="2" t="str">
        <f ca="1">IFERROR(__xludf.DUMMYFUNCTION("""COMPUTED_VALUE"""),"Bonarda C2")</f>
        <v>Bonarda C2</v>
      </c>
      <c r="F1772" s="2">
        <f ca="1">IFERROR(__xludf.DUMMYFUNCTION("""COMPUTED_VALUE"""),1200)</f>
        <v>1200</v>
      </c>
      <c r="G1772" s="2">
        <f ca="1">IFERROR(__xludf.DUMMYFUNCTION("""COMPUTED_VALUE"""),931)</f>
        <v>931</v>
      </c>
      <c r="H1772" s="2" t="str">
        <f ca="1">IFERROR(__xludf.DUMMYFUNCTION("""COMPUTED_VALUE"""),"9d61d4ee")</f>
        <v>9d61d4ee</v>
      </c>
      <c r="I1772" s="2" t="str">
        <f ca="1">IFERROR(__xludf.DUMMYFUNCTION("""COMPUTED_VALUE"""),"Borra")</f>
        <v>Borra</v>
      </c>
      <c r="J1772" s="2">
        <f ca="1">IFERROR(__xludf.DUMMYFUNCTION("""COMPUTED_VALUE"""),10000)</f>
        <v>10000</v>
      </c>
      <c r="K1772" s="2">
        <f ca="1">IFERROR(__xludf.DUMMYFUNCTION("""COMPUTED_VALUE"""),11200)</f>
        <v>11200</v>
      </c>
      <c r="L1772" s="2" t="str">
        <f ca="1">IFERROR(__xludf.DUMMYFUNCTION("""COMPUTED_VALUE"""),"6ef49e0e")</f>
        <v>6ef49e0e</v>
      </c>
      <c r="M1772" s="2" t="str">
        <f ca="1">IFERROR(__xludf.DUMMYFUNCTION("""COMPUTED_VALUE"""),"Borra")</f>
        <v>Borra</v>
      </c>
      <c r="N1772" s="2"/>
      <c r="O1772" s="2" t="str">
        <f ca="1">IFERROR(__xludf.DUMMYFUNCTION("""COMPUTED_VALUE"""),"Descubada")</f>
        <v>Descubada</v>
      </c>
      <c r="P1772" s="2" t="str">
        <f ca="1">IFERROR(__xludf.DUMMYFUNCTION("""COMPUTED_VALUE"""),"1er Trasiego")</f>
        <v>1er Trasiego</v>
      </c>
      <c r="Q1772" s="2" t="b">
        <f ca="1">IFERROR(__xludf.DUMMYFUNCTION("""COMPUTED_VALUE"""),TRUE)</f>
        <v>1</v>
      </c>
      <c r="R1772" s="2" t="str">
        <f ca="1">IFERROR(__xludf.DUMMYFUNCTION("""COMPUTED_VALUE"""),"1er Trasiego")</f>
        <v>1er Trasiego</v>
      </c>
      <c r="S1772" s="2"/>
      <c r="T1772" s="2"/>
      <c r="U1772" s="2" t="str">
        <f ca="1">IFERROR(__xludf.DUMMYFUNCTION("""COMPUTED_VALUE"""),"1")</f>
        <v>1</v>
      </c>
    </row>
    <row r="1773" spans="1:21" x14ac:dyDescent="0.25">
      <c r="A1773" s="2" t="str">
        <f ca="1">IFERROR(__xludf.DUMMYFUNCTION("""COMPUTED_VALUE"""),"0cc97e8a")</f>
        <v>0cc97e8a</v>
      </c>
      <c r="B1773" s="5">
        <f ca="1">IFERROR(__xludf.DUMMYFUNCTION("""COMPUTED_VALUE"""),46160.7159375)</f>
        <v>46160.715937499997</v>
      </c>
      <c r="C1773" s="2" t="str">
        <f ca="1">IFERROR(__xludf.DUMMYFUNCTION("""COMPUTED_VALUE"""),"77fc6ec8")</f>
        <v>77fc6ec8</v>
      </c>
      <c r="D1773" s="2">
        <f ca="1">IFERROR(__xludf.DUMMYFUNCTION("""COMPUTED_VALUE"""),28)</f>
        <v>28</v>
      </c>
      <c r="E1773" s="2" t="str">
        <f ca="1">IFERROR(__xludf.DUMMYFUNCTION("""COMPUTED_VALUE"""),"Bonarda C2")</f>
        <v>Bonarda C2</v>
      </c>
      <c r="F1773" s="2">
        <f ca="1">IFERROR(__xludf.DUMMYFUNCTION("""COMPUTED_VALUE"""),7400)</f>
        <v>7400</v>
      </c>
      <c r="G1773" s="2">
        <f ca="1">IFERROR(__xludf.DUMMYFUNCTION("""COMPUTED_VALUE"""),935)</f>
        <v>935</v>
      </c>
      <c r="H1773" s="2"/>
      <c r="I1773" s="2"/>
      <c r="J1773" s="2">
        <f ca="1">IFERROR(__xludf.DUMMYFUNCTION("""COMPUTED_VALUE"""),0)</f>
        <v>0</v>
      </c>
      <c r="K1773" s="2">
        <f ca="1">IFERROR(__xludf.DUMMYFUNCTION("""COMPUTED_VALUE"""),7400)</f>
        <v>7400</v>
      </c>
      <c r="L1773" s="2" t="str">
        <f ca="1">IFERROR(__xludf.DUMMYFUNCTION("""COMPUTED_VALUE"""),"87842814")</f>
        <v>87842814</v>
      </c>
      <c r="M1773" s="2" t="str">
        <f ca="1">IFERROR(__xludf.DUMMYFUNCTION("""COMPUTED_VALUE"""),"Borra")</f>
        <v>Borra</v>
      </c>
      <c r="N1773" s="2"/>
      <c r="O1773" s="2" t="str">
        <f ca="1">IFERROR(__xludf.DUMMYFUNCTION("""COMPUTED_VALUE"""),"Descubada")</f>
        <v>Descubada</v>
      </c>
      <c r="P1773" s="2"/>
      <c r="Q1773" s="2" t="b">
        <f ca="1">IFERROR(__xludf.DUMMYFUNCTION("""COMPUTED_VALUE"""),FALSE)</f>
        <v>0</v>
      </c>
      <c r="R1773" s="2" t="str">
        <f ca="1">IFERROR(__xludf.DUMMYFUNCTION("""COMPUTED_VALUE"""),"1er Trasiego")</f>
        <v>1er Trasiego</v>
      </c>
      <c r="S1773" s="2"/>
      <c r="T1773" s="2"/>
      <c r="U1773" s="2"/>
    </row>
    <row r="1774" spans="1:21" x14ac:dyDescent="0.25">
      <c r="A1774" s="2" t="str">
        <f ca="1">IFERROR(__xludf.DUMMYFUNCTION("""COMPUTED_VALUE"""),"3e1654de")</f>
        <v>3e1654de</v>
      </c>
      <c r="B1774" s="5">
        <f ca="1">IFERROR(__xludf.DUMMYFUNCTION("""COMPUTED_VALUE"""),46161.7012847222)</f>
        <v>46161.701284722199</v>
      </c>
      <c r="C1774" s="2" t="str">
        <f ca="1">IFERROR(__xludf.DUMMYFUNCTION("""COMPUTED_VALUE"""),"ea65ad9a")</f>
        <v>ea65ad9a</v>
      </c>
      <c r="D1774" s="2">
        <f ca="1">IFERROR(__xludf.DUMMYFUNCTION("""COMPUTED_VALUE"""),6)</f>
        <v>6</v>
      </c>
      <c r="E1774" s="2" t="str">
        <f ca="1">IFERROR(__xludf.DUMMYFUNCTION("""COMPUTED_VALUE"""),"Criolla Recarga")</f>
        <v>Criolla Recarga</v>
      </c>
      <c r="F1774" s="2">
        <f ca="1">IFERROR(__xludf.DUMMYFUNCTION("""COMPUTED_VALUE"""),-23700)</f>
        <v>-23700</v>
      </c>
      <c r="G1774" s="2">
        <f ca="1">IFERROR(__xludf.DUMMYFUNCTION("""COMPUTED_VALUE"""),500)</f>
        <v>500</v>
      </c>
      <c r="H1774" s="2" t="str">
        <f ca="1">IFERROR(__xludf.DUMMYFUNCTION("""COMPUTED_VALUE"""),"b95c7e74")</f>
        <v>b95c7e74</v>
      </c>
      <c r="I1774" s="2" t="str">
        <f ca="1">IFERROR(__xludf.DUMMYFUNCTION("""COMPUTED_VALUE"""),"AJUSTE COSECHA 2026")</f>
        <v>AJUSTE COSECHA 2026</v>
      </c>
      <c r="J1774" s="2">
        <f ca="1">IFERROR(__xludf.DUMMYFUNCTION("""COMPUTED_VALUE"""),47520)</f>
        <v>47520</v>
      </c>
      <c r="K1774" s="2">
        <f ca="1">IFERROR(__xludf.DUMMYFUNCTION("""COMPUTED_VALUE"""),23820)</f>
        <v>23820</v>
      </c>
      <c r="L1774" s="2" t="str">
        <f ca="1">IFERROR(__xludf.DUMMYFUNCTION("""COMPUTED_VALUE"""),"30153f06")</f>
        <v>30153f06</v>
      </c>
      <c r="M1774" s="2" t="str">
        <f ca="1">IFERROR(__xludf.DUMMYFUNCTION("""COMPUTED_VALUE"""),"AJUSTE COSECHA 2026")</f>
        <v>AJUSTE COSECHA 2026</v>
      </c>
      <c r="N1774" s="2"/>
      <c r="O1774" s="2" t="str">
        <f ca="1">IFERROR(__xludf.DUMMYFUNCTION("""COMPUTED_VALUE"""),"Descubada")</f>
        <v>Descubada</v>
      </c>
      <c r="P1774" s="2" t="str">
        <f ca="1">IFERROR(__xludf.DUMMYFUNCTION("""COMPUTED_VALUE"""),"Terminado")</f>
        <v>Terminado</v>
      </c>
      <c r="Q1774" s="2" t="b">
        <f ca="1">IFERROR(__xludf.DUMMYFUNCTION("""COMPUTED_VALUE"""),TRUE)</f>
        <v>1</v>
      </c>
      <c r="R1774" s="2" t="str">
        <f ca="1">IFERROR(__xludf.DUMMYFUNCTION("""COMPUTED_VALUE"""),"Terminado")</f>
        <v>Terminado</v>
      </c>
      <c r="S1774" s="2"/>
      <c r="T1774" s="2"/>
      <c r="U1774" s="2" t="str">
        <f ca="1">IFERROR(__xludf.DUMMYFUNCTION("""COMPUTED_VALUE"""),"1")</f>
        <v>1</v>
      </c>
    </row>
    <row r="1775" spans="1:21" x14ac:dyDescent="0.25">
      <c r="A1775" s="2" t="str">
        <f ca="1">IFERROR(__xludf.DUMMYFUNCTION("""COMPUTED_VALUE"""),"d94b02cc")</f>
        <v>d94b02cc</v>
      </c>
      <c r="B1775" s="5">
        <f ca="1">IFERROR(__xludf.DUMMYFUNCTION("""COMPUTED_VALUE"""),46161.7018634259)</f>
        <v>46161.7018634259</v>
      </c>
      <c r="C1775" s="2" t="str">
        <f ca="1">IFERROR(__xludf.DUMMYFUNCTION("""COMPUTED_VALUE"""),"75fa80cd")</f>
        <v>75fa80cd</v>
      </c>
      <c r="D1775" s="2">
        <f ca="1">IFERROR(__xludf.DUMMYFUNCTION("""COMPUTED_VALUE"""),10)</f>
        <v>10</v>
      </c>
      <c r="E1775" s="2" t="str">
        <f ca="1">IFERROR(__xludf.DUMMYFUNCTION("""COMPUTED_VALUE"""),"Bonarda")</f>
        <v>Bonarda</v>
      </c>
      <c r="F1775" s="2">
        <f ca="1">IFERROR(__xludf.DUMMYFUNCTION("""COMPUTED_VALUE"""),4000)</f>
        <v>4000</v>
      </c>
      <c r="G1775" s="2">
        <f ca="1">IFERROR(__xludf.DUMMYFUNCTION("""COMPUTED_VALUE"""),500)</f>
        <v>500</v>
      </c>
      <c r="H1775" s="2" t="str">
        <f ca="1">IFERROR(__xludf.DUMMYFUNCTION("""COMPUTED_VALUE"""),"30153f06")</f>
        <v>30153f06</v>
      </c>
      <c r="I1775" s="2" t="str">
        <f ca="1">IFERROR(__xludf.DUMMYFUNCTION("""COMPUTED_VALUE"""),"AJUSTE COSECHA 2026")</f>
        <v>AJUSTE COSECHA 2026</v>
      </c>
      <c r="J1775" s="2">
        <f ca="1">IFERROR(__xludf.DUMMYFUNCTION("""COMPUTED_VALUE"""),23820)</f>
        <v>23820</v>
      </c>
      <c r="K1775" s="2">
        <f ca="1">IFERROR(__xludf.DUMMYFUNCTION("""COMPUTED_VALUE"""),27820)</f>
        <v>27820</v>
      </c>
      <c r="L1775" s="2" t="str">
        <f ca="1">IFERROR(__xludf.DUMMYFUNCTION("""COMPUTED_VALUE"""),"c1425ddc")</f>
        <v>c1425ddc</v>
      </c>
      <c r="M1775" s="2" t="str">
        <f ca="1">IFERROR(__xludf.DUMMYFUNCTION("""COMPUTED_VALUE"""),"AJUSTE COSECHA 2026")</f>
        <v>AJUSTE COSECHA 2026</v>
      </c>
      <c r="N1775" s="2"/>
      <c r="O1775" s="2" t="str">
        <f ca="1">IFERROR(__xludf.DUMMYFUNCTION("""COMPUTED_VALUE"""),"Descubada")</f>
        <v>Descubada</v>
      </c>
      <c r="P1775" s="2" t="str">
        <f ca="1">IFERROR(__xludf.DUMMYFUNCTION("""COMPUTED_VALUE"""),"Terminado")</f>
        <v>Terminado</v>
      </c>
      <c r="Q1775" s="2" t="b">
        <f ca="1">IFERROR(__xludf.DUMMYFUNCTION("""COMPUTED_VALUE"""),TRUE)</f>
        <v>1</v>
      </c>
      <c r="R1775" s="2" t="str">
        <f ca="1">IFERROR(__xludf.DUMMYFUNCTION("""COMPUTED_VALUE"""),"Terminado")</f>
        <v>Terminado</v>
      </c>
      <c r="S1775" s="2"/>
      <c r="T1775" s="2"/>
      <c r="U1775" s="2" t="str">
        <f ca="1">IFERROR(__xludf.DUMMYFUNCTION("""COMPUTED_VALUE"""),"1")</f>
        <v>1</v>
      </c>
    </row>
    <row r="1776" spans="1:21" x14ac:dyDescent="0.25">
      <c r="A1776" s="2" t="str">
        <f ca="1">IFERROR(__xludf.DUMMYFUNCTION("""COMPUTED_VALUE"""),"739550cc")</f>
        <v>739550cc</v>
      </c>
      <c r="B1776" s="5">
        <f ca="1">IFERROR(__xludf.DUMMYFUNCTION("""COMPUTED_VALUE"""),46161.7021759259)</f>
        <v>46161.702175925901</v>
      </c>
      <c r="C1776" s="2" t="str">
        <f ca="1">IFERROR(__xludf.DUMMYFUNCTION("""COMPUTED_VALUE"""),"b5cd66a6")</f>
        <v>b5cd66a6</v>
      </c>
      <c r="D1776" s="2">
        <f ca="1">IFERROR(__xludf.DUMMYFUNCTION("""COMPUTED_VALUE"""),11)</f>
        <v>11</v>
      </c>
      <c r="E1776" s="2" t="str">
        <f ca="1">IFERROR(__xludf.DUMMYFUNCTION("""COMPUTED_VALUE"""),"Anccellota Aspirant Rect")</f>
        <v>Anccellota Aspirant Rect</v>
      </c>
      <c r="F1776" s="2">
        <f ca="1">IFERROR(__xludf.DUMMYFUNCTION("""COMPUTED_VALUE"""),2400)</f>
        <v>2400</v>
      </c>
      <c r="G1776" s="2">
        <f ca="1">IFERROR(__xludf.DUMMYFUNCTION("""COMPUTED_VALUE"""),500)</f>
        <v>500</v>
      </c>
      <c r="H1776" s="2" t="str">
        <f ca="1">IFERROR(__xludf.DUMMYFUNCTION("""COMPUTED_VALUE"""),"c1425ddc")</f>
        <v>c1425ddc</v>
      </c>
      <c r="I1776" s="2" t="str">
        <f ca="1">IFERROR(__xludf.DUMMYFUNCTION("""COMPUTED_VALUE"""),"AJUSTE COSECHA 2026")</f>
        <v>AJUSTE COSECHA 2026</v>
      </c>
      <c r="J1776" s="2">
        <f ca="1">IFERROR(__xludf.DUMMYFUNCTION("""COMPUTED_VALUE"""),27820)</f>
        <v>27820</v>
      </c>
      <c r="K1776" s="2">
        <f ca="1">IFERROR(__xludf.DUMMYFUNCTION("""COMPUTED_VALUE"""),30220)</f>
        <v>30220</v>
      </c>
      <c r="L1776" s="2" t="str">
        <f ca="1">IFERROR(__xludf.DUMMYFUNCTION("""COMPUTED_VALUE"""),"4c06e4c6")</f>
        <v>4c06e4c6</v>
      </c>
      <c r="M1776" s="2" t="str">
        <f ca="1">IFERROR(__xludf.DUMMYFUNCTION("""COMPUTED_VALUE"""),"AJUSTE COSECHA 2026")</f>
        <v>AJUSTE COSECHA 2026</v>
      </c>
      <c r="N1776" s="2"/>
      <c r="O1776" s="2" t="str">
        <f ca="1">IFERROR(__xludf.DUMMYFUNCTION("""COMPUTED_VALUE"""),"Rectificado")</f>
        <v>Rectificado</v>
      </c>
      <c r="P1776" s="2" t="str">
        <f ca="1">IFERROR(__xludf.DUMMYFUNCTION("""COMPUTED_VALUE"""),"Terminado")</f>
        <v>Terminado</v>
      </c>
      <c r="Q1776" s="2" t="b">
        <f ca="1">IFERROR(__xludf.DUMMYFUNCTION("""COMPUTED_VALUE"""),TRUE)</f>
        <v>1</v>
      </c>
      <c r="R1776" s="2" t="str">
        <f ca="1">IFERROR(__xludf.DUMMYFUNCTION("""COMPUTED_VALUE"""),"Terminado")</f>
        <v>Terminado</v>
      </c>
      <c r="S1776" s="2"/>
      <c r="T1776" s="2"/>
      <c r="U1776" s="2" t="str">
        <f ca="1">IFERROR(__xludf.DUMMYFUNCTION("""COMPUTED_VALUE"""),"1")</f>
        <v>1</v>
      </c>
    </row>
    <row r="1777" spans="1:21" x14ac:dyDescent="0.25">
      <c r="A1777" s="2" t="str">
        <f ca="1">IFERROR(__xludf.DUMMYFUNCTION("""COMPUTED_VALUE"""),"5eedbc49")</f>
        <v>5eedbc49</v>
      </c>
      <c r="B1777" s="5">
        <f ca="1">IFERROR(__xludf.DUMMYFUNCTION("""COMPUTED_VALUE"""),46161.7024537037)</f>
        <v>46161.7024537037</v>
      </c>
      <c r="C1777" s="2" t="str">
        <f ca="1">IFERROR(__xludf.DUMMYFUNCTION("""COMPUTED_VALUE"""),"22490f6b")</f>
        <v>22490f6b</v>
      </c>
      <c r="D1777" s="2">
        <f ca="1">IFERROR(__xludf.DUMMYFUNCTION("""COMPUTED_VALUE"""),15)</f>
        <v>15</v>
      </c>
      <c r="E1777" s="2" t="str">
        <f ca="1">IFERROR(__xludf.DUMMYFUNCTION("""COMPUTED_VALUE"""),"Cabernet Sauv G")</f>
        <v>Cabernet Sauv G</v>
      </c>
      <c r="F1777" s="2">
        <f ca="1">IFERROR(__xludf.DUMMYFUNCTION("""COMPUTED_VALUE"""),500)</f>
        <v>500</v>
      </c>
      <c r="G1777" s="2">
        <f ca="1">IFERROR(__xludf.DUMMYFUNCTION("""COMPUTED_VALUE"""),500)</f>
        <v>500</v>
      </c>
      <c r="H1777" s="2" t="str">
        <f ca="1">IFERROR(__xludf.DUMMYFUNCTION("""COMPUTED_VALUE"""),"4c06e4c6")</f>
        <v>4c06e4c6</v>
      </c>
      <c r="I1777" s="2" t="str">
        <f ca="1">IFERROR(__xludf.DUMMYFUNCTION("""COMPUTED_VALUE"""),"AJUSTE COSECHA 2026")</f>
        <v>AJUSTE COSECHA 2026</v>
      </c>
      <c r="J1777" s="2">
        <f ca="1">IFERROR(__xludf.DUMMYFUNCTION("""COMPUTED_VALUE"""),30220)</f>
        <v>30220</v>
      </c>
      <c r="K1777" s="2">
        <f ca="1">IFERROR(__xludf.DUMMYFUNCTION("""COMPUTED_VALUE"""),30720)</f>
        <v>30720</v>
      </c>
      <c r="L1777" s="2" t="str">
        <f ca="1">IFERROR(__xludf.DUMMYFUNCTION("""COMPUTED_VALUE"""),"4a28c426")</f>
        <v>4a28c426</v>
      </c>
      <c r="M1777" s="2" t="str">
        <f ca="1">IFERROR(__xludf.DUMMYFUNCTION("""COMPUTED_VALUE"""),"AJUSTE COSECHA 2026")</f>
        <v>AJUSTE COSECHA 2026</v>
      </c>
      <c r="N1777" s="2"/>
      <c r="O1777" s="2" t="str">
        <f ca="1">IFERROR(__xludf.DUMMYFUNCTION("""COMPUTED_VALUE"""),"Descubada")</f>
        <v>Descubada</v>
      </c>
      <c r="P1777" s="2" t="str">
        <f ca="1">IFERROR(__xludf.DUMMYFUNCTION("""COMPUTED_VALUE"""),"Terminado")</f>
        <v>Terminado</v>
      </c>
      <c r="Q1777" s="2" t="b">
        <f ca="1">IFERROR(__xludf.DUMMYFUNCTION("""COMPUTED_VALUE"""),TRUE)</f>
        <v>1</v>
      </c>
      <c r="R1777" s="2" t="str">
        <f ca="1">IFERROR(__xludf.DUMMYFUNCTION("""COMPUTED_VALUE"""),"Terminado")</f>
        <v>Terminado</v>
      </c>
      <c r="S1777" s="2"/>
      <c r="T1777" s="2"/>
      <c r="U1777" s="2" t="str">
        <f ca="1">IFERROR(__xludf.DUMMYFUNCTION("""COMPUTED_VALUE"""),"1")</f>
        <v>1</v>
      </c>
    </row>
    <row r="1778" spans="1:21" x14ac:dyDescent="0.25">
      <c r="A1778" s="2" t="str">
        <f ca="1">IFERROR(__xludf.DUMMYFUNCTION("""COMPUTED_VALUE"""),"0846e0f0")</f>
        <v>0846e0f0</v>
      </c>
      <c r="B1778" s="5">
        <f ca="1">IFERROR(__xludf.DUMMYFUNCTION("""COMPUTED_VALUE"""),46161.7027546296)</f>
        <v>46161.702754629601</v>
      </c>
      <c r="C1778" s="2" t="str">
        <f ca="1">IFERROR(__xludf.DUMMYFUNCTION("""COMPUTED_VALUE"""),"759766f6")</f>
        <v>759766f6</v>
      </c>
      <c r="D1778" s="2">
        <f ca="1">IFERROR(__xludf.DUMMYFUNCTION("""COMPUTED_VALUE"""),42)</f>
        <v>42</v>
      </c>
      <c r="E1778" s="2" t="str">
        <f ca="1">IFERROR(__xludf.DUMMYFUNCTION("""COMPUTED_VALUE"""),"Bonarda")</f>
        <v>Bonarda</v>
      </c>
      <c r="F1778" s="2">
        <f ca="1">IFERROR(__xludf.DUMMYFUNCTION("""COMPUTED_VALUE"""),900)</f>
        <v>900</v>
      </c>
      <c r="G1778" s="2">
        <f ca="1">IFERROR(__xludf.DUMMYFUNCTION("""COMPUTED_VALUE"""),500)</f>
        <v>500</v>
      </c>
      <c r="H1778" s="2" t="str">
        <f ca="1">IFERROR(__xludf.DUMMYFUNCTION("""COMPUTED_VALUE"""),"4a28c426")</f>
        <v>4a28c426</v>
      </c>
      <c r="I1778" s="2" t="str">
        <f ca="1">IFERROR(__xludf.DUMMYFUNCTION("""COMPUTED_VALUE"""),"AJUSTE COSECHA 2026")</f>
        <v>AJUSTE COSECHA 2026</v>
      </c>
      <c r="J1778" s="2">
        <f ca="1">IFERROR(__xludf.DUMMYFUNCTION("""COMPUTED_VALUE"""),30720)</f>
        <v>30720</v>
      </c>
      <c r="K1778" s="2">
        <f ca="1">IFERROR(__xludf.DUMMYFUNCTION("""COMPUTED_VALUE"""),31620)</f>
        <v>31620</v>
      </c>
      <c r="L1778" s="2" t="str">
        <f ca="1">IFERROR(__xludf.DUMMYFUNCTION("""COMPUTED_VALUE"""),"9ce6d689")</f>
        <v>9ce6d689</v>
      </c>
      <c r="M1778" s="2" t="str">
        <f ca="1">IFERROR(__xludf.DUMMYFUNCTION("""COMPUTED_VALUE"""),"AJUSTE COSECHA 2026")</f>
        <v>AJUSTE COSECHA 2026</v>
      </c>
      <c r="N1778" s="2"/>
      <c r="O1778" s="2" t="str">
        <f ca="1">IFERROR(__xludf.DUMMYFUNCTION("""COMPUTED_VALUE"""),"Descubada")</f>
        <v>Descubada</v>
      </c>
      <c r="P1778" s="2" t="str">
        <f ca="1">IFERROR(__xludf.DUMMYFUNCTION("""COMPUTED_VALUE"""),"Terminado")</f>
        <v>Terminado</v>
      </c>
      <c r="Q1778" s="2" t="b">
        <f ca="1">IFERROR(__xludf.DUMMYFUNCTION("""COMPUTED_VALUE"""),TRUE)</f>
        <v>1</v>
      </c>
      <c r="R1778" s="2" t="str">
        <f ca="1">IFERROR(__xludf.DUMMYFUNCTION("""COMPUTED_VALUE"""),"Terminado")</f>
        <v>Terminado</v>
      </c>
      <c r="S1778" s="2"/>
      <c r="T1778" s="2"/>
      <c r="U1778" s="2" t="str">
        <f ca="1">IFERROR(__xludf.DUMMYFUNCTION("""COMPUTED_VALUE"""),"1")</f>
        <v>1</v>
      </c>
    </row>
    <row r="1779" spans="1:21" x14ac:dyDescent="0.25">
      <c r="A1779" s="2" t="str">
        <f ca="1">IFERROR(__xludf.DUMMYFUNCTION("""COMPUTED_VALUE"""),"59367ce5")</f>
        <v>59367ce5</v>
      </c>
      <c r="B1779" s="5">
        <f ca="1">IFERROR(__xludf.DUMMYFUNCTION("""COMPUTED_VALUE"""),46161.7029976851)</f>
        <v>46161.702997685097</v>
      </c>
      <c r="C1779" s="2" t="str">
        <f ca="1">IFERROR(__xludf.DUMMYFUNCTION("""COMPUTED_VALUE"""),"2f82461c")</f>
        <v>2f82461c</v>
      </c>
      <c r="D1779" s="2">
        <f ca="1">IFERROR(__xludf.DUMMYFUNCTION("""COMPUTED_VALUE"""),51)</f>
        <v>51</v>
      </c>
      <c r="E1779" s="2" t="str">
        <f ca="1">IFERROR(__xludf.DUMMYFUNCTION("""COMPUTED_VALUE"""),"Criolla Vol")</f>
        <v>Criolla Vol</v>
      </c>
      <c r="F1779" s="2">
        <f ca="1">IFERROR(__xludf.DUMMYFUNCTION("""COMPUTED_VALUE"""),-2900)</f>
        <v>-2900</v>
      </c>
      <c r="G1779" s="2">
        <f ca="1">IFERROR(__xludf.DUMMYFUNCTION("""COMPUTED_VALUE"""),500)</f>
        <v>500</v>
      </c>
      <c r="H1779" s="2" t="str">
        <f ca="1">IFERROR(__xludf.DUMMYFUNCTION("""COMPUTED_VALUE"""),"9ce6d689")</f>
        <v>9ce6d689</v>
      </c>
      <c r="I1779" s="2" t="str">
        <f ca="1">IFERROR(__xludf.DUMMYFUNCTION("""COMPUTED_VALUE"""),"AJUSTE COSECHA 2026")</f>
        <v>AJUSTE COSECHA 2026</v>
      </c>
      <c r="J1779" s="2">
        <f ca="1">IFERROR(__xludf.DUMMYFUNCTION("""COMPUTED_VALUE"""),31620)</f>
        <v>31620</v>
      </c>
      <c r="K1779" s="2">
        <f ca="1">IFERROR(__xludf.DUMMYFUNCTION("""COMPUTED_VALUE"""),28720)</f>
        <v>28720</v>
      </c>
      <c r="L1779" s="2" t="str">
        <f ca="1">IFERROR(__xludf.DUMMYFUNCTION("""COMPUTED_VALUE"""),"af6853c1")</f>
        <v>af6853c1</v>
      </c>
      <c r="M1779" s="2" t="str">
        <f ca="1">IFERROR(__xludf.DUMMYFUNCTION("""COMPUTED_VALUE"""),"AJUSTE COSECHA 2026")</f>
        <v>AJUSTE COSECHA 2026</v>
      </c>
      <c r="N1779" s="2"/>
      <c r="O1779" s="2" t="str">
        <f ca="1">IFERROR(__xludf.DUMMYFUNCTION("""COMPUTED_VALUE"""),"Descubada")</f>
        <v>Descubada</v>
      </c>
      <c r="P1779" s="2" t="str">
        <f ca="1">IFERROR(__xludf.DUMMYFUNCTION("""COMPUTED_VALUE"""),"Terminado")</f>
        <v>Terminado</v>
      </c>
      <c r="Q1779" s="2" t="b">
        <f ca="1">IFERROR(__xludf.DUMMYFUNCTION("""COMPUTED_VALUE"""),TRUE)</f>
        <v>1</v>
      </c>
      <c r="R1779" s="2" t="str">
        <f ca="1">IFERROR(__xludf.DUMMYFUNCTION("""COMPUTED_VALUE"""),"Terminado")</f>
        <v>Terminado</v>
      </c>
      <c r="S1779" s="2"/>
      <c r="T1779" s="2"/>
      <c r="U1779" s="2" t="str">
        <f ca="1">IFERROR(__xludf.DUMMYFUNCTION("""COMPUTED_VALUE"""),"1")</f>
        <v>1</v>
      </c>
    </row>
    <row r="1780" spans="1:21" x14ac:dyDescent="0.25">
      <c r="A1780" s="2" t="str">
        <f ca="1">IFERROR(__xludf.DUMMYFUNCTION("""COMPUTED_VALUE"""),"7f330140")</f>
        <v>7f330140</v>
      </c>
      <c r="B1780" s="5">
        <f ca="1">IFERROR(__xludf.DUMMYFUNCTION("""COMPUTED_VALUE"""),46161.7033912037)</f>
        <v>46161.7033912037</v>
      </c>
      <c r="C1780" s="2" t="str">
        <f ca="1">IFERROR(__xludf.DUMMYFUNCTION("""COMPUTED_VALUE"""),"d932789c")</f>
        <v>d932789c</v>
      </c>
      <c r="D1780" s="2">
        <f ca="1">IFERROR(__xludf.DUMMYFUNCTION("""COMPUTED_VALUE"""),65)</f>
        <v>65</v>
      </c>
      <c r="E1780" s="2" t="str">
        <f ca="1">IFERROR(__xludf.DUMMYFUNCTION("""COMPUTED_VALUE"""),"Criolla PC")</f>
        <v>Criolla PC</v>
      </c>
      <c r="F1780" s="2">
        <f ca="1">IFERROR(__xludf.DUMMYFUNCTION("""COMPUTED_VALUE"""),-1100)</f>
        <v>-1100</v>
      </c>
      <c r="G1780" s="2">
        <f ca="1">IFERROR(__xludf.DUMMYFUNCTION("""COMPUTED_VALUE"""),500)</f>
        <v>500</v>
      </c>
      <c r="H1780" s="2" t="str">
        <f ca="1">IFERROR(__xludf.DUMMYFUNCTION("""COMPUTED_VALUE"""),"af6853c1")</f>
        <v>af6853c1</v>
      </c>
      <c r="I1780" s="2" t="str">
        <f ca="1">IFERROR(__xludf.DUMMYFUNCTION("""COMPUTED_VALUE"""),"AJUSTE COSECHA 2026")</f>
        <v>AJUSTE COSECHA 2026</v>
      </c>
      <c r="J1780" s="2">
        <f ca="1">IFERROR(__xludf.DUMMYFUNCTION("""COMPUTED_VALUE"""),28720)</f>
        <v>28720</v>
      </c>
      <c r="K1780" s="2">
        <f ca="1">IFERROR(__xludf.DUMMYFUNCTION("""COMPUTED_VALUE"""),27620)</f>
        <v>27620</v>
      </c>
      <c r="L1780" s="2" t="str">
        <f ca="1">IFERROR(__xludf.DUMMYFUNCTION("""COMPUTED_VALUE"""),"4d8f2044")</f>
        <v>4d8f2044</v>
      </c>
      <c r="M1780" s="2" t="str">
        <f ca="1">IFERROR(__xludf.DUMMYFUNCTION("""COMPUTED_VALUE"""),"AJUSTE COSECHA 2026")</f>
        <v>AJUSTE COSECHA 2026</v>
      </c>
      <c r="N1780" s="2"/>
      <c r="O1780" s="2" t="str">
        <f ca="1">IFERROR(__xludf.DUMMYFUNCTION("""COMPUTED_VALUE"""),"Fermentando")</f>
        <v>Fermentando</v>
      </c>
      <c r="P1780" s="2" t="str">
        <f ca="1">IFERROR(__xludf.DUMMYFUNCTION("""COMPUTED_VALUE"""),"Terminado")</f>
        <v>Terminado</v>
      </c>
      <c r="Q1780" s="2" t="b">
        <f ca="1">IFERROR(__xludf.DUMMYFUNCTION("""COMPUTED_VALUE"""),TRUE)</f>
        <v>1</v>
      </c>
      <c r="R1780" s="2" t="str">
        <f ca="1">IFERROR(__xludf.DUMMYFUNCTION("""COMPUTED_VALUE"""),"Terminado")</f>
        <v>Terminado</v>
      </c>
      <c r="S1780" s="2"/>
      <c r="T1780" s="2"/>
      <c r="U1780" s="2" t="str">
        <f ca="1">IFERROR(__xludf.DUMMYFUNCTION("""COMPUTED_VALUE"""),"1")</f>
        <v>1</v>
      </c>
    </row>
    <row r="1781" spans="1:21" x14ac:dyDescent="0.25">
      <c r="A1781" s="2" t="str">
        <f ca="1">IFERROR(__xludf.DUMMYFUNCTION("""COMPUTED_VALUE"""),"1b46e59a")</f>
        <v>1b46e59a</v>
      </c>
      <c r="B1781" s="5">
        <f ca="1">IFERROR(__xludf.DUMMYFUNCTION("""COMPUTED_VALUE"""),46161.7037847222)</f>
        <v>46161.703784722202</v>
      </c>
      <c r="C1781" s="2" t="str">
        <f ca="1">IFERROR(__xludf.DUMMYFUNCTION("""COMPUTED_VALUE"""),"ae299cc9")</f>
        <v>ae299cc9</v>
      </c>
      <c r="D1781" s="2">
        <f ca="1">IFERROR(__xludf.DUMMYFUNCTION("""COMPUTED_VALUE"""),66)</f>
        <v>66</v>
      </c>
      <c r="E1781" s="2" t="str">
        <f ca="1">IFERROR(__xludf.DUMMYFUNCTION("""COMPUTED_VALUE"""),"Bonarda PC")</f>
        <v>Bonarda PC</v>
      </c>
      <c r="F1781" s="2">
        <f ca="1">IFERROR(__xludf.DUMMYFUNCTION("""COMPUTED_VALUE"""),1000)</f>
        <v>1000</v>
      </c>
      <c r="G1781" s="2">
        <f ca="1">IFERROR(__xludf.DUMMYFUNCTION("""COMPUTED_VALUE"""),500)</f>
        <v>500</v>
      </c>
      <c r="H1781" s="2" t="str">
        <f ca="1">IFERROR(__xludf.DUMMYFUNCTION("""COMPUTED_VALUE"""),"4d8f2044")</f>
        <v>4d8f2044</v>
      </c>
      <c r="I1781" s="2" t="str">
        <f ca="1">IFERROR(__xludf.DUMMYFUNCTION("""COMPUTED_VALUE"""),"AJUSTE COSECHA 2026")</f>
        <v>AJUSTE COSECHA 2026</v>
      </c>
      <c r="J1781" s="2">
        <f ca="1">IFERROR(__xludf.DUMMYFUNCTION("""COMPUTED_VALUE"""),27620)</f>
        <v>27620</v>
      </c>
      <c r="K1781" s="2">
        <f ca="1">IFERROR(__xludf.DUMMYFUNCTION("""COMPUTED_VALUE"""),28620)</f>
        <v>28620</v>
      </c>
      <c r="L1781" s="2" t="str">
        <f ca="1">IFERROR(__xludf.DUMMYFUNCTION("""COMPUTED_VALUE"""),"014739a1")</f>
        <v>014739a1</v>
      </c>
      <c r="M1781" s="2" t="str">
        <f ca="1">IFERROR(__xludf.DUMMYFUNCTION("""COMPUTED_VALUE"""),"AJUSTE COSECHA 2026")</f>
        <v>AJUSTE COSECHA 2026</v>
      </c>
      <c r="N1781" s="2"/>
      <c r="O1781" s="2" t="str">
        <f ca="1">IFERROR(__xludf.DUMMYFUNCTION("""COMPUTED_VALUE"""),"Descubada")</f>
        <v>Descubada</v>
      </c>
      <c r="P1781" s="2" t="str">
        <f ca="1">IFERROR(__xludf.DUMMYFUNCTION("""COMPUTED_VALUE"""),"Terminado")</f>
        <v>Terminado</v>
      </c>
      <c r="Q1781" s="2" t="b">
        <f ca="1">IFERROR(__xludf.DUMMYFUNCTION("""COMPUTED_VALUE"""),TRUE)</f>
        <v>1</v>
      </c>
      <c r="R1781" s="2" t="str">
        <f ca="1">IFERROR(__xludf.DUMMYFUNCTION("""COMPUTED_VALUE"""),"Terminado")</f>
        <v>Terminado</v>
      </c>
      <c r="S1781" s="2"/>
      <c r="T1781" s="2"/>
      <c r="U1781" s="2" t="str">
        <f ca="1">IFERROR(__xludf.DUMMYFUNCTION("""COMPUTED_VALUE"""),"1")</f>
        <v>1</v>
      </c>
    </row>
    <row r="1782" spans="1:21" x14ac:dyDescent="0.25">
      <c r="A1782" s="2" t="str">
        <f ca="1">IFERROR(__xludf.DUMMYFUNCTION("""COMPUTED_VALUE"""),"473b7daf")</f>
        <v>473b7daf</v>
      </c>
      <c r="B1782" s="5">
        <f ca="1">IFERROR(__xludf.DUMMYFUNCTION("""COMPUTED_VALUE"""),46161.7041435185)</f>
        <v>46161.704143518502</v>
      </c>
      <c r="C1782" s="2" t="str">
        <f ca="1">IFERROR(__xludf.DUMMYFUNCTION("""COMPUTED_VALUE"""),"5e10969c")</f>
        <v>5e10969c</v>
      </c>
      <c r="D1782" s="2">
        <f ca="1">IFERROR(__xludf.DUMMYFUNCTION("""COMPUTED_VALUE"""),68)</f>
        <v>68</v>
      </c>
      <c r="E1782" s="2" t="str">
        <f ca="1">IFERROR(__xludf.DUMMYFUNCTION("""COMPUTED_VALUE"""),"Tinto Varietal B")</f>
        <v>Tinto Varietal B</v>
      </c>
      <c r="F1782" s="2">
        <f ca="1">IFERROR(__xludf.DUMMYFUNCTION("""COMPUTED_VALUE"""),3000)</f>
        <v>3000</v>
      </c>
      <c r="G1782" s="2">
        <f ca="1">IFERROR(__xludf.DUMMYFUNCTION("""COMPUTED_VALUE"""),500)</f>
        <v>500</v>
      </c>
      <c r="H1782" s="2" t="str">
        <f ca="1">IFERROR(__xludf.DUMMYFUNCTION("""COMPUTED_VALUE"""),"014739a1")</f>
        <v>014739a1</v>
      </c>
      <c r="I1782" s="2" t="str">
        <f ca="1">IFERROR(__xludf.DUMMYFUNCTION("""COMPUTED_VALUE"""),"AJUSTE COSECHA 2026")</f>
        <v>AJUSTE COSECHA 2026</v>
      </c>
      <c r="J1782" s="2">
        <f ca="1">IFERROR(__xludf.DUMMYFUNCTION("""COMPUTED_VALUE"""),28620)</f>
        <v>28620</v>
      </c>
      <c r="K1782" s="2">
        <f ca="1">IFERROR(__xludf.DUMMYFUNCTION("""COMPUTED_VALUE"""),31620)</f>
        <v>31620</v>
      </c>
      <c r="L1782" s="2" t="str">
        <f ca="1">IFERROR(__xludf.DUMMYFUNCTION("""COMPUTED_VALUE"""),"22aecc3c")</f>
        <v>22aecc3c</v>
      </c>
      <c r="M1782" s="2" t="str">
        <f ca="1">IFERROR(__xludf.DUMMYFUNCTION("""COMPUTED_VALUE"""),"AJUSTE COSECHA 2026")</f>
        <v>AJUSTE COSECHA 2026</v>
      </c>
      <c r="N1782" s="2"/>
      <c r="O1782" s="2" t="str">
        <f ca="1">IFERROR(__xludf.DUMMYFUNCTION("""COMPUTED_VALUE"""),"Terminado")</f>
        <v>Terminado</v>
      </c>
      <c r="P1782" s="2" t="str">
        <f ca="1">IFERROR(__xludf.DUMMYFUNCTION("""COMPUTED_VALUE"""),"Terminado")</f>
        <v>Terminado</v>
      </c>
      <c r="Q1782" s="2" t="b">
        <f ca="1">IFERROR(__xludf.DUMMYFUNCTION("""COMPUTED_VALUE"""),TRUE)</f>
        <v>1</v>
      </c>
      <c r="R1782" s="2" t="str">
        <f ca="1">IFERROR(__xludf.DUMMYFUNCTION("""COMPUTED_VALUE"""),"Terminado")</f>
        <v>Terminado</v>
      </c>
      <c r="S1782" s="2"/>
      <c r="T1782" s="2"/>
      <c r="U1782" s="2" t="str">
        <f ca="1">IFERROR(__xludf.DUMMYFUNCTION("""COMPUTED_VALUE"""),"1")</f>
        <v>1</v>
      </c>
    </row>
    <row r="1783" spans="1:21" x14ac:dyDescent="0.25">
      <c r="A1783" s="2" t="str">
        <f ca="1">IFERROR(__xludf.DUMMYFUNCTION("""COMPUTED_VALUE"""),"aa30b38f")</f>
        <v>aa30b38f</v>
      </c>
      <c r="B1783" s="5">
        <f ca="1">IFERROR(__xludf.DUMMYFUNCTION("""COMPUTED_VALUE"""),46161.7094675925)</f>
        <v>46161.709467592496</v>
      </c>
      <c r="C1783" s="2" t="str">
        <f ca="1">IFERROR(__xludf.DUMMYFUNCTION("""COMPUTED_VALUE"""),"32ecefdc")</f>
        <v>32ecefdc</v>
      </c>
      <c r="D1783" s="2">
        <f ca="1">IFERROR(__xludf.DUMMYFUNCTION("""COMPUTED_VALUE"""),7)</f>
        <v>7</v>
      </c>
      <c r="E1783" s="2" t="str">
        <f ca="1">IFERROR(__xludf.DUMMYFUNCTION("""COMPUTED_VALUE"""),"Criolla")</f>
        <v>Criolla</v>
      </c>
      <c r="F1783" s="2">
        <f ca="1">IFERROR(__xludf.DUMMYFUNCTION("""COMPUTED_VALUE"""),30000)</f>
        <v>30000</v>
      </c>
      <c r="G1783" s="2">
        <f ca="1">IFERROR(__xludf.DUMMYFUNCTION("""COMPUTED_VALUE"""),24)</f>
        <v>24</v>
      </c>
      <c r="H1783" s="2"/>
      <c r="I1783" s="2"/>
      <c r="J1783" s="2">
        <f ca="1">IFERROR(__xludf.DUMMYFUNCTION("""COMPUTED_VALUE"""),0)</f>
        <v>0</v>
      </c>
      <c r="K1783" s="2">
        <f ca="1">IFERROR(__xludf.DUMMYFUNCTION("""COMPUTED_VALUE"""),30000)</f>
        <v>30000</v>
      </c>
      <c r="L1783" s="2" t="str">
        <f ca="1">IFERROR(__xludf.DUMMYFUNCTION("""COMPUTED_VALUE"""),"a3ebbc6f")</f>
        <v>a3ebbc6f</v>
      </c>
      <c r="M1783" s="2" t="str">
        <f ca="1">IFERROR(__xludf.DUMMYFUNCTION("""COMPUTED_VALUE"""),"Criolla")</f>
        <v>Criolla</v>
      </c>
      <c r="N1783" s="2"/>
      <c r="O1783" s="2" t="str">
        <f ca="1">IFERROR(__xludf.DUMMYFUNCTION("""COMPUTED_VALUE"""),"Descubada")</f>
        <v>Descubada</v>
      </c>
      <c r="P1783" s="2"/>
      <c r="Q1783" s="2" t="b">
        <f ca="1">IFERROR(__xludf.DUMMYFUNCTION("""COMPUTED_VALUE"""),FALSE)</f>
        <v>0</v>
      </c>
      <c r="R1783" s="2" t="str">
        <f ca="1">IFERROR(__xludf.DUMMYFUNCTION("""COMPUTED_VALUE"""),"1er Trasiego")</f>
        <v>1er Trasiego</v>
      </c>
      <c r="S1783" s="2"/>
      <c r="T1783" s="2"/>
      <c r="U1783" s="2" t="str">
        <f ca="1">IFERROR(__xludf.DUMMYFUNCTION("""COMPUTED_VALUE"""),"1+")</f>
        <v>1+</v>
      </c>
    </row>
    <row r="1784" spans="1:21" x14ac:dyDescent="0.25">
      <c r="A1784" s="2" t="str">
        <f ca="1">IFERROR(__xludf.DUMMYFUNCTION("""COMPUTED_VALUE"""),"b57aa5f5")</f>
        <v>b57aa5f5</v>
      </c>
      <c r="B1784" s="5">
        <f ca="1">IFERROR(__xludf.DUMMYFUNCTION("""COMPUTED_VALUE"""),46161.710474537)</f>
        <v>46161.710474537002</v>
      </c>
      <c r="C1784" s="2" t="str">
        <f ca="1">IFERROR(__xludf.DUMMYFUNCTION("""COMPUTED_VALUE"""),"26d61091")</f>
        <v>26d61091</v>
      </c>
      <c r="D1784" s="2">
        <f ca="1">IFERROR(__xludf.DUMMYFUNCTION("""COMPUTED_VALUE"""),9)</f>
        <v>9</v>
      </c>
      <c r="E1784" s="2" t="str">
        <f ca="1">IFERROR(__xludf.DUMMYFUNCTION("""COMPUTED_VALUE"""),"Criolla")</f>
        <v>Criolla</v>
      </c>
      <c r="F1784" s="2">
        <f ca="1">IFERROR(__xludf.DUMMYFUNCTION("""COMPUTED_VALUE"""),30000)</f>
        <v>30000</v>
      </c>
      <c r="G1784" s="2">
        <f ca="1">IFERROR(__xludf.DUMMYFUNCTION("""COMPUTED_VALUE"""),24)</f>
        <v>24</v>
      </c>
      <c r="H1784" s="2" t="str">
        <f ca="1">IFERROR(__xludf.DUMMYFUNCTION("""COMPUTED_VALUE"""),"a3ebbc6f")</f>
        <v>a3ebbc6f</v>
      </c>
      <c r="I1784" s="2" t="str">
        <f ca="1">IFERROR(__xludf.DUMMYFUNCTION("""COMPUTED_VALUE"""),"Criolla")</f>
        <v>Criolla</v>
      </c>
      <c r="J1784" s="2">
        <f ca="1">IFERROR(__xludf.DUMMYFUNCTION("""COMPUTED_VALUE"""),30000)</f>
        <v>30000</v>
      </c>
      <c r="K1784" s="2">
        <f ca="1">IFERROR(__xludf.DUMMYFUNCTION("""COMPUTED_VALUE"""),60000)</f>
        <v>60000</v>
      </c>
      <c r="L1784" s="2" t="str">
        <f ca="1">IFERROR(__xludf.DUMMYFUNCTION("""COMPUTED_VALUE"""),"de6ff9c7")</f>
        <v>de6ff9c7</v>
      </c>
      <c r="M1784" s="2" t="str">
        <f ca="1">IFERROR(__xludf.DUMMYFUNCTION("""COMPUTED_VALUE"""),"Criolla")</f>
        <v>Criolla</v>
      </c>
      <c r="N1784" s="2"/>
      <c r="O1784" s="2" t="str">
        <f ca="1">IFERROR(__xludf.DUMMYFUNCTION("""COMPUTED_VALUE"""),"Descubada")</f>
        <v>Descubada</v>
      </c>
      <c r="P1784" s="2" t="str">
        <f ca="1">IFERROR(__xludf.DUMMYFUNCTION("""COMPUTED_VALUE"""),"1er Trasiego")</f>
        <v>1er Trasiego</v>
      </c>
      <c r="Q1784" s="2" t="b">
        <f ca="1">IFERROR(__xludf.DUMMYFUNCTION("""COMPUTED_VALUE"""),TRUE)</f>
        <v>1</v>
      </c>
      <c r="R1784" s="2" t="str">
        <f ca="1">IFERROR(__xludf.DUMMYFUNCTION("""COMPUTED_VALUE"""),"1er Trasiego")</f>
        <v>1er Trasiego</v>
      </c>
      <c r="S1784" s="2"/>
      <c r="T1784" s="2"/>
      <c r="U1784" s="2" t="str">
        <f ca="1">IFERROR(__xludf.DUMMYFUNCTION("""COMPUTED_VALUE"""),"1+")</f>
        <v>1+</v>
      </c>
    </row>
    <row r="1785" spans="1:21" x14ac:dyDescent="0.25">
      <c r="A1785" s="2" t="str">
        <f ca="1">IFERROR(__xludf.DUMMYFUNCTION("""COMPUTED_VALUE"""),"0a129689")</f>
        <v>0a129689</v>
      </c>
      <c r="B1785" s="5">
        <f ca="1">IFERROR(__xludf.DUMMYFUNCTION("""COMPUTED_VALUE"""),46161.7108217592)</f>
        <v>46161.710821759203</v>
      </c>
      <c r="C1785" s="2" t="str">
        <f ca="1">IFERROR(__xludf.DUMMYFUNCTION("""COMPUTED_VALUE"""),"d3b686a2")</f>
        <v>d3b686a2</v>
      </c>
      <c r="D1785" s="2">
        <f ca="1">IFERROR(__xludf.DUMMYFUNCTION("""COMPUTED_VALUE"""),16)</f>
        <v>16</v>
      </c>
      <c r="E1785" s="2" t="str">
        <f ca="1">IFERROR(__xludf.DUMMYFUNCTION("""COMPUTED_VALUE"""),"Criolla")</f>
        <v>Criolla</v>
      </c>
      <c r="F1785" s="2">
        <f ca="1">IFERROR(__xludf.DUMMYFUNCTION("""COMPUTED_VALUE"""),19500)</f>
        <v>19500</v>
      </c>
      <c r="G1785" s="2">
        <f ca="1">IFERROR(__xludf.DUMMYFUNCTION("""COMPUTED_VALUE"""),24)</f>
        <v>24</v>
      </c>
      <c r="H1785" s="2" t="str">
        <f ca="1">IFERROR(__xludf.DUMMYFUNCTION("""COMPUTED_VALUE"""),"de6ff9c7")</f>
        <v>de6ff9c7</v>
      </c>
      <c r="I1785" s="2" t="str">
        <f ca="1">IFERROR(__xludf.DUMMYFUNCTION("""COMPUTED_VALUE"""),"Criolla")</f>
        <v>Criolla</v>
      </c>
      <c r="J1785" s="2">
        <f ca="1">IFERROR(__xludf.DUMMYFUNCTION("""COMPUTED_VALUE"""),60000)</f>
        <v>60000</v>
      </c>
      <c r="K1785" s="2">
        <f ca="1">IFERROR(__xludf.DUMMYFUNCTION("""COMPUTED_VALUE"""),79500)</f>
        <v>79500</v>
      </c>
      <c r="L1785" s="2" t="str">
        <f ca="1">IFERROR(__xludf.DUMMYFUNCTION("""COMPUTED_VALUE"""),"a5a271ff")</f>
        <v>a5a271ff</v>
      </c>
      <c r="M1785" s="2" t="str">
        <f ca="1">IFERROR(__xludf.DUMMYFUNCTION("""COMPUTED_VALUE"""),"Criolla")</f>
        <v>Criolla</v>
      </c>
      <c r="N1785" s="2"/>
      <c r="O1785" s="2" t="str">
        <f ca="1">IFERROR(__xludf.DUMMYFUNCTION("""COMPUTED_VALUE"""),"Descubada")</f>
        <v>Descubada</v>
      </c>
      <c r="P1785" s="2" t="str">
        <f ca="1">IFERROR(__xludf.DUMMYFUNCTION("""COMPUTED_VALUE"""),"1er Trasiego")</f>
        <v>1er Trasiego</v>
      </c>
      <c r="Q1785" s="2" t="b">
        <f ca="1">IFERROR(__xludf.DUMMYFUNCTION("""COMPUTED_VALUE"""),TRUE)</f>
        <v>1</v>
      </c>
      <c r="R1785" s="2" t="str">
        <f ca="1">IFERROR(__xludf.DUMMYFUNCTION("""COMPUTED_VALUE"""),"1er Trasiego")</f>
        <v>1er Trasiego</v>
      </c>
      <c r="S1785" s="2"/>
      <c r="T1785" s="2"/>
      <c r="U1785" s="2" t="str">
        <f ca="1">IFERROR(__xludf.DUMMYFUNCTION("""COMPUTED_VALUE"""),"1+")</f>
        <v>1+</v>
      </c>
    </row>
    <row r="1786" spans="1:21" x14ac:dyDescent="0.25">
      <c r="A1786" s="2" t="str">
        <f ca="1">IFERROR(__xludf.DUMMYFUNCTION("""COMPUTED_VALUE"""),"7b9d0301")</f>
        <v>7b9d0301</v>
      </c>
      <c r="B1786" s="5">
        <f ca="1">IFERROR(__xludf.DUMMYFUNCTION("""COMPUTED_VALUE"""),46161.7110879629)</f>
        <v>46161.711087962904</v>
      </c>
      <c r="C1786" s="2" t="str">
        <f ca="1">IFERROR(__xludf.DUMMYFUNCTION("""COMPUTED_VALUE"""),"20d24f3c")</f>
        <v>20d24f3c</v>
      </c>
      <c r="D1786" s="2">
        <f ca="1">IFERROR(__xludf.DUMMYFUNCTION("""COMPUTED_VALUE"""),34)</f>
        <v>34</v>
      </c>
      <c r="E1786" s="2" t="str">
        <f ca="1">IFERROR(__xludf.DUMMYFUNCTION("""COMPUTED_VALUE"""),"Criolla")</f>
        <v>Criolla</v>
      </c>
      <c r="F1786" s="2">
        <f ca="1">IFERROR(__xludf.DUMMYFUNCTION("""COMPUTED_VALUE"""),39500)</f>
        <v>39500</v>
      </c>
      <c r="G1786" s="2">
        <f ca="1">IFERROR(__xludf.DUMMYFUNCTION("""COMPUTED_VALUE"""),24)</f>
        <v>24</v>
      </c>
      <c r="H1786" s="2" t="str">
        <f ca="1">IFERROR(__xludf.DUMMYFUNCTION("""COMPUTED_VALUE"""),"a5a271ff")</f>
        <v>a5a271ff</v>
      </c>
      <c r="I1786" s="2" t="str">
        <f ca="1">IFERROR(__xludf.DUMMYFUNCTION("""COMPUTED_VALUE"""),"Criolla")</f>
        <v>Criolla</v>
      </c>
      <c r="J1786" s="2">
        <f ca="1">IFERROR(__xludf.DUMMYFUNCTION("""COMPUTED_VALUE"""),79500)</f>
        <v>79500</v>
      </c>
      <c r="K1786" s="2">
        <f ca="1">IFERROR(__xludf.DUMMYFUNCTION("""COMPUTED_VALUE"""),119000)</f>
        <v>119000</v>
      </c>
      <c r="L1786" s="2" t="str">
        <f ca="1">IFERROR(__xludf.DUMMYFUNCTION("""COMPUTED_VALUE"""),"32ba1e32")</f>
        <v>32ba1e32</v>
      </c>
      <c r="M1786" s="2" t="str">
        <f ca="1">IFERROR(__xludf.DUMMYFUNCTION("""COMPUTED_VALUE"""),"Criolla")</f>
        <v>Criolla</v>
      </c>
      <c r="N1786" s="2"/>
      <c r="O1786" s="2" t="str">
        <f ca="1">IFERROR(__xludf.DUMMYFUNCTION("""COMPUTED_VALUE"""),"Descubada")</f>
        <v>Descubada</v>
      </c>
      <c r="P1786" s="2" t="str">
        <f ca="1">IFERROR(__xludf.DUMMYFUNCTION("""COMPUTED_VALUE"""),"1er Trasiego")</f>
        <v>1er Trasiego</v>
      </c>
      <c r="Q1786" s="2" t="b">
        <f ca="1">IFERROR(__xludf.DUMMYFUNCTION("""COMPUTED_VALUE"""),TRUE)</f>
        <v>1</v>
      </c>
      <c r="R1786" s="2" t="str">
        <f ca="1">IFERROR(__xludf.DUMMYFUNCTION("""COMPUTED_VALUE"""),"1er Trasiego")</f>
        <v>1er Trasiego</v>
      </c>
      <c r="S1786" s="2"/>
      <c r="T1786" s="2"/>
      <c r="U1786" s="2" t="str">
        <f ca="1">IFERROR(__xludf.DUMMYFUNCTION("""COMPUTED_VALUE"""),"1+")</f>
        <v>1+</v>
      </c>
    </row>
    <row r="1787" spans="1:21" x14ac:dyDescent="0.25">
      <c r="A1787" s="2" t="str">
        <f ca="1">IFERROR(__xludf.DUMMYFUNCTION("""COMPUTED_VALUE"""),"fc7ab7ee")</f>
        <v>fc7ab7ee</v>
      </c>
      <c r="B1787" s="5">
        <f ca="1">IFERROR(__xludf.DUMMYFUNCTION("""COMPUTED_VALUE"""),46161.7114699074)</f>
        <v>46161.711469907401</v>
      </c>
      <c r="C1787" s="2" t="str">
        <f ca="1">IFERROR(__xludf.DUMMYFUNCTION("""COMPUTED_VALUE"""),"d932789c")</f>
        <v>d932789c</v>
      </c>
      <c r="D1787" s="2">
        <f ca="1">IFERROR(__xludf.DUMMYFUNCTION("""COMPUTED_VALUE"""),65)</f>
        <v>65</v>
      </c>
      <c r="E1787" s="2" t="str">
        <f ca="1">IFERROR(__xludf.DUMMYFUNCTION("""COMPUTED_VALUE"""),"Criolla PC")</f>
        <v>Criolla PC</v>
      </c>
      <c r="F1787" s="2">
        <f ca="1">IFERROR(__xludf.DUMMYFUNCTION("""COMPUTED_VALUE"""),35500)</f>
        <v>35500</v>
      </c>
      <c r="G1787" s="2">
        <f ca="1">IFERROR(__xludf.DUMMYFUNCTION("""COMPUTED_VALUE"""),24)</f>
        <v>24</v>
      </c>
      <c r="H1787" s="2" t="str">
        <f ca="1">IFERROR(__xludf.DUMMYFUNCTION("""COMPUTED_VALUE"""),"32ba1e32")</f>
        <v>32ba1e32</v>
      </c>
      <c r="I1787" s="2" t="str">
        <f ca="1">IFERROR(__xludf.DUMMYFUNCTION("""COMPUTED_VALUE"""),"Criolla")</f>
        <v>Criolla</v>
      </c>
      <c r="J1787" s="2">
        <f ca="1">IFERROR(__xludf.DUMMYFUNCTION("""COMPUTED_VALUE"""),119000)</f>
        <v>119000</v>
      </c>
      <c r="K1787" s="2">
        <f ca="1">IFERROR(__xludf.DUMMYFUNCTION("""COMPUTED_VALUE"""),154500)</f>
        <v>154500</v>
      </c>
      <c r="L1787" s="2" t="str">
        <f ca="1">IFERROR(__xludf.DUMMYFUNCTION("""COMPUTED_VALUE"""),"dd7f3396")</f>
        <v>dd7f3396</v>
      </c>
      <c r="M1787" s="2" t="str">
        <f ca="1">IFERROR(__xludf.DUMMYFUNCTION("""COMPUTED_VALUE"""),"Criolla")</f>
        <v>Criolla</v>
      </c>
      <c r="N1787" s="2"/>
      <c r="O1787" s="2" t="str">
        <f ca="1">IFERROR(__xludf.DUMMYFUNCTION("""COMPUTED_VALUE"""),"Fermentando")</f>
        <v>Fermentando</v>
      </c>
      <c r="P1787" s="2" t="str">
        <f ca="1">IFERROR(__xludf.DUMMYFUNCTION("""COMPUTED_VALUE"""),"1er Trasiego")</f>
        <v>1er Trasiego</v>
      </c>
      <c r="Q1787" s="2" t="b">
        <f ca="1">IFERROR(__xludf.DUMMYFUNCTION("""COMPUTED_VALUE"""),TRUE)</f>
        <v>1</v>
      </c>
      <c r="R1787" s="2" t="str">
        <f ca="1">IFERROR(__xludf.DUMMYFUNCTION("""COMPUTED_VALUE"""),"1er Trasiego")</f>
        <v>1er Trasiego</v>
      </c>
      <c r="S1787" s="2"/>
      <c r="T1787" s="2"/>
      <c r="U1787" s="2" t="str">
        <f ca="1">IFERROR(__xludf.DUMMYFUNCTION("""COMPUTED_VALUE"""),"1+")</f>
        <v>1+</v>
      </c>
    </row>
    <row r="1788" spans="1:21" x14ac:dyDescent="0.25">
      <c r="A1788" s="2" t="str">
        <f ca="1">IFERROR(__xludf.DUMMYFUNCTION("""COMPUTED_VALUE"""),"1a5a728e")</f>
        <v>1a5a728e</v>
      </c>
      <c r="B1788" s="5">
        <f ca="1">IFERROR(__xludf.DUMMYFUNCTION("""COMPUTED_VALUE"""),46161.7117592592)</f>
        <v>46161.711759259197</v>
      </c>
      <c r="C1788" s="2" t="str">
        <f ca="1">IFERROR(__xludf.DUMMYFUNCTION("""COMPUTED_VALUE"""),"cf52dbc2")</f>
        <v>cf52dbc2</v>
      </c>
      <c r="D1788" s="2">
        <f ca="1">IFERROR(__xludf.DUMMYFUNCTION("""COMPUTED_VALUE"""),52)</f>
        <v>52</v>
      </c>
      <c r="E1788" s="2" t="str">
        <f ca="1">IFERROR(__xludf.DUMMYFUNCTION("""COMPUTED_VALUE"""),"Criolla Vol")</f>
        <v>Criolla Vol</v>
      </c>
      <c r="F1788" s="2">
        <f ca="1">IFERROR(__xludf.DUMMYFUNCTION("""COMPUTED_VALUE"""),4700)</f>
        <v>4700</v>
      </c>
      <c r="G1788" s="2">
        <f ca="1">IFERROR(__xludf.DUMMYFUNCTION("""COMPUTED_VALUE"""),24)</f>
        <v>24</v>
      </c>
      <c r="H1788" s="2" t="str">
        <f ca="1">IFERROR(__xludf.DUMMYFUNCTION("""COMPUTED_VALUE"""),"dd7f3396")</f>
        <v>dd7f3396</v>
      </c>
      <c r="I1788" s="2" t="str">
        <f ca="1">IFERROR(__xludf.DUMMYFUNCTION("""COMPUTED_VALUE"""),"Criolla")</f>
        <v>Criolla</v>
      </c>
      <c r="J1788" s="2">
        <f ca="1">IFERROR(__xludf.DUMMYFUNCTION("""COMPUTED_VALUE"""),154500)</f>
        <v>154500</v>
      </c>
      <c r="K1788" s="2">
        <f ca="1">IFERROR(__xludf.DUMMYFUNCTION("""COMPUTED_VALUE"""),159200)</f>
        <v>159200</v>
      </c>
      <c r="L1788" s="2" t="str">
        <f ca="1">IFERROR(__xludf.DUMMYFUNCTION("""COMPUTED_VALUE"""),"0e75af49")</f>
        <v>0e75af49</v>
      </c>
      <c r="M1788" s="2" t="str">
        <f ca="1">IFERROR(__xludf.DUMMYFUNCTION("""COMPUTED_VALUE"""),"Criolla Vol")</f>
        <v>Criolla Vol</v>
      </c>
      <c r="N1788" s="2"/>
      <c r="O1788" s="2" t="str">
        <f ca="1">IFERROR(__xludf.DUMMYFUNCTION("""COMPUTED_VALUE"""),"Rectificado")</f>
        <v>Rectificado</v>
      </c>
      <c r="P1788" s="2" t="str">
        <f ca="1">IFERROR(__xludf.DUMMYFUNCTION("""COMPUTED_VALUE"""),"1er Trasiego")</f>
        <v>1er Trasiego</v>
      </c>
      <c r="Q1788" s="2" t="b">
        <f ca="1">IFERROR(__xludf.DUMMYFUNCTION("""COMPUTED_VALUE"""),FALSE)</f>
        <v>0</v>
      </c>
      <c r="R1788" s="2" t="str">
        <f ca="1">IFERROR(__xludf.DUMMYFUNCTION("""COMPUTED_VALUE"""),"Rectificado")</f>
        <v>Rectificado</v>
      </c>
      <c r="S1788" s="2"/>
      <c r="T1788" s="2"/>
      <c r="U1788" s="2" t="str">
        <f ca="1">IFERROR(__xludf.DUMMYFUNCTION("""COMPUTED_VALUE"""),"1-")</f>
        <v>1-</v>
      </c>
    </row>
    <row r="1789" spans="1:21" x14ac:dyDescent="0.25">
      <c r="A1789" s="2" t="str">
        <f ca="1">IFERROR(__xludf.DUMMYFUNCTION("""COMPUTED_VALUE"""),"83eb3afb")</f>
        <v>83eb3afb</v>
      </c>
      <c r="B1789" s="5">
        <f ca="1">IFERROR(__xludf.DUMMYFUNCTION("""COMPUTED_VALUE"""),46161.7119444444)</f>
        <v>46161.711944444403</v>
      </c>
      <c r="C1789" s="2" t="str">
        <f ca="1">IFERROR(__xludf.DUMMYFUNCTION("""COMPUTED_VALUE"""),"a816c3ff")</f>
        <v>a816c3ff</v>
      </c>
      <c r="D1789" s="2">
        <f ca="1">IFERROR(__xludf.DUMMYFUNCTION("""COMPUTED_VALUE"""),80)</f>
        <v>80</v>
      </c>
      <c r="E1789" s="2" t="str">
        <f ca="1">IFERROR(__xludf.DUMMYFUNCTION("""COMPUTED_VALUE"""),"Criolla")</f>
        <v>Criolla</v>
      </c>
      <c r="F1789" s="2">
        <f ca="1">IFERROR(__xludf.DUMMYFUNCTION("""COMPUTED_VALUE"""),25000)</f>
        <v>25000</v>
      </c>
      <c r="G1789" s="2">
        <f ca="1">IFERROR(__xludf.DUMMYFUNCTION("""COMPUTED_VALUE"""),24)</f>
        <v>24</v>
      </c>
      <c r="H1789" s="2" t="str">
        <f ca="1">IFERROR(__xludf.DUMMYFUNCTION("""COMPUTED_VALUE"""),"0e75af49")</f>
        <v>0e75af49</v>
      </c>
      <c r="I1789" s="2" t="str">
        <f ca="1">IFERROR(__xludf.DUMMYFUNCTION("""COMPUTED_VALUE"""),"Criolla Vol")</f>
        <v>Criolla Vol</v>
      </c>
      <c r="J1789" s="2">
        <f ca="1">IFERROR(__xludf.DUMMYFUNCTION("""COMPUTED_VALUE"""),159200)</f>
        <v>159200</v>
      </c>
      <c r="K1789" s="2">
        <f ca="1">IFERROR(__xludf.DUMMYFUNCTION("""COMPUTED_VALUE"""),184200)</f>
        <v>184200</v>
      </c>
      <c r="L1789" s="2" t="str">
        <f ca="1">IFERROR(__xludf.DUMMYFUNCTION("""COMPUTED_VALUE"""),"2c1bae95")</f>
        <v>2c1bae95</v>
      </c>
      <c r="M1789" s="2" t="str">
        <f ca="1">IFERROR(__xludf.DUMMYFUNCTION("""COMPUTED_VALUE"""),"Criolla")</f>
        <v>Criolla</v>
      </c>
      <c r="N1789" s="2"/>
      <c r="O1789" s="2" t="str">
        <f ca="1">IFERROR(__xludf.DUMMYFUNCTION("""COMPUTED_VALUE"""),"Fermentando")</f>
        <v>Fermentando</v>
      </c>
      <c r="P1789" s="2" t="str">
        <f ca="1">IFERROR(__xludf.DUMMYFUNCTION("""COMPUTED_VALUE"""),"Rectificado")</f>
        <v>Rectificado</v>
      </c>
      <c r="Q1789" s="2" t="b">
        <f ca="1">IFERROR(__xludf.DUMMYFUNCTION("""COMPUTED_VALUE"""),FALSE)</f>
        <v>0</v>
      </c>
      <c r="R1789" s="2" t="str">
        <f ca="1">IFERROR(__xludf.DUMMYFUNCTION("""COMPUTED_VALUE"""),"Fermentando")</f>
        <v>Fermentando</v>
      </c>
      <c r="S1789" s="2"/>
      <c r="T1789" s="2"/>
      <c r="U1789" s="2" t="str">
        <f ca="1">IFERROR(__xludf.DUMMYFUNCTION("""COMPUTED_VALUE"""),"1-")</f>
        <v>1-</v>
      </c>
    </row>
    <row r="1790" spans="1:21" x14ac:dyDescent="0.25">
      <c r="A1790" s="2" t="str">
        <f ca="1">IFERROR(__xludf.DUMMYFUNCTION("""COMPUTED_VALUE"""),"55a6b6e3")</f>
        <v>55a6b6e3</v>
      </c>
      <c r="B1790" s="5">
        <f ca="1">IFERROR(__xludf.DUMMYFUNCTION("""COMPUTED_VALUE"""),46161.7182986111)</f>
        <v>46161.7182986111</v>
      </c>
      <c r="C1790" s="2" t="str">
        <f ca="1">IFERROR(__xludf.DUMMYFUNCTION("""COMPUTED_VALUE"""),"8a001ceb")</f>
        <v>8a001ceb</v>
      </c>
      <c r="D1790" s="2">
        <f ca="1">IFERROR(__xludf.DUMMYFUNCTION("""COMPUTED_VALUE"""),32)</f>
        <v>32</v>
      </c>
      <c r="E1790" s="2" t="str">
        <f ca="1">IFERROR(__xludf.DUMMYFUNCTION("""COMPUTED_VALUE"""),"Malbec")</f>
        <v>Malbec</v>
      </c>
      <c r="F1790" s="2">
        <f ca="1">IFERROR(__xludf.DUMMYFUNCTION("""COMPUTED_VALUE"""),36300)</f>
        <v>36300</v>
      </c>
      <c r="G1790" s="2">
        <f ca="1">IFERROR(__xludf.DUMMYFUNCTION("""COMPUTED_VALUE"""),121)</f>
        <v>121</v>
      </c>
      <c r="H1790" s="2" t="str">
        <f ca="1">IFERROR(__xludf.DUMMYFUNCTION("""COMPUTED_VALUE"""),"cc55ff02")</f>
        <v>cc55ff02</v>
      </c>
      <c r="I1790" s="2" t="str">
        <f ca="1">IFERROR(__xludf.DUMMYFUNCTION("""COMPUTED_VALUE"""),"Malbec")</f>
        <v>Malbec</v>
      </c>
      <c r="J1790" s="2">
        <f ca="1">IFERROR(__xludf.DUMMYFUNCTION("""COMPUTED_VALUE"""),31000)</f>
        <v>31000</v>
      </c>
      <c r="K1790" s="2">
        <f ca="1">IFERROR(__xludf.DUMMYFUNCTION("""COMPUTED_VALUE"""),67300)</f>
        <v>67300</v>
      </c>
      <c r="L1790" s="2" t="str">
        <f ca="1">IFERROR(__xludf.DUMMYFUNCTION("""COMPUTED_VALUE"""),"ac319851")</f>
        <v>ac319851</v>
      </c>
      <c r="M1790" s="2" t="str">
        <f ca="1">IFERROR(__xludf.DUMMYFUNCTION("""COMPUTED_VALUE"""),"Malbec")</f>
        <v>Malbec</v>
      </c>
      <c r="N1790" s="2"/>
      <c r="O1790" s="2" t="str">
        <f ca="1">IFERROR(__xludf.DUMMYFUNCTION("""COMPUTED_VALUE"""),"Descubada")</f>
        <v>Descubada</v>
      </c>
      <c r="P1790" s="2" t="str">
        <f ca="1">IFERROR(__xludf.DUMMYFUNCTION("""COMPUTED_VALUE"""),"Descubada")</f>
        <v>Descubada</v>
      </c>
      <c r="Q1790" s="2" t="b">
        <f ca="1">IFERROR(__xludf.DUMMYFUNCTION("""COMPUTED_VALUE"""),FALSE)</f>
        <v>0</v>
      </c>
      <c r="R1790" s="2" t="str">
        <f ca="1">IFERROR(__xludf.DUMMYFUNCTION("""COMPUTED_VALUE"""),"1er Trasiego")</f>
        <v>1er Trasiego</v>
      </c>
      <c r="S1790" s="2"/>
      <c r="T1790" s="2"/>
      <c r="U1790" s="2"/>
    </row>
    <row r="1791" spans="1:21" x14ac:dyDescent="0.25">
      <c r="A1791" s="2" t="str">
        <f ca="1">IFERROR(__xludf.DUMMYFUNCTION("""COMPUTED_VALUE"""),"f9991aec")</f>
        <v>f9991aec</v>
      </c>
      <c r="B1791" s="5">
        <f ca="1">IFERROR(__xludf.DUMMYFUNCTION("""COMPUTED_VALUE"""),46161.7187037037)</f>
        <v>46161.7187037037</v>
      </c>
      <c r="C1791" s="2" t="str">
        <f ca="1">IFERROR(__xludf.DUMMYFUNCTION("""COMPUTED_VALUE"""),"ee47bf75")</f>
        <v>ee47bf75</v>
      </c>
      <c r="D1791" s="2">
        <f ca="1">IFERROR(__xludf.DUMMYFUNCTION("""COMPUTED_VALUE"""),41)</f>
        <v>41</v>
      </c>
      <c r="E1791" s="2" t="str">
        <f ca="1">IFERROR(__xludf.DUMMYFUNCTION("""COMPUTED_VALUE"""),"Malbec Mer s/Asp 3")</f>
        <v>Malbec Mer s/Asp 3</v>
      </c>
      <c r="F1791" s="2">
        <f ca="1">IFERROR(__xludf.DUMMYFUNCTION("""COMPUTED_VALUE"""),18500)</f>
        <v>18500</v>
      </c>
      <c r="G1791" s="2">
        <f ca="1">IFERROR(__xludf.DUMMYFUNCTION("""COMPUTED_VALUE"""),121)</f>
        <v>121</v>
      </c>
      <c r="H1791" s="2" t="str">
        <f ca="1">IFERROR(__xludf.DUMMYFUNCTION("""COMPUTED_VALUE"""),"ac319851")</f>
        <v>ac319851</v>
      </c>
      <c r="I1791" s="2" t="str">
        <f ca="1">IFERROR(__xludf.DUMMYFUNCTION("""COMPUTED_VALUE"""),"Malbec")</f>
        <v>Malbec</v>
      </c>
      <c r="J1791" s="2">
        <f ca="1">IFERROR(__xludf.DUMMYFUNCTION("""COMPUTED_VALUE"""),67300)</f>
        <v>67300</v>
      </c>
      <c r="K1791" s="2">
        <f ca="1">IFERROR(__xludf.DUMMYFUNCTION("""COMPUTED_VALUE"""),85800)</f>
        <v>85800</v>
      </c>
      <c r="L1791" s="2" t="str">
        <f ca="1">IFERROR(__xludf.DUMMYFUNCTION("""COMPUTED_VALUE"""),"2f111639")</f>
        <v>2f111639</v>
      </c>
      <c r="M1791" s="2" t="str">
        <f ca="1">IFERROR(__xludf.DUMMYFUNCTION("""COMPUTED_VALUE"""),"Malbec")</f>
        <v>Malbec</v>
      </c>
      <c r="N1791" s="2"/>
      <c r="O1791" s="2" t="str">
        <f ca="1">IFERROR(__xludf.DUMMYFUNCTION("""COMPUTED_VALUE"""),"Descubada")</f>
        <v>Descubada</v>
      </c>
      <c r="P1791" s="2" t="str">
        <f ca="1">IFERROR(__xludf.DUMMYFUNCTION("""COMPUTED_VALUE"""),"1er Trasiego")</f>
        <v>1er Trasiego</v>
      </c>
      <c r="Q1791" s="2" t="b">
        <f ca="1">IFERROR(__xludf.DUMMYFUNCTION("""COMPUTED_VALUE"""),TRUE)</f>
        <v>1</v>
      </c>
      <c r="R1791" s="2" t="str">
        <f ca="1">IFERROR(__xludf.DUMMYFUNCTION("""COMPUTED_VALUE"""),"1er Trasiego")</f>
        <v>1er Trasiego</v>
      </c>
      <c r="S1791" s="2"/>
      <c r="T1791" s="2"/>
      <c r="U1791" s="2"/>
    </row>
    <row r="1792" spans="1:21" x14ac:dyDescent="0.25">
      <c r="A1792" s="2" t="str">
        <f ca="1">IFERROR(__xludf.DUMMYFUNCTION("""COMPUTED_VALUE"""),"085eb26b")</f>
        <v>085eb26b</v>
      </c>
      <c r="B1792" s="5">
        <f ca="1">IFERROR(__xludf.DUMMYFUNCTION("""COMPUTED_VALUE"""),46161.7190509259)</f>
        <v>46161.719050925902</v>
      </c>
      <c r="C1792" s="2" t="str">
        <f ca="1">IFERROR(__xludf.DUMMYFUNCTION("""COMPUTED_VALUE"""),"ee47bf75")</f>
        <v>ee47bf75</v>
      </c>
      <c r="D1792" s="2">
        <f ca="1">IFERROR(__xludf.DUMMYFUNCTION("""COMPUTED_VALUE"""),41)</f>
        <v>41</v>
      </c>
      <c r="E1792" s="2" t="str">
        <f ca="1">IFERROR(__xludf.DUMMYFUNCTION("""COMPUTED_VALUE"""),"Malbec Mer s/Asp 3")</f>
        <v>Malbec Mer s/Asp 3</v>
      </c>
      <c r="F1792" s="2">
        <f ca="1">IFERROR(__xludf.DUMMYFUNCTION("""COMPUTED_VALUE"""),400)</f>
        <v>400</v>
      </c>
      <c r="G1792" s="2">
        <f ca="1">IFERROR(__xludf.DUMMYFUNCTION("""COMPUTED_VALUE"""),108)</f>
        <v>108</v>
      </c>
      <c r="H1792" s="2" t="str">
        <f ca="1">IFERROR(__xludf.DUMMYFUNCTION("""COMPUTED_VALUE"""),"4f56ab94")</f>
        <v>4f56ab94</v>
      </c>
      <c r="I1792" s="2" t="str">
        <f ca="1">IFERROR(__xludf.DUMMYFUNCTION("""COMPUTED_VALUE"""),"Syrah Malbec s/Asp 2")</f>
        <v>Syrah Malbec s/Asp 2</v>
      </c>
      <c r="J1792" s="2">
        <f ca="1">IFERROR(__xludf.DUMMYFUNCTION("""COMPUTED_VALUE"""),30600)</f>
        <v>30600</v>
      </c>
      <c r="K1792" s="2">
        <f ca="1">IFERROR(__xludf.DUMMYFUNCTION("""COMPUTED_VALUE"""),31000)</f>
        <v>31000</v>
      </c>
      <c r="L1792" s="2" t="str">
        <f ca="1">IFERROR(__xludf.DUMMYFUNCTION("""COMPUTED_VALUE"""),"f4f50fc1")</f>
        <v>f4f50fc1</v>
      </c>
      <c r="M1792" s="2" t="str">
        <f ca="1">IFERROR(__xludf.DUMMYFUNCTION("""COMPUTED_VALUE"""),"Syrah Malbec s/Asp 2")</f>
        <v>Syrah Malbec s/Asp 2</v>
      </c>
      <c r="N1792" s="2"/>
      <c r="O1792" s="2" t="str">
        <f ca="1">IFERROR(__xludf.DUMMYFUNCTION("""COMPUTED_VALUE"""),"Descubada")</f>
        <v>Descubada</v>
      </c>
      <c r="P1792" s="2" t="str">
        <f ca="1">IFERROR(__xludf.DUMMYFUNCTION("""COMPUTED_VALUE"""),"1er Trasiego")</f>
        <v>1er Trasiego</v>
      </c>
      <c r="Q1792" s="2" t="b">
        <f ca="1">IFERROR(__xludf.DUMMYFUNCTION("""COMPUTED_VALUE"""),TRUE)</f>
        <v>1</v>
      </c>
      <c r="R1792" s="2" t="str">
        <f ca="1">IFERROR(__xludf.DUMMYFUNCTION("""COMPUTED_VALUE"""),"1er Trasiego")</f>
        <v>1er Trasiego</v>
      </c>
      <c r="S1792" s="2"/>
      <c r="T1792" s="2"/>
      <c r="U1792" s="2"/>
    </row>
    <row r="1793" spans="1:21" x14ac:dyDescent="0.25">
      <c r="A1793" s="2" t="str">
        <f ca="1">IFERROR(__xludf.DUMMYFUNCTION("""COMPUTED_VALUE"""),"1848720f")</f>
        <v>1848720f</v>
      </c>
      <c r="B1793" s="5">
        <f ca="1">IFERROR(__xludf.DUMMYFUNCTION("""COMPUTED_VALUE"""),46161.7192708333)</f>
        <v>46161.719270833302</v>
      </c>
      <c r="C1793" s="2" t="str">
        <f ca="1">IFERROR(__xludf.DUMMYFUNCTION("""COMPUTED_VALUE"""),"ee47bf75")</f>
        <v>ee47bf75</v>
      </c>
      <c r="D1793" s="2">
        <f ca="1">IFERROR(__xludf.DUMMYFUNCTION("""COMPUTED_VALUE"""),41)</f>
        <v>41</v>
      </c>
      <c r="E1793" s="2" t="str">
        <f ca="1">IFERROR(__xludf.DUMMYFUNCTION("""COMPUTED_VALUE"""),"Malbec Mer s/Asp 3")</f>
        <v>Malbec Mer s/Asp 3</v>
      </c>
      <c r="F1793" s="2">
        <f ca="1">IFERROR(__xludf.DUMMYFUNCTION("""COMPUTED_VALUE"""),11000)</f>
        <v>11000</v>
      </c>
      <c r="G1793" s="2">
        <f ca="1">IFERROR(__xludf.DUMMYFUNCTION("""COMPUTED_VALUE"""),106)</f>
        <v>106</v>
      </c>
      <c r="H1793" s="2"/>
      <c r="I1793" s="2"/>
      <c r="J1793" s="2">
        <f ca="1">IFERROR(__xludf.DUMMYFUNCTION("""COMPUTED_VALUE"""),0)</f>
        <v>0</v>
      </c>
      <c r="K1793" s="2">
        <f ca="1">IFERROR(__xludf.DUMMYFUNCTION("""COMPUTED_VALUE"""),11000)</f>
        <v>11000</v>
      </c>
      <c r="L1793" s="2" t="str">
        <f ca="1">IFERROR(__xludf.DUMMYFUNCTION("""COMPUTED_VALUE"""),"33054c4c")</f>
        <v>33054c4c</v>
      </c>
      <c r="M1793" s="2" t="str">
        <f ca="1">IFERROR(__xludf.DUMMYFUNCTION("""COMPUTED_VALUE"""),"Malbec Mer s/Asp 3")</f>
        <v>Malbec Mer s/Asp 3</v>
      </c>
      <c r="N1793" s="2"/>
      <c r="O1793" s="2" t="str">
        <f ca="1">IFERROR(__xludf.DUMMYFUNCTION("""COMPUTED_VALUE"""),"Descubada")</f>
        <v>Descubada</v>
      </c>
      <c r="P1793" s="2"/>
      <c r="Q1793" s="2" t="b">
        <f ca="1">IFERROR(__xludf.DUMMYFUNCTION("""COMPUTED_VALUE"""),FALSE)</f>
        <v>0</v>
      </c>
      <c r="R1793" s="2" t="str">
        <f ca="1">IFERROR(__xludf.DUMMYFUNCTION("""COMPUTED_VALUE"""),"1er Trasiego")</f>
        <v>1er Trasiego</v>
      </c>
      <c r="S1793" s="2"/>
      <c r="T1793" s="2"/>
      <c r="U1793" s="2"/>
    </row>
    <row r="1794" spans="1:21" x14ac:dyDescent="0.25">
      <c r="A1794" s="2" t="str">
        <f ca="1">IFERROR(__xludf.DUMMYFUNCTION("""COMPUTED_VALUE"""),"0de53bf4")</f>
        <v>0de53bf4</v>
      </c>
      <c r="B1794" s="5">
        <f ca="1">IFERROR(__xludf.DUMMYFUNCTION("""COMPUTED_VALUE"""),46161.7196643518)</f>
        <v>46161.719664351796</v>
      </c>
      <c r="C1794" s="2" t="str">
        <f ca="1">IFERROR(__xludf.DUMMYFUNCTION("""COMPUTED_VALUE"""),"ee47bf75")</f>
        <v>ee47bf75</v>
      </c>
      <c r="D1794" s="2">
        <f ca="1">IFERROR(__xludf.DUMMYFUNCTION("""COMPUTED_VALUE"""),41)</f>
        <v>41</v>
      </c>
      <c r="E1794" s="2" t="str">
        <f ca="1">IFERROR(__xludf.DUMMYFUNCTION("""COMPUTED_VALUE"""),"Malbec Mer s/Asp 3")</f>
        <v>Malbec Mer s/Asp 3</v>
      </c>
      <c r="F1794" s="2">
        <f ca="1">IFERROR(__xludf.DUMMYFUNCTION("""COMPUTED_VALUE"""),2000)</f>
        <v>2000</v>
      </c>
      <c r="G1794" s="2">
        <f ca="1">IFERROR(__xludf.DUMMYFUNCTION("""COMPUTED_VALUE"""),109)</f>
        <v>109</v>
      </c>
      <c r="H1794" s="2"/>
      <c r="I1794" s="2"/>
      <c r="J1794" s="2">
        <f ca="1">IFERROR(__xludf.DUMMYFUNCTION("""COMPUTED_VALUE"""),0)</f>
        <v>0</v>
      </c>
      <c r="K1794" s="2">
        <f ca="1">IFERROR(__xludf.DUMMYFUNCTION("""COMPUTED_VALUE"""),2000)</f>
        <v>2000</v>
      </c>
      <c r="L1794" s="2" t="str">
        <f ca="1">IFERROR(__xludf.DUMMYFUNCTION("""COMPUTED_VALUE"""),"173d8e07")</f>
        <v>173d8e07</v>
      </c>
      <c r="M1794" s="2" t="str">
        <f ca="1">IFERROR(__xludf.DUMMYFUNCTION("""COMPUTED_VALUE"""),"Malbec Mer s/Asp 3")</f>
        <v>Malbec Mer s/Asp 3</v>
      </c>
      <c r="N1794" s="2"/>
      <c r="O1794" s="2" t="str">
        <f ca="1">IFERROR(__xludf.DUMMYFUNCTION("""COMPUTED_VALUE"""),"Descubada")</f>
        <v>Descubada</v>
      </c>
      <c r="P1794" s="2"/>
      <c r="Q1794" s="2" t="b">
        <f ca="1">IFERROR(__xludf.DUMMYFUNCTION("""COMPUTED_VALUE"""),FALSE)</f>
        <v>0</v>
      </c>
      <c r="R1794" s="2" t="str">
        <f ca="1">IFERROR(__xludf.DUMMYFUNCTION("""COMPUTED_VALUE"""),"1er Trasiego")</f>
        <v>1er Trasiego</v>
      </c>
      <c r="S1794" s="2"/>
      <c r="T1794" s="2"/>
      <c r="U1794" s="2"/>
    </row>
    <row r="1795" spans="1:21" x14ac:dyDescent="0.25">
      <c r="A1795" s="2" t="str">
        <f ca="1">IFERROR(__xludf.DUMMYFUNCTION("""COMPUTED_VALUE"""),"576ac4ce")</f>
        <v>576ac4ce</v>
      </c>
      <c r="B1795" s="5">
        <f ca="1">IFERROR(__xludf.DUMMYFUNCTION("""COMPUTED_VALUE"""),46161.7202314814)</f>
        <v>46161.720231481399</v>
      </c>
      <c r="C1795" s="2" t="str">
        <f ca="1">IFERROR(__xludf.DUMMYFUNCTION("""COMPUTED_VALUE"""),"ee47bf75")</f>
        <v>ee47bf75</v>
      </c>
      <c r="D1795" s="2">
        <f ca="1">IFERROR(__xludf.DUMMYFUNCTION("""COMPUTED_VALUE"""),41)</f>
        <v>41</v>
      </c>
      <c r="E1795" s="2" t="str">
        <f ca="1">IFERROR(__xludf.DUMMYFUNCTION("""COMPUTED_VALUE"""),"Malbec Mer s/Asp 3")</f>
        <v>Malbec Mer s/Asp 3</v>
      </c>
      <c r="F1795" s="2">
        <f ca="1">IFERROR(__xludf.DUMMYFUNCTION("""COMPUTED_VALUE"""),3200)</f>
        <v>3200</v>
      </c>
      <c r="G1795" s="2">
        <f ca="1">IFERROR(__xludf.DUMMYFUNCTION("""COMPUTED_VALUE"""),935)</f>
        <v>935</v>
      </c>
      <c r="H1795" s="2" t="str">
        <f ca="1">IFERROR(__xludf.DUMMYFUNCTION("""COMPUTED_VALUE"""),"87842814")</f>
        <v>87842814</v>
      </c>
      <c r="I1795" s="2" t="str">
        <f ca="1">IFERROR(__xludf.DUMMYFUNCTION("""COMPUTED_VALUE"""),"Borra")</f>
        <v>Borra</v>
      </c>
      <c r="J1795" s="2">
        <f ca="1">IFERROR(__xludf.DUMMYFUNCTION("""COMPUTED_VALUE"""),7400)</f>
        <v>7400</v>
      </c>
      <c r="K1795" s="2">
        <f ca="1">IFERROR(__xludf.DUMMYFUNCTION("""COMPUTED_VALUE"""),10600)</f>
        <v>10600</v>
      </c>
      <c r="L1795" s="2" t="str">
        <f ca="1">IFERROR(__xludf.DUMMYFUNCTION("""COMPUTED_VALUE"""),"7ee6c7e5")</f>
        <v>7ee6c7e5</v>
      </c>
      <c r="M1795" s="2" t="str">
        <f ca="1">IFERROR(__xludf.DUMMYFUNCTION("""COMPUTED_VALUE"""),"Borra")</f>
        <v>Borra</v>
      </c>
      <c r="N1795" s="2"/>
      <c r="O1795" s="2" t="str">
        <f ca="1">IFERROR(__xludf.DUMMYFUNCTION("""COMPUTED_VALUE"""),"Descubada")</f>
        <v>Descubada</v>
      </c>
      <c r="P1795" s="2" t="str">
        <f ca="1">IFERROR(__xludf.DUMMYFUNCTION("""COMPUTED_VALUE"""),"1er Trasiego")</f>
        <v>1er Trasiego</v>
      </c>
      <c r="Q1795" s="2" t="b">
        <f ca="1">IFERROR(__xludf.DUMMYFUNCTION("""COMPUTED_VALUE"""),TRUE)</f>
        <v>1</v>
      </c>
      <c r="R1795" s="2" t="str">
        <f ca="1">IFERROR(__xludf.DUMMYFUNCTION("""COMPUTED_VALUE"""),"1er Trasiego")</f>
        <v>1er Trasiego</v>
      </c>
      <c r="S1795" s="2"/>
      <c r="T1795" s="2"/>
      <c r="U1795" s="2"/>
    </row>
    <row r="1796" spans="1:21" x14ac:dyDescent="0.25">
      <c r="A1796" s="2" t="str">
        <f ca="1">IFERROR(__xludf.DUMMYFUNCTION("""COMPUTED_VALUE"""),"992fcc3c")</f>
        <v>992fcc3c</v>
      </c>
      <c r="B1796" s="5">
        <f ca="1">IFERROR(__xludf.DUMMYFUNCTION("""COMPUTED_VALUE"""),46161.7204861111)</f>
        <v>46161.720486111102</v>
      </c>
      <c r="C1796" s="2" t="str">
        <f ca="1">IFERROR(__xludf.DUMMYFUNCTION("""COMPUTED_VALUE"""),"b5cd66a6")</f>
        <v>b5cd66a6</v>
      </c>
      <c r="D1796" s="2">
        <f ca="1">IFERROR(__xludf.DUMMYFUNCTION("""COMPUTED_VALUE"""),11)</f>
        <v>11</v>
      </c>
      <c r="E1796" s="2" t="str">
        <f ca="1">IFERROR(__xludf.DUMMYFUNCTION("""COMPUTED_VALUE"""),"Anccellota Aspirant Rect")</f>
        <v>Anccellota Aspirant Rect</v>
      </c>
      <c r="F1796" s="2">
        <f ca="1">IFERROR(__xludf.DUMMYFUNCTION("""COMPUTED_VALUE"""),13600)</f>
        <v>13600</v>
      </c>
      <c r="G1796" s="2">
        <f ca="1">IFERROR(__xludf.DUMMYFUNCTION("""COMPUTED_VALUE"""),109)</f>
        <v>109</v>
      </c>
      <c r="H1796" s="2" t="str">
        <f ca="1">IFERROR(__xludf.DUMMYFUNCTION("""COMPUTED_VALUE"""),"173d8e07")</f>
        <v>173d8e07</v>
      </c>
      <c r="I1796" s="2" t="str">
        <f ca="1">IFERROR(__xludf.DUMMYFUNCTION("""COMPUTED_VALUE"""),"Malbec Mer s/Asp 3")</f>
        <v>Malbec Mer s/Asp 3</v>
      </c>
      <c r="J1796" s="2">
        <f ca="1">IFERROR(__xludf.DUMMYFUNCTION("""COMPUTED_VALUE"""),2000)</f>
        <v>2000</v>
      </c>
      <c r="K1796" s="2">
        <f ca="1">IFERROR(__xludf.DUMMYFUNCTION("""COMPUTED_VALUE"""),15600)</f>
        <v>15600</v>
      </c>
      <c r="L1796" s="2" t="str">
        <f ca="1">IFERROR(__xludf.DUMMYFUNCTION("""COMPUTED_VALUE"""),"36c93198")</f>
        <v>36c93198</v>
      </c>
      <c r="M1796" s="2" t="str">
        <f ca="1">IFERROR(__xludf.DUMMYFUNCTION("""COMPUTED_VALUE"""),"Anccellota Aspirant Rect")</f>
        <v>Anccellota Aspirant Rect</v>
      </c>
      <c r="N1796" s="2"/>
      <c r="O1796" s="2" t="str">
        <f ca="1">IFERROR(__xludf.DUMMYFUNCTION("""COMPUTED_VALUE"""),"Rectificado")</f>
        <v>Rectificado</v>
      </c>
      <c r="P1796" s="2" t="str">
        <f ca="1">IFERROR(__xludf.DUMMYFUNCTION("""COMPUTED_VALUE"""),"1er Trasiego")</f>
        <v>1er Trasiego</v>
      </c>
      <c r="Q1796" s="2" t="b">
        <f ca="1">IFERROR(__xludf.DUMMYFUNCTION("""COMPUTED_VALUE"""),FALSE)</f>
        <v>0</v>
      </c>
      <c r="R1796" s="2" t="str">
        <f ca="1">IFERROR(__xludf.DUMMYFUNCTION("""COMPUTED_VALUE"""),"Rectificado")</f>
        <v>Rectificado</v>
      </c>
      <c r="S1796" s="2"/>
      <c r="T1796" s="2"/>
      <c r="U1796" s="2" t="str">
        <f ca="1">IFERROR(__xludf.DUMMYFUNCTION("""COMPUTED_VALUE"""),"2+")</f>
        <v>2+</v>
      </c>
    </row>
    <row r="1797" spans="1:21" x14ac:dyDescent="0.25">
      <c r="A1797" s="2" t="str">
        <f ca="1">IFERROR(__xludf.DUMMYFUNCTION("""COMPUTED_VALUE"""),"dcd16796")</f>
        <v>dcd16796</v>
      </c>
      <c r="B1797" s="5">
        <f ca="1">IFERROR(__xludf.DUMMYFUNCTION("""COMPUTED_VALUE"""),46161.7212268518)</f>
        <v>46161.721226851798</v>
      </c>
      <c r="C1797" s="2" t="str">
        <f ca="1">IFERROR(__xludf.DUMMYFUNCTION("""COMPUTED_VALUE"""),"b5cd66a6")</f>
        <v>b5cd66a6</v>
      </c>
      <c r="D1797" s="2">
        <f ca="1">IFERROR(__xludf.DUMMYFUNCTION("""COMPUTED_VALUE"""),11)</f>
        <v>11</v>
      </c>
      <c r="E1797" s="2" t="str">
        <f ca="1">IFERROR(__xludf.DUMMYFUNCTION("""COMPUTED_VALUE"""),"Anccellota Aspirant Rect")</f>
        <v>Anccellota Aspirant Rect</v>
      </c>
      <c r="F1797" s="2">
        <f ca="1">IFERROR(__xludf.DUMMYFUNCTION("""COMPUTED_VALUE"""),15600)</f>
        <v>15600</v>
      </c>
      <c r="G1797" s="2">
        <f ca="1">IFERROR(__xludf.DUMMYFUNCTION("""COMPUTED_VALUE"""),110)</f>
        <v>110</v>
      </c>
      <c r="H1797" s="2"/>
      <c r="I1797" s="2"/>
      <c r="J1797" s="2">
        <f ca="1">IFERROR(__xludf.DUMMYFUNCTION("""COMPUTED_VALUE"""),0)</f>
        <v>0</v>
      </c>
      <c r="K1797" s="2">
        <f ca="1">IFERROR(__xludf.DUMMYFUNCTION("""COMPUTED_VALUE"""),15600)</f>
        <v>15600</v>
      </c>
      <c r="L1797" s="2" t="str">
        <f ca="1">IFERROR(__xludf.DUMMYFUNCTION("""COMPUTED_VALUE"""),"436f0ad4")</f>
        <v>436f0ad4</v>
      </c>
      <c r="M1797" s="2" t="str">
        <f ca="1">IFERROR(__xludf.DUMMYFUNCTION("""COMPUTED_VALUE"""),"Anccellota Aspirant Rect")</f>
        <v>Anccellota Aspirant Rect</v>
      </c>
      <c r="N1797" s="2"/>
      <c r="O1797" s="2" t="str">
        <f ca="1">IFERROR(__xludf.DUMMYFUNCTION("""COMPUTED_VALUE"""),"Rectificado")</f>
        <v>Rectificado</v>
      </c>
      <c r="P1797" s="2"/>
      <c r="Q1797" s="2" t="b">
        <f ca="1">IFERROR(__xludf.DUMMYFUNCTION("""COMPUTED_VALUE"""),FALSE)</f>
        <v>0</v>
      </c>
      <c r="R1797" s="2" t="str">
        <f ca="1">IFERROR(__xludf.DUMMYFUNCTION("""COMPUTED_VALUE"""),"Rectificado")</f>
        <v>Rectificado</v>
      </c>
      <c r="S1797" s="2"/>
      <c r="T1797" s="2"/>
      <c r="U1797" s="2" t="str">
        <f ca="1">IFERROR(__xludf.DUMMYFUNCTION("""COMPUTED_VALUE"""),"2+")</f>
        <v>2+</v>
      </c>
    </row>
    <row r="1798" spans="1:21" x14ac:dyDescent="0.25">
      <c r="A1798" s="2" t="str">
        <f ca="1">IFERROR(__xludf.DUMMYFUNCTION("""COMPUTED_VALUE"""),"70bf9114")</f>
        <v>70bf9114</v>
      </c>
      <c r="B1798" s="5">
        <f ca="1">IFERROR(__xludf.DUMMYFUNCTION("""COMPUTED_VALUE"""),46161.7214699074)</f>
        <v>46161.721469907403</v>
      </c>
      <c r="C1798" s="2" t="str">
        <f ca="1">IFERROR(__xludf.DUMMYFUNCTION("""COMPUTED_VALUE"""),"b5cd66a6")</f>
        <v>b5cd66a6</v>
      </c>
      <c r="D1798" s="2">
        <f ca="1">IFERROR(__xludf.DUMMYFUNCTION("""COMPUTED_VALUE"""),11)</f>
        <v>11</v>
      </c>
      <c r="E1798" s="2" t="str">
        <f ca="1">IFERROR(__xludf.DUMMYFUNCTION("""COMPUTED_VALUE"""),"Anccellota Aspirant Rect")</f>
        <v>Anccellota Aspirant Rect</v>
      </c>
      <c r="F1798" s="2">
        <f ca="1">IFERROR(__xludf.DUMMYFUNCTION("""COMPUTED_VALUE"""),800)</f>
        <v>800</v>
      </c>
      <c r="G1798" s="2">
        <f ca="1">IFERROR(__xludf.DUMMYFUNCTION("""COMPUTED_VALUE"""),25)</f>
        <v>25</v>
      </c>
      <c r="H1798" s="2"/>
      <c r="I1798" s="2"/>
      <c r="J1798" s="2">
        <f ca="1">IFERROR(__xludf.DUMMYFUNCTION("""COMPUTED_VALUE"""),0)</f>
        <v>0</v>
      </c>
      <c r="K1798" s="2">
        <f ca="1">IFERROR(__xludf.DUMMYFUNCTION("""COMPUTED_VALUE"""),800)</f>
        <v>800</v>
      </c>
      <c r="L1798" s="2" t="str">
        <f ca="1">IFERROR(__xludf.DUMMYFUNCTION("""COMPUTED_VALUE"""),"fefa8dcc")</f>
        <v>fefa8dcc</v>
      </c>
      <c r="M1798" s="2" t="str">
        <f ca="1">IFERROR(__xludf.DUMMYFUNCTION("""COMPUTED_VALUE"""),"Anccellota Aspirant Rect")</f>
        <v>Anccellota Aspirant Rect</v>
      </c>
      <c r="N1798" s="2"/>
      <c r="O1798" s="2" t="str">
        <f ca="1">IFERROR(__xludf.DUMMYFUNCTION("""COMPUTED_VALUE"""),"Rectificado")</f>
        <v>Rectificado</v>
      </c>
      <c r="P1798" s="2"/>
      <c r="Q1798" s="2" t="b">
        <f ca="1">IFERROR(__xludf.DUMMYFUNCTION("""COMPUTED_VALUE"""),FALSE)</f>
        <v>0</v>
      </c>
      <c r="R1798" s="2" t="str">
        <f ca="1">IFERROR(__xludf.DUMMYFUNCTION("""COMPUTED_VALUE"""),"Rectificado")</f>
        <v>Rectificado</v>
      </c>
      <c r="S1798" s="2"/>
      <c r="T1798" s="2"/>
      <c r="U1798" s="2" t="str">
        <f ca="1">IFERROR(__xludf.DUMMYFUNCTION("""COMPUTED_VALUE"""),"2+")</f>
        <v>2+</v>
      </c>
    </row>
    <row r="1799" spans="1:21" x14ac:dyDescent="0.25">
      <c r="A1799" s="2" t="str">
        <f ca="1">IFERROR(__xludf.DUMMYFUNCTION("""COMPUTED_VALUE"""),"80c40792")</f>
        <v>80c40792</v>
      </c>
      <c r="B1799" s="5">
        <f ca="1">IFERROR(__xludf.DUMMYFUNCTION("""COMPUTED_VALUE"""),46161.7294907407)</f>
        <v>46161.729490740698</v>
      </c>
      <c r="C1799" s="2" t="str">
        <f ca="1">IFERROR(__xludf.DUMMYFUNCTION("""COMPUTED_VALUE"""),"0f7ec44b")</f>
        <v>0f7ec44b</v>
      </c>
      <c r="D1799" s="2">
        <f ca="1">IFERROR(__xludf.DUMMYFUNCTION("""COMPUTED_VALUE"""),87)</f>
        <v>87</v>
      </c>
      <c r="E1799" s="2" t="str">
        <f ca="1">IFERROR(__xludf.DUMMYFUNCTION("""COMPUTED_VALUE"""),"Criolla Recarga PC")</f>
        <v>Criolla Recarga PC</v>
      </c>
      <c r="F1799" s="2">
        <f ca="1">IFERROR(__xludf.DUMMYFUNCTION("""COMPUTED_VALUE"""),93700)</f>
        <v>93700</v>
      </c>
      <c r="G1799" s="2">
        <f ca="1">IFERROR(__xludf.DUMMYFUNCTION("""COMPUTED_VALUE"""),25)</f>
        <v>25</v>
      </c>
      <c r="H1799" s="2" t="str">
        <f ca="1">IFERROR(__xludf.DUMMYFUNCTION("""COMPUTED_VALUE"""),"fefa8dcc")</f>
        <v>fefa8dcc</v>
      </c>
      <c r="I1799" s="2" t="str">
        <f ca="1">IFERROR(__xludf.DUMMYFUNCTION("""COMPUTED_VALUE"""),"Anccellota Aspirant Rect")</f>
        <v>Anccellota Aspirant Rect</v>
      </c>
      <c r="J1799" s="2">
        <f ca="1">IFERROR(__xludf.DUMMYFUNCTION("""COMPUTED_VALUE"""),800)</f>
        <v>800</v>
      </c>
      <c r="K1799" s="2">
        <f ca="1">IFERROR(__xludf.DUMMYFUNCTION("""COMPUTED_VALUE"""),94500)</f>
        <v>94500</v>
      </c>
      <c r="L1799" s="2" t="str">
        <f ca="1">IFERROR(__xludf.DUMMYFUNCTION("""COMPUTED_VALUE"""),"2a673d5e")</f>
        <v>2a673d5e</v>
      </c>
      <c r="M1799" s="2" t="str">
        <f ca="1">IFERROR(__xludf.DUMMYFUNCTION("""COMPUTED_VALUE"""),"Anccellota Aspirant Rect")</f>
        <v>Anccellota Aspirant Rect</v>
      </c>
      <c r="N1799" s="2"/>
      <c r="O1799" s="2" t="str">
        <f ca="1">IFERROR(__xludf.DUMMYFUNCTION("""COMPUTED_VALUE"""),"Descubada")</f>
        <v>Descubada</v>
      </c>
      <c r="P1799" s="2" t="str">
        <f ca="1">IFERROR(__xludf.DUMMYFUNCTION("""COMPUTED_VALUE"""),"Rectificado")</f>
        <v>Rectificado</v>
      </c>
      <c r="Q1799" s="2" t="b">
        <f ca="1">IFERROR(__xludf.DUMMYFUNCTION("""COMPUTED_VALUE"""),TRUE)</f>
        <v>1</v>
      </c>
      <c r="R1799" s="2" t="str">
        <f ca="1">IFERROR(__xludf.DUMMYFUNCTION("""COMPUTED_VALUE"""),"Rectificado")</f>
        <v>Rectificado</v>
      </c>
      <c r="S1799" s="2"/>
      <c r="T1799" s="2"/>
      <c r="U1799" s="2" t="str">
        <f ca="1">IFERROR(__xludf.DUMMYFUNCTION("""COMPUTED_VALUE"""),"2+")</f>
        <v>2+</v>
      </c>
    </row>
    <row r="1800" spans="1:21" x14ac:dyDescent="0.25">
      <c r="A1800" s="2" t="str">
        <f ca="1">IFERROR(__xludf.DUMMYFUNCTION("""COMPUTED_VALUE"""),"e9258cee")</f>
        <v>e9258cee</v>
      </c>
      <c r="B1800" s="5">
        <f ca="1">IFERROR(__xludf.DUMMYFUNCTION("""COMPUTED_VALUE"""),46161.7298148148)</f>
        <v>46161.729814814797</v>
      </c>
      <c r="C1800" s="2" t="str">
        <f ca="1">IFERROR(__xludf.DUMMYFUNCTION("""COMPUTED_VALUE"""),"f9653f2a")</f>
        <v>f9653f2a</v>
      </c>
      <c r="D1800" s="2">
        <f ca="1">IFERROR(__xludf.DUMMYFUNCTION("""COMPUTED_VALUE"""),95)</f>
        <v>95</v>
      </c>
      <c r="E1800" s="2" t="str">
        <f ca="1">IFERROR(__xludf.DUMMYFUNCTION("""COMPUTED_VALUE"""),"Criolla Recarga")</f>
        <v>Criolla Recarga</v>
      </c>
      <c r="F1800" s="2">
        <f ca="1">IFERROR(__xludf.DUMMYFUNCTION("""COMPUTED_VALUE"""),77100)</f>
        <v>77100</v>
      </c>
      <c r="G1800" s="2">
        <f ca="1">IFERROR(__xludf.DUMMYFUNCTION("""COMPUTED_VALUE"""),25)</f>
        <v>25</v>
      </c>
      <c r="H1800" s="2" t="str">
        <f ca="1">IFERROR(__xludf.DUMMYFUNCTION("""COMPUTED_VALUE"""),"2a673d5e")</f>
        <v>2a673d5e</v>
      </c>
      <c r="I1800" s="2" t="str">
        <f ca="1">IFERROR(__xludf.DUMMYFUNCTION("""COMPUTED_VALUE"""),"Anccellota Aspirant Rect")</f>
        <v>Anccellota Aspirant Rect</v>
      </c>
      <c r="J1800" s="2">
        <f ca="1">IFERROR(__xludf.DUMMYFUNCTION("""COMPUTED_VALUE"""),94500)</f>
        <v>94500</v>
      </c>
      <c r="K1800" s="2">
        <f ca="1">IFERROR(__xludf.DUMMYFUNCTION("""COMPUTED_VALUE"""),171600)</f>
        <v>171600</v>
      </c>
      <c r="L1800" s="2" t="str">
        <f ca="1">IFERROR(__xludf.DUMMYFUNCTION("""COMPUTED_VALUE"""),"8cacf6f7")</f>
        <v>8cacf6f7</v>
      </c>
      <c r="M1800" s="2" t="str">
        <f ca="1">IFERROR(__xludf.DUMMYFUNCTION("""COMPUTED_VALUE"""),"Criolla Recarga")</f>
        <v>Criolla Recarga</v>
      </c>
      <c r="N1800" s="2"/>
      <c r="O1800" s="2" t="str">
        <f ca="1">IFERROR(__xludf.DUMMYFUNCTION("""COMPUTED_VALUE"""),"Descubada")</f>
        <v>Descubada</v>
      </c>
      <c r="P1800" s="2" t="str">
        <f ca="1">IFERROR(__xludf.DUMMYFUNCTION("""COMPUTED_VALUE"""),"Rectificado")</f>
        <v>Rectificado</v>
      </c>
      <c r="Q1800" s="2" t="b">
        <f ca="1">IFERROR(__xludf.DUMMYFUNCTION("""COMPUTED_VALUE"""),FALSE)</f>
        <v>0</v>
      </c>
      <c r="R1800" s="2" t="str">
        <f ca="1">IFERROR(__xludf.DUMMYFUNCTION("""COMPUTED_VALUE"""),"1er Trasiego")</f>
        <v>1er Trasiego</v>
      </c>
      <c r="S1800" s="2"/>
      <c r="T1800" s="2"/>
      <c r="U1800" s="2" t="str">
        <f ca="1">IFERROR(__xludf.DUMMYFUNCTION("""COMPUTED_VALUE"""),"1")</f>
        <v>1</v>
      </c>
    </row>
    <row r="1801" spans="1:21" x14ac:dyDescent="0.25">
      <c r="A1801" s="2" t="str">
        <f ca="1">IFERROR(__xludf.DUMMYFUNCTION("""COMPUTED_VALUE"""),"4c2879af")</f>
        <v>4c2879af</v>
      </c>
      <c r="B1801" s="5">
        <f ca="1">IFERROR(__xludf.DUMMYFUNCTION("""COMPUTED_VALUE"""),46162.7266782407)</f>
        <v>46162.726678240702</v>
      </c>
      <c r="C1801" s="2" t="str">
        <f ca="1">IFERROR(__xludf.DUMMYFUNCTION("""COMPUTED_VALUE"""),"6ccca7d0")</f>
        <v>6ccca7d0</v>
      </c>
      <c r="D1801" s="2">
        <f ca="1">IFERROR(__xludf.DUMMYFUNCTION("""COMPUTED_VALUE"""),96)</f>
        <v>96</v>
      </c>
      <c r="E1801" s="2" t="str">
        <f ca="1">IFERROR(__xludf.DUMMYFUNCTION("""COMPUTED_VALUE"""),"Criolla Recarga")</f>
        <v>Criolla Recarga</v>
      </c>
      <c r="F1801" s="2">
        <f ca="1">IFERROR(__xludf.DUMMYFUNCTION("""COMPUTED_VALUE"""),16000)</f>
        <v>16000</v>
      </c>
      <c r="G1801" s="2">
        <f ca="1">IFERROR(__xludf.DUMMYFUNCTION("""COMPUTED_VALUE"""),25)</f>
        <v>25</v>
      </c>
      <c r="H1801" s="2" t="str">
        <f ca="1">IFERROR(__xludf.DUMMYFUNCTION("""COMPUTED_VALUE"""),"8cacf6f7")</f>
        <v>8cacf6f7</v>
      </c>
      <c r="I1801" s="2" t="str">
        <f ca="1">IFERROR(__xludf.DUMMYFUNCTION("""COMPUTED_VALUE"""),"Criolla Recarga")</f>
        <v>Criolla Recarga</v>
      </c>
      <c r="J1801" s="2">
        <f ca="1">IFERROR(__xludf.DUMMYFUNCTION("""COMPUTED_VALUE"""),171600)</f>
        <v>171600</v>
      </c>
      <c r="K1801" s="2">
        <f ca="1">IFERROR(__xludf.DUMMYFUNCTION("""COMPUTED_VALUE"""),187600)</f>
        <v>187600</v>
      </c>
      <c r="L1801" s="2" t="str">
        <f ca="1">IFERROR(__xludf.DUMMYFUNCTION("""COMPUTED_VALUE"""),"fc0f53f2")</f>
        <v>fc0f53f2</v>
      </c>
      <c r="M1801" s="2" t="str">
        <f ca="1">IFERROR(__xludf.DUMMYFUNCTION("""COMPUTED_VALUE"""),"Criolla Recarga")</f>
        <v>Criolla Recarga</v>
      </c>
      <c r="N1801" s="2"/>
      <c r="O1801" s="2" t="str">
        <f ca="1">IFERROR(__xludf.DUMMYFUNCTION("""COMPUTED_VALUE"""),"Descubada")</f>
        <v>Descubada</v>
      </c>
      <c r="P1801" s="2" t="str">
        <f ca="1">IFERROR(__xludf.DUMMYFUNCTION("""COMPUTED_VALUE"""),"1er Trasiego")</f>
        <v>1er Trasiego</v>
      </c>
      <c r="Q1801" s="2" t="b">
        <f ca="1">IFERROR(__xludf.DUMMYFUNCTION("""COMPUTED_VALUE"""),TRUE)</f>
        <v>1</v>
      </c>
      <c r="R1801" s="2" t="str">
        <f ca="1">IFERROR(__xludf.DUMMYFUNCTION("""COMPUTED_VALUE"""),"1er Trasiego")</f>
        <v>1er Trasiego</v>
      </c>
      <c r="S1801" s="2"/>
      <c r="T1801" s="2"/>
      <c r="U1801" s="2" t="str">
        <f ca="1">IFERROR(__xludf.DUMMYFUNCTION("""COMPUTED_VALUE"""),"1")</f>
        <v>1</v>
      </c>
    </row>
    <row r="1802" spans="1:21" x14ac:dyDescent="0.25">
      <c r="A1802" s="2" t="str">
        <f ca="1">IFERROR(__xludf.DUMMYFUNCTION("""COMPUTED_VALUE"""),"ddd18ac9")</f>
        <v>ddd18ac9</v>
      </c>
      <c r="B1802" s="5">
        <f ca="1">IFERROR(__xludf.DUMMYFUNCTION("""COMPUTED_VALUE"""),46162.7277777777)</f>
        <v>46162.727777777698</v>
      </c>
      <c r="C1802" s="2" t="str">
        <f ca="1">IFERROR(__xludf.DUMMYFUNCTION("""COMPUTED_VALUE"""),"6ccca7d0")</f>
        <v>6ccca7d0</v>
      </c>
      <c r="D1802" s="2">
        <f ca="1">IFERROR(__xludf.DUMMYFUNCTION("""COMPUTED_VALUE"""),96)</f>
        <v>96</v>
      </c>
      <c r="E1802" s="2" t="str">
        <f ca="1">IFERROR(__xludf.DUMMYFUNCTION("""COMPUTED_VALUE"""),"Criolla Recarga")</f>
        <v>Criolla Recarga</v>
      </c>
      <c r="F1802" s="2">
        <f ca="1">IFERROR(__xludf.DUMMYFUNCTION("""COMPUTED_VALUE"""),66600)</f>
        <v>66600</v>
      </c>
      <c r="G1802" s="2">
        <f ca="1">IFERROR(__xludf.DUMMYFUNCTION("""COMPUTED_VALUE"""),95)</f>
        <v>95</v>
      </c>
      <c r="H1802" s="2"/>
      <c r="I1802" s="2"/>
      <c r="J1802" s="2">
        <f ca="1">IFERROR(__xludf.DUMMYFUNCTION("""COMPUTED_VALUE"""),0)</f>
        <v>0</v>
      </c>
      <c r="K1802" s="2">
        <f ca="1">IFERROR(__xludf.DUMMYFUNCTION("""COMPUTED_VALUE"""),66600)</f>
        <v>66600</v>
      </c>
      <c r="L1802" s="2" t="str">
        <f ca="1">IFERROR(__xludf.DUMMYFUNCTION("""COMPUTED_VALUE"""),"9c52bb08")</f>
        <v>9c52bb08</v>
      </c>
      <c r="M1802" s="2" t="str">
        <f ca="1">IFERROR(__xludf.DUMMYFUNCTION("""COMPUTED_VALUE"""),"Criolla Recarga")</f>
        <v>Criolla Recarga</v>
      </c>
      <c r="N1802" s="2"/>
      <c r="O1802" s="2" t="str">
        <f ca="1">IFERROR(__xludf.DUMMYFUNCTION("""COMPUTED_VALUE"""),"Descubada")</f>
        <v>Descubada</v>
      </c>
      <c r="P1802" s="2"/>
      <c r="Q1802" s="2" t="b">
        <f ca="1">IFERROR(__xludf.DUMMYFUNCTION("""COMPUTED_VALUE"""),FALSE)</f>
        <v>0</v>
      </c>
      <c r="R1802" s="2" t="str">
        <f ca="1">IFERROR(__xludf.DUMMYFUNCTION("""COMPUTED_VALUE"""),"1er Trasiego")</f>
        <v>1er Trasiego</v>
      </c>
      <c r="S1802" s="2"/>
      <c r="T1802" s="2"/>
      <c r="U1802" s="2"/>
    </row>
    <row r="1803" spans="1:21" x14ac:dyDescent="0.25">
      <c r="A1803" s="2" t="str">
        <f ca="1">IFERROR(__xludf.DUMMYFUNCTION("""COMPUTED_VALUE"""),"0e5e7dce")</f>
        <v>0e5e7dce</v>
      </c>
      <c r="B1803" s="5">
        <f ca="1">IFERROR(__xludf.DUMMYFUNCTION("""COMPUTED_VALUE"""),46162.7281597222)</f>
        <v>46162.728159722203</v>
      </c>
      <c r="C1803" s="2" t="str">
        <f ca="1">IFERROR(__xludf.DUMMYFUNCTION("""COMPUTED_VALUE"""),"6ccca7d0")</f>
        <v>6ccca7d0</v>
      </c>
      <c r="D1803" s="2">
        <f ca="1">IFERROR(__xludf.DUMMYFUNCTION("""COMPUTED_VALUE"""),96)</f>
        <v>96</v>
      </c>
      <c r="E1803" s="2" t="str">
        <f ca="1">IFERROR(__xludf.DUMMYFUNCTION("""COMPUTED_VALUE"""),"Criolla Recarga")</f>
        <v>Criolla Recarga</v>
      </c>
      <c r="F1803" s="2">
        <f ca="1">IFERROR(__xludf.DUMMYFUNCTION("""COMPUTED_VALUE"""),3000)</f>
        <v>3000</v>
      </c>
      <c r="G1803" s="2">
        <f ca="1">IFERROR(__xludf.DUMMYFUNCTION("""COMPUTED_VALUE"""),94)</f>
        <v>94</v>
      </c>
      <c r="H1803" s="2"/>
      <c r="I1803" s="2"/>
      <c r="J1803" s="2">
        <f ca="1">IFERROR(__xludf.DUMMYFUNCTION("""COMPUTED_VALUE"""),0)</f>
        <v>0</v>
      </c>
      <c r="K1803" s="2">
        <f ca="1">IFERROR(__xludf.DUMMYFUNCTION("""COMPUTED_VALUE"""),3000)</f>
        <v>3000</v>
      </c>
      <c r="L1803" s="2" t="str">
        <f ca="1">IFERROR(__xludf.DUMMYFUNCTION("""COMPUTED_VALUE"""),"c0248330")</f>
        <v>c0248330</v>
      </c>
      <c r="M1803" s="2" t="str">
        <f ca="1">IFERROR(__xludf.DUMMYFUNCTION("""COMPUTED_VALUE"""),"Borra")</f>
        <v>Borra</v>
      </c>
      <c r="N1803" s="2"/>
      <c r="O1803" s="2" t="str">
        <f ca="1">IFERROR(__xludf.DUMMYFUNCTION("""COMPUTED_VALUE"""),"Descubada")</f>
        <v>Descubada</v>
      </c>
      <c r="P1803" s="2"/>
      <c r="Q1803" s="2" t="b">
        <f ca="1">IFERROR(__xludf.DUMMYFUNCTION("""COMPUTED_VALUE"""),FALSE)</f>
        <v>0</v>
      </c>
      <c r="R1803" s="2" t="str">
        <f ca="1">IFERROR(__xludf.DUMMYFUNCTION("""COMPUTED_VALUE"""),"1er Trasiego")</f>
        <v>1er Trasiego</v>
      </c>
      <c r="S1803" s="2"/>
      <c r="T1803" s="2"/>
      <c r="U1803" s="2"/>
    </row>
    <row r="1804" spans="1:21" x14ac:dyDescent="0.25">
      <c r="A1804" s="2" t="str">
        <f ca="1">IFERROR(__xludf.DUMMYFUNCTION("""COMPUTED_VALUE"""),"e8748e48")</f>
        <v>e8748e48</v>
      </c>
      <c r="B1804" s="5">
        <f ca="1">IFERROR(__xludf.DUMMYFUNCTION("""COMPUTED_VALUE"""),46162.7291203703)</f>
        <v>46162.729120370299</v>
      </c>
      <c r="C1804" s="2" t="str">
        <f ca="1">IFERROR(__xludf.DUMMYFUNCTION("""COMPUTED_VALUE"""),"71f14d09")</f>
        <v>71f14d09</v>
      </c>
      <c r="D1804" s="2">
        <f ca="1">IFERROR(__xludf.DUMMYFUNCTION("""COMPUTED_VALUE"""),92)</f>
        <v>92</v>
      </c>
      <c r="E1804" s="2" t="str">
        <f ca="1">IFERROR(__xludf.DUMMYFUNCTION("""COMPUTED_VALUE"""),"Criolla Recarga")</f>
        <v>Criolla Recarga</v>
      </c>
      <c r="F1804" s="2">
        <f ca="1">IFERROR(__xludf.DUMMYFUNCTION("""COMPUTED_VALUE"""),10500)</f>
        <v>10500</v>
      </c>
      <c r="G1804" s="2">
        <f ca="1">IFERROR(__xludf.DUMMYFUNCTION("""COMPUTED_VALUE"""),95)</f>
        <v>95</v>
      </c>
      <c r="H1804" s="2" t="str">
        <f ca="1">IFERROR(__xludf.DUMMYFUNCTION("""COMPUTED_VALUE"""),"9c52bb08")</f>
        <v>9c52bb08</v>
      </c>
      <c r="I1804" s="2" t="str">
        <f ca="1">IFERROR(__xludf.DUMMYFUNCTION("""COMPUTED_VALUE"""),"Criolla Recarga")</f>
        <v>Criolla Recarga</v>
      </c>
      <c r="J1804" s="2">
        <f ca="1">IFERROR(__xludf.DUMMYFUNCTION("""COMPUTED_VALUE"""),66600)</f>
        <v>66600</v>
      </c>
      <c r="K1804" s="2">
        <f ca="1">IFERROR(__xludf.DUMMYFUNCTION("""COMPUTED_VALUE"""),77100)</f>
        <v>77100</v>
      </c>
      <c r="L1804" s="2" t="str">
        <f ca="1">IFERROR(__xludf.DUMMYFUNCTION("""COMPUTED_VALUE"""),"ee2f1b47")</f>
        <v>ee2f1b47</v>
      </c>
      <c r="M1804" s="2" t="str">
        <f ca="1">IFERROR(__xludf.DUMMYFUNCTION("""COMPUTED_VALUE"""),"Criolla Recarga")</f>
        <v>Criolla Recarga</v>
      </c>
      <c r="N1804" s="2"/>
      <c r="O1804" s="2" t="str">
        <f ca="1">IFERROR(__xludf.DUMMYFUNCTION("""COMPUTED_VALUE"""),"Descubada")</f>
        <v>Descubada</v>
      </c>
      <c r="P1804" s="2" t="str">
        <f ca="1">IFERROR(__xludf.DUMMYFUNCTION("""COMPUTED_VALUE"""),"1er Trasiego")</f>
        <v>1er Trasiego</v>
      </c>
      <c r="Q1804" s="2" t="b">
        <f ca="1">IFERROR(__xludf.DUMMYFUNCTION("""COMPUTED_VALUE"""),TRUE)</f>
        <v>1</v>
      </c>
      <c r="R1804" s="2" t="str">
        <f ca="1">IFERROR(__xludf.DUMMYFUNCTION("""COMPUTED_VALUE"""),"1er Trasiego")</f>
        <v>1er Trasiego</v>
      </c>
      <c r="S1804" s="2"/>
      <c r="T1804" s="2"/>
      <c r="U1804" s="2"/>
    </row>
    <row r="1805" spans="1:21" x14ac:dyDescent="0.25">
      <c r="A1805" s="2" t="str">
        <f ca="1">IFERROR(__xludf.DUMMYFUNCTION("""COMPUTED_VALUE"""),"8a2c9188")</f>
        <v>8a2c9188</v>
      </c>
      <c r="B1805" s="5">
        <f ca="1">IFERROR(__xludf.DUMMYFUNCTION("""COMPUTED_VALUE"""),46162.7316203703)</f>
        <v>46162.731620370301</v>
      </c>
      <c r="C1805" s="2" t="str">
        <f ca="1">IFERROR(__xludf.DUMMYFUNCTION("""COMPUTED_VALUE"""),"71f14d09")</f>
        <v>71f14d09</v>
      </c>
      <c r="D1805" s="2">
        <f ca="1">IFERROR(__xludf.DUMMYFUNCTION("""COMPUTED_VALUE"""),92)</f>
        <v>92</v>
      </c>
      <c r="E1805" s="2" t="str">
        <f ca="1">IFERROR(__xludf.DUMMYFUNCTION("""COMPUTED_VALUE"""),"Criolla Recarga")</f>
        <v>Criolla Recarga</v>
      </c>
      <c r="F1805" s="2">
        <f ca="1">IFERROR(__xludf.DUMMYFUNCTION("""COMPUTED_VALUE"""),49500)</f>
        <v>49500</v>
      </c>
      <c r="G1805" s="2">
        <f ca="1">IFERROR(__xludf.DUMMYFUNCTION("""COMPUTED_VALUE"""),87)</f>
        <v>87</v>
      </c>
      <c r="H1805" s="2"/>
      <c r="I1805" s="2"/>
      <c r="J1805" s="2">
        <f ca="1">IFERROR(__xludf.DUMMYFUNCTION("""COMPUTED_VALUE"""),0)</f>
        <v>0</v>
      </c>
      <c r="K1805" s="2">
        <f ca="1">IFERROR(__xludf.DUMMYFUNCTION("""COMPUTED_VALUE"""),49500)</f>
        <v>49500</v>
      </c>
      <c r="L1805" s="2" t="str">
        <f ca="1">IFERROR(__xludf.DUMMYFUNCTION("""COMPUTED_VALUE"""),"926ef9e8")</f>
        <v>926ef9e8</v>
      </c>
      <c r="M1805" s="2" t="str">
        <f ca="1">IFERROR(__xludf.DUMMYFUNCTION("""COMPUTED_VALUE"""),"Criolla Recarga")</f>
        <v>Criolla Recarga</v>
      </c>
      <c r="N1805" s="2"/>
      <c r="O1805" s="2" t="str">
        <f ca="1">IFERROR(__xludf.DUMMYFUNCTION("""COMPUTED_VALUE"""),"Descubada")</f>
        <v>Descubada</v>
      </c>
      <c r="P1805" s="2"/>
      <c r="Q1805" s="2" t="b">
        <f ca="1">IFERROR(__xludf.DUMMYFUNCTION("""COMPUTED_VALUE"""),FALSE)</f>
        <v>0</v>
      </c>
      <c r="R1805" s="2" t="str">
        <f ca="1">IFERROR(__xludf.DUMMYFUNCTION("""COMPUTED_VALUE"""),"1er Trasiego")</f>
        <v>1er Trasiego</v>
      </c>
      <c r="S1805" s="2"/>
      <c r="T1805" s="2"/>
      <c r="U1805" s="2"/>
    </row>
    <row r="1806" spans="1:21" x14ac:dyDescent="0.25">
      <c r="A1806" s="2" t="str">
        <f ca="1">IFERROR(__xludf.DUMMYFUNCTION("""COMPUTED_VALUE"""),"e5da0fa5")</f>
        <v>e5da0fa5</v>
      </c>
      <c r="B1806" s="5">
        <f ca="1">IFERROR(__xludf.DUMMYFUNCTION("""COMPUTED_VALUE"""),46162.7320601851)</f>
        <v>46162.732060185102</v>
      </c>
      <c r="C1806" s="2" t="str">
        <f ca="1">IFERROR(__xludf.DUMMYFUNCTION("""COMPUTED_VALUE"""),"e8af8964")</f>
        <v>e8af8964</v>
      </c>
      <c r="D1806" s="2">
        <f ca="1">IFERROR(__xludf.DUMMYFUNCTION("""COMPUTED_VALUE"""),78)</f>
        <v>78</v>
      </c>
      <c r="E1806" s="2" t="str">
        <f ca="1">IFERROR(__xludf.DUMMYFUNCTION("""COMPUTED_VALUE"""),"Rosado Criolla")</f>
        <v>Rosado Criolla</v>
      </c>
      <c r="F1806" s="2">
        <f ca="1">IFERROR(__xludf.DUMMYFUNCTION("""COMPUTED_VALUE"""),25000)</f>
        <v>25000</v>
      </c>
      <c r="G1806" s="2">
        <f ca="1">IFERROR(__xludf.DUMMYFUNCTION("""COMPUTED_VALUE"""),80)</f>
        <v>80</v>
      </c>
      <c r="H1806" s="2"/>
      <c r="I1806" s="2"/>
      <c r="J1806" s="2">
        <f ca="1">IFERROR(__xludf.DUMMYFUNCTION("""COMPUTED_VALUE"""),0)</f>
        <v>0</v>
      </c>
      <c r="K1806" s="2">
        <f ca="1">IFERROR(__xludf.DUMMYFUNCTION("""COMPUTED_VALUE"""),25000)</f>
        <v>25000</v>
      </c>
      <c r="L1806" s="2" t="str">
        <f ca="1">IFERROR(__xludf.DUMMYFUNCTION("""COMPUTED_VALUE"""),"fb58e5d8")</f>
        <v>fb58e5d8</v>
      </c>
      <c r="M1806" s="2" t="str">
        <f ca="1">IFERROR(__xludf.DUMMYFUNCTION("""COMPUTED_VALUE"""),"Rosado Criolla")</f>
        <v>Rosado Criolla</v>
      </c>
      <c r="N1806" s="2"/>
      <c r="O1806" s="2" t="str">
        <f ca="1">IFERROR(__xludf.DUMMYFUNCTION("""COMPUTED_VALUE"""),"Fermentando")</f>
        <v>Fermentando</v>
      </c>
      <c r="P1806" s="2"/>
      <c r="Q1806" s="2" t="b">
        <f ca="1">IFERROR(__xludf.DUMMYFUNCTION("""COMPUTED_VALUE"""),FALSE)</f>
        <v>0</v>
      </c>
      <c r="R1806" s="2" t="str">
        <f ca="1">IFERROR(__xludf.DUMMYFUNCTION("""COMPUTED_VALUE"""),"Descubada")</f>
        <v>Descubada</v>
      </c>
      <c r="S1806" s="2"/>
      <c r="T1806" s="2"/>
      <c r="U1806" s="2" t="str">
        <f ca="1">IFERROR(__xludf.DUMMYFUNCTION("""COMPUTED_VALUE"""),"1")</f>
        <v>1</v>
      </c>
    </row>
    <row r="1807" spans="1:21" x14ac:dyDescent="0.25">
      <c r="A1807" s="2" t="str">
        <f ca="1">IFERROR(__xludf.DUMMYFUNCTION("""COMPUTED_VALUE"""),"4b92f3da")</f>
        <v>4b92f3da</v>
      </c>
      <c r="B1807" s="5">
        <f ca="1">IFERROR(__xludf.DUMMYFUNCTION("""COMPUTED_VALUE"""),46162.7343981481)</f>
        <v>46162.734398148103</v>
      </c>
      <c r="C1807" s="2" t="str">
        <f ca="1">IFERROR(__xludf.DUMMYFUNCTION("""COMPUTED_VALUE"""),"cf5c2a34")</f>
        <v>cf5c2a34</v>
      </c>
      <c r="D1807" s="2">
        <f ca="1">IFERROR(__xludf.DUMMYFUNCTION("""COMPUTED_VALUE"""),77)</f>
        <v>77</v>
      </c>
      <c r="E1807" s="2" t="str">
        <f ca="1">IFERROR(__xludf.DUMMYFUNCTION("""COMPUTED_VALUE"""),"Criolla Recarga")</f>
        <v>Criolla Recarga</v>
      </c>
      <c r="F1807" s="2">
        <f ca="1">IFERROR(__xludf.DUMMYFUNCTION("""COMPUTED_VALUE"""),1100)</f>
        <v>1100</v>
      </c>
      <c r="G1807" s="2">
        <f ca="1">IFERROR(__xludf.DUMMYFUNCTION("""COMPUTED_VALUE"""),80)</f>
        <v>80</v>
      </c>
      <c r="H1807" s="2" t="str">
        <f ca="1">IFERROR(__xludf.DUMMYFUNCTION("""COMPUTED_VALUE"""),"fb58e5d8")</f>
        <v>fb58e5d8</v>
      </c>
      <c r="I1807" s="2" t="str">
        <f ca="1">IFERROR(__xludf.DUMMYFUNCTION("""COMPUTED_VALUE"""),"Rosado Criolla")</f>
        <v>Rosado Criolla</v>
      </c>
      <c r="J1807" s="2">
        <f ca="1">IFERROR(__xludf.DUMMYFUNCTION("""COMPUTED_VALUE"""),25000)</f>
        <v>25000</v>
      </c>
      <c r="K1807" s="2">
        <f ca="1">IFERROR(__xludf.DUMMYFUNCTION("""COMPUTED_VALUE"""),26100)</f>
        <v>26100</v>
      </c>
      <c r="L1807" s="2" t="str">
        <f ca="1">IFERROR(__xludf.DUMMYFUNCTION("""COMPUTED_VALUE"""),"3e58fb6a")</f>
        <v>3e58fb6a</v>
      </c>
      <c r="M1807" s="2" t="str">
        <f ca="1">IFERROR(__xludf.DUMMYFUNCTION("""COMPUTED_VALUE"""),"Rosado Criolla")</f>
        <v>Rosado Criolla</v>
      </c>
      <c r="N1807" s="2"/>
      <c r="O1807" s="2" t="str">
        <f ca="1">IFERROR(__xludf.DUMMYFUNCTION("""COMPUTED_VALUE"""),"Descubada")</f>
        <v>Descubada</v>
      </c>
      <c r="P1807" s="2" t="str">
        <f ca="1">IFERROR(__xludf.DUMMYFUNCTION("""COMPUTED_VALUE"""),"1er Trasiego")</f>
        <v>1er Trasiego</v>
      </c>
      <c r="Q1807" s="2" t="b">
        <f ca="1">IFERROR(__xludf.DUMMYFUNCTION("""COMPUTED_VALUE"""),TRUE)</f>
        <v>1</v>
      </c>
      <c r="R1807" s="2" t="str">
        <f ca="1">IFERROR(__xludf.DUMMYFUNCTION("""COMPUTED_VALUE"""),"1er Trasiego")</f>
        <v>1er Trasiego</v>
      </c>
      <c r="S1807" s="2"/>
      <c r="T1807" s="2"/>
      <c r="U1807" s="2" t="str">
        <f ca="1">IFERROR(__xludf.DUMMYFUNCTION("""COMPUTED_VALUE"""),"1")</f>
        <v>1</v>
      </c>
    </row>
    <row r="1808" spans="1:21" x14ac:dyDescent="0.25">
      <c r="A1808" s="2" t="str">
        <f ca="1">IFERROR(__xludf.DUMMYFUNCTION("""COMPUTED_VALUE"""),"a317e1f5")</f>
        <v>a317e1f5</v>
      </c>
      <c r="B1808" s="5">
        <f ca="1">IFERROR(__xludf.DUMMYFUNCTION("""COMPUTED_VALUE"""),46162.7346064814)</f>
        <v>46162.734606481397</v>
      </c>
      <c r="C1808" s="2" t="str">
        <f ca="1">IFERROR(__xludf.DUMMYFUNCTION("""COMPUTED_VALUE"""),"cf5c2a34")</f>
        <v>cf5c2a34</v>
      </c>
      <c r="D1808" s="2">
        <f ca="1">IFERROR(__xludf.DUMMYFUNCTION("""COMPUTED_VALUE"""),77)</f>
        <v>77</v>
      </c>
      <c r="E1808" s="2" t="str">
        <f ca="1">IFERROR(__xludf.DUMMYFUNCTION("""COMPUTED_VALUE"""),"Criolla Recarga")</f>
        <v>Criolla Recarga</v>
      </c>
      <c r="F1808" s="2">
        <f ca="1">IFERROR(__xludf.DUMMYFUNCTION("""COMPUTED_VALUE"""),24900)</f>
        <v>24900</v>
      </c>
      <c r="G1808" s="2">
        <f ca="1">IFERROR(__xludf.DUMMYFUNCTION("""COMPUTED_VALUE"""),87)</f>
        <v>87</v>
      </c>
      <c r="H1808" s="2" t="str">
        <f ca="1">IFERROR(__xludf.DUMMYFUNCTION("""COMPUTED_VALUE"""),"926ef9e8")</f>
        <v>926ef9e8</v>
      </c>
      <c r="I1808" s="2" t="str">
        <f ca="1">IFERROR(__xludf.DUMMYFUNCTION("""COMPUTED_VALUE"""),"Criolla Recarga")</f>
        <v>Criolla Recarga</v>
      </c>
      <c r="J1808" s="2">
        <f ca="1">IFERROR(__xludf.DUMMYFUNCTION("""COMPUTED_VALUE"""),49500)</f>
        <v>49500</v>
      </c>
      <c r="K1808" s="2">
        <f ca="1">IFERROR(__xludf.DUMMYFUNCTION("""COMPUTED_VALUE"""),74400)</f>
        <v>74400</v>
      </c>
      <c r="L1808" s="2" t="str">
        <f ca="1">IFERROR(__xludf.DUMMYFUNCTION("""COMPUTED_VALUE"""),"da627d32")</f>
        <v>da627d32</v>
      </c>
      <c r="M1808" s="2" t="str">
        <f ca="1">IFERROR(__xludf.DUMMYFUNCTION("""COMPUTED_VALUE"""),"Criolla Recarga")</f>
        <v>Criolla Recarga</v>
      </c>
      <c r="N1808" s="2"/>
      <c r="O1808" s="2" t="str">
        <f ca="1">IFERROR(__xludf.DUMMYFUNCTION("""COMPUTED_VALUE"""),"Descubada")</f>
        <v>Descubada</v>
      </c>
      <c r="P1808" s="2" t="str">
        <f ca="1">IFERROR(__xludf.DUMMYFUNCTION("""COMPUTED_VALUE"""),"1er Trasiego")</f>
        <v>1er Trasiego</v>
      </c>
      <c r="Q1808" s="2" t="b">
        <f ca="1">IFERROR(__xludf.DUMMYFUNCTION("""COMPUTED_VALUE"""),TRUE)</f>
        <v>1</v>
      </c>
      <c r="R1808" s="2" t="str">
        <f ca="1">IFERROR(__xludf.DUMMYFUNCTION("""COMPUTED_VALUE"""),"1er Trasiego")</f>
        <v>1er Trasiego</v>
      </c>
      <c r="S1808" s="2"/>
      <c r="T1808" s="2"/>
      <c r="U1808" s="2"/>
    </row>
    <row r="1809" spans="1:21" x14ac:dyDescent="0.25">
      <c r="A1809" s="2" t="str">
        <f ca="1">IFERROR(__xludf.DUMMYFUNCTION("""COMPUTED_VALUE"""),"bc38760f")</f>
        <v>bc38760f</v>
      </c>
      <c r="B1809" s="5">
        <f ca="1">IFERROR(__xludf.DUMMYFUNCTION("""COMPUTED_VALUE"""),46162.7355671296)</f>
        <v>46162.735567129603</v>
      </c>
      <c r="C1809" s="2" t="str">
        <f ca="1">IFERROR(__xludf.DUMMYFUNCTION("""COMPUTED_VALUE"""),"3659102b")</f>
        <v>3659102b</v>
      </c>
      <c r="D1809" s="2">
        <f ca="1">IFERROR(__xludf.DUMMYFUNCTION("""COMPUTED_VALUE"""),83)</f>
        <v>83</v>
      </c>
      <c r="E1809" s="2" t="str">
        <f ca="1">IFERROR(__xludf.DUMMYFUNCTION("""COMPUTED_VALUE"""),"Criolla Recarga PC")</f>
        <v>Criolla Recarga PC</v>
      </c>
      <c r="F1809" s="2">
        <f ca="1">IFERROR(__xludf.DUMMYFUNCTION("""COMPUTED_VALUE"""),19300)</f>
        <v>19300</v>
      </c>
      <c r="G1809" s="2">
        <f ca="1">IFERROR(__xludf.DUMMYFUNCTION("""COMPUTED_VALUE"""),87)</f>
        <v>87</v>
      </c>
      <c r="H1809" s="2" t="str">
        <f ca="1">IFERROR(__xludf.DUMMYFUNCTION("""COMPUTED_VALUE"""),"da627d32")</f>
        <v>da627d32</v>
      </c>
      <c r="I1809" s="2" t="str">
        <f ca="1">IFERROR(__xludf.DUMMYFUNCTION("""COMPUTED_VALUE"""),"Criolla Recarga")</f>
        <v>Criolla Recarga</v>
      </c>
      <c r="J1809" s="2">
        <f ca="1">IFERROR(__xludf.DUMMYFUNCTION("""COMPUTED_VALUE"""),74400)</f>
        <v>74400</v>
      </c>
      <c r="K1809" s="2">
        <f ca="1">IFERROR(__xludf.DUMMYFUNCTION("""COMPUTED_VALUE"""),93700)</f>
        <v>93700</v>
      </c>
      <c r="L1809" s="2" t="str">
        <f ca="1">IFERROR(__xludf.DUMMYFUNCTION("""COMPUTED_VALUE"""),"bce51210")</f>
        <v>bce51210</v>
      </c>
      <c r="M1809" s="2" t="str">
        <f ca="1">IFERROR(__xludf.DUMMYFUNCTION("""COMPUTED_VALUE"""),"Criolla Recarga")</f>
        <v>Criolla Recarga</v>
      </c>
      <c r="N1809" s="2"/>
      <c r="O1809" s="2" t="str">
        <f ca="1">IFERROR(__xludf.DUMMYFUNCTION("""COMPUTED_VALUE"""),"Descubada")</f>
        <v>Descubada</v>
      </c>
      <c r="P1809" s="2" t="str">
        <f ca="1">IFERROR(__xludf.DUMMYFUNCTION("""COMPUTED_VALUE"""),"1er Trasiego")</f>
        <v>1er Trasiego</v>
      </c>
      <c r="Q1809" s="2" t="b">
        <f ca="1">IFERROR(__xludf.DUMMYFUNCTION("""COMPUTED_VALUE"""),TRUE)</f>
        <v>1</v>
      </c>
      <c r="R1809" s="2" t="str">
        <f ca="1">IFERROR(__xludf.DUMMYFUNCTION("""COMPUTED_VALUE"""),"1er Trasiego")</f>
        <v>1er Trasiego</v>
      </c>
      <c r="S1809" s="2"/>
      <c r="T1809" s="2"/>
      <c r="U1809" s="2"/>
    </row>
    <row r="1810" spans="1:21" x14ac:dyDescent="0.25">
      <c r="A1810" s="2" t="str">
        <f ca="1">IFERROR(__xludf.DUMMYFUNCTION("""COMPUTED_VALUE"""),"7a89e0b4")</f>
        <v>7a89e0b4</v>
      </c>
      <c r="B1810" s="5">
        <f ca="1">IFERROR(__xludf.DUMMYFUNCTION("""COMPUTED_VALUE"""),46162.7366550925)</f>
        <v>46162.7366550925</v>
      </c>
      <c r="C1810" s="2" t="str">
        <f ca="1">IFERROR(__xludf.DUMMYFUNCTION("""COMPUTED_VALUE"""),"3659102b")</f>
        <v>3659102b</v>
      </c>
      <c r="D1810" s="2">
        <f ca="1">IFERROR(__xludf.DUMMYFUNCTION("""COMPUTED_VALUE"""),83)</f>
        <v>83</v>
      </c>
      <c r="E1810" s="2" t="str">
        <f ca="1">IFERROR(__xludf.DUMMYFUNCTION("""COMPUTED_VALUE"""),"Criolla Recarga PC")</f>
        <v>Criolla Recarga PC</v>
      </c>
      <c r="F1810" s="2">
        <f ca="1">IFERROR(__xludf.DUMMYFUNCTION("""COMPUTED_VALUE"""),62200)</f>
        <v>62200</v>
      </c>
      <c r="G1810" s="2">
        <f ca="1">IFERROR(__xludf.DUMMYFUNCTION("""COMPUTED_VALUE"""),92)</f>
        <v>92</v>
      </c>
      <c r="H1810" s="2"/>
      <c r="I1810" s="2"/>
      <c r="J1810" s="2">
        <f ca="1">IFERROR(__xludf.DUMMYFUNCTION("""COMPUTED_VALUE"""),0)</f>
        <v>0</v>
      </c>
      <c r="K1810" s="2">
        <f ca="1">IFERROR(__xludf.DUMMYFUNCTION("""COMPUTED_VALUE"""),62200)</f>
        <v>62200</v>
      </c>
      <c r="L1810" s="2" t="str">
        <f ca="1">IFERROR(__xludf.DUMMYFUNCTION("""COMPUTED_VALUE"""),"5ba43444")</f>
        <v>5ba43444</v>
      </c>
      <c r="M1810" s="2" t="str">
        <f ca="1">IFERROR(__xludf.DUMMYFUNCTION("""COMPUTED_VALUE"""),"Criolla Recarga PC")</f>
        <v>Criolla Recarga PC</v>
      </c>
      <c r="N1810" s="2"/>
      <c r="O1810" s="2" t="str">
        <f ca="1">IFERROR(__xludf.DUMMYFUNCTION("""COMPUTED_VALUE"""),"Descubada")</f>
        <v>Descubada</v>
      </c>
      <c r="P1810" s="2"/>
      <c r="Q1810" s="2" t="b">
        <f ca="1">IFERROR(__xludf.DUMMYFUNCTION("""COMPUTED_VALUE"""),FALSE)</f>
        <v>0</v>
      </c>
      <c r="R1810" s="2" t="str">
        <f ca="1">IFERROR(__xludf.DUMMYFUNCTION("""COMPUTED_VALUE"""),"1er Trasiego")</f>
        <v>1er Trasiego</v>
      </c>
      <c r="S1810" s="2"/>
      <c r="T1810" s="2"/>
      <c r="U1810" s="2" t="str">
        <f ca="1">IFERROR(__xludf.DUMMYFUNCTION("""COMPUTED_VALUE"""),"1-")</f>
        <v>1-</v>
      </c>
    </row>
    <row r="1811" spans="1:21" x14ac:dyDescent="0.25">
      <c r="A1811" s="2" t="str">
        <f ca="1">IFERROR(__xludf.DUMMYFUNCTION("""COMPUTED_VALUE"""),"91b09fa1")</f>
        <v>91b09fa1</v>
      </c>
      <c r="B1811" s="5">
        <f ca="1">IFERROR(__xludf.DUMMYFUNCTION("""COMPUTED_VALUE"""),46164.7358333333)</f>
        <v>46164.735833333303</v>
      </c>
      <c r="C1811" s="2" t="str">
        <f ca="1">IFERROR(__xludf.DUMMYFUNCTION("""COMPUTED_VALUE"""),"5e10969c")</f>
        <v>5e10969c</v>
      </c>
      <c r="D1811" s="2">
        <f ca="1">IFERROR(__xludf.DUMMYFUNCTION("""COMPUTED_VALUE"""),68)</f>
        <v>68</v>
      </c>
      <c r="E1811" s="2" t="str">
        <f ca="1">IFERROR(__xludf.DUMMYFUNCTION("""COMPUTED_VALUE"""),"Tinto Varietal B")</f>
        <v>Tinto Varietal B</v>
      </c>
      <c r="F1811" s="2">
        <f ca="1">IFERROR(__xludf.DUMMYFUNCTION("""COMPUTED_VALUE"""),10000)</f>
        <v>10000</v>
      </c>
      <c r="G1811" s="2">
        <f ca="1">IFERROR(__xludf.DUMMYFUNCTION("""COMPUTED_VALUE"""),127)</f>
        <v>127</v>
      </c>
      <c r="H1811" s="2"/>
      <c r="I1811" s="2"/>
      <c r="J1811" s="2">
        <f ca="1">IFERROR(__xludf.DUMMYFUNCTION("""COMPUTED_VALUE"""),0)</f>
        <v>0</v>
      </c>
      <c r="K1811" s="2">
        <f ca="1">IFERROR(__xludf.DUMMYFUNCTION("""COMPUTED_VALUE"""),10000)</f>
        <v>10000</v>
      </c>
      <c r="L1811" s="2" t="str">
        <f ca="1">IFERROR(__xludf.DUMMYFUNCTION("""COMPUTED_VALUE"""),"2749b5a8")</f>
        <v>2749b5a8</v>
      </c>
      <c r="M1811" s="2" t="str">
        <f ca="1">IFERROR(__xludf.DUMMYFUNCTION("""COMPUTED_VALUE"""),"Tinto Varietal B")</f>
        <v>Tinto Varietal B</v>
      </c>
      <c r="N1811" s="2"/>
      <c r="O1811" s="2" t="str">
        <f ca="1">IFERROR(__xludf.DUMMYFUNCTION("""COMPUTED_VALUE"""),"Terminado")</f>
        <v>Terminado</v>
      </c>
      <c r="P1811" s="2"/>
      <c r="Q1811" s="2" t="b">
        <f ca="1">IFERROR(__xludf.DUMMYFUNCTION("""COMPUTED_VALUE"""),FALSE)</f>
        <v>0</v>
      </c>
      <c r="R1811" s="2" t="str">
        <f ca="1">IFERROR(__xludf.DUMMYFUNCTION("""COMPUTED_VALUE"""),"Terminado")</f>
        <v>Terminado</v>
      </c>
      <c r="S1811" s="2"/>
      <c r="T1811" s="2"/>
      <c r="U1811" s="2" t="str">
        <f ca="1">IFERROR(__xludf.DUMMYFUNCTION("""COMPUTED_VALUE"""),"1")</f>
        <v>1</v>
      </c>
    </row>
    <row r="1812" spans="1:21" x14ac:dyDescent="0.25">
      <c r="A1812" s="2" t="str">
        <f ca="1">IFERROR(__xludf.DUMMYFUNCTION("""COMPUTED_VALUE"""),"8c6576b4")</f>
        <v>8c6576b4</v>
      </c>
      <c r="B1812" s="5">
        <f ca="1">IFERROR(__xludf.DUMMYFUNCTION("""COMPUTED_VALUE"""),46164.7362384259)</f>
        <v>46164.736238425903</v>
      </c>
      <c r="C1812" s="2" t="str">
        <f ca="1">IFERROR(__xludf.DUMMYFUNCTION("""COMPUTED_VALUE"""),"ba499da1")</f>
        <v>ba499da1</v>
      </c>
      <c r="D1812" s="2">
        <f ca="1">IFERROR(__xludf.DUMMYFUNCTION("""COMPUTED_VALUE"""),53)</f>
        <v>53</v>
      </c>
      <c r="E1812" s="2" t="str">
        <f ca="1">IFERROR(__xludf.DUMMYFUNCTION("""COMPUTED_VALUE"""),"Malbec")</f>
        <v>Malbec</v>
      </c>
      <c r="F1812" s="2">
        <f ca="1">IFERROR(__xludf.DUMMYFUNCTION("""COMPUTED_VALUE"""),21000)</f>
        <v>21000</v>
      </c>
      <c r="G1812" s="2">
        <f ca="1">IFERROR(__xludf.DUMMYFUNCTION("""COMPUTED_VALUE"""),127)</f>
        <v>127</v>
      </c>
      <c r="H1812" s="2" t="str">
        <f ca="1">IFERROR(__xludf.DUMMYFUNCTION("""COMPUTED_VALUE"""),"2749b5a8")</f>
        <v>2749b5a8</v>
      </c>
      <c r="I1812" s="2" t="str">
        <f ca="1">IFERROR(__xludf.DUMMYFUNCTION("""COMPUTED_VALUE"""),"Tinto Varietal B")</f>
        <v>Tinto Varietal B</v>
      </c>
      <c r="J1812" s="2">
        <f ca="1">IFERROR(__xludf.DUMMYFUNCTION("""COMPUTED_VALUE"""),10000)</f>
        <v>10000</v>
      </c>
      <c r="K1812" s="2">
        <f ca="1">IFERROR(__xludf.DUMMYFUNCTION("""COMPUTED_VALUE"""),31000)</f>
        <v>31000</v>
      </c>
      <c r="L1812" s="2" t="str">
        <f ca="1">IFERROR(__xludf.DUMMYFUNCTION("""COMPUTED_VALUE"""),"d3010d76")</f>
        <v>d3010d76</v>
      </c>
      <c r="M1812" s="2" t="str">
        <f ca="1">IFERROR(__xludf.DUMMYFUNCTION("""COMPUTED_VALUE"""),"Malbec")</f>
        <v>Malbec</v>
      </c>
      <c r="N1812" s="2"/>
      <c r="O1812" s="2" t="str">
        <f ca="1">IFERROR(__xludf.DUMMYFUNCTION("""COMPUTED_VALUE"""),"Terminado")</f>
        <v>Terminado</v>
      </c>
      <c r="P1812" s="2" t="str">
        <f ca="1">IFERROR(__xludf.DUMMYFUNCTION("""COMPUTED_VALUE"""),"Terminado")</f>
        <v>Terminado</v>
      </c>
      <c r="Q1812" s="2" t="b">
        <f ca="1">IFERROR(__xludf.DUMMYFUNCTION("""COMPUTED_VALUE"""),FALSE)</f>
        <v>0</v>
      </c>
      <c r="R1812" s="2" t="str">
        <f ca="1">IFERROR(__xludf.DUMMYFUNCTION("""COMPUTED_VALUE"""),"Terminado")</f>
        <v>Terminado</v>
      </c>
      <c r="S1812" s="2"/>
      <c r="T1812" s="2"/>
      <c r="U1812" s="2" t="str">
        <f ca="1">IFERROR(__xludf.DUMMYFUNCTION("""COMPUTED_VALUE"""),"1")</f>
        <v>1</v>
      </c>
    </row>
    <row r="1813" spans="1:21" x14ac:dyDescent="0.25">
      <c r="A1813" s="2" t="str">
        <f ca="1">IFERROR(__xludf.DUMMYFUNCTION("""COMPUTED_VALUE"""),"35d4bc78")</f>
        <v>35d4bc78</v>
      </c>
      <c r="B1813" s="5">
        <f ca="1">IFERROR(__xludf.DUMMYFUNCTION("""COMPUTED_VALUE"""),46164.7369675925)</f>
        <v>46164.7369675925</v>
      </c>
      <c r="C1813" s="2" t="str">
        <f ca="1">IFERROR(__xludf.DUMMYFUNCTION("""COMPUTED_VALUE"""),"ba499da1")</f>
        <v>ba499da1</v>
      </c>
      <c r="D1813" s="2">
        <f ca="1">IFERROR(__xludf.DUMMYFUNCTION("""COMPUTED_VALUE"""),53)</f>
        <v>53</v>
      </c>
      <c r="E1813" s="2" t="str">
        <f ca="1">IFERROR(__xludf.DUMMYFUNCTION("""COMPUTED_VALUE"""),"Malbec")</f>
        <v>Malbec</v>
      </c>
      <c r="F1813" s="2">
        <f ca="1">IFERROR(__xludf.DUMMYFUNCTION("""COMPUTED_VALUE"""),1000)</f>
        <v>1000</v>
      </c>
      <c r="G1813" s="2">
        <f ca="1">IFERROR(__xludf.DUMMYFUNCTION("""COMPUTED_VALUE"""),500)</f>
        <v>500</v>
      </c>
      <c r="H1813" s="2" t="str">
        <f ca="1">IFERROR(__xludf.DUMMYFUNCTION("""COMPUTED_VALUE"""),"e40a6da5")</f>
        <v>e40a6da5</v>
      </c>
      <c r="I1813" s="2" t="str">
        <f ca="1">IFERROR(__xludf.DUMMYFUNCTION("""COMPUTED_VALUE"""),"Ajuste Cosecha 2026")</f>
        <v>Ajuste Cosecha 2026</v>
      </c>
      <c r="J1813" s="2">
        <f ca="1">IFERROR(__xludf.DUMMYFUNCTION("""COMPUTED_VALUE"""),31600)</f>
        <v>31600</v>
      </c>
      <c r="K1813" s="2">
        <f ca="1">IFERROR(__xludf.DUMMYFUNCTION("""COMPUTED_VALUE"""),32600)</f>
        <v>32600</v>
      </c>
      <c r="L1813" s="2" t="str">
        <f ca="1">IFERROR(__xludf.DUMMYFUNCTION("""COMPUTED_VALUE"""),"f91f11a3")</f>
        <v>f91f11a3</v>
      </c>
      <c r="M1813" s="2" t="str">
        <f ca="1">IFERROR(__xludf.DUMMYFUNCTION("""COMPUTED_VALUE"""),"Ajuste Cosecha 2026")</f>
        <v>Ajuste Cosecha 2026</v>
      </c>
      <c r="N1813" s="2" t="str">
        <f ca="1">IFERROR(__xludf.DUMMYFUNCTION("""COMPUTED_VALUE"""),"Vino despacho")</f>
        <v>Vino despacho</v>
      </c>
      <c r="O1813" s="2" t="str">
        <f ca="1">IFERROR(__xludf.DUMMYFUNCTION("""COMPUTED_VALUE"""),"Terminado")</f>
        <v>Terminado</v>
      </c>
      <c r="P1813" s="2" t="str">
        <f ca="1">IFERROR(__xludf.DUMMYFUNCTION("""COMPUTED_VALUE"""),"Terminado")</f>
        <v>Terminado</v>
      </c>
      <c r="Q1813" s="2" t="b">
        <f ca="1">IFERROR(__xludf.DUMMYFUNCTION("""COMPUTED_VALUE"""),TRUE)</f>
        <v>1</v>
      </c>
      <c r="R1813" s="2" t="str">
        <f ca="1">IFERROR(__xludf.DUMMYFUNCTION("""COMPUTED_VALUE"""),"Terminado")</f>
        <v>Terminado</v>
      </c>
      <c r="S1813" s="2"/>
      <c r="T1813" s="2"/>
      <c r="U1813" s="2"/>
    </row>
    <row r="1814" spans="1:21" x14ac:dyDescent="0.25">
      <c r="A1814" s="2" t="str">
        <f ca="1">IFERROR(__xludf.DUMMYFUNCTION("""COMPUTED_VALUE"""),"53aaff3b")</f>
        <v>53aaff3b</v>
      </c>
      <c r="B1814" s="5">
        <f ca="1">IFERROR(__xludf.DUMMYFUNCTION("""COMPUTED_VALUE"""),46164.739074074)</f>
        <v>46164.739074074001</v>
      </c>
      <c r="C1814" s="2" t="str">
        <f ca="1">IFERROR(__xludf.DUMMYFUNCTION("""COMPUTED_VALUE"""),"fc0f53f2")</f>
        <v>fc0f53f2</v>
      </c>
      <c r="D1814" s="2">
        <f ca="1">IFERROR(__xludf.DUMMYFUNCTION("""COMPUTED_VALUE"""),25)</f>
        <v>25</v>
      </c>
      <c r="E1814" s="2" t="str">
        <f ca="1">IFERROR(__xludf.DUMMYFUNCTION("""COMPUTED_VALUE"""),"Criolla Recarga")</f>
        <v>Criolla Recarga</v>
      </c>
      <c r="F1814" s="2">
        <f ca="1">IFERROR(__xludf.DUMMYFUNCTION("""COMPUTED_VALUE"""),2400)</f>
        <v>2400</v>
      </c>
      <c r="G1814" s="2">
        <f ca="1">IFERROR(__xludf.DUMMYFUNCTION("""COMPUTED_VALUE"""),24)</f>
        <v>24</v>
      </c>
      <c r="H1814" s="2" t="str">
        <f ca="1">IFERROR(__xludf.DUMMYFUNCTION("""COMPUTED_VALUE"""),"2c1bae95")</f>
        <v>2c1bae95</v>
      </c>
      <c r="I1814" s="2" t="str">
        <f ca="1">IFERROR(__xludf.DUMMYFUNCTION("""COMPUTED_VALUE"""),"Criolla")</f>
        <v>Criolla</v>
      </c>
      <c r="J1814" s="2">
        <f ca="1">IFERROR(__xludf.DUMMYFUNCTION("""COMPUTED_VALUE"""),184200)</f>
        <v>184200</v>
      </c>
      <c r="K1814" s="2">
        <f ca="1">IFERROR(__xludf.DUMMYFUNCTION("""COMPUTED_VALUE"""),186600)</f>
        <v>186600</v>
      </c>
      <c r="L1814" s="2" t="str">
        <f ca="1">IFERROR(__xludf.DUMMYFUNCTION("""COMPUTED_VALUE"""),"94f40a8f")</f>
        <v>94f40a8f</v>
      </c>
      <c r="M1814" s="2" t="str">
        <f ca="1">IFERROR(__xludf.DUMMYFUNCTION("""COMPUTED_VALUE"""),"Criolla")</f>
        <v>Criolla</v>
      </c>
      <c r="N1814" s="2"/>
      <c r="O1814" s="2" t="str">
        <f ca="1">IFERROR(__xludf.DUMMYFUNCTION("""COMPUTED_VALUE"""),"1er Trasiego")</f>
        <v>1er Trasiego</v>
      </c>
      <c r="P1814" s="2" t="str">
        <f ca="1">IFERROR(__xludf.DUMMYFUNCTION("""COMPUTED_VALUE"""),"1er Trasiego")</f>
        <v>1er Trasiego</v>
      </c>
      <c r="Q1814" s="2" t="b">
        <f ca="1">IFERROR(__xludf.DUMMYFUNCTION("""COMPUTED_VALUE"""),TRUE)</f>
        <v>1</v>
      </c>
      <c r="R1814" s="2" t="str">
        <f ca="1">IFERROR(__xludf.DUMMYFUNCTION("""COMPUTED_VALUE"""),"1er Trasiego")</f>
        <v>1er Trasiego</v>
      </c>
      <c r="S1814" s="2"/>
      <c r="T1814" s="2"/>
      <c r="U1814" s="2"/>
    </row>
    <row r="1815" spans="1:21" x14ac:dyDescent="0.25">
      <c r="A1815" s="2" t="str">
        <f ca="1">IFERROR(__xludf.DUMMYFUNCTION("""COMPUTED_VALUE"""),"c77394bf")</f>
        <v>c77394bf</v>
      </c>
      <c r="B1815" s="5">
        <f ca="1">IFERROR(__xludf.DUMMYFUNCTION("""COMPUTED_VALUE"""),46164.7394097222)</f>
        <v>46164.739409722199</v>
      </c>
      <c r="C1815" s="2" t="str">
        <f ca="1">IFERROR(__xludf.DUMMYFUNCTION("""COMPUTED_VALUE"""),"0b275cb3")</f>
        <v>0b275cb3</v>
      </c>
      <c r="D1815" s="2">
        <f ca="1">IFERROR(__xludf.DUMMYFUNCTION("""COMPUTED_VALUE"""),12)</f>
        <v>12</v>
      </c>
      <c r="E1815" s="2" t="str">
        <f ca="1">IFERROR(__xludf.DUMMYFUNCTION("""COMPUTED_VALUE"""),"Bonarda C2")</f>
        <v>Bonarda C2</v>
      </c>
      <c r="F1815" s="2">
        <f ca="1">IFERROR(__xludf.DUMMYFUNCTION("""COMPUTED_VALUE"""),13800)</f>
        <v>13800</v>
      </c>
      <c r="G1815" s="2">
        <f ca="1">IFERROR(__xludf.DUMMYFUNCTION("""COMPUTED_VALUE"""),92)</f>
        <v>92</v>
      </c>
      <c r="H1815" s="2" t="str">
        <f ca="1">IFERROR(__xludf.DUMMYFUNCTION("""COMPUTED_VALUE"""),"5ba43444")</f>
        <v>5ba43444</v>
      </c>
      <c r="I1815" s="2" t="str">
        <f ca="1">IFERROR(__xludf.DUMMYFUNCTION("""COMPUTED_VALUE"""),"Criolla Recarga")</f>
        <v>Criolla Recarga</v>
      </c>
      <c r="J1815" s="2">
        <f ca="1">IFERROR(__xludf.DUMMYFUNCTION("""COMPUTED_VALUE"""),62200)</f>
        <v>62200</v>
      </c>
      <c r="K1815" s="2">
        <f ca="1">IFERROR(__xludf.DUMMYFUNCTION("""COMPUTED_VALUE"""),76000)</f>
        <v>76000</v>
      </c>
      <c r="L1815" s="2" t="str">
        <f ca="1">IFERROR(__xludf.DUMMYFUNCTION("""COMPUTED_VALUE"""),"a18af5bc")</f>
        <v>a18af5bc</v>
      </c>
      <c r="M1815" s="2" t="str">
        <f ca="1">IFERROR(__xludf.DUMMYFUNCTION("""COMPUTED_VALUE"""),"Criolla Recarga")</f>
        <v>Criolla Recarga</v>
      </c>
      <c r="N1815" s="2"/>
      <c r="O1815" s="2" t="str">
        <f ca="1">IFERROR(__xludf.DUMMYFUNCTION("""COMPUTED_VALUE"""),"Descubada")</f>
        <v>Descubada</v>
      </c>
      <c r="P1815" s="2" t="str">
        <f ca="1">IFERROR(__xludf.DUMMYFUNCTION("""COMPUTED_VALUE"""),"1er Trasiego")</f>
        <v>1er Trasiego</v>
      </c>
      <c r="Q1815" s="2" t="b">
        <f ca="1">IFERROR(__xludf.DUMMYFUNCTION("""COMPUTED_VALUE"""),TRUE)</f>
        <v>1</v>
      </c>
      <c r="R1815" s="2" t="str">
        <f ca="1">IFERROR(__xludf.DUMMYFUNCTION("""COMPUTED_VALUE"""),"1er Trasiego")</f>
        <v>1er Trasiego</v>
      </c>
      <c r="S1815" s="2"/>
      <c r="T1815" s="2"/>
      <c r="U1815" s="2" t="str">
        <f ca="1">IFERROR(__xludf.DUMMYFUNCTION("""COMPUTED_VALUE"""),"1-")</f>
        <v>1-</v>
      </c>
    </row>
    <row r="1816" spans="1:21" x14ac:dyDescent="0.25">
      <c r="A1816" s="2" t="str">
        <f ca="1">IFERROR(__xludf.DUMMYFUNCTION("""COMPUTED_VALUE"""),"4eb816f2")</f>
        <v>4eb816f2</v>
      </c>
      <c r="B1816" s="5">
        <f ca="1">IFERROR(__xludf.DUMMYFUNCTION("""COMPUTED_VALUE"""),46164.7399305555)</f>
        <v>46164.739930555501</v>
      </c>
      <c r="C1816" s="2" t="str">
        <f ca="1">IFERROR(__xludf.DUMMYFUNCTION("""COMPUTED_VALUE"""),"0b275cb3")</f>
        <v>0b275cb3</v>
      </c>
      <c r="D1816" s="2">
        <f ca="1">IFERROR(__xludf.DUMMYFUNCTION("""COMPUTED_VALUE"""),12)</f>
        <v>12</v>
      </c>
      <c r="E1816" s="2" t="str">
        <f ca="1">IFERROR(__xludf.DUMMYFUNCTION("""COMPUTED_VALUE"""),"Bonarda C2")</f>
        <v>Bonarda C2</v>
      </c>
      <c r="F1816" s="2">
        <f ca="1">IFERROR(__xludf.DUMMYFUNCTION("""COMPUTED_VALUE"""),9100)</f>
        <v>9100</v>
      </c>
      <c r="G1816" s="2">
        <f ca="1">IFERROR(__xludf.DUMMYFUNCTION("""COMPUTED_VALUE"""),25)</f>
        <v>25</v>
      </c>
      <c r="H1816" s="2" t="str">
        <f ca="1">IFERROR(__xludf.DUMMYFUNCTION("""COMPUTED_VALUE"""),"fc0f53f2")</f>
        <v>fc0f53f2</v>
      </c>
      <c r="I1816" s="2" t="str">
        <f ca="1">IFERROR(__xludf.DUMMYFUNCTION("""COMPUTED_VALUE"""),"Criolla Recarga")</f>
        <v>Criolla Recarga</v>
      </c>
      <c r="J1816" s="2">
        <f ca="1">IFERROR(__xludf.DUMMYFUNCTION("""COMPUTED_VALUE"""),185200)</f>
        <v>185200</v>
      </c>
      <c r="K1816" s="2">
        <f ca="1">IFERROR(__xludf.DUMMYFUNCTION("""COMPUTED_VALUE"""),194300)</f>
        <v>194300</v>
      </c>
      <c r="L1816" s="2" t="str">
        <f ca="1">IFERROR(__xludf.DUMMYFUNCTION("""COMPUTED_VALUE"""),"1bb294a3")</f>
        <v>1bb294a3</v>
      </c>
      <c r="M1816" s="2" t="str">
        <f ca="1">IFERROR(__xludf.DUMMYFUNCTION("""COMPUTED_VALUE"""),"Criolla Recarga")</f>
        <v>Criolla Recarga</v>
      </c>
      <c r="N1816" s="2"/>
      <c r="O1816" s="2" t="str">
        <f ca="1">IFERROR(__xludf.DUMMYFUNCTION("""COMPUTED_VALUE"""),"Descubada")</f>
        <v>Descubada</v>
      </c>
      <c r="P1816" s="2" t="str">
        <f ca="1">IFERROR(__xludf.DUMMYFUNCTION("""COMPUTED_VALUE"""),"1er Trasiego")</f>
        <v>1er Trasiego</v>
      </c>
      <c r="Q1816" s="2" t="b">
        <f ca="1">IFERROR(__xludf.DUMMYFUNCTION("""COMPUTED_VALUE"""),TRUE)</f>
        <v>1</v>
      </c>
      <c r="R1816" s="2" t="str">
        <f ca="1">IFERROR(__xludf.DUMMYFUNCTION("""COMPUTED_VALUE"""),"1er Trasiego")</f>
        <v>1er Trasiego</v>
      </c>
      <c r="S1816" s="2"/>
      <c r="T1816" s="2"/>
      <c r="U1816" s="2" t="str">
        <f ca="1">IFERROR(__xludf.DUMMYFUNCTION("""COMPUTED_VALUE"""),"1")</f>
        <v>1</v>
      </c>
    </row>
    <row r="1817" spans="1:21" x14ac:dyDescent="0.25">
      <c r="A1817" s="2" t="str">
        <f ca="1">IFERROR(__xludf.DUMMYFUNCTION("""COMPUTED_VALUE"""),"447b4269")</f>
        <v>447b4269</v>
      </c>
      <c r="B1817" s="5">
        <f ca="1">IFERROR(__xludf.DUMMYFUNCTION("""COMPUTED_VALUE"""),46164.7441435185)</f>
        <v>46164.744143518503</v>
      </c>
      <c r="C1817" s="2" t="str">
        <f ca="1">IFERROR(__xludf.DUMMYFUNCTION("""COMPUTED_VALUE"""),"0b275cb3")</f>
        <v>0b275cb3</v>
      </c>
      <c r="D1817" s="2">
        <f ca="1">IFERROR(__xludf.DUMMYFUNCTION("""COMPUTED_VALUE"""),12)</f>
        <v>12</v>
      </c>
      <c r="E1817" s="2" t="str">
        <f ca="1">IFERROR(__xludf.DUMMYFUNCTION("""COMPUTED_VALUE"""),"Bonarda C2")</f>
        <v>Bonarda C2</v>
      </c>
      <c r="F1817" s="2">
        <f ca="1">IFERROR(__xludf.DUMMYFUNCTION("""COMPUTED_VALUE"""),600)</f>
        <v>600</v>
      </c>
      <c r="G1817" s="2">
        <f ca="1">IFERROR(__xludf.DUMMYFUNCTION("""COMPUTED_VALUE"""),935)</f>
        <v>935</v>
      </c>
      <c r="H1817" s="2" t="str">
        <f ca="1">IFERROR(__xludf.DUMMYFUNCTION("""COMPUTED_VALUE"""),"7ee6c7e5")</f>
        <v>7ee6c7e5</v>
      </c>
      <c r="I1817" s="2" t="str">
        <f ca="1">IFERROR(__xludf.DUMMYFUNCTION("""COMPUTED_VALUE"""),"Borra")</f>
        <v>Borra</v>
      </c>
      <c r="J1817" s="2">
        <f ca="1">IFERROR(__xludf.DUMMYFUNCTION("""COMPUTED_VALUE"""),10600)</f>
        <v>10600</v>
      </c>
      <c r="K1817" s="2">
        <f ca="1">IFERROR(__xludf.DUMMYFUNCTION("""COMPUTED_VALUE"""),11200)</f>
        <v>11200</v>
      </c>
      <c r="L1817" s="2" t="str">
        <f ca="1">IFERROR(__xludf.DUMMYFUNCTION("""COMPUTED_VALUE"""),"968b2e9e")</f>
        <v>968b2e9e</v>
      </c>
      <c r="M1817" s="2" t="str">
        <f ca="1">IFERROR(__xludf.DUMMYFUNCTION("""COMPUTED_VALUE"""),"Borra")</f>
        <v>Borra</v>
      </c>
      <c r="N1817" s="2"/>
      <c r="O1817" s="2" t="str">
        <f ca="1">IFERROR(__xludf.DUMMYFUNCTION("""COMPUTED_VALUE"""),"Descubada")</f>
        <v>Descubada</v>
      </c>
      <c r="P1817" s="2" t="str">
        <f ca="1">IFERROR(__xludf.DUMMYFUNCTION("""COMPUTED_VALUE"""),"1er Trasiego")</f>
        <v>1er Trasiego</v>
      </c>
      <c r="Q1817" s="2" t="b">
        <f ca="1">IFERROR(__xludf.DUMMYFUNCTION("""COMPUTED_VALUE"""),TRUE)</f>
        <v>1</v>
      </c>
      <c r="R1817" s="2" t="str">
        <f ca="1">IFERROR(__xludf.DUMMYFUNCTION("""COMPUTED_VALUE"""),"1er Trasiego")</f>
        <v>1er Trasiego</v>
      </c>
      <c r="S1817" s="2"/>
      <c r="T1817" s="2"/>
      <c r="U1817" s="2"/>
    </row>
    <row r="1818" spans="1:21" x14ac:dyDescent="0.25">
      <c r="A1818" s="2" t="str">
        <f ca="1">IFERROR(__xludf.DUMMYFUNCTION("""COMPUTED_VALUE"""),"a07b48b9")</f>
        <v>a07b48b9</v>
      </c>
      <c r="B1818" s="5">
        <f ca="1">IFERROR(__xludf.DUMMYFUNCTION("""COMPUTED_VALUE"""),46164.7444560185)</f>
        <v>46164.744456018503</v>
      </c>
      <c r="C1818" s="2" t="str">
        <f ca="1">IFERROR(__xludf.DUMMYFUNCTION("""COMPUTED_VALUE"""),"0b275cb3")</f>
        <v>0b275cb3</v>
      </c>
      <c r="D1818" s="2">
        <f ca="1">IFERROR(__xludf.DUMMYFUNCTION("""COMPUTED_VALUE"""),12)</f>
        <v>12</v>
      </c>
      <c r="E1818" s="2" t="str">
        <f ca="1">IFERROR(__xludf.DUMMYFUNCTION("""COMPUTED_VALUE"""),"Bonarda C2")</f>
        <v>Bonarda C2</v>
      </c>
      <c r="F1818" s="2">
        <f ca="1">IFERROR(__xludf.DUMMYFUNCTION("""COMPUTED_VALUE"""),8600)</f>
        <v>8600</v>
      </c>
      <c r="G1818" s="2">
        <f ca="1">IFERROR(__xludf.DUMMYFUNCTION("""COMPUTED_VALUE"""),94)</f>
        <v>94</v>
      </c>
      <c r="H1818" s="2" t="str">
        <f ca="1">IFERROR(__xludf.DUMMYFUNCTION("""COMPUTED_VALUE"""),"c0248330")</f>
        <v>c0248330</v>
      </c>
      <c r="I1818" s="2" t="str">
        <f ca="1">IFERROR(__xludf.DUMMYFUNCTION("""COMPUTED_VALUE"""),"Borra")</f>
        <v>Borra</v>
      </c>
      <c r="J1818" s="2">
        <f ca="1">IFERROR(__xludf.DUMMYFUNCTION("""COMPUTED_VALUE"""),3000)</f>
        <v>3000</v>
      </c>
      <c r="K1818" s="2">
        <f ca="1">IFERROR(__xludf.DUMMYFUNCTION("""COMPUTED_VALUE"""),11600)</f>
        <v>11600</v>
      </c>
      <c r="L1818" s="2" t="str">
        <f ca="1">IFERROR(__xludf.DUMMYFUNCTION("""COMPUTED_VALUE"""),"ab06a83a")</f>
        <v>ab06a83a</v>
      </c>
      <c r="M1818" s="2" t="str">
        <f ca="1">IFERROR(__xludf.DUMMYFUNCTION("""COMPUTED_VALUE"""),"Borra")</f>
        <v>Borra</v>
      </c>
      <c r="N1818" s="2"/>
      <c r="O1818" s="2" t="str">
        <f ca="1">IFERROR(__xludf.DUMMYFUNCTION("""COMPUTED_VALUE"""),"Descubada")</f>
        <v>Descubada</v>
      </c>
      <c r="P1818" s="2" t="str">
        <f ca="1">IFERROR(__xludf.DUMMYFUNCTION("""COMPUTED_VALUE"""),"1er Trasiego")</f>
        <v>1er Trasiego</v>
      </c>
      <c r="Q1818" s="2" t="b">
        <f ca="1">IFERROR(__xludf.DUMMYFUNCTION("""COMPUTED_VALUE"""),TRUE)</f>
        <v>1</v>
      </c>
      <c r="R1818" s="2" t="str">
        <f ca="1">IFERROR(__xludf.DUMMYFUNCTION("""COMPUTED_VALUE"""),"1er Trasiego")</f>
        <v>1er Trasiego</v>
      </c>
      <c r="S1818" s="2"/>
      <c r="T1818" s="2"/>
      <c r="U1818" s="2"/>
    </row>
    <row r="1819" spans="1:21" x14ac:dyDescent="0.25">
      <c r="A1819" s="2" t="str">
        <f ca="1">IFERROR(__xludf.DUMMYFUNCTION("""COMPUTED_VALUE"""),"833654be")</f>
        <v>833654be</v>
      </c>
      <c r="B1819" s="5">
        <f ca="1">IFERROR(__xludf.DUMMYFUNCTION("""COMPUTED_VALUE"""),46164.7446412037)</f>
        <v>46164.744641203702</v>
      </c>
      <c r="C1819" s="2" t="str">
        <f ca="1">IFERROR(__xludf.DUMMYFUNCTION("""COMPUTED_VALUE"""),"0b275cb3")</f>
        <v>0b275cb3</v>
      </c>
      <c r="D1819" s="2">
        <f ca="1">IFERROR(__xludf.DUMMYFUNCTION("""COMPUTED_VALUE"""),12)</f>
        <v>12</v>
      </c>
      <c r="E1819" s="2" t="str">
        <f ca="1">IFERROR(__xludf.DUMMYFUNCTION("""COMPUTED_VALUE"""),"Bonarda C2")</f>
        <v>Bonarda C2</v>
      </c>
      <c r="F1819" s="2">
        <f ca="1">IFERROR(__xludf.DUMMYFUNCTION("""COMPUTED_VALUE"""),3200)</f>
        <v>3200</v>
      </c>
      <c r="G1819" s="2">
        <f ca="1">IFERROR(__xludf.DUMMYFUNCTION("""COMPUTED_VALUE"""),68)</f>
        <v>68</v>
      </c>
      <c r="H1819" s="2"/>
      <c r="I1819" s="2"/>
      <c r="J1819" s="2">
        <f ca="1">IFERROR(__xludf.DUMMYFUNCTION("""COMPUTED_VALUE"""),0)</f>
        <v>0</v>
      </c>
      <c r="K1819" s="2">
        <f ca="1">IFERROR(__xludf.DUMMYFUNCTION("""COMPUTED_VALUE"""),3200)</f>
        <v>3200</v>
      </c>
      <c r="L1819" s="2" t="str">
        <f ca="1">IFERROR(__xludf.DUMMYFUNCTION("""COMPUTED_VALUE"""),"6e2548a8")</f>
        <v>6e2548a8</v>
      </c>
      <c r="M1819" s="2" t="str">
        <f ca="1">IFERROR(__xludf.DUMMYFUNCTION("""COMPUTED_VALUE"""),"Borra")</f>
        <v>Borra</v>
      </c>
      <c r="N1819" s="2"/>
      <c r="O1819" s="2" t="str">
        <f ca="1">IFERROR(__xludf.DUMMYFUNCTION("""COMPUTED_VALUE"""),"Descubada")</f>
        <v>Descubada</v>
      </c>
      <c r="P1819" s="2"/>
      <c r="Q1819" s="2" t="b">
        <f ca="1">IFERROR(__xludf.DUMMYFUNCTION("""COMPUTED_VALUE"""),FALSE)</f>
        <v>0</v>
      </c>
      <c r="R1819" s="2" t="str">
        <f ca="1">IFERROR(__xludf.DUMMYFUNCTION("""COMPUTED_VALUE"""),"1er Trasiego")</f>
        <v>1er Trasiego</v>
      </c>
      <c r="S1819" s="2"/>
      <c r="T1819" s="2"/>
      <c r="U1819" s="2"/>
    </row>
    <row r="1820" spans="1:21" x14ac:dyDescent="0.25">
      <c r="A1820" s="2" t="str">
        <f ca="1">IFERROR(__xludf.DUMMYFUNCTION("""COMPUTED_VALUE"""),"971729d1")</f>
        <v>971729d1</v>
      </c>
      <c r="B1820" s="5">
        <f ca="1">IFERROR(__xludf.DUMMYFUNCTION("""COMPUTED_VALUE"""),46169.8423379629)</f>
        <v>46169.842337962902</v>
      </c>
      <c r="C1820" s="2" t="str">
        <f ca="1">IFERROR(__xludf.DUMMYFUNCTION("""COMPUTED_VALUE"""),"a21e63a2")</f>
        <v>a21e63a2</v>
      </c>
      <c r="D1820" s="2">
        <f ca="1">IFERROR(__xludf.DUMMYFUNCTION("""COMPUTED_VALUE"""),82)</f>
        <v>82</v>
      </c>
      <c r="E1820" s="2" t="str">
        <f ca="1">IFERROR(__xludf.DUMMYFUNCTION("""COMPUTED_VALUE"""),"Bonarda c/criolla")</f>
        <v>Bonarda c/criolla</v>
      </c>
      <c r="F1820" s="2">
        <f ca="1">IFERROR(__xludf.DUMMYFUNCTION("""COMPUTED_VALUE"""),40600)</f>
        <v>40600</v>
      </c>
      <c r="G1820" s="2">
        <f ca="1">IFERROR(__xludf.DUMMYFUNCTION("""COMPUTED_VALUE"""),96)</f>
        <v>96</v>
      </c>
      <c r="H1820" s="2"/>
      <c r="I1820" s="2"/>
      <c r="J1820" s="2">
        <f ca="1">IFERROR(__xludf.DUMMYFUNCTION("""COMPUTED_VALUE"""),0)</f>
        <v>0</v>
      </c>
      <c r="K1820" s="2">
        <f ca="1">IFERROR(__xludf.DUMMYFUNCTION("""COMPUTED_VALUE"""),40600)</f>
        <v>40600</v>
      </c>
      <c r="L1820" s="2" t="str">
        <f ca="1">IFERROR(__xludf.DUMMYFUNCTION("""COMPUTED_VALUE"""),"36eec7d7")</f>
        <v>36eec7d7</v>
      </c>
      <c r="M1820" s="2" t="str">
        <f ca="1">IFERROR(__xludf.DUMMYFUNCTION("""COMPUTED_VALUE"""),"Bonarda c/criolla")</f>
        <v>Bonarda c/criolla</v>
      </c>
      <c r="N1820" s="2"/>
      <c r="O1820" s="2" t="str">
        <f ca="1">IFERROR(__xludf.DUMMYFUNCTION("""COMPUTED_VALUE"""),"Descubada")</f>
        <v>Descubada</v>
      </c>
      <c r="P1820" s="2"/>
      <c r="Q1820" s="2" t="b">
        <f ca="1">IFERROR(__xludf.DUMMYFUNCTION("""COMPUTED_VALUE"""),FALSE)</f>
        <v>0</v>
      </c>
      <c r="R1820" s="2" t="str">
        <f ca="1">IFERROR(__xludf.DUMMYFUNCTION("""COMPUTED_VALUE"""),"1er Trasiego")</f>
        <v>1er Trasiego</v>
      </c>
      <c r="S1820" s="2"/>
      <c r="T1820" s="2"/>
      <c r="U1820" s="2" t="str">
        <f ca="1">IFERROR(__xludf.DUMMYFUNCTION("""COMPUTED_VALUE"""),"1+")</f>
        <v>1+</v>
      </c>
    </row>
    <row r="1821" spans="1:21" x14ac:dyDescent="0.25">
      <c r="A1821" s="2" t="str">
        <f ca="1">IFERROR(__xludf.DUMMYFUNCTION("""COMPUTED_VALUE"""),"8e09c7cd")</f>
        <v>8e09c7cd</v>
      </c>
      <c r="B1821" s="5">
        <f ca="1">IFERROR(__xludf.DUMMYFUNCTION("""COMPUTED_VALUE"""),46169.8428703703)</f>
        <v>46169.842870370303</v>
      </c>
      <c r="C1821" s="2" t="str">
        <f ca="1">IFERROR(__xludf.DUMMYFUNCTION("""COMPUTED_VALUE"""),"a21e63a2")</f>
        <v>a21e63a2</v>
      </c>
      <c r="D1821" s="2">
        <f ca="1">IFERROR(__xludf.DUMMYFUNCTION("""COMPUTED_VALUE"""),82)</f>
        <v>82</v>
      </c>
      <c r="E1821" s="2" t="str">
        <f ca="1">IFERROR(__xludf.DUMMYFUNCTION("""COMPUTED_VALUE"""),"Bonarda c/criolla")</f>
        <v>Bonarda c/criolla</v>
      </c>
      <c r="F1821" s="2">
        <f ca="1">IFERROR(__xludf.DUMMYFUNCTION("""COMPUTED_VALUE"""),2000)</f>
        <v>2000</v>
      </c>
      <c r="G1821" s="2">
        <f ca="1">IFERROR(__xludf.DUMMYFUNCTION("""COMPUTED_VALUE"""),68)</f>
        <v>68</v>
      </c>
      <c r="H1821" s="2" t="str">
        <f ca="1">IFERROR(__xludf.DUMMYFUNCTION("""COMPUTED_VALUE"""),"6e2548a8")</f>
        <v>6e2548a8</v>
      </c>
      <c r="I1821" s="2" t="str">
        <f ca="1">IFERROR(__xludf.DUMMYFUNCTION("""COMPUTED_VALUE"""),"Borra")</f>
        <v>Borra</v>
      </c>
      <c r="J1821" s="2">
        <f ca="1">IFERROR(__xludf.DUMMYFUNCTION("""COMPUTED_VALUE"""),3200)</f>
        <v>3200</v>
      </c>
      <c r="K1821" s="2">
        <f ca="1">IFERROR(__xludf.DUMMYFUNCTION("""COMPUTED_VALUE"""),5200)</f>
        <v>5200</v>
      </c>
      <c r="L1821" s="2" t="str">
        <f ca="1">IFERROR(__xludf.DUMMYFUNCTION("""COMPUTED_VALUE"""),"c23939e4")</f>
        <v>c23939e4</v>
      </c>
      <c r="M1821" s="2" t="str">
        <f ca="1">IFERROR(__xludf.DUMMYFUNCTION("""COMPUTED_VALUE"""),"Borra")</f>
        <v>Borra</v>
      </c>
      <c r="N1821" s="2"/>
      <c r="O1821" s="2" t="str">
        <f ca="1">IFERROR(__xludf.DUMMYFUNCTION("""COMPUTED_VALUE"""),"Descubada")</f>
        <v>Descubada</v>
      </c>
      <c r="P1821" s="2" t="str">
        <f ca="1">IFERROR(__xludf.DUMMYFUNCTION("""COMPUTED_VALUE"""),"1er Trasiego")</f>
        <v>1er Trasiego</v>
      </c>
      <c r="Q1821" s="2" t="b">
        <f ca="1">IFERROR(__xludf.DUMMYFUNCTION("""COMPUTED_VALUE"""),TRUE)</f>
        <v>1</v>
      </c>
      <c r="R1821" s="2" t="str">
        <f ca="1">IFERROR(__xludf.DUMMYFUNCTION("""COMPUTED_VALUE"""),"1er Trasiego")</f>
        <v>1er Trasiego</v>
      </c>
      <c r="S1821" s="2"/>
      <c r="T1821" s="2"/>
      <c r="U1821" s="2"/>
    </row>
    <row r="1822" spans="1:21" x14ac:dyDescent="0.25">
      <c r="A1822" s="2" t="str">
        <f ca="1">IFERROR(__xludf.DUMMYFUNCTION("""COMPUTED_VALUE"""),"a5b4b4eb")</f>
        <v>a5b4b4eb</v>
      </c>
      <c r="B1822" s="5">
        <f ca="1">IFERROR(__xludf.DUMMYFUNCTION("""COMPUTED_VALUE"""),46169.8430439814)</f>
        <v>46169.843043981396</v>
      </c>
      <c r="C1822" s="2" t="str">
        <f ca="1">IFERROR(__xludf.DUMMYFUNCTION("""COMPUTED_VALUE"""),"253bec17")</f>
        <v>253bec17</v>
      </c>
      <c r="D1822" s="2">
        <f ca="1">IFERROR(__xludf.DUMMYFUNCTION("""COMPUTED_VALUE"""),81)</f>
        <v>81</v>
      </c>
      <c r="E1822" s="2" t="str">
        <f ca="1">IFERROR(__xludf.DUMMYFUNCTION("""COMPUTED_VALUE"""),"Bonarda")</f>
        <v>Bonarda</v>
      </c>
      <c r="F1822" s="2">
        <f ca="1">IFERROR(__xludf.DUMMYFUNCTION("""COMPUTED_VALUE"""),25500)</f>
        <v>25500</v>
      </c>
      <c r="G1822" s="2">
        <f ca="1">IFERROR(__xludf.DUMMYFUNCTION("""COMPUTED_VALUE"""),96)</f>
        <v>96</v>
      </c>
      <c r="H1822" s="2" t="str">
        <f ca="1">IFERROR(__xludf.DUMMYFUNCTION("""COMPUTED_VALUE"""),"36eec7d7")</f>
        <v>36eec7d7</v>
      </c>
      <c r="I1822" s="2" t="str">
        <f ca="1">IFERROR(__xludf.DUMMYFUNCTION("""COMPUTED_VALUE"""),"Bonarda c/criolla")</f>
        <v>Bonarda c/criolla</v>
      </c>
      <c r="J1822" s="2">
        <f ca="1">IFERROR(__xludf.DUMMYFUNCTION("""COMPUTED_VALUE"""),40600)</f>
        <v>40600</v>
      </c>
      <c r="K1822" s="2">
        <f ca="1">IFERROR(__xludf.DUMMYFUNCTION("""COMPUTED_VALUE"""),66100)</f>
        <v>66100</v>
      </c>
      <c r="L1822" s="2" t="str">
        <f ca="1">IFERROR(__xludf.DUMMYFUNCTION("""COMPUTED_VALUE"""),"fafdfbee")</f>
        <v>fafdfbee</v>
      </c>
      <c r="M1822" s="2" t="str">
        <f ca="1">IFERROR(__xludf.DUMMYFUNCTION("""COMPUTED_VALUE"""),"Bonarda")</f>
        <v>Bonarda</v>
      </c>
      <c r="N1822" s="2"/>
      <c r="O1822" s="2" t="str">
        <f ca="1">IFERROR(__xludf.DUMMYFUNCTION("""COMPUTED_VALUE"""),"Descubada")</f>
        <v>Descubada</v>
      </c>
      <c r="P1822" s="2" t="str">
        <f ca="1">IFERROR(__xludf.DUMMYFUNCTION("""COMPUTED_VALUE"""),"1er Trasiego")</f>
        <v>1er Trasiego</v>
      </c>
      <c r="Q1822" s="2" t="b">
        <f ca="1">IFERROR(__xludf.DUMMYFUNCTION("""COMPUTED_VALUE"""),TRUE)</f>
        <v>1</v>
      </c>
      <c r="R1822" s="2" t="str">
        <f ca="1">IFERROR(__xludf.DUMMYFUNCTION("""COMPUTED_VALUE"""),"1er Trasiego")</f>
        <v>1er Trasiego</v>
      </c>
      <c r="S1822" s="2"/>
      <c r="T1822" s="2"/>
      <c r="U1822" s="2" t="str">
        <f ca="1">IFERROR(__xludf.DUMMYFUNCTION("""COMPUTED_VALUE"""),"1+")</f>
        <v>1+</v>
      </c>
    </row>
    <row r="1823" spans="1:21" x14ac:dyDescent="0.25">
      <c r="A1823" s="2" t="str">
        <f ca="1">IFERROR(__xludf.DUMMYFUNCTION("""COMPUTED_VALUE"""),"65789800")</f>
        <v>65789800</v>
      </c>
      <c r="B1823" s="5">
        <f ca="1">IFERROR(__xludf.DUMMYFUNCTION("""COMPUTED_VALUE"""),46169.8433912037)</f>
        <v>46169.8433912037</v>
      </c>
      <c r="C1823" s="2" t="str">
        <f ca="1">IFERROR(__xludf.DUMMYFUNCTION("""COMPUTED_VALUE"""),"253bec17")</f>
        <v>253bec17</v>
      </c>
      <c r="D1823" s="2">
        <f ca="1">IFERROR(__xludf.DUMMYFUNCTION("""COMPUTED_VALUE"""),81)</f>
        <v>81</v>
      </c>
      <c r="E1823" s="2" t="str">
        <f ca="1">IFERROR(__xludf.DUMMYFUNCTION("""COMPUTED_VALUE"""),"Bonarda")</f>
        <v>Bonarda</v>
      </c>
      <c r="F1823" s="2">
        <f ca="1">IFERROR(__xludf.DUMMYFUNCTION("""COMPUTED_VALUE"""),1000)</f>
        <v>1000</v>
      </c>
      <c r="G1823" s="2">
        <f ca="1">IFERROR(__xludf.DUMMYFUNCTION("""COMPUTED_VALUE"""),68)</f>
        <v>68</v>
      </c>
      <c r="H1823" s="2" t="str">
        <f ca="1">IFERROR(__xludf.DUMMYFUNCTION("""COMPUTED_VALUE"""),"c23939e4")</f>
        <v>c23939e4</v>
      </c>
      <c r="I1823" s="2" t="str">
        <f ca="1">IFERROR(__xludf.DUMMYFUNCTION("""COMPUTED_VALUE"""),"Borra")</f>
        <v>Borra</v>
      </c>
      <c r="J1823" s="2">
        <f ca="1">IFERROR(__xludf.DUMMYFUNCTION("""COMPUTED_VALUE"""),5200)</f>
        <v>5200</v>
      </c>
      <c r="K1823" s="2">
        <f ca="1">IFERROR(__xludf.DUMMYFUNCTION("""COMPUTED_VALUE"""),6200)</f>
        <v>6200</v>
      </c>
      <c r="L1823" s="2" t="str">
        <f ca="1">IFERROR(__xludf.DUMMYFUNCTION("""COMPUTED_VALUE"""),"a5154814")</f>
        <v>a5154814</v>
      </c>
      <c r="M1823" s="2" t="str">
        <f ca="1">IFERROR(__xludf.DUMMYFUNCTION("""COMPUTED_VALUE"""),"Borra")</f>
        <v>Borra</v>
      </c>
      <c r="N1823" s="2"/>
      <c r="O1823" s="2" t="str">
        <f ca="1">IFERROR(__xludf.DUMMYFUNCTION("""COMPUTED_VALUE"""),"Descubada")</f>
        <v>Descubada</v>
      </c>
      <c r="P1823" s="2" t="str">
        <f ca="1">IFERROR(__xludf.DUMMYFUNCTION("""COMPUTED_VALUE"""),"1er Trasiego")</f>
        <v>1er Trasiego</v>
      </c>
      <c r="Q1823" s="2" t="b">
        <f ca="1">IFERROR(__xludf.DUMMYFUNCTION("""COMPUTED_VALUE"""),TRUE)</f>
        <v>1</v>
      </c>
      <c r="R1823" s="2" t="str">
        <f ca="1">IFERROR(__xludf.DUMMYFUNCTION("""COMPUTED_VALUE"""),"1er Trasiego")</f>
        <v>1er Trasiego</v>
      </c>
      <c r="S1823" s="2"/>
      <c r="T1823" s="2"/>
      <c r="U1823" s="2"/>
    </row>
    <row r="1824" spans="1:21" x14ac:dyDescent="0.25">
      <c r="A1824" s="2" t="str">
        <f ca="1">IFERROR(__xludf.DUMMYFUNCTION("""COMPUTED_VALUE"""),"3f20c4a3")</f>
        <v>3f20c4a3</v>
      </c>
      <c r="B1824" s="5">
        <f ca="1">IFERROR(__xludf.DUMMYFUNCTION("""COMPUTED_VALUE"""),46169.8436574074)</f>
        <v>46169.8436574074</v>
      </c>
      <c r="C1824" s="2" t="str">
        <f ca="1">IFERROR(__xludf.DUMMYFUNCTION("""COMPUTED_VALUE"""),"ae299cc9")</f>
        <v>ae299cc9</v>
      </c>
      <c r="D1824" s="2">
        <f ca="1">IFERROR(__xludf.DUMMYFUNCTION("""COMPUTED_VALUE"""),66)</f>
        <v>66</v>
      </c>
      <c r="E1824" s="2" t="str">
        <f ca="1">IFERROR(__xludf.DUMMYFUNCTION("""COMPUTED_VALUE"""),"Bonarda PC")</f>
        <v>Bonarda PC</v>
      </c>
      <c r="F1824" s="2">
        <f ca="1">IFERROR(__xludf.DUMMYFUNCTION("""COMPUTED_VALUE"""),19500)</f>
        <v>19500</v>
      </c>
      <c r="G1824" s="2">
        <f ca="1">IFERROR(__xludf.DUMMYFUNCTION("""COMPUTED_VALUE"""),96)</f>
        <v>96</v>
      </c>
      <c r="H1824" s="2" t="str">
        <f ca="1">IFERROR(__xludf.DUMMYFUNCTION("""COMPUTED_VALUE"""),"fafdfbee")</f>
        <v>fafdfbee</v>
      </c>
      <c r="I1824" s="2" t="str">
        <f ca="1">IFERROR(__xludf.DUMMYFUNCTION("""COMPUTED_VALUE"""),"Bonarda")</f>
        <v>Bonarda</v>
      </c>
      <c r="J1824" s="2">
        <f ca="1">IFERROR(__xludf.DUMMYFUNCTION("""COMPUTED_VALUE"""),66100)</f>
        <v>66100</v>
      </c>
      <c r="K1824" s="2">
        <f ca="1">IFERROR(__xludf.DUMMYFUNCTION("""COMPUTED_VALUE"""),85600)</f>
        <v>85600</v>
      </c>
      <c r="L1824" s="2" t="str">
        <f ca="1">IFERROR(__xludf.DUMMYFUNCTION("""COMPUTED_VALUE"""),"05b3155b")</f>
        <v>05b3155b</v>
      </c>
      <c r="M1824" s="2" t="str">
        <f ca="1">IFERROR(__xludf.DUMMYFUNCTION("""COMPUTED_VALUE"""),"Bonarda")</f>
        <v>Bonarda</v>
      </c>
      <c r="N1824" s="2"/>
      <c r="O1824" s="2" t="str">
        <f ca="1">IFERROR(__xludf.DUMMYFUNCTION("""COMPUTED_VALUE"""),"Descubada")</f>
        <v>Descubada</v>
      </c>
      <c r="P1824" s="2" t="str">
        <f ca="1">IFERROR(__xludf.DUMMYFUNCTION("""COMPUTED_VALUE"""),"1er Trasiego")</f>
        <v>1er Trasiego</v>
      </c>
      <c r="Q1824" s="2" t="b">
        <f ca="1">IFERROR(__xludf.DUMMYFUNCTION("""COMPUTED_VALUE"""),TRUE)</f>
        <v>1</v>
      </c>
      <c r="R1824" s="2" t="str">
        <f ca="1">IFERROR(__xludf.DUMMYFUNCTION("""COMPUTED_VALUE"""),"1er Trasiego")</f>
        <v>1er Trasiego</v>
      </c>
      <c r="S1824" s="2"/>
      <c r="T1824" s="2"/>
      <c r="U1824" s="2" t="str">
        <f ca="1">IFERROR(__xludf.DUMMYFUNCTION("""COMPUTED_VALUE"""),"1+")</f>
        <v>1+</v>
      </c>
    </row>
    <row r="1825" spans="1:21" x14ac:dyDescent="0.25">
      <c r="A1825" s="2" t="str">
        <f ca="1">IFERROR(__xludf.DUMMYFUNCTION("""COMPUTED_VALUE"""),"85c31c21")</f>
        <v>85c31c21</v>
      </c>
      <c r="B1825" s="5">
        <f ca="1">IFERROR(__xludf.DUMMYFUNCTION("""COMPUTED_VALUE"""),46169.8440509259)</f>
        <v>46169.844050925902</v>
      </c>
      <c r="C1825" s="2" t="str">
        <f ca="1">IFERROR(__xludf.DUMMYFUNCTION("""COMPUTED_VALUE"""),"ae299cc9")</f>
        <v>ae299cc9</v>
      </c>
      <c r="D1825" s="2">
        <f ca="1">IFERROR(__xludf.DUMMYFUNCTION("""COMPUTED_VALUE"""),66)</f>
        <v>66</v>
      </c>
      <c r="E1825" s="2" t="str">
        <f ca="1">IFERROR(__xludf.DUMMYFUNCTION("""COMPUTED_VALUE"""),"Bonarda PC")</f>
        <v>Bonarda PC</v>
      </c>
      <c r="F1825" s="2">
        <f ca="1">IFERROR(__xludf.DUMMYFUNCTION("""COMPUTED_VALUE"""),1000)</f>
        <v>1000</v>
      </c>
      <c r="G1825" s="2">
        <f ca="1">IFERROR(__xludf.DUMMYFUNCTION("""COMPUTED_VALUE"""),83)</f>
        <v>83</v>
      </c>
      <c r="H1825" s="2"/>
      <c r="I1825" s="2"/>
      <c r="J1825" s="2">
        <f ca="1">IFERROR(__xludf.DUMMYFUNCTION("""COMPUTED_VALUE"""),0)</f>
        <v>0</v>
      </c>
      <c r="K1825" s="2">
        <f ca="1">IFERROR(__xludf.DUMMYFUNCTION("""COMPUTED_VALUE"""),1000)</f>
        <v>1000</v>
      </c>
      <c r="L1825" s="2" t="str">
        <f ca="1">IFERROR(__xludf.DUMMYFUNCTION("""COMPUTED_VALUE"""),"953edc47")</f>
        <v>953edc47</v>
      </c>
      <c r="M1825" s="2" t="str">
        <f ca="1">IFERROR(__xludf.DUMMYFUNCTION("""COMPUTED_VALUE"""),"Bonarda PC")</f>
        <v>Bonarda PC</v>
      </c>
      <c r="N1825" s="2"/>
      <c r="O1825" s="2" t="str">
        <f ca="1">IFERROR(__xludf.DUMMYFUNCTION("""COMPUTED_VALUE"""),"Descubada")</f>
        <v>Descubada</v>
      </c>
      <c r="P1825" s="2"/>
      <c r="Q1825" s="2" t="b">
        <f ca="1">IFERROR(__xludf.DUMMYFUNCTION("""COMPUTED_VALUE"""),FALSE)</f>
        <v>0</v>
      </c>
      <c r="R1825" s="2" t="str">
        <f ca="1">IFERROR(__xludf.DUMMYFUNCTION("""COMPUTED_VALUE"""),"1er Trasiego")</f>
        <v>1er Trasiego</v>
      </c>
      <c r="S1825" s="2"/>
      <c r="T1825" s="2"/>
      <c r="U1825" s="2" t="str">
        <f ca="1">IFERROR(__xludf.DUMMYFUNCTION("""COMPUTED_VALUE"""),"1+")</f>
        <v>1+</v>
      </c>
    </row>
    <row r="1826" spans="1:21" x14ac:dyDescent="0.25">
      <c r="A1826" s="2" t="str">
        <f ca="1">IFERROR(__xludf.DUMMYFUNCTION("""COMPUTED_VALUE"""),"ad6466d4")</f>
        <v>ad6466d4</v>
      </c>
      <c r="B1826" s="5">
        <f ca="1">IFERROR(__xludf.DUMMYFUNCTION("""COMPUTED_VALUE"""),46169.8443518518)</f>
        <v>46169.844351851803</v>
      </c>
      <c r="C1826" s="2" t="str">
        <f ca="1">IFERROR(__xludf.DUMMYFUNCTION("""COMPUTED_VALUE"""),"ae299cc9")</f>
        <v>ae299cc9</v>
      </c>
      <c r="D1826" s="2">
        <f ca="1">IFERROR(__xludf.DUMMYFUNCTION("""COMPUTED_VALUE"""),66)</f>
        <v>66</v>
      </c>
      <c r="E1826" s="2" t="str">
        <f ca="1">IFERROR(__xludf.DUMMYFUNCTION("""COMPUTED_VALUE"""),"Bonarda PC")</f>
        <v>Bonarda PC</v>
      </c>
      <c r="F1826" s="2">
        <f ca="1">IFERROR(__xludf.DUMMYFUNCTION("""COMPUTED_VALUE"""),1500)</f>
        <v>1500</v>
      </c>
      <c r="G1826" s="2">
        <f ca="1">IFERROR(__xludf.DUMMYFUNCTION("""COMPUTED_VALUE"""),68)</f>
        <v>68</v>
      </c>
      <c r="H1826" s="2" t="str">
        <f ca="1">IFERROR(__xludf.DUMMYFUNCTION("""COMPUTED_VALUE"""),"a5154814")</f>
        <v>a5154814</v>
      </c>
      <c r="I1826" s="2" t="str">
        <f ca="1">IFERROR(__xludf.DUMMYFUNCTION("""COMPUTED_VALUE"""),"Borra")</f>
        <v>Borra</v>
      </c>
      <c r="J1826" s="2">
        <f ca="1">IFERROR(__xludf.DUMMYFUNCTION("""COMPUTED_VALUE"""),6200)</f>
        <v>6200</v>
      </c>
      <c r="K1826" s="2">
        <f ca="1">IFERROR(__xludf.DUMMYFUNCTION("""COMPUTED_VALUE"""),7700)</f>
        <v>7700</v>
      </c>
      <c r="L1826" s="2" t="str">
        <f ca="1">IFERROR(__xludf.DUMMYFUNCTION("""COMPUTED_VALUE"""),"dacfb20a")</f>
        <v>dacfb20a</v>
      </c>
      <c r="M1826" s="2" t="str">
        <f ca="1">IFERROR(__xludf.DUMMYFUNCTION("""COMPUTED_VALUE"""),"Bonarda PC")</f>
        <v>Bonarda PC</v>
      </c>
      <c r="N1826" s="2"/>
      <c r="O1826" s="2" t="str">
        <f ca="1">IFERROR(__xludf.DUMMYFUNCTION("""COMPUTED_VALUE"""),"Descubada")</f>
        <v>Descubada</v>
      </c>
      <c r="P1826" s="2" t="str">
        <f ca="1">IFERROR(__xludf.DUMMYFUNCTION("""COMPUTED_VALUE"""),"1er Trasiego")</f>
        <v>1er Trasiego</v>
      </c>
      <c r="Q1826" s="2" t="b">
        <f ca="1">IFERROR(__xludf.DUMMYFUNCTION("""COMPUTED_VALUE"""),FALSE)</f>
        <v>0</v>
      </c>
      <c r="R1826" s="2" t="str">
        <f ca="1">IFERROR(__xludf.DUMMYFUNCTION("""COMPUTED_VALUE"""),"Descubada")</f>
        <v>Descubada</v>
      </c>
      <c r="S1826" s="2"/>
      <c r="T1826" s="2"/>
      <c r="U1826" s="2" t="str">
        <f ca="1">IFERROR(__xludf.DUMMYFUNCTION("""COMPUTED_VALUE"""),"1+")</f>
        <v>1+</v>
      </c>
    </row>
    <row r="1827" spans="1:21" x14ac:dyDescent="0.25">
      <c r="A1827" s="2" t="str">
        <f ca="1">IFERROR(__xludf.DUMMYFUNCTION("""COMPUTED_VALUE"""),"3946e37f")</f>
        <v>3946e37f</v>
      </c>
      <c r="B1827" s="5">
        <f ca="1">IFERROR(__xludf.DUMMYFUNCTION("""COMPUTED_VALUE"""),46169.8457175925)</f>
        <v>46169.8457175925</v>
      </c>
      <c r="C1827" s="2" t="str">
        <f ca="1">IFERROR(__xludf.DUMMYFUNCTION("""COMPUTED_VALUE"""),"d094cdee")</f>
        <v>d094cdee</v>
      </c>
      <c r="D1827" s="2">
        <f ca="1">IFERROR(__xludf.DUMMYFUNCTION("""COMPUTED_VALUE"""),76)</f>
        <v>76</v>
      </c>
      <c r="E1827" s="2" t="str">
        <f ca="1">IFERROR(__xludf.DUMMYFUNCTION("""COMPUTED_VALUE"""),"Bonarda")</f>
        <v>Bonarda</v>
      </c>
      <c r="F1827" s="2">
        <f ca="1">IFERROR(__xludf.DUMMYFUNCTION("""COMPUTED_VALUE"""),17000)</f>
        <v>17000</v>
      </c>
      <c r="G1827" s="2">
        <f ca="1">IFERROR(__xludf.DUMMYFUNCTION("""COMPUTED_VALUE"""),83)</f>
        <v>83</v>
      </c>
      <c r="H1827" s="2" t="str">
        <f ca="1">IFERROR(__xludf.DUMMYFUNCTION("""COMPUTED_VALUE"""),"953edc47")</f>
        <v>953edc47</v>
      </c>
      <c r="I1827" s="2" t="str">
        <f ca="1">IFERROR(__xludf.DUMMYFUNCTION("""COMPUTED_VALUE"""),"Bonarda PC")</f>
        <v>Bonarda PC</v>
      </c>
      <c r="J1827" s="2">
        <f ca="1">IFERROR(__xludf.DUMMYFUNCTION("""COMPUTED_VALUE"""),1000)</f>
        <v>1000</v>
      </c>
      <c r="K1827" s="2">
        <f ca="1">IFERROR(__xludf.DUMMYFUNCTION("""COMPUTED_VALUE"""),18000)</f>
        <v>18000</v>
      </c>
      <c r="L1827" s="2" t="str">
        <f ca="1">IFERROR(__xludf.DUMMYFUNCTION("""COMPUTED_VALUE"""),"58616749")</f>
        <v>58616749</v>
      </c>
      <c r="M1827" s="2" t="str">
        <f ca="1">IFERROR(__xludf.DUMMYFUNCTION("""COMPUTED_VALUE"""),"Bonarda")</f>
        <v>Bonarda</v>
      </c>
      <c r="N1827" s="2"/>
      <c r="O1827" s="2" t="str">
        <f ca="1">IFERROR(__xludf.DUMMYFUNCTION("""COMPUTED_VALUE"""),"Descubada")</f>
        <v>Descubada</v>
      </c>
      <c r="P1827" s="2" t="str">
        <f ca="1">IFERROR(__xludf.DUMMYFUNCTION("""COMPUTED_VALUE"""),"1er Trasiego")</f>
        <v>1er Trasiego</v>
      </c>
      <c r="Q1827" s="2" t="b">
        <f ca="1">IFERROR(__xludf.DUMMYFUNCTION("""COMPUTED_VALUE"""),TRUE)</f>
        <v>1</v>
      </c>
      <c r="R1827" s="2" t="str">
        <f ca="1">IFERROR(__xludf.DUMMYFUNCTION("""COMPUTED_VALUE"""),"1er Trasiego")</f>
        <v>1er Trasiego</v>
      </c>
      <c r="S1827" s="2"/>
      <c r="T1827" s="2"/>
      <c r="U1827" s="2" t="str">
        <f ca="1">IFERROR(__xludf.DUMMYFUNCTION("""COMPUTED_VALUE"""),"1+")</f>
        <v>1+</v>
      </c>
    </row>
    <row r="1828" spans="1:21" x14ac:dyDescent="0.25">
      <c r="A1828" s="2" t="str">
        <f ca="1">IFERROR(__xludf.DUMMYFUNCTION("""COMPUTED_VALUE"""),"f39b14f9")</f>
        <v>f39b14f9</v>
      </c>
      <c r="B1828" s="5">
        <f ca="1">IFERROR(__xludf.DUMMYFUNCTION("""COMPUTED_VALUE"""),46169.8461111111)</f>
        <v>46169.846111111103</v>
      </c>
      <c r="C1828" s="2" t="str">
        <f ca="1">IFERROR(__xludf.DUMMYFUNCTION("""COMPUTED_VALUE"""),"d094cdee")</f>
        <v>d094cdee</v>
      </c>
      <c r="D1828" s="2">
        <f ca="1">IFERROR(__xludf.DUMMYFUNCTION("""COMPUTED_VALUE"""),76)</f>
        <v>76</v>
      </c>
      <c r="E1828" s="2" t="str">
        <f ca="1">IFERROR(__xludf.DUMMYFUNCTION("""COMPUTED_VALUE"""),"Bonarda")</f>
        <v>Bonarda</v>
      </c>
      <c r="F1828" s="2">
        <f ca="1">IFERROR(__xludf.DUMMYFUNCTION("""COMPUTED_VALUE"""),500)</f>
        <v>500</v>
      </c>
      <c r="G1828" s="2">
        <f ca="1">IFERROR(__xludf.DUMMYFUNCTION("""COMPUTED_VALUE"""),68)</f>
        <v>68</v>
      </c>
      <c r="H1828" s="2" t="str">
        <f ca="1">IFERROR(__xludf.DUMMYFUNCTION("""COMPUTED_VALUE"""),"dacfb20a")</f>
        <v>dacfb20a</v>
      </c>
      <c r="I1828" s="2" t="str">
        <f ca="1">IFERROR(__xludf.DUMMYFUNCTION("""COMPUTED_VALUE"""),"Bonarda PC")</f>
        <v>Bonarda PC</v>
      </c>
      <c r="J1828" s="2">
        <f ca="1">IFERROR(__xludf.DUMMYFUNCTION("""COMPUTED_VALUE"""),7700)</f>
        <v>7700</v>
      </c>
      <c r="K1828" s="2">
        <f ca="1">IFERROR(__xludf.DUMMYFUNCTION("""COMPUTED_VALUE"""),8200)</f>
        <v>8200</v>
      </c>
      <c r="L1828" s="2" t="str">
        <f ca="1">IFERROR(__xludf.DUMMYFUNCTION("""COMPUTED_VALUE"""),"d46bb0f4")</f>
        <v>d46bb0f4</v>
      </c>
      <c r="M1828" s="2" t="str">
        <f ca="1">IFERROR(__xludf.DUMMYFUNCTION("""COMPUTED_VALUE"""),"Borra")</f>
        <v>Borra</v>
      </c>
      <c r="N1828" s="2"/>
      <c r="O1828" s="2" t="str">
        <f ca="1">IFERROR(__xludf.DUMMYFUNCTION("""COMPUTED_VALUE"""),"Descubada")</f>
        <v>Descubada</v>
      </c>
      <c r="P1828" s="2" t="str">
        <f ca="1">IFERROR(__xludf.DUMMYFUNCTION("""COMPUTED_VALUE"""),"Descubada")</f>
        <v>Descubada</v>
      </c>
      <c r="Q1828" s="2" t="b">
        <f ca="1">IFERROR(__xludf.DUMMYFUNCTION("""COMPUTED_VALUE"""),TRUE)</f>
        <v>1</v>
      </c>
      <c r="R1828" s="2" t="str">
        <f ca="1">IFERROR(__xludf.DUMMYFUNCTION("""COMPUTED_VALUE"""),"1er Trasiego")</f>
        <v>1er Trasiego</v>
      </c>
      <c r="S1828" s="2"/>
      <c r="T1828" s="2"/>
      <c r="U1828" s="2" t="str">
        <f ca="1">IFERROR(__xludf.DUMMYFUNCTION("""COMPUTED_VALUE"""),"1+")</f>
        <v>1+</v>
      </c>
    </row>
    <row r="1829" spans="1:21" x14ac:dyDescent="0.25">
      <c r="A1829" s="2" t="str">
        <f ca="1">IFERROR(__xludf.DUMMYFUNCTION("""COMPUTED_VALUE"""),"a03c4e92")</f>
        <v>a03c4e92</v>
      </c>
      <c r="B1829" s="5">
        <f ca="1">IFERROR(__xludf.DUMMYFUNCTION("""COMPUTED_VALUE"""),46169.8466435185)</f>
        <v>46169.846643518496</v>
      </c>
      <c r="C1829" s="2" t="str">
        <f ca="1">IFERROR(__xludf.DUMMYFUNCTION("""COMPUTED_VALUE"""),"75fa80cd")</f>
        <v>75fa80cd</v>
      </c>
      <c r="D1829" s="2">
        <f ca="1">IFERROR(__xludf.DUMMYFUNCTION("""COMPUTED_VALUE"""),10)</f>
        <v>10</v>
      </c>
      <c r="E1829" s="2" t="str">
        <f ca="1">IFERROR(__xludf.DUMMYFUNCTION("""COMPUTED_VALUE"""),"Bonarda")</f>
        <v>Bonarda</v>
      </c>
      <c r="F1829" s="2">
        <f ca="1">IFERROR(__xludf.DUMMYFUNCTION("""COMPUTED_VALUE"""),14500)</f>
        <v>14500</v>
      </c>
      <c r="G1829" s="2">
        <f ca="1">IFERROR(__xludf.DUMMYFUNCTION("""COMPUTED_VALUE"""),83)</f>
        <v>83</v>
      </c>
      <c r="H1829" s="2" t="str">
        <f ca="1">IFERROR(__xludf.DUMMYFUNCTION("""COMPUTED_VALUE"""),"58616749")</f>
        <v>58616749</v>
      </c>
      <c r="I1829" s="2" t="str">
        <f ca="1">IFERROR(__xludf.DUMMYFUNCTION("""COMPUTED_VALUE"""),"Bonarda")</f>
        <v>Bonarda</v>
      </c>
      <c r="J1829" s="2">
        <f ca="1">IFERROR(__xludf.DUMMYFUNCTION("""COMPUTED_VALUE"""),18000)</f>
        <v>18000</v>
      </c>
      <c r="K1829" s="2">
        <f ca="1">IFERROR(__xludf.DUMMYFUNCTION("""COMPUTED_VALUE"""),32500)</f>
        <v>32500</v>
      </c>
      <c r="L1829" s="2" t="str">
        <f ca="1">IFERROR(__xludf.DUMMYFUNCTION("""COMPUTED_VALUE"""),"19195334")</f>
        <v>19195334</v>
      </c>
      <c r="M1829" s="2" t="str">
        <f ca="1">IFERROR(__xludf.DUMMYFUNCTION("""COMPUTED_VALUE"""),"Bonarda")</f>
        <v>Bonarda</v>
      </c>
      <c r="N1829" s="2"/>
      <c r="O1829" s="2" t="str">
        <f ca="1">IFERROR(__xludf.DUMMYFUNCTION("""COMPUTED_VALUE"""),"Descubada")</f>
        <v>Descubada</v>
      </c>
      <c r="P1829" s="2" t="str">
        <f ca="1">IFERROR(__xludf.DUMMYFUNCTION("""COMPUTED_VALUE"""),"1er Trasiego")</f>
        <v>1er Trasiego</v>
      </c>
      <c r="Q1829" s="2" t="b">
        <f ca="1">IFERROR(__xludf.DUMMYFUNCTION("""COMPUTED_VALUE"""),TRUE)</f>
        <v>1</v>
      </c>
      <c r="R1829" s="2" t="str">
        <f ca="1">IFERROR(__xludf.DUMMYFUNCTION("""COMPUTED_VALUE"""),"1er Trasiego")</f>
        <v>1er Trasiego</v>
      </c>
      <c r="S1829" s="2"/>
      <c r="T1829" s="2"/>
      <c r="U1829" s="2" t="str">
        <f ca="1">IFERROR(__xludf.DUMMYFUNCTION("""COMPUTED_VALUE"""),"1+")</f>
        <v>1+</v>
      </c>
    </row>
    <row r="1830" spans="1:21" x14ac:dyDescent="0.25">
      <c r="A1830" s="2" t="str">
        <f ca="1">IFERROR(__xludf.DUMMYFUNCTION("""COMPUTED_VALUE"""),"43c44a50")</f>
        <v>43c44a50</v>
      </c>
      <c r="B1830" s="5">
        <f ca="1">IFERROR(__xludf.DUMMYFUNCTION("""COMPUTED_VALUE"""),46169.8469444444)</f>
        <v>46169.846944444398</v>
      </c>
      <c r="C1830" s="2" t="str">
        <f ca="1">IFERROR(__xludf.DUMMYFUNCTION("""COMPUTED_VALUE"""),"75fa80cd")</f>
        <v>75fa80cd</v>
      </c>
      <c r="D1830" s="2">
        <f ca="1">IFERROR(__xludf.DUMMYFUNCTION("""COMPUTED_VALUE"""),10)</f>
        <v>10</v>
      </c>
      <c r="E1830" s="2" t="str">
        <f ca="1">IFERROR(__xludf.DUMMYFUNCTION("""COMPUTED_VALUE"""),"Bonarda")</f>
        <v>Bonarda</v>
      </c>
      <c r="F1830" s="2">
        <f ca="1">IFERROR(__xludf.DUMMYFUNCTION("""COMPUTED_VALUE"""),500)</f>
        <v>500</v>
      </c>
      <c r="G1830" s="2">
        <f ca="1">IFERROR(__xludf.DUMMYFUNCTION("""COMPUTED_VALUE"""),68)</f>
        <v>68</v>
      </c>
      <c r="H1830" s="2" t="str">
        <f ca="1">IFERROR(__xludf.DUMMYFUNCTION("""COMPUTED_VALUE"""),"d46bb0f4")</f>
        <v>d46bb0f4</v>
      </c>
      <c r="I1830" s="2" t="str">
        <f ca="1">IFERROR(__xludf.DUMMYFUNCTION("""COMPUTED_VALUE"""),"Borra")</f>
        <v>Borra</v>
      </c>
      <c r="J1830" s="2">
        <f ca="1">IFERROR(__xludf.DUMMYFUNCTION("""COMPUTED_VALUE"""),8200)</f>
        <v>8200</v>
      </c>
      <c r="K1830" s="2">
        <f ca="1">IFERROR(__xludf.DUMMYFUNCTION("""COMPUTED_VALUE"""),8700)</f>
        <v>8700</v>
      </c>
      <c r="L1830" s="2" t="str">
        <f ca="1">IFERROR(__xludf.DUMMYFUNCTION("""COMPUTED_VALUE"""),"f2cb3463")</f>
        <v>f2cb3463</v>
      </c>
      <c r="M1830" s="2" t="str">
        <f ca="1">IFERROR(__xludf.DUMMYFUNCTION("""COMPUTED_VALUE"""),"Borra")</f>
        <v>Borra</v>
      </c>
      <c r="N1830" s="2"/>
      <c r="O1830" s="2" t="str">
        <f ca="1">IFERROR(__xludf.DUMMYFUNCTION("""COMPUTED_VALUE"""),"Descubada")</f>
        <v>Descubada</v>
      </c>
      <c r="P1830" s="2" t="str">
        <f ca="1">IFERROR(__xludf.DUMMYFUNCTION("""COMPUTED_VALUE"""),"1er Trasiego")</f>
        <v>1er Trasiego</v>
      </c>
      <c r="Q1830" s="2" t="b">
        <f ca="1">IFERROR(__xludf.DUMMYFUNCTION("""COMPUTED_VALUE"""),TRUE)</f>
        <v>1</v>
      </c>
      <c r="R1830" s="2" t="str">
        <f ca="1">IFERROR(__xludf.DUMMYFUNCTION("""COMPUTED_VALUE"""),"1er Trasiego")</f>
        <v>1er Trasiego</v>
      </c>
      <c r="S1830" s="2"/>
      <c r="T1830" s="2"/>
      <c r="U1830" s="2" t="str">
        <f ca="1">IFERROR(__xludf.DUMMYFUNCTION("""COMPUTED_VALUE"""),"1+")</f>
        <v>1+</v>
      </c>
    </row>
    <row r="1831" spans="1:21" x14ac:dyDescent="0.25">
      <c r="A1831" s="2" t="str">
        <f ca="1">IFERROR(__xludf.DUMMYFUNCTION("""COMPUTED_VALUE"""),"ad878a4f")</f>
        <v>ad878a4f</v>
      </c>
      <c r="B1831" s="5">
        <f ca="1">IFERROR(__xludf.DUMMYFUNCTION("""COMPUTED_VALUE"""),46169.8471759259)</f>
        <v>46169.847175925897</v>
      </c>
      <c r="C1831" s="2" t="str">
        <f ca="1">IFERROR(__xludf.DUMMYFUNCTION("""COMPUTED_VALUE"""),"f97aa62d")</f>
        <v>f97aa62d</v>
      </c>
      <c r="D1831" s="2">
        <f ca="1">IFERROR(__xludf.DUMMYFUNCTION("""COMPUTED_VALUE"""),79)</f>
        <v>79</v>
      </c>
      <c r="E1831" s="2" t="str">
        <f ca="1">IFERROR(__xludf.DUMMYFUNCTION("""COMPUTED_VALUE"""),"Bonarda")</f>
        <v>Bonarda</v>
      </c>
      <c r="F1831" s="2">
        <f ca="1">IFERROR(__xludf.DUMMYFUNCTION("""COMPUTED_VALUE"""),25000)</f>
        <v>25000</v>
      </c>
      <c r="G1831" s="2">
        <f ca="1">IFERROR(__xludf.DUMMYFUNCTION("""COMPUTED_VALUE"""),83)</f>
        <v>83</v>
      </c>
      <c r="H1831" s="2" t="str">
        <f ca="1">IFERROR(__xludf.DUMMYFUNCTION("""COMPUTED_VALUE"""),"19195334")</f>
        <v>19195334</v>
      </c>
      <c r="I1831" s="2" t="str">
        <f ca="1">IFERROR(__xludf.DUMMYFUNCTION("""COMPUTED_VALUE"""),"Bonarda")</f>
        <v>Bonarda</v>
      </c>
      <c r="J1831" s="2">
        <f ca="1">IFERROR(__xludf.DUMMYFUNCTION("""COMPUTED_VALUE"""),32500)</f>
        <v>32500</v>
      </c>
      <c r="K1831" s="2">
        <f ca="1">IFERROR(__xludf.DUMMYFUNCTION("""COMPUTED_VALUE"""),57500)</f>
        <v>57500</v>
      </c>
      <c r="L1831" s="2" t="str">
        <f ca="1">IFERROR(__xludf.DUMMYFUNCTION("""COMPUTED_VALUE"""),"aa6bce34")</f>
        <v>aa6bce34</v>
      </c>
      <c r="M1831" s="2" t="str">
        <f ca="1">IFERROR(__xludf.DUMMYFUNCTION("""COMPUTED_VALUE"""),"Bonarda")</f>
        <v>Bonarda</v>
      </c>
      <c r="N1831" s="2"/>
      <c r="O1831" s="2" t="str">
        <f ca="1">IFERROR(__xludf.DUMMYFUNCTION("""COMPUTED_VALUE"""),"Descubada")</f>
        <v>Descubada</v>
      </c>
      <c r="P1831" s="2" t="str">
        <f ca="1">IFERROR(__xludf.DUMMYFUNCTION("""COMPUTED_VALUE"""),"1er Trasiego")</f>
        <v>1er Trasiego</v>
      </c>
      <c r="Q1831" s="2" t="b">
        <f ca="1">IFERROR(__xludf.DUMMYFUNCTION("""COMPUTED_VALUE"""),TRUE)</f>
        <v>1</v>
      </c>
      <c r="R1831" s="2" t="str">
        <f ca="1">IFERROR(__xludf.DUMMYFUNCTION("""COMPUTED_VALUE"""),"1er Trasiego")</f>
        <v>1er Trasiego</v>
      </c>
      <c r="S1831" s="2"/>
      <c r="T1831" s="2"/>
      <c r="U1831" s="2" t="str">
        <f ca="1">IFERROR(__xludf.DUMMYFUNCTION("""COMPUTED_VALUE"""),"1+")</f>
        <v>1+</v>
      </c>
    </row>
    <row r="1832" spans="1:21" x14ac:dyDescent="0.25">
      <c r="A1832" s="2" t="str">
        <f ca="1">IFERROR(__xludf.DUMMYFUNCTION("""COMPUTED_VALUE"""),"72879cc2")</f>
        <v>72879cc2</v>
      </c>
      <c r="B1832" s="5">
        <f ca="1">IFERROR(__xludf.DUMMYFUNCTION("""COMPUTED_VALUE"""),46169.8474421296)</f>
        <v>46169.847442129598</v>
      </c>
      <c r="C1832" s="2" t="str">
        <f ca="1">IFERROR(__xludf.DUMMYFUNCTION("""COMPUTED_VALUE"""),"f97aa62d")</f>
        <v>f97aa62d</v>
      </c>
      <c r="D1832" s="2">
        <f ca="1">IFERROR(__xludf.DUMMYFUNCTION("""COMPUTED_VALUE"""),79)</f>
        <v>79</v>
      </c>
      <c r="E1832" s="2" t="str">
        <f ca="1">IFERROR(__xludf.DUMMYFUNCTION("""COMPUTED_VALUE"""),"Bonarda")</f>
        <v>Bonarda</v>
      </c>
      <c r="F1832" s="2">
        <f ca="1">IFERROR(__xludf.DUMMYFUNCTION("""COMPUTED_VALUE"""),1000)</f>
        <v>1000</v>
      </c>
      <c r="G1832" s="2">
        <f ca="1">IFERROR(__xludf.DUMMYFUNCTION("""COMPUTED_VALUE"""),68)</f>
        <v>68</v>
      </c>
      <c r="H1832" s="2" t="str">
        <f ca="1">IFERROR(__xludf.DUMMYFUNCTION("""COMPUTED_VALUE"""),"f2cb3463")</f>
        <v>f2cb3463</v>
      </c>
      <c r="I1832" s="2" t="str">
        <f ca="1">IFERROR(__xludf.DUMMYFUNCTION("""COMPUTED_VALUE"""),"Borra")</f>
        <v>Borra</v>
      </c>
      <c r="J1832" s="2">
        <f ca="1">IFERROR(__xludf.DUMMYFUNCTION("""COMPUTED_VALUE"""),8700)</f>
        <v>8700</v>
      </c>
      <c r="K1832" s="2">
        <f ca="1">IFERROR(__xludf.DUMMYFUNCTION("""COMPUTED_VALUE"""),9700)</f>
        <v>9700</v>
      </c>
      <c r="L1832" s="2" t="str">
        <f ca="1">IFERROR(__xludf.DUMMYFUNCTION("""COMPUTED_VALUE"""),"ff6ada49")</f>
        <v>ff6ada49</v>
      </c>
      <c r="M1832" s="2" t="str">
        <f ca="1">IFERROR(__xludf.DUMMYFUNCTION("""COMPUTED_VALUE"""),"Borra")</f>
        <v>Borra</v>
      </c>
      <c r="N1832" s="2"/>
      <c r="O1832" s="2" t="str">
        <f ca="1">IFERROR(__xludf.DUMMYFUNCTION("""COMPUTED_VALUE"""),"Descubada")</f>
        <v>Descubada</v>
      </c>
      <c r="P1832" s="2" t="str">
        <f ca="1">IFERROR(__xludf.DUMMYFUNCTION("""COMPUTED_VALUE"""),"1er Trasiego")</f>
        <v>1er Trasiego</v>
      </c>
      <c r="Q1832" s="2" t="b">
        <f ca="1">IFERROR(__xludf.DUMMYFUNCTION("""COMPUTED_VALUE"""),TRUE)</f>
        <v>1</v>
      </c>
      <c r="R1832" s="2" t="str">
        <f ca="1">IFERROR(__xludf.DUMMYFUNCTION("""COMPUTED_VALUE"""),"1er Trasiego")</f>
        <v>1er Trasiego</v>
      </c>
      <c r="S1832" s="2"/>
      <c r="T1832" s="2"/>
      <c r="U1832" s="2" t="str">
        <f ca="1">IFERROR(__xludf.DUMMYFUNCTION("""COMPUTED_VALUE"""),"1+")</f>
        <v>1+</v>
      </c>
    </row>
    <row r="1833" spans="1:21" x14ac:dyDescent="0.25">
      <c r="A1833" s="2" t="str">
        <f ca="1">IFERROR(__xludf.DUMMYFUNCTION("""COMPUTED_VALUE"""),"bbe0b537")</f>
        <v>bbe0b537</v>
      </c>
      <c r="B1833" s="5">
        <f ca="1">IFERROR(__xludf.DUMMYFUNCTION("""COMPUTED_VALUE"""),46169.8478125)</f>
        <v>46169.847812499997</v>
      </c>
      <c r="C1833" s="2" t="str">
        <f ca="1">IFERROR(__xludf.DUMMYFUNCTION("""COMPUTED_VALUE"""),"69dea9c1")</f>
        <v>69dea9c1</v>
      </c>
      <c r="D1833" s="2">
        <f ca="1">IFERROR(__xludf.DUMMYFUNCTION("""COMPUTED_VALUE"""),126)</f>
        <v>126</v>
      </c>
      <c r="E1833" s="2" t="str">
        <f ca="1">IFERROR(__xludf.DUMMYFUNCTION("""COMPUTED_VALUE"""),"Bonarda")</f>
        <v>Bonarda</v>
      </c>
      <c r="F1833" s="2">
        <f ca="1">IFERROR(__xludf.DUMMYFUNCTION("""COMPUTED_VALUE"""),24000)</f>
        <v>24000</v>
      </c>
      <c r="G1833" s="2">
        <f ca="1">IFERROR(__xludf.DUMMYFUNCTION("""COMPUTED_VALUE"""),83)</f>
        <v>83</v>
      </c>
      <c r="H1833" s="2" t="str">
        <f ca="1">IFERROR(__xludf.DUMMYFUNCTION("""COMPUTED_VALUE"""),"aa6bce34")</f>
        <v>aa6bce34</v>
      </c>
      <c r="I1833" s="2" t="str">
        <f ca="1">IFERROR(__xludf.DUMMYFUNCTION("""COMPUTED_VALUE"""),"Bonarda")</f>
        <v>Bonarda</v>
      </c>
      <c r="J1833" s="2">
        <f ca="1">IFERROR(__xludf.DUMMYFUNCTION("""COMPUTED_VALUE"""),57500)</f>
        <v>57500</v>
      </c>
      <c r="K1833" s="2">
        <f ca="1">IFERROR(__xludf.DUMMYFUNCTION("""COMPUTED_VALUE"""),81500)</f>
        <v>81500</v>
      </c>
      <c r="L1833" s="2" t="str">
        <f ca="1">IFERROR(__xludf.DUMMYFUNCTION("""COMPUTED_VALUE"""),"504737c2")</f>
        <v>504737c2</v>
      </c>
      <c r="M1833" s="2" t="str">
        <f ca="1">IFERROR(__xludf.DUMMYFUNCTION("""COMPUTED_VALUE"""),"Bonarda")</f>
        <v>Bonarda</v>
      </c>
      <c r="N1833" s="2"/>
      <c r="O1833" s="2" t="str">
        <f ca="1">IFERROR(__xludf.DUMMYFUNCTION("""COMPUTED_VALUE"""),"Descubada")</f>
        <v>Descubada</v>
      </c>
      <c r="P1833" s="2" t="str">
        <f ca="1">IFERROR(__xludf.DUMMYFUNCTION("""COMPUTED_VALUE"""),"1er Trasiego")</f>
        <v>1er Trasiego</v>
      </c>
      <c r="Q1833" s="2" t="b">
        <f ca="1">IFERROR(__xludf.DUMMYFUNCTION("""COMPUTED_VALUE"""),TRUE)</f>
        <v>1</v>
      </c>
      <c r="R1833" s="2" t="str">
        <f ca="1">IFERROR(__xludf.DUMMYFUNCTION("""COMPUTED_VALUE"""),"1er Trasiego")</f>
        <v>1er Trasiego</v>
      </c>
      <c r="S1833" s="2"/>
      <c r="T1833" s="2"/>
      <c r="U1833" s="2" t="str">
        <f ca="1">IFERROR(__xludf.DUMMYFUNCTION("""COMPUTED_VALUE"""),"1+")</f>
        <v>1+</v>
      </c>
    </row>
    <row r="1834" spans="1:21" x14ac:dyDescent="0.25">
      <c r="A1834" s="2" t="str">
        <f ca="1">IFERROR(__xludf.DUMMYFUNCTION("""COMPUTED_VALUE"""),"d5f4a68c")</f>
        <v>d5f4a68c</v>
      </c>
      <c r="B1834" s="5">
        <f ca="1">IFERROR(__xludf.DUMMYFUNCTION("""COMPUTED_VALUE"""),46169.8483564814)</f>
        <v>46169.848356481401</v>
      </c>
      <c r="C1834" s="2" t="str">
        <f ca="1">IFERROR(__xludf.DUMMYFUNCTION("""COMPUTED_VALUE"""),"69dea9c1")</f>
        <v>69dea9c1</v>
      </c>
      <c r="D1834" s="2">
        <f ca="1">IFERROR(__xludf.DUMMYFUNCTION("""COMPUTED_VALUE"""),126)</f>
        <v>126</v>
      </c>
      <c r="E1834" s="2" t="str">
        <f ca="1">IFERROR(__xludf.DUMMYFUNCTION("""COMPUTED_VALUE"""),"Bonarda")</f>
        <v>Bonarda</v>
      </c>
      <c r="F1834" s="2">
        <f ca="1">IFERROR(__xludf.DUMMYFUNCTION("""COMPUTED_VALUE"""),6000)</f>
        <v>6000</v>
      </c>
      <c r="G1834" s="2">
        <f ca="1">IFERROR(__xludf.DUMMYFUNCTION("""COMPUTED_VALUE"""),53)</f>
        <v>53</v>
      </c>
      <c r="H1834" s="2"/>
      <c r="I1834" s="2"/>
      <c r="J1834" s="2">
        <f ca="1">IFERROR(__xludf.DUMMYFUNCTION("""COMPUTED_VALUE"""),0)</f>
        <v>0</v>
      </c>
      <c r="K1834" s="2">
        <f ca="1">IFERROR(__xludf.DUMMYFUNCTION("""COMPUTED_VALUE"""),6000)</f>
        <v>6000</v>
      </c>
      <c r="L1834" s="2" t="str">
        <f ca="1">IFERROR(__xludf.DUMMYFUNCTION("""COMPUTED_VALUE"""),"21c7c6f5")</f>
        <v>21c7c6f5</v>
      </c>
      <c r="M1834" s="2" t="str">
        <f ca="1">IFERROR(__xludf.DUMMYFUNCTION("""COMPUTED_VALUE"""),"Bonarda")</f>
        <v>Bonarda</v>
      </c>
      <c r="N1834" s="2"/>
      <c r="O1834" s="2" t="str">
        <f ca="1">IFERROR(__xludf.DUMMYFUNCTION("""COMPUTED_VALUE"""),"Descubada")</f>
        <v>Descubada</v>
      </c>
      <c r="P1834" s="2"/>
      <c r="Q1834" s="2" t="b">
        <f ca="1">IFERROR(__xludf.DUMMYFUNCTION("""COMPUTED_VALUE"""),FALSE)</f>
        <v>0</v>
      </c>
      <c r="R1834" s="2" t="str">
        <f ca="1">IFERROR(__xludf.DUMMYFUNCTION("""COMPUTED_VALUE"""),"1er Trasiego")</f>
        <v>1er Trasiego</v>
      </c>
      <c r="S1834" s="2"/>
      <c r="T1834" s="2"/>
      <c r="U1834" s="2"/>
    </row>
    <row r="1835" spans="1:21" x14ac:dyDescent="0.25">
      <c r="A1835" s="2" t="str">
        <f ca="1">IFERROR(__xludf.DUMMYFUNCTION("""COMPUTED_VALUE"""),"e25ff096")</f>
        <v>e25ff096</v>
      </c>
      <c r="B1835" s="5">
        <f ca="1">IFERROR(__xludf.DUMMYFUNCTION("""COMPUTED_VALUE"""),46169.8487268518)</f>
        <v>46169.8487268518</v>
      </c>
      <c r="C1835" s="2" t="str">
        <f ca="1">IFERROR(__xludf.DUMMYFUNCTION("""COMPUTED_VALUE"""),"69dea9c1")</f>
        <v>69dea9c1</v>
      </c>
      <c r="D1835" s="2">
        <f ca="1">IFERROR(__xludf.DUMMYFUNCTION("""COMPUTED_VALUE"""),126)</f>
        <v>126</v>
      </c>
      <c r="E1835" s="2" t="str">
        <f ca="1">IFERROR(__xludf.DUMMYFUNCTION("""COMPUTED_VALUE"""),"Bonarda")</f>
        <v>Bonarda</v>
      </c>
      <c r="F1835" s="2">
        <f ca="1">IFERROR(__xludf.DUMMYFUNCTION("""COMPUTED_VALUE"""),1000)</f>
        <v>1000</v>
      </c>
      <c r="G1835" s="2">
        <f ca="1">IFERROR(__xludf.DUMMYFUNCTION("""COMPUTED_VALUE"""),68)</f>
        <v>68</v>
      </c>
      <c r="H1835" s="2" t="str">
        <f ca="1">IFERROR(__xludf.DUMMYFUNCTION("""COMPUTED_VALUE"""),"ff6ada49")</f>
        <v>ff6ada49</v>
      </c>
      <c r="I1835" s="2" t="str">
        <f ca="1">IFERROR(__xludf.DUMMYFUNCTION("""COMPUTED_VALUE"""),"Borra")</f>
        <v>Borra</v>
      </c>
      <c r="J1835" s="2">
        <f ca="1">IFERROR(__xludf.DUMMYFUNCTION("""COMPUTED_VALUE"""),9700)</f>
        <v>9700</v>
      </c>
      <c r="K1835" s="2">
        <f ca="1">IFERROR(__xludf.DUMMYFUNCTION("""COMPUTED_VALUE"""),10700)</f>
        <v>10700</v>
      </c>
      <c r="L1835" s="2" t="str">
        <f ca="1">IFERROR(__xludf.DUMMYFUNCTION("""COMPUTED_VALUE"""),"3cd93914")</f>
        <v>3cd93914</v>
      </c>
      <c r="M1835" s="2" t="str">
        <f ca="1">IFERROR(__xludf.DUMMYFUNCTION("""COMPUTED_VALUE"""),"Borra")</f>
        <v>Borra</v>
      </c>
      <c r="N1835" s="2"/>
      <c r="O1835" s="2" t="str">
        <f ca="1">IFERROR(__xludf.DUMMYFUNCTION("""COMPUTED_VALUE"""),"Descubada")</f>
        <v>Descubada</v>
      </c>
      <c r="P1835" s="2" t="str">
        <f ca="1">IFERROR(__xludf.DUMMYFUNCTION("""COMPUTED_VALUE"""),"1er Trasiego")</f>
        <v>1er Trasiego</v>
      </c>
      <c r="Q1835" s="2" t="b">
        <f ca="1">IFERROR(__xludf.DUMMYFUNCTION("""COMPUTED_VALUE"""),TRUE)</f>
        <v>1</v>
      </c>
      <c r="R1835" s="2" t="str">
        <f ca="1">IFERROR(__xludf.DUMMYFUNCTION("""COMPUTED_VALUE"""),"1er Trasiego")</f>
        <v>1er Trasiego</v>
      </c>
      <c r="S1835" s="2"/>
      <c r="T1835" s="2"/>
      <c r="U1835" s="2" t="str">
        <f ca="1">IFERROR(__xludf.DUMMYFUNCTION("""COMPUTED_VALUE"""),"1+")</f>
        <v>1+</v>
      </c>
    </row>
    <row r="1836" spans="1:21" x14ac:dyDescent="0.25">
      <c r="A1836" s="2" t="str">
        <f ca="1">IFERROR(__xludf.DUMMYFUNCTION("""COMPUTED_VALUE"""),"4ccc62ec")</f>
        <v>4ccc62ec</v>
      </c>
      <c r="B1836" s="5">
        <f ca="1">IFERROR(__xludf.DUMMYFUNCTION("""COMPUTED_VALUE"""),46170.4745717592)</f>
        <v>46170.474571759201</v>
      </c>
      <c r="C1836" s="2" t="str">
        <f ca="1">IFERROR(__xludf.DUMMYFUNCTION("""COMPUTED_VALUE"""),"1d29e77e")</f>
        <v>1d29e77e</v>
      </c>
      <c r="D1836" s="2">
        <f ca="1">IFERROR(__xludf.DUMMYFUNCTION("""COMPUTED_VALUE"""),67)</f>
        <v>67</v>
      </c>
      <c r="E1836" s="2" t="str">
        <f ca="1">IFERROR(__xludf.DUMMYFUNCTION("""COMPUTED_VALUE"""),"Bonarda")</f>
        <v>Bonarda</v>
      </c>
      <c r="F1836" s="2">
        <f ca="1">IFERROR(__xludf.DUMMYFUNCTION("""COMPUTED_VALUE"""),16000)</f>
        <v>16000</v>
      </c>
      <c r="G1836" s="2">
        <f ca="1">IFERROR(__xludf.DUMMYFUNCTION("""COMPUTED_VALUE"""),53)</f>
        <v>53</v>
      </c>
      <c r="H1836" s="2" t="str">
        <f ca="1">IFERROR(__xludf.DUMMYFUNCTION("""COMPUTED_VALUE"""),"21c7c6f5")</f>
        <v>21c7c6f5</v>
      </c>
      <c r="I1836" s="2" t="str">
        <f ca="1">IFERROR(__xludf.DUMMYFUNCTION("""COMPUTED_VALUE"""),"Bonarda")</f>
        <v>Bonarda</v>
      </c>
      <c r="J1836" s="2">
        <f ca="1">IFERROR(__xludf.DUMMYFUNCTION("""COMPUTED_VALUE"""),6000)</f>
        <v>6000</v>
      </c>
      <c r="K1836" s="2">
        <f ca="1">IFERROR(__xludf.DUMMYFUNCTION("""COMPUTED_VALUE"""),22000)</f>
        <v>22000</v>
      </c>
      <c r="L1836" s="2" t="str">
        <f ca="1">IFERROR(__xludf.DUMMYFUNCTION("""COMPUTED_VALUE"""),"fc43a156")</f>
        <v>fc43a156</v>
      </c>
      <c r="M1836" s="2" t="str">
        <f ca="1">IFERROR(__xludf.DUMMYFUNCTION("""COMPUTED_VALUE"""),"Bonarda")</f>
        <v>Bonarda</v>
      </c>
      <c r="N1836" s="2"/>
      <c r="O1836" s="2" t="str">
        <f ca="1">IFERROR(__xludf.DUMMYFUNCTION("""COMPUTED_VALUE"""),"Descubada")</f>
        <v>Descubada</v>
      </c>
      <c r="P1836" s="2" t="str">
        <f ca="1">IFERROR(__xludf.DUMMYFUNCTION("""COMPUTED_VALUE"""),"1er Trasiego")</f>
        <v>1er Trasiego</v>
      </c>
      <c r="Q1836" s="2" t="b">
        <f ca="1">IFERROR(__xludf.DUMMYFUNCTION("""COMPUTED_VALUE"""),TRUE)</f>
        <v>1</v>
      </c>
      <c r="R1836" s="2" t="str">
        <f ca="1">IFERROR(__xludf.DUMMYFUNCTION("""COMPUTED_VALUE"""),"1er Trasiego")</f>
        <v>1er Trasiego</v>
      </c>
      <c r="S1836" s="2"/>
      <c r="T1836" s="2"/>
      <c r="U1836" s="2"/>
    </row>
    <row r="1837" spans="1:21" x14ac:dyDescent="0.25">
      <c r="A1837" s="2" t="str">
        <f ca="1">IFERROR(__xludf.DUMMYFUNCTION("""COMPUTED_VALUE"""),"10eac583")</f>
        <v>10eac583</v>
      </c>
      <c r="B1837" s="5">
        <f ca="1">IFERROR(__xludf.DUMMYFUNCTION("""COMPUTED_VALUE"""),46170.4752314814)</f>
        <v>46170.475231481403</v>
      </c>
      <c r="C1837" s="2" t="str">
        <f ca="1">IFERROR(__xludf.DUMMYFUNCTION("""COMPUTED_VALUE"""),"5488ed13")</f>
        <v>5488ed13</v>
      </c>
      <c r="D1837" s="2">
        <f ca="1">IFERROR(__xludf.DUMMYFUNCTION("""COMPUTED_VALUE"""),55)</f>
        <v>55</v>
      </c>
      <c r="E1837" s="2" t="str">
        <f ca="1">IFERROR(__xludf.DUMMYFUNCTION("""COMPUTED_VALUE"""),"Chardonnay Reac")</f>
        <v>Chardonnay Reac</v>
      </c>
      <c r="F1837" s="2">
        <f ca="1">IFERROR(__xludf.DUMMYFUNCTION("""COMPUTED_VALUE"""),3000)</f>
        <v>3000</v>
      </c>
      <c r="G1837" s="2">
        <f ca="1">IFERROR(__xludf.DUMMYFUNCTION("""COMPUTED_VALUE"""),52)</f>
        <v>52</v>
      </c>
      <c r="H1837" s="2"/>
      <c r="I1837" s="2"/>
      <c r="J1837" s="2">
        <f ca="1">IFERROR(__xludf.DUMMYFUNCTION("""COMPUTED_VALUE"""),0)</f>
        <v>0</v>
      </c>
      <c r="K1837" s="2">
        <f ca="1">IFERROR(__xludf.DUMMYFUNCTION("""COMPUTED_VALUE"""),3000)</f>
        <v>3000</v>
      </c>
      <c r="L1837" s="2" t="str">
        <f ca="1">IFERROR(__xludf.DUMMYFUNCTION("""COMPUTED_VALUE"""),"b13ead40")</f>
        <v>b13ead40</v>
      </c>
      <c r="M1837" s="2" t="str">
        <f ca="1">IFERROR(__xludf.DUMMYFUNCTION("""COMPUTED_VALUE"""),"Chardonnay Reac - Rectificado")</f>
        <v>Chardonnay Reac - Rectificado</v>
      </c>
      <c r="N1837" s="2"/>
      <c r="O1837" s="2" t="str">
        <f ca="1">IFERROR(__xludf.DUMMYFUNCTION("""COMPUTED_VALUE"""),"1er Trasiego")</f>
        <v>1er Trasiego</v>
      </c>
      <c r="P1837" s="2"/>
      <c r="Q1837" s="2" t="b">
        <f ca="1">IFERROR(__xludf.DUMMYFUNCTION("""COMPUTED_VALUE"""),FALSE)</f>
        <v>0</v>
      </c>
      <c r="R1837" s="2" t="str">
        <f ca="1">IFERROR(__xludf.DUMMYFUNCTION("""COMPUTED_VALUE"""),"Rectificado")</f>
        <v>Rectificado</v>
      </c>
      <c r="S1837" s="2"/>
      <c r="T1837" s="2"/>
      <c r="U1837" s="2" t="str">
        <f ca="1">IFERROR(__xludf.DUMMYFUNCTION("""COMPUTED_VALUE"""),"1")</f>
        <v>1</v>
      </c>
    </row>
    <row r="1838" spans="1:21" x14ac:dyDescent="0.25">
      <c r="A1838" s="2" t="str">
        <f ca="1">IFERROR(__xludf.DUMMYFUNCTION("""COMPUTED_VALUE"""),"4b050189")</f>
        <v>4b050189</v>
      </c>
      <c r="B1838" s="5">
        <f ca="1">IFERROR(__xludf.DUMMYFUNCTION("""COMPUTED_VALUE"""),46170.4760763888)</f>
        <v>46170.476076388797</v>
      </c>
      <c r="C1838" s="2" t="str">
        <f ca="1">IFERROR(__xludf.DUMMYFUNCTION("""COMPUTED_VALUE"""),"3e58fb6a")</f>
        <v>3e58fb6a</v>
      </c>
      <c r="D1838" s="2">
        <f ca="1">IFERROR(__xludf.DUMMYFUNCTION("""COMPUTED_VALUE"""),80)</f>
        <v>80</v>
      </c>
      <c r="E1838" s="2" t="str">
        <f ca="1">IFERROR(__xludf.DUMMYFUNCTION("""COMPUTED_VALUE"""),"Rosado Criolla")</f>
        <v>Rosado Criolla</v>
      </c>
      <c r="F1838" s="2">
        <f ca="1">IFERROR(__xludf.DUMMYFUNCTION("""COMPUTED_VALUE"""),24000)</f>
        <v>24000</v>
      </c>
      <c r="G1838" s="2">
        <f ca="1">IFERROR(__xludf.DUMMYFUNCTION("""COMPUTED_VALUE"""),52)</f>
        <v>52</v>
      </c>
      <c r="H1838" s="2" t="str">
        <f ca="1">IFERROR(__xludf.DUMMYFUNCTION("""COMPUTED_VALUE"""),"b13ead40")</f>
        <v>b13ead40</v>
      </c>
      <c r="I1838" s="2" t="str">
        <f ca="1">IFERROR(__xludf.DUMMYFUNCTION("""COMPUTED_VALUE"""),"Chardonnay Reac - Rectificado")</f>
        <v>Chardonnay Reac - Rectificado</v>
      </c>
      <c r="J1838" s="2">
        <f ca="1">IFERROR(__xludf.DUMMYFUNCTION("""COMPUTED_VALUE"""),3000)</f>
        <v>3000</v>
      </c>
      <c r="K1838" s="2">
        <f ca="1">IFERROR(__xludf.DUMMYFUNCTION("""COMPUTED_VALUE"""),27000)</f>
        <v>27000</v>
      </c>
      <c r="L1838" s="2" t="str">
        <f ca="1">IFERROR(__xludf.DUMMYFUNCTION("""COMPUTED_VALUE"""),"a73ae064")</f>
        <v>a73ae064</v>
      </c>
      <c r="M1838" s="2" t="str">
        <f ca="1">IFERROR(__xludf.DUMMYFUNCTION("""COMPUTED_VALUE"""),"Rosado Criolla")</f>
        <v>Rosado Criolla</v>
      </c>
      <c r="N1838" s="2"/>
      <c r="O1838" s="2" t="str">
        <f ca="1">IFERROR(__xludf.DUMMYFUNCTION("""COMPUTED_VALUE"""),"1er Trasiego")</f>
        <v>1er Trasiego</v>
      </c>
      <c r="P1838" s="2" t="str">
        <f ca="1">IFERROR(__xludf.DUMMYFUNCTION("""COMPUTED_VALUE"""),"Rectificado")</f>
        <v>Rectificado</v>
      </c>
      <c r="Q1838" s="2" t="b">
        <f ca="1">IFERROR(__xludf.DUMMYFUNCTION("""COMPUTED_VALUE"""),FALSE)</f>
        <v>0</v>
      </c>
      <c r="R1838" s="2" t="str">
        <f ca="1">IFERROR(__xludf.DUMMYFUNCTION("""COMPUTED_VALUE"""),"2do Trasiego")</f>
        <v>2do Trasiego</v>
      </c>
      <c r="S1838" s="2"/>
      <c r="T1838" s="2"/>
      <c r="U1838" s="2" t="str">
        <f ca="1">IFERROR(__xludf.DUMMYFUNCTION("""COMPUTED_VALUE"""),"1")</f>
        <v>1</v>
      </c>
    </row>
    <row r="1839" spans="1:21" x14ac:dyDescent="0.25">
      <c r="A1839" s="2" t="str">
        <f ca="1">IFERROR(__xludf.DUMMYFUNCTION("""COMPUTED_VALUE"""),"4db1c705")</f>
        <v>4db1c705</v>
      </c>
      <c r="B1839" s="5">
        <f ca="1">IFERROR(__xludf.DUMMYFUNCTION("""COMPUTED_VALUE"""),46170.4781828703)</f>
        <v>46170.478182870298</v>
      </c>
      <c r="C1839" s="2" t="str">
        <f ca="1">IFERROR(__xludf.DUMMYFUNCTION("""COMPUTED_VALUE"""),"ea65ad9a")</f>
        <v>ea65ad9a</v>
      </c>
      <c r="D1839" s="2">
        <f ca="1">IFERROR(__xludf.DUMMYFUNCTION("""COMPUTED_VALUE"""),6)</f>
        <v>6</v>
      </c>
      <c r="E1839" s="2" t="str">
        <f ca="1">IFERROR(__xludf.DUMMYFUNCTION("""COMPUTED_VALUE"""),"Criolla Recarga")</f>
        <v>Criolla Recarga</v>
      </c>
      <c r="F1839" s="2">
        <f ca="1">IFERROR(__xludf.DUMMYFUNCTION("""COMPUTED_VALUE"""),30000)</f>
        <v>30000</v>
      </c>
      <c r="G1839" s="2">
        <f ca="1">IFERROR(__xludf.DUMMYFUNCTION("""COMPUTED_VALUE"""),9)</f>
        <v>9</v>
      </c>
      <c r="H1839" s="2"/>
      <c r="I1839" s="2"/>
      <c r="J1839" s="2">
        <f ca="1">IFERROR(__xludf.DUMMYFUNCTION("""COMPUTED_VALUE"""),0)</f>
        <v>0</v>
      </c>
      <c r="K1839" s="2">
        <f ca="1">IFERROR(__xludf.DUMMYFUNCTION("""COMPUTED_VALUE"""),30000)</f>
        <v>30000</v>
      </c>
      <c r="L1839" s="2" t="str">
        <f ca="1">IFERROR(__xludf.DUMMYFUNCTION("""COMPUTED_VALUE"""),"2cd648db")</f>
        <v>2cd648db</v>
      </c>
      <c r="M1839" s="2" t="str">
        <f ca="1">IFERROR(__xludf.DUMMYFUNCTION("""COMPUTED_VALUE"""),"Criolla Recarga")</f>
        <v>Criolla Recarga</v>
      </c>
      <c r="N1839" s="2"/>
      <c r="O1839" s="2" t="str">
        <f ca="1">IFERROR(__xludf.DUMMYFUNCTION("""COMPUTED_VALUE"""),"Descubada")</f>
        <v>Descubada</v>
      </c>
      <c r="P1839" s="2"/>
      <c r="Q1839" s="2" t="b">
        <f ca="1">IFERROR(__xludf.DUMMYFUNCTION("""COMPUTED_VALUE"""),FALSE)</f>
        <v>0</v>
      </c>
      <c r="R1839" s="2" t="str">
        <f ca="1">IFERROR(__xludf.DUMMYFUNCTION("""COMPUTED_VALUE"""),"1er Trasiego")</f>
        <v>1er Trasiego</v>
      </c>
      <c r="S1839" s="2"/>
      <c r="T1839" s="2"/>
      <c r="U1839" s="2" t="str">
        <f ca="1">IFERROR(__xludf.DUMMYFUNCTION("""COMPUTED_VALUE"""),"1+")</f>
        <v>1+</v>
      </c>
    </row>
    <row r="1840" spans="1:21" x14ac:dyDescent="0.25">
      <c r="A1840" s="2" t="str">
        <f ca="1">IFERROR(__xludf.DUMMYFUNCTION("""COMPUTED_VALUE"""),"fe41bf2d")</f>
        <v>fe41bf2d</v>
      </c>
      <c r="B1840" s="5">
        <f ca="1">IFERROR(__xludf.DUMMYFUNCTION("""COMPUTED_VALUE"""),46170.4828587963)</f>
        <v>46170.482858796298</v>
      </c>
      <c r="C1840" s="2" t="str">
        <f ca="1">IFERROR(__xludf.DUMMYFUNCTION("""COMPUTED_VALUE"""),"13d2ef6f")</f>
        <v>13d2ef6f</v>
      </c>
      <c r="D1840" s="2">
        <f ca="1">IFERROR(__xludf.DUMMYFUNCTION("""COMPUTED_VALUE"""),5)</f>
        <v>5</v>
      </c>
      <c r="E1840" s="2" t="str">
        <f ca="1">IFERROR(__xludf.DUMMYFUNCTION("""COMPUTED_VALUE"""),"Syrah")</f>
        <v>Syrah</v>
      </c>
      <c r="F1840" s="2">
        <f ca="1">IFERROR(__xludf.DUMMYFUNCTION("""COMPUTED_VALUE"""),30000)</f>
        <v>30000</v>
      </c>
      <c r="G1840" s="2">
        <f ca="1">IFERROR(__xludf.DUMMYFUNCTION("""COMPUTED_VALUE"""),7)</f>
        <v>7</v>
      </c>
      <c r="H1840" s="2"/>
      <c r="I1840" s="2"/>
      <c r="J1840" s="2">
        <f ca="1">IFERROR(__xludf.DUMMYFUNCTION("""COMPUTED_VALUE"""),0)</f>
        <v>0</v>
      </c>
      <c r="K1840" s="2">
        <f ca="1">IFERROR(__xludf.DUMMYFUNCTION("""COMPUTED_VALUE"""),30000)</f>
        <v>30000</v>
      </c>
      <c r="L1840" s="2" t="str">
        <f ca="1">IFERROR(__xludf.DUMMYFUNCTION("""COMPUTED_VALUE"""),"30b542ea")</f>
        <v>30b542ea</v>
      </c>
      <c r="M1840" s="2" t="str">
        <f ca="1">IFERROR(__xludf.DUMMYFUNCTION("""COMPUTED_VALUE"""),"Syrah")</f>
        <v>Syrah</v>
      </c>
      <c r="N1840" s="2"/>
      <c r="O1840" s="2" t="str">
        <f ca="1">IFERROR(__xludf.DUMMYFUNCTION("""COMPUTED_VALUE"""),"Descubada")</f>
        <v>Descubada</v>
      </c>
      <c r="P1840" s="2"/>
      <c r="Q1840" s="2" t="b">
        <f ca="1">IFERROR(__xludf.DUMMYFUNCTION("""COMPUTED_VALUE"""),FALSE)</f>
        <v>0</v>
      </c>
      <c r="R1840" s="2" t="str">
        <f ca="1">IFERROR(__xludf.DUMMYFUNCTION("""COMPUTED_VALUE"""),"1er Trasiego")</f>
        <v>1er Trasiego</v>
      </c>
      <c r="S1840" s="2"/>
      <c r="T1840" s="2"/>
      <c r="U1840" s="2" t="str">
        <f ca="1">IFERROR(__xludf.DUMMYFUNCTION("""COMPUTED_VALUE"""),"1+")</f>
        <v>1+</v>
      </c>
    </row>
    <row r="1841" spans="1:21" x14ac:dyDescent="0.25">
      <c r="A1841" s="2" t="str">
        <f ca="1">IFERROR(__xludf.DUMMYFUNCTION("""COMPUTED_VALUE"""),"03c930bb")</f>
        <v>03c930bb</v>
      </c>
      <c r="B1841" s="5">
        <f ca="1">IFERROR(__xludf.DUMMYFUNCTION("""COMPUTED_VALUE"""),46170.4835763887)</f>
        <v>46170.483576388797</v>
      </c>
      <c r="C1841" s="2" t="str">
        <f ca="1">IFERROR(__xludf.DUMMYFUNCTION("""COMPUTED_VALUE"""),"3e58fb6a")</f>
        <v>3e58fb6a</v>
      </c>
      <c r="D1841" s="2">
        <f ca="1">IFERROR(__xludf.DUMMYFUNCTION("""COMPUTED_VALUE"""),80)</f>
        <v>80</v>
      </c>
      <c r="E1841" s="2" t="str">
        <f ca="1">IFERROR(__xludf.DUMMYFUNCTION("""COMPUTED_VALUE"""),"Rosado Criolla")</f>
        <v>Rosado Criolla</v>
      </c>
      <c r="F1841" s="2">
        <f ca="1">IFERROR(__xludf.DUMMYFUNCTION("""COMPUTED_VALUE"""),2100)</f>
        <v>2100</v>
      </c>
      <c r="G1841" s="2">
        <f ca="1">IFERROR(__xludf.DUMMYFUNCTION("""COMPUTED_VALUE"""),500)</f>
        <v>500</v>
      </c>
      <c r="H1841" s="2" t="str">
        <f ca="1">IFERROR(__xludf.DUMMYFUNCTION("""COMPUTED_VALUE"""),"f91f11a3")</f>
        <v>f91f11a3</v>
      </c>
      <c r="I1841" s="2" t="str">
        <f ca="1">IFERROR(__xludf.DUMMYFUNCTION("""COMPUTED_VALUE"""),"Ajuste Cosecha 2026")</f>
        <v>Ajuste Cosecha 2026</v>
      </c>
      <c r="J1841" s="2">
        <f ca="1">IFERROR(__xludf.DUMMYFUNCTION("""COMPUTED_VALUE"""),32600)</f>
        <v>32600</v>
      </c>
      <c r="K1841" s="2">
        <f ca="1">IFERROR(__xludf.DUMMYFUNCTION("""COMPUTED_VALUE"""),34700)</f>
        <v>34700</v>
      </c>
      <c r="L1841" s="2" t="str">
        <f ca="1">IFERROR(__xludf.DUMMYFUNCTION("""COMPUTED_VALUE"""),"60ab60ef")</f>
        <v>60ab60ef</v>
      </c>
      <c r="M1841" s="2" t="str">
        <f ca="1">IFERROR(__xludf.DUMMYFUNCTION("""COMPUTED_VALUE"""),"Ajuste Cosecha 2026")</f>
        <v>Ajuste Cosecha 2026</v>
      </c>
      <c r="N1841" s="2"/>
      <c r="O1841" s="2" t="str">
        <f ca="1">IFERROR(__xludf.DUMMYFUNCTION("""COMPUTED_VALUE"""),"1er Trasiego")</f>
        <v>1er Trasiego</v>
      </c>
      <c r="P1841" s="2" t="str">
        <f ca="1">IFERROR(__xludf.DUMMYFUNCTION("""COMPUTED_VALUE"""),"Terminado")</f>
        <v>Terminado</v>
      </c>
      <c r="Q1841" s="2" t="b">
        <f ca="1">IFERROR(__xludf.DUMMYFUNCTION("""COMPUTED_VALUE"""),TRUE)</f>
        <v>1</v>
      </c>
      <c r="R1841" s="2" t="str">
        <f ca="1">IFERROR(__xludf.DUMMYFUNCTION("""COMPUTED_VALUE"""),"Terminado")</f>
        <v>Terminado</v>
      </c>
      <c r="S1841" s="2"/>
      <c r="T1841" s="2"/>
      <c r="U1841" s="2"/>
    </row>
    <row r="1842" spans="1:21" x14ac:dyDescent="0.25">
      <c r="A1842" s="2" t="str">
        <f ca="1">IFERROR(__xludf.DUMMYFUNCTION("""COMPUTED_VALUE"""),"54b25ae9")</f>
        <v>54b25ae9</v>
      </c>
      <c r="B1842" s="5">
        <f ca="1">IFERROR(__xludf.DUMMYFUNCTION("""COMPUTED_VALUE"""),46170.484375)</f>
        <v>46170.484375</v>
      </c>
      <c r="C1842" s="2" t="str">
        <f ca="1">IFERROR(__xludf.DUMMYFUNCTION("""COMPUTED_VALUE"""),"ea65ad9a")</f>
        <v>ea65ad9a</v>
      </c>
      <c r="D1842" s="2">
        <f ca="1">IFERROR(__xludf.DUMMYFUNCTION("""COMPUTED_VALUE"""),6)</f>
        <v>6</v>
      </c>
      <c r="E1842" s="2" t="str">
        <f ca="1">IFERROR(__xludf.DUMMYFUNCTION("""COMPUTED_VALUE"""),"Criolla Recarga")</f>
        <v>Criolla Recarga</v>
      </c>
      <c r="F1842" s="2">
        <f ca="1">IFERROR(__xludf.DUMMYFUNCTION("""COMPUTED_VALUE"""),500)</f>
        <v>500</v>
      </c>
      <c r="G1842" s="2">
        <f ca="1">IFERROR(__xludf.DUMMYFUNCTION("""COMPUTED_VALUE"""),68)</f>
        <v>68</v>
      </c>
      <c r="H1842" s="2" t="str">
        <f ca="1">IFERROR(__xludf.DUMMYFUNCTION("""COMPUTED_VALUE"""),"3cd93914")</f>
        <v>3cd93914</v>
      </c>
      <c r="I1842" s="2" t="str">
        <f ca="1">IFERROR(__xludf.DUMMYFUNCTION("""COMPUTED_VALUE"""),"Borra")</f>
        <v>Borra</v>
      </c>
      <c r="J1842" s="2">
        <f ca="1">IFERROR(__xludf.DUMMYFUNCTION("""COMPUTED_VALUE"""),10700)</f>
        <v>10700</v>
      </c>
      <c r="K1842" s="2">
        <f ca="1">IFERROR(__xludf.DUMMYFUNCTION("""COMPUTED_VALUE"""),11200)</f>
        <v>11200</v>
      </c>
      <c r="L1842" s="2" t="str">
        <f ca="1">IFERROR(__xludf.DUMMYFUNCTION("""COMPUTED_VALUE"""),"91b58f29")</f>
        <v>91b58f29</v>
      </c>
      <c r="M1842" s="2" t="str">
        <f ca="1">IFERROR(__xludf.DUMMYFUNCTION("""COMPUTED_VALUE"""),"Borra")</f>
        <v>Borra</v>
      </c>
      <c r="N1842" s="2"/>
      <c r="O1842" s="2" t="str">
        <f ca="1">IFERROR(__xludf.DUMMYFUNCTION("""COMPUTED_VALUE"""),"Descubada")</f>
        <v>Descubada</v>
      </c>
      <c r="P1842" s="2" t="str">
        <f ca="1">IFERROR(__xludf.DUMMYFUNCTION("""COMPUTED_VALUE"""),"1er Trasiego")</f>
        <v>1er Trasiego</v>
      </c>
      <c r="Q1842" s="2" t="b">
        <f ca="1">IFERROR(__xludf.DUMMYFUNCTION("""COMPUTED_VALUE"""),TRUE)</f>
        <v>1</v>
      </c>
      <c r="R1842" s="2" t="str">
        <f ca="1">IFERROR(__xludf.DUMMYFUNCTION("""COMPUTED_VALUE"""),"1er Trasiego")</f>
        <v>1er Trasiego</v>
      </c>
      <c r="S1842" s="2"/>
      <c r="T1842" s="2"/>
      <c r="U1842" s="2" t="str">
        <f ca="1">IFERROR(__xludf.DUMMYFUNCTION("""COMPUTED_VALUE"""),"1+")</f>
        <v>1+</v>
      </c>
    </row>
    <row r="1843" spans="1:21" x14ac:dyDescent="0.25">
      <c r="A1843" s="2" t="str">
        <f ca="1">IFERROR(__xludf.DUMMYFUNCTION("""COMPUTED_VALUE"""),"05e860ae")</f>
        <v>05e860ae</v>
      </c>
      <c r="B1843" s="5">
        <f ca="1">IFERROR(__xludf.DUMMYFUNCTION("""COMPUTED_VALUE"""),46170.485162037)</f>
        <v>46170.485162037003</v>
      </c>
      <c r="C1843" s="2" t="str">
        <f ca="1">IFERROR(__xludf.DUMMYFUNCTION("""COMPUTED_VALUE"""),"ea65ad9a")</f>
        <v>ea65ad9a</v>
      </c>
      <c r="D1843" s="2">
        <f ca="1">IFERROR(__xludf.DUMMYFUNCTION("""COMPUTED_VALUE"""),6)</f>
        <v>6</v>
      </c>
      <c r="E1843" s="2" t="str">
        <f ca="1">IFERROR(__xludf.DUMMYFUNCTION("""COMPUTED_VALUE"""),"Criolla Recarga")</f>
        <v>Criolla Recarga</v>
      </c>
      <c r="F1843" s="2">
        <f ca="1">IFERROR(__xludf.DUMMYFUNCTION("""COMPUTED_VALUE"""),1500)</f>
        <v>1500</v>
      </c>
      <c r="G1843" s="2">
        <f ca="1">IFERROR(__xludf.DUMMYFUNCTION("""COMPUTED_VALUE"""),500)</f>
        <v>500</v>
      </c>
      <c r="H1843" s="2" t="str">
        <f ca="1">IFERROR(__xludf.DUMMYFUNCTION("""COMPUTED_VALUE"""),"60ab60ef")</f>
        <v>60ab60ef</v>
      </c>
      <c r="I1843" s="2" t="str">
        <f ca="1">IFERROR(__xludf.DUMMYFUNCTION("""COMPUTED_VALUE"""),"Ajuste Cosecha 2026")</f>
        <v>Ajuste Cosecha 2026</v>
      </c>
      <c r="J1843" s="2">
        <f ca="1">IFERROR(__xludf.DUMMYFUNCTION("""COMPUTED_VALUE"""),34700)</f>
        <v>34700</v>
      </c>
      <c r="K1843" s="2">
        <f ca="1">IFERROR(__xludf.DUMMYFUNCTION("""COMPUTED_VALUE"""),36200)</f>
        <v>36200</v>
      </c>
      <c r="L1843" s="2" t="str">
        <f ca="1">IFERROR(__xludf.DUMMYFUNCTION("""COMPUTED_VALUE"""),"7203bfce")</f>
        <v>7203bfce</v>
      </c>
      <c r="M1843" s="2" t="str">
        <f ca="1">IFERROR(__xludf.DUMMYFUNCTION("""COMPUTED_VALUE"""),"Ajuste Cosecha 2026")</f>
        <v>Ajuste Cosecha 2026</v>
      </c>
      <c r="N1843" s="2"/>
      <c r="O1843" s="2" t="str">
        <f ca="1">IFERROR(__xludf.DUMMYFUNCTION("""COMPUTED_VALUE"""),"Descubada")</f>
        <v>Descubada</v>
      </c>
      <c r="P1843" s="2" t="str">
        <f ca="1">IFERROR(__xludf.DUMMYFUNCTION("""COMPUTED_VALUE"""),"Terminado")</f>
        <v>Terminado</v>
      </c>
      <c r="Q1843" s="2" t="b">
        <f ca="1">IFERROR(__xludf.DUMMYFUNCTION("""COMPUTED_VALUE"""),TRUE)</f>
        <v>1</v>
      </c>
      <c r="R1843" s="2" t="str">
        <f ca="1">IFERROR(__xludf.DUMMYFUNCTION("""COMPUTED_VALUE"""),"Terminado")</f>
        <v>Terminado</v>
      </c>
      <c r="S1843" s="2"/>
      <c r="T1843" s="2"/>
      <c r="U1843" s="2"/>
    </row>
    <row r="1844" spans="1:21" x14ac:dyDescent="0.25">
      <c r="A1844" s="2" t="str">
        <f ca="1">IFERROR(__xludf.DUMMYFUNCTION("""COMPUTED_VALUE"""),"234cb0ae")</f>
        <v>234cb0ae</v>
      </c>
      <c r="B1844" s="5">
        <f ca="1">IFERROR(__xludf.DUMMYFUNCTION("""COMPUTED_VALUE"""),46170.4855671296)</f>
        <v>46170.485567129603</v>
      </c>
      <c r="C1844" s="2" t="str">
        <f ca="1">IFERROR(__xludf.DUMMYFUNCTION("""COMPUTED_VALUE"""),"22490f6b")</f>
        <v>22490f6b</v>
      </c>
      <c r="D1844" s="2">
        <f ca="1">IFERROR(__xludf.DUMMYFUNCTION("""COMPUTED_VALUE"""),15)</f>
        <v>15</v>
      </c>
      <c r="E1844" s="2" t="str">
        <f ca="1">IFERROR(__xludf.DUMMYFUNCTION("""COMPUTED_VALUE"""),"Cabernet Sauv G")</f>
        <v>Cabernet Sauv G</v>
      </c>
      <c r="F1844" s="2">
        <f ca="1">IFERROR(__xludf.DUMMYFUNCTION("""COMPUTED_VALUE"""),36000)</f>
        <v>36000</v>
      </c>
      <c r="G1844" s="2">
        <f ca="1">IFERROR(__xludf.DUMMYFUNCTION("""COMPUTED_VALUE"""),11)</f>
        <v>11</v>
      </c>
      <c r="H1844" s="2"/>
      <c r="I1844" s="2"/>
      <c r="J1844" s="2">
        <f ca="1">IFERROR(__xludf.DUMMYFUNCTION("""COMPUTED_VALUE"""),0)</f>
        <v>0</v>
      </c>
      <c r="K1844" s="2">
        <f ca="1">IFERROR(__xludf.DUMMYFUNCTION("""COMPUTED_VALUE"""),36000)</f>
        <v>36000</v>
      </c>
      <c r="L1844" s="2" t="str">
        <f ca="1">IFERROR(__xludf.DUMMYFUNCTION("""COMPUTED_VALUE"""),"fbf098ee")</f>
        <v>fbf098ee</v>
      </c>
      <c r="M1844" s="2" t="str">
        <f ca="1">IFERROR(__xludf.DUMMYFUNCTION("""COMPUTED_VALUE"""),"Cabernet Sauv G")</f>
        <v>Cabernet Sauv G</v>
      </c>
      <c r="N1844" s="2"/>
      <c r="O1844" s="2" t="str">
        <f ca="1">IFERROR(__xludf.DUMMYFUNCTION("""COMPUTED_VALUE"""),"Descubada")</f>
        <v>Descubada</v>
      </c>
      <c r="P1844" s="2"/>
      <c r="Q1844" s="2" t="b">
        <f ca="1">IFERROR(__xludf.DUMMYFUNCTION("""COMPUTED_VALUE"""),FALSE)</f>
        <v>0</v>
      </c>
      <c r="R1844" s="2" t="str">
        <f ca="1">IFERROR(__xludf.DUMMYFUNCTION("""COMPUTED_VALUE"""),"1er Trasiego")</f>
        <v>1er Trasiego</v>
      </c>
      <c r="S1844" s="2"/>
      <c r="T1844" s="2"/>
      <c r="U1844" s="2" t="str">
        <f ca="1">IFERROR(__xludf.DUMMYFUNCTION("""COMPUTED_VALUE"""),"1-")</f>
        <v>1-</v>
      </c>
    </row>
    <row r="1845" spans="1:21" x14ac:dyDescent="0.25">
      <c r="A1845" s="2" t="str">
        <f ca="1">IFERROR(__xludf.DUMMYFUNCTION("""COMPUTED_VALUE"""),"8f44c61d")</f>
        <v>8f44c61d</v>
      </c>
      <c r="B1845" s="5">
        <f ca="1">IFERROR(__xludf.DUMMYFUNCTION("""COMPUTED_VALUE"""),46170.4912037037)</f>
        <v>46170.491203703699</v>
      </c>
      <c r="C1845" s="2" t="str">
        <f ca="1">IFERROR(__xludf.DUMMYFUNCTION("""COMPUTED_VALUE"""),"1d29e77e")</f>
        <v>1d29e77e</v>
      </c>
      <c r="D1845" s="2">
        <f ca="1">IFERROR(__xludf.DUMMYFUNCTION("""COMPUTED_VALUE"""),67)</f>
        <v>67</v>
      </c>
      <c r="E1845" s="2" t="str">
        <f ca="1">IFERROR(__xludf.DUMMYFUNCTION("""COMPUTED_VALUE"""),"Bonarda")</f>
        <v>Bonarda</v>
      </c>
      <c r="F1845" s="2">
        <f ca="1">IFERROR(__xludf.DUMMYFUNCTION("""COMPUTED_VALUE"""),7000)</f>
        <v>7000</v>
      </c>
      <c r="G1845" s="2">
        <f ca="1">IFERROR(__xludf.DUMMYFUNCTION("""COMPUTED_VALUE"""),82)</f>
        <v>82</v>
      </c>
      <c r="H1845" s="2"/>
      <c r="I1845" s="2"/>
      <c r="J1845" s="2">
        <f ca="1">IFERROR(__xludf.DUMMYFUNCTION("""COMPUTED_VALUE"""),0)</f>
        <v>0</v>
      </c>
      <c r="K1845" s="2">
        <f ca="1">IFERROR(__xludf.DUMMYFUNCTION("""COMPUTED_VALUE"""),7000)</f>
        <v>7000</v>
      </c>
      <c r="L1845" s="2" t="str">
        <f ca="1">IFERROR(__xludf.DUMMYFUNCTION("""COMPUTED_VALUE"""),"6609cfda")</f>
        <v>6609cfda</v>
      </c>
      <c r="M1845" s="2" t="str">
        <f ca="1">IFERROR(__xludf.DUMMYFUNCTION("""COMPUTED_VALUE"""),"Bonarda")</f>
        <v>Bonarda</v>
      </c>
      <c r="N1845" s="2"/>
      <c r="O1845" s="2" t="str">
        <f ca="1">IFERROR(__xludf.DUMMYFUNCTION("""COMPUTED_VALUE"""),"Descubada")</f>
        <v>Descubada</v>
      </c>
      <c r="P1845" s="2"/>
      <c r="Q1845" s="2" t="b">
        <f ca="1">IFERROR(__xludf.DUMMYFUNCTION("""COMPUTED_VALUE"""),FALSE)</f>
        <v>0</v>
      </c>
      <c r="R1845" s="2" t="str">
        <f ca="1">IFERROR(__xludf.DUMMYFUNCTION("""COMPUTED_VALUE"""),"1er Trasiego")</f>
        <v>1er Trasiego</v>
      </c>
      <c r="S1845" s="2"/>
      <c r="T1845" s="2"/>
      <c r="U1845" s="2" t="str">
        <f ca="1">IFERROR(__xludf.DUMMYFUNCTION("""COMPUTED_VALUE"""),"1+")</f>
        <v>1+</v>
      </c>
    </row>
    <row r="1846" spans="1:21" x14ac:dyDescent="0.25">
      <c r="A1846" s="2" t="str">
        <f ca="1">IFERROR(__xludf.DUMMYFUNCTION("""COMPUTED_VALUE"""),"62de9d9d")</f>
        <v>62de9d9d</v>
      </c>
      <c r="B1846" s="5">
        <f ca="1">IFERROR(__xludf.DUMMYFUNCTION("""COMPUTED_VALUE"""),46170.5151273148)</f>
        <v>46170.5151273148</v>
      </c>
      <c r="C1846" s="2" t="str">
        <f ca="1">IFERROR(__xludf.DUMMYFUNCTION("""COMPUTED_VALUE"""),"759766f6")</f>
        <v>759766f6</v>
      </c>
      <c r="D1846" s="2">
        <f ca="1">IFERROR(__xludf.DUMMYFUNCTION("""COMPUTED_VALUE"""),42)</f>
        <v>42</v>
      </c>
      <c r="E1846" s="2" t="str">
        <f ca="1">IFERROR(__xludf.DUMMYFUNCTION("""COMPUTED_VALUE"""),"Bonarda")</f>
        <v>Bonarda</v>
      </c>
      <c r="F1846" s="2">
        <f ca="1">IFERROR(__xludf.DUMMYFUNCTION("""COMPUTED_VALUE"""),35000)</f>
        <v>35000</v>
      </c>
      <c r="G1846" s="2">
        <f ca="1">IFERROR(__xludf.DUMMYFUNCTION("""COMPUTED_VALUE"""),82)</f>
        <v>82</v>
      </c>
      <c r="H1846" s="2" t="str">
        <f ca="1">IFERROR(__xludf.DUMMYFUNCTION("""COMPUTED_VALUE"""),"6609cfda")</f>
        <v>6609cfda</v>
      </c>
      <c r="I1846" s="2" t="str">
        <f ca="1">IFERROR(__xludf.DUMMYFUNCTION("""COMPUTED_VALUE"""),"Bonarda")</f>
        <v>Bonarda</v>
      </c>
      <c r="J1846" s="2">
        <f ca="1">IFERROR(__xludf.DUMMYFUNCTION("""COMPUTED_VALUE"""),7000)</f>
        <v>7000</v>
      </c>
      <c r="K1846" s="2">
        <f ca="1">IFERROR(__xludf.DUMMYFUNCTION("""COMPUTED_VALUE"""),42000)</f>
        <v>42000</v>
      </c>
      <c r="L1846" s="2" t="str">
        <f ca="1">IFERROR(__xludf.DUMMYFUNCTION("""COMPUTED_VALUE"""),"b6466d68")</f>
        <v>b6466d68</v>
      </c>
      <c r="M1846" s="2" t="str">
        <f ca="1">IFERROR(__xludf.DUMMYFUNCTION("""COMPUTED_VALUE"""),"Bonarda")</f>
        <v>Bonarda</v>
      </c>
      <c r="N1846" s="2"/>
      <c r="O1846" s="2" t="str">
        <f ca="1">IFERROR(__xludf.DUMMYFUNCTION("""COMPUTED_VALUE"""),"Descubada")</f>
        <v>Descubada</v>
      </c>
      <c r="P1846" s="2" t="str">
        <f ca="1">IFERROR(__xludf.DUMMYFUNCTION("""COMPUTED_VALUE"""),"1er Trasiego")</f>
        <v>1er Trasiego</v>
      </c>
      <c r="Q1846" s="2" t="b">
        <f ca="1">IFERROR(__xludf.DUMMYFUNCTION("""COMPUTED_VALUE"""),TRUE)</f>
        <v>1</v>
      </c>
      <c r="R1846" s="2" t="str">
        <f ca="1">IFERROR(__xludf.DUMMYFUNCTION("""COMPUTED_VALUE"""),"1er Trasiego")</f>
        <v>1er Trasiego</v>
      </c>
      <c r="S1846" s="2"/>
      <c r="T1846" s="2"/>
      <c r="U1846" s="2" t="str">
        <f ca="1">IFERROR(__xludf.DUMMYFUNCTION("""COMPUTED_VALUE"""),"1+")</f>
        <v>1+</v>
      </c>
    </row>
    <row r="1847" spans="1:21" x14ac:dyDescent="0.25">
      <c r="A1847" s="2" t="str">
        <f ca="1">IFERROR(__xludf.DUMMYFUNCTION("""COMPUTED_VALUE"""),"827268d6")</f>
        <v>827268d6</v>
      </c>
      <c r="B1847" s="5">
        <f ca="1">IFERROR(__xludf.DUMMYFUNCTION("""COMPUTED_VALUE"""),46170.5253935185)</f>
        <v>46170.525393518503</v>
      </c>
      <c r="C1847" s="2" t="str">
        <f ca="1">IFERROR(__xludf.DUMMYFUNCTION("""COMPUTED_VALUE"""),"42662ec0")</f>
        <v>42662ec0</v>
      </c>
      <c r="D1847" s="2">
        <f ca="1">IFERROR(__xludf.DUMMYFUNCTION("""COMPUTED_VALUE"""),71)</f>
        <v>71</v>
      </c>
      <c r="E1847" s="2" t="str">
        <f ca="1">IFERROR(__xludf.DUMMYFUNCTION("""COMPUTED_VALUE"""),"Syrah s/Asp 2")</f>
        <v>Syrah s/Asp 2</v>
      </c>
      <c r="F1847" s="2">
        <f ca="1">IFERROR(__xludf.DUMMYFUNCTION("""COMPUTED_VALUE"""),13000)</f>
        <v>13000</v>
      </c>
      <c r="G1847" s="2">
        <f ca="1">IFERROR(__xludf.DUMMYFUNCTION("""COMPUTED_VALUE"""),78)</f>
        <v>78</v>
      </c>
      <c r="H1847" s="2"/>
      <c r="I1847" s="2"/>
      <c r="J1847" s="2">
        <f ca="1">IFERROR(__xludf.DUMMYFUNCTION("""COMPUTED_VALUE"""),0)</f>
        <v>0</v>
      </c>
      <c r="K1847" s="2">
        <f ca="1">IFERROR(__xludf.DUMMYFUNCTION("""COMPUTED_VALUE"""),13000)</f>
        <v>13000</v>
      </c>
      <c r="L1847" s="2" t="str">
        <f ca="1">IFERROR(__xludf.DUMMYFUNCTION("""COMPUTED_VALUE"""),"dc9091b1")</f>
        <v>dc9091b1</v>
      </c>
      <c r="M1847" s="2" t="str">
        <f ca="1">IFERROR(__xludf.DUMMYFUNCTION("""COMPUTED_VALUE"""),"Syrah s/Asp 2")</f>
        <v>Syrah s/Asp 2</v>
      </c>
      <c r="N1847" s="2"/>
      <c r="O1847" s="2" t="str">
        <f ca="1">IFERROR(__xludf.DUMMYFUNCTION("""COMPUTED_VALUE"""),"Descubada")</f>
        <v>Descubada</v>
      </c>
      <c r="P1847" s="2"/>
      <c r="Q1847" s="2" t="b">
        <f ca="1">IFERROR(__xludf.DUMMYFUNCTION("""COMPUTED_VALUE"""),FALSE)</f>
        <v>0</v>
      </c>
      <c r="R1847" s="2" t="str">
        <f ca="1">IFERROR(__xludf.DUMMYFUNCTION("""COMPUTED_VALUE"""),"1er Trasiego")</f>
        <v>1er Trasiego</v>
      </c>
      <c r="S1847" s="2"/>
      <c r="T1847" s="2"/>
      <c r="U1847" s="2" t="str">
        <f ca="1">IFERROR(__xludf.DUMMYFUNCTION("""COMPUTED_VALUE"""),"1")</f>
        <v>1</v>
      </c>
    </row>
    <row r="1848" spans="1:21" x14ac:dyDescent="0.25">
      <c r="A1848" s="2" t="str">
        <f ca="1">IFERROR(__xludf.DUMMYFUNCTION("""COMPUTED_VALUE"""),"ad292f9d")</f>
        <v>ad292f9d</v>
      </c>
      <c r="B1848" s="5">
        <f ca="1">IFERROR(__xludf.DUMMYFUNCTION("""COMPUTED_VALUE"""),46170.5259722222)</f>
        <v>46170.525972222204</v>
      </c>
      <c r="C1848" s="2" t="str">
        <f ca="1">IFERROR(__xludf.DUMMYFUNCTION("""COMPUTED_VALUE"""),"95936008")</f>
        <v>95936008</v>
      </c>
      <c r="D1848" s="2">
        <f ca="1">IFERROR(__xludf.DUMMYFUNCTION("""COMPUTED_VALUE"""),73)</f>
        <v>73</v>
      </c>
      <c r="E1848" s="2" t="str">
        <f ca="1">IFERROR(__xludf.DUMMYFUNCTION("""COMPUTED_VALUE"""),"Syrah s/Asp 2")</f>
        <v>Syrah s/Asp 2</v>
      </c>
      <c r="F1848" s="2">
        <f ca="1">IFERROR(__xludf.DUMMYFUNCTION("""COMPUTED_VALUE"""),12800)</f>
        <v>12800</v>
      </c>
      <c r="G1848" s="2">
        <f ca="1">IFERROR(__xludf.DUMMYFUNCTION("""COMPUTED_VALUE"""),78)</f>
        <v>78</v>
      </c>
      <c r="H1848" s="2" t="str">
        <f ca="1">IFERROR(__xludf.DUMMYFUNCTION("""COMPUTED_VALUE"""),"dc9091b1")</f>
        <v>dc9091b1</v>
      </c>
      <c r="I1848" s="2" t="str">
        <f ca="1">IFERROR(__xludf.DUMMYFUNCTION("""COMPUTED_VALUE"""),"Syrah s/Asp 2")</f>
        <v>Syrah s/Asp 2</v>
      </c>
      <c r="J1848" s="2">
        <f ca="1">IFERROR(__xludf.DUMMYFUNCTION("""COMPUTED_VALUE"""),13000)</f>
        <v>13000</v>
      </c>
      <c r="K1848" s="2">
        <f ca="1">IFERROR(__xludf.DUMMYFUNCTION("""COMPUTED_VALUE"""),25800)</f>
        <v>25800</v>
      </c>
      <c r="L1848" s="2" t="str">
        <f ca="1">IFERROR(__xludf.DUMMYFUNCTION("""COMPUTED_VALUE"""),"adf438f1")</f>
        <v>adf438f1</v>
      </c>
      <c r="M1848" s="2" t="str">
        <f ca="1">IFERROR(__xludf.DUMMYFUNCTION("""COMPUTED_VALUE"""),"Syrah s/Asp 2")</f>
        <v>Syrah s/Asp 2</v>
      </c>
      <c r="N1848" s="2"/>
      <c r="O1848" s="2" t="str">
        <f ca="1">IFERROR(__xludf.DUMMYFUNCTION("""COMPUTED_VALUE"""),"Descubada")</f>
        <v>Descubada</v>
      </c>
      <c r="P1848" s="2" t="str">
        <f ca="1">IFERROR(__xludf.DUMMYFUNCTION("""COMPUTED_VALUE"""),"1er Trasiego")</f>
        <v>1er Trasiego</v>
      </c>
      <c r="Q1848" s="2" t="b">
        <f ca="1">IFERROR(__xludf.DUMMYFUNCTION("""COMPUTED_VALUE"""),TRUE)</f>
        <v>1</v>
      </c>
      <c r="R1848" s="2" t="str">
        <f ca="1">IFERROR(__xludf.DUMMYFUNCTION("""COMPUTED_VALUE"""),"1er Trasiego")</f>
        <v>1er Trasiego</v>
      </c>
      <c r="S1848" s="2"/>
      <c r="T1848" s="2"/>
      <c r="U1848" s="2" t="str">
        <f ca="1">IFERROR(__xludf.DUMMYFUNCTION("""COMPUTED_VALUE"""),"1")</f>
        <v>1</v>
      </c>
    </row>
    <row r="1849" spans="1:21" x14ac:dyDescent="0.25">
      <c r="A1849" s="2" t="str">
        <f ca="1">IFERROR(__xludf.DUMMYFUNCTION("""COMPUTED_VALUE"""),"9a5b5353")</f>
        <v>9a5b5353</v>
      </c>
      <c r="B1849" s="5">
        <f ca="1">IFERROR(__xludf.DUMMYFUNCTION("""COMPUTED_VALUE"""),46170.5262152777)</f>
        <v>46170.5262152777</v>
      </c>
      <c r="C1849" s="2" t="str">
        <f ca="1">IFERROR(__xludf.DUMMYFUNCTION("""COMPUTED_VALUE"""),"95936008")</f>
        <v>95936008</v>
      </c>
      <c r="D1849" s="2">
        <f ca="1">IFERROR(__xludf.DUMMYFUNCTION("""COMPUTED_VALUE"""),73)</f>
        <v>73</v>
      </c>
      <c r="E1849" s="2" t="str">
        <f ca="1">IFERROR(__xludf.DUMMYFUNCTION("""COMPUTED_VALUE"""),"Syrah s/Asp 2")</f>
        <v>Syrah s/Asp 2</v>
      </c>
      <c r="F1849" s="2">
        <f ca="1">IFERROR(__xludf.DUMMYFUNCTION("""COMPUTED_VALUE"""),200)</f>
        <v>200</v>
      </c>
      <c r="G1849" s="2">
        <f ca="1">IFERROR(__xludf.DUMMYFUNCTION("""COMPUTED_VALUE"""),68)</f>
        <v>68</v>
      </c>
      <c r="H1849" s="2" t="str">
        <f ca="1">IFERROR(__xludf.DUMMYFUNCTION("""COMPUTED_VALUE"""),"91b58f29")</f>
        <v>91b58f29</v>
      </c>
      <c r="I1849" s="2" t="str">
        <f ca="1">IFERROR(__xludf.DUMMYFUNCTION("""COMPUTED_VALUE"""),"Borra")</f>
        <v>Borra</v>
      </c>
      <c r="J1849" s="2">
        <f ca="1">IFERROR(__xludf.DUMMYFUNCTION("""COMPUTED_VALUE"""),11200)</f>
        <v>11200</v>
      </c>
      <c r="K1849" s="2">
        <f ca="1">IFERROR(__xludf.DUMMYFUNCTION("""COMPUTED_VALUE"""),11400)</f>
        <v>11400</v>
      </c>
      <c r="L1849" s="2" t="str">
        <f ca="1">IFERROR(__xludf.DUMMYFUNCTION("""COMPUTED_VALUE"""),"a509c6da")</f>
        <v>a509c6da</v>
      </c>
      <c r="M1849" s="2" t="str">
        <f ca="1">IFERROR(__xludf.DUMMYFUNCTION("""COMPUTED_VALUE"""),"Borra")</f>
        <v>Borra</v>
      </c>
      <c r="N1849" s="2"/>
      <c r="O1849" s="2" t="str">
        <f ca="1">IFERROR(__xludf.DUMMYFUNCTION("""COMPUTED_VALUE"""),"Descubada")</f>
        <v>Descubada</v>
      </c>
      <c r="P1849" s="2" t="str">
        <f ca="1">IFERROR(__xludf.DUMMYFUNCTION("""COMPUTED_VALUE"""),"1er Trasiego")</f>
        <v>1er Trasiego</v>
      </c>
      <c r="Q1849" s="2" t="b">
        <f ca="1">IFERROR(__xludf.DUMMYFUNCTION("""COMPUTED_VALUE"""),TRUE)</f>
        <v>1</v>
      </c>
      <c r="R1849" s="2" t="str">
        <f ca="1">IFERROR(__xludf.DUMMYFUNCTION("""COMPUTED_VALUE"""),"1er Trasiego")</f>
        <v>1er Trasiego</v>
      </c>
      <c r="S1849" s="2"/>
      <c r="T1849" s="2"/>
      <c r="U1849" s="2" t="str">
        <f ca="1">IFERROR(__xludf.DUMMYFUNCTION("""COMPUTED_VALUE"""),"1+")</f>
        <v>1+</v>
      </c>
    </row>
    <row r="1850" spans="1:21" x14ac:dyDescent="0.25">
      <c r="A1850" s="2" t="str">
        <f ca="1">IFERROR(__xludf.DUMMYFUNCTION("""COMPUTED_VALUE"""),"05c1327e")</f>
        <v>05c1327e</v>
      </c>
      <c r="B1850" s="5">
        <f ca="1">IFERROR(__xludf.DUMMYFUNCTION("""COMPUTED_VALUE"""),46171.753136574)</f>
        <v>46171.753136574</v>
      </c>
      <c r="C1850" s="2" t="str">
        <f ca="1">IFERROR(__xludf.DUMMYFUNCTION("""COMPUTED_VALUE"""),"f5ce46f7")</f>
        <v>f5ce46f7</v>
      </c>
      <c r="D1850" s="2">
        <f ca="1">IFERROR(__xludf.DUMMYFUNCTION("""COMPUTED_VALUE"""),74)</f>
        <v>74</v>
      </c>
      <c r="E1850" s="2" t="str">
        <f ca="1">IFERROR(__xludf.DUMMYFUNCTION("""COMPUTED_VALUE"""),"Merlot s/Asp")</f>
        <v>Merlot s/Asp</v>
      </c>
      <c r="F1850" s="2">
        <f ca="1">IFERROR(__xludf.DUMMYFUNCTION("""COMPUTED_VALUE"""),12000)</f>
        <v>12000</v>
      </c>
      <c r="G1850" s="2">
        <f ca="1">IFERROR(__xludf.DUMMYFUNCTION("""COMPUTED_VALUE"""),71)</f>
        <v>71</v>
      </c>
      <c r="H1850" s="2"/>
      <c r="I1850" s="2"/>
      <c r="J1850" s="2">
        <f ca="1">IFERROR(__xludf.DUMMYFUNCTION("""COMPUTED_VALUE"""),0)</f>
        <v>0</v>
      </c>
      <c r="K1850" s="2">
        <f ca="1">IFERROR(__xludf.DUMMYFUNCTION("""COMPUTED_VALUE"""),12000)</f>
        <v>12000</v>
      </c>
      <c r="L1850" s="2" t="str">
        <f ca="1">IFERROR(__xludf.DUMMYFUNCTION("""COMPUTED_VALUE"""),"e9c60218")</f>
        <v>e9c60218</v>
      </c>
      <c r="M1850" s="2" t="str">
        <f ca="1">IFERROR(__xludf.DUMMYFUNCTION("""COMPUTED_VALUE"""),"Merlot s/Asp")</f>
        <v>Merlot s/Asp</v>
      </c>
      <c r="N1850" s="2"/>
      <c r="O1850" s="2" t="str">
        <f ca="1">IFERROR(__xludf.DUMMYFUNCTION("""COMPUTED_VALUE"""),"Descubada")</f>
        <v>Descubada</v>
      </c>
      <c r="P1850" s="2"/>
      <c r="Q1850" s="2" t="b">
        <f ca="1">IFERROR(__xludf.DUMMYFUNCTION("""COMPUTED_VALUE"""),FALSE)</f>
        <v>0</v>
      </c>
      <c r="R1850" s="2" t="str">
        <f ca="1">IFERROR(__xludf.DUMMYFUNCTION("""COMPUTED_VALUE"""),"1er Trasiego")</f>
        <v>1er Trasiego</v>
      </c>
      <c r="S1850" s="2"/>
      <c r="T1850" s="2"/>
      <c r="U1850" s="2"/>
    </row>
    <row r="1851" spans="1:21" x14ac:dyDescent="0.25">
      <c r="A1851" s="2" t="str">
        <f ca="1">IFERROR(__xludf.DUMMYFUNCTION("""COMPUTED_VALUE"""),"4dda26d7")</f>
        <v>4dda26d7</v>
      </c>
      <c r="B1851" s="5">
        <f ca="1">IFERROR(__xludf.DUMMYFUNCTION("""COMPUTED_VALUE"""),46171.7537152777)</f>
        <v>46171.7537152777</v>
      </c>
      <c r="C1851" s="2" t="str">
        <f ca="1">IFERROR(__xludf.DUMMYFUNCTION("""COMPUTED_VALUE"""),"f5ce46f7")</f>
        <v>f5ce46f7</v>
      </c>
      <c r="D1851" s="2">
        <f ca="1">IFERROR(__xludf.DUMMYFUNCTION("""COMPUTED_VALUE"""),74)</f>
        <v>74</v>
      </c>
      <c r="E1851" s="2" t="str">
        <f ca="1">IFERROR(__xludf.DUMMYFUNCTION("""COMPUTED_VALUE"""),"Merlot s/Asp")</f>
        <v>Merlot s/Asp</v>
      </c>
      <c r="F1851" s="2">
        <f ca="1">IFERROR(__xludf.DUMMYFUNCTION("""COMPUTED_VALUE"""),1000)</f>
        <v>1000</v>
      </c>
      <c r="G1851" s="2">
        <f ca="1">IFERROR(__xludf.DUMMYFUNCTION("""COMPUTED_VALUE"""),68)</f>
        <v>68</v>
      </c>
      <c r="H1851" s="2" t="str">
        <f ca="1">IFERROR(__xludf.DUMMYFUNCTION("""COMPUTED_VALUE"""),"a509c6da")</f>
        <v>a509c6da</v>
      </c>
      <c r="I1851" s="2" t="str">
        <f ca="1">IFERROR(__xludf.DUMMYFUNCTION("""COMPUTED_VALUE"""),"Borra")</f>
        <v>Borra</v>
      </c>
      <c r="J1851" s="2">
        <f ca="1">IFERROR(__xludf.DUMMYFUNCTION("""COMPUTED_VALUE"""),11400)</f>
        <v>11400</v>
      </c>
      <c r="K1851" s="2">
        <f ca="1">IFERROR(__xludf.DUMMYFUNCTION("""COMPUTED_VALUE"""),12400)</f>
        <v>12400</v>
      </c>
      <c r="L1851" s="2" t="str">
        <f ca="1">IFERROR(__xludf.DUMMYFUNCTION("""COMPUTED_VALUE"""),"ac964ec6")</f>
        <v>ac964ec6</v>
      </c>
      <c r="M1851" s="2" t="str">
        <f ca="1">IFERROR(__xludf.DUMMYFUNCTION("""COMPUTED_VALUE"""),"Borra")</f>
        <v>Borra</v>
      </c>
      <c r="N1851" s="2"/>
      <c r="O1851" s="2" t="str">
        <f ca="1">IFERROR(__xludf.DUMMYFUNCTION("""COMPUTED_VALUE"""),"Descubada")</f>
        <v>Descubada</v>
      </c>
      <c r="P1851" s="2" t="str">
        <f ca="1">IFERROR(__xludf.DUMMYFUNCTION("""COMPUTED_VALUE"""),"1er Trasiego")</f>
        <v>1er Trasiego</v>
      </c>
      <c r="Q1851" s="2" t="b">
        <f ca="1">IFERROR(__xludf.DUMMYFUNCTION("""COMPUTED_VALUE"""),TRUE)</f>
        <v>1</v>
      </c>
      <c r="R1851" s="2" t="str">
        <f ca="1">IFERROR(__xludf.DUMMYFUNCTION("""COMPUTED_VALUE"""),"1er Trasiego")</f>
        <v>1er Trasiego</v>
      </c>
      <c r="S1851" s="2"/>
      <c r="T1851" s="2"/>
      <c r="U1851" s="2" t="str">
        <f ca="1">IFERROR(__xludf.DUMMYFUNCTION("""COMPUTED_VALUE"""),"1+")</f>
        <v>1+</v>
      </c>
    </row>
    <row r="1852" spans="1:21" x14ac:dyDescent="0.25">
      <c r="A1852" s="2" t="str">
        <f ca="1">IFERROR(__xludf.DUMMYFUNCTION("""COMPUTED_VALUE"""),"7c98a6e2")</f>
        <v>7c98a6e2</v>
      </c>
      <c r="B1852" s="5">
        <f ca="1">IFERROR(__xludf.DUMMYFUNCTION("""COMPUTED_VALUE"""),46171.7556597222)</f>
        <v>46171.755659722199</v>
      </c>
      <c r="C1852" s="2" t="str">
        <f ca="1">IFERROR(__xludf.DUMMYFUNCTION("""COMPUTED_VALUE"""),"2be33c71")</f>
        <v>2be33c71</v>
      </c>
      <c r="D1852" s="2">
        <f ca="1">IFERROR(__xludf.DUMMYFUNCTION("""COMPUTED_VALUE"""),14)</f>
        <v>14</v>
      </c>
      <c r="E1852" s="2" t="str">
        <f ca="1">IFERROR(__xludf.DUMMYFUNCTION("""COMPUTED_VALUE"""),"Bonarda")</f>
        <v>Bonarda</v>
      </c>
      <c r="F1852" s="2">
        <f ca="1">IFERROR(__xludf.DUMMYFUNCTION("""COMPUTED_VALUE"""),600)</f>
        <v>600</v>
      </c>
      <c r="G1852" s="2">
        <f ca="1">IFERROR(__xludf.DUMMYFUNCTION("""COMPUTED_VALUE"""),82)</f>
        <v>82</v>
      </c>
      <c r="H1852" s="2" t="str">
        <f ca="1">IFERROR(__xludf.DUMMYFUNCTION("""COMPUTED_VALUE"""),"b6466d68")</f>
        <v>b6466d68</v>
      </c>
      <c r="I1852" s="2" t="str">
        <f ca="1">IFERROR(__xludf.DUMMYFUNCTION("""COMPUTED_VALUE"""),"Bonarda")</f>
        <v>Bonarda</v>
      </c>
      <c r="J1852" s="2">
        <f ca="1">IFERROR(__xludf.DUMMYFUNCTION("""COMPUTED_VALUE"""),42000)</f>
        <v>42000</v>
      </c>
      <c r="K1852" s="2">
        <f ca="1">IFERROR(__xludf.DUMMYFUNCTION("""COMPUTED_VALUE"""),42600)</f>
        <v>42600</v>
      </c>
      <c r="L1852" s="2" t="str">
        <f ca="1">IFERROR(__xludf.DUMMYFUNCTION("""COMPUTED_VALUE"""),"1615b136")</f>
        <v>1615b136</v>
      </c>
      <c r="M1852" s="2" t="str">
        <f ca="1">IFERROR(__xludf.DUMMYFUNCTION("""COMPUTED_VALUE"""),"Bonarda")</f>
        <v>Bonarda</v>
      </c>
      <c r="N1852" s="2"/>
      <c r="O1852" s="2" t="str">
        <f ca="1">IFERROR(__xludf.DUMMYFUNCTION("""COMPUTED_VALUE"""),"Descubada")</f>
        <v>Descubada</v>
      </c>
      <c r="P1852" s="2" t="str">
        <f ca="1">IFERROR(__xludf.DUMMYFUNCTION("""COMPUTED_VALUE"""),"1er Trasiego")</f>
        <v>1er Trasiego</v>
      </c>
      <c r="Q1852" s="2" t="b">
        <f ca="1">IFERROR(__xludf.DUMMYFUNCTION("""COMPUTED_VALUE"""),TRUE)</f>
        <v>1</v>
      </c>
      <c r="R1852" s="2" t="str">
        <f ca="1">IFERROR(__xludf.DUMMYFUNCTION("""COMPUTED_VALUE"""),"1er Trasiego")</f>
        <v>1er Trasiego</v>
      </c>
      <c r="S1852" s="2"/>
      <c r="T1852" s="2"/>
      <c r="U1852" s="2" t="str">
        <f ca="1">IFERROR(__xludf.DUMMYFUNCTION("""COMPUTED_VALUE"""),"1+")</f>
        <v>1+</v>
      </c>
    </row>
    <row r="1853" spans="1:21" x14ac:dyDescent="0.25">
      <c r="A1853" s="2" t="str">
        <f ca="1">IFERROR(__xludf.DUMMYFUNCTION("""COMPUTED_VALUE"""),"4a65556d")</f>
        <v>4a65556d</v>
      </c>
      <c r="B1853" s="5">
        <f ca="1">IFERROR(__xludf.DUMMYFUNCTION("""COMPUTED_VALUE"""),46171.7558449074)</f>
        <v>46171.755844907399</v>
      </c>
      <c r="C1853" s="2" t="str">
        <f ca="1">IFERROR(__xludf.DUMMYFUNCTION("""COMPUTED_VALUE"""),"2be33c71")</f>
        <v>2be33c71</v>
      </c>
      <c r="D1853" s="2">
        <f ca="1">IFERROR(__xludf.DUMMYFUNCTION("""COMPUTED_VALUE"""),14)</f>
        <v>14</v>
      </c>
      <c r="E1853" s="2" t="str">
        <f ca="1">IFERROR(__xludf.DUMMYFUNCTION("""COMPUTED_VALUE"""),"Bonarda")</f>
        <v>Bonarda</v>
      </c>
      <c r="F1853" s="2">
        <f ca="1">IFERROR(__xludf.DUMMYFUNCTION("""COMPUTED_VALUE"""),35100)</f>
        <v>35100</v>
      </c>
      <c r="G1853" s="2">
        <f ca="1">IFERROR(__xludf.DUMMYFUNCTION("""COMPUTED_VALUE"""),41)</f>
        <v>41</v>
      </c>
      <c r="H1853" s="2"/>
      <c r="I1853" s="2"/>
      <c r="J1853" s="2">
        <f ca="1">IFERROR(__xludf.DUMMYFUNCTION("""COMPUTED_VALUE"""),0)</f>
        <v>0</v>
      </c>
      <c r="K1853" s="2">
        <f ca="1">IFERROR(__xludf.DUMMYFUNCTION("""COMPUTED_VALUE"""),35100)</f>
        <v>35100</v>
      </c>
      <c r="L1853" s="2" t="str">
        <f ca="1">IFERROR(__xludf.DUMMYFUNCTION("""COMPUTED_VALUE"""),"f5897d1f")</f>
        <v>f5897d1f</v>
      </c>
      <c r="M1853" s="2" t="str">
        <f ca="1">IFERROR(__xludf.DUMMYFUNCTION("""COMPUTED_VALUE"""),"Bonarda")</f>
        <v>Bonarda</v>
      </c>
      <c r="N1853" s="2"/>
      <c r="O1853" s="2" t="str">
        <f ca="1">IFERROR(__xludf.DUMMYFUNCTION("""COMPUTED_VALUE"""),"Descubada")</f>
        <v>Descubada</v>
      </c>
      <c r="P1853" s="2"/>
      <c r="Q1853" s="2" t="b">
        <f ca="1">IFERROR(__xludf.DUMMYFUNCTION("""COMPUTED_VALUE"""),FALSE)</f>
        <v>0</v>
      </c>
      <c r="R1853" s="2" t="str">
        <f ca="1">IFERROR(__xludf.DUMMYFUNCTION("""COMPUTED_VALUE"""),"1er Trasiego")</f>
        <v>1er Trasiego</v>
      </c>
      <c r="S1853" s="2"/>
      <c r="T1853" s="2"/>
      <c r="U1853" s="2"/>
    </row>
    <row r="1854" spans="1:21" x14ac:dyDescent="0.25">
      <c r="A1854" s="2" t="str">
        <f ca="1">IFERROR(__xludf.DUMMYFUNCTION("""COMPUTED_VALUE"""),"2ed50a42")</f>
        <v>2ed50a42</v>
      </c>
      <c r="B1854" s="5">
        <f ca="1">IFERROR(__xludf.DUMMYFUNCTION("""COMPUTED_VALUE"""),46171.7579166666)</f>
        <v>46171.757916666596</v>
      </c>
      <c r="C1854" s="2" t="str">
        <f ca="1">IFERROR(__xludf.DUMMYFUNCTION("""COMPUTED_VALUE"""),"bce51210")</f>
        <v>bce51210</v>
      </c>
      <c r="D1854" s="2">
        <f ca="1">IFERROR(__xludf.DUMMYFUNCTION("""COMPUTED_VALUE"""),87)</f>
        <v>87</v>
      </c>
      <c r="E1854" s="2" t="str">
        <f ca="1">IFERROR(__xludf.DUMMYFUNCTION("""COMPUTED_VALUE"""),"Criolla Recarga")</f>
        <v>Criolla Recarga</v>
      </c>
      <c r="F1854" s="2">
        <f ca="1">IFERROR(__xludf.DUMMYFUNCTION("""COMPUTED_VALUE"""),19500)</f>
        <v>19500</v>
      </c>
      <c r="G1854" s="2">
        <f ca="1">IFERROR(__xludf.DUMMYFUNCTION("""COMPUTED_VALUE"""),16)</f>
        <v>16</v>
      </c>
      <c r="H1854" s="2"/>
      <c r="I1854" s="2"/>
      <c r="J1854" s="2">
        <f ca="1">IFERROR(__xludf.DUMMYFUNCTION("""COMPUTED_VALUE"""),0)</f>
        <v>0</v>
      </c>
      <c r="K1854" s="2">
        <f ca="1">IFERROR(__xludf.DUMMYFUNCTION("""COMPUTED_VALUE"""),19500)</f>
        <v>19500</v>
      </c>
      <c r="L1854" s="2" t="str">
        <f ca="1">IFERROR(__xludf.DUMMYFUNCTION("""COMPUTED_VALUE"""),"759ddcbc")</f>
        <v>759ddcbc</v>
      </c>
      <c r="M1854" s="2" t="str">
        <f ca="1">IFERROR(__xludf.DUMMYFUNCTION("""COMPUTED_VALUE"""),"Criolla Recarga")</f>
        <v>Criolla Recarga</v>
      </c>
      <c r="N1854" s="2"/>
      <c r="O1854" s="2" t="str">
        <f ca="1">IFERROR(__xludf.DUMMYFUNCTION("""COMPUTED_VALUE"""),"1er Trasiego")</f>
        <v>1er Trasiego</v>
      </c>
      <c r="P1854" s="2"/>
      <c r="Q1854" s="2" t="b">
        <f ca="1">IFERROR(__xludf.DUMMYFUNCTION("""COMPUTED_VALUE"""),FALSE)</f>
        <v>0</v>
      </c>
      <c r="R1854" s="2" t="str">
        <f ca="1">IFERROR(__xludf.DUMMYFUNCTION("""COMPUTED_VALUE"""),"2do Trasiego")</f>
        <v>2do Trasiego</v>
      </c>
      <c r="S1854" s="2"/>
      <c r="T1854" s="2"/>
      <c r="U1854" s="2"/>
    </row>
    <row r="1855" spans="1:21" x14ac:dyDescent="0.25">
      <c r="A1855" s="2" t="str">
        <f ca="1">IFERROR(__xludf.DUMMYFUNCTION("""COMPUTED_VALUE"""),"0f49aecc")</f>
        <v>0f49aecc</v>
      </c>
      <c r="B1855" s="5">
        <f ca="1">IFERROR(__xludf.DUMMYFUNCTION("""COMPUTED_VALUE"""),46171.7595833333)</f>
        <v>46171.759583333303</v>
      </c>
      <c r="C1855" s="2" t="str">
        <f ca="1">IFERROR(__xludf.DUMMYFUNCTION("""COMPUTED_VALUE"""),"fc498499")</f>
        <v>fc498499</v>
      </c>
      <c r="D1855" s="2">
        <f ca="1">IFERROR(__xludf.DUMMYFUNCTION("""COMPUTED_VALUE"""),36)</f>
        <v>36</v>
      </c>
      <c r="E1855" s="2" t="str">
        <f ca="1">IFERROR(__xludf.DUMMYFUNCTION("""COMPUTED_VALUE"""),"Criolla Vol")</f>
        <v>Criolla Vol</v>
      </c>
      <c r="F1855" s="2">
        <f ca="1">IFERROR(__xludf.DUMMYFUNCTION("""COMPUTED_VALUE"""),18500)</f>
        <v>18500</v>
      </c>
      <c r="G1855" s="2">
        <f ca="1">IFERROR(__xludf.DUMMYFUNCTION("""COMPUTED_VALUE"""),87)</f>
        <v>87</v>
      </c>
      <c r="H1855" s="2" t="str">
        <f ca="1">IFERROR(__xludf.DUMMYFUNCTION("""COMPUTED_VALUE"""),"bce51210")</f>
        <v>bce51210</v>
      </c>
      <c r="I1855" s="2" t="str">
        <f ca="1">IFERROR(__xludf.DUMMYFUNCTION("""COMPUTED_VALUE"""),"Criolla Recarga")</f>
        <v>Criolla Recarga</v>
      </c>
      <c r="J1855" s="2">
        <f ca="1">IFERROR(__xludf.DUMMYFUNCTION("""COMPUTED_VALUE"""),74200)</f>
        <v>74200</v>
      </c>
      <c r="K1855" s="2">
        <f ca="1">IFERROR(__xludf.DUMMYFUNCTION("""COMPUTED_VALUE"""),92700)</f>
        <v>92700</v>
      </c>
      <c r="L1855" s="2" t="str">
        <f ca="1">IFERROR(__xludf.DUMMYFUNCTION("""COMPUTED_VALUE"""),"82f4d0f6")</f>
        <v>82f4d0f6</v>
      </c>
      <c r="M1855" s="2" t="str">
        <f ca="1">IFERROR(__xludf.DUMMYFUNCTION("""COMPUTED_VALUE"""),"Criolla Recarga")</f>
        <v>Criolla Recarga</v>
      </c>
      <c r="N1855" s="2"/>
      <c r="O1855" s="2" t="str">
        <f ca="1">IFERROR(__xludf.DUMMYFUNCTION("""COMPUTED_VALUE"""),"Rectificado")</f>
        <v>Rectificado</v>
      </c>
      <c r="P1855" s="2" t="str">
        <f ca="1">IFERROR(__xludf.DUMMYFUNCTION("""COMPUTED_VALUE"""),"1er Trasiego")</f>
        <v>1er Trasiego</v>
      </c>
      <c r="Q1855" s="2" t="b">
        <f ca="1">IFERROR(__xludf.DUMMYFUNCTION("""COMPUTED_VALUE"""),TRUE)</f>
        <v>1</v>
      </c>
      <c r="R1855" s="2" t="str">
        <f ca="1">IFERROR(__xludf.DUMMYFUNCTION("""COMPUTED_VALUE"""),"1er Trasiego")</f>
        <v>1er Trasiego</v>
      </c>
      <c r="S1855" s="2"/>
      <c r="T1855" s="2"/>
      <c r="U1855" s="2"/>
    </row>
    <row r="1856" spans="1:21" x14ac:dyDescent="0.25">
      <c r="A1856" s="2" t="str">
        <f ca="1">IFERROR(__xludf.DUMMYFUNCTION("""COMPUTED_VALUE"""),"0cd34271")</f>
        <v>0cd34271</v>
      </c>
      <c r="B1856" s="5">
        <f ca="1">IFERROR(__xludf.DUMMYFUNCTION("""COMPUTED_VALUE"""),46171.7604861111)</f>
        <v>46171.760486111103</v>
      </c>
      <c r="C1856" s="2" t="str">
        <f ca="1">IFERROR(__xludf.DUMMYFUNCTION("""COMPUTED_VALUE"""),"eb6cf98d")</f>
        <v>eb6cf98d</v>
      </c>
      <c r="D1856" s="2">
        <f ca="1">IFERROR(__xludf.DUMMYFUNCTION("""COMPUTED_VALUE"""),114)</f>
        <v>114</v>
      </c>
      <c r="E1856" s="2" t="str">
        <f ca="1">IFERROR(__xludf.DUMMYFUNCTION("""COMPUTED_VALUE"""),"Syrah")</f>
        <v>Syrah</v>
      </c>
      <c r="F1856" s="2">
        <f ca="1">IFERROR(__xludf.DUMMYFUNCTION("""COMPUTED_VALUE"""),21000)</f>
        <v>21000</v>
      </c>
      <c r="G1856" s="2">
        <f ca="1">IFERROR(__xludf.DUMMYFUNCTION("""COMPUTED_VALUE"""),10)</f>
        <v>10</v>
      </c>
      <c r="H1856" s="2"/>
      <c r="I1856" s="2"/>
      <c r="J1856" s="2">
        <f ca="1">IFERROR(__xludf.DUMMYFUNCTION("""COMPUTED_VALUE"""),0)</f>
        <v>0</v>
      </c>
      <c r="K1856" s="2">
        <f ca="1">IFERROR(__xludf.DUMMYFUNCTION("""COMPUTED_VALUE"""),21000)</f>
        <v>21000</v>
      </c>
      <c r="L1856" s="2" t="str">
        <f ca="1">IFERROR(__xludf.DUMMYFUNCTION("""COMPUTED_VALUE"""),"dda1c80b")</f>
        <v>dda1c80b</v>
      </c>
      <c r="M1856" s="2" t="str">
        <f ca="1">IFERROR(__xludf.DUMMYFUNCTION("""COMPUTED_VALUE"""),"Syrah Rect")</f>
        <v>Syrah Rect</v>
      </c>
      <c r="N1856" s="2"/>
      <c r="O1856" s="2" t="str">
        <f ca="1">IFERROR(__xludf.DUMMYFUNCTION("""COMPUTED_VALUE"""),"1er Trasiego")</f>
        <v>1er Trasiego</v>
      </c>
      <c r="P1856" s="2"/>
      <c r="Q1856" s="2" t="b">
        <f ca="1">IFERROR(__xludf.DUMMYFUNCTION("""COMPUTED_VALUE"""),FALSE)</f>
        <v>0</v>
      </c>
      <c r="R1856" s="2" t="str">
        <f ca="1">IFERROR(__xludf.DUMMYFUNCTION("""COMPUTED_VALUE"""),"Rectificado")</f>
        <v>Rectificado</v>
      </c>
      <c r="S1856" s="2"/>
      <c r="T1856" s="2"/>
      <c r="U1856" s="2" t="str">
        <f ca="1">IFERROR(__xludf.DUMMYFUNCTION("""COMPUTED_VALUE"""),"1+")</f>
        <v>1+</v>
      </c>
    </row>
    <row r="1857" spans="1:21" x14ac:dyDescent="0.25">
      <c r="A1857" s="2" t="str">
        <f ca="1">IFERROR(__xludf.DUMMYFUNCTION("""COMPUTED_VALUE"""),"f88f5a94")</f>
        <v>f88f5a94</v>
      </c>
      <c r="B1857" s="5">
        <f ca="1">IFERROR(__xludf.DUMMYFUNCTION("""COMPUTED_VALUE"""),46175.4892939814)</f>
        <v>46175.489293981402</v>
      </c>
      <c r="C1857" s="2" t="str">
        <f ca="1">IFERROR(__xludf.DUMMYFUNCTION("""COMPUTED_VALUE"""),"a232f267")</f>
        <v>a232f267</v>
      </c>
      <c r="D1857" s="2">
        <f ca="1">IFERROR(__xludf.DUMMYFUNCTION("""COMPUTED_VALUE"""),35)</f>
        <v>35</v>
      </c>
      <c r="E1857" s="2" t="str">
        <f ca="1">IFERROR(__xludf.DUMMYFUNCTION("""COMPUTED_VALUE"""),"Malbec Veg")</f>
        <v>Malbec Veg</v>
      </c>
      <c r="F1857" s="2">
        <f ca="1">IFERROR(__xludf.DUMMYFUNCTION("""COMPUTED_VALUE"""),39300)</f>
        <v>39300</v>
      </c>
      <c r="G1857" s="2">
        <f ca="1">IFERROR(__xludf.DUMMYFUNCTION("""COMPUTED_VALUE"""),34)</f>
        <v>34</v>
      </c>
      <c r="H1857" s="2"/>
      <c r="I1857" s="2"/>
      <c r="J1857" s="2">
        <f ca="1">IFERROR(__xludf.DUMMYFUNCTION("""COMPUTED_VALUE"""),0)</f>
        <v>0</v>
      </c>
      <c r="K1857" s="2">
        <f ca="1">IFERROR(__xludf.DUMMYFUNCTION("""COMPUTED_VALUE"""),39300)</f>
        <v>39300</v>
      </c>
      <c r="L1857" s="2" t="str">
        <f ca="1">IFERROR(__xludf.DUMMYFUNCTION("""COMPUTED_VALUE"""),"a624c62b")</f>
        <v>a624c62b</v>
      </c>
      <c r="M1857" s="2" t="str">
        <f ca="1">IFERROR(__xludf.DUMMYFUNCTION("""COMPUTED_VALUE"""),"Malbec Veg")</f>
        <v>Malbec Veg</v>
      </c>
      <c r="N1857" s="2"/>
      <c r="O1857" s="2" t="str">
        <f ca="1">IFERROR(__xludf.DUMMYFUNCTION("""COMPUTED_VALUE"""),"Descubada")</f>
        <v>Descubada</v>
      </c>
      <c r="P1857" s="2"/>
      <c r="Q1857" s="2" t="b">
        <f ca="1">IFERROR(__xludf.DUMMYFUNCTION("""COMPUTED_VALUE"""),FALSE)</f>
        <v>0</v>
      </c>
      <c r="R1857" s="2" t="str">
        <f ca="1">IFERROR(__xludf.DUMMYFUNCTION("""COMPUTED_VALUE"""),"Descubada")</f>
        <v>Descubada</v>
      </c>
      <c r="S1857" s="2"/>
      <c r="T1857" s="2"/>
      <c r="U1857" s="2"/>
    </row>
    <row r="1858" spans="1:21" x14ac:dyDescent="0.25">
      <c r="A1858" s="2" t="str">
        <f ca="1">IFERROR(__xludf.DUMMYFUNCTION("""COMPUTED_VALUE"""),"f41ca7f8")</f>
        <v>f41ca7f8</v>
      </c>
      <c r="B1858" s="5">
        <f ca="1">IFERROR(__xludf.DUMMYFUNCTION("""COMPUTED_VALUE"""),46175.4978819444)</f>
        <v>46175.4978819444</v>
      </c>
      <c r="C1858" s="2" t="str">
        <f ca="1">IFERROR(__xludf.DUMMYFUNCTION("""COMPUTED_VALUE"""),"94f40a8f")</f>
        <v>94f40a8f</v>
      </c>
      <c r="D1858" s="2">
        <f ca="1">IFERROR(__xludf.DUMMYFUNCTION("""COMPUTED_VALUE"""),24)</f>
        <v>24</v>
      </c>
      <c r="E1858" s="2" t="str">
        <f ca="1">IFERROR(__xludf.DUMMYFUNCTION("""COMPUTED_VALUE"""),"Criolla")</f>
        <v>Criolla</v>
      </c>
      <c r="F1858" s="2">
        <f ca="1">IFERROR(__xludf.DUMMYFUNCTION("""COMPUTED_VALUE"""),13300)</f>
        <v>13300</v>
      </c>
      <c r="G1858" s="2">
        <f ca="1">IFERROR(__xludf.DUMMYFUNCTION("""COMPUTED_VALUE"""),66)</f>
        <v>66</v>
      </c>
      <c r="H1858" s="2"/>
      <c r="I1858" s="2"/>
      <c r="J1858" s="2">
        <f ca="1">IFERROR(__xludf.DUMMYFUNCTION("""COMPUTED_VALUE"""),0)</f>
        <v>0</v>
      </c>
      <c r="K1858" s="2">
        <f ca="1">IFERROR(__xludf.DUMMYFUNCTION("""COMPUTED_VALUE"""),13300)</f>
        <v>13300</v>
      </c>
      <c r="L1858" s="2" t="str">
        <f ca="1">IFERROR(__xludf.DUMMYFUNCTION("""COMPUTED_VALUE"""),"c099c37c")</f>
        <v>c099c37c</v>
      </c>
      <c r="M1858" s="2" t="str">
        <f ca="1">IFERROR(__xludf.DUMMYFUNCTION("""COMPUTED_VALUE"""),"Criolla")</f>
        <v>Criolla</v>
      </c>
      <c r="N1858" s="2"/>
      <c r="O1858" s="2" t="str">
        <f ca="1">IFERROR(__xludf.DUMMYFUNCTION("""COMPUTED_VALUE"""),"1er Trasiego")</f>
        <v>1er Trasiego</v>
      </c>
      <c r="P1858" s="2"/>
      <c r="Q1858" s="2" t="b">
        <f ca="1">IFERROR(__xludf.DUMMYFUNCTION("""COMPUTED_VALUE"""),FALSE)</f>
        <v>0</v>
      </c>
      <c r="R1858" s="2" t="str">
        <f ca="1">IFERROR(__xludf.DUMMYFUNCTION("""COMPUTED_VALUE"""),"2do Trasiego")</f>
        <v>2do Trasiego</v>
      </c>
      <c r="S1858" s="2"/>
      <c r="T1858" s="2"/>
      <c r="U1858" s="2"/>
    </row>
    <row r="1859" spans="1:21" x14ac:dyDescent="0.25">
      <c r="A1859" s="2" t="str">
        <f ca="1">IFERROR(__xludf.DUMMYFUNCTION("""COMPUTED_VALUE"""),"6df65388")</f>
        <v>6df65388</v>
      </c>
      <c r="B1859" s="5">
        <f ca="1">IFERROR(__xludf.DUMMYFUNCTION("""COMPUTED_VALUE"""),46175.4991666666)</f>
        <v>46175.499166666603</v>
      </c>
      <c r="C1859" s="2" t="str">
        <f ca="1">IFERROR(__xludf.DUMMYFUNCTION("""COMPUTED_VALUE"""),"94f40a8f")</f>
        <v>94f40a8f</v>
      </c>
      <c r="D1859" s="2">
        <f ca="1">IFERROR(__xludf.DUMMYFUNCTION("""COMPUTED_VALUE"""),24)</f>
        <v>24</v>
      </c>
      <c r="E1859" s="2" t="str">
        <f ca="1">IFERROR(__xludf.DUMMYFUNCTION("""COMPUTED_VALUE"""),"Criolla")</f>
        <v>Criolla</v>
      </c>
      <c r="F1859" s="2">
        <f ca="1">IFERROR(__xludf.DUMMYFUNCTION("""COMPUTED_VALUE"""),13300)</f>
        <v>13300</v>
      </c>
      <c r="G1859" s="2">
        <f ca="1">IFERROR(__xludf.DUMMYFUNCTION("""COMPUTED_VALUE"""),67)</f>
        <v>67</v>
      </c>
      <c r="H1859" s="2"/>
      <c r="I1859" s="2"/>
      <c r="J1859" s="2">
        <f ca="1">IFERROR(__xludf.DUMMYFUNCTION("""COMPUTED_VALUE"""),0)</f>
        <v>0</v>
      </c>
      <c r="K1859" s="2">
        <f ca="1">IFERROR(__xludf.DUMMYFUNCTION("""COMPUTED_VALUE"""),13300)</f>
        <v>13300</v>
      </c>
      <c r="L1859" s="2" t="str">
        <f ca="1">IFERROR(__xludf.DUMMYFUNCTION("""COMPUTED_VALUE"""),"5710a97e")</f>
        <v>5710a97e</v>
      </c>
      <c r="M1859" s="2" t="str">
        <f ca="1">IFERROR(__xludf.DUMMYFUNCTION("""COMPUTED_VALUE"""),"Criolla")</f>
        <v>Criolla</v>
      </c>
      <c r="N1859" s="2"/>
      <c r="O1859" s="2" t="str">
        <f ca="1">IFERROR(__xludf.DUMMYFUNCTION("""COMPUTED_VALUE"""),"1er Trasiego")</f>
        <v>1er Trasiego</v>
      </c>
      <c r="P1859" s="2"/>
      <c r="Q1859" s="2" t="b">
        <f ca="1">IFERROR(__xludf.DUMMYFUNCTION("""COMPUTED_VALUE"""),FALSE)</f>
        <v>0</v>
      </c>
      <c r="R1859" s="2" t="str">
        <f ca="1">IFERROR(__xludf.DUMMYFUNCTION("""COMPUTED_VALUE"""),"1er Trasiego")</f>
        <v>1er Trasiego</v>
      </c>
      <c r="S1859" s="2"/>
      <c r="T1859" s="2"/>
      <c r="U1859" s="2"/>
    </row>
    <row r="1860" spans="1:21" x14ac:dyDescent="0.25">
      <c r="A1860" s="2" t="str">
        <f ca="1">IFERROR(__xludf.DUMMYFUNCTION("""COMPUTED_VALUE"""),"02921d61")</f>
        <v>02921d61</v>
      </c>
      <c r="B1860" s="5">
        <f ca="1">IFERROR(__xludf.DUMMYFUNCTION("""COMPUTED_VALUE"""),46175.4998263888)</f>
        <v>46175.499826388797</v>
      </c>
      <c r="C1860" s="2" t="str">
        <f ca="1">IFERROR(__xludf.DUMMYFUNCTION("""COMPUTED_VALUE"""),"3dbf6d25")</f>
        <v>3dbf6d25</v>
      </c>
      <c r="D1860" s="2">
        <f ca="1">IFERROR(__xludf.DUMMYFUNCTION("""COMPUTED_VALUE"""),86)</f>
        <v>86</v>
      </c>
      <c r="E1860" s="2" t="str">
        <f ca="1">IFERROR(__xludf.DUMMYFUNCTION("""COMPUTED_VALUE"""),"Syrah Anc PC s/Asp 2")</f>
        <v>Syrah Anc PC s/Asp 2</v>
      </c>
      <c r="F1860" s="2">
        <f ca="1">IFERROR(__xludf.DUMMYFUNCTION("""COMPUTED_VALUE"""),9700)</f>
        <v>9700</v>
      </c>
      <c r="G1860" s="2">
        <f ca="1">IFERROR(__xludf.DUMMYFUNCTION("""COMPUTED_VALUE"""),66)</f>
        <v>66</v>
      </c>
      <c r="H1860" s="2" t="str">
        <f ca="1">IFERROR(__xludf.DUMMYFUNCTION("""COMPUTED_VALUE"""),"c099c37c")</f>
        <v>c099c37c</v>
      </c>
      <c r="I1860" s="2" t="str">
        <f ca="1">IFERROR(__xludf.DUMMYFUNCTION("""COMPUTED_VALUE"""),"Criolla")</f>
        <v>Criolla</v>
      </c>
      <c r="J1860" s="2">
        <f ca="1">IFERROR(__xludf.DUMMYFUNCTION("""COMPUTED_VALUE"""),13300)</f>
        <v>13300</v>
      </c>
      <c r="K1860" s="2">
        <f ca="1">IFERROR(__xludf.DUMMYFUNCTION("""COMPUTED_VALUE"""),23000)</f>
        <v>23000</v>
      </c>
      <c r="L1860" s="2" t="str">
        <f ca="1">IFERROR(__xludf.DUMMYFUNCTION("""COMPUTED_VALUE"""),"7d31698a")</f>
        <v>7d31698a</v>
      </c>
      <c r="M1860" s="2" t="str">
        <f ca="1">IFERROR(__xludf.DUMMYFUNCTION("""COMPUTED_VALUE"""),"Syrah - Criolla")</f>
        <v>Syrah - Criolla</v>
      </c>
      <c r="N1860" s="2"/>
      <c r="O1860" s="2" t="str">
        <f ca="1">IFERROR(__xludf.DUMMYFUNCTION("""COMPUTED_VALUE"""),"1er Trasiego")</f>
        <v>1er Trasiego</v>
      </c>
      <c r="P1860" s="2" t="str">
        <f ca="1">IFERROR(__xludf.DUMMYFUNCTION("""COMPUTED_VALUE"""),"2do Trasiego")</f>
        <v>2do Trasiego</v>
      </c>
      <c r="Q1860" s="2" t="b">
        <f ca="1">IFERROR(__xludf.DUMMYFUNCTION("""COMPUTED_VALUE"""),TRUE)</f>
        <v>1</v>
      </c>
      <c r="R1860" s="2" t="str">
        <f ca="1">IFERROR(__xludf.DUMMYFUNCTION("""COMPUTED_VALUE"""),"2do Trasiego")</f>
        <v>2do Trasiego</v>
      </c>
      <c r="S1860" s="2"/>
      <c r="T1860" s="2"/>
      <c r="U1860" s="2"/>
    </row>
    <row r="1861" spans="1:21" x14ac:dyDescent="0.25">
      <c r="A1861" s="2" t="str">
        <f ca="1">IFERROR(__xludf.DUMMYFUNCTION("""COMPUTED_VALUE"""),"2b46c6a4")</f>
        <v>2b46c6a4</v>
      </c>
      <c r="B1861" s="5">
        <f ca="1">IFERROR(__xludf.DUMMYFUNCTION("""COMPUTED_VALUE"""),46175.5016550925)</f>
        <v>46175.501655092499</v>
      </c>
      <c r="C1861" s="2" t="str">
        <f ca="1">IFERROR(__xludf.DUMMYFUNCTION("""COMPUTED_VALUE"""),"3dbf6d25")</f>
        <v>3dbf6d25</v>
      </c>
      <c r="D1861" s="2">
        <f ca="1">IFERROR(__xludf.DUMMYFUNCTION("""COMPUTED_VALUE"""),86)</f>
        <v>86</v>
      </c>
      <c r="E1861" s="2" t="str">
        <f ca="1">IFERROR(__xludf.DUMMYFUNCTION("""COMPUTED_VALUE"""),"Syrah Anc PC s/Asp 2")</f>
        <v>Syrah Anc PC s/Asp 2</v>
      </c>
      <c r="F1861" s="2">
        <f ca="1">IFERROR(__xludf.DUMMYFUNCTION("""COMPUTED_VALUE"""),9700)</f>
        <v>9700</v>
      </c>
      <c r="G1861" s="2">
        <f ca="1">IFERROR(__xludf.DUMMYFUNCTION("""COMPUTED_VALUE"""),67)</f>
        <v>67</v>
      </c>
      <c r="H1861" s="2" t="str">
        <f ca="1">IFERROR(__xludf.DUMMYFUNCTION("""COMPUTED_VALUE"""),"5710a97e")</f>
        <v>5710a97e</v>
      </c>
      <c r="I1861" s="2" t="str">
        <f ca="1">IFERROR(__xludf.DUMMYFUNCTION("""COMPUTED_VALUE"""),"Syrah - Criolla")</f>
        <v>Syrah - Criolla</v>
      </c>
      <c r="J1861" s="2">
        <f ca="1">IFERROR(__xludf.DUMMYFUNCTION("""COMPUTED_VALUE"""),13300)</f>
        <v>13300</v>
      </c>
      <c r="K1861" s="2">
        <f ca="1">IFERROR(__xludf.DUMMYFUNCTION("""COMPUTED_VALUE"""),23000)</f>
        <v>23000</v>
      </c>
      <c r="L1861" s="2" t="str">
        <f ca="1">IFERROR(__xludf.DUMMYFUNCTION("""COMPUTED_VALUE"""),"c78a4531")</f>
        <v>c78a4531</v>
      </c>
      <c r="M1861" s="2" t="str">
        <f ca="1">IFERROR(__xludf.DUMMYFUNCTION("""COMPUTED_VALUE"""),"Syrah - Criolla")</f>
        <v>Syrah - Criolla</v>
      </c>
      <c r="N1861" s="2"/>
      <c r="O1861" s="2" t="str">
        <f ca="1">IFERROR(__xludf.DUMMYFUNCTION("""COMPUTED_VALUE"""),"1er Trasiego")</f>
        <v>1er Trasiego</v>
      </c>
      <c r="P1861" s="2" t="str">
        <f ca="1">IFERROR(__xludf.DUMMYFUNCTION("""COMPUTED_VALUE"""),"1er Trasiego")</f>
        <v>1er Trasiego</v>
      </c>
      <c r="Q1861" s="2" t="b">
        <f ca="1">IFERROR(__xludf.DUMMYFUNCTION("""COMPUTED_VALUE"""),TRUE)</f>
        <v>1</v>
      </c>
      <c r="R1861" s="2" t="str">
        <f ca="1">IFERROR(__xludf.DUMMYFUNCTION("""COMPUTED_VALUE"""),"1er Trasiego")</f>
        <v>1er Trasiego</v>
      </c>
      <c r="S1861" s="2"/>
      <c r="T1861" s="2"/>
      <c r="U1861" s="2"/>
    </row>
    <row r="1862" spans="1:21" x14ac:dyDescent="0.25">
      <c r="A1862" s="2" t="str">
        <f ca="1">IFERROR(__xludf.DUMMYFUNCTION("""COMPUTED_VALUE"""),"2f8474c2")</f>
        <v>2f8474c2</v>
      </c>
      <c r="B1862" s="5">
        <f ca="1">IFERROR(__xludf.DUMMYFUNCTION("""COMPUTED_VALUE"""),46177.5463194444)</f>
        <v>46177.546319444402</v>
      </c>
      <c r="C1862" s="2" t="str">
        <f ca="1">IFERROR(__xludf.DUMMYFUNCTION("""COMPUTED_VALUE"""),"7203bfce")</f>
        <v>7203bfce</v>
      </c>
      <c r="D1862" s="2">
        <f ca="1">IFERROR(__xludf.DUMMYFUNCTION("""COMPUTED_VALUE"""),500)</f>
        <v>500</v>
      </c>
      <c r="E1862" s="2" t="str">
        <f ca="1">IFERROR(__xludf.DUMMYFUNCTION("""COMPUTED_VALUE"""),"Ajuste Cosecha 2026")</f>
        <v>Ajuste Cosecha 2026</v>
      </c>
      <c r="F1862" s="2">
        <f ca="1">IFERROR(__xludf.DUMMYFUNCTION("""COMPUTED_VALUE"""),3000)</f>
        <v>3000</v>
      </c>
      <c r="G1862" s="2">
        <f ca="1">IFERROR(__xludf.DUMMYFUNCTION("""COMPUTED_VALUE"""),74)</f>
        <v>74</v>
      </c>
      <c r="H1862" s="2"/>
      <c r="I1862" s="2"/>
      <c r="J1862" s="2">
        <f ca="1">IFERROR(__xludf.DUMMYFUNCTION("""COMPUTED_VALUE"""),0)</f>
        <v>0</v>
      </c>
      <c r="K1862" s="2">
        <f ca="1">IFERROR(__xludf.DUMMYFUNCTION("""COMPUTED_VALUE"""),3000)</f>
        <v>3000</v>
      </c>
      <c r="L1862" s="2" t="str">
        <f ca="1">IFERROR(__xludf.DUMMYFUNCTION("""COMPUTED_VALUE"""),"f23576e6")</f>
        <v>f23576e6</v>
      </c>
      <c r="M1862" s="2" t="str">
        <f ca="1">IFERROR(__xludf.DUMMYFUNCTION("""COMPUTED_VALUE"""),"Borra")</f>
        <v>Borra</v>
      </c>
      <c r="N1862" s="2"/>
      <c r="O1862" s="2" t="str">
        <f ca="1">IFERROR(__xludf.DUMMYFUNCTION("""COMPUTED_VALUE"""),"Terminado")</f>
        <v>Terminado</v>
      </c>
      <c r="P1862" s="2"/>
      <c r="Q1862" s="2" t="b">
        <f ca="1">IFERROR(__xludf.DUMMYFUNCTION("""COMPUTED_VALUE"""),FALSE)</f>
        <v>0</v>
      </c>
      <c r="R1862" s="2" t="str">
        <f ca="1">IFERROR(__xludf.DUMMYFUNCTION("""COMPUTED_VALUE"""),"Terminado")</f>
        <v>Terminado</v>
      </c>
      <c r="S1862" s="2"/>
      <c r="T1862" s="2"/>
      <c r="U1862" s="2"/>
    </row>
    <row r="1863" spans="1:21" x14ac:dyDescent="0.25">
      <c r="A1863" s="2" t="str">
        <f ca="1">IFERROR(__xludf.DUMMYFUNCTION("""COMPUTED_VALUE"""),"e7036efb")</f>
        <v>e7036efb</v>
      </c>
      <c r="B1863" s="5">
        <f ca="1">IFERROR(__xludf.DUMMYFUNCTION("""COMPUTED_VALUE"""),46177.7229629629)</f>
        <v>46177.7229629629</v>
      </c>
      <c r="C1863" s="2" t="str">
        <f ca="1">IFERROR(__xludf.DUMMYFUNCTION("""COMPUTED_VALUE"""),"0f375d43")</f>
        <v>0f375d43</v>
      </c>
      <c r="D1863" s="2">
        <f ca="1">IFERROR(__xludf.DUMMYFUNCTION("""COMPUTED_VALUE"""),46)</f>
        <v>46</v>
      </c>
      <c r="E1863" s="2" t="str">
        <f ca="1">IFERROR(__xludf.DUMMYFUNCTION("""COMPUTED_VALUE"""),"Aspirant")</f>
        <v>Aspirant</v>
      </c>
      <c r="F1863" s="2">
        <f ca="1">IFERROR(__xludf.DUMMYFUNCTION("""COMPUTED_VALUE"""),26100)</f>
        <v>26100</v>
      </c>
      <c r="G1863" s="2">
        <f ca="1">IFERROR(__xludf.DUMMYFUNCTION("""COMPUTED_VALUE"""),80)</f>
        <v>80</v>
      </c>
      <c r="H1863" s="2"/>
      <c r="I1863" s="2"/>
      <c r="J1863" s="2">
        <f ca="1">IFERROR(__xludf.DUMMYFUNCTION("""COMPUTED_VALUE"""),0)</f>
        <v>0</v>
      </c>
      <c r="K1863" s="2">
        <f ca="1">IFERROR(__xludf.DUMMYFUNCTION("""COMPUTED_VALUE"""),26100)</f>
        <v>26100</v>
      </c>
      <c r="L1863" s="2" t="str">
        <f ca="1">IFERROR(__xludf.DUMMYFUNCTION("""COMPUTED_VALUE"""),"eef7208a")</f>
        <v>eef7208a</v>
      </c>
      <c r="M1863" s="2" t="str">
        <f ca="1">IFERROR(__xludf.DUMMYFUNCTION("""COMPUTED_VALUE"""),"Aspirant")</f>
        <v>Aspirant</v>
      </c>
      <c r="N1863" s="2"/>
      <c r="O1863" s="2" t="str">
        <f ca="1">IFERROR(__xludf.DUMMYFUNCTION("""COMPUTED_VALUE"""),"Descubada")</f>
        <v>Descubada</v>
      </c>
      <c r="P1863" s="2"/>
      <c r="Q1863" s="2" t="b">
        <f ca="1">IFERROR(__xludf.DUMMYFUNCTION("""COMPUTED_VALUE"""),FALSE)</f>
        <v>0</v>
      </c>
      <c r="R1863" s="2" t="str">
        <f ca="1">IFERROR(__xludf.DUMMYFUNCTION("""COMPUTED_VALUE"""),"1er Trasiego")</f>
        <v>1er Trasiego</v>
      </c>
      <c r="S1863" s="2"/>
      <c r="T1863" s="2"/>
      <c r="U1863" s="2"/>
    </row>
    <row r="1864" spans="1:21" x14ac:dyDescent="0.25">
      <c r="A1864" s="2" t="str">
        <f ca="1">IFERROR(__xludf.DUMMYFUNCTION("""COMPUTED_VALUE"""),"7fcd71e3")</f>
        <v>7fcd71e3</v>
      </c>
      <c r="B1864" s="5">
        <f ca="1">IFERROR(__xludf.DUMMYFUNCTION("""COMPUTED_VALUE"""),46177.7235185184)</f>
        <v>46177.723518518498</v>
      </c>
      <c r="C1864" s="2" t="str">
        <f ca="1">IFERROR(__xludf.DUMMYFUNCTION("""COMPUTED_VALUE"""),"3f401895")</f>
        <v>3f401895</v>
      </c>
      <c r="D1864" s="2">
        <f ca="1">IFERROR(__xludf.DUMMYFUNCTION("""COMPUTED_VALUE"""),45)</f>
        <v>45</v>
      </c>
      <c r="E1864" s="2" t="str">
        <f ca="1">IFERROR(__xludf.DUMMYFUNCTION("""COMPUTED_VALUE"""),"Bonarda PC")</f>
        <v>Bonarda PC</v>
      </c>
      <c r="F1864" s="2">
        <f ca="1">IFERROR(__xludf.DUMMYFUNCTION("""COMPUTED_VALUE"""),30000)</f>
        <v>30000</v>
      </c>
      <c r="G1864" s="2">
        <f ca="1">IFERROR(__xludf.DUMMYFUNCTION("""COMPUTED_VALUE"""),126)</f>
        <v>126</v>
      </c>
      <c r="H1864" s="2"/>
      <c r="I1864" s="2"/>
      <c r="J1864" s="2">
        <f ca="1">IFERROR(__xludf.DUMMYFUNCTION("""COMPUTED_VALUE"""),0)</f>
        <v>0</v>
      </c>
      <c r="K1864" s="2">
        <f ca="1">IFERROR(__xludf.DUMMYFUNCTION("""COMPUTED_VALUE"""),30000)</f>
        <v>30000</v>
      </c>
      <c r="L1864" s="2" t="str">
        <f ca="1">IFERROR(__xludf.DUMMYFUNCTION("""COMPUTED_VALUE"""),"4c993a7a")</f>
        <v>4c993a7a</v>
      </c>
      <c r="M1864" s="2" t="str">
        <f ca="1">IFERROR(__xludf.DUMMYFUNCTION("""COMPUTED_VALUE"""),"Bonarda PC")</f>
        <v>Bonarda PC</v>
      </c>
      <c r="N1864" s="2"/>
      <c r="O1864" s="2" t="str">
        <f ca="1">IFERROR(__xludf.DUMMYFUNCTION("""COMPUTED_VALUE"""),"Descubada")</f>
        <v>Descubada</v>
      </c>
      <c r="P1864" s="2"/>
      <c r="Q1864" s="2" t="b">
        <f ca="1">IFERROR(__xludf.DUMMYFUNCTION("""COMPUTED_VALUE"""),FALSE)</f>
        <v>0</v>
      </c>
      <c r="R1864" s="2" t="str">
        <f ca="1">IFERROR(__xludf.DUMMYFUNCTION("""COMPUTED_VALUE"""),"1er Trasiego")</f>
        <v>1er Trasiego</v>
      </c>
      <c r="S1864" s="2"/>
      <c r="T1864" s="2"/>
      <c r="U1864" s="2" t="str">
        <f ca="1">IFERROR(__xludf.DUMMYFUNCTION("""COMPUTED_VALUE"""),"1+")</f>
        <v>1+</v>
      </c>
    </row>
    <row r="1865" spans="1:21" x14ac:dyDescent="0.25">
      <c r="A1865" s="2" t="str">
        <f ca="1">IFERROR(__xludf.DUMMYFUNCTION("""COMPUTED_VALUE"""),"f9e5f78d")</f>
        <v>f9e5f78d</v>
      </c>
      <c r="B1865" s="5">
        <f ca="1">IFERROR(__xludf.DUMMYFUNCTION("""COMPUTED_VALUE"""),46177.7238541666)</f>
        <v>46177.723854166601</v>
      </c>
      <c r="C1865" s="2" t="str">
        <f ca="1">IFERROR(__xludf.DUMMYFUNCTION("""COMPUTED_VALUE"""),"0f375d43")</f>
        <v>0f375d43</v>
      </c>
      <c r="D1865" s="2">
        <f ca="1">IFERROR(__xludf.DUMMYFUNCTION("""COMPUTED_VALUE"""),46)</f>
        <v>46</v>
      </c>
      <c r="E1865" s="2" t="str">
        <f ca="1">IFERROR(__xludf.DUMMYFUNCTION("""COMPUTED_VALUE"""),"Aspirant")</f>
        <v>Aspirant</v>
      </c>
      <c r="F1865" s="2">
        <f ca="1">IFERROR(__xludf.DUMMYFUNCTION("""COMPUTED_VALUE"""),1000)</f>
        <v>1000</v>
      </c>
      <c r="G1865" s="2">
        <f ca="1">IFERROR(__xludf.DUMMYFUNCTION("""COMPUTED_VALUE"""),126)</f>
        <v>126</v>
      </c>
      <c r="H1865" s="2" t="str">
        <f ca="1">IFERROR(__xludf.DUMMYFUNCTION("""COMPUTED_VALUE"""),"4c993a7a")</f>
        <v>4c993a7a</v>
      </c>
      <c r="I1865" s="2" t="str">
        <f ca="1">IFERROR(__xludf.DUMMYFUNCTION("""COMPUTED_VALUE"""),"Bonarda PC")</f>
        <v>Bonarda PC</v>
      </c>
      <c r="J1865" s="2">
        <f ca="1">IFERROR(__xludf.DUMMYFUNCTION("""COMPUTED_VALUE"""),30000)</f>
        <v>30000</v>
      </c>
      <c r="K1865" s="2">
        <f ca="1">IFERROR(__xludf.DUMMYFUNCTION("""COMPUTED_VALUE"""),31000)</f>
        <v>31000</v>
      </c>
      <c r="L1865" s="2" t="str">
        <f ca="1">IFERROR(__xludf.DUMMYFUNCTION("""COMPUTED_VALUE"""),"9125b2c8")</f>
        <v>9125b2c8</v>
      </c>
      <c r="M1865" s="2" t="str">
        <f ca="1">IFERROR(__xludf.DUMMYFUNCTION("""COMPUTED_VALUE"""),"Aspirant")</f>
        <v>Aspirant</v>
      </c>
      <c r="N1865" s="2"/>
      <c r="O1865" s="2" t="str">
        <f ca="1">IFERROR(__xludf.DUMMYFUNCTION("""COMPUTED_VALUE"""),"Descubada")</f>
        <v>Descubada</v>
      </c>
      <c r="P1865" s="2" t="str">
        <f ca="1">IFERROR(__xludf.DUMMYFUNCTION("""COMPUTED_VALUE"""),"1er Trasiego")</f>
        <v>1er Trasiego</v>
      </c>
      <c r="Q1865" s="2" t="b">
        <f ca="1">IFERROR(__xludf.DUMMYFUNCTION("""COMPUTED_VALUE"""),FALSE)</f>
        <v>0</v>
      </c>
      <c r="R1865" s="2" t="str">
        <f ca="1">IFERROR(__xludf.DUMMYFUNCTION("""COMPUTED_VALUE"""),"Descubada")</f>
        <v>Descubada</v>
      </c>
      <c r="S1865" s="2"/>
      <c r="T1865" s="2"/>
      <c r="U1865" s="2"/>
    </row>
    <row r="1866" spans="1:21" x14ac:dyDescent="0.25">
      <c r="A1866" s="2" t="str">
        <f ca="1">IFERROR(__xludf.DUMMYFUNCTION("""COMPUTED_VALUE"""),"97fb63f6")</f>
        <v>97fb63f6</v>
      </c>
      <c r="B1866" s="5">
        <f ca="1">IFERROR(__xludf.DUMMYFUNCTION("""COMPUTED_VALUE"""),46177.7242129629)</f>
        <v>46177.724212962901</v>
      </c>
      <c r="C1866" s="2" t="str">
        <f ca="1">IFERROR(__xludf.DUMMYFUNCTION("""COMPUTED_VALUE"""),"0f375d43")</f>
        <v>0f375d43</v>
      </c>
      <c r="D1866" s="2">
        <f ca="1">IFERROR(__xludf.DUMMYFUNCTION("""COMPUTED_VALUE"""),46)</f>
        <v>46</v>
      </c>
      <c r="E1866" s="2" t="str">
        <f ca="1">IFERROR(__xludf.DUMMYFUNCTION("""COMPUTED_VALUE"""),"Aspirant")</f>
        <v>Aspirant</v>
      </c>
      <c r="F1866" s="2">
        <f ca="1">IFERROR(__xludf.DUMMYFUNCTION("""COMPUTED_VALUE"""),500)</f>
        <v>500</v>
      </c>
      <c r="G1866" s="2">
        <f ca="1">IFERROR(__xludf.DUMMYFUNCTION("""COMPUTED_VALUE"""),74)</f>
        <v>74</v>
      </c>
      <c r="H1866" s="2" t="str">
        <f ca="1">IFERROR(__xludf.DUMMYFUNCTION("""COMPUTED_VALUE"""),"f23576e6")</f>
        <v>f23576e6</v>
      </c>
      <c r="I1866" s="2" t="str">
        <f ca="1">IFERROR(__xludf.DUMMYFUNCTION("""COMPUTED_VALUE"""),"Borra")</f>
        <v>Borra</v>
      </c>
      <c r="J1866" s="2">
        <f ca="1">IFERROR(__xludf.DUMMYFUNCTION("""COMPUTED_VALUE"""),3000)</f>
        <v>3000</v>
      </c>
      <c r="K1866" s="2">
        <f ca="1">IFERROR(__xludf.DUMMYFUNCTION("""COMPUTED_VALUE"""),3500)</f>
        <v>3500</v>
      </c>
      <c r="L1866" s="2" t="str">
        <f ca="1">IFERROR(__xludf.DUMMYFUNCTION("""COMPUTED_VALUE"""),"b08f666b")</f>
        <v>b08f666b</v>
      </c>
      <c r="M1866" s="2" t="str">
        <f ca="1">IFERROR(__xludf.DUMMYFUNCTION("""COMPUTED_VALUE"""),"Borra")</f>
        <v>Borra</v>
      </c>
      <c r="N1866" s="2"/>
      <c r="O1866" s="2" t="str">
        <f ca="1">IFERROR(__xludf.DUMMYFUNCTION("""COMPUTED_VALUE"""),"Descubada")</f>
        <v>Descubada</v>
      </c>
      <c r="P1866" s="2" t="str">
        <f ca="1">IFERROR(__xludf.DUMMYFUNCTION("""COMPUTED_VALUE"""),"Terminado")</f>
        <v>Terminado</v>
      </c>
      <c r="Q1866" s="2" t="b">
        <f ca="1">IFERROR(__xludf.DUMMYFUNCTION("""COMPUTED_VALUE"""),TRUE)</f>
        <v>1</v>
      </c>
      <c r="R1866" s="2" t="str">
        <f ca="1">IFERROR(__xludf.DUMMYFUNCTION("""COMPUTED_VALUE"""),"Terminado")</f>
        <v>Terminado</v>
      </c>
      <c r="S1866" s="2"/>
      <c r="T1866" s="2"/>
      <c r="U1866" s="2"/>
    </row>
    <row r="1867" spans="1:21" x14ac:dyDescent="0.25">
      <c r="A1867" s="2" t="str">
        <f ca="1">IFERROR(__xludf.DUMMYFUNCTION("""COMPUTED_VALUE"""),"cfde8f2b")</f>
        <v>cfde8f2b</v>
      </c>
      <c r="B1867" s="5">
        <f ca="1">IFERROR(__xludf.DUMMYFUNCTION("""COMPUTED_VALUE"""),46177.7283564814)</f>
        <v>46177.728356481399</v>
      </c>
      <c r="C1867" s="2" t="str">
        <f ca="1">IFERROR(__xludf.DUMMYFUNCTION("""COMPUTED_VALUE"""),"37dfb150")</f>
        <v>37dfb150</v>
      </c>
      <c r="D1867" s="2">
        <f ca="1">IFERROR(__xludf.DUMMYFUNCTION("""COMPUTED_VALUE"""),118)</f>
        <v>118</v>
      </c>
      <c r="E1867" s="2" t="str">
        <f ca="1">IFERROR(__xludf.DUMMYFUNCTION("""COMPUTED_VALUE"""),"Syrah")</f>
        <v>Syrah</v>
      </c>
      <c r="F1867" s="2">
        <f ca="1">IFERROR(__xludf.DUMMYFUNCTION("""COMPUTED_VALUE"""),35500)</f>
        <v>35500</v>
      </c>
      <c r="G1867" s="2">
        <f ca="1">IFERROR(__xludf.DUMMYFUNCTION("""COMPUTED_VALUE"""),65)</f>
        <v>65</v>
      </c>
      <c r="H1867" s="2"/>
      <c r="I1867" s="2"/>
      <c r="J1867" s="2">
        <f ca="1">IFERROR(__xludf.DUMMYFUNCTION("""COMPUTED_VALUE"""),0)</f>
        <v>0</v>
      </c>
      <c r="K1867" s="2">
        <f ca="1">IFERROR(__xludf.DUMMYFUNCTION("""COMPUTED_VALUE"""),35500)</f>
        <v>35500</v>
      </c>
      <c r="L1867" s="2" t="str">
        <f ca="1">IFERROR(__xludf.DUMMYFUNCTION("""COMPUTED_VALUE"""),"be5bdb25")</f>
        <v>be5bdb25</v>
      </c>
      <c r="M1867" s="2" t="str">
        <f ca="1">IFERROR(__xludf.DUMMYFUNCTION("""COMPUTED_VALUE"""),"Syrah")</f>
        <v>Syrah</v>
      </c>
      <c r="N1867" s="2"/>
      <c r="O1867" s="2" t="str">
        <f ca="1">IFERROR(__xludf.DUMMYFUNCTION("""COMPUTED_VALUE"""),"1er Trasiego")</f>
        <v>1er Trasiego</v>
      </c>
      <c r="P1867" s="2"/>
      <c r="Q1867" s="2" t="b">
        <f ca="1">IFERROR(__xludf.DUMMYFUNCTION("""COMPUTED_VALUE"""),FALSE)</f>
        <v>0</v>
      </c>
      <c r="R1867" s="2" t="str">
        <f ca="1">IFERROR(__xludf.DUMMYFUNCTION("""COMPUTED_VALUE"""),"2do Trasiego")</f>
        <v>2do Trasiego</v>
      </c>
      <c r="S1867" s="2"/>
      <c r="T1867" s="2"/>
      <c r="U1867" s="2" t="str">
        <f ca="1">IFERROR(__xludf.DUMMYFUNCTION("""COMPUTED_VALUE"""),"1")</f>
        <v>1</v>
      </c>
    </row>
    <row r="1868" spans="1:21" x14ac:dyDescent="0.25">
      <c r="A1868" s="2" t="str">
        <f ca="1">IFERROR(__xludf.DUMMYFUNCTION("""COMPUTED_VALUE"""),"a5849838")</f>
        <v>a5849838</v>
      </c>
      <c r="B1868" s="5">
        <f ca="1">IFERROR(__xludf.DUMMYFUNCTION("""COMPUTED_VALUE"""),46177.7286458333)</f>
        <v>46177.728645833296</v>
      </c>
      <c r="C1868" s="2" t="str">
        <f ca="1">IFERROR(__xludf.DUMMYFUNCTION("""COMPUTED_VALUE"""),"37dfb150")</f>
        <v>37dfb150</v>
      </c>
      <c r="D1868" s="2">
        <f ca="1">IFERROR(__xludf.DUMMYFUNCTION("""COMPUTED_VALUE"""),118)</f>
        <v>118</v>
      </c>
      <c r="E1868" s="2" t="str">
        <f ca="1">IFERROR(__xludf.DUMMYFUNCTION("""COMPUTED_VALUE"""),"Syrah")</f>
        <v>Syrah</v>
      </c>
      <c r="F1868" s="2">
        <f ca="1">IFERROR(__xludf.DUMMYFUNCTION("""COMPUTED_VALUE"""),26500)</f>
        <v>26500</v>
      </c>
      <c r="G1868" s="2">
        <f ca="1">IFERROR(__xludf.DUMMYFUNCTION("""COMPUTED_VALUE"""),81)</f>
        <v>81</v>
      </c>
      <c r="H1868" s="2"/>
      <c r="I1868" s="2"/>
      <c r="J1868" s="2">
        <f ca="1">IFERROR(__xludf.DUMMYFUNCTION("""COMPUTED_VALUE"""),0)</f>
        <v>0</v>
      </c>
      <c r="K1868" s="2">
        <f ca="1">IFERROR(__xludf.DUMMYFUNCTION("""COMPUTED_VALUE"""),26500)</f>
        <v>26500</v>
      </c>
      <c r="L1868" s="2" t="str">
        <f ca="1">IFERROR(__xludf.DUMMYFUNCTION("""COMPUTED_VALUE"""),"c195697b")</f>
        <v>c195697b</v>
      </c>
      <c r="M1868" s="2" t="str">
        <f ca="1">IFERROR(__xludf.DUMMYFUNCTION("""COMPUTED_VALUE"""),"Syrah")</f>
        <v>Syrah</v>
      </c>
      <c r="N1868" s="2"/>
      <c r="O1868" s="2" t="str">
        <f ca="1">IFERROR(__xludf.DUMMYFUNCTION("""COMPUTED_VALUE"""),"1er Trasiego")</f>
        <v>1er Trasiego</v>
      </c>
      <c r="P1868" s="2"/>
      <c r="Q1868" s="2" t="b">
        <f ca="1">IFERROR(__xludf.DUMMYFUNCTION("""COMPUTED_VALUE"""),FALSE)</f>
        <v>0</v>
      </c>
      <c r="R1868" s="2" t="str">
        <f ca="1">IFERROR(__xludf.DUMMYFUNCTION("""COMPUTED_VALUE"""),"2do Trasiego")</f>
        <v>2do Trasiego</v>
      </c>
      <c r="S1868" s="2"/>
      <c r="T1868" s="2"/>
      <c r="U1868" s="2" t="str">
        <f ca="1">IFERROR(__xludf.DUMMYFUNCTION("""COMPUTED_VALUE"""),"1")</f>
        <v>1</v>
      </c>
    </row>
    <row r="1869" spans="1:21" x14ac:dyDescent="0.25">
      <c r="A1869" s="2" t="str">
        <f ca="1">IFERROR(__xludf.DUMMYFUNCTION("""COMPUTED_VALUE"""),"9712a660")</f>
        <v>9712a660</v>
      </c>
      <c r="B1869" s="5">
        <f ca="1">IFERROR(__xludf.DUMMYFUNCTION("""COMPUTED_VALUE"""),46177.7294444444)</f>
        <v>46177.729444444398</v>
      </c>
      <c r="C1869" s="2" t="str">
        <f ca="1">IFERROR(__xludf.DUMMYFUNCTION("""COMPUTED_VALUE"""),"37dfb150")</f>
        <v>37dfb150</v>
      </c>
      <c r="D1869" s="2">
        <f ca="1">IFERROR(__xludf.DUMMYFUNCTION("""COMPUTED_VALUE"""),118)</f>
        <v>118</v>
      </c>
      <c r="E1869" s="2" t="str">
        <f ca="1">IFERROR(__xludf.DUMMYFUNCTION("""COMPUTED_VALUE"""),"Syrah")</f>
        <v>Syrah</v>
      </c>
      <c r="F1869" s="2">
        <f ca="1">IFERROR(__xludf.DUMMYFUNCTION("""COMPUTED_VALUE"""),26000)</f>
        <v>26000</v>
      </c>
      <c r="G1869" s="2">
        <f ca="1">IFERROR(__xludf.DUMMYFUNCTION("""COMPUTED_VALUE"""),79)</f>
        <v>79</v>
      </c>
      <c r="H1869" s="2"/>
      <c r="I1869" s="2"/>
      <c r="J1869" s="2">
        <f ca="1">IFERROR(__xludf.DUMMYFUNCTION("""COMPUTED_VALUE"""),0)</f>
        <v>0</v>
      </c>
      <c r="K1869" s="2">
        <f ca="1">IFERROR(__xludf.DUMMYFUNCTION("""COMPUTED_VALUE"""),26000)</f>
        <v>26000</v>
      </c>
      <c r="L1869" s="2" t="str">
        <f ca="1">IFERROR(__xludf.DUMMYFUNCTION("""COMPUTED_VALUE"""),"79e2220e")</f>
        <v>79e2220e</v>
      </c>
      <c r="M1869" s="2" t="str">
        <f ca="1">IFERROR(__xludf.DUMMYFUNCTION("""COMPUTED_VALUE"""),"Syrah")</f>
        <v>Syrah</v>
      </c>
      <c r="N1869" s="2"/>
      <c r="O1869" s="2" t="str">
        <f ca="1">IFERROR(__xludf.DUMMYFUNCTION("""COMPUTED_VALUE"""),"1er Trasiego")</f>
        <v>1er Trasiego</v>
      </c>
      <c r="P1869" s="2"/>
      <c r="Q1869" s="2" t="b">
        <f ca="1">IFERROR(__xludf.DUMMYFUNCTION("""COMPUTED_VALUE"""),FALSE)</f>
        <v>0</v>
      </c>
      <c r="R1869" s="2" t="str">
        <f ca="1">IFERROR(__xludf.DUMMYFUNCTION("""COMPUTED_VALUE"""),"2do Trasiego")</f>
        <v>2do Trasiego</v>
      </c>
      <c r="S1869" s="2"/>
      <c r="T1869" s="2"/>
      <c r="U1869" s="2" t="str">
        <f ca="1">IFERROR(__xludf.DUMMYFUNCTION("""COMPUTED_VALUE"""),"1")</f>
        <v>1</v>
      </c>
    </row>
    <row r="1870" spans="1:21" x14ac:dyDescent="0.25">
      <c r="A1870" s="2" t="str">
        <f ca="1">IFERROR(__xludf.DUMMYFUNCTION("""COMPUTED_VALUE"""),"322c9e5d")</f>
        <v>322c9e5d</v>
      </c>
      <c r="B1870" s="5">
        <f ca="1">IFERROR(__xludf.DUMMYFUNCTION("""COMPUTED_VALUE"""),46177.7296527777)</f>
        <v>46177.7296527777</v>
      </c>
      <c r="C1870" s="2" t="str">
        <f ca="1">IFERROR(__xludf.DUMMYFUNCTION("""COMPUTED_VALUE"""),"37dfb150")</f>
        <v>37dfb150</v>
      </c>
      <c r="D1870" s="2">
        <f ca="1">IFERROR(__xludf.DUMMYFUNCTION("""COMPUTED_VALUE"""),118)</f>
        <v>118</v>
      </c>
      <c r="E1870" s="2" t="str">
        <f ca="1">IFERROR(__xludf.DUMMYFUNCTION("""COMPUTED_VALUE"""),"Syrah")</f>
        <v>Syrah</v>
      </c>
      <c r="F1870" s="2">
        <f ca="1">IFERROR(__xludf.DUMMYFUNCTION("""COMPUTED_VALUE"""),25500)</f>
        <v>25500</v>
      </c>
      <c r="G1870" s="2">
        <f ca="1">IFERROR(__xludf.DUMMYFUNCTION("""COMPUTED_VALUE"""),76)</f>
        <v>76</v>
      </c>
      <c r="H1870" s="2"/>
      <c r="I1870" s="2"/>
      <c r="J1870" s="2">
        <f ca="1">IFERROR(__xludf.DUMMYFUNCTION("""COMPUTED_VALUE"""),0)</f>
        <v>0</v>
      </c>
      <c r="K1870" s="2">
        <f ca="1">IFERROR(__xludf.DUMMYFUNCTION("""COMPUTED_VALUE"""),25500)</f>
        <v>25500</v>
      </c>
      <c r="L1870" s="2" t="str">
        <f ca="1">IFERROR(__xludf.DUMMYFUNCTION("""COMPUTED_VALUE"""),"70e78bdf")</f>
        <v>70e78bdf</v>
      </c>
      <c r="M1870" s="2" t="str">
        <f ca="1">IFERROR(__xludf.DUMMYFUNCTION("""COMPUTED_VALUE"""),"Syrah")</f>
        <v>Syrah</v>
      </c>
      <c r="N1870" s="2"/>
      <c r="O1870" s="2" t="str">
        <f ca="1">IFERROR(__xludf.DUMMYFUNCTION("""COMPUTED_VALUE"""),"1er Trasiego")</f>
        <v>1er Trasiego</v>
      </c>
      <c r="P1870" s="2"/>
      <c r="Q1870" s="2" t="b">
        <f ca="1">IFERROR(__xludf.DUMMYFUNCTION("""COMPUTED_VALUE"""),FALSE)</f>
        <v>0</v>
      </c>
      <c r="R1870" s="2" t="str">
        <f ca="1">IFERROR(__xludf.DUMMYFUNCTION("""COMPUTED_VALUE"""),"2do Trasiego")</f>
        <v>2do Trasiego</v>
      </c>
      <c r="S1870" s="2"/>
      <c r="T1870" s="2"/>
      <c r="U1870" s="2" t="str">
        <f ca="1">IFERROR(__xludf.DUMMYFUNCTION("""COMPUTED_VALUE"""),"1")</f>
        <v>1</v>
      </c>
    </row>
    <row r="1871" spans="1:21" x14ac:dyDescent="0.25">
      <c r="A1871" s="2" t="str">
        <f ca="1">IFERROR(__xludf.DUMMYFUNCTION("""COMPUTED_VALUE"""),"a5127763")</f>
        <v>a5127763</v>
      </c>
      <c r="B1871" s="5">
        <f ca="1">IFERROR(__xludf.DUMMYFUNCTION("""COMPUTED_VALUE"""),46177.7303125)</f>
        <v>46177.730312500003</v>
      </c>
      <c r="C1871" s="2" t="str">
        <f ca="1">IFERROR(__xludf.DUMMYFUNCTION("""COMPUTED_VALUE"""),"37dfb150")</f>
        <v>37dfb150</v>
      </c>
      <c r="D1871" s="2">
        <f ca="1">IFERROR(__xludf.DUMMYFUNCTION("""COMPUTED_VALUE"""),118)</f>
        <v>118</v>
      </c>
      <c r="E1871" s="2" t="str">
        <f ca="1">IFERROR(__xludf.DUMMYFUNCTION("""COMPUTED_VALUE"""),"Syrah")</f>
        <v>Syrah</v>
      </c>
      <c r="F1871" s="2">
        <f ca="1">IFERROR(__xludf.DUMMYFUNCTION("""COMPUTED_VALUE"""),13000)</f>
        <v>13000</v>
      </c>
      <c r="G1871" s="2">
        <f ca="1">IFERROR(__xludf.DUMMYFUNCTION("""COMPUTED_VALUE"""),73)</f>
        <v>73</v>
      </c>
      <c r="H1871" s="2"/>
      <c r="I1871" s="2"/>
      <c r="J1871" s="2">
        <f ca="1">IFERROR(__xludf.DUMMYFUNCTION("""COMPUTED_VALUE"""),0)</f>
        <v>0</v>
      </c>
      <c r="K1871" s="2">
        <f ca="1">IFERROR(__xludf.DUMMYFUNCTION("""COMPUTED_VALUE"""),13000)</f>
        <v>13000</v>
      </c>
      <c r="L1871" s="2" t="str">
        <f ca="1">IFERROR(__xludf.DUMMYFUNCTION("""COMPUTED_VALUE"""),"d70658e5")</f>
        <v>d70658e5</v>
      </c>
      <c r="M1871" s="2" t="str">
        <f ca="1">IFERROR(__xludf.DUMMYFUNCTION("""COMPUTED_VALUE"""),"Syrah")</f>
        <v>Syrah</v>
      </c>
      <c r="N1871" s="2"/>
      <c r="O1871" s="2" t="str">
        <f ca="1">IFERROR(__xludf.DUMMYFUNCTION("""COMPUTED_VALUE"""),"1er Trasiego")</f>
        <v>1er Trasiego</v>
      </c>
      <c r="P1871" s="2"/>
      <c r="Q1871" s="2" t="b">
        <f ca="1">IFERROR(__xludf.DUMMYFUNCTION("""COMPUTED_VALUE"""),FALSE)</f>
        <v>0</v>
      </c>
      <c r="R1871" s="2" t="str">
        <f ca="1">IFERROR(__xludf.DUMMYFUNCTION("""COMPUTED_VALUE"""),"2do Trasiego")</f>
        <v>2do Trasiego</v>
      </c>
      <c r="S1871" s="2"/>
      <c r="T1871" s="2"/>
      <c r="U1871" s="2" t="str">
        <f ca="1">IFERROR(__xludf.DUMMYFUNCTION("""COMPUTED_VALUE"""),"1")</f>
        <v>1</v>
      </c>
    </row>
    <row r="1872" spans="1:21" x14ac:dyDescent="0.25">
      <c r="A1872" s="2" t="str">
        <f ca="1">IFERROR(__xludf.DUMMYFUNCTION("""COMPUTED_VALUE"""),"bcf8a038")</f>
        <v>bcf8a038</v>
      </c>
      <c r="B1872" s="5">
        <f ca="1">IFERROR(__xludf.DUMMYFUNCTION("""COMPUTED_VALUE"""),46177.730636574)</f>
        <v>46177.730636574001</v>
      </c>
      <c r="C1872" s="2" t="str">
        <f ca="1">IFERROR(__xludf.DUMMYFUNCTION("""COMPUTED_VALUE"""),"37dfb150")</f>
        <v>37dfb150</v>
      </c>
      <c r="D1872" s="2">
        <f ca="1">IFERROR(__xludf.DUMMYFUNCTION("""COMPUTED_VALUE"""),118)</f>
        <v>118</v>
      </c>
      <c r="E1872" s="2" t="str">
        <f ca="1">IFERROR(__xludf.DUMMYFUNCTION("""COMPUTED_VALUE"""),"Syrah")</f>
        <v>Syrah</v>
      </c>
      <c r="F1872" s="2">
        <f ca="1">IFERROR(__xludf.DUMMYFUNCTION("""COMPUTED_VALUE"""),20000)</f>
        <v>20000</v>
      </c>
      <c r="G1872" s="2">
        <f ca="1">IFERROR(__xludf.DUMMYFUNCTION("""COMPUTED_VALUE"""),47)</f>
        <v>47</v>
      </c>
      <c r="H1872" s="2"/>
      <c r="I1872" s="2"/>
      <c r="J1872" s="2">
        <f ca="1">IFERROR(__xludf.DUMMYFUNCTION("""COMPUTED_VALUE"""),0)</f>
        <v>0</v>
      </c>
      <c r="K1872" s="2">
        <f ca="1">IFERROR(__xludf.DUMMYFUNCTION("""COMPUTED_VALUE"""),20000)</f>
        <v>20000</v>
      </c>
      <c r="L1872" s="2" t="str">
        <f ca="1">IFERROR(__xludf.DUMMYFUNCTION("""COMPUTED_VALUE"""),"a5eab27d")</f>
        <v>a5eab27d</v>
      </c>
      <c r="M1872" s="2" t="str">
        <f ca="1">IFERROR(__xludf.DUMMYFUNCTION("""COMPUTED_VALUE"""),"Syrah")</f>
        <v>Syrah</v>
      </c>
      <c r="N1872" s="2"/>
      <c r="O1872" s="2" t="str">
        <f ca="1">IFERROR(__xludf.DUMMYFUNCTION("""COMPUTED_VALUE"""),"1er Trasiego")</f>
        <v>1er Trasiego</v>
      </c>
      <c r="P1872" s="2"/>
      <c r="Q1872" s="2" t="b">
        <f ca="1">IFERROR(__xludf.DUMMYFUNCTION("""COMPUTED_VALUE"""),FALSE)</f>
        <v>0</v>
      </c>
      <c r="R1872" s="2" t="str">
        <f ca="1">IFERROR(__xludf.DUMMYFUNCTION("""COMPUTED_VALUE"""),"2do Trasiego")</f>
        <v>2do Trasiego</v>
      </c>
      <c r="S1872" s="2"/>
      <c r="T1872" s="2"/>
      <c r="U1872" s="2" t="str">
        <f ca="1">IFERROR(__xludf.DUMMYFUNCTION("""COMPUTED_VALUE"""),"1")</f>
        <v>1</v>
      </c>
    </row>
    <row r="1873" spans="1:21" x14ac:dyDescent="0.25">
      <c r="A1873" s="2" t="str">
        <f ca="1">IFERROR(__xludf.DUMMYFUNCTION("""COMPUTED_VALUE"""),"ce93a578")</f>
        <v>ce93a578</v>
      </c>
      <c r="B1873" s="5">
        <f ca="1">IFERROR(__xludf.DUMMYFUNCTION("""COMPUTED_VALUE"""),46177.7308796296)</f>
        <v>46177.730879629598</v>
      </c>
      <c r="C1873" s="2" t="str">
        <f ca="1">IFERROR(__xludf.DUMMYFUNCTION("""COMPUTED_VALUE"""),"37dfb150")</f>
        <v>37dfb150</v>
      </c>
      <c r="D1873" s="2">
        <f ca="1">IFERROR(__xludf.DUMMYFUNCTION("""COMPUTED_VALUE"""),118)</f>
        <v>118</v>
      </c>
      <c r="E1873" s="2" t="str">
        <f ca="1">IFERROR(__xludf.DUMMYFUNCTION("""COMPUTED_VALUE"""),"Syrah")</f>
        <v>Syrah</v>
      </c>
      <c r="F1873" s="2">
        <f ca="1">IFERROR(__xludf.DUMMYFUNCTION("""COMPUTED_VALUE"""),9100)</f>
        <v>9100</v>
      </c>
      <c r="G1873" s="2">
        <f ca="1">IFERROR(__xludf.DUMMYFUNCTION("""COMPUTED_VALUE"""),45)</f>
        <v>45</v>
      </c>
      <c r="H1873" s="2"/>
      <c r="I1873" s="2"/>
      <c r="J1873" s="2">
        <f ca="1">IFERROR(__xludf.DUMMYFUNCTION("""COMPUTED_VALUE"""),0)</f>
        <v>0</v>
      </c>
      <c r="K1873" s="2">
        <f ca="1">IFERROR(__xludf.DUMMYFUNCTION("""COMPUTED_VALUE"""),9100)</f>
        <v>9100</v>
      </c>
      <c r="L1873" s="2" t="str">
        <f ca="1">IFERROR(__xludf.DUMMYFUNCTION("""COMPUTED_VALUE"""),"911dc687")</f>
        <v>911dc687</v>
      </c>
      <c r="M1873" s="2" t="str">
        <f ca="1">IFERROR(__xludf.DUMMYFUNCTION("""COMPUTED_VALUE"""),"Syrah")</f>
        <v>Syrah</v>
      </c>
      <c r="N1873" s="2"/>
      <c r="O1873" s="2" t="str">
        <f ca="1">IFERROR(__xludf.DUMMYFUNCTION("""COMPUTED_VALUE"""),"1er Trasiego")</f>
        <v>1er Trasiego</v>
      </c>
      <c r="P1873" s="2"/>
      <c r="Q1873" s="2" t="b">
        <f ca="1">IFERROR(__xludf.DUMMYFUNCTION("""COMPUTED_VALUE"""),FALSE)</f>
        <v>0</v>
      </c>
      <c r="R1873" s="2" t="str">
        <f ca="1">IFERROR(__xludf.DUMMYFUNCTION("""COMPUTED_VALUE"""),"2do Trasiego")</f>
        <v>2do Trasiego</v>
      </c>
      <c r="S1873" s="2"/>
      <c r="T1873" s="2"/>
      <c r="U1873" s="2" t="str">
        <f ca="1">IFERROR(__xludf.DUMMYFUNCTION("""COMPUTED_VALUE"""),"1")</f>
        <v>1</v>
      </c>
    </row>
    <row r="1874" spans="1:21" x14ac:dyDescent="0.25">
      <c r="A1874" s="2" t="str">
        <f ca="1">IFERROR(__xludf.DUMMYFUNCTION("""COMPUTED_VALUE"""),"c2552b6c")</f>
        <v>c2552b6c</v>
      </c>
      <c r="B1874" s="5">
        <f ca="1">IFERROR(__xludf.DUMMYFUNCTION("""COMPUTED_VALUE"""),46177.7331597222)</f>
        <v>46177.7331597222</v>
      </c>
      <c r="C1874" s="2" t="str">
        <f ca="1">IFERROR(__xludf.DUMMYFUNCTION("""COMPUTED_VALUE"""),"a5eab27d")</f>
        <v>a5eab27d</v>
      </c>
      <c r="D1874" s="2">
        <f ca="1">IFERROR(__xludf.DUMMYFUNCTION("""COMPUTED_VALUE"""),47)</f>
        <v>47</v>
      </c>
      <c r="E1874" s="2" t="str">
        <f ca="1">IFERROR(__xludf.DUMMYFUNCTION("""COMPUTED_VALUE"""),"Syrah")</f>
        <v>Syrah</v>
      </c>
      <c r="F1874" s="2">
        <f ca="1">IFERROR(__xludf.DUMMYFUNCTION("""COMPUTED_VALUE"""),20000)</f>
        <v>20000</v>
      </c>
      <c r="G1874" s="2">
        <f ca="1">IFERROR(__xludf.DUMMYFUNCTION("""COMPUTED_VALUE"""),45)</f>
        <v>45</v>
      </c>
      <c r="H1874" s="2" t="str">
        <f ca="1">IFERROR(__xludf.DUMMYFUNCTION("""COMPUTED_VALUE"""),"911dc687")</f>
        <v>911dc687</v>
      </c>
      <c r="I1874" s="2" t="str">
        <f ca="1">IFERROR(__xludf.DUMMYFUNCTION("""COMPUTED_VALUE"""),"Syrah")</f>
        <v>Syrah</v>
      </c>
      <c r="J1874" s="2">
        <f ca="1">IFERROR(__xludf.DUMMYFUNCTION("""COMPUTED_VALUE"""),9100)</f>
        <v>9100</v>
      </c>
      <c r="K1874" s="2">
        <f ca="1">IFERROR(__xludf.DUMMYFUNCTION("""COMPUTED_VALUE"""),29100)</f>
        <v>29100</v>
      </c>
      <c r="L1874" s="2" t="str">
        <f ca="1">IFERROR(__xludf.DUMMYFUNCTION("""COMPUTED_VALUE"""),"fc41c4ad")</f>
        <v>fc41c4ad</v>
      </c>
      <c r="M1874" s="2" t="str">
        <f ca="1">IFERROR(__xludf.DUMMYFUNCTION("""COMPUTED_VALUE"""),"Syrah")</f>
        <v>Syrah</v>
      </c>
      <c r="N1874" s="2"/>
      <c r="O1874" s="2" t="str">
        <f ca="1">IFERROR(__xludf.DUMMYFUNCTION("""COMPUTED_VALUE"""),"2do Trasiego")</f>
        <v>2do Trasiego</v>
      </c>
      <c r="P1874" s="2" t="str">
        <f ca="1">IFERROR(__xludf.DUMMYFUNCTION("""COMPUTED_VALUE"""),"2do Trasiego")</f>
        <v>2do Trasiego</v>
      </c>
      <c r="Q1874" s="2" t="b">
        <f ca="1">IFERROR(__xludf.DUMMYFUNCTION("""COMPUTED_VALUE"""),TRUE)</f>
        <v>1</v>
      </c>
      <c r="R1874" s="2" t="str">
        <f ca="1">IFERROR(__xludf.DUMMYFUNCTION("""COMPUTED_VALUE"""),"2do Trasiego")</f>
        <v>2do Trasiego</v>
      </c>
      <c r="S1874" s="2"/>
      <c r="T1874" s="2"/>
      <c r="U1874" s="2" t="str">
        <f ca="1">IFERROR(__xludf.DUMMYFUNCTION("""COMPUTED_VALUE"""),"1")</f>
        <v>1</v>
      </c>
    </row>
    <row r="1875" spans="1:21" x14ac:dyDescent="0.25">
      <c r="A1875" s="2" t="str">
        <f ca="1">IFERROR(__xludf.DUMMYFUNCTION("""COMPUTED_VALUE"""),"6a76f62c")</f>
        <v>6a76f62c</v>
      </c>
      <c r="B1875" s="5">
        <f ca="1">IFERROR(__xludf.DUMMYFUNCTION("""COMPUTED_VALUE"""),46177.734224537)</f>
        <v>46177.734224537002</v>
      </c>
      <c r="C1875" s="2" t="str">
        <f ca="1">IFERROR(__xludf.DUMMYFUNCTION("""COMPUTED_VALUE"""),"eb6cf98d")</f>
        <v>eb6cf98d</v>
      </c>
      <c r="D1875" s="2">
        <f ca="1">IFERROR(__xludf.DUMMYFUNCTION("""COMPUTED_VALUE"""),114)</f>
        <v>114</v>
      </c>
      <c r="E1875" s="2" t="str">
        <f ca="1">IFERROR(__xludf.DUMMYFUNCTION("""COMPUTED_VALUE"""),"Syrah")</f>
        <v>Syrah</v>
      </c>
      <c r="F1875" s="2">
        <f ca="1">IFERROR(__xludf.DUMMYFUNCTION("""COMPUTED_VALUE"""),900)</f>
        <v>900</v>
      </c>
      <c r="G1875" s="2">
        <f ca="1">IFERROR(__xludf.DUMMYFUNCTION("""COMPUTED_VALUE"""),45)</f>
        <v>45</v>
      </c>
      <c r="H1875" s="2" t="str">
        <f ca="1">IFERROR(__xludf.DUMMYFUNCTION("""COMPUTED_VALUE"""),"fc41c4ad")</f>
        <v>fc41c4ad</v>
      </c>
      <c r="I1875" s="2" t="str">
        <f ca="1">IFERROR(__xludf.DUMMYFUNCTION("""COMPUTED_VALUE"""),"Syrah")</f>
        <v>Syrah</v>
      </c>
      <c r="J1875" s="2">
        <f ca="1">IFERROR(__xludf.DUMMYFUNCTION("""COMPUTED_VALUE"""),29100)</f>
        <v>29100</v>
      </c>
      <c r="K1875" s="2">
        <f ca="1">IFERROR(__xludf.DUMMYFUNCTION("""COMPUTED_VALUE"""),30000)</f>
        <v>30000</v>
      </c>
      <c r="L1875" s="2" t="str">
        <f ca="1">IFERROR(__xludf.DUMMYFUNCTION("""COMPUTED_VALUE"""),"8f769dd7")</f>
        <v>8f769dd7</v>
      </c>
      <c r="M1875" s="2" t="str">
        <f ca="1">IFERROR(__xludf.DUMMYFUNCTION("""COMPUTED_VALUE"""),"Syrah")</f>
        <v>Syrah</v>
      </c>
      <c r="N1875" s="2"/>
      <c r="O1875" s="2" t="str">
        <f ca="1">IFERROR(__xludf.DUMMYFUNCTION("""COMPUTED_VALUE"""),"1er Trasiego")</f>
        <v>1er Trasiego</v>
      </c>
      <c r="P1875" s="2" t="str">
        <f ca="1">IFERROR(__xludf.DUMMYFUNCTION("""COMPUTED_VALUE"""),"2do Trasiego")</f>
        <v>2do Trasiego</v>
      </c>
      <c r="Q1875" s="2" t="b">
        <f ca="1">IFERROR(__xludf.DUMMYFUNCTION("""COMPUTED_VALUE"""),TRUE)</f>
        <v>1</v>
      </c>
      <c r="R1875" s="2" t="str">
        <f ca="1">IFERROR(__xludf.DUMMYFUNCTION("""COMPUTED_VALUE"""),"2do Trasiego")</f>
        <v>2do Trasiego</v>
      </c>
      <c r="S1875" s="2"/>
      <c r="T1875" s="2"/>
      <c r="U1875" s="2" t="str">
        <f ca="1">IFERROR(__xludf.DUMMYFUNCTION("""COMPUTED_VALUE"""),"1")</f>
        <v>1</v>
      </c>
    </row>
    <row r="1876" spans="1:21" x14ac:dyDescent="0.25">
      <c r="A1876" s="2" t="str">
        <f ca="1">IFERROR(__xludf.DUMMYFUNCTION("""COMPUTED_VALUE"""),"e64a7b56")</f>
        <v>e64a7b56</v>
      </c>
      <c r="B1876" s="5">
        <f ca="1">IFERROR(__xludf.DUMMYFUNCTION("""COMPUTED_VALUE"""),46177.7348032407)</f>
        <v>46177.734803240703</v>
      </c>
      <c r="C1876" s="2" t="str">
        <f ca="1">IFERROR(__xludf.DUMMYFUNCTION("""COMPUTED_VALUE"""),"eb6cf98d")</f>
        <v>eb6cf98d</v>
      </c>
      <c r="D1876" s="2">
        <f ca="1">IFERROR(__xludf.DUMMYFUNCTION("""COMPUTED_VALUE"""),114)</f>
        <v>114</v>
      </c>
      <c r="E1876" s="2" t="str">
        <f ca="1">IFERROR(__xludf.DUMMYFUNCTION("""COMPUTED_VALUE"""),"Syrah")</f>
        <v>Syrah</v>
      </c>
      <c r="F1876" s="2">
        <f ca="1">IFERROR(__xludf.DUMMYFUNCTION("""COMPUTED_VALUE"""),30000)</f>
        <v>30000</v>
      </c>
      <c r="G1876" s="2">
        <f ca="1">IFERROR(__xludf.DUMMYFUNCTION("""COMPUTED_VALUE"""),5)</f>
        <v>5</v>
      </c>
      <c r="H1876" s="2"/>
      <c r="I1876" s="2"/>
      <c r="J1876" s="2">
        <f ca="1">IFERROR(__xludf.DUMMYFUNCTION("""COMPUTED_VALUE"""),0)</f>
        <v>0</v>
      </c>
      <c r="K1876" s="2">
        <f ca="1">IFERROR(__xludf.DUMMYFUNCTION("""COMPUTED_VALUE"""),30000)</f>
        <v>30000</v>
      </c>
      <c r="L1876" s="2" t="str">
        <f ca="1">IFERROR(__xludf.DUMMYFUNCTION("""COMPUTED_VALUE"""),"9465e58a")</f>
        <v>9465e58a</v>
      </c>
      <c r="M1876" s="2" t="str">
        <f ca="1">IFERROR(__xludf.DUMMYFUNCTION("""COMPUTED_VALUE"""),"Syrah")</f>
        <v>Syrah</v>
      </c>
      <c r="N1876" s="2"/>
      <c r="O1876" s="2" t="str">
        <f ca="1">IFERROR(__xludf.DUMMYFUNCTION("""COMPUTED_VALUE"""),"1er Trasiego")</f>
        <v>1er Trasiego</v>
      </c>
      <c r="P1876" s="2"/>
      <c r="Q1876" s="2" t="b">
        <f ca="1">IFERROR(__xludf.DUMMYFUNCTION("""COMPUTED_VALUE"""),FALSE)</f>
        <v>0</v>
      </c>
      <c r="R1876" s="2" t="str">
        <f ca="1">IFERROR(__xludf.DUMMYFUNCTION("""COMPUTED_VALUE"""),"Rectificado")</f>
        <v>Rectificado</v>
      </c>
      <c r="S1876" s="2"/>
      <c r="T1876" s="2"/>
      <c r="U1876" s="2" t="str">
        <f ca="1">IFERROR(__xludf.DUMMYFUNCTION("""COMPUTED_VALUE"""),"1+")</f>
        <v>1+</v>
      </c>
    </row>
    <row r="1877" spans="1:21" x14ac:dyDescent="0.25">
      <c r="A1877" s="2" t="str">
        <f ca="1">IFERROR(__xludf.DUMMYFUNCTION("""COMPUTED_VALUE"""),"ca37e09e")</f>
        <v>ca37e09e</v>
      </c>
      <c r="B1877" s="5">
        <f ca="1">IFERROR(__xludf.DUMMYFUNCTION("""COMPUTED_VALUE"""),46177.7387962962)</f>
        <v>46177.738796296297</v>
      </c>
      <c r="C1877" s="2" t="str">
        <f ca="1">IFERROR(__xludf.DUMMYFUNCTION("""COMPUTED_VALUE"""),"3f8a4231")</f>
        <v>3f8a4231</v>
      </c>
      <c r="D1877" s="2">
        <f ca="1">IFERROR(__xludf.DUMMYFUNCTION("""COMPUTED_VALUE"""),54)</f>
        <v>54</v>
      </c>
      <c r="E1877" s="2" t="str">
        <f ca="1">IFERROR(__xludf.DUMMYFUNCTION("""COMPUTED_VALUE"""),"Criolla Recarga")</f>
        <v>Criolla Recarga</v>
      </c>
      <c r="F1877" s="2">
        <f ca="1">IFERROR(__xludf.DUMMYFUNCTION("""COMPUTED_VALUE"""),20000)</f>
        <v>20000</v>
      </c>
      <c r="G1877" s="2">
        <f ca="1">IFERROR(__xludf.DUMMYFUNCTION("""COMPUTED_VALUE"""),47)</f>
        <v>47</v>
      </c>
      <c r="H1877" s="2"/>
      <c r="I1877" s="2"/>
      <c r="J1877" s="2">
        <f ca="1">IFERROR(__xludf.DUMMYFUNCTION("""COMPUTED_VALUE"""),0)</f>
        <v>0</v>
      </c>
      <c r="K1877" s="2">
        <f ca="1">IFERROR(__xludf.DUMMYFUNCTION("""COMPUTED_VALUE"""),20000)</f>
        <v>20000</v>
      </c>
      <c r="L1877" s="2" t="str">
        <f ca="1">IFERROR(__xludf.DUMMYFUNCTION("""COMPUTED_VALUE"""),"12927267")</f>
        <v>12927267</v>
      </c>
      <c r="M1877" s="2" t="str">
        <f ca="1">IFERROR(__xludf.DUMMYFUNCTION("""COMPUTED_VALUE"""),"Criolla Recarga")</f>
        <v>Criolla Recarga</v>
      </c>
      <c r="N1877" s="2"/>
      <c r="O1877" s="2" t="str">
        <f ca="1">IFERROR(__xludf.DUMMYFUNCTION("""COMPUTED_VALUE"""),"Descubada")</f>
        <v>Descubada</v>
      </c>
      <c r="P1877" s="2"/>
      <c r="Q1877" s="2" t="b">
        <f ca="1">IFERROR(__xludf.DUMMYFUNCTION("""COMPUTED_VALUE"""),FALSE)</f>
        <v>0</v>
      </c>
      <c r="R1877" s="2" t="str">
        <f ca="1">IFERROR(__xludf.DUMMYFUNCTION("""COMPUTED_VALUE"""),"1er Trasiego")</f>
        <v>1er Trasiego</v>
      </c>
      <c r="S1877" s="2"/>
      <c r="T1877" s="2"/>
      <c r="U1877" s="2"/>
    </row>
    <row r="1878" spans="1:21" x14ac:dyDescent="0.25">
      <c r="A1878" s="2" t="str">
        <f ca="1">IFERROR(__xludf.DUMMYFUNCTION("""COMPUTED_VALUE"""),"d7da7dac")</f>
        <v>d7da7dac</v>
      </c>
      <c r="B1878" s="5">
        <f ca="1">IFERROR(__xludf.DUMMYFUNCTION("""COMPUTED_VALUE"""),46177.7392708333)</f>
        <v>46177.739270833299</v>
      </c>
      <c r="C1878" s="2" t="str">
        <f ca="1">IFERROR(__xludf.DUMMYFUNCTION("""COMPUTED_VALUE"""),"3f8a4231")</f>
        <v>3f8a4231</v>
      </c>
      <c r="D1878" s="2">
        <f ca="1">IFERROR(__xludf.DUMMYFUNCTION("""COMPUTED_VALUE"""),54)</f>
        <v>54</v>
      </c>
      <c r="E1878" s="2" t="str">
        <f ca="1">IFERROR(__xludf.DUMMYFUNCTION("""COMPUTED_VALUE"""),"Criolla Recarga")</f>
        <v>Criolla Recarga</v>
      </c>
      <c r="F1878" s="2">
        <f ca="1">IFERROR(__xludf.DUMMYFUNCTION("""COMPUTED_VALUE"""),1000)</f>
        <v>1000</v>
      </c>
      <c r="G1878" s="2">
        <f ca="1">IFERROR(__xludf.DUMMYFUNCTION("""COMPUTED_VALUE"""),87)</f>
        <v>87</v>
      </c>
      <c r="H1878" s="2" t="str">
        <f ca="1">IFERROR(__xludf.DUMMYFUNCTION("""COMPUTED_VALUE"""),"82f4d0f6")</f>
        <v>82f4d0f6</v>
      </c>
      <c r="I1878" s="2" t="str">
        <f ca="1">IFERROR(__xludf.DUMMYFUNCTION("""COMPUTED_VALUE"""),"Criolla Recarga")</f>
        <v>Criolla Recarga</v>
      </c>
      <c r="J1878" s="2">
        <f ca="1">IFERROR(__xludf.DUMMYFUNCTION("""COMPUTED_VALUE"""),92700)</f>
        <v>92700</v>
      </c>
      <c r="K1878" s="2">
        <f ca="1">IFERROR(__xludf.DUMMYFUNCTION("""COMPUTED_VALUE"""),93700)</f>
        <v>93700</v>
      </c>
      <c r="L1878" s="2" t="str">
        <f ca="1">IFERROR(__xludf.DUMMYFUNCTION("""COMPUTED_VALUE"""),"6b437cb5")</f>
        <v>6b437cb5</v>
      </c>
      <c r="M1878" s="2" t="str">
        <f ca="1">IFERROR(__xludf.DUMMYFUNCTION("""COMPUTED_VALUE"""),"Criolla Recarga")</f>
        <v>Criolla Recarga</v>
      </c>
      <c r="N1878" s="2"/>
      <c r="O1878" s="2" t="str">
        <f ca="1">IFERROR(__xludf.DUMMYFUNCTION("""COMPUTED_VALUE"""),"Descubada")</f>
        <v>Descubada</v>
      </c>
      <c r="P1878" s="2" t="str">
        <f ca="1">IFERROR(__xludf.DUMMYFUNCTION("""COMPUTED_VALUE"""),"1er Trasiego")</f>
        <v>1er Trasiego</v>
      </c>
      <c r="Q1878" s="2" t="b">
        <f ca="1">IFERROR(__xludf.DUMMYFUNCTION("""COMPUTED_VALUE"""),TRUE)</f>
        <v>1</v>
      </c>
      <c r="R1878" s="2" t="str">
        <f ca="1">IFERROR(__xludf.DUMMYFUNCTION("""COMPUTED_VALUE"""),"1er Trasiego")</f>
        <v>1er Trasiego</v>
      </c>
      <c r="S1878" s="2"/>
      <c r="T1878" s="2"/>
      <c r="U1878" s="2"/>
    </row>
    <row r="1879" spans="1:21" x14ac:dyDescent="0.25">
      <c r="A1879" s="2" t="str">
        <f ca="1">IFERROR(__xludf.DUMMYFUNCTION("""COMPUTED_VALUE"""),"60499b9e")</f>
        <v>60499b9e</v>
      </c>
      <c r="B1879" s="5">
        <f ca="1">IFERROR(__xludf.DUMMYFUNCTION("""COMPUTED_VALUE"""),46177.7395254629)</f>
        <v>46177.739525462901</v>
      </c>
      <c r="C1879" s="2" t="str">
        <f ca="1">IFERROR(__xludf.DUMMYFUNCTION("""COMPUTED_VALUE"""),"3f8a4231")</f>
        <v>3f8a4231</v>
      </c>
      <c r="D1879" s="2">
        <f ca="1">IFERROR(__xludf.DUMMYFUNCTION("""COMPUTED_VALUE"""),54)</f>
        <v>54</v>
      </c>
      <c r="E1879" s="2" t="str">
        <f ca="1">IFERROR(__xludf.DUMMYFUNCTION("""COMPUTED_VALUE"""),"Criolla Recarga")</f>
        <v>Criolla Recarga</v>
      </c>
      <c r="F1879" s="2">
        <f ca="1">IFERROR(__xludf.DUMMYFUNCTION("""COMPUTED_VALUE"""),1900)</f>
        <v>1900</v>
      </c>
      <c r="G1879" s="2">
        <f ca="1">IFERROR(__xludf.DUMMYFUNCTION("""COMPUTED_VALUE"""),74)</f>
        <v>74</v>
      </c>
      <c r="H1879" s="2" t="str">
        <f ca="1">IFERROR(__xludf.DUMMYFUNCTION("""COMPUTED_VALUE"""),"b08f666b")</f>
        <v>b08f666b</v>
      </c>
      <c r="I1879" s="2" t="str">
        <f ca="1">IFERROR(__xludf.DUMMYFUNCTION("""COMPUTED_VALUE"""),"Borra")</f>
        <v>Borra</v>
      </c>
      <c r="J1879" s="2">
        <f ca="1">IFERROR(__xludf.DUMMYFUNCTION("""COMPUTED_VALUE"""),3500)</f>
        <v>3500</v>
      </c>
      <c r="K1879" s="2">
        <f ca="1">IFERROR(__xludf.DUMMYFUNCTION("""COMPUTED_VALUE"""),5400)</f>
        <v>5400</v>
      </c>
      <c r="L1879" s="2" t="str">
        <f ca="1">IFERROR(__xludf.DUMMYFUNCTION("""COMPUTED_VALUE"""),"fda6270c")</f>
        <v>fda6270c</v>
      </c>
      <c r="M1879" s="2" t="str">
        <f ca="1">IFERROR(__xludf.DUMMYFUNCTION("""COMPUTED_VALUE"""),"Borra")</f>
        <v>Borra</v>
      </c>
      <c r="N1879" s="2"/>
      <c r="O1879" s="2" t="str">
        <f ca="1">IFERROR(__xludf.DUMMYFUNCTION("""COMPUTED_VALUE"""),"Descubada")</f>
        <v>Descubada</v>
      </c>
      <c r="P1879" s="2" t="str">
        <f ca="1">IFERROR(__xludf.DUMMYFUNCTION("""COMPUTED_VALUE"""),"Terminado")</f>
        <v>Terminado</v>
      </c>
      <c r="Q1879" s="2" t="b">
        <f ca="1">IFERROR(__xludf.DUMMYFUNCTION("""COMPUTED_VALUE"""),TRUE)</f>
        <v>1</v>
      </c>
      <c r="R1879" s="2" t="str">
        <f ca="1">IFERROR(__xludf.DUMMYFUNCTION("""COMPUTED_VALUE"""),"Terminado")</f>
        <v>Terminado</v>
      </c>
      <c r="S1879" s="2"/>
      <c r="T1879" s="2"/>
      <c r="U1879" s="2"/>
    </row>
    <row r="1880" spans="1:21" x14ac:dyDescent="0.25">
      <c r="A1880" s="2" t="str">
        <f ca="1">IFERROR(__xludf.DUMMYFUNCTION("""COMPUTED_VALUE"""),"fcb00b18")</f>
        <v>fcb00b18</v>
      </c>
      <c r="B1880" s="5">
        <f ca="1">IFERROR(__xludf.DUMMYFUNCTION("""COMPUTED_VALUE"""),46177.7464467592)</f>
        <v>46177.7464467592</v>
      </c>
      <c r="C1880" s="2" t="str">
        <f ca="1">IFERROR(__xludf.DUMMYFUNCTION("""COMPUTED_VALUE"""),"d692801e")</f>
        <v>d692801e</v>
      </c>
      <c r="D1880" s="2">
        <f ca="1">IFERROR(__xludf.DUMMYFUNCTION("""COMPUTED_VALUE"""),102)</f>
        <v>102</v>
      </c>
      <c r="E1880" s="2" t="str">
        <f ca="1">IFERROR(__xludf.DUMMYFUNCTION("""COMPUTED_VALUE"""),"Syrah Anc s/Asp 2")</f>
        <v>Syrah Anc s/Asp 2</v>
      </c>
      <c r="F1880" s="2">
        <f ca="1">IFERROR(__xludf.DUMMYFUNCTION("""COMPUTED_VALUE"""),8400)</f>
        <v>8400</v>
      </c>
      <c r="G1880" s="2">
        <f ca="1">IFERROR(__xludf.DUMMYFUNCTION("""COMPUTED_VALUE"""),118)</f>
        <v>118</v>
      </c>
      <c r="H1880" s="2"/>
      <c r="I1880" s="2"/>
      <c r="J1880" s="2">
        <f ca="1">IFERROR(__xludf.DUMMYFUNCTION("""COMPUTED_VALUE"""),0)</f>
        <v>0</v>
      </c>
      <c r="K1880" s="2">
        <f ca="1">IFERROR(__xludf.DUMMYFUNCTION("""COMPUTED_VALUE"""),8400)</f>
        <v>8400</v>
      </c>
      <c r="L1880" s="2" t="str">
        <f ca="1">IFERROR(__xludf.DUMMYFUNCTION("""COMPUTED_VALUE"""),"f1d0fb96")</f>
        <v>f1d0fb96</v>
      </c>
      <c r="M1880" s="2" t="str">
        <f ca="1">IFERROR(__xludf.DUMMYFUNCTION("""COMPUTED_VALUE"""),"Malbec Lopez")</f>
        <v>Malbec Lopez</v>
      </c>
      <c r="N1880" s="2"/>
      <c r="O1880" s="2" t="str">
        <f ca="1">IFERROR(__xludf.DUMMYFUNCTION("""COMPUTED_VALUE"""),"1er Trasiego")</f>
        <v>1er Trasiego</v>
      </c>
      <c r="P1880" s="2"/>
      <c r="Q1880" s="2" t="b">
        <f ca="1">IFERROR(__xludf.DUMMYFUNCTION("""COMPUTED_VALUE"""),FALSE)</f>
        <v>0</v>
      </c>
      <c r="R1880" s="2" t="str">
        <f ca="1">IFERROR(__xludf.DUMMYFUNCTION("""COMPUTED_VALUE"""),"2do Trasiego")</f>
        <v>2do Trasiego</v>
      </c>
      <c r="S1880" s="2"/>
      <c r="T1880" s="2"/>
      <c r="U1880" s="2" t="str">
        <f ca="1">IFERROR(__xludf.DUMMYFUNCTION("""COMPUTED_VALUE"""),"1+")</f>
        <v>1+</v>
      </c>
    </row>
    <row r="1881" spans="1:21" x14ac:dyDescent="0.25">
      <c r="A1881" s="2" t="str">
        <f ca="1">IFERROR(__xludf.DUMMYFUNCTION("""COMPUTED_VALUE"""),"4681c1d1")</f>
        <v>4681c1d1</v>
      </c>
      <c r="B1881" s="5">
        <f ca="1">IFERROR(__xludf.DUMMYFUNCTION("""COMPUTED_VALUE"""),46177.747037037)</f>
        <v>46177.747037036999</v>
      </c>
      <c r="C1881" s="2" t="str">
        <f ca="1">IFERROR(__xludf.DUMMYFUNCTION("""COMPUTED_VALUE"""),"a9c64acb")</f>
        <v>a9c64acb</v>
      </c>
      <c r="D1881" s="2">
        <f ca="1">IFERROR(__xludf.DUMMYFUNCTION("""COMPUTED_VALUE"""),103)</f>
        <v>103</v>
      </c>
      <c r="E1881" s="2" t="str">
        <f ca="1">IFERROR(__xludf.DUMMYFUNCTION("""COMPUTED_VALUE"""),"Syrah s/Asp")</f>
        <v>Syrah s/Asp</v>
      </c>
      <c r="F1881" s="2">
        <f ca="1">IFERROR(__xludf.DUMMYFUNCTION("""COMPUTED_VALUE"""),6800)</f>
        <v>6800</v>
      </c>
      <c r="G1881" s="2">
        <f ca="1">IFERROR(__xludf.DUMMYFUNCTION("""COMPUTED_VALUE"""),118)</f>
        <v>118</v>
      </c>
      <c r="H1881" s="2" t="str">
        <f ca="1">IFERROR(__xludf.DUMMYFUNCTION("""COMPUTED_VALUE"""),"f1d0fb96")</f>
        <v>f1d0fb96</v>
      </c>
      <c r="I1881" s="2" t="str">
        <f ca="1">IFERROR(__xludf.DUMMYFUNCTION("""COMPUTED_VALUE"""),"Malbec Lopez")</f>
        <v>Malbec Lopez</v>
      </c>
      <c r="J1881" s="2">
        <f ca="1">IFERROR(__xludf.DUMMYFUNCTION("""COMPUTED_VALUE"""),8400)</f>
        <v>8400</v>
      </c>
      <c r="K1881" s="2">
        <f ca="1">IFERROR(__xludf.DUMMYFUNCTION("""COMPUTED_VALUE"""),15200)</f>
        <v>15200</v>
      </c>
      <c r="L1881" s="2" t="str">
        <f ca="1">IFERROR(__xludf.DUMMYFUNCTION("""COMPUTED_VALUE"""),"49d3e107")</f>
        <v>49d3e107</v>
      </c>
      <c r="M1881" s="2" t="str">
        <f ca="1">IFERROR(__xludf.DUMMYFUNCTION("""COMPUTED_VALUE"""),"Malbec Lopez")</f>
        <v>Malbec Lopez</v>
      </c>
      <c r="N1881" s="2"/>
      <c r="O1881" s="2" t="str">
        <f ca="1">IFERROR(__xludf.DUMMYFUNCTION("""COMPUTED_VALUE"""),"1er Trasiego")</f>
        <v>1er Trasiego</v>
      </c>
      <c r="P1881" s="2" t="str">
        <f ca="1">IFERROR(__xludf.DUMMYFUNCTION("""COMPUTED_VALUE"""),"2do Trasiego")</f>
        <v>2do Trasiego</v>
      </c>
      <c r="Q1881" s="2" t="b">
        <f ca="1">IFERROR(__xludf.DUMMYFUNCTION("""COMPUTED_VALUE"""),TRUE)</f>
        <v>1</v>
      </c>
      <c r="R1881" s="2" t="str">
        <f ca="1">IFERROR(__xludf.DUMMYFUNCTION("""COMPUTED_VALUE"""),"2do Trasiego")</f>
        <v>2do Trasiego</v>
      </c>
      <c r="S1881" s="2"/>
      <c r="T1881" s="2"/>
      <c r="U1881" s="2" t="str">
        <f ca="1">IFERROR(__xludf.DUMMYFUNCTION("""COMPUTED_VALUE"""),"1+")</f>
        <v>1+</v>
      </c>
    </row>
    <row r="1882" spans="1:21" x14ac:dyDescent="0.25">
      <c r="A1882" s="2" t="str">
        <f ca="1">IFERROR(__xludf.DUMMYFUNCTION("""COMPUTED_VALUE"""),"7d4bc266")</f>
        <v>7d4bc266</v>
      </c>
      <c r="B1882" s="5">
        <f ca="1">IFERROR(__xludf.DUMMYFUNCTION("""COMPUTED_VALUE"""),46177.7473726851)</f>
        <v>46177.747372685102</v>
      </c>
      <c r="C1882" s="2" t="str">
        <f ca="1">IFERROR(__xludf.DUMMYFUNCTION("""COMPUTED_VALUE"""),"0a8c721d")</f>
        <v>0a8c721d</v>
      </c>
      <c r="D1882" s="2">
        <f ca="1">IFERROR(__xludf.DUMMYFUNCTION("""COMPUTED_VALUE"""),104)</f>
        <v>104</v>
      </c>
      <c r="E1882" s="2" t="str">
        <f ca="1">IFERROR(__xludf.DUMMYFUNCTION("""COMPUTED_VALUE"""),"Syrah Merlot s/Asp 3")</f>
        <v>Syrah Merlot s/Asp 3</v>
      </c>
      <c r="F1882" s="2">
        <f ca="1">IFERROR(__xludf.DUMMYFUNCTION("""COMPUTED_VALUE"""),6800)</f>
        <v>6800</v>
      </c>
      <c r="G1882" s="2">
        <f ca="1">IFERROR(__xludf.DUMMYFUNCTION("""COMPUTED_VALUE"""),118)</f>
        <v>118</v>
      </c>
      <c r="H1882" s="2" t="str">
        <f ca="1">IFERROR(__xludf.DUMMYFUNCTION("""COMPUTED_VALUE"""),"49d3e107")</f>
        <v>49d3e107</v>
      </c>
      <c r="I1882" s="2" t="str">
        <f ca="1">IFERROR(__xludf.DUMMYFUNCTION("""COMPUTED_VALUE"""),"Malbec Lopez")</f>
        <v>Malbec Lopez</v>
      </c>
      <c r="J1882" s="2">
        <f ca="1">IFERROR(__xludf.DUMMYFUNCTION("""COMPUTED_VALUE"""),15200)</f>
        <v>15200</v>
      </c>
      <c r="K1882" s="2">
        <f ca="1">IFERROR(__xludf.DUMMYFUNCTION("""COMPUTED_VALUE"""),22000)</f>
        <v>22000</v>
      </c>
      <c r="L1882" s="2" t="str">
        <f ca="1">IFERROR(__xludf.DUMMYFUNCTION("""COMPUTED_VALUE"""),"2efa6088")</f>
        <v>2efa6088</v>
      </c>
      <c r="M1882" s="2" t="str">
        <f ca="1">IFERROR(__xludf.DUMMYFUNCTION("""COMPUTED_VALUE"""),"Malbec Lopez")</f>
        <v>Malbec Lopez</v>
      </c>
      <c r="N1882" s="2"/>
      <c r="O1882" s="2" t="str">
        <f ca="1">IFERROR(__xludf.DUMMYFUNCTION("""COMPUTED_VALUE"""),"1er Trasiego")</f>
        <v>1er Trasiego</v>
      </c>
      <c r="P1882" s="2" t="str">
        <f ca="1">IFERROR(__xludf.DUMMYFUNCTION("""COMPUTED_VALUE"""),"2do Trasiego")</f>
        <v>2do Trasiego</v>
      </c>
      <c r="Q1882" s="2" t="b">
        <f ca="1">IFERROR(__xludf.DUMMYFUNCTION("""COMPUTED_VALUE"""),TRUE)</f>
        <v>1</v>
      </c>
      <c r="R1882" s="2" t="str">
        <f ca="1">IFERROR(__xludf.DUMMYFUNCTION("""COMPUTED_VALUE"""),"2do Trasiego")</f>
        <v>2do Trasiego</v>
      </c>
      <c r="S1882" s="2"/>
      <c r="T1882" s="2"/>
      <c r="U1882" s="2" t="str">
        <f ca="1">IFERROR(__xludf.DUMMYFUNCTION("""COMPUTED_VALUE"""),"1+")</f>
        <v>1+</v>
      </c>
    </row>
    <row r="1883" spans="1:21" x14ac:dyDescent="0.25">
      <c r="A1883" s="2" t="str">
        <f ca="1">IFERROR(__xludf.DUMMYFUNCTION("""COMPUTED_VALUE"""),"d9612448")</f>
        <v>d9612448</v>
      </c>
      <c r="B1883" s="5">
        <f ca="1">IFERROR(__xludf.DUMMYFUNCTION("""COMPUTED_VALUE"""),46177.7476157407)</f>
        <v>46177.7476157407</v>
      </c>
      <c r="C1883" s="2" t="str">
        <f ca="1">IFERROR(__xludf.DUMMYFUNCTION("""COMPUTED_VALUE"""),"ea92c15b")</f>
        <v>ea92c15b</v>
      </c>
      <c r="D1883" s="2">
        <f ca="1">IFERROR(__xludf.DUMMYFUNCTION("""COMPUTED_VALUE"""),105)</f>
        <v>105</v>
      </c>
      <c r="E1883" s="2" t="str">
        <f ca="1">IFERROR(__xludf.DUMMYFUNCTION("""COMPUTED_VALUE"""),"Syrah Merlot s/Asp 3")</f>
        <v>Syrah Merlot s/Asp 3</v>
      </c>
      <c r="F1883" s="2">
        <f ca="1">IFERROR(__xludf.DUMMYFUNCTION("""COMPUTED_VALUE"""),6800)</f>
        <v>6800</v>
      </c>
      <c r="G1883" s="2">
        <f ca="1">IFERROR(__xludf.DUMMYFUNCTION("""COMPUTED_VALUE"""),118)</f>
        <v>118</v>
      </c>
      <c r="H1883" s="2" t="str">
        <f ca="1">IFERROR(__xludf.DUMMYFUNCTION("""COMPUTED_VALUE"""),"2efa6088")</f>
        <v>2efa6088</v>
      </c>
      <c r="I1883" s="2" t="str">
        <f ca="1">IFERROR(__xludf.DUMMYFUNCTION("""COMPUTED_VALUE"""),"Malbec Lopez")</f>
        <v>Malbec Lopez</v>
      </c>
      <c r="J1883" s="2">
        <f ca="1">IFERROR(__xludf.DUMMYFUNCTION("""COMPUTED_VALUE"""),22000)</f>
        <v>22000</v>
      </c>
      <c r="K1883" s="2">
        <f ca="1">IFERROR(__xludf.DUMMYFUNCTION("""COMPUTED_VALUE"""),28800)</f>
        <v>28800</v>
      </c>
      <c r="L1883" s="2" t="str">
        <f ca="1">IFERROR(__xludf.DUMMYFUNCTION("""COMPUTED_VALUE"""),"03dc539f")</f>
        <v>03dc539f</v>
      </c>
      <c r="M1883" s="2" t="str">
        <f ca="1">IFERROR(__xludf.DUMMYFUNCTION("""COMPUTED_VALUE"""),"Malbec Lopez")</f>
        <v>Malbec Lopez</v>
      </c>
      <c r="N1883" s="2"/>
      <c r="O1883" s="2" t="str">
        <f ca="1">IFERROR(__xludf.DUMMYFUNCTION("""COMPUTED_VALUE"""),"1er Trasiego")</f>
        <v>1er Trasiego</v>
      </c>
      <c r="P1883" s="2" t="str">
        <f ca="1">IFERROR(__xludf.DUMMYFUNCTION("""COMPUTED_VALUE"""),"2do Trasiego")</f>
        <v>2do Trasiego</v>
      </c>
      <c r="Q1883" s="2" t="b">
        <f ca="1">IFERROR(__xludf.DUMMYFUNCTION("""COMPUTED_VALUE"""),TRUE)</f>
        <v>1</v>
      </c>
      <c r="R1883" s="2" t="str">
        <f ca="1">IFERROR(__xludf.DUMMYFUNCTION("""COMPUTED_VALUE"""),"2do Trasiego")</f>
        <v>2do Trasiego</v>
      </c>
      <c r="S1883" s="2"/>
      <c r="T1883" s="2"/>
      <c r="U1883" s="2" t="str">
        <f ca="1">IFERROR(__xludf.DUMMYFUNCTION("""COMPUTED_VALUE"""),"1+")</f>
        <v>1+</v>
      </c>
    </row>
    <row r="1884" spans="1:21" x14ac:dyDescent="0.25">
      <c r="A1884" s="2" t="str">
        <f ca="1">IFERROR(__xludf.DUMMYFUNCTION("""COMPUTED_VALUE"""),"66b418d3")</f>
        <v>66b418d3</v>
      </c>
      <c r="B1884" s="5">
        <f ca="1">IFERROR(__xludf.DUMMYFUNCTION("""COMPUTED_VALUE"""),46177.7517361111)</f>
        <v>46177.751736111102</v>
      </c>
      <c r="C1884" s="2" t="str">
        <f ca="1">IFERROR(__xludf.DUMMYFUNCTION("""COMPUTED_VALUE"""),"99ab0a68")</f>
        <v>99ab0a68</v>
      </c>
      <c r="D1884" s="2">
        <f ca="1">IFERROR(__xludf.DUMMYFUNCTION("""COMPUTED_VALUE"""),107)</f>
        <v>107</v>
      </c>
      <c r="E1884" s="2" t="str">
        <f ca="1">IFERROR(__xludf.DUMMYFUNCTION("""COMPUTED_VALUE"""),"Syrah Malbec s/Asp 2")</f>
        <v>Syrah Malbec s/Asp 2</v>
      </c>
      <c r="F1884" s="2">
        <f ca="1">IFERROR(__xludf.DUMMYFUNCTION("""COMPUTED_VALUE"""),6800)</f>
        <v>6800</v>
      </c>
      <c r="G1884" s="2">
        <f ca="1">IFERROR(__xludf.DUMMYFUNCTION("""COMPUTED_VALUE"""),118)</f>
        <v>118</v>
      </c>
      <c r="H1884" s="2" t="str">
        <f ca="1">IFERROR(__xludf.DUMMYFUNCTION("""COMPUTED_VALUE"""),"03dc539f")</f>
        <v>03dc539f</v>
      </c>
      <c r="I1884" s="2" t="str">
        <f ca="1">IFERROR(__xludf.DUMMYFUNCTION("""COMPUTED_VALUE"""),"Malbec Lopez")</f>
        <v>Malbec Lopez</v>
      </c>
      <c r="J1884" s="2">
        <f ca="1">IFERROR(__xludf.DUMMYFUNCTION("""COMPUTED_VALUE"""),28800)</f>
        <v>28800</v>
      </c>
      <c r="K1884" s="2">
        <f ca="1">IFERROR(__xludf.DUMMYFUNCTION("""COMPUTED_VALUE"""),35600)</f>
        <v>35600</v>
      </c>
      <c r="L1884" s="2" t="str">
        <f ca="1">IFERROR(__xludf.DUMMYFUNCTION("""COMPUTED_VALUE"""),"f67c7fdc")</f>
        <v>f67c7fdc</v>
      </c>
      <c r="M1884" s="2" t="str">
        <f ca="1">IFERROR(__xludf.DUMMYFUNCTION("""COMPUTED_VALUE"""),"Malbec Lopez")</f>
        <v>Malbec Lopez</v>
      </c>
      <c r="N1884" s="2"/>
      <c r="O1884" s="2" t="str">
        <f ca="1">IFERROR(__xludf.DUMMYFUNCTION("""COMPUTED_VALUE"""),"1er Trasiego")</f>
        <v>1er Trasiego</v>
      </c>
      <c r="P1884" s="2" t="str">
        <f ca="1">IFERROR(__xludf.DUMMYFUNCTION("""COMPUTED_VALUE"""),"2do Trasiego")</f>
        <v>2do Trasiego</v>
      </c>
      <c r="Q1884" s="2" t="b">
        <f ca="1">IFERROR(__xludf.DUMMYFUNCTION("""COMPUTED_VALUE"""),TRUE)</f>
        <v>1</v>
      </c>
      <c r="R1884" s="2" t="str">
        <f ca="1">IFERROR(__xludf.DUMMYFUNCTION("""COMPUTED_VALUE"""),"2do Trasiego")</f>
        <v>2do Trasiego</v>
      </c>
      <c r="S1884" s="2"/>
      <c r="T1884" s="2"/>
      <c r="U1884" s="2" t="str">
        <f ca="1">IFERROR(__xludf.DUMMYFUNCTION("""COMPUTED_VALUE"""),"1+")</f>
        <v>1+</v>
      </c>
    </row>
    <row r="1885" spans="1:21" x14ac:dyDescent="0.25">
      <c r="A1885" s="2" t="str">
        <f ca="1">IFERROR(__xludf.DUMMYFUNCTION("""COMPUTED_VALUE"""),"c8319728")</f>
        <v>c8319728</v>
      </c>
      <c r="B1885" s="5">
        <f ca="1">IFERROR(__xludf.DUMMYFUNCTION("""COMPUTED_VALUE"""),46177.7526388888)</f>
        <v>46177.7526388888</v>
      </c>
      <c r="C1885" s="2" t="str">
        <f ca="1">IFERROR(__xludf.DUMMYFUNCTION("""COMPUTED_VALUE"""),"f4f50fc1")</f>
        <v>f4f50fc1</v>
      </c>
      <c r="D1885" s="2">
        <f ca="1">IFERROR(__xludf.DUMMYFUNCTION("""COMPUTED_VALUE"""),108)</f>
        <v>108</v>
      </c>
      <c r="E1885" s="2" t="str">
        <f ca="1">IFERROR(__xludf.DUMMYFUNCTION("""COMPUTED_VALUE"""),"Syrah Malbec s/Asp 2")</f>
        <v>Syrah Malbec s/Asp 2</v>
      </c>
      <c r="F1885" s="2">
        <f ca="1">IFERROR(__xludf.DUMMYFUNCTION("""COMPUTED_VALUE"""),6800)</f>
        <v>6800</v>
      </c>
      <c r="G1885" s="2">
        <f ca="1">IFERROR(__xludf.DUMMYFUNCTION("""COMPUTED_VALUE"""),118)</f>
        <v>118</v>
      </c>
      <c r="H1885" s="2" t="str">
        <f ca="1">IFERROR(__xludf.DUMMYFUNCTION("""COMPUTED_VALUE"""),"f67c7fdc")</f>
        <v>f67c7fdc</v>
      </c>
      <c r="I1885" s="2" t="str">
        <f ca="1">IFERROR(__xludf.DUMMYFUNCTION("""COMPUTED_VALUE"""),"Malbec Lopez")</f>
        <v>Malbec Lopez</v>
      </c>
      <c r="J1885" s="2">
        <f ca="1">IFERROR(__xludf.DUMMYFUNCTION("""COMPUTED_VALUE"""),35600)</f>
        <v>35600</v>
      </c>
      <c r="K1885" s="2">
        <f ca="1">IFERROR(__xludf.DUMMYFUNCTION("""COMPUTED_VALUE"""),42400)</f>
        <v>42400</v>
      </c>
      <c r="L1885" s="2" t="str">
        <f ca="1">IFERROR(__xludf.DUMMYFUNCTION("""COMPUTED_VALUE"""),"85d7ccd1")</f>
        <v>85d7ccd1</v>
      </c>
      <c r="M1885" s="2" t="str">
        <f ca="1">IFERROR(__xludf.DUMMYFUNCTION("""COMPUTED_VALUE"""),"Malbec Lopez")</f>
        <v>Malbec Lopez</v>
      </c>
      <c r="N1885" s="2"/>
      <c r="O1885" s="2" t="str">
        <f ca="1">IFERROR(__xludf.DUMMYFUNCTION("""COMPUTED_VALUE"""),"1er Trasiego")</f>
        <v>1er Trasiego</v>
      </c>
      <c r="P1885" s="2" t="str">
        <f ca="1">IFERROR(__xludf.DUMMYFUNCTION("""COMPUTED_VALUE"""),"2do Trasiego")</f>
        <v>2do Trasiego</v>
      </c>
      <c r="Q1885" s="2" t="b">
        <f ca="1">IFERROR(__xludf.DUMMYFUNCTION("""COMPUTED_VALUE"""),TRUE)</f>
        <v>1</v>
      </c>
      <c r="R1885" s="2" t="str">
        <f ca="1">IFERROR(__xludf.DUMMYFUNCTION("""COMPUTED_VALUE"""),"2do Trasiego")</f>
        <v>2do Trasiego</v>
      </c>
      <c r="S1885" s="2"/>
      <c r="T1885" s="2"/>
      <c r="U1885" s="2" t="str">
        <f ca="1">IFERROR(__xludf.DUMMYFUNCTION("""COMPUTED_VALUE"""),"1+")</f>
        <v>1+</v>
      </c>
    </row>
    <row r="1886" spans="1:21" x14ac:dyDescent="0.25">
      <c r="A1886" s="2" t="str">
        <f ca="1">IFERROR(__xludf.DUMMYFUNCTION("""COMPUTED_VALUE"""),"c1e86201")</f>
        <v>c1e86201</v>
      </c>
      <c r="B1886" s="5">
        <f ca="1">IFERROR(__xludf.DUMMYFUNCTION("""COMPUTED_VALUE"""),46177.7530787037)</f>
        <v>46177.753078703703</v>
      </c>
      <c r="C1886" s="2" t="str">
        <f ca="1">IFERROR(__xludf.DUMMYFUNCTION("""COMPUTED_VALUE"""),"7d31698a")</f>
        <v>7d31698a</v>
      </c>
      <c r="D1886" s="2">
        <f ca="1">IFERROR(__xludf.DUMMYFUNCTION("""COMPUTED_VALUE"""),66)</f>
        <v>66</v>
      </c>
      <c r="E1886" s="2" t="str">
        <f ca="1">IFERROR(__xludf.DUMMYFUNCTION("""COMPUTED_VALUE"""),"Syrah - Criolla")</f>
        <v>Syrah - Criolla</v>
      </c>
      <c r="F1886" s="2">
        <f ca="1">IFERROR(__xludf.DUMMYFUNCTION("""COMPUTED_VALUE"""),23000)</f>
        <v>23000</v>
      </c>
      <c r="G1886" s="2">
        <f ca="1">IFERROR(__xludf.DUMMYFUNCTION("""COMPUTED_VALUE"""),118)</f>
        <v>118</v>
      </c>
      <c r="H1886" s="2" t="str">
        <f ca="1">IFERROR(__xludf.DUMMYFUNCTION("""COMPUTED_VALUE"""),"85d7ccd1")</f>
        <v>85d7ccd1</v>
      </c>
      <c r="I1886" s="2" t="str">
        <f ca="1">IFERROR(__xludf.DUMMYFUNCTION("""COMPUTED_VALUE"""),"Malbec Lopez")</f>
        <v>Malbec Lopez</v>
      </c>
      <c r="J1886" s="2">
        <f ca="1">IFERROR(__xludf.DUMMYFUNCTION("""COMPUTED_VALUE"""),42400)</f>
        <v>42400</v>
      </c>
      <c r="K1886" s="2">
        <f ca="1">IFERROR(__xludf.DUMMYFUNCTION("""COMPUTED_VALUE"""),65400)</f>
        <v>65400</v>
      </c>
      <c r="L1886" s="2" t="str">
        <f ca="1">IFERROR(__xludf.DUMMYFUNCTION("""COMPUTED_VALUE"""),"cc3662ee")</f>
        <v>cc3662ee</v>
      </c>
      <c r="M1886" s="2" t="str">
        <f ca="1">IFERROR(__xludf.DUMMYFUNCTION("""COMPUTED_VALUE"""),"Malbec Lopez")</f>
        <v>Malbec Lopez</v>
      </c>
      <c r="N1886" s="2"/>
      <c r="O1886" s="2" t="str">
        <f ca="1">IFERROR(__xludf.DUMMYFUNCTION("""COMPUTED_VALUE"""),"2do Trasiego")</f>
        <v>2do Trasiego</v>
      </c>
      <c r="P1886" s="2" t="str">
        <f ca="1">IFERROR(__xludf.DUMMYFUNCTION("""COMPUTED_VALUE"""),"2do Trasiego")</f>
        <v>2do Trasiego</v>
      </c>
      <c r="Q1886" s="2" t="b">
        <f ca="1">IFERROR(__xludf.DUMMYFUNCTION("""COMPUTED_VALUE"""),TRUE)</f>
        <v>1</v>
      </c>
      <c r="R1886" s="2" t="str">
        <f ca="1">IFERROR(__xludf.DUMMYFUNCTION("""COMPUTED_VALUE"""),"2do Trasiego")</f>
        <v>2do Trasiego</v>
      </c>
      <c r="S1886" s="2"/>
      <c r="T1886" s="2"/>
      <c r="U1886" s="2" t="str">
        <f ca="1">IFERROR(__xludf.DUMMYFUNCTION("""COMPUTED_VALUE"""),"1+")</f>
        <v>1+</v>
      </c>
    </row>
    <row r="1887" spans="1:21" x14ac:dyDescent="0.25">
      <c r="A1887" s="2" t="str">
        <f ca="1">IFERROR(__xludf.DUMMYFUNCTION("""COMPUTED_VALUE"""),"03360eeb")</f>
        <v>03360eeb</v>
      </c>
      <c r="B1887" s="5">
        <f ca="1">IFERROR(__xludf.DUMMYFUNCTION("""COMPUTED_VALUE"""),46177.7535069444)</f>
        <v>46177.753506944398</v>
      </c>
      <c r="C1887" s="2" t="str">
        <f ca="1">IFERROR(__xludf.DUMMYFUNCTION("""COMPUTED_VALUE"""),"c78a4531")</f>
        <v>c78a4531</v>
      </c>
      <c r="D1887" s="2">
        <f ca="1">IFERROR(__xludf.DUMMYFUNCTION("""COMPUTED_VALUE"""),67)</f>
        <v>67</v>
      </c>
      <c r="E1887" s="2" t="str">
        <f ca="1">IFERROR(__xludf.DUMMYFUNCTION("""COMPUTED_VALUE"""),"Syrah - Criolla")</f>
        <v>Syrah - Criolla</v>
      </c>
      <c r="F1887" s="2">
        <f ca="1">IFERROR(__xludf.DUMMYFUNCTION("""COMPUTED_VALUE"""),23000)</f>
        <v>23000</v>
      </c>
      <c r="G1887" s="2">
        <f ca="1">IFERROR(__xludf.DUMMYFUNCTION("""COMPUTED_VALUE"""),118)</f>
        <v>118</v>
      </c>
      <c r="H1887" s="2" t="str">
        <f ca="1">IFERROR(__xludf.DUMMYFUNCTION("""COMPUTED_VALUE"""),"cc3662ee")</f>
        <v>cc3662ee</v>
      </c>
      <c r="I1887" s="2" t="str">
        <f ca="1">IFERROR(__xludf.DUMMYFUNCTION("""COMPUTED_VALUE"""),"Malbec Lopez")</f>
        <v>Malbec Lopez</v>
      </c>
      <c r="J1887" s="2">
        <f ca="1">IFERROR(__xludf.DUMMYFUNCTION("""COMPUTED_VALUE"""),65400)</f>
        <v>65400</v>
      </c>
      <c r="K1887" s="2">
        <f ca="1">IFERROR(__xludf.DUMMYFUNCTION("""COMPUTED_VALUE"""),88400)</f>
        <v>88400</v>
      </c>
      <c r="L1887" s="2" t="str">
        <f ca="1">IFERROR(__xludf.DUMMYFUNCTION("""COMPUTED_VALUE"""),"f0b61424")</f>
        <v>f0b61424</v>
      </c>
      <c r="M1887" s="2" t="str">
        <f ca="1">IFERROR(__xludf.DUMMYFUNCTION("""COMPUTED_VALUE"""),"Malbec Lopez")</f>
        <v>Malbec Lopez</v>
      </c>
      <c r="N1887" s="2"/>
      <c r="O1887" s="2" t="str">
        <f ca="1">IFERROR(__xludf.DUMMYFUNCTION("""COMPUTED_VALUE"""),"1er Trasiego")</f>
        <v>1er Trasiego</v>
      </c>
      <c r="P1887" s="2" t="str">
        <f ca="1">IFERROR(__xludf.DUMMYFUNCTION("""COMPUTED_VALUE"""),"2do Trasiego")</f>
        <v>2do Trasiego</v>
      </c>
      <c r="Q1887" s="2" t="b">
        <f ca="1">IFERROR(__xludf.DUMMYFUNCTION("""COMPUTED_VALUE"""),TRUE)</f>
        <v>1</v>
      </c>
      <c r="R1887" s="2" t="str">
        <f ca="1">IFERROR(__xludf.DUMMYFUNCTION("""COMPUTED_VALUE"""),"2do Trasiego")</f>
        <v>2do Trasiego</v>
      </c>
      <c r="S1887" s="2"/>
      <c r="T1887" s="2"/>
      <c r="U1887" s="2" t="str">
        <f ca="1">IFERROR(__xludf.DUMMYFUNCTION("""COMPUTED_VALUE"""),"1+")</f>
        <v>1+</v>
      </c>
    </row>
    <row r="1888" spans="1:21" x14ac:dyDescent="0.25">
      <c r="A1888" s="2" t="str">
        <f ca="1">IFERROR(__xludf.DUMMYFUNCTION("""COMPUTED_VALUE"""),"fd7585ce")</f>
        <v>fd7585ce</v>
      </c>
      <c r="B1888" s="5">
        <f ca="1">IFERROR(__xludf.DUMMYFUNCTION("""COMPUTED_VALUE"""),46177.7549652777)</f>
        <v>46177.754965277702</v>
      </c>
      <c r="C1888" s="2" t="str">
        <f ca="1">IFERROR(__xludf.DUMMYFUNCTION("""COMPUTED_VALUE"""),"3dbf6d25")</f>
        <v>3dbf6d25</v>
      </c>
      <c r="D1888" s="2">
        <f ca="1">IFERROR(__xludf.DUMMYFUNCTION("""COMPUTED_VALUE"""),86)</f>
        <v>86</v>
      </c>
      <c r="E1888" s="2" t="str">
        <f ca="1">IFERROR(__xludf.DUMMYFUNCTION("""COMPUTED_VALUE"""),"Syrah Anc PC s/Asp 2")</f>
        <v>Syrah Anc PC s/Asp 2</v>
      </c>
      <c r="F1888" s="2">
        <f ca="1">IFERROR(__xludf.DUMMYFUNCTION("""COMPUTED_VALUE"""),2500)</f>
        <v>2500</v>
      </c>
      <c r="G1888" s="2">
        <f ca="1">IFERROR(__xludf.DUMMYFUNCTION("""COMPUTED_VALUE"""),118)</f>
        <v>118</v>
      </c>
      <c r="H1888" s="2" t="str">
        <f ca="1">IFERROR(__xludf.DUMMYFUNCTION("""COMPUTED_VALUE"""),"f0b61424")</f>
        <v>f0b61424</v>
      </c>
      <c r="I1888" s="2" t="str">
        <f ca="1">IFERROR(__xludf.DUMMYFUNCTION("""COMPUTED_VALUE"""),"Malbec Lopez")</f>
        <v>Malbec Lopez</v>
      </c>
      <c r="J1888" s="2">
        <f ca="1">IFERROR(__xludf.DUMMYFUNCTION("""COMPUTED_VALUE"""),88400)</f>
        <v>88400</v>
      </c>
      <c r="K1888" s="2">
        <f ca="1">IFERROR(__xludf.DUMMYFUNCTION("""COMPUTED_VALUE"""),90900)</f>
        <v>90900</v>
      </c>
      <c r="L1888" s="2" t="str">
        <f ca="1">IFERROR(__xludf.DUMMYFUNCTION("""COMPUTED_VALUE"""),"d4a68b1a")</f>
        <v>d4a68b1a</v>
      </c>
      <c r="M1888" s="2" t="str">
        <f ca="1">IFERROR(__xludf.DUMMYFUNCTION("""COMPUTED_VALUE"""),"Malbec Lopez")</f>
        <v>Malbec Lopez</v>
      </c>
      <c r="N1888" s="2"/>
      <c r="O1888" s="2" t="str">
        <f ca="1">IFERROR(__xludf.DUMMYFUNCTION("""COMPUTED_VALUE"""),"1er Trasiego")</f>
        <v>1er Trasiego</v>
      </c>
      <c r="P1888" s="2" t="str">
        <f ca="1">IFERROR(__xludf.DUMMYFUNCTION("""COMPUTED_VALUE"""),"2do Trasiego")</f>
        <v>2do Trasiego</v>
      </c>
      <c r="Q1888" s="2" t="b">
        <f ca="1">IFERROR(__xludf.DUMMYFUNCTION("""COMPUTED_VALUE"""),TRUE)</f>
        <v>1</v>
      </c>
      <c r="R1888" s="2" t="str">
        <f ca="1">IFERROR(__xludf.DUMMYFUNCTION("""COMPUTED_VALUE"""),"2do Trasiego")</f>
        <v>2do Trasiego</v>
      </c>
      <c r="S1888" s="2"/>
      <c r="T1888" s="2"/>
      <c r="U1888" s="2" t="str">
        <f ca="1">IFERROR(__xludf.DUMMYFUNCTION("""COMPUTED_VALUE"""),"1+")</f>
        <v>1+</v>
      </c>
    </row>
    <row r="1889" spans="1:21" x14ac:dyDescent="0.25">
      <c r="A1889" s="2" t="str">
        <f ca="1">IFERROR(__xludf.DUMMYFUNCTION("""COMPUTED_VALUE"""),"9fed044e")</f>
        <v>9fed044e</v>
      </c>
      <c r="B1889" s="5">
        <f ca="1">IFERROR(__xludf.DUMMYFUNCTION("""COMPUTED_VALUE"""),46177.7553125)</f>
        <v>46177.755312499998</v>
      </c>
      <c r="C1889" s="2" t="str">
        <f ca="1">IFERROR(__xludf.DUMMYFUNCTION("""COMPUTED_VALUE"""),"94f40a8f")</f>
        <v>94f40a8f</v>
      </c>
      <c r="D1889" s="2">
        <f ca="1">IFERROR(__xludf.DUMMYFUNCTION("""COMPUTED_VALUE"""),24)</f>
        <v>24</v>
      </c>
      <c r="E1889" s="2" t="str">
        <f ca="1">IFERROR(__xludf.DUMMYFUNCTION("""COMPUTED_VALUE"""),"Criolla")</f>
        <v>Criolla</v>
      </c>
      <c r="F1889" s="2">
        <f ca="1">IFERROR(__xludf.DUMMYFUNCTION("""COMPUTED_VALUE"""),2500)</f>
        <v>2500</v>
      </c>
      <c r="G1889" s="2">
        <f ca="1">IFERROR(__xludf.DUMMYFUNCTION("""COMPUTED_VALUE"""),118)</f>
        <v>118</v>
      </c>
      <c r="H1889" s="2" t="str">
        <f ca="1">IFERROR(__xludf.DUMMYFUNCTION("""COMPUTED_VALUE"""),"d4a68b1a")</f>
        <v>d4a68b1a</v>
      </c>
      <c r="I1889" s="2" t="str">
        <f ca="1">IFERROR(__xludf.DUMMYFUNCTION("""COMPUTED_VALUE"""),"Malbec Lopez")</f>
        <v>Malbec Lopez</v>
      </c>
      <c r="J1889" s="2">
        <f ca="1">IFERROR(__xludf.DUMMYFUNCTION("""COMPUTED_VALUE"""),90900)</f>
        <v>90900</v>
      </c>
      <c r="K1889" s="2">
        <f ca="1">IFERROR(__xludf.DUMMYFUNCTION("""COMPUTED_VALUE"""),93400)</f>
        <v>93400</v>
      </c>
      <c r="L1889" s="2" t="str">
        <f ca="1">IFERROR(__xludf.DUMMYFUNCTION("""COMPUTED_VALUE"""),"778cb3d5")</f>
        <v>778cb3d5</v>
      </c>
      <c r="M1889" s="2" t="str">
        <f ca="1">IFERROR(__xludf.DUMMYFUNCTION("""COMPUTED_VALUE"""),"Malbec Lopez")</f>
        <v>Malbec Lopez</v>
      </c>
      <c r="N1889" s="2"/>
      <c r="O1889" s="2" t="str">
        <f ca="1">IFERROR(__xludf.DUMMYFUNCTION("""COMPUTED_VALUE"""),"1er Trasiego")</f>
        <v>1er Trasiego</v>
      </c>
      <c r="P1889" s="2" t="str">
        <f ca="1">IFERROR(__xludf.DUMMYFUNCTION("""COMPUTED_VALUE"""),"2do Trasiego")</f>
        <v>2do Trasiego</v>
      </c>
      <c r="Q1889" s="2" t="b">
        <f ca="1">IFERROR(__xludf.DUMMYFUNCTION("""COMPUTED_VALUE"""),TRUE)</f>
        <v>1</v>
      </c>
      <c r="R1889" s="2" t="str">
        <f ca="1">IFERROR(__xludf.DUMMYFUNCTION("""COMPUTED_VALUE"""),"2do Trasiego")</f>
        <v>2do Trasiego</v>
      </c>
      <c r="S1889" s="2"/>
      <c r="T1889" s="2"/>
      <c r="U1889" s="2" t="str">
        <f ca="1">IFERROR(__xludf.DUMMYFUNCTION("""COMPUTED_VALUE"""),"1+")</f>
        <v>1+</v>
      </c>
    </row>
    <row r="1890" spans="1:21" x14ac:dyDescent="0.25">
      <c r="A1890" s="2" t="str">
        <f ca="1">IFERROR(__xludf.DUMMYFUNCTION("""COMPUTED_VALUE"""),"ae7fa7a8")</f>
        <v>ae7fa7a8</v>
      </c>
      <c r="B1890" s="5">
        <f ca="1">IFERROR(__xludf.DUMMYFUNCTION("""COMPUTED_VALUE"""),46177.7557407407)</f>
        <v>46177.7557407407</v>
      </c>
      <c r="C1890" s="2" t="str">
        <f ca="1">IFERROR(__xludf.DUMMYFUNCTION("""COMPUTED_VALUE"""),"deec46bc")</f>
        <v>deec46bc</v>
      </c>
      <c r="D1890" s="2">
        <f ca="1">IFERROR(__xludf.DUMMYFUNCTION("""COMPUTED_VALUE"""),26)</f>
        <v>26</v>
      </c>
      <c r="E1890" s="2" t="str">
        <f ca="1">IFERROR(__xludf.DUMMYFUNCTION("""COMPUTED_VALUE"""),"Tinto Varietal B")</f>
        <v>Tinto Varietal B</v>
      </c>
      <c r="F1890" s="2">
        <f ca="1">IFERROR(__xludf.DUMMYFUNCTION("""COMPUTED_VALUE"""),62200)</f>
        <v>62200</v>
      </c>
      <c r="G1890" s="2">
        <f ca="1">IFERROR(__xludf.DUMMYFUNCTION("""COMPUTED_VALUE"""),118)</f>
        <v>118</v>
      </c>
      <c r="H1890" s="2" t="str">
        <f ca="1">IFERROR(__xludf.DUMMYFUNCTION("""COMPUTED_VALUE"""),"778cb3d5")</f>
        <v>778cb3d5</v>
      </c>
      <c r="I1890" s="2" t="str">
        <f ca="1">IFERROR(__xludf.DUMMYFUNCTION("""COMPUTED_VALUE"""),"Malbec Lopez")</f>
        <v>Malbec Lopez</v>
      </c>
      <c r="J1890" s="2">
        <f ca="1">IFERROR(__xludf.DUMMYFUNCTION("""COMPUTED_VALUE"""),93400)</f>
        <v>93400</v>
      </c>
      <c r="K1890" s="2">
        <f ca="1">IFERROR(__xludf.DUMMYFUNCTION("""COMPUTED_VALUE"""),155600)</f>
        <v>155600</v>
      </c>
      <c r="L1890" s="2" t="str">
        <f ca="1">IFERROR(__xludf.DUMMYFUNCTION("""COMPUTED_VALUE"""),"9bb0e06f")</f>
        <v>9bb0e06f</v>
      </c>
      <c r="M1890" s="2" t="str">
        <f ca="1">IFERROR(__xludf.DUMMYFUNCTION("""COMPUTED_VALUE"""),"Malbec Lopez")</f>
        <v>Malbec Lopez</v>
      </c>
      <c r="N1890" s="2"/>
      <c r="O1890" s="2" t="str">
        <f ca="1">IFERROR(__xludf.DUMMYFUNCTION("""COMPUTED_VALUE"""),"Terminado")</f>
        <v>Terminado</v>
      </c>
      <c r="P1890" s="2" t="str">
        <f ca="1">IFERROR(__xludf.DUMMYFUNCTION("""COMPUTED_VALUE"""),"2do Trasiego")</f>
        <v>2do Trasiego</v>
      </c>
      <c r="Q1890" s="2" t="b">
        <f ca="1">IFERROR(__xludf.DUMMYFUNCTION("""COMPUTED_VALUE"""),TRUE)</f>
        <v>1</v>
      </c>
      <c r="R1890" s="2" t="str">
        <f ca="1">IFERROR(__xludf.DUMMYFUNCTION("""COMPUTED_VALUE"""),"2do Trasiego")</f>
        <v>2do Trasiego</v>
      </c>
      <c r="S1890" s="2"/>
      <c r="T1890" s="2"/>
      <c r="U1890" s="2" t="str">
        <f ca="1">IFERROR(__xludf.DUMMYFUNCTION("""COMPUTED_VALUE"""),"1+")</f>
        <v>1+</v>
      </c>
    </row>
    <row r="1891" spans="1:21" x14ac:dyDescent="0.25">
      <c r="A1891" s="2" t="str">
        <f ca="1">IFERROR(__xludf.DUMMYFUNCTION("""COMPUTED_VALUE"""),"cd196b48")</f>
        <v>cd196b48</v>
      </c>
      <c r="B1891" s="5">
        <f ca="1">IFERROR(__xludf.DUMMYFUNCTION("""COMPUTED_VALUE"""),46178.4438310185)</f>
        <v>46178.4438310185</v>
      </c>
      <c r="C1891" s="2" t="str">
        <f ca="1">IFERROR(__xludf.DUMMYFUNCTION("""COMPUTED_VALUE"""),"2be33c71")</f>
        <v>2be33c71</v>
      </c>
      <c r="D1891" s="2">
        <f ca="1">IFERROR(__xludf.DUMMYFUNCTION("""COMPUTED_VALUE"""),14)</f>
        <v>14</v>
      </c>
      <c r="E1891" s="2" t="str">
        <f ca="1">IFERROR(__xludf.DUMMYFUNCTION("""COMPUTED_VALUE"""),"Bonarda")</f>
        <v>Bonarda</v>
      </c>
      <c r="F1891" s="2">
        <f ca="1">IFERROR(__xludf.DUMMYFUNCTION("""COMPUTED_VALUE"""),1300)</f>
        <v>1300</v>
      </c>
      <c r="G1891" s="2">
        <f ca="1">IFERROR(__xludf.DUMMYFUNCTION("""COMPUTED_VALUE"""),114)</f>
        <v>114</v>
      </c>
      <c r="H1891" s="2" t="str">
        <f ca="1">IFERROR(__xludf.DUMMYFUNCTION("""COMPUTED_VALUE"""),"eb6cf98d")</f>
        <v>eb6cf98d</v>
      </c>
      <c r="I1891" s="2" t="str">
        <f ca="1">IFERROR(__xludf.DUMMYFUNCTION("""COMPUTED_VALUE"""),"Syrah")</f>
        <v>Syrah</v>
      </c>
      <c r="J1891" s="2">
        <f ca="1">IFERROR(__xludf.DUMMYFUNCTION("""COMPUTED_VALUE"""),73400)</f>
        <v>73400</v>
      </c>
      <c r="K1891" s="2">
        <f ca="1">IFERROR(__xludf.DUMMYFUNCTION("""COMPUTED_VALUE"""),74700)</f>
        <v>74700</v>
      </c>
      <c r="L1891" s="2" t="str">
        <f ca="1">IFERROR(__xludf.DUMMYFUNCTION("""COMPUTED_VALUE"""),"2a917038")</f>
        <v>2a917038</v>
      </c>
      <c r="M1891" s="2" t="str">
        <f ca="1">IFERROR(__xludf.DUMMYFUNCTION("""COMPUTED_VALUE"""),"Syrah")</f>
        <v>Syrah</v>
      </c>
      <c r="N1891" s="2"/>
      <c r="O1891" s="2" t="str">
        <f ca="1">IFERROR(__xludf.DUMMYFUNCTION("""COMPUTED_VALUE"""),"Descubada")</f>
        <v>Descubada</v>
      </c>
      <c r="P1891" s="2" t="str">
        <f ca="1">IFERROR(__xludf.DUMMYFUNCTION("""COMPUTED_VALUE"""),"1er Trasiego")</f>
        <v>1er Trasiego</v>
      </c>
      <c r="Q1891" s="2" t="b">
        <f ca="1">IFERROR(__xludf.DUMMYFUNCTION("""COMPUTED_VALUE"""),TRUE)</f>
        <v>1</v>
      </c>
      <c r="R1891" s="2" t="str">
        <f ca="1">IFERROR(__xludf.DUMMYFUNCTION("""COMPUTED_VALUE"""),"1er Trasiego")</f>
        <v>1er Trasiego</v>
      </c>
      <c r="S1891" s="2"/>
      <c r="T1891" s="2"/>
      <c r="U1891" s="2" t="str">
        <f ca="1">IFERROR(__xludf.DUMMYFUNCTION("""COMPUTED_VALUE"""),"1+")</f>
        <v>1+</v>
      </c>
    </row>
    <row r="1892" spans="1:21" x14ac:dyDescent="0.25">
      <c r="A1892" s="2" t="str">
        <f ca="1">IFERROR(__xludf.DUMMYFUNCTION("""COMPUTED_VALUE"""),"ce3969ae")</f>
        <v>ce3969ae</v>
      </c>
      <c r="B1892" s="5">
        <f ca="1">IFERROR(__xludf.DUMMYFUNCTION("""COMPUTED_VALUE"""),46178.4461111111)</f>
        <v>46178.446111111101</v>
      </c>
      <c r="C1892" s="2" t="str">
        <f ca="1">IFERROR(__xludf.DUMMYFUNCTION("""COMPUTED_VALUE"""),"0f375d43")</f>
        <v>0f375d43</v>
      </c>
      <c r="D1892" s="2">
        <f ca="1">IFERROR(__xludf.DUMMYFUNCTION("""COMPUTED_VALUE"""),46)</f>
        <v>46</v>
      </c>
      <c r="E1892" s="2" t="str">
        <f ca="1">IFERROR(__xludf.DUMMYFUNCTION("""COMPUTED_VALUE"""),"Aspirant")</f>
        <v>Aspirant</v>
      </c>
      <c r="F1892" s="2">
        <f ca="1">IFERROR(__xludf.DUMMYFUNCTION("""COMPUTED_VALUE"""),1400)</f>
        <v>1400</v>
      </c>
      <c r="G1892" s="2">
        <f ca="1">IFERROR(__xludf.DUMMYFUNCTION("""COMPUTED_VALUE"""),114)</f>
        <v>114</v>
      </c>
      <c r="H1892" s="2" t="str">
        <f ca="1">IFERROR(__xludf.DUMMYFUNCTION("""COMPUTED_VALUE"""),"2a917038")</f>
        <v>2a917038</v>
      </c>
      <c r="I1892" s="2" t="str">
        <f ca="1">IFERROR(__xludf.DUMMYFUNCTION("""COMPUTED_VALUE"""),"Syrah")</f>
        <v>Syrah</v>
      </c>
      <c r="J1892" s="2">
        <f ca="1">IFERROR(__xludf.DUMMYFUNCTION("""COMPUTED_VALUE"""),74700)</f>
        <v>74700</v>
      </c>
      <c r="K1892" s="2">
        <f ca="1">IFERROR(__xludf.DUMMYFUNCTION("""COMPUTED_VALUE"""),76100)</f>
        <v>76100</v>
      </c>
      <c r="L1892" s="2" t="str">
        <f ca="1">IFERROR(__xludf.DUMMYFUNCTION("""COMPUTED_VALUE"""),"494a6881")</f>
        <v>494a6881</v>
      </c>
      <c r="M1892" s="2" t="str">
        <f ca="1">IFERROR(__xludf.DUMMYFUNCTION("""COMPUTED_VALUE"""),"Syrah")</f>
        <v>Syrah</v>
      </c>
      <c r="N1892" s="2"/>
      <c r="O1892" s="2" t="str">
        <f ca="1">IFERROR(__xludf.DUMMYFUNCTION("""COMPUTED_VALUE"""),"Descubada")</f>
        <v>Descubada</v>
      </c>
      <c r="P1892" s="2" t="str">
        <f ca="1">IFERROR(__xludf.DUMMYFUNCTION("""COMPUTED_VALUE"""),"1er Trasiego")</f>
        <v>1er Trasiego</v>
      </c>
      <c r="Q1892" s="2" t="b">
        <f ca="1">IFERROR(__xludf.DUMMYFUNCTION("""COMPUTED_VALUE"""),TRUE)</f>
        <v>1</v>
      </c>
      <c r="R1892" s="2" t="str">
        <f ca="1">IFERROR(__xludf.DUMMYFUNCTION("""COMPUTED_VALUE"""),"1er Trasiego")</f>
        <v>1er Trasiego</v>
      </c>
      <c r="S1892" s="2"/>
      <c r="T1892" s="2"/>
      <c r="U1892" s="2" t="str">
        <f ca="1">IFERROR(__xludf.DUMMYFUNCTION("""COMPUTED_VALUE"""),"1+")</f>
        <v>1+</v>
      </c>
    </row>
    <row r="1893" spans="1:21" x14ac:dyDescent="0.25">
      <c r="A1893" s="2" t="str">
        <f ca="1">IFERROR(__xludf.DUMMYFUNCTION("""COMPUTED_VALUE"""),"19d06551")</f>
        <v>19d06551</v>
      </c>
      <c r="B1893" s="5">
        <f ca="1">IFERROR(__xludf.DUMMYFUNCTION("""COMPUTED_VALUE"""),46178.4593287037)</f>
        <v>46178.459328703699</v>
      </c>
      <c r="C1893" s="2" t="str">
        <f ca="1">IFERROR(__xludf.DUMMYFUNCTION("""COMPUTED_VALUE"""),"e9c60218")</f>
        <v>e9c60218</v>
      </c>
      <c r="D1893" s="2">
        <f ca="1">IFERROR(__xludf.DUMMYFUNCTION("""COMPUTED_VALUE"""),71)</f>
        <v>71</v>
      </c>
      <c r="E1893" s="2" t="str">
        <f ca="1">IFERROR(__xludf.DUMMYFUNCTION("""COMPUTED_VALUE"""),"Merlot s/Asp")</f>
        <v>Merlot s/Asp</v>
      </c>
      <c r="F1893" s="2">
        <f ca="1">IFERROR(__xludf.DUMMYFUNCTION("""COMPUTED_VALUE"""),-1000)</f>
        <v>-1000</v>
      </c>
      <c r="G1893" s="2">
        <f ca="1">IFERROR(__xludf.DUMMYFUNCTION("""COMPUTED_VALUE"""),500)</f>
        <v>500</v>
      </c>
      <c r="H1893" s="2" t="str">
        <f ca="1">IFERROR(__xludf.DUMMYFUNCTION("""COMPUTED_VALUE"""),"84b178fc")</f>
        <v>84b178fc</v>
      </c>
      <c r="I1893" s="2" t="str">
        <f ca="1">IFERROR(__xludf.DUMMYFUNCTION("""COMPUTED_VALUE"""),"Ajuste Cosecha 2026")</f>
        <v>Ajuste Cosecha 2026</v>
      </c>
      <c r="J1893" s="2">
        <f ca="1">IFERROR(__xludf.DUMMYFUNCTION("""COMPUTED_VALUE"""),33200)</f>
        <v>33200</v>
      </c>
      <c r="K1893" s="2">
        <f ca="1">IFERROR(__xludf.DUMMYFUNCTION("""COMPUTED_VALUE"""),32200)</f>
        <v>32200</v>
      </c>
      <c r="L1893" s="2" t="str">
        <f ca="1">IFERROR(__xludf.DUMMYFUNCTION("""COMPUTED_VALUE"""),"fa6a2321")</f>
        <v>fa6a2321</v>
      </c>
      <c r="M1893" s="2" t="str">
        <f ca="1">IFERROR(__xludf.DUMMYFUNCTION("""COMPUTED_VALUE"""),"Ajuste Cosecha 2026")</f>
        <v>Ajuste Cosecha 2026</v>
      </c>
      <c r="N1893" s="2"/>
      <c r="O1893" s="2" t="str">
        <f ca="1">IFERROR(__xludf.DUMMYFUNCTION("""COMPUTED_VALUE"""),"1er Trasiego")</f>
        <v>1er Trasiego</v>
      </c>
      <c r="P1893" s="2"/>
      <c r="Q1893" s="2" t="b">
        <f ca="1">IFERROR(__xludf.DUMMYFUNCTION("""COMPUTED_VALUE"""),TRUE)</f>
        <v>1</v>
      </c>
      <c r="R1893" s="2"/>
      <c r="S1893" s="2"/>
      <c r="T1893" s="2"/>
      <c r="U1893" s="2"/>
    </row>
    <row r="1894" spans="1:21" x14ac:dyDescent="0.25">
      <c r="A1894" s="2" t="str">
        <f ca="1">IFERROR(__xludf.DUMMYFUNCTION("""COMPUTED_VALUE"""),"77ebbaeb")</f>
        <v>77ebbaeb</v>
      </c>
      <c r="B1894" s="5">
        <f ca="1">IFERROR(__xludf.DUMMYFUNCTION("""COMPUTED_VALUE"""),46181.5176388888)</f>
        <v>46181.517638888799</v>
      </c>
      <c r="C1894" s="2" t="str">
        <f ca="1">IFERROR(__xludf.DUMMYFUNCTION("""COMPUTED_VALUE"""),"94f40a8f")</f>
        <v>94f40a8f</v>
      </c>
      <c r="D1894" s="2">
        <f ca="1">IFERROR(__xludf.DUMMYFUNCTION("""COMPUTED_VALUE"""),24)</f>
        <v>24</v>
      </c>
      <c r="E1894" s="2" t="str">
        <f ca="1">IFERROR(__xludf.DUMMYFUNCTION("""COMPUTED_VALUE"""),"Criolla")</f>
        <v>Criolla</v>
      </c>
      <c r="F1894" s="2">
        <f ca="1">IFERROR(__xludf.DUMMYFUNCTION("""COMPUTED_VALUE"""),39300)</f>
        <v>39300</v>
      </c>
      <c r="G1894" s="2">
        <f ca="1">IFERROR(__xludf.DUMMYFUNCTION("""COMPUTED_VALUE"""),35)</f>
        <v>35</v>
      </c>
      <c r="H1894" s="2"/>
      <c r="I1894" s="2"/>
      <c r="J1894" s="2">
        <f ca="1">IFERROR(__xludf.DUMMYFUNCTION("""COMPUTED_VALUE"""),0)</f>
        <v>0</v>
      </c>
      <c r="K1894" s="2">
        <f ca="1">IFERROR(__xludf.DUMMYFUNCTION("""COMPUTED_VALUE"""),39300)</f>
        <v>39300</v>
      </c>
      <c r="L1894" s="2" t="str">
        <f ca="1">IFERROR(__xludf.DUMMYFUNCTION("""COMPUTED_VALUE"""),"cabd60e4")</f>
        <v>cabd60e4</v>
      </c>
      <c r="M1894" s="2" t="str">
        <f ca="1">IFERROR(__xludf.DUMMYFUNCTION("""COMPUTED_VALUE"""),"Criolla")</f>
        <v>Criolla</v>
      </c>
      <c r="N1894" s="2"/>
      <c r="O1894" s="2" t="str">
        <f ca="1">IFERROR(__xludf.DUMMYFUNCTION("""COMPUTED_VALUE"""),"1er Trasiego")</f>
        <v>1er Trasiego</v>
      </c>
      <c r="P1894" s="2"/>
      <c r="Q1894" s="2" t="b">
        <f ca="1">IFERROR(__xludf.DUMMYFUNCTION("""COMPUTED_VALUE"""),FALSE)</f>
        <v>0</v>
      </c>
      <c r="R1894" s="2" t="str">
        <f ca="1">IFERROR(__xludf.DUMMYFUNCTION("""COMPUTED_VALUE"""),"2do Trasiego")</f>
        <v>2do Trasiego</v>
      </c>
      <c r="S1894" s="2"/>
      <c r="T1894" s="2"/>
      <c r="U1894" s="2"/>
    </row>
    <row r="1895" spans="1:21" x14ac:dyDescent="0.25">
      <c r="A1895" s="2" t="str">
        <f ca="1">IFERROR(__xludf.DUMMYFUNCTION("""COMPUTED_VALUE"""),"a2265a05")</f>
        <v>a2265a05</v>
      </c>
      <c r="B1895" s="5">
        <f ca="1">IFERROR(__xludf.DUMMYFUNCTION("""COMPUTED_VALUE"""),46181.5179398148)</f>
        <v>46181.517939814803</v>
      </c>
      <c r="C1895" s="2" t="str">
        <f ca="1">IFERROR(__xludf.DUMMYFUNCTION("""COMPUTED_VALUE"""),"94f40a8f")</f>
        <v>94f40a8f</v>
      </c>
      <c r="D1895" s="2">
        <f ca="1">IFERROR(__xludf.DUMMYFUNCTION("""COMPUTED_VALUE"""),24)</f>
        <v>24</v>
      </c>
      <c r="E1895" s="2" t="str">
        <f ca="1">IFERROR(__xludf.DUMMYFUNCTION("""COMPUTED_VALUE"""),"Criolla")</f>
        <v>Criolla</v>
      </c>
      <c r="F1895" s="2">
        <f ca="1">IFERROR(__xludf.DUMMYFUNCTION("""COMPUTED_VALUE"""),36300)</f>
        <v>36300</v>
      </c>
      <c r="G1895" s="2">
        <f ca="1">IFERROR(__xludf.DUMMYFUNCTION("""COMPUTED_VALUE"""),32)</f>
        <v>32</v>
      </c>
      <c r="H1895" s="2"/>
      <c r="I1895" s="2"/>
      <c r="J1895" s="2">
        <f ca="1">IFERROR(__xludf.DUMMYFUNCTION("""COMPUTED_VALUE"""),0)</f>
        <v>0</v>
      </c>
      <c r="K1895" s="2">
        <f ca="1">IFERROR(__xludf.DUMMYFUNCTION("""COMPUTED_VALUE"""),36300)</f>
        <v>36300</v>
      </c>
      <c r="L1895" s="2" t="str">
        <f ca="1">IFERROR(__xludf.DUMMYFUNCTION("""COMPUTED_VALUE"""),"7ba30747")</f>
        <v>7ba30747</v>
      </c>
      <c r="M1895" s="2" t="str">
        <f ca="1">IFERROR(__xludf.DUMMYFUNCTION("""COMPUTED_VALUE"""),"Criolla")</f>
        <v>Criolla</v>
      </c>
      <c r="N1895" s="2"/>
      <c r="O1895" s="2" t="str">
        <f ca="1">IFERROR(__xludf.DUMMYFUNCTION("""COMPUTED_VALUE"""),"1er Trasiego")</f>
        <v>1er Trasiego</v>
      </c>
      <c r="P1895" s="2"/>
      <c r="Q1895" s="2" t="b">
        <f ca="1">IFERROR(__xludf.DUMMYFUNCTION("""COMPUTED_VALUE"""),FALSE)</f>
        <v>0</v>
      </c>
      <c r="R1895" s="2" t="str">
        <f ca="1">IFERROR(__xludf.DUMMYFUNCTION("""COMPUTED_VALUE"""),"2do Trasiego")</f>
        <v>2do Trasiego</v>
      </c>
      <c r="S1895" s="2"/>
      <c r="T1895" s="2"/>
      <c r="U1895" s="2"/>
    </row>
    <row r="1896" spans="1:21" x14ac:dyDescent="0.25">
      <c r="A1896" s="2" t="str">
        <f ca="1">IFERROR(__xludf.DUMMYFUNCTION("""COMPUTED_VALUE"""),"76364cbf")</f>
        <v>76364cbf</v>
      </c>
      <c r="B1896" s="5">
        <f ca="1">IFERROR(__xludf.DUMMYFUNCTION("""COMPUTED_VALUE"""),46181.5181712962)</f>
        <v>46181.5181712962</v>
      </c>
      <c r="C1896" s="2" t="str">
        <f ca="1">IFERROR(__xludf.DUMMYFUNCTION("""COMPUTED_VALUE"""),"94f40a8f")</f>
        <v>94f40a8f</v>
      </c>
      <c r="D1896" s="2">
        <f ca="1">IFERROR(__xludf.DUMMYFUNCTION("""COMPUTED_VALUE"""),24)</f>
        <v>24</v>
      </c>
      <c r="E1896" s="2" t="str">
        <f ca="1">IFERROR(__xludf.DUMMYFUNCTION("""COMPUTED_VALUE"""),"Criolla")</f>
        <v>Criolla</v>
      </c>
      <c r="F1896" s="2">
        <f ca="1">IFERROR(__xludf.DUMMYFUNCTION("""COMPUTED_VALUE"""),36500)</f>
        <v>36500</v>
      </c>
      <c r="G1896" s="2">
        <f ca="1">IFERROR(__xludf.DUMMYFUNCTION("""COMPUTED_VALUE"""),15)</f>
        <v>15</v>
      </c>
      <c r="H1896" s="2"/>
      <c r="I1896" s="2"/>
      <c r="J1896" s="2">
        <f ca="1">IFERROR(__xludf.DUMMYFUNCTION("""COMPUTED_VALUE"""),0)</f>
        <v>0</v>
      </c>
      <c r="K1896" s="2">
        <f ca="1">IFERROR(__xludf.DUMMYFUNCTION("""COMPUTED_VALUE"""),36500)</f>
        <v>36500</v>
      </c>
      <c r="L1896" s="2" t="str">
        <f ca="1">IFERROR(__xludf.DUMMYFUNCTION("""COMPUTED_VALUE"""),"79df7134")</f>
        <v>79df7134</v>
      </c>
      <c r="M1896" s="2" t="str">
        <f ca="1">IFERROR(__xludf.DUMMYFUNCTION("""COMPUTED_VALUE"""),"Criolla")</f>
        <v>Criolla</v>
      </c>
      <c r="N1896" s="2"/>
      <c r="O1896" s="2" t="str">
        <f ca="1">IFERROR(__xludf.DUMMYFUNCTION("""COMPUTED_VALUE"""),"1er Trasiego")</f>
        <v>1er Trasiego</v>
      </c>
      <c r="P1896" s="2"/>
      <c r="Q1896" s="2" t="b">
        <f ca="1">IFERROR(__xludf.DUMMYFUNCTION("""COMPUTED_VALUE"""),FALSE)</f>
        <v>0</v>
      </c>
      <c r="R1896" s="2" t="str">
        <f ca="1">IFERROR(__xludf.DUMMYFUNCTION("""COMPUTED_VALUE"""),"2do Trasiego")</f>
        <v>2do Trasiego</v>
      </c>
      <c r="S1896" s="2"/>
      <c r="T1896" s="2"/>
      <c r="U1896" s="2"/>
    </row>
    <row r="1897" spans="1:21" x14ac:dyDescent="0.25">
      <c r="A1897" s="2" t="str">
        <f ca="1">IFERROR(__xludf.DUMMYFUNCTION("""COMPUTED_VALUE"""),"dee770f3")</f>
        <v>dee770f3</v>
      </c>
      <c r="B1897" s="5">
        <f ca="1">IFERROR(__xludf.DUMMYFUNCTION("""COMPUTED_VALUE"""),46181.518449074)</f>
        <v>46181.518449073999</v>
      </c>
      <c r="C1897" s="2" t="str">
        <f ca="1">IFERROR(__xludf.DUMMYFUNCTION("""COMPUTED_VALUE"""),"94f40a8f")</f>
        <v>94f40a8f</v>
      </c>
      <c r="D1897" s="2">
        <f ca="1">IFERROR(__xludf.DUMMYFUNCTION("""COMPUTED_VALUE"""),24)</f>
        <v>24</v>
      </c>
      <c r="E1897" s="2" t="str">
        <f ca="1">IFERROR(__xludf.DUMMYFUNCTION("""COMPUTED_VALUE"""),"Criolla")</f>
        <v>Criolla</v>
      </c>
      <c r="F1897" s="2">
        <f ca="1">IFERROR(__xludf.DUMMYFUNCTION("""COMPUTED_VALUE"""),37000)</f>
        <v>37000</v>
      </c>
      <c r="G1897" s="2">
        <f ca="1">IFERROR(__xludf.DUMMYFUNCTION("""COMPUTED_VALUE"""),14)</f>
        <v>14</v>
      </c>
      <c r="H1897" s="2"/>
      <c r="I1897" s="2"/>
      <c r="J1897" s="2">
        <f ca="1">IFERROR(__xludf.DUMMYFUNCTION("""COMPUTED_VALUE"""),0)</f>
        <v>0</v>
      </c>
      <c r="K1897" s="2">
        <f ca="1">IFERROR(__xludf.DUMMYFUNCTION("""COMPUTED_VALUE"""),37000)</f>
        <v>37000</v>
      </c>
      <c r="L1897" s="2" t="str">
        <f ca="1">IFERROR(__xludf.DUMMYFUNCTION("""COMPUTED_VALUE"""),"f5216f91")</f>
        <v>f5216f91</v>
      </c>
      <c r="M1897" s="2" t="str">
        <f ca="1">IFERROR(__xludf.DUMMYFUNCTION("""COMPUTED_VALUE"""),"Criolla")</f>
        <v>Criolla</v>
      </c>
      <c r="N1897" s="2"/>
      <c r="O1897" s="2" t="str">
        <f ca="1">IFERROR(__xludf.DUMMYFUNCTION("""COMPUTED_VALUE"""),"1er Trasiego")</f>
        <v>1er Trasiego</v>
      </c>
      <c r="P1897" s="2"/>
      <c r="Q1897" s="2" t="b">
        <f ca="1">IFERROR(__xludf.DUMMYFUNCTION("""COMPUTED_VALUE"""),FALSE)</f>
        <v>0</v>
      </c>
      <c r="R1897" s="2" t="str">
        <f ca="1">IFERROR(__xludf.DUMMYFUNCTION("""COMPUTED_VALUE"""),"2do Trasiego")</f>
        <v>2do Trasiego</v>
      </c>
      <c r="S1897" s="2"/>
      <c r="T1897" s="2"/>
      <c r="U1897" s="2"/>
    </row>
    <row r="1898" spans="1:21" x14ac:dyDescent="0.25">
      <c r="A1898" s="2" t="str">
        <f ca="1">IFERROR(__xludf.DUMMYFUNCTION("""COMPUTED_VALUE"""),"bd8f8699")</f>
        <v>bd8f8699</v>
      </c>
      <c r="B1898" s="5">
        <f ca="1">IFERROR(__xludf.DUMMYFUNCTION("""COMPUTED_VALUE"""),46181.5248379629)</f>
        <v>46181.524837962897</v>
      </c>
      <c r="C1898" s="2" t="str">
        <f ca="1">IFERROR(__xludf.DUMMYFUNCTION("""COMPUTED_VALUE"""),"94f40a8f")</f>
        <v>94f40a8f</v>
      </c>
      <c r="D1898" s="2">
        <f ca="1">IFERROR(__xludf.DUMMYFUNCTION("""COMPUTED_VALUE"""),24)</f>
        <v>24</v>
      </c>
      <c r="E1898" s="2" t="str">
        <f ca="1">IFERROR(__xludf.DUMMYFUNCTION("""COMPUTED_VALUE"""),"Criolla")</f>
        <v>Criolla</v>
      </c>
      <c r="F1898" s="2">
        <f ca="1">IFERROR(__xludf.DUMMYFUNCTION("""COMPUTED_VALUE"""),3500)</f>
        <v>3500</v>
      </c>
      <c r="G1898" s="2">
        <f ca="1">IFERROR(__xludf.DUMMYFUNCTION("""COMPUTED_VALUE"""),74)</f>
        <v>74</v>
      </c>
      <c r="H1898" s="2" t="str">
        <f ca="1">IFERROR(__xludf.DUMMYFUNCTION("""COMPUTED_VALUE"""),"fda6270c")</f>
        <v>fda6270c</v>
      </c>
      <c r="I1898" s="2" t="str">
        <f ca="1">IFERROR(__xludf.DUMMYFUNCTION("""COMPUTED_VALUE"""),"Borra")</f>
        <v>Borra</v>
      </c>
      <c r="J1898" s="2">
        <f ca="1">IFERROR(__xludf.DUMMYFUNCTION("""COMPUTED_VALUE"""),5400)</f>
        <v>5400</v>
      </c>
      <c r="K1898" s="2">
        <f ca="1">IFERROR(__xludf.DUMMYFUNCTION("""COMPUTED_VALUE"""),8900)</f>
        <v>8900</v>
      </c>
      <c r="L1898" s="2" t="str">
        <f ca="1">IFERROR(__xludf.DUMMYFUNCTION("""COMPUTED_VALUE"""),"62b54acc")</f>
        <v>62b54acc</v>
      </c>
      <c r="M1898" s="2" t="str">
        <f ca="1">IFERROR(__xludf.DUMMYFUNCTION("""COMPUTED_VALUE"""),"Criolla")</f>
        <v>Criolla</v>
      </c>
      <c r="N1898" s="2"/>
      <c r="O1898" s="2" t="str">
        <f ca="1">IFERROR(__xludf.DUMMYFUNCTION("""COMPUTED_VALUE"""),"1er Trasiego")</f>
        <v>1er Trasiego</v>
      </c>
      <c r="P1898" s="2" t="str">
        <f ca="1">IFERROR(__xludf.DUMMYFUNCTION("""COMPUTED_VALUE"""),"Terminado")</f>
        <v>Terminado</v>
      </c>
      <c r="Q1898" s="2" t="b">
        <f ca="1">IFERROR(__xludf.DUMMYFUNCTION("""COMPUTED_VALUE"""),FALSE)</f>
        <v>0</v>
      </c>
      <c r="R1898" s="2" t="str">
        <f ca="1">IFERROR(__xludf.DUMMYFUNCTION("""COMPUTED_VALUE"""),"1er Trasiego")</f>
        <v>1er Trasiego</v>
      </c>
      <c r="S1898" s="2"/>
      <c r="T1898" s="2"/>
      <c r="U1898" s="2"/>
    </row>
    <row r="1899" spans="1:21" x14ac:dyDescent="0.25">
      <c r="A1899" s="2" t="str">
        <f ca="1">IFERROR(__xludf.DUMMYFUNCTION("""COMPUTED_VALUE"""),"965c86bd")</f>
        <v>965c86bd</v>
      </c>
      <c r="B1899" s="5">
        <f ca="1">IFERROR(__xludf.DUMMYFUNCTION("""COMPUTED_VALUE"""),46181.5257175925)</f>
        <v>46181.5257175925</v>
      </c>
      <c r="C1899" s="2" t="str">
        <f ca="1">IFERROR(__xludf.DUMMYFUNCTION("""COMPUTED_VALUE"""),"94f40a8f")</f>
        <v>94f40a8f</v>
      </c>
      <c r="D1899" s="2">
        <f ca="1">IFERROR(__xludf.DUMMYFUNCTION("""COMPUTED_VALUE"""),24)</f>
        <v>24</v>
      </c>
      <c r="E1899" s="2" t="str">
        <f ca="1">IFERROR(__xludf.DUMMYFUNCTION("""COMPUTED_VALUE"""),"Criolla")</f>
        <v>Criolla</v>
      </c>
      <c r="F1899" s="2">
        <f ca="1">IFERROR(__xludf.DUMMYFUNCTION("""COMPUTED_VALUE"""),3000)</f>
        <v>3000</v>
      </c>
      <c r="G1899" s="2">
        <f ca="1">IFERROR(__xludf.DUMMYFUNCTION("""COMPUTED_VALUE"""),74)</f>
        <v>74</v>
      </c>
      <c r="H1899" s="2" t="str">
        <f ca="1">IFERROR(__xludf.DUMMYFUNCTION("""COMPUTED_VALUE"""),"62b54acc")</f>
        <v>62b54acc</v>
      </c>
      <c r="I1899" s="2" t="str">
        <f ca="1">IFERROR(__xludf.DUMMYFUNCTION("""COMPUTED_VALUE"""),"Criolla")</f>
        <v>Criolla</v>
      </c>
      <c r="J1899" s="2">
        <f ca="1">IFERROR(__xludf.DUMMYFUNCTION("""COMPUTED_VALUE"""),8900)</f>
        <v>8900</v>
      </c>
      <c r="K1899" s="2">
        <f ca="1">IFERROR(__xludf.DUMMYFUNCTION("""COMPUTED_VALUE"""),11900)</f>
        <v>11900</v>
      </c>
      <c r="L1899" s="2" t="str">
        <f ca="1">IFERROR(__xludf.DUMMYFUNCTION("""COMPUTED_VALUE"""),"3ee4aa4c")</f>
        <v>3ee4aa4c</v>
      </c>
      <c r="M1899" s="2" t="str">
        <f ca="1">IFERROR(__xludf.DUMMYFUNCTION("""COMPUTED_VALUE"""),"Borra")</f>
        <v>Borra</v>
      </c>
      <c r="N1899" s="2"/>
      <c r="O1899" s="2" t="str">
        <f ca="1">IFERROR(__xludf.DUMMYFUNCTION("""COMPUTED_VALUE"""),"1er Trasiego")</f>
        <v>1er Trasiego</v>
      </c>
      <c r="P1899" s="2" t="str">
        <f ca="1">IFERROR(__xludf.DUMMYFUNCTION("""COMPUTED_VALUE"""),"1er Trasiego")</f>
        <v>1er Trasiego</v>
      </c>
      <c r="Q1899" s="2" t="b">
        <f ca="1">IFERROR(__xludf.DUMMYFUNCTION("""COMPUTED_VALUE"""),TRUE)</f>
        <v>1</v>
      </c>
      <c r="R1899" s="2" t="str">
        <f ca="1">IFERROR(__xludf.DUMMYFUNCTION("""COMPUTED_VALUE"""),"1er Trasiego")</f>
        <v>1er Trasiego</v>
      </c>
      <c r="S1899" s="2"/>
      <c r="T1899" s="2"/>
      <c r="U1899" s="2"/>
    </row>
    <row r="1900" spans="1:21" x14ac:dyDescent="0.25">
      <c r="A1900" s="2" t="str">
        <f ca="1">IFERROR(__xludf.DUMMYFUNCTION("""COMPUTED_VALUE"""),"70ff0e47")</f>
        <v>70ff0e47</v>
      </c>
      <c r="B1900" s="5">
        <f ca="1">IFERROR(__xludf.DUMMYFUNCTION("""COMPUTED_VALUE"""),46181.5307407407)</f>
        <v>46181.530740740702</v>
      </c>
      <c r="C1900" s="2" t="str">
        <f ca="1">IFERROR(__xludf.DUMMYFUNCTION("""COMPUTED_VALUE"""),"94f40a8f")</f>
        <v>94f40a8f</v>
      </c>
      <c r="D1900" s="2">
        <f ca="1">IFERROR(__xludf.DUMMYFUNCTION("""COMPUTED_VALUE"""),24)</f>
        <v>24</v>
      </c>
      <c r="E1900" s="2" t="str">
        <f ca="1">IFERROR(__xludf.DUMMYFUNCTION("""COMPUTED_VALUE"""),"Criolla")</f>
        <v>Criolla</v>
      </c>
      <c r="F1900" s="2">
        <f ca="1">IFERROR(__xludf.DUMMYFUNCTION("""COMPUTED_VALUE"""),1900)</f>
        <v>1900</v>
      </c>
      <c r="G1900" s="2">
        <f ca="1">IFERROR(__xludf.DUMMYFUNCTION("""COMPUTED_VALUE"""),500)</f>
        <v>500</v>
      </c>
      <c r="H1900" s="2" t="str">
        <f ca="1">IFERROR(__xludf.DUMMYFUNCTION("""COMPUTED_VALUE"""),"fa6a2321")</f>
        <v>fa6a2321</v>
      </c>
      <c r="I1900" s="2" t="str">
        <f ca="1">IFERROR(__xludf.DUMMYFUNCTION("""COMPUTED_VALUE"""),"Ajuste Cosecha 2026")</f>
        <v>Ajuste Cosecha 2026</v>
      </c>
      <c r="J1900" s="2">
        <f ca="1">IFERROR(__xludf.DUMMYFUNCTION("""COMPUTED_VALUE"""),32200)</f>
        <v>32200</v>
      </c>
      <c r="K1900" s="2">
        <f ca="1">IFERROR(__xludf.DUMMYFUNCTION("""COMPUTED_VALUE"""),34100)</f>
        <v>34100</v>
      </c>
      <c r="L1900" s="2" t="str">
        <f ca="1">IFERROR(__xludf.DUMMYFUNCTION("""COMPUTED_VALUE"""),"0fc31db3")</f>
        <v>0fc31db3</v>
      </c>
      <c r="M1900" s="2" t="str">
        <f ca="1">IFERROR(__xludf.DUMMYFUNCTION("""COMPUTED_VALUE"""),"Ajuste Cosecha 2026")</f>
        <v>Ajuste Cosecha 2026</v>
      </c>
      <c r="N1900" s="2"/>
      <c r="O1900" s="2" t="str">
        <f ca="1">IFERROR(__xludf.DUMMYFUNCTION("""COMPUTED_VALUE"""),"1er Trasiego")</f>
        <v>1er Trasiego</v>
      </c>
      <c r="P1900" s="2"/>
      <c r="Q1900" s="2" t="b">
        <f ca="1">IFERROR(__xludf.DUMMYFUNCTION("""COMPUTED_VALUE"""),TRUE)</f>
        <v>1</v>
      </c>
      <c r="R1900" s="2"/>
      <c r="S1900" s="2"/>
      <c r="T1900" s="2"/>
      <c r="U1900" s="2"/>
    </row>
    <row r="1901" spans="1:21" x14ac:dyDescent="0.25">
      <c r="A1901" s="2" t="str">
        <f ca="1">IFERROR(__xludf.DUMMYFUNCTION("""COMPUTED_VALUE"""),"e21f0555")</f>
        <v>e21f0555</v>
      </c>
      <c r="B1901" s="5">
        <f ca="1">IFERROR(__xludf.DUMMYFUNCTION("""COMPUTED_VALUE"""),46181.7660763888)</f>
        <v>46181.766076388798</v>
      </c>
      <c r="C1901" s="2" t="str">
        <f ca="1">IFERROR(__xludf.DUMMYFUNCTION("""COMPUTED_VALUE"""),"494a6881")</f>
        <v>494a6881</v>
      </c>
      <c r="D1901" s="2">
        <f ca="1">IFERROR(__xludf.DUMMYFUNCTION("""COMPUTED_VALUE"""),114)</f>
        <v>114</v>
      </c>
      <c r="E1901" s="2" t="str">
        <f ca="1">IFERROR(__xludf.DUMMYFUNCTION("""COMPUTED_VALUE"""),"Syrah")</f>
        <v>Syrah</v>
      </c>
      <c r="F1901" s="2">
        <f ca="1">IFERROR(__xludf.DUMMYFUNCTION("""COMPUTED_VALUE"""),17000)</f>
        <v>17000</v>
      </c>
      <c r="G1901" s="2">
        <f ca="1">IFERROR(__xludf.DUMMYFUNCTION("""COMPUTED_VALUE"""),6)</f>
        <v>6</v>
      </c>
      <c r="H1901" s="2"/>
      <c r="I1901" s="2"/>
      <c r="J1901" s="2">
        <f ca="1">IFERROR(__xludf.DUMMYFUNCTION("""COMPUTED_VALUE"""),0)</f>
        <v>0</v>
      </c>
      <c r="K1901" s="2">
        <f ca="1">IFERROR(__xludf.DUMMYFUNCTION("""COMPUTED_VALUE"""),17000)</f>
        <v>17000</v>
      </c>
      <c r="L1901" s="2" t="str">
        <f ca="1">IFERROR(__xludf.DUMMYFUNCTION("""COMPUTED_VALUE"""),"77554ae9")</f>
        <v>77554ae9</v>
      </c>
      <c r="M1901" s="2" t="str">
        <f ca="1">IFERROR(__xludf.DUMMYFUNCTION("""COMPUTED_VALUE"""),"Syrah Rect")</f>
        <v>Syrah Rect</v>
      </c>
      <c r="N1901" s="2"/>
      <c r="O1901" s="2" t="str">
        <f ca="1">IFERROR(__xludf.DUMMYFUNCTION("""COMPUTED_VALUE"""),"1er Trasiego")</f>
        <v>1er Trasiego</v>
      </c>
      <c r="P1901" s="2"/>
      <c r="Q1901" s="2" t="b">
        <f ca="1">IFERROR(__xludf.DUMMYFUNCTION("""COMPUTED_VALUE"""),FALSE)</f>
        <v>0</v>
      </c>
      <c r="R1901" s="2" t="str">
        <f ca="1">IFERROR(__xludf.DUMMYFUNCTION("""COMPUTED_VALUE"""),"Rectificado")</f>
        <v>Rectificado</v>
      </c>
      <c r="S1901" s="2"/>
      <c r="T1901" s="2"/>
      <c r="U1901" s="2" t="str">
        <f ca="1">IFERROR(__xludf.DUMMYFUNCTION("""COMPUTED_VALUE"""),"1+")</f>
        <v>1+</v>
      </c>
    </row>
    <row r="1902" spans="1:21" x14ac:dyDescent="0.25">
      <c r="A1902" s="2" t="str">
        <f ca="1">IFERROR(__xludf.DUMMYFUNCTION("""COMPUTED_VALUE"""),"2faf5260")</f>
        <v>2faf5260</v>
      </c>
      <c r="B1902" s="5">
        <f ca="1">IFERROR(__xludf.DUMMYFUNCTION("""COMPUTED_VALUE"""),46182.785324074)</f>
        <v>46182.785324074001</v>
      </c>
      <c r="C1902" s="2" t="str">
        <f ca="1">IFERROR(__xludf.DUMMYFUNCTION("""COMPUTED_VALUE"""),"a624c62b")</f>
        <v>a624c62b</v>
      </c>
      <c r="D1902" s="2">
        <f ca="1">IFERROR(__xludf.DUMMYFUNCTION("""COMPUTED_VALUE"""),34)</f>
        <v>34</v>
      </c>
      <c r="E1902" s="2" t="str">
        <f ca="1">IFERROR(__xludf.DUMMYFUNCTION("""COMPUTED_VALUE"""),"Malbec Veg")</f>
        <v>Malbec Veg</v>
      </c>
      <c r="F1902" s="2">
        <f ca="1">IFERROR(__xludf.DUMMYFUNCTION("""COMPUTED_VALUE"""),39300)</f>
        <v>39300</v>
      </c>
      <c r="G1902" s="2">
        <f ca="1">IFERROR(__xludf.DUMMYFUNCTION("""COMPUTED_VALUE"""),24)</f>
        <v>24</v>
      </c>
      <c r="H1902" s="2"/>
      <c r="I1902" s="2"/>
      <c r="J1902" s="2">
        <f ca="1">IFERROR(__xludf.DUMMYFUNCTION("""COMPUTED_VALUE"""),0)</f>
        <v>0</v>
      </c>
      <c r="K1902" s="2">
        <f ca="1">IFERROR(__xludf.DUMMYFUNCTION("""COMPUTED_VALUE"""),39500)</f>
        <v>39500</v>
      </c>
      <c r="L1902" s="2" t="str">
        <f ca="1">IFERROR(__xludf.DUMMYFUNCTION("""COMPUTED_VALUE"""),"8d819f40")</f>
        <v>8d819f40</v>
      </c>
      <c r="M1902" s="2" t="str">
        <f ca="1">IFERROR(__xludf.DUMMYFUNCTION("""COMPUTED_VALUE"""),"Malbec Veg")</f>
        <v>Malbec Veg</v>
      </c>
      <c r="N1902" s="2"/>
      <c r="O1902" s="2" t="str">
        <f ca="1">IFERROR(__xludf.DUMMYFUNCTION("""COMPUTED_VALUE"""),"1er Trasiego")</f>
        <v>1er Trasiego</v>
      </c>
      <c r="P1902" s="2"/>
      <c r="Q1902" s="2" t="b">
        <f ca="1">IFERROR(__xludf.DUMMYFUNCTION("""COMPUTED_VALUE"""),FALSE)</f>
        <v>0</v>
      </c>
      <c r="R1902" s="2" t="str">
        <f ca="1">IFERROR(__xludf.DUMMYFUNCTION("""COMPUTED_VALUE"""),"2do Trasiego")</f>
        <v>2do Trasiego</v>
      </c>
      <c r="S1902" s="2"/>
      <c r="T1902" s="2"/>
      <c r="U1902" s="2" t="str">
        <f ca="1">IFERROR(__xludf.DUMMYFUNCTION("""COMPUTED_VALUE"""),"1-")</f>
        <v>1-</v>
      </c>
    </row>
    <row r="1903" spans="1:21" x14ac:dyDescent="0.25">
      <c r="A1903" s="2" t="str">
        <f ca="1">IFERROR(__xludf.DUMMYFUNCTION("""COMPUTED_VALUE"""),"df5107f3")</f>
        <v>df5107f3</v>
      </c>
      <c r="B1903" s="5">
        <f ca="1">IFERROR(__xludf.DUMMYFUNCTION("""COMPUTED_VALUE"""),46182.7860879629)</f>
        <v>46182.786087962901</v>
      </c>
      <c r="C1903" s="2" t="str">
        <f ca="1">IFERROR(__xludf.DUMMYFUNCTION("""COMPUTED_VALUE"""),"fbf098ee")</f>
        <v>fbf098ee</v>
      </c>
      <c r="D1903" s="2">
        <f ca="1">IFERROR(__xludf.DUMMYFUNCTION("""COMPUTED_VALUE"""),11)</f>
        <v>11</v>
      </c>
      <c r="E1903" s="2" t="str">
        <f ca="1">IFERROR(__xludf.DUMMYFUNCTION("""COMPUTED_VALUE"""),"Cabernet Sauv G")</f>
        <v>Cabernet Sauv G</v>
      </c>
      <c r="F1903" s="2">
        <f ca="1">IFERROR(__xludf.DUMMYFUNCTION("""COMPUTED_VALUE"""),36000)</f>
        <v>36000</v>
      </c>
      <c r="G1903" s="2">
        <f ca="1">IFERROR(__xludf.DUMMYFUNCTION("""COMPUTED_VALUE"""),24)</f>
        <v>24</v>
      </c>
      <c r="H1903" s="2" t="str">
        <f ca="1">IFERROR(__xludf.DUMMYFUNCTION("""COMPUTED_VALUE"""),"8d819f40")</f>
        <v>8d819f40</v>
      </c>
      <c r="I1903" s="2" t="str">
        <f ca="1">IFERROR(__xludf.DUMMYFUNCTION("""COMPUTED_VALUE"""),"Malbec Veg")</f>
        <v>Malbec Veg</v>
      </c>
      <c r="J1903" s="2">
        <f ca="1">IFERROR(__xludf.DUMMYFUNCTION("""COMPUTED_VALUE"""),39500)</f>
        <v>39500</v>
      </c>
      <c r="K1903" s="2">
        <f ca="1">IFERROR(__xludf.DUMMYFUNCTION("""COMPUTED_VALUE"""),75500)</f>
        <v>75500</v>
      </c>
      <c r="L1903" s="2" t="str">
        <f ca="1">IFERROR(__xludf.DUMMYFUNCTION("""COMPUTED_VALUE"""),"4dc52e08")</f>
        <v>4dc52e08</v>
      </c>
      <c r="M1903" s="2" t="str">
        <f ca="1">IFERROR(__xludf.DUMMYFUNCTION("""COMPUTED_VALUE"""),"Malbec Veg")</f>
        <v>Malbec Veg</v>
      </c>
      <c r="N1903" s="2"/>
      <c r="O1903" s="2" t="str">
        <f ca="1">IFERROR(__xludf.DUMMYFUNCTION("""COMPUTED_VALUE"""),"1er Trasiego")</f>
        <v>1er Trasiego</v>
      </c>
      <c r="P1903" s="2" t="str">
        <f ca="1">IFERROR(__xludf.DUMMYFUNCTION("""COMPUTED_VALUE"""),"2do Trasiego")</f>
        <v>2do Trasiego</v>
      </c>
      <c r="Q1903" s="2" t="b">
        <f ca="1">IFERROR(__xludf.DUMMYFUNCTION("""COMPUTED_VALUE"""),TRUE)</f>
        <v>1</v>
      </c>
      <c r="R1903" s="2" t="str">
        <f ca="1">IFERROR(__xludf.DUMMYFUNCTION("""COMPUTED_VALUE"""),"2do Trasiego")</f>
        <v>2do Trasiego</v>
      </c>
      <c r="S1903" s="2"/>
      <c r="T1903" s="2"/>
      <c r="U1903" s="2" t="str">
        <f ca="1">IFERROR(__xludf.DUMMYFUNCTION("""COMPUTED_VALUE"""),"1-")</f>
        <v>1-</v>
      </c>
    </row>
    <row r="1904" spans="1:21" x14ac:dyDescent="0.25">
      <c r="A1904" s="2" t="str">
        <f ca="1">IFERROR(__xludf.DUMMYFUNCTION("""COMPUTED_VALUE"""),"5afb0250")</f>
        <v>5afb0250</v>
      </c>
      <c r="B1904" s="5">
        <f ca="1">IFERROR(__xludf.DUMMYFUNCTION("""COMPUTED_VALUE"""),46182.7865046296)</f>
        <v>46182.786504629599</v>
      </c>
      <c r="C1904" s="2" t="str">
        <f ca="1">IFERROR(__xludf.DUMMYFUNCTION("""COMPUTED_VALUE"""),"dda1c80b")</f>
        <v>dda1c80b</v>
      </c>
      <c r="D1904" s="2">
        <f ca="1">IFERROR(__xludf.DUMMYFUNCTION("""COMPUTED_VALUE"""),10)</f>
        <v>10</v>
      </c>
      <c r="E1904" s="2" t="str">
        <f ca="1">IFERROR(__xludf.DUMMYFUNCTION("""COMPUTED_VALUE"""),"Syrah Rect")</f>
        <v>Syrah Rect</v>
      </c>
      <c r="F1904" s="2">
        <f ca="1">IFERROR(__xludf.DUMMYFUNCTION("""COMPUTED_VALUE"""),21000)</f>
        <v>21000</v>
      </c>
      <c r="G1904" s="2">
        <f ca="1">IFERROR(__xludf.DUMMYFUNCTION("""COMPUTED_VALUE"""),24)</f>
        <v>24</v>
      </c>
      <c r="H1904" s="2" t="str">
        <f ca="1">IFERROR(__xludf.DUMMYFUNCTION("""COMPUTED_VALUE"""),"4dc52e08")</f>
        <v>4dc52e08</v>
      </c>
      <c r="I1904" s="2" t="str">
        <f ca="1">IFERROR(__xludf.DUMMYFUNCTION("""COMPUTED_VALUE"""),"Malbec Veg")</f>
        <v>Malbec Veg</v>
      </c>
      <c r="J1904" s="2">
        <f ca="1">IFERROR(__xludf.DUMMYFUNCTION("""COMPUTED_VALUE"""),75500)</f>
        <v>75500</v>
      </c>
      <c r="K1904" s="2">
        <f ca="1">IFERROR(__xludf.DUMMYFUNCTION("""COMPUTED_VALUE"""),96500)</f>
        <v>96500</v>
      </c>
      <c r="L1904" s="2" t="str">
        <f ca="1">IFERROR(__xludf.DUMMYFUNCTION("""COMPUTED_VALUE"""),"05a58567")</f>
        <v>05a58567</v>
      </c>
      <c r="M1904" s="2" t="str">
        <f ca="1">IFERROR(__xludf.DUMMYFUNCTION("""COMPUTED_VALUE"""),"Malbec Veg")</f>
        <v>Malbec Veg</v>
      </c>
      <c r="N1904" s="2"/>
      <c r="O1904" s="2" t="str">
        <f ca="1">IFERROR(__xludf.DUMMYFUNCTION("""COMPUTED_VALUE"""),"Rectificado")</f>
        <v>Rectificado</v>
      </c>
      <c r="P1904" s="2" t="str">
        <f ca="1">IFERROR(__xludf.DUMMYFUNCTION("""COMPUTED_VALUE"""),"2do Trasiego")</f>
        <v>2do Trasiego</v>
      </c>
      <c r="Q1904" s="2" t="b">
        <f ca="1">IFERROR(__xludf.DUMMYFUNCTION("""COMPUTED_VALUE"""),TRUE)</f>
        <v>1</v>
      </c>
      <c r="R1904" s="2" t="str">
        <f ca="1">IFERROR(__xludf.DUMMYFUNCTION("""COMPUTED_VALUE"""),"2do Trasiego")</f>
        <v>2do Trasiego</v>
      </c>
      <c r="S1904" s="2"/>
      <c r="T1904" s="2"/>
      <c r="U1904" s="2" t="str">
        <f ca="1">IFERROR(__xludf.DUMMYFUNCTION("""COMPUTED_VALUE"""),"1-")</f>
        <v>1-</v>
      </c>
    </row>
    <row r="1905" spans="1:21" x14ac:dyDescent="0.25">
      <c r="A1905" s="2" t="str">
        <f ca="1">IFERROR(__xludf.DUMMYFUNCTION("""COMPUTED_VALUE"""),"fc56cc4d")</f>
        <v>fc56cc4d</v>
      </c>
      <c r="B1905" s="5">
        <f ca="1">IFERROR(__xludf.DUMMYFUNCTION("""COMPUTED_VALUE"""),46182.7868402777)</f>
        <v>46182.786840277702</v>
      </c>
      <c r="C1905" s="2" t="str">
        <f ca="1">IFERROR(__xludf.DUMMYFUNCTION("""COMPUTED_VALUE"""),"30b542ea")</f>
        <v>30b542ea</v>
      </c>
      <c r="D1905" s="2">
        <f ca="1">IFERROR(__xludf.DUMMYFUNCTION("""COMPUTED_VALUE"""),7)</f>
        <v>7</v>
      </c>
      <c r="E1905" s="2" t="str">
        <f ca="1">IFERROR(__xludf.DUMMYFUNCTION("""COMPUTED_VALUE"""),"Syrah")</f>
        <v>Syrah</v>
      </c>
      <c r="F1905" s="2">
        <f ca="1">IFERROR(__xludf.DUMMYFUNCTION("""COMPUTED_VALUE"""),30000)</f>
        <v>30000</v>
      </c>
      <c r="G1905" s="2">
        <f ca="1">IFERROR(__xludf.DUMMYFUNCTION("""COMPUTED_VALUE"""),24)</f>
        <v>24</v>
      </c>
      <c r="H1905" s="2" t="str">
        <f ca="1">IFERROR(__xludf.DUMMYFUNCTION("""COMPUTED_VALUE"""),"05a58567")</f>
        <v>05a58567</v>
      </c>
      <c r="I1905" s="2" t="str">
        <f ca="1">IFERROR(__xludf.DUMMYFUNCTION("""COMPUTED_VALUE"""),"Malbec Veg")</f>
        <v>Malbec Veg</v>
      </c>
      <c r="J1905" s="2">
        <f ca="1">IFERROR(__xludf.DUMMYFUNCTION("""COMPUTED_VALUE"""),96500)</f>
        <v>96500</v>
      </c>
      <c r="K1905" s="2">
        <f ca="1">IFERROR(__xludf.DUMMYFUNCTION("""COMPUTED_VALUE"""),126500)</f>
        <v>126500</v>
      </c>
      <c r="L1905" s="2" t="str">
        <f ca="1">IFERROR(__xludf.DUMMYFUNCTION("""COMPUTED_VALUE"""),"36c77bc4")</f>
        <v>36c77bc4</v>
      </c>
      <c r="M1905" s="2" t="str">
        <f ca="1">IFERROR(__xludf.DUMMYFUNCTION("""COMPUTED_VALUE"""),"Malbec Veg")</f>
        <v>Malbec Veg</v>
      </c>
      <c r="N1905" s="2"/>
      <c r="O1905" s="2" t="str">
        <f ca="1">IFERROR(__xludf.DUMMYFUNCTION("""COMPUTED_VALUE"""),"1er Trasiego")</f>
        <v>1er Trasiego</v>
      </c>
      <c r="P1905" s="2" t="str">
        <f ca="1">IFERROR(__xludf.DUMMYFUNCTION("""COMPUTED_VALUE"""),"2do Trasiego")</f>
        <v>2do Trasiego</v>
      </c>
      <c r="Q1905" s="2" t="b">
        <f ca="1">IFERROR(__xludf.DUMMYFUNCTION("""COMPUTED_VALUE"""),TRUE)</f>
        <v>1</v>
      </c>
      <c r="R1905" s="2" t="str">
        <f ca="1">IFERROR(__xludf.DUMMYFUNCTION("""COMPUTED_VALUE"""),"2do Trasiego")</f>
        <v>2do Trasiego</v>
      </c>
      <c r="S1905" s="2"/>
      <c r="T1905" s="2"/>
      <c r="U1905" s="2" t="str">
        <f ca="1">IFERROR(__xludf.DUMMYFUNCTION("""COMPUTED_VALUE"""),"1-")</f>
        <v>1-</v>
      </c>
    </row>
    <row r="1906" spans="1:21" x14ac:dyDescent="0.25">
      <c r="A1906" s="2" t="str">
        <f ca="1">IFERROR(__xludf.DUMMYFUNCTION("""COMPUTED_VALUE"""),"6bc82faf")</f>
        <v>6bc82faf</v>
      </c>
      <c r="B1906" s="5">
        <f ca="1">IFERROR(__xludf.DUMMYFUNCTION("""COMPUTED_VALUE"""),46182.7871875)</f>
        <v>46182.787187499998</v>
      </c>
      <c r="C1906" s="2" t="str">
        <f ca="1">IFERROR(__xludf.DUMMYFUNCTION("""COMPUTED_VALUE"""),"9465e58a")</f>
        <v>9465e58a</v>
      </c>
      <c r="D1906" s="2">
        <f ca="1">IFERROR(__xludf.DUMMYFUNCTION("""COMPUTED_VALUE"""),5)</f>
        <v>5</v>
      </c>
      <c r="E1906" s="2" t="str">
        <f ca="1">IFERROR(__xludf.DUMMYFUNCTION("""COMPUTED_VALUE"""),"Syrah")</f>
        <v>Syrah</v>
      </c>
      <c r="F1906" s="2">
        <f ca="1">IFERROR(__xludf.DUMMYFUNCTION("""COMPUTED_VALUE"""),30000)</f>
        <v>30000</v>
      </c>
      <c r="G1906" s="2">
        <f ca="1">IFERROR(__xludf.DUMMYFUNCTION("""COMPUTED_VALUE"""),24)</f>
        <v>24</v>
      </c>
      <c r="H1906" s="2" t="str">
        <f ca="1">IFERROR(__xludf.DUMMYFUNCTION("""COMPUTED_VALUE"""),"36c77bc4")</f>
        <v>36c77bc4</v>
      </c>
      <c r="I1906" s="2" t="str">
        <f ca="1">IFERROR(__xludf.DUMMYFUNCTION("""COMPUTED_VALUE"""),"Malbec Veg")</f>
        <v>Malbec Veg</v>
      </c>
      <c r="J1906" s="2">
        <f ca="1">IFERROR(__xludf.DUMMYFUNCTION("""COMPUTED_VALUE"""),126500)</f>
        <v>126500</v>
      </c>
      <c r="K1906" s="2">
        <f ca="1">IFERROR(__xludf.DUMMYFUNCTION("""COMPUTED_VALUE"""),156500)</f>
        <v>156500</v>
      </c>
      <c r="L1906" s="2" t="str">
        <f ca="1">IFERROR(__xludf.DUMMYFUNCTION("""COMPUTED_VALUE"""),"ed85e417")</f>
        <v>ed85e417</v>
      </c>
      <c r="M1906" s="2" t="str">
        <f ca="1">IFERROR(__xludf.DUMMYFUNCTION("""COMPUTED_VALUE"""),"Malbec Veg")</f>
        <v>Malbec Veg</v>
      </c>
      <c r="N1906" s="2"/>
      <c r="O1906" s="2" t="str">
        <f ca="1">IFERROR(__xludf.DUMMYFUNCTION("""COMPUTED_VALUE"""),"Rectificado")</f>
        <v>Rectificado</v>
      </c>
      <c r="P1906" s="2" t="str">
        <f ca="1">IFERROR(__xludf.DUMMYFUNCTION("""COMPUTED_VALUE"""),"2do Trasiego")</f>
        <v>2do Trasiego</v>
      </c>
      <c r="Q1906" s="2" t="b">
        <f ca="1">IFERROR(__xludf.DUMMYFUNCTION("""COMPUTED_VALUE"""),TRUE)</f>
        <v>1</v>
      </c>
      <c r="R1906" s="2" t="str">
        <f ca="1">IFERROR(__xludf.DUMMYFUNCTION("""COMPUTED_VALUE"""),"2do Trasiego")</f>
        <v>2do Trasiego</v>
      </c>
      <c r="S1906" s="2"/>
      <c r="T1906" s="2"/>
      <c r="U1906" s="2" t="str">
        <f ca="1">IFERROR(__xludf.DUMMYFUNCTION("""COMPUTED_VALUE"""),"1-")</f>
        <v>1-</v>
      </c>
    </row>
    <row r="1907" spans="1:21" x14ac:dyDescent="0.25">
      <c r="A1907" s="2" t="str">
        <f ca="1">IFERROR(__xludf.DUMMYFUNCTION("""COMPUTED_VALUE"""),"a314611a")</f>
        <v>a314611a</v>
      </c>
      <c r="B1907" s="5">
        <f ca="1">IFERROR(__xludf.DUMMYFUNCTION("""COMPUTED_VALUE"""),46185.3583912037)</f>
        <v>46185.358391203699</v>
      </c>
      <c r="C1907" s="2" t="str">
        <f ca="1">IFERROR(__xludf.DUMMYFUNCTION("""COMPUTED_VALUE"""),"fc498499")</f>
        <v>fc498499</v>
      </c>
      <c r="D1907" s="2">
        <f ca="1">IFERROR(__xludf.DUMMYFUNCTION("""COMPUTED_VALUE"""),36)</f>
        <v>36</v>
      </c>
      <c r="E1907" s="2" t="str">
        <f ca="1">IFERROR(__xludf.DUMMYFUNCTION("""COMPUTED_VALUE"""),"Criolla Vol")</f>
        <v>Criolla Vol</v>
      </c>
      <c r="F1907" s="2">
        <f ca="1">IFERROR(__xludf.DUMMYFUNCTION("""COMPUTED_VALUE"""),1200)</f>
        <v>1200</v>
      </c>
      <c r="G1907" s="2">
        <f ca="1">IFERROR(__xludf.DUMMYFUNCTION("""COMPUTED_VALUE"""),26)</f>
        <v>26</v>
      </c>
      <c r="H1907" s="2" t="str">
        <f ca="1">IFERROR(__xludf.DUMMYFUNCTION("""COMPUTED_VALUE"""),"deec46bc")</f>
        <v>deec46bc</v>
      </c>
      <c r="I1907" s="2" t="str">
        <f ca="1">IFERROR(__xludf.DUMMYFUNCTION("""COMPUTED_VALUE"""),"Tinto Varietal B")</f>
        <v>Tinto Varietal B</v>
      </c>
      <c r="J1907" s="2">
        <f ca="1">IFERROR(__xludf.DUMMYFUNCTION("""COMPUTED_VALUE"""),145400)</f>
        <v>145400</v>
      </c>
      <c r="K1907" s="2">
        <f ca="1">IFERROR(__xludf.DUMMYFUNCTION("""COMPUTED_VALUE"""),146600)</f>
        <v>146600</v>
      </c>
      <c r="L1907" s="2" t="str">
        <f ca="1">IFERROR(__xludf.DUMMYFUNCTION("""COMPUTED_VALUE"""),"7a9ba9f3")</f>
        <v>7a9ba9f3</v>
      </c>
      <c r="M1907" s="2" t="str">
        <f ca="1">IFERROR(__xludf.DUMMYFUNCTION("""COMPUTED_VALUE"""),"Tinto Varietal B")</f>
        <v>Tinto Varietal B</v>
      </c>
      <c r="N1907" s="2"/>
      <c r="O1907" s="2" t="str">
        <f ca="1">IFERROR(__xludf.DUMMYFUNCTION("""COMPUTED_VALUE"""),"Rectificado")</f>
        <v>Rectificado</v>
      </c>
      <c r="P1907" s="2" t="str">
        <f ca="1">IFERROR(__xludf.DUMMYFUNCTION("""COMPUTED_VALUE"""),"Terminado")</f>
        <v>Terminado</v>
      </c>
      <c r="Q1907" s="2" t="b">
        <f ca="1">IFERROR(__xludf.DUMMYFUNCTION("""COMPUTED_VALUE"""),TRUE)</f>
        <v>1</v>
      </c>
      <c r="R1907" s="2" t="str">
        <f ca="1">IFERROR(__xludf.DUMMYFUNCTION("""COMPUTED_VALUE"""),"Terminado")</f>
        <v>Terminado</v>
      </c>
      <c r="S1907" s="2"/>
      <c r="T1907" s="2"/>
      <c r="U1907" s="2" t="str">
        <f ca="1">IFERROR(__xludf.DUMMYFUNCTION("""COMPUTED_VALUE"""),"1")</f>
        <v>1</v>
      </c>
    </row>
    <row r="1908" spans="1:21" x14ac:dyDescent="0.25">
      <c r="A1908" s="2" t="str">
        <f ca="1">IFERROR(__xludf.DUMMYFUNCTION("""COMPUTED_VALUE"""),"fff73b0b")</f>
        <v>fff73b0b</v>
      </c>
      <c r="B1908" s="5">
        <f ca="1">IFERROR(__xludf.DUMMYFUNCTION("""COMPUTED_VALUE"""),46185.3609375)</f>
        <v>46185.360937500001</v>
      </c>
      <c r="C1908" s="2" t="str">
        <f ca="1">IFERROR(__xludf.DUMMYFUNCTION("""COMPUTED_VALUE"""),"7a9ba9f3")</f>
        <v>7a9ba9f3</v>
      </c>
      <c r="D1908" s="2">
        <f ca="1">IFERROR(__xludf.DUMMYFUNCTION("""COMPUTED_VALUE"""),26)</f>
        <v>26</v>
      </c>
      <c r="E1908" s="2" t="str">
        <f ca="1">IFERROR(__xludf.DUMMYFUNCTION("""COMPUTED_VALUE"""),"Tinto Varietal B")</f>
        <v>Tinto Varietal B</v>
      </c>
      <c r="F1908" s="2">
        <f ca="1">IFERROR(__xludf.DUMMYFUNCTION("""COMPUTED_VALUE"""),30000)</f>
        <v>30000</v>
      </c>
      <c r="G1908" s="2">
        <f ca="1">IFERROR(__xludf.DUMMYFUNCTION("""COMPUTED_VALUE"""),5)</f>
        <v>5</v>
      </c>
      <c r="H1908" s="2"/>
      <c r="I1908" s="2"/>
      <c r="J1908" s="2">
        <f ca="1">IFERROR(__xludf.DUMMYFUNCTION("""COMPUTED_VALUE"""),0)</f>
        <v>0</v>
      </c>
      <c r="K1908" s="2">
        <f ca="1">IFERROR(__xludf.DUMMYFUNCTION("""COMPUTED_VALUE"""),30000)</f>
        <v>30000</v>
      </c>
      <c r="L1908" s="2" t="str">
        <f ca="1">IFERROR(__xludf.DUMMYFUNCTION("""COMPUTED_VALUE"""),"9cf12383")</f>
        <v>9cf12383</v>
      </c>
      <c r="M1908" s="2" t="str">
        <f ca="1">IFERROR(__xludf.DUMMYFUNCTION("""COMPUTED_VALUE"""),"Tinto Varietal B")</f>
        <v>Tinto Varietal B</v>
      </c>
      <c r="N1908" s="2"/>
      <c r="O1908" s="2" t="str">
        <f ca="1">IFERROR(__xludf.DUMMYFUNCTION("""COMPUTED_VALUE"""),"Terminado")</f>
        <v>Terminado</v>
      </c>
      <c r="P1908" s="2"/>
      <c r="Q1908" s="2" t="b">
        <f ca="1">IFERROR(__xludf.DUMMYFUNCTION("""COMPUTED_VALUE"""),FALSE)</f>
        <v>0</v>
      </c>
      <c r="R1908" s="2" t="str">
        <f ca="1">IFERROR(__xludf.DUMMYFUNCTION("""COMPUTED_VALUE"""),"Terminado")</f>
        <v>Terminado</v>
      </c>
      <c r="S1908" s="2"/>
      <c r="T1908" s="2"/>
      <c r="U1908" s="2" t="str">
        <f ca="1">IFERROR(__xludf.DUMMYFUNCTION("""COMPUTED_VALUE"""),"1")</f>
        <v>1</v>
      </c>
    </row>
    <row r="1909" spans="1:21" x14ac:dyDescent="0.25">
      <c r="A1909" s="2" t="str">
        <f ca="1">IFERROR(__xludf.DUMMYFUNCTION("""COMPUTED_VALUE"""),"cea4d6e0")</f>
        <v>cea4d6e0</v>
      </c>
      <c r="B1909" s="5">
        <f ca="1">IFERROR(__xludf.DUMMYFUNCTION("""COMPUTED_VALUE"""),46185.3613773148)</f>
        <v>46185.361377314803</v>
      </c>
      <c r="C1909" s="2" t="str">
        <f ca="1">IFERROR(__xludf.DUMMYFUNCTION("""COMPUTED_VALUE"""),"7a9ba9f3")</f>
        <v>7a9ba9f3</v>
      </c>
      <c r="D1909" s="2">
        <f ca="1">IFERROR(__xludf.DUMMYFUNCTION("""COMPUTED_VALUE"""),26)</f>
        <v>26</v>
      </c>
      <c r="E1909" s="2" t="str">
        <f ca="1">IFERROR(__xludf.DUMMYFUNCTION("""COMPUTED_VALUE"""),"Tinto Varietal B")</f>
        <v>Tinto Varietal B</v>
      </c>
      <c r="F1909" s="2">
        <f ca="1">IFERROR(__xludf.DUMMYFUNCTION("""COMPUTED_VALUE"""),30000)</f>
        <v>30000</v>
      </c>
      <c r="G1909" s="2">
        <f ca="1">IFERROR(__xludf.DUMMYFUNCTION("""COMPUTED_VALUE"""),7)</f>
        <v>7</v>
      </c>
      <c r="H1909" s="2"/>
      <c r="I1909" s="2"/>
      <c r="J1909" s="2">
        <f ca="1">IFERROR(__xludf.DUMMYFUNCTION("""COMPUTED_VALUE"""),0)</f>
        <v>0</v>
      </c>
      <c r="K1909" s="2">
        <f ca="1">IFERROR(__xludf.DUMMYFUNCTION("""COMPUTED_VALUE"""),30000)</f>
        <v>30000</v>
      </c>
      <c r="L1909" s="2" t="str">
        <f ca="1">IFERROR(__xludf.DUMMYFUNCTION("""COMPUTED_VALUE"""),"e90df3a0")</f>
        <v>e90df3a0</v>
      </c>
      <c r="M1909" s="2" t="str">
        <f ca="1">IFERROR(__xludf.DUMMYFUNCTION("""COMPUTED_VALUE"""),"Tinto Varietal B")</f>
        <v>Tinto Varietal B</v>
      </c>
      <c r="N1909" s="2"/>
      <c r="O1909" s="2" t="str">
        <f ca="1">IFERROR(__xludf.DUMMYFUNCTION("""COMPUTED_VALUE"""),"Terminado")</f>
        <v>Terminado</v>
      </c>
      <c r="P1909" s="2"/>
      <c r="Q1909" s="2" t="b">
        <f ca="1">IFERROR(__xludf.DUMMYFUNCTION("""COMPUTED_VALUE"""),FALSE)</f>
        <v>0</v>
      </c>
      <c r="R1909" s="2" t="str">
        <f ca="1">IFERROR(__xludf.DUMMYFUNCTION("""COMPUTED_VALUE"""),"Terminado")</f>
        <v>Terminado</v>
      </c>
      <c r="S1909" s="2"/>
      <c r="T1909" s="2"/>
      <c r="U1909" s="2" t="str">
        <f ca="1">IFERROR(__xludf.DUMMYFUNCTION("""COMPUTED_VALUE"""),"1")</f>
        <v>1</v>
      </c>
    </row>
    <row r="1910" spans="1:21" x14ac:dyDescent="0.25">
      <c r="A1910" s="2" t="str">
        <f ca="1">IFERROR(__xludf.DUMMYFUNCTION("""COMPUTED_VALUE"""),"ed4bd56c")</f>
        <v>ed4bd56c</v>
      </c>
      <c r="B1910" s="5">
        <f ca="1">IFERROR(__xludf.DUMMYFUNCTION("""COMPUTED_VALUE"""),46185.3615509259)</f>
        <v>46185.361550925903</v>
      </c>
      <c r="C1910" s="2" t="str">
        <f ca="1">IFERROR(__xludf.DUMMYFUNCTION("""COMPUTED_VALUE"""),"7a9ba9f3")</f>
        <v>7a9ba9f3</v>
      </c>
      <c r="D1910" s="2">
        <f ca="1">IFERROR(__xludf.DUMMYFUNCTION("""COMPUTED_VALUE"""),26)</f>
        <v>26</v>
      </c>
      <c r="E1910" s="2" t="str">
        <f ca="1">IFERROR(__xludf.DUMMYFUNCTION("""COMPUTED_VALUE"""),"Tinto Varietal B")</f>
        <v>Tinto Varietal B</v>
      </c>
      <c r="F1910" s="2">
        <f ca="1">IFERROR(__xludf.DUMMYFUNCTION("""COMPUTED_VALUE"""),19700)</f>
        <v>19700</v>
      </c>
      <c r="G1910" s="2">
        <f ca="1">IFERROR(__xludf.DUMMYFUNCTION("""COMPUTED_VALUE"""),36)</f>
        <v>36</v>
      </c>
      <c r="H1910" s="2"/>
      <c r="I1910" s="2"/>
      <c r="J1910" s="2">
        <f ca="1">IFERROR(__xludf.DUMMYFUNCTION("""COMPUTED_VALUE"""),0)</f>
        <v>0</v>
      </c>
      <c r="K1910" s="2">
        <f ca="1">IFERROR(__xludf.DUMMYFUNCTION("""COMPUTED_VALUE"""),19700)</f>
        <v>19700</v>
      </c>
      <c r="L1910" s="2" t="str">
        <f ca="1">IFERROR(__xludf.DUMMYFUNCTION("""COMPUTED_VALUE"""),"976df8ba")</f>
        <v>976df8ba</v>
      </c>
      <c r="M1910" s="2" t="str">
        <f ca="1">IFERROR(__xludf.DUMMYFUNCTION("""COMPUTED_VALUE"""),"Tinto Varietal B")</f>
        <v>Tinto Varietal B</v>
      </c>
      <c r="N1910" s="2"/>
      <c r="O1910" s="2" t="str">
        <f ca="1">IFERROR(__xludf.DUMMYFUNCTION("""COMPUTED_VALUE"""),"Terminado")</f>
        <v>Terminado</v>
      </c>
      <c r="P1910" s="2"/>
      <c r="Q1910" s="2" t="b">
        <f ca="1">IFERROR(__xludf.DUMMYFUNCTION("""COMPUTED_VALUE"""),FALSE)</f>
        <v>0</v>
      </c>
      <c r="R1910" s="2" t="str">
        <f ca="1">IFERROR(__xludf.DUMMYFUNCTION("""COMPUTED_VALUE"""),"Terminado")</f>
        <v>Terminado</v>
      </c>
      <c r="S1910" s="2"/>
      <c r="T1910" s="2"/>
      <c r="U1910" s="2" t="str">
        <f ca="1">IFERROR(__xludf.DUMMYFUNCTION("""COMPUTED_VALUE"""),"1")</f>
        <v>1</v>
      </c>
    </row>
    <row r="1911" spans="1:21" x14ac:dyDescent="0.25">
      <c r="A1911" s="2" t="str">
        <f ca="1">IFERROR(__xludf.DUMMYFUNCTION("""COMPUTED_VALUE"""),"30b821b9")</f>
        <v>30b821b9</v>
      </c>
      <c r="B1911" s="5">
        <f ca="1">IFERROR(__xludf.DUMMYFUNCTION("""COMPUTED_VALUE"""),46185.361724537)</f>
        <v>46185.361724536997</v>
      </c>
      <c r="C1911" s="2" t="str">
        <f ca="1">IFERROR(__xludf.DUMMYFUNCTION("""COMPUTED_VALUE"""),"7a9ba9f3")</f>
        <v>7a9ba9f3</v>
      </c>
      <c r="D1911" s="2">
        <f ca="1">IFERROR(__xludf.DUMMYFUNCTION("""COMPUTED_VALUE"""),26)</f>
        <v>26</v>
      </c>
      <c r="E1911" s="2" t="str">
        <f ca="1">IFERROR(__xludf.DUMMYFUNCTION("""COMPUTED_VALUE"""),"Tinto Varietal B")</f>
        <v>Tinto Varietal B</v>
      </c>
      <c r="F1911" s="2">
        <f ca="1">IFERROR(__xludf.DUMMYFUNCTION("""COMPUTED_VALUE"""),23000)</f>
        <v>23000</v>
      </c>
      <c r="G1911" s="2">
        <f ca="1">IFERROR(__xludf.DUMMYFUNCTION("""COMPUTED_VALUE"""),66)</f>
        <v>66</v>
      </c>
      <c r="H1911" s="2"/>
      <c r="I1911" s="2"/>
      <c r="J1911" s="2">
        <f ca="1">IFERROR(__xludf.DUMMYFUNCTION("""COMPUTED_VALUE"""),0)</f>
        <v>0</v>
      </c>
      <c r="K1911" s="2">
        <f ca="1">IFERROR(__xludf.DUMMYFUNCTION("""COMPUTED_VALUE"""),23000)</f>
        <v>23000</v>
      </c>
      <c r="L1911" s="2" t="str">
        <f ca="1">IFERROR(__xludf.DUMMYFUNCTION("""COMPUTED_VALUE"""),"0d5738b1")</f>
        <v>0d5738b1</v>
      </c>
      <c r="M1911" s="2" t="str">
        <f ca="1">IFERROR(__xludf.DUMMYFUNCTION("""COMPUTED_VALUE"""),"Tinto Varietal B")</f>
        <v>Tinto Varietal B</v>
      </c>
      <c r="N1911" s="2"/>
      <c r="O1911" s="2" t="str">
        <f ca="1">IFERROR(__xludf.DUMMYFUNCTION("""COMPUTED_VALUE"""),"Terminado")</f>
        <v>Terminado</v>
      </c>
      <c r="P1911" s="2"/>
      <c r="Q1911" s="2" t="b">
        <f ca="1">IFERROR(__xludf.DUMMYFUNCTION("""COMPUTED_VALUE"""),FALSE)</f>
        <v>0</v>
      </c>
      <c r="R1911" s="2" t="str">
        <f ca="1">IFERROR(__xludf.DUMMYFUNCTION("""COMPUTED_VALUE"""),"Terminado")</f>
        <v>Terminado</v>
      </c>
      <c r="S1911" s="2"/>
      <c r="T1911" s="2"/>
      <c r="U1911" s="2" t="str">
        <f ca="1">IFERROR(__xludf.DUMMYFUNCTION("""COMPUTED_VALUE"""),"1")</f>
        <v>1</v>
      </c>
    </row>
    <row r="1912" spans="1:21" x14ac:dyDescent="0.25">
      <c r="A1912" s="2" t="str">
        <f ca="1">IFERROR(__xludf.DUMMYFUNCTION("""COMPUTED_VALUE"""),"bd9b2ecc")</f>
        <v>bd9b2ecc</v>
      </c>
      <c r="B1912" s="5">
        <f ca="1">IFERROR(__xludf.DUMMYFUNCTION("""COMPUTED_VALUE"""),46185.3621064814)</f>
        <v>46185.3621064814</v>
      </c>
      <c r="C1912" s="2" t="str">
        <f ca="1">IFERROR(__xludf.DUMMYFUNCTION("""COMPUTED_VALUE"""),"7a9ba9f3")</f>
        <v>7a9ba9f3</v>
      </c>
      <c r="D1912" s="2">
        <f ca="1">IFERROR(__xludf.DUMMYFUNCTION("""COMPUTED_VALUE"""),26)</f>
        <v>26</v>
      </c>
      <c r="E1912" s="2" t="str">
        <f ca="1">IFERROR(__xludf.DUMMYFUNCTION("""COMPUTED_VALUE"""),"Tinto Varietal B")</f>
        <v>Tinto Varietal B</v>
      </c>
      <c r="F1912" s="2">
        <f ca="1">IFERROR(__xludf.DUMMYFUNCTION("""COMPUTED_VALUE"""),39500)</f>
        <v>39500</v>
      </c>
      <c r="G1912" s="2">
        <f ca="1">IFERROR(__xludf.DUMMYFUNCTION("""COMPUTED_VALUE"""),34)</f>
        <v>34</v>
      </c>
      <c r="H1912" s="2"/>
      <c r="I1912" s="2"/>
      <c r="J1912" s="2">
        <f ca="1">IFERROR(__xludf.DUMMYFUNCTION("""COMPUTED_VALUE"""),0)</f>
        <v>0</v>
      </c>
      <c r="K1912" s="2">
        <f ca="1">IFERROR(__xludf.DUMMYFUNCTION("""COMPUTED_VALUE"""),39500)</f>
        <v>39500</v>
      </c>
      <c r="L1912" s="2" t="str">
        <f ca="1">IFERROR(__xludf.DUMMYFUNCTION("""COMPUTED_VALUE"""),"d1e104ff")</f>
        <v>d1e104ff</v>
      </c>
      <c r="M1912" s="2" t="str">
        <f ca="1">IFERROR(__xludf.DUMMYFUNCTION("""COMPUTED_VALUE"""),"Tinto Varietal B")</f>
        <v>Tinto Varietal B</v>
      </c>
      <c r="N1912" s="2"/>
      <c r="O1912" s="2" t="str">
        <f ca="1">IFERROR(__xludf.DUMMYFUNCTION("""COMPUTED_VALUE"""),"Terminado")</f>
        <v>Terminado</v>
      </c>
      <c r="P1912" s="2"/>
      <c r="Q1912" s="2" t="b">
        <f ca="1">IFERROR(__xludf.DUMMYFUNCTION("""COMPUTED_VALUE"""),FALSE)</f>
        <v>0</v>
      </c>
      <c r="R1912" s="2" t="str">
        <f ca="1">IFERROR(__xludf.DUMMYFUNCTION("""COMPUTED_VALUE"""),"Terminado")</f>
        <v>Terminado</v>
      </c>
      <c r="S1912" s="2"/>
      <c r="T1912" s="2"/>
      <c r="U1912" s="2" t="str">
        <f ca="1">IFERROR(__xludf.DUMMYFUNCTION("""COMPUTED_VALUE"""),"1")</f>
        <v>1</v>
      </c>
    </row>
    <row r="1913" spans="1:21" x14ac:dyDescent="0.25">
      <c r="A1913" s="2" t="str">
        <f ca="1">IFERROR(__xludf.DUMMYFUNCTION("""COMPUTED_VALUE"""),"e1db9269")</f>
        <v>e1db9269</v>
      </c>
      <c r="B1913" s="5">
        <f ca="1">IFERROR(__xludf.DUMMYFUNCTION("""COMPUTED_VALUE"""),46185.3708101851)</f>
        <v>46185.370810185101</v>
      </c>
      <c r="C1913" s="2" t="str">
        <f ca="1">IFERROR(__xludf.DUMMYFUNCTION("""COMPUTED_VALUE"""),"494a6881")</f>
        <v>494a6881</v>
      </c>
      <c r="D1913" s="2">
        <f ca="1">IFERROR(__xludf.DUMMYFUNCTION("""COMPUTED_VALUE"""),114)</f>
        <v>114</v>
      </c>
      <c r="E1913" s="2" t="str">
        <f ca="1">IFERROR(__xludf.DUMMYFUNCTION("""COMPUTED_VALUE"""),"Syrah")</f>
        <v>Syrah</v>
      </c>
      <c r="F1913" s="2">
        <f ca="1">IFERROR(__xludf.DUMMYFUNCTION("""COMPUTED_VALUE"""),15000)</f>
        <v>15000</v>
      </c>
      <c r="G1913" s="2">
        <f ca="1">IFERROR(__xludf.DUMMYFUNCTION("""COMPUTED_VALUE"""),6)</f>
        <v>6</v>
      </c>
      <c r="H1913" s="2" t="str">
        <f ca="1">IFERROR(__xludf.DUMMYFUNCTION("""COMPUTED_VALUE"""),"77554ae9")</f>
        <v>77554ae9</v>
      </c>
      <c r="I1913" s="2" t="str">
        <f ca="1">IFERROR(__xludf.DUMMYFUNCTION("""COMPUTED_VALUE"""),"Syrah Rect")</f>
        <v>Syrah Rect</v>
      </c>
      <c r="J1913" s="2">
        <f ca="1">IFERROR(__xludf.DUMMYFUNCTION("""COMPUTED_VALUE"""),17000)</f>
        <v>17000</v>
      </c>
      <c r="K1913" s="2">
        <f ca="1">IFERROR(__xludf.DUMMYFUNCTION("""COMPUTED_VALUE"""),32000)</f>
        <v>32000</v>
      </c>
      <c r="L1913" s="2" t="str">
        <f ca="1">IFERROR(__xludf.DUMMYFUNCTION("""COMPUTED_VALUE"""),"a1b44119")</f>
        <v>a1b44119</v>
      </c>
      <c r="M1913" s="2" t="str">
        <f ca="1">IFERROR(__xludf.DUMMYFUNCTION("""COMPUTED_VALUE"""),"Syrah Rect")</f>
        <v>Syrah Rect</v>
      </c>
      <c r="N1913" s="2"/>
      <c r="O1913" s="2" t="str">
        <f ca="1">IFERROR(__xludf.DUMMYFUNCTION("""COMPUTED_VALUE"""),"1er Trasiego")</f>
        <v>1er Trasiego</v>
      </c>
      <c r="P1913" s="2" t="str">
        <f ca="1">IFERROR(__xludf.DUMMYFUNCTION("""COMPUTED_VALUE"""),"Rectificado")</f>
        <v>Rectificado</v>
      </c>
      <c r="Q1913" s="2" t="b">
        <f ca="1">IFERROR(__xludf.DUMMYFUNCTION("""COMPUTED_VALUE"""),TRUE)</f>
        <v>1</v>
      </c>
      <c r="R1913" s="2" t="str">
        <f ca="1">IFERROR(__xludf.DUMMYFUNCTION("""COMPUTED_VALUE"""),"Rectificado")</f>
        <v>Rectificado</v>
      </c>
      <c r="S1913" s="2"/>
      <c r="T1913" s="2"/>
      <c r="U1913" s="2" t="str">
        <f ca="1">IFERROR(__xludf.DUMMYFUNCTION("""COMPUTED_VALUE"""),"1+")</f>
        <v>1+</v>
      </c>
    </row>
    <row r="1914" spans="1:21" x14ac:dyDescent="0.25">
      <c r="A1914" s="2" t="str">
        <f ca="1">IFERROR(__xludf.DUMMYFUNCTION("""COMPUTED_VALUE"""),"6dc71d89")</f>
        <v>6dc71d89</v>
      </c>
      <c r="B1914" s="5">
        <f ca="1">IFERROR(__xludf.DUMMYFUNCTION("""COMPUTED_VALUE"""),46185.3710069444)</f>
        <v>46185.371006944399</v>
      </c>
      <c r="C1914" s="2" t="str">
        <f ca="1">IFERROR(__xludf.DUMMYFUNCTION("""COMPUTED_VALUE"""),"494a6881")</f>
        <v>494a6881</v>
      </c>
      <c r="D1914" s="2">
        <f ca="1">IFERROR(__xludf.DUMMYFUNCTION("""COMPUTED_VALUE"""),114)</f>
        <v>114</v>
      </c>
      <c r="E1914" s="2" t="str">
        <f ca="1">IFERROR(__xludf.DUMMYFUNCTION("""COMPUTED_VALUE"""),"Syrah")</f>
        <v>Syrah</v>
      </c>
      <c r="F1914" s="2">
        <f ca="1">IFERROR(__xludf.DUMMYFUNCTION("""COMPUTED_VALUE"""),21000)</f>
        <v>21000</v>
      </c>
      <c r="G1914" s="2">
        <f ca="1">IFERROR(__xludf.DUMMYFUNCTION("""COMPUTED_VALUE"""),10)</f>
        <v>10</v>
      </c>
      <c r="H1914" s="2"/>
      <c r="I1914" s="2"/>
      <c r="J1914" s="2">
        <f ca="1">IFERROR(__xludf.DUMMYFUNCTION("""COMPUTED_VALUE"""),0)</f>
        <v>0</v>
      </c>
      <c r="K1914" s="2">
        <f ca="1">IFERROR(__xludf.DUMMYFUNCTION("""COMPUTED_VALUE"""),21000)</f>
        <v>21000</v>
      </c>
      <c r="L1914" s="2" t="str">
        <f ca="1">IFERROR(__xludf.DUMMYFUNCTION("""COMPUTED_VALUE"""),"ab8fa038")</f>
        <v>ab8fa038</v>
      </c>
      <c r="M1914" s="2" t="str">
        <f ca="1">IFERROR(__xludf.DUMMYFUNCTION("""COMPUTED_VALUE"""),"Syrah Rect")</f>
        <v>Syrah Rect</v>
      </c>
      <c r="N1914" s="2"/>
      <c r="O1914" s="2" t="str">
        <f ca="1">IFERROR(__xludf.DUMMYFUNCTION("""COMPUTED_VALUE"""),"1er Trasiego")</f>
        <v>1er Trasiego</v>
      </c>
      <c r="P1914" s="2"/>
      <c r="Q1914" s="2" t="b">
        <f ca="1">IFERROR(__xludf.DUMMYFUNCTION("""COMPUTED_VALUE"""),FALSE)</f>
        <v>0</v>
      </c>
      <c r="R1914" s="2" t="str">
        <f ca="1">IFERROR(__xludf.DUMMYFUNCTION("""COMPUTED_VALUE"""),"Rectificado")</f>
        <v>Rectificado</v>
      </c>
      <c r="S1914" s="2"/>
      <c r="T1914" s="2"/>
      <c r="U1914" s="2" t="str">
        <f ca="1">IFERROR(__xludf.DUMMYFUNCTION("""COMPUTED_VALUE"""),"1+")</f>
        <v>1+</v>
      </c>
    </row>
    <row r="1915" spans="1:21" x14ac:dyDescent="0.25">
      <c r="A1915" s="2" t="str">
        <f ca="1">IFERROR(__xludf.DUMMYFUNCTION("""COMPUTED_VALUE"""),"6b7501e3")</f>
        <v>6b7501e3</v>
      </c>
      <c r="B1915" s="5">
        <f ca="1">IFERROR(__xludf.DUMMYFUNCTION("""COMPUTED_VALUE"""),46185.3713657407)</f>
        <v>46185.371365740699</v>
      </c>
      <c r="C1915" s="2" t="str">
        <f ca="1">IFERROR(__xludf.DUMMYFUNCTION("""COMPUTED_VALUE"""),"494a6881")</f>
        <v>494a6881</v>
      </c>
      <c r="D1915" s="2">
        <f ca="1">IFERROR(__xludf.DUMMYFUNCTION("""COMPUTED_VALUE"""),114)</f>
        <v>114</v>
      </c>
      <c r="E1915" s="2" t="str">
        <f ca="1">IFERROR(__xludf.DUMMYFUNCTION("""COMPUTED_VALUE"""),"Syrah")</f>
        <v>Syrah</v>
      </c>
      <c r="F1915" s="2">
        <f ca="1">IFERROR(__xludf.DUMMYFUNCTION("""COMPUTED_VALUE"""),23100)</f>
        <v>23100</v>
      </c>
      <c r="G1915" s="2">
        <f ca="1">IFERROR(__xludf.DUMMYFUNCTION("""COMPUTED_VALUE"""),12)</f>
        <v>12</v>
      </c>
      <c r="H1915" s="2"/>
      <c r="I1915" s="2"/>
      <c r="J1915" s="2">
        <f ca="1">IFERROR(__xludf.DUMMYFUNCTION("""COMPUTED_VALUE"""),0)</f>
        <v>0</v>
      </c>
      <c r="K1915" s="2">
        <f ca="1">IFERROR(__xludf.DUMMYFUNCTION("""COMPUTED_VALUE"""),23100)</f>
        <v>23100</v>
      </c>
      <c r="L1915" s="2" t="str">
        <f ca="1">IFERROR(__xludf.DUMMYFUNCTION("""COMPUTED_VALUE"""),"561f54c3")</f>
        <v>561f54c3</v>
      </c>
      <c r="M1915" s="2" t="str">
        <f ca="1">IFERROR(__xludf.DUMMYFUNCTION("""COMPUTED_VALUE"""),"Syrah Rect")</f>
        <v>Syrah Rect</v>
      </c>
      <c r="N1915" s="2"/>
      <c r="O1915" s="2" t="str">
        <f ca="1">IFERROR(__xludf.DUMMYFUNCTION("""COMPUTED_VALUE"""),"1er Trasiego")</f>
        <v>1er Trasiego</v>
      </c>
      <c r="P1915" s="2"/>
      <c r="Q1915" s="2" t="b">
        <f ca="1">IFERROR(__xludf.DUMMYFUNCTION("""COMPUTED_VALUE"""),FALSE)</f>
        <v>0</v>
      </c>
      <c r="R1915" s="2" t="str">
        <f ca="1">IFERROR(__xludf.DUMMYFUNCTION("""COMPUTED_VALUE"""),"Rectificado")</f>
        <v>Rectificado</v>
      </c>
      <c r="S1915" s="2"/>
      <c r="T1915" s="2"/>
      <c r="U1915" s="2" t="str">
        <f ca="1">IFERROR(__xludf.DUMMYFUNCTION("""COMPUTED_VALUE"""),"1+")</f>
        <v>1+</v>
      </c>
    </row>
    <row r="1916" spans="1:21" x14ac:dyDescent="0.25">
      <c r="A1916" s="2" t="str">
        <f ca="1">IFERROR(__xludf.DUMMYFUNCTION("""COMPUTED_VALUE"""),"ab0873c2")</f>
        <v>ab0873c2</v>
      </c>
      <c r="B1916" s="5">
        <f ca="1">IFERROR(__xludf.DUMMYFUNCTION("""COMPUTED_VALUE"""),46185.3718171296)</f>
        <v>46185.371817129599</v>
      </c>
      <c r="C1916" s="2" t="str">
        <f ca="1">IFERROR(__xludf.DUMMYFUNCTION("""COMPUTED_VALUE"""),"7a9ba9f3")</f>
        <v>7a9ba9f3</v>
      </c>
      <c r="D1916" s="2">
        <f ca="1">IFERROR(__xludf.DUMMYFUNCTION("""COMPUTED_VALUE"""),26)</f>
        <v>26</v>
      </c>
      <c r="E1916" s="2" t="str">
        <f ca="1">IFERROR(__xludf.DUMMYFUNCTION("""COMPUTED_VALUE"""),"Tinto Varietal B")</f>
        <v>Tinto Varietal B</v>
      </c>
      <c r="F1916" s="2">
        <f ca="1">IFERROR(__xludf.DUMMYFUNCTION("""COMPUTED_VALUE"""),4400)</f>
        <v>4400</v>
      </c>
      <c r="G1916" s="2">
        <f ca="1">IFERROR(__xludf.DUMMYFUNCTION("""COMPUTED_VALUE"""),86)</f>
        <v>86</v>
      </c>
      <c r="H1916" s="2" t="str">
        <f ca="1">IFERROR(__xludf.DUMMYFUNCTION("""COMPUTED_VALUE"""),"3dbf6d25")</f>
        <v>3dbf6d25</v>
      </c>
      <c r="I1916" s="2" t="str">
        <f ca="1">IFERROR(__xludf.DUMMYFUNCTION("""COMPUTED_VALUE"""),"Syrah Anc PC s/Asp 2")</f>
        <v>Syrah Anc PC s/Asp 2</v>
      </c>
      <c r="J1916" s="2">
        <f ca="1">IFERROR(__xludf.DUMMYFUNCTION("""COMPUTED_VALUE"""),66100)</f>
        <v>66100</v>
      </c>
      <c r="K1916" s="2">
        <f ca="1">IFERROR(__xludf.DUMMYFUNCTION("""COMPUTED_VALUE"""),70500)</f>
        <v>70500</v>
      </c>
      <c r="L1916" s="2" t="str">
        <f ca="1">IFERROR(__xludf.DUMMYFUNCTION("""COMPUTED_VALUE"""),"a880dc8c")</f>
        <v>a880dc8c</v>
      </c>
      <c r="M1916" s="2" t="str">
        <f ca="1">IFERROR(__xludf.DUMMYFUNCTION("""COMPUTED_VALUE"""),"Syrah Anc PC s/Asp 2")</f>
        <v>Syrah Anc PC s/Asp 2</v>
      </c>
      <c r="N1916" s="2"/>
      <c r="O1916" s="2" t="str">
        <f ca="1">IFERROR(__xludf.DUMMYFUNCTION("""COMPUTED_VALUE"""),"Terminado")</f>
        <v>Terminado</v>
      </c>
      <c r="P1916" s="2" t="str">
        <f ca="1">IFERROR(__xludf.DUMMYFUNCTION("""COMPUTED_VALUE"""),"1er Trasiego")</f>
        <v>1er Trasiego</v>
      </c>
      <c r="Q1916" s="2" t="b">
        <f ca="1">IFERROR(__xludf.DUMMYFUNCTION("""COMPUTED_VALUE"""),TRUE)</f>
        <v>1</v>
      </c>
      <c r="R1916" s="2" t="str">
        <f ca="1">IFERROR(__xludf.DUMMYFUNCTION("""COMPUTED_VALUE"""),"1er Trasiego")</f>
        <v>1er Trasiego</v>
      </c>
      <c r="S1916" s="2"/>
      <c r="T1916" s="2"/>
      <c r="U1916" s="2" t="str">
        <f ca="1">IFERROR(__xludf.DUMMYFUNCTION("""COMPUTED_VALUE"""),"1")</f>
        <v>1</v>
      </c>
    </row>
    <row r="1917" spans="1:21" x14ac:dyDescent="0.25">
      <c r="A1917" s="2" t="str">
        <f ca="1">IFERROR(__xludf.DUMMYFUNCTION("""COMPUTED_VALUE"""),"8bb7ff75")</f>
        <v>8bb7ff75</v>
      </c>
      <c r="B1917" s="5">
        <f ca="1">IFERROR(__xludf.DUMMYFUNCTION("""COMPUTED_VALUE"""),46185.3723379629)</f>
        <v>46185.372337962901</v>
      </c>
      <c r="C1917" s="2" t="str">
        <f ca="1">IFERROR(__xludf.DUMMYFUNCTION("""COMPUTED_VALUE"""),"9125b2c8")</f>
        <v>9125b2c8</v>
      </c>
      <c r="D1917" s="2">
        <f ca="1">IFERROR(__xludf.DUMMYFUNCTION("""COMPUTED_VALUE"""),126)</f>
        <v>126</v>
      </c>
      <c r="E1917" s="2" t="str">
        <f ca="1">IFERROR(__xludf.DUMMYFUNCTION("""COMPUTED_VALUE"""),"Bonarda")</f>
        <v>Bonarda</v>
      </c>
      <c r="F1917" s="2">
        <f ca="1">IFERROR(__xludf.DUMMYFUNCTION("""COMPUTED_VALUE"""),30100)</f>
        <v>30100</v>
      </c>
      <c r="G1917" s="2">
        <f ca="1">IFERROR(__xludf.DUMMYFUNCTION("""COMPUTED_VALUE"""),24)</f>
        <v>24</v>
      </c>
      <c r="H1917" s="2" t="str">
        <f ca="1">IFERROR(__xludf.DUMMYFUNCTION("""COMPUTED_VALUE"""),"ed85e417")</f>
        <v>ed85e417</v>
      </c>
      <c r="I1917" s="2" t="str">
        <f ca="1">IFERROR(__xludf.DUMMYFUNCTION("""COMPUTED_VALUE"""),"Malbec")</f>
        <v>Malbec</v>
      </c>
      <c r="J1917" s="2">
        <f ca="1">IFERROR(__xludf.DUMMYFUNCTION("""COMPUTED_VALUE"""),156500)</f>
        <v>156500</v>
      </c>
      <c r="K1917" s="2">
        <f ca="1">IFERROR(__xludf.DUMMYFUNCTION("""COMPUTED_VALUE"""),186600)</f>
        <v>186600</v>
      </c>
      <c r="L1917" s="2" t="str">
        <f ca="1">IFERROR(__xludf.DUMMYFUNCTION("""COMPUTED_VALUE"""),"3cb54432")</f>
        <v>3cb54432</v>
      </c>
      <c r="M1917" s="2" t="str">
        <f ca="1">IFERROR(__xludf.DUMMYFUNCTION("""COMPUTED_VALUE"""),"Malbec")</f>
        <v>Malbec</v>
      </c>
      <c r="N1917" s="2"/>
      <c r="O1917" s="2" t="str">
        <f ca="1">IFERROR(__xludf.DUMMYFUNCTION("""COMPUTED_VALUE"""),"1er Trasiego")</f>
        <v>1er Trasiego</v>
      </c>
      <c r="P1917" s="2" t="str">
        <f ca="1">IFERROR(__xludf.DUMMYFUNCTION("""COMPUTED_VALUE"""),"2do Trasiego")</f>
        <v>2do Trasiego</v>
      </c>
      <c r="Q1917" s="2" t="b">
        <f ca="1">IFERROR(__xludf.DUMMYFUNCTION("""COMPUTED_VALUE"""),TRUE)</f>
        <v>1</v>
      </c>
      <c r="R1917" s="2" t="str">
        <f ca="1">IFERROR(__xludf.DUMMYFUNCTION("""COMPUTED_VALUE"""),"2do Trasiego")</f>
        <v>2do Trasiego</v>
      </c>
      <c r="S1917" s="2"/>
      <c r="T1917" s="2"/>
      <c r="U1917" s="2" t="str">
        <f ca="1">IFERROR(__xludf.DUMMYFUNCTION("""COMPUTED_VALUE"""),"1-")</f>
        <v>1-</v>
      </c>
    </row>
    <row r="1918" spans="1:21" x14ac:dyDescent="0.25">
      <c r="A1918" s="2" t="str">
        <f ca="1">IFERROR(__xludf.DUMMYFUNCTION("""COMPUTED_VALUE"""),"71d0b0e1")</f>
        <v>71d0b0e1</v>
      </c>
      <c r="B1918" s="5">
        <f ca="1">IFERROR(__xludf.DUMMYFUNCTION("""COMPUTED_VALUE"""),46185.3726967592)</f>
        <v>46185.372696759201</v>
      </c>
      <c r="C1918" s="2" t="str">
        <f ca="1">IFERROR(__xludf.DUMMYFUNCTION("""COMPUTED_VALUE"""),"9125b2c8")</f>
        <v>9125b2c8</v>
      </c>
      <c r="D1918" s="2">
        <f ca="1">IFERROR(__xludf.DUMMYFUNCTION("""COMPUTED_VALUE"""),126)</f>
        <v>126</v>
      </c>
      <c r="E1918" s="2" t="str">
        <f ca="1">IFERROR(__xludf.DUMMYFUNCTION("""COMPUTED_VALUE"""),"Bonarda")</f>
        <v>Bonarda</v>
      </c>
      <c r="F1918" s="2">
        <f ca="1">IFERROR(__xludf.DUMMYFUNCTION("""COMPUTED_VALUE"""),900)</f>
        <v>900</v>
      </c>
      <c r="G1918" s="2">
        <f ca="1">IFERROR(__xludf.DUMMYFUNCTION("""COMPUTED_VALUE"""),12)</f>
        <v>12</v>
      </c>
      <c r="H1918" s="2" t="str">
        <f ca="1">IFERROR(__xludf.DUMMYFUNCTION("""COMPUTED_VALUE"""),"561f54c3")</f>
        <v>561f54c3</v>
      </c>
      <c r="I1918" s="2" t="str">
        <f ca="1">IFERROR(__xludf.DUMMYFUNCTION("""COMPUTED_VALUE"""),"Syrah Rect")</f>
        <v>Syrah Rect</v>
      </c>
      <c r="J1918" s="2">
        <f ca="1">IFERROR(__xludf.DUMMYFUNCTION("""COMPUTED_VALUE"""),23100)</f>
        <v>23100</v>
      </c>
      <c r="K1918" s="2">
        <f ca="1">IFERROR(__xludf.DUMMYFUNCTION("""COMPUTED_VALUE"""),24000)</f>
        <v>24000</v>
      </c>
      <c r="L1918" s="2" t="str">
        <f ca="1">IFERROR(__xludf.DUMMYFUNCTION("""COMPUTED_VALUE"""),"cfbea8f2")</f>
        <v>cfbea8f2</v>
      </c>
      <c r="M1918" s="2" t="str">
        <f ca="1">IFERROR(__xludf.DUMMYFUNCTION("""COMPUTED_VALUE"""),"Syrah Rect")</f>
        <v>Syrah Rect</v>
      </c>
      <c r="N1918" s="2"/>
      <c r="O1918" s="2" t="str">
        <f ca="1">IFERROR(__xludf.DUMMYFUNCTION("""COMPUTED_VALUE"""),"1er Trasiego")</f>
        <v>1er Trasiego</v>
      </c>
      <c r="P1918" s="2" t="str">
        <f ca="1">IFERROR(__xludf.DUMMYFUNCTION("""COMPUTED_VALUE"""),"Rectificado")</f>
        <v>Rectificado</v>
      </c>
      <c r="Q1918" s="2" t="b">
        <f ca="1">IFERROR(__xludf.DUMMYFUNCTION("""COMPUTED_VALUE"""),TRUE)</f>
        <v>1</v>
      </c>
      <c r="R1918" s="2" t="str">
        <f ca="1">IFERROR(__xludf.DUMMYFUNCTION("""COMPUTED_VALUE"""),"Rectificado")</f>
        <v>Rectificado</v>
      </c>
      <c r="S1918" s="2"/>
      <c r="T1918" s="2"/>
      <c r="U1918" s="2" t="str">
        <f ca="1">IFERROR(__xludf.DUMMYFUNCTION("""COMPUTED_VALUE"""),"1+")</f>
        <v>1+</v>
      </c>
    </row>
    <row r="1919" spans="1:21" x14ac:dyDescent="0.25">
      <c r="A1919" s="2" t="str">
        <f ca="1">IFERROR(__xludf.DUMMYFUNCTION("""COMPUTED_VALUE"""),"140bf11a")</f>
        <v>140bf11a</v>
      </c>
      <c r="B1919" s="5">
        <f ca="1">IFERROR(__xludf.DUMMYFUNCTION("""COMPUTED_VALUE"""),46185.3736458333)</f>
        <v>46185.373645833301</v>
      </c>
      <c r="C1919" s="2" t="str">
        <f ca="1">IFERROR(__xludf.DUMMYFUNCTION("""COMPUTED_VALUE"""),"d692801e")</f>
        <v>d692801e</v>
      </c>
      <c r="D1919" s="2">
        <f ca="1">IFERROR(__xludf.DUMMYFUNCTION("""COMPUTED_VALUE"""),102)</f>
        <v>102</v>
      </c>
      <c r="E1919" s="2" t="str">
        <f ca="1">IFERROR(__xludf.DUMMYFUNCTION("""COMPUTED_VALUE"""),"Syrah Anc s/Asp 2")</f>
        <v>Syrah Anc s/Asp 2</v>
      </c>
      <c r="F1919" s="2">
        <f ca="1">IFERROR(__xludf.DUMMYFUNCTION("""COMPUTED_VALUE"""),22600)</f>
        <v>22600</v>
      </c>
      <c r="G1919" s="2">
        <f ca="1">IFERROR(__xludf.DUMMYFUNCTION("""COMPUTED_VALUE"""),126)</f>
        <v>126</v>
      </c>
      <c r="H1919" s="2"/>
      <c r="I1919" s="2"/>
      <c r="J1919" s="2">
        <f ca="1">IFERROR(__xludf.DUMMYFUNCTION("""COMPUTED_VALUE"""),0)</f>
        <v>0</v>
      </c>
      <c r="K1919" s="2">
        <f ca="1">IFERROR(__xludf.DUMMYFUNCTION("""COMPUTED_VALUE"""),22600)</f>
        <v>22600</v>
      </c>
      <c r="L1919" s="2" t="str">
        <f ca="1">IFERROR(__xludf.DUMMYFUNCTION("""COMPUTED_VALUE"""),"584b6ec4")</f>
        <v>584b6ec4</v>
      </c>
      <c r="M1919" s="2" t="str">
        <f ca="1">IFERROR(__xludf.DUMMYFUNCTION("""COMPUTED_VALUE"""),"Syrah Anc s/Asp 2")</f>
        <v>Syrah Anc s/Asp 2</v>
      </c>
      <c r="N1919" s="2"/>
      <c r="O1919" s="2" t="str">
        <f ca="1">IFERROR(__xludf.DUMMYFUNCTION("""COMPUTED_VALUE"""),"1er Trasiego")</f>
        <v>1er Trasiego</v>
      </c>
      <c r="P1919" s="2"/>
      <c r="Q1919" s="2" t="b">
        <f ca="1">IFERROR(__xludf.DUMMYFUNCTION("""COMPUTED_VALUE"""),FALSE)</f>
        <v>0</v>
      </c>
      <c r="R1919" s="2" t="str">
        <f ca="1">IFERROR(__xludf.DUMMYFUNCTION("""COMPUTED_VALUE"""),"2do Trasiego")</f>
        <v>2do Trasiego</v>
      </c>
      <c r="S1919" s="2"/>
      <c r="T1919" s="2"/>
      <c r="U1919" s="2" t="str">
        <f ca="1">IFERROR(__xludf.DUMMYFUNCTION("""COMPUTED_VALUE"""),"1+")</f>
        <v>1+</v>
      </c>
    </row>
    <row r="1920" spans="1:21" x14ac:dyDescent="0.25">
      <c r="A1920" s="2" t="str">
        <f ca="1">IFERROR(__xludf.DUMMYFUNCTION("""COMPUTED_VALUE"""),"2a710184")</f>
        <v>2a710184</v>
      </c>
      <c r="B1920" s="5">
        <f ca="1">IFERROR(__xludf.DUMMYFUNCTION("""COMPUTED_VALUE"""),46185.436412037)</f>
        <v>46185.436412037001</v>
      </c>
      <c r="C1920" s="2" t="str">
        <f ca="1">IFERROR(__xludf.DUMMYFUNCTION("""COMPUTED_VALUE"""),"a9c64acb")</f>
        <v>a9c64acb</v>
      </c>
      <c r="D1920" s="2">
        <f ca="1">IFERROR(__xludf.DUMMYFUNCTION("""COMPUTED_VALUE"""),103)</f>
        <v>103</v>
      </c>
      <c r="E1920" s="2" t="str">
        <f ca="1">IFERROR(__xludf.DUMMYFUNCTION("""COMPUTED_VALUE"""),"Syrah s/Asp")</f>
        <v>Syrah s/Asp</v>
      </c>
      <c r="F1920" s="2">
        <f ca="1">IFERROR(__xludf.DUMMYFUNCTION("""COMPUTED_VALUE"""),8400)</f>
        <v>8400</v>
      </c>
      <c r="G1920" s="2">
        <f ca="1">IFERROR(__xludf.DUMMYFUNCTION("""COMPUTED_VALUE"""),126)</f>
        <v>126</v>
      </c>
      <c r="H1920" s="2" t="str">
        <f ca="1">IFERROR(__xludf.DUMMYFUNCTION("""COMPUTED_VALUE"""),"584b6ec4")</f>
        <v>584b6ec4</v>
      </c>
      <c r="I1920" s="2" t="str">
        <f ca="1">IFERROR(__xludf.DUMMYFUNCTION("""COMPUTED_VALUE"""),"Syrah Anc s/Asp 2")</f>
        <v>Syrah Anc s/Asp 2</v>
      </c>
      <c r="J1920" s="2">
        <f ca="1">IFERROR(__xludf.DUMMYFUNCTION("""COMPUTED_VALUE"""),22600)</f>
        <v>22600</v>
      </c>
      <c r="K1920" s="2">
        <f ca="1">IFERROR(__xludf.DUMMYFUNCTION("""COMPUTED_VALUE"""),31000)</f>
        <v>31000</v>
      </c>
      <c r="L1920" s="2" t="str">
        <f ca="1">IFERROR(__xludf.DUMMYFUNCTION("""COMPUTED_VALUE"""),"b598d19d")</f>
        <v>b598d19d</v>
      </c>
      <c r="M1920" s="2" t="str">
        <f ca="1">IFERROR(__xludf.DUMMYFUNCTION("""COMPUTED_VALUE"""),"Syrah Anc s/Asp 2")</f>
        <v>Syrah Anc s/Asp 2</v>
      </c>
      <c r="N1920" s="2"/>
      <c r="O1920" s="2" t="str">
        <f ca="1">IFERROR(__xludf.DUMMYFUNCTION("""COMPUTED_VALUE"""),"1er Trasiego")</f>
        <v>1er Trasiego</v>
      </c>
      <c r="P1920" s="2" t="str">
        <f ca="1">IFERROR(__xludf.DUMMYFUNCTION("""COMPUTED_VALUE"""),"2do Trasiego")</f>
        <v>2do Trasiego</v>
      </c>
      <c r="Q1920" s="2" t="b">
        <f ca="1">IFERROR(__xludf.DUMMYFUNCTION("""COMPUTED_VALUE"""),TRUE)</f>
        <v>1</v>
      </c>
      <c r="R1920" s="2" t="str">
        <f ca="1">IFERROR(__xludf.DUMMYFUNCTION("""COMPUTED_VALUE"""),"2do Trasiego")</f>
        <v>2do Trasiego</v>
      </c>
      <c r="S1920" s="2"/>
      <c r="T1920" s="2"/>
      <c r="U1920" s="2" t="str">
        <f ca="1">IFERROR(__xludf.DUMMYFUNCTION("""COMPUTED_VALUE"""),"1+")</f>
        <v>1+</v>
      </c>
    </row>
    <row r="1921" spans="1:21" x14ac:dyDescent="0.25">
      <c r="A1921" s="2" t="str">
        <f ca="1">IFERROR(__xludf.DUMMYFUNCTION("""COMPUTED_VALUE"""),"4c9dc061")</f>
        <v>4c9dc061</v>
      </c>
      <c r="B1921" s="5">
        <f ca="1">IFERROR(__xludf.DUMMYFUNCTION("""COMPUTED_VALUE"""),46185.4366550925)</f>
        <v>46185.436655092497</v>
      </c>
      <c r="C1921" s="2" t="str">
        <f ca="1">IFERROR(__xludf.DUMMYFUNCTION("""COMPUTED_VALUE"""),"a9c64acb")</f>
        <v>a9c64acb</v>
      </c>
      <c r="D1921" s="2">
        <f ca="1">IFERROR(__xludf.DUMMYFUNCTION("""COMPUTED_VALUE"""),103)</f>
        <v>103</v>
      </c>
      <c r="E1921" s="2" t="str">
        <f ca="1">IFERROR(__xludf.DUMMYFUNCTION("""COMPUTED_VALUE"""),"Syrah s/Asp")</f>
        <v>Syrah s/Asp</v>
      </c>
      <c r="F1921" s="2">
        <f ca="1">IFERROR(__xludf.DUMMYFUNCTION("""COMPUTED_VALUE"""),15800)</f>
        <v>15800</v>
      </c>
      <c r="G1921" s="2">
        <f ca="1">IFERROR(__xludf.DUMMYFUNCTION("""COMPUTED_VALUE"""),102)</f>
        <v>102</v>
      </c>
      <c r="H1921" s="2"/>
      <c r="I1921" s="2"/>
      <c r="J1921" s="2">
        <f ca="1">IFERROR(__xludf.DUMMYFUNCTION("""COMPUTED_VALUE"""),0)</f>
        <v>0</v>
      </c>
      <c r="K1921" s="2">
        <f ca="1">IFERROR(__xludf.DUMMYFUNCTION("""COMPUTED_VALUE"""),15800)</f>
        <v>15800</v>
      </c>
      <c r="L1921" s="2" t="str">
        <f ca="1">IFERROR(__xludf.DUMMYFUNCTION("""COMPUTED_VALUE"""),"a815c813")</f>
        <v>a815c813</v>
      </c>
      <c r="M1921" s="2" t="str">
        <f ca="1">IFERROR(__xludf.DUMMYFUNCTION("""COMPUTED_VALUE"""),"Syrah s/Asp")</f>
        <v>Syrah s/Asp</v>
      </c>
      <c r="N1921" s="2"/>
      <c r="O1921" s="2" t="str">
        <f ca="1">IFERROR(__xludf.DUMMYFUNCTION("""COMPUTED_VALUE"""),"1er Trasiego")</f>
        <v>1er Trasiego</v>
      </c>
      <c r="P1921" s="2"/>
      <c r="Q1921" s="2" t="b">
        <f ca="1">IFERROR(__xludf.DUMMYFUNCTION("""COMPUTED_VALUE"""),FALSE)</f>
        <v>0</v>
      </c>
      <c r="R1921" s="2" t="str">
        <f ca="1">IFERROR(__xludf.DUMMYFUNCTION("""COMPUTED_VALUE"""),"2do Trasiego")</f>
        <v>2do Trasiego</v>
      </c>
      <c r="S1921" s="2"/>
      <c r="T1921" s="2"/>
      <c r="U1921" s="2" t="str">
        <f ca="1">IFERROR(__xludf.DUMMYFUNCTION("""COMPUTED_VALUE"""),"1+")</f>
        <v>1+</v>
      </c>
    </row>
    <row r="1922" spans="1:21" x14ac:dyDescent="0.25">
      <c r="A1922" s="2" t="str">
        <f ca="1">IFERROR(__xludf.DUMMYFUNCTION("""COMPUTED_VALUE"""),"7b7acaa3")</f>
        <v>7b7acaa3</v>
      </c>
      <c r="B1922" s="5">
        <f ca="1">IFERROR(__xludf.DUMMYFUNCTION("""COMPUTED_VALUE"""),46185.4370601851)</f>
        <v>46185.437060185097</v>
      </c>
      <c r="C1922" s="2" t="str">
        <f ca="1">IFERROR(__xludf.DUMMYFUNCTION("""COMPUTED_VALUE"""),"0a8c721d")</f>
        <v>0a8c721d</v>
      </c>
      <c r="D1922" s="2">
        <f ca="1">IFERROR(__xludf.DUMMYFUNCTION("""COMPUTED_VALUE"""),104)</f>
        <v>104</v>
      </c>
      <c r="E1922" s="2" t="str">
        <f ca="1">IFERROR(__xludf.DUMMYFUNCTION("""COMPUTED_VALUE"""),"Syrah Merlot s/Asp 3")</f>
        <v>Syrah Merlot s/Asp 3</v>
      </c>
      <c r="F1922" s="2">
        <f ca="1">IFERROR(__xludf.DUMMYFUNCTION("""COMPUTED_VALUE"""),15200)</f>
        <v>15200</v>
      </c>
      <c r="G1922" s="2">
        <f ca="1">IFERROR(__xludf.DUMMYFUNCTION("""COMPUTED_VALUE"""),102)</f>
        <v>102</v>
      </c>
      <c r="H1922" s="2" t="str">
        <f ca="1">IFERROR(__xludf.DUMMYFUNCTION("""COMPUTED_VALUE"""),"a815c813")</f>
        <v>a815c813</v>
      </c>
      <c r="I1922" s="2" t="str">
        <f ca="1">IFERROR(__xludf.DUMMYFUNCTION("""COMPUTED_VALUE"""),"Syrah s/Asp")</f>
        <v>Syrah s/Asp</v>
      </c>
      <c r="J1922" s="2">
        <f ca="1">IFERROR(__xludf.DUMMYFUNCTION("""COMPUTED_VALUE"""),15800)</f>
        <v>15800</v>
      </c>
      <c r="K1922" s="2">
        <f ca="1">IFERROR(__xludf.DUMMYFUNCTION("""COMPUTED_VALUE"""),31000)</f>
        <v>31000</v>
      </c>
      <c r="L1922" s="2" t="str">
        <f ca="1">IFERROR(__xludf.DUMMYFUNCTION("""COMPUTED_VALUE"""),"99245d60")</f>
        <v>99245d60</v>
      </c>
      <c r="M1922" s="2" t="str">
        <f ca="1">IFERROR(__xludf.DUMMYFUNCTION("""COMPUTED_VALUE"""),"Syrah s/Asp")</f>
        <v>Syrah s/Asp</v>
      </c>
      <c r="N1922" s="2"/>
      <c r="O1922" s="2" t="str">
        <f ca="1">IFERROR(__xludf.DUMMYFUNCTION("""COMPUTED_VALUE"""),"1er Trasiego")</f>
        <v>1er Trasiego</v>
      </c>
      <c r="P1922" s="2" t="str">
        <f ca="1">IFERROR(__xludf.DUMMYFUNCTION("""COMPUTED_VALUE"""),"2do Trasiego")</f>
        <v>2do Trasiego</v>
      </c>
      <c r="Q1922" s="2" t="b">
        <f ca="1">IFERROR(__xludf.DUMMYFUNCTION("""COMPUTED_VALUE"""),TRUE)</f>
        <v>1</v>
      </c>
      <c r="R1922" s="2" t="str">
        <f ca="1">IFERROR(__xludf.DUMMYFUNCTION("""COMPUTED_VALUE"""),"2do Trasiego")</f>
        <v>2do Trasiego</v>
      </c>
      <c r="S1922" s="2"/>
      <c r="T1922" s="2"/>
      <c r="U1922" s="2" t="str">
        <f ca="1">IFERROR(__xludf.DUMMYFUNCTION("""COMPUTED_VALUE"""),"1+")</f>
        <v>1+</v>
      </c>
    </row>
    <row r="1923" spans="1:21" x14ac:dyDescent="0.25">
      <c r="A1923" s="2" t="str">
        <f ca="1">IFERROR(__xludf.DUMMYFUNCTION("""COMPUTED_VALUE"""),"229b7fdc")</f>
        <v>229b7fdc</v>
      </c>
      <c r="B1923" s="5">
        <f ca="1">IFERROR(__xludf.DUMMYFUNCTION("""COMPUTED_VALUE"""),46185.4374537037)</f>
        <v>46185.4374537037</v>
      </c>
      <c r="C1923" s="2" t="str">
        <f ca="1">IFERROR(__xludf.DUMMYFUNCTION("""COMPUTED_VALUE"""),"0a8c721d")</f>
        <v>0a8c721d</v>
      </c>
      <c r="D1923" s="2">
        <f ca="1">IFERROR(__xludf.DUMMYFUNCTION("""COMPUTED_VALUE"""),104)</f>
        <v>104</v>
      </c>
      <c r="E1923" s="2" t="str">
        <f ca="1">IFERROR(__xludf.DUMMYFUNCTION("""COMPUTED_VALUE"""),"Syrah Merlot s/Asp 3")</f>
        <v>Syrah Merlot s/Asp 3</v>
      </c>
      <c r="F1923" s="2">
        <f ca="1">IFERROR(__xludf.DUMMYFUNCTION("""COMPUTED_VALUE"""),9000)</f>
        <v>9000</v>
      </c>
      <c r="G1923" s="2">
        <f ca="1">IFERROR(__xludf.DUMMYFUNCTION("""COMPUTED_VALUE"""),103)</f>
        <v>103</v>
      </c>
      <c r="H1923" s="2"/>
      <c r="I1923" s="2"/>
      <c r="J1923" s="2">
        <f ca="1">IFERROR(__xludf.DUMMYFUNCTION("""COMPUTED_VALUE"""),0)</f>
        <v>0</v>
      </c>
      <c r="K1923" s="2">
        <f ca="1">IFERROR(__xludf.DUMMYFUNCTION("""COMPUTED_VALUE"""),9000)</f>
        <v>9000</v>
      </c>
      <c r="L1923" s="2" t="str">
        <f ca="1">IFERROR(__xludf.DUMMYFUNCTION("""COMPUTED_VALUE"""),"2b94f1a8")</f>
        <v>2b94f1a8</v>
      </c>
      <c r="M1923" s="2" t="str">
        <f ca="1">IFERROR(__xludf.DUMMYFUNCTION("""COMPUTED_VALUE"""),"Syrah Merlot s/Asp 3")</f>
        <v>Syrah Merlot s/Asp 3</v>
      </c>
      <c r="N1923" s="2"/>
      <c r="O1923" s="2" t="str">
        <f ca="1">IFERROR(__xludf.DUMMYFUNCTION("""COMPUTED_VALUE"""),"1er Trasiego")</f>
        <v>1er Trasiego</v>
      </c>
      <c r="P1923" s="2"/>
      <c r="Q1923" s="2" t="b">
        <f ca="1">IFERROR(__xludf.DUMMYFUNCTION("""COMPUTED_VALUE"""),FALSE)</f>
        <v>0</v>
      </c>
      <c r="R1923" s="2" t="str">
        <f ca="1">IFERROR(__xludf.DUMMYFUNCTION("""COMPUTED_VALUE"""),"2do Trasiego")</f>
        <v>2do Trasiego</v>
      </c>
      <c r="S1923" s="2"/>
      <c r="T1923" s="2"/>
      <c r="U1923" s="2" t="str">
        <f ca="1">IFERROR(__xludf.DUMMYFUNCTION("""COMPUTED_VALUE"""),"1")</f>
        <v>1</v>
      </c>
    </row>
    <row r="1924" spans="1:21" x14ac:dyDescent="0.25">
      <c r="A1924" s="2" t="str">
        <f ca="1">IFERROR(__xludf.DUMMYFUNCTION("""COMPUTED_VALUE"""),"164d7b4e")</f>
        <v>164d7b4e</v>
      </c>
      <c r="B1924" s="5">
        <f ca="1">IFERROR(__xludf.DUMMYFUNCTION("""COMPUTED_VALUE"""),46190.4317824074)</f>
        <v>46190.431782407402</v>
      </c>
      <c r="C1924" s="2" t="str">
        <f ca="1">IFERROR(__xludf.DUMMYFUNCTION("""COMPUTED_VALUE"""),"ea92c15b")</f>
        <v>ea92c15b</v>
      </c>
      <c r="D1924" s="2">
        <f ca="1">IFERROR(__xludf.DUMMYFUNCTION("""COMPUTED_VALUE"""),105)</f>
        <v>105</v>
      </c>
      <c r="E1924" s="2" t="str">
        <f ca="1">IFERROR(__xludf.DUMMYFUNCTION("""COMPUTED_VALUE"""),"Syrah Merlot s/Asp 3")</f>
        <v>Syrah Merlot s/Asp 3</v>
      </c>
      <c r="F1924" s="2">
        <f ca="1">IFERROR(__xludf.DUMMYFUNCTION("""COMPUTED_VALUE"""),22000)</f>
        <v>22000</v>
      </c>
      <c r="G1924" s="2">
        <f ca="1">IFERROR(__xludf.DUMMYFUNCTION("""COMPUTED_VALUE"""),103)</f>
        <v>103</v>
      </c>
      <c r="H1924" s="2" t="str">
        <f ca="1">IFERROR(__xludf.DUMMYFUNCTION("""COMPUTED_VALUE"""),"2b94f1a8")</f>
        <v>2b94f1a8</v>
      </c>
      <c r="I1924" s="2" t="str">
        <f ca="1">IFERROR(__xludf.DUMMYFUNCTION("""COMPUTED_VALUE"""),"Syrah Merlot s/Asp 3")</f>
        <v>Syrah Merlot s/Asp 3</v>
      </c>
      <c r="J1924" s="2">
        <f ca="1">IFERROR(__xludf.DUMMYFUNCTION("""COMPUTED_VALUE"""),9000)</f>
        <v>9000</v>
      </c>
      <c r="K1924" s="2">
        <f ca="1">IFERROR(__xludf.DUMMYFUNCTION("""COMPUTED_VALUE"""),31000)</f>
        <v>31000</v>
      </c>
      <c r="L1924" s="2" t="str">
        <f ca="1">IFERROR(__xludf.DUMMYFUNCTION("""COMPUTED_VALUE"""),"e9753960")</f>
        <v>e9753960</v>
      </c>
      <c r="M1924" s="2" t="str">
        <f ca="1">IFERROR(__xludf.DUMMYFUNCTION("""COMPUTED_VALUE"""),"Syrah Merlot s/Asp 3")</f>
        <v>Syrah Merlot s/Asp 3</v>
      </c>
      <c r="N1924" s="2"/>
      <c r="O1924" s="2" t="str">
        <f ca="1">IFERROR(__xludf.DUMMYFUNCTION("""COMPUTED_VALUE"""),"1er Trasiego")</f>
        <v>1er Trasiego</v>
      </c>
      <c r="P1924" s="2" t="str">
        <f ca="1">IFERROR(__xludf.DUMMYFUNCTION("""COMPUTED_VALUE"""),"2do Trasiego")</f>
        <v>2do Trasiego</v>
      </c>
      <c r="Q1924" s="2" t="b">
        <f ca="1">IFERROR(__xludf.DUMMYFUNCTION("""COMPUTED_VALUE"""),TRUE)</f>
        <v>1</v>
      </c>
      <c r="R1924" s="2" t="str">
        <f ca="1">IFERROR(__xludf.DUMMYFUNCTION("""COMPUTED_VALUE"""),"2do Trasiego")</f>
        <v>2do Trasiego</v>
      </c>
      <c r="S1924" s="2"/>
      <c r="T1924" s="2"/>
      <c r="U1924" s="2" t="str">
        <f ca="1">IFERROR(__xludf.DUMMYFUNCTION("""COMPUTED_VALUE"""),"1")</f>
        <v>1</v>
      </c>
    </row>
    <row r="1925" spans="1:21" x14ac:dyDescent="0.25">
      <c r="A1925" s="2" t="str">
        <f ca="1">IFERROR(__xludf.DUMMYFUNCTION("""COMPUTED_VALUE"""),"d77d7501")</f>
        <v>d77d7501</v>
      </c>
      <c r="B1925" s="5">
        <f ca="1">IFERROR(__xludf.DUMMYFUNCTION("""COMPUTED_VALUE"""),46190.432037037)</f>
        <v>46190.432037036997</v>
      </c>
      <c r="C1925" s="2" t="str">
        <f ca="1">IFERROR(__xludf.DUMMYFUNCTION("""COMPUTED_VALUE"""),"ea92c15b")</f>
        <v>ea92c15b</v>
      </c>
      <c r="D1925" s="2">
        <f ca="1">IFERROR(__xludf.DUMMYFUNCTION("""COMPUTED_VALUE"""),105)</f>
        <v>105</v>
      </c>
      <c r="E1925" s="2" t="str">
        <f ca="1">IFERROR(__xludf.DUMMYFUNCTION("""COMPUTED_VALUE"""),"Syrah Merlot s/Asp 3")</f>
        <v>Syrah Merlot s/Asp 3</v>
      </c>
      <c r="F1925" s="2">
        <f ca="1">IFERROR(__xludf.DUMMYFUNCTION("""COMPUTED_VALUE"""),2200)</f>
        <v>2200</v>
      </c>
      <c r="G1925" s="2">
        <f ca="1">IFERROR(__xludf.DUMMYFUNCTION("""COMPUTED_VALUE"""),104)</f>
        <v>104</v>
      </c>
      <c r="H1925" s="2"/>
      <c r="I1925" s="2"/>
      <c r="J1925" s="2">
        <f ca="1">IFERROR(__xludf.DUMMYFUNCTION("""COMPUTED_VALUE"""),0)</f>
        <v>0</v>
      </c>
      <c r="K1925" s="2">
        <f ca="1">IFERROR(__xludf.DUMMYFUNCTION("""COMPUTED_VALUE"""),2200)</f>
        <v>2200</v>
      </c>
      <c r="L1925" s="2" t="str">
        <f ca="1">IFERROR(__xludf.DUMMYFUNCTION("""COMPUTED_VALUE"""),"bbd94600")</f>
        <v>bbd94600</v>
      </c>
      <c r="M1925" s="2" t="str">
        <f ca="1">IFERROR(__xludf.DUMMYFUNCTION("""COMPUTED_VALUE"""),"Syrah Merlot s/Asp 3")</f>
        <v>Syrah Merlot s/Asp 3</v>
      </c>
      <c r="N1925" s="2"/>
      <c r="O1925" s="2" t="str">
        <f ca="1">IFERROR(__xludf.DUMMYFUNCTION("""COMPUTED_VALUE"""),"1er Trasiego")</f>
        <v>1er Trasiego</v>
      </c>
      <c r="P1925" s="2"/>
      <c r="Q1925" s="2" t="b">
        <f ca="1">IFERROR(__xludf.DUMMYFUNCTION("""COMPUTED_VALUE"""),FALSE)</f>
        <v>0</v>
      </c>
      <c r="R1925" s="2" t="str">
        <f ca="1">IFERROR(__xludf.DUMMYFUNCTION("""COMPUTED_VALUE"""),"2do Trasiego")</f>
        <v>2do Trasiego</v>
      </c>
      <c r="S1925" s="2"/>
      <c r="T1925" s="2"/>
      <c r="U1925" s="2" t="str">
        <f ca="1">IFERROR(__xludf.DUMMYFUNCTION("""COMPUTED_VALUE"""),"1+")</f>
        <v>1+</v>
      </c>
    </row>
    <row r="1926" spans="1:21" x14ac:dyDescent="0.25">
      <c r="A1926" s="2" t="str">
        <f ca="1">IFERROR(__xludf.DUMMYFUNCTION("""COMPUTED_VALUE"""),"db90b8f1")</f>
        <v>db90b8f1</v>
      </c>
      <c r="B1926" s="5">
        <f ca="1">IFERROR(__xludf.DUMMYFUNCTION("""COMPUTED_VALUE"""),46190.4325925925)</f>
        <v>46190.4325925925</v>
      </c>
      <c r="C1926" s="2" t="str">
        <f ca="1">IFERROR(__xludf.DUMMYFUNCTION("""COMPUTED_VALUE"""),"99ab0a68")</f>
        <v>99ab0a68</v>
      </c>
      <c r="D1926" s="2">
        <f ca="1">IFERROR(__xludf.DUMMYFUNCTION("""COMPUTED_VALUE"""),107)</f>
        <v>107</v>
      </c>
      <c r="E1926" s="2" t="str">
        <f ca="1">IFERROR(__xludf.DUMMYFUNCTION("""COMPUTED_VALUE"""),"Syrah Malbec s/Asp 2")</f>
        <v>Syrah Malbec s/Asp 2</v>
      </c>
      <c r="F1926" s="2">
        <f ca="1">IFERROR(__xludf.DUMMYFUNCTION("""COMPUTED_VALUE"""),24200)</f>
        <v>24200</v>
      </c>
      <c r="G1926" s="2">
        <f ca="1">IFERROR(__xludf.DUMMYFUNCTION("""COMPUTED_VALUE"""),104)</f>
        <v>104</v>
      </c>
      <c r="H1926" s="2" t="str">
        <f ca="1">IFERROR(__xludf.DUMMYFUNCTION("""COMPUTED_VALUE"""),"bbd94600")</f>
        <v>bbd94600</v>
      </c>
      <c r="I1926" s="2" t="str">
        <f ca="1">IFERROR(__xludf.DUMMYFUNCTION("""COMPUTED_VALUE"""),"Syrah Merlot s/Asp 3")</f>
        <v>Syrah Merlot s/Asp 3</v>
      </c>
      <c r="J1926" s="2">
        <f ca="1">IFERROR(__xludf.DUMMYFUNCTION("""COMPUTED_VALUE"""),2200)</f>
        <v>2200</v>
      </c>
      <c r="K1926" s="2">
        <f ca="1">IFERROR(__xludf.DUMMYFUNCTION("""COMPUTED_VALUE"""),26400)</f>
        <v>26400</v>
      </c>
      <c r="L1926" s="2" t="str">
        <f ca="1">IFERROR(__xludf.DUMMYFUNCTION("""COMPUTED_VALUE"""),"e1d7e7ba")</f>
        <v>e1d7e7ba</v>
      </c>
      <c r="M1926" s="2" t="str">
        <f ca="1">IFERROR(__xludf.DUMMYFUNCTION("""COMPUTED_VALUE"""),"Syrah Merlot s/Asp 3")</f>
        <v>Syrah Merlot s/Asp 3</v>
      </c>
      <c r="N1926" s="2"/>
      <c r="O1926" s="2" t="str">
        <f ca="1">IFERROR(__xludf.DUMMYFUNCTION("""COMPUTED_VALUE"""),"1er Trasiego")</f>
        <v>1er Trasiego</v>
      </c>
      <c r="P1926" s="2" t="str">
        <f ca="1">IFERROR(__xludf.DUMMYFUNCTION("""COMPUTED_VALUE"""),"2do Trasiego")</f>
        <v>2do Trasiego</v>
      </c>
      <c r="Q1926" s="2" t="b">
        <f ca="1">IFERROR(__xludf.DUMMYFUNCTION("""COMPUTED_VALUE"""),TRUE)</f>
        <v>1</v>
      </c>
      <c r="R1926" s="2" t="str">
        <f ca="1">IFERROR(__xludf.DUMMYFUNCTION("""COMPUTED_VALUE"""),"2do Trasiego")</f>
        <v>2do Trasiego</v>
      </c>
      <c r="S1926" s="2"/>
      <c r="T1926" s="2"/>
      <c r="U1926" s="2" t="str">
        <f ca="1">IFERROR(__xludf.DUMMYFUNCTION("""COMPUTED_VALUE"""),"1+")</f>
        <v>1+</v>
      </c>
    </row>
    <row r="1927" spans="1:21" x14ac:dyDescent="0.25">
      <c r="A1927" s="2" t="str">
        <f ca="1">IFERROR(__xludf.DUMMYFUNCTION("""COMPUTED_VALUE"""),"fc4069e4")</f>
        <v>fc4069e4</v>
      </c>
      <c r="B1927" s="5">
        <f ca="1">IFERROR(__xludf.DUMMYFUNCTION("""COMPUTED_VALUE"""),46190.4333564814)</f>
        <v>46190.433356481401</v>
      </c>
      <c r="C1927" s="2" t="str">
        <f ca="1">IFERROR(__xludf.DUMMYFUNCTION("""COMPUTED_VALUE"""),"f4f50fc1")</f>
        <v>f4f50fc1</v>
      </c>
      <c r="D1927" s="2">
        <f ca="1">IFERROR(__xludf.DUMMYFUNCTION("""COMPUTED_VALUE"""),108)</f>
        <v>108</v>
      </c>
      <c r="E1927" s="2" t="str">
        <f ca="1">IFERROR(__xludf.DUMMYFUNCTION("""COMPUTED_VALUE"""),"Syrah Malbec s/Asp 2")</f>
        <v>Syrah Malbec s/Asp 2</v>
      </c>
      <c r="F1927" s="2">
        <f ca="1">IFERROR(__xludf.DUMMYFUNCTION("""COMPUTED_VALUE"""),24200)</f>
        <v>24200</v>
      </c>
      <c r="G1927" s="2">
        <f ca="1">IFERROR(__xludf.DUMMYFUNCTION("""COMPUTED_VALUE"""),105)</f>
        <v>105</v>
      </c>
      <c r="H1927" s="2"/>
      <c r="I1927" s="2"/>
      <c r="J1927" s="2">
        <f ca="1">IFERROR(__xludf.DUMMYFUNCTION("""COMPUTED_VALUE"""),0)</f>
        <v>0</v>
      </c>
      <c r="K1927" s="2">
        <f ca="1">IFERROR(__xludf.DUMMYFUNCTION("""COMPUTED_VALUE"""),24200)</f>
        <v>24200</v>
      </c>
      <c r="L1927" s="2" t="str">
        <f ca="1">IFERROR(__xludf.DUMMYFUNCTION("""COMPUTED_VALUE"""),"0fa19063")</f>
        <v>0fa19063</v>
      </c>
      <c r="M1927" s="2" t="str">
        <f ca="1">IFERROR(__xludf.DUMMYFUNCTION("""COMPUTED_VALUE"""),"Syrah Malbec s/Asp 2")</f>
        <v>Syrah Malbec s/Asp 2</v>
      </c>
      <c r="N1927" s="2"/>
      <c r="O1927" s="2" t="str">
        <f ca="1">IFERROR(__xludf.DUMMYFUNCTION("""COMPUTED_VALUE"""),"1er Trasiego")</f>
        <v>1er Trasiego</v>
      </c>
      <c r="P1927" s="2"/>
      <c r="Q1927" s="2" t="b">
        <f ca="1">IFERROR(__xludf.DUMMYFUNCTION("""COMPUTED_VALUE"""),FALSE)</f>
        <v>0</v>
      </c>
      <c r="R1927" s="2" t="str">
        <f ca="1">IFERROR(__xludf.DUMMYFUNCTION("""COMPUTED_VALUE"""),"2do Trasiego")</f>
        <v>2do Trasiego</v>
      </c>
      <c r="S1927" s="2"/>
      <c r="T1927" s="2"/>
      <c r="U1927" s="2" t="str">
        <f ca="1">IFERROR(__xludf.DUMMYFUNCTION("""COMPUTED_VALUE"""),"1+")</f>
        <v>1+</v>
      </c>
    </row>
    <row r="1928" spans="1:21" x14ac:dyDescent="0.25">
      <c r="A1928" s="2" t="str">
        <f ca="1">IFERROR(__xludf.DUMMYFUNCTION("""COMPUTED_VALUE"""),"a227df5f")</f>
        <v>a227df5f</v>
      </c>
      <c r="B1928" s="5">
        <f ca="1">IFERROR(__xludf.DUMMYFUNCTION("""COMPUTED_VALUE"""),46190.4352430555)</f>
        <v>46190.435243055501</v>
      </c>
      <c r="C1928" s="2" t="str">
        <f ca="1">IFERROR(__xludf.DUMMYFUNCTION("""COMPUTED_VALUE"""),"0fa19063")</f>
        <v>0fa19063</v>
      </c>
      <c r="D1928" s="2">
        <f ca="1">IFERROR(__xludf.DUMMYFUNCTION("""COMPUTED_VALUE"""),105)</f>
        <v>105</v>
      </c>
      <c r="E1928" s="2" t="str">
        <f ca="1">IFERROR(__xludf.DUMMYFUNCTION("""COMPUTED_VALUE"""),"Syrah Malbec s/Asp 2")</f>
        <v>Syrah Malbec s/Asp 2</v>
      </c>
      <c r="F1928" s="2">
        <f ca="1">IFERROR(__xludf.DUMMYFUNCTION("""COMPUTED_VALUE"""),4600)</f>
        <v>4600</v>
      </c>
      <c r="G1928" s="2">
        <f ca="1">IFERROR(__xludf.DUMMYFUNCTION("""COMPUTED_VALUE"""),104)</f>
        <v>104</v>
      </c>
      <c r="H1928" s="2" t="str">
        <f ca="1">IFERROR(__xludf.DUMMYFUNCTION("""COMPUTED_VALUE"""),"e1d7e7ba")</f>
        <v>e1d7e7ba</v>
      </c>
      <c r="I1928" s="2" t="str">
        <f ca="1">IFERROR(__xludf.DUMMYFUNCTION("""COMPUTED_VALUE"""),"Syrah Merlot s/Asp 3")</f>
        <v>Syrah Merlot s/Asp 3</v>
      </c>
      <c r="J1928" s="2">
        <f ca="1">IFERROR(__xludf.DUMMYFUNCTION("""COMPUTED_VALUE"""),26400)</f>
        <v>26400</v>
      </c>
      <c r="K1928" s="2">
        <f ca="1">IFERROR(__xludf.DUMMYFUNCTION("""COMPUTED_VALUE"""),31000)</f>
        <v>31000</v>
      </c>
      <c r="L1928" s="2" t="str">
        <f ca="1">IFERROR(__xludf.DUMMYFUNCTION("""COMPUTED_VALUE"""),"b7cf1976")</f>
        <v>b7cf1976</v>
      </c>
      <c r="M1928" s="2" t="str">
        <f ca="1">IFERROR(__xludf.DUMMYFUNCTION("""COMPUTED_VALUE"""),"Syrah Merlot s/Asp 3")</f>
        <v>Syrah Merlot s/Asp 3</v>
      </c>
      <c r="N1928" s="2"/>
      <c r="O1928" s="2" t="str">
        <f ca="1">IFERROR(__xludf.DUMMYFUNCTION("""COMPUTED_VALUE"""),"2do Trasiego")</f>
        <v>2do Trasiego</v>
      </c>
      <c r="P1928" s="2" t="str">
        <f ca="1">IFERROR(__xludf.DUMMYFUNCTION("""COMPUTED_VALUE"""),"2do Trasiego")</f>
        <v>2do Trasiego</v>
      </c>
      <c r="Q1928" s="2" t="b">
        <f ca="1">IFERROR(__xludf.DUMMYFUNCTION("""COMPUTED_VALUE"""),TRUE)</f>
        <v>1</v>
      </c>
      <c r="R1928" s="2" t="str">
        <f ca="1">IFERROR(__xludf.DUMMYFUNCTION("""COMPUTED_VALUE"""),"2do Trasiego")</f>
        <v>2do Trasiego</v>
      </c>
      <c r="S1928" s="2"/>
      <c r="T1928" s="2"/>
      <c r="U1928" s="2" t="str">
        <f ca="1">IFERROR(__xludf.DUMMYFUNCTION("""COMPUTED_VALUE"""),"1+")</f>
        <v>1+</v>
      </c>
    </row>
    <row r="1929" spans="1:21" x14ac:dyDescent="0.25">
      <c r="A1929" s="2" t="str">
        <f ca="1">IFERROR(__xludf.DUMMYFUNCTION("""COMPUTED_VALUE"""),"4643ff2b")</f>
        <v>4643ff2b</v>
      </c>
      <c r="B1929" s="5">
        <f ca="1">IFERROR(__xludf.DUMMYFUNCTION("""COMPUTED_VALUE"""),46190.4383101851)</f>
        <v>46190.438310185098</v>
      </c>
      <c r="C1929" s="2" t="str">
        <f ca="1">IFERROR(__xludf.DUMMYFUNCTION("""COMPUTED_VALUE"""),"0fa19063")</f>
        <v>0fa19063</v>
      </c>
      <c r="D1929" s="2">
        <f ca="1">IFERROR(__xludf.DUMMYFUNCTION("""COMPUTED_VALUE"""),105)</f>
        <v>105</v>
      </c>
      <c r="E1929" s="2" t="str">
        <f ca="1">IFERROR(__xludf.DUMMYFUNCTION("""COMPUTED_VALUE"""),"Syrah Malbec s/Asp 2")</f>
        <v>Syrah Malbec s/Asp 2</v>
      </c>
      <c r="F1929" s="2">
        <f ca="1">IFERROR(__xludf.DUMMYFUNCTION("""COMPUTED_VALUE"""),1100)</f>
        <v>1100</v>
      </c>
      <c r="G1929" s="2">
        <f ca="1">IFERROR(__xludf.DUMMYFUNCTION("""COMPUTED_VALUE"""),74)</f>
        <v>74</v>
      </c>
      <c r="H1929" s="2" t="str">
        <f ca="1">IFERROR(__xludf.DUMMYFUNCTION("""COMPUTED_VALUE"""),"3ee4aa4c")</f>
        <v>3ee4aa4c</v>
      </c>
      <c r="I1929" s="2" t="str">
        <f ca="1">IFERROR(__xludf.DUMMYFUNCTION("""COMPUTED_VALUE"""),"Borra")</f>
        <v>Borra</v>
      </c>
      <c r="J1929" s="2">
        <f ca="1">IFERROR(__xludf.DUMMYFUNCTION("""COMPUTED_VALUE"""),11900)</f>
        <v>11900</v>
      </c>
      <c r="K1929" s="2">
        <f ca="1">IFERROR(__xludf.DUMMYFUNCTION("""COMPUTED_VALUE"""),13000)</f>
        <v>13000</v>
      </c>
      <c r="L1929" s="2" t="str">
        <f ca="1">IFERROR(__xludf.DUMMYFUNCTION("""COMPUTED_VALUE"""),"5ea05cac")</f>
        <v>5ea05cac</v>
      </c>
      <c r="M1929" s="2" t="str">
        <f ca="1">IFERROR(__xludf.DUMMYFUNCTION("""COMPUTED_VALUE"""),"Borra")</f>
        <v>Borra</v>
      </c>
      <c r="N1929" s="2"/>
      <c r="O1929" s="2" t="str">
        <f ca="1">IFERROR(__xludf.DUMMYFUNCTION("""COMPUTED_VALUE"""),"2do Trasiego")</f>
        <v>2do Trasiego</v>
      </c>
      <c r="P1929" s="2" t="str">
        <f ca="1">IFERROR(__xludf.DUMMYFUNCTION("""COMPUTED_VALUE"""),"1er Trasiego")</f>
        <v>1er Trasiego</v>
      </c>
      <c r="Q1929" s="2" t="b">
        <f ca="1">IFERROR(__xludf.DUMMYFUNCTION("""COMPUTED_VALUE"""),TRUE)</f>
        <v>1</v>
      </c>
      <c r="R1929" s="2" t="str">
        <f ca="1">IFERROR(__xludf.DUMMYFUNCTION("""COMPUTED_VALUE"""),"1er Trasiego")</f>
        <v>1er Trasiego</v>
      </c>
      <c r="S1929" s="2"/>
      <c r="T1929" s="2"/>
      <c r="U1929" s="2"/>
    </row>
    <row r="1930" spans="1:21" x14ac:dyDescent="0.25">
      <c r="A1930" s="2" t="str">
        <f ca="1">IFERROR(__xludf.DUMMYFUNCTION("""COMPUTED_VALUE"""),"3660d373")</f>
        <v>3660d373</v>
      </c>
      <c r="B1930" s="5">
        <f ca="1">IFERROR(__xludf.DUMMYFUNCTION("""COMPUTED_VALUE"""),46190.4430902777)</f>
        <v>46190.443090277702</v>
      </c>
      <c r="C1930" s="2" t="str">
        <f ca="1">IFERROR(__xludf.DUMMYFUNCTION("""COMPUTED_VALUE"""),"0fa19063")</f>
        <v>0fa19063</v>
      </c>
      <c r="D1930" s="2">
        <f ca="1">IFERROR(__xludf.DUMMYFUNCTION("""COMPUTED_VALUE"""),105)</f>
        <v>105</v>
      </c>
      <c r="E1930" s="2" t="str">
        <f ca="1">IFERROR(__xludf.DUMMYFUNCTION("""COMPUTED_VALUE"""),"Syrah Malbec s/Asp 2")</f>
        <v>Syrah Malbec s/Asp 2</v>
      </c>
      <c r="F1930" s="2">
        <f ca="1">IFERROR(__xludf.DUMMYFUNCTION("""COMPUTED_VALUE"""),2500)</f>
        <v>2500</v>
      </c>
      <c r="G1930" s="2">
        <f ca="1">IFERROR(__xludf.DUMMYFUNCTION("""COMPUTED_VALUE"""),500)</f>
        <v>500</v>
      </c>
      <c r="H1930" s="2" t="str">
        <f ca="1">IFERROR(__xludf.DUMMYFUNCTION("""COMPUTED_VALUE"""),"478b2484")</f>
        <v>478b2484</v>
      </c>
      <c r="I1930" s="2" t="str">
        <f ca="1">IFERROR(__xludf.DUMMYFUNCTION("""COMPUTED_VALUE"""),"Ajuste Cosecha 2026")</f>
        <v>Ajuste Cosecha 2026</v>
      </c>
      <c r="J1930" s="2">
        <f ca="1">IFERROR(__xludf.DUMMYFUNCTION("""COMPUTED_VALUE"""),34100)</f>
        <v>34100</v>
      </c>
      <c r="K1930" s="2">
        <f ca="1">IFERROR(__xludf.DUMMYFUNCTION("""COMPUTED_VALUE"""),36600)</f>
        <v>36600</v>
      </c>
      <c r="L1930" s="2" t="str">
        <f ca="1">IFERROR(__xludf.DUMMYFUNCTION("""COMPUTED_VALUE"""),"98cab2b3")</f>
        <v>98cab2b3</v>
      </c>
      <c r="M1930" s="2" t="str">
        <f ca="1">IFERROR(__xludf.DUMMYFUNCTION("""COMPUTED_VALUE"""),"Ajuste Cosecha 2026")</f>
        <v>Ajuste Cosecha 2026</v>
      </c>
      <c r="N1930" s="2"/>
      <c r="O1930" s="2" t="str">
        <f ca="1">IFERROR(__xludf.DUMMYFUNCTION("""COMPUTED_VALUE"""),"2do Trasiego")</f>
        <v>2do Trasiego</v>
      </c>
      <c r="P1930" s="2" t="str">
        <f ca="1">IFERROR(__xludf.DUMMYFUNCTION("""COMPUTED_VALUE"""),"Terminado")</f>
        <v>Terminado</v>
      </c>
      <c r="Q1930" s="2" t="b">
        <f ca="1">IFERROR(__xludf.DUMMYFUNCTION("""COMPUTED_VALUE"""),TRUE)</f>
        <v>1</v>
      </c>
      <c r="R1930" s="2" t="str">
        <f ca="1">IFERROR(__xludf.DUMMYFUNCTION("""COMPUTED_VALUE"""),"Terminado")</f>
        <v>Terminado</v>
      </c>
      <c r="S1930" s="2"/>
      <c r="T1930" s="2"/>
      <c r="U1930" s="2"/>
    </row>
    <row r="1931" spans="1:21" x14ac:dyDescent="0.25">
      <c r="A1931" s="2" t="str">
        <f ca="1">IFERROR(__xludf.DUMMYFUNCTION("""COMPUTED_VALUE"""),"252bed56")</f>
        <v>252bed56</v>
      </c>
      <c r="B1931" s="5">
        <f ca="1">IFERROR(__xludf.DUMMYFUNCTION("""COMPUTED_VALUE"""),46190.4446875)</f>
        <v>46190.444687499999</v>
      </c>
      <c r="C1931" s="2" t="str">
        <f ca="1">IFERROR(__xludf.DUMMYFUNCTION("""COMPUTED_VALUE"""),"a880dc8c")</f>
        <v>a880dc8c</v>
      </c>
      <c r="D1931" s="2">
        <f ca="1">IFERROR(__xludf.DUMMYFUNCTION("""COMPUTED_VALUE"""),86)</f>
        <v>86</v>
      </c>
      <c r="E1931" s="2" t="str">
        <f ca="1">IFERROR(__xludf.DUMMYFUNCTION("""COMPUTED_VALUE"""),"Syrah Anc PC s/Asp 2")</f>
        <v>Syrah Anc PC s/Asp 2</v>
      </c>
      <c r="F1931" s="2">
        <f ca="1">IFERROR(__xludf.DUMMYFUNCTION("""COMPUTED_VALUE"""),2500)</f>
        <v>2500</v>
      </c>
      <c r="G1931" s="2">
        <f ca="1">IFERROR(__xludf.DUMMYFUNCTION("""COMPUTED_VALUE"""),500)</f>
        <v>500</v>
      </c>
      <c r="H1931" s="2" t="str">
        <f ca="1">IFERROR(__xludf.DUMMYFUNCTION("""COMPUTED_VALUE"""),"98cab2b3")</f>
        <v>98cab2b3</v>
      </c>
      <c r="I1931" s="2" t="str">
        <f ca="1">IFERROR(__xludf.DUMMYFUNCTION("""COMPUTED_VALUE"""),"Ajuste Cosecha 2026")</f>
        <v>Ajuste Cosecha 2026</v>
      </c>
      <c r="J1931" s="2">
        <f ca="1">IFERROR(__xludf.DUMMYFUNCTION("""COMPUTED_VALUE"""),36600)</f>
        <v>36600</v>
      </c>
      <c r="K1931" s="2">
        <f ca="1">IFERROR(__xludf.DUMMYFUNCTION("""COMPUTED_VALUE"""),39100)</f>
        <v>39100</v>
      </c>
      <c r="L1931" s="2" t="str">
        <f ca="1">IFERROR(__xludf.DUMMYFUNCTION("""COMPUTED_VALUE"""),"bcb166f7")</f>
        <v>bcb166f7</v>
      </c>
      <c r="M1931" s="2" t="str">
        <f ca="1">IFERROR(__xludf.DUMMYFUNCTION("""COMPUTED_VALUE"""),"Ajuste Cosecha 2026")</f>
        <v>Ajuste Cosecha 2026</v>
      </c>
      <c r="N1931" s="2"/>
      <c r="O1931" s="2" t="str">
        <f ca="1">IFERROR(__xludf.DUMMYFUNCTION("""COMPUTED_VALUE"""),"1er Trasiego")</f>
        <v>1er Trasiego</v>
      </c>
      <c r="P1931" s="2" t="str">
        <f ca="1">IFERROR(__xludf.DUMMYFUNCTION("""COMPUTED_VALUE"""),"Terminado")</f>
        <v>Terminado</v>
      </c>
      <c r="Q1931" s="2" t="b">
        <f ca="1">IFERROR(__xludf.DUMMYFUNCTION("""COMPUTED_VALUE"""),TRUE)</f>
        <v>1</v>
      </c>
      <c r="R1931" s="2" t="str">
        <f ca="1">IFERROR(__xludf.DUMMYFUNCTION("""COMPUTED_VALUE"""),"Terminado")</f>
        <v>Terminado</v>
      </c>
      <c r="S1931" s="2"/>
      <c r="T1931" s="2"/>
      <c r="U1931" s="2"/>
    </row>
    <row r="1932" spans="1:21" x14ac:dyDescent="0.25">
      <c r="A1932" s="2" t="str">
        <f ca="1">IFERROR(__xludf.DUMMYFUNCTION("""COMPUTED_VALUE"""),"0096acfb")</f>
        <v>0096acfb</v>
      </c>
      <c r="B1932" s="5">
        <f ca="1">IFERROR(__xludf.DUMMYFUNCTION("""COMPUTED_VALUE"""),46190.4961111111)</f>
        <v>46190.496111111097</v>
      </c>
      <c r="C1932" s="2" t="str">
        <f ca="1">IFERROR(__xludf.DUMMYFUNCTION("""COMPUTED_VALUE"""),"cfbea8f2")</f>
        <v>cfbea8f2</v>
      </c>
      <c r="D1932" s="2">
        <f ca="1">IFERROR(__xludf.DUMMYFUNCTION("""COMPUTED_VALUE"""),12)</f>
        <v>12</v>
      </c>
      <c r="E1932" s="2" t="str">
        <f ca="1">IFERROR(__xludf.DUMMYFUNCTION("""COMPUTED_VALUE"""),"Syrah Rect")</f>
        <v>Syrah Rect</v>
      </c>
      <c r="F1932" s="2">
        <f ca="1">IFERROR(__xludf.DUMMYFUNCTION("""COMPUTED_VALUE"""),11000)</f>
        <v>11000</v>
      </c>
      <c r="G1932" s="2">
        <f ca="1">IFERROR(__xludf.DUMMYFUNCTION("""COMPUTED_VALUE"""),500)</f>
        <v>500</v>
      </c>
      <c r="H1932" s="2" t="str">
        <f ca="1">IFERROR(__xludf.DUMMYFUNCTION("""COMPUTED_VALUE"""),"bcb166f7")</f>
        <v>bcb166f7</v>
      </c>
      <c r="I1932" s="2" t="str">
        <f ca="1">IFERROR(__xludf.DUMMYFUNCTION("""COMPUTED_VALUE"""),"Ajuste Cosecha 2026")</f>
        <v>Ajuste Cosecha 2026</v>
      </c>
      <c r="J1932" s="2">
        <f ca="1">IFERROR(__xludf.DUMMYFUNCTION("""COMPUTED_VALUE"""),39100)</f>
        <v>39100</v>
      </c>
      <c r="K1932" s="2">
        <f ca="1">IFERROR(__xludf.DUMMYFUNCTION("""COMPUTED_VALUE"""),50100)</f>
        <v>50100</v>
      </c>
      <c r="L1932" s="2" t="str">
        <f ca="1">IFERROR(__xludf.DUMMYFUNCTION("""COMPUTED_VALUE"""),"afbb5926")</f>
        <v>afbb5926</v>
      </c>
      <c r="M1932" s="2" t="str">
        <f ca="1">IFERROR(__xludf.DUMMYFUNCTION("""COMPUTED_VALUE"""),"Ajuste Cosecha 2026")</f>
        <v>Ajuste Cosecha 2026</v>
      </c>
      <c r="N1932" s="2"/>
      <c r="O1932" s="2" t="str">
        <f ca="1">IFERROR(__xludf.DUMMYFUNCTION("""COMPUTED_VALUE"""),"Rectificado")</f>
        <v>Rectificado</v>
      </c>
      <c r="P1932" s="2" t="str">
        <f ca="1">IFERROR(__xludf.DUMMYFUNCTION("""COMPUTED_VALUE"""),"Terminado")</f>
        <v>Terminado</v>
      </c>
      <c r="Q1932" s="2" t="b">
        <f ca="1">IFERROR(__xludf.DUMMYFUNCTION("""COMPUTED_VALUE"""),TRUE)</f>
        <v>1</v>
      </c>
      <c r="R1932" s="2" t="str">
        <f ca="1">IFERROR(__xludf.DUMMYFUNCTION("""COMPUTED_VALUE"""),"Terminado")</f>
        <v>Terminado</v>
      </c>
      <c r="S1932" s="2"/>
      <c r="T1932" s="2"/>
      <c r="U1932" s="2"/>
    </row>
    <row r="1933" spans="1:21" x14ac:dyDescent="0.25">
      <c r="A1933" s="2" t="str">
        <f ca="1">IFERROR(__xludf.DUMMYFUNCTION("""COMPUTED_VALUE"""),"8ff0527c")</f>
        <v>8ff0527c</v>
      </c>
      <c r="B1933" s="5">
        <f ca="1">IFERROR(__xludf.DUMMYFUNCTION("""COMPUTED_VALUE"""),46190.4980439814)</f>
        <v>46190.498043981403</v>
      </c>
      <c r="C1933" s="2" t="str">
        <f ca="1">IFERROR(__xludf.DUMMYFUNCTION("""COMPUTED_VALUE"""),"d3010d76")</f>
        <v>d3010d76</v>
      </c>
      <c r="D1933" s="2">
        <f ca="1">IFERROR(__xludf.DUMMYFUNCTION("""COMPUTED_VALUE"""),127)</f>
        <v>127</v>
      </c>
      <c r="E1933" s="2" t="str">
        <f ca="1">IFERROR(__xludf.DUMMYFUNCTION("""COMPUTED_VALUE"""),"Malbec")</f>
        <v>Malbec</v>
      </c>
      <c r="F1933" s="2">
        <f ca="1">IFERROR(__xludf.DUMMYFUNCTION("""COMPUTED_VALUE"""),2000)</f>
        <v>2000</v>
      </c>
      <c r="G1933" s="2">
        <f ca="1">IFERROR(__xludf.DUMMYFUNCTION("""COMPUTED_VALUE"""),500)</f>
        <v>500</v>
      </c>
      <c r="H1933" s="2" t="str">
        <f ca="1">IFERROR(__xludf.DUMMYFUNCTION("""COMPUTED_VALUE"""),"afbb5926")</f>
        <v>afbb5926</v>
      </c>
      <c r="I1933" s="2" t="str">
        <f ca="1">IFERROR(__xludf.DUMMYFUNCTION("""COMPUTED_VALUE"""),"Ajuste Cosecha 2026")</f>
        <v>Ajuste Cosecha 2026</v>
      </c>
      <c r="J1933" s="2">
        <f ca="1">IFERROR(__xludf.DUMMYFUNCTION("""COMPUTED_VALUE"""),50100)</f>
        <v>50100</v>
      </c>
      <c r="K1933" s="2">
        <f ca="1">IFERROR(__xludf.DUMMYFUNCTION("""COMPUTED_VALUE"""),52100)</f>
        <v>52100</v>
      </c>
      <c r="L1933" s="2" t="str">
        <f ca="1">IFERROR(__xludf.DUMMYFUNCTION("""COMPUTED_VALUE"""),"35551036")</f>
        <v>35551036</v>
      </c>
      <c r="M1933" s="2" t="str">
        <f ca="1">IFERROR(__xludf.DUMMYFUNCTION("""COMPUTED_VALUE"""),"Ajuste Cosecha 2026")</f>
        <v>Ajuste Cosecha 2026</v>
      </c>
      <c r="N1933" s="2"/>
      <c r="O1933" s="2" t="str">
        <f ca="1">IFERROR(__xludf.DUMMYFUNCTION("""COMPUTED_VALUE"""),"Terminado")</f>
        <v>Terminado</v>
      </c>
      <c r="P1933" s="2" t="str">
        <f ca="1">IFERROR(__xludf.DUMMYFUNCTION("""COMPUTED_VALUE"""),"Terminado")</f>
        <v>Terminado</v>
      </c>
      <c r="Q1933" s="2" t="b">
        <f ca="1">IFERROR(__xludf.DUMMYFUNCTION("""COMPUTED_VALUE"""),TRUE)</f>
        <v>1</v>
      </c>
      <c r="R1933" s="2" t="str">
        <f ca="1">IFERROR(__xludf.DUMMYFUNCTION("""COMPUTED_VALUE"""),"Terminado")</f>
        <v>Terminado</v>
      </c>
      <c r="S1933" s="2"/>
      <c r="T1933" s="2"/>
      <c r="U1933" s="2"/>
    </row>
    <row r="1934" spans="1:21" x14ac:dyDescent="0.25">
      <c r="A1934" s="2" t="str">
        <f ca="1">IFERROR(__xludf.DUMMYFUNCTION("""COMPUTED_VALUE"""),"2f852c6b")</f>
        <v>2f852c6b</v>
      </c>
      <c r="B1934" s="5">
        <f ca="1">IFERROR(__xludf.DUMMYFUNCTION("""COMPUTED_VALUE"""),46192.0213425925)</f>
        <v>46192.021342592503</v>
      </c>
      <c r="C1934" s="2" t="str">
        <f ca="1">IFERROR(__xludf.DUMMYFUNCTION("""COMPUTED_VALUE"""),"76379bb5")</f>
        <v>76379bb5</v>
      </c>
      <c r="D1934" s="2">
        <f ca="1">IFERROR(__xludf.DUMMYFUNCTION("""COMPUTED_VALUE"""),8)</f>
        <v>8</v>
      </c>
      <c r="E1934" s="2" t="str">
        <f ca="1">IFERROR(__xludf.DUMMYFUNCTION("""COMPUTED_VALUE"""),"Pedro Gimenez")</f>
        <v>Pedro Gimenez</v>
      </c>
      <c r="F1934" s="2">
        <f ca="1">IFERROR(__xludf.DUMMYFUNCTION("""COMPUTED_VALUE"""),6600)</f>
        <v>6600</v>
      </c>
      <c r="G1934" s="2">
        <f ca="1">IFERROR(__xludf.DUMMYFUNCTION("""COMPUTED_VALUE"""),42)</f>
        <v>42</v>
      </c>
      <c r="H1934" s="2"/>
      <c r="I1934" s="2"/>
      <c r="J1934" s="2">
        <f ca="1">IFERROR(__xludf.DUMMYFUNCTION("""COMPUTED_VALUE"""),0)</f>
        <v>0</v>
      </c>
      <c r="K1934" s="2">
        <f ca="1">IFERROR(__xludf.DUMMYFUNCTION("""COMPUTED_VALUE"""),6600)</f>
        <v>6600</v>
      </c>
      <c r="L1934" s="2" t="str">
        <f ca="1">IFERROR(__xludf.DUMMYFUNCTION("""COMPUTED_VALUE"""),"f2014d0d")</f>
        <v>f2014d0d</v>
      </c>
      <c r="M1934" s="2" t="str">
        <f ca="1">IFERROR(__xludf.DUMMYFUNCTION("""COMPUTED_VALUE"""),"Chardonnay Garbin")</f>
        <v>Chardonnay Garbin</v>
      </c>
      <c r="N1934" s="2"/>
      <c r="O1934" s="2" t="str">
        <f ca="1">IFERROR(__xludf.DUMMYFUNCTION("""COMPUTED_VALUE"""),"Descubada")</f>
        <v>Descubada</v>
      </c>
      <c r="P1934" s="2"/>
      <c r="Q1934" s="2" t="b">
        <f ca="1">IFERROR(__xludf.DUMMYFUNCTION("""COMPUTED_VALUE"""),FALSE)</f>
        <v>0</v>
      </c>
      <c r="R1934" s="2" t="str">
        <f ca="1">IFERROR(__xludf.DUMMYFUNCTION("""COMPUTED_VALUE"""),"1er Trasiego")</f>
        <v>1er Trasiego</v>
      </c>
      <c r="S1934" s="2"/>
      <c r="T1934" s="2"/>
      <c r="U1934" s="2" t="str">
        <f ca="1">IFERROR(__xludf.DUMMYFUNCTION("""COMPUTED_VALUE"""),"1+")</f>
        <v>1+</v>
      </c>
    </row>
    <row r="1935" spans="1:21" x14ac:dyDescent="0.25">
      <c r="A1935" s="2" t="str">
        <f ca="1">IFERROR(__xludf.DUMMYFUNCTION("""COMPUTED_VALUE"""),"19d181aa")</f>
        <v>19d181aa</v>
      </c>
      <c r="B1935" s="5">
        <f ca="1">IFERROR(__xludf.DUMMYFUNCTION("""COMPUTED_VALUE"""),46192.0223842592)</f>
        <v>46192.022384259202</v>
      </c>
      <c r="C1935" s="2" t="str">
        <f ca="1">IFERROR(__xludf.DUMMYFUNCTION("""COMPUTED_VALUE"""),"4a70a363")</f>
        <v>4a70a363</v>
      </c>
      <c r="D1935" s="2">
        <f ca="1">IFERROR(__xludf.DUMMYFUNCTION("""COMPUTED_VALUE"""),44)</f>
        <v>44</v>
      </c>
      <c r="E1935" s="2" t="str">
        <f ca="1">IFERROR(__xludf.DUMMYFUNCTION("""COMPUTED_VALUE"""),"Chardonnay")</f>
        <v>Chardonnay</v>
      </c>
      <c r="F1935" s="2">
        <f ca="1">IFERROR(__xludf.DUMMYFUNCTION("""COMPUTED_VALUE"""),5700)</f>
        <v>5700</v>
      </c>
      <c r="G1935" s="2">
        <f ca="1">IFERROR(__xludf.DUMMYFUNCTION("""COMPUTED_VALUE"""),42)</f>
        <v>42</v>
      </c>
      <c r="H1935" s="2" t="str">
        <f ca="1">IFERROR(__xludf.DUMMYFUNCTION("""COMPUTED_VALUE"""),"f2014d0d")</f>
        <v>f2014d0d</v>
      </c>
      <c r="I1935" s="2" t="str">
        <f ca="1">IFERROR(__xludf.DUMMYFUNCTION("""COMPUTED_VALUE"""),"Chardonnay Garbin")</f>
        <v>Chardonnay Garbin</v>
      </c>
      <c r="J1935" s="2">
        <f ca="1">IFERROR(__xludf.DUMMYFUNCTION("""COMPUTED_VALUE"""),6600)</f>
        <v>6600</v>
      </c>
      <c r="K1935" s="2">
        <f ca="1">IFERROR(__xludf.DUMMYFUNCTION("""COMPUTED_VALUE"""),12300)</f>
        <v>12300</v>
      </c>
      <c r="L1935" s="2" t="str">
        <f ca="1">IFERROR(__xludf.DUMMYFUNCTION("""COMPUTED_VALUE"""),"308041cf")</f>
        <v>308041cf</v>
      </c>
      <c r="M1935" s="2" t="str">
        <f ca="1">IFERROR(__xludf.DUMMYFUNCTION("""COMPUTED_VALUE"""),"Chardonnay Garbin")</f>
        <v>Chardonnay Garbin</v>
      </c>
      <c r="N1935" s="2"/>
      <c r="O1935" s="2" t="str">
        <f ca="1">IFERROR(__xludf.DUMMYFUNCTION("""COMPUTED_VALUE"""),"1er Trasiego")</f>
        <v>1er Trasiego</v>
      </c>
      <c r="P1935" s="2" t="str">
        <f ca="1">IFERROR(__xludf.DUMMYFUNCTION("""COMPUTED_VALUE"""),"1er Trasiego")</f>
        <v>1er Trasiego</v>
      </c>
      <c r="Q1935" s="2" t="b">
        <f ca="1">IFERROR(__xludf.DUMMYFUNCTION("""COMPUTED_VALUE"""),TRUE)</f>
        <v>1</v>
      </c>
      <c r="R1935" s="2" t="str">
        <f ca="1">IFERROR(__xludf.DUMMYFUNCTION("""COMPUTED_VALUE"""),"1er Trasiego")</f>
        <v>1er Trasiego</v>
      </c>
      <c r="S1935" s="2"/>
      <c r="T1935" s="2"/>
      <c r="U1935" s="2" t="str">
        <f ca="1">IFERROR(__xludf.DUMMYFUNCTION("""COMPUTED_VALUE"""),"1+")</f>
        <v>1+</v>
      </c>
    </row>
    <row r="1936" spans="1:21" x14ac:dyDescent="0.25">
      <c r="A1936" s="2" t="str">
        <f ca="1">IFERROR(__xludf.DUMMYFUNCTION("""COMPUTED_VALUE"""),"b369921e")</f>
        <v>b369921e</v>
      </c>
      <c r="B1936" s="5">
        <f ca="1">IFERROR(__xludf.DUMMYFUNCTION("""COMPUTED_VALUE"""),46192.0228009259)</f>
        <v>46192.022800925901</v>
      </c>
      <c r="C1936" s="2" t="str">
        <f ca="1">IFERROR(__xludf.DUMMYFUNCTION("""COMPUTED_VALUE"""),"794ce23f")</f>
        <v>794ce23f</v>
      </c>
      <c r="D1936" s="2">
        <f ca="1">IFERROR(__xludf.DUMMYFUNCTION("""COMPUTED_VALUE"""),72)</f>
        <v>72</v>
      </c>
      <c r="E1936" s="2" t="str">
        <f ca="1">IFERROR(__xludf.DUMMYFUNCTION("""COMPUTED_VALUE"""),"Chardonnay")</f>
        <v>Chardonnay</v>
      </c>
      <c r="F1936" s="2">
        <f ca="1">IFERROR(__xludf.DUMMYFUNCTION("""COMPUTED_VALUE"""),3900)</f>
        <v>3900</v>
      </c>
      <c r="G1936" s="2">
        <f ca="1">IFERROR(__xludf.DUMMYFUNCTION("""COMPUTED_VALUE"""),42)</f>
        <v>42</v>
      </c>
      <c r="H1936" s="2" t="str">
        <f ca="1">IFERROR(__xludf.DUMMYFUNCTION("""COMPUTED_VALUE"""),"308041cf")</f>
        <v>308041cf</v>
      </c>
      <c r="I1936" s="2" t="str">
        <f ca="1">IFERROR(__xludf.DUMMYFUNCTION("""COMPUTED_VALUE"""),"Chardonnay Garbin")</f>
        <v>Chardonnay Garbin</v>
      </c>
      <c r="J1936" s="2">
        <f ca="1">IFERROR(__xludf.DUMMYFUNCTION("""COMPUTED_VALUE"""),12300)</f>
        <v>12300</v>
      </c>
      <c r="K1936" s="2">
        <f ca="1">IFERROR(__xludf.DUMMYFUNCTION("""COMPUTED_VALUE"""),16200)</f>
        <v>16200</v>
      </c>
      <c r="L1936" s="2" t="str">
        <f ca="1">IFERROR(__xludf.DUMMYFUNCTION("""COMPUTED_VALUE"""),"8f4eea17")</f>
        <v>8f4eea17</v>
      </c>
      <c r="M1936" s="2" t="str">
        <f ca="1">IFERROR(__xludf.DUMMYFUNCTION("""COMPUTED_VALUE"""),"Chardonnay Garbin")</f>
        <v>Chardonnay Garbin</v>
      </c>
      <c r="N1936" s="2"/>
      <c r="O1936" s="2" t="str">
        <f ca="1">IFERROR(__xludf.DUMMYFUNCTION("""COMPUTED_VALUE"""),"1er Trasiego")</f>
        <v>1er Trasiego</v>
      </c>
      <c r="P1936" s="2" t="str">
        <f ca="1">IFERROR(__xludf.DUMMYFUNCTION("""COMPUTED_VALUE"""),"1er Trasiego")</f>
        <v>1er Trasiego</v>
      </c>
      <c r="Q1936" s="2" t="b">
        <f ca="1">IFERROR(__xludf.DUMMYFUNCTION("""COMPUTED_VALUE"""),TRUE)</f>
        <v>1</v>
      </c>
      <c r="R1936" s="2" t="str">
        <f ca="1">IFERROR(__xludf.DUMMYFUNCTION("""COMPUTED_VALUE"""),"1er Trasiego")</f>
        <v>1er Trasiego</v>
      </c>
      <c r="S1936" s="2"/>
      <c r="T1936" s="2"/>
      <c r="U1936" s="2" t="str">
        <f ca="1">IFERROR(__xludf.DUMMYFUNCTION("""COMPUTED_VALUE"""),"1+")</f>
        <v>1+</v>
      </c>
    </row>
    <row r="1937" spans="1:21" x14ac:dyDescent="0.25">
      <c r="A1937" s="2" t="str">
        <f ca="1">IFERROR(__xludf.DUMMYFUNCTION("""COMPUTED_VALUE"""),"0e161d77")</f>
        <v>0e161d77</v>
      </c>
      <c r="B1937" s="5">
        <f ca="1">IFERROR(__xludf.DUMMYFUNCTION("""COMPUTED_VALUE"""),46192.0232060185)</f>
        <v>46192.023206018501</v>
      </c>
      <c r="C1937" s="2" t="str">
        <f ca="1">IFERROR(__xludf.DUMMYFUNCTION("""COMPUTED_VALUE"""),"7925389c")</f>
        <v>7925389c</v>
      </c>
      <c r="D1937" s="2">
        <f ca="1">IFERROR(__xludf.DUMMYFUNCTION("""COMPUTED_VALUE"""),30)</f>
        <v>30</v>
      </c>
      <c r="E1937" s="2" t="str">
        <f ca="1">IFERROR(__xludf.DUMMYFUNCTION("""COMPUTED_VALUE"""),"Chardonnay Ch")</f>
        <v>Chardonnay Ch</v>
      </c>
      <c r="F1937" s="2">
        <f ca="1">IFERROR(__xludf.DUMMYFUNCTION("""COMPUTED_VALUE"""),11600)</f>
        <v>11600</v>
      </c>
      <c r="G1937" s="2">
        <f ca="1">IFERROR(__xludf.DUMMYFUNCTION("""COMPUTED_VALUE"""),42)</f>
        <v>42</v>
      </c>
      <c r="H1937" s="2" t="str">
        <f ca="1">IFERROR(__xludf.DUMMYFUNCTION("""COMPUTED_VALUE"""),"8f4eea17")</f>
        <v>8f4eea17</v>
      </c>
      <c r="I1937" s="2" t="str">
        <f ca="1">IFERROR(__xludf.DUMMYFUNCTION("""COMPUTED_VALUE"""),"Chardonnay Garbin")</f>
        <v>Chardonnay Garbin</v>
      </c>
      <c r="J1937" s="2">
        <f ca="1">IFERROR(__xludf.DUMMYFUNCTION("""COMPUTED_VALUE"""),16200)</f>
        <v>16200</v>
      </c>
      <c r="K1937" s="2">
        <f ca="1">IFERROR(__xludf.DUMMYFUNCTION("""COMPUTED_VALUE"""),27800)</f>
        <v>27800</v>
      </c>
      <c r="L1937" s="2" t="str">
        <f ca="1">IFERROR(__xludf.DUMMYFUNCTION("""COMPUTED_VALUE"""),"db67dc4e")</f>
        <v>db67dc4e</v>
      </c>
      <c r="M1937" s="2" t="str">
        <f ca="1">IFERROR(__xludf.DUMMYFUNCTION("""COMPUTED_VALUE"""),"Chardonnay Garbin")</f>
        <v>Chardonnay Garbin</v>
      </c>
      <c r="N1937" s="2"/>
      <c r="O1937" s="2" t="str">
        <f ca="1">IFERROR(__xludf.DUMMYFUNCTION("""COMPUTED_VALUE"""),"Descubada")</f>
        <v>Descubada</v>
      </c>
      <c r="P1937" s="2" t="str">
        <f ca="1">IFERROR(__xludf.DUMMYFUNCTION("""COMPUTED_VALUE"""),"1er Trasiego")</f>
        <v>1er Trasiego</v>
      </c>
      <c r="Q1937" s="2" t="b">
        <f ca="1">IFERROR(__xludf.DUMMYFUNCTION("""COMPUTED_VALUE"""),TRUE)</f>
        <v>1</v>
      </c>
      <c r="R1937" s="2" t="str">
        <f ca="1">IFERROR(__xludf.DUMMYFUNCTION("""COMPUTED_VALUE"""),"1er Trasiego")</f>
        <v>1er Trasiego</v>
      </c>
      <c r="S1937" s="2"/>
      <c r="T1937" s="2"/>
      <c r="U1937" s="2" t="str">
        <f ca="1">IFERROR(__xludf.DUMMYFUNCTION("""COMPUTED_VALUE"""),"1+")</f>
        <v>1+</v>
      </c>
    </row>
    <row r="1938" spans="1:21" x14ac:dyDescent="0.25">
      <c r="A1938" s="2" t="str">
        <f ca="1">IFERROR(__xludf.DUMMYFUNCTION("""COMPUTED_VALUE"""),"21f84202")</f>
        <v>21f84202</v>
      </c>
      <c r="B1938" s="5">
        <f ca="1">IFERROR(__xludf.DUMMYFUNCTION("""COMPUTED_VALUE"""),46192.0237152777)</f>
        <v>46192.023715277697</v>
      </c>
      <c r="C1938" s="2" t="str">
        <f ca="1">IFERROR(__xludf.DUMMYFUNCTION("""COMPUTED_VALUE"""),"ed08a2c0")</f>
        <v>ed08a2c0</v>
      </c>
      <c r="D1938" s="2">
        <f ca="1">IFERROR(__xludf.DUMMYFUNCTION("""COMPUTED_VALUE"""),33)</f>
        <v>33</v>
      </c>
      <c r="E1938" s="2" t="str">
        <f ca="1">IFERROR(__xludf.DUMMYFUNCTION("""COMPUTED_VALUE"""),"Chardonnay")</f>
        <v>Chardonnay</v>
      </c>
      <c r="F1938" s="2">
        <f ca="1">IFERROR(__xludf.DUMMYFUNCTION("""COMPUTED_VALUE"""),8100)</f>
        <v>8100</v>
      </c>
      <c r="G1938" s="2">
        <f ca="1">IFERROR(__xludf.DUMMYFUNCTION("""COMPUTED_VALUE"""),42)</f>
        <v>42</v>
      </c>
      <c r="H1938" s="2" t="str">
        <f ca="1">IFERROR(__xludf.DUMMYFUNCTION("""COMPUTED_VALUE"""),"db67dc4e")</f>
        <v>db67dc4e</v>
      </c>
      <c r="I1938" s="2" t="str">
        <f ca="1">IFERROR(__xludf.DUMMYFUNCTION("""COMPUTED_VALUE"""),"Chardonnay Garbin")</f>
        <v>Chardonnay Garbin</v>
      </c>
      <c r="J1938" s="2">
        <f ca="1">IFERROR(__xludf.DUMMYFUNCTION("""COMPUTED_VALUE"""),27800)</f>
        <v>27800</v>
      </c>
      <c r="K1938" s="2">
        <f ca="1">IFERROR(__xludf.DUMMYFUNCTION("""COMPUTED_VALUE"""),35900)</f>
        <v>35900</v>
      </c>
      <c r="L1938" s="2" t="str">
        <f ca="1">IFERROR(__xludf.DUMMYFUNCTION("""COMPUTED_VALUE"""),"3dfdda7a")</f>
        <v>3dfdda7a</v>
      </c>
      <c r="M1938" s="2" t="str">
        <f ca="1">IFERROR(__xludf.DUMMYFUNCTION("""COMPUTED_VALUE"""),"Chardonnay Garbin")</f>
        <v>Chardonnay Garbin</v>
      </c>
      <c r="N1938" s="2"/>
      <c r="O1938" s="2" t="str">
        <f ca="1">IFERROR(__xludf.DUMMYFUNCTION("""COMPUTED_VALUE"""),"Descubada")</f>
        <v>Descubada</v>
      </c>
      <c r="P1938" s="2" t="str">
        <f ca="1">IFERROR(__xludf.DUMMYFUNCTION("""COMPUTED_VALUE"""),"1er Trasiego")</f>
        <v>1er Trasiego</v>
      </c>
      <c r="Q1938" s="2" t="b">
        <f ca="1">IFERROR(__xludf.DUMMYFUNCTION("""COMPUTED_VALUE"""),TRUE)</f>
        <v>1</v>
      </c>
      <c r="R1938" s="2" t="str">
        <f ca="1">IFERROR(__xludf.DUMMYFUNCTION("""COMPUTED_VALUE"""),"1er Trasiego")</f>
        <v>1er Trasiego</v>
      </c>
      <c r="S1938" s="2"/>
      <c r="T1938" s="2"/>
      <c r="U1938" s="2" t="str">
        <f ca="1">IFERROR(__xludf.DUMMYFUNCTION("""COMPUTED_VALUE"""),"1+")</f>
        <v>1+</v>
      </c>
    </row>
    <row r="1939" spans="1:21" x14ac:dyDescent="0.25">
      <c r="A1939" s="2" t="str">
        <f ca="1">IFERROR(__xludf.DUMMYFUNCTION("""COMPUTED_VALUE"""),"ce6a483c")</f>
        <v>ce6a483c</v>
      </c>
      <c r="B1939" s="5">
        <f ca="1">IFERROR(__xludf.DUMMYFUNCTION("""COMPUTED_VALUE"""),46192.0240046296)</f>
        <v>46192.024004629602</v>
      </c>
      <c r="C1939" s="2" t="str">
        <f ca="1">IFERROR(__xludf.DUMMYFUNCTION("""COMPUTED_VALUE"""),"3dfdda7a")</f>
        <v>3dfdda7a</v>
      </c>
      <c r="D1939" s="2">
        <f ca="1">IFERROR(__xludf.DUMMYFUNCTION("""COMPUTED_VALUE"""),42)</f>
        <v>42</v>
      </c>
      <c r="E1939" s="2" t="str">
        <f ca="1">IFERROR(__xludf.DUMMYFUNCTION("""COMPUTED_VALUE"""),"Chardonnay Garbin")</f>
        <v>Chardonnay Garbin</v>
      </c>
      <c r="F1939" s="2">
        <f ca="1">IFERROR(__xludf.DUMMYFUNCTION("""COMPUTED_VALUE"""),6500)</f>
        <v>6500</v>
      </c>
      <c r="G1939" s="2">
        <f ca="1">IFERROR(__xludf.DUMMYFUNCTION("""COMPUTED_VALUE"""),44)</f>
        <v>44</v>
      </c>
      <c r="H1939" s="2" t="str">
        <f ca="1">IFERROR(__xludf.DUMMYFUNCTION("""COMPUTED_VALUE"""),"4a70a363")</f>
        <v>4a70a363</v>
      </c>
      <c r="I1939" s="2" t="str">
        <f ca="1">IFERROR(__xludf.DUMMYFUNCTION("""COMPUTED_VALUE"""),"Chardonnay")</f>
        <v>Chardonnay</v>
      </c>
      <c r="J1939" s="2">
        <f ca="1">IFERROR(__xludf.DUMMYFUNCTION("""COMPUTED_VALUE"""),13400)</f>
        <v>13400</v>
      </c>
      <c r="K1939" s="2">
        <f ca="1">IFERROR(__xludf.DUMMYFUNCTION("""COMPUTED_VALUE"""),19900)</f>
        <v>19900</v>
      </c>
      <c r="L1939" s="2" t="str">
        <f ca="1">IFERROR(__xludf.DUMMYFUNCTION("""COMPUTED_VALUE"""),"c5e0ac28")</f>
        <v>c5e0ac28</v>
      </c>
      <c r="M1939" s="2" t="str">
        <f ca="1">IFERROR(__xludf.DUMMYFUNCTION("""COMPUTED_VALUE"""),"Chardonnay")</f>
        <v>Chardonnay</v>
      </c>
      <c r="N1939" s="2"/>
      <c r="O1939" s="2" t="str">
        <f ca="1">IFERROR(__xludf.DUMMYFUNCTION("""COMPUTED_VALUE"""),"1er Trasiego")</f>
        <v>1er Trasiego</v>
      </c>
      <c r="P1939" s="2" t="str">
        <f ca="1">IFERROR(__xludf.DUMMYFUNCTION("""COMPUTED_VALUE"""),"1er Trasiego")</f>
        <v>1er Trasiego</v>
      </c>
      <c r="Q1939" s="2" t="b">
        <f ca="1">IFERROR(__xludf.DUMMYFUNCTION("""COMPUTED_VALUE"""),TRUE)</f>
        <v>1</v>
      </c>
      <c r="R1939" s="2" t="str">
        <f ca="1">IFERROR(__xludf.DUMMYFUNCTION("""COMPUTED_VALUE"""),"1er Trasiego")</f>
        <v>1er Trasiego</v>
      </c>
      <c r="S1939" s="2"/>
      <c r="T1939" s="2"/>
      <c r="U1939" s="2" t="str">
        <f ca="1">IFERROR(__xludf.DUMMYFUNCTION("""COMPUTED_VALUE"""),"1")</f>
        <v>1</v>
      </c>
    </row>
    <row r="1940" spans="1:21" x14ac:dyDescent="0.25">
      <c r="A1940" s="2" t="str">
        <f ca="1">IFERROR(__xludf.DUMMYFUNCTION("""COMPUTED_VALUE"""),"cae88eb5")</f>
        <v>cae88eb5</v>
      </c>
      <c r="B1940" s="5">
        <f ca="1">IFERROR(__xludf.DUMMYFUNCTION("""COMPUTED_VALUE"""),46192.0244097222)</f>
        <v>46192.024409722202</v>
      </c>
      <c r="C1940" s="2" t="str">
        <f ca="1">IFERROR(__xludf.DUMMYFUNCTION("""COMPUTED_VALUE"""),"fed1f4a1")</f>
        <v>fed1f4a1</v>
      </c>
      <c r="D1940" s="2">
        <f ca="1">IFERROR(__xludf.DUMMYFUNCTION("""COMPUTED_VALUE"""),31)</f>
        <v>31</v>
      </c>
      <c r="E1940" s="2" t="str">
        <f ca="1">IFERROR(__xludf.DUMMYFUNCTION("""COMPUTED_VALUE"""),"Torrontes")</f>
        <v>Torrontes</v>
      </c>
      <c r="F1940" s="2">
        <f ca="1">IFERROR(__xludf.DUMMYFUNCTION("""COMPUTED_VALUE"""),6500)</f>
        <v>6500</v>
      </c>
      <c r="G1940" s="2">
        <f ca="1">IFERROR(__xludf.DUMMYFUNCTION("""COMPUTED_VALUE"""),42)</f>
        <v>42</v>
      </c>
      <c r="H1940" s="2" t="str">
        <f ca="1">IFERROR(__xludf.DUMMYFUNCTION("""COMPUTED_VALUE"""),"3dfdda7a")</f>
        <v>3dfdda7a</v>
      </c>
      <c r="I1940" s="2" t="str">
        <f ca="1">IFERROR(__xludf.DUMMYFUNCTION("""COMPUTED_VALUE"""),"Chardonnay Garbin")</f>
        <v>Chardonnay Garbin</v>
      </c>
      <c r="J1940" s="2">
        <f ca="1">IFERROR(__xludf.DUMMYFUNCTION("""COMPUTED_VALUE"""),29400)</f>
        <v>29400</v>
      </c>
      <c r="K1940" s="2">
        <f ca="1">IFERROR(__xludf.DUMMYFUNCTION("""COMPUTED_VALUE"""),35900)</f>
        <v>35900</v>
      </c>
      <c r="L1940" s="2" t="str">
        <f ca="1">IFERROR(__xludf.DUMMYFUNCTION("""COMPUTED_VALUE"""),"1f155a03")</f>
        <v>1f155a03</v>
      </c>
      <c r="M1940" s="2" t="str">
        <f ca="1">IFERROR(__xludf.DUMMYFUNCTION("""COMPUTED_VALUE"""),"Chardonnay Garbin")</f>
        <v>Chardonnay Garbin</v>
      </c>
      <c r="N1940" s="2"/>
      <c r="O1940" s="2" t="str">
        <f ca="1">IFERROR(__xludf.DUMMYFUNCTION("""COMPUTED_VALUE"""),"Descubada")</f>
        <v>Descubada</v>
      </c>
      <c r="P1940" s="2" t="str">
        <f ca="1">IFERROR(__xludf.DUMMYFUNCTION("""COMPUTED_VALUE"""),"1er Trasiego")</f>
        <v>1er Trasiego</v>
      </c>
      <c r="Q1940" s="2" t="b">
        <f ca="1">IFERROR(__xludf.DUMMYFUNCTION("""COMPUTED_VALUE"""),TRUE)</f>
        <v>1</v>
      </c>
      <c r="R1940" s="2" t="str">
        <f ca="1">IFERROR(__xludf.DUMMYFUNCTION("""COMPUTED_VALUE"""),"1er Trasiego")</f>
        <v>1er Trasiego</v>
      </c>
      <c r="S1940" s="2"/>
      <c r="T1940" s="2"/>
      <c r="U1940" s="2" t="str">
        <f ca="1">IFERROR(__xludf.DUMMYFUNCTION("""COMPUTED_VALUE"""),"1+")</f>
        <v>1+</v>
      </c>
    </row>
    <row r="1941" spans="1:21" x14ac:dyDescent="0.25">
      <c r="A1941" s="2" t="str">
        <f ca="1">IFERROR(__xludf.DUMMYFUNCTION("""COMPUTED_VALUE"""),"3b4a9641")</f>
        <v>3b4a9641</v>
      </c>
      <c r="B1941" s="5">
        <f ca="1">IFERROR(__xludf.DUMMYFUNCTION("""COMPUTED_VALUE"""),46192.0251504629)</f>
        <v>46192.025150462898</v>
      </c>
      <c r="C1941" s="2" t="str">
        <f ca="1">IFERROR(__xludf.DUMMYFUNCTION("""COMPUTED_VALUE"""),"ee2f1b47")</f>
        <v>ee2f1b47</v>
      </c>
      <c r="D1941" s="2">
        <f ca="1">IFERROR(__xludf.DUMMYFUNCTION("""COMPUTED_VALUE"""),95)</f>
        <v>95</v>
      </c>
      <c r="E1941" s="2" t="str">
        <f ca="1">IFERROR(__xludf.DUMMYFUNCTION("""COMPUTED_VALUE"""),"Criolla Recarga")</f>
        <v>Criolla Recarga</v>
      </c>
      <c r="F1941" s="2">
        <f ca="1">IFERROR(__xludf.DUMMYFUNCTION("""COMPUTED_VALUE"""),10000)</f>
        <v>10000</v>
      </c>
      <c r="G1941" s="2">
        <f ca="1">IFERROR(__xludf.DUMMYFUNCTION("""COMPUTED_VALUE"""),11)</f>
        <v>11</v>
      </c>
      <c r="H1941" s="2"/>
      <c r="I1941" s="2"/>
      <c r="J1941" s="2">
        <f ca="1">IFERROR(__xludf.DUMMYFUNCTION("""COMPUTED_VALUE"""),0)</f>
        <v>0</v>
      </c>
      <c r="K1941" s="2">
        <f ca="1">IFERROR(__xludf.DUMMYFUNCTION("""COMPUTED_VALUE"""),10000)</f>
        <v>10000</v>
      </c>
      <c r="L1941" s="2" t="str">
        <f ca="1">IFERROR(__xludf.DUMMYFUNCTION("""COMPUTED_VALUE"""),"0edc9fce")</f>
        <v>0edc9fce</v>
      </c>
      <c r="M1941" s="2" t="str">
        <f ca="1">IFERROR(__xludf.DUMMYFUNCTION("""COMPUTED_VALUE"""),"Criolla Recarga Rect")</f>
        <v>Criolla Recarga Rect</v>
      </c>
      <c r="N1941" s="2"/>
      <c r="O1941" s="2" t="str">
        <f ca="1">IFERROR(__xludf.DUMMYFUNCTION("""COMPUTED_VALUE"""),"1er Trasiego")</f>
        <v>1er Trasiego</v>
      </c>
      <c r="P1941" s="2"/>
      <c r="Q1941" s="2" t="b">
        <f ca="1">IFERROR(__xludf.DUMMYFUNCTION("""COMPUTED_VALUE"""),FALSE)</f>
        <v>0</v>
      </c>
      <c r="R1941" s="2" t="str">
        <f ca="1">IFERROR(__xludf.DUMMYFUNCTION("""COMPUTED_VALUE"""),"Rectificado")</f>
        <v>Rectificado</v>
      </c>
      <c r="S1941" s="2"/>
      <c r="T1941" s="2"/>
      <c r="U1941" s="2" t="str">
        <f ca="1">IFERROR(__xludf.DUMMYFUNCTION("""COMPUTED_VALUE"""),"1-")</f>
        <v>1-</v>
      </c>
    </row>
    <row r="1942" spans="1:21" x14ac:dyDescent="0.25">
      <c r="A1942" s="2" t="str">
        <f ca="1">IFERROR(__xludf.DUMMYFUNCTION("""COMPUTED_VALUE"""),"cf85ccd0")</f>
        <v>cf85ccd0</v>
      </c>
      <c r="B1942" s="5">
        <f ca="1">IFERROR(__xludf.DUMMYFUNCTION("""COMPUTED_VALUE"""),46195.3750810185)</f>
        <v>46195.375081018501</v>
      </c>
      <c r="C1942" s="2" t="str">
        <f ca="1">IFERROR(__xludf.DUMMYFUNCTION("""COMPUTED_VALUE"""),"c5e0ac28")</f>
        <v>c5e0ac28</v>
      </c>
      <c r="D1942" s="2">
        <f ca="1">IFERROR(__xludf.DUMMYFUNCTION("""COMPUTED_VALUE"""),44)</f>
        <v>44</v>
      </c>
      <c r="E1942" s="2" t="str">
        <f ca="1">IFERROR(__xludf.DUMMYFUNCTION("""COMPUTED_VALUE"""),"Chardonnay")</f>
        <v>Chardonnay</v>
      </c>
      <c r="F1942" s="2">
        <f ca="1">IFERROR(__xludf.DUMMYFUNCTION("""COMPUTED_VALUE"""),800)</f>
        <v>800</v>
      </c>
      <c r="G1942" s="2">
        <f ca="1">IFERROR(__xludf.DUMMYFUNCTION("""COMPUTED_VALUE"""),500)</f>
        <v>500</v>
      </c>
      <c r="H1942" s="2" t="str">
        <f ca="1">IFERROR(__xludf.DUMMYFUNCTION("""COMPUTED_VALUE"""),"35551036")</f>
        <v>35551036</v>
      </c>
      <c r="I1942" s="2" t="str">
        <f ca="1">IFERROR(__xludf.DUMMYFUNCTION("""COMPUTED_VALUE"""),"Ajuste Cosecha 2026")</f>
        <v>Ajuste Cosecha 2026</v>
      </c>
      <c r="J1942" s="2">
        <f ca="1">IFERROR(__xludf.DUMMYFUNCTION("""COMPUTED_VALUE"""),52100)</f>
        <v>52100</v>
      </c>
      <c r="K1942" s="2">
        <f ca="1">IFERROR(__xludf.DUMMYFUNCTION("""COMPUTED_VALUE"""),52900)</f>
        <v>52900</v>
      </c>
      <c r="L1942" s="2" t="str">
        <f ca="1">IFERROR(__xludf.DUMMYFUNCTION("""COMPUTED_VALUE"""),"2720809e")</f>
        <v>2720809e</v>
      </c>
      <c r="M1942" s="2" t="str">
        <f ca="1">IFERROR(__xludf.DUMMYFUNCTION("""COMPUTED_VALUE"""),"Ajuste Cosecha 2026")</f>
        <v>Ajuste Cosecha 2026</v>
      </c>
      <c r="N1942" s="2"/>
      <c r="O1942" s="2" t="str">
        <f ca="1">IFERROR(__xludf.DUMMYFUNCTION("""COMPUTED_VALUE"""),"1er Trasiego")</f>
        <v>1er Trasiego</v>
      </c>
      <c r="P1942" s="2" t="str">
        <f ca="1">IFERROR(__xludf.DUMMYFUNCTION("""COMPUTED_VALUE"""),"Terminado")</f>
        <v>Terminado</v>
      </c>
      <c r="Q1942" s="2" t="b">
        <f ca="1">IFERROR(__xludf.DUMMYFUNCTION("""COMPUTED_VALUE"""),TRUE)</f>
        <v>1</v>
      </c>
      <c r="R1942" s="2" t="str">
        <f ca="1">IFERROR(__xludf.DUMMYFUNCTION("""COMPUTED_VALUE"""),"Terminado")</f>
        <v>Terminado</v>
      </c>
      <c r="S1942" s="2"/>
      <c r="T1942" s="2"/>
      <c r="U1942" s="2"/>
    </row>
    <row r="1943" spans="1:21" x14ac:dyDescent="0.25">
      <c r="A1943" s="2" t="str">
        <f ca="1">IFERROR(__xludf.DUMMYFUNCTION("""COMPUTED_VALUE"""),"b6750254")</f>
        <v>b6750254</v>
      </c>
      <c r="B1943" s="5">
        <f ca="1">IFERROR(__xludf.DUMMYFUNCTION("""COMPUTED_VALUE"""),46195.3869907407)</f>
        <v>46195.386990740699</v>
      </c>
      <c r="C1943" s="2" t="str">
        <f ca="1">IFERROR(__xludf.DUMMYFUNCTION("""COMPUTED_VALUE"""),"0edc9fce")</f>
        <v>0edc9fce</v>
      </c>
      <c r="D1943" s="2">
        <f ca="1">IFERROR(__xludf.DUMMYFUNCTION("""COMPUTED_VALUE"""),11)</f>
        <v>11</v>
      </c>
      <c r="E1943" s="2" t="str">
        <f ca="1">IFERROR(__xludf.DUMMYFUNCTION("""COMPUTED_VALUE"""),"Criolla Recarga Rect")</f>
        <v>Criolla Recarga Rect</v>
      </c>
      <c r="F1943" s="2">
        <f ca="1">IFERROR(__xludf.DUMMYFUNCTION("""COMPUTED_VALUE"""),10000)</f>
        <v>10000</v>
      </c>
      <c r="G1943" s="2">
        <f ca="1">IFERROR(__xludf.DUMMYFUNCTION("""COMPUTED_VALUE"""),95)</f>
        <v>95</v>
      </c>
      <c r="H1943" s="2" t="str">
        <f ca="1">IFERROR(__xludf.DUMMYFUNCTION("""COMPUTED_VALUE"""),"ee2f1b47")</f>
        <v>ee2f1b47</v>
      </c>
      <c r="I1943" s="2" t="str">
        <f ca="1">IFERROR(__xludf.DUMMYFUNCTION("""COMPUTED_VALUE"""),"Criolla Recarga")</f>
        <v>Criolla Recarga</v>
      </c>
      <c r="J1943" s="2">
        <f ca="1">IFERROR(__xludf.DUMMYFUNCTION("""COMPUTED_VALUE"""),67100)</f>
        <v>67100</v>
      </c>
      <c r="K1943" s="2">
        <f ca="1">IFERROR(__xludf.DUMMYFUNCTION("""COMPUTED_VALUE"""),77100)</f>
        <v>77100</v>
      </c>
      <c r="L1943" s="2" t="str">
        <f ca="1">IFERROR(__xludf.DUMMYFUNCTION("""COMPUTED_VALUE"""),"95e8ea4a")</f>
        <v>95e8ea4a</v>
      </c>
      <c r="M1943" s="2" t="str">
        <f ca="1">IFERROR(__xludf.DUMMYFUNCTION("""COMPUTED_VALUE"""),"Criolla Recarga")</f>
        <v>Criolla Recarga</v>
      </c>
      <c r="N1943" s="2"/>
      <c r="O1943" s="2" t="str">
        <f ca="1">IFERROR(__xludf.DUMMYFUNCTION("""COMPUTED_VALUE"""),"Rectificado")</f>
        <v>Rectificado</v>
      </c>
      <c r="P1943" s="2" t="str">
        <f ca="1">IFERROR(__xludf.DUMMYFUNCTION("""COMPUTED_VALUE"""),"1er Trasiego")</f>
        <v>1er Trasiego</v>
      </c>
      <c r="Q1943" s="2" t="b">
        <f ca="1">IFERROR(__xludf.DUMMYFUNCTION("""COMPUTED_VALUE"""),TRUE)</f>
        <v>1</v>
      </c>
      <c r="R1943" s="2" t="str">
        <f ca="1">IFERROR(__xludf.DUMMYFUNCTION("""COMPUTED_VALUE"""),"1er Trasiego")</f>
        <v>1er Trasiego</v>
      </c>
      <c r="S1943" s="2"/>
      <c r="T1943" s="2"/>
      <c r="U1943" s="2" t="str">
        <f ca="1">IFERROR(__xludf.DUMMYFUNCTION("""COMPUTED_VALUE"""),"1-")</f>
        <v>1-</v>
      </c>
    </row>
    <row r="1944" spans="1:21" x14ac:dyDescent="0.25">
      <c r="A1944" s="2" t="str">
        <f ca="1">IFERROR(__xludf.DUMMYFUNCTION("""COMPUTED_VALUE"""),"76407394")</f>
        <v>76407394</v>
      </c>
      <c r="B1944" s="5">
        <f ca="1">IFERROR(__xludf.DUMMYFUNCTION("""COMPUTED_VALUE"""),46197.7018171296)</f>
        <v>46197.7018171296</v>
      </c>
      <c r="C1944" s="2" t="str">
        <f ca="1">IFERROR(__xludf.DUMMYFUNCTION("""COMPUTED_VALUE"""),"fa9988f0")</f>
        <v>fa9988f0</v>
      </c>
      <c r="D1944" s="2">
        <f ca="1">IFERROR(__xludf.DUMMYFUNCTION("""COMPUTED_VALUE"""),50)</f>
        <v>50</v>
      </c>
      <c r="E1944" s="2" t="str">
        <f ca="1">IFERROR(__xludf.DUMMYFUNCTION("""COMPUTED_VALUE"""),"Malbec")</f>
        <v>Malbec</v>
      </c>
      <c r="F1944" s="2">
        <f ca="1">IFERROR(__xludf.DUMMYFUNCTION("""COMPUTED_VALUE"""),2000)</f>
        <v>2000</v>
      </c>
      <c r="G1944" s="2">
        <f ca="1">IFERROR(__xludf.DUMMYFUNCTION("""COMPUTED_VALUE"""),127)</f>
        <v>127</v>
      </c>
      <c r="H1944" s="2" t="str">
        <f ca="1">IFERROR(__xludf.DUMMYFUNCTION("""COMPUTED_VALUE"""),"d3010d76")</f>
        <v>d3010d76</v>
      </c>
      <c r="I1944" s="2" t="str">
        <f ca="1">IFERROR(__xludf.DUMMYFUNCTION("""COMPUTED_VALUE"""),"Malbec")</f>
        <v>Malbec</v>
      </c>
      <c r="J1944" s="2">
        <f ca="1">IFERROR(__xludf.DUMMYFUNCTION("""COMPUTED_VALUE"""),29000)</f>
        <v>29000</v>
      </c>
      <c r="K1944" s="2">
        <f ca="1">IFERROR(__xludf.DUMMYFUNCTION("""COMPUTED_VALUE"""),31000)</f>
        <v>31000</v>
      </c>
      <c r="L1944" s="2" t="str">
        <f ca="1">IFERROR(__xludf.DUMMYFUNCTION("""COMPUTED_VALUE"""),"ef66d2ab")</f>
        <v>ef66d2ab</v>
      </c>
      <c r="M1944" s="2" t="str">
        <f ca="1">IFERROR(__xludf.DUMMYFUNCTION("""COMPUTED_VALUE"""),"Malbec")</f>
        <v>Malbec</v>
      </c>
      <c r="N1944" s="2"/>
      <c r="O1944" s="2" t="str">
        <f ca="1">IFERROR(__xludf.DUMMYFUNCTION("""COMPUTED_VALUE"""),"Terminado")</f>
        <v>Terminado</v>
      </c>
      <c r="P1944" s="2" t="str">
        <f ca="1">IFERROR(__xludf.DUMMYFUNCTION("""COMPUTED_VALUE"""),"Terminado")</f>
        <v>Terminado</v>
      </c>
      <c r="Q1944" s="2" t="b">
        <f ca="1">IFERROR(__xludf.DUMMYFUNCTION("""COMPUTED_VALUE"""),TRUE)</f>
        <v>1</v>
      </c>
      <c r="R1944" s="2" t="str">
        <f ca="1">IFERROR(__xludf.DUMMYFUNCTION("""COMPUTED_VALUE"""),"Terminado")</f>
        <v>Terminado</v>
      </c>
      <c r="S1944" s="2"/>
      <c r="T1944" s="2"/>
      <c r="U1944" s="2" t="str">
        <f ca="1">IFERROR(__xludf.DUMMYFUNCTION("""COMPUTED_VALUE"""),"1")</f>
        <v>1</v>
      </c>
    </row>
    <row r="1945" spans="1:21" x14ac:dyDescent="0.25">
      <c r="A1945" s="2" t="str">
        <f ca="1">IFERROR(__xludf.DUMMYFUNCTION("""COMPUTED_VALUE"""),"76db74c2")</f>
        <v>76db74c2</v>
      </c>
      <c r="B1945" s="5">
        <f ca="1">IFERROR(__xludf.DUMMYFUNCTION("""COMPUTED_VALUE"""),46197.7067013888)</f>
        <v>46197.706701388801</v>
      </c>
      <c r="C1945" s="2" t="str">
        <f ca="1">IFERROR(__xludf.DUMMYFUNCTION("""COMPUTED_VALUE"""),"1f155a03")</f>
        <v>1f155a03</v>
      </c>
      <c r="D1945" s="2">
        <f ca="1">IFERROR(__xludf.DUMMYFUNCTION("""COMPUTED_VALUE"""),42)</f>
        <v>42</v>
      </c>
      <c r="E1945" s="2" t="str">
        <f ca="1">IFERROR(__xludf.DUMMYFUNCTION("""COMPUTED_VALUE"""),"Chardonnay Garbin")</f>
        <v>Chardonnay Garbin</v>
      </c>
      <c r="F1945" s="2">
        <f ca="1">IFERROR(__xludf.DUMMYFUNCTION("""COMPUTED_VALUE"""),30000)</f>
        <v>30000</v>
      </c>
      <c r="G1945" s="2"/>
      <c r="H1945" s="2"/>
      <c r="I1945" s="2"/>
      <c r="J1945" s="2"/>
      <c r="K1945" s="2">
        <f ca="1">IFERROR(__xludf.DUMMYFUNCTION("""COMPUTED_VALUE"""),30000)</f>
        <v>30000</v>
      </c>
      <c r="L1945" s="2" t="str">
        <f ca="1">IFERROR(__xludf.DUMMYFUNCTION("""COMPUTED_VALUE"""),"a019731e")</f>
        <v>a019731e</v>
      </c>
      <c r="M1945" s="2" t="str">
        <f ca="1">IFERROR(__xludf.DUMMYFUNCTION("""COMPUTED_VALUE"""),"Chardonnay Garbin")</f>
        <v>Chardonnay Garbin</v>
      </c>
      <c r="N1945" s="2"/>
      <c r="O1945" s="2" t="str">
        <f ca="1">IFERROR(__xludf.DUMMYFUNCTION("""COMPUTED_VALUE"""),"1er Trasiego")</f>
        <v>1er Trasiego</v>
      </c>
      <c r="P1945" s="2"/>
      <c r="Q1945" s="2" t="b">
        <f ca="1">IFERROR(__xludf.DUMMYFUNCTION("""COMPUTED_VALUE"""),FALSE)</f>
        <v>0</v>
      </c>
      <c r="R1945" s="2" t="str">
        <f ca="1">IFERROR(__xludf.DUMMYFUNCTION("""COMPUTED_VALUE"""),"Traslado Venta")</f>
        <v>Traslado Venta</v>
      </c>
      <c r="S1945" s="2"/>
      <c r="T1945" s="2"/>
      <c r="U1945" s="2" t="str">
        <f ca="1">IFERROR(__xludf.DUMMYFUNCTION("""COMPUTED_VALUE"""),"1+")</f>
        <v>1+</v>
      </c>
    </row>
    <row r="1946" spans="1:21" x14ac:dyDescent="0.25">
      <c r="A1946" s="2" t="str">
        <f ca="1">IFERROR(__xludf.DUMMYFUNCTION("""COMPUTED_VALUE"""),"ef9d8119")</f>
        <v>ef9d8119</v>
      </c>
      <c r="B1946" s="5">
        <f ca="1">IFERROR(__xludf.DUMMYFUNCTION("""COMPUTED_VALUE"""),46197.7075231481)</f>
        <v>46197.707523148099</v>
      </c>
      <c r="C1946" s="2" t="str">
        <f ca="1">IFERROR(__xludf.DUMMYFUNCTION("""COMPUTED_VALUE"""),"fa9988f0")</f>
        <v>fa9988f0</v>
      </c>
      <c r="D1946" s="2">
        <f ca="1">IFERROR(__xludf.DUMMYFUNCTION("""COMPUTED_VALUE"""),50)</f>
        <v>50</v>
      </c>
      <c r="E1946" s="2" t="str">
        <f ca="1">IFERROR(__xludf.DUMMYFUNCTION("""COMPUTED_VALUE"""),"Malbec")</f>
        <v>Malbec</v>
      </c>
      <c r="F1946" s="2">
        <f ca="1">IFERROR(__xludf.DUMMYFUNCTION("""COMPUTED_VALUE"""),2000)</f>
        <v>2000</v>
      </c>
      <c r="G1946" s="2"/>
      <c r="H1946" s="2"/>
      <c r="I1946" s="2"/>
      <c r="J1946" s="2"/>
      <c r="K1946" s="2">
        <f ca="1">IFERROR(__xludf.DUMMYFUNCTION("""COMPUTED_VALUE"""),2000)</f>
        <v>2000</v>
      </c>
      <c r="L1946" s="2" t="str">
        <f ca="1">IFERROR(__xludf.DUMMYFUNCTION("""COMPUTED_VALUE"""),"e6c604f0")</f>
        <v>e6c604f0</v>
      </c>
      <c r="M1946" s="2" t="str">
        <f ca="1">IFERROR(__xludf.DUMMYFUNCTION("""COMPUTED_VALUE"""),"Malbec despacho")</f>
        <v>Malbec despacho</v>
      </c>
      <c r="N1946" s="2"/>
      <c r="O1946" s="2" t="str">
        <f ca="1">IFERROR(__xludf.DUMMYFUNCTION("""COMPUTED_VALUE"""),"Terminado")</f>
        <v>Terminado</v>
      </c>
      <c r="P1946" s="2"/>
      <c r="Q1946" s="2" t="b">
        <f ca="1">IFERROR(__xludf.DUMMYFUNCTION("""COMPUTED_VALUE"""),FALSE)</f>
        <v>0</v>
      </c>
      <c r="R1946" s="2" t="str">
        <f ca="1">IFERROR(__xludf.DUMMYFUNCTION("""COMPUTED_VALUE"""),"Traslado Venta")</f>
        <v>Traslado Venta</v>
      </c>
      <c r="S1946" s="2"/>
      <c r="T1946" s="2"/>
      <c r="U1946" s="2" t="str">
        <f ca="1">IFERROR(__xludf.DUMMYFUNCTION("""COMPUTED_VALUE"""),"1-")</f>
        <v>1-</v>
      </c>
    </row>
    <row r="1947" spans="1:21" x14ac:dyDescent="0.25">
      <c r="A1947" s="2" t="str">
        <f ca="1">IFERROR(__xludf.DUMMYFUNCTION("""COMPUTED_VALUE"""),"bf4dcfa7")</f>
        <v>bf4dcfa7</v>
      </c>
      <c r="B1947" s="5">
        <f ca="1">IFERROR(__xludf.DUMMYFUNCTION("""COMPUTED_VALUE"""),46197.7080671295)</f>
        <v>46197.708067129599</v>
      </c>
      <c r="C1947" s="2" t="str">
        <f ca="1">IFERROR(__xludf.DUMMYFUNCTION("""COMPUTED_VALUE"""),"fa9988f0")</f>
        <v>fa9988f0</v>
      </c>
      <c r="D1947" s="2">
        <f ca="1">IFERROR(__xludf.DUMMYFUNCTION("""COMPUTED_VALUE"""),50)</f>
        <v>50</v>
      </c>
      <c r="E1947" s="2" t="str">
        <f ca="1">IFERROR(__xludf.DUMMYFUNCTION("""COMPUTED_VALUE"""),"Malbec")</f>
        <v>Malbec</v>
      </c>
      <c r="F1947" s="2">
        <f ca="1">IFERROR(__xludf.DUMMYFUNCTION("""COMPUTED_VALUE"""),1100)</f>
        <v>1100</v>
      </c>
      <c r="G1947" s="2"/>
      <c r="H1947" s="2"/>
      <c r="I1947" s="2"/>
      <c r="J1947" s="2"/>
      <c r="K1947" s="2">
        <f ca="1">IFERROR(__xludf.DUMMYFUNCTION("""COMPUTED_VALUE"""),1100)</f>
        <v>1100</v>
      </c>
      <c r="L1947" s="2" t="str">
        <f ca="1">IFERROR(__xludf.DUMMYFUNCTION("""COMPUTED_VALUE"""),"d54ea7b2")</f>
        <v>d54ea7b2</v>
      </c>
      <c r="M1947" s="2"/>
      <c r="N1947" s="2"/>
      <c r="O1947" s="2" t="str">
        <f ca="1">IFERROR(__xludf.DUMMYFUNCTION("""COMPUTED_VALUE"""),"Terminado")</f>
        <v>Terminado</v>
      </c>
      <c r="P1947" s="2" t="str">
        <f ca="1">IFERROR(__xludf.DUMMYFUNCTION("""COMPUTED_VALUE"""),"Traslado Venta")</f>
        <v>Traslado Venta</v>
      </c>
      <c r="Q1947" s="2" t="b">
        <f ca="1">IFERROR(__xludf.DUMMYFUNCTION("""COMPUTED_VALUE"""),TRUE)</f>
        <v>1</v>
      </c>
      <c r="R1947" s="2"/>
      <c r="S1947" s="2"/>
      <c r="T1947" s="2"/>
      <c r="U1947" s="2"/>
    </row>
    <row r="1948" spans="1:21" x14ac:dyDescent="0.25">
      <c r="A1948" s="2" t="str">
        <f ca="1">IFERROR(__xludf.DUMMYFUNCTION("""COMPUTED_VALUE"""),"1d804ec8")</f>
        <v>1d804ec8</v>
      </c>
      <c r="B1948" s="5">
        <f ca="1">IFERROR(__xludf.DUMMYFUNCTION("""COMPUTED_VALUE"""),46197.7085763888)</f>
        <v>46197.708576388803</v>
      </c>
      <c r="C1948" s="2" t="str">
        <f ca="1">IFERROR(__xludf.DUMMYFUNCTION("""COMPUTED_VALUE"""),"1f155a03")</f>
        <v>1f155a03</v>
      </c>
      <c r="D1948" s="2">
        <f ca="1">IFERROR(__xludf.DUMMYFUNCTION("""COMPUTED_VALUE"""),42)</f>
        <v>42</v>
      </c>
      <c r="E1948" s="2" t="str">
        <f ca="1">IFERROR(__xludf.DUMMYFUNCTION("""COMPUTED_VALUE"""),"Chardonnay Garbin")</f>
        <v>Chardonnay Garbin</v>
      </c>
      <c r="F1948" s="2">
        <f ca="1">IFERROR(__xludf.DUMMYFUNCTION("""COMPUTED_VALUE"""),5100)</f>
        <v>5100</v>
      </c>
      <c r="G1948" s="2">
        <f ca="1">IFERROR(__xludf.DUMMYFUNCTION("""COMPUTED_VALUE"""),50)</f>
        <v>50</v>
      </c>
      <c r="H1948" s="2"/>
      <c r="I1948" s="2"/>
      <c r="J1948" s="2">
        <f ca="1">IFERROR(__xludf.DUMMYFUNCTION("""COMPUTED_VALUE"""),0)</f>
        <v>0</v>
      </c>
      <c r="K1948" s="2">
        <f ca="1">IFERROR(__xludf.DUMMYFUNCTION("""COMPUTED_VALUE"""),5100)</f>
        <v>5100</v>
      </c>
      <c r="L1948" s="2" t="str">
        <f ca="1">IFERROR(__xludf.DUMMYFUNCTION("""COMPUTED_VALUE"""),"e501716c")</f>
        <v>e501716c</v>
      </c>
      <c r="M1948" s="2" t="str">
        <f ca="1">IFERROR(__xludf.DUMMYFUNCTION("""COMPUTED_VALUE"""),"Chardonnay Garbin")</f>
        <v>Chardonnay Garbin</v>
      </c>
      <c r="N1948" s="2"/>
      <c r="O1948" s="2" t="str">
        <f ca="1">IFERROR(__xludf.DUMMYFUNCTION("""COMPUTED_VALUE"""),"1er Trasiego")</f>
        <v>1er Trasiego</v>
      </c>
      <c r="P1948" s="2"/>
      <c r="Q1948" s="2" t="b">
        <f ca="1">IFERROR(__xludf.DUMMYFUNCTION("""COMPUTED_VALUE"""),FALSE)</f>
        <v>0</v>
      </c>
      <c r="R1948" s="2" t="str">
        <f ca="1">IFERROR(__xludf.DUMMYFUNCTION("""COMPUTED_VALUE"""),"2do Trasiego")</f>
        <v>2do Trasiego</v>
      </c>
      <c r="S1948" s="2"/>
      <c r="T1948" s="2"/>
      <c r="U1948" s="2" t="str">
        <f ca="1">IFERROR(__xludf.DUMMYFUNCTION("""COMPUTED_VALUE"""),"1+")</f>
        <v>1+</v>
      </c>
    </row>
    <row r="1949" spans="1:21" x14ac:dyDescent="0.25">
      <c r="A1949" s="2" t="str">
        <f ca="1">IFERROR(__xludf.DUMMYFUNCTION("""COMPUTED_VALUE"""),"8e54586d")</f>
        <v>8e54586d</v>
      </c>
      <c r="B1949" s="5">
        <f ca="1">IFERROR(__xludf.DUMMYFUNCTION("""COMPUTED_VALUE"""),46197.7091319444)</f>
        <v>46197.709131944401</v>
      </c>
      <c r="C1949" s="2" t="str">
        <f ca="1">IFERROR(__xludf.DUMMYFUNCTION("""COMPUTED_VALUE"""),"1f155a03")</f>
        <v>1f155a03</v>
      </c>
      <c r="D1949" s="2">
        <f ca="1">IFERROR(__xludf.DUMMYFUNCTION("""COMPUTED_VALUE"""),42)</f>
        <v>42</v>
      </c>
      <c r="E1949" s="2" t="str">
        <f ca="1">IFERROR(__xludf.DUMMYFUNCTION("""COMPUTED_VALUE"""),"Chardonnay Garbin")</f>
        <v>Chardonnay Garbin</v>
      </c>
      <c r="F1949" s="2">
        <f ca="1">IFERROR(__xludf.DUMMYFUNCTION("""COMPUTED_VALUE"""),800)</f>
        <v>800</v>
      </c>
      <c r="G1949" s="2">
        <f ca="1">IFERROR(__xludf.DUMMYFUNCTION("""COMPUTED_VALUE"""),55)</f>
        <v>55</v>
      </c>
      <c r="H1949" s="2"/>
      <c r="I1949" s="2"/>
      <c r="J1949" s="2">
        <f ca="1">IFERROR(__xludf.DUMMYFUNCTION("""COMPUTED_VALUE"""),0)</f>
        <v>0</v>
      </c>
      <c r="K1949" s="2">
        <f ca="1">IFERROR(__xludf.DUMMYFUNCTION("""COMPUTED_VALUE"""),800)</f>
        <v>800</v>
      </c>
      <c r="L1949" s="2" t="str">
        <f ca="1">IFERROR(__xludf.DUMMYFUNCTION("""COMPUTED_VALUE"""),"417aa6d5")</f>
        <v>417aa6d5</v>
      </c>
      <c r="M1949" s="2" t="str">
        <f ca="1">IFERROR(__xludf.DUMMYFUNCTION("""COMPUTED_VALUE"""),"Chardonnay Garbin")</f>
        <v>Chardonnay Garbin</v>
      </c>
      <c r="N1949" s="2"/>
      <c r="O1949" s="2" t="str">
        <f ca="1">IFERROR(__xludf.DUMMYFUNCTION("""COMPUTED_VALUE"""),"1er Trasiego")</f>
        <v>1er Trasiego</v>
      </c>
      <c r="P1949" s="2"/>
      <c r="Q1949" s="2" t="b">
        <f ca="1">IFERROR(__xludf.DUMMYFUNCTION("""COMPUTED_VALUE"""),FALSE)</f>
        <v>0</v>
      </c>
      <c r="R1949" s="2" t="str">
        <f ca="1">IFERROR(__xludf.DUMMYFUNCTION("""COMPUTED_VALUE"""),"1er Trasiego")</f>
        <v>1er Trasiego</v>
      </c>
      <c r="S1949" s="2"/>
      <c r="T1949" s="2"/>
      <c r="U1949" s="2" t="str">
        <f ca="1">IFERROR(__xludf.DUMMYFUNCTION("""COMPUTED_VALUE"""),"1+")</f>
        <v>1+</v>
      </c>
    </row>
    <row r="1950" spans="1:21" x14ac:dyDescent="0.25">
      <c r="A1950" s="2" t="str">
        <f ca="1">IFERROR(__xludf.DUMMYFUNCTION("""COMPUTED_VALUE"""),"f53e9ad9")</f>
        <v>f53e9ad9</v>
      </c>
      <c r="B1950" s="5">
        <f ca="1">IFERROR(__xludf.DUMMYFUNCTION("""COMPUTED_VALUE"""),46197.7130787037)</f>
        <v>46197.713078703702</v>
      </c>
      <c r="C1950" s="2" t="str">
        <f ca="1">IFERROR(__xludf.DUMMYFUNCTION("""COMPUTED_VALUE"""),"ed08a2c0")</f>
        <v>ed08a2c0</v>
      </c>
      <c r="D1950" s="2">
        <f ca="1">IFERROR(__xludf.DUMMYFUNCTION("""COMPUTED_VALUE"""),33)</f>
        <v>33</v>
      </c>
      <c r="E1950" s="2" t="str">
        <f ca="1">IFERROR(__xludf.DUMMYFUNCTION("""COMPUTED_VALUE"""),"Chardonnay")</f>
        <v>Chardonnay</v>
      </c>
      <c r="F1950" s="2">
        <f ca="1">IFERROR(__xludf.DUMMYFUNCTION("""COMPUTED_VALUE"""),11600)</f>
        <v>11600</v>
      </c>
      <c r="G1950" s="2">
        <f ca="1">IFERROR(__xludf.DUMMYFUNCTION("""COMPUTED_VALUE"""),30)</f>
        <v>30</v>
      </c>
      <c r="H1950" s="2" t="str">
        <f ca="1">IFERROR(__xludf.DUMMYFUNCTION("""COMPUTED_VALUE"""),"7925389c")</f>
        <v>7925389c</v>
      </c>
      <c r="I1950" s="2" t="str">
        <f ca="1">IFERROR(__xludf.DUMMYFUNCTION("""COMPUTED_VALUE"""),"Chardonnay Ch")</f>
        <v>Chardonnay Ch</v>
      </c>
      <c r="J1950" s="2">
        <f ca="1">IFERROR(__xludf.DUMMYFUNCTION("""COMPUTED_VALUE"""),27200)</f>
        <v>27200</v>
      </c>
      <c r="K1950" s="2">
        <f ca="1">IFERROR(__xludf.DUMMYFUNCTION("""COMPUTED_VALUE"""),38800)</f>
        <v>38800</v>
      </c>
      <c r="L1950" s="2" t="str">
        <f ca="1">IFERROR(__xludf.DUMMYFUNCTION("""COMPUTED_VALUE"""),"c3291340")</f>
        <v>c3291340</v>
      </c>
      <c r="M1950" s="2" t="str">
        <f ca="1">IFERROR(__xludf.DUMMYFUNCTION("""COMPUTED_VALUE"""),"Chardonnay Ch")</f>
        <v>Chardonnay Ch</v>
      </c>
      <c r="N1950" s="2"/>
      <c r="O1950" s="2" t="str">
        <f ca="1">IFERROR(__xludf.DUMMYFUNCTION("""COMPUTED_VALUE"""),"Descubada")</f>
        <v>Descubada</v>
      </c>
      <c r="P1950" s="2" t="str">
        <f ca="1">IFERROR(__xludf.DUMMYFUNCTION("""COMPUTED_VALUE"""),"Descubada")</f>
        <v>Descubada</v>
      </c>
      <c r="Q1950" s="2" t="b">
        <f ca="1">IFERROR(__xludf.DUMMYFUNCTION("""COMPUTED_VALUE"""),TRUE)</f>
        <v>1</v>
      </c>
      <c r="R1950" s="2" t="str">
        <f ca="1">IFERROR(__xludf.DUMMYFUNCTION("""COMPUTED_VALUE"""),"1er Trasiego")</f>
        <v>1er Trasiego</v>
      </c>
      <c r="S1950" s="2"/>
      <c r="T1950" s="2"/>
      <c r="U1950" s="2" t="str">
        <f ca="1">IFERROR(__xludf.DUMMYFUNCTION("""COMPUTED_VALUE"""),"1")</f>
        <v>1</v>
      </c>
    </row>
    <row r="1951" spans="1:21" x14ac:dyDescent="0.25">
      <c r="A1951" s="2" t="str">
        <f ca="1">IFERROR(__xludf.DUMMYFUNCTION("""COMPUTED_VALUE"""),"98a44e31")</f>
        <v>98a44e31</v>
      </c>
      <c r="B1951" s="5">
        <f ca="1">IFERROR(__xludf.DUMMYFUNCTION("""COMPUTED_VALUE"""),46197.7136689814)</f>
        <v>46197.7136689814</v>
      </c>
      <c r="C1951" s="2" t="str">
        <f ca="1">IFERROR(__xludf.DUMMYFUNCTION("""COMPUTED_VALUE"""),"ed08a2c0")</f>
        <v>ed08a2c0</v>
      </c>
      <c r="D1951" s="2">
        <f ca="1">IFERROR(__xludf.DUMMYFUNCTION("""COMPUTED_VALUE"""),33)</f>
        <v>33</v>
      </c>
      <c r="E1951" s="2" t="str">
        <f ca="1">IFERROR(__xludf.DUMMYFUNCTION("""COMPUTED_VALUE"""),"Chardonnay")</f>
        <v>Chardonnay</v>
      </c>
      <c r="F1951" s="2">
        <f ca="1">IFERROR(__xludf.DUMMYFUNCTION("""COMPUTED_VALUE"""),5600)</f>
        <v>5600</v>
      </c>
      <c r="G1951" s="2">
        <f ca="1">IFERROR(__xludf.DUMMYFUNCTION("""COMPUTED_VALUE"""),31)</f>
        <v>31</v>
      </c>
      <c r="H1951" s="2" t="str">
        <f ca="1">IFERROR(__xludf.DUMMYFUNCTION("""COMPUTED_VALUE"""),"fed1f4a1")</f>
        <v>fed1f4a1</v>
      </c>
      <c r="I1951" s="2" t="str">
        <f ca="1">IFERROR(__xludf.DUMMYFUNCTION("""COMPUTED_VALUE"""),"Torrontes")</f>
        <v>Torrontes</v>
      </c>
      <c r="J1951" s="2">
        <f ca="1">IFERROR(__xludf.DUMMYFUNCTION("""COMPUTED_VALUE"""),19200)</f>
        <v>19200</v>
      </c>
      <c r="K1951" s="2">
        <f ca="1">IFERROR(__xludf.DUMMYFUNCTION("""COMPUTED_VALUE"""),24800)</f>
        <v>24800</v>
      </c>
      <c r="L1951" s="2" t="str">
        <f ca="1">IFERROR(__xludf.DUMMYFUNCTION("""COMPUTED_VALUE"""),"866b1105")</f>
        <v>866b1105</v>
      </c>
      <c r="M1951" s="2" t="str">
        <f ca="1">IFERROR(__xludf.DUMMYFUNCTION("""COMPUTED_VALUE"""),"Torrontes")</f>
        <v>Torrontes</v>
      </c>
      <c r="N1951" s="2"/>
      <c r="O1951" s="2" t="str">
        <f ca="1">IFERROR(__xludf.DUMMYFUNCTION("""COMPUTED_VALUE"""),"Descubada")</f>
        <v>Descubada</v>
      </c>
      <c r="P1951" s="2" t="str">
        <f ca="1">IFERROR(__xludf.DUMMYFUNCTION("""COMPUTED_VALUE"""),"Descubada")</f>
        <v>Descubada</v>
      </c>
      <c r="Q1951" s="2" t="b">
        <f ca="1">IFERROR(__xludf.DUMMYFUNCTION("""COMPUTED_VALUE"""),TRUE)</f>
        <v>1</v>
      </c>
      <c r="R1951" s="2" t="str">
        <f ca="1">IFERROR(__xludf.DUMMYFUNCTION("""COMPUTED_VALUE"""),"Descubada")</f>
        <v>Descubada</v>
      </c>
      <c r="S1951" s="2"/>
      <c r="T1951" s="2"/>
      <c r="U1951" s="2" t="str">
        <f ca="1">IFERROR(__xludf.DUMMYFUNCTION("""COMPUTED_VALUE"""),"1")</f>
        <v>1</v>
      </c>
    </row>
    <row r="1952" spans="1:21" x14ac:dyDescent="0.25">
      <c r="A1952" s="2" t="str">
        <f ca="1">IFERROR(__xludf.DUMMYFUNCTION("""COMPUTED_VALUE"""),"ff7d35bc")</f>
        <v>ff7d35bc</v>
      </c>
      <c r="B1952" s="5">
        <f ca="1">IFERROR(__xludf.DUMMYFUNCTION("""COMPUTED_VALUE"""),46197.7141087962)</f>
        <v>46197.714108796201</v>
      </c>
      <c r="C1952" s="2" t="str">
        <f ca="1">IFERROR(__xludf.DUMMYFUNCTION("""COMPUTED_VALUE"""),"794ce23f")</f>
        <v>794ce23f</v>
      </c>
      <c r="D1952" s="2">
        <f ca="1">IFERROR(__xludf.DUMMYFUNCTION("""COMPUTED_VALUE"""),72)</f>
        <v>72</v>
      </c>
      <c r="E1952" s="2" t="str">
        <f ca="1">IFERROR(__xludf.DUMMYFUNCTION("""COMPUTED_VALUE"""),"Chardonnay")</f>
        <v>Chardonnay</v>
      </c>
      <c r="F1952" s="2">
        <f ca="1">IFERROR(__xludf.DUMMYFUNCTION("""COMPUTED_VALUE"""),900)</f>
        <v>900</v>
      </c>
      <c r="G1952" s="2">
        <f ca="1">IFERROR(__xludf.DUMMYFUNCTION("""COMPUTED_VALUE"""),31)</f>
        <v>31</v>
      </c>
      <c r="H1952" s="2" t="str">
        <f ca="1">IFERROR(__xludf.DUMMYFUNCTION("""COMPUTED_VALUE"""),"866b1105")</f>
        <v>866b1105</v>
      </c>
      <c r="I1952" s="2" t="str">
        <f ca="1">IFERROR(__xludf.DUMMYFUNCTION("""COMPUTED_VALUE"""),"Torrontes")</f>
        <v>Torrontes</v>
      </c>
      <c r="J1952" s="2">
        <f ca="1">IFERROR(__xludf.DUMMYFUNCTION("""COMPUTED_VALUE"""),24800)</f>
        <v>24800</v>
      </c>
      <c r="K1952" s="2">
        <f ca="1">IFERROR(__xludf.DUMMYFUNCTION("""COMPUTED_VALUE"""),25700)</f>
        <v>25700</v>
      </c>
      <c r="L1952" s="2" t="str">
        <f ca="1">IFERROR(__xludf.DUMMYFUNCTION("""COMPUTED_VALUE"""),"980878ae")</f>
        <v>980878ae</v>
      </c>
      <c r="M1952" s="2" t="str">
        <f ca="1">IFERROR(__xludf.DUMMYFUNCTION("""COMPUTED_VALUE"""),"Torrontes")</f>
        <v>Torrontes</v>
      </c>
      <c r="N1952" s="2"/>
      <c r="O1952" s="2" t="str">
        <f ca="1">IFERROR(__xludf.DUMMYFUNCTION("""COMPUTED_VALUE"""),"1er Trasiego")</f>
        <v>1er Trasiego</v>
      </c>
      <c r="P1952" s="2" t="str">
        <f ca="1">IFERROR(__xludf.DUMMYFUNCTION("""COMPUTED_VALUE"""),"Descubada")</f>
        <v>Descubada</v>
      </c>
      <c r="Q1952" s="2" t="b">
        <f ca="1">IFERROR(__xludf.DUMMYFUNCTION("""COMPUTED_VALUE"""),TRUE)</f>
        <v>1</v>
      </c>
      <c r="R1952" s="2" t="str">
        <f ca="1">IFERROR(__xludf.DUMMYFUNCTION("""COMPUTED_VALUE"""),"Descubada")</f>
        <v>Descubada</v>
      </c>
      <c r="S1952" s="2"/>
      <c r="T1952" s="2"/>
      <c r="U1952" s="2" t="str">
        <f ca="1">IFERROR(__xludf.DUMMYFUNCTION("""COMPUTED_VALUE"""),"1")</f>
        <v>1</v>
      </c>
    </row>
    <row r="1953" spans="1:21" x14ac:dyDescent="0.25">
      <c r="A1953" s="2" t="str">
        <f ca="1">IFERROR(__xludf.DUMMYFUNCTION("""COMPUTED_VALUE"""),"30324677")</f>
        <v>30324677</v>
      </c>
      <c r="B1953" s="5">
        <f ca="1">IFERROR(__xludf.DUMMYFUNCTION("""COMPUTED_VALUE"""),46197.7142824074)</f>
        <v>46197.714282407404</v>
      </c>
      <c r="C1953" s="2" t="str">
        <f ca="1">IFERROR(__xludf.DUMMYFUNCTION("""COMPUTED_VALUE"""),"794ce23f")</f>
        <v>794ce23f</v>
      </c>
      <c r="D1953" s="2">
        <f ca="1">IFERROR(__xludf.DUMMYFUNCTION("""COMPUTED_VALUE"""),72)</f>
        <v>72</v>
      </c>
      <c r="E1953" s="2" t="str">
        <f ca="1">IFERROR(__xludf.DUMMYFUNCTION("""COMPUTED_VALUE"""),"Chardonnay")</f>
        <v>Chardonnay</v>
      </c>
      <c r="F1953" s="2">
        <f ca="1">IFERROR(__xludf.DUMMYFUNCTION("""COMPUTED_VALUE"""),6600)</f>
        <v>6600</v>
      </c>
      <c r="G1953" s="2">
        <f ca="1">IFERROR(__xludf.DUMMYFUNCTION("""COMPUTED_VALUE"""),8)</f>
        <v>8</v>
      </c>
      <c r="H1953" s="2" t="str">
        <f ca="1">IFERROR(__xludf.DUMMYFUNCTION("""COMPUTED_VALUE"""),"76379bb5")</f>
        <v>76379bb5</v>
      </c>
      <c r="I1953" s="2" t="str">
        <f ca="1">IFERROR(__xludf.DUMMYFUNCTION("""COMPUTED_VALUE"""),"Pedro Gimenez")</f>
        <v>Pedro Gimenez</v>
      </c>
      <c r="J1953" s="2">
        <f ca="1">IFERROR(__xludf.DUMMYFUNCTION("""COMPUTED_VALUE"""),15400)</f>
        <v>15400</v>
      </c>
      <c r="K1953" s="2">
        <f ca="1">IFERROR(__xludf.DUMMYFUNCTION("""COMPUTED_VALUE"""),22000)</f>
        <v>22000</v>
      </c>
      <c r="L1953" s="2" t="str">
        <f ca="1">IFERROR(__xludf.DUMMYFUNCTION("""COMPUTED_VALUE"""),"1093228c")</f>
        <v>1093228c</v>
      </c>
      <c r="M1953" s="2" t="str">
        <f ca="1">IFERROR(__xludf.DUMMYFUNCTION("""COMPUTED_VALUE"""),"Pedro Gimenez")</f>
        <v>Pedro Gimenez</v>
      </c>
      <c r="N1953" s="2"/>
      <c r="O1953" s="2" t="str">
        <f ca="1">IFERROR(__xludf.DUMMYFUNCTION("""COMPUTED_VALUE"""),"1er Trasiego")</f>
        <v>1er Trasiego</v>
      </c>
      <c r="P1953" s="2" t="str">
        <f ca="1">IFERROR(__xludf.DUMMYFUNCTION("""COMPUTED_VALUE"""),"Descubada")</f>
        <v>Descubada</v>
      </c>
      <c r="Q1953" s="2" t="b">
        <f ca="1">IFERROR(__xludf.DUMMYFUNCTION("""COMPUTED_VALUE"""),TRUE)</f>
        <v>1</v>
      </c>
      <c r="R1953" s="2" t="str">
        <f ca="1">IFERROR(__xludf.DUMMYFUNCTION("""COMPUTED_VALUE"""),"Descubada")</f>
        <v>Descubada</v>
      </c>
      <c r="S1953" s="2"/>
      <c r="T1953" s="2"/>
      <c r="U1953" s="2" t="str">
        <f ca="1">IFERROR(__xludf.DUMMYFUNCTION("""COMPUTED_VALUE"""),"1+")</f>
        <v>1+</v>
      </c>
    </row>
    <row r="1954" spans="1:21" x14ac:dyDescent="0.25">
      <c r="A1954" s="2" t="str">
        <f ca="1">IFERROR(__xludf.DUMMYFUNCTION("""COMPUTED_VALUE"""),"75e114ed")</f>
        <v>75e114ed</v>
      </c>
      <c r="B1954" s="5">
        <f ca="1">IFERROR(__xludf.DUMMYFUNCTION("""COMPUTED_VALUE"""),46197.7144791666)</f>
        <v>46197.7144791666</v>
      </c>
      <c r="C1954" s="2" t="str">
        <f ca="1">IFERROR(__xludf.DUMMYFUNCTION("""COMPUTED_VALUE"""),"794ce23f")</f>
        <v>794ce23f</v>
      </c>
      <c r="D1954" s="2">
        <f ca="1">IFERROR(__xludf.DUMMYFUNCTION("""COMPUTED_VALUE"""),72)</f>
        <v>72</v>
      </c>
      <c r="E1954" s="2" t="str">
        <f ca="1">IFERROR(__xludf.DUMMYFUNCTION("""COMPUTED_VALUE"""),"Chardonnay")</f>
        <v>Chardonnay</v>
      </c>
      <c r="F1954" s="2">
        <f ca="1">IFERROR(__xludf.DUMMYFUNCTION("""COMPUTED_VALUE"""),1600)</f>
        <v>1600</v>
      </c>
      <c r="G1954" s="2">
        <f ca="1">IFERROR(__xludf.DUMMYFUNCTION("""COMPUTED_VALUE"""),55)</f>
        <v>55</v>
      </c>
      <c r="H1954" s="2" t="str">
        <f ca="1">IFERROR(__xludf.DUMMYFUNCTION("""COMPUTED_VALUE"""),"417aa6d5")</f>
        <v>417aa6d5</v>
      </c>
      <c r="I1954" s="2" t="str">
        <f ca="1">IFERROR(__xludf.DUMMYFUNCTION("""COMPUTED_VALUE"""),"Chardonnay Garbin")</f>
        <v>Chardonnay Garbin</v>
      </c>
      <c r="J1954" s="2">
        <f ca="1">IFERROR(__xludf.DUMMYFUNCTION("""COMPUTED_VALUE"""),800)</f>
        <v>800</v>
      </c>
      <c r="K1954" s="2">
        <f ca="1">IFERROR(__xludf.DUMMYFUNCTION("""COMPUTED_VALUE"""),2400)</f>
        <v>2400</v>
      </c>
      <c r="L1954" s="2" t="str">
        <f ca="1">IFERROR(__xludf.DUMMYFUNCTION("""COMPUTED_VALUE"""),"78c098b8")</f>
        <v>78c098b8</v>
      </c>
      <c r="M1954" s="2" t="str">
        <f ca="1">IFERROR(__xludf.DUMMYFUNCTION("""COMPUTED_VALUE"""),"Chardonnay Garbin")</f>
        <v>Chardonnay Garbin</v>
      </c>
      <c r="N1954" s="2"/>
      <c r="O1954" s="2" t="str">
        <f ca="1">IFERROR(__xludf.DUMMYFUNCTION("""COMPUTED_VALUE"""),"1er Trasiego")</f>
        <v>1er Trasiego</v>
      </c>
      <c r="P1954" s="2" t="str">
        <f ca="1">IFERROR(__xludf.DUMMYFUNCTION("""COMPUTED_VALUE"""),"1er Trasiego")</f>
        <v>1er Trasiego</v>
      </c>
      <c r="Q1954" s="2" t="b">
        <f ca="1">IFERROR(__xludf.DUMMYFUNCTION("""COMPUTED_VALUE"""),TRUE)</f>
        <v>1</v>
      </c>
      <c r="R1954" s="2" t="str">
        <f ca="1">IFERROR(__xludf.DUMMYFUNCTION("""COMPUTED_VALUE"""),"1er Trasiego")</f>
        <v>1er Trasiego</v>
      </c>
      <c r="S1954" s="2"/>
      <c r="T1954" s="2"/>
      <c r="U1954" s="2" t="str">
        <f ca="1">IFERROR(__xludf.DUMMYFUNCTION("""COMPUTED_VALUE"""),"1+")</f>
        <v>1+</v>
      </c>
    </row>
    <row r="1955" spans="1:21" x14ac:dyDescent="0.25">
      <c r="A1955" s="2" t="str">
        <f ca="1">IFERROR(__xludf.DUMMYFUNCTION("""COMPUTED_VALUE"""),"29737aad")</f>
        <v>29737aad</v>
      </c>
      <c r="B1955" s="5">
        <f ca="1">IFERROR(__xludf.DUMMYFUNCTION("""COMPUTED_VALUE"""),46197.7157754629)</f>
        <v>46197.715775462901</v>
      </c>
      <c r="C1955" s="2" t="str">
        <f ca="1">IFERROR(__xludf.DUMMYFUNCTION("""COMPUTED_VALUE"""),"9bb0e06f")</f>
        <v>9bb0e06f</v>
      </c>
      <c r="D1955" s="2">
        <f ca="1">IFERROR(__xludf.DUMMYFUNCTION("""COMPUTED_VALUE"""),118)</f>
        <v>118</v>
      </c>
      <c r="E1955" s="2" t="str">
        <f ca="1">IFERROR(__xludf.DUMMYFUNCTION("""COMPUTED_VALUE"""),"Malbec Lopez")</f>
        <v>Malbec Lopez</v>
      </c>
      <c r="F1955" s="2">
        <f ca="1">IFERROR(__xludf.DUMMYFUNCTION("""COMPUTED_VALUE"""),148800)</f>
        <v>148800</v>
      </c>
      <c r="G1955" s="2"/>
      <c r="H1955" s="2"/>
      <c r="I1955" s="2"/>
      <c r="J1955" s="2"/>
      <c r="K1955" s="2">
        <f ca="1">IFERROR(__xludf.DUMMYFUNCTION("""COMPUTED_VALUE"""),148800)</f>
        <v>148800</v>
      </c>
      <c r="L1955" s="2" t="str">
        <f ca="1">IFERROR(__xludf.DUMMYFUNCTION("""COMPUTED_VALUE"""),"71e1590e")</f>
        <v>71e1590e</v>
      </c>
      <c r="M1955" s="2" t="str">
        <f ca="1">IFERROR(__xludf.DUMMYFUNCTION("""COMPUTED_VALUE"""),"Malbec Lopez")</f>
        <v>Malbec Lopez</v>
      </c>
      <c r="N1955" s="2"/>
      <c r="O1955" s="2" t="str">
        <f ca="1">IFERROR(__xludf.DUMMYFUNCTION("""COMPUTED_VALUE"""),"2do Trasiego")</f>
        <v>2do Trasiego</v>
      </c>
      <c r="P1955" s="2"/>
      <c r="Q1955" s="2" t="b">
        <f ca="1">IFERROR(__xludf.DUMMYFUNCTION("""COMPUTED_VALUE"""),FALSE)</f>
        <v>0</v>
      </c>
      <c r="R1955" s="2" t="str">
        <f ca="1">IFERROR(__xludf.DUMMYFUNCTION("""COMPUTED_VALUE"""),"Traslado Venta")</f>
        <v>Traslado Venta</v>
      </c>
      <c r="S1955" s="2"/>
      <c r="T1955" s="2"/>
      <c r="U1955" s="2" t="str">
        <f ca="1">IFERROR(__xludf.DUMMYFUNCTION("""COMPUTED_VALUE"""),"1+")</f>
        <v>1+</v>
      </c>
    </row>
    <row r="1956" spans="1:21" x14ac:dyDescent="0.25">
      <c r="A1956" s="2" t="str">
        <f ca="1">IFERROR(__xludf.DUMMYFUNCTION("""COMPUTED_VALUE"""),"4b577f2d")</f>
        <v>4b577f2d</v>
      </c>
      <c r="B1956" s="5">
        <f ca="1">IFERROR(__xludf.DUMMYFUNCTION("""COMPUTED_VALUE"""),46197.7161458333)</f>
        <v>46197.716145833299</v>
      </c>
      <c r="C1956" s="2" t="str">
        <f ca="1">IFERROR(__xludf.DUMMYFUNCTION("""COMPUTED_VALUE"""),"9bb0e06f")</f>
        <v>9bb0e06f</v>
      </c>
      <c r="D1956" s="2">
        <f ca="1">IFERROR(__xludf.DUMMYFUNCTION("""COMPUTED_VALUE"""),118)</f>
        <v>118</v>
      </c>
      <c r="E1956" s="2" t="str">
        <f ca="1">IFERROR(__xludf.DUMMYFUNCTION("""COMPUTED_VALUE"""),"Malbec Lopez")</f>
        <v>Malbec Lopez</v>
      </c>
      <c r="F1956" s="2">
        <f ca="1">IFERROR(__xludf.DUMMYFUNCTION("""COMPUTED_VALUE"""),6800)</f>
        <v>6800</v>
      </c>
      <c r="G1956" s="2">
        <f ca="1">IFERROR(__xludf.DUMMYFUNCTION("""COMPUTED_VALUE"""),72)</f>
        <v>72</v>
      </c>
      <c r="H1956" s="2"/>
      <c r="I1956" s="2"/>
      <c r="J1956" s="2">
        <f ca="1">IFERROR(__xludf.DUMMYFUNCTION("""COMPUTED_VALUE"""),0)</f>
        <v>0</v>
      </c>
      <c r="K1956" s="2">
        <f ca="1">IFERROR(__xludf.DUMMYFUNCTION("""COMPUTED_VALUE"""),6800)</f>
        <v>6800</v>
      </c>
      <c r="L1956" s="2" t="str">
        <f ca="1">IFERROR(__xludf.DUMMYFUNCTION("""COMPUTED_VALUE"""),"4863b60c")</f>
        <v>4863b60c</v>
      </c>
      <c r="M1956" s="2" t="str">
        <f ca="1">IFERROR(__xludf.DUMMYFUNCTION("""COMPUTED_VALUE"""),"Malbec Lopez")</f>
        <v>Malbec Lopez</v>
      </c>
      <c r="N1956" s="2"/>
      <c r="O1956" s="2" t="str">
        <f ca="1">IFERROR(__xludf.DUMMYFUNCTION("""COMPUTED_VALUE"""),"2do Trasiego")</f>
        <v>2do Trasiego</v>
      </c>
      <c r="P1956" s="2"/>
      <c r="Q1956" s="2" t="b">
        <f ca="1">IFERROR(__xludf.DUMMYFUNCTION("""COMPUTED_VALUE"""),FALSE)</f>
        <v>0</v>
      </c>
      <c r="R1956" s="2" t="str">
        <f ca="1">IFERROR(__xludf.DUMMYFUNCTION("""COMPUTED_VALUE"""),"2do Trasiego")</f>
        <v>2do Trasiego</v>
      </c>
      <c r="S1956" s="2"/>
      <c r="T1956" s="2"/>
      <c r="U1956" s="2" t="str">
        <f ca="1">IFERROR(__xludf.DUMMYFUNCTION("""COMPUTED_VALUE"""),"1+")</f>
        <v>1+</v>
      </c>
    </row>
    <row r="1957" spans="1:21" x14ac:dyDescent="0.25">
      <c r="A1957" s="2" t="str">
        <f ca="1">IFERROR(__xludf.DUMMYFUNCTION("""COMPUTED_VALUE"""),"5aac62e8")</f>
        <v>5aac62e8</v>
      </c>
      <c r="B1957" s="5">
        <f ca="1">IFERROR(__xludf.DUMMYFUNCTION("""COMPUTED_VALUE"""),46197.7167939814)</f>
        <v>46197.716793981403</v>
      </c>
      <c r="C1957" s="2" t="str">
        <f ca="1">IFERROR(__xludf.DUMMYFUNCTION("""COMPUTED_VALUE"""),"a880dc8c")</f>
        <v>a880dc8c</v>
      </c>
      <c r="D1957" s="2">
        <f ca="1">IFERROR(__xludf.DUMMYFUNCTION("""COMPUTED_VALUE"""),86)</f>
        <v>86</v>
      </c>
      <c r="E1957" s="2" t="str">
        <f ca="1">IFERROR(__xludf.DUMMYFUNCTION("""COMPUTED_VALUE"""),"Syrah Anc PC s/Asp 2")</f>
        <v>Syrah Anc PC s/Asp 2</v>
      </c>
      <c r="F1957" s="2">
        <f ca="1">IFERROR(__xludf.DUMMYFUNCTION("""COMPUTED_VALUE"""),68000)</f>
        <v>68000</v>
      </c>
      <c r="G1957" s="2">
        <f ca="1">IFERROR(__xludf.DUMMYFUNCTION("""COMPUTED_VALUE"""),114)</f>
        <v>114</v>
      </c>
      <c r="H1957" s="2"/>
      <c r="I1957" s="2"/>
      <c r="J1957" s="2">
        <f ca="1">IFERROR(__xludf.DUMMYFUNCTION("""COMPUTED_VALUE"""),0)</f>
        <v>0</v>
      </c>
      <c r="K1957" s="2">
        <f ca="1">IFERROR(__xludf.DUMMYFUNCTION("""COMPUTED_VALUE"""),68000)</f>
        <v>68000</v>
      </c>
      <c r="L1957" s="2" t="str">
        <f ca="1">IFERROR(__xludf.DUMMYFUNCTION("""COMPUTED_VALUE"""),"752fe322")</f>
        <v>752fe322</v>
      </c>
      <c r="M1957" s="2" t="str">
        <f ca="1">IFERROR(__xludf.DUMMYFUNCTION("""COMPUTED_VALUE"""),"Syrah Anc PC s/Asp 2")</f>
        <v>Syrah Anc PC s/Asp 2</v>
      </c>
      <c r="N1957" s="2"/>
      <c r="O1957" s="2" t="str">
        <f ca="1">IFERROR(__xludf.DUMMYFUNCTION("""COMPUTED_VALUE"""),"1er Trasiego")</f>
        <v>1er Trasiego</v>
      </c>
      <c r="P1957" s="2"/>
      <c r="Q1957" s="2" t="b">
        <f ca="1">IFERROR(__xludf.DUMMYFUNCTION("""COMPUTED_VALUE"""),FALSE)</f>
        <v>0</v>
      </c>
      <c r="R1957" s="2" t="str">
        <f ca="1">IFERROR(__xludf.DUMMYFUNCTION("""COMPUTED_VALUE"""),"2do Trasiego")</f>
        <v>2do Trasiego</v>
      </c>
      <c r="S1957" s="2"/>
      <c r="T1957" s="2"/>
      <c r="U1957" s="2" t="str">
        <f ca="1">IFERROR(__xludf.DUMMYFUNCTION("""COMPUTED_VALUE"""),"1")</f>
        <v>1</v>
      </c>
    </row>
    <row r="1958" spans="1:21" x14ac:dyDescent="0.25">
      <c r="A1958" s="2" t="str">
        <f ca="1">IFERROR(__xludf.DUMMYFUNCTION("""COMPUTED_VALUE"""),"89225a07")</f>
        <v>89225a07</v>
      </c>
      <c r="B1958" s="5">
        <f ca="1">IFERROR(__xludf.DUMMYFUNCTION("""COMPUTED_VALUE"""),46197.7170486111)</f>
        <v>46197.717048611099</v>
      </c>
      <c r="C1958" s="2" t="str">
        <f ca="1">IFERROR(__xludf.DUMMYFUNCTION("""COMPUTED_VALUE"""),"0fa19063")</f>
        <v>0fa19063</v>
      </c>
      <c r="D1958" s="2">
        <f ca="1">IFERROR(__xludf.DUMMYFUNCTION("""COMPUTED_VALUE"""),105)</f>
        <v>105</v>
      </c>
      <c r="E1958" s="2" t="str">
        <f ca="1">IFERROR(__xludf.DUMMYFUNCTION("""COMPUTED_VALUE"""),"Syrah Malbec s/Asp 2")</f>
        <v>Syrah Malbec s/Asp 2</v>
      </c>
      <c r="F1958" s="2">
        <f ca="1">IFERROR(__xludf.DUMMYFUNCTION("""COMPUTED_VALUE"""),16000)</f>
        <v>16000</v>
      </c>
      <c r="G1958" s="2">
        <f ca="1">IFERROR(__xludf.DUMMYFUNCTION("""COMPUTED_VALUE"""),114)</f>
        <v>114</v>
      </c>
      <c r="H1958" s="2" t="str">
        <f ca="1">IFERROR(__xludf.DUMMYFUNCTION("""COMPUTED_VALUE"""),"752fe322")</f>
        <v>752fe322</v>
      </c>
      <c r="I1958" s="2" t="str">
        <f ca="1">IFERROR(__xludf.DUMMYFUNCTION("""COMPUTED_VALUE"""),"Syrah Anc PC s/Asp 2")</f>
        <v>Syrah Anc PC s/Asp 2</v>
      </c>
      <c r="J1958" s="2">
        <f ca="1">IFERROR(__xludf.DUMMYFUNCTION("""COMPUTED_VALUE"""),68000)</f>
        <v>68000</v>
      </c>
      <c r="K1958" s="2">
        <f ca="1">IFERROR(__xludf.DUMMYFUNCTION("""COMPUTED_VALUE"""),84000)</f>
        <v>84000</v>
      </c>
      <c r="L1958" s="2" t="str">
        <f ca="1">IFERROR(__xludf.DUMMYFUNCTION("""COMPUTED_VALUE"""),"9c0b7c1c")</f>
        <v>9c0b7c1c</v>
      </c>
      <c r="M1958" s="2" t="str">
        <f ca="1">IFERROR(__xludf.DUMMYFUNCTION("""COMPUTED_VALUE"""),"Syrah Anc PC s/Asp 2")</f>
        <v>Syrah Anc PC s/Asp 2</v>
      </c>
      <c r="N1958" s="2"/>
      <c r="O1958" s="2" t="str">
        <f ca="1">IFERROR(__xludf.DUMMYFUNCTION("""COMPUTED_VALUE"""),"2do Trasiego")</f>
        <v>2do Trasiego</v>
      </c>
      <c r="P1958" s="2" t="str">
        <f ca="1">IFERROR(__xludf.DUMMYFUNCTION("""COMPUTED_VALUE"""),"2do Trasiego")</f>
        <v>2do Trasiego</v>
      </c>
      <c r="Q1958" s="2" t="b">
        <f ca="1">IFERROR(__xludf.DUMMYFUNCTION("""COMPUTED_VALUE"""),TRUE)</f>
        <v>1</v>
      </c>
      <c r="R1958" s="2" t="str">
        <f ca="1">IFERROR(__xludf.DUMMYFUNCTION("""COMPUTED_VALUE"""),"2do Trasiego")</f>
        <v>2do Trasiego</v>
      </c>
      <c r="S1958" s="2"/>
      <c r="T1958" s="2"/>
      <c r="U1958" s="2" t="str">
        <f ca="1">IFERROR(__xludf.DUMMYFUNCTION("""COMPUTED_VALUE"""),"1")</f>
        <v>1</v>
      </c>
    </row>
    <row r="1959" spans="1:21" x14ac:dyDescent="0.25">
      <c r="A1959" s="2" t="str">
        <f ca="1">IFERROR(__xludf.DUMMYFUNCTION("""COMPUTED_VALUE"""),"0b09476b")</f>
        <v>0b09476b</v>
      </c>
      <c r="B1959" s="5">
        <f ca="1">IFERROR(__xludf.DUMMYFUNCTION("""COMPUTED_VALUE"""),46198.6907986111)</f>
        <v>46198.690798611096</v>
      </c>
      <c r="C1959" s="2" t="str">
        <f ca="1">IFERROR(__xludf.DUMMYFUNCTION("""COMPUTED_VALUE"""),"cfbea8f2")</f>
        <v>cfbea8f2</v>
      </c>
      <c r="D1959" s="2">
        <f ca="1">IFERROR(__xludf.DUMMYFUNCTION("""COMPUTED_VALUE"""),12)</f>
        <v>12</v>
      </c>
      <c r="E1959" s="2" t="str">
        <f ca="1">IFERROR(__xludf.DUMMYFUNCTION("""COMPUTED_VALUE"""),"Syrah Rect")</f>
        <v>Syrah Rect</v>
      </c>
      <c r="F1959" s="2">
        <f ca="1">IFERROR(__xludf.DUMMYFUNCTION("""COMPUTED_VALUE"""),13000)</f>
        <v>13000</v>
      </c>
      <c r="G1959" s="2">
        <f ca="1">IFERROR(__xludf.DUMMYFUNCTION("""COMPUTED_VALUE"""),114)</f>
        <v>114</v>
      </c>
      <c r="H1959" s="2" t="str">
        <f ca="1">IFERROR(__xludf.DUMMYFUNCTION("""COMPUTED_VALUE"""),"9c0b7c1c")</f>
        <v>9c0b7c1c</v>
      </c>
      <c r="I1959" s="2" t="str">
        <f ca="1">IFERROR(__xludf.DUMMYFUNCTION("""COMPUTED_VALUE"""),"Syrah Anc PC s/Asp 2")</f>
        <v>Syrah Anc PC s/Asp 2</v>
      </c>
      <c r="J1959" s="2">
        <f ca="1">IFERROR(__xludf.DUMMYFUNCTION("""COMPUTED_VALUE"""),84000)</f>
        <v>84000</v>
      </c>
      <c r="K1959" s="2">
        <f ca="1">IFERROR(__xludf.DUMMYFUNCTION("""COMPUTED_VALUE"""),97000)</f>
        <v>97000</v>
      </c>
      <c r="L1959" s="2" t="str">
        <f ca="1">IFERROR(__xludf.DUMMYFUNCTION("""COMPUTED_VALUE"""),"835c504b")</f>
        <v>835c504b</v>
      </c>
      <c r="M1959" s="2" t="str">
        <f ca="1">IFERROR(__xludf.DUMMYFUNCTION("""COMPUTED_VALUE"""),"Syrah Anc PC s/Asp 2")</f>
        <v>Syrah Anc PC s/Asp 2</v>
      </c>
      <c r="N1959" s="2"/>
      <c r="O1959" s="2" t="str">
        <f ca="1">IFERROR(__xludf.DUMMYFUNCTION("""COMPUTED_VALUE"""),"Rectificado")</f>
        <v>Rectificado</v>
      </c>
      <c r="P1959" s="2" t="str">
        <f ca="1">IFERROR(__xludf.DUMMYFUNCTION("""COMPUTED_VALUE"""),"2do Trasiego")</f>
        <v>2do Trasiego</v>
      </c>
      <c r="Q1959" s="2" t="b">
        <f ca="1">IFERROR(__xludf.DUMMYFUNCTION("""COMPUTED_VALUE"""),TRUE)</f>
        <v>1</v>
      </c>
      <c r="R1959" s="2" t="str">
        <f ca="1">IFERROR(__xludf.DUMMYFUNCTION("""COMPUTED_VALUE"""),"2do Trasiego")</f>
        <v>2do Trasiego</v>
      </c>
      <c r="S1959" s="2"/>
      <c r="T1959" s="2"/>
      <c r="U1959" s="2" t="str">
        <f ca="1">IFERROR(__xludf.DUMMYFUNCTION("""COMPUTED_VALUE"""),"1")</f>
        <v>1</v>
      </c>
    </row>
    <row r="1960" spans="1:21" x14ac:dyDescent="0.25">
      <c r="A1960" s="2" t="str">
        <f ca="1">IFERROR(__xludf.DUMMYFUNCTION("""COMPUTED_VALUE"""),"1e97ae82")</f>
        <v>1e97ae82</v>
      </c>
      <c r="B1960" s="5">
        <f ca="1">IFERROR(__xludf.DUMMYFUNCTION("""COMPUTED_VALUE"""),46198.6914699074)</f>
        <v>46198.691469907397</v>
      </c>
      <c r="C1960" s="2" t="str">
        <f ca="1">IFERROR(__xludf.DUMMYFUNCTION("""COMPUTED_VALUE"""),"adf438f1")</f>
        <v>adf438f1</v>
      </c>
      <c r="D1960" s="2">
        <f ca="1">IFERROR(__xludf.DUMMYFUNCTION("""COMPUTED_VALUE"""),78)</f>
        <v>78</v>
      </c>
      <c r="E1960" s="2" t="str">
        <f ca="1">IFERROR(__xludf.DUMMYFUNCTION("""COMPUTED_VALUE"""),"Syrah s/Asp 2")</f>
        <v>Syrah s/Asp 2</v>
      </c>
      <c r="F1960" s="2">
        <f ca="1">IFERROR(__xludf.DUMMYFUNCTION("""COMPUTED_VALUE"""),25800)</f>
        <v>25800</v>
      </c>
      <c r="G1960" s="2">
        <f ca="1">IFERROR(__xludf.DUMMYFUNCTION("""COMPUTED_VALUE"""),114)</f>
        <v>114</v>
      </c>
      <c r="H1960" s="2" t="str">
        <f ca="1">IFERROR(__xludf.DUMMYFUNCTION("""COMPUTED_VALUE"""),"835c504b")</f>
        <v>835c504b</v>
      </c>
      <c r="I1960" s="2" t="str">
        <f ca="1">IFERROR(__xludf.DUMMYFUNCTION("""COMPUTED_VALUE"""),"Syrah Anc PC s/Asp 2")</f>
        <v>Syrah Anc PC s/Asp 2</v>
      </c>
      <c r="J1960" s="2">
        <f ca="1">IFERROR(__xludf.DUMMYFUNCTION("""COMPUTED_VALUE"""),97000)</f>
        <v>97000</v>
      </c>
      <c r="K1960" s="2">
        <f ca="1">IFERROR(__xludf.DUMMYFUNCTION("""COMPUTED_VALUE"""),122800)</f>
        <v>122800</v>
      </c>
      <c r="L1960" s="2" t="str">
        <f ca="1">IFERROR(__xludf.DUMMYFUNCTION("""COMPUTED_VALUE"""),"4da322a6")</f>
        <v>4da322a6</v>
      </c>
      <c r="M1960" s="2" t="str">
        <f ca="1">IFERROR(__xludf.DUMMYFUNCTION("""COMPUTED_VALUE"""),"Syrah Anc PC s/Asp 2")</f>
        <v>Syrah Anc PC s/Asp 2</v>
      </c>
      <c r="N1960" s="2"/>
      <c r="O1960" s="2" t="str">
        <f ca="1">IFERROR(__xludf.DUMMYFUNCTION("""COMPUTED_VALUE"""),"1er Trasiego")</f>
        <v>1er Trasiego</v>
      </c>
      <c r="P1960" s="2" t="str">
        <f ca="1">IFERROR(__xludf.DUMMYFUNCTION("""COMPUTED_VALUE"""),"2do Trasiego")</f>
        <v>2do Trasiego</v>
      </c>
      <c r="Q1960" s="2" t="b">
        <f ca="1">IFERROR(__xludf.DUMMYFUNCTION("""COMPUTED_VALUE"""),TRUE)</f>
        <v>1</v>
      </c>
      <c r="R1960" s="2" t="str">
        <f ca="1">IFERROR(__xludf.DUMMYFUNCTION("""COMPUTED_VALUE"""),"2do Trasiego")</f>
        <v>2do Trasiego</v>
      </c>
      <c r="S1960" s="2"/>
      <c r="T1960" s="2"/>
      <c r="U1960" s="2" t="str">
        <f ca="1">IFERROR(__xludf.DUMMYFUNCTION("""COMPUTED_VALUE"""),"1")</f>
        <v>1</v>
      </c>
    </row>
    <row r="1961" spans="1:21" x14ac:dyDescent="0.25">
      <c r="A1961" s="2" t="str">
        <f ca="1">IFERROR(__xludf.DUMMYFUNCTION("""COMPUTED_VALUE"""),"b9cf5b0a")</f>
        <v>b9cf5b0a</v>
      </c>
      <c r="B1961" s="5">
        <f ca="1">IFERROR(__xludf.DUMMYFUNCTION("""COMPUTED_VALUE"""),46198.6930671296)</f>
        <v>46198.6930671296</v>
      </c>
      <c r="C1961" s="2" t="str">
        <f ca="1">IFERROR(__xludf.DUMMYFUNCTION("""COMPUTED_VALUE"""),"95e8ea4a")</f>
        <v>95e8ea4a</v>
      </c>
      <c r="D1961" s="2">
        <f ca="1">IFERROR(__xludf.DUMMYFUNCTION("""COMPUTED_VALUE"""),95)</f>
        <v>95</v>
      </c>
      <c r="E1961" s="2" t="str">
        <f ca="1">IFERROR(__xludf.DUMMYFUNCTION("""COMPUTED_VALUE"""),"Criolla Recarga")</f>
        <v>Criolla Recarga</v>
      </c>
      <c r="F1961" s="2">
        <f ca="1">IFERROR(__xludf.DUMMYFUNCTION("""COMPUTED_VALUE"""),36000)</f>
        <v>36000</v>
      </c>
      <c r="G1961" s="2">
        <f ca="1">IFERROR(__xludf.DUMMYFUNCTION("""COMPUTED_VALUE"""),11)</f>
        <v>11</v>
      </c>
      <c r="H1961" s="2"/>
      <c r="I1961" s="2"/>
      <c r="J1961" s="2">
        <f ca="1">IFERROR(__xludf.DUMMYFUNCTION("""COMPUTED_VALUE"""),0)</f>
        <v>0</v>
      </c>
      <c r="K1961" s="2">
        <f ca="1">IFERROR(__xludf.DUMMYFUNCTION("""COMPUTED_VALUE"""),36000)</f>
        <v>36000</v>
      </c>
      <c r="L1961" s="2" t="str">
        <f ca="1">IFERROR(__xludf.DUMMYFUNCTION("""COMPUTED_VALUE"""),"e5114519")</f>
        <v>e5114519</v>
      </c>
      <c r="M1961" s="2" t="str">
        <f ca="1">IFERROR(__xludf.DUMMYFUNCTION("""COMPUTED_VALUE"""),"Criolla Recarga Rect")</f>
        <v>Criolla Recarga Rect</v>
      </c>
      <c r="N1961" s="2"/>
      <c r="O1961" s="2" t="str">
        <f ca="1">IFERROR(__xludf.DUMMYFUNCTION("""COMPUTED_VALUE"""),"1er Trasiego")</f>
        <v>1er Trasiego</v>
      </c>
      <c r="P1961" s="2"/>
      <c r="Q1961" s="2" t="b">
        <f ca="1">IFERROR(__xludf.DUMMYFUNCTION("""COMPUTED_VALUE"""),FALSE)</f>
        <v>0</v>
      </c>
      <c r="R1961" s="2" t="str">
        <f ca="1">IFERROR(__xludf.DUMMYFUNCTION("""COMPUTED_VALUE"""),"Rectificado")</f>
        <v>Rectificado</v>
      </c>
      <c r="S1961" s="2"/>
      <c r="T1961" s="2"/>
      <c r="U1961" s="2" t="str">
        <f ca="1">IFERROR(__xludf.DUMMYFUNCTION("""COMPUTED_VALUE"""),"1-")</f>
        <v>1-</v>
      </c>
    </row>
    <row r="1962" spans="1:21" x14ac:dyDescent="0.25">
      <c r="A1962" s="2" t="str">
        <f ca="1">IFERROR(__xludf.DUMMYFUNCTION("""COMPUTED_VALUE"""),"1eccfefe")</f>
        <v>1eccfefe</v>
      </c>
      <c r="B1962" s="5">
        <f ca="1">IFERROR(__xludf.DUMMYFUNCTION("""COMPUTED_VALUE"""),46198.6947337963)</f>
        <v>46198.694733796299</v>
      </c>
      <c r="C1962" s="2" t="str">
        <f ca="1">IFERROR(__xludf.DUMMYFUNCTION("""COMPUTED_VALUE"""),"e5114519")</f>
        <v>e5114519</v>
      </c>
      <c r="D1962" s="2">
        <f ca="1">IFERROR(__xludf.DUMMYFUNCTION("""COMPUTED_VALUE"""),11)</f>
        <v>11</v>
      </c>
      <c r="E1962" s="2" t="str">
        <f ca="1">IFERROR(__xludf.DUMMYFUNCTION("""COMPUTED_VALUE"""),"Criolla Recarga Rect")</f>
        <v>Criolla Recarga Rect</v>
      </c>
      <c r="F1962" s="2">
        <f ca="1">IFERROR(__xludf.DUMMYFUNCTION("""COMPUTED_VALUE"""),2500)</f>
        <v>2500</v>
      </c>
      <c r="G1962" s="2">
        <f ca="1">IFERROR(__xludf.DUMMYFUNCTION("""COMPUTED_VALUE"""),114)</f>
        <v>114</v>
      </c>
      <c r="H1962" s="2" t="str">
        <f ca="1">IFERROR(__xludf.DUMMYFUNCTION("""COMPUTED_VALUE"""),"4da322a6")</f>
        <v>4da322a6</v>
      </c>
      <c r="I1962" s="2" t="str">
        <f ca="1">IFERROR(__xludf.DUMMYFUNCTION("""COMPUTED_VALUE"""),"Syrah Anc PC s/Asp 2")</f>
        <v>Syrah Anc PC s/Asp 2</v>
      </c>
      <c r="J1962" s="2">
        <f ca="1">IFERROR(__xludf.DUMMYFUNCTION("""COMPUTED_VALUE"""),122800)</f>
        <v>122800</v>
      </c>
      <c r="K1962" s="2">
        <f ca="1">IFERROR(__xludf.DUMMYFUNCTION("""COMPUTED_VALUE"""),125300)</f>
        <v>125300</v>
      </c>
      <c r="L1962" s="2" t="str">
        <f ca="1">IFERROR(__xludf.DUMMYFUNCTION("""COMPUTED_VALUE"""),"a255b7c1")</f>
        <v>a255b7c1</v>
      </c>
      <c r="M1962" s="2" t="str">
        <f ca="1">IFERROR(__xludf.DUMMYFUNCTION("""COMPUTED_VALUE"""),"Syrah Anc PC s/Asp 2")</f>
        <v>Syrah Anc PC s/Asp 2</v>
      </c>
      <c r="N1962" s="2"/>
      <c r="O1962" s="2" t="str">
        <f ca="1">IFERROR(__xludf.DUMMYFUNCTION("""COMPUTED_VALUE"""),"Rectificado")</f>
        <v>Rectificado</v>
      </c>
      <c r="P1962" s="2" t="str">
        <f ca="1">IFERROR(__xludf.DUMMYFUNCTION("""COMPUTED_VALUE"""),"2do Trasiego")</f>
        <v>2do Trasiego</v>
      </c>
      <c r="Q1962" s="2" t="b">
        <f ca="1">IFERROR(__xludf.DUMMYFUNCTION("""COMPUTED_VALUE"""),TRUE)</f>
        <v>1</v>
      </c>
      <c r="R1962" s="2" t="str">
        <f ca="1">IFERROR(__xludf.DUMMYFUNCTION("""COMPUTED_VALUE"""),"2do Trasiego")</f>
        <v>2do Trasiego</v>
      </c>
      <c r="S1962" s="2"/>
      <c r="T1962" s="2"/>
      <c r="U1962" s="2" t="str">
        <f ca="1">IFERROR(__xludf.DUMMYFUNCTION("""COMPUTED_VALUE"""),"1")</f>
        <v>1</v>
      </c>
    </row>
    <row r="1963" spans="1:21" x14ac:dyDescent="0.25">
      <c r="A1963" s="2" t="str">
        <f ca="1">IFERROR(__xludf.DUMMYFUNCTION("""COMPUTED_VALUE"""),"bc35438b")</f>
        <v>bc35438b</v>
      </c>
      <c r="B1963" s="5">
        <f ca="1">IFERROR(__xludf.DUMMYFUNCTION("""COMPUTED_VALUE"""),46196.4569444444)</f>
        <v>46196.456944444399</v>
      </c>
      <c r="C1963" s="2" t="str">
        <f ca="1">IFERROR(__xludf.DUMMYFUNCTION("""COMPUTED_VALUE"""),"1f155a03")</f>
        <v>1f155a03</v>
      </c>
      <c r="D1963" s="2">
        <f ca="1">IFERROR(__xludf.DUMMYFUNCTION("""COMPUTED_VALUE"""),42)</f>
        <v>42</v>
      </c>
      <c r="E1963" s="2" t="str">
        <f ca="1">IFERROR(__xludf.DUMMYFUNCTION("""COMPUTED_VALUE"""),"Chardonnay Garbin")</f>
        <v>Chardonnay Garbin</v>
      </c>
      <c r="F1963" s="2">
        <f ca="1">IFERROR(__xludf.DUMMYFUNCTION("""COMPUTED_VALUE"""),30000)</f>
        <v>30000</v>
      </c>
      <c r="G1963" s="2"/>
      <c r="H1963" s="2"/>
      <c r="I1963" s="2"/>
      <c r="J1963" s="2"/>
      <c r="K1963" s="2">
        <f ca="1">IFERROR(__xludf.DUMMYFUNCTION("""COMPUTED_VALUE"""),30000)</f>
        <v>30000</v>
      </c>
      <c r="L1963" s="2" t="str">
        <f ca="1">IFERROR(__xludf.DUMMYFUNCTION("""COMPUTED_VALUE"""),"95fbe6a5")</f>
        <v>95fbe6a5</v>
      </c>
      <c r="M1963" s="2" t="str">
        <f ca="1">IFERROR(__xludf.DUMMYFUNCTION("""COMPUTED_VALUE"""),"Chardonnay Garbin")</f>
        <v>Chardonnay Garbin</v>
      </c>
      <c r="N1963" s="2"/>
      <c r="O1963" s="2" t="str">
        <f ca="1">IFERROR(__xludf.DUMMYFUNCTION("""COMPUTED_VALUE"""),"1er Trasiego")</f>
        <v>1er Trasiego</v>
      </c>
      <c r="P1963" s="2"/>
      <c r="Q1963" s="2" t="b">
        <f ca="1">IFERROR(__xludf.DUMMYFUNCTION("""COMPUTED_VALUE"""),FALSE)</f>
        <v>0</v>
      </c>
      <c r="R1963" s="2" t="str">
        <f ca="1">IFERROR(__xludf.DUMMYFUNCTION("""COMPUTED_VALUE"""),"Traslado Venta")</f>
        <v>Traslado Venta</v>
      </c>
      <c r="S1963" s="2"/>
      <c r="T1963" s="2"/>
      <c r="U1963" s="2" t="str">
        <f ca="1">IFERROR(__xludf.DUMMYFUNCTION("""COMPUTED_VALUE"""),"1+")</f>
        <v>1+</v>
      </c>
    </row>
    <row r="1964" spans="1:21" x14ac:dyDescent="0.25">
      <c r="A1964" s="2" t="str">
        <f ca="1">IFERROR(__xludf.DUMMYFUNCTION("""COMPUTED_VALUE"""),"c300b5af")</f>
        <v>c300b5af</v>
      </c>
      <c r="B1964" s="5">
        <f ca="1">IFERROR(__xludf.DUMMYFUNCTION("""COMPUTED_VALUE"""),46203.6577199074)</f>
        <v>46203.657719907402</v>
      </c>
      <c r="C1964" s="2" t="str">
        <f ca="1">IFERROR(__xludf.DUMMYFUNCTION("""COMPUTED_VALUE"""),"95e8ea4a")</f>
        <v>95e8ea4a</v>
      </c>
      <c r="D1964" s="2">
        <f ca="1">IFERROR(__xludf.DUMMYFUNCTION("""COMPUTED_VALUE"""),95)</f>
        <v>95</v>
      </c>
      <c r="E1964" s="2" t="str">
        <f ca="1">IFERROR(__xludf.DUMMYFUNCTION("""COMPUTED_VALUE"""),"Criolla Recarga")</f>
        <v>Criolla Recarga</v>
      </c>
      <c r="F1964" s="2">
        <f ca="1">IFERROR(__xludf.DUMMYFUNCTION("""COMPUTED_VALUE"""),10000)</f>
        <v>10000</v>
      </c>
      <c r="G1964" s="2">
        <f ca="1">IFERROR(__xludf.DUMMYFUNCTION("""COMPUTED_VALUE"""),42)</f>
        <v>42</v>
      </c>
      <c r="H1964" s="2"/>
      <c r="I1964" s="2"/>
      <c r="J1964" s="2">
        <f ca="1">IFERROR(__xludf.DUMMYFUNCTION("""COMPUTED_VALUE"""),0)</f>
        <v>0</v>
      </c>
      <c r="K1964" s="2">
        <f ca="1">IFERROR(__xludf.DUMMYFUNCTION("""COMPUTED_VALUE"""),10000)</f>
        <v>10000</v>
      </c>
      <c r="L1964" s="2" t="str">
        <f ca="1">IFERROR(__xludf.DUMMYFUNCTION("""COMPUTED_VALUE"""),"2cefff23")</f>
        <v>2cefff23</v>
      </c>
      <c r="M1964" s="2" t="str">
        <f ca="1">IFERROR(__xludf.DUMMYFUNCTION("""COMPUTED_VALUE"""),"Criolla Recarga Rectificada")</f>
        <v>Criolla Recarga Rectificada</v>
      </c>
      <c r="N1964" s="2"/>
      <c r="O1964" s="2" t="str">
        <f ca="1">IFERROR(__xludf.DUMMYFUNCTION("""COMPUTED_VALUE"""),"1er Trasiego")</f>
        <v>1er Trasiego</v>
      </c>
      <c r="P1964" s="2"/>
      <c r="Q1964" s="2" t="b">
        <f ca="1">IFERROR(__xludf.DUMMYFUNCTION("""COMPUTED_VALUE"""),FALSE)</f>
        <v>0</v>
      </c>
      <c r="R1964" s="2" t="str">
        <f ca="1">IFERROR(__xludf.DUMMYFUNCTION("""COMPUTED_VALUE"""),"Rectificado")</f>
        <v>Rectificado</v>
      </c>
      <c r="S1964" s="2"/>
      <c r="T1964" s="2"/>
      <c r="U1964" s="2" t="str">
        <f ca="1">IFERROR(__xludf.DUMMYFUNCTION("""COMPUTED_VALUE"""),"1-")</f>
        <v>1-</v>
      </c>
    </row>
    <row r="1965" spans="1:21" x14ac:dyDescent="0.25">
      <c r="A1965" s="2" t="str">
        <f ca="1">IFERROR(__xludf.DUMMYFUNCTION("""COMPUTED_VALUE"""),"6add3cdd")</f>
        <v>6add3cdd</v>
      </c>
      <c r="B1965" s="5">
        <f ca="1">IFERROR(__xludf.DUMMYFUNCTION("""COMPUTED_VALUE"""),46204.3778356481)</f>
        <v>46204.377835648098</v>
      </c>
      <c r="C1965" s="2" t="str">
        <f ca="1">IFERROR(__xludf.DUMMYFUNCTION("""COMPUTED_VALUE"""),"081b56e7")</f>
        <v>081b56e7</v>
      </c>
      <c r="D1965" s="2">
        <f ca="1">IFERROR(__xludf.DUMMYFUNCTION("""COMPUTED_VALUE"""),69)</f>
        <v>69</v>
      </c>
      <c r="E1965" s="2" t="str">
        <f ca="1">IFERROR(__xludf.DUMMYFUNCTION("""COMPUTED_VALUE"""),"Borra")</f>
        <v>Borra</v>
      </c>
      <c r="F1965" s="2">
        <f ca="1">IFERROR(__xludf.DUMMYFUNCTION("""COMPUTED_VALUE"""),13000)</f>
        <v>13000</v>
      </c>
      <c r="G1965" s="2">
        <f ca="1">IFERROR(__xludf.DUMMYFUNCTION("""COMPUTED_VALUE"""),12)</f>
        <v>12</v>
      </c>
      <c r="H1965" s="2"/>
      <c r="I1965" s="2"/>
      <c r="J1965" s="2">
        <f ca="1">IFERROR(__xludf.DUMMYFUNCTION("""COMPUTED_VALUE"""),0)</f>
        <v>0</v>
      </c>
      <c r="K1965" s="2">
        <f ca="1">IFERROR(__xludf.DUMMYFUNCTION("""COMPUTED_VALUE"""),11000)</f>
        <v>11000</v>
      </c>
      <c r="L1965" s="2" t="str">
        <f ca="1">IFERROR(__xludf.DUMMYFUNCTION("""COMPUTED_VALUE"""),"1afaba30")</f>
        <v>1afaba30</v>
      </c>
      <c r="M1965" s="2" t="str">
        <f ca="1">IFERROR(__xludf.DUMMYFUNCTION("""COMPUTED_VALUE"""),"Claro Filtro")</f>
        <v>Claro Filtro</v>
      </c>
      <c r="N1965" s="2"/>
      <c r="O1965" s="2" t="str">
        <f ca="1">IFERROR(__xludf.DUMMYFUNCTION("""COMPUTED_VALUE"""),"1er Trasiego")</f>
        <v>1er Trasiego</v>
      </c>
      <c r="P1965" s="2"/>
      <c r="Q1965" s="2" t="b">
        <f ca="1">IFERROR(__xludf.DUMMYFUNCTION("""COMPUTED_VALUE"""),FALSE)</f>
        <v>0</v>
      </c>
      <c r="R1965" s="2" t="str">
        <f ca="1">IFERROR(__xludf.DUMMYFUNCTION("""COMPUTED_VALUE"""),"2do Trasiego")</f>
        <v>2do Trasiego</v>
      </c>
      <c r="S1965" s="2"/>
      <c r="T1965" s="2"/>
      <c r="U1965" s="2"/>
    </row>
    <row r="1966" spans="1:21" x14ac:dyDescent="0.25">
      <c r="A1966" s="2" t="str">
        <f ca="1">IFERROR(__xludf.DUMMYFUNCTION("""COMPUTED_VALUE"""),"fed80d84")</f>
        <v>fed80d84</v>
      </c>
      <c r="B1966" s="5">
        <f ca="1">IFERROR(__xludf.DUMMYFUNCTION("""COMPUTED_VALUE"""),46205.5278703703)</f>
        <v>46205.527870370301</v>
      </c>
      <c r="C1966" s="2" t="str">
        <f ca="1">IFERROR(__xludf.DUMMYFUNCTION("""COMPUTED_VALUE"""),"6f3cd259")</f>
        <v>6f3cd259</v>
      </c>
      <c r="D1966" s="2">
        <f ca="1">IFERROR(__xludf.DUMMYFUNCTION("""COMPUTED_VALUE"""),70)</f>
        <v>70</v>
      </c>
      <c r="E1966" s="2" t="str">
        <f ca="1">IFERROR(__xludf.DUMMYFUNCTION("""COMPUTED_VALUE"""),"Borra trasiego")</f>
        <v>Borra trasiego</v>
      </c>
      <c r="F1966" s="2">
        <f ca="1">IFERROR(__xludf.DUMMYFUNCTION("""COMPUTED_VALUE"""),11000)</f>
        <v>11000</v>
      </c>
      <c r="G1966" s="2">
        <f ca="1">IFERROR(__xludf.DUMMYFUNCTION("""COMPUTED_VALUE"""),12)</f>
        <v>12</v>
      </c>
      <c r="H1966" s="2" t="str">
        <f ca="1">IFERROR(__xludf.DUMMYFUNCTION("""COMPUTED_VALUE"""),"1afaba30")</f>
        <v>1afaba30</v>
      </c>
      <c r="I1966" s="2" t="str">
        <f ca="1">IFERROR(__xludf.DUMMYFUNCTION("""COMPUTED_VALUE"""),"Claro Filtro")</f>
        <v>Claro Filtro</v>
      </c>
      <c r="J1966" s="2">
        <f ca="1">IFERROR(__xludf.DUMMYFUNCTION("""COMPUTED_VALUE"""),11000)</f>
        <v>11000</v>
      </c>
      <c r="K1966" s="2">
        <f ca="1">IFERROR(__xludf.DUMMYFUNCTION("""COMPUTED_VALUE"""),22000)</f>
        <v>22000</v>
      </c>
      <c r="L1966" s="2" t="str">
        <f ca="1">IFERROR(__xludf.DUMMYFUNCTION("""COMPUTED_VALUE"""),"c6a82ec9")</f>
        <v>c6a82ec9</v>
      </c>
      <c r="M1966" s="2" t="str">
        <f ca="1">IFERROR(__xludf.DUMMYFUNCTION("""COMPUTED_VALUE"""),"Claro Filtro")</f>
        <v>Claro Filtro</v>
      </c>
      <c r="N1966" s="2"/>
      <c r="O1966" s="2" t="str">
        <f ca="1">IFERROR(__xludf.DUMMYFUNCTION("""COMPUTED_VALUE"""),"1er Trasiego")</f>
        <v>1er Trasiego</v>
      </c>
      <c r="P1966" s="2" t="str">
        <f ca="1">IFERROR(__xludf.DUMMYFUNCTION("""COMPUTED_VALUE"""),"2do Trasiego")</f>
        <v>2do Trasiego</v>
      </c>
      <c r="Q1966" s="2" t="b">
        <f ca="1">IFERROR(__xludf.DUMMYFUNCTION("""COMPUTED_VALUE"""),TRUE)</f>
        <v>1</v>
      </c>
      <c r="R1966" s="2" t="str">
        <f ca="1">IFERROR(__xludf.DUMMYFUNCTION("""COMPUTED_VALUE"""),"2do Trasiego")</f>
        <v>2do Trasiego</v>
      </c>
      <c r="S1966" s="2"/>
      <c r="T1966" s="2"/>
      <c r="U1966" s="2"/>
    </row>
    <row r="1967" spans="1:21" x14ac:dyDescent="0.25">
      <c r="A1967" s="2" t="str">
        <f ca="1">IFERROR(__xludf.DUMMYFUNCTION("""COMPUTED_VALUE"""),"6ce063a6")</f>
        <v>6ce063a6</v>
      </c>
      <c r="B1967" s="5">
        <f ca="1">IFERROR(__xludf.DUMMYFUNCTION("""COMPUTED_VALUE"""),46205.528136574)</f>
        <v>46205.528136574001</v>
      </c>
      <c r="C1967" s="2" t="str">
        <f ca="1">IFERROR(__xludf.DUMMYFUNCTION("""COMPUTED_VALUE"""),"6f3cd259")</f>
        <v>6f3cd259</v>
      </c>
      <c r="D1967" s="2">
        <f ca="1">IFERROR(__xludf.DUMMYFUNCTION("""COMPUTED_VALUE"""),70)</f>
        <v>70</v>
      </c>
      <c r="E1967" s="2" t="str">
        <f ca="1">IFERROR(__xludf.DUMMYFUNCTION("""COMPUTED_VALUE"""),"Borra trasiego")</f>
        <v>Borra trasiego</v>
      </c>
      <c r="F1967" s="2">
        <f ca="1">IFERROR(__xludf.DUMMYFUNCTION("""COMPUTED_VALUE"""),2000)</f>
        <v>2000</v>
      </c>
      <c r="G1967" s="2">
        <f ca="1">IFERROR(__xludf.DUMMYFUNCTION("""COMPUTED_VALUE"""),500)</f>
        <v>500</v>
      </c>
      <c r="H1967" s="2" t="str">
        <f ca="1">IFERROR(__xludf.DUMMYFUNCTION("""COMPUTED_VALUE"""),"2720809e")</f>
        <v>2720809e</v>
      </c>
      <c r="I1967" s="2" t="str">
        <f ca="1">IFERROR(__xludf.DUMMYFUNCTION("""COMPUTED_VALUE"""),"Ajuste Cosecha 2026")</f>
        <v>Ajuste Cosecha 2026</v>
      </c>
      <c r="J1967" s="2">
        <f ca="1">IFERROR(__xludf.DUMMYFUNCTION("""COMPUTED_VALUE"""),52900)</f>
        <v>52900</v>
      </c>
      <c r="K1967" s="2">
        <f ca="1">IFERROR(__xludf.DUMMYFUNCTION("""COMPUTED_VALUE"""),54900)</f>
        <v>54900</v>
      </c>
      <c r="L1967" s="2" t="str">
        <f ca="1">IFERROR(__xludf.DUMMYFUNCTION("""COMPUTED_VALUE"""),"9136654f")</f>
        <v>9136654f</v>
      </c>
      <c r="M1967" s="2" t="str">
        <f ca="1">IFERROR(__xludf.DUMMYFUNCTION("""COMPUTED_VALUE"""),"Ajuste Cosecha 2026")</f>
        <v>Ajuste Cosecha 2026</v>
      </c>
      <c r="N1967" s="2" t="str">
        <f ca="1">IFERROR(__xludf.DUMMYFUNCTION("""COMPUTED_VALUE"""),"BORRA SECA")</f>
        <v>BORRA SECA</v>
      </c>
      <c r="O1967" s="2" t="str">
        <f ca="1">IFERROR(__xludf.DUMMYFUNCTION("""COMPUTED_VALUE"""),"1er Trasiego")</f>
        <v>1er Trasiego</v>
      </c>
      <c r="P1967" s="2" t="str">
        <f ca="1">IFERROR(__xludf.DUMMYFUNCTION("""COMPUTED_VALUE"""),"Terminado")</f>
        <v>Terminado</v>
      </c>
      <c r="Q1967" s="2" t="b">
        <f ca="1">IFERROR(__xludf.DUMMYFUNCTION("""COMPUTED_VALUE"""),TRUE)</f>
        <v>1</v>
      </c>
      <c r="R1967" s="2" t="str">
        <f ca="1">IFERROR(__xludf.DUMMYFUNCTION("""COMPUTED_VALUE"""),"Terminado")</f>
        <v>Terminado</v>
      </c>
      <c r="S1967" s="2"/>
      <c r="T1967" s="2"/>
      <c r="U1967" s="2"/>
    </row>
    <row r="1968" spans="1:21" x14ac:dyDescent="0.25">
      <c r="A1968" s="2" t="str">
        <f ca="1">IFERROR(__xludf.DUMMYFUNCTION("""COMPUTED_VALUE"""),"7d90cffa")</f>
        <v>7d90cffa</v>
      </c>
      <c r="B1968" s="5">
        <f ca="1">IFERROR(__xludf.DUMMYFUNCTION("""COMPUTED_VALUE"""),46205.5324074074)</f>
        <v>46205.532407407401</v>
      </c>
      <c r="C1968" s="2" t="str">
        <f ca="1">IFERROR(__xludf.DUMMYFUNCTION("""COMPUTED_VALUE"""),"95e8ea4a")</f>
        <v>95e8ea4a</v>
      </c>
      <c r="D1968" s="2">
        <f ca="1">IFERROR(__xludf.DUMMYFUNCTION("""COMPUTED_VALUE"""),95)</f>
        <v>95</v>
      </c>
      <c r="E1968" s="2" t="str">
        <f ca="1">IFERROR(__xludf.DUMMYFUNCTION("""COMPUTED_VALUE"""),"Criolla Recarga")</f>
        <v>Criolla Recarga</v>
      </c>
      <c r="F1968" s="2">
        <f ca="1">IFERROR(__xludf.DUMMYFUNCTION("""COMPUTED_VALUE"""),2500)</f>
        <v>2500</v>
      </c>
      <c r="G1968" s="2">
        <f ca="1">IFERROR(__xludf.DUMMYFUNCTION("""COMPUTED_VALUE"""),11)</f>
        <v>11</v>
      </c>
      <c r="H1968" s="2" t="str">
        <f ca="1">IFERROR(__xludf.DUMMYFUNCTION("""COMPUTED_VALUE"""),"e5114519")</f>
        <v>e5114519</v>
      </c>
      <c r="I1968" s="2" t="str">
        <f ca="1">IFERROR(__xludf.DUMMYFUNCTION("""COMPUTED_VALUE"""),"Criolla Recarga Rect")</f>
        <v>Criolla Recarga Rect</v>
      </c>
      <c r="J1968" s="2">
        <f ca="1">IFERROR(__xludf.DUMMYFUNCTION("""COMPUTED_VALUE"""),33500)</f>
        <v>33500</v>
      </c>
      <c r="K1968" s="2">
        <f ca="1">IFERROR(__xludf.DUMMYFUNCTION("""COMPUTED_VALUE"""),36000)</f>
        <v>36000</v>
      </c>
      <c r="L1968" s="2" t="str">
        <f ca="1">IFERROR(__xludf.DUMMYFUNCTION("""COMPUTED_VALUE"""),"4cec1540")</f>
        <v>4cec1540</v>
      </c>
      <c r="M1968" s="2" t="str">
        <f ca="1">IFERROR(__xludf.DUMMYFUNCTION("""COMPUTED_VALUE"""),"Criolla Recarga Rect")</f>
        <v>Criolla Recarga Rect</v>
      </c>
      <c r="N1968" s="2"/>
      <c r="O1968" s="2" t="str">
        <f ca="1">IFERROR(__xludf.DUMMYFUNCTION("""COMPUTED_VALUE"""),"1er Trasiego")</f>
        <v>1er Trasiego</v>
      </c>
      <c r="P1968" s="2" t="str">
        <f ca="1">IFERROR(__xludf.DUMMYFUNCTION("""COMPUTED_VALUE"""),"Rectificado")</f>
        <v>Rectificado</v>
      </c>
      <c r="Q1968" s="2" t="b">
        <f ca="1">IFERROR(__xludf.DUMMYFUNCTION("""COMPUTED_VALUE"""),TRUE)</f>
        <v>1</v>
      </c>
      <c r="R1968" s="2" t="str">
        <f ca="1">IFERROR(__xludf.DUMMYFUNCTION("""COMPUTED_VALUE"""),"Rectificado")</f>
        <v>Rectificado</v>
      </c>
      <c r="S1968" s="2"/>
      <c r="T1968" s="2"/>
      <c r="U1968" s="2" t="str">
        <f ca="1">IFERROR(__xludf.DUMMYFUNCTION("""COMPUTED_VALUE"""),"1-")</f>
        <v>1-</v>
      </c>
    </row>
    <row r="1969" spans="1:21" x14ac:dyDescent="0.25">
      <c r="A1969" s="2" t="str">
        <f ca="1">IFERROR(__xludf.DUMMYFUNCTION("""COMPUTED_VALUE"""),"927cbe12")</f>
        <v>927cbe12</v>
      </c>
      <c r="B1969" s="5">
        <f ca="1">IFERROR(__xludf.DUMMYFUNCTION("""COMPUTED_VALUE"""),46206.4463194444)</f>
        <v>46206.446319444403</v>
      </c>
      <c r="C1969" s="2" t="str">
        <f ca="1">IFERROR(__xludf.DUMMYFUNCTION("""COMPUTED_VALUE"""),"1bb294a3")</f>
        <v>1bb294a3</v>
      </c>
      <c r="D1969" s="2">
        <f ca="1">IFERROR(__xludf.DUMMYFUNCTION("""COMPUTED_VALUE"""),25)</f>
        <v>25</v>
      </c>
      <c r="E1969" s="2" t="str">
        <f ca="1">IFERROR(__xludf.DUMMYFUNCTION("""COMPUTED_VALUE"""),"Criolla Recarga")</f>
        <v>Criolla Recarga</v>
      </c>
      <c r="F1969" s="2">
        <f ca="1">IFERROR(__xludf.DUMMYFUNCTION("""COMPUTED_VALUE"""),144300)</f>
        <v>144300</v>
      </c>
      <c r="G1969" s="2">
        <f ca="1">IFERROR(__xludf.DUMMYFUNCTION("""COMPUTED_VALUE"""),26)</f>
        <v>26</v>
      </c>
      <c r="H1969" s="2"/>
      <c r="I1969" s="2"/>
      <c r="J1969" s="2">
        <f ca="1">IFERROR(__xludf.DUMMYFUNCTION("""COMPUTED_VALUE"""),0)</f>
        <v>0</v>
      </c>
      <c r="K1969" s="2">
        <f ca="1">IFERROR(__xludf.DUMMYFUNCTION("""COMPUTED_VALUE"""),144300)</f>
        <v>144300</v>
      </c>
      <c r="L1969" s="2" t="str">
        <f ca="1">IFERROR(__xludf.DUMMYFUNCTION("""COMPUTED_VALUE"""),"2b387a44")</f>
        <v>2b387a44</v>
      </c>
      <c r="M1969" s="2" t="str">
        <f ca="1">IFERROR(__xludf.DUMMYFUNCTION("""COMPUTED_VALUE"""),"Criolla Recarga")</f>
        <v>Criolla Recarga</v>
      </c>
      <c r="N1969" s="2"/>
      <c r="O1969" s="2" t="str">
        <f ca="1">IFERROR(__xludf.DUMMYFUNCTION("""COMPUTED_VALUE"""),"1er Trasiego")</f>
        <v>1er Trasiego</v>
      </c>
      <c r="P1969" s="2"/>
      <c r="Q1969" s="2" t="b">
        <f ca="1">IFERROR(__xludf.DUMMYFUNCTION("""COMPUTED_VALUE"""),FALSE)</f>
        <v>0</v>
      </c>
      <c r="R1969" s="2" t="str">
        <f ca="1">IFERROR(__xludf.DUMMYFUNCTION("""COMPUTED_VALUE"""),"2do Trasiego")</f>
        <v>2do Trasiego</v>
      </c>
      <c r="S1969" s="2"/>
      <c r="T1969" s="2"/>
      <c r="U1969" s="2" t="str">
        <f ca="1">IFERROR(__xludf.DUMMYFUNCTION("""COMPUTED_VALUE"""),"1")</f>
        <v>1</v>
      </c>
    </row>
    <row r="1970" spans="1:21" x14ac:dyDescent="0.25">
      <c r="A1970" s="2" t="str">
        <f ca="1">IFERROR(__xludf.DUMMYFUNCTION("""COMPUTED_VALUE"""),"c893d657")</f>
        <v>c893d657</v>
      </c>
      <c r="B1970" s="5">
        <f ca="1">IFERROR(__xludf.DUMMYFUNCTION("""COMPUTED_VALUE"""),46206.4474768518)</f>
        <v>46206.447476851798</v>
      </c>
      <c r="C1970" s="2" t="str">
        <f ca="1">IFERROR(__xludf.DUMMYFUNCTION("""COMPUTED_VALUE"""),"1bb294a3")</f>
        <v>1bb294a3</v>
      </c>
      <c r="D1970" s="2">
        <f ca="1">IFERROR(__xludf.DUMMYFUNCTION("""COMPUTED_VALUE"""),25)</f>
        <v>25</v>
      </c>
      <c r="E1970" s="2" t="str">
        <f ca="1">IFERROR(__xludf.DUMMYFUNCTION("""COMPUTED_VALUE"""),"Criolla Recarga")</f>
        <v>Criolla Recarga</v>
      </c>
      <c r="F1970" s="2">
        <f ca="1">IFERROR(__xludf.DUMMYFUNCTION("""COMPUTED_VALUE"""),50000)</f>
        <v>50000</v>
      </c>
      <c r="G1970" s="2">
        <f ca="1">IFERROR(__xludf.DUMMYFUNCTION("""COMPUTED_VALUE"""),86)</f>
        <v>86</v>
      </c>
      <c r="H1970" s="2"/>
      <c r="I1970" s="2"/>
      <c r="J1970" s="2">
        <f ca="1">IFERROR(__xludf.DUMMYFUNCTION("""COMPUTED_VALUE"""),0)</f>
        <v>0</v>
      </c>
      <c r="K1970" s="2">
        <f ca="1">IFERROR(__xludf.DUMMYFUNCTION("""COMPUTED_VALUE"""),50000)</f>
        <v>50000</v>
      </c>
      <c r="L1970" s="2" t="str">
        <f ca="1">IFERROR(__xludf.DUMMYFUNCTION("""COMPUTED_VALUE"""),"2e8f360e")</f>
        <v>2e8f360e</v>
      </c>
      <c r="M1970" s="2" t="str">
        <f ca="1">IFERROR(__xludf.DUMMYFUNCTION("""COMPUTED_VALUE"""),"Criolla Recarga")</f>
        <v>Criolla Recarga</v>
      </c>
      <c r="N1970" s="2"/>
      <c r="O1970" s="2" t="str">
        <f ca="1">IFERROR(__xludf.DUMMYFUNCTION("""COMPUTED_VALUE"""),"1er Trasiego")</f>
        <v>1er Trasiego</v>
      </c>
      <c r="P1970" s="2"/>
      <c r="Q1970" s="2" t="b">
        <f ca="1">IFERROR(__xludf.DUMMYFUNCTION("""COMPUTED_VALUE"""),FALSE)</f>
        <v>0</v>
      </c>
      <c r="R1970" s="2" t="str">
        <f ca="1">IFERROR(__xludf.DUMMYFUNCTION("""COMPUTED_VALUE"""),"2do Trasiego")</f>
        <v>2do Trasiego</v>
      </c>
      <c r="S1970" s="2"/>
      <c r="T1970" s="2"/>
      <c r="U1970" s="2" t="str">
        <f ca="1">IFERROR(__xludf.DUMMYFUNCTION("""COMPUTED_VALUE"""),"1")</f>
        <v>1</v>
      </c>
    </row>
    <row r="1971" spans="1:21" x14ac:dyDescent="0.25">
      <c r="A1971" s="2" t="str">
        <f ca="1">IFERROR(__xludf.DUMMYFUNCTION("""COMPUTED_VALUE"""),"2c500dd7")</f>
        <v>2c500dd7</v>
      </c>
      <c r="B1971" s="5">
        <f ca="1">IFERROR(__xludf.DUMMYFUNCTION("""COMPUTED_VALUE"""),46206.4477546296)</f>
        <v>46206.447754629597</v>
      </c>
      <c r="C1971" s="2" t="str">
        <f ca="1">IFERROR(__xludf.DUMMYFUNCTION("""COMPUTED_VALUE"""),"4cec1540")</f>
        <v>4cec1540</v>
      </c>
      <c r="D1971" s="2">
        <f ca="1">IFERROR(__xludf.DUMMYFUNCTION("""COMPUTED_VALUE"""),11)</f>
        <v>11</v>
      </c>
      <c r="E1971" s="2" t="str">
        <f ca="1">IFERROR(__xludf.DUMMYFUNCTION("""COMPUTED_VALUE"""),"Criolla Recarga Rect")</f>
        <v>Criolla Recarga Rect</v>
      </c>
      <c r="F1971" s="2">
        <f ca="1">IFERROR(__xludf.DUMMYFUNCTION("""COMPUTED_VALUE"""),36000)</f>
        <v>36000</v>
      </c>
      <c r="G1971" s="2">
        <f ca="1">IFERROR(__xludf.DUMMYFUNCTION("""COMPUTED_VALUE"""),26)</f>
        <v>26</v>
      </c>
      <c r="H1971" s="2" t="str">
        <f ca="1">IFERROR(__xludf.DUMMYFUNCTION("""COMPUTED_VALUE"""),"2b387a44")</f>
        <v>2b387a44</v>
      </c>
      <c r="I1971" s="2" t="str">
        <f ca="1">IFERROR(__xludf.DUMMYFUNCTION("""COMPUTED_VALUE"""),"Criolla Recarga")</f>
        <v>Criolla Recarga</v>
      </c>
      <c r="J1971" s="2">
        <f ca="1">IFERROR(__xludf.DUMMYFUNCTION("""COMPUTED_VALUE"""),144300)</f>
        <v>144300</v>
      </c>
      <c r="K1971" s="2">
        <f ca="1">IFERROR(__xludf.DUMMYFUNCTION("""COMPUTED_VALUE"""),180300)</f>
        <v>180300</v>
      </c>
      <c r="L1971" s="2" t="str">
        <f ca="1">IFERROR(__xludf.DUMMYFUNCTION("""COMPUTED_VALUE"""),"49acb027")</f>
        <v>49acb027</v>
      </c>
      <c r="M1971" s="2" t="str">
        <f ca="1">IFERROR(__xludf.DUMMYFUNCTION("""COMPUTED_VALUE"""),"Criolla Recarga")</f>
        <v>Criolla Recarga</v>
      </c>
      <c r="N1971" s="2"/>
      <c r="O1971" s="2" t="str">
        <f ca="1">IFERROR(__xludf.DUMMYFUNCTION("""COMPUTED_VALUE"""),"Rectificado")</f>
        <v>Rectificado</v>
      </c>
      <c r="P1971" s="2" t="str">
        <f ca="1">IFERROR(__xludf.DUMMYFUNCTION("""COMPUTED_VALUE"""),"2do Trasiego")</f>
        <v>2do Trasiego</v>
      </c>
      <c r="Q1971" s="2" t="b">
        <f ca="1">IFERROR(__xludf.DUMMYFUNCTION("""COMPUTED_VALUE"""),TRUE)</f>
        <v>1</v>
      </c>
      <c r="R1971" s="2" t="str">
        <f ca="1">IFERROR(__xludf.DUMMYFUNCTION("""COMPUTED_VALUE"""),"2do Trasiego")</f>
        <v>2do Trasiego</v>
      </c>
      <c r="S1971" s="2"/>
      <c r="T1971" s="2"/>
      <c r="U1971" s="2" t="str">
        <f ca="1">IFERROR(__xludf.DUMMYFUNCTION("""COMPUTED_VALUE"""),"1")</f>
        <v>1</v>
      </c>
    </row>
    <row r="1972" spans="1:21" x14ac:dyDescent="0.25">
      <c r="A1972" s="2" t="str">
        <f ca="1">IFERROR(__xludf.DUMMYFUNCTION("""COMPUTED_VALUE"""),"e1dbd16e")</f>
        <v>e1dbd16e</v>
      </c>
      <c r="B1972" s="5">
        <f ca="1">IFERROR(__xludf.DUMMYFUNCTION("""COMPUTED_VALUE"""),46206.448125)</f>
        <v>46206.448125000003</v>
      </c>
      <c r="C1972" s="2" t="str">
        <f ca="1">IFERROR(__xludf.DUMMYFUNCTION("""COMPUTED_VALUE"""),"6b437cb5")</f>
        <v>6b437cb5</v>
      </c>
      <c r="D1972" s="2">
        <f ca="1">IFERROR(__xludf.DUMMYFUNCTION("""COMPUTED_VALUE"""),87)</f>
        <v>87</v>
      </c>
      <c r="E1972" s="2" t="str">
        <f ca="1">IFERROR(__xludf.DUMMYFUNCTION("""COMPUTED_VALUE"""),"Criolla Recarga")</f>
        <v>Criolla Recarga</v>
      </c>
      <c r="F1972" s="2">
        <f ca="1">IFERROR(__xludf.DUMMYFUNCTION("""COMPUTED_VALUE"""),27300)</f>
        <v>27300</v>
      </c>
      <c r="G1972" s="2">
        <f ca="1">IFERROR(__xludf.DUMMYFUNCTION("""COMPUTED_VALUE"""),26)</f>
        <v>26</v>
      </c>
      <c r="H1972" s="2" t="str">
        <f ca="1">IFERROR(__xludf.DUMMYFUNCTION("""COMPUTED_VALUE"""),"49acb027")</f>
        <v>49acb027</v>
      </c>
      <c r="I1972" s="2" t="str">
        <f ca="1">IFERROR(__xludf.DUMMYFUNCTION("""COMPUTED_VALUE"""),"Criolla Recarga")</f>
        <v>Criolla Recarga</v>
      </c>
      <c r="J1972" s="2">
        <f ca="1">IFERROR(__xludf.DUMMYFUNCTION("""COMPUTED_VALUE"""),180300)</f>
        <v>180300</v>
      </c>
      <c r="K1972" s="2">
        <f ca="1">IFERROR(__xludf.DUMMYFUNCTION("""COMPUTED_VALUE"""),207600)</f>
        <v>207600</v>
      </c>
      <c r="L1972" s="2" t="str">
        <f ca="1">IFERROR(__xludf.DUMMYFUNCTION("""COMPUTED_VALUE"""),"596d47ac")</f>
        <v>596d47ac</v>
      </c>
      <c r="M1972" s="2" t="str">
        <f ca="1">IFERROR(__xludf.DUMMYFUNCTION("""COMPUTED_VALUE"""),"Criolla Recarga")</f>
        <v>Criolla Recarga</v>
      </c>
      <c r="N1972" s="2"/>
      <c r="O1972" s="2" t="str">
        <f ca="1">IFERROR(__xludf.DUMMYFUNCTION("""COMPUTED_VALUE"""),"1er Trasiego")</f>
        <v>1er Trasiego</v>
      </c>
      <c r="P1972" s="2" t="str">
        <f ca="1">IFERROR(__xludf.DUMMYFUNCTION("""COMPUTED_VALUE"""),"2do Trasiego")</f>
        <v>2do Trasiego</v>
      </c>
      <c r="Q1972" s="2" t="b">
        <f ca="1">IFERROR(__xludf.DUMMYFUNCTION("""COMPUTED_VALUE"""),TRUE)</f>
        <v>1</v>
      </c>
      <c r="R1972" s="2" t="str">
        <f ca="1">IFERROR(__xludf.DUMMYFUNCTION("""COMPUTED_VALUE"""),"2do Trasiego")</f>
        <v>2do Trasiego</v>
      </c>
      <c r="S1972" s="2"/>
      <c r="T1972" s="2"/>
      <c r="U1972" s="2" t="str">
        <f ca="1">IFERROR(__xludf.DUMMYFUNCTION("""COMPUTED_VALUE"""),"1")</f>
        <v>1</v>
      </c>
    </row>
    <row r="1973" spans="1:21" x14ac:dyDescent="0.25">
      <c r="A1973" s="2" t="str">
        <f ca="1">IFERROR(__xludf.DUMMYFUNCTION("""COMPUTED_VALUE"""),"fab822ad")</f>
        <v>fab822ad</v>
      </c>
      <c r="B1973" s="5">
        <f ca="1">IFERROR(__xludf.DUMMYFUNCTION("""COMPUTED_VALUE"""),46206.5022800925)</f>
        <v>46206.5022800925</v>
      </c>
      <c r="C1973" s="2" t="str">
        <f ca="1">IFERROR(__xludf.DUMMYFUNCTION("""COMPUTED_VALUE"""),"2e8f360e")</f>
        <v>2e8f360e</v>
      </c>
      <c r="D1973" s="2">
        <f ca="1">IFERROR(__xludf.DUMMYFUNCTION("""COMPUTED_VALUE"""),86)</f>
        <v>86</v>
      </c>
      <c r="E1973" s="2" t="str">
        <f ca="1">IFERROR(__xludf.DUMMYFUNCTION("""COMPUTED_VALUE"""),"Criolla Recarga")</f>
        <v>Criolla Recarga</v>
      </c>
      <c r="F1973" s="2">
        <f ca="1">IFERROR(__xludf.DUMMYFUNCTION("""COMPUTED_VALUE"""),3000)</f>
        <v>3000</v>
      </c>
      <c r="G1973" s="2">
        <f ca="1">IFERROR(__xludf.DUMMYFUNCTION("""COMPUTED_VALUE"""),12)</f>
        <v>12</v>
      </c>
      <c r="H1973" s="2" t="str">
        <f ca="1">IFERROR(__xludf.DUMMYFUNCTION("""COMPUTED_VALUE"""),"c6a82ec9")</f>
        <v>c6a82ec9</v>
      </c>
      <c r="I1973" s="2" t="str">
        <f ca="1">IFERROR(__xludf.DUMMYFUNCTION("""COMPUTED_VALUE"""),"Claro Filtro")</f>
        <v>Claro Filtro</v>
      </c>
      <c r="J1973" s="2">
        <f ca="1">IFERROR(__xludf.DUMMYFUNCTION("""COMPUTED_VALUE"""),22000)</f>
        <v>22000</v>
      </c>
      <c r="K1973" s="2">
        <f ca="1">IFERROR(__xludf.DUMMYFUNCTION("""COMPUTED_VALUE"""),25000)</f>
        <v>25000</v>
      </c>
      <c r="L1973" s="2" t="str">
        <f ca="1">IFERROR(__xludf.DUMMYFUNCTION("""COMPUTED_VALUE"""),"5af0e048")</f>
        <v>5af0e048</v>
      </c>
      <c r="M1973" s="2" t="str">
        <f ca="1">IFERROR(__xludf.DUMMYFUNCTION("""COMPUTED_VALUE"""),"Claro Filtro")</f>
        <v>Claro Filtro</v>
      </c>
      <c r="N1973" s="2" t="str">
        <f ca="1">IFERROR(__xludf.DUMMYFUNCTION("""COMPUTED_VALUE"""),"Borra filtrada de la 25")</f>
        <v>Borra filtrada de la 25</v>
      </c>
      <c r="O1973" s="2" t="str">
        <f ca="1">IFERROR(__xludf.DUMMYFUNCTION("""COMPUTED_VALUE"""),"2do Trasiego")</f>
        <v>2do Trasiego</v>
      </c>
      <c r="P1973" s="2" t="str">
        <f ca="1">IFERROR(__xludf.DUMMYFUNCTION("""COMPUTED_VALUE"""),"2do Trasiego")</f>
        <v>2do Trasiego</v>
      </c>
      <c r="Q1973" s="2" t="b">
        <f ca="1">IFERROR(__xludf.DUMMYFUNCTION("""COMPUTED_VALUE"""),TRUE)</f>
        <v>1</v>
      </c>
      <c r="R1973" s="2" t="str">
        <f ca="1">IFERROR(__xludf.DUMMYFUNCTION("""COMPUTED_VALUE"""),"2do Trasiego")</f>
        <v>2do Trasiego</v>
      </c>
      <c r="S1973" s="2"/>
      <c r="T1973" s="2"/>
      <c r="U1973" s="2"/>
    </row>
    <row r="1974" spans="1:21" x14ac:dyDescent="0.25">
      <c r="A1974" s="2" t="str">
        <f ca="1">IFERROR(__xludf.DUMMYFUNCTION("""COMPUTED_VALUE"""),"3d3a880b")</f>
        <v>3d3a880b</v>
      </c>
      <c r="B1974" s="5">
        <f ca="1">IFERROR(__xludf.DUMMYFUNCTION("""COMPUTED_VALUE"""),46206.5134837963)</f>
        <v>46206.513483796298</v>
      </c>
      <c r="C1974" s="2" t="str">
        <f ca="1">IFERROR(__xludf.DUMMYFUNCTION("""COMPUTED_VALUE"""),"2e8f360e")</f>
        <v>2e8f360e</v>
      </c>
      <c r="D1974" s="2">
        <f ca="1">IFERROR(__xludf.DUMMYFUNCTION("""COMPUTED_VALUE"""),86)</f>
        <v>86</v>
      </c>
      <c r="E1974" s="2" t="str">
        <f ca="1">IFERROR(__xludf.DUMMYFUNCTION("""COMPUTED_VALUE"""),"Criolla Recarga")</f>
        <v>Criolla Recarga</v>
      </c>
      <c r="F1974" s="2">
        <f ca="1">IFERROR(__xludf.DUMMYFUNCTION("""COMPUTED_VALUE"""),10000)</f>
        <v>10000</v>
      </c>
      <c r="G1974" s="2">
        <f ca="1">IFERROR(__xludf.DUMMYFUNCTION("""COMPUTED_VALUE"""),87)</f>
        <v>87</v>
      </c>
      <c r="H1974" s="2" t="str">
        <f ca="1">IFERROR(__xludf.DUMMYFUNCTION("""COMPUTED_VALUE"""),"6b437cb5")</f>
        <v>6b437cb5</v>
      </c>
      <c r="I1974" s="2" t="str">
        <f ca="1">IFERROR(__xludf.DUMMYFUNCTION("""COMPUTED_VALUE"""),"Criolla Recarga")</f>
        <v>Criolla Recarga</v>
      </c>
      <c r="J1974" s="2">
        <f ca="1">IFERROR(__xludf.DUMMYFUNCTION("""COMPUTED_VALUE"""),66400)</f>
        <v>66400</v>
      </c>
      <c r="K1974" s="2">
        <f ca="1">IFERROR(__xludf.DUMMYFUNCTION("""COMPUTED_VALUE"""),76400)</f>
        <v>76400</v>
      </c>
      <c r="L1974" s="2" t="str">
        <f ca="1">IFERROR(__xludf.DUMMYFUNCTION("""COMPUTED_VALUE"""),"8cc2e1d7")</f>
        <v>8cc2e1d7</v>
      </c>
      <c r="M1974" s="2" t="str">
        <f ca="1">IFERROR(__xludf.DUMMYFUNCTION("""COMPUTED_VALUE"""),"Criolla Recarga")</f>
        <v>Criolla Recarga</v>
      </c>
      <c r="N1974" s="2"/>
      <c r="O1974" s="2" t="str">
        <f ca="1">IFERROR(__xludf.DUMMYFUNCTION("""COMPUTED_VALUE"""),"2do Trasiego")</f>
        <v>2do Trasiego</v>
      </c>
      <c r="P1974" s="2" t="str">
        <f ca="1">IFERROR(__xludf.DUMMYFUNCTION("""COMPUTED_VALUE"""),"1er Trasiego")</f>
        <v>1er Trasiego</v>
      </c>
      <c r="Q1974" s="2" t="b">
        <f ca="1">IFERROR(__xludf.DUMMYFUNCTION("""COMPUTED_VALUE"""),TRUE)</f>
        <v>1</v>
      </c>
      <c r="R1974" s="2" t="str">
        <f ca="1">IFERROR(__xludf.DUMMYFUNCTION("""COMPUTED_VALUE"""),"1er Trasiego")</f>
        <v>1er Trasiego</v>
      </c>
      <c r="S1974" s="2"/>
      <c r="T1974" s="2"/>
      <c r="U1974" s="2" t="str">
        <f ca="1">IFERROR(__xludf.DUMMYFUNCTION("""COMPUTED_VALUE"""),"1+")</f>
        <v>1+</v>
      </c>
    </row>
    <row r="1975" spans="1:21" x14ac:dyDescent="0.25">
      <c r="A1975" s="2" t="str">
        <f ca="1">IFERROR(__xludf.DUMMYFUNCTION("""COMPUTED_VALUE"""),"7328fd34")</f>
        <v>7328fd34</v>
      </c>
      <c r="B1975" s="5">
        <f ca="1">IFERROR(__xludf.DUMMYFUNCTION("""COMPUTED_VALUE"""),46210.7423148148)</f>
        <v>46210.742314814801</v>
      </c>
      <c r="C1975" s="2" t="str">
        <f ca="1">IFERROR(__xludf.DUMMYFUNCTION("""COMPUTED_VALUE"""),"95e8ea4a")</f>
        <v>95e8ea4a</v>
      </c>
      <c r="D1975" s="2">
        <f ca="1">IFERROR(__xludf.DUMMYFUNCTION("""COMPUTED_VALUE"""),95)</f>
        <v>95</v>
      </c>
      <c r="E1975" s="2" t="str">
        <f ca="1">IFERROR(__xludf.DUMMYFUNCTION("""COMPUTED_VALUE"""),"Criolla Recarga")</f>
        <v>Criolla Recarga</v>
      </c>
      <c r="F1975" s="2">
        <f ca="1">IFERROR(__xludf.DUMMYFUNCTION("""COMPUTED_VALUE"""),25900)</f>
        <v>25900</v>
      </c>
      <c r="G1975" s="2">
        <f ca="1">IFERROR(__xludf.DUMMYFUNCTION("""COMPUTED_VALUE"""),42)</f>
        <v>42</v>
      </c>
      <c r="H1975" s="2" t="str">
        <f ca="1">IFERROR(__xludf.DUMMYFUNCTION("""COMPUTED_VALUE"""),"2cefff23")</f>
        <v>2cefff23</v>
      </c>
      <c r="I1975" s="2" t="str">
        <f ca="1">IFERROR(__xludf.DUMMYFUNCTION("""COMPUTED_VALUE"""),"Criolla Recarga Rectificada")</f>
        <v>Criolla Recarga Rectificada</v>
      </c>
      <c r="J1975" s="2">
        <f ca="1">IFERROR(__xludf.DUMMYFUNCTION("""COMPUTED_VALUE"""),10000)</f>
        <v>10000</v>
      </c>
      <c r="K1975" s="2">
        <f ca="1">IFERROR(__xludf.DUMMYFUNCTION("""COMPUTED_VALUE"""),35900)</f>
        <v>35900</v>
      </c>
      <c r="L1975" s="2" t="str">
        <f ca="1">IFERROR(__xludf.DUMMYFUNCTION("""COMPUTED_VALUE"""),"0443a6c4")</f>
        <v>0443a6c4</v>
      </c>
      <c r="M1975" s="2" t="str">
        <f ca="1">IFERROR(__xludf.DUMMYFUNCTION("""COMPUTED_VALUE"""),"Criolla Recarga Rectificada")</f>
        <v>Criolla Recarga Rectificada</v>
      </c>
      <c r="N1975" s="2"/>
      <c r="O1975" s="2" t="str">
        <f ca="1">IFERROR(__xludf.DUMMYFUNCTION("""COMPUTED_VALUE"""),"1er Trasiego")</f>
        <v>1er Trasiego</v>
      </c>
      <c r="P1975" s="2" t="str">
        <f ca="1">IFERROR(__xludf.DUMMYFUNCTION("""COMPUTED_VALUE"""),"Rectificado")</f>
        <v>Rectificado</v>
      </c>
      <c r="Q1975" s="2" t="b">
        <f ca="1">IFERROR(__xludf.DUMMYFUNCTION("""COMPUTED_VALUE"""),TRUE)</f>
        <v>1</v>
      </c>
      <c r="R1975" s="2" t="str">
        <f ca="1">IFERROR(__xludf.DUMMYFUNCTION("""COMPUTED_VALUE"""),"Rectificado")</f>
        <v>Rectificado</v>
      </c>
      <c r="S1975" s="2"/>
      <c r="T1975" s="2"/>
      <c r="U1975" s="2" t="str">
        <f ca="1">IFERROR(__xludf.DUMMYFUNCTION("""COMPUTED_VALUE"""),"1-")</f>
        <v>1-</v>
      </c>
    </row>
    <row r="1976" spans="1:21" x14ac:dyDescent="0.25">
      <c r="A1976" s="2" t="str">
        <f ca="1">IFERROR(__xludf.DUMMYFUNCTION("""COMPUTED_VALUE"""),"b37452c0")</f>
        <v>b37452c0</v>
      </c>
      <c r="B1976" s="5">
        <f ca="1">IFERROR(__xludf.DUMMYFUNCTION("""COMPUTED_VALUE"""),46210.7437962962)</f>
        <v>46210.743796296199</v>
      </c>
      <c r="C1976" s="2" t="str">
        <f ca="1">IFERROR(__xludf.DUMMYFUNCTION("""COMPUTED_VALUE"""),"95e8ea4a")</f>
        <v>95e8ea4a</v>
      </c>
      <c r="D1976" s="2">
        <f ca="1">IFERROR(__xludf.DUMMYFUNCTION("""COMPUTED_VALUE"""),95)</f>
        <v>95</v>
      </c>
      <c r="E1976" s="2" t="str">
        <f ca="1">IFERROR(__xludf.DUMMYFUNCTION("""COMPUTED_VALUE"""),"Criolla Recarga")</f>
        <v>Criolla Recarga</v>
      </c>
      <c r="F1976" s="2">
        <f ca="1">IFERROR(__xludf.DUMMYFUNCTION("""COMPUTED_VALUE"""),2700)</f>
        <v>2700</v>
      </c>
      <c r="G1976" s="2">
        <f ca="1">IFERROR(__xludf.DUMMYFUNCTION("""COMPUTED_VALUE"""),12)</f>
        <v>12</v>
      </c>
      <c r="H1976" s="2" t="str">
        <f ca="1">IFERROR(__xludf.DUMMYFUNCTION("""COMPUTED_VALUE"""),"5af0e048")</f>
        <v>5af0e048</v>
      </c>
      <c r="I1976" s="2" t="str">
        <f ca="1">IFERROR(__xludf.DUMMYFUNCTION("""COMPUTED_VALUE"""),"Claro Filtro")</f>
        <v>Claro Filtro</v>
      </c>
      <c r="J1976" s="2">
        <f ca="1">IFERROR(__xludf.DUMMYFUNCTION("""COMPUTED_VALUE"""),25000)</f>
        <v>25000</v>
      </c>
      <c r="K1976" s="2">
        <f ca="1">IFERROR(__xludf.DUMMYFUNCTION("""COMPUTED_VALUE"""),27700)</f>
        <v>27700</v>
      </c>
      <c r="L1976" s="2" t="str">
        <f ca="1">IFERROR(__xludf.DUMMYFUNCTION("""COMPUTED_VALUE"""),"f81f4f3d")</f>
        <v>f81f4f3d</v>
      </c>
      <c r="M1976" s="2" t="str">
        <f ca="1">IFERROR(__xludf.DUMMYFUNCTION("""COMPUTED_VALUE"""),"Claro Filtro")</f>
        <v>Claro Filtro</v>
      </c>
      <c r="N1976" s="2"/>
      <c r="O1976" s="2" t="str">
        <f ca="1">IFERROR(__xludf.DUMMYFUNCTION("""COMPUTED_VALUE"""),"1er Trasiego")</f>
        <v>1er Trasiego</v>
      </c>
      <c r="P1976" s="2" t="str">
        <f ca="1">IFERROR(__xludf.DUMMYFUNCTION("""COMPUTED_VALUE"""),"2do Trasiego")</f>
        <v>2do Trasiego</v>
      </c>
      <c r="Q1976" s="2" t="b">
        <f ca="1">IFERROR(__xludf.DUMMYFUNCTION("""COMPUTED_VALUE"""),TRUE)</f>
        <v>1</v>
      </c>
      <c r="R1976" s="2" t="str">
        <f ca="1">IFERROR(__xludf.DUMMYFUNCTION("""COMPUTED_VALUE"""),"2do Trasiego")</f>
        <v>2do Trasiego</v>
      </c>
      <c r="S1976" s="2"/>
      <c r="T1976" s="2"/>
      <c r="U1976" s="2"/>
    </row>
    <row r="1977" spans="1:21" x14ac:dyDescent="0.25">
      <c r="A1977" s="2" t="str">
        <f ca="1">IFERROR(__xludf.DUMMYFUNCTION("""COMPUTED_VALUE"""),"e5f8ecba")</f>
        <v>e5f8ecba</v>
      </c>
      <c r="B1977" s="5">
        <f ca="1">IFERROR(__xludf.DUMMYFUNCTION("""COMPUTED_VALUE"""),46210.7456828703)</f>
        <v>46210.7456828703</v>
      </c>
      <c r="C1977" s="2" t="str">
        <f ca="1">IFERROR(__xludf.DUMMYFUNCTION("""COMPUTED_VALUE"""),"0443a6c4")</f>
        <v>0443a6c4</v>
      </c>
      <c r="D1977" s="2">
        <f ca="1">IFERROR(__xludf.DUMMYFUNCTION("""COMPUTED_VALUE"""),42)</f>
        <v>42</v>
      </c>
      <c r="E1977" s="2" t="str">
        <f ca="1">IFERROR(__xludf.DUMMYFUNCTION("""COMPUTED_VALUE"""),"Criolla Recarga Rectificada")</f>
        <v>Criolla Recarga Rectificada</v>
      </c>
      <c r="F1977" s="2">
        <f ca="1">IFERROR(__xludf.DUMMYFUNCTION("""COMPUTED_VALUE"""),6000)</f>
        <v>6000</v>
      </c>
      <c r="G1977" s="2">
        <f ca="1">IFERROR(__xludf.DUMMYFUNCTION("""COMPUTED_VALUE"""),500)</f>
        <v>500</v>
      </c>
      <c r="H1977" s="2" t="str">
        <f ca="1">IFERROR(__xludf.DUMMYFUNCTION("""COMPUTED_VALUE"""),"9136654f")</f>
        <v>9136654f</v>
      </c>
      <c r="I1977" s="2" t="str">
        <f ca="1">IFERROR(__xludf.DUMMYFUNCTION("""COMPUTED_VALUE"""),"Ajuste Cosecha 2026")</f>
        <v>Ajuste Cosecha 2026</v>
      </c>
      <c r="J1977" s="2">
        <f ca="1">IFERROR(__xludf.DUMMYFUNCTION("""COMPUTED_VALUE"""),54900)</f>
        <v>54900</v>
      </c>
      <c r="K1977" s="2">
        <f ca="1">IFERROR(__xludf.DUMMYFUNCTION("""COMPUTED_VALUE"""),60900)</f>
        <v>60900</v>
      </c>
      <c r="L1977" s="2" t="str">
        <f ca="1">IFERROR(__xludf.DUMMYFUNCTION("""COMPUTED_VALUE"""),"812cc95b")</f>
        <v>812cc95b</v>
      </c>
      <c r="M1977" s="2" t="str">
        <f ca="1">IFERROR(__xludf.DUMMYFUNCTION("""COMPUTED_VALUE"""),"Ajuste Cosecha 2026")</f>
        <v>Ajuste Cosecha 2026</v>
      </c>
      <c r="N1977" s="2" t="str">
        <f ca="1">IFERROR(__xludf.DUMMYFUNCTION("""COMPUTED_VALUE"""),"Rellenos de volumen")</f>
        <v>Rellenos de volumen</v>
      </c>
      <c r="O1977" s="2" t="str">
        <f ca="1">IFERROR(__xludf.DUMMYFUNCTION("""COMPUTED_VALUE"""),"Rectificado")</f>
        <v>Rectificado</v>
      </c>
      <c r="P1977" s="2" t="str">
        <f ca="1">IFERROR(__xludf.DUMMYFUNCTION("""COMPUTED_VALUE"""),"Terminado")</f>
        <v>Terminado</v>
      </c>
      <c r="Q1977" s="2" t="b">
        <f ca="1">IFERROR(__xludf.DUMMYFUNCTION("""COMPUTED_VALUE"""),TRUE)</f>
        <v>1</v>
      </c>
      <c r="R1977" s="2" t="str">
        <f ca="1">IFERROR(__xludf.DUMMYFUNCTION("""COMPUTED_VALUE"""),"Terminado")</f>
        <v>Terminado</v>
      </c>
      <c r="S1977" s="2"/>
      <c r="T1977" s="2"/>
      <c r="U1977" s="2"/>
    </row>
    <row r="1978" spans="1:21" x14ac:dyDescent="0.25">
      <c r="A1978" s="2" t="str">
        <f ca="1">IFERROR(__xludf.DUMMYFUNCTION("""COMPUTED_VALUE"""),"1bdcf1a2")</f>
        <v>1bdcf1a2</v>
      </c>
      <c r="B1978" s="5">
        <f ca="1">IFERROR(__xludf.DUMMYFUNCTION("""COMPUTED_VALUE"""),46210.7466782407)</f>
        <v>46210.746678240699</v>
      </c>
      <c r="C1978" s="2" t="str">
        <f ca="1">IFERROR(__xludf.DUMMYFUNCTION("""COMPUTED_VALUE"""),"2e8f360e")</f>
        <v>2e8f360e</v>
      </c>
      <c r="D1978" s="2">
        <f ca="1">IFERROR(__xludf.DUMMYFUNCTION("""COMPUTED_VALUE"""),86)</f>
        <v>86</v>
      </c>
      <c r="E1978" s="2" t="str">
        <f ca="1">IFERROR(__xludf.DUMMYFUNCTION("""COMPUTED_VALUE"""),"Criolla Recarga")</f>
        <v>Criolla Recarga</v>
      </c>
      <c r="F1978" s="2">
        <f ca="1">IFERROR(__xludf.DUMMYFUNCTION("""COMPUTED_VALUE"""),6000)</f>
        <v>6000</v>
      </c>
      <c r="G1978" s="2">
        <f ca="1">IFERROR(__xludf.DUMMYFUNCTION("""COMPUTED_VALUE"""),42)</f>
        <v>42</v>
      </c>
      <c r="H1978" s="2" t="str">
        <f ca="1">IFERROR(__xludf.DUMMYFUNCTION("""COMPUTED_VALUE"""),"0443a6c4")</f>
        <v>0443a6c4</v>
      </c>
      <c r="I1978" s="2" t="str">
        <f ca="1">IFERROR(__xludf.DUMMYFUNCTION("""COMPUTED_VALUE"""),"Criolla Recarga Rectificada")</f>
        <v>Criolla Recarga Rectificada</v>
      </c>
      <c r="J1978" s="2">
        <f ca="1">IFERROR(__xludf.DUMMYFUNCTION("""COMPUTED_VALUE"""),29900)</f>
        <v>29900</v>
      </c>
      <c r="K1978" s="2">
        <f ca="1">IFERROR(__xludf.DUMMYFUNCTION("""COMPUTED_VALUE"""),35900)</f>
        <v>35900</v>
      </c>
      <c r="L1978" s="2" t="str">
        <f ca="1">IFERROR(__xludf.DUMMYFUNCTION("""COMPUTED_VALUE"""),"ee661e0f")</f>
        <v>ee661e0f</v>
      </c>
      <c r="M1978" s="2" t="str">
        <f ca="1">IFERROR(__xludf.DUMMYFUNCTION("""COMPUTED_VALUE"""),"Criolla Recarga Rectificada")</f>
        <v>Criolla Recarga Rectificada</v>
      </c>
      <c r="N1978" s="2"/>
      <c r="O1978" s="2" t="str">
        <f ca="1">IFERROR(__xludf.DUMMYFUNCTION("""COMPUTED_VALUE"""),"2do Trasiego")</f>
        <v>2do Trasiego</v>
      </c>
      <c r="P1978" s="2" t="str">
        <f ca="1">IFERROR(__xludf.DUMMYFUNCTION("""COMPUTED_VALUE"""),"Rectificado")</f>
        <v>Rectificado</v>
      </c>
      <c r="Q1978" s="2" t="b">
        <f ca="1">IFERROR(__xludf.DUMMYFUNCTION("""COMPUTED_VALUE"""),TRUE)</f>
        <v>1</v>
      </c>
      <c r="R1978" s="2" t="str">
        <f ca="1">IFERROR(__xludf.DUMMYFUNCTION("""COMPUTED_VALUE"""),"Rectificado")</f>
        <v>Rectificado</v>
      </c>
      <c r="S1978" s="2"/>
      <c r="T1978" s="2"/>
      <c r="U1978" s="2" t="str">
        <f ca="1">IFERROR(__xludf.DUMMYFUNCTION("""COMPUTED_VALUE"""),"1-")</f>
        <v>1-</v>
      </c>
    </row>
    <row r="1979" spans="1:21" x14ac:dyDescent="0.25">
      <c r="A1979" s="2" t="str">
        <f ca="1">IFERROR(__xludf.DUMMYFUNCTION("""COMPUTED_VALUE"""),"2f3cac01")</f>
        <v>2f3cac01</v>
      </c>
      <c r="B1979" s="5">
        <f ca="1">IFERROR(__xludf.DUMMYFUNCTION("""COMPUTED_VALUE"""),46210.7502430555)</f>
        <v>46210.750243055503</v>
      </c>
      <c r="C1979" s="2" t="str">
        <f ca="1">IFERROR(__xludf.DUMMYFUNCTION("""COMPUTED_VALUE"""),"2e8f360e")</f>
        <v>2e8f360e</v>
      </c>
      <c r="D1979" s="2">
        <f ca="1">IFERROR(__xludf.DUMMYFUNCTION("""COMPUTED_VALUE"""),86)</f>
        <v>86</v>
      </c>
      <c r="E1979" s="2" t="str">
        <f ca="1">IFERROR(__xludf.DUMMYFUNCTION("""COMPUTED_VALUE"""),"Criolla Recarga")</f>
        <v>Criolla Recarga</v>
      </c>
      <c r="F1979" s="2">
        <f ca="1">IFERROR(__xludf.DUMMYFUNCTION("""COMPUTED_VALUE"""),10000)</f>
        <v>10000</v>
      </c>
      <c r="G1979" s="2">
        <f ca="1">IFERROR(__xludf.DUMMYFUNCTION("""COMPUTED_VALUE"""),11)</f>
        <v>11</v>
      </c>
      <c r="H1979" s="2"/>
      <c r="I1979" s="2"/>
      <c r="J1979" s="2">
        <f ca="1">IFERROR(__xludf.DUMMYFUNCTION("""COMPUTED_VALUE"""),0)</f>
        <v>0</v>
      </c>
      <c r="K1979" s="2">
        <f ca="1">IFERROR(__xludf.DUMMYFUNCTION("""COMPUTED_VALUE"""),10000)</f>
        <v>10000</v>
      </c>
      <c r="L1979" s="2" t="str">
        <f ca="1">IFERROR(__xludf.DUMMYFUNCTION("""COMPUTED_VALUE"""),"e7d1a47c")</f>
        <v>e7d1a47c</v>
      </c>
      <c r="M1979" s="2" t="str">
        <f ca="1">IFERROR(__xludf.DUMMYFUNCTION("""COMPUTED_VALUE"""),"Criolla Recarga")</f>
        <v>Criolla Recarga</v>
      </c>
      <c r="N1979" s="2"/>
      <c r="O1979" s="2" t="str">
        <f ca="1">IFERROR(__xludf.DUMMYFUNCTION("""COMPUTED_VALUE"""),"2do Trasiego")</f>
        <v>2do Trasiego</v>
      </c>
      <c r="P1979" s="2"/>
      <c r="Q1979" s="2" t="b">
        <f ca="1">IFERROR(__xludf.DUMMYFUNCTION("""COMPUTED_VALUE"""),FALSE)</f>
        <v>0</v>
      </c>
      <c r="R1979" s="2" t="str">
        <f ca="1">IFERROR(__xludf.DUMMYFUNCTION("""COMPUTED_VALUE"""),"Rectificado")</f>
        <v>Rectificado</v>
      </c>
      <c r="S1979" s="2"/>
      <c r="T1979" s="2"/>
      <c r="U1979" s="2" t="str">
        <f ca="1">IFERROR(__xludf.DUMMYFUNCTION("""COMPUTED_VALUE"""),"1")</f>
        <v>1</v>
      </c>
    </row>
    <row r="1980" spans="1:21" x14ac:dyDescent="0.25">
      <c r="A1980" s="2" t="str">
        <f ca="1">IFERROR(__xludf.DUMMYFUNCTION("""COMPUTED_VALUE"""),"441c328a")</f>
        <v>441c328a</v>
      </c>
      <c r="B1980" s="5">
        <f ca="1">IFERROR(__xludf.DUMMYFUNCTION("""COMPUTED_VALUE"""),46210.7514004629)</f>
        <v>46210.751400462897</v>
      </c>
      <c r="C1980" s="2" t="str">
        <f ca="1">IFERROR(__xludf.DUMMYFUNCTION("""COMPUTED_VALUE"""),"5ea05cac")</f>
        <v>5ea05cac</v>
      </c>
      <c r="D1980" s="2">
        <f ca="1">IFERROR(__xludf.DUMMYFUNCTION("""COMPUTED_VALUE"""),74)</f>
        <v>74</v>
      </c>
      <c r="E1980" s="2" t="str">
        <f ca="1">IFERROR(__xludf.DUMMYFUNCTION("""COMPUTED_VALUE"""),"Borra")</f>
        <v>Borra</v>
      </c>
      <c r="F1980" s="2">
        <f ca="1">IFERROR(__xludf.DUMMYFUNCTION("""COMPUTED_VALUE"""),7600)</f>
        <v>7600</v>
      </c>
      <c r="G1980" s="2">
        <f ca="1">IFERROR(__xludf.DUMMYFUNCTION("""COMPUTED_VALUE"""),12)</f>
        <v>12</v>
      </c>
      <c r="H1980" s="2" t="str">
        <f ca="1">IFERROR(__xludf.DUMMYFUNCTION("""COMPUTED_VALUE"""),"f81f4f3d")</f>
        <v>f81f4f3d</v>
      </c>
      <c r="I1980" s="2" t="str">
        <f ca="1">IFERROR(__xludf.DUMMYFUNCTION("""COMPUTED_VALUE"""),"Claro Filtro")</f>
        <v>Claro Filtro</v>
      </c>
      <c r="J1980" s="2">
        <f ca="1">IFERROR(__xludf.DUMMYFUNCTION("""COMPUTED_VALUE"""),27700)</f>
        <v>27700</v>
      </c>
      <c r="K1980" s="2">
        <f ca="1">IFERROR(__xludf.DUMMYFUNCTION("""COMPUTED_VALUE"""),35300)</f>
        <v>35300</v>
      </c>
      <c r="L1980" s="2" t="str">
        <f ca="1">IFERROR(__xludf.DUMMYFUNCTION("""COMPUTED_VALUE"""),"2cb3788d")</f>
        <v>2cb3788d</v>
      </c>
      <c r="M1980" s="2" t="str">
        <f ca="1">IFERROR(__xludf.DUMMYFUNCTION("""COMPUTED_VALUE"""),"Claro Filtro")</f>
        <v>Claro Filtro</v>
      </c>
      <c r="N1980" s="2"/>
      <c r="O1980" s="2" t="str">
        <f ca="1">IFERROR(__xludf.DUMMYFUNCTION("""COMPUTED_VALUE"""),"1er Trasiego")</f>
        <v>1er Trasiego</v>
      </c>
      <c r="P1980" s="2" t="str">
        <f ca="1">IFERROR(__xludf.DUMMYFUNCTION("""COMPUTED_VALUE"""),"2do Trasiego")</f>
        <v>2do Trasiego</v>
      </c>
      <c r="Q1980" s="2" t="b">
        <f ca="1">IFERROR(__xludf.DUMMYFUNCTION("""COMPUTED_VALUE"""),TRUE)</f>
        <v>1</v>
      </c>
      <c r="R1980" s="2" t="str">
        <f ca="1">IFERROR(__xludf.DUMMYFUNCTION("""COMPUTED_VALUE"""),"2do Trasiego")</f>
        <v>2do Trasiego</v>
      </c>
      <c r="S1980" s="2"/>
      <c r="T1980" s="2"/>
      <c r="U1980" s="2"/>
    </row>
    <row r="1981" spans="1:21" x14ac:dyDescent="0.25">
      <c r="A1981" s="2" t="str">
        <f ca="1">IFERROR(__xludf.DUMMYFUNCTION("""COMPUTED_VALUE"""),"dec0a161")</f>
        <v>dec0a161</v>
      </c>
      <c r="B1981" s="5">
        <f ca="1">IFERROR(__xludf.DUMMYFUNCTION("""COMPUTED_VALUE"""),46210.754849537)</f>
        <v>46210.754849536999</v>
      </c>
      <c r="C1981" s="2" t="str">
        <f ca="1">IFERROR(__xludf.DUMMYFUNCTION("""COMPUTED_VALUE"""),"759ddcbc")</f>
        <v>759ddcbc</v>
      </c>
      <c r="D1981" s="2">
        <f ca="1">IFERROR(__xludf.DUMMYFUNCTION("""COMPUTED_VALUE"""),16)</f>
        <v>16</v>
      </c>
      <c r="E1981" s="2" t="str">
        <f ca="1">IFERROR(__xludf.DUMMYFUNCTION("""COMPUTED_VALUE"""),"Criolla Recarga")</f>
        <v>Criolla Recarga</v>
      </c>
      <c r="F1981" s="2">
        <f ca="1">IFERROR(__xludf.DUMMYFUNCTION("""COMPUTED_VALUE"""),19500)</f>
        <v>19500</v>
      </c>
      <c r="G1981" s="2">
        <f ca="1">IFERROR(__xludf.DUMMYFUNCTION("""COMPUTED_VALUE"""),86)</f>
        <v>86</v>
      </c>
      <c r="H1981" s="2" t="str">
        <f ca="1">IFERROR(__xludf.DUMMYFUNCTION("""COMPUTED_VALUE"""),"2e8f360e")</f>
        <v>2e8f360e</v>
      </c>
      <c r="I1981" s="2" t="str">
        <f ca="1">IFERROR(__xludf.DUMMYFUNCTION("""COMPUTED_VALUE"""),"Criolla Recarga")</f>
        <v>Criolla Recarga</v>
      </c>
      <c r="J1981" s="2">
        <f ca="1">IFERROR(__xludf.DUMMYFUNCTION("""COMPUTED_VALUE"""),21000)</f>
        <v>21000</v>
      </c>
      <c r="K1981" s="2">
        <f ca="1">IFERROR(__xludf.DUMMYFUNCTION("""COMPUTED_VALUE"""),40500)</f>
        <v>40500</v>
      </c>
      <c r="L1981" s="2" t="str">
        <f ca="1">IFERROR(__xludf.DUMMYFUNCTION("""COMPUTED_VALUE"""),"1b1a8470")</f>
        <v>1b1a8470</v>
      </c>
      <c r="M1981" s="2" t="str">
        <f ca="1">IFERROR(__xludf.DUMMYFUNCTION("""COMPUTED_VALUE"""),"Criolla Recarga")</f>
        <v>Criolla Recarga</v>
      </c>
      <c r="N1981" s="2"/>
      <c r="O1981" s="2" t="str">
        <f ca="1">IFERROR(__xludf.DUMMYFUNCTION("""COMPUTED_VALUE"""),"2do Trasiego")</f>
        <v>2do Trasiego</v>
      </c>
      <c r="P1981" s="2" t="str">
        <f ca="1">IFERROR(__xludf.DUMMYFUNCTION("""COMPUTED_VALUE"""),"2do Trasiego")</f>
        <v>2do Trasiego</v>
      </c>
      <c r="Q1981" s="2" t="b">
        <f ca="1">IFERROR(__xludf.DUMMYFUNCTION("""COMPUTED_VALUE"""),TRUE)</f>
        <v>1</v>
      </c>
      <c r="R1981" s="2" t="str">
        <f ca="1">IFERROR(__xludf.DUMMYFUNCTION("""COMPUTED_VALUE"""),"2do Trasiego")</f>
        <v>2do Trasiego</v>
      </c>
      <c r="S1981" s="2"/>
      <c r="T1981" s="2"/>
      <c r="U1981" s="2" t="str">
        <f ca="1">IFERROR(__xludf.DUMMYFUNCTION("""COMPUTED_VALUE"""),"1")</f>
        <v>1</v>
      </c>
    </row>
    <row r="1982" spans="1:21" x14ac:dyDescent="0.25">
      <c r="A1982" s="2" t="str">
        <f ca="1">IFERROR(__xludf.DUMMYFUNCTION("""COMPUTED_VALUE"""),"d4e9f974")</f>
        <v>d4e9f974</v>
      </c>
      <c r="B1982" s="5">
        <f ca="1">IFERROR(__xludf.DUMMYFUNCTION("""COMPUTED_VALUE"""),46210.7835532407)</f>
        <v>46210.783553240697</v>
      </c>
      <c r="C1982" s="2" t="str">
        <f ca="1">IFERROR(__xludf.DUMMYFUNCTION("""COMPUTED_VALUE"""),"8cc2e1d7")</f>
        <v>8cc2e1d7</v>
      </c>
      <c r="D1982" s="2">
        <f ca="1">IFERROR(__xludf.DUMMYFUNCTION("""COMPUTED_VALUE"""),87)</f>
        <v>87</v>
      </c>
      <c r="E1982" s="2" t="str">
        <f ca="1">IFERROR(__xludf.DUMMYFUNCTION("""COMPUTED_VALUE"""),"Criolla Recarga")</f>
        <v>Criolla Recarga</v>
      </c>
      <c r="F1982" s="2">
        <f ca="1">IFERROR(__xludf.DUMMYFUNCTION("""COMPUTED_VALUE"""),76400)</f>
        <v>76400</v>
      </c>
      <c r="G1982" s="2">
        <f ca="1">IFERROR(__xludf.DUMMYFUNCTION("""COMPUTED_VALUE"""),95)</f>
        <v>95</v>
      </c>
      <c r="H1982" s="2"/>
      <c r="I1982" s="2"/>
      <c r="J1982" s="2">
        <f ca="1">IFERROR(__xludf.DUMMYFUNCTION("""COMPUTED_VALUE"""),0)</f>
        <v>0</v>
      </c>
      <c r="K1982" s="2">
        <f ca="1">IFERROR(__xludf.DUMMYFUNCTION("""COMPUTED_VALUE"""),76400)</f>
        <v>76400</v>
      </c>
      <c r="L1982" s="2" t="str">
        <f ca="1">IFERROR(__xludf.DUMMYFUNCTION("""COMPUTED_VALUE"""),"1c00cba3")</f>
        <v>1c00cba3</v>
      </c>
      <c r="M1982" s="2" t="str">
        <f ca="1">IFERROR(__xludf.DUMMYFUNCTION("""COMPUTED_VALUE"""),"Criolla Recarga")</f>
        <v>Criolla Recarga</v>
      </c>
      <c r="N1982" s="2"/>
      <c r="O1982" s="2" t="str">
        <f ca="1">IFERROR(__xludf.DUMMYFUNCTION("""COMPUTED_VALUE"""),"1er Trasiego")</f>
        <v>1er Trasiego</v>
      </c>
      <c r="P1982" s="2"/>
      <c r="Q1982" s="2" t="b">
        <f ca="1">IFERROR(__xludf.DUMMYFUNCTION("""COMPUTED_VALUE"""),FALSE)</f>
        <v>0</v>
      </c>
      <c r="R1982" s="2" t="str">
        <f ca="1">IFERROR(__xludf.DUMMYFUNCTION("""COMPUTED_VALUE"""),"2do Trasiego")</f>
        <v>2do Trasiego</v>
      </c>
      <c r="S1982" s="2"/>
      <c r="T1982" s="2"/>
      <c r="U1982" s="2" t="str">
        <f ca="1">IFERROR(__xludf.DUMMYFUNCTION("""COMPUTED_VALUE"""),"1+")</f>
        <v>1+</v>
      </c>
    </row>
    <row r="1983" spans="1:2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</row>
    <row r="1984" spans="1:2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</row>
    <row r="1985" spans="1:2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</row>
    <row r="1986" spans="1:2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</row>
    <row r="1987" spans="1:2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</row>
    <row r="1988" spans="1:2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</row>
    <row r="1989" spans="1:2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</row>
    <row r="1990" spans="1:2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</row>
    <row r="1991" spans="1:2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</row>
    <row r="1992" spans="1:2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</row>
    <row r="1993" spans="1:2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</row>
    <row r="1994" spans="1:2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</row>
    <row r="1995" spans="1:2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</row>
    <row r="1996" spans="1:2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</row>
    <row r="1997" spans="1:2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</row>
    <row r="1998" spans="1:2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</row>
    <row r="1999" spans="1:2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</row>
    <row r="2000" spans="1:2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</row>
    <row r="2001" spans="1:2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</row>
    <row r="2002" spans="1:2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</row>
    <row r="2003" spans="1:2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</row>
    <row r="2004" spans="1:2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</row>
    <row r="2005" spans="1:2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</row>
    <row r="2006" spans="1:2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</row>
    <row r="2007" spans="1:2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</row>
    <row r="2008" spans="1:2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</row>
    <row r="2009" spans="1:2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</row>
    <row r="2010" spans="1:2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</row>
    <row r="2011" spans="1:2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</row>
    <row r="2012" spans="1:2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</row>
    <row r="2013" spans="1:2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</row>
    <row r="2014" spans="1:2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</row>
    <row r="2015" spans="1:2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</row>
    <row r="2016" spans="1:2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</row>
    <row r="2017" spans="1:2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</row>
    <row r="2018" spans="1:2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</row>
    <row r="2019" spans="1:2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</row>
    <row r="2020" spans="1:2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</row>
    <row r="2021" spans="1:2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</row>
    <row r="2022" spans="1:2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</row>
    <row r="2023" spans="1:2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</row>
    <row r="2024" spans="1:2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</row>
    <row r="2025" spans="1:2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</row>
    <row r="2026" spans="1:2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</row>
    <row r="2027" spans="1:2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</row>
    <row r="2028" spans="1:2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</row>
    <row r="2029" spans="1:2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</row>
    <row r="2030" spans="1:2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</row>
    <row r="2031" spans="1:2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</row>
    <row r="2032" spans="1:2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</row>
    <row r="2033" spans="1:2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</row>
    <row r="2034" spans="1:2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</row>
    <row r="2035" spans="1:2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</row>
    <row r="2036" spans="1:2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</row>
    <row r="2037" spans="1:2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</row>
    <row r="2038" spans="1:2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</row>
    <row r="2039" spans="1:2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</row>
    <row r="2040" spans="1:2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</row>
    <row r="2041" spans="1:2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</row>
    <row r="2042" spans="1:2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</row>
    <row r="2043" spans="1:2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</row>
    <row r="2044" spans="1:2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</row>
    <row r="2045" spans="1:2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</row>
    <row r="2046" spans="1:2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</row>
    <row r="2047" spans="1:2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</row>
    <row r="2048" spans="1:2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</row>
    <row r="2049" spans="1:2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</row>
    <row r="2050" spans="1:2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</row>
    <row r="2051" spans="1:2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</row>
    <row r="2052" spans="1:2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</row>
    <row r="2053" spans="1:2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</row>
    <row r="2054" spans="1:2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</row>
    <row r="2055" spans="1:2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</row>
    <row r="2056" spans="1:2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</row>
    <row r="2057" spans="1:2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</row>
    <row r="2058" spans="1:2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</row>
    <row r="2059" spans="1:2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</row>
    <row r="2060" spans="1:2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</row>
    <row r="2061" spans="1:2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</row>
    <row r="2062" spans="1:2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</row>
    <row r="2063" spans="1:2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</row>
    <row r="2064" spans="1:2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</row>
    <row r="2065" spans="1:2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</row>
    <row r="2066" spans="1:2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</row>
    <row r="2067" spans="1:2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</row>
    <row r="2068" spans="1:2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</row>
    <row r="2069" spans="1:2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</row>
    <row r="2070" spans="1:2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</row>
    <row r="2071" spans="1:2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</row>
    <row r="2072" spans="1:2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</row>
    <row r="2073" spans="1:2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</row>
    <row r="2074" spans="1:2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</row>
    <row r="2075" spans="1:2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</row>
    <row r="2076" spans="1:2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</row>
    <row r="2077" spans="1:2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</row>
    <row r="2078" spans="1:2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</row>
    <row r="2079" spans="1:2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</row>
    <row r="2080" spans="1:2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</row>
    <row r="2081" spans="1:2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</row>
    <row r="2082" spans="1:2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</row>
    <row r="2083" spans="1:2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</row>
    <row r="2084" spans="1:2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</row>
    <row r="2085" spans="1:2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</row>
    <row r="2086" spans="1:2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</row>
    <row r="2087" spans="1:2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</row>
    <row r="2088" spans="1:2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</row>
    <row r="2089" spans="1:2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</row>
    <row r="2090" spans="1:2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</row>
    <row r="2091" spans="1:2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</row>
    <row r="2092" spans="1:2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</row>
    <row r="2093" spans="1:2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</row>
    <row r="2094" spans="1:2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</row>
    <row r="2095" spans="1:2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</row>
    <row r="2096" spans="1:2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</row>
    <row r="2097" spans="1:2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</row>
    <row r="2098" spans="1:2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</row>
    <row r="2099" spans="1:2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</row>
    <row r="2100" spans="1:2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</row>
    <row r="2101" spans="1:2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</row>
    <row r="2102" spans="1:2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</row>
    <row r="2103" spans="1:2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</row>
    <row r="2104" spans="1:2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</row>
    <row r="2105" spans="1:2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</row>
    <row r="2106" spans="1:2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</row>
    <row r="2107" spans="1:2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</row>
    <row r="2108" spans="1:2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</row>
    <row r="2109" spans="1:2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</row>
    <row r="2110" spans="1:2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</row>
    <row r="2111" spans="1:2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</row>
    <row r="2112" spans="1:2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</row>
    <row r="2113" spans="1:2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</row>
    <row r="2114" spans="1:2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</row>
    <row r="2115" spans="1:2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</row>
    <row r="2116" spans="1:2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</row>
    <row r="2117" spans="1:2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</row>
    <row r="2118" spans="1:2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</row>
    <row r="2119" spans="1:2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</row>
    <row r="2120" spans="1:2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</row>
    <row r="2121" spans="1:2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</row>
    <row r="2122" spans="1:2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</row>
    <row r="2123" spans="1:2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</row>
    <row r="2124" spans="1:2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</row>
    <row r="2125" spans="1:2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</row>
    <row r="2126" spans="1:2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</row>
    <row r="2127" spans="1:2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</row>
    <row r="2128" spans="1:2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</row>
    <row r="2129" spans="1:2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</row>
    <row r="2130" spans="1:2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</row>
    <row r="2131" spans="1:2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</row>
    <row r="2132" spans="1:2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</row>
    <row r="2133" spans="1:2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</row>
    <row r="2134" spans="1:2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</row>
    <row r="2135" spans="1:2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</row>
    <row r="2136" spans="1:2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</row>
    <row r="2137" spans="1:2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</row>
    <row r="2138" spans="1:2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</row>
    <row r="2139" spans="1:2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</row>
    <row r="2140" spans="1:2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</row>
    <row r="2141" spans="1:2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</row>
    <row r="2142" spans="1:2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</row>
    <row r="2143" spans="1:2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</row>
    <row r="2144" spans="1:2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</row>
    <row r="2145" spans="1:2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</row>
    <row r="2146" spans="1:2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</row>
    <row r="2147" spans="1:2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</row>
    <row r="2148" spans="1:2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</row>
    <row r="2149" spans="1:2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</row>
    <row r="2150" spans="1:2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</row>
    <row r="2151" spans="1:2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</row>
    <row r="2152" spans="1:2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</row>
    <row r="2153" spans="1:2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</row>
    <row r="2154" spans="1:2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</row>
    <row r="2155" spans="1:2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</row>
    <row r="2156" spans="1:2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</row>
    <row r="2157" spans="1:2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</row>
    <row r="2158" spans="1:2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</row>
    <row r="2159" spans="1:2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</row>
    <row r="2160" spans="1:2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</row>
    <row r="2161" spans="1:2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</row>
    <row r="2162" spans="1:2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</row>
    <row r="2163" spans="1:2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</row>
    <row r="2164" spans="1:2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</row>
    <row r="2165" spans="1:2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</row>
    <row r="2166" spans="1:2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</row>
    <row r="2167" spans="1:2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</row>
    <row r="2168" spans="1:2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</row>
    <row r="2169" spans="1:2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</row>
    <row r="2170" spans="1:2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</row>
    <row r="2171" spans="1:2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</row>
    <row r="2172" spans="1:2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</row>
    <row r="2173" spans="1:2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</row>
    <row r="2174" spans="1:2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</row>
    <row r="2175" spans="1:2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</row>
    <row r="2176" spans="1:2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</row>
    <row r="2177" spans="1:2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</row>
    <row r="2178" spans="1:2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</row>
    <row r="2179" spans="1:2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</row>
    <row r="2180" spans="1:2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</row>
    <row r="2181" spans="1:2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</row>
    <row r="2182" spans="1:2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</row>
    <row r="2183" spans="1:2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</row>
    <row r="2184" spans="1:2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</row>
    <row r="2185" spans="1:2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</row>
    <row r="2186" spans="1:2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</row>
    <row r="2187" spans="1:2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</row>
    <row r="2188" spans="1:2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</row>
    <row r="2189" spans="1:2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</row>
    <row r="2190" spans="1:2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</row>
    <row r="2191" spans="1:2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</row>
    <row r="2192" spans="1:2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</row>
    <row r="2193" spans="1:2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</row>
    <row r="2194" spans="1:2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</row>
    <row r="2195" spans="1:2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</row>
    <row r="2196" spans="1:2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</row>
    <row r="2197" spans="1:2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</row>
    <row r="2198" spans="1:2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</row>
    <row r="2199" spans="1:2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</row>
    <row r="2200" spans="1:2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</row>
    <row r="2201" spans="1:2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</row>
    <row r="2202" spans="1:2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</row>
    <row r="2203" spans="1:2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</row>
    <row r="2204" spans="1:2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</row>
    <row r="2205" spans="1:2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</row>
    <row r="2206" spans="1:2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</row>
    <row r="2207" spans="1:2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</row>
    <row r="2208" spans="1:2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</row>
    <row r="2209" spans="1:2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</row>
    <row r="2210" spans="1:2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</row>
    <row r="2211" spans="1:2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</row>
    <row r="2212" spans="1:2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</row>
    <row r="2213" spans="1:2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</row>
    <row r="2214" spans="1:2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</row>
    <row r="2215" spans="1:2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</row>
    <row r="2216" spans="1:2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</row>
    <row r="2217" spans="1:2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</row>
    <row r="2218" spans="1:2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</row>
    <row r="2219" spans="1:2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</row>
    <row r="2220" spans="1:2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</row>
    <row r="2221" spans="1:2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</row>
    <row r="2222" spans="1:2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</row>
    <row r="2223" spans="1:2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</row>
    <row r="2224" spans="1:2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</row>
    <row r="2225" spans="1:2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</row>
    <row r="2226" spans="1:2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</row>
    <row r="2227" spans="1:2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</row>
    <row r="2228" spans="1:2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</row>
    <row r="2229" spans="1:2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</row>
    <row r="2230" spans="1:2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</row>
    <row r="2231" spans="1:2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</row>
    <row r="2232" spans="1:2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</row>
    <row r="2233" spans="1:2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</row>
    <row r="2234" spans="1:2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</row>
    <row r="2235" spans="1:2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</row>
    <row r="2236" spans="1:2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</row>
    <row r="2237" spans="1:2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</row>
    <row r="2238" spans="1:2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</row>
    <row r="2239" spans="1:2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</row>
    <row r="2240" spans="1:2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</row>
    <row r="2241" spans="1:2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</row>
    <row r="2242" spans="1:2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</row>
    <row r="2243" spans="1:2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</row>
    <row r="2244" spans="1:2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</row>
    <row r="2245" spans="1:2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</row>
    <row r="2246" spans="1:2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</row>
    <row r="2247" spans="1:2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</row>
    <row r="2248" spans="1:2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</row>
    <row r="2249" spans="1:2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4:J24"/>
  <sheetViews>
    <sheetView workbookViewId="0"/>
  </sheetViews>
  <sheetFormatPr baseColWidth="10" defaultColWidth="12.6640625" defaultRowHeight="15.75" customHeight="1" x14ac:dyDescent="0.25"/>
  <cols>
    <col min="2" max="2" width="29" customWidth="1"/>
    <col min="3" max="3" width="24" customWidth="1"/>
  </cols>
  <sheetData>
    <row r="4" spans="2:10" x14ac:dyDescent="0.25">
      <c r="B4" s="2" t="s">
        <v>0</v>
      </c>
    </row>
    <row r="5" spans="2:10" x14ac:dyDescent="0.25">
      <c r="B5" s="2" t="s">
        <v>1</v>
      </c>
      <c r="C5" s="2" t="str">
        <f t="shared" ref="C5:C16" si="0">B5</f>
        <v>Date_Time</v>
      </c>
    </row>
    <row r="6" spans="2:10" x14ac:dyDescent="0.25">
      <c r="B6" s="8" t="s">
        <v>2</v>
      </c>
      <c r="C6" s="2" t="str">
        <f t="shared" si="0"/>
        <v>Lote Origen</v>
      </c>
      <c r="F6" s="2" t="s">
        <v>2</v>
      </c>
      <c r="J6" s="2" t="s">
        <v>2</v>
      </c>
    </row>
    <row r="7" spans="2:10" x14ac:dyDescent="0.25">
      <c r="B7" s="2" t="s">
        <v>3</v>
      </c>
      <c r="C7" s="2" t="str">
        <f t="shared" si="0"/>
        <v>Pileta Origen</v>
      </c>
      <c r="F7" s="2" t="s">
        <v>4</v>
      </c>
      <c r="H7" s="2" t="s">
        <v>4</v>
      </c>
      <c r="J7" s="2" t="s">
        <v>5</v>
      </c>
    </row>
    <row r="8" spans="2:10" x14ac:dyDescent="0.25">
      <c r="B8" s="2" t="s">
        <v>6</v>
      </c>
      <c r="C8" s="2" t="str">
        <f t="shared" si="0"/>
        <v>Variedad Origen</v>
      </c>
      <c r="H8" s="2" t="s">
        <v>5</v>
      </c>
      <c r="J8" s="2" t="s">
        <v>7</v>
      </c>
    </row>
    <row r="9" spans="2:10" x14ac:dyDescent="0.25">
      <c r="B9" s="2" t="s">
        <v>7</v>
      </c>
      <c r="C9" s="2" t="str">
        <f t="shared" si="0"/>
        <v>Volumen Trasegado</v>
      </c>
      <c r="F9" s="2" t="s">
        <v>7</v>
      </c>
      <c r="H9" s="2" t="s">
        <v>7</v>
      </c>
      <c r="J9" s="2" t="s">
        <v>8</v>
      </c>
    </row>
    <row r="10" spans="2:10" x14ac:dyDescent="0.25">
      <c r="B10" s="2" t="s">
        <v>9</v>
      </c>
      <c r="C10" s="2" t="str">
        <f t="shared" si="0"/>
        <v>Pileta Destino</v>
      </c>
      <c r="F10" s="2" t="s">
        <v>6</v>
      </c>
      <c r="H10" s="2" t="s">
        <v>8</v>
      </c>
      <c r="J10" s="2" t="s">
        <v>10</v>
      </c>
    </row>
    <row r="11" spans="2:10" x14ac:dyDescent="0.25">
      <c r="B11" s="2" t="s">
        <v>4</v>
      </c>
      <c r="C11" s="2" t="str">
        <f t="shared" si="0"/>
        <v>Lote Destino Original</v>
      </c>
      <c r="H11" s="2" t="s">
        <v>10</v>
      </c>
    </row>
    <row r="12" spans="2:10" x14ac:dyDescent="0.25">
      <c r="B12" s="2" t="s">
        <v>10</v>
      </c>
      <c r="C12" s="2" t="str">
        <f t="shared" si="0"/>
        <v>Variedad Destino Original</v>
      </c>
    </row>
    <row r="13" spans="2:10" x14ac:dyDescent="0.25">
      <c r="B13" s="2" t="s">
        <v>8</v>
      </c>
      <c r="C13" s="2" t="str">
        <f t="shared" si="0"/>
        <v>Volumen Destino Original</v>
      </c>
    </row>
    <row r="14" spans="2:10" x14ac:dyDescent="0.25">
      <c r="B14" s="2" t="s">
        <v>11</v>
      </c>
      <c r="C14" s="2" t="str">
        <f t="shared" si="0"/>
        <v>Volumen Destino Final</v>
      </c>
    </row>
    <row r="15" spans="2:10" x14ac:dyDescent="0.25">
      <c r="B15" s="2" t="s">
        <v>5</v>
      </c>
      <c r="C15" s="2" t="str">
        <f t="shared" si="0"/>
        <v>Lote Destino Final</v>
      </c>
    </row>
    <row r="16" spans="2:10" x14ac:dyDescent="0.25">
      <c r="B16" s="2" t="s">
        <v>12</v>
      </c>
      <c r="C16" s="2" t="str">
        <f t="shared" si="0"/>
        <v>Variedad Destino Final</v>
      </c>
    </row>
    <row r="17" spans="2:2" x14ac:dyDescent="0.25">
      <c r="B17" s="2" t="s">
        <v>13</v>
      </c>
    </row>
    <row r="18" spans="2:2" x14ac:dyDescent="0.25">
      <c r="B18" s="2" t="s">
        <v>14</v>
      </c>
    </row>
    <row r="19" spans="2:2" x14ac:dyDescent="0.25">
      <c r="B19" s="2" t="s">
        <v>15</v>
      </c>
    </row>
    <row r="20" spans="2:2" x14ac:dyDescent="0.25">
      <c r="B20" s="2" t="s">
        <v>16</v>
      </c>
    </row>
    <row r="21" spans="2:2" x14ac:dyDescent="0.25">
      <c r="B21" s="2" t="s">
        <v>17</v>
      </c>
    </row>
    <row r="22" spans="2:2" x14ac:dyDescent="0.25">
      <c r="B22" s="2" t="s">
        <v>18</v>
      </c>
    </row>
    <row r="23" spans="2:2" x14ac:dyDescent="0.25">
      <c r="B23" s="2" t="s">
        <v>19</v>
      </c>
    </row>
    <row r="24" spans="2:2" x14ac:dyDescent="0.25">
      <c r="B24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PILETAS LOTES</vt:lpstr>
      <vt:lpstr>MOVIMIENTO</vt:lpstr>
      <vt:lpstr>borrador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Renata Lanzarini</cp:lastModifiedBy>
  <dcterms:modified xsi:type="dcterms:W3CDTF">2026-07-08T13:59:57Z</dcterms:modified>
</cp:coreProperties>
</file>